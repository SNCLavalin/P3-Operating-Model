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SLI\Project Startup+Closeout\"/>
    </mc:Choice>
  </mc:AlternateContent>
  <bookViews>
    <workbookView xWindow="15" yWindow="105" windowWidth="28785" windowHeight="5010" tabRatio="606"/>
  </bookViews>
  <sheets>
    <sheet name="Procurement" sheetId="16" r:id="rId1"/>
    <sheet name="Data" sheetId="25" r:id="rId2"/>
    <sheet name="Parameters" sheetId="2" state="hidden" r:id="rId3"/>
    <sheet name="Data - Backup 2017-03-06" sheetId="20" state="hidden" r:id="rId4"/>
    <sheet name="Data - Backup 2017-03-07" sheetId="21" state="hidden" r:id="rId5"/>
    <sheet name="Data 2017-03-07" sheetId="22" state="hidden" r:id="rId6"/>
    <sheet name="Data 2017-03-16" sheetId="23" state="hidden" r:id="rId7"/>
    <sheet name="Data 2017-03-21" sheetId="24" state="hidden" r:id="rId8"/>
  </sheets>
  <externalReferences>
    <externalReference r:id="rId9"/>
  </externalReferences>
  <definedNames>
    <definedName name="_xlnm._FilterDatabase" localSheetId="2" hidden="1">Parameters!$A$1:$A$19</definedName>
    <definedName name="ligTitre" localSheetId="1">Data!$1:$1</definedName>
    <definedName name="ligTitre" localSheetId="3">'Data - Backup 2017-03-06'!$1:$1</definedName>
    <definedName name="ligTitre" localSheetId="4">'Data - Backup 2017-03-07'!$1:$1</definedName>
    <definedName name="ligTitre" localSheetId="5">'Data 2017-03-07'!$1:$1</definedName>
    <definedName name="ligTitre" localSheetId="6">'Data 2017-03-16'!$1:$1</definedName>
    <definedName name="ligTitre" localSheetId="7">'Data 2017-03-21'!$1:$1</definedName>
    <definedName name="ligTitre">Procurement!$1:$1</definedName>
    <definedName name="lin_a">Parameters!$G$2</definedName>
    <definedName name="lin_b">Parameters!$G$3</definedName>
    <definedName name="listDivision">Parameters!$I$2:$I$21</definedName>
    <definedName name="listType" localSheetId="1">[1]Parameters!$A$2:$A$13</definedName>
    <definedName name="listType">Parameters!$A$2:$A$13</definedName>
    <definedName name="quad_a">Parameters!$G$4</definedName>
    <definedName name="quad_b">Parameters!$G$5</definedName>
    <definedName name="quad_c" localSheetId="1">[1]Parameters!#REF!</definedName>
    <definedName name="quad_c" localSheetId="3">Parameters!#REF!</definedName>
    <definedName name="quad_c" localSheetId="4">Parameters!#REF!</definedName>
    <definedName name="quad_c" localSheetId="5">Parameters!#REF!</definedName>
    <definedName name="quad_c" localSheetId="6">Parameters!#REF!</definedName>
    <definedName name="quad_c" localSheetId="7">Parameters!#REF!</definedName>
    <definedName name="quad_c">Parameters!#REF!</definedName>
  </definedNames>
  <calcPr calcId="152511" iterate="1"/>
</workbook>
</file>

<file path=xl/calcChain.xml><?xml version="1.0" encoding="utf-8"?>
<calcChain xmlns="http://schemas.openxmlformats.org/spreadsheetml/2006/main">
  <c r="L782" i="16" l="1"/>
  <c r="O782" i="16"/>
  <c r="P782" i="16"/>
  <c r="L784" i="16"/>
  <c r="O784" i="16"/>
  <c r="P784" i="16"/>
  <c r="L777" i="16"/>
  <c r="O777" i="16"/>
  <c r="P777" i="16"/>
  <c r="L799" i="16" l="1"/>
  <c r="O799" i="16"/>
  <c r="P799" i="16"/>
  <c r="L780" i="16"/>
  <c r="L781" i="16"/>
  <c r="L783" i="16"/>
  <c r="O780" i="16"/>
  <c r="O781" i="16"/>
  <c r="O783" i="16"/>
  <c r="P780" i="16"/>
  <c r="P781" i="16"/>
  <c r="P783" i="16"/>
  <c r="L1151" i="16" l="1"/>
  <c r="L1152" i="16"/>
  <c r="L1153" i="16"/>
  <c r="O1151" i="16"/>
  <c r="O1152" i="16"/>
  <c r="O1153" i="16"/>
  <c r="P1151" i="16"/>
  <c r="P1152" i="16"/>
  <c r="P1153" i="16"/>
  <c r="L787" i="16"/>
  <c r="O787" i="16"/>
  <c r="P787" i="16"/>
  <c r="L794" i="16"/>
  <c r="O794" i="16"/>
  <c r="P794" i="16"/>
  <c r="L422" i="16" l="1"/>
  <c r="O422" i="16"/>
  <c r="P422" i="16"/>
  <c r="L121" i="16"/>
  <c r="O121" i="16"/>
  <c r="P121" i="16"/>
  <c r="L953" i="16"/>
  <c r="O953" i="16"/>
  <c r="P953" i="16"/>
  <c r="L795" i="16"/>
  <c r="O795" i="16"/>
  <c r="P795" i="16"/>
  <c r="L405" i="16"/>
  <c r="O405" i="16"/>
  <c r="P405" i="16"/>
  <c r="L423" i="16"/>
  <c r="O423" i="16"/>
  <c r="P423" i="16"/>
  <c r="L790" i="16"/>
  <c r="O790" i="16"/>
  <c r="P790" i="16"/>
  <c r="L789" i="16"/>
  <c r="O789" i="16"/>
  <c r="P789" i="16"/>
  <c r="L785" i="16"/>
  <c r="O785" i="16"/>
  <c r="P785" i="16"/>
  <c r="L779" i="16"/>
  <c r="O779" i="16"/>
  <c r="P779" i="16"/>
  <c r="L778" i="16"/>
  <c r="O778" i="16"/>
  <c r="P778" i="16"/>
  <c r="L788" i="16"/>
  <c r="O788" i="16"/>
  <c r="P788" i="16"/>
  <c r="L792" i="16"/>
  <c r="O792" i="16"/>
  <c r="P792" i="16"/>
  <c r="L419" i="16"/>
  <c r="O419" i="16"/>
  <c r="P419" i="16"/>
  <c r="L415" i="16"/>
  <c r="O415" i="16"/>
  <c r="P415" i="16"/>
  <c r="L421" i="16"/>
  <c r="O421" i="16"/>
  <c r="P421" i="16"/>
  <c r="L418" i="16"/>
  <c r="O418" i="16"/>
  <c r="P418" i="16"/>
  <c r="L416" i="16"/>
  <c r="L417" i="16"/>
  <c r="O416" i="16"/>
  <c r="O417" i="16"/>
  <c r="P416" i="16"/>
  <c r="P417" i="16"/>
  <c r="L414" i="16"/>
  <c r="O414" i="16"/>
  <c r="P414" i="16"/>
  <c r="L413" i="16"/>
  <c r="O413" i="16"/>
  <c r="P413" i="16"/>
  <c r="L401" i="16"/>
  <c r="L402" i="16"/>
  <c r="O401" i="16"/>
  <c r="O402" i="16"/>
  <c r="P401" i="16"/>
  <c r="P402" i="16"/>
  <c r="L404" i="16"/>
  <c r="O404" i="16"/>
  <c r="P404" i="16"/>
  <c r="L409" i="16"/>
  <c r="O409" i="16"/>
  <c r="P409" i="16"/>
  <c r="L397" i="16"/>
  <c r="L398" i="16"/>
  <c r="O397" i="16"/>
  <c r="O398" i="16"/>
  <c r="P397" i="16"/>
  <c r="P398" i="16"/>
  <c r="L412" i="16"/>
  <c r="O412" i="16"/>
  <c r="P412" i="16"/>
  <c r="L118" i="16"/>
  <c r="O118" i="16"/>
  <c r="P118" i="16"/>
  <c r="L127" i="16"/>
  <c r="O127" i="16"/>
  <c r="P127" i="16"/>
  <c r="O1197" i="25"/>
  <c r="Q1197" i="25" s="1"/>
  <c r="N1197" i="25"/>
  <c r="K1197" i="25"/>
  <c r="Q1196" i="25"/>
  <c r="O1196" i="25"/>
  <c r="L1196" i="25" s="1"/>
  <c r="N1196" i="25"/>
  <c r="K1196" i="25"/>
  <c r="O1195" i="25"/>
  <c r="Q1195" i="25" s="1"/>
  <c r="N1195" i="25"/>
  <c r="K1195" i="25"/>
  <c r="O1194" i="25"/>
  <c r="N1194" i="25"/>
  <c r="K1194" i="25"/>
  <c r="O1193" i="25"/>
  <c r="N1193" i="25"/>
  <c r="K1193" i="25"/>
  <c r="O1192" i="25"/>
  <c r="N1192" i="25"/>
  <c r="K1192" i="25"/>
  <c r="O1191" i="25"/>
  <c r="N1191" i="25"/>
  <c r="K1191" i="25"/>
  <c r="Q1190" i="25"/>
  <c r="O1190" i="25"/>
  <c r="L1190" i="25" s="1"/>
  <c r="N1190" i="25"/>
  <c r="K1190" i="25"/>
  <c r="O1189" i="25"/>
  <c r="Q1189" i="25" s="1"/>
  <c r="N1189" i="25"/>
  <c r="K1189" i="25"/>
  <c r="H1189" i="25"/>
  <c r="O1188" i="25"/>
  <c r="N1188" i="25"/>
  <c r="K1188" i="25"/>
  <c r="O1187" i="25"/>
  <c r="N1187" i="25"/>
  <c r="K1187" i="25"/>
  <c r="O1186" i="25"/>
  <c r="Q1186" i="25" s="1"/>
  <c r="N1186" i="25"/>
  <c r="K1186" i="25"/>
  <c r="H1186" i="25"/>
  <c r="O1185" i="25"/>
  <c r="N1185" i="25"/>
  <c r="K1185" i="25"/>
  <c r="Q1184" i="25"/>
  <c r="O1184" i="25"/>
  <c r="N1184" i="25"/>
  <c r="L1184" i="25"/>
  <c r="K1184" i="25"/>
  <c r="H1184" i="25"/>
  <c r="O1183" i="25"/>
  <c r="L1183" i="25" s="1"/>
  <c r="N1183" i="25"/>
  <c r="K1183" i="25"/>
  <c r="O1182" i="25"/>
  <c r="N1182" i="25"/>
  <c r="K1182" i="25"/>
  <c r="H1182" i="25"/>
  <c r="O1181" i="25"/>
  <c r="Q1181" i="25" s="1"/>
  <c r="N1181" i="25"/>
  <c r="K1181" i="25"/>
  <c r="O1180" i="25"/>
  <c r="N1180" i="25"/>
  <c r="K1180" i="25"/>
  <c r="H1180" i="25"/>
  <c r="O1179" i="25"/>
  <c r="N1179" i="25"/>
  <c r="K1179" i="25"/>
  <c r="O1178" i="25"/>
  <c r="Q1178" i="25" s="1"/>
  <c r="N1178" i="25"/>
  <c r="K1178" i="25"/>
  <c r="H1178" i="25"/>
  <c r="O1177" i="25"/>
  <c r="Q1177" i="25" s="1"/>
  <c r="N1177" i="25"/>
  <c r="L1177" i="25"/>
  <c r="K1177" i="25"/>
  <c r="O1176" i="25"/>
  <c r="Q1176" i="25" s="1"/>
  <c r="N1176" i="25"/>
  <c r="L1176" i="25"/>
  <c r="K1176" i="25"/>
  <c r="O1175" i="25"/>
  <c r="Q1175" i="25" s="1"/>
  <c r="N1175" i="25"/>
  <c r="K1175" i="25"/>
  <c r="O1174" i="25"/>
  <c r="L1174" i="25" s="1"/>
  <c r="N1174" i="25"/>
  <c r="K1174" i="25"/>
  <c r="H1174" i="25"/>
  <c r="O1173" i="25"/>
  <c r="N1173" i="25"/>
  <c r="K1173" i="25"/>
  <c r="O1172" i="25"/>
  <c r="N1172" i="25"/>
  <c r="K1172" i="25"/>
  <c r="H1172" i="25"/>
  <c r="O1171" i="25"/>
  <c r="Q1171" i="25" s="1"/>
  <c r="N1171" i="25"/>
  <c r="K1171" i="25"/>
  <c r="Q1170" i="25"/>
  <c r="O1170" i="25"/>
  <c r="L1170" i="25" s="1"/>
  <c r="N1170" i="25"/>
  <c r="K1170" i="25"/>
  <c r="Q1169" i="25"/>
  <c r="O1169" i="25"/>
  <c r="L1169" i="25" s="1"/>
  <c r="N1169" i="25"/>
  <c r="K1169" i="25"/>
  <c r="Q1168" i="25"/>
  <c r="O1168" i="25"/>
  <c r="L1168" i="25" s="1"/>
  <c r="N1168" i="25"/>
  <c r="K1168" i="25"/>
  <c r="H1168" i="25"/>
  <c r="O1167" i="25"/>
  <c r="N1167" i="25"/>
  <c r="K1167" i="25"/>
  <c r="O1166" i="25"/>
  <c r="N1166" i="25"/>
  <c r="K1166" i="25"/>
  <c r="H1166" i="25"/>
  <c r="O1165" i="25"/>
  <c r="Q1165" i="25" s="1"/>
  <c r="N1165" i="25"/>
  <c r="K1165" i="25"/>
  <c r="O1164" i="25"/>
  <c r="N1164" i="25"/>
  <c r="K1164" i="25"/>
  <c r="O1163" i="25"/>
  <c r="Q1163" i="25" s="1"/>
  <c r="N1163" i="25"/>
  <c r="K1163" i="25"/>
  <c r="O1162" i="25"/>
  <c r="Q1162" i="25" s="1"/>
  <c r="N1162" i="25"/>
  <c r="L1162" i="25"/>
  <c r="K1162" i="25"/>
  <c r="O1161" i="25"/>
  <c r="Q1161" i="25" s="1"/>
  <c r="N1161" i="25"/>
  <c r="L1161" i="25"/>
  <c r="K1161" i="25"/>
  <c r="O1160" i="25"/>
  <c r="N1160" i="25"/>
  <c r="K1160" i="25"/>
  <c r="O1159" i="25"/>
  <c r="Q1159" i="25" s="1"/>
  <c r="N1159" i="25"/>
  <c r="K1159" i="25"/>
  <c r="O1158" i="25"/>
  <c r="N1158" i="25"/>
  <c r="K1158" i="25"/>
  <c r="O1157" i="25"/>
  <c r="Q1157" i="25" s="1"/>
  <c r="N1157" i="25"/>
  <c r="K1157" i="25"/>
  <c r="O1156" i="25"/>
  <c r="N1156" i="25"/>
  <c r="K1156" i="25"/>
  <c r="O1155" i="25"/>
  <c r="Q1155" i="25" s="1"/>
  <c r="N1155" i="25"/>
  <c r="K1155" i="25"/>
  <c r="O1154" i="25"/>
  <c r="N1154" i="25"/>
  <c r="K1154" i="25"/>
  <c r="H1154" i="25"/>
  <c r="O1153" i="25"/>
  <c r="L1153" i="25" s="1"/>
  <c r="N1153" i="25"/>
  <c r="K1153" i="25"/>
  <c r="O1152" i="25"/>
  <c r="L1152" i="25" s="1"/>
  <c r="N1152" i="25"/>
  <c r="K1152" i="25"/>
  <c r="O1151" i="25"/>
  <c r="N1151" i="25"/>
  <c r="K1151" i="25"/>
  <c r="O1150" i="25"/>
  <c r="N1150" i="25"/>
  <c r="K1150" i="25"/>
  <c r="O1149" i="25"/>
  <c r="L1149" i="25" s="1"/>
  <c r="N1149" i="25"/>
  <c r="K1149" i="25"/>
  <c r="O1148" i="25"/>
  <c r="Q1148" i="25" s="1"/>
  <c r="N1148" i="25"/>
  <c r="L1148" i="25"/>
  <c r="K1148" i="25"/>
  <c r="H1148" i="25"/>
  <c r="O1147" i="25"/>
  <c r="N1147" i="25"/>
  <c r="K1147" i="25"/>
  <c r="O1146" i="25"/>
  <c r="N1146" i="25"/>
  <c r="K1146" i="25"/>
  <c r="O1145" i="25"/>
  <c r="N1145" i="25"/>
  <c r="K1145" i="25"/>
  <c r="O1144" i="25"/>
  <c r="N1144" i="25"/>
  <c r="K1144" i="25"/>
  <c r="H1144" i="25"/>
  <c r="O1143" i="25"/>
  <c r="N1143" i="25"/>
  <c r="K1143" i="25"/>
  <c r="O1142" i="25"/>
  <c r="N1142" i="25"/>
  <c r="K1142" i="25"/>
  <c r="O1141" i="25"/>
  <c r="N1141" i="25"/>
  <c r="K1141" i="25"/>
  <c r="O1140" i="25"/>
  <c r="N1140" i="25"/>
  <c r="K1140" i="25"/>
  <c r="O1139" i="25"/>
  <c r="N1139" i="25"/>
  <c r="K1139" i="25"/>
  <c r="H1139" i="25"/>
  <c r="Q1138" i="25"/>
  <c r="O1138" i="25"/>
  <c r="L1138" i="25" s="1"/>
  <c r="N1138" i="25"/>
  <c r="K1138" i="25"/>
  <c r="O1137" i="25"/>
  <c r="Q1137" i="25" s="1"/>
  <c r="N1137" i="25"/>
  <c r="K1137" i="25"/>
  <c r="O1136" i="25"/>
  <c r="N1136" i="25"/>
  <c r="K1136" i="25"/>
  <c r="O1135" i="25"/>
  <c r="N1135" i="25"/>
  <c r="K1135" i="25"/>
  <c r="O1134" i="25"/>
  <c r="N1134" i="25"/>
  <c r="K1134" i="25"/>
  <c r="H1134" i="25"/>
  <c r="O1133" i="25"/>
  <c r="L1133" i="25" s="1"/>
  <c r="N1133" i="25"/>
  <c r="K1133" i="25"/>
  <c r="O1132" i="25"/>
  <c r="Q1132" i="25" s="1"/>
  <c r="N1132" i="25"/>
  <c r="L1132" i="25"/>
  <c r="K1132" i="25"/>
  <c r="Q1131" i="25"/>
  <c r="O1131" i="25"/>
  <c r="N1131" i="25"/>
  <c r="L1131" i="25"/>
  <c r="K1131" i="25"/>
  <c r="O1130" i="25"/>
  <c r="N1130" i="25"/>
  <c r="K1130" i="25"/>
  <c r="O1129" i="25"/>
  <c r="N1129" i="25"/>
  <c r="K1129" i="25"/>
  <c r="O1128" i="25"/>
  <c r="N1128" i="25"/>
  <c r="K1128" i="25"/>
  <c r="Q1127" i="25"/>
  <c r="O1127" i="25"/>
  <c r="L1127" i="25" s="1"/>
  <c r="N1127" i="25"/>
  <c r="K1127" i="25"/>
  <c r="O1126" i="25"/>
  <c r="N1126" i="25"/>
  <c r="K1126" i="25"/>
  <c r="H1126" i="25"/>
  <c r="O1125" i="25"/>
  <c r="Q1125" i="25" s="1"/>
  <c r="N1125" i="25"/>
  <c r="K1125" i="25"/>
  <c r="O1124" i="25"/>
  <c r="Q1124" i="25" s="1"/>
  <c r="N1124" i="25"/>
  <c r="L1124" i="25"/>
  <c r="K1124" i="25"/>
  <c r="O1123" i="25"/>
  <c r="N1123" i="25"/>
  <c r="K1123" i="25"/>
  <c r="O1122" i="25"/>
  <c r="N1122" i="25"/>
  <c r="K1122" i="25"/>
  <c r="O1121" i="25"/>
  <c r="N1121" i="25"/>
  <c r="K1121" i="25"/>
  <c r="H1121" i="25"/>
  <c r="O1120" i="25"/>
  <c r="N1120" i="25"/>
  <c r="K1120" i="25"/>
  <c r="O1119" i="25"/>
  <c r="N1119" i="25"/>
  <c r="K1119" i="25"/>
  <c r="O1118" i="25"/>
  <c r="N1118" i="25"/>
  <c r="K1118" i="25"/>
  <c r="Q1117" i="25"/>
  <c r="O1117" i="25"/>
  <c r="N1117" i="25"/>
  <c r="L1117" i="25"/>
  <c r="K1117" i="25"/>
  <c r="H1117" i="25"/>
  <c r="Q1116" i="25"/>
  <c r="O1116" i="25"/>
  <c r="L1116" i="25" s="1"/>
  <c r="N1116" i="25"/>
  <c r="K1116" i="25"/>
  <c r="Q1115" i="25"/>
  <c r="O1115" i="25"/>
  <c r="L1115" i="25" s="1"/>
  <c r="N1115" i="25"/>
  <c r="K1115" i="25"/>
  <c r="O1114" i="25"/>
  <c r="N1114" i="25"/>
  <c r="K1114" i="25"/>
  <c r="O1113" i="25"/>
  <c r="N1113" i="25"/>
  <c r="K1113" i="25"/>
  <c r="O1112" i="25"/>
  <c r="L1112" i="25" s="1"/>
  <c r="N1112" i="25"/>
  <c r="K1112" i="25"/>
  <c r="H1112" i="25"/>
  <c r="O1111" i="25"/>
  <c r="N1111" i="25"/>
  <c r="K1111" i="25"/>
  <c r="O1110" i="25"/>
  <c r="N1110" i="25"/>
  <c r="K1110" i="25"/>
  <c r="O1109" i="25"/>
  <c r="N1109" i="25"/>
  <c r="K1109" i="25"/>
  <c r="O1108" i="25"/>
  <c r="N1108" i="25"/>
  <c r="K1108" i="25"/>
  <c r="Q1107" i="25"/>
  <c r="O1107" i="25"/>
  <c r="L1107" i="25" s="1"/>
  <c r="N1107" i="25"/>
  <c r="K1107" i="25"/>
  <c r="H1107" i="25"/>
  <c r="O1106" i="25"/>
  <c r="L1106" i="25" s="1"/>
  <c r="N1106" i="25"/>
  <c r="K1106" i="25"/>
  <c r="O1105" i="25"/>
  <c r="Q1105" i="25" s="1"/>
  <c r="N1105" i="25"/>
  <c r="K1105" i="25"/>
  <c r="H1105" i="25"/>
  <c r="O1104" i="25"/>
  <c r="Q1104" i="25" s="1"/>
  <c r="N1104" i="25"/>
  <c r="L1104" i="25"/>
  <c r="K1104" i="25"/>
  <c r="O1103" i="25"/>
  <c r="N1103" i="25"/>
  <c r="K1103" i="25"/>
  <c r="O1102" i="25"/>
  <c r="Q1102" i="25" s="1"/>
  <c r="N1102" i="25"/>
  <c r="K1102" i="25"/>
  <c r="O1101" i="25"/>
  <c r="L1101" i="25" s="1"/>
  <c r="N1101" i="25"/>
  <c r="K1101" i="25"/>
  <c r="O1100" i="25"/>
  <c r="N1100" i="25"/>
  <c r="K1100" i="25"/>
  <c r="O1099" i="25"/>
  <c r="N1099" i="25"/>
  <c r="K1099" i="25"/>
  <c r="H1099" i="25"/>
  <c r="O1098" i="25"/>
  <c r="L1098" i="25" s="1"/>
  <c r="N1098" i="25"/>
  <c r="K1098" i="25"/>
  <c r="O1097" i="25"/>
  <c r="N1097" i="25"/>
  <c r="K1097" i="25"/>
  <c r="O1096" i="25"/>
  <c r="N1096" i="25"/>
  <c r="K1096" i="25"/>
  <c r="O1095" i="25"/>
  <c r="N1095" i="25"/>
  <c r="K1095" i="25"/>
  <c r="O1094" i="25"/>
  <c r="N1094" i="25"/>
  <c r="K1094" i="25"/>
  <c r="O1093" i="25"/>
  <c r="N1093" i="25"/>
  <c r="K1093" i="25"/>
  <c r="H1093" i="25"/>
  <c r="O1092" i="25"/>
  <c r="N1092" i="25"/>
  <c r="K1092" i="25"/>
  <c r="O1091" i="25"/>
  <c r="N1091" i="25"/>
  <c r="K1091" i="25"/>
  <c r="O1090" i="25"/>
  <c r="Q1090" i="25" s="1"/>
  <c r="N1090" i="25"/>
  <c r="K1090" i="25"/>
  <c r="O1089" i="25"/>
  <c r="L1089" i="25" s="1"/>
  <c r="N1089" i="25"/>
  <c r="K1089" i="25"/>
  <c r="O1088" i="25"/>
  <c r="L1088" i="25" s="1"/>
  <c r="N1088" i="25"/>
  <c r="K1088" i="25"/>
  <c r="O1087" i="25"/>
  <c r="L1087" i="25" s="1"/>
  <c r="N1087" i="25"/>
  <c r="K1087" i="25"/>
  <c r="O1086" i="25"/>
  <c r="N1086" i="25"/>
  <c r="K1086" i="25"/>
  <c r="Q1085" i="25"/>
  <c r="O1085" i="25"/>
  <c r="L1085" i="25" s="1"/>
  <c r="N1085" i="25"/>
  <c r="K1085" i="25"/>
  <c r="H1085" i="25"/>
  <c r="O1084" i="25"/>
  <c r="N1084" i="25"/>
  <c r="K1084" i="25"/>
  <c r="O1083" i="25"/>
  <c r="N1083" i="25"/>
  <c r="K1083" i="25"/>
  <c r="O1082" i="25"/>
  <c r="N1082" i="25"/>
  <c r="K1082" i="25"/>
  <c r="O1081" i="25"/>
  <c r="N1081" i="25"/>
  <c r="K1081" i="25"/>
  <c r="O1080" i="25"/>
  <c r="N1080" i="25"/>
  <c r="K1080" i="25"/>
  <c r="O1079" i="25"/>
  <c r="N1079" i="25"/>
  <c r="K1079" i="25"/>
  <c r="O1078" i="25"/>
  <c r="L1078" i="25" s="1"/>
  <c r="N1078" i="25"/>
  <c r="K1078" i="25"/>
  <c r="O1077" i="25"/>
  <c r="L1077" i="25" s="1"/>
  <c r="N1077" i="25"/>
  <c r="K1077" i="25"/>
  <c r="O1076" i="25"/>
  <c r="N1076" i="25"/>
  <c r="K1076" i="25"/>
  <c r="O1075" i="25"/>
  <c r="Q1075" i="25" s="1"/>
  <c r="N1075" i="25"/>
  <c r="K1075" i="25"/>
  <c r="O1074" i="25"/>
  <c r="N1074" i="25"/>
  <c r="K1074" i="25"/>
  <c r="O1073" i="25"/>
  <c r="N1073" i="25"/>
  <c r="K1073" i="25"/>
  <c r="O1072" i="25"/>
  <c r="N1072" i="25"/>
  <c r="K1072" i="25"/>
  <c r="O1071" i="25"/>
  <c r="N1071" i="25"/>
  <c r="K1071" i="25"/>
  <c r="O1070" i="25"/>
  <c r="N1070" i="25"/>
  <c r="K1070" i="25"/>
  <c r="O1069" i="25"/>
  <c r="N1069" i="25"/>
  <c r="K1069" i="25"/>
  <c r="Q1068" i="25"/>
  <c r="O1068" i="25"/>
  <c r="L1068" i="25" s="1"/>
  <c r="N1068" i="25"/>
  <c r="K1068" i="25"/>
  <c r="O1067" i="25"/>
  <c r="Q1067" i="25" s="1"/>
  <c r="N1067" i="25"/>
  <c r="K1067" i="25"/>
  <c r="O1066" i="25"/>
  <c r="N1066" i="25"/>
  <c r="K1066" i="25"/>
  <c r="O1065" i="25"/>
  <c r="N1065" i="25"/>
  <c r="K1065" i="25"/>
  <c r="O1064" i="25"/>
  <c r="N1064" i="25"/>
  <c r="K1064" i="25"/>
  <c r="O1063" i="25"/>
  <c r="N1063" i="25"/>
  <c r="K1063" i="25"/>
  <c r="O1062" i="25"/>
  <c r="N1062" i="25"/>
  <c r="K1062" i="25"/>
  <c r="O1061" i="25"/>
  <c r="N1061" i="25"/>
  <c r="K1061" i="25"/>
  <c r="Q1060" i="25"/>
  <c r="O1060" i="25"/>
  <c r="L1060" i="25" s="1"/>
  <c r="N1060" i="25"/>
  <c r="K1060" i="25"/>
  <c r="O1059" i="25"/>
  <c r="Q1059" i="25" s="1"/>
  <c r="N1059" i="25"/>
  <c r="K1059" i="25"/>
  <c r="O1058" i="25"/>
  <c r="L1058" i="25" s="1"/>
  <c r="N1058" i="25"/>
  <c r="K1058" i="25"/>
  <c r="H1058" i="25"/>
  <c r="Q1057" i="25"/>
  <c r="O1057" i="25"/>
  <c r="N1057" i="25"/>
  <c r="L1057" i="25"/>
  <c r="K1057" i="25"/>
  <c r="O1056" i="25"/>
  <c r="N1056" i="25"/>
  <c r="K1056" i="25"/>
  <c r="Q1055" i="25"/>
  <c r="O1055" i="25"/>
  <c r="L1055" i="25" s="1"/>
  <c r="N1055" i="25"/>
  <c r="K1055" i="25"/>
  <c r="Q1054" i="25"/>
  <c r="O1054" i="25"/>
  <c r="N1054" i="25"/>
  <c r="L1054" i="25"/>
  <c r="K1054" i="25"/>
  <c r="O1053" i="25"/>
  <c r="N1053" i="25"/>
  <c r="K1053" i="25"/>
  <c r="O1052" i="25"/>
  <c r="N1052" i="25"/>
  <c r="K1052" i="25"/>
  <c r="Q1051" i="25"/>
  <c r="O1051" i="25"/>
  <c r="L1051" i="25" s="1"/>
  <c r="N1051" i="25"/>
  <c r="K1051" i="25"/>
  <c r="Q1050" i="25"/>
  <c r="O1050" i="25"/>
  <c r="L1050" i="25" s="1"/>
  <c r="N1050" i="25"/>
  <c r="K1050" i="25"/>
  <c r="Q1049" i="25"/>
  <c r="O1049" i="25"/>
  <c r="L1049" i="25" s="1"/>
  <c r="N1049" i="25"/>
  <c r="K1049" i="25"/>
  <c r="O1048" i="25"/>
  <c r="Q1048" i="25" s="1"/>
  <c r="N1048" i="25"/>
  <c r="K1048" i="25"/>
  <c r="O1047" i="25"/>
  <c r="N1047" i="25"/>
  <c r="K1047" i="25"/>
  <c r="O1046" i="25"/>
  <c r="Q1046" i="25" s="1"/>
  <c r="N1046" i="25"/>
  <c r="L1046" i="25"/>
  <c r="K1046" i="25"/>
  <c r="O1045" i="25"/>
  <c r="L1045" i="25" s="1"/>
  <c r="N1045" i="25"/>
  <c r="K1045" i="25"/>
  <c r="O1044" i="25"/>
  <c r="N1044" i="25"/>
  <c r="K1044" i="25"/>
  <c r="Q1043" i="25"/>
  <c r="O1043" i="25"/>
  <c r="L1043" i="25" s="1"/>
  <c r="N1043" i="25"/>
  <c r="K1043" i="25"/>
  <c r="Q1042" i="25"/>
  <c r="O1042" i="25"/>
  <c r="L1042" i="25" s="1"/>
  <c r="N1042" i="25"/>
  <c r="K1042" i="25"/>
  <c r="Q1041" i="25"/>
  <c r="O1041" i="25"/>
  <c r="L1041" i="25" s="1"/>
  <c r="N1041" i="25"/>
  <c r="K1041" i="25"/>
  <c r="O1040" i="25"/>
  <c r="N1040" i="25"/>
  <c r="K1040" i="25"/>
  <c r="O1039" i="25"/>
  <c r="N1039" i="25"/>
  <c r="K1039" i="25"/>
  <c r="O1038" i="25"/>
  <c r="N1038" i="25"/>
  <c r="K1038" i="25"/>
  <c r="O1037" i="25"/>
  <c r="N1037" i="25"/>
  <c r="K1037" i="25"/>
  <c r="H1037" i="25"/>
  <c r="O1036" i="25"/>
  <c r="L1036" i="25" s="1"/>
  <c r="N1036" i="25"/>
  <c r="K1036" i="25"/>
  <c r="O1035" i="25"/>
  <c r="L1035" i="25" s="1"/>
  <c r="N1035" i="25"/>
  <c r="K1035" i="25"/>
  <c r="O1034" i="25"/>
  <c r="N1034" i="25"/>
  <c r="K1034" i="25"/>
  <c r="O1033" i="25"/>
  <c r="N1033" i="25"/>
  <c r="K1033" i="25"/>
  <c r="O1032" i="25"/>
  <c r="N1032" i="25"/>
  <c r="K1032" i="25"/>
  <c r="O1031" i="25"/>
  <c r="Q1031" i="25" s="1"/>
  <c r="N1031" i="25"/>
  <c r="L1031" i="25"/>
  <c r="K1031" i="25"/>
  <c r="O1030" i="25"/>
  <c r="N1030" i="25"/>
  <c r="K1030" i="25"/>
  <c r="O1029" i="25"/>
  <c r="N1029" i="25"/>
  <c r="K1029" i="25"/>
  <c r="O1028" i="25"/>
  <c r="N1028" i="25"/>
  <c r="K1028" i="25"/>
  <c r="O1027" i="25"/>
  <c r="N1027" i="25"/>
  <c r="K1027" i="25"/>
  <c r="Q1026" i="25"/>
  <c r="O1026" i="25"/>
  <c r="L1026" i="25" s="1"/>
  <c r="N1026" i="25"/>
  <c r="K1026" i="25"/>
  <c r="O1025" i="25"/>
  <c r="Q1025" i="25" s="1"/>
  <c r="N1025" i="25"/>
  <c r="K1025" i="25"/>
  <c r="O1024" i="25"/>
  <c r="N1024" i="25"/>
  <c r="K1024" i="25"/>
  <c r="O1023" i="25"/>
  <c r="N1023" i="25"/>
  <c r="K1023" i="25"/>
  <c r="H1023" i="25"/>
  <c r="O1022" i="25"/>
  <c r="N1022" i="25"/>
  <c r="K1022" i="25"/>
  <c r="O1021" i="25"/>
  <c r="N1021" i="25"/>
  <c r="K1021" i="25"/>
  <c r="O1020" i="25"/>
  <c r="Q1020" i="25" s="1"/>
  <c r="N1020" i="25"/>
  <c r="L1020" i="25"/>
  <c r="K1020" i="25"/>
  <c r="O1019" i="25"/>
  <c r="N1019" i="25"/>
  <c r="K1019" i="25"/>
  <c r="O1018" i="25"/>
  <c r="N1018" i="25"/>
  <c r="K1018" i="25"/>
  <c r="O1017" i="25"/>
  <c r="N1017" i="25"/>
  <c r="K1017" i="25"/>
  <c r="O1016" i="25"/>
  <c r="L1016" i="25" s="1"/>
  <c r="N1016" i="25"/>
  <c r="K1016" i="25"/>
  <c r="O1015" i="25"/>
  <c r="Q1015" i="25" s="1"/>
  <c r="N1015" i="25"/>
  <c r="L1015" i="25"/>
  <c r="K1015" i="25"/>
  <c r="Q1014" i="25"/>
  <c r="O1014" i="25"/>
  <c r="N1014" i="25"/>
  <c r="L1014" i="25"/>
  <c r="K1014" i="25"/>
  <c r="O1013" i="25"/>
  <c r="Q1013" i="25" s="1"/>
  <c r="N1013" i="25"/>
  <c r="L1013" i="25"/>
  <c r="K1013" i="25"/>
  <c r="O1012" i="25"/>
  <c r="N1012" i="25"/>
  <c r="K1012" i="25"/>
  <c r="O1011" i="25"/>
  <c r="Q1011" i="25" s="1"/>
  <c r="N1011" i="25"/>
  <c r="L1011" i="25"/>
  <c r="K1011" i="25"/>
  <c r="Q1010" i="25"/>
  <c r="O1010" i="25"/>
  <c r="N1010" i="25"/>
  <c r="L1010" i="25"/>
  <c r="K1010" i="25"/>
  <c r="H1010" i="25"/>
  <c r="Q1009" i="25"/>
  <c r="O1009" i="25"/>
  <c r="L1009" i="25" s="1"/>
  <c r="N1009" i="25"/>
  <c r="K1009" i="25"/>
  <c r="Q1008" i="25"/>
  <c r="O1008" i="25"/>
  <c r="L1008" i="25" s="1"/>
  <c r="N1008" i="25"/>
  <c r="K1008" i="25"/>
  <c r="Q1007" i="25"/>
  <c r="O1007" i="25"/>
  <c r="L1007" i="25" s="1"/>
  <c r="N1007" i="25"/>
  <c r="K1007" i="25"/>
  <c r="O1006" i="25"/>
  <c r="N1006" i="25"/>
  <c r="K1006" i="25"/>
  <c r="O1005" i="25"/>
  <c r="L1005" i="25" s="1"/>
  <c r="N1005" i="25"/>
  <c r="K1005" i="25"/>
  <c r="O1004" i="25"/>
  <c r="L1004" i="25" s="1"/>
  <c r="N1004" i="25"/>
  <c r="K1004" i="25"/>
  <c r="O1003" i="25"/>
  <c r="N1003" i="25"/>
  <c r="K1003" i="25"/>
  <c r="O1002" i="25"/>
  <c r="Q1002" i="25" s="1"/>
  <c r="N1002" i="25"/>
  <c r="K1002" i="25"/>
  <c r="Q1001" i="25"/>
  <c r="O1001" i="25"/>
  <c r="L1001" i="25" s="1"/>
  <c r="N1001" i="25"/>
  <c r="K1001" i="25"/>
  <c r="Q1000" i="25"/>
  <c r="O1000" i="25"/>
  <c r="L1000" i="25" s="1"/>
  <c r="N1000" i="25"/>
  <c r="K1000" i="25"/>
  <c r="Q999" i="25"/>
  <c r="O999" i="25"/>
  <c r="N999" i="25"/>
  <c r="L999" i="25"/>
  <c r="K999" i="25"/>
  <c r="O998" i="25"/>
  <c r="Q998" i="25" s="1"/>
  <c r="N998" i="25"/>
  <c r="L998" i="25"/>
  <c r="K998" i="25"/>
  <c r="O997" i="25"/>
  <c r="L997" i="25" s="1"/>
  <c r="N997" i="25"/>
  <c r="K997" i="25"/>
  <c r="O996" i="25"/>
  <c r="L996" i="25" s="1"/>
  <c r="N996" i="25"/>
  <c r="K996" i="25"/>
  <c r="O995" i="25"/>
  <c r="N995" i="25"/>
  <c r="K995" i="25"/>
  <c r="O994" i="25"/>
  <c r="N994" i="25"/>
  <c r="K994" i="25"/>
  <c r="O993" i="25"/>
  <c r="N993" i="25"/>
  <c r="K993" i="25"/>
  <c r="O992" i="25"/>
  <c r="N992" i="25"/>
  <c r="K992" i="25"/>
  <c r="Q991" i="25"/>
  <c r="O991" i="25"/>
  <c r="L991" i="25" s="1"/>
  <c r="N991" i="25"/>
  <c r="K991" i="25"/>
  <c r="O990" i="25"/>
  <c r="N990" i="25"/>
  <c r="K990" i="25"/>
  <c r="O989" i="25"/>
  <c r="N989" i="25"/>
  <c r="K989" i="25"/>
  <c r="O988" i="25"/>
  <c r="N988" i="25"/>
  <c r="K988" i="25"/>
  <c r="O987" i="25"/>
  <c r="N987" i="25"/>
  <c r="K987" i="25"/>
  <c r="O986" i="25"/>
  <c r="N986" i="25"/>
  <c r="K986" i="25"/>
  <c r="O985" i="25"/>
  <c r="N985" i="25"/>
  <c r="K985" i="25"/>
  <c r="O984" i="25"/>
  <c r="N984" i="25"/>
  <c r="K984" i="25"/>
  <c r="H984" i="25"/>
  <c r="O983" i="25"/>
  <c r="Q983" i="25" s="1"/>
  <c r="N983" i="25"/>
  <c r="K983" i="25"/>
  <c r="O982" i="25"/>
  <c r="N982" i="25"/>
  <c r="K982" i="25"/>
  <c r="O981" i="25"/>
  <c r="N981" i="25"/>
  <c r="K981" i="25"/>
  <c r="Q980" i="25"/>
  <c r="O980" i="25"/>
  <c r="N980" i="25"/>
  <c r="L980" i="25"/>
  <c r="K980" i="25"/>
  <c r="O979" i="25"/>
  <c r="N979" i="25"/>
  <c r="K979" i="25"/>
  <c r="Q978" i="25"/>
  <c r="O978" i="25"/>
  <c r="L978" i="25" s="1"/>
  <c r="N978" i="25"/>
  <c r="K978" i="25"/>
  <c r="Q977" i="25"/>
  <c r="O977" i="25"/>
  <c r="N977" i="25"/>
  <c r="L977" i="25"/>
  <c r="K977" i="25"/>
  <c r="O976" i="25"/>
  <c r="Q976" i="25" s="1"/>
  <c r="N976" i="25"/>
  <c r="L976" i="25"/>
  <c r="K976" i="25"/>
  <c r="O975" i="25"/>
  <c r="Q975" i="25" s="1"/>
  <c r="N975" i="25"/>
  <c r="L975" i="25"/>
  <c r="K975" i="25"/>
  <c r="O974" i="25"/>
  <c r="L974" i="25" s="1"/>
  <c r="N974" i="25"/>
  <c r="K974" i="25"/>
  <c r="O973" i="25"/>
  <c r="L973" i="25" s="1"/>
  <c r="N973" i="25"/>
  <c r="K973" i="25"/>
  <c r="O972" i="25"/>
  <c r="Q972" i="25" s="1"/>
  <c r="N972" i="25"/>
  <c r="L972" i="25"/>
  <c r="K972" i="25"/>
  <c r="O971" i="25"/>
  <c r="Q971" i="25" s="1"/>
  <c r="N971" i="25"/>
  <c r="K971" i="25"/>
  <c r="O970" i="25"/>
  <c r="L970" i="25" s="1"/>
  <c r="N970" i="25"/>
  <c r="K970" i="25"/>
  <c r="O969" i="25"/>
  <c r="Q969" i="25" s="1"/>
  <c r="N969" i="25"/>
  <c r="L969" i="25"/>
  <c r="K969" i="25"/>
  <c r="O968" i="25"/>
  <c r="Q968" i="25" s="1"/>
  <c r="N968" i="25"/>
  <c r="K968" i="25"/>
  <c r="O967" i="25"/>
  <c r="Q967" i="25" s="1"/>
  <c r="N967" i="25"/>
  <c r="K967" i="25"/>
  <c r="O966" i="25"/>
  <c r="L966" i="25" s="1"/>
  <c r="N966" i="25"/>
  <c r="K966" i="25"/>
  <c r="O965" i="25"/>
  <c r="L965" i="25" s="1"/>
  <c r="N965" i="25"/>
  <c r="K965" i="25"/>
  <c r="Q964" i="25"/>
  <c r="O964" i="25"/>
  <c r="N964" i="25"/>
  <c r="L964" i="25"/>
  <c r="K964" i="25"/>
  <c r="O963" i="25"/>
  <c r="Q963" i="25" s="1"/>
  <c r="N963" i="25"/>
  <c r="L963" i="25"/>
  <c r="K963" i="25"/>
  <c r="O962" i="25"/>
  <c r="N962" i="25"/>
  <c r="K962" i="25"/>
  <c r="O961" i="25"/>
  <c r="Q961" i="25" s="1"/>
  <c r="N961" i="25"/>
  <c r="L961" i="25"/>
  <c r="K961" i="25"/>
  <c r="O960" i="25"/>
  <c r="N960" i="25"/>
  <c r="K960" i="25"/>
  <c r="H960" i="25"/>
  <c r="O959" i="25"/>
  <c r="L959" i="25" s="1"/>
  <c r="N959" i="25"/>
  <c r="K959" i="25"/>
  <c r="O958" i="25"/>
  <c r="N958" i="25"/>
  <c r="K958" i="25"/>
  <c r="Q957" i="25"/>
  <c r="O957" i="25"/>
  <c r="L957" i="25" s="1"/>
  <c r="N957" i="25"/>
  <c r="K957" i="25"/>
  <c r="O956" i="25"/>
  <c r="N956" i="25"/>
  <c r="K956" i="25"/>
  <c r="O955" i="25"/>
  <c r="N955" i="25"/>
  <c r="K955" i="25"/>
  <c r="O954" i="25"/>
  <c r="N954" i="25"/>
  <c r="K954" i="25"/>
  <c r="O953" i="25"/>
  <c r="Q953" i="25" s="1"/>
  <c r="N953" i="25"/>
  <c r="L953" i="25"/>
  <c r="K953" i="25"/>
  <c r="O952" i="25"/>
  <c r="N952" i="25"/>
  <c r="K952" i="25"/>
  <c r="O951" i="25"/>
  <c r="L951" i="25" s="1"/>
  <c r="N951" i="25"/>
  <c r="K951" i="25"/>
  <c r="O950" i="25"/>
  <c r="L950" i="25" s="1"/>
  <c r="N950" i="25"/>
  <c r="K950" i="25"/>
  <c r="O949" i="25"/>
  <c r="N949" i="25"/>
  <c r="K949" i="25"/>
  <c r="O948" i="25"/>
  <c r="N948" i="25"/>
  <c r="K948" i="25"/>
  <c r="O947" i="25"/>
  <c r="N947" i="25"/>
  <c r="K947" i="25"/>
  <c r="O946" i="25"/>
  <c r="Q946" i="25" s="1"/>
  <c r="N946" i="25"/>
  <c r="K946" i="25"/>
  <c r="O945" i="25"/>
  <c r="Q945" i="25" s="1"/>
  <c r="N945" i="25"/>
  <c r="L945" i="25"/>
  <c r="K945" i="25"/>
  <c r="O944" i="25"/>
  <c r="N944" i="25"/>
  <c r="K944" i="25"/>
  <c r="H944" i="25"/>
  <c r="O943" i="25"/>
  <c r="Q943" i="25" s="1"/>
  <c r="N943" i="25"/>
  <c r="L943" i="25"/>
  <c r="K943" i="25"/>
  <c r="O942" i="25"/>
  <c r="N942" i="25"/>
  <c r="K942" i="25"/>
  <c r="O941" i="25"/>
  <c r="N941" i="25"/>
  <c r="K941" i="25"/>
  <c r="O940" i="25"/>
  <c r="L940" i="25" s="1"/>
  <c r="N940" i="25"/>
  <c r="K940" i="25"/>
  <c r="O939" i="25"/>
  <c r="L939" i="25" s="1"/>
  <c r="N939" i="25"/>
  <c r="K939" i="25"/>
  <c r="O938" i="25"/>
  <c r="N938" i="25"/>
  <c r="K938" i="25"/>
  <c r="O937" i="25"/>
  <c r="Q937" i="25" s="1"/>
  <c r="N937" i="25"/>
  <c r="K937" i="25"/>
  <c r="O936" i="25"/>
  <c r="N936" i="25"/>
  <c r="K936" i="25"/>
  <c r="O935" i="25"/>
  <c r="Q935" i="25" s="1"/>
  <c r="N935" i="25"/>
  <c r="K935" i="25"/>
  <c r="Q934" i="25"/>
  <c r="O934" i="25"/>
  <c r="L934" i="25" s="1"/>
  <c r="N934" i="25"/>
  <c r="K934" i="25"/>
  <c r="O933" i="25"/>
  <c r="N933" i="25"/>
  <c r="K933" i="25"/>
  <c r="O932" i="25"/>
  <c r="L932" i="25" s="1"/>
  <c r="N932" i="25"/>
  <c r="K932" i="25"/>
  <c r="O931" i="25"/>
  <c r="L931" i="25" s="1"/>
  <c r="N931" i="25"/>
  <c r="K931" i="25"/>
  <c r="O930" i="25"/>
  <c r="Q930" i="25" s="1"/>
  <c r="N930" i="25"/>
  <c r="L930" i="25"/>
  <c r="K930" i="25"/>
  <c r="O929" i="25"/>
  <c r="Q929" i="25" s="1"/>
  <c r="N929" i="25"/>
  <c r="L929" i="25"/>
  <c r="K929" i="25"/>
  <c r="O928" i="25"/>
  <c r="N928" i="25"/>
  <c r="K928" i="25"/>
  <c r="O927" i="25"/>
  <c r="N927" i="25"/>
  <c r="K927" i="25"/>
  <c r="O926" i="25"/>
  <c r="Q926" i="25" s="1"/>
  <c r="N926" i="25"/>
  <c r="L926" i="25"/>
  <c r="K926" i="25"/>
  <c r="O925" i="25"/>
  <c r="N925" i="25"/>
  <c r="K925" i="25"/>
  <c r="O924" i="25"/>
  <c r="L924" i="25" s="1"/>
  <c r="N924" i="25"/>
  <c r="K924" i="25"/>
  <c r="O923" i="25"/>
  <c r="L923" i="25" s="1"/>
  <c r="N923" i="25"/>
  <c r="K923" i="25"/>
  <c r="O922" i="25"/>
  <c r="N922" i="25"/>
  <c r="K922" i="25"/>
  <c r="O921" i="25"/>
  <c r="N921" i="25"/>
  <c r="K921" i="25"/>
  <c r="O920" i="25"/>
  <c r="L920" i="25" s="1"/>
  <c r="N920" i="25"/>
  <c r="K920" i="25"/>
  <c r="O919" i="25"/>
  <c r="Q919" i="25" s="1"/>
  <c r="N919" i="25"/>
  <c r="L919" i="25"/>
  <c r="K919" i="25"/>
  <c r="O918" i="25"/>
  <c r="N918" i="25"/>
  <c r="K918" i="25"/>
  <c r="O917" i="25"/>
  <c r="Q917" i="25" s="1"/>
  <c r="N917" i="25"/>
  <c r="K917" i="25"/>
  <c r="O916" i="25"/>
  <c r="N916" i="25"/>
  <c r="K916" i="25"/>
  <c r="O915" i="25"/>
  <c r="N915" i="25"/>
  <c r="K915" i="25"/>
  <c r="Q914" i="25"/>
  <c r="O914" i="25"/>
  <c r="N914" i="25"/>
  <c r="L914" i="25"/>
  <c r="K914" i="25"/>
  <c r="O913" i="25"/>
  <c r="N913" i="25"/>
  <c r="K913" i="25"/>
  <c r="Q912" i="25"/>
  <c r="O912" i="25"/>
  <c r="L912" i="25" s="1"/>
  <c r="N912" i="25"/>
  <c r="K912" i="25"/>
  <c r="O911" i="25"/>
  <c r="Q911" i="25" s="1"/>
  <c r="N911" i="25"/>
  <c r="L911" i="25"/>
  <c r="K911" i="25"/>
  <c r="H911" i="25"/>
  <c r="O910" i="25"/>
  <c r="Q910" i="25" s="1"/>
  <c r="N910" i="25"/>
  <c r="L910" i="25"/>
  <c r="K910" i="25"/>
  <c r="O909" i="25"/>
  <c r="L909" i="25" s="1"/>
  <c r="N909" i="25"/>
  <c r="K909" i="25"/>
  <c r="O908" i="25"/>
  <c r="L908" i="25" s="1"/>
  <c r="N908" i="25"/>
  <c r="K908" i="25"/>
  <c r="H908" i="25"/>
  <c r="O907" i="25"/>
  <c r="Q907" i="25" s="1"/>
  <c r="N907" i="25"/>
  <c r="K907" i="25"/>
  <c r="O906" i="25"/>
  <c r="L906" i="25" s="1"/>
  <c r="N906" i="25"/>
  <c r="K906" i="25"/>
  <c r="H906" i="25"/>
  <c r="O905" i="25"/>
  <c r="Q905" i="25" s="1"/>
  <c r="N905" i="25"/>
  <c r="L905" i="25"/>
  <c r="K905" i="25"/>
  <c r="O904" i="25"/>
  <c r="Q904" i="25" s="1"/>
  <c r="N904" i="25"/>
  <c r="L904" i="25"/>
  <c r="K904" i="25"/>
  <c r="O903" i="25"/>
  <c r="L903" i="25" s="1"/>
  <c r="N903" i="25"/>
  <c r="K903" i="25"/>
  <c r="O902" i="25"/>
  <c r="L902" i="25" s="1"/>
  <c r="N902" i="25"/>
  <c r="K902" i="25"/>
  <c r="O901" i="25"/>
  <c r="N901" i="25"/>
  <c r="K901" i="25"/>
  <c r="O900" i="25"/>
  <c r="N900" i="25"/>
  <c r="K900" i="25"/>
  <c r="Q899" i="25"/>
  <c r="O899" i="25"/>
  <c r="L899" i="25" s="1"/>
  <c r="N899" i="25"/>
  <c r="K899" i="25"/>
  <c r="Q898" i="25"/>
  <c r="O898" i="25"/>
  <c r="L898" i="25" s="1"/>
  <c r="N898" i="25"/>
  <c r="K898" i="25"/>
  <c r="O897" i="25"/>
  <c r="N897" i="25"/>
  <c r="K897" i="25"/>
  <c r="O896" i="25"/>
  <c r="N896" i="25"/>
  <c r="K896" i="25"/>
  <c r="O895" i="25"/>
  <c r="N895" i="25"/>
  <c r="K895" i="25"/>
  <c r="O894" i="25"/>
  <c r="N894" i="25"/>
  <c r="K894" i="25"/>
  <c r="O893" i="25"/>
  <c r="N893" i="25"/>
  <c r="K893" i="25"/>
  <c r="O892" i="25"/>
  <c r="N892" i="25"/>
  <c r="K892" i="25"/>
  <c r="Q891" i="25"/>
  <c r="O891" i="25"/>
  <c r="L891" i="25" s="1"/>
  <c r="N891" i="25"/>
  <c r="K891" i="25"/>
  <c r="Q890" i="25"/>
  <c r="O890" i="25"/>
  <c r="L890" i="25" s="1"/>
  <c r="N890" i="25"/>
  <c r="K890" i="25"/>
  <c r="O889" i="25"/>
  <c r="Q889" i="25" s="1"/>
  <c r="N889" i="25"/>
  <c r="L889" i="25"/>
  <c r="K889" i="25"/>
  <c r="O888" i="25"/>
  <c r="Q888" i="25" s="1"/>
  <c r="N888" i="25"/>
  <c r="K888" i="25"/>
  <c r="O887" i="25"/>
  <c r="N887" i="25"/>
  <c r="K887" i="25"/>
  <c r="O886" i="25"/>
  <c r="N886" i="25"/>
  <c r="K886" i="25"/>
  <c r="O885" i="25"/>
  <c r="N885" i="25"/>
  <c r="K885" i="25"/>
  <c r="O884" i="25"/>
  <c r="N884" i="25"/>
  <c r="K884" i="25"/>
  <c r="O883" i="25"/>
  <c r="N883" i="25"/>
  <c r="K883" i="25"/>
  <c r="O882" i="25"/>
  <c r="N882" i="25"/>
  <c r="K882" i="25"/>
  <c r="O881" i="25"/>
  <c r="N881" i="25"/>
  <c r="K881" i="25"/>
  <c r="O880" i="25"/>
  <c r="N880" i="25"/>
  <c r="K880" i="25"/>
  <c r="O879" i="25"/>
  <c r="L879" i="25" s="1"/>
  <c r="N879" i="25"/>
  <c r="K879" i="25"/>
  <c r="O878" i="25"/>
  <c r="L878" i="25" s="1"/>
  <c r="N878" i="25"/>
  <c r="K878" i="25"/>
  <c r="O877" i="25"/>
  <c r="N877" i="25"/>
  <c r="K877" i="25"/>
  <c r="O876" i="25"/>
  <c r="Q876" i="25" s="1"/>
  <c r="N876" i="25"/>
  <c r="K876" i="25"/>
  <c r="H876" i="25"/>
  <c r="O875" i="25"/>
  <c r="N875" i="25"/>
  <c r="K875" i="25"/>
  <c r="O874" i="25"/>
  <c r="N874" i="25"/>
  <c r="K874" i="25"/>
  <c r="H874" i="25"/>
  <c r="O873" i="25"/>
  <c r="L873" i="25" s="1"/>
  <c r="N873" i="25"/>
  <c r="K873" i="25"/>
  <c r="O872" i="25"/>
  <c r="Q872" i="25" s="1"/>
  <c r="N872" i="25"/>
  <c r="L872" i="25"/>
  <c r="K872" i="25"/>
  <c r="O871" i="25"/>
  <c r="N871" i="25"/>
  <c r="K871" i="25"/>
  <c r="O870" i="25"/>
  <c r="N870" i="25"/>
  <c r="K870" i="25"/>
  <c r="Q869" i="25"/>
  <c r="O869" i="25"/>
  <c r="L869" i="25" s="1"/>
  <c r="N869" i="25"/>
  <c r="K869" i="25"/>
  <c r="O868" i="25"/>
  <c r="L868" i="25" s="1"/>
  <c r="N868" i="25"/>
  <c r="K868" i="25"/>
  <c r="O867" i="25"/>
  <c r="L867" i="25" s="1"/>
  <c r="N867" i="25"/>
  <c r="K867" i="25"/>
  <c r="O866" i="25"/>
  <c r="Q866" i="25" s="1"/>
  <c r="N866" i="25"/>
  <c r="K866" i="25"/>
  <c r="O865" i="25"/>
  <c r="N865" i="25"/>
  <c r="K865" i="25"/>
  <c r="O864" i="25"/>
  <c r="N864" i="25"/>
  <c r="K864" i="25"/>
  <c r="Q863" i="25"/>
  <c r="O863" i="25"/>
  <c r="L863" i="25" s="1"/>
  <c r="N863" i="25"/>
  <c r="K863" i="25"/>
  <c r="H863" i="25"/>
  <c r="O862" i="25"/>
  <c r="L862" i="25" s="1"/>
  <c r="N862" i="25"/>
  <c r="K862" i="25"/>
  <c r="O861" i="25"/>
  <c r="L861" i="25" s="1"/>
  <c r="N861" i="25"/>
  <c r="K861" i="25"/>
  <c r="O860" i="25"/>
  <c r="N860" i="25"/>
  <c r="K860" i="25"/>
  <c r="O859" i="25"/>
  <c r="N859" i="25"/>
  <c r="K859" i="25"/>
  <c r="O858" i="25"/>
  <c r="N858" i="25"/>
  <c r="K858" i="25"/>
  <c r="O857" i="25"/>
  <c r="Q857" i="25" s="1"/>
  <c r="N857" i="25"/>
  <c r="K857" i="25"/>
  <c r="O856" i="25"/>
  <c r="N856" i="25"/>
  <c r="K856" i="25"/>
  <c r="O855" i="25"/>
  <c r="N855" i="25"/>
  <c r="K855" i="25"/>
  <c r="H855" i="25"/>
  <c r="O854" i="25"/>
  <c r="N854" i="25"/>
  <c r="K854" i="25"/>
  <c r="O853" i="25"/>
  <c r="N853" i="25"/>
  <c r="K853" i="25"/>
  <c r="O852" i="25"/>
  <c r="N852" i="25"/>
  <c r="K852" i="25"/>
  <c r="O851" i="25"/>
  <c r="L851" i="25" s="1"/>
  <c r="N851" i="25"/>
  <c r="K851" i="25"/>
  <c r="O850" i="25"/>
  <c r="L850" i="25" s="1"/>
  <c r="N850" i="25"/>
  <c r="K850" i="25"/>
  <c r="O849" i="25"/>
  <c r="Q849" i="25" s="1"/>
  <c r="N849" i="25"/>
  <c r="L849" i="25"/>
  <c r="K849" i="25"/>
  <c r="O848" i="25"/>
  <c r="Q848" i="25" s="1"/>
  <c r="N848" i="25"/>
  <c r="L848" i="25"/>
  <c r="K848" i="25"/>
  <c r="O847" i="25"/>
  <c r="L847" i="25" s="1"/>
  <c r="N847" i="25"/>
  <c r="K847" i="25"/>
  <c r="O846" i="25"/>
  <c r="L846" i="25" s="1"/>
  <c r="N846" i="25"/>
  <c r="K846" i="25"/>
  <c r="O845" i="25"/>
  <c r="N845" i="25"/>
  <c r="K845" i="25"/>
  <c r="O844" i="25"/>
  <c r="Q844" i="25" s="1"/>
  <c r="N844" i="25"/>
  <c r="K844" i="25"/>
  <c r="O843" i="25"/>
  <c r="N843" i="25"/>
  <c r="K843" i="25"/>
  <c r="O842" i="25"/>
  <c r="N842" i="25"/>
  <c r="K842" i="25"/>
  <c r="O841" i="25"/>
  <c r="N841" i="25"/>
  <c r="K841" i="25"/>
  <c r="H841" i="25"/>
  <c r="O840" i="25"/>
  <c r="N840" i="25"/>
  <c r="K840" i="25"/>
  <c r="O839" i="25"/>
  <c r="N839" i="25"/>
  <c r="K839" i="25"/>
  <c r="O838" i="25"/>
  <c r="Q838" i="25" s="1"/>
  <c r="N838" i="25"/>
  <c r="L838" i="25"/>
  <c r="K838" i="25"/>
  <c r="O837" i="25"/>
  <c r="N837" i="25"/>
  <c r="K837" i="25"/>
  <c r="O836" i="25"/>
  <c r="L836" i="25" s="1"/>
  <c r="N836" i="25"/>
  <c r="K836" i="25"/>
  <c r="O835" i="25"/>
  <c r="N835" i="25"/>
  <c r="K835" i="25"/>
  <c r="Q834" i="25"/>
  <c r="O834" i="25"/>
  <c r="L834" i="25" s="1"/>
  <c r="N834" i="25"/>
  <c r="K834" i="25"/>
  <c r="H834" i="25"/>
  <c r="O833" i="25"/>
  <c r="N833" i="25"/>
  <c r="K833" i="25"/>
  <c r="O832" i="25"/>
  <c r="N832" i="25"/>
  <c r="K832" i="25"/>
  <c r="O831" i="25"/>
  <c r="L831" i="25" s="1"/>
  <c r="N831" i="25"/>
  <c r="K831" i="25"/>
  <c r="O830" i="25"/>
  <c r="N830" i="25"/>
  <c r="K830" i="25"/>
  <c r="O829" i="25"/>
  <c r="N829" i="25"/>
  <c r="K829" i="25"/>
  <c r="H829" i="25"/>
  <c r="O828" i="25"/>
  <c r="N828" i="25"/>
  <c r="K828" i="25"/>
  <c r="O827" i="25"/>
  <c r="N827" i="25"/>
  <c r="K827" i="25"/>
  <c r="O826" i="25"/>
  <c r="L826" i="25" s="1"/>
  <c r="N826" i="25"/>
  <c r="K826" i="25"/>
  <c r="O825" i="25"/>
  <c r="L825" i="25" s="1"/>
  <c r="N825" i="25"/>
  <c r="K825" i="25"/>
  <c r="O824" i="25"/>
  <c r="N824" i="25"/>
  <c r="K824" i="25"/>
  <c r="O823" i="25"/>
  <c r="Q823" i="25" s="1"/>
  <c r="N823" i="25"/>
  <c r="K823" i="25"/>
  <c r="O822" i="25"/>
  <c r="L822" i="25" s="1"/>
  <c r="N822" i="25"/>
  <c r="K822" i="25"/>
  <c r="O821" i="25"/>
  <c r="L821" i="25" s="1"/>
  <c r="N821" i="25"/>
  <c r="K821" i="25"/>
  <c r="O820" i="25"/>
  <c r="N820" i="25"/>
  <c r="K820" i="25"/>
  <c r="O819" i="25"/>
  <c r="N819" i="25"/>
  <c r="K819" i="25"/>
  <c r="O818" i="25"/>
  <c r="L818" i="25" s="1"/>
  <c r="N818" i="25"/>
  <c r="K818" i="25"/>
  <c r="O817" i="25"/>
  <c r="L817" i="25" s="1"/>
  <c r="N817" i="25"/>
  <c r="K817" i="25"/>
  <c r="O816" i="25"/>
  <c r="L816" i="25" s="1"/>
  <c r="N816" i="25"/>
  <c r="K816" i="25"/>
  <c r="O815" i="25"/>
  <c r="Q815" i="25" s="1"/>
  <c r="N815" i="25"/>
  <c r="K815" i="25"/>
  <c r="O814" i="25"/>
  <c r="N814" i="25"/>
  <c r="K814" i="25"/>
  <c r="O813" i="25"/>
  <c r="N813" i="25"/>
  <c r="K813" i="25"/>
  <c r="O812" i="25"/>
  <c r="L812" i="25" s="1"/>
  <c r="N812" i="25"/>
  <c r="K812" i="25"/>
  <c r="O811" i="25"/>
  <c r="N811" i="25"/>
  <c r="K811" i="25"/>
  <c r="Q810" i="25"/>
  <c r="O810" i="25"/>
  <c r="L810" i="25" s="1"/>
  <c r="N810" i="25"/>
  <c r="K810" i="25"/>
  <c r="Q809" i="25"/>
  <c r="O809" i="25"/>
  <c r="L809" i="25" s="1"/>
  <c r="N809" i="25"/>
  <c r="K809" i="25"/>
  <c r="Q808" i="25"/>
  <c r="O808" i="25"/>
  <c r="L808" i="25" s="1"/>
  <c r="N808" i="25"/>
  <c r="K808" i="25"/>
  <c r="H808" i="25"/>
  <c r="O807" i="25"/>
  <c r="N807" i="25"/>
  <c r="K807" i="25"/>
  <c r="O806" i="25"/>
  <c r="N806" i="25"/>
  <c r="K806" i="25"/>
  <c r="O805" i="25"/>
  <c r="N805" i="25"/>
  <c r="K805" i="25"/>
  <c r="O804" i="25"/>
  <c r="N804" i="25"/>
  <c r="K804" i="25"/>
  <c r="O803" i="25"/>
  <c r="L803" i="25" s="1"/>
  <c r="N803" i="25"/>
  <c r="K803" i="25"/>
  <c r="O802" i="25"/>
  <c r="N802" i="25"/>
  <c r="K802" i="25"/>
  <c r="H802" i="25"/>
  <c r="O801" i="25"/>
  <c r="Q801" i="25" s="1"/>
  <c r="N801" i="25"/>
  <c r="L801" i="25"/>
  <c r="K801" i="25"/>
  <c r="O800" i="25"/>
  <c r="N800" i="25"/>
  <c r="K800" i="25"/>
  <c r="O799" i="25"/>
  <c r="N799" i="25"/>
  <c r="K799" i="25"/>
  <c r="Q798" i="25"/>
  <c r="O798" i="25"/>
  <c r="N798" i="25"/>
  <c r="L798" i="25"/>
  <c r="K798" i="25"/>
  <c r="O797" i="25"/>
  <c r="N797" i="25"/>
  <c r="K797" i="25"/>
  <c r="O796" i="25"/>
  <c r="L796" i="25" s="1"/>
  <c r="N796" i="25"/>
  <c r="K796" i="25"/>
  <c r="O795" i="25"/>
  <c r="L795" i="25" s="1"/>
  <c r="N795" i="25"/>
  <c r="K795" i="25"/>
  <c r="O794" i="25"/>
  <c r="L794" i="25" s="1"/>
  <c r="N794" i="25"/>
  <c r="K794" i="25"/>
  <c r="H794" i="25"/>
  <c r="O793" i="25"/>
  <c r="L793" i="25" s="1"/>
  <c r="N793" i="25"/>
  <c r="K793" i="25"/>
  <c r="O792" i="25"/>
  <c r="L792" i="25" s="1"/>
  <c r="N792" i="25"/>
  <c r="K792" i="25"/>
  <c r="O791" i="25"/>
  <c r="L791" i="25" s="1"/>
  <c r="N791" i="25"/>
  <c r="K791" i="25"/>
  <c r="O790" i="25"/>
  <c r="Q790" i="25" s="1"/>
  <c r="N790" i="25"/>
  <c r="K790" i="25"/>
  <c r="O789" i="25"/>
  <c r="N789" i="25"/>
  <c r="K789" i="25"/>
  <c r="O788" i="25"/>
  <c r="N788" i="25"/>
  <c r="K788" i="25"/>
  <c r="Q787" i="25"/>
  <c r="O787" i="25"/>
  <c r="N787" i="25"/>
  <c r="L787" i="25"/>
  <c r="K787" i="25"/>
  <c r="O786" i="25"/>
  <c r="N786" i="25"/>
  <c r="K786" i="25"/>
  <c r="Q785" i="25"/>
  <c r="O785" i="25"/>
  <c r="L785" i="25" s="1"/>
  <c r="N785" i="25"/>
  <c r="K785" i="25"/>
  <c r="Q784" i="25"/>
  <c r="O784" i="25"/>
  <c r="L784" i="25" s="1"/>
  <c r="N784" i="25"/>
  <c r="K784" i="25"/>
  <c r="Q783" i="25"/>
  <c r="O783" i="25"/>
  <c r="N783" i="25"/>
  <c r="L783" i="25"/>
  <c r="K783" i="25"/>
  <c r="O782" i="25"/>
  <c r="Q782" i="25" s="1"/>
  <c r="N782" i="25"/>
  <c r="L782" i="25"/>
  <c r="K782" i="25"/>
  <c r="H782" i="25"/>
  <c r="O781" i="25"/>
  <c r="Q781" i="25" s="1"/>
  <c r="N781" i="25"/>
  <c r="L781" i="25"/>
  <c r="K781" i="25"/>
  <c r="O780" i="25"/>
  <c r="L780" i="25" s="1"/>
  <c r="N780" i="25"/>
  <c r="K780" i="25"/>
  <c r="O779" i="25"/>
  <c r="N779" i="25"/>
  <c r="K779" i="25"/>
  <c r="O778" i="25"/>
  <c r="L778" i="25" s="1"/>
  <c r="N778" i="25"/>
  <c r="K778" i="25"/>
  <c r="O777" i="25"/>
  <c r="L777" i="25" s="1"/>
  <c r="N777" i="25"/>
  <c r="K777" i="25"/>
  <c r="O776" i="25"/>
  <c r="N776" i="25"/>
  <c r="K776" i="25"/>
  <c r="O775" i="25"/>
  <c r="N775" i="25"/>
  <c r="K775" i="25"/>
  <c r="H775" i="25"/>
  <c r="O774" i="25"/>
  <c r="L774" i="25" s="1"/>
  <c r="N774" i="25"/>
  <c r="K774" i="25"/>
  <c r="O773" i="25"/>
  <c r="N773" i="25"/>
  <c r="K773" i="25"/>
  <c r="O772" i="25"/>
  <c r="N772" i="25"/>
  <c r="K772" i="25"/>
  <c r="O771" i="25"/>
  <c r="L771" i="25" s="1"/>
  <c r="N771" i="25"/>
  <c r="K771" i="25"/>
  <c r="O770" i="25"/>
  <c r="L770" i="25" s="1"/>
  <c r="N770" i="25"/>
  <c r="K770" i="25"/>
  <c r="O769" i="25"/>
  <c r="N769" i="25"/>
  <c r="K769" i="25"/>
  <c r="H769" i="25"/>
  <c r="O768" i="25"/>
  <c r="L768" i="25" s="1"/>
  <c r="N768" i="25"/>
  <c r="K768" i="25"/>
  <c r="O767" i="25"/>
  <c r="N767" i="25"/>
  <c r="K767" i="25"/>
  <c r="Q766" i="25"/>
  <c r="O766" i="25"/>
  <c r="L766" i="25" s="1"/>
  <c r="N766" i="25"/>
  <c r="K766" i="25"/>
  <c r="O765" i="25"/>
  <c r="N765" i="25"/>
  <c r="K765" i="25"/>
  <c r="O764" i="25"/>
  <c r="N764" i="25"/>
  <c r="K764" i="25"/>
  <c r="O763" i="25"/>
  <c r="N763" i="25"/>
  <c r="K763" i="25"/>
  <c r="O762" i="25"/>
  <c r="N762" i="25"/>
  <c r="K762" i="25"/>
  <c r="O761" i="25"/>
  <c r="N761" i="25"/>
  <c r="K761" i="25"/>
  <c r="O760" i="25"/>
  <c r="L760" i="25" s="1"/>
  <c r="N760" i="25"/>
  <c r="K760" i="25"/>
  <c r="O759" i="25"/>
  <c r="L759" i="25" s="1"/>
  <c r="N759" i="25"/>
  <c r="K759" i="25"/>
  <c r="O758" i="25"/>
  <c r="L758" i="25" s="1"/>
  <c r="N758" i="25"/>
  <c r="K758" i="25"/>
  <c r="O757" i="25"/>
  <c r="Q757" i="25" s="1"/>
  <c r="N757" i="25"/>
  <c r="K757" i="25"/>
  <c r="O756" i="25"/>
  <c r="N756" i="25"/>
  <c r="K756" i="25"/>
  <c r="O755" i="25"/>
  <c r="Q755" i="25" s="1"/>
  <c r="N755" i="25"/>
  <c r="K755" i="25"/>
  <c r="O754" i="25"/>
  <c r="N754" i="25"/>
  <c r="K754" i="25"/>
  <c r="H754" i="25"/>
  <c r="O753" i="25"/>
  <c r="N753" i="25"/>
  <c r="K753" i="25"/>
  <c r="O752" i="25"/>
  <c r="N752" i="25"/>
  <c r="K752" i="25"/>
  <c r="O751" i="25"/>
  <c r="L751" i="25" s="1"/>
  <c r="N751" i="25"/>
  <c r="K751" i="25"/>
  <c r="O750" i="25"/>
  <c r="N750" i="25"/>
  <c r="K750" i="25"/>
  <c r="H750" i="25"/>
  <c r="O749" i="25"/>
  <c r="Q749" i="25" s="1"/>
  <c r="N749" i="25"/>
  <c r="K749" i="25"/>
  <c r="O748" i="25"/>
  <c r="N748" i="25"/>
  <c r="K748" i="25"/>
  <c r="O747" i="25"/>
  <c r="N747" i="25"/>
  <c r="K747" i="25"/>
  <c r="O746" i="25"/>
  <c r="N746" i="25"/>
  <c r="K746" i="25"/>
  <c r="H746" i="25"/>
  <c r="O745" i="25"/>
  <c r="L745" i="25" s="1"/>
  <c r="N745" i="25"/>
  <c r="K745" i="25"/>
  <c r="O744" i="25"/>
  <c r="L744" i="25" s="1"/>
  <c r="N744" i="25"/>
  <c r="K744" i="25"/>
  <c r="O743" i="25"/>
  <c r="N743" i="25"/>
  <c r="K743" i="25"/>
  <c r="O742" i="25"/>
  <c r="N742" i="25"/>
  <c r="K742" i="25"/>
  <c r="O741" i="25"/>
  <c r="N741" i="25"/>
  <c r="K741" i="25"/>
  <c r="O740" i="25"/>
  <c r="N740" i="25"/>
  <c r="K740" i="25"/>
  <c r="O739" i="25"/>
  <c r="Q739" i="25" s="1"/>
  <c r="N739" i="25"/>
  <c r="L739" i="25"/>
  <c r="K739" i="25"/>
  <c r="O738" i="25"/>
  <c r="Q738" i="25" s="1"/>
  <c r="N738" i="25"/>
  <c r="L738" i="25"/>
  <c r="K738" i="25"/>
  <c r="H738" i="25"/>
  <c r="O737" i="25"/>
  <c r="N737" i="25"/>
  <c r="K737" i="25"/>
  <c r="O736" i="25"/>
  <c r="Q736" i="25" s="1"/>
  <c r="N736" i="25"/>
  <c r="L736" i="25"/>
  <c r="K736" i="25"/>
  <c r="O735" i="25"/>
  <c r="Q735" i="25" s="1"/>
  <c r="N735" i="25"/>
  <c r="L735" i="25"/>
  <c r="K735" i="25"/>
  <c r="H735" i="25"/>
  <c r="O734" i="25"/>
  <c r="L734" i="25" s="1"/>
  <c r="N734" i="25"/>
  <c r="K734" i="25"/>
  <c r="O733" i="25"/>
  <c r="L733" i="25" s="1"/>
  <c r="N733" i="25"/>
  <c r="K733" i="25"/>
  <c r="O732" i="25"/>
  <c r="N732" i="25"/>
  <c r="K732" i="25"/>
  <c r="O731" i="25"/>
  <c r="L731" i="25" s="1"/>
  <c r="N731" i="25"/>
  <c r="K731" i="25"/>
  <c r="O730" i="25"/>
  <c r="L730" i="25" s="1"/>
  <c r="N730" i="25"/>
  <c r="K730" i="25"/>
  <c r="O729" i="25"/>
  <c r="N729" i="25"/>
  <c r="K729" i="25"/>
  <c r="O728" i="25"/>
  <c r="N728" i="25"/>
  <c r="K728" i="25"/>
  <c r="O727" i="25"/>
  <c r="L727" i="25" s="1"/>
  <c r="N727" i="25"/>
  <c r="K727" i="25"/>
  <c r="H727" i="25"/>
  <c r="Q726" i="25"/>
  <c r="O726" i="25"/>
  <c r="L726" i="25" s="1"/>
  <c r="N726" i="25"/>
  <c r="K726" i="25"/>
  <c r="O725" i="25"/>
  <c r="N725" i="25"/>
  <c r="K725" i="25"/>
  <c r="O724" i="25"/>
  <c r="L724" i="25" s="1"/>
  <c r="N724" i="25"/>
  <c r="K724" i="25"/>
  <c r="O723" i="25"/>
  <c r="L723" i="25" s="1"/>
  <c r="N723" i="25"/>
  <c r="K723" i="25"/>
  <c r="O722" i="25"/>
  <c r="N722" i="25"/>
  <c r="K722" i="25"/>
  <c r="O721" i="25"/>
  <c r="N721" i="25"/>
  <c r="K721" i="25"/>
  <c r="O720" i="25"/>
  <c r="L720" i="25" s="1"/>
  <c r="N720" i="25"/>
  <c r="K720" i="25"/>
  <c r="O719" i="25"/>
  <c r="L719" i="25" s="1"/>
  <c r="N719" i="25"/>
  <c r="K719" i="25"/>
  <c r="O718" i="25"/>
  <c r="N718" i="25"/>
  <c r="K718" i="25"/>
  <c r="O717" i="25"/>
  <c r="N717" i="25"/>
  <c r="K717" i="25"/>
  <c r="O716" i="25"/>
  <c r="N716" i="25"/>
  <c r="K716" i="25"/>
  <c r="O715" i="25"/>
  <c r="Q715" i="25" s="1"/>
  <c r="N715" i="25"/>
  <c r="L715" i="25"/>
  <c r="K715" i="25"/>
  <c r="O714" i="25"/>
  <c r="Q714" i="25" s="1"/>
  <c r="N714" i="25"/>
  <c r="L714" i="25"/>
  <c r="K714" i="25"/>
  <c r="O713" i="25"/>
  <c r="Q713" i="25" s="1"/>
  <c r="N713" i="25"/>
  <c r="L713" i="25"/>
  <c r="K713" i="25"/>
  <c r="O712" i="25"/>
  <c r="L712" i="25" s="1"/>
  <c r="N712" i="25"/>
  <c r="K712" i="25"/>
  <c r="O711" i="25"/>
  <c r="L711" i="25" s="1"/>
  <c r="N711" i="25"/>
  <c r="K711" i="25"/>
  <c r="Q710" i="25"/>
  <c r="O710" i="25"/>
  <c r="N710" i="25"/>
  <c r="L710" i="25"/>
  <c r="K710" i="25"/>
  <c r="O709" i="25"/>
  <c r="N709" i="25"/>
  <c r="K709" i="25"/>
  <c r="Q708" i="25"/>
  <c r="O708" i="25"/>
  <c r="L708" i="25" s="1"/>
  <c r="N708" i="25"/>
  <c r="K708" i="25"/>
  <c r="Q707" i="25"/>
  <c r="O707" i="25"/>
  <c r="N707" i="25"/>
  <c r="L707" i="25"/>
  <c r="K707" i="25"/>
  <c r="O706" i="25"/>
  <c r="Q706" i="25" s="1"/>
  <c r="N706" i="25"/>
  <c r="L706" i="25"/>
  <c r="K706" i="25"/>
  <c r="O705" i="25"/>
  <c r="Q705" i="25" s="1"/>
  <c r="N705" i="25"/>
  <c r="L705" i="25"/>
  <c r="K705" i="25"/>
  <c r="O704" i="25"/>
  <c r="L704" i="25" s="1"/>
  <c r="N704" i="25"/>
  <c r="K704" i="25"/>
  <c r="H704" i="25"/>
  <c r="O703" i="25"/>
  <c r="L703" i="25" s="1"/>
  <c r="N703" i="25"/>
  <c r="K703" i="25"/>
  <c r="O702" i="25"/>
  <c r="N702" i="25"/>
  <c r="K702" i="25"/>
  <c r="O701" i="25"/>
  <c r="L701" i="25" s="1"/>
  <c r="N701" i="25"/>
  <c r="K701" i="25"/>
  <c r="O700" i="25"/>
  <c r="L700" i="25" s="1"/>
  <c r="N700" i="25"/>
  <c r="K700" i="25"/>
  <c r="O699" i="25"/>
  <c r="N699" i="25"/>
  <c r="K699" i="25"/>
  <c r="O698" i="25"/>
  <c r="N698" i="25"/>
  <c r="K698" i="25"/>
  <c r="O697" i="25"/>
  <c r="L697" i="25" s="1"/>
  <c r="N697" i="25"/>
  <c r="K697" i="25"/>
  <c r="O696" i="25"/>
  <c r="L696" i="25" s="1"/>
  <c r="N696" i="25"/>
  <c r="K696" i="25"/>
  <c r="O695" i="25"/>
  <c r="L695" i="25" s="1"/>
  <c r="N695" i="25"/>
  <c r="K695" i="25"/>
  <c r="O694" i="25"/>
  <c r="N694" i="25"/>
  <c r="K694" i="25"/>
  <c r="O693" i="25"/>
  <c r="L693" i="25" s="1"/>
  <c r="N693" i="25"/>
  <c r="K693" i="25"/>
  <c r="O692" i="25"/>
  <c r="L692" i="25" s="1"/>
  <c r="N692" i="25"/>
  <c r="K692" i="25"/>
  <c r="O691" i="25"/>
  <c r="N691" i="25"/>
  <c r="K691" i="25"/>
  <c r="O690" i="25"/>
  <c r="N690" i="25"/>
  <c r="K690" i="25"/>
  <c r="O689" i="25"/>
  <c r="L689" i="25" s="1"/>
  <c r="N689" i="25"/>
  <c r="K689" i="25"/>
  <c r="O688" i="25"/>
  <c r="L688" i="25" s="1"/>
  <c r="N688" i="25"/>
  <c r="K688" i="25"/>
  <c r="O687" i="25"/>
  <c r="L687" i="25" s="1"/>
  <c r="N687" i="25"/>
  <c r="K687" i="25"/>
  <c r="O686" i="25"/>
  <c r="N686" i="25"/>
  <c r="K686" i="25"/>
  <c r="O685" i="25"/>
  <c r="L685" i="25" s="1"/>
  <c r="N685" i="25"/>
  <c r="K685" i="25"/>
  <c r="O684" i="25"/>
  <c r="L684" i="25" s="1"/>
  <c r="N684" i="25"/>
  <c r="K684" i="25"/>
  <c r="O683" i="25"/>
  <c r="N683" i="25"/>
  <c r="K683" i="25"/>
  <c r="O682" i="25"/>
  <c r="N682" i="25"/>
  <c r="K682" i="25"/>
  <c r="H682" i="25"/>
  <c r="O681" i="25"/>
  <c r="N681" i="25"/>
  <c r="K681" i="25"/>
  <c r="O680" i="25"/>
  <c r="N680" i="25"/>
  <c r="K680" i="25"/>
  <c r="H680" i="25"/>
  <c r="O679" i="25"/>
  <c r="L679" i="25" s="1"/>
  <c r="N679" i="25"/>
  <c r="K679" i="25"/>
  <c r="O678" i="25"/>
  <c r="L678" i="25" s="1"/>
  <c r="N678" i="25"/>
  <c r="K678" i="25"/>
  <c r="O677" i="25"/>
  <c r="N677" i="25"/>
  <c r="K677" i="25"/>
  <c r="O676" i="25"/>
  <c r="N676" i="25"/>
  <c r="K676" i="25"/>
  <c r="O675" i="25"/>
  <c r="N675" i="25"/>
  <c r="K675" i="25"/>
  <c r="O674" i="25"/>
  <c r="N674" i="25"/>
  <c r="K674" i="25"/>
  <c r="O673" i="25"/>
  <c r="N673" i="25"/>
  <c r="K673" i="25"/>
  <c r="O672" i="25"/>
  <c r="N672" i="25"/>
  <c r="K672" i="25"/>
  <c r="O671" i="25"/>
  <c r="L671" i="25" s="1"/>
  <c r="N671" i="25"/>
  <c r="K671" i="25"/>
  <c r="O670" i="25"/>
  <c r="L670" i="25" s="1"/>
  <c r="N670" i="25"/>
  <c r="K670" i="25"/>
  <c r="O669" i="25"/>
  <c r="L669" i="25" s="1"/>
  <c r="N669" i="25"/>
  <c r="K669" i="25"/>
  <c r="O668" i="25"/>
  <c r="N668" i="25"/>
  <c r="K668" i="25"/>
  <c r="Q667" i="25"/>
  <c r="O667" i="25"/>
  <c r="L667" i="25" s="1"/>
  <c r="N667" i="25"/>
  <c r="K667" i="25"/>
  <c r="Q666" i="25"/>
  <c r="O666" i="25"/>
  <c r="L666" i="25" s="1"/>
  <c r="N666" i="25"/>
  <c r="K666" i="25"/>
  <c r="O665" i="25"/>
  <c r="N665" i="25"/>
  <c r="K665" i="25"/>
  <c r="O664" i="25"/>
  <c r="N664" i="25"/>
  <c r="K664" i="25"/>
  <c r="O663" i="25"/>
  <c r="L663" i="25" s="1"/>
  <c r="N663" i="25"/>
  <c r="K663" i="25"/>
  <c r="H663" i="25"/>
  <c r="O662" i="25"/>
  <c r="L662" i="25" s="1"/>
  <c r="N662" i="25"/>
  <c r="K662" i="25"/>
  <c r="O661" i="25"/>
  <c r="N661" i="25"/>
  <c r="K661" i="25"/>
  <c r="O660" i="25"/>
  <c r="L660" i="25" s="1"/>
  <c r="N660" i="25"/>
  <c r="K660" i="25"/>
  <c r="O659" i="25"/>
  <c r="L659" i="25" s="1"/>
  <c r="N659" i="25"/>
  <c r="K659" i="25"/>
  <c r="O658" i="25"/>
  <c r="N658" i="25"/>
  <c r="K658" i="25"/>
  <c r="O657" i="25"/>
  <c r="N657" i="25"/>
  <c r="K657" i="25"/>
  <c r="O656" i="25"/>
  <c r="L656" i="25" s="1"/>
  <c r="N656" i="25"/>
  <c r="K656" i="25"/>
  <c r="O655" i="25"/>
  <c r="L655" i="25" s="1"/>
  <c r="N655" i="25"/>
  <c r="K655" i="25"/>
  <c r="O654" i="25"/>
  <c r="L654" i="25" s="1"/>
  <c r="N654" i="25"/>
  <c r="K654" i="25"/>
  <c r="O653" i="25"/>
  <c r="N653" i="25"/>
  <c r="K653" i="25"/>
  <c r="O652" i="25"/>
  <c r="N652" i="25"/>
  <c r="K652" i="25"/>
  <c r="O651" i="25"/>
  <c r="N651" i="25"/>
  <c r="K651" i="25"/>
  <c r="H651" i="25"/>
  <c r="O650" i="25"/>
  <c r="N650" i="25"/>
  <c r="K650" i="25"/>
  <c r="O649" i="25"/>
  <c r="L649" i="25" s="1"/>
  <c r="N649" i="25"/>
  <c r="K649" i="25"/>
  <c r="O648" i="25"/>
  <c r="L648" i="25" s="1"/>
  <c r="N648" i="25"/>
  <c r="K648" i="25"/>
  <c r="O647" i="25"/>
  <c r="N647" i="25"/>
  <c r="K647" i="25"/>
  <c r="O646" i="25"/>
  <c r="N646" i="25"/>
  <c r="K646" i="25"/>
  <c r="O645" i="25"/>
  <c r="N645" i="25"/>
  <c r="K645" i="25"/>
  <c r="O644" i="25"/>
  <c r="N644" i="25"/>
  <c r="K644" i="25"/>
  <c r="O643" i="25"/>
  <c r="L643" i="25" s="1"/>
  <c r="N643" i="25"/>
  <c r="K643" i="25"/>
  <c r="O642" i="25"/>
  <c r="N642" i="25"/>
  <c r="K642" i="25"/>
  <c r="H642" i="25"/>
  <c r="O641" i="25"/>
  <c r="N641" i="25"/>
  <c r="K641" i="25"/>
  <c r="O640" i="25"/>
  <c r="N640" i="25"/>
  <c r="K640" i="25"/>
  <c r="O639" i="25"/>
  <c r="N639" i="25"/>
  <c r="K639" i="25"/>
  <c r="O638" i="25"/>
  <c r="L638" i="25" s="1"/>
  <c r="N638" i="25"/>
  <c r="K638" i="25"/>
  <c r="O637" i="25"/>
  <c r="N637" i="25"/>
  <c r="K637" i="25"/>
  <c r="O636" i="25"/>
  <c r="L636" i="25" s="1"/>
  <c r="N636" i="25"/>
  <c r="K636" i="25"/>
  <c r="O635" i="25"/>
  <c r="Q635" i="25" s="1"/>
  <c r="N635" i="25"/>
  <c r="K635" i="25"/>
  <c r="O634" i="25"/>
  <c r="N634" i="25"/>
  <c r="K634" i="25"/>
  <c r="H634" i="25"/>
  <c r="Q633" i="25"/>
  <c r="O633" i="25"/>
  <c r="L633" i="25" s="1"/>
  <c r="N633" i="25"/>
  <c r="K633" i="25"/>
  <c r="O632" i="25"/>
  <c r="Q632" i="25" s="1"/>
  <c r="N632" i="25"/>
  <c r="K632" i="25"/>
  <c r="O631" i="25"/>
  <c r="L631" i="25" s="1"/>
  <c r="N631" i="25"/>
  <c r="K631" i="25"/>
  <c r="O630" i="25"/>
  <c r="N630" i="25"/>
  <c r="K630" i="25"/>
  <c r="Q629" i="25"/>
  <c r="O629" i="25"/>
  <c r="N629" i="25"/>
  <c r="L629" i="25"/>
  <c r="K629" i="25"/>
  <c r="O628" i="25"/>
  <c r="Q628" i="25" s="1"/>
  <c r="N628" i="25"/>
  <c r="K628" i="25"/>
  <c r="H628" i="25"/>
  <c r="O627" i="25"/>
  <c r="L627" i="25" s="1"/>
  <c r="N627" i="25"/>
  <c r="K627" i="25"/>
  <c r="Q626" i="25"/>
  <c r="O626" i="25"/>
  <c r="L626" i="25" s="1"/>
  <c r="N626" i="25"/>
  <c r="K626" i="25"/>
  <c r="O625" i="25"/>
  <c r="Q625" i="25" s="1"/>
  <c r="N625" i="25"/>
  <c r="K625" i="25"/>
  <c r="O624" i="25"/>
  <c r="L624" i="25" s="1"/>
  <c r="N624" i="25"/>
  <c r="K624" i="25"/>
  <c r="O623" i="25"/>
  <c r="L623" i="25" s="1"/>
  <c r="N623" i="25"/>
  <c r="K623" i="25"/>
  <c r="O622" i="25"/>
  <c r="L622" i="25" s="1"/>
  <c r="N622" i="25"/>
  <c r="K622" i="25"/>
  <c r="O621" i="25"/>
  <c r="N621" i="25"/>
  <c r="K621" i="25"/>
  <c r="H621" i="25"/>
  <c r="O620" i="25"/>
  <c r="Q620" i="25" s="1"/>
  <c r="N620" i="25"/>
  <c r="K620" i="25"/>
  <c r="Q619" i="25"/>
  <c r="O619" i="25"/>
  <c r="L619" i="25" s="1"/>
  <c r="N619" i="25"/>
  <c r="K619" i="25"/>
  <c r="O618" i="25"/>
  <c r="Q618" i="25" s="1"/>
  <c r="N618" i="25"/>
  <c r="K618" i="25"/>
  <c r="O617" i="25"/>
  <c r="N617" i="25"/>
  <c r="K617" i="25"/>
  <c r="H617" i="25"/>
  <c r="O616" i="25"/>
  <c r="L616" i="25" s="1"/>
  <c r="N616" i="25"/>
  <c r="K616" i="25"/>
  <c r="O615" i="25"/>
  <c r="Q615" i="25" s="1"/>
  <c r="N615" i="25"/>
  <c r="K615" i="25"/>
  <c r="O614" i="25"/>
  <c r="L614" i="25" s="1"/>
  <c r="N614" i="25"/>
  <c r="K614" i="25"/>
  <c r="O613" i="25"/>
  <c r="Q613" i="25" s="1"/>
  <c r="N613" i="25"/>
  <c r="K613" i="25"/>
  <c r="Q612" i="25"/>
  <c r="O612" i="25"/>
  <c r="L612" i="25" s="1"/>
  <c r="N612" i="25"/>
  <c r="K612" i="25"/>
  <c r="H612" i="25"/>
  <c r="Q611" i="25"/>
  <c r="O611" i="25"/>
  <c r="L611" i="25" s="1"/>
  <c r="N611" i="25"/>
  <c r="K611" i="25"/>
  <c r="Q610" i="25"/>
  <c r="O610" i="25"/>
  <c r="N610" i="25"/>
  <c r="L610" i="25"/>
  <c r="K610" i="25"/>
  <c r="O609" i="25"/>
  <c r="L609" i="25" s="1"/>
  <c r="N609" i="25"/>
  <c r="K609" i="25"/>
  <c r="O608" i="25"/>
  <c r="Q608" i="25" s="1"/>
  <c r="N608" i="25"/>
  <c r="K608" i="25"/>
  <c r="H608" i="25"/>
  <c r="O607" i="25"/>
  <c r="N607" i="25"/>
  <c r="K607" i="25"/>
  <c r="Q606" i="25"/>
  <c r="O606" i="25"/>
  <c r="L606" i="25" s="1"/>
  <c r="N606" i="25"/>
  <c r="K606" i="25"/>
  <c r="O605" i="25"/>
  <c r="Q605" i="25" s="1"/>
  <c r="N605" i="25"/>
  <c r="K605" i="25"/>
  <c r="O604" i="25"/>
  <c r="L604" i="25" s="1"/>
  <c r="N604" i="25"/>
  <c r="K604" i="25"/>
  <c r="O603" i="25"/>
  <c r="Q603" i="25" s="1"/>
  <c r="N603" i="25"/>
  <c r="K603" i="25"/>
  <c r="H603" i="25"/>
  <c r="O602" i="25"/>
  <c r="Q602" i="25" s="1"/>
  <c r="N602" i="25"/>
  <c r="K602" i="25"/>
  <c r="O601" i="25"/>
  <c r="N601" i="25"/>
  <c r="K601" i="25"/>
  <c r="O600" i="25"/>
  <c r="N600" i="25"/>
  <c r="K600" i="25"/>
  <c r="O599" i="25"/>
  <c r="L599" i="25" s="1"/>
  <c r="N599" i="25"/>
  <c r="K599" i="25"/>
  <c r="O598" i="25"/>
  <c r="N598" i="25"/>
  <c r="K598" i="25"/>
  <c r="O597" i="25"/>
  <c r="L597" i="25" s="1"/>
  <c r="N597" i="25"/>
  <c r="K597" i="25"/>
  <c r="O596" i="25"/>
  <c r="Q596" i="25" s="1"/>
  <c r="N596" i="25"/>
  <c r="L596" i="25"/>
  <c r="K596" i="25"/>
  <c r="O595" i="25"/>
  <c r="L595" i="25" s="1"/>
  <c r="N595" i="25"/>
  <c r="K595" i="25"/>
  <c r="O594" i="25"/>
  <c r="Q594" i="25" s="1"/>
  <c r="N594" i="25"/>
  <c r="K594" i="25"/>
  <c r="O593" i="25"/>
  <c r="N593" i="25"/>
  <c r="K593" i="25"/>
  <c r="O592" i="25"/>
  <c r="N592" i="25"/>
  <c r="K592" i="25"/>
  <c r="Q591" i="25"/>
  <c r="O591" i="25"/>
  <c r="L591" i="25" s="1"/>
  <c r="N591" i="25"/>
  <c r="K591" i="25"/>
  <c r="O590" i="25"/>
  <c r="Q590" i="25" s="1"/>
  <c r="N590" i="25"/>
  <c r="K590" i="25"/>
  <c r="O589" i="25"/>
  <c r="L589" i="25" s="1"/>
  <c r="N589" i="25"/>
  <c r="K589" i="25"/>
  <c r="H589" i="25"/>
  <c r="O588" i="25"/>
  <c r="Q588" i="25" s="1"/>
  <c r="N588" i="25"/>
  <c r="L588" i="25"/>
  <c r="K588" i="25"/>
  <c r="O587" i="25"/>
  <c r="Q587" i="25" s="1"/>
  <c r="N587" i="25"/>
  <c r="K587" i="25"/>
  <c r="O586" i="25"/>
  <c r="N586" i="25"/>
  <c r="K586" i="25"/>
  <c r="O585" i="25"/>
  <c r="N585" i="25"/>
  <c r="K585" i="25"/>
  <c r="H585" i="25"/>
  <c r="O584" i="25"/>
  <c r="Q584" i="25" s="1"/>
  <c r="N584" i="25"/>
  <c r="K584" i="25"/>
  <c r="O583" i="25"/>
  <c r="L583" i="25" s="1"/>
  <c r="N583" i="25"/>
  <c r="K583" i="25"/>
  <c r="O582" i="25"/>
  <c r="Q582" i="25" s="1"/>
  <c r="N582" i="25"/>
  <c r="L582" i="25"/>
  <c r="K582" i="25"/>
  <c r="O581" i="25"/>
  <c r="L581" i="25" s="1"/>
  <c r="N581" i="25"/>
  <c r="K581" i="25"/>
  <c r="H581" i="25"/>
  <c r="Q580" i="25"/>
  <c r="O580" i="25"/>
  <c r="L580" i="25" s="1"/>
  <c r="N580" i="25"/>
  <c r="K580" i="25"/>
  <c r="Q579" i="25"/>
  <c r="O579" i="25"/>
  <c r="N579" i="25"/>
  <c r="L579" i="25"/>
  <c r="K579" i="25"/>
  <c r="O578" i="25"/>
  <c r="N578" i="25"/>
  <c r="K578" i="25"/>
  <c r="O577" i="25"/>
  <c r="N577" i="25"/>
  <c r="K577" i="25"/>
  <c r="H577" i="25"/>
  <c r="O576" i="25"/>
  <c r="N576" i="25"/>
  <c r="K576" i="25"/>
  <c r="O575" i="25"/>
  <c r="L575" i="25" s="1"/>
  <c r="N575" i="25"/>
  <c r="K575" i="25"/>
  <c r="O574" i="25"/>
  <c r="Q574" i="25" s="1"/>
  <c r="N574" i="25"/>
  <c r="K574" i="25"/>
  <c r="O573" i="25"/>
  <c r="L573" i="25" s="1"/>
  <c r="N573" i="25"/>
  <c r="K573" i="25"/>
  <c r="O572" i="25"/>
  <c r="N572" i="25"/>
  <c r="K572" i="25"/>
  <c r="H572" i="25"/>
  <c r="O571" i="25"/>
  <c r="Q571" i="25" s="1"/>
  <c r="N571" i="25"/>
  <c r="K571" i="25"/>
  <c r="O570" i="25"/>
  <c r="N570" i="25"/>
  <c r="K570" i="25"/>
  <c r="O569" i="25"/>
  <c r="N569" i="25"/>
  <c r="K569" i="25"/>
  <c r="O568" i="25"/>
  <c r="Q568" i="25" s="1"/>
  <c r="N568" i="25"/>
  <c r="L568" i="25"/>
  <c r="K568" i="25"/>
  <c r="H568" i="25"/>
  <c r="O567" i="25"/>
  <c r="L567" i="25" s="1"/>
  <c r="N567" i="25"/>
  <c r="K567" i="25"/>
  <c r="O566" i="25"/>
  <c r="L566" i="25" s="1"/>
  <c r="N566" i="25"/>
  <c r="K566" i="25"/>
  <c r="O565" i="25"/>
  <c r="Q565" i="25" s="1"/>
  <c r="N565" i="25"/>
  <c r="L565" i="25"/>
  <c r="K565" i="25"/>
  <c r="O564" i="25"/>
  <c r="N564" i="25"/>
  <c r="K564" i="25"/>
  <c r="O563" i="25"/>
  <c r="L563" i="25" s="1"/>
  <c r="N563" i="25"/>
  <c r="K563" i="25"/>
  <c r="O562" i="25"/>
  <c r="N562" i="25"/>
  <c r="K562" i="25"/>
  <c r="O561" i="25"/>
  <c r="Q561" i="25" s="1"/>
  <c r="N561" i="25"/>
  <c r="L561" i="25"/>
  <c r="K561" i="25"/>
  <c r="O560" i="25"/>
  <c r="Q560" i="25" s="1"/>
  <c r="N560" i="25"/>
  <c r="L560" i="25"/>
  <c r="K560" i="25"/>
  <c r="O559" i="25"/>
  <c r="L559" i="25" s="1"/>
  <c r="N559" i="25"/>
  <c r="K559" i="25"/>
  <c r="O558" i="25"/>
  <c r="L558" i="25" s="1"/>
  <c r="N558" i="25"/>
  <c r="K558" i="25"/>
  <c r="O557" i="25"/>
  <c r="N557" i="25"/>
  <c r="K557" i="25"/>
  <c r="O556" i="25"/>
  <c r="N556" i="25"/>
  <c r="K556" i="25"/>
  <c r="O555" i="25"/>
  <c r="L555" i="25" s="1"/>
  <c r="N555" i="25"/>
  <c r="K555" i="25"/>
  <c r="O554" i="25"/>
  <c r="Q554" i="25" s="1"/>
  <c r="N554" i="25"/>
  <c r="L554" i="25"/>
  <c r="K554" i="25"/>
  <c r="Q553" i="25"/>
  <c r="O553" i="25"/>
  <c r="N553" i="25"/>
  <c r="L553" i="25"/>
  <c r="K553" i="25"/>
  <c r="O552" i="25"/>
  <c r="Q552" i="25" s="1"/>
  <c r="N552" i="25"/>
  <c r="L552" i="25"/>
  <c r="K552" i="25"/>
  <c r="O551" i="25"/>
  <c r="L551" i="25" s="1"/>
  <c r="N551" i="25"/>
  <c r="K551" i="25"/>
  <c r="O550" i="25"/>
  <c r="L550" i="25" s="1"/>
  <c r="N550" i="25"/>
  <c r="K550" i="25"/>
  <c r="O549" i="25"/>
  <c r="N549" i="25"/>
  <c r="K549" i="25"/>
  <c r="O548" i="25"/>
  <c r="N548" i="25"/>
  <c r="K548" i="25"/>
  <c r="O547" i="25"/>
  <c r="L547" i="25" s="1"/>
  <c r="N547" i="25"/>
  <c r="K547" i="25"/>
  <c r="O546" i="25"/>
  <c r="Q546" i="25" s="1"/>
  <c r="N546" i="25"/>
  <c r="L546" i="25"/>
  <c r="K546" i="25"/>
  <c r="O545" i="25"/>
  <c r="Q545" i="25" s="1"/>
  <c r="N545" i="25"/>
  <c r="L545" i="25"/>
  <c r="K545" i="25"/>
  <c r="O544" i="25"/>
  <c r="Q544" i="25" s="1"/>
  <c r="N544" i="25"/>
  <c r="L544" i="25"/>
  <c r="K544" i="25"/>
  <c r="O543" i="25"/>
  <c r="L543" i="25" s="1"/>
  <c r="N543" i="25"/>
  <c r="K543" i="25"/>
  <c r="O542" i="25"/>
  <c r="L542" i="25" s="1"/>
  <c r="N542" i="25"/>
  <c r="K542" i="25"/>
  <c r="O541" i="25"/>
  <c r="N541" i="25"/>
  <c r="K541" i="25"/>
  <c r="H541" i="25"/>
  <c r="O540" i="25"/>
  <c r="L540" i="25" s="1"/>
  <c r="N540" i="25"/>
  <c r="K540" i="25"/>
  <c r="O539" i="25"/>
  <c r="N539" i="25"/>
  <c r="K539" i="25"/>
  <c r="Q538" i="25"/>
  <c r="O538" i="25"/>
  <c r="N538" i="25"/>
  <c r="L538" i="25"/>
  <c r="K538" i="25"/>
  <c r="O537" i="25"/>
  <c r="Q537" i="25" s="1"/>
  <c r="N537" i="25"/>
  <c r="K537" i="25"/>
  <c r="O536" i="25"/>
  <c r="N536" i="25"/>
  <c r="K536" i="25"/>
  <c r="O535" i="25"/>
  <c r="N535" i="25"/>
  <c r="K535" i="25"/>
  <c r="O534" i="25"/>
  <c r="N534" i="25"/>
  <c r="K534" i="25"/>
  <c r="O533" i="25"/>
  <c r="Q533" i="25" s="1"/>
  <c r="N533" i="25"/>
  <c r="K533" i="25"/>
  <c r="O532" i="25"/>
  <c r="L532" i="25" s="1"/>
  <c r="N532" i="25"/>
  <c r="K532" i="25"/>
  <c r="O531" i="25"/>
  <c r="Q531" i="25" s="1"/>
  <c r="N531" i="25"/>
  <c r="K531" i="25"/>
  <c r="O530" i="25"/>
  <c r="L530" i="25" s="1"/>
  <c r="N530" i="25"/>
  <c r="K530" i="25"/>
  <c r="O529" i="25"/>
  <c r="Q529" i="25" s="1"/>
  <c r="N529" i="25"/>
  <c r="K529" i="25"/>
  <c r="O528" i="25"/>
  <c r="N528" i="25"/>
  <c r="K528" i="25"/>
  <c r="O527" i="25"/>
  <c r="N527" i="25"/>
  <c r="K527" i="25"/>
  <c r="Q526" i="25"/>
  <c r="O526" i="25"/>
  <c r="N526" i="25"/>
  <c r="L526" i="25"/>
  <c r="K526" i="25"/>
  <c r="O525" i="25"/>
  <c r="Q525" i="25" s="1"/>
  <c r="N525" i="25"/>
  <c r="L525" i="25"/>
  <c r="K525" i="25"/>
  <c r="O524" i="25"/>
  <c r="L524" i="25" s="1"/>
  <c r="N524" i="25"/>
  <c r="K524" i="25"/>
  <c r="O523" i="25"/>
  <c r="N523" i="25"/>
  <c r="K523" i="25"/>
  <c r="Q522" i="25"/>
  <c r="O522" i="25"/>
  <c r="N522" i="25"/>
  <c r="L522" i="25"/>
  <c r="K522" i="25"/>
  <c r="O521" i="25"/>
  <c r="Q521" i="25" s="1"/>
  <c r="N521" i="25"/>
  <c r="K521" i="25"/>
  <c r="O520" i="25"/>
  <c r="N520" i="25"/>
  <c r="K520" i="25"/>
  <c r="O519" i="25"/>
  <c r="N519" i="25"/>
  <c r="K519" i="25"/>
  <c r="O518" i="25"/>
  <c r="N518" i="25"/>
  <c r="K518" i="25"/>
  <c r="O517" i="25"/>
  <c r="Q517" i="25" s="1"/>
  <c r="N517" i="25"/>
  <c r="K517" i="25"/>
  <c r="O516" i="25"/>
  <c r="L516" i="25" s="1"/>
  <c r="N516" i="25"/>
  <c r="K516" i="25"/>
  <c r="O515" i="25"/>
  <c r="Q515" i="25" s="1"/>
  <c r="N515" i="25"/>
  <c r="K515" i="25"/>
  <c r="Q514" i="25"/>
  <c r="O514" i="25"/>
  <c r="L514" i="25" s="1"/>
  <c r="N514" i="25"/>
  <c r="K514" i="25"/>
  <c r="O513" i="25"/>
  <c r="Q513" i="25" s="1"/>
  <c r="N513" i="25"/>
  <c r="K513" i="25"/>
  <c r="O512" i="25"/>
  <c r="N512" i="25"/>
  <c r="K512" i="25"/>
  <c r="O511" i="25"/>
  <c r="N511" i="25"/>
  <c r="K511" i="25"/>
  <c r="Q510" i="25"/>
  <c r="O510" i="25"/>
  <c r="N510" i="25"/>
  <c r="L510" i="25"/>
  <c r="K510" i="25"/>
  <c r="O509" i="25"/>
  <c r="Q509" i="25" s="1"/>
  <c r="N509" i="25"/>
  <c r="L509" i="25"/>
  <c r="K509" i="25"/>
  <c r="O508" i="25"/>
  <c r="L508" i="25" s="1"/>
  <c r="N508" i="25"/>
  <c r="K508" i="25"/>
  <c r="O507" i="25"/>
  <c r="N507" i="25"/>
  <c r="K507" i="25"/>
  <c r="H507" i="25"/>
  <c r="O506" i="25"/>
  <c r="Q506" i="25" s="1"/>
  <c r="N506" i="25"/>
  <c r="K506" i="25"/>
  <c r="O505" i="25"/>
  <c r="N505" i="25"/>
  <c r="K505" i="25"/>
  <c r="O504" i="25"/>
  <c r="N504" i="25"/>
  <c r="K504" i="25"/>
  <c r="O503" i="25"/>
  <c r="N503" i="25"/>
  <c r="K503" i="25"/>
  <c r="O502" i="25"/>
  <c r="Q502" i="25" s="1"/>
  <c r="N502" i="25"/>
  <c r="K502" i="25"/>
  <c r="O501" i="25"/>
  <c r="L501" i="25" s="1"/>
  <c r="N501" i="25"/>
  <c r="K501" i="25"/>
  <c r="O500" i="25"/>
  <c r="Q500" i="25" s="1"/>
  <c r="N500" i="25"/>
  <c r="K500" i="25"/>
  <c r="O499" i="25"/>
  <c r="L499" i="25" s="1"/>
  <c r="N499" i="25"/>
  <c r="K499" i="25"/>
  <c r="O498" i="25"/>
  <c r="Q498" i="25" s="1"/>
  <c r="N498" i="25"/>
  <c r="K498" i="25"/>
  <c r="O497" i="25"/>
  <c r="N497" i="25"/>
  <c r="K497" i="25"/>
  <c r="O496" i="25"/>
  <c r="N496" i="25"/>
  <c r="K496" i="25"/>
  <c r="Q495" i="25"/>
  <c r="O495" i="25"/>
  <c r="N495" i="25"/>
  <c r="L495" i="25"/>
  <c r="K495" i="25"/>
  <c r="O494" i="25"/>
  <c r="Q494" i="25" s="1"/>
  <c r="N494" i="25"/>
  <c r="L494" i="25"/>
  <c r="K494" i="25"/>
  <c r="O493" i="25"/>
  <c r="L493" i="25" s="1"/>
  <c r="N493" i="25"/>
  <c r="K493" i="25"/>
  <c r="O492" i="25"/>
  <c r="N492" i="25"/>
  <c r="K492" i="25"/>
  <c r="Q491" i="25"/>
  <c r="O491" i="25"/>
  <c r="N491" i="25"/>
  <c r="L491" i="25"/>
  <c r="K491" i="25"/>
  <c r="O490" i="25"/>
  <c r="Q490" i="25" s="1"/>
  <c r="N490" i="25"/>
  <c r="K490" i="25"/>
  <c r="O489" i="25"/>
  <c r="N489" i="25"/>
  <c r="K489" i="25"/>
  <c r="O488" i="25"/>
  <c r="N488" i="25"/>
  <c r="K488" i="25"/>
  <c r="H488" i="25"/>
  <c r="O487" i="25"/>
  <c r="Q487" i="25" s="1"/>
  <c r="N487" i="25"/>
  <c r="K487" i="25"/>
  <c r="O486" i="25"/>
  <c r="L486" i="25" s="1"/>
  <c r="N486" i="25"/>
  <c r="K486" i="25"/>
  <c r="O485" i="25"/>
  <c r="Q485" i="25" s="1"/>
  <c r="N485" i="25"/>
  <c r="K485" i="25"/>
  <c r="Q484" i="25"/>
  <c r="O484" i="25"/>
  <c r="L484" i="25" s="1"/>
  <c r="N484" i="25"/>
  <c r="K484" i="25"/>
  <c r="O483" i="25"/>
  <c r="Q483" i="25" s="1"/>
  <c r="N483" i="25"/>
  <c r="K483" i="25"/>
  <c r="O482" i="25"/>
  <c r="N482" i="25"/>
  <c r="K482" i="25"/>
  <c r="O481" i="25"/>
  <c r="N481" i="25"/>
  <c r="K481" i="25"/>
  <c r="O480" i="25"/>
  <c r="Q480" i="25" s="1"/>
  <c r="N480" i="25"/>
  <c r="L480" i="25"/>
  <c r="K480" i="25"/>
  <c r="O479" i="25"/>
  <c r="Q479" i="25" s="1"/>
  <c r="N479" i="25"/>
  <c r="L479" i="25"/>
  <c r="K479" i="25"/>
  <c r="O478" i="25"/>
  <c r="L478" i="25" s="1"/>
  <c r="N478" i="25"/>
  <c r="K478" i="25"/>
  <c r="O477" i="25"/>
  <c r="Q477" i="25" s="1"/>
  <c r="N477" i="25"/>
  <c r="L477" i="25"/>
  <c r="K477" i="25"/>
  <c r="O476" i="25"/>
  <c r="N476" i="25"/>
  <c r="K476" i="25"/>
  <c r="O475" i="25"/>
  <c r="Q475" i="25" s="1"/>
  <c r="N475" i="25"/>
  <c r="K475" i="25"/>
  <c r="H475" i="25"/>
  <c r="O474" i="25"/>
  <c r="L474" i="25" s="1"/>
  <c r="N474" i="25"/>
  <c r="K474" i="25"/>
  <c r="O473" i="25"/>
  <c r="N473" i="25"/>
  <c r="K473" i="25"/>
  <c r="O472" i="25"/>
  <c r="Q472" i="25" s="1"/>
  <c r="N472" i="25"/>
  <c r="K472" i="25"/>
  <c r="O471" i="25"/>
  <c r="L471" i="25" s="1"/>
  <c r="N471" i="25"/>
  <c r="K471" i="25"/>
  <c r="O470" i="25"/>
  <c r="L470" i="25" s="1"/>
  <c r="N470" i="25"/>
  <c r="K470" i="25"/>
  <c r="O469" i="25"/>
  <c r="L469" i="25" s="1"/>
  <c r="N469" i="25"/>
  <c r="K469" i="25"/>
  <c r="O468" i="25"/>
  <c r="N468" i="25"/>
  <c r="K468" i="25"/>
  <c r="O467" i="25"/>
  <c r="L467" i="25" s="1"/>
  <c r="N467" i="25"/>
  <c r="K467" i="25"/>
  <c r="O466" i="25"/>
  <c r="L466" i="25" s="1"/>
  <c r="N466" i="25"/>
  <c r="K466" i="25"/>
  <c r="Q465" i="25"/>
  <c r="O465" i="25"/>
  <c r="L465" i="25" s="1"/>
  <c r="N465" i="25"/>
  <c r="K465" i="25"/>
  <c r="O464" i="25"/>
  <c r="Q464" i="25" s="1"/>
  <c r="N464" i="25"/>
  <c r="K464" i="25"/>
  <c r="O463" i="25"/>
  <c r="L463" i="25" s="1"/>
  <c r="N463" i="25"/>
  <c r="K463" i="25"/>
  <c r="O462" i="25"/>
  <c r="L462" i="25" s="1"/>
  <c r="N462" i="25"/>
  <c r="K462" i="25"/>
  <c r="O461" i="25"/>
  <c r="L461" i="25" s="1"/>
  <c r="N461" i="25"/>
  <c r="K461" i="25"/>
  <c r="O460" i="25"/>
  <c r="N460" i="25"/>
  <c r="K460" i="25"/>
  <c r="O459" i="25"/>
  <c r="L459" i="25" s="1"/>
  <c r="N459" i="25"/>
  <c r="K459" i="25"/>
  <c r="O458" i="25"/>
  <c r="L458" i="25" s="1"/>
  <c r="N458" i="25"/>
  <c r="K458" i="25"/>
  <c r="Q457" i="25"/>
  <c r="O457" i="25"/>
  <c r="L457" i="25" s="1"/>
  <c r="N457" i="25"/>
  <c r="K457" i="25"/>
  <c r="H457" i="25"/>
  <c r="O456" i="25"/>
  <c r="N456" i="25"/>
  <c r="K456" i="25"/>
  <c r="O455" i="25"/>
  <c r="N455" i="25"/>
  <c r="K455" i="25"/>
  <c r="Q454" i="25"/>
  <c r="O454" i="25"/>
  <c r="L454" i="25" s="1"/>
  <c r="N454" i="25"/>
  <c r="K454" i="25"/>
  <c r="O453" i="25"/>
  <c r="Q453" i="25" s="1"/>
  <c r="N453" i="25"/>
  <c r="K453" i="25"/>
  <c r="O452" i="25"/>
  <c r="L452" i="25" s="1"/>
  <c r="N452" i="25"/>
  <c r="K452" i="25"/>
  <c r="O451" i="25"/>
  <c r="Q451" i="25" s="1"/>
  <c r="N451" i="25"/>
  <c r="K451" i="25"/>
  <c r="Q450" i="25"/>
  <c r="O450" i="25"/>
  <c r="L450" i="25" s="1"/>
  <c r="N450" i="25"/>
  <c r="K450" i="25"/>
  <c r="O449" i="25"/>
  <c r="Q449" i="25" s="1"/>
  <c r="N449" i="25"/>
  <c r="K449" i="25"/>
  <c r="O448" i="25"/>
  <c r="N448" i="25"/>
  <c r="K448" i="25"/>
  <c r="O447" i="25"/>
  <c r="N447" i="25"/>
  <c r="K447" i="25"/>
  <c r="Q446" i="25"/>
  <c r="O446" i="25"/>
  <c r="N446" i="25"/>
  <c r="L446" i="25"/>
  <c r="K446" i="25"/>
  <c r="O445" i="25"/>
  <c r="Q445" i="25" s="1"/>
  <c r="N445" i="25"/>
  <c r="L445" i="25"/>
  <c r="K445" i="25"/>
  <c r="N444" i="25"/>
  <c r="K444" i="25"/>
  <c r="Q443" i="25"/>
  <c r="O443" i="25"/>
  <c r="N443" i="25"/>
  <c r="L443" i="25"/>
  <c r="K443" i="25"/>
  <c r="O442" i="25"/>
  <c r="N442" i="25"/>
  <c r="K442" i="25"/>
  <c r="Q441" i="25"/>
  <c r="O441" i="25"/>
  <c r="L441" i="25" s="1"/>
  <c r="N441" i="25"/>
  <c r="K441" i="25"/>
  <c r="Q440" i="25"/>
  <c r="O440" i="25"/>
  <c r="N440" i="25"/>
  <c r="L440" i="25"/>
  <c r="K440" i="25"/>
  <c r="Q439" i="25"/>
  <c r="O439" i="25"/>
  <c r="N439" i="25"/>
  <c r="L439" i="25"/>
  <c r="K439" i="25"/>
  <c r="H439" i="25"/>
  <c r="O438" i="25"/>
  <c r="N438" i="25"/>
  <c r="K438" i="25"/>
  <c r="O437" i="25"/>
  <c r="N437" i="25"/>
  <c r="K437" i="25"/>
  <c r="Q436" i="25"/>
  <c r="O436" i="25"/>
  <c r="N436" i="25"/>
  <c r="L436" i="25"/>
  <c r="K436" i="25"/>
  <c r="O435" i="25"/>
  <c r="Q435" i="25" s="1"/>
  <c r="N435" i="25"/>
  <c r="L435" i="25"/>
  <c r="K435" i="25"/>
  <c r="O434" i="25"/>
  <c r="L434" i="25" s="1"/>
  <c r="N434" i="25"/>
  <c r="K434" i="25"/>
  <c r="O433" i="25"/>
  <c r="Q433" i="25" s="1"/>
  <c r="N433" i="25"/>
  <c r="L433" i="25"/>
  <c r="K433" i="25"/>
  <c r="Q432" i="25"/>
  <c r="O432" i="25"/>
  <c r="N432" i="25"/>
  <c r="L432" i="25"/>
  <c r="K432" i="25"/>
  <c r="O431" i="25"/>
  <c r="Q431" i="25" s="1"/>
  <c r="N431" i="25"/>
  <c r="K431" i="25"/>
  <c r="O430" i="25"/>
  <c r="N430" i="25"/>
  <c r="K430" i="25"/>
  <c r="O429" i="25"/>
  <c r="N429" i="25"/>
  <c r="K429" i="25"/>
  <c r="Q428" i="25"/>
  <c r="O428" i="25"/>
  <c r="L428" i="25" s="1"/>
  <c r="N428" i="25"/>
  <c r="K428" i="25"/>
  <c r="O427" i="25"/>
  <c r="Q427" i="25" s="1"/>
  <c r="N427" i="25"/>
  <c r="K427" i="25"/>
  <c r="O426" i="25"/>
  <c r="L426" i="25" s="1"/>
  <c r="N426" i="25"/>
  <c r="K426" i="25"/>
  <c r="O425" i="25"/>
  <c r="Q425" i="25" s="1"/>
  <c r="N425" i="25"/>
  <c r="K425" i="25"/>
  <c r="Q424" i="25"/>
  <c r="O424" i="25"/>
  <c r="L424" i="25" s="1"/>
  <c r="N424" i="25"/>
  <c r="K424" i="25"/>
  <c r="O423" i="25"/>
  <c r="Q423" i="25" s="1"/>
  <c r="N423" i="25"/>
  <c r="K423" i="25"/>
  <c r="O422" i="25"/>
  <c r="N422" i="25"/>
  <c r="K422" i="25"/>
  <c r="O421" i="25"/>
  <c r="N421" i="25"/>
  <c r="K421" i="25"/>
  <c r="Q420" i="25"/>
  <c r="O420" i="25"/>
  <c r="N420" i="25"/>
  <c r="L420" i="25"/>
  <c r="K420" i="25"/>
  <c r="O419" i="25"/>
  <c r="Q419" i="25" s="1"/>
  <c r="N419" i="25"/>
  <c r="L419" i="25"/>
  <c r="K419" i="25"/>
  <c r="O418" i="25"/>
  <c r="L418" i="25" s="1"/>
  <c r="N418" i="25"/>
  <c r="K418" i="25"/>
  <c r="O417" i="25"/>
  <c r="Q417" i="25" s="1"/>
  <c r="N417" i="25"/>
  <c r="L417" i="25"/>
  <c r="K417" i="25"/>
  <c r="Q416" i="25"/>
  <c r="O416" i="25"/>
  <c r="N416" i="25"/>
  <c r="L416" i="25"/>
  <c r="K416" i="25"/>
  <c r="O415" i="25"/>
  <c r="Q415" i="25" s="1"/>
  <c r="N415" i="25"/>
  <c r="K415" i="25"/>
  <c r="O414" i="25"/>
  <c r="N414" i="25"/>
  <c r="K414" i="25"/>
  <c r="O413" i="25"/>
  <c r="N413" i="25"/>
  <c r="K413" i="25"/>
  <c r="H413" i="25"/>
  <c r="O412" i="25"/>
  <c r="Q412" i="25" s="1"/>
  <c r="N412" i="25"/>
  <c r="K412" i="25"/>
  <c r="O411" i="25"/>
  <c r="L411" i="25" s="1"/>
  <c r="N411" i="25"/>
  <c r="K411" i="25"/>
  <c r="O410" i="25"/>
  <c r="Q410" i="25" s="1"/>
  <c r="N410" i="25"/>
  <c r="K410" i="25"/>
  <c r="Q409" i="25"/>
  <c r="O409" i="25"/>
  <c r="L409" i="25" s="1"/>
  <c r="N409" i="25"/>
  <c r="K409" i="25"/>
  <c r="O408" i="25"/>
  <c r="Q408" i="25" s="1"/>
  <c r="N408" i="25"/>
  <c r="K408" i="25"/>
  <c r="O407" i="25"/>
  <c r="N407" i="25"/>
  <c r="K407" i="25"/>
  <c r="O406" i="25"/>
  <c r="N406" i="25"/>
  <c r="K406" i="25"/>
  <c r="O405" i="25"/>
  <c r="Q405" i="25" s="1"/>
  <c r="N405" i="25"/>
  <c r="L405" i="25"/>
  <c r="K405" i="25"/>
  <c r="O404" i="25"/>
  <c r="Q404" i="25" s="1"/>
  <c r="N404" i="25"/>
  <c r="L404" i="25"/>
  <c r="K404" i="25"/>
  <c r="O403" i="25"/>
  <c r="L403" i="25" s="1"/>
  <c r="N403" i="25"/>
  <c r="K403" i="25"/>
  <c r="O402" i="25"/>
  <c r="Q402" i="25" s="1"/>
  <c r="N402" i="25"/>
  <c r="L402" i="25"/>
  <c r="K402" i="25"/>
  <c r="O401" i="25"/>
  <c r="Q401" i="25" s="1"/>
  <c r="N401" i="25"/>
  <c r="L401" i="25"/>
  <c r="K401" i="25"/>
  <c r="O400" i="25"/>
  <c r="Q400" i="25" s="1"/>
  <c r="N400" i="25"/>
  <c r="K400" i="25"/>
  <c r="O399" i="25"/>
  <c r="N399" i="25"/>
  <c r="K399" i="25"/>
  <c r="O398" i="25"/>
  <c r="N398" i="25"/>
  <c r="K398" i="25"/>
  <c r="O397" i="25"/>
  <c r="N397" i="25"/>
  <c r="K397" i="25"/>
  <c r="O396" i="25"/>
  <c r="Q396" i="25" s="1"/>
  <c r="N396" i="25"/>
  <c r="K396" i="25"/>
  <c r="O395" i="25"/>
  <c r="L395" i="25" s="1"/>
  <c r="N395" i="25"/>
  <c r="K395" i="25"/>
  <c r="O394" i="25"/>
  <c r="Q394" i="25" s="1"/>
  <c r="N394" i="25"/>
  <c r="K394" i="25"/>
  <c r="Q393" i="25"/>
  <c r="O393" i="25"/>
  <c r="L393" i="25" s="1"/>
  <c r="N393" i="25"/>
  <c r="K393" i="25"/>
  <c r="O392" i="25"/>
  <c r="Q392" i="25" s="1"/>
  <c r="N392" i="25"/>
  <c r="K392" i="25"/>
  <c r="H392" i="25"/>
  <c r="Q391" i="25"/>
  <c r="O391" i="25"/>
  <c r="N391" i="25"/>
  <c r="L391" i="25"/>
  <c r="K391" i="25"/>
  <c r="O390" i="25"/>
  <c r="N390" i="25"/>
  <c r="K390" i="25"/>
  <c r="O389" i="25"/>
  <c r="N389" i="25"/>
  <c r="K389" i="25"/>
  <c r="O388" i="25"/>
  <c r="L388" i="25" s="1"/>
  <c r="N388" i="25"/>
  <c r="K388" i="25"/>
  <c r="O387" i="25"/>
  <c r="L387" i="25" s="1"/>
  <c r="N387" i="25"/>
  <c r="K387" i="25"/>
  <c r="Q386" i="25"/>
  <c r="O386" i="25"/>
  <c r="N386" i="25"/>
  <c r="L386" i="25"/>
  <c r="K386" i="25"/>
  <c r="O385" i="25"/>
  <c r="N385" i="25"/>
  <c r="K385" i="25"/>
  <c r="H385" i="25"/>
  <c r="O384" i="25"/>
  <c r="Q384" i="25" s="1"/>
  <c r="N384" i="25"/>
  <c r="L384" i="25"/>
  <c r="K384" i="25"/>
  <c r="O383" i="25"/>
  <c r="N383" i="25"/>
  <c r="K383" i="25"/>
  <c r="O382" i="25"/>
  <c r="Q382" i="25" s="1"/>
  <c r="N382" i="25"/>
  <c r="K382" i="25"/>
  <c r="O381" i="25"/>
  <c r="N381" i="25"/>
  <c r="K381" i="25"/>
  <c r="O380" i="25"/>
  <c r="N380" i="25"/>
  <c r="K380" i="25"/>
  <c r="Q379" i="25"/>
  <c r="O379" i="25"/>
  <c r="L379" i="25" s="1"/>
  <c r="N379" i="25"/>
  <c r="K379" i="25"/>
  <c r="O378" i="25"/>
  <c r="Q378" i="25" s="1"/>
  <c r="N378" i="25"/>
  <c r="K378" i="25"/>
  <c r="O377" i="25"/>
  <c r="L377" i="25" s="1"/>
  <c r="N377" i="25"/>
  <c r="K377" i="25"/>
  <c r="O376" i="25"/>
  <c r="Q376" i="25" s="1"/>
  <c r="N376" i="25"/>
  <c r="K376" i="25"/>
  <c r="Q375" i="25"/>
  <c r="O375" i="25"/>
  <c r="L375" i="25" s="1"/>
  <c r="N375" i="25"/>
  <c r="K375" i="25"/>
  <c r="O374" i="25"/>
  <c r="Q374" i="25" s="1"/>
  <c r="N374" i="25"/>
  <c r="K374" i="25"/>
  <c r="H374" i="25"/>
  <c r="Q373" i="25"/>
  <c r="O373" i="25"/>
  <c r="N373" i="25"/>
  <c r="L373" i="25"/>
  <c r="K373" i="25"/>
  <c r="O372" i="25"/>
  <c r="Q372" i="25" s="1"/>
  <c r="N372" i="25"/>
  <c r="L372" i="25"/>
  <c r="K372" i="25"/>
  <c r="O371" i="25"/>
  <c r="Q371" i="25" s="1"/>
  <c r="N371" i="25"/>
  <c r="L371" i="25"/>
  <c r="K371" i="25"/>
  <c r="O370" i="25"/>
  <c r="L370" i="25" s="1"/>
  <c r="N370" i="25"/>
  <c r="K370" i="25"/>
  <c r="O369" i="25"/>
  <c r="L369" i="25" s="1"/>
  <c r="N369" i="25"/>
  <c r="K369" i="25"/>
  <c r="Q368" i="25"/>
  <c r="O368" i="25"/>
  <c r="N368" i="25"/>
  <c r="L368" i="25"/>
  <c r="K368" i="25"/>
  <c r="O367" i="25"/>
  <c r="N367" i="25"/>
  <c r="K367" i="25"/>
  <c r="Q366" i="25"/>
  <c r="O366" i="25"/>
  <c r="L366" i="25" s="1"/>
  <c r="N366" i="25"/>
  <c r="K366" i="25"/>
  <c r="Q365" i="25"/>
  <c r="O365" i="25"/>
  <c r="N365" i="25"/>
  <c r="L365" i="25"/>
  <c r="K365" i="25"/>
  <c r="O364" i="25"/>
  <c r="Q364" i="25" s="1"/>
  <c r="N364" i="25"/>
  <c r="L364" i="25"/>
  <c r="K364" i="25"/>
  <c r="O363" i="25"/>
  <c r="Q363" i="25" s="1"/>
  <c r="N363" i="25"/>
  <c r="L363" i="25"/>
  <c r="K363" i="25"/>
  <c r="O362" i="25"/>
  <c r="L362" i="25" s="1"/>
  <c r="N362" i="25"/>
  <c r="K362" i="25"/>
  <c r="O361" i="25"/>
  <c r="L361" i="25" s="1"/>
  <c r="N361" i="25"/>
  <c r="K361" i="25"/>
  <c r="Q360" i="25"/>
  <c r="O360" i="25"/>
  <c r="N360" i="25"/>
  <c r="L360" i="25"/>
  <c r="K360" i="25"/>
  <c r="O359" i="25"/>
  <c r="N359" i="25"/>
  <c r="K359" i="25"/>
  <c r="Q358" i="25"/>
  <c r="O358" i="25"/>
  <c r="L358" i="25" s="1"/>
  <c r="N358" i="25"/>
  <c r="K358" i="25"/>
  <c r="Q357" i="25"/>
  <c r="O357" i="25"/>
  <c r="N357" i="25"/>
  <c r="L357" i="25"/>
  <c r="K357" i="25"/>
  <c r="O356" i="25"/>
  <c r="N356" i="25"/>
  <c r="K356" i="25"/>
  <c r="O355" i="25"/>
  <c r="N355" i="25"/>
  <c r="K355" i="25"/>
  <c r="O354" i="25"/>
  <c r="L354" i="25" s="1"/>
  <c r="N354" i="25"/>
  <c r="K354" i="25"/>
  <c r="O353" i="25"/>
  <c r="L353" i="25" s="1"/>
  <c r="N353" i="25"/>
  <c r="K353" i="25"/>
  <c r="Q352" i="25"/>
  <c r="O352" i="25"/>
  <c r="N352" i="25"/>
  <c r="L352" i="25"/>
  <c r="K352" i="25"/>
  <c r="O351" i="25"/>
  <c r="N351" i="25"/>
  <c r="K351" i="25"/>
  <c r="Q350" i="25"/>
  <c r="O350" i="25"/>
  <c r="L350" i="25" s="1"/>
  <c r="N350" i="25"/>
  <c r="K350" i="25"/>
  <c r="Q349" i="25"/>
  <c r="O349" i="25"/>
  <c r="N349" i="25"/>
  <c r="L349" i="25"/>
  <c r="K349" i="25"/>
  <c r="O348" i="25"/>
  <c r="N348" i="25"/>
  <c r="K348" i="25"/>
  <c r="O347" i="25"/>
  <c r="N347" i="25"/>
  <c r="K347" i="25"/>
  <c r="O346" i="25"/>
  <c r="L346" i="25" s="1"/>
  <c r="N346" i="25"/>
  <c r="K346" i="25"/>
  <c r="O345" i="25"/>
  <c r="L345" i="25" s="1"/>
  <c r="N345" i="25"/>
  <c r="K345" i="25"/>
  <c r="Q344" i="25"/>
  <c r="O344" i="25"/>
  <c r="N344" i="25"/>
  <c r="L344" i="25"/>
  <c r="K344" i="25"/>
  <c r="O343" i="25"/>
  <c r="N343" i="25"/>
  <c r="K343" i="25"/>
  <c r="Q342" i="25"/>
  <c r="O342" i="25"/>
  <c r="L342" i="25" s="1"/>
  <c r="N342" i="25"/>
  <c r="K342" i="25"/>
  <c r="H342" i="25"/>
  <c r="O341" i="25"/>
  <c r="Q341" i="25" s="1"/>
  <c r="N341" i="25"/>
  <c r="L341" i="25"/>
  <c r="K341" i="25"/>
  <c r="O340" i="25"/>
  <c r="Q340" i="25" s="1"/>
  <c r="N340" i="25"/>
  <c r="L340" i="25"/>
  <c r="K340" i="25"/>
  <c r="O339" i="25"/>
  <c r="L339" i="25" s="1"/>
  <c r="N339" i="25"/>
  <c r="K339" i="25"/>
  <c r="O338" i="25"/>
  <c r="L338" i="25" s="1"/>
  <c r="N338" i="25"/>
  <c r="K338" i="25"/>
  <c r="Q337" i="25"/>
  <c r="O337" i="25"/>
  <c r="N337" i="25"/>
  <c r="L337" i="25"/>
  <c r="K337" i="25"/>
  <c r="O336" i="25"/>
  <c r="N336" i="25"/>
  <c r="K336" i="25"/>
  <c r="Q335" i="25"/>
  <c r="O335" i="25"/>
  <c r="L335" i="25" s="1"/>
  <c r="N335" i="25"/>
  <c r="K335" i="25"/>
  <c r="Q334" i="25"/>
  <c r="O334" i="25"/>
  <c r="N334" i="25"/>
  <c r="L334" i="25"/>
  <c r="K334" i="25"/>
  <c r="O333" i="25"/>
  <c r="Q333" i="25" s="1"/>
  <c r="N333" i="25"/>
  <c r="L333" i="25"/>
  <c r="K333" i="25"/>
  <c r="O332" i="25"/>
  <c r="Q332" i="25" s="1"/>
  <c r="N332" i="25"/>
  <c r="L332" i="25"/>
  <c r="K332" i="25"/>
  <c r="O331" i="25"/>
  <c r="L331" i="25" s="1"/>
  <c r="N331" i="25"/>
  <c r="K331" i="25"/>
  <c r="O330" i="25"/>
  <c r="L330" i="25" s="1"/>
  <c r="N330" i="25"/>
  <c r="K330" i="25"/>
  <c r="Q329" i="25"/>
  <c r="O329" i="25"/>
  <c r="L329" i="25" s="1"/>
  <c r="N329" i="25"/>
  <c r="K329" i="25"/>
  <c r="O328" i="25"/>
  <c r="N328" i="25"/>
  <c r="K328" i="25"/>
  <c r="O327" i="25"/>
  <c r="L327" i="25" s="1"/>
  <c r="N327" i="25"/>
  <c r="K327" i="25"/>
  <c r="O326" i="25"/>
  <c r="L326" i="25" s="1"/>
  <c r="N326" i="25"/>
  <c r="K326" i="25"/>
  <c r="H326" i="25"/>
  <c r="O325" i="25"/>
  <c r="Q325" i="25" s="1"/>
  <c r="N325" i="25"/>
  <c r="L325" i="25"/>
  <c r="K325" i="25"/>
  <c r="O324" i="25"/>
  <c r="L324" i="25" s="1"/>
  <c r="N324" i="25"/>
  <c r="K324" i="25"/>
  <c r="O323" i="25"/>
  <c r="L323" i="25" s="1"/>
  <c r="N323" i="25"/>
  <c r="K323" i="25"/>
  <c r="O322" i="25"/>
  <c r="L322" i="25" s="1"/>
  <c r="N322" i="25"/>
  <c r="K322" i="25"/>
  <c r="O321" i="25"/>
  <c r="N321" i="25"/>
  <c r="K321" i="25"/>
  <c r="Q320" i="25"/>
  <c r="O320" i="25"/>
  <c r="L320" i="25" s="1"/>
  <c r="N320" i="25"/>
  <c r="K320" i="25"/>
  <c r="Q319" i="25"/>
  <c r="O319" i="25"/>
  <c r="L319" i="25" s="1"/>
  <c r="N319" i="25"/>
  <c r="K319" i="25"/>
  <c r="Q318" i="25"/>
  <c r="O318" i="25"/>
  <c r="N318" i="25"/>
  <c r="L318" i="25"/>
  <c r="K318" i="25"/>
  <c r="O317" i="25"/>
  <c r="Q317" i="25" s="1"/>
  <c r="N317" i="25"/>
  <c r="L317" i="25"/>
  <c r="K317" i="25"/>
  <c r="O316" i="25"/>
  <c r="L316" i="25" s="1"/>
  <c r="N316" i="25"/>
  <c r="K316" i="25"/>
  <c r="O315" i="25"/>
  <c r="L315" i="25" s="1"/>
  <c r="N315" i="25"/>
  <c r="K315" i="25"/>
  <c r="Q314" i="25"/>
  <c r="O314" i="25"/>
  <c r="L314" i="25" s="1"/>
  <c r="N314" i="25"/>
  <c r="K314" i="25"/>
  <c r="O313" i="25"/>
  <c r="N313" i="25"/>
  <c r="K313" i="25"/>
  <c r="O312" i="25"/>
  <c r="L312" i="25" s="1"/>
  <c r="N312" i="25"/>
  <c r="K312" i="25"/>
  <c r="O311" i="25"/>
  <c r="L311" i="25" s="1"/>
  <c r="N311" i="25"/>
  <c r="K311" i="25"/>
  <c r="Q310" i="25"/>
  <c r="O310" i="25"/>
  <c r="N310" i="25"/>
  <c r="L310" i="25"/>
  <c r="K310" i="25"/>
  <c r="O309" i="25"/>
  <c r="Q309" i="25" s="1"/>
  <c r="N309" i="25"/>
  <c r="L309" i="25"/>
  <c r="K309" i="25"/>
  <c r="O308" i="25"/>
  <c r="L308" i="25" s="1"/>
  <c r="N308" i="25"/>
  <c r="K308" i="25"/>
  <c r="O307" i="25"/>
  <c r="L307" i="25" s="1"/>
  <c r="N307" i="25"/>
  <c r="K307" i="25"/>
  <c r="O306" i="25"/>
  <c r="L306" i="25" s="1"/>
  <c r="N306" i="25"/>
  <c r="K306" i="25"/>
  <c r="O305" i="25"/>
  <c r="N305" i="25"/>
  <c r="K305" i="25"/>
  <c r="Q304" i="25"/>
  <c r="O304" i="25"/>
  <c r="L304" i="25" s="1"/>
  <c r="N304" i="25"/>
  <c r="K304" i="25"/>
  <c r="Q303" i="25"/>
  <c r="O303" i="25"/>
  <c r="L303" i="25" s="1"/>
  <c r="N303" i="25"/>
  <c r="K303" i="25"/>
  <c r="Q302" i="25"/>
  <c r="O302" i="25"/>
  <c r="N302" i="25"/>
  <c r="L302" i="25"/>
  <c r="K302" i="25"/>
  <c r="O301" i="25"/>
  <c r="Q301" i="25" s="1"/>
  <c r="N301" i="25"/>
  <c r="L301" i="25"/>
  <c r="K301" i="25"/>
  <c r="O300" i="25"/>
  <c r="L300" i="25" s="1"/>
  <c r="N300" i="25"/>
  <c r="K300" i="25"/>
  <c r="O299" i="25"/>
  <c r="L299" i="25" s="1"/>
  <c r="N299" i="25"/>
  <c r="K299" i="25"/>
  <c r="Q298" i="25"/>
  <c r="O298" i="25"/>
  <c r="L298" i="25" s="1"/>
  <c r="N298" i="25"/>
  <c r="K298" i="25"/>
  <c r="O297" i="25"/>
  <c r="N297" i="25"/>
  <c r="K297" i="25"/>
  <c r="O296" i="25"/>
  <c r="L296" i="25" s="1"/>
  <c r="N296" i="25"/>
  <c r="K296" i="25"/>
  <c r="O295" i="25"/>
  <c r="L295" i="25" s="1"/>
  <c r="N295" i="25"/>
  <c r="K295" i="25"/>
  <c r="Q294" i="25"/>
  <c r="O294" i="25"/>
  <c r="N294" i="25"/>
  <c r="L294" i="25"/>
  <c r="K294" i="25"/>
  <c r="O293" i="25"/>
  <c r="Q293" i="25" s="1"/>
  <c r="N293" i="25"/>
  <c r="L293" i="25"/>
  <c r="K293" i="25"/>
  <c r="O292" i="25"/>
  <c r="L292" i="25" s="1"/>
  <c r="N292" i="25"/>
  <c r="K292" i="25"/>
  <c r="O291" i="25"/>
  <c r="L291" i="25" s="1"/>
  <c r="N291" i="25"/>
  <c r="K291" i="25"/>
  <c r="O290" i="25"/>
  <c r="L290" i="25" s="1"/>
  <c r="N290" i="25"/>
  <c r="K290" i="25"/>
  <c r="H290" i="25"/>
  <c r="O289" i="25"/>
  <c r="L289" i="25" s="1"/>
  <c r="N289" i="25"/>
  <c r="K289" i="25"/>
  <c r="O288" i="25"/>
  <c r="N288" i="25"/>
  <c r="K288" i="25"/>
  <c r="Q287" i="25"/>
  <c r="O287" i="25"/>
  <c r="N287" i="25"/>
  <c r="L287" i="25"/>
  <c r="K287" i="25"/>
  <c r="O286" i="25"/>
  <c r="Q286" i="25" s="1"/>
  <c r="N286" i="25"/>
  <c r="K286" i="25"/>
  <c r="O285" i="25"/>
  <c r="N285" i="25"/>
  <c r="K285" i="25"/>
  <c r="O284" i="25"/>
  <c r="N284" i="25"/>
  <c r="K284" i="25"/>
  <c r="O283" i="25"/>
  <c r="N283" i="25"/>
  <c r="K283" i="25"/>
  <c r="O282" i="25"/>
  <c r="Q282" i="25" s="1"/>
  <c r="N282" i="25"/>
  <c r="K282" i="25"/>
  <c r="O281" i="25"/>
  <c r="L281" i="25" s="1"/>
  <c r="N281" i="25"/>
  <c r="K281" i="25"/>
  <c r="O280" i="25"/>
  <c r="Q280" i="25" s="1"/>
  <c r="N280" i="25"/>
  <c r="K280" i="25"/>
  <c r="O279" i="25"/>
  <c r="L279" i="25" s="1"/>
  <c r="N279" i="25"/>
  <c r="K279" i="25"/>
  <c r="O278" i="25"/>
  <c r="Q278" i="25" s="1"/>
  <c r="N278" i="25"/>
  <c r="K278" i="25"/>
  <c r="O277" i="25"/>
  <c r="N277" i="25"/>
  <c r="K277" i="25"/>
  <c r="O276" i="25"/>
  <c r="N276" i="25"/>
  <c r="K276" i="25"/>
  <c r="Q275" i="25"/>
  <c r="O275" i="25"/>
  <c r="N275" i="25"/>
  <c r="L275" i="25"/>
  <c r="K275" i="25"/>
  <c r="O274" i="25"/>
  <c r="Q274" i="25" s="1"/>
  <c r="N274" i="25"/>
  <c r="L274" i="25"/>
  <c r="K274" i="25"/>
  <c r="O273" i="25"/>
  <c r="L273" i="25" s="1"/>
  <c r="N273" i="25"/>
  <c r="K273" i="25"/>
  <c r="O272" i="25"/>
  <c r="N272" i="25"/>
  <c r="K272" i="25"/>
  <c r="Q271" i="25"/>
  <c r="O271" i="25"/>
  <c r="N271" i="25"/>
  <c r="L271" i="25"/>
  <c r="K271" i="25"/>
  <c r="O270" i="25"/>
  <c r="Q270" i="25" s="1"/>
  <c r="N270" i="25"/>
  <c r="K270" i="25"/>
  <c r="O269" i="25"/>
  <c r="N269" i="25"/>
  <c r="K269" i="25"/>
  <c r="O268" i="25"/>
  <c r="N268" i="25"/>
  <c r="K268" i="25"/>
  <c r="O267" i="25"/>
  <c r="N267" i="25"/>
  <c r="K267" i="25"/>
  <c r="O266" i="25"/>
  <c r="Q266" i="25" s="1"/>
  <c r="N266" i="25"/>
  <c r="K266" i="25"/>
  <c r="O265" i="25"/>
  <c r="L265" i="25" s="1"/>
  <c r="N265" i="25"/>
  <c r="K265" i="25"/>
  <c r="O264" i="25"/>
  <c r="Q264" i="25" s="1"/>
  <c r="N264" i="25"/>
  <c r="K264" i="25"/>
  <c r="Q263" i="25"/>
  <c r="O263" i="25"/>
  <c r="L263" i="25" s="1"/>
  <c r="N263" i="25"/>
  <c r="K263" i="25"/>
  <c r="O262" i="25"/>
  <c r="Q262" i="25" s="1"/>
  <c r="N262" i="25"/>
  <c r="K262" i="25"/>
  <c r="O261" i="25"/>
  <c r="N261" i="25"/>
  <c r="K261" i="25"/>
  <c r="O260" i="25"/>
  <c r="N260" i="25"/>
  <c r="K260" i="25"/>
  <c r="Q259" i="25"/>
  <c r="O259" i="25"/>
  <c r="N259" i="25"/>
  <c r="L259" i="25"/>
  <c r="K259" i="25"/>
  <c r="O258" i="25"/>
  <c r="Q258" i="25" s="1"/>
  <c r="N258" i="25"/>
  <c r="L258" i="25"/>
  <c r="K258" i="25"/>
  <c r="O257" i="25"/>
  <c r="L257" i="25" s="1"/>
  <c r="N257" i="25"/>
  <c r="K257" i="25"/>
  <c r="O256" i="25"/>
  <c r="N256" i="25"/>
  <c r="K256" i="25"/>
  <c r="Q255" i="25"/>
  <c r="O255" i="25"/>
  <c r="N255" i="25"/>
  <c r="L255" i="25"/>
  <c r="K255" i="25"/>
  <c r="H255" i="25"/>
  <c r="O254" i="25"/>
  <c r="N254" i="25"/>
  <c r="K254" i="25"/>
  <c r="O253" i="25"/>
  <c r="N253" i="25"/>
  <c r="K253" i="25"/>
  <c r="O252" i="25"/>
  <c r="N252" i="25"/>
  <c r="K252" i="25"/>
  <c r="O251" i="25"/>
  <c r="N251" i="25"/>
  <c r="K251" i="25"/>
  <c r="O250" i="25"/>
  <c r="L250" i="25" s="1"/>
  <c r="N250" i="25"/>
  <c r="K250" i="25"/>
  <c r="O249" i="25"/>
  <c r="L249" i="25" s="1"/>
  <c r="N249" i="25"/>
  <c r="K249" i="25"/>
  <c r="O248" i="25"/>
  <c r="L248" i="25" s="1"/>
  <c r="N248" i="25"/>
  <c r="K248" i="25"/>
  <c r="O247" i="25"/>
  <c r="N247" i="25"/>
  <c r="K247" i="25"/>
  <c r="Q246" i="25"/>
  <c r="O246" i="25"/>
  <c r="L246" i="25" s="1"/>
  <c r="N246" i="25"/>
  <c r="K246" i="25"/>
  <c r="Q245" i="25"/>
  <c r="O245" i="25"/>
  <c r="L245" i="25" s="1"/>
  <c r="N245" i="25"/>
  <c r="K245" i="25"/>
  <c r="Q244" i="25"/>
  <c r="O244" i="25"/>
  <c r="N244" i="25"/>
  <c r="L244" i="25"/>
  <c r="K244" i="25"/>
  <c r="O243" i="25"/>
  <c r="Q243" i="25" s="1"/>
  <c r="N243" i="25"/>
  <c r="L243" i="25"/>
  <c r="K243" i="25"/>
  <c r="O242" i="25"/>
  <c r="L242" i="25" s="1"/>
  <c r="N242" i="25"/>
  <c r="K242" i="25"/>
  <c r="O241" i="25"/>
  <c r="L241" i="25" s="1"/>
  <c r="N241" i="25"/>
  <c r="K241" i="25"/>
  <c r="O240" i="25"/>
  <c r="L240" i="25" s="1"/>
  <c r="N240" i="25"/>
  <c r="K240" i="25"/>
  <c r="O239" i="25"/>
  <c r="N239" i="25"/>
  <c r="K239" i="25"/>
  <c r="O238" i="25"/>
  <c r="N238" i="25"/>
  <c r="K238" i="25"/>
  <c r="O237" i="25"/>
  <c r="N237" i="25"/>
  <c r="K237" i="25"/>
  <c r="O236" i="25"/>
  <c r="N236" i="25"/>
  <c r="K236" i="25"/>
  <c r="O235" i="25"/>
  <c r="N235" i="25"/>
  <c r="K235" i="25"/>
  <c r="H235" i="25"/>
  <c r="O234" i="25"/>
  <c r="N234" i="25"/>
  <c r="K234" i="25"/>
  <c r="Q233" i="25"/>
  <c r="O233" i="25"/>
  <c r="L233" i="25" s="1"/>
  <c r="N233" i="25"/>
  <c r="K233" i="25"/>
  <c r="O232" i="25"/>
  <c r="N232" i="25"/>
  <c r="K232" i="25"/>
  <c r="O231" i="25"/>
  <c r="L231" i="25" s="1"/>
  <c r="N231" i="25"/>
  <c r="K231" i="25"/>
  <c r="O230" i="25"/>
  <c r="N230" i="25"/>
  <c r="K230" i="25"/>
  <c r="O229" i="25"/>
  <c r="L229" i="25" s="1"/>
  <c r="N229" i="25"/>
  <c r="K229" i="25"/>
  <c r="O228" i="25"/>
  <c r="Q228" i="25" s="1"/>
  <c r="N228" i="25"/>
  <c r="K228" i="25"/>
  <c r="O227" i="25"/>
  <c r="N227" i="25"/>
  <c r="K227" i="25"/>
  <c r="O226" i="25"/>
  <c r="N226" i="25"/>
  <c r="K226" i="25"/>
  <c r="O225" i="25"/>
  <c r="L225" i="25" s="1"/>
  <c r="N225" i="25"/>
  <c r="K225" i="25"/>
  <c r="O224" i="25"/>
  <c r="Q224" i="25" s="1"/>
  <c r="N224" i="25"/>
  <c r="K224" i="25"/>
  <c r="O223" i="25"/>
  <c r="L223" i="25" s="1"/>
  <c r="N223" i="25"/>
  <c r="K223" i="25"/>
  <c r="O222" i="25"/>
  <c r="Q222" i="25" s="1"/>
  <c r="N222" i="25"/>
  <c r="K222" i="25"/>
  <c r="O221" i="25"/>
  <c r="N221" i="25"/>
  <c r="K221" i="25"/>
  <c r="O220" i="25"/>
  <c r="Q220" i="25" s="1"/>
  <c r="N220" i="25"/>
  <c r="K220" i="25"/>
  <c r="O219" i="25"/>
  <c r="N219" i="25"/>
  <c r="K219" i="25"/>
  <c r="O218" i="25"/>
  <c r="N218" i="25"/>
  <c r="K218" i="25"/>
  <c r="O217" i="25"/>
  <c r="L217" i="25" s="1"/>
  <c r="N217" i="25"/>
  <c r="K217" i="25"/>
  <c r="O216" i="25"/>
  <c r="N216" i="25"/>
  <c r="K216" i="25"/>
  <c r="O215" i="25"/>
  <c r="L215" i="25" s="1"/>
  <c r="N215" i="25"/>
  <c r="K215" i="25"/>
  <c r="O214" i="25"/>
  <c r="N214" i="25"/>
  <c r="K214" i="25"/>
  <c r="Q213" i="25"/>
  <c r="O213" i="25"/>
  <c r="L213" i="25" s="1"/>
  <c r="N213" i="25"/>
  <c r="K213" i="25"/>
  <c r="O212" i="25"/>
  <c r="Q212" i="25" s="1"/>
  <c r="N212" i="25"/>
  <c r="K212" i="25"/>
  <c r="O211" i="25"/>
  <c r="N211" i="25"/>
  <c r="K211" i="25"/>
  <c r="O210" i="25"/>
  <c r="N210" i="25"/>
  <c r="K210" i="25"/>
  <c r="O209" i="25"/>
  <c r="L209" i="25" s="1"/>
  <c r="N209" i="25"/>
  <c r="K209" i="25"/>
  <c r="O208" i="25"/>
  <c r="Q208" i="25" s="1"/>
  <c r="N208" i="25"/>
  <c r="K208" i="25"/>
  <c r="O207" i="25"/>
  <c r="L207" i="25" s="1"/>
  <c r="N207" i="25"/>
  <c r="K207" i="25"/>
  <c r="O206" i="25"/>
  <c r="Q206" i="25" s="1"/>
  <c r="N206" i="25"/>
  <c r="K206" i="25"/>
  <c r="O205" i="25"/>
  <c r="N205" i="25"/>
  <c r="K205" i="25"/>
  <c r="O204" i="25"/>
  <c r="Q204" i="25" s="1"/>
  <c r="N204" i="25"/>
  <c r="K204" i="25"/>
  <c r="O203" i="25"/>
  <c r="N203" i="25"/>
  <c r="K203" i="25"/>
  <c r="O202" i="25"/>
  <c r="L202" i="25" s="1"/>
  <c r="N202" i="25"/>
  <c r="K202" i="25"/>
  <c r="O201" i="25"/>
  <c r="Q201" i="25" s="1"/>
  <c r="N201" i="25"/>
  <c r="K201" i="25"/>
  <c r="O200" i="25"/>
  <c r="L200" i="25" s="1"/>
  <c r="N200" i="25"/>
  <c r="K200" i="25"/>
  <c r="O199" i="25"/>
  <c r="N199" i="25"/>
  <c r="K199" i="25"/>
  <c r="Q198" i="25"/>
  <c r="O198" i="25"/>
  <c r="N198" i="25"/>
  <c r="L198" i="25"/>
  <c r="K198" i="25"/>
  <c r="O197" i="25"/>
  <c r="Q197" i="25" s="1"/>
  <c r="N197" i="25"/>
  <c r="L197" i="25"/>
  <c r="K197" i="25"/>
  <c r="O196" i="25"/>
  <c r="L196" i="25" s="1"/>
  <c r="N196" i="25"/>
  <c r="K196" i="25"/>
  <c r="O195" i="25"/>
  <c r="N195" i="25"/>
  <c r="K195" i="25"/>
  <c r="Q194" i="25"/>
  <c r="O194" i="25"/>
  <c r="L194" i="25" s="1"/>
  <c r="N194" i="25"/>
  <c r="K194" i="25"/>
  <c r="O193" i="25"/>
  <c r="N193" i="25"/>
  <c r="K193" i="25"/>
  <c r="O192" i="25"/>
  <c r="L192" i="25" s="1"/>
  <c r="N192" i="25"/>
  <c r="K192" i="25"/>
  <c r="H192" i="25"/>
  <c r="Q191" i="25"/>
  <c r="O191" i="25"/>
  <c r="N191" i="25"/>
  <c r="L191" i="25"/>
  <c r="K191" i="25"/>
  <c r="O190" i="25"/>
  <c r="Q190" i="25" s="1"/>
  <c r="N190" i="25"/>
  <c r="L190" i="25"/>
  <c r="K190" i="25"/>
  <c r="O189" i="25"/>
  <c r="L189" i="25" s="1"/>
  <c r="N189" i="25"/>
  <c r="K189" i="25"/>
  <c r="O188" i="25"/>
  <c r="N188" i="25"/>
  <c r="K188" i="25"/>
  <c r="O187" i="25"/>
  <c r="L187" i="25" s="1"/>
  <c r="N187" i="25"/>
  <c r="K187" i="25"/>
  <c r="O186" i="25"/>
  <c r="N186" i="25"/>
  <c r="K186" i="25"/>
  <c r="O185" i="25"/>
  <c r="L185" i="25" s="1"/>
  <c r="N185" i="25"/>
  <c r="K185" i="25"/>
  <c r="O184" i="25"/>
  <c r="N184" i="25"/>
  <c r="K184" i="25"/>
  <c r="O183" i="25"/>
  <c r="N183" i="25"/>
  <c r="K183" i="25"/>
  <c r="O182" i="25"/>
  <c r="Q182" i="25" s="1"/>
  <c r="N182" i="25"/>
  <c r="K182" i="25"/>
  <c r="O181" i="25"/>
  <c r="L181" i="25" s="1"/>
  <c r="N181" i="25"/>
  <c r="K181" i="25"/>
  <c r="O180" i="25"/>
  <c r="N180" i="25"/>
  <c r="K180" i="25"/>
  <c r="O179" i="25"/>
  <c r="L179" i="25" s="1"/>
  <c r="N179" i="25"/>
  <c r="K179" i="25"/>
  <c r="O178" i="25"/>
  <c r="Q178" i="25" s="1"/>
  <c r="N178" i="25"/>
  <c r="K178" i="25"/>
  <c r="O177" i="25"/>
  <c r="L177" i="25" s="1"/>
  <c r="N177" i="25"/>
  <c r="K177" i="25"/>
  <c r="O176" i="25"/>
  <c r="N176" i="25"/>
  <c r="K176" i="25"/>
  <c r="Q175" i="25"/>
  <c r="O175" i="25"/>
  <c r="L175" i="25" s="1"/>
  <c r="N175" i="25"/>
  <c r="K175" i="25"/>
  <c r="O174" i="25"/>
  <c r="N174" i="25"/>
  <c r="K174" i="25"/>
  <c r="H174" i="25"/>
  <c r="O173" i="25"/>
  <c r="N173" i="25"/>
  <c r="K173" i="25"/>
  <c r="O172" i="25"/>
  <c r="L172" i="25" s="1"/>
  <c r="N172" i="25"/>
  <c r="K172" i="25"/>
  <c r="O171" i="25"/>
  <c r="Q171" i="25" s="1"/>
  <c r="N171" i="25"/>
  <c r="K171" i="25"/>
  <c r="O170" i="25"/>
  <c r="L170" i="25" s="1"/>
  <c r="N170" i="25"/>
  <c r="K170" i="25"/>
  <c r="O169" i="25"/>
  <c r="N169" i="25"/>
  <c r="K169" i="25"/>
  <c r="Q168" i="25"/>
  <c r="O168" i="25"/>
  <c r="N168" i="25"/>
  <c r="L168" i="25"/>
  <c r="K168" i="25"/>
  <c r="O167" i="25"/>
  <c r="Q167" i="25" s="1"/>
  <c r="N167" i="25"/>
  <c r="L167" i="25"/>
  <c r="K167" i="25"/>
  <c r="O166" i="25"/>
  <c r="L166" i="25" s="1"/>
  <c r="N166" i="25"/>
  <c r="K166" i="25"/>
  <c r="O165" i="25"/>
  <c r="N165" i="25"/>
  <c r="K165" i="25"/>
  <c r="O164" i="25"/>
  <c r="L164" i="25" s="1"/>
  <c r="N164" i="25"/>
  <c r="K164" i="25"/>
  <c r="O163" i="25"/>
  <c r="N163" i="25"/>
  <c r="K163" i="25"/>
  <c r="O162" i="25"/>
  <c r="L162" i="25" s="1"/>
  <c r="N162" i="25"/>
  <c r="K162" i="25"/>
  <c r="H162" i="25"/>
  <c r="Q161" i="25"/>
  <c r="O161" i="25"/>
  <c r="N161" i="25"/>
  <c r="L161" i="25"/>
  <c r="K161" i="25"/>
  <c r="O160" i="25"/>
  <c r="Q160" i="25" s="1"/>
  <c r="N160" i="25"/>
  <c r="L160" i="25"/>
  <c r="K160" i="25"/>
  <c r="O159" i="25"/>
  <c r="L159" i="25" s="1"/>
  <c r="N159" i="25"/>
  <c r="K159" i="25"/>
  <c r="O158" i="25"/>
  <c r="N158" i="25"/>
  <c r="K158" i="25"/>
  <c r="Q157" i="25"/>
  <c r="O157" i="25"/>
  <c r="L157" i="25" s="1"/>
  <c r="N157" i="25"/>
  <c r="K157" i="25"/>
  <c r="O156" i="25"/>
  <c r="N156" i="25"/>
  <c r="K156" i="25"/>
  <c r="O155" i="25"/>
  <c r="L155" i="25" s="1"/>
  <c r="N155" i="25"/>
  <c r="K155" i="25"/>
  <c r="O154" i="25"/>
  <c r="N154" i="25"/>
  <c r="K154" i="25"/>
  <c r="O153" i="25"/>
  <c r="N153" i="25"/>
  <c r="K153" i="25"/>
  <c r="O152" i="25"/>
  <c r="Q152" i="25" s="1"/>
  <c r="N152" i="25"/>
  <c r="K152" i="25"/>
  <c r="O151" i="25"/>
  <c r="L151" i="25" s="1"/>
  <c r="N151" i="25"/>
  <c r="K151" i="25"/>
  <c r="H151" i="25"/>
  <c r="O150" i="25"/>
  <c r="Q150" i="25" s="1"/>
  <c r="N150" i="25"/>
  <c r="L150" i="25"/>
  <c r="K150" i="25"/>
  <c r="O149" i="25"/>
  <c r="Q149" i="25" s="1"/>
  <c r="N149" i="25"/>
  <c r="L149" i="25"/>
  <c r="K149" i="25"/>
  <c r="O148" i="25"/>
  <c r="L148" i="25" s="1"/>
  <c r="N148" i="25"/>
  <c r="K148" i="25"/>
  <c r="O147" i="25"/>
  <c r="N147" i="25"/>
  <c r="K147" i="25"/>
  <c r="H147" i="25"/>
  <c r="O146" i="25"/>
  <c r="Q146" i="25" s="1"/>
  <c r="N146" i="25"/>
  <c r="K146" i="25"/>
  <c r="O145" i="25"/>
  <c r="L145" i="25" s="1"/>
  <c r="N145" i="25"/>
  <c r="K145" i="25"/>
  <c r="O144" i="25"/>
  <c r="N144" i="25"/>
  <c r="K144" i="25"/>
  <c r="O143" i="25"/>
  <c r="L143" i="25" s="1"/>
  <c r="N143" i="25"/>
  <c r="K143" i="25"/>
  <c r="O142" i="25"/>
  <c r="Q142" i="25" s="1"/>
  <c r="N142" i="25"/>
  <c r="K142" i="25"/>
  <c r="O141" i="25"/>
  <c r="L141" i="25" s="1"/>
  <c r="N141" i="25"/>
  <c r="K141" i="25"/>
  <c r="O140" i="25"/>
  <c r="N140" i="25"/>
  <c r="K140" i="25"/>
  <c r="H140" i="25"/>
  <c r="O139" i="25"/>
  <c r="N139" i="25"/>
  <c r="K139" i="25"/>
  <c r="O138" i="25"/>
  <c r="L138" i="25" s="1"/>
  <c r="N138" i="25"/>
  <c r="K138" i="25"/>
  <c r="O137" i="25"/>
  <c r="N137" i="25"/>
  <c r="K137" i="25"/>
  <c r="H137" i="25"/>
  <c r="O136" i="25"/>
  <c r="Q136" i="25" s="1"/>
  <c r="N136" i="25"/>
  <c r="L136" i="25"/>
  <c r="K136" i="25"/>
  <c r="O135" i="25"/>
  <c r="L135" i="25" s="1"/>
  <c r="N135" i="25"/>
  <c r="K135" i="25"/>
  <c r="O134" i="25"/>
  <c r="N134" i="25"/>
  <c r="K134" i="25"/>
  <c r="Q133" i="25"/>
  <c r="O133" i="25"/>
  <c r="L133" i="25" s="1"/>
  <c r="N133" i="25"/>
  <c r="K133" i="25"/>
  <c r="O132" i="25"/>
  <c r="Q132" i="25" s="1"/>
  <c r="N132" i="25"/>
  <c r="K132" i="25"/>
  <c r="O131" i="25"/>
  <c r="L131" i="25" s="1"/>
  <c r="N131" i="25"/>
  <c r="K131" i="25"/>
  <c r="O130" i="25"/>
  <c r="N130" i="25"/>
  <c r="K130" i="25"/>
  <c r="O129" i="25"/>
  <c r="L129" i="25" s="1"/>
  <c r="N129" i="25"/>
  <c r="K129" i="25"/>
  <c r="H129" i="25"/>
  <c r="O128" i="25"/>
  <c r="L128" i="25" s="1"/>
  <c r="N128" i="25"/>
  <c r="K128" i="25"/>
  <c r="O127" i="25"/>
  <c r="N127" i="25"/>
  <c r="K127" i="25"/>
  <c r="O126" i="25"/>
  <c r="L126" i="25" s="1"/>
  <c r="N126" i="25"/>
  <c r="K126" i="25"/>
  <c r="O125" i="25"/>
  <c r="Q125" i="25" s="1"/>
  <c r="N125" i="25"/>
  <c r="K125" i="25"/>
  <c r="O124" i="25"/>
  <c r="L124" i="25" s="1"/>
  <c r="N124" i="25"/>
  <c r="K124" i="25"/>
  <c r="O123" i="25"/>
  <c r="N123" i="25"/>
  <c r="K123" i="25"/>
  <c r="O122" i="25"/>
  <c r="L122" i="25" s="1"/>
  <c r="N122" i="25"/>
  <c r="K122" i="25"/>
  <c r="O121" i="25"/>
  <c r="N121" i="25"/>
  <c r="K121" i="25"/>
  <c r="O120" i="25"/>
  <c r="L120" i="25" s="1"/>
  <c r="N120" i="25"/>
  <c r="K120" i="25"/>
  <c r="O119" i="25"/>
  <c r="N119" i="25"/>
  <c r="K119" i="25"/>
  <c r="Q118" i="25"/>
  <c r="O118" i="25"/>
  <c r="L118" i="25" s="1"/>
  <c r="N118" i="25"/>
  <c r="K118" i="25"/>
  <c r="O117" i="25"/>
  <c r="N117" i="25"/>
  <c r="K117" i="25"/>
  <c r="O116" i="25"/>
  <c r="L116" i="25" s="1"/>
  <c r="N116" i="25"/>
  <c r="K116" i="25"/>
  <c r="O115" i="25"/>
  <c r="N115" i="25"/>
  <c r="K115" i="25"/>
  <c r="H115" i="25"/>
  <c r="O114" i="25"/>
  <c r="Q114" i="25" s="1"/>
  <c r="N114" i="25"/>
  <c r="K114" i="25"/>
  <c r="O113" i="25"/>
  <c r="L113" i="25" s="1"/>
  <c r="N113" i="25"/>
  <c r="K113" i="25"/>
  <c r="O112" i="25"/>
  <c r="N112" i="25"/>
  <c r="K112" i="25"/>
  <c r="O111" i="25"/>
  <c r="L111" i="25" s="1"/>
  <c r="N111" i="25"/>
  <c r="K111" i="25"/>
  <c r="H111" i="25"/>
  <c r="O110" i="25"/>
  <c r="L110" i="25" s="1"/>
  <c r="N110" i="25"/>
  <c r="K110" i="25"/>
  <c r="O109" i="25"/>
  <c r="N109" i="25"/>
  <c r="K109" i="25"/>
  <c r="H109" i="25"/>
  <c r="O108" i="25"/>
  <c r="Q108" i="25" s="1"/>
  <c r="N108" i="25"/>
  <c r="K108" i="25"/>
  <c r="O107" i="25"/>
  <c r="L107" i="25" s="1"/>
  <c r="N107" i="25"/>
  <c r="K107" i="25"/>
  <c r="O106" i="25"/>
  <c r="N106" i="25"/>
  <c r="K106" i="25"/>
  <c r="O105" i="25"/>
  <c r="L105" i="25" s="1"/>
  <c r="N105" i="25"/>
  <c r="K105" i="25"/>
  <c r="O104" i="25"/>
  <c r="Q104" i="25" s="1"/>
  <c r="N104" i="25"/>
  <c r="K104" i="25"/>
  <c r="O103" i="25"/>
  <c r="L103" i="25" s="1"/>
  <c r="N103" i="25"/>
  <c r="K103" i="25"/>
  <c r="O102" i="25"/>
  <c r="N102" i="25"/>
  <c r="K102" i="25"/>
  <c r="O101" i="25"/>
  <c r="L101" i="25" s="1"/>
  <c r="N101" i="25"/>
  <c r="K101" i="25"/>
  <c r="O100" i="25"/>
  <c r="N100" i="25"/>
  <c r="K100" i="25"/>
  <c r="O99" i="25"/>
  <c r="L99" i="25" s="1"/>
  <c r="N99" i="25"/>
  <c r="K99" i="25"/>
  <c r="H99" i="25"/>
  <c r="Q98" i="25"/>
  <c r="O98" i="25"/>
  <c r="N98" i="25"/>
  <c r="L98" i="25"/>
  <c r="K98" i="25"/>
  <c r="O97" i="25"/>
  <c r="Q97" i="25" s="1"/>
  <c r="N97" i="25"/>
  <c r="L97" i="25"/>
  <c r="K97" i="25"/>
  <c r="O96" i="25"/>
  <c r="L96" i="25" s="1"/>
  <c r="N96" i="25"/>
  <c r="K96" i="25"/>
  <c r="O95" i="25"/>
  <c r="N95" i="25"/>
  <c r="K95" i="25"/>
  <c r="Q94" i="25"/>
  <c r="O94" i="25"/>
  <c r="L94" i="25" s="1"/>
  <c r="N94" i="25"/>
  <c r="K94" i="25"/>
  <c r="O93" i="25"/>
  <c r="N93" i="25"/>
  <c r="K93" i="25"/>
  <c r="O92" i="25"/>
  <c r="L92" i="25" s="1"/>
  <c r="N92" i="25"/>
  <c r="K92" i="25"/>
  <c r="O91" i="25"/>
  <c r="N91" i="25"/>
  <c r="K91" i="25"/>
  <c r="H91" i="25"/>
  <c r="O90" i="25"/>
  <c r="Q90" i="25" s="1"/>
  <c r="N90" i="25"/>
  <c r="K90" i="25"/>
  <c r="O89" i="25"/>
  <c r="L89" i="25" s="1"/>
  <c r="N89" i="25"/>
  <c r="K89" i="25"/>
  <c r="O88" i="25"/>
  <c r="N88" i="25"/>
  <c r="K88" i="25"/>
  <c r="O87" i="25"/>
  <c r="L87" i="25" s="1"/>
  <c r="N87" i="25"/>
  <c r="K87" i="25"/>
  <c r="O86" i="25"/>
  <c r="Q86" i="25" s="1"/>
  <c r="N86" i="25"/>
  <c r="K86" i="25"/>
  <c r="O85" i="25"/>
  <c r="N85" i="25"/>
  <c r="K85" i="25"/>
  <c r="O84" i="25"/>
  <c r="L84" i="25" s="1"/>
  <c r="N84" i="25"/>
  <c r="K84" i="25"/>
  <c r="O83" i="25"/>
  <c r="Q83" i="25" s="1"/>
  <c r="N83" i="25"/>
  <c r="K83" i="25"/>
  <c r="O82" i="25"/>
  <c r="Q82" i="25" s="1"/>
  <c r="N82" i="25"/>
  <c r="K82" i="25"/>
  <c r="O81" i="25"/>
  <c r="N81" i="25"/>
  <c r="K81" i="25"/>
  <c r="O80" i="25"/>
  <c r="L80" i="25" s="1"/>
  <c r="N80" i="25"/>
  <c r="K80" i="25"/>
  <c r="O79" i="25"/>
  <c r="L79" i="25" s="1"/>
  <c r="N79" i="25"/>
  <c r="K79" i="25"/>
  <c r="O78" i="25"/>
  <c r="N78" i="25"/>
  <c r="K78" i="25"/>
  <c r="O77" i="25"/>
  <c r="N77" i="25"/>
  <c r="K77" i="25"/>
  <c r="H77" i="25"/>
  <c r="Q76" i="25"/>
  <c r="O76" i="25"/>
  <c r="N76" i="25"/>
  <c r="L76" i="25"/>
  <c r="K76" i="25"/>
  <c r="O75" i="25"/>
  <c r="Q75" i="25" s="1"/>
  <c r="N75" i="25"/>
  <c r="L75" i="25"/>
  <c r="K75" i="25"/>
  <c r="O74" i="25"/>
  <c r="N74" i="25"/>
  <c r="K74" i="25"/>
  <c r="O73" i="25"/>
  <c r="L73" i="25" s="1"/>
  <c r="N73" i="25"/>
  <c r="K73" i="25"/>
  <c r="Q72" i="25"/>
  <c r="O72" i="25"/>
  <c r="L72" i="25" s="1"/>
  <c r="N72" i="25"/>
  <c r="K72" i="25"/>
  <c r="O71" i="25"/>
  <c r="N71" i="25"/>
  <c r="K71" i="25"/>
  <c r="O70" i="25"/>
  <c r="N70" i="25"/>
  <c r="K70" i="25"/>
  <c r="H70" i="25"/>
  <c r="O69" i="25"/>
  <c r="L69" i="25" s="1"/>
  <c r="N69" i="25"/>
  <c r="K69" i="25"/>
  <c r="O68" i="25"/>
  <c r="Q68" i="25" s="1"/>
  <c r="N68" i="25"/>
  <c r="K68" i="25"/>
  <c r="O67" i="25"/>
  <c r="N67" i="25"/>
  <c r="K67" i="25"/>
  <c r="O66" i="25"/>
  <c r="L66" i="25" s="1"/>
  <c r="N66" i="25"/>
  <c r="K66" i="25"/>
  <c r="O65" i="25"/>
  <c r="L65" i="25" s="1"/>
  <c r="N65" i="25"/>
  <c r="K65" i="25"/>
  <c r="O64" i="25"/>
  <c r="N64" i="25"/>
  <c r="K64" i="25"/>
  <c r="O63" i="25"/>
  <c r="N63" i="25"/>
  <c r="K63" i="25"/>
  <c r="O62" i="25"/>
  <c r="L62" i="25" s="1"/>
  <c r="N62" i="25"/>
  <c r="K62" i="25"/>
  <c r="O61" i="25"/>
  <c r="N61" i="25"/>
  <c r="K61" i="25"/>
  <c r="O60" i="25"/>
  <c r="Q60" i="25" s="1"/>
  <c r="N60" i="25"/>
  <c r="K60" i="25"/>
  <c r="O59" i="25"/>
  <c r="N59" i="25"/>
  <c r="K59" i="25"/>
  <c r="O58" i="25"/>
  <c r="L58" i="25" s="1"/>
  <c r="N58" i="25"/>
  <c r="K58" i="25"/>
  <c r="H58" i="25"/>
  <c r="O57" i="25"/>
  <c r="Q57" i="25" s="1"/>
  <c r="N57" i="25"/>
  <c r="K57" i="25"/>
  <c r="O56" i="25"/>
  <c r="N56" i="25"/>
  <c r="K56" i="25"/>
  <c r="O55" i="25"/>
  <c r="L55" i="25" s="1"/>
  <c r="N55" i="25"/>
  <c r="K55" i="25"/>
  <c r="H55" i="25"/>
  <c r="O54" i="25"/>
  <c r="Q54" i="25" s="1"/>
  <c r="N54" i="25"/>
  <c r="L54" i="25"/>
  <c r="K54" i="25"/>
  <c r="O53" i="25"/>
  <c r="N53" i="25"/>
  <c r="K53" i="25"/>
  <c r="O52" i="25"/>
  <c r="L52" i="25" s="1"/>
  <c r="N52" i="25"/>
  <c r="K52" i="25"/>
  <c r="H52" i="25"/>
  <c r="O51" i="25"/>
  <c r="Q51" i="25" s="1"/>
  <c r="N51" i="25"/>
  <c r="L51" i="25"/>
  <c r="K51" i="25"/>
  <c r="O50" i="25"/>
  <c r="N50" i="25"/>
  <c r="K50" i="25"/>
  <c r="O49" i="25"/>
  <c r="L49" i="25" s="1"/>
  <c r="N49" i="25"/>
  <c r="K49" i="25"/>
  <c r="H49" i="25"/>
  <c r="O48" i="25"/>
  <c r="Q48" i="25" s="1"/>
  <c r="N48" i="25"/>
  <c r="K48" i="25"/>
  <c r="O47" i="25"/>
  <c r="N47" i="25"/>
  <c r="K47" i="25"/>
  <c r="H47" i="25"/>
  <c r="O46" i="25"/>
  <c r="L46" i="25" s="1"/>
  <c r="N46" i="25"/>
  <c r="K46" i="25"/>
  <c r="O45" i="25"/>
  <c r="N45" i="25"/>
  <c r="K45" i="25"/>
  <c r="O44" i="25"/>
  <c r="N44" i="25"/>
  <c r="K44" i="25"/>
  <c r="H44" i="25"/>
  <c r="O43" i="25"/>
  <c r="L43" i="25" s="1"/>
  <c r="N43" i="25"/>
  <c r="K43" i="25"/>
  <c r="O42" i="25"/>
  <c r="Q42" i="25" s="1"/>
  <c r="N42" i="25"/>
  <c r="K42" i="25"/>
  <c r="O41" i="25"/>
  <c r="N41" i="25"/>
  <c r="K41" i="25"/>
  <c r="H41" i="25"/>
  <c r="O40" i="25"/>
  <c r="L40" i="25" s="1"/>
  <c r="N40" i="25"/>
  <c r="K40" i="25"/>
  <c r="O39" i="25"/>
  <c r="Q39" i="25" s="1"/>
  <c r="N39" i="25"/>
  <c r="K39" i="25"/>
  <c r="O38" i="25"/>
  <c r="N38" i="25"/>
  <c r="K38" i="25"/>
  <c r="O37" i="25"/>
  <c r="L37" i="25" s="1"/>
  <c r="N37" i="25"/>
  <c r="K37" i="25"/>
  <c r="Q36" i="25"/>
  <c r="O36" i="25"/>
  <c r="N36" i="25"/>
  <c r="L36" i="25"/>
  <c r="K36" i="25"/>
  <c r="O35" i="25"/>
  <c r="Q35" i="25" s="1"/>
  <c r="N35" i="25"/>
  <c r="L35" i="25"/>
  <c r="K35" i="25"/>
  <c r="O34" i="25"/>
  <c r="N34" i="25"/>
  <c r="K34" i="25"/>
  <c r="H34" i="25"/>
  <c r="O33" i="25"/>
  <c r="L33" i="25" s="1"/>
  <c r="N33" i="25"/>
  <c r="K33" i="25"/>
  <c r="O32" i="25"/>
  <c r="Q32" i="25" s="1"/>
  <c r="N32" i="25"/>
  <c r="K32" i="25"/>
  <c r="O31" i="25"/>
  <c r="N31" i="25"/>
  <c r="K31" i="25"/>
  <c r="O30" i="25"/>
  <c r="L30" i="25" s="1"/>
  <c r="N30" i="25"/>
  <c r="K30" i="25"/>
  <c r="O29" i="25"/>
  <c r="Q29" i="25" s="1"/>
  <c r="N29" i="25"/>
  <c r="K29" i="25"/>
  <c r="O28" i="25"/>
  <c r="Q28" i="25" s="1"/>
  <c r="N28" i="25"/>
  <c r="K28" i="25"/>
  <c r="O27" i="25"/>
  <c r="N27" i="25"/>
  <c r="K27" i="25"/>
  <c r="O26" i="25"/>
  <c r="L26" i="25" s="1"/>
  <c r="N26" i="25"/>
  <c r="K26" i="25"/>
  <c r="Q25" i="25"/>
  <c r="O25" i="25"/>
  <c r="N25" i="25"/>
  <c r="L25" i="25"/>
  <c r="K25" i="25"/>
  <c r="O24" i="25"/>
  <c r="Q24" i="25" s="1"/>
  <c r="N24" i="25"/>
  <c r="L24" i="25"/>
  <c r="K24" i="25"/>
  <c r="H24" i="25"/>
  <c r="O23" i="25"/>
  <c r="L23" i="25" s="1"/>
  <c r="N23" i="25"/>
  <c r="K23" i="25"/>
  <c r="O22" i="25"/>
  <c r="Q22" i="25" s="1"/>
  <c r="N22" i="25"/>
  <c r="K22" i="25"/>
  <c r="O21" i="25"/>
  <c r="Q21" i="25" s="1"/>
  <c r="N21" i="25"/>
  <c r="K21" i="25"/>
  <c r="O20" i="25"/>
  <c r="N20" i="25"/>
  <c r="K20" i="25"/>
  <c r="O19" i="25"/>
  <c r="L19" i="25" s="1"/>
  <c r="N19" i="25"/>
  <c r="K19" i="25"/>
  <c r="Q18" i="25"/>
  <c r="O18" i="25"/>
  <c r="N18" i="25"/>
  <c r="L18" i="25"/>
  <c r="K18" i="25"/>
  <c r="O17" i="25"/>
  <c r="Q17" i="25" s="1"/>
  <c r="N17" i="25"/>
  <c r="L17" i="25"/>
  <c r="K17" i="25"/>
  <c r="O16" i="25"/>
  <c r="N16" i="25"/>
  <c r="K16" i="25"/>
  <c r="O15" i="25"/>
  <c r="L15" i="25" s="1"/>
  <c r="N15" i="25"/>
  <c r="K15" i="25"/>
  <c r="H15" i="25"/>
  <c r="O14" i="25"/>
  <c r="Q14" i="25" s="1"/>
  <c r="N14" i="25"/>
  <c r="K14" i="25"/>
  <c r="O13" i="25"/>
  <c r="N13" i="25"/>
  <c r="K13" i="25"/>
  <c r="O12" i="25"/>
  <c r="L12" i="25" s="1"/>
  <c r="N12" i="25"/>
  <c r="K12" i="25"/>
  <c r="O11" i="25"/>
  <c r="L11" i="25" s="1"/>
  <c r="N11" i="25"/>
  <c r="K11" i="25"/>
  <c r="H11" i="25"/>
  <c r="O10" i="25"/>
  <c r="N10" i="25"/>
  <c r="K10" i="25"/>
  <c r="O9" i="25"/>
  <c r="L9" i="25" s="1"/>
  <c r="N9" i="25"/>
  <c r="K9" i="25"/>
  <c r="O8" i="25"/>
  <c r="L8" i="25" s="1"/>
  <c r="N8" i="25"/>
  <c r="K8" i="25"/>
  <c r="O7" i="25"/>
  <c r="Q7" i="25" s="1"/>
  <c r="N7" i="25"/>
  <c r="K7" i="25"/>
  <c r="O6" i="25"/>
  <c r="N6" i="25"/>
  <c r="K6" i="25"/>
  <c r="O5" i="25"/>
  <c r="L5" i="25" s="1"/>
  <c r="N5" i="25"/>
  <c r="K5" i="25"/>
  <c r="Q4" i="25"/>
  <c r="O4" i="25"/>
  <c r="N4" i="25"/>
  <c r="L4" i="25"/>
  <c r="K4" i="25"/>
  <c r="H4" i="25"/>
  <c r="O3" i="25"/>
  <c r="N3" i="25"/>
  <c r="K3" i="25"/>
  <c r="O2" i="25"/>
  <c r="L2" i="25" s="1"/>
  <c r="N2" i="25"/>
  <c r="K2" i="25"/>
  <c r="Q71" i="25" l="1"/>
  <c r="L71" i="25"/>
  <c r="Q93" i="25"/>
  <c r="L93" i="25"/>
  <c r="Q117" i="25"/>
  <c r="L117" i="25"/>
  <c r="Q139" i="25"/>
  <c r="L139" i="25"/>
  <c r="Q174" i="25"/>
  <c r="L174" i="25"/>
  <c r="L183" i="25"/>
  <c r="Q183" i="25"/>
  <c r="L237" i="25"/>
  <c r="Q237" i="25"/>
  <c r="Q251" i="25"/>
  <c r="L251" i="25"/>
  <c r="Q272" i="25"/>
  <c r="L272" i="25"/>
  <c r="Q355" i="25"/>
  <c r="L355" i="25"/>
  <c r="L518" i="25"/>
  <c r="Q518" i="25"/>
  <c r="Q572" i="25"/>
  <c r="L572" i="25"/>
  <c r="Q577" i="25"/>
  <c r="L577" i="25"/>
  <c r="Q665" i="25"/>
  <c r="L665" i="25"/>
  <c r="L675" i="25"/>
  <c r="Q675" i="25"/>
  <c r="Q752" i="25"/>
  <c r="L752" i="25"/>
  <c r="Q922" i="25"/>
  <c r="L922" i="25"/>
  <c r="Q938" i="25"/>
  <c r="L938" i="25"/>
  <c r="L942" i="25"/>
  <c r="Q942" i="25"/>
  <c r="L1179" i="25"/>
  <c r="Q1179" i="25"/>
  <c r="Q45" i="25"/>
  <c r="L45" i="25"/>
  <c r="Q46" i="25"/>
  <c r="Q69" i="25"/>
  <c r="Q105" i="25"/>
  <c r="Q121" i="25"/>
  <c r="L121" i="25"/>
  <c r="Q187" i="25"/>
  <c r="Q216" i="25"/>
  <c r="L216" i="25"/>
  <c r="L254" i="25"/>
  <c r="Q254" i="25"/>
  <c r="L283" i="25"/>
  <c r="Q283" i="25"/>
  <c r="Q327" i="25"/>
  <c r="Q389" i="25"/>
  <c r="L389" i="25"/>
  <c r="Q492" i="25"/>
  <c r="L492" i="25"/>
  <c r="Q523" i="25"/>
  <c r="L523" i="25"/>
  <c r="Q599" i="25"/>
  <c r="Q664" i="25"/>
  <c r="L664" i="25"/>
  <c r="L674" i="25"/>
  <c r="Q674" i="25"/>
  <c r="Q805" i="25"/>
  <c r="L805" i="25"/>
  <c r="L854" i="25"/>
  <c r="Q854" i="25"/>
  <c r="Q881" i="25"/>
  <c r="L881" i="25"/>
  <c r="L989" i="25"/>
  <c r="Q989" i="25"/>
  <c r="Q1095" i="25"/>
  <c r="L1095" i="25"/>
  <c r="Q1110" i="25"/>
  <c r="L1110" i="25"/>
  <c r="Q1147" i="25"/>
  <c r="L1147" i="25"/>
  <c r="Q1158" i="25"/>
  <c r="L1158" i="25"/>
  <c r="L28" i="25"/>
  <c r="L29" i="25"/>
  <c r="Q43" i="25"/>
  <c r="Q64" i="25"/>
  <c r="L64" i="25"/>
  <c r="Q65" i="25"/>
  <c r="L68" i="25"/>
  <c r="Q78" i="25"/>
  <c r="L78" i="25"/>
  <c r="Q79" i="25"/>
  <c r="L82" i="25"/>
  <c r="L83" i="25"/>
  <c r="Q100" i="25"/>
  <c r="L100" i="25"/>
  <c r="Q101" i="25"/>
  <c r="L104" i="25"/>
  <c r="Q163" i="25"/>
  <c r="L163" i="25"/>
  <c r="Q164" i="25"/>
  <c r="Q229" i="25"/>
  <c r="Q235" i="25"/>
  <c r="L235" i="25"/>
  <c r="Q240" i="25"/>
  <c r="L253" i="25"/>
  <c r="Q253" i="25"/>
  <c r="Q256" i="25"/>
  <c r="L256" i="25"/>
  <c r="Q288" i="25"/>
  <c r="L288" i="25"/>
  <c r="Q290" i="25"/>
  <c r="Q306" i="25"/>
  <c r="Q322" i="25"/>
  <c r="Q348" i="25"/>
  <c r="L348" i="25"/>
  <c r="Q476" i="25"/>
  <c r="L476" i="25"/>
  <c r="Q499" i="25"/>
  <c r="L503" i="25"/>
  <c r="Q503" i="25"/>
  <c r="Q530" i="25"/>
  <c r="L534" i="25"/>
  <c r="Q534" i="25"/>
  <c r="Q541" i="25"/>
  <c r="L541" i="25"/>
  <c r="L640" i="25"/>
  <c r="Q640" i="25"/>
  <c r="Q673" i="25"/>
  <c r="L673" i="25"/>
  <c r="L677" i="25"/>
  <c r="Q677" i="25"/>
  <c r="Q718" i="25"/>
  <c r="L718" i="25"/>
  <c r="Q722" i="25"/>
  <c r="L722" i="25"/>
  <c r="Q723" i="25"/>
  <c r="Q724" i="25"/>
  <c r="Q831" i="25"/>
  <c r="Q880" i="25"/>
  <c r="L880" i="25"/>
  <c r="Q901" i="25"/>
  <c r="L901" i="25"/>
  <c r="Q956" i="25"/>
  <c r="L956" i="25"/>
  <c r="Q984" i="25"/>
  <c r="L984" i="25"/>
  <c r="L988" i="25"/>
  <c r="Q988" i="25"/>
  <c r="L993" i="25"/>
  <c r="Q993" i="25"/>
  <c r="Q1006" i="25"/>
  <c r="L1006" i="25"/>
  <c r="L1094" i="25"/>
  <c r="Q1094" i="25"/>
  <c r="Q1101" i="25"/>
  <c r="Q1114" i="25"/>
  <c r="L1114" i="25"/>
  <c r="L1187" i="25"/>
  <c r="Q1187" i="25"/>
  <c r="Q156" i="25"/>
  <c r="L156" i="25"/>
  <c r="Q390" i="25"/>
  <c r="L390" i="25"/>
  <c r="L473" i="25"/>
  <c r="Q473" i="25"/>
  <c r="L680" i="25"/>
  <c r="Q680" i="25"/>
  <c r="Q765" i="25"/>
  <c r="L765" i="25"/>
  <c r="L776" i="25"/>
  <c r="Q776" i="25"/>
  <c r="Q806" i="25"/>
  <c r="L806" i="25"/>
  <c r="Q841" i="25"/>
  <c r="L841" i="25"/>
  <c r="L927" i="25"/>
  <c r="Q927" i="25"/>
  <c r="Q1040" i="25"/>
  <c r="L1040" i="25"/>
  <c r="L1091" i="25"/>
  <c r="Q1091" i="25"/>
  <c r="Q1111" i="25"/>
  <c r="L1111" i="25"/>
  <c r="Q1166" i="25"/>
  <c r="L1166" i="25"/>
  <c r="L61" i="25"/>
  <c r="Q61" i="25"/>
  <c r="Q122" i="25"/>
  <c r="Q186" i="25"/>
  <c r="L186" i="25"/>
  <c r="Q217" i="25"/>
  <c r="L221" i="25"/>
  <c r="Q221" i="25"/>
  <c r="Q230" i="25"/>
  <c r="L230" i="25"/>
  <c r="L236" i="25"/>
  <c r="Q236" i="25"/>
  <c r="Q279" i="25"/>
  <c r="Q295" i="25"/>
  <c r="Q296" i="25"/>
  <c r="Q311" i="25"/>
  <c r="Q312" i="25"/>
  <c r="Q326" i="25"/>
  <c r="L397" i="25"/>
  <c r="Q397" i="25"/>
  <c r="Q557" i="25"/>
  <c r="L557" i="25"/>
  <c r="Q598" i="25"/>
  <c r="L598" i="25"/>
  <c r="Q616" i="25"/>
  <c r="L21" i="25"/>
  <c r="L22" i="25"/>
  <c r="L42" i="25"/>
  <c r="L153" i="25"/>
  <c r="Q153" i="25"/>
  <c r="Q193" i="25"/>
  <c r="L193" i="25"/>
  <c r="L205" i="25"/>
  <c r="Q205" i="25"/>
  <c r="Q214" i="25"/>
  <c r="L214" i="25"/>
  <c r="Q232" i="25"/>
  <c r="L232" i="25"/>
  <c r="L238" i="25"/>
  <c r="Q238" i="25"/>
  <c r="L252" i="25"/>
  <c r="Q252" i="25"/>
  <c r="L267" i="25"/>
  <c r="Q267" i="25"/>
  <c r="Q347" i="25"/>
  <c r="L347" i="25"/>
  <c r="Q356" i="25"/>
  <c r="L356" i="25"/>
  <c r="Q383" i="25"/>
  <c r="L383" i="25"/>
  <c r="Q507" i="25"/>
  <c r="L507" i="25"/>
  <c r="Q539" i="25"/>
  <c r="L539" i="25"/>
  <c r="Q578" i="25"/>
  <c r="L578" i="25"/>
  <c r="Q639" i="25"/>
  <c r="L639" i="25"/>
  <c r="Q672" i="25"/>
  <c r="L672" i="25"/>
  <c r="Q753" i="25"/>
  <c r="L753" i="25"/>
  <c r="L762" i="25"/>
  <c r="Q762" i="25"/>
  <c r="Q772" i="25"/>
  <c r="L772" i="25"/>
  <c r="Q812" i="25"/>
  <c r="L824" i="25"/>
  <c r="Q824" i="25"/>
  <c r="Q900" i="25"/>
  <c r="L900" i="25"/>
  <c r="L928" i="25"/>
  <c r="Q928" i="25"/>
  <c r="L987" i="25"/>
  <c r="Q987" i="25"/>
  <c r="Q992" i="25"/>
  <c r="L992" i="25"/>
  <c r="Q1076" i="25"/>
  <c r="L1076" i="25"/>
  <c r="Q1077" i="25"/>
  <c r="Q1078" i="25"/>
  <c r="Q1097" i="25"/>
  <c r="L1097" i="25"/>
  <c r="Q1098" i="25"/>
  <c r="L1099" i="25"/>
  <c r="Q1099" i="25"/>
  <c r="Q1185" i="25"/>
  <c r="L1185" i="25"/>
  <c r="Q562" i="25"/>
  <c r="L562" i="25"/>
  <c r="L716" i="25"/>
  <c r="Q716" i="25"/>
  <c r="Q721" i="25"/>
  <c r="L721" i="25"/>
  <c r="Q750" i="25"/>
  <c r="L750" i="25"/>
  <c r="Q775" i="25"/>
  <c r="L775" i="25"/>
  <c r="L829" i="25"/>
  <c r="Q829" i="25"/>
  <c r="Q853" i="25"/>
  <c r="L853" i="25"/>
  <c r="L871" i="25"/>
  <c r="Q871" i="25"/>
  <c r="Q921" i="25"/>
  <c r="L921" i="25"/>
  <c r="Q949" i="25"/>
  <c r="L949" i="25"/>
  <c r="Q986" i="25"/>
  <c r="L986" i="25"/>
  <c r="L1047" i="25"/>
  <c r="Q1047" i="25"/>
  <c r="Q1151" i="25"/>
  <c r="L1151" i="25"/>
  <c r="Q209" i="25"/>
  <c r="Q225" i="25"/>
  <c r="Q248" i="25"/>
  <c r="Q549" i="25"/>
  <c r="L549" i="25"/>
  <c r="Q595" i="25"/>
  <c r="Q636" i="25"/>
  <c r="Q669" i="25"/>
  <c r="Q773" i="25"/>
  <c r="L773" i="25"/>
  <c r="Q835" i="25"/>
  <c r="L835" i="25"/>
  <c r="Q920" i="25"/>
  <c r="Q948" i="25"/>
  <c r="L948" i="25"/>
  <c r="Q970" i="25"/>
  <c r="L1003" i="25"/>
  <c r="Q1003" i="25"/>
  <c r="Q1035" i="25"/>
  <c r="Q1036" i="25"/>
  <c r="L1037" i="25"/>
  <c r="Q1037" i="25"/>
  <c r="Q1045" i="25"/>
  <c r="Q1086" i="25"/>
  <c r="L1086" i="25"/>
  <c r="Q1087" i="25"/>
  <c r="Q1088" i="25"/>
  <c r="Q1089" i="25"/>
  <c r="Q1183" i="25"/>
  <c r="L1192" i="25"/>
  <c r="Q1192" i="25"/>
  <c r="L651" i="25"/>
  <c r="Q651" i="25"/>
  <c r="Q690" i="25"/>
  <c r="L690" i="25"/>
  <c r="Q698" i="25"/>
  <c r="L698" i="25"/>
  <c r="L729" i="25"/>
  <c r="Q729" i="25"/>
  <c r="L740" i="25"/>
  <c r="Q740" i="25"/>
  <c r="L813" i="25"/>
  <c r="Q813" i="25"/>
  <c r="L864" i="25"/>
  <c r="Q864" i="25"/>
  <c r="L877" i="25"/>
  <c r="Q877" i="25"/>
  <c r="L895" i="25"/>
  <c r="Q895" i="25"/>
  <c r="Q918" i="25"/>
  <c r="L918" i="25"/>
  <c r="L960" i="25"/>
  <c r="Q960" i="25"/>
  <c r="L1019" i="25"/>
  <c r="Q1019" i="25"/>
  <c r="L1030" i="25"/>
  <c r="Q1030" i="25"/>
  <c r="L1053" i="25"/>
  <c r="Q1053" i="25"/>
  <c r="L1064" i="25"/>
  <c r="Q1064" i="25"/>
  <c r="L1069" i="25"/>
  <c r="Q1069" i="25"/>
  <c r="L1080" i="25"/>
  <c r="Q1080" i="25"/>
  <c r="L1084" i="25"/>
  <c r="Q1084" i="25"/>
  <c r="L1092" i="25"/>
  <c r="Q1092" i="25"/>
  <c r="L1139" i="25"/>
  <c r="Q1139" i="25"/>
  <c r="L1144" i="25"/>
  <c r="Q1144" i="25"/>
  <c r="L1173" i="25"/>
  <c r="Q1173" i="25"/>
  <c r="Q8" i="25"/>
  <c r="Q11" i="25"/>
  <c r="L14" i="25"/>
  <c r="Q33" i="25"/>
  <c r="Q40" i="25"/>
  <c r="L48" i="25"/>
  <c r="L60" i="25"/>
  <c r="Q87" i="25"/>
  <c r="L90" i="25"/>
  <c r="Q111" i="25"/>
  <c r="L114" i="25"/>
  <c r="Q126" i="25"/>
  <c r="Q129" i="25"/>
  <c r="L132" i="25"/>
  <c r="Q143" i="25"/>
  <c r="L146" i="25"/>
  <c r="L152" i="25"/>
  <c r="Q172" i="25"/>
  <c r="Q179" i="25"/>
  <c r="L182" i="25"/>
  <c r="Q202" i="25"/>
  <c r="L208" i="25"/>
  <c r="L224" i="25"/>
  <c r="L266" i="25"/>
  <c r="L282" i="25"/>
  <c r="L378" i="25"/>
  <c r="L396" i="25"/>
  <c r="L412" i="25"/>
  <c r="L427" i="25"/>
  <c r="L453" i="25"/>
  <c r="Q458" i="25"/>
  <c r="Q459" i="25"/>
  <c r="Q461" i="25"/>
  <c r="L464" i="25"/>
  <c r="Q466" i="25"/>
  <c r="Q467" i="25"/>
  <c r="Q469" i="25"/>
  <c r="L472" i="25"/>
  <c r="Q474" i="25"/>
  <c r="L487" i="25"/>
  <c r="L502" i="25"/>
  <c r="L517" i="25"/>
  <c r="L533" i="25"/>
  <c r="Q575" i="25"/>
  <c r="Q581" i="25"/>
  <c r="L590" i="25"/>
  <c r="L605" i="25"/>
  <c r="Q609" i="25"/>
  <c r="L615" i="25"/>
  <c r="Q622" i="25"/>
  <c r="L625" i="25"/>
  <c r="Q627" i="25"/>
  <c r="Q630" i="25"/>
  <c r="L630" i="25"/>
  <c r="L645" i="25"/>
  <c r="Q645" i="25"/>
  <c r="L658" i="25"/>
  <c r="Q658" i="25"/>
  <c r="Q728" i="25"/>
  <c r="L728" i="25"/>
  <c r="L743" i="25"/>
  <c r="Q743" i="25"/>
  <c r="Q763" i="25"/>
  <c r="L763" i="25"/>
  <c r="L820" i="25"/>
  <c r="Q820" i="25"/>
  <c r="L856" i="25"/>
  <c r="Q856" i="25"/>
  <c r="L860" i="25"/>
  <c r="Q860" i="25"/>
  <c r="L883" i="25"/>
  <c r="Q883" i="25"/>
  <c r="L894" i="25"/>
  <c r="Q894" i="25"/>
  <c r="L985" i="25"/>
  <c r="Q985" i="25"/>
  <c r="L995" i="25"/>
  <c r="Q995" i="25"/>
  <c r="Q637" i="25"/>
  <c r="L637" i="25"/>
  <c r="Q682" i="25"/>
  <c r="L682" i="25"/>
  <c r="Q767" i="25"/>
  <c r="L767" i="25"/>
  <c r="L7" i="25"/>
  <c r="L32" i="25"/>
  <c r="L39" i="25"/>
  <c r="L57" i="25"/>
  <c r="L86" i="25"/>
  <c r="L108" i="25"/>
  <c r="L125" i="25"/>
  <c r="L142" i="25"/>
  <c r="L171" i="25"/>
  <c r="L178" i="25"/>
  <c r="L201" i="25"/>
  <c r="L206" i="25"/>
  <c r="L222" i="25"/>
  <c r="L264" i="25"/>
  <c r="L280" i="25"/>
  <c r="L376" i="25"/>
  <c r="L394" i="25"/>
  <c r="L410" i="25"/>
  <c r="L425" i="25"/>
  <c r="L451" i="25"/>
  <c r="L485" i="25"/>
  <c r="L500" i="25"/>
  <c r="L515" i="25"/>
  <c r="L531" i="25"/>
  <c r="L574" i="25"/>
  <c r="L584" i="25"/>
  <c r="L603" i="25"/>
  <c r="L608" i="25"/>
  <c r="L613" i="25"/>
  <c r="L620" i="25"/>
  <c r="L632" i="25"/>
  <c r="L644" i="25"/>
  <c r="Q644" i="25"/>
  <c r="Q657" i="25"/>
  <c r="L657" i="25"/>
  <c r="L789" i="25"/>
  <c r="Q789" i="25"/>
  <c r="Q802" i="25"/>
  <c r="L802" i="25"/>
  <c r="Q819" i="25"/>
  <c r="L819" i="25"/>
  <c r="L828" i="25"/>
  <c r="Q828" i="25"/>
  <c r="L845" i="25"/>
  <c r="Q845" i="25"/>
  <c r="Q859" i="25"/>
  <c r="L859" i="25"/>
  <c r="L874" i="25"/>
  <c r="Q874" i="25"/>
  <c r="L882" i="25"/>
  <c r="Q882" i="25"/>
  <c r="L893" i="25"/>
  <c r="Q893" i="25"/>
  <c r="L897" i="25"/>
  <c r="Q897" i="25"/>
  <c r="Q650" i="25"/>
  <c r="L650" i="25"/>
  <c r="Q547" i="25"/>
  <c r="Q555" i="25"/>
  <c r="Q563" i="25"/>
  <c r="Q642" i="25"/>
  <c r="L642" i="25"/>
  <c r="Q643" i="25"/>
  <c r="L647" i="25"/>
  <c r="Q647" i="25"/>
  <c r="L652" i="25"/>
  <c r="Q652" i="25"/>
  <c r="L683" i="25"/>
  <c r="Q683" i="25"/>
  <c r="L691" i="25"/>
  <c r="Q691" i="25"/>
  <c r="L699" i="25"/>
  <c r="Q699" i="25"/>
  <c r="L741" i="25"/>
  <c r="Q741" i="25"/>
  <c r="L746" i="25"/>
  <c r="Q746" i="25"/>
  <c r="L769" i="25"/>
  <c r="Q769" i="25"/>
  <c r="L788" i="25"/>
  <c r="Q788" i="25"/>
  <c r="Q799" i="25"/>
  <c r="L799" i="25"/>
  <c r="L814" i="25"/>
  <c r="Q814" i="25"/>
  <c r="Q827" i="25"/>
  <c r="L827" i="25"/>
  <c r="L865" i="25"/>
  <c r="Q865" i="25"/>
  <c r="L885" i="25"/>
  <c r="Q885" i="25"/>
  <c r="Q892" i="25"/>
  <c r="L892" i="25"/>
  <c r="L962" i="25"/>
  <c r="Q962" i="25"/>
  <c r="L935" i="25"/>
  <c r="Q958" i="25"/>
  <c r="L958" i="25"/>
  <c r="L967" i="25"/>
  <c r="L968" i="25"/>
  <c r="Q994" i="25"/>
  <c r="L994" i="25"/>
  <c r="Q1018" i="25"/>
  <c r="L1018" i="25"/>
  <c r="L1034" i="25"/>
  <c r="Q1034" i="25"/>
  <c r="L1039" i="25"/>
  <c r="Q1039" i="25"/>
  <c r="Q1052" i="25"/>
  <c r="L1052" i="25"/>
  <c r="L1072" i="25"/>
  <c r="Q1072" i="25"/>
  <c r="Q1079" i="25"/>
  <c r="L1079" i="25"/>
  <c r="Q1120" i="25"/>
  <c r="L1120" i="25"/>
  <c r="L1172" i="25"/>
  <c r="Q1172" i="25"/>
  <c r="L1194" i="25"/>
  <c r="Q1194" i="25"/>
  <c r="Q654" i="25"/>
  <c r="Q659" i="25"/>
  <c r="Q660" i="25"/>
  <c r="Q662" i="25"/>
  <c r="Q684" i="25"/>
  <c r="Q685" i="25"/>
  <c r="Q687" i="25"/>
  <c r="Q692" i="25"/>
  <c r="Q693" i="25"/>
  <c r="Q695" i="25"/>
  <c r="Q700" i="25"/>
  <c r="Q701" i="25"/>
  <c r="Q703" i="25"/>
  <c r="Q730" i="25"/>
  <c r="Q731" i="25"/>
  <c r="Q733" i="25"/>
  <c r="Q758" i="25"/>
  <c r="Q770" i="25"/>
  <c r="Q771" i="25"/>
  <c r="Q780" i="25"/>
  <c r="Q791" i="25"/>
  <c r="Q794" i="25"/>
  <c r="Q816" i="25"/>
  <c r="Q821" i="25"/>
  <c r="Q822" i="25"/>
  <c r="Q846" i="25"/>
  <c r="Q847" i="25"/>
  <c r="Q861" i="25"/>
  <c r="Q862" i="25"/>
  <c r="Q867" i="25"/>
  <c r="Q868" i="25"/>
  <c r="Q923" i="25"/>
  <c r="Q924" i="25"/>
  <c r="L936" i="25"/>
  <c r="Q936" i="25"/>
  <c r="Q941" i="25"/>
  <c r="L941" i="25"/>
  <c r="Q954" i="25"/>
  <c r="L954" i="25"/>
  <c r="Q1023" i="25"/>
  <c r="L1023" i="25"/>
  <c r="L1028" i="25"/>
  <c r="Q1028" i="25"/>
  <c r="Q1033" i="25"/>
  <c r="L1033" i="25"/>
  <c r="L1038" i="25"/>
  <c r="Q1038" i="25"/>
  <c r="L1062" i="25"/>
  <c r="Q1062" i="25"/>
  <c r="L1082" i="25"/>
  <c r="Q1082" i="25"/>
  <c r="L1109" i="25"/>
  <c r="Q1109" i="25"/>
  <c r="L1141" i="25"/>
  <c r="Q1141" i="25"/>
  <c r="L1146" i="25"/>
  <c r="Q1146" i="25"/>
  <c r="Q1193" i="25"/>
  <c r="L1193" i="25"/>
  <c r="L757" i="25"/>
  <c r="L790" i="25"/>
  <c r="L815" i="25"/>
  <c r="Q836" i="25"/>
  <c r="Q850" i="25"/>
  <c r="Q851" i="25"/>
  <c r="L857" i="25"/>
  <c r="L866" i="25"/>
  <c r="Q873" i="25"/>
  <c r="Q906" i="25"/>
  <c r="Q933" i="25"/>
  <c r="L933" i="25"/>
  <c r="L1027" i="25"/>
  <c r="Q1027" i="25"/>
  <c r="L1061" i="25"/>
  <c r="Q1061" i="25"/>
  <c r="L1070" i="25"/>
  <c r="Q1070" i="25"/>
  <c r="L1081" i="25"/>
  <c r="Q1081" i="25"/>
  <c r="L1108" i="25"/>
  <c r="Q1108" i="25"/>
  <c r="L1134" i="25"/>
  <c r="Q1134" i="25"/>
  <c r="L1145" i="25"/>
  <c r="Q1145" i="25"/>
  <c r="L1154" i="25"/>
  <c r="Q1154" i="25"/>
  <c r="L1180" i="25"/>
  <c r="Q1180" i="25"/>
  <c r="Q1191" i="25"/>
  <c r="L1191" i="25"/>
  <c r="L1025" i="25"/>
  <c r="L1048" i="25"/>
  <c r="L1059" i="25"/>
  <c r="L1067" i="25"/>
  <c r="L1090" i="25"/>
  <c r="L1102" i="25"/>
  <c r="L1105" i="25"/>
  <c r="L1125" i="25"/>
  <c r="L1137" i="25"/>
  <c r="L1159" i="25"/>
  <c r="L1163" i="25"/>
  <c r="L1171" i="25"/>
  <c r="L1178" i="25"/>
  <c r="L1189" i="25"/>
  <c r="Q1174" i="25"/>
  <c r="Q1058" i="25"/>
  <c r="Q1112" i="25"/>
  <c r="Q1133" i="25"/>
  <c r="Q1149" i="25"/>
  <c r="Q1152" i="25"/>
  <c r="Q1153" i="25"/>
  <c r="L3" i="25"/>
  <c r="Q3" i="25"/>
  <c r="L27" i="25"/>
  <c r="Q27" i="25"/>
  <c r="L31" i="25"/>
  <c r="Q31" i="25"/>
  <c r="L47" i="25"/>
  <c r="Q47" i="25"/>
  <c r="L50" i="25"/>
  <c r="Q50" i="25"/>
  <c r="L53" i="25"/>
  <c r="Q53" i="25"/>
  <c r="L56" i="25"/>
  <c r="Q56" i="25"/>
  <c r="L59" i="25"/>
  <c r="Q59" i="25"/>
  <c r="L63" i="25"/>
  <c r="Q63" i="25"/>
  <c r="L67" i="25"/>
  <c r="Q67" i="25"/>
  <c r="L95" i="25"/>
  <c r="Q95" i="25"/>
  <c r="L102" i="25"/>
  <c r="Q102" i="25"/>
  <c r="L119" i="25"/>
  <c r="Q119" i="25"/>
  <c r="L137" i="25"/>
  <c r="Q137" i="25"/>
  <c r="L158" i="25"/>
  <c r="Q158" i="25"/>
  <c r="L165" i="25"/>
  <c r="Q165" i="25"/>
  <c r="L188" i="25"/>
  <c r="Q188" i="25"/>
  <c r="L195" i="25"/>
  <c r="Q195" i="25"/>
  <c r="L211" i="25"/>
  <c r="Q211" i="25"/>
  <c r="L227" i="25"/>
  <c r="Q227" i="25"/>
  <c r="L269" i="25"/>
  <c r="Q269" i="25"/>
  <c r="L285" i="25"/>
  <c r="Q285" i="25"/>
  <c r="Q297" i="25"/>
  <c r="L297" i="25"/>
  <c r="Q305" i="25"/>
  <c r="L305" i="25"/>
  <c r="Q313" i="25"/>
  <c r="L313" i="25"/>
  <c r="Q321" i="25"/>
  <c r="L321" i="25"/>
  <c r="Q328" i="25"/>
  <c r="L328" i="25"/>
  <c r="Q336" i="25"/>
  <c r="L336" i="25"/>
  <c r="Q343" i="25"/>
  <c r="L343" i="25"/>
  <c r="Q351" i="25"/>
  <c r="L351" i="25"/>
  <c r="Q359" i="25"/>
  <c r="L359" i="25"/>
  <c r="Q367" i="25"/>
  <c r="L367" i="25"/>
  <c r="L381" i="25"/>
  <c r="Q381" i="25"/>
  <c r="Q385" i="25"/>
  <c r="L385" i="25"/>
  <c r="L399" i="25"/>
  <c r="Q399" i="25"/>
  <c r="L414" i="25"/>
  <c r="Q414" i="25"/>
  <c r="L430" i="25"/>
  <c r="Q430" i="25"/>
  <c r="Q442" i="25"/>
  <c r="L442" i="25"/>
  <c r="L456" i="25"/>
  <c r="Q456" i="25"/>
  <c r="L489" i="25"/>
  <c r="Q489" i="25"/>
  <c r="L505" i="25"/>
  <c r="Q505" i="25"/>
  <c r="L520" i="25"/>
  <c r="Q520" i="25"/>
  <c r="L536" i="25"/>
  <c r="Q536" i="25"/>
  <c r="Q548" i="25"/>
  <c r="L548" i="25"/>
  <c r="Q556" i="25"/>
  <c r="L556" i="25"/>
  <c r="Q564" i="25"/>
  <c r="L564" i="25"/>
  <c r="L569" i="25"/>
  <c r="Q569" i="25"/>
  <c r="L593" i="25"/>
  <c r="Q593" i="25"/>
  <c r="L634" i="25"/>
  <c r="Q634" i="25"/>
  <c r="Q742" i="25"/>
  <c r="L742" i="25"/>
  <c r="L747" i="25"/>
  <c r="Q747" i="25"/>
  <c r="L833" i="25"/>
  <c r="Q833" i="25"/>
  <c r="Q875" i="25"/>
  <c r="L875" i="25"/>
  <c r="Q884" i="25"/>
  <c r="L884" i="25"/>
  <c r="L886" i="25"/>
  <c r="Q886" i="25"/>
  <c r="Q896" i="25"/>
  <c r="L896" i="25"/>
  <c r="L947" i="25"/>
  <c r="Q947" i="25"/>
  <c r="L982" i="25"/>
  <c r="Q982" i="25"/>
  <c r="Q1063" i="25"/>
  <c r="L1063" i="25"/>
  <c r="L1065" i="25"/>
  <c r="Q1065" i="25"/>
  <c r="Q1071" i="25"/>
  <c r="L1071" i="25"/>
  <c r="L1073" i="25"/>
  <c r="Q1073" i="25"/>
  <c r="Q1121" i="25"/>
  <c r="L1121" i="25"/>
  <c r="Q1142" i="25"/>
  <c r="L1142" i="25"/>
  <c r="Q2" i="25"/>
  <c r="L6" i="25"/>
  <c r="Q6" i="25"/>
  <c r="L10" i="25"/>
  <c r="Q10" i="25"/>
  <c r="Q26" i="25"/>
  <c r="Q30" i="25"/>
  <c r="L34" i="25"/>
  <c r="Q34" i="25"/>
  <c r="L38" i="25"/>
  <c r="Q38" i="25"/>
  <c r="Q49" i="25"/>
  <c r="Q52" i="25"/>
  <c r="Q55" i="25"/>
  <c r="Q58" i="25"/>
  <c r="Q62" i="25"/>
  <c r="Q66" i="25"/>
  <c r="L70" i="25"/>
  <c r="Q70" i="25"/>
  <c r="L74" i="25"/>
  <c r="Q74" i="25"/>
  <c r="L91" i="25"/>
  <c r="Q91" i="25"/>
  <c r="L115" i="25"/>
  <c r="Q115" i="25"/>
  <c r="L134" i="25"/>
  <c r="Q134" i="25"/>
  <c r="L147" i="25"/>
  <c r="Q147" i="25"/>
  <c r="L154" i="25"/>
  <c r="Q154" i="25"/>
  <c r="L184" i="25"/>
  <c r="Q184" i="25"/>
  <c r="L210" i="25"/>
  <c r="Q210" i="25"/>
  <c r="L226" i="25"/>
  <c r="Q226" i="25"/>
  <c r="Q239" i="25"/>
  <c r="L239" i="25"/>
  <c r="Q247" i="25"/>
  <c r="L247" i="25"/>
  <c r="L268" i="25"/>
  <c r="Q268" i="25"/>
  <c r="L284" i="25"/>
  <c r="Q284" i="25"/>
  <c r="L380" i="25"/>
  <c r="Q380" i="25"/>
  <c r="L398" i="25"/>
  <c r="Q398" i="25"/>
  <c r="L413" i="25"/>
  <c r="Q413" i="25"/>
  <c r="L429" i="25"/>
  <c r="Q429" i="25"/>
  <c r="L455" i="25"/>
  <c r="Q455" i="25"/>
  <c r="L488" i="25"/>
  <c r="Q488" i="25"/>
  <c r="L504" i="25"/>
  <c r="Q504" i="25"/>
  <c r="L519" i="25"/>
  <c r="Q519" i="25"/>
  <c r="L535" i="25"/>
  <c r="Q535" i="25"/>
  <c r="L586" i="25"/>
  <c r="Q586" i="25"/>
  <c r="L592" i="25"/>
  <c r="Q592" i="25"/>
  <c r="L607" i="25"/>
  <c r="Q607" i="25"/>
  <c r="Q646" i="25"/>
  <c r="L646" i="25"/>
  <c r="Q653" i="25"/>
  <c r="L653" i="25"/>
  <c r="Q661" i="25"/>
  <c r="L661" i="25"/>
  <c r="Q686" i="25"/>
  <c r="L686" i="25"/>
  <c r="Q694" i="25"/>
  <c r="L694" i="25"/>
  <c r="Q702" i="25"/>
  <c r="L702" i="25"/>
  <c r="Q732" i="25"/>
  <c r="L732" i="25"/>
  <c r="L756" i="25"/>
  <c r="Q756" i="25"/>
  <c r="Q830" i="25"/>
  <c r="L830" i="25"/>
  <c r="L832" i="25"/>
  <c r="Q832" i="25"/>
  <c r="L843" i="25"/>
  <c r="Q843" i="25"/>
  <c r="Q870" i="25"/>
  <c r="L870" i="25"/>
  <c r="L916" i="25"/>
  <c r="Q916" i="25"/>
  <c r="Q944" i="25"/>
  <c r="L944" i="25"/>
  <c r="Q979" i="25"/>
  <c r="L979" i="25"/>
  <c r="L981" i="25"/>
  <c r="Q981" i="25"/>
  <c r="Q990" i="25"/>
  <c r="L990" i="25"/>
  <c r="Q1056" i="25"/>
  <c r="L1056" i="25"/>
  <c r="Q1093" i="25"/>
  <c r="L1093" i="25"/>
  <c r="L1096" i="25"/>
  <c r="Q1096" i="25"/>
  <c r="Q1118" i="25"/>
  <c r="L1118" i="25"/>
  <c r="Q1130" i="25"/>
  <c r="L1130" i="25"/>
  <c r="Q5" i="25"/>
  <c r="Q9" i="25"/>
  <c r="L13" i="25"/>
  <c r="Q13" i="25"/>
  <c r="L16" i="25"/>
  <c r="Q16" i="25"/>
  <c r="L20" i="25"/>
  <c r="Q20" i="25"/>
  <c r="Q37" i="25"/>
  <c r="L41" i="25"/>
  <c r="Q41" i="25"/>
  <c r="Q73" i="25"/>
  <c r="L77" i="25"/>
  <c r="Q77" i="25"/>
  <c r="L81" i="25"/>
  <c r="Q81" i="25"/>
  <c r="L85" i="25"/>
  <c r="Q85" i="25"/>
  <c r="L88" i="25"/>
  <c r="Q88" i="25"/>
  <c r="L109" i="25"/>
  <c r="Q109" i="25"/>
  <c r="L112" i="25"/>
  <c r="Q112" i="25"/>
  <c r="L127" i="25"/>
  <c r="Q127" i="25"/>
  <c r="L130" i="25"/>
  <c r="Q130" i="25"/>
  <c r="L144" i="25"/>
  <c r="Q144" i="25"/>
  <c r="L173" i="25"/>
  <c r="Q173" i="25"/>
  <c r="L180" i="25"/>
  <c r="Q180" i="25"/>
  <c r="L203" i="25"/>
  <c r="Q203" i="25"/>
  <c r="L219" i="25"/>
  <c r="Q219" i="25"/>
  <c r="L261" i="25"/>
  <c r="Q261" i="25"/>
  <c r="L277" i="25"/>
  <c r="Q277" i="25"/>
  <c r="L407" i="25"/>
  <c r="Q407" i="25"/>
  <c r="L422" i="25"/>
  <c r="Q422" i="25"/>
  <c r="L438" i="25"/>
  <c r="Q438" i="25"/>
  <c r="L448" i="25"/>
  <c r="Q448" i="25"/>
  <c r="Q460" i="25"/>
  <c r="L460" i="25"/>
  <c r="Q468" i="25"/>
  <c r="L468" i="25"/>
  <c r="L482" i="25"/>
  <c r="Q482" i="25"/>
  <c r="L497" i="25"/>
  <c r="Q497" i="25"/>
  <c r="L512" i="25"/>
  <c r="Q512" i="25"/>
  <c r="L528" i="25"/>
  <c r="Q528" i="25"/>
  <c r="L576" i="25"/>
  <c r="Q576" i="25"/>
  <c r="L585" i="25"/>
  <c r="Q585" i="25"/>
  <c r="L601" i="25"/>
  <c r="Q601" i="25"/>
  <c r="L617" i="25"/>
  <c r="Q617" i="25"/>
  <c r="Q621" i="25"/>
  <c r="L621" i="25"/>
  <c r="L737" i="25"/>
  <c r="Q737" i="25"/>
  <c r="Q839" i="25"/>
  <c r="L839" i="25"/>
  <c r="L842" i="25"/>
  <c r="Q842" i="25"/>
  <c r="Q852" i="25"/>
  <c r="L852" i="25"/>
  <c r="Q913" i="25"/>
  <c r="L913" i="25"/>
  <c r="L915" i="25"/>
  <c r="Q915" i="25"/>
  <c r="Q925" i="25"/>
  <c r="L925" i="25"/>
  <c r="Q1113" i="25"/>
  <c r="L1113" i="25"/>
  <c r="L1129" i="25"/>
  <c r="Q1129" i="25"/>
  <c r="Q1188" i="25"/>
  <c r="L1188" i="25"/>
  <c r="Q12" i="25"/>
  <c r="Q15" i="25"/>
  <c r="Q19" i="25"/>
  <c r="Q23" i="25"/>
  <c r="L44" i="25"/>
  <c r="Q44" i="25"/>
  <c r="Q80" i="25"/>
  <c r="Q84" i="25"/>
  <c r="L106" i="25"/>
  <c r="Q106" i="25"/>
  <c r="L123" i="25"/>
  <c r="Q123" i="25"/>
  <c r="L140" i="25"/>
  <c r="Q140" i="25"/>
  <c r="L169" i="25"/>
  <c r="Q169" i="25"/>
  <c r="L176" i="25"/>
  <c r="Q176" i="25"/>
  <c r="L199" i="25"/>
  <c r="Q199" i="25"/>
  <c r="L218" i="25"/>
  <c r="Q218" i="25"/>
  <c r="L234" i="25"/>
  <c r="Q234" i="25"/>
  <c r="L260" i="25"/>
  <c r="Q260" i="25"/>
  <c r="L276" i="25"/>
  <c r="Q276" i="25"/>
  <c r="L406" i="25"/>
  <c r="Q406" i="25"/>
  <c r="L421" i="25"/>
  <c r="Q421" i="25"/>
  <c r="L437" i="25"/>
  <c r="Q437" i="25"/>
  <c r="L447" i="25"/>
  <c r="Q447" i="25"/>
  <c r="L481" i="25"/>
  <c r="Q481" i="25"/>
  <c r="L496" i="25"/>
  <c r="Q496" i="25"/>
  <c r="L511" i="25"/>
  <c r="Q511" i="25"/>
  <c r="L527" i="25"/>
  <c r="Q527" i="25"/>
  <c r="L570" i="25"/>
  <c r="Q570" i="25"/>
  <c r="L600" i="25"/>
  <c r="Q600" i="25"/>
  <c r="L641" i="25"/>
  <c r="Q641" i="25"/>
  <c r="Q668" i="25"/>
  <c r="L668" i="25"/>
  <c r="Q676" i="25"/>
  <c r="L676" i="25"/>
  <c r="L681" i="25"/>
  <c r="Q681" i="25"/>
  <c r="Q709" i="25"/>
  <c r="L709" i="25"/>
  <c r="Q717" i="25"/>
  <c r="L717" i="25"/>
  <c r="Q725" i="25"/>
  <c r="L725" i="25"/>
  <c r="L748" i="25"/>
  <c r="Q748" i="25"/>
  <c r="L754" i="25"/>
  <c r="Q754" i="25"/>
  <c r="Q786" i="25"/>
  <c r="L786" i="25"/>
  <c r="Q811" i="25"/>
  <c r="L811" i="25"/>
  <c r="L887" i="25"/>
  <c r="Q887" i="25"/>
  <c r="L1074" i="25"/>
  <c r="Q1074" i="25"/>
  <c r="Q1126" i="25"/>
  <c r="L1126" i="25"/>
  <c r="L1128" i="25"/>
  <c r="Q1128" i="25"/>
  <c r="Q761" i="25"/>
  <c r="L761" i="25"/>
  <c r="L764" i="25"/>
  <c r="Q764" i="25"/>
  <c r="Q779" i="25"/>
  <c r="L779" i="25"/>
  <c r="Q797" i="25"/>
  <c r="L797" i="25"/>
  <c r="L800" i="25"/>
  <c r="Q800" i="25"/>
  <c r="Q952" i="25"/>
  <c r="L952" i="25"/>
  <c r="L955" i="25"/>
  <c r="Q955" i="25"/>
  <c r="L1012" i="25"/>
  <c r="Q1012" i="25"/>
  <c r="Q1022" i="25"/>
  <c r="L1022" i="25"/>
  <c r="L1024" i="25"/>
  <c r="Q1024" i="25"/>
  <c r="Q1182" i="25"/>
  <c r="L1182" i="25"/>
  <c r="Q89" i="25"/>
  <c r="Q92" i="25"/>
  <c r="Q96" i="25"/>
  <c r="Q99" i="25"/>
  <c r="Q103" i="25"/>
  <c r="Q107" i="25"/>
  <c r="Q110" i="25"/>
  <c r="Q113" i="25"/>
  <c r="Q116" i="25"/>
  <c r="Q120" i="25"/>
  <c r="Q124" i="25"/>
  <c r="Q128" i="25"/>
  <c r="Q131" i="25"/>
  <c r="Q135" i="25"/>
  <c r="Q138" i="25"/>
  <c r="Q141" i="25"/>
  <c r="Q145" i="25"/>
  <c r="Q148" i="25"/>
  <c r="Q151" i="25"/>
  <c r="Q155" i="25"/>
  <c r="Q159" i="25"/>
  <c r="Q162" i="25"/>
  <c r="Q166" i="25"/>
  <c r="Q170" i="25"/>
  <c r="Q177" i="25"/>
  <c r="Q181" i="25"/>
  <c r="Q185" i="25"/>
  <c r="Q189" i="25"/>
  <c r="Q192" i="25"/>
  <c r="Q196" i="25"/>
  <c r="Q200" i="25"/>
  <c r="Q241" i="25"/>
  <c r="Q242" i="25"/>
  <c r="Q249" i="25"/>
  <c r="Q250" i="25"/>
  <c r="Q291" i="25"/>
  <c r="Q292" i="25"/>
  <c r="Q299" i="25"/>
  <c r="Q300" i="25"/>
  <c r="Q307" i="25"/>
  <c r="Q308" i="25"/>
  <c r="Q315" i="25"/>
  <c r="Q316" i="25"/>
  <c r="Q323" i="25"/>
  <c r="Q324" i="25"/>
  <c r="Q330" i="25"/>
  <c r="Q331" i="25"/>
  <c r="Q338" i="25"/>
  <c r="Q339" i="25"/>
  <c r="Q345" i="25"/>
  <c r="Q346" i="25"/>
  <c r="Q353" i="25"/>
  <c r="Q354" i="25"/>
  <c r="Q361" i="25"/>
  <c r="Q362" i="25"/>
  <c r="Q369" i="25"/>
  <c r="Q370" i="25"/>
  <c r="Q387" i="25"/>
  <c r="Q388" i="25"/>
  <c r="Q462" i="25"/>
  <c r="Q463" i="25"/>
  <c r="Q470" i="25"/>
  <c r="Q471" i="25"/>
  <c r="Q542" i="25"/>
  <c r="Q543" i="25"/>
  <c r="Q550" i="25"/>
  <c r="Q551" i="25"/>
  <c r="Q558" i="25"/>
  <c r="Q559" i="25"/>
  <c r="Q566" i="25"/>
  <c r="Q567" i="25"/>
  <c r="Q623" i="25"/>
  <c r="Q624" i="25"/>
  <c r="Q648" i="25"/>
  <c r="Q649" i="25"/>
  <c r="Q655" i="25"/>
  <c r="Q656" i="25"/>
  <c r="Q663" i="25"/>
  <c r="Q670" i="25"/>
  <c r="Q671" i="25"/>
  <c r="Q678" i="25"/>
  <c r="Q679" i="25"/>
  <c r="Q688" i="25"/>
  <c r="Q689" i="25"/>
  <c r="Q696" i="25"/>
  <c r="Q697" i="25"/>
  <c r="Q704" i="25"/>
  <c r="Q711" i="25"/>
  <c r="Q712" i="25"/>
  <c r="Q719" i="25"/>
  <c r="Q720" i="25"/>
  <c r="Q727" i="25"/>
  <c r="Q734" i="25"/>
  <c r="Q744" i="25"/>
  <c r="Q745" i="25"/>
  <c r="Q759" i="25"/>
  <c r="Q760" i="25"/>
  <c r="Q777" i="25"/>
  <c r="Q778" i="25"/>
  <c r="Q795" i="25"/>
  <c r="Q796" i="25"/>
  <c r="Q804" i="25"/>
  <c r="L804" i="25"/>
  <c r="L807" i="25"/>
  <c r="Q807" i="25"/>
  <c r="Q825" i="25"/>
  <c r="Q826" i="25"/>
  <c r="Q855" i="25"/>
  <c r="L855" i="25"/>
  <c r="L858" i="25"/>
  <c r="Q858" i="25"/>
  <c r="Q878" i="25"/>
  <c r="Q879" i="25"/>
  <c r="Q908" i="25"/>
  <c r="Q909" i="25"/>
  <c r="Q939" i="25"/>
  <c r="Q940" i="25"/>
  <c r="Q950" i="25"/>
  <c r="Q951" i="25"/>
  <c r="Q973" i="25"/>
  <c r="Q974" i="25"/>
  <c r="Q1004" i="25"/>
  <c r="Q1005" i="25"/>
  <c r="Q1017" i="25"/>
  <c r="L1017" i="25"/>
  <c r="L1021" i="25"/>
  <c r="Q1021" i="25"/>
  <c r="Q1123" i="25"/>
  <c r="L1123" i="25"/>
  <c r="L1136" i="25"/>
  <c r="Q1136" i="25"/>
  <c r="Q1150" i="25"/>
  <c r="L1150" i="25"/>
  <c r="L1167" i="25"/>
  <c r="Q1167" i="25"/>
  <c r="L204" i="25"/>
  <c r="Q207" i="25"/>
  <c r="L212" i="25"/>
  <c r="Q215" i="25"/>
  <c r="L220" i="25"/>
  <c r="Q223" i="25"/>
  <c r="L228" i="25"/>
  <c r="Q231" i="25"/>
  <c r="Q257" i="25"/>
  <c r="L262" i="25"/>
  <c r="Q265" i="25"/>
  <c r="L270" i="25"/>
  <c r="Q273" i="25"/>
  <c r="L278" i="25"/>
  <c r="Q281" i="25"/>
  <c r="L286" i="25"/>
  <c r="Q289" i="25"/>
  <c r="L374" i="25"/>
  <c r="Q377" i="25"/>
  <c r="L382" i="25"/>
  <c r="L392" i="25"/>
  <c r="Q395" i="25"/>
  <c r="L400" i="25"/>
  <c r="Q403" i="25"/>
  <c r="L408" i="25"/>
  <c r="Q411" i="25"/>
  <c r="L415" i="25"/>
  <c r="Q418" i="25"/>
  <c r="L423" i="25"/>
  <c r="Q426" i="25"/>
  <c r="L431" i="25"/>
  <c r="Q434" i="25"/>
  <c r="L449" i="25"/>
  <c r="Q452" i="25"/>
  <c r="L475" i="25"/>
  <c r="Q478" i="25"/>
  <c r="L483" i="25"/>
  <c r="Q486" i="25"/>
  <c r="L490" i="25"/>
  <c r="Q493" i="25"/>
  <c r="L498" i="25"/>
  <c r="Q501" i="25"/>
  <c r="L506" i="25"/>
  <c r="Q508" i="25"/>
  <c r="L513" i="25"/>
  <c r="Q516" i="25"/>
  <c r="L521" i="25"/>
  <c r="Q524" i="25"/>
  <c r="L529" i="25"/>
  <c r="Q532" i="25"/>
  <c r="L537" i="25"/>
  <c r="Q540" i="25"/>
  <c r="L571" i="25"/>
  <c r="Q573" i="25"/>
  <c r="Q583" i="25"/>
  <c r="L587" i="25"/>
  <c r="Q589" i="25"/>
  <c r="L594" i="25"/>
  <c r="Q597" i="25"/>
  <c r="L602" i="25"/>
  <c r="Q604" i="25"/>
  <c r="Q614" i="25"/>
  <c r="L618" i="25"/>
  <c r="L628" i="25"/>
  <c r="Q631" i="25"/>
  <c r="L635" i="25"/>
  <c r="Q638" i="25"/>
  <c r="L749" i="25"/>
  <c r="Q751" i="25"/>
  <c r="L755" i="25"/>
  <c r="Q768" i="25"/>
  <c r="Q774" i="25"/>
  <c r="Q792" i="25"/>
  <c r="Q793" i="25"/>
  <c r="Q803" i="25"/>
  <c r="Q817" i="25"/>
  <c r="Q818" i="25"/>
  <c r="L823" i="25"/>
  <c r="Q837" i="25"/>
  <c r="L837" i="25"/>
  <c r="L840" i="25"/>
  <c r="Q840" i="25"/>
  <c r="L844" i="25"/>
  <c r="L876" i="25"/>
  <c r="L888" i="25"/>
  <c r="Q902" i="25"/>
  <c r="Q903" i="25"/>
  <c r="L907" i="25"/>
  <c r="L917" i="25"/>
  <c r="Q931" i="25"/>
  <c r="Q932" i="25"/>
  <c r="L937" i="25"/>
  <c r="L946" i="25"/>
  <c r="Q959" i="25"/>
  <c r="Q965" i="25"/>
  <c r="Q966" i="25"/>
  <c r="L971" i="25"/>
  <c r="L983" i="25"/>
  <c r="Q996" i="25"/>
  <c r="Q997" i="25"/>
  <c r="L1002" i="25"/>
  <c r="Q1016" i="25"/>
  <c r="Q1044" i="25"/>
  <c r="L1044" i="25"/>
  <c r="L1066" i="25"/>
  <c r="Q1066" i="25"/>
  <c r="L1075" i="25"/>
  <c r="Q1083" i="25"/>
  <c r="L1083" i="25"/>
  <c r="Q1106" i="25"/>
  <c r="L1119" i="25"/>
  <c r="Q1119" i="25"/>
  <c r="L1122" i="25"/>
  <c r="Q1122" i="25"/>
  <c r="Q1135" i="25"/>
  <c r="L1135" i="25"/>
  <c r="Q1140" i="25"/>
  <c r="L1140" i="25"/>
  <c r="L1143" i="25"/>
  <c r="Q1143" i="25"/>
  <c r="L1155" i="25"/>
  <c r="L1160" i="25"/>
  <c r="Q1160" i="25"/>
  <c r="L1164" i="25"/>
  <c r="Q1164" i="25"/>
  <c r="Q1029" i="25"/>
  <c r="L1029" i="25"/>
  <c r="L1032" i="25"/>
  <c r="Q1032" i="25"/>
  <c r="Q1100" i="25"/>
  <c r="L1100" i="25"/>
  <c r="L1103" i="25"/>
  <c r="Q1103" i="25"/>
  <c r="L1156" i="25"/>
  <c r="Q1156" i="25"/>
  <c r="L1157" i="25"/>
  <c r="L1165" i="25"/>
  <c r="L1175" i="25"/>
  <c r="L1181" i="25"/>
  <c r="L1186" i="25"/>
  <c r="L1195" i="25"/>
  <c r="L1197" i="25"/>
  <c r="L2" i="16" l="1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9" i="16"/>
  <c r="L120" i="16"/>
  <c r="L122" i="16"/>
  <c r="L123" i="16"/>
  <c r="L124" i="16"/>
  <c r="L125" i="16"/>
  <c r="L126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9" i="16"/>
  <c r="L400" i="16"/>
  <c r="L403" i="16"/>
  <c r="L406" i="16"/>
  <c r="L407" i="16"/>
  <c r="L408" i="16"/>
  <c r="L410" i="16"/>
  <c r="L411" i="16"/>
  <c r="L420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86" i="16"/>
  <c r="L791" i="16"/>
  <c r="L793" i="16"/>
  <c r="L796" i="16"/>
  <c r="L797" i="16"/>
  <c r="L798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O2" i="16" l="1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9" i="16"/>
  <c r="O120" i="16"/>
  <c r="O122" i="16"/>
  <c r="O123" i="16"/>
  <c r="O124" i="16"/>
  <c r="O125" i="16"/>
  <c r="O126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9" i="16"/>
  <c r="O400" i="16"/>
  <c r="O403" i="16"/>
  <c r="O406" i="16"/>
  <c r="O407" i="16"/>
  <c r="O408" i="16"/>
  <c r="O410" i="16"/>
  <c r="O411" i="16"/>
  <c r="O420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53" i="16"/>
  <c r="O554" i="16"/>
  <c r="O555" i="16"/>
  <c r="O556" i="16"/>
  <c r="O557" i="16"/>
  <c r="O558" i="16"/>
  <c r="O559" i="16"/>
  <c r="O560" i="16"/>
  <c r="O561" i="16"/>
  <c r="O562" i="16"/>
  <c r="O563" i="16"/>
  <c r="O564" i="16"/>
  <c r="O565" i="16"/>
  <c r="O566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58" i="16"/>
  <c r="O659" i="16"/>
  <c r="O660" i="16"/>
  <c r="O661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86" i="16"/>
  <c r="O791" i="16"/>
  <c r="O793" i="16"/>
  <c r="O796" i="16"/>
  <c r="O797" i="16"/>
  <c r="O798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34" i="16"/>
  <c r="O835" i="16"/>
  <c r="O836" i="16"/>
  <c r="O837" i="16"/>
  <c r="O838" i="16"/>
  <c r="O839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4" i="16"/>
  <c r="O955" i="16"/>
  <c r="O956" i="16"/>
  <c r="O957" i="16"/>
  <c r="O958" i="16"/>
  <c r="O959" i="16"/>
  <c r="O960" i="16"/>
  <c r="O961" i="16"/>
  <c r="O962" i="16"/>
  <c r="O963" i="16"/>
  <c r="O964" i="16"/>
  <c r="O965" i="16"/>
  <c r="O966" i="16"/>
  <c r="O967" i="16"/>
  <c r="O968" i="16"/>
  <c r="O969" i="16"/>
  <c r="O970" i="16"/>
  <c r="O971" i="16"/>
  <c r="O972" i="16"/>
  <c r="O973" i="16"/>
  <c r="O974" i="16"/>
  <c r="O975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01" i="16"/>
  <c r="O1002" i="16"/>
  <c r="O1003" i="16"/>
  <c r="O1004" i="16"/>
  <c r="O1005" i="16"/>
  <c r="O1006" i="16"/>
  <c r="O1007" i="16"/>
  <c r="O1008" i="16"/>
  <c r="O1009" i="16"/>
  <c r="O1010" i="16"/>
  <c r="O1011" i="16"/>
  <c r="O1012" i="16"/>
  <c r="O1013" i="16"/>
  <c r="O1014" i="16"/>
  <c r="O1015" i="16"/>
  <c r="O1016" i="16"/>
  <c r="O1017" i="16"/>
  <c r="O1018" i="16"/>
  <c r="O1019" i="16"/>
  <c r="O1020" i="16"/>
  <c r="O1021" i="16"/>
  <c r="O1022" i="16"/>
  <c r="O1023" i="16"/>
  <c r="O1024" i="16"/>
  <c r="O1025" i="16"/>
  <c r="O1026" i="16"/>
  <c r="O1027" i="16"/>
  <c r="O1028" i="16"/>
  <c r="O1029" i="16"/>
  <c r="O1030" i="16"/>
  <c r="O1031" i="16"/>
  <c r="O1032" i="16"/>
  <c r="O1033" i="16"/>
  <c r="O1034" i="16"/>
  <c r="O1035" i="16"/>
  <c r="O1036" i="16"/>
  <c r="O1037" i="16"/>
  <c r="O1038" i="16"/>
  <c r="O1039" i="16"/>
  <c r="O1040" i="16"/>
  <c r="O1041" i="16"/>
  <c r="O1042" i="16"/>
  <c r="O1043" i="16"/>
  <c r="O1044" i="16"/>
  <c r="O1045" i="16"/>
  <c r="O1046" i="16"/>
  <c r="O1047" i="16"/>
  <c r="O1048" i="16"/>
  <c r="O1049" i="16"/>
  <c r="O1050" i="16"/>
  <c r="O1051" i="16"/>
  <c r="O1052" i="16"/>
  <c r="O1053" i="16"/>
  <c r="O1054" i="16"/>
  <c r="O1055" i="16"/>
  <c r="O1056" i="16"/>
  <c r="O1057" i="16"/>
  <c r="O1058" i="16"/>
  <c r="O1059" i="16"/>
  <c r="O1060" i="16"/>
  <c r="O1061" i="16"/>
  <c r="O1062" i="16"/>
  <c r="O1063" i="16"/>
  <c r="O1064" i="16"/>
  <c r="O1065" i="16"/>
  <c r="O1066" i="16"/>
  <c r="O1067" i="16"/>
  <c r="O1068" i="16"/>
  <c r="O1069" i="16"/>
  <c r="O1070" i="16"/>
  <c r="O1071" i="16"/>
  <c r="O1072" i="16"/>
  <c r="O1073" i="16"/>
  <c r="O1074" i="16"/>
  <c r="O1075" i="16"/>
  <c r="O1076" i="16"/>
  <c r="O1077" i="16"/>
  <c r="O1078" i="16"/>
  <c r="O1079" i="16"/>
  <c r="O1080" i="16"/>
  <c r="O1081" i="16"/>
  <c r="O1082" i="16"/>
  <c r="O1083" i="16"/>
  <c r="O1084" i="16"/>
  <c r="O1085" i="16"/>
  <c r="O1086" i="16"/>
  <c r="O1087" i="16"/>
  <c r="O1088" i="16"/>
  <c r="O1089" i="16"/>
  <c r="O1090" i="16"/>
  <c r="O1091" i="16"/>
  <c r="O1092" i="16"/>
  <c r="O1093" i="16"/>
  <c r="O1094" i="16"/>
  <c r="O1095" i="16"/>
  <c r="O1096" i="16"/>
  <c r="O1097" i="16"/>
  <c r="O1098" i="16"/>
  <c r="O1099" i="16"/>
  <c r="O1100" i="16"/>
  <c r="O1101" i="16"/>
  <c r="O1102" i="16"/>
  <c r="O1103" i="16"/>
  <c r="O1104" i="16"/>
  <c r="O1105" i="16"/>
  <c r="O1106" i="16"/>
  <c r="O1107" i="16"/>
  <c r="O1108" i="16"/>
  <c r="O1109" i="16"/>
  <c r="O1110" i="16"/>
  <c r="O1111" i="16"/>
  <c r="O1112" i="16"/>
  <c r="O1113" i="16"/>
  <c r="O1114" i="16"/>
  <c r="O1115" i="16"/>
  <c r="O1116" i="16"/>
  <c r="O1117" i="16"/>
  <c r="O1118" i="16"/>
  <c r="O1119" i="16"/>
  <c r="O1120" i="16"/>
  <c r="O1121" i="16"/>
  <c r="O1122" i="16"/>
  <c r="O1123" i="16"/>
  <c r="O1124" i="16"/>
  <c r="O1125" i="16"/>
  <c r="O1126" i="16"/>
  <c r="O1127" i="16"/>
  <c r="O1128" i="16"/>
  <c r="O1129" i="16"/>
  <c r="O1130" i="16"/>
  <c r="O1131" i="16"/>
  <c r="O1132" i="16"/>
  <c r="O1133" i="16"/>
  <c r="O1134" i="16"/>
  <c r="O1135" i="16"/>
  <c r="O1136" i="16"/>
  <c r="O1137" i="16"/>
  <c r="O1138" i="16"/>
  <c r="O1139" i="16"/>
  <c r="O1140" i="16"/>
  <c r="O1141" i="16"/>
  <c r="O1142" i="16"/>
  <c r="O1143" i="16"/>
  <c r="O1144" i="16"/>
  <c r="O1145" i="16"/>
  <c r="O1146" i="16"/>
  <c r="O1147" i="16"/>
  <c r="O1148" i="16"/>
  <c r="O1149" i="16"/>
  <c r="O1150" i="16"/>
  <c r="O1154" i="16"/>
  <c r="O1155" i="16"/>
  <c r="O1156" i="16"/>
  <c r="O1157" i="16"/>
  <c r="O1158" i="16"/>
  <c r="O1159" i="16"/>
  <c r="O1160" i="16"/>
  <c r="O1161" i="16"/>
  <c r="O1162" i="16"/>
  <c r="O1163" i="16"/>
  <c r="O1164" i="16"/>
  <c r="O1165" i="16"/>
  <c r="O1166" i="16"/>
  <c r="O1167" i="16"/>
  <c r="O1168" i="16"/>
  <c r="O1169" i="16"/>
  <c r="O1170" i="16"/>
  <c r="O1171" i="16"/>
  <c r="O1172" i="16"/>
  <c r="O1173" i="16"/>
  <c r="O1174" i="16"/>
  <c r="O1175" i="16"/>
  <c r="O1176" i="16"/>
  <c r="O1177" i="16"/>
  <c r="O1178" i="16"/>
  <c r="O1179" i="16"/>
  <c r="O1180" i="16"/>
  <c r="O1181" i="16"/>
  <c r="O1182" i="16"/>
  <c r="O1183" i="16"/>
  <c r="O1184" i="16"/>
  <c r="O1185" i="16"/>
  <c r="O1186" i="16"/>
  <c r="O1187" i="16"/>
  <c r="O1188" i="16"/>
  <c r="O1189" i="16"/>
  <c r="O1190" i="16"/>
  <c r="O1191" i="16"/>
  <c r="O1192" i="16"/>
  <c r="O1193" i="16"/>
  <c r="O1194" i="16"/>
  <c r="O1195" i="16"/>
  <c r="O1196" i="16"/>
  <c r="O1197" i="16"/>
  <c r="O1198" i="16"/>
  <c r="O1199" i="16"/>
  <c r="O1200" i="16"/>
  <c r="O1201" i="16"/>
  <c r="O1202" i="16"/>
  <c r="O1203" i="16"/>
  <c r="O1204" i="16"/>
  <c r="O1205" i="16"/>
  <c r="O1206" i="16"/>
  <c r="O1207" i="16"/>
  <c r="O1208" i="16"/>
  <c r="O1209" i="16"/>
  <c r="O1210" i="16"/>
  <c r="O1211" i="16"/>
  <c r="O1212" i="16"/>
  <c r="O1213" i="16"/>
  <c r="O1214" i="16"/>
  <c r="O1215" i="16"/>
  <c r="O1216" i="16"/>
  <c r="O1217" i="16"/>
  <c r="O1218" i="16"/>
  <c r="O1219" i="16"/>
  <c r="O1220" i="16"/>
  <c r="O1221" i="16"/>
  <c r="O1222" i="16"/>
  <c r="O1223" i="16"/>
  <c r="O1224" i="16"/>
  <c r="O1225" i="16"/>
  <c r="O1226" i="16"/>
  <c r="O1227" i="16"/>
  <c r="O1228" i="16"/>
  <c r="O1229" i="16"/>
  <c r="O1230" i="16"/>
  <c r="O1231" i="16"/>
  <c r="O1232" i="16"/>
  <c r="O1233" i="16"/>
  <c r="O1234" i="16"/>
  <c r="Q1202" i="24" l="1"/>
  <c r="O1202" i="24"/>
  <c r="L1202" i="24" s="1"/>
  <c r="N1202" i="24"/>
  <c r="K1202" i="24"/>
  <c r="O1201" i="24"/>
  <c r="Q1201" i="24" s="1"/>
  <c r="N1201" i="24"/>
  <c r="L1201" i="24"/>
  <c r="K1201" i="24"/>
  <c r="Q1200" i="24"/>
  <c r="O1200" i="24"/>
  <c r="N1200" i="24"/>
  <c r="L1200" i="24"/>
  <c r="K1200" i="24"/>
  <c r="O1199" i="24"/>
  <c r="L1199" i="24" s="1"/>
  <c r="N1199" i="24"/>
  <c r="K1199" i="24"/>
  <c r="Q1198" i="24"/>
  <c r="O1198" i="24"/>
  <c r="L1198" i="24" s="1"/>
  <c r="N1198" i="24"/>
  <c r="K1198" i="24"/>
  <c r="O1197" i="24"/>
  <c r="Q1197" i="24" s="1"/>
  <c r="N1197" i="24"/>
  <c r="L1197" i="24"/>
  <c r="K1197" i="24"/>
  <c r="Q1196" i="24"/>
  <c r="O1196" i="24"/>
  <c r="N1196" i="24"/>
  <c r="L1196" i="24"/>
  <c r="K1196" i="24"/>
  <c r="O1195" i="24"/>
  <c r="L1195" i="24" s="1"/>
  <c r="N1195" i="24"/>
  <c r="K1195" i="24"/>
  <c r="Q1194" i="24"/>
  <c r="O1194" i="24"/>
  <c r="L1194" i="24" s="1"/>
  <c r="N1194" i="24"/>
  <c r="K1194" i="24"/>
  <c r="H1194" i="24"/>
  <c r="O1193" i="24"/>
  <c r="Q1193" i="24" s="1"/>
  <c r="N1193" i="24"/>
  <c r="L1193" i="24"/>
  <c r="K1193" i="24"/>
  <c r="O1192" i="24"/>
  <c r="L1192" i="24" s="1"/>
  <c r="N1192" i="24"/>
  <c r="K1192" i="24"/>
  <c r="O1191" i="24"/>
  <c r="N1191" i="24"/>
  <c r="H1191" i="24"/>
  <c r="K1191" i="24" s="1"/>
  <c r="O1190" i="24"/>
  <c r="N1190" i="24"/>
  <c r="K1190" i="24"/>
  <c r="O1189" i="24"/>
  <c r="L1189" i="24" s="1"/>
  <c r="N1189" i="24"/>
  <c r="H1189" i="24"/>
  <c r="K1189" i="24" s="1"/>
  <c r="O1188" i="24"/>
  <c r="N1188" i="24"/>
  <c r="K1188" i="24"/>
  <c r="O1187" i="24"/>
  <c r="N1187" i="24"/>
  <c r="H1187" i="24"/>
  <c r="K1187" i="24" s="1"/>
  <c r="Q1186" i="24"/>
  <c r="O1186" i="24"/>
  <c r="L1186" i="24" s="1"/>
  <c r="N1186" i="24"/>
  <c r="K1186" i="24"/>
  <c r="Q1185" i="24"/>
  <c r="O1185" i="24"/>
  <c r="N1185" i="24"/>
  <c r="L1185" i="24"/>
  <c r="H1185" i="24"/>
  <c r="K1185" i="24" s="1"/>
  <c r="O1184" i="24"/>
  <c r="L1184" i="24" s="1"/>
  <c r="N1184" i="24"/>
  <c r="K1184" i="24"/>
  <c r="Q1183" i="24"/>
  <c r="O1183" i="24"/>
  <c r="L1183" i="24" s="1"/>
  <c r="N1183" i="24"/>
  <c r="K1183" i="24"/>
  <c r="H1183" i="24"/>
  <c r="O1182" i="24"/>
  <c r="Q1182" i="24" s="1"/>
  <c r="N1182" i="24"/>
  <c r="L1182" i="24"/>
  <c r="K1182" i="24"/>
  <c r="O1181" i="24"/>
  <c r="L1181" i="24" s="1"/>
  <c r="N1181" i="24"/>
  <c r="K1181" i="24"/>
  <c r="O1180" i="24"/>
  <c r="N1180" i="24"/>
  <c r="K1180" i="24"/>
  <c r="O1179" i="24"/>
  <c r="Q1179" i="24" s="1"/>
  <c r="N1179" i="24"/>
  <c r="L1179" i="24"/>
  <c r="H1179" i="24"/>
  <c r="K1179" i="24" s="1"/>
  <c r="O1178" i="24"/>
  <c r="L1178" i="24" s="1"/>
  <c r="N1178" i="24"/>
  <c r="K1178" i="24"/>
  <c r="Q1177" i="24"/>
  <c r="O1177" i="24"/>
  <c r="L1177" i="24" s="1"/>
  <c r="N1177" i="24"/>
  <c r="K1177" i="24"/>
  <c r="H1177" i="24"/>
  <c r="O1176" i="24"/>
  <c r="N1176" i="24"/>
  <c r="K1176" i="24"/>
  <c r="O1175" i="24"/>
  <c r="L1175" i="24" s="1"/>
  <c r="N1175" i="24"/>
  <c r="K1175" i="24"/>
  <c r="O1174" i="24"/>
  <c r="N1174" i="24"/>
  <c r="K1174" i="24"/>
  <c r="O1173" i="24"/>
  <c r="Q1173" i="24" s="1"/>
  <c r="N1173" i="24"/>
  <c r="L1173" i="24"/>
  <c r="H1173" i="24"/>
  <c r="K1173" i="24" s="1"/>
  <c r="O1172" i="24"/>
  <c r="Q1172" i="24" s="1"/>
  <c r="N1172" i="24"/>
  <c r="L1172" i="24"/>
  <c r="K1172" i="24"/>
  <c r="O1171" i="24"/>
  <c r="N1171" i="24"/>
  <c r="K1171" i="24"/>
  <c r="H1171" i="24"/>
  <c r="Q1170" i="24"/>
  <c r="O1170" i="24"/>
  <c r="L1170" i="24" s="1"/>
  <c r="N1170" i="24"/>
  <c r="K1170" i="24"/>
  <c r="O1169" i="24"/>
  <c r="N1169" i="24"/>
  <c r="K1169" i="24"/>
  <c r="Q1168" i="24"/>
  <c r="O1168" i="24"/>
  <c r="L1168" i="24" s="1"/>
  <c r="N1168" i="24"/>
  <c r="K1168" i="24"/>
  <c r="O1167" i="24"/>
  <c r="N1167" i="24"/>
  <c r="K1167" i="24"/>
  <c r="Q1166" i="24"/>
  <c r="O1166" i="24"/>
  <c r="L1166" i="24" s="1"/>
  <c r="N1166" i="24"/>
  <c r="K1166" i="24"/>
  <c r="O1165" i="24"/>
  <c r="N1165" i="24"/>
  <c r="K1165" i="24"/>
  <c r="Q1164" i="24"/>
  <c r="O1164" i="24"/>
  <c r="L1164" i="24" s="1"/>
  <c r="N1164" i="24"/>
  <c r="K1164" i="24"/>
  <c r="O1163" i="24"/>
  <c r="N1163" i="24"/>
  <c r="K1163" i="24"/>
  <c r="Q1162" i="24"/>
  <c r="O1162" i="24"/>
  <c r="N1162" i="24"/>
  <c r="L1162" i="24"/>
  <c r="K1162" i="24"/>
  <c r="O1161" i="24"/>
  <c r="Q1161" i="24" s="1"/>
  <c r="N1161" i="24"/>
  <c r="L1161" i="24"/>
  <c r="K1161" i="24"/>
  <c r="O1160" i="24"/>
  <c r="N1160" i="24"/>
  <c r="K1160" i="24"/>
  <c r="O1159" i="24"/>
  <c r="Q1159" i="24" s="1"/>
  <c r="N1159" i="24"/>
  <c r="L1159" i="24"/>
  <c r="H1159" i="24"/>
  <c r="K1159" i="24" s="1"/>
  <c r="O1158" i="24"/>
  <c r="Q1158" i="24" s="1"/>
  <c r="N1158" i="24"/>
  <c r="L1158" i="24"/>
  <c r="K1158" i="24"/>
  <c r="O1157" i="24"/>
  <c r="N1157" i="24"/>
  <c r="K1157" i="24"/>
  <c r="O1156" i="24"/>
  <c r="L1156" i="24" s="1"/>
  <c r="N1156" i="24"/>
  <c r="K1156" i="24"/>
  <c r="Q1155" i="24"/>
  <c r="O1155" i="24"/>
  <c r="N1155" i="24"/>
  <c r="L1155" i="24"/>
  <c r="K1155" i="24"/>
  <c r="O1154" i="24"/>
  <c r="Q1154" i="24" s="1"/>
  <c r="N1154" i="24"/>
  <c r="L1154" i="24"/>
  <c r="K1154" i="24"/>
  <c r="O1153" i="24"/>
  <c r="N1153" i="24"/>
  <c r="K1153" i="24"/>
  <c r="H1153" i="24"/>
  <c r="Q1152" i="24"/>
  <c r="O1152" i="24"/>
  <c r="L1152" i="24" s="1"/>
  <c r="N1152" i="24"/>
  <c r="K1152" i="24"/>
  <c r="O1151" i="24"/>
  <c r="N1151" i="24"/>
  <c r="K1151" i="24"/>
  <c r="O1150" i="24"/>
  <c r="N1150" i="24"/>
  <c r="K1150" i="24"/>
  <c r="O1149" i="24"/>
  <c r="L1149" i="24" s="1"/>
  <c r="N1149" i="24"/>
  <c r="H1149" i="24"/>
  <c r="K1149" i="24" s="1"/>
  <c r="O1148" i="24"/>
  <c r="Q1148" i="24" s="1"/>
  <c r="N1148" i="24"/>
  <c r="L1148" i="24"/>
  <c r="K1148" i="24"/>
  <c r="Q1147" i="24"/>
  <c r="O1147" i="24"/>
  <c r="L1147" i="24" s="1"/>
  <c r="N1147" i="24"/>
  <c r="K1147" i="24"/>
  <c r="O1146" i="24"/>
  <c r="L1146" i="24" s="1"/>
  <c r="N1146" i="24"/>
  <c r="K1146" i="24"/>
  <c r="O1145" i="24"/>
  <c r="N1145" i="24"/>
  <c r="K1145" i="24"/>
  <c r="O1144" i="24"/>
  <c r="N1144" i="24"/>
  <c r="H1144" i="24"/>
  <c r="K1144" i="24" s="1"/>
  <c r="O1143" i="24"/>
  <c r="L1143" i="24" s="1"/>
  <c r="N1143" i="24"/>
  <c r="K1143" i="24"/>
  <c r="O1142" i="24"/>
  <c r="N1142" i="24"/>
  <c r="K1142" i="24"/>
  <c r="O1141" i="24"/>
  <c r="N1141" i="24"/>
  <c r="K1141" i="24"/>
  <c r="Q1140" i="24"/>
  <c r="O1140" i="24"/>
  <c r="L1140" i="24" s="1"/>
  <c r="N1140" i="24"/>
  <c r="K1140" i="24"/>
  <c r="O1139" i="24"/>
  <c r="L1139" i="24" s="1"/>
  <c r="N1139" i="24"/>
  <c r="H1139" i="24"/>
  <c r="K1139" i="24" s="1"/>
  <c r="O1138" i="24"/>
  <c r="Q1138" i="24" s="1"/>
  <c r="N1138" i="24"/>
  <c r="L1138" i="24"/>
  <c r="K1138" i="24"/>
  <c r="O1137" i="24"/>
  <c r="N1137" i="24"/>
  <c r="K1137" i="24"/>
  <c r="O1136" i="24"/>
  <c r="L1136" i="24" s="1"/>
  <c r="N1136" i="24"/>
  <c r="K1136" i="24"/>
  <c r="Q1135" i="24"/>
  <c r="O1135" i="24"/>
  <c r="N1135" i="24"/>
  <c r="L1135" i="24"/>
  <c r="K1135" i="24"/>
  <c r="O1134" i="24"/>
  <c r="Q1134" i="24" s="1"/>
  <c r="N1134" i="24"/>
  <c r="L1134" i="24"/>
  <c r="K1134" i="24"/>
  <c r="O1133" i="24"/>
  <c r="N1133" i="24"/>
  <c r="K1133" i="24"/>
  <c r="O1132" i="24"/>
  <c r="L1132" i="24" s="1"/>
  <c r="N1132" i="24"/>
  <c r="K1132" i="24"/>
  <c r="Q1131" i="24"/>
  <c r="O1131" i="24"/>
  <c r="N1131" i="24"/>
  <c r="L1131" i="24"/>
  <c r="K1131" i="24"/>
  <c r="H1131" i="24"/>
  <c r="Q1130" i="24"/>
  <c r="O1130" i="24"/>
  <c r="L1130" i="24" s="1"/>
  <c r="N1130" i="24"/>
  <c r="K1130" i="24"/>
  <c r="O1129" i="24"/>
  <c r="L1129" i="24" s="1"/>
  <c r="N1129" i="24"/>
  <c r="K1129" i="24"/>
  <c r="O1128" i="24"/>
  <c r="N1128" i="24"/>
  <c r="K1128" i="24"/>
  <c r="O1127" i="24"/>
  <c r="N1127" i="24"/>
  <c r="K1127" i="24"/>
  <c r="Q1126" i="24"/>
  <c r="O1126" i="24"/>
  <c r="L1126" i="24" s="1"/>
  <c r="N1126" i="24"/>
  <c r="H1126" i="24"/>
  <c r="K1126" i="24" s="1"/>
  <c r="Q1125" i="24"/>
  <c r="O1125" i="24"/>
  <c r="N1125" i="24"/>
  <c r="L1125" i="24"/>
  <c r="K1125" i="24"/>
  <c r="O1124" i="24"/>
  <c r="Q1124" i="24" s="1"/>
  <c r="N1124" i="24"/>
  <c r="L1124" i="24"/>
  <c r="K1124" i="24"/>
  <c r="Q1123" i="24"/>
  <c r="O1123" i="24"/>
  <c r="L1123" i="24" s="1"/>
  <c r="N1123" i="24"/>
  <c r="K1123" i="24"/>
  <c r="O1122" i="24"/>
  <c r="L1122" i="24" s="1"/>
  <c r="N1122" i="24"/>
  <c r="H1122" i="24"/>
  <c r="K1122" i="24" s="1"/>
  <c r="O1121" i="24"/>
  <c r="N1121" i="24"/>
  <c r="K1121" i="24"/>
  <c r="O1120" i="24"/>
  <c r="N1120" i="24"/>
  <c r="K1120" i="24"/>
  <c r="O1119" i="24"/>
  <c r="L1119" i="24" s="1"/>
  <c r="N1119" i="24"/>
  <c r="K1119" i="24"/>
  <c r="O1118" i="24"/>
  <c r="N1118" i="24"/>
  <c r="K1118" i="24"/>
  <c r="O1117" i="24"/>
  <c r="N1117" i="24"/>
  <c r="H1117" i="24"/>
  <c r="K1117" i="24" s="1"/>
  <c r="O1116" i="24"/>
  <c r="L1116" i="24" s="1"/>
  <c r="N1116" i="24"/>
  <c r="K1116" i="24"/>
  <c r="Q1115" i="24"/>
  <c r="O1115" i="24"/>
  <c r="L1115" i="24" s="1"/>
  <c r="N1115" i="24"/>
  <c r="K1115" i="24"/>
  <c r="O1114" i="24"/>
  <c r="N1114" i="24"/>
  <c r="K1114" i="24"/>
  <c r="Q1113" i="24"/>
  <c r="O1113" i="24"/>
  <c r="L1113" i="24" s="1"/>
  <c r="N1113" i="24"/>
  <c r="K1113" i="24"/>
  <c r="O1112" i="24"/>
  <c r="L1112" i="24" s="1"/>
  <c r="N1112" i="24"/>
  <c r="H1112" i="24"/>
  <c r="K1112" i="24" s="1"/>
  <c r="O1111" i="24"/>
  <c r="Q1111" i="24" s="1"/>
  <c r="N1111" i="24"/>
  <c r="L1111" i="24"/>
  <c r="K1111" i="24"/>
  <c r="O1110" i="24"/>
  <c r="N1110" i="24"/>
  <c r="H1110" i="24"/>
  <c r="K1110" i="24" s="1"/>
  <c r="O1109" i="24"/>
  <c r="N1109" i="24"/>
  <c r="K1109" i="24"/>
  <c r="O1108" i="24"/>
  <c r="N1108" i="24"/>
  <c r="K1108" i="24"/>
  <c r="Q1107" i="24"/>
  <c r="O1107" i="24"/>
  <c r="L1107" i="24" s="1"/>
  <c r="N1107" i="24"/>
  <c r="K1107" i="24"/>
  <c r="O1106" i="24"/>
  <c r="L1106" i="24" s="1"/>
  <c r="N1106" i="24"/>
  <c r="K1106" i="24"/>
  <c r="O1105" i="24"/>
  <c r="N1105" i="24"/>
  <c r="K1105" i="24"/>
  <c r="O1104" i="24"/>
  <c r="N1104" i="24"/>
  <c r="H1104" i="24"/>
  <c r="K1104" i="24" s="1"/>
  <c r="O1103" i="24"/>
  <c r="L1103" i="24" s="1"/>
  <c r="N1103" i="24"/>
  <c r="K1103" i="24"/>
  <c r="O1102" i="24"/>
  <c r="N1102" i="24"/>
  <c r="K1102" i="24"/>
  <c r="O1101" i="24"/>
  <c r="N1101" i="24"/>
  <c r="K1101" i="24"/>
  <c r="Q1100" i="24"/>
  <c r="O1100" i="24"/>
  <c r="L1100" i="24" s="1"/>
  <c r="N1100" i="24"/>
  <c r="K1100" i="24"/>
  <c r="O1099" i="24"/>
  <c r="N1099" i="24"/>
  <c r="K1099" i="24"/>
  <c r="O1098" i="24"/>
  <c r="N1098" i="24"/>
  <c r="H1098" i="24"/>
  <c r="K1098" i="24" s="1"/>
  <c r="O1097" i="24"/>
  <c r="N1097" i="24"/>
  <c r="K1097" i="24"/>
  <c r="O1096" i="24"/>
  <c r="Q1096" i="24" s="1"/>
  <c r="N1096" i="24"/>
  <c r="K1096" i="24"/>
  <c r="Q1095" i="24"/>
  <c r="O1095" i="24"/>
  <c r="N1095" i="24"/>
  <c r="L1095" i="24"/>
  <c r="K1095" i="24"/>
  <c r="O1094" i="24"/>
  <c r="Q1094" i="24" s="1"/>
  <c r="N1094" i="24"/>
  <c r="L1094" i="24"/>
  <c r="K1094" i="24"/>
  <c r="O1093" i="24"/>
  <c r="N1093" i="24"/>
  <c r="K1093" i="24"/>
  <c r="O1092" i="24"/>
  <c r="Q1092" i="24" s="1"/>
  <c r="N1092" i="24"/>
  <c r="L1092" i="24"/>
  <c r="K1092" i="24"/>
  <c r="O1091" i="24"/>
  <c r="Q1091" i="24" s="1"/>
  <c r="N1091" i="24"/>
  <c r="L1091" i="24"/>
  <c r="K1091" i="24"/>
  <c r="O1090" i="24"/>
  <c r="Q1090" i="24" s="1"/>
  <c r="N1090" i="24"/>
  <c r="L1090" i="24"/>
  <c r="H1090" i="24"/>
  <c r="K1090" i="24" s="1"/>
  <c r="O1089" i="24"/>
  <c r="Q1089" i="24" s="1"/>
  <c r="N1089" i="24"/>
  <c r="L1089" i="24"/>
  <c r="K1089" i="24"/>
  <c r="O1088" i="24"/>
  <c r="N1088" i="24"/>
  <c r="K1088" i="24"/>
  <c r="O1087" i="24"/>
  <c r="N1087" i="24"/>
  <c r="K1087" i="24"/>
  <c r="Q1086" i="24"/>
  <c r="O1086" i="24"/>
  <c r="L1086" i="24" s="1"/>
  <c r="N1086" i="24"/>
  <c r="K1086" i="24"/>
  <c r="O1085" i="24"/>
  <c r="N1085" i="24"/>
  <c r="K1085" i="24"/>
  <c r="Q1084" i="24"/>
  <c r="O1084" i="24"/>
  <c r="N1084" i="24"/>
  <c r="L1084" i="24"/>
  <c r="K1084" i="24"/>
  <c r="O1083" i="24"/>
  <c r="Q1083" i="24" s="1"/>
  <c r="N1083" i="24"/>
  <c r="K1083" i="24"/>
  <c r="Q1082" i="24"/>
  <c r="O1082" i="24"/>
  <c r="L1082" i="24" s="1"/>
  <c r="N1082" i="24"/>
  <c r="K1082" i="24"/>
  <c r="O1081" i="24"/>
  <c r="Q1081" i="24" s="1"/>
  <c r="N1081" i="24"/>
  <c r="K1081" i="24"/>
  <c r="Q1080" i="24"/>
  <c r="O1080" i="24"/>
  <c r="L1080" i="24" s="1"/>
  <c r="N1080" i="24"/>
  <c r="K1080" i="24"/>
  <c r="O1079" i="24"/>
  <c r="N1079" i="24"/>
  <c r="K1079" i="24"/>
  <c r="O1078" i="24"/>
  <c r="N1078" i="24"/>
  <c r="K1078" i="24"/>
  <c r="O1077" i="24"/>
  <c r="N1077" i="24"/>
  <c r="K1077" i="24"/>
  <c r="Q1076" i="24"/>
  <c r="O1076" i="24"/>
  <c r="N1076" i="24"/>
  <c r="L1076" i="24"/>
  <c r="K1076" i="24"/>
  <c r="O1075" i="24"/>
  <c r="Q1075" i="24" s="1"/>
  <c r="N1075" i="24"/>
  <c r="L1075" i="24"/>
  <c r="K1075" i="24"/>
  <c r="O1074" i="24"/>
  <c r="N1074" i="24"/>
  <c r="K1074" i="24"/>
  <c r="O1073" i="24"/>
  <c r="N1073" i="24"/>
  <c r="K1073" i="24"/>
  <c r="O1072" i="24"/>
  <c r="Q1072" i="24" s="1"/>
  <c r="N1072" i="24"/>
  <c r="L1072" i="24"/>
  <c r="K1072" i="24"/>
  <c r="O1071" i="24"/>
  <c r="Q1071" i="24" s="1"/>
  <c r="N1071" i="24"/>
  <c r="L1071" i="24"/>
  <c r="K1071" i="24"/>
  <c r="O1070" i="24"/>
  <c r="N1070" i="24"/>
  <c r="K1070" i="24"/>
  <c r="O1069" i="24"/>
  <c r="N1069" i="24"/>
  <c r="K1069" i="24"/>
  <c r="O1068" i="24"/>
  <c r="N1068" i="24"/>
  <c r="K1068" i="24"/>
  <c r="O1067" i="24"/>
  <c r="N1067" i="24"/>
  <c r="K1067" i="24"/>
  <c r="O1066" i="24"/>
  <c r="L1066" i="24" s="1"/>
  <c r="N1066" i="24"/>
  <c r="K1066" i="24"/>
  <c r="O1065" i="24"/>
  <c r="Q1065" i="24" s="1"/>
  <c r="N1065" i="24"/>
  <c r="K1065" i="24"/>
  <c r="Q1064" i="24"/>
  <c r="O1064" i="24"/>
  <c r="L1064" i="24" s="1"/>
  <c r="N1064" i="24"/>
  <c r="K1064" i="24"/>
  <c r="O1063" i="24"/>
  <c r="N1063" i="24"/>
  <c r="H1063" i="24"/>
  <c r="K1063" i="24" s="1"/>
  <c r="Q1062" i="24"/>
  <c r="O1062" i="24"/>
  <c r="N1062" i="24"/>
  <c r="L1062" i="24"/>
  <c r="K1062" i="24"/>
  <c r="Q1061" i="24"/>
  <c r="O1061" i="24"/>
  <c r="N1061" i="24"/>
  <c r="L1061" i="24"/>
  <c r="K1061" i="24"/>
  <c r="O1060" i="24"/>
  <c r="Q1060" i="24" s="1"/>
  <c r="N1060" i="24"/>
  <c r="L1060" i="24"/>
  <c r="K1060" i="24"/>
  <c r="O1059" i="24"/>
  <c r="L1059" i="24" s="1"/>
  <c r="N1059" i="24"/>
  <c r="K1059" i="24"/>
  <c r="O1058" i="24"/>
  <c r="Q1058" i="24" s="1"/>
  <c r="N1058" i="24"/>
  <c r="K1058" i="24"/>
  <c r="Q1057" i="24"/>
  <c r="O1057" i="24"/>
  <c r="N1057" i="24"/>
  <c r="L1057" i="24"/>
  <c r="K1057" i="24"/>
  <c r="O1056" i="24"/>
  <c r="Q1056" i="24" s="1"/>
  <c r="N1056" i="24"/>
  <c r="L1056" i="24"/>
  <c r="K1056" i="24"/>
  <c r="Q1055" i="24"/>
  <c r="O1055" i="24"/>
  <c r="L1055" i="24" s="1"/>
  <c r="N1055" i="24"/>
  <c r="K1055" i="24"/>
  <c r="Q1054" i="24"/>
  <c r="O1054" i="24"/>
  <c r="N1054" i="24"/>
  <c r="L1054" i="24"/>
  <c r="K1054" i="24"/>
  <c r="O1053" i="24"/>
  <c r="Q1053" i="24" s="1"/>
  <c r="N1053" i="24"/>
  <c r="L1053" i="24"/>
  <c r="K1053" i="24"/>
  <c r="O1052" i="24"/>
  <c r="Q1052" i="24" s="1"/>
  <c r="N1052" i="24"/>
  <c r="L1052" i="24"/>
  <c r="K1052" i="24"/>
  <c r="O1051" i="24"/>
  <c r="Q1051" i="24" s="1"/>
  <c r="N1051" i="24"/>
  <c r="K1051" i="24"/>
  <c r="O1050" i="24"/>
  <c r="N1050" i="24"/>
  <c r="K1050" i="24"/>
  <c r="O1049" i="24"/>
  <c r="N1049" i="24"/>
  <c r="K1049" i="24"/>
  <c r="O1048" i="24"/>
  <c r="N1048" i="24"/>
  <c r="K1048" i="24"/>
  <c r="O1047" i="24"/>
  <c r="Q1047" i="24" s="1"/>
  <c r="N1047" i="24"/>
  <c r="K1047" i="24"/>
  <c r="O1046" i="24"/>
  <c r="N1046" i="24"/>
  <c r="K1046" i="24"/>
  <c r="O1045" i="24"/>
  <c r="Q1045" i="24" s="1"/>
  <c r="N1045" i="24"/>
  <c r="L1045" i="24"/>
  <c r="K1045" i="24"/>
  <c r="O1044" i="24"/>
  <c r="Q1044" i="24" s="1"/>
  <c r="N1044" i="24"/>
  <c r="L1044" i="24"/>
  <c r="K1044" i="24"/>
  <c r="O1043" i="24"/>
  <c r="Q1043" i="24" s="1"/>
  <c r="N1043" i="24"/>
  <c r="K1043" i="24"/>
  <c r="O1042" i="24"/>
  <c r="N1042" i="24"/>
  <c r="K1042" i="24"/>
  <c r="H1042" i="24"/>
  <c r="O1041" i="24"/>
  <c r="Q1041" i="24" s="1"/>
  <c r="N1041" i="24"/>
  <c r="L1041" i="24"/>
  <c r="K1041" i="24"/>
  <c r="O1040" i="24"/>
  <c r="Q1040" i="24" s="1"/>
  <c r="N1040" i="24"/>
  <c r="K1040" i="24"/>
  <c r="O1039" i="24"/>
  <c r="N1039" i="24"/>
  <c r="K1039" i="24"/>
  <c r="O1038" i="24"/>
  <c r="N1038" i="24"/>
  <c r="K1038" i="24"/>
  <c r="O1037" i="24"/>
  <c r="N1037" i="24"/>
  <c r="K1037" i="24"/>
  <c r="O1036" i="24"/>
  <c r="Q1036" i="24" s="1"/>
  <c r="N1036" i="24"/>
  <c r="K1036" i="24"/>
  <c r="O1035" i="24"/>
  <c r="N1035" i="24"/>
  <c r="K1035" i="24"/>
  <c r="O1034" i="24"/>
  <c r="Q1034" i="24" s="1"/>
  <c r="N1034" i="24"/>
  <c r="L1034" i="24"/>
  <c r="K1034" i="24"/>
  <c r="O1033" i="24"/>
  <c r="Q1033" i="24" s="1"/>
  <c r="N1033" i="24"/>
  <c r="L1033" i="24"/>
  <c r="K1033" i="24"/>
  <c r="O1032" i="24"/>
  <c r="Q1032" i="24" s="1"/>
  <c r="N1032" i="24"/>
  <c r="K1032" i="24"/>
  <c r="O1031" i="24"/>
  <c r="N1031" i="24"/>
  <c r="K1031" i="24"/>
  <c r="O1030" i="24"/>
  <c r="N1030" i="24"/>
  <c r="K1030" i="24"/>
  <c r="O1029" i="24"/>
  <c r="N1029" i="24"/>
  <c r="K1029" i="24"/>
  <c r="O1028" i="24"/>
  <c r="Q1028" i="24" s="1"/>
  <c r="N1028" i="24"/>
  <c r="H1028" i="24"/>
  <c r="K1028" i="24" s="1"/>
  <c r="O1027" i="24"/>
  <c r="Q1027" i="24" s="1"/>
  <c r="N1027" i="24"/>
  <c r="L1027" i="24"/>
  <c r="K1027" i="24"/>
  <c r="O1026" i="24"/>
  <c r="Q1026" i="24" s="1"/>
  <c r="N1026" i="24"/>
  <c r="L1026" i="24"/>
  <c r="K1026" i="24"/>
  <c r="O1025" i="24"/>
  <c r="Q1025" i="24" s="1"/>
  <c r="N1025" i="24"/>
  <c r="K1025" i="24"/>
  <c r="O1024" i="24"/>
  <c r="N1024" i="24"/>
  <c r="K1024" i="24"/>
  <c r="O1023" i="24"/>
  <c r="N1023" i="24"/>
  <c r="K1023" i="24"/>
  <c r="O1022" i="24"/>
  <c r="N1022" i="24"/>
  <c r="K1022" i="24"/>
  <c r="O1021" i="24"/>
  <c r="Q1021" i="24" s="1"/>
  <c r="N1021" i="24"/>
  <c r="K1021" i="24"/>
  <c r="O1020" i="24"/>
  <c r="N1020" i="24"/>
  <c r="K1020" i="24"/>
  <c r="O1019" i="24"/>
  <c r="Q1019" i="24" s="1"/>
  <c r="N1019" i="24"/>
  <c r="L1019" i="24"/>
  <c r="K1019" i="24"/>
  <c r="O1018" i="24"/>
  <c r="Q1018" i="24" s="1"/>
  <c r="N1018" i="24"/>
  <c r="L1018" i="24"/>
  <c r="K1018" i="24"/>
  <c r="O1017" i="24"/>
  <c r="Q1017" i="24" s="1"/>
  <c r="N1017" i="24"/>
  <c r="K1017" i="24"/>
  <c r="O1016" i="24"/>
  <c r="N1016" i="24"/>
  <c r="K1016" i="24"/>
  <c r="O1015" i="24"/>
  <c r="N1015" i="24"/>
  <c r="H1015" i="24"/>
  <c r="K1015" i="24" s="1"/>
  <c r="O1014" i="24"/>
  <c r="Q1014" i="24" s="1"/>
  <c r="N1014" i="24"/>
  <c r="K1014" i="24"/>
  <c r="O1013" i="24"/>
  <c r="N1013" i="24"/>
  <c r="K1013" i="24"/>
  <c r="O1012" i="24"/>
  <c r="N1012" i="24"/>
  <c r="K1012" i="24"/>
  <c r="O1011" i="24"/>
  <c r="N1011" i="24"/>
  <c r="K1011" i="24"/>
  <c r="O1010" i="24"/>
  <c r="Q1010" i="24" s="1"/>
  <c r="N1010" i="24"/>
  <c r="K1010" i="24"/>
  <c r="Q1009" i="24"/>
  <c r="O1009" i="24"/>
  <c r="L1009" i="24" s="1"/>
  <c r="N1009" i="24"/>
  <c r="K1009" i="24"/>
  <c r="Q1008" i="24"/>
  <c r="O1008" i="24"/>
  <c r="L1008" i="24" s="1"/>
  <c r="N1008" i="24"/>
  <c r="K1008" i="24"/>
  <c r="O1007" i="24"/>
  <c r="N1007" i="24"/>
  <c r="K1007" i="24"/>
  <c r="O1006" i="24"/>
  <c r="Q1006" i="24" s="1"/>
  <c r="N1006" i="24"/>
  <c r="K1006" i="24"/>
  <c r="O1005" i="24"/>
  <c r="N1005" i="24"/>
  <c r="K1005" i="24"/>
  <c r="O1004" i="24"/>
  <c r="N1004" i="24"/>
  <c r="K1004" i="24"/>
  <c r="O1003" i="24"/>
  <c r="N1003" i="24"/>
  <c r="K1003" i="24"/>
  <c r="O1002" i="24"/>
  <c r="Q1002" i="24" s="1"/>
  <c r="N1002" i="24"/>
  <c r="K1002" i="24"/>
  <c r="Q1001" i="24"/>
  <c r="O1001" i="24"/>
  <c r="L1001" i="24" s="1"/>
  <c r="N1001" i="24"/>
  <c r="K1001" i="24"/>
  <c r="Q1000" i="24"/>
  <c r="O1000" i="24"/>
  <c r="L1000" i="24" s="1"/>
  <c r="N1000" i="24"/>
  <c r="K1000" i="24"/>
  <c r="O999" i="24"/>
  <c r="N999" i="24"/>
  <c r="K999" i="24"/>
  <c r="O998" i="24"/>
  <c r="Q998" i="24" s="1"/>
  <c r="N998" i="24"/>
  <c r="K998" i="24"/>
  <c r="O997" i="24"/>
  <c r="N997" i="24"/>
  <c r="K997" i="24"/>
  <c r="O996" i="24"/>
  <c r="N996" i="24"/>
  <c r="K996" i="24"/>
  <c r="O995" i="24"/>
  <c r="N995" i="24"/>
  <c r="K995" i="24"/>
  <c r="O994" i="24"/>
  <c r="Q994" i="24" s="1"/>
  <c r="N994" i="24"/>
  <c r="K994" i="24"/>
  <c r="Q993" i="24"/>
  <c r="O993" i="24"/>
  <c r="L993" i="24" s="1"/>
  <c r="N993" i="24"/>
  <c r="K993" i="24"/>
  <c r="Q992" i="24"/>
  <c r="O992" i="24"/>
  <c r="L992" i="24" s="1"/>
  <c r="N992" i="24"/>
  <c r="K992" i="24"/>
  <c r="O991" i="24"/>
  <c r="N991" i="24"/>
  <c r="K991" i="24"/>
  <c r="O990" i="24"/>
  <c r="Q990" i="24" s="1"/>
  <c r="N990" i="24"/>
  <c r="K990" i="24"/>
  <c r="O989" i="24"/>
  <c r="N989" i="24"/>
  <c r="H989" i="24"/>
  <c r="K989" i="24" s="1"/>
  <c r="O988" i="24"/>
  <c r="N988" i="24"/>
  <c r="K988" i="24"/>
  <c r="O987" i="24"/>
  <c r="Q987" i="24" s="1"/>
  <c r="N987" i="24"/>
  <c r="K987" i="24"/>
  <c r="Q986" i="24"/>
  <c r="O986" i="24"/>
  <c r="L986" i="24" s="1"/>
  <c r="N986" i="24"/>
  <c r="K986" i="24"/>
  <c r="Q985" i="24"/>
  <c r="O985" i="24"/>
  <c r="L985" i="24" s="1"/>
  <c r="N985" i="24"/>
  <c r="K985" i="24"/>
  <c r="O984" i="24"/>
  <c r="N984" i="24"/>
  <c r="K984" i="24"/>
  <c r="O983" i="24"/>
  <c r="Q983" i="24" s="1"/>
  <c r="N983" i="24"/>
  <c r="K983" i="24"/>
  <c r="O982" i="24"/>
  <c r="N982" i="24"/>
  <c r="K982" i="24"/>
  <c r="O981" i="24"/>
  <c r="N981" i="24"/>
  <c r="K981" i="24"/>
  <c r="O980" i="24"/>
  <c r="N980" i="24"/>
  <c r="K980" i="24"/>
  <c r="O979" i="24"/>
  <c r="Q979" i="24" s="1"/>
  <c r="N979" i="24"/>
  <c r="K979" i="24"/>
  <c r="Q978" i="24"/>
  <c r="O978" i="24"/>
  <c r="L978" i="24" s="1"/>
  <c r="N978" i="24"/>
  <c r="K978" i="24"/>
  <c r="Q977" i="24"/>
  <c r="O977" i="24"/>
  <c r="L977" i="24" s="1"/>
  <c r="N977" i="24"/>
  <c r="K977" i="24"/>
  <c r="O976" i="24"/>
  <c r="N976" i="24"/>
  <c r="K976" i="24"/>
  <c r="O975" i="24"/>
  <c r="Q975" i="24" s="1"/>
  <c r="N975" i="24"/>
  <c r="K975" i="24"/>
  <c r="O974" i="24"/>
  <c r="N974" i="24"/>
  <c r="K974" i="24"/>
  <c r="O973" i="24"/>
  <c r="N973" i="24"/>
  <c r="K973" i="24"/>
  <c r="O972" i="24"/>
  <c r="N972" i="24"/>
  <c r="K972" i="24"/>
  <c r="O971" i="24"/>
  <c r="Q971" i="24" s="1"/>
  <c r="N971" i="24"/>
  <c r="K971" i="24"/>
  <c r="O970" i="24"/>
  <c r="N970" i="24"/>
  <c r="K970" i="24"/>
  <c r="O969" i="24"/>
  <c r="N969" i="24"/>
  <c r="K969" i="24"/>
  <c r="O968" i="24"/>
  <c r="N968" i="24"/>
  <c r="K968" i="24"/>
  <c r="O967" i="24"/>
  <c r="Q967" i="24" s="1"/>
  <c r="N967" i="24"/>
  <c r="K967" i="24"/>
  <c r="O966" i="24"/>
  <c r="N966" i="24"/>
  <c r="K966" i="24"/>
  <c r="O965" i="24"/>
  <c r="N965" i="24"/>
  <c r="H965" i="24"/>
  <c r="K965" i="24" s="1"/>
  <c r="O964" i="24"/>
  <c r="Q964" i="24" s="1"/>
  <c r="N964" i="24"/>
  <c r="K964" i="24"/>
  <c r="O963" i="24"/>
  <c r="L963" i="24" s="1"/>
  <c r="N963" i="24"/>
  <c r="K963" i="24"/>
  <c r="O962" i="24"/>
  <c r="L962" i="24" s="1"/>
  <c r="N962" i="24"/>
  <c r="K962" i="24"/>
  <c r="O961" i="24"/>
  <c r="N961" i="24"/>
  <c r="K961" i="24"/>
  <c r="O960" i="24"/>
  <c r="Q960" i="24" s="1"/>
  <c r="N960" i="24"/>
  <c r="K960" i="24"/>
  <c r="O959" i="24"/>
  <c r="L959" i="24" s="1"/>
  <c r="N959" i="24"/>
  <c r="K959" i="24"/>
  <c r="O958" i="24"/>
  <c r="L958" i="24" s="1"/>
  <c r="N958" i="24"/>
  <c r="K958" i="24"/>
  <c r="O957" i="24"/>
  <c r="N957" i="24"/>
  <c r="K957" i="24"/>
  <c r="O956" i="24"/>
  <c r="Q956" i="24" s="1"/>
  <c r="N956" i="24"/>
  <c r="K956" i="24"/>
  <c r="O955" i="24"/>
  <c r="L955" i="24" s="1"/>
  <c r="N955" i="24"/>
  <c r="K955" i="24"/>
  <c r="O954" i="24"/>
  <c r="L954" i="24" s="1"/>
  <c r="N954" i="24"/>
  <c r="K954" i="24"/>
  <c r="O953" i="24"/>
  <c r="N953" i="24"/>
  <c r="K953" i="24"/>
  <c r="O952" i="24"/>
  <c r="Q952" i="24" s="1"/>
  <c r="N952" i="24"/>
  <c r="K952" i="24"/>
  <c r="Q951" i="24"/>
  <c r="O951" i="24"/>
  <c r="L951" i="24" s="1"/>
  <c r="N951" i="24"/>
  <c r="K951" i="24"/>
  <c r="Q950" i="24"/>
  <c r="O950" i="24"/>
  <c r="L950" i="24" s="1"/>
  <c r="N950" i="24"/>
  <c r="K950" i="24"/>
  <c r="O949" i="24"/>
  <c r="N949" i="24"/>
  <c r="H949" i="24"/>
  <c r="K949" i="24" s="1"/>
  <c r="Q948" i="24"/>
  <c r="O948" i="24"/>
  <c r="L948" i="24" s="1"/>
  <c r="N948" i="24"/>
  <c r="K948" i="24"/>
  <c r="Q947" i="24"/>
  <c r="O947" i="24"/>
  <c r="N947" i="24"/>
  <c r="L947" i="24"/>
  <c r="K947" i="24"/>
  <c r="O946" i="24"/>
  <c r="Q946" i="24" s="1"/>
  <c r="N946" i="24"/>
  <c r="L946" i="24"/>
  <c r="K946" i="24"/>
  <c r="O945" i="24"/>
  <c r="Q945" i="24" s="1"/>
  <c r="N945" i="24"/>
  <c r="K945" i="24"/>
  <c r="Q944" i="24"/>
  <c r="O944" i="24"/>
  <c r="L944" i="24" s="1"/>
  <c r="N944" i="24"/>
  <c r="K944" i="24"/>
  <c r="Q943" i="24"/>
  <c r="O943" i="24"/>
  <c r="N943" i="24"/>
  <c r="L943" i="24"/>
  <c r="K943" i="24"/>
  <c r="O942" i="24"/>
  <c r="Q942" i="24" s="1"/>
  <c r="N942" i="24"/>
  <c r="L942" i="24"/>
  <c r="K942" i="24"/>
  <c r="O941" i="24"/>
  <c r="Q941" i="24" s="1"/>
  <c r="N941" i="24"/>
  <c r="K941" i="24"/>
  <c r="Q940" i="24"/>
  <c r="O940" i="24"/>
  <c r="L940" i="24" s="1"/>
  <c r="N940" i="24"/>
  <c r="K940" i="24"/>
  <c r="Q939" i="24"/>
  <c r="O939" i="24"/>
  <c r="N939" i="24"/>
  <c r="L939" i="24"/>
  <c r="K939" i="24"/>
  <c r="O938" i="24"/>
  <c r="Q938" i="24" s="1"/>
  <c r="N938" i="24"/>
  <c r="L938" i="24"/>
  <c r="K938" i="24"/>
  <c r="O937" i="24"/>
  <c r="Q937" i="24" s="1"/>
  <c r="N937" i="24"/>
  <c r="K937" i="24"/>
  <c r="Q936" i="24"/>
  <c r="O936" i="24"/>
  <c r="L936" i="24" s="1"/>
  <c r="N936" i="24"/>
  <c r="K936" i="24"/>
  <c r="Q935" i="24"/>
  <c r="O935" i="24"/>
  <c r="N935" i="24"/>
  <c r="L935" i="24"/>
  <c r="K935" i="24"/>
  <c r="O934" i="24"/>
  <c r="Q934" i="24" s="1"/>
  <c r="N934" i="24"/>
  <c r="L934" i="24"/>
  <c r="K934" i="24"/>
  <c r="O933" i="24"/>
  <c r="Q933" i="24" s="1"/>
  <c r="N933" i="24"/>
  <c r="K933" i="24"/>
  <c r="Q932" i="24"/>
  <c r="O932" i="24"/>
  <c r="L932" i="24" s="1"/>
  <c r="N932" i="24"/>
  <c r="K932" i="24"/>
  <c r="Q931" i="24"/>
  <c r="O931" i="24"/>
  <c r="N931" i="24"/>
  <c r="L931" i="24"/>
  <c r="K931" i="24"/>
  <c r="O930" i="24"/>
  <c r="Q930" i="24" s="1"/>
  <c r="N930" i="24"/>
  <c r="L930" i="24"/>
  <c r="K930" i="24"/>
  <c r="O929" i="24"/>
  <c r="Q929" i="24" s="1"/>
  <c r="N929" i="24"/>
  <c r="K929" i="24"/>
  <c r="Q928" i="24"/>
  <c r="O928" i="24"/>
  <c r="L928" i="24" s="1"/>
  <c r="N928" i="24"/>
  <c r="K928" i="24"/>
  <c r="Q927" i="24"/>
  <c r="O927" i="24"/>
  <c r="N927" i="24"/>
  <c r="L927" i="24"/>
  <c r="K927" i="24"/>
  <c r="O926" i="24"/>
  <c r="Q926" i="24" s="1"/>
  <c r="N926" i="24"/>
  <c r="L926" i="24"/>
  <c r="K926" i="24"/>
  <c r="O925" i="24"/>
  <c r="N925" i="24"/>
  <c r="K925" i="24"/>
  <c r="Q924" i="24"/>
  <c r="O924" i="24"/>
  <c r="L924" i="24" s="1"/>
  <c r="N924" i="24"/>
  <c r="K924" i="24"/>
  <c r="Q923" i="24"/>
  <c r="O923" i="24"/>
  <c r="N923" i="24"/>
  <c r="L923" i="24"/>
  <c r="K923" i="24"/>
  <c r="O922" i="24"/>
  <c r="Q922" i="24" s="1"/>
  <c r="N922" i="24"/>
  <c r="L922" i="24"/>
  <c r="K922" i="24"/>
  <c r="O921" i="24"/>
  <c r="N921" i="24"/>
  <c r="K921" i="24"/>
  <c r="O920" i="24"/>
  <c r="L920" i="24" s="1"/>
  <c r="N920" i="24"/>
  <c r="K920" i="24"/>
  <c r="O919" i="24"/>
  <c r="L919" i="24" s="1"/>
  <c r="N919" i="24"/>
  <c r="K919" i="24"/>
  <c r="O918" i="24"/>
  <c r="N918" i="24"/>
  <c r="K918" i="24"/>
  <c r="O917" i="24"/>
  <c r="N917" i="24"/>
  <c r="K917" i="24"/>
  <c r="O916" i="24"/>
  <c r="L916" i="24" s="1"/>
  <c r="N916" i="24"/>
  <c r="H916" i="24"/>
  <c r="K916" i="24" s="1"/>
  <c r="O915" i="24"/>
  <c r="Q915" i="24" s="1"/>
  <c r="N915" i="24"/>
  <c r="L915" i="24"/>
  <c r="K915" i="24"/>
  <c r="O914" i="24"/>
  <c r="N914" i="24"/>
  <c r="K914" i="24"/>
  <c r="Q913" i="24"/>
  <c r="O913" i="24"/>
  <c r="L913" i="24" s="1"/>
  <c r="N913" i="24"/>
  <c r="H913" i="24"/>
  <c r="K913" i="24" s="1"/>
  <c r="O912" i="24"/>
  <c r="Q912" i="24" s="1"/>
  <c r="N912" i="24"/>
  <c r="L912" i="24"/>
  <c r="K912" i="24"/>
  <c r="O911" i="24"/>
  <c r="N911" i="24"/>
  <c r="H911" i="24"/>
  <c r="K911" i="24" s="1"/>
  <c r="Q910" i="24"/>
  <c r="O910" i="24"/>
  <c r="N910" i="24"/>
  <c r="L910" i="24"/>
  <c r="K910" i="24"/>
  <c r="O909" i="24"/>
  <c r="Q909" i="24" s="1"/>
  <c r="N909" i="24"/>
  <c r="L909" i="24"/>
  <c r="K909" i="24"/>
  <c r="O908" i="24"/>
  <c r="N908" i="24"/>
  <c r="K908" i="24"/>
  <c r="Q907" i="24"/>
  <c r="O907" i="24"/>
  <c r="L907" i="24" s="1"/>
  <c r="N907" i="24"/>
  <c r="K907" i="24"/>
  <c r="Q906" i="24"/>
  <c r="O906" i="24"/>
  <c r="N906" i="24"/>
  <c r="L906" i="24"/>
  <c r="K906" i="24"/>
  <c r="O905" i="24"/>
  <c r="Q905" i="24" s="1"/>
  <c r="N905" i="24"/>
  <c r="L905" i="24"/>
  <c r="K905" i="24"/>
  <c r="O904" i="24"/>
  <c r="N904" i="24"/>
  <c r="K904" i="24"/>
  <c r="Q903" i="24"/>
  <c r="O903" i="24"/>
  <c r="L903" i="24" s="1"/>
  <c r="N903" i="24"/>
  <c r="K903" i="24"/>
  <c r="Q902" i="24"/>
  <c r="O902" i="24"/>
  <c r="N902" i="24"/>
  <c r="L902" i="24"/>
  <c r="K902" i="24"/>
  <c r="O901" i="24"/>
  <c r="Q901" i="24" s="1"/>
  <c r="N901" i="24"/>
  <c r="L901" i="24"/>
  <c r="K901" i="24"/>
  <c r="O900" i="24"/>
  <c r="N900" i="24"/>
  <c r="K900" i="24"/>
  <c r="Q899" i="24"/>
  <c r="O899" i="24"/>
  <c r="L899" i="24" s="1"/>
  <c r="N899" i="24"/>
  <c r="K899" i="24"/>
  <c r="Q898" i="24"/>
  <c r="O898" i="24"/>
  <c r="N898" i="24"/>
  <c r="L898" i="24"/>
  <c r="K898" i="24"/>
  <c r="O897" i="24"/>
  <c r="Q897" i="24" s="1"/>
  <c r="N897" i="24"/>
  <c r="L897" i="24"/>
  <c r="K897" i="24"/>
  <c r="O896" i="24"/>
  <c r="L896" i="24" s="1"/>
  <c r="N896" i="24"/>
  <c r="K896" i="24"/>
  <c r="O895" i="24"/>
  <c r="N895" i="24"/>
  <c r="K895" i="24"/>
  <c r="Q894" i="24"/>
  <c r="O894" i="24"/>
  <c r="N894" i="24"/>
  <c r="L894" i="24"/>
  <c r="K894" i="24"/>
  <c r="O893" i="24"/>
  <c r="Q893" i="24" s="1"/>
  <c r="N893" i="24"/>
  <c r="K893" i="24"/>
  <c r="O892" i="24"/>
  <c r="L892" i="24" s="1"/>
  <c r="N892" i="24"/>
  <c r="K892" i="24"/>
  <c r="O891" i="24"/>
  <c r="L891" i="24" s="1"/>
  <c r="N891" i="24"/>
  <c r="K891" i="24"/>
  <c r="O890" i="24"/>
  <c r="N890" i="24"/>
  <c r="K890" i="24"/>
  <c r="O889" i="24"/>
  <c r="N889" i="24"/>
  <c r="K889" i="24"/>
  <c r="O888" i="24"/>
  <c r="L888" i="24" s="1"/>
  <c r="N888" i="24"/>
  <c r="K888" i="24"/>
  <c r="O887" i="24"/>
  <c r="Q887" i="24" s="1"/>
  <c r="N887" i="24"/>
  <c r="L887" i="24"/>
  <c r="K887" i="24"/>
  <c r="O886" i="24"/>
  <c r="N886" i="24"/>
  <c r="K886" i="24"/>
  <c r="O885" i="24"/>
  <c r="Q885" i="24" s="1"/>
  <c r="N885" i="24"/>
  <c r="K885" i="24"/>
  <c r="O884" i="24"/>
  <c r="L884" i="24" s="1"/>
  <c r="N884" i="24"/>
  <c r="K884" i="24"/>
  <c r="O883" i="24"/>
  <c r="L883" i="24" s="1"/>
  <c r="N883" i="24"/>
  <c r="K883" i="24"/>
  <c r="Q882" i="24"/>
  <c r="O882" i="24"/>
  <c r="N882" i="24"/>
  <c r="L882" i="24"/>
  <c r="K882" i="24"/>
  <c r="O881" i="24"/>
  <c r="Q881" i="24" s="1"/>
  <c r="N881" i="24"/>
  <c r="L881" i="24"/>
  <c r="H881" i="24"/>
  <c r="K881" i="24" s="1"/>
  <c r="O880" i="24"/>
  <c r="Q880" i="24" s="1"/>
  <c r="N880" i="24"/>
  <c r="L880" i="24"/>
  <c r="K880" i="24"/>
  <c r="Q879" i="24"/>
  <c r="O879" i="24"/>
  <c r="N879" i="24"/>
  <c r="L879" i="24"/>
  <c r="K879" i="24"/>
  <c r="H879" i="24"/>
  <c r="O878" i="24"/>
  <c r="L878" i="24" s="1"/>
  <c r="N878" i="24"/>
  <c r="K878" i="24"/>
  <c r="O877" i="24"/>
  <c r="L877" i="24" s="1"/>
  <c r="N877" i="24"/>
  <c r="K877" i="24"/>
  <c r="Q876" i="24"/>
  <c r="O876" i="24"/>
  <c r="N876" i="24"/>
  <c r="L876" i="24"/>
  <c r="K876" i="24"/>
  <c r="O875" i="24"/>
  <c r="Q875" i="24" s="1"/>
  <c r="N875" i="24"/>
  <c r="L875" i="24"/>
  <c r="K875" i="24"/>
  <c r="Q874" i="24"/>
  <c r="O874" i="24"/>
  <c r="L874" i="24" s="1"/>
  <c r="N874" i="24"/>
  <c r="K874" i="24"/>
  <c r="Q873" i="24"/>
  <c r="O873" i="24"/>
  <c r="N873" i="24"/>
  <c r="L873" i="24"/>
  <c r="K873" i="24"/>
  <c r="O872" i="24"/>
  <c r="N872" i="24"/>
  <c r="K872" i="24"/>
  <c r="O871" i="24"/>
  <c r="Q871" i="24" s="1"/>
  <c r="N871" i="24"/>
  <c r="K871" i="24"/>
  <c r="O870" i="24"/>
  <c r="N870" i="24"/>
  <c r="K870" i="24"/>
  <c r="O869" i="24"/>
  <c r="N869" i="24"/>
  <c r="K869" i="24"/>
  <c r="O868" i="24"/>
  <c r="L868" i="24" s="1"/>
  <c r="N868" i="24"/>
  <c r="H868" i="24"/>
  <c r="K868" i="24" s="1"/>
  <c r="O867" i="24"/>
  <c r="L867" i="24" s="1"/>
  <c r="N867" i="24"/>
  <c r="K867" i="24"/>
  <c r="O866" i="24"/>
  <c r="L866" i="24" s="1"/>
  <c r="N866" i="24"/>
  <c r="K866" i="24"/>
  <c r="O865" i="24"/>
  <c r="N865" i="24"/>
  <c r="K865" i="24"/>
  <c r="O864" i="24"/>
  <c r="N864" i="24"/>
  <c r="K864" i="24"/>
  <c r="O863" i="24"/>
  <c r="L863" i="24" s="1"/>
  <c r="N863" i="24"/>
  <c r="K863" i="24"/>
  <c r="O862" i="24"/>
  <c r="N862" i="24"/>
  <c r="K862" i="24"/>
  <c r="Q861" i="24"/>
  <c r="O861" i="24"/>
  <c r="L861" i="24" s="1"/>
  <c r="N861" i="24"/>
  <c r="K861" i="24"/>
  <c r="O860" i="24"/>
  <c r="L860" i="24" s="1"/>
  <c r="N860" i="24"/>
  <c r="H860" i="24"/>
  <c r="K860" i="24" s="1"/>
  <c r="O859" i="24"/>
  <c r="N859" i="24"/>
  <c r="K859" i="24"/>
  <c r="O858" i="24"/>
  <c r="L858" i="24" s="1"/>
  <c r="N858" i="24"/>
  <c r="K858" i="24"/>
  <c r="O857" i="24"/>
  <c r="L857" i="24" s="1"/>
  <c r="N857" i="24"/>
  <c r="K857" i="24"/>
  <c r="Q856" i="24"/>
  <c r="O856" i="24"/>
  <c r="L856" i="24" s="1"/>
  <c r="N856" i="24"/>
  <c r="K856" i="24"/>
  <c r="O855" i="24"/>
  <c r="N855" i="24"/>
  <c r="K855" i="24"/>
  <c r="O854" i="24"/>
  <c r="L854" i="24" s="1"/>
  <c r="N854" i="24"/>
  <c r="K854" i="24"/>
  <c r="O853" i="24"/>
  <c r="L853" i="24" s="1"/>
  <c r="N853" i="24"/>
  <c r="K853" i="24"/>
  <c r="O852" i="24"/>
  <c r="N852" i="24"/>
  <c r="K852" i="24"/>
  <c r="O851" i="24"/>
  <c r="Q851" i="24" s="1"/>
  <c r="N851" i="24"/>
  <c r="L851" i="24"/>
  <c r="K851" i="24"/>
  <c r="O850" i="24"/>
  <c r="N850" i="24"/>
  <c r="K850" i="24"/>
  <c r="O849" i="24"/>
  <c r="L849" i="24" s="1"/>
  <c r="N849" i="24"/>
  <c r="K849" i="24"/>
  <c r="O848" i="24"/>
  <c r="L848" i="24" s="1"/>
  <c r="N848" i="24"/>
  <c r="K848" i="24"/>
  <c r="O847" i="24"/>
  <c r="Q847" i="24" s="1"/>
  <c r="N847" i="24"/>
  <c r="L847" i="24"/>
  <c r="K847" i="24"/>
  <c r="O846" i="24"/>
  <c r="L846" i="24" s="1"/>
  <c r="N846" i="24"/>
  <c r="K846" i="24"/>
  <c r="H846" i="24"/>
  <c r="Q845" i="24"/>
  <c r="O845" i="24"/>
  <c r="L845" i="24" s="1"/>
  <c r="N845" i="24"/>
  <c r="K845" i="24"/>
  <c r="O844" i="24"/>
  <c r="Q844" i="24" s="1"/>
  <c r="N844" i="24"/>
  <c r="L844" i="24"/>
  <c r="K844" i="24"/>
  <c r="Q843" i="24"/>
  <c r="O843" i="24"/>
  <c r="N843" i="24"/>
  <c r="L843" i="24"/>
  <c r="K843" i="24"/>
  <c r="O842" i="24"/>
  <c r="L842" i="24" s="1"/>
  <c r="N842" i="24"/>
  <c r="K842" i="24"/>
  <c r="Q841" i="24"/>
  <c r="O841" i="24"/>
  <c r="L841" i="24" s="1"/>
  <c r="N841" i="24"/>
  <c r="K841" i="24"/>
  <c r="O840" i="24"/>
  <c r="Q840" i="24" s="1"/>
  <c r="N840" i="24"/>
  <c r="L840" i="24"/>
  <c r="K840" i="24"/>
  <c r="Q839" i="24"/>
  <c r="O839" i="24"/>
  <c r="N839" i="24"/>
  <c r="L839" i="24"/>
  <c r="K839" i="24"/>
  <c r="O838" i="24"/>
  <c r="L838" i="24" s="1"/>
  <c r="N838" i="24"/>
  <c r="H838" i="24"/>
  <c r="K838" i="24" s="1"/>
  <c r="O837" i="24"/>
  <c r="Q837" i="24" s="1"/>
  <c r="N837" i="24"/>
  <c r="L837" i="24"/>
  <c r="K837" i="24"/>
  <c r="Q836" i="24"/>
  <c r="O836" i="24"/>
  <c r="N836" i="24"/>
  <c r="L836" i="24"/>
  <c r="K836" i="24"/>
  <c r="O835" i="24"/>
  <c r="L835" i="24" s="1"/>
  <c r="N835" i="24"/>
  <c r="K835" i="24"/>
  <c r="Q834" i="24"/>
  <c r="O834" i="24"/>
  <c r="L834" i="24" s="1"/>
  <c r="N834" i="24"/>
  <c r="K834" i="24"/>
  <c r="O833" i="24"/>
  <c r="Q833" i="24" s="1"/>
  <c r="N833" i="24"/>
  <c r="L833" i="24"/>
  <c r="H833" i="24"/>
  <c r="K833" i="24" s="1"/>
  <c r="O832" i="24"/>
  <c r="L832" i="24" s="1"/>
  <c r="N832" i="24"/>
  <c r="K832" i="24"/>
  <c r="O831" i="24"/>
  <c r="L831" i="24" s="1"/>
  <c r="N831" i="24"/>
  <c r="K831" i="24"/>
  <c r="O830" i="24"/>
  <c r="N830" i="24"/>
  <c r="K830" i="24"/>
  <c r="Q829" i="24"/>
  <c r="O829" i="24"/>
  <c r="N829" i="24"/>
  <c r="L829" i="24"/>
  <c r="K829" i="24"/>
  <c r="O828" i="24"/>
  <c r="L828" i="24" s="1"/>
  <c r="N828" i="24"/>
  <c r="K828" i="24"/>
  <c r="Q827" i="24"/>
  <c r="O827" i="24"/>
  <c r="L827" i="24" s="1"/>
  <c r="N827" i="24"/>
  <c r="K827" i="24"/>
  <c r="O826" i="24"/>
  <c r="N826" i="24"/>
  <c r="K826" i="24"/>
  <c r="O825" i="24"/>
  <c r="L825" i="24" s="1"/>
  <c r="N825" i="24"/>
  <c r="K825" i="24"/>
  <c r="O824" i="24"/>
  <c r="L824" i="24" s="1"/>
  <c r="N824" i="24"/>
  <c r="K824" i="24"/>
  <c r="Q823" i="24"/>
  <c r="O823" i="24"/>
  <c r="L823" i="24" s="1"/>
  <c r="N823" i="24"/>
  <c r="K823" i="24"/>
  <c r="O822" i="24"/>
  <c r="N822" i="24"/>
  <c r="K822" i="24"/>
  <c r="O821" i="24"/>
  <c r="N821" i="24"/>
  <c r="K821" i="24"/>
  <c r="O820" i="24"/>
  <c r="L820" i="24" s="1"/>
  <c r="N820" i="24"/>
  <c r="K820" i="24"/>
  <c r="O819" i="24"/>
  <c r="N819" i="24"/>
  <c r="K819" i="24"/>
  <c r="O818" i="24"/>
  <c r="N818" i="24"/>
  <c r="K818" i="24"/>
  <c r="O817" i="24"/>
  <c r="Q817" i="24" s="1"/>
  <c r="N817" i="24"/>
  <c r="L817" i="24"/>
  <c r="K817" i="24"/>
  <c r="O816" i="24"/>
  <c r="L816" i="24" s="1"/>
  <c r="N816" i="24"/>
  <c r="K816" i="24"/>
  <c r="O815" i="24"/>
  <c r="L815" i="24" s="1"/>
  <c r="N815" i="24"/>
  <c r="K815" i="24"/>
  <c r="O814" i="24"/>
  <c r="N814" i="24"/>
  <c r="K814" i="24"/>
  <c r="Q813" i="24"/>
  <c r="O813" i="24"/>
  <c r="N813" i="24"/>
  <c r="L813" i="24"/>
  <c r="K813" i="24"/>
  <c r="O812" i="24"/>
  <c r="L812" i="24" s="1"/>
  <c r="N812" i="24"/>
  <c r="H812" i="24"/>
  <c r="K812" i="24" s="1"/>
  <c r="O811" i="24"/>
  <c r="N811" i="24"/>
  <c r="K811" i="24"/>
  <c r="Q810" i="24"/>
  <c r="O810" i="24"/>
  <c r="L810" i="24" s="1"/>
  <c r="N810" i="24"/>
  <c r="K810" i="24"/>
  <c r="O809" i="24"/>
  <c r="L809" i="24" s="1"/>
  <c r="N809" i="24"/>
  <c r="K809" i="24"/>
  <c r="O808" i="24"/>
  <c r="L808" i="24" s="1"/>
  <c r="N808" i="24"/>
  <c r="K808" i="24"/>
  <c r="O807" i="24"/>
  <c r="N807" i="24"/>
  <c r="K807" i="24"/>
  <c r="O806" i="24"/>
  <c r="N806" i="24"/>
  <c r="H806" i="24"/>
  <c r="K806" i="24" s="1"/>
  <c r="O805" i="24"/>
  <c r="N805" i="24"/>
  <c r="K805" i="24"/>
  <c r="O804" i="24"/>
  <c r="Q804" i="24" s="1"/>
  <c r="N804" i="24"/>
  <c r="L804" i="24"/>
  <c r="K804" i="24"/>
  <c r="O803" i="24"/>
  <c r="N803" i="24"/>
  <c r="K803" i="24"/>
  <c r="O802" i="24"/>
  <c r="L802" i="24" s="1"/>
  <c r="N802" i="24"/>
  <c r="K802" i="24"/>
  <c r="O801" i="24"/>
  <c r="N801" i="24"/>
  <c r="K801" i="24"/>
  <c r="O800" i="24"/>
  <c r="Q800" i="24" s="1"/>
  <c r="N800" i="24"/>
  <c r="L800" i="24"/>
  <c r="K800" i="24"/>
  <c r="O799" i="24"/>
  <c r="Q799" i="24" s="1"/>
  <c r="N799" i="24"/>
  <c r="L799" i="24"/>
  <c r="K799" i="24"/>
  <c r="O798" i="24"/>
  <c r="L798" i="24" s="1"/>
  <c r="N798" i="24"/>
  <c r="H798" i="24"/>
  <c r="K798" i="24" s="1"/>
  <c r="O797" i="24"/>
  <c r="Q797" i="24" s="1"/>
  <c r="N797" i="24"/>
  <c r="L797" i="24"/>
  <c r="K797" i="24"/>
  <c r="O796" i="24"/>
  <c r="N796" i="24"/>
  <c r="K796" i="24"/>
  <c r="O795" i="24"/>
  <c r="L795" i="24" s="1"/>
  <c r="N795" i="24"/>
  <c r="K795" i="24"/>
  <c r="O794" i="24"/>
  <c r="N794" i="24"/>
  <c r="K794" i="24"/>
  <c r="O793" i="24"/>
  <c r="Q793" i="24" s="1"/>
  <c r="N793" i="24"/>
  <c r="L793" i="24"/>
  <c r="K793" i="24"/>
  <c r="O792" i="24"/>
  <c r="Q792" i="24" s="1"/>
  <c r="N792" i="24"/>
  <c r="L792" i="24"/>
  <c r="K792" i="24"/>
  <c r="O791" i="24"/>
  <c r="L791" i="24" s="1"/>
  <c r="N791" i="24"/>
  <c r="K791" i="24"/>
  <c r="O790" i="24"/>
  <c r="N790" i="24"/>
  <c r="K790" i="24"/>
  <c r="O789" i="24"/>
  <c r="Q789" i="24" s="1"/>
  <c r="N789" i="24"/>
  <c r="L789" i="24"/>
  <c r="K789" i="24"/>
  <c r="O788" i="24"/>
  <c r="N788" i="24"/>
  <c r="K788" i="24"/>
  <c r="O787" i="24"/>
  <c r="L787" i="24" s="1"/>
  <c r="N787" i="24"/>
  <c r="K787" i="24"/>
  <c r="O786" i="24"/>
  <c r="N786" i="24"/>
  <c r="K786" i="24"/>
  <c r="H786" i="24"/>
  <c r="Q785" i="24"/>
  <c r="O785" i="24"/>
  <c r="L785" i="24" s="1"/>
  <c r="N785" i="24"/>
  <c r="K785" i="24"/>
  <c r="O784" i="24"/>
  <c r="L784" i="24" s="1"/>
  <c r="N784" i="24"/>
  <c r="K784" i="24"/>
  <c r="O783" i="24"/>
  <c r="N783" i="24"/>
  <c r="K783" i="24"/>
  <c r="O782" i="24"/>
  <c r="Q782" i="24" s="1"/>
  <c r="N782" i="24"/>
  <c r="L782" i="24"/>
  <c r="K782" i="24"/>
  <c r="O781" i="24"/>
  <c r="N781" i="24"/>
  <c r="K781" i="24"/>
  <c r="O780" i="24"/>
  <c r="L780" i="24" s="1"/>
  <c r="N780" i="24"/>
  <c r="K780" i="24"/>
  <c r="O779" i="24"/>
  <c r="L779" i="24" s="1"/>
  <c r="N779" i="24"/>
  <c r="H779" i="24"/>
  <c r="K779" i="24" s="1"/>
  <c r="O778" i="24"/>
  <c r="Q778" i="24" s="1"/>
  <c r="N778" i="24"/>
  <c r="L778" i="24"/>
  <c r="K778" i="24"/>
  <c r="O777" i="24"/>
  <c r="L777" i="24" s="1"/>
  <c r="N777" i="24"/>
  <c r="K777" i="24"/>
  <c r="O776" i="24"/>
  <c r="L776" i="24" s="1"/>
  <c r="N776" i="24"/>
  <c r="K776" i="24"/>
  <c r="O775" i="24"/>
  <c r="N775" i="24"/>
  <c r="K775" i="24"/>
  <c r="Q774" i="24"/>
  <c r="O774" i="24"/>
  <c r="N774" i="24"/>
  <c r="L774" i="24"/>
  <c r="K774" i="24"/>
  <c r="O773" i="24"/>
  <c r="L773" i="24" s="1"/>
  <c r="N773" i="24"/>
  <c r="H773" i="24"/>
  <c r="K773" i="24" s="1"/>
  <c r="O772" i="24"/>
  <c r="N772" i="24"/>
  <c r="K772" i="24"/>
  <c r="Q771" i="24"/>
  <c r="O771" i="24"/>
  <c r="L771" i="24" s="1"/>
  <c r="N771" i="24"/>
  <c r="K771" i="24"/>
  <c r="O770" i="24"/>
  <c r="L770" i="24" s="1"/>
  <c r="N770" i="24"/>
  <c r="K770" i="24"/>
  <c r="O769" i="24"/>
  <c r="L769" i="24" s="1"/>
  <c r="N769" i="24"/>
  <c r="K769" i="24"/>
  <c r="O768" i="24"/>
  <c r="N768" i="24"/>
  <c r="K768" i="24"/>
  <c r="O767" i="24"/>
  <c r="N767" i="24"/>
  <c r="K767" i="24"/>
  <c r="O766" i="24"/>
  <c r="L766" i="24" s="1"/>
  <c r="N766" i="24"/>
  <c r="K766" i="24"/>
  <c r="O765" i="24"/>
  <c r="N765" i="24"/>
  <c r="K765" i="24"/>
  <c r="O764" i="24"/>
  <c r="N764" i="24"/>
  <c r="K764" i="24"/>
  <c r="O763" i="24"/>
  <c r="Q763" i="24" s="1"/>
  <c r="N763" i="24"/>
  <c r="L763" i="24"/>
  <c r="K763" i="24"/>
  <c r="O762" i="24"/>
  <c r="L762" i="24" s="1"/>
  <c r="N762" i="24"/>
  <c r="K762" i="24"/>
  <c r="O761" i="24"/>
  <c r="L761" i="24" s="1"/>
  <c r="N761" i="24"/>
  <c r="K761" i="24"/>
  <c r="O760" i="24"/>
  <c r="N760" i="24"/>
  <c r="K760" i="24"/>
  <c r="Q759" i="24"/>
  <c r="O759" i="24"/>
  <c r="N759" i="24"/>
  <c r="L759" i="24"/>
  <c r="K759" i="24"/>
  <c r="O758" i="24"/>
  <c r="L758" i="24" s="1"/>
  <c r="N758" i="24"/>
  <c r="H758" i="24"/>
  <c r="K758" i="24" s="1"/>
  <c r="O757" i="24"/>
  <c r="N757" i="24"/>
  <c r="K757" i="24"/>
  <c r="O756" i="24"/>
  <c r="L756" i="24" s="1"/>
  <c r="N756" i="24"/>
  <c r="K756" i="24"/>
  <c r="O755" i="24"/>
  <c r="L755" i="24" s="1"/>
  <c r="N755" i="24"/>
  <c r="K755" i="24"/>
  <c r="Q754" i="24"/>
  <c r="O754" i="24"/>
  <c r="L754" i="24" s="1"/>
  <c r="N754" i="24"/>
  <c r="H754" i="24"/>
  <c r="K754" i="24" s="1"/>
  <c r="Q753" i="24"/>
  <c r="O753" i="24"/>
  <c r="N753" i="24"/>
  <c r="L753" i="24"/>
  <c r="K753" i="24"/>
  <c r="O752" i="24"/>
  <c r="L752" i="24" s="1"/>
  <c r="N752" i="24"/>
  <c r="K752" i="24"/>
  <c r="Q751" i="24"/>
  <c r="O751" i="24"/>
  <c r="L751" i="24" s="1"/>
  <c r="N751" i="24"/>
  <c r="K751" i="24"/>
  <c r="O750" i="24"/>
  <c r="N750" i="24"/>
  <c r="H750" i="24"/>
  <c r="K750" i="24" s="1"/>
  <c r="O749" i="24"/>
  <c r="L749" i="24" s="1"/>
  <c r="N749" i="24"/>
  <c r="K749" i="24"/>
  <c r="O748" i="24"/>
  <c r="L748" i="24" s="1"/>
  <c r="N748" i="24"/>
  <c r="K748" i="24"/>
  <c r="O747" i="24"/>
  <c r="N747" i="24"/>
  <c r="K747" i="24"/>
  <c r="O746" i="24"/>
  <c r="N746" i="24"/>
  <c r="K746" i="24"/>
  <c r="O745" i="24"/>
  <c r="L745" i="24" s="1"/>
  <c r="N745" i="24"/>
  <c r="K745" i="24"/>
  <c r="O744" i="24"/>
  <c r="N744" i="24"/>
  <c r="K744" i="24"/>
  <c r="O743" i="24"/>
  <c r="N743" i="24"/>
  <c r="K743" i="24"/>
  <c r="O742" i="24"/>
  <c r="Q742" i="24" s="1"/>
  <c r="N742" i="24"/>
  <c r="L742" i="24"/>
  <c r="H742" i="24"/>
  <c r="K742" i="24" s="1"/>
  <c r="O741" i="24"/>
  <c r="N741" i="24"/>
  <c r="K741" i="24"/>
  <c r="O740" i="24"/>
  <c r="Q740" i="24" s="1"/>
  <c r="N740" i="24"/>
  <c r="L740" i="24"/>
  <c r="K740" i="24"/>
  <c r="O739" i="24"/>
  <c r="Q739" i="24" s="1"/>
  <c r="N739" i="24"/>
  <c r="L739" i="24"/>
  <c r="H739" i="24"/>
  <c r="K739" i="24" s="1"/>
  <c r="O738" i="24"/>
  <c r="N738" i="24"/>
  <c r="K738" i="24"/>
  <c r="O737" i="24"/>
  <c r="N737" i="24"/>
  <c r="K737" i="24"/>
  <c r="O736" i="24"/>
  <c r="Q736" i="24" s="1"/>
  <c r="N736" i="24"/>
  <c r="L736" i="24"/>
  <c r="K736" i="24"/>
  <c r="O735" i="24"/>
  <c r="L735" i="24" s="1"/>
  <c r="N735" i="24"/>
  <c r="K735" i="24"/>
  <c r="O734" i="24"/>
  <c r="L734" i="24" s="1"/>
  <c r="N734" i="24"/>
  <c r="K734" i="24"/>
  <c r="O733" i="24"/>
  <c r="N733" i="24"/>
  <c r="K733" i="24"/>
  <c r="Q732" i="24"/>
  <c r="O732" i="24"/>
  <c r="N732" i="24"/>
  <c r="L732" i="24"/>
  <c r="K732" i="24"/>
  <c r="O731" i="24"/>
  <c r="L731" i="24" s="1"/>
  <c r="N731" i="24"/>
  <c r="H731" i="24"/>
  <c r="K731" i="24" s="1"/>
  <c r="O730" i="24"/>
  <c r="N730" i="24"/>
  <c r="K730" i="24"/>
  <c r="O729" i="24"/>
  <c r="L729" i="24" s="1"/>
  <c r="N729" i="24"/>
  <c r="K729" i="24"/>
  <c r="O728" i="24"/>
  <c r="L728" i="24" s="1"/>
  <c r="N728" i="24"/>
  <c r="K728" i="24"/>
  <c r="O727" i="24"/>
  <c r="L727" i="24" s="1"/>
  <c r="N727" i="24"/>
  <c r="K727" i="24"/>
  <c r="O726" i="24"/>
  <c r="N726" i="24"/>
  <c r="K726" i="24"/>
  <c r="O725" i="24"/>
  <c r="N725" i="24"/>
  <c r="K725" i="24"/>
  <c r="O724" i="24"/>
  <c r="L724" i="24" s="1"/>
  <c r="N724" i="24"/>
  <c r="K724" i="24"/>
  <c r="O723" i="24"/>
  <c r="N723" i="24"/>
  <c r="K723" i="24"/>
  <c r="O722" i="24"/>
  <c r="N722" i="24"/>
  <c r="K722" i="24"/>
  <c r="O721" i="24"/>
  <c r="Q721" i="24" s="1"/>
  <c r="N721" i="24"/>
  <c r="L721" i="24"/>
  <c r="K721" i="24"/>
  <c r="O720" i="24"/>
  <c r="L720" i="24" s="1"/>
  <c r="N720" i="24"/>
  <c r="K720" i="24"/>
  <c r="O719" i="24"/>
  <c r="L719" i="24" s="1"/>
  <c r="N719" i="24"/>
  <c r="K719" i="24"/>
  <c r="O718" i="24"/>
  <c r="N718" i="24"/>
  <c r="K718" i="24"/>
  <c r="Q717" i="24"/>
  <c r="O717" i="24"/>
  <c r="N717" i="24"/>
  <c r="L717" i="24"/>
  <c r="K717" i="24"/>
  <c r="O716" i="24"/>
  <c r="L716" i="24" s="1"/>
  <c r="N716" i="24"/>
  <c r="K716" i="24"/>
  <c r="Q715" i="24"/>
  <c r="O715" i="24"/>
  <c r="L715" i="24" s="1"/>
  <c r="N715" i="24"/>
  <c r="K715" i="24"/>
  <c r="O714" i="24"/>
  <c r="N714" i="24"/>
  <c r="K714" i="24"/>
  <c r="Q713" i="24"/>
  <c r="O713" i="24"/>
  <c r="L713" i="24" s="1"/>
  <c r="N713" i="24"/>
  <c r="K713" i="24"/>
  <c r="O712" i="24"/>
  <c r="L712" i="24" s="1"/>
  <c r="N712" i="24"/>
  <c r="K712" i="24"/>
  <c r="Q711" i="24"/>
  <c r="O711" i="24"/>
  <c r="L711" i="24" s="1"/>
  <c r="N711" i="24"/>
  <c r="K711" i="24"/>
  <c r="O710" i="24"/>
  <c r="N710" i="24"/>
  <c r="K710" i="24"/>
  <c r="O709" i="24"/>
  <c r="N709" i="24"/>
  <c r="K709" i="24"/>
  <c r="O708" i="24"/>
  <c r="L708" i="24" s="1"/>
  <c r="N708" i="24"/>
  <c r="H708" i="24"/>
  <c r="K708" i="24" s="1"/>
  <c r="O707" i="24"/>
  <c r="N707" i="24"/>
  <c r="K707" i="24"/>
  <c r="O706" i="24"/>
  <c r="Q706" i="24" s="1"/>
  <c r="N706" i="24"/>
  <c r="L706" i="24"/>
  <c r="K706" i="24"/>
  <c r="O705" i="24"/>
  <c r="L705" i="24" s="1"/>
  <c r="N705" i="24"/>
  <c r="K705" i="24"/>
  <c r="O704" i="24"/>
  <c r="L704" i="24" s="1"/>
  <c r="N704" i="24"/>
  <c r="K704" i="24"/>
  <c r="O703" i="24"/>
  <c r="N703" i="24"/>
  <c r="K703" i="24"/>
  <c r="Q702" i="24"/>
  <c r="O702" i="24"/>
  <c r="N702" i="24"/>
  <c r="L702" i="24"/>
  <c r="K702" i="24"/>
  <c r="O701" i="24"/>
  <c r="L701" i="24" s="1"/>
  <c r="N701" i="24"/>
  <c r="K701" i="24"/>
  <c r="Q700" i="24"/>
  <c r="O700" i="24"/>
  <c r="L700" i="24" s="1"/>
  <c r="N700" i="24"/>
  <c r="K700" i="24"/>
  <c r="O699" i="24"/>
  <c r="N699" i="24"/>
  <c r="K699" i="24"/>
  <c r="Q698" i="24"/>
  <c r="O698" i="24"/>
  <c r="L698" i="24" s="1"/>
  <c r="N698" i="24"/>
  <c r="K698" i="24"/>
  <c r="O697" i="24"/>
  <c r="L697" i="24" s="1"/>
  <c r="N697" i="24"/>
  <c r="K697" i="24"/>
  <c r="O696" i="24"/>
  <c r="L696" i="24" s="1"/>
  <c r="N696" i="24"/>
  <c r="K696" i="24"/>
  <c r="O695" i="24"/>
  <c r="N695" i="24"/>
  <c r="K695" i="24"/>
  <c r="O694" i="24"/>
  <c r="N694" i="24"/>
  <c r="K694" i="24"/>
  <c r="O693" i="24"/>
  <c r="L693" i="24" s="1"/>
  <c r="N693" i="24"/>
  <c r="K693" i="24"/>
  <c r="O692" i="24"/>
  <c r="N692" i="24"/>
  <c r="K692" i="24"/>
  <c r="O691" i="24"/>
  <c r="N691" i="24"/>
  <c r="K691" i="24"/>
  <c r="O690" i="24"/>
  <c r="Q690" i="24" s="1"/>
  <c r="N690" i="24"/>
  <c r="L690" i="24"/>
  <c r="K690" i="24"/>
  <c r="O689" i="24"/>
  <c r="L689" i="24" s="1"/>
  <c r="N689" i="24"/>
  <c r="K689" i="24"/>
  <c r="O688" i="24"/>
  <c r="L688" i="24" s="1"/>
  <c r="N688" i="24"/>
  <c r="K688" i="24"/>
  <c r="O687" i="24"/>
  <c r="N687" i="24"/>
  <c r="K687" i="24"/>
  <c r="Q686" i="24"/>
  <c r="O686" i="24"/>
  <c r="N686" i="24"/>
  <c r="L686" i="24"/>
  <c r="K686" i="24"/>
  <c r="H686" i="24"/>
  <c r="O685" i="24"/>
  <c r="N685" i="24"/>
  <c r="K685" i="24"/>
  <c r="O684" i="24"/>
  <c r="Q684" i="24" s="1"/>
  <c r="N684" i="24"/>
  <c r="L684" i="24"/>
  <c r="H684" i="24"/>
  <c r="K684" i="24" s="1"/>
  <c r="O683" i="24"/>
  <c r="L683" i="24" s="1"/>
  <c r="N683" i="24"/>
  <c r="K683" i="24"/>
  <c r="Q682" i="24"/>
  <c r="O682" i="24"/>
  <c r="L682" i="24" s="1"/>
  <c r="N682" i="24"/>
  <c r="K682" i="24"/>
  <c r="O681" i="24"/>
  <c r="N681" i="24"/>
  <c r="K681" i="24"/>
  <c r="Q680" i="24"/>
  <c r="O680" i="24"/>
  <c r="N680" i="24"/>
  <c r="L680" i="24"/>
  <c r="K680" i="24"/>
  <c r="O679" i="24"/>
  <c r="L679" i="24" s="1"/>
  <c r="N679" i="24"/>
  <c r="K679" i="24"/>
  <c r="Q678" i="24"/>
  <c r="O678" i="24"/>
  <c r="L678" i="24" s="1"/>
  <c r="N678" i="24"/>
  <c r="K678" i="24"/>
  <c r="O677" i="24"/>
  <c r="N677" i="24"/>
  <c r="K677" i="24"/>
  <c r="Q676" i="24"/>
  <c r="O676" i="24"/>
  <c r="N676" i="24"/>
  <c r="L676" i="24"/>
  <c r="K676" i="24"/>
  <c r="O675" i="24"/>
  <c r="L675" i="24" s="1"/>
  <c r="N675" i="24"/>
  <c r="K675" i="24"/>
  <c r="Q674" i="24"/>
  <c r="O674" i="24"/>
  <c r="L674" i="24" s="1"/>
  <c r="N674" i="24"/>
  <c r="K674" i="24"/>
  <c r="O673" i="24"/>
  <c r="N673" i="24"/>
  <c r="K673" i="24"/>
  <c r="Q672" i="24"/>
  <c r="O672" i="24"/>
  <c r="N672" i="24"/>
  <c r="L672" i="24"/>
  <c r="K672" i="24"/>
  <c r="O671" i="24"/>
  <c r="L671" i="24" s="1"/>
  <c r="N671" i="24"/>
  <c r="K671" i="24"/>
  <c r="Q670" i="24"/>
  <c r="O670" i="24"/>
  <c r="L670" i="24" s="1"/>
  <c r="N670" i="24"/>
  <c r="K670" i="24"/>
  <c r="O669" i="24"/>
  <c r="N669" i="24"/>
  <c r="K669" i="24"/>
  <c r="Q668" i="24"/>
  <c r="O668" i="24"/>
  <c r="N668" i="24"/>
  <c r="L668" i="24"/>
  <c r="K668" i="24"/>
  <c r="O667" i="24"/>
  <c r="L667" i="24" s="1"/>
  <c r="N667" i="24"/>
  <c r="H667" i="24"/>
  <c r="K667" i="24" s="1"/>
  <c r="O666" i="24"/>
  <c r="N666" i="24"/>
  <c r="K666" i="24"/>
  <c r="Q665" i="24"/>
  <c r="O665" i="24"/>
  <c r="N665" i="24"/>
  <c r="L665" i="24"/>
  <c r="K665" i="24"/>
  <c r="O664" i="24"/>
  <c r="L664" i="24" s="1"/>
  <c r="N664" i="24"/>
  <c r="K664" i="24"/>
  <c r="Q663" i="24"/>
  <c r="O663" i="24"/>
  <c r="L663" i="24" s="1"/>
  <c r="N663" i="24"/>
  <c r="K663" i="24"/>
  <c r="O662" i="24"/>
  <c r="N662" i="24"/>
  <c r="K662" i="24"/>
  <c r="Q661" i="24"/>
  <c r="O661" i="24"/>
  <c r="N661" i="24"/>
  <c r="L661" i="24"/>
  <c r="K661" i="24"/>
  <c r="O660" i="24"/>
  <c r="L660" i="24" s="1"/>
  <c r="N660" i="24"/>
  <c r="K660" i="24"/>
  <c r="Q659" i="24"/>
  <c r="O659" i="24"/>
  <c r="L659" i="24" s="1"/>
  <c r="N659" i="24"/>
  <c r="K659" i="24"/>
  <c r="O658" i="24"/>
  <c r="N658" i="24"/>
  <c r="K658" i="24"/>
  <c r="Q657" i="24"/>
  <c r="O657" i="24"/>
  <c r="N657" i="24"/>
  <c r="L657" i="24"/>
  <c r="K657" i="24"/>
  <c r="O656" i="24"/>
  <c r="L656" i="24" s="1"/>
  <c r="N656" i="24"/>
  <c r="K656" i="24"/>
  <c r="Q655" i="24"/>
  <c r="O655" i="24"/>
  <c r="L655" i="24" s="1"/>
  <c r="N655" i="24"/>
  <c r="K655" i="24"/>
  <c r="O654" i="24"/>
  <c r="N654" i="24"/>
  <c r="H654" i="24"/>
  <c r="K654" i="24" s="1"/>
  <c r="O653" i="24"/>
  <c r="L653" i="24" s="1"/>
  <c r="N653" i="24"/>
  <c r="K653" i="24"/>
  <c r="O652" i="24"/>
  <c r="L652" i="24" s="1"/>
  <c r="N652" i="24"/>
  <c r="K652" i="24"/>
  <c r="O651" i="24"/>
  <c r="N651" i="24"/>
  <c r="K651" i="24"/>
  <c r="O650" i="24"/>
  <c r="N650" i="24"/>
  <c r="K650" i="24"/>
  <c r="O649" i="24"/>
  <c r="L649" i="24" s="1"/>
  <c r="N649" i="24"/>
  <c r="K649" i="24"/>
  <c r="O648" i="24"/>
  <c r="N648" i="24"/>
  <c r="K648" i="24"/>
  <c r="O647" i="24"/>
  <c r="N647" i="24"/>
  <c r="K647" i="24"/>
  <c r="O646" i="24"/>
  <c r="Q646" i="24" s="1"/>
  <c r="N646" i="24"/>
  <c r="L646" i="24"/>
  <c r="K646" i="24"/>
  <c r="O645" i="24"/>
  <c r="L645" i="24" s="1"/>
  <c r="N645" i="24"/>
  <c r="H645" i="24"/>
  <c r="K645" i="24" s="1"/>
  <c r="O644" i="24"/>
  <c r="N644" i="24"/>
  <c r="K644" i="24"/>
  <c r="Q643" i="24"/>
  <c r="O643" i="24"/>
  <c r="N643" i="24"/>
  <c r="L643" i="24"/>
  <c r="K643" i="24"/>
  <c r="O642" i="24"/>
  <c r="L642" i="24" s="1"/>
  <c r="N642" i="24"/>
  <c r="K642" i="24"/>
  <c r="Q641" i="24"/>
  <c r="O641" i="24"/>
  <c r="L641" i="24" s="1"/>
  <c r="N641" i="24"/>
  <c r="K641" i="24"/>
  <c r="O640" i="24"/>
  <c r="N640" i="24"/>
  <c r="K640" i="24"/>
  <c r="O639" i="24"/>
  <c r="L639" i="24" s="1"/>
  <c r="N639" i="24"/>
  <c r="K639" i="24"/>
  <c r="O638" i="24"/>
  <c r="L638" i="24" s="1"/>
  <c r="N638" i="24"/>
  <c r="K638" i="24"/>
  <c r="Q637" i="24"/>
  <c r="O637" i="24"/>
  <c r="L637" i="24" s="1"/>
  <c r="N637" i="24"/>
  <c r="H637" i="24"/>
  <c r="K637" i="24" s="1"/>
  <c r="Q636" i="24"/>
  <c r="O636" i="24"/>
  <c r="N636" i="24"/>
  <c r="L636" i="24"/>
  <c r="K636" i="24"/>
  <c r="O635" i="24"/>
  <c r="L635" i="24" s="1"/>
  <c r="N635" i="24"/>
  <c r="K635" i="24"/>
  <c r="Q634" i="24"/>
  <c r="O634" i="24"/>
  <c r="L634" i="24" s="1"/>
  <c r="N634" i="24"/>
  <c r="K634" i="24"/>
  <c r="O633" i="24"/>
  <c r="N633" i="24"/>
  <c r="K633" i="24"/>
  <c r="Q632" i="24"/>
  <c r="O632" i="24"/>
  <c r="N632" i="24"/>
  <c r="L632" i="24"/>
  <c r="K632" i="24"/>
  <c r="O631" i="24"/>
  <c r="N631" i="24"/>
  <c r="H631" i="24"/>
  <c r="K631" i="24" s="1"/>
  <c r="O630" i="24"/>
  <c r="N630" i="24"/>
  <c r="K630" i="24"/>
  <c r="Q629" i="24"/>
  <c r="O629" i="24"/>
  <c r="N629" i="24"/>
  <c r="L629" i="24"/>
  <c r="K629" i="24"/>
  <c r="O628" i="24"/>
  <c r="N628" i="24"/>
  <c r="K628" i="24"/>
  <c r="Q627" i="24"/>
  <c r="O627" i="24"/>
  <c r="L627" i="24" s="1"/>
  <c r="N627" i="24"/>
  <c r="K627" i="24"/>
  <c r="O626" i="24"/>
  <c r="N626" i="24"/>
  <c r="K626" i="24"/>
  <c r="Q625" i="24"/>
  <c r="O625" i="24"/>
  <c r="N625" i="24"/>
  <c r="L625" i="24"/>
  <c r="K625" i="24"/>
  <c r="O624" i="24"/>
  <c r="N624" i="24"/>
  <c r="H624" i="24"/>
  <c r="K624" i="24" s="1"/>
  <c r="O623" i="24"/>
  <c r="N623" i="24"/>
  <c r="K623" i="24"/>
  <c r="Q622" i="24"/>
  <c r="O622" i="24"/>
  <c r="N622" i="24"/>
  <c r="L622" i="24"/>
  <c r="K622" i="24"/>
  <c r="O621" i="24"/>
  <c r="N621" i="24"/>
  <c r="K621" i="24"/>
  <c r="Q620" i="24"/>
  <c r="O620" i="24"/>
  <c r="L620" i="24" s="1"/>
  <c r="N620" i="24"/>
  <c r="K620" i="24"/>
  <c r="H620" i="24"/>
  <c r="O619" i="24"/>
  <c r="Q619" i="24" s="1"/>
  <c r="N619" i="24"/>
  <c r="L619" i="24"/>
  <c r="K619" i="24"/>
  <c r="O618" i="24"/>
  <c r="N618" i="24"/>
  <c r="K618" i="24"/>
  <c r="O617" i="24"/>
  <c r="N617" i="24"/>
  <c r="K617" i="24"/>
  <c r="O616" i="24"/>
  <c r="Q616" i="24" s="1"/>
  <c r="N616" i="24"/>
  <c r="L616" i="24"/>
  <c r="K616" i="24"/>
  <c r="O615" i="24"/>
  <c r="N615" i="24"/>
  <c r="H615" i="24"/>
  <c r="K615" i="24" s="1"/>
  <c r="O614" i="24"/>
  <c r="L614" i="24" s="1"/>
  <c r="N614" i="24"/>
  <c r="K614" i="24"/>
  <c r="O613" i="24"/>
  <c r="Q613" i="24" s="1"/>
  <c r="N613" i="24"/>
  <c r="K613" i="24"/>
  <c r="O612" i="24"/>
  <c r="N612" i="24"/>
  <c r="K612" i="24"/>
  <c r="O611" i="24"/>
  <c r="Q611" i="24" s="1"/>
  <c r="N611" i="24"/>
  <c r="H611" i="24"/>
  <c r="K611" i="24" s="1"/>
  <c r="O610" i="24"/>
  <c r="Q610" i="24" s="1"/>
  <c r="N610" i="24"/>
  <c r="K610" i="24"/>
  <c r="O609" i="24"/>
  <c r="N609" i="24"/>
  <c r="K609" i="24"/>
  <c r="O608" i="24"/>
  <c r="N608" i="24"/>
  <c r="K608" i="24"/>
  <c r="Q607" i="24"/>
  <c r="O607" i="24"/>
  <c r="L607" i="24" s="1"/>
  <c r="N607" i="24"/>
  <c r="K607" i="24"/>
  <c r="O606" i="24"/>
  <c r="N606" i="24"/>
  <c r="H606" i="24"/>
  <c r="K606" i="24" s="1"/>
  <c r="O605" i="24"/>
  <c r="N605" i="24"/>
  <c r="K605" i="24"/>
  <c r="Q604" i="24"/>
  <c r="O604" i="24"/>
  <c r="L604" i="24" s="1"/>
  <c r="N604" i="24"/>
  <c r="K604" i="24"/>
  <c r="O603" i="24"/>
  <c r="N603" i="24"/>
  <c r="K603" i="24"/>
  <c r="Q602" i="24"/>
  <c r="O602" i="24"/>
  <c r="L602" i="24" s="1"/>
  <c r="N602" i="24"/>
  <c r="K602" i="24"/>
  <c r="O601" i="24"/>
  <c r="N601" i="24"/>
  <c r="K601" i="24"/>
  <c r="Q600" i="24"/>
  <c r="O600" i="24"/>
  <c r="L600" i="24" s="1"/>
  <c r="N600" i="24"/>
  <c r="K600" i="24"/>
  <c r="O599" i="24"/>
  <c r="N599" i="24"/>
  <c r="K599" i="24"/>
  <c r="O598" i="24"/>
  <c r="N598" i="24"/>
  <c r="K598" i="24"/>
  <c r="O597" i="24"/>
  <c r="Q597" i="24" s="1"/>
  <c r="N597" i="24"/>
  <c r="K597" i="24"/>
  <c r="O596" i="24"/>
  <c r="N596" i="24"/>
  <c r="K596" i="24"/>
  <c r="O595" i="24"/>
  <c r="N595" i="24"/>
  <c r="K595" i="24"/>
  <c r="O594" i="24"/>
  <c r="N594" i="24"/>
  <c r="K594" i="24"/>
  <c r="O593" i="24"/>
  <c r="N593" i="24"/>
  <c r="K593" i="24"/>
  <c r="Q592" i="24"/>
  <c r="O592" i="24"/>
  <c r="L592" i="24" s="1"/>
  <c r="N592" i="24"/>
  <c r="H592" i="24"/>
  <c r="K592" i="24" s="1"/>
  <c r="O591" i="24"/>
  <c r="N591" i="24"/>
  <c r="K591" i="24"/>
  <c r="O590" i="24"/>
  <c r="Q590" i="24" s="1"/>
  <c r="N590" i="24"/>
  <c r="K590" i="24"/>
  <c r="O589" i="24"/>
  <c r="L589" i="24" s="1"/>
  <c r="N589" i="24"/>
  <c r="K589" i="24"/>
  <c r="O588" i="24"/>
  <c r="Q588" i="24" s="1"/>
  <c r="N588" i="24"/>
  <c r="H588" i="24"/>
  <c r="K588" i="24" s="1"/>
  <c r="O587" i="24"/>
  <c r="N587" i="24"/>
  <c r="K587" i="24"/>
  <c r="Q586" i="24"/>
  <c r="O586" i="24"/>
  <c r="L586" i="24" s="1"/>
  <c r="N586" i="24"/>
  <c r="K586" i="24"/>
  <c r="Q585" i="24"/>
  <c r="O585" i="24"/>
  <c r="N585" i="24"/>
  <c r="L585" i="24"/>
  <c r="K585" i="24"/>
  <c r="Q584" i="24"/>
  <c r="O584" i="24"/>
  <c r="N584" i="24"/>
  <c r="L584" i="24"/>
  <c r="K584" i="24"/>
  <c r="H584" i="24"/>
  <c r="Q583" i="24"/>
  <c r="O583" i="24"/>
  <c r="L583" i="24" s="1"/>
  <c r="N583" i="24"/>
  <c r="K583" i="24"/>
  <c r="Q582" i="24"/>
  <c r="O582" i="24"/>
  <c r="L582" i="24" s="1"/>
  <c r="N582" i="24"/>
  <c r="K582" i="24"/>
  <c r="Q581" i="24"/>
  <c r="O581" i="24"/>
  <c r="L581" i="24" s="1"/>
  <c r="N581" i="24"/>
  <c r="K581" i="24"/>
  <c r="O580" i="24"/>
  <c r="N580" i="24"/>
  <c r="H580" i="24"/>
  <c r="K580" i="24" s="1"/>
  <c r="O579" i="24"/>
  <c r="L579" i="24" s="1"/>
  <c r="N579" i="24"/>
  <c r="K579" i="24"/>
  <c r="O578" i="24"/>
  <c r="L578" i="24" s="1"/>
  <c r="N578" i="24"/>
  <c r="K578" i="24"/>
  <c r="O577" i="24"/>
  <c r="Q577" i="24" s="1"/>
  <c r="N577" i="24"/>
  <c r="K577" i="24"/>
  <c r="Q576" i="24"/>
  <c r="O576" i="24"/>
  <c r="L576" i="24" s="1"/>
  <c r="N576" i="24"/>
  <c r="K576" i="24"/>
  <c r="Q575" i="24"/>
  <c r="O575" i="24"/>
  <c r="N575" i="24"/>
  <c r="L575" i="24"/>
  <c r="K575" i="24"/>
  <c r="H575" i="24"/>
  <c r="O574" i="24"/>
  <c r="Q574" i="24" s="1"/>
  <c r="N574" i="24"/>
  <c r="L574" i="24"/>
  <c r="K574" i="24"/>
  <c r="O573" i="24"/>
  <c r="L573" i="24" s="1"/>
  <c r="N573" i="24"/>
  <c r="K573" i="24"/>
  <c r="O572" i="24"/>
  <c r="L572" i="24" s="1"/>
  <c r="N572" i="24"/>
  <c r="K572" i="24"/>
  <c r="Q571" i="24"/>
  <c r="O571" i="24"/>
  <c r="N571" i="24"/>
  <c r="L571" i="24"/>
  <c r="K571" i="24"/>
  <c r="H571" i="24"/>
  <c r="O570" i="24"/>
  <c r="N570" i="24"/>
  <c r="K570" i="24"/>
  <c r="O569" i="24"/>
  <c r="Q569" i="24" s="1"/>
  <c r="N569" i="24"/>
  <c r="L569" i="24"/>
  <c r="K569" i="24"/>
  <c r="Q568" i="24"/>
  <c r="O568" i="24"/>
  <c r="L568" i="24" s="1"/>
  <c r="N568" i="24"/>
  <c r="K568" i="24"/>
  <c r="O567" i="24"/>
  <c r="Q567" i="24" s="1"/>
  <c r="N567" i="24"/>
  <c r="K567" i="24"/>
  <c r="O566" i="24"/>
  <c r="L566" i="24" s="1"/>
  <c r="N566" i="24"/>
  <c r="K566" i="24"/>
  <c r="O565" i="24"/>
  <c r="Q565" i="24" s="1"/>
  <c r="N565" i="24"/>
  <c r="K565" i="24"/>
  <c r="Q564" i="24"/>
  <c r="O564" i="24"/>
  <c r="N564" i="24"/>
  <c r="L564" i="24"/>
  <c r="K564" i="24"/>
  <c r="O563" i="24"/>
  <c r="Q563" i="24" s="1"/>
  <c r="N563" i="24"/>
  <c r="L563" i="24"/>
  <c r="K563" i="24"/>
  <c r="O562" i="24"/>
  <c r="Q562" i="24" s="1"/>
  <c r="N562" i="24"/>
  <c r="K562" i="24"/>
  <c r="O561" i="24"/>
  <c r="L561" i="24" s="1"/>
  <c r="N561" i="24"/>
  <c r="K561" i="24"/>
  <c r="O560" i="24"/>
  <c r="Q560" i="24" s="1"/>
  <c r="N560" i="24"/>
  <c r="K560" i="24"/>
  <c r="Q559" i="24"/>
  <c r="O559" i="24"/>
  <c r="N559" i="24"/>
  <c r="L559" i="24"/>
  <c r="K559" i="24"/>
  <c r="O558" i="24"/>
  <c r="Q558" i="24" s="1"/>
  <c r="N558" i="24"/>
  <c r="L558" i="24"/>
  <c r="K558" i="24"/>
  <c r="O557" i="24"/>
  <c r="L557" i="24" s="1"/>
  <c r="N557" i="24"/>
  <c r="K557" i="24"/>
  <c r="O556" i="24"/>
  <c r="Q556" i="24" s="1"/>
  <c r="N556" i="24"/>
  <c r="K556" i="24"/>
  <c r="Q555" i="24"/>
  <c r="O555" i="24"/>
  <c r="N555" i="24"/>
  <c r="L555" i="24"/>
  <c r="K555" i="24"/>
  <c r="O554" i="24"/>
  <c r="Q554" i="24" s="1"/>
  <c r="N554" i="24"/>
  <c r="L554" i="24"/>
  <c r="K554" i="24"/>
  <c r="O553" i="24"/>
  <c r="L553" i="24" s="1"/>
  <c r="N553" i="24"/>
  <c r="K553" i="24"/>
  <c r="O552" i="24"/>
  <c r="Q552" i="24" s="1"/>
  <c r="N552" i="24"/>
  <c r="K552" i="24"/>
  <c r="Q551" i="24"/>
  <c r="O551" i="24"/>
  <c r="N551" i="24"/>
  <c r="L551" i="24"/>
  <c r="K551" i="24"/>
  <c r="O550" i="24"/>
  <c r="N550" i="24"/>
  <c r="K550" i="24"/>
  <c r="O549" i="24"/>
  <c r="L549" i="24" s="1"/>
  <c r="N549" i="24"/>
  <c r="K549" i="24"/>
  <c r="O548" i="24"/>
  <c r="Q548" i="24" s="1"/>
  <c r="N548" i="24"/>
  <c r="K548" i="24"/>
  <c r="Q547" i="24"/>
  <c r="O547" i="24"/>
  <c r="N547" i="24"/>
  <c r="L547" i="24"/>
  <c r="K547" i="24"/>
  <c r="O546" i="24"/>
  <c r="Q546" i="24" s="1"/>
  <c r="N546" i="24"/>
  <c r="K546" i="24"/>
  <c r="O545" i="24"/>
  <c r="L545" i="24" s="1"/>
  <c r="N545" i="24"/>
  <c r="K545" i="24"/>
  <c r="O544" i="24"/>
  <c r="Q544" i="24" s="1"/>
  <c r="N544" i="24"/>
  <c r="H544" i="24"/>
  <c r="K544" i="24" s="1"/>
  <c r="Q543" i="24"/>
  <c r="O543" i="24"/>
  <c r="N543" i="24"/>
  <c r="L543" i="24"/>
  <c r="K543" i="24"/>
  <c r="O542" i="24"/>
  <c r="L542" i="24" s="1"/>
  <c r="N542" i="24"/>
  <c r="K542" i="24"/>
  <c r="O541" i="24"/>
  <c r="Q541" i="24" s="1"/>
  <c r="N541" i="24"/>
  <c r="K541" i="24"/>
  <c r="Q540" i="24"/>
  <c r="O540" i="24"/>
  <c r="N540" i="24"/>
  <c r="L540" i="24"/>
  <c r="K540" i="24"/>
  <c r="Q539" i="24"/>
  <c r="O539" i="24"/>
  <c r="N539" i="24"/>
  <c r="L539" i="24"/>
  <c r="K539" i="24"/>
  <c r="O538" i="24"/>
  <c r="L538" i="24" s="1"/>
  <c r="N538" i="24"/>
  <c r="K538" i="24"/>
  <c r="O537" i="24"/>
  <c r="Q537" i="24" s="1"/>
  <c r="N537" i="24"/>
  <c r="K537" i="24"/>
  <c r="Q536" i="24"/>
  <c r="O536" i="24"/>
  <c r="N536" i="24"/>
  <c r="L536" i="24"/>
  <c r="K536" i="24"/>
  <c r="Q535" i="24"/>
  <c r="O535" i="24"/>
  <c r="N535" i="24"/>
  <c r="L535" i="24"/>
  <c r="K535" i="24"/>
  <c r="O534" i="24"/>
  <c r="L534" i="24" s="1"/>
  <c r="N534" i="24"/>
  <c r="K534" i="24"/>
  <c r="O533" i="24"/>
  <c r="Q533" i="24" s="1"/>
  <c r="N533" i="24"/>
  <c r="K533" i="24"/>
  <c r="Q532" i="24"/>
  <c r="O532" i="24"/>
  <c r="N532" i="24"/>
  <c r="L532" i="24"/>
  <c r="K532" i="24"/>
  <c r="Q531" i="24"/>
  <c r="O531" i="24"/>
  <c r="N531" i="24"/>
  <c r="L531" i="24"/>
  <c r="K531" i="24"/>
  <c r="O530" i="24"/>
  <c r="L530" i="24" s="1"/>
  <c r="N530" i="24"/>
  <c r="K530" i="24"/>
  <c r="O529" i="24"/>
  <c r="Q529" i="24" s="1"/>
  <c r="N529" i="24"/>
  <c r="K529" i="24"/>
  <c r="Q528" i="24"/>
  <c r="O528" i="24"/>
  <c r="N528" i="24"/>
  <c r="L528" i="24"/>
  <c r="K528" i="24"/>
  <c r="Q527" i="24"/>
  <c r="O527" i="24"/>
  <c r="N527" i="24"/>
  <c r="L527" i="24"/>
  <c r="K527" i="24"/>
  <c r="O526" i="24"/>
  <c r="L526" i="24" s="1"/>
  <c r="N526" i="24"/>
  <c r="K526" i="24"/>
  <c r="O525" i="24"/>
  <c r="Q525" i="24" s="1"/>
  <c r="N525" i="24"/>
  <c r="K525" i="24"/>
  <c r="Q524" i="24"/>
  <c r="O524" i="24"/>
  <c r="N524" i="24"/>
  <c r="L524" i="24"/>
  <c r="K524" i="24"/>
  <c r="Q523" i="24"/>
  <c r="O523" i="24"/>
  <c r="N523" i="24"/>
  <c r="L523" i="24"/>
  <c r="K523" i="24"/>
  <c r="O522" i="24"/>
  <c r="L522" i="24" s="1"/>
  <c r="N522" i="24"/>
  <c r="K522" i="24"/>
  <c r="O521" i="24"/>
  <c r="Q521" i="24" s="1"/>
  <c r="N521" i="24"/>
  <c r="K521" i="24"/>
  <c r="Q520" i="24"/>
  <c r="O520" i="24"/>
  <c r="N520" i="24"/>
  <c r="L520" i="24"/>
  <c r="K520" i="24"/>
  <c r="Q519" i="24"/>
  <c r="O519" i="24"/>
  <c r="N519" i="24"/>
  <c r="L519" i="24"/>
  <c r="K519" i="24"/>
  <c r="O518" i="24"/>
  <c r="L518" i="24" s="1"/>
  <c r="N518" i="24"/>
  <c r="K518" i="24"/>
  <c r="O517" i="24"/>
  <c r="Q517" i="24" s="1"/>
  <c r="N517" i="24"/>
  <c r="K517" i="24"/>
  <c r="Q516" i="24"/>
  <c r="O516" i="24"/>
  <c r="N516" i="24"/>
  <c r="L516" i="24"/>
  <c r="K516" i="24"/>
  <c r="Q515" i="24"/>
  <c r="O515" i="24"/>
  <c r="N515" i="24"/>
  <c r="L515" i="24"/>
  <c r="K515" i="24"/>
  <c r="O514" i="24"/>
  <c r="L514" i="24" s="1"/>
  <c r="N514" i="24"/>
  <c r="K514" i="24"/>
  <c r="O513" i="24"/>
  <c r="Q513" i="24" s="1"/>
  <c r="N513" i="24"/>
  <c r="K513" i="24"/>
  <c r="Q512" i="24"/>
  <c r="O512" i="24"/>
  <c r="N512" i="24"/>
  <c r="L512" i="24"/>
  <c r="K512" i="24"/>
  <c r="Q511" i="24"/>
  <c r="O511" i="24"/>
  <c r="N511" i="24"/>
  <c r="L511" i="24"/>
  <c r="K511" i="24"/>
  <c r="O510" i="24"/>
  <c r="L510" i="24" s="1"/>
  <c r="N510" i="24"/>
  <c r="H510" i="24"/>
  <c r="K510" i="24" s="1"/>
  <c r="Q509" i="24"/>
  <c r="O509" i="24"/>
  <c r="N509" i="24"/>
  <c r="L509" i="24"/>
  <c r="K509" i="24"/>
  <c r="O508" i="24"/>
  <c r="Q508" i="24" s="1"/>
  <c r="N508" i="24"/>
  <c r="L508" i="24"/>
  <c r="K508" i="24"/>
  <c r="O507" i="24"/>
  <c r="L507" i="24" s="1"/>
  <c r="N507" i="24"/>
  <c r="K507" i="24"/>
  <c r="O506" i="24"/>
  <c r="Q506" i="24" s="1"/>
  <c r="N506" i="24"/>
  <c r="K506" i="24"/>
  <c r="Q505" i="24"/>
  <c r="O505" i="24"/>
  <c r="N505" i="24"/>
  <c r="L505" i="24"/>
  <c r="K505" i="24"/>
  <c r="O504" i="24"/>
  <c r="Q504" i="24" s="1"/>
  <c r="N504" i="24"/>
  <c r="L504" i="24"/>
  <c r="K504" i="24"/>
  <c r="O503" i="24"/>
  <c r="L503" i="24" s="1"/>
  <c r="N503" i="24"/>
  <c r="K503" i="24"/>
  <c r="O502" i="24"/>
  <c r="Q502" i="24" s="1"/>
  <c r="N502" i="24"/>
  <c r="K502" i="24"/>
  <c r="Q501" i="24"/>
  <c r="O501" i="24"/>
  <c r="N501" i="24"/>
  <c r="L501" i="24"/>
  <c r="K501" i="24"/>
  <c r="O500" i="24"/>
  <c r="Q500" i="24" s="1"/>
  <c r="N500" i="24"/>
  <c r="K500" i="24"/>
  <c r="O499" i="24"/>
  <c r="L499" i="24" s="1"/>
  <c r="N499" i="24"/>
  <c r="K499" i="24"/>
  <c r="O498" i="24"/>
  <c r="Q498" i="24" s="1"/>
  <c r="N498" i="24"/>
  <c r="K498" i="24"/>
  <c r="Q497" i="24"/>
  <c r="O497" i="24"/>
  <c r="N497" i="24"/>
  <c r="L497" i="24"/>
  <c r="K497" i="24"/>
  <c r="O496" i="24"/>
  <c r="Q496" i="24" s="1"/>
  <c r="N496" i="24"/>
  <c r="K496" i="24"/>
  <c r="O495" i="24"/>
  <c r="L495" i="24" s="1"/>
  <c r="N495" i="24"/>
  <c r="K495" i="24"/>
  <c r="O494" i="24"/>
  <c r="Q494" i="24" s="1"/>
  <c r="N494" i="24"/>
  <c r="K494" i="24"/>
  <c r="Q493" i="24"/>
  <c r="O493" i="24"/>
  <c r="N493" i="24"/>
  <c r="L493" i="24"/>
  <c r="K493" i="24"/>
  <c r="O492" i="24"/>
  <c r="Q492" i="24" s="1"/>
  <c r="N492" i="24"/>
  <c r="L492" i="24"/>
  <c r="K492" i="24"/>
  <c r="O491" i="24"/>
  <c r="L491" i="24" s="1"/>
  <c r="N491" i="24"/>
  <c r="H491" i="24"/>
  <c r="K491" i="24" s="1"/>
  <c r="O490" i="24"/>
  <c r="Q490" i="24" s="1"/>
  <c r="N490" i="24"/>
  <c r="L490" i="24"/>
  <c r="K490" i="24"/>
  <c r="Q489" i="24"/>
  <c r="O489" i="24"/>
  <c r="L489" i="24" s="1"/>
  <c r="N489" i="24"/>
  <c r="K489" i="24"/>
  <c r="O488" i="24"/>
  <c r="L488" i="24" s="1"/>
  <c r="N488" i="24"/>
  <c r="K488" i="24"/>
  <c r="O487" i="24"/>
  <c r="Q487" i="24" s="1"/>
  <c r="N487" i="24"/>
  <c r="K487" i="24"/>
  <c r="O486" i="24"/>
  <c r="Q486" i="24" s="1"/>
  <c r="N486" i="24"/>
  <c r="K486" i="24"/>
  <c r="O485" i="24"/>
  <c r="L485" i="24" s="1"/>
  <c r="N485" i="24"/>
  <c r="K485" i="24"/>
  <c r="O484" i="24"/>
  <c r="L484" i="24" s="1"/>
  <c r="N484" i="24"/>
  <c r="K484" i="24"/>
  <c r="O483" i="24"/>
  <c r="Q483" i="24" s="1"/>
  <c r="N483" i="24"/>
  <c r="K483" i="24"/>
  <c r="O482" i="24"/>
  <c r="Q482" i="24" s="1"/>
  <c r="N482" i="24"/>
  <c r="L482" i="24"/>
  <c r="K482" i="24"/>
  <c r="Q481" i="24"/>
  <c r="O481" i="24"/>
  <c r="L481" i="24" s="1"/>
  <c r="N481" i="24"/>
  <c r="K481" i="24"/>
  <c r="O480" i="24"/>
  <c r="L480" i="24" s="1"/>
  <c r="N480" i="24"/>
  <c r="K480" i="24"/>
  <c r="O479" i="24"/>
  <c r="Q479" i="24" s="1"/>
  <c r="N479" i="24"/>
  <c r="K479" i="24"/>
  <c r="O478" i="24"/>
  <c r="Q478" i="24" s="1"/>
  <c r="N478" i="24"/>
  <c r="H478" i="24"/>
  <c r="K478" i="24" s="1"/>
  <c r="O477" i="24"/>
  <c r="L477" i="24" s="1"/>
  <c r="N477" i="24"/>
  <c r="K477" i="24"/>
  <c r="O476" i="24"/>
  <c r="Q476" i="24" s="1"/>
  <c r="N476" i="24"/>
  <c r="K476" i="24"/>
  <c r="O475" i="24"/>
  <c r="Q475" i="24" s="1"/>
  <c r="N475" i="24"/>
  <c r="L475" i="24"/>
  <c r="K475" i="24"/>
  <c r="Q474" i="24"/>
  <c r="O474" i="24"/>
  <c r="L474" i="24" s="1"/>
  <c r="N474" i="24"/>
  <c r="K474" i="24"/>
  <c r="O473" i="24"/>
  <c r="L473" i="24" s="1"/>
  <c r="N473" i="24"/>
  <c r="K473" i="24"/>
  <c r="O472" i="24"/>
  <c r="Q472" i="24" s="1"/>
  <c r="N472" i="24"/>
  <c r="K472" i="24"/>
  <c r="O471" i="24"/>
  <c r="Q471" i="24" s="1"/>
  <c r="N471" i="24"/>
  <c r="K471" i="24"/>
  <c r="O470" i="24"/>
  <c r="L470" i="24" s="1"/>
  <c r="N470" i="24"/>
  <c r="K470" i="24"/>
  <c r="O469" i="24"/>
  <c r="L469" i="24" s="1"/>
  <c r="N469" i="24"/>
  <c r="K469" i="24"/>
  <c r="O468" i="24"/>
  <c r="Q468" i="24" s="1"/>
  <c r="N468" i="24"/>
  <c r="K468" i="24"/>
  <c r="O467" i="24"/>
  <c r="Q467" i="24" s="1"/>
  <c r="N467" i="24"/>
  <c r="L467" i="24"/>
  <c r="K467" i="24"/>
  <c r="Q466" i="24"/>
  <c r="O466" i="24"/>
  <c r="L466" i="24" s="1"/>
  <c r="N466" i="24"/>
  <c r="K466" i="24"/>
  <c r="O465" i="24"/>
  <c r="L465" i="24" s="1"/>
  <c r="N465" i="24"/>
  <c r="K465" i="24"/>
  <c r="O464" i="24"/>
  <c r="Q464" i="24" s="1"/>
  <c r="N464" i="24"/>
  <c r="K464" i="24"/>
  <c r="O463" i="24"/>
  <c r="Q463" i="24" s="1"/>
  <c r="N463" i="24"/>
  <c r="K463" i="24"/>
  <c r="O462" i="24"/>
  <c r="L462" i="24" s="1"/>
  <c r="N462" i="24"/>
  <c r="K462" i="24"/>
  <c r="O461" i="24"/>
  <c r="L461" i="24" s="1"/>
  <c r="N461" i="24"/>
  <c r="K461" i="24"/>
  <c r="O460" i="24"/>
  <c r="Q460" i="24" s="1"/>
  <c r="N460" i="24"/>
  <c r="H460" i="24"/>
  <c r="K460" i="24" s="1"/>
  <c r="O459" i="24"/>
  <c r="Q459" i="24" s="1"/>
  <c r="N459" i="24"/>
  <c r="L459" i="24"/>
  <c r="K459" i="24"/>
  <c r="O458" i="24"/>
  <c r="L458" i="24" s="1"/>
  <c r="N458" i="24"/>
  <c r="K458" i="24"/>
  <c r="O457" i="24"/>
  <c r="Q457" i="24" s="1"/>
  <c r="N457" i="24"/>
  <c r="K457" i="24"/>
  <c r="Q456" i="24"/>
  <c r="O456" i="24"/>
  <c r="N456" i="24"/>
  <c r="L456" i="24"/>
  <c r="K456" i="24"/>
  <c r="O455" i="24"/>
  <c r="Q455" i="24" s="1"/>
  <c r="N455" i="24"/>
  <c r="K455" i="24"/>
  <c r="O454" i="24"/>
  <c r="L454" i="24" s="1"/>
  <c r="N454" i="24"/>
  <c r="K454" i="24"/>
  <c r="O453" i="24"/>
  <c r="Q453" i="24" s="1"/>
  <c r="N453" i="24"/>
  <c r="K453" i="24"/>
  <c r="Q452" i="24"/>
  <c r="O452" i="24"/>
  <c r="N452" i="24"/>
  <c r="L452" i="24"/>
  <c r="K452" i="24"/>
  <c r="O451" i="24"/>
  <c r="Q451" i="24" s="1"/>
  <c r="N451" i="24"/>
  <c r="K451" i="24"/>
  <c r="O450" i="24"/>
  <c r="L450" i="24" s="1"/>
  <c r="N450" i="24"/>
  <c r="K450" i="24"/>
  <c r="O449" i="24"/>
  <c r="Q449" i="24" s="1"/>
  <c r="N449" i="24"/>
  <c r="K449" i="24"/>
  <c r="Q448" i="24"/>
  <c r="O448" i="24"/>
  <c r="N448" i="24"/>
  <c r="L448" i="24"/>
  <c r="K448" i="24"/>
  <c r="K447" i="24"/>
  <c r="O446" i="24"/>
  <c r="L446" i="24" s="1"/>
  <c r="N446" i="24"/>
  <c r="K446" i="24"/>
  <c r="O445" i="24"/>
  <c r="Q445" i="24" s="1"/>
  <c r="N445" i="24"/>
  <c r="K445" i="24"/>
  <c r="Q444" i="24"/>
  <c r="O444" i="24"/>
  <c r="N444" i="24"/>
  <c r="L444" i="24"/>
  <c r="K444" i="24"/>
  <c r="O443" i="24"/>
  <c r="Q443" i="24" s="1"/>
  <c r="N443" i="24"/>
  <c r="L443" i="24"/>
  <c r="K443" i="24"/>
  <c r="O442" i="24"/>
  <c r="L442" i="24" s="1"/>
  <c r="N442" i="24"/>
  <c r="H442" i="24"/>
  <c r="K442" i="24" s="1"/>
  <c r="O441" i="24"/>
  <c r="Q441" i="24" s="1"/>
  <c r="N441" i="24"/>
  <c r="L441" i="24"/>
  <c r="K441" i="24"/>
  <c r="Q440" i="24"/>
  <c r="O440" i="24"/>
  <c r="L440" i="24" s="1"/>
  <c r="N440" i="24"/>
  <c r="K440" i="24"/>
  <c r="O439" i="24"/>
  <c r="L439" i="24" s="1"/>
  <c r="N439" i="24"/>
  <c r="K439" i="24"/>
  <c r="O438" i="24"/>
  <c r="Q438" i="24" s="1"/>
  <c r="N438" i="24"/>
  <c r="K438" i="24"/>
  <c r="O437" i="24"/>
  <c r="Q437" i="24" s="1"/>
  <c r="N437" i="24"/>
  <c r="K437" i="24"/>
  <c r="O436" i="24"/>
  <c r="L436" i="24" s="1"/>
  <c r="N436" i="24"/>
  <c r="K436" i="24"/>
  <c r="O435" i="24"/>
  <c r="L435" i="24" s="1"/>
  <c r="N435" i="24"/>
  <c r="K435" i="24"/>
  <c r="O434" i="24"/>
  <c r="Q434" i="24" s="1"/>
  <c r="N434" i="24"/>
  <c r="K434" i="24"/>
  <c r="O433" i="24"/>
  <c r="Q433" i="24" s="1"/>
  <c r="N433" i="24"/>
  <c r="L433" i="24"/>
  <c r="K433" i="24"/>
  <c r="Q432" i="24"/>
  <c r="O432" i="24"/>
  <c r="L432" i="24" s="1"/>
  <c r="N432" i="24"/>
  <c r="K432" i="24"/>
  <c r="O431" i="24"/>
  <c r="L431" i="24" s="1"/>
  <c r="N431" i="24"/>
  <c r="K431" i="24"/>
  <c r="O430" i="24"/>
  <c r="Q430" i="24" s="1"/>
  <c r="N430" i="24"/>
  <c r="K430" i="24"/>
  <c r="O429" i="24"/>
  <c r="Q429" i="24" s="1"/>
  <c r="N429" i="24"/>
  <c r="K429" i="24"/>
  <c r="O428" i="24"/>
  <c r="L428" i="24" s="1"/>
  <c r="N428" i="24"/>
  <c r="K428" i="24"/>
  <c r="O427" i="24"/>
  <c r="L427" i="24" s="1"/>
  <c r="N427" i="24"/>
  <c r="K427" i="24"/>
  <c r="O426" i="24"/>
  <c r="Q426" i="24" s="1"/>
  <c r="N426" i="24"/>
  <c r="K426" i="24"/>
  <c r="O425" i="24"/>
  <c r="Q425" i="24" s="1"/>
  <c r="N425" i="24"/>
  <c r="L425" i="24"/>
  <c r="K425" i="24"/>
  <c r="Q424" i="24"/>
  <c r="O424" i="24"/>
  <c r="L424" i="24" s="1"/>
  <c r="N424" i="24"/>
  <c r="K424" i="24"/>
  <c r="O423" i="24"/>
  <c r="L423" i="24" s="1"/>
  <c r="N423" i="24"/>
  <c r="K423" i="24"/>
  <c r="O422" i="24"/>
  <c r="Q422" i="24" s="1"/>
  <c r="N422" i="24"/>
  <c r="K422" i="24"/>
  <c r="O421" i="24"/>
  <c r="Q421" i="24" s="1"/>
  <c r="N421" i="24"/>
  <c r="K421" i="24"/>
  <c r="O420" i="24"/>
  <c r="L420" i="24" s="1"/>
  <c r="N420" i="24"/>
  <c r="K420" i="24"/>
  <c r="O419" i="24"/>
  <c r="L419" i="24" s="1"/>
  <c r="N419" i="24"/>
  <c r="K419" i="24"/>
  <c r="O418" i="24"/>
  <c r="Q418" i="24" s="1"/>
  <c r="N418" i="24"/>
  <c r="K418" i="24"/>
  <c r="O417" i="24"/>
  <c r="Q417" i="24" s="1"/>
  <c r="N417" i="24"/>
  <c r="L417" i="24"/>
  <c r="K417" i="24"/>
  <c r="Q416" i="24"/>
  <c r="O416" i="24"/>
  <c r="L416" i="24" s="1"/>
  <c r="N416" i="24"/>
  <c r="K416" i="24"/>
  <c r="H416" i="24"/>
  <c r="O415" i="24"/>
  <c r="Q415" i="24" s="1"/>
  <c r="N415" i="24"/>
  <c r="K415" i="24"/>
  <c r="Q414" i="24"/>
  <c r="O414" i="24"/>
  <c r="N414" i="24"/>
  <c r="L414" i="24"/>
  <c r="K414" i="24"/>
  <c r="Q413" i="24"/>
  <c r="O413" i="24"/>
  <c r="N413" i="24"/>
  <c r="L413" i="24"/>
  <c r="K413" i="24"/>
  <c r="O412" i="24"/>
  <c r="L412" i="24" s="1"/>
  <c r="N412" i="24"/>
  <c r="K412" i="24"/>
  <c r="O411" i="24"/>
  <c r="Q411" i="24" s="1"/>
  <c r="N411" i="24"/>
  <c r="K411" i="24"/>
  <c r="Q410" i="24"/>
  <c r="O410" i="24"/>
  <c r="N410" i="24"/>
  <c r="L410" i="24"/>
  <c r="K410" i="24"/>
  <c r="Q409" i="24"/>
  <c r="O409" i="24"/>
  <c r="N409" i="24"/>
  <c r="L409" i="24"/>
  <c r="K409" i="24"/>
  <c r="O408" i="24"/>
  <c r="L408" i="24" s="1"/>
  <c r="N408" i="24"/>
  <c r="K408" i="24"/>
  <c r="O407" i="24"/>
  <c r="Q407" i="24" s="1"/>
  <c r="N407" i="24"/>
  <c r="K407" i="24"/>
  <c r="Q406" i="24"/>
  <c r="O406" i="24"/>
  <c r="N406" i="24"/>
  <c r="L406" i="24"/>
  <c r="K406" i="24"/>
  <c r="Q405" i="24"/>
  <c r="O405" i="24"/>
  <c r="N405" i="24"/>
  <c r="L405" i="24"/>
  <c r="K405" i="24"/>
  <c r="O404" i="24"/>
  <c r="L404" i="24" s="1"/>
  <c r="N404" i="24"/>
  <c r="K404" i="24"/>
  <c r="O403" i="24"/>
  <c r="Q403" i="24" s="1"/>
  <c r="N403" i="24"/>
  <c r="K403" i="24"/>
  <c r="Q402" i="24"/>
  <c r="O402" i="24"/>
  <c r="N402" i="24"/>
  <c r="L402" i="24"/>
  <c r="K402" i="24"/>
  <c r="Q401" i="24"/>
  <c r="O401" i="24"/>
  <c r="N401" i="24"/>
  <c r="L401" i="24"/>
  <c r="K401" i="24"/>
  <c r="O400" i="24"/>
  <c r="L400" i="24" s="1"/>
  <c r="N400" i="24"/>
  <c r="K400" i="24"/>
  <c r="O399" i="24"/>
  <c r="Q399" i="24" s="1"/>
  <c r="N399" i="24"/>
  <c r="K399" i="24"/>
  <c r="Q398" i="24"/>
  <c r="O398" i="24"/>
  <c r="N398" i="24"/>
  <c r="L398" i="24"/>
  <c r="K398" i="24"/>
  <c r="Q397" i="24"/>
  <c r="O397" i="24"/>
  <c r="N397" i="24"/>
  <c r="L397" i="24"/>
  <c r="K397" i="24"/>
  <c r="O396" i="24"/>
  <c r="L396" i="24" s="1"/>
  <c r="N396" i="24"/>
  <c r="K396" i="24"/>
  <c r="O395" i="24"/>
  <c r="Q395" i="24" s="1"/>
  <c r="N395" i="24"/>
  <c r="H395" i="24"/>
  <c r="K395" i="24" s="1"/>
  <c r="Q394" i="24"/>
  <c r="O394" i="24"/>
  <c r="N394" i="24"/>
  <c r="L394" i="24"/>
  <c r="K394" i="24"/>
  <c r="O393" i="24"/>
  <c r="L393" i="24" s="1"/>
  <c r="N393" i="24"/>
  <c r="K393" i="24"/>
  <c r="O392" i="24"/>
  <c r="Q392" i="24" s="1"/>
  <c r="N392" i="24"/>
  <c r="K392" i="24"/>
  <c r="Q391" i="24"/>
  <c r="O391" i="24"/>
  <c r="L391" i="24" s="1"/>
  <c r="N391" i="24"/>
  <c r="K391" i="24"/>
  <c r="Q390" i="24"/>
  <c r="O390" i="24"/>
  <c r="N390" i="24"/>
  <c r="L390" i="24"/>
  <c r="K390" i="24"/>
  <c r="O389" i="24"/>
  <c r="L389" i="24" s="1"/>
  <c r="N389" i="24"/>
  <c r="K389" i="24"/>
  <c r="O388" i="24"/>
  <c r="Q388" i="24" s="1"/>
  <c r="N388" i="24"/>
  <c r="H388" i="24"/>
  <c r="K388" i="24" s="1"/>
  <c r="O387" i="24"/>
  <c r="L387" i="24" s="1"/>
  <c r="N387" i="24"/>
  <c r="K387" i="24"/>
  <c r="O386" i="24"/>
  <c r="L386" i="24" s="1"/>
  <c r="N386" i="24"/>
  <c r="K386" i="24"/>
  <c r="O385" i="24"/>
  <c r="Q385" i="24" s="1"/>
  <c r="N385" i="24"/>
  <c r="K385" i="24"/>
  <c r="Q384" i="24"/>
  <c r="O384" i="24"/>
  <c r="N384" i="24"/>
  <c r="L384" i="24"/>
  <c r="K384" i="24"/>
  <c r="O383" i="24"/>
  <c r="L383" i="24" s="1"/>
  <c r="N383" i="24"/>
  <c r="K383" i="24"/>
  <c r="O382" i="24"/>
  <c r="L382" i="24" s="1"/>
  <c r="N382" i="24"/>
  <c r="K382" i="24"/>
  <c r="O381" i="24"/>
  <c r="Q381" i="24" s="1"/>
  <c r="N381" i="24"/>
  <c r="K381" i="24"/>
  <c r="Q380" i="24"/>
  <c r="O380" i="24"/>
  <c r="N380" i="24"/>
  <c r="L380" i="24"/>
  <c r="K380" i="24"/>
  <c r="O379" i="24"/>
  <c r="L379" i="24" s="1"/>
  <c r="N379" i="24"/>
  <c r="K379" i="24"/>
  <c r="O378" i="24"/>
  <c r="L378" i="24" s="1"/>
  <c r="N378" i="24"/>
  <c r="K378" i="24"/>
  <c r="O377" i="24"/>
  <c r="Q377" i="24" s="1"/>
  <c r="N377" i="24"/>
  <c r="H377" i="24"/>
  <c r="K377" i="24" s="1"/>
  <c r="Q376" i="24"/>
  <c r="O376" i="24"/>
  <c r="N376" i="24"/>
  <c r="L376" i="24"/>
  <c r="K376" i="24"/>
  <c r="O375" i="24"/>
  <c r="L375" i="24" s="1"/>
  <c r="N375" i="24"/>
  <c r="K375" i="24"/>
  <c r="O374" i="24"/>
  <c r="Q374" i="24" s="1"/>
  <c r="N374" i="24"/>
  <c r="K374" i="24"/>
  <c r="Q373" i="24"/>
  <c r="O373" i="24"/>
  <c r="N373" i="24"/>
  <c r="L373" i="24"/>
  <c r="K373" i="24"/>
  <c r="Q372" i="24"/>
  <c r="O372" i="24"/>
  <c r="N372" i="24"/>
  <c r="L372" i="24"/>
  <c r="K372" i="24"/>
  <c r="O371" i="24"/>
  <c r="L371" i="24" s="1"/>
  <c r="N371" i="24"/>
  <c r="K371" i="24"/>
  <c r="O370" i="24"/>
  <c r="Q370" i="24" s="1"/>
  <c r="N370" i="24"/>
  <c r="K370" i="24"/>
  <c r="Q369" i="24"/>
  <c r="O369" i="24"/>
  <c r="N369" i="24"/>
  <c r="L369" i="24"/>
  <c r="K369" i="24"/>
  <c r="Q368" i="24"/>
  <c r="O368" i="24"/>
  <c r="N368" i="24"/>
  <c r="L368" i="24"/>
  <c r="K368" i="24"/>
  <c r="O367" i="24"/>
  <c r="L367" i="24" s="1"/>
  <c r="N367" i="24"/>
  <c r="K367" i="24"/>
  <c r="O366" i="24"/>
  <c r="N366" i="24"/>
  <c r="K366" i="24"/>
  <c r="Q365" i="24"/>
  <c r="O365" i="24"/>
  <c r="N365" i="24"/>
  <c r="L365" i="24"/>
  <c r="K365" i="24"/>
  <c r="Q364" i="24"/>
  <c r="O364" i="24"/>
  <c r="N364" i="24"/>
  <c r="L364" i="24"/>
  <c r="K364" i="24"/>
  <c r="O363" i="24"/>
  <c r="L363" i="24" s="1"/>
  <c r="N363" i="24"/>
  <c r="K363" i="24"/>
  <c r="O362" i="24"/>
  <c r="N362" i="24"/>
  <c r="K362" i="24"/>
  <c r="Q361" i="24"/>
  <c r="O361" i="24"/>
  <c r="N361" i="24"/>
  <c r="L361" i="24"/>
  <c r="K361" i="24"/>
  <c r="Q360" i="24"/>
  <c r="O360" i="24"/>
  <c r="N360" i="24"/>
  <c r="L360" i="24"/>
  <c r="K360" i="24"/>
  <c r="O359" i="24"/>
  <c r="L359" i="24" s="1"/>
  <c r="N359" i="24"/>
  <c r="K359" i="24"/>
  <c r="O358" i="24"/>
  <c r="N358" i="24"/>
  <c r="K358" i="24"/>
  <c r="Q357" i="24"/>
  <c r="O357" i="24"/>
  <c r="N357" i="24"/>
  <c r="L357" i="24"/>
  <c r="K357" i="24"/>
  <c r="Q356" i="24"/>
  <c r="O356" i="24"/>
  <c r="N356" i="24"/>
  <c r="L356" i="24"/>
  <c r="K356" i="24"/>
  <c r="O355" i="24"/>
  <c r="L355" i="24" s="1"/>
  <c r="N355" i="24"/>
  <c r="K355" i="24"/>
  <c r="O354" i="24"/>
  <c r="N354" i="24"/>
  <c r="K354" i="24"/>
  <c r="Q353" i="24"/>
  <c r="O353" i="24"/>
  <c r="N353" i="24"/>
  <c r="L353" i="24"/>
  <c r="K353" i="24"/>
  <c r="Q352" i="24"/>
  <c r="O352" i="24"/>
  <c r="N352" i="24"/>
  <c r="L352" i="24"/>
  <c r="K352" i="24"/>
  <c r="O351" i="24"/>
  <c r="L351" i="24" s="1"/>
  <c r="N351" i="24"/>
  <c r="K351" i="24"/>
  <c r="O350" i="24"/>
  <c r="N350" i="24"/>
  <c r="K350" i="24"/>
  <c r="Q349" i="24"/>
  <c r="O349" i="24"/>
  <c r="N349" i="24"/>
  <c r="L349" i="24"/>
  <c r="K349" i="24"/>
  <c r="Q348" i="24"/>
  <c r="O348" i="24"/>
  <c r="N348" i="24"/>
  <c r="L348" i="24"/>
  <c r="K348" i="24"/>
  <c r="O347" i="24"/>
  <c r="L347" i="24" s="1"/>
  <c r="N347" i="24"/>
  <c r="K347" i="24"/>
  <c r="O346" i="24"/>
  <c r="N346" i="24"/>
  <c r="K346" i="24"/>
  <c r="Q345" i="24"/>
  <c r="O345" i="24"/>
  <c r="N345" i="24"/>
  <c r="L345" i="24"/>
  <c r="K345" i="24"/>
  <c r="H345" i="24"/>
  <c r="O344" i="24"/>
  <c r="L344" i="24" s="1"/>
  <c r="N344" i="24"/>
  <c r="K344" i="24"/>
  <c r="O343" i="24"/>
  <c r="N343" i="24"/>
  <c r="K343" i="24"/>
  <c r="Q342" i="24"/>
  <c r="O342" i="24"/>
  <c r="N342" i="24"/>
  <c r="L342" i="24"/>
  <c r="K342" i="24"/>
  <c r="Q341" i="24"/>
  <c r="O341" i="24"/>
  <c r="N341" i="24"/>
  <c r="L341" i="24"/>
  <c r="K341" i="24"/>
  <c r="O340" i="24"/>
  <c r="L340" i="24" s="1"/>
  <c r="N340" i="24"/>
  <c r="K340" i="24"/>
  <c r="Q339" i="24"/>
  <c r="O339" i="24"/>
  <c r="L339" i="24" s="1"/>
  <c r="N339" i="24"/>
  <c r="K339" i="24"/>
  <c r="Q338" i="24"/>
  <c r="O338" i="24"/>
  <c r="N338" i="24"/>
  <c r="L338" i="24"/>
  <c r="K338" i="24"/>
  <c r="O337" i="24"/>
  <c r="L337" i="24" s="1"/>
  <c r="N337" i="24"/>
  <c r="K337" i="24"/>
  <c r="O336" i="24"/>
  <c r="Q336" i="24" s="1"/>
  <c r="N336" i="24"/>
  <c r="K336" i="24"/>
  <c r="O335" i="24"/>
  <c r="L335" i="24" s="1"/>
  <c r="N335" i="24"/>
  <c r="K335" i="24"/>
  <c r="O334" i="24"/>
  <c r="Q334" i="24" s="1"/>
  <c r="N334" i="24"/>
  <c r="K334" i="24"/>
  <c r="Q333" i="24"/>
  <c r="O333" i="24"/>
  <c r="N333" i="24"/>
  <c r="L333" i="24"/>
  <c r="K333" i="24"/>
  <c r="O332" i="24"/>
  <c r="Q332" i="24" s="1"/>
  <c r="N332" i="24"/>
  <c r="K332" i="24"/>
  <c r="Q331" i="24"/>
  <c r="O331" i="24"/>
  <c r="L331" i="24" s="1"/>
  <c r="N331" i="24"/>
  <c r="K331" i="24"/>
  <c r="Q330" i="24"/>
  <c r="O330" i="24"/>
  <c r="N330" i="24"/>
  <c r="L330" i="24"/>
  <c r="K330" i="24"/>
  <c r="O329" i="24"/>
  <c r="L329" i="24" s="1"/>
  <c r="N329" i="24"/>
  <c r="H329" i="24"/>
  <c r="K329" i="24" s="1"/>
  <c r="Q328" i="24"/>
  <c r="O328" i="24"/>
  <c r="L328" i="24" s="1"/>
  <c r="N328" i="24"/>
  <c r="K328" i="24"/>
  <c r="Q327" i="24"/>
  <c r="O327" i="24"/>
  <c r="L327" i="24" s="1"/>
  <c r="N327" i="24"/>
  <c r="K327" i="24"/>
  <c r="Q326" i="24"/>
  <c r="O326" i="24"/>
  <c r="N326" i="24"/>
  <c r="L326" i="24"/>
  <c r="K326" i="24"/>
  <c r="O325" i="24"/>
  <c r="Q325" i="24" s="1"/>
  <c r="N325" i="24"/>
  <c r="L325" i="24"/>
  <c r="K325" i="24"/>
  <c r="O324" i="24"/>
  <c r="L324" i="24" s="1"/>
  <c r="N324" i="24"/>
  <c r="K324" i="24"/>
  <c r="O323" i="24"/>
  <c r="Q323" i="24" s="1"/>
  <c r="N323" i="24"/>
  <c r="K323" i="24"/>
  <c r="Q322" i="24"/>
  <c r="O322" i="24"/>
  <c r="N322" i="24"/>
  <c r="L322" i="24"/>
  <c r="K322" i="24"/>
  <c r="O321" i="24"/>
  <c r="Q321" i="24" s="1"/>
  <c r="N321" i="24"/>
  <c r="K321" i="24"/>
  <c r="Q320" i="24"/>
  <c r="O320" i="24"/>
  <c r="L320" i="24" s="1"/>
  <c r="N320" i="24"/>
  <c r="K320" i="24"/>
  <c r="Q319" i="24"/>
  <c r="O319" i="24"/>
  <c r="L319" i="24" s="1"/>
  <c r="N319" i="24"/>
  <c r="K319" i="24"/>
  <c r="Q318" i="24"/>
  <c r="O318" i="24"/>
  <c r="N318" i="24"/>
  <c r="L318" i="24"/>
  <c r="K318" i="24"/>
  <c r="O317" i="24"/>
  <c r="Q317" i="24" s="1"/>
  <c r="N317" i="24"/>
  <c r="L317" i="24"/>
  <c r="K317" i="24"/>
  <c r="O316" i="24"/>
  <c r="L316" i="24" s="1"/>
  <c r="N316" i="24"/>
  <c r="K316" i="24"/>
  <c r="O315" i="24"/>
  <c r="Q315" i="24" s="1"/>
  <c r="N315" i="24"/>
  <c r="K315" i="24"/>
  <c r="Q314" i="24"/>
  <c r="O314" i="24"/>
  <c r="N314" i="24"/>
  <c r="L314" i="24"/>
  <c r="K314" i="24"/>
  <c r="O313" i="24"/>
  <c r="Q313" i="24" s="1"/>
  <c r="N313" i="24"/>
  <c r="K313" i="24"/>
  <c r="Q312" i="24"/>
  <c r="O312" i="24"/>
  <c r="L312" i="24" s="1"/>
  <c r="N312" i="24"/>
  <c r="K312" i="24"/>
  <c r="Q311" i="24"/>
  <c r="O311" i="24"/>
  <c r="L311" i="24" s="1"/>
  <c r="N311" i="24"/>
  <c r="K311" i="24"/>
  <c r="Q310" i="24"/>
  <c r="O310" i="24"/>
  <c r="N310" i="24"/>
  <c r="L310" i="24"/>
  <c r="K310" i="24"/>
  <c r="O309" i="24"/>
  <c r="Q309" i="24" s="1"/>
  <c r="N309" i="24"/>
  <c r="L309" i="24"/>
  <c r="K309" i="24"/>
  <c r="O308" i="24"/>
  <c r="L308" i="24" s="1"/>
  <c r="N308" i="24"/>
  <c r="K308" i="24"/>
  <c r="O307" i="24"/>
  <c r="Q307" i="24" s="1"/>
  <c r="N307" i="24"/>
  <c r="K307" i="24"/>
  <c r="Q306" i="24"/>
  <c r="O306" i="24"/>
  <c r="N306" i="24"/>
  <c r="L306" i="24"/>
  <c r="K306" i="24"/>
  <c r="O305" i="24"/>
  <c r="Q305" i="24" s="1"/>
  <c r="N305" i="24"/>
  <c r="K305" i="24"/>
  <c r="Q304" i="24"/>
  <c r="O304" i="24"/>
  <c r="L304" i="24" s="1"/>
  <c r="N304" i="24"/>
  <c r="K304" i="24"/>
  <c r="Q303" i="24"/>
  <c r="O303" i="24"/>
  <c r="L303" i="24" s="1"/>
  <c r="N303" i="24"/>
  <c r="K303" i="24"/>
  <c r="Q302" i="24"/>
  <c r="O302" i="24"/>
  <c r="N302" i="24"/>
  <c r="L302" i="24"/>
  <c r="K302" i="24"/>
  <c r="O301" i="24"/>
  <c r="Q301" i="24" s="1"/>
  <c r="N301" i="24"/>
  <c r="L301" i="24"/>
  <c r="K301" i="24"/>
  <c r="O300" i="24"/>
  <c r="L300" i="24" s="1"/>
  <c r="N300" i="24"/>
  <c r="K300" i="24"/>
  <c r="O299" i="24"/>
  <c r="Q299" i="24" s="1"/>
  <c r="N299" i="24"/>
  <c r="K299" i="24"/>
  <c r="Q298" i="24"/>
  <c r="O298" i="24"/>
  <c r="N298" i="24"/>
  <c r="L298" i="24"/>
  <c r="K298" i="24"/>
  <c r="O297" i="24"/>
  <c r="Q297" i="24" s="1"/>
  <c r="N297" i="24"/>
  <c r="K297" i="24"/>
  <c r="Q296" i="24"/>
  <c r="O296" i="24"/>
  <c r="L296" i="24" s="1"/>
  <c r="N296" i="24"/>
  <c r="K296" i="24"/>
  <c r="Q295" i="24"/>
  <c r="O295" i="24"/>
  <c r="L295" i="24" s="1"/>
  <c r="N295" i="24"/>
  <c r="K295" i="24"/>
  <c r="Q294" i="24"/>
  <c r="O294" i="24"/>
  <c r="N294" i="24"/>
  <c r="L294" i="24"/>
  <c r="K294" i="24"/>
  <c r="O293" i="24"/>
  <c r="Q293" i="24" s="1"/>
  <c r="N293" i="24"/>
  <c r="L293" i="24"/>
  <c r="H293" i="24"/>
  <c r="K293" i="24" s="1"/>
  <c r="O292" i="24"/>
  <c r="Q292" i="24" s="1"/>
  <c r="N292" i="24"/>
  <c r="L292" i="24"/>
  <c r="K292" i="24"/>
  <c r="Q291" i="24"/>
  <c r="O291" i="24"/>
  <c r="N291" i="24"/>
  <c r="L291" i="24"/>
  <c r="K291" i="24"/>
  <c r="O290" i="24"/>
  <c r="Q290" i="24" s="1"/>
  <c r="N290" i="24"/>
  <c r="K290" i="24"/>
  <c r="Q289" i="24"/>
  <c r="O289" i="24"/>
  <c r="L289" i="24" s="1"/>
  <c r="N289" i="24"/>
  <c r="K289" i="24"/>
  <c r="Q288" i="24"/>
  <c r="O288" i="24"/>
  <c r="L288" i="24" s="1"/>
  <c r="N288" i="24"/>
  <c r="K288" i="24"/>
  <c r="Q287" i="24"/>
  <c r="O287" i="24"/>
  <c r="N287" i="24"/>
  <c r="L287" i="24"/>
  <c r="K287" i="24"/>
  <c r="O286" i="24"/>
  <c r="Q286" i="24" s="1"/>
  <c r="N286" i="24"/>
  <c r="L286" i="24"/>
  <c r="K286" i="24"/>
  <c r="O285" i="24"/>
  <c r="L285" i="24" s="1"/>
  <c r="N285" i="24"/>
  <c r="K285" i="24"/>
  <c r="O284" i="24"/>
  <c r="Q284" i="24" s="1"/>
  <c r="N284" i="24"/>
  <c r="L284" i="24"/>
  <c r="K284" i="24"/>
  <c r="Q283" i="24"/>
  <c r="O283" i="24"/>
  <c r="N283" i="24"/>
  <c r="L283" i="24"/>
  <c r="K283" i="24"/>
  <c r="O282" i="24"/>
  <c r="Q282" i="24" s="1"/>
  <c r="N282" i="24"/>
  <c r="K282" i="24"/>
  <c r="Q281" i="24"/>
  <c r="O281" i="24"/>
  <c r="L281" i="24" s="1"/>
  <c r="N281" i="24"/>
  <c r="K281" i="24"/>
  <c r="Q280" i="24"/>
  <c r="O280" i="24"/>
  <c r="L280" i="24" s="1"/>
  <c r="N280" i="24"/>
  <c r="K280" i="24"/>
  <c r="Q279" i="24"/>
  <c r="O279" i="24"/>
  <c r="N279" i="24"/>
  <c r="L279" i="24"/>
  <c r="K279" i="24"/>
  <c r="O278" i="24"/>
  <c r="Q278" i="24" s="1"/>
  <c r="N278" i="24"/>
  <c r="L278" i="24"/>
  <c r="K278" i="24"/>
  <c r="O277" i="24"/>
  <c r="L277" i="24" s="1"/>
  <c r="N277" i="24"/>
  <c r="K277" i="24"/>
  <c r="O276" i="24"/>
  <c r="Q276" i="24" s="1"/>
  <c r="N276" i="24"/>
  <c r="L276" i="24"/>
  <c r="K276" i="24"/>
  <c r="Q275" i="24"/>
  <c r="O275" i="24"/>
  <c r="N275" i="24"/>
  <c r="L275" i="24"/>
  <c r="K275" i="24"/>
  <c r="O274" i="24"/>
  <c r="Q274" i="24" s="1"/>
  <c r="N274" i="24"/>
  <c r="K274" i="24"/>
  <c r="Q273" i="24"/>
  <c r="O273" i="24"/>
  <c r="L273" i="24" s="1"/>
  <c r="N273" i="24"/>
  <c r="K273" i="24"/>
  <c r="Q272" i="24"/>
  <c r="O272" i="24"/>
  <c r="L272" i="24" s="1"/>
  <c r="N272" i="24"/>
  <c r="K272" i="24"/>
  <c r="Q271" i="24"/>
  <c r="O271" i="24"/>
  <c r="N271" i="24"/>
  <c r="L271" i="24"/>
  <c r="K271" i="24"/>
  <c r="O270" i="24"/>
  <c r="Q270" i="24" s="1"/>
  <c r="N270" i="24"/>
  <c r="L270" i="24"/>
  <c r="K270" i="24"/>
  <c r="O269" i="24"/>
  <c r="L269" i="24" s="1"/>
  <c r="N269" i="24"/>
  <c r="K269" i="24"/>
  <c r="O268" i="24"/>
  <c r="Q268" i="24" s="1"/>
  <c r="N268" i="24"/>
  <c r="L268" i="24"/>
  <c r="K268" i="24"/>
  <c r="Q267" i="24"/>
  <c r="O267" i="24"/>
  <c r="N267" i="24"/>
  <c r="L267" i="24"/>
  <c r="K267" i="24"/>
  <c r="O266" i="24"/>
  <c r="Q266" i="24" s="1"/>
  <c r="N266" i="24"/>
  <c r="K266" i="24"/>
  <c r="O265" i="24"/>
  <c r="L265" i="24" s="1"/>
  <c r="N265" i="24"/>
  <c r="K265" i="24"/>
  <c r="O264" i="24"/>
  <c r="L264" i="24" s="1"/>
  <c r="N264" i="24"/>
  <c r="K264" i="24"/>
  <c r="O263" i="24"/>
  <c r="L263" i="24" s="1"/>
  <c r="N263" i="24"/>
  <c r="K263" i="24"/>
  <c r="O262" i="24"/>
  <c r="Q262" i="24" s="1"/>
  <c r="N262" i="24"/>
  <c r="K262" i="24"/>
  <c r="O261" i="24"/>
  <c r="L261" i="24" s="1"/>
  <c r="N261" i="24"/>
  <c r="K261" i="24"/>
  <c r="O260" i="24"/>
  <c r="Q260" i="24" s="1"/>
  <c r="N260" i="24"/>
  <c r="K260" i="24"/>
  <c r="O259" i="24"/>
  <c r="Q259" i="24" s="1"/>
  <c r="N259" i="24"/>
  <c r="K259" i="24"/>
  <c r="O258" i="24"/>
  <c r="Q258" i="24" s="1"/>
  <c r="N258" i="24"/>
  <c r="H258" i="24"/>
  <c r="K258" i="24" s="1"/>
  <c r="O257" i="24"/>
  <c r="L257" i="24" s="1"/>
  <c r="N257" i="24"/>
  <c r="K257" i="24"/>
  <c r="O256" i="24"/>
  <c r="L256" i="24" s="1"/>
  <c r="N256" i="24"/>
  <c r="K256" i="24"/>
  <c r="O255" i="24"/>
  <c r="Q255" i="24" s="1"/>
  <c r="N255" i="24"/>
  <c r="K255" i="24"/>
  <c r="O254" i="24"/>
  <c r="L254" i="24" s="1"/>
  <c r="N254" i="24"/>
  <c r="K254" i="24"/>
  <c r="O253" i="24"/>
  <c r="Q253" i="24" s="1"/>
  <c r="N253" i="24"/>
  <c r="L253" i="24"/>
  <c r="K253" i="24"/>
  <c r="O252" i="24"/>
  <c r="L252" i="24" s="1"/>
  <c r="N252" i="24"/>
  <c r="K252" i="24"/>
  <c r="O251" i="24"/>
  <c r="Q251" i="24" s="1"/>
  <c r="N251" i="24"/>
  <c r="K251" i="24"/>
  <c r="O250" i="24"/>
  <c r="L250" i="24" s="1"/>
  <c r="N250" i="24"/>
  <c r="K250" i="24"/>
  <c r="Q249" i="24"/>
  <c r="O249" i="24"/>
  <c r="N249" i="24"/>
  <c r="L249" i="24"/>
  <c r="K249" i="24"/>
  <c r="O248" i="24"/>
  <c r="Q248" i="24" s="1"/>
  <c r="N248" i="24"/>
  <c r="L248" i="24"/>
  <c r="K248" i="24"/>
  <c r="O247" i="24"/>
  <c r="Q247" i="24" s="1"/>
  <c r="N247" i="24"/>
  <c r="K247" i="24"/>
  <c r="O246" i="24"/>
  <c r="L246" i="24" s="1"/>
  <c r="N246" i="24"/>
  <c r="K246" i="24"/>
  <c r="Q245" i="24"/>
  <c r="O245" i="24"/>
  <c r="N245" i="24"/>
  <c r="L245" i="24"/>
  <c r="K245" i="24"/>
  <c r="O244" i="24"/>
  <c r="Q244" i="24" s="1"/>
  <c r="N244" i="24"/>
  <c r="L244" i="24"/>
  <c r="K244" i="24"/>
  <c r="O243" i="24"/>
  <c r="Q243" i="24" s="1"/>
  <c r="N243" i="24"/>
  <c r="K243" i="24"/>
  <c r="O242" i="24"/>
  <c r="L242" i="24" s="1"/>
  <c r="N242" i="24"/>
  <c r="K242" i="24"/>
  <c r="O241" i="24"/>
  <c r="L241" i="24" s="1"/>
  <c r="N241" i="24"/>
  <c r="K241" i="24"/>
  <c r="O240" i="24"/>
  <c r="Q240" i="24" s="1"/>
  <c r="N240" i="24"/>
  <c r="K240" i="24"/>
  <c r="O239" i="24"/>
  <c r="Q239" i="24" s="1"/>
  <c r="N239" i="24"/>
  <c r="K239" i="24"/>
  <c r="O238" i="24"/>
  <c r="L238" i="24" s="1"/>
  <c r="N238" i="24"/>
  <c r="H238" i="24"/>
  <c r="K238" i="24" s="1"/>
  <c r="O237" i="24"/>
  <c r="Q237" i="24" s="1"/>
  <c r="N237" i="24"/>
  <c r="L237" i="24"/>
  <c r="K237" i="24"/>
  <c r="O236" i="24"/>
  <c r="Q236" i="24" s="1"/>
  <c r="N236" i="24"/>
  <c r="K236" i="24"/>
  <c r="O235" i="24"/>
  <c r="L235" i="24" s="1"/>
  <c r="N235" i="24"/>
  <c r="K235" i="24"/>
  <c r="Q234" i="24"/>
  <c r="O234" i="24"/>
  <c r="N234" i="24"/>
  <c r="L234" i="24"/>
  <c r="K234" i="24"/>
  <c r="O233" i="24"/>
  <c r="Q233" i="24" s="1"/>
  <c r="N233" i="24"/>
  <c r="L233" i="24"/>
  <c r="K233" i="24"/>
  <c r="O232" i="24"/>
  <c r="Q232" i="24" s="1"/>
  <c r="N232" i="24"/>
  <c r="K232" i="24"/>
  <c r="O231" i="24"/>
  <c r="L231" i="24" s="1"/>
  <c r="N231" i="24"/>
  <c r="K231" i="24"/>
  <c r="O230" i="24"/>
  <c r="Q230" i="24" s="1"/>
  <c r="N230" i="24"/>
  <c r="K230" i="24"/>
  <c r="O229" i="24"/>
  <c r="Q229" i="24" s="1"/>
  <c r="N229" i="24"/>
  <c r="K229" i="24"/>
  <c r="O228" i="24"/>
  <c r="Q228" i="24" s="1"/>
  <c r="N228" i="24"/>
  <c r="K228" i="24"/>
  <c r="O227" i="24"/>
  <c r="L227" i="24" s="1"/>
  <c r="N227" i="24"/>
  <c r="K227" i="24"/>
  <c r="O226" i="24"/>
  <c r="L226" i="24" s="1"/>
  <c r="N226" i="24"/>
  <c r="K226" i="24"/>
  <c r="O225" i="24"/>
  <c r="Q225" i="24" s="1"/>
  <c r="N225" i="24"/>
  <c r="K225" i="24"/>
  <c r="O224" i="24"/>
  <c r="Q224" i="24" s="1"/>
  <c r="N224" i="24"/>
  <c r="K224" i="24"/>
  <c r="O223" i="24"/>
  <c r="L223" i="24" s="1"/>
  <c r="N223" i="24"/>
  <c r="K223" i="24"/>
  <c r="Q222" i="24"/>
  <c r="O222" i="24"/>
  <c r="N222" i="24"/>
  <c r="L222" i="24"/>
  <c r="K222" i="24"/>
  <c r="O221" i="24"/>
  <c r="Q221" i="24" s="1"/>
  <c r="N221" i="24"/>
  <c r="L221" i="24"/>
  <c r="K221" i="24"/>
  <c r="O220" i="24"/>
  <c r="Q220" i="24" s="1"/>
  <c r="N220" i="24"/>
  <c r="K220" i="24"/>
  <c r="O219" i="24"/>
  <c r="L219" i="24" s="1"/>
  <c r="N219" i="24"/>
  <c r="K219" i="24"/>
  <c r="Q218" i="24"/>
  <c r="O218" i="24"/>
  <c r="N218" i="24"/>
  <c r="L218" i="24"/>
  <c r="K218" i="24"/>
  <c r="O217" i="24"/>
  <c r="Q217" i="24" s="1"/>
  <c r="N217" i="24"/>
  <c r="L217" i="24"/>
  <c r="K217" i="24"/>
  <c r="O216" i="24"/>
  <c r="Q216" i="24" s="1"/>
  <c r="N216" i="24"/>
  <c r="K216" i="24"/>
  <c r="O215" i="24"/>
  <c r="L215" i="24" s="1"/>
  <c r="N215" i="24"/>
  <c r="K215" i="24"/>
  <c r="O214" i="24"/>
  <c r="L214" i="24" s="1"/>
  <c r="N214" i="24"/>
  <c r="K214" i="24"/>
  <c r="O213" i="24"/>
  <c r="Q213" i="24" s="1"/>
  <c r="N213" i="24"/>
  <c r="K213" i="24"/>
  <c r="O212" i="24"/>
  <c r="Q212" i="24" s="1"/>
  <c r="N212" i="24"/>
  <c r="K212" i="24"/>
  <c r="O211" i="24"/>
  <c r="L211" i="24" s="1"/>
  <c r="N211" i="24"/>
  <c r="K211" i="24"/>
  <c r="O210" i="24"/>
  <c r="L210" i="24" s="1"/>
  <c r="N210" i="24"/>
  <c r="K210" i="24"/>
  <c r="O209" i="24"/>
  <c r="Q209" i="24" s="1"/>
  <c r="N209" i="24"/>
  <c r="K209" i="24"/>
  <c r="O208" i="24"/>
  <c r="Q208" i="24" s="1"/>
  <c r="N208" i="24"/>
  <c r="K208" i="24"/>
  <c r="O207" i="24"/>
  <c r="L207" i="24" s="1"/>
  <c r="N207" i="24"/>
  <c r="K207" i="24"/>
  <c r="Q206" i="24"/>
  <c r="O206" i="24"/>
  <c r="N206" i="24"/>
  <c r="L206" i="24"/>
  <c r="K206" i="24"/>
  <c r="O205" i="24"/>
  <c r="Q205" i="24" s="1"/>
  <c r="N205" i="24"/>
  <c r="L205" i="24"/>
  <c r="K205" i="24"/>
  <c r="O204" i="24"/>
  <c r="Q204" i="24" s="1"/>
  <c r="N204" i="24"/>
  <c r="K204" i="24"/>
  <c r="O203" i="24"/>
  <c r="L203" i="24" s="1"/>
  <c r="N203" i="24"/>
  <c r="K203" i="24"/>
  <c r="Q202" i="24"/>
  <c r="O202" i="24"/>
  <c r="N202" i="24"/>
  <c r="L202" i="24"/>
  <c r="K202" i="24"/>
  <c r="O201" i="24"/>
  <c r="Q201" i="24" s="1"/>
  <c r="N201" i="24"/>
  <c r="L201" i="24"/>
  <c r="K201" i="24"/>
  <c r="O200" i="24"/>
  <c r="Q200" i="24" s="1"/>
  <c r="N200" i="24"/>
  <c r="K200" i="24"/>
  <c r="O199" i="24"/>
  <c r="L199" i="24" s="1"/>
  <c r="N199" i="24"/>
  <c r="K199" i="24"/>
  <c r="O198" i="24"/>
  <c r="Q198" i="24" s="1"/>
  <c r="N198" i="24"/>
  <c r="K198" i="24"/>
  <c r="O197" i="24"/>
  <c r="Q197" i="24" s="1"/>
  <c r="N197" i="24"/>
  <c r="K197" i="24"/>
  <c r="O196" i="24"/>
  <c r="Q196" i="24" s="1"/>
  <c r="N196" i="24"/>
  <c r="K196" i="24"/>
  <c r="O195" i="24"/>
  <c r="L195" i="24" s="1"/>
  <c r="N195" i="24"/>
  <c r="H195" i="24"/>
  <c r="K195" i="24" s="1"/>
  <c r="O194" i="24"/>
  <c r="Q194" i="24" s="1"/>
  <c r="N194" i="24"/>
  <c r="L194" i="24"/>
  <c r="K194" i="24"/>
  <c r="O193" i="24"/>
  <c r="Q193" i="24" s="1"/>
  <c r="N193" i="24"/>
  <c r="K193" i="24"/>
  <c r="O192" i="24"/>
  <c r="L192" i="24" s="1"/>
  <c r="N192" i="24"/>
  <c r="K192" i="24"/>
  <c r="Q191" i="24"/>
  <c r="O191" i="24"/>
  <c r="N191" i="24"/>
  <c r="L191" i="24"/>
  <c r="K191" i="24"/>
  <c r="O190" i="24"/>
  <c r="Q190" i="24" s="1"/>
  <c r="N190" i="24"/>
  <c r="L190" i="24"/>
  <c r="K190" i="24"/>
  <c r="O189" i="24"/>
  <c r="Q189" i="24" s="1"/>
  <c r="N189" i="24"/>
  <c r="K189" i="24"/>
  <c r="O188" i="24"/>
  <c r="L188" i="24" s="1"/>
  <c r="N188" i="24"/>
  <c r="K188" i="24"/>
  <c r="O187" i="24"/>
  <c r="L187" i="24" s="1"/>
  <c r="N187" i="24"/>
  <c r="K187" i="24"/>
  <c r="O186" i="24"/>
  <c r="Q186" i="24" s="1"/>
  <c r="N186" i="24"/>
  <c r="K186" i="24"/>
  <c r="O185" i="24"/>
  <c r="Q185" i="24" s="1"/>
  <c r="N185" i="24"/>
  <c r="K185" i="24"/>
  <c r="O184" i="24"/>
  <c r="L184" i="24" s="1"/>
  <c r="N184" i="24"/>
  <c r="K184" i="24"/>
  <c r="O183" i="24"/>
  <c r="L183" i="24" s="1"/>
  <c r="N183" i="24"/>
  <c r="K183" i="24"/>
  <c r="O182" i="24"/>
  <c r="Q182" i="24" s="1"/>
  <c r="N182" i="24"/>
  <c r="K182" i="24"/>
  <c r="O181" i="24"/>
  <c r="Q181" i="24" s="1"/>
  <c r="N181" i="24"/>
  <c r="K181" i="24"/>
  <c r="O180" i="24"/>
  <c r="L180" i="24" s="1"/>
  <c r="N180" i="24"/>
  <c r="K180" i="24"/>
  <c r="Q179" i="24"/>
  <c r="O179" i="24"/>
  <c r="N179" i="24"/>
  <c r="L179" i="24"/>
  <c r="K179" i="24"/>
  <c r="O178" i="24"/>
  <c r="Q178" i="24" s="1"/>
  <c r="N178" i="24"/>
  <c r="L178" i="24"/>
  <c r="K178" i="24"/>
  <c r="O177" i="24"/>
  <c r="Q177" i="24" s="1"/>
  <c r="N177" i="24"/>
  <c r="K177" i="24"/>
  <c r="O176" i="24"/>
  <c r="L176" i="24" s="1"/>
  <c r="N176" i="24"/>
  <c r="H176" i="24"/>
  <c r="K176" i="24" s="1"/>
  <c r="O175" i="24"/>
  <c r="Q175" i="24" s="1"/>
  <c r="N175" i="24"/>
  <c r="K175" i="24"/>
  <c r="O174" i="24"/>
  <c r="Q174" i="24" s="1"/>
  <c r="N174" i="24"/>
  <c r="K174" i="24"/>
  <c r="O173" i="24"/>
  <c r="L173" i="24" s="1"/>
  <c r="N173" i="24"/>
  <c r="K173" i="24"/>
  <c r="O172" i="24"/>
  <c r="L172" i="24" s="1"/>
  <c r="N172" i="24"/>
  <c r="K172" i="24"/>
  <c r="O171" i="24"/>
  <c r="Q171" i="24" s="1"/>
  <c r="N171" i="24"/>
  <c r="K171" i="24"/>
  <c r="O170" i="24"/>
  <c r="Q170" i="24" s="1"/>
  <c r="N170" i="24"/>
  <c r="K170" i="24"/>
  <c r="O169" i="24"/>
  <c r="L169" i="24" s="1"/>
  <c r="N169" i="24"/>
  <c r="K169" i="24"/>
  <c r="Q168" i="24"/>
  <c r="O168" i="24"/>
  <c r="N168" i="24"/>
  <c r="L168" i="24"/>
  <c r="K168" i="24"/>
  <c r="O167" i="24"/>
  <c r="Q167" i="24" s="1"/>
  <c r="N167" i="24"/>
  <c r="L167" i="24"/>
  <c r="K167" i="24"/>
  <c r="O166" i="24"/>
  <c r="Q166" i="24" s="1"/>
  <c r="N166" i="24"/>
  <c r="K166" i="24"/>
  <c r="O165" i="24"/>
  <c r="L165" i="24" s="1"/>
  <c r="N165" i="24"/>
  <c r="K165" i="24"/>
  <c r="Q164" i="24"/>
  <c r="O164" i="24"/>
  <c r="N164" i="24"/>
  <c r="L164" i="24"/>
  <c r="K164" i="24"/>
  <c r="H164" i="24"/>
  <c r="O163" i="24"/>
  <c r="Q163" i="24" s="1"/>
  <c r="N163" i="24"/>
  <c r="K163" i="24"/>
  <c r="O162" i="24"/>
  <c r="L162" i="24" s="1"/>
  <c r="N162" i="24"/>
  <c r="K162" i="24"/>
  <c r="Q161" i="24"/>
  <c r="O161" i="24"/>
  <c r="N161" i="24"/>
  <c r="L161" i="24"/>
  <c r="K161" i="24"/>
  <c r="O160" i="24"/>
  <c r="Q160" i="24" s="1"/>
  <c r="N160" i="24"/>
  <c r="L160" i="24"/>
  <c r="K160" i="24"/>
  <c r="O159" i="24"/>
  <c r="Q159" i="24" s="1"/>
  <c r="N159" i="24"/>
  <c r="K159" i="24"/>
  <c r="O158" i="24"/>
  <c r="L158" i="24" s="1"/>
  <c r="N158" i="24"/>
  <c r="K158" i="24"/>
  <c r="O157" i="24"/>
  <c r="Q157" i="24" s="1"/>
  <c r="N157" i="24"/>
  <c r="K157" i="24"/>
  <c r="O156" i="24"/>
  <c r="Q156" i="24" s="1"/>
  <c r="N156" i="24"/>
  <c r="K156" i="24"/>
  <c r="O155" i="24"/>
  <c r="Q155" i="24" s="1"/>
  <c r="N155" i="24"/>
  <c r="K155" i="24"/>
  <c r="O154" i="24"/>
  <c r="L154" i="24" s="1"/>
  <c r="N154" i="24"/>
  <c r="K154" i="24"/>
  <c r="O153" i="24"/>
  <c r="L153" i="24" s="1"/>
  <c r="N153" i="24"/>
  <c r="H153" i="24"/>
  <c r="K153" i="24" s="1"/>
  <c r="O152" i="24"/>
  <c r="Q152" i="24" s="1"/>
  <c r="N152" i="24"/>
  <c r="K152" i="24"/>
  <c r="O151" i="24"/>
  <c r="L151" i="24" s="1"/>
  <c r="N151" i="24"/>
  <c r="K151" i="24"/>
  <c r="O150" i="24"/>
  <c r="L150" i="24" s="1"/>
  <c r="N150" i="24"/>
  <c r="K150" i="24"/>
  <c r="O149" i="24"/>
  <c r="Q149" i="24" s="1"/>
  <c r="N149" i="24"/>
  <c r="H149" i="24"/>
  <c r="K149" i="24" s="1"/>
  <c r="O148" i="24"/>
  <c r="L148" i="24" s="1"/>
  <c r="N148" i="24"/>
  <c r="K148" i="24"/>
  <c r="O147" i="24"/>
  <c r="L147" i="24" s="1"/>
  <c r="N147" i="24"/>
  <c r="K147" i="24"/>
  <c r="O146" i="24"/>
  <c r="Q146" i="24" s="1"/>
  <c r="N146" i="24"/>
  <c r="K146" i="24"/>
  <c r="O145" i="24"/>
  <c r="Q145" i="24" s="1"/>
  <c r="N145" i="24"/>
  <c r="K145" i="24"/>
  <c r="O144" i="24"/>
  <c r="L144" i="24" s="1"/>
  <c r="N144" i="24"/>
  <c r="K144" i="24"/>
  <c r="Q143" i="24"/>
  <c r="O143" i="24"/>
  <c r="N143" i="24"/>
  <c r="L143" i="24"/>
  <c r="K143" i="24"/>
  <c r="O142" i="24"/>
  <c r="Q142" i="24" s="1"/>
  <c r="N142" i="24"/>
  <c r="L142" i="24"/>
  <c r="H142" i="24"/>
  <c r="K142" i="24" s="1"/>
  <c r="O141" i="24"/>
  <c r="L141" i="24" s="1"/>
  <c r="N141" i="24"/>
  <c r="K141" i="24"/>
  <c r="Q140" i="24"/>
  <c r="O140" i="24"/>
  <c r="N140" i="24"/>
  <c r="L140" i="24"/>
  <c r="K140" i="24"/>
  <c r="O139" i="24"/>
  <c r="Q139" i="24" s="1"/>
  <c r="N139" i="24"/>
  <c r="L139" i="24"/>
  <c r="H139" i="24"/>
  <c r="K139" i="24" s="1"/>
  <c r="O138" i="24"/>
  <c r="L138" i="24" s="1"/>
  <c r="N138" i="24"/>
  <c r="K138" i="24"/>
  <c r="Q137" i="24"/>
  <c r="O137" i="24"/>
  <c r="N137" i="24"/>
  <c r="L137" i="24"/>
  <c r="K137" i="24"/>
  <c r="O136" i="24"/>
  <c r="Q136" i="24" s="1"/>
  <c r="N136" i="24"/>
  <c r="L136" i="24"/>
  <c r="K136" i="24"/>
  <c r="O135" i="24"/>
  <c r="Q135" i="24" s="1"/>
  <c r="N135" i="24"/>
  <c r="K135" i="24"/>
  <c r="O134" i="24"/>
  <c r="L134" i="24" s="1"/>
  <c r="N134" i="24"/>
  <c r="K134" i="24"/>
  <c r="Q133" i="24"/>
  <c r="O133" i="24"/>
  <c r="N133" i="24"/>
  <c r="L133" i="24"/>
  <c r="K133" i="24"/>
  <c r="O132" i="24"/>
  <c r="Q132" i="24" s="1"/>
  <c r="N132" i="24"/>
  <c r="L132" i="24"/>
  <c r="K132" i="24"/>
  <c r="O131" i="24"/>
  <c r="Q131" i="24" s="1"/>
  <c r="N131" i="24"/>
  <c r="H131" i="24"/>
  <c r="K131" i="24" s="1"/>
  <c r="Q130" i="24"/>
  <c r="O130" i="24"/>
  <c r="N130" i="24"/>
  <c r="L130" i="24"/>
  <c r="K130" i="24"/>
  <c r="O129" i="24"/>
  <c r="Q129" i="24" s="1"/>
  <c r="N129" i="24"/>
  <c r="L129" i="24"/>
  <c r="K129" i="24"/>
  <c r="O128" i="24"/>
  <c r="Q128" i="24" s="1"/>
  <c r="N128" i="24"/>
  <c r="K128" i="24"/>
  <c r="O127" i="24"/>
  <c r="L127" i="24" s="1"/>
  <c r="N127" i="24"/>
  <c r="K127" i="24"/>
  <c r="O126" i="24"/>
  <c r="L126" i="24" s="1"/>
  <c r="N126" i="24"/>
  <c r="K126" i="24"/>
  <c r="O125" i="24"/>
  <c r="Q125" i="24" s="1"/>
  <c r="N125" i="24"/>
  <c r="K125" i="24"/>
  <c r="O124" i="24"/>
  <c r="Q124" i="24" s="1"/>
  <c r="N124" i="24"/>
  <c r="K124" i="24"/>
  <c r="O123" i="24"/>
  <c r="L123" i="24" s="1"/>
  <c r="N123" i="24"/>
  <c r="K123" i="24"/>
  <c r="O122" i="24"/>
  <c r="L122" i="24" s="1"/>
  <c r="N122" i="24"/>
  <c r="K122" i="24"/>
  <c r="O121" i="24"/>
  <c r="Q121" i="24" s="1"/>
  <c r="N121" i="24"/>
  <c r="K121" i="24"/>
  <c r="O120" i="24"/>
  <c r="Q120" i="24" s="1"/>
  <c r="N120" i="24"/>
  <c r="K120" i="24"/>
  <c r="O119" i="24"/>
  <c r="L119" i="24" s="1"/>
  <c r="N119" i="24"/>
  <c r="K119" i="24"/>
  <c r="Q118" i="24"/>
  <c r="O118" i="24"/>
  <c r="N118" i="24"/>
  <c r="L118" i="24"/>
  <c r="K118" i="24"/>
  <c r="O117" i="24"/>
  <c r="Q117" i="24" s="1"/>
  <c r="N117" i="24"/>
  <c r="L117" i="24"/>
  <c r="H117" i="24"/>
  <c r="K117" i="24" s="1"/>
  <c r="O116" i="24"/>
  <c r="L116" i="24" s="1"/>
  <c r="N116" i="24"/>
  <c r="K116" i="24"/>
  <c r="Q115" i="24"/>
  <c r="O115" i="24"/>
  <c r="N115" i="24"/>
  <c r="L115" i="24"/>
  <c r="K115" i="24"/>
  <c r="O114" i="24"/>
  <c r="Q114" i="24" s="1"/>
  <c r="N114" i="24"/>
  <c r="L114" i="24"/>
  <c r="K114" i="24"/>
  <c r="O113" i="24"/>
  <c r="Q113" i="24" s="1"/>
  <c r="N113" i="24"/>
  <c r="H113" i="24"/>
  <c r="K113" i="24" s="1"/>
  <c r="Q112" i="24"/>
  <c r="O112" i="24"/>
  <c r="N112" i="24"/>
  <c r="L112" i="24"/>
  <c r="K112" i="24"/>
  <c r="O111" i="24"/>
  <c r="Q111" i="24" s="1"/>
  <c r="N111" i="24"/>
  <c r="L111" i="24"/>
  <c r="H111" i="24"/>
  <c r="K111" i="24" s="1"/>
  <c r="O110" i="24"/>
  <c r="L110" i="24" s="1"/>
  <c r="N110" i="24"/>
  <c r="K110" i="24"/>
  <c r="Q109" i="24"/>
  <c r="O109" i="24"/>
  <c r="N109" i="24"/>
  <c r="L109" i="24"/>
  <c r="K109" i="24"/>
  <c r="O108" i="24"/>
  <c r="Q108" i="24" s="1"/>
  <c r="N108" i="24"/>
  <c r="L108" i="24"/>
  <c r="K108" i="24"/>
  <c r="O107" i="24"/>
  <c r="Q107" i="24" s="1"/>
  <c r="N107" i="24"/>
  <c r="K107" i="24"/>
  <c r="O106" i="24"/>
  <c r="L106" i="24" s="1"/>
  <c r="N106" i="24"/>
  <c r="K106" i="24"/>
  <c r="Q105" i="24"/>
  <c r="O105" i="24"/>
  <c r="N105" i="24"/>
  <c r="L105" i="24"/>
  <c r="K105" i="24"/>
  <c r="O104" i="24"/>
  <c r="Q104" i="24" s="1"/>
  <c r="N104" i="24"/>
  <c r="L104" i="24"/>
  <c r="K104" i="24"/>
  <c r="O103" i="24"/>
  <c r="Q103" i="24" s="1"/>
  <c r="N103" i="24"/>
  <c r="K103" i="24"/>
  <c r="O102" i="24"/>
  <c r="L102" i="24" s="1"/>
  <c r="N102" i="24"/>
  <c r="K102" i="24"/>
  <c r="O101" i="24"/>
  <c r="Q101" i="24" s="1"/>
  <c r="N101" i="24"/>
  <c r="H101" i="24"/>
  <c r="K101" i="24" s="1"/>
  <c r="O100" i="24"/>
  <c r="Q100" i="24" s="1"/>
  <c r="N100" i="24"/>
  <c r="K100" i="24"/>
  <c r="O99" i="24"/>
  <c r="L99" i="24" s="1"/>
  <c r="N99" i="24"/>
  <c r="K99" i="24"/>
  <c r="O98" i="24"/>
  <c r="L98" i="24" s="1"/>
  <c r="N98" i="24"/>
  <c r="K98" i="24"/>
  <c r="O97" i="24"/>
  <c r="Q97" i="24" s="1"/>
  <c r="N97" i="24"/>
  <c r="K97" i="24"/>
  <c r="O96" i="24"/>
  <c r="Q96" i="24" s="1"/>
  <c r="N96" i="24"/>
  <c r="K96" i="24"/>
  <c r="O95" i="24"/>
  <c r="L95" i="24" s="1"/>
  <c r="N95" i="24"/>
  <c r="K95" i="24"/>
  <c r="O94" i="24"/>
  <c r="L94" i="24" s="1"/>
  <c r="N94" i="24"/>
  <c r="K94" i="24"/>
  <c r="O93" i="24"/>
  <c r="Q93" i="24" s="1"/>
  <c r="N93" i="24"/>
  <c r="H93" i="24"/>
  <c r="K93" i="24" s="1"/>
  <c r="O92" i="24"/>
  <c r="L92" i="24" s="1"/>
  <c r="N92" i="24"/>
  <c r="K92" i="24"/>
  <c r="O91" i="24"/>
  <c r="L91" i="24" s="1"/>
  <c r="N91" i="24"/>
  <c r="K91" i="24"/>
  <c r="O90" i="24"/>
  <c r="Q90" i="24" s="1"/>
  <c r="N90" i="24"/>
  <c r="K90" i="24"/>
  <c r="O89" i="24"/>
  <c r="Q89" i="24" s="1"/>
  <c r="N89" i="24"/>
  <c r="K89" i="24"/>
  <c r="O88" i="24"/>
  <c r="L88" i="24" s="1"/>
  <c r="N88" i="24"/>
  <c r="K88" i="24"/>
  <c r="Q87" i="24"/>
  <c r="O87" i="24"/>
  <c r="N87" i="24"/>
  <c r="L87" i="24"/>
  <c r="K87" i="24"/>
  <c r="O86" i="24"/>
  <c r="Q86" i="24" s="1"/>
  <c r="N86" i="24"/>
  <c r="L86" i="24"/>
  <c r="K86" i="24"/>
  <c r="O85" i="24"/>
  <c r="Q85" i="24" s="1"/>
  <c r="N85" i="24"/>
  <c r="K85" i="24"/>
  <c r="O84" i="24"/>
  <c r="L84" i="24" s="1"/>
  <c r="N84" i="24"/>
  <c r="K84" i="24"/>
  <c r="Q83" i="24"/>
  <c r="O83" i="24"/>
  <c r="N83" i="24"/>
  <c r="L83" i="24"/>
  <c r="K83" i="24"/>
  <c r="O82" i="24"/>
  <c r="Q82" i="24" s="1"/>
  <c r="N82" i="24"/>
  <c r="L82" i="24"/>
  <c r="K82" i="24"/>
  <c r="O81" i="24"/>
  <c r="Q81" i="24" s="1"/>
  <c r="N81" i="24"/>
  <c r="K81" i="24"/>
  <c r="O80" i="24"/>
  <c r="L80" i="24" s="1"/>
  <c r="N80" i="24"/>
  <c r="K80" i="24"/>
  <c r="O79" i="24"/>
  <c r="Q79" i="24" s="1"/>
  <c r="N79" i="24"/>
  <c r="H79" i="24"/>
  <c r="K79" i="24" s="1"/>
  <c r="O78" i="24"/>
  <c r="Q78" i="24" s="1"/>
  <c r="N78" i="24"/>
  <c r="K78" i="24"/>
  <c r="O77" i="24"/>
  <c r="L77" i="24" s="1"/>
  <c r="N77" i="24"/>
  <c r="K77" i="24"/>
  <c r="O76" i="24"/>
  <c r="L76" i="24" s="1"/>
  <c r="N76" i="24"/>
  <c r="K76" i="24"/>
  <c r="O75" i="24"/>
  <c r="Q75" i="24" s="1"/>
  <c r="N75" i="24"/>
  <c r="K75" i="24"/>
  <c r="O74" i="24"/>
  <c r="Q74" i="24" s="1"/>
  <c r="N74" i="24"/>
  <c r="K74" i="24"/>
  <c r="O73" i="24"/>
  <c r="Q73" i="24" s="1"/>
  <c r="N73" i="24"/>
  <c r="K73" i="24"/>
  <c r="O72" i="24"/>
  <c r="L72" i="24" s="1"/>
  <c r="N72" i="24"/>
  <c r="H72" i="24"/>
  <c r="K72" i="24" s="1"/>
  <c r="O71" i="24"/>
  <c r="Q71" i="24" s="1"/>
  <c r="N71" i="24"/>
  <c r="K71" i="24"/>
  <c r="O70" i="24"/>
  <c r="L70" i="24" s="1"/>
  <c r="N70" i="24"/>
  <c r="K70" i="24"/>
  <c r="O69" i="24"/>
  <c r="L69" i="24" s="1"/>
  <c r="N69" i="24"/>
  <c r="K69" i="24"/>
  <c r="O68" i="24"/>
  <c r="Q68" i="24" s="1"/>
  <c r="N68" i="24"/>
  <c r="K68" i="24"/>
  <c r="O67" i="24"/>
  <c r="Q67" i="24" s="1"/>
  <c r="N67" i="24"/>
  <c r="K67" i="24"/>
  <c r="O66" i="24"/>
  <c r="L66" i="24" s="1"/>
  <c r="N66" i="24"/>
  <c r="K66" i="24"/>
  <c r="Q65" i="24"/>
  <c r="O65" i="24"/>
  <c r="N65" i="24"/>
  <c r="L65" i="24"/>
  <c r="K65" i="24"/>
  <c r="O64" i="24"/>
  <c r="Q64" i="24" s="1"/>
  <c r="N64" i="24"/>
  <c r="L64" i="24"/>
  <c r="K64" i="24"/>
  <c r="O63" i="24"/>
  <c r="Q63" i="24" s="1"/>
  <c r="N63" i="24"/>
  <c r="K63" i="24"/>
  <c r="O62" i="24"/>
  <c r="L62" i="24" s="1"/>
  <c r="N62" i="24"/>
  <c r="K62" i="24"/>
  <c r="Q61" i="24"/>
  <c r="O61" i="24"/>
  <c r="N61" i="24"/>
  <c r="L61" i="24"/>
  <c r="K61" i="24"/>
  <c r="O60" i="24"/>
  <c r="Q60" i="24" s="1"/>
  <c r="N60" i="24"/>
  <c r="L60" i="24"/>
  <c r="K60" i="24"/>
  <c r="O59" i="24"/>
  <c r="Q59" i="24" s="1"/>
  <c r="N59" i="24"/>
  <c r="H59" i="24"/>
  <c r="K59" i="24" s="1"/>
  <c r="Q58" i="24"/>
  <c r="O58" i="24"/>
  <c r="N58" i="24"/>
  <c r="L58" i="24"/>
  <c r="K58" i="24"/>
  <c r="O57" i="24"/>
  <c r="Q57" i="24" s="1"/>
  <c r="N57" i="24"/>
  <c r="L57" i="24"/>
  <c r="K57" i="24"/>
  <c r="O56" i="24"/>
  <c r="L56" i="24" s="1"/>
  <c r="N56" i="24"/>
  <c r="H56" i="24"/>
  <c r="K56" i="24" s="1"/>
  <c r="Q55" i="24"/>
  <c r="O55" i="24"/>
  <c r="N55" i="24"/>
  <c r="L55" i="24"/>
  <c r="K55" i="24"/>
  <c r="O54" i="24"/>
  <c r="Q54" i="24" s="1"/>
  <c r="N54" i="24"/>
  <c r="L54" i="24"/>
  <c r="K54" i="24"/>
  <c r="O53" i="24"/>
  <c r="Q53" i="24" s="1"/>
  <c r="N53" i="24"/>
  <c r="H53" i="24"/>
  <c r="K53" i="24" s="1"/>
  <c r="Q52" i="24"/>
  <c r="O52" i="24"/>
  <c r="N52" i="24"/>
  <c r="L52" i="24"/>
  <c r="K52" i="24"/>
  <c r="O51" i="24"/>
  <c r="Q51" i="24" s="1"/>
  <c r="N51" i="24"/>
  <c r="L51" i="24"/>
  <c r="K51" i="24"/>
  <c r="O50" i="24"/>
  <c r="L50" i="24" s="1"/>
  <c r="N50" i="24"/>
  <c r="H50" i="24"/>
  <c r="K50" i="24" s="1"/>
  <c r="Q49" i="24"/>
  <c r="O49" i="24"/>
  <c r="N49" i="24"/>
  <c r="L49" i="24"/>
  <c r="K49" i="24"/>
  <c r="O48" i="24"/>
  <c r="Q48" i="24" s="1"/>
  <c r="N48" i="24"/>
  <c r="L48" i="24"/>
  <c r="H48" i="24"/>
  <c r="K48" i="24" s="1"/>
  <c r="O47" i="24"/>
  <c r="Q47" i="24" s="1"/>
  <c r="N47" i="24"/>
  <c r="K47" i="24"/>
  <c r="Q46" i="24"/>
  <c r="O46" i="24"/>
  <c r="N46" i="24"/>
  <c r="L46" i="24"/>
  <c r="K46" i="24"/>
  <c r="O45" i="24"/>
  <c r="Q45" i="24" s="1"/>
  <c r="N45" i="24"/>
  <c r="L45" i="24"/>
  <c r="H45" i="24"/>
  <c r="K45" i="24" s="1"/>
  <c r="O44" i="24"/>
  <c r="L44" i="24" s="1"/>
  <c r="N44" i="24"/>
  <c r="K44" i="24"/>
  <c r="Q43" i="24"/>
  <c r="O43" i="24"/>
  <c r="N43" i="24"/>
  <c r="L43" i="24"/>
  <c r="K43" i="24"/>
  <c r="O42" i="24"/>
  <c r="Q42" i="24" s="1"/>
  <c r="N42" i="24"/>
  <c r="L42" i="24"/>
  <c r="H42" i="24"/>
  <c r="K42" i="24" s="1"/>
  <c r="O41" i="24"/>
  <c r="L41" i="24" s="1"/>
  <c r="N41" i="24"/>
  <c r="K41" i="24"/>
  <c r="Q40" i="24"/>
  <c r="O40" i="24"/>
  <c r="N40" i="24"/>
  <c r="L40" i="24"/>
  <c r="K40" i="24"/>
  <c r="O39" i="24"/>
  <c r="Q39" i="24" s="1"/>
  <c r="N39" i="24"/>
  <c r="L39" i="24"/>
  <c r="K39" i="24"/>
  <c r="O38" i="24"/>
  <c r="Q38" i="24" s="1"/>
  <c r="N38" i="24"/>
  <c r="K38" i="24"/>
  <c r="O37" i="24"/>
  <c r="L37" i="24" s="1"/>
  <c r="N37" i="24"/>
  <c r="K37" i="24"/>
  <c r="O36" i="24"/>
  <c r="Q36" i="24" s="1"/>
  <c r="N36" i="24"/>
  <c r="K36" i="24"/>
  <c r="O35" i="24"/>
  <c r="Q35" i="24" s="1"/>
  <c r="N35" i="24"/>
  <c r="H35" i="24"/>
  <c r="K35" i="24" s="1"/>
  <c r="O34" i="24"/>
  <c r="L34" i="24" s="1"/>
  <c r="N34" i="24"/>
  <c r="K34" i="24"/>
  <c r="O33" i="24"/>
  <c r="Q33" i="24" s="1"/>
  <c r="N33" i="24"/>
  <c r="K33" i="24"/>
  <c r="O32" i="24"/>
  <c r="Q32" i="24" s="1"/>
  <c r="N32" i="24"/>
  <c r="K32" i="24"/>
  <c r="O31" i="24"/>
  <c r="L31" i="24" s="1"/>
  <c r="N31" i="24"/>
  <c r="K31" i="24"/>
  <c r="O30" i="24"/>
  <c r="L30" i="24" s="1"/>
  <c r="N30" i="24"/>
  <c r="K30" i="24"/>
  <c r="O29" i="24"/>
  <c r="L29" i="24" s="1"/>
  <c r="N29" i="24"/>
  <c r="K29" i="24"/>
  <c r="O28" i="24"/>
  <c r="Q28" i="24" s="1"/>
  <c r="N28" i="24"/>
  <c r="K28" i="24"/>
  <c r="O27" i="24"/>
  <c r="Q27" i="24" s="1"/>
  <c r="N27" i="24"/>
  <c r="K27" i="24"/>
  <c r="O26" i="24"/>
  <c r="L26" i="24" s="1"/>
  <c r="N26" i="24"/>
  <c r="K26" i="24"/>
  <c r="Q25" i="24"/>
  <c r="O25" i="24"/>
  <c r="N25" i="24"/>
  <c r="L25" i="24"/>
  <c r="K25" i="24"/>
  <c r="H25" i="24"/>
  <c r="O24" i="24"/>
  <c r="Q24" i="24" s="1"/>
  <c r="N24" i="24"/>
  <c r="K24" i="24"/>
  <c r="O23" i="24"/>
  <c r="Q23" i="24" s="1"/>
  <c r="N23" i="24"/>
  <c r="K23" i="24"/>
  <c r="Q22" i="24"/>
  <c r="O22" i="24"/>
  <c r="N22" i="24"/>
  <c r="L22" i="24"/>
  <c r="K22" i="24"/>
  <c r="O21" i="24"/>
  <c r="Q21" i="24" s="1"/>
  <c r="N21" i="24"/>
  <c r="L21" i="24"/>
  <c r="K21" i="24"/>
  <c r="O20" i="24"/>
  <c r="L20" i="24" s="1"/>
  <c r="N20" i="24"/>
  <c r="K20" i="24"/>
  <c r="O19" i="24"/>
  <c r="L19" i="24" s="1"/>
  <c r="N19" i="24"/>
  <c r="K19" i="24"/>
  <c r="Q18" i="24"/>
  <c r="O18" i="24"/>
  <c r="N18" i="24"/>
  <c r="L18" i="24"/>
  <c r="K18" i="24"/>
  <c r="O17" i="24"/>
  <c r="Q17" i="24" s="1"/>
  <c r="N17" i="24"/>
  <c r="L17" i="24"/>
  <c r="K17" i="24"/>
  <c r="O16" i="24"/>
  <c r="Q16" i="24" s="1"/>
  <c r="N16" i="24"/>
  <c r="H16" i="24"/>
  <c r="K16" i="24" s="1"/>
  <c r="Q15" i="24"/>
  <c r="O15" i="24"/>
  <c r="N15" i="24"/>
  <c r="L15" i="24"/>
  <c r="K15" i="24"/>
  <c r="O14" i="24"/>
  <c r="Q14" i="24" s="1"/>
  <c r="N14" i="24"/>
  <c r="L14" i="24"/>
  <c r="K14" i="24"/>
  <c r="O13" i="24"/>
  <c r="L13" i="24" s="1"/>
  <c r="N13" i="24"/>
  <c r="K13" i="24"/>
  <c r="O12" i="24"/>
  <c r="L12" i="24" s="1"/>
  <c r="N12" i="24"/>
  <c r="H12" i="24"/>
  <c r="K12" i="24" s="1"/>
  <c r="O11" i="24"/>
  <c r="Q11" i="24" s="1"/>
  <c r="N11" i="24"/>
  <c r="K11" i="24"/>
  <c r="O10" i="24"/>
  <c r="L10" i="24" s="1"/>
  <c r="N10" i="24"/>
  <c r="K10" i="24"/>
  <c r="O9" i="24"/>
  <c r="L9" i="24" s="1"/>
  <c r="N9" i="24"/>
  <c r="K9" i="24"/>
  <c r="Q8" i="24"/>
  <c r="O8" i="24"/>
  <c r="N8" i="24"/>
  <c r="L8" i="24"/>
  <c r="K8" i="24"/>
  <c r="O7" i="24"/>
  <c r="Q7" i="24" s="1"/>
  <c r="N7" i="24"/>
  <c r="L7" i="24"/>
  <c r="K7" i="24"/>
  <c r="O6" i="24"/>
  <c r="Q6" i="24" s="1"/>
  <c r="N6" i="24"/>
  <c r="K6" i="24"/>
  <c r="O5" i="24"/>
  <c r="L5" i="24" s="1"/>
  <c r="N5" i="24"/>
  <c r="H5" i="24"/>
  <c r="K5" i="24" s="1"/>
  <c r="O4" i="24"/>
  <c r="Q4" i="24" s="1"/>
  <c r="N4" i="24"/>
  <c r="K4" i="24"/>
  <c r="O3" i="24"/>
  <c r="Q3" i="24" s="1"/>
  <c r="N3" i="24"/>
  <c r="K3" i="24"/>
  <c r="O2" i="24"/>
  <c r="L2" i="24" s="1"/>
  <c r="N2" i="24"/>
  <c r="K2" i="24"/>
  <c r="Q580" i="24" l="1"/>
  <c r="L580" i="24"/>
  <c r="Q594" i="24"/>
  <c r="L594" i="24"/>
  <c r="Q598" i="24"/>
  <c r="L598" i="24"/>
  <c r="Q605" i="24"/>
  <c r="L605" i="24"/>
  <c r="Q615" i="24"/>
  <c r="L615" i="24"/>
  <c r="Q630" i="24"/>
  <c r="L630" i="24"/>
  <c r="Q654" i="24"/>
  <c r="L654" i="24"/>
  <c r="Q669" i="24"/>
  <c r="L669" i="24"/>
  <c r="L692" i="24"/>
  <c r="Q692" i="24"/>
  <c r="Q730" i="24"/>
  <c r="L730" i="24"/>
  <c r="L765" i="24"/>
  <c r="Q765" i="24"/>
  <c r="L783" i="24"/>
  <c r="Q783" i="24"/>
  <c r="Q796" i="24"/>
  <c r="L796" i="24"/>
  <c r="Q821" i="24"/>
  <c r="L821" i="24"/>
  <c r="Q855" i="24"/>
  <c r="L855" i="24"/>
  <c r="L982" i="24"/>
  <c r="Q982" i="24"/>
  <c r="L1004" i="24"/>
  <c r="Q1004" i="24"/>
  <c r="L1020" i="24"/>
  <c r="Q1020" i="24"/>
  <c r="Q1030" i="24"/>
  <c r="L1030" i="24"/>
  <c r="L1088" i="24"/>
  <c r="Q1088" i="24"/>
  <c r="Q1104" i="24"/>
  <c r="L1104" i="24"/>
  <c r="L1109" i="24"/>
  <c r="Q1109" i="24"/>
  <c r="L1120" i="24"/>
  <c r="Q1120" i="24"/>
  <c r="Q76" i="24"/>
  <c r="Q98" i="24"/>
  <c r="Q126" i="24"/>
  <c r="Q187" i="24"/>
  <c r="Q214" i="24"/>
  <c r="Q241" i="24"/>
  <c r="Q263" i="24"/>
  <c r="Q387" i="24"/>
  <c r="Q420" i="24"/>
  <c r="Q428" i="24"/>
  <c r="Q485" i="24"/>
  <c r="Q593" i="24"/>
  <c r="L593" i="24"/>
  <c r="Q603" i="24"/>
  <c r="L603" i="24"/>
  <c r="Q609" i="24"/>
  <c r="L609" i="24"/>
  <c r="Q614" i="24"/>
  <c r="Q626" i="24"/>
  <c r="L626" i="24"/>
  <c r="Q681" i="24"/>
  <c r="L681" i="24"/>
  <c r="Q695" i="24"/>
  <c r="L695" i="24"/>
  <c r="Q696" i="24"/>
  <c r="Q709" i="24"/>
  <c r="L709" i="24"/>
  <c r="Q747" i="24"/>
  <c r="L747" i="24"/>
  <c r="Q748" i="24"/>
  <c r="Q768" i="24"/>
  <c r="L768" i="24"/>
  <c r="L781" i="24"/>
  <c r="Q781" i="24"/>
  <c r="Q788" i="24"/>
  <c r="L788" i="24"/>
  <c r="Q808" i="24"/>
  <c r="Q826" i="24"/>
  <c r="L826" i="24"/>
  <c r="Q854" i="24"/>
  <c r="L869" i="24"/>
  <c r="Q869" i="24"/>
  <c r="Q957" i="24"/>
  <c r="L957" i="24"/>
  <c r="Q958" i="24"/>
  <c r="Q959" i="24"/>
  <c r="L981" i="24"/>
  <c r="Q981" i="24"/>
  <c r="L997" i="24"/>
  <c r="Q997" i="24"/>
  <c r="L1013" i="24"/>
  <c r="Q1013" i="24"/>
  <c r="L4" i="24"/>
  <c r="Q29" i="24"/>
  <c r="L32" i="24"/>
  <c r="L33" i="24"/>
  <c r="L35" i="24"/>
  <c r="L36" i="24"/>
  <c r="Q69" i="24"/>
  <c r="Q72" i="24"/>
  <c r="L75" i="24"/>
  <c r="L79" i="24"/>
  <c r="Q91" i="24"/>
  <c r="Q94" i="24"/>
  <c r="L97" i="24"/>
  <c r="L101" i="24"/>
  <c r="Q122" i="24"/>
  <c r="L125" i="24"/>
  <c r="Q147" i="24"/>
  <c r="Q150" i="24"/>
  <c r="Q153" i="24"/>
  <c r="L156" i="24"/>
  <c r="L157" i="24"/>
  <c r="Q172" i="24"/>
  <c r="L175" i="24"/>
  <c r="Q183" i="24"/>
  <c r="L186" i="24"/>
  <c r="L197" i="24"/>
  <c r="L198" i="24"/>
  <c r="Q210" i="24"/>
  <c r="L213" i="24"/>
  <c r="Q226" i="24"/>
  <c r="L229" i="24"/>
  <c r="L230" i="24"/>
  <c r="L240" i="24"/>
  <c r="Q252" i="24"/>
  <c r="Q256" i="24"/>
  <c r="L259" i="24"/>
  <c r="L262" i="24"/>
  <c r="L299" i="24"/>
  <c r="L307" i="24"/>
  <c r="L315" i="24"/>
  <c r="L323" i="24"/>
  <c r="Q329" i="24"/>
  <c r="Q337" i="24"/>
  <c r="Q379" i="24"/>
  <c r="Q383" i="24"/>
  <c r="L455" i="24"/>
  <c r="L500" i="24"/>
  <c r="L562" i="24"/>
  <c r="Q578" i="24"/>
  <c r="Q591" i="24"/>
  <c r="L591" i="24"/>
  <c r="L596" i="24"/>
  <c r="Q596" i="24"/>
  <c r="Q601" i="24"/>
  <c r="L601" i="24"/>
  <c r="Q608" i="24"/>
  <c r="L608" i="24"/>
  <c r="L612" i="24"/>
  <c r="Q612" i="24"/>
  <c r="Q623" i="24"/>
  <c r="L623" i="24"/>
  <c r="Q639" i="24"/>
  <c r="Q651" i="24"/>
  <c r="L651" i="24"/>
  <c r="Q652" i="24"/>
  <c r="Q662" i="24"/>
  <c r="L662" i="24"/>
  <c r="Q677" i="24"/>
  <c r="L677" i="24"/>
  <c r="Q694" i="24"/>
  <c r="L694" i="24"/>
  <c r="Q714" i="24"/>
  <c r="L714" i="24"/>
  <c r="Q726" i="24"/>
  <c r="L726" i="24"/>
  <c r="Q727" i="24"/>
  <c r="L741" i="24"/>
  <c r="Q741" i="24"/>
  <c r="Q746" i="24"/>
  <c r="L746" i="24"/>
  <c r="Q756" i="24"/>
  <c r="Q767" i="24"/>
  <c r="L767" i="24"/>
  <c r="L794" i="24"/>
  <c r="Q794" i="24"/>
  <c r="Q806" i="24"/>
  <c r="L806" i="24"/>
  <c r="L819" i="24"/>
  <c r="Q819" i="24"/>
  <c r="Q825" i="24"/>
  <c r="L852" i="24"/>
  <c r="Q852" i="24"/>
  <c r="Q868" i="24"/>
  <c r="L872" i="24"/>
  <c r="Q872" i="24"/>
  <c r="L966" i="24"/>
  <c r="Q966" i="24"/>
  <c r="L970" i="24"/>
  <c r="Q970" i="24"/>
  <c r="L974" i="24"/>
  <c r="Q974" i="24"/>
  <c r="L996" i="24"/>
  <c r="Q996" i="24"/>
  <c r="L1012" i="24"/>
  <c r="Q1012" i="24"/>
  <c r="Q1127" i="24"/>
  <c r="L1127" i="24"/>
  <c r="Q1144" i="24"/>
  <c r="L1144" i="24"/>
  <c r="L1150" i="24"/>
  <c r="Q1150" i="24"/>
  <c r="Q1165" i="24"/>
  <c r="L1165" i="24"/>
  <c r="Q1188" i="24"/>
  <c r="L1188" i="24"/>
  <c r="Q710" i="24"/>
  <c r="L710" i="24"/>
  <c r="L744" i="24"/>
  <c r="Q744" i="24"/>
  <c r="Q803" i="24"/>
  <c r="L803" i="24"/>
  <c r="L865" i="24"/>
  <c r="Q865" i="24"/>
  <c r="Q1048" i="24"/>
  <c r="L1048" i="24"/>
  <c r="L1070" i="24"/>
  <c r="Q1070" i="24"/>
  <c r="Q1079" i="24"/>
  <c r="L1079" i="24"/>
  <c r="Q436" i="24"/>
  <c r="Q462" i="24"/>
  <c r="Q470" i="24"/>
  <c r="Q640" i="24"/>
  <c r="L640" i="24"/>
  <c r="L648" i="24"/>
  <c r="Q648" i="24"/>
  <c r="Q666" i="24"/>
  <c r="L666" i="24"/>
  <c r="L723" i="24"/>
  <c r="Q723" i="24"/>
  <c r="Q729" i="24"/>
  <c r="Q757" i="24"/>
  <c r="L757" i="24"/>
  <c r="Q769" i="24"/>
  <c r="Q807" i="24"/>
  <c r="L807" i="24"/>
  <c r="L11" i="24"/>
  <c r="L28" i="24"/>
  <c r="L68" i="24"/>
  <c r="L90" i="24"/>
  <c r="L93" i="24"/>
  <c r="L121" i="24"/>
  <c r="L146" i="24"/>
  <c r="L149" i="24"/>
  <c r="L171" i="24"/>
  <c r="L182" i="24"/>
  <c r="L209" i="24"/>
  <c r="L225" i="24"/>
  <c r="L255" i="24"/>
  <c r="L260" i="24"/>
  <c r="L336" i="24"/>
  <c r="L421" i="24"/>
  <c r="L429" i="24"/>
  <c r="L437" i="24"/>
  <c r="L451" i="24"/>
  <c r="L463" i="24"/>
  <c r="L471" i="24"/>
  <c r="L478" i="24"/>
  <c r="L486" i="24"/>
  <c r="L496" i="24"/>
  <c r="L546" i="24"/>
  <c r="Q550" i="24"/>
  <c r="L550" i="24"/>
  <c r="L595" i="24"/>
  <c r="Q595" i="24"/>
  <c r="Q599" i="24"/>
  <c r="L599" i="24"/>
  <c r="Q606" i="24"/>
  <c r="L606" i="24"/>
  <c r="L617" i="24"/>
  <c r="Q617" i="24"/>
  <c r="Q633" i="24"/>
  <c r="L633" i="24"/>
  <c r="Q650" i="24"/>
  <c r="L650" i="24"/>
  <c r="Q658" i="24"/>
  <c r="L658" i="24"/>
  <c r="Q673" i="24"/>
  <c r="L673" i="24"/>
  <c r="Q699" i="24"/>
  <c r="L699" i="24"/>
  <c r="Q725" i="24"/>
  <c r="L725" i="24"/>
  <c r="L738" i="24"/>
  <c r="Q738" i="24"/>
  <c r="Q750" i="24"/>
  <c r="L750" i="24"/>
  <c r="Q772" i="24"/>
  <c r="L772" i="24"/>
  <c r="L786" i="24"/>
  <c r="Q786" i="24"/>
  <c r="L805" i="24"/>
  <c r="Q805" i="24"/>
  <c r="Q811" i="24"/>
  <c r="L811" i="24"/>
  <c r="Q822" i="24"/>
  <c r="L822" i="24"/>
  <c r="L850" i="24"/>
  <c r="Q850" i="24"/>
  <c r="Q862" i="24"/>
  <c r="L862" i="24"/>
  <c r="Q889" i="24"/>
  <c r="L889" i="24"/>
  <c r="Q895" i="24"/>
  <c r="L895" i="24"/>
  <c r="Q949" i="24"/>
  <c r="L949" i="24"/>
  <c r="L965" i="24"/>
  <c r="Q965" i="24"/>
  <c r="L969" i="24"/>
  <c r="Q969" i="24"/>
  <c r="L973" i="24"/>
  <c r="Q973" i="24"/>
  <c r="L989" i="24"/>
  <c r="Q989" i="24"/>
  <c r="L1005" i="24"/>
  <c r="Q1005" i="24"/>
  <c r="Q1015" i="24"/>
  <c r="L1015" i="24"/>
  <c r="L1031" i="24"/>
  <c r="Q1031" i="24"/>
  <c r="Q1037" i="24"/>
  <c r="L1037" i="24"/>
  <c r="Q1049" i="24"/>
  <c r="L1049" i="24"/>
  <c r="Q1067" i="24"/>
  <c r="L1067" i="24"/>
  <c r="L1073" i="24"/>
  <c r="Q1073" i="24"/>
  <c r="L1093" i="24"/>
  <c r="Q1093" i="24"/>
  <c r="Q1101" i="24"/>
  <c r="L1101" i="24"/>
  <c r="L1105" i="24"/>
  <c r="Q1105" i="24"/>
  <c r="L1110" i="24"/>
  <c r="Q1110" i="24"/>
  <c r="Q1121" i="24"/>
  <c r="L1121" i="24"/>
  <c r="Q1163" i="24"/>
  <c r="L1163" i="24"/>
  <c r="L1187" i="24"/>
  <c r="Q1187" i="24"/>
  <c r="L570" i="24"/>
  <c r="Q570" i="24"/>
  <c r="Q587" i="24"/>
  <c r="L587" i="24"/>
  <c r="Q644" i="24"/>
  <c r="L644" i="24"/>
  <c r="Q687" i="24"/>
  <c r="L687" i="24"/>
  <c r="Q688" i="24"/>
  <c r="Q703" i="24"/>
  <c r="L703" i="24"/>
  <c r="Q704" i="24"/>
  <c r="Q718" i="24"/>
  <c r="L718" i="24"/>
  <c r="Q719" i="24"/>
  <c r="Q733" i="24"/>
  <c r="L733" i="24"/>
  <c r="Q734" i="24"/>
  <c r="Q760" i="24"/>
  <c r="L760" i="24"/>
  <c r="Q761" i="24"/>
  <c r="Q775" i="24"/>
  <c r="L775" i="24"/>
  <c r="Q776" i="24"/>
  <c r="Q779" i="24"/>
  <c r="L790" i="24"/>
  <c r="Q790" i="24"/>
  <c r="Q814" i="24"/>
  <c r="L814" i="24"/>
  <c r="Q815" i="24"/>
  <c r="Q830" i="24"/>
  <c r="L830" i="24"/>
  <c r="Q831" i="24"/>
  <c r="Q846" i="24"/>
  <c r="Q848" i="24"/>
  <c r="Q858" i="24"/>
  <c r="L870" i="24"/>
  <c r="Q870" i="24"/>
  <c r="Q877" i="24"/>
  <c r="Q878" i="24"/>
  <c r="L890" i="24"/>
  <c r="Q890" i="24"/>
  <c r="Q918" i="24"/>
  <c r="L918" i="24"/>
  <c r="Q919" i="24"/>
  <c r="Q953" i="24"/>
  <c r="L953" i="24"/>
  <c r="Q954" i="24"/>
  <c r="Q955" i="24"/>
  <c r="Q961" i="24"/>
  <c r="L961" i="24"/>
  <c r="Q962" i="24"/>
  <c r="Q963" i="24"/>
  <c r="Q1022" i="24"/>
  <c r="L1022" i="24"/>
  <c r="Q1038" i="24"/>
  <c r="L1038" i="24"/>
  <c r="L1046" i="24"/>
  <c r="Q1046" i="24"/>
  <c r="L1068" i="24"/>
  <c r="Q1068" i="24"/>
  <c r="L1074" i="24"/>
  <c r="Q1074" i="24"/>
  <c r="L1077" i="24"/>
  <c r="Q1077" i="24"/>
  <c r="L1097" i="24"/>
  <c r="Q1097" i="24"/>
  <c r="L1102" i="24"/>
  <c r="Q1102" i="24"/>
  <c r="L1118" i="24"/>
  <c r="Q1118" i="24"/>
  <c r="Q1128" i="24"/>
  <c r="L1128" i="24"/>
  <c r="Q1141" i="24"/>
  <c r="L1141" i="24"/>
  <c r="Q1145" i="24"/>
  <c r="L1145" i="24"/>
  <c r="Q1151" i="24"/>
  <c r="L1151" i="24"/>
  <c r="L1153" i="24"/>
  <c r="Q1153" i="24"/>
  <c r="Q1167" i="24"/>
  <c r="L1167" i="24"/>
  <c r="Q1176" i="24"/>
  <c r="L1176" i="24"/>
  <c r="Q1190" i="24"/>
  <c r="L1190" i="24"/>
  <c r="Q647" i="24"/>
  <c r="L647" i="24"/>
  <c r="L685" i="24"/>
  <c r="Q685" i="24"/>
  <c r="Q691" i="24"/>
  <c r="L691" i="24"/>
  <c r="Q707" i="24"/>
  <c r="L707" i="24"/>
  <c r="Q722" i="24"/>
  <c r="L722" i="24"/>
  <c r="Q737" i="24"/>
  <c r="L737" i="24"/>
  <c r="Q743" i="24"/>
  <c r="L743" i="24"/>
  <c r="Q764" i="24"/>
  <c r="L764" i="24"/>
  <c r="L801" i="24"/>
  <c r="Q801" i="24"/>
  <c r="Q818" i="24"/>
  <c r="L818" i="24"/>
  <c r="Q859" i="24"/>
  <c r="L859" i="24"/>
  <c r="Q864" i="24"/>
  <c r="L864" i="24"/>
  <c r="L886" i="24"/>
  <c r="Q886" i="24"/>
  <c r="Q968" i="24"/>
  <c r="L968" i="24"/>
  <c r="Q972" i="24"/>
  <c r="L972" i="24"/>
  <c r="Q980" i="24"/>
  <c r="L980" i="24"/>
  <c r="Q988" i="24"/>
  <c r="L988" i="24"/>
  <c r="Q995" i="24"/>
  <c r="L995" i="24"/>
  <c r="Q1003" i="24"/>
  <c r="L1003" i="24"/>
  <c r="Q1011" i="24"/>
  <c r="L1011" i="24"/>
  <c r="Q1023" i="24"/>
  <c r="L1023" i="24"/>
  <c r="Q1029" i="24"/>
  <c r="L1029" i="24"/>
  <c r="L1039" i="24"/>
  <c r="Q1039" i="24"/>
  <c r="L1069" i="24"/>
  <c r="Q1069" i="24"/>
  <c r="L1078" i="24"/>
  <c r="Q1078" i="24"/>
  <c r="L1098" i="24"/>
  <c r="Q1098" i="24"/>
  <c r="Q1108" i="24"/>
  <c r="L1108" i="24"/>
  <c r="Q1114" i="24"/>
  <c r="L1114" i="24"/>
  <c r="Q1142" i="24"/>
  <c r="L1142" i="24"/>
  <c r="L1157" i="24"/>
  <c r="Q1157" i="24"/>
  <c r="L1180" i="24"/>
  <c r="Q1180" i="24"/>
  <c r="L1035" i="24"/>
  <c r="Q1035" i="24"/>
  <c r="Q1087" i="24"/>
  <c r="L1087" i="24"/>
  <c r="Q1117" i="24"/>
  <c r="L1117" i="24"/>
  <c r="L1137" i="24"/>
  <c r="Q1137" i="24"/>
  <c r="L1174" i="24"/>
  <c r="Q1174" i="24"/>
  <c r="Q976" i="24"/>
  <c r="L976" i="24"/>
  <c r="Q984" i="24"/>
  <c r="L984" i="24"/>
  <c r="Q991" i="24"/>
  <c r="L991" i="24"/>
  <c r="Q999" i="24"/>
  <c r="L999" i="24"/>
  <c r="Q1007" i="24"/>
  <c r="L1007" i="24"/>
  <c r="L1016" i="24"/>
  <c r="Q1016" i="24"/>
  <c r="L1024" i="24"/>
  <c r="Q1024" i="24"/>
  <c r="L1042" i="24"/>
  <c r="Q1042" i="24"/>
  <c r="L1050" i="24"/>
  <c r="Q1050" i="24"/>
  <c r="Q1063" i="24"/>
  <c r="L1063" i="24"/>
  <c r="Q1085" i="24"/>
  <c r="L1085" i="24"/>
  <c r="L1133" i="24"/>
  <c r="Q1133" i="24"/>
  <c r="L1160" i="24"/>
  <c r="Q1160" i="24"/>
  <c r="Q1169" i="24"/>
  <c r="L1169" i="24"/>
  <c r="L1171" i="24"/>
  <c r="Q1171" i="24"/>
  <c r="L1191" i="24"/>
  <c r="Q1191" i="24"/>
  <c r="Q2" i="24"/>
  <c r="Q12" i="24"/>
  <c r="Q26" i="24"/>
  <c r="Q34" i="24"/>
  <c r="Q37" i="24"/>
  <c r="Q10" i="24"/>
  <c r="Q13" i="24"/>
  <c r="Q20" i="24"/>
  <c r="L23" i="24"/>
  <c r="Q31" i="24"/>
  <c r="L47" i="24"/>
  <c r="Q50" i="24"/>
  <c r="Q56" i="24"/>
  <c r="L73" i="24"/>
  <c r="L3" i="24"/>
  <c r="L6" i="24"/>
  <c r="L16" i="24"/>
  <c r="L24" i="24"/>
  <c r="L27" i="24"/>
  <c r="L38" i="24"/>
  <c r="L53" i="24"/>
  <c r="L59" i="24"/>
  <c r="L63" i="24"/>
  <c r="L67" i="24"/>
  <c r="L71" i="24"/>
  <c r="L74" i="24"/>
  <c r="L78" i="24"/>
  <c r="L81" i="24"/>
  <c r="L85" i="24"/>
  <c r="L89" i="24"/>
  <c r="L96" i="24"/>
  <c r="L100" i="24"/>
  <c r="L103" i="24"/>
  <c r="L107" i="24"/>
  <c r="L113" i="24"/>
  <c r="L120" i="24"/>
  <c r="L124" i="24"/>
  <c r="L128" i="24"/>
  <c r="L131" i="24"/>
  <c r="L135" i="24"/>
  <c r="L145" i="24"/>
  <c r="L152" i="24"/>
  <c r="L155" i="24"/>
  <c r="L159" i="24"/>
  <c r="L163" i="24"/>
  <c r="L166" i="24"/>
  <c r="L170" i="24"/>
  <c r="L174" i="24"/>
  <c r="L177" i="24"/>
  <c r="L181" i="24"/>
  <c r="L185" i="24"/>
  <c r="L189" i="24"/>
  <c r="L193" i="24"/>
  <c r="L196" i="24"/>
  <c r="L200" i="24"/>
  <c r="L204" i="24"/>
  <c r="L208" i="24"/>
  <c r="L212" i="24"/>
  <c r="L216" i="24"/>
  <c r="L220" i="24"/>
  <c r="L224" i="24"/>
  <c r="L228" i="24"/>
  <c r="L232" i="24"/>
  <c r="L236" i="24"/>
  <c r="L239" i="24"/>
  <c r="L243" i="24"/>
  <c r="L247" i="24"/>
  <c r="L251" i="24"/>
  <c r="Q254" i="24"/>
  <c r="L258" i="24"/>
  <c r="Q261" i="24"/>
  <c r="L266" i="24"/>
  <c r="Q269" i="24"/>
  <c r="L274" i="24"/>
  <c r="Q277" i="24"/>
  <c r="L282" i="24"/>
  <c r="Q285" i="24"/>
  <c r="L290" i="24"/>
  <c r="L297" i="24"/>
  <c r="Q300" i="24"/>
  <c r="L305" i="24"/>
  <c r="Q308" i="24"/>
  <c r="L313" i="24"/>
  <c r="Q316" i="24"/>
  <c r="L321" i="24"/>
  <c r="Q324" i="24"/>
  <c r="L334" i="24"/>
  <c r="Q343" i="24"/>
  <c r="L343" i="24"/>
  <c r="Q346" i="24"/>
  <c r="L346" i="24"/>
  <c r="Q350" i="24"/>
  <c r="L350" i="24"/>
  <c r="Q354" i="24"/>
  <c r="L354" i="24"/>
  <c r="Q358" i="24"/>
  <c r="L358" i="24"/>
  <c r="Q362" i="24"/>
  <c r="L362" i="24"/>
  <c r="Q366" i="24"/>
  <c r="L366" i="24"/>
  <c r="Q5" i="24"/>
  <c r="Q9" i="24"/>
  <c r="Q30" i="24"/>
  <c r="Q44" i="24"/>
  <c r="Q62" i="24"/>
  <c r="Q66" i="24"/>
  <c r="Q70" i="24"/>
  <c r="Q77" i="24"/>
  <c r="Q80" i="24"/>
  <c r="Q84" i="24"/>
  <c r="Q88" i="24"/>
  <c r="Q92" i="24"/>
  <c r="Q95" i="24"/>
  <c r="Q99" i="24"/>
  <c r="Q102" i="24"/>
  <c r="Q106" i="24"/>
  <c r="Q110" i="24"/>
  <c r="Q116" i="24"/>
  <c r="Q119" i="24"/>
  <c r="Q123" i="24"/>
  <c r="Q127" i="24"/>
  <c r="Q134" i="24"/>
  <c r="Q138" i="24"/>
  <c r="Q141" i="24"/>
  <c r="Q144" i="24"/>
  <c r="Q148" i="24"/>
  <c r="Q151" i="24"/>
  <c r="Q154" i="24"/>
  <c r="Q158" i="24"/>
  <c r="Q162" i="24"/>
  <c r="Q165" i="24"/>
  <c r="Q169" i="24"/>
  <c r="Q173" i="24"/>
  <c r="Q176" i="24"/>
  <c r="Q180" i="24"/>
  <c r="Q184" i="24"/>
  <c r="Q188" i="24"/>
  <c r="Q192" i="24"/>
  <c r="Q195" i="24"/>
  <c r="Q199" i="24"/>
  <c r="Q203" i="24"/>
  <c r="Q207" i="24"/>
  <c r="Q211" i="24"/>
  <c r="Q215" i="24"/>
  <c r="Q219" i="24"/>
  <c r="Q223" i="24"/>
  <c r="Q227" i="24"/>
  <c r="Q231" i="24"/>
  <c r="Q235" i="24"/>
  <c r="Q238" i="24"/>
  <c r="Q242" i="24"/>
  <c r="Q246" i="24"/>
  <c r="Q250" i="24"/>
  <c r="Q257" i="24"/>
  <c r="Q264" i="24"/>
  <c r="Q265" i="24"/>
  <c r="Q19" i="24"/>
  <c r="Q41" i="24"/>
  <c r="L332" i="24"/>
  <c r="Q335" i="24"/>
  <c r="Q340" i="24"/>
  <c r="Q344" i="24"/>
  <c r="Q347" i="24"/>
  <c r="Q351" i="24"/>
  <c r="Q355" i="24"/>
  <c r="Q359" i="24"/>
  <c r="Q363" i="24"/>
  <c r="Q367" i="24"/>
  <c r="L370" i="24"/>
  <c r="Q371" i="24"/>
  <c r="L374" i="24"/>
  <c r="Q375" i="24"/>
  <c r="L377" i="24"/>
  <c r="Q378" i="24"/>
  <c r="L381" i="24"/>
  <c r="Q382" i="24"/>
  <c r="L385" i="24"/>
  <c r="Q386" i="24"/>
  <c r="L388" i="24"/>
  <c r="Q389" i="24"/>
  <c r="L392" i="24"/>
  <c r="Q393" i="24"/>
  <c r="L395" i="24"/>
  <c r="Q396" i="24"/>
  <c r="L399" i="24"/>
  <c r="Q400" i="24"/>
  <c r="L403" i="24"/>
  <c r="Q404" i="24"/>
  <c r="L407" i="24"/>
  <c r="Q408" i="24"/>
  <c r="L411" i="24"/>
  <c r="Q412" i="24"/>
  <c r="L415" i="24"/>
  <c r="L418" i="24"/>
  <c r="Q419" i="24"/>
  <c r="L422" i="24"/>
  <c r="Q423" i="24"/>
  <c r="L426" i="24"/>
  <c r="Q427" i="24"/>
  <c r="L430" i="24"/>
  <c r="Q431" i="24"/>
  <c r="L434" i="24"/>
  <c r="Q435" i="24"/>
  <c r="L438" i="24"/>
  <c r="Q439" i="24"/>
  <c r="Q442" i="24"/>
  <c r="L445" i="24"/>
  <c r="Q446" i="24"/>
  <c r="L449" i="24"/>
  <c r="Q450" i="24"/>
  <c r="L453" i="24"/>
  <c r="Q454" i="24"/>
  <c r="L457" i="24"/>
  <c r="Q458" i="24"/>
  <c r="L460" i="24"/>
  <c r="Q461" i="24"/>
  <c r="L464" i="24"/>
  <c r="Q465" i="24"/>
  <c r="L468" i="24"/>
  <c r="Q469" i="24"/>
  <c r="L472" i="24"/>
  <c r="Q473" i="24"/>
  <c r="L476" i="24"/>
  <c r="Q477" i="24"/>
  <c r="L479" i="24"/>
  <c r="Q480" i="24"/>
  <c r="L483" i="24"/>
  <c r="Q484" i="24"/>
  <c r="L487" i="24"/>
  <c r="Q488" i="24"/>
  <c r="Q491" i="24"/>
  <c r="L494" i="24"/>
  <c r="Q495" i="24"/>
  <c r="L498" i="24"/>
  <c r="Q499" i="24"/>
  <c r="L502" i="24"/>
  <c r="Q503" i="24"/>
  <c r="L506" i="24"/>
  <c r="Q507" i="24"/>
  <c r="Q510" i="24"/>
  <c r="L513" i="24"/>
  <c r="Q514" i="24"/>
  <c r="L517" i="24"/>
  <c r="Q518" i="24"/>
  <c r="L521" i="24"/>
  <c r="Q522" i="24"/>
  <c r="L525" i="24"/>
  <c r="Q526" i="24"/>
  <c r="L529" i="24"/>
  <c r="Q530" i="24"/>
  <c r="L533" i="24"/>
  <c r="Q534" i="24"/>
  <c r="L537" i="24"/>
  <c r="Q538" i="24"/>
  <c r="L541" i="24"/>
  <c r="Q542" i="24"/>
  <c r="L544" i="24"/>
  <c r="Q545" i="24"/>
  <c r="L548" i="24"/>
  <c r="Q549" i="24"/>
  <c r="L552" i="24"/>
  <c r="Q553" i="24"/>
  <c r="L556" i="24"/>
  <c r="Q557" i="24"/>
  <c r="L560" i="24"/>
  <c r="Q561" i="24"/>
  <c r="L565" i="24"/>
  <c r="Q572" i="24"/>
  <c r="Q573" i="24"/>
  <c r="L577" i="24"/>
  <c r="Q579" i="24"/>
  <c r="L588" i="24"/>
  <c r="L610" i="24"/>
  <c r="L611" i="24"/>
  <c r="L618" i="24"/>
  <c r="Q618" i="24"/>
  <c r="L567" i="24"/>
  <c r="L590" i="24"/>
  <c r="L597" i="24"/>
  <c r="L613" i="24"/>
  <c r="L621" i="24"/>
  <c r="Q621" i="24"/>
  <c r="L624" i="24"/>
  <c r="Q624" i="24"/>
  <c r="L628" i="24"/>
  <c r="Q628" i="24"/>
  <c r="L631" i="24"/>
  <c r="Q631" i="24"/>
  <c r="Q566" i="24"/>
  <c r="Q589" i="24"/>
  <c r="Q635" i="24"/>
  <c r="Q638" i="24"/>
  <c r="Q642" i="24"/>
  <c r="Q645" i="24"/>
  <c r="Q649" i="24"/>
  <c r="Q653" i="24"/>
  <c r="Q656" i="24"/>
  <c r="Q660" i="24"/>
  <c r="Q664" i="24"/>
  <c r="Q667" i="24"/>
  <c r="Q671" i="24"/>
  <c r="Q675" i="24"/>
  <c r="Q679" i="24"/>
  <c r="Q683" i="24"/>
  <c r="Q689" i="24"/>
  <c r="Q693" i="24"/>
  <c r="Q697" i="24"/>
  <c r="Q701" i="24"/>
  <c r="Q705" i="24"/>
  <c r="Q708" i="24"/>
  <c r="Q712" i="24"/>
  <c r="Q716" i="24"/>
  <c r="Q720" i="24"/>
  <c r="Q724" i="24"/>
  <c r="Q728" i="24"/>
  <c r="Q731" i="24"/>
  <c r="Q735" i="24"/>
  <c r="Q745" i="24"/>
  <c r="Q749" i="24"/>
  <c r="Q752" i="24"/>
  <c r="Q755" i="24"/>
  <c r="Q758" i="24"/>
  <c r="Q762" i="24"/>
  <c r="Q766" i="24"/>
  <c r="Q770" i="24"/>
  <c r="Q773" i="24"/>
  <c r="Q777" i="24"/>
  <c r="Q780" i="24"/>
  <c r="Q784" i="24"/>
  <c r="Q787" i="24"/>
  <c r="Q791" i="24"/>
  <c r="Q795" i="24"/>
  <c r="Q798" i="24"/>
  <c r="Q802" i="24"/>
  <c r="Q809" i="24"/>
  <c r="Q812" i="24"/>
  <c r="Q816" i="24"/>
  <c r="Q820" i="24"/>
  <c r="Q824" i="24"/>
  <c r="Q828" i="24"/>
  <c r="Q832" i="24"/>
  <c r="Q835" i="24"/>
  <c r="Q838" i="24"/>
  <c r="Q842" i="24"/>
  <c r="Q849" i="24"/>
  <c r="Q853" i="24"/>
  <c r="Q857" i="24"/>
  <c r="Q860" i="24"/>
  <c r="Q866" i="24"/>
  <c r="Q867" i="24"/>
  <c r="Q883" i="24"/>
  <c r="Q884" i="24"/>
  <c r="Q891" i="24"/>
  <c r="Q892" i="24"/>
  <c r="L871" i="24"/>
  <c r="Q863" i="24"/>
  <c r="L885" i="24"/>
  <c r="Q888" i="24"/>
  <c r="L893" i="24"/>
  <c r="Q896" i="24"/>
  <c r="Q900" i="24"/>
  <c r="L900" i="24"/>
  <c r="Q904" i="24"/>
  <c r="L904" i="24"/>
  <c r="Q908" i="24"/>
  <c r="L908" i="24"/>
  <c r="Q911" i="24"/>
  <c r="L911" i="24"/>
  <c r="Q914" i="24"/>
  <c r="L914" i="24"/>
  <c r="Q917" i="24"/>
  <c r="L917" i="24"/>
  <c r="Q921" i="24"/>
  <c r="L921" i="24"/>
  <c r="Q925" i="24"/>
  <c r="L925" i="24"/>
  <c r="Q916" i="24"/>
  <c r="Q920" i="24"/>
  <c r="L929" i="24"/>
  <c r="L933" i="24"/>
  <c r="L937" i="24"/>
  <c r="L941" i="24"/>
  <c r="L945" i="24"/>
  <c r="L952" i="24"/>
  <c r="L956" i="24"/>
  <c r="L960" i="24"/>
  <c r="L964" i="24"/>
  <c r="L967" i="24"/>
  <c r="L971" i="24"/>
  <c r="L975" i="24"/>
  <c r="L979" i="24"/>
  <c r="L983" i="24"/>
  <c r="L987" i="24"/>
  <c r="L990" i="24"/>
  <c r="L994" i="24"/>
  <c r="L998" i="24"/>
  <c r="L1002" i="24"/>
  <c r="L1006" i="24"/>
  <c r="L1010" i="24"/>
  <c r="L1014" i="24"/>
  <c r="L1017" i="24"/>
  <c r="L1021" i="24"/>
  <c r="L1025" i="24"/>
  <c r="L1028" i="24"/>
  <c r="L1032" i="24"/>
  <c r="L1036" i="24"/>
  <c r="L1040" i="24"/>
  <c r="L1043" i="24"/>
  <c r="L1047" i="24"/>
  <c r="L1051" i="24"/>
  <c r="L1058" i="24"/>
  <c r="L1065" i="24"/>
  <c r="L1081" i="24"/>
  <c r="L1083" i="24"/>
  <c r="L1096" i="24"/>
  <c r="Q1059" i="24"/>
  <c r="Q1066" i="24"/>
  <c r="L1099" i="24"/>
  <c r="Q1099" i="24"/>
  <c r="Q1175" i="24"/>
  <c r="Q1178" i="24"/>
  <c r="Q1181" i="24"/>
  <c r="Q1184" i="24"/>
  <c r="Q1189" i="24"/>
  <c r="Q1192" i="24"/>
  <c r="Q1195" i="24"/>
  <c r="Q1199" i="24"/>
  <c r="Q1103" i="24"/>
  <c r="Q1106" i="24"/>
  <c r="Q1112" i="24"/>
  <c r="Q1116" i="24"/>
  <c r="Q1119" i="24"/>
  <c r="Q1122" i="24"/>
  <c r="Q1129" i="24"/>
  <c r="Q1132" i="24"/>
  <c r="Q1136" i="24"/>
  <c r="Q1139" i="24"/>
  <c r="Q1143" i="24"/>
  <c r="Q1146" i="24"/>
  <c r="Q1149" i="24"/>
  <c r="Q1156" i="24"/>
  <c r="P1168" i="16"/>
  <c r="R1168" i="16" s="1"/>
  <c r="P1167" i="16"/>
  <c r="M1167" i="16" s="1"/>
  <c r="P1166" i="16"/>
  <c r="R1166" i="16" s="1"/>
  <c r="P1165" i="16"/>
  <c r="R1165" i="16" s="1"/>
  <c r="P1009" i="16"/>
  <c r="M1009" i="16" s="1"/>
  <c r="P1008" i="16"/>
  <c r="R1008" i="16" s="1"/>
  <c r="P1007" i="16"/>
  <c r="R1007" i="16" s="1"/>
  <c r="P1006" i="16"/>
  <c r="R1006" i="16" s="1"/>
  <c r="P1005" i="16"/>
  <c r="R1005" i="16" s="1"/>
  <c r="P1004" i="16"/>
  <c r="R1004" i="16" s="1"/>
  <c r="P1003" i="16"/>
  <c r="R1003" i="16" s="1"/>
  <c r="P1001" i="16"/>
  <c r="R1001" i="16" s="1"/>
  <c r="P1000" i="16"/>
  <c r="M1000" i="16" s="1"/>
  <c r="P999" i="16"/>
  <c r="R999" i="16" s="1"/>
  <c r="P998" i="16"/>
  <c r="M998" i="16" s="1"/>
  <c r="P997" i="16"/>
  <c r="M997" i="16" s="1"/>
  <c r="P996" i="16"/>
  <c r="M996" i="16" s="1"/>
  <c r="M1007" i="16" l="1"/>
  <c r="R1167" i="16"/>
  <c r="M1165" i="16"/>
  <c r="M1166" i="16"/>
  <c r="M1168" i="16"/>
  <c r="M1006" i="16"/>
  <c r="R1009" i="16"/>
  <c r="M1005" i="16"/>
  <c r="M1003" i="16"/>
  <c r="M1004" i="16"/>
  <c r="M1008" i="16"/>
  <c r="R996" i="16"/>
  <c r="R997" i="16"/>
  <c r="R998" i="16"/>
  <c r="R1000" i="16"/>
  <c r="M999" i="16"/>
  <c r="M1001" i="16"/>
  <c r="P1002" i="16"/>
  <c r="R1002" i="16" s="1"/>
  <c r="P995" i="16"/>
  <c r="R995" i="16" s="1"/>
  <c r="P476" i="16"/>
  <c r="R476" i="16" s="1"/>
  <c r="P475" i="16"/>
  <c r="R475" i="16" s="1"/>
  <c r="P474" i="16"/>
  <c r="R474" i="16" s="1"/>
  <c r="P814" i="16"/>
  <c r="R814" i="16" s="1"/>
  <c r="P813" i="16"/>
  <c r="M813" i="16" s="1"/>
  <c r="P812" i="16"/>
  <c r="M812" i="16" s="1"/>
  <c r="P811" i="16"/>
  <c r="M811" i="16" s="1"/>
  <c r="P468" i="16"/>
  <c r="R468" i="16" s="1"/>
  <c r="N1193" i="23"/>
  <c r="K1193" i="23" s="1"/>
  <c r="M1193" i="23"/>
  <c r="P1192" i="23"/>
  <c r="N1192" i="23"/>
  <c r="K1192" i="23" s="1"/>
  <c r="M1192" i="23"/>
  <c r="N1191" i="23"/>
  <c r="K1191" i="23" s="1"/>
  <c r="M1191" i="23"/>
  <c r="N1190" i="23"/>
  <c r="M1190" i="23"/>
  <c r="N1189" i="23"/>
  <c r="K1189" i="23" s="1"/>
  <c r="M1189" i="23"/>
  <c r="P1188" i="23"/>
  <c r="N1188" i="23"/>
  <c r="K1188" i="23" s="1"/>
  <c r="M1188" i="23"/>
  <c r="N1187" i="23"/>
  <c r="K1187" i="23" s="1"/>
  <c r="M1187" i="23"/>
  <c r="N1186" i="23"/>
  <c r="M1186" i="23"/>
  <c r="N1185" i="23"/>
  <c r="K1185" i="23" s="1"/>
  <c r="M1185" i="23"/>
  <c r="H1185" i="23"/>
  <c r="N1184" i="23"/>
  <c r="P1184" i="23" s="1"/>
  <c r="M1184" i="23"/>
  <c r="K1184" i="23"/>
  <c r="N1183" i="23"/>
  <c r="P1183" i="23" s="1"/>
  <c r="M1183" i="23"/>
  <c r="K1183" i="23"/>
  <c r="N1182" i="23"/>
  <c r="P1182" i="23" s="1"/>
  <c r="M1182" i="23"/>
  <c r="K1182" i="23"/>
  <c r="H1182" i="23"/>
  <c r="N1181" i="23"/>
  <c r="P1181" i="23" s="1"/>
  <c r="M1181" i="23"/>
  <c r="K1181" i="23"/>
  <c r="N1180" i="23"/>
  <c r="P1180" i="23" s="1"/>
  <c r="M1180" i="23"/>
  <c r="K1180" i="23"/>
  <c r="H1180" i="23"/>
  <c r="N1179" i="23"/>
  <c r="P1179" i="23" s="1"/>
  <c r="M1179" i="23"/>
  <c r="K1179" i="23"/>
  <c r="N1178" i="23"/>
  <c r="M1178" i="23"/>
  <c r="H1178" i="23"/>
  <c r="N1177" i="23"/>
  <c r="P1177" i="23" s="1"/>
  <c r="M1177" i="23"/>
  <c r="N1176" i="23"/>
  <c r="P1176" i="23" s="1"/>
  <c r="M1176" i="23"/>
  <c r="H1176" i="23"/>
  <c r="N1175" i="23"/>
  <c r="K1175" i="23" s="1"/>
  <c r="M1175" i="23"/>
  <c r="P1174" i="23"/>
  <c r="N1174" i="23"/>
  <c r="K1174" i="23" s="1"/>
  <c r="M1174" i="23"/>
  <c r="H1174" i="23"/>
  <c r="P1173" i="23"/>
  <c r="N1173" i="23"/>
  <c r="M1173" i="23"/>
  <c r="K1173" i="23"/>
  <c r="P1172" i="23"/>
  <c r="N1172" i="23"/>
  <c r="M1172" i="23"/>
  <c r="K1172" i="23"/>
  <c r="P1171" i="23"/>
  <c r="N1171" i="23"/>
  <c r="M1171" i="23"/>
  <c r="K1171" i="23"/>
  <c r="P1170" i="23"/>
  <c r="N1170" i="23"/>
  <c r="M1170" i="23"/>
  <c r="K1170" i="23"/>
  <c r="H1170" i="23"/>
  <c r="N1169" i="23"/>
  <c r="P1169" i="23" s="1"/>
  <c r="M1169" i="23"/>
  <c r="K1169" i="23"/>
  <c r="N1168" i="23"/>
  <c r="M1168" i="23"/>
  <c r="H1168" i="23"/>
  <c r="N1167" i="23"/>
  <c r="P1167" i="23" s="1"/>
  <c r="M1167" i="23"/>
  <c r="N1166" i="23"/>
  <c r="P1166" i="23" s="1"/>
  <c r="M1166" i="23"/>
  <c r="N1165" i="23"/>
  <c r="P1165" i="23" s="1"/>
  <c r="M1165" i="23"/>
  <c r="N1164" i="23"/>
  <c r="P1164" i="23" s="1"/>
  <c r="M1164" i="23"/>
  <c r="H1164" i="23"/>
  <c r="N1163" i="23"/>
  <c r="K1163" i="23" s="1"/>
  <c r="M1163" i="23"/>
  <c r="P1162" i="23"/>
  <c r="N1162" i="23"/>
  <c r="K1162" i="23" s="1"/>
  <c r="M1162" i="23"/>
  <c r="H1162" i="23"/>
  <c r="P1161" i="23"/>
  <c r="N1161" i="23"/>
  <c r="M1161" i="23"/>
  <c r="K1161" i="23"/>
  <c r="P1160" i="23"/>
  <c r="N1160" i="23"/>
  <c r="M1160" i="23"/>
  <c r="K1160" i="23"/>
  <c r="P1159" i="23"/>
  <c r="N1159" i="23"/>
  <c r="M1159" i="23"/>
  <c r="K1159" i="23"/>
  <c r="P1158" i="23"/>
  <c r="N1158" i="23"/>
  <c r="M1158" i="23"/>
  <c r="K1158" i="23"/>
  <c r="P1157" i="23"/>
  <c r="N1157" i="23"/>
  <c r="M1157" i="23"/>
  <c r="K1157" i="23"/>
  <c r="P1156" i="23"/>
  <c r="N1156" i="23"/>
  <c r="M1156" i="23"/>
  <c r="K1156" i="23"/>
  <c r="P1155" i="23"/>
  <c r="N1155" i="23"/>
  <c r="M1155" i="23"/>
  <c r="K1155" i="23"/>
  <c r="P1154" i="23"/>
  <c r="N1154" i="23"/>
  <c r="M1154" i="23"/>
  <c r="K1154" i="23"/>
  <c r="P1153" i="23"/>
  <c r="N1153" i="23"/>
  <c r="M1153" i="23"/>
  <c r="K1153" i="23"/>
  <c r="P1152" i="23"/>
  <c r="N1152" i="23"/>
  <c r="M1152" i="23"/>
  <c r="K1152" i="23"/>
  <c r="P1151" i="23"/>
  <c r="N1151" i="23"/>
  <c r="M1151" i="23"/>
  <c r="K1151" i="23"/>
  <c r="P1150" i="23"/>
  <c r="N1150" i="23"/>
  <c r="M1150" i="23"/>
  <c r="K1150" i="23"/>
  <c r="H1150" i="23"/>
  <c r="N1149" i="23"/>
  <c r="P1149" i="23" s="1"/>
  <c r="M1149" i="23"/>
  <c r="K1149" i="23"/>
  <c r="N1148" i="23"/>
  <c r="M1148" i="23"/>
  <c r="N1147" i="23"/>
  <c r="M1147" i="23"/>
  <c r="N1146" i="23"/>
  <c r="P1146" i="23" s="1"/>
  <c r="M1146" i="23"/>
  <c r="K1146" i="23"/>
  <c r="N1145" i="23"/>
  <c r="P1145" i="23" s="1"/>
  <c r="M1145" i="23"/>
  <c r="K1145" i="23"/>
  <c r="N1144" i="23"/>
  <c r="M1144" i="23"/>
  <c r="H1144" i="23"/>
  <c r="N1143" i="23"/>
  <c r="P1143" i="23" s="1"/>
  <c r="M1143" i="23"/>
  <c r="N1142" i="23"/>
  <c r="P1142" i="23" s="1"/>
  <c r="M1142" i="23"/>
  <c r="N1141" i="23"/>
  <c r="P1141" i="23" s="1"/>
  <c r="M1141" i="23"/>
  <c r="N1140" i="23"/>
  <c r="P1140" i="23" s="1"/>
  <c r="M1140" i="23"/>
  <c r="H1140" i="23"/>
  <c r="N1139" i="23"/>
  <c r="K1139" i="23" s="1"/>
  <c r="M1139" i="23"/>
  <c r="P1138" i="23"/>
  <c r="N1138" i="23"/>
  <c r="K1138" i="23" s="1"/>
  <c r="M1138" i="23"/>
  <c r="N1137" i="23"/>
  <c r="M1137" i="23"/>
  <c r="N1136" i="23"/>
  <c r="M1136" i="23"/>
  <c r="N1135" i="23"/>
  <c r="K1135" i="23" s="1"/>
  <c r="M1135" i="23"/>
  <c r="H1135" i="23"/>
  <c r="N1134" i="23"/>
  <c r="P1134" i="23" s="1"/>
  <c r="M1134" i="23"/>
  <c r="K1134" i="23"/>
  <c r="N1133" i="23"/>
  <c r="P1133" i="23" s="1"/>
  <c r="M1133" i="23"/>
  <c r="K1133" i="23"/>
  <c r="N1132" i="23"/>
  <c r="P1132" i="23" s="1"/>
  <c r="M1132" i="23"/>
  <c r="K1132" i="23"/>
  <c r="N1131" i="23"/>
  <c r="P1131" i="23" s="1"/>
  <c r="M1131" i="23"/>
  <c r="K1131" i="23"/>
  <c r="N1130" i="23"/>
  <c r="P1130" i="23" s="1"/>
  <c r="M1130" i="23"/>
  <c r="K1130" i="23"/>
  <c r="H1130" i="23"/>
  <c r="N1129" i="23"/>
  <c r="P1129" i="23" s="1"/>
  <c r="M1129" i="23"/>
  <c r="K1129" i="23"/>
  <c r="N1128" i="23"/>
  <c r="P1128" i="23" s="1"/>
  <c r="M1128" i="23"/>
  <c r="K1128" i="23"/>
  <c r="N1127" i="23"/>
  <c r="M1127" i="23"/>
  <c r="N1126" i="23"/>
  <c r="M1126" i="23"/>
  <c r="H1126" i="23"/>
  <c r="N1125" i="23"/>
  <c r="M1125" i="23"/>
  <c r="N1124" i="23"/>
  <c r="M1124" i="23"/>
  <c r="N1123" i="23"/>
  <c r="M1123" i="23"/>
  <c r="N1122" i="23"/>
  <c r="M1122" i="23"/>
  <c r="N1121" i="23"/>
  <c r="M1121" i="23"/>
  <c r="H1121" i="23"/>
  <c r="N1120" i="23"/>
  <c r="M1120" i="23"/>
  <c r="N1119" i="23"/>
  <c r="K1119" i="23" s="1"/>
  <c r="M1119" i="23"/>
  <c r="N1118" i="23"/>
  <c r="K1118" i="23" s="1"/>
  <c r="M1118" i="23"/>
  <c r="N1117" i="23"/>
  <c r="K1117" i="23" s="1"/>
  <c r="M1117" i="23"/>
  <c r="H1117" i="23"/>
  <c r="N1116" i="23"/>
  <c r="P1116" i="23" s="1"/>
  <c r="M1116" i="23"/>
  <c r="K1116" i="23"/>
  <c r="N1115" i="23"/>
  <c r="P1115" i="23" s="1"/>
  <c r="M1115" i="23"/>
  <c r="K1115" i="23"/>
  <c r="N1114" i="23"/>
  <c r="P1114" i="23" s="1"/>
  <c r="M1114" i="23"/>
  <c r="K1114" i="23"/>
  <c r="N1113" i="23"/>
  <c r="P1113" i="23" s="1"/>
  <c r="M1113" i="23"/>
  <c r="K1113" i="23"/>
  <c r="N1112" i="23"/>
  <c r="P1112" i="23" s="1"/>
  <c r="M1112" i="23"/>
  <c r="K1112" i="23"/>
  <c r="H1112" i="23"/>
  <c r="N1111" i="23"/>
  <c r="P1111" i="23" s="1"/>
  <c r="M1111" i="23"/>
  <c r="K1111" i="23"/>
  <c r="N1110" i="23"/>
  <c r="P1110" i="23" s="1"/>
  <c r="M1110" i="23"/>
  <c r="K1110" i="23"/>
  <c r="N1109" i="23"/>
  <c r="M1109" i="23"/>
  <c r="N1108" i="23"/>
  <c r="M1108" i="23"/>
  <c r="N1107" i="23"/>
  <c r="P1107" i="23" s="1"/>
  <c r="M1107" i="23"/>
  <c r="K1107" i="23"/>
  <c r="H1107" i="23"/>
  <c r="N1106" i="23"/>
  <c r="M1106" i="23"/>
  <c r="N1105" i="23"/>
  <c r="M1105" i="23"/>
  <c r="H1105" i="23"/>
  <c r="N1104" i="23"/>
  <c r="K1104" i="23" s="1"/>
  <c r="M1104" i="23"/>
  <c r="N1103" i="23"/>
  <c r="K1103" i="23" s="1"/>
  <c r="M1103" i="23"/>
  <c r="P1102" i="23"/>
  <c r="N1102" i="23"/>
  <c r="K1102" i="23" s="1"/>
  <c r="M1102" i="23"/>
  <c r="N1101" i="23"/>
  <c r="M1101" i="23"/>
  <c r="N1100" i="23"/>
  <c r="K1100" i="23" s="1"/>
  <c r="M1100" i="23"/>
  <c r="N1099" i="23"/>
  <c r="K1099" i="23" s="1"/>
  <c r="M1099" i="23"/>
  <c r="H1099" i="23"/>
  <c r="N1098" i="23"/>
  <c r="M1098" i="23"/>
  <c r="N1097" i="23"/>
  <c r="M1097" i="23"/>
  <c r="N1096" i="23"/>
  <c r="M1096" i="23"/>
  <c r="N1095" i="23"/>
  <c r="M1095" i="23"/>
  <c r="N1094" i="23"/>
  <c r="M1094" i="23"/>
  <c r="N1093" i="23"/>
  <c r="M1093" i="23"/>
  <c r="H1093" i="23"/>
  <c r="N1092" i="23"/>
  <c r="M1092" i="23"/>
  <c r="N1091" i="23"/>
  <c r="P1091" i="23" s="1"/>
  <c r="M1091" i="23"/>
  <c r="K1091" i="23"/>
  <c r="N1090" i="23"/>
  <c r="P1090" i="23" s="1"/>
  <c r="M1090" i="23"/>
  <c r="K1090" i="23"/>
  <c r="N1089" i="23"/>
  <c r="M1089" i="23"/>
  <c r="N1088" i="23"/>
  <c r="M1088" i="23"/>
  <c r="N1087" i="23"/>
  <c r="P1087" i="23" s="1"/>
  <c r="M1087" i="23"/>
  <c r="K1087" i="23"/>
  <c r="N1086" i="23"/>
  <c r="P1086" i="23" s="1"/>
  <c r="M1086" i="23"/>
  <c r="K1086" i="23"/>
  <c r="N1085" i="23"/>
  <c r="M1085" i="23"/>
  <c r="H1085" i="23"/>
  <c r="N1084" i="23"/>
  <c r="M1084" i="23"/>
  <c r="N1083" i="23"/>
  <c r="M1083" i="23"/>
  <c r="N1082" i="23"/>
  <c r="M1082" i="23"/>
  <c r="N1081" i="23"/>
  <c r="M1081" i="23"/>
  <c r="N1080" i="23"/>
  <c r="M1080" i="23"/>
  <c r="N1079" i="23"/>
  <c r="M1079" i="23"/>
  <c r="N1078" i="23"/>
  <c r="M1078" i="23"/>
  <c r="N1077" i="23"/>
  <c r="M1077" i="23"/>
  <c r="N1076" i="23"/>
  <c r="M1076" i="23"/>
  <c r="N1075" i="23"/>
  <c r="M1075" i="23"/>
  <c r="N1074" i="23"/>
  <c r="M1074" i="23"/>
  <c r="N1073" i="23"/>
  <c r="M1073" i="23"/>
  <c r="N1072" i="23"/>
  <c r="M1072" i="23"/>
  <c r="N1071" i="23"/>
  <c r="M1071" i="23"/>
  <c r="N1070" i="23"/>
  <c r="M1070" i="23"/>
  <c r="N1069" i="23"/>
  <c r="M1069" i="23"/>
  <c r="N1068" i="23"/>
  <c r="M1068" i="23"/>
  <c r="N1067" i="23"/>
  <c r="M1067" i="23"/>
  <c r="N1066" i="23"/>
  <c r="M1066" i="23"/>
  <c r="N1065" i="23"/>
  <c r="M1065" i="23"/>
  <c r="N1064" i="23"/>
  <c r="M1064" i="23"/>
  <c r="N1063" i="23"/>
  <c r="M1063" i="23"/>
  <c r="N1062" i="23"/>
  <c r="M1062" i="23"/>
  <c r="N1061" i="23"/>
  <c r="M1061" i="23"/>
  <c r="N1060" i="23"/>
  <c r="M1060" i="23"/>
  <c r="N1059" i="23"/>
  <c r="M1059" i="23"/>
  <c r="N1058" i="23"/>
  <c r="M1058" i="23"/>
  <c r="H1058" i="23"/>
  <c r="N1057" i="23"/>
  <c r="P1057" i="23" s="1"/>
  <c r="M1057" i="23"/>
  <c r="N1056" i="23"/>
  <c r="P1056" i="23" s="1"/>
  <c r="M1056" i="23"/>
  <c r="N1055" i="23"/>
  <c r="P1055" i="23" s="1"/>
  <c r="M1055" i="23"/>
  <c r="N1054" i="23"/>
  <c r="P1054" i="23" s="1"/>
  <c r="M1054" i="23"/>
  <c r="N1053" i="23"/>
  <c r="P1053" i="23" s="1"/>
  <c r="M1053" i="23"/>
  <c r="N1052" i="23"/>
  <c r="P1052" i="23" s="1"/>
  <c r="M1052" i="23"/>
  <c r="N1051" i="23"/>
  <c r="P1051" i="23" s="1"/>
  <c r="M1051" i="23"/>
  <c r="N1050" i="23"/>
  <c r="P1050" i="23" s="1"/>
  <c r="M1050" i="23"/>
  <c r="N1049" i="23"/>
  <c r="P1049" i="23" s="1"/>
  <c r="M1049" i="23"/>
  <c r="N1048" i="23"/>
  <c r="P1048" i="23" s="1"/>
  <c r="M1048" i="23"/>
  <c r="N1047" i="23"/>
  <c r="P1047" i="23" s="1"/>
  <c r="M1047" i="23"/>
  <c r="N1046" i="23"/>
  <c r="P1046" i="23" s="1"/>
  <c r="M1046" i="23"/>
  <c r="N1045" i="23"/>
  <c r="P1045" i="23" s="1"/>
  <c r="M1045" i="23"/>
  <c r="N1044" i="23"/>
  <c r="P1044" i="23" s="1"/>
  <c r="M1044" i="23"/>
  <c r="N1043" i="23"/>
  <c r="P1043" i="23" s="1"/>
  <c r="M1043" i="23"/>
  <c r="N1042" i="23"/>
  <c r="P1042" i="23" s="1"/>
  <c r="M1042" i="23"/>
  <c r="N1041" i="23"/>
  <c r="P1041" i="23" s="1"/>
  <c r="M1041" i="23"/>
  <c r="N1040" i="23"/>
  <c r="P1040" i="23" s="1"/>
  <c r="M1040" i="23"/>
  <c r="N1039" i="23"/>
  <c r="P1039" i="23" s="1"/>
  <c r="M1039" i="23"/>
  <c r="N1038" i="23"/>
  <c r="P1038" i="23" s="1"/>
  <c r="M1038" i="23"/>
  <c r="N1037" i="23"/>
  <c r="P1037" i="23" s="1"/>
  <c r="M1037" i="23"/>
  <c r="H1037" i="23"/>
  <c r="N1036" i="23"/>
  <c r="M1036" i="23"/>
  <c r="N1035" i="23"/>
  <c r="M1035" i="23"/>
  <c r="N1034" i="23"/>
  <c r="M1034" i="23"/>
  <c r="N1033" i="23"/>
  <c r="M1033" i="23"/>
  <c r="N1032" i="23"/>
  <c r="M1032" i="23"/>
  <c r="N1031" i="23"/>
  <c r="M1031" i="23"/>
  <c r="N1030" i="23"/>
  <c r="M1030" i="23"/>
  <c r="N1029" i="23"/>
  <c r="M1029" i="23"/>
  <c r="N1028" i="23"/>
  <c r="M1028" i="23"/>
  <c r="N1027" i="23"/>
  <c r="M1027" i="23"/>
  <c r="N1026" i="23"/>
  <c r="M1026" i="23"/>
  <c r="N1025" i="23"/>
  <c r="M1025" i="23"/>
  <c r="N1024" i="23"/>
  <c r="M1024" i="23"/>
  <c r="N1023" i="23"/>
  <c r="M1023" i="23"/>
  <c r="H1023" i="23"/>
  <c r="N1022" i="23"/>
  <c r="M1022" i="23"/>
  <c r="N1021" i="23"/>
  <c r="P1021" i="23" s="1"/>
  <c r="M1021" i="23"/>
  <c r="N1020" i="23"/>
  <c r="P1020" i="23" s="1"/>
  <c r="M1020" i="23"/>
  <c r="N1019" i="23"/>
  <c r="P1019" i="23" s="1"/>
  <c r="M1019" i="23"/>
  <c r="K1019" i="23"/>
  <c r="N1018" i="23"/>
  <c r="P1018" i="23" s="1"/>
  <c r="M1018" i="23"/>
  <c r="K1018" i="23"/>
  <c r="P1017" i="23"/>
  <c r="N1017" i="23"/>
  <c r="M1017" i="23"/>
  <c r="K1017" i="23"/>
  <c r="P1016" i="23"/>
  <c r="N1016" i="23"/>
  <c r="M1016" i="23"/>
  <c r="K1016" i="23"/>
  <c r="P1015" i="23"/>
  <c r="N1015" i="23"/>
  <c r="M1015" i="23"/>
  <c r="K1015" i="23"/>
  <c r="P1014" i="23"/>
  <c r="N1014" i="23"/>
  <c r="M1014" i="23"/>
  <c r="K1014" i="23"/>
  <c r="P1013" i="23"/>
  <c r="N1013" i="23"/>
  <c r="M1013" i="23"/>
  <c r="K1013" i="23"/>
  <c r="P1012" i="23"/>
  <c r="N1012" i="23"/>
  <c r="M1012" i="23"/>
  <c r="K1012" i="23"/>
  <c r="P1011" i="23"/>
  <c r="N1011" i="23"/>
  <c r="M1011" i="23"/>
  <c r="K1011" i="23"/>
  <c r="P1010" i="23"/>
  <c r="N1010" i="23"/>
  <c r="M1010" i="23"/>
  <c r="K1010" i="23"/>
  <c r="H1010" i="23"/>
  <c r="N1009" i="23"/>
  <c r="P1009" i="23" s="1"/>
  <c r="M1009" i="23"/>
  <c r="K1009" i="23"/>
  <c r="N1008" i="23"/>
  <c r="P1008" i="23" s="1"/>
  <c r="M1008" i="23"/>
  <c r="K1008" i="23"/>
  <c r="N1007" i="23"/>
  <c r="P1007" i="23" s="1"/>
  <c r="M1007" i="23"/>
  <c r="K1007" i="23"/>
  <c r="N1006" i="23"/>
  <c r="P1006" i="23" s="1"/>
  <c r="M1006" i="23"/>
  <c r="K1006" i="23"/>
  <c r="N1005" i="23"/>
  <c r="P1005" i="23" s="1"/>
  <c r="M1005" i="23"/>
  <c r="K1005" i="23"/>
  <c r="N1004" i="23"/>
  <c r="P1004" i="23" s="1"/>
  <c r="M1004" i="23"/>
  <c r="K1004" i="23"/>
  <c r="N1003" i="23"/>
  <c r="P1003" i="23" s="1"/>
  <c r="M1003" i="23"/>
  <c r="K1003" i="23"/>
  <c r="N1002" i="23"/>
  <c r="P1002" i="23" s="1"/>
  <c r="M1002" i="23"/>
  <c r="K1002" i="23"/>
  <c r="N1001" i="23"/>
  <c r="P1001" i="23" s="1"/>
  <c r="M1001" i="23"/>
  <c r="K1001" i="23"/>
  <c r="N1000" i="23"/>
  <c r="P1000" i="23" s="1"/>
  <c r="M1000" i="23"/>
  <c r="K1000" i="23"/>
  <c r="N999" i="23"/>
  <c r="P999" i="23" s="1"/>
  <c r="M999" i="23"/>
  <c r="K999" i="23"/>
  <c r="N998" i="23"/>
  <c r="P998" i="23" s="1"/>
  <c r="M998" i="23"/>
  <c r="K998" i="23"/>
  <c r="N997" i="23"/>
  <c r="P997" i="23" s="1"/>
  <c r="M997" i="23"/>
  <c r="K997" i="23"/>
  <c r="N996" i="23"/>
  <c r="P996" i="23" s="1"/>
  <c r="M996" i="23"/>
  <c r="K996" i="23"/>
  <c r="N995" i="23"/>
  <c r="P995" i="23" s="1"/>
  <c r="M995" i="23"/>
  <c r="K995" i="23"/>
  <c r="N994" i="23"/>
  <c r="P994" i="23" s="1"/>
  <c r="M994" i="23"/>
  <c r="K994" i="23"/>
  <c r="N993" i="23"/>
  <c r="P993" i="23" s="1"/>
  <c r="M993" i="23"/>
  <c r="K993" i="23"/>
  <c r="N992" i="23"/>
  <c r="P992" i="23" s="1"/>
  <c r="M992" i="23"/>
  <c r="K992" i="23"/>
  <c r="N991" i="23"/>
  <c r="P991" i="23" s="1"/>
  <c r="M991" i="23"/>
  <c r="K991" i="23"/>
  <c r="N990" i="23"/>
  <c r="P990" i="23" s="1"/>
  <c r="M990" i="23"/>
  <c r="K990" i="23"/>
  <c r="N989" i="23"/>
  <c r="P989" i="23" s="1"/>
  <c r="M989" i="23"/>
  <c r="K989" i="23"/>
  <c r="N988" i="23"/>
  <c r="P988" i="23" s="1"/>
  <c r="M988" i="23"/>
  <c r="K988" i="23"/>
  <c r="N987" i="23"/>
  <c r="P987" i="23" s="1"/>
  <c r="M987" i="23"/>
  <c r="K987" i="23"/>
  <c r="N986" i="23"/>
  <c r="P986" i="23" s="1"/>
  <c r="M986" i="23"/>
  <c r="K986" i="23"/>
  <c r="N985" i="23"/>
  <c r="P985" i="23" s="1"/>
  <c r="M985" i="23"/>
  <c r="K985" i="23"/>
  <c r="N984" i="23"/>
  <c r="P984" i="23" s="1"/>
  <c r="M984" i="23"/>
  <c r="K984" i="23"/>
  <c r="H984" i="23"/>
  <c r="N983" i="23"/>
  <c r="K983" i="23" s="1"/>
  <c r="M983" i="23"/>
  <c r="N982" i="23"/>
  <c r="K982" i="23" s="1"/>
  <c r="M982" i="23"/>
  <c r="N981" i="23"/>
  <c r="K981" i="23" s="1"/>
  <c r="M981" i="23"/>
  <c r="N980" i="23"/>
  <c r="K980" i="23" s="1"/>
  <c r="M980" i="23"/>
  <c r="N979" i="23"/>
  <c r="K979" i="23" s="1"/>
  <c r="M979" i="23"/>
  <c r="N978" i="23"/>
  <c r="K978" i="23" s="1"/>
  <c r="M978" i="23"/>
  <c r="N977" i="23"/>
  <c r="K977" i="23" s="1"/>
  <c r="M977" i="23"/>
  <c r="N976" i="23"/>
  <c r="K976" i="23" s="1"/>
  <c r="M976" i="23"/>
  <c r="N975" i="23"/>
  <c r="K975" i="23" s="1"/>
  <c r="M975" i="23"/>
  <c r="N974" i="23"/>
  <c r="K974" i="23" s="1"/>
  <c r="M974" i="23"/>
  <c r="N973" i="23"/>
  <c r="K973" i="23" s="1"/>
  <c r="M973" i="23"/>
  <c r="N972" i="23"/>
  <c r="K972" i="23" s="1"/>
  <c r="M972" i="23"/>
  <c r="H972" i="23"/>
  <c r="N971" i="23"/>
  <c r="P971" i="23" s="1"/>
  <c r="M971" i="23"/>
  <c r="N970" i="23"/>
  <c r="P970" i="23" s="1"/>
  <c r="M970" i="23"/>
  <c r="N969" i="23"/>
  <c r="P969" i="23" s="1"/>
  <c r="M969" i="23"/>
  <c r="N968" i="23"/>
  <c r="P968" i="23" s="1"/>
  <c r="M968" i="23"/>
  <c r="N967" i="23"/>
  <c r="P967" i="23" s="1"/>
  <c r="M967" i="23"/>
  <c r="N966" i="23"/>
  <c r="P966" i="23" s="1"/>
  <c r="M966" i="23"/>
  <c r="N965" i="23"/>
  <c r="P965" i="23" s="1"/>
  <c r="M965" i="23"/>
  <c r="N964" i="23"/>
  <c r="P964" i="23" s="1"/>
  <c r="M964" i="23"/>
  <c r="N963" i="23"/>
  <c r="P963" i="23" s="1"/>
  <c r="M963" i="23"/>
  <c r="N962" i="23"/>
  <c r="P962" i="23" s="1"/>
  <c r="M962" i="23"/>
  <c r="N961" i="23"/>
  <c r="P961" i="23" s="1"/>
  <c r="M961" i="23"/>
  <c r="N960" i="23"/>
  <c r="P960" i="23" s="1"/>
  <c r="M960" i="23"/>
  <c r="N959" i="23"/>
  <c r="P959" i="23" s="1"/>
  <c r="M959" i="23"/>
  <c r="N958" i="23"/>
  <c r="P958" i="23" s="1"/>
  <c r="M958" i="23"/>
  <c r="N957" i="23"/>
  <c r="P957" i="23" s="1"/>
  <c r="M957" i="23"/>
  <c r="N956" i="23"/>
  <c r="P956" i="23" s="1"/>
  <c r="M956" i="23"/>
  <c r="H956" i="23"/>
  <c r="P955" i="23"/>
  <c r="N955" i="23"/>
  <c r="M955" i="23"/>
  <c r="K955" i="23"/>
  <c r="P954" i="23"/>
  <c r="N954" i="23"/>
  <c r="M954" i="23"/>
  <c r="K954" i="23"/>
  <c r="P953" i="23"/>
  <c r="N953" i="23"/>
  <c r="M953" i="23"/>
  <c r="K953" i="23"/>
  <c r="P952" i="23"/>
  <c r="N952" i="23"/>
  <c r="M952" i="23"/>
  <c r="K952" i="23"/>
  <c r="P951" i="23"/>
  <c r="N951" i="23"/>
  <c r="M951" i="23"/>
  <c r="K951" i="23"/>
  <c r="P950" i="23"/>
  <c r="N950" i="23"/>
  <c r="M950" i="23"/>
  <c r="K950" i="23"/>
  <c r="P949" i="23"/>
  <c r="N949" i="23"/>
  <c r="M949" i="23"/>
  <c r="K949" i="23"/>
  <c r="P948" i="23"/>
  <c r="N948" i="23"/>
  <c r="M948" i="23"/>
  <c r="K948" i="23"/>
  <c r="P947" i="23"/>
  <c r="N947" i="23"/>
  <c r="M947" i="23"/>
  <c r="K947" i="23"/>
  <c r="P946" i="23"/>
  <c r="N946" i="23"/>
  <c r="M946" i="23"/>
  <c r="K946" i="23"/>
  <c r="P945" i="23"/>
  <c r="N945" i="23"/>
  <c r="M945" i="23"/>
  <c r="K945" i="23"/>
  <c r="P944" i="23"/>
  <c r="N944" i="23"/>
  <c r="M944" i="23"/>
  <c r="K944" i="23"/>
  <c r="P943" i="23"/>
  <c r="N943" i="23"/>
  <c r="M943" i="23"/>
  <c r="K943" i="23"/>
  <c r="P942" i="23"/>
  <c r="N942" i="23"/>
  <c r="M942" i="23"/>
  <c r="K942" i="23"/>
  <c r="P941" i="23"/>
  <c r="N941" i="23"/>
  <c r="M941" i="23"/>
  <c r="K941" i="23"/>
  <c r="P940" i="23"/>
  <c r="N940" i="23"/>
  <c r="M940" i="23"/>
  <c r="K940" i="23"/>
  <c r="P939" i="23"/>
  <c r="N939" i="23"/>
  <c r="M939" i="23"/>
  <c r="K939" i="23"/>
  <c r="P938" i="23"/>
  <c r="N938" i="23"/>
  <c r="M938" i="23"/>
  <c r="K938" i="23"/>
  <c r="P937" i="23"/>
  <c r="N937" i="23"/>
  <c r="M937" i="23"/>
  <c r="K937" i="23"/>
  <c r="P936" i="23"/>
  <c r="N936" i="23"/>
  <c r="M936" i="23"/>
  <c r="K936" i="23"/>
  <c r="P935" i="23"/>
  <c r="N935" i="23"/>
  <c r="M935" i="23"/>
  <c r="K935" i="23"/>
  <c r="P934" i="23"/>
  <c r="N934" i="23"/>
  <c r="M934" i="23"/>
  <c r="K934" i="23"/>
  <c r="P933" i="23"/>
  <c r="N933" i="23"/>
  <c r="M933" i="23"/>
  <c r="K933" i="23"/>
  <c r="P932" i="23"/>
  <c r="N932" i="23"/>
  <c r="M932" i="23"/>
  <c r="K932" i="23"/>
  <c r="P931" i="23"/>
  <c r="N931" i="23"/>
  <c r="M931" i="23"/>
  <c r="K931" i="23"/>
  <c r="P930" i="23"/>
  <c r="N930" i="23"/>
  <c r="M930" i="23"/>
  <c r="K930" i="23"/>
  <c r="P929" i="23"/>
  <c r="N929" i="23"/>
  <c r="M929" i="23"/>
  <c r="K929" i="23"/>
  <c r="P928" i="23"/>
  <c r="N928" i="23"/>
  <c r="M928" i="23"/>
  <c r="K928" i="23"/>
  <c r="P927" i="23"/>
  <c r="N927" i="23"/>
  <c r="M927" i="23"/>
  <c r="K927" i="23"/>
  <c r="P926" i="23"/>
  <c r="N926" i="23"/>
  <c r="M926" i="23"/>
  <c r="K926" i="23"/>
  <c r="P925" i="23"/>
  <c r="N925" i="23"/>
  <c r="M925" i="23"/>
  <c r="K925" i="23"/>
  <c r="P924" i="23"/>
  <c r="N924" i="23"/>
  <c r="M924" i="23"/>
  <c r="K924" i="23"/>
  <c r="P923" i="23"/>
  <c r="N923" i="23"/>
  <c r="M923" i="23"/>
  <c r="K923" i="23"/>
  <c r="H923" i="23"/>
  <c r="N922" i="23"/>
  <c r="P922" i="23" s="1"/>
  <c r="M922" i="23"/>
  <c r="K922" i="23"/>
  <c r="N921" i="23"/>
  <c r="P921" i="23" s="1"/>
  <c r="M921" i="23"/>
  <c r="K921" i="23"/>
  <c r="N920" i="23"/>
  <c r="P920" i="23" s="1"/>
  <c r="M920" i="23"/>
  <c r="K920" i="23"/>
  <c r="H920" i="23"/>
  <c r="N919" i="23"/>
  <c r="K919" i="23" s="1"/>
  <c r="M919" i="23"/>
  <c r="N918" i="23"/>
  <c r="K918" i="23" s="1"/>
  <c r="M918" i="23"/>
  <c r="H918" i="23"/>
  <c r="N917" i="23"/>
  <c r="P917" i="23" s="1"/>
  <c r="M917" i="23"/>
  <c r="N916" i="23"/>
  <c r="P916" i="23" s="1"/>
  <c r="M916" i="23"/>
  <c r="N915" i="23"/>
  <c r="P915" i="23" s="1"/>
  <c r="M915" i="23"/>
  <c r="N914" i="23"/>
  <c r="P914" i="23" s="1"/>
  <c r="M914" i="23"/>
  <c r="N913" i="23"/>
  <c r="P913" i="23" s="1"/>
  <c r="M913" i="23"/>
  <c r="N912" i="23"/>
  <c r="P912" i="23" s="1"/>
  <c r="M912" i="23"/>
  <c r="N911" i="23"/>
  <c r="P911" i="23" s="1"/>
  <c r="M911" i="23"/>
  <c r="N910" i="23"/>
  <c r="P910" i="23" s="1"/>
  <c r="M910" i="23"/>
  <c r="N909" i="23"/>
  <c r="P909" i="23" s="1"/>
  <c r="M909" i="23"/>
  <c r="N908" i="23"/>
  <c r="P908" i="23" s="1"/>
  <c r="M908" i="23"/>
  <c r="N907" i="23"/>
  <c r="P907" i="23" s="1"/>
  <c r="M907" i="23"/>
  <c r="N906" i="23"/>
  <c r="P906" i="23" s="1"/>
  <c r="M906" i="23"/>
  <c r="N905" i="23"/>
  <c r="P905" i="23" s="1"/>
  <c r="M905" i="23"/>
  <c r="N904" i="23"/>
  <c r="P904" i="23" s="1"/>
  <c r="M904" i="23"/>
  <c r="N903" i="23"/>
  <c r="P903" i="23" s="1"/>
  <c r="M903" i="23"/>
  <c r="N902" i="23"/>
  <c r="P902" i="23" s="1"/>
  <c r="M902" i="23"/>
  <c r="N901" i="23"/>
  <c r="P901" i="23" s="1"/>
  <c r="M901" i="23"/>
  <c r="N900" i="23"/>
  <c r="P900" i="23" s="1"/>
  <c r="M900" i="23"/>
  <c r="N899" i="23"/>
  <c r="P899" i="23" s="1"/>
  <c r="M899" i="23"/>
  <c r="N898" i="23"/>
  <c r="P898" i="23" s="1"/>
  <c r="M898" i="23"/>
  <c r="N897" i="23"/>
  <c r="P897" i="23" s="1"/>
  <c r="M897" i="23"/>
  <c r="N896" i="23"/>
  <c r="P896" i="23" s="1"/>
  <c r="M896" i="23"/>
  <c r="N895" i="23"/>
  <c r="P895" i="23" s="1"/>
  <c r="M895" i="23"/>
  <c r="N894" i="23"/>
  <c r="P894" i="23" s="1"/>
  <c r="M894" i="23"/>
  <c r="N893" i="23"/>
  <c r="P893" i="23" s="1"/>
  <c r="M893" i="23"/>
  <c r="N892" i="23"/>
  <c r="P892" i="23" s="1"/>
  <c r="M892" i="23"/>
  <c r="N891" i="23"/>
  <c r="P891" i="23" s="1"/>
  <c r="M891" i="23"/>
  <c r="N890" i="23"/>
  <c r="P890" i="23" s="1"/>
  <c r="M890" i="23"/>
  <c r="N889" i="23"/>
  <c r="P889" i="23" s="1"/>
  <c r="M889" i="23"/>
  <c r="N888" i="23"/>
  <c r="P888" i="23" s="1"/>
  <c r="M888" i="23"/>
  <c r="H888" i="23"/>
  <c r="P887" i="23"/>
  <c r="N887" i="23"/>
  <c r="M887" i="23"/>
  <c r="K887" i="23"/>
  <c r="P886" i="23"/>
  <c r="N886" i="23"/>
  <c r="M886" i="23"/>
  <c r="K886" i="23"/>
  <c r="H886" i="23"/>
  <c r="P885" i="23"/>
  <c r="N885" i="23"/>
  <c r="M885" i="23"/>
  <c r="K885" i="23"/>
  <c r="P884" i="23"/>
  <c r="N884" i="23"/>
  <c r="M884" i="23"/>
  <c r="K884" i="23"/>
  <c r="P883" i="23"/>
  <c r="N883" i="23"/>
  <c r="M883" i="23"/>
  <c r="K883" i="23"/>
  <c r="P882" i="23"/>
  <c r="N882" i="23"/>
  <c r="M882" i="23"/>
  <c r="K882" i="23"/>
  <c r="P881" i="23"/>
  <c r="N881" i="23"/>
  <c r="M881" i="23"/>
  <c r="K881" i="23"/>
  <c r="P880" i="23"/>
  <c r="N880" i="23"/>
  <c r="M880" i="23"/>
  <c r="K880" i="23"/>
  <c r="P879" i="23"/>
  <c r="N879" i="23"/>
  <c r="M879" i="23"/>
  <c r="K879" i="23"/>
  <c r="P878" i="23"/>
  <c r="N878" i="23"/>
  <c r="M878" i="23"/>
  <c r="K878" i="23"/>
  <c r="P877" i="23"/>
  <c r="N877" i="23"/>
  <c r="M877" i="23"/>
  <c r="K877" i="23"/>
  <c r="P876" i="23"/>
  <c r="N876" i="23"/>
  <c r="M876" i="23"/>
  <c r="K876" i="23"/>
  <c r="P875" i="23"/>
  <c r="N875" i="23"/>
  <c r="M875" i="23"/>
  <c r="K875" i="23"/>
  <c r="H875" i="23"/>
  <c r="N874" i="23"/>
  <c r="K874" i="23" s="1"/>
  <c r="M874" i="23"/>
  <c r="N873" i="23"/>
  <c r="K873" i="23" s="1"/>
  <c r="M873" i="23"/>
  <c r="N872" i="23"/>
  <c r="K872" i="23" s="1"/>
  <c r="M872" i="23"/>
  <c r="N871" i="23"/>
  <c r="K871" i="23" s="1"/>
  <c r="M871" i="23"/>
  <c r="N870" i="23"/>
  <c r="K870" i="23" s="1"/>
  <c r="M870" i="23"/>
  <c r="N869" i="23"/>
  <c r="K869" i="23" s="1"/>
  <c r="M869" i="23"/>
  <c r="N868" i="23"/>
  <c r="K868" i="23" s="1"/>
  <c r="M868" i="23"/>
  <c r="N867" i="23"/>
  <c r="K867" i="23" s="1"/>
  <c r="M867" i="23"/>
  <c r="H867" i="23"/>
  <c r="N866" i="23"/>
  <c r="M866" i="23"/>
  <c r="N865" i="23"/>
  <c r="M865" i="23"/>
  <c r="N864" i="23"/>
  <c r="M864" i="23"/>
  <c r="N863" i="23"/>
  <c r="M863" i="23"/>
  <c r="N862" i="23"/>
  <c r="M862" i="23"/>
  <c r="N861" i="23"/>
  <c r="M861" i="23"/>
  <c r="N860" i="23"/>
  <c r="M860" i="23"/>
  <c r="N859" i="23"/>
  <c r="M859" i="23"/>
  <c r="N858" i="23"/>
  <c r="M858" i="23"/>
  <c r="N857" i="23"/>
  <c r="M857" i="23"/>
  <c r="N856" i="23"/>
  <c r="M856" i="23"/>
  <c r="N855" i="23"/>
  <c r="M855" i="23"/>
  <c r="N854" i="23"/>
  <c r="M854" i="23"/>
  <c r="N853" i="23"/>
  <c r="M853" i="23"/>
  <c r="H853" i="23"/>
  <c r="P852" i="23"/>
  <c r="N852" i="23"/>
  <c r="M852" i="23"/>
  <c r="K852" i="23"/>
  <c r="P851" i="23"/>
  <c r="N851" i="23"/>
  <c r="M851" i="23"/>
  <c r="K851" i="23"/>
  <c r="P850" i="23"/>
  <c r="N850" i="23"/>
  <c r="M850" i="23"/>
  <c r="K850" i="23"/>
  <c r="P849" i="23"/>
  <c r="N849" i="23"/>
  <c r="M849" i="23"/>
  <c r="K849" i="23"/>
  <c r="P848" i="23"/>
  <c r="N848" i="23"/>
  <c r="M848" i="23"/>
  <c r="K848" i="23"/>
  <c r="P847" i="23"/>
  <c r="N847" i="23"/>
  <c r="M847" i="23"/>
  <c r="K847" i="23"/>
  <c r="P846" i="23"/>
  <c r="N846" i="23"/>
  <c r="M846" i="23"/>
  <c r="K846" i="23"/>
  <c r="P845" i="23"/>
  <c r="N845" i="23"/>
  <c r="M845" i="23"/>
  <c r="K845" i="23"/>
  <c r="H845" i="23"/>
  <c r="N844" i="23"/>
  <c r="P844" i="23" s="1"/>
  <c r="M844" i="23"/>
  <c r="K844" i="23"/>
  <c r="N843" i="23"/>
  <c r="P843" i="23" s="1"/>
  <c r="M843" i="23"/>
  <c r="K843" i="23"/>
  <c r="N842" i="23"/>
  <c r="P842" i="23" s="1"/>
  <c r="M842" i="23"/>
  <c r="K842" i="23"/>
  <c r="N841" i="23"/>
  <c r="P841" i="23" s="1"/>
  <c r="M841" i="23"/>
  <c r="K841" i="23"/>
  <c r="N840" i="23"/>
  <c r="P840" i="23" s="1"/>
  <c r="M840" i="23"/>
  <c r="K840" i="23"/>
  <c r="H840" i="23"/>
  <c r="N839" i="23"/>
  <c r="P839" i="23" s="1"/>
  <c r="M839" i="23"/>
  <c r="N838" i="23"/>
  <c r="P838" i="23" s="1"/>
  <c r="M838" i="23"/>
  <c r="N837" i="23"/>
  <c r="P837" i="23" s="1"/>
  <c r="M837" i="23"/>
  <c r="K837" i="23"/>
  <c r="N836" i="23"/>
  <c r="P836" i="23" s="1"/>
  <c r="M836" i="23"/>
  <c r="K836" i="23"/>
  <c r="N835" i="23"/>
  <c r="P835" i="23" s="1"/>
  <c r="M835" i="23"/>
  <c r="N834" i="23"/>
  <c r="P834" i="23" s="1"/>
  <c r="M834" i="23"/>
  <c r="N833" i="23"/>
  <c r="M833" i="23"/>
  <c r="N832" i="23"/>
  <c r="M832" i="23"/>
  <c r="N831" i="23"/>
  <c r="P831" i="23" s="1"/>
  <c r="M831" i="23"/>
  <c r="N830" i="23"/>
  <c r="P830" i="23" s="1"/>
  <c r="M830" i="23"/>
  <c r="N829" i="23"/>
  <c r="P829" i="23" s="1"/>
  <c r="M829" i="23"/>
  <c r="K829" i="23"/>
  <c r="N828" i="23"/>
  <c r="P828" i="23" s="1"/>
  <c r="M828" i="23"/>
  <c r="K828" i="23"/>
  <c r="N827" i="23"/>
  <c r="P827" i="23" s="1"/>
  <c r="M827" i="23"/>
  <c r="N826" i="23"/>
  <c r="P826" i="23" s="1"/>
  <c r="M826" i="23"/>
  <c r="N825" i="23"/>
  <c r="M825" i="23"/>
  <c r="N824" i="23"/>
  <c r="M824" i="23"/>
  <c r="N823" i="23"/>
  <c r="P823" i="23" s="1"/>
  <c r="M823" i="23"/>
  <c r="N822" i="23"/>
  <c r="P822" i="23" s="1"/>
  <c r="M822" i="23"/>
  <c r="N821" i="23"/>
  <c r="P821" i="23" s="1"/>
  <c r="M821" i="23"/>
  <c r="K821" i="23"/>
  <c r="N820" i="23"/>
  <c r="P820" i="23" s="1"/>
  <c r="M820" i="23"/>
  <c r="K820" i="23"/>
  <c r="N819" i="23"/>
  <c r="P819" i="23" s="1"/>
  <c r="M819" i="23"/>
  <c r="H819" i="23"/>
  <c r="N818" i="23"/>
  <c r="K818" i="23" s="1"/>
  <c r="M818" i="23"/>
  <c r="N817" i="23"/>
  <c r="K817" i="23" s="1"/>
  <c r="M817" i="23"/>
  <c r="N816" i="23"/>
  <c r="K816" i="23" s="1"/>
  <c r="M816" i="23"/>
  <c r="N815" i="23"/>
  <c r="M815" i="23"/>
  <c r="N814" i="23"/>
  <c r="K814" i="23" s="1"/>
  <c r="M814" i="23"/>
  <c r="N813" i="23"/>
  <c r="M813" i="23"/>
  <c r="H813" i="23"/>
  <c r="N812" i="23"/>
  <c r="M812" i="23"/>
  <c r="P811" i="23"/>
  <c r="N811" i="23"/>
  <c r="K811" i="23" s="1"/>
  <c r="M811" i="23"/>
  <c r="N810" i="23"/>
  <c r="M810" i="23"/>
  <c r="N809" i="23"/>
  <c r="M809" i="23"/>
  <c r="P808" i="23"/>
  <c r="N808" i="23"/>
  <c r="K808" i="23" s="1"/>
  <c r="M808" i="23"/>
  <c r="P807" i="23"/>
  <c r="N807" i="23"/>
  <c r="K807" i="23" s="1"/>
  <c r="M807" i="23"/>
  <c r="N806" i="23"/>
  <c r="K806" i="23" s="1"/>
  <c r="M806" i="23"/>
  <c r="N805" i="23"/>
  <c r="M805" i="23"/>
  <c r="H805" i="23"/>
  <c r="N804" i="23"/>
  <c r="M804" i="23"/>
  <c r="N803" i="23"/>
  <c r="M803" i="23"/>
  <c r="N802" i="23"/>
  <c r="M802" i="23"/>
  <c r="N801" i="23"/>
  <c r="M801" i="23"/>
  <c r="N800" i="23"/>
  <c r="M800" i="23"/>
  <c r="N799" i="23"/>
  <c r="M799" i="23"/>
  <c r="N798" i="23"/>
  <c r="M798" i="23"/>
  <c r="N797" i="23"/>
  <c r="M797" i="23"/>
  <c r="N796" i="23"/>
  <c r="M796" i="23"/>
  <c r="N795" i="23"/>
  <c r="M795" i="23"/>
  <c r="N794" i="23"/>
  <c r="M794" i="23"/>
  <c r="N793" i="23"/>
  <c r="M793" i="23"/>
  <c r="H793" i="23"/>
  <c r="N792" i="23"/>
  <c r="M792" i="23"/>
  <c r="N791" i="23"/>
  <c r="P791" i="23" s="1"/>
  <c r="M791" i="23"/>
  <c r="N790" i="23"/>
  <c r="P790" i="23" s="1"/>
  <c r="M790" i="23"/>
  <c r="N789" i="23"/>
  <c r="P789" i="23" s="1"/>
  <c r="M789" i="23"/>
  <c r="K789" i="23"/>
  <c r="N788" i="23"/>
  <c r="P788" i="23" s="1"/>
  <c r="M788" i="23"/>
  <c r="K788" i="23"/>
  <c r="N787" i="23"/>
  <c r="P787" i="23" s="1"/>
  <c r="M787" i="23"/>
  <c r="H787" i="23"/>
  <c r="N786" i="23"/>
  <c r="K786" i="23" s="1"/>
  <c r="M786" i="23"/>
  <c r="P785" i="23"/>
  <c r="N785" i="23"/>
  <c r="K785" i="23" s="1"/>
  <c r="M785" i="23"/>
  <c r="N784" i="23"/>
  <c r="K784" i="23" s="1"/>
  <c r="M784" i="23"/>
  <c r="N783" i="23"/>
  <c r="M783" i="23"/>
  <c r="N782" i="23"/>
  <c r="K782" i="23" s="1"/>
  <c r="M782" i="23"/>
  <c r="P781" i="23"/>
  <c r="N781" i="23"/>
  <c r="K781" i="23" s="1"/>
  <c r="M781" i="23"/>
  <c r="H781" i="23"/>
  <c r="P780" i="23"/>
  <c r="N780" i="23"/>
  <c r="K780" i="23" s="1"/>
  <c r="M780" i="23"/>
  <c r="N779" i="23"/>
  <c r="M779" i="23"/>
  <c r="P778" i="23"/>
  <c r="N778" i="23"/>
  <c r="K778" i="23" s="1"/>
  <c r="M778" i="23"/>
  <c r="P777" i="23"/>
  <c r="N777" i="23"/>
  <c r="K777" i="23" s="1"/>
  <c r="M777" i="23"/>
  <c r="N776" i="23"/>
  <c r="K776" i="23" s="1"/>
  <c r="M776" i="23"/>
  <c r="N775" i="23"/>
  <c r="M775" i="23"/>
  <c r="P774" i="23"/>
  <c r="N774" i="23"/>
  <c r="K774" i="23" s="1"/>
  <c r="M774" i="23"/>
  <c r="P773" i="23"/>
  <c r="N773" i="23"/>
  <c r="K773" i="23" s="1"/>
  <c r="M773" i="23"/>
  <c r="N772" i="23"/>
  <c r="K772" i="23" s="1"/>
  <c r="M772" i="23"/>
  <c r="N771" i="23"/>
  <c r="M771" i="23"/>
  <c r="P770" i="23"/>
  <c r="N770" i="23"/>
  <c r="K770" i="23" s="1"/>
  <c r="M770" i="23"/>
  <c r="P769" i="23"/>
  <c r="N769" i="23"/>
  <c r="K769" i="23" s="1"/>
  <c r="M769" i="23"/>
  <c r="N768" i="23"/>
  <c r="K768" i="23" s="1"/>
  <c r="M768" i="23"/>
  <c r="N767" i="23"/>
  <c r="M767" i="23"/>
  <c r="P766" i="23"/>
  <c r="N766" i="23"/>
  <c r="K766" i="23" s="1"/>
  <c r="M766" i="23"/>
  <c r="H766" i="23"/>
  <c r="N765" i="23"/>
  <c r="P765" i="23" s="1"/>
  <c r="M765" i="23"/>
  <c r="K765" i="23"/>
  <c r="N764" i="23"/>
  <c r="P764" i="23" s="1"/>
  <c r="M764" i="23"/>
  <c r="K764" i="23"/>
  <c r="N763" i="23"/>
  <c r="P763" i="23" s="1"/>
  <c r="M763" i="23"/>
  <c r="K763" i="23"/>
  <c r="N762" i="23"/>
  <c r="P762" i="23" s="1"/>
  <c r="M762" i="23"/>
  <c r="K762" i="23"/>
  <c r="H762" i="23"/>
  <c r="N761" i="23"/>
  <c r="P761" i="23" s="1"/>
  <c r="M761" i="23"/>
  <c r="K761" i="23"/>
  <c r="N760" i="23"/>
  <c r="P760" i="23" s="1"/>
  <c r="M760" i="23"/>
  <c r="N759" i="23"/>
  <c r="P759" i="23" s="1"/>
  <c r="M759" i="23"/>
  <c r="N758" i="23"/>
  <c r="P758" i="23" s="1"/>
  <c r="M758" i="23"/>
  <c r="K758" i="23"/>
  <c r="H758" i="23"/>
  <c r="N757" i="23"/>
  <c r="K757" i="23" s="1"/>
  <c r="M757" i="23"/>
  <c r="P756" i="23"/>
  <c r="N756" i="23"/>
  <c r="K756" i="23" s="1"/>
  <c r="M756" i="23"/>
  <c r="N755" i="23"/>
  <c r="M755" i="23"/>
  <c r="P754" i="23"/>
  <c r="N754" i="23"/>
  <c r="K754" i="23" s="1"/>
  <c r="M754" i="23"/>
  <c r="N753" i="23"/>
  <c r="K753" i="23" s="1"/>
  <c r="M753" i="23"/>
  <c r="N752" i="23"/>
  <c r="M752" i="23"/>
  <c r="P751" i="23"/>
  <c r="N751" i="23"/>
  <c r="K751" i="23" s="1"/>
  <c r="M751" i="23"/>
  <c r="P750" i="23"/>
  <c r="N750" i="23"/>
  <c r="K750" i="23" s="1"/>
  <c r="M750" i="23"/>
  <c r="H750" i="23"/>
  <c r="P749" i="23"/>
  <c r="N749" i="23"/>
  <c r="K749" i="23" s="1"/>
  <c r="M749" i="23"/>
  <c r="N748" i="23"/>
  <c r="K748" i="23" s="1"/>
  <c r="M748" i="23"/>
  <c r="N747" i="23"/>
  <c r="M747" i="23"/>
  <c r="H747" i="23"/>
  <c r="N746" i="23"/>
  <c r="M746" i="23"/>
  <c r="N745" i="23"/>
  <c r="M745" i="23"/>
  <c r="N744" i="23"/>
  <c r="M744" i="23"/>
  <c r="N743" i="23"/>
  <c r="M743" i="23"/>
  <c r="N742" i="23"/>
  <c r="M742" i="23"/>
  <c r="N741" i="23"/>
  <c r="M741" i="23"/>
  <c r="N740" i="23"/>
  <c r="M740" i="23"/>
  <c r="N739" i="23"/>
  <c r="M739" i="23"/>
  <c r="H739" i="23"/>
  <c r="N738" i="23"/>
  <c r="K738" i="23" s="1"/>
  <c r="M738" i="23"/>
  <c r="P737" i="23"/>
  <c r="N737" i="23"/>
  <c r="K737" i="23" s="1"/>
  <c r="M737" i="23"/>
  <c r="N736" i="23"/>
  <c r="K736" i="23" s="1"/>
  <c r="M736" i="23"/>
  <c r="N735" i="23"/>
  <c r="K735" i="23" s="1"/>
  <c r="M735" i="23"/>
  <c r="N734" i="23"/>
  <c r="K734" i="23" s="1"/>
  <c r="M734" i="23"/>
  <c r="P733" i="23"/>
  <c r="N733" i="23"/>
  <c r="K733" i="23" s="1"/>
  <c r="M733" i="23"/>
  <c r="N732" i="23"/>
  <c r="K732" i="23" s="1"/>
  <c r="M732" i="23"/>
  <c r="N731" i="23"/>
  <c r="K731" i="23" s="1"/>
  <c r="M731" i="23"/>
  <c r="N730" i="23"/>
  <c r="K730" i="23" s="1"/>
  <c r="M730" i="23"/>
  <c r="P729" i="23"/>
  <c r="N729" i="23"/>
  <c r="K729" i="23" s="1"/>
  <c r="M729" i="23"/>
  <c r="N728" i="23"/>
  <c r="K728" i="23" s="1"/>
  <c r="M728" i="23"/>
  <c r="N727" i="23"/>
  <c r="K727" i="23" s="1"/>
  <c r="M727" i="23"/>
  <c r="N726" i="23"/>
  <c r="K726" i="23" s="1"/>
  <c r="M726" i="23"/>
  <c r="P725" i="23"/>
  <c r="N725" i="23"/>
  <c r="K725" i="23" s="1"/>
  <c r="M725" i="23"/>
  <c r="N724" i="23"/>
  <c r="K724" i="23" s="1"/>
  <c r="M724" i="23"/>
  <c r="N723" i="23"/>
  <c r="K723" i="23" s="1"/>
  <c r="M723" i="23"/>
  <c r="N722" i="23"/>
  <c r="K722" i="23" s="1"/>
  <c r="M722" i="23"/>
  <c r="P721" i="23"/>
  <c r="N721" i="23"/>
  <c r="K721" i="23" s="1"/>
  <c r="M721" i="23"/>
  <c r="N720" i="23"/>
  <c r="K720" i="23" s="1"/>
  <c r="M720" i="23"/>
  <c r="N719" i="23"/>
  <c r="K719" i="23" s="1"/>
  <c r="M719" i="23"/>
  <c r="N718" i="23"/>
  <c r="K718" i="23" s="1"/>
  <c r="M718" i="23"/>
  <c r="P717" i="23"/>
  <c r="N717" i="23"/>
  <c r="K717" i="23" s="1"/>
  <c r="M717" i="23"/>
  <c r="N716" i="23"/>
  <c r="K716" i="23" s="1"/>
  <c r="M716" i="23"/>
  <c r="H716" i="23"/>
  <c r="N715" i="23"/>
  <c r="K715" i="23" s="1"/>
  <c r="M715" i="23"/>
  <c r="N714" i="23"/>
  <c r="K714" i="23" s="1"/>
  <c r="M714" i="23"/>
  <c r="N713" i="23"/>
  <c r="K713" i="23" s="1"/>
  <c r="M713" i="23"/>
  <c r="N712" i="23"/>
  <c r="K712" i="23" s="1"/>
  <c r="M712" i="23"/>
  <c r="N711" i="23"/>
  <c r="K711" i="23" s="1"/>
  <c r="M711" i="23"/>
  <c r="N710" i="23"/>
  <c r="K710" i="23" s="1"/>
  <c r="M710" i="23"/>
  <c r="N709" i="23"/>
  <c r="K709" i="23" s="1"/>
  <c r="M709" i="23"/>
  <c r="N708" i="23"/>
  <c r="K708" i="23" s="1"/>
  <c r="M708" i="23"/>
  <c r="N707" i="23"/>
  <c r="K707" i="23" s="1"/>
  <c r="M707" i="23"/>
  <c r="N706" i="23"/>
  <c r="K706" i="23" s="1"/>
  <c r="M706" i="23"/>
  <c r="N705" i="23"/>
  <c r="K705" i="23" s="1"/>
  <c r="M705" i="23"/>
  <c r="N704" i="23"/>
  <c r="K704" i="23" s="1"/>
  <c r="M704" i="23"/>
  <c r="N703" i="23"/>
  <c r="K703" i="23" s="1"/>
  <c r="M703" i="23"/>
  <c r="N702" i="23"/>
  <c r="K702" i="23" s="1"/>
  <c r="M702" i="23"/>
  <c r="N701" i="23"/>
  <c r="K701" i="23" s="1"/>
  <c r="M701" i="23"/>
  <c r="N700" i="23"/>
  <c r="K700" i="23" s="1"/>
  <c r="M700" i="23"/>
  <c r="N699" i="23"/>
  <c r="K699" i="23" s="1"/>
  <c r="M699" i="23"/>
  <c r="N698" i="23"/>
  <c r="K698" i="23" s="1"/>
  <c r="M698" i="23"/>
  <c r="N697" i="23"/>
  <c r="K697" i="23" s="1"/>
  <c r="M697" i="23"/>
  <c r="N696" i="23"/>
  <c r="K696" i="23" s="1"/>
  <c r="M696" i="23"/>
  <c r="N695" i="23"/>
  <c r="K695" i="23" s="1"/>
  <c r="M695" i="23"/>
  <c r="N694" i="23"/>
  <c r="K694" i="23" s="1"/>
  <c r="M694" i="23"/>
  <c r="H694" i="23"/>
  <c r="N693" i="23"/>
  <c r="K693" i="23" s="1"/>
  <c r="M693" i="23"/>
  <c r="P692" i="23"/>
  <c r="N692" i="23"/>
  <c r="K692" i="23" s="1"/>
  <c r="M692" i="23"/>
  <c r="H692" i="23"/>
  <c r="P691" i="23"/>
  <c r="N691" i="23"/>
  <c r="M691" i="23"/>
  <c r="K691" i="23"/>
  <c r="P690" i="23"/>
  <c r="N690" i="23"/>
  <c r="M690" i="23"/>
  <c r="K690" i="23"/>
  <c r="P689" i="23"/>
  <c r="N689" i="23"/>
  <c r="M689" i="23"/>
  <c r="K689" i="23"/>
  <c r="P688" i="23"/>
  <c r="N688" i="23"/>
  <c r="M688" i="23"/>
  <c r="K688" i="23"/>
  <c r="P687" i="23"/>
  <c r="N687" i="23"/>
  <c r="M687" i="23"/>
  <c r="K687" i="23"/>
  <c r="P686" i="23"/>
  <c r="N686" i="23"/>
  <c r="M686" i="23"/>
  <c r="K686" i="23"/>
  <c r="P685" i="23"/>
  <c r="N685" i="23"/>
  <c r="M685" i="23"/>
  <c r="K685" i="23"/>
  <c r="P684" i="23"/>
  <c r="N684" i="23"/>
  <c r="M684" i="23"/>
  <c r="K684" i="23"/>
  <c r="P683" i="23"/>
  <c r="N683" i="23"/>
  <c r="M683" i="23"/>
  <c r="K683" i="23"/>
  <c r="P682" i="23"/>
  <c r="N682" i="23"/>
  <c r="M682" i="23"/>
  <c r="K682" i="23"/>
  <c r="P681" i="23"/>
  <c r="N681" i="23"/>
  <c r="M681" i="23"/>
  <c r="K681" i="23"/>
  <c r="P680" i="23"/>
  <c r="N680" i="23"/>
  <c r="M680" i="23"/>
  <c r="K680" i="23"/>
  <c r="P679" i="23"/>
  <c r="N679" i="23"/>
  <c r="M679" i="23"/>
  <c r="K679" i="23"/>
  <c r="P678" i="23"/>
  <c r="N678" i="23"/>
  <c r="M678" i="23"/>
  <c r="K678" i="23"/>
  <c r="P677" i="23"/>
  <c r="N677" i="23"/>
  <c r="M677" i="23"/>
  <c r="K677" i="23"/>
  <c r="P676" i="23"/>
  <c r="N676" i="23"/>
  <c r="M676" i="23"/>
  <c r="K676" i="23"/>
  <c r="P675" i="23"/>
  <c r="N675" i="23"/>
  <c r="M675" i="23"/>
  <c r="K675" i="23"/>
  <c r="H675" i="23"/>
  <c r="N674" i="23"/>
  <c r="P674" i="23" s="1"/>
  <c r="M674" i="23"/>
  <c r="K674" i="23"/>
  <c r="N673" i="23"/>
  <c r="P673" i="23" s="1"/>
  <c r="M673" i="23"/>
  <c r="K673" i="23"/>
  <c r="N672" i="23"/>
  <c r="P672" i="23" s="1"/>
  <c r="M672" i="23"/>
  <c r="K672" i="23"/>
  <c r="N671" i="23"/>
  <c r="P671" i="23" s="1"/>
  <c r="M671" i="23"/>
  <c r="K671" i="23"/>
  <c r="N670" i="23"/>
  <c r="P670" i="23" s="1"/>
  <c r="M670" i="23"/>
  <c r="K670" i="23"/>
  <c r="N669" i="23"/>
  <c r="P669" i="23" s="1"/>
  <c r="M669" i="23"/>
  <c r="K669" i="23"/>
  <c r="N668" i="23"/>
  <c r="P668" i="23" s="1"/>
  <c r="M668" i="23"/>
  <c r="K668" i="23"/>
  <c r="N667" i="23"/>
  <c r="P667" i="23" s="1"/>
  <c r="M667" i="23"/>
  <c r="K667" i="23"/>
  <c r="N666" i="23"/>
  <c r="P666" i="23" s="1"/>
  <c r="M666" i="23"/>
  <c r="K666" i="23"/>
  <c r="N665" i="23"/>
  <c r="P665" i="23" s="1"/>
  <c r="M665" i="23"/>
  <c r="K665" i="23"/>
  <c r="N664" i="23"/>
  <c r="P664" i="23" s="1"/>
  <c r="M664" i="23"/>
  <c r="K664" i="23"/>
  <c r="N663" i="23"/>
  <c r="P663" i="23" s="1"/>
  <c r="M663" i="23"/>
  <c r="K663" i="23"/>
  <c r="N662" i="23"/>
  <c r="P662" i="23" s="1"/>
  <c r="M662" i="23"/>
  <c r="K662" i="23"/>
  <c r="H662" i="23"/>
  <c r="N661" i="23"/>
  <c r="K661" i="23" s="1"/>
  <c r="M661" i="23"/>
  <c r="N660" i="23"/>
  <c r="K660" i="23" s="1"/>
  <c r="M660" i="23"/>
  <c r="N659" i="23"/>
  <c r="K659" i="23" s="1"/>
  <c r="M659" i="23"/>
  <c r="N658" i="23"/>
  <c r="K658" i="23" s="1"/>
  <c r="M658" i="23"/>
  <c r="N657" i="23"/>
  <c r="K657" i="23" s="1"/>
  <c r="M657" i="23"/>
  <c r="N656" i="23"/>
  <c r="K656" i="23" s="1"/>
  <c r="M656" i="23"/>
  <c r="N655" i="23"/>
  <c r="K655" i="23" s="1"/>
  <c r="M655" i="23"/>
  <c r="N654" i="23"/>
  <c r="K654" i="23" s="1"/>
  <c r="M654" i="23"/>
  <c r="N653" i="23"/>
  <c r="K653" i="23" s="1"/>
  <c r="M653" i="23"/>
  <c r="H653" i="23"/>
  <c r="N652" i="23"/>
  <c r="K652" i="23" s="1"/>
  <c r="M652" i="23"/>
  <c r="P651" i="23"/>
  <c r="N651" i="23"/>
  <c r="K651" i="23" s="1"/>
  <c r="M651" i="23"/>
  <c r="N650" i="23"/>
  <c r="K650" i="23" s="1"/>
  <c r="M650" i="23"/>
  <c r="N649" i="23"/>
  <c r="M649" i="23"/>
  <c r="N648" i="23"/>
  <c r="K648" i="23" s="1"/>
  <c r="M648" i="23"/>
  <c r="P647" i="23"/>
  <c r="N647" i="23"/>
  <c r="K647" i="23" s="1"/>
  <c r="M647" i="23"/>
  <c r="N646" i="23"/>
  <c r="K646" i="23" s="1"/>
  <c r="M646" i="23"/>
  <c r="N645" i="23"/>
  <c r="M645" i="23"/>
  <c r="H645" i="23"/>
  <c r="N644" i="23"/>
  <c r="M644" i="23"/>
  <c r="N643" i="23"/>
  <c r="M643" i="23"/>
  <c r="N642" i="23"/>
  <c r="M642" i="23"/>
  <c r="N641" i="23"/>
  <c r="M641" i="23"/>
  <c r="N640" i="23"/>
  <c r="M640" i="23"/>
  <c r="N639" i="23"/>
  <c r="M639" i="23"/>
  <c r="H639" i="23"/>
  <c r="P638" i="23"/>
  <c r="N638" i="23"/>
  <c r="K638" i="23" s="1"/>
  <c r="M638" i="23"/>
  <c r="N637" i="23"/>
  <c r="K637" i="23" s="1"/>
  <c r="M637" i="23"/>
  <c r="N636" i="23"/>
  <c r="K636" i="23" s="1"/>
  <c r="M636" i="23"/>
  <c r="N635" i="23"/>
  <c r="K635" i="23" s="1"/>
  <c r="M635" i="23"/>
  <c r="P634" i="23"/>
  <c r="N634" i="23"/>
  <c r="K634" i="23" s="1"/>
  <c r="M634" i="23"/>
  <c r="N633" i="23"/>
  <c r="K633" i="23" s="1"/>
  <c r="M633" i="23"/>
  <c r="N632" i="23"/>
  <c r="K632" i="23" s="1"/>
  <c r="M632" i="23"/>
  <c r="H632" i="23"/>
  <c r="N631" i="23"/>
  <c r="K631" i="23" s="1"/>
  <c r="M631" i="23"/>
  <c r="N630" i="23"/>
  <c r="K630" i="23" s="1"/>
  <c r="M630" i="23"/>
  <c r="N629" i="23"/>
  <c r="K629" i="23" s="1"/>
  <c r="M629" i="23"/>
  <c r="N628" i="23"/>
  <c r="K628" i="23" s="1"/>
  <c r="M628" i="23"/>
  <c r="N627" i="23"/>
  <c r="K627" i="23" s="1"/>
  <c r="M627" i="23"/>
  <c r="N626" i="23"/>
  <c r="K626" i="23" s="1"/>
  <c r="M626" i="23"/>
  <c r="N625" i="23"/>
  <c r="K625" i="23" s="1"/>
  <c r="M625" i="23"/>
  <c r="N624" i="23"/>
  <c r="K624" i="23" s="1"/>
  <c r="M624" i="23"/>
  <c r="N623" i="23"/>
  <c r="K623" i="23" s="1"/>
  <c r="M623" i="23"/>
  <c r="N622" i="23"/>
  <c r="K622" i="23" s="1"/>
  <c r="M622" i="23"/>
  <c r="H622" i="23"/>
  <c r="N621" i="23"/>
  <c r="K621" i="23" s="1"/>
  <c r="M621" i="23"/>
  <c r="P620" i="23"/>
  <c r="N620" i="23"/>
  <c r="K620" i="23" s="1"/>
  <c r="M620" i="23"/>
  <c r="P619" i="23"/>
  <c r="N619" i="23"/>
  <c r="K619" i="23" s="1"/>
  <c r="M619" i="23"/>
  <c r="N618" i="23"/>
  <c r="M618" i="23"/>
  <c r="N617" i="23"/>
  <c r="K617" i="23" s="1"/>
  <c r="M617" i="23"/>
  <c r="H617" i="23"/>
  <c r="N616" i="23"/>
  <c r="P616" i="23" s="1"/>
  <c r="M616" i="23"/>
  <c r="K616" i="23"/>
  <c r="N615" i="23"/>
  <c r="P615" i="23" s="1"/>
  <c r="M615" i="23"/>
  <c r="K615" i="23"/>
  <c r="N614" i="23"/>
  <c r="P614" i="23" s="1"/>
  <c r="M614" i="23"/>
  <c r="K614" i="23"/>
  <c r="N613" i="23"/>
  <c r="P613" i="23" s="1"/>
  <c r="M613" i="23"/>
  <c r="K613" i="23"/>
  <c r="H613" i="23"/>
  <c r="N612" i="23"/>
  <c r="M612" i="23"/>
  <c r="N611" i="23"/>
  <c r="M611" i="23"/>
  <c r="N610" i="23"/>
  <c r="M610" i="23"/>
  <c r="N609" i="23"/>
  <c r="M609" i="23"/>
  <c r="N608" i="23"/>
  <c r="M608" i="23"/>
  <c r="H608" i="23"/>
  <c r="N607" i="23"/>
  <c r="M607" i="23"/>
  <c r="N606" i="23"/>
  <c r="M606" i="23"/>
  <c r="N605" i="23"/>
  <c r="M605" i="23"/>
  <c r="N604" i="23"/>
  <c r="M604" i="23"/>
  <c r="N603" i="23"/>
  <c r="M603" i="23"/>
  <c r="N602" i="23"/>
  <c r="M602" i="23"/>
  <c r="N601" i="23"/>
  <c r="M601" i="23"/>
  <c r="N600" i="23"/>
  <c r="M600" i="23"/>
  <c r="N599" i="23"/>
  <c r="M599" i="23"/>
  <c r="N598" i="23"/>
  <c r="M598" i="23"/>
  <c r="N597" i="23"/>
  <c r="M597" i="23"/>
  <c r="N596" i="23"/>
  <c r="M596" i="23"/>
  <c r="N595" i="23"/>
  <c r="M595" i="23"/>
  <c r="N594" i="23"/>
  <c r="M594" i="23"/>
  <c r="H594" i="23"/>
  <c r="P593" i="23"/>
  <c r="N593" i="23"/>
  <c r="K593" i="23" s="1"/>
  <c r="M593" i="23"/>
  <c r="N592" i="23"/>
  <c r="K592" i="23" s="1"/>
  <c r="M592" i="23"/>
  <c r="N591" i="23"/>
  <c r="K591" i="23" s="1"/>
  <c r="M591" i="23"/>
  <c r="P590" i="23"/>
  <c r="N590" i="23"/>
  <c r="K590" i="23" s="1"/>
  <c r="M590" i="23"/>
  <c r="H590" i="23"/>
  <c r="P589" i="23"/>
  <c r="N589" i="23"/>
  <c r="K589" i="23" s="1"/>
  <c r="M589" i="23"/>
  <c r="N588" i="23"/>
  <c r="K588" i="23" s="1"/>
  <c r="M588" i="23"/>
  <c r="N587" i="23"/>
  <c r="K587" i="23" s="1"/>
  <c r="M587" i="23"/>
  <c r="N586" i="23"/>
  <c r="K586" i="23" s="1"/>
  <c r="M586" i="23"/>
  <c r="H586" i="23"/>
  <c r="P585" i="23"/>
  <c r="N585" i="23"/>
  <c r="M585" i="23"/>
  <c r="K585" i="23"/>
  <c r="P584" i="23"/>
  <c r="N584" i="23"/>
  <c r="M584" i="23"/>
  <c r="K584" i="23"/>
  <c r="P583" i="23"/>
  <c r="N583" i="23"/>
  <c r="M583" i="23"/>
  <c r="K583" i="23"/>
  <c r="P582" i="23"/>
  <c r="N582" i="23"/>
  <c r="M582" i="23"/>
  <c r="K582" i="23"/>
  <c r="H582" i="23"/>
  <c r="N581" i="23"/>
  <c r="M581" i="23"/>
  <c r="N580" i="23"/>
  <c r="M580" i="23"/>
  <c r="N579" i="23"/>
  <c r="M579" i="23"/>
  <c r="N578" i="23"/>
  <c r="M578" i="23"/>
  <c r="N577" i="23"/>
  <c r="M577" i="23"/>
  <c r="H577" i="23"/>
  <c r="N576" i="23"/>
  <c r="K576" i="23" s="1"/>
  <c r="M576" i="23"/>
  <c r="N575" i="23"/>
  <c r="M575" i="23"/>
  <c r="N574" i="23"/>
  <c r="K574" i="23" s="1"/>
  <c r="M574" i="23"/>
  <c r="N573" i="23"/>
  <c r="K573" i="23" s="1"/>
  <c r="M573" i="23"/>
  <c r="H573" i="23"/>
  <c r="N572" i="23"/>
  <c r="K572" i="23" s="1"/>
  <c r="M572" i="23"/>
  <c r="N571" i="23"/>
  <c r="K571" i="23" s="1"/>
  <c r="M571" i="23"/>
  <c r="P570" i="23"/>
  <c r="N570" i="23"/>
  <c r="K570" i="23" s="1"/>
  <c r="M570" i="23"/>
  <c r="N569" i="23"/>
  <c r="K569" i="23" s="1"/>
  <c r="M569" i="23"/>
  <c r="N568" i="23"/>
  <c r="K568" i="23" s="1"/>
  <c r="M568" i="23"/>
  <c r="N567" i="23"/>
  <c r="K567" i="23" s="1"/>
  <c r="M567" i="23"/>
  <c r="P566" i="23"/>
  <c r="N566" i="23"/>
  <c r="K566" i="23" s="1"/>
  <c r="M566" i="23"/>
  <c r="N565" i="23"/>
  <c r="K565" i="23" s="1"/>
  <c r="M565" i="23"/>
  <c r="N564" i="23"/>
  <c r="K564" i="23" s="1"/>
  <c r="M564" i="23"/>
  <c r="N563" i="23"/>
  <c r="K563" i="23" s="1"/>
  <c r="M563" i="23"/>
  <c r="P562" i="23"/>
  <c r="N562" i="23"/>
  <c r="K562" i="23" s="1"/>
  <c r="M562" i="23"/>
  <c r="N561" i="23"/>
  <c r="K561" i="23" s="1"/>
  <c r="M561" i="23"/>
  <c r="N560" i="23"/>
  <c r="K560" i="23" s="1"/>
  <c r="M560" i="23"/>
  <c r="N559" i="23"/>
  <c r="K559" i="23" s="1"/>
  <c r="M559" i="23"/>
  <c r="P558" i="23"/>
  <c r="N558" i="23"/>
  <c r="K558" i="23" s="1"/>
  <c r="M558" i="23"/>
  <c r="N557" i="23"/>
  <c r="K557" i="23" s="1"/>
  <c r="M557" i="23"/>
  <c r="N556" i="23"/>
  <c r="K556" i="23" s="1"/>
  <c r="M556" i="23"/>
  <c r="N555" i="23"/>
  <c r="P555" i="23" s="1"/>
  <c r="M555" i="23"/>
  <c r="N554" i="23"/>
  <c r="P554" i="23" s="1"/>
  <c r="M554" i="23"/>
  <c r="N553" i="23"/>
  <c r="P553" i="23" s="1"/>
  <c r="M553" i="23"/>
  <c r="N552" i="23"/>
  <c r="P552" i="23" s="1"/>
  <c r="M552" i="23"/>
  <c r="N551" i="23"/>
  <c r="P551" i="23" s="1"/>
  <c r="M551" i="23"/>
  <c r="N550" i="23"/>
  <c r="P550" i="23" s="1"/>
  <c r="M550" i="23"/>
  <c r="N549" i="23"/>
  <c r="P549" i="23" s="1"/>
  <c r="M549" i="23"/>
  <c r="N548" i="23"/>
  <c r="P548" i="23" s="1"/>
  <c r="M548" i="23"/>
  <c r="N547" i="23"/>
  <c r="P547" i="23" s="1"/>
  <c r="M547" i="23"/>
  <c r="N546" i="23"/>
  <c r="P546" i="23" s="1"/>
  <c r="M546" i="23"/>
  <c r="H546" i="23"/>
  <c r="P545" i="23"/>
  <c r="N545" i="23"/>
  <c r="M545" i="23"/>
  <c r="K545" i="23"/>
  <c r="P544" i="23"/>
  <c r="N544" i="23"/>
  <c r="M544" i="23"/>
  <c r="K544" i="23"/>
  <c r="P543" i="23"/>
  <c r="N543" i="23"/>
  <c r="M543" i="23"/>
  <c r="K543" i="23"/>
  <c r="P542" i="23"/>
  <c r="N542" i="23"/>
  <c r="M542" i="23"/>
  <c r="K542" i="23"/>
  <c r="P541" i="23"/>
  <c r="N541" i="23"/>
  <c r="M541" i="23"/>
  <c r="K541" i="23"/>
  <c r="P540" i="23"/>
  <c r="N540" i="23"/>
  <c r="M540" i="23"/>
  <c r="K540" i="23"/>
  <c r="P539" i="23"/>
  <c r="N539" i="23"/>
  <c r="M539" i="23"/>
  <c r="K539" i="23"/>
  <c r="P538" i="23"/>
  <c r="N538" i="23"/>
  <c r="M538" i="23"/>
  <c r="K538" i="23"/>
  <c r="P537" i="23"/>
  <c r="N537" i="23"/>
  <c r="M537" i="23"/>
  <c r="K537" i="23"/>
  <c r="P536" i="23"/>
  <c r="N536" i="23"/>
  <c r="M536" i="23"/>
  <c r="K536" i="23"/>
  <c r="P535" i="23"/>
  <c r="N535" i="23"/>
  <c r="M535" i="23"/>
  <c r="K535" i="23"/>
  <c r="P534" i="23"/>
  <c r="N534" i="23"/>
  <c r="M534" i="23"/>
  <c r="K534" i="23"/>
  <c r="P533" i="23"/>
  <c r="N533" i="23"/>
  <c r="M533" i="23"/>
  <c r="K533" i="23"/>
  <c r="P532" i="23"/>
  <c r="N532" i="23"/>
  <c r="M532" i="23"/>
  <c r="K532" i="23"/>
  <c r="P531" i="23"/>
  <c r="N531" i="23"/>
  <c r="M531" i="23"/>
  <c r="K531" i="23"/>
  <c r="P530" i="23"/>
  <c r="N530" i="23"/>
  <c r="M530" i="23"/>
  <c r="K530" i="23"/>
  <c r="P529" i="23"/>
  <c r="N529" i="23"/>
  <c r="M529" i="23"/>
  <c r="K529" i="23"/>
  <c r="P528" i="23"/>
  <c r="N528" i="23"/>
  <c r="M528" i="23"/>
  <c r="K528" i="23"/>
  <c r="P527" i="23"/>
  <c r="N527" i="23"/>
  <c r="M527" i="23"/>
  <c r="K527" i="23"/>
  <c r="P526" i="23"/>
  <c r="N526" i="23"/>
  <c r="M526" i="23"/>
  <c r="K526" i="23"/>
  <c r="P525" i="23"/>
  <c r="N525" i="23"/>
  <c r="M525" i="23"/>
  <c r="K525" i="23"/>
  <c r="P524" i="23"/>
  <c r="N524" i="23"/>
  <c r="M524" i="23"/>
  <c r="K524" i="23"/>
  <c r="P523" i="23"/>
  <c r="N523" i="23"/>
  <c r="M523" i="23"/>
  <c r="K523" i="23"/>
  <c r="P522" i="23"/>
  <c r="N522" i="23"/>
  <c r="M522" i="23"/>
  <c r="K522" i="23"/>
  <c r="P521" i="23"/>
  <c r="N521" i="23"/>
  <c r="M521" i="23"/>
  <c r="K521" i="23"/>
  <c r="P520" i="23"/>
  <c r="N520" i="23"/>
  <c r="M520" i="23"/>
  <c r="K520" i="23"/>
  <c r="P519" i="23"/>
  <c r="N519" i="23"/>
  <c r="M519" i="23"/>
  <c r="K519" i="23"/>
  <c r="P518" i="23"/>
  <c r="N518" i="23"/>
  <c r="M518" i="23"/>
  <c r="K518" i="23"/>
  <c r="P517" i="23"/>
  <c r="N517" i="23"/>
  <c r="M517" i="23"/>
  <c r="K517" i="23"/>
  <c r="P516" i="23"/>
  <c r="N516" i="23"/>
  <c r="M516" i="23"/>
  <c r="K516" i="23"/>
  <c r="P515" i="23"/>
  <c r="N515" i="23"/>
  <c r="M515" i="23"/>
  <c r="K515" i="23"/>
  <c r="P514" i="23"/>
  <c r="N514" i="23"/>
  <c r="M514" i="23"/>
  <c r="K514" i="23"/>
  <c r="P513" i="23"/>
  <c r="N513" i="23"/>
  <c r="M513" i="23"/>
  <c r="K513" i="23"/>
  <c r="P512" i="23"/>
  <c r="N512" i="23"/>
  <c r="M512" i="23"/>
  <c r="K512" i="23"/>
  <c r="H512" i="23"/>
  <c r="N511" i="23"/>
  <c r="P511" i="23" s="1"/>
  <c r="M511" i="23"/>
  <c r="K511" i="23"/>
  <c r="N510" i="23"/>
  <c r="P510" i="23" s="1"/>
  <c r="M510" i="23"/>
  <c r="N509" i="23"/>
  <c r="P509" i="23" s="1"/>
  <c r="M509" i="23"/>
  <c r="N508" i="23"/>
  <c r="M508" i="23"/>
  <c r="N507" i="23"/>
  <c r="M507" i="23"/>
  <c r="N506" i="23"/>
  <c r="P506" i="23" s="1"/>
  <c r="M506" i="23"/>
  <c r="N505" i="23"/>
  <c r="P505" i="23" s="1"/>
  <c r="M505" i="23"/>
  <c r="N504" i="23"/>
  <c r="P504" i="23" s="1"/>
  <c r="M504" i="23"/>
  <c r="K504" i="23"/>
  <c r="N503" i="23"/>
  <c r="P503" i="23" s="1"/>
  <c r="M503" i="23"/>
  <c r="K503" i="23"/>
  <c r="N502" i="23"/>
  <c r="P502" i="23" s="1"/>
  <c r="M502" i="23"/>
  <c r="N501" i="23"/>
  <c r="P501" i="23" s="1"/>
  <c r="M501" i="23"/>
  <c r="N500" i="23"/>
  <c r="M500" i="23"/>
  <c r="N499" i="23"/>
  <c r="M499" i="23"/>
  <c r="N498" i="23"/>
  <c r="P498" i="23" s="1"/>
  <c r="M498" i="23"/>
  <c r="N497" i="23"/>
  <c r="P497" i="23" s="1"/>
  <c r="M497" i="23"/>
  <c r="N496" i="23"/>
  <c r="P496" i="23" s="1"/>
  <c r="M496" i="23"/>
  <c r="K496" i="23"/>
  <c r="N495" i="23"/>
  <c r="P495" i="23" s="1"/>
  <c r="M495" i="23"/>
  <c r="K495" i="23"/>
  <c r="N494" i="23"/>
  <c r="P494" i="23" s="1"/>
  <c r="M494" i="23"/>
  <c r="N493" i="23"/>
  <c r="P493" i="23" s="1"/>
  <c r="M493" i="23"/>
  <c r="H493" i="23"/>
  <c r="N492" i="23"/>
  <c r="K492" i="23" s="1"/>
  <c r="M492" i="23"/>
  <c r="N491" i="23"/>
  <c r="K491" i="23" s="1"/>
  <c r="M491" i="23"/>
  <c r="N490" i="23"/>
  <c r="K490" i="23" s="1"/>
  <c r="M490" i="23"/>
  <c r="N489" i="23"/>
  <c r="K489" i="23" s="1"/>
  <c r="M489" i="23"/>
  <c r="N488" i="23"/>
  <c r="K488" i="23" s="1"/>
  <c r="M488" i="23"/>
  <c r="N487" i="23"/>
  <c r="K487" i="23" s="1"/>
  <c r="M487" i="23"/>
  <c r="N486" i="23"/>
  <c r="M486" i="23"/>
  <c r="N485" i="23"/>
  <c r="K485" i="23" s="1"/>
  <c r="M485" i="23"/>
  <c r="N484" i="23"/>
  <c r="M484" i="23"/>
  <c r="N483" i="23"/>
  <c r="K483" i="23" s="1"/>
  <c r="M483" i="23"/>
  <c r="P482" i="23"/>
  <c r="N482" i="23"/>
  <c r="K482" i="23" s="1"/>
  <c r="M482" i="23"/>
  <c r="N481" i="23"/>
  <c r="K481" i="23" s="1"/>
  <c r="M481" i="23"/>
  <c r="N480" i="23"/>
  <c r="M480" i="23"/>
  <c r="H480" i="23"/>
  <c r="N479" i="23"/>
  <c r="M479" i="23"/>
  <c r="N478" i="23"/>
  <c r="M478" i="23"/>
  <c r="N477" i="23"/>
  <c r="M477" i="23"/>
  <c r="N476" i="23"/>
  <c r="M476" i="23"/>
  <c r="N475" i="23"/>
  <c r="M475" i="23"/>
  <c r="N474" i="23"/>
  <c r="M474" i="23"/>
  <c r="N473" i="23"/>
  <c r="M473" i="23"/>
  <c r="N472" i="23"/>
  <c r="M472" i="23"/>
  <c r="N471" i="23"/>
  <c r="M471" i="23"/>
  <c r="N470" i="23"/>
  <c r="M470" i="23"/>
  <c r="N469" i="23"/>
  <c r="M469" i="23"/>
  <c r="N468" i="23"/>
  <c r="M468" i="23"/>
  <c r="N467" i="23"/>
  <c r="M467" i="23"/>
  <c r="N466" i="23"/>
  <c r="M466" i="23"/>
  <c r="N465" i="23"/>
  <c r="M465" i="23"/>
  <c r="N464" i="23"/>
  <c r="M464" i="23"/>
  <c r="N463" i="23"/>
  <c r="M463" i="23"/>
  <c r="N462" i="23"/>
  <c r="M462" i="23"/>
  <c r="H462" i="23"/>
  <c r="N461" i="23"/>
  <c r="M461" i="23"/>
  <c r="N460" i="23"/>
  <c r="M460" i="23"/>
  <c r="N459" i="23"/>
  <c r="M459" i="23"/>
  <c r="N458" i="23"/>
  <c r="M458" i="23"/>
  <c r="N457" i="23"/>
  <c r="M457" i="23"/>
  <c r="N456" i="23"/>
  <c r="M456" i="23"/>
  <c r="N455" i="23"/>
  <c r="M455" i="23"/>
  <c r="N454" i="23"/>
  <c r="M454" i="23"/>
  <c r="N453" i="23"/>
  <c r="M453" i="23"/>
  <c r="N452" i="23"/>
  <c r="M452" i="23"/>
  <c r="N451" i="23"/>
  <c r="M451" i="23"/>
  <c r="N450" i="23"/>
  <c r="M450" i="23"/>
  <c r="N449" i="23"/>
  <c r="M449" i="23"/>
  <c r="N448" i="23"/>
  <c r="M448" i="23"/>
  <c r="N447" i="23"/>
  <c r="M447" i="23"/>
  <c r="N446" i="23"/>
  <c r="M446" i="23"/>
  <c r="H446" i="23"/>
  <c r="N445" i="23"/>
  <c r="M445" i="23"/>
  <c r="N444" i="23"/>
  <c r="M444" i="23"/>
  <c r="N443" i="23"/>
  <c r="P443" i="23" s="1"/>
  <c r="M443" i="23"/>
  <c r="N442" i="23"/>
  <c r="P442" i="23" s="1"/>
  <c r="M442" i="23"/>
  <c r="K442" i="23"/>
  <c r="N441" i="23"/>
  <c r="P441" i="23" s="1"/>
  <c r="M441" i="23"/>
  <c r="K441" i="23"/>
  <c r="N440" i="23"/>
  <c r="M440" i="23"/>
  <c r="N439" i="23"/>
  <c r="M439" i="23"/>
  <c r="N438" i="23"/>
  <c r="M438" i="23"/>
  <c r="N437" i="23"/>
  <c r="M437" i="23"/>
  <c r="N436" i="23"/>
  <c r="M436" i="23"/>
  <c r="N435" i="23"/>
  <c r="M435" i="23"/>
  <c r="N434" i="23"/>
  <c r="P434" i="23" s="1"/>
  <c r="M434" i="23"/>
  <c r="K434" i="23"/>
  <c r="N433" i="23"/>
  <c r="P433" i="23" s="1"/>
  <c r="M433" i="23"/>
  <c r="K433" i="23"/>
  <c r="N432" i="23"/>
  <c r="M432" i="23"/>
  <c r="N431" i="23"/>
  <c r="M431" i="23"/>
  <c r="N430" i="23"/>
  <c r="M430" i="23"/>
  <c r="N429" i="23"/>
  <c r="M429" i="23"/>
  <c r="N428" i="23"/>
  <c r="P428" i="23" s="1"/>
  <c r="M428" i="23"/>
  <c r="K428" i="23"/>
  <c r="N427" i="23"/>
  <c r="P427" i="23" s="1"/>
  <c r="M427" i="23"/>
  <c r="K427" i="23"/>
  <c r="N426" i="23"/>
  <c r="M426" i="23"/>
  <c r="N425" i="23"/>
  <c r="M425" i="23"/>
  <c r="N424" i="23"/>
  <c r="P424" i="23" s="1"/>
  <c r="M424" i="23"/>
  <c r="K424" i="23"/>
  <c r="N423" i="23"/>
  <c r="P423" i="23" s="1"/>
  <c r="M423" i="23"/>
  <c r="K423" i="23"/>
  <c r="N422" i="23"/>
  <c r="M422" i="23"/>
  <c r="N421" i="23"/>
  <c r="M421" i="23"/>
  <c r="N420" i="23"/>
  <c r="P420" i="23" s="1"/>
  <c r="M420" i="23"/>
  <c r="K420" i="23"/>
  <c r="H420" i="23"/>
  <c r="N419" i="23"/>
  <c r="M419" i="23"/>
  <c r="N418" i="23"/>
  <c r="M418" i="23"/>
  <c r="N417" i="23"/>
  <c r="M417" i="23"/>
  <c r="N416" i="23"/>
  <c r="M416" i="23"/>
  <c r="N415" i="23"/>
  <c r="M415" i="23"/>
  <c r="N414" i="23"/>
  <c r="M414" i="23"/>
  <c r="N413" i="23"/>
  <c r="M413" i="23"/>
  <c r="N412" i="23"/>
  <c r="M412" i="23"/>
  <c r="N411" i="23"/>
  <c r="M411" i="23"/>
  <c r="N410" i="23"/>
  <c r="M410" i="23"/>
  <c r="N409" i="23"/>
  <c r="M409" i="23"/>
  <c r="N408" i="23"/>
  <c r="M408" i="23"/>
  <c r="N407" i="23"/>
  <c r="M407" i="23"/>
  <c r="N406" i="23"/>
  <c r="M406" i="23"/>
  <c r="N405" i="23"/>
  <c r="M405" i="23"/>
  <c r="N404" i="23"/>
  <c r="M404" i="23"/>
  <c r="N403" i="23"/>
  <c r="M403" i="23"/>
  <c r="N402" i="23"/>
  <c r="M402" i="23"/>
  <c r="N401" i="23"/>
  <c r="M401" i="23"/>
  <c r="N400" i="23"/>
  <c r="M400" i="23"/>
  <c r="N399" i="23"/>
  <c r="M399" i="23"/>
  <c r="H399" i="23"/>
  <c r="N398" i="23"/>
  <c r="K398" i="23" s="1"/>
  <c r="M398" i="23"/>
  <c r="P397" i="23"/>
  <c r="N397" i="23"/>
  <c r="K397" i="23" s="1"/>
  <c r="M397" i="23"/>
  <c r="N396" i="23"/>
  <c r="K396" i="23" s="1"/>
  <c r="M396" i="23"/>
  <c r="N395" i="23"/>
  <c r="K395" i="23" s="1"/>
  <c r="M395" i="23"/>
  <c r="P394" i="23"/>
  <c r="N394" i="23"/>
  <c r="K394" i="23" s="1"/>
  <c r="M394" i="23"/>
  <c r="N393" i="23"/>
  <c r="K393" i="23" s="1"/>
  <c r="M393" i="23"/>
  <c r="N392" i="23"/>
  <c r="M392" i="23"/>
  <c r="H392" i="23"/>
  <c r="N391" i="23"/>
  <c r="M391" i="23"/>
  <c r="N390" i="23"/>
  <c r="M390" i="23"/>
  <c r="N389" i="23"/>
  <c r="M389" i="23"/>
  <c r="N388" i="23"/>
  <c r="M388" i="23"/>
  <c r="N387" i="23"/>
  <c r="M387" i="23"/>
  <c r="N386" i="23"/>
  <c r="M386" i="23"/>
  <c r="N385" i="23"/>
  <c r="M385" i="23"/>
  <c r="N384" i="23"/>
  <c r="M384" i="23"/>
  <c r="N383" i="23"/>
  <c r="M383" i="23"/>
  <c r="N382" i="23"/>
  <c r="M382" i="23"/>
  <c r="N381" i="23"/>
  <c r="M381" i="23"/>
  <c r="H381" i="23"/>
  <c r="N380" i="23"/>
  <c r="M380" i="23"/>
  <c r="N379" i="23"/>
  <c r="P379" i="23" s="1"/>
  <c r="M379" i="23"/>
  <c r="K379" i="23"/>
  <c r="N378" i="23"/>
  <c r="P378" i="23" s="1"/>
  <c r="M378" i="23"/>
  <c r="K378" i="23"/>
  <c r="N377" i="23"/>
  <c r="M377" i="23"/>
  <c r="N376" i="23"/>
  <c r="M376" i="23"/>
  <c r="N375" i="23"/>
  <c r="P375" i="23" s="1"/>
  <c r="M375" i="23"/>
  <c r="K375" i="23"/>
  <c r="N374" i="23"/>
  <c r="P374" i="23" s="1"/>
  <c r="M374" i="23"/>
  <c r="K374" i="23"/>
  <c r="N373" i="23"/>
  <c r="M373" i="23"/>
  <c r="N372" i="23"/>
  <c r="M372" i="23"/>
  <c r="N371" i="23"/>
  <c r="P371" i="23" s="1"/>
  <c r="M371" i="23"/>
  <c r="K371" i="23"/>
  <c r="N370" i="23"/>
  <c r="P370" i="23" s="1"/>
  <c r="M370" i="23"/>
  <c r="K370" i="23"/>
  <c r="N369" i="23"/>
  <c r="M369" i="23"/>
  <c r="N368" i="23"/>
  <c r="M368" i="23"/>
  <c r="N367" i="23"/>
  <c r="P367" i="23" s="1"/>
  <c r="M367" i="23"/>
  <c r="K367" i="23"/>
  <c r="N366" i="23"/>
  <c r="P366" i="23" s="1"/>
  <c r="M366" i="23"/>
  <c r="K366" i="23"/>
  <c r="N365" i="23"/>
  <c r="M365" i="23"/>
  <c r="N364" i="23"/>
  <c r="M364" i="23"/>
  <c r="N363" i="23"/>
  <c r="P363" i="23" s="1"/>
  <c r="M363" i="23"/>
  <c r="N362" i="23"/>
  <c r="M362" i="23"/>
  <c r="N361" i="23"/>
  <c r="M361" i="23"/>
  <c r="N360" i="23"/>
  <c r="P360" i="23" s="1"/>
  <c r="M360" i="23"/>
  <c r="N359" i="23"/>
  <c r="P359" i="23" s="1"/>
  <c r="M359" i="23"/>
  <c r="N358" i="23"/>
  <c r="P358" i="23" s="1"/>
  <c r="M358" i="23"/>
  <c r="K358" i="23"/>
  <c r="N357" i="23"/>
  <c r="P357" i="23" s="1"/>
  <c r="M357" i="23"/>
  <c r="K357" i="23"/>
  <c r="N356" i="23"/>
  <c r="P356" i="23" s="1"/>
  <c r="M356" i="23"/>
  <c r="N355" i="23"/>
  <c r="P355" i="23" s="1"/>
  <c r="M355" i="23"/>
  <c r="N354" i="23"/>
  <c r="M354" i="23"/>
  <c r="N353" i="23"/>
  <c r="M353" i="23"/>
  <c r="N352" i="23"/>
  <c r="P352" i="23" s="1"/>
  <c r="M352" i="23"/>
  <c r="N351" i="23"/>
  <c r="P351" i="23" s="1"/>
  <c r="M351" i="23"/>
  <c r="N350" i="23"/>
  <c r="P350" i="23" s="1"/>
  <c r="M350" i="23"/>
  <c r="K350" i="23"/>
  <c r="N349" i="23"/>
  <c r="P349" i="23" s="1"/>
  <c r="M349" i="23"/>
  <c r="K349" i="23"/>
  <c r="H349" i="23"/>
  <c r="N348" i="23"/>
  <c r="K348" i="23" s="1"/>
  <c r="M348" i="23"/>
  <c r="P347" i="23"/>
  <c r="N347" i="23"/>
  <c r="K347" i="23" s="1"/>
  <c r="M347" i="23"/>
  <c r="P346" i="23"/>
  <c r="N346" i="23"/>
  <c r="K346" i="23" s="1"/>
  <c r="M346" i="23"/>
  <c r="N345" i="23"/>
  <c r="K345" i="23" s="1"/>
  <c r="M345" i="23"/>
  <c r="P344" i="23"/>
  <c r="N344" i="23"/>
  <c r="K344" i="23" s="1"/>
  <c r="M344" i="23"/>
  <c r="P343" i="23"/>
  <c r="N343" i="23"/>
  <c r="K343" i="23" s="1"/>
  <c r="M343" i="23"/>
  <c r="N342" i="23"/>
  <c r="M342" i="23"/>
  <c r="N341" i="23"/>
  <c r="K341" i="23" s="1"/>
  <c r="M341" i="23"/>
  <c r="N340" i="23"/>
  <c r="K340" i="23" s="1"/>
  <c r="M340" i="23"/>
  <c r="N339" i="23"/>
  <c r="M339" i="23"/>
  <c r="N338" i="23"/>
  <c r="M338" i="23"/>
  <c r="N337" i="23"/>
  <c r="M337" i="23"/>
  <c r="N336" i="23"/>
  <c r="M336" i="23"/>
  <c r="N335" i="23"/>
  <c r="M335" i="23"/>
  <c r="N334" i="23"/>
  <c r="M334" i="23"/>
  <c r="N333" i="23"/>
  <c r="M333" i="23"/>
  <c r="H333" i="23"/>
  <c r="N332" i="23"/>
  <c r="K332" i="23" s="1"/>
  <c r="M332" i="23"/>
  <c r="P331" i="23"/>
  <c r="N331" i="23"/>
  <c r="K331" i="23" s="1"/>
  <c r="M331" i="23"/>
  <c r="N330" i="23"/>
  <c r="K330" i="23" s="1"/>
  <c r="M330" i="23"/>
  <c r="N329" i="23"/>
  <c r="K329" i="23" s="1"/>
  <c r="M329" i="23"/>
  <c r="N328" i="23"/>
  <c r="K328" i="23" s="1"/>
  <c r="M328" i="23"/>
  <c r="P327" i="23"/>
  <c r="N327" i="23"/>
  <c r="K327" i="23" s="1"/>
  <c r="M327" i="23"/>
  <c r="N326" i="23"/>
  <c r="K326" i="23" s="1"/>
  <c r="M326" i="23"/>
  <c r="N325" i="23"/>
  <c r="K325" i="23" s="1"/>
  <c r="M325" i="23"/>
  <c r="N324" i="23"/>
  <c r="K324" i="23" s="1"/>
  <c r="M324" i="23"/>
  <c r="P323" i="23"/>
  <c r="N323" i="23"/>
  <c r="K323" i="23" s="1"/>
  <c r="M323" i="23"/>
  <c r="N322" i="23"/>
  <c r="K322" i="23" s="1"/>
  <c r="M322" i="23"/>
  <c r="N321" i="23"/>
  <c r="K321" i="23" s="1"/>
  <c r="M321" i="23"/>
  <c r="N320" i="23"/>
  <c r="K320" i="23" s="1"/>
  <c r="M320" i="23"/>
  <c r="P319" i="23"/>
  <c r="N319" i="23"/>
  <c r="K319" i="23" s="1"/>
  <c r="M319" i="23"/>
  <c r="N318" i="23"/>
  <c r="K318" i="23" s="1"/>
  <c r="M318" i="23"/>
  <c r="N317" i="23"/>
  <c r="K317" i="23" s="1"/>
  <c r="M317" i="23"/>
  <c r="N316" i="23"/>
  <c r="K316" i="23" s="1"/>
  <c r="M316" i="23"/>
  <c r="P315" i="23"/>
  <c r="N315" i="23"/>
  <c r="K315" i="23" s="1"/>
  <c r="M315" i="23"/>
  <c r="N314" i="23"/>
  <c r="K314" i="23" s="1"/>
  <c r="M314" i="23"/>
  <c r="N313" i="23"/>
  <c r="K313" i="23" s="1"/>
  <c r="M313" i="23"/>
  <c r="N312" i="23"/>
  <c r="K312" i="23" s="1"/>
  <c r="M312" i="23"/>
  <c r="P311" i="23"/>
  <c r="N311" i="23"/>
  <c r="K311" i="23" s="1"/>
  <c r="M311" i="23"/>
  <c r="N310" i="23"/>
  <c r="K310" i="23" s="1"/>
  <c r="M310" i="23"/>
  <c r="N309" i="23"/>
  <c r="K309" i="23" s="1"/>
  <c r="M309" i="23"/>
  <c r="N308" i="23"/>
  <c r="K308" i="23" s="1"/>
  <c r="M308" i="23"/>
  <c r="P307" i="23"/>
  <c r="N307" i="23"/>
  <c r="K307" i="23" s="1"/>
  <c r="M307" i="23"/>
  <c r="N306" i="23"/>
  <c r="K306" i="23" s="1"/>
  <c r="M306" i="23"/>
  <c r="N305" i="23"/>
  <c r="K305" i="23" s="1"/>
  <c r="M305" i="23"/>
  <c r="N304" i="23"/>
  <c r="K304" i="23" s="1"/>
  <c r="M304" i="23"/>
  <c r="P303" i="23"/>
  <c r="N303" i="23"/>
  <c r="K303" i="23" s="1"/>
  <c r="M303" i="23"/>
  <c r="N302" i="23"/>
  <c r="K302" i="23" s="1"/>
  <c r="M302" i="23"/>
  <c r="N301" i="23"/>
  <c r="K301" i="23" s="1"/>
  <c r="M301" i="23"/>
  <c r="N300" i="23"/>
  <c r="K300" i="23" s="1"/>
  <c r="M300" i="23"/>
  <c r="P299" i="23"/>
  <c r="N299" i="23"/>
  <c r="K299" i="23" s="1"/>
  <c r="M299" i="23"/>
  <c r="N298" i="23"/>
  <c r="K298" i="23" s="1"/>
  <c r="M298" i="23"/>
  <c r="N297" i="23"/>
  <c r="K297" i="23" s="1"/>
  <c r="M297" i="23"/>
  <c r="H297" i="23"/>
  <c r="N296" i="23"/>
  <c r="K296" i="23" s="1"/>
  <c r="M296" i="23"/>
  <c r="N295" i="23"/>
  <c r="K295" i="23" s="1"/>
  <c r="M295" i="23"/>
  <c r="N294" i="23"/>
  <c r="K294" i="23" s="1"/>
  <c r="M294" i="23"/>
  <c r="N293" i="23"/>
  <c r="K293" i="23" s="1"/>
  <c r="M293" i="23"/>
  <c r="N292" i="23"/>
  <c r="K292" i="23" s="1"/>
  <c r="M292" i="23"/>
  <c r="N291" i="23"/>
  <c r="K291" i="23" s="1"/>
  <c r="M291" i="23"/>
  <c r="N290" i="23"/>
  <c r="K290" i="23" s="1"/>
  <c r="M290" i="23"/>
  <c r="N289" i="23"/>
  <c r="K289" i="23" s="1"/>
  <c r="M289" i="23"/>
  <c r="N288" i="23"/>
  <c r="K288" i="23" s="1"/>
  <c r="M288" i="23"/>
  <c r="N287" i="23"/>
  <c r="K287" i="23" s="1"/>
  <c r="M287" i="23"/>
  <c r="N286" i="23"/>
  <c r="K286" i="23" s="1"/>
  <c r="M286" i="23"/>
  <c r="N285" i="23"/>
  <c r="K285" i="23" s="1"/>
  <c r="M285" i="23"/>
  <c r="N284" i="23"/>
  <c r="K284" i="23" s="1"/>
  <c r="M284" i="23"/>
  <c r="N283" i="23"/>
  <c r="K283" i="23" s="1"/>
  <c r="M283" i="23"/>
  <c r="N282" i="23"/>
  <c r="K282" i="23" s="1"/>
  <c r="M282" i="23"/>
  <c r="N281" i="23"/>
  <c r="K281" i="23" s="1"/>
  <c r="M281" i="23"/>
  <c r="N280" i="23"/>
  <c r="K280" i="23" s="1"/>
  <c r="M280" i="23"/>
  <c r="N279" i="23"/>
  <c r="K279" i="23" s="1"/>
  <c r="M279" i="23"/>
  <c r="N278" i="23"/>
  <c r="K278" i="23" s="1"/>
  <c r="M278" i="23"/>
  <c r="N277" i="23"/>
  <c r="K277" i="23" s="1"/>
  <c r="M277" i="23"/>
  <c r="N276" i="23"/>
  <c r="K276" i="23" s="1"/>
  <c r="M276" i="23"/>
  <c r="N275" i="23"/>
  <c r="K275" i="23" s="1"/>
  <c r="M275" i="23"/>
  <c r="N274" i="23"/>
  <c r="K274" i="23" s="1"/>
  <c r="M274" i="23"/>
  <c r="N273" i="23"/>
  <c r="K273" i="23" s="1"/>
  <c r="M273" i="23"/>
  <c r="N272" i="23"/>
  <c r="K272" i="23" s="1"/>
  <c r="M272" i="23"/>
  <c r="N271" i="23"/>
  <c r="K271" i="23" s="1"/>
  <c r="M271" i="23"/>
  <c r="N270" i="23"/>
  <c r="K270" i="23" s="1"/>
  <c r="M270" i="23"/>
  <c r="N269" i="23"/>
  <c r="K269" i="23" s="1"/>
  <c r="M269" i="23"/>
  <c r="N268" i="23"/>
  <c r="K268" i="23" s="1"/>
  <c r="M268" i="23"/>
  <c r="N267" i="23"/>
  <c r="K267" i="23" s="1"/>
  <c r="M267" i="23"/>
  <c r="N266" i="23"/>
  <c r="K266" i="23" s="1"/>
  <c r="M266" i="23"/>
  <c r="N265" i="23"/>
  <c r="K265" i="23" s="1"/>
  <c r="M265" i="23"/>
  <c r="N264" i="23"/>
  <c r="K264" i="23" s="1"/>
  <c r="M264" i="23"/>
  <c r="N263" i="23"/>
  <c r="K263" i="23" s="1"/>
  <c r="M263" i="23"/>
  <c r="N262" i="23"/>
  <c r="K262" i="23" s="1"/>
  <c r="M262" i="23"/>
  <c r="H262" i="23"/>
  <c r="N261" i="23"/>
  <c r="K261" i="23" s="1"/>
  <c r="M261" i="23"/>
  <c r="N260" i="23"/>
  <c r="M260" i="23"/>
  <c r="N259" i="23"/>
  <c r="K259" i="23" s="1"/>
  <c r="M259" i="23"/>
  <c r="P258" i="23"/>
  <c r="N258" i="23"/>
  <c r="K258" i="23" s="1"/>
  <c r="M258" i="23"/>
  <c r="N257" i="23"/>
  <c r="K257" i="23" s="1"/>
  <c r="M257" i="23"/>
  <c r="N256" i="23"/>
  <c r="M256" i="23"/>
  <c r="N255" i="23"/>
  <c r="K255" i="23" s="1"/>
  <c r="M255" i="23"/>
  <c r="P254" i="23"/>
  <c r="N254" i="23"/>
  <c r="K254" i="23" s="1"/>
  <c r="M254" i="23"/>
  <c r="N253" i="23"/>
  <c r="K253" i="23" s="1"/>
  <c r="M253" i="23"/>
  <c r="N252" i="23"/>
  <c r="M252" i="23"/>
  <c r="N251" i="23"/>
  <c r="K251" i="23" s="1"/>
  <c r="M251" i="23"/>
  <c r="P250" i="23"/>
  <c r="N250" i="23"/>
  <c r="K250" i="23" s="1"/>
  <c r="M250" i="23"/>
  <c r="N249" i="23"/>
  <c r="K249" i="23" s="1"/>
  <c r="M249" i="23"/>
  <c r="N248" i="23"/>
  <c r="M248" i="23"/>
  <c r="N247" i="23"/>
  <c r="K247" i="23" s="1"/>
  <c r="M247" i="23"/>
  <c r="P246" i="23"/>
  <c r="N246" i="23"/>
  <c r="K246" i="23" s="1"/>
  <c r="M246" i="23"/>
  <c r="N245" i="23"/>
  <c r="K245" i="23" s="1"/>
  <c r="M245" i="23"/>
  <c r="N244" i="23"/>
  <c r="M244" i="23"/>
  <c r="N243" i="23"/>
  <c r="K243" i="23" s="1"/>
  <c r="M243" i="23"/>
  <c r="P242" i="23"/>
  <c r="N242" i="23"/>
  <c r="K242" i="23" s="1"/>
  <c r="M242" i="23"/>
  <c r="H242" i="23"/>
  <c r="P241" i="23"/>
  <c r="N241" i="23"/>
  <c r="M241" i="23"/>
  <c r="K241" i="23"/>
  <c r="P240" i="23"/>
  <c r="N240" i="23"/>
  <c r="M240" i="23"/>
  <c r="K240" i="23"/>
  <c r="P239" i="23"/>
  <c r="N239" i="23"/>
  <c r="M239" i="23"/>
  <c r="K239" i="23"/>
  <c r="P238" i="23"/>
  <c r="N238" i="23"/>
  <c r="M238" i="23"/>
  <c r="K238" i="23"/>
  <c r="P237" i="23"/>
  <c r="N237" i="23"/>
  <c r="M237" i="23"/>
  <c r="K237" i="23"/>
  <c r="P236" i="23"/>
  <c r="N236" i="23"/>
  <c r="M236" i="23"/>
  <c r="K236" i="23"/>
  <c r="P235" i="23"/>
  <c r="N235" i="23"/>
  <c r="M235" i="23"/>
  <c r="K235" i="23"/>
  <c r="P234" i="23"/>
  <c r="N234" i="23"/>
  <c r="M234" i="23"/>
  <c r="K234" i="23"/>
  <c r="P233" i="23"/>
  <c r="N233" i="23"/>
  <c r="M233" i="23"/>
  <c r="K233" i="23"/>
  <c r="P232" i="23"/>
  <c r="N232" i="23"/>
  <c r="M232" i="23"/>
  <c r="K232" i="23"/>
  <c r="P231" i="23"/>
  <c r="N231" i="23"/>
  <c r="M231" i="23"/>
  <c r="K231" i="23"/>
  <c r="P230" i="23"/>
  <c r="N230" i="23"/>
  <c r="M230" i="23"/>
  <c r="K230" i="23"/>
  <c r="P229" i="23"/>
  <c r="N229" i="23"/>
  <c r="M229" i="23"/>
  <c r="K229" i="23"/>
  <c r="P228" i="23"/>
  <c r="N228" i="23"/>
  <c r="M228" i="23"/>
  <c r="K228" i="23"/>
  <c r="P227" i="23"/>
  <c r="N227" i="23"/>
  <c r="M227" i="23"/>
  <c r="K227" i="23"/>
  <c r="P226" i="23"/>
  <c r="N226" i="23"/>
  <c r="M226" i="23"/>
  <c r="K226" i="23"/>
  <c r="P225" i="23"/>
  <c r="N225" i="23"/>
  <c r="M225" i="23"/>
  <c r="K225" i="23"/>
  <c r="P224" i="23"/>
  <c r="N224" i="23"/>
  <c r="M224" i="23"/>
  <c r="K224" i="23"/>
  <c r="P223" i="23"/>
  <c r="N223" i="23"/>
  <c r="M223" i="23"/>
  <c r="K223" i="23"/>
  <c r="P222" i="23"/>
  <c r="N222" i="23"/>
  <c r="M222" i="23"/>
  <c r="K222" i="23"/>
  <c r="P221" i="23"/>
  <c r="N221" i="23"/>
  <c r="M221" i="23"/>
  <c r="K221" i="23"/>
  <c r="P220" i="23"/>
  <c r="N220" i="23"/>
  <c r="M220" i="23"/>
  <c r="K220" i="23"/>
  <c r="P219" i="23"/>
  <c r="N219" i="23"/>
  <c r="M219" i="23"/>
  <c r="K219" i="23"/>
  <c r="P218" i="23"/>
  <c r="N218" i="23"/>
  <c r="M218" i="23"/>
  <c r="K218" i="23"/>
  <c r="P217" i="23"/>
  <c r="N217" i="23"/>
  <c r="M217" i="23"/>
  <c r="K217" i="23"/>
  <c r="P216" i="23"/>
  <c r="N216" i="23"/>
  <c r="M216" i="23"/>
  <c r="K216" i="23"/>
  <c r="P215" i="23"/>
  <c r="N215" i="23"/>
  <c r="M215" i="23"/>
  <c r="K215" i="23"/>
  <c r="P214" i="23"/>
  <c r="N214" i="23"/>
  <c r="M214" i="23"/>
  <c r="K214" i="23"/>
  <c r="P213" i="23"/>
  <c r="N213" i="23"/>
  <c r="M213" i="23"/>
  <c r="K213" i="23"/>
  <c r="P212" i="23"/>
  <c r="N212" i="23"/>
  <c r="M212" i="23"/>
  <c r="K212" i="23"/>
  <c r="P211" i="23"/>
  <c r="N211" i="23"/>
  <c r="M211" i="23"/>
  <c r="K211" i="23"/>
  <c r="P210" i="23"/>
  <c r="N210" i="23"/>
  <c r="M210" i="23"/>
  <c r="K210" i="23"/>
  <c r="P209" i="23"/>
  <c r="N209" i="23"/>
  <c r="M209" i="23"/>
  <c r="K209" i="23"/>
  <c r="P208" i="23"/>
  <c r="N208" i="23"/>
  <c r="M208" i="23"/>
  <c r="K208" i="23"/>
  <c r="P207" i="23"/>
  <c r="N207" i="23"/>
  <c r="M207" i="23"/>
  <c r="K207" i="23"/>
  <c r="P206" i="23"/>
  <c r="N206" i="23"/>
  <c r="M206" i="23"/>
  <c r="K206" i="23"/>
  <c r="P205" i="23"/>
  <c r="N205" i="23"/>
  <c r="M205" i="23"/>
  <c r="K205" i="23"/>
  <c r="P204" i="23"/>
  <c r="N204" i="23"/>
  <c r="M204" i="23"/>
  <c r="K204" i="23"/>
  <c r="P203" i="23"/>
  <c r="N203" i="23"/>
  <c r="M203" i="23"/>
  <c r="K203" i="23"/>
  <c r="P202" i="23"/>
  <c r="N202" i="23"/>
  <c r="M202" i="23"/>
  <c r="K202" i="23"/>
  <c r="P201" i="23"/>
  <c r="N201" i="23"/>
  <c r="M201" i="23"/>
  <c r="K201" i="23"/>
  <c r="P200" i="23"/>
  <c r="N200" i="23"/>
  <c r="M200" i="23"/>
  <c r="K200" i="23"/>
  <c r="P199" i="23"/>
  <c r="N199" i="23"/>
  <c r="M199" i="23"/>
  <c r="K199" i="23"/>
  <c r="H199" i="23"/>
  <c r="N198" i="23"/>
  <c r="P198" i="23" s="1"/>
  <c r="M198" i="23"/>
  <c r="K198" i="23"/>
  <c r="N197" i="23"/>
  <c r="P197" i="23" s="1"/>
  <c r="M197" i="23"/>
  <c r="K197" i="23"/>
  <c r="N196" i="23"/>
  <c r="P196" i="23" s="1"/>
  <c r="M196" i="23"/>
  <c r="K196" i="23"/>
  <c r="N195" i="23"/>
  <c r="P195" i="23" s="1"/>
  <c r="M195" i="23"/>
  <c r="K195" i="23"/>
  <c r="N194" i="23"/>
  <c r="P194" i="23" s="1"/>
  <c r="M194" i="23"/>
  <c r="K194" i="23"/>
  <c r="N193" i="23"/>
  <c r="P193" i="23" s="1"/>
  <c r="M193" i="23"/>
  <c r="K193" i="23"/>
  <c r="N192" i="23"/>
  <c r="P192" i="23" s="1"/>
  <c r="M192" i="23"/>
  <c r="K192" i="23"/>
  <c r="N191" i="23"/>
  <c r="P191" i="23" s="1"/>
  <c r="M191" i="23"/>
  <c r="K191" i="23"/>
  <c r="N190" i="23"/>
  <c r="P190" i="23" s="1"/>
  <c r="M190" i="23"/>
  <c r="K190" i="23"/>
  <c r="N189" i="23"/>
  <c r="P189" i="23" s="1"/>
  <c r="M189" i="23"/>
  <c r="K189" i="23"/>
  <c r="N188" i="23"/>
  <c r="P188" i="23" s="1"/>
  <c r="M188" i="23"/>
  <c r="K188" i="23"/>
  <c r="N187" i="23"/>
  <c r="P187" i="23" s="1"/>
  <c r="M187" i="23"/>
  <c r="K187" i="23"/>
  <c r="N186" i="23"/>
  <c r="P186" i="23" s="1"/>
  <c r="M186" i="23"/>
  <c r="K186" i="23"/>
  <c r="N185" i="23"/>
  <c r="P185" i="23" s="1"/>
  <c r="M185" i="23"/>
  <c r="K185" i="23"/>
  <c r="N184" i="23"/>
  <c r="P184" i="23" s="1"/>
  <c r="M184" i="23"/>
  <c r="K184" i="23"/>
  <c r="N183" i="23"/>
  <c r="P183" i="23" s="1"/>
  <c r="M183" i="23"/>
  <c r="K183" i="23"/>
  <c r="N182" i="23"/>
  <c r="P182" i="23" s="1"/>
  <c r="M182" i="23"/>
  <c r="K182" i="23"/>
  <c r="N181" i="23"/>
  <c r="P181" i="23" s="1"/>
  <c r="M181" i="23"/>
  <c r="K181" i="23"/>
  <c r="N180" i="23"/>
  <c r="P180" i="23" s="1"/>
  <c r="M180" i="23"/>
  <c r="K180" i="23"/>
  <c r="H180" i="23"/>
  <c r="N179" i="23"/>
  <c r="K179" i="23" s="1"/>
  <c r="M179" i="23"/>
  <c r="N178" i="23"/>
  <c r="K178" i="23" s="1"/>
  <c r="M178" i="23"/>
  <c r="N177" i="23"/>
  <c r="K177" i="23" s="1"/>
  <c r="M177" i="23"/>
  <c r="N176" i="23"/>
  <c r="K176" i="23" s="1"/>
  <c r="M176" i="23"/>
  <c r="N175" i="23"/>
  <c r="K175" i="23" s="1"/>
  <c r="M175" i="23"/>
  <c r="N174" i="23"/>
  <c r="K174" i="23" s="1"/>
  <c r="M174" i="23"/>
  <c r="N173" i="23"/>
  <c r="K173" i="23" s="1"/>
  <c r="M173" i="23"/>
  <c r="N172" i="23"/>
  <c r="K172" i="23" s="1"/>
  <c r="M172" i="23"/>
  <c r="N171" i="23"/>
  <c r="K171" i="23" s="1"/>
  <c r="M171" i="23"/>
  <c r="N170" i="23"/>
  <c r="K170" i="23" s="1"/>
  <c r="M170" i="23"/>
  <c r="N169" i="23"/>
  <c r="K169" i="23" s="1"/>
  <c r="M169" i="23"/>
  <c r="N168" i="23"/>
  <c r="K168" i="23" s="1"/>
  <c r="M168" i="23"/>
  <c r="H168" i="23"/>
  <c r="P167" i="23"/>
  <c r="N167" i="23"/>
  <c r="K167" i="23" s="1"/>
  <c r="M167" i="23"/>
  <c r="N166" i="23"/>
  <c r="M166" i="23"/>
  <c r="N165" i="23"/>
  <c r="K165" i="23" s="1"/>
  <c r="M165" i="23"/>
  <c r="P164" i="23"/>
  <c r="N164" i="23"/>
  <c r="K164" i="23" s="1"/>
  <c r="M164" i="23"/>
  <c r="N163" i="23"/>
  <c r="K163" i="23" s="1"/>
  <c r="M163" i="23"/>
  <c r="N162" i="23"/>
  <c r="M162" i="23"/>
  <c r="N161" i="23"/>
  <c r="K161" i="23" s="1"/>
  <c r="M161" i="23"/>
  <c r="P160" i="23"/>
  <c r="N160" i="23"/>
  <c r="K160" i="23" s="1"/>
  <c r="M160" i="23"/>
  <c r="P159" i="23"/>
  <c r="N159" i="23"/>
  <c r="K159" i="23" s="1"/>
  <c r="M159" i="23"/>
  <c r="N158" i="23"/>
  <c r="M158" i="23"/>
  <c r="N157" i="23"/>
  <c r="K157" i="23" s="1"/>
  <c r="M157" i="23"/>
  <c r="H157" i="23"/>
  <c r="N156" i="23"/>
  <c r="P156" i="23" s="1"/>
  <c r="M156" i="23"/>
  <c r="K156" i="23"/>
  <c r="N155" i="23"/>
  <c r="P155" i="23" s="1"/>
  <c r="M155" i="23"/>
  <c r="K155" i="23"/>
  <c r="N154" i="23"/>
  <c r="P154" i="23" s="1"/>
  <c r="M154" i="23"/>
  <c r="K154" i="23"/>
  <c r="N153" i="23"/>
  <c r="P153" i="23" s="1"/>
  <c r="M153" i="23"/>
  <c r="K153" i="23"/>
  <c r="H153" i="23"/>
  <c r="N152" i="23"/>
  <c r="M152" i="23"/>
  <c r="N151" i="23"/>
  <c r="M151" i="23"/>
  <c r="N150" i="23"/>
  <c r="M150" i="23"/>
  <c r="N149" i="23"/>
  <c r="M149" i="23"/>
  <c r="N148" i="23"/>
  <c r="M148" i="23"/>
  <c r="N147" i="23"/>
  <c r="M147" i="23"/>
  <c r="N146" i="23"/>
  <c r="M146" i="23"/>
  <c r="H146" i="23"/>
  <c r="N145" i="23"/>
  <c r="K145" i="23" s="1"/>
  <c r="M145" i="23"/>
  <c r="N144" i="23"/>
  <c r="K144" i="23" s="1"/>
  <c r="M144" i="23"/>
  <c r="N143" i="23"/>
  <c r="K143" i="23" s="1"/>
  <c r="M143" i="23"/>
  <c r="N142" i="23"/>
  <c r="K142" i="23" s="1"/>
  <c r="M142" i="23"/>
  <c r="N141" i="23"/>
  <c r="K141" i="23" s="1"/>
  <c r="M141" i="23"/>
  <c r="H141" i="23"/>
  <c r="N140" i="23"/>
  <c r="M140" i="23"/>
  <c r="N139" i="23"/>
  <c r="K139" i="23" s="1"/>
  <c r="M139" i="23"/>
  <c r="P138" i="23"/>
  <c r="N138" i="23"/>
  <c r="K138" i="23" s="1"/>
  <c r="M138" i="23"/>
  <c r="N137" i="23"/>
  <c r="K137" i="23" s="1"/>
  <c r="M137" i="23"/>
  <c r="N136" i="23"/>
  <c r="M136" i="23"/>
  <c r="N135" i="23"/>
  <c r="K135" i="23" s="1"/>
  <c r="M135" i="23"/>
  <c r="P134" i="23"/>
  <c r="N134" i="23"/>
  <c r="K134" i="23" s="1"/>
  <c r="M134" i="23"/>
  <c r="P133" i="23"/>
  <c r="N133" i="23"/>
  <c r="K133" i="23" s="1"/>
  <c r="M133" i="23"/>
  <c r="H133" i="23"/>
  <c r="P132" i="23"/>
  <c r="N132" i="23"/>
  <c r="K132" i="23" s="1"/>
  <c r="M132" i="23"/>
  <c r="N131" i="23"/>
  <c r="K131" i="23" s="1"/>
  <c r="M131" i="23"/>
  <c r="N130" i="23"/>
  <c r="K130" i="23" s="1"/>
  <c r="M130" i="23"/>
  <c r="N129" i="23"/>
  <c r="K129" i="23" s="1"/>
  <c r="M129" i="23"/>
  <c r="P128" i="23"/>
  <c r="N128" i="23"/>
  <c r="K128" i="23" s="1"/>
  <c r="M128" i="23"/>
  <c r="N127" i="23"/>
  <c r="K127" i="23" s="1"/>
  <c r="M127" i="23"/>
  <c r="N126" i="23"/>
  <c r="K126" i="23" s="1"/>
  <c r="M126" i="23"/>
  <c r="N125" i="23"/>
  <c r="K125" i="23" s="1"/>
  <c r="M125" i="23"/>
  <c r="P124" i="23"/>
  <c r="N124" i="23"/>
  <c r="K124" i="23" s="1"/>
  <c r="M124" i="23"/>
  <c r="N123" i="23"/>
  <c r="K123" i="23" s="1"/>
  <c r="M123" i="23"/>
  <c r="N122" i="23"/>
  <c r="K122" i="23" s="1"/>
  <c r="M122" i="23"/>
  <c r="N121" i="23"/>
  <c r="K121" i="23" s="1"/>
  <c r="M121" i="23"/>
  <c r="P120" i="23"/>
  <c r="N120" i="23"/>
  <c r="K120" i="23" s="1"/>
  <c r="M120" i="23"/>
  <c r="N119" i="23"/>
  <c r="K119" i="23" s="1"/>
  <c r="M119" i="23"/>
  <c r="H119" i="23"/>
  <c r="P118" i="23"/>
  <c r="N118" i="23"/>
  <c r="M118" i="23"/>
  <c r="K118" i="23"/>
  <c r="P117" i="23"/>
  <c r="N117" i="23"/>
  <c r="M117" i="23"/>
  <c r="K117" i="23"/>
  <c r="P116" i="23"/>
  <c r="N116" i="23"/>
  <c r="M116" i="23"/>
  <c r="K116" i="23"/>
  <c r="P115" i="23"/>
  <c r="N115" i="23"/>
  <c r="M115" i="23"/>
  <c r="K115" i="23"/>
  <c r="H115" i="23"/>
  <c r="N114" i="23"/>
  <c r="K114" i="23" s="1"/>
  <c r="M114" i="23"/>
  <c r="N113" i="23"/>
  <c r="K113" i="23" s="1"/>
  <c r="M113" i="23"/>
  <c r="H113" i="23"/>
  <c r="N112" i="23"/>
  <c r="K112" i="23" s="1"/>
  <c r="M112" i="23"/>
  <c r="N111" i="23"/>
  <c r="P111" i="23" s="1"/>
  <c r="M111" i="23"/>
  <c r="N110" i="23"/>
  <c r="K110" i="23" s="1"/>
  <c r="M110" i="23"/>
  <c r="N109" i="23"/>
  <c r="K109" i="23" s="1"/>
  <c r="M109" i="23"/>
  <c r="N108" i="23"/>
  <c r="P108" i="23" s="1"/>
  <c r="M108" i="23"/>
  <c r="N107" i="23"/>
  <c r="K107" i="23" s="1"/>
  <c r="M107" i="23"/>
  <c r="N106" i="23"/>
  <c r="P106" i="23" s="1"/>
  <c r="M106" i="23"/>
  <c r="N105" i="23"/>
  <c r="K105" i="23" s="1"/>
  <c r="M105" i="23"/>
  <c r="N104" i="23"/>
  <c r="P104" i="23" s="1"/>
  <c r="M104" i="23"/>
  <c r="N103" i="23"/>
  <c r="K103" i="23" s="1"/>
  <c r="M103" i="23"/>
  <c r="H103" i="23"/>
  <c r="N102" i="23"/>
  <c r="K102" i="23" s="1"/>
  <c r="M102" i="23"/>
  <c r="N101" i="23"/>
  <c r="K101" i="23" s="1"/>
  <c r="M101" i="23"/>
  <c r="P100" i="23"/>
  <c r="N100" i="23"/>
  <c r="K100" i="23" s="1"/>
  <c r="M100" i="23"/>
  <c r="N99" i="23"/>
  <c r="K99" i="23" s="1"/>
  <c r="M99" i="23"/>
  <c r="N98" i="23"/>
  <c r="K98" i="23" s="1"/>
  <c r="M98" i="23"/>
  <c r="N97" i="23"/>
  <c r="K97" i="23" s="1"/>
  <c r="M97" i="23"/>
  <c r="P96" i="23"/>
  <c r="N96" i="23"/>
  <c r="K96" i="23" s="1"/>
  <c r="M96" i="23"/>
  <c r="N95" i="23"/>
  <c r="K95" i="23" s="1"/>
  <c r="M95" i="23"/>
  <c r="H95" i="23"/>
  <c r="P94" i="23"/>
  <c r="N94" i="23"/>
  <c r="M94" i="23"/>
  <c r="K94" i="23"/>
  <c r="P93" i="23"/>
  <c r="N93" i="23"/>
  <c r="M93" i="23"/>
  <c r="K93" i="23"/>
  <c r="P92" i="23"/>
  <c r="N92" i="23"/>
  <c r="M92" i="23"/>
  <c r="K92" i="23"/>
  <c r="P91" i="23"/>
  <c r="N91" i="23"/>
  <c r="M91" i="23"/>
  <c r="K91" i="23"/>
  <c r="P90" i="23"/>
  <c r="N90" i="23"/>
  <c r="M90" i="23"/>
  <c r="K90" i="23"/>
  <c r="P89" i="23"/>
  <c r="N89" i="23"/>
  <c r="M89" i="23"/>
  <c r="K89" i="23"/>
  <c r="P88" i="23"/>
  <c r="N88" i="23"/>
  <c r="M88" i="23"/>
  <c r="K88" i="23"/>
  <c r="P87" i="23"/>
  <c r="N87" i="23"/>
  <c r="M87" i="23"/>
  <c r="K87" i="23"/>
  <c r="P86" i="23"/>
  <c r="N86" i="23"/>
  <c r="M86" i="23"/>
  <c r="K86" i="23"/>
  <c r="P85" i="23"/>
  <c r="N85" i="23"/>
  <c r="M85" i="23"/>
  <c r="K85" i="23"/>
  <c r="P84" i="23"/>
  <c r="N84" i="23"/>
  <c r="M84" i="23"/>
  <c r="K84" i="23"/>
  <c r="P83" i="23"/>
  <c r="N83" i="23"/>
  <c r="M83" i="23"/>
  <c r="K83" i="23"/>
  <c r="P82" i="23"/>
  <c r="N82" i="23"/>
  <c r="M82" i="23"/>
  <c r="K82" i="23"/>
  <c r="P81" i="23"/>
  <c r="N81" i="23"/>
  <c r="M81" i="23"/>
  <c r="K81" i="23"/>
  <c r="H81" i="23"/>
  <c r="N80" i="23"/>
  <c r="K80" i="23" s="1"/>
  <c r="M80" i="23"/>
  <c r="N79" i="23"/>
  <c r="K79" i="23" s="1"/>
  <c r="M79" i="23"/>
  <c r="N78" i="23"/>
  <c r="K78" i="23" s="1"/>
  <c r="M78" i="23"/>
  <c r="N77" i="23"/>
  <c r="K77" i="23" s="1"/>
  <c r="M77" i="23"/>
  <c r="N76" i="23"/>
  <c r="K76" i="23" s="1"/>
  <c r="M76" i="23"/>
  <c r="N75" i="23"/>
  <c r="K75" i="23" s="1"/>
  <c r="M75" i="23"/>
  <c r="N74" i="23"/>
  <c r="K74" i="23" s="1"/>
  <c r="M74" i="23"/>
  <c r="H74" i="23"/>
  <c r="N73" i="23"/>
  <c r="P73" i="23" s="1"/>
  <c r="M73" i="23"/>
  <c r="N72" i="23"/>
  <c r="K72" i="23" s="1"/>
  <c r="M72" i="23"/>
  <c r="N71" i="23"/>
  <c r="P71" i="23" s="1"/>
  <c r="M71" i="23"/>
  <c r="N70" i="23"/>
  <c r="K70" i="23" s="1"/>
  <c r="M70" i="23"/>
  <c r="N69" i="23"/>
  <c r="P69" i="23" s="1"/>
  <c r="M69" i="23"/>
  <c r="N68" i="23"/>
  <c r="K68" i="23" s="1"/>
  <c r="M68" i="23"/>
  <c r="N67" i="23"/>
  <c r="P67" i="23" s="1"/>
  <c r="M67" i="23"/>
  <c r="N66" i="23"/>
  <c r="K66" i="23" s="1"/>
  <c r="M66" i="23"/>
  <c r="N65" i="23"/>
  <c r="P65" i="23" s="1"/>
  <c r="M65" i="23"/>
  <c r="N64" i="23"/>
  <c r="K64" i="23" s="1"/>
  <c r="M64" i="23"/>
  <c r="N63" i="23"/>
  <c r="P63" i="23" s="1"/>
  <c r="M63" i="23"/>
  <c r="N62" i="23"/>
  <c r="K62" i="23" s="1"/>
  <c r="M62" i="23"/>
  <c r="N61" i="23"/>
  <c r="K61" i="23" s="1"/>
  <c r="M61" i="23"/>
  <c r="H61" i="23"/>
  <c r="N60" i="23"/>
  <c r="K60" i="23" s="1"/>
  <c r="M60" i="23"/>
  <c r="N59" i="23"/>
  <c r="M59" i="23"/>
  <c r="N58" i="23"/>
  <c r="K58" i="23" s="1"/>
  <c r="M58" i="23"/>
  <c r="H58" i="23"/>
  <c r="N57" i="23"/>
  <c r="P57" i="23" s="1"/>
  <c r="M57" i="23"/>
  <c r="K57" i="23"/>
  <c r="N56" i="23"/>
  <c r="P56" i="23" s="1"/>
  <c r="M56" i="23"/>
  <c r="K56" i="23"/>
  <c r="H56" i="23"/>
  <c r="N55" i="23"/>
  <c r="P55" i="23" s="1"/>
  <c r="M55" i="23"/>
  <c r="K55" i="23"/>
  <c r="N54" i="23"/>
  <c r="P54" i="23" s="1"/>
  <c r="M54" i="23"/>
  <c r="K54" i="23"/>
  <c r="N53" i="23"/>
  <c r="M53" i="23"/>
  <c r="H53" i="23"/>
  <c r="N52" i="23"/>
  <c r="K52" i="23" s="1"/>
  <c r="M52" i="23"/>
  <c r="N51" i="23"/>
  <c r="K51" i="23" s="1"/>
  <c r="M51" i="23"/>
  <c r="N50" i="23"/>
  <c r="P50" i="23" s="1"/>
  <c r="M50" i="23"/>
  <c r="H50" i="23"/>
  <c r="N49" i="23"/>
  <c r="K49" i="23" s="1"/>
  <c r="M49" i="23"/>
  <c r="N48" i="23"/>
  <c r="M48" i="23"/>
  <c r="H48" i="23"/>
  <c r="N47" i="23"/>
  <c r="M47" i="23"/>
  <c r="N46" i="23"/>
  <c r="M46" i="23"/>
  <c r="N45" i="23"/>
  <c r="M45" i="23"/>
  <c r="H45" i="23"/>
  <c r="N44" i="23"/>
  <c r="M44" i="23"/>
  <c r="N43" i="23"/>
  <c r="P43" i="23" s="1"/>
  <c r="M43" i="23"/>
  <c r="K43" i="23"/>
  <c r="N42" i="23"/>
  <c r="P42" i="23" s="1"/>
  <c r="M42" i="23"/>
  <c r="K42" i="23"/>
  <c r="H42" i="23"/>
  <c r="N41" i="23"/>
  <c r="P41" i="23" s="1"/>
  <c r="M41" i="23"/>
  <c r="N40" i="23"/>
  <c r="K40" i="23" s="1"/>
  <c r="M40" i="23"/>
  <c r="N39" i="23"/>
  <c r="K39" i="23" s="1"/>
  <c r="M39" i="23"/>
  <c r="N38" i="23"/>
  <c r="P38" i="23" s="1"/>
  <c r="M38" i="23"/>
  <c r="N37" i="23"/>
  <c r="K37" i="23" s="1"/>
  <c r="M37" i="23"/>
  <c r="N36" i="23"/>
  <c r="P36" i="23" s="1"/>
  <c r="M36" i="23"/>
  <c r="N35" i="23"/>
  <c r="K35" i="23" s="1"/>
  <c r="M35" i="23"/>
  <c r="H35" i="23"/>
  <c r="P34" i="23"/>
  <c r="N34" i="23"/>
  <c r="K34" i="23" s="1"/>
  <c r="M34" i="23"/>
  <c r="N33" i="23"/>
  <c r="K33" i="23" s="1"/>
  <c r="M33" i="23"/>
  <c r="N32" i="23"/>
  <c r="M32" i="23"/>
  <c r="N31" i="23"/>
  <c r="K31" i="23" s="1"/>
  <c r="M31" i="23"/>
  <c r="P30" i="23"/>
  <c r="N30" i="23"/>
  <c r="K30" i="23" s="1"/>
  <c r="M30" i="23"/>
  <c r="N29" i="23"/>
  <c r="K29" i="23" s="1"/>
  <c r="M29" i="23"/>
  <c r="N28" i="23"/>
  <c r="M28" i="23"/>
  <c r="N27" i="23"/>
  <c r="K27" i="23" s="1"/>
  <c r="M27" i="23"/>
  <c r="P26" i="23"/>
  <c r="N26" i="23"/>
  <c r="K26" i="23" s="1"/>
  <c r="M26" i="23"/>
  <c r="N25" i="23"/>
  <c r="K25" i="23" s="1"/>
  <c r="M25" i="23"/>
  <c r="H25" i="23"/>
  <c r="N24" i="23"/>
  <c r="K24" i="23" s="1"/>
  <c r="M24" i="23"/>
  <c r="P23" i="23"/>
  <c r="N23" i="23"/>
  <c r="K23" i="23" s="1"/>
  <c r="M23" i="23"/>
  <c r="N22" i="23"/>
  <c r="K22" i="23" s="1"/>
  <c r="M22" i="23"/>
  <c r="N21" i="23"/>
  <c r="K21" i="23" s="1"/>
  <c r="M21" i="23"/>
  <c r="N20" i="23"/>
  <c r="K20" i="23" s="1"/>
  <c r="M20" i="23"/>
  <c r="P19" i="23"/>
  <c r="N19" i="23"/>
  <c r="K19" i="23" s="1"/>
  <c r="M19" i="23"/>
  <c r="N18" i="23"/>
  <c r="K18" i="23" s="1"/>
  <c r="M18" i="23"/>
  <c r="N17" i="23"/>
  <c r="P17" i="23" s="1"/>
  <c r="M17" i="23"/>
  <c r="N16" i="23"/>
  <c r="K16" i="23" s="1"/>
  <c r="M16" i="23"/>
  <c r="H16" i="23"/>
  <c r="N15" i="23"/>
  <c r="P15" i="23" s="1"/>
  <c r="M15" i="23"/>
  <c r="N14" i="23"/>
  <c r="M14" i="23"/>
  <c r="N13" i="23"/>
  <c r="P13" i="23" s="1"/>
  <c r="M13" i="23"/>
  <c r="N12" i="23"/>
  <c r="P12" i="23" s="1"/>
  <c r="M12" i="23"/>
  <c r="K12" i="23"/>
  <c r="H12" i="23"/>
  <c r="N11" i="23"/>
  <c r="P11" i="23" s="1"/>
  <c r="M11" i="23"/>
  <c r="N10" i="23"/>
  <c r="K10" i="23" s="1"/>
  <c r="M10" i="23"/>
  <c r="N9" i="23"/>
  <c r="P9" i="23" s="1"/>
  <c r="M9" i="23"/>
  <c r="N8" i="23"/>
  <c r="K8" i="23" s="1"/>
  <c r="M8" i="23"/>
  <c r="N7" i="23"/>
  <c r="P7" i="23" s="1"/>
  <c r="M7" i="23"/>
  <c r="N6" i="23"/>
  <c r="K6" i="23" s="1"/>
  <c r="M6" i="23"/>
  <c r="N5" i="23"/>
  <c r="P5" i="23" s="1"/>
  <c r="M5" i="23"/>
  <c r="H5" i="23"/>
  <c r="N4" i="23"/>
  <c r="K4" i="23" s="1"/>
  <c r="M4" i="23"/>
  <c r="N3" i="23"/>
  <c r="K3" i="23" s="1"/>
  <c r="M3" i="23"/>
  <c r="N2" i="23"/>
  <c r="K2" i="23" s="1"/>
  <c r="M2" i="23"/>
  <c r="K48" i="23" l="1"/>
  <c r="P48" i="23"/>
  <c r="K252" i="23"/>
  <c r="P252" i="23"/>
  <c r="K260" i="23"/>
  <c r="P260" i="23"/>
  <c r="K334" i="23"/>
  <c r="P334" i="23"/>
  <c r="K392" i="23"/>
  <c r="P392" i="23"/>
  <c r="K446" i="23"/>
  <c r="P446" i="23"/>
  <c r="K450" i="23"/>
  <c r="P450" i="23"/>
  <c r="K454" i="23"/>
  <c r="P454" i="23"/>
  <c r="K458" i="23"/>
  <c r="P458" i="23"/>
  <c r="K486" i="23"/>
  <c r="P486" i="23"/>
  <c r="P500" i="23"/>
  <c r="K500" i="23"/>
  <c r="K740" i="23"/>
  <c r="P740" i="23"/>
  <c r="K744" i="23"/>
  <c r="P744" i="23"/>
  <c r="K746" i="23"/>
  <c r="P746" i="23"/>
  <c r="K783" i="23"/>
  <c r="P783" i="23"/>
  <c r="K812" i="23"/>
  <c r="P812" i="23"/>
  <c r="K1190" i="23"/>
  <c r="P1190" i="23"/>
  <c r="P18" i="23"/>
  <c r="P22" i="23"/>
  <c r="P29" i="23"/>
  <c r="K47" i="23"/>
  <c r="P47" i="23"/>
  <c r="P99" i="23"/>
  <c r="P119" i="23"/>
  <c r="P131" i="23"/>
  <c r="K147" i="23"/>
  <c r="P147" i="23"/>
  <c r="K166" i="23"/>
  <c r="P166" i="23"/>
  <c r="P249" i="23"/>
  <c r="P257" i="23"/>
  <c r="P302" i="23"/>
  <c r="P306" i="23"/>
  <c r="P318" i="23"/>
  <c r="P326" i="23"/>
  <c r="P340" i="23"/>
  <c r="K383" i="23"/>
  <c r="P383" i="23"/>
  <c r="K385" i="23"/>
  <c r="P385" i="23"/>
  <c r="K387" i="23"/>
  <c r="P387" i="23"/>
  <c r="K389" i="23"/>
  <c r="P389" i="23"/>
  <c r="K391" i="23"/>
  <c r="P391" i="23"/>
  <c r="P421" i="23"/>
  <c r="K421" i="23"/>
  <c r="P438" i="23"/>
  <c r="K438" i="23"/>
  <c r="P445" i="23"/>
  <c r="K445" i="23"/>
  <c r="P481" i="23"/>
  <c r="P561" i="23"/>
  <c r="K575" i="23"/>
  <c r="P575" i="23"/>
  <c r="P588" i="23"/>
  <c r="K609" i="23"/>
  <c r="P609" i="23"/>
  <c r="P633" i="23"/>
  <c r="P637" i="23"/>
  <c r="K642" i="23"/>
  <c r="P642" i="23"/>
  <c r="P650" i="23"/>
  <c r="P724" i="23"/>
  <c r="P728" i="23"/>
  <c r="K755" i="23"/>
  <c r="P755" i="23"/>
  <c r="P776" i="23"/>
  <c r="K779" i="23"/>
  <c r="P779" i="23"/>
  <c r="K793" i="23"/>
  <c r="P793" i="23"/>
  <c r="K795" i="23"/>
  <c r="P795" i="23"/>
  <c r="K801" i="23"/>
  <c r="P801" i="23"/>
  <c r="P1025" i="23"/>
  <c r="K1025" i="23"/>
  <c r="P1029" i="23"/>
  <c r="K1029" i="23"/>
  <c r="P1035" i="23"/>
  <c r="K1035" i="23"/>
  <c r="P1093" i="23"/>
  <c r="K1093" i="23"/>
  <c r="P1095" i="23"/>
  <c r="K1095" i="23"/>
  <c r="K1120" i="23"/>
  <c r="P1120" i="23"/>
  <c r="P1127" i="23"/>
  <c r="K1127" i="23"/>
  <c r="K13" i="23"/>
  <c r="P14" i="23"/>
  <c r="K14" i="23"/>
  <c r="P16" i="23"/>
  <c r="P21" i="23"/>
  <c r="K28" i="23"/>
  <c r="P28" i="23"/>
  <c r="P44" i="23"/>
  <c r="K44" i="23"/>
  <c r="P102" i="23"/>
  <c r="P122" i="23"/>
  <c r="P137" i="23"/>
  <c r="P301" i="23"/>
  <c r="P313" i="23"/>
  <c r="P321" i="23"/>
  <c r="P329" i="23"/>
  <c r="K333" i="23"/>
  <c r="P333" i="23"/>
  <c r="K335" i="23"/>
  <c r="P335" i="23"/>
  <c r="K339" i="23"/>
  <c r="P339" i="23"/>
  <c r="K15" i="23"/>
  <c r="K17" i="23"/>
  <c r="P20" i="23"/>
  <c r="P24" i="23"/>
  <c r="P25" i="23"/>
  <c r="P33" i="23"/>
  <c r="K46" i="23"/>
  <c r="P46" i="23"/>
  <c r="P49" i="23"/>
  <c r="K59" i="23"/>
  <c r="P59" i="23"/>
  <c r="P97" i="23"/>
  <c r="P101" i="23"/>
  <c r="P121" i="23"/>
  <c r="P125" i="23"/>
  <c r="P129" i="23"/>
  <c r="K136" i="23"/>
  <c r="P136" i="23"/>
  <c r="K146" i="23"/>
  <c r="P146" i="23"/>
  <c r="K148" i="23"/>
  <c r="P148" i="23"/>
  <c r="K150" i="23"/>
  <c r="P150" i="23"/>
  <c r="K152" i="23"/>
  <c r="P152" i="23"/>
  <c r="K162" i="23"/>
  <c r="P162" i="23"/>
  <c r="P245" i="23"/>
  <c r="P253" i="23"/>
  <c r="P261" i="23"/>
  <c r="P300" i="23"/>
  <c r="P304" i="23"/>
  <c r="P308" i="23"/>
  <c r="P312" i="23"/>
  <c r="P316" i="23"/>
  <c r="P320" i="23"/>
  <c r="P324" i="23"/>
  <c r="P328" i="23"/>
  <c r="P332" i="23"/>
  <c r="K382" i="23"/>
  <c r="P382" i="23"/>
  <c r="K384" i="23"/>
  <c r="P384" i="23"/>
  <c r="K386" i="23"/>
  <c r="P386" i="23"/>
  <c r="K388" i="23"/>
  <c r="P388" i="23"/>
  <c r="K390" i="23"/>
  <c r="P390" i="23"/>
  <c r="P393" i="23"/>
  <c r="P396" i="23"/>
  <c r="P422" i="23"/>
  <c r="K422" i="23"/>
  <c r="P425" i="23"/>
  <c r="K425" i="23"/>
  <c r="P430" i="23"/>
  <c r="K430" i="23"/>
  <c r="P437" i="23"/>
  <c r="K437" i="23"/>
  <c r="P489" i="23"/>
  <c r="P559" i="23"/>
  <c r="P563" i="23"/>
  <c r="P567" i="23"/>
  <c r="P571" i="23"/>
  <c r="P586" i="23"/>
  <c r="K608" i="23"/>
  <c r="P608" i="23"/>
  <c r="K610" i="23"/>
  <c r="P610" i="23"/>
  <c r="K612" i="23"/>
  <c r="P612" i="23"/>
  <c r="P635" i="23"/>
  <c r="K639" i="23"/>
  <c r="P639" i="23"/>
  <c r="K641" i="23"/>
  <c r="P641" i="23"/>
  <c r="K643" i="23"/>
  <c r="P643" i="23"/>
  <c r="P646" i="23"/>
  <c r="P718" i="23"/>
  <c r="P722" i="23"/>
  <c r="P726" i="23"/>
  <c r="P730" i="23"/>
  <c r="P734" i="23"/>
  <c r="P738" i="23"/>
  <c r="K747" i="23"/>
  <c r="P747" i="23"/>
  <c r="P768" i="23"/>
  <c r="K771" i="23"/>
  <c r="P771" i="23"/>
  <c r="K794" i="23"/>
  <c r="P794" i="23"/>
  <c r="K796" i="23"/>
  <c r="P796" i="23"/>
  <c r="K798" i="23"/>
  <c r="P798" i="23"/>
  <c r="K800" i="23"/>
  <c r="P800" i="23"/>
  <c r="K802" i="23"/>
  <c r="P802" i="23"/>
  <c r="K804" i="23"/>
  <c r="P804" i="23"/>
  <c r="K810" i="23"/>
  <c r="P810" i="23"/>
  <c r="K813" i="23"/>
  <c r="P813" i="23"/>
  <c r="K32" i="23"/>
  <c r="P32" i="23"/>
  <c r="K244" i="23"/>
  <c r="P244" i="23"/>
  <c r="K336" i="23"/>
  <c r="P336" i="23"/>
  <c r="K338" i="23"/>
  <c r="P338" i="23"/>
  <c r="P354" i="23"/>
  <c r="K354" i="23"/>
  <c r="P361" i="23"/>
  <c r="K361" i="23"/>
  <c r="P365" i="23"/>
  <c r="K365" i="23"/>
  <c r="P368" i="23"/>
  <c r="K368" i="23"/>
  <c r="P373" i="23"/>
  <c r="K373" i="23"/>
  <c r="P376" i="23"/>
  <c r="K376" i="23"/>
  <c r="K448" i="23"/>
  <c r="P448" i="23"/>
  <c r="K452" i="23"/>
  <c r="P452" i="23"/>
  <c r="K456" i="23"/>
  <c r="P456" i="23"/>
  <c r="K460" i="23"/>
  <c r="P460" i="23"/>
  <c r="P507" i="23"/>
  <c r="K507" i="23"/>
  <c r="K645" i="23"/>
  <c r="P645" i="23"/>
  <c r="K742" i="23"/>
  <c r="P742" i="23"/>
  <c r="K767" i="23"/>
  <c r="P767" i="23"/>
  <c r="K45" i="23"/>
  <c r="P45" i="23"/>
  <c r="P53" i="23"/>
  <c r="K53" i="23"/>
  <c r="P95" i="23"/>
  <c r="P123" i="23"/>
  <c r="P127" i="23"/>
  <c r="K140" i="23"/>
  <c r="P140" i="23"/>
  <c r="K149" i="23"/>
  <c r="P149" i="23"/>
  <c r="K151" i="23"/>
  <c r="P151" i="23"/>
  <c r="K158" i="23"/>
  <c r="P158" i="23"/>
  <c r="P298" i="23"/>
  <c r="P310" i="23"/>
  <c r="P314" i="23"/>
  <c r="P322" i="23"/>
  <c r="P330" i="23"/>
  <c r="K342" i="23"/>
  <c r="P342" i="23"/>
  <c r="K381" i="23"/>
  <c r="P381" i="23"/>
  <c r="P426" i="23"/>
  <c r="K426" i="23"/>
  <c r="P429" i="23"/>
  <c r="K429" i="23"/>
  <c r="P557" i="23"/>
  <c r="P565" i="23"/>
  <c r="P569" i="23"/>
  <c r="K611" i="23"/>
  <c r="P611" i="23"/>
  <c r="K618" i="23"/>
  <c r="P618" i="23"/>
  <c r="K640" i="23"/>
  <c r="P640" i="23"/>
  <c r="K644" i="23"/>
  <c r="P644" i="23"/>
  <c r="P716" i="23"/>
  <c r="P720" i="23"/>
  <c r="P732" i="23"/>
  <c r="P736" i="23"/>
  <c r="K797" i="23"/>
  <c r="P797" i="23"/>
  <c r="K799" i="23"/>
  <c r="P799" i="23"/>
  <c r="K803" i="23"/>
  <c r="P803" i="23"/>
  <c r="P806" i="23"/>
  <c r="K809" i="23"/>
  <c r="P809" i="23"/>
  <c r="P1023" i="23"/>
  <c r="K1023" i="23"/>
  <c r="P1027" i="23"/>
  <c r="K1027" i="23"/>
  <c r="P1031" i="23"/>
  <c r="K1031" i="23"/>
  <c r="P1033" i="23"/>
  <c r="K1033" i="23"/>
  <c r="P1097" i="23"/>
  <c r="K1097" i="23"/>
  <c r="P1148" i="23"/>
  <c r="K1148" i="23"/>
  <c r="P1178" i="23"/>
  <c r="K1178" i="23"/>
  <c r="P1187" i="23"/>
  <c r="P60" i="23"/>
  <c r="P98" i="23"/>
  <c r="P126" i="23"/>
  <c r="P130" i="23"/>
  <c r="P163" i="23"/>
  <c r="K248" i="23"/>
  <c r="P248" i="23"/>
  <c r="K256" i="23"/>
  <c r="P256" i="23"/>
  <c r="P297" i="23"/>
  <c r="P305" i="23"/>
  <c r="P309" i="23"/>
  <c r="P317" i="23"/>
  <c r="P325" i="23"/>
  <c r="K337" i="23"/>
  <c r="P337" i="23"/>
  <c r="P353" i="23"/>
  <c r="K353" i="23"/>
  <c r="P362" i="23"/>
  <c r="K362" i="23"/>
  <c r="P364" i="23"/>
  <c r="K364" i="23"/>
  <c r="P369" i="23"/>
  <c r="K369" i="23"/>
  <c r="P372" i="23"/>
  <c r="K372" i="23"/>
  <c r="P377" i="23"/>
  <c r="K377" i="23"/>
  <c r="P380" i="23"/>
  <c r="K380" i="23"/>
  <c r="K447" i="23"/>
  <c r="P447" i="23"/>
  <c r="K449" i="23"/>
  <c r="P449" i="23"/>
  <c r="K451" i="23"/>
  <c r="P451" i="23"/>
  <c r="K453" i="23"/>
  <c r="P453" i="23"/>
  <c r="K455" i="23"/>
  <c r="P455" i="23"/>
  <c r="K457" i="23"/>
  <c r="P457" i="23"/>
  <c r="K459" i="23"/>
  <c r="P459" i="23"/>
  <c r="K461" i="23"/>
  <c r="P461" i="23"/>
  <c r="P499" i="23"/>
  <c r="K499" i="23"/>
  <c r="P508" i="23"/>
  <c r="K508" i="23"/>
  <c r="P556" i="23"/>
  <c r="P560" i="23"/>
  <c r="P564" i="23"/>
  <c r="P568" i="23"/>
  <c r="P572" i="23"/>
  <c r="P587" i="23"/>
  <c r="P632" i="23"/>
  <c r="P636" i="23"/>
  <c r="K649" i="23"/>
  <c r="P649" i="23"/>
  <c r="P719" i="23"/>
  <c r="P723" i="23"/>
  <c r="P727" i="23"/>
  <c r="P731" i="23"/>
  <c r="P735" i="23"/>
  <c r="K739" i="23"/>
  <c r="P739" i="23"/>
  <c r="K741" i="23"/>
  <c r="P741" i="23"/>
  <c r="K743" i="23"/>
  <c r="P743" i="23"/>
  <c r="K745" i="23"/>
  <c r="P745" i="23"/>
  <c r="P748" i="23"/>
  <c r="K752" i="23"/>
  <c r="P752" i="23"/>
  <c r="P772" i="23"/>
  <c r="K775" i="23"/>
  <c r="P775" i="23"/>
  <c r="P792" i="23"/>
  <c r="K792" i="23"/>
  <c r="K805" i="23"/>
  <c r="P805" i="23"/>
  <c r="P825" i="23"/>
  <c r="K825" i="23"/>
  <c r="P832" i="23"/>
  <c r="K832" i="23"/>
  <c r="P1022" i="23"/>
  <c r="K1022" i="23"/>
  <c r="P1089" i="23"/>
  <c r="K1089" i="23"/>
  <c r="P1092" i="23"/>
  <c r="K1092" i="23"/>
  <c r="K1101" i="23"/>
  <c r="P1101" i="23"/>
  <c r="P1109" i="23"/>
  <c r="K1109" i="23"/>
  <c r="K1137" i="23"/>
  <c r="P1137" i="23"/>
  <c r="K815" i="23"/>
  <c r="P815" i="23"/>
  <c r="P1024" i="23"/>
  <c r="K1024" i="23"/>
  <c r="P1026" i="23"/>
  <c r="K1026" i="23"/>
  <c r="P1028" i="23"/>
  <c r="K1028" i="23"/>
  <c r="P1030" i="23"/>
  <c r="K1030" i="23"/>
  <c r="P1032" i="23"/>
  <c r="K1032" i="23"/>
  <c r="P1034" i="23"/>
  <c r="K1034" i="23"/>
  <c r="P1036" i="23"/>
  <c r="K1036" i="23"/>
  <c r="P1094" i="23"/>
  <c r="K1094" i="23"/>
  <c r="P1096" i="23"/>
  <c r="K1096" i="23"/>
  <c r="P1098" i="23"/>
  <c r="K1098" i="23"/>
  <c r="P1126" i="23"/>
  <c r="K1126" i="23"/>
  <c r="K1186" i="23"/>
  <c r="P1186" i="23"/>
  <c r="P27" i="23"/>
  <c r="P31" i="23"/>
  <c r="P58" i="23"/>
  <c r="P135" i="23"/>
  <c r="P139" i="23"/>
  <c r="P157" i="23"/>
  <c r="P161" i="23"/>
  <c r="P165" i="23"/>
  <c r="P243" i="23"/>
  <c r="P247" i="23"/>
  <c r="P251" i="23"/>
  <c r="P255" i="23"/>
  <c r="P259" i="23"/>
  <c r="P348" i="23"/>
  <c r="P398" i="23"/>
  <c r="P485" i="23"/>
  <c r="P574" i="23"/>
  <c r="P617" i="23"/>
  <c r="P621" i="23"/>
  <c r="P648" i="23"/>
  <c r="P652" i="23"/>
  <c r="P693" i="23"/>
  <c r="P824" i="23"/>
  <c r="K824" i="23"/>
  <c r="P833" i="23"/>
  <c r="K833" i="23"/>
  <c r="P1085" i="23"/>
  <c r="K1085" i="23"/>
  <c r="P1088" i="23"/>
  <c r="K1088" i="23"/>
  <c r="P1108" i="23"/>
  <c r="K1108" i="23"/>
  <c r="K1136" i="23"/>
  <c r="P1136" i="23"/>
  <c r="P1144" i="23"/>
  <c r="K1144" i="23"/>
  <c r="P1147" i="23"/>
  <c r="K1147" i="23"/>
  <c r="P1168" i="23"/>
  <c r="K1168" i="23"/>
  <c r="P1191" i="23"/>
  <c r="P817" i="23"/>
  <c r="P1117" i="23"/>
  <c r="P1135" i="23"/>
  <c r="P1139" i="23"/>
  <c r="P1163" i="23"/>
  <c r="P1175" i="23"/>
  <c r="P1185" i="23"/>
  <c r="P1189" i="23"/>
  <c r="P1193" i="23"/>
  <c r="M995" i="16"/>
  <c r="M1002" i="16"/>
  <c r="R811" i="16"/>
  <c r="M474" i="16"/>
  <c r="M475" i="16"/>
  <c r="M476" i="16"/>
  <c r="M814" i="16"/>
  <c r="R812" i="16"/>
  <c r="R813" i="16"/>
  <c r="M468" i="16"/>
  <c r="P2" i="23"/>
  <c r="P6" i="23"/>
  <c r="P8" i="23"/>
  <c r="P10" i="23"/>
  <c r="P35" i="23"/>
  <c r="P37" i="23"/>
  <c r="P39" i="23"/>
  <c r="P40" i="23"/>
  <c r="P51" i="23"/>
  <c r="P52" i="23"/>
  <c r="P61" i="23"/>
  <c r="P62" i="23"/>
  <c r="P64" i="23"/>
  <c r="P66" i="23"/>
  <c r="P68" i="23"/>
  <c r="P70" i="23"/>
  <c r="P72" i="23"/>
  <c r="P103" i="23"/>
  <c r="P105" i="23"/>
  <c r="P107" i="23"/>
  <c r="P109" i="23"/>
  <c r="P110" i="23"/>
  <c r="P112" i="23"/>
  <c r="K5" i="23"/>
  <c r="K7" i="23"/>
  <c r="K9" i="23"/>
  <c r="K11" i="23"/>
  <c r="K36" i="23"/>
  <c r="K38" i="23"/>
  <c r="K41" i="23"/>
  <c r="K50" i="23"/>
  <c r="K63" i="23"/>
  <c r="K65" i="23"/>
  <c r="K67" i="23"/>
  <c r="K69" i="23"/>
  <c r="K71" i="23"/>
  <c r="K73" i="23"/>
  <c r="P74" i="23"/>
  <c r="P75" i="23"/>
  <c r="P76" i="23"/>
  <c r="P77" i="23"/>
  <c r="P78" i="23"/>
  <c r="P79" i="23"/>
  <c r="P80" i="23"/>
  <c r="K104" i="23"/>
  <c r="K106" i="23"/>
  <c r="K108" i="23"/>
  <c r="K111" i="23"/>
  <c r="P113" i="23"/>
  <c r="P114" i="23"/>
  <c r="P141" i="23"/>
  <c r="P142" i="23"/>
  <c r="P143" i="23"/>
  <c r="P144" i="23"/>
  <c r="P145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262" i="23"/>
  <c r="P263" i="23"/>
  <c r="P264" i="23"/>
  <c r="P265" i="23"/>
  <c r="P266" i="23"/>
  <c r="P267" i="23"/>
  <c r="P268" i="23"/>
  <c r="P269" i="23"/>
  <c r="P270" i="23"/>
  <c r="P271" i="23"/>
  <c r="P272" i="23"/>
  <c r="P273" i="23"/>
  <c r="P274" i="23"/>
  <c r="P275" i="23"/>
  <c r="P276" i="23"/>
  <c r="P277" i="23"/>
  <c r="P278" i="23"/>
  <c r="P279" i="23"/>
  <c r="P280" i="23"/>
  <c r="P281" i="23"/>
  <c r="P282" i="23"/>
  <c r="P283" i="23"/>
  <c r="P284" i="23"/>
  <c r="P285" i="23"/>
  <c r="P286" i="23"/>
  <c r="P287" i="23"/>
  <c r="P288" i="23"/>
  <c r="P289" i="23"/>
  <c r="P290" i="23"/>
  <c r="P291" i="23"/>
  <c r="P292" i="23"/>
  <c r="P293" i="23"/>
  <c r="P294" i="23"/>
  <c r="P295" i="23"/>
  <c r="P296" i="23"/>
  <c r="P341" i="23"/>
  <c r="P345" i="23"/>
  <c r="K352" i="23"/>
  <c r="K356" i="23"/>
  <c r="K360" i="23"/>
  <c r="P395" i="23"/>
  <c r="K399" i="23"/>
  <c r="P399" i="23"/>
  <c r="K401" i="23"/>
  <c r="P401" i="23"/>
  <c r="K403" i="23"/>
  <c r="P403" i="23"/>
  <c r="K405" i="23"/>
  <c r="P405" i="23"/>
  <c r="K407" i="23"/>
  <c r="P407" i="23"/>
  <c r="K409" i="23"/>
  <c r="P409" i="23"/>
  <c r="K411" i="23"/>
  <c r="P411" i="23"/>
  <c r="K413" i="23"/>
  <c r="P413" i="23"/>
  <c r="K415" i="23"/>
  <c r="P415" i="23"/>
  <c r="K417" i="23"/>
  <c r="P417" i="23"/>
  <c r="K419" i="23"/>
  <c r="P419" i="23"/>
  <c r="P431" i="23"/>
  <c r="K431" i="23"/>
  <c r="P436" i="23"/>
  <c r="K436" i="23"/>
  <c r="P439" i="23"/>
  <c r="K439" i="23"/>
  <c r="P444" i="23"/>
  <c r="K444" i="23"/>
  <c r="K480" i="23"/>
  <c r="P480" i="23"/>
  <c r="K351" i="23"/>
  <c r="K355" i="23"/>
  <c r="K359" i="23"/>
  <c r="K363" i="23"/>
  <c r="P463" i="23"/>
  <c r="K463" i="23"/>
  <c r="P465" i="23"/>
  <c r="K465" i="23"/>
  <c r="P467" i="23"/>
  <c r="K467" i="23"/>
  <c r="P469" i="23"/>
  <c r="K469" i="23"/>
  <c r="P471" i="23"/>
  <c r="K471" i="23"/>
  <c r="P473" i="23"/>
  <c r="K473" i="23"/>
  <c r="P475" i="23"/>
  <c r="K475" i="23"/>
  <c r="P477" i="23"/>
  <c r="K477" i="23"/>
  <c r="P479" i="23"/>
  <c r="K479" i="23"/>
  <c r="P4" i="23"/>
  <c r="K400" i="23"/>
  <c r="P400" i="23"/>
  <c r="K402" i="23"/>
  <c r="P402" i="23"/>
  <c r="K404" i="23"/>
  <c r="P404" i="23"/>
  <c r="K406" i="23"/>
  <c r="P406" i="23"/>
  <c r="K408" i="23"/>
  <c r="P408" i="23"/>
  <c r="K410" i="23"/>
  <c r="P410" i="23"/>
  <c r="K412" i="23"/>
  <c r="P412" i="23"/>
  <c r="K414" i="23"/>
  <c r="P414" i="23"/>
  <c r="K416" i="23"/>
  <c r="P416" i="23"/>
  <c r="K418" i="23"/>
  <c r="P418" i="23"/>
  <c r="P432" i="23"/>
  <c r="K432" i="23"/>
  <c r="P435" i="23"/>
  <c r="K435" i="23"/>
  <c r="P440" i="23"/>
  <c r="K440" i="23"/>
  <c r="K484" i="23"/>
  <c r="P484" i="23"/>
  <c r="P3" i="23"/>
  <c r="P462" i="23"/>
  <c r="K462" i="23"/>
  <c r="P464" i="23"/>
  <c r="K464" i="23"/>
  <c r="P466" i="23"/>
  <c r="K466" i="23"/>
  <c r="P468" i="23"/>
  <c r="K468" i="23"/>
  <c r="P470" i="23"/>
  <c r="K470" i="23"/>
  <c r="P472" i="23"/>
  <c r="K472" i="23"/>
  <c r="P474" i="23"/>
  <c r="K474" i="23"/>
  <c r="P476" i="23"/>
  <c r="K476" i="23"/>
  <c r="P478" i="23"/>
  <c r="K478" i="23"/>
  <c r="P483" i="23"/>
  <c r="P487" i="23"/>
  <c r="P491" i="23"/>
  <c r="K494" i="23"/>
  <c r="K498" i="23"/>
  <c r="K502" i="23"/>
  <c r="K506" i="23"/>
  <c r="K510" i="23"/>
  <c r="K546" i="23"/>
  <c r="K547" i="23"/>
  <c r="K548" i="23"/>
  <c r="K549" i="23"/>
  <c r="K550" i="23"/>
  <c r="K551" i="23"/>
  <c r="K552" i="23"/>
  <c r="K553" i="23"/>
  <c r="K554" i="23"/>
  <c r="K555" i="23"/>
  <c r="P576" i="23"/>
  <c r="P591" i="23"/>
  <c r="K443" i="23"/>
  <c r="P490" i="23"/>
  <c r="K493" i="23"/>
  <c r="K497" i="23"/>
  <c r="K501" i="23"/>
  <c r="K505" i="23"/>
  <c r="K509" i="23"/>
  <c r="K578" i="23"/>
  <c r="P578" i="23"/>
  <c r="K580" i="23"/>
  <c r="P580" i="23"/>
  <c r="K594" i="23"/>
  <c r="P594" i="23"/>
  <c r="K596" i="23"/>
  <c r="P596" i="23"/>
  <c r="K598" i="23"/>
  <c r="P598" i="23"/>
  <c r="K600" i="23"/>
  <c r="P600" i="23"/>
  <c r="K602" i="23"/>
  <c r="P602" i="23"/>
  <c r="K604" i="23"/>
  <c r="P604" i="23"/>
  <c r="K606" i="23"/>
  <c r="P606" i="23"/>
  <c r="P488" i="23"/>
  <c r="P492" i="23"/>
  <c r="P573" i="23"/>
  <c r="K577" i="23"/>
  <c r="P577" i="23"/>
  <c r="K579" i="23"/>
  <c r="P579" i="23"/>
  <c r="K581" i="23"/>
  <c r="P581" i="23"/>
  <c r="P592" i="23"/>
  <c r="K595" i="23"/>
  <c r="P595" i="23"/>
  <c r="K597" i="23"/>
  <c r="P597" i="23"/>
  <c r="K599" i="23"/>
  <c r="P599" i="23"/>
  <c r="K601" i="23"/>
  <c r="P601" i="23"/>
  <c r="K603" i="23"/>
  <c r="P603" i="23"/>
  <c r="K605" i="23"/>
  <c r="P605" i="23"/>
  <c r="K607" i="23"/>
  <c r="P607" i="23"/>
  <c r="P622" i="23"/>
  <c r="P623" i="23"/>
  <c r="P624" i="23"/>
  <c r="P625" i="23"/>
  <c r="P626" i="23"/>
  <c r="P627" i="23"/>
  <c r="P628" i="23"/>
  <c r="P629" i="23"/>
  <c r="P630" i="23"/>
  <c r="P631" i="23"/>
  <c r="P653" i="23"/>
  <c r="P654" i="23"/>
  <c r="P655" i="23"/>
  <c r="P656" i="23"/>
  <c r="P657" i="23"/>
  <c r="P658" i="23"/>
  <c r="P659" i="23"/>
  <c r="P660" i="23"/>
  <c r="P661" i="23"/>
  <c r="P694" i="23"/>
  <c r="P695" i="23"/>
  <c r="P696" i="23"/>
  <c r="P697" i="23"/>
  <c r="P698" i="23"/>
  <c r="P699" i="23"/>
  <c r="P700" i="23"/>
  <c r="P701" i="23"/>
  <c r="P702" i="23"/>
  <c r="P703" i="23"/>
  <c r="P704" i="23"/>
  <c r="P705" i="23"/>
  <c r="P706" i="23"/>
  <c r="P707" i="23"/>
  <c r="P708" i="23"/>
  <c r="P709" i="23"/>
  <c r="P710" i="23"/>
  <c r="P711" i="23"/>
  <c r="P712" i="23"/>
  <c r="P713" i="23"/>
  <c r="P714" i="23"/>
  <c r="P715" i="23"/>
  <c r="P753" i="23"/>
  <c r="P757" i="23"/>
  <c r="K760" i="23"/>
  <c r="P784" i="23"/>
  <c r="K787" i="23"/>
  <c r="K791" i="23"/>
  <c r="P816" i="23"/>
  <c r="K819" i="23"/>
  <c r="K823" i="23"/>
  <c r="K827" i="23"/>
  <c r="K831" i="23"/>
  <c r="K835" i="23"/>
  <c r="K839" i="23"/>
  <c r="K759" i="23"/>
  <c r="K790" i="23"/>
  <c r="K822" i="23"/>
  <c r="K826" i="23"/>
  <c r="K830" i="23"/>
  <c r="K834" i="23"/>
  <c r="K838" i="23"/>
  <c r="P854" i="23"/>
  <c r="K854" i="23"/>
  <c r="P856" i="23"/>
  <c r="K856" i="23"/>
  <c r="P858" i="23"/>
  <c r="K858" i="23"/>
  <c r="P860" i="23"/>
  <c r="K860" i="23"/>
  <c r="P862" i="23"/>
  <c r="K862" i="23"/>
  <c r="P864" i="23"/>
  <c r="K864" i="23"/>
  <c r="P866" i="23"/>
  <c r="K866" i="23"/>
  <c r="P782" i="23"/>
  <c r="P786" i="23"/>
  <c r="P814" i="23"/>
  <c r="P818" i="23"/>
  <c r="P853" i="23"/>
  <c r="K853" i="23"/>
  <c r="P855" i="23"/>
  <c r="K855" i="23"/>
  <c r="P857" i="23"/>
  <c r="K857" i="23"/>
  <c r="P859" i="23"/>
  <c r="K859" i="23"/>
  <c r="P861" i="23"/>
  <c r="K861" i="23"/>
  <c r="P863" i="23"/>
  <c r="K863" i="23"/>
  <c r="P865" i="23"/>
  <c r="K865" i="23"/>
  <c r="P867" i="23"/>
  <c r="P868" i="23"/>
  <c r="P869" i="23"/>
  <c r="P870" i="23"/>
  <c r="P871" i="23"/>
  <c r="P872" i="23"/>
  <c r="P873" i="23"/>
  <c r="P874" i="23"/>
  <c r="K888" i="23"/>
  <c r="K889" i="23"/>
  <c r="K890" i="23"/>
  <c r="K891" i="23"/>
  <c r="K892" i="23"/>
  <c r="K893" i="23"/>
  <c r="K894" i="23"/>
  <c r="K895" i="23"/>
  <c r="K896" i="23"/>
  <c r="K897" i="23"/>
  <c r="K898" i="23"/>
  <c r="K899" i="23"/>
  <c r="K900" i="23"/>
  <c r="K901" i="23"/>
  <c r="K902" i="23"/>
  <c r="K903" i="23"/>
  <c r="K904" i="23"/>
  <c r="K905" i="23"/>
  <c r="K906" i="23"/>
  <c r="K907" i="23"/>
  <c r="K908" i="23"/>
  <c r="K909" i="23"/>
  <c r="K910" i="23"/>
  <c r="K911" i="23"/>
  <c r="K912" i="23"/>
  <c r="K913" i="23"/>
  <c r="K914" i="23"/>
  <c r="K915" i="23"/>
  <c r="K916" i="23"/>
  <c r="K917" i="23"/>
  <c r="P918" i="23"/>
  <c r="P919" i="23"/>
  <c r="K956" i="23"/>
  <c r="K957" i="23"/>
  <c r="K958" i="23"/>
  <c r="K959" i="23"/>
  <c r="K960" i="23"/>
  <c r="K961" i="23"/>
  <c r="K962" i="23"/>
  <c r="K963" i="23"/>
  <c r="K964" i="23"/>
  <c r="K965" i="23"/>
  <c r="K966" i="23"/>
  <c r="K967" i="23"/>
  <c r="K968" i="23"/>
  <c r="K969" i="23"/>
  <c r="K970" i="23"/>
  <c r="K971" i="23"/>
  <c r="P972" i="23"/>
  <c r="P973" i="23"/>
  <c r="P974" i="23"/>
  <c r="P975" i="23"/>
  <c r="P976" i="23"/>
  <c r="P977" i="23"/>
  <c r="P978" i="23"/>
  <c r="P979" i="23"/>
  <c r="P980" i="23"/>
  <c r="P981" i="23"/>
  <c r="P982" i="23"/>
  <c r="P983" i="23"/>
  <c r="K1021" i="23"/>
  <c r="K1037" i="23"/>
  <c r="K1038" i="23"/>
  <c r="K1039" i="23"/>
  <c r="K1040" i="23"/>
  <c r="K1041" i="23"/>
  <c r="K1042" i="23"/>
  <c r="K1043" i="23"/>
  <c r="K1044" i="23"/>
  <c r="K1045" i="23"/>
  <c r="K1046" i="23"/>
  <c r="K1047" i="23"/>
  <c r="K1048" i="23"/>
  <c r="K1049" i="23"/>
  <c r="K1050" i="23"/>
  <c r="K1051" i="23"/>
  <c r="K1052" i="23"/>
  <c r="K1053" i="23"/>
  <c r="K1054" i="23"/>
  <c r="K1055" i="23"/>
  <c r="K1056" i="23"/>
  <c r="K1057" i="23"/>
  <c r="P1059" i="23"/>
  <c r="K1059" i="23"/>
  <c r="P1061" i="23"/>
  <c r="K1061" i="23"/>
  <c r="P1063" i="23"/>
  <c r="K1063" i="23"/>
  <c r="P1065" i="23"/>
  <c r="K1065" i="23"/>
  <c r="P1067" i="23"/>
  <c r="K1067" i="23"/>
  <c r="P1069" i="23"/>
  <c r="K1069" i="23"/>
  <c r="P1071" i="23"/>
  <c r="K1071" i="23"/>
  <c r="P1073" i="23"/>
  <c r="K1073" i="23"/>
  <c r="P1075" i="23"/>
  <c r="K1075" i="23"/>
  <c r="P1077" i="23"/>
  <c r="K1077" i="23"/>
  <c r="P1079" i="23"/>
  <c r="K1079" i="23"/>
  <c r="P1081" i="23"/>
  <c r="K1081" i="23"/>
  <c r="P1083" i="23"/>
  <c r="K1083" i="23"/>
  <c r="P1099" i="23"/>
  <c r="P1103" i="23"/>
  <c r="P1106" i="23"/>
  <c r="K1106" i="23"/>
  <c r="P1118" i="23"/>
  <c r="K1020" i="23"/>
  <c r="P1121" i="23"/>
  <c r="K1121" i="23"/>
  <c r="P1123" i="23"/>
  <c r="K1123" i="23"/>
  <c r="P1125" i="23"/>
  <c r="K1125" i="23"/>
  <c r="P1058" i="23"/>
  <c r="K1058" i="23"/>
  <c r="P1060" i="23"/>
  <c r="K1060" i="23"/>
  <c r="P1062" i="23"/>
  <c r="K1062" i="23"/>
  <c r="P1064" i="23"/>
  <c r="K1064" i="23"/>
  <c r="P1066" i="23"/>
  <c r="K1066" i="23"/>
  <c r="P1068" i="23"/>
  <c r="K1068" i="23"/>
  <c r="P1070" i="23"/>
  <c r="K1070" i="23"/>
  <c r="P1072" i="23"/>
  <c r="K1072" i="23"/>
  <c r="P1074" i="23"/>
  <c r="K1074" i="23"/>
  <c r="P1076" i="23"/>
  <c r="K1076" i="23"/>
  <c r="P1078" i="23"/>
  <c r="K1078" i="23"/>
  <c r="P1080" i="23"/>
  <c r="K1080" i="23"/>
  <c r="P1082" i="23"/>
  <c r="K1082" i="23"/>
  <c r="P1084" i="23"/>
  <c r="K1084" i="23"/>
  <c r="P1105" i="23"/>
  <c r="K1105" i="23"/>
  <c r="P1100" i="23"/>
  <c r="P1104" i="23"/>
  <c r="P1119" i="23"/>
  <c r="P1122" i="23"/>
  <c r="K1122" i="23"/>
  <c r="P1124" i="23"/>
  <c r="K1124" i="23"/>
  <c r="K1140" i="23"/>
  <c r="K1141" i="23"/>
  <c r="K1142" i="23"/>
  <c r="K1143" i="23"/>
  <c r="K1164" i="23"/>
  <c r="K1165" i="23"/>
  <c r="K1166" i="23"/>
  <c r="K1167" i="23"/>
  <c r="K1176" i="23"/>
  <c r="K1177" i="23"/>
  <c r="N1193" i="22"/>
  <c r="P1193" i="22" s="1"/>
  <c r="M1193" i="22"/>
  <c r="N1192" i="22"/>
  <c r="P1192" i="22" s="1"/>
  <c r="M1192" i="22"/>
  <c r="N1191" i="22"/>
  <c r="P1191" i="22" s="1"/>
  <c r="M1191" i="22"/>
  <c r="N1190" i="22"/>
  <c r="P1190" i="22" s="1"/>
  <c r="M1190" i="22"/>
  <c r="N1189" i="22"/>
  <c r="P1189" i="22" s="1"/>
  <c r="M1189" i="22"/>
  <c r="N1188" i="22"/>
  <c r="P1188" i="22" s="1"/>
  <c r="M1188" i="22"/>
  <c r="N1187" i="22"/>
  <c r="P1187" i="22" s="1"/>
  <c r="M1187" i="22"/>
  <c r="N1186" i="22"/>
  <c r="P1186" i="22" s="1"/>
  <c r="M1186" i="22"/>
  <c r="N1185" i="22"/>
  <c r="P1185" i="22" s="1"/>
  <c r="M1185" i="22"/>
  <c r="H1185" i="22"/>
  <c r="N1184" i="22"/>
  <c r="P1184" i="22" s="1"/>
  <c r="M1184" i="22"/>
  <c r="K1184" i="22"/>
  <c r="N1183" i="22"/>
  <c r="M1183" i="22"/>
  <c r="N1182" i="22"/>
  <c r="M1182" i="22"/>
  <c r="H1182" i="22"/>
  <c r="N1181" i="22"/>
  <c r="K1181" i="22" s="1"/>
  <c r="M1181" i="22"/>
  <c r="P1180" i="22"/>
  <c r="N1180" i="22"/>
  <c r="K1180" i="22" s="1"/>
  <c r="M1180" i="22"/>
  <c r="H1180" i="22"/>
  <c r="N1179" i="22"/>
  <c r="M1179" i="22"/>
  <c r="N1178" i="22"/>
  <c r="M1178" i="22"/>
  <c r="H1178" i="22"/>
  <c r="N1177" i="22"/>
  <c r="K1177" i="22" s="1"/>
  <c r="M1177" i="22"/>
  <c r="N1176" i="22"/>
  <c r="M1176" i="22"/>
  <c r="H1176" i="22"/>
  <c r="N1175" i="22"/>
  <c r="P1175" i="22" s="1"/>
  <c r="M1175" i="22"/>
  <c r="K1175" i="22"/>
  <c r="N1174" i="22"/>
  <c r="P1174" i="22" s="1"/>
  <c r="M1174" i="22"/>
  <c r="K1174" i="22"/>
  <c r="H1174" i="22"/>
  <c r="N1173" i="22"/>
  <c r="P1173" i="22" s="1"/>
  <c r="M1173" i="22"/>
  <c r="K1173" i="22"/>
  <c r="N1172" i="22"/>
  <c r="P1172" i="22" s="1"/>
  <c r="M1172" i="22"/>
  <c r="K1172" i="22"/>
  <c r="N1171" i="22"/>
  <c r="P1171" i="22" s="1"/>
  <c r="M1171" i="22"/>
  <c r="K1171" i="22"/>
  <c r="N1170" i="22"/>
  <c r="P1170" i="22" s="1"/>
  <c r="M1170" i="22"/>
  <c r="K1170" i="22"/>
  <c r="H1170" i="22"/>
  <c r="N1169" i="22"/>
  <c r="P1169" i="22" s="1"/>
  <c r="M1169" i="22"/>
  <c r="K1169" i="22"/>
  <c r="N1168" i="22"/>
  <c r="P1168" i="22" s="1"/>
  <c r="M1168" i="22"/>
  <c r="K1168" i="22"/>
  <c r="H1168" i="22"/>
  <c r="N1167" i="22"/>
  <c r="K1167" i="22" s="1"/>
  <c r="M1167" i="22"/>
  <c r="P1166" i="22"/>
  <c r="N1166" i="22"/>
  <c r="K1166" i="22" s="1"/>
  <c r="M1166" i="22"/>
  <c r="N1165" i="22"/>
  <c r="K1165" i="22" s="1"/>
  <c r="M1165" i="22"/>
  <c r="N1164" i="22"/>
  <c r="M1164" i="22"/>
  <c r="H1164" i="22"/>
  <c r="N1163" i="22"/>
  <c r="K1163" i="22" s="1"/>
  <c r="M1163" i="22"/>
  <c r="N1162" i="22"/>
  <c r="K1162" i="22" s="1"/>
  <c r="M1162" i="22"/>
  <c r="H1162" i="22"/>
  <c r="N1161" i="22"/>
  <c r="M1161" i="22"/>
  <c r="N1160" i="22"/>
  <c r="K1160" i="22" s="1"/>
  <c r="M1160" i="22"/>
  <c r="P1159" i="22"/>
  <c r="N1159" i="22"/>
  <c r="K1159" i="22" s="1"/>
  <c r="M1159" i="22"/>
  <c r="N1158" i="22"/>
  <c r="K1158" i="22" s="1"/>
  <c r="M1158" i="22"/>
  <c r="N1157" i="22"/>
  <c r="M1157" i="22"/>
  <c r="N1156" i="22"/>
  <c r="K1156" i="22" s="1"/>
  <c r="M1156" i="22"/>
  <c r="P1155" i="22"/>
  <c r="N1155" i="22"/>
  <c r="K1155" i="22" s="1"/>
  <c r="M1155" i="22"/>
  <c r="N1154" i="22"/>
  <c r="K1154" i="22" s="1"/>
  <c r="M1154" i="22"/>
  <c r="N1153" i="22"/>
  <c r="M1153" i="22"/>
  <c r="N1152" i="22"/>
  <c r="K1152" i="22" s="1"/>
  <c r="M1152" i="22"/>
  <c r="P1151" i="22"/>
  <c r="N1151" i="22"/>
  <c r="K1151" i="22" s="1"/>
  <c r="M1151" i="22"/>
  <c r="N1150" i="22"/>
  <c r="K1150" i="22" s="1"/>
  <c r="M1150" i="22"/>
  <c r="H1150" i="22"/>
  <c r="N1149" i="22"/>
  <c r="M1149" i="22"/>
  <c r="N1148" i="22"/>
  <c r="M1148" i="22"/>
  <c r="N1147" i="22"/>
  <c r="P1147" i="22" s="1"/>
  <c r="M1147" i="22"/>
  <c r="K1147" i="22"/>
  <c r="N1146" i="22"/>
  <c r="P1146" i="22" s="1"/>
  <c r="M1146" i="22"/>
  <c r="K1146" i="22"/>
  <c r="N1145" i="22"/>
  <c r="M1145" i="22"/>
  <c r="N1144" i="22"/>
  <c r="M1144" i="22"/>
  <c r="H1144" i="22"/>
  <c r="N1143" i="22"/>
  <c r="M1143" i="22"/>
  <c r="N1142" i="22"/>
  <c r="M1142" i="22"/>
  <c r="N1141" i="22"/>
  <c r="K1141" i="22" s="1"/>
  <c r="M1141" i="22"/>
  <c r="P1140" i="22"/>
  <c r="N1140" i="22"/>
  <c r="K1140" i="22" s="1"/>
  <c r="M1140" i="22"/>
  <c r="H1140" i="22"/>
  <c r="N1139" i="22"/>
  <c r="K1139" i="22" s="1"/>
  <c r="M1139" i="22"/>
  <c r="N1138" i="22"/>
  <c r="K1138" i="22" s="1"/>
  <c r="M1138" i="22"/>
  <c r="N1137" i="22"/>
  <c r="K1137" i="22" s="1"/>
  <c r="M1137" i="22"/>
  <c r="N1136" i="22"/>
  <c r="K1136" i="22" s="1"/>
  <c r="M1136" i="22"/>
  <c r="N1135" i="22"/>
  <c r="K1135" i="22" s="1"/>
  <c r="M1135" i="22"/>
  <c r="H1135" i="22"/>
  <c r="P1134" i="22"/>
  <c r="N1134" i="22"/>
  <c r="K1134" i="22" s="1"/>
  <c r="M1134" i="22"/>
  <c r="N1133" i="22"/>
  <c r="K1133" i="22" s="1"/>
  <c r="M1133" i="22"/>
  <c r="N1132" i="22"/>
  <c r="M1132" i="22"/>
  <c r="N1131" i="22"/>
  <c r="K1131" i="22" s="1"/>
  <c r="M1131" i="22"/>
  <c r="P1130" i="22"/>
  <c r="N1130" i="22"/>
  <c r="K1130" i="22" s="1"/>
  <c r="M1130" i="22"/>
  <c r="H1130" i="22"/>
  <c r="N1129" i="22"/>
  <c r="M1129" i="22"/>
  <c r="N1128" i="22"/>
  <c r="M1128" i="22"/>
  <c r="N1127" i="22"/>
  <c r="P1127" i="22" s="1"/>
  <c r="M1127" i="22"/>
  <c r="K1127" i="22"/>
  <c r="N1126" i="22"/>
  <c r="P1126" i="22" s="1"/>
  <c r="M1126" i="22"/>
  <c r="K1126" i="22"/>
  <c r="H1126" i="22"/>
  <c r="N1125" i="22"/>
  <c r="K1125" i="22" s="1"/>
  <c r="M1125" i="22"/>
  <c r="P1124" i="22"/>
  <c r="N1124" i="22"/>
  <c r="K1124" i="22" s="1"/>
  <c r="M1124" i="22"/>
  <c r="P1123" i="22"/>
  <c r="N1123" i="22"/>
  <c r="K1123" i="22" s="1"/>
  <c r="M1123" i="22"/>
  <c r="N1122" i="22"/>
  <c r="M1122" i="22"/>
  <c r="N1121" i="22"/>
  <c r="K1121" i="22" s="1"/>
  <c r="M1121" i="22"/>
  <c r="H1121" i="22"/>
  <c r="N1120" i="22"/>
  <c r="K1120" i="22" s="1"/>
  <c r="M1120" i="22"/>
  <c r="N1119" i="22"/>
  <c r="K1119" i="22" s="1"/>
  <c r="M1119" i="22"/>
  <c r="N1118" i="22"/>
  <c r="K1118" i="22" s="1"/>
  <c r="M1118" i="22"/>
  <c r="N1117" i="22"/>
  <c r="K1117" i="22" s="1"/>
  <c r="M1117" i="22"/>
  <c r="H1117" i="22"/>
  <c r="N1116" i="22"/>
  <c r="M1116" i="22"/>
  <c r="N1115" i="22"/>
  <c r="M1115" i="22"/>
  <c r="N1114" i="22"/>
  <c r="M1114" i="22"/>
  <c r="N1113" i="22"/>
  <c r="M1113" i="22"/>
  <c r="N1112" i="22"/>
  <c r="M1112" i="22"/>
  <c r="H1112" i="22"/>
  <c r="N1111" i="22"/>
  <c r="M1111" i="22"/>
  <c r="N1110" i="22"/>
  <c r="P1110" i="22" s="1"/>
  <c r="M1110" i="22"/>
  <c r="K1110" i="22"/>
  <c r="N1109" i="22"/>
  <c r="P1109" i="22" s="1"/>
  <c r="M1109" i="22"/>
  <c r="K1109" i="22"/>
  <c r="N1108" i="22"/>
  <c r="M1108" i="22"/>
  <c r="N1107" i="22"/>
  <c r="M1107" i="22"/>
  <c r="H1107" i="22"/>
  <c r="N1106" i="22"/>
  <c r="K1106" i="22" s="1"/>
  <c r="M1106" i="22"/>
  <c r="N1105" i="22"/>
  <c r="M1105" i="22"/>
  <c r="H1105" i="22"/>
  <c r="N1104" i="22"/>
  <c r="K1104" i="22" s="1"/>
  <c r="M1104" i="22"/>
  <c r="N1103" i="22"/>
  <c r="K1103" i="22" s="1"/>
  <c r="M1103" i="22"/>
  <c r="N1102" i="22"/>
  <c r="K1102" i="22" s="1"/>
  <c r="M1102" i="22"/>
  <c r="N1101" i="22"/>
  <c r="K1101" i="22" s="1"/>
  <c r="M1101" i="22"/>
  <c r="N1100" i="22"/>
  <c r="K1100" i="22" s="1"/>
  <c r="M1100" i="22"/>
  <c r="N1099" i="22"/>
  <c r="K1099" i="22" s="1"/>
  <c r="M1099" i="22"/>
  <c r="H1099" i="22"/>
  <c r="P1098" i="22"/>
  <c r="N1098" i="22"/>
  <c r="K1098" i="22" s="1"/>
  <c r="M1098" i="22"/>
  <c r="N1097" i="22"/>
  <c r="K1097" i="22" s="1"/>
  <c r="M1097" i="22"/>
  <c r="N1096" i="22"/>
  <c r="M1096" i="22"/>
  <c r="N1095" i="22"/>
  <c r="K1095" i="22" s="1"/>
  <c r="M1095" i="22"/>
  <c r="P1094" i="22"/>
  <c r="N1094" i="22"/>
  <c r="K1094" i="22" s="1"/>
  <c r="M1094" i="22"/>
  <c r="N1093" i="22"/>
  <c r="K1093" i="22" s="1"/>
  <c r="M1093" i="22"/>
  <c r="H1093" i="22"/>
  <c r="N1092" i="22"/>
  <c r="M1092" i="22"/>
  <c r="N1091" i="22"/>
  <c r="M1091" i="22"/>
  <c r="N1090" i="22"/>
  <c r="P1090" i="22" s="1"/>
  <c r="M1090" i="22"/>
  <c r="K1090" i="22"/>
  <c r="N1089" i="22"/>
  <c r="P1089" i="22" s="1"/>
  <c r="M1089" i="22"/>
  <c r="K1089" i="22"/>
  <c r="N1088" i="22"/>
  <c r="M1088" i="22"/>
  <c r="N1087" i="22"/>
  <c r="M1087" i="22"/>
  <c r="N1086" i="22"/>
  <c r="P1086" i="22" s="1"/>
  <c r="M1086" i="22"/>
  <c r="K1086" i="22"/>
  <c r="N1085" i="22"/>
  <c r="P1085" i="22" s="1"/>
  <c r="M1085" i="22"/>
  <c r="K1085" i="22"/>
  <c r="H1085" i="22"/>
  <c r="N1084" i="22"/>
  <c r="K1084" i="22" s="1"/>
  <c r="M1084" i="22"/>
  <c r="P1083" i="22"/>
  <c r="N1083" i="22"/>
  <c r="K1083" i="22" s="1"/>
  <c r="M1083" i="22"/>
  <c r="N1082" i="22"/>
  <c r="K1082" i="22" s="1"/>
  <c r="M1082" i="22"/>
  <c r="N1081" i="22"/>
  <c r="M1081" i="22"/>
  <c r="N1080" i="22"/>
  <c r="K1080" i="22" s="1"/>
  <c r="M1080" i="22"/>
  <c r="P1079" i="22"/>
  <c r="N1079" i="22"/>
  <c r="K1079" i="22" s="1"/>
  <c r="M1079" i="22"/>
  <c r="P1078" i="22"/>
  <c r="N1078" i="22"/>
  <c r="K1078" i="22" s="1"/>
  <c r="M1078" i="22"/>
  <c r="N1077" i="22"/>
  <c r="K1077" i="22" s="1"/>
  <c r="M1077" i="22"/>
  <c r="N1076" i="22"/>
  <c r="K1076" i="22" s="1"/>
  <c r="M1076" i="22"/>
  <c r="N1075" i="22"/>
  <c r="M1075" i="22"/>
  <c r="N1074" i="22"/>
  <c r="K1074" i="22" s="1"/>
  <c r="M1074" i="22"/>
  <c r="N1073" i="22"/>
  <c r="K1073" i="22" s="1"/>
  <c r="M1073" i="22"/>
  <c r="N1072" i="22"/>
  <c r="K1072" i="22" s="1"/>
  <c r="M1072" i="22"/>
  <c r="P1071" i="22"/>
  <c r="N1071" i="22"/>
  <c r="K1071" i="22" s="1"/>
  <c r="M1071" i="22"/>
  <c r="N1070" i="22"/>
  <c r="K1070" i="22" s="1"/>
  <c r="M1070" i="22"/>
  <c r="N1069" i="22"/>
  <c r="K1069" i="22" s="1"/>
  <c r="M1069" i="22"/>
  <c r="N1068" i="22"/>
  <c r="K1068" i="22" s="1"/>
  <c r="M1068" i="22"/>
  <c r="N1067" i="22"/>
  <c r="M1067" i="22"/>
  <c r="N1066" i="22"/>
  <c r="K1066" i="22" s="1"/>
  <c r="M1066" i="22"/>
  <c r="N1065" i="22"/>
  <c r="K1065" i="22" s="1"/>
  <c r="M1065" i="22"/>
  <c r="N1064" i="22"/>
  <c r="K1064" i="22" s="1"/>
  <c r="M1064" i="22"/>
  <c r="P1063" i="22"/>
  <c r="N1063" i="22"/>
  <c r="K1063" i="22" s="1"/>
  <c r="M1063" i="22"/>
  <c r="N1062" i="22"/>
  <c r="K1062" i="22" s="1"/>
  <c r="M1062" i="22"/>
  <c r="N1061" i="22"/>
  <c r="K1061" i="22" s="1"/>
  <c r="M1061" i="22"/>
  <c r="N1060" i="22"/>
  <c r="K1060" i="22" s="1"/>
  <c r="M1060" i="22"/>
  <c r="N1059" i="22"/>
  <c r="M1059" i="22"/>
  <c r="N1058" i="22"/>
  <c r="K1058" i="22" s="1"/>
  <c r="M1058" i="22"/>
  <c r="H1058" i="22"/>
  <c r="N1057" i="22"/>
  <c r="P1057" i="22" s="1"/>
  <c r="M1057" i="22"/>
  <c r="K1057" i="22"/>
  <c r="N1056" i="22"/>
  <c r="P1056" i="22" s="1"/>
  <c r="M1056" i="22"/>
  <c r="K1056" i="22"/>
  <c r="N1055" i="22"/>
  <c r="P1055" i="22" s="1"/>
  <c r="M1055" i="22"/>
  <c r="K1055" i="22"/>
  <c r="N1054" i="22"/>
  <c r="P1054" i="22" s="1"/>
  <c r="M1054" i="22"/>
  <c r="K1054" i="22"/>
  <c r="N1053" i="22"/>
  <c r="P1053" i="22" s="1"/>
  <c r="M1053" i="22"/>
  <c r="K1053" i="22"/>
  <c r="N1052" i="22"/>
  <c r="P1052" i="22" s="1"/>
  <c r="M1052" i="22"/>
  <c r="K1052" i="22"/>
  <c r="N1051" i="22"/>
  <c r="P1051" i="22" s="1"/>
  <c r="M1051" i="22"/>
  <c r="K1051" i="22"/>
  <c r="N1050" i="22"/>
  <c r="P1050" i="22" s="1"/>
  <c r="M1050" i="22"/>
  <c r="K1050" i="22"/>
  <c r="N1049" i="22"/>
  <c r="P1049" i="22" s="1"/>
  <c r="M1049" i="22"/>
  <c r="K1049" i="22"/>
  <c r="N1048" i="22"/>
  <c r="P1048" i="22" s="1"/>
  <c r="M1048" i="22"/>
  <c r="K1048" i="22"/>
  <c r="N1047" i="22"/>
  <c r="P1047" i="22" s="1"/>
  <c r="M1047" i="22"/>
  <c r="K1047" i="22"/>
  <c r="N1046" i="22"/>
  <c r="P1046" i="22" s="1"/>
  <c r="M1046" i="22"/>
  <c r="K1046" i="22"/>
  <c r="N1045" i="22"/>
  <c r="P1045" i="22" s="1"/>
  <c r="M1045" i="22"/>
  <c r="K1045" i="22"/>
  <c r="N1044" i="22"/>
  <c r="P1044" i="22" s="1"/>
  <c r="M1044" i="22"/>
  <c r="K1044" i="22"/>
  <c r="N1043" i="22"/>
  <c r="P1043" i="22" s="1"/>
  <c r="M1043" i="22"/>
  <c r="K1043" i="22"/>
  <c r="N1042" i="22"/>
  <c r="P1042" i="22" s="1"/>
  <c r="M1042" i="22"/>
  <c r="K1042" i="22"/>
  <c r="N1041" i="22"/>
  <c r="P1041" i="22" s="1"/>
  <c r="M1041" i="22"/>
  <c r="K1041" i="22"/>
  <c r="N1040" i="22"/>
  <c r="P1040" i="22" s="1"/>
  <c r="M1040" i="22"/>
  <c r="K1040" i="22"/>
  <c r="N1039" i="22"/>
  <c r="P1039" i="22" s="1"/>
  <c r="M1039" i="22"/>
  <c r="K1039" i="22"/>
  <c r="N1038" i="22"/>
  <c r="P1038" i="22" s="1"/>
  <c r="M1038" i="22"/>
  <c r="K1038" i="22"/>
  <c r="N1037" i="22"/>
  <c r="P1037" i="22" s="1"/>
  <c r="M1037" i="22"/>
  <c r="K1037" i="22"/>
  <c r="H1037" i="22"/>
  <c r="N1036" i="22"/>
  <c r="M1036" i="22"/>
  <c r="N1035" i="22"/>
  <c r="M1035" i="22"/>
  <c r="N1034" i="22"/>
  <c r="M1034" i="22"/>
  <c r="N1033" i="22"/>
  <c r="M1033" i="22"/>
  <c r="N1032" i="22"/>
  <c r="M1032" i="22"/>
  <c r="N1031" i="22"/>
  <c r="M1031" i="22"/>
  <c r="N1030" i="22"/>
  <c r="M1030" i="22"/>
  <c r="N1029" i="22"/>
  <c r="M1029" i="22"/>
  <c r="N1028" i="22"/>
  <c r="M1028" i="22"/>
  <c r="N1027" i="22"/>
  <c r="M1027" i="22"/>
  <c r="N1026" i="22"/>
  <c r="M1026" i="22"/>
  <c r="N1025" i="22"/>
  <c r="M1025" i="22"/>
  <c r="N1024" i="22"/>
  <c r="M1024" i="22"/>
  <c r="N1023" i="22"/>
  <c r="M1023" i="22"/>
  <c r="H1023" i="22"/>
  <c r="N1022" i="22"/>
  <c r="M1022" i="22"/>
  <c r="N1021" i="22"/>
  <c r="P1021" i="22" s="1"/>
  <c r="M1021" i="22"/>
  <c r="K1021" i="22"/>
  <c r="N1020" i="22"/>
  <c r="P1020" i="22" s="1"/>
  <c r="M1020" i="22"/>
  <c r="N1019" i="22"/>
  <c r="P1019" i="22" s="1"/>
  <c r="M1019" i="22"/>
  <c r="N1018" i="22"/>
  <c r="P1018" i="22" s="1"/>
  <c r="M1018" i="22"/>
  <c r="K1018" i="22"/>
  <c r="P1017" i="22"/>
  <c r="N1017" i="22"/>
  <c r="M1017" i="22"/>
  <c r="K1017" i="22"/>
  <c r="P1016" i="22"/>
  <c r="N1016" i="22"/>
  <c r="M1016" i="22"/>
  <c r="K1016" i="22"/>
  <c r="P1015" i="22"/>
  <c r="N1015" i="22"/>
  <c r="M1015" i="22"/>
  <c r="K1015" i="22"/>
  <c r="P1014" i="22"/>
  <c r="N1014" i="22"/>
  <c r="M1014" i="22"/>
  <c r="K1014" i="22"/>
  <c r="P1013" i="22"/>
  <c r="N1013" i="22"/>
  <c r="M1013" i="22"/>
  <c r="K1013" i="22"/>
  <c r="P1012" i="22"/>
  <c r="N1012" i="22"/>
  <c r="M1012" i="22"/>
  <c r="K1012" i="22"/>
  <c r="P1011" i="22"/>
  <c r="N1011" i="22"/>
  <c r="M1011" i="22"/>
  <c r="K1011" i="22"/>
  <c r="P1010" i="22"/>
  <c r="N1010" i="22"/>
  <c r="M1010" i="22"/>
  <c r="K1010" i="22"/>
  <c r="H1010" i="22"/>
  <c r="N1009" i="22"/>
  <c r="P1009" i="22" s="1"/>
  <c r="M1009" i="22"/>
  <c r="K1009" i="22"/>
  <c r="N1008" i="22"/>
  <c r="M1008" i="22"/>
  <c r="N1007" i="22"/>
  <c r="M1007" i="22"/>
  <c r="N1006" i="22"/>
  <c r="P1006" i="22" s="1"/>
  <c r="M1006" i="22"/>
  <c r="K1006" i="22"/>
  <c r="N1005" i="22"/>
  <c r="P1005" i="22" s="1"/>
  <c r="M1005" i="22"/>
  <c r="K1005" i="22"/>
  <c r="N1004" i="22"/>
  <c r="M1004" i="22"/>
  <c r="N1003" i="22"/>
  <c r="M1003" i="22"/>
  <c r="N1002" i="22"/>
  <c r="P1002" i="22" s="1"/>
  <c r="M1002" i="22"/>
  <c r="K1002" i="22"/>
  <c r="N1001" i="22"/>
  <c r="P1001" i="22" s="1"/>
  <c r="M1001" i="22"/>
  <c r="K1001" i="22"/>
  <c r="N1000" i="22"/>
  <c r="M1000" i="22"/>
  <c r="N999" i="22"/>
  <c r="M999" i="22"/>
  <c r="N998" i="22"/>
  <c r="P998" i="22" s="1"/>
  <c r="M998" i="22"/>
  <c r="K998" i="22"/>
  <c r="N997" i="22"/>
  <c r="P997" i="22" s="1"/>
  <c r="M997" i="22"/>
  <c r="K997" i="22"/>
  <c r="N996" i="22"/>
  <c r="M996" i="22"/>
  <c r="N995" i="22"/>
  <c r="M995" i="22"/>
  <c r="N994" i="22"/>
  <c r="P994" i="22" s="1"/>
  <c r="M994" i="22"/>
  <c r="K994" i="22"/>
  <c r="N993" i="22"/>
  <c r="P993" i="22" s="1"/>
  <c r="M993" i="22"/>
  <c r="K993" i="22"/>
  <c r="N992" i="22"/>
  <c r="M992" i="22"/>
  <c r="N991" i="22"/>
  <c r="M991" i="22"/>
  <c r="N990" i="22"/>
  <c r="P990" i="22" s="1"/>
  <c r="M990" i="22"/>
  <c r="K990" i="22"/>
  <c r="N989" i="22"/>
  <c r="P989" i="22" s="1"/>
  <c r="M989" i="22"/>
  <c r="K989" i="22"/>
  <c r="N988" i="22"/>
  <c r="M988" i="22"/>
  <c r="N987" i="22"/>
  <c r="M987" i="22"/>
  <c r="N986" i="22"/>
  <c r="P986" i="22" s="1"/>
  <c r="M986" i="22"/>
  <c r="K986" i="22"/>
  <c r="N985" i="22"/>
  <c r="P985" i="22" s="1"/>
  <c r="M985" i="22"/>
  <c r="K985" i="22"/>
  <c r="N984" i="22"/>
  <c r="M984" i="22"/>
  <c r="H984" i="22"/>
  <c r="N983" i="22"/>
  <c r="P983" i="22" s="1"/>
  <c r="M983" i="22"/>
  <c r="N982" i="22"/>
  <c r="P982" i="22" s="1"/>
  <c r="M982" i="22"/>
  <c r="N981" i="22"/>
  <c r="P981" i="22" s="1"/>
  <c r="M981" i="22"/>
  <c r="N980" i="22"/>
  <c r="P980" i="22" s="1"/>
  <c r="M980" i="22"/>
  <c r="N979" i="22"/>
  <c r="P979" i="22" s="1"/>
  <c r="M979" i="22"/>
  <c r="N978" i="22"/>
  <c r="P978" i="22" s="1"/>
  <c r="M978" i="22"/>
  <c r="N977" i="22"/>
  <c r="P977" i="22" s="1"/>
  <c r="M977" i="22"/>
  <c r="N976" i="22"/>
  <c r="P976" i="22" s="1"/>
  <c r="M976" i="22"/>
  <c r="N975" i="22"/>
  <c r="P975" i="22" s="1"/>
  <c r="M975" i="22"/>
  <c r="N974" i="22"/>
  <c r="P974" i="22" s="1"/>
  <c r="M974" i="22"/>
  <c r="N973" i="22"/>
  <c r="P973" i="22" s="1"/>
  <c r="M973" i="22"/>
  <c r="N972" i="22"/>
  <c r="P972" i="22" s="1"/>
  <c r="M972" i="22"/>
  <c r="H972" i="22"/>
  <c r="N971" i="22"/>
  <c r="K971" i="22" s="1"/>
  <c r="M971" i="22"/>
  <c r="N970" i="22"/>
  <c r="K970" i="22" s="1"/>
  <c r="M970" i="22"/>
  <c r="N969" i="22"/>
  <c r="K969" i="22" s="1"/>
  <c r="M969" i="22"/>
  <c r="N968" i="22"/>
  <c r="K968" i="22" s="1"/>
  <c r="M968" i="22"/>
  <c r="N967" i="22"/>
  <c r="K967" i="22" s="1"/>
  <c r="M967" i="22"/>
  <c r="N966" i="22"/>
  <c r="K966" i="22" s="1"/>
  <c r="M966" i="22"/>
  <c r="N965" i="22"/>
  <c r="K965" i="22" s="1"/>
  <c r="M965" i="22"/>
  <c r="N964" i="22"/>
  <c r="K964" i="22" s="1"/>
  <c r="M964" i="22"/>
  <c r="N963" i="22"/>
  <c r="K963" i="22" s="1"/>
  <c r="M963" i="22"/>
  <c r="N962" i="22"/>
  <c r="K962" i="22" s="1"/>
  <c r="M962" i="22"/>
  <c r="N961" i="22"/>
  <c r="K961" i="22" s="1"/>
  <c r="M961" i="22"/>
  <c r="N960" i="22"/>
  <c r="K960" i="22" s="1"/>
  <c r="M960" i="22"/>
  <c r="N959" i="22"/>
  <c r="K959" i="22" s="1"/>
  <c r="M959" i="22"/>
  <c r="N958" i="22"/>
  <c r="K958" i="22" s="1"/>
  <c r="M958" i="22"/>
  <c r="N957" i="22"/>
  <c r="K957" i="22" s="1"/>
  <c r="M957" i="22"/>
  <c r="N956" i="22"/>
  <c r="K956" i="22" s="1"/>
  <c r="M956" i="22"/>
  <c r="H956" i="22"/>
  <c r="N955" i="22"/>
  <c r="M955" i="22"/>
  <c r="N954" i="22"/>
  <c r="M954" i="22"/>
  <c r="N953" i="22"/>
  <c r="M953" i="22"/>
  <c r="N952" i="22"/>
  <c r="M952" i="22"/>
  <c r="N951" i="22"/>
  <c r="M951" i="22"/>
  <c r="N950" i="22"/>
  <c r="M950" i="22"/>
  <c r="N949" i="22"/>
  <c r="M949" i="22"/>
  <c r="N948" i="22"/>
  <c r="M948" i="22"/>
  <c r="N947" i="22"/>
  <c r="M947" i="22"/>
  <c r="N946" i="22"/>
  <c r="M946" i="22"/>
  <c r="N945" i="22"/>
  <c r="M945" i="22"/>
  <c r="N944" i="22"/>
  <c r="M944" i="22"/>
  <c r="N943" i="22"/>
  <c r="M943" i="22"/>
  <c r="N942" i="22"/>
  <c r="M942" i="22"/>
  <c r="N941" i="22"/>
  <c r="M941" i="22"/>
  <c r="N940" i="22"/>
  <c r="M940" i="22"/>
  <c r="N939" i="22"/>
  <c r="M939" i="22"/>
  <c r="N938" i="22"/>
  <c r="M938" i="22"/>
  <c r="N937" i="22"/>
  <c r="M937" i="22"/>
  <c r="N936" i="22"/>
  <c r="M936" i="22"/>
  <c r="N935" i="22"/>
  <c r="M935" i="22"/>
  <c r="N934" i="22"/>
  <c r="M934" i="22"/>
  <c r="N933" i="22"/>
  <c r="M933" i="22"/>
  <c r="N932" i="22"/>
  <c r="M932" i="22"/>
  <c r="N931" i="22"/>
  <c r="M931" i="22"/>
  <c r="N930" i="22"/>
  <c r="M930" i="22"/>
  <c r="N929" i="22"/>
  <c r="M929" i="22"/>
  <c r="N928" i="22"/>
  <c r="M928" i="22"/>
  <c r="N927" i="22"/>
  <c r="M927" i="22"/>
  <c r="N926" i="22"/>
  <c r="M926" i="22"/>
  <c r="N925" i="22"/>
  <c r="M925" i="22"/>
  <c r="N924" i="22"/>
  <c r="M924" i="22"/>
  <c r="N923" i="22"/>
  <c r="M923" i="22"/>
  <c r="H923" i="22"/>
  <c r="N922" i="22"/>
  <c r="M922" i="22"/>
  <c r="N921" i="22"/>
  <c r="P921" i="22" s="1"/>
  <c r="M921" i="22"/>
  <c r="K921" i="22"/>
  <c r="N920" i="22"/>
  <c r="P920" i="22" s="1"/>
  <c r="M920" i="22"/>
  <c r="K920" i="22"/>
  <c r="H920" i="22"/>
  <c r="N919" i="22"/>
  <c r="P919" i="22" s="1"/>
  <c r="M919" i="22"/>
  <c r="N918" i="22"/>
  <c r="P918" i="22" s="1"/>
  <c r="M918" i="22"/>
  <c r="H918" i="22"/>
  <c r="N917" i="22"/>
  <c r="K917" i="22" s="1"/>
  <c r="M917" i="22"/>
  <c r="N916" i="22"/>
  <c r="K916" i="22" s="1"/>
  <c r="M916" i="22"/>
  <c r="N915" i="22"/>
  <c r="K915" i="22" s="1"/>
  <c r="M915" i="22"/>
  <c r="N914" i="22"/>
  <c r="K914" i="22" s="1"/>
  <c r="M914" i="22"/>
  <c r="N913" i="22"/>
  <c r="K913" i="22" s="1"/>
  <c r="M913" i="22"/>
  <c r="N912" i="22"/>
  <c r="K912" i="22" s="1"/>
  <c r="M912" i="22"/>
  <c r="N911" i="22"/>
  <c r="K911" i="22" s="1"/>
  <c r="M911" i="22"/>
  <c r="N910" i="22"/>
  <c r="K910" i="22" s="1"/>
  <c r="M910" i="22"/>
  <c r="N909" i="22"/>
  <c r="K909" i="22" s="1"/>
  <c r="M909" i="22"/>
  <c r="N908" i="22"/>
  <c r="K908" i="22" s="1"/>
  <c r="M908" i="22"/>
  <c r="N907" i="22"/>
  <c r="K907" i="22" s="1"/>
  <c r="M907" i="22"/>
  <c r="N906" i="22"/>
  <c r="K906" i="22" s="1"/>
  <c r="M906" i="22"/>
  <c r="N905" i="22"/>
  <c r="K905" i="22" s="1"/>
  <c r="M905" i="22"/>
  <c r="N904" i="22"/>
  <c r="K904" i="22" s="1"/>
  <c r="M904" i="22"/>
  <c r="N903" i="22"/>
  <c r="K903" i="22" s="1"/>
  <c r="M903" i="22"/>
  <c r="N902" i="22"/>
  <c r="K902" i="22" s="1"/>
  <c r="M902" i="22"/>
  <c r="N901" i="22"/>
  <c r="M901" i="22"/>
  <c r="N900" i="22"/>
  <c r="M900" i="22"/>
  <c r="N899" i="22"/>
  <c r="M899" i="22"/>
  <c r="N898" i="22"/>
  <c r="M898" i="22"/>
  <c r="N897" i="22"/>
  <c r="M897" i="22"/>
  <c r="N896" i="22"/>
  <c r="M896" i="22"/>
  <c r="N895" i="22"/>
  <c r="M895" i="22"/>
  <c r="N894" i="22"/>
  <c r="M894" i="22"/>
  <c r="N893" i="22"/>
  <c r="M893" i="22"/>
  <c r="N892" i="22"/>
  <c r="M892" i="22"/>
  <c r="N891" i="22"/>
  <c r="M891" i="22"/>
  <c r="N890" i="22"/>
  <c r="M890" i="22"/>
  <c r="N889" i="22"/>
  <c r="M889" i="22"/>
  <c r="N888" i="22"/>
  <c r="M888" i="22"/>
  <c r="H888" i="22"/>
  <c r="N887" i="22"/>
  <c r="K887" i="22" s="1"/>
  <c r="M887" i="22"/>
  <c r="N886" i="22"/>
  <c r="M886" i="22"/>
  <c r="H886" i="22"/>
  <c r="N885" i="22"/>
  <c r="M885" i="22"/>
  <c r="N884" i="22"/>
  <c r="M884" i="22"/>
  <c r="N883" i="22"/>
  <c r="P883" i="22" s="1"/>
  <c r="M883" i="22"/>
  <c r="K883" i="22"/>
  <c r="N882" i="22"/>
  <c r="P882" i="22" s="1"/>
  <c r="M882" i="22"/>
  <c r="K882" i="22"/>
  <c r="N881" i="22"/>
  <c r="M881" i="22"/>
  <c r="N880" i="22"/>
  <c r="M880" i="22"/>
  <c r="N879" i="22"/>
  <c r="P879" i="22" s="1"/>
  <c r="M879" i="22"/>
  <c r="K879" i="22"/>
  <c r="N878" i="22"/>
  <c r="P878" i="22" s="1"/>
  <c r="M878" i="22"/>
  <c r="K878" i="22"/>
  <c r="N877" i="22"/>
  <c r="M877" i="22"/>
  <c r="N876" i="22"/>
  <c r="M876" i="22"/>
  <c r="N875" i="22"/>
  <c r="P875" i="22" s="1"/>
  <c r="M875" i="22"/>
  <c r="K875" i="22"/>
  <c r="H875" i="22"/>
  <c r="N874" i="22"/>
  <c r="M874" i="22"/>
  <c r="N873" i="22"/>
  <c r="M873" i="22"/>
  <c r="N872" i="22"/>
  <c r="M872" i="22"/>
  <c r="N871" i="22"/>
  <c r="M871" i="22"/>
  <c r="N870" i="22"/>
  <c r="M870" i="22"/>
  <c r="N869" i="22"/>
  <c r="M869" i="22"/>
  <c r="N868" i="22"/>
  <c r="M868" i="22"/>
  <c r="N867" i="22"/>
  <c r="M867" i="22"/>
  <c r="H867" i="22"/>
  <c r="N866" i="22"/>
  <c r="K866" i="22" s="1"/>
  <c r="M866" i="22"/>
  <c r="N865" i="22"/>
  <c r="K865" i="22" s="1"/>
  <c r="M865" i="22"/>
  <c r="N864" i="22"/>
  <c r="K864" i="22" s="1"/>
  <c r="M864" i="22"/>
  <c r="N863" i="22"/>
  <c r="M863" i="22"/>
  <c r="N862" i="22"/>
  <c r="K862" i="22" s="1"/>
  <c r="M862" i="22"/>
  <c r="N861" i="22"/>
  <c r="K861" i="22" s="1"/>
  <c r="M861" i="22"/>
  <c r="N860" i="22"/>
  <c r="K860" i="22" s="1"/>
  <c r="M860" i="22"/>
  <c r="P859" i="22"/>
  <c r="N859" i="22"/>
  <c r="K859" i="22" s="1"/>
  <c r="M859" i="22"/>
  <c r="N858" i="22"/>
  <c r="K858" i="22" s="1"/>
  <c r="M858" i="22"/>
  <c r="N857" i="22"/>
  <c r="K857" i="22" s="1"/>
  <c r="M857" i="22"/>
  <c r="N856" i="22"/>
  <c r="K856" i="22" s="1"/>
  <c r="M856" i="22"/>
  <c r="N855" i="22"/>
  <c r="M855" i="22"/>
  <c r="N854" i="22"/>
  <c r="K854" i="22" s="1"/>
  <c r="M854" i="22"/>
  <c r="P853" i="22"/>
  <c r="N853" i="22"/>
  <c r="K853" i="22" s="1"/>
  <c r="M853" i="22"/>
  <c r="H853" i="22"/>
  <c r="P852" i="22"/>
  <c r="N852" i="22"/>
  <c r="M852" i="22"/>
  <c r="K852" i="22"/>
  <c r="P851" i="22"/>
  <c r="N851" i="22"/>
  <c r="M851" i="22"/>
  <c r="K851" i="22"/>
  <c r="P850" i="22"/>
  <c r="N850" i="22"/>
  <c r="M850" i="22"/>
  <c r="K850" i="22"/>
  <c r="P849" i="22"/>
  <c r="N849" i="22"/>
  <c r="M849" i="22"/>
  <c r="K849" i="22"/>
  <c r="P848" i="22"/>
  <c r="N848" i="22"/>
  <c r="M848" i="22"/>
  <c r="K848" i="22"/>
  <c r="P847" i="22"/>
  <c r="N847" i="22"/>
  <c r="M847" i="22"/>
  <c r="K847" i="22"/>
  <c r="P846" i="22"/>
  <c r="N846" i="22"/>
  <c r="M846" i="22"/>
  <c r="K846" i="22"/>
  <c r="P845" i="22"/>
  <c r="N845" i="22"/>
  <c r="M845" i="22"/>
  <c r="K845" i="22"/>
  <c r="H845" i="22"/>
  <c r="N844" i="22"/>
  <c r="P844" i="22" s="1"/>
  <c r="M844" i="22"/>
  <c r="K844" i="22"/>
  <c r="N843" i="22"/>
  <c r="P843" i="22" s="1"/>
  <c r="M843" i="22"/>
  <c r="N842" i="22"/>
  <c r="P842" i="22" s="1"/>
  <c r="M842" i="22"/>
  <c r="N841" i="22"/>
  <c r="M841" i="22"/>
  <c r="N840" i="22"/>
  <c r="M840" i="22"/>
  <c r="H840" i="22"/>
  <c r="N839" i="22"/>
  <c r="K839" i="22" s="1"/>
  <c r="M839" i="22"/>
  <c r="N838" i="22"/>
  <c r="K838" i="22" s="1"/>
  <c r="M838" i="22"/>
  <c r="P837" i="22"/>
  <c r="N837" i="22"/>
  <c r="K837" i="22" s="1"/>
  <c r="M837" i="22"/>
  <c r="N836" i="22"/>
  <c r="K836" i="22" s="1"/>
  <c r="M836" i="22"/>
  <c r="N835" i="22"/>
  <c r="K835" i="22" s="1"/>
  <c r="M835" i="22"/>
  <c r="P834" i="22"/>
  <c r="N834" i="22"/>
  <c r="K834" i="22" s="1"/>
  <c r="M834" i="22"/>
  <c r="N833" i="22"/>
  <c r="M833" i="22"/>
  <c r="N832" i="22"/>
  <c r="K832" i="22" s="1"/>
  <c r="M832" i="22"/>
  <c r="N831" i="22"/>
  <c r="K831" i="22" s="1"/>
  <c r="M831" i="22"/>
  <c r="N830" i="22"/>
  <c r="K830" i="22" s="1"/>
  <c r="M830" i="22"/>
  <c r="P829" i="22"/>
  <c r="N829" i="22"/>
  <c r="K829" i="22" s="1"/>
  <c r="M829" i="22"/>
  <c r="N828" i="22"/>
  <c r="K828" i="22" s="1"/>
  <c r="M828" i="22"/>
  <c r="N827" i="22"/>
  <c r="K827" i="22" s="1"/>
  <c r="M827" i="22"/>
  <c r="N826" i="22"/>
  <c r="M826" i="22"/>
  <c r="N825" i="22"/>
  <c r="M825" i="22"/>
  <c r="N824" i="22"/>
  <c r="K824" i="22" s="1"/>
  <c r="M824" i="22"/>
  <c r="N823" i="22"/>
  <c r="K823" i="22" s="1"/>
  <c r="M823" i="22"/>
  <c r="N822" i="22"/>
  <c r="K822" i="22" s="1"/>
  <c r="M822" i="22"/>
  <c r="P821" i="22"/>
  <c r="N821" i="22"/>
  <c r="K821" i="22" s="1"/>
  <c r="M821" i="22"/>
  <c r="N820" i="22"/>
  <c r="K820" i="22" s="1"/>
  <c r="M820" i="22"/>
  <c r="N819" i="22"/>
  <c r="K819" i="22" s="1"/>
  <c r="M819" i="22"/>
  <c r="H819" i="22"/>
  <c r="N818" i="22"/>
  <c r="M818" i="22"/>
  <c r="N817" i="22"/>
  <c r="M817" i="22"/>
  <c r="N816" i="22"/>
  <c r="P816" i="22" s="1"/>
  <c r="M816" i="22"/>
  <c r="K816" i="22"/>
  <c r="N815" i="22"/>
  <c r="P815" i="22" s="1"/>
  <c r="M815" i="22"/>
  <c r="K815" i="22"/>
  <c r="N814" i="22"/>
  <c r="M814" i="22"/>
  <c r="N813" i="22"/>
  <c r="M813" i="22"/>
  <c r="H813" i="22"/>
  <c r="P812" i="22"/>
  <c r="N812" i="22"/>
  <c r="K812" i="22" s="1"/>
  <c r="M812" i="22"/>
  <c r="P811" i="22"/>
  <c r="N811" i="22"/>
  <c r="K811" i="22" s="1"/>
  <c r="M811" i="22"/>
  <c r="N810" i="22"/>
  <c r="M810" i="22"/>
  <c r="N809" i="22"/>
  <c r="K809" i="22" s="1"/>
  <c r="M809" i="22"/>
  <c r="P808" i="22"/>
  <c r="N808" i="22"/>
  <c r="K808" i="22" s="1"/>
  <c r="M808" i="22"/>
  <c r="N807" i="22"/>
  <c r="K807" i="22" s="1"/>
  <c r="M807" i="22"/>
  <c r="N806" i="22"/>
  <c r="M806" i="22"/>
  <c r="N805" i="22"/>
  <c r="K805" i="22" s="1"/>
  <c r="M805" i="22"/>
  <c r="H805" i="22"/>
  <c r="N804" i="22"/>
  <c r="P804" i="22" s="1"/>
  <c r="M804" i="22"/>
  <c r="N803" i="22"/>
  <c r="P803" i="22" s="1"/>
  <c r="M803" i="22"/>
  <c r="K803" i="22"/>
  <c r="N802" i="22"/>
  <c r="P802" i="22" s="1"/>
  <c r="M802" i="22"/>
  <c r="K802" i="22"/>
  <c r="N801" i="22"/>
  <c r="P801" i="22" s="1"/>
  <c r="M801" i="22"/>
  <c r="N800" i="22"/>
  <c r="P800" i="22" s="1"/>
  <c r="M800" i="22"/>
  <c r="N799" i="22"/>
  <c r="M799" i="22"/>
  <c r="N798" i="22"/>
  <c r="M798" i="22"/>
  <c r="N797" i="22"/>
  <c r="P797" i="22" s="1"/>
  <c r="M797" i="22"/>
  <c r="N796" i="22"/>
  <c r="P796" i="22" s="1"/>
  <c r="M796" i="22"/>
  <c r="N795" i="22"/>
  <c r="P795" i="22" s="1"/>
  <c r="M795" i="22"/>
  <c r="K795" i="22"/>
  <c r="N794" i="22"/>
  <c r="P794" i="22" s="1"/>
  <c r="M794" i="22"/>
  <c r="K794" i="22"/>
  <c r="N793" i="22"/>
  <c r="P793" i="22" s="1"/>
  <c r="M793" i="22"/>
  <c r="H793" i="22"/>
  <c r="N792" i="22"/>
  <c r="M792" i="22"/>
  <c r="N791" i="22"/>
  <c r="K791" i="22" s="1"/>
  <c r="M791" i="22"/>
  <c r="P790" i="22"/>
  <c r="N790" i="22"/>
  <c r="K790" i="22" s="1"/>
  <c r="M790" i="22"/>
  <c r="N789" i="22"/>
  <c r="K789" i="22" s="1"/>
  <c r="M789" i="22"/>
  <c r="N788" i="22"/>
  <c r="K788" i="22" s="1"/>
  <c r="M788" i="22"/>
  <c r="N787" i="22"/>
  <c r="K787" i="22" s="1"/>
  <c r="M787" i="22"/>
  <c r="H787" i="22"/>
  <c r="N786" i="22"/>
  <c r="K786" i="22" s="1"/>
  <c r="M786" i="22"/>
  <c r="N785" i="22"/>
  <c r="K785" i="22" s="1"/>
  <c r="M785" i="22"/>
  <c r="N784" i="22"/>
  <c r="K784" i="22" s="1"/>
  <c r="M784" i="22"/>
  <c r="N783" i="22"/>
  <c r="K783" i="22" s="1"/>
  <c r="M783" i="22"/>
  <c r="N782" i="22"/>
  <c r="K782" i="22" s="1"/>
  <c r="M782" i="22"/>
  <c r="N781" i="22"/>
  <c r="K781" i="22" s="1"/>
  <c r="M781" i="22"/>
  <c r="H781" i="22"/>
  <c r="P780" i="22"/>
  <c r="N780" i="22"/>
  <c r="M780" i="22"/>
  <c r="K780" i="22"/>
  <c r="P779" i="22"/>
  <c r="N779" i="22"/>
  <c r="M779" i="22"/>
  <c r="K779" i="22"/>
  <c r="P778" i="22"/>
  <c r="N778" i="22"/>
  <c r="M778" i="22"/>
  <c r="K778" i="22"/>
  <c r="P777" i="22"/>
  <c r="N777" i="22"/>
  <c r="M777" i="22"/>
  <c r="K777" i="22"/>
  <c r="P776" i="22"/>
  <c r="N776" i="22"/>
  <c r="M776" i="22"/>
  <c r="K776" i="22"/>
  <c r="P775" i="22"/>
  <c r="N775" i="22"/>
  <c r="M775" i="22"/>
  <c r="K775" i="22"/>
  <c r="P774" i="22"/>
  <c r="N774" i="22"/>
  <c r="M774" i="22"/>
  <c r="K774" i="22"/>
  <c r="P773" i="22"/>
  <c r="N773" i="22"/>
  <c r="M773" i="22"/>
  <c r="K773" i="22"/>
  <c r="P772" i="22"/>
  <c r="N772" i="22"/>
  <c r="M772" i="22"/>
  <c r="K772" i="22"/>
  <c r="P771" i="22"/>
  <c r="N771" i="22"/>
  <c r="M771" i="22"/>
  <c r="K771" i="22"/>
  <c r="P770" i="22"/>
  <c r="N770" i="22"/>
  <c r="M770" i="22"/>
  <c r="K770" i="22"/>
  <c r="P769" i="22"/>
  <c r="N769" i="22"/>
  <c r="M769" i="22"/>
  <c r="K769" i="22"/>
  <c r="P768" i="22"/>
  <c r="N768" i="22"/>
  <c r="M768" i="22"/>
  <c r="K768" i="22"/>
  <c r="P767" i="22"/>
  <c r="N767" i="22"/>
  <c r="M767" i="22"/>
  <c r="K767" i="22"/>
  <c r="P766" i="22"/>
  <c r="N766" i="22"/>
  <c r="M766" i="22"/>
  <c r="K766" i="22"/>
  <c r="H766" i="22"/>
  <c r="N765" i="22"/>
  <c r="P765" i="22" s="1"/>
  <c r="M765" i="22"/>
  <c r="K765" i="22"/>
  <c r="N764" i="22"/>
  <c r="P764" i="22" s="1"/>
  <c r="M764" i="22"/>
  <c r="N763" i="22"/>
  <c r="P763" i="22" s="1"/>
  <c r="M763" i="22"/>
  <c r="N762" i="22"/>
  <c r="M762" i="22"/>
  <c r="H762" i="22"/>
  <c r="P761" i="22"/>
  <c r="N761" i="22"/>
  <c r="K761" i="22" s="1"/>
  <c r="M761" i="22"/>
  <c r="N760" i="22"/>
  <c r="K760" i="22" s="1"/>
  <c r="M760" i="22"/>
  <c r="N759" i="22"/>
  <c r="K759" i="22" s="1"/>
  <c r="M759" i="22"/>
  <c r="N758" i="22"/>
  <c r="K758" i="22" s="1"/>
  <c r="M758" i="22"/>
  <c r="H758" i="22"/>
  <c r="N757" i="22"/>
  <c r="K757" i="22" s="1"/>
  <c r="M757" i="22"/>
  <c r="N756" i="22"/>
  <c r="K756" i="22" s="1"/>
  <c r="M756" i="22"/>
  <c r="N755" i="22"/>
  <c r="K755" i="22" s="1"/>
  <c r="M755" i="22"/>
  <c r="N754" i="22"/>
  <c r="K754" i="22" s="1"/>
  <c r="M754" i="22"/>
  <c r="N753" i="22"/>
  <c r="K753" i="22" s="1"/>
  <c r="M753" i="22"/>
  <c r="N752" i="22"/>
  <c r="K752" i="22" s="1"/>
  <c r="M752" i="22"/>
  <c r="N751" i="22"/>
  <c r="K751" i="22" s="1"/>
  <c r="M751" i="22"/>
  <c r="N750" i="22"/>
  <c r="K750" i="22" s="1"/>
  <c r="M750" i="22"/>
  <c r="H750" i="22"/>
  <c r="P749" i="22"/>
  <c r="N749" i="22"/>
  <c r="M749" i="22"/>
  <c r="K749" i="22"/>
  <c r="P748" i="22"/>
  <c r="N748" i="22"/>
  <c r="M748" i="22"/>
  <c r="K748" i="22"/>
  <c r="P747" i="22"/>
  <c r="N747" i="22"/>
  <c r="M747" i="22"/>
  <c r="K747" i="22"/>
  <c r="H747" i="22"/>
  <c r="N746" i="22"/>
  <c r="P746" i="22" s="1"/>
  <c r="M746" i="22"/>
  <c r="K746" i="22"/>
  <c r="N745" i="22"/>
  <c r="P745" i="22" s="1"/>
  <c r="M745" i="22"/>
  <c r="N744" i="22"/>
  <c r="P744" i="22" s="1"/>
  <c r="M744" i="22"/>
  <c r="N743" i="22"/>
  <c r="M743" i="22"/>
  <c r="N742" i="22"/>
  <c r="M742" i="22"/>
  <c r="N741" i="22"/>
  <c r="P741" i="22" s="1"/>
  <c r="M741" i="22"/>
  <c r="N740" i="22"/>
  <c r="P740" i="22" s="1"/>
  <c r="M740" i="22"/>
  <c r="N739" i="22"/>
  <c r="P739" i="22" s="1"/>
  <c r="M739" i="22"/>
  <c r="K739" i="22"/>
  <c r="H739" i="22"/>
  <c r="N738" i="22"/>
  <c r="M738" i="22"/>
  <c r="N737" i="22"/>
  <c r="K737" i="22" s="1"/>
  <c r="M737" i="22"/>
  <c r="P736" i="22"/>
  <c r="N736" i="22"/>
  <c r="K736" i="22" s="1"/>
  <c r="M736" i="22"/>
  <c r="N735" i="22"/>
  <c r="K735" i="22" s="1"/>
  <c r="M735" i="22"/>
  <c r="P734" i="22"/>
  <c r="N734" i="22"/>
  <c r="K734" i="22" s="1"/>
  <c r="M734" i="22"/>
  <c r="N733" i="22"/>
  <c r="M733" i="22"/>
  <c r="N732" i="22"/>
  <c r="P732" i="22" s="1"/>
  <c r="M732" i="22"/>
  <c r="K732" i="22"/>
  <c r="N731" i="22"/>
  <c r="P731" i="22" s="1"/>
  <c r="M731" i="22"/>
  <c r="K731" i="22"/>
  <c r="N730" i="22"/>
  <c r="M730" i="22"/>
  <c r="N729" i="22"/>
  <c r="M729" i="22"/>
  <c r="N728" i="22"/>
  <c r="P728" i="22" s="1"/>
  <c r="M728" i="22"/>
  <c r="K728" i="22"/>
  <c r="N727" i="22"/>
  <c r="P727" i="22" s="1"/>
  <c r="M727" i="22"/>
  <c r="K727" i="22"/>
  <c r="N726" i="22"/>
  <c r="M726" i="22"/>
  <c r="N725" i="22"/>
  <c r="M725" i="22"/>
  <c r="N724" i="22"/>
  <c r="P724" i="22" s="1"/>
  <c r="M724" i="22"/>
  <c r="K724" i="22"/>
  <c r="N723" i="22"/>
  <c r="P723" i="22" s="1"/>
  <c r="M723" i="22"/>
  <c r="K723" i="22"/>
  <c r="N722" i="22"/>
  <c r="M722" i="22"/>
  <c r="N721" i="22"/>
  <c r="M721" i="22"/>
  <c r="N720" i="22"/>
  <c r="P720" i="22" s="1"/>
  <c r="M720" i="22"/>
  <c r="K720" i="22"/>
  <c r="N719" i="22"/>
  <c r="P719" i="22" s="1"/>
  <c r="M719" i="22"/>
  <c r="K719" i="22"/>
  <c r="N718" i="22"/>
  <c r="M718" i="22"/>
  <c r="N717" i="22"/>
  <c r="M717" i="22"/>
  <c r="N716" i="22"/>
  <c r="P716" i="22" s="1"/>
  <c r="M716" i="22"/>
  <c r="K716" i="22"/>
  <c r="H716" i="22"/>
  <c r="N715" i="22"/>
  <c r="P715" i="22" s="1"/>
  <c r="M715" i="22"/>
  <c r="N714" i="22"/>
  <c r="P714" i="22" s="1"/>
  <c r="M714" i="22"/>
  <c r="N713" i="22"/>
  <c r="P713" i="22" s="1"/>
  <c r="M713" i="22"/>
  <c r="N712" i="22"/>
  <c r="P712" i="22" s="1"/>
  <c r="M712" i="22"/>
  <c r="N711" i="22"/>
  <c r="P711" i="22" s="1"/>
  <c r="M711" i="22"/>
  <c r="N710" i="22"/>
  <c r="P710" i="22" s="1"/>
  <c r="M710" i="22"/>
  <c r="N709" i="22"/>
  <c r="P709" i="22" s="1"/>
  <c r="M709" i="22"/>
  <c r="N708" i="22"/>
  <c r="P708" i="22" s="1"/>
  <c r="M708" i="22"/>
  <c r="N707" i="22"/>
  <c r="P707" i="22" s="1"/>
  <c r="M707" i="22"/>
  <c r="N706" i="22"/>
  <c r="P706" i="22" s="1"/>
  <c r="M706" i="22"/>
  <c r="N705" i="22"/>
  <c r="P705" i="22" s="1"/>
  <c r="M705" i="22"/>
  <c r="N704" i="22"/>
  <c r="P704" i="22" s="1"/>
  <c r="M704" i="22"/>
  <c r="N703" i="22"/>
  <c r="P703" i="22" s="1"/>
  <c r="M703" i="22"/>
  <c r="N702" i="22"/>
  <c r="P702" i="22" s="1"/>
  <c r="M702" i="22"/>
  <c r="N701" i="22"/>
  <c r="P701" i="22" s="1"/>
  <c r="M701" i="22"/>
  <c r="N700" i="22"/>
  <c r="P700" i="22" s="1"/>
  <c r="M700" i="22"/>
  <c r="N699" i="22"/>
  <c r="P699" i="22" s="1"/>
  <c r="M699" i="22"/>
  <c r="N698" i="22"/>
  <c r="P698" i="22" s="1"/>
  <c r="M698" i="22"/>
  <c r="N697" i="22"/>
  <c r="P697" i="22" s="1"/>
  <c r="M697" i="22"/>
  <c r="N696" i="22"/>
  <c r="P696" i="22" s="1"/>
  <c r="M696" i="22"/>
  <c r="N695" i="22"/>
  <c r="P695" i="22" s="1"/>
  <c r="M695" i="22"/>
  <c r="N694" i="22"/>
  <c r="P694" i="22" s="1"/>
  <c r="M694" i="22"/>
  <c r="H694" i="22"/>
  <c r="N693" i="22"/>
  <c r="M693" i="22"/>
  <c r="N692" i="22"/>
  <c r="M692" i="22"/>
  <c r="H692" i="22"/>
  <c r="P691" i="22"/>
  <c r="N691" i="22"/>
  <c r="M691" i="22"/>
  <c r="K691" i="22"/>
  <c r="P690" i="22"/>
  <c r="N690" i="22"/>
  <c r="M690" i="22"/>
  <c r="K690" i="22"/>
  <c r="P689" i="22"/>
  <c r="N689" i="22"/>
  <c r="M689" i="22"/>
  <c r="K689" i="22"/>
  <c r="P688" i="22"/>
  <c r="N688" i="22"/>
  <c r="M688" i="22"/>
  <c r="K688" i="22"/>
  <c r="P687" i="22"/>
  <c r="N687" i="22"/>
  <c r="M687" i="22"/>
  <c r="K687" i="22"/>
  <c r="P686" i="22"/>
  <c r="N686" i="22"/>
  <c r="M686" i="22"/>
  <c r="K686" i="22"/>
  <c r="P685" i="22"/>
  <c r="N685" i="22"/>
  <c r="M685" i="22"/>
  <c r="K685" i="22"/>
  <c r="P684" i="22"/>
  <c r="N684" i="22"/>
  <c r="M684" i="22"/>
  <c r="K684" i="22"/>
  <c r="P683" i="22"/>
  <c r="N683" i="22"/>
  <c r="M683" i="22"/>
  <c r="K683" i="22"/>
  <c r="P682" i="22"/>
  <c r="N682" i="22"/>
  <c r="M682" i="22"/>
  <c r="K682" i="22"/>
  <c r="P681" i="22"/>
  <c r="N681" i="22"/>
  <c r="M681" i="22"/>
  <c r="K681" i="22"/>
  <c r="P680" i="22"/>
  <c r="N680" i="22"/>
  <c r="M680" i="22"/>
  <c r="K680" i="22"/>
  <c r="P679" i="22"/>
  <c r="N679" i="22"/>
  <c r="M679" i="22"/>
  <c r="K679" i="22"/>
  <c r="P678" i="22"/>
  <c r="N678" i="22"/>
  <c r="M678" i="22"/>
  <c r="K678" i="22"/>
  <c r="P677" i="22"/>
  <c r="N677" i="22"/>
  <c r="M677" i="22"/>
  <c r="K677" i="22"/>
  <c r="P676" i="22"/>
  <c r="N676" i="22"/>
  <c r="M676" i="22"/>
  <c r="K676" i="22"/>
  <c r="P675" i="22"/>
  <c r="N675" i="22"/>
  <c r="M675" i="22"/>
  <c r="K675" i="22"/>
  <c r="H675" i="22"/>
  <c r="N674" i="22"/>
  <c r="P674" i="22" s="1"/>
  <c r="M674" i="22"/>
  <c r="K674" i="22"/>
  <c r="N673" i="22"/>
  <c r="P673" i="22" s="1"/>
  <c r="M673" i="22"/>
  <c r="N672" i="22"/>
  <c r="P672" i="22" s="1"/>
  <c r="M672" i="22"/>
  <c r="N671" i="22"/>
  <c r="M671" i="22"/>
  <c r="N670" i="22"/>
  <c r="M670" i="22"/>
  <c r="N669" i="22"/>
  <c r="P669" i="22" s="1"/>
  <c r="M669" i="22"/>
  <c r="N668" i="22"/>
  <c r="P668" i="22" s="1"/>
  <c r="M668" i="22"/>
  <c r="N667" i="22"/>
  <c r="P667" i="22" s="1"/>
  <c r="M667" i="22"/>
  <c r="K667" i="22"/>
  <c r="N666" i="22"/>
  <c r="P666" i="22" s="1"/>
  <c r="M666" i="22"/>
  <c r="K666" i="22"/>
  <c r="N665" i="22"/>
  <c r="P665" i="22" s="1"/>
  <c r="M665" i="22"/>
  <c r="N664" i="22"/>
  <c r="P664" i="22" s="1"/>
  <c r="M664" i="22"/>
  <c r="N663" i="22"/>
  <c r="M663" i="22"/>
  <c r="N662" i="22"/>
  <c r="M662" i="22"/>
  <c r="H662" i="22"/>
  <c r="N661" i="22"/>
  <c r="K661" i="22" s="1"/>
  <c r="M661" i="22"/>
  <c r="N660" i="22"/>
  <c r="K660" i="22" s="1"/>
  <c r="M660" i="22"/>
  <c r="N659" i="22"/>
  <c r="K659" i="22" s="1"/>
  <c r="M659" i="22"/>
  <c r="N658" i="22"/>
  <c r="K658" i="22" s="1"/>
  <c r="M658" i="22"/>
  <c r="N657" i="22"/>
  <c r="K657" i="22" s="1"/>
  <c r="M657" i="22"/>
  <c r="N656" i="22"/>
  <c r="M656" i="22"/>
  <c r="N655" i="22"/>
  <c r="K655" i="22" s="1"/>
  <c r="M655" i="22"/>
  <c r="N654" i="22"/>
  <c r="K654" i="22" s="1"/>
  <c r="M654" i="22"/>
  <c r="N653" i="22"/>
  <c r="K653" i="22" s="1"/>
  <c r="M653" i="22"/>
  <c r="H653" i="22"/>
  <c r="N652" i="22"/>
  <c r="M652" i="22"/>
  <c r="N651" i="22"/>
  <c r="M651" i="22"/>
  <c r="N650" i="22"/>
  <c r="P650" i="22" s="1"/>
  <c r="M650" i="22"/>
  <c r="K650" i="22"/>
  <c r="N649" i="22"/>
  <c r="P649" i="22" s="1"/>
  <c r="M649" i="22"/>
  <c r="K649" i="22"/>
  <c r="N648" i="22"/>
  <c r="M648" i="22"/>
  <c r="N647" i="22"/>
  <c r="M647" i="22"/>
  <c r="N646" i="22"/>
  <c r="P646" i="22" s="1"/>
  <c r="M646" i="22"/>
  <c r="K646" i="22"/>
  <c r="N645" i="22"/>
  <c r="P645" i="22" s="1"/>
  <c r="M645" i="22"/>
  <c r="K645" i="22"/>
  <c r="H645" i="22"/>
  <c r="N644" i="22"/>
  <c r="P644" i="22" s="1"/>
  <c r="M644" i="22"/>
  <c r="K644" i="22"/>
  <c r="N643" i="22"/>
  <c r="P643" i="22" s="1"/>
  <c r="M643" i="22"/>
  <c r="K643" i="22"/>
  <c r="N642" i="22"/>
  <c r="P642" i="22" s="1"/>
  <c r="M642" i="22"/>
  <c r="K642" i="22"/>
  <c r="N641" i="22"/>
  <c r="P641" i="22" s="1"/>
  <c r="M641" i="22"/>
  <c r="K641" i="22"/>
  <c r="N640" i="22"/>
  <c r="P640" i="22" s="1"/>
  <c r="M640" i="22"/>
  <c r="K640" i="22"/>
  <c r="N639" i="22"/>
  <c r="P639" i="22" s="1"/>
  <c r="M639" i="22"/>
  <c r="K639" i="22"/>
  <c r="H639" i="22"/>
  <c r="N638" i="22"/>
  <c r="P638" i="22" s="1"/>
  <c r="M638" i="22"/>
  <c r="N637" i="22"/>
  <c r="M637" i="22"/>
  <c r="N636" i="22"/>
  <c r="M636" i="22"/>
  <c r="N635" i="22"/>
  <c r="P635" i="22" s="1"/>
  <c r="M635" i="22"/>
  <c r="N634" i="22"/>
  <c r="P634" i="22" s="1"/>
  <c r="M634" i="22"/>
  <c r="N633" i="22"/>
  <c r="P633" i="22" s="1"/>
  <c r="M633" i="22"/>
  <c r="K633" i="22"/>
  <c r="N632" i="22"/>
  <c r="P632" i="22" s="1"/>
  <c r="M632" i="22"/>
  <c r="K632" i="22"/>
  <c r="H632" i="22"/>
  <c r="N631" i="22"/>
  <c r="K631" i="22" s="1"/>
  <c r="M631" i="22"/>
  <c r="N630" i="22"/>
  <c r="K630" i="22" s="1"/>
  <c r="M630" i="22"/>
  <c r="N629" i="22"/>
  <c r="K629" i="22" s="1"/>
  <c r="M629" i="22"/>
  <c r="P628" i="22"/>
  <c r="N628" i="22"/>
  <c r="K628" i="22" s="1"/>
  <c r="M628" i="22"/>
  <c r="N627" i="22"/>
  <c r="K627" i="22" s="1"/>
  <c r="M627" i="22"/>
  <c r="N626" i="22"/>
  <c r="K626" i="22" s="1"/>
  <c r="M626" i="22"/>
  <c r="N625" i="22"/>
  <c r="K625" i="22" s="1"/>
  <c r="M625" i="22"/>
  <c r="N624" i="22"/>
  <c r="M624" i="22"/>
  <c r="N623" i="22"/>
  <c r="K623" i="22" s="1"/>
  <c r="M623" i="22"/>
  <c r="N622" i="22"/>
  <c r="K622" i="22" s="1"/>
  <c r="M622" i="22"/>
  <c r="H622" i="22"/>
  <c r="N621" i="22"/>
  <c r="K621" i="22" s="1"/>
  <c r="M621" i="22"/>
  <c r="N620" i="22"/>
  <c r="M620" i="22"/>
  <c r="N619" i="22"/>
  <c r="K619" i="22" s="1"/>
  <c r="M619" i="22"/>
  <c r="P618" i="22"/>
  <c r="N618" i="22"/>
  <c r="K618" i="22" s="1"/>
  <c r="M618" i="22"/>
  <c r="P617" i="22"/>
  <c r="N617" i="22"/>
  <c r="K617" i="22" s="1"/>
  <c r="M617" i="22"/>
  <c r="H617" i="22"/>
  <c r="P616" i="22"/>
  <c r="N616" i="22"/>
  <c r="M616" i="22"/>
  <c r="K616" i="22"/>
  <c r="P615" i="22"/>
  <c r="N615" i="22"/>
  <c r="M615" i="22"/>
  <c r="K615" i="22"/>
  <c r="P614" i="22"/>
  <c r="N614" i="22"/>
  <c r="M614" i="22"/>
  <c r="K614" i="22"/>
  <c r="P613" i="22"/>
  <c r="N613" i="22"/>
  <c r="M613" i="22"/>
  <c r="K613" i="22"/>
  <c r="H613" i="22"/>
  <c r="N612" i="22"/>
  <c r="P612" i="22" s="1"/>
  <c r="M612" i="22"/>
  <c r="K612" i="22"/>
  <c r="N611" i="22"/>
  <c r="M611" i="22"/>
  <c r="N610" i="22"/>
  <c r="P610" i="22" s="1"/>
  <c r="M610" i="22"/>
  <c r="N609" i="22"/>
  <c r="P609" i="22" s="1"/>
  <c r="M609" i="22"/>
  <c r="N608" i="22"/>
  <c r="M608" i="22"/>
  <c r="H608" i="22"/>
  <c r="N607" i="22"/>
  <c r="K607" i="22" s="1"/>
  <c r="M607" i="22"/>
  <c r="N606" i="22"/>
  <c r="K606" i="22" s="1"/>
  <c r="M606" i="22"/>
  <c r="P605" i="22"/>
  <c r="N605" i="22"/>
  <c r="K605" i="22" s="1"/>
  <c r="M605" i="22"/>
  <c r="N604" i="22"/>
  <c r="K604" i="22" s="1"/>
  <c r="M604" i="22"/>
  <c r="N603" i="22"/>
  <c r="K603" i="22" s="1"/>
  <c r="M603" i="22"/>
  <c r="N602" i="22"/>
  <c r="K602" i="22" s="1"/>
  <c r="M602" i="22"/>
  <c r="P601" i="22"/>
  <c r="N601" i="22"/>
  <c r="K601" i="22" s="1"/>
  <c r="M601" i="22"/>
  <c r="N600" i="22"/>
  <c r="K600" i="22" s="1"/>
  <c r="M600" i="22"/>
  <c r="N599" i="22"/>
  <c r="K599" i="22" s="1"/>
  <c r="M599" i="22"/>
  <c r="N598" i="22"/>
  <c r="K598" i="22" s="1"/>
  <c r="M598" i="22"/>
  <c r="N597" i="22"/>
  <c r="K597" i="22" s="1"/>
  <c r="M597" i="22"/>
  <c r="N596" i="22"/>
  <c r="K596" i="22" s="1"/>
  <c r="M596" i="22"/>
  <c r="N595" i="22"/>
  <c r="K595" i="22" s="1"/>
  <c r="M595" i="22"/>
  <c r="N594" i="22"/>
  <c r="K594" i="22" s="1"/>
  <c r="M594" i="22"/>
  <c r="H594" i="22"/>
  <c r="N593" i="22"/>
  <c r="M593" i="22"/>
  <c r="N592" i="22"/>
  <c r="P592" i="22" s="1"/>
  <c r="M592" i="22"/>
  <c r="K592" i="22"/>
  <c r="N591" i="22"/>
  <c r="P591" i="22" s="1"/>
  <c r="M591" i="22"/>
  <c r="K591" i="22"/>
  <c r="N590" i="22"/>
  <c r="M590" i="22"/>
  <c r="H590" i="22"/>
  <c r="P589" i="22"/>
  <c r="N589" i="22"/>
  <c r="M589" i="22"/>
  <c r="K589" i="22"/>
  <c r="P588" i="22"/>
  <c r="N588" i="22"/>
  <c r="M588" i="22"/>
  <c r="K588" i="22"/>
  <c r="P587" i="22"/>
  <c r="N587" i="22"/>
  <c r="M587" i="22"/>
  <c r="K587" i="22"/>
  <c r="P586" i="22"/>
  <c r="N586" i="22"/>
  <c r="M586" i="22"/>
  <c r="K586" i="22"/>
  <c r="H586" i="22"/>
  <c r="N585" i="22"/>
  <c r="P585" i="22" s="1"/>
  <c r="M585" i="22"/>
  <c r="N584" i="22"/>
  <c r="M584" i="22"/>
  <c r="N583" i="22"/>
  <c r="P583" i="22" s="1"/>
  <c r="M583" i="22"/>
  <c r="K583" i="22"/>
  <c r="N582" i="22"/>
  <c r="P582" i="22" s="1"/>
  <c r="M582" i="22"/>
  <c r="H582" i="22"/>
  <c r="P581" i="22"/>
  <c r="N581" i="22"/>
  <c r="K581" i="22" s="1"/>
  <c r="M581" i="22"/>
  <c r="N580" i="22"/>
  <c r="K580" i="22" s="1"/>
  <c r="M580" i="22"/>
  <c r="N579" i="22"/>
  <c r="K579" i="22" s="1"/>
  <c r="M579" i="22"/>
  <c r="N578" i="22"/>
  <c r="K578" i="22" s="1"/>
  <c r="M578" i="22"/>
  <c r="N577" i="22"/>
  <c r="M577" i="22"/>
  <c r="H577" i="22"/>
  <c r="N576" i="22"/>
  <c r="M576" i="22"/>
  <c r="N575" i="22"/>
  <c r="M575" i="22"/>
  <c r="N574" i="22"/>
  <c r="M574" i="22"/>
  <c r="N573" i="22"/>
  <c r="M573" i="22"/>
  <c r="H573" i="22"/>
  <c r="N572" i="22"/>
  <c r="M572" i="22"/>
  <c r="N571" i="22"/>
  <c r="K571" i="22" s="1"/>
  <c r="M571" i="22"/>
  <c r="P570" i="22"/>
  <c r="N570" i="22"/>
  <c r="K570" i="22" s="1"/>
  <c r="M570" i="22"/>
  <c r="N569" i="22"/>
  <c r="K569" i="22" s="1"/>
  <c r="M569" i="22"/>
  <c r="N568" i="22"/>
  <c r="M568" i="22"/>
  <c r="N567" i="22"/>
  <c r="K567" i="22" s="1"/>
  <c r="M567" i="22"/>
  <c r="P566" i="22"/>
  <c r="N566" i="22"/>
  <c r="K566" i="22" s="1"/>
  <c r="M566" i="22"/>
  <c r="P565" i="22"/>
  <c r="N565" i="22"/>
  <c r="K565" i="22" s="1"/>
  <c r="M565" i="22"/>
  <c r="N564" i="22"/>
  <c r="M564" i="22"/>
  <c r="N563" i="22"/>
  <c r="K563" i="22" s="1"/>
  <c r="M563" i="22"/>
  <c r="P562" i="22"/>
  <c r="N562" i="22"/>
  <c r="K562" i="22" s="1"/>
  <c r="M562" i="22"/>
  <c r="N561" i="22"/>
  <c r="K561" i="22" s="1"/>
  <c r="M561" i="22"/>
  <c r="N560" i="22"/>
  <c r="M560" i="22"/>
  <c r="N559" i="22"/>
  <c r="K559" i="22" s="1"/>
  <c r="M559" i="22"/>
  <c r="P558" i="22"/>
  <c r="N558" i="22"/>
  <c r="K558" i="22" s="1"/>
  <c r="M558" i="22"/>
  <c r="P557" i="22"/>
  <c r="N557" i="22"/>
  <c r="K557" i="22" s="1"/>
  <c r="M557" i="22"/>
  <c r="N556" i="22"/>
  <c r="M556" i="22"/>
  <c r="N555" i="22"/>
  <c r="K555" i="22" s="1"/>
  <c r="M555" i="22"/>
  <c r="P554" i="22"/>
  <c r="N554" i="22"/>
  <c r="K554" i="22" s="1"/>
  <c r="M554" i="22"/>
  <c r="N553" i="22"/>
  <c r="K553" i="22" s="1"/>
  <c r="M553" i="22"/>
  <c r="N552" i="22"/>
  <c r="M552" i="22"/>
  <c r="N551" i="22"/>
  <c r="K551" i="22" s="1"/>
  <c r="M551" i="22"/>
  <c r="P550" i="22"/>
  <c r="N550" i="22"/>
  <c r="K550" i="22" s="1"/>
  <c r="M550" i="22"/>
  <c r="P549" i="22"/>
  <c r="N549" i="22"/>
  <c r="K549" i="22" s="1"/>
  <c r="M549" i="22"/>
  <c r="N548" i="22"/>
  <c r="M548" i="22"/>
  <c r="N547" i="22"/>
  <c r="K547" i="22" s="1"/>
  <c r="M547" i="22"/>
  <c r="P546" i="22"/>
  <c r="N546" i="22"/>
  <c r="K546" i="22" s="1"/>
  <c r="M546" i="22"/>
  <c r="H546" i="22"/>
  <c r="N545" i="22"/>
  <c r="M545" i="22"/>
  <c r="N544" i="22"/>
  <c r="M544" i="22"/>
  <c r="N543" i="22"/>
  <c r="P543" i="22" s="1"/>
  <c r="M543" i="22"/>
  <c r="N542" i="22"/>
  <c r="P542" i="22" s="1"/>
  <c r="M542" i="22"/>
  <c r="N541" i="22"/>
  <c r="M541" i="22"/>
  <c r="N540" i="22"/>
  <c r="P540" i="22" s="1"/>
  <c r="M540" i="22"/>
  <c r="K540" i="22"/>
  <c r="N539" i="22"/>
  <c r="P539" i="22" s="1"/>
  <c r="M539" i="22"/>
  <c r="N538" i="22"/>
  <c r="P538" i="22" s="1"/>
  <c r="M538" i="22"/>
  <c r="N537" i="22"/>
  <c r="P537" i="22" s="1"/>
  <c r="M537" i="22"/>
  <c r="K537" i="22"/>
  <c r="N536" i="22"/>
  <c r="M536" i="22"/>
  <c r="N535" i="22"/>
  <c r="P535" i="22" s="1"/>
  <c r="M535" i="22"/>
  <c r="N534" i="22"/>
  <c r="P534" i="22" s="1"/>
  <c r="M534" i="22"/>
  <c r="N533" i="22"/>
  <c r="M533" i="22"/>
  <c r="N532" i="22"/>
  <c r="P532" i="22" s="1"/>
  <c r="M532" i="22"/>
  <c r="K532" i="22"/>
  <c r="N531" i="22"/>
  <c r="P531" i="22" s="1"/>
  <c r="M531" i="22"/>
  <c r="N530" i="22"/>
  <c r="P530" i="22" s="1"/>
  <c r="M530" i="22"/>
  <c r="N529" i="22"/>
  <c r="P529" i="22" s="1"/>
  <c r="M529" i="22"/>
  <c r="K529" i="22"/>
  <c r="N528" i="22"/>
  <c r="M528" i="22"/>
  <c r="N527" i="22"/>
  <c r="P527" i="22" s="1"/>
  <c r="M527" i="22"/>
  <c r="N526" i="22"/>
  <c r="P526" i="22" s="1"/>
  <c r="M526" i="22"/>
  <c r="N525" i="22"/>
  <c r="P525" i="22" s="1"/>
  <c r="M525" i="22"/>
  <c r="K525" i="22"/>
  <c r="N524" i="22"/>
  <c r="P524" i="22" s="1"/>
  <c r="M524" i="22"/>
  <c r="K524" i="22"/>
  <c r="N523" i="22"/>
  <c r="P523" i="22" s="1"/>
  <c r="M523" i="22"/>
  <c r="N522" i="22"/>
  <c r="P522" i="22" s="1"/>
  <c r="M522" i="22"/>
  <c r="N521" i="22"/>
  <c r="M521" i="22"/>
  <c r="N520" i="22"/>
  <c r="M520" i="22"/>
  <c r="N519" i="22"/>
  <c r="P519" i="22" s="1"/>
  <c r="M519" i="22"/>
  <c r="N518" i="22"/>
  <c r="P518" i="22" s="1"/>
  <c r="M518" i="22"/>
  <c r="N517" i="22"/>
  <c r="P517" i="22" s="1"/>
  <c r="M517" i="22"/>
  <c r="K517" i="22"/>
  <c r="N516" i="22"/>
  <c r="P516" i="22" s="1"/>
  <c r="M516" i="22"/>
  <c r="K516" i="22"/>
  <c r="N515" i="22"/>
  <c r="P515" i="22" s="1"/>
  <c r="M515" i="22"/>
  <c r="N514" i="22"/>
  <c r="P514" i="22" s="1"/>
  <c r="M514" i="22"/>
  <c r="N513" i="22"/>
  <c r="M513" i="22"/>
  <c r="N512" i="22"/>
  <c r="M512" i="22"/>
  <c r="H512" i="22"/>
  <c r="N511" i="22"/>
  <c r="K511" i="22" s="1"/>
  <c r="M511" i="22"/>
  <c r="N510" i="22"/>
  <c r="M510" i="22"/>
  <c r="N509" i="22"/>
  <c r="K509" i="22" s="1"/>
  <c r="M509" i="22"/>
  <c r="N508" i="22"/>
  <c r="K508" i="22" s="1"/>
  <c r="M508" i="22"/>
  <c r="N507" i="22"/>
  <c r="P507" i="22" s="1"/>
  <c r="M507" i="22"/>
  <c r="K507" i="22"/>
  <c r="N506" i="22"/>
  <c r="M506" i="22"/>
  <c r="N505" i="22"/>
  <c r="P505" i="22" s="1"/>
  <c r="M505" i="22"/>
  <c r="K505" i="22"/>
  <c r="N504" i="22"/>
  <c r="P504" i="22" s="1"/>
  <c r="M504" i="22"/>
  <c r="K504" i="22"/>
  <c r="N503" i="22"/>
  <c r="M503" i="22"/>
  <c r="N502" i="22"/>
  <c r="M502" i="22"/>
  <c r="N501" i="22"/>
  <c r="P501" i="22" s="1"/>
  <c r="M501" i="22"/>
  <c r="K501" i="22"/>
  <c r="N500" i="22"/>
  <c r="P500" i="22" s="1"/>
  <c r="M500" i="22"/>
  <c r="K500" i="22"/>
  <c r="N499" i="22"/>
  <c r="M499" i="22"/>
  <c r="N498" i="22"/>
  <c r="M498" i="22"/>
  <c r="N497" i="22"/>
  <c r="M497" i="22"/>
  <c r="N496" i="22"/>
  <c r="P496" i="22" s="1"/>
  <c r="M496" i="22"/>
  <c r="K496" i="22"/>
  <c r="N495" i="22"/>
  <c r="P495" i="22" s="1"/>
  <c r="M495" i="22"/>
  <c r="K495" i="22"/>
  <c r="N494" i="22"/>
  <c r="M494" i="22"/>
  <c r="N493" i="22"/>
  <c r="M493" i="22"/>
  <c r="H493" i="22"/>
  <c r="N492" i="22"/>
  <c r="P492" i="22" s="1"/>
  <c r="M492" i="22"/>
  <c r="N491" i="22"/>
  <c r="P491" i="22" s="1"/>
  <c r="M491" i="22"/>
  <c r="N490" i="22"/>
  <c r="P490" i="22" s="1"/>
  <c r="M490" i="22"/>
  <c r="N489" i="22"/>
  <c r="P489" i="22" s="1"/>
  <c r="M489" i="22"/>
  <c r="N488" i="22"/>
  <c r="P488" i="22" s="1"/>
  <c r="M488" i="22"/>
  <c r="N487" i="22"/>
  <c r="P487" i="22" s="1"/>
  <c r="M487" i="22"/>
  <c r="N486" i="22"/>
  <c r="P486" i="22" s="1"/>
  <c r="M486" i="22"/>
  <c r="N485" i="22"/>
  <c r="P485" i="22" s="1"/>
  <c r="M485" i="22"/>
  <c r="N484" i="22"/>
  <c r="P484" i="22" s="1"/>
  <c r="M484" i="22"/>
  <c r="N483" i="22"/>
  <c r="P483" i="22" s="1"/>
  <c r="M483" i="22"/>
  <c r="N482" i="22"/>
  <c r="P482" i="22" s="1"/>
  <c r="M482" i="22"/>
  <c r="N481" i="22"/>
  <c r="P481" i="22" s="1"/>
  <c r="M481" i="22"/>
  <c r="N480" i="22"/>
  <c r="P480" i="22" s="1"/>
  <c r="M480" i="22"/>
  <c r="H480" i="22"/>
  <c r="N479" i="22"/>
  <c r="K479" i="22" s="1"/>
  <c r="M479" i="22"/>
  <c r="N478" i="22"/>
  <c r="K478" i="22" s="1"/>
  <c r="M478" i="22"/>
  <c r="N477" i="22"/>
  <c r="K477" i="22" s="1"/>
  <c r="M477" i="22"/>
  <c r="N476" i="22"/>
  <c r="K476" i="22" s="1"/>
  <c r="M476" i="22"/>
  <c r="N475" i="22"/>
  <c r="K475" i="22" s="1"/>
  <c r="M475" i="22"/>
  <c r="N474" i="22"/>
  <c r="K474" i="22" s="1"/>
  <c r="M474" i="22"/>
  <c r="N473" i="22"/>
  <c r="K473" i="22" s="1"/>
  <c r="M473" i="22"/>
  <c r="N472" i="22"/>
  <c r="K472" i="22" s="1"/>
  <c r="M472" i="22"/>
  <c r="N471" i="22"/>
  <c r="K471" i="22" s="1"/>
  <c r="M471" i="22"/>
  <c r="N470" i="22"/>
  <c r="K470" i="22" s="1"/>
  <c r="M470" i="22"/>
  <c r="N469" i="22"/>
  <c r="K469" i="22" s="1"/>
  <c r="M469" i="22"/>
  <c r="N468" i="22"/>
  <c r="K468" i="22" s="1"/>
  <c r="M468" i="22"/>
  <c r="N467" i="22"/>
  <c r="K467" i="22" s="1"/>
  <c r="M467" i="22"/>
  <c r="N466" i="22"/>
  <c r="K466" i="22" s="1"/>
  <c r="M466" i="22"/>
  <c r="N465" i="22"/>
  <c r="K465" i="22" s="1"/>
  <c r="M465" i="22"/>
  <c r="N464" i="22"/>
  <c r="K464" i="22" s="1"/>
  <c r="M464" i="22"/>
  <c r="N463" i="22"/>
  <c r="K463" i="22" s="1"/>
  <c r="M463" i="22"/>
  <c r="N462" i="22"/>
  <c r="K462" i="22" s="1"/>
  <c r="M462" i="22"/>
  <c r="H462" i="22"/>
  <c r="N461" i="22"/>
  <c r="K461" i="22" s="1"/>
  <c r="M461" i="22"/>
  <c r="N460" i="22"/>
  <c r="M460" i="22"/>
  <c r="N459" i="22"/>
  <c r="K459" i="22" s="1"/>
  <c r="M459" i="22"/>
  <c r="P458" i="22"/>
  <c r="N458" i="22"/>
  <c r="K458" i="22" s="1"/>
  <c r="M458" i="22"/>
  <c r="P457" i="22"/>
  <c r="N457" i="22"/>
  <c r="K457" i="22" s="1"/>
  <c r="M457" i="22"/>
  <c r="N456" i="22"/>
  <c r="M456" i="22"/>
  <c r="N455" i="22"/>
  <c r="K455" i="22" s="1"/>
  <c r="M455" i="22"/>
  <c r="P454" i="22"/>
  <c r="N454" i="22"/>
  <c r="K454" i="22" s="1"/>
  <c r="M454" i="22"/>
  <c r="N453" i="22"/>
  <c r="K453" i="22" s="1"/>
  <c r="M453" i="22"/>
  <c r="N452" i="22"/>
  <c r="M452" i="22"/>
  <c r="N451" i="22"/>
  <c r="K451" i="22" s="1"/>
  <c r="M451" i="22"/>
  <c r="P450" i="22"/>
  <c r="N450" i="22"/>
  <c r="K450" i="22" s="1"/>
  <c r="M450" i="22"/>
  <c r="P449" i="22"/>
  <c r="N449" i="22"/>
  <c r="K449" i="22" s="1"/>
  <c r="M449" i="22"/>
  <c r="N448" i="22"/>
  <c r="M448" i="22"/>
  <c r="N447" i="22"/>
  <c r="K447" i="22" s="1"/>
  <c r="M447" i="22"/>
  <c r="P446" i="22"/>
  <c r="N446" i="22"/>
  <c r="M446" i="22"/>
  <c r="K446" i="22"/>
  <c r="H446" i="22"/>
  <c r="N445" i="22"/>
  <c r="P445" i="22" s="1"/>
  <c r="M445" i="22"/>
  <c r="K445" i="22"/>
  <c r="N444" i="22"/>
  <c r="M444" i="22"/>
  <c r="N443" i="22"/>
  <c r="M443" i="22"/>
  <c r="N442" i="22"/>
  <c r="P442" i="22" s="1"/>
  <c r="M442" i="22"/>
  <c r="K442" i="22"/>
  <c r="N441" i="22"/>
  <c r="P441" i="22" s="1"/>
  <c r="M441" i="22"/>
  <c r="K441" i="22"/>
  <c r="N440" i="22"/>
  <c r="M440" i="22"/>
  <c r="N439" i="22"/>
  <c r="M439" i="22"/>
  <c r="N438" i="22"/>
  <c r="P438" i="22" s="1"/>
  <c r="M438" i="22"/>
  <c r="K438" i="22"/>
  <c r="N437" i="22"/>
  <c r="P437" i="22" s="1"/>
  <c r="M437" i="22"/>
  <c r="K437" i="22"/>
  <c r="N436" i="22"/>
  <c r="M436" i="22"/>
  <c r="N435" i="22"/>
  <c r="M435" i="22"/>
  <c r="N434" i="22"/>
  <c r="P434" i="22" s="1"/>
  <c r="M434" i="22"/>
  <c r="K434" i="22"/>
  <c r="N433" i="22"/>
  <c r="P433" i="22" s="1"/>
  <c r="M433" i="22"/>
  <c r="K433" i="22"/>
  <c r="N432" i="22"/>
  <c r="M432" i="22"/>
  <c r="N431" i="22"/>
  <c r="M431" i="22"/>
  <c r="N430" i="22"/>
  <c r="P430" i="22" s="1"/>
  <c r="M430" i="22"/>
  <c r="K430" i="22"/>
  <c r="N429" i="22"/>
  <c r="P429" i="22" s="1"/>
  <c r="M429" i="22"/>
  <c r="K429" i="22"/>
  <c r="N428" i="22"/>
  <c r="M428" i="22"/>
  <c r="N427" i="22"/>
  <c r="M427" i="22"/>
  <c r="N426" i="22"/>
  <c r="P426" i="22" s="1"/>
  <c r="M426" i="22"/>
  <c r="K426" i="22"/>
  <c r="N425" i="22"/>
  <c r="P425" i="22" s="1"/>
  <c r="M425" i="22"/>
  <c r="K425" i="22"/>
  <c r="N424" i="22"/>
  <c r="M424" i="22"/>
  <c r="N423" i="22"/>
  <c r="M423" i="22"/>
  <c r="N422" i="22"/>
  <c r="P422" i="22" s="1"/>
  <c r="M422" i="22"/>
  <c r="K422" i="22"/>
  <c r="N421" i="22"/>
  <c r="P421" i="22" s="1"/>
  <c r="M421" i="22"/>
  <c r="K421" i="22"/>
  <c r="N420" i="22"/>
  <c r="M420" i="22"/>
  <c r="H420" i="22"/>
  <c r="N419" i="22"/>
  <c r="P419" i="22" s="1"/>
  <c r="M419" i="22"/>
  <c r="N418" i="22"/>
  <c r="P418" i="22" s="1"/>
  <c r="M418" i="22"/>
  <c r="N417" i="22"/>
  <c r="P417" i="22" s="1"/>
  <c r="M417" i="22"/>
  <c r="N416" i="22"/>
  <c r="P416" i="22" s="1"/>
  <c r="M416" i="22"/>
  <c r="N415" i="22"/>
  <c r="P415" i="22" s="1"/>
  <c r="M415" i="22"/>
  <c r="N414" i="22"/>
  <c r="P414" i="22" s="1"/>
  <c r="M414" i="22"/>
  <c r="N413" i="22"/>
  <c r="P413" i="22" s="1"/>
  <c r="M413" i="22"/>
  <c r="N412" i="22"/>
  <c r="P412" i="22" s="1"/>
  <c r="M412" i="22"/>
  <c r="N411" i="22"/>
  <c r="P411" i="22" s="1"/>
  <c r="M411" i="22"/>
  <c r="N410" i="22"/>
  <c r="P410" i="22" s="1"/>
  <c r="M410" i="22"/>
  <c r="N409" i="22"/>
  <c r="P409" i="22" s="1"/>
  <c r="M409" i="22"/>
  <c r="N408" i="22"/>
  <c r="P408" i="22" s="1"/>
  <c r="M408" i="22"/>
  <c r="N407" i="22"/>
  <c r="P407" i="22" s="1"/>
  <c r="M407" i="22"/>
  <c r="N406" i="22"/>
  <c r="P406" i="22" s="1"/>
  <c r="M406" i="22"/>
  <c r="N405" i="22"/>
  <c r="P405" i="22" s="1"/>
  <c r="M405" i="22"/>
  <c r="N404" i="22"/>
  <c r="P404" i="22" s="1"/>
  <c r="M404" i="22"/>
  <c r="N403" i="22"/>
  <c r="P403" i="22" s="1"/>
  <c r="M403" i="22"/>
  <c r="N402" i="22"/>
  <c r="P402" i="22" s="1"/>
  <c r="M402" i="22"/>
  <c r="N401" i="22"/>
  <c r="P401" i="22" s="1"/>
  <c r="M401" i="22"/>
  <c r="N400" i="22"/>
  <c r="P400" i="22" s="1"/>
  <c r="M400" i="22"/>
  <c r="N399" i="22"/>
  <c r="P399" i="22" s="1"/>
  <c r="M399" i="22"/>
  <c r="H399" i="22"/>
  <c r="N398" i="22"/>
  <c r="K398" i="22" s="1"/>
  <c r="M398" i="22"/>
  <c r="N397" i="22"/>
  <c r="K397" i="22" s="1"/>
  <c r="M397" i="22"/>
  <c r="N396" i="22"/>
  <c r="K396" i="22" s="1"/>
  <c r="M396" i="22"/>
  <c r="N395" i="22"/>
  <c r="K395" i="22" s="1"/>
  <c r="M395" i="22"/>
  <c r="N394" i="22"/>
  <c r="K394" i="22" s="1"/>
  <c r="M394" i="22"/>
  <c r="N393" i="22"/>
  <c r="K393" i="22" s="1"/>
  <c r="M393" i="22"/>
  <c r="N392" i="22"/>
  <c r="K392" i="22" s="1"/>
  <c r="M392" i="22"/>
  <c r="H392" i="22"/>
  <c r="N391" i="22"/>
  <c r="M391" i="22"/>
  <c r="N390" i="22"/>
  <c r="M390" i="22"/>
  <c r="N389" i="22"/>
  <c r="M389" i="22"/>
  <c r="N388" i="22"/>
  <c r="M388" i="22"/>
  <c r="N387" i="22"/>
  <c r="M387" i="22"/>
  <c r="N386" i="22"/>
  <c r="M386" i="22"/>
  <c r="N385" i="22"/>
  <c r="M385" i="22"/>
  <c r="N384" i="22"/>
  <c r="M384" i="22"/>
  <c r="N383" i="22"/>
  <c r="M383" i="22"/>
  <c r="N382" i="22"/>
  <c r="M382" i="22"/>
  <c r="N381" i="22"/>
  <c r="M381" i="22"/>
  <c r="H381" i="22"/>
  <c r="N380" i="22"/>
  <c r="M380" i="22"/>
  <c r="N379" i="22"/>
  <c r="P379" i="22" s="1"/>
  <c r="M379" i="22"/>
  <c r="K379" i="22"/>
  <c r="N378" i="22"/>
  <c r="P378" i="22" s="1"/>
  <c r="M378" i="22"/>
  <c r="K378" i="22"/>
  <c r="N377" i="22"/>
  <c r="M377" i="22"/>
  <c r="N376" i="22"/>
  <c r="M376" i="22"/>
  <c r="N375" i="22"/>
  <c r="P375" i="22" s="1"/>
  <c r="M375" i="22"/>
  <c r="K375" i="22"/>
  <c r="N374" i="22"/>
  <c r="P374" i="22" s="1"/>
  <c r="M374" i="22"/>
  <c r="K374" i="22"/>
  <c r="N373" i="22"/>
  <c r="M373" i="22"/>
  <c r="N372" i="22"/>
  <c r="M372" i="22"/>
  <c r="N371" i="22"/>
  <c r="P371" i="22" s="1"/>
  <c r="M371" i="22"/>
  <c r="K371" i="22"/>
  <c r="N370" i="22"/>
  <c r="P370" i="22" s="1"/>
  <c r="M370" i="22"/>
  <c r="K370" i="22"/>
  <c r="N369" i="22"/>
  <c r="M369" i="22"/>
  <c r="N368" i="22"/>
  <c r="M368" i="22"/>
  <c r="N367" i="22"/>
  <c r="P367" i="22" s="1"/>
  <c r="M367" i="22"/>
  <c r="K367" i="22"/>
  <c r="N366" i="22"/>
  <c r="P366" i="22" s="1"/>
  <c r="M366" i="22"/>
  <c r="K366" i="22"/>
  <c r="N365" i="22"/>
  <c r="M365" i="22"/>
  <c r="N364" i="22"/>
  <c r="M364" i="22"/>
  <c r="N363" i="22"/>
  <c r="P363" i="22" s="1"/>
  <c r="M363" i="22"/>
  <c r="K363" i="22"/>
  <c r="N362" i="22"/>
  <c r="P362" i="22" s="1"/>
  <c r="M362" i="22"/>
  <c r="K362" i="22"/>
  <c r="N361" i="22"/>
  <c r="M361" i="22"/>
  <c r="N360" i="22"/>
  <c r="M360" i="22"/>
  <c r="N359" i="22"/>
  <c r="P359" i="22" s="1"/>
  <c r="M359" i="22"/>
  <c r="K359" i="22"/>
  <c r="N358" i="22"/>
  <c r="P358" i="22" s="1"/>
  <c r="M358" i="22"/>
  <c r="K358" i="22"/>
  <c r="N357" i="22"/>
  <c r="M357" i="22"/>
  <c r="N356" i="22"/>
  <c r="M356" i="22"/>
  <c r="N355" i="22"/>
  <c r="P355" i="22" s="1"/>
  <c r="M355" i="22"/>
  <c r="K355" i="22"/>
  <c r="N354" i="22"/>
  <c r="P354" i="22" s="1"/>
  <c r="M354" i="22"/>
  <c r="K354" i="22"/>
  <c r="N353" i="22"/>
  <c r="M353" i="22"/>
  <c r="N352" i="22"/>
  <c r="M352" i="22"/>
  <c r="N351" i="22"/>
  <c r="P351" i="22" s="1"/>
  <c r="M351" i="22"/>
  <c r="K351" i="22"/>
  <c r="N350" i="22"/>
  <c r="P350" i="22" s="1"/>
  <c r="M350" i="22"/>
  <c r="K350" i="22"/>
  <c r="N349" i="22"/>
  <c r="M349" i="22"/>
  <c r="H349" i="22"/>
  <c r="N348" i="22"/>
  <c r="P348" i="22" s="1"/>
  <c r="M348" i="22"/>
  <c r="N347" i="22"/>
  <c r="P347" i="22" s="1"/>
  <c r="M347" i="22"/>
  <c r="N346" i="22"/>
  <c r="P346" i="22" s="1"/>
  <c r="M346" i="22"/>
  <c r="N345" i="22"/>
  <c r="P345" i="22" s="1"/>
  <c r="M345" i="22"/>
  <c r="N344" i="22"/>
  <c r="P344" i="22" s="1"/>
  <c r="M344" i="22"/>
  <c r="N343" i="22"/>
  <c r="P343" i="22" s="1"/>
  <c r="M343" i="22"/>
  <c r="N342" i="22"/>
  <c r="P342" i="22" s="1"/>
  <c r="M342" i="22"/>
  <c r="N341" i="22"/>
  <c r="P341" i="22" s="1"/>
  <c r="M341" i="22"/>
  <c r="N340" i="22"/>
  <c r="P340" i="22" s="1"/>
  <c r="M340" i="22"/>
  <c r="N339" i="22"/>
  <c r="P339" i="22" s="1"/>
  <c r="M339" i="22"/>
  <c r="N338" i="22"/>
  <c r="P338" i="22" s="1"/>
  <c r="M338" i="22"/>
  <c r="N337" i="22"/>
  <c r="P337" i="22" s="1"/>
  <c r="M337" i="22"/>
  <c r="N336" i="22"/>
  <c r="P336" i="22" s="1"/>
  <c r="M336" i="22"/>
  <c r="N335" i="22"/>
  <c r="P335" i="22" s="1"/>
  <c r="M335" i="22"/>
  <c r="N334" i="22"/>
  <c r="P334" i="22" s="1"/>
  <c r="M334" i="22"/>
  <c r="N333" i="22"/>
  <c r="P333" i="22" s="1"/>
  <c r="M333" i="22"/>
  <c r="H333" i="22"/>
  <c r="N332" i="22"/>
  <c r="M332" i="22"/>
  <c r="N331" i="22"/>
  <c r="M331" i="22"/>
  <c r="N330" i="22"/>
  <c r="M330" i="22"/>
  <c r="N329" i="22"/>
  <c r="M329" i="22"/>
  <c r="N328" i="22"/>
  <c r="M328" i="22"/>
  <c r="N327" i="22"/>
  <c r="M327" i="22"/>
  <c r="N326" i="22"/>
  <c r="M326" i="22"/>
  <c r="N325" i="22"/>
  <c r="M325" i="22"/>
  <c r="N324" i="22"/>
  <c r="M324" i="22"/>
  <c r="N323" i="22"/>
  <c r="M323" i="22"/>
  <c r="N322" i="22"/>
  <c r="M322" i="22"/>
  <c r="N321" i="22"/>
  <c r="M321" i="22"/>
  <c r="N320" i="22"/>
  <c r="M320" i="22"/>
  <c r="N319" i="22"/>
  <c r="M319" i="22"/>
  <c r="N318" i="22"/>
  <c r="M318" i="22"/>
  <c r="N317" i="22"/>
  <c r="M317" i="22"/>
  <c r="N316" i="22"/>
  <c r="M316" i="22"/>
  <c r="N315" i="22"/>
  <c r="M315" i="22"/>
  <c r="N314" i="22"/>
  <c r="M314" i="22"/>
  <c r="N313" i="22"/>
  <c r="M313" i="22"/>
  <c r="N312" i="22"/>
  <c r="M312" i="22"/>
  <c r="N311" i="22"/>
  <c r="M311" i="22"/>
  <c r="N310" i="22"/>
  <c r="M310" i="22"/>
  <c r="N309" i="22"/>
  <c r="M309" i="22"/>
  <c r="N308" i="22"/>
  <c r="M308" i="22"/>
  <c r="N307" i="22"/>
  <c r="M307" i="22"/>
  <c r="N306" i="22"/>
  <c r="M306" i="22"/>
  <c r="N305" i="22"/>
  <c r="M305" i="22"/>
  <c r="N304" i="22"/>
  <c r="M304" i="22"/>
  <c r="N303" i="22"/>
  <c r="M303" i="22"/>
  <c r="N302" i="22"/>
  <c r="M302" i="22"/>
  <c r="N301" i="22"/>
  <c r="M301" i="22"/>
  <c r="N300" i="22"/>
  <c r="M300" i="22"/>
  <c r="N299" i="22"/>
  <c r="M299" i="22"/>
  <c r="N298" i="22"/>
  <c r="M298" i="22"/>
  <c r="N297" i="22"/>
  <c r="M297" i="22"/>
  <c r="H297" i="22"/>
  <c r="N296" i="22"/>
  <c r="M296" i="22"/>
  <c r="N295" i="22"/>
  <c r="M295" i="22"/>
  <c r="N294" i="22"/>
  <c r="M294" i="22"/>
  <c r="N293" i="22"/>
  <c r="M293" i="22"/>
  <c r="N292" i="22"/>
  <c r="M292" i="22"/>
  <c r="N291" i="22"/>
  <c r="M291" i="22"/>
  <c r="N290" i="22"/>
  <c r="M290" i="22"/>
  <c r="N289" i="22"/>
  <c r="M289" i="22"/>
  <c r="N288" i="22"/>
  <c r="M288" i="22"/>
  <c r="N287" i="22"/>
  <c r="M287" i="22"/>
  <c r="N286" i="22"/>
  <c r="M286" i="22"/>
  <c r="N285" i="22"/>
  <c r="M285" i="22"/>
  <c r="N284" i="22"/>
  <c r="M284" i="22"/>
  <c r="N283" i="22"/>
  <c r="M283" i="22"/>
  <c r="N282" i="22"/>
  <c r="M282" i="22"/>
  <c r="N281" i="22"/>
  <c r="M281" i="22"/>
  <c r="N280" i="22"/>
  <c r="M280" i="22"/>
  <c r="N279" i="22"/>
  <c r="M279" i="22"/>
  <c r="N278" i="22"/>
  <c r="M278" i="22"/>
  <c r="N277" i="22"/>
  <c r="M277" i="22"/>
  <c r="N276" i="22"/>
  <c r="M276" i="22"/>
  <c r="N275" i="22"/>
  <c r="M275" i="22"/>
  <c r="N274" i="22"/>
  <c r="M274" i="22"/>
  <c r="N273" i="22"/>
  <c r="M273" i="22"/>
  <c r="N272" i="22"/>
  <c r="M272" i="22"/>
  <c r="N271" i="22"/>
  <c r="M271" i="22"/>
  <c r="N270" i="22"/>
  <c r="M270" i="22"/>
  <c r="N269" i="22"/>
  <c r="M269" i="22"/>
  <c r="N268" i="22"/>
  <c r="M268" i="22"/>
  <c r="N267" i="22"/>
  <c r="M267" i="22"/>
  <c r="N266" i="22"/>
  <c r="M266" i="22"/>
  <c r="N265" i="22"/>
  <c r="M265" i="22"/>
  <c r="N264" i="22"/>
  <c r="M264" i="22"/>
  <c r="N263" i="22"/>
  <c r="M263" i="22"/>
  <c r="N262" i="22"/>
  <c r="M262" i="22"/>
  <c r="H262" i="22"/>
  <c r="N261" i="22"/>
  <c r="M261" i="22"/>
  <c r="N260" i="22"/>
  <c r="P260" i="22" s="1"/>
  <c r="M260" i="22"/>
  <c r="K260" i="22"/>
  <c r="N259" i="22"/>
  <c r="P259" i="22" s="1"/>
  <c r="M259" i="22"/>
  <c r="K259" i="22"/>
  <c r="N258" i="22"/>
  <c r="M258" i="22"/>
  <c r="N257" i="22"/>
  <c r="M257" i="22"/>
  <c r="N256" i="22"/>
  <c r="P256" i="22" s="1"/>
  <c r="M256" i="22"/>
  <c r="K256" i="22"/>
  <c r="N255" i="22"/>
  <c r="P255" i="22" s="1"/>
  <c r="M255" i="22"/>
  <c r="K255" i="22"/>
  <c r="N254" i="22"/>
  <c r="M254" i="22"/>
  <c r="N253" i="22"/>
  <c r="M253" i="22"/>
  <c r="N252" i="22"/>
  <c r="P252" i="22" s="1"/>
  <c r="M252" i="22"/>
  <c r="K252" i="22"/>
  <c r="N251" i="22"/>
  <c r="P251" i="22" s="1"/>
  <c r="M251" i="22"/>
  <c r="K251" i="22"/>
  <c r="N250" i="22"/>
  <c r="M250" i="22"/>
  <c r="N249" i="22"/>
  <c r="M249" i="22"/>
  <c r="N248" i="22"/>
  <c r="P248" i="22" s="1"/>
  <c r="M248" i="22"/>
  <c r="K248" i="22"/>
  <c r="N247" i="22"/>
  <c r="P247" i="22" s="1"/>
  <c r="M247" i="22"/>
  <c r="K247" i="22"/>
  <c r="N246" i="22"/>
  <c r="M246" i="22"/>
  <c r="N245" i="22"/>
  <c r="M245" i="22"/>
  <c r="N244" i="22"/>
  <c r="P244" i="22" s="1"/>
  <c r="M244" i="22"/>
  <c r="K244" i="22"/>
  <c r="N243" i="22"/>
  <c r="P243" i="22" s="1"/>
  <c r="M243" i="22"/>
  <c r="K243" i="22"/>
  <c r="N242" i="22"/>
  <c r="M242" i="22"/>
  <c r="H242" i="22"/>
  <c r="N241" i="22"/>
  <c r="M241" i="22"/>
  <c r="N240" i="22"/>
  <c r="M240" i="22"/>
  <c r="N239" i="22"/>
  <c r="M239" i="22"/>
  <c r="N238" i="22"/>
  <c r="M238" i="22"/>
  <c r="N237" i="22"/>
  <c r="M237" i="22"/>
  <c r="N236" i="22"/>
  <c r="M236" i="22"/>
  <c r="N235" i="22"/>
  <c r="M235" i="22"/>
  <c r="N234" i="22"/>
  <c r="M234" i="22"/>
  <c r="N233" i="22"/>
  <c r="M233" i="22"/>
  <c r="N232" i="22"/>
  <c r="M232" i="22"/>
  <c r="N231" i="22"/>
  <c r="M231" i="22"/>
  <c r="N230" i="22"/>
  <c r="M230" i="22"/>
  <c r="N229" i="22"/>
  <c r="M229" i="22"/>
  <c r="N228" i="22"/>
  <c r="M228" i="22"/>
  <c r="N227" i="22"/>
  <c r="M227" i="22"/>
  <c r="N226" i="22"/>
  <c r="M226" i="22"/>
  <c r="N225" i="22"/>
  <c r="M225" i="22"/>
  <c r="N224" i="22"/>
  <c r="M224" i="22"/>
  <c r="N223" i="22"/>
  <c r="M223" i="22"/>
  <c r="N222" i="22"/>
  <c r="M222" i="22"/>
  <c r="N221" i="22"/>
  <c r="M221" i="22"/>
  <c r="N220" i="22"/>
  <c r="M220" i="22"/>
  <c r="N219" i="22"/>
  <c r="M219" i="22"/>
  <c r="N218" i="22"/>
  <c r="M218" i="22"/>
  <c r="N217" i="22"/>
  <c r="M217" i="22"/>
  <c r="N216" i="22"/>
  <c r="M216" i="22"/>
  <c r="N215" i="22"/>
  <c r="M215" i="22"/>
  <c r="N214" i="22"/>
  <c r="M214" i="22"/>
  <c r="N213" i="22"/>
  <c r="M213" i="22"/>
  <c r="N212" i="22"/>
  <c r="M212" i="22"/>
  <c r="N211" i="22"/>
  <c r="M211" i="22"/>
  <c r="N210" i="22"/>
  <c r="M210" i="22"/>
  <c r="N209" i="22"/>
  <c r="M209" i="22"/>
  <c r="N208" i="22"/>
  <c r="M208" i="22"/>
  <c r="N207" i="22"/>
  <c r="M207" i="22"/>
  <c r="N206" i="22"/>
  <c r="M206" i="22"/>
  <c r="N205" i="22"/>
  <c r="M205" i="22"/>
  <c r="N204" i="22"/>
  <c r="M204" i="22"/>
  <c r="N203" i="22"/>
  <c r="K203" i="22" s="1"/>
  <c r="M203" i="22"/>
  <c r="N202" i="22"/>
  <c r="K202" i="22" s="1"/>
  <c r="M202" i="22"/>
  <c r="P201" i="22"/>
  <c r="N201" i="22"/>
  <c r="K201" i="22" s="1"/>
  <c r="M201" i="22"/>
  <c r="N200" i="22"/>
  <c r="K200" i="22" s="1"/>
  <c r="M200" i="22"/>
  <c r="N199" i="22"/>
  <c r="K199" i="22" s="1"/>
  <c r="M199" i="22"/>
  <c r="H199" i="22"/>
  <c r="N198" i="22"/>
  <c r="P198" i="22" s="1"/>
  <c r="M198" i="22"/>
  <c r="N197" i="22"/>
  <c r="P197" i="22" s="1"/>
  <c r="M197" i="22"/>
  <c r="N196" i="22"/>
  <c r="P196" i="22" s="1"/>
  <c r="M196" i="22"/>
  <c r="N195" i="22"/>
  <c r="P195" i="22" s="1"/>
  <c r="M195" i="22"/>
  <c r="N194" i="22"/>
  <c r="P194" i="22" s="1"/>
  <c r="M194" i="22"/>
  <c r="N193" i="22"/>
  <c r="P193" i="22" s="1"/>
  <c r="M193" i="22"/>
  <c r="N192" i="22"/>
  <c r="P192" i="22" s="1"/>
  <c r="M192" i="22"/>
  <c r="N191" i="22"/>
  <c r="P191" i="22" s="1"/>
  <c r="M191" i="22"/>
  <c r="N190" i="22"/>
  <c r="P190" i="22" s="1"/>
  <c r="M190" i="22"/>
  <c r="N189" i="22"/>
  <c r="P189" i="22" s="1"/>
  <c r="M189" i="22"/>
  <c r="N188" i="22"/>
  <c r="P188" i="22" s="1"/>
  <c r="M188" i="22"/>
  <c r="N187" i="22"/>
  <c r="P187" i="22" s="1"/>
  <c r="M187" i="22"/>
  <c r="N186" i="22"/>
  <c r="P186" i="22" s="1"/>
  <c r="M186" i="22"/>
  <c r="N185" i="22"/>
  <c r="P185" i="22" s="1"/>
  <c r="M185" i="22"/>
  <c r="N184" i="22"/>
  <c r="P184" i="22" s="1"/>
  <c r="M184" i="22"/>
  <c r="N183" i="22"/>
  <c r="P183" i="22" s="1"/>
  <c r="M183" i="22"/>
  <c r="N182" i="22"/>
  <c r="P182" i="22" s="1"/>
  <c r="M182" i="22"/>
  <c r="N181" i="22"/>
  <c r="P181" i="22" s="1"/>
  <c r="M181" i="22"/>
  <c r="N180" i="22"/>
  <c r="P180" i="22" s="1"/>
  <c r="M180" i="22"/>
  <c r="H180" i="22"/>
  <c r="N179" i="22"/>
  <c r="K179" i="22" s="1"/>
  <c r="M179" i="22"/>
  <c r="N178" i="22"/>
  <c r="K178" i="22" s="1"/>
  <c r="M178" i="22"/>
  <c r="N177" i="22"/>
  <c r="K177" i="22" s="1"/>
  <c r="M177" i="22"/>
  <c r="P176" i="22"/>
  <c r="N176" i="22"/>
  <c r="K176" i="22" s="1"/>
  <c r="M176" i="22"/>
  <c r="N175" i="22"/>
  <c r="K175" i="22" s="1"/>
  <c r="M175" i="22"/>
  <c r="N174" i="22"/>
  <c r="K174" i="22" s="1"/>
  <c r="M174" i="22"/>
  <c r="N173" i="22"/>
  <c r="K173" i="22" s="1"/>
  <c r="M173" i="22"/>
  <c r="P172" i="22"/>
  <c r="N172" i="22"/>
  <c r="K172" i="22" s="1"/>
  <c r="M172" i="22"/>
  <c r="N171" i="22"/>
  <c r="K171" i="22" s="1"/>
  <c r="M171" i="22"/>
  <c r="N170" i="22"/>
  <c r="K170" i="22" s="1"/>
  <c r="M170" i="22"/>
  <c r="N169" i="22"/>
  <c r="K169" i="22" s="1"/>
  <c r="M169" i="22"/>
  <c r="P168" i="22"/>
  <c r="N168" i="22"/>
  <c r="K168" i="22" s="1"/>
  <c r="M168" i="22"/>
  <c r="H168" i="22"/>
  <c r="N167" i="22"/>
  <c r="P167" i="22" s="1"/>
  <c r="M167" i="22"/>
  <c r="N166" i="22"/>
  <c r="P166" i="22" s="1"/>
  <c r="M166" i="22"/>
  <c r="N165" i="22"/>
  <c r="M165" i="22"/>
  <c r="N164" i="22"/>
  <c r="M164" i="22"/>
  <c r="N163" i="22"/>
  <c r="P163" i="22" s="1"/>
  <c r="M163" i="22"/>
  <c r="N162" i="22"/>
  <c r="P162" i="22" s="1"/>
  <c r="M162" i="22"/>
  <c r="N161" i="22"/>
  <c r="P161" i="22" s="1"/>
  <c r="M161" i="22"/>
  <c r="K161" i="22"/>
  <c r="N160" i="22"/>
  <c r="P160" i="22" s="1"/>
  <c r="M160" i="22"/>
  <c r="K160" i="22"/>
  <c r="N159" i="22"/>
  <c r="P159" i="22" s="1"/>
  <c r="M159" i="22"/>
  <c r="N158" i="22"/>
  <c r="P158" i="22" s="1"/>
  <c r="M158" i="22"/>
  <c r="N157" i="22"/>
  <c r="M157" i="22"/>
  <c r="H157" i="22"/>
  <c r="N156" i="22"/>
  <c r="K156" i="22" s="1"/>
  <c r="M156" i="22"/>
  <c r="N155" i="22"/>
  <c r="K155" i="22" s="1"/>
  <c r="M155" i="22"/>
  <c r="P154" i="22"/>
  <c r="N154" i="22"/>
  <c r="K154" i="22" s="1"/>
  <c r="M154" i="22"/>
  <c r="P153" i="22"/>
  <c r="N153" i="22"/>
  <c r="K153" i="22" s="1"/>
  <c r="M153" i="22"/>
  <c r="H153" i="22"/>
  <c r="P152" i="22"/>
  <c r="N152" i="22"/>
  <c r="K152" i="22" s="1"/>
  <c r="M152" i="22"/>
  <c r="N151" i="22"/>
  <c r="M151" i="22"/>
  <c r="N150" i="22"/>
  <c r="K150" i="22" s="1"/>
  <c r="M150" i="22"/>
  <c r="P149" i="22"/>
  <c r="N149" i="22"/>
  <c r="K149" i="22" s="1"/>
  <c r="M149" i="22"/>
  <c r="N148" i="22"/>
  <c r="K148" i="22" s="1"/>
  <c r="M148" i="22"/>
  <c r="N147" i="22"/>
  <c r="M147" i="22"/>
  <c r="N146" i="22"/>
  <c r="K146" i="22" s="1"/>
  <c r="M146" i="22"/>
  <c r="H146" i="22"/>
  <c r="N145" i="22"/>
  <c r="P145" i="22" s="1"/>
  <c r="M145" i="22"/>
  <c r="K145" i="22"/>
  <c r="N144" i="22"/>
  <c r="P144" i="22" s="1"/>
  <c r="M144" i="22"/>
  <c r="K144" i="22"/>
  <c r="N143" i="22"/>
  <c r="P143" i="22" s="1"/>
  <c r="M143" i="22"/>
  <c r="K143" i="22"/>
  <c r="N142" i="22"/>
  <c r="P142" i="22" s="1"/>
  <c r="M142" i="22"/>
  <c r="K142" i="22"/>
  <c r="N141" i="22"/>
  <c r="P141" i="22" s="1"/>
  <c r="M141" i="22"/>
  <c r="K141" i="22"/>
  <c r="H141" i="22"/>
  <c r="N140" i="22"/>
  <c r="P140" i="22" s="1"/>
  <c r="M140" i="22"/>
  <c r="K140" i="22"/>
  <c r="N139" i="22"/>
  <c r="P139" i="22" s="1"/>
  <c r="M139" i="22"/>
  <c r="K139" i="22"/>
  <c r="N138" i="22"/>
  <c r="M138" i="22"/>
  <c r="N137" i="22"/>
  <c r="M137" i="22"/>
  <c r="N136" i="22"/>
  <c r="P136" i="22" s="1"/>
  <c r="M136" i="22"/>
  <c r="K136" i="22"/>
  <c r="N135" i="22"/>
  <c r="P135" i="22" s="1"/>
  <c r="M135" i="22"/>
  <c r="K135" i="22"/>
  <c r="N134" i="22"/>
  <c r="M134" i="22"/>
  <c r="N133" i="22"/>
  <c r="M133" i="22"/>
  <c r="H133" i="22"/>
  <c r="N132" i="22"/>
  <c r="P132" i="22" s="1"/>
  <c r="M132" i="22"/>
  <c r="N131" i="22"/>
  <c r="P131" i="22" s="1"/>
  <c r="M131" i="22"/>
  <c r="N130" i="22"/>
  <c r="P130" i="22" s="1"/>
  <c r="M130" i="22"/>
  <c r="N129" i="22"/>
  <c r="P129" i="22" s="1"/>
  <c r="M129" i="22"/>
  <c r="N128" i="22"/>
  <c r="P128" i="22" s="1"/>
  <c r="M128" i="22"/>
  <c r="N127" i="22"/>
  <c r="P127" i="22" s="1"/>
  <c r="M127" i="22"/>
  <c r="N126" i="22"/>
  <c r="P126" i="22" s="1"/>
  <c r="M126" i="22"/>
  <c r="N125" i="22"/>
  <c r="P125" i="22" s="1"/>
  <c r="M125" i="22"/>
  <c r="N124" i="22"/>
  <c r="P124" i="22" s="1"/>
  <c r="M124" i="22"/>
  <c r="N123" i="22"/>
  <c r="P123" i="22" s="1"/>
  <c r="M123" i="22"/>
  <c r="N122" i="22"/>
  <c r="P122" i="22" s="1"/>
  <c r="M122" i="22"/>
  <c r="N121" i="22"/>
  <c r="P121" i="22" s="1"/>
  <c r="M121" i="22"/>
  <c r="N120" i="22"/>
  <c r="P120" i="22" s="1"/>
  <c r="M120" i="22"/>
  <c r="N119" i="22"/>
  <c r="P119" i="22" s="1"/>
  <c r="M119" i="22"/>
  <c r="H119" i="22"/>
  <c r="P118" i="22"/>
  <c r="N118" i="22"/>
  <c r="K118" i="22" s="1"/>
  <c r="M118" i="22"/>
  <c r="N117" i="22"/>
  <c r="K117" i="22" s="1"/>
  <c r="M117" i="22"/>
  <c r="N116" i="22"/>
  <c r="M116" i="22"/>
  <c r="N115" i="22"/>
  <c r="K115" i="22" s="1"/>
  <c r="M115" i="22"/>
  <c r="H115" i="22"/>
  <c r="N114" i="22"/>
  <c r="P114" i="22" s="1"/>
  <c r="M114" i="22"/>
  <c r="K114" i="22"/>
  <c r="N113" i="22"/>
  <c r="P113" i="22" s="1"/>
  <c r="M113" i="22"/>
  <c r="K113" i="22"/>
  <c r="H113" i="22"/>
  <c r="N112" i="22"/>
  <c r="P112" i="22" s="1"/>
  <c r="M112" i="22"/>
  <c r="K112" i="22"/>
  <c r="N111" i="22"/>
  <c r="P111" i="22" s="1"/>
  <c r="M111" i="22"/>
  <c r="K111" i="22"/>
  <c r="N110" i="22"/>
  <c r="M110" i="22"/>
  <c r="N109" i="22"/>
  <c r="M109" i="22"/>
  <c r="N108" i="22"/>
  <c r="P108" i="22" s="1"/>
  <c r="M108" i="22"/>
  <c r="K108" i="22"/>
  <c r="N107" i="22"/>
  <c r="P107" i="22" s="1"/>
  <c r="M107" i="22"/>
  <c r="K107" i="22"/>
  <c r="N106" i="22"/>
  <c r="M106" i="22"/>
  <c r="N105" i="22"/>
  <c r="M105" i="22"/>
  <c r="N104" i="22"/>
  <c r="P104" i="22" s="1"/>
  <c r="M104" i="22"/>
  <c r="K104" i="22"/>
  <c r="N103" i="22"/>
  <c r="P103" i="22" s="1"/>
  <c r="M103" i="22"/>
  <c r="K103" i="22"/>
  <c r="H103" i="22"/>
  <c r="N102" i="22"/>
  <c r="P102" i="22" s="1"/>
  <c r="M102" i="22"/>
  <c r="N101" i="22"/>
  <c r="P101" i="22" s="1"/>
  <c r="M101" i="22"/>
  <c r="N100" i="22"/>
  <c r="P100" i="22" s="1"/>
  <c r="M100" i="22"/>
  <c r="N99" i="22"/>
  <c r="P99" i="22" s="1"/>
  <c r="M99" i="22"/>
  <c r="N98" i="22"/>
  <c r="P98" i="22" s="1"/>
  <c r="M98" i="22"/>
  <c r="N97" i="22"/>
  <c r="P97" i="22" s="1"/>
  <c r="M97" i="22"/>
  <c r="N96" i="22"/>
  <c r="P96" i="22" s="1"/>
  <c r="M96" i="22"/>
  <c r="N95" i="22"/>
  <c r="P95" i="22" s="1"/>
  <c r="M95" i="22"/>
  <c r="H95" i="22"/>
  <c r="N94" i="22"/>
  <c r="M94" i="22"/>
  <c r="N93" i="22"/>
  <c r="K93" i="22" s="1"/>
  <c r="M93" i="22"/>
  <c r="P92" i="22"/>
  <c r="N92" i="22"/>
  <c r="K92" i="22" s="1"/>
  <c r="M92" i="22"/>
  <c r="N91" i="22"/>
  <c r="K91" i="22" s="1"/>
  <c r="M91" i="22"/>
  <c r="N90" i="22"/>
  <c r="M90" i="22"/>
  <c r="N89" i="22"/>
  <c r="K89" i="22" s="1"/>
  <c r="M89" i="22"/>
  <c r="P88" i="22"/>
  <c r="N88" i="22"/>
  <c r="K88" i="22" s="1"/>
  <c r="M88" i="22"/>
  <c r="N87" i="22"/>
  <c r="K87" i="22" s="1"/>
  <c r="M87" i="22"/>
  <c r="N86" i="22"/>
  <c r="M86" i="22"/>
  <c r="N85" i="22"/>
  <c r="K85" i="22" s="1"/>
  <c r="M85" i="22"/>
  <c r="P84" i="22"/>
  <c r="N84" i="22"/>
  <c r="K84" i="22" s="1"/>
  <c r="M84" i="22"/>
  <c r="N83" i="22"/>
  <c r="K83" i="22" s="1"/>
  <c r="M83" i="22"/>
  <c r="N82" i="22"/>
  <c r="M82" i="22"/>
  <c r="N81" i="22"/>
  <c r="K81" i="22" s="1"/>
  <c r="M81" i="22"/>
  <c r="H81" i="22"/>
  <c r="N80" i="22"/>
  <c r="P80" i="22" s="1"/>
  <c r="M80" i="22"/>
  <c r="K80" i="22"/>
  <c r="N79" i="22"/>
  <c r="P79" i="22" s="1"/>
  <c r="M79" i="22"/>
  <c r="K79" i="22"/>
  <c r="N78" i="22"/>
  <c r="P78" i="22" s="1"/>
  <c r="M78" i="22"/>
  <c r="K78" i="22"/>
  <c r="N77" i="22"/>
  <c r="P77" i="22" s="1"/>
  <c r="M77" i="22"/>
  <c r="K77" i="22"/>
  <c r="N76" i="22"/>
  <c r="P76" i="22" s="1"/>
  <c r="M76" i="22"/>
  <c r="K76" i="22"/>
  <c r="N75" i="22"/>
  <c r="P75" i="22" s="1"/>
  <c r="M75" i="22"/>
  <c r="K75" i="22"/>
  <c r="N74" i="22"/>
  <c r="P74" i="22" s="1"/>
  <c r="M74" i="22"/>
  <c r="K74" i="22"/>
  <c r="H74" i="22"/>
  <c r="N73" i="22"/>
  <c r="P73" i="22" s="1"/>
  <c r="M73" i="22"/>
  <c r="K73" i="22"/>
  <c r="N72" i="22"/>
  <c r="P72" i="22" s="1"/>
  <c r="M72" i="22"/>
  <c r="K72" i="22"/>
  <c r="N71" i="22"/>
  <c r="M71" i="22"/>
  <c r="N70" i="22"/>
  <c r="M70" i="22"/>
  <c r="N69" i="22"/>
  <c r="P69" i="22" s="1"/>
  <c r="M69" i="22"/>
  <c r="K69" i="22"/>
  <c r="N68" i="22"/>
  <c r="P68" i="22" s="1"/>
  <c r="M68" i="22"/>
  <c r="K68" i="22"/>
  <c r="N67" i="22"/>
  <c r="M67" i="22"/>
  <c r="N66" i="22"/>
  <c r="M66" i="22"/>
  <c r="N65" i="22"/>
  <c r="P65" i="22" s="1"/>
  <c r="M65" i="22"/>
  <c r="K65" i="22"/>
  <c r="N64" i="22"/>
  <c r="P64" i="22" s="1"/>
  <c r="M64" i="22"/>
  <c r="K64" i="22"/>
  <c r="N63" i="22"/>
  <c r="M63" i="22"/>
  <c r="N62" i="22"/>
  <c r="M62" i="22"/>
  <c r="N61" i="22"/>
  <c r="P61" i="22" s="1"/>
  <c r="M61" i="22"/>
  <c r="K61" i="22"/>
  <c r="H61" i="22"/>
  <c r="N60" i="22"/>
  <c r="P60" i="22" s="1"/>
  <c r="M60" i="22"/>
  <c r="N59" i="22"/>
  <c r="P59" i="22" s="1"/>
  <c r="M59" i="22"/>
  <c r="N58" i="22"/>
  <c r="P58" i="22" s="1"/>
  <c r="M58" i="22"/>
  <c r="H58" i="22"/>
  <c r="N57" i="22"/>
  <c r="K57" i="22" s="1"/>
  <c r="M57" i="22"/>
  <c r="P56" i="22"/>
  <c r="N56" i="22"/>
  <c r="K56" i="22" s="1"/>
  <c r="M56" i="22"/>
  <c r="H56" i="22"/>
  <c r="P55" i="22"/>
  <c r="N55" i="22"/>
  <c r="M55" i="22"/>
  <c r="K55" i="22"/>
  <c r="P54" i="22"/>
  <c r="N54" i="22"/>
  <c r="M54" i="22"/>
  <c r="K54" i="22"/>
  <c r="P53" i="22"/>
  <c r="N53" i="22"/>
  <c r="M53" i="22"/>
  <c r="K53" i="22"/>
  <c r="H53" i="22"/>
  <c r="N52" i="22"/>
  <c r="P52" i="22" s="1"/>
  <c r="M52" i="22"/>
  <c r="K52" i="22"/>
  <c r="N51" i="22"/>
  <c r="M51" i="22"/>
  <c r="N50" i="22"/>
  <c r="M50" i="22"/>
  <c r="H50" i="22"/>
  <c r="N49" i="22"/>
  <c r="P49" i="22" s="1"/>
  <c r="M49" i="22"/>
  <c r="N48" i="22"/>
  <c r="P48" i="22" s="1"/>
  <c r="M48" i="22"/>
  <c r="H48" i="22"/>
  <c r="P47" i="22"/>
  <c r="N47" i="22"/>
  <c r="K47" i="22" s="1"/>
  <c r="M47" i="22"/>
  <c r="N46" i="22"/>
  <c r="K46" i="22" s="1"/>
  <c r="M46" i="22"/>
  <c r="N45" i="22"/>
  <c r="M45" i="22"/>
  <c r="H45" i="22"/>
  <c r="N44" i="22"/>
  <c r="M44" i="22"/>
  <c r="N43" i="22"/>
  <c r="M43" i="22"/>
  <c r="N42" i="22"/>
  <c r="M42" i="22"/>
  <c r="H42" i="22"/>
  <c r="N41" i="22"/>
  <c r="M41" i="22"/>
  <c r="N40" i="22"/>
  <c r="P40" i="22" s="1"/>
  <c r="M40" i="22"/>
  <c r="K40" i="22"/>
  <c r="N39" i="22"/>
  <c r="P39" i="22" s="1"/>
  <c r="M39" i="22"/>
  <c r="K39" i="22"/>
  <c r="N38" i="22"/>
  <c r="M38" i="22"/>
  <c r="N37" i="22"/>
  <c r="M37" i="22"/>
  <c r="N36" i="22"/>
  <c r="P36" i="22" s="1"/>
  <c r="M36" i="22"/>
  <c r="K36" i="22"/>
  <c r="N35" i="22"/>
  <c r="P35" i="22" s="1"/>
  <c r="M35" i="22"/>
  <c r="K35" i="22"/>
  <c r="H35" i="22"/>
  <c r="N34" i="22"/>
  <c r="P34" i="22" s="1"/>
  <c r="M34" i="22"/>
  <c r="N33" i="22"/>
  <c r="P33" i="22" s="1"/>
  <c r="M33" i="22"/>
  <c r="N32" i="22"/>
  <c r="P32" i="22" s="1"/>
  <c r="M32" i="22"/>
  <c r="N31" i="22"/>
  <c r="P31" i="22" s="1"/>
  <c r="M31" i="22"/>
  <c r="N30" i="22"/>
  <c r="P30" i="22" s="1"/>
  <c r="M30" i="22"/>
  <c r="N29" i="22"/>
  <c r="P29" i="22" s="1"/>
  <c r="M29" i="22"/>
  <c r="N28" i="22"/>
  <c r="P28" i="22" s="1"/>
  <c r="M28" i="22"/>
  <c r="N27" i="22"/>
  <c r="P27" i="22" s="1"/>
  <c r="M27" i="22"/>
  <c r="N26" i="22"/>
  <c r="P26" i="22" s="1"/>
  <c r="M26" i="22"/>
  <c r="N25" i="22"/>
  <c r="P25" i="22" s="1"/>
  <c r="M25" i="22"/>
  <c r="H25" i="22"/>
  <c r="N24" i="22"/>
  <c r="M24" i="22"/>
  <c r="N23" i="22"/>
  <c r="K23" i="22" s="1"/>
  <c r="M23" i="22"/>
  <c r="P22" i="22"/>
  <c r="N22" i="22"/>
  <c r="K22" i="22" s="1"/>
  <c r="M22" i="22"/>
  <c r="N21" i="22"/>
  <c r="K21" i="22" s="1"/>
  <c r="M21" i="22"/>
  <c r="N20" i="22"/>
  <c r="M20" i="22"/>
  <c r="N19" i="22"/>
  <c r="K19" i="22" s="1"/>
  <c r="M19" i="22"/>
  <c r="P18" i="22"/>
  <c r="N18" i="22"/>
  <c r="K18" i="22" s="1"/>
  <c r="M18" i="22"/>
  <c r="N17" i="22"/>
  <c r="K17" i="22" s="1"/>
  <c r="M17" i="22"/>
  <c r="N16" i="22"/>
  <c r="M16" i="22"/>
  <c r="H16" i="22"/>
  <c r="N15" i="22"/>
  <c r="M15" i="22"/>
  <c r="N14" i="22"/>
  <c r="M14" i="22"/>
  <c r="N13" i="22"/>
  <c r="M13" i="22"/>
  <c r="N12" i="22"/>
  <c r="M12" i="22"/>
  <c r="H12" i="22"/>
  <c r="N11" i="22"/>
  <c r="M11" i="22"/>
  <c r="N10" i="22"/>
  <c r="P10" i="22" s="1"/>
  <c r="M10" i="22"/>
  <c r="K10" i="22"/>
  <c r="N9" i="22"/>
  <c r="P9" i="22" s="1"/>
  <c r="M9" i="22"/>
  <c r="K9" i="22"/>
  <c r="N8" i="22"/>
  <c r="M8" i="22"/>
  <c r="N7" i="22"/>
  <c r="M7" i="22"/>
  <c r="N6" i="22"/>
  <c r="P6" i="22" s="1"/>
  <c r="M6" i="22"/>
  <c r="K6" i="22"/>
  <c r="N5" i="22"/>
  <c r="P5" i="22" s="1"/>
  <c r="M5" i="22"/>
  <c r="K5" i="22"/>
  <c r="H5" i="22"/>
  <c r="N4" i="22"/>
  <c r="P4" i="22" s="1"/>
  <c r="M4" i="22"/>
  <c r="N3" i="22"/>
  <c r="P3" i="22" s="1"/>
  <c r="M3" i="22"/>
  <c r="N2" i="22"/>
  <c r="P2" i="22" s="1"/>
  <c r="M2" i="22"/>
  <c r="N1193" i="21"/>
  <c r="P1193" i="21" s="1"/>
  <c r="M1193" i="21"/>
  <c r="N1192" i="21"/>
  <c r="K1192" i="21" s="1"/>
  <c r="M1192" i="21"/>
  <c r="P1191" i="21"/>
  <c r="N1191" i="21"/>
  <c r="K1191" i="21" s="1"/>
  <c r="M1191" i="21"/>
  <c r="P1190" i="21"/>
  <c r="N1190" i="21"/>
  <c r="K1190" i="21" s="1"/>
  <c r="M1190" i="21"/>
  <c r="N1189" i="21"/>
  <c r="M1189" i="21"/>
  <c r="N1188" i="21"/>
  <c r="K1188" i="21" s="1"/>
  <c r="M1188" i="21"/>
  <c r="P1187" i="21"/>
  <c r="N1187" i="21"/>
  <c r="K1187" i="21" s="1"/>
  <c r="M1187" i="21"/>
  <c r="N1186" i="21"/>
  <c r="K1186" i="21" s="1"/>
  <c r="M1186" i="21"/>
  <c r="N1185" i="21"/>
  <c r="M1185" i="21"/>
  <c r="H1185" i="21"/>
  <c r="N1184" i="21"/>
  <c r="P1184" i="21" s="1"/>
  <c r="M1184" i="21"/>
  <c r="K1184" i="21"/>
  <c r="N1183" i="21"/>
  <c r="P1183" i="21" s="1"/>
  <c r="M1183" i="21"/>
  <c r="K1183" i="21"/>
  <c r="N1182" i="21"/>
  <c r="M1182" i="21"/>
  <c r="H1182" i="21"/>
  <c r="P1181" i="21"/>
  <c r="N1181" i="21"/>
  <c r="M1181" i="21"/>
  <c r="K1181" i="21"/>
  <c r="P1180" i="21"/>
  <c r="N1180" i="21"/>
  <c r="M1180" i="21"/>
  <c r="K1180" i="21"/>
  <c r="H1180" i="21"/>
  <c r="N1179" i="21"/>
  <c r="K1179" i="21" s="1"/>
  <c r="M1179" i="21"/>
  <c r="N1178" i="21"/>
  <c r="K1178" i="21" s="1"/>
  <c r="M1178" i="21"/>
  <c r="H1178" i="21"/>
  <c r="N1177" i="21"/>
  <c r="M1177" i="21"/>
  <c r="N1176" i="21"/>
  <c r="K1176" i="21" s="1"/>
  <c r="M1176" i="21"/>
  <c r="H1176" i="21"/>
  <c r="N1175" i="21"/>
  <c r="P1175" i="21" s="1"/>
  <c r="M1175" i="21"/>
  <c r="K1175" i="21"/>
  <c r="N1174" i="21"/>
  <c r="M1174" i="21"/>
  <c r="H1174" i="21"/>
  <c r="P1173" i="21"/>
  <c r="N1173" i="21"/>
  <c r="M1173" i="21"/>
  <c r="K1173" i="21"/>
  <c r="P1172" i="21"/>
  <c r="N1172" i="21"/>
  <c r="M1172" i="21"/>
  <c r="K1172" i="21"/>
  <c r="P1171" i="21"/>
  <c r="N1171" i="21"/>
  <c r="M1171" i="21"/>
  <c r="K1171" i="21"/>
  <c r="P1170" i="21"/>
  <c r="N1170" i="21"/>
  <c r="M1170" i="21"/>
  <c r="K1170" i="21"/>
  <c r="H1170" i="21"/>
  <c r="N1169" i="21"/>
  <c r="K1169" i="21" s="1"/>
  <c r="M1169" i="21"/>
  <c r="N1168" i="21"/>
  <c r="K1168" i="21" s="1"/>
  <c r="M1168" i="21"/>
  <c r="H1168" i="21"/>
  <c r="N1167" i="21"/>
  <c r="M1167" i="21"/>
  <c r="N1166" i="21"/>
  <c r="K1166" i="21" s="1"/>
  <c r="M1166" i="21"/>
  <c r="P1165" i="21"/>
  <c r="N1165" i="21"/>
  <c r="K1165" i="21" s="1"/>
  <c r="M1165" i="21"/>
  <c r="N1164" i="21"/>
  <c r="K1164" i="21" s="1"/>
  <c r="M1164" i="21"/>
  <c r="H1164" i="21"/>
  <c r="N1163" i="21"/>
  <c r="M1163" i="21"/>
  <c r="N1162" i="21"/>
  <c r="P1162" i="21" s="1"/>
  <c r="M1162" i="21"/>
  <c r="K1162" i="21"/>
  <c r="H1162" i="21"/>
  <c r="N1161" i="21"/>
  <c r="M1161" i="21"/>
  <c r="N1160" i="21"/>
  <c r="M1160" i="21"/>
  <c r="N1159" i="21"/>
  <c r="M1159" i="21"/>
  <c r="N1158" i="21"/>
  <c r="M1158" i="21"/>
  <c r="N1157" i="21"/>
  <c r="M1157" i="21"/>
  <c r="N1156" i="21"/>
  <c r="M1156" i="21"/>
  <c r="N1155" i="21"/>
  <c r="M1155" i="21"/>
  <c r="N1154" i="21"/>
  <c r="M1154" i="21"/>
  <c r="N1153" i="21"/>
  <c r="M1153" i="21"/>
  <c r="N1152" i="21"/>
  <c r="M1152" i="21"/>
  <c r="N1151" i="21"/>
  <c r="M1151" i="21"/>
  <c r="N1150" i="21"/>
  <c r="M1150" i="21"/>
  <c r="H1150" i="21"/>
  <c r="N1149" i="21"/>
  <c r="K1149" i="21" s="1"/>
  <c r="M1149" i="21"/>
  <c r="N1148" i="21"/>
  <c r="K1148" i="21" s="1"/>
  <c r="M1148" i="21"/>
  <c r="N1147" i="21"/>
  <c r="K1147" i="21" s="1"/>
  <c r="M1147" i="21"/>
  <c r="N1146" i="21"/>
  <c r="K1146" i="21" s="1"/>
  <c r="M1146" i="21"/>
  <c r="N1145" i="21"/>
  <c r="K1145" i="21" s="1"/>
  <c r="M1145" i="21"/>
  <c r="N1144" i="21"/>
  <c r="K1144" i="21" s="1"/>
  <c r="M1144" i="21"/>
  <c r="H1144" i="21"/>
  <c r="P1143" i="21"/>
  <c r="N1143" i="21"/>
  <c r="K1143" i="21" s="1"/>
  <c r="M1143" i="21"/>
  <c r="N1142" i="21"/>
  <c r="K1142" i="21" s="1"/>
  <c r="M1142" i="21"/>
  <c r="N1141" i="21"/>
  <c r="M1141" i="21"/>
  <c r="N1140" i="21"/>
  <c r="K1140" i="21" s="1"/>
  <c r="M1140" i="21"/>
  <c r="H1140" i="21"/>
  <c r="N1139" i="21"/>
  <c r="P1139" i="21" s="1"/>
  <c r="M1139" i="21"/>
  <c r="K1139" i="21"/>
  <c r="N1138" i="21"/>
  <c r="M1138" i="21"/>
  <c r="N1137" i="21"/>
  <c r="M1137" i="21"/>
  <c r="N1136" i="21"/>
  <c r="P1136" i="21" s="1"/>
  <c r="M1136" i="21"/>
  <c r="K1136" i="21"/>
  <c r="N1135" i="21"/>
  <c r="P1135" i="21" s="1"/>
  <c r="M1135" i="21"/>
  <c r="K1135" i="21"/>
  <c r="H1135" i="21"/>
  <c r="N1134" i="21"/>
  <c r="P1134" i="21" s="1"/>
  <c r="M1134" i="21"/>
  <c r="K1134" i="21"/>
  <c r="N1133" i="21"/>
  <c r="P1133" i="21" s="1"/>
  <c r="M1133" i="21"/>
  <c r="K1133" i="21"/>
  <c r="N1132" i="21"/>
  <c r="P1132" i="21" s="1"/>
  <c r="M1132" i="21"/>
  <c r="K1132" i="21"/>
  <c r="N1131" i="21"/>
  <c r="P1131" i="21" s="1"/>
  <c r="M1131" i="21"/>
  <c r="K1131" i="21"/>
  <c r="N1130" i="21"/>
  <c r="P1130" i="21" s="1"/>
  <c r="M1130" i="21"/>
  <c r="K1130" i="21"/>
  <c r="H1130" i="21"/>
  <c r="N1129" i="21"/>
  <c r="K1129" i="21" s="1"/>
  <c r="M1129" i="21"/>
  <c r="N1128" i="21"/>
  <c r="K1128" i="21" s="1"/>
  <c r="M1128" i="21"/>
  <c r="N1127" i="21"/>
  <c r="K1127" i="21" s="1"/>
  <c r="M1127" i="21"/>
  <c r="N1126" i="21"/>
  <c r="K1126" i="21" s="1"/>
  <c r="M1126" i="21"/>
  <c r="H1126" i="21"/>
  <c r="N1125" i="21"/>
  <c r="K1125" i="21" s="1"/>
  <c r="M1125" i="21"/>
  <c r="N1124" i="21"/>
  <c r="M1124" i="21"/>
  <c r="N1123" i="21"/>
  <c r="K1123" i="21" s="1"/>
  <c r="M1123" i="21"/>
  <c r="P1122" i="21"/>
  <c r="N1122" i="21"/>
  <c r="K1122" i="21" s="1"/>
  <c r="M1122" i="21"/>
  <c r="N1121" i="21"/>
  <c r="K1121" i="21" s="1"/>
  <c r="M1121" i="21"/>
  <c r="H1121" i="21"/>
  <c r="N1120" i="21"/>
  <c r="M1120" i="21"/>
  <c r="N1119" i="21"/>
  <c r="P1119" i="21" s="1"/>
  <c r="M1119" i="21"/>
  <c r="K1119" i="21"/>
  <c r="N1118" i="21"/>
  <c r="P1118" i="21" s="1"/>
  <c r="M1118" i="21"/>
  <c r="K1118" i="21"/>
  <c r="N1117" i="21"/>
  <c r="M1117" i="21"/>
  <c r="H1117" i="21"/>
  <c r="P1116" i="21"/>
  <c r="N1116" i="21"/>
  <c r="M1116" i="21"/>
  <c r="K1116" i="21"/>
  <c r="P1115" i="21"/>
  <c r="N1115" i="21"/>
  <c r="M1115" i="21"/>
  <c r="K1115" i="21"/>
  <c r="P1114" i="21"/>
  <c r="N1114" i="21"/>
  <c r="M1114" i="21"/>
  <c r="K1114" i="21"/>
  <c r="P1113" i="21"/>
  <c r="N1113" i="21"/>
  <c r="M1113" i="21"/>
  <c r="K1113" i="21"/>
  <c r="P1112" i="21"/>
  <c r="N1112" i="21"/>
  <c r="M1112" i="21"/>
  <c r="K1112" i="21"/>
  <c r="H1112" i="21"/>
  <c r="N1111" i="21"/>
  <c r="K1111" i="21" s="1"/>
  <c r="M1111" i="21"/>
  <c r="N1110" i="21"/>
  <c r="K1110" i="21" s="1"/>
  <c r="M1110" i="21"/>
  <c r="N1109" i="21"/>
  <c r="K1109" i="21" s="1"/>
  <c r="M1109" i="21"/>
  <c r="N1108" i="21"/>
  <c r="K1108" i="21" s="1"/>
  <c r="M1108" i="21"/>
  <c r="N1107" i="21"/>
  <c r="K1107" i="21" s="1"/>
  <c r="M1107" i="21"/>
  <c r="H1107" i="21"/>
  <c r="P1106" i="21"/>
  <c r="N1106" i="21"/>
  <c r="K1106" i="21" s="1"/>
  <c r="M1106" i="21"/>
  <c r="N1105" i="21"/>
  <c r="K1105" i="21" s="1"/>
  <c r="M1105" i="21"/>
  <c r="H1105" i="21"/>
  <c r="N1104" i="21"/>
  <c r="M1104" i="21"/>
  <c r="N1103" i="21"/>
  <c r="P1103" i="21" s="1"/>
  <c r="M1103" i="21"/>
  <c r="K1103" i="21"/>
  <c r="N1102" i="21"/>
  <c r="P1102" i="21" s="1"/>
  <c r="M1102" i="21"/>
  <c r="K1102" i="21"/>
  <c r="N1101" i="21"/>
  <c r="M1101" i="21"/>
  <c r="N1100" i="21"/>
  <c r="M1100" i="21"/>
  <c r="N1099" i="21"/>
  <c r="P1099" i="21" s="1"/>
  <c r="M1099" i="21"/>
  <c r="K1099" i="21"/>
  <c r="H1099" i="21"/>
  <c r="N1098" i="21"/>
  <c r="M1098" i="21"/>
  <c r="N1097" i="21"/>
  <c r="M1097" i="21"/>
  <c r="N1096" i="21"/>
  <c r="M1096" i="21"/>
  <c r="N1095" i="21"/>
  <c r="M1095" i="21"/>
  <c r="N1094" i="21"/>
  <c r="M1094" i="21"/>
  <c r="N1093" i="21"/>
  <c r="M1093" i="21"/>
  <c r="H1093" i="21"/>
  <c r="N1092" i="21"/>
  <c r="M1092" i="21"/>
  <c r="N1091" i="21"/>
  <c r="P1091" i="21" s="1"/>
  <c r="M1091" i="21"/>
  <c r="K1091" i="21"/>
  <c r="N1090" i="21"/>
  <c r="P1090" i="21" s="1"/>
  <c r="M1090" i="21"/>
  <c r="K1090" i="21"/>
  <c r="N1089" i="21"/>
  <c r="P1089" i="21" s="1"/>
  <c r="M1089" i="21"/>
  <c r="N1088" i="21"/>
  <c r="P1088" i="21" s="1"/>
  <c r="M1088" i="21"/>
  <c r="K1088" i="21"/>
  <c r="N1087" i="21"/>
  <c r="P1087" i="21" s="1"/>
  <c r="M1087" i="21"/>
  <c r="K1087" i="21"/>
  <c r="N1086" i="21"/>
  <c r="M1086" i="21"/>
  <c r="N1085" i="21"/>
  <c r="P1085" i="21" s="1"/>
  <c r="M1085" i="21"/>
  <c r="H1085" i="21"/>
  <c r="N1084" i="21"/>
  <c r="M1084" i="21"/>
  <c r="N1083" i="21"/>
  <c r="K1083" i="21" s="1"/>
  <c r="M1083" i="21"/>
  <c r="N1082" i="21"/>
  <c r="K1082" i="21" s="1"/>
  <c r="M1082" i="21"/>
  <c r="N1081" i="21"/>
  <c r="K1081" i="21" s="1"/>
  <c r="M1081" i="21"/>
  <c r="P1080" i="21"/>
  <c r="N1080" i="21"/>
  <c r="K1080" i="21" s="1"/>
  <c r="M1080" i="21"/>
  <c r="N1079" i="21"/>
  <c r="K1079" i="21" s="1"/>
  <c r="M1079" i="21"/>
  <c r="N1078" i="21"/>
  <c r="K1078" i="21" s="1"/>
  <c r="M1078" i="21"/>
  <c r="N1077" i="21"/>
  <c r="K1077" i="21" s="1"/>
  <c r="M1077" i="21"/>
  <c r="N1076" i="21"/>
  <c r="M1076" i="21"/>
  <c r="N1075" i="21"/>
  <c r="K1075" i="21" s="1"/>
  <c r="M1075" i="21"/>
  <c r="N1074" i="21"/>
  <c r="K1074" i="21" s="1"/>
  <c r="M1074" i="21"/>
  <c r="N1073" i="21"/>
  <c r="K1073" i="21" s="1"/>
  <c r="M1073" i="21"/>
  <c r="P1072" i="21"/>
  <c r="N1072" i="21"/>
  <c r="K1072" i="21" s="1"/>
  <c r="M1072" i="21"/>
  <c r="N1071" i="21"/>
  <c r="K1071" i="21" s="1"/>
  <c r="M1071" i="21"/>
  <c r="N1070" i="21"/>
  <c r="K1070" i="21" s="1"/>
  <c r="M1070" i="21"/>
  <c r="P1069" i="21"/>
  <c r="N1069" i="21"/>
  <c r="K1069" i="21" s="1"/>
  <c r="M1069" i="21"/>
  <c r="N1068" i="21"/>
  <c r="M1068" i="21"/>
  <c r="N1067" i="21"/>
  <c r="K1067" i="21" s="1"/>
  <c r="M1067" i="21"/>
  <c r="N1066" i="21"/>
  <c r="K1066" i="21" s="1"/>
  <c r="M1066" i="21"/>
  <c r="N1065" i="21"/>
  <c r="K1065" i="21" s="1"/>
  <c r="M1065" i="21"/>
  <c r="P1064" i="21"/>
  <c r="N1064" i="21"/>
  <c r="K1064" i="21" s="1"/>
  <c r="M1064" i="21"/>
  <c r="N1063" i="21"/>
  <c r="K1063" i="21" s="1"/>
  <c r="M1063" i="21"/>
  <c r="N1062" i="21"/>
  <c r="K1062" i="21" s="1"/>
  <c r="M1062" i="21"/>
  <c r="N1061" i="21"/>
  <c r="K1061" i="21" s="1"/>
  <c r="M1061" i="21"/>
  <c r="N1060" i="21"/>
  <c r="M1060" i="21"/>
  <c r="N1059" i="21"/>
  <c r="K1059" i="21" s="1"/>
  <c r="M1059" i="21"/>
  <c r="N1058" i="21"/>
  <c r="K1058" i="21" s="1"/>
  <c r="M1058" i="21"/>
  <c r="H1058" i="21"/>
  <c r="N1057" i="21"/>
  <c r="P1057" i="21" s="1"/>
  <c r="M1057" i="21"/>
  <c r="K1057" i="21"/>
  <c r="N1056" i="21"/>
  <c r="P1056" i="21" s="1"/>
  <c r="M1056" i="21"/>
  <c r="K1056" i="21"/>
  <c r="N1055" i="21"/>
  <c r="M1055" i="21"/>
  <c r="N1054" i="21"/>
  <c r="M1054" i="21"/>
  <c r="N1053" i="21"/>
  <c r="P1053" i="21" s="1"/>
  <c r="M1053" i="21"/>
  <c r="K1053" i="21"/>
  <c r="N1052" i="21"/>
  <c r="P1052" i="21" s="1"/>
  <c r="M1052" i="21"/>
  <c r="K1052" i="21"/>
  <c r="N1051" i="21"/>
  <c r="M1051" i="21"/>
  <c r="N1050" i="21"/>
  <c r="M1050" i="21"/>
  <c r="N1049" i="21"/>
  <c r="P1049" i="21" s="1"/>
  <c r="M1049" i="21"/>
  <c r="K1049" i="21"/>
  <c r="N1048" i="21"/>
  <c r="P1048" i="21" s="1"/>
  <c r="M1048" i="21"/>
  <c r="K1048" i="21"/>
  <c r="N1047" i="21"/>
  <c r="M1047" i="21"/>
  <c r="N1046" i="21"/>
  <c r="M1046" i="21"/>
  <c r="N1045" i="21"/>
  <c r="P1045" i="21" s="1"/>
  <c r="M1045" i="21"/>
  <c r="K1045" i="21"/>
  <c r="N1044" i="21"/>
  <c r="P1044" i="21" s="1"/>
  <c r="M1044" i="21"/>
  <c r="K1044" i="21"/>
  <c r="N1043" i="21"/>
  <c r="M1043" i="21"/>
  <c r="N1042" i="21"/>
  <c r="M1042" i="21"/>
  <c r="N1041" i="21"/>
  <c r="P1041" i="21" s="1"/>
  <c r="M1041" i="21"/>
  <c r="K1041" i="21"/>
  <c r="N1040" i="21"/>
  <c r="P1040" i="21" s="1"/>
  <c r="M1040" i="21"/>
  <c r="K1040" i="21"/>
  <c r="N1039" i="21"/>
  <c r="M1039" i="21"/>
  <c r="N1038" i="21"/>
  <c r="M1038" i="21"/>
  <c r="N1037" i="21"/>
  <c r="P1037" i="21" s="1"/>
  <c r="M1037" i="21"/>
  <c r="K1037" i="21"/>
  <c r="H1037" i="21"/>
  <c r="N1036" i="21"/>
  <c r="M1036" i="21"/>
  <c r="N1035" i="21"/>
  <c r="M1035" i="21"/>
  <c r="N1034" i="21"/>
  <c r="M1034" i="21"/>
  <c r="N1033" i="21"/>
  <c r="M1033" i="21"/>
  <c r="N1032" i="21"/>
  <c r="M1032" i="21"/>
  <c r="N1031" i="21"/>
  <c r="M1031" i="21"/>
  <c r="N1030" i="21"/>
  <c r="M1030" i="21"/>
  <c r="N1029" i="21"/>
  <c r="M1029" i="21"/>
  <c r="N1028" i="21"/>
  <c r="M1028" i="21"/>
  <c r="N1027" i="21"/>
  <c r="M1027" i="21"/>
  <c r="N1026" i="21"/>
  <c r="M1026" i="21"/>
  <c r="N1025" i="21"/>
  <c r="M1025" i="21"/>
  <c r="N1024" i="21"/>
  <c r="M1024" i="21"/>
  <c r="N1023" i="21"/>
  <c r="M1023" i="21"/>
  <c r="H1023" i="21"/>
  <c r="N1022" i="21"/>
  <c r="P1022" i="21" s="1"/>
  <c r="M1022" i="21"/>
  <c r="N1021" i="21"/>
  <c r="P1021" i="21" s="1"/>
  <c r="M1021" i="21"/>
  <c r="K1021" i="21"/>
  <c r="N1020" i="21"/>
  <c r="M1020" i="21"/>
  <c r="N1019" i="21"/>
  <c r="P1019" i="21" s="1"/>
  <c r="M1019" i="21"/>
  <c r="N1018" i="21"/>
  <c r="P1018" i="21" s="1"/>
  <c r="M1018" i="21"/>
  <c r="N1017" i="21"/>
  <c r="K1017" i="21" s="1"/>
  <c r="M1017" i="21"/>
  <c r="N1016" i="21"/>
  <c r="M1016" i="21"/>
  <c r="N1015" i="21"/>
  <c r="K1015" i="21" s="1"/>
  <c r="M1015" i="21"/>
  <c r="P1014" i="21"/>
  <c r="N1014" i="21"/>
  <c r="K1014" i="21" s="1"/>
  <c r="M1014" i="21"/>
  <c r="P1013" i="21"/>
  <c r="N1013" i="21"/>
  <c r="K1013" i="21" s="1"/>
  <c r="M1013" i="21"/>
  <c r="N1012" i="21"/>
  <c r="M1012" i="21"/>
  <c r="N1011" i="21"/>
  <c r="K1011" i="21" s="1"/>
  <c r="M1011" i="21"/>
  <c r="P1010" i="21"/>
  <c r="N1010" i="21"/>
  <c r="K1010" i="21" s="1"/>
  <c r="M1010" i="21"/>
  <c r="H1010" i="21"/>
  <c r="N1009" i="21"/>
  <c r="K1009" i="21" s="1"/>
  <c r="M1009" i="21"/>
  <c r="N1008" i="21"/>
  <c r="K1008" i="21" s="1"/>
  <c r="M1008" i="21"/>
  <c r="N1007" i="21"/>
  <c r="K1007" i="21" s="1"/>
  <c r="M1007" i="21"/>
  <c r="N1006" i="21"/>
  <c r="K1006" i="21" s="1"/>
  <c r="M1006" i="21"/>
  <c r="N1005" i="21"/>
  <c r="K1005" i="21" s="1"/>
  <c r="M1005" i="21"/>
  <c r="N1004" i="21"/>
  <c r="K1004" i="21" s="1"/>
  <c r="M1004" i="21"/>
  <c r="N1003" i="21"/>
  <c r="K1003" i="21" s="1"/>
  <c r="M1003" i="21"/>
  <c r="N1002" i="21"/>
  <c r="K1002" i="21" s="1"/>
  <c r="M1002" i="21"/>
  <c r="N1001" i="21"/>
  <c r="K1001" i="21" s="1"/>
  <c r="M1001" i="21"/>
  <c r="N1000" i="21"/>
  <c r="K1000" i="21" s="1"/>
  <c r="M1000" i="21"/>
  <c r="N999" i="21"/>
  <c r="K999" i="21" s="1"/>
  <c r="M999" i="21"/>
  <c r="N998" i="21"/>
  <c r="K998" i="21" s="1"/>
  <c r="M998" i="21"/>
  <c r="N997" i="21"/>
  <c r="K997" i="21" s="1"/>
  <c r="M997" i="21"/>
  <c r="N996" i="21"/>
  <c r="K996" i="21" s="1"/>
  <c r="M996" i="21"/>
  <c r="N995" i="21"/>
  <c r="K995" i="21" s="1"/>
  <c r="M995" i="21"/>
  <c r="N994" i="21"/>
  <c r="K994" i="21" s="1"/>
  <c r="M994" i="21"/>
  <c r="N993" i="21"/>
  <c r="K993" i="21" s="1"/>
  <c r="M993" i="21"/>
  <c r="N992" i="21"/>
  <c r="K992" i="21" s="1"/>
  <c r="M992" i="21"/>
  <c r="N991" i="21"/>
  <c r="K991" i="21" s="1"/>
  <c r="M991" i="21"/>
  <c r="N990" i="21"/>
  <c r="K990" i="21" s="1"/>
  <c r="M990" i="21"/>
  <c r="N989" i="21"/>
  <c r="K989" i="21" s="1"/>
  <c r="M989" i="21"/>
  <c r="N988" i="21"/>
  <c r="K988" i="21" s="1"/>
  <c r="M988" i="21"/>
  <c r="N987" i="21"/>
  <c r="K987" i="21" s="1"/>
  <c r="M987" i="21"/>
  <c r="N986" i="21"/>
  <c r="K986" i="21" s="1"/>
  <c r="M986" i="21"/>
  <c r="N985" i="21"/>
  <c r="K985" i="21" s="1"/>
  <c r="M985" i="21"/>
  <c r="N984" i="21"/>
  <c r="K984" i="21" s="1"/>
  <c r="M984" i="21"/>
  <c r="H984" i="21"/>
  <c r="N983" i="21"/>
  <c r="P983" i="21" s="1"/>
  <c r="M983" i="21"/>
  <c r="K983" i="21"/>
  <c r="N982" i="21"/>
  <c r="P982" i="21" s="1"/>
  <c r="M982" i="21"/>
  <c r="K982" i="21"/>
  <c r="N981" i="21"/>
  <c r="P981" i="21" s="1"/>
  <c r="M981" i="21"/>
  <c r="K981" i="21"/>
  <c r="N980" i="21"/>
  <c r="P980" i="21" s="1"/>
  <c r="M980" i="21"/>
  <c r="K980" i="21"/>
  <c r="N979" i="21"/>
  <c r="P979" i="21" s="1"/>
  <c r="M979" i="21"/>
  <c r="K979" i="21"/>
  <c r="N978" i="21"/>
  <c r="P978" i="21" s="1"/>
  <c r="M978" i="21"/>
  <c r="K978" i="21"/>
  <c r="N977" i="21"/>
  <c r="P977" i="21" s="1"/>
  <c r="M977" i="21"/>
  <c r="K977" i="21"/>
  <c r="N976" i="21"/>
  <c r="P976" i="21" s="1"/>
  <c r="M976" i="21"/>
  <c r="K976" i="21"/>
  <c r="N975" i="21"/>
  <c r="P975" i="21" s="1"/>
  <c r="M975" i="21"/>
  <c r="K975" i="21"/>
  <c r="N974" i="21"/>
  <c r="P974" i="21" s="1"/>
  <c r="M974" i="21"/>
  <c r="K974" i="21"/>
  <c r="N973" i="21"/>
  <c r="P973" i="21" s="1"/>
  <c r="M973" i="21"/>
  <c r="K973" i="21"/>
  <c r="N972" i="21"/>
  <c r="P972" i="21" s="1"/>
  <c r="M972" i="21"/>
  <c r="K972" i="21"/>
  <c r="H972" i="21"/>
  <c r="N971" i="21"/>
  <c r="P971" i="21" s="1"/>
  <c r="M971" i="21"/>
  <c r="K971" i="21"/>
  <c r="N970" i="21"/>
  <c r="P970" i="21" s="1"/>
  <c r="M970" i="21"/>
  <c r="K970" i="21"/>
  <c r="N969" i="21"/>
  <c r="M969" i="21"/>
  <c r="N968" i="21"/>
  <c r="M968" i="21"/>
  <c r="N967" i="21"/>
  <c r="P967" i="21" s="1"/>
  <c r="M967" i="21"/>
  <c r="K967" i="21"/>
  <c r="N966" i="21"/>
  <c r="P966" i="21" s="1"/>
  <c r="M966" i="21"/>
  <c r="K966" i="21"/>
  <c r="N965" i="21"/>
  <c r="M965" i="21"/>
  <c r="N964" i="21"/>
  <c r="M964" i="21"/>
  <c r="N963" i="21"/>
  <c r="P963" i="21" s="1"/>
  <c r="M963" i="21"/>
  <c r="K963" i="21"/>
  <c r="N962" i="21"/>
  <c r="P962" i="21" s="1"/>
  <c r="M962" i="21"/>
  <c r="K962" i="21"/>
  <c r="N961" i="21"/>
  <c r="M961" i="21"/>
  <c r="N960" i="21"/>
  <c r="M960" i="21"/>
  <c r="N959" i="21"/>
  <c r="P959" i="21" s="1"/>
  <c r="M959" i="21"/>
  <c r="K959" i="21"/>
  <c r="N958" i="21"/>
  <c r="P958" i="21" s="1"/>
  <c r="M958" i="21"/>
  <c r="K958" i="21"/>
  <c r="N957" i="21"/>
  <c r="M957" i="21"/>
  <c r="N956" i="21"/>
  <c r="M956" i="21"/>
  <c r="H956" i="21"/>
  <c r="N955" i="21"/>
  <c r="K955" i="21" s="1"/>
  <c r="M955" i="21"/>
  <c r="N954" i="21"/>
  <c r="M954" i="21"/>
  <c r="N953" i="21"/>
  <c r="K953" i="21" s="1"/>
  <c r="M953" i="21"/>
  <c r="P952" i="21"/>
  <c r="N952" i="21"/>
  <c r="K952" i="21" s="1"/>
  <c r="M952" i="21"/>
  <c r="P951" i="21"/>
  <c r="N951" i="21"/>
  <c r="K951" i="21" s="1"/>
  <c r="M951" i="21"/>
  <c r="N950" i="21"/>
  <c r="M950" i="21"/>
  <c r="N949" i="21"/>
  <c r="K949" i="21" s="1"/>
  <c r="M949" i="21"/>
  <c r="P948" i="21"/>
  <c r="N948" i="21"/>
  <c r="K948" i="21" s="1"/>
  <c r="M948" i="21"/>
  <c r="N947" i="21"/>
  <c r="K947" i="21" s="1"/>
  <c r="M947" i="21"/>
  <c r="N946" i="21"/>
  <c r="M946" i="21"/>
  <c r="N945" i="21"/>
  <c r="K945" i="21" s="1"/>
  <c r="M945" i="21"/>
  <c r="P944" i="21"/>
  <c r="N944" i="21"/>
  <c r="K944" i="21" s="1"/>
  <c r="M944" i="21"/>
  <c r="P943" i="21"/>
  <c r="N943" i="21"/>
  <c r="K943" i="21" s="1"/>
  <c r="M943" i="21"/>
  <c r="N942" i="21"/>
  <c r="M942" i="21"/>
  <c r="N941" i="21"/>
  <c r="K941" i="21" s="1"/>
  <c r="M941" i="21"/>
  <c r="P940" i="21"/>
  <c r="N940" i="21"/>
  <c r="K940" i="21" s="1"/>
  <c r="M940" i="21"/>
  <c r="N939" i="21"/>
  <c r="K939" i="21" s="1"/>
  <c r="M939" i="21"/>
  <c r="N938" i="21"/>
  <c r="M938" i="21"/>
  <c r="N937" i="21"/>
  <c r="K937" i="21" s="1"/>
  <c r="M937" i="21"/>
  <c r="P936" i="21"/>
  <c r="N936" i="21"/>
  <c r="K936" i="21" s="1"/>
  <c r="M936" i="21"/>
  <c r="P935" i="21"/>
  <c r="N935" i="21"/>
  <c r="K935" i="21" s="1"/>
  <c r="M935" i="21"/>
  <c r="N934" i="21"/>
  <c r="M934" i="21"/>
  <c r="N933" i="21"/>
  <c r="K933" i="21" s="1"/>
  <c r="M933" i="21"/>
  <c r="P932" i="21"/>
  <c r="N932" i="21"/>
  <c r="K932" i="21" s="1"/>
  <c r="M932" i="21"/>
  <c r="N931" i="21"/>
  <c r="K931" i="21" s="1"/>
  <c r="M931" i="21"/>
  <c r="N930" i="21"/>
  <c r="M930" i="21"/>
  <c r="N929" i="21"/>
  <c r="K929" i="21" s="1"/>
  <c r="M929" i="21"/>
  <c r="P928" i="21"/>
  <c r="N928" i="21"/>
  <c r="K928" i="21" s="1"/>
  <c r="M928" i="21"/>
  <c r="P927" i="21"/>
  <c r="N927" i="21"/>
  <c r="K927" i="21" s="1"/>
  <c r="M927" i="21"/>
  <c r="N926" i="21"/>
  <c r="M926" i="21"/>
  <c r="N925" i="21"/>
  <c r="K925" i="21" s="1"/>
  <c r="M925" i="21"/>
  <c r="P924" i="21"/>
  <c r="N924" i="21"/>
  <c r="K924" i="21" s="1"/>
  <c r="M924" i="21"/>
  <c r="N923" i="21"/>
  <c r="K923" i="21" s="1"/>
  <c r="M923" i="21"/>
  <c r="H923" i="21"/>
  <c r="N922" i="21"/>
  <c r="K922" i="21" s="1"/>
  <c r="M922" i="21"/>
  <c r="N921" i="21"/>
  <c r="K921" i="21" s="1"/>
  <c r="M921" i="21"/>
  <c r="N920" i="21"/>
  <c r="K920" i="21" s="1"/>
  <c r="M920" i="21"/>
  <c r="H920" i="21"/>
  <c r="N919" i="21"/>
  <c r="M919" i="21"/>
  <c r="N918" i="21"/>
  <c r="M918" i="21"/>
  <c r="H918" i="21"/>
  <c r="N917" i="21"/>
  <c r="M917" i="21"/>
  <c r="N916" i="21"/>
  <c r="P916" i="21" s="1"/>
  <c r="M916" i="21"/>
  <c r="K916" i="21"/>
  <c r="N915" i="21"/>
  <c r="P915" i="21" s="1"/>
  <c r="M915" i="21"/>
  <c r="K915" i="21"/>
  <c r="N914" i="21"/>
  <c r="M914" i="21"/>
  <c r="N913" i="21"/>
  <c r="M913" i="21"/>
  <c r="N912" i="21"/>
  <c r="P912" i="21" s="1"/>
  <c r="M912" i="21"/>
  <c r="K912" i="21"/>
  <c r="N911" i="21"/>
  <c r="P911" i="21" s="1"/>
  <c r="M911" i="21"/>
  <c r="K911" i="21"/>
  <c r="N910" i="21"/>
  <c r="M910" i="21"/>
  <c r="N909" i="21"/>
  <c r="M909" i="21"/>
  <c r="N908" i="21"/>
  <c r="P908" i="21" s="1"/>
  <c r="M908" i="21"/>
  <c r="K908" i="21"/>
  <c r="N907" i="21"/>
  <c r="P907" i="21" s="1"/>
  <c r="M907" i="21"/>
  <c r="K907" i="21"/>
  <c r="N906" i="21"/>
  <c r="M906" i="21"/>
  <c r="N905" i="21"/>
  <c r="M905" i="21"/>
  <c r="N904" i="21"/>
  <c r="P904" i="21" s="1"/>
  <c r="M904" i="21"/>
  <c r="K904" i="21"/>
  <c r="N903" i="21"/>
  <c r="P903" i="21" s="1"/>
  <c r="M903" i="21"/>
  <c r="K903" i="21"/>
  <c r="N902" i="21"/>
  <c r="M902" i="21"/>
  <c r="N901" i="21"/>
  <c r="M901" i="21"/>
  <c r="N900" i="21"/>
  <c r="P900" i="21" s="1"/>
  <c r="M900" i="21"/>
  <c r="K900" i="21"/>
  <c r="N899" i="21"/>
  <c r="P899" i="21" s="1"/>
  <c r="M899" i="21"/>
  <c r="K899" i="21"/>
  <c r="N898" i="21"/>
  <c r="M898" i="21"/>
  <c r="N897" i="21"/>
  <c r="M897" i="21"/>
  <c r="N896" i="21"/>
  <c r="P896" i="21" s="1"/>
  <c r="M896" i="21"/>
  <c r="K896" i="21"/>
  <c r="N895" i="21"/>
  <c r="P895" i="21" s="1"/>
  <c r="M895" i="21"/>
  <c r="K895" i="21"/>
  <c r="N894" i="21"/>
  <c r="M894" i="21"/>
  <c r="N893" i="21"/>
  <c r="M893" i="21"/>
  <c r="N892" i="21"/>
  <c r="P892" i="21" s="1"/>
  <c r="M892" i="21"/>
  <c r="K892" i="21"/>
  <c r="N891" i="21"/>
  <c r="P891" i="21" s="1"/>
  <c r="M891" i="21"/>
  <c r="K891" i="21"/>
  <c r="N890" i="21"/>
  <c r="M890" i="21"/>
  <c r="N889" i="21"/>
  <c r="M889" i="21"/>
  <c r="N888" i="21"/>
  <c r="P888" i="21" s="1"/>
  <c r="M888" i="21"/>
  <c r="K888" i="21"/>
  <c r="H888" i="21"/>
  <c r="N887" i="21"/>
  <c r="M887" i="21"/>
  <c r="N886" i="21"/>
  <c r="K886" i="21" s="1"/>
  <c r="M886" i="21"/>
  <c r="H886" i="21"/>
  <c r="N885" i="21"/>
  <c r="M885" i="21"/>
  <c r="N884" i="21"/>
  <c r="M884" i="21"/>
  <c r="N883" i="21"/>
  <c r="M883" i="21"/>
  <c r="N882" i="21"/>
  <c r="M882" i="21"/>
  <c r="N881" i="21"/>
  <c r="M881" i="21"/>
  <c r="N880" i="21"/>
  <c r="M880" i="21"/>
  <c r="N879" i="21"/>
  <c r="M879" i="21"/>
  <c r="N878" i="21"/>
  <c r="M878" i="21"/>
  <c r="N877" i="21"/>
  <c r="M877" i="21"/>
  <c r="N876" i="21"/>
  <c r="M876" i="21"/>
  <c r="N875" i="21"/>
  <c r="M875" i="21"/>
  <c r="H875" i="21"/>
  <c r="P874" i="21"/>
  <c r="N874" i="21"/>
  <c r="M874" i="21"/>
  <c r="K874" i="21"/>
  <c r="P873" i="21"/>
  <c r="N873" i="21"/>
  <c r="M873" i="21"/>
  <c r="K873" i="21"/>
  <c r="P872" i="21"/>
  <c r="N872" i="21"/>
  <c r="M872" i="21"/>
  <c r="K872" i="21"/>
  <c r="P871" i="21"/>
  <c r="N871" i="21"/>
  <c r="M871" i="21"/>
  <c r="K871" i="21"/>
  <c r="P870" i="21"/>
  <c r="N870" i="21"/>
  <c r="M870" i="21"/>
  <c r="K870" i="21"/>
  <c r="P869" i="21"/>
  <c r="N869" i="21"/>
  <c r="M869" i="21"/>
  <c r="K869" i="21"/>
  <c r="P868" i="21"/>
  <c r="N868" i="21"/>
  <c r="M868" i="21"/>
  <c r="K868" i="21"/>
  <c r="P867" i="21"/>
  <c r="N867" i="21"/>
  <c r="M867" i="21"/>
  <c r="K867" i="21"/>
  <c r="H867" i="21"/>
  <c r="N866" i="21"/>
  <c r="P866" i="21" s="1"/>
  <c r="M866" i="21"/>
  <c r="K866" i="21"/>
  <c r="N865" i="21"/>
  <c r="P865" i="21" s="1"/>
  <c r="M865" i="21"/>
  <c r="N864" i="21"/>
  <c r="P864" i="21" s="1"/>
  <c r="M864" i="21"/>
  <c r="N863" i="21"/>
  <c r="M863" i="21"/>
  <c r="N862" i="21"/>
  <c r="M862" i="21"/>
  <c r="N861" i="21"/>
  <c r="P861" i="21" s="1"/>
  <c r="M861" i="21"/>
  <c r="N860" i="21"/>
  <c r="M860" i="21"/>
  <c r="N859" i="21"/>
  <c r="M859" i="21"/>
  <c r="N858" i="21"/>
  <c r="P858" i="21" s="1"/>
  <c r="M858" i="21"/>
  <c r="K858" i="21"/>
  <c r="N857" i="21"/>
  <c r="P857" i="21" s="1"/>
  <c r="M857" i="21"/>
  <c r="N856" i="21"/>
  <c r="M856" i="21"/>
  <c r="N855" i="21"/>
  <c r="P855" i="21" s="1"/>
  <c r="M855" i="21"/>
  <c r="K855" i="21"/>
  <c r="N854" i="21"/>
  <c r="P854" i="21" s="1"/>
  <c r="M854" i="21"/>
  <c r="K854" i="21"/>
  <c r="N853" i="21"/>
  <c r="P853" i="21" s="1"/>
  <c r="M853" i="21"/>
  <c r="H853" i="21"/>
  <c r="P852" i="21"/>
  <c r="N852" i="21"/>
  <c r="K852" i="21" s="1"/>
  <c r="M852" i="21"/>
  <c r="N851" i="21"/>
  <c r="K851" i="21" s="1"/>
  <c r="M851" i="21"/>
  <c r="N850" i="21"/>
  <c r="K850" i="21" s="1"/>
  <c r="M850" i="21"/>
  <c r="N849" i="21"/>
  <c r="M849" i="21"/>
  <c r="N848" i="21"/>
  <c r="K848" i="21" s="1"/>
  <c r="M848" i="21"/>
  <c r="N847" i="21"/>
  <c r="K847" i="21" s="1"/>
  <c r="M847" i="21"/>
  <c r="N846" i="21"/>
  <c r="K846" i="21" s="1"/>
  <c r="M846" i="21"/>
  <c r="P845" i="21"/>
  <c r="N845" i="21"/>
  <c r="K845" i="21" s="1"/>
  <c r="M845" i="21"/>
  <c r="H845" i="21"/>
  <c r="P844" i="21"/>
  <c r="N844" i="21"/>
  <c r="M844" i="21"/>
  <c r="K844" i="21"/>
  <c r="P843" i="21"/>
  <c r="N843" i="21"/>
  <c r="M843" i="21"/>
  <c r="K843" i="21"/>
  <c r="P842" i="21"/>
  <c r="N842" i="21"/>
  <c r="M842" i="21"/>
  <c r="K842" i="21"/>
  <c r="P841" i="21"/>
  <c r="N841" i="21"/>
  <c r="M841" i="21"/>
  <c r="K841" i="21"/>
  <c r="P840" i="21"/>
  <c r="N840" i="21"/>
  <c r="M840" i="21"/>
  <c r="K840" i="21"/>
  <c r="H840" i="21"/>
  <c r="N839" i="21"/>
  <c r="P839" i="21" s="1"/>
  <c r="M839" i="21"/>
  <c r="K839" i="21"/>
  <c r="N838" i="21"/>
  <c r="P838" i="21" s="1"/>
  <c r="M838" i="21"/>
  <c r="K838" i="21"/>
  <c r="N837" i="21"/>
  <c r="P837" i="21" s="1"/>
  <c r="M837" i="21"/>
  <c r="K837" i="21"/>
  <c r="N836" i="21"/>
  <c r="P836" i="21" s="1"/>
  <c r="M836" i="21"/>
  <c r="K836" i="21"/>
  <c r="N835" i="21"/>
  <c r="P835" i="21" s="1"/>
  <c r="M835" i="21"/>
  <c r="K835" i="21"/>
  <c r="N834" i="21"/>
  <c r="P834" i="21" s="1"/>
  <c r="M834" i="21"/>
  <c r="K834" i="21"/>
  <c r="N833" i="21"/>
  <c r="P833" i="21" s="1"/>
  <c r="M833" i="21"/>
  <c r="K833" i="21"/>
  <c r="N832" i="21"/>
  <c r="P832" i="21" s="1"/>
  <c r="M832" i="21"/>
  <c r="K832" i="21"/>
  <c r="N831" i="21"/>
  <c r="P831" i="21" s="1"/>
  <c r="M831" i="21"/>
  <c r="K831" i="21"/>
  <c r="N830" i="21"/>
  <c r="P830" i="21" s="1"/>
  <c r="M830" i="21"/>
  <c r="K830" i="21"/>
  <c r="N829" i="21"/>
  <c r="P829" i="21" s="1"/>
  <c r="M829" i="21"/>
  <c r="K829" i="21"/>
  <c r="N828" i="21"/>
  <c r="P828" i="21" s="1"/>
  <c r="M828" i="21"/>
  <c r="K828" i="21"/>
  <c r="N827" i="21"/>
  <c r="P827" i="21" s="1"/>
  <c r="M827" i="21"/>
  <c r="K827" i="21"/>
  <c r="N826" i="21"/>
  <c r="P826" i="21" s="1"/>
  <c r="M826" i="21"/>
  <c r="K826" i="21"/>
  <c r="N825" i="21"/>
  <c r="P825" i="21" s="1"/>
  <c r="M825" i="21"/>
  <c r="K825" i="21"/>
  <c r="N824" i="21"/>
  <c r="P824" i="21" s="1"/>
  <c r="M824" i="21"/>
  <c r="K824" i="21"/>
  <c r="N823" i="21"/>
  <c r="P823" i="21" s="1"/>
  <c r="M823" i="21"/>
  <c r="K823" i="21"/>
  <c r="N822" i="21"/>
  <c r="P822" i="21" s="1"/>
  <c r="M822" i="21"/>
  <c r="K822" i="21"/>
  <c r="N821" i="21"/>
  <c r="P821" i="21" s="1"/>
  <c r="M821" i="21"/>
  <c r="K821" i="21"/>
  <c r="N820" i="21"/>
  <c r="P820" i="21" s="1"/>
  <c r="M820" i="21"/>
  <c r="K820" i="21"/>
  <c r="N819" i="21"/>
  <c r="P819" i="21" s="1"/>
  <c r="M819" i="21"/>
  <c r="K819" i="21"/>
  <c r="H819" i="21"/>
  <c r="N818" i="21"/>
  <c r="P818" i="21" s="1"/>
  <c r="M818" i="21"/>
  <c r="K818" i="21"/>
  <c r="N817" i="21"/>
  <c r="P817" i="21" s="1"/>
  <c r="M817" i="21"/>
  <c r="K817" i="21"/>
  <c r="N816" i="21"/>
  <c r="P816" i="21" s="1"/>
  <c r="M816" i="21"/>
  <c r="N815" i="21"/>
  <c r="P815" i="21" s="1"/>
  <c r="M815" i="21"/>
  <c r="N814" i="21"/>
  <c r="M814" i="21"/>
  <c r="N813" i="21"/>
  <c r="M813" i="21"/>
  <c r="H813" i="21"/>
  <c r="N812" i="21"/>
  <c r="K812" i="21" s="1"/>
  <c r="M812" i="21"/>
  <c r="N811" i="21"/>
  <c r="K811" i="21" s="1"/>
  <c r="M811" i="21"/>
  <c r="P810" i="21"/>
  <c r="N810" i="21"/>
  <c r="K810" i="21" s="1"/>
  <c r="M810" i="21"/>
  <c r="N809" i="21"/>
  <c r="K809" i="21" s="1"/>
  <c r="M809" i="21"/>
  <c r="N808" i="21"/>
  <c r="K808" i="21" s="1"/>
  <c r="M808" i="21"/>
  <c r="N807" i="21"/>
  <c r="K807" i="21" s="1"/>
  <c r="M807" i="21"/>
  <c r="N806" i="21"/>
  <c r="M806" i="21"/>
  <c r="N805" i="21"/>
  <c r="K805" i="21" s="1"/>
  <c r="M805" i="21"/>
  <c r="H805" i="21"/>
  <c r="N804" i="21"/>
  <c r="P804" i="21" s="1"/>
  <c r="M804" i="21"/>
  <c r="N803" i="21"/>
  <c r="P803" i="21" s="1"/>
  <c r="M803" i="21"/>
  <c r="N802" i="21"/>
  <c r="P802" i="21" s="1"/>
  <c r="M802" i="21"/>
  <c r="N801" i="21"/>
  <c r="P801" i="21" s="1"/>
  <c r="M801" i="21"/>
  <c r="N800" i="21"/>
  <c r="P800" i="21" s="1"/>
  <c r="M800" i="21"/>
  <c r="N799" i="21"/>
  <c r="P799" i="21" s="1"/>
  <c r="M799" i="21"/>
  <c r="N798" i="21"/>
  <c r="P798" i="21" s="1"/>
  <c r="M798" i="21"/>
  <c r="N797" i="21"/>
  <c r="P797" i="21" s="1"/>
  <c r="M797" i="21"/>
  <c r="N796" i="21"/>
  <c r="P796" i="21" s="1"/>
  <c r="M796" i="21"/>
  <c r="N795" i="21"/>
  <c r="P795" i="21" s="1"/>
  <c r="M795" i="21"/>
  <c r="N794" i="21"/>
  <c r="P794" i="21" s="1"/>
  <c r="M794" i="21"/>
  <c r="N793" i="21"/>
  <c r="P793" i="21" s="1"/>
  <c r="M793" i="21"/>
  <c r="H793" i="21"/>
  <c r="N792" i="21"/>
  <c r="P792" i="21" s="1"/>
  <c r="M792" i="21"/>
  <c r="K792" i="21"/>
  <c r="N791" i="21"/>
  <c r="P791" i="21" s="1"/>
  <c r="M791" i="21"/>
  <c r="K791" i="21"/>
  <c r="N790" i="21"/>
  <c r="P790" i="21" s="1"/>
  <c r="M790" i="21"/>
  <c r="K790" i="21"/>
  <c r="N789" i="21"/>
  <c r="P789" i="21" s="1"/>
  <c r="M789" i="21"/>
  <c r="K789" i="21"/>
  <c r="N788" i="21"/>
  <c r="P788" i="21" s="1"/>
  <c r="M788" i="21"/>
  <c r="K788" i="21"/>
  <c r="N787" i="21"/>
  <c r="P787" i="21" s="1"/>
  <c r="M787" i="21"/>
  <c r="K787" i="21"/>
  <c r="H787" i="21"/>
  <c r="N786" i="21"/>
  <c r="P786" i="21" s="1"/>
  <c r="M786" i="21"/>
  <c r="N785" i="21"/>
  <c r="P785" i="21" s="1"/>
  <c r="M785" i="21"/>
  <c r="N784" i="21"/>
  <c r="P784" i="21" s="1"/>
  <c r="M784" i="21"/>
  <c r="K784" i="21"/>
  <c r="N783" i="21"/>
  <c r="P783" i="21" s="1"/>
  <c r="M783" i="21"/>
  <c r="K783" i="21"/>
  <c r="N782" i="21"/>
  <c r="P782" i="21" s="1"/>
  <c r="M782" i="21"/>
  <c r="N781" i="21"/>
  <c r="P781" i="21" s="1"/>
  <c r="M781" i="21"/>
  <c r="H781" i="21"/>
  <c r="N780" i="21"/>
  <c r="K780" i="21" s="1"/>
  <c r="M780" i="21"/>
  <c r="N779" i="21"/>
  <c r="K779" i="21" s="1"/>
  <c r="M779" i="21"/>
  <c r="N778" i="21"/>
  <c r="K778" i="21" s="1"/>
  <c r="M778" i="21"/>
  <c r="P777" i="21"/>
  <c r="N777" i="21"/>
  <c r="K777" i="21" s="1"/>
  <c r="M777" i="21"/>
  <c r="N776" i="21"/>
  <c r="K776" i="21" s="1"/>
  <c r="M776" i="21"/>
  <c r="N775" i="21"/>
  <c r="K775" i="21" s="1"/>
  <c r="M775" i="21"/>
  <c r="N774" i="21"/>
  <c r="K774" i="21" s="1"/>
  <c r="M774" i="21"/>
  <c r="N773" i="21"/>
  <c r="M773" i="21"/>
  <c r="N772" i="21"/>
  <c r="M772" i="21"/>
  <c r="N771" i="21"/>
  <c r="M771" i="21"/>
  <c r="N770" i="21"/>
  <c r="M770" i="21"/>
  <c r="N769" i="21"/>
  <c r="M769" i="21"/>
  <c r="N768" i="21"/>
  <c r="M768" i="21"/>
  <c r="N767" i="21"/>
  <c r="M767" i="21"/>
  <c r="N766" i="21"/>
  <c r="M766" i="21"/>
  <c r="H766" i="21"/>
  <c r="N765" i="21"/>
  <c r="M765" i="21"/>
  <c r="N764" i="21"/>
  <c r="P764" i="21" s="1"/>
  <c r="M764" i="21"/>
  <c r="K764" i="21"/>
  <c r="N763" i="21"/>
  <c r="P763" i="21" s="1"/>
  <c r="M763" i="21"/>
  <c r="K763" i="21"/>
  <c r="N762" i="21"/>
  <c r="M762" i="21"/>
  <c r="H762" i="21"/>
  <c r="N761" i="21"/>
  <c r="P761" i="21" s="1"/>
  <c r="M761" i="21"/>
  <c r="N760" i="21"/>
  <c r="P760" i="21" s="1"/>
  <c r="M760" i="21"/>
  <c r="N759" i="21"/>
  <c r="P759" i="21" s="1"/>
  <c r="M759" i="21"/>
  <c r="N758" i="21"/>
  <c r="P758" i="21" s="1"/>
  <c r="M758" i="21"/>
  <c r="H758" i="21"/>
  <c r="N757" i="21"/>
  <c r="K757" i="21" s="1"/>
  <c r="M757" i="21"/>
  <c r="P756" i="21"/>
  <c r="N756" i="21"/>
  <c r="K756" i="21" s="1"/>
  <c r="M756" i="21"/>
  <c r="N755" i="21"/>
  <c r="K755" i="21" s="1"/>
  <c r="M755" i="21"/>
  <c r="N754" i="21"/>
  <c r="M754" i="21"/>
  <c r="N753" i="21"/>
  <c r="K753" i="21" s="1"/>
  <c r="M753" i="21"/>
  <c r="P752" i="21"/>
  <c r="N752" i="21"/>
  <c r="K752" i="21" s="1"/>
  <c r="M752" i="21"/>
  <c r="N751" i="21"/>
  <c r="K751" i="21" s="1"/>
  <c r="M751" i="21"/>
  <c r="N750" i="21"/>
  <c r="M750" i="21"/>
  <c r="H750" i="21"/>
  <c r="N749" i="21"/>
  <c r="M749" i="21"/>
  <c r="N748" i="21"/>
  <c r="M748" i="21"/>
  <c r="N747" i="21"/>
  <c r="M747" i="21"/>
  <c r="H747" i="21"/>
  <c r="N746" i="21"/>
  <c r="M746" i="21"/>
  <c r="N745" i="21"/>
  <c r="P745" i="21" s="1"/>
  <c r="M745" i="21"/>
  <c r="K745" i="21"/>
  <c r="N744" i="21"/>
  <c r="P744" i="21" s="1"/>
  <c r="M744" i="21"/>
  <c r="K744" i="21"/>
  <c r="N743" i="21"/>
  <c r="M743" i="21"/>
  <c r="N742" i="21"/>
  <c r="M742" i="21"/>
  <c r="N741" i="21"/>
  <c r="P741" i="21" s="1"/>
  <c r="M741" i="21"/>
  <c r="K741" i="21"/>
  <c r="N740" i="21"/>
  <c r="P740" i="21" s="1"/>
  <c r="M740" i="21"/>
  <c r="K740" i="21"/>
  <c r="N739" i="21"/>
  <c r="M739" i="21"/>
  <c r="H739" i="21"/>
  <c r="N738" i="21"/>
  <c r="M738" i="21"/>
  <c r="N737" i="21"/>
  <c r="M737" i="21"/>
  <c r="N736" i="21"/>
  <c r="M736" i="21"/>
  <c r="N735" i="21"/>
  <c r="M735" i="21"/>
  <c r="N734" i="21"/>
  <c r="M734" i="21"/>
  <c r="N733" i="21"/>
  <c r="M733" i="21"/>
  <c r="N732" i="21"/>
  <c r="M732" i="21"/>
  <c r="N731" i="21"/>
  <c r="M731" i="21"/>
  <c r="N730" i="21"/>
  <c r="M730" i="21"/>
  <c r="N729" i="21"/>
  <c r="M729" i="21"/>
  <c r="N728" i="21"/>
  <c r="M728" i="21"/>
  <c r="N727" i="21"/>
  <c r="M727" i="21"/>
  <c r="N726" i="21"/>
  <c r="M726" i="21"/>
  <c r="N725" i="21"/>
  <c r="M725" i="21"/>
  <c r="N724" i="21"/>
  <c r="M724" i="21"/>
  <c r="N723" i="21"/>
  <c r="M723" i="21"/>
  <c r="N722" i="21"/>
  <c r="M722" i="21"/>
  <c r="N721" i="21"/>
  <c r="M721" i="21"/>
  <c r="N720" i="21"/>
  <c r="M720" i="21"/>
  <c r="N719" i="21"/>
  <c r="M719" i="21"/>
  <c r="N718" i="21"/>
  <c r="M718" i="21"/>
  <c r="N717" i="21"/>
  <c r="M717" i="21"/>
  <c r="N716" i="21"/>
  <c r="M716" i="21"/>
  <c r="H716" i="21"/>
  <c r="N715" i="21"/>
  <c r="K715" i="21" s="1"/>
  <c r="M715" i="21"/>
  <c r="N714" i="21"/>
  <c r="K714" i="21" s="1"/>
  <c r="M714" i="21"/>
  <c r="N713" i="21"/>
  <c r="K713" i="21" s="1"/>
  <c r="M713" i="21"/>
  <c r="N712" i="21"/>
  <c r="K712" i="21" s="1"/>
  <c r="M712" i="21"/>
  <c r="N711" i="21"/>
  <c r="K711" i="21" s="1"/>
  <c r="M711" i="21"/>
  <c r="N710" i="21"/>
  <c r="K710" i="21" s="1"/>
  <c r="M710" i="21"/>
  <c r="P709" i="21"/>
  <c r="N709" i="21"/>
  <c r="K709" i="21" s="1"/>
  <c r="M709" i="21"/>
  <c r="N708" i="21"/>
  <c r="K708" i="21" s="1"/>
  <c r="M708" i="21"/>
  <c r="N707" i="21"/>
  <c r="K707" i="21" s="1"/>
  <c r="M707" i="21"/>
  <c r="N706" i="21"/>
  <c r="K706" i="21" s="1"/>
  <c r="M706" i="21"/>
  <c r="N705" i="21"/>
  <c r="K705" i="21" s="1"/>
  <c r="M705" i="21"/>
  <c r="N704" i="21"/>
  <c r="K704" i="21" s="1"/>
  <c r="M704" i="21"/>
  <c r="N703" i="21"/>
  <c r="K703" i="21" s="1"/>
  <c r="M703" i="21"/>
  <c r="N702" i="21"/>
  <c r="K702" i="21" s="1"/>
  <c r="M702" i="21"/>
  <c r="N701" i="21"/>
  <c r="M701" i="21"/>
  <c r="N700" i="21"/>
  <c r="K700" i="21" s="1"/>
  <c r="M700" i="21"/>
  <c r="N699" i="21"/>
  <c r="K699" i="21" s="1"/>
  <c r="M699" i="21"/>
  <c r="N698" i="21"/>
  <c r="K698" i="21" s="1"/>
  <c r="M698" i="21"/>
  <c r="P697" i="21"/>
  <c r="N697" i="21"/>
  <c r="K697" i="21" s="1"/>
  <c r="M697" i="21"/>
  <c r="N696" i="21"/>
  <c r="K696" i="21" s="1"/>
  <c r="M696" i="21"/>
  <c r="N695" i="21"/>
  <c r="K695" i="21" s="1"/>
  <c r="M695" i="21"/>
  <c r="N694" i="21"/>
  <c r="K694" i="21" s="1"/>
  <c r="M694" i="21"/>
  <c r="H694" i="21"/>
  <c r="N693" i="21"/>
  <c r="P693" i="21" s="1"/>
  <c r="M693" i="21"/>
  <c r="K693" i="21"/>
  <c r="N692" i="21"/>
  <c r="P692" i="21" s="1"/>
  <c r="M692" i="21"/>
  <c r="K692" i="21"/>
  <c r="H692" i="21"/>
  <c r="N691" i="21"/>
  <c r="P691" i="21" s="1"/>
  <c r="M691" i="21"/>
  <c r="K691" i="21"/>
  <c r="N690" i="21"/>
  <c r="P690" i="21" s="1"/>
  <c r="M690" i="21"/>
  <c r="K690" i="21"/>
  <c r="N689" i="21"/>
  <c r="M689" i="21"/>
  <c r="N688" i="21"/>
  <c r="M688" i="21"/>
  <c r="N687" i="21"/>
  <c r="P687" i="21" s="1"/>
  <c r="M687" i="21"/>
  <c r="K687" i="21"/>
  <c r="N686" i="21"/>
  <c r="P686" i="21" s="1"/>
  <c r="M686" i="21"/>
  <c r="K686" i="21"/>
  <c r="N685" i="21"/>
  <c r="M685" i="21"/>
  <c r="N684" i="21"/>
  <c r="M684" i="21"/>
  <c r="N683" i="21"/>
  <c r="P683" i="21" s="1"/>
  <c r="M683" i="21"/>
  <c r="K683" i="21"/>
  <c r="N682" i="21"/>
  <c r="P682" i="21" s="1"/>
  <c r="M682" i="21"/>
  <c r="K682" i="21"/>
  <c r="N681" i="21"/>
  <c r="M681" i="21"/>
  <c r="N680" i="21"/>
  <c r="M680" i="21"/>
  <c r="N679" i="21"/>
  <c r="P679" i="21" s="1"/>
  <c r="M679" i="21"/>
  <c r="K679" i="21"/>
  <c r="N678" i="21"/>
  <c r="P678" i="21" s="1"/>
  <c r="M678" i="21"/>
  <c r="K678" i="21"/>
  <c r="N677" i="21"/>
  <c r="M677" i="21"/>
  <c r="N676" i="21"/>
  <c r="M676" i="21"/>
  <c r="N675" i="21"/>
  <c r="P675" i="21" s="1"/>
  <c r="M675" i="21"/>
  <c r="K675" i="21"/>
  <c r="H675" i="21"/>
  <c r="N674" i="21"/>
  <c r="M674" i="21"/>
  <c r="N673" i="21"/>
  <c r="M673" i="21"/>
  <c r="N672" i="21"/>
  <c r="M672" i="21"/>
  <c r="N671" i="21"/>
  <c r="M671" i="21"/>
  <c r="N670" i="21"/>
  <c r="M670" i="21"/>
  <c r="P669" i="21"/>
  <c r="N669" i="21"/>
  <c r="K669" i="21" s="1"/>
  <c r="M669" i="21"/>
  <c r="N668" i="21"/>
  <c r="K668" i="21" s="1"/>
  <c r="M668" i="21"/>
  <c r="N667" i="21"/>
  <c r="K667" i="21" s="1"/>
  <c r="M667" i="21"/>
  <c r="N666" i="21"/>
  <c r="K666" i="21" s="1"/>
  <c r="M666" i="21"/>
  <c r="N665" i="21"/>
  <c r="K665" i="21" s="1"/>
  <c r="M665" i="21"/>
  <c r="N664" i="21"/>
  <c r="K664" i="21" s="1"/>
  <c r="M664" i="21"/>
  <c r="N663" i="21"/>
  <c r="K663" i="21" s="1"/>
  <c r="M663" i="21"/>
  <c r="N662" i="21"/>
  <c r="K662" i="21" s="1"/>
  <c r="M662" i="21"/>
  <c r="H662" i="21"/>
  <c r="N661" i="21"/>
  <c r="M661" i="21"/>
  <c r="N660" i="21"/>
  <c r="P660" i="21" s="1"/>
  <c r="M660" i="21"/>
  <c r="K660" i="21"/>
  <c r="N659" i="21"/>
  <c r="P659" i="21" s="1"/>
  <c r="M659" i="21"/>
  <c r="K659" i="21"/>
  <c r="N658" i="21"/>
  <c r="M658" i="21"/>
  <c r="N657" i="21"/>
  <c r="M657" i="21"/>
  <c r="N656" i="21"/>
  <c r="P656" i="21" s="1"/>
  <c r="M656" i="21"/>
  <c r="K656" i="21"/>
  <c r="N655" i="21"/>
  <c r="P655" i="21" s="1"/>
  <c r="M655" i="21"/>
  <c r="K655" i="21"/>
  <c r="N654" i="21"/>
  <c r="M654" i="21"/>
  <c r="N653" i="21"/>
  <c r="M653" i="21"/>
  <c r="H653" i="21"/>
  <c r="P652" i="21"/>
  <c r="N652" i="21"/>
  <c r="K652" i="21" s="1"/>
  <c r="M652" i="21"/>
  <c r="N651" i="21"/>
  <c r="K651" i="21" s="1"/>
  <c r="M651" i="21"/>
  <c r="N650" i="21"/>
  <c r="K650" i="21" s="1"/>
  <c r="M650" i="21"/>
  <c r="N649" i="21"/>
  <c r="K649" i="21" s="1"/>
  <c r="M649" i="21"/>
  <c r="P648" i="21"/>
  <c r="N648" i="21"/>
  <c r="K648" i="21" s="1"/>
  <c r="M648" i="21"/>
  <c r="N647" i="21"/>
  <c r="K647" i="21" s="1"/>
  <c r="M647" i="21"/>
  <c r="N646" i="21"/>
  <c r="K646" i="21" s="1"/>
  <c r="M646" i="21"/>
  <c r="N645" i="21"/>
  <c r="K645" i="21" s="1"/>
  <c r="M645" i="21"/>
  <c r="H645" i="21"/>
  <c r="N644" i="21"/>
  <c r="P644" i="21" s="1"/>
  <c r="M644" i="21"/>
  <c r="N643" i="21"/>
  <c r="P643" i="21" s="1"/>
  <c r="M643" i="21"/>
  <c r="K643" i="21"/>
  <c r="N642" i="21"/>
  <c r="P642" i="21" s="1"/>
  <c r="M642" i="21"/>
  <c r="K642" i="21"/>
  <c r="N641" i="21"/>
  <c r="P641" i="21" s="1"/>
  <c r="M641" i="21"/>
  <c r="N640" i="21"/>
  <c r="P640" i="21" s="1"/>
  <c r="M640" i="21"/>
  <c r="N639" i="21"/>
  <c r="M639" i="21"/>
  <c r="H639" i="21"/>
  <c r="P638" i="21"/>
  <c r="N638" i="21"/>
  <c r="K638" i="21" s="1"/>
  <c r="M638" i="21"/>
  <c r="N637" i="21"/>
  <c r="K637" i="21" s="1"/>
  <c r="M637" i="21"/>
  <c r="N636" i="21"/>
  <c r="M636" i="21"/>
  <c r="N635" i="21"/>
  <c r="K635" i="21" s="1"/>
  <c r="M635" i="21"/>
  <c r="P634" i="21"/>
  <c r="N634" i="21"/>
  <c r="K634" i="21" s="1"/>
  <c r="M634" i="21"/>
  <c r="N633" i="21"/>
  <c r="K633" i="21" s="1"/>
  <c r="M633" i="21"/>
  <c r="N632" i="21"/>
  <c r="M632" i="21"/>
  <c r="H632" i="21"/>
  <c r="N631" i="21"/>
  <c r="K631" i="21" s="1"/>
  <c r="M631" i="21"/>
  <c r="N630" i="21"/>
  <c r="K630" i="21" s="1"/>
  <c r="M630" i="21"/>
  <c r="N629" i="21"/>
  <c r="K629" i="21" s="1"/>
  <c r="M629" i="21"/>
  <c r="N628" i="21"/>
  <c r="K628" i="21" s="1"/>
  <c r="M628" i="21"/>
  <c r="N627" i="21"/>
  <c r="K627" i="21" s="1"/>
  <c r="M627" i="21"/>
  <c r="N626" i="21"/>
  <c r="K626" i="21" s="1"/>
  <c r="M626" i="21"/>
  <c r="N625" i="21"/>
  <c r="K625" i="21" s="1"/>
  <c r="M625" i="21"/>
  <c r="N624" i="21"/>
  <c r="K624" i="21" s="1"/>
  <c r="M624" i="21"/>
  <c r="N623" i="21"/>
  <c r="K623" i="21" s="1"/>
  <c r="M623" i="21"/>
  <c r="N622" i="21"/>
  <c r="K622" i="21" s="1"/>
  <c r="M622" i="21"/>
  <c r="H622" i="21"/>
  <c r="P621" i="21"/>
  <c r="N621" i="21"/>
  <c r="K621" i="21" s="1"/>
  <c r="M621" i="21"/>
  <c r="N620" i="21"/>
  <c r="K620" i="21" s="1"/>
  <c r="M620" i="21"/>
  <c r="N619" i="21"/>
  <c r="K619" i="21" s="1"/>
  <c r="M619" i="21"/>
  <c r="N618" i="21"/>
  <c r="K618" i="21" s="1"/>
  <c r="M618" i="21"/>
  <c r="P617" i="21"/>
  <c r="N617" i="21"/>
  <c r="K617" i="21" s="1"/>
  <c r="M617" i="21"/>
  <c r="H617" i="21"/>
  <c r="N616" i="21"/>
  <c r="M616" i="21"/>
  <c r="N615" i="21"/>
  <c r="M615" i="21"/>
  <c r="N614" i="21"/>
  <c r="P614" i="21" s="1"/>
  <c r="M614" i="21"/>
  <c r="K614" i="21"/>
  <c r="N613" i="21"/>
  <c r="P613" i="21" s="1"/>
  <c r="M613" i="21"/>
  <c r="K613" i="21"/>
  <c r="H613" i="21"/>
  <c r="N612" i="21"/>
  <c r="K612" i="21" s="1"/>
  <c r="M612" i="21"/>
  <c r="P611" i="21"/>
  <c r="N611" i="21"/>
  <c r="K611" i="21" s="1"/>
  <c r="M611" i="21"/>
  <c r="P610" i="21"/>
  <c r="N610" i="21"/>
  <c r="K610" i="21" s="1"/>
  <c r="M610" i="21"/>
  <c r="N609" i="21"/>
  <c r="M609" i="21"/>
  <c r="N608" i="21"/>
  <c r="K608" i="21" s="1"/>
  <c r="M608" i="21"/>
  <c r="H608" i="21"/>
  <c r="N607" i="21"/>
  <c r="K607" i="21" s="1"/>
  <c r="M607" i="21"/>
  <c r="N606" i="21"/>
  <c r="K606" i="21" s="1"/>
  <c r="M606" i="21"/>
  <c r="N605" i="21"/>
  <c r="K605" i="21" s="1"/>
  <c r="M605" i="21"/>
  <c r="N604" i="21"/>
  <c r="K604" i="21" s="1"/>
  <c r="M604" i="21"/>
  <c r="N603" i="21"/>
  <c r="K603" i="21" s="1"/>
  <c r="M603" i="21"/>
  <c r="N602" i="21"/>
  <c r="K602" i="21" s="1"/>
  <c r="M602" i="21"/>
  <c r="N601" i="21"/>
  <c r="K601" i="21" s="1"/>
  <c r="M601" i="21"/>
  <c r="N600" i="21"/>
  <c r="K600" i="21" s="1"/>
  <c r="M600" i="21"/>
  <c r="N599" i="21"/>
  <c r="K599" i="21" s="1"/>
  <c r="M599" i="21"/>
  <c r="N598" i="21"/>
  <c r="K598" i="21" s="1"/>
  <c r="M598" i="21"/>
  <c r="N597" i="21"/>
  <c r="K597" i="21" s="1"/>
  <c r="M597" i="21"/>
  <c r="N596" i="21"/>
  <c r="K596" i="21" s="1"/>
  <c r="M596" i="21"/>
  <c r="N595" i="21"/>
  <c r="K595" i="21" s="1"/>
  <c r="M595" i="21"/>
  <c r="N594" i="21"/>
  <c r="K594" i="21" s="1"/>
  <c r="M594" i="21"/>
  <c r="H594" i="21"/>
  <c r="N593" i="21"/>
  <c r="M593" i="21"/>
  <c r="N592" i="21"/>
  <c r="M592" i="21"/>
  <c r="N591" i="21"/>
  <c r="M591" i="21"/>
  <c r="N590" i="21"/>
  <c r="M590" i="21"/>
  <c r="H590" i="21"/>
  <c r="N589" i="21"/>
  <c r="M589" i="21"/>
  <c r="N588" i="21"/>
  <c r="P588" i="21" s="1"/>
  <c r="M588" i="21"/>
  <c r="K588" i="21"/>
  <c r="N587" i="21"/>
  <c r="P587" i="21" s="1"/>
  <c r="M587" i="21"/>
  <c r="K587" i="21"/>
  <c r="N586" i="21"/>
  <c r="M586" i="21"/>
  <c r="H586" i="21"/>
  <c r="P585" i="21"/>
  <c r="N585" i="21"/>
  <c r="K585" i="21" s="1"/>
  <c r="M585" i="21"/>
  <c r="P584" i="21"/>
  <c r="N584" i="21"/>
  <c r="K584" i="21" s="1"/>
  <c r="M584" i="21"/>
  <c r="N583" i="21"/>
  <c r="M583" i="21"/>
  <c r="N582" i="21"/>
  <c r="K582" i="21" s="1"/>
  <c r="M582" i="21"/>
  <c r="H582" i="21"/>
  <c r="N581" i="21"/>
  <c r="K581" i="21" s="1"/>
  <c r="M581" i="21"/>
  <c r="N580" i="21"/>
  <c r="K580" i="21" s="1"/>
  <c r="M580" i="21"/>
  <c r="N579" i="21"/>
  <c r="K579" i="21" s="1"/>
  <c r="M579" i="21"/>
  <c r="N578" i="21"/>
  <c r="K578" i="21" s="1"/>
  <c r="M578" i="21"/>
  <c r="N577" i="21"/>
  <c r="K577" i="21" s="1"/>
  <c r="M577" i="21"/>
  <c r="H577" i="21"/>
  <c r="P576" i="21"/>
  <c r="N576" i="21"/>
  <c r="M576" i="21"/>
  <c r="K576" i="21"/>
  <c r="P575" i="21"/>
  <c r="N575" i="21"/>
  <c r="M575" i="21"/>
  <c r="K575" i="21"/>
  <c r="P574" i="21"/>
  <c r="N574" i="21"/>
  <c r="M574" i="21"/>
  <c r="K574" i="21"/>
  <c r="P573" i="21"/>
  <c r="N573" i="21"/>
  <c r="M573" i="21"/>
  <c r="K573" i="21"/>
  <c r="H573" i="21"/>
  <c r="N572" i="21"/>
  <c r="P572" i="21" s="1"/>
  <c r="M572" i="21"/>
  <c r="K572" i="21"/>
  <c r="N571" i="21"/>
  <c r="M571" i="21"/>
  <c r="N570" i="21"/>
  <c r="M570" i="21"/>
  <c r="N569" i="21"/>
  <c r="P569" i="21" s="1"/>
  <c r="M569" i="21"/>
  <c r="K569" i="21"/>
  <c r="N568" i="21"/>
  <c r="P568" i="21" s="1"/>
  <c r="M568" i="21"/>
  <c r="K568" i="21"/>
  <c r="N567" i="21"/>
  <c r="M567" i="21"/>
  <c r="N566" i="21"/>
  <c r="M566" i="21"/>
  <c r="N565" i="21"/>
  <c r="P565" i="21" s="1"/>
  <c r="M565" i="21"/>
  <c r="K565" i="21"/>
  <c r="N564" i="21"/>
  <c r="P564" i="21" s="1"/>
  <c r="M564" i="21"/>
  <c r="K564" i="21"/>
  <c r="N563" i="21"/>
  <c r="M563" i="21"/>
  <c r="N562" i="21"/>
  <c r="M562" i="21"/>
  <c r="N561" i="21"/>
  <c r="P561" i="21" s="1"/>
  <c r="M561" i="21"/>
  <c r="K561" i="21"/>
  <c r="N560" i="21"/>
  <c r="P560" i="21" s="1"/>
  <c r="M560" i="21"/>
  <c r="K560" i="21"/>
  <c r="N559" i="21"/>
  <c r="M559" i="21"/>
  <c r="N558" i="21"/>
  <c r="M558" i="21"/>
  <c r="N557" i="21"/>
  <c r="P557" i="21" s="1"/>
  <c r="M557" i="21"/>
  <c r="K557" i="21"/>
  <c r="N556" i="21"/>
  <c r="P556" i="21" s="1"/>
  <c r="M556" i="21"/>
  <c r="K556" i="21"/>
  <c r="N555" i="21"/>
  <c r="M555" i="21"/>
  <c r="N554" i="21"/>
  <c r="M554" i="21"/>
  <c r="N553" i="21"/>
  <c r="P553" i="21" s="1"/>
  <c r="M553" i="21"/>
  <c r="K553" i="21"/>
  <c r="N552" i="21"/>
  <c r="P552" i="21" s="1"/>
  <c r="M552" i="21"/>
  <c r="K552" i="21"/>
  <c r="N551" i="21"/>
  <c r="M551" i="21"/>
  <c r="N550" i="21"/>
  <c r="M550" i="21"/>
  <c r="N549" i="21"/>
  <c r="P549" i="21" s="1"/>
  <c r="M549" i="21"/>
  <c r="K549" i="21"/>
  <c r="N548" i="21"/>
  <c r="P548" i="21" s="1"/>
  <c r="M548" i="21"/>
  <c r="K548" i="21"/>
  <c r="N547" i="21"/>
  <c r="M547" i="21"/>
  <c r="N546" i="21"/>
  <c r="M546" i="21"/>
  <c r="H546" i="21"/>
  <c r="N545" i="21"/>
  <c r="P545" i="21" s="1"/>
  <c r="M545" i="21"/>
  <c r="N544" i="21"/>
  <c r="P544" i="21" s="1"/>
  <c r="M544" i="21"/>
  <c r="N543" i="21"/>
  <c r="P543" i="21" s="1"/>
  <c r="M543" i="21"/>
  <c r="N542" i="21"/>
  <c r="P542" i="21" s="1"/>
  <c r="M542" i="21"/>
  <c r="N541" i="21"/>
  <c r="P541" i="21" s="1"/>
  <c r="M541" i="21"/>
  <c r="N540" i="21"/>
  <c r="P540" i="21" s="1"/>
  <c r="M540" i="21"/>
  <c r="N539" i="21"/>
  <c r="P539" i="21" s="1"/>
  <c r="M539" i="21"/>
  <c r="N538" i="21"/>
  <c r="P538" i="21" s="1"/>
  <c r="M538" i="21"/>
  <c r="N537" i="21"/>
  <c r="P537" i="21" s="1"/>
  <c r="M537" i="21"/>
  <c r="N536" i="21"/>
  <c r="P536" i="21" s="1"/>
  <c r="M536" i="21"/>
  <c r="N535" i="21"/>
  <c r="P535" i="21" s="1"/>
  <c r="M535" i="21"/>
  <c r="N534" i="21"/>
  <c r="P534" i="21" s="1"/>
  <c r="M534" i="21"/>
  <c r="N533" i="21"/>
  <c r="P533" i="21" s="1"/>
  <c r="M533" i="21"/>
  <c r="N532" i="21"/>
  <c r="P532" i="21" s="1"/>
  <c r="M532" i="21"/>
  <c r="N531" i="21"/>
  <c r="P531" i="21" s="1"/>
  <c r="M531" i="21"/>
  <c r="N530" i="21"/>
  <c r="P530" i="21" s="1"/>
  <c r="M530" i="21"/>
  <c r="N529" i="21"/>
  <c r="P529" i="21" s="1"/>
  <c r="M529" i="21"/>
  <c r="N528" i="21"/>
  <c r="P528" i="21" s="1"/>
  <c r="M528" i="21"/>
  <c r="N527" i="21"/>
  <c r="P527" i="21" s="1"/>
  <c r="M527" i="21"/>
  <c r="N526" i="21"/>
  <c r="P526" i="21" s="1"/>
  <c r="M526" i="21"/>
  <c r="N525" i="21"/>
  <c r="P525" i="21" s="1"/>
  <c r="M525" i="21"/>
  <c r="N524" i="21"/>
  <c r="P524" i="21" s="1"/>
  <c r="M524" i="21"/>
  <c r="N523" i="21"/>
  <c r="P523" i="21" s="1"/>
  <c r="M523" i="21"/>
  <c r="N522" i="21"/>
  <c r="P522" i="21" s="1"/>
  <c r="M522" i="21"/>
  <c r="N521" i="21"/>
  <c r="P521" i="21" s="1"/>
  <c r="M521" i="21"/>
  <c r="N520" i="21"/>
  <c r="P520" i="21" s="1"/>
  <c r="M520" i="21"/>
  <c r="N519" i="21"/>
  <c r="P519" i="21" s="1"/>
  <c r="M519" i="21"/>
  <c r="N518" i="21"/>
  <c r="P518" i="21" s="1"/>
  <c r="M518" i="21"/>
  <c r="N517" i="21"/>
  <c r="P517" i="21" s="1"/>
  <c r="M517" i="21"/>
  <c r="N516" i="21"/>
  <c r="P516" i="21" s="1"/>
  <c r="M516" i="21"/>
  <c r="N515" i="21"/>
  <c r="P515" i="21" s="1"/>
  <c r="M515" i="21"/>
  <c r="N514" i="21"/>
  <c r="P514" i="21" s="1"/>
  <c r="M514" i="21"/>
  <c r="N513" i="21"/>
  <c r="P513" i="21" s="1"/>
  <c r="M513" i="21"/>
  <c r="N512" i="21"/>
  <c r="P512" i="21" s="1"/>
  <c r="M512" i="21"/>
  <c r="H512" i="21"/>
  <c r="N511" i="21"/>
  <c r="K511" i="21" s="1"/>
  <c r="M511" i="21"/>
  <c r="N510" i="21"/>
  <c r="K510" i="21" s="1"/>
  <c r="M510" i="21"/>
  <c r="N509" i="21"/>
  <c r="K509" i="21" s="1"/>
  <c r="M509" i="21"/>
  <c r="N508" i="21"/>
  <c r="K508" i="21" s="1"/>
  <c r="M508" i="21"/>
  <c r="N507" i="21"/>
  <c r="K507" i="21" s="1"/>
  <c r="M507" i="21"/>
  <c r="N506" i="21"/>
  <c r="K506" i="21" s="1"/>
  <c r="M506" i="21"/>
  <c r="N505" i="21"/>
  <c r="K505" i="21" s="1"/>
  <c r="M505" i="21"/>
  <c r="N504" i="21"/>
  <c r="K504" i="21" s="1"/>
  <c r="M504" i="21"/>
  <c r="N503" i="21"/>
  <c r="K503" i="21" s="1"/>
  <c r="M503" i="21"/>
  <c r="N502" i="21"/>
  <c r="K502" i="21" s="1"/>
  <c r="M502" i="21"/>
  <c r="N501" i="21"/>
  <c r="K501" i="21" s="1"/>
  <c r="M501" i="21"/>
  <c r="N500" i="21"/>
  <c r="K500" i="21" s="1"/>
  <c r="M500" i="21"/>
  <c r="N499" i="21"/>
  <c r="K499" i="21" s="1"/>
  <c r="M499" i="21"/>
  <c r="N498" i="21"/>
  <c r="K498" i="21" s="1"/>
  <c r="M498" i="21"/>
  <c r="N497" i="21"/>
  <c r="K497" i="21" s="1"/>
  <c r="M497" i="21"/>
  <c r="N496" i="21"/>
  <c r="K496" i="21" s="1"/>
  <c r="M496" i="21"/>
  <c r="N495" i="21"/>
  <c r="K495" i="21" s="1"/>
  <c r="M495" i="21"/>
  <c r="N494" i="21"/>
  <c r="K494" i="21" s="1"/>
  <c r="M494" i="21"/>
  <c r="N493" i="21"/>
  <c r="K493" i="21" s="1"/>
  <c r="M493" i="21"/>
  <c r="H493" i="21"/>
  <c r="P492" i="21"/>
  <c r="N492" i="21"/>
  <c r="K492" i="21" s="1"/>
  <c r="M492" i="21"/>
  <c r="N491" i="21"/>
  <c r="K491" i="21" s="1"/>
  <c r="M491" i="21"/>
  <c r="N490" i="21"/>
  <c r="K490" i="21" s="1"/>
  <c r="M490" i="21"/>
  <c r="N489" i="21"/>
  <c r="K489" i="21" s="1"/>
  <c r="M489" i="21"/>
  <c r="P488" i="21"/>
  <c r="N488" i="21"/>
  <c r="K488" i="21" s="1"/>
  <c r="M488" i="21"/>
  <c r="N487" i="21"/>
  <c r="K487" i="21" s="1"/>
  <c r="M487" i="21"/>
  <c r="N486" i="21"/>
  <c r="K486" i="21" s="1"/>
  <c r="M486" i="21"/>
  <c r="N485" i="21"/>
  <c r="K485" i="21" s="1"/>
  <c r="M485" i="21"/>
  <c r="P484" i="21"/>
  <c r="N484" i="21"/>
  <c r="K484" i="21" s="1"/>
  <c r="M484" i="21"/>
  <c r="N483" i="21"/>
  <c r="K483" i="21" s="1"/>
  <c r="M483" i="21"/>
  <c r="N482" i="21"/>
  <c r="K482" i="21" s="1"/>
  <c r="M482" i="21"/>
  <c r="N481" i="21"/>
  <c r="K481" i="21" s="1"/>
  <c r="M481" i="21"/>
  <c r="P480" i="21"/>
  <c r="N480" i="21"/>
  <c r="K480" i="21" s="1"/>
  <c r="M480" i="21"/>
  <c r="H480" i="21"/>
  <c r="N479" i="21"/>
  <c r="M479" i="21"/>
  <c r="N478" i="21"/>
  <c r="M478" i="21"/>
  <c r="N477" i="21"/>
  <c r="P477" i="21" s="1"/>
  <c r="M477" i="21"/>
  <c r="K477" i="21"/>
  <c r="N476" i="21"/>
  <c r="P476" i="21" s="1"/>
  <c r="M476" i="21"/>
  <c r="K476" i="21"/>
  <c r="N475" i="21"/>
  <c r="P475" i="21" s="1"/>
  <c r="M475" i="21"/>
  <c r="K475" i="21"/>
  <c r="N474" i="21"/>
  <c r="M474" i="21"/>
  <c r="N473" i="21"/>
  <c r="P473" i="21" s="1"/>
  <c r="M473" i="21"/>
  <c r="N472" i="21"/>
  <c r="P472" i="21" s="1"/>
  <c r="M472" i="21"/>
  <c r="K472" i="21"/>
  <c r="N471" i="21"/>
  <c r="P471" i="21" s="1"/>
  <c r="M471" i="21"/>
  <c r="K471" i="21"/>
  <c r="N470" i="21"/>
  <c r="M470" i="21"/>
  <c r="N469" i="21"/>
  <c r="P469" i="21" s="1"/>
  <c r="M469" i="21"/>
  <c r="K469" i="21"/>
  <c r="N468" i="21"/>
  <c r="P468" i="21" s="1"/>
  <c r="M468" i="21"/>
  <c r="K468" i="21"/>
  <c r="N467" i="21"/>
  <c r="P467" i="21" s="1"/>
  <c r="M467" i="21"/>
  <c r="N466" i="21"/>
  <c r="M466" i="21"/>
  <c r="N465" i="21"/>
  <c r="P465" i="21" s="1"/>
  <c r="M465" i="21"/>
  <c r="K465" i="21"/>
  <c r="N464" i="21"/>
  <c r="P464" i="21" s="1"/>
  <c r="M464" i="21"/>
  <c r="K464" i="21"/>
  <c r="N463" i="21"/>
  <c r="P463" i="21" s="1"/>
  <c r="M463" i="21"/>
  <c r="N462" i="21"/>
  <c r="M462" i="21"/>
  <c r="H462" i="21"/>
  <c r="N461" i="21"/>
  <c r="P461" i="21" s="1"/>
  <c r="M461" i="21"/>
  <c r="N460" i="21"/>
  <c r="P460" i="21" s="1"/>
  <c r="M460" i="21"/>
  <c r="N459" i="21"/>
  <c r="P459" i="21" s="1"/>
  <c r="M459" i="21"/>
  <c r="N458" i="21"/>
  <c r="P458" i="21" s="1"/>
  <c r="M458" i="21"/>
  <c r="N457" i="21"/>
  <c r="P457" i="21" s="1"/>
  <c r="M457" i="21"/>
  <c r="N456" i="21"/>
  <c r="P456" i="21" s="1"/>
  <c r="M456" i="21"/>
  <c r="N455" i="21"/>
  <c r="P455" i="21" s="1"/>
  <c r="M455" i="21"/>
  <c r="N454" i="21"/>
  <c r="P454" i="21" s="1"/>
  <c r="M454" i="21"/>
  <c r="N453" i="21"/>
  <c r="P453" i="21" s="1"/>
  <c r="M453" i="21"/>
  <c r="N452" i="21"/>
  <c r="P452" i="21" s="1"/>
  <c r="M452" i="21"/>
  <c r="N451" i="21"/>
  <c r="P451" i="21" s="1"/>
  <c r="M451" i="21"/>
  <c r="N450" i="21"/>
  <c r="P450" i="21" s="1"/>
  <c r="M450" i="21"/>
  <c r="N449" i="21"/>
  <c r="P449" i="21" s="1"/>
  <c r="M449" i="21"/>
  <c r="N448" i="21"/>
  <c r="P448" i="21" s="1"/>
  <c r="M448" i="21"/>
  <c r="N447" i="21"/>
  <c r="P447" i="21" s="1"/>
  <c r="M447" i="21"/>
  <c r="N446" i="21"/>
  <c r="P446" i="21" s="1"/>
  <c r="M446" i="21"/>
  <c r="H446" i="21"/>
  <c r="N445" i="21"/>
  <c r="M445" i="21"/>
  <c r="N444" i="21"/>
  <c r="M444" i="21"/>
  <c r="N443" i="21"/>
  <c r="M443" i="21"/>
  <c r="N442" i="21"/>
  <c r="M442" i="21"/>
  <c r="N441" i="21"/>
  <c r="M441" i="21"/>
  <c r="N440" i="21"/>
  <c r="M440" i="21"/>
  <c r="N439" i="21"/>
  <c r="M439" i="21"/>
  <c r="N438" i="21"/>
  <c r="M438" i="21"/>
  <c r="N437" i="21"/>
  <c r="M437" i="21"/>
  <c r="N436" i="21"/>
  <c r="M436" i="21"/>
  <c r="N435" i="21"/>
  <c r="M435" i="21"/>
  <c r="N434" i="21"/>
  <c r="M434" i="21"/>
  <c r="N433" i="21"/>
  <c r="M433" i="21"/>
  <c r="N432" i="21"/>
  <c r="M432" i="21"/>
  <c r="N431" i="21"/>
  <c r="M431" i="21"/>
  <c r="N430" i="21"/>
  <c r="M430" i="21"/>
  <c r="N429" i="21"/>
  <c r="M429" i="21"/>
  <c r="N428" i="21"/>
  <c r="M428" i="21"/>
  <c r="N427" i="21"/>
  <c r="M427" i="21"/>
  <c r="N426" i="21"/>
  <c r="M426" i="21"/>
  <c r="N425" i="21"/>
  <c r="M425" i="21"/>
  <c r="N424" i="21"/>
  <c r="M424" i="21"/>
  <c r="N423" i="21"/>
  <c r="M423" i="21"/>
  <c r="N422" i="21"/>
  <c r="M422" i="21"/>
  <c r="N421" i="21"/>
  <c r="M421" i="21"/>
  <c r="N420" i="21"/>
  <c r="M420" i="21"/>
  <c r="H420" i="21"/>
  <c r="N419" i="21"/>
  <c r="P419" i="21" s="1"/>
  <c r="M419" i="21"/>
  <c r="N418" i="21"/>
  <c r="P418" i="21" s="1"/>
  <c r="M418" i="21"/>
  <c r="K418" i="21"/>
  <c r="N417" i="21"/>
  <c r="P417" i="21" s="1"/>
  <c r="M417" i="21"/>
  <c r="K417" i="21"/>
  <c r="N416" i="21"/>
  <c r="P416" i="21" s="1"/>
  <c r="M416" i="21"/>
  <c r="N415" i="21"/>
  <c r="P415" i="21" s="1"/>
  <c r="M415" i="21"/>
  <c r="N414" i="21"/>
  <c r="P414" i="21" s="1"/>
  <c r="M414" i="21"/>
  <c r="K414" i="21"/>
  <c r="N413" i="21"/>
  <c r="P413" i="21" s="1"/>
  <c r="M413" i="21"/>
  <c r="K413" i="21"/>
  <c r="N412" i="21"/>
  <c r="P412" i="21" s="1"/>
  <c r="M412" i="21"/>
  <c r="N411" i="21"/>
  <c r="P411" i="21" s="1"/>
  <c r="M411" i="21"/>
  <c r="N410" i="21"/>
  <c r="P410" i="21" s="1"/>
  <c r="M410" i="21"/>
  <c r="K410" i="21"/>
  <c r="N409" i="21"/>
  <c r="P409" i="21" s="1"/>
  <c r="M409" i="21"/>
  <c r="K409" i="21"/>
  <c r="P408" i="21"/>
  <c r="N408" i="21"/>
  <c r="M408" i="21"/>
  <c r="K408" i="21"/>
  <c r="P407" i="21"/>
  <c r="N407" i="21"/>
  <c r="M407" i="21"/>
  <c r="K407" i="21"/>
  <c r="P406" i="21"/>
  <c r="N406" i="21"/>
  <c r="M406" i="21"/>
  <c r="K406" i="21"/>
  <c r="P405" i="21"/>
  <c r="N405" i="21"/>
  <c r="M405" i="21"/>
  <c r="K405" i="21"/>
  <c r="P404" i="21"/>
  <c r="N404" i="21"/>
  <c r="M404" i="21"/>
  <c r="K404" i="21"/>
  <c r="P403" i="21"/>
  <c r="N403" i="21"/>
  <c r="M403" i="21"/>
  <c r="K403" i="21"/>
  <c r="P402" i="21"/>
  <c r="N402" i="21"/>
  <c r="M402" i="21"/>
  <c r="K402" i="21"/>
  <c r="P401" i="21"/>
  <c r="N401" i="21"/>
  <c r="M401" i="21"/>
  <c r="K401" i="21"/>
  <c r="P400" i="21"/>
  <c r="N400" i="21"/>
  <c r="M400" i="21"/>
  <c r="K400" i="21"/>
  <c r="P399" i="21"/>
  <c r="N399" i="21"/>
  <c r="M399" i="21"/>
  <c r="K399" i="21"/>
  <c r="H399" i="21"/>
  <c r="N398" i="21"/>
  <c r="P398" i="21" s="1"/>
  <c r="M398" i="21"/>
  <c r="K398" i="21"/>
  <c r="N397" i="21"/>
  <c r="P397" i="21" s="1"/>
  <c r="M397" i="21"/>
  <c r="N396" i="21"/>
  <c r="P396" i="21" s="1"/>
  <c r="M396" i="21"/>
  <c r="N395" i="21"/>
  <c r="P395" i="21" s="1"/>
  <c r="M395" i="21"/>
  <c r="N394" i="21"/>
  <c r="P394" i="21" s="1"/>
  <c r="M394" i="21"/>
  <c r="N393" i="21"/>
  <c r="P393" i="21" s="1"/>
  <c r="M393" i="21"/>
  <c r="N392" i="21"/>
  <c r="P392" i="21" s="1"/>
  <c r="M392" i="21"/>
  <c r="H392" i="21"/>
  <c r="N391" i="21"/>
  <c r="K391" i="21" s="1"/>
  <c r="M391" i="21"/>
  <c r="N390" i="21"/>
  <c r="K390" i="21" s="1"/>
  <c r="M390" i="21"/>
  <c r="N389" i="21"/>
  <c r="K389" i="21" s="1"/>
  <c r="M389" i="21"/>
  <c r="N388" i="21"/>
  <c r="K388" i="21" s="1"/>
  <c r="M388" i="21"/>
  <c r="N387" i="21"/>
  <c r="K387" i="21" s="1"/>
  <c r="M387" i="21"/>
  <c r="N386" i="21"/>
  <c r="K386" i="21" s="1"/>
  <c r="M386" i="21"/>
  <c r="N385" i="21"/>
  <c r="K385" i="21" s="1"/>
  <c r="M385" i="21"/>
  <c r="N384" i="21"/>
  <c r="K384" i="21" s="1"/>
  <c r="M384" i="21"/>
  <c r="N383" i="21"/>
  <c r="K383" i="21" s="1"/>
  <c r="M383" i="21"/>
  <c r="N382" i="21"/>
  <c r="K382" i="21" s="1"/>
  <c r="M382" i="21"/>
  <c r="N381" i="21"/>
  <c r="K381" i="21" s="1"/>
  <c r="M381" i="21"/>
  <c r="H381" i="21"/>
  <c r="N380" i="21"/>
  <c r="P380" i="21" s="1"/>
  <c r="M380" i="21"/>
  <c r="N379" i="21"/>
  <c r="P379" i="21" s="1"/>
  <c r="M379" i="21"/>
  <c r="N378" i="21"/>
  <c r="P378" i="21" s="1"/>
  <c r="M378" i="21"/>
  <c r="K378" i="21"/>
  <c r="N377" i="21"/>
  <c r="P377" i="21" s="1"/>
  <c r="M377" i="21"/>
  <c r="K377" i="21"/>
  <c r="N376" i="21"/>
  <c r="P376" i="21" s="1"/>
  <c r="M376" i="21"/>
  <c r="N375" i="21"/>
  <c r="P375" i="21" s="1"/>
  <c r="M375" i="21"/>
  <c r="N374" i="21"/>
  <c r="P374" i="21" s="1"/>
  <c r="M374" i="21"/>
  <c r="K374" i="21"/>
  <c r="N373" i="21"/>
  <c r="P373" i="21" s="1"/>
  <c r="M373" i="21"/>
  <c r="K373" i="21"/>
  <c r="N372" i="21"/>
  <c r="P372" i="21" s="1"/>
  <c r="M372" i="21"/>
  <c r="N371" i="21"/>
  <c r="P371" i="21" s="1"/>
  <c r="M371" i="21"/>
  <c r="N370" i="21"/>
  <c r="P370" i="21" s="1"/>
  <c r="M370" i="21"/>
  <c r="K370" i="21"/>
  <c r="N369" i="21"/>
  <c r="P369" i="21" s="1"/>
  <c r="M369" i="21"/>
  <c r="K369" i="21"/>
  <c r="N368" i="21"/>
  <c r="P368" i="21" s="1"/>
  <c r="M368" i="21"/>
  <c r="N367" i="21"/>
  <c r="P367" i="21" s="1"/>
  <c r="M367" i="21"/>
  <c r="N366" i="21"/>
  <c r="P366" i="21" s="1"/>
  <c r="M366" i="21"/>
  <c r="K366" i="21"/>
  <c r="N365" i="21"/>
  <c r="P365" i="21" s="1"/>
  <c r="M365" i="21"/>
  <c r="K365" i="21"/>
  <c r="N364" i="21"/>
  <c r="P364" i="21" s="1"/>
  <c r="M364" i="21"/>
  <c r="N363" i="21"/>
  <c r="P363" i="21" s="1"/>
  <c r="M363" i="21"/>
  <c r="N362" i="21"/>
  <c r="P362" i="21" s="1"/>
  <c r="M362" i="21"/>
  <c r="K362" i="21"/>
  <c r="N361" i="21"/>
  <c r="P361" i="21" s="1"/>
  <c r="M361" i="21"/>
  <c r="K361" i="21"/>
  <c r="N360" i="21"/>
  <c r="P360" i="21" s="1"/>
  <c r="M360" i="21"/>
  <c r="N359" i="21"/>
  <c r="P359" i="21" s="1"/>
  <c r="M359" i="21"/>
  <c r="N358" i="21"/>
  <c r="P358" i="21" s="1"/>
  <c r="M358" i="21"/>
  <c r="K358" i="21"/>
  <c r="N357" i="21"/>
  <c r="P357" i="21" s="1"/>
  <c r="M357" i="21"/>
  <c r="K357" i="21"/>
  <c r="N356" i="21"/>
  <c r="P356" i="21" s="1"/>
  <c r="M356" i="21"/>
  <c r="N355" i="21"/>
  <c r="P355" i="21" s="1"/>
  <c r="M355" i="21"/>
  <c r="N354" i="21"/>
  <c r="P354" i="21" s="1"/>
  <c r="M354" i="21"/>
  <c r="K354" i="21"/>
  <c r="N353" i="21"/>
  <c r="P353" i="21" s="1"/>
  <c r="M353" i="21"/>
  <c r="K353" i="21"/>
  <c r="N352" i="21"/>
  <c r="P352" i="21" s="1"/>
  <c r="M352" i="21"/>
  <c r="N351" i="21"/>
  <c r="P351" i="21" s="1"/>
  <c r="M351" i="21"/>
  <c r="N350" i="21"/>
  <c r="P350" i="21" s="1"/>
  <c r="M350" i="21"/>
  <c r="K350" i="21"/>
  <c r="N349" i="21"/>
  <c r="P349" i="21" s="1"/>
  <c r="M349" i="21"/>
  <c r="K349" i="21"/>
  <c r="H349" i="21"/>
  <c r="N348" i="21"/>
  <c r="P348" i="21" s="1"/>
  <c r="M348" i="21"/>
  <c r="N347" i="21"/>
  <c r="P347" i="21" s="1"/>
  <c r="M347" i="21"/>
  <c r="N346" i="21"/>
  <c r="P346" i="21" s="1"/>
  <c r="M346" i="21"/>
  <c r="N345" i="21"/>
  <c r="P345" i="21" s="1"/>
  <c r="M345" i="21"/>
  <c r="N344" i="21"/>
  <c r="P344" i="21" s="1"/>
  <c r="M344" i="21"/>
  <c r="N343" i="21"/>
  <c r="P343" i="21" s="1"/>
  <c r="M343" i="21"/>
  <c r="N342" i="21"/>
  <c r="P342" i="21" s="1"/>
  <c r="M342" i="21"/>
  <c r="N341" i="21"/>
  <c r="P341" i="21" s="1"/>
  <c r="M341" i="21"/>
  <c r="N340" i="21"/>
  <c r="P340" i="21" s="1"/>
  <c r="M340" i="21"/>
  <c r="N339" i="21"/>
  <c r="P339" i="21" s="1"/>
  <c r="M339" i="21"/>
  <c r="N338" i="21"/>
  <c r="P338" i="21" s="1"/>
  <c r="M338" i="21"/>
  <c r="N337" i="21"/>
  <c r="P337" i="21" s="1"/>
  <c r="M337" i="21"/>
  <c r="N336" i="21"/>
  <c r="P336" i="21" s="1"/>
  <c r="M336" i="21"/>
  <c r="N335" i="21"/>
  <c r="P335" i="21" s="1"/>
  <c r="M335" i="21"/>
  <c r="N334" i="21"/>
  <c r="P334" i="21" s="1"/>
  <c r="M334" i="21"/>
  <c r="N333" i="21"/>
  <c r="P333" i="21" s="1"/>
  <c r="M333" i="21"/>
  <c r="H333" i="21"/>
  <c r="N332" i="21"/>
  <c r="K332" i="21" s="1"/>
  <c r="M332" i="21"/>
  <c r="N331" i="21"/>
  <c r="K331" i="21" s="1"/>
  <c r="M331" i="21"/>
  <c r="N330" i="21"/>
  <c r="K330" i="21" s="1"/>
  <c r="M330" i="21"/>
  <c r="N329" i="21"/>
  <c r="K329" i="21" s="1"/>
  <c r="M329" i="21"/>
  <c r="N328" i="21"/>
  <c r="K328" i="21" s="1"/>
  <c r="M328" i="21"/>
  <c r="N327" i="21"/>
  <c r="K327" i="21" s="1"/>
  <c r="M327" i="21"/>
  <c r="N326" i="21"/>
  <c r="K326" i="21" s="1"/>
  <c r="M326" i="21"/>
  <c r="N325" i="21"/>
  <c r="K325" i="21" s="1"/>
  <c r="M325" i="21"/>
  <c r="N324" i="21"/>
  <c r="K324" i="21" s="1"/>
  <c r="M324" i="21"/>
  <c r="N323" i="21"/>
  <c r="K323" i="21" s="1"/>
  <c r="M323" i="21"/>
  <c r="N322" i="21"/>
  <c r="K322" i="21" s="1"/>
  <c r="M322" i="21"/>
  <c r="N321" i="21"/>
  <c r="K321" i="21" s="1"/>
  <c r="M321" i="21"/>
  <c r="N320" i="21"/>
  <c r="K320" i="21" s="1"/>
  <c r="M320" i="21"/>
  <c r="N319" i="21"/>
  <c r="K319" i="21" s="1"/>
  <c r="M319" i="21"/>
  <c r="N318" i="21"/>
  <c r="K318" i="21" s="1"/>
  <c r="M318" i="21"/>
  <c r="N317" i="21"/>
  <c r="K317" i="21" s="1"/>
  <c r="M317" i="21"/>
  <c r="N316" i="21"/>
  <c r="K316" i="21" s="1"/>
  <c r="M316" i="21"/>
  <c r="N315" i="21"/>
  <c r="K315" i="21" s="1"/>
  <c r="M315" i="21"/>
  <c r="N314" i="21"/>
  <c r="K314" i="21" s="1"/>
  <c r="M314" i="21"/>
  <c r="N313" i="21"/>
  <c r="K313" i="21" s="1"/>
  <c r="M313" i="21"/>
  <c r="N312" i="21"/>
  <c r="K312" i="21" s="1"/>
  <c r="M312" i="21"/>
  <c r="N311" i="21"/>
  <c r="K311" i="21" s="1"/>
  <c r="M311" i="21"/>
  <c r="N310" i="21"/>
  <c r="K310" i="21" s="1"/>
  <c r="M310" i="21"/>
  <c r="N309" i="21"/>
  <c r="K309" i="21" s="1"/>
  <c r="M309" i="21"/>
  <c r="N308" i="21"/>
  <c r="K308" i="21" s="1"/>
  <c r="M308" i="21"/>
  <c r="N307" i="21"/>
  <c r="K307" i="21" s="1"/>
  <c r="M307" i="21"/>
  <c r="N306" i="21"/>
  <c r="K306" i="21" s="1"/>
  <c r="M306" i="21"/>
  <c r="N305" i="21"/>
  <c r="K305" i="21" s="1"/>
  <c r="M305" i="21"/>
  <c r="N304" i="21"/>
  <c r="K304" i="21" s="1"/>
  <c r="M304" i="21"/>
  <c r="N303" i="21"/>
  <c r="K303" i="21" s="1"/>
  <c r="M303" i="21"/>
  <c r="N302" i="21"/>
  <c r="K302" i="21" s="1"/>
  <c r="M302" i="21"/>
  <c r="N301" i="21"/>
  <c r="K301" i="21" s="1"/>
  <c r="M301" i="21"/>
  <c r="N300" i="21"/>
  <c r="K300" i="21" s="1"/>
  <c r="M300" i="21"/>
  <c r="N299" i="21"/>
  <c r="K299" i="21" s="1"/>
  <c r="M299" i="21"/>
  <c r="N298" i="21"/>
  <c r="K298" i="21" s="1"/>
  <c r="M298" i="21"/>
  <c r="N297" i="21"/>
  <c r="K297" i="21" s="1"/>
  <c r="M297" i="21"/>
  <c r="H297" i="21"/>
  <c r="N296" i="21"/>
  <c r="K296" i="21" s="1"/>
  <c r="M296" i="21"/>
  <c r="N295" i="21"/>
  <c r="K295" i="21" s="1"/>
  <c r="M295" i="21"/>
  <c r="N294" i="21"/>
  <c r="K294" i="21" s="1"/>
  <c r="M294" i="21"/>
  <c r="N293" i="21"/>
  <c r="K293" i="21" s="1"/>
  <c r="M293" i="21"/>
  <c r="N292" i="21"/>
  <c r="K292" i="21" s="1"/>
  <c r="M292" i="21"/>
  <c r="N291" i="21"/>
  <c r="K291" i="21" s="1"/>
  <c r="M291" i="21"/>
  <c r="N290" i="21"/>
  <c r="K290" i="21" s="1"/>
  <c r="M290" i="21"/>
  <c r="N289" i="21"/>
  <c r="K289" i="21" s="1"/>
  <c r="M289" i="21"/>
  <c r="N288" i="21"/>
  <c r="K288" i="21" s="1"/>
  <c r="M288" i="21"/>
  <c r="N287" i="21"/>
  <c r="K287" i="21" s="1"/>
  <c r="M287" i="21"/>
  <c r="N286" i="21"/>
  <c r="K286" i="21" s="1"/>
  <c r="M286" i="21"/>
  <c r="N285" i="21"/>
  <c r="K285" i="21" s="1"/>
  <c r="M285" i="21"/>
  <c r="N284" i="21"/>
  <c r="K284" i="21" s="1"/>
  <c r="M284" i="21"/>
  <c r="N283" i="21"/>
  <c r="K283" i="21" s="1"/>
  <c r="M283" i="21"/>
  <c r="N282" i="21"/>
  <c r="K282" i="21" s="1"/>
  <c r="M282" i="21"/>
  <c r="N281" i="21"/>
  <c r="K281" i="21" s="1"/>
  <c r="M281" i="21"/>
  <c r="N280" i="21"/>
  <c r="K280" i="21" s="1"/>
  <c r="M280" i="21"/>
  <c r="N279" i="21"/>
  <c r="K279" i="21" s="1"/>
  <c r="M279" i="21"/>
  <c r="N278" i="21"/>
  <c r="K278" i="21" s="1"/>
  <c r="M278" i="21"/>
  <c r="N277" i="21"/>
  <c r="K277" i="21" s="1"/>
  <c r="M277" i="21"/>
  <c r="N276" i="21"/>
  <c r="K276" i="21" s="1"/>
  <c r="M276" i="21"/>
  <c r="N275" i="21"/>
  <c r="K275" i="21" s="1"/>
  <c r="M275" i="21"/>
  <c r="N274" i="21"/>
  <c r="K274" i="21" s="1"/>
  <c r="M274" i="21"/>
  <c r="N273" i="21"/>
  <c r="K273" i="21" s="1"/>
  <c r="M273" i="21"/>
  <c r="N272" i="21"/>
  <c r="K272" i="21" s="1"/>
  <c r="M272" i="21"/>
  <c r="N271" i="21"/>
  <c r="K271" i="21" s="1"/>
  <c r="M271" i="21"/>
  <c r="N270" i="21"/>
  <c r="K270" i="21" s="1"/>
  <c r="M270" i="21"/>
  <c r="N269" i="21"/>
  <c r="K269" i="21" s="1"/>
  <c r="M269" i="21"/>
  <c r="N268" i="21"/>
  <c r="K268" i="21" s="1"/>
  <c r="M268" i="21"/>
  <c r="N267" i="21"/>
  <c r="K267" i="21" s="1"/>
  <c r="M267" i="21"/>
  <c r="N266" i="21"/>
  <c r="K266" i="21" s="1"/>
  <c r="M266" i="21"/>
  <c r="N265" i="21"/>
  <c r="K265" i="21" s="1"/>
  <c r="M265" i="21"/>
  <c r="N264" i="21"/>
  <c r="K264" i="21" s="1"/>
  <c r="M264" i="21"/>
  <c r="N263" i="21"/>
  <c r="K263" i="21" s="1"/>
  <c r="M263" i="21"/>
  <c r="N262" i="21"/>
  <c r="K262" i="21" s="1"/>
  <c r="M262" i="21"/>
  <c r="H262" i="21"/>
  <c r="N261" i="21"/>
  <c r="P261" i="21" s="1"/>
  <c r="M261" i="21"/>
  <c r="N260" i="21"/>
  <c r="P260" i="21" s="1"/>
  <c r="M260" i="21"/>
  <c r="N259" i="21"/>
  <c r="P259" i="21" s="1"/>
  <c r="M259" i="21"/>
  <c r="K259" i="21"/>
  <c r="N258" i="21"/>
  <c r="P258" i="21" s="1"/>
  <c r="M258" i="21"/>
  <c r="K258" i="21"/>
  <c r="N257" i="21"/>
  <c r="P257" i="21" s="1"/>
  <c r="M257" i="21"/>
  <c r="K257" i="21"/>
  <c r="N256" i="21"/>
  <c r="P256" i="21" s="1"/>
  <c r="M256" i="21"/>
  <c r="K256" i="21"/>
  <c r="N255" i="21"/>
  <c r="P255" i="21" s="1"/>
  <c r="M255" i="21"/>
  <c r="K255" i="21"/>
  <c r="N254" i="21"/>
  <c r="P254" i="21" s="1"/>
  <c r="M254" i="21"/>
  <c r="K254" i="21"/>
  <c r="N253" i="21"/>
  <c r="P253" i="21" s="1"/>
  <c r="M253" i="21"/>
  <c r="K253" i="21"/>
  <c r="N252" i="21"/>
  <c r="P252" i="21" s="1"/>
  <c r="M252" i="21"/>
  <c r="K252" i="21"/>
  <c r="N251" i="21"/>
  <c r="P251" i="21" s="1"/>
  <c r="M251" i="21"/>
  <c r="K251" i="21"/>
  <c r="N250" i="21"/>
  <c r="P250" i="21" s="1"/>
  <c r="M250" i="21"/>
  <c r="K250" i="21"/>
  <c r="N249" i="21"/>
  <c r="P249" i="21" s="1"/>
  <c r="M249" i="21"/>
  <c r="K249" i="21"/>
  <c r="N248" i="21"/>
  <c r="P248" i="21" s="1"/>
  <c r="M248" i="21"/>
  <c r="K248" i="21"/>
  <c r="N247" i="21"/>
  <c r="P247" i="21" s="1"/>
  <c r="M247" i="21"/>
  <c r="K247" i="21"/>
  <c r="N246" i="21"/>
  <c r="P246" i="21" s="1"/>
  <c r="M246" i="21"/>
  <c r="K246" i="21"/>
  <c r="N245" i="21"/>
  <c r="P245" i="21" s="1"/>
  <c r="M245" i="21"/>
  <c r="K245" i="21"/>
  <c r="N244" i="21"/>
  <c r="P244" i="21" s="1"/>
  <c r="M244" i="21"/>
  <c r="K244" i="21"/>
  <c r="N243" i="21"/>
  <c r="P243" i="21" s="1"/>
  <c r="M243" i="21"/>
  <c r="K243" i="21"/>
  <c r="N242" i="21"/>
  <c r="P242" i="21" s="1"/>
  <c r="M242" i="21"/>
  <c r="K242" i="21"/>
  <c r="H242" i="21"/>
  <c r="N241" i="21"/>
  <c r="P241" i="21" s="1"/>
  <c r="M241" i="21"/>
  <c r="N240" i="21"/>
  <c r="P240" i="21" s="1"/>
  <c r="M240" i="21"/>
  <c r="N239" i="21"/>
  <c r="P239" i="21" s="1"/>
  <c r="M239" i="21"/>
  <c r="N238" i="21"/>
  <c r="P238" i="21" s="1"/>
  <c r="M238" i="21"/>
  <c r="N237" i="21"/>
  <c r="P237" i="21" s="1"/>
  <c r="M237" i="21"/>
  <c r="N236" i="21"/>
  <c r="P236" i="21" s="1"/>
  <c r="M236" i="21"/>
  <c r="N235" i="21"/>
  <c r="P235" i="21" s="1"/>
  <c r="M235" i="21"/>
  <c r="N234" i="21"/>
  <c r="P234" i="21" s="1"/>
  <c r="M234" i="21"/>
  <c r="N233" i="21"/>
  <c r="P233" i="21" s="1"/>
  <c r="M233" i="21"/>
  <c r="N232" i="21"/>
  <c r="P232" i="21" s="1"/>
  <c r="M232" i="21"/>
  <c r="N231" i="21"/>
  <c r="P231" i="21" s="1"/>
  <c r="M231" i="21"/>
  <c r="N230" i="21"/>
  <c r="P230" i="21" s="1"/>
  <c r="M230" i="21"/>
  <c r="N229" i="21"/>
  <c r="P229" i="21" s="1"/>
  <c r="M229" i="21"/>
  <c r="N228" i="21"/>
  <c r="P228" i="21" s="1"/>
  <c r="M228" i="21"/>
  <c r="N227" i="21"/>
  <c r="P227" i="21" s="1"/>
  <c r="M227" i="21"/>
  <c r="N226" i="21"/>
  <c r="P226" i="21" s="1"/>
  <c r="M226" i="21"/>
  <c r="N225" i="21"/>
  <c r="P225" i="21" s="1"/>
  <c r="M225" i="21"/>
  <c r="N224" i="21"/>
  <c r="P224" i="21" s="1"/>
  <c r="M224" i="21"/>
  <c r="N223" i="21"/>
  <c r="P223" i="21" s="1"/>
  <c r="M223" i="21"/>
  <c r="N222" i="21"/>
  <c r="P222" i="21" s="1"/>
  <c r="M222" i="21"/>
  <c r="N221" i="21"/>
  <c r="P221" i="21" s="1"/>
  <c r="M221" i="21"/>
  <c r="N220" i="21"/>
  <c r="P220" i="21" s="1"/>
  <c r="M220" i="21"/>
  <c r="N219" i="21"/>
  <c r="P219" i="21" s="1"/>
  <c r="M219" i="21"/>
  <c r="N218" i="21"/>
  <c r="P218" i="21" s="1"/>
  <c r="M218" i="21"/>
  <c r="N217" i="21"/>
  <c r="P217" i="21" s="1"/>
  <c r="M217" i="21"/>
  <c r="N216" i="21"/>
  <c r="P216" i="21" s="1"/>
  <c r="M216" i="21"/>
  <c r="N215" i="21"/>
  <c r="P215" i="21" s="1"/>
  <c r="M215" i="21"/>
  <c r="N214" i="21"/>
  <c r="P214" i="21" s="1"/>
  <c r="M214" i="21"/>
  <c r="N213" i="21"/>
  <c r="P213" i="21" s="1"/>
  <c r="M213" i="21"/>
  <c r="N212" i="21"/>
  <c r="P212" i="21" s="1"/>
  <c r="M212" i="21"/>
  <c r="N211" i="21"/>
  <c r="P211" i="21" s="1"/>
  <c r="M211" i="21"/>
  <c r="N210" i="21"/>
  <c r="P210" i="21" s="1"/>
  <c r="M210" i="21"/>
  <c r="N209" i="21"/>
  <c r="P209" i="21" s="1"/>
  <c r="M209" i="21"/>
  <c r="N208" i="21"/>
  <c r="P208" i="21" s="1"/>
  <c r="M208" i="21"/>
  <c r="N207" i="21"/>
  <c r="P207" i="21" s="1"/>
  <c r="M207" i="21"/>
  <c r="N206" i="21"/>
  <c r="P206" i="21" s="1"/>
  <c r="M206" i="21"/>
  <c r="N205" i="21"/>
  <c r="P205" i="21" s="1"/>
  <c r="M205" i="21"/>
  <c r="N204" i="21"/>
  <c r="P204" i="21" s="1"/>
  <c r="M204" i="21"/>
  <c r="N203" i="21"/>
  <c r="P203" i="21" s="1"/>
  <c r="M203" i="21"/>
  <c r="N202" i="21"/>
  <c r="P202" i="21" s="1"/>
  <c r="M202" i="21"/>
  <c r="N201" i="21"/>
  <c r="P201" i="21" s="1"/>
  <c r="M201" i="21"/>
  <c r="N200" i="21"/>
  <c r="P200" i="21" s="1"/>
  <c r="M200" i="21"/>
  <c r="N199" i="21"/>
  <c r="P199" i="21" s="1"/>
  <c r="M199" i="21"/>
  <c r="H199" i="21"/>
  <c r="N198" i="21"/>
  <c r="M198" i="21"/>
  <c r="N197" i="21"/>
  <c r="M197" i="21"/>
  <c r="N196" i="21"/>
  <c r="M196" i="21"/>
  <c r="N195" i="21"/>
  <c r="M195" i="21"/>
  <c r="N194" i="21"/>
  <c r="M194" i="21"/>
  <c r="N193" i="21"/>
  <c r="M193" i="21"/>
  <c r="N192" i="21"/>
  <c r="M192" i="21"/>
  <c r="N191" i="21"/>
  <c r="M191" i="21"/>
  <c r="N190" i="21"/>
  <c r="M190" i="21"/>
  <c r="N189" i="21"/>
  <c r="M189" i="21"/>
  <c r="N188" i="21"/>
  <c r="M188" i="21"/>
  <c r="N187" i="21"/>
  <c r="M187" i="21"/>
  <c r="N186" i="21"/>
  <c r="M186" i="21"/>
  <c r="N185" i="21"/>
  <c r="M185" i="21"/>
  <c r="N184" i="21"/>
  <c r="M184" i="21"/>
  <c r="N183" i="21"/>
  <c r="M183" i="21"/>
  <c r="N182" i="21"/>
  <c r="M182" i="21"/>
  <c r="N181" i="21"/>
  <c r="M181" i="21"/>
  <c r="N180" i="21"/>
  <c r="M180" i="21"/>
  <c r="H180" i="21"/>
  <c r="P179" i="21"/>
  <c r="N179" i="21"/>
  <c r="M179" i="21"/>
  <c r="K179" i="21"/>
  <c r="P178" i="21"/>
  <c r="N178" i="21"/>
  <c r="M178" i="21"/>
  <c r="K178" i="21"/>
  <c r="P177" i="21"/>
  <c r="N177" i="21"/>
  <c r="M177" i="21"/>
  <c r="K177" i="21"/>
  <c r="P176" i="21"/>
  <c r="N176" i="21"/>
  <c r="M176" i="21"/>
  <c r="K176" i="21"/>
  <c r="P175" i="21"/>
  <c r="N175" i="21"/>
  <c r="M175" i="21"/>
  <c r="K175" i="21"/>
  <c r="P174" i="21"/>
  <c r="N174" i="21"/>
  <c r="M174" i="21"/>
  <c r="K174" i="21"/>
  <c r="P173" i="21"/>
  <c r="N173" i="21"/>
  <c r="M173" i="21"/>
  <c r="K173" i="21"/>
  <c r="P172" i="21"/>
  <c r="N172" i="21"/>
  <c r="M172" i="21"/>
  <c r="K172" i="21"/>
  <c r="P171" i="21"/>
  <c r="N171" i="21"/>
  <c r="M171" i="21"/>
  <c r="K171" i="21"/>
  <c r="P170" i="21"/>
  <c r="N170" i="21"/>
  <c r="M170" i="21"/>
  <c r="K170" i="21"/>
  <c r="P169" i="21"/>
  <c r="N169" i="21"/>
  <c r="M169" i="21"/>
  <c r="K169" i="21"/>
  <c r="P168" i="21"/>
  <c r="N168" i="21"/>
  <c r="M168" i="21"/>
  <c r="K168" i="21"/>
  <c r="H168" i="21"/>
  <c r="N167" i="21"/>
  <c r="P167" i="21" s="1"/>
  <c r="M167" i="21"/>
  <c r="K167" i="21"/>
  <c r="N166" i="21"/>
  <c r="P166" i="21" s="1"/>
  <c r="M166" i="21"/>
  <c r="K166" i="21"/>
  <c r="N165" i="21"/>
  <c r="P165" i="21" s="1"/>
  <c r="M165" i="21"/>
  <c r="K165" i="21"/>
  <c r="N164" i="21"/>
  <c r="P164" i="21" s="1"/>
  <c r="M164" i="21"/>
  <c r="K164" i="21"/>
  <c r="N163" i="21"/>
  <c r="P163" i="21" s="1"/>
  <c r="M163" i="21"/>
  <c r="K163" i="21"/>
  <c r="N162" i="21"/>
  <c r="P162" i="21" s="1"/>
  <c r="M162" i="21"/>
  <c r="K162" i="21"/>
  <c r="N161" i="21"/>
  <c r="P161" i="21" s="1"/>
  <c r="M161" i="21"/>
  <c r="K161" i="21"/>
  <c r="N160" i="21"/>
  <c r="P160" i="21" s="1"/>
  <c r="M160" i="21"/>
  <c r="K160" i="21"/>
  <c r="N159" i="21"/>
  <c r="P159" i="21" s="1"/>
  <c r="M159" i="21"/>
  <c r="K159" i="21"/>
  <c r="N158" i="21"/>
  <c r="P158" i="21" s="1"/>
  <c r="M158" i="21"/>
  <c r="K158" i="21"/>
  <c r="N157" i="21"/>
  <c r="P157" i="21" s="1"/>
  <c r="M157" i="21"/>
  <c r="K157" i="21"/>
  <c r="H157" i="21"/>
  <c r="N156" i="21"/>
  <c r="P156" i="21" s="1"/>
  <c r="M156" i="21"/>
  <c r="N155" i="21"/>
  <c r="P155" i="21" s="1"/>
  <c r="M155" i="21"/>
  <c r="N154" i="21"/>
  <c r="P154" i="21" s="1"/>
  <c r="M154" i="21"/>
  <c r="N153" i="21"/>
  <c r="P153" i="21" s="1"/>
  <c r="M153" i="21"/>
  <c r="H153" i="21"/>
  <c r="N152" i="21"/>
  <c r="M152" i="21"/>
  <c r="N151" i="21"/>
  <c r="M151" i="21"/>
  <c r="N150" i="21"/>
  <c r="M150" i="21"/>
  <c r="N149" i="21"/>
  <c r="M149" i="21"/>
  <c r="N148" i="21"/>
  <c r="M148" i="21"/>
  <c r="N147" i="21"/>
  <c r="M147" i="21"/>
  <c r="N146" i="21"/>
  <c r="M146" i="21"/>
  <c r="H146" i="21"/>
  <c r="N145" i="21"/>
  <c r="P145" i="21" s="1"/>
  <c r="M145" i="21"/>
  <c r="N144" i="21"/>
  <c r="P144" i="21" s="1"/>
  <c r="M144" i="21"/>
  <c r="N143" i="21"/>
  <c r="P143" i="21" s="1"/>
  <c r="M143" i="21"/>
  <c r="N142" i="21"/>
  <c r="P142" i="21" s="1"/>
  <c r="M142" i="21"/>
  <c r="N141" i="21"/>
  <c r="P141" i="21" s="1"/>
  <c r="M141" i="21"/>
  <c r="H141" i="21"/>
  <c r="N140" i="21"/>
  <c r="K140" i="21" s="1"/>
  <c r="M140" i="21"/>
  <c r="N139" i="21"/>
  <c r="K139" i="21" s="1"/>
  <c r="M139" i="21"/>
  <c r="N138" i="21"/>
  <c r="K138" i="21" s="1"/>
  <c r="M138" i="21"/>
  <c r="N137" i="21"/>
  <c r="K137" i="21" s="1"/>
  <c r="M137" i="21"/>
  <c r="N136" i="21"/>
  <c r="K136" i="21" s="1"/>
  <c r="M136" i="21"/>
  <c r="N135" i="21"/>
  <c r="K135" i="21" s="1"/>
  <c r="M135" i="21"/>
  <c r="N134" i="21"/>
  <c r="K134" i="21" s="1"/>
  <c r="M134" i="21"/>
  <c r="N133" i="21"/>
  <c r="K133" i="21" s="1"/>
  <c r="M133" i="21"/>
  <c r="H133" i="21"/>
  <c r="N132" i="21"/>
  <c r="M132" i="21"/>
  <c r="N131" i="21"/>
  <c r="M131" i="21"/>
  <c r="N130" i="21"/>
  <c r="P130" i="21" s="1"/>
  <c r="M130" i="21"/>
  <c r="N129" i="21"/>
  <c r="P129" i="21" s="1"/>
  <c r="M129" i="21"/>
  <c r="N128" i="21"/>
  <c r="P128" i="21" s="1"/>
  <c r="M128" i="21"/>
  <c r="N127" i="21"/>
  <c r="P127" i="21" s="1"/>
  <c r="M127" i="21"/>
  <c r="N126" i="21"/>
  <c r="P126" i="21" s="1"/>
  <c r="M126" i="21"/>
  <c r="N125" i="21"/>
  <c r="P125" i="21" s="1"/>
  <c r="M125" i="21"/>
  <c r="N124" i="21"/>
  <c r="P124" i="21" s="1"/>
  <c r="M124" i="21"/>
  <c r="K124" i="21"/>
  <c r="N123" i="21"/>
  <c r="P123" i="21" s="1"/>
  <c r="M123" i="21"/>
  <c r="K123" i="21"/>
  <c r="N122" i="21"/>
  <c r="P122" i="21" s="1"/>
  <c r="M122" i="21"/>
  <c r="N121" i="21"/>
  <c r="P121" i="21" s="1"/>
  <c r="M121" i="21"/>
  <c r="N120" i="21"/>
  <c r="P120" i="21" s="1"/>
  <c r="M120" i="21"/>
  <c r="N119" i="21"/>
  <c r="P119" i="21" s="1"/>
  <c r="M119" i="21"/>
  <c r="H119" i="21"/>
  <c r="N118" i="21"/>
  <c r="K118" i="21" s="1"/>
  <c r="M118" i="21"/>
  <c r="N117" i="21"/>
  <c r="K117" i="21" s="1"/>
  <c r="M117" i="21"/>
  <c r="N116" i="21"/>
  <c r="K116" i="21" s="1"/>
  <c r="M116" i="21"/>
  <c r="N115" i="21"/>
  <c r="K115" i="21" s="1"/>
  <c r="M115" i="21"/>
  <c r="H115" i="21"/>
  <c r="N114" i="21"/>
  <c r="K114" i="21" s="1"/>
  <c r="M114" i="21"/>
  <c r="N113" i="21"/>
  <c r="K113" i="21" s="1"/>
  <c r="M113" i="21"/>
  <c r="H113" i="21"/>
  <c r="N112" i="21"/>
  <c r="P112" i="21" s="1"/>
  <c r="M112" i="21"/>
  <c r="K112" i="21"/>
  <c r="N111" i="21"/>
  <c r="P111" i="21" s="1"/>
  <c r="M111" i="21"/>
  <c r="K111" i="21"/>
  <c r="N110" i="21"/>
  <c r="P110" i="21" s="1"/>
  <c r="M110" i="21"/>
  <c r="K110" i="21"/>
  <c r="N109" i="21"/>
  <c r="P109" i="21" s="1"/>
  <c r="M109" i="21"/>
  <c r="K109" i="21"/>
  <c r="N108" i="21"/>
  <c r="P108" i="21" s="1"/>
  <c r="M108" i="21"/>
  <c r="K108" i="21"/>
  <c r="N107" i="21"/>
  <c r="P107" i="21" s="1"/>
  <c r="M107" i="21"/>
  <c r="K107" i="21"/>
  <c r="N106" i="21"/>
  <c r="P106" i="21" s="1"/>
  <c r="M106" i="21"/>
  <c r="K106" i="21"/>
  <c r="N105" i="21"/>
  <c r="P105" i="21" s="1"/>
  <c r="M105" i="21"/>
  <c r="K105" i="21"/>
  <c r="N104" i="21"/>
  <c r="P104" i="21" s="1"/>
  <c r="M104" i="21"/>
  <c r="K104" i="21"/>
  <c r="N103" i="21"/>
  <c r="P103" i="21" s="1"/>
  <c r="M103" i="21"/>
  <c r="K103" i="21"/>
  <c r="H103" i="21"/>
  <c r="N102" i="21"/>
  <c r="P102" i="21" s="1"/>
  <c r="M102" i="21"/>
  <c r="K102" i="21"/>
  <c r="N101" i="21"/>
  <c r="P101" i="21" s="1"/>
  <c r="M101" i="21"/>
  <c r="N100" i="21"/>
  <c r="P100" i="21" s="1"/>
  <c r="M100" i="21"/>
  <c r="N99" i="21"/>
  <c r="P99" i="21" s="1"/>
  <c r="M99" i="21"/>
  <c r="K99" i="21"/>
  <c r="N98" i="21"/>
  <c r="P98" i="21" s="1"/>
  <c r="M98" i="21"/>
  <c r="N97" i="21"/>
  <c r="P97" i="21" s="1"/>
  <c r="M97" i="21"/>
  <c r="N96" i="21"/>
  <c r="P96" i="21" s="1"/>
  <c r="M96" i="21"/>
  <c r="K96" i="21"/>
  <c r="N95" i="21"/>
  <c r="P95" i="21" s="1"/>
  <c r="M95" i="21"/>
  <c r="H95" i="21"/>
  <c r="N94" i="21"/>
  <c r="K94" i="21" s="1"/>
  <c r="M94" i="21"/>
  <c r="N93" i="21"/>
  <c r="K93" i="21" s="1"/>
  <c r="M93" i="21"/>
  <c r="N92" i="21"/>
  <c r="K92" i="21" s="1"/>
  <c r="M92" i="21"/>
  <c r="N91" i="21"/>
  <c r="K91" i="21" s="1"/>
  <c r="M91" i="21"/>
  <c r="N90" i="21"/>
  <c r="K90" i="21" s="1"/>
  <c r="M90" i="21"/>
  <c r="P89" i="21"/>
  <c r="N89" i="21"/>
  <c r="K89" i="21" s="1"/>
  <c r="M89" i="21"/>
  <c r="N88" i="21"/>
  <c r="K88" i="21" s="1"/>
  <c r="M88" i="21"/>
  <c r="N87" i="21"/>
  <c r="K87" i="21" s="1"/>
  <c r="M87" i="21"/>
  <c r="N86" i="21"/>
  <c r="K86" i="21" s="1"/>
  <c r="M86" i="21"/>
  <c r="N85" i="21"/>
  <c r="K85" i="21" s="1"/>
  <c r="M85" i="21"/>
  <c r="N84" i="21"/>
  <c r="K84" i="21" s="1"/>
  <c r="M84" i="21"/>
  <c r="N83" i="21"/>
  <c r="K83" i="21" s="1"/>
  <c r="M83" i="21"/>
  <c r="N82" i="21"/>
  <c r="K82" i="21" s="1"/>
  <c r="M82" i="21"/>
  <c r="P81" i="21"/>
  <c r="N81" i="21"/>
  <c r="K81" i="21" s="1"/>
  <c r="M81" i="21"/>
  <c r="H81" i="21"/>
  <c r="P80" i="21"/>
  <c r="N80" i="21"/>
  <c r="M80" i="21"/>
  <c r="K80" i="21"/>
  <c r="P79" i="21"/>
  <c r="N79" i="21"/>
  <c r="M79" i="21"/>
  <c r="K79" i="21"/>
  <c r="P78" i="21"/>
  <c r="N78" i="21"/>
  <c r="M78" i="21"/>
  <c r="K78" i="21"/>
  <c r="P77" i="21"/>
  <c r="N77" i="21"/>
  <c r="M77" i="21"/>
  <c r="K77" i="21"/>
  <c r="P76" i="21"/>
  <c r="N76" i="21"/>
  <c r="M76" i="21"/>
  <c r="K76" i="21"/>
  <c r="P75" i="21"/>
  <c r="N75" i="21"/>
  <c r="M75" i="21"/>
  <c r="K75" i="21"/>
  <c r="P74" i="21"/>
  <c r="N74" i="21"/>
  <c r="M74" i="21"/>
  <c r="K74" i="21"/>
  <c r="H74" i="21"/>
  <c r="N73" i="21"/>
  <c r="P73" i="21" s="1"/>
  <c r="M73" i="21"/>
  <c r="K73" i="21"/>
  <c r="N72" i="21"/>
  <c r="P72" i="21" s="1"/>
  <c r="M72" i="21"/>
  <c r="N71" i="21"/>
  <c r="P71" i="21" s="1"/>
  <c r="M71" i="21"/>
  <c r="N70" i="21"/>
  <c r="P70" i="21" s="1"/>
  <c r="M70" i="21"/>
  <c r="K70" i="21"/>
  <c r="N69" i="21"/>
  <c r="P69" i="21" s="1"/>
  <c r="M69" i="21"/>
  <c r="K69" i="21"/>
  <c r="N68" i="21"/>
  <c r="P68" i="21" s="1"/>
  <c r="M68" i="21"/>
  <c r="N67" i="21"/>
  <c r="P67" i="21" s="1"/>
  <c r="M67" i="21"/>
  <c r="N66" i="21"/>
  <c r="P66" i="21" s="1"/>
  <c r="M66" i="21"/>
  <c r="K66" i="21"/>
  <c r="N65" i="21"/>
  <c r="P65" i="21" s="1"/>
  <c r="M65" i="21"/>
  <c r="K65" i="21"/>
  <c r="N64" i="21"/>
  <c r="P64" i="21" s="1"/>
  <c r="M64" i="21"/>
  <c r="N63" i="21"/>
  <c r="P63" i="21" s="1"/>
  <c r="M63" i="21"/>
  <c r="N62" i="21"/>
  <c r="P62" i="21" s="1"/>
  <c r="M62" i="21"/>
  <c r="K62" i="21"/>
  <c r="N61" i="21"/>
  <c r="P61" i="21" s="1"/>
  <c r="M61" i="21"/>
  <c r="K61" i="21"/>
  <c r="H61" i="21"/>
  <c r="N60" i="21"/>
  <c r="P60" i="21" s="1"/>
  <c r="M60" i="21"/>
  <c r="N59" i="21"/>
  <c r="K59" i="21" s="1"/>
  <c r="M59" i="21"/>
  <c r="N58" i="21"/>
  <c r="P58" i="21" s="1"/>
  <c r="M58" i="21"/>
  <c r="H58" i="21"/>
  <c r="N57" i="21"/>
  <c r="K57" i="21" s="1"/>
  <c r="M57" i="21"/>
  <c r="N56" i="21"/>
  <c r="K56" i="21" s="1"/>
  <c r="M56" i="21"/>
  <c r="H56" i="21"/>
  <c r="N55" i="21"/>
  <c r="P55" i="21" s="1"/>
  <c r="M55" i="21"/>
  <c r="K55" i="21"/>
  <c r="N54" i="21"/>
  <c r="P54" i="21" s="1"/>
  <c r="M54" i="21"/>
  <c r="K54" i="21"/>
  <c r="N53" i="21"/>
  <c r="P53" i="21" s="1"/>
  <c r="M53" i="21"/>
  <c r="K53" i="21"/>
  <c r="H53" i="21"/>
  <c r="N52" i="21"/>
  <c r="P52" i="21" s="1"/>
  <c r="M52" i="21"/>
  <c r="K52" i="21"/>
  <c r="N51" i="21"/>
  <c r="P51" i="21" s="1"/>
  <c r="M51" i="21"/>
  <c r="K51" i="21"/>
  <c r="N50" i="21"/>
  <c r="P50" i="21" s="1"/>
  <c r="M50" i="21"/>
  <c r="H50" i="21"/>
  <c r="N49" i="21"/>
  <c r="K49" i="21" s="1"/>
  <c r="M49" i="21"/>
  <c r="N48" i="21"/>
  <c r="P48" i="21" s="1"/>
  <c r="M48" i="21"/>
  <c r="H48" i="21"/>
  <c r="N47" i="21"/>
  <c r="K47" i="21" s="1"/>
  <c r="M47" i="21"/>
  <c r="N46" i="21"/>
  <c r="K46" i="21" s="1"/>
  <c r="M46" i="21"/>
  <c r="N45" i="21"/>
  <c r="K45" i="21" s="1"/>
  <c r="M45" i="21"/>
  <c r="H45" i="21"/>
  <c r="P44" i="21"/>
  <c r="N44" i="21"/>
  <c r="M44" i="21"/>
  <c r="K44" i="21"/>
  <c r="P43" i="21"/>
  <c r="N43" i="21"/>
  <c r="M43" i="21"/>
  <c r="K43" i="21"/>
  <c r="P42" i="21"/>
  <c r="N42" i="21"/>
  <c r="M42" i="21"/>
  <c r="K42" i="21"/>
  <c r="H42" i="21"/>
  <c r="N41" i="21"/>
  <c r="P41" i="21" s="1"/>
  <c r="M41" i="21"/>
  <c r="K41" i="21"/>
  <c r="N40" i="21"/>
  <c r="P40" i="21" s="1"/>
  <c r="M40" i="21"/>
  <c r="N39" i="21"/>
  <c r="P39" i="21" s="1"/>
  <c r="M39" i="21"/>
  <c r="N38" i="21"/>
  <c r="P38" i="21" s="1"/>
  <c r="M38" i="21"/>
  <c r="K38" i="21"/>
  <c r="N37" i="21"/>
  <c r="P37" i="21" s="1"/>
  <c r="M37" i="21"/>
  <c r="K37" i="21"/>
  <c r="N36" i="21"/>
  <c r="P36" i="21" s="1"/>
  <c r="M36" i="21"/>
  <c r="N35" i="21"/>
  <c r="P35" i="21" s="1"/>
  <c r="M35" i="21"/>
  <c r="H35" i="21"/>
  <c r="N34" i="21"/>
  <c r="K34" i="21" s="1"/>
  <c r="M34" i="21"/>
  <c r="N33" i="21"/>
  <c r="P33" i="21" s="1"/>
  <c r="M33" i="21"/>
  <c r="N32" i="21"/>
  <c r="K32" i="21" s="1"/>
  <c r="M32" i="21"/>
  <c r="N31" i="21"/>
  <c r="P31" i="21" s="1"/>
  <c r="M31" i="21"/>
  <c r="N30" i="21"/>
  <c r="K30" i="21" s="1"/>
  <c r="M30" i="21"/>
  <c r="N29" i="21"/>
  <c r="P29" i="21" s="1"/>
  <c r="M29" i="21"/>
  <c r="N28" i="21"/>
  <c r="K28" i="21" s="1"/>
  <c r="M28" i="21"/>
  <c r="N27" i="21"/>
  <c r="P27" i="21" s="1"/>
  <c r="M27" i="21"/>
  <c r="N26" i="21"/>
  <c r="K26" i="21" s="1"/>
  <c r="M26" i="21"/>
  <c r="N25" i="21"/>
  <c r="P25" i="21" s="1"/>
  <c r="M25" i="21"/>
  <c r="H25" i="21"/>
  <c r="N24" i="21"/>
  <c r="K24" i="21" s="1"/>
  <c r="M24" i="21"/>
  <c r="N23" i="21"/>
  <c r="K23" i="21" s="1"/>
  <c r="M23" i="21"/>
  <c r="N22" i="21"/>
  <c r="K22" i="21" s="1"/>
  <c r="M22" i="21"/>
  <c r="N21" i="21"/>
  <c r="K21" i="21" s="1"/>
  <c r="M21" i="21"/>
  <c r="N20" i="21"/>
  <c r="K20" i="21" s="1"/>
  <c r="M20" i="21"/>
  <c r="N19" i="21"/>
  <c r="K19" i="21" s="1"/>
  <c r="M19" i="21"/>
  <c r="N18" i="21"/>
  <c r="K18" i="21" s="1"/>
  <c r="M18" i="21"/>
  <c r="N17" i="21"/>
  <c r="K17" i="21" s="1"/>
  <c r="M17" i="21"/>
  <c r="N16" i="21"/>
  <c r="K16" i="21" s="1"/>
  <c r="M16" i="21"/>
  <c r="H16" i="21"/>
  <c r="N15" i="21"/>
  <c r="K15" i="21" s="1"/>
  <c r="M15" i="21"/>
  <c r="N14" i="21"/>
  <c r="K14" i="21" s="1"/>
  <c r="M14" i="21"/>
  <c r="N13" i="21"/>
  <c r="K13" i="21" s="1"/>
  <c r="M13" i="21"/>
  <c r="N12" i="21"/>
  <c r="K12" i="21" s="1"/>
  <c r="M12" i="21"/>
  <c r="H12" i="21"/>
  <c r="N11" i="21"/>
  <c r="P11" i="21" s="1"/>
  <c r="M11" i="21"/>
  <c r="N10" i="21"/>
  <c r="P10" i="21" s="1"/>
  <c r="M10" i="21"/>
  <c r="N9" i="21"/>
  <c r="P9" i="21" s="1"/>
  <c r="M9" i="21"/>
  <c r="K9" i="21"/>
  <c r="N8" i="21"/>
  <c r="P8" i="21" s="1"/>
  <c r="M8" i="21"/>
  <c r="K8" i="21"/>
  <c r="N7" i="21"/>
  <c r="P7" i="21" s="1"/>
  <c r="M7" i="21"/>
  <c r="N6" i="21"/>
  <c r="P6" i="21" s="1"/>
  <c r="M6" i="21"/>
  <c r="N5" i="21"/>
  <c r="P5" i="21" s="1"/>
  <c r="M5" i="21"/>
  <c r="K5" i="21"/>
  <c r="H5" i="21"/>
  <c r="N4" i="21"/>
  <c r="P4" i="21" s="1"/>
  <c r="M4" i="21"/>
  <c r="N3" i="21"/>
  <c r="K3" i="21" s="1"/>
  <c r="M3" i="21"/>
  <c r="N2" i="21"/>
  <c r="P2" i="21" s="1"/>
  <c r="M2" i="21"/>
  <c r="P1232" i="16"/>
  <c r="M1232" i="16" s="1"/>
  <c r="P1231" i="16"/>
  <c r="M1231" i="16" s="1"/>
  <c r="P1230" i="16"/>
  <c r="M1230" i="16" s="1"/>
  <c r="P1229" i="16"/>
  <c r="M1229" i="16" s="1"/>
  <c r="P1228" i="16"/>
  <c r="M1228" i="16" s="1"/>
  <c r="P1227" i="16"/>
  <c r="M1227" i="16" s="1"/>
  <c r="P1234" i="16"/>
  <c r="M1234" i="16" s="1"/>
  <c r="P1233" i="16"/>
  <c r="M1233" i="16" s="1"/>
  <c r="P1226" i="16"/>
  <c r="R1226" i="16" s="1"/>
  <c r="I1226" i="16"/>
  <c r="P1200" i="16"/>
  <c r="M1200" i="16" s="1"/>
  <c r="P1199" i="16"/>
  <c r="M1199" i="16" s="1"/>
  <c r="P1198" i="16"/>
  <c r="M1198" i="16" s="1"/>
  <c r="P1197" i="16"/>
  <c r="M1197" i="16" s="1"/>
  <c r="P1201" i="16"/>
  <c r="M1201" i="16" s="1"/>
  <c r="P1196" i="16"/>
  <c r="M1196" i="16" s="1"/>
  <c r="P1115" i="16"/>
  <c r="M1115" i="16" s="1"/>
  <c r="P1108" i="16"/>
  <c r="M1108" i="16" s="1"/>
  <c r="P1109" i="16"/>
  <c r="R1109" i="16" s="1"/>
  <c r="P1110" i="16"/>
  <c r="R1110" i="16" s="1"/>
  <c r="P1111" i="16"/>
  <c r="R1111" i="16" s="1"/>
  <c r="P1112" i="16"/>
  <c r="R1112" i="16" s="1"/>
  <c r="P1113" i="16"/>
  <c r="R1113" i="16" s="1"/>
  <c r="P1114" i="16"/>
  <c r="R1114" i="16" s="1"/>
  <c r="P1107" i="16"/>
  <c r="M1107" i="16" s="1"/>
  <c r="P1106" i="16"/>
  <c r="M1106" i="16" s="1"/>
  <c r="P1105" i="16"/>
  <c r="M1105" i="16" s="1"/>
  <c r="P1104" i="16"/>
  <c r="M1104" i="16" s="1"/>
  <c r="P1117" i="16"/>
  <c r="M1117" i="16" s="1"/>
  <c r="P1116" i="16"/>
  <c r="M1116" i="16" s="1"/>
  <c r="P1103" i="16"/>
  <c r="M1103" i="16" s="1"/>
  <c r="P1102" i="16"/>
  <c r="M1102" i="16" s="1"/>
  <c r="P1101" i="16"/>
  <c r="M1101" i="16" s="1"/>
  <c r="P872" i="16"/>
  <c r="M872" i="16" s="1"/>
  <c r="P871" i="16"/>
  <c r="M871" i="16" s="1"/>
  <c r="P870" i="16"/>
  <c r="M870" i="16" s="1"/>
  <c r="P869" i="16"/>
  <c r="M869" i="16" s="1"/>
  <c r="P868" i="16"/>
  <c r="M868" i="16" s="1"/>
  <c r="P867" i="16"/>
  <c r="M867" i="16" s="1"/>
  <c r="I867" i="16"/>
  <c r="P681" i="16"/>
  <c r="M681" i="16" s="1"/>
  <c r="P680" i="16"/>
  <c r="M680" i="16" s="1"/>
  <c r="P679" i="16"/>
  <c r="M679" i="16" s="1"/>
  <c r="P678" i="16"/>
  <c r="R678" i="16" s="1"/>
  <c r="P586" i="16"/>
  <c r="M586" i="16" s="1"/>
  <c r="P585" i="16"/>
  <c r="M585" i="16" s="1"/>
  <c r="P584" i="16"/>
  <c r="M584" i="16" s="1"/>
  <c r="P581" i="16"/>
  <c r="M581" i="16" s="1"/>
  <c r="P583" i="16"/>
  <c r="M583" i="16" s="1"/>
  <c r="P582" i="16"/>
  <c r="M582" i="16" s="1"/>
  <c r="P580" i="16"/>
  <c r="R580" i="16" s="1"/>
  <c r="P579" i="16"/>
  <c r="M579" i="16" s="1"/>
  <c r="P578" i="16"/>
  <c r="M578" i="16" s="1"/>
  <c r="P577" i="16"/>
  <c r="R577" i="16" s="1"/>
  <c r="P576" i="16"/>
  <c r="M576" i="16" s="1"/>
  <c r="P575" i="16"/>
  <c r="R575" i="16" s="1"/>
  <c r="P574" i="16"/>
  <c r="M574" i="16" s="1"/>
  <c r="P573" i="16"/>
  <c r="M573" i="16" s="1"/>
  <c r="P193" i="16"/>
  <c r="M193" i="16" s="1"/>
  <c r="P192" i="16"/>
  <c r="M192" i="16" s="1"/>
  <c r="P191" i="16"/>
  <c r="M191" i="16" s="1"/>
  <c r="P190" i="16"/>
  <c r="M190" i="16" s="1"/>
  <c r="P189" i="16"/>
  <c r="M189" i="16" s="1"/>
  <c r="P188" i="16"/>
  <c r="R188" i="16" s="1"/>
  <c r="P187" i="16"/>
  <c r="M187" i="16" s="1"/>
  <c r="P68" i="16"/>
  <c r="M68" i="16" s="1"/>
  <c r="P66" i="16"/>
  <c r="M66" i="16" s="1"/>
  <c r="P65" i="16"/>
  <c r="M65" i="16" s="1"/>
  <c r="P67" i="16"/>
  <c r="M67" i="16" s="1"/>
  <c r="P64" i="16"/>
  <c r="M64" i="16" s="1"/>
  <c r="P479" i="21" l="1"/>
  <c r="K479" i="21"/>
  <c r="P742" i="21"/>
  <c r="K742" i="21"/>
  <c r="K750" i="21"/>
  <c r="P750" i="21"/>
  <c r="P813" i="21"/>
  <c r="K813" i="21"/>
  <c r="P860" i="21"/>
  <c r="K860" i="21"/>
  <c r="P894" i="21"/>
  <c r="K894" i="21"/>
  <c r="P897" i="21"/>
  <c r="K897" i="21"/>
  <c r="P902" i="21"/>
  <c r="K902" i="21"/>
  <c r="P905" i="21"/>
  <c r="K905" i="21"/>
  <c r="P1020" i="21"/>
  <c r="K1020" i="21"/>
  <c r="P1023" i="21"/>
  <c r="K1023" i="21"/>
  <c r="P1029" i="21"/>
  <c r="K1029" i="21"/>
  <c r="P1031" i="21"/>
  <c r="K1031" i="21"/>
  <c r="P1035" i="21"/>
  <c r="K1035" i="21"/>
  <c r="P1038" i="21"/>
  <c r="K1038" i="21"/>
  <c r="P1051" i="21"/>
  <c r="K1051" i="21"/>
  <c r="P1054" i="21"/>
  <c r="K1054" i="21"/>
  <c r="K1124" i="21"/>
  <c r="P1124" i="21"/>
  <c r="K1167" i="21"/>
  <c r="P1167" i="21"/>
  <c r="K24" i="22"/>
  <c r="P24" i="22"/>
  <c r="K82" i="22"/>
  <c r="P82" i="22"/>
  <c r="P110" i="22"/>
  <c r="K110" i="22"/>
  <c r="P133" i="22"/>
  <c r="K133" i="22"/>
  <c r="P265" i="22"/>
  <c r="K265" i="22"/>
  <c r="P269" i="22"/>
  <c r="K269" i="22"/>
  <c r="P273" i="22"/>
  <c r="K273" i="22"/>
  <c r="P277" i="22"/>
  <c r="K277" i="22"/>
  <c r="P281" i="22"/>
  <c r="K281" i="22"/>
  <c r="P287" i="22"/>
  <c r="K287" i="22"/>
  <c r="P291" i="22"/>
  <c r="K291" i="22"/>
  <c r="P295" i="22"/>
  <c r="K295" i="22"/>
  <c r="P381" i="22"/>
  <c r="K381" i="22"/>
  <c r="P385" i="22"/>
  <c r="K385" i="22"/>
  <c r="P387" i="22"/>
  <c r="K387" i="22"/>
  <c r="P391" i="22"/>
  <c r="K391" i="22"/>
  <c r="P573" i="22"/>
  <c r="K573" i="22"/>
  <c r="P590" i="22"/>
  <c r="K590" i="22"/>
  <c r="P637" i="22"/>
  <c r="K637" i="22"/>
  <c r="P648" i="22"/>
  <c r="K648" i="22"/>
  <c r="P651" i="22"/>
  <c r="K651" i="22"/>
  <c r="P662" i="22"/>
  <c r="K662" i="22"/>
  <c r="P717" i="22"/>
  <c r="K717" i="22"/>
  <c r="P730" i="22"/>
  <c r="K730" i="22"/>
  <c r="K738" i="22"/>
  <c r="P738" i="22"/>
  <c r="P743" i="22"/>
  <c r="K743" i="22"/>
  <c r="P814" i="22"/>
  <c r="K814" i="22"/>
  <c r="P817" i="22"/>
  <c r="K817" i="22"/>
  <c r="K826" i="22"/>
  <c r="P826" i="22"/>
  <c r="P922" i="22"/>
  <c r="K922" i="22"/>
  <c r="P984" i="22"/>
  <c r="K984" i="22"/>
  <c r="P987" i="22"/>
  <c r="K987" i="22"/>
  <c r="P1000" i="22"/>
  <c r="K1000" i="22"/>
  <c r="P1003" i="22"/>
  <c r="K1003" i="22"/>
  <c r="P1008" i="22"/>
  <c r="K1008" i="22"/>
  <c r="P1113" i="22"/>
  <c r="K1113" i="22"/>
  <c r="K1122" i="22"/>
  <c r="P1122" i="22"/>
  <c r="K1153" i="22"/>
  <c r="P1153" i="22"/>
  <c r="K1161" i="22"/>
  <c r="P1161" i="22"/>
  <c r="P1183" i="22"/>
  <c r="K1183" i="22"/>
  <c r="P12" i="21"/>
  <c r="P14" i="21"/>
  <c r="P91" i="21"/>
  <c r="P133" i="21"/>
  <c r="P135" i="21"/>
  <c r="P137" i="21"/>
  <c r="P139" i="21"/>
  <c r="P263" i="21"/>
  <c r="P265" i="21"/>
  <c r="P267" i="21"/>
  <c r="P269" i="21"/>
  <c r="P271" i="21"/>
  <c r="P273" i="21"/>
  <c r="P275" i="21"/>
  <c r="P277" i="21"/>
  <c r="P278" i="21"/>
  <c r="P280" i="21"/>
  <c r="P282" i="21"/>
  <c r="P284" i="21"/>
  <c r="P286" i="21"/>
  <c r="P287" i="21"/>
  <c r="P289" i="21"/>
  <c r="P291" i="21"/>
  <c r="P293" i="21"/>
  <c r="P294" i="21"/>
  <c r="P296" i="21"/>
  <c r="P466" i="21"/>
  <c r="K466" i="21"/>
  <c r="P483" i="21"/>
  <c r="P547" i="21"/>
  <c r="K547" i="21"/>
  <c r="P550" i="21"/>
  <c r="K550" i="21"/>
  <c r="P563" i="21"/>
  <c r="K563" i="21"/>
  <c r="P590" i="21"/>
  <c r="K590" i="21"/>
  <c r="P620" i="21"/>
  <c r="P637" i="21"/>
  <c r="P647" i="21"/>
  <c r="P651" i="21"/>
  <c r="P654" i="21"/>
  <c r="K654" i="21"/>
  <c r="P657" i="21"/>
  <c r="K657" i="21"/>
  <c r="P676" i="21"/>
  <c r="K676" i="21"/>
  <c r="P747" i="21"/>
  <c r="K747" i="21"/>
  <c r="P755" i="21"/>
  <c r="P768" i="21"/>
  <c r="K768" i="21"/>
  <c r="P772" i="21"/>
  <c r="K772" i="21"/>
  <c r="K849" i="21"/>
  <c r="P849" i="21"/>
  <c r="K926" i="21"/>
  <c r="P926" i="21"/>
  <c r="K934" i="21"/>
  <c r="P934" i="21"/>
  <c r="K942" i="21"/>
  <c r="P942" i="21"/>
  <c r="K950" i="21"/>
  <c r="P950" i="21"/>
  <c r="P956" i="21"/>
  <c r="K956" i="21"/>
  <c r="P969" i="21"/>
  <c r="K969" i="21"/>
  <c r="K1012" i="21"/>
  <c r="P1012" i="21"/>
  <c r="K1084" i="21"/>
  <c r="P1084" i="21"/>
  <c r="P1093" i="21"/>
  <c r="K1093" i="21"/>
  <c r="P1097" i="21"/>
  <c r="K1097" i="21"/>
  <c r="P1117" i="21"/>
  <c r="K1117" i="21"/>
  <c r="P1120" i="21"/>
  <c r="K1120" i="21"/>
  <c r="P1121" i="21"/>
  <c r="P1137" i="21"/>
  <c r="K1137" i="21"/>
  <c r="P1150" i="21"/>
  <c r="K1150" i="21"/>
  <c r="P1154" i="21"/>
  <c r="K1154" i="21"/>
  <c r="P1158" i="21"/>
  <c r="K1158" i="21"/>
  <c r="P1160" i="21"/>
  <c r="K1160" i="21"/>
  <c r="P1163" i="21"/>
  <c r="K1163" i="21"/>
  <c r="P1174" i="21"/>
  <c r="K1174" i="21"/>
  <c r="K1189" i="21"/>
  <c r="P1189" i="21"/>
  <c r="P15" i="22"/>
  <c r="K15" i="22"/>
  <c r="P43" i="22"/>
  <c r="K43" i="22"/>
  <c r="P46" i="22"/>
  <c r="P67" i="22"/>
  <c r="K67" i="22"/>
  <c r="P70" i="22"/>
  <c r="K70" i="22"/>
  <c r="P117" i="22"/>
  <c r="K151" i="22"/>
  <c r="P151" i="22"/>
  <c r="P175" i="22"/>
  <c r="P179" i="22"/>
  <c r="P254" i="22"/>
  <c r="K254" i="22"/>
  <c r="P257" i="22"/>
  <c r="K257" i="22"/>
  <c r="P353" i="22"/>
  <c r="K353" i="22"/>
  <c r="P356" i="22"/>
  <c r="K356" i="22"/>
  <c r="P361" i="22"/>
  <c r="K361" i="22"/>
  <c r="P364" i="22"/>
  <c r="K364" i="22"/>
  <c r="P377" i="22"/>
  <c r="K377" i="22"/>
  <c r="P420" i="22"/>
  <c r="K420" i="22"/>
  <c r="P423" i="22"/>
  <c r="K423" i="22"/>
  <c r="K456" i="22"/>
  <c r="P456" i="22"/>
  <c r="P503" i="22"/>
  <c r="K503" i="22"/>
  <c r="P513" i="22"/>
  <c r="K513" i="22"/>
  <c r="P541" i="22"/>
  <c r="K541" i="22"/>
  <c r="K556" i="22"/>
  <c r="P556" i="22"/>
  <c r="K572" i="22"/>
  <c r="P572" i="22"/>
  <c r="K810" i="22"/>
  <c r="P810" i="22"/>
  <c r="P876" i="22"/>
  <c r="K876" i="22"/>
  <c r="P887" i="22"/>
  <c r="P926" i="22"/>
  <c r="K926" i="22"/>
  <c r="P930" i="22"/>
  <c r="K930" i="22"/>
  <c r="P934" i="22"/>
  <c r="K934" i="22"/>
  <c r="P940" i="22"/>
  <c r="K940" i="22"/>
  <c r="P944" i="22"/>
  <c r="K944" i="22"/>
  <c r="P948" i="22"/>
  <c r="K948" i="22"/>
  <c r="P950" i="22"/>
  <c r="K950" i="22"/>
  <c r="P954" i="22"/>
  <c r="K954" i="22"/>
  <c r="P1024" i="22"/>
  <c r="K1024" i="22"/>
  <c r="P1026" i="22"/>
  <c r="K1026" i="22"/>
  <c r="P1030" i="22"/>
  <c r="K1030" i="22"/>
  <c r="P1034" i="22"/>
  <c r="K1034" i="22"/>
  <c r="P1144" i="22"/>
  <c r="K1144" i="22"/>
  <c r="P1150" i="22"/>
  <c r="P1179" i="22"/>
  <c r="K1179" i="22"/>
  <c r="K7" i="21"/>
  <c r="K36" i="21"/>
  <c r="K40" i="21"/>
  <c r="K6" i="21"/>
  <c r="K10" i="21"/>
  <c r="K35" i="21"/>
  <c r="K39" i="21"/>
  <c r="K63" i="21"/>
  <c r="K67" i="21"/>
  <c r="K71" i="21"/>
  <c r="P87" i="21"/>
  <c r="P113" i="21"/>
  <c r="P117" i="21"/>
  <c r="K119" i="21"/>
  <c r="K127" i="21"/>
  <c r="K141" i="21"/>
  <c r="K142" i="21"/>
  <c r="K143" i="21"/>
  <c r="K144" i="21"/>
  <c r="K145" i="21"/>
  <c r="K260" i="21"/>
  <c r="K351" i="21"/>
  <c r="K355" i="21"/>
  <c r="K359" i="21"/>
  <c r="K363" i="21"/>
  <c r="K367" i="21"/>
  <c r="K371" i="21"/>
  <c r="K375" i="21"/>
  <c r="K379" i="21"/>
  <c r="P388" i="21"/>
  <c r="K394" i="21"/>
  <c r="K411" i="21"/>
  <c r="K415" i="21"/>
  <c r="K419" i="21"/>
  <c r="K463" i="21"/>
  <c r="K473" i="21"/>
  <c r="P474" i="21"/>
  <c r="K474" i="21"/>
  <c r="P481" i="21"/>
  <c r="P485" i="21"/>
  <c r="P489" i="21"/>
  <c r="P546" i="21"/>
  <c r="K546" i="21"/>
  <c r="P551" i="21"/>
  <c r="K551" i="21"/>
  <c r="P554" i="21"/>
  <c r="K554" i="21"/>
  <c r="P559" i="21"/>
  <c r="K559" i="21"/>
  <c r="P562" i="21"/>
  <c r="K562" i="21"/>
  <c r="P567" i="21"/>
  <c r="K567" i="21"/>
  <c r="P570" i="21"/>
  <c r="K570" i="21"/>
  <c r="P591" i="21"/>
  <c r="K591" i="21"/>
  <c r="P593" i="21"/>
  <c r="K593" i="21"/>
  <c r="P618" i="21"/>
  <c r="P633" i="21"/>
  <c r="P639" i="21"/>
  <c r="K639" i="21"/>
  <c r="P645" i="21"/>
  <c r="P649" i="21"/>
  <c r="P653" i="21"/>
  <c r="K653" i="21"/>
  <c r="P658" i="21"/>
  <c r="K658" i="21"/>
  <c r="P661" i="21"/>
  <c r="K661" i="21"/>
  <c r="P677" i="21"/>
  <c r="K677" i="21"/>
  <c r="P680" i="21"/>
  <c r="K680" i="21"/>
  <c r="P685" i="21"/>
  <c r="K685" i="21"/>
  <c r="P688" i="21"/>
  <c r="K688" i="21"/>
  <c r="P748" i="21"/>
  <c r="K748" i="21"/>
  <c r="P751" i="21"/>
  <c r="P767" i="21"/>
  <c r="K767" i="21"/>
  <c r="P769" i="21"/>
  <c r="K769" i="21"/>
  <c r="P771" i="21"/>
  <c r="K771" i="21"/>
  <c r="P773" i="21"/>
  <c r="K773" i="21"/>
  <c r="K806" i="21"/>
  <c r="P806" i="21"/>
  <c r="P856" i="21"/>
  <c r="K856" i="21"/>
  <c r="P919" i="21"/>
  <c r="K919" i="21"/>
  <c r="K930" i="21"/>
  <c r="P930" i="21"/>
  <c r="K938" i="21"/>
  <c r="P938" i="21"/>
  <c r="K946" i="21"/>
  <c r="P946" i="21"/>
  <c r="K954" i="21"/>
  <c r="P954" i="21"/>
  <c r="P957" i="21"/>
  <c r="K957" i="21"/>
  <c r="P960" i="21"/>
  <c r="K960" i="21"/>
  <c r="P965" i="21"/>
  <c r="K965" i="21"/>
  <c r="P968" i="21"/>
  <c r="K968" i="21"/>
  <c r="K1016" i="21"/>
  <c r="P1016" i="21"/>
  <c r="K1060" i="21"/>
  <c r="P1060" i="21"/>
  <c r="K1076" i="21"/>
  <c r="P1076" i="21"/>
  <c r="P1094" i="21"/>
  <c r="K1094" i="21"/>
  <c r="P1096" i="21"/>
  <c r="K1096" i="21"/>
  <c r="P1098" i="21"/>
  <c r="K1098" i="21"/>
  <c r="P1101" i="21"/>
  <c r="K1101" i="21"/>
  <c r="P1104" i="21"/>
  <c r="K1104" i="21"/>
  <c r="P1105" i="21"/>
  <c r="P1125" i="21"/>
  <c r="P1138" i="21"/>
  <c r="K1138" i="21"/>
  <c r="K1141" i="21"/>
  <c r="P1141" i="21"/>
  <c r="P1151" i="21"/>
  <c r="K1151" i="21"/>
  <c r="P1153" i="21"/>
  <c r="K1153" i="21"/>
  <c r="P1155" i="21"/>
  <c r="K1155" i="21"/>
  <c r="P1157" i="21"/>
  <c r="K1157" i="21"/>
  <c r="P1159" i="21"/>
  <c r="K1159" i="21"/>
  <c r="P1161" i="21"/>
  <c r="K1161" i="21"/>
  <c r="K1185" i="21"/>
  <c r="P1185" i="21"/>
  <c r="P12" i="22"/>
  <c r="K12" i="22"/>
  <c r="P14" i="22"/>
  <c r="K14" i="22"/>
  <c r="P17" i="22"/>
  <c r="P42" i="22"/>
  <c r="K42" i="22"/>
  <c r="P44" i="22"/>
  <c r="K44" i="22"/>
  <c r="P63" i="22"/>
  <c r="K63" i="22"/>
  <c r="P66" i="22"/>
  <c r="K66" i="22"/>
  <c r="P71" i="22"/>
  <c r="K71" i="22"/>
  <c r="P83" i="22"/>
  <c r="P91" i="22"/>
  <c r="K147" i="22"/>
  <c r="P147" i="22"/>
  <c r="P169" i="22"/>
  <c r="P173" i="22"/>
  <c r="P177" i="22"/>
  <c r="P242" i="22"/>
  <c r="K242" i="22"/>
  <c r="P245" i="22"/>
  <c r="K245" i="22"/>
  <c r="P250" i="22"/>
  <c r="K250" i="22"/>
  <c r="P253" i="22"/>
  <c r="K253" i="22"/>
  <c r="P258" i="22"/>
  <c r="K258" i="22"/>
  <c r="P261" i="22"/>
  <c r="K261" i="22"/>
  <c r="P349" i="22"/>
  <c r="K349" i="22"/>
  <c r="P352" i="22"/>
  <c r="K352" i="22"/>
  <c r="P357" i="22"/>
  <c r="K357" i="22"/>
  <c r="P360" i="22"/>
  <c r="K360" i="22"/>
  <c r="P365" i="22"/>
  <c r="K365" i="22"/>
  <c r="P368" i="22"/>
  <c r="K368" i="22"/>
  <c r="P373" i="22"/>
  <c r="K373" i="22"/>
  <c r="P376" i="22"/>
  <c r="K376" i="22"/>
  <c r="P424" i="22"/>
  <c r="K424" i="22"/>
  <c r="P427" i="22"/>
  <c r="K427" i="22"/>
  <c r="P432" i="22"/>
  <c r="K432" i="22"/>
  <c r="P435" i="22"/>
  <c r="K435" i="22"/>
  <c r="P440" i="22"/>
  <c r="K440" i="22"/>
  <c r="P443" i="22"/>
  <c r="K443" i="22"/>
  <c r="K452" i="22"/>
  <c r="P452" i="22"/>
  <c r="K460" i="22"/>
  <c r="P460" i="22"/>
  <c r="P497" i="22"/>
  <c r="K497" i="22"/>
  <c r="P499" i="22"/>
  <c r="K499" i="22"/>
  <c r="P502" i="22"/>
  <c r="K502" i="22"/>
  <c r="P521" i="22"/>
  <c r="K521" i="22"/>
  <c r="P528" i="22"/>
  <c r="K528" i="22"/>
  <c r="P533" i="22"/>
  <c r="K533" i="22"/>
  <c r="K552" i="22"/>
  <c r="P552" i="22"/>
  <c r="K560" i="22"/>
  <c r="P560" i="22"/>
  <c r="K568" i="22"/>
  <c r="P568" i="22"/>
  <c r="K620" i="22"/>
  <c r="P620" i="22"/>
  <c r="K806" i="22"/>
  <c r="P806" i="22"/>
  <c r="K833" i="22"/>
  <c r="P833" i="22"/>
  <c r="K1081" i="22"/>
  <c r="P1081" i="22"/>
  <c r="P1087" i="22"/>
  <c r="K1087" i="22"/>
  <c r="P1092" i="22"/>
  <c r="K1092" i="22"/>
  <c r="P1093" i="22"/>
  <c r="P1108" i="22"/>
  <c r="K1108" i="22"/>
  <c r="P1111" i="22"/>
  <c r="K1111" i="22"/>
  <c r="P1129" i="22"/>
  <c r="K1129" i="22"/>
  <c r="K1132" i="22"/>
  <c r="P1132" i="22"/>
  <c r="P1154" i="22"/>
  <c r="P1165" i="22"/>
  <c r="P470" i="21"/>
  <c r="K470" i="21"/>
  <c r="P616" i="21"/>
  <c r="K616" i="21"/>
  <c r="K632" i="21"/>
  <c r="P632" i="21"/>
  <c r="K701" i="21"/>
  <c r="P701" i="21"/>
  <c r="P739" i="21"/>
  <c r="K739" i="21"/>
  <c r="P862" i="21"/>
  <c r="K862" i="21"/>
  <c r="P889" i="21"/>
  <c r="K889" i="21"/>
  <c r="P910" i="21"/>
  <c r="K910" i="21"/>
  <c r="P913" i="21"/>
  <c r="K913" i="21"/>
  <c r="P1025" i="21"/>
  <c r="K1025" i="21"/>
  <c r="P1027" i="21"/>
  <c r="K1027" i="21"/>
  <c r="P1033" i="21"/>
  <c r="K1033" i="21"/>
  <c r="P1043" i="21"/>
  <c r="K1043" i="21"/>
  <c r="P1046" i="21"/>
  <c r="K1046" i="21"/>
  <c r="P8" i="22"/>
  <c r="K8" i="22"/>
  <c r="P11" i="22"/>
  <c r="K11" i="22"/>
  <c r="K16" i="22"/>
  <c r="P16" i="22"/>
  <c r="P38" i="22"/>
  <c r="K38" i="22"/>
  <c r="P41" i="22"/>
  <c r="K41" i="22"/>
  <c r="P50" i="22"/>
  <c r="K50" i="22"/>
  <c r="K90" i="22"/>
  <c r="P90" i="22"/>
  <c r="P105" i="22"/>
  <c r="K105" i="22"/>
  <c r="P138" i="22"/>
  <c r="K138" i="22"/>
  <c r="P165" i="22"/>
  <c r="K165" i="22"/>
  <c r="P263" i="22"/>
  <c r="K263" i="22"/>
  <c r="P267" i="22"/>
  <c r="K267" i="22"/>
  <c r="P271" i="22"/>
  <c r="K271" i="22"/>
  <c r="P275" i="22"/>
  <c r="K275" i="22"/>
  <c r="P279" i="22"/>
  <c r="K279" i="22"/>
  <c r="P283" i="22"/>
  <c r="K283" i="22"/>
  <c r="P285" i="22"/>
  <c r="K285" i="22"/>
  <c r="P289" i="22"/>
  <c r="K289" i="22"/>
  <c r="P293" i="22"/>
  <c r="K293" i="22"/>
  <c r="P383" i="22"/>
  <c r="K383" i="22"/>
  <c r="P389" i="22"/>
  <c r="K389" i="22"/>
  <c r="P575" i="22"/>
  <c r="K575" i="22"/>
  <c r="P593" i="22"/>
  <c r="K593" i="22"/>
  <c r="P611" i="22"/>
  <c r="K611" i="22"/>
  <c r="P671" i="22"/>
  <c r="K671" i="22"/>
  <c r="P722" i="22"/>
  <c r="K722" i="22"/>
  <c r="P725" i="22"/>
  <c r="K725" i="22"/>
  <c r="P733" i="22"/>
  <c r="K733" i="22"/>
  <c r="P798" i="22"/>
  <c r="K798" i="22"/>
  <c r="P992" i="22"/>
  <c r="K992" i="22"/>
  <c r="P995" i="22"/>
  <c r="K995" i="22"/>
  <c r="P1022" i="22"/>
  <c r="K1022" i="22"/>
  <c r="K1067" i="22"/>
  <c r="P1067" i="22"/>
  <c r="K1105" i="22"/>
  <c r="P1105" i="22"/>
  <c r="P1115" i="22"/>
  <c r="K1115" i="22"/>
  <c r="P13" i="21"/>
  <c r="P15" i="21"/>
  <c r="P83" i="21"/>
  <c r="P134" i="21"/>
  <c r="P136" i="21"/>
  <c r="P138" i="21"/>
  <c r="P140" i="21"/>
  <c r="P262" i="21"/>
  <c r="P264" i="21"/>
  <c r="P266" i="21"/>
  <c r="P268" i="21"/>
  <c r="P270" i="21"/>
  <c r="P272" i="21"/>
  <c r="P274" i="21"/>
  <c r="P276" i="21"/>
  <c r="P279" i="21"/>
  <c r="P281" i="21"/>
  <c r="P283" i="21"/>
  <c r="P285" i="21"/>
  <c r="P288" i="21"/>
  <c r="P290" i="21"/>
  <c r="P292" i="21"/>
  <c r="P295" i="21"/>
  <c r="P487" i="21"/>
  <c r="P491" i="21"/>
  <c r="P555" i="21"/>
  <c r="K555" i="21"/>
  <c r="P558" i="21"/>
  <c r="K558" i="21"/>
  <c r="P566" i="21"/>
  <c r="K566" i="21"/>
  <c r="P571" i="21"/>
  <c r="K571" i="21"/>
  <c r="K583" i="21"/>
  <c r="P583" i="21"/>
  <c r="P592" i="21"/>
  <c r="K592" i="21"/>
  <c r="K609" i="21"/>
  <c r="P609" i="21"/>
  <c r="P681" i="21"/>
  <c r="K681" i="21"/>
  <c r="P684" i="21"/>
  <c r="K684" i="21"/>
  <c r="P689" i="21"/>
  <c r="K689" i="21"/>
  <c r="P749" i="21"/>
  <c r="K749" i="21"/>
  <c r="P766" i="21"/>
  <c r="K766" i="21"/>
  <c r="P770" i="21"/>
  <c r="K770" i="21"/>
  <c r="P918" i="21"/>
  <c r="K918" i="21"/>
  <c r="P961" i="21"/>
  <c r="K961" i="21"/>
  <c r="P964" i="21"/>
  <c r="K964" i="21"/>
  <c r="K1068" i="21"/>
  <c r="P1068" i="21"/>
  <c r="P1095" i="21"/>
  <c r="K1095" i="21"/>
  <c r="P1100" i="21"/>
  <c r="K1100" i="21"/>
  <c r="P1152" i="21"/>
  <c r="K1152" i="21"/>
  <c r="P1156" i="21"/>
  <c r="K1156" i="21"/>
  <c r="P1164" i="21"/>
  <c r="K1177" i="21"/>
  <c r="P1177" i="21"/>
  <c r="P13" i="22"/>
  <c r="K13" i="22"/>
  <c r="P21" i="22"/>
  <c r="P62" i="22"/>
  <c r="K62" i="22"/>
  <c r="P87" i="22"/>
  <c r="P171" i="22"/>
  <c r="P246" i="22"/>
  <c r="K246" i="22"/>
  <c r="P249" i="22"/>
  <c r="K249" i="22"/>
  <c r="P369" i="22"/>
  <c r="K369" i="22"/>
  <c r="P372" i="22"/>
  <c r="K372" i="22"/>
  <c r="P380" i="22"/>
  <c r="K380" i="22"/>
  <c r="P428" i="22"/>
  <c r="K428" i="22"/>
  <c r="P431" i="22"/>
  <c r="K431" i="22"/>
  <c r="P436" i="22"/>
  <c r="K436" i="22"/>
  <c r="P439" i="22"/>
  <c r="K439" i="22"/>
  <c r="P444" i="22"/>
  <c r="K444" i="22"/>
  <c r="K448" i="22"/>
  <c r="P448" i="22"/>
  <c r="P493" i="22"/>
  <c r="K493" i="22"/>
  <c r="P506" i="22"/>
  <c r="K506" i="22"/>
  <c r="P520" i="22"/>
  <c r="K520" i="22"/>
  <c r="P545" i="22"/>
  <c r="K545" i="22"/>
  <c r="K548" i="22"/>
  <c r="P548" i="22"/>
  <c r="K564" i="22"/>
  <c r="P564" i="22"/>
  <c r="K792" i="22"/>
  <c r="P792" i="22"/>
  <c r="P881" i="22"/>
  <c r="K881" i="22"/>
  <c r="P884" i="22"/>
  <c r="K884" i="22"/>
  <c r="P924" i="22"/>
  <c r="K924" i="22"/>
  <c r="P928" i="22"/>
  <c r="K928" i="22"/>
  <c r="P932" i="22"/>
  <c r="K932" i="22"/>
  <c r="P936" i="22"/>
  <c r="K936" i="22"/>
  <c r="P938" i="22"/>
  <c r="K938" i="22"/>
  <c r="P942" i="22"/>
  <c r="K942" i="22"/>
  <c r="P946" i="22"/>
  <c r="K946" i="22"/>
  <c r="P952" i="22"/>
  <c r="K952" i="22"/>
  <c r="P1028" i="22"/>
  <c r="K1028" i="22"/>
  <c r="P1032" i="22"/>
  <c r="K1032" i="22"/>
  <c r="P1036" i="22"/>
  <c r="K1036" i="22"/>
  <c r="P1062" i="22"/>
  <c r="P1097" i="22"/>
  <c r="P1149" i="22"/>
  <c r="K1149" i="22"/>
  <c r="P1158" i="22"/>
  <c r="K11" i="21"/>
  <c r="K50" i="21"/>
  <c r="K64" i="21"/>
  <c r="K68" i="21"/>
  <c r="K72" i="21"/>
  <c r="P85" i="21"/>
  <c r="P93" i="21"/>
  <c r="K95" i="21"/>
  <c r="K98" i="21"/>
  <c r="P114" i="21"/>
  <c r="P115" i="21"/>
  <c r="K120" i="21"/>
  <c r="K128" i="21"/>
  <c r="K261" i="21"/>
  <c r="K352" i="21"/>
  <c r="K356" i="21"/>
  <c r="K360" i="21"/>
  <c r="K364" i="21"/>
  <c r="K368" i="21"/>
  <c r="K372" i="21"/>
  <c r="K376" i="21"/>
  <c r="K380" i="21"/>
  <c r="P384" i="21"/>
  <c r="K395" i="21"/>
  <c r="K412" i="21"/>
  <c r="K416" i="21"/>
  <c r="P462" i="21"/>
  <c r="K462" i="21"/>
  <c r="K467" i="21"/>
  <c r="P478" i="21"/>
  <c r="K478" i="21"/>
  <c r="P482" i="21"/>
  <c r="P486" i="21"/>
  <c r="P490" i="21"/>
  <c r="P586" i="21"/>
  <c r="K586" i="21"/>
  <c r="P589" i="21"/>
  <c r="K589" i="21"/>
  <c r="P615" i="21"/>
  <c r="K615" i="21"/>
  <c r="P619" i="21"/>
  <c r="K636" i="21"/>
  <c r="P636" i="21"/>
  <c r="P646" i="21"/>
  <c r="P650" i="21"/>
  <c r="P713" i="21"/>
  <c r="P743" i="21"/>
  <c r="K743" i="21"/>
  <c r="P746" i="21"/>
  <c r="K746" i="21"/>
  <c r="K754" i="21"/>
  <c r="P754" i="21"/>
  <c r="P762" i="21"/>
  <c r="K762" i="21"/>
  <c r="P765" i="21"/>
  <c r="K765" i="21"/>
  <c r="P776" i="21"/>
  <c r="P807" i="21"/>
  <c r="P814" i="21"/>
  <c r="K814" i="21"/>
  <c r="P859" i="21"/>
  <c r="K859" i="21"/>
  <c r="P863" i="21"/>
  <c r="K863" i="21"/>
  <c r="K887" i="21"/>
  <c r="P887" i="21"/>
  <c r="P890" i="21"/>
  <c r="K890" i="21"/>
  <c r="P893" i="21"/>
  <c r="K893" i="21"/>
  <c r="P898" i="21"/>
  <c r="K898" i="21"/>
  <c r="P901" i="21"/>
  <c r="K901" i="21"/>
  <c r="P906" i="21"/>
  <c r="K906" i="21"/>
  <c r="P909" i="21"/>
  <c r="K909" i="21"/>
  <c r="P914" i="21"/>
  <c r="K914" i="21"/>
  <c r="P917" i="21"/>
  <c r="K917" i="21"/>
  <c r="P923" i="21"/>
  <c r="P931" i="21"/>
  <c r="P939" i="21"/>
  <c r="P947" i="21"/>
  <c r="P955" i="21"/>
  <c r="P1017" i="21"/>
  <c r="P1024" i="21"/>
  <c r="K1024" i="21"/>
  <c r="P1026" i="21"/>
  <c r="K1026" i="21"/>
  <c r="P1028" i="21"/>
  <c r="K1028" i="21"/>
  <c r="P1030" i="21"/>
  <c r="K1030" i="21"/>
  <c r="P1032" i="21"/>
  <c r="K1032" i="21"/>
  <c r="P1034" i="21"/>
  <c r="K1034" i="21"/>
  <c r="P1036" i="21"/>
  <c r="K1036" i="21"/>
  <c r="P1039" i="21"/>
  <c r="K1039" i="21"/>
  <c r="P1042" i="21"/>
  <c r="K1042" i="21"/>
  <c r="P1047" i="21"/>
  <c r="K1047" i="21"/>
  <c r="P1050" i="21"/>
  <c r="K1050" i="21"/>
  <c r="P1055" i="21"/>
  <c r="K1055" i="21"/>
  <c r="P1061" i="21"/>
  <c r="P1077" i="21"/>
  <c r="P1086" i="21"/>
  <c r="K1086" i="21"/>
  <c r="P1092" i="21"/>
  <c r="K1092" i="21"/>
  <c r="P1142" i="21"/>
  <c r="P1182" i="21"/>
  <c r="K1182" i="21"/>
  <c r="P1186" i="21"/>
  <c r="P7" i="22"/>
  <c r="K7" i="22"/>
  <c r="K20" i="22"/>
  <c r="P20" i="22"/>
  <c r="P37" i="22"/>
  <c r="K37" i="22"/>
  <c r="K45" i="22"/>
  <c r="P45" i="22"/>
  <c r="P51" i="22"/>
  <c r="K51" i="22"/>
  <c r="K86" i="22"/>
  <c r="P86" i="22"/>
  <c r="K94" i="22"/>
  <c r="P94" i="22"/>
  <c r="P106" i="22"/>
  <c r="K106" i="22"/>
  <c r="P109" i="22"/>
  <c r="K109" i="22"/>
  <c r="K116" i="22"/>
  <c r="P116" i="22"/>
  <c r="P134" i="22"/>
  <c r="K134" i="22"/>
  <c r="P137" i="22"/>
  <c r="K137" i="22"/>
  <c r="P148" i="22"/>
  <c r="P157" i="22"/>
  <c r="K157" i="22"/>
  <c r="P164" i="22"/>
  <c r="K164" i="22"/>
  <c r="P170" i="22"/>
  <c r="P174" i="22"/>
  <c r="P178" i="22"/>
  <c r="P262" i="22"/>
  <c r="K262" i="22"/>
  <c r="P264" i="22"/>
  <c r="K264" i="22"/>
  <c r="P266" i="22"/>
  <c r="K266" i="22"/>
  <c r="P268" i="22"/>
  <c r="K268" i="22"/>
  <c r="P270" i="22"/>
  <c r="K270" i="22"/>
  <c r="P272" i="22"/>
  <c r="K272" i="22"/>
  <c r="P274" i="22"/>
  <c r="K274" i="22"/>
  <c r="P276" i="22"/>
  <c r="K276" i="22"/>
  <c r="P278" i="22"/>
  <c r="K278" i="22"/>
  <c r="P280" i="22"/>
  <c r="K280" i="22"/>
  <c r="P282" i="22"/>
  <c r="K282" i="22"/>
  <c r="P284" i="22"/>
  <c r="K284" i="22"/>
  <c r="P286" i="22"/>
  <c r="K286" i="22"/>
  <c r="P288" i="22"/>
  <c r="K288" i="22"/>
  <c r="P290" i="22"/>
  <c r="K290" i="22"/>
  <c r="P292" i="22"/>
  <c r="K292" i="22"/>
  <c r="P294" i="22"/>
  <c r="K294" i="22"/>
  <c r="P296" i="22"/>
  <c r="K296" i="22"/>
  <c r="P382" i="22"/>
  <c r="K382" i="22"/>
  <c r="P384" i="22"/>
  <c r="K384" i="22"/>
  <c r="P386" i="22"/>
  <c r="K386" i="22"/>
  <c r="P388" i="22"/>
  <c r="K388" i="22"/>
  <c r="P390" i="22"/>
  <c r="K390" i="22"/>
  <c r="P453" i="22"/>
  <c r="P461" i="22"/>
  <c r="K510" i="22"/>
  <c r="P510" i="22"/>
  <c r="P553" i="22"/>
  <c r="P561" i="22"/>
  <c r="P569" i="22"/>
  <c r="P621" i="22"/>
  <c r="P622" i="22"/>
  <c r="K624" i="22"/>
  <c r="P624" i="22"/>
  <c r="P807" i="22"/>
  <c r="P841" i="22"/>
  <c r="K841" i="22"/>
  <c r="K855" i="22"/>
  <c r="P855" i="22"/>
  <c r="P866" i="22"/>
  <c r="K886" i="22"/>
  <c r="P886" i="22"/>
  <c r="K1096" i="22"/>
  <c r="P1096" i="22"/>
  <c r="P1133" i="22"/>
  <c r="K1143" i="22"/>
  <c r="P1143" i="22"/>
  <c r="K1157" i="22"/>
  <c r="P1157" i="22"/>
  <c r="K1176" i="22"/>
  <c r="P1176" i="22"/>
  <c r="P582" i="21"/>
  <c r="P608" i="21"/>
  <c r="P612" i="21"/>
  <c r="P635" i="21"/>
  <c r="P665" i="21"/>
  <c r="P705" i="21"/>
  <c r="P753" i="21"/>
  <c r="P757" i="21"/>
  <c r="P780" i="21"/>
  <c r="P811" i="21"/>
  <c r="P848" i="21"/>
  <c r="P886" i="21"/>
  <c r="P925" i="21"/>
  <c r="P929" i="21"/>
  <c r="P933" i="21"/>
  <c r="P937" i="21"/>
  <c r="P941" i="21"/>
  <c r="P945" i="21"/>
  <c r="P949" i="21"/>
  <c r="P953" i="21"/>
  <c r="P1011" i="21"/>
  <c r="P1015" i="21"/>
  <c r="P1065" i="21"/>
  <c r="P1073" i="21"/>
  <c r="P1081" i="21"/>
  <c r="P1123" i="21"/>
  <c r="P1140" i="21"/>
  <c r="P1166" i="21"/>
  <c r="P1176" i="21"/>
  <c r="P1188" i="21"/>
  <c r="P1192" i="21"/>
  <c r="P19" i="22"/>
  <c r="P23" i="22"/>
  <c r="P57" i="22"/>
  <c r="P81" i="22"/>
  <c r="P85" i="22"/>
  <c r="P89" i="22"/>
  <c r="P93" i="22"/>
  <c r="P115" i="22"/>
  <c r="P146" i="22"/>
  <c r="P150" i="22"/>
  <c r="P447" i="22"/>
  <c r="P451" i="22"/>
  <c r="P455" i="22"/>
  <c r="P459" i="22"/>
  <c r="P494" i="22"/>
  <c r="K494" i="22"/>
  <c r="P536" i="22"/>
  <c r="K536" i="22"/>
  <c r="P547" i="22"/>
  <c r="P551" i="22"/>
  <c r="P555" i="22"/>
  <c r="P559" i="22"/>
  <c r="P563" i="22"/>
  <c r="P567" i="22"/>
  <c r="P571" i="22"/>
  <c r="P574" i="22"/>
  <c r="K574" i="22"/>
  <c r="P576" i="22"/>
  <c r="K576" i="22"/>
  <c r="P584" i="22"/>
  <c r="K584" i="22"/>
  <c r="P608" i="22"/>
  <c r="K608" i="22"/>
  <c r="P619" i="22"/>
  <c r="P630" i="22"/>
  <c r="K656" i="22"/>
  <c r="P656" i="22"/>
  <c r="P799" i="22"/>
  <c r="K799" i="22"/>
  <c r="P805" i="22"/>
  <c r="P809" i="22"/>
  <c r="P813" i="22"/>
  <c r="K813" i="22"/>
  <c r="P818" i="22"/>
  <c r="K818" i="22"/>
  <c r="K825" i="22"/>
  <c r="P825" i="22"/>
  <c r="P858" i="22"/>
  <c r="P923" i="22"/>
  <c r="K923" i="22"/>
  <c r="P925" i="22"/>
  <c r="K925" i="22"/>
  <c r="P927" i="22"/>
  <c r="K927" i="22"/>
  <c r="P929" i="22"/>
  <c r="K929" i="22"/>
  <c r="P931" i="22"/>
  <c r="K931" i="22"/>
  <c r="P933" i="22"/>
  <c r="K933" i="22"/>
  <c r="P935" i="22"/>
  <c r="K935" i="22"/>
  <c r="P937" i="22"/>
  <c r="K937" i="22"/>
  <c r="P939" i="22"/>
  <c r="K939" i="22"/>
  <c r="P941" i="22"/>
  <c r="K941" i="22"/>
  <c r="P943" i="22"/>
  <c r="K943" i="22"/>
  <c r="P945" i="22"/>
  <c r="K945" i="22"/>
  <c r="P947" i="22"/>
  <c r="K947" i="22"/>
  <c r="P949" i="22"/>
  <c r="K949" i="22"/>
  <c r="P951" i="22"/>
  <c r="K951" i="22"/>
  <c r="P953" i="22"/>
  <c r="K953" i="22"/>
  <c r="P955" i="22"/>
  <c r="K955" i="22"/>
  <c r="P1023" i="22"/>
  <c r="K1023" i="22"/>
  <c r="P1025" i="22"/>
  <c r="K1025" i="22"/>
  <c r="P1027" i="22"/>
  <c r="K1027" i="22"/>
  <c r="P1029" i="22"/>
  <c r="K1029" i="22"/>
  <c r="P1031" i="22"/>
  <c r="K1031" i="22"/>
  <c r="P1033" i="22"/>
  <c r="K1033" i="22"/>
  <c r="P1035" i="22"/>
  <c r="K1035" i="22"/>
  <c r="P1070" i="22"/>
  <c r="P1082" i="22"/>
  <c r="P1088" i="22"/>
  <c r="K1088" i="22"/>
  <c r="P1091" i="22"/>
  <c r="K1091" i="22"/>
  <c r="P1095" i="22"/>
  <c r="P1106" i="22"/>
  <c r="P1112" i="22"/>
  <c r="K1112" i="22"/>
  <c r="P1114" i="22"/>
  <c r="K1114" i="22"/>
  <c r="P1116" i="22"/>
  <c r="K1116" i="22"/>
  <c r="P1131" i="22"/>
  <c r="K1142" i="22"/>
  <c r="P1142" i="22"/>
  <c r="P1145" i="22"/>
  <c r="K1145" i="22"/>
  <c r="P1148" i="22"/>
  <c r="K1148" i="22"/>
  <c r="P1152" i="22"/>
  <c r="P1156" i="22"/>
  <c r="P1160" i="22"/>
  <c r="P1177" i="22"/>
  <c r="P1181" i="22"/>
  <c r="P498" i="22"/>
  <c r="K498" i="22"/>
  <c r="P512" i="22"/>
  <c r="K512" i="22"/>
  <c r="P544" i="22"/>
  <c r="K544" i="22"/>
  <c r="K577" i="22"/>
  <c r="P577" i="22"/>
  <c r="P636" i="22"/>
  <c r="K636" i="22"/>
  <c r="P647" i="22"/>
  <c r="K647" i="22"/>
  <c r="P652" i="22"/>
  <c r="K652" i="22"/>
  <c r="P663" i="22"/>
  <c r="K663" i="22"/>
  <c r="P670" i="22"/>
  <c r="K670" i="22"/>
  <c r="P718" i="22"/>
  <c r="K718" i="22"/>
  <c r="P721" i="22"/>
  <c r="K721" i="22"/>
  <c r="P726" i="22"/>
  <c r="K726" i="22"/>
  <c r="P729" i="22"/>
  <c r="K729" i="22"/>
  <c r="P742" i="22"/>
  <c r="K742" i="22"/>
  <c r="P762" i="22"/>
  <c r="K762" i="22"/>
  <c r="P840" i="22"/>
  <c r="K840" i="22"/>
  <c r="K863" i="22"/>
  <c r="P863" i="22"/>
  <c r="P877" i="22"/>
  <c r="K877" i="22"/>
  <c r="P880" i="22"/>
  <c r="K880" i="22"/>
  <c r="P885" i="22"/>
  <c r="K885" i="22"/>
  <c r="P988" i="22"/>
  <c r="K988" i="22"/>
  <c r="P991" i="22"/>
  <c r="K991" i="22"/>
  <c r="P996" i="22"/>
  <c r="K996" i="22"/>
  <c r="P999" i="22"/>
  <c r="K999" i="22"/>
  <c r="P1004" i="22"/>
  <c r="K1004" i="22"/>
  <c r="P1007" i="22"/>
  <c r="K1007" i="22"/>
  <c r="K1059" i="22"/>
  <c r="P1059" i="22"/>
  <c r="K1075" i="22"/>
  <c r="P1075" i="22"/>
  <c r="P1107" i="22"/>
  <c r="K1107" i="22"/>
  <c r="P1128" i="22"/>
  <c r="K1128" i="22"/>
  <c r="K1164" i="22"/>
  <c r="P1164" i="22"/>
  <c r="P1178" i="22"/>
  <c r="K1178" i="22"/>
  <c r="P1182" i="22"/>
  <c r="K1182" i="22"/>
  <c r="P579" i="22"/>
  <c r="P597" i="22"/>
  <c r="P626" i="22"/>
  <c r="P660" i="22"/>
  <c r="P759" i="22"/>
  <c r="P788" i="22"/>
  <c r="P822" i="22"/>
  <c r="P830" i="22"/>
  <c r="P838" i="22"/>
  <c r="P854" i="22"/>
  <c r="P862" i="22"/>
  <c r="P1058" i="22"/>
  <c r="P1066" i="22"/>
  <c r="P1074" i="22"/>
  <c r="P1080" i="22"/>
  <c r="P1084" i="22"/>
  <c r="P1121" i="22"/>
  <c r="P1125" i="22"/>
  <c r="P1141" i="22"/>
  <c r="P1167" i="22"/>
  <c r="K2" i="22"/>
  <c r="K3" i="22"/>
  <c r="K4" i="22"/>
  <c r="K25" i="22"/>
  <c r="K26" i="22"/>
  <c r="K27" i="22"/>
  <c r="K28" i="22"/>
  <c r="K29" i="22"/>
  <c r="K30" i="22"/>
  <c r="K31" i="22"/>
  <c r="K32" i="22"/>
  <c r="K33" i="22"/>
  <c r="K34" i="22"/>
  <c r="K48" i="22"/>
  <c r="K49" i="22"/>
  <c r="K58" i="22"/>
  <c r="K59" i="22"/>
  <c r="K60" i="22"/>
  <c r="K95" i="22"/>
  <c r="K96" i="22"/>
  <c r="K97" i="22"/>
  <c r="K98" i="22"/>
  <c r="K99" i="22"/>
  <c r="K100" i="22"/>
  <c r="K101" i="22"/>
  <c r="K102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P155" i="22"/>
  <c r="K158" i="22"/>
  <c r="K162" i="22"/>
  <c r="K166" i="22"/>
  <c r="K180" i="22"/>
  <c r="K181" i="22"/>
  <c r="K182" i="22"/>
  <c r="K183" i="22"/>
  <c r="K184" i="22"/>
  <c r="K185" i="22"/>
  <c r="K186" i="22"/>
  <c r="K187" i="22"/>
  <c r="K188" i="22"/>
  <c r="K189" i="22"/>
  <c r="K190" i="22"/>
  <c r="K191" i="22"/>
  <c r="K192" i="22"/>
  <c r="K193" i="22"/>
  <c r="K194" i="22"/>
  <c r="K195" i="22"/>
  <c r="K196" i="22"/>
  <c r="K197" i="22"/>
  <c r="K198" i="22"/>
  <c r="P202" i="22"/>
  <c r="K297" i="22"/>
  <c r="P297" i="22"/>
  <c r="K299" i="22"/>
  <c r="P299" i="22"/>
  <c r="K301" i="22"/>
  <c r="P301" i="22"/>
  <c r="K303" i="22"/>
  <c r="P303" i="22"/>
  <c r="K305" i="22"/>
  <c r="P305" i="22"/>
  <c r="K307" i="22"/>
  <c r="P307" i="22"/>
  <c r="K309" i="22"/>
  <c r="P309" i="22"/>
  <c r="K311" i="22"/>
  <c r="P311" i="22"/>
  <c r="K313" i="22"/>
  <c r="P313" i="22"/>
  <c r="K315" i="22"/>
  <c r="P315" i="22"/>
  <c r="K317" i="22"/>
  <c r="P317" i="22"/>
  <c r="K319" i="22"/>
  <c r="P319" i="22"/>
  <c r="K321" i="22"/>
  <c r="P321" i="22"/>
  <c r="K323" i="22"/>
  <c r="P323" i="22"/>
  <c r="K325" i="22"/>
  <c r="P325" i="22"/>
  <c r="K327" i="22"/>
  <c r="P327" i="22"/>
  <c r="K329" i="22"/>
  <c r="P329" i="22"/>
  <c r="K331" i="22"/>
  <c r="P331" i="22"/>
  <c r="P204" i="22"/>
  <c r="K204" i="22"/>
  <c r="P206" i="22"/>
  <c r="K206" i="22"/>
  <c r="P208" i="22"/>
  <c r="K208" i="22"/>
  <c r="P210" i="22"/>
  <c r="K210" i="22"/>
  <c r="P212" i="22"/>
  <c r="K212" i="22"/>
  <c r="P214" i="22"/>
  <c r="K214" i="22"/>
  <c r="P216" i="22"/>
  <c r="K216" i="22"/>
  <c r="P218" i="22"/>
  <c r="K218" i="22"/>
  <c r="P220" i="22"/>
  <c r="K220" i="22"/>
  <c r="P222" i="22"/>
  <c r="K222" i="22"/>
  <c r="P224" i="22"/>
  <c r="K224" i="22"/>
  <c r="P226" i="22"/>
  <c r="K226" i="22"/>
  <c r="P228" i="22"/>
  <c r="K228" i="22"/>
  <c r="P230" i="22"/>
  <c r="K230" i="22"/>
  <c r="P232" i="22"/>
  <c r="K232" i="22"/>
  <c r="P234" i="22"/>
  <c r="K234" i="22"/>
  <c r="P236" i="22"/>
  <c r="K236" i="22"/>
  <c r="P238" i="22"/>
  <c r="K238" i="22"/>
  <c r="P240" i="22"/>
  <c r="K240" i="22"/>
  <c r="P200" i="22"/>
  <c r="K298" i="22"/>
  <c r="P298" i="22"/>
  <c r="K300" i="22"/>
  <c r="P300" i="22"/>
  <c r="K302" i="22"/>
  <c r="P302" i="22"/>
  <c r="K304" i="22"/>
  <c r="P304" i="22"/>
  <c r="K306" i="22"/>
  <c r="P306" i="22"/>
  <c r="K308" i="22"/>
  <c r="P308" i="22"/>
  <c r="K310" i="22"/>
  <c r="P310" i="22"/>
  <c r="K312" i="22"/>
  <c r="P312" i="22"/>
  <c r="K314" i="22"/>
  <c r="P314" i="22"/>
  <c r="K316" i="22"/>
  <c r="P316" i="22"/>
  <c r="K318" i="22"/>
  <c r="P318" i="22"/>
  <c r="K320" i="22"/>
  <c r="P320" i="22"/>
  <c r="K322" i="22"/>
  <c r="P322" i="22"/>
  <c r="K324" i="22"/>
  <c r="P324" i="22"/>
  <c r="K326" i="22"/>
  <c r="P326" i="22"/>
  <c r="K328" i="22"/>
  <c r="P328" i="22"/>
  <c r="K330" i="22"/>
  <c r="P330" i="22"/>
  <c r="K332" i="22"/>
  <c r="P332" i="22"/>
  <c r="P156" i="22"/>
  <c r="K159" i="22"/>
  <c r="K163" i="22"/>
  <c r="K167" i="22"/>
  <c r="P199" i="22"/>
  <c r="P203" i="22"/>
  <c r="P205" i="22"/>
  <c r="K205" i="22"/>
  <c r="P207" i="22"/>
  <c r="K207" i="22"/>
  <c r="P209" i="22"/>
  <c r="K209" i="22"/>
  <c r="P211" i="22"/>
  <c r="K211" i="22"/>
  <c r="P213" i="22"/>
  <c r="K213" i="22"/>
  <c r="P215" i="22"/>
  <c r="K215" i="22"/>
  <c r="P217" i="22"/>
  <c r="K217" i="22"/>
  <c r="P219" i="22"/>
  <c r="K219" i="22"/>
  <c r="P221" i="22"/>
  <c r="K221" i="22"/>
  <c r="P223" i="22"/>
  <c r="K223" i="22"/>
  <c r="P225" i="22"/>
  <c r="K225" i="22"/>
  <c r="P227" i="22"/>
  <c r="K227" i="22"/>
  <c r="P229" i="22"/>
  <c r="K229" i="22"/>
  <c r="P231" i="22"/>
  <c r="K231" i="22"/>
  <c r="P233" i="22"/>
  <c r="K233" i="22"/>
  <c r="P235" i="22"/>
  <c r="K235" i="22"/>
  <c r="P237" i="22"/>
  <c r="K237" i="22"/>
  <c r="P239" i="22"/>
  <c r="K239" i="22"/>
  <c r="P241" i="22"/>
  <c r="K241" i="22"/>
  <c r="K333" i="22"/>
  <c r="K334" i="22"/>
  <c r="K335" i="22"/>
  <c r="K336" i="22"/>
  <c r="K337" i="22"/>
  <c r="K338" i="22"/>
  <c r="K339" i="22"/>
  <c r="K340" i="22"/>
  <c r="K341" i="22"/>
  <c r="K342" i="22"/>
  <c r="K343" i="22"/>
  <c r="K344" i="22"/>
  <c r="K345" i="22"/>
  <c r="K346" i="22"/>
  <c r="K347" i="22"/>
  <c r="K348" i="22"/>
  <c r="K399" i="22"/>
  <c r="K400" i="22"/>
  <c r="K401" i="22"/>
  <c r="K402" i="22"/>
  <c r="K403" i="22"/>
  <c r="K404" i="22"/>
  <c r="K405" i="22"/>
  <c r="K406" i="22"/>
  <c r="K407" i="22"/>
  <c r="K408" i="22"/>
  <c r="K409" i="22"/>
  <c r="K410" i="22"/>
  <c r="K411" i="22"/>
  <c r="K412" i="22"/>
  <c r="K413" i="22"/>
  <c r="K414" i="22"/>
  <c r="K415" i="22"/>
  <c r="K416" i="22"/>
  <c r="K417" i="22"/>
  <c r="K418" i="22"/>
  <c r="K419" i="22"/>
  <c r="K480" i="22"/>
  <c r="K481" i="22"/>
  <c r="K482" i="22"/>
  <c r="K483" i="22"/>
  <c r="K484" i="22"/>
  <c r="K485" i="22"/>
  <c r="K486" i="22"/>
  <c r="K487" i="22"/>
  <c r="K488" i="22"/>
  <c r="K489" i="22"/>
  <c r="K490" i="22"/>
  <c r="K491" i="22"/>
  <c r="K492" i="22"/>
  <c r="P511" i="22"/>
  <c r="K514" i="22"/>
  <c r="K518" i="22"/>
  <c r="K522" i="22"/>
  <c r="K526" i="22"/>
  <c r="K530" i="22"/>
  <c r="K534" i="22"/>
  <c r="K538" i="22"/>
  <c r="K542" i="22"/>
  <c r="P578" i="22"/>
  <c r="K585" i="22"/>
  <c r="P594" i="22"/>
  <c r="P598" i="22"/>
  <c r="P602" i="22"/>
  <c r="P606" i="22"/>
  <c r="K609" i="22"/>
  <c r="P623" i="22"/>
  <c r="P627" i="22"/>
  <c r="P631" i="22"/>
  <c r="K634" i="22"/>
  <c r="K638" i="22"/>
  <c r="P653" i="22"/>
  <c r="P657" i="22"/>
  <c r="P661" i="22"/>
  <c r="K664" i="22"/>
  <c r="K668" i="22"/>
  <c r="K672" i="22"/>
  <c r="K692" i="22"/>
  <c r="P692" i="22"/>
  <c r="P392" i="22"/>
  <c r="P393" i="22"/>
  <c r="P394" i="22"/>
  <c r="P395" i="22"/>
  <c r="P396" i="22"/>
  <c r="P397" i="22"/>
  <c r="P398" i="22"/>
  <c r="P462" i="22"/>
  <c r="P463" i="22"/>
  <c r="P464" i="22"/>
  <c r="P465" i="22"/>
  <c r="P466" i="22"/>
  <c r="P467" i="22"/>
  <c r="P468" i="22"/>
  <c r="P469" i="22"/>
  <c r="P470" i="22"/>
  <c r="P471" i="22"/>
  <c r="P472" i="22"/>
  <c r="P473" i="22"/>
  <c r="P474" i="22"/>
  <c r="P475" i="22"/>
  <c r="P476" i="22"/>
  <c r="P477" i="22"/>
  <c r="P478" i="22"/>
  <c r="P479" i="22"/>
  <c r="P509" i="22"/>
  <c r="P580" i="22"/>
  <c r="P596" i="22"/>
  <c r="P600" i="22"/>
  <c r="P604" i="22"/>
  <c r="P625" i="22"/>
  <c r="P629" i="22"/>
  <c r="P655" i="22"/>
  <c r="P659" i="22"/>
  <c r="K693" i="22"/>
  <c r="P693" i="22"/>
  <c r="P508" i="22"/>
  <c r="K515" i="22"/>
  <c r="K519" i="22"/>
  <c r="K523" i="22"/>
  <c r="K527" i="22"/>
  <c r="K531" i="22"/>
  <c r="K535" i="22"/>
  <c r="K539" i="22"/>
  <c r="K543" i="22"/>
  <c r="K582" i="22"/>
  <c r="P595" i="22"/>
  <c r="P599" i="22"/>
  <c r="P603" i="22"/>
  <c r="P607" i="22"/>
  <c r="K610" i="22"/>
  <c r="K635" i="22"/>
  <c r="P654" i="22"/>
  <c r="P658" i="22"/>
  <c r="K665" i="22"/>
  <c r="K669" i="22"/>
  <c r="K673" i="22"/>
  <c r="K694" i="22"/>
  <c r="K695" i="22"/>
  <c r="K696" i="22"/>
  <c r="K697" i="22"/>
  <c r="K698" i="22"/>
  <c r="K699" i="22"/>
  <c r="K700" i="22"/>
  <c r="K701" i="22"/>
  <c r="K702" i="22"/>
  <c r="K703" i="22"/>
  <c r="K704" i="22"/>
  <c r="K705" i="22"/>
  <c r="K706" i="22"/>
  <c r="K707" i="22"/>
  <c r="K708" i="22"/>
  <c r="K709" i="22"/>
  <c r="K710" i="22"/>
  <c r="K711" i="22"/>
  <c r="K712" i="22"/>
  <c r="K713" i="22"/>
  <c r="K714" i="22"/>
  <c r="K715" i="22"/>
  <c r="P737" i="22"/>
  <c r="K740" i="22"/>
  <c r="K744" i="22"/>
  <c r="P760" i="22"/>
  <c r="K763" i="22"/>
  <c r="P789" i="22"/>
  <c r="K796" i="22"/>
  <c r="K800" i="22"/>
  <c r="K804" i="22"/>
  <c r="P819" i="22"/>
  <c r="P823" i="22"/>
  <c r="P827" i="22"/>
  <c r="P831" i="22"/>
  <c r="P835" i="22"/>
  <c r="P839" i="22"/>
  <c r="K842" i="22"/>
  <c r="P856" i="22"/>
  <c r="P860" i="22"/>
  <c r="P864" i="22"/>
  <c r="P867" i="22"/>
  <c r="K867" i="22"/>
  <c r="P869" i="22"/>
  <c r="K869" i="22"/>
  <c r="P871" i="22"/>
  <c r="K871" i="22"/>
  <c r="P873" i="22"/>
  <c r="K873" i="22"/>
  <c r="K888" i="22"/>
  <c r="P888" i="22"/>
  <c r="K890" i="22"/>
  <c r="P890" i="22"/>
  <c r="K892" i="22"/>
  <c r="P892" i="22"/>
  <c r="K894" i="22"/>
  <c r="P894" i="22"/>
  <c r="K896" i="22"/>
  <c r="P896" i="22"/>
  <c r="K898" i="22"/>
  <c r="P898" i="22"/>
  <c r="K900" i="22"/>
  <c r="P900" i="22"/>
  <c r="P735" i="22"/>
  <c r="P750" i="22"/>
  <c r="P751" i="22"/>
  <c r="P752" i="22"/>
  <c r="P753" i="22"/>
  <c r="P754" i="22"/>
  <c r="P755" i="22"/>
  <c r="P756" i="22"/>
  <c r="P757" i="22"/>
  <c r="P758" i="22"/>
  <c r="P781" i="22"/>
  <c r="P782" i="22"/>
  <c r="P783" i="22"/>
  <c r="P784" i="22"/>
  <c r="P785" i="22"/>
  <c r="P786" i="22"/>
  <c r="P787" i="22"/>
  <c r="P791" i="22"/>
  <c r="K741" i="22"/>
  <c r="K745" i="22"/>
  <c r="K764" i="22"/>
  <c r="K793" i="22"/>
  <c r="K797" i="22"/>
  <c r="K801" i="22"/>
  <c r="P820" i="22"/>
  <c r="P824" i="22"/>
  <c r="P828" i="22"/>
  <c r="P832" i="22"/>
  <c r="P836" i="22"/>
  <c r="K843" i="22"/>
  <c r="P857" i="22"/>
  <c r="P861" i="22"/>
  <c r="P865" i="22"/>
  <c r="P868" i="22"/>
  <c r="K868" i="22"/>
  <c r="P870" i="22"/>
  <c r="K870" i="22"/>
  <c r="P872" i="22"/>
  <c r="K872" i="22"/>
  <c r="P874" i="22"/>
  <c r="K874" i="22"/>
  <c r="K889" i="22"/>
  <c r="P889" i="22"/>
  <c r="K891" i="22"/>
  <c r="P891" i="22"/>
  <c r="K893" i="22"/>
  <c r="P893" i="22"/>
  <c r="K895" i="22"/>
  <c r="P895" i="22"/>
  <c r="K897" i="22"/>
  <c r="P897" i="22"/>
  <c r="K899" i="22"/>
  <c r="P899" i="22"/>
  <c r="K901" i="22"/>
  <c r="P901" i="22"/>
  <c r="K918" i="22"/>
  <c r="K919" i="22"/>
  <c r="K972" i="22"/>
  <c r="K973" i="22"/>
  <c r="K974" i="22"/>
  <c r="K975" i="22"/>
  <c r="K976" i="22"/>
  <c r="K977" i="22"/>
  <c r="K978" i="22"/>
  <c r="K979" i="22"/>
  <c r="K980" i="22"/>
  <c r="K981" i="22"/>
  <c r="K982" i="22"/>
  <c r="K983" i="22"/>
  <c r="K1020" i="22"/>
  <c r="P1060" i="22"/>
  <c r="P1064" i="22"/>
  <c r="P1068" i="22"/>
  <c r="P1072" i="22"/>
  <c r="P1076" i="22"/>
  <c r="K1019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56" i="22"/>
  <c r="P957" i="22"/>
  <c r="P958" i="22"/>
  <c r="P959" i="22"/>
  <c r="P960" i="22"/>
  <c r="P961" i="22"/>
  <c r="P962" i="22"/>
  <c r="P963" i="22"/>
  <c r="P964" i="22"/>
  <c r="P965" i="22"/>
  <c r="P966" i="22"/>
  <c r="P967" i="22"/>
  <c r="P968" i="22"/>
  <c r="P969" i="22"/>
  <c r="P970" i="22"/>
  <c r="P971" i="22"/>
  <c r="P1061" i="22"/>
  <c r="P1065" i="22"/>
  <c r="P1069" i="22"/>
  <c r="P1073" i="22"/>
  <c r="P1077" i="22"/>
  <c r="K1185" i="22"/>
  <c r="K1186" i="22"/>
  <c r="K1187" i="22"/>
  <c r="K1188" i="22"/>
  <c r="K1189" i="22"/>
  <c r="K1190" i="22"/>
  <c r="K1191" i="22"/>
  <c r="K1192" i="22"/>
  <c r="K1193" i="22"/>
  <c r="P1099" i="22"/>
  <c r="P1100" i="22"/>
  <c r="P1101" i="22"/>
  <c r="P1102" i="22"/>
  <c r="P1103" i="22"/>
  <c r="P1104" i="22"/>
  <c r="P1117" i="22"/>
  <c r="P1118" i="22"/>
  <c r="P1119" i="22"/>
  <c r="P1120" i="22"/>
  <c r="P1135" i="22"/>
  <c r="P1136" i="22"/>
  <c r="P1137" i="22"/>
  <c r="P1138" i="22"/>
  <c r="P1139" i="22"/>
  <c r="P1162" i="22"/>
  <c r="P1163" i="22"/>
  <c r="P16" i="21"/>
  <c r="P19" i="21"/>
  <c r="P21" i="21"/>
  <c r="P24" i="21"/>
  <c r="P3" i="21"/>
  <c r="P26" i="21"/>
  <c r="P28" i="21"/>
  <c r="P30" i="21"/>
  <c r="P32" i="21"/>
  <c r="P34" i="21"/>
  <c r="P49" i="21"/>
  <c r="P59" i="21"/>
  <c r="K2" i="21"/>
  <c r="K4" i="21"/>
  <c r="K25" i="21"/>
  <c r="K27" i="21"/>
  <c r="K29" i="21"/>
  <c r="K31" i="21"/>
  <c r="K33" i="21"/>
  <c r="K48" i="21"/>
  <c r="K58" i="21"/>
  <c r="K60" i="21"/>
  <c r="P82" i="21"/>
  <c r="P86" i="21"/>
  <c r="P90" i="21"/>
  <c r="P94" i="21"/>
  <c r="K97" i="21"/>
  <c r="K101" i="21"/>
  <c r="P118" i="21"/>
  <c r="K121" i="21"/>
  <c r="K125" i="21"/>
  <c r="K129" i="21"/>
  <c r="K147" i="21"/>
  <c r="P147" i="21"/>
  <c r="K149" i="21"/>
  <c r="P149" i="21"/>
  <c r="K151" i="21"/>
  <c r="P151" i="21"/>
  <c r="K180" i="21"/>
  <c r="P180" i="21"/>
  <c r="K182" i="21"/>
  <c r="P182" i="21"/>
  <c r="K184" i="21"/>
  <c r="P184" i="21"/>
  <c r="K186" i="21"/>
  <c r="P186" i="21"/>
  <c r="K188" i="21"/>
  <c r="P188" i="21"/>
  <c r="K190" i="21"/>
  <c r="P190" i="21"/>
  <c r="K192" i="21"/>
  <c r="P192" i="21"/>
  <c r="K194" i="21"/>
  <c r="P194" i="21"/>
  <c r="K196" i="21"/>
  <c r="P196" i="21"/>
  <c r="K198" i="21"/>
  <c r="P198" i="21"/>
  <c r="K100" i="21"/>
  <c r="P132" i="21"/>
  <c r="K132" i="21"/>
  <c r="P18" i="21"/>
  <c r="P22" i="21"/>
  <c r="P45" i="21"/>
  <c r="P46" i="21"/>
  <c r="P47" i="21"/>
  <c r="P56" i="21"/>
  <c r="P57" i="21"/>
  <c r="P84" i="21"/>
  <c r="P88" i="21"/>
  <c r="P92" i="21"/>
  <c r="P116" i="21"/>
  <c r="K146" i="21"/>
  <c r="P146" i="21"/>
  <c r="K148" i="21"/>
  <c r="P148" i="21"/>
  <c r="K150" i="21"/>
  <c r="P150" i="21"/>
  <c r="K152" i="21"/>
  <c r="P152" i="21"/>
  <c r="K181" i="21"/>
  <c r="P181" i="21"/>
  <c r="K183" i="21"/>
  <c r="P183" i="21"/>
  <c r="K185" i="21"/>
  <c r="P185" i="21"/>
  <c r="K187" i="21"/>
  <c r="P187" i="21"/>
  <c r="K189" i="21"/>
  <c r="P189" i="21"/>
  <c r="K191" i="21"/>
  <c r="P191" i="21"/>
  <c r="K193" i="21"/>
  <c r="P193" i="21"/>
  <c r="K195" i="21"/>
  <c r="P195" i="21"/>
  <c r="K197" i="21"/>
  <c r="P197" i="21"/>
  <c r="P17" i="21"/>
  <c r="P20" i="21"/>
  <c r="P23" i="21"/>
  <c r="K122" i="21"/>
  <c r="K126" i="21"/>
  <c r="K130" i="21"/>
  <c r="P131" i="21"/>
  <c r="K131" i="21"/>
  <c r="K153" i="21"/>
  <c r="K154" i="21"/>
  <c r="K155" i="21"/>
  <c r="K156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3" i="21"/>
  <c r="K214" i="21"/>
  <c r="K215" i="21"/>
  <c r="K216" i="21"/>
  <c r="K217" i="21"/>
  <c r="K218" i="21"/>
  <c r="K219" i="21"/>
  <c r="K220" i="21"/>
  <c r="K221" i="21"/>
  <c r="K222" i="21"/>
  <c r="K223" i="21"/>
  <c r="K224" i="21"/>
  <c r="K225" i="21"/>
  <c r="K226" i="21"/>
  <c r="K227" i="21"/>
  <c r="K228" i="21"/>
  <c r="K229" i="21"/>
  <c r="K230" i="21"/>
  <c r="K231" i="21"/>
  <c r="K232" i="21"/>
  <c r="K233" i="21"/>
  <c r="K234" i="21"/>
  <c r="K235" i="21"/>
  <c r="K236" i="21"/>
  <c r="K237" i="21"/>
  <c r="K238" i="21"/>
  <c r="K239" i="21"/>
  <c r="K240" i="21"/>
  <c r="K241" i="21"/>
  <c r="K333" i="21"/>
  <c r="K334" i="21"/>
  <c r="K335" i="21"/>
  <c r="K336" i="21"/>
  <c r="K337" i="21"/>
  <c r="K338" i="21"/>
  <c r="K339" i="21"/>
  <c r="K340" i="21"/>
  <c r="K341" i="21"/>
  <c r="K342" i="21"/>
  <c r="K343" i="21"/>
  <c r="K344" i="21"/>
  <c r="K345" i="21"/>
  <c r="K346" i="21"/>
  <c r="K347" i="21"/>
  <c r="K348" i="21"/>
  <c r="P381" i="21"/>
  <c r="P385" i="21"/>
  <c r="P389" i="21"/>
  <c r="K392" i="21"/>
  <c r="K396" i="21"/>
  <c r="K420" i="21"/>
  <c r="P420" i="21"/>
  <c r="K422" i="21"/>
  <c r="P422" i="21"/>
  <c r="K424" i="21"/>
  <c r="P424" i="21"/>
  <c r="K426" i="21"/>
  <c r="P426" i="21"/>
  <c r="K428" i="21"/>
  <c r="P428" i="21"/>
  <c r="K430" i="21"/>
  <c r="P430" i="21"/>
  <c r="K432" i="21"/>
  <c r="P432" i="21"/>
  <c r="K434" i="21"/>
  <c r="P434" i="21"/>
  <c r="K436" i="21"/>
  <c r="P436" i="21"/>
  <c r="K438" i="21"/>
  <c r="P438" i="21"/>
  <c r="K440" i="21"/>
  <c r="P440" i="21"/>
  <c r="K442" i="21"/>
  <c r="P442" i="21"/>
  <c r="K444" i="21"/>
  <c r="P444" i="21"/>
  <c r="P297" i="21"/>
  <c r="P298" i="21"/>
  <c r="P299" i="21"/>
  <c r="P300" i="21"/>
  <c r="P301" i="21"/>
  <c r="P302" i="21"/>
  <c r="P303" i="21"/>
  <c r="P304" i="21"/>
  <c r="P305" i="21"/>
  <c r="P306" i="21"/>
  <c r="P307" i="21"/>
  <c r="P308" i="21"/>
  <c r="P309" i="21"/>
  <c r="P310" i="21"/>
  <c r="P311" i="21"/>
  <c r="P312" i="21"/>
  <c r="P313" i="21"/>
  <c r="P314" i="21"/>
  <c r="P315" i="21"/>
  <c r="P316" i="21"/>
  <c r="P317" i="21"/>
  <c r="P318" i="21"/>
  <c r="P319" i="21"/>
  <c r="P320" i="21"/>
  <c r="P321" i="21"/>
  <c r="P322" i="21"/>
  <c r="P323" i="21"/>
  <c r="P324" i="21"/>
  <c r="P325" i="21"/>
  <c r="P326" i="21"/>
  <c r="P327" i="21"/>
  <c r="P328" i="21"/>
  <c r="P329" i="21"/>
  <c r="P330" i="21"/>
  <c r="P331" i="21"/>
  <c r="P332" i="21"/>
  <c r="P383" i="21"/>
  <c r="P387" i="21"/>
  <c r="P391" i="21"/>
  <c r="K421" i="21"/>
  <c r="P421" i="21"/>
  <c r="K423" i="21"/>
  <c r="P423" i="21"/>
  <c r="K425" i="21"/>
  <c r="P425" i="21"/>
  <c r="K427" i="21"/>
  <c r="P427" i="21"/>
  <c r="K429" i="21"/>
  <c r="P429" i="21"/>
  <c r="K431" i="21"/>
  <c r="P431" i="21"/>
  <c r="K433" i="21"/>
  <c r="P433" i="21"/>
  <c r="K435" i="21"/>
  <c r="P435" i="21"/>
  <c r="K437" i="21"/>
  <c r="P437" i="21"/>
  <c r="K439" i="21"/>
  <c r="P439" i="21"/>
  <c r="K441" i="21"/>
  <c r="P441" i="21"/>
  <c r="K443" i="21"/>
  <c r="P443" i="21"/>
  <c r="K445" i="21"/>
  <c r="P445" i="21"/>
  <c r="P382" i="21"/>
  <c r="P386" i="21"/>
  <c r="P390" i="21"/>
  <c r="K393" i="21"/>
  <c r="K397" i="21"/>
  <c r="K446" i="21"/>
  <c r="K447" i="21"/>
  <c r="K448" i="21"/>
  <c r="K449" i="21"/>
  <c r="K450" i="21"/>
  <c r="K451" i="21"/>
  <c r="K452" i="21"/>
  <c r="K453" i="21"/>
  <c r="K454" i="21"/>
  <c r="K455" i="21"/>
  <c r="K456" i="21"/>
  <c r="K457" i="21"/>
  <c r="K458" i="21"/>
  <c r="K459" i="21"/>
  <c r="K460" i="21"/>
  <c r="K461" i="21"/>
  <c r="K512" i="21"/>
  <c r="K513" i="21"/>
  <c r="K514" i="21"/>
  <c r="K515" i="21"/>
  <c r="K516" i="21"/>
  <c r="K517" i="21"/>
  <c r="K518" i="21"/>
  <c r="K519" i="21"/>
  <c r="K520" i="21"/>
  <c r="K521" i="21"/>
  <c r="K522" i="21"/>
  <c r="K523" i="21"/>
  <c r="K524" i="21"/>
  <c r="K525" i="21"/>
  <c r="K526" i="21"/>
  <c r="K527" i="21"/>
  <c r="K528" i="21"/>
  <c r="K529" i="21"/>
  <c r="K530" i="21"/>
  <c r="K531" i="21"/>
  <c r="K532" i="21"/>
  <c r="K533" i="21"/>
  <c r="K534" i="21"/>
  <c r="K535" i="21"/>
  <c r="K536" i="21"/>
  <c r="K537" i="21"/>
  <c r="K538" i="21"/>
  <c r="K539" i="21"/>
  <c r="K540" i="21"/>
  <c r="K541" i="21"/>
  <c r="K542" i="21"/>
  <c r="K543" i="21"/>
  <c r="K544" i="21"/>
  <c r="K545" i="21"/>
  <c r="K640" i="21"/>
  <c r="K644" i="21"/>
  <c r="P662" i="21"/>
  <c r="P666" i="21"/>
  <c r="P694" i="21"/>
  <c r="P698" i="21"/>
  <c r="P702" i="21"/>
  <c r="P706" i="21"/>
  <c r="P710" i="21"/>
  <c r="P714" i="21"/>
  <c r="P717" i="21"/>
  <c r="K717" i="21"/>
  <c r="P719" i="21"/>
  <c r="K719" i="21"/>
  <c r="P721" i="21"/>
  <c r="K721" i="21"/>
  <c r="P723" i="21"/>
  <c r="K723" i="21"/>
  <c r="P725" i="21"/>
  <c r="K725" i="21"/>
  <c r="P727" i="21"/>
  <c r="K727" i="21"/>
  <c r="P729" i="21"/>
  <c r="K729" i="21"/>
  <c r="P731" i="21"/>
  <c r="K731" i="21"/>
  <c r="P733" i="21"/>
  <c r="K733" i="21"/>
  <c r="P735" i="21"/>
  <c r="K735" i="21"/>
  <c r="P737" i="21"/>
  <c r="K737" i="21"/>
  <c r="P671" i="21"/>
  <c r="K671" i="21"/>
  <c r="P673" i="21"/>
  <c r="K673" i="21"/>
  <c r="P493" i="21"/>
  <c r="P494" i="21"/>
  <c r="P495" i="21"/>
  <c r="P496" i="21"/>
  <c r="P497" i="21"/>
  <c r="P498" i="21"/>
  <c r="P499" i="21"/>
  <c r="P500" i="21"/>
  <c r="P501" i="21"/>
  <c r="P502" i="21"/>
  <c r="P503" i="21"/>
  <c r="P504" i="21"/>
  <c r="P505" i="21"/>
  <c r="P506" i="21"/>
  <c r="P507" i="21"/>
  <c r="P508" i="21"/>
  <c r="P509" i="21"/>
  <c r="P510" i="21"/>
  <c r="P511" i="21"/>
  <c r="P577" i="21"/>
  <c r="P578" i="21"/>
  <c r="P579" i="21"/>
  <c r="P580" i="21"/>
  <c r="P581" i="21"/>
  <c r="P594" i="21"/>
  <c r="P595" i="21"/>
  <c r="P596" i="21"/>
  <c r="P597" i="21"/>
  <c r="P598" i="21"/>
  <c r="P599" i="21"/>
  <c r="P600" i="21"/>
  <c r="P601" i="21"/>
  <c r="P602" i="21"/>
  <c r="P603" i="21"/>
  <c r="P604" i="21"/>
  <c r="P605" i="21"/>
  <c r="P606" i="21"/>
  <c r="P607" i="21"/>
  <c r="P622" i="21"/>
  <c r="P623" i="21"/>
  <c r="P624" i="21"/>
  <c r="P625" i="21"/>
  <c r="P626" i="21"/>
  <c r="P627" i="21"/>
  <c r="P628" i="21"/>
  <c r="P629" i="21"/>
  <c r="P630" i="21"/>
  <c r="P631" i="21"/>
  <c r="P664" i="21"/>
  <c r="P668" i="21"/>
  <c r="P696" i="21"/>
  <c r="P700" i="21"/>
  <c r="P704" i="21"/>
  <c r="P708" i="21"/>
  <c r="P712" i="21"/>
  <c r="P716" i="21"/>
  <c r="K716" i="21"/>
  <c r="P718" i="21"/>
  <c r="K718" i="21"/>
  <c r="P720" i="21"/>
  <c r="K720" i="21"/>
  <c r="P722" i="21"/>
  <c r="K722" i="21"/>
  <c r="P724" i="21"/>
  <c r="K724" i="21"/>
  <c r="P726" i="21"/>
  <c r="K726" i="21"/>
  <c r="P728" i="21"/>
  <c r="K728" i="21"/>
  <c r="P730" i="21"/>
  <c r="K730" i="21"/>
  <c r="P732" i="21"/>
  <c r="K732" i="21"/>
  <c r="P734" i="21"/>
  <c r="K734" i="21"/>
  <c r="P736" i="21"/>
  <c r="K736" i="21"/>
  <c r="P738" i="21"/>
  <c r="K738" i="21"/>
  <c r="K641" i="21"/>
  <c r="P663" i="21"/>
  <c r="P667" i="21"/>
  <c r="P670" i="21"/>
  <c r="K670" i="21"/>
  <c r="P672" i="21"/>
  <c r="K672" i="21"/>
  <c r="P674" i="21"/>
  <c r="K674" i="21"/>
  <c r="P695" i="21"/>
  <c r="P699" i="21"/>
  <c r="P703" i="21"/>
  <c r="P707" i="21"/>
  <c r="P711" i="21"/>
  <c r="P715" i="21"/>
  <c r="K758" i="21"/>
  <c r="K759" i="21"/>
  <c r="K760" i="21"/>
  <c r="K761" i="21"/>
  <c r="P774" i="21"/>
  <c r="P778" i="21"/>
  <c r="K781" i="21"/>
  <c r="K785" i="21"/>
  <c r="K793" i="21"/>
  <c r="K794" i="21"/>
  <c r="K795" i="21"/>
  <c r="K796" i="21"/>
  <c r="K797" i="21"/>
  <c r="K798" i="21"/>
  <c r="K799" i="21"/>
  <c r="K800" i="21"/>
  <c r="K801" i="21"/>
  <c r="K802" i="21"/>
  <c r="K803" i="21"/>
  <c r="K804" i="21"/>
  <c r="P808" i="21"/>
  <c r="P812" i="21"/>
  <c r="K815" i="21"/>
  <c r="P846" i="21"/>
  <c r="P850" i="21"/>
  <c r="K853" i="21"/>
  <c r="K857" i="21"/>
  <c r="K861" i="21"/>
  <c r="K865" i="21"/>
  <c r="K864" i="21"/>
  <c r="K875" i="21"/>
  <c r="P875" i="21"/>
  <c r="K877" i="21"/>
  <c r="P877" i="21"/>
  <c r="K879" i="21"/>
  <c r="P879" i="21"/>
  <c r="K881" i="21"/>
  <c r="P881" i="21"/>
  <c r="K883" i="21"/>
  <c r="P883" i="21"/>
  <c r="K885" i="21"/>
  <c r="P885" i="21"/>
  <c r="P775" i="21"/>
  <c r="P779" i="21"/>
  <c r="K782" i="21"/>
  <c r="K786" i="21"/>
  <c r="P805" i="21"/>
  <c r="P809" i="21"/>
  <c r="K816" i="21"/>
  <c r="P847" i="21"/>
  <c r="P851" i="21"/>
  <c r="K876" i="21"/>
  <c r="P876" i="21"/>
  <c r="K878" i="21"/>
  <c r="P878" i="21"/>
  <c r="K880" i="21"/>
  <c r="P880" i="21"/>
  <c r="K882" i="21"/>
  <c r="P882" i="21"/>
  <c r="K884" i="21"/>
  <c r="P884" i="21"/>
  <c r="K1018" i="21"/>
  <c r="K1022" i="21"/>
  <c r="P1058" i="21"/>
  <c r="P1062" i="21"/>
  <c r="P1066" i="21"/>
  <c r="P1070" i="21"/>
  <c r="P1074" i="21"/>
  <c r="P1078" i="21"/>
  <c r="P1082" i="21"/>
  <c r="K1085" i="21"/>
  <c r="K1089" i="21"/>
  <c r="P920" i="21"/>
  <c r="P921" i="21"/>
  <c r="P922" i="21"/>
  <c r="P984" i="21"/>
  <c r="P985" i="21"/>
  <c r="P986" i="21"/>
  <c r="P987" i="21"/>
  <c r="P988" i="21"/>
  <c r="P989" i="21"/>
  <c r="P990" i="21"/>
  <c r="P991" i="21"/>
  <c r="P992" i="21"/>
  <c r="P993" i="21"/>
  <c r="P994" i="21"/>
  <c r="P995" i="21"/>
  <c r="P996" i="21"/>
  <c r="P997" i="21"/>
  <c r="P998" i="21"/>
  <c r="P999" i="21"/>
  <c r="P1000" i="21"/>
  <c r="P1001" i="21"/>
  <c r="P1002" i="21"/>
  <c r="P1003" i="21"/>
  <c r="P1004" i="21"/>
  <c r="P1005" i="21"/>
  <c r="P1006" i="21"/>
  <c r="P1007" i="21"/>
  <c r="P1008" i="21"/>
  <c r="P1009" i="21"/>
  <c r="K1019" i="21"/>
  <c r="P1059" i="21"/>
  <c r="P1063" i="21"/>
  <c r="P1067" i="21"/>
  <c r="P1071" i="21"/>
  <c r="P1075" i="21"/>
  <c r="P1079" i="21"/>
  <c r="P1083" i="21"/>
  <c r="P1107" i="21"/>
  <c r="P1108" i="21"/>
  <c r="P1109" i="21"/>
  <c r="P1110" i="21"/>
  <c r="P1111" i="21"/>
  <c r="P1126" i="21"/>
  <c r="P1127" i="21"/>
  <c r="P1128" i="21"/>
  <c r="P1129" i="21"/>
  <c r="P1144" i="21"/>
  <c r="P1145" i="21"/>
  <c r="P1146" i="21"/>
  <c r="P1147" i="21"/>
  <c r="P1148" i="21"/>
  <c r="P1149" i="21"/>
  <c r="P1168" i="21"/>
  <c r="P1169" i="21"/>
  <c r="P1178" i="21"/>
  <c r="P1179" i="21"/>
  <c r="K1193" i="21"/>
  <c r="R1227" i="16"/>
  <c r="R1228" i="16"/>
  <c r="R1229" i="16"/>
  <c r="R1230" i="16"/>
  <c r="R1231" i="16"/>
  <c r="R1232" i="16"/>
  <c r="R1234" i="16"/>
  <c r="R1233" i="16"/>
  <c r="M1226" i="16"/>
  <c r="R1197" i="16"/>
  <c r="R1198" i="16"/>
  <c r="R1199" i="16"/>
  <c r="R1200" i="16"/>
  <c r="R1201" i="16"/>
  <c r="R1196" i="16"/>
  <c r="R1115" i="16"/>
  <c r="M1113" i="16"/>
  <c r="M1112" i="16"/>
  <c r="M1111" i="16"/>
  <c r="M1110" i="16"/>
  <c r="M1109" i="16"/>
  <c r="R1108" i="16"/>
  <c r="M1114" i="16"/>
  <c r="R1116" i="16"/>
  <c r="R1105" i="16"/>
  <c r="R1106" i="16"/>
  <c r="R1107" i="16"/>
  <c r="R1104" i="16"/>
  <c r="R1117" i="16"/>
  <c r="R1103" i="16"/>
  <c r="R1102" i="16"/>
  <c r="R1101" i="16"/>
  <c r="R870" i="16"/>
  <c r="R871" i="16"/>
  <c r="R872" i="16"/>
  <c r="R868" i="16"/>
  <c r="R869" i="16"/>
  <c r="R867" i="16"/>
  <c r="R679" i="16"/>
  <c r="R680" i="16"/>
  <c r="R681" i="16"/>
  <c r="M678" i="16"/>
  <c r="R584" i="16"/>
  <c r="R585" i="16"/>
  <c r="R586" i="16"/>
  <c r="R581" i="16"/>
  <c r="R583" i="16"/>
  <c r="R573" i="16"/>
  <c r="R574" i="16"/>
  <c r="R576" i="16"/>
  <c r="R578" i="16"/>
  <c r="R579" i="16"/>
  <c r="R582" i="16"/>
  <c r="M575" i="16"/>
  <c r="M577" i="16"/>
  <c r="M580" i="16"/>
  <c r="R193" i="16"/>
  <c r="R189" i="16"/>
  <c r="R190" i="16"/>
  <c r="R191" i="16"/>
  <c r="R192" i="16"/>
  <c r="M188" i="16"/>
  <c r="R187" i="16"/>
  <c r="R68" i="16"/>
  <c r="R65" i="16"/>
  <c r="R66" i="16"/>
  <c r="R67" i="16"/>
  <c r="R64" i="16"/>
  <c r="N1156" i="20"/>
  <c r="P1156" i="20" s="1"/>
  <c r="M1156" i="20"/>
  <c r="K1156" i="20"/>
  <c r="P1155" i="20"/>
  <c r="N1155" i="20"/>
  <c r="M1155" i="20"/>
  <c r="K1155" i="20"/>
  <c r="P1154" i="20"/>
  <c r="N1154" i="20"/>
  <c r="M1154" i="20"/>
  <c r="K1154" i="20"/>
  <c r="H1154" i="20"/>
  <c r="N1153" i="20"/>
  <c r="K1153" i="20" s="1"/>
  <c r="M1153" i="20"/>
  <c r="N1152" i="20"/>
  <c r="K1152" i="20" s="1"/>
  <c r="M1152" i="20"/>
  <c r="H1152" i="20"/>
  <c r="N1151" i="20"/>
  <c r="M1151" i="20"/>
  <c r="N1150" i="20"/>
  <c r="M1150" i="20"/>
  <c r="H1150" i="20"/>
  <c r="P1149" i="20"/>
  <c r="N1149" i="20"/>
  <c r="K1149" i="20" s="1"/>
  <c r="M1149" i="20"/>
  <c r="H1149" i="20"/>
  <c r="P1148" i="20"/>
  <c r="N1148" i="20"/>
  <c r="M1148" i="20"/>
  <c r="K1148" i="20"/>
  <c r="P1147" i="20"/>
  <c r="N1147" i="20"/>
  <c r="M1147" i="20"/>
  <c r="K1147" i="20"/>
  <c r="H1147" i="20"/>
  <c r="P1146" i="20"/>
  <c r="N1146" i="20"/>
  <c r="M1146" i="20"/>
  <c r="K1146" i="20"/>
  <c r="H1146" i="20"/>
  <c r="N1145" i="20"/>
  <c r="M1145" i="20"/>
  <c r="N1144" i="20"/>
  <c r="M1144" i="20"/>
  <c r="H1144" i="20"/>
  <c r="N1143" i="20"/>
  <c r="M1143" i="20"/>
  <c r="N1142" i="20"/>
  <c r="K1142" i="20" s="1"/>
  <c r="M1142" i="20"/>
  <c r="P1141" i="20"/>
  <c r="N1141" i="20"/>
  <c r="K1141" i="20" s="1"/>
  <c r="M1141" i="20"/>
  <c r="P1140" i="20"/>
  <c r="N1140" i="20"/>
  <c r="K1140" i="20" s="1"/>
  <c r="M1140" i="20"/>
  <c r="H1140" i="20"/>
  <c r="P1139" i="20"/>
  <c r="N1139" i="20"/>
  <c r="M1139" i="20"/>
  <c r="K1139" i="20"/>
  <c r="H1139" i="20"/>
  <c r="P1138" i="20"/>
  <c r="N1138" i="20"/>
  <c r="M1138" i="20"/>
  <c r="K1138" i="20"/>
  <c r="P1137" i="20"/>
  <c r="N1137" i="20"/>
  <c r="M1137" i="20"/>
  <c r="K1137" i="20"/>
  <c r="H1137" i="20"/>
  <c r="N1136" i="20"/>
  <c r="M1136" i="20"/>
  <c r="N1135" i="20"/>
  <c r="M1135" i="20"/>
  <c r="N1134" i="20"/>
  <c r="M1134" i="20"/>
  <c r="N1133" i="20"/>
  <c r="M1133" i="20"/>
  <c r="H1133" i="20"/>
  <c r="N1132" i="20"/>
  <c r="M1132" i="20"/>
  <c r="H1132" i="20"/>
  <c r="N1131" i="20"/>
  <c r="M1131" i="20"/>
  <c r="H1131" i="20"/>
  <c r="P1130" i="20"/>
  <c r="N1130" i="20"/>
  <c r="M1130" i="20"/>
  <c r="K1130" i="20"/>
  <c r="H1130" i="20"/>
  <c r="N1129" i="20"/>
  <c r="M1129" i="20"/>
  <c r="H1129" i="20"/>
  <c r="P1128" i="20"/>
  <c r="N1128" i="20"/>
  <c r="K1128" i="20" s="1"/>
  <c r="M1128" i="20"/>
  <c r="H1128" i="20"/>
  <c r="P1127" i="20"/>
  <c r="N1127" i="20"/>
  <c r="M1127" i="20"/>
  <c r="K1127" i="20"/>
  <c r="P1126" i="20"/>
  <c r="N1126" i="20"/>
  <c r="M1126" i="20"/>
  <c r="K1126" i="20"/>
  <c r="H1126" i="20"/>
  <c r="P1125" i="20"/>
  <c r="N1125" i="20"/>
  <c r="M1125" i="20"/>
  <c r="K1125" i="20"/>
  <c r="H1125" i="20"/>
  <c r="N1124" i="20"/>
  <c r="M1124" i="20"/>
  <c r="N1123" i="20"/>
  <c r="M1123" i="20"/>
  <c r="N1122" i="20"/>
  <c r="M1122" i="20"/>
  <c r="N1121" i="20"/>
  <c r="M1121" i="20"/>
  <c r="N1120" i="20"/>
  <c r="M1120" i="20"/>
  <c r="N1119" i="20"/>
  <c r="M1119" i="20"/>
  <c r="H1119" i="20"/>
  <c r="N1118" i="20"/>
  <c r="M1118" i="20"/>
  <c r="N1117" i="20"/>
  <c r="K1117" i="20" s="1"/>
  <c r="M1117" i="20"/>
  <c r="P1116" i="20"/>
  <c r="N1116" i="20"/>
  <c r="K1116" i="20" s="1"/>
  <c r="M1116" i="20"/>
  <c r="P1115" i="20"/>
  <c r="N1115" i="20"/>
  <c r="K1115" i="20" s="1"/>
  <c r="M1115" i="20"/>
  <c r="N1114" i="20"/>
  <c r="M1114" i="20"/>
  <c r="N1113" i="20"/>
  <c r="K1113" i="20" s="1"/>
  <c r="M1113" i="20"/>
  <c r="H1113" i="20"/>
  <c r="N1112" i="20"/>
  <c r="K1112" i="20" s="1"/>
  <c r="M1112" i="20"/>
  <c r="N1111" i="20"/>
  <c r="K1111" i="20" s="1"/>
  <c r="M1111" i="20"/>
  <c r="N1110" i="20"/>
  <c r="K1110" i="20" s="1"/>
  <c r="M1110" i="20"/>
  <c r="N1109" i="20"/>
  <c r="K1109" i="20" s="1"/>
  <c r="M1109" i="20"/>
  <c r="H1109" i="20"/>
  <c r="N1108" i="20"/>
  <c r="M1108" i="20"/>
  <c r="N1107" i="20"/>
  <c r="M1107" i="20"/>
  <c r="N1106" i="20"/>
  <c r="M1106" i="20"/>
  <c r="N1105" i="20"/>
  <c r="M1105" i="20"/>
  <c r="N1104" i="20"/>
  <c r="M1104" i="20"/>
  <c r="H1104" i="20"/>
  <c r="N1103" i="20"/>
  <c r="M1103" i="20"/>
  <c r="N1102" i="20"/>
  <c r="M1102" i="20"/>
  <c r="N1101" i="20"/>
  <c r="M1101" i="20"/>
  <c r="N1100" i="20"/>
  <c r="M1100" i="20"/>
  <c r="N1099" i="20"/>
  <c r="M1099" i="20"/>
  <c r="H1099" i="20"/>
  <c r="P1098" i="20"/>
  <c r="N1098" i="20"/>
  <c r="K1098" i="20" s="1"/>
  <c r="M1098" i="20"/>
  <c r="N1097" i="20"/>
  <c r="M1097" i="20"/>
  <c r="P1096" i="20"/>
  <c r="N1096" i="20"/>
  <c r="K1096" i="20" s="1"/>
  <c r="M1096" i="20"/>
  <c r="P1095" i="20"/>
  <c r="N1095" i="20"/>
  <c r="K1095" i="20" s="1"/>
  <c r="M1095" i="20"/>
  <c r="H1095" i="20"/>
  <c r="P1094" i="20"/>
  <c r="N1094" i="20"/>
  <c r="M1094" i="20"/>
  <c r="K1094" i="20"/>
  <c r="P1093" i="20"/>
  <c r="N1093" i="20"/>
  <c r="M1093" i="20"/>
  <c r="K1093" i="20"/>
  <c r="P1092" i="20"/>
  <c r="N1092" i="20"/>
  <c r="M1092" i="20"/>
  <c r="K1092" i="20"/>
  <c r="P1091" i="20"/>
  <c r="N1091" i="20"/>
  <c r="M1091" i="20"/>
  <c r="K1091" i="20"/>
  <c r="P1090" i="20"/>
  <c r="N1090" i="20"/>
  <c r="M1090" i="20"/>
  <c r="K1090" i="20"/>
  <c r="H1090" i="20"/>
  <c r="P1089" i="20"/>
  <c r="N1089" i="20"/>
  <c r="M1089" i="20"/>
  <c r="K1089" i="20"/>
  <c r="P1088" i="20"/>
  <c r="N1088" i="20"/>
  <c r="M1088" i="20"/>
  <c r="K1088" i="20"/>
  <c r="P1087" i="20"/>
  <c r="N1087" i="20"/>
  <c r="M1087" i="20"/>
  <c r="K1087" i="20"/>
  <c r="P1086" i="20"/>
  <c r="N1086" i="20"/>
  <c r="M1086" i="20"/>
  <c r="K1086" i="20"/>
  <c r="H1086" i="20"/>
  <c r="N1085" i="20"/>
  <c r="M1085" i="20"/>
  <c r="N1084" i="20"/>
  <c r="M1084" i="20"/>
  <c r="N1083" i="20"/>
  <c r="M1083" i="20"/>
  <c r="N1082" i="20"/>
  <c r="M1082" i="20"/>
  <c r="N1081" i="20"/>
  <c r="M1081" i="20"/>
  <c r="H1081" i="20"/>
  <c r="P1080" i="20"/>
  <c r="N1080" i="20"/>
  <c r="K1080" i="20" s="1"/>
  <c r="M1080" i="20"/>
  <c r="H1080" i="20"/>
  <c r="P1079" i="20"/>
  <c r="N1079" i="20"/>
  <c r="M1079" i="20"/>
  <c r="K1079" i="20"/>
  <c r="P1078" i="20"/>
  <c r="N1078" i="20"/>
  <c r="M1078" i="20"/>
  <c r="K1078" i="20"/>
  <c r="P1077" i="20"/>
  <c r="N1077" i="20"/>
  <c r="M1077" i="20"/>
  <c r="K1077" i="20"/>
  <c r="P1076" i="20"/>
  <c r="N1076" i="20"/>
  <c r="M1076" i="20"/>
  <c r="K1076" i="20"/>
  <c r="P1075" i="20"/>
  <c r="N1075" i="20"/>
  <c r="M1075" i="20"/>
  <c r="K1075" i="20"/>
  <c r="H1075" i="20"/>
  <c r="N1074" i="20"/>
  <c r="M1074" i="20"/>
  <c r="N1073" i="20"/>
  <c r="M1073" i="20"/>
  <c r="H1073" i="20"/>
  <c r="N1072" i="20"/>
  <c r="M1072" i="20"/>
  <c r="H1072" i="20"/>
  <c r="N1071" i="20"/>
  <c r="M1071" i="20"/>
  <c r="P1070" i="20"/>
  <c r="N1070" i="20"/>
  <c r="K1070" i="20" s="1"/>
  <c r="M1070" i="20"/>
  <c r="P1069" i="20"/>
  <c r="N1069" i="20"/>
  <c r="K1069" i="20" s="1"/>
  <c r="M1069" i="20"/>
  <c r="N1068" i="20"/>
  <c r="K1068" i="20" s="1"/>
  <c r="M1068" i="20"/>
  <c r="N1067" i="20"/>
  <c r="M1067" i="20"/>
  <c r="P1066" i="20"/>
  <c r="N1066" i="20"/>
  <c r="K1066" i="20" s="1"/>
  <c r="M1066" i="20"/>
  <c r="H1066" i="20"/>
  <c r="P1065" i="20"/>
  <c r="N1065" i="20"/>
  <c r="M1065" i="20"/>
  <c r="K1065" i="20"/>
  <c r="P1064" i="20"/>
  <c r="N1064" i="20"/>
  <c r="M1064" i="20"/>
  <c r="K1064" i="20"/>
  <c r="P1063" i="20"/>
  <c r="N1063" i="20"/>
  <c r="M1063" i="20"/>
  <c r="K1063" i="20"/>
  <c r="P1062" i="20"/>
  <c r="N1062" i="20"/>
  <c r="M1062" i="20"/>
  <c r="K1062" i="20"/>
  <c r="P1061" i="20"/>
  <c r="N1061" i="20"/>
  <c r="M1061" i="20"/>
  <c r="K1061" i="20"/>
  <c r="P1060" i="20"/>
  <c r="N1060" i="20"/>
  <c r="M1060" i="20"/>
  <c r="K1060" i="20"/>
  <c r="H1060" i="20"/>
  <c r="N1059" i="20"/>
  <c r="M1059" i="20"/>
  <c r="H1059" i="20"/>
  <c r="N1058" i="20"/>
  <c r="M1058" i="20"/>
  <c r="N1057" i="20"/>
  <c r="M1057" i="20"/>
  <c r="N1056" i="20"/>
  <c r="M1056" i="20"/>
  <c r="N1055" i="20"/>
  <c r="M1055" i="20"/>
  <c r="N1054" i="20"/>
  <c r="M1054" i="20"/>
  <c r="N1053" i="20"/>
  <c r="M1053" i="20"/>
  <c r="N1052" i="20"/>
  <c r="M1052" i="20"/>
  <c r="N1051" i="20"/>
  <c r="M1051" i="20"/>
  <c r="H1051" i="20"/>
  <c r="P1050" i="20"/>
  <c r="N1050" i="20"/>
  <c r="K1050" i="20" s="1"/>
  <c r="M1050" i="20"/>
  <c r="H1050" i="20"/>
  <c r="P1049" i="20"/>
  <c r="N1049" i="20"/>
  <c r="M1049" i="20"/>
  <c r="K1049" i="20"/>
  <c r="P1048" i="20"/>
  <c r="N1048" i="20"/>
  <c r="M1048" i="20"/>
  <c r="K1048" i="20"/>
  <c r="P1047" i="20"/>
  <c r="N1047" i="20"/>
  <c r="M1047" i="20"/>
  <c r="K1047" i="20"/>
  <c r="P1046" i="20"/>
  <c r="N1046" i="20"/>
  <c r="M1046" i="20"/>
  <c r="K1046" i="20"/>
  <c r="P1045" i="20"/>
  <c r="N1045" i="20"/>
  <c r="M1045" i="20"/>
  <c r="K1045" i="20"/>
  <c r="P1044" i="20"/>
  <c r="N1044" i="20"/>
  <c r="M1044" i="20"/>
  <c r="K1044" i="20"/>
  <c r="P1043" i="20"/>
  <c r="N1043" i="20"/>
  <c r="M1043" i="20"/>
  <c r="K1043" i="20"/>
  <c r="P1042" i="20"/>
  <c r="N1042" i="20"/>
  <c r="M1042" i="20"/>
  <c r="K1042" i="20"/>
  <c r="P1041" i="20"/>
  <c r="N1041" i="20"/>
  <c r="M1041" i="20"/>
  <c r="K1041" i="20"/>
  <c r="P1040" i="20"/>
  <c r="N1040" i="20"/>
  <c r="M1040" i="20"/>
  <c r="K1040" i="20"/>
  <c r="H1040" i="20"/>
  <c r="P1039" i="20"/>
  <c r="N1039" i="20"/>
  <c r="M1039" i="20"/>
  <c r="K1039" i="20"/>
  <c r="P1038" i="20"/>
  <c r="N1038" i="20"/>
  <c r="M1038" i="20"/>
  <c r="K1038" i="20"/>
  <c r="P1037" i="20"/>
  <c r="N1037" i="20"/>
  <c r="M1037" i="20"/>
  <c r="K1037" i="20"/>
  <c r="P1036" i="20"/>
  <c r="N1036" i="20"/>
  <c r="M1036" i="20"/>
  <c r="K1036" i="20"/>
  <c r="P1035" i="20"/>
  <c r="N1035" i="20"/>
  <c r="M1035" i="20"/>
  <c r="K1035" i="20"/>
  <c r="P1034" i="20"/>
  <c r="N1034" i="20"/>
  <c r="M1034" i="20"/>
  <c r="K1034" i="20"/>
  <c r="P1033" i="20"/>
  <c r="N1033" i="20"/>
  <c r="M1033" i="20"/>
  <c r="K1033" i="20"/>
  <c r="P1032" i="20"/>
  <c r="N1032" i="20"/>
  <c r="M1032" i="20"/>
  <c r="K1032" i="20"/>
  <c r="P1031" i="20"/>
  <c r="N1031" i="20"/>
  <c r="M1031" i="20"/>
  <c r="K1031" i="20"/>
  <c r="P1030" i="20"/>
  <c r="N1030" i="20"/>
  <c r="M1030" i="20"/>
  <c r="K1030" i="20"/>
  <c r="P1029" i="20"/>
  <c r="N1029" i="20"/>
  <c r="M1029" i="20"/>
  <c r="K1029" i="20"/>
  <c r="P1028" i="20"/>
  <c r="N1028" i="20"/>
  <c r="M1028" i="20"/>
  <c r="K1028" i="20"/>
  <c r="P1027" i="20"/>
  <c r="N1027" i="20"/>
  <c r="M1027" i="20"/>
  <c r="K1027" i="20"/>
  <c r="P1026" i="20"/>
  <c r="N1026" i="20"/>
  <c r="M1026" i="20"/>
  <c r="K1026" i="20"/>
  <c r="P1025" i="20"/>
  <c r="N1025" i="20"/>
  <c r="M1025" i="20"/>
  <c r="K1025" i="20"/>
  <c r="P1024" i="20"/>
  <c r="N1024" i="20"/>
  <c r="M1024" i="20"/>
  <c r="K1024" i="20"/>
  <c r="P1023" i="20"/>
  <c r="N1023" i="20"/>
  <c r="M1023" i="20"/>
  <c r="K1023" i="20"/>
  <c r="P1022" i="20"/>
  <c r="N1022" i="20"/>
  <c r="M1022" i="20"/>
  <c r="K1022" i="20"/>
  <c r="P1021" i="20"/>
  <c r="N1021" i="20"/>
  <c r="M1021" i="20"/>
  <c r="K1021" i="20"/>
  <c r="P1020" i="20"/>
  <c r="N1020" i="20"/>
  <c r="M1020" i="20"/>
  <c r="K1020" i="20"/>
  <c r="P1019" i="20"/>
  <c r="N1019" i="20"/>
  <c r="M1019" i="20"/>
  <c r="K1019" i="20"/>
  <c r="H1019" i="20"/>
  <c r="N1018" i="20"/>
  <c r="P1018" i="20" s="1"/>
  <c r="M1018" i="20"/>
  <c r="K1018" i="20"/>
  <c r="N1017" i="20"/>
  <c r="P1017" i="20" s="1"/>
  <c r="M1017" i="20"/>
  <c r="K1017" i="20"/>
  <c r="N1016" i="20"/>
  <c r="M1016" i="20"/>
  <c r="N1015" i="20"/>
  <c r="M1015" i="20"/>
  <c r="N1014" i="20"/>
  <c r="M1014" i="20"/>
  <c r="N1013" i="20"/>
  <c r="M1013" i="20"/>
  <c r="N1012" i="20"/>
  <c r="M1012" i="20"/>
  <c r="N1011" i="20"/>
  <c r="M1011" i="20"/>
  <c r="N1010" i="20"/>
  <c r="P1010" i="20" s="1"/>
  <c r="M1010" i="20"/>
  <c r="K1010" i="20"/>
  <c r="N1009" i="20"/>
  <c r="P1009" i="20" s="1"/>
  <c r="M1009" i="20"/>
  <c r="K1009" i="20"/>
  <c r="N1008" i="20"/>
  <c r="M1008" i="20"/>
  <c r="N1007" i="20"/>
  <c r="M1007" i="20"/>
  <c r="N1006" i="20"/>
  <c r="M1006" i="20"/>
  <c r="N1005" i="20"/>
  <c r="M1005" i="20"/>
  <c r="H1005" i="20"/>
  <c r="N1004" i="20"/>
  <c r="K1004" i="20" s="1"/>
  <c r="M1004" i="20"/>
  <c r="P1003" i="20"/>
  <c r="N1003" i="20"/>
  <c r="K1003" i="20" s="1"/>
  <c r="M1003" i="20"/>
  <c r="P1002" i="20"/>
  <c r="N1002" i="20"/>
  <c r="K1002" i="20" s="1"/>
  <c r="M1002" i="20"/>
  <c r="N1001" i="20"/>
  <c r="M1001" i="20"/>
  <c r="N1000" i="20"/>
  <c r="K1000" i="20" s="1"/>
  <c r="M1000" i="20"/>
  <c r="N999" i="20"/>
  <c r="K999" i="20" s="1"/>
  <c r="M999" i="20"/>
  <c r="N998" i="20"/>
  <c r="K998" i="20" s="1"/>
  <c r="M998" i="20"/>
  <c r="N997" i="20"/>
  <c r="M997" i="20"/>
  <c r="N996" i="20"/>
  <c r="K996" i="20" s="1"/>
  <c r="M996" i="20"/>
  <c r="P995" i="20"/>
  <c r="N995" i="20"/>
  <c r="K995" i="20" s="1"/>
  <c r="M995" i="20"/>
  <c r="N994" i="20"/>
  <c r="K994" i="20" s="1"/>
  <c r="M994" i="20"/>
  <c r="N993" i="20"/>
  <c r="M993" i="20"/>
  <c r="N992" i="20"/>
  <c r="M992" i="20"/>
  <c r="H992" i="20"/>
  <c r="N991" i="20"/>
  <c r="M991" i="20"/>
  <c r="N990" i="20"/>
  <c r="M990" i="20"/>
  <c r="N989" i="20"/>
  <c r="M989" i="20"/>
  <c r="N988" i="20"/>
  <c r="M988" i="20"/>
  <c r="N987" i="20"/>
  <c r="M987" i="20"/>
  <c r="N986" i="20"/>
  <c r="M986" i="20"/>
  <c r="N985" i="20"/>
  <c r="M985" i="20"/>
  <c r="N984" i="20"/>
  <c r="M984" i="20"/>
  <c r="N983" i="20"/>
  <c r="M983" i="20"/>
  <c r="N982" i="20"/>
  <c r="M982" i="20"/>
  <c r="N981" i="20"/>
  <c r="M981" i="20"/>
  <c r="N980" i="20"/>
  <c r="M980" i="20"/>
  <c r="N979" i="20"/>
  <c r="M979" i="20"/>
  <c r="N978" i="20"/>
  <c r="M978" i="20"/>
  <c r="N977" i="20"/>
  <c r="M977" i="20"/>
  <c r="N976" i="20"/>
  <c r="M976" i="20"/>
  <c r="N975" i="20"/>
  <c r="M975" i="20"/>
  <c r="N974" i="20"/>
  <c r="M974" i="20"/>
  <c r="N973" i="20"/>
  <c r="M973" i="20"/>
  <c r="N972" i="20"/>
  <c r="M972" i="20"/>
  <c r="N971" i="20"/>
  <c r="M971" i="20"/>
  <c r="N970" i="20"/>
  <c r="M970" i="20"/>
  <c r="N969" i="20"/>
  <c r="M969" i="20"/>
  <c r="N968" i="20"/>
  <c r="M968" i="20"/>
  <c r="N967" i="20"/>
  <c r="M967" i="20"/>
  <c r="N966" i="20"/>
  <c r="M966" i="20"/>
  <c r="H966" i="20"/>
  <c r="N965" i="20"/>
  <c r="K965" i="20" s="1"/>
  <c r="M965" i="20"/>
  <c r="N964" i="20"/>
  <c r="K964" i="20" s="1"/>
  <c r="M964" i="20"/>
  <c r="P963" i="20"/>
  <c r="N963" i="20"/>
  <c r="K963" i="20" s="1"/>
  <c r="M963" i="20"/>
  <c r="N962" i="20"/>
  <c r="K962" i="20" s="1"/>
  <c r="M962" i="20"/>
  <c r="N961" i="20"/>
  <c r="K961" i="20" s="1"/>
  <c r="M961" i="20"/>
  <c r="N960" i="20"/>
  <c r="K960" i="20" s="1"/>
  <c r="M960" i="20"/>
  <c r="N959" i="20"/>
  <c r="M959" i="20"/>
  <c r="N958" i="20"/>
  <c r="K958" i="20" s="1"/>
  <c r="M958" i="20"/>
  <c r="N957" i="20"/>
  <c r="K957" i="20" s="1"/>
  <c r="M957" i="20"/>
  <c r="N956" i="20"/>
  <c r="K956" i="20" s="1"/>
  <c r="M956" i="20"/>
  <c r="N955" i="20"/>
  <c r="K955" i="20" s="1"/>
  <c r="M955" i="20"/>
  <c r="N954" i="20"/>
  <c r="K954" i="20" s="1"/>
  <c r="M954" i="20"/>
  <c r="H954" i="20"/>
  <c r="P953" i="20"/>
  <c r="N953" i="20"/>
  <c r="M953" i="20"/>
  <c r="K953" i="20"/>
  <c r="P952" i="20"/>
  <c r="N952" i="20"/>
  <c r="M952" i="20"/>
  <c r="K952" i="20"/>
  <c r="P951" i="20"/>
  <c r="N951" i="20"/>
  <c r="M951" i="20"/>
  <c r="K951" i="20"/>
  <c r="P950" i="20"/>
  <c r="N950" i="20"/>
  <c r="M950" i="20"/>
  <c r="K950" i="20"/>
  <c r="P949" i="20"/>
  <c r="N949" i="20"/>
  <c r="M949" i="20"/>
  <c r="K949" i="20"/>
  <c r="P948" i="20"/>
  <c r="N948" i="20"/>
  <c r="M948" i="20"/>
  <c r="K948" i="20"/>
  <c r="P947" i="20"/>
  <c r="N947" i="20"/>
  <c r="M947" i="20"/>
  <c r="K947" i="20"/>
  <c r="P946" i="20"/>
  <c r="N946" i="20"/>
  <c r="M946" i="20"/>
  <c r="K946" i="20"/>
  <c r="P945" i="20"/>
  <c r="N945" i="20"/>
  <c r="M945" i="20"/>
  <c r="K945" i="20"/>
  <c r="P944" i="20"/>
  <c r="N944" i="20"/>
  <c r="M944" i="20"/>
  <c r="K944" i="20"/>
  <c r="P943" i="20"/>
  <c r="N943" i="20"/>
  <c r="M943" i="20"/>
  <c r="K943" i="20"/>
  <c r="P942" i="20"/>
  <c r="N942" i="20"/>
  <c r="M942" i="20"/>
  <c r="K942" i="20"/>
  <c r="P941" i="20"/>
  <c r="N941" i="20"/>
  <c r="M941" i="20"/>
  <c r="K941" i="20"/>
  <c r="P940" i="20"/>
  <c r="N940" i="20"/>
  <c r="M940" i="20"/>
  <c r="K940" i="20"/>
  <c r="P939" i="20"/>
  <c r="N939" i="20"/>
  <c r="M939" i="20"/>
  <c r="K939" i="20"/>
  <c r="P938" i="20"/>
  <c r="N938" i="20"/>
  <c r="M938" i="20"/>
  <c r="K938" i="20"/>
  <c r="H938" i="20"/>
  <c r="N937" i="20"/>
  <c r="P937" i="20" s="1"/>
  <c r="M937" i="20"/>
  <c r="K937" i="20"/>
  <c r="N936" i="20"/>
  <c r="P936" i="20" s="1"/>
  <c r="M936" i="20"/>
  <c r="K936" i="20"/>
  <c r="N935" i="20"/>
  <c r="M935" i="20"/>
  <c r="N934" i="20"/>
  <c r="M934" i="20"/>
  <c r="N933" i="20"/>
  <c r="P933" i="20" s="1"/>
  <c r="M933" i="20"/>
  <c r="K933" i="20"/>
  <c r="N932" i="20"/>
  <c r="P932" i="20" s="1"/>
  <c r="M932" i="20"/>
  <c r="K932" i="20"/>
  <c r="N931" i="20"/>
  <c r="M931" i="20"/>
  <c r="N930" i="20"/>
  <c r="M930" i="20"/>
  <c r="N929" i="20"/>
  <c r="P929" i="20" s="1"/>
  <c r="M929" i="20"/>
  <c r="K929" i="20"/>
  <c r="N928" i="20"/>
  <c r="P928" i="20" s="1"/>
  <c r="M928" i="20"/>
  <c r="K928" i="20"/>
  <c r="N927" i="20"/>
  <c r="M927" i="20"/>
  <c r="N926" i="20"/>
  <c r="M926" i="20"/>
  <c r="N925" i="20"/>
  <c r="P925" i="20" s="1"/>
  <c r="M925" i="20"/>
  <c r="K925" i="20"/>
  <c r="N924" i="20"/>
  <c r="P924" i="20" s="1"/>
  <c r="M924" i="20"/>
  <c r="K924" i="20"/>
  <c r="N923" i="20"/>
  <c r="M923" i="20"/>
  <c r="N922" i="20"/>
  <c r="M922" i="20"/>
  <c r="N921" i="20"/>
  <c r="P921" i="20" s="1"/>
  <c r="M921" i="20"/>
  <c r="K921" i="20"/>
  <c r="N920" i="20"/>
  <c r="P920" i="20" s="1"/>
  <c r="M920" i="20"/>
  <c r="K920" i="20"/>
  <c r="N919" i="20"/>
  <c r="M919" i="20"/>
  <c r="N918" i="20"/>
  <c r="M918" i="20"/>
  <c r="N917" i="20"/>
  <c r="P917" i="20" s="1"/>
  <c r="M917" i="20"/>
  <c r="K917" i="20"/>
  <c r="N916" i="20"/>
  <c r="P916" i="20" s="1"/>
  <c r="M916" i="20"/>
  <c r="K916" i="20"/>
  <c r="N915" i="20"/>
  <c r="M915" i="20"/>
  <c r="N914" i="20"/>
  <c r="M914" i="20"/>
  <c r="N913" i="20"/>
  <c r="P913" i="20" s="1"/>
  <c r="M913" i="20"/>
  <c r="K913" i="20"/>
  <c r="N912" i="20"/>
  <c r="P912" i="20" s="1"/>
  <c r="M912" i="20"/>
  <c r="K912" i="20"/>
  <c r="N911" i="20"/>
  <c r="M911" i="20"/>
  <c r="N910" i="20"/>
  <c r="M910" i="20"/>
  <c r="N909" i="20"/>
  <c r="P909" i="20" s="1"/>
  <c r="M909" i="20"/>
  <c r="K909" i="20"/>
  <c r="N908" i="20"/>
  <c r="P908" i="20" s="1"/>
  <c r="M908" i="20"/>
  <c r="K908" i="20"/>
  <c r="N907" i="20"/>
  <c r="M907" i="20"/>
  <c r="N906" i="20"/>
  <c r="M906" i="20"/>
  <c r="N905" i="20"/>
  <c r="P905" i="20" s="1"/>
  <c r="M905" i="20"/>
  <c r="K905" i="20"/>
  <c r="H905" i="20"/>
  <c r="N904" i="20"/>
  <c r="M904" i="20"/>
  <c r="N903" i="20"/>
  <c r="M903" i="20"/>
  <c r="N902" i="20"/>
  <c r="M902" i="20"/>
  <c r="H902" i="20"/>
  <c r="N901" i="20"/>
  <c r="K901" i="20" s="1"/>
  <c r="M901" i="20"/>
  <c r="N900" i="20"/>
  <c r="K900" i="20" s="1"/>
  <c r="M900" i="20"/>
  <c r="H900" i="20"/>
  <c r="N899" i="20"/>
  <c r="M899" i="20"/>
  <c r="N898" i="20"/>
  <c r="M898" i="20"/>
  <c r="N897" i="20"/>
  <c r="M897" i="20"/>
  <c r="N896" i="20"/>
  <c r="M896" i="20"/>
  <c r="N895" i="20"/>
  <c r="M895" i="20"/>
  <c r="N894" i="20"/>
  <c r="M894" i="20"/>
  <c r="N893" i="20"/>
  <c r="M893" i="20"/>
  <c r="N892" i="20"/>
  <c r="M892" i="20"/>
  <c r="N891" i="20"/>
  <c r="M891" i="20"/>
  <c r="N890" i="20"/>
  <c r="M890" i="20"/>
  <c r="N889" i="20"/>
  <c r="M889" i="20"/>
  <c r="N888" i="20"/>
  <c r="M888" i="20"/>
  <c r="N887" i="20"/>
  <c r="M887" i="20"/>
  <c r="N886" i="20"/>
  <c r="M886" i="20"/>
  <c r="N885" i="20"/>
  <c r="M885" i="20"/>
  <c r="N884" i="20"/>
  <c r="M884" i="20"/>
  <c r="N883" i="20"/>
  <c r="M883" i="20"/>
  <c r="N882" i="20"/>
  <c r="M882" i="20"/>
  <c r="N881" i="20"/>
  <c r="M881" i="20"/>
  <c r="N880" i="20"/>
  <c r="M880" i="20"/>
  <c r="N879" i="20"/>
  <c r="M879" i="20"/>
  <c r="N878" i="20"/>
  <c r="M878" i="20"/>
  <c r="N877" i="20"/>
  <c r="M877" i="20"/>
  <c r="N876" i="20"/>
  <c r="M876" i="20"/>
  <c r="N875" i="20"/>
  <c r="M875" i="20"/>
  <c r="N874" i="20"/>
  <c r="M874" i="20"/>
  <c r="N873" i="20"/>
  <c r="M873" i="20"/>
  <c r="N872" i="20"/>
  <c r="M872" i="20"/>
  <c r="N871" i="20"/>
  <c r="M871" i="20"/>
  <c r="N870" i="20"/>
  <c r="M870" i="20"/>
  <c r="H870" i="20"/>
  <c r="N869" i="20"/>
  <c r="P869" i="20" s="1"/>
  <c r="M869" i="20"/>
  <c r="N868" i="20"/>
  <c r="P868" i="20" s="1"/>
  <c r="M868" i="20"/>
  <c r="K868" i="20"/>
  <c r="H868" i="20"/>
  <c r="P867" i="20"/>
  <c r="N867" i="20"/>
  <c r="K867" i="20" s="1"/>
  <c r="M867" i="20"/>
  <c r="H867" i="20"/>
  <c r="P866" i="20"/>
  <c r="N866" i="20"/>
  <c r="K866" i="20" s="1"/>
  <c r="M866" i="20"/>
  <c r="P865" i="20"/>
  <c r="N865" i="20"/>
  <c r="K865" i="20" s="1"/>
  <c r="M865" i="20"/>
  <c r="N864" i="20"/>
  <c r="K864" i="20" s="1"/>
  <c r="M864" i="20"/>
  <c r="N863" i="20"/>
  <c r="M863" i="20"/>
  <c r="P862" i="20"/>
  <c r="N862" i="20"/>
  <c r="K862" i="20" s="1"/>
  <c r="M862" i="20"/>
  <c r="P861" i="20"/>
  <c r="N861" i="20"/>
  <c r="K861" i="20" s="1"/>
  <c r="M861" i="20"/>
  <c r="P860" i="20"/>
  <c r="N860" i="20"/>
  <c r="K860" i="20" s="1"/>
  <c r="M860" i="20"/>
  <c r="N859" i="20"/>
  <c r="M859" i="20"/>
  <c r="P858" i="20"/>
  <c r="N858" i="20"/>
  <c r="K858" i="20" s="1"/>
  <c r="M858" i="20"/>
  <c r="P857" i="20"/>
  <c r="N857" i="20"/>
  <c r="K857" i="20" s="1"/>
  <c r="M857" i="20"/>
  <c r="N856" i="20"/>
  <c r="K856" i="20" s="1"/>
  <c r="M856" i="20"/>
  <c r="H856" i="20"/>
  <c r="N855" i="20"/>
  <c r="K855" i="20" s="1"/>
  <c r="M855" i="20"/>
  <c r="N854" i="20"/>
  <c r="K854" i="20" s="1"/>
  <c r="M854" i="20"/>
  <c r="N853" i="20"/>
  <c r="K853" i="20" s="1"/>
  <c r="M853" i="20"/>
  <c r="P852" i="20"/>
  <c r="N852" i="20"/>
  <c r="K852" i="20" s="1"/>
  <c r="M852" i="20"/>
  <c r="N851" i="20"/>
  <c r="K851" i="20" s="1"/>
  <c r="M851" i="20"/>
  <c r="N850" i="20"/>
  <c r="K850" i="20" s="1"/>
  <c r="M850" i="20"/>
  <c r="N849" i="20"/>
  <c r="K849" i="20" s="1"/>
  <c r="M849" i="20"/>
  <c r="P848" i="20"/>
  <c r="N848" i="20"/>
  <c r="K848" i="20" s="1"/>
  <c r="M848" i="20"/>
  <c r="H848" i="20"/>
  <c r="N847" i="20"/>
  <c r="P847" i="20" s="1"/>
  <c r="M847" i="20"/>
  <c r="H847" i="20"/>
  <c r="N846" i="20"/>
  <c r="K846" i="20" s="1"/>
  <c r="M846" i="20"/>
  <c r="N845" i="20"/>
  <c r="K845" i="20" s="1"/>
  <c r="M845" i="20"/>
  <c r="P844" i="20"/>
  <c r="N844" i="20"/>
  <c r="K844" i="20" s="1"/>
  <c r="M844" i="20"/>
  <c r="N843" i="20"/>
  <c r="K843" i="20" s="1"/>
  <c r="M843" i="20"/>
  <c r="P842" i="20"/>
  <c r="N842" i="20"/>
  <c r="K842" i="20" s="1"/>
  <c r="M842" i="20"/>
  <c r="N841" i="20"/>
  <c r="K841" i="20" s="1"/>
  <c r="M841" i="20"/>
  <c r="N840" i="20"/>
  <c r="M840" i="20"/>
  <c r="N839" i="20"/>
  <c r="K839" i="20" s="1"/>
  <c r="M839" i="20"/>
  <c r="N838" i="20"/>
  <c r="K838" i="20" s="1"/>
  <c r="M838" i="20"/>
  <c r="N837" i="20"/>
  <c r="K837" i="20" s="1"/>
  <c r="M837" i="20"/>
  <c r="P836" i="20"/>
  <c r="N836" i="20"/>
  <c r="K836" i="20" s="1"/>
  <c r="M836" i="20"/>
  <c r="N835" i="20"/>
  <c r="K835" i="20" s="1"/>
  <c r="M835" i="20"/>
  <c r="N834" i="20"/>
  <c r="M834" i="20"/>
  <c r="P833" i="20"/>
  <c r="N833" i="20"/>
  <c r="K833" i="20" s="1"/>
  <c r="M833" i="20"/>
  <c r="H833" i="20"/>
  <c r="N832" i="20"/>
  <c r="K832" i="20" s="1"/>
  <c r="M832" i="20"/>
  <c r="H832" i="20"/>
  <c r="P831" i="20"/>
  <c r="N831" i="20"/>
  <c r="M831" i="20"/>
  <c r="K831" i="20"/>
  <c r="P830" i="20"/>
  <c r="N830" i="20"/>
  <c r="M830" i="20"/>
  <c r="K830" i="20"/>
  <c r="P829" i="20"/>
  <c r="N829" i="20"/>
  <c r="M829" i="20"/>
  <c r="K829" i="20"/>
  <c r="P828" i="20"/>
  <c r="N828" i="20"/>
  <c r="M828" i="20"/>
  <c r="K828" i="20"/>
  <c r="P827" i="20"/>
  <c r="N827" i="20"/>
  <c r="M827" i="20"/>
  <c r="K827" i="20"/>
  <c r="P826" i="20"/>
  <c r="N826" i="20"/>
  <c r="M826" i="20"/>
  <c r="K826" i="20"/>
  <c r="P825" i="20"/>
  <c r="N825" i="20"/>
  <c r="M825" i="20"/>
  <c r="K825" i="20"/>
  <c r="H825" i="20"/>
  <c r="N824" i="20"/>
  <c r="P824" i="20" s="1"/>
  <c r="M824" i="20"/>
  <c r="K824" i="20"/>
  <c r="N823" i="20"/>
  <c r="M823" i="20"/>
  <c r="N822" i="20"/>
  <c r="M822" i="20"/>
  <c r="N821" i="20"/>
  <c r="P821" i="20" s="1"/>
  <c r="M821" i="20"/>
  <c r="K821" i="20"/>
  <c r="N820" i="20"/>
  <c r="P820" i="20" s="1"/>
  <c r="M820" i="20"/>
  <c r="K820" i="20"/>
  <c r="N819" i="20"/>
  <c r="M819" i="20"/>
  <c r="N818" i="20"/>
  <c r="M818" i="20"/>
  <c r="N817" i="20"/>
  <c r="P817" i="20" s="1"/>
  <c r="M817" i="20"/>
  <c r="K817" i="20"/>
  <c r="N816" i="20"/>
  <c r="P816" i="20" s="1"/>
  <c r="M816" i="20"/>
  <c r="K816" i="20"/>
  <c r="N815" i="20"/>
  <c r="M815" i="20"/>
  <c r="N814" i="20"/>
  <c r="M814" i="20"/>
  <c r="N813" i="20"/>
  <c r="P813" i="20" s="1"/>
  <c r="M813" i="20"/>
  <c r="K813" i="20"/>
  <c r="N812" i="20"/>
  <c r="P812" i="20" s="1"/>
  <c r="M812" i="20"/>
  <c r="K812" i="20"/>
  <c r="N811" i="20"/>
  <c r="M811" i="20"/>
  <c r="N810" i="20"/>
  <c r="M810" i="20"/>
  <c r="N809" i="20"/>
  <c r="P809" i="20" s="1"/>
  <c r="M809" i="20"/>
  <c r="K809" i="20"/>
  <c r="N808" i="20"/>
  <c r="P808" i="20" s="1"/>
  <c r="M808" i="20"/>
  <c r="K808" i="20"/>
  <c r="N807" i="20"/>
  <c r="M807" i="20"/>
  <c r="N806" i="20"/>
  <c r="M806" i="20"/>
  <c r="N805" i="20"/>
  <c r="P805" i="20" s="1"/>
  <c r="M805" i="20"/>
  <c r="K805" i="20"/>
  <c r="N804" i="20"/>
  <c r="P804" i="20" s="1"/>
  <c r="M804" i="20"/>
  <c r="K804" i="20"/>
  <c r="H804" i="20"/>
  <c r="N803" i="20"/>
  <c r="P803" i="20" s="1"/>
  <c r="M803" i="20"/>
  <c r="N802" i="20"/>
  <c r="P802" i="20" s="1"/>
  <c r="M802" i="20"/>
  <c r="N801" i="20"/>
  <c r="P801" i="20" s="1"/>
  <c r="M801" i="20"/>
  <c r="N800" i="20"/>
  <c r="P800" i="20" s="1"/>
  <c r="M800" i="20"/>
  <c r="N799" i="20"/>
  <c r="P799" i="20" s="1"/>
  <c r="M799" i="20"/>
  <c r="N798" i="20"/>
  <c r="P798" i="20" s="1"/>
  <c r="M798" i="20"/>
  <c r="H798" i="20"/>
  <c r="N797" i="20"/>
  <c r="K797" i="20" s="1"/>
  <c r="M797" i="20"/>
  <c r="N796" i="20"/>
  <c r="K796" i="20" s="1"/>
  <c r="M796" i="20"/>
  <c r="N795" i="20"/>
  <c r="K795" i="20" s="1"/>
  <c r="M795" i="20"/>
  <c r="N794" i="20"/>
  <c r="K794" i="20" s="1"/>
  <c r="M794" i="20"/>
  <c r="N793" i="20"/>
  <c r="K793" i="20" s="1"/>
  <c r="M793" i="20"/>
  <c r="N792" i="20"/>
  <c r="K792" i="20" s="1"/>
  <c r="M792" i="20"/>
  <c r="N791" i="20"/>
  <c r="K791" i="20" s="1"/>
  <c r="M791" i="20"/>
  <c r="N790" i="20"/>
  <c r="K790" i="20" s="1"/>
  <c r="M790" i="20"/>
  <c r="H790" i="20"/>
  <c r="N789" i="20"/>
  <c r="K789" i="20" s="1"/>
  <c r="M789" i="20"/>
  <c r="N788" i="20"/>
  <c r="K788" i="20" s="1"/>
  <c r="M788" i="20"/>
  <c r="N787" i="20"/>
  <c r="K787" i="20" s="1"/>
  <c r="M787" i="20"/>
  <c r="P786" i="20"/>
  <c r="N786" i="20"/>
  <c r="K786" i="20" s="1"/>
  <c r="M786" i="20"/>
  <c r="N785" i="20"/>
  <c r="K785" i="20" s="1"/>
  <c r="M785" i="20"/>
  <c r="N784" i="20"/>
  <c r="K784" i="20" s="1"/>
  <c r="M784" i="20"/>
  <c r="N783" i="20"/>
  <c r="K783" i="20" s="1"/>
  <c r="M783" i="20"/>
  <c r="P782" i="20"/>
  <c r="N782" i="20"/>
  <c r="K782" i="20" s="1"/>
  <c r="M782" i="20"/>
  <c r="N781" i="20"/>
  <c r="K781" i="20" s="1"/>
  <c r="M781" i="20"/>
  <c r="N780" i="20"/>
  <c r="K780" i="20" s="1"/>
  <c r="M780" i="20"/>
  <c r="N779" i="20"/>
  <c r="K779" i="20" s="1"/>
  <c r="M779" i="20"/>
  <c r="P778" i="20"/>
  <c r="N778" i="20"/>
  <c r="K778" i="20" s="1"/>
  <c r="M778" i="20"/>
  <c r="H778" i="20"/>
  <c r="N777" i="20"/>
  <c r="M777" i="20"/>
  <c r="N776" i="20"/>
  <c r="M776" i="20"/>
  <c r="N775" i="20"/>
  <c r="P775" i="20" s="1"/>
  <c r="M775" i="20"/>
  <c r="K775" i="20"/>
  <c r="N774" i="20"/>
  <c r="P774" i="20" s="1"/>
  <c r="M774" i="20"/>
  <c r="K774" i="20"/>
  <c r="N773" i="20"/>
  <c r="M773" i="20"/>
  <c r="N772" i="20"/>
  <c r="M772" i="20"/>
  <c r="H772" i="20"/>
  <c r="N771" i="20"/>
  <c r="P771" i="20" s="1"/>
  <c r="M771" i="20"/>
  <c r="N770" i="20"/>
  <c r="P770" i="20" s="1"/>
  <c r="M770" i="20"/>
  <c r="N769" i="20"/>
  <c r="P769" i="20" s="1"/>
  <c r="M769" i="20"/>
  <c r="N768" i="20"/>
  <c r="P768" i="20" s="1"/>
  <c r="M768" i="20"/>
  <c r="N767" i="20"/>
  <c r="P767" i="20" s="1"/>
  <c r="M767" i="20"/>
  <c r="N766" i="20"/>
  <c r="P766" i="20" s="1"/>
  <c r="M766" i="20"/>
  <c r="H766" i="20"/>
  <c r="N765" i="20"/>
  <c r="K765" i="20" s="1"/>
  <c r="M765" i="20"/>
  <c r="N764" i="20"/>
  <c r="K764" i="20" s="1"/>
  <c r="M764" i="20"/>
  <c r="N763" i="20"/>
  <c r="K763" i="20" s="1"/>
  <c r="M763" i="20"/>
  <c r="N762" i="20"/>
  <c r="K762" i="20" s="1"/>
  <c r="M762" i="20"/>
  <c r="N761" i="20"/>
  <c r="K761" i="20" s="1"/>
  <c r="M761" i="20"/>
  <c r="N760" i="20"/>
  <c r="K760" i="20" s="1"/>
  <c r="M760" i="20"/>
  <c r="N759" i="20"/>
  <c r="K759" i="20" s="1"/>
  <c r="M759" i="20"/>
  <c r="N758" i="20"/>
  <c r="K758" i="20" s="1"/>
  <c r="M758" i="20"/>
  <c r="N757" i="20"/>
  <c r="K757" i="20" s="1"/>
  <c r="M757" i="20"/>
  <c r="N756" i="20"/>
  <c r="K756" i="20" s="1"/>
  <c r="M756" i="20"/>
  <c r="N755" i="20"/>
  <c r="K755" i="20" s="1"/>
  <c r="M755" i="20"/>
  <c r="N754" i="20"/>
  <c r="K754" i="20" s="1"/>
  <c r="M754" i="20"/>
  <c r="N753" i="20"/>
  <c r="K753" i="20" s="1"/>
  <c r="M753" i="20"/>
  <c r="N752" i="20"/>
  <c r="K752" i="20" s="1"/>
  <c r="M752" i="20"/>
  <c r="N751" i="20"/>
  <c r="K751" i="20" s="1"/>
  <c r="M751" i="20"/>
  <c r="H751" i="20"/>
  <c r="N750" i="20"/>
  <c r="K750" i="20" s="1"/>
  <c r="M750" i="20"/>
  <c r="N749" i="20"/>
  <c r="K749" i="20" s="1"/>
  <c r="M749" i="20"/>
  <c r="N748" i="20"/>
  <c r="K748" i="20" s="1"/>
  <c r="M748" i="20"/>
  <c r="P747" i="20"/>
  <c r="N747" i="20"/>
  <c r="K747" i="20" s="1"/>
  <c r="M747" i="20"/>
  <c r="H747" i="20"/>
  <c r="N746" i="20"/>
  <c r="M746" i="20"/>
  <c r="N745" i="20"/>
  <c r="M745" i="20"/>
  <c r="N744" i="20"/>
  <c r="P744" i="20" s="1"/>
  <c r="M744" i="20"/>
  <c r="K744" i="20"/>
  <c r="N743" i="20"/>
  <c r="P743" i="20" s="1"/>
  <c r="M743" i="20"/>
  <c r="K743" i="20"/>
  <c r="H743" i="20"/>
  <c r="N742" i="20"/>
  <c r="P742" i="20" s="1"/>
  <c r="M742" i="20"/>
  <c r="N741" i="20"/>
  <c r="P741" i="20" s="1"/>
  <c r="M741" i="20"/>
  <c r="N740" i="20"/>
  <c r="P740" i="20" s="1"/>
  <c r="M740" i="20"/>
  <c r="N739" i="20"/>
  <c r="P739" i="20" s="1"/>
  <c r="M739" i="20"/>
  <c r="N738" i="20"/>
  <c r="P738" i="20" s="1"/>
  <c r="M738" i="20"/>
  <c r="N737" i="20"/>
  <c r="P737" i="20" s="1"/>
  <c r="M737" i="20"/>
  <c r="N736" i="20"/>
  <c r="P736" i="20" s="1"/>
  <c r="M736" i="20"/>
  <c r="N735" i="20"/>
  <c r="P735" i="20" s="1"/>
  <c r="M735" i="20"/>
  <c r="H735" i="20"/>
  <c r="N734" i="20"/>
  <c r="M734" i="20"/>
  <c r="N733" i="20"/>
  <c r="M733" i="20"/>
  <c r="N732" i="20"/>
  <c r="M732" i="20"/>
  <c r="H732" i="20"/>
  <c r="P731" i="20"/>
  <c r="N731" i="20"/>
  <c r="M731" i="20"/>
  <c r="K731" i="20"/>
  <c r="P730" i="20"/>
  <c r="N730" i="20"/>
  <c r="M730" i="20"/>
  <c r="K730" i="20"/>
  <c r="P729" i="20"/>
  <c r="N729" i="20"/>
  <c r="M729" i="20"/>
  <c r="K729" i="20"/>
  <c r="P728" i="20"/>
  <c r="N728" i="20"/>
  <c r="M728" i="20"/>
  <c r="K728" i="20"/>
  <c r="P727" i="20"/>
  <c r="N727" i="20"/>
  <c r="M727" i="20"/>
  <c r="K727" i="20"/>
  <c r="P726" i="20"/>
  <c r="N726" i="20"/>
  <c r="M726" i="20"/>
  <c r="K726" i="20"/>
  <c r="P725" i="20"/>
  <c r="N725" i="20"/>
  <c r="M725" i="20"/>
  <c r="K725" i="20"/>
  <c r="P724" i="20"/>
  <c r="N724" i="20"/>
  <c r="M724" i="20"/>
  <c r="K724" i="20"/>
  <c r="H724" i="20"/>
  <c r="N723" i="20"/>
  <c r="P723" i="20" s="1"/>
  <c r="M723" i="20"/>
  <c r="K723" i="20"/>
  <c r="N722" i="20"/>
  <c r="P722" i="20" s="1"/>
  <c r="M722" i="20"/>
  <c r="K722" i="20"/>
  <c r="N721" i="20"/>
  <c r="M721" i="20"/>
  <c r="N720" i="20"/>
  <c r="M720" i="20"/>
  <c r="N719" i="20"/>
  <c r="P719" i="20" s="1"/>
  <c r="M719" i="20"/>
  <c r="K719" i="20"/>
  <c r="N718" i="20"/>
  <c r="P718" i="20" s="1"/>
  <c r="M718" i="20"/>
  <c r="K718" i="20"/>
  <c r="N717" i="20"/>
  <c r="M717" i="20"/>
  <c r="N716" i="20"/>
  <c r="M716" i="20"/>
  <c r="N715" i="20"/>
  <c r="P715" i="20" s="1"/>
  <c r="M715" i="20"/>
  <c r="K715" i="20"/>
  <c r="N714" i="20"/>
  <c r="P714" i="20" s="1"/>
  <c r="M714" i="20"/>
  <c r="K714" i="20"/>
  <c r="N713" i="20"/>
  <c r="M713" i="20"/>
  <c r="N712" i="20"/>
  <c r="M712" i="20"/>
  <c r="N711" i="20"/>
  <c r="P711" i="20" s="1"/>
  <c r="M711" i="20"/>
  <c r="K711" i="20"/>
  <c r="N710" i="20"/>
  <c r="P710" i="20" s="1"/>
  <c r="M710" i="20"/>
  <c r="K710" i="20"/>
  <c r="N709" i="20"/>
  <c r="M709" i="20"/>
  <c r="N708" i="20"/>
  <c r="M708" i="20"/>
  <c r="N707" i="20"/>
  <c r="P707" i="20" s="1"/>
  <c r="M707" i="20"/>
  <c r="K707" i="20"/>
  <c r="N706" i="20"/>
  <c r="P706" i="20" s="1"/>
  <c r="M706" i="20"/>
  <c r="K706" i="20"/>
  <c r="N705" i="20"/>
  <c r="M705" i="20"/>
  <c r="N704" i="20"/>
  <c r="M704" i="20"/>
  <c r="N703" i="20"/>
  <c r="P703" i="20" s="1"/>
  <c r="M703" i="20"/>
  <c r="K703" i="20"/>
  <c r="N702" i="20"/>
  <c r="P702" i="20" s="1"/>
  <c r="M702" i="20"/>
  <c r="K702" i="20"/>
  <c r="N701" i="20"/>
  <c r="M701" i="20"/>
  <c r="H701" i="20"/>
  <c r="N700" i="20"/>
  <c r="P700" i="20" s="1"/>
  <c r="M700" i="20"/>
  <c r="N699" i="20"/>
  <c r="P699" i="20" s="1"/>
  <c r="M699" i="20"/>
  <c r="N698" i="20"/>
  <c r="P698" i="20" s="1"/>
  <c r="M698" i="20"/>
  <c r="N697" i="20"/>
  <c r="P697" i="20" s="1"/>
  <c r="M697" i="20"/>
  <c r="N696" i="20"/>
  <c r="P696" i="20" s="1"/>
  <c r="M696" i="20"/>
  <c r="N695" i="20"/>
  <c r="P695" i="20" s="1"/>
  <c r="M695" i="20"/>
  <c r="N694" i="20"/>
  <c r="P694" i="20" s="1"/>
  <c r="M694" i="20"/>
  <c r="N693" i="20"/>
  <c r="P693" i="20" s="1"/>
  <c r="M693" i="20"/>
  <c r="N692" i="20"/>
  <c r="P692" i="20" s="1"/>
  <c r="M692" i="20"/>
  <c r="N691" i="20"/>
  <c r="P691" i="20" s="1"/>
  <c r="M691" i="20"/>
  <c r="N690" i="20"/>
  <c r="P690" i="20" s="1"/>
  <c r="M690" i="20"/>
  <c r="N689" i="20"/>
  <c r="P689" i="20" s="1"/>
  <c r="M689" i="20"/>
  <c r="N688" i="20"/>
  <c r="P688" i="20" s="1"/>
  <c r="M688" i="20"/>
  <c r="N687" i="20"/>
  <c r="P687" i="20" s="1"/>
  <c r="M687" i="20"/>
  <c r="N686" i="20"/>
  <c r="P686" i="20" s="1"/>
  <c r="M686" i="20"/>
  <c r="N685" i="20"/>
  <c r="P685" i="20" s="1"/>
  <c r="M685" i="20"/>
  <c r="N684" i="20"/>
  <c r="P684" i="20" s="1"/>
  <c r="M684" i="20"/>
  <c r="N683" i="20"/>
  <c r="P683" i="20" s="1"/>
  <c r="M683" i="20"/>
  <c r="N682" i="20"/>
  <c r="P682" i="20" s="1"/>
  <c r="M682" i="20"/>
  <c r="N681" i="20"/>
  <c r="P681" i="20" s="1"/>
  <c r="M681" i="20"/>
  <c r="N680" i="20"/>
  <c r="P680" i="20" s="1"/>
  <c r="M680" i="20"/>
  <c r="N679" i="20"/>
  <c r="P679" i="20" s="1"/>
  <c r="M679" i="20"/>
  <c r="H679" i="20"/>
  <c r="N678" i="20"/>
  <c r="M678" i="20"/>
  <c r="N677" i="20"/>
  <c r="M677" i="20"/>
  <c r="H677" i="20"/>
  <c r="N676" i="20"/>
  <c r="M676" i="20"/>
  <c r="N675" i="20"/>
  <c r="M675" i="20"/>
  <c r="N674" i="20"/>
  <c r="M674" i="20"/>
  <c r="N673" i="20"/>
  <c r="M673" i="20"/>
  <c r="N672" i="20"/>
  <c r="M672" i="20"/>
  <c r="N671" i="20"/>
  <c r="M671" i="20"/>
  <c r="N670" i="20"/>
  <c r="M670" i="20"/>
  <c r="N669" i="20"/>
  <c r="M669" i="20"/>
  <c r="N668" i="20"/>
  <c r="M668" i="20"/>
  <c r="N667" i="20"/>
  <c r="M667" i="20"/>
  <c r="N666" i="20"/>
  <c r="M666" i="20"/>
  <c r="N665" i="20"/>
  <c r="M665" i="20"/>
  <c r="N664" i="20"/>
  <c r="M664" i="20"/>
  <c r="N663" i="20"/>
  <c r="M663" i="20"/>
  <c r="N662" i="20"/>
  <c r="M662" i="20"/>
  <c r="N661" i="20"/>
  <c r="M661" i="20"/>
  <c r="N660" i="20"/>
  <c r="M660" i="20"/>
  <c r="H660" i="20"/>
  <c r="N659" i="20"/>
  <c r="M659" i="20"/>
  <c r="H659" i="20"/>
  <c r="N658" i="20"/>
  <c r="M658" i="20"/>
  <c r="N657" i="20"/>
  <c r="M657" i="20"/>
  <c r="N656" i="20"/>
  <c r="M656" i="20"/>
  <c r="N655" i="20"/>
  <c r="M655" i="20"/>
  <c r="N654" i="20"/>
  <c r="M654" i="20"/>
  <c r="N653" i="20"/>
  <c r="M653" i="20"/>
  <c r="N652" i="20"/>
  <c r="M652" i="20"/>
  <c r="N651" i="20"/>
  <c r="K651" i="20" s="1"/>
  <c r="M651" i="20"/>
  <c r="N650" i="20"/>
  <c r="K650" i="20" s="1"/>
  <c r="M650" i="20"/>
  <c r="H650" i="20"/>
  <c r="N649" i="20"/>
  <c r="K649" i="20" s="1"/>
  <c r="M649" i="20"/>
  <c r="N648" i="20"/>
  <c r="K648" i="20" s="1"/>
  <c r="M648" i="20"/>
  <c r="N647" i="20"/>
  <c r="K647" i="20" s="1"/>
  <c r="M647" i="20"/>
  <c r="P646" i="20"/>
  <c r="N646" i="20"/>
  <c r="K646" i="20" s="1"/>
  <c r="M646" i="20"/>
  <c r="N645" i="20"/>
  <c r="K645" i="20" s="1"/>
  <c r="M645" i="20"/>
  <c r="N644" i="20"/>
  <c r="K644" i="20" s="1"/>
  <c r="M644" i="20"/>
  <c r="N643" i="20"/>
  <c r="K643" i="20" s="1"/>
  <c r="M643" i="20"/>
  <c r="P642" i="20"/>
  <c r="N642" i="20"/>
  <c r="K642" i="20" s="1"/>
  <c r="M642" i="20"/>
  <c r="N641" i="20"/>
  <c r="K641" i="20" s="1"/>
  <c r="M641" i="20"/>
  <c r="H641" i="20"/>
  <c r="P640" i="20"/>
  <c r="N640" i="20"/>
  <c r="M640" i="20"/>
  <c r="K640" i="20"/>
  <c r="P639" i="20"/>
  <c r="N639" i="20"/>
  <c r="M639" i="20"/>
  <c r="K639" i="20"/>
  <c r="P638" i="20"/>
  <c r="N638" i="20"/>
  <c r="M638" i="20"/>
  <c r="K638" i="20"/>
  <c r="P637" i="20"/>
  <c r="N637" i="20"/>
  <c r="M637" i="20"/>
  <c r="K637" i="20"/>
  <c r="P636" i="20"/>
  <c r="N636" i="20"/>
  <c r="M636" i="20"/>
  <c r="K636" i="20"/>
  <c r="P635" i="20"/>
  <c r="N635" i="20"/>
  <c r="M635" i="20"/>
  <c r="K635" i="20"/>
  <c r="P634" i="20"/>
  <c r="N634" i="20"/>
  <c r="M634" i="20"/>
  <c r="K634" i="20"/>
  <c r="P633" i="20"/>
  <c r="N633" i="20"/>
  <c r="M633" i="20"/>
  <c r="K633" i="20"/>
  <c r="H633" i="20"/>
  <c r="N632" i="20"/>
  <c r="P632" i="20" s="1"/>
  <c r="M632" i="20"/>
  <c r="K632" i="20"/>
  <c r="N631" i="20"/>
  <c r="M631" i="20"/>
  <c r="N630" i="20"/>
  <c r="M630" i="20"/>
  <c r="N629" i="20"/>
  <c r="P629" i="20" s="1"/>
  <c r="M629" i="20"/>
  <c r="N628" i="20"/>
  <c r="M628" i="20"/>
  <c r="N627" i="20"/>
  <c r="M627" i="20"/>
  <c r="H627" i="20"/>
  <c r="N626" i="20"/>
  <c r="K626" i="20" s="1"/>
  <c r="M626" i="20"/>
  <c r="P625" i="20"/>
  <c r="N625" i="20"/>
  <c r="K625" i="20" s="1"/>
  <c r="M625" i="20"/>
  <c r="N624" i="20"/>
  <c r="K624" i="20" s="1"/>
  <c r="M624" i="20"/>
  <c r="N623" i="20"/>
  <c r="M623" i="20"/>
  <c r="N622" i="20"/>
  <c r="K622" i="20" s="1"/>
  <c r="M622" i="20"/>
  <c r="N621" i="20"/>
  <c r="K621" i="20" s="1"/>
  <c r="M621" i="20"/>
  <c r="N620" i="20"/>
  <c r="K620" i="20" s="1"/>
  <c r="M620" i="20"/>
  <c r="H620" i="20"/>
  <c r="N619" i="20"/>
  <c r="P619" i="20" s="1"/>
  <c r="M619" i="20"/>
  <c r="K619" i="20"/>
  <c r="N618" i="20"/>
  <c r="M618" i="20"/>
  <c r="N617" i="20"/>
  <c r="M617" i="20"/>
  <c r="N616" i="20"/>
  <c r="P616" i="20" s="1"/>
  <c r="M616" i="20"/>
  <c r="K616" i="20"/>
  <c r="N615" i="20"/>
  <c r="P615" i="20" s="1"/>
  <c r="M615" i="20"/>
  <c r="K615" i="20"/>
  <c r="N614" i="20"/>
  <c r="M614" i="20"/>
  <c r="N613" i="20"/>
  <c r="M613" i="20"/>
  <c r="N612" i="20"/>
  <c r="P612" i="20" s="1"/>
  <c r="M612" i="20"/>
  <c r="K612" i="20"/>
  <c r="N611" i="20"/>
  <c r="P611" i="20" s="1"/>
  <c r="M611" i="20"/>
  <c r="K611" i="20"/>
  <c r="N610" i="20"/>
  <c r="M610" i="20"/>
  <c r="H610" i="20"/>
  <c r="P609" i="20"/>
  <c r="N609" i="20"/>
  <c r="M609" i="20"/>
  <c r="K609" i="20"/>
  <c r="P608" i="20"/>
  <c r="N608" i="20"/>
  <c r="M608" i="20"/>
  <c r="K608" i="20"/>
  <c r="P607" i="20"/>
  <c r="N607" i="20"/>
  <c r="M607" i="20"/>
  <c r="K607" i="20"/>
  <c r="P606" i="20"/>
  <c r="N606" i="20"/>
  <c r="M606" i="20"/>
  <c r="K606" i="20"/>
  <c r="P605" i="20"/>
  <c r="N605" i="20"/>
  <c r="M605" i="20"/>
  <c r="K605" i="20"/>
  <c r="H605" i="20"/>
  <c r="N604" i="20"/>
  <c r="P604" i="20" s="1"/>
  <c r="M604" i="20"/>
  <c r="K604" i="20"/>
  <c r="N603" i="20"/>
  <c r="M603" i="20"/>
  <c r="N602" i="20"/>
  <c r="P602" i="20" s="1"/>
  <c r="M602" i="20"/>
  <c r="N601" i="20"/>
  <c r="P601" i="20" s="1"/>
  <c r="M601" i="20"/>
  <c r="H601" i="20"/>
  <c r="P600" i="20"/>
  <c r="N600" i="20"/>
  <c r="K600" i="20" s="1"/>
  <c r="M600" i="20"/>
  <c r="H600" i="20"/>
  <c r="P599" i="20"/>
  <c r="N599" i="20"/>
  <c r="K599" i="20" s="1"/>
  <c r="M599" i="20"/>
  <c r="N598" i="20"/>
  <c r="K598" i="20" s="1"/>
  <c r="M598" i="20"/>
  <c r="N597" i="20"/>
  <c r="M597" i="20"/>
  <c r="P596" i="20"/>
  <c r="N596" i="20"/>
  <c r="K596" i="20" s="1"/>
  <c r="M596" i="20"/>
  <c r="P595" i="20"/>
  <c r="N595" i="20"/>
  <c r="K595" i="20" s="1"/>
  <c r="M595" i="20"/>
  <c r="H595" i="20"/>
  <c r="P594" i="20"/>
  <c r="N594" i="20"/>
  <c r="M594" i="20"/>
  <c r="K594" i="20"/>
  <c r="P593" i="20"/>
  <c r="N593" i="20"/>
  <c r="M593" i="20"/>
  <c r="K593" i="20"/>
  <c r="P592" i="20"/>
  <c r="N592" i="20"/>
  <c r="M592" i="20"/>
  <c r="K592" i="20"/>
  <c r="P591" i="20"/>
  <c r="N591" i="20"/>
  <c r="M591" i="20"/>
  <c r="K591" i="20"/>
  <c r="P590" i="20"/>
  <c r="N590" i="20"/>
  <c r="M590" i="20"/>
  <c r="K590" i="20"/>
  <c r="P589" i="20"/>
  <c r="N589" i="20"/>
  <c r="M589" i="20"/>
  <c r="K589" i="20"/>
  <c r="P588" i="20"/>
  <c r="N588" i="20"/>
  <c r="M588" i="20"/>
  <c r="K588" i="20"/>
  <c r="P587" i="20"/>
  <c r="N587" i="20"/>
  <c r="M587" i="20"/>
  <c r="K587" i="20"/>
  <c r="P586" i="20"/>
  <c r="N586" i="20"/>
  <c r="M586" i="20"/>
  <c r="K586" i="20"/>
  <c r="P585" i="20"/>
  <c r="N585" i="20"/>
  <c r="M585" i="20"/>
  <c r="K585" i="20"/>
  <c r="P584" i="20"/>
  <c r="N584" i="20"/>
  <c r="M584" i="20"/>
  <c r="K584" i="20"/>
  <c r="P583" i="20"/>
  <c r="N583" i="20"/>
  <c r="M583" i="20"/>
  <c r="K583" i="20"/>
  <c r="P582" i="20"/>
  <c r="N582" i="20"/>
  <c r="M582" i="20"/>
  <c r="K582" i="20"/>
  <c r="P581" i="20"/>
  <c r="N581" i="20"/>
  <c r="M581" i="20"/>
  <c r="K581" i="20"/>
  <c r="H581" i="20"/>
  <c r="N580" i="20"/>
  <c r="P580" i="20" s="1"/>
  <c r="M580" i="20"/>
  <c r="K580" i="20"/>
  <c r="N579" i="20"/>
  <c r="P579" i="20" s="1"/>
  <c r="M579" i="20"/>
  <c r="N578" i="20"/>
  <c r="P578" i="20" s="1"/>
  <c r="M578" i="20"/>
  <c r="N577" i="20"/>
  <c r="M577" i="20"/>
  <c r="H577" i="20"/>
  <c r="N576" i="20"/>
  <c r="K576" i="20" s="1"/>
  <c r="M576" i="20"/>
  <c r="N575" i="20"/>
  <c r="M575" i="20"/>
  <c r="P574" i="20"/>
  <c r="N574" i="20"/>
  <c r="K574" i="20" s="1"/>
  <c r="M574" i="20"/>
  <c r="P573" i="20"/>
  <c r="N573" i="20"/>
  <c r="K573" i="20" s="1"/>
  <c r="M573" i="20"/>
  <c r="H573" i="20"/>
  <c r="P572" i="20"/>
  <c r="N572" i="20"/>
  <c r="K572" i="20" s="1"/>
  <c r="M572" i="20"/>
  <c r="P571" i="20"/>
  <c r="N571" i="20"/>
  <c r="K571" i="20" s="1"/>
  <c r="M571" i="20"/>
  <c r="N570" i="20"/>
  <c r="M570" i="20"/>
  <c r="P569" i="20"/>
  <c r="N569" i="20"/>
  <c r="K569" i="20" s="1"/>
  <c r="M569" i="20"/>
  <c r="H569" i="20"/>
  <c r="P568" i="20"/>
  <c r="N568" i="20"/>
  <c r="M568" i="20"/>
  <c r="K568" i="20"/>
  <c r="P567" i="20"/>
  <c r="N567" i="20"/>
  <c r="M567" i="20"/>
  <c r="K567" i="20"/>
  <c r="P566" i="20"/>
  <c r="N566" i="20"/>
  <c r="M566" i="20"/>
  <c r="K566" i="20"/>
  <c r="P565" i="20"/>
  <c r="N565" i="20"/>
  <c r="M565" i="20"/>
  <c r="K565" i="20"/>
  <c r="P564" i="20"/>
  <c r="N564" i="20"/>
  <c r="M564" i="20"/>
  <c r="K564" i="20"/>
  <c r="H564" i="20"/>
  <c r="N563" i="20"/>
  <c r="P563" i="20" s="1"/>
  <c r="M563" i="20"/>
  <c r="K563" i="20"/>
  <c r="H563" i="20"/>
  <c r="N562" i="20"/>
  <c r="M562" i="20"/>
  <c r="P561" i="20"/>
  <c r="N561" i="20"/>
  <c r="K561" i="20" s="1"/>
  <c r="M561" i="20"/>
  <c r="P560" i="20"/>
  <c r="N560" i="20"/>
  <c r="K560" i="20" s="1"/>
  <c r="M560" i="20"/>
  <c r="N559" i="20"/>
  <c r="K559" i="20" s="1"/>
  <c r="M559" i="20"/>
  <c r="H559" i="20"/>
  <c r="N558" i="20"/>
  <c r="K558" i="20" s="1"/>
  <c r="M558" i="20"/>
  <c r="H558" i="20"/>
  <c r="P557" i="20"/>
  <c r="N557" i="20"/>
  <c r="K557" i="20" s="1"/>
  <c r="M557" i="20"/>
  <c r="P556" i="20"/>
  <c r="N556" i="20"/>
  <c r="K556" i="20" s="1"/>
  <c r="M556" i="20"/>
  <c r="N555" i="20"/>
  <c r="K555" i="20" s="1"/>
  <c r="M555" i="20"/>
  <c r="N554" i="20"/>
  <c r="M554" i="20"/>
  <c r="P553" i="20"/>
  <c r="N553" i="20"/>
  <c r="K553" i="20" s="1"/>
  <c r="M553" i="20"/>
  <c r="P552" i="20"/>
  <c r="N552" i="20"/>
  <c r="K552" i="20" s="1"/>
  <c r="M552" i="20"/>
  <c r="N551" i="20"/>
  <c r="K551" i="20" s="1"/>
  <c r="M551" i="20"/>
  <c r="N550" i="20"/>
  <c r="M550" i="20"/>
  <c r="P549" i="20"/>
  <c r="N549" i="20"/>
  <c r="K549" i="20" s="1"/>
  <c r="M549" i="20"/>
  <c r="P548" i="20"/>
  <c r="N548" i="20"/>
  <c r="K548" i="20" s="1"/>
  <c r="M548" i="20"/>
  <c r="P547" i="20"/>
  <c r="N547" i="20"/>
  <c r="K547" i="20" s="1"/>
  <c r="M547" i="20"/>
  <c r="N546" i="20"/>
  <c r="M546" i="20"/>
  <c r="P545" i="20"/>
  <c r="N545" i="20"/>
  <c r="K545" i="20" s="1"/>
  <c r="M545" i="20"/>
  <c r="H545" i="20"/>
  <c r="P544" i="20"/>
  <c r="N544" i="20"/>
  <c r="M544" i="20"/>
  <c r="K544" i="20"/>
  <c r="P543" i="20"/>
  <c r="N543" i="20"/>
  <c r="M543" i="20"/>
  <c r="K543" i="20"/>
  <c r="P542" i="20"/>
  <c r="N542" i="20"/>
  <c r="M542" i="20"/>
  <c r="K542" i="20"/>
  <c r="P541" i="20"/>
  <c r="N541" i="20"/>
  <c r="M541" i="20"/>
  <c r="K541" i="20"/>
  <c r="P540" i="20"/>
  <c r="N540" i="20"/>
  <c r="M540" i="20"/>
  <c r="K540" i="20"/>
  <c r="P539" i="20"/>
  <c r="N539" i="20"/>
  <c r="M539" i="20"/>
  <c r="K539" i="20"/>
  <c r="P538" i="20"/>
  <c r="N538" i="20"/>
  <c r="M538" i="20"/>
  <c r="K538" i="20"/>
  <c r="P537" i="20"/>
  <c r="N537" i="20"/>
  <c r="M537" i="20"/>
  <c r="K537" i="20"/>
  <c r="P536" i="20"/>
  <c r="N536" i="20"/>
  <c r="M536" i="20"/>
  <c r="K536" i="20"/>
  <c r="P535" i="20"/>
  <c r="N535" i="20"/>
  <c r="M535" i="20"/>
  <c r="K535" i="20"/>
  <c r="P534" i="20"/>
  <c r="N534" i="20"/>
  <c r="M534" i="20"/>
  <c r="K534" i="20"/>
  <c r="P533" i="20"/>
  <c r="N533" i="20"/>
  <c r="M533" i="20"/>
  <c r="K533" i="20"/>
  <c r="P532" i="20"/>
  <c r="N532" i="20"/>
  <c r="M532" i="20"/>
  <c r="K532" i="20"/>
  <c r="P531" i="20"/>
  <c r="N531" i="20"/>
  <c r="M531" i="20"/>
  <c r="K531" i="20"/>
  <c r="P530" i="20"/>
  <c r="N530" i="20"/>
  <c r="M530" i="20"/>
  <c r="K530" i="20"/>
  <c r="P529" i="20"/>
  <c r="N529" i="20"/>
  <c r="M529" i="20"/>
  <c r="K529" i="20"/>
  <c r="P528" i="20"/>
  <c r="N528" i="20"/>
  <c r="M528" i="20"/>
  <c r="K528" i="20"/>
  <c r="P527" i="20"/>
  <c r="N527" i="20"/>
  <c r="M527" i="20"/>
  <c r="K527" i="20"/>
  <c r="P526" i="20"/>
  <c r="N526" i="20"/>
  <c r="M526" i="20"/>
  <c r="K526" i="20"/>
  <c r="P525" i="20"/>
  <c r="N525" i="20"/>
  <c r="M525" i="20"/>
  <c r="K525" i="20"/>
  <c r="P524" i="20"/>
  <c r="N524" i="20"/>
  <c r="M524" i="20"/>
  <c r="K524" i="20"/>
  <c r="P523" i="20"/>
  <c r="N523" i="20"/>
  <c r="M523" i="20"/>
  <c r="K523" i="20"/>
  <c r="P522" i="20"/>
  <c r="N522" i="20"/>
  <c r="M522" i="20"/>
  <c r="K522" i="20"/>
  <c r="P521" i="20"/>
  <c r="N521" i="20"/>
  <c r="M521" i="20"/>
  <c r="K521" i="20"/>
  <c r="P520" i="20"/>
  <c r="N520" i="20"/>
  <c r="M520" i="20"/>
  <c r="K520" i="20"/>
  <c r="P519" i="20"/>
  <c r="N519" i="20"/>
  <c r="M519" i="20"/>
  <c r="K519" i="20"/>
  <c r="P518" i="20"/>
  <c r="N518" i="20"/>
  <c r="M518" i="20"/>
  <c r="K518" i="20"/>
  <c r="P517" i="20"/>
  <c r="N517" i="20"/>
  <c r="M517" i="20"/>
  <c r="K517" i="20"/>
  <c r="P516" i="20"/>
  <c r="N516" i="20"/>
  <c r="M516" i="20"/>
  <c r="K516" i="20"/>
  <c r="P515" i="20"/>
  <c r="N515" i="20"/>
  <c r="M515" i="20"/>
  <c r="K515" i="20"/>
  <c r="P514" i="20"/>
  <c r="N514" i="20"/>
  <c r="M514" i="20"/>
  <c r="K514" i="20"/>
  <c r="P513" i="20"/>
  <c r="N513" i="20"/>
  <c r="M513" i="20"/>
  <c r="K513" i="20"/>
  <c r="P512" i="20"/>
  <c r="N512" i="20"/>
  <c r="M512" i="20"/>
  <c r="K512" i="20"/>
  <c r="P511" i="20"/>
  <c r="N511" i="20"/>
  <c r="M511" i="20"/>
  <c r="K511" i="20"/>
  <c r="H511" i="20"/>
  <c r="N510" i="20"/>
  <c r="M510" i="20"/>
  <c r="N509" i="20"/>
  <c r="M509" i="20"/>
  <c r="N508" i="20"/>
  <c r="M508" i="20"/>
  <c r="N507" i="20"/>
  <c r="M507" i="20"/>
  <c r="N506" i="20"/>
  <c r="M506" i="20"/>
  <c r="N505" i="20"/>
  <c r="M505" i="20"/>
  <c r="N504" i="20"/>
  <c r="M504" i="20"/>
  <c r="N503" i="20"/>
  <c r="M503" i="20"/>
  <c r="N502" i="20"/>
  <c r="M502" i="20"/>
  <c r="N501" i="20"/>
  <c r="M501" i="20"/>
  <c r="N500" i="20"/>
  <c r="M500" i="20"/>
  <c r="N499" i="20"/>
  <c r="M499" i="20"/>
  <c r="N498" i="20"/>
  <c r="M498" i="20"/>
  <c r="N497" i="20"/>
  <c r="M497" i="20"/>
  <c r="N496" i="20"/>
  <c r="M496" i="20"/>
  <c r="N495" i="20"/>
  <c r="M495" i="20"/>
  <c r="N494" i="20"/>
  <c r="M494" i="20"/>
  <c r="N493" i="20"/>
  <c r="M493" i="20"/>
  <c r="N492" i="20"/>
  <c r="M492" i="20"/>
  <c r="H492" i="20"/>
  <c r="N491" i="20"/>
  <c r="K491" i="20" s="1"/>
  <c r="M491" i="20"/>
  <c r="N490" i="20"/>
  <c r="K490" i="20" s="1"/>
  <c r="M490" i="20"/>
  <c r="N489" i="20"/>
  <c r="K489" i="20" s="1"/>
  <c r="M489" i="20"/>
  <c r="N488" i="20"/>
  <c r="K488" i="20" s="1"/>
  <c r="M488" i="20"/>
  <c r="N487" i="20"/>
  <c r="K487" i="20" s="1"/>
  <c r="M487" i="20"/>
  <c r="N486" i="20"/>
  <c r="K486" i="20" s="1"/>
  <c r="M486" i="20"/>
  <c r="N485" i="20"/>
  <c r="K485" i="20" s="1"/>
  <c r="M485" i="20"/>
  <c r="N484" i="20"/>
  <c r="K484" i="20" s="1"/>
  <c r="M484" i="20"/>
  <c r="N483" i="20"/>
  <c r="K483" i="20" s="1"/>
  <c r="M483" i="20"/>
  <c r="N482" i="20"/>
  <c r="K482" i="20" s="1"/>
  <c r="M482" i="20"/>
  <c r="N481" i="20"/>
  <c r="K481" i="20" s="1"/>
  <c r="M481" i="20"/>
  <c r="N480" i="20"/>
  <c r="K480" i="20" s="1"/>
  <c r="M480" i="20"/>
  <c r="N479" i="20"/>
  <c r="K479" i="20" s="1"/>
  <c r="M479" i="20"/>
  <c r="H479" i="20"/>
  <c r="N478" i="20"/>
  <c r="M478" i="20"/>
  <c r="P477" i="20"/>
  <c r="N477" i="20"/>
  <c r="K477" i="20" s="1"/>
  <c r="M477" i="20"/>
  <c r="P476" i="20"/>
  <c r="N476" i="20"/>
  <c r="K476" i="20" s="1"/>
  <c r="M476" i="20"/>
  <c r="P475" i="20"/>
  <c r="N475" i="20"/>
  <c r="K475" i="20" s="1"/>
  <c r="M475" i="20"/>
  <c r="N474" i="20"/>
  <c r="M474" i="20"/>
  <c r="P473" i="20"/>
  <c r="N473" i="20"/>
  <c r="K473" i="20" s="1"/>
  <c r="M473" i="20"/>
  <c r="P472" i="20"/>
  <c r="N472" i="20"/>
  <c r="K472" i="20" s="1"/>
  <c r="M472" i="20"/>
  <c r="N471" i="20"/>
  <c r="K471" i="20" s="1"/>
  <c r="M471" i="20"/>
  <c r="N470" i="20"/>
  <c r="M470" i="20"/>
  <c r="P469" i="20"/>
  <c r="N469" i="20"/>
  <c r="K469" i="20" s="1"/>
  <c r="M469" i="20"/>
  <c r="P468" i="20"/>
  <c r="N468" i="20"/>
  <c r="K468" i="20" s="1"/>
  <c r="M468" i="20"/>
  <c r="N467" i="20"/>
  <c r="K467" i="20" s="1"/>
  <c r="M467" i="20"/>
  <c r="N466" i="20"/>
  <c r="M466" i="20"/>
  <c r="P465" i="20"/>
  <c r="N465" i="20"/>
  <c r="K465" i="20" s="1"/>
  <c r="M465" i="20"/>
  <c r="P464" i="20"/>
  <c r="N464" i="20"/>
  <c r="K464" i="20" s="1"/>
  <c r="M464" i="20"/>
  <c r="N463" i="20"/>
  <c r="K463" i="20" s="1"/>
  <c r="M463" i="20"/>
  <c r="N462" i="20"/>
  <c r="M462" i="20"/>
  <c r="P461" i="20"/>
  <c r="N461" i="20"/>
  <c r="K461" i="20" s="1"/>
  <c r="M461" i="20"/>
  <c r="H461" i="20"/>
  <c r="P460" i="20"/>
  <c r="N460" i="20"/>
  <c r="M460" i="20"/>
  <c r="K460" i="20"/>
  <c r="P459" i="20"/>
  <c r="N459" i="20"/>
  <c r="M459" i="20"/>
  <c r="K459" i="20"/>
  <c r="P458" i="20"/>
  <c r="N458" i="20"/>
  <c r="M458" i="20"/>
  <c r="K458" i="20"/>
  <c r="P457" i="20"/>
  <c r="N457" i="20"/>
  <c r="M457" i="20"/>
  <c r="K457" i="20"/>
  <c r="P456" i="20"/>
  <c r="N456" i="20"/>
  <c r="M456" i="20"/>
  <c r="K456" i="20"/>
  <c r="P455" i="20"/>
  <c r="N455" i="20"/>
  <c r="M455" i="20"/>
  <c r="K455" i="20"/>
  <c r="P454" i="20"/>
  <c r="N454" i="20"/>
  <c r="M454" i="20"/>
  <c r="K454" i="20"/>
  <c r="P453" i="20"/>
  <c r="N453" i="20"/>
  <c r="M453" i="20"/>
  <c r="K453" i="20"/>
  <c r="P452" i="20"/>
  <c r="N452" i="20"/>
  <c r="M452" i="20"/>
  <c r="K452" i="20"/>
  <c r="P451" i="20"/>
  <c r="N451" i="20"/>
  <c r="M451" i="20"/>
  <c r="K451" i="20"/>
  <c r="P450" i="20"/>
  <c r="N450" i="20"/>
  <c r="M450" i="20"/>
  <c r="K450" i="20"/>
  <c r="P449" i="20"/>
  <c r="N449" i="20"/>
  <c r="M449" i="20"/>
  <c r="K449" i="20"/>
  <c r="P448" i="20"/>
  <c r="N448" i="20"/>
  <c r="M448" i="20"/>
  <c r="K448" i="20"/>
  <c r="P447" i="20"/>
  <c r="N447" i="20"/>
  <c r="M447" i="20"/>
  <c r="K447" i="20"/>
  <c r="P446" i="20"/>
  <c r="N446" i="20"/>
  <c r="M446" i="20"/>
  <c r="K446" i="20"/>
  <c r="P445" i="20"/>
  <c r="N445" i="20"/>
  <c r="M445" i="20"/>
  <c r="K445" i="20"/>
  <c r="H445" i="20"/>
  <c r="N444" i="20"/>
  <c r="M444" i="20"/>
  <c r="N443" i="20"/>
  <c r="M443" i="20"/>
  <c r="N442" i="20"/>
  <c r="M442" i="20"/>
  <c r="N441" i="20"/>
  <c r="M441" i="20"/>
  <c r="N440" i="20"/>
  <c r="M440" i="20"/>
  <c r="N439" i="20"/>
  <c r="M439" i="20"/>
  <c r="N438" i="20"/>
  <c r="M438" i="20"/>
  <c r="N437" i="20"/>
  <c r="M437" i="20"/>
  <c r="N436" i="20"/>
  <c r="M436" i="20"/>
  <c r="N435" i="20"/>
  <c r="M435" i="20"/>
  <c r="N434" i="20"/>
  <c r="M434" i="20"/>
  <c r="N433" i="20"/>
  <c r="M433" i="20"/>
  <c r="N432" i="20"/>
  <c r="M432" i="20"/>
  <c r="N431" i="20"/>
  <c r="M431" i="20"/>
  <c r="N430" i="20"/>
  <c r="M430" i="20"/>
  <c r="N429" i="20"/>
  <c r="M429" i="20"/>
  <c r="N428" i="20"/>
  <c r="M428" i="20"/>
  <c r="N427" i="20"/>
  <c r="M427" i="20"/>
  <c r="N426" i="20"/>
  <c r="M426" i="20"/>
  <c r="N425" i="20"/>
  <c r="M425" i="20"/>
  <c r="N424" i="20"/>
  <c r="M424" i="20"/>
  <c r="N423" i="20"/>
  <c r="M423" i="20"/>
  <c r="N422" i="20"/>
  <c r="M422" i="20"/>
  <c r="N421" i="20"/>
  <c r="M421" i="20"/>
  <c r="N420" i="20"/>
  <c r="M420" i="20"/>
  <c r="N419" i="20"/>
  <c r="M419" i="20"/>
  <c r="H419" i="20"/>
  <c r="N418" i="20"/>
  <c r="K418" i="20" s="1"/>
  <c r="M418" i="20"/>
  <c r="N417" i="20"/>
  <c r="K417" i="20" s="1"/>
  <c r="M417" i="20"/>
  <c r="N416" i="20"/>
  <c r="K416" i="20" s="1"/>
  <c r="M416" i="20"/>
  <c r="N415" i="20"/>
  <c r="K415" i="20" s="1"/>
  <c r="M415" i="20"/>
  <c r="N414" i="20"/>
  <c r="K414" i="20" s="1"/>
  <c r="M414" i="20"/>
  <c r="N413" i="20"/>
  <c r="K413" i="20" s="1"/>
  <c r="M413" i="20"/>
  <c r="N412" i="20"/>
  <c r="K412" i="20" s="1"/>
  <c r="M412" i="20"/>
  <c r="N411" i="20"/>
  <c r="K411" i="20" s="1"/>
  <c r="M411" i="20"/>
  <c r="N410" i="20"/>
  <c r="K410" i="20" s="1"/>
  <c r="M410" i="20"/>
  <c r="N409" i="20"/>
  <c r="K409" i="20" s="1"/>
  <c r="M409" i="20"/>
  <c r="N408" i="20"/>
  <c r="K408" i="20" s="1"/>
  <c r="M408" i="20"/>
  <c r="N407" i="20"/>
  <c r="K407" i="20" s="1"/>
  <c r="M407" i="20"/>
  <c r="N406" i="20"/>
  <c r="K406" i="20" s="1"/>
  <c r="M406" i="20"/>
  <c r="N405" i="20"/>
  <c r="K405" i="20" s="1"/>
  <c r="M405" i="20"/>
  <c r="N404" i="20"/>
  <c r="K404" i="20" s="1"/>
  <c r="M404" i="20"/>
  <c r="N403" i="20"/>
  <c r="K403" i="20" s="1"/>
  <c r="M403" i="20"/>
  <c r="N402" i="20"/>
  <c r="K402" i="20" s="1"/>
  <c r="M402" i="20"/>
  <c r="N401" i="20"/>
  <c r="K401" i="20" s="1"/>
  <c r="M401" i="20"/>
  <c r="N400" i="20"/>
  <c r="K400" i="20" s="1"/>
  <c r="M400" i="20"/>
  <c r="N399" i="20"/>
  <c r="K399" i="20" s="1"/>
  <c r="M399" i="20"/>
  <c r="N398" i="20"/>
  <c r="K398" i="20" s="1"/>
  <c r="M398" i="20"/>
  <c r="H398" i="20"/>
  <c r="N397" i="20"/>
  <c r="M397" i="20"/>
  <c r="P396" i="20"/>
  <c r="N396" i="20"/>
  <c r="K396" i="20" s="1"/>
  <c r="M396" i="20"/>
  <c r="P395" i="20"/>
  <c r="N395" i="20"/>
  <c r="K395" i="20" s="1"/>
  <c r="M395" i="20"/>
  <c r="N394" i="20"/>
  <c r="K394" i="20" s="1"/>
  <c r="M394" i="20"/>
  <c r="N393" i="20"/>
  <c r="M393" i="20"/>
  <c r="P392" i="20"/>
  <c r="N392" i="20"/>
  <c r="K392" i="20" s="1"/>
  <c r="M392" i="20"/>
  <c r="P391" i="20"/>
  <c r="N391" i="20"/>
  <c r="K391" i="20" s="1"/>
  <c r="M391" i="20"/>
  <c r="H391" i="20"/>
  <c r="P390" i="20"/>
  <c r="N390" i="20"/>
  <c r="M390" i="20"/>
  <c r="K390" i="20"/>
  <c r="P389" i="20"/>
  <c r="N389" i="20"/>
  <c r="M389" i="20"/>
  <c r="K389" i="20"/>
  <c r="P388" i="20"/>
  <c r="N388" i="20"/>
  <c r="M388" i="20"/>
  <c r="K388" i="20"/>
  <c r="P387" i="20"/>
  <c r="N387" i="20"/>
  <c r="M387" i="20"/>
  <c r="K387" i="20"/>
  <c r="P386" i="20"/>
  <c r="N386" i="20"/>
  <c r="M386" i="20"/>
  <c r="K386" i="20"/>
  <c r="P385" i="20"/>
  <c r="N385" i="20"/>
  <c r="M385" i="20"/>
  <c r="K385" i="20"/>
  <c r="P384" i="20"/>
  <c r="N384" i="20"/>
  <c r="M384" i="20"/>
  <c r="K384" i="20"/>
  <c r="P383" i="20"/>
  <c r="N383" i="20"/>
  <c r="M383" i="20"/>
  <c r="K383" i="20"/>
  <c r="P382" i="20"/>
  <c r="N382" i="20"/>
  <c r="M382" i="20"/>
  <c r="K382" i="20"/>
  <c r="P381" i="20"/>
  <c r="N381" i="20"/>
  <c r="M381" i="20"/>
  <c r="K381" i="20"/>
  <c r="P380" i="20"/>
  <c r="N380" i="20"/>
  <c r="M380" i="20"/>
  <c r="K380" i="20"/>
  <c r="H380" i="20"/>
  <c r="P379" i="20"/>
  <c r="N379" i="20"/>
  <c r="M379" i="20"/>
  <c r="K379" i="20"/>
  <c r="P378" i="20"/>
  <c r="N378" i="20"/>
  <c r="M378" i="20"/>
  <c r="K378" i="20"/>
  <c r="P377" i="20"/>
  <c r="N377" i="20"/>
  <c r="M377" i="20"/>
  <c r="K377" i="20"/>
  <c r="P376" i="20"/>
  <c r="N376" i="20"/>
  <c r="M376" i="20"/>
  <c r="K376" i="20"/>
  <c r="P375" i="20"/>
  <c r="N375" i="20"/>
  <c r="M375" i="20"/>
  <c r="K375" i="20"/>
  <c r="P374" i="20"/>
  <c r="N374" i="20"/>
  <c r="M374" i="20"/>
  <c r="K374" i="20"/>
  <c r="P373" i="20"/>
  <c r="N373" i="20"/>
  <c r="M373" i="20"/>
  <c r="K373" i="20"/>
  <c r="P372" i="20"/>
  <c r="N372" i="20"/>
  <c r="M372" i="20"/>
  <c r="K372" i="20"/>
  <c r="P371" i="20"/>
  <c r="N371" i="20"/>
  <c r="M371" i="20"/>
  <c r="K371" i="20"/>
  <c r="P370" i="20"/>
  <c r="N370" i="20"/>
  <c r="M370" i="20"/>
  <c r="K370" i="20"/>
  <c r="P369" i="20"/>
  <c r="N369" i="20"/>
  <c r="M369" i="20"/>
  <c r="K369" i="20"/>
  <c r="P368" i="20"/>
  <c r="N368" i="20"/>
  <c r="M368" i="20"/>
  <c r="K368" i="20"/>
  <c r="P367" i="20"/>
  <c r="N367" i="20"/>
  <c r="M367" i="20"/>
  <c r="K367" i="20"/>
  <c r="P366" i="20"/>
  <c r="N366" i="20"/>
  <c r="M366" i="20"/>
  <c r="K366" i="20"/>
  <c r="P365" i="20"/>
  <c r="N365" i="20"/>
  <c r="M365" i="20"/>
  <c r="K365" i="20"/>
  <c r="P364" i="20"/>
  <c r="N364" i="20"/>
  <c r="M364" i="20"/>
  <c r="K364" i="20"/>
  <c r="P363" i="20"/>
  <c r="N363" i="20"/>
  <c r="M363" i="20"/>
  <c r="K363" i="20"/>
  <c r="P362" i="20"/>
  <c r="N362" i="20"/>
  <c r="M362" i="20"/>
  <c r="K362" i="20"/>
  <c r="P361" i="20"/>
  <c r="N361" i="20"/>
  <c r="M361" i="20"/>
  <c r="K361" i="20"/>
  <c r="P360" i="20"/>
  <c r="N360" i="20"/>
  <c r="M360" i="20"/>
  <c r="K360" i="20"/>
  <c r="P359" i="20"/>
  <c r="N359" i="20"/>
  <c r="M359" i="20"/>
  <c r="K359" i="20"/>
  <c r="P358" i="20"/>
  <c r="N358" i="20"/>
  <c r="M358" i="20"/>
  <c r="K358" i="20"/>
  <c r="P357" i="20"/>
  <c r="N357" i="20"/>
  <c r="M357" i="20"/>
  <c r="K357" i="20"/>
  <c r="P356" i="20"/>
  <c r="N356" i="20"/>
  <c r="M356" i="20"/>
  <c r="K356" i="20"/>
  <c r="P355" i="20"/>
  <c r="N355" i="20"/>
  <c r="M355" i="20"/>
  <c r="K355" i="20"/>
  <c r="P354" i="20"/>
  <c r="N354" i="20"/>
  <c r="M354" i="20"/>
  <c r="K354" i="20"/>
  <c r="P353" i="20"/>
  <c r="N353" i="20"/>
  <c r="M353" i="20"/>
  <c r="K353" i="20"/>
  <c r="P352" i="20"/>
  <c r="N352" i="20"/>
  <c r="M352" i="20"/>
  <c r="K352" i="20"/>
  <c r="P351" i="20"/>
  <c r="N351" i="20"/>
  <c r="M351" i="20"/>
  <c r="K351" i="20"/>
  <c r="P350" i="20"/>
  <c r="N350" i="20"/>
  <c r="M350" i="20"/>
  <c r="K350" i="20"/>
  <c r="P349" i="20"/>
  <c r="N349" i="20"/>
  <c r="M349" i="20"/>
  <c r="K349" i="20"/>
  <c r="P348" i="20"/>
  <c r="N348" i="20"/>
  <c r="M348" i="20"/>
  <c r="K348" i="20"/>
  <c r="H348" i="20"/>
  <c r="N347" i="20"/>
  <c r="M347" i="20"/>
  <c r="N346" i="20"/>
  <c r="M346" i="20"/>
  <c r="N345" i="20"/>
  <c r="M345" i="20"/>
  <c r="N344" i="20"/>
  <c r="M344" i="20"/>
  <c r="N343" i="20"/>
  <c r="M343" i="20"/>
  <c r="N342" i="20"/>
  <c r="M342" i="20"/>
  <c r="N341" i="20"/>
  <c r="M341" i="20"/>
  <c r="N340" i="20"/>
  <c r="M340" i="20"/>
  <c r="N339" i="20"/>
  <c r="M339" i="20"/>
  <c r="N338" i="20"/>
  <c r="M338" i="20"/>
  <c r="N337" i="20"/>
  <c r="M337" i="20"/>
  <c r="N336" i="20"/>
  <c r="M336" i="20"/>
  <c r="N335" i="20"/>
  <c r="M335" i="20"/>
  <c r="N334" i="20"/>
  <c r="M334" i="20"/>
  <c r="N333" i="20"/>
  <c r="M333" i="20"/>
  <c r="N332" i="20"/>
  <c r="M332" i="20"/>
  <c r="H332" i="20"/>
  <c r="N331" i="20"/>
  <c r="K331" i="20" s="1"/>
  <c r="M331" i="20"/>
  <c r="N330" i="20"/>
  <c r="K330" i="20" s="1"/>
  <c r="M330" i="20"/>
  <c r="N329" i="20"/>
  <c r="K329" i="20" s="1"/>
  <c r="M329" i="20"/>
  <c r="N328" i="20"/>
  <c r="M328" i="20"/>
  <c r="P327" i="20"/>
  <c r="N327" i="20"/>
  <c r="K327" i="20" s="1"/>
  <c r="M327" i="20"/>
  <c r="N326" i="20"/>
  <c r="K326" i="20" s="1"/>
  <c r="M326" i="20"/>
  <c r="N325" i="20"/>
  <c r="K325" i="20" s="1"/>
  <c r="M325" i="20"/>
  <c r="P324" i="20"/>
  <c r="N324" i="20"/>
  <c r="K324" i="20" s="1"/>
  <c r="M324" i="20"/>
  <c r="N323" i="20"/>
  <c r="K323" i="20" s="1"/>
  <c r="M323" i="20"/>
  <c r="N322" i="20"/>
  <c r="K322" i="20" s="1"/>
  <c r="M322" i="20"/>
  <c r="N321" i="20"/>
  <c r="K321" i="20" s="1"/>
  <c r="M321" i="20"/>
  <c r="N320" i="20"/>
  <c r="M320" i="20"/>
  <c r="P319" i="20"/>
  <c r="N319" i="20"/>
  <c r="K319" i="20" s="1"/>
  <c r="M319" i="20"/>
  <c r="N318" i="20"/>
  <c r="K318" i="20" s="1"/>
  <c r="M318" i="20"/>
  <c r="N317" i="20"/>
  <c r="K317" i="20" s="1"/>
  <c r="M317" i="20"/>
  <c r="P316" i="20"/>
  <c r="N316" i="20"/>
  <c r="K316" i="20" s="1"/>
  <c r="M316" i="20"/>
  <c r="P315" i="20"/>
  <c r="N315" i="20"/>
  <c r="K315" i="20" s="1"/>
  <c r="M315" i="20"/>
  <c r="N314" i="20"/>
  <c r="K314" i="20" s="1"/>
  <c r="M314" i="20"/>
  <c r="N313" i="20"/>
  <c r="K313" i="20" s="1"/>
  <c r="M313" i="20"/>
  <c r="N312" i="20"/>
  <c r="M312" i="20"/>
  <c r="P311" i="20"/>
  <c r="N311" i="20"/>
  <c r="K311" i="20" s="1"/>
  <c r="M311" i="20"/>
  <c r="N310" i="20"/>
  <c r="K310" i="20" s="1"/>
  <c r="M310" i="20"/>
  <c r="N309" i="20"/>
  <c r="K309" i="20" s="1"/>
  <c r="M309" i="20"/>
  <c r="P308" i="20"/>
  <c r="N308" i="20"/>
  <c r="K308" i="20" s="1"/>
  <c r="M308" i="20"/>
  <c r="N307" i="20"/>
  <c r="K307" i="20" s="1"/>
  <c r="M307" i="20"/>
  <c r="N306" i="20"/>
  <c r="K306" i="20" s="1"/>
  <c r="M306" i="20"/>
  <c r="N305" i="20"/>
  <c r="K305" i="20" s="1"/>
  <c r="M305" i="20"/>
  <c r="N304" i="20"/>
  <c r="M304" i="20"/>
  <c r="P303" i="20"/>
  <c r="N303" i="20"/>
  <c r="K303" i="20" s="1"/>
  <c r="M303" i="20"/>
  <c r="N302" i="20"/>
  <c r="K302" i="20" s="1"/>
  <c r="M302" i="20"/>
  <c r="N301" i="20"/>
  <c r="K301" i="20" s="1"/>
  <c r="M301" i="20"/>
  <c r="P300" i="20"/>
  <c r="N300" i="20"/>
  <c r="K300" i="20" s="1"/>
  <c r="M300" i="20"/>
  <c r="N299" i="20"/>
  <c r="K299" i="20" s="1"/>
  <c r="M299" i="20"/>
  <c r="N298" i="20"/>
  <c r="K298" i="20" s="1"/>
  <c r="M298" i="20"/>
  <c r="N297" i="20"/>
  <c r="K297" i="20" s="1"/>
  <c r="M297" i="20"/>
  <c r="N296" i="20"/>
  <c r="M296" i="20"/>
  <c r="H296" i="20"/>
  <c r="N295" i="20"/>
  <c r="M295" i="20"/>
  <c r="N294" i="20"/>
  <c r="M294" i="20"/>
  <c r="N293" i="20"/>
  <c r="M293" i="20"/>
  <c r="N292" i="20"/>
  <c r="M292" i="20"/>
  <c r="N291" i="20"/>
  <c r="M291" i="20"/>
  <c r="N290" i="20"/>
  <c r="M290" i="20"/>
  <c r="N289" i="20"/>
  <c r="M289" i="20"/>
  <c r="N288" i="20"/>
  <c r="M288" i="20"/>
  <c r="N287" i="20"/>
  <c r="M287" i="20"/>
  <c r="N286" i="20"/>
  <c r="M286" i="20"/>
  <c r="N285" i="20"/>
  <c r="M285" i="20"/>
  <c r="N284" i="20"/>
  <c r="M284" i="20"/>
  <c r="N283" i="20"/>
  <c r="M283" i="20"/>
  <c r="N282" i="20"/>
  <c r="M282" i="20"/>
  <c r="N281" i="20"/>
  <c r="M281" i="20"/>
  <c r="N280" i="20"/>
  <c r="M280" i="20"/>
  <c r="N279" i="20"/>
  <c r="M279" i="20"/>
  <c r="N278" i="20"/>
  <c r="M278" i="20"/>
  <c r="N277" i="20"/>
  <c r="M277" i="20"/>
  <c r="N276" i="20"/>
  <c r="M276" i="20"/>
  <c r="N275" i="20"/>
  <c r="M275" i="20"/>
  <c r="N274" i="20"/>
  <c r="M274" i="20"/>
  <c r="N273" i="20"/>
  <c r="M273" i="20"/>
  <c r="N272" i="20"/>
  <c r="M272" i="20"/>
  <c r="N271" i="20"/>
  <c r="M271" i="20"/>
  <c r="N270" i="20"/>
  <c r="M270" i="20"/>
  <c r="N269" i="20"/>
  <c r="M269" i="20"/>
  <c r="N268" i="20"/>
  <c r="M268" i="20"/>
  <c r="N267" i="20"/>
  <c r="M267" i="20"/>
  <c r="N266" i="20"/>
  <c r="M266" i="20"/>
  <c r="N265" i="20"/>
  <c r="M265" i="20"/>
  <c r="N264" i="20"/>
  <c r="M264" i="20"/>
  <c r="N263" i="20"/>
  <c r="M263" i="20"/>
  <c r="N262" i="20"/>
  <c r="M262" i="20"/>
  <c r="N261" i="20"/>
  <c r="M261" i="20"/>
  <c r="H261" i="20"/>
  <c r="N260" i="20"/>
  <c r="K260" i="20" s="1"/>
  <c r="M260" i="20"/>
  <c r="N259" i="20"/>
  <c r="K259" i="20" s="1"/>
  <c r="M259" i="20"/>
  <c r="N258" i="20"/>
  <c r="K258" i="20" s="1"/>
  <c r="M258" i="20"/>
  <c r="P257" i="20"/>
  <c r="N257" i="20"/>
  <c r="K257" i="20" s="1"/>
  <c r="M257" i="20"/>
  <c r="N256" i="20"/>
  <c r="K256" i="20" s="1"/>
  <c r="M256" i="20"/>
  <c r="N255" i="20"/>
  <c r="K255" i="20" s="1"/>
  <c r="M255" i="20"/>
  <c r="N254" i="20"/>
  <c r="K254" i="20" s="1"/>
  <c r="M254" i="20"/>
  <c r="P253" i="20"/>
  <c r="N253" i="20"/>
  <c r="K253" i="20" s="1"/>
  <c r="M253" i="20"/>
  <c r="N252" i="20"/>
  <c r="K252" i="20" s="1"/>
  <c r="M252" i="20"/>
  <c r="N251" i="20"/>
  <c r="K251" i="20" s="1"/>
  <c r="M251" i="20"/>
  <c r="N250" i="20"/>
  <c r="K250" i="20" s="1"/>
  <c r="M250" i="20"/>
  <c r="P249" i="20"/>
  <c r="N249" i="20"/>
  <c r="K249" i="20" s="1"/>
  <c r="M249" i="20"/>
  <c r="N248" i="20"/>
  <c r="K248" i="20" s="1"/>
  <c r="M248" i="20"/>
  <c r="N247" i="20"/>
  <c r="K247" i="20" s="1"/>
  <c r="M247" i="20"/>
  <c r="N246" i="20"/>
  <c r="K246" i="20" s="1"/>
  <c r="M246" i="20"/>
  <c r="P245" i="20"/>
  <c r="N245" i="20"/>
  <c r="K245" i="20" s="1"/>
  <c r="M245" i="20"/>
  <c r="N244" i="20"/>
  <c r="K244" i="20" s="1"/>
  <c r="M244" i="20"/>
  <c r="N243" i="20"/>
  <c r="K243" i="20" s="1"/>
  <c r="M243" i="20"/>
  <c r="N242" i="20"/>
  <c r="K242" i="20" s="1"/>
  <c r="M242" i="20"/>
  <c r="P241" i="20"/>
  <c r="N241" i="20"/>
  <c r="K241" i="20" s="1"/>
  <c r="M241" i="20"/>
  <c r="H241" i="20"/>
  <c r="N240" i="20"/>
  <c r="M240" i="20"/>
  <c r="H240" i="20"/>
  <c r="N239" i="20"/>
  <c r="K239" i="20" s="1"/>
  <c r="M239" i="20"/>
  <c r="N238" i="20"/>
  <c r="M238" i="20"/>
  <c r="P237" i="20"/>
  <c r="N237" i="20"/>
  <c r="K237" i="20" s="1"/>
  <c r="M237" i="20"/>
  <c r="P236" i="20"/>
  <c r="N236" i="20"/>
  <c r="K236" i="20" s="1"/>
  <c r="M236" i="20"/>
  <c r="N235" i="20"/>
  <c r="K235" i="20" s="1"/>
  <c r="M235" i="20"/>
  <c r="P234" i="20"/>
  <c r="N234" i="20"/>
  <c r="K234" i="20" s="1"/>
  <c r="M234" i="20"/>
  <c r="P233" i="20"/>
  <c r="N233" i="20"/>
  <c r="K233" i="20" s="1"/>
  <c r="M233" i="20"/>
  <c r="N232" i="20"/>
  <c r="K232" i="20" s="1"/>
  <c r="M232" i="20"/>
  <c r="N231" i="20"/>
  <c r="K231" i="20" s="1"/>
  <c r="M231" i="20"/>
  <c r="P230" i="20"/>
  <c r="N230" i="20"/>
  <c r="K230" i="20" s="1"/>
  <c r="M230" i="20"/>
  <c r="N229" i="20"/>
  <c r="K229" i="20" s="1"/>
  <c r="M229" i="20"/>
  <c r="N228" i="20"/>
  <c r="M228" i="20"/>
  <c r="N227" i="20"/>
  <c r="K227" i="20" s="1"/>
  <c r="M227" i="20"/>
  <c r="P226" i="20"/>
  <c r="N226" i="20"/>
  <c r="K226" i="20" s="1"/>
  <c r="M226" i="20"/>
  <c r="N225" i="20"/>
  <c r="M225" i="20"/>
  <c r="P224" i="20"/>
  <c r="N224" i="20"/>
  <c r="K224" i="20" s="1"/>
  <c r="M224" i="20"/>
  <c r="N223" i="20"/>
  <c r="K223" i="20" s="1"/>
  <c r="M223" i="20"/>
  <c r="N222" i="20"/>
  <c r="M222" i="20"/>
  <c r="P221" i="20"/>
  <c r="N221" i="20"/>
  <c r="K221" i="20" s="1"/>
  <c r="M221" i="20"/>
  <c r="N220" i="20"/>
  <c r="K220" i="20" s="1"/>
  <c r="M220" i="20"/>
  <c r="N219" i="20"/>
  <c r="K219" i="20" s="1"/>
  <c r="M219" i="20"/>
  <c r="P218" i="20"/>
  <c r="N218" i="20"/>
  <c r="K218" i="20" s="1"/>
  <c r="M218" i="20"/>
  <c r="N217" i="20"/>
  <c r="K217" i="20" s="1"/>
  <c r="M217" i="20"/>
  <c r="N216" i="20"/>
  <c r="K216" i="20" s="1"/>
  <c r="M216" i="20"/>
  <c r="N215" i="20"/>
  <c r="K215" i="20" s="1"/>
  <c r="M215" i="20"/>
  <c r="N214" i="20"/>
  <c r="K214" i="20" s="1"/>
  <c r="M214" i="20"/>
  <c r="N213" i="20"/>
  <c r="K213" i="20" s="1"/>
  <c r="M213" i="20"/>
  <c r="N212" i="20"/>
  <c r="K212" i="20" s="1"/>
  <c r="M212" i="20"/>
  <c r="P211" i="20"/>
  <c r="N211" i="20"/>
  <c r="K211" i="20" s="1"/>
  <c r="M211" i="20"/>
  <c r="N210" i="20"/>
  <c r="K210" i="20" s="1"/>
  <c r="M210" i="20"/>
  <c r="N209" i="20"/>
  <c r="K209" i="20" s="1"/>
  <c r="M209" i="20"/>
  <c r="N208" i="20"/>
  <c r="K208" i="20" s="1"/>
  <c r="M208" i="20"/>
  <c r="P207" i="20"/>
  <c r="N207" i="20"/>
  <c r="K207" i="20" s="1"/>
  <c r="M207" i="20"/>
  <c r="N206" i="20"/>
  <c r="K206" i="20" s="1"/>
  <c r="M206" i="20"/>
  <c r="N205" i="20"/>
  <c r="K205" i="20" s="1"/>
  <c r="M205" i="20"/>
  <c r="N204" i="20"/>
  <c r="K204" i="20" s="1"/>
  <c r="M204" i="20"/>
  <c r="P203" i="20"/>
  <c r="N203" i="20"/>
  <c r="K203" i="20" s="1"/>
  <c r="M203" i="20"/>
  <c r="N202" i="20"/>
  <c r="K202" i="20" s="1"/>
  <c r="M202" i="20"/>
  <c r="N201" i="20"/>
  <c r="K201" i="20" s="1"/>
  <c r="M201" i="20"/>
  <c r="N200" i="20"/>
  <c r="K200" i="20" s="1"/>
  <c r="M200" i="20"/>
  <c r="P199" i="20"/>
  <c r="N199" i="20"/>
  <c r="K199" i="20" s="1"/>
  <c r="M199" i="20"/>
  <c r="N198" i="20"/>
  <c r="K198" i="20" s="1"/>
  <c r="M198" i="20"/>
  <c r="N197" i="20"/>
  <c r="K197" i="20" s="1"/>
  <c r="M197" i="20"/>
  <c r="H197" i="20"/>
  <c r="N196" i="20"/>
  <c r="M196" i="20"/>
  <c r="H196" i="20"/>
  <c r="N195" i="20"/>
  <c r="P195" i="20" s="1"/>
  <c r="M195" i="20"/>
  <c r="N194" i="20"/>
  <c r="P194" i="20" s="1"/>
  <c r="M194" i="20"/>
  <c r="N193" i="20"/>
  <c r="P193" i="20" s="1"/>
  <c r="M193" i="20"/>
  <c r="N192" i="20"/>
  <c r="P192" i="20" s="1"/>
  <c r="M192" i="20"/>
  <c r="N191" i="20"/>
  <c r="P191" i="20" s="1"/>
  <c r="M191" i="20"/>
  <c r="N190" i="20"/>
  <c r="P190" i="20" s="1"/>
  <c r="M190" i="20"/>
  <c r="N189" i="20"/>
  <c r="P189" i="20" s="1"/>
  <c r="M189" i="20"/>
  <c r="N188" i="20"/>
  <c r="P188" i="20" s="1"/>
  <c r="M188" i="20"/>
  <c r="N187" i="20"/>
  <c r="P187" i="20" s="1"/>
  <c r="M187" i="20"/>
  <c r="N186" i="20"/>
  <c r="P186" i="20" s="1"/>
  <c r="M186" i="20"/>
  <c r="N185" i="20"/>
  <c r="P185" i="20" s="1"/>
  <c r="M185" i="20"/>
  <c r="N184" i="20"/>
  <c r="P184" i="20" s="1"/>
  <c r="M184" i="20"/>
  <c r="H184" i="20"/>
  <c r="P183" i="20"/>
  <c r="N183" i="20"/>
  <c r="K183" i="20" s="1"/>
  <c r="M183" i="20"/>
  <c r="N182" i="20"/>
  <c r="K182" i="20" s="1"/>
  <c r="M182" i="20"/>
  <c r="P181" i="20"/>
  <c r="N181" i="20"/>
  <c r="K181" i="20" s="1"/>
  <c r="M181" i="20"/>
  <c r="N180" i="20"/>
  <c r="M180" i="20"/>
  <c r="P179" i="20"/>
  <c r="N179" i="20"/>
  <c r="K179" i="20" s="1"/>
  <c r="M179" i="20"/>
  <c r="P178" i="20"/>
  <c r="N178" i="20"/>
  <c r="K178" i="20" s="1"/>
  <c r="M178" i="20"/>
  <c r="N177" i="20"/>
  <c r="K177" i="20" s="1"/>
  <c r="M177" i="20"/>
  <c r="N176" i="20"/>
  <c r="M176" i="20"/>
  <c r="P175" i="20"/>
  <c r="N175" i="20"/>
  <c r="K175" i="20" s="1"/>
  <c r="M175" i="20"/>
  <c r="N174" i="20"/>
  <c r="K174" i="20" s="1"/>
  <c r="M174" i="20"/>
  <c r="N173" i="20"/>
  <c r="K173" i="20" s="1"/>
  <c r="M173" i="20"/>
  <c r="N172" i="20"/>
  <c r="M172" i="20"/>
  <c r="H172" i="20"/>
  <c r="N171" i="20"/>
  <c r="P171" i="20" s="1"/>
  <c r="M171" i="20"/>
  <c r="N170" i="20"/>
  <c r="P170" i="20" s="1"/>
  <c r="M170" i="20"/>
  <c r="N169" i="20"/>
  <c r="P169" i="20" s="1"/>
  <c r="M169" i="20"/>
  <c r="K169" i="20"/>
  <c r="N168" i="20"/>
  <c r="P168" i="20" s="1"/>
  <c r="M168" i="20"/>
  <c r="K168" i="20"/>
  <c r="N167" i="20"/>
  <c r="P167" i="20" s="1"/>
  <c r="M167" i="20"/>
  <c r="N166" i="20"/>
  <c r="P166" i="20" s="1"/>
  <c r="M166" i="20"/>
  <c r="N165" i="20"/>
  <c r="P165" i="20" s="1"/>
  <c r="M165" i="20"/>
  <c r="K165" i="20"/>
  <c r="N164" i="20"/>
  <c r="P164" i="20" s="1"/>
  <c r="M164" i="20"/>
  <c r="K164" i="20"/>
  <c r="N163" i="20"/>
  <c r="P163" i="20" s="1"/>
  <c r="M163" i="20"/>
  <c r="N162" i="20"/>
  <c r="P162" i="20" s="1"/>
  <c r="M162" i="20"/>
  <c r="N161" i="20"/>
  <c r="P161" i="20" s="1"/>
  <c r="M161" i="20"/>
  <c r="K161" i="20"/>
  <c r="H161" i="20"/>
  <c r="N160" i="20"/>
  <c r="P160" i="20" s="1"/>
  <c r="M160" i="20"/>
  <c r="K160" i="20"/>
  <c r="N159" i="20"/>
  <c r="P159" i="20" s="1"/>
  <c r="M159" i="20"/>
  <c r="K159" i="20"/>
  <c r="N158" i="20"/>
  <c r="P158" i="20" s="1"/>
  <c r="M158" i="20"/>
  <c r="N157" i="20"/>
  <c r="M157" i="20"/>
  <c r="H157" i="20"/>
  <c r="N156" i="20"/>
  <c r="P156" i="20" s="1"/>
  <c r="M156" i="20"/>
  <c r="N155" i="20"/>
  <c r="P155" i="20" s="1"/>
  <c r="M155" i="20"/>
  <c r="N154" i="20"/>
  <c r="P154" i="20" s="1"/>
  <c r="M154" i="20"/>
  <c r="N153" i="20"/>
  <c r="P153" i="20" s="1"/>
  <c r="M153" i="20"/>
  <c r="N152" i="20"/>
  <c r="P152" i="20" s="1"/>
  <c r="M152" i="20"/>
  <c r="N151" i="20"/>
  <c r="P151" i="20" s="1"/>
  <c r="M151" i="20"/>
  <c r="N150" i="20"/>
  <c r="P150" i="20" s="1"/>
  <c r="M150" i="20"/>
  <c r="H150" i="20"/>
  <c r="N149" i="20"/>
  <c r="K149" i="20" s="1"/>
  <c r="M149" i="20"/>
  <c r="N148" i="20"/>
  <c r="M148" i="20"/>
  <c r="P147" i="20"/>
  <c r="N147" i="20"/>
  <c r="K147" i="20" s="1"/>
  <c r="M147" i="20"/>
  <c r="N146" i="20"/>
  <c r="K146" i="20" s="1"/>
  <c r="M146" i="20"/>
  <c r="P145" i="20"/>
  <c r="N145" i="20"/>
  <c r="K145" i="20" s="1"/>
  <c r="M145" i="20"/>
  <c r="H145" i="20"/>
  <c r="P144" i="20"/>
  <c r="N144" i="20"/>
  <c r="K144" i="20" s="1"/>
  <c r="M144" i="20"/>
  <c r="N143" i="20"/>
  <c r="K143" i="20" s="1"/>
  <c r="M143" i="20"/>
  <c r="N142" i="20"/>
  <c r="K142" i="20" s="1"/>
  <c r="M142" i="20"/>
  <c r="N141" i="20"/>
  <c r="K141" i="20" s="1"/>
  <c r="M141" i="20"/>
  <c r="P140" i="20"/>
  <c r="N140" i="20"/>
  <c r="K140" i="20" s="1"/>
  <c r="M140" i="20"/>
  <c r="N139" i="20"/>
  <c r="K139" i="20" s="1"/>
  <c r="M139" i="20"/>
  <c r="N138" i="20"/>
  <c r="K138" i="20" s="1"/>
  <c r="M138" i="20"/>
  <c r="N137" i="20"/>
  <c r="K137" i="20" s="1"/>
  <c r="M137" i="20"/>
  <c r="H137" i="20"/>
  <c r="N136" i="20"/>
  <c r="M136" i="20"/>
  <c r="N135" i="20"/>
  <c r="P135" i="20" s="1"/>
  <c r="M135" i="20"/>
  <c r="N134" i="20"/>
  <c r="P134" i="20" s="1"/>
  <c r="M134" i="20"/>
  <c r="K134" i="20"/>
  <c r="N133" i="20"/>
  <c r="P133" i="20" s="1"/>
  <c r="M133" i="20"/>
  <c r="K133" i="20"/>
  <c r="N132" i="20"/>
  <c r="M132" i="20"/>
  <c r="N131" i="20"/>
  <c r="P131" i="20" s="1"/>
  <c r="M131" i="20"/>
  <c r="K131" i="20"/>
  <c r="N130" i="20"/>
  <c r="P130" i="20" s="1"/>
  <c r="M130" i="20"/>
  <c r="K130" i="20"/>
  <c r="N129" i="20"/>
  <c r="P129" i="20" s="1"/>
  <c r="M129" i="20"/>
  <c r="N128" i="20"/>
  <c r="M128" i="20"/>
  <c r="N127" i="20"/>
  <c r="P127" i="20" s="1"/>
  <c r="M127" i="20"/>
  <c r="K127" i="20"/>
  <c r="N126" i="20"/>
  <c r="P126" i="20" s="1"/>
  <c r="M126" i="20"/>
  <c r="K126" i="20"/>
  <c r="N125" i="20"/>
  <c r="P125" i="20" s="1"/>
  <c r="M125" i="20"/>
  <c r="N124" i="20"/>
  <c r="M124" i="20"/>
  <c r="N123" i="20"/>
  <c r="P123" i="20" s="1"/>
  <c r="M123" i="20"/>
  <c r="H123" i="20"/>
  <c r="N122" i="20"/>
  <c r="P122" i="20" s="1"/>
  <c r="M122" i="20"/>
  <c r="H122" i="20"/>
  <c r="N121" i="20"/>
  <c r="M121" i="20"/>
  <c r="H121" i="20"/>
  <c r="N120" i="20"/>
  <c r="P120" i="20" s="1"/>
  <c r="M120" i="20"/>
  <c r="K120" i="20"/>
  <c r="N119" i="20"/>
  <c r="P119" i="20" s="1"/>
  <c r="M119" i="20"/>
  <c r="K119" i="20"/>
  <c r="N118" i="20"/>
  <c r="P118" i="20" s="1"/>
  <c r="M118" i="20"/>
  <c r="N117" i="20"/>
  <c r="P117" i="20" s="1"/>
  <c r="M117" i="20"/>
  <c r="H117" i="20"/>
  <c r="N116" i="20"/>
  <c r="P116" i="20" s="1"/>
  <c r="M116" i="20"/>
  <c r="N115" i="20"/>
  <c r="P115" i="20" s="1"/>
  <c r="M115" i="20"/>
  <c r="K115" i="20"/>
  <c r="H115" i="20"/>
  <c r="N114" i="20"/>
  <c r="P114" i="20" s="1"/>
  <c r="M114" i="20"/>
  <c r="N113" i="20"/>
  <c r="P113" i="20" s="1"/>
  <c r="M113" i="20"/>
  <c r="N112" i="20"/>
  <c r="P112" i="20" s="1"/>
  <c r="M112" i="20"/>
  <c r="N111" i="20"/>
  <c r="P111" i="20" s="1"/>
  <c r="M111" i="20"/>
  <c r="N110" i="20"/>
  <c r="P110" i="20" s="1"/>
  <c r="M110" i="20"/>
  <c r="N109" i="20"/>
  <c r="P109" i="20" s="1"/>
  <c r="M109" i="20"/>
  <c r="N108" i="20"/>
  <c r="P108" i="20" s="1"/>
  <c r="M108" i="20"/>
  <c r="N107" i="20"/>
  <c r="P107" i="20" s="1"/>
  <c r="M107" i="20"/>
  <c r="N106" i="20"/>
  <c r="P106" i="20" s="1"/>
  <c r="M106" i="20"/>
  <c r="N105" i="20"/>
  <c r="P105" i="20" s="1"/>
  <c r="M105" i="20"/>
  <c r="H105" i="20"/>
  <c r="N104" i="20"/>
  <c r="K104" i="20" s="1"/>
  <c r="M104" i="20"/>
  <c r="N103" i="20"/>
  <c r="M103" i="20"/>
  <c r="P102" i="20"/>
  <c r="N102" i="20"/>
  <c r="K102" i="20" s="1"/>
  <c r="M102" i="20"/>
  <c r="N101" i="20"/>
  <c r="K101" i="20" s="1"/>
  <c r="M101" i="20"/>
  <c r="N100" i="20"/>
  <c r="K100" i="20" s="1"/>
  <c r="M100" i="20"/>
  <c r="N99" i="20"/>
  <c r="M99" i="20"/>
  <c r="P98" i="20"/>
  <c r="N98" i="20"/>
  <c r="K98" i="20" s="1"/>
  <c r="M98" i="20"/>
  <c r="N97" i="20"/>
  <c r="K97" i="20" s="1"/>
  <c r="M97" i="20"/>
  <c r="H97" i="20"/>
  <c r="N96" i="20"/>
  <c r="K96" i="20" s="1"/>
  <c r="M96" i="20"/>
  <c r="N95" i="20"/>
  <c r="K95" i="20" s="1"/>
  <c r="M95" i="20"/>
  <c r="N94" i="20"/>
  <c r="K94" i="20" s="1"/>
  <c r="M94" i="20"/>
  <c r="N93" i="20"/>
  <c r="K93" i="20" s="1"/>
  <c r="M93" i="20"/>
  <c r="N92" i="20"/>
  <c r="K92" i="20" s="1"/>
  <c r="M92" i="20"/>
  <c r="N91" i="20"/>
  <c r="K91" i="20" s="1"/>
  <c r="M91" i="20"/>
  <c r="N90" i="20"/>
  <c r="K90" i="20" s="1"/>
  <c r="M90" i="20"/>
  <c r="N89" i="20"/>
  <c r="K89" i="20" s="1"/>
  <c r="M89" i="20"/>
  <c r="N88" i="20"/>
  <c r="K88" i="20" s="1"/>
  <c r="M88" i="20"/>
  <c r="N87" i="20"/>
  <c r="K87" i="20" s="1"/>
  <c r="M87" i="20"/>
  <c r="N86" i="20"/>
  <c r="K86" i="20" s="1"/>
  <c r="M86" i="20"/>
  <c r="N85" i="20"/>
  <c r="K85" i="20" s="1"/>
  <c r="M85" i="20"/>
  <c r="N84" i="20"/>
  <c r="K84" i="20" s="1"/>
  <c r="M84" i="20"/>
  <c r="N83" i="20"/>
  <c r="K83" i="20" s="1"/>
  <c r="M83" i="20"/>
  <c r="H83" i="20"/>
  <c r="N82" i="20"/>
  <c r="P82" i="20" s="1"/>
  <c r="M82" i="20"/>
  <c r="H82" i="20"/>
  <c r="N81" i="20"/>
  <c r="P81" i="20" s="1"/>
  <c r="M81" i="20"/>
  <c r="N80" i="20"/>
  <c r="P80" i="20" s="1"/>
  <c r="M80" i="20"/>
  <c r="N79" i="20"/>
  <c r="P79" i="20" s="1"/>
  <c r="M79" i="20"/>
  <c r="N78" i="20"/>
  <c r="P78" i="20" s="1"/>
  <c r="M78" i="20"/>
  <c r="N77" i="20"/>
  <c r="P77" i="20" s="1"/>
  <c r="M77" i="20"/>
  <c r="N76" i="20"/>
  <c r="P76" i="20" s="1"/>
  <c r="M76" i="20"/>
  <c r="N75" i="20"/>
  <c r="P75" i="20" s="1"/>
  <c r="M75" i="20"/>
  <c r="H75" i="20"/>
  <c r="N74" i="20"/>
  <c r="K74" i="20" s="1"/>
  <c r="M74" i="20"/>
  <c r="H74" i="20"/>
  <c r="N73" i="20"/>
  <c r="K73" i="20" s="1"/>
  <c r="M73" i="20"/>
  <c r="N72" i="20"/>
  <c r="K72" i="20" s="1"/>
  <c r="M72" i="20"/>
  <c r="N71" i="20"/>
  <c r="K71" i="20" s="1"/>
  <c r="M71" i="20"/>
  <c r="H71" i="20"/>
  <c r="N70" i="20"/>
  <c r="P70" i="20" s="1"/>
  <c r="M70" i="20"/>
  <c r="N69" i="20"/>
  <c r="M69" i="20"/>
  <c r="N68" i="20"/>
  <c r="P68" i="20" s="1"/>
  <c r="M68" i="20"/>
  <c r="N67" i="20"/>
  <c r="P67" i="20" s="1"/>
  <c r="M67" i="20"/>
  <c r="K67" i="20"/>
  <c r="N66" i="20"/>
  <c r="P66" i="20" s="1"/>
  <c r="M66" i="20"/>
  <c r="K66" i="20"/>
  <c r="N65" i="20"/>
  <c r="M65" i="20"/>
  <c r="H65" i="20"/>
  <c r="N64" i="20"/>
  <c r="P64" i="20" s="1"/>
  <c r="M64" i="20"/>
  <c r="H64" i="20"/>
  <c r="N63" i="20"/>
  <c r="K63" i="20" s="1"/>
  <c r="M63" i="20"/>
  <c r="H63" i="20"/>
  <c r="N62" i="20"/>
  <c r="K62" i="20" s="1"/>
  <c r="M62" i="20"/>
  <c r="N61" i="20"/>
  <c r="K61" i="20" s="1"/>
  <c r="M61" i="20"/>
  <c r="N60" i="20"/>
  <c r="K60" i="20" s="1"/>
  <c r="M60" i="20"/>
  <c r="H60" i="20"/>
  <c r="N59" i="20"/>
  <c r="M59" i="20"/>
  <c r="N58" i="20"/>
  <c r="P58" i="20" s="1"/>
  <c r="M58" i="20"/>
  <c r="H58" i="20"/>
  <c r="N57" i="20"/>
  <c r="P57" i="20" s="1"/>
  <c r="M57" i="20"/>
  <c r="N56" i="20"/>
  <c r="P56" i="20" s="1"/>
  <c r="M56" i="20"/>
  <c r="N55" i="20"/>
  <c r="P55" i="20" s="1"/>
  <c r="M55" i="20"/>
  <c r="H55" i="20"/>
  <c r="N54" i="20"/>
  <c r="M54" i="20"/>
  <c r="P53" i="20"/>
  <c r="N53" i="20"/>
  <c r="K53" i="20" s="1"/>
  <c r="M53" i="20"/>
  <c r="N52" i="20"/>
  <c r="K52" i="20" s="1"/>
  <c r="M52" i="20"/>
  <c r="H52" i="20"/>
  <c r="N51" i="20"/>
  <c r="K51" i="20" s="1"/>
  <c r="M51" i="20"/>
  <c r="N50" i="20"/>
  <c r="K50" i="20" s="1"/>
  <c r="M50" i="20"/>
  <c r="H50" i="20"/>
  <c r="N49" i="20"/>
  <c r="P49" i="20" s="1"/>
  <c r="M49" i="20"/>
  <c r="N48" i="20"/>
  <c r="M48" i="20"/>
  <c r="N47" i="20"/>
  <c r="P47" i="20" s="1"/>
  <c r="M47" i="20"/>
  <c r="K47" i="20"/>
  <c r="H47" i="20"/>
  <c r="N46" i="20"/>
  <c r="P46" i="20" s="1"/>
  <c r="M46" i="20"/>
  <c r="N45" i="20"/>
  <c r="P45" i="20" s="1"/>
  <c r="M45" i="20"/>
  <c r="N44" i="20"/>
  <c r="P44" i="20" s="1"/>
  <c r="M44" i="20"/>
  <c r="H44" i="20"/>
  <c r="N43" i="20"/>
  <c r="M43" i="20"/>
  <c r="H43" i="20"/>
  <c r="N42" i="20"/>
  <c r="P42" i="20" s="1"/>
  <c r="M42" i="20"/>
  <c r="N41" i="20"/>
  <c r="P41" i="20" s="1"/>
  <c r="M41" i="20"/>
  <c r="K41" i="20"/>
  <c r="N40" i="20"/>
  <c r="P40" i="20" s="1"/>
  <c r="M40" i="20"/>
  <c r="K40" i="20"/>
  <c r="N39" i="20"/>
  <c r="P39" i="20" s="1"/>
  <c r="M39" i="20"/>
  <c r="N38" i="20"/>
  <c r="P38" i="20" s="1"/>
  <c r="M38" i="20"/>
  <c r="N37" i="20"/>
  <c r="P37" i="20" s="1"/>
  <c r="M37" i="20"/>
  <c r="K37" i="20"/>
  <c r="N36" i="20"/>
  <c r="P36" i="20" s="1"/>
  <c r="M36" i="20"/>
  <c r="K36" i="20"/>
  <c r="H36" i="20"/>
  <c r="N35" i="20"/>
  <c r="P35" i="20" s="1"/>
  <c r="M35" i="20"/>
  <c r="K35" i="20"/>
  <c r="N34" i="20"/>
  <c r="P34" i="20" s="1"/>
  <c r="M34" i="20"/>
  <c r="K34" i="20"/>
  <c r="N33" i="20"/>
  <c r="P33" i="20" s="1"/>
  <c r="M33" i="20"/>
  <c r="N32" i="20"/>
  <c r="M32" i="20"/>
  <c r="N31" i="20"/>
  <c r="P31" i="20" s="1"/>
  <c r="M31" i="20"/>
  <c r="N30" i="20"/>
  <c r="P30" i="20" s="1"/>
  <c r="M30" i="20"/>
  <c r="K30" i="20"/>
  <c r="N29" i="20"/>
  <c r="P29" i="20" s="1"/>
  <c r="M29" i="20"/>
  <c r="K29" i="20"/>
  <c r="N28" i="20"/>
  <c r="M28" i="20"/>
  <c r="N27" i="20"/>
  <c r="P27" i="20" s="1"/>
  <c r="M27" i="20"/>
  <c r="N26" i="20"/>
  <c r="P26" i="20" s="1"/>
  <c r="M26" i="20"/>
  <c r="K26" i="20"/>
  <c r="H26" i="20"/>
  <c r="N25" i="20"/>
  <c r="P25" i="20" s="1"/>
  <c r="M25" i="20"/>
  <c r="N24" i="20"/>
  <c r="P24" i="20" s="1"/>
  <c r="M24" i="20"/>
  <c r="N23" i="20"/>
  <c r="P23" i="20" s="1"/>
  <c r="M23" i="20"/>
  <c r="N22" i="20"/>
  <c r="P22" i="20" s="1"/>
  <c r="M22" i="20"/>
  <c r="N21" i="20"/>
  <c r="P21" i="20" s="1"/>
  <c r="M21" i="20"/>
  <c r="N20" i="20"/>
  <c r="P20" i="20" s="1"/>
  <c r="M20" i="20"/>
  <c r="N19" i="20"/>
  <c r="P19" i="20" s="1"/>
  <c r="M19" i="20"/>
  <c r="N18" i="20"/>
  <c r="P18" i="20" s="1"/>
  <c r="M18" i="20"/>
  <c r="N17" i="20"/>
  <c r="P17" i="20" s="1"/>
  <c r="M17" i="20"/>
  <c r="H17" i="20"/>
  <c r="N16" i="20"/>
  <c r="K16" i="20" s="1"/>
  <c r="M16" i="20"/>
  <c r="N15" i="20"/>
  <c r="K15" i="20" s="1"/>
  <c r="M15" i="20"/>
  <c r="N14" i="20"/>
  <c r="M14" i="20"/>
  <c r="P13" i="20"/>
  <c r="N13" i="20"/>
  <c r="K13" i="20" s="1"/>
  <c r="M13" i="20"/>
  <c r="H13" i="20"/>
  <c r="P12" i="20"/>
  <c r="N12" i="20"/>
  <c r="M12" i="20"/>
  <c r="K12" i="20"/>
  <c r="P11" i="20"/>
  <c r="N11" i="20"/>
  <c r="M11" i="20"/>
  <c r="K11" i="20"/>
  <c r="P10" i="20"/>
  <c r="N10" i="20"/>
  <c r="M10" i="20"/>
  <c r="K10" i="20"/>
  <c r="P9" i="20"/>
  <c r="N9" i="20"/>
  <c r="M9" i="20"/>
  <c r="K9" i="20"/>
  <c r="P8" i="20"/>
  <c r="N8" i="20"/>
  <c r="M8" i="20"/>
  <c r="K8" i="20"/>
  <c r="P7" i="20"/>
  <c r="N7" i="20"/>
  <c r="M7" i="20"/>
  <c r="K7" i="20"/>
  <c r="P6" i="20"/>
  <c r="N6" i="20"/>
  <c r="M6" i="20"/>
  <c r="K6" i="20"/>
  <c r="H6" i="20"/>
  <c r="N5" i="20"/>
  <c r="P5" i="20" s="1"/>
  <c r="M5" i="20"/>
  <c r="K5" i="20"/>
  <c r="H5" i="20"/>
  <c r="N4" i="20"/>
  <c r="P4" i="20" s="1"/>
  <c r="M4" i="20"/>
  <c r="N3" i="20"/>
  <c r="P3" i="20" s="1"/>
  <c r="M3" i="20"/>
  <c r="N2" i="20"/>
  <c r="P2" i="20" s="1"/>
  <c r="M2" i="20"/>
  <c r="P1225" i="16"/>
  <c r="R1225" i="16" s="1"/>
  <c r="P1224" i="16"/>
  <c r="M1224" i="16" s="1"/>
  <c r="P1222" i="16"/>
  <c r="M1222" i="16" s="1"/>
  <c r="P1220" i="16"/>
  <c r="R1220" i="16" s="1"/>
  <c r="P1218" i="16"/>
  <c r="R1218" i="16" s="1"/>
  <c r="P1216" i="16"/>
  <c r="R1216" i="16" s="1"/>
  <c r="P1210" i="16"/>
  <c r="R1210" i="16" s="1"/>
  <c r="P1208" i="16"/>
  <c r="R1208" i="16" s="1"/>
  <c r="P1207" i="16"/>
  <c r="R1207" i="16" s="1"/>
  <c r="P1206" i="16"/>
  <c r="R1206" i="16" s="1"/>
  <c r="P1192" i="16"/>
  <c r="R1192" i="16" s="1"/>
  <c r="P1195" i="16"/>
  <c r="R1195" i="16" s="1"/>
  <c r="P1194" i="16"/>
  <c r="M1194" i="16" s="1"/>
  <c r="P1193" i="16"/>
  <c r="R1193" i="16" s="1"/>
  <c r="P1187" i="16"/>
  <c r="R1187" i="16" s="1"/>
  <c r="P1186" i="16"/>
  <c r="R1186" i="16" s="1"/>
  <c r="P1190" i="16"/>
  <c r="M1190" i="16" s="1"/>
  <c r="P1189" i="16"/>
  <c r="R1189" i="16" s="1"/>
  <c r="P1188" i="16"/>
  <c r="R1188" i="16" s="1"/>
  <c r="P1184" i="16"/>
  <c r="M1184" i="16" s="1"/>
  <c r="P1183" i="16"/>
  <c r="R1183" i="16" s="1"/>
  <c r="P1182" i="16"/>
  <c r="R1182" i="16" s="1"/>
  <c r="P1177" i="16"/>
  <c r="R1177" i="16" s="1"/>
  <c r="P1180" i="16"/>
  <c r="R1180" i="16" s="1"/>
  <c r="P1179" i="16"/>
  <c r="M1179" i="16" s="1"/>
  <c r="P1178" i="16"/>
  <c r="R1178" i="16" s="1"/>
  <c r="P1172" i="16"/>
  <c r="R1172" i="16" s="1"/>
  <c r="P1175" i="16"/>
  <c r="R1175" i="16" s="1"/>
  <c r="P1174" i="16"/>
  <c r="M1174" i="16" s="1"/>
  <c r="P1173" i="16"/>
  <c r="R1173" i="16" s="1"/>
  <c r="P1147" i="16"/>
  <c r="R1147" i="16" s="1"/>
  <c r="P1150" i="16"/>
  <c r="M1150" i="16" s="1"/>
  <c r="P1149" i="16"/>
  <c r="R1149" i="16" s="1"/>
  <c r="P1148" i="16"/>
  <c r="R1148" i="16" s="1"/>
  <c r="P1142" i="16"/>
  <c r="R1142" i="16" s="1"/>
  <c r="P1145" i="16"/>
  <c r="R1145" i="16" s="1"/>
  <c r="P1144" i="16"/>
  <c r="R1144" i="16" s="1"/>
  <c r="P1143" i="16"/>
  <c r="R1143" i="16" s="1"/>
  <c r="P1170" i="16"/>
  <c r="M1170" i="16" s="1"/>
  <c r="P1169" i="16"/>
  <c r="R1169" i="16" s="1"/>
  <c r="P1164" i="16"/>
  <c r="M1164" i="16" s="1"/>
  <c r="P1159" i="16"/>
  <c r="M1159" i="16" s="1"/>
  <c r="P1160" i="16"/>
  <c r="R1160" i="16" s="1"/>
  <c r="P1162" i="16"/>
  <c r="M1162" i="16" s="1"/>
  <c r="P1161" i="16"/>
  <c r="R1161" i="16" s="1"/>
  <c r="P1155" i="16"/>
  <c r="R1155" i="16" s="1"/>
  <c r="P1140" i="16"/>
  <c r="R1140" i="16" s="1"/>
  <c r="P1136" i="16"/>
  <c r="R1136" i="16" s="1"/>
  <c r="P1130" i="16"/>
  <c r="R1130" i="16" s="1"/>
  <c r="P1134" i="16"/>
  <c r="R1134" i="16" s="1"/>
  <c r="P1135" i="16"/>
  <c r="R1135" i="16" s="1"/>
  <c r="P1128" i="16"/>
  <c r="M1128" i="16" s="1"/>
  <c r="P1124" i="16"/>
  <c r="R1124" i="16" s="1"/>
  <c r="P1157" i="16"/>
  <c r="M1157" i="16" s="1"/>
  <c r="P1156" i="16"/>
  <c r="M1156" i="16" s="1"/>
  <c r="P1126" i="16"/>
  <c r="M1126" i="16" s="1"/>
  <c r="P1132" i="16"/>
  <c r="R1132" i="16" s="1"/>
  <c r="P1138" i="16"/>
  <c r="R1138" i="16" s="1"/>
  <c r="P1137" i="16"/>
  <c r="M1137" i="16" s="1"/>
  <c r="P1131" i="16"/>
  <c r="M1131" i="16" s="1"/>
  <c r="P1100" i="16"/>
  <c r="R1100" i="16" s="1"/>
  <c r="P1099" i="16"/>
  <c r="R1099" i="16" s="1"/>
  <c r="P1098" i="16"/>
  <c r="M1098" i="16" s="1"/>
  <c r="P1093" i="16"/>
  <c r="R1093" i="16" s="1"/>
  <c r="P1097" i="16"/>
  <c r="M1097" i="16" s="1"/>
  <c r="P1096" i="16"/>
  <c r="R1096" i="16" s="1"/>
  <c r="P1095" i="16"/>
  <c r="M1095" i="16" s="1"/>
  <c r="P1094" i="16"/>
  <c r="M1094" i="16" s="1"/>
  <c r="P1084" i="16"/>
  <c r="R1084" i="16" s="1"/>
  <c r="P1083" i="16"/>
  <c r="R1083" i="16" s="1"/>
  <c r="P1082" i="16"/>
  <c r="R1082" i="16" s="1"/>
  <c r="P1081" i="16"/>
  <c r="R1081" i="16" s="1"/>
  <c r="P1080" i="16"/>
  <c r="R1080" i="16" s="1"/>
  <c r="P1079" i="16"/>
  <c r="R1079" i="16" s="1"/>
  <c r="P1078" i="16"/>
  <c r="R1078" i="16" s="1"/>
  <c r="P1077" i="16"/>
  <c r="R1077" i="16" s="1"/>
  <c r="P1076" i="16"/>
  <c r="R1076" i="16" s="1"/>
  <c r="P1075" i="16"/>
  <c r="R1075" i="16" s="1"/>
  <c r="P1074" i="16"/>
  <c r="R1074" i="16" s="1"/>
  <c r="P1073" i="16"/>
  <c r="R1073" i="16" s="1"/>
  <c r="P1072" i="16"/>
  <c r="R1072" i="16" s="1"/>
  <c r="P1089" i="16"/>
  <c r="M1089" i="16" s="1"/>
  <c r="P1088" i="16"/>
  <c r="R1088" i="16" s="1"/>
  <c r="P1087" i="16"/>
  <c r="R1087" i="16" s="1"/>
  <c r="P1086" i="16"/>
  <c r="R1086" i="16" s="1"/>
  <c r="P1085" i="16"/>
  <c r="R1085" i="16" s="1"/>
  <c r="P1090" i="16"/>
  <c r="M1090" i="16" s="1"/>
  <c r="P1091" i="16"/>
  <c r="R1091" i="16" s="1"/>
  <c r="P1069" i="16"/>
  <c r="R1069" i="16" s="1"/>
  <c r="P1068" i="16"/>
  <c r="R1068" i="16" s="1"/>
  <c r="P1067" i="16"/>
  <c r="R1067" i="16" s="1"/>
  <c r="P1066" i="16"/>
  <c r="R1066" i="16" s="1"/>
  <c r="P1065" i="16"/>
  <c r="R1065" i="16" s="1"/>
  <c r="P1064" i="16"/>
  <c r="R1064" i="16" s="1"/>
  <c r="P1063" i="16"/>
  <c r="R1063" i="16" s="1"/>
  <c r="P1062" i="16"/>
  <c r="R1062" i="16" s="1"/>
  <c r="P1061" i="16"/>
  <c r="R1061" i="16" s="1"/>
  <c r="P1070" i="16"/>
  <c r="R1070" i="16" s="1"/>
  <c r="P1060" i="16"/>
  <c r="M1060" i="16" s="1"/>
  <c r="P1059" i="16"/>
  <c r="R1059" i="16" s="1"/>
  <c r="P1058" i="16"/>
  <c r="R1058" i="16" s="1"/>
  <c r="P1051" i="16"/>
  <c r="R1051" i="16" s="1"/>
  <c r="P1050" i="16"/>
  <c r="R1050" i="16" s="1"/>
  <c r="P1049" i="16"/>
  <c r="R1049" i="16" s="1"/>
  <c r="P1048" i="16"/>
  <c r="R1048" i="16" s="1"/>
  <c r="P1055" i="16"/>
  <c r="R1055" i="16" s="1"/>
  <c r="P1054" i="16"/>
  <c r="R1054" i="16" s="1"/>
  <c r="P1053" i="16"/>
  <c r="R1053" i="16" s="1"/>
  <c r="P1052" i="16"/>
  <c r="R1052" i="16" s="1"/>
  <c r="P1056" i="16"/>
  <c r="R1056" i="16" s="1"/>
  <c r="P1047" i="16"/>
  <c r="M1047" i="16" s="1"/>
  <c r="P1046" i="16"/>
  <c r="R1046" i="16" s="1"/>
  <c r="P1045" i="16"/>
  <c r="M1045" i="16" s="1"/>
  <c r="P1042" i="16"/>
  <c r="R1042" i="16" s="1"/>
  <c r="P1041" i="16"/>
  <c r="R1041" i="16" s="1"/>
  <c r="P1040" i="16"/>
  <c r="R1040" i="16" s="1"/>
  <c r="P1039" i="16"/>
  <c r="R1039" i="16" s="1"/>
  <c r="P1038" i="16"/>
  <c r="R1038" i="16" s="1"/>
  <c r="P1043" i="16"/>
  <c r="R1043" i="16" s="1"/>
  <c r="P1037" i="16"/>
  <c r="R1037" i="16" s="1"/>
  <c r="P1036" i="16"/>
  <c r="R1036" i="16" s="1"/>
  <c r="P1035" i="16"/>
  <c r="R1035" i="16" s="1"/>
  <c r="P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9" i="16"/>
  <c r="P120" i="16"/>
  <c r="P122" i="16"/>
  <c r="P123" i="16"/>
  <c r="P124" i="16"/>
  <c r="P125" i="16"/>
  <c r="P126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9" i="16"/>
  <c r="P400" i="16"/>
  <c r="P403" i="16"/>
  <c r="P406" i="16"/>
  <c r="P407" i="16"/>
  <c r="P408" i="16"/>
  <c r="P410" i="16"/>
  <c r="P411" i="16"/>
  <c r="P420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5" i="16"/>
  <c r="P466" i="16"/>
  <c r="P467" i="16"/>
  <c r="P469" i="16"/>
  <c r="P470" i="16"/>
  <c r="P471" i="16"/>
  <c r="P472" i="16"/>
  <c r="P473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86" i="16"/>
  <c r="P791" i="16"/>
  <c r="P793" i="16"/>
  <c r="P796" i="16"/>
  <c r="P797" i="16"/>
  <c r="P798" i="16"/>
  <c r="P800" i="16"/>
  <c r="P801" i="16"/>
  <c r="P802" i="16"/>
  <c r="P803" i="16"/>
  <c r="P804" i="16"/>
  <c r="P805" i="16"/>
  <c r="P806" i="16"/>
  <c r="P807" i="16"/>
  <c r="P808" i="16"/>
  <c r="P809" i="16"/>
  <c r="P810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44" i="16"/>
  <c r="P1057" i="16"/>
  <c r="P1071" i="16"/>
  <c r="P1092" i="16"/>
  <c r="P1118" i="16"/>
  <c r="P1119" i="16"/>
  <c r="P1120" i="16"/>
  <c r="P1121" i="16"/>
  <c r="P1122" i="16"/>
  <c r="P1123" i="16"/>
  <c r="P1125" i="16"/>
  <c r="P1127" i="16"/>
  <c r="P1129" i="16"/>
  <c r="P1133" i="16"/>
  <c r="P1139" i="16"/>
  <c r="P1141" i="16"/>
  <c r="P1146" i="16"/>
  <c r="P1154" i="16"/>
  <c r="P1158" i="16"/>
  <c r="P1163" i="16"/>
  <c r="P1171" i="16"/>
  <c r="P1176" i="16"/>
  <c r="P1181" i="16"/>
  <c r="P1185" i="16"/>
  <c r="P1191" i="16"/>
  <c r="P1202" i="16"/>
  <c r="P1203" i="16"/>
  <c r="P1204" i="16"/>
  <c r="P1205" i="16"/>
  <c r="P1209" i="16"/>
  <c r="P1211" i="16"/>
  <c r="P1212" i="16"/>
  <c r="P1213" i="16"/>
  <c r="P1214" i="16"/>
  <c r="P1215" i="16"/>
  <c r="P1217" i="16"/>
  <c r="P1219" i="16"/>
  <c r="P1221" i="16"/>
  <c r="P1223" i="16"/>
  <c r="K43" i="20" l="1"/>
  <c r="P43" i="20"/>
  <c r="P132" i="20"/>
  <c r="K132" i="20"/>
  <c r="K148" i="20"/>
  <c r="P148" i="20"/>
  <c r="P240" i="20"/>
  <c r="K240" i="20"/>
  <c r="K261" i="20"/>
  <c r="P261" i="20"/>
  <c r="K267" i="20"/>
  <c r="P267" i="20"/>
  <c r="K273" i="20"/>
  <c r="P273" i="20"/>
  <c r="K279" i="20"/>
  <c r="P279" i="20"/>
  <c r="K287" i="20"/>
  <c r="P287" i="20"/>
  <c r="K293" i="20"/>
  <c r="P293" i="20"/>
  <c r="K495" i="20"/>
  <c r="P495" i="20"/>
  <c r="K503" i="20"/>
  <c r="P503" i="20"/>
  <c r="K509" i="20"/>
  <c r="P509" i="20"/>
  <c r="P709" i="20"/>
  <c r="K709" i="20"/>
  <c r="P811" i="20"/>
  <c r="K811" i="20"/>
  <c r="K875" i="20"/>
  <c r="P875" i="20"/>
  <c r="K881" i="20"/>
  <c r="P881" i="20"/>
  <c r="K887" i="20"/>
  <c r="P887" i="20"/>
  <c r="K895" i="20"/>
  <c r="P895" i="20"/>
  <c r="P915" i="20"/>
  <c r="K915" i="20"/>
  <c r="P926" i="20"/>
  <c r="K926" i="20"/>
  <c r="P934" i="20"/>
  <c r="K934" i="20"/>
  <c r="K1059" i="20"/>
  <c r="P1059" i="20"/>
  <c r="K1105" i="20"/>
  <c r="P1105" i="20"/>
  <c r="P15" i="20"/>
  <c r="P48" i="20"/>
  <c r="K48" i="20"/>
  <c r="P50" i="20"/>
  <c r="P51" i="20"/>
  <c r="P52" i="20"/>
  <c r="P62" i="20"/>
  <c r="P63" i="20"/>
  <c r="P101" i="20"/>
  <c r="P104" i="20"/>
  <c r="K121" i="20"/>
  <c r="P121" i="20"/>
  <c r="P128" i="20"/>
  <c r="K128" i="20"/>
  <c r="P139" i="20"/>
  <c r="P143" i="20"/>
  <c r="P157" i="20"/>
  <c r="K157" i="20"/>
  <c r="P174" i="20"/>
  <c r="P177" i="20"/>
  <c r="K180" i="20"/>
  <c r="P180" i="20"/>
  <c r="P198" i="20"/>
  <c r="P202" i="20"/>
  <c r="P206" i="20"/>
  <c r="P210" i="20"/>
  <c r="P214" i="20"/>
  <c r="P217" i="20"/>
  <c r="P220" i="20"/>
  <c r="K225" i="20"/>
  <c r="P225" i="20"/>
  <c r="P244" i="20"/>
  <c r="P248" i="20"/>
  <c r="P252" i="20"/>
  <c r="P256" i="20"/>
  <c r="P260" i="20"/>
  <c r="P307" i="20"/>
  <c r="K312" i="20"/>
  <c r="P312" i="20"/>
  <c r="P394" i="20"/>
  <c r="K397" i="20"/>
  <c r="P397" i="20"/>
  <c r="K420" i="20"/>
  <c r="P420" i="20"/>
  <c r="K422" i="20"/>
  <c r="P422" i="20"/>
  <c r="K424" i="20"/>
  <c r="P424" i="20"/>
  <c r="K426" i="20"/>
  <c r="P426" i="20"/>
  <c r="K428" i="20"/>
  <c r="P428" i="20"/>
  <c r="K430" i="20"/>
  <c r="P430" i="20"/>
  <c r="K432" i="20"/>
  <c r="P432" i="20"/>
  <c r="K434" i="20"/>
  <c r="P434" i="20"/>
  <c r="K436" i="20"/>
  <c r="P436" i="20"/>
  <c r="K438" i="20"/>
  <c r="P438" i="20"/>
  <c r="K440" i="20"/>
  <c r="P440" i="20"/>
  <c r="K442" i="20"/>
  <c r="P442" i="20"/>
  <c r="K444" i="20"/>
  <c r="P444" i="20"/>
  <c r="P471" i="20"/>
  <c r="K474" i="20"/>
  <c r="P474" i="20"/>
  <c r="K546" i="20"/>
  <c r="P546" i="20"/>
  <c r="K570" i="20"/>
  <c r="P570" i="20"/>
  <c r="P577" i="20"/>
  <c r="K577" i="20"/>
  <c r="P598" i="20"/>
  <c r="P627" i="20"/>
  <c r="K627" i="20"/>
  <c r="P631" i="20"/>
  <c r="K631" i="20"/>
  <c r="P641" i="20"/>
  <c r="P645" i="20"/>
  <c r="P649" i="20"/>
  <c r="P650" i="20"/>
  <c r="K661" i="20"/>
  <c r="P661" i="20"/>
  <c r="K663" i="20"/>
  <c r="P663" i="20"/>
  <c r="K665" i="20"/>
  <c r="P665" i="20"/>
  <c r="K667" i="20"/>
  <c r="P667" i="20"/>
  <c r="K669" i="20"/>
  <c r="P669" i="20"/>
  <c r="K671" i="20"/>
  <c r="P671" i="20"/>
  <c r="K673" i="20"/>
  <c r="P673" i="20"/>
  <c r="K675" i="20"/>
  <c r="P675" i="20"/>
  <c r="P750" i="20"/>
  <c r="P781" i="20"/>
  <c r="P785" i="20"/>
  <c r="P789" i="20"/>
  <c r="P846" i="20"/>
  <c r="P851" i="20"/>
  <c r="P855" i="20"/>
  <c r="P856" i="20"/>
  <c r="K859" i="20"/>
  <c r="P859" i="20"/>
  <c r="P994" i="20"/>
  <c r="P999" i="20"/>
  <c r="K1097" i="20"/>
  <c r="P1097" i="20"/>
  <c r="K1143" i="20"/>
  <c r="P1143" i="20"/>
  <c r="K228" i="20"/>
  <c r="P228" i="20"/>
  <c r="K265" i="20"/>
  <c r="P265" i="20"/>
  <c r="K271" i="20"/>
  <c r="P271" i="20"/>
  <c r="K277" i="20"/>
  <c r="P277" i="20"/>
  <c r="K283" i="20"/>
  <c r="P283" i="20"/>
  <c r="K291" i="20"/>
  <c r="P291" i="20"/>
  <c r="K295" i="20"/>
  <c r="P295" i="20"/>
  <c r="K320" i="20"/>
  <c r="P320" i="20"/>
  <c r="K478" i="20"/>
  <c r="P478" i="20"/>
  <c r="K499" i="20"/>
  <c r="P499" i="20"/>
  <c r="K507" i="20"/>
  <c r="P507" i="20"/>
  <c r="P659" i="20"/>
  <c r="K659" i="20"/>
  <c r="P717" i="20"/>
  <c r="K717" i="20"/>
  <c r="P777" i="20"/>
  <c r="K777" i="20"/>
  <c r="P806" i="20"/>
  <c r="K806" i="20"/>
  <c r="P814" i="20"/>
  <c r="K814" i="20"/>
  <c r="P822" i="20"/>
  <c r="K822" i="20"/>
  <c r="K873" i="20"/>
  <c r="P873" i="20"/>
  <c r="K879" i="20"/>
  <c r="P879" i="20"/>
  <c r="K885" i="20"/>
  <c r="P885" i="20"/>
  <c r="K891" i="20"/>
  <c r="P891" i="20"/>
  <c r="K899" i="20"/>
  <c r="P899" i="20"/>
  <c r="P923" i="20"/>
  <c r="K923" i="20"/>
  <c r="P931" i="20"/>
  <c r="K931" i="20"/>
  <c r="P1014" i="20"/>
  <c r="K1014" i="20"/>
  <c r="K1073" i="20"/>
  <c r="P1073" i="20"/>
  <c r="K1107" i="20"/>
  <c r="P1107" i="20"/>
  <c r="P32" i="20"/>
  <c r="K32" i="20"/>
  <c r="K68" i="20"/>
  <c r="P69" i="20"/>
  <c r="K69" i="20"/>
  <c r="P73" i="20"/>
  <c r="P84" i="20"/>
  <c r="P86" i="20"/>
  <c r="P89" i="20"/>
  <c r="P92" i="20"/>
  <c r="P94" i="20"/>
  <c r="P97" i="20"/>
  <c r="K171" i="20"/>
  <c r="P243" i="20"/>
  <c r="P247" i="20"/>
  <c r="P251" i="20"/>
  <c r="P255" i="20"/>
  <c r="P259" i="20"/>
  <c r="K262" i="20"/>
  <c r="P262" i="20"/>
  <c r="K264" i="20"/>
  <c r="P264" i="20"/>
  <c r="K266" i="20"/>
  <c r="P266" i="20"/>
  <c r="K268" i="20"/>
  <c r="P268" i="20"/>
  <c r="K270" i="20"/>
  <c r="P270" i="20"/>
  <c r="K272" i="20"/>
  <c r="P272" i="20"/>
  <c r="K274" i="20"/>
  <c r="P274" i="20"/>
  <c r="K276" i="20"/>
  <c r="P276" i="20"/>
  <c r="K278" i="20"/>
  <c r="P278" i="20"/>
  <c r="K280" i="20"/>
  <c r="P280" i="20"/>
  <c r="K282" i="20"/>
  <c r="P282" i="20"/>
  <c r="K284" i="20"/>
  <c r="P284" i="20"/>
  <c r="K286" i="20"/>
  <c r="P286" i="20"/>
  <c r="K290" i="20"/>
  <c r="P290" i="20"/>
  <c r="K292" i="20"/>
  <c r="P292" i="20"/>
  <c r="K294" i="20"/>
  <c r="P294" i="20"/>
  <c r="P299" i="20"/>
  <c r="K304" i="20"/>
  <c r="P304" i="20"/>
  <c r="P331" i="20"/>
  <c r="K393" i="20"/>
  <c r="P393" i="20"/>
  <c r="P467" i="20"/>
  <c r="K470" i="20"/>
  <c r="P470" i="20"/>
  <c r="K492" i="20"/>
  <c r="P492" i="20"/>
  <c r="K494" i="20"/>
  <c r="P494" i="20"/>
  <c r="K496" i="20"/>
  <c r="P496" i="20"/>
  <c r="K498" i="20"/>
  <c r="P498" i="20"/>
  <c r="K500" i="20"/>
  <c r="P500" i="20"/>
  <c r="K502" i="20"/>
  <c r="P502" i="20"/>
  <c r="K504" i="20"/>
  <c r="P504" i="20"/>
  <c r="K506" i="20"/>
  <c r="P506" i="20"/>
  <c r="K508" i="20"/>
  <c r="P508" i="20"/>
  <c r="K510" i="20"/>
  <c r="P510" i="20"/>
  <c r="P555" i="20"/>
  <c r="K562" i="20"/>
  <c r="P562" i="20"/>
  <c r="K597" i="20"/>
  <c r="P597" i="20"/>
  <c r="P610" i="20"/>
  <c r="K610" i="20"/>
  <c r="P613" i="20"/>
  <c r="K613" i="20"/>
  <c r="P618" i="20"/>
  <c r="K618" i="20"/>
  <c r="P644" i="20"/>
  <c r="P648" i="20"/>
  <c r="P705" i="20"/>
  <c r="K705" i="20"/>
  <c r="P708" i="20"/>
  <c r="K708" i="20"/>
  <c r="P713" i="20"/>
  <c r="K713" i="20"/>
  <c r="P716" i="20"/>
  <c r="K716" i="20"/>
  <c r="P721" i="20"/>
  <c r="K721" i="20"/>
  <c r="P745" i="20"/>
  <c r="K745" i="20"/>
  <c r="P749" i="20"/>
  <c r="P773" i="20"/>
  <c r="K773" i="20"/>
  <c r="P776" i="20"/>
  <c r="K776" i="20"/>
  <c r="P780" i="20"/>
  <c r="P784" i="20"/>
  <c r="P788" i="20"/>
  <c r="P807" i="20"/>
  <c r="K807" i="20"/>
  <c r="P810" i="20"/>
  <c r="K810" i="20"/>
  <c r="P815" i="20"/>
  <c r="K815" i="20"/>
  <c r="P818" i="20"/>
  <c r="K818" i="20"/>
  <c r="P823" i="20"/>
  <c r="K823" i="20"/>
  <c r="P835" i="20"/>
  <c r="P838" i="20"/>
  <c r="K840" i="20"/>
  <c r="P840" i="20"/>
  <c r="P850" i="20"/>
  <c r="P854" i="20"/>
  <c r="K870" i="20"/>
  <c r="P870" i="20"/>
  <c r="K872" i="20"/>
  <c r="P872" i="20"/>
  <c r="K874" i="20"/>
  <c r="P874" i="20"/>
  <c r="K876" i="20"/>
  <c r="P876" i="20"/>
  <c r="K878" i="20"/>
  <c r="P878" i="20"/>
  <c r="K880" i="20"/>
  <c r="P880" i="20"/>
  <c r="K882" i="20"/>
  <c r="P882" i="20"/>
  <c r="K884" i="20"/>
  <c r="P884" i="20"/>
  <c r="K886" i="20"/>
  <c r="P886" i="20"/>
  <c r="K888" i="20"/>
  <c r="P888" i="20"/>
  <c r="K890" i="20"/>
  <c r="P890" i="20"/>
  <c r="K892" i="20"/>
  <c r="P892" i="20"/>
  <c r="K894" i="20"/>
  <c r="P894" i="20"/>
  <c r="K896" i="20"/>
  <c r="P896" i="20"/>
  <c r="K898" i="20"/>
  <c r="P898" i="20"/>
  <c r="P906" i="20"/>
  <c r="K906" i="20"/>
  <c r="P911" i="20"/>
  <c r="K911" i="20"/>
  <c r="P914" i="20"/>
  <c r="K914" i="20"/>
  <c r="P919" i="20"/>
  <c r="K919" i="20"/>
  <c r="P922" i="20"/>
  <c r="K922" i="20"/>
  <c r="P927" i="20"/>
  <c r="K927" i="20"/>
  <c r="P930" i="20"/>
  <c r="K930" i="20"/>
  <c r="P935" i="20"/>
  <c r="K935" i="20"/>
  <c r="P1006" i="20"/>
  <c r="K1006" i="20"/>
  <c r="P1013" i="20"/>
  <c r="K1013" i="20"/>
  <c r="P1068" i="20"/>
  <c r="K1071" i="20"/>
  <c r="P1071" i="20"/>
  <c r="K1074" i="20"/>
  <c r="P1074" i="20"/>
  <c r="K1104" i="20"/>
  <c r="P1104" i="20"/>
  <c r="K1106" i="20"/>
  <c r="P1106" i="20"/>
  <c r="K1108" i="20"/>
  <c r="P1108" i="20"/>
  <c r="K1118" i="20"/>
  <c r="P1118" i="20"/>
  <c r="K263" i="20"/>
  <c r="P263" i="20"/>
  <c r="K269" i="20"/>
  <c r="P269" i="20"/>
  <c r="K275" i="20"/>
  <c r="P275" i="20"/>
  <c r="K281" i="20"/>
  <c r="P281" i="20"/>
  <c r="K285" i="20"/>
  <c r="P285" i="20"/>
  <c r="K289" i="20"/>
  <c r="P289" i="20"/>
  <c r="K462" i="20"/>
  <c r="P462" i="20"/>
  <c r="K493" i="20"/>
  <c r="P493" i="20"/>
  <c r="K497" i="20"/>
  <c r="P497" i="20"/>
  <c r="K501" i="20"/>
  <c r="P501" i="20"/>
  <c r="K505" i="20"/>
  <c r="P505" i="20"/>
  <c r="K550" i="20"/>
  <c r="P550" i="20"/>
  <c r="K575" i="20"/>
  <c r="P575" i="20"/>
  <c r="P614" i="20"/>
  <c r="K614" i="20"/>
  <c r="P617" i="20"/>
  <c r="K617" i="20"/>
  <c r="P701" i="20"/>
  <c r="K701" i="20"/>
  <c r="P704" i="20"/>
  <c r="K704" i="20"/>
  <c r="P712" i="20"/>
  <c r="K712" i="20"/>
  <c r="P720" i="20"/>
  <c r="K720" i="20"/>
  <c r="P746" i="20"/>
  <c r="K746" i="20"/>
  <c r="P772" i="20"/>
  <c r="K772" i="20"/>
  <c r="P819" i="20"/>
  <c r="K819" i="20"/>
  <c r="K863" i="20"/>
  <c r="P863" i="20"/>
  <c r="K871" i="20"/>
  <c r="P871" i="20"/>
  <c r="K877" i="20"/>
  <c r="P877" i="20"/>
  <c r="K883" i="20"/>
  <c r="P883" i="20"/>
  <c r="K889" i="20"/>
  <c r="P889" i="20"/>
  <c r="K893" i="20"/>
  <c r="P893" i="20"/>
  <c r="K897" i="20"/>
  <c r="P897" i="20"/>
  <c r="P907" i="20"/>
  <c r="K907" i="20"/>
  <c r="P910" i="20"/>
  <c r="K910" i="20"/>
  <c r="P918" i="20"/>
  <c r="K918" i="20"/>
  <c r="P992" i="20"/>
  <c r="K992" i="20"/>
  <c r="P1005" i="20"/>
  <c r="K1005" i="20"/>
  <c r="K1114" i="20"/>
  <c r="P1114" i="20"/>
  <c r="K1131" i="20"/>
  <c r="P1131" i="20"/>
  <c r="K14" i="20"/>
  <c r="P14" i="20"/>
  <c r="K31" i="20"/>
  <c r="K39" i="20"/>
  <c r="K49" i="20"/>
  <c r="K54" i="20"/>
  <c r="P54" i="20"/>
  <c r="P61" i="20"/>
  <c r="P71" i="20"/>
  <c r="P72" i="20"/>
  <c r="P74" i="20"/>
  <c r="P83" i="20"/>
  <c r="P85" i="20"/>
  <c r="P87" i="20"/>
  <c r="P88" i="20"/>
  <c r="P90" i="20"/>
  <c r="P91" i="20"/>
  <c r="P93" i="20"/>
  <c r="P95" i="20"/>
  <c r="P96" i="20"/>
  <c r="P100" i="20"/>
  <c r="K103" i="20"/>
  <c r="P103" i="20"/>
  <c r="K118" i="20"/>
  <c r="K123" i="20"/>
  <c r="P124" i="20"/>
  <c r="K124" i="20"/>
  <c r="K129" i="20"/>
  <c r="P138" i="20"/>
  <c r="P142" i="20"/>
  <c r="K158" i="20"/>
  <c r="K163" i="20"/>
  <c r="K167" i="20"/>
  <c r="P173" i="20"/>
  <c r="K176" i="20"/>
  <c r="P176" i="20"/>
  <c r="P196" i="20"/>
  <c r="K196" i="20"/>
  <c r="P197" i="20"/>
  <c r="P201" i="20"/>
  <c r="P205" i="20"/>
  <c r="P209" i="20"/>
  <c r="P213" i="20"/>
  <c r="P216" i="20"/>
  <c r="K222" i="20"/>
  <c r="P222" i="20"/>
  <c r="K288" i="20"/>
  <c r="P288" i="20"/>
  <c r="K27" i="20"/>
  <c r="P28" i="20"/>
  <c r="K28" i="20"/>
  <c r="K33" i="20"/>
  <c r="K38" i="20"/>
  <c r="K42" i="20"/>
  <c r="K58" i="20"/>
  <c r="P59" i="20"/>
  <c r="K59" i="20"/>
  <c r="P60" i="20"/>
  <c r="P65" i="20"/>
  <c r="K65" i="20"/>
  <c r="K70" i="20"/>
  <c r="K82" i="20"/>
  <c r="K99" i="20"/>
  <c r="P99" i="20"/>
  <c r="K116" i="20"/>
  <c r="K117" i="20"/>
  <c r="K125" i="20"/>
  <c r="K135" i="20"/>
  <c r="P136" i="20"/>
  <c r="K136" i="20"/>
  <c r="P137" i="20"/>
  <c r="P141" i="20"/>
  <c r="P146" i="20"/>
  <c r="P149" i="20"/>
  <c r="K162" i="20"/>
  <c r="K166" i="20"/>
  <c r="K170" i="20"/>
  <c r="K172" i="20"/>
  <c r="P172" i="20"/>
  <c r="P182" i="20"/>
  <c r="P200" i="20"/>
  <c r="P204" i="20"/>
  <c r="P208" i="20"/>
  <c r="P212" i="20"/>
  <c r="P229" i="20"/>
  <c r="P232" i="20"/>
  <c r="K238" i="20"/>
  <c r="P238" i="20"/>
  <c r="P242" i="20"/>
  <c r="P246" i="20"/>
  <c r="P250" i="20"/>
  <c r="P254" i="20"/>
  <c r="P258" i="20"/>
  <c r="K296" i="20"/>
  <c r="P296" i="20"/>
  <c r="P323" i="20"/>
  <c r="K328" i="20"/>
  <c r="P328" i="20"/>
  <c r="K419" i="20"/>
  <c r="P419" i="20"/>
  <c r="K421" i="20"/>
  <c r="P421" i="20"/>
  <c r="K423" i="20"/>
  <c r="P423" i="20"/>
  <c r="K425" i="20"/>
  <c r="P425" i="20"/>
  <c r="K427" i="20"/>
  <c r="P427" i="20"/>
  <c r="K429" i="20"/>
  <c r="P429" i="20"/>
  <c r="K431" i="20"/>
  <c r="P431" i="20"/>
  <c r="K433" i="20"/>
  <c r="P433" i="20"/>
  <c r="K435" i="20"/>
  <c r="P435" i="20"/>
  <c r="K437" i="20"/>
  <c r="P437" i="20"/>
  <c r="K439" i="20"/>
  <c r="P439" i="20"/>
  <c r="K441" i="20"/>
  <c r="P441" i="20"/>
  <c r="K443" i="20"/>
  <c r="P443" i="20"/>
  <c r="P463" i="20"/>
  <c r="K466" i="20"/>
  <c r="P466" i="20"/>
  <c r="P551" i="20"/>
  <c r="K554" i="20"/>
  <c r="P554" i="20"/>
  <c r="P603" i="20"/>
  <c r="K603" i="20"/>
  <c r="P621" i="20"/>
  <c r="K623" i="20"/>
  <c r="P623" i="20"/>
  <c r="P628" i="20"/>
  <c r="K628" i="20"/>
  <c r="P630" i="20"/>
  <c r="K630" i="20"/>
  <c r="P643" i="20"/>
  <c r="P647" i="20"/>
  <c r="K660" i="20"/>
  <c r="P660" i="20"/>
  <c r="K662" i="20"/>
  <c r="P662" i="20"/>
  <c r="K664" i="20"/>
  <c r="P664" i="20"/>
  <c r="K666" i="20"/>
  <c r="P666" i="20"/>
  <c r="K668" i="20"/>
  <c r="P668" i="20"/>
  <c r="K670" i="20"/>
  <c r="P670" i="20"/>
  <c r="K672" i="20"/>
  <c r="P672" i="20"/>
  <c r="K674" i="20"/>
  <c r="P674" i="20"/>
  <c r="K676" i="20"/>
  <c r="P676" i="20"/>
  <c r="P748" i="20"/>
  <c r="P779" i="20"/>
  <c r="P783" i="20"/>
  <c r="P787" i="20"/>
  <c r="K834" i="20"/>
  <c r="P834" i="20"/>
  <c r="P849" i="20"/>
  <c r="P853" i="20"/>
  <c r="P864" i="20"/>
  <c r="P955" i="20"/>
  <c r="K959" i="20"/>
  <c r="P959" i="20"/>
  <c r="K1067" i="20"/>
  <c r="P1067" i="20"/>
  <c r="K1132" i="20"/>
  <c r="P1132" i="20"/>
  <c r="P1109" i="20"/>
  <c r="P1110" i="20"/>
  <c r="P1111" i="20"/>
  <c r="P1112" i="20"/>
  <c r="P1113" i="20"/>
  <c r="P1117" i="20"/>
  <c r="P1142" i="20"/>
  <c r="P1152" i="20"/>
  <c r="P1153" i="20"/>
  <c r="K2" i="20"/>
  <c r="K3" i="20"/>
  <c r="K4" i="20"/>
  <c r="K17" i="20"/>
  <c r="K18" i="20"/>
  <c r="K19" i="20"/>
  <c r="K20" i="20"/>
  <c r="K21" i="20"/>
  <c r="K22" i="20"/>
  <c r="K23" i="20"/>
  <c r="K24" i="20"/>
  <c r="K25" i="20"/>
  <c r="K44" i="20"/>
  <c r="K45" i="20"/>
  <c r="K46" i="20"/>
  <c r="K55" i="20"/>
  <c r="K56" i="20"/>
  <c r="K57" i="20"/>
  <c r="K64" i="20"/>
  <c r="K75" i="20"/>
  <c r="K76" i="20"/>
  <c r="K77" i="20"/>
  <c r="K78" i="20"/>
  <c r="K79" i="20"/>
  <c r="K80" i="20"/>
  <c r="K81" i="20"/>
  <c r="K105" i="20"/>
  <c r="K106" i="20"/>
  <c r="K107" i="20"/>
  <c r="K108" i="20"/>
  <c r="K109" i="20"/>
  <c r="K110" i="20"/>
  <c r="K111" i="20"/>
  <c r="K112" i="20"/>
  <c r="K113" i="20"/>
  <c r="K114" i="20"/>
  <c r="K122" i="20"/>
  <c r="K150" i="20"/>
  <c r="K151" i="20"/>
  <c r="K152" i="20"/>
  <c r="K153" i="20"/>
  <c r="K154" i="20"/>
  <c r="K155" i="20"/>
  <c r="K156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P297" i="20"/>
  <c r="P301" i="20"/>
  <c r="P305" i="20"/>
  <c r="P309" i="20"/>
  <c r="P313" i="20"/>
  <c r="P317" i="20"/>
  <c r="P321" i="20"/>
  <c r="P325" i="20"/>
  <c r="P329" i="20"/>
  <c r="K332" i="20"/>
  <c r="P332" i="20"/>
  <c r="K334" i="20"/>
  <c r="P334" i="20"/>
  <c r="K336" i="20"/>
  <c r="P336" i="20"/>
  <c r="K338" i="20"/>
  <c r="P338" i="20"/>
  <c r="K340" i="20"/>
  <c r="P340" i="20"/>
  <c r="K342" i="20"/>
  <c r="P342" i="20"/>
  <c r="K344" i="20"/>
  <c r="P344" i="20"/>
  <c r="K346" i="20"/>
  <c r="P346" i="20"/>
  <c r="P16" i="20"/>
  <c r="P215" i="20"/>
  <c r="P219" i="20"/>
  <c r="P223" i="20"/>
  <c r="P227" i="20"/>
  <c r="P231" i="20"/>
  <c r="P235" i="20"/>
  <c r="P239" i="20"/>
  <c r="P298" i="20"/>
  <c r="P302" i="20"/>
  <c r="P306" i="20"/>
  <c r="P310" i="20"/>
  <c r="P314" i="20"/>
  <c r="P318" i="20"/>
  <c r="P322" i="20"/>
  <c r="P326" i="20"/>
  <c r="P330" i="20"/>
  <c r="K333" i="20"/>
  <c r="P333" i="20"/>
  <c r="K335" i="20"/>
  <c r="P335" i="20"/>
  <c r="K337" i="20"/>
  <c r="P337" i="20"/>
  <c r="K339" i="20"/>
  <c r="P339" i="20"/>
  <c r="K341" i="20"/>
  <c r="P341" i="20"/>
  <c r="K343" i="20"/>
  <c r="P343" i="20"/>
  <c r="K345" i="20"/>
  <c r="P345" i="20"/>
  <c r="K347" i="20"/>
  <c r="P34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558" i="20"/>
  <c r="P559" i="20"/>
  <c r="P576" i="20"/>
  <c r="K579" i="20"/>
  <c r="K602" i="20"/>
  <c r="P622" i="20"/>
  <c r="P626" i="20"/>
  <c r="K629" i="20"/>
  <c r="P651" i="20"/>
  <c r="P653" i="20"/>
  <c r="K653" i="20"/>
  <c r="P655" i="20"/>
  <c r="K655" i="20"/>
  <c r="P657" i="20"/>
  <c r="K657" i="20"/>
  <c r="K678" i="20"/>
  <c r="P678" i="20"/>
  <c r="K578" i="20"/>
  <c r="K601" i="20"/>
  <c r="K733" i="20"/>
  <c r="P733" i="20"/>
  <c r="P620" i="20"/>
  <c r="P624" i="20"/>
  <c r="P652" i="20"/>
  <c r="K652" i="20"/>
  <c r="P654" i="20"/>
  <c r="K654" i="20"/>
  <c r="P656" i="20"/>
  <c r="K656" i="20"/>
  <c r="P658" i="20"/>
  <c r="K658" i="20"/>
  <c r="K677" i="20"/>
  <c r="P677" i="20"/>
  <c r="K732" i="20"/>
  <c r="P732" i="20"/>
  <c r="K734" i="20"/>
  <c r="P734" i="20"/>
  <c r="K679" i="20"/>
  <c r="K680" i="20"/>
  <c r="K681" i="20"/>
  <c r="K682" i="20"/>
  <c r="K683" i="20"/>
  <c r="K684" i="20"/>
  <c r="K685" i="20"/>
  <c r="K686" i="20"/>
  <c r="K687" i="20"/>
  <c r="K688" i="20"/>
  <c r="K689" i="20"/>
  <c r="K690" i="20"/>
  <c r="K691" i="20"/>
  <c r="K692" i="20"/>
  <c r="K693" i="20"/>
  <c r="K694" i="20"/>
  <c r="K695" i="20"/>
  <c r="K696" i="20"/>
  <c r="K697" i="20"/>
  <c r="K698" i="20"/>
  <c r="K699" i="20"/>
  <c r="K700" i="20"/>
  <c r="K735" i="20"/>
  <c r="K736" i="20"/>
  <c r="K737" i="20"/>
  <c r="K738" i="20"/>
  <c r="K739" i="20"/>
  <c r="K740" i="20"/>
  <c r="K741" i="20"/>
  <c r="K742" i="20"/>
  <c r="K766" i="20"/>
  <c r="K767" i="20"/>
  <c r="K768" i="20"/>
  <c r="K769" i="20"/>
  <c r="K770" i="20"/>
  <c r="K771" i="20"/>
  <c r="K798" i="20"/>
  <c r="K799" i="20"/>
  <c r="K800" i="20"/>
  <c r="K801" i="20"/>
  <c r="K802" i="20"/>
  <c r="K803" i="20"/>
  <c r="P839" i="20"/>
  <c r="P843" i="20"/>
  <c r="K869" i="20"/>
  <c r="P956" i="20"/>
  <c r="P960" i="20"/>
  <c r="P964" i="20"/>
  <c r="P967" i="20"/>
  <c r="K967" i="20"/>
  <c r="P969" i="20"/>
  <c r="K969" i="20"/>
  <c r="P971" i="20"/>
  <c r="K971" i="20"/>
  <c r="P973" i="20"/>
  <c r="K973" i="20"/>
  <c r="P975" i="20"/>
  <c r="K975" i="20"/>
  <c r="P977" i="20"/>
  <c r="K977" i="20"/>
  <c r="P979" i="20"/>
  <c r="K979" i="20"/>
  <c r="P981" i="20"/>
  <c r="K981" i="20"/>
  <c r="P983" i="20"/>
  <c r="K983" i="20"/>
  <c r="P985" i="20"/>
  <c r="K985" i="20"/>
  <c r="P987" i="20"/>
  <c r="K987" i="20"/>
  <c r="P989" i="20"/>
  <c r="K989" i="20"/>
  <c r="P991" i="20"/>
  <c r="K991" i="20"/>
  <c r="K997" i="20"/>
  <c r="P997" i="20"/>
  <c r="P902" i="20"/>
  <c r="K902" i="20"/>
  <c r="P904" i="20"/>
  <c r="K904" i="20"/>
  <c r="P1008" i="20"/>
  <c r="K1008" i="20"/>
  <c r="P1011" i="20"/>
  <c r="K1011" i="20"/>
  <c r="P1016" i="20"/>
  <c r="K1016" i="20"/>
  <c r="K1082" i="20"/>
  <c r="P1082" i="20"/>
  <c r="K1084" i="20"/>
  <c r="P1084" i="20"/>
  <c r="K1099" i="20"/>
  <c r="P1099" i="20"/>
  <c r="K1101" i="20"/>
  <c r="P1101" i="20"/>
  <c r="K1103" i="20"/>
  <c r="P1103" i="20"/>
  <c r="K1119" i="20"/>
  <c r="P1119" i="20"/>
  <c r="K1121" i="20"/>
  <c r="P1121" i="20"/>
  <c r="K1123" i="20"/>
  <c r="P1123" i="20"/>
  <c r="K1133" i="20"/>
  <c r="P1133" i="20"/>
  <c r="K1135" i="20"/>
  <c r="P1135" i="20"/>
  <c r="K1144" i="20"/>
  <c r="P1144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90" i="20"/>
  <c r="P791" i="20"/>
  <c r="P792" i="20"/>
  <c r="P793" i="20"/>
  <c r="P794" i="20"/>
  <c r="P795" i="20"/>
  <c r="P796" i="20"/>
  <c r="P797" i="20"/>
  <c r="P832" i="20"/>
  <c r="P837" i="20"/>
  <c r="P841" i="20"/>
  <c r="P845" i="20"/>
  <c r="P901" i="20"/>
  <c r="P954" i="20"/>
  <c r="P958" i="20"/>
  <c r="P962" i="20"/>
  <c r="P966" i="20"/>
  <c r="K966" i="20"/>
  <c r="P968" i="20"/>
  <c r="K968" i="20"/>
  <c r="P970" i="20"/>
  <c r="K970" i="20"/>
  <c r="P972" i="20"/>
  <c r="K972" i="20"/>
  <c r="P974" i="20"/>
  <c r="K974" i="20"/>
  <c r="P976" i="20"/>
  <c r="K976" i="20"/>
  <c r="P978" i="20"/>
  <c r="K978" i="20"/>
  <c r="P980" i="20"/>
  <c r="K980" i="20"/>
  <c r="P982" i="20"/>
  <c r="K982" i="20"/>
  <c r="P984" i="20"/>
  <c r="K984" i="20"/>
  <c r="P986" i="20"/>
  <c r="K986" i="20"/>
  <c r="P988" i="20"/>
  <c r="K988" i="20"/>
  <c r="P990" i="20"/>
  <c r="K990" i="20"/>
  <c r="K993" i="20"/>
  <c r="P993" i="20"/>
  <c r="K1001" i="20"/>
  <c r="P1001" i="20"/>
  <c r="K1052" i="20"/>
  <c r="P1052" i="20"/>
  <c r="K1054" i="20"/>
  <c r="P1054" i="20"/>
  <c r="K1056" i="20"/>
  <c r="P1056" i="20"/>
  <c r="K847" i="20"/>
  <c r="P900" i="20"/>
  <c r="P903" i="20"/>
  <c r="K903" i="20"/>
  <c r="P957" i="20"/>
  <c r="P961" i="20"/>
  <c r="P965" i="20"/>
  <c r="P998" i="20"/>
  <c r="P1007" i="20"/>
  <c r="K1007" i="20"/>
  <c r="P1012" i="20"/>
  <c r="K1012" i="20"/>
  <c r="P1015" i="20"/>
  <c r="K1015" i="20"/>
  <c r="P996" i="20"/>
  <c r="P1000" i="20"/>
  <c r="P1004" i="20"/>
  <c r="K1051" i="20"/>
  <c r="P1051" i="20"/>
  <c r="K1053" i="20"/>
  <c r="P1053" i="20"/>
  <c r="K1055" i="20"/>
  <c r="P1055" i="20"/>
  <c r="K1057" i="20"/>
  <c r="P1057" i="20"/>
  <c r="K1129" i="20"/>
  <c r="P1129" i="20"/>
  <c r="K1150" i="20"/>
  <c r="P1150" i="20"/>
  <c r="K1058" i="20"/>
  <c r="P1058" i="20"/>
  <c r="K1072" i="20"/>
  <c r="P1072" i="20"/>
  <c r="K1151" i="20"/>
  <c r="P1151" i="20"/>
  <c r="K1081" i="20"/>
  <c r="P1081" i="20"/>
  <c r="K1083" i="20"/>
  <c r="P1083" i="20"/>
  <c r="K1085" i="20"/>
  <c r="P1085" i="20"/>
  <c r="K1100" i="20"/>
  <c r="P1100" i="20"/>
  <c r="K1102" i="20"/>
  <c r="P1102" i="20"/>
  <c r="K1120" i="20"/>
  <c r="P1120" i="20"/>
  <c r="K1122" i="20"/>
  <c r="P1122" i="20"/>
  <c r="K1124" i="20"/>
  <c r="P1124" i="20"/>
  <c r="K1134" i="20"/>
  <c r="P1134" i="20"/>
  <c r="K1136" i="20"/>
  <c r="P1136" i="20"/>
  <c r="K1145" i="20"/>
  <c r="P1145" i="20"/>
  <c r="M1225" i="16"/>
  <c r="R1224" i="16"/>
  <c r="R1194" i="16"/>
  <c r="R1222" i="16"/>
  <c r="M1220" i="16"/>
  <c r="M1218" i="16"/>
  <c r="M1216" i="16"/>
  <c r="R1174" i="16"/>
  <c r="M1210" i="16"/>
  <c r="M1206" i="16"/>
  <c r="M1207" i="16"/>
  <c r="M1208" i="16"/>
  <c r="R1179" i="16"/>
  <c r="M1192" i="16"/>
  <c r="M1193" i="16"/>
  <c r="M1195" i="16"/>
  <c r="M1186" i="16"/>
  <c r="M1187" i="16"/>
  <c r="R1190" i="16"/>
  <c r="M1188" i="16"/>
  <c r="M1189" i="16"/>
  <c r="R1184" i="16"/>
  <c r="M1182" i="16"/>
  <c r="M1183" i="16"/>
  <c r="M1177" i="16"/>
  <c r="M1178" i="16"/>
  <c r="M1180" i="16"/>
  <c r="M1145" i="16"/>
  <c r="M1172" i="16"/>
  <c r="M1173" i="16"/>
  <c r="M1175" i="16"/>
  <c r="R1157" i="16"/>
  <c r="M1147" i="16"/>
  <c r="R1150" i="16"/>
  <c r="M1148" i="16"/>
  <c r="M1149" i="16"/>
  <c r="M1144" i="16"/>
  <c r="M1143" i="16"/>
  <c r="M1142" i="16"/>
  <c r="R1164" i="16"/>
  <c r="R1170" i="16"/>
  <c r="M1169" i="16"/>
  <c r="R1137" i="16"/>
  <c r="R1159" i="16"/>
  <c r="M1160" i="16"/>
  <c r="R1162" i="16"/>
  <c r="M1161" i="16"/>
  <c r="M1100" i="16"/>
  <c r="R1156" i="16"/>
  <c r="M1155" i="16"/>
  <c r="M1140" i="16"/>
  <c r="M1136" i="16"/>
  <c r="M1130" i="16"/>
  <c r="M1135" i="16"/>
  <c r="M1134" i="16"/>
  <c r="R1128" i="16"/>
  <c r="M1124" i="16"/>
  <c r="R1126" i="16"/>
  <c r="M1132" i="16"/>
  <c r="M1138" i="16"/>
  <c r="R1131" i="16"/>
  <c r="M1099" i="16"/>
  <c r="R1098" i="16"/>
  <c r="M1093" i="16"/>
  <c r="R1094" i="16"/>
  <c r="R1095" i="16"/>
  <c r="R1097" i="16"/>
  <c r="M1096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69" i="16"/>
  <c r="R1089" i="16"/>
  <c r="M1085" i="16"/>
  <c r="M1086" i="16"/>
  <c r="M1087" i="16"/>
  <c r="M1088" i="16"/>
  <c r="R1090" i="16"/>
  <c r="M1091" i="16"/>
  <c r="M1062" i="16"/>
  <c r="M1067" i="16"/>
  <c r="M1061" i="16"/>
  <c r="M1066" i="16"/>
  <c r="M1064" i="16"/>
  <c r="M1068" i="16"/>
  <c r="M1063" i="16"/>
  <c r="M1065" i="16"/>
  <c r="M1054" i="16"/>
  <c r="M1070" i="16"/>
  <c r="R1060" i="16"/>
  <c r="M1058" i="16"/>
  <c r="M1059" i="16"/>
  <c r="M1052" i="16"/>
  <c r="M1055" i="16"/>
  <c r="M1053" i="16"/>
  <c r="M1048" i="16"/>
  <c r="M1049" i="16"/>
  <c r="M1050" i="16"/>
  <c r="M1051" i="16"/>
  <c r="M1056" i="16"/>
  <c r="R1045" i="16"/>
  <c r="R1047" i="16"/>
  <c r="M1046" i="16"/>
  <c r="M1042" i="16"/>
  <c r="M1041" i="16"/>
  <c r="M1040" i="16"/>
  <c r="M1039" i="16"/>
  <c r="M1038" i="16"/>
  <c r="M1043" i="16"/>
  <c r="M1036" i="16"/>
  <c r="M1037" i="16"/>
  <c r="M1035" i="16"/>
  <c r="I1223" i="16" l="1"/>
  <c r="I1221" i="16"/>
  <c r="I1219" i="16"/>
  <c r="I1217" i="16"/>
  <c r="I1215" i="16"/>
  <c r="I1211" i="16"/>
  <c r="I1209" i="16"/>
  <c r="I1205" i="16"/>
  <c r="I1203" i="16"/>
  <c r="I1191" i="16"/>
  <c r="I1185" i="16"/>
  <c r="I1181" i="16"/>
  <c r="I1176" i="16"/>
  <c r="I1171" i="16"/>
  <c r="I1163" i="16"/>
  <c r="I1158" i="16"/>
  <c r="I1154" i="16"/>
  <c r="I1146" i="16"/>
  <c r="I1141" i="16"/>
  <c r="I1139" i="16"/>
  <c r="I1133" i="16"/>
  <c r="I1127" i="16"/>
  <c r="I1119" i="16"/>
  <c r="I1092" i="16"/>
  <c r="I1071" i="16"/>
  <c r="I1057" i="16"/>
  <c r="I1044" i="16"/>
  <c r="I1018" i="16"/>
  <c r="I994" i="16"/>
  <c r="I978" i="16"/>
  <c r="I944" i="16"/>
  <c r="I941" i="16"/>
  <c r="I939" i="16"/>
  <c r="I909" i="16"/>
  <c r="I907" i="16"/>
  <c r="I896" i="16"/>
  <c r="I888" i="16"/>
  <c r="I874" i="16"/>
  <c r="I862" i="16"/>
  <c r="I841" i="16"/>
  <c r="I835" i="16"/>
  <c r="I827" i="16"/>
  <c r="I815" i="16"/>
  <c r="I808" i="16"/>
  <c r="I802" i="16"/>
  <c r="I774" i="16"/>
  <c r="I770" i="16"/>
  <c r="I766" i="16"/>
  <c r="I758" i="16"/>
  <c r="I755" i="16"/>
  <c r="I747" i="16"/>
  <c r="I724" i="16"/>
  <c r="I702" i="16"/>
  <c r="I700" i="16"/>
  <c r="I683" i="16"/>
  <c r="I671" i="16"/>
  <c r="I662" i="16"/>
  <c r="I654" i="16"/>
  <c r="I648" i="16"/>
  <c r="I641" i="16"/>
  <c r="I637" i="16"/>
  <c r="I632" i="16"/>
  <c r="I628" i="16"/>
  <c r="I623" i="16"/>
  <c r="I609" i="16"/>
  <c r="I605" i="16"/>
  <c r="I601" i="16"/>
  <c r="I597" i="16"/>
  <c r="I592" i="16"/>
  <c r="I588" i="16"/>
  <c r="I561" i="16"/>
  <c r="I527" i="16"/>
  <c r="I508" i="16"/>
  <c r="I495" i="16"/>
  <c r="I477" i="16"/>
  <c r="I459" i="16"/>
  <c r="I433" i="16"/>
  <c r="I395" i="16"/>
  <c r="I388" i="16"/>
  <c r="I377" i="16"/>
  <c r="I345" i="16"/>
  <c r="I329" i="16"/>
  <c r="I293" i="16"/>
  <c r="I258" i="16"/>
  <c r="I238" i="16"/>
  <c r="I195" i="16"/>
  <c r="I177" i="16"/>
  <c r="I165" i="16"/>
  <c r="I154" i="16"/>
  <c r="I150" i="16"/>
  <c r="I143" i="16"/>
  <c r="I140" i="16"/>
  <c r="I132" i="16"/>
  <c r="I115" i="16"/>
  <c r="I111" i="16"/>
  <c r="I109" i="16"/>
  <c r="I99" i="16"/>
  <c r="I91" i="16"/>
  <c r="I77" i="16"/>
  <c r="I70" i="16"/>
  <c r="I58" i="16"/>
  <c r="I55" i="16"/>
  <c r="I52" i="16"/>
  <c r="I49" i="16"/>
  <c r="I47" i="16"/>
  <c r="I44" i="16"/>
  <c r="I41" i="16"/>
  <c r="I34" i="16"/>
  <c r="I24" i="16"/>
  <c r="I15" i="16"/>
  <c r="I11" i="16"/>
  <c r="I4" i="16"/>
  <c r="R186" i="16" l="1"/>
  <c r="R207" i="16"/>
  <c r="R182" i="16"/>
  <c r="R13" i="16"/>
  <c r="R29" i="16"/>
  <c r="R74" i="16"/>
  <c r="R89" i="16"/>
  <c r="R14" i="16"/>
  <c r="R30" i="16"/>
  <c r="R45" i="16"/>
  <c r="R27" i="16"/>
  <c r="R42" i="16"/>
  <c r="R56" i="16"/>
  <c r="R87" i="16"/>
  <c r="R103" i="16"/>
  <c r="R223" i="16"/>
  <c r="R238" i="16"/>
  <c r="R8" i="16"/>
  <c r="R90" i="16"/>
  <c r="R178" i="16"/>
  <c r="R199" i="16"/>
  <c r="R9" i="16"/>
  <c r="M9" i="16"/>
  <c r="R17" i="16"/>
  <c r="M17" i="16"/>
  <c r="M21" i="16"/>
  <c r="R21" i="16"/>
  <c r="M33" i="16"/>
  <c r="R33" i="16"/>
  <c r="R37" i="16"/>
  <c r="M37" i="16"/>
  <c r="R52" i="16"/>
  <c r="M52" i="16"/>
  <c r="R60" i="16"/>
  <c r="M60" i="16"/>
  <c r="R70" i="16"/>
  <c r="M70" i="16"/>
  <c r="M77" i="16"/>
  <c r="R77" i="16"/>
  <c r="M81" i="16"/>
  <c r="R81" i="16"/>
  <c r="R93" i="16"/>
  <c r="M93" i="16"/>
  <c r="R97" i="16"/>
  <c r="M97" i="16"/>
  <c r="R101" i="16"/>
  <c r="M101" i="16"/>
  <c r="R6" i="16"/>
  <c r="M6" i="16"/>
  <c r="M10" i="16"/>
  <c r="R10" i="16"/>
  <c r="R18" i="16"/>
  <c r="M18" i="16"/>
  <c r="R26" i="16"/>
  <c r="M26" i="16"/>
  <c r="R34" i="16"/>
  <c r="M34" i="16"/>
  <c r="M38" i="16"/>
  <c r="R38" i="16"/>
  <c r="R49" i="16"/>
  <c r="M49" i="16"/>
  <c r="R7" i="16"/>
  <c r="M7" i="16"/>
  <c r="R19" i="16"/>
  <c r="M19" i="16"/>
  <c r="M23" i="16"/>
  <c r="R23" i="16"/>
  <c r="R31" i="16"/>
  <c r="M31" i="16"/>
  <c r="R39" i="16"/>
  <c r="M39" i="16"/>
  <c r="R46" i="16"/>
  <c r="M46" i="16"/>
  <c r="M50" i="16"/>
  <c r="R50" i="16"/>
  <c r="R58" i="16"/>
  <c r="M58" i="16"/>
  <c r="R62" i="16"/>
  <c r="M62" i="16"/>
  <c r="R69" i="16"/>
  <c r="M69" i="16"/>
  <c r="R79" i="16"/>
  <c r="M79" i="16"/>
  <c r="M83" i="16"/>
  <c r="R83" i="16"/>
  <c r="R91" i="16"/>
  <c r="M91" i="16"/>
  <c r="R99" i="16"/>
  <c r="M99" i="16"/>
  <c r="R107" i="16"/>
  <c r="M107" i="16"/>
  <c r="M111" i="16"/>
  <c r="R111" i="16"/>
  <c r="M123" i="16"/>
  <c r="R123" i="16"/>
  <c r="R128" i="16"/>
  <c r="M128" i="16"/>
  <c r="R132" i="16"/>
  <c r="M132" i="16"/>
  <c r="R142" i="16"/>
  <c r="M142" i="16"/>
  <c r="M146" i="16"/>
  <c r="R146" i="16"/>
  <c r="R154" i="16"/>
  <c r="M154" i="16"/>
  <c r="R162" i="16"/>
  <c r="M162" i="16"/>
  <c r="R170" i="16"/>
  <c r="M170" i="16"/>
  <c r="M13" i="16"/>
  <c r="M89" i="16"/>
  <c r="M27" i="16"/>
  <c r="M103" i="16"/>
  <c r="R231" i="16"/>
  <c r="R75" i="16"/>
  <c r="R106" i="16"/>
  <c r="R129" i="16"/>
  <c r="R148" i="16"/>
  <c r="R169" i="16"/>
  <c r="R196" i="16"/>
  <c r="R217" i="16"/>
  <c r="R257" i="16"/>
  <c r="R273" i="16"/>
  <c r="R5" i="16"/>
  <c r="M5" i="16"/>
  <c r="R25" i="16"/>
  <c r="M25" i="16"/>
  <c r="R48" i="16"/>
  <c r="M48" i="16"/>
  <c r="R85" i="16"/>
  <c r="M85" i="16"/>
  <c r="R3" i="16"/>
  <c r="M3" i="16"/>
  <c r="R22" i="16"/>
  <c r="M22" i="16"/>
  <c r="R41" i="16"/>
  <c r="M41" i="16"/>
  <c r="R15" i="16"/>
  <c r="M15" i="16"/>
  <c r="R35" i="16"/>
  <c r="M35" i="16"/>
  <c r="R54" i="16"/>
  <c r="M54" i="16"/>
  <c r="R76" i="16"/>
  <c r="M76" i="16"/>
  <c r="R95" i="16"/>
  <c r="M95" i="16"/>
  <c r="R140" i="16"/>
  <c r="M140" i="16"/>
  <c r="R158" i="16"/>
  <c r="M158" i="16"/>
  <c r="R195" i="16"/>
  <c r="M74" i="16"/>
  <c r="M45" i="16"/>
  <c r="M87" i="16"/>
  <c r="R40" i="16"/>
  <c r="R115" i="16"/>
  <c r="R139" i="16"/>
  <c r="R159" i="16"/>
  <c r="R180" i="16"/>
  <c r="R206" i="16"/>
  <c r="R228" i="16"/>
  <c r="R248" i="16"/>
  <c r="R265" i="16"/>
  <c r="R174" i="16"/>
  <c r="M30" i="16"/>
  <c r="M56" i="16"/>
  <c r="R246" i="16"/>
  <c r="R281" i="16"/>
  <c r="R297" i="16"/>
  <c r="R313" i="16"/>
  <c r="R329" i="16"/>
  <c r="R345" i="16"/>
  <c r="R361" i="16"/>
  <c r="R44" i="16"/>
  <c r="R105" i="16"/>
  <c r="R11" i="16"/>
  <c r="R72" i="16"/>
  <c r="R117" i="16"/>
  <c r="R136" i="16"/>
  <c r="R150" i="16"/>
  <c r="R166" i="16"/>
  <c r="M178" i="16"/>
  <c r="M199" i="16"/>
  <c r="R211" i="16"/>
  <c r="R215" i="16"/>
  <c r="R219" i="16"/>
  <c r="R235" i="16"/>
  <c r="R250" i="16"/>
  <c r="R53" i="16"/>
  <c r="R82" i="16"/>
  <c r="R112" i="16"/>
  <c r="R134" i="16"/>
  <c r="R153" i="16"/>
  <c r="R175" i="16"/>
  <c r="R201" i="16"/>
  <c r="R222" i="16"/>
  <c r="R243" i="16"/>
  <c r="R261" i="16"/>
  <c r="R277" i="16"/>
  <c r="R293" i="16"/>
  <c r="R309" i="16"/>
  <c r="R325" i="16"/>
  <c r="R341" i="16"/>
  <c r="R357" i="16"/>
  <c r="R373" i="16"/>
  <c r="R389" i="16"/>
  <c r="R411" i="16"/>
  <c r="R442" i="16"/>
  <c r="R369" i="16"/>
  <c r="R450" i="16"/>
  <c r="R467" i="16"/>
  <c r="M8" i="16"/>
  <c r="M139" i="16"/>
  <c r="M228" i="16"/>
  <c r="M297" i="16"/>
  <c r="M361" i="16"/>
  <c r="M235" i="16"/>
  <c r="M112" i="16"/>
  <c r="M201" i="16"/>
  <c r="M277" i="16"/>
  <c r="M341" i="16"/>
  <c r="M411" i="16"/>
  <c r="M75" i="16"/>
  <c r="M169" i="16"/>
  <c r="M257" i="16"/>
  <c r="M442" i="16"/>
  <c r="R484" i="16"/>
  <c r="R500" i="16"/>
  <c r="R516" i="16"/>
  <c r="R532" i="16"/>
  <c r="R548" i="16"/>
  <c r="R564" i="16"/>
  <c r="R592" i="16"/>
  <c r="R608" i="16"/>
  <c r="R624" i="16"/>
  <c r="R639" i="16"/>
  <c r="R649" i="16"/>
  <c r="R665" i="16"/>
  <c r="R683" i="16"/>
  <c r="R699" i="16"/>
  <c r="R719" i="16"/>
  <c r="R735" i="16"/>
  <c r="R84" i="16"/>
  <c r="R113" i="16"/>
  <c r="M467" i="16"/>
  <c r="R393" i="16"/>
  <c r="R446" i="16"/>
  <c r="R462" i="16"/>
  <c r="R480" i="16"/>
  <c r="R496" i="16"/>
  <c r="R504" i="16"/>
  <c r="R520" i="16"/>
  <c r="R536" i="16"/>
  <c r="R552" i="16"/>
  <c r="R568" i="16"/>
  <c r="R596" i="16"/>
  <c r="R612" i="16"/>
  <c r="R653" i="16"/>
  <c r="M195" i="16"/>
  <c r="R305" i="16"/>
  <c r="M321" i="16"/>
  <c r="R321" i="16"/>
  <c r="R203" i="16"/>
  <c r="M72" i="16"/>
  <c r="M166" i="16"/>
  <c r="M186" i="16"/>
  <c r="M215" i="16"/>
  <c r="R227" i="16"/>
  <c r="R98" i="16"/>
  <c r="R164" i="16"/>
  <c r="R185" i="16"/>
  <c r="R253" i="16"/>
  <c r="R269" i="16"/>
  <c r="M269" i="16"/>
  <c r="R317" i="16"/>
  <c r="R333" i="16"/>
  <c r="R381" i="16"/>
  <c r="R399" i="16"/>
  <c r="R377" i="16"/>
  <c r="R426" i="16"/>
  <c r="M180" i="16"/>
  <c r="R434" i="16"/>
  <c r="M53" i="16"/>
  <c r="M373" i="16"/>
  <c r="R492" i="16"/>
  <c r="R508" i="16"/>
  <c r="R556" i="16"/>
  <c r="R572" i="16"/>
  <c r="R631" i="16"/>
  <c r="R641" i="16"/>
  <c r="R691" i="16"/>
  <c r="R711" i="16"/>
  <c r="R100" i="16"/>
  <c r="M42" i="16"/>
  <c r="R289" i="16"/>
  <c r="M289" i="16"/>
  <c r="R353" i="16"/>
  <c r="M11" i="16"/>
  <c r="M150" i="16"/>
  <c r="M211" i="16"/>
  <c r="R24" i="16"/>
  <c r="R143" i="16"/>
  <c r="R233" i="16"/>
  <c r="R301" i="16"/>
  <c r="R365" i="16"/>
  <c r="M90" i="16"/>
  <c r="M309" i="16"/>
  <c r="M217" i="16"/>
  <c r="R540" i="16"/>
  <c r="R616" i="16"/>
  <c r="R673" i="16"/>
  <c r="R28" i="16"/>
  <c r="M182" i="16"/>
  <c r="R472" i="16"/>
  <c r="R488" i="16"/>
  <c r="R528" i="16"/>
  <c r="M14" i="16"/>
  <c r="R337" i="16"/>
  <c r="M105" i="16"/>
  <c r="M136" i="16"/>
  <c r="R242" i="16"/>
  <c r="R122" i="16"/>
  <c r="R212" i="16"/>
  <c r="R285" i="16"/>
  <c r="R349" i="16"/>
  <c r="R430" i="16"/>
  <c r="M174" i="16"/>
  <c r="R458" i="16"/>
  <c r="M223" i="16"/>
  <c r="M329" i="16"/>
  <c r="M243" i="16"/>
  <c r="M129" i="16"/>
  <c r="R524" i="16"/>
  <c r="R600" i="16"/>
  <c r="R657" i="16"/>
  <c r="R727" i="16"/>
  <c r="M399" i="16"/>
  <c r="R454" i="16"/>
  <c r="R512" i="16"/>
  <c r="R589" i="16"/>
  <c r="R604" i="16"/>
  <c r="R645" i="16"/>
  <c r="R661" i="16"/>
  <c r="R669" i="16"/>
  <c r="R687" i="16"/>
  <c r="R707" i="16"/>
  <c r="R723" i="16"/>
  <c r="R12" i="16"/>
  <c r="R59" i="16"/>
  <c r="R92" i="16"/>
  <c r="R715" i="16"/>
  <c r="R149" i="16"/>
  <c r="R171" i="16"/>
  <c r="R197" i="16"/>
  <c r="R218" i="16"/>
  <c r="R239" i="16"/>
  <c r="R258" i="16"/>
  <c r="R274" i="16"/>
  <c r="R290" i="16"/>
  <c r="R306" i="16"/>
  <c r="R322" i="16"/>
  <c r="R338" i="16"/>
  <c r="R358" i="16"/>
  <c r="R374" i="16"/>
  <c r="R390" i="16"/>
  <c r="R420" i="16"/>
  <c r="R439" i="16"/>
  <c r="R455" i="16"/>
  <c r="R473" i="16"/>
  <c r="R489" i="16"/>
  <c r="R505" i="16"/>
  <c r="R521" i="16"/>
  <c r="R537" i="16"/>
  <c r="R553" i="16"/>
  <c r="R342" i="16"/>
  <c r="R160" i="16"/>
  <c r="R249" i="16"/>
  <c r="R314" i="16"/>
  <c r="R116" i="16"/>
  <c r="R135" i="16"/>
  <c r="R155" i="16"/>
  <c r="R213" i="16"/>
  <c r="R224" i="16"/>
  <c r="R244" i="16"/>
  <c r="R270" i="16"/>
  <c r="R286" i="16"/>
  <c r="R294" i="16"/>
  <c r="R310" i="16"/>
  <c r="R334" i="16"/>
  <c r="R354" i="16"/>
  <c r="R362" i="16"/>
  <c r="M29" i="16"/>
  <c r="M153" i="16"/>
  <c r="R544" i="16"/>
  <c r="R635" i="16"/>
  <c r="R385" i="16"/>
  <c r="M385" i="16"/>
  <c r="M159" i="16"/>
  <c r="M281" i="16"/>
  <c r="M219" i="16"/>
  <c r="M134" i="16"/>
  <c r="M325" i="16"/>
  <c r="M231" i="16"/>
  <c r="M337" i="16"/>
  <c r="R677" i="16"/>
  <c r="R731" i="16"/>
  <c r="R43" i="16"/>
  <c r="M528" i="16"/>
  <c r="M691" i="16"/>
  <c r="M100" i="16"/>
  <c r="M454" i="16"/>
  <c r="M556" i="16"/>
  <c r="M12" i="16"/>
  <c r="M24" i="16"/>
  <c r="M536" i="16"/>
  <c r="M649" i="16"/>
  <c r="R141" i="16"/>
  <c r="R208" i="16"/>
  <c r="R229" i="16"/>
  <c r="R282" i="16"/>
  <c r="R298" i="16"/>
  <c r="R350" i="16"/>
  <c r="R366" i="16"/>
  <c r="R431" i="16"/>
  <c r="R447" i="16"/>
  <c r="R497" i="16"/>
  <c r="R513" i="16"/>
  <c r="M420" i="16"/>
  <c r="M349" i="16"/>
  <c r="M160" i="16"/>
  <c r="M117" i="16"/>
  <c r="M207" i="16"/>
  <c r="M265" i="16"/>
  <c r="M98" i="16"/>
  <c r="R620" i="16"/>
  <c r="R438" i="16"/>
  <c r="M438" i="16"/>
  <c r="M206" i="16"/>
  <c r="M377" i="16"/>
  <c r="M250" i="16"/>
  <c r="M261" i="16"/>
  <c r="M357" i="16"/>
  <c r="M148" i="16"/>
  <c r="M273" i="16"/>
  <c r="M458" i="16"/>
  <c r="R108" i="16"/>
  <c r="M108" i="16"/>
  <c r="M185" i="16"/>
  <c r="M480" i="16"/>
  <c r="R560" i="16"/>
  <c r="M635" i="16"/>
  <c r="M715" i="16"/>
  <c r="R124" i="16"/>
  <c r="M253" i="16"/>
  <c r="M492" i="16"/>
  <c r="M669" i="16"/>
  <c r="M92" i="16"/>
  <c r="M472" i="16"/>
  <c r="M568" i="16"/>
  <c r="R181" i="16"/>
  <c r="R266" i="16"/>
  <c r="R330" i="16"/>
  <c r="R400" i="16"/>
  <c r="R481" i="16"/>
  <c r="R545" i="16"/>
  <c r="M430" i="16"/>
  <c r="M521" i="16"/>
  <c r="M592" i="16"/>
  <c r="M282" i="16"/>
  <c r="R144" i="16"/>
  <c r="R165" i="16"/>
  <c r="M165" i="16"/>
  <c r="M213" i="16"/>
  <c r="R234" i="16"/>
  <c r="R254" i="16"/>
  <c r="M254" i="16"/>
  <c r="R278" i="16"/>
  <c r="R326" i="16"/>
  <c r="R346" i="16"/>
  <c r="R378" i="16"/>
  <c r="R386" i="16"/>
  <c r="R407" i="16"/>
  <c r="R435" i="16"/>
  <c r="R451" i="16"/>
  <c r="R469" i="16"/>
  <c r="R485" i="16"/>
  <c r="R501" i="16"/>
  <c r="R517" i="16"/>
  <c r="R533" i="16"/>
  <c r="R549" i="16"/>
  <c r="M589" i="16"/>
  <c r="M641" i="16"/>
  <c r="M727" i="16"/>
  <c r="M164" i="16"/>
  <c r="M446" i="16"/>
  <c r="M508" i="16"/>
  <c r="M572" i="16"/>
  <c r="M653" i="16"/>
  <c r="M723" i="16"/>
  <c r="M116" i="16"/>
  <c r="M143" i="16"/>
  <c r="M462" i="16"/>
  <c r="M520" i="16"/>
  <c r="M596" i="16"/>
  <c r="M665" i="16"/>
  <c r="M735" i="16"/>
  <c r="M122" i="16"/>
  <c r="M645" i="16"/>
  <c r="M270" i="16"/>
  <c r="M334" i="16"/>
  <c r="M390" i="16"/>
  <c r="M473" i="16"/>
  <c r="M537" i="16"/>
  <c r="M516" i="16"/>
  <c r="M141" i="16"/>
  <c r="M229" i="16"/>
  <c r="M298" i="16"/>
  <c r="M451" i="16"/>
  <c r="M517" i="16"/>
  <c r="R557" i="16"/>
  <c r="R565" i="16"/>
  <c r="R587" i="16"/>
  <c r="R593" i="16"/>
  <c r="R601" i="16"/>
  <c r="R609" i="16"/>
  <c r="R617" i="16"/>
  <c r="R625" i="16"/>
  <c r="R632" i="16"/>
  <c r="R640" i="16"/>
  <c r="R642" i="16"/>
  <c r="R2" i="16"/>
  <c r="R32" i="16"/>
  <c r="M203" i="16"/>
  <c r="M565" i="16"/>
  <c r="M609" i="16"/>
  <c r="M640" i="16"/>
  <c r="R55" i="16"/>
  <c r="R71" i="16"/>
  <c r="R86" i="16"/>
  <c r="R102" i="16"/>
  <c r="R114" i="16"/>
  <c r="R125" i="16"/>
  <c r="R137" i="16"/>
  <c r="R145" i="16"/>
  <c r="R156" i="16"/>
  <c r="M44" i="16"/>
  <c r="M353" i="16"/>
  <c r="M115" i="16"/>
  <c r="M313" i="16"/>
  <c r="M426" i="16"/>
  <c r="M175" i="16"/>
  <c r="M293" i="16"/>
  <c r="M40" i="16"/>
  <c r="M196" i="16"/>
  <c r="M369" i="16"/>
  <c r="R695" i="16"/>
  <c r="M333" i="16"/>
  <c r="M560" i="16"/>
  <c r="M657" i="16"/>
  <c r="M381" i="16"/>
  <c r="M600" i="16"/>
  <c r="M711" i="16"/>
  <c r="M233" i="16"/>
  <c r="M504" i="16"/>
  <c r="M683" i="16"/>
  <c r="M113" i="16"/>
  <c r="R382" i="16"/>
  <c r="R463" i="16"/>
  <c r="R529" i="16"/>
  <c r="M608" i="16"/>
  <c r="M455" i="16"/>
  <c r="M553" i="16"/>
  <c r="M208" i="16"/>
  <c r="M314" i="16"/>
  <c r="R130" i="16"/>
  <c r="R202" i="16"/>
  <c r="R262" i="16"/>
  <c r="R318" i="16"/>
  <c r="M318" i="16"/>
  <c r="R370" i="16"/>
  <c r="M370" i="16"/>
  <c r="R394" i="16"/>
  <c r="R427" i="16"/>
  <c r="R443" i="16"/>
  <c r="R459" i="16"/>
  <c r="R477" i="16"/>
  <c r="R493" i="16"/>
  <c r="R509" i="16"/>
  <c r="R525" i="16"/>
  <c r="R541" i="16"/>
  <c r="R302" i="16"/>
  <c r="R561" i="16"/>
  <c r="R569" i="16"/>
  <c r="R590" i="16"/>
  <c r="R597" i="16"/>
  <c r="R605" i="16"/>
  <c r="R613" i="16"/>
  <c r="R621" i="16"/>
  <c r="R628" i="16"/>
  <c r="R636" i="16"/>
  <c r="R646" i="16"/>
  <c r="R16" i="16"/>
  <c r="R47" i="16"/>
  <c r="R61" i="16"/>
  <c r="R78" i="16"/>
  <c r="R94" i="16"/>
  <c r="R109" i="16"/>
  <c r="M496" i="16"/>
  <c r="M82" i="16"/>
  <c r="M106" i="16"/>
  <c r="M604" i="16"/>
  <c r="M124" i="16"/>
  <c r="M707" i="16"/>
  <c r="M374" i="16"/>
  <c r="M249" i="16"/>
  <c r="R176" i="16"/>
  <c r="M620" i="16"/>
  <c r="M616" i="16"/>
  <c r="M59" i="16"/>
  <c r="M301" i="16"/>
  <c r="M552" i="16"/>
  <c r="M699" i="16"/>
  <c r="M532" i="16"/>
  <c r="M234" i="16"/>
  <c r="M358" i="16"/>
  <c r="M505" i="16"/>
  <c r="M695" i="16"/>
  <c r="M266" i="16"/>
  <c r="M407" i="16"/>
  <c r="M549" i="16"/>
  <c r="M469" i="16"/>
  <c r="M625" i="16"/>
  <c r="R119" i="16"/>
  <c r="R131" i="16"/>
  <c r="R161" i="16"/>
  <c r="R172" i="16"/>
  <c r="R183" i="16"/>
  <c r="R198" i="16"/>
  <c r="R209" i="16"/>
  <c r="R220" i="16"/>
  <c r="R230" i="16"/>
  <c r="R240" i="16"/>
  <c r="R251" i="16"/>
  <c r="R259" i="16"/>
  <c r="R267" i="16"/>
  <c r="R275" i="16"/>
  <c r="R283" i="16"/>
  <c r="R291" i="16"/>
  <c r="R299" i="16"/>
  <c r="R307" i="16"/>
  <c r="R315" i="16"/>
  <c r="R323" i="16"/>
  <c r="R335" i="16"/>
  <c r="R351" i="16"/>
  <c r="R367" i="16"/>
  <c r="R383" i="16"/>
  <c r="R403" i="16"/>
  <c r="R432" i="16"/>
  <c r="R448" i="16"/>
  <c r="R465" i="16"/>
  <c r="R482" i="16"/>
  <c r="R498" i="16"/>
  <c r="R514" i="16"/>
  <c r="R530" i="16"/>
  <c r="R546" i="16"/>
  <c r="R379" i="16"/>
  <c r="R460" i="16"/>
  <c r="R526" i="16"/>
  <c r="R562" i="16"/>
  <c r="R591" i="16"/>
  <c r="R606" i="16"/>
  <c r="M248" i="16"/>
  <c r="M222" i="16"/>
  <c r="M227" i="16"/>
  <c r="M524" i="16"/>
  <c r="M365" i="16"/>
  <c r="M489" i="16"/>
  <c r="R151" i="16"/>
  <c r="M561" i="16"/>
  <c r="M605" i="16"/>
  <c r="M636" i="16"/>
  <c r="M2" i="16"/>
  <c r="M500" i="16"/>
  <c r="M43" i="16"/>
  <c r="M202" i="16"/>
  <c r="M278" i="16"/>
  <c r="M350" i="16"/>
  <c r="M431" i="16"/>
  <c r="M497" i="16"/>
  <c r="M624" i="16"/>
  <c r="M459" i="16"/>
  <c r="M533" i="16"/>
  <c r="M587" i="16"/>
  <c r="M617" i="16"/>
  <c r="M642" i="16"/>
  <c r="M55" i="16"/>
  <c r="M71" i="16"/>
  <c r="M86" i="16"/>
  <c r="M102" i="16"/>
  <c r="M114" i="16"/>
  <c r="M125" i="16"/>
  <c r="M137" i="16"/>
  <c r="M145" i="16"/>
  <c r="M156" i="16"/>
  <c r="R331" i="16"/>
  <c r="R355" i="16"/>
  <c r="R371" i="16"/>
  <c r="R395" i="16"/>
  <c r="R436" i="16"/>
  <c r="R452" i="16"/>
  <c r="R478" i="16"/>
  <c r="R502" i="16"/>
  <c r="R518" i="16"/>
  <c r="R542" i="16"/>
  <c r="R558" i="16"/>
  <c r="R602" i="16"/>
  <c r="R618" i="16"/>
  <c r="R633" i="16"/>
  <c r="R643" i="16"/>
  <c r="M613" i="16"/>
  <c r="M135" i="16"/>
  <c r="M447" i="16"/>
  <c r="M478" i="16"/>
  <c r="R629" i="16"/>
  <c r="R655" i="16"/>
  <c r="R671" i="16"/>
  <c r="R689" i="16"/>
  <c r="M246" i="16"/>
  <c r="M345" i="16"/>
  <c r="M305" i="16"/>
  <c r="M28" i="16"/>
  <c r="M631" i="16"/>
  <c r="R703" i="16"/>
  <c r="M354" i="16"/>
  <c r="M544" i="16"/>
  <c r="M673" i="16"/>
  <c r="M317" i="16"/>
  <c r="M540" i="16"/>
  <c r="M687" i="16"/>
  <c r="M130" i="16"/>
  <c r="M488" i="16"/>
  <c r="M84" i="16"/>
  <c r="M144" i="16"/>
  <c r="M302" i="16"/>
  <c r="M439" i="16"/>
  <c r="M242" i="16"/>
  <c r="M181" i="16"/>
  <c r="M330" i="16"/>
  <c r="M485" i="16"/>
  <c r="M593" i="16"/>
  <c r="M16" i="16"/>
  <c r="M167" i="16"/>
  <c r="R167" i="16"/>
  <c r="R177" i="16"/>
  <c r="M177" i="16"/>
  <c r="M194" i="16"/>
  <c r="R194" i="16"/>
  <c r="R204" i="16"/>
  <c r="M204" i="16"/>
  <c r="M214" i="16"/>
  <c r="R214" i="16"/>
  <c r="R225" i="16"/>
  <c r="M225" i="16"/>
  <c r="M236" i="16"/>
  <c r="R236" i="16"/>
  <c r="R245" i="16"/>
  <c r="M245" i="16"/>
  <c r="M255" i="16"/>
  <c r="R255" i="16"/>
  <c r="R263" i="16"/>
  <c r="M263" i="16"/>
  <c r="M271" i="16"/>
  <c r="R271" i="16"/>
  <c r="R279" i="16"/>
  <c r="M279" i="16"/>
  <c r="M287" i="16"/>
  <c r="R287" i="16"/>
  <c r="R295" i="16"/>
  <c r="M295" i="16"/>
  <c r="M303" i="16"/>
  <c r="R303" i="16"/>
  <c r="R311" i="16"/>
  <c r="M311" i="16"/>
  <c r="M319" i="16"/>
  <c r="R319" i="16"/>
  <c r="R327" i="16"/>
  <c r="R343" i="16"/>
  <c r="R359" i="16"/>
  <c r="R375" i="16"/>
  <c r="R391" i="16"/>
  <c r="R424" i="16"/>
  <c r="R440" i="16"/>
  <c r="R456" i="16"/>
  <c r="R490" i="16"/>
  <c r="R506" i="16"/>
  <c r="R522" i="16"/>
  <c r="R538" i="16"/>
  <c r="M347" i="16"/>
  <c r="R347" i="16"/>
  <c r="R428" i="16"/>
  <c r="M428" i="16"/>
  <c r="M494" i="16"/>
  <c r="R494" i="16"/>
  <c r="R554" i="16"/>
  <c r="R570" i="16"/>
  <c r="R598" i="16"/>
  <c r="R339" i="16"/>
  <c r="R363" i="16"/>
  <c r="R387" i="16"/>
  <c r="R408" i="16"/>
  <c r="R444" i="16"/>
  <c r="R470" i="16"/>
  <c r="R486" i="16"/>
  <c r="R510" i="16"/>
  <c r="R534" i="16"/>
  <c r="R550" i="16"/>
  <c r="R566" i="16"/>
  <c r="R594" i="16"/>
  <c r="M393" i="16"/>
  <c r="M389" i="16"/>
  <c r="M386" i="16"/>
  <c r="M590" i="16"/>
  <c r="M639" i="16"/>
  <c r="M382" i="16"/>
  <c r="R610" i="16"/>
  <c r="R651" i="16"/>
  <c r="M703" i="16"/>
  <c r="R622" i="16"/>
  <c r="R647" i="16"/>
  <c r="R697" i="16"/>
  <c r="R713" i="16"/>
  <c r="R729" i="16"/>
  <c r="R745" i="16"/>
  <c r="R761" i="16"/>
  <c r="R786" i="16"/>
  <c r="R806" i="16"/>
  <c r="R663" i="16"/>
  <c r="R682" i="16"/>
  <c r="R835" i="16"/>
  <c r="R851" i="16"/>
  <c r="R1122" i="16"/>
  <c r="R1204" i="16"/>
  <c r="R1021" i="16"/>
  <c r="R336" i="16"/>
  <c r="R547" i="16"/>
  <c r="R88" i="16"/>
  <c r="R179" i="16"/>
  <c r="R264" i="16"/>
  <c r="R328" i="16"/>
  <c r="R80" i="16"/>
  <c r="R133" i="16"/>
  <c r="R200" i="16"/>
  <c r="R260" i="16"/>
  <c r="R292" i="16"/>
  <c r="R340" i="16"/>
  <c r="R388" i="16"/>
  <c r="R437" i="16"/>
  <c r="R487" i="16"/>
  <c r="R535" i="16"/>
  <c r="R567" i="16"/>
  <c r="R627" i="16"/>
  <c r="R667" i="16"/>
  <c r="R685" i="16"/>
  <c r="R701" i="16"/>
  <c r="R717" i="16"/>
  <c r="R733" i="16"/>
  <c r="R749" i="16"/>
  <c r="R765" i="16"/>
  <c r="R823" i="16"/>
  <c r="R839" i="16"/>
  <c r="R855" i="16"/>
  <c r="R875" i="16"/>
  <c r="R1033" i="16"/>
  <c r="R73" i="16"/>
  <c r="R384" i="16"/>
  <c r="R819" i="16"/>
  <c r="R205" i="16"/>
  <c r="R280" i="16"/>
  <c r="R637" i="16"/>
  <c r="R659" i="16"/>
  <c r="M286" i="16"/>
  <c r="M621" i="16"/>
  <c r="M155" i="16"/>
  <c r="M463" i="16"/>
  <c r="M290" i="16"/>
  <c r="M379" i="16"/>
  <c r="M526" i="16"/>
  <c r="M601" i="16"/>
  <c r="M47" i="16"/>
  <c r="M78" i="16"/>
  <c r="M109" i="16"/>
  <c r="M131" i="16"/>
  <c r="M151" i="16"/>
  <c r="M172" i="16"/>
  <c r="M198" i="16"/>
  <c r="M220" i="16"/>
  <c r="M240" i="16"/>
  <c r="M259" i="16"/>
  <c r="M275" i="16"/>
  <c r="M291" i="16"/>
  <c r="M307" i="16"/>
  <c r="M323" i="16"/>
  <c r="M274" i="16"/>
  <c r="M509" i="16"/>
  <c r="M375" i="16"/>
  <c r="M456" i="16"/>
  <c r="M522" i="16"/>
  <c r="M661" i="16"/>
  <c r="M346" i="16"/>
  <c r="M355" i="16"/>
  <c r="M436" i="16"/>
  <c r="M502" i="16"/>
  <c r="M554" i="16"/>
  <c r="M570" i="16"/>
  <c r="M598" i="16"/>
  <c r="M622" i="16"/>
  <c r="M647" i="16"/>
  <c r="M663" i="16"/>
  <c r="M682" i="16"/>
  <c r="M697" i="16"/>
  <c r="M713" i="16"/>
  <c r="M729" i="16"/>
  <c r="M745" i="16"/>
  <c r="M761" i="16"/>
  <c r="M786" i="16"/>
  <c r="M806" i="16"/>
  <c r="M498" i="16"/>
  <c r="M851" i="16"/>
  <c r="M450" i="16"/>
  <c r="M326" i="16"/>
  <c r="M218" i="16"/>
  <c r="M510" i="16"/>
  <c r="M614" i="16"/>
  <c r="R614" i="16"/>
  <c r="M569" i="16"/>
  <c r="M32" i="16"/>
  <c r="M224" i="16"/>
  <c r="M513" i="16"/>
  <c r="M395" i="16"/>
  <c r="M548" i="16"/>
  <c r="M338" i="16"/>
  <c r="M327" i="16"/>
  <c r="M391" i="16"/>
  <c r="M538" i="16"/>
  <c r="M171" i="16"/>
  <c r="M427" i="16"/>
  <c r="M371" i="16"/>
  <c r="M452" i="16"/>
  <c r="M518" i="16"/>
  <c r="M558" i="16"/>
  <c r="M602" i="16"/>
  <c r="M618" i="16"/>
  <c r="M633" i="16"/>
  <c r="M643" i="16"/>
  <c r="M659" i="16"/>
  <c r="M432" i="16"/>
  <c r="R607" i="16"/>
  <c r="R698" i="16"/>
  <c r="R754" i="16"/>
  <c r="R798" i="16"/>
  <c r="R842" i="16"/>
  <c r="R890" i="16"/>
  <c r="R913" i="16"/>
  <c r="R949" i="16"/>
  <c r="R982" i="16"/>
  <c r="R1016" i="16"/>
  <c r="R1125" i="16"/>
  <c r="R1213" i="16"/>
  <c r="R152" i="16"/>
  <c r="R308" i="16"/>
  <c r="R453" i="16"/>
  <c r="R595" i="16"/>
  <c r="R684" i="16"/>
  <c r="R744" i="16"/>
  <c r="R800" i="16"/>
  <c r="R844" i="16"/>
  <c r="R918" i="16"/>
  <c r="R950" i="16"/>
  <c r="R983" i="16"/>
  <c r="R1027" i="16"/>
  <c r="R392" i="16"/>
  <c r="R539" i="16"/>
  <c r="R615" i="16"/>
  <c r="R660" i="16"/>
  <c r="R694" i="16"/>
  <c r="R726" i="16"/>
  <c r="R751" i="16"/>
  <c r="R772" i="16"/>
  <c r="R807" i="16"/>
  <c r="R829" i="16"/>
  <c r="R850" i="16"/>
  <c r="R876" i="16"/>
  <c r="R892" i="16"/>
  <c r="R907" i="16"/>
  <c r="R923" i="16"/>
  <c r="R939" i="16"/>
  <c r="R956" i="16"/>
  <c r="R972" i="16"/>
  <c r="R988" i="16"/>
  <c r="R523" i="16"/>
  <c r="R718" i="16"/>
  <c r="R824" i="16"/>
  <c r="R974" i="16"/>
  <c r="R1034" i="16"/>
  <c r="R237" i="16"/>
  <c r="R406" i="16"/>
  <c r="R623" i="16"/>
  <c r="R730" i="16"/>
  <c r="R809" i="16"/>
  <c r="R883" i="16"/>
  <c r="R933" i="16"/>
  <c r="R978" i="16"/>
  <c r="R1223" i="16"/>
  <c r="R927" i="16"/>
  <c r="R992" i="16"/>
  <c r="R1028" i="16"/>
  <c r="R1071" i="16"/>
  <c r="R1123" i="16"/>
  <c r="R1146" i="16"/>
  <c r="R1176" i="16"/>
  <c r="R1211" i="16"/>
  <c r="R1219" i="16"/>
  <c r="M677" i="16"/>
  <c r="M80" i="16"/>
  <c r="M292" i="16"/>
  <c r="M487" i="16"/>
  <c r="R658" i="16"/>
  <c r="R666" i="16"/>
  <c r="R674" i="16"/>
  <c r="R692" i="16"/>
  <c r="R700" i="16"/>
  <c r="R708" i="16"/>
  <c r="R724" i="16"/>
  <c r="R732" i="16"/>
  <c r="R739" i="16"/>
  <c r="R750" i="16"/>
  <c r="R755" i="16"/>
  <c r="R760" i="16"/>
  <c r="R771" i="16"/>
  <c r="R776" i="16"/>
  <c r="R793" i="16"/>
  <c r="R805" i="16"/>
  <c r="R817" i="16"/>
  <c r="R828" i="16"/>
  <c r="R833" i="16"/>
  <c r="M238" i="16"/>
  <c r="M612" i="16"/>
  <c r="M646" i="16"/>
  <c r="M244" i="16"/>
  <c r="R626" i="16"/>
  <c r="M331" i="16"/>
  <c r="R705" i="16"/>
  <c r="R721" i="16"/>
  <c r="R737" i="16"/>
  <c r="R753" i="16"/>
  <c r="R769" i="16"/>
  <c r="R797" i="16"/>
  <c r="R827" i="16"/>
  <c r="R843" i="16"/>
  <c r="R859" i="16"/>
  <c r="R879" i="16"/>
  <c r="R1129" i="16"/>
  <c r="R1029" i="16"/>
  <c r="R449" i="16"/>
  <c r="R4" i="16"/>
  <c r="R138" i="16"/>
  <c r="R226" i="16"/>
  <c r="R296" i="16"/>
  <c r="R810" i="16"/>
  <c r="R110" i="16"/>
  <c r="R173" i="16"/>
  <c r="M173" i="16"/>
  <c r="R221" i="16"/>
  <c r="R276" i="16"/>
  <c r="R324" i="16"/>
  <c r="R356" i="16"/>
  <c r="M356" i="16"/>
  <c r="R410" i="16"/>
  <c r="R471" i="16"/>
  <c r="R503" i="16"/>
  <c r="M551" i="16"/>
  <c r="R551" i="16"/>
  <c r="R611" i="16"/>
  <c r="R675" i="16"/>
  <c r="M675" i="16"/>
  <c r="M693" i="16"/>
  <c r="R693" i="16"/>
  <c r="R709" i="16"/>
  <c r="M709" i="16"/>
  <c r="M725" i="16"/>
  <c r="R725" i="16"/>
  <c r="R741" i="16"/>
  <c r="M741" i="16"/>
  <c r="M757" i="16"/>
  <c r="R757" i="16"/>
  <c r="R773" i="16"/>
  <c r="M773" i="16"/>
  <c r="M802" i="16"/>
  <c r="R802" i="16"/>
  <c r="R831" i="16"/>
  <c r="R847" i="16"/>
  <c r="R863" i="16"/>
  <c r="R1191" i="16"/>
  <c r="R1214" i="16"/>
  <c r="R1025" i="16"/>
  <c r="R288" i="16"/>
  <c r="R499" i="16"/>
  <c r="R57" i="16"/>
  <c r="R157" i="16"/>
  <c r="R247" i="16"/>
  <c r="R312" i="16"/>
  <c r="M637" i="16"/>
  <c r="R664" i="16"/>
  <c r="R722" i="16"/>
  <c r="R770" i="16"/>
  <c r="R832" i="16"/>
  <c r="R858" i="16"/>
  <c r="R902" i="16"/>
  <c r="R937" i="16"/>
  <c r="R962" i="16"/>
  <c r="R990" i="16"/>
  <c r="R1044" i="16"/>
  <c r="R1141" i="16"/>
  <c r="R51" i="16"/>
  <c r="R241" i="16"/>
  <c r="R372" i="16"/>
  <c r="R519" i="16"/>
  <c r="R650" i="16"/>
  <c r="R716" i="16"/>
  <c r="R766" i="16"/>
  <c r="R822" i="16"/>
  <c r="R865" i="16"/>
  <c r="R903" i="16"/>
  <c r="R934" i="16"/>
  <c r="R967" i="16"/>
  <c r="R1013" i="16"/>
  <c r="R360" i="16"/>
  <c r="R441" i="16"/>
  <c r="R507" i="16"/>
  <c r="R571" i="16"/>
  <c r="R676" i="16"/>
  <c r="R710" i="16"/>
  <c r="R740" i="16"/>
  <c r="R762" i="16"/>
  <c r="R796" i="16"/>
  <c r="R818" i="16"/>
  <c r="R840" i="16"/>
  <c r="R861" i="16"/>
  <c r="R885" i="16"/>
  <c r="R900" i="16"/>
  <c r="R915" i="16"/>
  <c r="R931" i="16"/>
  <c r="R947" i="16"/>
  <c r="R964" i="16"/>
  <c r="R980" i="16"/>
  <c r="R1011" i="16"/>
  <c r="R376" i="16"/>
  <c r="R652" i="16"/>
  <c r="M435" i="16"/>
  <c r="M342" i="16"/>
  <c r="M61" i="16"/>
  <c r="M161" i="16"/>
  <c r="M251" i="16"/>
  <c r="M315" i="16"/>
  <c r="M343" i="16"/>
  <c r="M258" i="16"/>
  <c r="M534" i="16"/>
  <c r="M629" i="16"/>
  <c r="M705" i="16"/>
  <c r="M769" i="16"/>
  <c r="M363" i="16"/>
  <c r="M366" i="16"/>
  <c r="M197" i="16"/>
  <c r="M506" i="16"/>
  <c r="M408" i="16"/>
  <c r="M594" i="16"/>
  <c r="M651" i="16"/>
  <c r="R767" i="16"/>
  <c r="R104" i="16"/>
  <c r="R764" i="16"/>
  <c r="R958" i="16"/>
  <c r="R1018" i="16"/>
  <c r="R960" i="16"/>
  <c r="R1024" i="16"/>
  <c r="R1215" i="16"/>
  <c r="M388" i="16"/>
  <c r="M666" i="16"/>
  <c r="M708" i="16"/>
  <c r="M750" i="16"/>
  <c r="M776" i="16"/>
  <c r="M817" i="16"/>
  <c r="R838" i="16"/>
  <c r="R849" i="16"/>
  <c r="R854" i="16"/>
  <c r="R860" i="16"/>
  <c r="R874" i="16"/>
  <c r="R880" i="16"/>
  <c r="R884" i="16"/>
  <c r="R891" i="16"/>
  <c r="R895" i="16"/>
  <c r="R899" i="16"/>
  <c r="R910" i="16"/>
  <c r="R914" i="16"/>
  <c r="R922" i="16"/>
  <c r="R926" i="16"/>
  <c r="R930" i="16"/>
  <c r="R938" i="16"/>
  <c r="R942" i="16"/>
  <c r="R946" i="16"/>
  <c r="R955" i="16"/>
  <c r="R959" i="16"/>
  <c r="R963" i="16"/>
  <c r="R971" i="16"/>
  <c r="R975" i="16"/>
  <c r="R979" i="16"/>
  <c r="R987" i="16"/>
  <c r="R991" i="16"/>
  <c r="R1010" i="16"/>
  <c r="R1017" i="16"/>
  <c r="R1019" i="16"/>
  <c r="R1023" i="16"/>
  <c r="R1031" i="16"/>
  <c r="R866" i="16"/>
  <c r="R1205" i="16"/>
  <c r="R896" i="16"/>
  <c r="R1171" i="16"/>
  <c r="R20" i="16"/>
  <c r="R63" i="16"/>
  <c r="R96" i="16"/>
  <c r="R120" i="16"/>
  <c r="R163" i="16"/>
  <c r="R425" i="16"/>
  <c r="R491" i="16"/>
  <c r="R599" i="16"/>
  <c r="R668" i="16"/>
  <c r="R702" i="16"/>
  <c r="R746" i="16"/>
  <c r="R845" i="16"/>
  <c r="R881" i="16"/>
  <c r="R904" i="16"/>
  <c r="R919" i="16"/>
  <c r="R943" i="16"/>
  <c r="R968" i="16"/>
  <c r="R984" i="16"/>
  <c r="R1020" i="16"/>
  <c r="R1022" i="16"/>
  <c r="R1163" i="16"/>
  <c r="R168" i="16"/>
  <c r="R352" i="16"/>
  <c r="R563" i="16"/>
  <c r="R706" i="16"/>
  <c r="R791" i="16"/>
  <c r="R864" i="16"/>
  <c r="R921" i="16"/>
  <c r="R966" i="16"/>
  <c r="M285" i="16"/>
  <c r="M460" i="16"/>
  <c r="M94" i="16"/>
  <c r="M183" i="16"/>
  <c r="M267" i="16"/>
  <c r="M424" i="16"/>
  <c r="M493" i="16"/>
  <c r="M562" i="16"/>
  <c r="M655" i="16"/>
  <c r="M721" i="16"/>
  <c r="M797" i="16"/>
  <c r="M434" i="16"/>
  <c r="M597" i="16"/>
  <c r="M501" i="16"/>
  <c r="M378" i="16"/>
  <c r="M443" i="16"/>
  <c r="M484" i="16"/>
  <c r="M486" i="16"/>
  <c r="M610" i="16"/>
  <c r="M667" i="16"/>
  <c r="M701" i="16"/>
  <c r="M733" i="16"/>
  <c r="M765" i="16"/>
  <c r="M239" i="16"/>
  <c r="M545" i="16"/>
  <c r="M471" i="16"/>
  <c r="R515" i="16"/>
  <c r="R909" i="16"/>
  <c r="R1119" i="16"/>
  <c r="R1202" i="16"/>
  <c r="M200" i="16"/>
  <c r="M658" i="16"/>
  <c r="M700" i="16"/>
  <c r="M739" i="16"/>
  <c r="M771" i="16"/>
  <c r="M1133" i="16"/>
  <c r="R1133" i="16"/>
  <c r="M541" i="16"/>
  <c r="M546" i="16"/>
  <c r="R815" i="16"/>
  <c r="M815" i="16"/>
  <c r="M1122" i="16"/>
  <c r="M384" i="16"/>
  <c r="R638" i="16"/>
  <c r="M638" i="16"/>
  <c r="R738" i="16"/>
  <c r="M738" i="16"/>
  <c r="R816" i="16"/>
  <c r="M816" i="16"/>
  <c r="R878" i="16"/>
  <c r="M878" i="16"/>
  <c r="R925" i="16"/>
  <c r="M925" i="16"/>
  <c r="R970" i="16"/>
  <c r="M970" i="16"/>
  <c r="R1026" i="16"/>
  <c r="M1026" i="16"/>
  <c r="R1203" i="16"/>
  <c r="M1203" i="16"/>
  <c r="M530" i="16"/>
  <c r="M879" i="16"/>
  <c r="M1021" i="16"/>
  <c r="M280" i="16"/>
  <c r="M1214" i="16"/>
  <c r="M376" i="16"/>
  <c r="M652" i="16"/>
  <c r="M767" i="16"/>
  <c r="M866" i="16"/>
  <c r="M947" i="16"/>
  <c r="M875" i="16"/>
  <c r="M179" i="16"/>
  <c r="M507" i="16"/>
  <c r="M710" i="16"/>
  <c r="M818" i="16"/>
  <c r="M896" i="16"/>
  <c r="M960" i="16"/>
  <c r="M1171" i="16"/>
  <c r="R36" i="16"/>
  <c r="M36" i="16"/>
  <c r="R126" i="16"/>
  <c r="M126" i="16"/>
  <c r="R147" i="16"/>
  <c r="M147" i="16"/>
  <c r="R216" i="16"/>
  <c r="M216" i="16"/>
  <c r="R272" i="16"/>
  <c r="M272" i="16"/>
  <c r="R320" i="16"/>
  <c r="M320" i="16"/>
  <c r="R368" i="16"/>
  <c r="M368" i="16"/>
  <c r="R433" i="16"/>
  <c r="M433" i="16"/>
  <c r="R483" i="16"/>
  <c r="M483" i="16"/>
  <c r="R531" i="16"/>
  <c r="M531" i="16"/>
  <c r="R648" i="16"/>
  <c r="M648" i="16"/>
  <c r="R672" i="16"/>
  <c r="M672" i="16"/>
  <c r="R690" i="16"/>
  <c r="M690" i="16"/>
  <c r="R714" i="16"/>
  <c r="M714" i="16"/>
  <c r="R743" i="16"/>
  <c r="M743" i="16"/>
  <c r="R759" i="16"/>
  <c r="M759" i="16"/>
  <c r="R775" i="16"/>
  <c r="M775" i="16"/>
  <c r="R804" i="16"/>
  <c r="M804" i="16"/>
  <c r="R821" i="16"/>
  <c r="M821" i="16"/>
  <c r="R837" i="16"/>
  <c r="M837" i="16"/>
  <c r="R853" i="16"/>
  <c r="M853" i="16"/>
  <c r="R887" i="16"/>
  <c r="M887" i="16"/>
  <c r="R898" i="16"/>
  <c r="M898" i="16"/>
  <c r="R906" i="16"/>
  <c r="M906" i="16"/>
  <c r="R917" i="16"/>
  <c r="M917" i="16"/>
  <c r="R929" i="16"/>
  <c r="M929" i="16"/>
  <c r="R941" i="16"/>
  <c r="M941" i="16"/>
  <c r="M262" i="16"/>
  <c r="M810" i="16"/>
  <c r="M221" i="16"/>
  <c r="M410" i="16"/>
  <c r="M611" i="16"/>
  <c r="M607" i="16"/>
  <c r="M698" i="16"/>
  <c r="M754" i="16"/>
  <c r="M798" i="16"/>
  <c r="M842" i="16"/>
  <c r="M890" i="16"/>
  <c r="M913" i="16"/>
  <c r="M949" i="16"/>
  <c r="M982" i="16"/>
  <c r="M1016" i="16"/>
  <c r="M1125" i="16"/>
  <c r="M1213" i="16"/>
  <c r="M152" i="16"/>
  <c r="M308" i="16"/>
  <c r="M453" i="16"/>
  <c r="M595" i="16"/>
  <c r="M684" i="16"/>
  <c r="M744" i="16"/>
  <c r="M800" i="16"/>
  <c r="M844" i="16"/>
  <c r="M918" i="16"/>
  <c r="M950" i="16"/>
  <c r="M983" i="16"/>
  <c r="M1027" i="16"/>
  <c r="R1118" i="16"/>
  <c r="R1209" i="16"/>
  <c r="M1028" i="16"/>
  <c r="M1071" i="16"/>
  <c r="M1123" i="16"/>
  <c r="M1146" i="16"/>
  <c r="M1176" i="16"/>
  <c r="M1211" i="16"/>
  <c r="M1219" i="16"/>
  <c r="M627" i="16"/>
  <c r="M73" i="16"/>
  <c r="M340" i="16"/>
  <c r="M477" i="16"/>
  <c r="M4" i="16"/>
  <c r="M900" i="16"/>
  <c r="M740" i="16"/>
  <c r="R184" i="16"/>
  <c r="R232" i="16"/>
  <c r="R252" i="16"/>
  <c r="R268" i="16"/>
  <c r="R300" i="16"/>
  <c r="R316" i="16"/>
  <c r="R332" i="16"/>
  <c r="R364" i="16"/>
  <c r="R380" i="16"/>
  <c r="R396" i="16"/>
  <c r="R445" i="16"/>
  <c r="R461" i="16"/>
  <c r="M400" i="16"/>
  <c r="M535" i="16"/>
  <c r="M863" i="16"/>
  <c r="M827" i="16"/>
  <c r="M964" i="16"/>
  <c r="M571" i="16"/>
  <c r="R210" i="16"/>
  <c r="M205" i="16"/>
  <c r="M1011" i="16"/>
  <c r="M1020" i="16"/>
  <c r="R284" i="16"/>
  <c r="R348" i="16"/>
  <c r="R479" i="16"/>
  <c r="R495" i="16"/>
  <c r="R511" i="16"/>
  <c r="R543" i="16"/>
  <c r="R559" i="16"/>
  <c r="R588" i="16"/>
  <c r="R619" i="16"/>
  <c r="R634" i="16"/>
  <c r="R644" i="16"/>
  <c r="R662" i="16"/>
  <c r="M512" i="16"/>
  <c r="M310" i="16"/>
  <c r="M557" i="16"/>
  <c r="M119" i="16"/>
  <c r="M209" i="16"/>
  <c r="M283" i="16"/>
  <c r="M731" i="16"/>
  <c r="M490" i="16"/>
  <c r="M387" i="16"/>
  <c r="M591" i="16"/>
  <c r="M671" i="16"/>
  <c r="M737" i="16"/>
  <c r="M176" i="16"/>
  <c r="M542" i="16"/>
  <c r="M359" i="16"/>
  <c r="M322" i="16"/>
  <c r="M550" i="16"/>
  <c r="M626" i="16"/>
  <c r="R304" i="16"/>
  <c r="R848" i="16"/>
  <c r="R1185" i="16"/>
  <c r="R1032" i="16"/>
  <c r="M525" i="16"/>
  <c r="M692" i="16"/>
  <c r="M732" i="16"/>
  <c r="M760" i="16"/>
  <c r="M805" i="16"/>
  <c r="M833" i="16"/>
  <c r="M838" i="16"/>
  <c r="M849" i="16"/>
  <c r="M854" i="16"/>
  <c r="M860" i="16"/>
  <c r="M874" i="16"/>
  <c r="M880" i="16"/>
  <c r="M884" i="16"/>
  <c r="M891" i="16"/>
  <c r="M895" i="16"/>
  <c r="M899" i="16"/>
  <c r="M910" i="16"/>
  <c r="M914" i="16"/>
  <c r="M922" i="16"/>
  <c r="M926" i="16"/>
  <c r="M930" i="16"/>
  <c r="M938" i="16"/>
  <c r="M942" i="16"/>
  <c r="M946" i="16"/>
  <c r="M955" i="16"/>
  <c r="M959" i="16"/>
  <c r="M963" i="16"/>
  <c r="M971" i="16"/>
  <c r="M975" i="16"/>
  <c r="M979" i="16"/>
  <c r="M987" i="16"/>
  <c r="M991" i="16"/>
  <c r="M1010" i="16"/>
  <c r="M1017" i="16"/>
  <c r="M1019" i="16"/>
  <c r="M1023" i="16"/>
  <c r="M1031" i="16"/>
  <c r="M1205" i="16"/>
  <c r="M20" i="16"/>
  <c r="M63" i="16"/>
  <c r="M96" i="16"/>
  <c r="M120" i="16"/>
  <c r="M163" i="16"/>
  <c r="R1057" i="16"/>
  <c r="R344" i="16"/>
  <c r="R457" i="16"/>
  <c r="M457" i="16"/>
  <c r="R555" i="16"/>
  <c r="R630" i="16"/>
  <c r="R686" i="16"/>
  <c r="R734" i="16"/>
  <c r="R756" i="16"/>
  <c r="R801" i="16"/>
  <c r="R834" i="16"/>
  <c r="R856" i="16"/>
  <c r="R888" i="16"/>
  <c r="R911" i="16"/>
  <c r="R935" i="16"/>
  <c r="R951" i="16"/>
  <c r="R976" i="16"/>
  <c r="M976" i="16"/>
  <c r="R1014" i="16"/>
  <c r="R986" i="16"/>
  <c r="R1121" i="16"/>
  <c r="R1217" i="16"/>
  <c r="R256" i="16"/>
  <c r="R466" i="16"/>
  <c r="R656" i="16"/>
  <c r="R748" i="16"/>
  <c r="R826" i="16"/>
  <c r="R894" i="16"/>
  <c r="R945" i="16"/>
  <c r="R994" i="16"/>
  <c r="M184" i="16"/>
  <c r="M232" i="16"/>
  <c r="M252" i="16"/>
  <c r="M268" i="16"/>
  <c r="M300" i="16"/>
  <c r="M316" i="16"/>
  <c r="M332" i="16"/>
  <c r="M364" i="16"/>
  <c r="M380" i="16"/>
  <c r="M396" i="16"/>
  <c r="M445" i="16"/>
  <c r="M461" i="16"/>
  <c r="M284" i="16"/>
  <c r="M348" i="16"/>
  <c r="M479" i="16"/>
  <c r="M495" i="16"/>
  <c r="M511" i="16"/>
  <c r="M543" i="16"/>
  <c r="M559" i="16"/>
  <c r="M588" i="16"/>
  <c r="M619" i="16"/>
  <c r="M634" i="16"/>
  <c r="M644" i="16"/>
  <c r="M662" i="16"/>
  <c r="M362" i="16"/>
  <c r="M689" i="16"/>
  <c r="M564" i="16"/>
  <c r="M566" i="16"/>
  <c r="M749" i="16"/>
  <c r="M674" i="16"/>
  <c r="M828" i="16"/>
  <c r="M847" i="16"/>
  <c r="M843" i="16"/>
  <c r="M88" i="16"/>
  <c r="M915" i="16"/>
  <c r="M360" i="16"/>
  <c r="M927" i="16"/>
  <c r="M324" i="16"/>
  <c r="M722" i="16"/>
  <c r="M902" i="16"/>
  <c r="M1044" i="16"/>
  <c r="M372" i="16"/>
  <c r="M766" i="16"/>
  <c r="M934" i="16"/>
  <c r="R670" i="16"/>
  <c r="M670" i="16"/>
  <c r="R696" i="16"/>
  <c r="M696" i="16"/>
  <c r="R704" i="16"/>
  <c r="M704" i="16"/>
  <c r="M712" i="16"/>
  <c r="R712" i="16"/>
  <c r="M736" i="16"/>
  <c r="R736" i="16"/>
  <c r="R742" i="16"/>
  <c r="M742" i="16"/>
  <c r="M752" i="16"/>
  <c r="R752" i="16"/>
  <c r="R763" i="16"/>
  <c r="M763" i="16"/>
  <c r="M774" i="16"/>
  <c r="R774" i="16"/>
  <c r="M808" i="16"/>
  <c r="R808" i="16"/>
  <c r="M820" i="16"/>
  <c r="R820" i="16"/>
  <c r="R830" i="16"/>
  <c r="R836" i="16"/>
  <c r="R841" i="16"/>
  <c r="R852" i="16"/>
  <c r="R857" i="16"/>
  <c r="R862" i="16"/>
  <c r="R877" i="16"/>
  <c r="R882" i="16"/>
  <c r="R886" i="16"/>
  <c r="R893" i="16"/>
  <c r="R897" i="16"/>
  <c r="R901" i="16"/>
  <c r="R908" i="16"/>
  <c r="R916" i="16"/>
  <c r="R924" i="16"/>
  <c r="R932" i="16"/>
  <c r="R940" i="16"/>
  <c r="R948" i="16"/>
  <c r="R957" i="16"/>
  <c r="R965" i="16"/>
  <c r="R973" i="16"/>
  <c r="R981" i="16"/>
  <c r="R989" i="16"/>
  <c r="R1012" i="16"/>
  <c r="R1120" i="16"/>
  <c r="R1127" i="16"/>
  <c r="R1139" i="16"/>
  <c r="R1158" i="16"/>
  <c r="R1212" i="16"/>
  <c r="R1221" i="16"/>
  <c r="M306" i="16"/>
  <c r="M819" i="16"/>
  <c r="M344" i="16"/>
  <c r="M630" i="16"/>
  <c r="M756" i="16"/>
  <c r="M856" i="16"/>
  <c r="M923" i="16"/>
  <c r="M988" i="16"/>
  <c r="M986" i="16"/>
  <c r="M1121" i="16"/>
  <c r="M1217" i="16"/>
  <c r="M256" i="16"/>
  <c r="M466" i="16"/>
  <c r="M656" i="16"/>
  <c r="M748" i="16"/>
  <c r="M826" i="16"/>
  <c r="M894" i="16"/>
  <c r="M945" i="16"/>
  <c r="M994" i="16"/>
  <c r="M394" i="16"/>
  <c r="M660" i="16"/>
  <c r="M984" i="16"/>
  <c r="M1025" i="16"/>
  <c r="M751" i="16"/>
  <c r="M539" i="16"/>
  <c r="M694" i="16"/>
  <c r="M465" i="16"/>
  <c r="M448" i="16"/>
  <c r="R429" i="16"/>
  <c r="R527" i="16"/>
  <c r="R603" i="16"/>
  <c r="R654" i="16"/>
  <c r="R688" i="16"/>
  <c r="R720" i="16"/>
  <c r="R747" i="16"/>
  <c r="R768" i="16"/>
  <c r="R803" i="16"/>
  <c r="R825" i="16"/>
  <c r="R846" i="16"/>
  <c r="R873" i="16"/>
  <c r="R889" i="16"/>
  <c r="R905" i="16"/>
  <c r="M948" i="16"/>
  <c r="M981" i="16"/>
  <c r="M831" i="16"/>
  <c r="M823" i="16"/>
  <c r="M138" i="16"/>
  <c r="M367" i="16"/>
  <c r="M57" i="16"/>
  <c r="M425" i="16"/>
  <c r="M668" i="16"/>
  <c r="M881" i="16"/>
  <c r="M939" i="16"/>
  <c r="M104" i="16"/>
  <c r="M304" i="16"/>
  <c r="M515" i="16"/>
  <c r="M764" i="16"/>
  <c r="M848" i="16"/>
  <c r="M909" i="16"/>
  <c r="M958" i="16"/>
  <c r="M1018" i="16"/>
  <c r="M1185" i="16"/>
  <c r="M157" i="16"/>
  <c r="M772" i="16"/>
  <c r="M1057" i="16"/>
  <c r="M850" i="16"/>
  <c r="M807" i="16"/>
  <c r="M726" i="16"/>
  <c r="M935" i="16"/>
  <c r="M973" i="16"/>
  <c r="M1012" i="16"/>
  <c r="M1127" i="16"/>
  <c r="M1212" i="16"/>
  <c r="M449" i="16"/>
  <c r="M247" i="16"/>
  <c r="M441" i="16"/>
  <c r="M1139" i="16"/>
  <c r="M527" i="16"/>
  <c r="M603" i="16"/>
  <c r="M654" i="16"/>
  <c r="M720" i="16"/>
  <c r="M747" i="16"/>
  <c r="M803" i="16"/>
  <c r="M825" i="16"/>
  <c r="M873" i="16"/>
  <c r="M889" i="16"/>
  <c r="M905" i="16"/>
  <c r="R977" i="16"/>
  <c r="R993" i="16"/>
  <c r="R944" i="16"/>
  <c r="R1092" i="16"/>
  <c r="R1030" i="16"/>
  <c r="M499" i="16"/>
  <c r="M1032" i="16"/>
  <c r="M260" i="16"/>
  <c r="M312" i="16"/>
  <c r="M801" i="16"/>
  <c r="M676" i="16"/>
  <c r="R758" i="16"/>
  <c r="M758" i="16"/>
  <c r="M830" i="16"/>
  <c r="M841" i="16"/>
  <c r="M857" i="16"/>
  <c r="M882" i="16"/>
  <c r="M897" i="16"/>
  <c r="M912" i="16"/>
  <c r="R912" i="16"/>
  <c r="M928" i="16"/>
  <c r="R928" i="16"/>
  <c r="R961" i="16"/>
  <c r="M961" i="16"/>
  <c r="M230" i="16"/>
  <c r="M294" i="16"/>
  <c r="M212" i="16"/>
  <c r="M753" i="16"/>
  <c r="M351" i="16"/>
  <c r="M481" i="16"/>
  <c r="M793" i="16"/>
  <c r="M547" i="16"/>
  <c r="M1204" i="16"/>
  <c r="M523" i="16"/>
  <c r="M980" i="16"/>
  <c r="M992" i="16"/>
  <c r="M503" i="16"/>
  <c r="M770" i="16"/>
  <c r="M937" i="16"/>
  <c r="M1141" i="16"/>
  <c r="M519" i="16"/>
  <c r="M822" i="16"/>
  <c r="M967" i="16"/>
  <c r="M1024" i="16"/>
  <c r="M1119" i="16"/>
  <c r="M1202" i="16"/>
  <c r="M1215" i="16"/>
  <c r="M482" i="16"/>
  <c r="M1029" i="16"/>
  <c r="M686" i="16"/>
  <c r="M911" i="16"/>
  <c r="M335" i="16"/>
  <c r="M336" i="16"/>
  <c r="M1191" i="16"/>
  <c r="M599" i="16"/>
  <c r="M728" i="16"/>
  <c r="R728" i="16"/>
  <c r="R920" i="16"/>
  <c r="M920" i="16"/>
  <c r="R936" i="16"/>
  <c r="M936" i="16"/>
  <c r="R952" i="16"/>
  <c r="M952" i="16"/>
  <c r="R969" i="16"/>
  <c r="M969" i="16"/>
  <c r="R985" i="16"/>
  <c r="R1015" i="16"/>
  <c r="M1015" i="16"/>
  <c r="R1154" i="16"/>
  <c r="R1181" i="16"/>
  <c r="R954" i="16"/>
  <c r="M954" i="16"/>
  <c r="M429" i="16"/>
  <c r="M688" i="16"/>
  <c r="M768" i="16"/>
  <c r="M846" i="16"/>
  <c r="M824" i="16"/>
  <c r="M628" i="16"/>
  <c r="M133" i="16"/>
  <c r="M840" i="16"/>
  <c r="M852" i="16"/>
  <c r="M877" i="16"/>
  <c r="M893" i="16"/>
  <c r="M908" i="16"/>
  <c r="M529" i="16"/>
  <c r="M299" i="16"/>
  <c r="M470" i="16"/>
  <c r="M440" i="16"/>
  <c r="M685" i="16"/>
  <c r="M835" i="16"/>
  <c r="M567" i="16"/>
  <c r="M755" i="16"/>
  <c r="M403" i="16"/>
  <c r="M1033" i="16"/>
  <c r="M718" i="16"/>
  <c r="M762" i="16"/>
  <c r="M444" i="16"/>
  <c r="M832" i="16"/>
  <c r="M962" i="16"/>
  <c r="M51" i="16"/>
  <c r="M650" i="16"/>
  <c r="M865" i="16"/>
  <c r="M1013" i="16"/>
  <c r="M210" i="16"/>
  <c r="M855" i="16"/>
  <c r="M226" i="16"/>
  <c r="M491" i="16"/>
  <c r="M702" i="16"/>
  <c r="M892" i="16"/>
  <c r="M956" i="16"/>
  <c r="M1022" i="16"/>
  <c r="M1163" i="16"/>
  <c r="M168" i="16"/>
  <c r="M352" i="16"/>
  <c r="M563" i="16"/>
  <c r="M706" i="16"/>
  <c r="M791" i="16"/>
  <c r="M864" i="16"/>
  <c r="M921" i="16"/>
  <c r="M966" i="16"/>
  <c r="M1118" i="16"/>
  <c r="M1209" i="16"/>
  <c r="M296" i="16"/>
  <c r="M876" i="16"/>
  <c r="M719" i="16"/>
  <c r="M328" i="16"/>
  <c r="M904" i="16"/>
  <c r="M1014" i="16"/>
  <c r="M829" i="16"/>
  <c r="M149" i="16"/>
  <c r="M746" i="16"/>
  <c r="M796" i="16"/>
  <c r="M916" i="16"/>
  <c r="M924" i="16"/>
  <c r="M932" i="16"/>
  <c r="M940" i="16"/>
  <c r="M957" i="16"/>
  <c r="M965" i="16"/>
  <c r="M977" i="16"/>
  <c r="M993" i="16"/>
  <c r="M1120" i="16"/>
  <c r="M1181" i="16"/>
  <c r="M1221" i="16"/>
  <c r="M859" i="16"/>
  <c r="M845" i="16"/>
  <c r="M885" i="16"/>
  <c r="M288" i="16"/>
  <c r="M264" i="16"/>
  <c r="M555" i="16"/>
  <c r="M734" i="16"/>
  <c r="M834" i="16"/>
  <c r="M907" i="16"/>
  <c r="M972" i="16"/>
  <c r="M974" i="16"/>
  <c r="M1034" i="16"/>
  <c r="M237" i="16"/>
  <c r="M406" i="16"/>
  <c r="M623" i="16"/>
  <c r="M730" i="16"/>
  <c r="M809" i="16"/>
  <c r="M883" i="16"/>
  <c r="M933" i="16"/>
  <c r="M978" i="16"/>
  <c r="M1223" i="16"/>
  <c r="M392" i="16"/>
  <c r="M919" i="16"/>
  <c r="M839" i="16"/>
  <c r="M615" i="16"/>
  <c r="M968" i="16"/>
  <c r="M888" i="16"/>
  <c r="M951" i="16"/>
  <c r="M944" i="16"/>
  <c r="M985" i="16"/>
  <c r="M1092" i="16"/>
  <c r="M1154" i="16"/>
  <c r="M1030" i="16"/>
  <c r="M931" i="16"/>
  <c r="M943" i="16"/>
  <c r="M989" i="16"/>
  <c r="M1158" i="16"/>
  <c r="M632" i="16"/>
  <c r="M606" i="16"/>
  <c r="M339" i="16"/>
  <c r="M717" i="16"/>
  <c r="M276" i="16"/>
  <c r="M724" i="16"/>
  <c r="M383" i="16"/>
  <c r="M514" i="16"/>
  <c r="M861" i="16"/>
  <c r="M1129" i="16"/>
  <c r="M110" i="16"/>
  <c r="M664" i="16"/>
  <c r="M858" i="16"/>
  <c r="M990" i="16"/>
  <c r="M241" i="16"/>
  <c r="M716" i="16"/>
  <c r="M903" i="16"/>
  <c r="M437" i="16"/>
  <c r="M836" i="16"/>
  <c r="M862" i="16"/>
  <c r="M886" i="16"/>
  <c r="M901" i="16"/>
</calcChain>
</file>

<file path=xl/sharedStrings.xml><?xml version="1.0" encoding="utf-8"?>
<sst xmlns="http://schemas.openxmlformats.org/spreadsheetml/2006/main" count="75498" uniqueCount="2216">
  <si>
    <t>Project Delivery</t>
  </si>
  <si>
    <t>Infrastructure Leadership</t>
  </si>
  <si>
    <t>Bus. Dev.</t>
  </si>
  <si>
    <t>Commercial</t>
  </si>
  <si>
    <t>Legal</t>
  </si>
  <si>
    <t>Estimation</t>
  </si>
  <si>
    <t>Project Controls / Schecule</t>
  </si>
  <si>
    <t>Project Management Systems</t>
  </si>
  <si>
    <t>Document Control</t>
  </si>
  <si>
    <t>Procurement</t>
  </si>
  <si>
    <t>Risk Management</t>
  </si>
  <si>
    <t>Quality</t>
  </si>
  <si>
    <t>HR</t>
  </si>
  <si>
    <t>Engineering</t>
  </si>
  <si>
    <t>Construction &amp; Project Management</t>
  </si>
  <si>
    <t>Operations &amp; Maintenance</t>
  </si>
  <si>
    <t>Types Of Actions</t>
  </si>
  <si>
    <t>Meeting</t>
  </si>
  <si>
    <t>Document Preparation</t>
  </si>
  <si>
    <t>Other</t>
  </si>
  <si>
    <t>Action Fields</t>
  </si>
  <si>
    <t>Name</t>
  </si>
  <si>
    <t>Type</t>
  </si>
  <si>
    <t>Index</t>
  </si>
  <si>
    <t>Date - Start</t>
  </si>
  <si>
    <t>Date - End</t>
  </si>
  <si>
    <t>Date - Paused</t>
  </si>
  <si>
    <t>Comments</t>
  </si>
  <si>
    <t>Description</t>
  </si>
  <si>
    <t>Date - Target/Limit</t>
  </si>
  <si>
    <t>Sub-actions</t>
  </si>
  <si>
    <t>Required</t>
  </si>
  <si>
    <t>Chronological Dependency(ies)</t>
  </si>
  <si>
    <t>Conditional Dependency(ies)</t>
  </si>
  <si>
    <t>Phase(s)</t>
  </si>
  <si>
    <t>External Links</t>
  </si>
  <si>
    <t>Phase Fields</t>
  </si>
  <si>
    <t>Sup-action</t>
  </si>
  <si>
    <t>Sub-phases</t>
  </si>
  <si>
    <t>Types of Phases</t>
  </si>
  <si>
    <t>Sup-phase</t>
  </si>
  <si>
    <t>Gateway Phase / Main Phase</t>
  </si>
  <si>
    <t>Sub-Phase</t>
  </si>
  <si>
    <t>Type of connectors</t>
  </si>
  <si>
    <t>Chronological - Unidirectional</t>
  </si>
  <si>
    <t>Conditional - Bidirectional</t>
  </si>
  <si>
    <t>Conditional - Unidirectional</t>
  </si>
  <si>
    <t>Priority</t>
  </si>
  <si>
    <t>Issuer/Responsable/Organizer(s)</t>
  </si>
  <si>
    <t>Project Agreement Formation</t>
  </si>
  <si>
    <t>Site Closure</t>
  </si>
  <si>
    <t>Color Formula</t>
  </si>
  <si>
    <t>a_lin =</t>
  </si>
  <si>
    <t>b_lin =</t>
  </si>
  <si>
    <t>name</t>
  </si>
  <si>
    <t>parent</t>
  </si>
  <si>
    <t>Division</t>
  </si>
  <si>
    <t>Capital/Equity</t>
  </si>
  <si>
    <t>N/A</t>
  </si>
  <si>
    <t>Phases</t>
  </si>
  <si>
    <t>LABEL</t>
  </si>
  <si>
    <t>DESCRIPTION</t>
  </si>
  <si>
    <t>LEAD</t>
  </si>
  <si>
    <t>PARTICIPANTS</t>
  </si>
  <si>
    <t>Strategic Pursuit Commitee - 1st Meeting</t>
  </si>
  <si>
    <t>Strategic Pursuit Commitee - 2nd Meeting</t>
  </si>
  <si>
    <t>ICON</t>
  </si>
  <si>
    <t>LINE</t>
  </si>
  <si>
    <t>steelblue</t>
  </si>
  <si>
    <t>black</t>
  </si>
  <si>
    <t>lightblue</t>
  </si>
  <si>
    <t>HSSE</t>
  </si>
  <si>
    <t>Assessment of resources required to execute the project</t>
  </si>
  <si>
    <t>Strategic Pursuit Committee - 1st Meeting</t>
  </si>
  <si>
    <t>Strategic Pursuit Committee - 2nd Meeting</t>
  </si>
  <si>
    <t>"Document Preparation - DB, DE, O&amp;M"</t>
  </si>
  <si>
    <t>"Design-Build (DB): MOA, TA,TS,CA(DE &amp; Subs), EA (DE &amp; Subs)"</t>
  </si>
  <si>
    <t>"Design Engineer (DE): MOA, TA TS, CA Subconsultants (SC), EA SC"</t>
  </si>
  <si>
    <t>"Operations &amp; Maintenance (O&amp;M): MOA, TA TS, CA, NDA"</t>
  </si>
  <si>
    <t>"Document Validation - DB, DE"</t>
  </si>
  <si>
    <t>Pre-Construction</t>
  </si>
  <si>
    <t>RFQ Review</t>
  </si>
  <si>
    <t>"Document Preparation - DB, DE, O&amp;M "</t>
  </si>
  <si>
    <t>"DB: TA, JVA TS, PSA, SA TS, CA &amp; EA"</t>
  </si>
  <si>
    <t>"DE: TA, JVA TS, SC PSA, SC SA TS, CA &amp; EA"</t>
  </si>
  <si>
    <t>"O&amp;M: TA, Negociation, JVA TS"</t>
  </si>
  <si>
    <t>Contractual Terms &amp; Conditions Review</t>
  </si>
  <si>
    <t>Proposal Strategic Review</t>
  </si>
  <si>
    <t>"Document Analysis - Read, Review &amp; Understand"</t>
  </si>
  <si>
    <t>Proposal Progress Reviews (Periodic)</t>
  </si>
  <si>
    <t>IBTT assignments &amp; collation of reviews</t>
  </si>
  <si>
    <t>Lenders technical report finalization</t>
  </si>
  <si>
    <t>Lenders technical report preparation</t>
  </si>
  <si>
    <t>LOA Policy 1009</t>
  </si>
  <si>
    <t>SOP 2221</t>
  </si>
  <si>
    <t>1-day workshop prior to final draft</t>
  </si>
  <si>
    <t>Ongoing revisions reviewd by LTA</t>
  </si>
  <si>
    <t>LTA report finalized</t>
  </si>
  <si>
    <t>Draft technical</t>
  </si>
  <si>
    <t>Cost Report</t>
  </si>
  <si>
    <t>LINK</t>
  </si>
  <si>
    <t>http://infozone.snclavalin.com/en/files/1009-levels-of-authority-en.pdf</t>
  </si>
  <si>
    <t>http://infozone.snclavalin.com/en/files/2221-project-investment-approval-en.pdf</t>
  </si>
  <si>
    <t>Commercial Strategy</t>
  </si>
  <si>
    <t>Contractual Strategy</t>
  </si>
  <si>
    <t>Forms of Agreements</t>
  </si>
  <si>
    <t>T&amp;C's</t>
  </si>
  <si>
    <t>Budget &amp; OH&amp;P Strategy</t>
  </si>
  <si>
    <t>Business Partner Strategy</t>
  </si>
  <si>
    <t>DB/DE Finalization</t>
  </si>
  <si>
    <t>RFQ Submission</t>
  </si>
  <si>
    <t>Post-Bid Clarifications</t>
  </si>
  <si>
    <t>Support RFI from client</t>
  </si>
  <si>
    <t>Provide further info as required</t>
  </si>
  <si>
    <t>Initial input for PEP</t>
  </si>
  <si>
    <t>Design-Build: Execution Phase Agreements</t>
  </si>
  <si>
    <t>Design Engineer: Execution Phase Agreements</t>
  </si>
  <si>
    <t>O&amp;M: Execution Phase Agreements</t>
  </si>
  <si>
    <t>Commercial &amp; Financial Close</t>
  </si>
  <si>
    <t>Conforming Binding Commitments</t>
  </si>
  <si>
    <t>Execute Agreements</t>
  </si>
  <si>
    <t>Closing Agenda Documents</t>
  </si>
  <si>
    <t>Bid Package Handover</t>
  </si>
  <si>
    <t>Change Management Process</t>
  </si>
  <si>
    <t>Time Constraints</t>
  </si>
  <si>
    <t>Penalties (LD's)</t>
  </si>
  <si>
    <t>Obligations</t>
  </si>
  <si>
    <t>Unusual Terms</t>
  </si>
  <si>
    <t>Quarterly Project Reviews</t>
  </si>
  <si>
    <t>Risk Reviews</t>
  </si>
  <si>
    <t>Ongoing Management</t>
  </si>
  <si>
    <t>Monthly Project Risk Register Review</t>
  </si>
  <si>
    <t>Quarterly schedule Risk Assessment Review</t>
  </si>
  <si>
    <t>Claims Management</t>
  </si>
  <si>
    <t>Change Management</t>
  </si>
  <si>
    <t>Manage and Document close out</t>
  </si>
  <si>
    <t>Validate Milestone dates</t>
  </si>
  <si>
    <t>Define ICS and WBS(coding structures)</t>
  </si>
  <si>
    <t>Schedules and other preparation</t>
  </si>
  <si>
    <t>Preparation &amp; Monitoring of proposal schedule</t>
  </si>
  <si>
    <t>Preparation of project schedule and basis of schedule</t>
  </si>
  <si>
    <t>PM &amp; EDM system introduction to JV Partners</t>
  </si>
  <si>
    <t>Bid data set up</t>
  </si>
  <si>
    <t>Establish initial MFL for Preliminary Personnel Requirements</t>
  </si>
  <si>
    <t>Define</t>
  </si>
  <si>
    <t>Development of Contract Baseline Schedule - 85%</t>
  </si>
  <si>
    <t>Ressource/Equipment loading and leveling</t>
  </si>
  <si>
    <t>Schedule basis/narrative</t>
  </si>
  <si>
    <t>Prepare Linear Schedule (TiLos)</t>
  </si>
  <si>
    <t>Implement WBS Structure</t>
  </si>
  <si>
    <t>Review cash in/out and cost curves</t>
  </si>
  <si>
    <t>Determine cost coding for budget</t>
  </si>
  <si>
    <t>Determine estimate basis</t>
  </si>
  <si>
    <t>System implementation (Oracle/JDE/PM+)</t>
  </si>
  <si>
    <t>Implement Document Management System</t>
  </si>
  <si>
    <t>Review Key Personnel/Org Chart</t>
  </si>
  <si>
    <t>Project Initiation</t>
  </si>
  <si>
    <t>Secondement of project controls key personnel and support staff to project</t>
  </si>
  <si>
    <t>Complete configuration of PM and EDM Systems</t>
  </si>
  <si>
    <t>Produce project procedures, guidelines and process flows</t>
  </si>
  <si>
    <t>Produce forms and templates for document management</t>
  </si>
  <si>
    <t>Initiate / Develop automated workflows</t>
  </si>
  <si>
    <t>Transfer Estimate to Budget and freeze baseline budget</t>
  </si>
  <si>
    <t>Work with JV Partners</t>
  </si>
  <si>
    <t>Start-Up Checklist</t>
  </si>
  <si>
    <t>Finalize Baseline Schedule</t>
  </si>
  <si>
    <t>lightgreen</t>
  </si>
  <si>
    <t>lightpink</t>
  </si>
  <si>
    <t>lavender</t>
  </si>
  <si>
    <t>lemonchiffon</t>
  </si>
  <si>
    <t>chocolate</t>
  </si>
  <si>
    <t>lightgray</t>
  </si>
  <si>
    <t>I - Pre-RFQ</t>
  </si>
  <si>
    <t>II - RFQ</t>
  </si>
  <si>
    <t>III - RFP</t>
  </si>
  <si>
    <t>IV - Client Evaluation</t>
  </si>
  <si>
    <t>V - Prefered Proponent</t>
  </si>
  <si>
    <t>VI - Project Delivery</t>
  </si>
  <si>
    <t>VII - Handover</t>
  </si>
  <si>
    <t>VIII - Close out</t>
  </si>
  <si>
    <t>Project Agreement Formation Phase 1 - Team Formation</t>
  </si>
  <si>
    <t>Project Agreement Formation Phase 2 - Qualification</t>
  </si>
  <si>
    <t>Project Agreement Formation Phase 3 - Proposal</t>
  </si>
  <si>
    <t>Project Agreement Formation Phase 4 - Preferred Proponent</t>
  </si>
  <si>
    <t>Strategic Planning &amp; Positionning; Opportunity Assessment</t>
  </si>
  <si>
    <t>Capture Planning</t>
  </si>
  <si>
    <t>Proposal planning, proposal preparation  &amp; Opportunity Closing</t>
  </si>
  <si>
    <t>Review Past Pursuit Data / Lessons Learned</t>
  </si>
  <si>
    <t>Define Procurement Strategy</t>
  </si>
  <si>
    <t>Define Proposal Roles &amp; Responsabilities</t>
  </si>
  <si>
    <t>Define Proposal Forms &amp; Templates</t>
  </si>
  <si>
    <t>Define Proposal Filing Structure</t>
  </si>
  <si>
    <t>Define Proposal Tools &amp; Systems</t>
  </si>
  <si>
    <t>Assist Proposal Preparation</t>
  </si>
  <si>
    <t>Package Listing</t>
  </si>
  <si>
    <t>Identify Preliminary Bidders List</t>
  </si>
  <si>
    <t>Identify Proposal Procurement Manager</t>
  </si>
  <si>
    <t>Initiate Start-Up Checklist</t>
  </si>
  <si>
    <t>0.0.00.00.00.00.00.00</t>
  </si>
  <si>
    <t>1.0.00.00.00.00.00.00</t>
  </si>
  <si>
    <t>2.0.00.00.00.00.00.00</t>
  </si>
  <si>
    <t>3.0.00.00.00.00.00.00</t>
  </si>
  <si>
    <t>4.0.00.00.00.00.00.00</t>
  </si>
  <si>
    <t>5.0.00.00.00.00.00.00</t>
  </si>
  <si>
    <t>1.1.00.00.00.00.00.00</t>
  </si>
  <si>
    <t>2.1.00.00.00.00.00.00</t>
  </si>
  <si>
    <t>3.1.00.00.00.00.00.00</t>
  </si>
  <si>
    <t>3.2.00.00.00.00.00.00</t>
  </si>
  <si>
    <t>4.1.00.00.00.00.00.00</t>
  </si>
  <si>
    <t>5.1.00.00.00.00.00.00</t>
  </si>
  <si>
    <t>5.2.00.00.00.00.00.00</t>
  </si>
  <si>
    <t>5.3.00.00.00.00.00.00</t>
  </si>
  <si>
    <t>1.1.01.00.00.00.00.00</t>
  </si>
  <si>
    <t>1.1.02.00.00.00.00.00</t>
  </si>
  <si>
    <t>1.1.03.00.00.00.00.00</t>
  </si>
  <si>
    <t>1.1.04.00.00.00.00.00</t>
  </si>
  <si>
    <t>1.1.05.00.00.00.00.00</t>
  </si>
  <si>
    <t>1.1.06.00.00.00.00.00</t>
  </si>
  <si>
    <t>1.1.07.00.00.00.00.00</t>
  </si>
  <si>
    <t>1.1.08.00.00.00.00.00</t>
  </si>
  <si>
    <t>1.1.09.00.00.00.00.00</t>
  </si>
  <si>
    <t>1.1.10.00.00.00.00.00</t>
  </si>
  <si>
    <t>1.1.11.00.00.00.00.00</t>
  </si>
  <si>
    <t>1.1.12.00.00.00.00.00</t>
  </si>
  <si>
    <t>1.1.13.00.00.00.00.00</t>
  </si>
  <si>
    <t>1.1.14.00.00.00.00.00</t>
  </si>
  <si>
    <t>1.1.15.00.00.00.00.00</t>
  </si>
  <si>
    <t>1.1.16.00.00.00.00.00</t>
  </si>
  <si>
    <t>1.1.17.00.00.00.00.00</t>
  </si>
  <si>
    <t>1.1.18.00.00.00.00.00</t>
  </si>
  <si>
    <t>2.1.01.00.00.00.00.00</t>
  </si>
  <si>
    <t>2.1.02.00.00.00.00.00</t>
  </si>
  <si>
    <t>2.1.03.00.00.00.00.00</t>
  </si>
  <si>
    <t>2.1.04.00.00.00.00.00</t>
  </si>
  <si>
    <t>2.1.05.00.00.00.00.00</t>
  </si>
  <si>
    <t>2.1.06.00.00.00.00.00</t>
  </si>
  <si>
    <t>2.1.07.00.00.00.00.00</t>
  </si>
  <si>
    <t>2.1.08.00.00.00.00.00</t>
  </si>
  <si>
    <t>2.1.09.00.00.00.00.00</t>
  </si>
  <si>
    <t>2.1.10.00.00.00.00.00</t>
  </si>
  <si>
    <t>2.1.11.00.00.00.00.00</t>
  </si>
  <si>
    <t>2.1.12.00.00.00.00.00</t>
  </si>
  <si>
    <t>2.1.13.00.00.00.00.00</t>
  </si>
  <si>
    <t>2.1.14.00.00.00.00.00</t>
  </si>
  <si>
    <t>2.1.15.00.00.00.00.00</t>
  </si>
  <si>
    <t>2.1.16.00.00.00.00.00</t>
  </si>
  <si>
    <t>2.1.17.00.00.00.00.00</t>
  </si>
  <si>
    <t>2.1.18.00.00.00.00.00</t>
  </si>
  <si>
    <t>3.1.01.00.00.00.00.00</t>
  </si>
  <si>
    <t>3.1.02.00.00.00.00.00</t>
  </si>
  <si>
    <t>3.1.03.00.00.00.00.00</t>
  </si>
  <si>
    <t>3.1.04.00.00.00.00.00</t>
  </si>
  <si>
    <t>3.1.05.00.00.00.00.00</t>
  </si>
  <si>
    <t>3.1.06.00.00.00.00.00</t>
  </si>
  <si>
    <t>3.1.07.00.00.00.00.00</t>
  </si>
  <si>
    <t>3.1.08.00.00.00.00.00</t>
  </si>
  <si>
    <t>3.1.09.00.00.00.00.00</t>
  </si>
  <si>
    <t>3.1.10.00.00.00.00.00</t>
  </si>
  <si>
    <t>3.1.11.00.00.00.00.00</t>
  </si>
  <si>
    <t>3.1.12.00.00.00.00.00</t>
  </si>
  <si>
    <t>3.1.13.00.00.00.00.00</t>
  </si>
  <si>
    <t>3.1.14.00.00.00.00.00</t>
  </si>
  <si>
    <t>3.1.15.00.00.00.00.00</t>
  </si>
  <si>
    <t>3.1.16.00.00.00.00.00</t>
  </si>
  <si>
    <t>3.1.17.00.00.00.00.00</t>
  </si>
  <si>
    <t>3.1.18.00.00.00.00.00</t>
  </si>
  <si>
    <t>3.2.01.00.00.00.00.00</t>
  </si>
  <si>
    <t>3.2.02.00.00.00.00.00</t>
  </si>
  <si>
    <t>3.2.03.00.00.00.00.00</t>
  </si>
  <si>
    <t>3.2.04.00.00.00.00.00</t>
  </si>
  <si>
    <t>3.2.05.00.00.00.00.00</t>
  </si>
  <si>
    <t>3.2.06.00.00.00.00.00</t>
  </si>
  <si>
    <t>3.2.07.00.00.00.00.00</t>
  </si>
  <si>
    <t>3.2.08.00.00.00.00.00</t>
  </si>
  <si>
    <t>3.2.09.00.00.00.00.00</t>
  </si>
  <si>
    <t>3.2.10.00.00.00.00.00</t>
  </si>
  <si>
    <t>3.2.11.00.00.00.00.00</t>
  </si>
  <si>
    <t>3.2.12.00.00.00.00.00</t>
  </si>
  <si>
    <t>3.2.13.00.00.00.00.00</t>
  </si>
  <si>
    <t>3.2.14.00.00.00.00.00</t>
  </si>
  <si>
    <t>3.2.15.00.00.00.00.00</t>
  </si>
  <si>
    <t>3.2.16.00.00.00.00.00</t>
  </si>
  <si>
    <t>3.2.17.00.00.00.00.00</t>
  </si>
  <si>
    <t>3.2.18.00.00.00.00.00</t>
  </si>
  <si>
    <t>4.1.01.00.00.00.00.00</t>
  </si>
  <si>
    <t>4.1.02.00.00.00.00.00</t>
  </si>
  <si>
    <t>4.1.03.00.00.00.00.00</t>
  </si>
  <si>
    <t>4.1.04.00.00.00.00.00</t>
  </si>
  <si>
    <t>4.1.05.00.00.00.00.00</t>
  </si>
  <si>
    <t>4.1.06.00.00.00.00.00</t>
  </si>
  <si>
    <t>4.1.07.00.00.00.00.00</t>
  </si>
  <si>
    <t>4.1.08.00.00.00.00.00</t>
  </si>
  <si>
    <t>4.1.09.00.00.00.00.00</t>
  </si>
  <si>
    <t>4.1.10.00.00.00.00.00</t>
  </si>
  <si>
    <t>4.1.11.00.00.00.00.00</t>
  </si>
  <si>
    <t>4.1.12.00.00.00.00.00</t>
  </si>
  <si>
    <t>4.1.13.00.00.00.00.00</t>
  </si>
  <si>
    <t>4.1.14.00.00.00.00.00</t>
  </si>
  <si>
    <t>4.1.15.00.00.00.00.00</t>
  </si>
  <si>
    <t>4.1.16.00.00.00.00.00</t>
  </si>
  <si>
    <t>4.1.17.00.00.00.00.00</t>
  </si>
  <si>
    <t>4.1.18.00.00.00.00.00</t>
  </si>
  <si>
    <t>5.1.01.00.00.00.00.00</t>
  </si>
  <si>
    <t>5.1.02.00.00.00.00.00</t>
  </si>
  <si>
    <t>5.1.03.00.00.00.00.00</t>
  </si>
  <si>
    <t>5.1.04.00.00.00.00.00</t>
  </si>
  <si>
    <t>5.1.05.00.00.00.00.00</t>
  </si>
  <si>
    <t>5.1.06.00.00.00.00.00</t>
  </si>
  <si>
    <t>5.1.07.00.00.00.00.00</t>
  </si>
  <si>
    <t>5.1.08.00.00.00.00.00</t>
  </si>
  <si>
    <t>5.1.09.00.00.00.00.00</t>
  </si>
  <si>
    <t>5.1.10.00.00.00.00.00</t>
  </si>
  <si>
    <t>5.1.11.00.00.00.00.00</t>
  </si>
  <si>
    <t>5.1.12.00.00.00.00.00</t>
  </si>
  <si>
    <t>5.1.13.00.00.00.00.00</t>
  </si>
  <si>
    <t>5.1.14.00.00.00.00.00</t>
  </si>
  <si>
    <t>5.1.15.00.00.00.00.00</t>
  </si>
  <si>
    <t>5.1.16.00.00.00.00.00</t>
  </si>
  <si>
    <t>5.1.17.00.00.00.00.00</t>
  </si>
  <si>
    <t>5.1.18.00.00.00.00.00</t>
  </si>
  <si>
    <t>5.2.01.00.00.00.00.00</t>
  </si>
  <si>
    <t>5.2.02.00.00.00.00.00</t>
  </si>
  <si>
    <t>5.2.03.00.00.00.00.00</t>
  </si>
  <si>
    <t>5.2.04.00.00.00.00.00</t>
  </si>
  <si>
    <t>5.2.05.00.00.00.00.00</t>
  </si>
  <si>
    <t>5.2.06.00.00.00.00.00</t>
  </si>
  <si>
    <t>5.2.07.00.00.00.00.00</t>
  </si>
  <si>
    <t>5.2.08.00.00.00.00.00</t>
  </si>
  <si>
    <t>5.2.09.00.00.00.00.00</t>
  </si>
  <si>
    <t>5.2.10.00.00.00.00.00</t>
  </si>
  <si>
    <t>5.2.11.00.00.00.00.00</t>
  </si>
  <si>
    <t>5.2.12.00.00.00.00.00</t>
  </si>
  <si>
    <t>5.2.13.00.00.00.00.00</t>
  </si>
  <si>
    <t>5.2.14.00.00.00.00.00</t>
  </si>
  <si>
    <t>5.2.15.00.00.00.00.00</t>
  </si>
  <si>
    <t>5.2.16.00.00.00.00.00</t>
  </si>
  <si>
    <t>5.2.17.00.00.00.00.00</t>
  </si>
  <si>
    <t>5.2.18.00.00.00.00.00</t>
  </si>
  <si>
    <t>5.3.01.00.00.00.00.00</t>
  </si>
  <si>
    <t>5.3.02.00.00.00.00.00</t>
  </si>
  <si>
    <t>5.3.03.00.00.00.00.00</t>
  </si>
  <si>
    <t>5.3.04.00.00.00.00.00</t>
  </si>
  <si>
    <t>5.3.05.00.00.00.00.00</t>
  </si>
  <si>
    <t>5.3.06.00.00.00.00.00</t>
  </si>
  <si>
    <t>5.3.07.00.00.00.00.00</t>
  </si>
  <si>
    <t>5.3.08.00.00.00.00.00</t>
  </si>
  <si>
    <t>5.3.09.00.00.00.00.00</t>
  </si>
  <si>
    <t>5.3.10.00.00.00.00.00</t>
  </si>
  <si>
    <t>5.3.11.00.00.00.00.00</t>
  </si>
  <si>
    <t>5.3.12.00.00.00.00.00</t>
  </si>
  <si>
    <t>5.3.13.00.00.00.00.00</t>
  </si>
  <si>
    <t>5.3.14.00.00.00.00.00</t>
  </si>
  <si>
    <t>5.3.15.00.00.00.00.00</t>
  </si>
  <si>
    <t>5.3.16.00.00.00.00.00</t>
  </si>
  <si>
    <t>5.3.17.00.00.00.00.00</t>
  </si>
  <si>
    <t>5.3.18.00.00.00.00.00</t>
  </si>
  <si>
    <t>1.1.04.01.00.00.00.00</t>
  </si>
  <si>
    <t>1.1.04.02.00.00.00.00</t>
  </si>
  <si>
    <t>1.1.04.03.00.00.00.00</t>
  </si>
  <si>
    <t>1.1.04.04.00.00.00.00</t>
  </si>
  <si>
    <t>1.1.04.05.00.00.00.00</t>
  </si>
  <si>
    <t>1.1.08.01.00.00.00.00</t>
  </si>
  <si>
    <t>1.1.08.02.00.00.00.00</t>
  </si>
  <si>
    <t>1.1.11.01.00.00.00.00</t>
  </si>
  <si>
    <t>1.1.11.02.00.00.00.00</t>
  </si>
  <si>
    <t>1.1.04.02.01.00.00.00</t>
  </si>
  <si>
    <t>1.1.04.02.02.00.00.00</t>
  </si>
  <si>
    <t>1.1.04.02.03.00.00.00</t>
  </si>
  <si>
    <t>2.1.04.01.00.00.00.00</t>
  </si>
  <si>
    <t>2.1.04.02.00.00.00.00</t>
  </si>
  <si>
    <t>2.1.04.03.00.00.00.00</t>
  </si>
  <si>
    <t>2.1.04.04.00.00.00.00</t>
  </si>
  <si>
    <t>2.1.11.01.00.00.00.00</t>
  </si>
  <si>
    <t>2.1.04.01.01.00.00.00</t>
  </si>
  <si>
    <t>2.1.04.01.02.00.00.00</t>
  </si>
  <si>
    <t>2.1.04.01.03.00.00.00</t>
  </si>
  <si>
    <t>2.1.04.01.04.00.00.00</t>
  </si>
  <si>
    <t>2.1.04.01.05.00.00.00</t>
  </si>
  <si>
    <t>2.1.04.01.06.00.00.00</t>
  </si>
  <si>
    <t>2.1.04.02.01.00.00.00</t>
  </si>
  <si>
    <t>2.1.04.02.02.00.00.00</t>
  </si>
  <si>
    <t>2.1.04.02.03.00.00.00</t>
  </si>
  <si>
    <t>2.1.08.01.00.00.00.00</t>
  </si>
  <si>
    <t>2.1.08.02.00.00.00.00</t>
  </si>
  <si>
    <t>2.1.08.03.00.00.00.00</t>
  </si>
  <si>
    <t>2.1.11.01.01.00.00.00</t>
  </si>
  <si>
    <t>2.1.11.01.02.00.00.00</t>
  </si>
  <si>
    <t>2.1.11.01.03.00.00.00</t>
  </si>
  <si>
    <t>2.1.11.01.04.00.00.00</t>
  </si>
  <si>
    <t>2.1.11.01.05.00.00.00</t>
  </si>
  <si>
    <t>2.1.11.01.06.00.00.00</t>
  </si>
  <si>
    <t>2.1.11.01.07.00.00.00</t>
  </si>
  <si>
    <t>2.1.11.01.08.00.00.00</t>
  </si>
  <si>
    <t>2.1.11.01.09.00.00.00</t>
  </si>
  <si>
    <t>2.1.11.01.10.00.00.00</t>
  </si>
  <si>
    <t>2.1.11.01.11.00.00.00</t>
  </si>
  <si>
    <t>3.1.04.01.00.00.00.00</t>
  </si>
  <si>
    <t>3.1.04.02.00.00.00.00</t>
  </si>
  <si>
    <t>3.1.04.03.00.00.00.00</t>
  </si>
  <si>
    <t>3.1.04.04.00.00.00.00</t>
  </si>
  <si>
    <t>3.1.04.05.00.00.00.00</t>
  </si>
  <si>
    <t>3.1.04.06.00.00.00.00</t>
  </si>
  <si>
    <t>3.1.04.07.00.00.00.00</t>
  </si>
  <si>
    <t>3.1.04.08.00.00.00.00</t>
  </si>
  <si>
    <t>3.1.04.09.00.00.00.00</t>
  </si>
  <si>
    <t>3.1.04.10.00.00.00.00</t>
  </si>
  <si>
    <t>5.1.04.01.00.00.00.00</t>
  </si>
  <si>
    <t>5.1.04.02.00.00.00.00</t>
  </si>
  <si>
    <t>5.1.04.02.01.00.00.00</t>
  </si>
  <si>
    <t>5.1.04.02.02.00.00.00</t>
  </si>
  <si>
    <t>5.1.04.01.01.00.00.00</t>
  </si>
  <si>
    <t>5.1.04.01.02.00.00.00</t>
  </si>
  <si>
    <t>3.1.04.05.01.00.00.00</t>
  </si>
  <si>
    <t>3.1.04.05.02.00.00.00</t>
  </si>
  <si>
    <t>3.1.04.08.01.00.00.00</t>
  </si>
  <si>
    <t>3.1.04.08.02.00.00.00</t>
  </si>
  <si>
    <t>3.1.04.08.03.00.00.00</t>
  </si>
  <si>
    <t>3.1.04.09.01.00.00.00</t>
  </si>
  <si>
    <t>3.1.04.09.02.00.00.00</t>
  </si>
  <si>
    <t>3.2.04.01.00.00.00.00</t>
  </si>
  <si>
    <t>3.2.04.01.01.00.00.00</t>
  </si>
  <si>
    <t>3.2.04.01.02.00.00.00</t>
  </si>
  <si>
    <t>3.2.04.02.00.00.00.00</t>
  </si>
  <si>
    <t>3.2.08.01.00.00.00.00</t>
  </si>
  <si>
    <t>3.2.08.02.00.00.00.00</t>
  </si>
  <si>
    <t>3.2.08.03.00.00.00.00</t>
  </si>
  <si>
    <t>3.2.08.01.01.00.00.00</t>
  </si>
  <si>
    <t>3.2.08.01.02.00.00.00</t>
  </si>
  <si>
    <t>3.2.08.02.01.00.00.00</t>
  </si>
  <si>
    <t>3.2.08.02.02.00.00.00</t>
  </si>
  <si>
    <t>3.2.08.02.03.00.00.00</t>
  </si>
  <si>
    <t>3.2.08.02.04.00.00.00</t>
  </si>
  <si>
    <t>3.2.08.02.05.00.00.00</t>
  </si>
  <si>
    <t>3.2.08.02.06.00.00.00</t>
  </si>
  <si>
    <t>3.2.08.02.07.00.00.00</t>
  </si>
  <si>
    <t>3.2.08.02.08.00.00.00</t>
  </si>
  <si>
    <t>3.1.08.01.00.00.00.00</t>
  </si>
  <si>
    <t>3.1.08.02.00.00.00.00</t>
  </si>
  <si>
    <t>3.1.08.02.01.00.00.00</t>
  </si>
  <si>
    <t>3.1.08.02.02.00.00.00</t>
  </si>
  <si>
    <t>3.1.08.02.03.00.00.00</t>
  </si>
  <si>
    <t>3.1.08.03.00.00.00.00</t>
  </si>
  <si>
    <t>3.1.08.04.00.00.00.00</t>
  </si>
  <si>
    <t>4.1.04.01.00.00.00.00</t>
  </si>
  <si>
    <t>4.1.04.02.00.00.00.00</t>
  </si>
  <si>
    <t>4.1.04.03.00.00.00.00</t>
  </si>
  <si>
    <t>4.1.04.04.00.00.00.00</t>
  </si>
  <si>
    <t>4.1.04.05.00.00.00.00</t>
  </si>
  <si>
    <t>4.1.04.06.00.00.00.00</t>
  </si>
  <si>
    <t>4.1.08.01.00.00.00.00</t>
  </si>
  <si>
    <t>4.1.08.02.00.00.00.00</t>
  </si>
  <si>
    <t>4.1.08.03.00.00.00.00</t>
  </si>
  <si>
    <t>4.1.08.04.00.00.00.00</t>
  </si>
  <si>
    <t>4.1.04.01.01.00.00.00</t>
  </si>
  <si>
    <t>4.1.04.01.02.00.00.00</t>
  </si>
  <si>
    <t>4.1.04.01.03.00.00.00</t>
  </si>
  <si>
    <t>4.1.04.02.01.00.00.00</t>
  </si>
  <si>
    <t>4.1.04.02.02.00.00.00</t>
  </si>
  <si>
    <t>4.1.04.04.01.00.00.00</t>
  </si>
  <si>
    <t>4.1.04.04.02.00.00.00</t>
  </si>
  <si>
    <t>4.1.04.04.03.00.00.00</t>
  </si>
  <si>
    <t>4.1.04.04.04.00.00.00</t>
  </si>
  <si>
    <t>4.1.04.06.01.00.00.00</t>
  </si>
  <si>
    <t>4.1.04.06.02.00.00.00</t>
  </si>
  <si>
    <t>4.1.04.06.03.00.00.00</t>
  </si>
  <si>
    <t>4.1.04.06.04.00.00.00</t>
  </si>
  <si>
    <t>4.1.04.06.05.00.00.00</t>
  </si>
  <si>
    <t>4.1.04.06.06.00.00.00</t>
  </si>
  <si>
    <t>4.1.08.02.01.00.00.00</t>
  </si>
  <si>
    <t>4.1.08.02.02.00.00.00</t>
  </si>
  <si>
    <t>2.1.11.02.00.00.00.00</t>
  </si>
  <si>
    <t>Project Execution Phase</t>
  </si>
  <si>
    <t>Post-Bid Clarifications/client Evaluation</t>
  </si>
  <si>
    <t>Preferred Proponent Nomination</t>
  </si>
  <si>
    <t>"Commissioning, Testing &amp; Handover"</t>
  </si>
  <si>
    <t>DB Project Close-out</t>
  </si>
  <si>
    <t>3.1.11.01.00.00.00.00</t>
  </si>
  <si>
    <t>3.1.11.02.00.00.00.00</t>
  </si>
  <si>
    <t>3.1.11.03.00.00.00.00</t>
  </si>
  <si>
    <t>3.1.11.04.00.00.00.00</t>
  </si>
  <si>
    <t>3.1.11.05.00.00.00.00</t>
  </si>
  <si>
    <t>3.1.11.06.00.00.00.00</t>
  </si>
  <si>
    <t>3.1.11.07.00.00.00.00</t>
  </si>
  <si>
    <t>Proposal Preparation - Procurement</t>
  </si>
  <si>
    <t>Project MFL</t>
  </si>
  <si>
    <t>Bid Analysis</t>
  </si>
  <si>
    <t>Bid approved for submission in accordance with LOA 1009 &amp; SOP 2221</t>
  </si>
  <si>
    <t>3.1.08.05.00.00.00.00</t>
  </si>
  <si>
    <t>3.1.08.06.00.00.00.00</t>
  </si>
  <si>
    <t>3.1.08.07.00.00.00.00</t>
  </si>
  <si>
    <t>3.1.08.08.00.00.00.00</t>
  </si>
  <si>
    <t>3.1.08.09.00.00.00.00</t>
  </si>
  <si>
    <t>3.1.11.01.01.00.00.00</t>
  </si>
  <si>
    <t>3.1.11.01.02.00.00.00</t>
  </si>
  <si>
    <t>3.1.11.01.03.00.00.00</t>
  </si>
  <si>
    <t>3.1.11.01.04.00.00.00</t>
  </si>
  <si>
    <t>3.1.11.01.05.00.00.00</t>
  </si>
  <si>
    <t>3.1.11.01.06.00.00.00</t>
  </si>
  <si>
    <t>Define Proposal Procurement Processes/Procedures</t>
  </si>
  <si>
    <t>Update/Review Startup Checklist</t>
  </si>
  <si>
    <t>Finalize Proposal Forms &amp; Templates</t>
  </si>
  <si>
    <t>Finalize Proposal Procurement Strategy/Plan</t>
  </si>
  <si>
    <t>Implement Proposal Tools &amp; Systems</t>
  </si>
  <si>
    <t>Assign Proposal Procurement Manager &amp; Support Staff</t>
  </si>
  <si>
    <t>3.1.11.03.01.00.00.00</t>
  </si>
  <si>
    <t>Define MFL</t>
  </si>
  <si>
    <t>3.1.11.06.01.00.00.00</t>
  </si>
  <si>
    <t>3.1.11.06.02.00.00.00</t>
  </si>
  <si>
    <t>3.1.11.06.03.00.00.00</t>
  </si>
  <si>
    <t>3.2.11.01.01.00.00.00</t>
  </si>
  <si>
    <t>3.2.11.01.02.00.00.00</t>
  </si>
  <si>
    <t>Prepare handover from Pursuit to Execution</t>
  </si>
  <si>
    <t>RFI support</t>
  </si>
  <si>
    <t>Introduction of Project Procurement Plan to Partners</t>
  </si>
  <si>
    <t>Initiate/Finalize Business Partner Validations</t>
  </si>
  <si>
    <t>4.1.11.01.00.00.00.00</t>
  </si>
  <si>
    <t>4.1.11.02.00.00.00.00</t>
  </si>
  <si>
    <t>4.1.11.03.00.00.00.00</t>
  </si>
  <si>
    <t>4.1.11.04.00.00.00.00</t>
  </si>
  <si>
    <t>4.1.11.05.00.00.00.00</t>
  </si>
  <si>
    <t>4.1.11.06.00.00.00.00</t>
  </si>
  <si>
    <t>Project Preparation</t>
  </si>
  <si>
    <t>4.1.11.02.01.00.00.00</t>
  </si>
  <si>
    <t>4.1.11.02.02.00.00.00</t>
  </si>
  <si>
    <t>4.1.11.02.03.00.00.00</t>
  </si>
  <si>
    <t>4.1.11.02.04.00.00.00</t>
  </si>
  <si>
    <t>4.1.11.02.05.00.00.00</t>
  </si>
  <si>
    <t>4.1.11.02.06.00.00.00</t>
  </si>
  <si>
    <t>4.1.11.02.07.00.00.00</t>
  </si>
  <si>
    <t>4.1.11.02.08.00.00.00</t>
  </si>
  <si>
    <t>Assign Key Ressources for Early Work Packages</t>
  </si>
  <si>
    <t>Update &amp; Implement Package Listing (CPN) &amp; Bidders List</t>
  </si>
  <si>
    <t>"Update &amp; Implement Project Procurement Forms, Templates, Procedures &amp; Processes"</t>
  </si>
  <si>
    <t>Update &amp; Implement Tools &amp; Systems (i.e SharePoint/GPS)</t>
  </si>
  <si>
    <t>Finalize &amp; Implement Project Procurement Strategy</t>
  </si>
  <si>
    <t>Update Recommended Project MFL</t>
  </si>
  <si>
    <t>Update Startup Checklist</t>
  </si>
  <si>
    <t>Commencement of long lead items</t>
  </si>
  <si>
    <t>Key Concerns Guidelines Manual Preparation</t>
  </si>
  <si>
    <t>5.1.11.01.00.00.00.00</t>
  </si>
  <si>
    <t>5.1.11.02.00.00.00.00</t>
  </si>
  <si>
    <t>5.1.11.03.00.00.00.00</t>
  </si>
  <si>
    <t>5.1.11.04.00.00.00.00</t>
  </si>
  <si>
    <t>5.1.11.05.00.00.00.00</t>
  </si>
  <si>
    <t>5.1.11.06.00.00.00.00</t>
  </si>
  <si>
    <t>5.1.11.07.00.00.00.00</t>
  </si>
  <si>
    <t>Procurment Finalization</t>
  </si>
  <si>
    <t>Ongoing Tasks</t>
  </si>
  <si>
    <t>Execute Procurement Management</t>
  </si>
  <si>
    <t>Project Peer Reviews</t>
  </si>
  <si>
    <t>5.1.11.02.01.00.00.00</t>
  </si>
  <si>
    <t>5.1.11.02.02.00.00.00</t>
  </si>
  <si>
    <t>5.1.11.03.01.00.00.00</t>
  </si>
  <si>
    <t>5.1.11.03.02.00.00.00</t>
  </si>
  <si>
    <t>5.1.11.03.03.00.00.00</t>
  </si>
  <si>
    <t>Assignment of Procurement Staff per Confirmed MFL</t>
  </si>
  <si>
    <t>Update/Review Startup Checklist &amp; Transition to 100 Day Review</t>
  </si>
  <si>
    <t>Finalize Project Procurement Plan</t>
  </si>
  <si>
    <t>5.1.11.04.01.00.00.00</t>
  </si>
  <si>
    <t>5.1.11.04.02.00.00.00</t>
  </si>
  <si>
    <t>5.1.11.04.03.00.00.00</t>
  </si>
  <si>
    <t>5.1.11.04.04.00.00.00</t>
  </si>
  <si>
    <t>Training</t>
  </si>
  <si>
    <t>Guidance</t>
  </si>
  <si>
    <t xml:space="preserve">Support </t>
  </si>
  <si>
    <t>Monitor</t>
  </si>
  <si>
    <t>5.1.11.04.05.00.00.00</t>
  </si>
  <si>
    <t>5.1.11.04.06.00.00.00</t>
  </si>
  <si>
    <t>5.1.11.04.07.00.00.00</t>
  </si>
  <si>
    <t>5.1.11.04.08.00.00.00</t>
  </si>
  <si>
    <t>Review</t>
  </si>
  <si>
    <t>Audits</t>
  </si>
  <si>
    <t>Health-Checks</t>
  </si>
  <si>
    <t>Recommendations</t>
  </si>
  <si>
    <t>5.1.11.05.01.00.00.00</t>
  </si>
  <si>
    <t>5.1.11.05.02.00.00.00</t>
  </si>
  <si>
    <t>Pre-Award</t>
  </si>
  <si>
    <t>Post-Award</t>
  </si>
  <si>
    <t>Purchasing</t>
  </si>
  <si>
    <t>Subcontract Formation</t>
  </si>
  <si>
    <t>5.1.11.05.01.01.00.00</t>
  </si>
  <si>
    <t>5.1.11.05.01.02.00.00</t>
  </si>
  <si>
    <t>5.1.11.05.02.01.00.00</t>
  </si>
  <si>
    <t>5.1.11.05.02.02.00.00</t>
  </si>
  <si>
    <t>5.1.11.05.02.03.00.00</t>
  </si>
  <si>
    <t>5.1.11.05.02.04.00.00</t>
  </si>
  <si>
    <t>Subcontract Administration</t>
  </si>
  <si>
    <t>Expediting</t>
  </si>
  <si>
    <t>Logistics</t>
  </si>
  <si>
    <t>Materials Management</t>
  </si>
  <si>
    <t>100 Day Review</t>
  </si>
  <si>
    <t>60% of Completion Engineering Review</t>
  </si>
  <si>
    <t>30% of Construction Review</t>
  </si>
  <si>
    <t>5.1.11.06.01.00.00.00</t>
  </si>
  <si>
    <t>5.1.11.06.02.00.00.00</t>
  </si>
  <si>
    <t>5.1.11.06.03.00.00.00</t>
  </si>
  <si>
    <t>5.1.11.06.04.00.00.00</t>
  </si>
  <si>
    <t>Review as requested by the CEO, CFO, EVP IMS or Sector President</t>
  </si>
  <si>
    <t>Preparation of Project Lessons Learned (6 months prior to project close-out)</t>
  </si>
  <si>
    <t>5.2.11.01.00.00.00.00</t>
  </si>
  <si>
    <t>5.2.11.02.00.00.00.00</t>
  </si>
  <si>
    <t>5.2.11.03.00.00.00.00</t>
  </si>
  <si>
    <t>Finalization of functional responsibilities and close-out of lessons learned</t>
  </si>
  <si>
    <t>Operations &amp; Maintenance Execution</t>
  </si>
  <si>
    <t>5.2.04.01.00.00.00.00</t>
  </si>
  <si>
    <t>5.2.04.02.00.00.00.00</t>
  </si>
  <si>
    <t>5.2.04.03.00.00.00.00</t>
  </si>
  <si>
    <t>5.2.04.04.00.00.00.00</t>
  </si>
  <si>
    <t>5.2.04.05.00.00.00.00</t>
  </si>
  <si>
    <t>5.3.11.01.00.00.00.0</t>
  </si>
  <si>
    <t>5.3.11.02.00.00.00.0</t>
  </si>
  <si>
    <t>Execute Procurement Finalization</t>
  </si>
  <si>
    <t>Execute Package Closeouts</t>
  </si>
  <si>
    <t>5.3.11.03.00.00.00.0</t>
  </si>
  <si>
    <t>Warranties Management</t>
  </si>
  <si>
    <t>Phase</t>
  </si>
  <si>
    <t>Section</t>
  </si>
  <si>
    <t>1-Leadership</t>
  </si>
  <si>
    <t>2-Capital / Equity</t>
  </si>
  <si>
    <t>3-Business Development</t>
  </si>
  <si>
    <t>4-Commercial</t>
  </si>
  <si>
    <t>5-Legal</t>
  </si>
  <si>
    <t>6-Pre-Construction / Bid Team</t>
  </si>
  <si>
    <t>7-Estimation</t>
  </si>
  <si>
    <t>8-Project Controls</t>
  </si>
  <si>
    <t>9-Project Management Systems</t>
  </si>
  <si>
    <t>10-Document Control</t>
  </si>
  <si>
    <t>11-Procurement</t>
  </si>
  <si>
    <t>12-Risk Management</t>
  </si>
  <si>
    <t>13-Quality</t>
  </si>
  <si>
    <t>14-Human Ressources</t>
  </si>
  <si>
    <t>15-(HSSE) Health, Safety, Security Environment</t>
  </si>
  <si>
    <t>16-Engineering</t>
  </si>
  <si>
    <t>17-Construction &amp; Project Management</t>
  </si>
  <si>
    <t>18-Operations &amp; Maintenance</t>
  </si>
  <si>
    <t>List Division</t>
  </si>
  <si>
    <t>InfrastructureLeadership_&lt;color&gt;.png</t>
  </si>
  <si>
    <t>CapitalEquity_&lt;color&gt;.png</t>
  </si>
  <si>
    <t>BusDev_&lt;color&gt;.png</t>
  </si>
  <si>
    <t>Commercial_&lt;color&gt;.png</t>
  </si>
  <si>
    <t>Legal_&lt;color&gt;.png</t>
  </si>
  <si>
    <t>PreConstruction_&lt;color&gt;.png</t>
  </si>
  <si>
    <t>Estimation_&lt;color&gt;.png</t>
  </si>
  <si>
    <t>ProjectControls_&lt;color&gt;.png</t>
  </si>
  <si>
    <t>ProjectManagement_&lt;color&gt;.png</t>
  </si>
  <si>
    <t>DocumentControl_&lt;color&gt;.png</t>
  </si>
  <si>
    <t>Procurement_&lt;color&gt;.png</t>
  </si>
  <si>
    <t>RiskManagement_&lt;color&gt;.png</t>
  </si>
  <si>
    <t>Quality_&lt;color&gt;.png</t>
  </si>
  <si>
    <t>HR_&lt;color&gt;.png</t>
  </si>
  <si>
    <t>HSSE_&lt;color&gt;.png</t>
  </si>
  <si>
    <t>Engineering_&lt;color&gt;.png</t>
  </si>
  <si>
    <t>Construction_&lt;color&gt;.png</t>
  </si>
  <si>
    <t>OperationsMaintenance_&lt;color&gt;.png</t>
  </si>
  <si>
    <t>Process</t>
  </si>
  <si>
    <t>Header</t>
  </si>
  <si>
    <t>Action/Decision</t>
  </si>
  <si>
    <t>Root</t>
  </si>
  <si>
    <t>3.1.08.06.01.00.00.00</t>
  </si>
  <si>
    <t>3.1.08.06.02.00.00.00</t>
  </si>
  <si>
    <t>3.1.08.06.03.00.00.00</t>
  </si>
  <si>
    <t xml:space="preserve">4-Commercial; </t>
  </si>
  <si>
    <t xml:space="preserve">3-Business Development; </t>
  </si>
  <si>
    <t xml:space="preserve">2-Capital / Equity; </t>
  </si>
  <si>
    <t xml:space="preserve">1-Leadership; </t>
  </si>
  <si>
    <t xml:space="preserve">1-Leadership; 2-Capital / Equity; 3-Business Development; 4-Commercial; 5-Legal; 6-Pre-Construction / Bid Team; 7-Estimation;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</si>
  <si>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 xml:space="preserve">5-Legal; </t>
  </si>
  <si>
    <t xml:space="preserve">6-Pre-Construction / Bid Team; </t>
  </si>
  <si>
    <t xml:space="preserve">7-Estimation; </t>
  </si>
  <si>
    <t xml:space="preserve">8-Project Controls; </t>
  </si>
  <si>
    <t xml:space="preserve">9-Project Management Systems; </t>
  </si>
  <si>
    <t xml:space="preserve">10-Document Control; </t>
  </si>
  <si>
    <t xml:space="preserve">11-Procurement; </t>
  </si>
  <si>
    <t xml:space="preserve">12-Risk Management; </t>
  </si>
  <si>
    <t xml:space="preserve">13-Quality; </t>
  </si>
  <si>
    <t xml:space="preserve">14-Human Ressources; </t>
  </si>
  <si>
    <t xml:space="preserve">15-(HSSE) Health, Safety, Security Environment; </t>
  </si>
  <si>
    <t xml:space="preserve">16-Engineering; </t>
  </si>
  <si>
    <t xml:space="preserve">17-Construction &amp; Project Management; </t>
  </si>
  <si>
    <t xml:space="preserve">18-Operations &amp; Maintenance; </t>
  </si>
  <si>
    <t xml:space="preserve">1-Leadership; 2-Capital / Equity; 4-Commercial; 5-Legal; 6-Pre-Construction / Bid Team; 8-Project Controls; 11-Procurement; 12-Risk Management; 17-Construction &amp; Project Management; </t>
  </si>
  <si>
    <t xml:space="preserve">2-Capital / Equity; 4-Commercial; 5-Legal; </t>
  </si>
  <si>
    <t xml:space="preserve">1-Leadership; 2-Capital / Equity; 4-Commercial; 5-Legal; 6-Pre-Construction / Bid Team; 8-Project Controls; 11-Procurement; 12-Risk Management; 14-Human Ressources; 17-Construction &amp; Project Management; </t>
  </si>
  <si>
    <t xml:space="preserve">1-Leadership; 4-Commercial; 14-Human Ressources; 17-Construction &amp; Project Management; </t>
  </si>
  <si>
    <t xml:space="preserve">4-Commercial; 5-Legal; </t>
  </si>
  <si>
    <t>Schedule</t>
  </si>
  <si>
    <t>Cost</t>
  </si>
  <si>
    <t xml:space="preserve">System </t>
  </si>
  <si>
    <t>3.1.08.06.01.01.00.00</t>
  </si>
  <si>
    <t>3.1.08.06.01.02.00.00</t>
  </si>
  <si>
    <t>3.1.08.06.01.03.00.00</t>
  </si>
  <si>
    <t>3.1.08.06.01.04.00.00</t>
  </si>
  <si>
    <t>3.1.08.06.02.01.00.00</t>
  </si>
  <si>
    <t>3.1.08.06.02.02.00.00</t>
  </si>
  <si>
    <t>3.1.08.06.02.03.00.00</t>
  </si>
  <si>
    <t>3.1.08.06.02.04.00.00</t>
  </si>
  <si>
    <t>3.1.08.06.03.01.00.00</t>
  </si>
  <si>
    <t>3.1.08.06.03.02.00.00</t>
  </si>
  <si>
    <t>3.1.08.06.03.03.00.00</t>
  </si>
  <si>
    <t>3.1.08.08.01.00.00.00</t>
  </si>
  <si>
    <t>3.1.08.08.02.00.00.00</t>
  </si>
  <si>
    <t xml:space="preserve">1-Leadership; 2-Capital / Equity; 4-Commercial; 5-Legal; 6-Pre-Construction / Bid Team; 11-Procurement; 12-Risk Management; 17-Construction &amp; Project Management; </t>
  </si>
  <si>
    <t xml:space="preserve">4-Commercial; 8-Project Controls; 11-Procurement; 12-Risk Management; 13-Quality; 16-Engineering; 17-Construction &amp; Project Management; 18-Operations &amp; Maintenance; </t>
  </si>
  <si>
    <t xml:space="preserve">4-Commercial; 6-Pre-Construction / Bid Team; 8-Project Controls; 11-Procurement; 12-Risk Management; 13-Quality; 16-Engineering; 17-Construction &amp; Project Management; 18-Operations &amp; Maintenance; </t>
  </si>
  <si>
    <t xml:space="preserve">8-Project Controls; 17-Construction &amp; Project Management; </t>
  </si>
  <si>
    <t>http://infozone.snclavalin.com/en/files/MFL%20Report%20Designer1-online.pdf</t>
  </si>
  <si>
    <t>http://infozone.snclavalin.com/en/files/1751-en.pdf</t>
  </si>
  <si>
    <t>https://spl.snclavalin.com/business/BCPortal/_layouts/15/start.aspx#/</t>
  </si>
  <si>
    <t>javascript:void(0)</t>
  </si>
  <si>
    <t>http://csb.snclavalin.com/sites/Project_Services/sh/doc/Project%20Services%20ADMIN%20-%20N.%20Roy/P3%20Operating%20Model%20-%20Capital.pdf</t>
  </si>
  <si>
    <t>http://csb.snclavalin.com/sites/Project_Services/sh/doc/Project%20Services%20ADMIN%20-%20N.%20Roy/P3%20Operating%20Model%20-%20Business%20Development.pdf</t>
  </si>
  <si>
    <t>http://csb.snclavalin.com/sites/Project_Services/sh/doc/Project%20Services%20ADMIN%20-%20N.%20Roy/P3%20Operating%20Model%20-%20Commercial.pdf</t>
  </si>
  <si>
    <t>http://csb.snclavalin.com/sites/Project_Services/sh/doc/Project%20Services%20ADMIN%20-%20N.%20Roy/P3%20Operating%20Model%20-%20Legal.pdf</t>
  </si>
  <si>
    <t>http://csb.snclavalin.com/sites/Project_Services/sh/doc/Project%20Services%20ADMIN%20-%20N.%20Roy/P3%20Operating%20Model%20-%20Pre-Construction%20and%20Bid%20Team.pdf</t>
  </si>
  <si>
    <t>http://csb.snclavalin.com/sites/Project_Services/sh/doc/Project%20Services%20ADMIN%20-%20N.%20Roy/P3%20Operating%20Model%20-%20Estimation.pdf</t>
  </si>
  <si>
    <t>http://csb.snclavalin.com/sites/Project_Services/sh/doc/Project%20Services%20ADMIN%20-%20N.%20Roy/P3%20Operating%20Model%20-%20Project%20Controls.pdf</t>
  </si>
  <si>
    <t>http://csb.snclavalin.com/sites/Project_Services/sh/doc/Project%20Services%20ADMIN%20-%20N.%20Roy/P3%20Operating%20Model%20-%20Project%20Management%20Systems.pdf</t>
  </si>
  <si>
    <t>http://csb.snclavalin.com/sites/Project_Services/sh/doc/Project%20Services%20ADMIN%20-%20N.%20Roy/P3%20Operating%20Model%20-%20Document%20Control.pdf</t>
  </si>
  <si>
    <t>http://infozone.snclavalin.com/en/files/1554-procurement-en.pdf</t>
  </si>
  <si>
    <t>http://infozone.snclavalin.com/en/files/2225-project-risk-management-en.pdf</t>
  </si>
  <si>
    <t>http://infozone.snclavalin.com/en/files/1005-quality-en.pdf</t>
  </si>
  <si>
    <t>http://infozone.snclavalin.com/en/files/1400-global-hr-en.pdf</t>
  </si>
  <si>
    <t>http://infozone.snclavalin.com/en/files/1002_en.pdf</t>
  </si>
  <si>
    <t>http://csb.snclavalin.com/sites/Project_Services/sh/doc/Project%20Services%20ADMIN%20-%20N.%20Roy/P3%20Operating%20Model%20-%20Engineering.pdf</t>
  </si>
  <si>
    <t>http://infozone.snclavalin.com/en/files/1550-en.pdf</t>
  </si>
  <si>
    <t>http://csb.snclavalin.com/sites/Project_Services/sh/doc/Project%20Services%20ADMIN%20-%20N.%20Roy/P3%20Operating%20Model%20-%20Operations%20and%20maintenance.pdf</t>
  </si>
  <si>
    <t>http://infozone.snclavalin.com/en/files/create-restructure-wbs-ms-project_en.pdf</t>
  </si>
  <si>
    <t>http://infozone.snclavalin.com/en/files/MFL_onepager_EN.pdf</t>
  </si>
  <si>
    <t>http://infozone.snclavalin.com/en/files/create-wbs-oracle_en.pdf</t>
  </si>
  <si>
    <t>WIDTH</t>
  </si>
  <si>
    <t>HEIGHT</t>
  </si>
  <si>
    <t xml:space="preserve">1-Leadership; 3-Business Development; 4-Commercial; 5-Legal; 6-Pre-Construction / Bid Team; 8-Project Controls; 11-Procurement; 12-Risk Management; 17-Construction &amp; Project Management; </t>
  </si>
  <si>
    <t xml:space="preserve">1-Leadership; 3-Business Development; 4-Commercial; 5-Legal; 6-Pre-Construction / Bid Team; 8-Project Controls; 11-Procurement; 12-Risk Management; 14-Human Ressources; 17-Construction &amp; Project Management; </t>
  </si>
  <si>
    <t xml:space="preserve">1-Leadership; 3-Business Development; 4-Commercial; 14-Human Ressources; 17-Construction &amp; Project Management; </t>
  </si>
  <si>
    <t>1.1.03.01.00.00.00.00</t>
  </si>
  <si>
    <t>1.1.03.02.00.00.00.00</t>
  </si>
  <si>
    <t>1.1.03.03.00.00.00.00</t>
  </si>
  <si>
    <t>4.1.03.01.00.00.00.00</t>
  </si>
  <si>
    <t>Preparation of Bid Lessons Learned</t>
  </si>
  <si>
    <t xml:space="preserve">3-Business Development; 6-Pre-Construction / Bid Team; </t>
  </si>
  <si>
    <t>1.1.02.01.00.00.00.00</t>
  </si>
  <si>
    <t>1.1.02.02.00.00.00.00</t>
  </si>
  <si>
    <t>1.1.02.03.00.00.00.00</t>
  </si>
  <si>
    <t>1.1.02.04.00.00.00.00</t>
  </si>
  <si>
    <t>1.1.02.05.00.00.00.00</t>
  </si>
  <si>
    <t>1.1.02.06.00.00.00.00</t>
  </si>
  <si>
    <t>Assess possible partners - NDA's</t>
  </si>
  <si>
    <t>Equity: consortium Teaming Agreement with Commercial and Legal</t>
  </si>
  <si>
    <t>Equity Memorandum of Understanding</t>
  </si>
  <si>
    <t>2.1.02.01.00.00.00.00</t>
  </si>
  <si>
    <t>2.1.02.02.00.00.00.00</t>
  </si>
  <si>
    <t>2.1.02.03.00.00.00.00</t>
  </si>
  <si>
    <t>2.1.02.04.00.00.00.00</t>
  </si>
  <si>
    <t>2.1.02.05.00.00.00.00</t>
  </si>
  <si>
    <t>2.1.02.06.00.00.00.00</t>
  </si>
  <si>
    <t>Advance Executive Review as per LOA</t>
  </si>
  <si>
    <t>Commence Retaining</t>
  </si>
  <si>
    <t>Identify and confirm lending requirements</t>
  </si>
  <si>
    <t>Identify Key Underwriters (Lenders)</t>
  </si>
  <si>
    <t>Ensure advisors are fully engaged pre-RFQ</t>
  </si>
  <si>
    <t>3.1.02.01.00.00.00.00</t>
  </si>
  <si>
    <t>3.1.02.02.00.00.00.00</t>
  </si>
  <si>
    <t>3.1.02.03.00.00.00.00</t>
  </si>
  <si>
    <t>3.1.02.04.00.00.00.00</t>
  </si>
  <si>
    <t>3.1.02.05.00.00.00.00</t>
  </si>
  <si>
    <t>3.1.02.06.00.00.00.00</t>
  </si>
  <si>
    <t>3.1.02.07.00.00.00.00</t>
  </si>
  <si>
    <t>3.1.02.08.00.00.00.00</t>
  </si>
  <si>
    <t>3.1.02.09.00.00.00.00</t>
  </si>
  <si>
    <t>3.1.02.10.00.00.00.00</t>
  </si>
  <si>
    <t>3.1.02.11.00.00.00.00</t>
  </si>
  <si>
    <t>3.1.02.12.00.00.00.00</t>
  </si>
  <si>
    <t>3.1.02.13.00.00.00.00</t>
  </si>
  <si>
    <t>3.1.02.14.00.00.00.00</t>
  </si>
  <si>
    <t>Lenders Technical Advisor selected (LTA) and appointed</t>
  </si>
  <si>
    <t>Prepare and negotiate Lenders agreements term sheets</t>
  </si>
  <si>
    <t>Equity</t>
  </si>
  <si>
    <t>All term Sheets locked on before contract submission</t>
  </si>
  <si>
    <t>Risk and opportunity workshop</t>
  </si>
  <si>
    <t>SPV</t>
  </si>
  <si>
    <t>Technical Close following bid approval for submission</t>
  </si>
  <si>
    <t>Start building financial model</t>
  </si>
  <si>
    <t>Integration of LTA report</t>
  </si>
  <si>
    <t>Lending Preparation</t>
  </si>
  <si>
    <t xml:space="preserve">2-Capital / Equity; 5-Legal; 6-Pre-Construction / Bid Team; </t>
  </si>
  <si>
    <t xml:space="preserve">2-Capital / Equity; 4-Commercial; 5-Legal; 6-Pre-Construction / Bid Team; 7-Estimation; 8-Project Controls; 11-Procurement; 15-(HSSE) Health, Safety, Security Environment; 16-Engineering; 17-Construction &amp; Project Management; 18-Operations &amp; Maintenance; </t>
  </si>
  <si>
    <t xml:space="preserve">2-Capital / Equity; 4-Commercial; 5-Legal; 6-Pre-Construction / Bid Team; 7-Estimation; 8-Project Controls; 11-Procurement; 16-Engineering; 17-Construction &amp; Project Management; 18-Operations &amp; Maintenance; </t>
  </si>
  <si>
    <t>3.1.02.02.01.00.00.00</t>
  </si>
  <si>
    <t>3.1.02.02.02.00.00.00</t>
  </si>
  <si>
    <t>Day 1 of RFP in to the bid</t>
  </si>
  <si>
    <t>Update each time new costs are provided DB &amp; O&amp;M</t>
  </si>
  <si>
    <t>3.1.02.05.01.00.00.00</t>
  </si>
  <si>
    <t>3.1.02.05.02.00.00.00</t>
  </si>
  <si>
    <t>3.1.02.05.03.00.00.00</t>
  </si>
  <si>
    <t>DB Part 1</t>
  </si>
  <si>
    <t>DB Part 2</t>
  </si>
  <si>
    <t>O&amp;M Part 1</t>
  </si>
  <si>
    <t>3.1.02.05.04.00.00.00</t>
  </si>
  <si>
    <t>3.1.02.05.05.00.00.00</t>
  </si>
  <si>
    <t>3.1.02.05.06.00.00.00</t>
  </si>
  <si>
    <t>3.1.02.05.07.00.00.00</t>
  </si>
  <si>
    <t>O&amp;M Part 2</t>
  </si>
  <si>
    <t>3.1.02.05.08.00.00.00</t>
  </si>
  <si>
    <t>3.1.02.05.09.00.00.00</t>
  </si>
  <si>
    <t>3.1.02.05.10.00.00.00</t>
  </si>
  <si>
    <t>3.1.02.05.11.00.00.00</t>
  </si>
  <si>
    <t>Interface Agreement (IA)</t>
  </si>
  <si>
    <t>Lenders Direct Agreement (LDA)</t>
  </si>
  <si>
    <t>DB</t>
  </si>
  <si>
    <t>LDA &amp; O&amp;M</t>
  </si>
  <si>
    <t>Parent Company Guarantees (PCG)</t>
  </si>
  <si>
    <t>Letters of Credit (LC)</t>
  </si>
  <si>
    <t>Commitment Letters</t>
  </si>
  <si>
    <t>3.1.02.06.01.00.00.00</t>
  </si>
  <si>
    <t>3.1.02.06.02.00.00.00</t>
  </si>
  <si>
    <t>3.1.02.06.03.00.00.00</t>
  </si>
  <si>
    <t>3.1.02.06.04.00.00.00</t>
  </si>
  <si>
    <t>Engage Additional Lenders (short-term debt)</t>
  </si>
  <si>
    <t>Send out lending requirements and NDA's to banks</t>
  </si>
  <si>
    <t xml:space="preserve">Obtain terms &amp; conditions </t>
  </si>
  <si>
    <t>Prepare Shortlist</t>
  </si>
  <si>
    <t>3.1.02.10.01.00.00.00</t>
  </si>
  <si>
    <t>3.1.02.10.02.00.00.00</t>
  </si>
  <si>
    <t>3.1.02.10.03.00.00.00</t>
  </si>
  <si>
    <t>3.1.02.11.01.00.00.00</t>
  </si>
  <si>
    <t>3.1.02.11.02.00.00.00</t>
  </si>
  <si>
    <t>LOA Review Documentation</t>
  </si>
  <si>
    <t>Presentation as per LOA Policy #1009</t>
  </si>
  <si>
    <t xml:space="preserve">2-Capital / Equity; 6-Pre-Construction / Bid Team; </t>
  </si>
  <si>
    <t>LINK_TYPE</t>
  </si>
  <si>
    <t>TYPE</t>
  </si>
  <si>
    <t>LEN</t>
  </si>
  <si>
    <t>3.1.02.12.01.00.00.00</t>
  </si>
  <si>
    <t>3.1.02.12.02.00.00.00</t>
  </si>
  <si>
    <t>3.1.02.12.03.00.00.00</t>
  </si>
  <si>
    <t>3.1.02.12.04.00.00.00</t>
  </si>
  <si>
    <t>Identify employees</t>
  </si>
  <si>
    <t>Set up operating budgets</t>
  </si>
  <si>
    <t>Establish tax structure</t>
  </si>
  <si>
    <t>Implement insurance</t>
  </si>
  <si>
    <t xml:space="preserve">2-Capital / Equity; 4-Commercial; 5-Legal; 7-Estimation; 8-Project Controls; 11-Procurement; 12-Risk Management; 13-Quality; 14-Human Ressources; 15-(HSSE) Health, Safety, Security Environment; 16-Engineering; 17-Construction &amp; Project Management; 18-Operations &amp; Maintenance; </t>
  </si>
  <si>
    <t>3.2.02.01.00.00.00.00</t>
  </si>
  <si>
    <t>3.2.02.01.01.00.00.00</t>
  </si>
  <si>
    <t>3.2.02.01.02.00.00.00</t>
  </si>
  <si>
    <t>4.1.02.01.00.00.00.00</t>
  </si>
  <si>
    <t>4.1.02.02.00.00.00.00</t>
  </si>
  <si>
    <t>4.1.02.03.00.00.00.00</t>
  </si>
  <si>
    <t>4.1.02.04.00.00.00.00</t>
  </si>
  <si>
    <t>Post-Bid Finalization</t>
  </si>
  <si>
    <t>RFI Support</t>
  </si>
  <si>
    <t>Financial Close</t>
  </si>
  <si>
    <t>Document Issuance</t>
  </si>
  <si>
    <t>4.1.02.01.01.00.00.00</t>
  </si>
  <si>
    <t>4.1.02.01.02.00.00.00</t>
  </si>
  <si>
    <t>4.1.02.02.01.00.00.00</t>
  </si>
  <si>
    <t>4.1.02.02.02.00.00.00</t>
  </si>
  <si>
    <t>4.1.02.03.01.00.00.00</t>
  </si>
  <si>
    <t>4.1.02.03.02.00.00.00</t>
  </si>
  <si>
    <t>4.1.02.03.03.00.00.00</t>
  </si>
  <si>
    <t>4.1.02.03.04.00.00.00</t>
  </si>
  <si>
    <t>4.1.02.04.01.00.00.00</t>
  </si>
  <si>
    <t>4.1.02.04.02.00.00.00</t>
  </si>
  <si>
    <t>4.1.02.04.03.00.00.00</t>
  </si>
  <si>
    <t>4.1.02.04.04.00.00.00</t>
  </si>
  <si>
    <t>Closing Agenda</t>
  </si>
  <si>
    <t>Finalizing Project Agreements</t>
  </si>
  <si>
    <t>Purchasing Insurance</t>
  </si>
  <si>
    <t>Opening Bank Accounts</t>
  </si>
  <si>
    <t>Finalize SPV</t>
  </si>
  <si>
    <t>Employment Contracts</t>
  </si>
  <si>
    <t>Issue PCG</t>
  </si>
  <si>
    <t>Letter of Credit</t>
  </si>
  <si>
    <t>Credit Documentation</t>
  </si>
  <si>
    <t>Insurance Binder</t>
  </si>
  <si>
    <t>POSITION2</t>
  </si>
  <si>
    <t>POSITION1</t>
  </si>
  <si>
    <t>5.1.02.01.00.00.00.00</t>
  </si>
  <si>
    <t>5.1.02.02.00.00.00.00</t>
  </si>
  <si>
    <t>5.1.02.03.00.00.00.00</t>
  </si>
  <si>
    <t>5.1.02.04.00.00.00.00</t>
  </si>
  <si>
    <t>5.1.02.05.00.00.00.00</t>
  </si>
  <si>
    <t>Ongoing Project Monitoring</t>
  </si>
  <si>
    <t>Commence establishment of O&amp;M SPV</t>
  </si>
  <si>
    <t>Asset Management Group Lessons Learned</t>
  </si>
  <si>
    <t>5.1.02.01.01.00.00.00</t>
  </si>
  <si>
    <t>5.1.02.01.02.00.00.00</t>
  </si>
  <si>
    <t>5.1.02.01.03.00.00.00</t>
  </si>
  <si>
    <t>5.1.02.01.04.00.00.00</t>
  </si>
  <si>
    <t>5.1.02.05.01.00.00.00</t>
  </si>
  <si>
    <t>5.1.02.05.02.00.00.00</t>
  </si>
  <si>
    <t>Requests to Lenders</t>
  </si>
  <si>
    <t>SPV preparation I</t>
  </si>
  <si>
    <t>SPV preparation II</t>
  </si>
  <si>
    <t>Payment of DB Contractors</t>
  </si>
  <si>
    <t>SPV fully established</t>
  </si>
  <si>
    <t>Back office operation</t>
  </si>
  <si>
    <t>5.1.02.01.03.01.00.00</t>
  </si>
  <si>
    <t>5.1.02.01.03.02.00.00</t>
  </si>
  <si>
    <t>Interface with clients</t>
  </si>
  <si>
    <t>Interface with DE/DB and O&amp;M</t>
  </si>
  <si>
    <t>Monitor DB</t>
  </si>
  <si>
    <t>Asset Management</t>
  </si>
  <si>
    <t xml:space="preserve">2-Capital / Equity; 4-Commercial; 5-Legal; 7-Estimation; 8-Project Controls; 10-Document Control; 12-Risk Management; 14-Human Ressources; 15-(HSSE) Health, Safety, Security Environment; 18-Operations &amp; Maintenance; </t>
  </si>
  <si>
    <t xml:space="preserve">Monitor and confirm DB closure </t>
  </si>
  <si>
    <t>Confirm project closure to lenders</t>
  </si>
  <si>
    <t>Establish O&amp;M SPV</t>
  </si>
  <si>
    <t>5.2.02.01.00.00.00.00</t>
  </si>
  <si>
    <t>5.2.02.02.00.00.00.00</t>
  </si>
  <si>
    <t>5.2.02.03.00.00.00.00</t>
  </si>
  <si>
    <t>5.2.02.04.00.00.00.00</t>
  </si>
  <si>
    <t>5.2.02.05.00.00.00.00</t>
  </si>
  <si>
    <t>5.2.02.06.00.00.00.00</t>
  </si>
  <si>
    <t>5.2.02.07.00.00.00.00</t>
  </si>
  <si>
    <t>5.3.02.01.00.00.00.00</t>
  </si>
  <si>
    <t>Dismantlement of SPV at end of O&amp;M contract</t>
  </si>
  <si>
    <t>Joint Venture Best Practice SOP</t>
  </si>
  <si>
    <t>DB/DE Formation</t>
  </si>
  <si>
    <t>JV/Consortium Partners Proposal</t>
  </si>
  <si>
    <t>1.1.05.01.00.00.00.00</t>
  </si>
  <si>
    <t>1.1.05.02.00.00.00.00</t>
  </si>
  <si>
    <t>1.1.05.03.00.00.00.00</t>
  </si>
  <si>
    <t>1.1.05.04.00.00.00.00</t>
  </si>
  <si>
    <t>1.1.05.05.00.00.00.00</t>
  </si>
  <si>
    <t>1.1.05.06.00.00.00.00</t>
  </si>
  <si>
    <t>1.1.05.02.01.00.00.00</t>
  </si>
  <si>
    <t>1.1.05.02.02.00.00.00</t>
  </si>
  <si>
    <t>1.1.05.02.03.00.00.00</t>
  </si>
  <si>
    <t>Identify &amp; Propose JV/Consortium Partners</t>
  </si>
  <si>
    <t>Prepare Pre-Qualification Documentation</t>
  </si>
  <si>
    <t>Pre-Qualification Documents Submission</t>
  </si>
  <si>
    <t>Initiate Business Partner Compliance Approval Process (SOP 1751)</t>
  </si>
  <si>
    <t xml:space="preserve">5-Legal; 6-Pre-Construction / Bid Team; 17-Construction &amp; Project Management; </t>
  </si>
  <si>
    <t xml:space="preserve">6-Pre-Construction / Bid Team; 13-Quality; </t>
  </si>
  <si>
    <t>1.1.06.01.00.00.00.00</t>
  </si>
  <si>
    <t>1.1.06.02.00.00.00.00</t>
  </si>
  <si>
    <t>1.1.06.03.00.00.00.00</t>
  </si>
  <si>
    <t>1.1.06.04.00.00.00.00</t>
  </si>
  <si>
    <t>1.1.06.05.00.00.00.00</t>
  </si>
  <si>
    <t>1.1.06.06.00.00.00.00</t>
  </si>
  <si>
    <t>Create DB Sharepoint Site</t>
  </si>
  <si>
    <t>Create DE Sharepoint Site</t>
  </si>
  <si>
    <t xml:space="preserve">9-Project Management Systems; 10-Document Control; </t>
  </si>
  <si>
    <t>1.1.09.01.00.00.00.00</t>
  </si>
  <si>
    <t>1.1.09.02.00.00.00.00</t>
  </si>
  <si>
    <t>1.1.10.01.00.00.00.00</t>
  </si>
  <si>
    <t>"Document Control Management, Coding and Processes"</t>
  </si>
  <si>
    <t>1.1.12.01.00.00.00.00</t>
  </si>
  <si>
    <t>1.1.12.02.00.00.00.00</t>
  </si>
  <si>
    <t>Review pre-qualification documentation</t>
  </si>
  <si>
    <t>1.1.13.01.00.00.00.00</t>
  </si>
  <si>
    <t>1.1.14.01.00.00.00.00</t>
  </si>
  <si>
    <t>1.1.14.02.00.00.00.00</t>
  </si>
  <si>
    <t>1.1.17.01.00.00.00.00</t>
  </si>
  <si>
    <t>1.1.17.02.00.00.00.00</t>
  </si>
  <si>
    <t>1.1.17.03.00.00.00.00</t>
  </si>
  <si>
    <t>1.1.17.04.00.00.00.00</t>
  </si>
  <si>
    <t>1.1.17.05.00.00.00.00</t>
  </si>
  <si>
    <t>2.1.05.01.00.00.00.00</t>
  </si>
  <si>
    <t>2.1.05.02.00.00.00.00</t>
  </si>
  <si>
    <t>2.1.05.03.00.00.00.00</t>
  </si>
  <si>
    <t>2.1.05.04.00.00.00.00</t>
  </si>
  <si>
    <t>Execute Joint Venture Agreement Term Sheet</t>
  </si>
  <si>
    <t>2.1.05.02.01.00.00.00</t>
  </si>
  <si>
    <t>2.1.05.02.02.00.00.00</t>
  </si>
  <si>
    <t>2.1.05.02.03.00.00.00</t>
  </si>
  <si>
    <t>2.1.06.01.00.00.00.00</t>
  </si>
  <si>
    <t>2.1.06.02.00.00.00.00</t>
  </si>
  <si>
    <t>2.1.06.03.00.00.00.00</t>
  </si>
  <si>
    <t>2.1.06.04.00.00.00.00</t>
  </si>
  <si>
    <t>2.1.06.05.00.00.00.00</t>
  </si>
  <si>
    <t xml:space="preserve">5-Legal; 6-Pre-Construction / Bid Team; </t>
  </si>
  <si>
    <t>Review Fact Sheets/Lessons learned from past projects</t>
  </si>
  <si>
    <t>Prepare RFQ Documentation</t>
  </si>
  <si>
    <t xml:space="preserve">6-Pre-Construction / Bid Team; 17-Construction &amp; Project Management; </t>
  </si>
  <si>
    <t>2.1.06.01.01.00.00.00</t>
  </si>
  <si>
    <t>2.1.06.01.02.00.00.00</t>
  </si>
  <si>
    <t>2.1.06.01.03.00.00.00</t>
  </si>
  <si>
    <t>2.1.06.01.04.00.00.00</t>
  </si>
  <si>
    <t>Win Strategy</t>
  </si>
  <si>
    <t>Bid Team Personnel Assignment</t>
  </si>
  <si>
    <t>Develop Pursuit Phase MFL</t>
  </si>
  <si>
    <t>Leverage Lessons Larned from previous bids</t>
  </si>
  <si>
    <t>2.1.07.01.00.00.00.00</t>
  </si>
  <si>
    <t>Order of magnitude estimate / Develop estimate plan</t>
  </si>
  <si>
    <t>2.1.12.01.00.00.00.00</t>
  </si>
  <si>
    <t>2.1.12.02.00.00.00.00</t>
  </si>
  <si>
    <t xml:space="preserve">6-Pre-Construction / Bid Team; 8-Project Controls; 11-Procurement; 12-Risk Management; 13-Quality; 16-Engineering; 17-Construction &amp; Project Management; 18-Operations &amp; Maintenance; </t>
  </si>
  <si>
    <t>2.1.12.01.01.00.00.00</t>
  </si>
  <si>
    <t>2.1.12.01.02.00.00.00</t>
  </si>
  <si>
    <t>2.1.12.01.03.00.00.00</t>
  </si>
  <si>
    <t>2.1.12.01.04.00.00.00</t>
  </si>
  <si>
    <t>2.1.12.01.05.00.00.00</t>
  </si>
  <si>
    <t>Assess Risk Profile</t>
  </si>
  <si>
    <t>Define Risk Management Strategy</t>
  </si>
  <si>
    <t>Write-Up RFQ Material</t>
  </si>
  <si>
    <t>Initiate Risk Management Process with Partner</t>
  </si>
  <si>
    <t>Key Ressources Identification</t>
  </si>
  <si>
    <t>2.1.13.01.00.00.00.00</t>
  </si>
  <si>
    <t>2.1.13.02.00.00.00.00</t>
  </si>
  <si>
    <t xml:space="preserve">4-Commercial; 6-Pre-Construction / Bid Team; 8-Project Controls; 11-Procurement; 12-Risk Management; 13-Quality; </t>
  </si>
  <si>
    <t>Assess Quality Requirements</t>
  </si>
  <si>
    <t>Write-Up Quality Section</t>
  </si>
  <si>
    <t>2.1.13.01.01.00.00.00</t>
  </si>
  <si>
    <t>2.1.13.01.02.00.00.00</t>
  </si>
  <si>
    <t>2.1.14.01.00.00.00.00</t>
  </si>
  <si>
    <t>2.1.14.02.00.00.00.00</t>
  </si>
  <si>
    <t>2.1.14.03.00.00.00.00</t>
  </si>
  <si>
    <t>Per Function Requirements for RFP Staffing</t>
  </si>
  <si>
    <t>Support Prime Contract Manager Appointment</t>
  </si>
  <si>
    <t>2.1.14.01.01.00.00.00</t>
  </si>
  <si>
    <t>2.1.14.01.02.00.00.00</t>
  </si>
  <si>
    <t>2.1.14.01.03.00.00.00</t>
  </si>
  <si>
    <t>Identify key bid and project personnel</t>
  </si>
  <si>
    <t>Establish personnel engagement strategy</t>
  </si>
  <si>
    <t>Establish and implement employment conditions</t>
  </si>
  <si>
    <t>Identification of key HSS individuals</t>
  </si>
  <si>
    <t>Identification of Environmental key individuals</t>
  </si>
  <si>
    <t>2.1.15.01.00.00.00.00</t>
  </si>
  <si>
    <t>2.1.15.02.00.00.00.00</t>
  </si>
  <si>
    <t>2.1.15.03.00.00.00.00</t>
  </si>
  <si>
    <t>2.1.16.01.00.00.00.00</t>
  </si>
  <si>
    <t>2.1.16.02.00.00.00.00</t>
  </si>
  <si>
    <t>2.1.16.03.00.00.00.00</t>
  </si>
  <si>
    <t>Preliminary Design Concepts</t>
  </si>
  <si>
    <t>2.1.16.01.01.00.00.00</t>
  </si>
  <si>
    <t>2.1.16.01.02.00.00.00</t>
  </si>
  <si>
    <t>2.1.16.01.03.00.00.00</t>
  </si>
  <si>
    <t>2.1.16.01.04.00.00.00</t>
  </si>
  <si>
    <t>2.1.16.01.05.00.00.00</t>
  </si>
  <si>
    <t>2.1.16.01.06.00.00.00</t>
  </si>
  <si>
    <t>2.1.16.01.07.00.00.00</t>
  </si>
  <si>
    <t>Initial Design Strategy</t>
  </si>
  <si>
    <t>Buildability Analysis</t>
  </si>
  <si>
    <t>Validate Preliminary Org Chart (Key Personnel)</t>
  </si>
  <si>
    <t>Validate the execution strategy (JV, Consortium, etc.)</t>
  </si>
  <si>
    <t>Assess the requirement for business partners</t>
  </si>
  <si>
    <t>MFL Structure</t>
  </si>
  <si>
    <t>Propose Key Names</t>
  </si>
  <si>
    <t>2.1.17.01.00.00.00.00</t>
  </si>
  <si>
    <t>2.1.17.02.00.00.00.00</t>
  </si>
  <si>
    <t>2.1.17.03.00.00.00.00</t>
  </si>
  <si>
    <t>2.1.17.04.00.00.00.00</t>
  </si>
  <si>
    <t>2.1.17.01.01.00.00.00</t>
  </si>
  <si>
    <t>2.1.17.01.02.00.00.00</t>
  </si>
  <si>
    <t>2.1.17.01.03.00.00.00</t>
  </si>
  <si>
    <t>2.1.17.01.04.00.00.00</t>
  </si>
  <si>
    <t>2.1.17.01.05.00.00.00</t>
  </si>
  <si>
    <t>2.1.17.01.06.00.00.00</t>
  </si>
  <si>
    <t>2.1.17.01.07.00.00.00</t>
  </si>
  <si>
    <t>2.1.18.01.00.00.00.00</t>
  </si>
  <si>
    <t>2.1.18.02.00.00.00.00</t>
  </si>
  <si>
    <t>2.1.18.01.01.00.00.00</t>
  </si>
  <si>
    <t>2.1.18.01.02.00.00.00</t>
  </si>
  <si>
    <t>2.1.18.01.03.00.00.00</t>
  </si>
  <si>
    <t>2.1.18.01.04.00.00.00</t>
  </si>
  <si>
    <t>2.1.18.01.05.00.00.00</t>
  </si>
  <si>
    <t>2.1.18.01.06.00.00.00</t>
  </si>
  <si>
    <t>2.1.18.01.07.00.00.00</t>
  </si>
  <si>
    <t>3.1.05.01.00.00.00.00</t>
  </si>
  <si>
    <t>3.1.05.02.00.00.00.00</t>
  </si>
  <si>
    <t>3.1.05.03.00.00.00.00</t>
  </si>
  <si>
    <t>3.1.05.04.00.00.00.00</t>
  </si>
  <si>
    <t>3.1.05.05.00.00.00.00</t>
  </si>
  <si>
    <t>3.1.05.06.00.00.00.00</t>
  </si>
  <si>
    <t>3.1.05.07.00.00.00.00</t>
  </si>
  <si>
    <t>3.1.05.08.00.00.00.00</t>
  </si>
  <si>
    <t>3.1.05.09.00.00.00.00</t>
  </si>
  <si>
    <t>3.1.05.10.00.00.00.00</t>
  </si>
  <si>
    <t>4-Commercial;</t>
  </si>
  <si>
    <t xml:space="preserve">4-Commercial; 5-Legal; 6-Pre-Construction / Bid Team; </t>
  </si>
  <si>
    <t>Preliminary Design, Estimating, Binding Commitments</t>
  </si>
  <si>
    <t>"Document Preparation DB, DE, O&amp;M"</t>
  </si>
  <si>
    <t>Issue Legal Memo (LOA Review documentation &amp; Presentation)</t>
  </si>
  <si>
    <t>O&amp;M: Joint Venture Agreement, Lenders Direct Agreement</t>
  </si>
  <si>
    <t>3.1.05.04.01.00.00.00</t>
  </si>
  <si>
    <t>3.1.05.04.02.00.00.00</t>
  </si>
  <si>
    <t>3.1.05.04.03.00.00.00</t>
  </si>
  <si>
    <t>3.1.05.07.01.00.00.00</t>
  </si>
  <si>
    <t>3.1.05.07.02.00.00.00</t>
  </si>
  <si>
    <t>3.1.05.07.03.00.00.00</t>
  </si>
  <si>
    <t>3.1.05.10.01.00.00.00</t>
  </si>
  <si>
    <t>3.1.05.10.02.00.00.00</t>
  </si>
  <si>
    <t xml:space="preserve">2-Capital / Equity; 5-Legal; </t>
  </si>
  <si>
    <t xml:space="preserve">5-Legal; 18-Operations &amp; Maintenance; </t>
  </si>
  <si>
    <t>All;</t>
  </si>
  <si>
    <t>N/A;</t>
  </si>
  <si>
    <t>Design-Build</t>
  </si>
  <si>
    <t>Design Engineer</t>
  </si>
  <si>
    <t>Put in place JVA agreements</t>
  </si>
  <si>
    <t>DE SA</t>
  </si>
  <si>
    <t>RFIP</t>
  </si>
  <si>
    <t>Major SC RFP's</t>
  </si>
  <si>
    <t>Major SC Negociations</t>
  </si>
  <si>
    <t>Commitment Letters to Equity Partners</t>
  </si>
  <si>
    <t>3.1.05.04.01.01.00.00</t>
  </si>
  <si>
    <t>3.1.05.04.01.02.00.00</t>
  </si>
  <si>
    <t>3.1.05.04.01.03.00.00</t>
  </si>
  <si>
    <t>3.1.05.04.01.04.00.00</t>
  </si>
  <si>
    <t>3.1.05.04.01.05.00.00</t>
  </si>
  <si>
    <t>3.1.05.04.01.06.00.00</t>
  </si>
  <si>
    <t>JVA</t>
  </si>
  <si>
    <t>SC SA</t>
  </si>
  <si>
    <t>3.1.05.04.02.01.00.00</t>
  </si>
  <si>
    <t>3.1.05.04.02.02.00.00</t>
  </si>
  <si>
    <t>3.1.05.04.02.03.00.00</t>
  </si>
  <si>
    <t>3.1.05.04.03.01.00.00</t>
  </si>
  <si>
    <t>3.1.05.04.03.02.00.00</t>
  </si>
  <si>
    <t>3.1.05.04.03.03.00.00</t>
  </si>
  <si>
    <t>3.1.05.04.03.04.00.00</t>
  </si>
  <si>
    <t>3.1.05.04.03.05.00.00</t>
  </si>
  <si>
    <t>3.1.05.04.03.06.00.00</t>
  </si>
  <si>
    <t>3.1.05.04.03.07.00.00</t>
  </si>
  <si>
    <t>Major Subcontractors Negociations</t>
  </si>
  <si>
    <t>Part 1 Drop-down</t>
  </si>
  <si>
    <t>Part 2 Drop-down</t>
  </si>
  <si>
    <t>3.1.06.01.00.00.00.00</t>
  </si>
  <si>
    <t>3.1.06.02.00.00.00.00</t>
  </si>
  <si>
    <t>3.1.06.03.00.00.00.00</t>
  </si>
  <si>
    <t>3.1.06.04.00.00.00.00</t>
  </si>
  <si>
    <t>3.1.06.05.00.00.00.00</t>
  </si>
  <si>
    <t>3.1.06.06.00.00.00.00</t>
  </si>
  <si>
    <t>3.1.06.07.00.00.00.00</t>
  </si>
  <si>
    <t>3.1.06.08.00.00.00.00</t>
  </si>
  <si>
    <t>3.1.06.09.00.00.00.00</t>
  </si>
  <si>
    <t>3.1.06.10.00.00.00.00</t>
  </si>
  <si>
    <t>3.1.06.11.00.00.00.00</t>
  </si>
  <si>
    <t>Contractual terms and conditions review</t>
  </si>
  <si>
    <t>Preliminary Personnel (MFL) Requirements</t>
  </si>
  <si>
    <t>Review and implement lessons learned on previous proposals</t>
  </si>
  <si>
    <t>Prepare LOA Review Documentation and Presentation (LOA 1009)</t>
  </si>
  <si>
    <t>Bid Proposal Finalization for Submission</t>
  </si>
  <si>
    <t>Milestone</t>
  </si>
  <si>
    <t xml:space="preserve">8-Project Controls; 11-Procurement; 12-Risk Management; 13-Quality; 15-(HSSE) Health, Safety, Security Environment; 17-Construction &amp; Project Management; </t>
  </si>
  <si>
    <t xml:space="preserve">13-Quality; 15-(HSSE) Health, Safety, Security Environment; 17-Construction &amp; Project Management; </t>
  </si>
  <si>
    <t xml:space="preserve">2-Capital / Equity; 4-Commercial; 5-Legal; 14-Human Ressources; </t>
  </si>
  <si>
    <t>3.1.06.03.01.00.00.00</t>
  </si>
  <si>
    <t>3.1.06.03.02.00.00.00</t>
  </si>
  <si>
    <t>3.1.06.03.03.00.00.00</t>
  </si>
  <si>
    <t>3.1.06.03.01.01.00.00</t>
  </si>
  <si>
    <t>3.1.06.03.01.02.00.00</t>
  </si>
  <si>
    <t>3.1.06.03.01.03.00.00</t>
  </si>
  <si>
    <t>3.1.06.03.01.04.00.00</t>
  </si>
  <si>
    <t>3.1.06.03.01.05.00.00</t>
  </si>
  <si>
    <t>3.1.06.03.01.06.00.00</t>
  </si>
  <si>
    <t>3.1.06.03.02.01.00.00</t>
  </si>
  <si>
    <t>3.1.06.03.02.02.00.00</t>
  </si>
  <si>
    <t>3.1.06.03.02.03.00.00</t>
  </si>
  <si>
    <t>3.1.06.03.03.01.00.00</t>
  </si>
  <si>
    <t>3.1.06.03.03.02.00.00</t>
  </si>
  <si>
    <t>3.1.06.03.03.03.00.00</t>
  </si>
  <si>
    <t>3.1.06.03.03.04.00.00</t>
  </si>
  <si>
    <t>3.1.06.03.03.05.00.00</t>
  </si>
  <si>
    <t>3.1.06.03.03.06.00.00</t>
  </si>
  <si>
    <t>3.1.06.03.03.07.00.00</t>
  </si>
  <si>
    <t>Bid Proposal Writing (Project &amp; Investment Approval SOP 2221)</t>
  </si>
  <si>
    <t>3.1.06.08.01.00.00.00</t>
  </si>
  <si>
    <t>3.1.06.08.02.00.00.00</t>
  </si>
  <si>
    <t>3.1.06.08.03.00.00.00</t>
  </si>
  <si>
    <t>Team formation</t>
  </si>
  <si>
    <t>Qualification</t>
  </si>
  <si>
    <t>Proposal</t>
  </si>
  <si>
    <t>Prefered Proponent</t>
  </si>
  <si>
    <t>Project Execution</t>
  </si>
  <si>
    <t>3.1.06.11.01.00.00.00</t>
  </si>
  <si>
    <t>3.1.06.11.02.00.00.00</t>
  </si>
  <si>
    <t>Establish Lenders Term Sheets</t>
  </si>
  <si>
    <t>Retain advisors (Legal counsel, Financial Advisor)</t>
  </si>
  <si>
    <t>Bid Approved for Submission</t>
  </si>
  <si>
    <t>Prepare Basis/Guidelines of Estimate</t>
  </si>
  <si>
    <t>Finalization of selling price for bid proposal</t>
  </si>
  <si>
    <t>Estimation Analysis</t>
  </si>
  <si>
    <t>3.1.07.01.00.00.00.00</t>
  </si>
  <si>
    <t>3.1.07.02.00.00.00.00</t>
  </si>
  <si>
    <t>3.1.07.03.00.00.00.00</t>
  </si>
  <si>
    <t>3.1.07.04.00.00.00.00</t>
  </si>
  <si>
    <t>3.1.07.05.00.00.00.00</t>
  </si>
  <si>
    <t>3.1.07.06.00.00.00.00</t>
  </si>
  <si>
    <t xml:space="preserve">N/A; </t>
  </si>
  <si>
    <t xml:space="preserve">8-Project Controls; 9-Project Management Systems; 17-Construction &amp; Project Management; </t>
  </si>
  <si>
    <t xml:space="preserve">2-Capital / Equity; 4-Commercial; 5-Legal; 6-Pre-Construction / Bid Team;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</si>
  <si>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>3.1.07.02.01.00.00.00</t>
  </si>
  <si>
    <t>3.1.07.02.02.00.00.00</t>
  </si>
  <si>
    <t>3.1.07.02.03.00.00.00</t>
  </si>
  <si>
    <t>3.1.07.02.04.00.00.00</t>
  </si>
  <si>
    <t>Escalation/Inflation Analysis</t>
  </si>
  <si>
    <t>Construction Equipment Buy/Sell Analysis</t>
  </si>
  <si>
    <t>Direct and Indirect Cost Estimate</t>
  </si>
  <si>
    <t>Establish Contingencies for RFP Document Analysis</t>
  </si>
  <si>
    <t>3.1.07.04.01.00.00.00</t>
  </si>
  <si>
    <t>3.1.07.04.02.00.00.00</t>
  </si>
  <si>
    <t>3.1.07.04.03.00.00.00</t>
  </si>
  <si>
    <t>3.1.07.06.01.00.00.00</t>
  </si>
  <si>
    <t>3.1.07.06.02.00.00.00</t>
  </si>
  <si>
    <t>3.1.09.01.00.00.00.00</t>
  </si>
  <si>
    <t>3.1.09.02.00.00.00.00</t>
  </si>
  <si>
    <t>3.1.09.03.00.00.00.00</t>
  </si>
  <si>
    <t>3.1.09.04.00.00.00.00</t>
  </si>
  <si>
    <t>3.1.09.05.00.00.00.00</t>
  </si>
  <si>
    <t>List PM Systems Requirements</t>
  </si>
  <si>
    <t>Present Recommended PM Systems to Partners</t>
  </si>
  <si>
    <t>Select Systems Required to Manage Project</t>
  </si>
  <si>
    <t>3.1.02.14.01.00.00.00</t>
  </si>
  <si>
    <t>3.1.02.14.02.00.00.00</t>
  </si>
  <si>
    <t>3.1.04.10.01.00.00.00</t>
  </si>
  <si>
    <t>3.1.04.10.02.00.00.00</t>
  </si>
  <si>
    <t>3.1.08.09.01.00.00.00</t>
  </si>
  <si>
    <t>3.1.08.09.02.00.00.00</t>
  </si>
  <si>
    <t>3.1.09.05.01.00.00.00</t>
  </si>
  <si>
    <t>3.1.09.05.02.00.00.00</t>
  </si>
  <si>
    <t>3.1.11.07.01.00.00.00</t>
  </si>
  <si>
    <t>3.1.11.07.02.00.00.00</t>
  </si>
  <si>
    <t>Determine use of SNC-L PM Systems</t>
  </si>
  <si>
    <t>Determine Required Interfaces between systems</t>
  </si>
  <si>
    <t>Finalize systems requirements &amp; Cost Estimates</t>
  </si>
  <si>
    <t>3.1.09.04.01.00.00.00</t>
  </si>
  <si>
    <t>3.1.09.04.02.00.00.00</t>
  </si>
  <si>
    <t>3.1.09.04.03.00.00.00</t>
  </si>
  <si>
    <t>Data Management Set Up</t>
  </si>
  <si>
    <t xml:space="preserve">2-Capital / Equity; 4-Commercial; 5-Legal; 7-Estimation;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</si>
  <si>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>Finalize Project Coding Strucutre</t>
  </si>
  <si>
    <t>3.1.10.01.00.00.00.00</t>
  </si>
  <si>
    <t>3.1.10.02.00.00.00.00</t>
  </si>
  <si>
    <t>3.1.10.03.00.00.00.00</t>
  </si>
  <si>
    <t>3.1.10.04.00.00.00.00</t>
  </si>
  <si>
    <t>3.1.10.04.01.00.00.00</t>
  </si>
  <si>
    <t>3.1.10.04.02.00.00.00</t>
  </si>
  <si>
    <t>3.1.12.01.00.00.00.00</t>
  </si>
  <si>
    <t>3.1.12.02.00.00.00.00</t>
  </si>
  <si>
    <t>3.1.12.03.00.00.00.00</t>
  </si>
  <si>
    <t>3.1.12.04.00.00.00.00</t>
  </si>
  <si>
    <t>3.1.12.05.00.00.00.00</t>
  </si>
  <si>
    <t>3.1.12.06.00.00.00.00</t>
  </si>
  <si>
    <t>3.1.12.07.00.00.00.00</t>
  </si>
  <si>
    <t>3.1.12.08.00.00.00.00</t>
  </si>
  <si>
    <t>3.1.12.09.00.00.00.00</t>
  </si>
  <si>
    <t>3.1.12.10.00.00.00.00</t>
  </si>
  <si>
    <t>3.1.12.11.00.00.00.00</t>
  </si>
  <si>
    <t>3.1.12.12.00.00.00.00</t>
  </si>
  <si>
    <t>Risk Management Preparation</t>
  </si>
  <si>
    <t>Lead Proposal Peer Reviews (SOP #2228)</t>
  </si>
  <si>
    <t>http://infozone.snclavalin.com/en/files/2228-proposal-project-peer-review-en.pdf</t>
  </si>
  <si>
    <t>Define Project MFL</t>
  </si>
  <si>
    <t xml:space="preserve">8-Project Controls; 11-Procurement; </t>
  </si>
  <si>
    <t>Risk Management Implementation</t>
  </si>
  <si>
    <t>Produce price sheet risk allowance</t>
  </si>
  <si>
    <t>Monthly Risk Profile Review until Bid finalization</t>
  </si>
  <si>
    <t>Process Risk Analysis</t>
  </si>
  <si>
    <t>Proposal Risk Register</t>
  </si>
  <si>
    <t xml:space="preserve">6-Pre-Construction / Bid Team; 7-Estimation; 13-Quality; 15-(HSSE) Health, Safety, Security Environment; 16-Engineering; 17-Construction &amp; Project Management; </t>
  </si>
  <si>
    <t xml:space="preserve">16-Engineering; 17-Construction &amp; Project Management; 18-Operations &amp; Maintenance; </t>
  </si>
  <si>
    <t>Finalization of Risk Allowance based on recommendations from Approval Committees for Bid Proposal Finalization for SubmissionInteractions</t>
  </si>
  <si>
    <t>3.1.12.01.01.00.00.00</t>
  </si>
  <si>
    <t>3.1.12.01.02.00.00.00</t>
  </si>
  <si>
    <t>3.1.12.01.03.00.00.00</t>
  </si>
  <si>
    <t>3.1.12.01.04.00.00.00</t>
  </si>
  <si>
    <t>Align Proposal Risk Management Plan with partners</t>
  </si>
  <si>
    <t>Agree on Risk Management Tools &amp; Systems</t>
  </si>
  <si>
    <t>Assess Risk Profile RFP Stage</t>
  </si>
  <si>
    <t>Prepare Approval Process Material (SOP #2221)</t>
  </si>
  <si>
    <t>3.1.12.05.01.00.00.00</t>
  </si>
  <si>
    <t>3.1.12.05.02.00.00.00</t>
  </si>
  <si>
    <t>3.1.12.05.03.00.00.00</t>
  </si>
  <si>
    <t>3.1.12.05.04.00.00.00</t>
  </si>
  <si>
    <t>Implement Risk Management Process (SOP #2225)</t>
  </si>
  <si>
    <t>Prepare Project Risk Management Plan</t>
  </si>
  <si>
    <t>Conduct Schedule Risk Analysis</t>
  </si>
  <si>
    <t>Act as insurance contact and Prepare MTR</t>
  </si>
  <si>
    <t>Integrate comments to Risk Management Plan</t>
  </si>
  <si>
    <t>3.1.12.06.01.00.00.00</t>
  </si>
  <si>
    <t>3.1.12.06.02.00.00.00</t>
  </si>
  <si>
    <t>3.1.12.06.03.00.00.00</t>
  </si>
  <si>
    <t>Engineering Comments</t>
  </si>
  <si>
    <t>Construction &amp; Project Management Comments</t>
  </si>
  <si>
    <t>O&amp;M Comments</t>
  </si>
  <si>
    <t>3.1.12.10.01.00.00.00</t>
  </si>
  <si>
    <t>3.1.12.10.02.00.00.00</t>
  </si>
  <si>
    <t>Monte Carlo Method</t>
  </si>
  <si>
    <t>Establish P85 Risk Allowance for preparation of LOA Review</t>
  </si>
  <si>
    <t>3.1.13.01.00.00.00.00</t>
  </si>
  <si>
    <t>3.1.13.02.00.00.00.00</t>
  </si>
  <si>
    <t>3.1.13.03.00.00.00.00</t>
  </si>
  <si>
    <t>3.1.13.04.00.00.00.00</t>
  </si>
  <si>
    <t>3.1.13.05.00.00.00.00</t>
  </si>
  <si>
    <t>3.1.13.06.00.00.00.00</t>
  </si>
  <si>
    <t>Recommend Project MFL</t>
  </si>
  <si>
    <t xml:space="preserve">6-Pre-Construction / Bid Team; 8-Project Controls; 12-Risk Management; 13-Quality; 15-(HSSE) Health, Safety, Security Environment; 17-Construction &amp; Project Management; </t>
  </si>
  <si>
    <t>Negociate tools with key Quality processes with JV partners</t>
  </si>
  <si>
    <t>Colaborate with construction for assessments</t>
  </si>
  <si>
    <t>3.1.13.02.01.00.00.00</t>
  </si>
  <si>
    <t>3.1.13.02.02.00.00.00</t>
  </si>
  <si>
    <t>3.1.13.03.01.00.00.00</t>
  </si>
  <si>
    <t>3.1.13.03.02.00.00.00</t>
  </si>
  <si>
    <t>3.1.13.03.03.00.00.00</t>
  </si>
  <si>
    <t>Non-Conformances</t>
  </si>
  <si>
    <t>Deficiencies</t>
  </si>
  <si>
    <t>Quality Record Books</t>
  </si>
  <si>
    <t>3.1.13.04.01.00.00.00</t>
  </si>
  <si>
    <t>3.1.13.04.02.00.00.00</t>
  </si>
  <si>
    <t>Assess Laboratory Requirements &amp; Budget</t>
  </si>
  <si>
    <t>Identify Supplier</t>
  </si>
  <si>
    <t>3.1.13.06.01.00.00.00</t>
  </si>
  <si>
    <t>3.1.13.06.02.00.00.00</t>
  </si>
  <si>
    <t>3.1.14.01.00.00.00.00</t>
  </si>
  <si>
    <t>3.1.14.02.00.00.00.00</t>
  </si>
  <si>
    <t>3.1.14.03.00.00.00.00</t>
  </si>
  <si>
    <t>3.1.14.04.00.00.00.00</t>
  </si>
  <si>
    <t>3.1.14.05.00.00.00.00</t>
  </si>
  <si>
    <t>3.1.14.06.00.00.00.00</t>
  </si>
  <si>
    <t>3.1.14.06.01.00.00.00</t>
  </si>
  <si>
    <t>3.1.14.06.02.00.00.00</t>
  </si>
  <si>
    <t>Establish agreements with Unions</t>
  </si>
  <si>
    <t>Per Function Project Staffing</t>
  </si>
  <si>
    <t>3.1.14.02.01.00.00.00</t>
  </si>
  <si>
    <t>3.1.14.02.02.00.00.00</t>
  </si>
  <si>
    <t>3.1.14.02.03.00.00.00</t>
  </si>
  <si>
    <t>3.1.14.03.01.00.00.00</t>
  </si>
  <si>
    <t>3.1.14.03.02.00.00.00</t>
  </si>
  <si>
    <t>3.1.14.03.03.00.00.00</t>
  </si>
  <si>
    <t>3.1.14.03.04.00.00.00</t>
  </si>
  <si>
    <t>3.1.14.04.01.00.00.00</t>
  </si>
  <si>
    <t>3.1.14.04.02.00.00.00</t>
  </si>
  <si>
    <t>Identify and review Industrial Relations Matters</t>
  </si>
  <si>
    <t>Establish relationships with unions</t>
  </si>
  <si>
    <t>Initiate any required agreements with Unions</t>
  </si>
  <si>
    <t>Identify key project personnel</t>
  </si>
  <si>
    <t>Establish and implement assignment conditions</t>
  </si>
  <si>
    <t>Recruit key project personnel conditional to project award per MFL</t>
  </si>
  <si>
    <t>Apply personnel engagement strategy</t>
  </si>
  <si>
    <t>Reference to Staffing SOP when published; Connect with initial MLF</t>
  </si>
  <si>
    <t>3.1.15.01.00.00.00.00</t>
  </si>
  <si>
    <t>3.1.15.02.00.00.00.00</t>
  </si>
  <si>
    <t>3.1.15.03.00.00.00.00</t>
  </si>
  <si>
    <t>3.1.15.04.00.00.00.00</t>
  </si>
  <si>
    <t>3.1.15.05.00.00.00.00</t>
  </si>
  <si>
    <t>3.1.15.06.00.00.00.00</t>
  </si>
  <si>
    <t>3.1.15.07.00.00.00.00</t>
  </si>
  <si>
    <t>3.1.15.08.00.00.00.00</t>
  </si>
  <si>
    <t>Identification of environmental permits and licenses</t>
  </si>
  <si>
    <t>Identification of environmental permits and licenses required to execute the project (input in proposal)</t>
  </si>
  <si>
    <t xml:space="preserve">16-Engineering; 17-Construction &amp; Project Management; </t>
  </si>
  <si>
    <t>3.1.15.03.01.00.00.00</t>
  </si>
  <si>
    <t>3.1.15.03.02.00.00.00</t>
  </si>
  <si>
    <t>Appoinment of Project HSS Manager and Project Environment Manager</t>
  </si>
  <si>
    <t>Environmental Requirements Assessment</t>
  </si>
  <si>
    <t>3.1.15.08.01.00.00.00</t>
  </si>
  <si>
    <t>3.1.15.08.02.00.00.00</t>
  </si>
  <si>
    <t>3.1.16.01.00.00.00.00</t>
  </si>
  <si>
    <t>3.1.16.02.00.00.00.00</t>
  </si>
  <si>
    <t>3.1.16.03.00.00.00.00</t>
  </si>
  <si>
    <t>3.1.16.04.00.00.00.00</t>
  </si>
  <si>
    <t>3.1.16.05.00.00.00.00</t>
  </si>
  <si>
    <t>3.1.16.06.00.00.00.00</t>
  </si>
  <si>
    <t>3.1.16.07.00.00.00.00</t>
  </si>
  <si>
    <t>3.1.16.08.00.00.00.00</t>
  </si>
  <si>
    <t>3.1.16.09.00.00.00.00</t>
  </si>
  <si>
    <t>Commencement of Initial Analysis</t>
  </si>
  <si>
    <t xml:space="preserve">8-Project Controls; 16-Engineering; </t>
  </si>
  <si>
    <t>Provide comments for Risk Management Plan</t>
  </si>
  <si>
    <t xml:space="preserve">N/A; 4-Commercial; 5-Legal; 6-Pre-Construction / Bid Team; 7-Estimation; 8-Project Controls; 11-Procurement; 13-Quality; 16-Engineering; 17-Construction &amp; Project Management; 18-Operations &amp; Maintenance; </t>
  </si>
  <si>
    <t>3.1.16.08.01.00.00.00</t>
  </si>
  <si>
    <t>3.1.16.08.02.00.00.00</t>
  </si>
  <si>
    <t>3.1.16.09.01.00.00.00</t>
  </si>
  <si>
    <t>3.1.16.09.02.00.00.00</t>
  </si>
  <si>
    <t>3.1.16.01.01.00.00.00</t>
  </si>
  <si>
    <t>3.1.16.01.02.00.00.00</t>
  </si>
  <si>
    <t>3.1.16.01.03.00.00.00</t>
  </si>
  <si>
    <t>3.1.16.01.04.00.00.00</t>
  </si>
  <si>
    <t>3.1.16.01.05.00.00.00</t>
  </si>
  <si>
    <t>Commence Design</t>
  </si>
  <si>
    <t>Long Lead Procurement</t>
  </si>
  <si>
    <t>Geotech</t>
  </si>
  <si>
    <t>Utility Relocation</t>
  </si>
  <si>
    <t>Early Works</t>
  </si>
  <si>
    <t>3.1.17.01.00.00.00.00</t>
  </si>
  <si>
    <t>3.1.17.02.00.00.00.00</t>
  </si>
  <si>
    <t>3.1.17.03.00.00.00.00</t>
  </si>
  <si>
    <t>3.1.17.04.00.00.00.00</t>
  </si>
  <si>
    <t>3.1.17.05.00.00.00.00</t>
  </si>
  <si>
    <t>3.1.17.06.00.00.00.00</t>
  </si>
  <si>
    <t>3.1.17.07.00.00.00.00</t>
  </si>
  <si>
    <t>3.1.17.08.00.00.00.00</t>
  </si>
  <si>
    <t>3.1.17.09.00.00.00.00</t>
  </si>
  <si>
    <t>3.1.17.10.00.00.00.00</t>
  </si>
  <si>
    <t>3.1.17.11.00.00.00.00</t>
  </si>
  <si>
    <t>3.1.17.12.00.00.00.00</t>
  </si>
  <si>
    <t>3.1.17.13.00.00.00.00</t>
  </si>
  <si>
    <t>3.1.17.14.00.00.00.00</t>
  </si>
  <si>
    <t>3.1.17.15.00.00.00.00</t>
  </si>
  <si>
    <t>3.1.17.16.00.00.00.00</t>
  </si>
  <si>
    <t>3.1.17.17.00.00.00.00</t>
  </si>
  <si>
    <t>3.1.17.18.00.00.00.00</t>
  </si>
  <si>
    <t>3.1.08.08.03.00.00.00</t>
  </si>
  <si>
    <t>3.1.17.03.01.00.00.00</t>
  </si>
  <si>
    <t>3.1.17.03.02.00.00.00</t>
  </si>
  <si>
    <t>3.1.17.03.03.00.00.00</t>
  </si>
  <si>
    <t xml:space="preserve">11-Procurement; 17-Construction &amp; Project Management; </t>
  </si>
  <si>
    <t>3.1.17.04.01.00.00.00</t>
  </si>
  <si>
    <t>3.1.17.04.02.00.00.00</t>
  </si>
  <si>
    <t>3.1.17.04.03.00.00.00</t>
  </si>
  <si>
    <t>3.1.17.04.04.00.00.00</t>
  </si>
  <si>
    <t>3.1.17.04.05.00.00.00</t>
  </si>
  <si>
    <t>3.1.17.04.06.00.00.00</t>
  </si>
  <si>
    <t>3.1.17.06.01.00.00.00</t>
  </si>
  <si>
    <t>3.1.17.06.02.00.00.00</t>
  </si>
  <si>
    <t>Preliminary Construction Execution Plan Preparation</t>
  </si>
  <si>
    <t>Finalize key personnel assessment and draft mobilization plan</t>
  </si>
  <si>
    <t>3.1.17.14.01.00.00.00</t>
  </si>
  <si>
    <t>3.1.17.14.02.00.00.00</t>
  </si>
  <si>
    <t>Preparation of initial construction execution plan</t>
  </si>
  <si>
    <t>18Preparation of initial construction execution plan that feeds into the project coding structure</t>
  </si>
  <si>
    <t>Review of preliminary communication plan</t>
  </si>
  <si>
    <t>Complete 90% construction execution strategy and constructability</t>
  </si>
  <si>
    <t>3.1.17.18.01.00.00.00</t>
  </si>
  <si>
    <t>3.1.17.18.02.00.00.00</t>
  </si>
  <si>
    <t>3.1.18.01.00.00.00.00</t>
  </si>
  <si>
    <t>3.1.18.02.00.00.00.00</t>
  </si>
  <si>
    <t>3.1.18.03.00.00.00.00</t>
  </si>
  <si>
    <t>3.1.18.04.00.00.00.00</t>
  </si>
  <si>
    <t>3.1.18.05.00.00.00.00</t>
  </si>
  <si>
    <t>3.1.18.06.00.00.00.00</t>
  </si>
  <si>
    <t>3.1.18.07.00.00.00.00</t>
  </si>
  <si>
    <t>3.1.18.04.01.00.00.00</t>
  </si>
  <si>
    <t>3.1.18.04.02.00.00.00</t>
  </si>
  <si>
    <t>Finalize MFL</t>
  </si>
  <si>
    <t>O&amp;M Estimation Team to prepare pricing input</t>
  </si>
  <si>
    <t>3.1.18.07.01.00.00.00</t>
  </si>
  <si>
    <t>3.1.18.07.02.00.00.00</t>
  </si>
  <si>
    <t>3.2.05.01.00.00.00.00</t>
  </si>
  <si>
    <t>3.2.05.01.01.00.00.00</t>
  </si>
  <si>
    <t>3.2.05.01.02.00.00.00</t>
  </si>
  <si>
    <t>3.2.06.01.00.00.00.00</t>
  </si>
  <si>
    <t>3.2.06.01.01.00.00.00</t>
  </si>
  <si>
    <t>3.2.06.01.02.00.00.00</t>
  </si>
  <si>
    <t>3.2.07.01.00.00.00.00</t>
  </si>
  <si>
    <t>3.2.07.01.01.00.00.00</t>
  </si>
  <si>
    <t>3.2.07.01.02.00.00.00</t>
  </si>
  <si>
    <t>3.2.09.01.00.00.00.00</t>
  </si>
  <si>
    <t>3.2.09.02.00.00.00.00</t>
  </si>
  <si>
    <t>3.2.09.03.00.00.00.00</t>
  </si>
  <si>
    <t>3.2.09.04.00.00.00.00</t>
  </si>
  <si>
    <t>Develop Systems Start-Up Plan for SNC-L Systems</t>
  </si>
  <si>
    <t>Initiate SNC-L Systems Creation and set-up</t>
  </si>
  <si>
    <t>Build System Interfaces</t>
  </si>
  <si>
    <t>Implement Systems Interfaces with parters as required</t>
  </si>
  <si>
    <t>3.2.11.01.00.00.00.00</t>
  </si>
  <si>
    <t xml:space="preserve">4-Commercial; 8-Project Controls; 13-Quality; 14-Human Ressources; 16-Engineering; 17-Construction &amp; Project Management; 18-Operations &amp; Maintenance; </t>
  </si>
  <si>
    <t>3.2.12.01.00.00.00.00</t>
  </si>
  <si>
    <t>3.2.12.02.00.00.00.00</t>
  </si>
  <si>
    <t>3.2.12.01.01.00.00.00</t>
  </si>
  <si>
    <t>3.2.12.01.02.00.00.00</t>
  </si>
  <si>
    <t>3.2.13.01.00.00.00.00</t>
  </si>
  <si>
    <t>3.2.13.01.01.00.00.00</t>
  </si>
  <si>
    <t>3.2.13.01.02.00.00.00</t>
  </si>
  <si>
    <t>3.2.13.02.00.00.00.00</t>
  </si>
  <si>
    <t>3.2.13.03.00.00.00.00</t>
  </si>
  <si>
    <t>Assign Quality Manager</t>
  </si>
  <si>
    <t xml:space="preserve">Propose and Approve Key Personnel Requirements </t>
  </si>
  <si>
    <t>Validate MFL &amp; Indirect costs in accordance with strategy</t>
  </si>
  <si>
    <t>Quality Management Program</t>
  </si>
  <si>
    <t>Project Quality Control Plan</t>
  </si>
  <si>
    <t>3.2.14.02.00.00.00.00</t>
  </si>
  <si>
    <t>3.2.14.03.00.00.00.00</t>
  </si>
  <si>
    <t>Assess HR requirements for O&amp;M</t>
  </si>
  <si>
    <t>3.2.14.02.01.00.00.00</t>
  </si>
  <si>
    <t>3.2.14.02.02.00.00.00</t>
  </si>
  <si>
    <t>3.2.14.03.01.00.00.00</t>
  </si>
  <si>
    <t>3.2.14.03.02.00.00.00</t>
  </si>
  <si>
    <t>Assign HR Team</t>
  </si>
  <si>
    <t>Initiate Payroll System</t>
  </si>
  <si>
    <t>Commence onboarding of Project Personnel</t>
  </si>
  <si>
    <t>Finalization and implementation of Payrolls</t>
  </si>
  <si>
    <t>3.2.15.01.00.00.00.00</t>
  </si>
  <si>
    <t>3.2.15.01.01.00.00.00</t>
  </si>
  <si>
    <t>3.2.15.01.02.00.00.00</t>
  </si>
  <si>
    <t>3.2.15.02.00.00.00.00</t>
  </si>
  <si>
    <t>3.2.15.03.00.00.00.00</t>
  </si>
  <si>
    <t>Appointment of Safety Manager &amp; other key personnel</t>
  </si>
  <si>
    <t>Appointment of Safety Manager and other key personnel as required to ensure the project HSSE is implemented from day 1 of Project Execution</t>
  </si>
  <si>
    <t>Preparation of HSSE project-specific programs</t>
  </si>
  <si>
    <t>3.2.16.01.00.00.00.00</t>
  </si>
  <si>
    <t>3.2.16.02.00.00.00.00</t>
  </si>
  <si>
    <t>3.2.16.03.00.00.00.00</t>
  </si>
  <si>
    <t>Early Works Design</t>
  </si>
  <si>
    <t>Initial input for PEP Preparation</t>
  </si>
  <si>
    <t>3.2.16.01.01.00.00.00</t>
  </si>
  <si>
    <t>3.2.16.01.02.00.00.00</t>
  </si>
  <si>
    <t>3.2.16.02.01.00.00.00</t>
  </si>
  <si>
    <t>3.2.17.01.00.00.00.00</t>
  </si>
  <si>
    <t>3.2.17.02.00.00.00.00</t>
  </si>
  <si>
    <t>3.2.17.03.00.00.00.00</t>
  </si>
  <si>
    <t>3.2.17.04.00.00.00.00</t>
  </si>
  <si>
    <t>Finalize Constructability Strategy</t>
  </si>
  <si>
    <t>3.2.17.01.01.00.00.00</t>
  </si>
  <si>
    <t>3.2.17.01.02.00.00.00</t>
  </si>
  <si>
    <t>3.2.17.03.01.00.00.00</t>
  </si>
  <si>
    <t>3.2.17.03.02.00.00.00</t>
  </si>
  <si>
    <t>3.2.18.01.00.00.00.00</t>
  </si>
  <si>
    <t>3.2.18.02.00.00.00.00</t>
  </si>
  <si>
    <t>3.2.18.01.01.00.00.00</t>
  </si>
  <si>
    <t>3.2.18.01.02.00.00.00</t>
  </si>
  <si>
    <t>3.2.18.02.01.00.00.00</t>
  </si>
  <si>
    <t>3.2.18.02.02.00.00.00</t>
  </si>
  <si>
    <t>4.1.05.01.00.00.00.00</t>
  </si>
  <si>
    <t>4.1.05.02.00.00.00.00</t>
  </si>
  <si>
    <t>4.1.05.03.00.00.00.00</t>
  </si>
  <si>
    <t>4.1.05.04.00.00.00.00</t>
  </si>
  <si>
    <t>4.1.05.05.00.00.00.00</t>
  </si>
  <si>
    <t>4.1.05.06.00.00.00.00</t>
  </si>
  <si>
    <t>4.1.05.07.00.00.00.00</t>
  </si>
  <si>
    <t>4.1.05.01.01.00.00.00</t>
  </si>
  <si>
    <t>4.1.05.01.02.00.00.00</t>
  </si>
  <si>
    <t>4.1.05.01.03.00.00.00</t>
  </si>
  <si>
    <t>4.1.05.02.01.00.00.00</t>
  </si>
  <si>
    <t>4.1.05.02.02.00.00.00</t>
  </si>
  <si>
    <t>18Final Bid package and agreement handover from Bid Team to Project Team</t>
  </si>
  <si>
    <t xml:space="preserve">4-Commercial; 5-Legal; 6-Pre-Construction / Bid Team; 7-Estimation; 8-Project Controls; 9-Project Management Systems; 10-Document Control; 11-Procurement; </t>
  </si>
  <si>
    <t>Document Preparation - Preferred Proponent</t>
  </si>
  <si>
    <t>4.1.05.04.01.00.00.00</t>
  </si>
  <si>
    <t>4.1.05.04.02.00.00.00</t>
  </si>
  <si>
    <t>4.1.05.04.03.00.00.00</t>
  </si>
  <si>
    <t>4.1.05.04.04.00.00.00</t>
  </si>
  <si>
    <t>4.1.05.05.01.00.00.00</t>
  </si>
  <si>
    <t>4.1.05.05.02.00.00.00</t>
  </si>
  <si>
    <t>4.1.05.05.03.00.00.00</t>
  </si>
  <si>
    <t>4.1.05.05.04.00.00.00</t>
  </si>
  <si>
    <t>4.1.05.05.05.00.00.00</t>
  </si>
  <si>
    <t>4.1.05.05.06.00.00.00</t>
  </si>
  <si>
    <t>Contractual Deliverables (KPI's)</t>
  </si>
  <si>
    <t>Prime contract execution</t>
  </si>
  <si>
    <t>Finalize Subcontract templates</t>
  </si>
  <si>
    <t xml:space="preserve">5-Legal; 11-Procurement; </t>
  </si>
  <si>
    <t>4.1.06.01.00.00.00.00</t>
  </si>
  <si>
    <t>4.1.06.02.00.00.00.00</t>
  </si>
  <si>
    <t>4.1.06.03.00.00.00.00</t>
  </si>
  <si>
    <t>4.1.06.04.00.00.00.00</t>
  </si>
  <si>
    <t>4.1.06.05.00.00.00.00</t>
  </si>
  <si>
    <t>4.1.06.02.01.00.00.00</t>
  </si>
  <si>
    <t>4.1.06.02.02.00.00.00</t>
  </si>
  <si>
    <t>Validate final achieved positions</t>
  </si>
  <si>
    <t>Ensure final achieved positions are in compliance with approved positions, or seek further approval</t>
  </si>
  <si>
    <t>Revert to appropriate approval level for final approvals</t>
  </si>
  <si>
    <t>4.1.07.01.00.00.00.00</t>
  </si>
  <si>
    <t>4.1.07.02.00.00.00.00</t>
  </si>
  <si>
    <t xml:space="preserve">3-Business Development; 6-Pre-Construction / Bid Team; 7-Estimation; </t>
  </si>
  <si>
    <t>4.1.09.01.00.00.00.00</t>
  </si>
  <si>
    <t>4.1.09.02.00.00.00.00</t>
  </si>
  <si>
    <t>4.1.09.03.00.00.00.00</t>
  </si>
  <si>
    <t>Complete SNC-L systems set-up and manage accesses &amp; security</t>
  </si>
  <si>
    <t>Plan and perform SNC-L Systems training &amp; provide support</t>
  </si>
  <si>
    <t>4.1.10.01.00.00.00.00</t>
  </si>
  <si>
    <t>4.1.10.02.00.00.00.00</t>
  </si>
  <si>
    <t>4.1.10.03.00.00.00.00</t>
  </si>
  <si>
    <t>Document control tool coding and process</t>
  </si>
  <si>
    <t>Establish document handover reporting tool</t>
  </si>
  <si>
    <t>4.1.12.01.00.00.00.00</t>
  </si>
  <si>
    <t>4.1.12.02.00.00.00.00</t>
  </si>
  <si>
    <t>4.1.12.03.00.00.00.00</t>
  </si>
  <si>
    <t>4.1.12.01.01.00.00.00</t>
  </si>
  <si>
    <t>4.1.12.01.02.00.00.00</t>
  </si>
  <si>
    <t>3-month transfer process from Proposal Manager to Project Manager</t>
  </si>
  <si>
    <t>Establish Project Risk Register</t>
  </si>
  <si>
    <t>4.1.13.01.00.00.00.00</t>
  </si>
  <si>
    <t>4.1.13.02.00.00.00.00</t>
  </si>
  <si>
    <t>4.1.13.03.00.00.00.00</t>
  </si>
  <si>
    <t>Assign Quality team as per MFL</t>
  </si>
  <si>
    <t>Apply Project Quality Systems</t>
  </si>
  <si>
    <t>Apply Project Quality Systems – (Quality Program and Quality Controls)</t>
  </si>
  <si>
    <t>4.1.13.03.01.00.00.00</t>
  </si>
  <si>
    <t>4.1.13.03.02.00.00.00</t>
  </si>
  <si>
    <t>4.1.14.01.00.00.00.00</t>
  </si>
  <si>
    <t>4.1.14.02.00.00.00.00</t>
  </si>
  <si>
    <t>4.1.14.03.00.00.00.00</t>
  </si>
  <si>
    <t>4.1.14.04.00.00.00.00</t>
  </si>
  <si>
    <t>Transfer of conditional employment contracts from Proposal</t>
  </si>
  <si>
    <t>4.1.14.01.01.00.00.00</t>
  </si>
  <si>
    <t>4.1.14.01.02.00.00.00</t>
  </si>
  <si>
    <t>4.1.14.01.03.00.00.00</t>
  </si>
  <si>
    <t>4.1.14.02.01.00.00.00</t>
  </si>
  <si>
    <t>4.1.14.02.02.00.00.00</t>
  </si>
  <si>
    <t>4.1.14.03.01.00.00.00</t>
  </si>
  <si>
    <t>4.1.14.03.02.00.00.00</t>
  </si>
  <si>
    <t>4.1.15.01.00.00.00.00</t>
  </si>
  <si>
    <t>4.1.15.02.00.00.00.00</t>
  </si>
  <si>
    <t>4.1.15.03.00.00.00.00</t>
  </si>
  <si>
    <t>4.1.15.04.00.00.00.00</t>
  </si>
  <si>
    <t>4.1.15.05.00.00.00.00</t>
  </si>
  <si>
    <t>Begin Appointment of Safety Manager &amp; other key personnel</t>
  </si>
  <si>
    <t>4.1.15.02.01.00.00.00</t>
  </si>
  <si>
    <t>4.1.15.02.02.00.00.00</t>
  </si>
  <si>
    <t>Retention of Safety Manager or Director &amp; key personnel as required</t>
  </si>
  <si>
    <t>Implementation of HSS Project-specific HSS Program</t>
  </si>
  <si>
    <t>Implementation of Project-specific Environmental Program</t>
  </si>
  <si>
    <t>4.1.16.01.00.00.00.00</t>
  </si>
  <si>
    <t>4.1.16.02.00.00.00.00</t>
  </si>
  <si>
    <t>4.1.16.03.00.00.00.00</t>
  </si>
  <si>
    <t>Commence full design once nominated Preferred Proponent</t>
  </si>
  <si>
    <t>Finalize Engineering sub-consultancy agreements</t>
  </si>
  <si>
    <t>4.1.16.02.01.00.00.00</t>
  </si>
  <si>
    <t>4.1.16.02.02.00.00.00</t>
  </si>
  <si>
    <t>4.1.17.01.00.00.00.00</t>
  </si>
  <si>
    <t>4.1.17.02.00.00.00.00</t>
  </si>
  <si>
    <t>4.1.17.03.00.00.00.00</t>
  </si>
  <si>
    <t>4.1.17.04.00.00.00.00</t>
  </si>
  <si>
    <t>4.1.17.05.00.00.00.00</t>
  </si>
  <si>
    <t>4.1.17.06.00.00.00.00</t>
  </si>
  <si>
    <t>4.1.17.07.00.00.00.00</t>
  </si>
  <si>
    <t>4.1.17.08.00.00.00.00</t>
  </si>
  <si>
    <t>4.1.17.09.00.00.00.00</t>
  </si>
  <si>
    <t>4.1.17.10.00.00.00.00</t>
  </si>
  <si>
    <t>4.1.17.11.00.00.00.00</t>
  </si>
  <si>
    <t>4.1.17.12.00.00.00.00</t>
  </si>
  <si>
    <t>Obtain buy-in from management to start working</t>
  </si>
  <si>
    <t>Major utility relocation</t>
  </si>
  <si>
    <t>Geotechnical Surveying</t>
  </si>
  <si>
    <t>Finalize lease agreements - Office and administration are set up</t>
  </si>
  <si>
    <t>Finalize Construction Execution Strategy</t>
  </si>
  <si>
    <t>4.1.17.06.01.00.00.00</t>
  </si>
  <si>
    <t>4.1.17.06.02.00.00.00</t>
  </si>
  <si>
    <t>MFL approval by Project Manager</t>
  </si>
  <si>
    <t>4.1.08.05.00.00.00.00</t>
  </si>
  <si>
    <t>Commence Team Formation/Mobilization</t>
  </si>
  <si>
    <t>Continue Team Formation/Mobilization</t>
  </si>
  <si>
    <t>Set up project controls, procurement and risk management systems</t>
  </si>
  <si>
    <t>4.1.17.10.01.00.00.00</t>
  </si>
  <si>
    <t>4.1.17.10.02.00.00.00</t>
  </si>
  <si>
    <t>Material Orders</t>
  </si>
  <si>
    <t>Other Early Works</t>
  </si>
  <si>
    <t>Review, evaluate and implement Lessons Learned</t>
  </si>
  <si>
    <t>Implementation of project plans</t>
  </si>
  <si>
    <t>4.1.17.12.01.00.00.00</t>
  </si>
  <si>
    <t>4.1.17.12.02.00.00.00</t>
  </si>
  <si>
    <t>4.1.17.12.03.00.00.00</t>
  </si>
  <si>
    <t>4.1.17.12.04.00.00.00</t>
  </si>
  <si>
    <t>HSS</t>
  </si>
  <si>
    <t>Environment</t>
  </si>
  <si>
    <t>Traffic Management</t>
  </si>
  <si>
    <t>Communication</t>
  </si>
  <si>
    <t>4.1.18.01.00.00.00.00</t>
  </si>
  <si>
    <t>4.1.18.02.00.00.00.00</t>
  </si>
  <si>
    <t>Commence assessing HR requirements</t>
  </si>
  <si>
    <t>4.1.18.01.01.00.00.00</t>
  </si>
  <si>
    <t>4.1.18.01.02.00.00.00</t>
  </si>
  <si>
    <t>5.1.05.01.00.00.00.00</t>
  </si>
  <si>
    <t>5.1.05.02.00.00.00.00</t>
  </si>
  <si>
    <t>5.1.05.03.00.00.00.00</t>
  </si>
  <si>
    <t>5.1.05.04.00.00.00.00</t>
  </si>
  <si>
    <t xml:space="preserve">4-Commercial; 5-Legal; 8-Project Controls; 11-Procurement; 13-Quality; 14-Human Ressources; 15-(HSSE) Health, Safety, Security Environment; 16-Engineering; 17-Construction &amp; Project Management; </t>
  </si>
  <si>
    <t>5.1.05.01.01.00.00.00</t>
  </si>
  <si>
    <t>5.1.05.01.02.00.00.00</t>
  </si>
  <si>
    <t>Ongoing Legal Advice</t>
  </si>
  <si>
    <t>5.1.05.02.01.00.00.00</t>
  </si>
  <si>
    <t>5.1.05.02.02.00.00.00</t>
  </si>
  <si>
    <t>5.1.05.02.03.00.00.00</t>
  </si>
  <si>
    <t>5.1.05.02.04.00.00.00</t>
  </si>
  <si>
    <t>Support claims process</t>
  </si>
  <si>
    <t>Preparation of Project's Lessons Learned</t>
  </si>
  <si>
    <t>Preparation of Project’s Lessons Learned (6 months prior to project close-out)</t>
  </si>
  <si>
    <t>Procurement (RFP negociations with subcontractors)</t>
  </si>
  <si>
    <t>Terms &amp; Conditions</t>
  </si>
  <si>
    <t>Dispute Process</t>
  </si>
  <si>
    <t xml:space="preserve">4-Commercial; 8-Project Controls; 11-Procurement; 13-Quality; 14-Human Ressources; 15-(HSSE) Health, Safety, Security Environment; 16-Engineering; 17-Construction &amp; Project Management; </t>
  </si>
  <si>
    <t>5.1.07.01.00.00.00.00</t>
  </si>
  <si>
    <t>Evaluate project scope changes</t>
  </si>
  <si>
    <t>5.1.08.01.00.00.00.00</t>
  </si>
  <si>
    <t>5.1.08.02.00.00.00.00</t>
  </si>
  <si>
    <t>5.1.08.03.00.00.00.00</t>
  </si>
  <si>
    <t>5.1.08.04.00.00.00.00</t>
  </si>
  <si>
    <t>5.1.08.05.00.00.00.00</t>
  </si>
  <si>
    <t>5.1.08.06.00.00.00.00</t>
  </si>
  <si>
    <t>5.1.08.07.00.00.00.00</t>
  </si>
  <si>
    <t>5.1.08.08.00.00.00.00</t>
  </si>
  <si>
    <t>5.1.08.09.00.00.00.00</t>
  </si>
  <si>
    <t>5.1.08.10.00.00.00.00</t>
  </si>
  <si>
    <t>5.1.08.11.00.00.00.00</t>
  </si>
  <si>
    <t xml:space="preserve">4-Commercial; 11-Procurement; 12-Risk Management; 17-Construction &amp; Project Management; </t>
  </si>
  <si>
    <t>5.1.08.02.01.00.00.00</t>
  </si>
  <si>
    <t>5.1.08.02.02.00.00.00</t>
  </si>
  <si>
    <t>Cost Management</t>
  </si>
  <si>
    <t>Validate cost/budget impact</t>
  </si>
  <si>
    <t>Monitoring, control and forecasting</t>
  </si>
  <si>
    <t>Personnel assignment management (MRL)</t>
  </si>
  <si>
    <t>Ongoing/Periodic Project Control Processes</t>
  </si>
  <si>
    <t>5.1.08.07.01.00.00.00</t>
  </si>
  <si>
    <t>5.1.08.07.02.00.00.00</t>
  </si>
  <si>
    <t>5.1.08.07.03.00.00.00</t>
  </si>
  <si>
    <t>5.1.08.07.04.00.00.00</t>
  </si>
  <si>
    <t>5.1.08.07.05.00.00.00</t>
  </si>
  <si>
    <t>Ongoing support, training and guidance to project controls staff and teams</t>
  </si>
  <si>
    <t>Ongoing support, training and guidance to project controls staff</t>
  </si>
  <si>
    <t>Adjust project controls staffing to evolving project needs</t>
  </si>
  <si>
    <t>Conduct internal project reviews and audits</t>
  </si>
  <si>
    <t>Validate information produced by project controls and used for reporting</t>
  </si>
  <si>
    <t>Specialized services to projects</t>
  </si>
  <si>
    <t>5.1.08.07.05.01.00.00</t>
  </si>
  <si>
    <t>5.1.08.07.05.02.00.00</t>
  </si>
  <si>
    <t>5.1.08.07.05.03.00.00</t>
  </si>
  <si>
    <t>5.1.08.07.05.04.00.00</t>
  </si>
  <si>
    <t>Time impact analyses</t>
  </si>
  <si>
    <t>Linear Schedules (TiLOS)</t>
  </si>
  <si>
    <t>Cost re-forecasting</t>
  </si>
  <si>
    <t>Cash flow modeling</t>
  </si>
  <si>
    <t>Review / validate information produced by project controls and used for BU reporting / financial planning (39AG0050)</t>
  </si>
  <si>
    <t>Project schedule change management</t>
  </si>
  <si>
    <t>Project Schedule change management (39AG0050)</t>
  </si>
  <si>
    <t xml:space="preserve">11-Procurement; 13-Quality; 15-(HSSE) Health, Safety, Security Environment; 16-Engineering; 17-Construction &amp; Project Management; </t>
  </si>
  <si>
    <t>5.1.08.09.01.00.00.00</t>
  </si>
  <si>
    <t>5.1.08.09.02.00.00.00</t>
  </si>
  <si>
    <t>5.1.08.09.03.00.00.00</t>
  </si>
  <si>
    <t>5.1.08.09.04.00.00.00</t>
  </si>
  <si>
    <t>Schedule Management</t>
  </si>
  <si>
    <t>5.1.08.10.01.00.00.00</t>
  </si>
  <si>
    <t>5.1.08.10.02.00.00.00</t>
  </si>
  <si>
    <t>5.1.08.10.03.00.00.00</t>
  </si>
  <si>
    <t>Identify delays and calculate critical paths to completion</t>
  </si>
  <si>
    <t>Monthly Schedule Updates</t>
  </si>
  <si>
    <t>Progress Measurement</t>
  </si>
  <si>
    <t>5.1.09.01.00.00.00.00</t>
  </si>
  <si>
    <t>Implementation, Support and maintenance of project systems</t>
  </si>
  <si>
    <t>5.1.10.01.00.00.00.00</t>
  </si>
  <si>
    <t>5.1.10.02.00.00.00.00</t>
  </si>
  <si>
    <t>Implementation, Support and maintenance of document control process</t>
  </si>
  <si>
    <t>Plan handover to O&amp;M and define requirements</t>
  </si>
  <si>
    <t>5.1.12.01.00.00.00.00</t>
  </si>
  <si>
    <t>5.1.12.02.00.00.00.00</t>
  </si>
  <si>
    <t>5.1.12.03.00.00.00.00</t>
  </si>
  <si>
    <t>5.1.12.04.00.00.00.00</t>
  </si>
  <si>
    <t>5.1.12.05.00.00.00.00</t>
  </si>
  <si>
    <t>5.1.12.06.00.00.00.00</t>
  </si>
  <si>
    <t>5.1.12.02.01.00.00.00</t>
  </si>
  <si>
    <t>5.1.12.02.02.00.00.00</t>
  </si>
  <si>
    <t>5.1.12.03.01.00.00.00</t>
  </si>
  <si>
    <t>5.1.12.03.02.00.00.00</t>
  </si>
  <si>
    <t>5.1.12.03.03.00.00.00</t>
  </si>
  <si>
    <t>Implement Project Risk Management Plan</t>
  </si>
  <si>
    <t>Review Risk Allowance Forecast (Monte-Carlo)</t>
  </si>
  <si>
    <t>Act as DB Insurance Contact/Coordinator on Insurance Claim Issues</t>
  </si>
  <si>
    <t>Validate 3108 P85 Risk Allowance</t>
  </si>
  <si>
    <t>http://infozone.snclavalin.com/en/files/Form_3108_en.xlsx</t>
  </si>
  <si>
    <t>5.1.12.05.01.00.00.00</t>
  </si>
  <si>
    <t>5.1.12.05.02.00.00.00</t>
  </si>
  <si>
    <t>5.1.12.05.03.00.00.00</t>
  </si>
  <si>
    <t>5.1.12.05.04.00.00.00</t>
  </si>
  <si>
    <t>5.1.13.01.00.00.00.00</t>
  </si>
  <si>
    <t>5.1.13.02.00.00.00.00</t>
  </si>
  <si>
    <t>5.1.13.03.00.00.00.00</t>
  </si>
  <si>
    <t>5.1.13.04.00.00.00.00</t>
  </si>
  <si>
    <t>5.1.13.05.00.00.00.00</t>
  </si>
  <si>
    <t>5.1.13.01.01.00.00.00</t>
  </si>
  <si>
    <t>5.1.13.01.02.00.00.00</t>
  </si>
  <si>
    <t>Apply Quality Audit Program</t>
  </si>
  <si>
    <t>5.1.13.03.01.00.00.00</t>
  </si>
  <si>
    <t>5.1.13.03.02.00.00.00</t>
  </si>
  <si>
    <t>5.1.13.03.03.00.00.00</t>
  </si>
  <si>
    <t>5.1.13.03.04.00.00.00</t>
  </si>
  <si>
    <t>Acceptance of certificates or history dockets</t>
  </si>
  <si>
    <t>Acceptance of certificates or history dockets transmission to O&amp;M and client for the asset management phase connects into doc control</t>
  </si>
  <si>
    <t>5.1.14.01.00.00.00.00</t>
  </si>
  <si>
    <t>5.1.14.02.00.00.00.00</t>
  </si>
  <si>
    <t>5.1.14.03.00.00.00.00</t>
  </si>
  <si>
    <t>5.1.14.04.00.00.00.00</t>
  </si>
  <si>
    <t>5.1.14.05.00.00.00.00</t>
  </si>
  <si>
    <t>5.1.14.06.00.00.00.00</t>
  </si>
  <si>
    <t>5.1.14.07.00.00.00.00</t>
  </si>
  <si>
    <t>5.1.14.08.00.00.00.00</t>
  </si>
  <si>
    <t>5.1.14.01.01.00.00.00</t>
  </si>
  <si>
    <t>5.1.14.01.02.00.00.00</t>
  </si>
  <si>
    <t>5.1.14.02.01.00.00.00</t>
  </si>
  <si>
    <t>5.1.14.02.02.00.00.00</t>
  </si>
  <si>
    <t>5.1.14.02.03.00.00.00</t>
  </si>
  <si>
    <t>Transfer of project contracts</t>
  </si>
  <si>
    <t>Hiring/termination in accordance with Project Assignment Management</t>
  </si>
  <si>
    <t>As required, ongoing hiring, termination in accordance with Project Assignment Management per MFL</t>
  </si>
  <si>
    <t>Commence O&amp;M Mobilization</t>
  </si>
  <si>
    <t>Ongoing HR Management</t>
  </si>
  <si>
    <t>5.1.14.04.01.00.00.00</t>
  </si>
  <si>
    <t>5.1.14.04.02.00.00.00</t>
  </si>
  <si>
    <t>5.1.14.04.03.00.00.00</t>
  </si>
  <si>
    <t>5.1.14.04.04.00.00.00</t>
  </si>
  <si>
    <t>Management of project employees</t>
  </si>
  <si>
    <t>Talent Management</t>
  </si>
  <si>
    <t>Performance Management</t>
  </si>
  <si>
    <t>Conflicts Management</t>
  </si>
  <si>
    <t>Finalize O&amp;M Mobilization</t>
  </si>
  <si>
    <t>5.1.14.05.01.00.00.00</t>
  </si>
  <si>
    <t>5.1.14.05.02.00.00.00</t>
  </si>
  <si>
    <t>Onboarding of Personnel</t>
  </si>
  <si>
    <t>Demobilization of Delivery Personnel</t>
  </si>
  <si>
    <t>5.1.14.06.01.00.00.00</t>
  </si>
  <si>
    <t>5.1.14.06.02.00.00.00</t>
  </si>
  <si>
    <t>Initiate demobilization of Project Personnel in accordance with MFL</t>
  </si>
  <si>
    <t>Transfer key personnel as identified to O&amp;M</t>
  </si>
  <si>
    <t>Ongoing O&amp;M Managment</t>
  </si>
  <si>
    <t>5.1.14.07.01.00.00.00</t>
  </si>
  <si>
    <t>5.1.14.07.02.00.00.00</t>
  </si>
  <si>
    <t>5.1.14.07.03.00.00.00</t>
  </si>
  <si>
    <t>5.1.14.07.04.00.00.00</t>
  </si>
  <si>
    <t>5.1.15.01.00.00.00.00</t>
  </si>
  <si>
    <t>5.1.15.02.00.00.00.00</t>
  </si>
  <si>
    <t>5.1.15.03.00.00.00.00</t>
  </si>
  <si>
    <t>5.1.15.04.00.00.00.00</t>
  </si>
  <si>
    <t>5.1.15.05.00.00.00.00</t>
  </si>
  <si>
    <t>5.1.15.06.00.00.00.00</t>
  </si>
  <si>
    <t>5.1.15.01.01.00.00.00</t>
  </si>
  <si>
    <t>5.1.15.01.02.00.00.00</t>
  </si>
  <si>
    <t>5.1.15.05.01.00.00.00</t>
  </si>
  <si>
    <t>5.1.15.05.02.00.00.00</t>
  </si>
  <si>
    <t>5.1.15.05.03.00.00.00</t>
  </si>
  <si>
    <t>5.1.15.05.04.00.00.00</t>
  </si>
  <si>
    <t>Regular site visits by Safety Management Personnel</t>
  </si>
  <si>
    <t>Green Book for Environment</t>
  </si>
  <si>
    <t>Blue Book for HSS</t>
  </si>
  <si>
    <t>5.1.16.01.00.00.00.00</t>
  </si>
  <si>
    <t>5.1.16.02.00.00.00.00</t>
  </si>
  <si>
    <t>5.1.16.03.00.00.00.00</t>
  </si>
  <si>
    <t>5.1.16.04.00.00.00.00</t>
  </si>
  <si>
    <t>5.1.16.05.00.00.00.00</t>
  </si>
  <si>
    <t>5.1.16.06.00.00.00.00</t>
  </si>
  <si>
    <t>5.1.16.07.00.00.00.00</t>
  </si>
  <si>
    <t>5.1.16.01.01.00.00.00</t>
  </si>
  <si>
    <t>5.1.16.01.02.00.00.00</t>
  </si>
  <si>
    <t>5.1.16.05.01.00.00.00</t>
  </si>
  <si>
    <t>5.1.16.05.02.00.00.00</t>
  </si>
  <si>
    <t>5.1.16.05.03.00.00.00</t>
  </si>
  <si>
    <t>5.1.16.05.04.00.00.00</t>
  </si>
  <si>
    <t>Design Review</t>
  </si>
  <si>
    <t>Project scope changes - Field change notices</t>
  </si>
  <si>
    <t>Detailed Engineering - Verifications of FEED</t>
  </si>
  <si>
    <t>Detailed Engineering</t>
  </si>
  <si>
    <t>5.1.17.01.00.00.00.00</t>
  </si>
  <si>
    <t>5.1.17.02.00.00.00.00</t>
  </si>
  <si>
    <t>5.1.17.03.00.00.00.00</t>
  </si>
  <si>
    <t>5.1.17.04.00.00.00.00</t>
  </si>
  <si>
    <t>5.1.17.05.00.00.00.00</t>
  </si>
  <si>
    <t>5.1.17.06.00.00.00.00</t>
  </si>
  <si>
    <t>5.1.17.07.00.00.00.00</t>
  </si>
  <si>
    <t>5.1.17.08.00.00.00.00</t>
  </si>
  <si>
    <t>5.1.17.09.00.00.00.00</t>
  </si>
  <si>
    <t>5.1.17.10.00.00.00.00</t>
  </si>
  <si>
    <t>5.1.17.11.00.00.00.00</t>
  </si>
  <si>
    <t>5.1.17.12.00.00.00.00</t>
  </si>
  <si>
    <t>5.1.17.13.00.00.00.00</t>
  </si>
  <si>
    <t>5.1.17.14.00.00.00.00</t>
  </si>
  <si>
    <t xml:space="preserve">17-Construction &amp; Project Management; 18-Operations &amp; Maintenance; </t>
  </si>
  <si>
    <t>5.1.17.12.01.00.00.00</t>
  </si>
  <si>
    <t>5.1.17.12.02.00.00.00</t>
  </si>
  <si>
    <t>5.1.17.12.03.00.00.00</t>
  </si>
  <si>
    <t>5.1.17.12.04.00.00.00</t>
  </si>
  <si>
    <t xml:space="preserve">7-Estimation; 17-Construction &amp; Project Management; </t>
  </si>
  <si>
    <t>Construction full mobilization and site operations</t>
  </si>
  <si>
    <t>Training and orientation of employees</t>
  </si>
  <si>
    <t>Construction kick-off and early activities</t>
  </si>
  <si>
    <t>5.1.17.05.01.00.00.00</t>
  </si>
  <si>
    <t>5.1.17.05.02.00.00.00</t>
  </si>
  <si>
    <t>Update, finalize and issue Project Execution Plan (PEP)</t>
  </si>
  <si>
    <t>Prepare monthly reports (Excom)</t>
  </si>
  <si>
    <t>Business Partners/suppliers integrity checks</t>
  </si>
  <si>
    <t>Deficiencies Tools</t>
  </si>
  <si>
    <t>5.1.18.01.00.00.00.00</t>
  </si>
  <si>
    <t>5.1.18.02.00.00.00.00</t>
  </si>
  <si>
    <t>5.1.18.03.00.00.00.00</t>
  </si>
  <si>
    <t>5.1.18.04.00.00.00.00</t>
  </si>
  <si>
    <t>5.1.18.05.00.00.00.00</t>
  </si>
  <si>
    <t>Handover planning</t>
  </si>
  <si>
    <t>Handover planning (in first 6 months of project, plan logistics of a handover from DB/DE)</t>
  </si>
  <si>
    <t>5.1.18.02.01.00.00.00</t>
  </si>
  <si>
    <t>5.1.18.02.02.00.00.00</t>
  </si>
  <si>
    <t>5.1.18.02.03.00.00.00</t>
  </si>
  <si>
    <t>Review Lessons Learned on previous projects</t>
  </si>
  <si>
    <t>Mobilizing Sub-Contractors</t>
  </si>
  <si>
    <t>5.2.05.01.00.00.00.00</t>
  </si>
  <si>
    <t>5.2.05.02.00.00.00.00</t>
  </si>
  <si>
    <t>5.2.05.03.00.00.00.00</t>
  </si>
  <si>
    <t>5.2.05.04.00.00.00.00</t>
  </si>
  <si>
    <t>5.2.05.05.00.00.00.00</t>
  </si>
  <si>
    <t xml:space="preserve">2-Capital / Equity; 5-Legal; 7-Estimation; 8-Project Controls; 10-Document Control; 11-Procurement; 12-Risk Management; 13-Quality; 14-Human Ressources; 15-(HSSE) Health, Safety, Security Environment; 16-Engineering; 17-Construction &amp; Project Management; 18-Operations &amp; Maintenance; </t>
  </si>
  <si>
    <t>Handover of contracts, warranties to O&amp;M</t>
  </si>
  <si>
    <t>Closing Process: SIL's and Documentation Review</t>
  </si>
  <si>
    <t>5.2.07.01.00.00.00.00</t>
  </si>
  <si>
    <t>5.2.12.01.00.00.00.00</t>
  </si>
  <si>
    <t>5.2.12.02.00.00.00.00</t>
  </si>
  <si>
    <t>5.2.12.03.00.00.00.00</t>
  </si>
  <si>
    <t>5.2.12.04.00.00.00.00</t>
  </si>
  <si>
    <t>Handover of risk register to O&amp;M</t>
  </si>
  <si>
    <t>5.2.13.01.00.00.00.00</t>
  </si>
  <si>
    <t>5.2.13.02.00.00.00.00</t>
  </si>
  <si>
    <t>5.2.13.03.00.00.00.00</t>
  </si>
  <si>
    <t>5.2.08.01.00.00.00.00</t>
  </si>
  <si>
    <t>5.2.08.02.00.00.00.00</t>
  </si>
  <si>
    <t>5.2.08.03.00.00.00.00</t>
  </si>
  <si>
    <t>5.2.08.04.00.00.00.00</t>
  </si>
  <si>
    <t>Review of Residual Risks with Project Manager</t>
  </si>
  <si>
    <t>6-month before close review with Project Manager (review of residual risks for transfer to O&amp;M Risk Allowance as appropriate) for transfer to O&amp;M</t>
  </si>
  <si>
    <t>Handover of Documents to O&amp;M</t>
  </si>
  <si>
    <t>5.2.10.01.00.00.00.00</t>
  </si>
  <si>
    <t>5.2.10.02.00.00.00.00</t>
  </si>
  <si>
    <t>5.2.10.03.00.00.00.00</t>
  </si>
  <si>
    <t>5.2.10.04.00.00.00.00</t>
  </si>
  <si>
    <t>Final demobilization of Project Personnel in accordance with MFL</t>
  </si>
  <si>
    <t>5.2.14.01.00.00.00.00</t>
  </si>
  <si>
    <t>5.2.14.02.00.00.00.00</t>
  </si>
  <si>
    <t>5.2.14.03.00.00.00.00</t>
  </si>
  <si>
    <t>5.2.14.04.00.00.00.00</t>
  </si>
  <si>
    <t>5.2.15.01.00.00.00.00</t>
  </si>
  <si>
    <t>5.2.15.02.00.00.00.00</t>
  </si>
  <si>
    <t>5.2.15.03.00.00.00.00</t>
  </si>
  <si>
    <t>5.2.15.04.00.00.00.00</t>
  </si>
  <si>
    <t>Handover of Safety Program to O&amp;M</t>
  </si>
  <si>
    <t xml:space="preserve">2-Capital / Equity; 4-Commercial; 5-Legal; 7-Estimation; 8-Project Controls; 10-Document Control; 12-Risk Management; 14-Human Ressources; 18-Operations &amp; Maintenance; </t>
  </si>
  <si>
    <t>Transfer of Safety Program to O&amp;M along with other relevant information from various groups during handover</t>
  </si>
  <si>
    <t>5.2.16.01.00.00.00.00</t>
  </si>
  <si>
    <t>5.2.16.02.00.00.00.00</t>
  </si>
  <si>
    <t>5.2.16.03.00.00.00.00</t>
  </si>
  <si>
    <t>5.2.17.01.00.00.00.00</t>
  </si>
  <si>
    <t>5.2.17.02.00.00.00.00</t>
  </si>
  <si>
    <t>5.2.17.03.00.00.00.00</t>
  </si>
  <si>
    <t>5.2.17.04.00.00.00.00</t>
  </si>
  <si>
    <t>5.2.17.05.00.00.00.00</t>
  </si>
  <si>
    <t>Post-construction completions</t>
  </si>
  <si>
    <t>Testing and commissionning</t>
  </si>
  <si>
    <t>Implement Handover from DB &amp; DE</t>
  </si>
  <si>
    <t xml:space="preserve">2-Capital / Equity; 4-Commercial; 5-Legal; 7-Estimation; 8-Project Controls; 10-Document Control; 12-Risk Management; 14-Human Ressources; 15-(HSSE) Health, Safety, Security Environment; </t>
  </si>
  <si>
    <t>5.2.18.01.00.00.00.00</t>
  </si>
  <si>
    <t>5.2.18.02.00.00.00.00</t>
  </si>
  <si>
    <t>5.2.18.03.00.00.00.00</t>
  </si>
  <si>
    <t>5.2.18.04.00.00.00.00</t>
  </si>
  <si>
    <t>5.3.08.01.00.00.00.00</t>
  </si>
  <si>
    <t>5.3.08.00.00.00.00.01</t>
  </si>
  <si>
    <t>5.3.08.00.00.00.00.02</t>
  </si>
  <si>
    <t>5.3.08.02.00.00.00.00</t>
  </si>
  <si>
    <t>5.3.08.03.00.00.00.00</t>
  </si>
  <si>
    <t>Manage and document cost, procurement and schedule close out</t>
  </si>
  <si>
    <t>Project schedule finalization</t>
  </si>
  <si>
    <t>Cost Finalization</t>
  </si>
  <si>
    <t>5.3.09.01.00.00.00.00</t>
  </si>
  <si>
    <t>Close SNC-L Systems</t>
  </si>
  <si>
    <t>5.3.12.01.00.00.00.00</t>
  </si>
  <si>
    <t>Establish Warranty Preiod Risk Management Process</t>
  </si>
  <si>
    <t>5.3.14.01.00.00.00.00</t>
  </si>
  <si>
    <t>Final demobilization of O&amp;M Personnel</t>
  </si>
  <si>
    <t>Final demobilization of O&amp;M Personnel at the end of the operations and maintenance period</t>
  </si>
  <si>
    <t>5.3.16.01.00.00.00.00</t>
  </si>
  <si>
    <t>Engineering finalization / As build documentation</t>
  </si>
  <si>
    <t>5.3.17.01.00.00.00.00</t>
  </si>
  <si>
    <t>Project close-out checklist</t>
  </si>
  <si>
    <t>5.3.18.01.00.00.00.00</t>
  </si>
  <si>
    <t>5.3.18.02.00.00.00.00</t>
  </si>
  <si>
    <t>Preparation of HSSE and Environment Manuals</t>
  </si>
  <si>
    <t>Independant Certification Assessment</t>
  </si>
  <si>
    <t>Independent Certification Assessment of the remaining life of the asset (@ 25 years)</t>
  </si>
  <si>
    <t>19-Finance</t>
  </si>
  <si>
    <t>Finance</t>
  </si>
  <si>
    <t xml:space="preserve">19-Finance; </t>
  </si>
  <si>
    <t>1.1.18.01.00.00.00.00</t>
  </si>
  <si>
    <t>1.1.18.02.00.00.00.00</t>
  </si>
  <si>
    <t>1.1.18.03.00.00.00.00</t>
  </si>
  <si>
    <t>1.1.18.04.00.00.00.00</t>
  </si>
  <si>
    <t xml:space="preserve">1-Leadership; 2-Capital / Equity; 4-Commercial; 5-Legal; 6-Pre-Construction / Bid Team; 8-Project Controls; 11-Procurement; 12-Risk Management; 17-Construction &amp; Project Management; 19-Finance; </t>
  </si>
  <si>
    <t xml:space="preserve">1-Leadership; 2-Capital / Equity; 4-Commercial; 5-Legal; 6-Pre-Construction / Bid Team; 8-Project Controls; 11-Procurement; 12-Risk Management; 14-Human Ressources; 17-Construction &amp; Project Management; 19-Finance; </t>
  </si>
  <si>
    <t>Review of documents for Finance requirements</t>
  </si>
  <si>
    <t xml:space="preserve">1-Leadership; 3-Business Development; 4-Commercial; 14-Human Ressources; 17-Construction &amp; Project Management; 19-Finance; </t>
  </si>
  <si>
    <t>2.1.19.00.00.00.00.00</t>
  </si>
  <si>
    <t>2.1.19.01.00.00.00.00</t>
  </si>
  <si>
    <t>2.1.19.02.00.00.00.00</t>
  </si>
  <si>
    <t xml:space="preserve">4-Commercial; 8-Project Controls; 11-Procurement; 12-Risk Management; 13-Quality; 16-Engineering; 17-Construction &amp; Project Management; 18-Operations &amp; Maintenance; 19-Finance; </t>
  </si>
  <si>
    <t xml:space="preserve">4-Commercial; 6-Pre-Construction / Bid Team; 8-Project Controls; 11-Procurement; 12-Risk Management; 13-Quality; 16-Engineering; 17-Construction &amp; Project Management; 18-Operations &amp; Maintenance; 19-Finance; </t>
  </si>
  <si>
    <t xml:space="preserve">6-Pre-Construction / Bid Team; 8-Project Controls; 11-Procurement; 12-Risk Management; 13-Quality; 16-Engineering; 17-Construction &amp; Project Management; 18-Operations &amp; Maintenance; 19-Finance; </t>
  </si>
  <si>
    <t xml:space="preserve">4-Commercial; 6-Pre-Construction / Bid Team; 8-Project Controls; 11-Procurement; 12-Risk Management; 13-Quality; 19-Finance; </t>
  </si>
  <si>
    <t>Review of Preliminary JVA &amp; Teaming Agreements</t>
  </si>
  <si>
    <t>Financial Due Diligence prepared on all Partners and Major Suppliers/Subcontractors as requested by Commercial Team</t>
  </si>
  <si>
    <t>Identification of audit requirements (ie. Finch/Hurontario IO requirement for EY sign off on conflict of interest policy, and policy and procedure review)</t>
  </si>
  <si>
    <t>2.1.19.01.01.00.00.00</t>
  </si>
  <si>
    <t>2.1.19.01.02.00.00.00</t>
  </si>
  <si>
    <t>2.1.19.01.03.00.00.00</t>
  </si>
  <si>
    <t>2.1.19.01.04.00.00.00</t>
  </si>
  <si>
    <t>Identification of audit requirements</t>
  </si>
  <si>
    <t>Financial Due Diligence</t>
  </si>
  <si>
    <t>Identification of financial requirements in project documents</t>
  </si>
  <si>
    <t>red</t>
  </si>
  <si>
    <t>green</t>
  </si>
  <si>
    <t>3.1.19.00.00.00.00.00</t>
  </si>
  <si>
    <t>3.1.19.01.00.00.00.00</t>
  </si>
  <si>
    <t>3.1.19.02.00.00.00.00</t>
  </si>
  <si>
    <t>3.1.19.03.00.00.00.00</t>
  </si>
  <si>
    <t>3.1.19.04.00.00.00.00</t>
  </si>
  <si>
    <t>3.1.19.05.00.00.00.00</t>
  </si>
  <si>
    <t>3.1.19.06.00.00.00.00</t>
  </si>
  <si>
    <t>3.1.19.07.00.00.00.00</t>
  </si>
  <si>
    <t>3.1.19.08.00.00.00.00</t>
  </si>
  <si>
    <t>3.1.19.09.00.00.00.00</t>
  </si>
  <si>
    <t>3.1.19.10.00.00.00.00</t>
  </si>
  <si>
    <t>JVA review for financial requirements, policies/procedures, audit requirements</t>
  </si>
  <si>
    <t>Proposal progress review update on spend versus proposal budget</t>
  </si>
  <si>
    <t>Contract review for financial requirements</t>
  </si>
  <si>
    <t>Reviews with Tax/Treasury, review of the Tax Position</t>
  </si>
  <si>
    <t>Paper in relation to the cash flow/price sheet, FX hedging requirements, review FX rates used in the bid</t>
  </si>
  <si>
    <t>Review of project cash flow</t>
  </si>
  <si>
    <t>Price sheet review and signoff by SVPF</t>
  </si>
  <si>
    <t>Review of MFL over the project life cycle</t>
  </si>
  <si>
    <t>Ensure price sheet accurately reflects correct allocation of direct/indirect costs and reconciles to the 3108A for SNC reporting</t>
  </si>
  <si>
    <t>3.1.19.11.00.00.00.00</t>
  </si>
  <si>
    <t xml:space="preserve">2-Capital / Equity; 4-Commercial; 5-Legal; 6-Pre-Construction / Bid Team; 7-Estimation; 8-Project Controls; 11-Procurement; 15-(HSSE) Health, Safety, Security Environment; 16-Engineering; 17-Construction &amp; Project Management; 18-Operations &amp; Maintenance; 19-Finance; </t>
  </si>
  <si>
    <t xml:space="preserve">JVA review </t>
  </si>
  <si>
    <t>Paper in relation to the cash flow/price sheet, FX hedging requirements</t>
  </si>
  <si>
    <t>Review Price Sheet</t>
  </si>
  <si>
    <t>3.1.19.11.01.00.00.00</t>
  </si>
  <si>
    <t>3.1.19.11.02.00.00.00</t>
  </si>
  <si>
    <t xml:space="preserve">2-Capital / Equity; 4-Commercial; 5-Legal; 7-Estimation; 8-Project Controls; 11-Procurement; 12-Risk Management; 13-Quality; 14-Human Ressources; 15-(HSSE) Health, Safety, Security Environment; 16-Engineering; 17-Construction &amp; Project Management; 18-Operations &amp; Maintenance; 19-Finance; </t>
  </si>
  <si>
    <t>3.2.19.00.00.00.00.00</t>
  </si>
  <si>
    <t>3.2.19.01.00.00.00.00</t>
  </si>
  <si>
    <t>3.2.19.01.01.00.00.00</t>
  </si>
  <si>
    <t>3.2.19.01.02.00.00.00</t>
  </si>
  <si>
    <t>4.1.01.01.00.00.00.00</t>
  </si>
  <si>
    <t>4.1.01.02.00.00.00.00</t>
  </si>
  <si>
    <t>4.1.01.03.00.00.00.00</t>
  </si>
  <si>
    <t xml:space="preserve">Support bid team </t>
  </si>
  <si>
    <t>Support bid team for any requests requiring financial analysis/assistance</t>
  </si>
  <si>
    <t>Preferred proponent clarification responses, review of internal agreements</t>
  </si>
  <si>
    <t>Review Execution Phase Agreements for finance requirements</t>
  </si>
  <si>
    <t>4.1.01.03.01.00.00.00</t>
  </si>
  <si>
    <t>4.1.01.03.02.00.00.00</t>
  </si>
  <si>
    <t>5.1.19.00.00.00.00.00</t>
  </si>
  <si>
    <t>5.1.19.01.00.00.00.00</t>
  </si>
  <si>
    <t>5.1.19.02.00.00.00.00</t>
  </si>
  <si>
    <t>5.1.19.03.00.00.00.00</t>
  </si>
  <si>
    <t>5.1.19.04.00.00.00.00</t>
  </si>
  <si>
    <t>5.1.19.05.00.00.00.00</t>
  </si>
  <si>
    <t>5.1.19.06.00.00.00.00</t>
  </si>
  <si>
    <t>5.1.19.07.00.00.00.00</t>
  </si>
  <si>
    <t>5.1.19.08.00.00.00.00</t>
  </si>
  <si>
    <t xml:space="preserve">4-Commercial; 11-Procurement; 12-Risk Management; 17-Construction &amp; Project Management; 19-Finance; </t>
  </si>
  <si>
    <t>Claims Management - reporting</t>
  </si>
  <si>
    <t>Change Management - update financial impact</t>
  </si>
  <si>
    <t>Management and responsibility for the financial reporting and compliance to policies/procedures of the project</t>
  </si>
  <si>
    <t>Transactional processing (payments/billings)</t>
  </si>
  <si>
    <t>5.1.19.04.01.00.00.00</t>
  </si>
  <si>
    <t xml:space="preserve">4-Commercial; 5-Legal; 8-Project Controls; 11-Procurement; 13-Quality; 14-Human Ressources; 15-(HSSE) Health, Safety, Security Environment; 16-Engineering; 17-Construction &amp; Project Management; 19-Finance; </t>
  </si>
  <si>
    <t>Monthly Financial Reporting</t>
  </si>
  <si>
    <t>Internal audit and compliance testing on-going</t>
  </si>
  <si>
    <t xml:space="preserve">Annual Audit </t>
  </si>
  <si>
    <t>Position papers prepared for significant events impacting the financial reporting</t>
  </si>
  <si>
    <t>Ongoing Financial Management</t>
  </si>
  <si>
    <t>5.1.19.05.01.00.00.00</t>
  </si>
  <si>
    <t>5.1.19.05.02.00.00.00</t>
  </si>
  <si>
    <t>5.1.19.05.03.00.00.00</t>
  </si>
  <si>
    <t>5.1.19.05.04.00.00.00</t>
  </si>
  <si>
    <t>5.1.19.05.05.00.00.00</t>
  </si>
  <si>
    <t>5.1.19.05.06.00.00.00</t>
  </si>
  <si>
    <t>Preparation of Partner tax forms</t>
  </si>
  <si>
    <t>Profit distributions/injections</t>
  </si>
  <si>
    <t>5.2.19.00.00.00.00.00</t>
  </si>
  <si>
    <t>5.2.19.01.00.00.00.00</t>
  </si>
  <si>
    <t>5.2.19.02.00.00.00.00</t>
  </si>
  <si>
    <t>5.2.19.03.00.00.00.00</t>
  </si>
  <si>
    <t>5.2.19.04.00.00.00.00</t>
  </si>
  <si>
    <t>5.2.19.05.00.00.00.00</t>
  </si>
  <si>
    <t>Manage the financial reporting through to the project wind-down phase</t>
  </si>
  <si>
    <t>Contingency release, warranty provisions, document close our period for Partners</t>
  </si>
  <si>
    <t>Distribution of profits to Partners</t>
  </si>
  <si>
    <t>Financial document storage</t>
  </si>
  <si>
    <t>5.3.19.00.00.00.00.00</t>
  </si>
  <si>
    <t>5.3.19.01.00.00.00.00</t>
  </si>
  <si>
    <t>5.3.19.02.00.00.00.00</t>
  </si>
  <si>
    <t>5.3.19.03.00.00.00.00</t>
  </si>
  <si>
    <t>5.3.19.04.00.00.00.00</t>
  </si>
  <si>
    <t>5.3.19.05.00.00.00.00</t>
  </si>
  <si>
    <t>5.3.19.06.00.00.00.00</t>
  </si>
  <si>
    <t>5.3.19.07.00.00.00.00</t>
  </si>
  <si>
    <t>5.3.19.08.00.00.00.00</t>
  </si>
  <si>
    <t>Financial close out, final reporting, final client billing</t>
  </si>
  <si>
    <t>Document storage</t>
  </si>
  <si>
    <t>Balance Sheet reconciled and all assets/liabilities settled</t>
  </si>
  <si>
    <t>Prepare FS through to the end of all warranty periods</t>
  </si>
  <si>
    <t>Final reconciliation of Partners accounts and close out of the JV/GP</t>
  </si>
  <si>
    <t>Closure of the bank account</t>
  </si>
  <si>
    <t>JV/GP Closure only after the expiry of all statutory warranty periods</t>
  </si>
  <si>
    <t xml:space="preserve">1-Leadership; 4-Commercial; 14-Human Ressources; 17-Construction &amp; Project Management; 19-Finance; </t>
  </si>
  <si>
    <t xml:space="preserve">5-Legal; 17-Construction &amp; Project Management; </t>
  </si>
  <si>
    <t xml:space="preserve">4-Commercial; 8-Project Controls; 12-Risk Management; 13-Quality; 16-Engineering; 17-Construction &amp; Project Management; 18-Operations &amp; Maintenance; 19-Finance; </t>
  </si>
  <si>
    <t xml:space="preserve">8-Project Controls; 11-Procurement; 12-Risk Management; 13-Quality; 16-Engineering; 17-Construction &amp; Project Management; 18-Operations &amp; Maintenance; 19-Finance; </t>
  </si>
  <si>
    <t xml:space="preserve">4-Commercial; 8-Project Controls; 11-Procurement; 12-Risk Management; 13-Quality; 19-Finance; </t>
  </si>
  <si>
    <t xml:space="preserve">4-Commercial; 5-Legal; 6-Pre-Construction / Bid Team; 7-Estimation; 8-Project Controls; 11-Procurement; 16-Engineering; 17-Construction &amp; Project Management; 18-Operations &amp; Maintenance; </t>
  </si>
  <si>
    <t xml:space="preserve">4-Commercial; 6-Pre-Construction / Bid Team; </t>
  </si>
  <si>
    <t xml:space="preserve">2-Capital / Equity; 4-Commercial; 5-Legal; 8-Project Controls; 9-Project Management Systems; 10-Document Control; 11-Procurement; 12-Risk Management; 13-Quality; 14-Human Ressources; 15-(HSSE) Health, Safety, Security Environment; 16-Engineering; 17-Construction &amp; Project Management; 18-Operations &amp; Maintenance; </t>
  </si>
  <si>
    <t xml:space="preserve">8-Project Controls; 13-Quality; 14-Human Ressources; 16-Engineering; 17-Construction &amp; Project Management; 18-Operations &amp; Maintenance; </t>
  </si>
  <si>
    <t xml:space="preserve">4-Commercial; 5-Legal; 7-Estimation; 8-Project Controls; 9-Project Management Systems; 10-Document Control; 11-Procurement; </t>
  </si>
  <si>
    <t xml:space="preserve">6-Pre-Construction / Bid Team; 7-Estimation; </t>
  </si>
  <si>
    <t xml:space="preserve">2-Capital / Equity; 7-Estimation; 8-Project Controls; 10-Document Control; 12-Risk Management; 14-Human Ressources; 15-(HSSE) Health, Safety, Security Environment; 18-Operations &amp; Maintenance; </t>
  </si>
  <si>
    <t xml:space="preserve">2-Capital / Equity; 4-Commercial; 5-Legal; 7-Estimation; 8-Project Controls; 10-Document Control; 14-Human Ressources; 15-(HSSE) Health, Safety, Security Environment; 18-Operations &amp; Maintenance; </t>
  </si>
  <si>
    <t>Management and responsibility for the financial reporting</t>
  </si>
  <si>
    <t>Review Pre-Qualification Documentation</t>
  </si>
  <si>
    <t xml:space="preserve">Bid Proposal Writing </t>
  </si>
  <si>
    <t>new</t>
  </si>
  <si>
    <t>3.1.13.02.03.00.00.00</t>
  </si>
  <si>
    <t>Propose the Quality Key Personnel</t>
  </si>
  <si>
    <t>Negociate tools for key Quality processes with JV partners</t>
  </si>
  <si>
    <t>3.1.13.03.04.00.00.00</t>
  </si>
  <si>
    <t>mediumpurple</t>
  </si>
  <si>
    <t>Project Quality Control Program</t>
  </si>
  <si>
    <t>Initial input for Project Execution Plan (PEP)</t>
  </si>
  <si>
    <t>4.1.13.04.00.00.00.00</t>
  </si>
  <si>
    <t>Start Implementing Quality Management Process Tools</t>
  </si>
  <si>
    <t>goldenrod</t>
  </si>
  <si>
    <t>5.1.13.04.01.00.00.00</t>
  </si>
  <si>
    <t>5.1.13.04.02.00.00.00</t>
  </si>
  <si>
    <t>5.1.13.05.01.00.00.00</t>
  </si>
  <si>
    <t>5.1.13.05.02.00.00.00</t>
  </si>
  <si>
    <t>5.1.13.05.03.00.00.00</t>
  </si>
  <si>
    <t>5.1.13.05.04.00.00.00</t>
  </si>
  <si>
    <t>Quality Assurance</t>
  </si>
  <si>
    <t>Quality Control</t>
  </si>
  <si>
    <t>TYPE2</t>
  </si>
  <si>
    <t>5.1.13.01.03.00.00.00</t>
  </si>
  <si>
    <t>5.1.13.01.04.00.00.00</t>
  </si>
  <si>
    <t>5.1.13.01.05.00.00.00</t>
  </si>
  <si>
    <t>5.1.13.01.06.00.00.00</t>
  </si>
  <si>
    <t>Edit project management documents according to project requirements (main inputs: contract, PEP &amp; IMS) PM &amp; DQP</t>
  </si>
  <si>
    <t>Establish, implement and maintain project quality plan(s)</t>
  </si>
  <si>
    <t>Edit project management documents (inputs: contract, PEP &amp; IMS)</t>
  </si>
  <si>
    <t>Adapt and issue quality specifications for purchases and contracts packages</t>
  </si>
  <si>
    <t>Establish, implement and maintain quality monitoring program</t>
  </si>
  <si>
    <t>Establish, implement and maintain project audit program</t>
  </si>
  <si>
    <t>Frame &amp; Submit info for progress report &amp; BU follow-up</t>
  </si>
  <si>
    <t>5.1.13.02.01.00.00.00</t>
  </si>
  <si>
    <t>5.1.13.02.02.00.00.00</t>
  </si>
  <si>
    <t>5.1.13.02.03.00.00.00</t>
  </si>
  <si>
    <t>5.1.13.02.04.00.00.00</t>
  </si>
  <si>
    <t>5.1.13.02.05.00.00.00</t>
  </si>
  <si>
    <t>5.1.13.02.06.00.00.00</t>
  </si>
  <si>
    <t>Elaborate/Review inspection &amp; test plans</t>
  </si>
  <si>
    <t>Apply ITP</t>
  </si>
  <si>
    <t>Monitor laboratory if needed</t>
  </si>
  <si>
    <t>Monitor calibration of site measuring equipments</t>
  </si>
  <si>
    <t>Manage deficiencies</t>
  </si>
  <si>
    <t>Elaborate/Verify compliance records</t>
  </si>
  <si>
    <t>5.1.13.02.07.00.00.00</t>
  </si>
  <si>
    <t>5.2.13.06.00.00.00.00</t>
  </si>
  <si>
    <t>5.2.13.07.00.00.00.00</t>
  </si>
  <si>
    <t>5.2.13.04.00.00.00.00</t>
  </si>
  <si>
    <t>5.2.13.05.00.00.00.00</t>
  </si>
  <si>
    <t>Prepare and perform the project walkthrough</t>
  </si>
  <si>
    <t>Prepare and manage the compliance checking program (Deficiency List)</t>
  </si>
  <si>
    <t>Prepare handover documentation to Client</t>
  </si>
  <si>
    <t>Prepare and perform the substantial completion</t>
  </si>
  <si>
    <t xml:space="preserve">4-Commercial; 13-Quality; 15-(HSSE) Health, Safety, Security Environment; </t>
  </si>
  <si>
    <t xml:space="preserve">13-Quality; 16-Engineering; </t>
  </si>
  <si>
    <t xml:space="preserve">9-Project Management Systems; 13-Quality; 16-Engineering; </t>
  </si>
  <si>
    <t>HYPERLINK</t>
  </si>
  <si>
    <t>Project Controls / Schedule</t>
  </si>
  <si>
    <t>Pre-RFQ</t>
  </si>
  <si>
    <t>RFQ</t>
  </si>
  <si>
    <t>RFP</t>
  </si>
  <si>
    <t>Client Evaluation</t>
  </si>
  <si>
    <t>Preferred Proponent</t>
  </si>
  <si>
    <t>Handover</t>
  </si>
  <si>
    <t>Close-Out</t>
  </si>
  <si>
    <t>Obtain Package Budget</t>
  </si>
  <si>
    <r>
      <rPr>
        <sz val="11"/>
        <color rgb="FFFF0000"/>
        <rFont val="Calibri"/>
        <family val="2"/>
        <scheme val="minor"/>
      </rPr>
      <t>Recruit &amp; Assign</t>
    </r>
    <r>
      <rPr>
        <sz val="11"/>
        <rFont val="Calibri"/>
        <family val="2"/>
        <scheme val="minor"/>
      </rPr>
      <t xml:space="preserve"> Proposal Procurement Manager</t>
    </r>
  </si>
  <si>
    <t>Recruit &amp; Assign Proposal Procurement Resources</t>
  </si>
  <si>
    <t>Define Non-Disclosure Agreement with Legal</t>
  </si>
  <si>
    <t>Prepare Bidders List(s)</t>
  </si>
  <si>
    <t>Issue RFP to Bidders</t>
  </si>
  <si>
    <t xml:space="preserve">Prepare Bid Comparison &amp; Recommendation </t>
  </si>
  <si>
    <t>Prepare Draft Project Procurement Plan (PPP)</t>
  </si>
  <si>
    <t>Identify Critical/Long Lead Packages</t>
  </si>
  <si>
    <r>
      <t xml:space="preserve">Recommend Project </t>
    </r>
    <r>
      <rPr>
        <sz val="11"/>
        <color rgb="FFFF0000"/>
        <rFont val="Calibri"/>
        <family val="2"/>
        <scheme val="minor"/>
      </rPr>
      <t>Procurement</t>
    </r>
    <r>
      <rPr>
        <sz val="11"/>
        <rFont val="Calibri"/>
        <family val="2"/>
        <scheme val="minor"/>
      </rPr>
      <t xml:space="preserve"> MFL</t>
    </r>
    <r>
      <rPr>
        <sz val="11"/>
        <color rgb="FFFF0000"/>
        <rFont val="Calibri"/>
        <family val="2"/>
        <scheme val="minor"/>
      </rPr>
      <t xml:space="preserve"> &amp; Organization Structure</t>
    </r>
  </si>
  <si>
    <t>Build &amp; Implement Filing Structure</t>
  </si>
  <si>
    <r>
      <t xml:space="preserve">Prepare </t>
    </r>
    <r>
      <rPr>
        <sz val="11"/>
        <color rgb="FFFF0000"/>
        <rFont val="Calibri"/>
        <family val="2"/>
        <scheme val="minor"/>
      </rPr>
      <t>H</t>
    </r>
    <r>
      <rPr>
        <sz val="11"/>
        <rFont val="Calibri"/>
        <family val="2"/>
        <scheme val="minor"/>
      </rPr>
      <t>andover from Pursuit to Execution</t>
    </r>
  </si>
  <si>
    <t xml:space="preserve">Prepare Critical/Long Lead Packages </t>
  </si>
  <si>
    <t>Finalize Subcontract Templates</t>
  </si>
  <si>
    <t>Define Proposal Tools &amp; Systems (i.e SharePoint/GPS)</t>
  </si>
  <si>
    <t>Train Users on Tools &amp; Systems (i.e SharePoint/GPS)</t>
  </si>
  <si>
    <r>
      <t xml:space="preserve">Implement Proposal Tools &amp; Systems </t>
    </r>
    <r>
      <rPr>
        <sz val="11"/>
        <color rgb="FFFF0000"/>
        <rFont val="Calibri"/>
        <family val="2"/>
        <scheme val="minor"/>
      </rPr>
      <t>(i.e SharePoint/GPS)</t>
    </r>
  </si>
  <si>
    <t>Issue RFP to Bidders for Early Work Packages</t>
  </si>
  <si>
    <r>
      <t>Update/</t>
    </r>
    <r>
      <rPr>
        <sz val="11"/>
        <color rgb="FFFF0000"/>
        <rFont val="Calibri"/>
        <family val="2"/>
        <scheme val="minor"/>
      </rPr>
      <t>Review</t>
    </r>
    <r>
      <rPr>
        <sz val="11"/>
        <rFont val="Calibri"/>
        <family val="2"/>
        <scheme val="minor"/>
      </rPr>
      <t xml:space="preserve"> Startup Checklist</t>
    </r>
  </si>
  <si>
    <r>
      <rPr>
        <sz val="11"/>
        <color rgb="FFFF0000"/>
        <rFont val="Calibri"/>
        <family val="2"/>
        <scheme val="minor"/>
      </rPr>
      <t>Finalize &amp; Introduce</t>
    </r>
    <r>
      <rPr>
        <sz val="11"/>
        <rFont val="Calibri"/>
        <family val="2"/>
        <scheme val="minor"/>
      </rPr>
      <t xml:space="preserve"> Project Procurement Plan to Partners</t>
    </r>
  </si>
  <si>
    <r>
      <t>Update &amp;</t>
    </r>
    <r>
      <rPr>
        <sz val="11"/>
        <color rgb="FFFF0000"/>
        <rFont val="Calibri"/>
        <family val="2"/>
        <scheme val="minor"/>
      </rPr>
      <t xml:space="preserve"> Issue</t>
    </r>
    <r>
      <rPr>
        <sz val="11"/>
        <rFont val="Calibri"/>
        <family val="2"/>
        <scheme val="minor"/>
      </rPr>
      <t xml:space="preserve"> Package</t>
    </r>
    <r>
      <rPr>
        <sz val="11"/>
        <color rgb="FFFF0000"/>
        <rFont val="Calibri"/>
        <family val="2"/>
        <scheme val="minor"/>
      </rPr>
      <t xml:space="preserve"> Schedule</t>
    </r>
    <r>
      <rPr>
        <sz val="11"/>
        <rFont val="Calibri"/>
        <family val="2"/>
        <scheme val="minor"/>
      </rPr>
      <t xml:space="preserve"> Listing (CPN) &amp; Bidders List</t>
    </r>
  </si>
  <si>
    <r>
      <t xml:space="preserve">Finalize &amp; </t>
    </r>
    <r>
      <rPr>
        <strike/>
        <sz val="11"/>
        <color rgb="FFFF0000"/>
        <rFont val="Calibri"/>
        <family val="2"/>
        <scheme val="minor"/>
      </rPr>
      <t>Issue</t>
    </r>
    <r>
      <rPr>
        <strike/>
        <sz val="11"/>
        <rFont val="Calibri"/>
        <family val="2"/>
        <scheme val="minor"/>
      </rPr>
      <t xml:space="preserve"> Project Procurement Strategy</t>
    </r>
  </si>
  <si>
    <r>
      <rPr>
        <sz val="11"/>
        <color rgb="FFFF0000"/>
        <rFont val="Calibri"/>
        <family val="2"/>
        <scheme val="minor"/>
      </rPr>
      <t>Finalize</t>
    </r>
    <r>
      <rPr>
        <sz val="11"/>
        <rFont val="Calibri"/>
        <family val="2"/>
        <scheme val="minor"/>
      </rPr>
      <t xml:space="preserve"> Project </t>
    </r>
    <r>
      <rPr>
        <sz val="11"/>
        <color rgb="FFFF0000"/>
        <rFont val="Calibri"/>
        <family val="2"/>
        <scheme val="minor"/>
      </rPr>
      <t>Procurment</t>
    </r>
    <r>
      <rPr>
        <sz val="11"/>
        <rFont val="Calibri"/>
        <family val="2"/>
        <scheme val="minor"/>
      </rPr>
      <t xml:space="preserve"> MFL </t>
    </r>
    <r>
      <rPr>
        <sz val="11"/>
        <color rgb="FFFF0000"/>
        <rFont val="Calibri"/>
        <family val="2"/>
        <scheme val="minor"/>
      </rPr>
      <t>&amp; Organization Structure</t>
    </r>
  </si>
  <si>
    <t>Define Terms &amp; Conditions with Commercial &amp; Legal (Flowdowns)</t>
  </si>
  <si>
    <t xml:space="preserve"> Finalize Terms &amp; Conditions with Commercial &amp; Legal (Flowdowns)</t>
  </si>
  <si>
    <t>Assist to Finalize Levels of Authority</t>
  </si>
  <si>
    <r>
      <rPr>
        <sz val="11"/>
        <color rgb="FFFF0000"/>
        <rFont val="Calibri"/>
        <family val="2"/>
        <scheme val="minor"/>
      </rPr>
      <t>Recruit &amp;</t>
    </r>
    <r>
      <rPr>
        <sz val="11"/>
        <rFont val="Calibri"/>
        <family val="2"/>
        <scheme val="minor"/>
      </rPr>
      <t xml:space="preserve"> Assign Key Ressources for Early Work Packages</t>
    </r>
    <r>
      <rPr>
        <sz val="11"/>
        <color rgb="FFFF0000"/>
        <rFont val="Calibri"/>
        <family val="2"/>
        <scheme val="minor"/>
      </rPr>
      <t xml:space="preserve"> &amp; Document Preparation</t>
    </r>
  </si>
  <si>
    <r>
      <rPr>
        <sz val="11"/>
        <color rgb="FFFF0000"/>
        <rFont val="Calibri"/>
        <family val="2"/>
        <scheme val="minor"/>
      </rPr>
      <t>Recruit &amp; Assign</t>
    </r>
    <r>
      <rPr>
        <sz val="11"/>
        <rFont val="Calibri"/>
        <family val="2"/>
        <scheme val="minor"/>
      </rPr>
      <t xml:space="preserve"> Procurement </t>
    </r>
    <r>
      <rPr>
        <sz val="11"/>
        <color rgb="FFFF0000"/>
        <rFont val="Calibri"/>
        <family val="2"/>
        <scheme val="minor"/>
      </rPr>
      <t>Resources</t>
    </r>
    <r>
      <rPr>
        <sz val="11"/>
        <rFont val="Calibri"/>
        <family val="2"/>
        <scheme val="minor"/>
      </rPr>
      <t xml:space="preserve"> per MFL</t>
    </r>
  </si>
  <si>
    <t>Prepare Lessons Learned Log</t>
  </si>
  <si>
    <t>Implement KPI Reports &amp; Review</t>
  </si>
  <si>
    <t>Update KPI Reports &amp; Review</t>
  </si>
  <si>
    <t>Leverage Proposal Efforts (i.e. CPN, Bidder Lists)</t>
  </si>
  <si>
    <t>Assist Commercial and Legal with Preparation of Exclusivity Agreement(s)</t>
  </si>
  <si>
    <t>Prepare &amp; Issue Proposal Commitments (i.e. Service Agreements)</t>
  </si>
  <si>
    <r>
      <t>Update/</t>
    </r>
    <r>
      <rPr>
        <sz val="11"/>
        <color rgb="FFFF0000"/>
        <rFont val="Calibri"/>
        <family val="2"/>
        <scheme val="minor"/>
      </rPr>
      <t>Finalize</t>
    </r>
    <r>
      <rPr>
        <sz val="11"/>
        <rFont val="Calibri"/>
        <family val="2"/>
        <scheme val="minor"/>
      </rPr>
      <t xml:space="preserve"> Startup Checklist</t>
    </r>
  </si>
  <si>
    <r>
      <t xml:space="preserve">Define </t>
    </r>
    <r>
      <rPr>
        <sz val="11"/>
        <color rgb="FFFF0000"/>
        <rFont val="Calibri"/>
        <family val="2"/>
        <scheme val="minor"/>
      </rPr>
      <t>&amp; Issue</t>
    </r>
    <r>
      <rPr>
        <sz val="11"/>
        <rFont val="Calibri"/>
        <family val="2"/>
        <scheme val="minor"/>
      </rPr>
      <t xml:space="preserve"> </t>
    </r>
    <r>
      <rPr>
        <sz val="11"/>
        <color rgb="FFFF0000"/>
        <rFont val="Calibri"/>
        <family val="2"/>
        <scheme val="minor"/>
      </rPr>
      <t>Proposal</t>
    </r>
    <r>
      <rPr>
        <sz val="11"/>
        <rFont val="Calibri"/>
        <family val="2"/>
        <scheme val="minor"/>
      </rPr>
      <t xml:space="preserve"> MFL</t>
    </r>
  </si>
  <si>
    <t>Define Procurement Proposal Standard Operating Procedure (including Strategy, Roles &amp; Responsibility)</t>
  </si>
  <si>
    <r>
      <t xml:space="preserve">Finalize </t>
    </r>
    <r>
      <rPr>
        <sz val="11"/>
        <color rgb="FFFF0000"/>
        <rFont val="Calibri"/>
        <family val="2"/>
        <scheme val="minor"/>
      </rPr>
      <t>&amp; Issue</t>
    </r>
    <r>
      <rPr>
        <sz val="11"/>
        <rFont val="Calibri"/>
        <family val="2"/>
        <scheme val="minor"/>
      </rPr>
      <t xml:space="preserve"> </t>
    </r>
    <r>
      <rPr>
        <sz val="11"/>
        <color rgb="FFFF0000"/>
        <rFont val="Calibri"/>
        <family val="2"/>
        <scheme val="minor"/>
      </rPr>
      <t>Procurement Proposal Standard Operating Procedure (including Strategy, Roles &amp; Responsibility)</t>
    </r>
  </si>
  <si>
    <t>Prepare Package Schedule Listing (CPN) with Estimating/Engineering</t>
  </si>
  <si>
    <t>Update Package Schedule Listing (CPN) with Estimating/Engineering</t>
  </si>
  <si>
    <t>Ensure Finalized Proposal Procurement Documentation Completeness &amp; Transfer to Central Repository (i.e. SharePoint)</t>
  </si>
  <si>
    <t>Assist to Define Proposal Levels of Authority</t>
  </si>
  <si>
    <t>Assist to Define Project Levels of Authority</t>
  </si>
  <si>
    <r>
      <rPr>
        <sz val="11"/>
        <color rgb="FFFF0000"/>
        <rFont val="Calibri"/>
        <family val="2"/>
        <scheme val="minor"/>
      </rPr>
      <t>Approve &amp; Issue</t>
    </r>
    <r>
      <rPr>
        <sz val="11"/>
        <rFont val="Calibri"/>
        <family val="2"/>
        <scheme val="minor"/>
      </rPr>
      <t xml:space="preserve"> Project Procurement Plan</t>
    </r>
  </si>
  <si>
    <r>
      <t>Support</t>
    </r>
    <r>
      <rPr>
        <sz val="11"/>
        <color rgb="FFFF0000"/>
        <rFont val="Calibri"/>
        <family val="2"/>
        <scheme val="minor"/>
      </rPr>
      <t>/Assistance</t>
    </r>
  </si>
  <si>
    <r>
      <t>Monitor</t>
    </r>
    <r>
      <rPr>
        <sz val="11"/>
        <color rgb="FFFF0000"/>
        <rFont val="Calibri"/>
        <family val="2"/>
        <scheme val="minor"/>
      </rPr>
      <t>/Track</t>
    </r>
  </si>
  <si>
    <t>Material Control</t>
  </si>
  <si>
    <t>Warehousing/Inventory</t>
  </si>
  <si>
    <r>
      <t xml:space="preserve">Define Proposal Forms &amp; Templates </t>
    </r>
    <r>
      <rPr>
        <sz val="11"/>
        <color rgb="FFFF0000"/>
        <rFont val="Calibri"/>
        <family val="2"/>
        <scheme val="minor"/>
      </rPr>
      <t>(i.e. Subcontract/Purchasing)</t>
    </r>
  </si>
  <si>
    <r>
      <t xml:space="preserve">Finalize </t>
    </r>
    <r>
      <rPr>
        <sz val="11"/>
        <color rgb="FFFF0000"/>
        <rFont val="Calibri"/>
        <family val="2"/>
        <scheme val="minor"/>
      </rPr>
      <t>&amp; Implement</t>
    </r>
    <r>
      <rPr>
        <sz val="11"/>
        <rFont val="Calibri"/>
        <family val="2"/>
        <scheme val="minor"/>
      </rPr>
      <t xml:space="preserve"> Proposal Forms &amp; Templates </t>
    </r>
    <r>
      <rPr>
        <sz val="11"/>
        <color rgb="FFFF0000"/>
        <rFont val="Calibri"/>
        <family val="2"/>
        <scheme val="minor"/>
      </rPr>
      <t>(i.e. Subcontract/Purchasing)</t>
    </r>
  </si>
  <si>
    <t>Review Package Coding Structure</t>
  </si>
  <si>
    <t>Obtain Project Name/Legal Entity</t>
  </si>
  <si>
    <t>Review Insurance Requirements (i.e. Cargo, All Risk)</t>
  </si>
  <si>
    <r>
      <rPr>
        <sz val="11"/>
        <color rgb="FFFF0000"/>
        <rFont val="Calibri"/>
        <family val="2"/>
        <scheme val="minor"/>
      </rPr>
      <t>Customize</t>
    </r>
    <r>
      <rPr>
        <sz val="11"/>
        <rFont val="Calibri"/>
        <family val="2"/>
        <scheme val="minor"/>
      </rPr>
      <t xml:space="preserve"> &amp;</t>
    </r>
    <r>
      <rPr>
        <sz val="11"/>
        <color rgb="FFFF0000"/>
        <rFont val="Calibri"/>
        <family val="2"/>
        <scheme val="minor"/>
      </rPr>
      <t xml:space="preserve"> Issue</t>
    </r>
    <r>
      <rPr>
        <sz val="11"/>
        <rFont val="Calibri"/>
        <family val="2"/>
        <scheme val="minor"/>
      </rPr>
      <t xml:space="preserve"> Project Procurement Forms, Templates, Processes/Procedures &amp; Workflow</t>
    </r>
    <r>
      <rPr>
        <sz val="11"/>
        <color rgb="FFFF0000"/>
        <rFont val="Calibri"/>
        <family val="2"/>
        <scheme val="minor"/>
      </rPr>
      <t xml:space="preserve"> (i.e. Subcontract/Purchasing)</t>
    </r>
  </si>
  <si>
    <r>
      <rPr>
        <sz val="11"/>
        <color rgb="FFFF0000"/>
        <rFont val="Calibri"/>
        <family val="2"/>
        <scheme val="minor"/>
      </rPr>
      <t>Finalize &amp; Implement</t>
    </r>
    <r>
      <rPr>
        <sz val="11"/>
        <rFont val="Calibri"/>
        <family val="2"/>
        <scheme val="minor"/>
      </rPr>
      <t xml:space="preserve"> Proposal Procurement Processes/Procedures</t>
    </r>
    <r>
      <rPr>
        <sz val="11"/>
        <color rgb="FFFF0000"/>
        <rFont val="Calibri"/>
        <family val="2"/>
        <scheme val="minor"/>
      </rPr>
      <t>/Workflows (i.e. Subcontract/Purchasing)</t>
    </r>
  </si>
  <si>
    <t>Define Proposal Procurement Processes/Procedures/Workflows (i.e. Subcontract/Purchasing)</t>
  </si>
  <si>
    <t>Prepare Materials Management Plan</t>
  </si>
  <si>
    <t>Review Prime Contract</t>
  </si>
  <si>
    <t>Review Prime Contract &amp; Apply Procurement Flowdowns</t>
  </si>
  <si>
    <t>Define Importer of Record</t>
  </si>
  <si>
    <t>Review &amp; Establish Retention Strategy (i.e. Guarantees/Bond/Holdbacks)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</si>
</sst>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trike/>
      <sz val="11"/>
      <name val="Calibri"/>
      <family val="2"/>
      <scheme val="minor"/>
    </font>
    <font>
      <strike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CF9"/>
        <bgColor indexed="64"/>
      </patternFill>
    </fill>
    <fill>
      <patternFill patternType="solid">
        <fgColor rgb="FFF8FAF2"/>
        <bgColor indexed="64"/>
      </patternFill>
    </fill>
    <fill>
      <patternFill patternType="solid">
        <fgColor rgb="FFFEF9F4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/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/>
      <bottom style="thin">
        <color theme="0" tint="-4.9989318521683403E-2"/>
      </bottom>
      <diagonal/>
    </border>
    <border>
      <left style="thick">
        <color theme="0"/>
      </left>
      <right/>
      <top/>
      <bottom style="thin">
        <color theme="0" tint="-4.9989318521683403E-2"/>
      </bottom>
      <diagonal/>
    </border>
    <border>
      <left/>
      <right style="thick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ck">
        <color theme="0"/>
      </right>
      <top style="thin">
        <color theme="0" tint="-4.9989318521683403E-2"/>
      </top>
      <bottom/>
      <diagonal/>
    </border>
    <border>
      <left style="thick">
        <color theme="0"/>
      </left>
      <right style="thick">
        <color theme="0"/>
      </right>
      <top style="thin">
        <color theme="0" tint="-4.9989318521683403E-2"/>
      </top>
      <bottom/>
      <diagonal/>
    </border>
    <border>
      <left style="thick">
        <color theme="0"/>
      </left>
      <right/>
      <top style="thin">
        <color theme="0" tint="-4.9989318521683403E-2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 tint="-4.9989318521683403E-2"/>
      </bottom>
      <diagonal/>
    </border>
    <border>
      <left style="thick">
        <color theme="0"/>
      </left>
      <right/>
      <top style="thick">
        <color theme="0"/>
      </top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 style="thin">
        <color theme="0" tint="-4.9989318521683403E-2"/>
      </top>
      <bottom style="thick">
        <color theme="0"/>
      </bottom>
      <diagonal/>
    </border>
    <border>
      <left style="thick">
        <color theme="0"/>
      </left>
      <right/>
      <top style="thin">
        <color theme="0" tint="-4.9989318521683403E-2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6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/>
    <xf numFmtId="0" fontId="0" fillId="14" borderId="1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7" fillId="18" borderId="6" xfId="0" applyNumberFormat="1" applyFont="1" applyFill="1" applyBorder="1" applyAlignment="1">
      <alignment horizontal="left" vertical="center"/>
    </xf>
    <xf numFmtId="0" fontId="7" fillId="18" borderId="7" xfId="0" applyNumberFormat="1" applyFont="1" applyFill="1" applyBorder="1" applyAlignment="1">
      <alignment horizontal="left" vertical="center"/>
    </xf>
    <xf numFmtId="0" fontId="0" fillId="18" borderId="7" xfId="0" applyNumberFormat="1" applyFont="1" applyFill="1" applyBorder="1" applyAlignment="1">
      <alignment horizontal="left" vertical="center"/>
    </xf>
    <xf numFmtId="0" fontId="0" fillId="18" borderId="8" xfId="0" applyNumberFormat="1" applyFont="1" applyFill="1" applyBorder="1" applyAlignment="1">
      <alignment horizontal="left" vertical="center"/>
    </xf>
    <xf numFmtId="0" fontId="7" fillId="13" borderId="6" xfId="0" applyNumberFormat="1" applyFont="1" applyFill="1" applyBorder="1" applyAlignment="1">
      <alignment horizontal="left" vertical="center"/>
    </xf>
    <xf numFmtId="0" fontId="7" fillId="13" borderId="7" xfId="0" applyNumberFormat="1" applyFont="1" applyFill="1" applyBorder="1" applyAlignment="1">
      <alignment horizontal="left" vertical="center"/>
    </xf>
    <xf numFmtId="0" fontId="0" fillId="13" borderId="7" xfId="0" applyNumberFormat="1" applyFont="1" applyFill="1" applyBorder="1" applyAlignment="1">
      <alignment horizontal="left" vertical="center"/>
    </xf>
    <xf numFmtId="0" fontId="0" fillId="13" borderId="8" xfId="0" applyNumberFormat="1" applyFont="1" applyFill="1" applyBorder="1" applyAlignment="1">
      <alignment horizontal="left" vertical="center"/>
    </xf>
    <xf numFmtId="0" fontId="6" fillId="18" borderId="6" xfId="0" applyNumberFormat="1" applyFont="1" applyFill="1" applyBorder="1" applyAlignment="1">
      <alignment horizontal="left" vertical="center"/>
    </xf>
    <xf numFmtId="0" fontId="6" fillId="18" borderId="7" xfId="0" applyNumberFormat="1" applyFont="1" applyFill="1" applyBorder="1" applyAlignment="1">
      <alignment horizontal="left" vertical="center"/>
    </xf>
    <xf numFmtId="0" fontId="3" fillId="18" borderId="7" xfId="0" applyNumberFormat="1" applyFont="1" applyFill="1" applyBorder="1" applyAlignment="1">
      <alignment horizontal="left" vertical="center"/>
    </xf>
    <xf numFmtId="0" fontId="6" fillId="29" borderId="6" xfId="0" applyNumberFormat="1" applyFont="1" applyFill="1" applyBorder="1" applyAlignment="1">
      <alignment horizontal="left" vertical="center"/>
    </xf>
    <xf numFmtId="0" fontId="6" fillId="29" borderId="7" xfId="0" applyNumberFormat="1" applyFont="1" applyFill="1" applyBorder="1" applyAlignment="1">
      <alignment horizontal="left" vertical="center"/>
    </xf>
    <xf numFmtId="0" fontId="3" fillId="29" borderId="7" xfId="0" applyNumberFormat="1" applyFont="1" applyFill="1" applyBorder="1" applyAlignment="1">
      <alignment horizontal="left" vertical="center"/>
    </xf>
    <xf numFmtId="0" fontId="3" fillId="29" borderId="8" xfId="0" applyNumberFormat="1" applyFont="1" applyFill="1" applyBorder="1" applyAlignment="1">
      <alignment horizontal="left" vertical="center"/>
    </xf>
    <xf numFmtId="0" fontId="6" fillId="3" borderId="6" xfId="0" applyNumberFormat="1" applyFont="1" applyFill="1" applyBorder="1" applyAlignment="1">
      <alignment horizontal="left" vertical="center"/>
    </xf>
    <xf numFmtId="0" fontId="6" fillId="3" borderId="7" xfId="0" applyNumberFormat="1" applyFont="1" applyFill="1" applyBorder="1" applyAlignment="1">
      <alignment horizontal="left" vertical="center"/>
    </xf>
    <xf numFmtId="0" fontId="3" fillId="3" borderId="7" xfId="0" applyNumberFormat="1" applyFont="1" applyFill="1" applyBorder="1" applyAlignment="1">
      <alignment horizontal="left" vertical="center"/>
    </xf>
    <xf numFmtId="0" fontId="3" fillId="3" borderId="8" xfId="0" applyNumberFormat="1" applyFont="1" applyFill="1" applyBorder="1" applyAlignment="1">
      <alignment horizontal="left" vertical="center"/>
    </xf>
    <xf numFmtId="0" fontId="6" fillId="30" borderId="6" xfId="0" applyNumberFormat="1" applyFont="1" applyFill="1" applyBorder="1" applyAlignment="1">
      <alignment horizontal="left" vertical="center"/>
    </xf>
    <xf numFmtId="0" fontId="6" fillId="30" borderId="7" xfId="0" applyNumberFormat="1" applyFont="1" applyFill="1" applyBorder="1" applyAlignment="1">
      <alignment horizontal="left" vertical="center"/>
    </xf>
    <xf numFmtId="0" fontId="3" fillId="30" borderId="7" xfId="0" applyNumberFormat="1" applyFont="1" applyFill="1" applyBorder="1" applyAlignment="1">
      <alignment horizontal="left" vertical="center"/>
    </xf>
    <xf numFmtId="0" fontId="3" fillId="30" borderId="8" xfId="0" applyNumberFormat="1" applyFont="1" applyFill="1" applyBorder="1" applyAlignment="1">
      <alignment horizontal="left" vertical="center"/>
    </xf>
    <xf numFmtId="0" fontId="6" fillId="2" borderId="6" xfId="0" applyNumberFormat="1" applyFont="1" applyFill="1" applyBorder="1" applyAlignment="1">
      <alignment horizontal="left" vertical="center"/>
    </xf>
    <xf numFmtId="0" fontId="6" fillId="2" borderId="7" xfId="0" applyNumberFormat="1" applyFont="1" applyFill="1" applyBorder="1" applyAlignment="1">
      <alignment horizontal="left" vertical="center"/>
    </xf>
    <xf numFmtId="0" fontId="3" fillId="2" borderId="7" xfId="0" applyNumberFormat="1" applyFont="1" applyFill="1" applyBorder="1" applyAlignment="1">
      <alignment horizontal="left" vertical="center"/>
    </xf>
    <xf numFmtId="0" fontId="3" fillId="2" borderId="8" xfId="0" applyNumberFormat="1" applyFont="1" applyFill="1" applyBorder="1" applyAlignment="1">
      <alignment horizontal="left" vertical="center"/>
    </xf>
    <xf numFmtId="0" fontId="6" fillId="31" borderId="6" xfId="0" applyNumberFormat="1" applyFont="1" applyFill="1" applyBorder="1" applyAlignment="1">
      <alignment horizontal="left" vertical="center"/>
    </xf>
    <xf numFmtId="0" fontId="6" fillId="31" borderId="7" xfId="0" applyNumberFormat="1" applyFont="1" applyFill="1" applyBorder="1" applyAlignment="1">
      <alignment horizontal="left" vertical="center"/>
    </xf>
    <xf numFmtId="0" fontId="3" fillId="31" borderId="7" xfId="0" applyNumberFormat="1" applyFont="1" applyFill="1" applyBorder="1" applyAlignment="1">
      <alignment horizontal="left" vertical="center"/>
    </xf>
    <xf numFmtId="0" fontId="3" fillId="31" borderId="8" xfId="0" applyNumberFormat="1" applyFont="1" applyFill="1" applyBorder="1" applyAlignment="1">
      <alignment horizontal="left" vertical="center"/>
    </xf>
    <xf numFmtId="0" fontId="6" fillId="4" borderId="6" xfId="0" applyNumberFormat="1" applyFont="1" applyFill="1" applyBorder="1" applyAlignment="1">
      <alignment horizontal="left" vertical="center"/>
    </xf>
    <xf numFmtId="0" fontId="6" fillId="4" borderId="7" xfId="0" applyNumberFormat="1" applyFont="1" applyFill="1" applyBorder="1" applyAlignment="1">
      <alignment horizontal="left" vertical="center"/>
    </xf>
    <xf numFmtId="0" fontId="3" fillId="4" borderId="7" xfId="0" applyNumberFormat="1" applyFont="1" applyFill="1" applyBorder="1" applyAlignment="1">
      <alignment horizontal="left" vertical="center"/>
    </xf>
    <xf numFmtId="0" fontId="3" fillId="4" borderId="8" xfId="0" applyNumberFormat="1" applyFont="1" applyFill="1" applyBorder="1" applyAlignment="1">
      <alignment horizontal="left" vertical="center"/>
    </xf>
    <xf numFmtId="0" fontId="6" fillId="32" borderId="6" xfId="0" applyNumberFormat="1" applyFont="1" applyFill="1" applyBorder="1" applyAlignment="1">
      <alignment horizontal="left" vertical="center"/>
    </xf>
    <xf numFmtId="0" fontId="6" fillId="32" borderId="7" xfId="0" applyNumberFormat="1" applyFont="1" applyFill="1" applyBorder="1" applyAlignment="1">
      <alignment horizontal="left" vertical="center"/>
    </xf>
    <xf numFmtId="0" fontId="3" fillId="32" borderId="7" xfId="0" applyNumberFormat="1" applyFont="1" applyFill="1" applyBorder="1" applyAlignment="1">
      <alignment horizontal="left" vertical="center"/>
    </xf>
    <xf numFmtId="0" fontId="3" fillId="32" borderId="8" xfId="0" applyNumberFormat="1" applyFont="1" applyFill="1" applyBorder="1" applyAlignment="1">
      <alignment horizontal="left" vertical="center"/>
    </xf>
    <xf numFmtId="0" fontId="6" fillId="5" borderId="6" xfId="0" applyNumberFormat="1" applyFont="1" applyFill="1" applyBorder="1" applyAlignment="1">
      <alignment horizontal="left" vertical="center"/>
    </xf>
    <xf numFmtId="0" fontId="6" fillId="5" borderId="7" xfId="0" applyNumberFormat="1" applyFont="1" applyFill="1" applyBorder="1" applyAlignment="1">
      <alignment horizontal="left" vertical="center"/>
    </xf>
    <xf numFmtId="0" fontId="3" fillId="5" borderId="7" xfId="0" applyNumberFormat="1" applyFont="1" applyFill="1" applyBorder="1" applyAlignment="1">
      <alignment horizontal="left" vertical="center"/>
    </xf>
    <xf numFmtId="0" fontId="3" fillId="5" borderId="8" xfId="0" applyNumberFormat="1" applyFont="1" applyFill="1" applyBorder="1" applyAlignment="1">
      <alignment horizontal="left" vertical="center"/>
    </xf>
    <xf numFmtId="0" fontId="6" fillId="33" borderId="6" xfId="0" applyNumberFormat="1" applyFont="1" applyFill="1" applyBorder="1" applyAlignment="1">
      <alignment horizontal="left" vertical="center"/>
    </xf>
    <xf numFmtId="0" fontId="6" fillId="33" borderId="7" xfId="0" applyNumberFormat="1" applyFont="1" applyFill="1" applyBorder="1" applyAlignment="1">
      <alignment horizontal="left" vertical="center"/>
    </xf>
    <xf numFmtId="0" fontId="3" fillId="33" borderId="7" xfId="0" applyNumberFormat="1" applyFont="1" applyFill="1" applyBorder="1" applyAlignment="1">
      <alignment horizontal="left" vertical="center"/>
    </xf>
    <xf numFmtId="0" fontId="3" fillId="33" borderId="8" xfId="0" applyNumberFormat="1" applyFont="1" applyFill="1" applyBorder="1" applyAlignment="1">
      <alignment horizontal="left" vertical="center"/>
    </xf>
    <xf numFmtId="0" fontId="6" fillId="6" borderId="6" xfId="0" applyNumberFormat="1" applyFont="1" applyFill="1" applyBorder="1" applyAlignment="1">
      <alignment horizontal="left" vertical="center"/>
    </xf>
    <xf numFmtId="0" fontId="6" fillId="6" borderId="7" xfId="0" applyNumberFormat="1" applyFont="1" applyFill="1" applyBorder="1" applyAlignment="1">
      <alignment horizontal="left" vertical="center"/>
    </xf>
    <xf numFmtId="0" fontId="3" fillId="6" borderId="7" xfId="0" applyNumberFormat="1" applyFont="1" applyFill="1" applyBorder="1" applyAlignment="1">
      <alignment horizontal="left" vertical="center"/>
    </xf>
    <xf numFmtId="0" fontId="3" fillId="6" borderId="8" xfId="0" applyNumberFormat="1" applyFont="1" applyFill="1" applyBorder="1" applyAlignment="1">
      <alignment horizontal="left" vertical="center"/>
    </xf>
    <xf numFmtId="0" fontId="6" fillId="37" borderId="6" xfId="0" applyNumberFormat="1" applyFont="1" applyFill="1" applyBorder="1" applyAlignment="1">
      <alignment horizontal="left" vertical="center"/>
    </xf>
    <xf numFmtId="0" fontId="6" fillId="37" borderId="7" xfId="0" applyNumberFormat="1" applyFont="1" applyFill="1" applyBorder="1" applyAlignment="1">
      <alignment horizontal="left" vertical="center"/>
    </xf>
    <xf numFmtId="0" fontId="3" fillId="37" borderId="7" xfId="0" applyNumberFormat="1" applyFont="1" applyFill="1" applyBorder="1" applyAlignment="1">
      <alignment horizontal="left" vertical="center"/>
    </xf>
    <xf numFmtId="0" fontId="3" fillId="37" borderId="8" xfId="0" applyNumberFormat="1" applyFont="1" applyFill="1" applyBorder="1" applyAlignment="1">
      <alignment horizontal="left" vertical="center"/>
    </xf>
    <xf numFmtId="0" fontId="6" fillId="34" borderId="6" xfId="0" applyNumberFormat="1" applyFont="1" applyFill="1" applyBorder="1" applyAlignment="1">
      <alignment horizontal="left" vertical="center"/>
    </xf>
    <xf numFmtId="0" fontId="6" fillId="34" borderId="7" xfId="0" applyNumberFormat="1" applyFont="1" applyFill="1" applyBorder="1" applyAlignment="1">
      <alignment horizontal="left" vertical="center"/>
    </xf>
    <xf numFmtId="0" fontId="3" fillId="34" borderId="7" xfId="0" applyNumberFormat="1" applyFont="1" applyFill="1" applyBorder="1" applyAlignment="1">
      <alignment horizontal="left" vertical="center"/>
    </xf>
    <xf numFmtId="0" fontId="3" fillId="34" borderId="8" xfId="0" applyNumberFormat="1" applyFont="1" applyFill="1" applyBorder="1" applyAlignment="1">
      <alignment horizontal="left" vertical="center"/>
    </xf>
    <xf numFmtId="0" fontId="0" fillId="18" borderId="7" xfId="0" applyNumberFormat="1" applyFont="1" applyFill="1" applyBorder="1" applyAlignment="1">
      <alignment horizontal="center" vertical="center"/>
    </xf>
    <xf numFmtId="0" fontId="0" fillId="13" borderId="7" xfId="0" applyNumberFormat="1" applyFont="1" applyFill="1" applyBorder="1" applyAlignment="1">
      <alignment horizontal="center" vertical="center"/>
    </xf>
    <xf numFmtId="0" fontId="3" fillId="18" borderId="7" xfId="0" applyNumberFormat="1" applyFont="1" applyFill="1" applyBorder="1" applyAlignment="1">
      <alignment horizontal="center" vertical="center"/>
    </xf>
    <xf numFmtId="0" fontId="3" fillId="29" borderId="7" xfId="0" applyNumberFormat="1" applyFont="1" applyFill="1" applyBorder="1" applyAlignment="1">
      <alignment horizontal="center" vertical="center"/>
    </xf>
    <xf numFmtId="0" fontId="3" fillId="3" borderId="7" xfId="0" applyNumberFormat="1" applyFont="1" applyFill="1" applyBorder="1" applyAlignment="1">
      <alignment horizontal="center" vertical="center"/>
    </xf>
    <xf numFmtId="0" fontId="3" fillId="30" borderId="7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31" borderId="7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32" borderId="7" xfId="0" applyNumberFormat="1" applyFont="1" applyFill="1" applyBorder="1" applyAlignment="1">
      <alignment horizontal="center" vertical="center"/>
    </xf>
    <xf numFmtId="0" fontId="3" fillId="5" borderId="7" xfId="0" applyNumberFormat="1" applyFont="1" applyFill="1" applyBorder="1" applyAlignment="1">
      <alignment horizontal="center" vertical="center"/>
    </xf>
    <xf numFmtId="0" fontId="3" fillId="33" borderId="7" xfId="0" applyNumberFormat="1" applyFont="1" applyFill="1" applyBorder="1" applyAlignment="1">
      <alignment horizontal="center" vertical="center"/>
    </xf>
    <xf numFmtId="0" fontId="3" fillId="6" borderId="7" xfId="0" applyNumberFormat="1" applyFont="1" applyFill="1" applyBorder="1" applyAlignment="1">
      <alignment horizontal="center" vertical="center"/>
    </xf>
    <xf numFmtId="0" fontId="3" fillId="37" borderId="7" xfId="0" applyNumberFormat="1" applyFont="1" applyFill="1" applyBorder="1" applyAlignment="1">
      <alignment horizontal="center" vertical="center"/>
    </xf>
    <xf numFmtId="0" fontId="3" fillId="34" borderId="7" xfId="0" applyNumberFormat="1" applyFont="1" applyFill="1" applyBorder="1" applyAlignment="1">
      <alignment horizontal="center" vertical="center"/>
    </xf>
    <xf numFmtId="0" fontId="0" fillId="35" borderId="7" xfId="0" applyNumberFormat="1" applyFont="1" applyFill="1" applyBorder="1" applyAlignment="1">
      <alignment horizontal="center"/>
    </xf>
    <xf numFmtId="0" fontId="1" fillId="36" borderId="7" xfId="0" applyNumberFormat="1" applyFont="1" applyFill="1" applyBorder="1" applyAlignment="1">
      <alignment horizontal="left"/>
    </xf>
    <xf numFmtId="0" fontId="0" fillId="35" borderId="7" xfId="0" applyNumberFormat="1" applyFont="1" applyFill="1" applyBorder="1" applyAlignment="1">
      <alignment horizontal="left"/>
    </xf>
    <xf numFmtId="0" fontId="1" fillId="36" borderId="7" xfId="0" applyNumberFormat="1" applyFont="1" applyFill="1" applyBorder="1" applyAlignment="1">
      <alignment horizontal="center"/>
    </xf>
    <xf numFmtId="0" fontId="0" fillId="14" borderId="1" xfId="0" applyNumberFormat="1" applyFont="1" applyFill="1" applyBorder="1" applyAlignment="1">
      <alignment horizontal="center"/>
    </xf>
    <xf numFmtId="0" fontId="0" fillId="2" borderId="7" xfId="0" applyNumberFormat="1" applyFont="1" applyFill="1" applyBorder="1" applyAlignment="1">
      <alignment horizontal="center" vertical="center"/>
    </xf>
    <xf numFmtId="0" fontId="6" fillId="38" borderId="6" xfId="0" applyNumberFormat="1" applyFont="1" applyFill="1" applyBorder="1" applyAlignment="1">
      <alignment horizontal="left" vertical="center"/>
    </xf>
    <xf numFmtId="0" fontId="6" fillId="38" borderId="7" xfId="0" applyNumberFormat="1" applyFont="1" applyFill="1" applyBorder="1" applyAlignment="1">
      <alignment horizontal="left" vertical="center"/>
    </xf>
    <xf numFmtId="0" fontId="3" fillId="38" borderId="7" xfId="0" applyNumberFormat="1" applyFont="1" applyFill="1" applyBorder="1" applyAlignment="1">
      <alignment horizontal="left" vertical="center"/>
    </xf>
    <xf numFmtId="0" fontId="3" fillId="38" borderId="7" xfId="0" applyNumberFormat="1" applyFont="1" applyFill="1" applyBorder="1" applyAlignment="1">
      <alignment horizontal="center" vertical="center"/>
    </xf>
    <xf numFmtId="0" fontId="0" fillId="38" borderId="7" xfId="0" applyNumberFormat="1" applyFont="1" applyFill="1" applyBorder="1" applyAlignment="1">
      <alignment horizontal="center" vertical="center"/>
    </xf>
    <xf numFmtId="0" fontId="3" fillId="38" borderId="8" xfId="0" applyNumberFormat="1" applyFont="1" applyFill="1" applyBorder="1" applyAlignment="1">
      <alignment horizontal="left" vertical="center"/>
    </xf>
    <xf numFmtId="0" fontId="2" fillId="14" borderId="1" xfId="0" applyNumberFormat="1" applyFont="1" applyFill="1" applyBorder="1" applyAlignment="1"/>
    <xf numFmtId="0" fontId="8" fillId="36" borderId="7" xfId="0" applyNumberFormat="1" applyFont="1" applyFill="1" applyBorder="1" applyAlignment="1"/>
    <xf numFmtId="0" fontId="1" fillId="36" borderId="7" xfId="0" applyNumberFormat="1" applyFont="1" applyFill="1" applyBorder="1" applyAlignment="1"/>
    <xf numFmtId="0" fontId="1" fillId="36" borderId="8" xfId="0" applyNumberFormat="1" applyFont="1" applyFill="1" applyBorder="1" applyAlignment="1"/>
    <xf numFmtId="0" fontId="0" fillId="14" borderId="1" xfId="0" applyNumberFormat="1" applyFont="1" applyFill="1" applyBorder="1" applyAlignment="1"/>
    <xf numFmtId="0" fontId="3" fillId="14" borderId="1" xfId="0" applyNumberFormat="1" applyFont="1" applyFill="1" applyBorder="1" applyAlignment="1"/>
    <xf numFmtId="0" fontId="7" fillId="35" borderId="6" xfId="0" applyNumberFormat="1" applyFont="1" applyFill="1" applyBorder="1" applyAlignment="1"/>
    <xf numFmtId="0" fontId="6" fillId="35" borderId="7" xfId="0" applyNumberFormat="1" applyFont="1" applyFill="1" applyBorder="1" applyAlignment="1"/>
    <xf numFmtId="0" fontId="0" fillId="35" borderId="7" xfId="0" applyNumberFormat="1" applyFont="1" applyFill="1" applyBorder="1" applyAlignment="1"/>
    <xf numFmtId="0" fontId="0" fillId="35" borderId="8" xfId="0" applyNumberFormat="1" applyFont="1" applyFill="1" applyBorder="1" applyAlignment="1"/>
    <xf numFmtId="0" fontId="7" fillId="14" borderId="1" xfId="0" applyNumberFormat="1" applyFont="1" applyFill="1" applyBorder="1" applyAlignment="1"/>
    <xf numFmtId="0" fontId="0" fillId="2" borderId="8" xfId="0" applyNumberFormat="1" applyFont="1" applyFill="1" applyBorder="1" applyAlignment="1"/>
    <xf numFmtId="0" fontId="1" fillId="36" borderId="8" xfId="0" applyNumberFormat="1" applyFont="1" applyFill="1" applyBorder="1" applyAlignment="1">
      <alignment horizontal="right"/>
    </xf>
    <xf numFmtId="0" fontId="0" fillId="18" borderId="8" xfId="0" applyNumberFormat="1" applyFont="1" applyFill="1" applyBorder="1" applyAlignment="1">
      <alignment horizontal="right" vertical="center"/>
    </xf>
    <xf numFmtId="0" fontId="0" fillId="13" borderId="8" xfId="0" applyNumberFormat="1" applyFont="1" applyFill="1" applyBorder="1" applyAlignment="1">
      <alignment horizontal="right" vertical="center"/>
    </xf>
    <xf numFmtId="0" fontId="3" fillId="29" borderId="8" xfId="0" applyNumberFormat="1" applyFont="1" applyFill="1" applyBorder="1" applyAlignment="1">
      <alignment horizontal="right" vertical="center"/>
    </xf>
    <xf numFmtId="0" fontId="3" fillId="3" borderId="8" xfId="0" applyNumberFormat="1" applyFont="1" applyFill="1" applyBorder="1" applyAlignment="1">
      <alignment horizontal="right" vertical="center"/>
    </xf>
    <xf numFmtId="0" fontId="3" fillId="30" borderId="8" xfId="0" applyNumberFormat="1" applyFont="1" applyFill="1" applyBorder="1" applyAlignment="1">
      <alignment horizontal="right" vertical="center"/>
    </xf>
    <xf numFmtId="0" fontId="0" fillId="2" borderId="8" xfId="0" applyNumberFormat="1" applyFont="1" applyFill="1" applyBorder="1" applyAlignment="1">
      <alignment horizontal="right"/>
    </xf>
    <xf numFmtId="0" fontId="3" fillId="2" borderId="8" xfId="0" applyNumberFormat="1" applyFont="1" applyFill="1" applyBorder="1" applyAlignment="1">
      <alignment horizontal="right" vertical="center"/>
    </xf>
    <xf numFmtId="0" fontId="3" fillId="38" borderId="8" xfId="0" applyNumberFormat="1" applyFont="1" applyFill="1" applyBorder="1" applyAlignment="1">
      <alignment horizontal="right" vertical="center"/>
    </xf>
    <xf numFmtId="0" fontId="3" fillId="31" borderId="8" xfId="0" applyNumberFormat="1" applyFont="1" applyFill="1" applyBorder="1" applyAlignment="1">
      <alignment horizontal="right" vertical="center"/>
    </xf>
    <xf numFmtId="0" fontId="3" fillId="4" borderId="8" xfId="0" applyNumberFormat="1" applyFont="1" applyFill="1" applyBorder="1" applyAlignment="1">
      <alignment horizontal="right" vertical="center"/>
    </xf>
    <xf numFmtId="0" fontId="3" fillId="32" borderId="8" xfId="0" applyNumberFormat="1" applyFont="1" applyFill="1" applyBorder="1" applyAlignment="1">
      <alignment horizontal="right" vertical="center"/>
    </xf>
    <xf numFmtId="0" fontId="3" fillId="5" borderId="8" xfId="0" applyNumberFormat="1" applyFont="1" applyFill="1" applyBorder="1" applyAlignment="1">
      <alignment horizontal="right" vertical="center"/>
    </xf>
    <xf numFmtId="0" fontId="3" fillId="33" borderId="8" xfId="0" applyNumberFormat="1" applyFont="1" applyFill="1" applyBorder="1" applyAlignment="1">
      <alignment horizontal="right" vertical="center"/>
    </xf>
    <xf numFmtId="0" fontId="3" fillId="6" borderId="8" xfId="0" applyNumberFormat="1" applyFont="1" applyFill="1" applyBorder="1" applyAlignment="1">
      <alignment horizontal="right" vertical="center"/>
    </xf>
    <xf numFmtId="0" fontId="3" fillId="37" borderId="8" xfId="0" applyNumberFormat="1" applyFont="1" applyFill="1" applyBorder="1" applyAlignment="1">
      <alignment horizontal="right" vertical="center"/>
    </xf>
    <xf numFmtId="0" fontId="3" fillId="34" borderId="8" xfId="0" applyNumberFormat="1" applyFont="1" applyFill="1" applyBorder="1" applyAlignment="1">
      <alignment horizontal="right" vertical="center"/>
    </xf>
    <xf numFmtId="0" fontId="0" fillId="35" borderId="8" xfId="0" applyNumberFormat="1" applyFont="1" applyFill="1" applyBorder="1" applyAlignment="1">
      <alignment horizontal="right"/>
    </xf>
    <xf numFmtId="0" fontId="1" fillId="36" borderId="8" xfId="0" applyNumberFormat="1" applyFont="1" applyFill="1" applyBorder="1" applyAlignment="1">
      <alignment horizontal="center"/>
    </xf>
    <xf numFmtId="0" fontId="0" fillId="18" borderId="8" xfId="0" applyNumberFormat="1" applyFont="1" applyFill="1" applyBorder="1" applyAlignment="1">
      <alignment horizontal="center" vertical="center"/>
    </xf>
    <xf numFmtId="0" fontId="0" fillId="13" borderId="8" xfId="0" applyNumberFormat="1" applyFont="1" applyFill="1" applyBorder="1" applyAlignment="1">
      <alignment horizontal="center" vertical="center"/>
    </xf>
    <xf numFmtId="0" fontId="3" fillId="29" borderId="8" xfId="0" applyNumberFormat="1" applyFont="1" applyFill="1" applyBorder="1" applyAlignment="1">
      <alignment horizontal="center" vertical="center"/>
    </xf>
    <xf numFmtId="0" fontId="3" fillId="3" borderId="8" xfId="0" applyNumberFormat="1" applyFont="1" applyFill="1" applyBorder="1" applyAlignment="1">
      <alignment horizontal="center" vertical="center"/>
    </xf>
    <xf numFmtId="0" fontId="3" fillId="30" borderId="8" xfId="0" applyNumberFormat="1" applyFont="1" applyFill="1" applyBorder="1" applyAlignment="1">
      <alignment horizontal="center" vertical="center"/>
    </xf>
    <xf numFmtId="0" fontId="3" fillId="2" borderId="8" xfId="0" applyNumberFormat="1" applyFont="1" applyFill="1" applyBorder="1" applyAlignment="1">
      <alignment horizontal="center" vertical="center"/>
    </xf>
    <xf numFmtId="0" fontId="3" fillId="38" borderId="8" xfId="0" applyNumberFormat="1" applyFont="1" applyFill="1" applyBorder="1" applyAlignment="1">
      <alignment horizontal="center" vertical="center"/>
    </xf>
    <xf numFmtId="0" fontId="3" fillId="31" borderId="8" xfId="0" applyNumberFormat="1" applyFont="1" applyFill="1" applyBorder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0" fontId="3" fillId="32" borderId="8" xfId="0" applyNumberFormat="1" applyFont="1" applyFill="1" applyBorder="1" applyAlignment="1">
      <alignment horizontal="center" vertical="center"/>
    </xf>
    <xf numFmtId="0" fontId="3" fillId="5" borderId="8" xfId="0" applyNumberFormat="1" applyFont="1" applyFill="1" applyBorder="1" applyAlignment="1">
      <alignment horizontal="center" vertical="center"/>
    </xf>
    <xf numFmtId="0" fontId="3" fillId="33" borderId="8" xfId="0" applyNumberFormat="1" applyFont="1" applyFill="1" applyBorder="1" applyAlignment="1">
      <alignment horizontal="center" vertical="center"/>
    </xf>
    <xf numFmtId="0" fontId="3" fillId="6" borderId="8" xfId="0" applyNumberFormat="1" applyFont="1" applyFill="1" applyBorder="1" applyAlignment="1">
      <alignment horizontal="center" vertical="center"/>
    </xf>
    <xf numFmtId="0" fontId="3" fillId="37" borderId="8" xfId="0" applyNumberFormat="1" applyFont="1" applyFill="1" applyBorder="1" applyAlignment="1">
      <alignment horizontal="center" vertical="center"/>
    </xf>
    <xf numFmtId="0" fontId="3" fillId="34" borderId="8" xfId="0" applyNumberFormat="1" applyFont="1" applyFill="1" applyBorder="1" applyAlignment="1">
      <alignment horizontal="center" vertical="center"/>
    </xf>
    <xf numFmtId="0" fontId="0" fillId="35" borderId="8" xfId="0" applyNumberFormat="1" applyFont="1" applyFill="1" applyBorder="1" applyAlignment="1">
      <alignment horizontal="center"/>
    </xf>
    <xf numFmtId="0" fontId="0" fillId="14" borderId="1" xfId="0" applyNumberFormat="1" applyFont="1" applyFill="1" applyBorder="1" applyAlignment="1">
      <alignment horizontal="right"/>
    </xf>
    <xf numFmtId="0" fontId="1" fillId="15" borderId="2" xfId="0" applyNumberFormat="1" applyFont="1" applyFill="1" applyBorder="1" applyAlignment="1">
      <alignment horizontal="center" vertical="center"/>
    </xf>
    <xf numFmtId="0" fontId="5" fillId="22" borderId="12" xfId="0" applyNumberFormat="1" applyFont="1" applyFill="1" applyBorder="1" applyAlignment="1"/>
    <xf numFmtId="0" fontId="1" fillId="22" borderId="12" xfId="0" applyNumberFormat="1" applyFont="1" applyFill="1" applyBorder="1" applyAlignment="1">
      <alignment horizontal="center"/>
    </xf>
    <xf numFmtId="0" fontId="1" fillId="22" borderId="12" xfId="0" applyNumberFormat="1" applyFont="1" applyFill="1" applyBorder="1" applyAlignment="1"/>
    <xf numFmtId="0" fontId="1" fillId="22" borderId="13" xfId="0" applyNumberFormat="1" applyFont="1" applyFill="1" applyBorder="1" applyAlignment="1"/>
    <xf numFmtId="0" fontId="1" fillId="22" borderId="13" xfId="0" applyNumberFormat="1" applyFont="1" applyFill="1" applyBorder="1" applyAlignment="1">
      <alignment horizontal="right"/>
    </xf>
    <xf numFmtId="0" fontId="1" fillId="22" borderId="13" xfId="0" applyNumberFormat="1" applyFont="1" applyFill="1" applyBorder="1" applyAlignment="1">
      <alignment horizontal="center"/>
    </xf>
    <xf numFmtId="0" fontId="1" fillId="22" borderId="12" xfId="0" applyNumberFormat="1" applyFont="1" applyFill="1" applyBorder="1" applyAlignment="1">
      <alignment horizontal="right"/>
    </xf>
    <xf numFmtId="0" fontId="1" fillId="36" borderId="7" xfId="0" applyNumberFormat="1" applyFont="1" applyFill="1" applyBorder="1" applyAlignment="1">
      <alignment horizontal="right"/>
    </xf>
    <xf numFmtId="0" fontId="5" fillId="17" borderId="14" xfId="0" applyNumberFormat="1" applyFont="1" applyFill="1" applyBorder="1" applyAlignment="1">
      <alignment horizontal="left" vertical="center"/>
    </xf>
    <xf numFmtId="0" fontId="1" fillId="17" borderId="14" xfId="0" applyNumberFormat="1" applyFont="1" applyFill="1" applyBorder="1" applyAlignment="1">
      <alignment horizontal="center" vertical="center"/>
    </xf>
    <xf numFmtId="0" fontId="1" fillId="17" borderId="14" xfId="0" applyNumberFormat="1" applyFont="1" applyFill="1" applyBorder="1" applyAlignment="1">
      <alignment horizontal="left" vertical="center"/>
    </xf>
    <xf numFmtId="0" fontId="1" fillId="17" borderId="15" xfId="0" applyNumberFormat="1" applyFont="1" applyFill="1" applyBorder="1" applyAlignment="1">
      <alignment horizontal="left" vertical="center"/>
    </xf>
    <xf numFmtId="0" fontId="1" fillId="17" borderId="15" xfId="0" applyNumberFormat="1" applyFont="1" applyFill="1" applyBorder="1" applyAlignment="1">
      <alignment horizontal="right" vertical="center"/>
    </xf>
    <xf numFmtId="0" fontId="1" fillId="17" borderId="15" xfId="0" applyNumberFormat="1" applyFont="1" applyFill="1" applyBorder="1" applyAlignment="1">
      <alignment horizontal="center" vertical="center"/>
    </xf>
    <xf numFmtId="0" fontId="1" fillId="17" borderId="14" xfId="0" applyNumberFormat="1" applyFont="1" applyFill="1" applyBorder="1" applyAlignment="1">
      <alignment horizontal="right" vertical="center"/>
    </xf>
    <xf numFmtId="0" fontId="8" fillId="36" borderId="12" xfId="0" applyNumberFormat="1" applyFont="1" applyFill="1" applyBorder="1" applyAlignment="1"/>
    <xf numFmtId="0" fontId="1" fillId="36" borderId="12" xfId="0" applyNumberFormat="1" applyFont="1" applyFill="1" applyBorder="1" applyAlignment="1"/>
    <xf numFmtId="0" fontId="1" fillId="36" borderId="12" xfId="0" applyNumberFormat="1" applyFont="1" applyFill="1" applyBorder="1" applyAlignment="1">
      <alignment horizontal="center"/>
    </xf>
    <xf numFmtId="0" fontId="1" fillId="36" borderId="13" xfId="0" applyNumberFormat="1" applyFont="1" applyFill="1" applyBorder="1" applyAlignment="1"/>
    <xf numFmtId="0" fontId="1" fillId="36" borderId="13" xfId="0" applyNumberFormat="1" applyFont="1" applyFill="1" applyBorder="1" applyAlignment="1">
      <alignment horizontal="right"/>
    </xf>
    <xf numFmtId="0" fontId="1" fillId="36" borderId="13" xfId="0" applyNumberFormat="1" applyFont="1" applyFill="1" applyBorder="1" applyAlignment="1">
      <alignment horizontal="center"/>
    </xf>
    <xf numFmtId="0" fontId="1" fillId="36" borderId="12" xfId="0" applyNumberFormat="1" applyFont="1" applyFill="1" applyBorder="1" applyAlignment="1">
      <alignment horizontal="right"/>
    </xf>
    <xf numFmtId="0" fontId="5" fillId="8" borderId="14" xfId="0" applyNumberFormat="1" applyFont="1" applyFill="1" applyBorder="1" applyAlignment="1">
      <alignment horizontal="left" vertical="center"/>
    </xf>
    <xf numFmtId="0" fontId="1" fillId="8" borderId="14" xfId="0" applyNumberFormat="1" applyFont="1" applyFill="1" applyBorder="1" applyAlignment="1">
      <alignment horizontal="center" vertical="center"/>
    </xf>
    <xf numFmtId="0" fontId="1" fillId="8" borderId="14" xfId="0" applyNumberFormat="1" applyFont="1" applyFill="1" applyBorder="1" applyAlignment="1">
      <alignment horizontal="left" vertical="center"/>
    </xf>
    <xf numFmtId="0" fontId="1" fillId="8" borderId="15" xfId="0" applyNumberFormat="1" applyFont="1" applyFill="1" applyBorder="1" applyAlignment="1">
      <alignment horizontal="left" vertical="center"/>
    </xf>
    <xf numFmtId="0" fontId="1" fillId="8" borderId="15" xfId="0" applyNumberFormat="1" applyFont="1" applyFill="1" applyBorder="1" applyAlignment="1">
      <alignment horizontal="right" vertical="center"/>
    </xf>
    <xf numFmtId="0" fontId="1" fillId="8" borderId="15" xfId="0" applyNumberFormat="1" applyFont="1" applyFill="1" applyBorder="1" applyAlignment="1">
      <alignment horizontal="center" vertical="center"/>
    </xf>
    <xf numFmtId="0" fontId="1" fillId="8" borderId="14" xfId="0" applyNumberFormat="1" applyFont="1" applyFill="1" applyBorder="1" applyAlignment="1">
      <alignment horizontal="right" vertical="center"/>
    </xf>
    <xf numFmtId="0" fontId="5" fillId="9" borderId="14" xfId="0" applyNumberFormat="1" applyFont="1" applyFill="1" applyBorder="1" applyAlignment="1">
      <alignment horizontal="left" vertical="center"/>
    </xf>
    <xf numFmtId="0" fontId="1" fillId="9" borderId="14" xfId="0" applyNumberFormat="1" applyFont="1" applyFill="1" applyBorder="1" applyAlignment="1">
      <alignment horizontal="center" vertical="center"/>
    </xf>
    <xf numFmtId="0" fontId="1" fillId="9" borderId="14" xfId="0" applyNumberFormat="1" applyFont="1" applyFill="1" applyBorder="1" applyAlignment="1">
      <alignment horizontal="left" vertical="center"/>
    </xf>
    <xf numFmtId="0" fontId="1" fillId="9" borderId="15" xfId="0" applyNumberFormat="1" applyFont="1" applyFill="1" applyBorder="1" applyAlignment="1">
      <alignment horizontal="left" vertical="center"/>
    </xf>
    <xf numFmtId="0" fontId="1" fillId="9" borderId="15" xfId="0" applyNumberFormat="1" applyFont="1" applyFill="1" applyBorder="1" applyAlignment="1">
      <alignment horizontal="right" vertical="center"/>
    </xf>
    <xf numFmtId="0" fontId="1" fillId="9" borderId="15" xfId="0" applyNumberFormat="1" applyFont="1" applyFill="1" applyBorder="1" applyAlignment="1">
      <alignment horizontal="center" vertical="center"/>
    </xf>
    <xf numFmtId="0" fontId="1" fillId="9" borderId="14" xfId="0" applyNumberFormat="1" applyFont="1" applyFill="1" applyBorder="1" applyAlignment="1">
      <alignment horizontal="right" vertical="center"/>
    </xf>
    <xf numFmtId="0" fontId="5" fillId="20" borderId="2" xfId="0" applyNumberFormat="1" applyFont="1" applyFill="1" applyBorder="1" applyAlignment="1">
      <alignment horizontal="left" vertical="center"/>
    </xf>
    <xf numFmtId="0" fontId="1" fillId="20" borderId="2" xfId="0" applyNumberFormat="1" applyFont="1" applyFill="1" applyBorder="1" applyAlignment="1">
      <alignment horizontal="center" vertical="center"/>
    </xf>
    <xf numFmtId="0" fontId="1" fillId="20" borderId="2" xfId="0" applyNumberFormat="1" applyFont="1" applyFill="1" applyBorder="1" applyAlignment="1">
      <alignment horizontal="left" vertical="center"/>
    </xf>
    <xf numFmtId="0" fontId="1" fillId="20" borderId="16" xfId="0" applyNumberFormat="1" applyFont="1" applyFill="1" applyBorder="1" applyAlignment="1">
      <alignment horizontal="left" vertical="center"/>
    </xf>
    <xf numFmtId="0" fontId="1" fillId="20" borderId="16" xfId="0" applyNumberFormat="1" applyFont="1" applyFill="1" applyBorder="1" applyAlignment="1">
      <alignment horizontal="right" vertical="center"/>
    </xf>
    <xf numFmtId="0" fontId="1" fillId="20" borderId="16" xfId="0" applyNumberFormat="1" applyFont="1" applyFill="1" applyBorder="1" applyAlignment="1">
      <alignment horizontal="center" vertical="center"/>
    </xf>
    <xf numFmtId="0" fontId="1" fillId="20" borderId="2" xfId="0" applyNumberFormat="1" applyFont="1" applyFill="1" applyBorder="1" applyAlignment="1">
      <alignment horizontal="right" vertical="center"/>
    </xf>
    <xf numFmtId="0" fontId="5" fillId="19" borderId="14" xfId="0" applyNumberFormat="1" applyFont="1" applyFill="1" applyBorder="1" applyAlignment="1">
      <alignment horizontal="left" vertical="center"/>
    </xf>
    <xf numFmtId="0" fontId="1" fillId="19" borderId="14" xfId="0" applyNumberFormat="1" applyFont="1" applyFill="1" applyBorder="1" applyAlignment="1">
      <alignment horizontal="center" vertical="center"/>
    </xf>
    <xf numFmtId="0" fontId="1" fillId="19" borderId="14" xfId="0" applyNumberFormat="1" applyFont="1" applyFill="1" applyBorder="1" applyAlignment="1">
      <alignment horizontal="left" vertical="center"/>
    </xf>
    <xf numFmtId="0" fontId="1" fillId="19" borderId="15" xfId="0" applyNumberFormat="1" applyFont="1" applyFill="1" applyBorder="1" applyAlignment="1">
      <alignment horizontal="left" vertical="center"/>
    </xf>
    <xf numFmtId="0" fontId="1" fillId="19" borderId="15" xfId="0" applyNumberFormat="1" applyFont="1" applyFill="1" applyBorder="1" applyAlignment="1">
      <alignment horizontal="right" vertical="center"/>
    </xf>
    <xf numFmtId="0" fontId="1" fillId="19" borderId="15" xfId="0" applyNumberFormat="1" applyFont="1" applyFill="1" applyBorder="1" applyAlignment="1">
      <alignment horizontal="center" vertical="center"/>
    </xf>
    <xf numFmtId="0" fontId="1" fillId="19" borderId="14" xfId="0" applyNumberFormat="1" applyFont="1" applyFill="1" applyBorder="1" applyAlignment="1">
      <alignment horizontal="right" vertical="center"/>
    </xf>
    <xf numFmtId="0" fontId="5" fillId="10" borderId="14" xfId="0" applyNumberFormat="1" applyFont="1" applyFill="1" applyBorder="1" applyAlignment="1">
      <alignment horizontal="left" vertical="center"/>
    </xf>
    <xf numFmtId="0" fontId="1" fillId="10" borderId="14" xfId="0" applyNumberFormat="1" applyFont="1" applyFill="1" applyBorder="1" applyAlignment="1">
      <alignment horizontal="center" vertical="center"/>
    </xf>
    <xf numFmtId="0" fontId="1" fillId="10" borderId="14" xfId="0" applyNumberFormat="1" applyFont="1" applyFill="1" applyBorder="1" applyAlignment="1">
      <alignment horizontal="left" vertical="center"/>
    </xf>
    <xf numFmtId="0" fontId="1" fillId="10" borderId="15" xfId="0" applyNumberFormat="1" applyFont="1" applyFill="1" applyBorder="1" applyAlignment="1">
      <alignment horizontal="left" vertical="center"/>
    </xf>
    <xf numFmtId="0" fontId="1" fillId="10" borderId="15" xfId="0" applyNumberFormat="1" applyFont="1" applyFill="1" applyBorder="1" applyAlignment="1">
      <alignment horizontal="right" vertical="center"/>
    </xf>
    <xf numFmtId="0" fontId="1" fillId="10" borderId="15" xfId="0" applyNumberFormat="1" applyFont="1" applyFill="1" applyBorder="1" applyAlignment="1">
      <alignment horizontal="center" vertical="center"/>
    </xf>
    <xf numFmtId="0" fontId="1" fillId="10" borderId="14" xfId="0" applyNumberFormat="1" applyFont="1" applyFill="1" applyBorder="1" applyAlignment="1">
      <alignment horizontal="right" vertical="center"/>
    </xf>
    <xf numFmtId="0" fontId="5" fillId="11" borderId="2" xfId="0" applyNumberFormat="1" applyFont="1" applyFill="1" applyBorder="1" applyAlignment="1">
      <alignment horizontal="left" vertical="center"/>
    </xf>
    <xf numFmtId="0" fontId="1" fillId="11" borderId="2" xfId="0" applyNumberFormat="1" applyFont="1" applyFill="1" applyBorder="1" applyAlignment="1">
      <alignment horizontal="center" vertical="center"/>
    </xf>
    <xf numFmtId="0" fontId="1" fillId="11" borderId="2" xfId="0" applyNumberFormat="1" applyFont="1" applyFill="1" applyBorder="1" applyAlignment="1">
      <alignment horizontal="left" vertical="center"/>
    </xf>
    <xf numFmtId="0" fontId="1" fillId="11" borderId="16" xfId="0" applyNumberFormat="1" applyFont="1" applyFill="1" applyBorder="1" applyAlignment="1">
      <alignment horizontal="left" vertical="center"/>
    </xf>
    <xf numFmtId="0" fontId="1" fillId="11" borderId="16" xfId="0" applyNumberFormat="1" applyFont="1" applyFill="1" applyBorder="1" applyAlignment="1">
      <alignment horizontal="right" vertical="center"/>
    </xf>
    <xf numFmtId="0" fontId="1" fillId="11" borderId="16" xfId="0" applyNumberFormat="1" applyFont="1" applyFill="1" applyBorder="1" applyAlignment="1">
      <alignment horizontal="center" vertical="center"/>
    </xf>
    <xf numFmtId="0" fontId="1" fillId="11" borderId="2" xfId="0" applyNumberFormat="1" applyFont="1" applyFill="1" applyBorder="1" applyAlignment="1">
      <alignment horizontal="right" vertical="center"/>
    </xf>
    <xf numFmtId="0" fontId="5" fillId="21" borderId="2" xfId="0" applyNumberFormat="1" applyFont="1" applyFill="1" applyBorder="1" applyAlignment="1">
      <alignment horizontal="left" vertical="center"/>
    </xf>
    <xf numFmtId="0" fontId="1" fillId="21" borderId="2" xfId="0" applyNumberFormat="1" applyFont="1" applyFill="1" applyBorder="1" applyAlignment="1">
      <alignment horizontal="center" vertical="center"/>
    </xf>
    <xf numFmtId="0" fontId="1" fillId="21" borderId="2" xfId="0" applyNumberFormat="1" applyFont="1" applyFill="1" applyBorder="1" applyAlignment="1">
      <alignment horizontal="left" vertical="center"/>
    </xf>
    <xf numFmtId="0" fontId="1" fillId="21" borderId="16" xfId="0" applyNumberFormat="1" applyFont="1" applyFill="1" applyBorder="1" applyAlignment="1">
      <alignment horizontal="left" vertical="center"/>
    </xf>
    <xf numFmtId="0" fontId="1" fillId="21" borderId="16" xfId="0" applyNumberFormat="1" applyFont="1" applyFill="1" applyBorder="1" applyAlignment="1">
      <alignment horizontal="right" vertical="center"/>
    </xf>
    <xf numFmtId="0" fontId="1" fillId="21" borderId="16" xfId="0" applyNumberFormat="1" applyFont="1" applyFill="1" applyBorder="1" applyAlignment="1">
      <alignment horizontal="center" vertical="center"/>
    </xf>
    <xf numFmtId="0" fontId="1" fillId="21" borderId="2" xfId="0" applyNumberFormat="1" applyFont="1" applyFill="1" applyBorder="1" applyAlignment="1">
      <alignment horizontal="right" vertical="center"/>
    </xf>
    <xf numFmtId="0" fontId="9" fillId="38" borderId="7" xfId="0" applyNumberFormat="1" applyFont="1" applyFill="1" applyBorder="1" applyAlignment="1">
      <alignment horizontal="left" vertical="center"/>
    </xf>
    <xf numFmtId="0" fontId="6" fillId="30" borderId="9" xfId="0" applyNumberFormat="1" applyFont="1" applyFill="1" applyBorder="1" applyAlignment="1">
      <alignment horizontal="left" vertical="center"/>
    </xf>
    <xf numFmtId="0" fontId="6" fillId="30" borderId="10" xfId="0" applyNumberFormat="1" applyFont="1" applyFill="1" applyBorder="1" applyAlignment="1">
      <alignment horizontal="left" vertical="center"/>
    </xf>
    <xf numFmtId="0" fontId="3" fillId="30" borderId="10" xfId="0" applyNumberFormat="1" applyFont="1" applyFill="1" applyBorder="1" applyAlignment="1">
      <alignment horizontal="left" vertical="center"/>
    </xf>
    <xf numFmtId="0" fontId="3" fillId="30" borderId="10" xfId="0" applyNumberFormat="1" applyFont="1" applyFill="1" applyBorder="1" applyAlignment="1">
      <alignment horizontal="center" vertical="center"/>
    </xf>
    <xf numFmtId="0" fontId="3" fillId="30" borderId="11" xfId="0" applyNumberFormat="1" applyFont="1" applyFill="1" applyBorder="1" applyAlignment="1">
      <alignment horizontal="left" vertical="center"/>
    </xf>
    <xf numFmtId="0" fontId="3" fillId="30" borderId="11" xfId="0" applyNumberFormat="1" applyFont="1" applyFill="1" applyBorder="1" applyAlignment="1">
      <alignment horizontal="right" vertical="center"/>
    </xf>
    <xf numFmtId="0" fontId="3" fillId="30" borderId="11" xfId="0" applyNumberFormat="1" applyFont="1" applyFill="1" applyBorder="1" applyAlignment="1">
      <alignment horizontal="center" vertical="center"/>
    </xf>
    <xf numFmtId="0" fontId="6" fillId="30" borderId="3" xfId="0" applyNumberFormat="1" applyFont="1" applyFill="1" applyBorder="1" applyAlignment="1">
      <alignment horizontal="left" vertical="center"/>
    </xf>
    <xf numFmtId="0" fontId="6" fillId="30" borderId="4" xfId="0" applyNumberFormat="1" applyFont="1" applyFill="1" applyBorder="1" applyAlignment="1">
      <alignment horizontal="left" vertical="center"/>
    </xf>
    <xf numFmtId="0" fontId="3" fillId="30" borderId="4" xfId="0" applyNumberFormat="1" applyFont="1" applyFill="1" applyBorder="1" applyAlignment="1">
      <alignment horizontal="left" vertical="center"/>
    </xf>
    <xf numFmtId="0" fontId="3" fillId="30" borderId="4" xfId="0" applyNumberFormat="1" applyFont="1" applyFill="1" applyBorder="1" applyAlignment="1">
      <alignment horizontal="center" vertical="center"/>
    </xf>
    <xf numFmtId="0" fontId="3" fillId="30" borderId="5" xfId="0" applyNumberFormat="1" applyFont="1" applyFill="1" applyBorder="1" applyAlignment="1">
      <alignment horizontal="left" vertical="center"/>
    </xf>
    <xf numFmtId="0" fontId="3" fillId="30" borderId="5" xfId="0" applyNumberFormat="1" applyFont="1" applyFill="1" applyBorder="1" applyAlignment="1">
      <alignment horizontal="right" vertical="center"/>
    </xf>
    <xf numFmtId="0" fontId="3" fillId="30" borderId="5" xfId="0" applyNumberFormat="1" applyFont="1" applyFill="1" applyBorder="1" applyAlignment="1">
      <alignment horizontal="center" vertical="center"/>
    </xf>
    <xf numFmtId="0" fontId="6" fillId="30" borderId="17" xfId="0" applyNumberFormat="1" applyFont="1" applyFill="1" applyBorder="1" applyAlignment="1">
      <alignment horizontal="left" vertical="center"/>
    </xf>
    <xf numFmtId="0" fontId="6" fillId="30" borderId="18" xfId="0" applyNumberFormat="1" applyFont="1" applyFill="1" applyBorder="1" applyAlignment="1">
      <alignment horizontal="left" vertical="center"/>
    </xf>
    <xf numFmtId="0" fontId="3" fillId="30" borderId="18" xfId="0" applyNumberFormat="1" applyFont="1" applyFill="1" applyBorder="1" applyAlignment="1">
      <alignment horizontal="left" vertical="center"/>
    </xf>
    <xf numFmtId="0" fontId="3" fillId="30" borderId="18" xfId="0" applyNumberFormat="1" applyFont="1" applyFill="1" applyBorder="1" applyAlignment="1">
      <alignment horizontal="center" vertical="center"/>
    </xf>
    <xf numFmtId="0" fontId="3" fillId="30" borderId="19" xfId="0" applyNumberFormat="1" applyFont="1" applyFill="1" applyBorder="1" applyAlignment="1">
      <alignment horizontal="left" vertical="center"/>
    </xf>
    <xf numFmtId="0" fontId="3" fillId="30" borderId="19" xfId="0" applyNumberFormat="1" applyFont="1" applyFill="1" applyBorder="1" applyAlignment="1">
      <alignment horizontal="right" vertical="center"/>
    </xf>
    <xf numFmtId="0" fontId="3" fillId="30" borderId="19" xfId="0" applyNumberFormat="1" applyFont="1" applyFill="1" applyBorder="1" applyAlignment="1">
      <alignment horizontal="center" vertical="center"/>
    </xf>
    <xf numFmtId="0" fontId="3" fillId="30" borderId="20" xfId="0" applyNumberFormat="1" applyFont="1" applyFill="1" applyBorder="1" applyAlignment="1">
      <alignment horizontal="right" vertical="center"/>
    </xf>
    <xf numFmtId="0" fontId="6" fillId="30" borderId="21" xfId="0" applyNumberFormat="1" applyFont="1" applyFill="1" applyBorder="1" applyAlignment="1">
      <alignment horizontal="left" vertical="center"/>
    </xf>
    <xf numFmtId="0" fontId="3" fillId="30" borderId="22" xfId="0" applyNumberFormat="1" applyFont="1" applyFill="1" applyBorder="1" applyAlignment="1">
      <alignment horizontal="left" vertical="center"/>
    </xf>
    <xf numFmtId="0" fontId="6" fillId="30" borderId="1" xfId="0" applyNumberFormat="1" applyFont="1" applyFill="1" applyBorder="1" applyAlignment="1">
      <alignment horizontal="left" vertical="center"/>
    </xf>
    <xf numFmtId="0" fontId="10" fillId="16" borderId="3" xfId="0" applyNumberFormat="1" applyFont="1" applyFill="1" applyBorder="1" applyAlignment="1">
      <alignment horizontal="left" vertical="center"/>
    </xf>
    <xf numFmtId="0" fontId="10" fillId="16" borderId="4" xfId="0" applyNumberFormat="1" applyFont="1" applyFill="1" applyBorder="1" applyAlignment="1">
      <alignment horizontal="left" vertical="center"/>
    </xf>
    <xf numFmtId="0" fontId="11" fillId="16" borderId="4" xfId="0" applyNumberFormat="1" applyFont="1" applyFill="1" applyBorder="1" applyAlignment="1">
      <alignment horizontal="left" vertical="center"/>
    </xf>
    <xf numFmtId="0" fontId="11" fillId="16" borderId="4" xfId="0" applyNumberFormat="1" applyFont="1" applyFill="1" applyBorder="1" applyAlignment="1">
      <alignment horizontal="center" vertical="center"/>
    </xf>
    <xf numFmtId="0" fontId="11" fillId="16" borderId="5" xfId="0" applyNumberFormat="1" applyFont="1" applyFill="1" applyBorder="1" applyAlignment="1">
      <alignment horizontal="left" vertical="center"/>
    </xf>
    <xf numFmtId="0" fontId="11" fillId="16" borderId="5" xfId="0" applyNumberFormat="1" applyFont="1" applyFill="1" applyBorder="1" applyAlignment="1">
      <alignment horizontal="right" vertical="center"/>
    </xf>
    <xf numFmtId="0" fontId="11" fillId="16" borderId="5" xfId="0" applyNumberFormat="1" applyFont="1" applyFill="1" applyBorder="1" applyAlignment="1">
      <alignment horizontal="center" vertical="center"/>
    </xf>
    <xf numFmtId="0" fontId="10" fillId="16" borderId="6" xfId="0" applyNumberFormat="1" applyFont="1" applyFill="1" applyBorder="1" applyAlignment="1">
      <alignment horizontal="left" vertical="center"/>
    </xf>
    <xf numFmtId="0" fontId="10" fillId="16" borderId="7" xfId="0" applyNumberFormat="1" applyFont="1" applyFill="1" applyBorder="1" applyAlignment="1">
      <alignment horizontal="left" vertical="center"/>
    </xf>
    <xf numFmtId="0" fontId="11" fillId="16" borderId="7" xfId="0" applyNumberFormat="1" applyFont="1" applyFill="1" applyBorder="1" applyAlignment="1">
      <alignment horizontal="left" vertical="center"/>
    </xf>
    <xf numFmtId="0" fontId="11" fillId="16" borderId="7" xfId="0" applyNumberFormat="1" applyFont="1" applyFill="1" applyBorder="1" applyAlignment="1">
      <alignment horizontal="center" vertical="center"/>
    </xf>
    <xf numFmtId="0" fontId="11" fillId="16" borderId="8" xfId="0" applyNumberFormat="1" applyFont="1" applyFill="1" applyBorder="1" applyAlignment="1">
      <alignment horizontal="left" vertical="center"/>
    </xf>
    <xf numFmtId="0" fontId="11" fillId="16" borderId="8" xfId="0" applyNumberFormat="1" applyFont="1" applyFill="1" applyBorder="1" applyAlignment="1">
      <alignment horizontal="right" vertical="center"/>
    </xf>
    <xf numFmtId="0" fontId="11" fillId="16" borderId="8" xfId="0" applyNumberFormat="1" applyFont="1" applyFill="1" applyBorder="1" applyAlignment="1">
      <alignment horizontal="center" vertical="center"/>
    </xf>
    <xf numFmtId="0" fontId="10" fillId="16" borderId="9" xfId="0" applyNumberFormat="1" applyFont="1" applyFill="1" applyBorder="1" applyAlignment="1">
      <alignment horizontal="left" vertical="center"/>
    </xf>
    <xf numFmtId="0" fontId="10" fillId="16" borderId="10" xfId="0" applyNumberFormat="1" applyFont="1" applyFill="1" applyBorder="1" applyAlignment="1">
      <alignment horizontal="left" vertical="center"/>
    </xf>
    <xf numFmtId="0" fontId="11" fillId="16" borderId="10" xfId="0" applyNumberFormat="1" applyFont="1" applyFill="1" applyBorder="1" applyAlignment="1">
      <alignment horizontal="left" vertical="center"/>
    </xf>
    <xf numFmtId="0" fontId="11" fillId="16" borderId="10" xfId="0" applyNumberFormat="1" applyFont="1" applyFill="1" applyBorder="1" applyAlignment="1">
      <alignment horizontal="center" vertical="center"/>
    </xf>
    <xf numFmtId="0" fontId="11" fillId="16" borderId="11" xfId="0" applyNumberFormat="1" applyFont="1" applyFill="1" applyBorder="1" applyAlignment="1">
      <alignment horizontal="left" vertical="center"/>
    </xf>
    <xf numFmtId="0" fontId="11" fillId="16" borderId="11" xfId="0" applyNumberFormat="1" applyFont="1" applyFill="1" applyBorder="1" applyAlignment="1">
      <alignment horizontal="right" vertical="center"/>
    </xf>
    <xf numFmtId="0" fontId="11" fillId="16" borderId="11" xfId="0" applyNumberFormat="1" applyFont="1" applyFill="1" applyBorder="1" applyAlignment="1">
      <alignment horizontal="center" vertical="center"/>
    </xf>
    <xf numFmtId="0" fontId="10" fillId="23" borderId="3" xfId="0" applyNumberFormat="1" applyFont="1" applyFill="1" applyBorder="1" applyAlignment="1">
      <alignment horizontal="left" vertical="center"/>
    </xf>
    <xf numFmtId="0" fontId="10" fillId="23" borderId="4" xfId="0" applyNumberFormat="1" applyFont="1" applyFill="1" applyBorder="1" applyAlignment="1">
      <alignment horizontal="left" vertical="center"/>
    </xf>
    <xf numFmtId="0" fontId="11" fillId="23" borderId="4" xfId="0" applyNumberFormat="1" applyFont="1" applyFill="1" applyBorder="1" applyAlignment="1">
      <alignment horizontal="left" vertical="center"/>
    </xf>
    <xf numFmtId="0" fontId="11" fillId="23" borderId="4" xfId="0" applyNumberFormat="1" applyFont="1" applyFill="1" applyBorder="1" applyAlignment="1">
      <alignment horizontal="center" vertical="center"/>
    </xf>
    <xf numFmtId="0" fontId="11" fillId="23" borderId="5" xfId="0" applyNumberFormat="1" applyFont="1" applyFill="1" applyBorder="1" applyAlignment="1">
      <alignment horizontal="left" vertical="center"/>
    </xf>
    <xf numFmtId="0" fontId="11" fillId="23" borderId="5" xfId="0" applyNumberFormat="1" applyFont="1" applyFill="1" applyBorder="1" applyAlignment="1">
      <alignment horizontal="right" vertical="center"/>
    </xf>
    <xf numFmtId="0" fontId="11" fillId="23" borderId="5" xfId="0" applyNumberFormat="1" applyFont="1" applyFill="1" applyBorder="1" applyAlignment="1">
      <alignment horizontal="center" vertical="center"/>
    </xf>
    <xf numFmtId="0" fontId="10" fillId="23" borderId="6" xfId="0" applyNumberFormat="1" applyFont="1" applyFill="1" applyBorder="1" applyAlignment="1">
      <alignment horizontal="left" vertical="center"/>
    </xf>
    <xf numFmtId="0" fontId="10" fillId="23" borderId="7" xfId="0" applyNumberFormat="1" applyFont="1" applyFill="1" applyBorder="1" applyAlignment="1">
      <alignment horizontal="left" vertical="center"/>
    </xf>
    <xf numFmtId="0" fontId="11" fillId="23" borderId="7" xfId="0" applyNumberFormat="1" applyFont="1" applyFill="1" applyBorder="1" applyAlignment="1">
      <alignment horizontal="left" vertical="center"/>
    </xf>
    <xf numFmtId="0" fontId="11" fillId="23" borderId="7" xfId="0" applyNumberFormat="1" applyFont="1" applyFill="1" applyBorder="1" applyAlignment="1">
      <alignment horizontal="center" vertical="center"/>
    </xf>
    <xf numFmtId="0" fontId="11" fillId="23" borderId="8" xfId="0" applyNumberFormat="1" applyFont="1" applyFill="1" applyBorder="1" applyAlignment="1">
      <alignment horizontal="left" vertical="center"/>
    </xf>
    <xf numFmtId="0" fontId="11" fillId="23" borderId="8" xfId="0" applyNumberFormat="1" applyFont="1" applyFill="1" applyBorder="1" applyAlignment="1">
      <alignment horizontal="right" vertical="center"/>
    </xf>
    <xf numFmtId="0" fontId="11" fillId="23" borderId="8" xfId="0" applyNumberFormat="1" applyFont="1" applyFill="1" applyBorder="1" applyAlignment="1">
      <alignment horizontal="center" vertical="center"/>
    </xf>
    <xf numFmtId="0" fontId="11" fillId="14" borderId="1" xfId="0" applyNumberFormat="1" applyFont="1" applyFill="1" applyBorder="1" applyAlignment="1"/>
    <xf numFmtId="0" fontId="10" fillId="23" borderId="9" xfId="0" applyNumberFormat="1" applyFont="1" applyFill="1" applyBorder="1" applyAlignment="1">
      <alignment horizontal="left" vertical="center"/>
    </xf>
    <xf numFmtId="0" fontId="10" fillId="23" borderId="10" xfId="0" applyNumberFormat="1" applyFont="1" applyFill="1" applyBorder="1" applyAlignment="1">
      <alignment horizontal="left" vertical="center"/>
    </xf>
    <xf numFmtId="0" fontId="11" fillId="23" borderId="10" xfId="0" applyNumberFormat="1" applyFont="1" applyFill="1" applyBorder="1" applyAlignment="1">
      <alignment horizontal="left" vertical="center"/>
    </xf>
    <xf numFmtId="0" fontId="11" fillId="23" borderId="10" xfId="0" applyNumberFormat="1" applyFont="1" applyFill="1" applyBorder="1" applyAlignment="1">
      <alignment horizontal="center" vertical="center"/>
    </xf>
    <xf numFmtId="0" fontId="11" fillId="23" borderId="11" xfId="0" applyNumberFormat="1" applyFont="1" applyFill="1" applyBorder="1" applyAlignment="1">
      <alignment horizontal="left" vertical="center"/>
    </xf>
    <xf numFmtId="0" fontId="11" fillId="23" borderId="11" xfId="0" applyNumberFormat="1" applyFont="1" applyFill="1" applyBorder="1" applyAlignment="1">
      <alignment horizontal="right" vertical="center"/>
    </xf>
    <xf numFmtId="0" fontId="11" fillId="23" borderId="11" xfId="0" applyNumberFormat="1" applyFont="1" applyFill="1" applyBorder="1" applyAlignment="1">
      <alignment horizontal="center" vertical="center"/>
    </xf>
    <xf numFmtId="0" fontId="10" fillId="24" borderId="3" xfId="0" applyNumberFormat="1" applyFont="1" applyFill="1" applyBorder="1" applyAlignment="1">
      <alignment horizontal="left" vertical="center"/>
    </xf>
    <xf numFmtId="0" fontId="10" fillId="24" borderId="4" xfId="0" applyNumberFormat="1" applyFont="1" applyFill="1" applyBorder="1" applyAlignment="1">
      <alignment horizontal="left" vertical="center"/>
    </xf>
    <xf numFmtId="0" fontId="11" fillId="24" borderId="4" xfId="0" applyNumberFormat="1" applyFont="1" applyFill="1" applyBorder="1" applyAlignment="1">
      <alignment horizontal="left" vertical="center"/>
    </xf>
    <xf numFmtId="0" fontId="11" fillId="24" borderId="4" xfId="0" applyNumberFormat="1" applyFont="1" applyFill="1" applyBorder="1" applyAlignment="1">
      <alignment horizontal="center" vertical="center"/>
    </xf>
    <xf numFmtId="0" fontId="11" fillId="24" borderId="5" xfId="0" applyNumberFormat="1" applyFont="1" applyFill="1" applyBorder="1" applyAlignment="1">
      <alignment horizontal="left" vertical="center"/>
    </xf>
    <xf numFmtId="0" fontId="11" fillId="24" borderId="5" xfId="0" applyNumberFormat="1" applyFont="1" applyFill="1" applyBorder="1" applyAlignment="1">
      <alignment horizontal="right" vertical="center"/>
    </xf>
    <xf numFmtId="0" fontId="11" fillId="24" borderId="5" xfId="0" applyNumberFormat="1" applyFont="1" applyFill="1" applyBorder="1" applyAlignment="1">
      <alignment horizontal="center" vertical="center"/>
    </xf>
    <xf numFmtId="0" fontId="10" fillId="24" borderId="6" xfId="0" applyNumberFormat="1" applyFont="1" applyFill="1" applyBorder="1" applyAlignment="1">
      <alignment horizontal="left" vertical="center"/>
    </xf>
    <xf numFmtId="0" fontId="10" fillId="24" borderId="7" xfId="0" applyNumberFormat="1" applyFont="1" applyFill="1" applyBorder="1" applyAlignment="1">
      <alignment horizontal="left" vertical="center"/>
    </xf>
    <xf numFmtId="0" fontId="11" fillId="24" borderId="7" xfId="0" applyNumberFormat="1" applyFont="1" applyFill="1" applyBorder="1" applyAlignment="1">
      <alignment horizontal="left" vertical="center"/>
    </xf>
    <xf numFmtId="0" fontId="11" fillId="24" borderId="7" xfId="0" applyNumberFormat="1" applyFont="1" applyFill="1" applyBorder="1" applyAlignment="1">
      <alignment horizontal="center" vertical="center"/>
    </xf>
    <xf numFmtId="0" fontId="11" fillId="24" borderId="8" xfId="0" applyNumberFormat="1" applyFont="1" applyFill="1" applyBorder="1" applyAlignment="1">
      <alignment horizontal="left" vertical="center"/>
    </xf>
    <xf numFmtId="0" fontId="11" fillId="24" borderId="8" xfId="0" applyNumberFormat="1" applyFont="1" applyFill="1" applyBorder="1" applyAlignment="1">
      <alignment horizontal="right" vertical="center"/>
    </xf>
    <xf numFmtId="0" fontId="11" fillId="24" borderId="8" xfId="0" applyNumberFormat="1" applyFont="1" applyFill="1" applyBorder="1" applyAlignment="1">
      <alignment horizontal="center" vertical="center"/>
    </xf>
    <xf numFmtId="0" fontId="10" fillId="24" borderId="9" xfId="0" applyNumberFormat="1" applyFont="1" applyFill="1" applyBorder="1" applyAlignment="1">
      <alignment horizontal="left" vertical="center"/>
    </xf>
    <xf numFmtId="0" fontId="10" fillId="24" borderId="10" xfId="0" applyNumberFormat="1" applyFont="1" applyFill="1" applyBorder="1" applyAlignment="1">
      <alignment horizontal="left" vertical="center"/>
    </xf>
    <xf numFmtId="0" fontId="11" fillId="24" borderId="10" xfId="0" applyNumberFormat="1" applyFont="1" applyFill="1" applyBorder="1" applyAlignment="1">
      <alignment horizontal="left" vertical="center"/>
    </xf>
    <xf numFmtId="0" fontId="11" fillId="24" borderId="10" xfId="0" applyNumberFormat="1" applyFont="1" applyFill="1" applyBorder="1" applyAlignment="1">
      <alignment horizontal="center" vertical="center"/>
    </xf>
    <xf numFmtId="0" fontId="11" fillId="24" borderId="11" xfId="0" applyNumberFormat="1" applyFont="1" applyFill="1" applyBorder="1" applyAlignment="1">
      <alignment horizontal="left" vertical="center"/>
    </xf>
    <xf numFmtId="0" fontId="11" fillId="24" borderId="11" xfId="0" applyNumberFormat="1" applyFont="1" applyFill="1" applyBorder="1" applyAlignment="1">
      <alignment horizontal="right" vertical="center"/>
    </xf>
    <xf numFmtId="0" fontId="11" fillId="24" borderId="11" xfId="0" applyNumberFormat="1" applyFont="1" applyFill="1" applyBorder="1" applyAlignment="1">
      <alignment horizontal="center" vertical="center"/>
    </xf>
    <xf numFmtId="0" fontId="10" fillId="25" borderId="3" xfId="0" applyNumberFormat="1" applyFont="1" applyFill="1" applyBorder="1" applyAlignment="1">
      <alignment horizontal="left" vertical="center"/>
    </xf>
    <xf numFmtId="0" fontId="10" fillId="25" borderId="4" xfId="0" applyNumberFormat="1" applyFont="1" applyFill="1" applyBorder="1" applyAlignment="1">
      <alignment horizontal="left" vertical="center"/>
    </xf>
    <xf numFmtId="0" fontId="11" fillId="25" borderId="4" xfId="0" applyNumberFormat="1" applyFont="1" applyFill="1" applyBorder="1" applyAlignment="1">
      <alignment horizontal="left" vertical="center"/>
    </xf>
    <xf numFmtId="0" fontId="11" fillId="25" borderId="4" xfId="0" applyNumberFormat="1" applyFont="1" applyFill="1" applyBorder="1" applyAlignment="1">
      <alignment horizontal="center" vertical="center"/>
    </xf>
    <xf numFmtId="0" fontId="11" fillId="25" borderId="5" xfId="0" applyNumberFormat="1" applyFont="1" applyFill="1" applyBorder="1" applyAlignment="1">
      <alignment horizontal="left" vertical="center"/>
    </xf>
    <xf numFmtId="0" fontId="11" fillId="25" borderId="5" xfId="0" applyNumberFormat="1" applyFont="1" applyFill="1" applyBorder="1" applyAlignment="1">
      <alignment horizontal="right" vertical="center"/>
    </xf>
    <xf numFmtId="0" fontId="11" fillId="25" borderId="5" xfId="0" applyNumberFormat="1" applyFont="1" applyFill="1" applyBorder="1" applyAlignment="1">
      <alignment horizontal="center" vertical="center"/>
    </xf>
    <xf numFmtId="0" fontId="10" fillId="25" borderId="6" xfId="0" applyNumberFormat="1" applyFont="1" applyFill="1" applyBorder="1" applyAlignment="1">
      <alignment horizontal="left" vertical="center"/>
    </xf>
    <xf numFmtId="0" fontId="10" fillId="25" borderId="7" xfId="0" applyNumberFormat="1" applyFont="1" applyFill="1" applyBorder="1" applyAlignment="1">
      <alignment horizontal="left" vertical="center"/>
    </xf>
    <xf numFmtId="0" fontId="11" fillId="25" borderId="7" xfId="0" applyNumberFormat="1" applyFont="1" applyFill="1" applyBorder="1" applyAlignment="1">
      <alignment horizontal="left" vertical="center"/>
    </xf>
    <xf numFmtId="0" fontId="11" fillId="25" borderId="7" xfId="0" applyNumberFormat="1" applyFont="1" applyFill="1" applyBorder="1" applyAlignment="1">
      <alignment horizontal="center" vertical="center"/>
    </xf>
    <xf numFmtId="0" fontId="11" fillId="25" borderId="8" xfId="0" applyNumberFormat="1" applyFont="1" applyFill="1" applyBorder="1" applyAlignment="1">
      <alignment horizontal="left" vertical="center"/>
    </xf>
    <xf numFmtId="0" fontId="11" fillId="25" borderId="8" xfId="0" applyNumberFormat="1" applyFont="1" applyFill="1" applyBorder="1" applyAlignment="1">
      <alignment horizontal="right" vertical="center"/>
    </xf>
    <xf numFmtId="0" fontId="11" fillId="25" borderId="8" xfId="0" applyNumberFormat="1" applyFont="1" applyFill="1" applyBorder="1" applyAlignment="1">
      <alignment horizontal="center" vertical="center"/>
    </xf>
    <xf numFmtId="0" fontId="10" fillId="25" borderId="9" xfId="0" applyNumberFormat="1" applyFont="1" applyFill="1" applyBorder="1" applyAlignment="1">
      <alignment horizontal="left" vertical="center"/>
    </xf>
    <xf numFmtId="0" fontId="10" fillId="25" borderId="10" xfId="0" applyNumberFormat="1" applyFont="1" applyFill="1" applyBorder="1" applyAlignment="1">
      <alignment horizontal="left" vertical="center"/>
    </xf>
    <xf numFmtId="0" fontId="11" fillId="25" borderId="10" xfId="0" applyNumberFormat="1" applyFont="1" applyFill="1" applyBorder="1" applyAlignment="1">
      <alignment horizontal="left" vertical="center"/>
    </xf>
    <xf numFmtId="0" fontId="11" fillId="25" borderId="10" xfId="0" applyNumberFormat="1" applyFont="1" applyFill="1" applyBorder="1" applyAlignment="1">
      <alignment horizontal="center" vertical="center"/>
    </xf>
    <xf numFmtId="0" fontId="11" fillId="25" borderId="11" xfId="0" applyNumberFormat="1" applyFont="1" applyFill="1" applyBorder="1" applyAlignment="1">
      <alignment horizontal="left" vertical="center"/>
    </xf>
    <xf numFmtId="0" fontId="11" fillId="25" borderId="11" xfId="0" applyNumberFormat="1" applyFont="1" applyFill="1" applyBorder="1" applyAlignment="1">
      <alignment horizontal="right" vertical="center"/>
    </xf>
    <xf numFmtId="0" fontId="11" fillId="25" borderId="11" xfId="0" applyNumberFormat="1" applyFont="1" applyFill="1" applyBorder="1" applyAlignment="1">
      <alignment horizontal="center" vertical="center"/>
    </xf>
    <xf numFmtId="0" fontId="10" fillId="27" borderId="3" xfId="0" applyNumberFormat="1" applyFont="1" applyFill="1" applyBorder="1" applyAlignment="1">
      <alignment horizontal="left" vertical="center"/>
    </xf>
    <xf numFmtId="0" fontId="10" fillId="27" borderId="4" xfId="0" applyNumberFormat="1" applyFont="1" applyFill="1" applyBorder="1" applyAlignment="1">
      <alignment horizontal="left" vertical="center"/>
    </xf>
    <xf numFmtId="0" fontId="11" fillId="27" borderId="4" xfId="0" applyNumberFormat="1" applyFont="1" applyFill="1" applyBorder="1" applyAlignment="1">
      <alignment horizontal="left" vertical="center"/>
    </xf>
    <xf numFmtId="0" fontId="11" fillId="27" borderId="4" xfId="0" applyNumberFormat="1" applyFont="1" applyFill="1" applyBorder="1" applyAlignment="1">
      <alignment horizontal="center" vertical="center"/>
    </xf>
    <xf numFmtId="0" fontId="11" fillId="27" borderId="5" xfId="0" applyNumberFormat="1" applyFont="1" applyFill="1" applyBorder="1" applyAlignment="1">
      <alignment horizontal="left" vertical="center"/>
    </xf>
    <xf numFmtId="0" fontId="11" fillId="27" borderId="5" xfId="0" applyNumberFormat="1" applyFont="1" applyFill="1" applyBorder="1" applyAlignment="1">
      <alignment horizontal="right" vertical="center"/>
    </xf>
    <xf numFmtId="0" fontId="11" fillId="27" borderId="5" xfId="0" applyNumberFormat="1" applyFont="1" applyFill="1" applyBorder="1" applyAlignment="1">
      <alignment horizontal="center" vertical="center"/>
    </xf>
    <xf numFmtId="0" fontId="10" fillId="27" borderId="6" xfId="0" applyNumberFormat="1" applyFont="1" applyFill="1" applyBorder="1" applyAlignment="1">
      <alignment horizontal="left" vertical="center"/>
    </xf>
    <xf numFmtId="0" fontId="10" fillId="27" borderId="7" xfId="0" applyNumberFormat="1" applyFont="1" applyFill="1" applyBorder="1" applyAlignment="1">
      <alignment horizontal="left" vertical="center"/>
    </xf>
    <xf numFmtId="0" fontId="11" fillId="27" borderId="7" xfId="0" applyNumberFormat="1" applyFont="1" applyFill="1" applyBorder="1" applyAlignment="1">
      <alignment horizontal="left" vertical="center"/>
    </xf>
    <xf numFmtId="0" fontId="11" fillId="27" borderId="7" xfId="0" applyNumberFormat="1" applyFont="1" applyFill="1" applyBorder="1" applyAlignment="1">
      <alignment horizontal="center" vertical="center"/>
    </xf>
    <xf numFmtId="0" fontId="11" fillId="27" borderId="8" xfId="0" applyNumberFormat="1" applyFont="1" applyFill="1" applyBorder="1" applyAlignment="1">
      <alignment horizontal="left" vertical="center"/>
    </xf>
    <xf numFmtId="0" fontId="11" fillId="27" borderId="8" xfId="0" applyNumberFormat="1" applyFont="1" applyFill="1" applyBorder="1" applyAlignment="1">
      <alignment horizontal="right" vertical="center"/>
    </xf>
    <xf numFmtId="0" fontId="11" fillId="27" borderId="8" xfId="0" applyNumberFormat="1" applyFont="1" applyFill="1" applyBorder="1" applyAlignment="1">
      <alignment horizontal="center" vertical="center"/>
    </xf>
    <xf numFmtId="0" fontId="10" fillId="27" borderId="9" xfId="0" applyNumberFormat="1" applyFont="1" applyFill="1" applyBorder="1" applyAlignment="1">
      <alignment horizontal="left" vertical="center"/>
    </xf>
    <xf numFmtId="0" fontId="10" fillId="27" borderId="10" xfId="0" applyNumberFormat="1" applyFont="1" applyFill="1" applyBorder="1" applyAlignment="1">
      <alignment horizontal="left" vertical="center"/>
    </xf>
    <xf numFmtId="0" fontId="11" fillId="27" borderId="10" xfId="0" applyNumberFormat="1" applyFont="1" applyFill="1" applyBorder="1" applyAlignment="1">
      <alignment horizontal="left" vertical="center"/>
    </xf>
    <xf numFmtId="0" fontId="11" fillId="27" borderId="10" xfId="0" applyNumberFormat="1" applyFont="1" applyFill="1" applyBorder="1" applyAlignment="1">
      <alignment horizontal="center" vertical="center"/>
    </xf>
    <xf numFmtId="0" fontId="11" fillId="27" borderId="11" xfId="0" applyNumberFormat="1" applyFont="1" applyFill="1" applyBorder="1" applyAlignment="1">
      <alignment horizontal="left" vertical="center"/>
    </xf>
    <xf numFmtId="0" fontId="11" fillId="27" borderId="11" xfId="0" applyNumberFormat="1" applyFont="1" applyFill="1" applyBorder="1" applyAlignment="1">
      <alignment horizontal="right" vertical="center"/>
    </xf>
    <xf numFmtId="0" fontId="11" fillId="27" borderId="11" xfId="0" applyNumberFormat="1" applyFont="1" applyFill="1" applyBorder="1" applyAlignment="1">
      <alignment horizontal="center" vertical="center"/>
    </xf>
    <xf numFmtId="0" fontId="10" fillId="26" borderId="3" xfId="0" applyNumberFormat="1" applyFont="1" applyFill="1" applyBorder="1" applyAlignment="1">
      <alignment horizontal="left" vertical="center"/>
    </xf>
    <xf numFmtId="0" fontId="10" fillId="26" borderId="4" xfId="0" applyNumberFormat="1" applyFont="1" applyFill="1" applyBorder="1" applyAlignment="1">
      <alignment horizontal="left" vertical="center"/>
    </xf>
    <xf numFmtId="0" fontId="11" fillId="26" borderId="4" xfId="0" applyNumberFormat="1" applyFont="1" applyFill="1" applyBorder="1" applyAlignment="1">
      <alignment horizontal="left" vertical="center"/>
    </xf>
    <xf numFmtId="0" fontId="11" fillId="26" borderId="4" xfId="0" applyNumberFormat="1" applyFont="1" applyFill="1" applyBorder="1" applyAlignment="1">
      <alignment horizontal="center" vertical="center"/>
    </xf>
    <xf numFmtId="0" fontId="11" fillId="26" borderId="5" xfId="0" applyNumberFormat="1" applyFont="1" applyFill="1" applyBorder="1" applyAlignment="1">
      <alignment horizontal="left" vertical="center"/>
    </xf>
    <xf numFmtId="0" fontId="11" fillId="26" borderId="5" xfId="0" applyNumberFormat="1" applyFont="1" applyFill="1" applyBorder="1" applyAlignment="1">
      <alignment horizontal="right" vertical="center"/>
    </xf>
    <xf numFmtId="0" fontId="11" fillId="26" borderId="5" xfId="0" applyNumberFormat="1" applyFont="1" applyFill="1" applyBorder="1" applyAlignment="1">
      <alignment horizontal="center" vertical="center"/>
    </xf>
    <xf numFmtId="0" fontId="10" fillId="26" borderId="6" xfId="0" applyNumberFormat="1" applyFont="1" applyFill="1" applyBorder="1" applyAlignment="1">
      <alignment horizontal="left" vertical="center"/>
    </xf>
    <xf numFmtId="0" fontId="10" fillId="26" borderId="7" xfId="0" applyNumberFormat="1" applyFont="1" applyFill="1" applyBorder="1" applyAlignment="1">
      <alignment horizontal="left" vertical="center"/>
    </xf>
    <xf numFmtId="0" fontId="11" fillId="26" borderId="7" xfId="0" applyNumberFormat="1" applyFont="1" applyFill="1" applyBorder="1" applyAlignment="1">
      <alignment horizontal="left" vertical="center"/>
    </xf>
    <xf numFmtId="0" fontId="11" fillId="26" borderId="7" xfId="0" applyNumberFormat="1" applyFont="1" applyFill="1" applyBorder="1" applyAlignment="1">
      <alignment horizontal="center" vertical="center"/>
    </xf>
    <xf numFmtId="0" fontId="11" fillId="26" borderId="8" xfId="0" applyNumberFormat="1" applyFont="1" applyFill="1" applyBorder="1" applyAlignment="1">
      <alignment horizontal="left" vertical="center"/>
    </xf>
    <xf numFmtId="0" fontId="11" fillId="26" borderId="8" xfId="0" applyNumberFormat="1" applyFont="1" applyFill="1" applyBorder="1" applyAlignment="1">
      <alignment horizontal="right" vertical="center"/>
    </xf>
    <xf numFmtId="0" fontId="11" fillId="26" borderId="8" xfId="0" applyNumberFormat="1" applyFont="1" applyFill="1" applyBorder="1" applyAlignment="1">
      <alignment horizontal="center" vertical="center"/>
    </xf>
    <xf numFmtId="0" fontId="10" fillId="26" borderId="9" xfId="0" applyNumberFormat="1" applyFont="1" applyFill="1" applyBorder="1" applyAlignment="1">
      <alignment horizontal="left" vertical="center"/>
    </xf>
    <xf numFmtId="0" fontId="10" fillId="26" borderId="10" xfId="0" applyNumberFormat="1" applyFont="1" applyFill="1" applyBorder="1" applyAlignment="1">
      <alignment horizontal="left" vertical="center"/>
    </xf>
    <xf numFmtId="0" fontId="11" fillId="26" borderId="10" xfId="0" applyNumberFormat="1" applyFont="1" applyFill="1" applyBorder="1" applyAlignment="1">
      <alignment horizontal="left" vertical="center"/>
    </xf>
    <xf numFmtId="0" fontId="11" fillId="26" borderId="10" xfId="0" applyNumberFormat="1" applyFont="1" applyFill="1" applyBorder="1" applyAlignment="1">
      <alignment horizontal="center" vertical="center"/>
    </xf>
    <xf numFmtId="0" fontId="11" fillId="26" borderId="11" xfId="0" applyNumberFormat="1" applyFont="1" applyFill="1" applyBorder="1" applyAlignment="1">
      <alignment horizontal="left" vertical="center"/>
    </xf>
    <xf numFmtId="0" fontId="11" fillId="26" borderId="11" xfId="0" applyNumberFormat="1" applyFont="1" applyFill="1" applyBorder="1" applyAlignment="1">
      <alignment horizontal="right" vertical="center"/>
    </xf>
    <xf numFmtId="0" fontId="11" fillId="26" borderId="11" xfId="0" applyNumberFormat="1" applyFont="1" applyFill="1" applyBorder="1" applyAlignment="1">
      <alignment horizontal="center" vertical="center"/>
    </xf>
    <xf numFmtId="0" fontId="10" fillId="28" borderId="3" xfId="0" applyNumberFormat="1" applyFont="1" applyFill="1" applyBorder="1" applyAlignment="1">
      <alignment horizontal="left" vertical="center"/>
    </xf>
    <xf numFmtId="0" fontId="10" fillId="28" borderId="4" xfId="0" applyNumberFormat="1" applyFont="1" applyFill="1" applyBorder="1" applyAlignment="1">
      <alignment horizontal="left" vertical="center"/>
    </xf>
    <xf numFmtId="0" fontId="11" fillId="28" borderId="4" xfId="0" applyNumberFormat="1" applyFont="1" applyFill="1" applyBorder="1" applyAlignment="1">
      <alignment horizontal="left" vertical="center"/>
    </xf>
    <xf numFmtId="0" fontId="11" fillId="28" borderId="4" xfId="0" applyNumberFormat="1" applyFont="1" applyFill="1" applyBorder="1" applyAlignment="1">
      <alignment horizontal="center" vertical="center"/>
    </xf>
    <xf numFmtId="0" fontId="11" fillId="28" borderId="5" xfId="0" applyNumberFormat="1" applyFont="1" applyFill="1" applyBorder="1" applyAlignment="1">
      <alignment horizontal="left" vertical="center"/>
    </xf>
    <xf numFmtId="0" fontId="11" fillId="28" borderId="5" xfId="0" applyNumberFormat="1" applyFont="1" applyFill="1" applyBorder="1" applyAlignment="1">
      <alignment horizontal="right" vertical="center"/>
    </xf>
    <xf numFmtId="0" fontId="11" fillId="28" borderId="5" xfId="0" applyNumberFormat="1" applyFont="1" applyFill="1" applyBorder="1" applyAlignment="1">
      <alignment horizontal="center" vertical="center"/>
    </xf>
    <xf numFmtId="0" fontId="10" fillId="28" borderId="6" xfId="0" applyNumberFormat="1" applyFont="1" applyFill="1" applyBorder="1" applyAlignment="1">
      <alignment horizontal="left" vertical="center"/>
    </xf>
    <xf numFmtId="0" fontId="10" fillId="28" borderId="7" xfId="0" applyNumberFormat="1" applyFont="1" applyFill="1" applyBorder="1" applyAlignment="1">
      <alignment horizontal="left" vertical="center"/>
    </xf>
    <xf numFmtId="0" fontId="11" fillId="28" borderId="7" xfId="0" applyNumberFormat="1" applyFont="1" applyFill="1" applyBorder="1" applyAlignment="1">
      <alignment horizontal="left" vertical="center"/>
    </xf>
    <xf numFmtId="0" fontId="11" fillId="28" borderId="7" xfId="0" applyNumberFormat="1" applyFont="1" applyFill="1" applyBorder="1" applyAlignment="1">
      <alignment horizontal="center" vertical="center"/>
    </xf>
    <xf numFmtId="0" fontId="11" fillId="28" borderId="8" xfId="0" applyNumberFormat="1" applyFont="1" applyFill="1" applyBorder="1" applyAlignment="1">
      <alignment horizontal="left" vertical="center"/>
    </xf>
    <xf numFmtId="0" fontId="11" fillId="28" borderId="8" xfId="0" applyNumberFormat="1" applyFont="1" applyFill="1" applyBorder="1" applyAlignment="1">
      <alignment horizontal="right" vertical="center"/>
    </xf>
    <xf numFmtId="0" fontId="11" fillId="28" borderId="8" xfId="0" applyNumberFormat="1" applyFont="1" applyFill="1" applyBorder="1" applyAlignment="1">
      <alignment horizontal="center" vertical="center"/>
    </xf>
    <xf numFmtId="0" fontId="10" fillId="28" borderId="9" xfId="0" applyNumberFormat="1" applyFont="1" applyFill="1" applyBorder="1" applyAlignment="1">
      <alignment horizontal="left" vertical="center"/>
    </xf>
    <xf numFmtId="0" fontId="10" fillId="28" borderId="10" xfId="0" applyNumberFormat="1" applyFont="1" applyFill="1" applyBorder="1" applyAlignment="1">
      <alignment horizontal="left" vertical="center"/>
    </xf>
    <xf numFmtId="0" fontId="11" fillId="28" borderId="10" xfId="0" applyNumberFormat="1" applyFont="1" applyFill="1" applyBorder="1" applyAlignment="1">
      <alignment horizontal="left" vertical="center"/>
    </xf>
    <xf numFmtId="0" fontId="11" fillId="28" borderId="10" xfId="0" applyNumberFormat="1" applyFont="1" applyFill="1" applyBorder="1" applyAlignment="1">
      <alignment horizontal="center" vertical="center"/>
    </xf>
    <xf numFmtId="0" fontId="11" fillId="28" borderId="11" xfId="0" applyNumberFormat="1" applyFont="1" applyFill="1" applyBorder="1" applyAlignment="1">
      <alignment horizontal="left" vertical="center"/>
    </xf>
    <xf numFmtId="0" fontId="11" fillId="28" borderId="11" xfId="0" applyNumberFormat="1" applyFont="1" applyFill="1" applyBorder="1" applyAlignment="1">
      <alignment horizontal="right" vertical="center"/>
    </xf>
    <xf numFmtId="0" fontId="11" fillId="28" borderId="11" xfId="0" applyNumberFormat="1" applyFont="1" applyFill="1" applyBorder="1" applyAlignment="1">
      <alignment horizontal="center" vertical="center"/>
    </xf>
    <xf numFmtId="0" fontId="12" fillId="7" borderId="3" xfId="0" applyNumberFormat="1" applyFont="1" applyFill="1" applyBorder="1" applyAlignment="1"/>
    <xf numFmtId="0" fontId="10" fillId="7" borderId="4" xfId="0" applyNumberFormat="1" applyFont="1" applyFill="1" applyBorder="1" applyAlignment="1"/>
    <xf numFmtId="0" fontId="2" fillId="7" borderId="4" xfId="0" applyNumberFormat="1" applyFont="1" applyFill="1" applyBorder="1" applyAlignment="1"/>
    <xf numFmtId="0" fontId="2" fillId="7" borderId="4" xfId="0" applyNumberFormat="1" applyFont="1" applyFill="1" applyBorder="1" applyAlignment="1">
      <alignment horizontal="center"/>
    </xf>
    <xf numFmtId="0" fontId="2" fillId="7" borderId="4" xfId="0" applyNumberFormat="1" applyFont="1" applyFill="1" applyBorder="1" applyAlignment="1">
      <alignment horizontal="left"/>
    </xf>
    <xf numFmtId="0" fontId="2" fillId="7" borderId="5" xfId="0" applyNumberFormat="1" applyFont="1" applyFill="1" applyBorder="1" applyAlignment="1"/>
    <xf numFmtId="0" fontId="2" fillId="7" borderId="5" xfId="0" applyNumberFormat="1" applyFont="1" applyFill="1" applyBorder="1" applyAlignment="1">
      <alignment horizontal="right"/>
    </xf>
    <xf numFmtId="0" fontId="2" fillId="7" borderId="5" xfId="0" applyNumberFormat="1" applyFont="1" applyFill="1" applyBorder="1" applyAlignment="1">
      <alignment horizontal="center"/>
    </xf>
    <xf numFmtId="0" fontId="12" fillId="7" borderId="6" xfId="0" applyNumberFormat="1" applyFont="1" applyFill="1" applyBorder="1" applyAlignment="1"/>
    <xf numFmtId="0" fontId="10" fillId="7" borderId="7" xfId="0" applyNumberFormat="1" applyFont="1" applyFill="1" applyBorder="1" applyAlignment="1"/>
    <xf numFmtId="0" fontId="2" fillId="7" borderId="7" xfId="0" applyNumberFormat="1" applyFont="1" applyFill="1" applyBorder="1" applyAlignment="1"/>
    <xf numFmtId="0" fontId="2" fillId="7" borderId="7" xfId="0" applyNumberFormat="1" applyFont="1" applyFill="1" applyBorder="1" applyAlignment="1">
      <alignment horizontal="center"/>
    </xf>
    <xf numFmtId="0" fontId="2" fillId="7" borderId="7" xfId="0" applyNumberFormat="1" applyFont="1" applyFill="1" applyBorder="1" applyAlignment="1">
      <alignment horizontal="left"/>
    </xf>
    <xf numFmtId="0" fontId="2" fillId="7" borderId="8" xfId="0" applyNumberFormat="1" applyFont="1" applyFill="1" applyBorder="1" applyAlignment="1"/>
    <xf numFmtId="0" fontId="2" fillId="7" borderId="8" xfId="0" applyNumberFormat="1" applyFont="1" applyFill="1" applyBorder="1" applyAlignment="1">
      <alignment horizontal="right"/>
    </xf>
    <xf numFmtId="0" fontId="2" fillId="7" borderId="8" xfId="0" applyNumberFormat="1" applyFont="1" applyFill="1" applyBorder="1" applyAlignment="1">
      <alignment horizontal="center"/>
    </xf>
    <xf numFmtId="0" fontId="12" fillId="7" borderId="9" xfId="0" applyNumberFormat="1" applyFont="1" applyFill="1" applyBorder="1" applyAlignment="1"/>
    <xf numFmtId="0" fontId="10" fillId="7" borderId="10" xfId="0" applyNumberFormat="1" applyFont="1" applyFill="1" applyBorder="1" applyAlignment="1"/>
    <xf numFmtId="0" fontId="2" fillId="7" borderId="10" xfId="0" applyNumberFormat="1" applyFont="1" applyFill="1" applyBorder="1" applyAlignment="1"/>
    <xf numFmtId="0" fontId="2" fillId="7" borderId="10" xfId="0" applyNumberFormat="1" applyFont="1" applyFill="1" applyBorder="1" applyAlignment="1">
      <alignment horizontal="center"/>
    </xf>
    <xf numFmtId="0" fontId="2" fillId="7" borderId="10" xfId="0" applyNumberFormat="1" applyFont="1" applyFill="1" applyBorder="1" applyAlignment="1">
      <alignment horizontal="left"/>
    </xf>
    <xf numFmtId="0" fontId="2" fillId="7" borderId="11" xfId="0" applyNumberFormat="1" applyFont="1" applyFill="1" applyBorder="1" applyAlignment="1"/>
    <xf numFmtId="0" fontId="2" fillId="7" borderId="11" xfId="0" applyNumberFormat="1" applyFont="1" applyFill="1" applyBorder="1" applyAlignment="1">
      <alignment horizontal="right"/>
    </xf>
    <xf numFmtId="0" fontId="2" fillId="7" borderId="11" xfId="0" applyNumberFormat="1" applyFont="1" applyFill="1" applyBorder="1" applyAlignment="1">
      <alignment horizontal="center"/>
    </xf>
    <xf numFmtId="0" fontId="13" fillId="39" borderId="6" xfId="0" applyNumberFormat="1" applyFont="1" applyFill="1" applyBorder="1" applyAlignment="1">
      <alignment horizontal="left" vertical="center"/>
    </xf>
    <xf numFmtId="0" fontId="13" fillId="39" borderId="7" xfId="0" applyNumberFormat="1" applyFont="1" applyFill="1" applyBorder="1" applyAlignment="1">
      <alignment horizontal="left" vertical="center"/>
    </xf>
    <xf numFmtId="0" fontId="3" fillId="39" borderId="7" xfId="0" applyNumberFormat="1" applyFont="1" applyFill="1" applyBorder="1" applyAlignment="1">
      <alignment horizontal="left" vertical="center"/>
    </xf>
    <xf numFmtId="0" fontId="3" fillId="39" borderId="7" xfId="0" applyNumberFormat="1" applyFont="1" applyFill="1" applyBorder="1" applyAlignment="1">
      <alignment horizontal="center" vertical="center"/>
    </xf>
    <xf numFmtId="0" fontId="14" fillId="39" borderId="7" xfId="0" applyNumberFormat="1" applyFont="1" applyFill="1" applyBorder="1" applyAlignment="1">
      <alignment horizontal="center" vertical="center"/>
    </xf>
    <xf numFmtId="0" fontId="14" fillId="39" borderId="8" xfId="0" applyNumberFormat="1" applyFont="1" applyFill="1" applyBorder="1" applyAlignment="1"/>
    <xf numFmtId="0" fontId="14" fillId="39" borderId="8" xfId="0" applyNumberFormat="1" applyFont="1" applyFill="1" applyBorder="1" applyAlignment="1">
      <alignment horizontal="right"/>
    </xf>
    <xf numFmtId="0" fontId="3" fillId="39" borderId="8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10" fillId="16" borderId="7" xfId="0" applyNumberFormat="1" applyFont="1" applyFill="1" applyBorder="1" applyAlignment="1">
      <alignment horizontal="center" vertical="center"/>
    </xf>
    <xf numFmtId="0" fontId="10" fillId="23" borderId="7" xfId="0" applyNumberFormat="1" applyFont="1" applyFill="1" applyBorder="1" applyAlignment="1">
      <alignment horizontal="center" vertical="center"/>
    </xf>
    <xf numFmtId="0" fontId="5" fillId="22" borderId="12" xfId="0" applyNumberFormat="1" applyFont="1" applyFill="1" applyBorder="1" applyAlignment="1">
      <alignment horizontal="center"/>
    </xf>
    <xf numFmtId="0" fontId="5" fillId="17" borderId="14" xfId="0" applyNumberFormat="1" applyFont="1" applyFill="1" applyBorder="1" applyAlignment="1">
      <alignment horizontal="center" vertical="center"/>
    </xf>
    <xf numFmtId="0" fontId="5" fillId="8" borderId="14" xfId="0" applyNumberFormat="1" applyFont="1" applyFill="1" applyBorder="1" applyAlignment="1">
      <alignment horizontal="center" vertical="center"/>
    </xf>
    <xf numFmtId="0" fontId="5" fillId="9" borderId="14" xfId="0" applyNumberFormat="1" applyFont="1" applyFill="1" applyBorder="1" applyAlignment="1">
      <alignment horizontal="center" vertical="center"/>
    </xf>
    <xf numFmtId="0" fontId="10" fillId="24" borderId="7" xfId="0" applyNumberFormat="1" applyFont="1" applyFill="1" applyBorder="1" applyAlignment="1">
      <alignment horizontal="center" vertical="center"/>
    </xf>
    <xf numFmtId="0" fontId="5" fillId="20" borderId="2" xfId="0" applyNumberFormat="1" applyFont="1" applyFill="1" applyBorder="1" applyAlignment="1">
      <alignment horizontal="center" vertical="center"/>
    </xf>
    <xf numFmtId="0" fontId="10" fillId="25" borderId="7" xfId="0" applyNumberFormat="1" applyFont="1" applyFill="1" applyBorder="1" applyAlignment="1">
      <alignment horizontal="center" vertical="center"/>
    </xf>
    <xf numFmtId="0" fontId="5" fillId="19" borderId="14" xfId="0" applyNumberFormat="1" applyFont="1" applyFill="1" applyBorder="1" applyAlignment="1">
      <alignment horizontal="center" vertical="center"/>
    </xf>
    <xf numFmtId="0" fontId="10" fillId="27" borderId="7" xfId="0" applyNumberFormat="1" applyFont="1" applyFill="1" applyBorder="1" applyAlignment="1">
      <alignment horizontal="center" vertical="center"/>
    </xf>
    <xf numFmtId="0" fontId="5" fillId="10" borderId="14" xfId="0" applyNumberFormat="1" applyFont="1" applyFill="1" applyBorder="1" applyAlignment="1">
      <alignment horizontal="center" vertical="center"/>
    </xf>
    <xf numFmtId="0" fontId="10" fillId="26" borderId="7" xfId="0" applyNumberFormat="1" applyFont="1" applyFill="1" applyBorder="1" applyAlignment="1">
      <alignment horizontal="center" vertical="center"/>
    </xf>
    <xf numFmtId="0" fontId="5" fillId="11" borderId="2" xfId="0" applyNumberFormat="1" applyFont="1" applyFill="1" applyBorder="1" applyAlignment="1">
      <alignment horizontal="center" vertical="center"/>
    </xf>
    <xf numFmtId="0" fontId="10" fillId="28" borderId="7" xfId="0" applyNumberFormat="1" applyFont="1" applyFill="1" applyBorder="1" applyAlignment="1">
      <alignment horizontal="center" vertical="center"/>
    </xf>
    <xf numFmtId="0" fontId="10" fillId="7" borderId="7" xfId="0" applyNumberFormat="1" applyFont="1" applyFill="1" applyBorder="1" applyAlignment="1">
      <alignment horizontal="center"/>
    </xf>
    <xf numFmtId="0" fontId="6" fillId="35" borderId="7" xfId="0" applyNumberFormat="1" applyFont="1" applyFill="1" applyBorder="1" applyAlignment="1">
      <alignment horizontal="center"/>
    </xf>
    <xf numFmtId="0" fontId="7" fillId="14" borderId="1" xfId="0" applyNumberFormat="1" applyFont="1" applyFill="1" applyBorder="1" applyAlignment="1">
      <alignment horizontal="center"/>
    </xf>
    <xf numFmtId="0" fontId="6" fillId="39" borderId="7" xfId="0" applyNumberFormat="1" applyFont="1" applyFill="1" applyBorder="1" applyAlignment="1">
      <alignment horizontal="left" vertical="center"/>
    </xf>
    <xf numFmtId="0" fontId="6" fillId="39" borderId="6" xfId="0" applyNumberFormat="1" applyFont="1" applyFill="1" applyBorder="1" applyAlignment="1">
      <alignment horizontal="left" vertical="center"/>
    </xf>
    <xf numFmtId="0" fontId="15" fillId="3" borderId="7" xfId="0" applyNumberFormat="1" applyFont="1" applyFill="1" applyBorder="1" applyAlignment="1">
      <alignment horizontal="left" vertical="center"/>
    </xf>
    <xf numFmtId="0" fontId="0" fillId="7" borderId="7" xfId="0" applyNumberFormat="1" applyFont="1" applyFill="1" applyBorder="1" applyAlignment="1">
      <alignment horizontal="center" vertical="center"/>
    </xf>
    <xf numFmtId="0" fontId="0" fillId="7" borderId="8" xfId="0" applyNumberFormat="1" applyFont="1" applyFill="1" applyBorder="1" applyAlignment="1"/>
    <xf numFmtId="0" fontId="0" fillId="7" borderId="8" xfId="0" applyNumberFormat="1" applyFont="1" applyFill="1" applyBorder="1" applyAlignment="1">
      <alignment horizontal="right"/>
    </xf>
    <xf numFmtId="0" fontId="3" fillId="7" borderId="8" xfId="0" applyNumberFormat="1" applyFont="1" applyFill="1" applyBorder="1" applyAlignment="1">
      <alignment horizontal="center" vertical="center"/>
    </xf>
    <xf numFmtId="0" fontId="15" fillId="2" borderId="7" xfId="0" applyNumberFormat="1" applyFont="1" applyFill="1" applyBorder="1" applyAlignment="1">
      <alignment horizontal="left" vertical="center"/>
    </xf>
    <xf numFmtId="0" fontId="16" fillId="30" borderId="7" xfId="0" applyNumberFormat="1" applyFont="1" applyFill="1" applyBorder="1" applyAlignment="1">
      <alignment horizontal="left" vertical="center"/>
    </xf>
    <xf numFmtId="0" fontId="16" fillId="2" borderId="7" xfId="0" applyNumberFormat="1" applyFont="1" applyFill="1" applyBorder="1" applyAlignment="1">
      <alignment horizontal="left" vertical="center"/>
    </xf>
    <xf numFmtId="0" fontId="16" fillId="30" borderId="4" xfId="0" applyNumberFormat="1" applyFont="1" applyFill="1" applyBorder="1" applyAlignment="1">
      <alignment horizontal="left" vertical="center"/>
    </xf>
    <xf numFmtId="0" fontId="0" fillId="7" borderId="7" xfId="0" applyNumberFormat="1" applyFont="1" applyFill="1" applyBorder="1" applyAlignment="1">
      <alignment horizontal="center"/>
    </xf>
    <xf numFmtId="0" fontId="15" fillId="5" borderId="7" xfId="0" applyNumberFormat="1" applyFont="1" applyFill="1" applyBorder="1" applyAlignment="1">
      <alignment horizontal="left" vertical="center"/>
    </xf>
    <xf numFmtId="0" fontId="16" fillId="32" borderId="7" xfId="0" applyNumberFormat="1" applyFont="1" applyFill="1" applyBorder="1" applyAlignment="1">
      <alignment horizontal="left" vertical="center"/>
    </xf>
    <xf numFmtId="0" fontId="16" fillId="5" borderId="7" xfId="0" applyNumberFormat="1" applyFont="1" applyFill="1" applyBorder="1" applyAlignment="1">
      <alignment horizontal="left" vertical="center"/>
    </xf>
    <xf numFmtId="0" fontId="15" fillId="6" borderId="7" xfId="0" applyNumberFormat="1" applyFont="1" applyFill="1" applyBorder="1" applyAlignment="1">
      <alignment horizontal="left" vertical="center"/>
    </xf>
    <xf numFmtId="0" fontId="16" fillId="3" borderId="7" xfId="0" applyNumberFormat="1" applyFont="1" applyFill="1" applyBorder="1" applyAlignment="1">
      <alignment horizontal="left" vertical="center"/>
    </xf>
    <xf numFmtId="0" fontId="6" fillId="28" borderId="6" xfId="0" applyNumberFormat="1" applyFont="1" applyFill="1" applyBorder="1" applyAlignment="1">
      <alignment horizontal="left" vertical="center"/>
    </xf>
    <xf numFmtId="0" fontId="8" fillId="21" borderId="6" xfId="0" applyNumberFormat="1" applyFont="1" applyFill="1" applyBorder="1" applyAlignment="1">
      <alignment horizontal="left" vertical="center"/>
    </xf>
    <xf numFmtId="0" fontId="7" fillId="7" borderId="6" xfId="0" applyNumberFormat="1" applyFont="1" applyFill="1" applyBorder="1" applyAlignment="1"/>
    <xf numFmtId="0" fontId="6" fillId="28" borderId="7" xfId="0" applyNumberFormat="1" applyFont="1" applyFill="1" applyBorder="1" applyAlignment="1">
      <alignment horizontal="left" vertical="center"/>
    </xf>
    <xf numFmtId="0" fontId="8" fillId="21" borderId="7" xfId="0" applyNumberFormat="1" applyFont="1" applyFill="1" applyBorder="1" applyAlignment="1">
      <alignment horizontal="left" vertical="center"/>
    </xf>
    <xf numFmtId="0" fontId="6" fillId="7" borderId="7" xfId="0" applyNumberFormat="1" applyFont="1" applyFill="1" applyBorder="1" applyAlignment="1"/>
    <xf numFmtId="0" fontId="1" fillId="21" borderId="7" xfId="0" applyNumberFormat="1" applyFont="1" applyFill="1" applyBorder="1" applyAlignment="1">
      <alignment horizontal="center" vertical="center"/>
    </xf>
    <xf numFmtId="0" fontId="1" fillId="21" borderId="7" xfId="0" applyNumberFormat="1" applyFont="1" applyFill="1" applyBorder="1" applyAlignment="1">
      <alignment horizontal="left" vertical="center"/>
    </xf>
    <xf numFmtId="0" fontId="11" fillId="7" borderId="8" xfId="0" applyNumberFormat="1" applyFont="1" applyFill="1" applyBorder="1" applyAlignment="1">
      <alignment horizontal="center" vertical="center"/>
    </xf>
    <xf numFmtId="0" fontId="1" fillId="7" borderId="8" xfId="0" applyNumberFormat="1" applyFont="1" applyFill="1" applyBorder="1" applyAlignment="1">
      <alignment horizontal="center" vertical="center"/>
    </xf>
    <xf numFmtId="0" fontId="0" fillId="7" borderId="8" xfId="0" applyNumberFormat="1" applyFont="1" applyFill="1" applyBorder="1" applyAlignment="1">
      <alignment horizontal="center"/>
    </xf>
    <xf numFmtId="0" fontId="16" fillId="37" borderId="7" xfId="0" applyNumberFormat="1" applyFont="1" applyFill="1" applyBorder="1" applyAlignment="1">
      <alignment horizontal="left" vertical="center"/>
    </xf>
    <xf numFmtId="0" fontId="15" fillId="37" borderId="7" xfId="0" applyNumberFormat="1" applyFont="1" applyFill="1" applyBorder="1" applyAlignment="1">
      <alignment horizontal="left" vertical="center"/>
    </xf>
    <xf numFmtId="0" fontId="15" fillId="32" borderId="7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1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theme="0" tint="-4.9989318521683403E-2"/>
        </top>
      </border>
    </dxf>
    <dxf>
      <border>
        <bottom style="thick">
          <color theme="0"/>
        </bottom>
      </border>
    </dxf>
    <dxf>
      <border diagonalUp="0" diagonalDown="0">
        <left style="thick">
          <color theme="0"/>
        </left>
        <right style="thick">
          <color theme="0"/>
        </right>
        <top style="medium">
          <color theme="0" tint="-0.14996795556505021"/>
        </top>
        <bottom style="medium">
          <color theme="0" tint="-0.14996795556505021"/>
        </bottom>
      </border>
    </dxf>
    <dxf>
      <numFmt numFmtId="0" formatCode="General"/>
      <alignment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theme="0" tint="-4.9989318521683403E-2"/>
        </top>
      </border>
    </dxf>
    <dxf>
      <border>
        <bottom style="thick">
          <color theme="0"/>
        </bottom>
      </border>
    </dxf>
    <dxf>
      <border diagonalUp="0" diagonalDown="0">
        <left style="thick">
          <color theme="0"/>
        </left>
        <right style="thick">
          <color theme="0"/>
        </right>
        <top style="medium">
          <color theme="0" tint="-0.14996795556505021"/>
        </top>
        <bottom style="medium">
          <color theme="0" tint="-0.14996795556505021"/>
        </bottom>
      </border>
    </dxf>
    <dxf>
      <numFmt numFmtId="0" formatCode="General"/>
      <alignment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right" vertical="bottom" textRotation="0" wrapText="0" indent="0" justifyLastLine="0" shrinkToFit="0" readingOrder="0"/>
      <border diagonalUp="0" diagonalDown="0" outline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theme="0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font>
        <b val="0"/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  <alignment textRotation="0" wrapText="0" justifyLastLine="0" shrinkToFit="0" readingOrder="0"/>
      <border diagonalUp="0" diagonalDown="0">
        <left/>
        <right style="thick">
          <color theme="0"/>
        </right>
        <top style="thin">
          <color theme="0" tint="-4.9989318521683403E-2"/>
        </top>
        <bottom style="thin">
          <color theme="0" tint="-4.9989318521683403E-2"/>
        </bottom>
        <vertical style="thick">
          <color theme="0"/>
        </vertical>
        <horizontal style="thin">
          <color theme="0" tint="-4.9989318521683403E-2"/>
        </horizontal>
      </border>
    </dxf>
    <dxf>
      <border>
        <top style="thin">
          <color rgb="FFF2F2F2"/>
        </top>
      </border>
    </dxf>
    <dxf>
      <border diagonalUp="0" diagonalDown="0">
        <left style="thick">
          <color rgb="FFFFFFFF"/>
        </left>
        <right style="thick">
          <color rgb="FFFFFFFF"/>
        </right>
        <top style="medium">
          <color rgb="FFD9D9D9"/>
        </top>
        <bottom style="medium">
          <color rgb="FFD9D9D9"/>
        </bottom>
      </border>
    </dxf>
    <dxf>
      <numFmt numFmtId="0" formatCode="General"/>
      <alignment textRotation="0" wrapText="0" justifyLastLine="0" shrinkToFit="0" readingOrder="0"/>
    </dxf>
    <dxf>
      <border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  <vertical style="thick">
          <color theme="0"/>
        </vertical>
        <horizontal/>
      </border>
    </dxf>
  </dxfs>
  <tableStyles count="0" defaultTableStyle="TableStyleMedium2" defaultPivotStyle="PivotStyleLight16"/>
  <colors>
    <mruColors>
      <color rgb="FFFEF9F4"/>
      <color rgb="FF008000"/>
      <color rgb="FFF8FAF2"/>
      <color rgb="FFF7F9F1"/>
      <color rgb="FFF5F8EE"/>
      <color rgb="FFFFFCF9"/>
      <color rgb="FFFFFAF5"/>
      <color rgb="FFFEF4EC"/>
      <color rgb="FFFEF3EA"/>
      <color rgb="FFFEEF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123825</xdr:rowOff>
        </xdr:from>
        <xdr:to>
          <xdr:col>2</xdr:col>
          <xdr:colOff>657225</xdr:colOff>
          <xdr:row>0</xdr:row>
          <xdr:rowOff>485775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ora\AppData\Local\Microsoft\Windows\Temporary%20Internet%20Files\Content.Outlook\1MGMABSV\P3%20Process%20Map%20-%20Data%202017-03-24%20(00000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rameters"/>
      <sheetName val="Data - Backup 2017-03-06"/>
      <sheetName val="Data - Backup 2017-03-07"/>
      <sheetName val="Data 2017-03-07"/>
      <sheetName val="Data 2017-03-16"/>
      <sheetName val="Data 2017-03-21"/>
    </sheetNames>
    <sheetDataSet>
      <sheetData sheetId="0"/>
      <sheetData sheetId="1">
        <row r="2">
          <cell r="A2" t="str">
            <v>Process</v>
          </cell>
        </row>
        <row r="3">
          <cell r="A3" t="str">
            <v>Document Preparation</v>
          </cell>
        </row>
        <row r="4">
          <cell r="A4" t="str">
            <v>Review</v>
          </cell>
        </row>
        <row r="5">
          <cell r="A5" t="str">
            <v>Action/Decision</v>
          </cell>
        </row>
        <row r="6">
          <cell r="A6" t="str">
            <v>Milestone</v>
          </cell>
        </row>
        <row r="7">
          <cell r="A7" t="str">
            <v>Meeting</v>
          </cell>
        </row>
        <row r="8">
          <cell r="A8" t="str">
            <v>Other</v>
          </cell>
        </row>
        <row r="9">
          <cell r="A9" t="str">
            <v>Division</v>
          </cell>
        </row>
        <row r="10">
          <cell r="A10" t="str">
            <v>Header</v>
          </cell>
        </row>
        <row r="11">
          <cell r="A11" t="str">
            <v>Phase</v>
          </cell>
        </row>
        <row r="12">
          <cell r="A12" t="str">
            <v>Root</v>
          </cell>
        </row>
        <row r="13">
          <cell r="A13" t="str">
            <v>Section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id="1" name="Tableau1" displayName="Tableau1" ref="A1:R1234" totalsRowShown="0" headerRowDxfId="22" dataDxfId="21" headerRowBorderDxfId="19" tableBorderDxfId="20" totalsRowBorderDxfId="18">
  <autoFilter ref="A1:R1234">
    <filterColumn colId="5">
      <filters>
        <filter val="11-Procurement;"/>
      </filters>
    </filterColumn>
  </autoFilter>
  <tableColumns count="18">
    <tableColumn id="1" name="name" dataDxfId="17"/>
    <tableColumn id="2" name="parent" dataDxfId="16"/>
    <tableColumn id="18" name="Phase" dataDxfId="15"/>
    <tableColumn id="3" name="LABEL" dataDxfId="14"/>
    <tableColumn id="4" name="DESCRIPTION" dataDxfId="13"/>
    <tableColumn id="5" name="LEAD" dataDxfId="12"/>
    <tableColumn id="6" name="PARTICIPANTS" dataDxfId="11"/>
    <tableColumn id="7" name="LINE" dataDxfId="10"/>
    <tableColumn id="9" name="TYPE" dataDxfId="9"/>
    <tableColumn id="8" name="ICON" dataDxfId="8"/>
    <tableColumn id="11" name="LINK" dataDxfId="7"/>
    <tableColumn id="15" name="HYPERLINK" dataDxfId="6">
      <calculatedColumnFormula>IF(K2="javascript:void(0)","_","Documentation")</calculatedColumnFormula>
    </tableColumn>
    <tableColumn id="12" name="WIDTH" dataDxfId="5"/>
    <tableColumn id="13" name="HEIGHT" dataDxfId="4"/>
    <tableColumn id="10" name="LINK_TYPE" dataDxfId="3">
      <calculatedColumnFormula>IF(K2="javascript:void(0)","none","new")</calculatedColumnFormula>
    </tableColumn>
    <tableColumn id="14" name="LEN" dataDxfId="2">
      <calculatedColumnFormula>LEN(Tableau1[[#This Row],[LABEL]])</calculatedColumnFormula>
    </tableColumn>
    <tableColumn id="17" name="POSITION2" dataDxfId="1"/>
    <tableColumn id="16" name="POSITION1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au18" displayName="Tableau18" ref="A1:Q1197" totalsRowShown="0" headerRowDxfId="44" dataDxfId="43" headerRowBorderDxfId="41" tableBorderDxfId="42" totalsRowBorderDxfId="40">
  <autoFilter ref="A1:Q1197"/>
  <tableColumns count="17">
    <tableColumn id="1" name="name" dataDxfId="39"/>
    <tableColumn id="2" name="parent" dataDxfId="38"/>
    <tableColumn id="3" name="LABEL" dataDxfId="37"/>
    <tableColumn id="4" name="DESCRIPTION" dataDxfId="36"/>
    <tableColumn id="5" name="LEAD" dataDxfId="35"/>
    <tableColumn id="6" name="PARTICIPANTS" dataDxfId="34"/>
    <tableColumn id="7" name="LINE" dataDxfId="33"/>
    <tableColumn id="9" name="TYPE" dataDxfId="32"/>
    <tableColumn id="8" name="ICON" dataDxfId="31"/>
    <tableColumn id="11" name="LINK" dataDxfId="30"/>
    <tableColumn id="15" name="HYPERLINK" dataDxfId="29">
      <calculatedColumnFormula>IF(J2="javascript:void(0)","_","Documentation")</calculatedColumnFormula>
    </tableColumn>
    <tableColumn id="12" name="WIDTH" dataDxfId="28"/>
    <tableColumn id="13" name="HEIGHT" dataDxfId="27"/>
    <tableColumn id="10" name="LINK_TYPE" dataDxfId="26">
      <calculatedColumnFormula>IF(J2="javascript:void(0)","_self","_blank")</calculatedColumnFormula>
    </tableColumn>
    <tableColumn id="14" name="LEN" dataDxfId="25">
      <calculatedColumnFormula>LEN(Tableau18[[#This Row],[LABEL]])</calculatedColumnFormula>
    </tableColumn>
    <tableColumn id="17" name="POSITION2" dataDxfId="24"/>
    <tableColumn id="16" name="POSITION1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au13" displayName="Tableau13" ref="A1:P1156" totalsRowShown="0" headerRowDxfId="150" dataDxfId="148" headerRowBorderDxfId="149" tableBorderDxfId="147" totalsRowBorderDxfId="146">
  <autoFilter ref="A1:P1156"/>
  <tableColumns count="16">
    <tableColumn id="1" name="name" dataDxfId="145"/>
    <tableColumn id="2" name="parent" dataDxfId="144"/>
    <tableColumn id="3" name="LABEL" dataDxfId="143"/>
    <tableColumn id="4" name="DESCRIPTION" dataDxfId="142"/>
    <tableColumn id="5" name="LEAD" dataDxfId="141"/>
    <tableColumn id="6" name="PARTICIPANTS" dataDxfId="140"/>
    <tableColumn id="7" name="LINE" dataDxfId="139"/>
    <tableColumn id="9" name="TYPE" dataDxfId="138"/>
    <tableColumn id="8" name="ICON" dataDxfId="137"/>
    <tableColumn id="11" name="LINK" dataDxfId="136"/>
    <tableColumn id="12" name="WIDTH" dataDxfId="135">
      <calculatedColumnFormula>ROUND(Tableau13[[#This Row],[LEN]]*7.27,0)</calculatedColumnFormula>
    </tableColumn>
    <tableColumn id="13" name="HEIGHT" dataDxfId="134"/>
    <tableColumn id="10" name="LINK_TYPE" dataDxfId="133">
      <calculatedColumnFormula>IF(J2="javascript:void(0)","none","new")</calculatedColumnFormula>
    </tableColumn>
    <tableColumn id="14" name="LEN" dataDxfId="132">
      <calculatedColumnFormula>LEN(Tableau13[[#This Row],[LABEL]])</calculatedColumnFormula>
    </tableColumn>
    <tableColumn id="17" name="POSITION2" dataDxfId="131"/>
    <tableColumn id="16" name="POSITION1" dataDxfId="130">
      <calculatedColumnFormula>ROUND(Tableau13[[#This Row],[LEN]]*#REF!+#REF!,0)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au14" displayName="Tableau14" ref="A1:P1193" totalsRowShown="0" headerRowDxfId="129" dataDxfId="127" headerRowBorderDxfId="128" tableBorderDxfId="126" totalsRowBorderDxfId="125">
  <autoFilter ref="A1:P1193"/>
  <tableColumns count="16">
    <tableColumn id="1" name="name" dataDxfId="124"/>
    <tableColumn id="2" name="parent" dataDxfId="123"/>
    <tableColumn id="3" name="LABEL" dataDxfId="122"/>
    <tableColumn id="4" name="DESCRIPTION" dataDxfId="121"/>
    <tableColumn id="5" name="LEAD" dataDxfId="120"/>
    <tableColumn id="6" name="PARTICIPANTS" dataDxfId="119"/>
    <tableColumn id="7" name="LINE" dataDxfId="118"/>
    <tableColumn id="9" name="TYPE" dataDxfId="117"/>
    <tableColumn id="8" name="ICON" dataDxfId="116"/>
    <tableColumn id="11" name="LINK" dataDxfId="115"/>
    <tableColumn id="12" name="WIDTH" dataDxfId="114">
      <calculatedColumnFormula>ROUND(Tableau14[[#This Row],[LEN]]*7.27,0)</calculatedColumnFormula>
    </tableColumn>
    <tableColumn id="13" name="HEIGHT" dataDxfId="113"/>
    <tableColumn id="10" name="LINK_TYPE" dataDxfId="112">
      <calculatedColumnFormula>IF(J2="javascript:void(0)","none","new")</calculatedColumnFormula>
    </tableColumn>
    <tableColumn id="14" name="LEN" dataDxfId="111">
      <calculatedColumnFormula>LEN(Tableau14[[#This Row],[LABEL]])</calculatedColumnFormula>
    </tableColumn>
    <tableColumn id="17" name="POSITION2" dataDxfId="110"/>
    <tableColumn id="16" name="POSITION1" dataDxfId="109">
      <calculatedColumnFormula>ROUND(Tableau14[[#This Row],[LEN]]*#REF!+#REF!,0)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au15" displayName="Tableau15" ref="A1:P1193" totalsRowShown="0" headerRowDxfId="108" dataDxfId="106" headerRowBorderDxfId="107" tableBorderDxfId="105" totalsRowBorderDxfId="104">
  <autoFilter ref="A1:P1193"/>
  <tableColumns count="16">
    <tableColumn id="1" name="name" dataDxfId="103"/>
    <tableColumn id="2" name="parent" dataDxfId="102"/>
    <tableColumn id="3" name="LABEL" dataDxfId="101"/>
    <tableColumn id="4" name="DESCRIPTION" dataDxfId="100"/>
    <tableColumn id="5" name="LEAD" dataDxfId="99"/>
    <tableColumn id="6" name="PARTICIPANTS" dataDxfId="98"/>
    <tableColumn id="7" name="LINE" dataDxfId="97"/>
    <tableColumn id="9" name="TYPE" dataDxfId="96"/>
    <tableColumn id="8" name="ICON" dataDxfId="95"/>
    <tableColumn id="11" name="LINK" dataDxfId="94"/>
    <tableColumn id="12" name="WIDTH" dataDxfId="93">
      <calculatedColumnFormula>ROUND(Tableau15[[#This Row],[LEN]]*7.27,0)</calculatedColumnFormula>
    </tableColumn>
    <tableColumn id="13" name="HEIGHT" dataDxfId="92"/>
    <tableColumn id="10" name="LINK_TYPE" dataDxfId="91">
      <calculatedColumnFormula>IF(J2="javascript:void(0)","none","new")</calculatedColumnFormula>
    </tableColumn>
    <tableColumn id="14" name="LEN" dataDxfId="90">
      <calculatedColumnFormula>LEN(Tableau15[[#This Row],[LABEL]])</calculatedColumnFormula>
    </tableColumn>
    <tableColumn id="17" name="POSITION2" dataDxfId="89"/>
    <tableColumn id="16" name="POSITION1" dataDxfId="88">
      <calculatedColumnFormula>ROUND(Tableau15[[#This Row],[LEN]]*#REF!+#REF!,0)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au16" displayName="Tableau16" ref="A1:P1193" totalsRowShown="0" headerRowDxfId="87" dataDxfId="85" headerRowBorderDxfId="86" tableBorderDxfId="84" totalsRowBorderDxfId="83">
  <autoFilter ref="A1:P1193"/>
  <tableColumns count="16">
    <tableColumn id="1" name="name" dataDxfId="82"/>
    <tableColumn id="2" name="parent" dataDxfId="81"/>
    <tableColumn id="3" name="LABEL" dataDxfId="80"/>
    <tableColumn id="4" name="DESCRIPTION" dataDxfId="79"/>
    <tableColumn id="5" name="LEAD" dataDxfId="78"/>
    <tableColumn id="6" name="PARTICIPANTS" dataDxfId="77"/>
    <tableColumn id="7" name="LINE" dataDxfId="76"/>
    <tableColumn id="9" name="TYPE" dataDxfId="75"/>
    <tableColumn id="8" name="ICON" dataDxfId="74"/>
    <tableColumn id="11" name="LINK" dataDxfId="73"/>
    <tableColumn id="12" name="WIDTH" dataDxfId="72">
      <calculatedColumnFormula>ROUND(Tableau16[[#This Row],[LEN]]*7.27,0)</calculatedColumnFormula>
    </tableColumn>
    <tableColumn id="13" name="HEIGHT" dataDxfId="71"/>
    <tableColumn id="10" name="LINK_TYPE" dataDxfId="70">
      <calculatedColumnFormula>IF(J2="javascript:void(0)","none","new")</calculatedColumnFormula>
    </tableColumn>
    <tableColumn id="14" name="LEN" dataDxfId="69">
      <calculatedColumnFormula>LEN(Tableau16[[#This Row],[LABEL]])</calculatedColumnFormula>
    </tableColumn>
    <tableColumn id="17" name="POSITION2" dataDxfId="68"/>
    <tableColumn id="16" name="POSITION1" dataDxfId="67">
      <calculatedColumnFormula>ROUND(Tableau16[[#This Row],[LEN]]*#REF!+#REF!,0)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eau17" displayName="Tableau17" ref="A1:Q1202" totalsRowShown="0" headerRowDxfId="66" dataDxfId="64" headerRowBorderDxfId="65" tableBorderDxfId="63" totalsRowBorderDxfId="62">
  <autoFilter ref="A1:Q1202"/>
  <tableColumns count="17">
    <tableColumn id="1" name="name" dataDxfId="61"/>
    <tableColumn id="2" name="parent" dataDxfId="60"/>
    <tableColumn id="3" name="LABEL" dataDxfId="59"/>
    <tableColumn id="4" name="DESCRIPTION" dataDxfId="58"/>
    <tableColumn id="5" name="LEAD" dataDxfId="57"/>
    <tableColumn id="6" name="PARTICIPANTS" dataDxfId="56"/>
    <tableColumn id="7" name="LINE" dataDxfId="55"/>
    <tableColumn id="9" name="TYPE" dataDxfId="54"/>
    <tableColumn id="8" name="ICON" dataDxfId="53"/>
    <tableColumn id="11" name="LINK" dataDxfId="52"/>
    <tableColumn id="15" name="TYPE2" dataDxfId="51">
      <calculatedColumnFormula>IF(Tableau17[[#This Row],[TYPE]]&lt;&gt; "Root",IF(Tableau17[[#This Row],[TYPE]]&lt;&gt; "Phase",IF(Tableau17[[#This Row],[TYPE]]&lt;&gt; "Section", IF(Tableau17[[#This Row],[TYPE]]&lt;&gt; "Division","Test","-"),"-"),"-"),"-")</calculatedColumnFormula>
    </tableColumn>
    <tableColumn id="12" name="WIDTH" dataDxfId="50"/>
    <tableColumn id="13" name="HEIGHT" dataDxfId="49"/>
    <tableColumn id="10" name="LINK_TYPE" dataDxfId="48">
      <calculatedColumnFormula>IF(J2="javascript:void(0)","none","new")</calculatedColumnFormula>
    </tableColumn>
    <tableColumn id="14" name="LEN" dataDxfId="47">
      <calculatedColumnFormula>LEN(Tableau17[[#This Row],[LABEL]])</calculatedColumnFormula>
    </tableColumn>
    <tableColumn id="17" name="POSITION2" dataDxfId="46"/>
    <tableColumn id="16" name="POSITION1" dataDxfId="4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table" Target="../tables/table3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table" Target="../tables/table4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table" Target="../tables/table5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table" Target="../tables/table6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7" Type="http://schemas.openxmlformats.org/officeDocument/2006/relationships/table" Target="../tables/table7.xml"/><Relationship Id="rId2" Type="http://schemas.openxmlformats.org/officeDocument/2006/relationships/hyperlink" Target="http://infozone.snclavalin.com/en/files/Form_3108_en.xlsx" TargetMode="External"/><Relationship Id="rId1" Type="http://schemas.openxmlformats.org/officeDocument/2006/relationships/hyperlink" Target="http://infozone.snclavalin.com/en/files/2221-project-investment-approval-en.pdf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XEV1234"/>
  <sheetViews>
    <sheetView tabSelected="1" zoomScale="85" zoomScaleNormal="8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17" sqref="D117"/>
    </sheetView>
  </sheetViews>
  <sheetFormatPr defaultColWidth="21.140625" defaultRowHeight="15" x14ac:dyDescent="0.25"/>
  <cols>
    <col min="1" max="1" width="19.85546875" style="102" hidden="1" customWidth="1"/>
    <col min="2" max="2" width="18.85546875" style="102" hidden="1" customWidth="1"/>
    <col min="3" max="3" width="18.85546875" style="436" customWidth="1"/>
    <col min="4" max="4" width="116.140625" style="96" bestFit="1" customWidth="1"/>
    <col min="5" max="5" width="20.42578125" style="96" hidden="1" customWidth="1"/>
    <col min="6" max="6" width="34.28515625" style="84" bestFit="1" customWidth="1"/>
    <col min="7" max="7" width="33.140625" style="96" customWidth="1"/>
    <col min="8" max="8" width="15.28515625" style="84" hidden="1" customWidth="1"/>
    <col min="9" max="9" width="24.140625" style="84" customWidth="1"/>
    <col min="10" max="10" width="12" style="96" hidden="1" customWidth="1"/>
    <col min="11" max="12" width="22.85546875" style="96" hidden="1" customWidth="1"/>
    <col min="13" max="13" width="8.42578125" style="139" hidden="1" customWidth="1"/>
    <col min="14" max="14" width="9.85546875" style="139" hidden="1" customWidth="1"/>
    <col min="15" max="15" width="11.5703125" style="84" hidden="1" customWidth="1"/>
    <col min="16" max="16" width="7.140625" style="139" hidden="1" customWidth="1"/>
    <col min="17" max="17" width="14.42578125" style="139" hidden="1" customWidth="1"/>
    <col min="18" max="18" width="10.7109375" style="139" hidden="1" customWidth="1"/>
    <col min="19" max="16384" width="21.140625" style="96"/>
  </cols>
  <sheetData>
    <row r="1" spans="1:18" s="4" customFormat="1" ht="43.5" customHeight="1" thickTop="1" thickBot="1" x14ac:dyDescent="0.3">
      <c r="A1" s="140" t="s">
        <v>54</v>
      </c>
      <c r="B1" s="140" t="s">
        <v>55</v>
      </c>
      <c r="C1" s="140" t="s">
        <v>615</v>
      </c>
      <c r="D1" s="140" t="s">
        <v>60</v>
      </c>
      <c r="E1" s="140" t="s">
        <v>61</v>
      </c>
      <c r="F1" s="140" t="s">
        <v>62</v>
      </c>
      <c r="G1" s="140" t="s">
        <v>63</v>
      </c>
      <c r="H1" s="140" t="s">
        <v>67</v>
      </c>
      <c r="I1" s="140" t="s">
        <v>830</v>
      </c>
      <c r="J1" s="140" t="s">
        <v>66</v>
      </c>
      <c r="K1" s="140" t="s">
        <v>100</v>
      </c>
      <c r="L1" s="140" t="s">
        <v>2146</v>
      </c>
      <c r="M1" s="140" t="s">
        <v>729</v>
      </c>
      <c r="N1" s="140" t="s">
        <v>730</v>
      </c>
      <c r="O1" s="140" t="s">
        <v>829</v>
      </c>
      <c r="P1" s="140" t="s">
        <v>831</v>
      </c>
      <c r="Q1" s="140" t="s">
        <v>874</v>
      </c>
      <c r="R1" s="140" t="s">
        <v>875</v>
      </c>
    </row>
    <row r="2" spans="1:18" hidden="1" x14ac:dyDescent="0.25">
      <c r="A2" s="141" t="s">
        <v>198</v>
      </c>
      <c r="B2" s="141"/>
      <c r="C2" s="421"/>
      <c r="D2" s="142" t="s">
        <v>59</v>
      </c>
      <c r="E2" s="142" t="s">
        <v>1177</v>
      </c>
      <c r="F2" s="142" t="s">
        <v>1177</v>
      </c>
      <c r="G2" s="143" t="s">
        <v>1084</v>
      </c>
      <c r="H2" s="142" t="s">
        <v>69</v>
      </c>
      <c r="I2" s="142" t="s">
        <v>657</v>
      </c>
      <c r="J2" s="143"/>
      <c r="K2" s="144" t="s">
        <v>708</v>
      </c>
      <c r="L2" s="144" t="str">
        <f t="shared" ref="L2:L65" si="0">IF(K2="javascript:void(0)","_","Documentation")</f>
        <v>_</v>
      </c>
      <c r="M2" s="145">
        <f>ROUND(Tableau1[[#This Row],[LEN]]*7.27,0)</f>
        <v>44</v>
      </c>
      <c r="N2" s="145">
        <v>15</v>
      </c>
      <c r="O2" s="146" t="str">
        <f>IF(K2="javascript:void(0)","_self","_blank")</f>
        <v>_self</v>
      </c>
      <c r="P2" s="145">
        <f>LEN(Tableau1[[#This Row],[LABEL]])</f>
        <v>6</v>
      </c>
      <c r="Q2" s="147">
        <v>15</v>
      </c>
      <c r="R2" s="147" t="e">
        <f>ROUND(Tableau1[[#This Row],[LEN]]*#REF!+#REF!,0)</f>
        <v>#REF!</v>
      </c>
    </row>
    <row r="3" spans="1:18" ht="15.75" hidden="1" thickTop="1" x14ac:dyDescent="0.25">
      <c r="A3" s="149" t="s">
        <v>204</v>
      </c>
      <c r="B3" s="149" t="s">
        <v>198</v>
      </c>
      <c r="C3" s="422"/>
      <c r="D3" s="150" t="s">
        <v>172</v>
      </c>
      <c r="E3" s="151" t="s">
        <v>184</v>
      </c>
      <c r="F3" s="150" t="s">
        <v>1177</v>
      </c>
      <c r="G3" s="151" t="s">
        <v>1177</v>
      </c>
      <c r="H3" s="150" t="s">
        <v>70</v>
      </c>
      <c r="I3" s="150" t="s">
        <v>616</v>
      </c>
      <c r="J3" s="151"/>
      <c r="K3" s="152" t="s">
        <v>708</v>
      </c>
      <c r="L3" s="152" t="str">
        <f t="shared" si="0"/>
        <v>_</v>
      </c>
      <c r="M3" s="153">
        <f>ROUND(Tableau1[[#This Row],[LEN]]*7.27,0)</f>
        <v>80</v>
      </c>
      <c r="N3" s="153">
        <v>15</v>
      </c>
      <c r="O3" s="154" t="str">
        <f t="shared" ref="O3:O66" si="1">IF(K3="javascript:void(0)","_self","_blank")</f>
        <v>_self</v>
      </c>
      <c r="P3" s="153">
        <f>LEN(Tableau1[[#This Row],[LABEL]])</f>
        <v>11</v>
      </c>
      <c r="Q3" s="155">
        <v>15</v>
      </c>
      <c r="R3" s="155" t="e">
        <f>ROUND(Tableau1[[#This Row],[LEN]]*#REF!+#REF!,0)</f>
        <v>#REF!</v>
      </c>
    </row>
    <row r="4" spans="1:18" hidden="1" x14ac:dyDescent="0.25">
      <c r="A4" s="245" t="s">
        <v>213</v>
      </c>
      <c r="B4" s="246" t="s">
        <v>204</v>
      </c>
      <c r="C4" s="419" t="s">
        <v>2148</v>
      </c>
      <c r="D4" s="247" t="s">
        <v>57</v>
      </c>
      <c r="E4" s="248" t="s">
        <v>1177</v>
      </c>
      <c r="F4" s="247" t="s">
        <v>663</v>
      </c>
      <c r="G4" s="247" t="s">
        <v>1177</v>
      </c>
      <c r="H4" s="248" t="s">
        <v>70</v>
      </c>
      <c r="I4" s="248" t="str">
        <f>IFERROR(IF(SEARCH(".00.00.00.00.00",Tableau1[[#This Row],[name]],1)=7,"Division",""),"")</f>
        <v>Division</v>
      </c>
      <c r="J4" s="247"/>
      <c r="K4" s="249" t="s">
        <v>708</v>
      </c>
      <c r="L4" s="249" t="str">
        <f t="shared" si="0"/>
        <v>_</v>
      </c>
      <c r="M4" s="250">
        <f>ROUND(Tableau1[[#This Row],[LEN]]*7.27,0)</f>
        <v>102</v>
      </c>
      <c r="N4" s="250">
        <v>15</v>
      </c>
      <c r="O4" s="251" t="str">
        <f t="shared" si="1"/>
        <v>_self</v>
      </c>
      <c r="P4" s="250">
        <f>LEN(Tableau1[[#This Row],[LABEL]])</f>
        <v>14</v>
      </c>
      <c r="Q4" s="250">
        <v>15</v>
      </c>
      <c r="R4" s="250" t="e">
        <f>ROUND(Tableau1[[#This Row],[LEN]]*#REF!+#REF!,0)</f>
        <v>#REF!</v>
      </c>
    </row>
    <row r="5" spans="1:18" ht="15.75" hidden="1" x14ac:dyDescent="0.25">
      <c r="A5" s="6" t="s">
        <v>740</v>
      </c>
      <c r="B5" s="7" t="s">
        <v>213</v>
      </c>
      <c r="C5" s="419" t="s">
        <v>2148</v>
      </c>
      <c r="D5" s="8" t="s">
        <v>746</v>
      </c>
      <c r="E5" s="65" t="s">
        <v>1177</v>
      </c>
      <c r="F5" s="8" t="s">
        <v>663</v>
      </c>
      <c r="G5" s="8" t="s">
        <v>1177</v>
      </c>
      <c r="H5" s="65" t="s">
        <v>70</v>
      </c>
      <c r="I5" s="65" t="s">
        <v>654</v>
      </c>
      <c r="J5" s="8"/>
      <c r="K5" s="9" t="s">
        <v>708</v>
      </c>
      <c r="L5" s="9" t="str">
        <f t="shared" si="0"/>
        <v>_</v>
      </c>
      <c r="M5" s="105">
        <f>ROUND(Tableau1[[#This Row],[LEN]]*7.27,0)</f>
        <v>233</v>
      </c>
      <c r="N5" s="105">
        <v>15</v>
      </c>
      <c r="O5" s="123" t="str">
        <f t="shared" si="1"/>
        <v>_self</v>
      </c>
      <c r="P5" s="105">
        <f>LEN(Tableau1[[#This Row],[LABEL]])</f>
        <v>32</v>
      </c>
      <c r="Q5" s="105">
        <v>15</v>
      </c>
      <c r="R5" s="105" t="e">
        <f>ROUND(Tableau1[[#This Row],[LEN]]*#REF!+#REF!,0)</f>
        <v>#REF!</v>
      </c>
    </row>
    <row r="6" spans="1:18" ht="15.75" hidden="1" x14ac:dyDescent="0.25">
      <c r="A6" s="6" t="s">
        <v>741</v>
      </c>
      <c r="B6" s="7" t="s">
        <v>213</v>
      </c>
      <c r="C6" s="419" t="s">
        <v>2148</v>
      </c>
      <c r="D6" s="8" t="s">
        <v>64</v>
      </c>
      <c r="E6" s="65" t="s">
        <v>1177</v>
      </c>
      <c r="F6" s="8" t="s">
        <v>662</v>
      </c>
      <c r="G6" s="8" t="s">
        <v>1956</v>
      </c>
      <c r="H6" s="65" t="s">
        <v>70</v>
      </c>
      <c r="I6" s="65" t="s">
        <v>17</v>
      </c>
      <c r="J6" s="8"/>
      <c r="K6" s="9" t="s">
        <v>708</v>
      </c>
      <c r="L6" s="9" t="str">
        <f t="shared" si="0"/>
        <v>_</v>
      </c>
      <c r="M6" s="105">
        <f>ROUND(Tableau1[[#This Row],[LEN]]*7.27,0)</f>
        <v>291</v>
      </c>
      <c r="N6" s="105">
        <v>15</v>
      </c>
      <c r="O6" s="123" t="str">
        <f t="shared" si="1"/>
        <v>_self</v>
      </c>
      <c r="P6" s="105">
        <f>LEN(Tableau1[[#This Row],[LABEL]])</f>
        <v>40</v>
      </c>
      <c r="Q6" s="105">
        <v>15</v>
      </c>
      <c r="R6" s="105" t="e">
        <f>ROUND(Tableau1[[#This Row],[LEN]]*#REF!+#REF!,0)</f>
        <v>#REF!</v>
      </c>
    </row>
    <row r="7" spans="1:18" ht="15.75" hidden="1" x14ac:dyDescent="0.25">
      <c r="A7" s="6" t="s">
        <v>742</v>
      </c>
      <c r="B7" s="7" t="s">
        <v>213</v>
      </c>
      <c r="C7" s="419" t="s">
        <v>2148</v>
      </c>
      <c r="D7" s="8" t="s">
        <v>747</v>
      </c>
      <c r="E7" s="65" t="s">
        <v>1177</v>
      </c>
      <c r="F7" s="8" t="s">
        <v>663</v>
      </c>
      <c r="G7" s="8" t="s">
        <v>1177</v>
      </c>
      <c r="H7" s="65" t="s">
        <v>70</v>
      </c>
      <c r="I7" s="65" t="s">
        <v>656</v>
      </c>
      <c r="J7" s="8"/>
      <c r="K7" s="9" t="s">
        <v>708</v>
      </c>
      <c r="L7" s="9" t="str">
        <f t="shared" si="0"/>
        <v>_</v>
      </c>
      <c r="M7" s="105">
        <f>ROUND(Tableau1[[#This Row],[LEN]]*7.27,0)</f>
        <v>451</v>
      </c>
      <c r="N7" s="105">
        <v>15</v>
      </c>
      <c r="O7" s="123" t="str">
        <f t="shared" si="1"/>
        <v>_self</v>
      </c>
      <c r="P7" s="105">
        <f>LEN(Tableau1[[#This Row],[LABEL]])</f>
        <v>62</v>
      </c>
      <c r="Q7" s="105">
        <v>15</v>
      </c>
      <c r="R7" s="105" t="e">
        <f>ROUND(Tableau1[[#This Row],[LEN]]*#REF!+#REF!,0)</f>
        <v>#REF!</v>
      </c>
    </row>
    <row r="8" spans="1:18" ht="15.75" hidden="1" x14ac:dyDescent="0.25">
      <c r="A8" s="6" t="s">
        <v>743</v>
      </c>
      <c r="B8" s="7" t="s">
        <v>213</v>
      </c>
      <c r="C8" s="419" t="s">
        <v>2148</v>
      </c>
      <c r="D8" s="8" t="s">
        <v>65</v>
      </c>
      <c r="E8" s="65" t="s">
        <v>1177</v>
      </c>
      <c r="F8" s="8" t="s">
        <v>662</v>
      </c>
      <c r="G8" s="8" t="s">
        <v>1957</v>
      </c>
      <c r="H8" s="65" t="s">
        <v>70</v>
      </c>
      <c r="I8" s="65" t="s">
        <v>17</v>
      </c>
      <c r="J8" s="8"/>
      <c r="K8" s="9" t="s">
        <v>708</v>
      </c>
      <c r="L8" s="9" t="str">
        <f t="shared" si="0"/>
        <v>_</v>
      </c>
      <c r="M8" s="105">
        <f>ROUND(Tableau1[[#This Row],[LEN]]*7.27,0)</f>
        <v>291</v>
      </c>
      <c r="N8" s="105">
        <v>15</v>
      </c>
      <c r="O8" s="123" t="str">
        <f t="shared" si="1"/>
        <v>_self</v>
      </c>
      <c r="P8" s="105">
        <f>LEN(Tableau1[[#This Row],[LABEL]])</f>
        <v>40</v>
      </c>
      <c r="Q8" s="105">
        <v>15</v>
      </c>
      <c r="R8" s="105" t="e">
        <f>ROUND(Tableau1[[#This Row],[LEN]]*#REF!+#REF!,0)</f>
        <v>#REF!</v>
      </c>
    </row>
    <row r="9" spans="1:18" ht="15.75" hidden="1" x14ac:dyDescent="0.25">
      <c r="A9" s="6" t="s">
        <v>744</v>
      </c>
      <c r="B9" s="7" t="s">
        <v>213</v>
      </c>
      <c r="C9" s="419" t="s">
        <v>2148</v>
      </c>
      <c r="D9" s="8" t="s">
        <v>748</v>
      </c>
      <c r="E9" s="65" t="s">
        <v>1177</v>
      </c>
      <c r="F9" s="8" t="s">
        <v>663</v>
      </c>
      <c r="G9" s="8" t="s">
        <v>1177</v>
      </c>
      <c r="H9" s="65" t="s">
        <v>70</v>
      </c>
      <c r="I9" s="65" t="s">
        <v>656</v>
      </c>
      <c r="J9" s="8"/>
      <c r="K9" s="9" t="s">
        <v>708</v>
      </c>
      <c r="L9" s="9" t="str">
        <f t="shared" si="0"/>
        <v>_</v>
      </c>
      <c r="M9" s="105">
        <f>ROUND(Tableau1[[#This Row],[LEN]]*7.27,0)</f>
        <v>247</v>
      </c>
      <c r="N9" s="105">
        <v>15</v>
      </c>
      <c r="O9" s="123" t="str">
        <f t="shared" si="1"/>
        <v>_self</v>
      </c>
      <c r="P9" s="105">
        <f>LEN(Tableau1[[#This Row],[LABEL]])</f>
        <v>34</v>
      </c>
      <c r="Q9" s="105">
        <v>15</v>
      </c>
      <c r="R9" s="105" t="e">
        <f>ROUND(Tableau1[[#This Row],[LEN]]*#REF!+#REF!,0)</f>
        <v>#REF!</v>
      </c>
    </row>
    <row r="10" spans="1:18" ht="15.75" hidden="1" thickTop="1" x14ac:dyDescent="0.25">
      <c r="A10" s="6" t="s">
        <v>745</v>
      </c>
      <c r="B10" s="7" t="s">
        <v>213</v>
      </c>
      <c r="C10" s="419" t="s">
        <v>2148</v>
      </c>
      <c r="D10" s="8" t="s">
        <v>1166</v>
      </c>
      <c r="E10" s="65" t="s">
        <v>1177</v>
      </c>
      <c r="F10" s="8" t="s">
        <v>663</v>
      </c>
      <c r="G10" s="8" t="s">
        <v>1177</v>
      </c>
      <c r="H10" s="65" t="s">
        <v>70</v>
      </c>
      <c r="I10" s="65" t="s">
        <v>656</v>
      </c>
      <c r="J10" s="8"/>
      <c r="K10" s="9" t="s">
        <v>708</v>
      </c>
      <c r="L10" s="9" t="str">
        <f t="shared" si="0"/>
        <v>_</v>
      </c>
      <c r="M10" s="105">
        <f>ROUND(Tableau1[[#This Row],[LEN]]*7.27,0)</f>
        <v>364</v>
      </c>
      <c r="N10" s="105">
        <v>15</v>
      </c>
      <c r="O10" s="123" t="str">
        <f t="shared" si="1"/>
        <v>_self</v>
      </c>
      <c r="P10" s="105">
        <f>LEN(Tableau1[[#This Row],[LABEL]])</f>
        <v>50</v>
      </c>
      <c r="Q10" s="105">
        <v>15</v>
      </c>
      <c r="R10" s="105" t="e">
        <f>ROUND(Tableau1[[#This Row],[LEN]]*#REF!+#REF!,0)</f>
        <v>#REF!</v>
      </c>
    </row>
    <row r="11" spans="1:18" hidden="1" x14ac:dyDescent="0.25">
      <c r="A11" s="245" t="s">
        <v>214</v>
      </c>
      <c r="B11" s="246" t="s">
        <v>204</v>
      </c>
      <c r="C11" s="419" t="s">
        <v>2148</v>
      </c>
      <c r="D11" s="247" t="s">
        <v>2</v>
      </c>
      <c r="E11" s="248" t="s">
        <v>1177</v>
      </c>
      <c r="F11" s="247" t="s">
        <v>662</v>
      </c>
      <c r="G11" s="247" t="s">
        <v>1177</v>
      </c>
      <c r="H11" s="248" t="s">
        <v>70</v>
      </c>
      <c r="I11" s="248" t="str">
        <f>IFERROR(IF(SEARCH(".00.00.00.00.00",Tableau1[[#This Row],[name]],1)=7,"Division",""),"")</f>
        <v>Division</v>
      </c>
      <c r="J11" s="247"/>
      <c r="K11" s="249" t="s">
        <v>708</v>
      </c>
      <c r="L11" s="249" t="str">
        <f t="shared" si="0"/>
        <v>_</v>
      </c>
      <c r="M11" s="250">
        <f>ROUND(Tableau1[[#This Row],[LEN]]*7.27,0)</f>
        <v>65</v>
      </c>
      <c r="N11" s="250">
        <v>15</v>
      </c>
      <c r="O11" s="251" t="str">
        <f t="shared" si="1"/>
        <v>_self</v>
      </c>
      <c r="P11" s="250">
        <f>LEN(Tableau1[[#This Row],[LABEL]])</f>
        <v>9</v>
      </c>
      <c r="Q11" s="250">
        <v>15</v>
      </c>
      <c r="R11" s="250" t="e">
        <f>ROUND(Tableau1[[#This Row],[LEN]]*#REF!+#REF!,0)</f>
        <v>#REF!</v>
      </c>
    </row>
    <row r="12" spans="1:18" ht="15.75" hidden="1" x14ac:dyDescent="0.25">
      <c r="A12" s="6" t="s">
        <v>734</v>
      </c>
      <c r="B12" s="7" t="s">
        <v>214</v>
      </c>
      <c r="C12" s="419" t="s">
        <v>2148</v>
      </c>
      <c r="D12" s="8" t="s">
        <v>64</v>
      </c>
      <c r="E12" s="65" t="s">
        <v>1177</v>
      </c>
      <c r="F12" s="8" t="s">
        <v>662</v>
      </c>
      <c r="G12" s="8" t="s">
        <v>1956</v>
      </c>
      <c r="H12" s="65" t="s">
        <v>70</v>
      </c>
      <c r="I12" s="65" t="s">
        <v>17</v>
      </c>
      <c r="J12" s="8"/>
      <c r="K12" s="9" t="s">
        <v>708</v>
      </c>
      <c r="L12" s="9" t="str">
        <f t="shared" si="0"/>
        <v>_</v>
      </c>
      <c r="M12" s="105">
        <f>ROUND(Tableau1[[#This Row],[LEN]]*7.27,0)</f>
        <v>291</v>
      </c>
      <c r="N12" s="105">
        <v>15</v>
      </c>
      <c r="O12" s="123" t="str">
        <f t="shared" si="1"/>
        <v>_self</v>
      </c>
      <c r="P12" s="105">
        <f>LEN(Tableau1[[#This Row],[LABEL]])</f>
        <v>40</v>
      </c>
      <c r="Q12" s="105">
        <v>15</v>
      </c>
      <c r="R12" s="105" t="e">
        <f>ROUND(Tableau1[[#This Row],[LEN]]*#REF!+#REF!,0)</f>
        <v>#REF!</v>
      </c>
    </row>
    <row r="13" spans="1:18" ht="15.75" hidden="1" x14ac:dyDescent="0.25">
      <c r="A13" s="6" t="s">
        <v>735</v>
      </c>
      <c r="B13" s="7" t="s">
        <v>214</v>
      </c>
      <c r="C13" s="419" t="s">
        <v>2148</v>
      </c>
      <c r="D13" s="8" t="s">
        <v>65</v>
      </c>
      <c r="E13" s="65" t="s">
        <v>1177</v>
      </c>
      <c r="F13" s="8" t="s">
        <v>662</v>
      </c>
      <c r="G13" s="8" t="s">
        <v>1957</v>
      </c>
      <c r="H13" s="65" t="s">
        <v>70</v>
      </c>
      <c r="I13" s="65" t="s">
        <v>17</v>
      </c>
      <c r="J13" s="8"/>
      <c r="K13" s="9" t="s">
        <v>708</v>
      </c>
      <c r="L13" s="9" t="str">
        <f t="shared" si="0"/>
        <v>_</v>
      </c>
      <c r="M13" s="105">
        <f>ROUND(Tableau1[[#This Row],[LEN]]*7.27,0)</f>
        <v>291</v>
      </c>
      <c r="N13" s="105">
        <v>15</v>
      </c>
      <c r="O13" s="123" t="str">
        <f t="shared" si="1"/>
        <v>_self</v>
      </c>
      <c r="P13" s="105">
        <f>LEN(Tableau1[[#This Row],[LABEL]])</f>
        <v>40</v>
      </c>
      <c r="Q13" s="105">
        <v>15</v>
      </c>
      <c r="R13" s="105" t="e">
        <f>ROUND(Tableau1[[#This Row],[LEN]]*#REF!+#REF!,0)</f>
        <v>#REF!</v>
      </c>
    </row>
    <row r="14" spans="1:18" ht="15.75" hidden="1" thickTop="1" x14ac:dyDescent="0.25">
      <c r="A14" s="6" t="s">
        <v>736</v>
      </c>
      <c r="B14" s="7" t="s">
        <v>214</v>
      </c>
      <c r="C14" s="419" t="s">
        <v>2148</v>
      </c>
      <c r="D14" s="8" t="s">
        <v>72</v>
      </c>
      <c r="E14" s="65" t="s">
        <v>1177</v>
      </c>
      <c r="F14" s="8" t="s">
        <v>662</v>
      </c>
      <c r="G14" s="8" t="s">
        <v>2075</v>
      </c>
      <c r="H14" s="65" t="s">
        <v>70</v>
      </c>
      <c r="I14" s="65" t="s">
        <v>654</v>
      </c>
      <c r="J14" s="8"/>
      <c r="K14" s="9" t="s">
        <v>708</v>
      </c>
      <c r="L14" s="9" t="str">
        <f t="shared" si="0"/>
        <v>_</v>
      </c>
      <c r="M14" s="105">
        <f>ROUND(Tableau1[[#This Row],[LEN]]*7.27,0)</f>
        <v>400</v>
      </c>
      <c r="N14" s="105">
        <v>15</v>
      </c>
      <c r="O14" s="123" t="str">
        <f t="shared" si="1"/>
        <v>_self</v>
      </c>
      <c r="P14" s="105">
        <f>LEN(Tableau1[[#This Row],[LABEL]])</f>
        <v>55</v>
      </c>
      <c r="Q14" s="105">
        <v>15</v>
      </c>
      <c r="R14" s="105" t="e">
        <f>ROUND(Tableau1[[#This Row],[LEN]]*#REF!+#REF!,0)</f>
        <v>#REF!</v>
      </c>
    </row>
    <row r="15" spans="1:18" hidden="1" x14ac:dyDescent="0.25">
      <c r="A15" s="245" t="s">
        <v>215</v>
      </c>
      <c r="B15" s="246" t="s">
        <v>204</v>
      </c>
      <c r="C15" s="419" t="s">
        <v>2148</v>
      </c>
      <c r="D15" s="247" t="s">
        <v>3</v>
      </c>
      <c r="E15" s="248" t="s">
        <v>1177</v>
      </c>
      <c r="F15" s="247" t="s">
        <v>661</v>
      </c>
      <c r="G15" s="247" t="s">
        <v>1177</v>
      </c>
      <c r="H15" s="248" t="s">
        <v>70</v>
      </c>
      <c r="I15" s="248" t="str">
        <f>IFERROR(IF(SEARCH(".00.00.00.00.00",Tableau1[[#This Row],[name]],1)=7,"Division",""),"")</f>
        <v>Division</v>
      </c>
      <c r="J15" s="247"/>
      <c r="K15" s="249" t="s">
        <v>708</v>
      </c>
      <c r="L15" s="249" t="str">
        <f t="shared" si="0"/>
        <v>_</v>
      </c>
      <c r="M15" s="250">
        <f>ROUND(Tableau1[[#This Row],[LEN]]*7.27,0)</f>
        <v>73</v>
      </c>
      <c r="N15" s="250">
        <v>15</v>
      </c>
      <c r="O15" s="251" t="str">
        <f t="shared" si="1"/>
        <v>_self</v>
      </c>
      <c r="P15" s="250">
        <f>LEN(Tableau1[[#This Row],[LABEL]])</f>
        <v>10</v>
      </c>
      <c r="Q15" s="250">
        <v>15</v>
      </c>
      <c r="R15" s="250" t="e">
        <f>ROUND(Tableau1[[#This Row],[LEN]]*#REF!+#REF!,0)</f>
        <v>#REF!</v>
      </c>
    </row>
    <row r="16" spans="1:18" ht="15.75" hidden="1" thickTop="1" x14ac:dyDescent="0.25">
      <c r="A16" s="6" t="s">
        <v>356</v>
      </c>
      <c r="B16" s="7" t="s">
        <v>215</v>
      </c>
      <c r="C16" s="419" t="s">
        <v>2148</v>
      </c>
      <c r="D16" s="8" t="s">
        <v>64</v>
      </c>
      <c r="E16" s="65" t="s">
        <v>1177</v>
      </c>
      <c r="F16" s="8" t="s">
        <v>662</v>
      </c>
      <c r="G16" s="8" t="s">
        <v>1956</v>
      </c>
      <c r="H16" s="65" t="s">
        <v>70</v>
      </c>
      <c r="I16" s="65" t="s">
        <v>17</v>
      </c>
      <c r="J16" s="8"/>
      <c r="K16" s="9" t="s">
        <v>708</v>
      </c>
      <c r="L16" s="9" t="str">
        <f t="shared" si="0"/>
        <v>_</v>
      </c>
      <c r="M16" s="105">
        <f>ROUND(Tableau1[[#This Row],[LEN]]*7.27,0)</f>
        <v>291</v>
      </c>
      <c r="N16" s="105">
        <v>15</v>
      </c>
      <c r="O16" s="123" t="str">
        <f t="shared" si="1"/>
        <v>_self</v>
      </c>
      <c r="P16" s="105">
        <f>LEN(Tableau1[[#This Row],[LABEL]])</f>
        <v>40</v>
      </c>
      <c r="Q16" s="105">
        <v>15</v>
      </c>
      <c r="R16" s="105" t="e">
        <f>ROUND(Tableau1[[#This Row],[LEN]]*#REF!+#REF!,0)</f>
        <v>#REF!</v>
      </c>
    </row>
    <row r="17" spans="1:18" ht="15.75" hidden="1" thickTop="1" x14ac:dyDescent="0.25">
      <c r="A17" s="6" t="s">
        <v>357</v>
      </c>
      <c r="B17" s="7" t="s">
        <v>215</v>
      </c>
      <c r="C17" s="419" t="s">
        <v>2148</v>
      </c>
      <c r="D17" s="8" t="s">
        <v>75</v>
      </c>
      <c r="E17" s="65" t="s">
        <v>1177</v>
      </c>
      <c r="F17" s="8" t="s">
        <v>684</v>
      </c>
      <c r="G17" s="8" t="s">
        <v>663</v>
      </c>
      <c r="H17" s="65" t="s">
        <v>70</v>
      </c>
      <c r="I17" s="65" t="s">
        <v>655</v>
      </c>
      <c r="J17" s="8"/>
      <c r="K17" s="9" t="s">
        <v>708</v>
      </c>
      <c r="L17" s="9" t="str">
        <f t="shared" si="0"/>
        <v>_</v>
      </c>
      <c r="M17" s="105">
        <f>ROUND(Tableau1[[#This Row],[LEN]]*7.27,0)</f>
        <v>262</v>
      </c>
      <c r="N17" s="105">
        <v>15</v>
      </c>
      <c r="O17" s="123" t="str">
        <f t="shared" si="1"/>
        <v>_self</v>
      </c>
      <c r="P17" s="105">
        <f>LEN(Tableau1[[#This Row],[LABEL]])</f>
        <v>36</v>
      </c>
      <c r="Q17" s="105">
        <v>15</v>
      </c>
      <c r="R17" s="105" t="e">
        <f>ROUND(Tableau1[[#This Row],[LEN]]*#REF!+#REF!,0)</f>
        <v>#REF!</v>
      </c>
    </row>
    <row r="18" spans="1:18" ht="15.75" hidden="1" thickTop="1" x14ac:dyDescent="0.25">
      <c r="A18" s="10" t="s">
        <v>365</v>
      </c>
      <c r="B18" s="11" t="s">
        <v>357</v>
      </c>
      <c r="C18" s="419" t="s">
        <v>2148</v>
      </c>
      <c r="D18" s="12" t="s">
        <v>76</v>
      </c>
      <c r="E18" s="66" t="s">
        <v>1177</v>
      </c>
      <c r="F18" s="12" t="s">
        <v>684</v>
      </c>
      <c r="G18" s="12" t="s">
        <v>663</v>
      </c>
      <c r="H18" s="66" t="s">
        <v>70</v>
      </c>
      <c r="I18" s="66" t="s">
        <v>18</v>
      </c>
      <c r="J18" s="12"/>
      <c r="K18" s="13" t="s">
        <v>708</v>
      </c>
      <c r="L18" s="13" t="str">
        <f t="shared" si="0"/>
        <v>_</v>
      </c>
      <c r="M18" s="106">
        <f>ROUND(Tableau1[[#This Row],[LEN]]*7.27,0)</f>
        <v>443</v>
      </c>
      <c r="N18" s="106">
        <v>15</v>
      </c>
      <c r="O18" s="124" t="str">
        <f t="shared" si="1"/>
        <v>_self</v>
      </c>
      <c r="P18" s="106">
        <f>LEN(Tableau1[[#This Row],[LABEL]])</f>
        <v>61</v>
      </c>
      <c r="Q18" s="106">
        <v>15</v>
      </c>
      <c r="R18" s="106" t="e">
        <f>ROUND(Tableau1[[#This Row],[LEN]]*#REF!+#REF!,0)</f>
        <v>#REF!</v>
      </c>
    </row>
    <row r="19" spans="1:18" ht="15.75" hidden="1" thickTop="1" x14ac:dyDescent="0.25">
      <c r="A19" s="10" t="s">
        <v>366</v>
      </c>
      <c r="B19" s="11" t="s">
        <v>357</v>
      </c>
      <c r="C19" s="419" t="s">
        <v>2148</v>
      </c>
      <c r="D19" s="12" t="s">
        <v>77</v>
      </c>
      <c r="E19" s="66" t="s">
        <v>1177</v>
      </c>
      <c r="F19" s="12" t="s">
        <v>684</v>
      </c>
      <c r="G19" s="12" t="s">
        <v>663</v>
      </c>
      <c r="H19" s="66" t="s">
        <v>70</v>
      </c>
      <c r="I19" s="66" t="s">
        <v>18</v>
      </c>
      <c r="J19" s="12"/>
      <c r="K19" s="13" t="s">
        <v>708</v>
      </c>
      <c r="L19" s="13" t="str">
        <f t="shared" si="0"/>
        <v>_</v>
      </c>
      <c r="M19" s="106">
        <f>ROUND(Tableau1[[#This Row],[LEN]]*7.27,0)</f>
        <v>473</v>
      </c>
      <c r="N19" s="106">
        <v>15</v>
      </c>
      <c r="O19" s="124" t="str">
        <f t="shared" si="1"/>
        <v>_self</v>
      </c>
      <c r="P19" s="106">
        <f>LEN(Tableau1[[#This Row],[LABEL]])</f>
        <v>65</v>
      </c>
      <c r="Q19" s="106">
        <v>15</v>
      </c>
      <c r="R19" s="106" t="e">
        <f>ROUND(Tableau1[[#This Row],[LEN]]*#REF!+#REF!,0)</f>
        <v>#REF!</v>
      </c>
    </row>
    <row r="20" spans="1:18" ht="15.75" hidden="1" thickTop="1" x14ac:dyDescent="0.25">
      <c r="A20" s="10" t="s">
        <v>367</v>
      </c>
      <c r="B20" s="11" t="s">
        <v>357</v>
      </c>
      <c r="C20" s="419" t="s">
        <v>2148</v>
      </c>
      <c r="D20" s="12" t="s">
        <v>78</v>
      </c>
      <c r="E20" s="66" t="s">
        <v>1177</v>
      </c>
      <c r="F20" s="12" t="s">
        <v>684</v>
      </c>
      <c r="G20" s="12" t="s">
        <v>663</v>
      </c>
      <c r="H20" s="66" t="s">
        <v>70</v>
      </c>
      <c r="I20" s="66" t="s">
        <v>18</v>
      </c>
      <c r="J20" s="12"/>
      <c r="K20" s="13" t="s">
        <v>708</v>
      </c>
      <c r="L20" s="13" t="str">
        <f t="shared" si="0"/>
        <v>_</v>
      </c>
      <c r="M20" s="106">
        <f>ROUND(Tableau1[[#This Row],[LEN]]*7.27,0)</f>
        <v>385</v>
      </c>
      <c r="N20" s="106">
        <v>15</v>
      </c>
      <c r="O20" s="124" t="str">
        <f t="shared" si="1"/>
        <v>_self</v>
      </c>
      <c r="P20" s="106">
        <f>LEN(Tableau1[[#This Row],[LABEL]])</f>
        <v>53</v>
      </c>
      <c r="Q20" s="106">
        <v>15</v>
      </c>
      <c r="R20" s="106" t="e">
        <f>ROUND(Tableau1[[#This Row],[LEN]]*#REF!+#REF!,0)</f>
        <v>#REF!</v>
      </c>
    </row>
    <row r="21" spans="1:18" ht="15.75" hidden="1" thickTop="1" x14ac:dyDescent="0.25">
      <c r="A21" s="6" t="s">
        <v>358</v>
      </c>
      <c r="B21" s="7" t="s">
        <v>215</v>
      </c>
      <c r="C21" s="419" t="s">
        <v>2148</v>
      </c>
      <c r="D21" s="8" t="s">
        <v>65</v>
      </c>
      <c r="E21" s="65" t="s">
        <v>1177</v>
      </c>
      <c r="F21" s="8" t="s">
        <v>662</v>
      </c>
      <c r="G21" s="8" t="s">
        <v>1957</v>
      </c>
      <c r="H21" s="65" t="s">
        <v>70</v>
      </c>
      <c r="I21" s="65" t="s">
        <v>17</v>
      </c>
      <c r="J21" s="8"/>
      <c r="K21" s="9" t="s">
        <v>708</v>
      </c>
      <c r="L21" s="9" t="str">
        <f t="shared" si="0"/>
        <v>_</v>
      </c>
      <c r="M21" s="105">
        <f>ROUND(Tableau1[[#This Row],[LEN]]*7.27,0)</f>
        <v>291</v>
      </c>
      <c r="N21" s="105">
        <v>15</v>
      </c>
      <c r="O21" s="123" t="str">
        <f t="shared" si="1"/>
        <v>_self</v>
      </c>
      <c r="P21" s="105">
        <f>LEN(Tableau1[[#This Row],[LABEL]])</f>
        <v>40</v>
      </c>
      <c r="Q21" s="105">
        <v>15</v>
      </c>
      <c r="R21" s="105" t="e">
        <f>ROUND(Tableau1[[#This Row],[LEN]]*#REF!+#REF!,0)</f>
        <v>#REF!</v>
      </c>
    </row>
    <row r="22" spans="1:18" ht="15.75" hidden="1" thickTop="1" x14ac:dyDescent="0.25">
      <c r="A22" s="6" t="s">
        <v>359</v>
      </c>
      <c r="B22" s="7" t="s">
        <v>215</v>
      </c>
      <c r="C22" s="419" t="s">
        <v>2148</v>
      </c>
      <c r="D22" s="8" t="s">
        <v>72</v>
      </c>
      <c r="E22" s="65" t="s">
        <v>1177</v>
      </c>
      <c r="F22" s="8" t="s">
        <v>662</v>
      </c>
      <c r="G22" s="8" t="s">
        <v>2075</v>
      </c>
      <c r="H22" s="65" t="s">
        <v>70</v>
      </c>
      <c r="I22" s="65" t="s">
        <v>654</v>
      </c>
      <c r="J22" s="8"/>
      <c r="K22" s="9" t="s">
        <v>708</v>
      </c>
      <c r="L22" s="9" t="str">
        <f t="shared" si="0"/>
        <v>_</v>
      </c>
      <c r="M22" s="105">
        <f>ROUND(Tableau1[[#This Row],[LEN]]*7.27,0)</f>
        <v>400</v>
      </c>
      <c r="N22" s="105">
        <v>15</v>
      </c>
      <c r="O22" s="123" t="str">
        <f t="shared" si="1"/>
        <v>_self</v>
      </c>
      <c r="P22" s="105">
        <f>LEN(Tableau1[[#This Row],[LABEL]])</f>
        <v>55</v>
      </c>
      <c r="Q22" s="105">
        <v>15</v>
      </c>
      <c r="R22" s="105" t="e">
        <f>ROUND(Tableau1[[#This Row],[LEN]]*#REF!+#REF!,0)</f>
        <v>#REF!</v>
      </c>
    </row>
    <row r="23" spans="1:18" ht="15.75" hidden="1" thickTop="1" x14ac:dyDescent="0.25">
      <c r="A23" s="6" t="s">
        <v>360</v>
      </c>
      <c r="B23" s="7" t="s">
        <v>215</v>
      </c>
      <c r="C23" s="419" t="s">
        <v>2148</v>
      </c>
      <c r="D23" s="8" t="s">
        <v>79</v>
      </c>
      <c r="E23" s="65" t="s">
        <v>1177</v>
      </c>
      <c r="F23" s="8" t="s">
        <v>661</v>
      </c>
      <c r="G23" s="8" t="s">
        <v>666</v>
      </c>
      <c r="H23" s="65" t="s">
        <v>70</v>
      </c>
      <c r="I23" s="65" t="s">
        <v>18</v>
      </c>
      <c r="J23" s="8"/>
      <c r="K23" s="9" t="s">
        <v>708</v>
      </c>
      <c r="L23" s="9" t="str">
        <f t="shared" si="0"/>
        <v>_</v>
      </c>
      <c r="M23" s="105">
        <f>ROUND(Tableau1[[#This Row],[LEN]]*7.27,0)</f>
        <v>218</v>
      </c>
      <c r="N23" s="105">
        <v>15</v>
      </c>
      <c r="O23" s="123" t="str">
        <f t="shared" si="1"/>
        <v>_self</v>
      </c>
      <c r="P23" s="105">
        <f>LEN(Tableau1[[#This Row],[LABEL]])</f>
        <v>30</v>
      </c>
      <c r="Q23" s="105">
        <v>15</v>
      </c>
      <c r="R23" s="105" t="e">
        <f>ROUND(Tableau1[[#This Row],[LEN]]*#REF!+#REF!,0)</f>
        <v>#REF!</v>
      </c>
    </row>
    <row r="24" spans="1:18" s="92" customFormat="1" ht="15.75" hidden="1" thickTop="1" x14ac:dyDescent="0.25">
      <c r="A24" s="245" t="s">
        <v>216</v>
      </c>
      <c r="B24" s="246" t="s">
        <v>204</v>
      </c>
      <c r="C24" s="419" t="s">
        <v>2148</v>
      </c>
      <c r="D24" s="247" t="s">
        <v>4</v>
      </c>
      <c r="E24" s="248" t="s">
        <v>1177</v>
      </c>
      <c r="F24" s="247" t="s">
        <v>666</v>
      </c>
      <c r="G24" s="247" t="s">
        <v>1177</v>
      </c>
      <c r="H24" s="248" t="s">
        <v>70</v>
      </c>
      <c r="I24" s="248" t="str">
        <f>IFERROR(IF(SEARCH(".00.00.00.00.00",Tableau1[[#This Row],[name]],1)=7,"Division",""),"")</f>
        <v>Division</v>
      </c>
      <c r="J24" s="247"/>
      <c r="K24" s="249" t="s">
        <v>708</v>
      </c>
      <c r="L24" s="249" t="str">
        <f t="shared" si="0"/>
        <v>_</v>
      </c>
      <c r="M24" s="250">
        <f>ROUND(Tableau1[[#This Row],[LEN]]*7.27,0)</f>
        <v>36</v>
      </c>
      <c r="N24" s="250">
        <v>15</v>
      </c>
      <c r="O24" s="251" t="str">
        <f t="shared" si="1"/>
        <v>_self</v>
      </c>
      <c r="P24" s="250">
        <f>LEN(Tableau1[[#This Row],[LABEL]])</f>
        <v>5</v>
      </c>
      <c r="Q24" s="250">
        <v>15</v>
      </c>
      <c r="R24" s="250" t="e">
        <f>ROUND(Tableau1[[#This Row],[LEN]]*#REF!+#REF!,0)</f>
        <v>#REF!</v>
      </c>
    </row>
    <row r="25" spans="1:18" ht="15.75" hidden="1" thickTop="1" x14ac:dyDescent="0.25">
      <c r="A25" s="6" t="s">
        <v>918</v>
      </c>
      <c r="B25" s="7" t="s">
        <v>216</v>
      </c>
      <c r="C25" s="419" t="s">
        <v>2148</v>
      </c>
      <c r="D25" s="8" t="s">
        <v>64</v>
      </c>
      <c r="E25" s="65" t="s">
        <v>1177</v>
      </c>
      <c r="F25" s="8" t="s">
        <v>662</v>
      </c>
      <c r="G25" s="8" t="s">
        <v>1956</v>
      </c>
      <c r="H25" s="65" t="s">
        <v>70</v>
      </c>
      <c r="I25" s="65" t="s">
        <v>17</v>
      </c>
      <c r="J25" s="8"/>
      <c r="K25" s="9" t="s">
        <v>708</v>
      </c>
      <c r="L25" s="9" t="str">
        <f t="shared" si="0"/>
        <v>_</v>
      </c>
      <c r="M25" s="105">
        <f>ROUND(Tableau1[[#This Row],[LEN]]*7.27,0)</f>
        <v>291</v>
      </c>
      <c r="N25" s="105">
        <v>15</v>
      </c>
      <c r="O25" s="123" t="str">
        <f t="shared" si="1"/>
        <v>_self</v>
      </c>
      <c r="P25" s="105">
        <f>LEN(Tableau1[[#This Row],[LABEL]])</f>
        <v>40</v>
      </c>
      <c r="Q25" s="105">
        <v>15</v>
      </c>
      <c r="R25" s="105" t="e">
        <f>ROUND(Tableau1[[#This Row],[LEN]]*#REF!+#REF!,0)</f>
        <v>#REF!</v>
      </c>
    </row>
    <row r="26" spans="1:18" ht="15.75" hidden="1" thickTop="1" x14ac:dyDescent="0.25">
      <c r="A26" s="6" t="s">
        <v>919</v>
      </c>
      <c r="B26" s="7" t="s">
        <v>216</v>
      </c>
      <c r="C26" s="419" t="s">
        <v>2148</v>
      </c>
      <c r="D26" s="8" t="s">
        <v>75</v>
      </c>
      <c r="E26" s="65" t="s">
        <v>1177</v>
      </c>
      <c r="F26" s="8" t="s">
        <v>684</v>
      </c>
      <c r="G26" s="8" t="s">
        <v>663</v>
      </c>
      <c r="H26" s="65" t="s">
        <v>70</v>
      </c>
      <c r="I26" s="65" t="s">
        <v>655</v>
      </c>
      <c r="J26" s="8"/>
      <c r="K26" s="9" t="s">
        <v>708</v>
      </c>
      <c r="L26" s="9" t="str">
        <f t="shared" si="0"/>
        <v>_</v>
      </c>
      <c r="M26" s="105">
        <f>ROUND(Tableau1[[#This Row],[LEN]]*7.27,0)</f>
        <v>262</v>
      </c>
      <c r="N26" s="105">
        <v>15</v>
      </c>
      <c r="O26" s="123" t="str">
        <f t="shared" si="1"/>
        <v>_self</v>
      </c>
      <c r="P26" s="105">
        <f>LEN(Tableau1[[#This Row],[LABEL]])</f>
        <v>36</v>
      </c>
      <c r="Q26" s="105">
        <v>15</v>
      </c>
      <c r="R26" s="105" t="e">
        <f>ROUND(Tableau1[[#This Row],[LEN]]*#REF!+#REF!,0)</f>
        <v>#REF!</v>
      </c>
    </row>
    <row r="27" spans="1:18" ht="15.75" hidden="1" thickTop="1" x14ac:dyDescent="0.25">
      <c r="A27" s="12" t="s">
        <v>924</v>
      </c>
      <c r="B27" s="12" t="s">
        <v>919</v>
      </c>
      <c r="C27" s="419" t="s">
        <v>2148</v>
      </c>
      <c r="D27" s="12" t="s">
        <v>76</v>
      </c>
      <c r="E27" s="66" t="s">
        <v>1177</v>
      </c>
      <c r="F27" s="12" t="s">
        <v>684</v>
      </c>
      <c r="G27" s="12" t="s">
        <v>663</v>
      </c>
      <c r="H27" s="66" t="s">
        <v>70</v>
      </c>
      <c r="I27" s="66" t="s">
        <v>18</v>
      </c>
      <c r="J27" s="12"/>
      <c r="K27" s="13" t="s">
        <v>708</v>
      </c>
      <c r="L27" s="13" t="str">
        <f t="shared" si="0"/>
        <v>_</v>
      </c>
      <c r="M27" s="106">
        <f>ROUND(Tableau1[[#This Row],[LEN]]*7.27,0)</f>
        <v>443</v>
      </c>
      <c r="N27" s="106">
        <v>15</v>
      </c>
      <c r="O27" s="124" t="str">
        <f t="shared" si="1"/>
        <v>_self</v>
      </c>
      <c r="P27" s="106">
        <f>LEN(Tableau1[[#This Row],[LABEL]])</f>
        <v>61</v>
      </c>
      <c r="Q27" s="106">
        <v>15</v>
      </c>
      <c r="R27" s="106" t="e">
        <f>ROUND(Tableau1[[#This Row],[LEN]]*#REF!+#REF!,0)</f>
        <v>#REF!</v>
      </c>
    </row>
    <row r="28" spans="1:18" ht="15.75" hidden="1" thickTop="1" x14ac:dyDescent="0.25">
      <c r="A28" s="12" t="s">
        <v>925</v>
      </c>
      <c r="B28" s="12" t="s">
        <v>919</v>
      </c>
      <c r="C28" s="419" t="s">
        <v>2148</v>
      </c>
      <c r="D28" s="12" t="s">
        <v>77</v>
      </c>
      <c r="E28" s="66" t="s">
        <v>1177</v>
      </c>
      <c r="F28" s="12" t="s">
        <v>684</v>
      </c>
      <c r="G28" s="12" t="s">
        <v>663</v>
      </c>
      <c r="H28" s="66" t="s">
        <v>70</v>
      </c>
      <c r="I28" s="66" t="s">
        <v>18</v>
      </c>
      <c r="J28" s="12"/>
      <c r="K28" s="13" t="s">
        <v>708</v>
      </c>
      <c r="L28" s="13" t="str">
        <f t="shared" si="0"/>
        <v>_</v>
      </c>
      <c r="M28" s="106">
        <f>ROUND(Tableau1[[#This Row],[LEN]]*7.27,0)</f>
        <v>473</v>
      </c>
      <c r="N28" s="106">
        <v>15</v>
      </c>
      <c r="O28" s="124" t="str">
        <f t="shared" si="1"/>
        <v>_self</v>
      </c>
      <c r="P28" s="106">
        <f>LEN(Tableau1[[#This Row],[LABEL]])</f>
        <v>65</v>
      </c>
      <c r="Q28" s="106">
        <v>15</v>
      </c>
      <c r="R28" s="106" t="e">
        <f>ROUND(Tableau1[[#This Row],[LEN]]*#REF!+#REF!,0)</f>
        <v>#REF!</v>
      </c>
    </row>
    <row r="29" spans="1:18" ht="15.75" hidden="1" thickTop="1" x14ac:dyDescent="0.25">
      <c r="A29" s="12" t="s">
        <v>926</v>
      </c>
      <c r="B29" s="12" t="s">
        <v>919</v>
      </c>
      <c r="C29" s="419" t="s">
        <v>2148</v>
      </c>
      <c r="D29" s="12" t="s">
        <v>78</v>
      </c>
      <c r="E29" s="66" t="s">
        <v>1177</v>
      </c>
      <c r="F29" s="12" t="s">
        <v>684</v>
      </c>
      <c r="G29" s="12" t="s">
        <v>663</v>
      </c>
      <c r="H29" s="66" t="s">
        <v>70</v>
      </c>
      <c r="I29" s="66" t="s">
        <v>18</v>
      </c>
      <c r="J29" s="12"/>
      <c r="K29" s="13" t="s">
        <v>708</v>
      </c>
      <c r="L29" s="13" t="str">
        <f t="shared" si="0"/>
        <v>_</v>
      </c>
      <c r="M29" s="106">
        <f>ROUND(Tableau1[[#This Row],[LEN]]*7.27,0)</f>
        <v>385</v>
      </c>
      <c r="N29" s="106">
        <v>15</v>
      </c>
      <c r="O29" s="124" t="str">
        <f t="shared" si="1"/>
        <v>_self</v>
      </c>
      <c r="P29" s="106">
        <f>LEN(Tableau1[[#This Row],[LABEL]])</f>
        <v>53</v>
      </c>
      <c r="Q29" s="106">
        <v>15</v>
      </c>
      <c r="R29" s="106" t="e">
        <f>ROUND(Tableau1[[#This Row],[LEN]]*#REF!+#REF!,0)</f>
        <v>#REF!</v>
      </c>
    </row>
    <row r="30" spans="1:18" ht="15.75" hidden="1" thickTop="1" x14ac:dyDescent="0.25">
      <c r="A30" s="6" t="s">
        <v>920</v>
      </c>
      <c r="B30" s="7" t="s">
        <v>216</v>
      </c>
      <c r="C30" s="419" t="s">
        <v>2148</v>
      </c>
      <c r="D30" s="8" t="s">
        <v>65</v>
      </c>
      <c r="E30" s="65" t="s">
        <v>1177</v>
      </c>
      <c r="F30" s="8" t="s">
        <v>662</v>
      </c>
      <c r="G30" s="8" t="s">
        <v>1957</v>
      </c>
      <c r="H30" s="65" t="s">
        <v>70</v>
      </c>
      <c r="I30" s="65" t="s">
        <v>17</v>
      </c>
      <c r="J30" s="8"/>
      <c r="K30" s="9" t="s">
        <v>708</v>
      </c>
      <c r="L30" s="9" t="str">
        <f t="shared" si="0"/>
        <v>_</v>
      </c>
      <c r="M30" s="105">
        <f>ROUND(Tableau1[[#This Row],[LEN]]*7.27,0)</f>
        <v>291</v>
      </c>
      <c r="N30" s="105">
        <v>15</v>
      </c>
      <c r="O30" s="123" t="str">
        <f t="shared" si="1"/>
        <v>_self</v>
      </c>
      <c r="P30" s="105">
        <f>LEN(Tableau1[[#This Row],[LABEL]])</f>
        <v>40</v>
      </c>
      <c r="Q30" s="105">
        <v>15</v>
      </c>
      <c r="R30" s="105" t="e">
        <f>ROUND(Tableau1[[#This Row],[LEN]]*#REF!+#REF!,0)</f>
        <v>#REF!</v>
      </c>
    </row>
    <row r="31" spans="1:18" ht="15.75" hidden="1" thickTop="1" x14ac:dyDescent="0.25">
      <c r="A31" s="6" t="s">
        <v>921</v>
      </c>
      <c r="B31" s="7" t="s">
        <v>216</v>
      </c>
      <c r="C31" s="419" t="s">
        <v>2148</v>
      </c>
      <c r="D31" s="8" t="s">
        <v>915</v>
      </c>
      <c r="E31" s="65" t="s">
        <v>1177</v>
      </c>
      <c r="F31" s="8" t="s">
        <v>666</v>
      </c>
      <c r="G31" s="8" t="s">
        <v>667</v>
      </c>
      <c r="H31" s="65" t="s">
        <v>70</v>
      </c>
      <c r="I31" s="65" t="s">
        <v>18</v>
      </c>
      <c r="J31" s="8"/>
      <c r="K31" s="9" t="s">
        <v>708</v>
      </c>
      <c r="L31" s="9" t="str">
        <f t="shared" si="0"/>
        <v>_</v>
      </c>
      <c r="M31" s="105">
        <f>ROUND(Tableau1[[#This Row],[LEN]]*7.27,0)</f>
        <v>225</v>
      </c>
      <c r="N31" s="105">
        <v>15</v>
      </c>
      <c r="O31" s="123" t="str">
        <f t="shared" si="1"/>
        <v>_self</v>
      </c>
      <c r="P31" s="105">
        <f>LEN(Tableau1[[#This Row],[LABEL]])</f>
        <v>31</v>
      </c>
      <c r="Q31" s="105">
        <v>15</v>
      </c>
      <c r="R31" s="105" t="e">
        <f>ROUND(Tableau1[[#This Row],[LEN]]*#REF!+#REF!,0)</f>
        <v>#REF!</v>
      </c>
    </row>
    <row r="32" spans="1:18" ht="15.75" hidden="1" thickTop="1" x14ac:dyDescent="0.25">
      <c r="A32" s="6" t="s">
        <v>922</v>
      </c>
      <c r="B32" s="7" t="s">
        <v>216</v>
      </c>
      <c r="C32" s="419" t="s">
        <v>2148</v>
      </c>
      <c r="D32" s="8" t="s">
        <v>917</v>
      </c>
      <c r="E32" s="65" t="s">
        <v>1177</v>
      </c>
      <c r="F32" s="8" t="s">
        <v>666</v>
      </c>
      <c r="G32" s="8" t="s">
        <v>667</v>
      </c>
      <c r="H32" s="65" t="s">
        <v>70</v>
      </c>
      <c r="I32" s="65" t="s">
        <v>656</v>
      </c>
      <c r="J32" s="8"/>
      <c r="K32" s="9" t="s">
        <v>708</v>
      </c>
      <c r="L32" s="9" t="str">
        <f t="shared" si="0"/>
        <v>_</v>
      </c>
      <c r="M32" s="105">
        <f>ROUND(Tableau1[[#This Row],[LEN]]*7.27,0)</f>
        <v>225</v>
      </c>
      <c r="N32" s="105">
        <v>15</v>
      </c>
      <c r="O32" s="123" t="str">
        <f t="shared" si="1"/>
        <v>_self</v>
      </c>
      <c r="P32" s="105">
        <f>LEN(Tableau1[[#This Row],[LABEL]])</f>
        <v>31</v>
      </c>
      <c r="Q32" s="105">
        <v>15</v>
      </c>
      <c r="R32" s="105" t="e">
        <f>ROUND(Tableau1[[#This Row],[LEN]]*#REF!+#REF!,0)</f>
        <v>#REF!</v>
      </c>
    </row>
    <row r="33" spans="1:18" ht="15.75" hidden="1" thickTop="1" x14ac:dyDescent="0.25">
      <c r="A33" s="6" t="s">
        <v>923</v>
      </c>
      <c r="B33" s="7" t="s">
        <v>216</v>
      </c>
      <c r="C33" s="419" t="s">
        <v>2148</v>
      </c>
      <c r="D33" s="8" t="s">
        <v>916</v>
      </c>
      <c r="E33" s="65" t="s">
        <v>1177</v>
      </c>
      <c r="F33" s="8" t="s">
        <v>666</v>
      </c>
      <c r="G33" s="8" t="s">
        <v>661</v>
      </c>
      <c r="H33" s="65" t="s">
        <v>70</v>
      </c>
      <c r="I33" s="65" t="s">
        <v>18</v>
      </c>
      <c r="J33" s="8"/>
      <c r="K33" s="9" t="s">
        <v>708</v>
      </c>
      <c r="L33" s="9" t="str">
        <f t="shared" si="0"/>
        <v>_</v>
      </c>
      <c r="M33" s="105">
        <f>ROUND(Tableau1[[#This Row],[LEN]]*7.27,0)</f>
        <v>109</v>
      </c>
      <c r="N33" s="105">
        <v>15</v>
      </c>
      <c r="O33" s="123" t="str">
        <f t="shared" si="1"/>
        <v>_self</v>
      </c>
      <c r="P33" s="105">
        <f>LEN(Tableau1[[#This Row],[LABEL]])</f>
        <v>15</v>
      </c>
      <c r="Q33" s="105">
        <v>15</v>
      </c>
      <c r="R33" s="105" t="e">
        <f>ROUND(Tableau1[[#This Row],[LEN]]*#REF!+#REF!,0)</f>
        <v>#REF!</v>
      </c>
    </row>
    <row r="34" spans="1:18" s="92" customFormat="1" ht="15.75" hidden="1" thickTop="1" x14ac:dyDescent="0.25">
      <c r="A34" s="245" t="s">
        <v>217</v>
      </c>
      <c r="B34" s="246" t="s">
        <v>204</v>
      </c>
      <c r="C34" s="419" t="s">
        <v>2148</v>
      </c>
      <c r="D34" s="247" t="s">
        <v>80</v>
      </c>
      <c r="E34" s="248" t="s">
        <v>1177</v>
      </c>
      <c r="F34" s="247" t="s">
        <v>667</v>
      </c>
      <c r="G34" s="247" t="s">
        <v>1177</v>
      </c>
      <c r="H34" s="248" t="s">
        <v>70</v>
      </c>
      <c r="I34" s="248" t="str">
        <f>IFERROR(IF(SEARCH(".00.00.00.00.00",Tableau1[[#This Row],[name]],1)=7,"Division",""),"")</f>
        <v>Division</v>
      </c>
      <c r="J34" s="247"/>
      <c r="K34" s="249" t="s">
        <v>708</v>
      </c>
      <c r="L34" s="249" t="str">
        <f t="shared" si="0"/>
        <v>_</v>
      </c>
      <c r="M34" s="250">
        <f>ROUND(Tableau1[[#This Row],[LEN]]*7.27,0)</f>
        <v>116</v>
      </c>
      <c r="N34" s="250">
        <v>15</v>
      </c>
      <c r="O34" s="251" t="str">
        <f t="shared" si="1"/>
        <v>_self</v>
      </c>
      <c r="P34" s="250">
        <f>LEN(Tableau1[[#This Row],[LABEL]])</f>
        <v>16</v>
      </c>
      <c r="Q34" s="250">
        <v>15</v>
      </c>
      <c r="R34" s="250" t="e">
        <f>ROUND(Tableau1[[#This Row],[LEN]]*#REF!+#REF!,0)</f>
        <v>#REF!</v>
      </c>
    </row>
    <row r="35" spans="1:18" ht="15.75" hidden="1" thickTop="1" x14ac:dyDescent="0.25">
      <c r="A35" s="6" t="s">
        <v>933</v>
      </c>
      <c r="B35" s="7" t="s">
        <v>217</v>
      </c>
      <c r="C35" s="419" t="s">
        <v>2148</v>
      </c>
      <c r="D35" s="8" t="s">
        <v>64</v>
      </c>
      <c r="E35" s="65" t="s">
        <v>1177</v>
      </c>
      <c r="F35" s="8" t="s">
        <v>662</v>
      </c>
      <c r="G35" s="8" t="s">
        <v>1956</v>
      </c>
      <c r="H35" s="65" t="s">
        <v>70</v>
      </c>
      <c r="I35" s="65" t="s">
        <v>17</v>
      </c>
      <c r="J35" s="8"/>
      <c r="K35" s="9" t="s">
        <v>708</v>
      </c>
      <c r="L35" s="9" t="str">
        <f t="shared" si="0"/>
        <v>_</v>
      </c>
      <c r="M35" s="105">
        <f>ROUND(Tableau1[[#This Row],[LEN]]*7.27,0)</f>
        <v>291</v>
      </c>
      <c r="N35" s="105">
        <v>15</v>
      </c>
      <c r="O35" s="123" t="str">
        <f t="shared" si="1"/>
        <v>_self</v>
      </c>
      <c r="P35" s="105">
        <f>LEN(Tableau1[[#This Row],[LABEL]])</f>
        <v>40</v>
      </c>
      <c r="Q35" s="105">
        <v>15</v>
      </c>
      <c r="R35" s="105" t="e">
        <f>ROUND(Tableau1[[#This Row],[LEN]]*#REF!+#REF!,0)</f>
        <v>#REF!</v>
      </c>
    </row>
    <row r="36" spans="1:18" ht="15.75" hidden="1" thickTop="1" x14ac:dyDescent="0.25">
      <c r="A36" s="6" t="s">
        <v>934</v>
      </c>
      <c r="B36" s="7" t="s">
        <v>217</v>
      </c>
      <c r="C36" s="419" t="s">
        <v>2148</v>
      </c>
      <c r="D36" s="8" t="s">
        <v>927</v>
      </c>
      <c r="E36" s="65" t="s">
        <v>1177</v>
      </c>
      <c r="F36" s="8" t="s">
        <v>667</v>
      </c>
      <c r="G36" s="8" t="s">
        <v>2076</v>
      </c>
      <c r="H36" s="65" t="s">
        <v>70</v>
      </c>
      <c r="I36" s="65" t="s">
        <v>656</v>
      </c>
      <c r="J36" s="8"/>
      <c r="K36" s="9" t="s">
        <v>708</v>
      </c>
      <c r="L36" s="9" t="str">
        <f t="shared" si="0"/>
        <v>_</v>
      </c>
      <c r="M36" s="105">
        <f>ROUND(Tableau1[[#This Row],[LEN]]*7.27,0)</f>
        <v>298</v>
      </c>
      <c r="N36" s="105">
        <v>15</v>
      </c>
      <c r="O36" s="123" t="str">
        <f t="shared" si="1"/>
        <v>_self</v>
      </c>
      <c r="P36" s="105">
        <f>LEN(Tableau1[[#This Row],[LABEL]])</f>
        <v>41</v>
      </c>
      <c r="Q36" s="105">
        <v>15</v>
      </c>
      <c r="R36" s="105" t="e">
        <f>ROUND(Tableau1[[#This Row],[LEN]]*#REF!+#REF!,0)</f>
        <v>#REF!</v>
      </c>
    </row>
    <row r="37" spans="1:18" ht="15.75" hidden="1" thickTop="1" x14ac:dyDescent="0.25">
      <c r="A37" s="6" t="s">
        <v>935</v>
      </c>
      <c r="B37" s="7" t="s">
        <v>217</v>
      </c>
      <c r="C37" s="419" t="s">
        <v>2148</v>
      </c>
      <c r="D37" s="8" t="s">
        <v>65</v>
      </c>
      <c r="E37" s="65" t="s">
        <v>1177</v>
      </c>
      <c r="F37" s="8" t="s">
        <v>662</v>
      </c>
      <c r="G37" s="8" t="s">
        <v>1957</v>
      </c>
      <c r="H37" s="65" t="s">
        <v>70</v>
      </c>
      <c r="I37" s="65" t="s">
        <v>17</v>
      </c>
      <c r="J37" s="8"/>
      <c r="K37" s="9" t="s">
        <v>708</v>
      </c>
      <c r="L37" s="9" t="str">
        <f t="shared" si="0"/>
        <v>_</v>
      </c>
      <c r="M37" s="105">
        <f>ROUND(Tableau1[[#This Row],[LEN]]*7.27,0)</f>
        <v>291</v>
      </c>
      <c r="N37" s="105">
        <v>15</v>
      </c>
      <c r="O37" s="123" t="str">
        <f t="shared" si="1"/>
        <v>_self</v>
      </c>
      <c r="P37" s="105">
        <f>LEN(Tableau1[[#This Row],[LABEL]])</f>
        <v>40</v>
      </c>
      <c r="Q37" s="105">
        <v>15</v>
      </c>
      <c r="R37" s="105" t="e">
        <f>ROUND(Tableau1[[#This Row],[LEN]]*#REF!+#REF!,0)</f>
        <v>#REF!</v>
      </c>
    </row>
    <row r="38" spans="1:18" ht="15.75" hidden="1" thickTop="1" x14ac:dyDescent="0.25">
      <c r="A38" s="6" t="s">
        <v>936</v>
      </c>
      <c r="B38" s="7" t="s">
        <v>217</v>
      </c>
      <c r="C38" s="419" t="s">
        <v>2148</v>
      </c>
      <c r="D38" s="8" t="s">
        <v>928</v>
      </c>
      <c r="E38" s="65" t="s">
        <v>1177</v>
      </c>
      <c r="F38" s="8" t="s">
        <v>667</v>
      </c>
      <c r="G38" s="8" t="s">
        <v>674</v>
      </c>
      <c r="H38" s="65" t="s">
        <v>70</v>
      </c>
      <c r="I38" s="65" t="s">
        <v>18</v>
      </c>
      <c r="J38" s="8"/>
      <c r="K38" s="9" t="s">
        <v>708</v>
      </c>
      <c r="L38" s="9" t="str">
        <f t="shared" si="0"/>
        <v>_</v>
      </c>
      <c r="M38" s="105">
        <f>ROUND(Tableau1[[#This Row],[LEN]]*7.27,0)</f>
        <v>284</v>
      </c>
      <c r="N38" s="105">
        <v>15</v>
      </c>
      <c r="O38" s="123" t="str">
        <f t="shared" si="1"/>
        <v>_self</v>
      </c>
      <c r="P38" s="105">
        <f>LEN(Tableau1[[#This Row],[LABEL]])</f>
        <v>39</v>
      </c>
      <c r="Q38" s="105">
        <v>15</v>
      </c>
      <c r="R38" s="105" t="e">
        <f>ROUND(Tableau1[[#This Row],[LEN]]*#REF!+#REF!,0)</f>
        <v>#REF!</v>
      </c>
    </row>
    <row r="39" spans="1:18" ht="15.75" hidden="1" thickTop="1" x14ac:dyDescent="0.25">
      <c r="A39" s="6" t="s">
        <v>937</v>
      </c>
      <c r="B39" s="7" t="s">
        <v>217</v>
      </c>
      <c r="C39" s="419" t="s">
        <v>2148</v>
      </c>
      <c r="D39" s="8" t="s">
        <v>929</v>
      </c>
      <c r="E39" s="65" t="s">
        <v>1177</v>
      </c>
      <c r="F39" s="8" t="s">
        <v>667</v>
      </c>
      <c r="G39" s="8" t="s">
        <v>1177</v>
      </c>
      <c r="H39" s="65" t="s">
        <v>70</v>
      </c>
      <c r="I39" s="65" t="s">
        <v>656</v>
      </c>
      <c r="J39" s="8"/>
      <c r="K39" s="9" t="s">
        <v>708</v>
      </c>
      <c r="L39" s="9" t="str">
        <f t="shared" si="0"/>
        <v>_</v>
      </c>
      <c r="M39" s="105">
        <f>ROUND(Tableau1[[#This Row],[LEN]]*7.27,0)</f>
        <v>276</v>
      </c>
      <c r="N39" s="105">
        <v>15</v>
      </c>
      <c r="O39" s="123" t="str">
        <f t="shared" si="1"/>
        <v>_self</v>
      </c>
      <c r="P39" s="105">
        <f>LEN(Tableau1[[#This Row],[LABEL]])</f>
        <v>38</v>
      </c>
      <c r="Q39" s="105">
        <v>15</v>
      </c>
      <c r="R39" s="105" t="e">
        <f>ROUND(Tableau1[[#This Row],[LEN]]*#REF!+#REF!,0)</f>
        <v>#REF!</v>
      </c>
    </row>
    <row r="40" spans="1:18" ht="15.75" hidden="1" thickTop="1" x14ac:dyDescent="0.25">
      <c r="A40" s="6" t="s">
        <v>938</v>
      </c>
      <c r="B40" s="7" t="s">
        <v>217</v>
      </c>
      <c r="C40" s="419" t="s">
        <v>2148</v>
      </c>
      <c r="D40" s="8" t="s">
        <v>930</v>
      </c>
      <c r="E40" s="65" t="s">
        <v>1177</v>
      </c>
      <c r="F40" s="8" t="s">
        <v>667</v>
      </c>
      <c r="G40" s="8" t="s">
        <v>1177</v>
      </c>
      <c r="H40" s="65" t="s">
        <v>70</v>
      </c>
      <c r="I40" s="65" t="s">
        <v>654</v>
      </c>
      <c r="J40" s="8"/>
      <c r="K40" s="9" t="s">
        <v>706</v>
      </c>
      <c r="L40" s="9" t="str">
        <f t="shared" si="0"/>
        <v>Documentation</v>
      </c>
      <c r="M40" s="105">
        <f>ROUND(Tableau1[[#This Row],[LEN]]*7.27,0)</f>
        <v>465</v>
      </c>
      <c r="N40" s="105">
        <v>15</v>
      </c>
      <c r="O40" s="123" t="str">
        <f t="shared" si="1"/>
        <v>_blank</v>
      </c>
      <c r="P40" s="105">
        <f>LEN(Tableau1[[#This Row],[LABEL]])</f>
        <v>64</v>
      </c>
      <c r="Q40" s="105">
        <v>15</v>
      </c>
      <c r="R40" s="105" t="e">
        <f>ROUND(Tableau1[[#This Row],[LEN]]*#REF!+#REF!,0)</f>
        <v>#REF!</v>
      </c>
    </row>
    <row r="41" spans="1:18" s="92" customFormat="1" ht="15.75" hidden="1" thickTop="1" x14ac:dyDescent="0.25">
      <c r="A41" s="245" t="s">
        <v>219</v>
      </c>
      <c r="B41" s="246" t="s">
        <v>204</v>
      </c>
      <c r="C41" s="419" t="s">
        <v>2148</v>
      </c>
      <c r="D41" s="247" t="s">
        <v>2147</v>
      </c>
      <c r="E41" s="248" t="s">
        <v>1177</v>
      </c>
      <c r="F41" s="247" t="s">
        <v>669</v>
      </c>
      <c r="G41" s="247" t="s">
        <v>1177</v>
      </c>
      <c r="H41" s="248" t="s">
        <v>70</v>
      </c>
      <c r="I41" s="248" t="str">
        <f>IFERROR(IF(SEARCH(".00.00.00.00.00",Tableau1[[#This Row],[name]],1)=7,"Division",""),"")</f>
        <v>Division</v>
      </c>
      <c r="J41" s="247"/>
      <c r="K41" s="249" t="s">
        <v>708</v>
      </c>
      <c r="L41" s="249" t="str">
        <f t="shared" si="0"/>
        <v>_</v>
      </c>
      <c r="M41" s="250">
        <f>ROUND(Tableau1[[#This Row],[LEN]]*7.27,0)</f>
        <v>196</v>
      </c>
      <c r="N41" s="250">
        <v>15</v>
      </c>
      <c r="O41" s="251" t="str">
        <f t="shared" si="1"/>
        <v>_self</v>
      </c>
      <c r="P41" s="250">
        <f>LEN(Tableau1[[#This Row],[LABEL]])</f>
        <v>27</v>
      </c>
      <c r="Q41" s="250">
        <v>15</v>
      </c>
      <c r="R41" s="250" t="e">
        <f>ROUND(Tableau1[[#This Row],[LEN]]*#REF!+#REF!,0)</f>
        <v>#REF!</v>
      </c>
    </row>
    <row r="42" spans="1:18" ht="15.75" hidden="1" thickTop="1" x14ac:dyDescent="0.25">
      <c r="A42" s="14" t="s">
        <v>361</v>
      </c>
      <c r="B42" s="15" t="s">
        <v>219</v>
      </c>
      <c r="C42" s="419" t="s">
        <v>2148</v>
      </c>
      <c r="D42" s="8" t="s">
        <v>64</v>
      </c>
      <c r="E42" s="67" t="s">
        <v>1177</v>
      </c>
      <c r="F42" s="16" t="s">
        <v>662</v>
      </c>
      <c r="G42" s="8" t="s">
        <v>1956</v>
      </c>
      <c r="H42" s="67" t="s">
        <v>70</v>
      </c>
      <c r="I42" s="67" t="s">
        <v>17</v>
      </c>
      <c r="J42" s="8"/>
      <c r="K42" s="9" t="s">
        <v>708</v>
      </c>
      <c r="L42" s="9" t="str">
        <f t="shared" si="0"/>
        <v>_</v>
      </c>
      <c r="M42" s="105">
        <f>ROUND(Tableau1[[#This Row],[LEN]]*7.27,0)</f>
        <v>291</v>
      </c>
      <c r="N42" s="105">
        <v>15</v>
      </c>
      <c r="O42" s="123" t="str">
        <f t="shared" si="1"/>
        <v>_self</v>
      </c>
      <c r="P42" s="105">
        <f>LEN(Tableau1[[#This Row],[LABEL]])</f>
        <v>40</v>
      </c>
      <c r="Q42" s="105">
        <v>15</v>
      </c>
      <c r="R42" s="105" t="e">
        <f>ROUND(Tableau1[[#This Row],[LEN]]*#REF!+#REF!,0)</f>
        <v>#REF!</v>
      </c>
    </row>
    <row r="43" spans="1:18" ht="15.75" hidden="1" thickTop="1" x14ac:dyDescent="0.25">
      <c r="A43" s="14" t="s">
        <v>362</v>
      </c>
      <c r="B43" s="15" t="s">
        <v>219</v>
      </c>
      <c r="C43" s="419" t="s">
        <v>2148</v>
      </c>
      <c r="D43" s="8" t="s">
        <v>65</v>
      </c>
      <c r="E43" s="67" t="s">
        <v>1177</v>
      </c>
      <c r="F43" s="16" t="s">
        <v>662</v>
      </c>
      <c r="G43" s="8" t="s">
        <v>1957</v>
      </c>
      <c r="H43" s="67" t="s">
        <v>70</v>
      </c>
      <c r="I43" s="67" t="s">
        <v>17</v>
      </c>
      <c r="J43" s="8"/>
      <c r="K43" s="9" t="s">
        <v>708</v>
      </c>
      <c r="L43" s="9" t="str">
        <f t="shared" si="0"/>
        <v>_</v>
      </c>
      <c r="M43" s="105">
        <f>ROUND(Tableau1[[#This Row],[LEN]]*7.27,0)</f>
        <v>291</v>
      </c>
      <c r="N43" s="105">
        <v>15</v>
      </c>
      <c r="O43" s="123" t="str">
        <f t="shared" si="1"/>
        <v>_self</v>
      </c>
      <c r="P43" s="105">
        <f>LEN(Tableau1[[#This Row],[LABEL]])</f>
        <v>40</v>
      </c>
      <c r="Q43" s="105">
        <v>15</v>
      </c>
      <c r="R43" s="105" t="e">
        <f>ROUND(Tableau1[[#This Row],[LEN]]*#REF!+#REF!,0)</f>
        <v>#REF!</v>
      </c>
    </row>
    <row r="44" spans="1:18" s="92" customFormat="1" ht="15.75" hidden="1" thickTop="1" x14ac:dyDescent="0.25">
      <c r="A44" s="245" t="s">
        <v>220</v>
      </c>
      <c r="B44" s="246" t="s">
        <v>204</v>
      </c>
      <c r="C44" s="419" t="s">
        <v>2148</v>
      </c>
      <c r="D44" s="247" t="s">
        <v>7</v>
      </c>
      <c r="E44" s="248" t="s">
        <v>1177</v>
      </c>
      <c r="F44" s="247" t="s">
        <v>670</v>
      </c>
      <c r="G44" s="247" t="s">
        <v>1177</v>
      </c>
      <c r="H44" s="248" t="s">
        <v>70</v>
      </c>
      <c r="I44" s="248" t="str">
        <f>IFERROR(IF(SEARCH(".00.00.00.00.00",Tableau1[[#This Row],[name]],1)=7,"Division",""),"")</f>
        <v>Division</v>
      </c>
      <c r="J44" s="247"/>
      <c r="K44" s="249" t="s">
        <v>708</v>
      </c>
      <c r="L44" s="249" t="str">
        <f t="shared" si="0"/>
        <v>_</v>
      </c>
      <c r="M44" s="250">
        <f>ROUND(Tableau1[[#This Row],[LEN]]*7.27,0)</f>
        <v>189</v>
      </c>
      <c r="N44" s="250">
        <v>15</v>
      </c>
      <c r="O44" s="251" t="str">
        <f t="shared" si="1"/>
        <v>_self</v>
      </c>
      <c r="P44" s="250">
        <f>LEN(Tableau1[[#This Row],[LABEL]])</f>
        <v>26</v>
      </c>
      <c r="Q44" s="250">
        <v>15</v>
      </c>
      <c r="R44" s="250" t="e">
        <f>ROUND(Tableau1[[#This Row],[LEN]]*#REF!+#REF!,0)</f>
        <v>#REF!</v>
      </c>
    </row>
    <row r="45" spans="1:18" ht="15.75" hidden="1" thickTop="1" x14ac:dyDescent="0.25">
      <c r="A45" s="14" t="s">
        <v>942</v>
      </c>
      <c r="B45" s="15" t="s">
        <v>220</v>
      </c>
      <c r="C45" s="419" t="s">
        <v>2148</v>
      </c>
      <c r="D45" s="16" t="s">
        <v>939</v>
      </c>
      <c r="E45" s="67" t="s">
        <v>1177</v>
      </c>
      <c r="F45" s="16" t="s">
        <v>670</v>
      </c>
      <c r="G45" s="16" t="s">
        <v>671</v>
      </c>
      <c r="H45" s="67" t="s">
        <v>70</v>
      </c>
      <c r="I45" s="67" t="s">
        <v>656</v>
      </c>
      <c r="J45" s="8"/>
      <c r="K45" s="9" t="s">
        <v>708</v>
      </c>
      <c r="L45" s="9" t="str">
        <f t="shared" si="0"/>
        <v>_</v>
      </c>
      <c r="M45" s="105">
        <f>ROUND(Tableau1[[#This Row],[LEN]]*7.27,0)</f>
        <v>182</v>
      </c>
      <c r="N45" s="105">
        <v>15</v>
      </c>
      <c r="O45" s="123" t="str">
        <f t="shared" si="1"/>
        <v>_self</v>
      </c>
      <c r="P45" s="105">
        <f>LEN(Tableau1[[#This Row],[LABEL]])</f>
        <v>25</v>
      </c>
      <c r="Q45" s="105">
        <v>15</v>
      </c>
      <c r="R45" s="105" t="e">
        <f>ROUND(Tableau1[[#This Row],[LEN]]*#REF!+#REF!,0)</f>
        <v>#REF!</v>
      </c>
    </row>
    <row r="46" spans="1:18" ht="15.75" hidden="1" thickTop="1" x14ac:dyDescent="0.25">
      <c r="A46" s="14" t="s">
        <v>943</v>
      </c>
      <c r="B46" s="15" t="s">
        <v>220</v>
      </c>
      <c r="C46" s="419" t="s">
        <v>2148</v>
      </c>
      <c r="D46" s="16" t="s">
        <v>940</v>
      </c>
      <c r="E46" s="67" t="s">
        <v>1177</v>
      </c>
      <c r="F46" s="16" t="s">
        <v>670</v>
      </c>
      <c r="G46" s="16" t="s">
        <v>671</v>
      </c>
      <c r="H46" s="67" t="s">
        <v>70</v>
      </c>
      <c r="I46" s="67" t="s">
        <v>656</v>
      </c>
      <c r="J46" s="8"/>
      <c r="K46" s="9" t="s">
        <v>708</v>
      </c>
      <c r="L46" s="9" t="str">
        <f t="shared" si="0"/>
        <v>_</v>
      </c>
      <c r="M46" s="105">
        <f>ROUND(Tableau1[[#This Row],[LEN]]*7.27,0)</f>
        <v>182</v>
      </c>
      <c r="N46" s="105">
        <v>15</v>
      </c>
      <c r="O46" s="123" t="str">
        <f t="shared" si="1"/>
        <v>_self</v>
      </c>
      <c r="P46" s="105">
        <f>LEN(Tableau1[[#This Row],[LABEL]])</f>
        <v>25</v>
      </c>
      <c r="Q46" s="105">
        <v>15</v>
      </c>
      <c r="R46" s="105" t="e">
        <f>ROUND(Tableau1[[#This Row],[LEN]]*#REF!+#REF!,0)</f>
        <v>#REF!</v>
      </c>
    </row>
    <row r="47" spans="1:18" s="92" customFormat="1" ht="15.75" hidden="1" thickTop="1" x14ac:dyDescent="0.25">
      <c r="A47" s="245" t="s">
        <v>221</v>
      </c>
      <c r="B47" s="246" t="s">
        <v>204</v>
      </c>
      <c r="C47" s="419" t="s">
        <v>2148</v>
      </c>
      <c r="D47" s="247" t="s">
        <v>8</v>
      </c>
      <c r="E47" s="248" t="s">
        <v>1177</v>
      </c>
      <c r="F47" s="247" t="s">
        <v>671</v>
      </c>
      <c r="G47" s="247" t="s">
        <v>1177</v>
      </c>
      <c r="H47" s="248" t="s">
        <v>70</v>
      </c>
      <c r="I47" s="248" t="str">
        <f>IFERROR(IF(SEARCH(".00.00.00.00.00",Tableau1[[#This Row],[name]],1)=7,"Division",""),"")</f>
        <v>Division</v>
      </c>
      <c r="J47" s="247"/>
      <c r="K47" s="249" t="s">
        <v>708</v>
      </c>
      <c r="L47" s="249" t="str">
        <f t="shared" si="0"/>
        <v>_</v>
      </c>
      <c r="M47" s="250">
        <f>ROUND(Tableau1[[#This Row],[LEN]]*7.27,0)</f>
        <v>116</v>
      </c>
      <c r="N47" s="250">
        <v>15</v>
      </c>
      <c r="O47" s="251" t="str">
        <f t="shared" si="1"/>
        <v>_self</v>
      </c>
      <c r="P47" s="250">
        <f>LEN(Tableau1[[#This Row],[LABEL]])</f>
        <v>16</v>
      </c>
      <c r="Q47" s="250">
        <v>15</v>
      </c>
      <c r="R47" s="250" t="e">
        <f>ROUND(Tableau1[[#This Row],[LEN]]*#REF!+#REF!,0)</f>
        <v>#REF!</v>
      </c>
    </row>
    <row r="48" spans="1:18" ht="15.75" hidden="1" thickTop="1" x14ac:dyDescent="0.25">
      <c r="A48" s="14" t="s">
        <v>944</v>
      </c>
      <c r="B48" s="15" t="s">
        <v>221</v>
      </c>
      <c r="C48" s="419" t="s">
        <v>2148</v>
      </c>
      <c r="D48" s="16" t="s">
        <v>945</v>
      </c>
      <c r="E48" s="67" t="s">
        <v>1177</v>
      </c>
      <c r="F48" s="16" t="s">
        <v>671</v>
      </c>
      <c r="G48" s="16" t="s">
        <v>670</v>
      </c>
      <c r="H48" s="67" t="s">
        <v>70</v>
      </c>
      <c r="I48" s="67" t="s">
        <v>654</v>
      </c>
      <c r="J48" s="8"/>
      <c r="K48" s="9" t="s">
        <v>708</v>
      </c>
      <c r="L48" s="9" t="str">
        <f t="shared" si="0"/>
        <v>_</v>
      </c>
      <c r="M48" s="105">
        <f>ROUND(Tableau1[[#This Row],[LEN]]*7.27,0)</f>
        <v>371</v>
      </c>
      <c r="N48" s="105">
        <v>15</v>
      </c>
      <c r="O48" s="123" t="str">
        <f t="shared" si="1"/>
        <v>_self</v>
      </c>
      <c r="P48" s="105">
        <f>LEN(Tableau1[[#This Row],[LABEL]])</f>
        <v>51</v>
      </c>
      <c r="Q48" s="105">
        <v>15</v>
      </c>
      <c r="R48" s="105" t="e">
        <f>ROUND(Tableau1[[#This Row],[LEN]]*#REF!+#REF!,0)</f>
        <v>#REF!</v>
      </c>
    </row>
    <row r="49" spans="1:18" s="92" customFormat="1" ht="15.75" thickTop="1" x14ac:dyDescent="0.25">
      <c r="A49" s="245" t="s">
        <v>222</v>
      </c>
      <c r="B49" s="246" t="s">
        <v>204</v>
      </c>
      <c r="C49" s="419" t="s">
        <v>2148</v>
      </c>
      <c r="D49" s="247" t="s">
        <v>9</v>
      </c>
      <c r="E49" s="248" t="s">
        <v>1177</v>
      </c>
      <c r="F49" s="247" t="s">
        <v>672</v>
      </c>
      <c r="G49" s="247" t="s">
        <v>1177</v>
      </c>
      <c r="H49" s="248" t="s">
        <v>70</v>
      </c>
      <c r="I49" s="248" t="str">
        <f>IFERROR(IF(SEARCH(".00.00.00.00.00",Tableau1[[#This Row],[name]],1)=7,"Division",""),"")</f>
        <v>Division</v>
      </c>
      <c r="J49" s="247"/>
      <c r="K49" s="249" t="s">
        <v>718</v>
      </c>
      <c r="L49" s="249" t="str">
        <f t="shared" si="0"/>
        <v>Documentation</v>
      </c>
      <c r="M49" s="250">
        <f>ROUND(Tableau1[[#This Row],[LEN]]*7.27,0)</f>
        <v>80</v>
      </c>
      <c r="N49" s="250">
        <v>15</v>
      </c>
      <c r="O49" s="251" t="str">
        <f t="shared" si="1"/>
        <v>_blank</v>
      </c>
      <c r="P49" s="250">
        <f>LEN(Tableau1[[#This Row],[LABEL]])</f>
        <v>11</v>
      </c>
      <c r="Q49" s="250">
        <v>15</v>
      </c>
      <c r="R49" s="250" t="e">
        <f>ROUND(Tableau1[[#This Row],[LEN]]*#REF!+#REF!,0)</f>
        <v>#REF!</v>
      </c>
    </row>
    <row r="50" spans="1:18" hidden="1" x14ac:dyDescent="0.25">
      <c r="A50" s="14" t="s">
        <v>363</v>
      </c>
      <c r="B50" s="15" t="s">
        <v>222</v>
      </c>
      <c r="C50" s="419" t="s">
        <v>2148</v>
      </c>
      <c r="D50" s="8" t="s">
        <v>64</v>
      </c>
      <c r="E50" s="67" t="s">
        <v>1177</v>
      </c>
      <c r="F50" s="16" t="s">
        <v>662</v>
      </c>
      <c r="G50" s="8" t="s">
        <v>1956</v>
      </c>
      <c r="H50" s="67" t="s">
        <v>70</v>
      </c>
      <c r="I50" s="67" t="s">
        <v>17</v>
      </c>
      <c r="J50" s="8"/>
      <c r="K50" s="9" t="s">
        <v>708</v>
      </c>
      <c r="L50" s="9" t="str">
        <f t="shared" si="0"/>
        <v>_</v>
      </c>
      <c r="M50" s="105">
        <f>ROUND(Tableau1[[#This Row],[LEN]]*7.27,0)</f>
        <v>291</v>
      </c>
      <c r="N50" s="105">
        <v>15</v>
      </c>
      <c r="O50" s="123" t="str">
        <f t="shared" si="1"/>
        <v>_self</v>
      </c>
      <c r="P50" s="105">
        <f>LEN(Tableau1[[#This Row],[LABEL]])</f>
        <v>40</v>
      </c>
      <c r="Q50" s="105">
        <v>15</v>
      </c>
      <c r="R50" s="105" t="e">
        <f>ROUND(Tableau1[[#This Row],[LEN]]*#REF!+#REF!,0)</f>
        <v>#REF!</v>
      </c>
    </row>
    <row r="51" spans="1:18" hidden="1" x14ac:dyDescent="0.25">
      <c r="A51" s="14" t="s">
        <v>364</v>
      </c>
      <c r="B51" s="15" t="s">
        <v>222</v>
      </c>
      <c r="C51" s="419" t="s">
        <v>2148</v>
      </c>
      <c r="D51" s="8" t="s">
        <v>65</v>
      </c>
      <c r="E51" s="67" t="s">
        <v>1177</v>
      </c>
      <c r="F51" s="16" t="s">
        <v>662</v>
      </c>
      <c r="G51" s="8" t="s">
        <v>1957</v>
      </c>
      <c r="H51" s="67" t="s">
        <v>70</v>
      </c>
      <c r="I51" s="67" t="s">
        <v>17</v>
      </c>
      <c r="J51" s="8"/>
      <c r="K51" s="9" t="s">
        <v>708</v>
      </c>
      <c r="L51" s="9" t="str">
        <f t="shared" si="0"/>
        <v>_</v>
      </c>
      <c r="M51" s="105">
        <f>ROUND(Tableau1[[#This Row],[LEN]]*7.27,0)</f>
        <v>291</v>
      </c>
      <c r="N51" s="105">
        <v>15</v>
      </c>
      <c r="O51" s="123" t="str">
        <f t="shared" si="1"/>
        <v>_self</v>
      </c>
      <c r="P51" s="105">
        <f>LEN(Tableau1[[#This Row],[LABEL]])</f>
        <v>40</v>
      </c>
      <c r="Q51" s="105">
        <v>15</v>
      </c>
      <c r="R51" s="105" t="e">
        <f>ROUND(Tableau1[[#This Row],[LEN]]*#REF!+#REF!,0)</f>
        <v>#REF!</v>
      </c>
    </row>
    <row r="52" spans="1:18" s="92" customFormat="1" hidden="1" x14ac:dyDescent="0.25">
      <c r="A52" s="245" t="s">
        <v>223</v>
      </c>
      <c r="B52" s="246" t="s">
        <v>204</v>
      </c>
      <c r="C52" s="419" t="s">
        <v>2148</v>
      </c>
      <c r="D52" s="247" t="s">
        <v>10</v>
      </c>
      <c r="E52" s="248" t="s">
        <v>1177</v>
      </c>
      <c r="F52" s="247" t="s">
        <v>673</v>
      </c>
      <c r="G52" s="247" t="s">
        <v>1177</v>
      </c>
      <c r="H52" s="248" t="s">
        <v>70</v>
      </c>
      <c r="I52" s="248" t="str">
        <f>IFERROR(IF(SEARCH(".00.00.00.00.00",Tableau1[[#This Row],[name]],1)=7,"Division",""),"")</f>
        <v>Division</v>
      </c>
      <c r="J52" s="247"/>
      <c r="K52" s="249" t="s">
        <v>719</v>
      </c>
      <c r="L52" s="249" t="str">
        <f t="shared" si="0"/>
        <v>Documentation</v>
      </c>
      <c r="M52" s="250">
        <f>ROUND(Tableau1[[#This Row],[LEN]]*7.27,0)</f>
        <v>109</v>
      </c>
      <c r="N52" s="250">
        <v>15</v>
      </c>
      <c r="O52" s="251" t="str">
        <f t="shared" si="1"/>
        <v>_blank</v>
      </c>
      <c r="P52" s="250">
        <f>LEN(Tableau1[[#This Row],[LABEL]])</f>
        <v>15</v>
      </c>
      <c r="Q52" s="250">
        <v>15</v>
      </c>
      <c r="R52" s="250" t="e">
        <f>ROUND(Tableau1[[#This Row],[LEN]]*#REF!+#REF!,0)</f>
        <v>#REF!</v>
      </c>
    </row>
    <row r="53" spans="1:18" hidden="1" x14ac:dyDescent="0.25">
      <c r="A53" s="14" t="s">
        <v>946</v>
      </c>
      <c r="B53" s="15" t="s">
        <v>223</v>
      </c>
      <c r="C53" s="419" t="s">
        <v>2148</v>
      </c>
      <c r="D53" s="8" t="s">
        <v>64</v>
      </c>
      <c r="E53" s="67" t="s">
        <v>1177</v>
      </c>
      <c r="F53" s="16" t="s">
        <v>662</v>
      </c>
      <c r="G53" s="8" t="s">
        <v>1956</v>
      </c>
      <c r="H53" s="67" t="s">
        <v>70</v>
      </c>
      <c r="I53" s="67" t="s">
        <v>17</v>
      </c>
      <c r="J53" s="8"/>
      <c r="K53" s="9" t="s">
        <v>708</v>
      </c>
      <c r="L53" s="9" t="str">
        <f t="shared" si="0"/>
        <v>_</v>
      </c>
      <c r="M53" s="105">
        <f>ROUND(Tableau1[[#This Row],[LEN]]*7.27,0)</f>
        <v>291</v>
      </c>
      <c r="N53" s="105">
        <v>15</v>
      </c>
      <c r="O53" s="123" t="str">
        <f t="shared" si="1"/>
        <v>_self</v>
      </c>
      <c r="P53" s="105">
        <f>LEN(Tableau1[[#This Row],[LABEL]])</f>
        <v>40</v>
      </c>
      <c r="Q53" s="105">
        <v>15</v>
      </c>
      <c r="R53" s="105" t="e">
        <f>ROUND(Tableau1[[#This Row],[LEN]]*#REF!+#REF!,0)</f>
        <v>#REF!</v>
      </c>
    </row>
    <row r="54" spans="1:18" hidden="1" x14ac:dyDescent="0.25">
      <c r="A54" s="14" t="s">
        <v>947</v>
      </c>
      <c r="B54" s="15" t="s">
        <v>223</v>
      </c>
      <c r="C54" s="419" t="s">
        <v>2148</v>
      </c>
      <c r="D54" s="8" t="s">
        <v>65</v>
      </c>
      <c r="E54" s="67" t="s">
        <v>1177</v>
      </c>
      <c r="F54" s="16" t="s">
        <v>662</v>
      </c>
      <c r="G54" s="8" t="s">
        <v>1957</v>
      </c>
      <c r="H54" s="67" t="s">
        <v>70</v>
      </c>
      <c r="I54" s="67" t="s">
        <v>17</v>
      </c>
      <c r="J54" s="8"/>
      <c r="K54" s="9" t="s">
        <v>708</v>
      </c>
      <c r="L54" s="9" t="str">
        <f t="shared" si="0"/>
        <v>_</v>
      </c>
      <c r="M54" s="105">
        <f>ROUND(Tableau1[[#This Row],[LEN]]*7.27,0)</f>
        <v>291</v>
      </c>
      <c r="N54" s="105">
        <v>15</v>
      </c>
      <c r="O54" s="123" t="str">
        <f t="shared" si="1"/>
        <v>_self</v>
      </c>
      <c r="P54" s="105">
        <f>LEN(Tableau1[[#This Row],[LABEL]])</f>
        <v>40</v>
      </c>
      <c r="Q54" s="105">
        <v>15</v>
      </c>
      <c r="R54" s="105" t="e">
        <f>ROUND(Tableau1[[#This Row],[LEN]]*#REF!+#REF!,0)</f>
        <v>#REF!</v>
      </c>
    </row>
    <row r="55" spans="1:18" s="92" customFormat="1" hidden="1" x14ac:dyDescent="0.25">
      <c r="A55" s="245" t="s">
        <v>225</v>
      </c>
      <c r="B55" s="246" t="s">
        <v>204</v>
      </c>
      <c r="C55" s="419" t="s">
        <v>2148</v>
      </c>
      <c r="D55" s="247" t="s">
        <v>12</v>
      </c>
      <c r="E55" s="248" t="s">
        <v>1177</v>
      </c>
      <c r="F55" s="247" t="s">
        <v>675</v>
      </c>
      <c r="G55" s="247" t="s">
        <v>1177</v>
      </c>
      <c r="H55" s="248" t="s">
        <v>70</v>
      </c>
      <c r="I55" s="248" t="str">
        <f>IFERROR(IF(SEARCH(".00.00.00.00.00",Tableau1[[#This Row],[name]],1)=7,"Division",""),"")</f>
        <v>Division</v>
      </c>
      <c r="J55" s="247"/>
      <c r="K55" s="249" t="s">
        <v>721</v>
      </c>
      <c r="L55" s="249" t="str">
        <f t="shared" si="0"/>
        <v>Documentation</v>
      </c>
      <c r="M55" s="250">
        <f>ROUND(Tableau1[[#This Row],[LEN]]*7.27,0)</f>
        <v>15</v>
      </c>
      <c r="N55" s="250">
        <v>15</v>
      </c>
      <c r="O55" s="251" t="str">
        <f t="shared" si="1"/>
        <v>_blank</v>
      </c>
      <c r="P55" s="250">
        <f>LEN(Tableau1[[#This Row],[LABEL]])</f>
        <v>2</v>
      </c>
      <c r="Q55" s="250">
        <v>15</v>
      </c>
      <c r="R55" s="250" t="e">
        <f>ROUND(Tableau1[[#This Row],[LEN]]*#REF!+#REF!,0)</f>
        <v>#REF!</v>
      </c>
    </row>
    <row r="56" spans="1:18" hidden="1" x14ac:dyDescent="0.25">
      <c r="A56" s="14" t="s">
        <v>950</v>
      </c>
      <c r="B56" s="14" t="s">
        <v>225</v>
      </c>
      <c r="C56" s="419" t="s">
        <v>2148</v>
      </c>
      <c r="D56" s="8" t="s">
        <v>65</v>
      </c>
      <c r="E56" s="67" t="s">
        <v>1177</v>
      </c>
      <c r="F56" s="16" t="s">
        <v>662</v>
      </c>
      <c r="G56" s="8" t="s">
        <v>1957</v>
      </c>
      <c r="H56" s="67" t="s">
        <v>70</v>
      </c>
      <c r="I56" s="67" t="s">
        <v>17</v>
      </c>
      <c r="J56" s="8"/>
      <c r="K56" s="9" t="s">
        <v>708</v>
      </c>
      <c r="L56" s="9" t="str">
        <f t="shared" si="0"/>
        <v>_</v>
      </c>
      <c r="M56" s="105">
        <f>ROUND(Tableau1[[#This Row],[LEN]]*7.27,0)</f>
        <v>291</v>
      </c>
      <c r="N56" s="105">
        <v>15</v>
      </c>
      <c r="O56" s="123" t="str">
        <f t="shared" si="1"/>
        <v>_self</v>
      </c>
      <c r="P56" s="105">
        <f>LEN(Tableau1[[#This Row],[LABEL]])</f>
        <v>40</v>
      </c>
      <c r="Q56" s="105">
        <v>15</v>
      </c>
      <c r="R56" s="105" t="e">
        <f>ROUND(Tableau1[[#This Row],[LEN]]*#REF!+#REF!,0)</f>
        <v>#REF!</v>
      </c>
    </row>
    <row r="57" spans="1:18" hidden="1" x14ac:dyDescent="0.25">
      <c r="A57" s="14" t="s">
        <v>951</v>
      </c>
      <c r="B57" s="14" t="s">
        <v>225</v>
      </c>
      <c r="C57" s="419" t="s">
        <v>2148</v>
      </c>
      <c r="D57" s="16" t="s">
        <v>72</v>
      </c>
      <c r="E57" s="67" t="s">
        <v>1177</v>
      </c>
      <c r="F57" s="16" t="s">
        <v>662</v>
      </c>
      <c r="G57" s="8" t="s">
        <v>2075</v>
      </c>
      <c r="H57" s="67" t="s">
        <v>70</v>
      </c>
      <c r="I57" s="67" t="s">
        <v>654</v>
      </c>
      <c r="J57" s="8"/>
      <c r="K57" s="9" t="s">
        <v>708</v>
      </c>
      <c r="L57" s="9" t="str">
        <f t="shared" si="0"/>
        <v>_</v>
      </c>
      <c r="M57" s="105">
        <f>ROUND(Tableau1[[#This Row],[LEN]]*7.27,0)</f>
        <v>400</v>
      </c>
      <c r="N57" s="105">
        <v>15</v>
      </c>
      <c r="O57" s="123" t="str">
        <f t="shared" si="1"/>
        <v>_self</v>
      </c>
      <c r="P57" s="105">
        <f>LEN(Tableau1[[#This Row],[LABEL]])</f>
        <v>55</v>
      </c>
      <c r="Q57" s="105">
        <v>15</v>
      </c>
      <c r="R57" s="105" t="e">
        <f>ROUND(Tableau1[[#This Row],[LEN]]*#REF!+#REF!,0)</f>
        <v>#REF!</v>
      </c>
    </row>
    <row r="58" spans="1:18" s="92" customFormat="1" hidden="1" x14ac:dyDescent="0.25">
      <c r="A58" s="245" t="s">
        <v>228</v>
      </c>
      <c r="B58" s="246" t="s">
        <v>204</v>
      </c>
      <c r="C58" s="419" t="s">
        <v>2148</v>
      </c>
      <c r="D58" s="247" t="s">
        <v>14</v>
      </c>
      <c r="E58" s="248" t="s">
        <v>1177</v>
      </c>
      <c r="F58" s="247" t="s">
        <v>678</v>
      </c>
      <c r="G58" s="247" t="s">
        <v>1177</v>
      </c>
      <c r="H58" s="248" t="s">
        <v>70</v>
      </c>
      <c r="I58" s="248" t="str">
        <f>IFERROR(IF(SEARCH(".00.00.00.00.00",Tableau1[[#This Row],[name]],1)=7,"Division",""),"")</f>
        <v>Division</v>
      </c>
      <c r="J58" s="247"/>
      <c r="K58" s="249" t="s">
        <v>724</v>
      </c>
      <c r="L58" s="249" t="str">
        <f t="shared" si="0"/>
        <v>Documentation</v>
      </c>
      <c r="M58" s="250">
        <f>ROUND(Tableau1[[#This Row],[LEN]]*7.27,0)</f>
        <v>240</v>
      </c>
      <c r="N58" s="250">
        <v>15</v>
      </c>
      <c r="O58" s="251" t="str">
        <f t="shared" si="1"/>
        <v>_blank</v>
      </c>
      <c r="P58" s="250">
        <f>LEN(Tableau1[[#This Row],[LABEL]])</f>
        <v>33</v>
      </c>
      <c r="Q58" s="250">
        <v>15</v>
      </c>
      <c r="R58" s="250" t="e">
        <f>ROUND(Tableau1[[#This Row],[LEN]]*#REF!+#REF!,0)</f>
        <v>#REF!</v>
      </c>
    </row>
    <row r="59" spans="1:18" hidden="1" x14ac:dyDescent="0.25">
      <c r="A59" s="14" t="s">
        <v>952</v>
      </c>
      <c r="B59" s="14" t="s">
        <v>228</v>
      </c>
      <c r="C59" s="419" t="s">
        <v>2148</v>
      </c>
      <c r="D59" s="8" t="s">
        <v>64</v>
      </c>
      <c r="E59" s="67" t="s">
        <v>1177</v>
      </c>
      <c r="F59" s="16" t="s">
        <v>662</v>
      </c>
      <c r="G59" s="8" t="s">
        <v>1956</v>
      </c>
      <c r="H59" s="67" t="s">
        <v>70</v>
      </c>
      <c r="I59" s="67" t="s">
        <v>17</v>
      </c>
      <c r="J59" s="8"/>
      <c r="K59" s="9" t="s">
        <v>708</v>
      </c>
      <c r="L59" s="9" t="str">
        <f t="shared" si="0"/>
        <v>_</v>
      </c>
      <c r="M59" s="105">
        <f>ROUND(Tableau1[[#This Row],[LEN]]*7.27,0)</f>
        <v>291</v>
      </c>
      <c r="N59" s="105">
        <v>15</v>
      </c>
      <c r="O59" s="123" t="str">
        <f t="shared" si="1"/>
        <v>_self</v>
      </c>
      <c r="P59" s="105">
        <f>LEN(Tableau1[[#This Row],[LABEL]])</f>
        <v>40</v>
      </c>
      <c r="Q59" s="105">
        <v>15</v>
      </c>
      <c r="R59" s="105" t="e">
        <f>ROUND(Tableau1[[#This Row],[LEN]]*#REF!+#REF!,0)</f>
        <v>#REF!</v>
      </c>
    </row>
    <row r="60" spans="1:18" hidden="1" x14ac:dyDescent="0.25">
      <c r="A60" s="14" t="s">
        <v>953</v>
      </c>
      <c r="B60" s="14" t="s">
        <v>228</v>
      </c>
      <c r="C60" s="419" t="s">
        <v>2148</v>
      </c>
      <c r="D60" s="16" t="s">
        <v>927</v>
      </c>
      <c r="E60" s="67" t="s">
        <v>1177</v>
      </c>
      <c r="F60" s="16" t="s">
        <v>667</v>
      </c>
      <c r="G60" s="16" t="s">
        <v>2076</v>
      </c>
      <c r="H60" s="67" t="s">
        <v>70</v>
      </c>
      <c r="I60" s="67" t="s">
        <v>656</v>
      </c>
      <c r="J60" s="8"/>
      <c r="K60" s="9" t="s">
        <v>708</v>
      </c>
      <c r="L60" s="9" t="str">
        <f t="shared" si="0"/>
        <v>_</v>
      </c>
      <c r="M60" s="105">
        <f>ROUND(Tableau1[[#This Row],[LEN]]*7.27,0)</f>
        <v>298</v>
      </c>
      <c r="N60" s="105">
        <v>15</v>
      </c>
      <c r="O60" s="123" t="str">
        <f t="shared" si="1"/>
        <v>_self</v>
      </c>
      <c r="P60" s="105">
        <f>LEN(Tableau1[[#This Row],[LABEL]])</f>
        <v>41</v>
      </c>
      <c r="Q60" s="105">
        <v>15</v>
      </c>
      <c r="R60" s="105" t="e">
        <f>ROUND(Tableau1[[#This Row],[LEN]]*#REF!+#REF!,0)</f>
        <v>#REF!</v>
      </c>
    </row>
    <row r="61" spans="1:18" hidden="1" x14ac:dyDescent="0.25">
      <c r="A61" s="14" t="s">
        <v>954</v>
      </c>
      <c r="B61" s="14" t="s">
        <v>228</v>
      </c>
      <c r="C61" s="419" t="s">
        <v>2148</v>
      </c>
      <c r="D61" s="8" t="s">
        <v>65</v>
      </c>
      <c r="E61" s="67" t="s">
        <v>1177</v>
      </c>
      <c r="F61" s="16" t="s">
        <v>662</v>
      </c>
      <c r="G61" s="8" t="s">
        <v>1957</v>
      </c>
      <c r="H61" s="67" t="s">
        <v>70</v>
      </c>
      <c r="I61" s="67" t="s">
        <v>17</v>
      </c>
      <c r="J61" s="8"/>
      <c r="K61" s="9" t="s">
        <v>708</v>
      </c>
      <c r="L61" s="9" t="str">
        <f t="shared" si="0"/>
        <v>_</v>
      </c>
      <c r="M61" s="105">
        <f>ROUND(Tableau1[[#This Row],[LEN]]*7.27,0)</f>
        <v>291</v>
      </c>
      <c r="N61" s="105">
        <v>15</v>
      </c>
      <c r="O61" s="123" t="str">
        <f t="shared" si="1"/>
        <v>_self</v>
      </c>
      <c r="P61" s="105">
        <f>LEN(Tableau1[[#This Row],[LABEL]])</f>
        <v>40</v>
      </c>
      <c r="Q61" s="105">
        <v>15</v>
      </c>
      <c r="R61" s="105" t="e">
        <f>ROUND(Tableau1[[#This Row],[LEN]]*#REF!+#REF!,0)</f>
        <v>#REF!</v>
      </c>
    </row>
    <row r="62" spans="1:18" hidden="1" x14ac:dyDescent="0.25">
      <c r="A62" s="14" t="s">
        <v>955</v>
      </c>
      <c r="B62" s="14" t="s">
        <v>228</v>
      </c>
      <c r="C62" s="419" t="s">
        <v>2148</v>
      </c>
      <c r="D62" s="16" t="s">
        <v>72</v>
      </c>
      <c r="E62" s="67" t="s">
        <v>1177</v>
      </c>
      <c r="F62" s="16" t="s">
        <v>662</v>
      </c>
      <c r="G62" s="8" t="s">
        <v>2075</v>
      </c>
      <c r="H62" s="67" t="s">
        <v>70</v>
      </c>
      <c r="I62" s="67" t="s">
        <v>654</v>
      </c>
      <c r="J62" s="8"/>
      <c r="K62" s="9" t="s">
        <v>708</v>
      </c>
      <c r="L62" s="9" t="str">
        <f t="shared" si="0"/>
        <v>_</v>
      </c>
      <c r="M62" s="105">
        <f>ROUND(Tableau1[[#This Row],[LEN]]*7.27,0)</f>
        <v>400</v>
      </c>
      <c r="N62" s="105">
        <v>15</v>
      </c>
      <c r="O62" s="123" t="str">
        <f t="shared" si="1"/>
        <v>_self</v>
      </c>
      <c r="P62" s="105">
        <f>LEN(Tableau1[[#This Row],[LABEL]])</f>
        <v>55</v>
      </c>
      <c r="Q62" s="105">
        <v>15</v>
      </c>
      <c r="R62" s="105" t="e">
        <f>ROUND(Tableau1[[#This Row],[LEN]]*#REF!+#REF!,0)</f>
        <v>#REF!</v>
      </c>
    </row>
    <row r="63" spans="1:18" hidden="1" x14ac:dyDescent="0.25">
      <c r="A63" s="14" t="s">
        <v>956</v>
      </c>
      <c r="B63" s="14" t="s">
        <v>228</v>
      </c>
      <c r="C63" s="419" t="s">
        <v>2148</v>
      </c>
      <c r="D63" s="16" t="s">
        <v>930</v>
      </c>
      <c r="E63" s="67" t="s">
        <v>1177</v>
      </c>
      <c r="F63" s="16" t="s">
        <v>678</v>
      </c>
      <c r="G63" s="16" t="s">
        <v>1177</v>
      </c>
      <c r="H63" s="67" t="s">
        <v>70</v>
      </c>
      <c r="I63" s="67" t="s">
        <v>654</v>
      </c>
      <c r="J63" s="8"/>
      <c r="K63" s="9" t="s">
        <v>706</v>
      </c>
      <c r="L63" s="9" t="str">
        <f t="shared" si="0"/>
        <v>Documentation</v>
      </c>
      <c r="M63" s="105">
        <f>ROUND(Tableau1[[#This Row],[LEN]]*7.27,0)</f>
        <v>465</v>
      </c>
      <c r="N63" s="105">
        <v>15</v>
      </c>
      <c r="O63" s="123" t="str">
        <f t="shared" si="1"/>
        <v>_blank</v>
      </c>
      <c r="P63" s="105">
        <f>LEN(Tableau1[[#This Row],[LABEL]])</f>
        <v>64</v>
      </c>
      <c r="Q63" s="105">
        <v>15</v>
      </c>
      <c r="R63" s="105" t="e">
        <f>ROUND(Tableau1[[#This Row],[LEN]]*#REF!+#REF!,0)</f>
        <v>#REF!</v>
      </c>
    </row>
    <row r="64" spans="1:18" s="92" customFormat="1" hidden="1" x14ac:dyDescent="0.25">
      <c r="A64" s="245" t="s">
        <v>229</v>
      </c>
      <c r="B64" s="246" t="s">
        <v>204</v>
      </c>
      <c r="C64" s="419" t="s">
        <v>2148</v>
      </c>
      <c r="D64" s="247" t="s">
        <v>1950</v>
      </c>
      <c r="E64" s="248" t="s">
        <v>1177</v>
      </c>
      <c r="F64" s="247" t="s">
        <v>1951</v>
      </c>
      <c r="G64" s="247" t="s">
        <v>1177</v>
      </c>
      <c r="H64" s="248" t="s">
        <v>70</v>
      </c>
      <c r="I64" s="248" t="s">
        <v>56</v>
      </c>
      <c r="J64" s="247"/>
      <c r="K64" s="249" t="s">
        <v>708</v>
      </c>
      <c r="L64" s="249" t="str">
        <f t="shared" si="0"/>
        <v>_</v>
      </c>
      <c r="M64" s="250">
        <f>ROUND(Tableau1[[#This Row],[LEN]]*7.27,0)</f>
        <v>51</v>
      </c>
      <c r="N64" s="250">
        <v>15</v>
      </c>
      <c r="O64" s="251" t="str">
        <f t="shared" si="1"/>
        <v>_self</v>
      </c>
      <c r="P64" s="250">
        <f>LEN(Tableau1[[#This Row],[LABEL]])</f>
        <v>7</v>
      </c>
      <c r="Q64" s="250">
        <v>15</v>
      </c>
      <c r="R64" s="250" t="e">
        <f>ROUND(Tableau1[[#This Row],[LEN]]*#REF!+#REF!,0)</f>
        <v>#REF!</v>
      </c>
    </row>
    <row r="65" spans="1:18" hidden="1" x14ac:dyDescent="0.25">
      <c r="A65" s="14" t="s">
        <v>1952</v>
      </c>
      <c r="B65" s="14" t="s">
        <v>229</v>
      </c>
      <c r="C65" s="419" t="s">
        <v>2148</v>
      </c>
      <c r="D65" s="8" t="s">
        <v>64</v>
      </c>
      <c r="E65" s="67" t="s">
        <v>1177</v>
      </c>
      <c r="F65" s="16" t="s">
        <v>662</v>
      </c>
      <c r="G65" s="8" t="s">
        <v>1956</v>
      </c>
      <c r="H65" s="67" t="s">
        <v>70</v>
      </c>
      <c r="I65" s="67" t="s">
        <v>17</v>
      </c>
      <c r="J65" s="8"/>
      <c r="K65" s="9" t="s">
        <v>708</v>
      </c>
      <c r="L65" s="9" t="str">
        <f t="shared" si="0"/>
        <v>_</v>
      </c>
      <c r="M65" s="105">
        <f>ROUND(Tableau1[[#This Row],[LEN]]*7.27,0)</f>
        <v>291</v>
      </c>
      <c r="N65" s="105">
        <v>15</v>
      </c>
      <c r="O65" s="123" t="str">
        <f t="shared" si="1"/>
        <v>_self</v>
      </c>
      <c r="P65" s="105">
        <f>LEN(Tableau1[[#This Row],[LABEL]])</f>
        <v>40</v>
      </c>
      <c r="Q65" s="105">
        <v>15</v>
      </c>
      <c r="R65" s="105" t="e">
        <f>ROUND(Tableau1[[#This Row],[LEN]]*#REF!+#REF!,0)</f>
        <v>#REF!</v>
      </c>
    </row>
    <row r="66" spans="1:18" hidden="1" x14ac:dyDescent="0.25">
      <c r="A66" s="14" t="s">
        <v>1953</v>
      </c>
      <c r="B66" s="14" t="s">
        <v>229</v>
      </c>
      <c r="C66" s="419" t="s">
        <v>2148</v>
      </c>
      <c r="D66" s="8" t="s">
        <v>65</v>
      </c>
      <c r="E66" s="67" t="s">
        <v>1177</v>
      </c>
      <c r="F66" s="16" t="s">
        <v>662</v>
      </c>
      <c r="G66" s="8" t="s">
        <v>1957</v>
      </c>
      <c r="H66" s="67" t="s">
        <v>70</v>
      </c>
      <c r="I66" s="67" t="s">
        <v>17</v>
      </c>
      <c r="J66" s="8"/>
      <c r="K66" s="9" t="s">
        <v>708</v>
      </c>
      <c r="L66" s="9" t="str">
        <f t="shared" ref="L66:L132" si="2">IF(K66="javascript:void(0)","_","Documentation")</f>
        <v>_</v>
      </c>
      <c r="M66" s="105">
        <f>ROUND(Tableau1[[#This Row],[LEN]]*7.27,0)</f>
        <v>291</v>
      </c>
      <c r="N66" s="105">
        <v>15</v>
      </c>
      <c r="O66" s="123" t="str">
        <f t="shared" si="1"/>
        <v>_self</v>
      </c>
      <c r="P66" s="105">
        <f>LEN(Tableau1[[#This Row],[LABEL]])</f>
        <v>40</v>
      </c>
      <c r="Q66" s="105">
        <v>15</v>
      </c>
      <c r="R66" s="105" t="e">
        <f>ROUND(Tableau1[[#This Row],[LEN]]*#REF!+#REF!,0)</f>
        <v>#REF!</v>
      </c>
    </row>
    <row r="67" spans="1:18" hidden="1" x14ac:dyDescent="0.25">
      <c r="A67" s="14" t="s">
        <v>1954</v>
      </c>
      <c r="B67" s="14" t="s">
        <v>229</v>
      </c>
      <c r="C67" s="419" t="s">
        <v>2148</v>
      </c>
      <c r="D67" s="16" t="s">
        <v>1958</v>
      </c>
      <c r="E67" s="67" t="s">
        <v>1177</v>
      </c>
      <c r="F67" s="16" t="s">
        <v>1951</v>
      </c>
      <c r="G67" s="16" t="s">
        <v>1177</v>
      </c>
      <c r="H67" s="67" t="s">
        <v>70</v>
      </c>
      <c r="I67" s="67" t="s">
        <v>570</v>
      </c>
      <c r="J67" s="8"/>
      <c r="K67" s="9" t="s">
        <v>708</v>
      </c>
      <c r="L67" s="9" t="str">
        <f t="shared" si="2"/>
        <v>_</v>
      </c>
      <c r="M67" s="105">
        <f>ROUND(Tableau1[[#This Row],[LEN]]*7.27,0)</f>
        <v>320</v>
      </c>
      <c r="N67" s="105">
        <v>15</v>
      </c>
      <c r="O67" s="123" t="str">
        <f t="shared" ref="O67:O133" si="3">IF(K67="javascript:void(0)","_self","_blank")</f>
        <v>_self</v>
      </c>
      <c r="P67" s="105">
        <f>LEN(Tableau1[[#This Row],[LABEL]])</f>
        <v>44</v>
      </c>
      <c r="Q67" s="105">
        <v>15</v>
      </c>
      <c r="R67" s="105" t="e">
        <f>ROUND(Tableau1[[#This Row],[LEN]]*#REF!+#REF!,0)</f>
        <v>#REF!</v>
      </c>
    </row>
    <row r="68" spans="1:18" hidden="1" x14ac:dyDescent="0.25">
      <c r="A68" s="14" t="s">
        <v>1955</v>
      </c>
      <c r="B68" s="14" t="s">
        <v>229</v>
      </c>
      <c r="C68" s="419" t="s">
        <v>2148</v>
      </c>
      <c r="D68" s="16" t="s">
        <v>72</v>
      </c>
      <c r="E68" s="67" t="s">
        <v>1177</v>
      </c>
      <c r="F68" s="16" t="s">
        <v>662</v>
      </c>
      <c r="G68" s="8" t="s">
        <v>2075</v>
      </c>
      <c r="H68" s="67" t="s">
        <v>70</v>
      </c>
      <c r="I68" s="67" t="s">
        <v>654</v>
      </c>
      <c r="J68" s="8"/>
      <c r="K68" s="9" t="s">
        <v>708</v>
      </c>
      <c r="L68" s="9" t="str">
        <f t="shared" si="2"/>
        <v>_</v>
      </c>
      <c r="M68" s="105">
        <f>ROUND(Tableau1[[#This Row],[LEN]]*7.27,0)</f>
        <v>400</v>
      </c>
      <c r="N68" s="105">
        <v>15</v>
      </c>
      <c r="O68" s="123" t="str">
        <f t="shared" si="3"/>
        <v>_self</v>
      </c>
      <c r="P68" s="105">
        <f>LEN(Tableau1[[#This Row],[LABEL]])</f>
        <v>55</v>
      </c>
      <c r="Q68" s="105">
        <v>15</v>
      </c>
      <c r="R68" s="105" t="e">
        <f>ROUND(Tableau1[[#This Row],[LEN]]*#REF!+#REF!,0)</f>
        <v>#REF!</v>
      </c>
    </row>
    <row r="69" spans="1:18" ht="15.75" hidden="1" thickBot="1" x14ac:dyDescent="0.3">
      <c r="A69" s="163" t="s">
        <v>205</v>
      </c>
      <c r="B69" s="163" t="s">
        <v>198</v>
      </c>
      <c r="C69" s="423"/>
      <c r="D69" s="164" t="s">
        <v>173</v>
      </c>
      <c r="E69" s="165" t="s">
        <v>185</v>
      </c>
      <c r="F69" s="164" t="s">
        <v>1177</v>
      </c>
      <c r="G69" s="165" t="s">
        <v>1177</v>
      </c>
      <c r="H69" s="164" t="s">
        <v>167</v>
      </c>
      <c r="I69" s="164" t="s">
        <v>616</v>
      </c>
      <c r="J69" s="165"/>
      <c r="K69" s="166" t="s">
        <v>708</v>
      </c>
      <c r="L69" s="166" t="str">
        <f t="shared" si="2"/>
        <v>_</v>
      </c>
      <c r="M69" s="167">
        <f>ROUND(Tableau1[[#This Row],[LEN]]*7.27,0)</f>
        <v>58</v>
      </c>
      <c r="N69" s="167">
        <v>15</v>
      </c>
      <c r="O69" s="168" t="str">
        <f t="shared" si="3"/>
        <v>_self</v>
      </c>
      <c r="P69" s="167">
        <f>LEN(Tableau1[[#This Row],[LABEL]])</f>
        <v>8</v>
      </c>
      <c r="Q69" s="169">
        <v>15</v>
      </c>
      <c r="R69" s="169" t="e">
        <f>ROUND(Tableau1[[#This Row],[LEN]]*#REF!+#REF!,0)</f>
        <v>#REF!</v>
      </c>
    </row>
    <row r="70" spans="1:18" s="92" customFormat="1" hidden="1" x14ac:dyDescent="0.25">
      <c r="A70" s="266" t="s">
        <v>231</v>
      </c>
      <c r="B70" s="267" t="s">
        <v>205</v>
      </c>
      <c r="C70" s="420" t="s">
        <v>2149</v>
      </c>
      <c r="D70" s="268" t="s">
        <v>57</v>
      </c>
      <c r="E70" s="269" t="s">
        <v>1177</v>
      </c>
      <c r="F70" s="268" t="s">
        <v>663</v>
      </c>
      <c r="G70" s="268" t="s">
        <v>1177</v>
      </c>
      <c r="H70" s="269" t="s">
        <v>167</v>
      </c>
      <c r="I70" s="269" t="str">
        <f>IFERROR(IF(SEARCH(".00.00.00.00.00",Tableau1[[#This Row],[name]],1)=7,"Division",""),"")</f>
        <v>Division</v>
      </c>
      <c r="J70" s="268"/>
      <c r="K70" s="270" t="s">
        <v>708</v>
      </c>
      <c r="L70" s="270" t="str">
        <f t="shared" si="2"/>
        <v>_</v>
      </c>
      <c r="M70" s="271">
        <f>ROUND(Tableau1[[#This Row],[LEN]]*7.27,0)</f>
        <v>102</v>
      </c>
      <c r="N70" s="271">
        <v>15</v>
      </c>
      <c r="O70" s="272" t="str">
        <f t="shared" si="3"/>
        <v>_self</v>
      </c>
      <c r="P70" s="271">
        <f>LEN(Tableau1[[#This Row],[LABEL]])</f>
        <v>14</v>
      </c>
      <c r="Q70" s="271">
        <v>15</v>
      </c>
      <c r="R70" s="271" t="e">
        <f>ROUND(Tableau1[[#This Row],[LEN]]*#REF!+#REF!,0)</f>
        <v>#REF!</v>
      </c>
    </row>
    <row r="71" spans="1:18" s="97" customFormat="1" hidden="1" x14ac:dyDescent="0.25">
      <c r="A71" s="17" t="s">
        <v>749</v>
      </c>
      <c r="B71" s="18" t="s">
        <v>231</v>
      </c>
      <c r="C71" s="420" t="s">
        <v>2149</v>
      </c>
      <c r="D71" s="19" t="s">
        <v>755</v>
      </c>
      <c r="E71" s="68" t="s">
        <v>1177</v>
      </c>
      <c r="F71" s="19" t="s">
        <v>663</v>
      </c>
      <c r="G71" s="19" t="s">
        <v>1177</v>
      </c>
      <c r="H71" s="68" t="s">
        <v>167</v>
      </c>
      <c r="I71" s="68" t="s">
        <v>570</v>
      </c>
      <c r="J71" s="19"/>
      <c r="K71" s="20" t="s">
        <v>708</v>
      </c>
      <c r="L71" s="20" t="str">
        <f t="shared" si="2"/>
        <v>_</v>
      </c>
      <c r="M71" s="107">
        <f>ROUND(Tableau1[[#This Row],[LEN]]*7.27,0)</f>
        <v>254</v>
      </c>
      <c r="N71" s="107">
        <v>15</v>
      </c>
      <c r="O71" s="125" t="str">
        <f t="shared" si="3"/>
        <v>_self</v>
      </c>
      <c r="P71" s="107">
        <f>LEN(Tableau1[[#This Row],[LABEL]])</f>
        <v>35</v>
      </c>
      <c r="Q71" s="107">
        <v>15</v>
      </c>
      <c r="R71" s="107" t="e">
        <f>ROUND(Tableau1[[#This Row],[LEN]]*#REF!+#REF!,0)</f>
        <v>#REF!</v>
      </c>
    </row>
    <row r="72" spans="1:18" s="97" customFormat="1" hidden="1" x14ac:dyDescent="0.25">
      <c r="A72" s="17" t="s">
        <v>750</v>
      </c>
      <c r="B72" s="18" t="s">
        <v>231</v>
      </c>
      <c r="C72" s="420" t="s">
        <v>2149</v>
      </c>
      <c r="D72" s="19" t="s">
        <v>756</v>
      </c>
      <c r="E72" s="68" t="s">
        <v>1177</v>
      </c>
      <c r="F72" s="19" t="s">
        <v>663</v>
      </c>
      <c r="G72" s="19" t="s">
        <v>1177</v>
      </c>
      <c r="H72" s="68" t="s">
        <v>167</v>
      </c>
      <c r="I72" s="68" t="s">
        <v>654</v>
      </c>
      <c r="J72" s="19"/>
      <c r="K72" s="20" t="s">
        <v>708</v>
      </c>
      <c r="L72" s="20" t="str">
        <f t="shared" si="2"/>
        <v>_</v>
      </c>
      <c r="M72" s="107">
        <f>ROUND(Tableau1[[#This Row],[LEN]]*7.27,0)</f>
        <v>131</v>
      </c>
      <c r="N72" s="107">
        <v>15</v>
      </c>
      <c r="O72" s="125" t="str">
        <f t="shared" si="3"/>
        <v>_self</v>
      </c>
      <c r="P72" s="107">
        <f>LEN(Tableau1[[#This Row],[LABEL]])</f>
        <v>18</v>
      </c>
      <c r="Q72" s="107">
        <v>15</v>
      </c>
      <c r="R72" s="107" t="e">
        <f>ROUND(Tableau1[[#This Row],[LEN]]*#REF!+#REF!,0)</f>
        <v>#REF!</v>
      </c>
    </row>
    <row r="73" spans="1:18" s="97" customFormat="1" hidden="1" x14ac:dyDescent="0.25">
      <c r="A73" s="17" t="s">
        <v>751</v>
      </c>
      <c r="B73" s="18" t="s">
        <v>231</v>
      </c>
      <c r="C73" s="420" t="s">
        <v>2149</v>
      </c>
      <c r="D73" s="19" t="s">
        <v>757</v>
      </c>
      <c r="E73" s="68" t="s">
        <v>1177</v>
      </c>
      <c r="F73" s="19" t="s">
        <v>663</v>
      </c>
      <c r="G73" s="19" t="s">
        <v>1177</v>
      </c>
      <c r="H73" s="68" t="s">
        <v>167</v>
      </c>
      <c r="I73" s="68" t="s">
        <v>656</v>
      </c>
      <c r="J73" s="19"/>
      <c r="K73" s="20" t="s">
        <v>708</v>
      </c>
      <c r="L73" s="20" t="str">
        <f t="shared" si="2"/>
        <v>_</v>
      </c>
      <c r="M73" s="107">
        <f>ROUND(Tableau1[[#This Row],[LEN]]*7.27,0)</f>
        <v>298</v>
      </c>
      <c r="N73" s="107">
        <v>15</v>
      </c>
      <c r="O73" s="125" t="str">
        <f t="shared" si="3"/>
        <v>_self</v>
      </c>
      <c r="P73" s="107">
        <f>LEN(Tableau1[[#This Row],[LABEL]])</f>
        <v>41</v>
      </c>
      <c r="Q73" s="107">
        <v>15</v>
      </c>
      <c r="R73" s="107" t="e">
        <f>ROUND(Tableau1[[#This Row],[LEN]]*#REF!+#REF!,0)</f>
        <v>#REF!</v>
      </c>
    </row>
    <row r="74" spans="1:18" s="97" customFormat="1" hidden="1" x14ac:dyDescent="0.25">
      <c r="A74" s="17" t="s">
        <v>752</v>
      </c>
      <c r="B74" s="18" t="s">
        <v>231</v>
      </c>
      <c r="C74" s="420" t="s">
        <v>2149</v>
      </c>
      <c r="D74" s="19" t="s">
        <v>758</v>
      </c>
      <c r="E74" s="68" t="s">
        <v>1177</v>
      </c>
      <c r="F74" s="19" t="s">
        <v>663</v>
      </c>
      <c r="G74" s="19" t="s">
        <v>1177</v>
      </c>
      <c r="H74" s="68" t="s">
        <v>167</v>
      </c>
      <c r="I74" s="68" t="s">
        <v>656</v>
      </c>
      <c r="J74" s="19"/>
      <c r="K74" s="20" t="s">
        <v>708</v>
      </c>
      <c r="L74" s="20" t="str">
        <f t="shared" si="2"/>
        <v>_</v>
      </c>
      <c r="M74" s="107">
        <f>ROUND(Tableau1[[#This Row],[LEN]]*7.27,0)</f>
        <v>254</v>
      </c>
      <c r="N74" s="107">
        <v>15</v>
      </c>
      <c r="O74" s="125" t="str">
        <f t="shared" si="3"/>
        <v>_self</v>
      </c>
      <c r="P74" s="107">
        <f>LEN(Tableau1[[#This Row],[LABEL]])</f>
        <v>35</v>
      </c>
      <c r="Q74" s="107">
        <v>15</v>
      </c>
      <c r="R74" s="107" t="e">
        <f>ROUND(Tableau1[[#This Row],[LEN]]*#REF!+#REF!,0)</f>
        <v>#REF!</v>
      </c>
    </row>
    <row r="75" spans="1:18" s="97" customFormat="1" hidden="1" x14ac:dyDescent="0.25">
      <c r="A75" s="17" t="s">
        <v>753</v>
      </c>
      <c r="B75" s="18" t="s">
        <v>231</v>
      </c>
      <c r="C75" s="420" t="s">
        <v>2149</v>
      </c>
      <c r="D75" s="19" t="s">
        <v>759</v>
      </c>
      <c r="E75" s="68" t="s">
        <v>1177</v>
      </c>
      <c r="F75" s="19" t="s">
        <v>663</v>
      </c>
      <c r="G75" s="19" t="s">
        <v>1177</v>
      </c>
      <c r="H75" s="68" t="s">
        <v>167</v>
      </c>
      <c r="I75" s="68" t="s">
        <v>654</v>
      </c>
      <c r="J75" s="19"/>
      <c r="K75" s="20" t="s">
        <v>708</v>
      </c>
      <c r="L75" s="20" t="str">
        <f t="shared" si="2"/>
        <v>_</v>
      </c>
      <c r="M75" s="107">
        <f>ROUND(Tableau1[[#This Row],[LEN]]*7.27,0)</f>
        <v>298</v>
      </c>
      <c r="N75" s="107">
        <v>15</v>
      </c>
      <c r="O75" s="125" t="str">
        <f t="shared" si="3"/>
        <v>_self</v>
      </c>
      <c r="P75" s="107">
        <f>LEN(Tableau1[[#This Row],[LABEL]])</f>
        <v>41</v>
      </c>
      <c r="Q75" s="107">
        <v>15</v>
      </c>
      <c r="R75" s="107" t="e">
        <f>ROUND(Tableau1[[#This Row],[LEN]]*#REF!+#REF!,0)</f>
        <v>#REF!</v>
      </c>
    </row>
    <row r="76" spans="1:18" s="97" customFormat="1" hidden="1" x14ac:dyDescent="0.25">
      <c r="A76" s="17" t="s">
        <v>754</v>
      </c>
      <c r="B76" s="18" t="s">
        <v>231</v>
      </c>
      <c r="C76" s="420" t="s">
        <v>2149</v>
      </c>
      <c r="D76" s="19" t="s">
        <v>110</v>
      </c>
      <c r="E76" s="68" t="s">
        <v>1177</v>
      </c>
      <c r="F76" s="19" t="s">
        <v>1177</v>
      </c>
      <c r="G76" s="19" t="s">
        <v>1084</v>
      </c>
      <c r="H76" s="68" t="s">
        <v>1977</v>
      </c>
      <c r="I76" s="68" t="s">
        <v>1131</v>
      </c>
      <c r="J76" s="19"/>
      <c r="K76" s="20" t="s">
        <v>708</v>
      </c>
      <c r="L76" s="20" t="str">
        <f t="shared" si="2"/>
        <v>_</v>
      </c>
      <c r="M76" s="107">
        <f>ROUND(Tableau1[[#This Row],[LEN]]*7.27,0)</f>
        <v>102</v>
      </c>
      <c r="N76" s="107">
        <v>15</v>
      </c>
      <c r="O76" s="125" t="str">
        <f t="shared" si="3"/>
        <v>_self</v>
      </c>
      <c r="P76" s="107">
        <f>LEN(Tableau1[[#This Row],[LABEL]])</f>
        <v>14</v>
      </c>
      <c r="Q76" s="107">
        <v>15</v>
      </c>
      <c r="R76" s="107" t="e">
        <f>ROUND(Tableau1[[#This Row],[LEN]]*#REF!+#REF!,0)</f>
        <v>#REF!</v>
      </c>
    </row>
    <row r="77" spans="1:18" s="273" customFormat="1" hidden="1" x14ac:dyDescent="0.25">
      <c r="A77" s="266" t="s">
        <v>233</v>
      </c>
      <c r="B77" s="267" t="s">
        <v>205</v>
      </c>
      <c r="C77" s="420" t="s">
        <v>2149</v>
      </c>
      <c r="D77" s="268" t="s">
        <v>3</v>
      </c>
      <c r="E77" s="269" t="s">
        <v>1177</v>
      </c>
      <c r="F77" s="268" t="s">
        <v>661</v>
      </c>
      <c r="G77" s="268" t="s">
        <v>1177</v>
      </c>
      <c r="H77" s="269" t="s">
        <v>167</v>
      </c>
      <c r="I77" s="269" t="str">
        <f>IFERROR(IF(SEARCH(".00.00.00.00.00",Tableau1[[#This Row],[name]],1)=7,"Division",""),"")</f>
        <v>Division</v>
      </c>
      <c r="J77" s="268"/>
      <c r="K77" s="270" t="s">
        <v>708</v>
      </c>
      <c r="L77" s="270" t="str">
        <f t="shared" si="2"/>
        <v>_</v>
      </c>
      <c r="M77" s="271">
        <f>ROUND(Tableau1[[#This Row],[LEN]]*7.27,0)</f>
        <v>73</v>
      </c>
      <c r="N77" s="271">
        <v>15</v>
      </c>
      <c r="O77" s="272" t="str">
        <f t="shared" si="3"/>
        <v>_self</v>
      </c>
      <c r="P77" s="271">
        <f>LEN(Tableau1[[#This Row],[LABEL]])</f>
        <v>10</v>
      </c>
      <c r="Q77" s="271">
        <v>15</v>
      </c>
      <c r="R77" s="271" t="e">
        <f>ROUND(Tableau1[[#This Row],[LEN]]*#REF!+#REF!,0)</f>
        <v>#REF!</v>
      </c>
    </row>
    <row r="78" spans="1:18" s="97" customFormat="1" hidden="1" x14ac:dyDescent="0.25">
      <c r="A78" s="17" t="s">
        <v>368</v>
      </c>
      <c r="B78" s="18" t="s">
        <v>233</v>
      </c>
      <c r="C78" s="420" t="s">
        <v>2149</v>
      </c>
      <c r="D78" s="19" t="s">
        <v>81</v>
      </c>
      <c r="E78" s="68" t="s">
        <v>1177</v>
      </c>
      <c r="F78" s="19" t="s">
        <v>667</v>
      </c>
      <c r="G78" s="19" t="s">
        <v>1963</v>
      </c>
      <c r="H78" s="68" t="s">
        <v>167</v>
      </c>
      <c r="I78" s="68" t="s">
        <v>655</v>
      </c>
      <c r="J78" s="19"/>
      <c r="K78" s="20" t="s">
        <v>708</v>
      </c>
      <c r="L78" s="20" t="str">
        <f t="shared" si="2"/>
        <v>_</v>
      </c>
      <c r="M78" s="107">
        <f>ROUND(Tableau1[[#This Row],[LEN]]*7.27,0)</f>
        <v>73</v>
      </c>
      <c r="N78" s="107">
        <v>15</v>
      </c>
      <c r="O78" s="125" t="str">
        <f t="shared" si="3"/>
        <v>_self</v>
      </c>
      <c r="P78" s="107">
        <f>LEN(Tableau1[[#This Row],[LABEL]])</f>
        <v>10</v>
      </c>
      <c r="Q78" s="107">
        <v>15</v>
      </c>
      <c r="R78" s="107" t="e">
        <f>ROUND(Tableau1[[#This Row],[LEN]]*#REF!+#REF!,0)</f>
        <v>#REF!</v>
      </c>
    </row>
    <row r="79" spans="1:18" s="97" customFormat="1" hidden="1" x14ac:dyDescent="0.25">
      <c r="A79" s="21" t="s">
        <v>373</v>
      </c>
      <c r="B79" s="22" t="s">
        <v>368</v>
      </c>
      <c r="C79" s="420" t="s">
        <v>2149</v>
      </c>
      <c r="D79" s="23" t="s">
        <v>103</v>
      </c>
      <c r="E79" s="69" t="s">
        <v>1177</v>
      </c>
      <c r="F79" s="23" t="s">
        <v>667</v>
      </c>
      <c r="G79" s="23" t="s">
        <v>1963</v>
      </c>
      <c r="H79" s="69" t="s">
        <v>167</v>
      </c>
      <c r="I79" s="69" t="s">
        <v>570</v>
      </c>
      <c r="J79" s="23"/>
      <c r="K79" s="24" t="s">
        <v>708</v>
      </c>
      <c r="L79" s="24" t="str">
        <f t="shared" si="2"/>
        <v>_</v>
      </c>
      <c r="M79" s="108">
        <f>ROUND(Tableau1[[#This Row],[LEN]]*7.27,0)</f>
        <v>138</v>
      </c>
      <c r="N79" s="108">
        <v>15</v>
      </c>
      <c r="O79" s="126" t="str">
        <f t="shared" si="3"/>
        <v>_self</v>
      </c>
      <c r="P79" s="108">
        <f>LEN(Tableau1[[#This Row],[LABEL]])</f>
        <v>19</v>
      </c>
      <c r="Q79" s="108">
        <v>15</v>
      </c>
      <c r="R79" s="108" t="e">
        <f>ROUND(Tableau1[[#This Row],[LEN]]*#REF!+#REF!,0)</f>
        <v>#REF!</v>
      </c>
    </row>
    <row r="80" spans="1:18" s="97" customFormat="1" hidden="1" x14ac:dyDescent="0.25">
      <c r="A80" s="21" t="s">
        <v>374</v>
      </c>
      <c r="B80" s="22" t="s">
        <v>368</v>
      </c>
      <c r="C80" s="420" t="s">
        <v>2149</v>
      </c>
      <c r="D80" s="23" t="s">
        <v>104</v>
      </c>
      <c r="E80" s="69" t="s">
        <v>1177</v>
      </c>
      <c r="F80" s="23" t="s">
        <v>667</v>
      </c>
      <c r="G80" s="23" t="s">
        <v>1963</v>
      </c>
      <c r="H80" s="69" t="s">
        <v>167</v>
      </c>
      <c r="I80" s="69" t="s">
        <v>570</v>
      </c>
      <c r="J80" s="23"/>
      <c r="K80" s="24" t="s">
        <v>708</v>
      </c>
      <c r="L80" s="24" t="str">
        <f t="shared" si="2"/>
        <v>_</v>
      </c>
      <c r="M80" s="108">
        <f>ROUND(Tableau1[[#This Row],[LEN]]*7.27,0)</f>
        <v>145</v>
      </c>
      <c r="N80" s="108">
        <v>15</v>
      </c>
      <c r="O80" s="126" t="str">
        <f t="shared" si="3"/>
        <v>_self</v>
      </c>
      <c r="P80" s="108">
        <f>LEN(Tableau1[[#This Row],[LABEL]])</f>
        <v>20</v>
      </c>
      <c r="Q80" s="108">
        <v>15</v>
      </c>
      <c r="R80" s="108" t="e">
        <f>ROUND(Tableau1[[#This Row],[LEN]]*#REF!+#REF!,0)</f>
        <v>#REF!</v>
      </c>
    </row>
    <row r="81" spans="1:18" s="97" customFormat="1" hidden="1" x14ac:dyDescent="0.25">
      <c r="A81" s="21" t="s">
        <v>375</v>
      </c>
      <c r="B81" s="22" t="s">
        <v>368</v>
      </c>
      <c r="C81" s="420" t="s">
        <v>2149</v>
      </c>
      <c r="D81" s="23" t="s">
        <v>105</v>
      </c>
      <c r="E81" s="69" t="s">
        <v>1177</v>
      </c>
      <c r="F81" s="23" t="s">
        <v>667</v>
      </c>
      <c r="G81" s="23" t="s">
        <v>1963</v>
      </c>
      <c r="H81" s="69" t="s">
        <v>167</v>
      </c>
      <c r="I81" s="69" t="s">
        <v>570</v>
      </c>
      <c r="J81" s="23"/>
      <c r="K81" s="24" t="s">
        <v>708</v>
      </c>
      <c r="L81" s="24" t="str">
        <f t="shared" si="2"/>
        <v>_</v>
      </c>
      <c r="M81" s="108">
        <f>ROUND(Tableau1[[#This Row],[LEN]]*7.27,0)</f>
        <v>138</v>
      </c>
      <c r="N81" s="108">
        <v>15</v>
      </c>
      <c r="O81" s="126" t="str">
        <f t="shared" si="3"/>
        <v>_self</v>
      </c>
      <c r="P81" s="108">
        <f>LEN(Tableau1[[#This Row],[LABEL]])</f>
        <v>19</v>
      </c>
      <c r="Q81" s="108">
        <v>15</v>
      </c>
      <c r="R81" s="108" t="e">
        <f>ROUND(Tableau1[[#This Row],[LEN]]*#REF!+#REF!,0)</f>
        <v>#REF!</v>
      </c>
    </row>
    <row r="82" spans="1:18" s="97" customFormat="1" hidden="1" x14ac:dyDescent="0.25">
      <c r="A82" s="21" t="s">
        <v>376</v>
      </c>
      <c r="B82" s="22" t="s">
        <v>368</v>
      </c>
      <c r="C82" s="420" t="s">
        <v>2149</v>
      </c>
      <c r="D82" s="23" t="s">
        <v>106</v>
      </c>
      <c r="E82" s="69" t="s">
        <v>1177</v>
      </c>
      <c r="F82" s="23" t="s">
        <v>667</v>
      </c>
      <c r="G82" s="23" t="s">
        <v>1963</v>
      </c>
      <c r="H82" s="69" t="s">
        <v>167</v>
      </c>
      <c r="I82" s="69" t="s">
        <v>570</v>
      </c>
      <c r="J82" s="23"/>
      <c r="K82" s="24" t="s">
        <v>708</v>
      </c>
      <c r="L82" s="24" t="str">
        <f t="shared" si="2"/>
        <v>_</v>
      </c>
      <c r="M82" s="108">
        <f>ROUND(Tableau1[[#This Row],[LEN]]*7.27,0)</f>
        <v>36</v>
      </c>
      <c r="N82" s="108">
        <v>15</v>
      </c>
      <c r="O82" s="126" t="str">
        <f t="shared" si="3"/>
        <v>_self</v>
      </c>
      <c r="P82" s="108">
        <f>LEN(Tableau1[[#This Row],[LABEL]])</f>
        <v>5</v>
      </c>
      <c r="Q82" s="108">
        <v>15</v>
      </c>
      <c r="R82" s="108" t="e">
        <f>ROUND(Tableau1[[#This Row],[LEN]]*#REF!+#REF!,0)</f>
        <v>#REF!</v>
      </c>
    </row>
    <row r="83" spans="1:18" s="97" customFormat="1" hidden="1" x14ac:dyDescent="0.25">
      <c r="A83" s="21" t="s">
        <v>377</v>
      </c>
      <c r="B83" s="22" t="s">
        <v>368</v>
      </c>
      <c r="C83" s="420" t="s">
        <v>2149</v>
      </c>
      <c r="D83" s="23" t="s">
        <v>107</v>
      </c>
      <c r="E83" s="69" t="s">
        <v>1177</v>
      </c>
      <c r="F83" s="23" t="s">
        <v>667</v>
      </c>
      <c r="G83" s="23" t="s">
        <v>1963</v>
      </c>
      <c r="H83" s="69" t="s">
        <v>167</v>
      </c>
      <c r="I83" s="69" t="s">
        <v>570</v>
      </c>
      <c r="J83" s="23"/>
      <c r="K83" s="24" t="s">
        <v>708</v>
      </c>
      <c r="L83" s="24" t="str">
        <f t="shared" si="2"/>
        <v>_</v>
      </c>
      <c r="M83" s="108">
        <f>ROUND(Tableau1[[#This Row],[LEN]]*7.27,0)</f>
        <v>160</v>
      </c>
      <c r="N83" s="108">
        <v>15</v>
      </c>
      <c r="O83" s="126" t="str">
        <f t="shared" si="3"/>
        <v>_self</v>
      </c>
      <c r="P83" s="108">
        <f>LEN(Tableau1[[#This Row],[LABEL]])</f>
        <v>22</v>
      </c>
      <c r="Q83" s="108">
        <v>15</v>
      </c>
      <c r="R83" s="108" t="e">
        <f>ROUND(Tableau1[[#This Row],[LEN]]*#REF!+#REF!,0)</f>
        <v>#REF!</v>
      </c>
    </row>
    <row r="84" spans="1:18" s="97" customFormat="1" hidden="1" x14ac:dyDescent="0.25">
      <c r="A84" s="21" t="s">
        <v>378</v>
      </c>
      <c r="B84" s="22" t="s">
        <v>368</v>
      </c>
      <c r="C84" s="420" t="s">
        <v>2149</v>
      </c>
      <c r="D84" s="23" t="s">
        <v>108</v>
      </c>
      <c r="E84" s="69" t="s">
        <v>1177</v>
      </c>
      <c r="F84" s="23" t="s">
        <v>667</v>
      </c>
      <c r="G84" s="23" t="s">
        <v>1963</v>
      </c>
      <c r="H84" s="69" t="s">
        <v>167</v>
      </c>
      <c r="I84" s="69" t="s">
        <v>570</v>
      </c>
      <c r="J84" s="23"/>
      <c r="K84" s="24" t="s">
        <v>708</v>
      </c>
      <c r="L84" s="24" t="str">
        <f t="shared" si="2"/>
        <v>_</v>
      </c>
      <c r="M84" s="108">
        <f>ROUND(Tableau1[[#This Row],[LEN]]*7.27,0)</f>
        <v>182</v>
      </c>
      <c r="N84" s="108">
        <v>15</v>
      </c>
      <c r="O84" s="126" t="str">
        <f t="shared" si="3"/>
        <v>_self</v>
      </c>
      <c r="P84" s="108">
        <f>LEN(Tableau1[[#This Row],[LABEL]])</f>
        <v>25</v>
      </c>
      <c r="Q84" s="108">
        <v>15</v>
      </c>
      <c r="R84" s="108" t="e">
        <f>ROUND(Tableau1[[#This Row],[LEN]]*#REF!+#REF!,0)</f>
        <v>#REF!</v>
      </c>
    </row>
    <row r="85" spans="1:18" s="97" customFormat="1" hidden="1" x14ac:dyDescent="0.25">
      <c r="A85" s="17" t="s">
        <v>369</v>
      </c>
      <c r="B85" s="18" t="s">
        <v>233</v>
      </c>
      <c r="C85" s="420" t="s">
        <v>2149</v>
      </c>
      <c r="D85" s="19" t="s">
        <v>82</v>
      </c>
      <c r="E85" s="68" t="s">
        <v>1177</v>
      </c>
      <c r="F85" s="19" t="s">
        <v>684</v>
      </c>
      <c r="G85" s="19" t="s">
        <v>1177</v>
      </c>
      <c r="H85" s="68" t="s">
        <v>167</v>
      </c>
      <c r="I85" s="68" t="s">
        <v>655</v>
      </c>
      <c r="J85" s="19"/>
      <c r="K85" s="20" t="s">
        <v>708</v>
      </c>
      <c r="L85" s="20" t="str">
        <f t="shared" si="2"/>
        <v>_</v>
      </c>
      <c r="M85" s="107">
        <f>ROUND(Tableau1[[#This Row],[LEN]]*7.27,0)</f>
        <v>269</v>
      </c>
      <c r="N85" s="107">
        <v>15</v>
      </c>
      <c r="O85" s="125" t="str">
        <f t="shared" si="3"/>
        <v>_self</v>
      </c>
      <c r="P85" s="107">
        <f>LEN(Tableau1[[#This Row],[LABEL]])</f>
        <v>37</v>
      </c>
      <c r="Q85" s="107">
        <v>15</v>
      </c>
      <c r="R85" s="107" t="e">
        <f>ROUND(Tableau1[[#This Row],[LEN]]*#REF!+#REF!,0)</f>
        <v>#REF!</v>
      </c>
    </row>
    <row r="86" spans="1:18" s="97" customFormat="1" hidden="1" x14ac:dyDescent="0.25">
      <c r="A86" s="21" t="s">
        <v>379</v>
      </c>
      <c r="B86" s="22" t="s">
        <v>369</v>
      </c>
      <c r="C86" s="420" t="s">
        <v>2149</v>
      </c>
      <c r="D86" s="23" t="s">
        <v>83</v>
      </c>
      <c r="E86" s="69" t="s">
        <v>1177</v>
      </c>
      <c r="F86" s="23" t="s">
        <v>684</v>
      </c>
      <c r="G86" s="23" t="s">
        <v>1177</v>
      </c>
      <c r="H86" s="69" t="s">
        <v>167</v>
      </c>
      <c r="I86" s="69" t="s">
        <v>18</v>
      </c>
      <c r="J86" s="23"/>
      <c r="K86" s="24" t="s">
        <v>708</v>
      </c>
      <c r="L86" s="24" t="str">
        <f t="shared" si="2"/>
        <v>_</v>
      </c>
      <c r="M86" s="108">
        <f>ROUND(Tableau1[[#This Row],[LEN]]*7.27,0)</f>
        <v>269</v>
      </c>
      <c r="N86" s="108">
        <v>15</v>
      </c>
      <c r="O86" s="126" t="str">
        <f t="shared" si="3"/>
        <v>_self</v>
      </c>
      <c r="P86" s="108">
        <f>LEN(Tableau1[[#This Row],[LABEL]])</f>
        <v>37</v>
      </c>
      <c r="Q86" s="108">
        <v>15</v>
      </c>
      <c r="R86" s="108" t="e">
        <f>ROUND(Tableau1[[#This Row],[LEN]]*#REF!+#REF!,0)</f>
        <v>#REF!</v>
      </c>
    </row>
    <row r="87" spans="1:18" s="97" customFormat="1" hidden="1" x14ac:dyDescent="0.25">
      <c r="A87" s="21" t="s">
        <v>380</v>
      </c>
      <c r="B87" s="22" t="s">
        <v>369</v>
      </c>
      <c r="C87" s="420" t="s">
        <v>2149</v>
      </c>
      <c r="D87" s="23" t="s">
        <v>84</v>
      </c>
      <c r="E87" s="69" t="s">
        <v>1177</v>
      </c>
      <c r="F87" s="23" t="s">
        <v>684</v>
      </c>
      <c r="G87" s="23" t="s">
        <v>1177</v>
      </c>
      <c r="H87" s="69" t="s">
        <v>167</v>
      </c>
      <c r="I87" s="69" t="s">
        <v>18</v>
      </c>
      <c r="J87" s="23"/>
      <c r="K87" s="24" t="s">
        <v>708</v>
      </c>
      <c r="L87" s="24" t="str">
        <f t="shared" si="2"/>
        <v>_</v>
      </c>
      <c r="M87" s="108">
        <f>ROUND(Tableau1[[#This Row],[LEN]]*7.27,0)</f>
        <v>313</v>
      </c>
      <c r="N87" s="108">
        <v>15</v>
      </c>
      <c r="O87" s="126" t="str">
        <f t="shared" si="3"/>
        <v>_self</v>
      </c>
      <c r="P87" s="108">
        <f>LEN(Tableau1[[#This Row],[LABEL]])</f>
        <v>43</v>
      </c>
      <c r="Q87" s="108">
        <v>15</v>
      </c>
      <c r="R87" s="108" t="e">
        <f>ROUND(Tableau1[[#This Row],[LEN]]*#REF!+#REF!,0)</f>
        <v>#REF!</v>
      </c>
    </row>
    <row r="88" spans="1:18" s="97" customFormat="1" hidden="1" x14ac:dyDescent="0.25">
      <c r="A88" s="21" t="s">
        <v>381</v>
      </c>
      <c r="B88" s="22" t="s">
        <v>369</v>
      </c>
      <c r="C88" s="420" t="s">
        <v>2149</v>
      </c>
      <c r="D88" s="23" t="s">
        <v>85</v>
      </c>
      <c r="E88" s="69" t="s">
        <v>1177</v>
      </c>
      <c r="F88" s="23" t="s">
        <v>684</v>
      </c>
      <c r="G88" s="23" t="s">
        <v>1177</v>
      </c>
      <c r="H88" s="69" t="s">
        <v>167</v>
      </c>
      <c r="I88" s="69" t="s">
        <v>18</v>
      </c>
      <c r="J88" s="23"/>
      <c r="K88" s="24" t="s">
        <v>708</v>
      </c>
      <c r="L88" s="24" t="str">
        <f t="shared" si="2"/>
        <v>_</v>
      </c>
      <c r="M88" s="108">
        <f>ROUND(Tableau1[[#This Row],[LEN]]*7.27,0)</f>
        <v>218</v>
      </c>
      <c r="N88" s="108">
        <v>15</v>
      </c>
      <c r="O88" s="126" t="str">
        <f t="shared" si="3"/>
        <v>_self</v>
      </c>
      <c r="P88" s="108">
        <f>LEN(Tableau1[[#This Row],[LABEL]])</f>
        <v>30</v>
      </c>
      <c r="Q88" s="108">
        <v>15</v>
      </c>
      <c r="R88" s="108" t="e">
        <f>ROUND(Tableau1[[#This Row],[LEN]]*#REF!+#REF!,0)</f>
        <v>#REF!</v>
      </c>
    </row>
    <row r="89" spans="1:18" s="97" customFormat="1" hidden="1" x14ac:dyDescent="0.25">
      <c r="A89" s="17" t="s">
        <v>370</v>
      </c>
      <c r="B89" s="18" t="s">
        <v>233</v>
      </c>
      <c r="C89" s="420" t="s">
        <v>2149</v>
      </c>
      <c r="D89" s="19" t="s">
        <v>109</v>
      </c>
      <c r="E89" s="68" t="s">
        <v>1177</v>
      </c>
      <c r="F89" s="19" t="s">
        <v>684</v>
      </c>
      <c r="G89" s="19" t="s">
        <v>1177</v>
      </c>
      <c r="H89" s="68" t="s">
        <v>167</v>
      </c>
      <c r="I89" s="68" t="s">
        <v>656</v>
      </c>
      <c r="J89" s="19"/>
      <c r="K89" s="20" t="s">
        <v>708</v>
      </c>
      <c r="L89" s="20" t="str">
        <f t="shared" si="2"/>
        <v>_</v>
      </c>
      <c r="M89" s="107">
        <f>ROUND(Tableau1[[#This Row],[LEN]]*7.27,0)</f>
        <v>131</v>
      </c>
      <c r="N89" s="107">
        <v>15</v>
      </c>
      <c r="O89" s="125" t="str">
        <f t="shared" si="3"/>
        <v>_self</v>
      </c>
      <c r="P89" s="107">
        <f>LEN(Tableau1[[#This Row],[LABEL]])</f>
        <v>18</v>
      </c>
      <c r="Q89" s="107">
        <v>15</v>
      </c>
      <c r="R89" s="107" t="e">
        <f>ROUND(Tableau1[[#This Row],[LEN]]*#REF!+#REF!,0)</f>
        <v>#REF!</v>
      </c>
    </row>
    <row r="90" spans="1:18" s="97" customFormat="1" hidden="1" x14ac:dyDescent="0.25">
      <c r="A90" s="17" t="s">
        <v>371</v>
      </c>
      <c r="B90" s="18" t="s">
        <v>233</v>
      </c>
      <c r="C90" s="420" t="s">
        <v>2149</v>
      </c>
      <c r="D90" s="19" t="s">
        <v>110</v>
      </c>
      <c r="E90" s="68" t="s">
        <v>1177</v>
      </c>
      <c r="F90" s="19" t="s">
        <v>1177</v>
      </c>
      <c r="G90" s="19" t="s">
        <v>1084</v>
      </c>
      <c r="H90" s="68" t="s">
        <v>1977</v>
      </c>
      <c r="I90" s="68" t="s">
        <v>1131</v>
      </c>
      <c r="J90" s="19"/>
      <c r="K90" s="20" t="s">
        <v>708</v>
      </c>
      <c r="L90" s="20" t="str">
        <f t="shared" si="2"/>
        <v>_</v>
      </c>
      <c r="M90" s="107">
        <f>ROUND(Tableau1[[#This Row],[LEN]]*7.27,0)</f>
        <v>102</v>
      </c>
      <c r="N90" s="107">
        <v>15</v>
      </c>
      <c r="O90" s="125" t="str">
        <f t="shared" si="3"/>
        <v>_self</v>
      </c>
      <c r="P90" s="107">
        <f>LEN(Tableau1[[#This Row],[LABEL]])</f>
        <v>14</v>
      </c>
      <c r="Q90" s="107">
        <v>15</v>
      </c>
      <c r="R90" s="107" t="e">
        <f>ROUND(Tableau1[[#This Row],[LEN]]*#REF!+#REF!,0)</f>
        <v>#REF!</v>
      </c>
    </row>
    <row r="91" spans="1:18" s="273" customFormat="1" hidden="1" x14ac:dyDescent="0.25">
      <c r="A91" s="266" t="s">
        <v>234</v>
      </c>
      <c r="B91" s="267" t="s">
        <v>205</v>
      </c>
      <c r="C91" s="420" t="s">
        <v>2149</v>
      </c>
      <c r="D91" s="268" t="s">
        <v>4</v>
      </c>
      <c r="E91" s="269" t="s">
        <v>1177</v>
      </c>
      <c r="F91" s="268" t="s">
        <v>666</v>
      </c>
      <c r="G91" s="268" t="s">
        <v>1177</v>
      </c>
      <c r="H91" s="269" t="s">
        <v>167</v>
      </c>
      <c r="I91" s="269" t="str">
        <f>IFERROR(IF(SEARCH(".00.00.00.00.00",Tableau1[[#This Row],[name]],1)=7,"Division",""),"")</f>
        <v>Division</v>
      </c>
      <c r="J91" s="268"/>
      <c r="K91" s="270" t="s">
        <v>708</v>
      </c>
      <c r="L91" s="270" t="str">
        <f t="shared" si="2"/>
        <v>_</v>
      </c>
      <c r="M91" s="271">
        <f>ROUND(Tableau1[[#This Row],[LEN]]*7.27,0)</f>
        <v>36</v>
      </c>
      <c r="N91" s="271">
        <v>15</v>
      </c>
      <c r="O91" s="272" t="str">
        <f t="shared" si="3"/>
        <v>_self</v>
      </c>
      <c r="P91" s="271">
        <f>LEN(Tableau1[[#This Row],[LABEL]])</f>
        <v>5</v>
      </c>
      <c r="Q91" s="271">
        <v>15</v>
      </c>
      <c r="R91" s="271" t="e">
        <f>ROUND(Tableau1[[#This Row],[LEN]]*#REF!+#REF!,0)</f>
        <v>#REF!</v>
      </c>
    </row>
    <row r="92" spans="1:18" s="97" customFormat="1" hidden="1" x14ac:dyDescent="0.25">
      <c r="A92" s="17" t="s">
        <v>957</v>
      </c>
      <c r="B92" s="18" t="s">
        <v>234</v>
      </c>
      <c r="C92" s="420" t="s">
        <v>2149</v>
      </c>
      <c r="D92" s="19" t="s">
        <v>961</v>
      </c>
      <c r="E92" s="68" t="s">
        <v>1177</v>
      </c>
      <c r="F92" s="19" t="s">
        <v>970</v>
      </c>
      <c r="G92" s="19" t="s">
        <v>1177</v>
      </c>
      <c r="H92" s="68" t="s">
        <v>167</v>
      </c>
      <c r="I92" s="68" t="s">
        <v>656</v>
      </c>
      <c r="J92" s="19"/>
      <c r="K92" s="20" t="s">
        <v>708</v>
      </c>
      <c r="L92" s="20" t="str">
        <f t="shared" si="2"/>
        <v>_</v>
      </c>
      <c r="M92" s="107">
        <f>ROUND(Tableau1[[#This Row],[LEN]]*7.27,0)</f>
        <v>305</v>
      </c>
      <c r="N92" s="107">
        <v>15</v>
      </c>
      <c r="O92" s="125" t="str">
        <f t="shared" si="3"/>
        <v>_self</v>
      </c>
      <c r="P92" s="107">
        <f>LEN(Tableau1[[#This Row],[LABEL]])</f>
        <v>42</v>
      </c>
      <c r="Q92" s="107">
        <v>15</v>
      </c>
      <c r="R92" s="107" t="e">
        <f>ROUND(Tableau1[[#This Row],[LEN]]*#REF!+#REF!,0)</f>
        <v>#REF!</v>
      </c>
    </row>
    <row r="93" spans="1:18" s="97" customFormat="1" hidden="1" x14ac:dyDescent="0.25">
      <c r="A93" s="17" t="s">
        <v>958</v>
      </c>
      <c r="B93" s="18" t="s">
        <v>234</v>
      </c>
      <c r="C93" s="420" t="s">
        <v>2149</v>
      </c>
      <c r="D93" s="19" t="s">
        <v>82</v>
      </c>
      <c r="E93" s="68" t="s">
        <v>1177</v>
      </c>
      <c r="F93" s="19" t="s">
        <v>684</v>
      </c>
      <c r="G93" s="19" t="s">
        <v>1177</v>
      </c>
      <c r="H93" s="68" t="s">
        <v>167</v>
      </c>
      <c r="I93" s="68" t="s">
        <v>655</v>
      </c>
      <c r="J93" s="19"/>
      <c r="K93" s="20" t="s">
        <v>708</v>
      </c>
      <c r="L93" s="20" t="str">
        <f t="shared" si="2"/>
        <v>_</v>
      </c>
      <c r="M93" s="107">
        <f>ROUND(Tableau1[[#This Row],[LEN]]*7.27,0)</f>
        <v>269</v>
      </c>
      <c r="N93" s="107">
        <v>15</v>
      </c>
      <c r="O93" s="125" t="str">
        <f t="shared" si="3"/>
        <v>_self</v>
      </c>
      <c r="P93" s="107">
        <f>LEN(Tableau1[[#This Row],[LABEL]])</f>
        <v>37</v>
      </c>
      <c r="Q93" s="107">
        <v>15</v>
      </c>
      <c r="R93" s="107" t="e">
        <f>ROUND(Tableau1[[#This Row],[LEN]]*#REF!+#REF!,0)</f>
        <v>#REF!</v>
      </c>
    </row>
    <row r="94" spans="1:18" s="97" customFormat="1" hidden="1" x14ac:dyDescent="0.25">
      <c r="A94" s="21" t="s">
        <v>962</v>
      </c>
      <c r="B94" s="22" t="s">
        <v>958</v>
      </c>
      <c r="C94" s="420" t="s">
        <v>2149</v>
      </c>
      <c r="D94" s="23" t="s">
        <v>83</v>
      </c>
      <c r="E94" s="69" t="s">
        <v>1177</v>
      </c>
      <c r="F94" s="23" t="s">
        <v>684</v>
      </c>
      <c r="G94" s="23" t="s">
        <v>1177</v>
      </c>
      <c r="H94" s="69" t="s">
        <v>167</v>
      </c>
      <c r="I94" s="69" t="s">
        <v>18</v>
      </c>
      <c r="J94" s="23"/>
      <c r="K94" s="24" t="s">
        <v>708</v>
      </c>
      <c r="L94" s="24" t="str">
        <f t="shared" si="2"/>
        <v>_</v>
      </c>
      <c r="M94" s="108">
        <f>ROUND(Tableau1[[#This Row],[LEN]]*7.27,0)</f>
        <v>269</v>
      </c>
      <c r="N94" s="108">
        <v>15</v>
      </c>
      <c r="O94" s="126" t="str">
        <f t="shared" si="3"/>
        <v>_self</v>
      </c>
      <c r="P94" s="108">
        <f>LEN(Tableau1[[#This Row],[LABEL]])</f>
        <v>37</v>
      </c>
      <c r="Q94" s="108">
        <v>15</v>
      </c>
      <c r="R94" s="108" t="e">
        <f>ROUND(Tableau1[[#This Row],[LEN]]*#REF!+#REF!,0)</f>
        <v>#REF!</v>
      </c>
    </row>
    <row r="95" spans="1:18" s="97" customFormat="1" hidden="1" x14ac:dyDescent="0.25">
      <c r="A95" s="21" t="s">
        <v>963</v>
      </c>
      <c r="B95" s="22" t="s">
        <v>958</v>
      </c>
      <c r="C95" s="420" t="s">
        <v>2149</v>
      </c>
      <c r="D95" s="23" t="s">
        <v>84</v>
      </c>
      <c r="E95" s="69" t="s">
        <v>1177</v>
      </c>
      <c r="F95" s="23" t="s">
        <v>684</v>
      </c>
      <c r="G95" s="23" t="s">
        <v>1177</v>
      </c>
      <c r="H95" s="69" t="s">
        <v>167</v>
      </c>
      <c r="I95" s="69" t="s">
        <v>18</v>
      </c>
      <c r="J95" s="23"/>
      <c r="K95" s="24" t="s">
        <v>708</v>
      </c>
      <c r="L95" s="24" t="str">
        <f t="shared" si="2"/>
        <v>_</v>
      </c>
      <c r="M95" s="108">
        <f>ROUND(Tableau1[[#This Row],[LEN]]*7.27,0)</f>
        <v>313</v>
      </c>
      <c r="N95" s="108">
        <v>15</v>
      </c>
      <c r="O95" s="126" t="str">
        <f t="shared" si="3"/>
        <v>_self</v>
      </c>
      <c r="P95" s="108">
        <f>LEN(Tableau1[[#This Row],[LABEL]])</f>
        <v>43</v>
      </c>
      <c r="Q95" s="108">
        <v>15</v>
      </c>
      <c r="R95" s="108" t="e">
        <f>ROUND(Tableau1[[#This Row],[LEN]]*#REF!+#REF!,0)</f>
        <v>#REF!</v>
      </c>
    </row>
    <row r="96" spans="1:18" s="97" customFormat="1" hidden="1" x14ac:dyDescent="0.25">
      <c r="A96" s="21" t="s">
        <v>964</v>
      </c>
      <c r="B96" s="22" t="s">
        <v>958</v>
      </c>
      <c r="C96" s="420" t="s">
        <v>2149</v>
      </c>
      <c r="D96" s="23" t="s">
        <v>85</v>
      </c>
      <c r="E96" s="69" t="s">
        <v>1177</v>
      </c>
      <c r="F96" s="23" t="s">
        <v>684</v>
      </c>
      <c r="G96" s="23" t="s">
        <v>1177</v>
      </c>
      <c r="H96" s="69" t="s">
        <v>167</v>
      </c>
      <c r="I96" s="69" t="s">
        <v>18</v>
      </c>
      <c r="J96" s="23"/>
      <c r="K96" s="24" t="s">
        <v>708</v>
      </c>
      <c r="L96" s="24" t="str">
        <f t="shared" si="2"/>
        <v>_</v>
      </c>
      <c r="M96" s="108">
        <f>ROUND(Tableau1[[#This Row],[LEN]]*7.27,0)</f>
        <v>218</v>
      </c>
      <c r="N96" s="108">
        <v>15</v>
      </c>
      <c r="O96" s="126" t="str">
        <f t="shared" si="3"/>
        <v>_self</v>
      </c>
      <c r="P96" s="108">
        <f>LEN(Tableau1[[#This Row],[LABEL]])</f>
        <v>30</v>
      </c>
      <c r="Q96" s="108">
        <v>15</v>
      </c>
      <c r="R96" s="108" t="e">
        <f>ROUND(Tableau1[[#This Row],[LEN]]*#REF!+#REF!,0)</f>
        <v>#REF!</v>
      </c>
    </row>
    <row r="97" spans="1:18" s="97" customFormat="1" hidden="1" x14ac:dyDescent="0.25">
      <c r="A97" s="17" t="s">
        <v>959</v>
      </c>
      <c r="B97" s="18" t="s">
        <v>234</v>
      </c>
      <c r="C97" s="420" t="s">
        <v>2149</v>
      </c>
      <c r="D97" s="19" t="s">
        <v>109</v>
      </c>
      <c r="E97" s="68" t="s">
        <v>1177</v>
      </c>
      <c r="F97" s="19" t="s">
        <v>684</v>
      </c>
      <c r="G97" s="19" t="s">
        <v>1177</v>
      </c>
      <c r="H97" s="68" t="s">
        <v>167</v>
      </c>
      <c r="I97" s="68" t="s">
        <v>656</v>
      </c>
      <c r="J97" s="19"/>
      <c r="K97" s="20" t="s">
        <v>708</v>
      </c>
      <c r="L97" s="20" t="str">
        <f t="shared" si="2"/>
        <v>_</v>
      </c>
      <c r="M97" s="107">
        <f>ROUND(Tableau1[[#This Row],[LEN]]*7.27,0)</f>
        <v>131</v>
      </c>
      <c r="N97" s="107">
        <v>15</v>
      </c>
      <c r="O97" s="125" t="str">
        <f t="shared" si="3"/>
        <v>_self</v>
      </c>
      <c r="P97" s="107">
        <f>LEN(Tableau1[[#This Row],[LABEL]])</f>
        <v>18</v>
      </c>
      <c r="Q97" s="107">
        <v>15</v>
      </c>
      <c r="R97" s="107" t="e">
        <f>ROUND(Tableau1[[#This Row],[LEN]]*#REF!+#REF!,0)</f>
        <v>#REF!</v>
      </c>
    </row>
    <row r="98" spans="1:18" s="97" customFormat="1" hidden="1" x14ac:dyDescent="0.25">
      <c r="A98" s="17" t="s">
        <v>960</v>
      </c>
      <c r="B98" s="18" t="s">
        <v>234</v>
      </c>
      <c r="C98" s="420" t="s">
        <v>2149</v>
      </c>
      <c r="D98" s="19" t="s">
        <v>110</v>
      </c>
      <c r="E98" s="68" t="s">
        <v>1177</v>
      </c>
      <c r="F98" s="19" t="s">
        <v>1177</v>
      </c>
      <c r="G98" s="19" t="s">
        <v>1084</v>
      </c>
      <c r="H98" s="68" t="s">
        <v>1977</v>
      </c>
      <c r="I98" s="68" t="s">
        <v>1131</v>
      </c>
      <c r="J98" s="19"/>
      <c r="K98" s="20" t="s">
        <v>708</v>
      </c>
      <c r="L98" s="20" t="str">
        <f t="shared" si="2"/>
        <v>_</v>
      </c>
      <c r="M98" s="107">
        <f>ROUND(Tableau1[[#This Row],[LEN]]*7.27,0)</f>
        <v>102</v>
      </c>
      <c r="N98" s="107">
        <v>15</v>
      </c>
      <c r="O98" s="125" t="str">
        <f t="shared" si="3"/>
        <v>_self</v>
      </c>
      <c r="P98" s="107">
        <f>LEN(Tableau1[[#This Row],[LABEL]])</f>
        <v>14</v>
      </c>
      <c r="Q98" s="107">
        <v>15</v>
      </c>
      <c r="R98" s="107" t="e">
        <f>ROUND(Tableau1[[#This Row],[LEN]]*#REF!+#REF!,0)</f>
        <v>#REF!</v>
      </c>
    </row>
    <row r="99" spans="1:18" s="273" customFormat="1" hidden="1" x14ac:dyDescent="0.25">
      <c r="A99" s="266" t="s">
        <v>235</v>
      </c>
      <c r="B99" s="267" t="s">
        <v>205</v>
      </c>
      <c r="C99" s="420" t="s">
        <v>2149</v>
      </c>
      <c r="D99" s="268" t="s">
        <v>80</v>
      </c>
      <c r="E99" s="269" t="s">
        <v>1177</v>
      </c>
      <c r="F99" s="268" t="s">
        <v>667</v>
      </c>
      <c r="G99" s="268" t="s">
        <v>1177</v>
      </c>
      <c r="H99" s="269" t="s">
        <v>167</v>
      </c>
      <c r="I99" s="269" t="str">
        <f>IFERROR(IF(SEARCH(".00.00.00.00.00",Tableau1[[#This Row],[name]],1)=7,"Division",""),"")</f>
        <v>Division</v>
      </c>
      <c r="J99" s="268"/>
      <c r="K99" s="270" t="s">
        <v>708</v>
      </c>
      <c r="L99" s="270" t="str">
        <f t="shared" si="2"/>
        <v>_</v>
      </c>
      <c r="M99" s="271">
        <f>ROUND(Tableau1[[#This Row],[LEN]]*7.27,0)</f>
        <v>116</v>
      </c>
      <c r="N99" s="271">
        <v>15</v>
      </c>
      <c r="O99" s="272" t="str">
        <f t="shared" si="3"/>
        <v>_self</v>
      </c>
      <c r="P99" s="271">
        <f>LEN(Tableau1[[#This Row],[LABEL]])</f>
        <v>16</v>
      </c>
      <c r="Q99" s="271">
        <v>15</v>
      </c>
      <c r="R99" s="271" t="e">
        <f>ROUND(Tableau1[[#This Row],[LEN]]*#REF!+#REF!,0)</f>
        <v>#REF!</v>
      </c>
    </row>
    <row r="100" spans="1:18" s="97" customFormat="1" hidden="1" x14ac:dyDescent="0.25">
      <c r="A100" s="17" t="s">
        <v>965</v>
      </c>
      <c r="B100" s="18" t="s">
        <v>235</v>
      </c>
      <c r="C100" s="420" t="s">
        <v>2149</v>
      </c>
      <c r="D100" s="19" t="s">
        <v>81</v>
      </c>
      <c r="E100" s="68" t="s">
        <v>1177</v>
      </c>
      <c r="F100" s="19" t="s">
        <v>667</v>
      </c>
      <c r="G100" s="19" t="s">
        <v>1963</v>
      </c>
      <c r="H100" s="68" t="s">
        <v>167</v>
      </c>
      <c r="I100" s="68" t="s">
        <v>655</v>
      </c>
      <c r="J100" s="19"/>
      <c r="K100" s="20" t="s">
        <v>708</v>
      </c>
      <c r="L100" s="20" t="str">
        <f t="shared" si="2"/>
        <v>_</v>
      </c>
      <c r="M100" s="107">
        <f>ROUND(Tableau1[[#This Row],[LEN]]*7.27,0)</f>
        <v>73</v>
      </c>
      <c r="N100" s="107">
        <v>15</v>
      </c>
      <c r="O100" s="125" t="str">
        <f t="shared" si="3"/>
        <v>_self</v>
      </c>
      <c r="P100" s="107">
        <f>LEN(Tableau1[[#This Row],[LABEL]])</f>
        <v>10</v>
      </c>
      <c r="Q100" s="107">
        <v>15</v>
      </c>
      <c r="R100" s="107" t="e">
        <f>ROUND(Tableau1[[#This Row],[LEN]]*#REF!+#REF!,0)</f>
        <v>#REF!</v>
      </c>
    </row>
    <row r="101" spans="1:18" s="97" customFormat="1" hidden="1" x14ac:dyDescent="0.25">
      <c r="A101" s="21" t="s">
        <v>974</v>
      </c>
      <c r="B101" s="22" t="s">
        <v>965</v>
      </c>
      <c r="C101" s="420" t="s">
        <v>2149</v>
      </c>
      <c r="D101" s="23" t="s">
        <v>978</v>
      </c>
      <c r="E101" s="69" t="s">
        <v>1177</v>
      </c>
      <c r="F101" s="23" t="s">
        <v>667</v>
      </c>
      <c r="G101" s="23" t="s">
        <v>1963</v>
      </c>
      <c r="H101" s="69" t="s">
        <v>167</v>
      </c>
      <c r="I101" s="69" t="s">
        <v>570</v>
      </c>
      <c r="J101" s="23"/>
      <c r="K101" s="24" t="s">
        <v>708</v>
      </c>
      <c r="L101" s="24" t="str">
        <f t="shared" si="2"/>
        <v>_</v>
      </c>
      <c r="M101" s="108">
        <f>ROUND(Tableau1[[#This Row],[LEN]]*7.27,0)</f>
        <v>87</v>
      </c>
      <c r="N101" s="108">
        <v>15</v>
      </c>
      <c r="O101" s="126" t="str">
        <f t="shared" si="3"/>
        <v>_self</v>
      </c>
      <c r="P101" s="108">
        <f>LEN(Tableau1[[#This Row],[LABEL]])</f>
        <v>12</v>
      </c>
      <c r="Q101" s="108">
        <v>15</v>
      </c>
      <c r="R101" s="108" t="e">
        <f>ROUND(Tableau1[[#This Row],[LEN]]*#REF!+#REF!,0)</f>
        <v>#REF!</v>
      </c>
    </row>
    <row r="102" spans="1:18" s="97" customFormat="1" hidden="1" x14ac:dyDescent="0.25">
      <c r="A102" s="21" t="s">
        <v>975</v>
      </c>
      <c r="B102" s="22" t="s">
        <v>965</v>
      </c>
      <c r="C102" s="420" t="s">
        <v>2149</v>
      </c>
      <c r="D102" s="23" t="s">
        <v>979</v>
      </c>
      <c r="E102" s="69" t="s">
        <v>1177</v>
      </c>
      <c r="F102" s="23" t="s">
        <v>667</v>
      </c>
      <c r="G102" s="23" t="s">
        <v>1963</v>
      </c>
      <c r="H102" s="69" t="s">
        <v>167</v>
      </c>
      <c r="I102" s="69" t="s">
        <v>570</v>
      </c>
      <c r="J102" s="23"/>
      <c r="K102" s="24" t="s">
        <v>708</v>
      </c>
      <c r="L102" s="24" t="str">
        <f t="shared" si="2"/>
        <v>_</v>
      </c>
      <c r="M102" s="108">
        <f>ROUND(Tableau1[[#This Row],[LEN]]*7.27,0)</f>
        <v>211</v>
      </c>
      <c r="N102" s="108">
        <v>15</v>
      </c>
      <c r="O102" s="126" t="str">
        <f t="shared" si="3"/>
        <v>_self</v>
      </c>
      <c r="P102" s="108">
        <f>LEN(Tableau1[[#This Row],[LABEL]])</f>
        <v>29</v>
      </c>
      <c r="Q102" s="108">
        <v>15</v>
      </c>
      <c r="R102" s="108" t="e">
        <f>ROUND(Tableau1[[#This Row],[LEN]]*#REF!+#REF!,0)</f>
        <v>#REF!</v>
      </c>
    </row>
    <row r="103" spans="1:18" s="97" customFormat="1" hidden="1" x14ac:dyDescent="0.25">
      <c r="A103" s="21" t="s">
        <v>976</v>
      </c>
      <c r="B103" s="22" t="s">
        <v>965</v>
      </c>
      <c r="C103" s="420" t="s">
        <v>2149</v>
      </c>
      <c r="D103" s="23" t="s">
        <v>980</v>
      </c>
      <c r="E103" s="69" t="s">
        <v>1177</v>
      </c>
      <c r="F103" s="23" t="s">
        <v>667</v>
      </c>
      <c r="G103" s="23" t="s">
        <v>1963</v>
      </c>
      <c r="H103" s="69" t="s">
        <v>167</v>
      </c>
      <c r="I103" s="69" t="s">
        <v>570</v>
      </c>
      <c r="J103" s="23"/>
      <c r="K103" s="24" t="s">
        <v>708</v>
      </c>
      <c r="L103" s="24" t="str">
        <f t="shared" si="2"/>
        <v>_</v>
      </c>
      <c r="M103" s="108">
        <f>ROUND(Tableau1[[#This Row],[LEN]]*7.27,0)</f>
        <v>182</v>
      </c>
      <c r="N103" s="108">
        <v>15</v>
      </c>
      <c r="O103" s="126" t="str">
        <f t="shared" si="3"/>
        <v>_self</v>
      </c>
      <c r="P103" s="108">
        <f>LEN(Tableau1[[#This Row],[LABEL]])</f>
        <v>25</v>
      </c>
      <c r="Q103" s="108">
        <v>15</v>
      </c>
      <c r="R103" s="108" t="e">
        <f>ROUND(Tableau1[[#This Row],[LEN]]*#REF!+#REF!,0)</f>
        <v>#REF!</v>
      </c>
    </row>
    <row r="104" spans="1:18" s="97" customFormat="1" hidden="1" x14ac:dyDescent="0.25">
      <c r="A104" s="21" t="s">
        <v>977</v>
      </c>
      <c r="B104" s="22" t="s">
        <v>965</v>
      </c>
      <c r="C104" s="420" t="s">
        <v>2149</v>
      </c>
      <c r="D104" s="23" t="s">
        <v>981</v>
      </c>
      <c r="E104" s="69" t="s">
        <v>1177</v>
      </c>
      <c r="F104" s="23" t="s">
        <v>667</v>
      </c>
      <c r="G104" s="23" t="s">
        <v>1963</v>
      </c>
      <c r="H104" s="69" t="s">
        <v>167</v>
      </c>
      <c r="I104" s="69" t="s">
        <v>570</v>
      </c>
      <c r="J104" s="23"/>
      <c r="K104" s="24" t="s">
        <v>708</v>
      </c>
      <c r="L104" s="24" t="str">
        <f t="shared" si="2"/>
        <v>_</v>
      </c>
      <c r="M104" s="108">
        <f>ROUND(Tableau1[[#This Row],[LEN]]*7.27,0)</f>
        <v>305</v>
      </c>
      <c r="N104" s="108">
        <v>15</v>
      </c>
      <c r="O104" s="126" t="str">
        <f t="shared" si="3"/>
        <v>_self</v>
      </c>
      <c r="P104" s="108">
        <f>LEN(Tableau1[[#This Row],[LABEL]])</f>
        <v>42</v>
      </c>
      <c r="Q104" s="108">
        <v>15</v>
      </c>
      <c r="R104" s="108" t="e">
        <f>ROUND(Tableau1[[#This Row],[LEN]]*#REF!+#REF!,0)</f>
        <v>#REF!</v>
      </c>
    </row>
    <row r="105" spans="1:18" s="97" customFormat="1" hidden="1" x14ac:dyDescent="0.25">
      <c r="A105" s="17" t="s">
        <v>966</v>
      </c>
      <c r="B105" s="18" t="s">
        <v>235</v>
      </c>
      <c r="C105" s="420" t="s">
        <v>2149</v>
      </c>
      <c r="D105" s="19" t="s">
        <v>961</v>
      </c>
      <c r="E105" s="68" t="s">
        <v>1177</v>
      </c>
      <c r="F105" s="19" t="s">
        <v>970</v>
      </c>
      <c r="G105" s="19" t="s">
        <v>1177</v>
      </c>
      <c r="H105" s="68" t="s">
        <v>167</v>
      </c>
      <c r="I105" s="68" t="s">
        <v>656</v>
      </c>
      <c r="J105" s="19"/>
      <c r="K105" s="20" t="s">
        <v>708</v>
      </c>
      <c r="L105" s="20" t="str">
        <f t="shared" si="2"/>
        <v>_</v>
      </c>
      <c r="M105" s="107">
        <f>ROUND(Tableau1[[#This Row],[LEN]]*7.27,0)</f>
        <v>305</v>
      </c>
      <c r="N105" s="107">
        <v>15</v>
      </c>
      <c r="O105" s="125" t="str">
        <f t="shared" si="3"/>
        <v>_self</v>
      </c>
      <c r="P105" s="107">
        <f>LEN(Tableau1[[#This Row],[LABEL]])</f>
        <v>42</v>
      </c>
      <c r="Q105" s="107">
        <v>15</v>
      </c>
      <c r="R105" s="107" t="e">
        <f>ROUND(Tableau1[[#This Row],[LEN]]*#REF!+#REF!,0)</f>
        <v>#REF!</v>
      </c>
    </row>
    <row r="106" spans="1:18" s="97" customFormat="1" hidden="1" x14ac:dyDescent="0.25">
      <c r="A106" s="17" t="s">
        <v>967</v>
      </c>
      <c r="B106" s="18" t="s">
        <v>235</v>
      </c>
      <c r="C106" s="420" t="s">
        <v>2149</v>
      </c>
      <c r="D106" s="19" t="s">
        <v>971</v>
      </c>
      <c r="E106" s="68" t="s">
        <v>1177</v>
      </c>
      <c r="F106" s="19" t="s">
        <v>667</v>
      </c>
      <c r="G106" s="19" t="s">
        <v>678</v>
      </c>
      <c r="H106" s="68" t="s">
        <v>167</v>
      </c>
      <c r="I106" s="68" t="s">
        <v>570</v>
      </c>
      <c r="J106" s="19"/>
      <c r="K106" s="20" t="s">
        <v>708</v>
      </c>
      <c r="L106" s="20" t="str">
        <f t="shared" si="2"/>
        <v>_</v>
      </c>
      <c r="M106" s="107">
        <f>ROUND(Tableau1[[#This Row],[LEN]]*7.27,0)</f>
        <v>385</v>
      </c>
      <c r="N106" s="107">
        <v>15</v>
      </c>
      <c r="O106" s="125" t="str">
        <f t="shared" si="3"/>
        <v>_self</v>
      </c>
      <c r="P106" s="107">
        <f>LEN(Tableau1[[#This Row],[LABEL]])</f>
        <v>53</v>
      </c>
      <c r="Q106" s="107">
        <v>15</v>
      </c>
      <c r="R106" s="107" t="e">
        <f>ROUND(Tableau1[[#This Row],[LEN]]*#REF!+#REF!,0)</f>
        <v>#REF!</v>
      </c>
    </row>
    <row r="107" spans="1:18" s="97" customFormat="1" hidden="1" x14ac:dyDescent="0.25">
      <c r="A107" s="17" t="s">
        <v>968</v>
      </c>
      <c r="B107" s="18" t="s">
        <v>235</v>
      </c>
      <c r="C107" s="420" t="s">
        <v>2149</v>
      </c>
      <c r="D107" s="19" t="s">
        <v>972</v>
      </c>
      <c r="E107" s="68" t="s">
        <v>1177</v>
      </c>
      <c r="F107" s="19" t="s">
        <v>667</v>
      </c>
      <c r="G107" s="19" t="s">
        <v>1177</v>
      </c>
      <c r="H107" s="68" t="s">
        <v>167</v>
      </c>
      <c r="I107" s="68" t="s">
        <v>18</v>
      </c>
      <c r="J107" s="19"/>
      <c r="K107" s="20" t="s">
        <v>708</v>
      </c>
      <c r="L107" s="20" t="str">
        <f t="shared" si="2"/>
        <v>_</v>
      </c>
      <c r="M107" s="107">
        <f>ROUND(Tableau1[[#This Row],[LEN]]*7.27,0)</f>
        <v>182</v>
      </c>
      <c r="N107" s="107">
        <v>15</v>
      </c>
      <c r="O107" s="125" t="str">
        <f t="shared" si="3"/>
        <v>_self</v>
      </c>
      <c r="P107" s="107">
        <f>LEN(Tableau1[[#This Row],[LABEL]])</f>
        <v>25</v>
      </c>
      <c r="Q107" s="107">
        <v>15</v>
      </c>
      <c r="R107" s="107" t="e">
        <f>ROUND(Tableau1[[#This Row],[LEN]]*#REF!+#REF!,0)</f>
        <v>#REF!</v>
      </c>
    </row>
    <row r="108" spans="1:18" s="97" customFormat="1" hidden="1" x14ac:dyDescent="0.25">
      <c r="A108" s="17" t="s">
        <v>969</v>
      </c>
      <c r="B108" s="18" t="s">
        <v>235</v>
      </c>
      <c r="C108" s="420" t="s">
        <v>2149</v>
      </c>
      <c r="D108" s="19" t="s">
        <v>110</v>
      </c>
      <c r="E108" s="68" t="s">
        <v>1177</v>
      </c>
      <c r="F108" s="19" t="s">
        <v>1177</v>
      </c>
      <c r="G108" s="19" t="s">
        <v>1084</v>
      </c>
      <c r="H108" s="68" t="s">
        <v>1977</v>
      </c>
      <c r="I108" s="68" t="s">
        <v>1131</v>
      </c>
      <c r="J108" s="19"/>
      <c r="K108" s="20" t="s">
        <v>708</v>
      </c>
      <c r="L108" s="20" t="str">
        <f t="shared" si="2"/>
        <v>_</v>
      </c>
      <c r="M108" s="107">
        <f>ROUND(Tableau1[[#This Row],[LEN]]*7.27,0)</f>
        <v>102</v>
      </c>
      <c r="N108" s="107">
        <v>15</v>
      </c>
      <c r="O108" s="125" t="str">
        <f t="shared" si="3"/>
        <v>_self</v>
      </c>
      <c r="P108" s="107">
        <f>LEN(Tableau1[[#This Row],[LABEL]])</f>
        <v>14</v>
      </c>
      <c r="Q108" s="107">
        <v>15</v>
      </c>
      <c r="R108" s="107" t="e">
        <f>ROUND(Tableau1[[#This Row],[LEN]]*#REF!+#REF!,0)</f>
        <v>#REF!</v>
      </c>
    </row>
    <row r="109" spans="1:18" s="273" customFormat="1" hidden="1" x14ac:dyDescent="0.25">
      <c r="A109" s="266" t="s">
        <v>236</v>
      </c>
      <c r="B109" s="267" t="s">
        <v>205</v>
      </c>
      <c r="C109" s="420" t="s">
        <v>2149</v>
      </c>
      <c r="D109" s="268" t="s">
        <v>5</v>
      </c>
      <c r="E109" s="269" t="s">
        <v>1177</v>
      </c>
      <c r="F109" s="268" t="s">
        <v>668</v>
      </c>
      <c r="G109" s="268" t="s">
        <v>1177</v>
      </c>
      <c r="H109" s="269" t="s">
        <v>167</v>
      </c>
      <c r="I109" s="269" t="str">
        <f>IFERROR(IF(SEARCH(".00.00.00.00.00",Tableau1[[#This Row],[name]],1)=7,"Division",""),"")</f>
        <v>Division</v>
      </c>
      <c r="J109" s="268"/>
      <c r="K109" s="270" t="s">
        <v>708</v>
      </c>
      <c r="L109" s="270" t="str">
        <f t="shared" si="2"/>
        <v>_</v>
      </c>
      <c r="M109" s="271">
        <f>ROUND(Tableau1[[#This Row],[LEN]]*7.27,0)</f>
        <v>73</v>
      </c>
      <c r="N109" s="271">
        <v>15</v>
      </c>
      <c r="O109" s="272" t="str">
        <f t="shared" si="3"/>
        <v>_self</v>
      </c>
      <c r="P109" s="271">
        <f>LEN(Tableau1[[#This Row],[LABEL]])</f>
        <v>10</v>
      </c>
      <c r="Q109" s="271">
        <v>15</v>
      </c>
      <c r="R109" s="271" t="e">
        <f>ROUND(Tableau1[[#This Row],[LEN]]*#REF!+#REF!,0)</f>
        <v>#REF!</v>
      </c>
    </row>
    <row r="110" spans="1:18" s="97" customFormat="1" hidden="1" x14ac:dyDescent="0.25">
      <c r="A110" s="17" t="s">
        <v>982</v>
      </c>
      <c r="B110" s="18" t="s">
        <v>236</v>
      </c>
      <c r="C110" s="420" t="s">
        <v>2149</v>
      </c>
      <c r="D110" s="19" t="s">
        <v>983</v>
      </c>
      <c r="E110" s="68" t="s">
        <v>1177</v>
      </c>
      <c r="F110" s="19" t="s">
        <v>668</v>
      </c>
      <c r="G110" s="19" t="s">
        <v>1177</v>
      </c>
      <c r="H110" s="68" t="s">
        <v>167</v>
      </c>
      <c r="I110" s="68" t="s">
        <v>18</v>
      </c>
      <c r="J110" s="19"/>
      <c r="K110" s="20" t="s">
        <v>708</v>
      </c>
      <c r="L110" s="20" t="str">
        <f t="shared" si="2"/>
        <v>_</v>
      </c>
      <c r="M110" s="107">
        <f>ROUND(Tableau1[[#This Row],[LEN]]*7.27,0)</f>
        <v>371</v>
      </c>
      <c r="N110" s="107">
        <v>15</v>
      </c>
      <c r="O110" s="125" t="str">
        <f t="shared" si="3"/>
        <v>_self</v>
      </c>
      <c r="P110" s="107">
        <f>LEN(Tableau1[[#This Row],[LABEL]])</f>
        <v>51</v>
      </c>
      <c r="Q110" s="107">
        <v>15</v>
      </c>
      <c r="R110" s="107" t="e">
        <f>ROUND(Tableau1[[#This Row],[LEN]]*#REF!+#REF!,0)</f>
        <v>#REF!</v>
      </c>
    </row>
    <row r="111" spans="1:18" s="273" customFormat="1" hidden="1" x14ac:dyDescent="0.25">
      <c r="A111" s="266" t="s">
        <v>237</v>
      </c>
      <c r="B111" s="267" t="s">
        <v>205</v>
      </c>
      <c r="C111" s="420" t="s">
        <v>2149</v>
      </c>
      <c r="D111" s="268" t="s">
        <v>2147</v>
      </c>
      <c r="E111" s="269" t="s">
        <v>1177</v>
      </c>
      <c r="F111" s="268" t="s">
        <v>669</v>
      </c>
      <c r="G111" s="268" t="s">
        <v>1177</v>
      </c>
      <c r="H111" s="269" t="s">
        <v>167</v>
      </c>
      <c r="I111" s="269" t="str">
        <f>IFERROR(IF(SEARCH(".00.00.00.00.00",Tableau1[[#This Row],[name]],1)=7,"Division",""),"")</f>
        <v>Division</v>
      </c>
      <c r="J111" s="268"/>
      <c r="K111" s="270" t="s">
        <v>708</v>
      </c>
      <c r="L111" s="270" t="str">
        <f t="shared" si="2"/>
        <v>_</v>
      </c>
      <c r="M111" s="271">
        <f>ROUND(Tableau1[[#This Row],[LEN]]*7.27,0)</f>
        <v>196</v>
      </c>
      <c r="N111" s="271">
        <v>15</v>
      </c>
      <c r="O111" s="272" t="str">
        <f t="shared" si="3"/>
        <v>_self</v>
      </c>
      <c r="P111" s="271">
        <f>LEN(Tableau1[[#This Row],[LABEL]])</f>
        <v>27</v>
      </c>
      <c r="Q111" s="271">
        <v>15</v>
      </c>
      <c r="R111" s="271" t="e">
        <f>ROUND(Tableau1[[#This Row],[LEN]]*#REF!+#REF!,0)</f>
        <v>#REF!</v>
      </c>
    </row>
    <row r="112" spans="1:18" s="97" customFormat="1" hidden="1" x14ac:dyDescent="0.25">
      <c r="A112" s="17" t="s">
        <v>382</v>
      </c>
      <c r="B112" s="18" t="s">
        <v>237</v>
      </c>
      <c r="C112" s="420" t="s">
        <v>2149</v>
      </c>
      <c r="D112" s="19" t="s">
        <v>81</v>
      </c>
      <c r="E112" s="68" t="s">
        <v>1177</v>
      </c>
      <c r="F112" s="19" t="s">
        <v>667</v>
      </c>
      <c r="G112" s="19" t="s">
        <v>702</v>
      </c>
      <c r="H112" s="68" t="s">
        <v>167</v>
      </c>
      <c r="I112" s="68" t="s">
        <v>654</v>
      </c>
      <c r="J112" s="19"/>
      <c r="K112" s="20" t="s">
        <v>708</v>
      </c>
      <c r="L112" s="20" t="str">
        <f t="shared" si="2"/>
        <v>_</v>
      </c>
      <c r="M112" s="107">
        <f>ROUND(Tableau1[[#This Row],[LEN]]*7.27,0)</f>
        <v>73</v>
      </c>
      <c r="N112" s="107">
        <v>15</v>
      </c>
      <c r="O112" s="125" t="str">
        <f t="shared" si="3"/>
        <v>_self</v>
      </c>
      <c r="P112" s="107">
        <f>LEN(Tableau1[[#This Row],[LABEL]])</f>
        <v>10</v>
      </c>
      <c r="Q112" s="107">
        <v>15</v>
      </c>
      <c r="R112" s="107" t="e">
        <f>ROUND(Tableau1[[#This Row],[LEN]]*#REF!+#REF!,0)</f>
        <v>#REF!</v>
      </c>
    </row>
    <row r="113" spans="1:18" s="97" customFormat="1" hidden="1" x14ac:dyDescent="0.25">
      <c r="A113" s="17" t="s">
        <v>383</v>
      </c>
      <c r="B113" s="18" t="s">
        <v>237</v>
      </c>
      <c r="C113" s="420" t="s">
        <v>2149</v>
      </c>
      <c r="D113" s="19" t="s">
        <v>136</v>
      </c>
      <c r="E113" s="68" t="s">
        <v>1177</v>
      </c>
      <c r="F113" s="19" t="s">
        <v>669</v>
      </c>
      <c r="G113" s="19" t="s">
        <v>678</v>
      </c>
      <c r="H113" s="68" t="s">
        <v>167</v>
      </c>
      <c r="I113" s="68" t="s">
        <v>656</v>
      </c>
      <c r="J113" s="19"/>
      <c r="K113" s="20" t="s">
        <v>708</v>
      </c>
      <c r="L113" s="20" t="str">
        <f t="shared" si="2"/>
        <v>_</v>
      </c>
      <c r="M113" s="107">
        <f>ROUND(Tableau1[[#This Row],[LEN]]*7.27,0)</f>
        <v>174</v>
      </c>
      <c r="N113" s="107">
        <v>15</v>
      </c>
      <c r="O113" s="125" t="str">
        <f t="shared" si="3"/>
        <v>_self</v>
      </c>
      <c r="P113" s="107">
        <f>LEN(Tableau1[[#This Row],[LABEL]])</f>
        <v>24</v>
      </c>
      <c r="Q113" s="107">
        <v>15</v>
      </c>
      <c r="R113" s="107" t="e">
        <f>ROUND(Tableau1[[#This Row],[LEN]]*#REF!+#REF!,0)</f>
        <v>#REF!</v>
      </c>
    </row>
    <row r="114" spans="1:18" s="97" customFormat="1" hidden="1" x14ac:dyDescent="0.25">
      <c r="A114" s="17" t="s">
        <v>384</v>
      </c>
      <c r="B114" s="18" t="s">
        <v>237</v>
      </c>
      <c r="C114" s="420" t="s">
        <v>2149</v>
      </c>
      <c r="D114" s="19" t="s">
        <v>110</v>
      </c>
      <c r="E114" s="68" t="s">
        <v>1177</v>
      </c>
      <c r="F114" s="19" t="s">
        <v>1177</v>
      </c>
      <c r="G114" s="19" t="s">
        <v>1084</v>
      </c>
      <c r="H114" s="68" t="s">
        <v>1977</v>
      </c>
      <c r="I114" s="68" t="s">
        <v>1131</v>
      </c>
      <c r="J114" s="19"/>
      <c r="K114" s="20" t="s">
        <v>708</v>
      </c>
      <c r="L114" s="20" t="str">
        <f t="shared" si="2"/>
        <v>_</v>
      </c>
      <c r="M114" s="107">
        <f>ROUND(Tableau1[[#This Row],[LEN]]*7.27,0)</f>
        <v>102</v>
      </c>
      <c r="N114" s="107">
        <v>15</v>
      </c>
      <c r="O114" s="125" t="str">
        <f t="shared" si="3"/>
        <v>_self</v>
      </c>
      <c r="P114" s="107">
        <f>LEN(Tableau1[[#This Row],[LABEL]])</f>
        <v>14</v>
      </c>
      <c r="Q114" s="107">
        <v>15</v>
      </c>
      <c r="R114" s="107" t="e">
        <f>ROUND(Tableau1[[#This Row],[LEN]]*#REF!+#REF!,0)</f>
        <v>#REF!</v>
      </c>
    </row>
    <row r="115" spans="1:18" s="273" customFormat="1" x14ac:dyDescent="0.25">
      <c r="A115" s="266" t="s">
        <v>240</v>
      </c>
      <c r="B115" s="267" t="s">
        <v>205</v>
      </c>
      <c r="C115" s="420" t="s">
        <v>2149</v>
      </c>
      <c r="D115" s="268" t="s">
        <v>9</v>
      </c>
      <c r="E115" s="269" t="s">
        <v>1177</v>
      </c>
      <c r="F115" s="268" t="s">
        <v>672</v>
      </c>
      <c r="G115" s="268" t="s">
        <v>1177</v>
      </c>
      <c r="H115" s="269" t="s">
        <v>167</v>
      </c>
      <c r="I115" s="269" t="str">
        <f>IFERROR(IF(SEARCH(".00.00.00.00.00",Tableau1[[#This Row],[name]],1)=7,"Division",""),"")</f>
        <v>Division</v>
      </c>
      <c r="J115" s="268"/>
      <c r="K115" s="270" t="s">
        <v>718</v>
      </c>
      <c r="L115" s="270" t="str">
        <f t="shared" si="2"/>
        <v>Documentation</v>
      </c>
      <c r="M115" s="271">
        <f>ROUND(Tableau1[[#This Row],[LEN]]*7.27,0)</f>
        <v>80</v>
      </c>
      <c r="N115" s="271">
        <v>15</v>
      </c>
      <c r="O115" s="272" t="str">
        <f t="shared" si="3"/>
        <v>_blank</v>
      </c>
      <c r="P115" s="271">
        <f>LEN(Tableau1[[#This Row],[LABEL]])</f>
        <v>11</v>
      </c>
      <c r="Q115" s="271">
        <v>15</v>
      </c>
      <c r="R115" s="271" t="e">
        <f>ROUND(Tableau1[[#This Row],[LEN]]*#REF!+#REF!,0)</f>
        <v>#REF!</v>
      </c>
    </row>
    <row r="116" spans="1:18" s="97" customFormat="1" x14ac:dyDescent="0.25">
      <c r="A116" s="17" t="s">
        <v>372</v>
      </c>
      <c r="B116" s="18" t="s">
        <v>240</v>
      </c>
      <c r="C116" s="420" t="s">
        <v>2149</v>
      </c>
      <c r="D116" s="19" t="s">
        <v>81</v>
      </c>
      <c r="E116" s="68" t="s">
        <v>1177</v>
      </c>
      <c r="F116" s="19" t="s">
        <v>672</v>
      </c>
      <c r="G116" s="19" t="s">
        <v>2077</v>
      </c>
      <c r="H116" s="68" t="s">
        <v>167</v>
      </c>
      <c r="I116" s="68" t="s">
        <v>655</v>
      </c>
      <c r="J116" s="19"/>
      <c r="K116" s="20" t="s">
        <v>708</v>
      </c>
      <c r="L116" s="20" t="str">
        <f t="shared" si="2"/>
        <v>_</v>
      </c>
      <c r="M116" s="107">
        <f>ROUND(Tableau1[[#This Row],[LEN]]*7.27,0)</f>
        <v>73</v>
      </c>
      <c r="N116" s="107">
        <v>15</v>
      </c>
      <c r="O116" s="125" t="str">
        <f t="shared" si="3"/>
        <v>_self</v>
      </c>
      <c r="P116" s="107">
        <f>LEN(Tableau1[[#This Row],[LABEL]])</f>
        <v>10</v>
      </c>
      <c r="Q116" s="107">
        <v>15</v>
      </c>
      <c r="R116" s="107" t="e">
        <f>ROUND(Tableau1[[#This Row],[LEN]]*#REF!+#REF!,0)</f>
        <v>#REF!</v>
      </c>
    </row>
    <row r="117" spans="1:18" s="97" customFormat="1" x14ac:dyDescent="0.25">
      <c r="A117" s="21" t="s">
        <v>385</v>
      </c>
      <c r="B117" s="22" t="s">
        <v>372</v>
      </c>
      <c r="C117" s="420" t="s">
        <v>2149</v>
      </c>
      <c r="D117" s="23" t="s">
        <v>187</v>
      </c>
      <c r="E117" s="69" t="s">
        <v>1177</v>
      </c>
      <c r="F117" s="23" t="s">
        <v>672</v>
      </c>
      <c r="G117" s="23" t="s">
        <v>2077</v>
      </c>
      <c r="H117" s="69" t="s">
        <v>167</v>
      </c>
      <c r="I117" s="69" t="s">
        <v>570</v>
      </c>
      <c r="J117" s="23"/>
      <c r="K117" s="24" t="s">
        <v>708</v>
      </c>
      <c r="L117" s="24" t="str">
        <f t="shared" si="2"/>
        <v>_</v>
      </c>
      <c r="M117" s="108">
        <f>ROUND(Tableau1[[#This Row],[LEN]]*7.27,0)</f>
        <v>305</v>
      </c>
      <c r="N117" s="108">
        <v>15</v>
      </c>
      <c r="O117" s="126" t="str">
        <f t="shared" si="3"/>
        <v>_self</v>
      </c>
      <c r="P117" s="108">
        <f>LEN(Tableau1[[#This Row],[LABEL]])</f>
        <v>42</v>
      </c>
      <c r="Q117" s="108">
        <v>15</v>
      </c>
      <c r="R117" s="108" t="e">
        <f>ROUND(Tableau1[[#This Row],[LEN]]*#REF!+#REF!,0)</f>
        <v>#REF!</v>
      </c>
    </row>
    <row r="118" spans="1:18" s="97" customFormat="1" x14ac:dyDescent="0.25">
      <c r="A118" s="21"/>
      <c r="B118" s="22"/>
      <c r="C118" s="420" t="s">
        <v>2149</v>
      </c>
      <c r="D118" s="439" t="s">
        <v>2212</v>
      </c>
      <c r="E118" s="69"/>
      <c r="F118" s="69"/>
      <c r="G118" s="23"/>
      <c r="H118" s="69"/>
      <c r="I118" s="440"/>
      <c r="J118" s="23"/>
      <c r="K118" s="441"/>
      <c r="L118" s="101" t="str">
        <f>IF(K118="javascript:void(0)","_","Documentation")</f>
        <v>Documentation</v>
      </c>
      <c r="M118" s="442"/>
      <c r="N118" s="442"/>
      <c r="O118" s="443" t="str">
        <f>IF(K118="javascript:void(0)","none","new")</f>
        <v>new</v>
      </c>
      <c r="P118" s="442">
        <f>LEN(Tableau1[[#This Row],[LABEL]])</f>
        <v>21</v>
      </c>
      <c r="Q118" s="442"/>
      <c r="R118" s="442"/>
    </row>
    <row r="119" spans="1:18" s="97" customFormat="1" x14ac:dyDescent="0.25">
      <c r="A119" s="21" t="s">
        <v>386</v>
      </c>
      <c r="B119" s="22" t="s">
        <v>372</v>
      </c>
      <c r="C119" s="420" t="s">
        <v>2149</v>
      </c>
      <c r="D119" s="439" t="s">
        <v>2191</v>
      </c>
      <c r="E119" s="69" t="s">
        <v>1177</v>
      </c>
      <c r="F119" s="23" t="s">
        <v>672</v>
      </c>
      <c r="G119" s="23" t="s">
        <v>2077</v>
      </c>
      <c r="H119" s="69" t="s">
        <v>167</v>
      </c>
      <c r="I119" s="69" t="s">
        <v>570</v>
      </c>
      <c r="J119" s="23"/>
      <c r="K119" s="24" t="s">
        <v>708</v>
      </c>
      <c r="L119" s="24" t="str">
        <f t="shared" si="2"/>
        <v>_</v>
      </c>
      <c r="M119" s="108">
        <f>ROUND(Tableau1[[#This Row],[LEN]]*7.27,0)</f>
        <v>734</v>
      </c>
      <c r="N119" s="108">
        <v>15</v>
      </c>
      <c r="O119" s="126" t="str">
        <f t="shared" si="3"/>
        <v>_self</v>
      </c>
      <c r="P119" s="108">
        <f>LEN(Tableau1[[#This Row],[LABEL]])</f>
        <v>101</v>
      </c>
      <c r="Q119" s="108">
        <v>15</v>
      </c>
      <c r="R119" s="108" t="e">
        <f>ROUND(Tableau1[[#This Row],[LEN]]*#REF!+#REF!,0)</f>
        <v>#REF!</v>
      </c>
    </row>
    <row r="120" spans="1:18" s="97" customFormat="1" x14ac:dyDescent="0.25">
      <c r="A120" s="21" t="s">
        <v>387</v>
      </c>
      <c r="B120" s="22" t="s">
        <v>372</v>
      </c>
      <c r="C120" s="420" t="s">
        <v>2149</v>
      </c>
      <c r="D120" s="453" t="s">
        <v>189</v>
      </c>
      <c r="E120" s="69" t="s">
        <v>1177</v>
      </c>
      <c r="F120" s="23" t="s">
        <v>672</v>
      </c>
      <c r="G120" s="23" t="s">
        <v>2077</v>
      </c>
      <c r="H120" s="69" t="s">
        <v>167</v>
      </c>
      <c r="I120" s="69" t="s">
        <v>570</v>
      </c>
      <c r="J120" s="23"/>
      <c r="K120" s="24" t="s">
        <v>708</v>
      </c>
      <c r="L120" s="24" t="str">
        <f t="shared" si="2"/>
        <v>_</v>
      </c>
      <c r="M120" s="108">
        <f>ROUND(Tableau1[[#This Row],[LEN]]*7.27,0)</f>
        <v>291</v>
      </c>
      <c r="N120" s="108">
        <v>15</v>
      </c>
      <c r="O120" s="126" t="str">
        <f t="shared" si="3"/>
        <v>_self</v>
      </c>
      <c r="P120" s="108">
        <f>LEN(Tableau1[[#This Row],[LABEL]])</f>
        <v>40</v>
      </c>
      <c r="Q120" s="108">
        <v>15</v>
      </c>
      <c r="R120" s="108" t="e">
        <f>ROUND(Tableau1[[#This Row],[LEN]]*#REF!+#REF!,0)</f>
        <v>#REF!</v>
      </c>
    </row>
    <row r="121" spans="1:18" s="97" customFormat="1" x14ac:dyDescent="0.25">
      <c r="A121" s="21"/>
      <c r="B121" s="22"/>
      <c r="C121" s="420" t="s">
        <v>2149</v>
      </c>
      <c r="D121" s="439" t="s">
        <v>2210</v>
      </c>
      <c r="E121" s="69"/>
      <c r="F121" s="69"/>
      <c r="G121" s="23"/>
      <c r="H121" s="69"/>
      <c r="I121" s="440"/>
      <c r="J121" s="23"/>
      <c r="K121" s="441"/>
      <c r="L121" s="101" t="str">
        <f>IF(K121="javascript:void(0)","_","Documentation")</f>
        <v>Documentation</v>
      </c>
      <c r="M121" s="442"/>
      <c r="N121" s="442"/>
      <c r="O121" s="443" t="str">
        <f>IF(K121="javascript:void(0)","none","new")</f>
        <v>new</v>
      </c>
      <c r="P121" s="442">
        <f>LEN(Tableau1[[#This Row],[LABEL]])</f>
        <v>88</v>
      </c>
      <c r="Q121" s="442"/>
      <c r="R121" s="442"/>
    </row>
    <row r="122" spans="1:18" s="97" customFormat="1" x14ac:dyDescent="0.25">
      <c r="A122" s="21" t="s">
        <v>388</v>
      </c>
      <c r="B122" s="22" t="s">
        <v>372</v>
      </c>
      <c r="C122" s="420" t="s">
        <v>2149</v>
      </c>
      <c r="D122" s="23" t="s">
        <v>2203</v>
      </c>
      <c r="E122" s="69" t="s">
        <v>1177</v>
      </c>
      <c r="F122" s="23" t="s">
        <v>672</v>
      </c>
      <c r="G122" s="23" t="s">
        <v>2077</v>
      </c>
      <c r="H122" s="69" t="s">
        <v>167</v>
      </c>
      <c r="I122" s="69" t="s">
        <v>570</v>
      </c>
      <c r="J122" s="23"/>
      <c r="K122" s="24" t="s">
        <v>708</v>
      </c>
      <c r="L122" s="24" t="str">
        <f t="shared" si="2"/>
        <v>_</v>
      </c>
      <c r="M122" s="108">
        <f>ROUND(Tableau1[[#This Row],[LEN]]*7.27,0)</f>
        <v>458</v>
      </c>
      <c r="N122" s="108">
        <v>15</v>
      </c>
      <c r="O122" s="126" t="str">
        <f t="shared" si="3"/>
        <v>_self</v>
      </c>
      <c r="P122" s="108">
        <f>LEN(Tableau1[[#This Row],[LABEL]])</f>
        <v>63</v>
      </c>
      <c r="Q122" s="108">
        <v>15</v>
      </c>
      <c r="R122" s="108" t="e">
        <f>ROUND(Tableau1[[#This Row],[LEN]]*#REF!+#REF!,0)</f>
        <v>#REF!</v>
      </c>
    </row>
    <row r="123" spans="1:18" s="97" customFormat="1" x14ac:dyDescent="0.25">
      <c r="A123" s="21" t="s">
        <v>389</v>
      </c>
      <c r="B123" s="22" t="s">
        <v>372</v>
      </c>
      <c r="C123" s="420" t="s">
        <v>2149</v>
      </c>
      <c r="D123" s="23" t="s">
        <v>191</v>
      </c>
      <c r="E123" s="69" t="s">
        <v>1177</v>
      </c>
      <c r="F123" s="23" t="s">
        <v>672</v>
      </c>
      <c r="G123" s="23" t="s">
        <v>2077</v>
      </c>
      <c r="H123" s="69" t="s">
        <v>167</v>
      </c>
      <c r="I123" s="69" t="s">
        <v>570</v>
      </c>
      <c r="J123" s="23"/>
      <c r="K123" s="24" t="s">
        <v>708</v>
      </c>
      <c r="L123" s="24" t="str">
        <f t="shared" si="2"/>
        <v>_</v>
      </c>
      <c r="M123" s="108">
        <f>ROUND(Tableau1[[#This Row],[LEN]]*7.27,0)</f>
        <v>233</v>
      </c>
      <c r="N123" s="108">
        <v>15</v>
      </c>
      <c r="O123" s="126" t="str">
        <f t="shared" si="3"/>
        <v>_self</v>
      </c>
      <c r="P123" s="108">
        <f>LEN(Tableau1[[#This Row],[LABEL]])</f>
        <v>32</v>
      </c>
      <c r="Q123" s="108">
        <v>15</v>
      </c>
      <c r="R123" s="108" t="e">
        <f>ROUND(Tableau1[[#This Row],[LEN]]*#REF!+#REF!,0)</f>
        <v>#REF!</v>
      </c>
    </row>
    <row r="124" spans="1:18" s="97" customFormat="1" x14ac:dyDescent="0.25">
      <c r="A124" s="21" t="s">
        <v>390</v>
      </c>
      <c r="B124" s="22" t="s">
        <v>372</v>
      </c>
      <c r="C124" s="420" t="s">
        <v>2149</v>
      </c>
      <c r="D124" s="23" t="s">
        <v>2169</v>
      </c>
      <c r="E124" s="69" t="s">
        <v>1177</v>
      </c>
      <c r="F124" s="23" t="s">
        <v>672</v>
      </c>
      <c r="G124" s="23" t="s">
        <v>2077</v>
      </c>
      <c r="H124" s="69" t="s">
        <v>167</v>
      </c>
      <c r="I124" s="69" t="s">
        <v>570</v>
      </c>
      <c r="J124" s="23"/>
      <c r="K124" s="24" t="s">
        <v>708</v>
      </c>
      <c r="L124" s="24" t="str">
        <f t="shared" si="2"/>
        <v>_</v>
      </c>
      <c r="M124" s="108">
        <f>ROUND(Tableau1[[#This Row],[LEN]]*7.27,0)</f>
        <v>378</v>
      </c>
      <c r="N124" s="108">
        <v>15</v>
      </c>
      <c r="O124" s="126" t="str">
        <f t="shared" si="3"/>
        <v>_self</v>
      </c>
      <c r="P124" s="108">
        <f>LEN(Tableau1[[#This Row],[LABEL]])</f>
        <v>52</v>
      </c>
      <c r="Q124" s="108">
        <v>15</v>
      </c>
      <c r="R124" s="108" t="e">
        <f>ROUND(Tableau1[[#This Row],[LEN]]*#REF!+#REF!,0)</f>
        <v>#REF!</v>
      </c>
    </row>
    <row r="125" spans="1:18" s="97" customFormat="1" x14ac:dyDescent="0.25">
      <c r="A125" s="21" t="s">
        <v>391</v>
      </c>
      <c r="B125" s="22" t="s">
        <v>372</v>
      </c>
      <c r="C125" s="420" t="s">
        <v>2149</v>
      </c>
      <c r="D125" s="453" t="s">
        <v>193</v>
      </c>
      <c r="E125" s="69" t="s">
        <v>1177</v>
      </c>
      <c r="F125" s="23" t="s">
        <v>672</v>
      </c>
      <c r="G125" s="23" t="s">
        <v>2077</v>
      </c>
      <c r="H125" s="69" t="s">
        <v>167</v>
      </c>
      <c r="I125" s="69" t="s">
        <v>570</v>
      </c>
      <c r="J125" s="23"/>
      <c r="K125" s="24" t="s">
        <v>708</v>
      </c>
      <c r="L125" s="24" t="str">
        <f t="shared" si="2"/>
        <v>_</v>
      </c>
      <c r="M125" s="108">
        <f>ROUND(Tableau1[[#This Row],[LEN]]*7.27,0)</f>
        <v>196</v>
      </c>
      <c r="N125" s="108">
        <v>15</v>
      </c>
      <c r="O125" s="126" t="str">
        <f t="shared" si="3"/>
        <v>_self</v>
      </c>
      <c r="P125" s="108">
        <f>LEN(Tableau1[[#This Row],[LABEL]])</f>
        <v>27</v>
      </c>
      <c r="Q125" s="108">
        <v>15</v>
      </c>
      <c r="R125" s="108" t="e">
        <f>ROUND(Tableau1[[#This Row],[LEN]]*#REF!+#REF!,0)</f>
        <v>#REF!</v>
      </c>
    </row>
    <row r="126" spans="1:18" s="97" customFormat="1" x14ac:dyDescent="0.25">
      <c r="A126" s="21" t="s">
        <v>392</v>
      </c>
      <c r="B126" s="22" t="s">
        <v>372</v>
      </c>
      <c r="C126" s="420" t="s">
        <v>2149</v>
      </c>
      <c r="D126" s="439" t="s">
        <v>2193</v>
      </c>
      <c r="E126" s="69" t="s">
        <v>1177</v>
      </c>
      <c r="F126" s="23" t="s">
        <v>672</v>
      </c>
      <c r="G126" s="23" t="s">
        <v>2077</v>
      </c>
      <c r="H126" s="69" t="s">
        <v>167</v>
      </c>
      <c r="I126" s="69" t="s">
        <v>570</v>
      </c>
      <c r="J126" s="23"/>
      <c r="K126" s="24" t="s">
        <v>708</v>
      </c>
      <c r="L126" s="24" t="str">
        <f t="shared" si="2"/>
        <v>_</v>
      </c>
      <c r="M126" s="108">
        <f>ROUND(Tableau1[[#This Row],[LEN]]*7.27,0)</f>
        <v>480</v>
      </c>
      <c r="N126" s="108">
        <v>15</v>
      </c>
      <c r="O126" s="126" t="str">
        <f t="shared" si="3"/>
        <v>_self</v>
      </c>
      <c r="P126" s="108">
        <f>LEN(Tableau1[[#This Row],[LABEL]])</f>
        <v>66</v>
      </c>
      <c r="Q126" s="108">
        <v>15</v>
      </c>
      <c r="R126" s="108" t="e">
        <f>ROUND(Tableau1[[#This Row],[LEN]]*#REF!+#REF!,0)</f>
        <v>#REF!</v>
      </c>
    </row>
    <row r="127" spans="1:18" s="97" customFormat="1" x14ac:dyDescent="0.25">
      <c r="A127" s="21"/>
      <c r="B127" s="22"/>
      <c r="C127" s="420" t="s">
        <v>2149</v>
      </c>
      <c r="D127" s="439" t="s">
        <v>2155</v>
      </c>
      <c r="E127" s="69"/>
      <c r="F127" s="69"/>
      <c r="G127" s="23"/>
      <c r="H127" s="69"/>
      <c r="I127" s="440"/>
      <c r="J127" s="23"/>
      <c r="K127" s="441"/>
      <c r="L127" s="101" t="str">
        <f>IF(K127="javascript:void(0)","_","Documentation")</f>
        <v>Documentation</v>
      </c>
      <c r="M127" s="442"/>
      <c r="N127" s="442"/>
      <c r="O127" s="443" t="str">
        <f>IF(K127="javascript:void(0)","none","new")</f>
        <v>new</v>
      </c>
      <c r="P127" s="442">
        <f>LEN(Tableau1[[#This Row],[LABEL]])</f>
        <v>21</v>
      </c>
      <c r="Q127" s="442"/>
      <c r="R127" s="442"/>
    </row>
    <row r="128" spans="1:18" s="97" customFormat="1" x14ac:dyDescent="0.25">
      <c r="A128" s="21" t="s">
        <v>393</v>
      </c>
      <c r="B128" s="22" t="s">
        <v>372</v>
      </c>
      <c r="C128" s="420" t="s">
        <v>2149</v>
      </c>
      <c r="D128" s="23" t="s">
        <v>195</v>
      </c>
      <c r="E128" s="69" t="s">
        <v>1177</v>
      </c>
      <c r="F128" s="23" t="s">
        <v>672</v>
      </c>
      <c r="G128" s="23" t="s">
        <v>2077</v>
      </c>
      <c r="H128" s="69" t="s">
        <v>167</v>
      </c>
      <c r="I128" s="69" t="s">
        <v>570</v>
      </c>
      <c r="J128" s="23"/>
      <c r="K128" s="24" t="s">
        <v>708</v>
      </c>
      <c r="L128" s="24" t="str">
        <f t="shared" si="2"/>
        <v>_</v>
      </c>
      <c r="M128" s="108">
        <f>ROUND(Tableau1[[#This Row],[LEN]]*7.27,0)</f>
        <v>240</v>
      </c>
      <c r="N128" s="108">
        <v>15</v>
      </c>
      <c r="O128" s="126" t="str">
        <f t="shared" si="3"/>
        <v>_self</v>
      </c>
      <c r="P128" s="108">
        <f>LEN(Tableau1[[#This Row],[LABEL]])</f>
        <v>33</v>
      </c>
      <c r="Q128" s="108">
        <v>15</v>
      </c>
      <c r="R128" s="108" t="e">
        <f>ROUND(Tableau1[[#This Row],[LEN]]*#REF!+#REF!,0)</f>
        <v>#REF!</v>
      </c>
    </row>
    <row r="129" spans="1:18" s="97" customFormat="1" x14ac:dyDescent="0.25">
      <c r="A129" s="21" t="s">
        <v>394</v>
      </c>
      <c r="B129" s="22" t="s">
        <v>372</v>
      </c>
      <c r="C129" s="420" t="s">
        <v>2149</v>
      </c>
      <c r="D129" s="23" t="s">
        <v>2156</v>
      </c>
      <c r="E129" s="69" t="s">
        <v>1177</v>
      </c>
      <c r="F129" s="23" t="s">
        <v>672</v>
      </c>
      <c r="G129" s="23" t="s">
        <v>2077</v>
      </c>
      <c r="H129" s="69" t="s">
        <v>167</v>
      </c>
      <c r="I129" s="69" t="s">
        <v>570</v>
      </c>
      <c r="J129" s="23"/>
      <c r="K129" s="24" t="s">
        <v>708</v>
      </c>
      <c r="L129" s="24" t="str">
        <f t="shared" si="2"/>
        <v>_</v>
      </c>
      <c r="M129" s="108">
        <f>ROUND(Tableau1[[#This Row],[LEN]]*7.27,0)</f>
        <v>327</v>
      </c>
      <c r="N129" s="108">
        <v>15</v>
      </c>
      <c r="O129" s="126" t="str">
        <f t="shared" si="3"/>
        <v>_self</v>
      </c>
      <c r="P129" s="108">
        <f>LEN(Tableau1[[#This Row],[LABEL]])</f>
        <v>45</v>
      </c>
      <c r="Q129" s="108">
        <v>15</v>
      </c>
      <c r="R129" s="108" t="e">
        <f>ROUND(Tableau1[[#This Row],[LEN]]*#REF!+#REF!,0)</f>
        <v>#REF!</v>
      </c>
    </row>
    <row r="130" spans="1:18" s="97" customFormat="1" x14ac:dyDescent="0.25">
      <c r="A130" s="21" t="s">
        <v>395</v>
      </c>
      <c r="B130" s="22" t="s">
        <v>372</v>
      </c>
      <c r="C130" s="420" t="s">
        <v>2149</v>
      </c>
      <c r="D130" s="23" t="s">
        <v>197</v>
      </c>
      <c r="E130" s="69" t="s">
        <v>1177</v>
      </c>
      <c r="F130" s="23" t="s">
        <v>672</v>
      </c>
      <c r="G130" s="23" t="s">
        <v>2077</v>
      </c>
      <c r="H130" s="69" t="s">
        <v>167</v>
      </c>
      <c r="I130" s="69" t="s">
        <v>570</v>
      </c>
      <c r="J130" s="23"/>
      <c r="K130" s="24" t="s">
        <v>708</v>
      </c>
      <c r="L130" s="24" t="str">
        <f t="shared" si="2"/>
        <v>_</v>
      </c>
      <c r="M130" s="108">
        <f>ROUND(Tableau1[[#This Row],[LEN]]*7.27,0)</f>
        <v>196</v>
      </c>
      <c r="N130" s="108">
        <v>15</v>
      </c>
      <c r="O130" s="126" t="str">
        <f t="shared" si="3"/>
        <v>_self</v>
      </c>
      <c r="P130" s="108">
        <f>LEN(Tableau1[[#This Row],[LABEL]])</f>
        <v>27</v>
      </c>
      <c r="Q130" s="108">
        <v>15</v>
      </c>
      <c r="R130" s="108" t="e">
        <f>ROUND(Tableau1[[#This Row],[LEN]]*#REF!+#REF!,0)</f>
        <v>#REF!</v>
      </c>
    </row>
    <row r="131" spans="1:18" s="97" customFormat="1" hidden="1" x14ac:dyDescent="0.25">
      <c r="A131" s="17" t="s">
        <v>470</v>
      </c>
      <c r="B131" s="18" t="s">
        <v>240</v>
      </c>
      <c r="C131" s="420" t="s">
        <v>2149</v>
      </c>
      <c r="D131" s="19" t="s">
        <v>110</v>
      </c>
      <c r="E131" s="68" t="s">
        <v>1177</v>
      </c>
      <c r="F131" s="19" t="s">
        <v>1177</v>
      </c>
      <c r="G131" s="19" t="s">
        <v>1084</v>
      </c>
      <c r="H131" s="68" t="s">
        <v>1977</v>
      </c>
      <c r="I131" s="68" t="s">
        <v>1131</v>
      </c>
      <c r="J131" s="19"/>
      <c r="K131" s="20" t="s">
        <v>708</v>
      </c>
      <c r="L131" s="20" t="str">
        <f t="shared" si="2"/>
        <v>_</v>
      </c>
      <c r="M131" s="107">
        <f>ROUND(Tableau1[[#This Row],[LEN]]*7.27,0)</f>
        <v>102</v>
      </c>
      <c r="N131" s="107">
        <v>15</v>
      </c>
      <c r="O131" s="125" t="str">
        <f t="shared" si="3"/>
        <v>_self</v>
      </c>
      <c r="P131" s="107">
        <f>LEN(Tableau1[[#This Row],[LABEL]])</f>
        <v>14</v>
      </c>
      <c r="Q131" s="107">
        <v>15</v>
      </c>
      <c r="R131" s="107" t="e">
        <f>ROUND(Tableau1[[#This Row],[LEN]]*#REF!+#REF!,0)</f>
        <v>#REF!</v>
      </c>
    </row>
    <row r="132" spans="1:18" s="273" customFormat="1" hidden="1" x14ac:dyDescent="0.25">
      <c r="A132" s="266" t="s">
        <v>241</v>
      </c>
      <c r="B132" s="267" t="s">
        <v>205</v>
      </c>
      <c r="C132" s="420" t="s">
        <v>2149</v>
      </c>
      <c r="D132" s="268" t="s">
        <v>10</v>
      </c>
      <c r="E132" s="269" t="s">
        <v>1177</v>
      </c>
      <c r="F132" s="268" t="s">
        <v>673</v>
      </c>
      <c r="G132" s="268" t="s">
        <v>1177</v>
      </c>
      <c r="H132" s="269" t="s">
        <v>167</v>
      </c>
      <c r="I132" s="269" t="str">
        <f>IFERROR(IF(SEARCH(".00.00.00.00.00",Tableau1[[#This Row],[name]],1)=7,"Division",""),"")</f>
        <v>Division</v>
      </c>
      <c r="J132" s="268"/>
      <c r="K132" s="270" t="s">
        <v>719</v>
      </c>
      <c r="L132" s="270" t="str">
        <f t="shared" si="2"/>
        <v>Documentation</v>
      </c>
      <c r="M132" s="271">
        <f>ROUND(Tableau1[[#This Row],[LEN]]*7.27,0)</f>
        <v>109</v>
      </c>
      <c r="N132" s="271">
        <v>15</v>
      </c>
      <c r="O132" s="272" t="str">
        <f t="shared" si="3"/>
        <v>_blank</v>
      </c>
      <c r="P132" s="271">
        <f>LEN(Tableau1[[#This Row],[LABEL]])</f>
        <v>15</v>
      </c>
      <c r="Q132" s="271">
        <v>15</v>
      </c>
      <c r="R132" s="271" t="e">
        <f>ROUND(Tableau1[[#This Row],[LEN]]*#REF!+#REF!,0)</f>
        <v>#REF!</v>
      </c>
    </row>
    <row r="133" spans="1:18" s="97" customFormat="1" hidden="1" x14ac:dyDescent="0.25">
      <c r="A133" s="17" t="s">
        <v>984</v>
      </c>
      <c r="B133" s="18" t="s">
        <v>241</v>
      </c>
      <c r="C133" s="420" t="s">
        <v>2149</v>
      </c>
      <c r="D133" s="19" t="s">
        <v>81</v>
      </c>
      <c r="E133" s="68" t="s">
        <v>1177</v>
      </c>
      <c r="F133" s="19" t="s">
        <v>667</v>
      </c>
      <c r="G133" s="19" t="s">
        <v>2078</v>
      </c>
      <c r="H133" s="68" t="s">
        <v>167</v>
      </c>
      <c r="I133" s="68" t="s">
        <v>655</v>
      </c>
      <c r="J133" s="19"/>
      <c r="K133" s="20" t="s">
        <v>708</v>
      </c>
      <c r="L133" s="20" t="str">
        <f t="shared" ref="L133:L196" si="4">IF(K133="javascript:void(0)","_","Documentation")</f>
        <v>_</v>
      </c>
      <c r="M133" s="107">
        <f>ROUND(Tableau1[[#This Row],[LEN]]*7.27,0)</f>
        <v>73</v>
      </c>
      <c r="N133" s="107">
        <v>15</v>
      </c>
      <c r="O133" s="125" t="str">
        <f t="shared" si="3"/>
        <v>_self</v>
      </c>
      <c r="P133" s="107">
        <f>LEN(Tableau1[[#This Row],[LABEL]])</f>
        <v>10</v>
      </c>
      <c r="Q133" s="107">
        <v>15</v>
      </c>
      <c r="R133" s="107" t="e">
        <f>ROUND(Tableau1[[#This Row],[LEN]]*#REF!+#REF!,0)</f>
        <v>#REF!</v>
      </c>
    </row>
    <row r="134" spans="1:18" s="97" customFormat="1" hidden="1" x14ac:dyDescent="0.25">
      <c r="A134" s="21" t="s">
        <v>987</v>
      </c>
      <c r="B134" s="22" t="s">
        <v>984</v>
      </c>
      <c r="C134" s="420" t="s">
        <v>2149</v>
      </c>
      <c r="D134" s="23" t="s">
        <v>992</v>
      </c>
      <c r="E134" s="69" t="s">
        <v>1177</v>
      </c>
      <c r="F134" s="23" t="s">
        <v>667</v>
      </c>
      <c r="G134" s="23" t="s">
        <v>2078</v>
      </c>
      <c r="H134" s="69" t="s">
        <v>167</v>
      </c>
      <c r="I134" s="69" t="s">
        <v>570</v>
      </c>
      <c r="J134" s="23"/>
      <c r="K134" s="24" t="s">
        <v>708</v>
      </c>
      <c r="L134" s="24" t="str">
        <f t="shared" si="4"/>
        <v>_</v>
      </c>
      <c r="M134" s="108">
        <f>ROUND(Tableau1[[#This Row],[LEN]]*7.27,0)</f>
        <v>138</v>
      </c>
      <c r="N134" s="108">
        <v>15</v>
      </c>
      <c r="O134" s="126" t="str">
        <f t="shared" ref="O134:O197" si="5">IF(K134="javascript:void(0)","_self","_blank")</f>
        <v>_self</v>
      </c>
      <c r="P134" s="108">
        <f>LEN(Tableau1[[#This Row],[LABEL]])</f>
        <v>19</v>
      </c>
      <c r="Q134" s="108">
        <v>15</v>
      </c>
      <c r="R134" s="108" t="e">
        <f>ROUND(Tableau1[[#This Row],[LEN]]*#REF!+#REF!,0)</f>
        <v>#REF!</v>
      </c>
    </row>
    <row r="135" spans="1:18" s="97" customFormat="1" hidden="1" x14ac:dyDescent="0.25">
      <c r="A135" s="21" t="s">
        <v>988</v>
      </c>
      <c r="B135" s="22" t="s">
        <v>984</v>
      </c>
      <c r="C135" s="420" t="s">
        <v>2149</v>
      </c>
      <c r="D135" s="23" t="s">
        <v>993</v>
      </c>
      <c r="E135" s="69" t="s">
        <v>1177</v>
      </c>
      <c r="F135" s="23" t="s">
        <v>667</v>
      </c>
      <c r="G135" s="23" t="s">
        <v>2078</v>
      </c>
      <c r="H135" s="69" t="s">
        <v>167</v>
      </c>
      <c r="I135" s="69" t="s">
        <v>570</v>
      </c>
      <c r="J135" s="23"/>
      <c r="K135" s="24" t="s">
        <v>708</v>
      </c>
      <c r="L135" s="24" t="str">
        <f t="shared" si="4"/>
        <v>_</v>
      </c>
      <c r="M135" s="108">
        <f>ROUND(Tableau1[[#This Row],[LEN]]*7.27,0)</f>
        <v>225</v>
      </c>
      <c r="N135" s="108">
        <v>15</v>
      </c>
      <c r="O135" s="126" t="str">
        <f t="shared" si="5"/>
        <v>_self</v>
      </c>
      <c r="P135" s="108">
        <f>LEN(Tableau1[[#This Row],[LABEL]])</f>
        <v>31</v>
      </c>
      <c r="Q135" s="108">
        <v>15</v>
      </c>
      <c r="R135" s="108" t="e">
        <f>ROUND(Tableau1[[#This Row],[LEN]]*#REF!+#REF!,0)</f>
        <v>#REF!</v>
      </c>
    </row>
    <row r="136" spans="1:18" s="97" customFormat="1" hidden="1" x14ac:dyDescent="0.25">
      <c r="A136" s="21" t="s">
        <v>989</v>
      </c>
      <c r="B136" s="22" t="s">
        <v>984</v>
      </c>
      <c r="C136" s="420" t="s">
        <v>2149</v>
      </c>
      <c r="D136" s="23" t="s">
        <v>994</v>
      </c>
      <c r="E136" s="69" t="s">
        <v>1177</v>
      </c>
      <c r="F136" s="23" t="s">
        <v>667</v>
      </c>
      <c r="G136" s="23" t="s">
        <v>2078</v>
      </c>
      <c r="H136" s="69" t="s">
        <v>167</v>
      </c>
      <c r="I136" s="69" t="s">
        <v>570</v>
      </c>
      <c r="J136" s="23"/>
      <c r="K136" s="24" t="s">
        <v>708</v>
      </c>
      <c r="L136" s="24" t="str">
        <f t="shared" si="4"/>
        <v>_</v>
      </c>
      <c r="M136" s="108">
        <f>ROUND(Tableau1[[#This Row],[LEN]]*7.27,0)</f>
        <v>153</v>
      </c>
      <c r="N136" s="108">
        <v>15</v>
      </c>
      <c r="O136" s="126" t="str">
        <f t="shared" si="5"/>
        <v>_self</v>
      </c>
      <c r="P136" s="108">
        <f>LEN(Tableau1[[#This Row],[LABEL]])</f>
        <v>21</v>
      </c>
      <c r="Q136" s="108">
        <v>15</v>
      </c>
      <c r="R136" s="108" t="e">
        <f>ROUND(Tableau1[[#This Row],[LEN]]*#REF!+#REF!,0)</f>
        <v>#REF!</v>
      </c>
    </row>
    <row r="137" spans="1:18" s="97" customFormat="1" hidden="1" x14ac:dyDescent="0.25">
      <c r="A137" s="21" t="s">
        <v>990</v>
      </c>
      <c r="B137" s="22" t="s">
        <v>984</v>
      </c>
      <c r="C137" s="420" t="s">
        <v>2149</v>
      </c>
      <c r="D137" s="23" t="s">
        <v>995</v>
      </c>
      <c r="E137" s="69" t="s">
        <v>1177</v>
      </c>
      <c r="F137" s="23" t="s">
        <v>667</v>
      </c>
      <c r="G137" s="23" t="s">
        <v>2078</v>
      </c>
      <c r="H137" s="69" t="s">
        <v>167</v>
      </c>
      <c r="I137" s="69" t="s">
        <v>570</v>
      </c>
      <c r="J137" s="23"/>
      <c r="K137" s="24" t="s">
        <v>708</v>
      </c>
      <c r="L137" s="24" t="str">
        <f t="shared" si="4"/>
        <v>_</v>
      </c>
      <c r="M137" s="108">
        <f>ROUND(Tableau1[[#This Row],[LEN]]*7.27,0)</f>
        <v>327</v>
      </c>
      <c r="N137" s="108">
        <v>15</v>
      </c>
      <c r="O137" s="126" t="str">
        <f t="shared" si="5"/>
        <v>_self</v>
      </c>
      <c r="P137" s="108">
        <f>LEN(Tableau1[[#This Row],[LABEL]])</f>
        <v>45</v>
      </c>
      <c r="Q137" s="108">
        <v>15</v>
      </c>
      <c r="R137" s="108" t="e">
        <f>ROUND(Tableau1[[#This Row],[LEN]]*#REF!+#REF!,0)</f>
        <v>#REF!</v>
      </c>
    </row>
    <row r="138" spans="1:18" s="97" customFormat="1" hidden="1" x14ac:dyDescent="0.25">
      <c r="A138" s="21" t="s">
        <v>991</v>
      </c>
      <c r="B138" s="22" t="s">
        <v>984</v>
      </c>
      <c r="C138" s="420" t="s">
        <v>2149</v>
      </c>
      <c r="D138" s="23" t="s">
        <v>996</v>
      </c>
      <c r="E138" s="69" t="s">
        <v>1177</v>
      </c>
      <c r="F138" s="23" t="s">
        <v>667</v>
      </c>
      <c r="G138" s="23" t="s">
        <v>2078</v>
      </c>
      <c r="H138" s="69" t="s">
        <v>167</v>
      </c>
      <c r="I138" s="69" t="s">
        <v>570</v>
      </c>
      <c r="J138" s="23"/>
      <c r="K138" s="24" t="s">
        <v>708</v>
      </c>
      <c r="L138" s="24" t="str">
        <f t="shared" si="4"/>
        <v>_</v>
      </c>
      <c r="M138" s="108">
        <f>ROUND(Tableau1[[#This Row],[LEN]]*7.27,0)</f>
        <v>211</v>
      </c>
      <c r="N138" s="108">
        <v>15</v>
      </c>
      <c r="O138" s="126" t="str">
        <f t="shared" si="5"/>
        <v>_self</v>
      </c>
      <c r="P138" s="108">
        <f>LEN(Tableau1[[#This Row],[LABEL]])</f>
        <v>29</v>
      </c>
      <c r="Q138" s="108">
        <v>15</v>
      </c>
      <c r="R138" s="108" t="e">
        <f>ROUND(Tableau1[[#This Row],[LEN]]*#REF!+#REF!,0)</f>
        <v>#REF!</v>
      </c>
    </row>
    <row r="139" spans="1:18" s="97" customFormat="1" hidden="1" x14ac:dyDescent="0.25">
      <c r="A139" s="17" t="s">
        <v>985</v>
      </c>
      <c r="B139" s="18" t="s">
        <v>241</v>
      </c>
      <c r="C139" s="420" t="s">
        <v>2149</v>
      </c>
      <c r="D139" s="19" t="s">
        <v>110</v>
      </c>
      <c r="E139" s="68" t="s">
        <v>1177</v>
      </c>
      <c r="F139" s="19" t="s">
        <v>1177</v>
      </c>
      <c r="G139" s="19" t="s">
        <v>1084</v>
      </c>
      <c r="H139" s="68" t="s">
        <v>1977</v>
      </c>
      <c r="I139" s="68" t="s">
        <v>1131</v>
      </c>
      <c r="J139" s="19"/>
      <c r="K139" s="20" t="s">
        <v>708</v>
      </c>
      <c r="L139" s="20" t="str">
        <f t="shared" si="4"/>
        <v>_</v>
      </c>
      <c r="M139" s="107">
        <f>ROUND(Tableau1[[#This Row],[LEN]]*7.27,0)</f>
        <v>102</v>
      </c>
      <c r="N139" s="107">
        <v>15</v>
      </c>
      <c r="O139" s="125" t="str">
        <f t="shared" si="5"/>
        <v>_self</v>
      </c>
      <c r="P139" s="107">
        <f>LEN(Tableau1[[#This Row],[LABEL]])</f>
        <v>14</v>
      </c>
      <c r="Q139" s="107">
        <v>15</v>
      </c>
      <c r="R139" s="107" t="e">
        <f>ROUND(Tableau1[[#This Row],[LEN]]*#REF!+#REF!,0)</f>
        <v>#REF!</v>
      </c>
    </row>
    <row r="140" spans="1:18" s="273" customFormat="1" hidden="1" x14ac:dyDescent="0.25">
      <c r="A140" s="266" t="s">
        <v>242</v>
      </c>
      <c r="B140" s="267" t="s">
        <v>205</v>
      </c>
      <c r="C140" s="420" t="s">
        <v>2149</v>
      </c>
      <c r="D140" s="268" t="s">
        <v>11</v>
      </c>
      <c r="E140" s="269" t="s">
        <v>1177</v>
      </c>
      <c r="F140" s="268" t="s">
        <v>674</v>
      </c>
      <c r="G140" s="268" t="s">
        <v>1177</v>
      </c>
      <c r="H140" s="269" t="s">
        <v>167</v>
      </c>
      <c r="I140" s="269" t="str">
        <f>IFERROR(IF(SEARCH(".00.00.00.00.00",Tableau1[[#This Row],[name]],1)=7,"Division",""),"")</f>
        <v>Division</v>
      </c>
      <c r="J140" s="268"/>
      <c r="K140" s="270" t="s">
        <v>720</v>
      </c>
      <c r="L140" s="270" t="str">
        <f t="shared" si="4"/>
        <v>Documentation</v>
      </c>
      <c r="M140" s="271">
        <f>ROUND(Tableau1[[#This Row],[LEN]]*7.27,0)</f>
        <v>51</v>
      </c>
      <c r="N140" s="271">
        <v>15</v>
      </c>
      <c r="O140" s="272" t="str">
        <f t="shared" si="5"/>
        <v>_blank</v>
      </c>
      <c r="P140" s="271">
        <f>LEN(Tableau1[[#This Row],[LABEL]])</f>
        <v>7</v>
      </c>
      <c r="Q140" s="271">
        <v>15</v>
      </c>
      <c r="R140" s="271" t="e">
        <f>ROUND(Tableau1[[#This Row],[LEN]]*#REF!+#REF!,0)</f>
        <v>#REF!</v>
      </c>
    </row>
    <row r="141" spans="1:18" s="97" customFormat="1" hidden="1" x14ac:dyDescent="0.25">
      <c r="A141" s="17" t="s">
        <v>997</v>
      </c>
      <c r="B141" s="18" t="s">
        <v>242</v>
      </c>
      <c r="C141" s="420" t="s">
        <v>2149</v>
      </c>
      <c r="D141" s="19" t="s">
        <v>2089</v>
      </c>
      <c r="E141" s="68" t="s">
        <v>1177</v>
      </c>
      <c r="F141" s="19" t="s">
        <v>667</v>
      </c>
      <c r="G141" s="19" t="s">
        <v>2079</v>
      </c>
      <c r="H141" s="68" t="s">
        <v>167</v>
      </c>
      <c r="I141" s="68" t="s">
        <v>655</v>
      </c>
      <c r="J141" s="19"/>
      <c r="K141" s="20" t="s">
        <v>708</v>
      </c>
      <c r="L141" s="20" t="str">
        <f t="shared" si="4"/>
        <v>_</v>
      </c>
      <c r="M141" s="107">
        <f>ROUND(Tableau1[[#This Row],[LEN]]*7.27,0)</f>
        <v>276</v>
      </c>
      <c r="N141" s="107">
        <v>15</v>
      </c>
      <c r="O141" s="125" t="str">
        <f t="shared" si="5"/>
        <v>_self</v>
      </c>
      <c r="P141" s="107">
        <f>LEN(Tableau1[[#This Row],[LABEL]])</f>
        <v>38</v>
      </c>
      <c r="Q141" s="107">
        <v>15</v>
      </c>
      <c r="R141" s="107" t="e">
        <f>ROUND(Tableau1[[#This Row],[LEN]]*#REF!+#REF!,0)</f>
        <v>#REF!</v>
      </c>
    </row>
    <row r="142" spans="1:18" s="97" customFormat="1" hidden="1" x14ac:dyDescent="0.25">
      <c r="A142" s="17" t="s">
        <v>998</v>
      </c>
      <c r="B142" s="18" t="s">
        <v>242</v>
      </c>
      <c r="C142" s="420" t="s">
        <v>2149</v>
      </c>
      <c r="D142" s="19" t="s">
        <v>1001</v>
      </c>
      <c r="E142" s="68" t="s">
        <v>1177</v>
      </c>
      <c r="F142" s="19" t="s">
        <v>1177</v>
      </c>
      <c r="G142" s="19" t="s">
        <v>1084</v>
      </c>
      <c r="H142" s="68" t="s">
        <v>1977</v>
      </c>
      <c r="I142" s="68" t="s">
        <v>1131</v>
      </c>
      <c r="J142" s="19"/>
      <c r="K142" s="20" t="s">
        <v>708</v>
      </c>
      <c r="L142" s="20" t="str">
        <f t="shared" si="4"/>
        <v>_</v>
      </c>
      <c r="M142" s="107">
        <f>ROUND(Tableau1[[#This Row],[LEN]]*7.27,0)</f>
        <v>174</v>
      </c>
      <c r="N142" s="107">
        <v>15</v>
      </c>
      <c r="O142" s="125" t="str">
        <f t="shared" si="5"/>
        <v>_self</v>
      </c>
      <c r="P142" s="107">
        <f>LEN(Tableau1[[#This Row],[LABEL]])</f>
        <v>24</v>
      </c>
      <c r="Q142" s="107">
        <v>15</v>
      </c>
      <c r="R142" s="107" t="e">
        <f>ROUND(Tableau1[[#This Row],[LEN]]*#REF!+#REF!,0)</f>
        <v>#REF!</v>
      </c>
    </row>
    <row r="143" spans="1:18" s="273" customFormat="1" hidden="1" x14ac:dyDescent="0.25">
      <c r="A143" s="266" t="s">
        <v>243</v>
      </c>
      <c r="B143" s="267" t="s">
        <v>205</v>
      </c>
      <c r="C143" s="420" t="s">
        <v>2149</v>
      </c>
      <c r="D143" s="268" t="s">
        <v>12</v>
      </c>
      <c r="E143" s="269" t="s">
        <v>1177</v>
      </c>
      <c r="F143" s="268" t="s">
        <v>675</v>
      </c>
      <c r="G143" s="268" t="s">
        <v>1177</v>
      </c>
      <c r="H143" s="269" t="s">
        <v>167</v>
      </c>
      <c r="I143" s="269" t="str">
        <f>IFERROR(IF(SEARCH(".00.00.00.00.00",Tableau1[[#This Row],[name]],1)=7,"Division",""),"")</f>
        <v>Division</v>
      </c>
      <c r="J143" s="268"/>
      <c r="K143" s="270" t="s">
        <v>721</v>
      </c>
      <c r="L143" s="270" t="str">
        <f t="shared" si="4"/>
        <v>Documentation</v>
      </c>
      <c r="M143" s="271">
        <f>ROUND(Tableau1[[#This Row],[LEN]]*7.27,0)</f>
        <v>15</v>
      </c>
      <c r="N143" s="271">
        <v>15</v>
      </c>
      <c r="O143" s="272" t="str">
        <f t="shared" si="5"/>
        <v>_blank</v>
      </c>
      <c r="P143" s="271">
        <f>LEN(Tableau1[[#This Row],[LABEL]])</f>
        <v>2</v>
      </c>
      <c r="Q143" s="271">
        <v>15</v>
      </c>
      <c r="R143" s="271" t="e">
        <f>ROUND(Tableau1[[#This Row],[LEN]]*#REF!+#REF!,0)</f>
        <v>#REF!</v>
      </c>
    </row>
    <row r="144" spans="1:18" s="97" customFormat="1" hidden="1" x14ac:dyDescent="0.25">
      <c r="A144" s="17" t="s">
        <v>1004</v>
      </c>
      <c r="B144" s="18" t="s">
        <v>243</v>
      </c>
      <c r="C144" s="420" t="s">
        <v>2149</v>
      </c>
      <c r="D144" s="19" t="s">
        <v>1007</v>
      </c>
      <c r="E144" s="68" t="s">
        <v>1177</v>
      </c>
      <c r="F144" s="19" t="s">
        <v>675</v>
      </c>
      <c r="G144" s="19" t="s">
        <v>1177</v>
      </c>
      <c r="H144" s="68" t="s">
        <v>167</v>
      </c>
      <c r="I144" s="68" t="s">
        <v>655</v>
      </c>
      <c r="J144" s="19"/>
      <c r="K144" s="20" t="s">
        <v>708</v>
      </c>
      <c r="L144" s="20" t="str">
        <f t="shared" si="4"/>
        <v>_</v>
      </c>
      <c r="M144" s="107">
        <f>ROUND(Tableau1[[#This Row],[LEN]]*7.27,0)</f>
        <v>305</v>
      </c>
      <c r="N144" s="107">
        <v>15</v>
      </c>
      <c r="O144" s="125" t="str">
        <f t="shared" si="5"/>
        <v>_self</v>
      </c>
      <c r="P144" s="107">
        <f>LEN(Tableau1[[#This Row],[LABEL]])</f>
        <v>42</v>
      </c>
      <c r="Q144" s="107">
        <v>15</v>
      </c>
      <c r="R144" s="107" t="e">
        <f>ROUND(Tableau1[[#This Row],[LEN]]*#REF!+#REF!,0)</f>
        <v>#REF!</v>
      </c>
    </row>
    <row r="145" spans="1:18" s="97" customFormat="1" hidden="1" x14ac:dyDescent="0.25">
      <c r="A145" s="21" t="s">
        <v>1009</v>
      </c>
      <c r="B145" s="22" t="s">
        <v>1004</v>
      </c>
      <c r="C145" s="420" t="s">
        <v>2149</v>
      </c>
      <c r="D145" s="23" t="s">
        <v>1012</v>
      </c>
      <c r="E145" s="69" t="s">
        <v>1177</v>
      </c>
      <c r="F145" s="23" t="s">
        <v>675</v>
      </c>
      <c r="G145" s="23" t="s">
        <v>1177</v>
      </c>
      <c r="H145" s="69" t="s">
        <v>167</v>
      </c>
      <c r="I145" s="69" t="s">
        <v>656</v>
      </c>
      <c r="J145" s="23"/>
      <c r="K145" s="24" t="s">
        <v>708</v>
      </c>
      <c r="L145" s="24" t="str">
        <f t="shared" si="4"/>
        <v>_</v>
      </c>
      <c r="M145" s="108">
        <f>ROUND(Tableau1[[#This Row],[LEN]]*7.27,0)</f>
        <v>276</v>
      </c>
      <c r="N145" s="108">
        <v>15</v>
      </c>
      <c r="O145" s="126" t="str">
        <f t="shared" si="5"/>
        <v>_self</v>
      </c>
      <c r="P145" s="108">
        <f>LEN(Tableau1[[#This Row],[LABEL]])</f>
        <v>38</v>
      </c>
      <c r="Q145" s="108">
        <v>15</v>
      </c>
      <c r="R145" s="108" t="e">
        <f>ROUND(Tableau1[[#This Row],[LEN]]*#REF!+#REF!,0)</f>
        <v>#REF!</v>
      </c>
    </row>
    <row r="146" spans="1:18" s="97" customFormat="1" hidden="1" x14ac:dyDescent="0.25">
      <c r="A146" s="21" t="s">
        <v>1010</v>
      </c>
      <c r="B146" s="22" t="s">
        <v>1004</v>
      </c>
      <c r="C146" s="420" t="s">
        <v>2149</v>
      </c>
      <c r="D146" s="23" t="s">
        <v>1013</v>
      </c>
      <c r="E146" s="69" t="s">
        <v>1177</v>
      </c>
      <c r="F146" s="23" t="s">
        <v>675</v>
      </c>
      <c r="G146" s="23" t="s">
        <v>1177</v>
      </c>
      <c r="H146" s="69" t="s">
        <v>167</v>
      </c>
      <c r="I146" s="69" t="s">
        <v>656</v>
      </c>
      <c r="J146" s="23"/>
      <c r="K146" s="24" t="s">
        <v>708</v>
      </c>
      <c r="L146" s="24" t="str">
        <f t="shared" si="4"/>
        <v>_</v>
      </c>
      <c r="M146" s="108">
        <f>ROUND(Tableau1[[#This Row],[LEN]]*7.27,0)</f>
        <v>284</v>
      </c>
      <c r="N146" s="108">
        <v>15</v>
      </c>
      <c r="O146" s="126" t="str">
        <f t="shared" si="5"/>
        <v>_self</v>
      </c>
      <c r="P146" s="108">
        <f>LEN(Tableau1[[#This Row],[LABEL]])</f>
        <v>39</v>
      </c>
      <c r="Q146" s="108">
        <v>15</v>
      </c>
      <c r="R146" s="108" t="e">
        <f>ROUND(Tableau1[[#This Row],[LEN]]*#REF!+#REF!,0)</f>
        <v>#REF!</v>
      </c>
    </row>
    <row r="147" spans="1:18" s="97" customFormat="1" hidden="1" x14ac:dyDescent="0.25">
      <c r="A147" s="21" t="s">
        <v>1011</v>
      </c>
      <c r="B147" s="22" t="s">
        <v>1004</v>
      </c>
      <c r="C147" s="420" t="s">
        <v>2149</v>
      </c>
      <c r="D147" s="23" t="s">
        <v>1014</v>
      </c>
      <c r="E147" s="69" t="s">
        <v>1177</v>
      </c>
      <c r="F147" s="23" t="s">
        <v>675</v>
      </c>
      <c r="G147" s="23" t="s">
        <v>1177</v>
      </c>
      <c r="H147" s="69" t="s">
        <v>167</v>
      </c>
      <c r="I147" s="69" t="s">
        <v>656</v>
      </c>
      <c r="J147" s="23"/>
      <c r="K147" s="24" t="s">
        <v>708</v>
      </c>
      <c r="L147" s="24" t="str">
        <f t="shared" si="4"/>
        <v>_</v>
      </c>
      <c r="M147" s="108">
        <f>ROUND(Tableau1[[#This Row],[LEN]]*7.27,0)</f>
        <v>327</v>
      </c>
      <c r="N147" s="108">
        <v>15</v>
      </c>
      <c r="O147" s="126" t="str">
        <f t="shared" si="5"/>
        <v>_self</v>
      </c>
      <c r="P147" s="108">
        <f>LEN(Tableau1[[#This Row],[LABEL]])</f>
        <v>45</v>
      </c>
      <c r="Q147" s="108">
        <v>15</v>
      </c>
      <c r="R147" s="108" t="e">
        <f>ROUND(Tableau1[[#This Row],[LEN]]*#REF!+#REF!,0)</f>
        <v>#REF!</v>
      </c>
    </row>
    <row r="148" spans="1:18" s="97" customFormat="1" hidden="1" x14ac:dyDescent="0.25">
      <c r="A148" s="17" t="s">
        <v>1005</v>
      </c>
      <c r="B148" s="18" t="s">
        <v>243</v>
      </c>
      <c r="C148" s="420" t="s">
        <v>2149</v>
      </c>
      <c r="D148" s="19" t="s">
        <v>1008</v>
      </c>
      <c r="E148" s="68" t="s">
        <v>1177</v>
      </c>
      <c r="F148" s="19" t="s">
        <v>675</v>
      </c>
      <c r="G148" s="19" t="s">
        <v>1177</v>
      </c>
      <c r="H148" s="68" t="s">
        <v>167</v>
      </c>
      <c r="I148" s="68" t="s">
        <v>654</v>
      </c>
      <c r="J148" s="19"/>
      <c r="K148" s="20" t="s">
        <v>708</v>
      </c>
      <c r="L148" s="20" t="str">
        <f t="shared" si="4"/>
        <v>_</v>
      </c>
      <c r="M148" s="107">
        <f>ROUND(Tableau1[[#This Row],[LEN]]*7.27,0)</f>
        <v>305</v>
      </c>
      <c r="N148" s="107">
        <v>15</v>
      </c>
      <c r="O148" s="125" t="str">
        <f t="shared" si="5"/>
        <v>_self</v>
      </c>
      <c r="P148" s="107">
        <f>LEN(Tableau1[[#This Row],[LABEL]])</f>
        <v>42</v>
      </c>
      <c r="Q148" s="107">
        <v>15</v>
      </c>
      <c r="R148" s="107" t="e">
        <f>ROUND(Tableau1[[#This Row],[LEN]]*#REF!+#REF!,0)</f>
        <v>#REF!</v>
      </c>
    </row>
    <row r="149" spans="1:18" s="97" customFormat="1" hidden="1" x14ac:dyDescent="0.25">
      <c r="A149" s="17" t="s">
        <v>1006</v>
      </c>
      <c r="B149" s="18" t="s">
        <v>243</v>
      </c>
      <c r="C149" s="420" t="s">
        <v>2149</v>
      </c>
      <c r="D149" s="19" t="s">
        <v>110</v>
      </c>
      <c r="E149" s="68" t="s">
        <v>1177</v>
      </c>
      <c r="F149" s="19" t="s">
        <v>1177</v>
      </c>
      <c r="G149" s="19" t="s">
        <v>1084</v>
      </c>
      <c r="H149" s="68" t="s">
        <v>1977</v>
      </c>
      <c r="I149" s="68" t="s">
        <v>1131</v>
      </c>
      <c r="J149" s="19"/>
      <c r="K149" s="20" t="s">
        <v>708</v>
      </c>
      <c r="L149" s="20" t="str">
        <f t="shared" si="4"/>
        <v>_</v>
      </c>
      <c r="M149" s="107">
        <f>ROUND(Tableau1[[#This Row],[LEN]]*7.27,0)</f>
        <v>102</v>
      </c>
      <c r="N149" s="107">
        <v>15</v>
      </c>
      <c r="O149" s="125" t="str">
        <f t="shared" si="5"/>
        <v>_self</v>
      </c>
      <c r="P149" s="107">
        <f>LEN(Tableau1[[#This Row],[LABEL]])</f>
        <v>14</v>
      </c>
      <c r="Q149" s="107">
        <v>15</v>
      </c>
      <c r="R149" s="107" t="e">
        <f>ROUND(Tableau1[[#This Row],[LEN]]*#REF!+#REF!,0)</f>
        <v>#REF!</v>
      </c>
    </row>
    <row r="150" spans="1:18" s="273" customFormat="1" hidden="1" x14ac:dyDescent="0.25">
      <c r="A150" s="266" t="s">
        <v>244</v>
      </c>
      <c r="B150" s="267" t="s">
        <v>205</v>
      </c>
      <c r="C150" s="420" t="s">
        <v>2149</v>
      </c>
      <c r="D150" s="268" t="s">
        <v>71</v>
      </c>
      <c r="E150" s="269" t="s">
        <v>1177</v>
      </c>
      <c r="F150" s="268" t="s">
        <v>676</v>
      </c>
      <c r="G150" s="268" t="s">
        <v>1177</v>
      </c>
      <c r="H150" s="269" t="s">
        <v>167</v>
      </c>
      <c r="I150" s="269" t="str">
        <f>IFERROR(IF(SEARCH(".00.00.00.00.00",Tableau1[[#This Row],[name]],1)=7,"Division",""),"")</f>
        <v>Division</v>
      </c>
      <c r="J150" s="268"/>
      <c r="K150" s="270" t="s">
        <v>722</v>
      </c>
      <c r="L150" s="270" t="str">
        <f t="shared" si="4"/>
        <v>Documentation</v>
      </c>
      <c r="M150" s="271">
        <f>ROUND(Tableau1[[#This Row],[LEN]]*7.27,0)</f>
        <v>29</v>
      </c>
      <c r="N150" s="271">
        <v>15</v>
      </c>
      <c r="O150" s="272" t="str">
        <f t="shared" si="5"/>
        <v>_blank</v>
      </c>
      <c r="P150" s="271">
        <f>LEN(Tableau1[[#This Row],[LABEL]])</f>
        <v>4</v>
      </c>
      <c r="Q150" s="271">
        <v>15</v>
      </c>
      <c r="R150" s="271" t="e">
        <f>ROUND(Tableau1[[#This Row],[LEN]]*#REF!+#REF!,0)</f>
        <v>#REF!</v>
      </c>
    </row>
    <row r="151" spans="1:18" s="97" customFormat="1" hidden="1" x14ac:dyDescent="0.25">
      <c r="A151" s="17" t="s">
        <v>1017</v>
      </c>
      <c r="B151" s="18" t="s">
        <v>244</v>
      </c>
      <c r="C151" s="420" t="s">
        <v>2149</v>
      </c>
      <c r="D151" s="19" t="s">
        <v>1016</v>
      </c>
      <c r="E151" s="68" t="s">
        <v>1177</v>
      </c>
      <c r="F151" s="19" t="s">
        <v>676</v>
      </c>
      <c r="G151" s="19" t="s">
        <v>1177</v>
      </c>
      <c r="H151" s="68" t="s">
        <v>167</v>
      </c>
      <c r="I151" s="68" t="s">
        <v>656</v>
      </c>
      <c r="J151" s="19"/>
      <c r="K151" s="20" t="s">
        <v>722</v>
      </c>
      <c r="L151" s="20" t="str">
        <f t="shared" si="4"/>
        <v>Documentation</v>
      </c>
      <c r="M151" s="107">
        <f>ROUND(Tableau1[[#This Row],[LEN]]*7.27,0)</f>
        <v>342</v>
      </c>
      <c r="N151" s="107">
        <v>15</v>
      </c>
      <c r="O151" s="125" t="str">
        <f t="shared" si="5"/>
        <v>_blank</v>
      </c>
      <c r="P151" s="107">
        <f>LEN(Tableau1[[#This Row],[LABEL]])</f>
        <v>47</v>
      </c>
      <c r="Q151" s="107">
        <v>15</v>
      </c>
      <c r="R151" s="107" t="e">
        <f>ROUND(Tableau1[[#This Row],[LEN]]*#REF!+#REF!,0)</f>
        <v>#REF!</v>
      </c>
    </row>
    <row r="152" spans="1:18" s="97" customFormat="1" hidden="1" x14ac:dyDescent="0.25">
      <c r="A152" s="17" t="s">
        <v>1018</v>
      </c>
      <c r="B152" s="18" t="s">
        <v>244</v>
      </c>
      <c r="C152" s="420" t="s">
        <v>2149</v>
      </c>
      <c r="D152" s="19" t="s">
        <v>1015</v>
      </c>
      <c r="E152" s="68" t="s">
        <v>1177</v>
      </c>
      <c r="F152" s="19" t="s">
        <v>676</v>
      </c>
      <c r="G152" s="19" t="s">
        <v>1177</v>
      </c>
      <c r="H152" s="68" t="s">
        <v>167</v>
      </c>
      <c r="I152" s="68" t="s">
        <v>656</v>
      </c>
      <c r="J152" s="19"/>
      <c r="K152" s="20" t="s">
        <v>722</v>
      </c>
      <c r="L152" s="20" t="str">
        <f t="shared" si="4"/>
        <v>Documentation</v>
      </c>
      <c r="M152" s="107">
        <f>ROUND(Tableau1[[#This Row],[LEN]]*7.27,0)</f>
        <v>269</v>
      </c>
      <c r="N152" s="107">
        <v>15</v>
      </c>
      <c r="O152" s="125" t="str">
        <f t="shared" si="5"/>
        <v>_blank</v>
      </c>
      <c r="P152" s="107">
        <f>LEN(Tableau1[[#This Row],[LABEL]])</f>
        <v>37</v>
      </c>
      <c r="Q152" s="107">
        <v>15</v>
      </c>
      <c r="R152" s="107" t="e">
        <f>ROUND(Tableau1[[#This Row],[LEN]]*#REF!+#REF!,0)</f>
        <v>#REF!</v>
      </c>
    </row>
    <row r="153" spans="1:18" s="97" customFormat="1" hidden="1" x14ac:dyDescent="0.25">
      <c r="A153" s="17" t="s">
        <v>1019</v>
      </c>
      <c r="B153" s="18" t="s">
        <v>244</v>
      </c>
      <c r="C153" s="420" t="s">
        <v>2149</v>
      </c>
      <c r="D153" s="19" t="s">
        <v>110</v>
      </c>
      <c r="E153" s="68" t="s">
        <v>1177</v>
      </c>
      <c r="F153" s="19" t="s">
        <v>1177</v>
      </c>
      <c r="G153" s="19" t="s">
        <v>1084</v>
      </c>
      <c r="H153" s="68" t="s">
        <v>1977</v>
      </c>
      <c r="I153" s="68" t="s">
        <v>1131</v>
      </c>
      <c r="J153" s="19"/>
      <c r="K153" s="20" t="s">
        <v>708</v>
      </c>
      <c r="L153" s="20" t="str">
        <f t="shared" si="4"/>
        <v>_</v>
      </c>
      <c r="M153" s="107">
        <f>ROUND(Tableau1[[#This Row],[LEN]]*7.27,0)</f>
        <v>102</v>
      </c>
      <c r="N153" s="107">
        <v>15</v>
      </c>
      <c r="O153" s="125" t="str">
        <f t="shared" si="5"/>
        <v>_self</v>
      </c>
      <c r="P153" s="107">
        <f>LEN(Tableau1[[#This Row],[LABEL]])</f>
        <v>14</v>
      </c>
      <c r="Q153" s="107">
        <v>15</v>
      </c>
      <c r="R153" s="107" t="e">
        <f>ROUND(Tableau1[[#This Row],[LEN]]*#REF!+#REF!,0)</f>
        <v>#REF!</v>
      </c>
    </row>
    <row r="154" spans="1:18" s="273" customFormat="1" hidden="1" x14ac:dyDescent="0.25">
      <c r="A154" s="266" t="s">
        <v>245</v>
      </c>
      <c r="B154" s="267" t="s">
        <v>205</v>
      </c>
      <c r="C154" s="420" t="s">
        <v>2149</v>
      </c>
      <c r="D154" s="268" t="s">
        <v>13</v>
      </c>
      <c r="E154" s="269" t="s">
        <v>1177</v>
      </c>
      <c r="F154" s="268" t="s">
        <v>677</v>
      </c>
      <c r="G154" s="268" t="s">
        <v>1177</v>
      </c>
      <c r="H154" s="269" t="s">
        <v>167</v>
      </c>
      <c r="I154" s="269" t="str">
        <f>IFERROR(IF(SEARCH(".00.00.00.00.00",Tableau1[[#This Row],[name]],1)=7,"Division",""),"")</f>
        <v>Division</v>
      </c>
      <c r="J154" s="268"/>
      <c r="K154" s="270" t="s">
        <v>708</v>
      </c>
      <c r="L154" s="270" t="str">
        <f t="shared" si="4"/>
        <v>_</v>
      </c>
      <c r="M154" s="271">
        <f>ROUND(Tableau1[[#This Row],[LEN]]*7.27,0)</f>
        <v>80</v>
      </c>
      <c r="N154" s="271">
        <v>15</v>
      </c>
      <c r="O154" s="272" t="str">
        <f t="shared" si="5"/>
        <v>_self</v>
      </c>
      <c r="P154" s="271">
        <f>LEN(Tableau1[[#This Row],[LABEL]])</f>
        <v>11</v>
      </c>
      <c r="Q154" s="271">
        <v>15</v>
      </c>
      <c r="R154" s="271" t="e">
        <f>ROUND(Tableau1[[#This Row],[LEN]]*#REF!+#REF!,0)</f>
        <v>#REF!</v>
      </c>
    </row>
    <row r="155" spans="1:18" s="97" customFormat="1" hidden="1" x14ac:dyDescent="0.25">
      <c r="A155" s="17" t="s">
        <v>1020</v>
      </c>
      <c r="B155" s="18" t="s">
        <v>245</v>
      </c>
      <c r="C155" s="420" t="s">
        <v>2149</v>
      </c>
      <c r="D155" s="19" t="s">
        <v>81</v>
      </c>
      <c r="E155" s="68" t="s">
        <v>1177</v>
      </c>
      <c r="F155" s="19" t="s">
        <v>667</v>
      </c>
      <c r="G155" s="19" t="s">
        <v>1963</v>
      </c>
      <c r="H155" s="68" t="s">
        <v>167</v>
      </c>
      <c r="I155" s="68" t="s">
        <v>655</v>
      </c>
      <c r="J155" s="19"/>
      <c r="K155" s="20" t="s">
        <v>708</v>
      </c>
      <c r="L155" s="20" t="str">
        <f t="shared" si="4"/>
        <v>_</v>
      </c>
      <c r="M155" s="107">
        <f>ROUND(Tableau1[[#This Row],[LEN]]*7.27,0)</f>
        <v>73</v>
      </c>
      <c r="N155" s="107">
        <v>15</v>
      </c>
      <c r="O155" s="125" t="str">
        <f t="shared" si="5"/>
        <v>_self</v>
      </c>
      <c r="P155" s="107">
        <f>LEN(Tableau1[[#This Row],[LABEL]])</f>
        <v>10</v>
      </c>
      <c r="Q155" s="107">
        <v>15</v>
      </c>
      <c r="R155" s="107" t="e">
        <f>ROUND(Tableau1[[#This Row],[LEN]]*#REF!+#REF!,0)</f>
        <v>#REF!</v>
      </c>
    </row>
    <row r="156" spans="1:18" s="97" customFormat="1" hidden="1" x14ac:dyDescent="0.25">
      <c r="A156" s="21" t="s">
        <v>1024</v>
      </c>
      <c r="B156" s="22" t="s">
        <v>1020</v>
      </c>
      <c r="C156" s="420" t="s">
        <v>2149</v>
      </c>
      <c r="D156" s="23" t="s">
        <v>1031</v>
      </c>
      <c r="E156" s="69" t="s">
        <v>1177</v>
      </c>
      <c r="F156" s="23" t="s">
        <v>667</v>
      </c>
      <c r="G156" s="23" t="s">
        <v>1963</v>
      </c>
      <c r="H156" s="69" t="s">
        <v>167</v>
      </c>
      <c r="I156" s="69" t="s">
        <v>570</v>
      </c>
      <c r="J156" s="23"/>
      <c r="K156" s="24" t="s">
        <v>708</v>
      </c>
      <c r="L156" s="24" t="str">
        <f t="shared" si="4"/>
        <v>_</v>
      </c>
      <c r="M156" s="108">
        <f>ROUND(Tableau1[[#This Row],[LEN]]*7.27,0)</f>
        <v>167</v>
      </c>
      <c r="N156" s="108">
        <v>15</v>
      </c>
      <c r="O156" s="126" t="str">
        <f t="shared" si="5"/>
        <v>_self</v>
      </c>
      <c r="P156" s="108">
        <f>LEN(Tableau1[[#This Row],[LABEL]])</f>
        <v>23</v>
      </c>
      <c r="Q156" s="108">
        <v>15</v>
      </c>
      <c r="R156" s="108" t="e">
        <f>ROUND(Tableau1[[#This Row],[LEN]]*#REF!+#REF!,0)</f>
        <v>#REF!</v>
      </c>
    </row>
    <row r="157" spans="1:18" s="97" customFormat="1" hidden="1" x14ac:dyDescent="0.25">
      <c r="A157" s="21" t="s">
        <v>1025</v>
      </c>
      <c r="B157" s="22" t="s">
        <v>1020</v>
      </c>
      <c r="C157" s="420" t="s">
        <v>2149</v>
      </c>
      <c r="D157" s="23" t="s">
        <v>1032</v>
      </c>
      <c r="E157" s="69" t="s">
        <v>1177</v>
      </c>
      <c r="F157" s="23" t="s">
        <v>667</v>
      </c>
      <c r="G157" s="23" t="s">
        <v>1963</v>
      </c>
      <c r="H157" s="69" t="s">
        <v>167</v>
      </c>
      <c r="I157" s="69" t="s">
        <v>570</v>
      </c>
      <c r="J157" s="23"/>
      <c r="K157" s="24" t="s">
        <v>708</v>
      </c>
      <c r="L157" s="24" t="str">
        <f t="shared" si="4"/>
        <v>_</v>
      </c>
      <c r="M157" s="108">
        <f>ROUND(Tableau1[[#This Row],[LEN]]*7.27,0)</f>
        <v>153</v>
      </c>
      <c r="N157" s="108">
        <v>15</v>
      </c>
      <c r="O157" s="126" t="str">
        <f t="shared" si="5"/>
        <v>_self</v>
      </c>
      <c r="P157" s="108">
        <f>LEN(Tableau1[[#This Row],[LABEL]])</f>
        <v>21</v>
      </c>
      <c r="Q157" s="108">
        <v>15</v>
      </c>
      <c r="R157" s="108" t="e">
        <f>ROUND(Tableau1[[#This Row],[LEN]]*#REF!+#REF!,0)</f>
        <v>#REF!</v>
      </c>
    </row>
    <row r="158" spans="1:18" s="97" customFormat="1" hidden="1" x14ac:dyDescent="0.25">
      <c r="A158" s="21" t="s">
        <v>1026</v>
      </c>
      <c r="B158" s="22" t="s">
        <v>1020</v>
      </c>
      <c r="C158" s="420" t="s">
        <v>2149</v>
      </c>
      <c r="D158" s="23" t="s">
        <v>1033</v>
      </c>
      <c r="E158" s="69" t="s">
        <v>1177</v>
      </c>
      <c r="F158" s="23" t="s">
        <v>667</v>
      </c>
      <c r="G158" s="23" t="s">
        <v>1963</v>
      </c>
      <c r="H158" s="69" t="s">
        <v>167</v>
      </c>
      <c r="I158" s="69" t="s">
        <v>570</v>
      </c>
      <c r="J158" s="23"/>
      <c r="K158" s="24" t="s">
        <v>708</v>
      </c>
      <c r="L158" s="24" t="str">
        <f t="shared" si="4"/>
        <v>_</v>
      </c>
      <c r="M158" s="108">
        <f>ROUND(Tableau1[[#This Row],[LEN]]*7.27,0)</f>
        <v>334</v>
      </c>
      <c r="N158" s="108">
        <v>15</v>
      </c>
      <c r="O158" s="126" t="str">
        <f t="shared" si="5"/>
        <v>_self</v>
      </c>
      <c r="P158" s="108">
        <f>LEN(Tableau1[[#This Row],[LABEL]])</f>
        <v>46</v>
      </c>
      <c r="Q158" s="108">
        <v>15</v>
      </c>
      <c r="R158" s="108" t="e">
        <f>ROUND(Tableau1[[#This Row],[LEN]]*#REF!+#REF!,0)</f>
        <v>#REF!</v>
      </c>
    </row>
    <row r="159" spans="1:18" s="97" customFormat="1" hidden="1" x14ac:dyDescent="0.25">
      <c r="A159" s="21" t="s">
        <v>1027</v>
      </c>
      <c r="B159" s="22" t="s">
        <v>1020</v>
      </c>
      <c r="C159" s="420" t="s">
        <v>2149</v>
      </c>
      <c r="D159" s="23" t="s">
        <v>1034</v>
      </c>
      <c r="E159" s="69" t="s">
        <v>1177</v>
      </c>
      <c r="F159" s="23" t="s">
        <v>667</v>
      </c>
      <c r="G159" s="23" t="s">
        <v>1963</v>
      </c>
      <c r="H159" s="69" t="s">
        <v>167</v>
      </c>
      <c r="I159" s="69" t="s">
        <v>570</v>
      </c>
      <c r="J159" s="23"/>
      <c r="K159" s="24" t="s">
        <v>708</v>
      </c>
      <c r="L159" s="24" t="str">
        <f t="shared" si="4"/>
        <v>_</v>
      </c>
      <c r="M159" s="108">
        <f>ROUND(Tableau1[[#This Row],[LEN]]*7.27,0)</f>
        <v>393</v>
      </c>
      <c r="N159" s="108">
        <v>15</v>
      </c>
      <c r="O159" s="126" t="str">
        <f t="shared" si="5"/>
        <v>_self</v>
      </c>
      <c r="P159" s="108">
        <f>LEN(Tableau1[[#This Row],[LABEL]])</f>
        <v>54</v>
      </c>
      <c r="Q159" s="108">
        <v>15</v>
      </c>
      <c r="R159" s="108" t="e">
        <f>ROUND(Tableau1[[#This Row],[LEN]]*#REF!+#REF!,0)</f>
        <v>#REF!</v>
      </c>
    </row>
    <row r="160" spans="1:18" s="97" customFormat="1" hidden="1" x14ac:dyDescent="0.25">
      <c r="A160" s="21" t="s">
        <v>1028</v>
      </c>
      <c r="B160" s="22" t="s">
        <v>1020</v>
      </c>
      <c r="C160" s="420" t="s">
        <v>2149</v>
      </c>
      <c r="D160" s="23" t="s">
        <v>1035</v>
      </c>
      <c r="E160" s="69" t="s">
        <v>1177</v>
      </c>
      <c r="F160" s="23" t="s">
        <v>667</v>
      </c>
      <c r="G160" s="23" t="s">
        <v>1963</v>
      </c>
      <c r="H160" s="69" t="s">
        <v>167</v>
      </c>
      <c r="I160" s="69" t="s">
        <v>570</v>
      </c>
      <c r="J160" s="23"/>
      <c r="K160" s="24" t="s">
        <v>708</v>
      </c>
      <c r="L160" s="24" t="str">
        <f t="shared" si="4"/>
        <v>_</v>
      </c>
      <c r="M160" s="108">
        <f>ROUND(Tableau1[[#This Row],[LEN]]*7.27,0)</f>
        <v>320</v>
      </c>
      <c r="N160" s="108">
        <v>15</v>
      </c>
      <c r="O160" s="126" t="str">
        <f t="shared" si="5"/>
        <v>_self</v>
      </c>
      <c r="P160" s="108">
        <f>LEN(Tableau1[[#This Row],[LABEL]])</f>
        <v>44</v>
      </c>
      <c r="Q160" s="108">
        <v>15</v>
      </c>
      <c r="R160" s="108" t="e">
        <f>ROUND(Tableau1[[#This Row],[LEN]]*#REF!+#REF!,0)</f>
        <v>#REF!</v>
      </c>
    </row>
    <row r="161" spans="1:18" s="97" customFormat="1" hidden="1" x14ac:dyDescent="0.25">
      <c r="A161" s="21" t="s">
        <v>1029</v>
      </c>
      <c r="B161" s="22" t="s">
        <v>1020</v>
      </c>
      <c r="C161" s="420" t="s">
        <v>2149</v>
      </c>
      <c r="D161" s="23" t="s">
        <v>1036</v>
      </c>
      <c r="E161" s="69" t="s">
        <v>1177</v>
      </c>
      <c r="F161" s="23" t="s">
        <v>667</v>
      </c>
      <c r="G161" s="23" t="s">
        <v>1963</v>
      </c>
      <c r="H161" s="69" t="s">
        <v>167</v>
      </c>
      <c r="I161" s="69" t="s">
        <v>570</v>
      </c>
      <c r="J161" s="23"/>
      <c r="K161" s="24" t="s">
        <v>708</v>
      </c>
      <c r="L161" s="24" t="str">
        <f t="shared" si="4"/>
        <v>_</v>
      </c>
      <c r="M161" s="108">
        <f>ROUND(Tableau1[[#This Row],[LEN]]*7.27,0)</f>
        <v>95</v>
      </c>
      <c r="N161" s="108">
        <v>15</v>
      </c>
      <c r="O161" s="126" t="str">
        <f t="shared" si="5"/>
        <v>_self</v>
      </c>
      <c r="P161" s="108">
        <f>LEN(Tableau1[[#This Row],[LABEL]])</f>
        <v>13</v>
      </c>
      <c r="Q161" s="108">
        <v>15</v>
      </c>
      <c r="R161" s="108" t="e">
        <f>ROUND(Tableau1[[#This Row],[LEN]]*#REF!+#REF!,0)</f>
        <v>#REF!</v>
      </c>
    </row>
    <row r="162" spans="1:18" s="97" customFormat="1" hidden="1" x14ac:dyDescent="0.25">
      <c r="A162" s="21" t="s">
        <v>1030</v>
      </c>
      <c r="B162" s="22" t="s">
        <v>1020</v>
      </c>
      <c r="C162" s="420" t="s">
        <v>2149</v>
      </c>
      <c r="D162" s="23" t="s">
        <v>1037</v>
      </c>
      <c r="E162" s="69" t="s">
        <v>1177</v>
      </c>
      <c r="F162" s="23" t="s">
        <v>667</v>
      </c>
      <c r="G162" s="23" t="s">
        <v>1963</v>
      </c>
      <c r="H162" s="69" t="s">
        <v>167</v>
      </c>
      <c r="I162" s="69" t="s">
        <v>570</v>
      </c>
      <c r="J162" s="23"/>
      <c r="K162" s="24" t="s">
        <v>708</v>
      </c>
      <c r="L162" s="24" t="str">
        <f t="shared" si="4"/>
        <v>_</v>
      </c>
      <c r="M162" s="108">
        <f>ROUND(Tableau1[[#This Row],[LEN]]*7.27,0)</f>
        <v>124</v>
      </c>
      <c r="N162" s="108">
        <v>15</v>
      </c>
      <c r="O162" s="126" t="str">
        <f t="shared" si="5"/>
        <v>_self</v>
      </c>
      <c r="P162" s="108">
        <f>LEN(Tableau1[[#This Row],[LABEL]])</f>
        <v>17</v>
      </c>
      <c r="Q162" s="108">
        <v>15</v>
      </c>
      <c r="R162" s="108" t="e">
        <f>ROUND(Tableau1[[#This Row],[LEN]]*#REF!+#REF!,0)</f>
        <v>#REF!</v>
      </c>
    </row>
    <row r="163" spans="1:18" s="97" customFormat="1" hidden="1" x14ac:dyDescent="0.25">
      <c r="A163" s="17" t="s">
        <v>1021</v>
      </c>
      <c r="B163" s="18" t="s">
        <v>245</v>
      </c>
      <c r="C163" s="420" t="s">
        <v>2149</v>
      </c>
      <c r="D163" s="19" t="s">
        <v>1023</v>
      </c>
      <c r="E163" s="68" t="s">
        <v>1177</v>
      </c>
      <c r="F163" s="19" t="s">
        <v>677</v>
      </c>
      <c r="G163" s="19" t="s">
        <v>1177</v>
      </c>
      <c r="H163" s="68" t="s">
        <v>167</v>
      </c>
      <c r="I163" s="68" t="s">
        <v>654</v>
      </c>
      <c r="J163" s="19"/>
      <c r="K163" s="20" t="s">
        <v>708</v>
      </c>
      <c r="L163" s="20" t="str">
        <f t="shared" si="4"/>
        <v>_</v>
      </c>
      <c r="M163" s="107">
        <f>ROUND(Tableau1[[#This Row],[LEN]]*7.27,0)</f>
        <v>196</v>
      </c>
      <c r="N163" s="107">
        <v>15</v>
      </c>
      <c r="O163" s="125" t="str">
        <f t="shared" si="5"/>
        <v>_self</v>
      </c>
      <c r="P163" s="107">
        <f>LEN(Tableau1[[#This Row],[LABEL]])</f>
        <v>27</v>
      </c>
      <c r="Q163" s="107">
        <v>15</v>
      </c>
      <c r="R163" s="107" t="e">
        <f>ROUND(Tableau1[[#This Row],[LEN]]*#REF!+#REF!,0)</f>
        <v>#REF!</v>
      </c>
    </row>
    <row r="164" spans="1:18" s="97" customFormat="1" hidden="1" x14ac:dyDescent="0.25">
      <c r="A164" s="17" t="s">
        <v>1022</v>
      </c>
      <c r="B164" s="18" t="s">
        <v>245</v>
      </c>
      <c r="C164" s="420" t="s">
        <v>2149</v>
      </c>
      <c r="D164" s="19" t="s">
        <v>110</v>
      </c>
      <c r="E164" s="68" t="s">
        <v>1177</v>
      </c>
      <c r="F164" s="19" t="s">
        <v>1177</v>
      </c>
      <c r="G164" s="19" t="s">
        <v>1084</v>
      </c>
      <c r="H164" s="68" t="s">
        <v>1977</v>
      </c>
      <c r="I164" s="68" t="s">
        <v>1131</v>
      </c>
      <c r="J164" s="19"/>
      <c r="K164" s="20" t="s">
        <v>708</v>
      </c>
      <c r="L164" s="20" t="str">
        <f t="shared" si="4"/>
        <v>_</v>
      </c>
      <c r="M164" s="107">
        <f>ROUND(Tableau1[[#This Row],[LEN]]*7.27,0)</f>
        <v>102</v>
      </c>
      <c r="N164" s="107">
        <v>15</v>
      </c>
      <c r="O164" s="125" t="str">
        <f t="shared" si="5"/>
        <v>_self</v>
      </c>
      <c r="P164" s="107">
        <f>LEN(Tableau1[[#This Row],[LABEL]])</f>
        <v>14</v>
      </c>
      <c r="Q164" s="107">
        <v>15</v>
      </c>
      <c r="R164" s="107" t="e">
        <f>ROUND(Tableau1[[#This Row],[LEN]]*#REF!+#REF!,0)</f>
        <v>#REF!</v>
      </c>
    </row>
    <row r="165" spans="1:18" s="273" customFormat="1" hidden="1" x14ac:dyDescent="0.25">
      <c r="A165" s="266" t="s">
        <v>246</v>
      </c>
      <c r="B165" s="267" t="s">
        <v>205</v>
      </c>
      <c r="C165" s="420" t="s">
        <v>2149</v>
      </c>
      <c r="D165" s="268" t="s">
        <v>14</v>
      </c>
      <c r="E165" s="269" t="s">
        <v>1177</v>
      </c>
      <c r="F165" s="268" t="s">
        <v>678</v>
      </c>
      <c r="G165" s="268" t="s">
        <v>1177</v>
      </c>
      <c r="H165" s="269" t="s">
        <v>167</v>
      </c>
      <c r="I165" s="269" t="str">
        <f>IFERROR(IF(SEARCH(".00.00.00.00.00",Tableau1[[#This Row],[name]],1)=7,"Division",""),"")</f>
        <v>Division</v>
      </c>
      <c r="J165" s="268"/>
      <c r="K165" s="270" t="s">
        <v>724</v>
      </c>
      <c r="L165" s="270" t="str">
        <f t="shared" si="4"/>
        <v>Documentation</v>
      </c>
      <c r="M165" s="271">
        <f>ROUND(Tableau1[[#This Row],[LEN]]*7.27,0)</f>
        <v>240</v>
      </c>
      <c r="N165" s="271">
        <v>15</v>
      </c>
      <c r="O165" s="272" t="str">
        <f t="shared" si="5"/>
        <v>_blank</v>
      </c>
      <c r="P165" s="271">
        <f>LEN(Tableau1[[#This Row],[LABEL]])</f>
        <v>33</v>
      </c>
      <c r="Q165" s="271">
        <v>15</v>
      </c>
      <c r="R165" s="271" t="e">
        <f>ROUND(Tableau1[[#This Row],[LEN]]*#REF!+#REF!,0)</f>
        <v>#REF!</v>
      </c>
    </row>
    <row r="166" spans="1:18" s="97" customFormat="1" hidden="1" x14ac:dyDescent="0.25">
      <c r="A166" s="17" t="s">
        <v>1038</v>
      </c>
      <c r="B166" s="18" t="s">
        <v>246</v>
      </c>
      <c r="C166" s="420" t="s">
        <v>2149</v>
      </c>
      <c r="D166" s="19" t="s">
        <v>81</v>
      </c>
      <c r="E166" s="68" t="s">
        <v>1177</v>
      </c>
      <c r="F166" s="19" t="s">
        <v>667</v>
      </c>
      <c r="G166" s="19" t="s">
        <v>1963</v>
      </c>
      <c r="H166" s="68" t="s">
        <v>167</v>
      </c>
      <c r="I166" s="68" t="s">
        <v>655</v>
      </c>
      <c r="J166" s="19"/>
      <c r="K166" s="20" t="s">
        <v>708</v>
      </c>
      <c r="L166" s="20" t="str">
        <f t="shared" si="4"/>
        <v>_</v>
      </c>
      <c r="M166" s="107">
        <f>ROUND(Tableau1[[#This Row],[LEN]]*7.27,0)</f>
        <v>73</v>
      </c>
      <c r="N166" s="107">
        <v>15</v>
      </c>
      <c r="O166" s="125" t="str">
        <f t="shared" si="5"/>
        <v>_self</v>
      </c>
      <c r="P166" s="107">
        <f>LEN(Tableau1[[#This Row],[LABEL]])</f>
        <v>10</v>
      </c>
      <c r="Q166" s="107">
        <v>15</v>
      </c>
      <c r="R166" s="107" t="e">
        <f>ROUND(Tableau1[[#This Row],[LEN]]*#REF!+#REF!,0)</f>
        <v>#REF!</v>
      </c>
    </row>
    <row r="167" spans="1:18" s="97" customFormat="1" hidden="1" x14ac:dyDescent="0.25">
      <c r="A167" s="21" t="s">
        <v>1042</v>
      </c>
      <c r="B167" s="22" t="s">
        <v>1038</v>
      </c>
      <c r="C167" s="420" t="s">
        <v>2149</v>
      </c>
      <c r="D167" s="23" t="s">
        <v>1031</v>
      </c>
      <c r="E167" s="69" t="s">
        <v>1177</v>
      </c>
      <c r="F167" s="23" t="s">
        <v>667</v>
      </c>
      <c r="G167" s="23" t="s">
        <v>1963</v>
      </c>
      <c r="H167" s="69" t="s">
        <v>167</v>
      </c>
      <c r="I167" s="69" t="s">
        <v>570</v>
      </c>
      <c r="J167" s="23"/>
      <c r="K167" s="24" t="s">
        <v>708</v>
      </c>
      <c r="L167" s="24" t="str">
        <f t="shared" si="4"/>
        <v>_</v>
      </c>
      <c r="M167" s="108">
        <f>ROUND(Tableau1[[#This Row],[LEN]]*7.27,0)</f>
        <v>167</v>
      </c>
      <c r="N167" s="108">
        <v>15</v>
      </c>
      <c r="O167" s="126" t="str">
        <f t="shared" si="5"/>
        <v>_self</v>
      </c>
      <c r="P167" s="108">
        <f>LEN(Tableau1[[#This Row],[LABEL]])</f>
        <v>23</v>
      </c>
      <c r="Q167" s="108">
        <v>15</v>
      </c>
      <c r="R167" s="108" t="e">
        <f>ROUND(Tableau1[[#This Row],[LEN]]*#REF!+#REF!,0)</f>
        <v>#REF!</v>
      </c>
    </row>
    <row r="168" spans="1:18" s="97" customFormat="1" hidden="1" x14ac:dyDescent="0.25">
      <c r="A168" s="21" t="s">
        <v>1043</v>
      </c>
      <c r="B168" s="22" t="s">
        <v>1038</v>
      </c>
      <c r="C168" s="420" t="s">
        <v>2149</v>
      </c>
      <c r="D168" s="23" t="s">
        <v>1032</v>
      </c>
      <c r="E168" s="69" t="s">
        <v>1177</v>
      </c>
      <c r="F168" s="23" t="s">
        <v>667</v>
      </c>
      <c r="G168" s="23" t="s">
        <v>1963</v>
      </c>
      <c r="H168" s="69" t="s">
        <v>167</v>
      </c>
      <c r="I168" s="69" t="s">
        <v>570</v>
      </c>
      <c r="J168" s="23"/>
      <c r="K168" s="24" t="s">
        <v>708</v>
      </c>
      <c r="L168" s="24" t="str">
        <f t="shared" si="4"/>
        <v>_</v>
      </c>
      <c r="M168" s="108">
        <f>ROUND(Tableau1[[#This Row],[LEN]]*7.27,0)</f>
        <v>153</v>
      </c>
      <c r="N168" s="108">
        <v>15</v>
      </c>
      <c r="O168" s="126" t="str">
        <f t="shared" si="5"/>
        <v>_self</v>
      </c>
      <c r="P168" s="108">
        <f>LEN(Tableau1[[#This Row],[LABEL]])</f>
        <v>21</v>
      </c>
      <c r="Q168" s="108">
        <v>15</v>
      </c>
      <c r="R168" s="108" t="e">
        <f>ROUND(Tableau1[[#This Row],[LEN]]*#REF!+#REF!,0)</f>
        <v>#REF!</v>
      </c>
    </row>
    <row r="169" spans="1:18" s="97" customFormat="1" hidden="1" x14ac:dyDescent="0.25">
      <c r="A169" s="21" t="s">
        <v>1044</v>
      </c>
      <c r="B169" s="22" t="s">
        <v>1038</v>
      </c>
      <c r="C169" s="420" t="s">
        <v>2149</v>
      </c>
      <c r="D169" s="23" t="s">
        <v>1033</v>
      </c>
      <c r="E169" s="69" t="s">
        <v>1177</v>
      </c>
      <c r="F169" s="23" t="s">
        <v>667</v>
      </c>
      <c r="G169" s="23" t="s">
        <v>1963</v>
      </c>
      <c r="H169" s="69" t="s">
        <v>167</v>
      </c>
      <c r="I169" s="69" t="s">
        <v>570</v>
      </c>
      <c r="J169" s="23"/>
      <c r="K169" s="24" t="s">
        <v>708</v>
      </c>
      <c r="L169" s="24" t="str">
        <f t="shared" si="4"/>
        <v>_</v>
      </c>
      <c r="M169" s="108">
        <f>ROUND(Tableau1[[#This Row],[LEN]]*7.27,0)</f>
        <v>334</v>
      </c>
      <c r="N169" s="108">
        <v>15</v>
      </c>
      <c r="O169" s="126" t="str">
        <f t="shared" si="5"/>
        <v>_self</v>
      </c>
      <c r="P169" s="108">
        <f>LEN(Tableau1[[#This Row],[LABEL]])</f>
        <v>46</v>
      </c>
      <c r="Q169" s="108">
        <v>15</v>
      </c>
      <c r="R169" s="108" t="e">
        <f>ROUND(Tableau1[[#This Row],[LEN]]*#REF!+#REF!,0)</f>
        <v>#REF!</v>
      </c>
    </row>
    <row r="170" spans="1:18" s="97" customFormat="1" hidden="1" x14ac:dyDescent="0.25">
      <c r="A170" s="21" t="s">
        <v>1045</v>
      </c>
      <c r="B170" s="22" t="s">
        <v>1038</v>
      </c>
      <c r="C170" s="420" t="s">
        <v>2149</v>
      </c>
      <c r="D170" s="23" t="s">
        <v>1034</v>
      </c>
      <c r="E170" s="69" t="s">
        <v>1177</v>
      </c>
      <c r="F170" s="23" t="s">
        <v>667</v>
      </c>
      <c r="G170" s="23" t="s">
        <v>1963</v>
      </c>
      <c r="H170" s="69" t="s">
        <v>167</v>
      </c>
      <c r="I170" s="69" t="s">
        <v>570</v>
      </c>
      <c r="J170" s="23"/>
      <c r="K170" s="24" t="s">
        <v>708</v>
      </c>
      <c r="L170" s="24" t="str">
        <f t="shared" si="4"/>
        <v>_</v>
      </c>
      <c r="M170" s="108">
        <f>ROUND(Tableau1[[#This Row],[LEN]]*7.27,0)</f>
        <v>393</v>
      </c>
      <c r="N170" s="108">
        <v>15</v>
      </c>
      <c r="O170" s="126" t="str">
        <f t="shared" si="5"/>
        <v>_self</v>
      </c>
      <c r="P170" s="108">
        <f>LEN(Tableau1[[#This Row],[LABEL]])</f>
        <v>54</v>
      </c>
      <c r="Q170" s="108">
        <v>15</v>
      </c>
      <c r="R170" s="108" t="e">
        <f>ROUND(Tableau1[[#This Row],[LEN]]*#REF!+#REF!,0)</f>
        <v>#REF!</v>
      </c>
    </row>
    <row r="171" spans="1:18" s="97" customFormat="1" hidden="1" x14ac:dyDescent="0.25">
      <c r="A171" s="21" t="s">
        <v>1046</v>
      </c>
      <c r="B171" s="22" t="s">
        <v>1038</v>
      </c>
      <c r="C171" s="420" t="s">
        <v>2149</v>
      </c>
      <c r="D171" s="23" t="s">
        <v>1035</v>
      </c>
      <c r="E171" s="69" t="s">
        <v>1177</v>
      </c>
      <c r="F171" s="23" t="s">
        <v>667</v>
      </c>
      <c r="G171" s="23" t="s">
        <v>1963</v>
      </c>
      <c r="H171" s="69" t="s">
        <v>167</v>
      </c>
      <c r="I171" s="69" t="s">
        <v>570</v>
      </c>
      <c r="J171" s="23"/>
      <c r="K171" s="24" t="s">
        <v>708</v>
      </c>
      <c r="L171" s="24" t="str">
        <f t="shared" si="4"/>
        <v>_</v>
      </c>
      <c r="M171" s="108">
        <f>ROUND(Tableau1[[#This Row],[LEN]]*7.27,0)</f>
        <v>320</v>
      </c>
      <c r="N171" s="108">
        <v>15</v>
      </c>
      <c r="O171" s="126" t="str">
        <f t="shared" si="5"/>
        <v>_self</v>
      </c>
      <c r="P171" s="108">
        <f>LEN(Tableau1[[#This Row],[LABEL]])</f>
        <v>44</v>
      </c>
      <c r="Q171" s="108">
        <v>15</v>
      </c>
      <c r="R171" s="108" t="e">
        <f>ROUND(Tableau1[[#This Row],[LEN]]*#REF!+#REF!,0)</f>
        <v>#REF!</v>
      </c>
    </row>
    <row r="172" spans="1:18" s="97" customFormat="1" hidden="1" x14ac:dyDescent="0.25">
      <c r="A172" s="21" t="s">
        <v>1047</v>
      </c>
      <c r="B172" s="22" t="s">
        <v>1038</v>
      </c>
      <c r="C172" s="420" t="s">
        <v>2149</v>
      </c>
      <c r="D172" s="23" t="s">
        <v>1036</v>
      </c>
      <c r="E172" s="69" t="s">
        <v>1177</v>
      </c>
      <c r="F172" s="23" t="s">
        <v>667</v>
      </c>
      <c r="G172" s="23" t="s">
        <v>1963</v>
      </c>
      <c r="H172" s="69" t="s">
        <v>167</v>
      </c>
      <c r="I172" s="69" t="s">
        <v>570</v>
      </c>
      <c r="J172" s="23"/>
      <c r="K172" s="24" t="s">
        <v>708</v>
      </c>
      <c r="L172" s="24" t="str">
        <f t="shared" si="4"/>
        <v>_</v>
      </c>
      <c r="M172" s="108">
        <f>ROUND(Tableau1[[#This Row],[LEN]]*7.27,0)</f>
        <v>95</v>
      </c>
      <c r="N172" s="108">
        <v>15</v>
      </c>
      <c r="O172" s="126" t="str">
        <f t="shared" si="5"/>
        <v>_self</v>
      </c>
      <c r="P172" s="108">
        <f>LEN(Tableau1[[#This Row],[LABEL]])</f>
        <v>13</v>
      </c>
      <c r="Q172" s="108">
        <v>15</v>
      </c>
      <c r="R172" s="108" t="e">
        <f>ROUND(Tableau1[[#This Row],[LEN]]*#REF!+#REF!,0)</f>
        <v>#REF!</v>
      </c>
    </row>
    <row r="173" spans="1:18" s="97" customFormat="1" hidden="1" x14ac:dyDescent="0.25">
      <c r="A173" s="21" t="s">
        <v>1048</v>
      </c>
      <c r="B173" s="22" t="s">
        <v>1038</v>
      </c>
      <c r="C173" s="420" t="s">
        <v>2149</v>
      </c>
      <c r="D173" s="23" t="s">
        <v>1037</v>
      </c>
      <c r="E173" s="69" t="s">
        <v>1177</v>
      </c>
      <c r="F173" s="23" t="s">
        <v>667</v>
      </c>
      <c r="G173" s="23" t="s">
        <v>1963</v>
      </c>
      <c r="H173" s="69" t="s">
        <v>167</v>
      </c>
      <c r="I173" s="69" t="s">
        <v>570</v>
      </c>
      <c r="J173" s="23"/>
      <c r="K173" s="24" t="s">
        <v>708</v>
      </c>
      <c r="L173" s="24" t="str">
        <f t="shared" si="4"/>
        <v>_</v>
      </c>
      <c r="M173" s="108">
        <f>ROUND(Tableau1[[#This Row],[LEN]]*7.27,0)</f>
        <v>124</v>
      </c>
      <c r="N173" s="108">
        <v>15</v>
      </c>
      <c r="O173" s="126" t="str">
        <f t="shared" si="5"/>
        <v>_self</v>
      </c>
      <c r="P173" s="108">
        <f>LEN(Tableau1[[#This Row],[LABEL]])</f>
        <v>17</v>
      </c>
      <c r="Q173" s="108">
        <v>15</v>
      </c>
      <c r="R173" s="108" t="e">
        <f>ROUND(Tableau1[[#This Row],[LEN]]*#REF!+#REF!,0)</f>
        <v>#REF!</v>
      </c>
    </row>
    <row r="174" spans="1:18" s="97" customFormat="1" hidden="1" x14ac:dyDescent="0.25">
      <c r="A174" s="17" t="s">
        <v>1039</v>
      </c>
      <c r="B174" s="18" t="s">
        <v>246</v>
      </c>
      <c r="C174" s="420" t="s">
        <v>2149</v>
      </c>
      <c r="D174" s="19" t="s">
        <v>136</v>
      </c>
      <c r="E174" s="68" t="s">
        <v>1177</v>
      </c>
      <c r="F174" s="19" t="s">
        <v>669</v>
      </c>
      <c r="G174" s="19" t="s">
        <v>678</v>
      </c>
      <c r="H174" s="68" t="s">
        <v>167</v>
      </c>
      <c r="I174" s="68" t="s">
        <v>656</v>
      </c>
      <c r="J174" s="19"/>
      <c r="K174" s="20" t="s">
        <v>708</v>
      </c>
      <c r="L174" s="20" t="str">
        <f t="shared" si="4"/>
        <v>_</v>
      </c>
      <c r="M174" s="107">
        <f>ROUND(Tableau1[[#This Row],[LEN]]*7.27,0)</f>
        <v>174</v>
      </c>
      <c r="N174" s="107">
        <v>15</v>
      </c>
      <c r="O174" s="125" t="str">
        <f t="shared" si="5"/>
        <v>_self</v>
      </c>
      <c r="P174" s="107">
        <f>LEN(Tableau1[[#This Row],[LABEL]])</f>
        <v>24</v>
      </c>
      <c r="Q174" s="107">
        <v>15</v>
      </c>
      <c r="R174" s="107" t="e">
        <f>ROUND(Tableau1[[#This Row],[LEN]]*#REF!+#REF!,0)</f>
        <v>#REF!</v>
      </c>
    </row>
    <row r="175" spans="1:18" s="97" customFormat="1" hidden="1" x14ac:dyDescent="0.25">
      <c r="A175" s="17" t="s">
        <v>1040</v>
      </c>
      <c r="B175" s="18" t="s">
        <v>246</v>
      </c>
      <c r="C175" s="420" t="s">
        <v>2149</v>
      </c>
      <c r="D175" s="19" t="s">
        <v>971</v>
      </c>
      <c r="E175" s="68" t="s">
        <v>1177</v>
      </c>
      <c r="F175" s="19" t="s">
        <v>667</v>
      </c>
      <c r="G175" s="19" t="s">
        <v>678</v>
      </c>
      <c r="H175" s="68" t="s">
        <v>167</v>
      </c>
      <c r="I175" s="68" t="s">
        <v>570</v>
      </c>
      <c r="J175" s="19"/>
      <c r="K175" s="20" t="s">
        <v>708</v>
      </c>
      <c r="L175" s="20" t="str">
        <f t="shared" si="4"/>
        <v>_</v>
      </c>
      <c r="M175" s="107">
        <f>ROUND(Tableau1[[#This Row],[LEN]]*7.27,0)</f>
        <v>385</v>
      </c>
      <c r="N175" s="107">
        <v>15</v>
      </c>
      <c r="O175" s="125" t="str">
        <f t="shared" si="5"/>
        <v>_self</v>
      </c>
      <c r="P175" s="107">
        <f>LEN(Tableau1[[#This Row],[LABEL]])</f>
        <v>53</v>
      </c>
      <c r="Q175" s="107">
        <v>15</v>
      </c>
      <c r="R175" s="107" t="e">
        <f>ROUND(Tableau1[[#This Row],[LEN]]*#REF!+#REF!,0)</f>
        <v>#REF!</v>
      </c>
    </row>
    <row r="176" spans="1:18" s="97" customFormat="1" hidden="1" x14ac:dyDescent="0.25">
      <c r="A176" s="17" t="s">
        <v>1041</v>
      </c>
      <c r="B176" s="18" t="s">
        <v>246</v>
      </c>
      <c r="C176" s="420" t="s">
        <v>2149</v>
      </c>
      <c r="D176" s="19" t="s">
        <v>110</v>
      </c>
      <c r="E176" s="68" t="s">
        <v>1177</v>
      </c>
      <c r="F176" s="19" t="s">
        <v>1177</v>
      </c>
      <c r="G176" s="19" t="s">
        <v>1084</v>
      </c>
      <c r="H176" s="68" t="s">
        <v>1977</v>
      </c>
      <c r="I176" s="68" t="s">
        <v>1131</v>
      </c>
      <c r="J176" s="19"/>
      <c r="K176" s="20" t="s">
        <v>708</v>
      </c>
      <c r="L176" s="20" t="str">
        <f t="shared" si="4"/>
        <v>_</v>
      </c>
      <c r="M176" s="107">
        <f>ROUND(Tableau1[[#This Row],[LEN]]*7.27,0)</f>
        <v>102</v>
      </c>
      <c r="N176" s="107">
        <v>15</v>
      </c>
      <c r="O176" s="125" t="str">
        <f t="shared" si="5"/>
        <v>_self</v>
      </c>
      <c r="P176" s="107">
        <f>LEN(Tableau1[[#This Row],[LABEL]])</f>
        <v>14</v>
      </c>
      <c r="Q176" s="107">
        <v>15</v>
      </c>
      <c r="R176" s="107" t="e">
        <f>ROUND(Tableau1[[#This Row],[LEN]]*#REF!+#REF!,0)</f>
        <v>#REF!</v>
      </c>
    </row>
    <row r="177" spans="1:18" s="273" customFormat="1" hidden="1" x14ac:dyDescent="0.25">
      <c r="A177" s="274" t="s">
        <v>247</v>
      </c>
      <c r="B177" s="275" t="s">
        <v>205</v>
      </c>
      <c r="C177" s="420" t="s">
        <v>2149</v>
      </c>
      <c r="D177" s="276" t="s">
        <v>15</v>
      </c>
      <c r="E177" s="277" t="s">
        <v>1177</v>
      </c>
      <c r="F177" s="276" t="s">
        <v>679</v>
      </c>
      <c r="G177" s="276" t="s">
        <v>1177</v>
      </c>
      <c r="H177" s="277" t="s">
        <v>167</v>
      </c>
      <c r="I177" s="277" t="str">
        <f>IFERROR(IF(SEARCH(".00.00.00.00.00",Tableau1[[#This Row],[name]],1)=7,"Division",""),"")</f>
        <v>Division</v>
      </c>
      <c r="J177" s="276"/>
      <c r="K177" s="278" t="s">
        <v>708</v>
      </c>
      <c r="L177" s="278" t="str">
        <f t="shared" si="4"/>
        <v>_</v>
      </c>
      <c r="M177" s="279">
        <f>ROUND(Tableau1[[#This Row],[LEN]]*7.27,0)</f>
        <v>174</v>
      </c>
      <c r="N177" s="279">
        <v>15</v>
      </c>
      <c r="O177" s="280" t="str">
        <f t="shared" si="5"/>
        <v>_self</v>
      </c>
      <c r="P177" s="279">
        <f>LEN(Tableau1[[#This Row],[LABEL]])</f>
        <v>24</v>
      </c>
      <c r="Q177" s="279">
        <v>15</v>
      </c>
      <c r="R177" s="279" t="e">
        <f>ROUND(Tableau1[[#This Row],[LEN]]*#REF!+#REF!,0)</f>
        <v>#REF!</v>
      </c>
    </row>
    <row r="178" spans="1:18" s="97" customFormat="1" hidden="1" x14ac:dyDescent="0.25">
      <c r="A178" s="17" t="s">
        <v>1049</v>
      </c>
      <c r="B178" s="18" t="s">
        <v>247</v>
      </c>
      <c r="C178" s="420" t="s">
        <v>2149</v>
      </c>
      <c r="D178" s="19" t="s">
        <v>81</v>
      </c>
      <c r="E178" s="68" t="s">
        <v>1177</v>
      </c>
      <c r="F178" s="19" t="s">
        <v>667</v>
      </c>
      <c r="G178" s="19" t="s">
        <v>1963</v>
      </c>
      <c r="H178" s="68" t="s">
        <v>167</v>
      </c>
      <c r="I178" s="68" t="s">
        <v>655</v>
      </c>
      <c r="J178" s="19"/>
      <c r="K178" s="20" t="s">
        <v>708</v>
      </c>
      <c r="L178" s="20" t="str">
        <f t="shared" si="4"/>
        <v>_</v>
      </c>
      <c r="M178" s="107">
        <f>ROUND(Tableau1[[#This Row],[LEN]]*7.27,0)</f>
        <v>73</v>
      </c>
      <c r="N178" s="107">
        <v>15</v>
      </c>
      <c r="O178" s="125" t="str">
        <f t="shared" si="5"/>
        <v>_self</v>
      </c>
      <c r="P178" s="107">
        <f>LEN(Tableau1[[#This Row],[LABEL]])</f>
        <v>10</v>
      </c>
      <c r="Q178" s="107">
        <v>15</v>
      </c>
      <c r="R178" s="107" t="e">
        <f>ROUND(Tableau1[[#This Row],[LEN]]*#REF!+#REF!,0)</f>
        <v>#REF!</v>
      </c>
    </row>
    <row r="179" spans="1:18" s="97" customFormat="1" hidden="1" x14ac:dyDescent="0.25">
      <c r="A179" s="21" t="s">
        <v>1051</v>
      </c>
      <c r="B179" s="22" t="s">
        <v>1049</v>
      </c>
      <c r="C179" s="420" t="s">
        <v>2149</v>
      </c>
      <c r="D179" s="23" t="s">
        <v>1031</v>
      </c>
      <c r="E179" s="69" t="s">
        <v>1177</v>
      </c>
      <c r="F179" s="23" t="s">
        <v>667</v>
      </c>
      <c r="G179" s="23" t="s">
        <v>1963</v>
      </c>
      <c r="H179" s="69" t="s">
        <v>167</v>
      </c>
      <c r="I179" s="69" t="s">
        <v>570</v>
      </c>
      <c r="J179" s="23"/>
      <c r="K179" s="24" t="s">
        <v>708</v>
      </c>
      <c r="L179" s="24" t="str">
        <f t="shared" si="4"/>
        <v>_</v>
      </c>
      <c r="M179" s="108">
        <f>ROUND(Tableau1[[#This Row],[LEN]]*7.27,0)</f>
        <v>167</v>
      </c>
      <c r="N179" s="108">
        <v>15</v>
      </c>
      <c r="O179" s="126" t="str">
        <f t="shared" si="5"/>
        <v>_self</v>
      </c>
      <c r="P179" s="108">
        <f>LEN(Tableau1[[#This Row],[LABEL]])</f>
        <v>23</v>
      </c>
      <c r="Q179" s="108">
        <v>15</v>
      </c>
      <c r="R179" s="108" t="e">
        <f>ROUND(Tableau1[[#This Row],[LEN]]*#REF!+#REF!,0)</f>
        <v>#REF!</v>
      </c>
    </row>
    <row r="180" spans="1:18" s="97" customFormat="1" hidden="1" x14ac:dyDescent="0.25">
      <c r="A180" s="21" t="s">
        <v>1052</v>
      </c>
      <c r="B180" s="22" t="s">
        <v>1049</v>
      </c>
      <c r="C180" s="420" t="s">
        <v>2149</v>
      </c>
      <c r="D180" s="23" t="s">
        <v>1032</v>
      </c>
      <c r="E180" s="69" t="s">
        <v>1177</v>
      </c>
      <c r="F180" s="23" t="s">
        <v>667</v>
      </c>
      <c r="G180" s="23" t="s">
        <v>1963</v>
      </c>
      <c r="H180" s="69" t="s">
        <v>167</v>
      </c>
      <c r="I180" s="69" t="s">
        <v>570</v>
      </c>
      <c r="J180" s="23"/>
      <c r="K180" s="24" t="s">
        <v>708</v>
      </c>
      <c r="L180" s="24" t="str">
        <f t="shared" si="4"/>
        <v>_</v>
      </c>
      <c r="M180" s="108">
        <f>ROUND(Tableau1[[#This Row],[LEN]]*7.27,0)</f>
        <v>153</v>
      </c>
      <c r="N180" s="108">
        <v>15</v>
      </c>
      <c r="O180" s="126" t="str">
        <f t="shared" si="5"/>
        <v>_self</v>
      </c>
      <c r="P180" s="108">
        <f>LEN(Tableau1[[#This Row],[LABEL]])</f>
        <v>21</v>
      </c>
      <c r="Q180" s="108">
        <v>15</v>
      </c>
      <c r="R180" s="108" t="e">
        <f>ROUND(Tableau1[[#This Row],[LEN]]*#REF!+#REF!,0)</f>
        <v>#REF!</v>
      </c>
    </row>
    <row r="181" spans="1:18" s="97" customFormat="1" hidden="1" x14ac:dyDescent="0.25">
      <c r="A181" s="21" t="s">
        <v>1053</v>
      </c>
      <c r="B181" s="22" t="s">
        <v>1049</v>
      </c>
      <c r="C181" s="420" t="s">
        <v>2149</v>
      </c>
      <c r="D181" s="23" t="s">
        <v>1033</v>
      </c>
      <c r="E181" s="69" t="s">
        <v>1177</v>
      </c>
      <c r="F181" s="23" t="s">
        <v>667</v>
      </c>
      <c r="G181" s="23" t="s">
        <v>1963</v>
      </c>
      <c r="H181" s="69" t="s">
        <v>167</v>
      </c>
      <c r="I181" s="69" t="s">
        <v>570</v>
      </c>
      <c r="J181" s="23"/>
      <c r="K181" s="24" t="s">
        <v>708</v>
      </c>
      <c r="L181" s="24" t="str">
        <f t="shared" si="4"/>
        <v>_</v>
      </c>
      <c r="M181" s="108">
        <f>ROUND(Tableau1[[#This Row],[LEN]]*7.27,0)</f>
        <v>334</v>
      </c>
      <c r="N181" s="108">
        <v>15</v>
      </c>
      <c r="O181" s="126" t="str">
        <f t="shared" si="5"/>
        <v>_self</v>
      </c>
      <c r="P181" s="108">
        <f>LEN(Tableau1[[#This Row],[LABEL]])</f>
        <v>46</v>
      </c>
      <c r="Q181" s="108">
        <v>15</v>
      </c>
      <c r="R181" s="108" t="e">
        <f>ROUND(Tableau1[[#This Row],[LEN]]*#REF!+#REF!,0)</f>
        <v>#REF!</v>
      </c>
    </row>
    <row r="182" spans="1:18" s="97" customFormat="1" hidden="1" x14ac:dyDescent="0.25">
      <c r="A182" s="21" t="s">
        <v>1054</v>
      </c>
      <c r="B182" s="22" t="s">
        <v>1049</v>
      </c>
      <c r="C182" s="420" t="s">
        <v>2149</v>
      </c>
      <c r="D182" s="23" t="s">
        <v>1034</v>
      </c>
      <c r="E182" s="69" t="s">
        <v>1177</v>
      </c>
      <c r="F182" s="23" t="s">
        <v>667</v>
      </c>
      <c r="G182" s="23" t="s">
        <v>1963</v>
      </c>
      <c r="H182" s="69" t="s">
        <v>167</v>
      </c>
      <c r="I182" s="69" t="s">
        <v>570</v>
      </c>
      <c r="J182" s="23"/>
      <c r="K182" s="24" t="s">
        <v>708</v>
      </c>
      <c r="L182" s="24" t="str">
        <f t="shared" si="4"/>
        <v>_</v>
      </c>
      <c r="M182" s="108">
        <f>ROUND(Tableau1[[#This Row],[LEN]]*7.27,0)</f>
        <v>393</v>
      </c>
      <c r="N182" s="108">
        <v>15</v>
      </c>
      <c r="O182" s="126" t="str">
        <f t="shared" si="5"/>
        <v>_self</v>
      </c>
      <c r="P182" s="108">
        <f>LEN(Tableau1[[#This Row],[LABEL]])</f>
        <v>54</v>
      </c>
      <c r="Q182" s="108">
        <v>15</v>
      </c>
      <c r="R182" s="108" t="e">
        <f>ROUND(Tableau1[[#This Row],[LEN]]*#REF!+#REF!,0)</f>
        <v>#REF!</v>
      </c>
    </row>
    <row r="183" spans="1:18" s="97" customFormat="1" hidden="1" x14ac:dyDescent="0.25">
      <c r="A183" s="21" t="s">
        <v>1055</v>
      </c>
      <c r="B183" s="22" t="s">
        <v>1049</v>
      </c>
      <c r="C183" s="420" t="s">
        <v>2149</v>
      </c>
      <c r="D183" s="23" t="s">
        <v>1035</v>
      </c>
      <c r="E183" s="69" t="s">
        <v>1177</v>
      </c>
      <c r="F183" s="23" t="s">
        <v>667</v>
      </c>
      <c r="G183" s="23" t="s">
        <v>1963</v>
      </c>
      <c r="H183" s="69" t="s">
        <v>167</v>
      </c>
      <c r="I183" s="69" t="s">
        <v>570</v>
      </c>
      <c r="J183" s="23"/>
      <c r="K183" s="24" t="s">
        <v>708</v>
      </c>
      <c r="L183" s="24" t="str">
        <f t="shared" si="4"/>
        <v>_</v>
      </c>
      <c r="M183" s="108">
        <f>ROUND(Tableau1[[#This Row],[LEN]]*7.27,0)</f>
        <v>320</v>
      </c>
      <c r="N183" s="108">
        <v>15</v>
      </c>
      <c r="O183" s="126" t="str">
        <f t="shared" si="5"/>
        <v>_self</v>
      </c>
      <c r="P183" s="108">
        <f>LEN(Tableau1[[#This Row],[LABEL]])</f>
        <v>44</v>
      </c>
      <c r="Q183" s="108">
        <v>15</v>
      </c>
      <c r="R183" s="108" t="e">
        <f>ROUND(Tableau1[[#This Row],[LEN]]*#REF!+#REF!,0)</f>
        <v>#REF!</v>
      </c>
    </row>
    <row r="184" spans="1:18" s="97" customFormat="1" hidden="1" x14ac:dyDescent="0.25">
      <c r="A184" s="21" t="s">
        <v>1056</v>
      </c>
      <c r="B184" s="22" t="s">
        <v>1049</v>
      </c>
      <c r="C184" s="420" t="s">
        <v>2149</v>
      </c>
      <c r="D184" s="23" t="s">
        <v>1036</v>
      </c>
      <c r="E184" s="69" t="s">
        <v>1177</v>
      </c>
      <c r="F184" s="23" t="s">
        <v>667</v>
      </c>
      <c r="G184" s="23" t="s">
        <v>1963</v>
      </c>
      <c r="H184" s="69" t="s">
        <v>167</v>
      </c>
      <c r="I184" s="69" t="s">
        <v>570</v>
      </c>
      <c r="J184" s="23"/>
      <c r="K184" s="24" t="s">
        <v>708</v>
      </c>
      <c r="L184" s="24" t="str">
        <f t="shared" si="4"/>
        <v>_</v>
      </c>
      <c r="M184" s="108">
        <f>ROUND(Tableau1[[#This Row],[LEN]]*7.27,0)</f>
        <v>95</v>
      </c>
      <c r="N184" s="108">
        <v>15</v>
      </c>
      <c r="O184" s="126" t="str">
        <f t="shared" si="5"/>
        <v>_self</v>
      </c>
      <c r="P184" s="108">
        <f>LEN(Tableau1[[#This Row],[LABEL]])</f>
        <v>13</v>
      </c>
      <c r="Q184" s="108">
        <v>15</v>
      </c>
      <c r="R184" s="108" t="e">
        <f>ROUND(Tableau1[[#This Row],[LEN]]*#REF!+#REF!,0)</f>
        <v>#REF!</v>
      </c>
    </row>
    <row r="185" spans="1:18" s="97" customFormat="1" hidden="1" x14ac:dyDescent="0.25">
      <c r="A185" s="21" t="s">
        <v>1057</v>
      </c>
      <c r="B185" s="22" t="s">
        <v>1049</v>
      </c>
      <c r="C185" s="420" t="s">
        <v>2149</v>
      </c>
      <c r="D185" s="23" t="s">
        <v>1037</v>
      </c>
      <c r="E185" s="69" t="s">
        <v>1177</v>
      </c>
      <c r="F185" s="23" t="s">
        <v>667</v>
      </c>
      <c r="G185" s="23" t="s">
        <v>1963</v>
      </c>
      <c r="H185" s="69" t="s">
        <v>167</v>
      </c>
      <c r="I185" s="69" t="s">
        <v>570</v>
      </c>
      <c r="J185" s="23"/>
      <c r="K185" s="24" t="s">
        <v>708</v>
      </c>
      <c r="L185" s="24" t="str">
        <f t="shared" si="4"/>
        <v>_</v>
      </c>
      <c r="M185" s="108">
        <f>ROUND(Tableau1[[#This Row],[LEN]]*7.27,0)</f>
        <v>124</v>
      </c>
      <c r="N185" s="108">
        <v>15</v>
      </c>
      <c r="O185" s="126" t="str">
        <f t="shared" si="5"/>
        <v>_self</v>
      </c>
      <c r="P185" s="108">
        <f>LEN(Tableau1[[#This Row],[LABEL]])</f>
        <v>17</v>
      </c>
      <c r="Q185" s="108">
        <v>15</v>
      </c>
      <c r="R185" s="108" t="e">
        <f>ROUND(Tableau1[[#This Row],[LEN]]*#REF!+#REF!,0)</f>
        <v>#REF!</v>
      </c>
    </row>
    <row r="186" spans="1:18" s="97" customFormat="1" hidden="1" x14ac:dyDescent="0.25">
      <c r="A186" s="17" t="s">
        <v>1050</v>
      </c>
      <c r="B186" s="18" t="s">
        <v>247</v>
      </c>
      <c r="C186" s="420" t="s">
        <v>2149</v>
      </c>
      <c r="D186" s="19" t="s">
        <v>110</v>
      </c>
      <c r="E186" s="68" t="s">
        <v>1177</v>
      </c>
      <c r="F186" s="19" t="s">
        <v>1177</v>
      </c>
      <c r="G186" s="19" t="s">
        <v>1084</v>
      </c>
      <c r="H186" s="68" t="s">
        <v>1977</v>
      </c>
      <c r="I186" s="68" t="s">
        <v>1131</v>
      </c>
      <c r="J186" s="19"/>
      <c r="K186" s="20" t="s">
        <v>708</v>
      </c>
      <c r="L186" s="20" t="str">
        <f t="shared" si="4"/>
        <v>_</v>
      </c>
      <c r="M186" s="107">
        <f>ROUND(Tableau1[[#This Row],[LEN]]*7.27,0)</f>
        <v>102</v>
      </c>
      <c r="N186" s="107">
        <v>15</v>
      </c>
      <c r="O186" s="125" t="str">
        <f t="shared" si="5"/>
        <v>_self</v>
      </c>
      <c r="P186" s="107">
        <f>LEN(Tableau1[[#This Row],[LABEL]])</f>
        <v>14</v>
      </c>
      <c r="Q186" s="107">
        <v>15</v>
      </c>
      <c r="R186" s="107" t="e">
        <f>ROUND(Tableau1[[#This Row],[LEN]]*#REF!+#REF!,0)</f>
        <v>#REF!</v>
      </c>
    </row>
    <row r="187" spans="1:18" s="273" customFormat="1" hidden="1" x14ac:dyDescent="0.25">
      <c r="A187" s="274" t="s">
        <v>1960</v>
      </c>
      <c r="B187" s="275" t="s">
        <v>205</v>
      </c>
      <c r="C187" s="420" t="s">
        <v>2149</v>
      </c>
      <c r="D187" s="276" t="s">
        <v>1950</v>
      </c>
      <c r="E187" s="277"/>
      <c r="F187" s="276" t="s">
        <v>1951</v>
      </c>
      <c r="G187" s="276" t="s">
        <v>1177</v>
      </c>
      <c r="H187" s="277" t="s">
        <v>167</v>
      </c>
      <c r="I187" s="277" t="s">
        <v>56</v>
      </c>
      <c r="J187" s="276"/>
      <c r="K187" s="278" t="s">
        <v>708</v>
      </c>
      <c r="L187" s="278" t="str">
        <f t="shared" si="4"/>
        <v>_</v>
      </c>
      <c r="M187" s="279">
        <f>ROUND(Tableau1[[#This Row],[LEN]]*7.27,0)</f>
        <v>51</v>
      </c>
      <c r="N187" s="279">
        <v>15</v>
      </c>
      <c r="O187" s="280" t="str">
        <f t="shared" si="5"/>
        <v>_self</v>
      </c>
      <c r="P187" s="279">
        <f>LEN(Tableau1[[#This Row],[LABEL]])</f>
        <v>7</v>
      </c>
      <c r="Q187" s="279">
        <v>15</v>
      </c>
      <c r="R187" s="279" t="e">
        <f>ROUND(Tableau1[[#This Row],[LEN]]*#REF!+#REF!,0)</f>
        <v>#REF!</v>
      </c>
    </row>
    <row r="188" spans="1:18" s="97" customFormat="1" hidden="1" x14ac:dyDescent="0.25">
      <c r="A188" s="17" t="s">
        <v>1961</v>
      </c>
      <c r="B188" s="18" t="s">
        <v>1960</v>
      </c>
      <c r="C188" s="420" t="s">
        <v>2149</v>
      </c>
      <c r="D188" s="19" t="s">
        <v>81</v>
      </c>
      <c r="E188" s="68" t="s">
        <v>1177</v>
      </c>
      <c r="F188" s="19" t="s">
        <v>667</v>
      </c>
      <c r="G188" s="19" t="s">
        <v>1963</v>
      </c>
      <c r="H188" s="68" t="s">
        <v>167</v>
      </c>
      <c r="I188" s="68" t="s">
        <v>655</v>
      </c>
      <c r="J188" s="19"/>
      <c r="K188" s="20" t="s">
        <v>708</v>
      </c>
      <c r="L188" s="20" t="str">
        <f t="shared" si="4"/>
        <v>_</v>
      </c>
      <c r="M188" s="107">
        <f>ROUND(Tableau1[[#This Row],[LEN]]*7.27,0)</f>
        <v>73</v>
      </c>
      <c r="N188" s="107">
        <v>15</v>
      </c>
      <c r="O188" s="125" t="str">
        <f t="shared" si="5"/>
        <v>_self</v>
      </c>
      <c r="P188" s="107">
        <f>LEN(Tableau1[[#This Row],[LABEL]])</f>
        <v>10</v>
      </c>
      <c r="Q188" s="107">
        <v>15</v>
      </c>
      <c r="R188" s="107" t="e">
        <f>ROUND(Tableau1[[#This Row],[LEN]]*#REF!+#REF!,0)</f>
        <v>#REF!</v>
      </c>
    </row>
    <row r="189" spans="1:18" s="97" customFormat="1" hidden="1" x14ac:dyDescent="0.25">
      <c r="A189" s="21" t="s">
        <v>1970</v>
      </c>
      <c r="B189" s="22" t="s">
        <v>1961</v>
      </c>
      <c r="C189" s="420" t="s">
        <v>2149</v>
      </c>
      <c r="D189" s="23" t="s">
        <v>1967</v>
      </c>
      <c r="E189" s="69" t="s">
        <v>1177</v>
      </c>
      <c r="F189" s="23" t="s">
        <v>667</v>
      </c>
      <c r="G189" s="23" t="s">
        <v>1963</v>
      </c>
      <c r="H189" s="69" t="s">
        <v>167</v>
      </c>
      <c r="I189" s="69" t="s">
        <v>570</v>
      </c>
      <c r="J189" s="23"/>
      <c r="K189" s="24" t="s">
        <v>708</v>
      </c>
      <c r="L189" s="24" t="str">
        <f t="shared" si="4"/>
        <v>_</v>
      </c>
      <c r="M189" s="108">
        <f>ROUND(Tableau1[[#This Row],[LEN]]*7.27,0)</f>
        <v>334</v>
      </c>
      <c r="N189" s="108">
        <v>15</v>
      </c>
      <c r="O189" s="126" t="str">
        <f t="shared" si="5"/>
        <v>_self</v>
      </c>
      <c r="P189" s="108">
        <f>LEN(Tableau1[[#This Row],[LABEL]])</f>
        <v>46</v>
      </c>
      <c r="Q189" s="108">
        <v>15</v>
      </c>
      <c r="R189" s="108" t="e">
        <f>ROUND(Tableau1[[#This Row],[LEN]]*#REF!+#REF!,0)</f>
        <v>#REF!</v>
      </c>
    </row>
    <row r="190" spans="1:18" s="97" customFormat="1" hidden="1" x14ac:dyDescent="0.25">
      <c r="A190" s="21" t="s">
        <v>1971</v>
      </c>
      <c r="B190" s="22" t="s">
        <v>1961</v>
      </c>
      <c r="C190" s="420" t="s">
        <v>2149</v>
      </c>
      <c r="D190" s="23" t="s">
        <v>1974</v>
      </c>
      <c r="E190" s="69" t="s">
        <v>1969</v>
      </c>
      <c r="F190" s="23" t="s">
        <v>667</v>
      </c>
      <c r="G190" s="23" t="s">
        <v>1963</v>
      </c>
      <c r="H190" s="69" t="s">
        <v>167</v>
      </c>
      <c r="I190" s="69" t="s">
        <v>570</v>
      </c>
      <c r="J190" s="23"/>
      <c r="K190" s="24" t="s">
        <v>708</v>
      </c>
      <c r="L190" s="24" t="str">
        <f t="shared" si="4"/>
        <v>_</v>
      </c>
      <c r="M190" s="108">
        <f>ROUND(Tableau1[[#This Row],[LEN]]*7.27,0)</f>
        <v>262</v>
      </c>
      <c r="N190" s="108">
        <v>15</v>
      </c>
      <c r="O190" s="126" t="str">
        <f t="shared" si="5"/>
        <v>_self</v>
      </c>
      <c r="P190" s="108">
        <f>LEN(Tableau1[[#This Row],[LABEL]])</f>
        <v>36</v>
      </c>
      <c r="Q190" s="108">
        <v>15</v>
      </c>
      <c r="R190" s="108" t="e">
        <f>ROUND(Tableau1[[#This Row],[LEN]]*#REF!+#REF!,0)</f>
        <v>#REF!</v>
      </c>
    </row>
    <row r="191" spans="1:18" s="97" customFormat="1" hidden="1" x14ac:dyDescent="0.25">
      <c r="A191" s="21" t="s">
        <v>1972</v>
      </c>
      <c r="B191" s="22" t="s">
        <v>1961</v>
      </c>
      <c r="C191" s="420" t="s">
        <v>2149</v>
      </c>
      <c r="D191" s="23" t="s">
        <v>1976</v>
      </c>
      <c r="E191" s="69" t="s">
        <v>1177</v>
      </c>
      <c r="F191" s="23" t="s">
        <v>667</v>
      </c>
      <c r="G191" s="23" t="s">
        <v>1963</v>
      </c>
      <c r="H191" s="69" t="s">
        <v>167</v>
      </c>
      <c r="I191" s="69" t="s">
        <v>570</v>
      </c>
      <c r="J191" s="23"/>
      <c r="K191" s="24" t="s">
        <v>708</v>
      </c>
      <c r="L191" s="24" t="str">
        <f t="shared" si="4"/>
        <v>_</v>
      </c>
      <c r="M191" s="108">
        <f>ROUND(Tableau1[[#This Row],[LEN]]*7.27,0)</f>
        <v>443</v>
      </c>
      <c r="N191" s="108">
        <v>15</v>
      </c>
      <c r="O191" s="126" t="str">
        <f t="shared" si="5"/>
        <v>_self</v>
      </c>
      <c r="P191" s="108">
        <f>LEN(Tableau1[[#This Row],[LABEL]])</f>
        <v>61</v>
      </c>
      <c r="Q191" s="108">
        <v>15</v>
      </c>
      <c r="R191" s="108" t="e">
        <f>ROUND(Tableau1[[#This Row],[LEN]]*#REF!+#REF!,0)</f>
        <v>#REF!</v>
      </c>
    </row>
    <row r="192" spans="1:18" s="97" customFormat="1" hidden="1" x14ac:dyDescent="0.25">
      <c r="A192" s="21" t="s">
        <v>1973</v>
      </c>
      <c r="B192" s="22" t="s">
        <v>1961</v>
      </c>
      <c r="C192" s="420" t="s">
        <v>2149</v>
      </c>
      <c r="D192" s="23" t="s">
        <v>1975</v>
      </c>
      <c r="E192" s="69" t="s">
        <v>1968</v>
      </c>
      <c r="F192" s="23" t="s">
        <v>667</v>
      </c>
      <c r="G192" s="23" t="s">
        <v>1963</v>
      </c>
      <c r="H192" s="69" t="s">
        <v>167</v>
      </c>
      <c r="I192" s="69" t="s">
        <v>570</v>
      </c>
      <c r="J192" s="23"/>
      <c r="K192" s="24" t="s">
        <v>708</v>
      </c>
      <c r="L192" s="24" t="str">
        <f t="shared" si="4"/>
        <v>_</v>
      </c>
      <c r="M192" s="108">
        <f>ROUND(Tableau1[[#This Row],[LEN]]*7.27,0)</f>
        <v>167</v>
      </c>
      <c r="N192" s="108">
        <v>15</v>
      </c>
      <c r="O192" s="126" t="str">
        <f t="shared" si="5"/>
        <v>_self</v>
      </c>
      <c r="P192" s="108">
        <f>LEN(Tableau1[[#This Row],[LABEL]])</f>
        <v>23</v>
      </c>
      <c r="Q192" s="108">
        <v>15</v>
      </c>
      <c r="R192" s="108" t="e">
        <f>ROUND(Tableau1[[#This Row],[LEN]]*#REF!+#REF!,0)</f>
        <v>#REF!</v>
      </c>
    </row>
    <row r="193" spans="1:18" s="97" customFormat="1" hidden="1" x14ac:dyDescent="0.25">
      <c r="A193" s="17" t="s">
        <v>1962</v>
      </c>
      <c r="B193" s="18" t="s">
        <v>1960</v>
      </c>
      <c r="C193" s="420" t="s">
        <v>2149</v>
      </c>
      <c r="D193" s="19" t="s">
        <v>110</v>
      </c>
      <c r="E193" s="68" t="s">
        <v>1177</v>
      </c>
      <c r="F193" s="19" t="s">
        <v>1177</v>
      </c>
      <c r="G193" s="19" t="s">
        <v>1084</v>
      </c>
      <c r="H193" s="68" t="s">
        <v>1977</v>
      </c>
      <c r="I193" s="68" t="s">
        <v>1131</v>
      </c>
      <c r="J193" s="19"/>
      <c r="K193" s="20" t="s">
        <v>708</v>
      </c>
      <c r="L193" s="20" t="str">
        <f t="shared" si="4"/>
        <v>_</v>
      </c>
      <c r="M193" s="107">
        <f>ROUND(Tableau1[[#This Row],[LEN]]*7.27,0)</f>
        <v>102</v>
      </c>
      <c r="N193" s="107">
        <v>15</v>
      </c>
      <c r="O193" s="125" t="str">
        <f t="shared" si="5"/>
        <v>_self</v>
      </c>
      <c r="P193" s="107">
        <f>LEN(Tableau1[[#This Row],[LABEL]])</f>
        <v>14</v>
      </c>
      <c r="Q193" s="107">
        <v>15</v>
      </c>
      <c r="R193" s="107" t="e">
        <f>ROUND(Tableau1[[#This Row],[LEN]]*#REF!+#REF!,0)</f>
        <v>#REF!</v>
      </c>
    </row>
    <row r="194" spans="1:18" s="97" customFormat="1" ht="15.75" hidden="1" thickBot="1" x14ac:dyDescent="0.3">
      <c r="A194" s="170" t="s">
        <v>206</v>
      </c>
      <c r="B194" s="170" t="s">
        <v>198</v>
      </c>
      <c r="C194" s="424"/>
      <c r="D194" s="171" t="s">
        <v>174</v>
      </c>
      <c r="E194" s="172" t="s">
        <v>186</v>
      </c>
      <c r="F194" s="171" t="s">
        <v>1177</v>
      </c>
      <c r="G194" s="172" t="s">
        <v>1177</v>
      </c>
      <c r="H194" s="171" t="s">
        <v>166</v>
      </c>
      <c r="I194" s="171" t="s">
        <v>616</v>
      </c>
      <c r="J194" s="172"/>
      <c r="K194" s="173" t="s">
        <v>708</v>
      </c>
      <c r="L194" s="173" t="str">
        <f t="shared" si="4"/>
        <v>_</v>
      </c>
      <c r="M194" s="174">
        <f>ROUND(Tableau1[[#This Row],[LEN]]*7.27,0)</f>
        <v>65</v>
      </c>
      <c r="N194" s="174">
        <v>15</v>
      </c>
      <c r="O194" s="175" t="str">
        <f t="shared" si="5"/>
        <v>_self</v>
      </c>
      <c r="P194" s="174">
        <f>LEN(Tableau1[[#This Row],[LABEL]])</f>
        <v>9</v>
      </c>
      <c r="Q194" s="176">
        <v>15</v>
      </c>
      <c r="R194" s="176" t="e">
        <f>ROUND(Tableau1[[#This Row],[LEN]]*#REF!+#REF!,0)</f>
        <v>#REF!</v>
      </c>
    </row>
    <row r="195" spans="1:18" s="92" customFormat="1" hidden="1" x14ac:dyDescent="0.25">
      <c r="A195" s="288" t="s">
        <v>249</v>
      </c>
      <c r="B195" s="289" t="s">
        <v>206</v>
      </c>
      <c r="C195" s="425" t="s">
        <v>2150</v>
      </c>
      <c r="D195" s="290" t="s">
        <v>57</v>
      </c>
      <c r="E195" s="291" t="s">
        <v>1177</v>
      </c>
      <c r="F195" s="290" t="s">
        <v>663</v>
      </c>
      <c r="G195" s="290" t="s">
        <v>1177</v>
      </c>
      <c r="H195" s="291" t="s">
        <v>166</v>
      </c>
      <c r="I195" s="291" t="str">
        <f>IFERROR(IF(SEARCH(".00.00.00.00.00",Tableau1[[#This Row],[name]],1)=7,"Division",""),"")</f>
        <v>Division</v>
      </c>
      <c r="J195" s="290"/>
      <c r="K195" s="292" t="s">
        <v>708</v>
      </c>
      <c r="L195" s="292" t="str">
        <f t="shared" si="4"/>
        <v>_</v>
      </c>
      <c r="M195" s="293">
        <f>ROUND(Tableau1[[#This Row],[LEN]]*7.27,0)</f>
        <v>102</v>
      </c>
      <c r="N195" s="293">
        <v>15</v>
      </c>
      <c r="O195" s="294" t="str">
        <f t="shared" si="5"/>
        <v>_self</v>
      </c>
      <c r="P195" s="293">
        <f>LEN(Tableau1[[#This Row],[LABEL]])</f>
        <v>14</v>
      </c>
      <c r="Q195" s="293">
        <v>15</v>
      </c>
      <c r="R195" s="293" t="e">
        <f>ROUND(Tableau1[[#This Row],[LEN]]*#REF!+#REF!,0)</f>
        <v>#REF!</v>
      </c>
    </row>
    <row r="196" spans="1:18" s="97" customFormat="1" hidden="1" x14ac:dyDescent="0.25">
      <c r="A196" s="25" t="s">
        <v>760</v>
      </c>
      <c r="B196" s="26" t="s">
        <v>249</v>
      </c>
      <c r="C196" s="425" t="s">
        <v>2150</v>
      </c>
      <c r="D196" s="27" t="s">
        <v>774</v>
      </c>
      <c r="E196" s="70" t="s">
        <v>1177</v>
      </c>
      <c r="F196" s="27" t="s">
        <v>663</v>
      </c>
      <c r="G196" s="27" t="s">
        <v>1177</v>
      </c>
      <c r="H196" s="70" t="s">
        <v>166</v>
      </c>
      <c r="I196" s="70" t="s">
        <v>656</v>
      </c>
      <c r="J196" s="27"/>
      <c r="K196" s="28" t="s">
        <v>708</v>
      </c>
      <c r="L196" s="28" t="str">
        <f t="shared" si="4"/>
        <v>_</v>
      </c>
      <c r="M196" s="109">
        <f>ROUND(Tableau1[[#This Row],[LEN]]*7.27,0)</f>
        <v>393</v>
      </c>
      <c r="N196" s="109">
        <v>15</v>
      </c>
      <c r="O196" s="127" t="str">
        <f t="shared" si="5"/>
        <v>_self</v>
      </c>
      <c r="P196" s="109">
        <f>LEN(Tableau1[[#This Row],[LABEL]])</f>
        <v>54</v>
      </c>
      <c r="Q196" s="109">
        <v>15</v>
      </c>
      <c r="R196" s="109" t="e">
        <f>ROUND(Tableau1[[#This Row],[LEN]]*#REF!+#REF!,0)</f>
        <v>#REF!</v>
      </c>
    </row>
    <row r="197" spans="1:18" s="97" customFormat="1" hidden="1" x14ac:dyDescent="0.25">
      <c r="A197" s="25" t="s">
        <v>761</v>
      </c>
      <c r="B197" s="26" t="s">
        <v>249</v>
      </c>
      <c r="C197" s="425" t="s">
        <v>2150</v>
      </c>
      <c r="D197" s="27" t="s">
        <v>781</v>
      </c>
      <c r="E197" s="70" t="s">
        <v>1177</v>
      </c>
      <c r="F197" s="27" t="s">
        <v>663</v>
      </c>
      <c r="G197" s="27" t="s">
        <v>1177</v>
      </c>
      <c r="H197" s="70" t="s">
        <v>166</v>
      </c>
      <c r="I197" s="70" t="s">
        <v>655</v>
      </c>
      <c r="J197" s="27"/>
      <c r="K197" s="28" t="s">
        <v>708</v>
      </c>
      <c r="L197" s="28" t="str">
        <f t="shared" ref="L197:L260" si="6">IF(K197="javascript:void(0)","_","Documentation")</f>
        <v>_</v>
      </c>
      <c r="M197" s="109">
        <f>ROUND(Tableau1[[#This Row],[LEN]]*7.27,0)</f>
        <v>218</v>
      </c>
      <c r="N197" s="109">
        <v>15</v>
      </c>
      <c r="O197" s="127" t="str">
        <f t="shared" si="5"/>
        <v>_self</v>
      </c>
      <c r="P197" s="109">
        <f>LEN(Tableau1[[#This Row],[LABEL]])</f>
        <v>30</v>
      </c>
      <c r="Q197" s="109">
        <v>15</v>
      </c>
      <c r="R197" s="109" t="e">
        <f>ROUND(Tableau1[[#This Row],[LEN]]*#REF!+#REF!,0)</f>
        <v>#REF!</v>
      </c>
    </row>
    <row r="198" spans="1:18" s="97" customFormat="1" hidden="1" x14ac:dyDescent="0.25">
      <c r="A198" s="29" t="s">
        <v>787</v>
      </c>
      <c r="B198" s="30" t="s">
        <v>761</v>
      </c>
      <c r="C198" s="425" t="s">
        <v>2150</v>
      </c>
      <c r="D198" s="31" t="s">
        <v>789</v>
      </c>
      <c r="E198" s="71" t="s">
        <v>1177</v>
      </c>
      <c r="F198" s="31" t="s">
        <v>663</v>
      </c>
      <c r="G198" s="31" t="s">
        <v>1177</v>
      </c>
      <c r="H198" s="71" t="s">
        <v>166</v>
      </c>
      <c r="I198" s="85" t="s">
        <v>654</v>
      </c>
      <c r="J198" s="31"/>
      <c r="K198" s="103" t="s">
        <v>708</v>
      </c>
      <c r="L198" s="103" t="str">
        <f t="shared" si="6"/>
        <v>_</v>
      </c>
      <c r="M198" s="110">
        <f>ROUND(Tableau1[[#This Row],[LEN]]*7.27,0)</f>
        <v>189</v>
      </c>
      <c r="N198" s="110">
        <v>15</v>
      </c>
      <c r="O198" s="128" t="str">
        <f t="shared" ref="O198:O261" si="7">IF(K198="javascript:void(0)","_self","_blank")</f>
        <v>_self</v>
      </c>
      <c r="P198" s="111">
        <f>LEN(Tableau1[[#This Row],[LABEL]])</f>
        <v>26</v>
      </c>
      <c r="Q198" s="111">
        <v>15</v>
      </c>
      <c r="R198" s="111" t="e">
        <f>ROUND(Tableau1[[#This Row],[LEN]]*#REF!+#REF!,0)</f>
        <v>#REF!</v>
      </c>
    </row>
    <row r="199" spans="1:18" s="97" customFormat="1" hidden="1" x14ac:dyDescent="0.25">
      <c r="A199" s="29" t="s">
        <v>788</v>
      </c>
      <c r="B199" s="30" t="s">
        <v>761</v>
      </c>
      <c r="C199" s="425" t="s">
        <v>2150</v>
      </c>
      <c r="D199" s="31" t="s">
        <v>790</v>
      </c>
      <c r="E199" s="71" t="s">
        <v>1177</v>
      </c>
      <c r="F199" s="31" t="s">
        <v>663</v>
      </c>
      <c r="G199" s="31" t="s">
        <v>1177</v>
      </c>
      <c r="H199" s="71" t="s">
        <v>166</v>
      </c>
      <c r="I199" s="85" t="s">
        <v>654</v>
      </c>
      <c r="J199" s="31"/>
      <c r="K199" s="103" t="s">
        <v>708</v>
      </c>
      <c r="L199" s="103" t="str">
        <f t="shared" si="6"/>
        <v>_</v>
      </c>
      <c r="M199" s="110">
        <f>ROUND(Tableau1[[#This Row],[LEN]]*7.27,0)</f>
        <v>349</v>
      </c>
      <c r="N199" s="110">
        <v>15</v>
      </c>
      <c r="O199" s="128" t="str">
        <f t="shared" si="7"/>
        <v>_self</v>
      </c>
      <c r="P199" s="111">
        <f>LEN(Tableau1[[#This Row],[LABEL]])</f>
        <v>48</v>
      </c>
      <c r="Q199" s="111">
        <v>15</v>
      </c>
      <c r="R199" s="111" t="e">
        <f>ROUND(Tableau1[[#This Row],[LEN]]*#REF!+#REF!,0)</f>
        <v>#REF!</v>
      </c>
    </row>
    <row r="200" spans="1:18" s="97" customFormat="1" hidden="1" x14ac:dyDescent="0.25">
      <c r="A200" s="25" t="s">
        <v>762</v>
      </c>
      <c r="B200" s="26" t="s">
        <v>249</v>
      </c>
      <c r="C200" s="425" t="s">
        <v>2150</v>
      </c>
      <c r="D200" s="27" t="s">
        <v>775</v>
      </c>
      <c r="E200" s="70" t="s">
        <v>1177</v>
      </c>
      <c r="F200" s="27" t="s">
        <v>663</v>
      </c>
      <c r="G200" s="27" t="s">
        <v>1177</v>
      </c>
      <c r="H200" s="70" t="s">
        <v>166</v>
      </c>
      <c r="I200" s="70" t="s">
        <v>654</v>
      </c>
      <c r="J200" s="27"/>
      <c r="K200" s="28" t="s">
        <v>708</v>
      </c>
      <c r="L200" s="28" t="str">
        <f t="shared" si="6"/>
        <v>_</v>
      </c>
      <c r="M200" s="109">
        <f>ROUND(Tableau1[[#This Row],[LEN]]*7.27,0)</f>
        <v>378</v>
      </c>
      <c r="N200" s="109">
        <v>15</v>
      </c>
      <c r="O200" s="127" t="str">
        <f t="shared" si="7"/>
        <v>_self</v>
      </c>
      <c r="P200" s="109">
        <f>LEN(Tableau1[[#This Row],[LABEL]])</f>
        <v>52</v>
      </c>
      <c r="Q200" s="109">
        <v>15</v>
      </c>
      <c r="R200" s="109" t="e">
        <f>ROUND(Tableau1[[#This Row],[LEN]]*#REF!+#REF!,0)</f>
        <v>#REF!</v>
      </c>
    </row>
    <row r="201" spans="1:18" s="97" customFormat="1" hidden="1" x14ac:dyDescent="0.25">
      <c r="A201" s="25" t="s">
        <v>763</v>
      </c>
      <c r="B201" s="26" t="s">
        <v>249</v>
      </c>
      <c r="C201" s="425" t="s">
        <v>2150</v>
      </c>
      <c r="D201" s="27" t="s">
        <v>88</v>
      </c>
      <c r="E201" s="70" t="s">
        <v>1177</v>
      </c>
      <c r="F201" s="27" t="s">
        <v>667</v>
      </c>
      <c r="G201" s="27" t="s">
        <v>1218</v>
      </c>
      <c r="H201" s="70" t="s">
        <v>166</v>
      </c>
      <c r="I201" s="70" t="s">
        <v>570</v>
      </c>
      <c r="J201" s="27"/>
      <c r="K201" s="28" t="s">
        <v>708</v>
      </c>
      <c r="L201" s="28" t="str">
        <f t="shared" si="6"/>
        <v>_</v>
      </c>
      <c r="M201" s="109">
        <f>ROUND(Tableau1[[#This Row],[LEN]]*7.27,0)</f>
        <v>342</v>
      </c>
      <c r="N201" s="109">
        <v>15</v>
      </c>
      <c r="O201" s="127" t="str">
        <f t="shared" si="7"/>
        <v>_self</v>
      </c>
      <c r="P201" s="109">
        <f>LEN(Tableau1[[#This Row],[LABEL]])</f>
        <v>47</v>
      </c>
      <c r="Q201" s="109">
        <v>15</v>
      </c>
      <c r="R201" s="109" t="e">
        <f>ROUND(Tableau1[[#This Row],[LEN]]*#REF!+#REF!,0)</f>
        <v>#REF!</v>
      </c>
    </row>
    <row r="202" spans="1:18" s="97" customFormat="1" hidden="1" x14ac:dyDescent="0.25">
      <c r="A202" s="25" t="s">
        <v>764</v>
      </c>
      <c r="B202" s="26" t="s">
        <v>249</v>
      </c>
      <c r="C202" s="425" t="s">
        <v>2150</v>
      </c>
      <c r="D202" s="27" t="s">
        <v>776</v>
      </c>
      <c r="E202" s="70" t="s">
        <v>1177</v>
      </c>
      <c r="F202" s="27" t="s">
        <v>663</v>
      </c>
      <c r="G202" s="27" t="s">
        <v>970</v>
      </c>
      <c r="H202" s="70" t="s">
        <v>166</v>
      </c>
      <c r="I202" s="70" t="s">
        <v>655</v>
      </c>
      <c r="J202" s="27"/>
      <c r="K202" s="28" t="s">
        <v>708</v>
      </c>
      <c r="L202" s="28" t="str">
        <f t="shared" si="6"/>
        <v>_</v>
      </c>
      <c r="M202" s="109">
        <f>ROUND(Tableau1[[#This Row],[LEN]]*7.27,0)</f>
        <v>44</v>
      </c>
      <c r="N202" s="109">
        <v>15</v>
      </c>
      <c r="O202" s="127" t="str">
        <f t="shared" si="7"/>
        <v>_self</v>
      </c>
      <c r="P202" s="109">
        <f>LEN(Tableau1[[#This Row],[LABEL]])</f>
        <v>6</v>
      </c>
      <c r="Q202" s="109">
        <v>15</v>
      </c>
      <c r="R202" s="109" t="e">
        <f>ROUND(Tableau1[[#This Row],[LEN]]*#REF!+#REF!,0)</f>
        <v>#REF!</v>
      </c>
    </row>
    <row r="203" spans="1:18" s="97" customFormat="1" hidden="1" x14ac:dyDescent="0.25">
      <c r="A203" s="29" t="s">
        <v>791</v>
      </c>
      <c r="B203" s="30" t="s">
        <v>764</v>
      </c>
      <c r="C203" s="425" t="s">
        <v>2150</v>
      </c>
      <c r="D203" s="31" t="s">
        <v>794</v>
      </c>
      <c r="E203" s="71" t="s">
        <v>1177</v>
      </c>
      <c r="F203" s="31" t="s">
        <v>663</v>
      </c>
      <c r="G203" s="31" t="s">
        <v>970</v>
      </c>
      <c r="H203" s="71" t="s">
        <v>166</v>
      </c>
      <c r="I203" s="85" t="s">
        <v>18</v>
      </c>
      <c r="J203" s="31"/>
      <c r="K203" s="103" t="s">
        <v>708</v>
      </c>
      <c r="L203" s="103" t="str">
        <f t="shared" si="6"/>
        <v>_</v>
      </c>
      <c r="M203" s="110">
        <f>ROUND(Tableau1[[#This Row],[LEN]]*7.27,0)</f>
        <v>65</v>
      </c>
      <c r="N203" s="110">
        <v>15</v>
      </c>
      <c r="O203" s="128" t="str">
        <f t="shared" si="7"/>
        <v>_self</v>
      </c>
      <c r="P203" s="111">
        <f>LEN(Tableau1[[#This Row],[LABEL]])</f>
        <v>9</v>
      </c>
      <c r="Q203" s="111">
        <v>15</v>
      </c>
      <c r="R203" s="111" t="e">
        <f>ROUND(Tableau1[[#This Row],[LEN]]*#REF!+#REF!,0)</f>
        <v>#REF!</v>
      </c>
    </row>
    <row r="204" spans="1:18" s="97" customFormat="1" hidden="1" x14ac:dyDescent="0.25">
      <c r="A204" s="29" t="s">
        <v>792</v>
      </c>
      <c r="B204" s="30" t="s">
        <v>764</v>
      </c>
      <c r="C204" s="425" t="s">
        <v>2150</v>
      </c>
      <c r="D204" s="31" t="s">
        <v>795</v>
      </c>
      <c r="E204" s="71" t="s">
        <v>1177</v>
      </c>
      <c r="F204" s="31" t="s">
        <v>663</v>
      </c>
      <c r="G204" s="31" t="s">
        <v>970</v>
      </c>
      <c r="H204" s="71" t="s">
        <v>166</v>
      </c>
      <c r="I204" s="85" t="s">
        <v>18</v>
      </c>
      <c r="J204" s="31"/>
      <c r="K204" s="103" t="s">
        <v>708</v>
      </c>
      <c r="L204" s="103" t="str">
        <f t="shared" si="6"/>
        <v>_</v>
      </c>
      <c r="M204" s="110">
        <f>ROUND(Tableau1[[#This Row],[LEN]]*7.27,0)</f>
        <v>65</v>
      </c>
      <c r="N204" s="110">
        <v>15</v>
      </c>
      <c r="O204" s="128" t="str">
        <f t="shared" si="7"/>
        <v>_self</v>
      </c>
      <c r="P204" s="111">
        <f>LEN(Tableau1[[#This Row],[LABEL]])</f>
        <v>9</v>
      </c>
      <c r="Q204" s="111">
        <v>15</v>
      </c>
      <c r="R204" s="111" t="e">
        <f>ROUND(Tableau1[[#This Row],[LEN]]*#REF!+#REF!,0)</f>
        <v>#REF!</v>
      </c>
    </row>
    <row r="205" spans="1:18" s="97" customFormat="1" hidden="1" x14ac:dyDescent="0.25">
      <c r="A205" s="29" t="s">
        <v>793</v>
      </c>
      <c r="B205" s="30" t="s">
        <v>764</v>
      </c>
      <c r="C205" s="425" t="s">
        <v>2150</v>
      </c>
      <c r="D205" s="31" t="s">
        <v>796</v>
      </c>
      <c r="E205" s="71" t="s">
        <v>1177</v>
      </c>
      <c r="F205" s="31" t="s">
        <v>663</v>
      </c>
      <c r="G205" s="31" t="s">
        <v>970</v>
      </c>
      <c r="H205" s="71" t="s">
        <v>166</v>
      </c>
      <c r="I205" s="85" t="s">
        <v>18</v>
      </c>
      <c r="J205" s="31"/>
      <c r="K205" s="103" t="s">
        <v>708</v>
      </c>
      <c r="L205" s="103" t="str">
        <f t="shared" si="6"/>
        <v>_</v>
      </c>
      <c r="M205" s="110">
        <f>ROUND(Tableau1[[#This Row],[LEN]]*7.27,0)</f>
        <v>73</v>
      </c>
      <c r="N205" s="110">
        <v>15</v>
      </c>
      <c r="O205" s="128" t="str">
        <f t="shared" si="7"/>
        <v>_self</v>
      </c>
      <c r="P205" s="111">
        <f>LEN(Tableau1[[#This Row],[LABEL]])</f>
        <v>10</v>
      </c>
      <c r="Q205" s="111">
        <v>15</v>
      </c>
      <c r="R205" s="111" t="e">
        <f>ROUND(Tableau1[[#This Row],[LEN]]*#REF!+#REF!,0)</f>
        <v>#REF!</v>
      </c>
    </row>
    <row r="206" spans="1:18" s="97" customFormat="1" hidden="1" x14ac:dyDescent="0.25">
      <c r="A206" s="29" t="s">
        <v>797</v>
      </c>
      <c r="B206" s="30" t="s">
        <v>764</v>
      </c>
      <c r="C206" s="425" t="s">
        <v>2150</v>
      </c>
      <c r="D206" s="31" t="s">
        <v>801</v>
      </c>
      <c r="E206" s="71" t="s">
        <v>1177</v>
      </c>
      <c r="F206" s="31" t="s">
        <v>663</v>
      </c>
      <c r="G206" s="31" t="s">
        <v>970</v>
      </c>
      <c r="H206" s="71" t="s">
        <v>166</v>
      </c>
      <c r="I206" s="85" t="s">
        <v>18</v>
      </c>
      <c r="J206" s="31"/>
      <c r="K206" s="103" t="s">
        <v>708</v>
      </c>
      <c r="L206" s="103" t="str">
        <f t="shared" si="6"/>
        <v>_</v>
      </c>
      <c r="M206" s="110">
        <f>ROUND(Tableau1[[#This Row],[LEN]]*7.27,0)</f>
        <v>73</v>
      </c>
      <c r="N206" s="110">
        <v>15</v>
      </c>
      <c r="O206" s="128" t="str">
        <f t="shared" si="7"/>
        <v>_self</v>
      </c>
      <c r="P206" s="111">
        <f>LEN(Tableau1[[#This Row],[LABEL]])</f>
        <v>10</v>
      </c>
      <c r="Q206" s="111">
        <v>15</v>
      </c>
      <c r="R206" s="111" t="e">
        <f>ROUND(Tableau1[[#This Row],[LEN]]*#REF!+#REF!,0)</f>
        <v>#REF!</v>
      </c>
    </row>
    <row r="207" spans="1:18" s="97" customFormat="1" hidden="1" x14ac:dyDescent="0.25">
      <c r="A207" s="29" t="s">
        <v>798</v>
      </c>
      <c r="B207" s="30" t="s">
        <v>764</v>
      </c>
      <c r="C207" s="425" t="s">
        <v>2150</v>
      </c>
      <c r="D207" s="31" t="s">
        <v>806</v>
      </c>
      <c r="E207" s="71" t="s">
        <v>1177</v>
      </c>
      <c r="F207" s="31" t="s">
        <v>663</v>
      </c>
      <c r="G207" s="31" t="s">
        <v>970</v>
      </c>
      <c r="H207" s="71" t="s">
        <v>166</v>
      </c>
      <c r="I207" s="85" t="s">
        <v>18</v>
      </c>
      <c r="J207" s="31"/>
      <c r="K207" s="103" t="s">
        <v>708</v>
      </c>
      <c r="L207" s="103" t="str">
        <f t="shared" si="6"/>
        <v>_</v>
      </c>
      <c r="M207" s="110">
        <f>ROUND(Tableau1[[#This Row],[LEN]]*7.27,0)</f>
        <v>174</v>
      </c>
      <c r="N207" s="110">
        <v>15</v>
      </c>
      <c r="O207" s="128" t="str">
        <f t="shared" si="7"/>
        <v>_self</v>
      </c>
      <c r="P207" s="111">
        <f>LEN(Tableau1[[#This Row],[LABEL]])</f>
        <v>24</v>
      </c>
      <c r="Q207" s="111">
        <v>15</v>
      </c>
      <c r="R207" s="111" t="e">
        <f>ROUND(Tableau1[[#This Row],[LEN]]*#REF!+#REF!,0)</f>
        <v>#REF!</v>
      </c>
    </row>
    <row r="208" spans="1:18" s="97" customFormat="1" hidden="1" x14ac:dyDescent="0.25">
      <c r="A208" s="29" t="s">
        <v>799</v>
      </c>
      <c r="B208" s="30" t="s">
        <v>764</v>
      </c>
      <c r="C208" s="425" t="s">
        <v>2150</v>
      </c>
      <c r="D208" s="31" t="s">
        <v>807</v>
      </c>
      <c r="E208" s="71" t="s">
        <v>1177</v>
      </c>
      <c r="F208" s="31" t="s">
        <v>663</v>
      </c>
      <c r="G208" s="31" t="s">
        <v>970</v>
      </c>
      <c r="H208" s="71" t="s">
        <v>166</v>
      </c>
      <c r="I208" s="85" t="s">
        <v>18</v>
      </c>
      <c r="J208" s="31"/>
      <c r="K208" s="103" t="s">
        <v>708</v>
      </c>
      <c r="L208" s="103" t="str">
        <f t="shared" si="6"/>
        <v>_</v>
      </c>
      <c r="M208" s="110">
        <f>ROUND(Tableau1[[#This Row],[LEN]]*7.27,0)</f>
        <v>218</v>
      </c>
      <c r="N208" s="110">
        <v>15</v>
      </c>
      <c r="O208" s="128" t="str">
        <f t="shared" si="7"/>
        <v>_self</v>
      </c>
      <c r="P208" s="111">
        <f>LEN(Tableau1[[#This Row],[LABEL]])</f>
        <v>30</v>
      </c>
      <c r="Q208" s="111">
        <v>15</v>
      </c>
      <c r="R208" s="111" t="e">
        <f>ROUND(Tableau1[[#This Row],[LEN]]*#REF!+#REF!,0)</f>
        <v>#REF!</v>
      </c>
    </row>
    <row r="209" spans="1:18" s="97" customFormat="1" hidden="1" x14ac:dyDescent="0.25">
      <c r="A209" s="29" t="s">
        <v>800</v>
      </c>
      <c r="B209" s="30" t="s">
        <v>764</v>
      </c>
      <c r="C209" s="425" t="s">
        <v>2150</v>
      </c>
      <c r="D209" s="31" t="s">
        <v>808</v>
      </c>
      <c r="E209" s="71" t="s">
        <v>1177</v>
      </c>
      <c r="F209" s="31" t="s">
        <v>663</v>
      </c>
      <c r="G209" s="31" t="s">
        <v>970</v>
      </c>
      <c r="H209" s="71" t="s">
        <v>166</v>
      </c>
      <c r="I209" s="85" t="s">
        <v>18</v>
      </c>
      <c r="J209" s="31"/>
      <c r="K209" s="103" t="s">
        <v>708</v>
      </c>
      <c r="L209" s="103" t="str">
        <f t="shared" si="6"/>
        <v>_</v>
      </c>
      <c r="M209" s="110">
        <f>ROUND(Tableau1[[#This Row],[LEN]]*7.27,0)</f>
        <v>15</v>
      </c>
      <c r="N209" s="110">
        <v>15</v>
      </c>
      <c r="O209" s="128" t="str">
        <f t="shared" si="7"/>
        <v>_self</v>
      </c>
      <c r="P209" s="111">
        <f>LEN(Tableau1[[#This Row],[LABEL]])</f>
        <v>2</v>
      </c>
      <c r="Q209" s="111">
        <v>15</v>
      </c>
      <c r="R209" s="111" t="e">
        <f>ROUND(Tableau1[[#This Row],[LEN]]*#REF!+#REF!,0)</f>
        <v>#REF!</v>
      </c>
    </row>
    <row r="210" spans="1:18" s="97" customFormat="1" hidden="1" x14ac:dyDescent="0.25">
      <c r="A210" s="29" t="s">
        <v>802</v>
      </c>
      <c r="B210" s="30" t="s">
        <v>764</v>
      </c>
      <c r="C210" s="425" t="s">
        <v>2150</v>
      </c>
      <c r="D210" s="31" t="s">
        <v>809</v>
      </c>
      <c r="E210" s="71" t="s">
        <v>1177</v>
      </c>
      <c r="F210" s="31" t="s">
        <v>663</v>
      </c>
      <c r="G210" s="31" t="s">
        <v>970</v>
      </c>
      <c r="H210" s="71" t="s">
        <v>166</v>
      </c>
      <c r="I210" s="85" t="s">
        <v>18</v>
      </c>
      <c r="J210" s="31"/>
      <c r="K210" s="103" t="s">
        <v>708</v>
      </c>
      <c r="L210" s="103" t="str">
        <f t="shared" si="6"/>
        <v>_</v>
      </c>
      <c r="M210" s="110">
        <f>ROUND(Tableau1[[#This Row],[LEN]]*7.27,0)</f>
        <v>65</v>
      </c>
      <c r="N210" s="110">
        <v>15</v>
      </c>
      <c r="O210" s="128" t="str">
        <f t="shared" si="7"/>
        <v>_self</v>
      </c>
      <c r="P210" s="111">
        <f>LEN(Tableau1[[#This Row],[LABEL]])</f>
        <v>9</v>
      </c>
      <c r="Q210" s="111">
        <v>15</v>
      </c>
      <c r="R210" s="111" t="e">
        <f>ROUND(Tableau1[[#This Row],[LEN]]*#REF!+#REF!,0)</f>
        <v>#REF!</v>
      </c>
    </row>
    <row r="211" spans="1:18" s="97" customFormat="1" hidden="1" x14ac:dyDescent="0.25">
      <c r="A211" s="29" t="s">
        <v>803</v>
      </c>
      <c r="B211" s="30" t="s">
        <v>764</v>
      </c>
      <c r="C211" s="425" t="s">
        <v>2150</v>
      </c>
      <c r="D211" s="31" t="s">
        <v>810</v>
      </c>
      <c r="E211" s="71" t="s">
        <v>1177</v>
      </c>
      <c r="F211" s="31" t="s">
        <v>663</v>
      </c>
      <c r="G211" s="31" t="s">
        <v>970</v>
      </c>
      <c r="H211" s="71" t="s">
        <v>166</v>
      </c>
      <c r="I211" s="85" t="s">
        <v>18</v>
      </c>
      <c r="J211" s="31"/>
      <c r="K211" s="103" t="s">
        <v>708</v>
      </c>
      <c r="L211" s="103" t="str">
        <f t="shared" si="6"/>
        <v>_</v>
      </c>
      <c r="M211" s="110">
        <f>ROUND(Tableau1[[#This Row],[LEN]]*7.27,0)</f>
        <v>225</v>
      </c>
      <c r="N211" s="110">
        <v>15</v>
      </c>
      <c r="O211" s="128" t="str">
        <f t="shared" si="7"/>
        <v>_self</v>
      </c>
      <c r="P211" s="111">
        <f>LEN(Tableau1[[#This Row],[LABEL]])</f>
        <v>31</v>
      </c>
      <c r="Q211" s="111">
        <v>15</v>
      </c>
      <c r="R211" s="111" t="e">
        <f>ROUND(Tableau1[[#This Row],[LEN]]*#REF!+#REF!,0)</f>
        <v>#REF!</v>
      </c>
    </row>
    <row r="212" spans="1:18" s="97" customFormat="1" hidden="1" x14ac:dyDescent="0.25">
      <c r="A212" s="29" t="s">
        <v>804</v>
      </c>
      <c r="B212" s="30" t="s">
        <v>764</v>
      </c>
      <c r="C212" s="425" t="s">
        <v>2150</v>
      </c>
      <c r="D212" s="31" t="s">
        <v>811</v>
      </c>
      <c r="E212" s="71" t="s">
        <v>1177</v>
      </c>
      <c r="F212" s="31" t="s">
        <v>663</v>
      </c>
      <c r="G212" s="31" t="s">
        <v>970</v>
      </c>
      <c r="H212" s="71" t="s">
        <v>166</v>
      </c>
      <c r="I212" s="85" t="s">
        <v>18</v>
      </c>
      <c r="J212" s="31"/>
      <c r="K212" s="103" t="s">
        <v>708</v>
      </c>
      <c r="L212" s="103" t="str">
        <f t="shared" si="6"/>
        <v>_</v>
      </c>
      <c r="M212" s="110">
        <f>ROUND(Tableau1[[#This Row],[LEN]]*7.27,0)</f>
        <v>160</v>
      </c>
      <c r="N212" s="110">
        <v>15</v>
      </c>
      <c r="O212" s="128" t="str">
        <f t="shared" si="7"/>
        <v>_self</v>
      </c>
      <c r="P212" s="111">
        <f>LEN(Tableau1[[#This Row],[LABEL]])</f>
        <v>22</v>
      </c>
      <c r="Q212" s="111">
        <v>15</v>
      </c>
      <c r="R212" s="111" t="e">
        <f>ROUND(Tableau1[[#This Row],[LEN]]*#REF!+#REF!,0)</f>
        <v>#REF!</v>
      </c>
    </row>
    <row r="213" spans="1:18" s="97" customFormat="1" hidden="1" x14ac:dyDescent="0.25">
      <c r="A213" s="29" t="s">
        <v>805</v>
      </c>
      <c r="B213" s="30" t="s">
        <v>764</v>
      </c>
      <c r="C213" s="425" t="s">
        <v>2150</v>
      </c>
      <c r="D213" s="31" t="s">
        <v>812</v>
      </c>
      <c r="E213" s="71" t="s">
        <v>1177</v>
      </c>
      <c r="F213" s="31" t="s">
        <v>663</v>
      </c>
      <c r="G213" s="31" t="s">
        <v>970</v>
      </c>
      <c r="H213" s="71" t="s">
        <v>166</v>
      </c>
      <c r="I213" s="85" t="s">
        <v>18</v>
      </c>
      <c r="J213" s="31"/>
      <c r="K213" s="103" t="s">
        <v>708</v>
      </c>
      <c r="L213" s="103" t="str">
        <f t="shared" si="6"/>
        <v>_</v>
      </c>
      <c r="M213" s="110">
        <f>ROUND(Tableau1[[#This Row],[LEN]]*7.27,0)</f>
        <v>131</v>
      </c>
      <c r="N213" s="110">
        <v>15</v>
      </c>
      <c r="O213" s="128" t="str">
        <f t="shared" si="7"/>
        <v>_self</v>
      </c>
      <c r="P213" s="111">
        <f>LEN(Tableau1[[#This Row],[LABEL]])</f>
        <v>18</v>
      </c>
      <c r="Q213" s="111">
        <v>15</v>
      </c>
      <c r="R213" s="111" t="e">
        <f>ROUND(Tableau1[[#This Row],[LEN]]*#REF!+#REF!,0)</f>
        <v>#REF!</v>
      </c>
    </row>
    <row r="214" spans="1:18" s="97" customFormat="1" hidden="1" x14ac:dyDescent="0.25">
      <c r="A214" s="25" t="s">
        <v>765</v>
      </c>
      <c r="B214" s="26" t="s">
        <v>249</v>
      </c>
      <c r="C214" s="425" t="s">
        <v>2150</v>
      </c>
      <c r="D214" s="27" t="s">
        <v>783</v>
      </c>
      <c r="E214" s="70" t="s">
        <v>1177</v>
      </c>
      <c r="F214" s="27" t="s">
        <v>663</v>
      </c>
      <c r="G214" s="27" t="s">
        <v>1177</v>
      </c>
      <c r="H214" s="70" t="s">
        <v>166</v>
      </c>
      <c r="I214" s="70" t="s">
        <v>655</v>
      </c>
      <c r="J214" s="27"/>
      <c r="K214" s="28" t="s">
        <v>708</v>
      </c>
      <c r="L214" s="28" t="str">
        <f t="shared" si="6"/>
        <v>_</v>
      </c>
      <c r="M214" s="109">
        <f>ROUND(Tableau1[[#This Row],[LEN]]*7.27,0)</f>
        <v>138</v>
      </c>
      <c r="N214" s="109">
        <v>15</v>
      </c>
      <c r="O214" s="127" t="str">
        <f t="shared" si="7"/>
        <v>_self</v>
      </c>
      <c r="P214" s="109">
        <f>LEN(Tableau1[[#This Row],[LABEL]])</f>
        <v>19</v>
      </c>
      <c r="Q214" s="109">
        <v>15</v>
      </c>
      <c r="R214" s="109" t="e">
        <f>ROUND(Tableau1[[#This Row],[LEN]]*#REF!+#REF!,0)</f>
        <v>#REF!</v>
      </c>
    </row>
    <row r="215" spans="1:18" s="97" customFormat="1" hidden="1" x14ac:dyDescent="0.25">
      <c r="A215" s="29" t="s">
        <v>813</v>
      </c>
      <c r="B215" s="30" t="s">
        <v>765</v>
      </c>
      <c r="C215" s="425" t="s">
        <v>2150</v>
      </c>
      <c r="D215" s="31" t="s">
        <v>817</v>
      </c>
      <c r="E215" s="71" t="s">
        <v>1177</v>
      </c>
      <c r="F215" s="31" t="s">
        <v>663</v>
      </c>
      <c r="G215" s="31" t="s">
        <v>1177</v>
      </c>
      <c r="H215" s="71" t="s">
        <v>166</v>
      </c>
      <c r="I215" s="85" t="s">
        <v>656</v>
      </c>
      <c r="J215" s="31"/>
      <c r="K215" s="103" t="s">
        <v>708</v>
      </c>
      <c r="L215" s="103" t="str">
        <f t="shared" si="6"/>
        <v>_</v>
      </c>
      <c r="M215" s="110">
        <f>ROUND(Tableau1[[#This Row],[LEN]]*7.27,0)</f>
        <v>313</v>
      </c>
      <c r="N215" s="110">
        <v>15</v>
      </c>
      <c r="O215" s="128" t="str">
        <f t="shared" si="7"/>
        <v>_self</v>
      </c>
      <c r="P215" s="111">
        <f>LEN(Tableau1[[#This Row],[LABEL]])</f>
        <v>43</v>
      </c>
      <c r="Q215" s="111">
        <v>15</v>
      </c>
      <c r="R215" s="111" t="e">
        <f>ROUND(Tableau1[[#This Row],[LEN]]*#REF!+#REF!,0)</f>
        <v>#REF!</v>
      </c>
    </row>
    <row r="216" spans="1:18" s="97" customFormat="1" hidden="1" x14ac:dyDescent="0.25">
      <c r="A216" s="29" t="s">
        <v>814</v>
      </c>
      <c r="B216" s="30" t="s">
        <v>765</v>
      </c>
      <c r="C216" s="425" t="s">
        <v>2150</v>
      </c>
      <c r="D216" s="31" t="s">
        <v>818</v>
      </c>
      <c r="E216" s="71" t="s">
        <v>1177</v>
      </c>
      <c r="F216" s="31" t="s">
        <v>663</v>
      </c>
      <c r="G216" s="31" t="s">
        <v>1177</v>
      </c>
      <c r="H216" s="71" t="s">
        <v>166</v>
      </c>
      <c r="I216" s="85" t="s">
        <v>656</v>
      </c>
      <c r="J216" s="31"/>
      <c r="K216" s="103" t="s">
        <v>708</v>
      </c>
      <c r="L216" s="103" t="str">
        <f t="shared" si="6"/>
        <v>_</v>
      </c>
      <c r="M216" s="110">
        <f>ROUND(Tableau1[[#This Row],[LEN]]*7.27,0)</f>
        <v>349</v>
      </c>
      <c r="N216" s="110">
        <v>15</v>
      </c>
      <c r="O216" s="128" t="str">
        <f t="shared" si="7"/>
        <v>_self</v>
      </c>
      <c r="P216" s="111">
        <f>LEN(Tableau1[[#This Row],[LABEL]])</f>
        <v>48</v>
      </c>
      <c r="Q216" s="111">
        <v>15</v>
      </c>
      <c r="R216" s="111" t="e">
        <f>ROUND(Tableau1[[#This Row],[LEN]]*#REF!+#REF!,0)</f>
        <v>#REF!</v>
      </c>
    </row>
    <row r="217" spans="1:18" s="97" customFormat="1" hidden="1" x14ac:dyDescent="0.25">
      <c r="A217" s="29" t="s">
        <v>815</v>
      </c>
      <c r="B217" s="30" t="s">
        <v>765</v>
      </c>
      <c r="C217" s="425" t="s">
        <v>2150</v>
      </c>
      <c r="D217" s="31" t="s">
        <v>819</v>
      </c>
      <c r="E217" s="71" t="s">
        <v>1177</v>
      </c>
      <c r="F217" s="31" t="s">
        <v>663</v>
      </c>
      <c r="G217" s="31" t="s">
        <v>1177</v>
      </c>
      <c r="H217" s="71" t="s">
        <v>166</v>
      </c>
      <c r="I217" s="85" t="s">
        <v>656</v>
      </c>
      <c r="J217" s="31"/>
      <c r="K217" s="103" t="s">
        <v>708</v>
      </c>
      <c r="L217" s="103" t="str">
        <f t="shared" si="6"/>
        <v>_</v>
      </c>
      <c r="M217" s="110">
        <f>ROUND(Tableau1[[#This Row],[LEN]]*7.27,0)</f>
        <v>189</v>
      </c>
      <c r="N217" s="110">
        <v>15</v>
      </c>
      <c r="O217" s="128" t="str">
        <f t="shared" si="7"/>
        <v>_self</v>
      </c>
      <c r="P217" s="111">
        <f>LEN(Tableau1[[#This Row],[LABEL]])</f>
        <v>26</v>
      </c>
      <c r="Q217" s="111">
        <v>15</v>
      </c>
      <c r="R217" s="111" t="e">
        <f>ROUND(Tableau1[[#This Row],[LEN]]*#REF!+#REF!,0)</f>
        <v>#REF!</v>
      </c>
    </row>
    <row r="218" spans="1:18" s="97" customFormat="1" hidden="1" x14ac:dyDescent="0.25">
      <c r="A218" s="29" t="s">
        <v>816</v>
      </c>
      <c r="B218" s="30" t="s">
        <v>765</v>
      </c>
      <c r="C218" s="425" t="s">
        <v>2150</v>
      </c>
      <c r="D218" s="31" t="s">
        <v>820</v>
      </c>
      <c r="E218" s="71" t="s">
        <v>1177</v>
      </c>
      <c r="F218" s="31" t="s">
        <v>663</v>
      </c>
      <c r="G218" s="31" t="s">
        <v>1177</v>
      </c>
      <c r="H218" s="71" t="s">
        <v>166</v>
      </c>
      <c r="I218" s="85" t="s">
        <v>18</v>
      </c>
      <c r="J218" s="31"/>
      <c r="K218" s="103" t="s">
        <v>708</v>
      </c>
      <c r="L218" s="103" t="str">
        <f t="shared" si="6"/>
        <v>_</v>
      </c>
      <c r="M218" s="110">
        <f>ROUND(Tableau1[[#This Row],[LEN]]*7.27,0)</f>
        <v>124</v>
      </c>
      <c r="N218" s="110">
        <v>15</v>
      </c>
      <c r="O218" s="128" t="str">
        <f t="shared" si="7"/>
        <v>_self</v>
      </c>
      <c r="P218" s="111">
        <f>LEN(Tableau1[[#This Row],[LABEL]])</f>
        <v>17</v>
      </c>
      <c r="Q218" s="111">
        <v>15</v>
      </c>
      <c r="R218" s="111" t="e">
        <f>ROUND(Tableau1[[#This Row],[LEN]]*#REF!+#REF!,0)</f>
        <v>#REF!</v>
      </c>
    </row>
    <row r="219" spans="1:18" s="97" customFormat="1" hidden="1" x14ac:dyDescent="0.25">
      <c r="A219" s="25" t="s">
        <v>766</v>
      </c>
      <c r="B219" s="26" t="s">
        <v>249</v>
      </c>
      <c r="C219" s="425" t="s">
        <v>2150</v>
      </c>
      <c r="D219" s="27" t="s">
        <v>1165</v>
      </c>
      <c r="E219" s="70" t="s">
        <v>1177</v>
      </c>
      <c r="F219" s="27" t="s">
        <v>663</v>
      </c>
      <c r="G219" s="27" t="s">
        <v>1177</v>
      </c>
      <c r="H219" s="70" t="s">
        <v>166</v>
      </c>
      <c r="I219" s="70" t="s">
        <v>654</v>
      </c>
      <c r="J219" s="27"/>
      <c r="K219" s="28" t="s">
        <v>708</v>
      </c>
      <c r="L219" s="28" t="str">
        <f t="shared" si="6"/>
        <v>_</v>
      </c>
      <c r="M219" s="109">
        <f>ROUND(Tableau1[[#This Row],[LEN]]*7.27,0)</f>
        <v>211</v>
      </c>
      <c r="N219" s="109">
        <v>15</v>
      </c>
      <c r="O219" s="127" t="str">
        <f t="shared" si="7"/>
        <v>_self</v>
      </c>
      <c r="P219" s="109">
        <f>LEN(Tableau1[[#This Row],[LABEL]])</f>
        <v>29</v>
      </c>
      <c r="Q219" s="109">
        <v>15</v>
      </c>
      <c r="R219" s="109" t="e">
        <f>ROUND(Tableau1[[#This Row],[LEN]]*#REF!+#REF!,0)</f>
        <v>#REF!</v>
      </c>
    </row>
    <row r="220" spans="1:18" s="97" customFormat="1" hidden="1" x14ac:dyDescent="0.25">
      <c r="A220" s="25" t="s">
        <v>767</v>
      </c>
      <c r="B220" s="26" t="s">
        <v>249</v>
      </c>
      <c r="C220" s="425" t="s">
        <v>2150</v>
      </c>
      <c r="D220" s="27" t="s">
        <v>777</v>
      </c>
      <c r="E220" s="70" t="s">
        <v>1177</v>
      </c>
      <c r="F220" s="27" t="s">
        <v>663</v>
      </c>
      <c r="G220" s="27" t="s">
        <v>1177</v>
      </c>
      <c r="H220" s="70" t="s">
        <v>166</v>
      </c>
      <c r="I220" s="70" t="s">
        <v>656</v>
      </c>
      <c r="J220" s="27"/>
      <c r="K220" s="28" t="s">
        <v>708</v>
      </c>
      <c r="L220" s="28" t="str">
        <f t="shared" si="6"/>
        <v>_</v>
      </c>
      <c r="M220" s="109">
        <f>ROUND(Tableau1[[#This Row],[LEN]]*7.27,0)</f>
        <v>378</v>
      </c>
      <c r="N220" s="109">
        <v>15</v>
      </c>
      <c r="O220" s="127" t="str">
        <f t="shared" si="7"/>
        <v>_self</v>
      </c>
      <c r="P220" s="109">
        <f>LEN(Tableau1[[#This Row],[LABEL]])</f>
        <v>52</v>
      </c>
      <c r="Q220" s="109">
        <v>15</v>
      </c>
      <c r="R220" s="109" t="e">
        <f>ROUND(Tableau1[[#This Row],[LEN]]*#REF!+#REF!,0)</f>
        <v>#REF!</v>
      </c>
    </row>
    <row r="221" spans="1:18" s="97" customFormat="1" hidden="1" x14ac:dyDescent="0.25">
      <c r="A221" s="25" t="s">
        <v>768</v>
      </c>
      <c r="B221" s="26" t="s">
        <v>249</v>
      </c>
      <c r="C221" s="425" t="s">
        <v>2150</v>
      </c>
      <c r="D221" s="27" t="s">
        <v>778</v>
      </c>
      <c r="E221" s="70" t="s">
        <v>1177</v>
      </c>
      <c r="F221" s="27" t="s">
        <v>673</v>
      </c>
      <c r="G221" s="27" t="s">
        <v>2000</v>
      </c>
      <c r="H221" s="70" t="s">
        <v>166</v>
      </c>
      <c r="I221" s="70" t="s">
        <v>17</v>
      </c>
      <c r="J221" s="27"/>
      <c r="K221" s="28" t="s">
        <v>708</v>
      </c>
      <c r="L221" s="28" t="str">
        <f t="shared" si="6"/>
        <v>_</v>
      </c>
      <c r="M221" s="109">
        <f>ROUND(Tableau1[[#This Row],[LEN]]*7.27,0)</f>
        <v>211</v>
      </c>
      <c r="N221" s="109">
        <v>15</v>
      </c>
      <c r="O221" s="127" t="str">
        <f t="shared" si="7"/>
        <v>_self</v>
      </c>
      <c r="P221" s="109">
        <f>LEN(Tableau1[[#This Row],[LABEL]])</f>
        <v>29</v>
      </c>
      <c r="Q221" s="109">
        <v>15</v>
      </c>
      <c r="R221" s="109" t="e">
        <f>ROUND(Tableau1[[#This Row],[LEN]]*#REF!+#REF!,0)</f>
        <v>#REF!</v>
      </c>
    </row>
    <row r="222" spans="1:18" s="97" customFormat="1" hidden="1" x14ac:dyDescent="0.25">
      <c r="A222" s="25" t="s">
        <v>769</v>
      </c>
      <c r="B222" s="26" t="s">
        <v>249</v>
      </c>
      <c r="C222" s="425" t="s">
        <v>2150</v>
      </c>
      <c r="D222" s="27" t="s">
        <v>92</v>
      </c>
      <c r="E222" s="70" t="s">
        <v>1177</v>
      </c>
      <c r="F222" s="27" t="s">
        <v>663</v>
      </c>
      <c r="G222" s="27" t="s">
        <v>2080</v>
      </c>
      <c r="H222" s="70" t="s">
        <v>166</v>
      </c>
      <c r="I222" s="70" t="s">
        <v>655</v>
      </c>
      <c r="J222" s="27"/>
      <c r="K222" s="28" t="s">
        <v>708</v>
      </c>
      <c r="L222" s="28" t="str">
        <f t="shared" si="6"/>
        <v>_</v>
      </c>
      <c r="M222" s="109">
        <f>ROUND(Tableau1[[#This Row],[LEN]]*7.27,0)</f>
        <v>262</v>
      </c>
      <c r="N222" s="109">
        <v>15</v>
      </c>
      <c r="O222" s="127" t="str">
        <f t="shared" si="7"/>
        <v>_self</v>
      </c>
      <c r="P222" s="109">
        <f>LEN(Tableau1[[#This Row],[LABEL]])</f>
        <v>36</v>
      </c>
      <c r="Q222" s="109">
        <v>15</v>
      </c>
      <c r="R222" s="109" t="e">
        <f>ROUND(Tableau1[[#This Row],[LEN]]*#REF!+#REF!,0)</f>
        <v>#REF!</v>
      </c>
    </row>
    <row r="223" spans="1:18" s="97" customFormat="1" hidden="1" x14ac:dyDescent="0.25">
      <c r="A223" s="29" t="s">
        <v>821</v>
      </c>
      <c r="B223" s="30" t="s">
        <v>769</v>
      </c>
      <c r="C223" s="425" t="s">
        <v>2150</v>
      </c>
      <c r="D223" s="31" t="s">
        <v>95</v>
      </c>
      <c r="E223" s="71" t="s">
        <v>1177</v>
      </c>
      <c r="F223" s="31" t="s">
        <v>663</v>
      </c>
      <c r="G223" s="31" t="s">
        <v>2080</v>
      </c>
      <c r="H223" s="71" t="s">
        <v>166</v>
      </c>
      <c r="I223" s="85" t="s">
        <v>17</v>
      </c>
      <c r="J223" s="31"/>
      <c r="K223" s="103" t="s">
        <v>708</v>
      </c>
      <c r="L223" s="103" t="str">
        <f t="shared" si="6"/>
        <v>_</v>
      </c>
      <c r="M223" s="110">
        <f>ROUND(Tableau1[[#This Row],[LEN]]*7.27,0)</f>
        <v>254</v>
      </c>
      <c r="N223" s="110">
        <v>15</v>
      </c>
      <c r="O223" s="128" t="str">
        <f t="shared" si="7"/>
        <v>_self</v>
      </c>
      <c r="P223" s="111">
        <f>LEN(Tableau1[[#This Row],[LABEL]])</f>
        <v>35</v>
      </c>
      <c r="Q223" s="111">
        <v>15</v>
      </c>
      <c r="R223" s="111" t="e">
        <f>ROUND(Tableau1[[#This Row],[LEN]]*#REF!+#REF!,0)</f>
        <v>#REF!</v>
      </c>
    </row>
    <row r="224" spans="1:18" s="97" customFormat="1" hidden="1" x14ac:dyDescent="0.25">
      <c r="A224" s="29" t="s">
        <v>822</v>
      </c>
      <c r="B224" s="30" t="s">
        <v>769</v>
      </c>
      <c r="C224" s="425" t="s">
        <v>2150</v>
      </c>
      <c r="D224" s="31" t="s">
        <v>96</v>
      </c>
      <c r="E224" s="71" t="s">
        <v>1177</v>
      </c>
      <c r="F224" s="31" t="s">
        <v>663</v>
      </c>
      <c r="G224" s="31" t="s">
        <v>2080</v>
      </c>
      <c r="H224" s="71" t="s">
        <v>166</v>
      </c>
      <c r="I224" s="85" t="s">
        <v>570</v>
      </c>
      <c r="J224" s="31"/>
      <c r="K224" s="103" t="s">
        <v>708</v>
      </c>
      <c r="L224" s="103" t="str">
        <f t="shared" si="6"/>
        <v>_</v>
      </c>
      <c r="M224" s="110">
        <f>ROUND(Tableau1[[#This Row],[LEN]]*7.27,0)</f>
        <v>233</v>
      </c>
      <c r="N224" s="110">
        <v>15</v>
      </c>
      <c r="O224" s="128" t="str">
        <f t="shared" si="7"/>
        <v>_self</v>
      </c>
      <c r="P224" s="111">
        <f>LEN(Tableau1[[#This Row],[LABEL]])</f>
        <v>32</v>
      </c>
      <c r="Q224" s="111">
        <v>15</v>
      </c>
      <c r="R224" s="111" t="e">
        <f>ROUND(Tableau1[[#This Row],[LEN]]*#REF!+#REF!,0)</f>
        <v>#REF!</v>
      </c>
    </row>
    <row r="225" spans="1:18" s="97" customFormat="1" hidden="1" x14ac:dyDescent="0.25">
      <c r="A225" s="29" t="s">
        <v>823</v>
      </c>
      <c r="B225" s="30" t="s">
        <v>769</v>
      </c>
      <c r="C225" s="425" t="s">
        <v>2150</v>
      </c>
      <c r="D225" s="31" t="s">
        <v>97</v>
      </c>
      <c r="E225" s="71" t="s">
        <v>1177</v>
      </c>
      <c r="F225" s="31" t="s">
        <v>663</v>
      </c>
      <c r="G225" s="31" t="s">
        <v>2080</v>
      </c>
      <c r="H225" s="71" t="s">
        <v>166</v>
      </c>
      <c r="I225" s="85" t="s">
        <v>656</v>
      </c>
      <c r="J225" s="31"/>
      <c r="K225" s="103" t="s">
        <v>708</v>
      </c>
      <c r="L225" s="103" t="str">
        <f t="shared" si="6"/>
        <v>_</v>
      </c>
      <c r="M225" s="110">
        <f>ROUND(Tableau1[[#This Row],[LEN]]*7.27,0)</f>
        <v>145</v>
      </c>
      <c r="N225" s="110">
        <v>15</v>
      </c>
      <c r="O225" s="128" t="str">
        <f t="shared" si="7"/>
        <v>_self</v>
      </c>
      <c r="P225" s="111">
        <f>LEN(Tableau1[[#This Row],[LABEL]])</f>
        <v>20</v>
      </c>
      <c r="Q225" s="111">
        <v>15</v>
      </c>
      <c r="R225" s="111" t="e">
        <f>ROUND(Tableau1[[#This Row],[LEN]]*#REF!+#REF!,0)</f>
        <v>#REF!</v>
      </c>
    </row>
    <row r="226" spans="1:18" s="97" customFormat="1" hidden="1" x14ac:dyDescent="0.25">
      <c r="A226" s="25" t="s">
        <v>770</v>
      </c>
      <c r="B226" s="26" t="s">
        <v>249</v>
      </c>
      <c r="C226" s="425" t="s">
        <v>2150</v>
      </c>
      <c r="D226" s="27" t="s">
        <v>782</v>
      </c>
      <c r="E226" s="70" t="s">
        <v>1177</v>
      </c>
      <c r="F226" s="27" t="s">
        <v>667</v>
      </c>
      <c r="G226" s="27" t="s">
        <v>663</v>
      </c>
      <c r="H226" s="70" t="s">
        <v>166</v>
      </c>
      <c r="I226" s="70" t="s">
        <v>655</v>
      </c>
      <c r="J226" s="27"/>
      <c r="K226" s="28" t="s">
        <v>708</v>
      </c>
      <c r="L226" s="28" t="str">
        <f t="shared" si="6"/>
        <v>_</v>
      </c>
      <c r="M226" s="109">
        <f>ROUND(Tableau1[[#This Row],[LEN]]*7.27,0)</f>
        <v>182</v>
      </c>
      <c r="N226" s="109">
        <v>15</v>
      </c>
      <c r="O226" s="127" t="str">
        <f t="shared" si="7"/>
        <v>_self</v>
      </c>
      <c r="P226" s="109">
        <f>LEN(Tableau1[[#This Row],[LABEL]])</f>
        <v>25</v>
      </c>
      <c r="Q226" s="109">
        <v>15</v>
      </c>
      <c r="R226" s="109" t="e">
        <f>ROUND(Tableau1[[#This Row],[LEN]]*#REF!+#REF!,0)</f>
        <v>#REF!</v>
      </c>
    </row>
    <row r="227" spans="1:18" s="97" customFormat="1" hidden="1" x14ac:dyDescent="0.25">
      <c r="A227" s="29" t="s">
        <v>824</v>
      </c>
      <c r="B227" s="30" t="s">
        <v>770</v>
      </c>
      <c r="C227" s="425" t="s">
        <v>2150</v>
      </c>
      <c r="D227" s="31" t="s">
        <v>826</v>
      </c>
      <c r="E227" s="71" t="s">
        <v>1177</v>
      </c>
      <c r="F227" s="31" t="s">
        <v>667</v>
      </c>
      <c r="G227" s="31" t="s">
        <v>663</v>
      </c>
      <c r="H227" s="71" t="s">
        <v>166</v>
      </c>
      <c r="I227" s="85" t="s">
        <v>18</v>
      </c>
      <c r="J227" s="31"/>
      <c r="K227" s="103" t="s">
        <v>101</v>
      </c>
      <c r="L227" s="103" t="str">
        <f t="shared" si="6"/>
        <v>Documentation</v>
      </c>
      <c r="M227" s="110">
        <f>ROUND(Tableau1[[#This Row],[LEN]]*7.27,0)</f>
        <v>174</v>
      </c>
      <c r="N227" s="110">
        <v>15</v>
      </c>
      <c r="O227" s="128" t="str">
        <f t="shared" si="7"/>
        <v>_blank</v>
      </c>
      <c r="P227" s="111">
        <f>LEN(Tableau1[[#This Row],[LABEL]])</f>
        <v>24</v>
      </c>
      <c r="Q227" s="111">
        <v>15</v>
      </c>
      <c r="R227" s="111" t="e">
        <f>ROUND(Tableau1[[#This Row],[LEN]]*#REF!+#REF!,0)</f>
        <v>#REF!</v>
      </c>
    </row>
    <row r="228" spans="1:18" s="97" customFormat="1" hidden="1" x14ac:dyDescent="0.25">
      <c r="A228" s="29" t="s">
        <v>825</v>
      </c>
      <c r="B228" s="30" t="s">
        <v>770</v>
      </c>
      <c r="C228" s="425" t="s">
        <v>2150</v>
      </c>
      <c r="D228" s="31" t="s">
        <v>827</v>
      </c>
      <c r="E228" s="71" t="s">
        <v>1177</v>
      </c>
      <c r="F228" s="31" t="s">
        <v>667</v>
      </c>
      <c r="G228" s="31" t="s">
        <v>663</v>
      </c>
      <c r="H228" s="71" t="s">
        <v>166</v>
      </c>
      <c r="I228" s="85" t="s">
        <v>654</v>
      </c>
      <c r="J228" s="31"/>
      <c r="K228" s="103" t="s">
        <v>101</v>
      </c>
      <c r="L228" s="103" t="str">
        <f t="shared" si="6"/>
        <v>Documentation</v>
      </c>
      <c r="M228" s="110">
        <f>ROUND(Tableau1[[#This Row],[LEN]]*7.27,0)</f>
        <v>262</v>
      </c>
      <c r="N228" s="110">
        <v>15</v>
      </c>
      <c r="O228" s="128" t="str">
        <f t="shared" si="7"/>
        <v>_blank</v>
      </c>
      <c r="P228" s="111">
        <f>LEN(Tableau1[[#This Row],[LABEL]])</f>
        <v>36</v>
      </c>
      <c r="Q228" s="111">
        <v>15</v>
      </c>
      <c r="R228" s="111" t="e">
        <f>ROUND(Tableau1[[#This Row],[LEN]]*#REF!+#REF!,0)</f>
        <v>#REF!</v>
      </c>
    </row>
    <row r="229" spans="1:18" s="97" customFormat="1" hidden="1" x14ac:dyDescent="0.25">
      <c r="A229" s="25" t="s">
        <v>771</v>
      </c>
      <c r="B229" s="26" t="s">
        <v>249</v>
      </c>
      <c r="C229" s="425" t="s">
        <v>2150</v>
      </c>
      <c r="D229" s="27" t="s">
        <v>779</v>
      </c>
      <c r="E229" s="70" t="s">
        <v>1177</v>
      </c>
      <c r="F229" s="27" t="s">
        <v>663</v>
      </c>
      <c r="G229" s="27" t="s">
        <v>1177</v>
      </c>
      <c r="H229" s="70" t="s">
        <v>166</v>
      </c>
      <c r="I229" s="70" t="s">
        <v>655</v>
      </c>
      <c r="J229" s="27"/>
      <c r="K229" s="28" t="s">
        <v>708</v>
      </c>
      <c r="L229" s="28" t="str">
        <f t="shared" si="6"/>
        <v>_</v>
      </c>
      <c r="M229" s="109">
        <f>ROUND(Tableau1[[#This Row],[LEN]]*7.27,0)</f>
        <v>22</v>
      </c>
      <c r="N229" s="109">
        <v>15</v>
      </c>
      <c r="O229" s="127" t="str">
        <f t="shared" si="7"/>
        <v>_self</v>
      </c>
      <c r="P229" s="109">
        <f>LEN(Tableau1[[#This Row],[LABEL]])</f>
        <v>3</v>
      </c>
      <c r="Q229" s="109">
        <v>15</v>
      </c>
      <c r="R229" s="109" t="e">
        <f>ROUND(Tableau1[[#This Row],[LEN]]*#REF!+#REF!,0)</f>
        <v>#REF!</v>
      </c>
    </row>
    <row r="230" spans="1:18" s="97" customFormat="1" hidden="1" x14ac:dyDescent="0.25">
      <c r="A230" s="29" t="s">
        <v>832</v>
      </c>
      <c r="B230" s="30" t="s">
        <v>771</v>
      </c>
      <c r="C230" s="425" t="s">
        <v>2150</v>
      </c>
      <c r="D230" s="31" t="s">
        <v>836</v>
      </c>
      <c r="E230" s="71" t="s">
        <v>1177</v>
      </c>
      <c r="F230" s="31" t="s">
        <v>663</v>
      </c>
      <c r="G230" s="31" t="s">
        <v>1177</v>
      </c>
      <c r="H230" s="71" t="s">
        <v>166</v>
      </c>
      <c r="I230" s="85" t="s">
        <v>654</v>
      </c>
      <c r="J230" s="31"/>
      <c r="K230" s="103" t="s">
        <v>708</v>
      </c>
      <c r="L230" s="103" t="str">
        <f t="shared" si="6"/>
        <v>_</v>
      </c>
      <c r="M230" s="110">
        <f>ROUND(Tableau1[[#This Row],[LEN]]*7.27,0)</f>
        <v>131</v>
      </c>
      <c r="N230" s="110">
        <v>15</v>
      </c>
      <c r="O230" s="128" t="str">
        <f t="shared" si="7"/>
        <v>_self</v>
      </c>
      <c r="P230" s="111">
        <f>LEN(Tableau1[[#This Row],[LABEL]])</f>
        <v>18</v>
      </c>
      <c r="Q230" s="111">
        <v>15</v>
      </c>
      <c r="R230" s="111" t="e">
        <f>ROUND(Tableau1[[#This Row],[LEN]]*#REF!+#REF!,0)</f>
        <v>#REF!</v>
      </c>
    </row>
    <row r="231" spans="1:18" s="97" customFormat="1" hidden="1" x14ac:dyDescent="0.25">
      <c r="A231" s="29" t="s">
        <v>833</v>
      </c>
      <c r="B231" s="30" t="s">
        <v>771</v>
      </c>
      <c r="C231" s="425" t="s">
        <v>2150</v>
      </c>
      <c r="D231" s="31" t="s">
        <v>837</v>
      </c>
      <c r="E231" s="71" t="s">
        <v>1177</v>
      </c>
      <c r="F231" s="31" t="s">
        <v>663</v>
      </c>
      <c r="G231" s="31" t="s">
        <v>1177</v>
      </c>
      <c r="H231" s="71" t="s">
        <v>166</v>
      </c>
      <c r="I231" s="85" t="s">
        <v>654</v>
      </c>
      <c r="J231" s="31"/>
      <c r="K231" s="103" t="s">
        <v>708</v>
      </c>
      <c r="L231" s="103" t="str">
        <f t="shared" si="6"/>
        <v>_</v>
      </c>
      <c r="M231" s="110">
        <f>ROUND(Tableau1[[#This Row],[LEN]]*7.27,0)</f>
        <v>174</v>
      </c>
      <c r="N231" s="110">
        <v>15</v>
      </c>
      <c r="O231" s="128" t="str">
        <f t="shared" si="7"/>
        <v>_self</v>
      </c>
      <c r="P231" s="111">
        <f>LEN(Tableau1[[#This Row],[LABEL]])</f>
        <v>24</v>
      </c>
      <c r="Q231" s="111">
        <v>15</v>
      </c>
      <c r="R231" s="111" t="e">
        <f>ROUND(Tableau1[[#This Row],[LEN]]*#REF!+#REF!,0)</f>
        <v>#REF!</v>
      </c>
    </row>
    <row r="232" spans="1:18" s="97" customFormat="1" hidden="1" x14ac:dyDescent="0.25">
      <c r="A232" s="29" t="s">
        <v>834</v>
      </c>
      <c r="B232" s="30" t="s">
        <v>771</v>
      </c>
      <c r="C232" s="425" t="s">
        <v>2150</v>
      </c>
      <c r="D232" s="31" t="s">
        <v>838</v>
      </c>
      <c r="E232" s="71" t="s">
        <v>1177</v>
      </c>
      <c r="F232" s="31" t="s">
        <v>663</v>
      </c>
      <c r="G232" s="31" t="s">
        <v>1177</v>
      </c>
      <c r="H232" s="71" t="s">
        <v>166</v>
      </c>
      <c r="I232" s="85" t="s">
        <v>654</v>
      </c>
      <c r="J232" s="31"/>
      <c r="K232" s="103" t="s">
        <v>708</v>
      </c>
      <c r="L232" s="103" t="str">
        <f t="shared" si="6"/>
        <v>_</v>
      </c>
      <c r="M232" s="110">
        <f>ROUND(Tableau1[[#This Row],[LEN]]*7.27,0)</f>
        <v>167</v>
      </c>
      <c r="N232" s="110">
        <v>15</v>
      </c>
      <c r="O232" s="128" t="str">
        <f t="shared" si="7"/>
        <v>_self</v>
      </c>
      <c r="P232" s="111">
        <f>LEN(Tableau1[[#This Row],[LABEL]])</f>
        <v>23</v>
      </c>
      <c r="Q232" s="111">
        <v>15</v>
      </c>
      <c r="R232" s="111" t="e">
        <f>ROUND(Tableau1[[#This Row],[LEN]]*#REF!+#REF!,0)</f>
        <v>#REF!</v>
      </c>
    </row>
    <row r="233" spans="1:18" s="97" customFormat="1" hidden="1" x14ac:dyDescent="0.25">
      <c r="A233" s="29" t="s">
        <v>835</v>
      </c>
      <c r="B233" s="30" t="s">
        <v>771</v>
      </c>
      <c r="C233" s="425" t="s">
        <v>2150</v>
      </c>
      <c r="D233" s="31" t="s">
        <v>839</v>
      </c>
      <c r="E233" s="71" t="s">
        <v>1177</v>
      </c>
      <c r="F233" s="31" t="s">
        <v>663</v>
      </c>
      <c r="G233" s="31" t="s">
        <v>1177</v>
      </c>
      <c r="H233" s="71" t="s">
        <v>166</v>
      </c>
      <c r="I233" s="85" t="s">
        <v>656</v>
      </c>
      <c r="J233" s="31"/>
      <c r="K233" s="103" t="s">
        <v>708</v>
      </c>
      <c r="L233" s="103" t="str">
        <f t="shared" si="6"/>
        <v>_</v>
      </c>
      <c r="M233" s="110">
        <f>ROUND(Tableau1[[#This Row],[LEN]]*7.27,0)</f>
        <v>138</v>
      </c>
      <c r="N233" s="110">
        <v>15</v>
      </c>
      <c r="O233" s="128" t="str">
        <f t="shared" si="7"/>
        <v>_self</v>
      </c>
      <c r="P233" s="111">
        <f>LEN(Tableau1[[#This Row],[LABEL]])</f>
        <v>19</v>
      </c>
      <c r="Q233" s="111">
        <v>15</v>
      </c>
      <c r="R233" s="111" t="e">
        <f>ROUND(Tableau1[[#This Row],[LEN]]*#REF!+#REF!,0)</f>
        <v>#REF!</v>
      </c>
    </row>
    <row r="234" spans="1:18" s="97" customFormat="1" hidden="1" x14ac:dyDescent="0.25">
      <c r="A234" s="25" t="s">
        <v>772</v>
      </c>
      <c r="B234" s="26" t="s">
        <v>249</v>
      </c>
      <c r="C234" s="425" t="s">
        <v>2150</v>
      </c>
      <c r="D234" s="27" t="s">
        <v>780</v>
      </c>
      <c r="E234" s="70" t="s">
        <v>1177</v>
      </c>
      <c r="F234" s="27" t="s">
        <v>663</v>
      </c>
      <c r="G234" s="27" t="s">
        <v>1177</v>
      </c>
      <c r="H234" s="70" t="s">
        <v>166</v>
      </c>
      <c r="I234" s="70" t="s">
        <v>656</v>
      </c>
      <c r="J234" s="27"/>
      <c r="K234" s="28" t="s">
        <v>708</v>
      </c>
      <c r="L234" s="28" t="str">
        <f t="shared" si="6"/>
        <v>_</v>
      </c>
      <c r="M234" s="109">
        <f>ROUND(Tableau1[[#This Row],[LEN]]*7.27,0)</f>
        <v>385</v>
      </c>
      <c r="N234" s="109">
        <v>15</v>
      </c>
      <c r="O234" s="127" t="str">
        <f t="shared" si="7"/>
        <v>_self</v>
      </c>
      <c r="P234" s="109">
        <f>LEN(Tableau1[[#This Row],[LABEL]])</f>
        <v>53</v>
      </c>
      <c r="Q234" s="109">
        <v>15</v>
      </c>
      <c r="R234" s="109" t="e">
        <f>ROUND(Tableau1[[#This Row],[LEN]]*#REF!+#REF!,0)</f>
        <v>#REF!</v>
      </c>
    </row>
    <row r="235" spans="1:18" s="97" customFormat="1" hidden="1" x14ac:dyDescent="0.25">
      <c r="A235" s="25" t="s">
        <v>773</v>
      </c>
      <c r="B235" s="26" t="s">
        <v>249</v>
      </c>
      <c r="C235" s="425" t="s">
        <v>2150</v>
      </c>
      <c r="D235" s="27" t="s">
        <v>1167</v>
      </c>
      <c r="E235" s="70" t="s">
        <v>486</v>
      </c>
      <c r="F235" s="27" t="s">
        <v>1085</v>
      </c>
      <c r="G235" s="27" t="s">
        <v>1084</v>
      </c>
      <c r="H235" s="70" t="s">
        <v>1977</v>
      </c>
      <c r="I235" s="70" t="s">
        <v>1131</v>
      </c>
      <c r="J235" s="27"/>
      <c r="K235" s="28" t="s">
        <v>708</v>
      </c>
      <c r="L235" s="28" t="str">
        <f t="shared" si="6"/>
        <v>_</v>
      </c>
      <c r="M235" s="109">
        <f>ROUND(Tableau1[[#This Row],[LEN]]*7.27,0)</f>
        <v>196</v>
      </c>
      <c r="N235" s="109">
        <v>15</v>
      </c>
      <c r="O235" s="127" t="str">
        <f t="shared" si="7"/>
        <v>_self</v>
      </c>
      <c r="P235" s="109">
        <f>LEN(Tableau1[[#This Row],[LABEL]])</f>
        <v>27</v>
      </c>
      <c r="Q235" s="109">
        <v>15</v>
      </c>
      <c r="R235" s="109" t="e">
        <f>ROUND(Tableau1[[#This Row],[LEN]]*#REF!+#REF!,0)</f>
        <v>#REF!</v>
      </c>
    </row>
    <row r="236" spans="1:18" s="97" customFormat="1" hidden="1" x14ac:dyDescent="0.25">
      <c r="A236" s="29" t="s">
        <v>1201</v>
      </c>
      <c r="B236" s="30" t="s">
        <v>773</v>
      </c>
      <c r="C236" s="425" t="s">
        <v>2150</v>
      </c>
      <c r="D236" s="31" t="s">
        <v>93</v>
      </c>
      <c r="E236" s="71" t="s">
        <v>1177</v>
      </c>
      <c r="F236" s="31" t="s">
        <v>1085</v>
      </c>
      <c r="G236" s="31" t="s">
        <v>1084</v>
      </c>
      <c r="H236" s="71" t="s">
        <v>166</v>
      </c>
      <c r="I236" s="85" t="s">
        <v>18</v>
      </c>
      <c r="J236" s="31"/>
      <c r="K236" s="103" t="s">
        <v>101</v>
      </c>
      <c r="L236" s="103" t="str">
        <f t="shared" si="6"/>
        <v>Documentation</v>
      </c>
      <c r="M236" s="110">
        <f>ROUND(Tableau1[[#This Row],[LEN]]*7.27,0)</f>
        <v>109</v>
      </c>
      <c r="N236" s="110">
        <v>15</v>
      </c>
      <c r="O236" s="128" t="str">
        <f t="shared" si="7"/>
        <v>_blank</v>
      </c>
      <c r="P236" s="111">
        <f>LEN(Tableau1[[#This Row],[LABEL]])</f>
        <v>15</v>
      </c>
      <c r="Q236" s="111">
        <v>15</v>
      </c>
      <c r="R236" s="111" t="e">
        <f>ROUND(Tableau1[[#This Row],[LEN]]*#REF!+#REF!,0)</f>
        <v>#REF!</v>
      </c>
    </row>
    <row r="237" spans="1:18" s="97" customFormat="1" hidden="1" x14ac:dyDescent="0.25">
      <c r="A237" s="29" t="s">
        <v>1202</v>
      </c>
      <c r="B237" s="30" t="s">
        <v>773</v>
      </c>
      <c r="C237" s="425" t="s">
        <v>2150</v>
      </c>
      <c r="D237" s="31" t="s">
        <v>94</v>
      </c>
      <c r="E237" s="71" t="s">
        <v>1177</v>
      </c>
      <c r="F237" s="31" t="s">
        <v>1085</v>
      </c>
      <c r="G237" s="31" t="s">
        <v>1084</v>
      </c>
      <c r="H237" s="71" t="s">
        <v>166</v>
      </c>
      <c r="I237" s="85" t="s">
        <v>18</v>
      </c>
      <c r="J237" s="31"/>
      <c r="K237" s="103" t="s">
        <v>102</v>
      </c>
      <c r="L237" s="103" t="str">
        <f t="shared" si="6"/>
        <v>Documentation</v>
      </c>
      <c r="M237" s="110">
        <f>ROUND(Tableau1[[#This Row],[LEN]]*7.27,0)</f>
        <v>58</v>
      </c>
      <c r="N237" s="110">
        <v>15</v>
      </c>
      <c r="O237" s="128" t="str">
        <f t="shared" si="7"/>
        <v>_blank</v>
      </c>
      <c r="P237" s="111">
        <f>LEN(Tableau1[[#This Row],[LABEL]])</f>
        <v>8</v>
      </c>
      <c r="Q237" s="111">
        <v>15</v>
      </c>
      <c r="R237" s="111" t="e">
        <f>ROUND(Tableau1[[#This Row],[LEN]]*#REF!+#REF!,0)</f>
        <v>#REF!</v>
      </c>
    </row>
    <row r="238" spans="1:18" s="273" customFormat="1" hidden="1" x14ac:dyDescent="0.25">
      <c r="A238" s="288" t="s">
        <v>251</v>
      </c>
      <c r="B238" s="289" t="s">
        <v>206</v>
      </c>
      <c r="C238" s="425" t="s">
        <v>2150</v>
      </c>
      <c r="D238" s="290" t="s">
        <v>3</v>
      </c>
      <c r="E238" s="291" t="s">
        <v>1177</v>
      </c>
      <c r="F238" s="290" t="s">
        <v>661</v>
      </c>
      <c r="G238" s="290" t="s">
        <v>1177</v>
      </c>
      <c r="H238" s="291" t="s">
        <v>166</v>
      </c>
      <c r="I238" s="291" t="str">
        <f>IFERROR(IF(SEARCH(".00.00.00.00.00",Tableau1[[#This Row],[name]],1)=7,"Division",""),"")</f>
        <v>Division</v>
      </c>
      <c r="J238" s="290"/>
      <c r="K238" s="292" t="s">
        <v>708</v>
      </c>
      <c r="L238" s="292" t="str">
        <f t="shared" si="6"/>
        <v>_</v>
      </c>
      <c r="M238" s="293">
        <f>ROUND(Tableau1[[#This Row],[LEN]]*7.27,0)</f>
        <v>73</v>
      </c>
      <c r="N238" s="293">
        <v>15</v>
      </c>
      <c r="O238" s="294" t="str">
        <f t="shared" si="7"/>
        <v>_self</v>
      </c>
      <c r="P238" s="293">
        <f>LEN(Tableau1[[#This Row],[LABEL]])</f>
        <v>10</v>
      </c>
      <c r="Q238" s="293">
        <v>15</v>
      </c>
      <c r="R238" s="293" t="e">
        <f>ROUND(Tableau1[[#This Row],[LEN]]*#REF!+#REF!,0)</f>
        <v>#REF!</v>
      </c>
    </row>
    <row r="239" spans="1:18" s="97" customFormat="1" hidden="1" x14ac:dyDescent="0.25">
      <c r="A239" s="25" t="s">
        <v>396</v>
      </c>
      <c r="B239" s="26" t="s">
        <v>251</v>
      </c>
      <c r="C239" s="425" t="s">
        <v>2150</v>
      </c>
      <c r="D239" s="27" t="s">
        <v>86</v>
      </c>
      <c r="E239" s="70" t="s">
        <v>1177</v>
      </c>
      <c r="F239" s="27" t="s">
        <v>661</v>
      </c>
      <c r="G239" s="27" t="s">
        <v>1068</v>
      </c>
      <c r="H239" s="70" t="s">
        <v>166</v>
      </c>
      <c r="I239" s="70" t="s">
        <v>570</v>
      </c>
      <c r="J239" s="27"/>
      <c r="K239" s="28" t="s">
        <v>708</v>
      </c>
      <c r="L239" s="28" t="str">
        <f t="shared" si="6"/>
        <v>_</v>
      </c>
      <c r="M239" s="109">
        <f>ROUND(Tableau1[[#This Row],[LEN]]*7.27,0)</f>
        <v>269</v>
      </c>
      <c r="N239" s="109">
        <v>15</v>
      </c>
      <c r="O239" s="127" t="str">
        <f t="shared" si="7"/>
        <v>_self</v>
      </c>
      <c r="P239" s="109">
        <f>LEN(Tableau1[[#This Row],[LABEL]])</f>
        <v>37</v>
      </c>
      <c r="Q239" s="109">
        <v>15</v>
      </c>
      <c r="R239" s="109" t="e">
        <f>ROUND(Tableau1[[#This Row],[LEN]]*#REF!+#REF!,0)</f>
        <v>#REF!</v>
      </c>
    </row>
    <row r="240" spans="1:18" s="97" customFormat="1" hidden="1" x14ac:dyDescent="0.25">
      <c r="A240" s="25" t="s">
        <v>397</v>
      </c>
      <c r="B240" s="26" t="s">
        <v>251</v>
      </c>
      <c r="C240" s="425" t="s">
        <v>2150</v>
      </c>
      <c r="D240" s="27" t="s">
        <v>87</v>
      </c>
      <c r="E240" s="70" t="s">
        <v>1177</v>
      </c>
      <c r="F240" s="27" t="s">
        <v>661</v>
      </c>
      <c r="G240" s="27" t="s">
        <v>1177</v>
      </c>
      <c r="H240" s="70" t="s">
        <v>166</v>
      </c>
      <c r="I240" s="70" t="s">
        <v>570</v>
      </c>
      <c r="J240" s="27"/>
      <c r="K240" s="28" t="s">
        <v>708</v>
      </c>
      <c r="L240" s="28" t="str">
        <f t="shared" si="6"/>
        <v>_</v>
      </c>
      <c r="M240" s="109">
        <f>ROUND(Tableau1[[#This Row],[LEN]]*7.27,0)</f>
        <v>182</v>
      </c>
      <c r="N240" s="109">
        <v>15</v>
      </c>
      <c r="O240" s="127" t="str">
        <f t="shared" si="7"/>
        <v>_self</v>
      </c>
      <c r="P240" s="109">
        <f>LEN(Tableau1[[#This Row],[LABEL]])</f>
        <v>25</v>
      </c>
      <c r="Q240" s="109">
        <v>15</v>
      </c>
      <c r="R240" s="109" t="e">
        <f>ROUND(Tableau1[[#This Row],[LEN]]*#REF!+#REF!,0)</f>
        <v>#REF!</v>
      </c>
    </row>
    <row r="241" spans="1:18" s="97" customFormat="1" hidden="1" x14ac:dyDescent="0.25">
      <c r="A241" s="25" t="s">
        <v>398</v>
      </c>
      <c r="B241" s="26" t="s">
        <v>251</v>
      </c>
      <c r="C241" s="425" t="s">
        <v>2150</v>
      </c>
      <c r="D241" s="27" t="s">
        <v>88</v>
      </c>
      <c r="E241" s="70" t="s">
        <v>1177</v>
      </c>
      <c r="F241" s="27" t="s">
        <v>667</v>
      </c>
      <c r="G241" s="27" t="s">
        <v>1218</v>
      </c>
      <c r="H241" s="70" t="s">
        <v>166</v>
      </c>
      <c r="I241" s="70" t="s">
        <v>570</v>
      </c>
      <c r="J241" s="27"/>
      <c r="K241" s="28" t="s">
        <v>708</v>
      </c>
      <c r="L241" s="28" t="str">
        <f t="shared" si="6"/>
        <v>_</v>
      </c>
      <c r="M241" s="109">
        <f>ROUND(Tableau1[[#This Row],[LEN]]*7.27,0)</f>
        <v>342</v>
      </c>
      <c r="N241" s="109">
        <v>15</v>
      </c>
      <c r="O241" s="127" t="str">
        <f t="shared" si="7"/>
        <v>_self</v>
      </c>
      <c r="P241" s="109">
        <f>LEN(Tableau1[[#This Row],[LABEL]])</f>
        <v>47</v>
      </c>
      <c r="Q241" s="109">
        <v>15</v>
      </c>
      <c r="R241" s="109" t="e">
        <f>ROUND(Tableau1[[#This Row],[LEN]]*#REF!+#REF!,0)</f>
        <v>#REF!</v>
      </c>
    </row>
    <row r="242" spans="1:18" s="97" customFormat="1" hidden="1" x14ac:dyDescent="0.25">
      <c r="A242" s="25" t="s">
        <v>399</v>
      </c>
      <c r="B242" s="26" t="s">
        <v>251</v>
      </c>
      <c r="C242" s="425" t="s">
        <v>2150</v>
      </c>
      <c r="D242" s="27" t="s">
        <v>89</v>
      </c>
      <c r="E242" s="70" t="s">
        <v>1177</v>
      </c>
      <c r="F242" s="27" t="s">
        <v>661</v>
      </c>
      <c r="G242" s="27" t="s">
        <v>1177</v>
      </c>
      <c r="H242" s="70" t="s">
        <v>166</v>
      </c>
      <c r="I242" s="70" t="s">
        <v>570</v>
      </c>
      <c r="J242" s="27"/>
      <c r="K242" s="28" t="s">
        <v>708</v>
      </c>
      <c r="L242" s="28" t="str">
        <f t="shared" si="6"/>
        <v>_</v>
      </c>
      <c r="M242" s="109">
        <f>ROUND(Tableau1[[#This Row],[LEN]]*7.27,0)</f>
        <v>262</v>
      </c>
      <c r="N242" s="109">
        <v>15</v>
      </c>
      <c r="O242" s="127" t="str">
        <f t="shared" si="7"/>
        <v>_self</v>
      </c>
      <c r="P242" s="109">
        <f>LEN(Tableau1[[#This Row],[LABEL]])</f>
        <v>36</v>
      </c>
      <c r="Q242" s="109">
        <v>15</v>
      </c>
      <c r="R242" s="109" t="e">
        <f>ROUND(Tableau1[[#This Row],[LEN]]*#REF!+#REF!,0)</f>
        <v>#REF!</v>
      </c>
    </row>
    <row r="243" spans="1:18" s="97" customFormat="1" hidden="1" x14ac:dyDescent="0.25">
      <c r="A243" s="25" t="s">
        <v>400</v>
      </c>
      <c r="B243" s="26" t="s">
        <v>251</v>
      </c>
      <c r="C243" s="425" t="s">
        <v>2150</v>
      </c>
      <c r="D243" s="27" t="s">
        <v>1167</v>
      </c>
      <c r="E243" s="70" t="s">
        <v>486</v>
      </c>
      <c r="F243" s="27" t="s">
        <v>1085</v>
      </c>
      <c r="G243" s="27" t="s">
        <v>1084</v>
      </c>
      <c r="H243" s="70" t="s">
        <v>1977</v>
      </c>
      <c r="I243" s="70" t="s">
        <v>1131</v>
      </c>
      <c r="J243" s="27"/>
      <c r="K243" s="28" t="s">
        <v>708</v>
      </c>
      <c r="L243" s="28" t="str">
        <f t="shared" si="6"/>
        <v>_</v>
      </c>
      <c r="M243" s="109">
        <f>ROUND(Tableau1[[#This Row],[LEN]]*7.27,0)</f>
        <v>196</v>
      </c>
      <c r="N243" s="109">
        <v>15</v>
      </c>
      <c r="O243" s="127" t="str">
        <f t="shared" si="7"/>
        <v>_self</v>
      </c>
      <c r="P243" s="109">
        <f>LEN(Tableau1[[#This Row],[LABEL]])</f>
        <v>27</v>
      </c>
      <c r="Q243" s="109">
        <v>15</v>
      </c>
      <c r="R243" s="109" t="e">
        <f>ROUND(Tableau1[[#This Row],[LEN]]*#REF!+#REF!,0)</f>
        <v>#REF!</v>
      </c>
    </row>
    <row r="244" spans="1:18" s="97" customFormat="1" hidden="1" x14ac:dyDescent="0.25">
      <c r="A244" s="29" t="s">
        <v>412</v>
      </c>
      <c r="B244" s="30" t="s">
        <v>400</v>
      </c>
      <c r="C244" s="425" t="s">
        <v>2150</v>
      </c>
      <c r="D244" s="31" t="s">
        <v>93</v>
      </c>
      <c r="E244" s="71" t="s">
        <v>1177</v>
      </c>
      <c r="F244" s="31" t="s">
        <v>661</v>
      </c>
      <c r="G244" s="31" t="s">
        <v>1177</v>
      </c>
      <c r="H244" s="71" t="s">
        <v>166</v>
      </c>
      <c r="I244" s="71" t="s">
        <v>18</v>
      </c>
      <c r="J244" s="31"/>
      <c r="K244" s="32" t="s">
        <v>101</v>
      </c>
      <c r="L244" s="32" t="str">
        <f t="shared" si="6"/>
        <v>Documentation</v>
      </c>
      <c r="M244" s="111">
        <f>ROUND(Tableau1[[#This Row],[LEN]]*7.27,0)</f>
        <v>109</v>
      </c>
      <c r="N244" s="111">
        <v>15</v>
      </c>
      <c r="O244" s="128" t="str">
        <f t="shared" si="7"/>
        <v>_blank</v>
      </c>
      <c r="P244" s="111">
        <f>LEN(Tableau1[[#This Row],[LABEL]])</f>
        <v>15</v>
      </c>
      <c r="Q244" s="111">
        <v>15</v>
      </c>
      <c r="R244" s="111" t="e">
        <f>ROUND(Tableau1[[#This Row],[LEN]]*#REF!+#REF!,0)</f>
        <v>#REF!</v>
      </c>
    </row>
    <row r="245" spans="1:18" s="97" customFormat="1" hidden="1" x14ac:dyDescent="0.25">
      <c r="A245" s="29" t="s">
        <v>413</v>
      </c>
      <c r="B245" s="30" t="s">
        <v>400</v>
      </c>
      <c r="C245" s="425" t="s">
        <v>2150</v>
      </c>
      <c r="D245" s="31" t="s">
        <v>94</v>
      </c>
      <c r="E245" s="71" t="s">
        <v>1177</v>
      </c>
      <c r="F245" s="31" t="s">
        <v>661</v>
      </c>
      <c r="G245" s="31" t="s">
        <v>1177</v>
      </c>
      <c r="H245" s="71" t="s">
        <v>166</v>
      </c>
      <c r="I245" s="71" t="s">
        <v>18</v>
      </c>
      <c r="J245" s="31"/>
      <c r="K245" s="32" t="s">
        <v>102</v>
      </c>
      <c r="L245" s="32" t="str">
        <f t="shared" si="6"/>
        <v>Documentation</v>
      </c>
      <c r="M245" s="111">
        <f>ROUND(Tableau1[[#This Row],[LEN]]*7.27,0)</f>
        <v>58</v>
      </c>
      <c r="N245" s="111">
        <v>15</v>
      </c>
      <c r="O245" s="128" t="str">
        <f t="shared" si="7"/>
        <v>_blank</v>
      </c>
      <c r="P245" s="111">
        <f>LEN(Tableau1[[#This Row],[LABEL]])</f>
        <v>8</v>
      </c>
      <c r="Q245" s="111">
        <v>15</v>
      </c>
      <c r="R245" s="111" t="e">
        <f>ROUND(Tableau1[[#This Row],[LEN]]*#REF!+#REF!,0)</f>
        <v>#REF!</v>
      </c>
    </row>
    <row r="246" spans="1:18" s="97" customFormat="1" hidden="1" x14ac:dyDescent="0.25">
      <c r="A246" s="25" t="s">
        <v>401</v>
      </c>
      <c r="B246" s="26" t="s">
        <v>251</v>
      </c>
      <c r="C246" s="425" t="s">
        <v>2150</v>
      </c>
      <c r="D246" s="27" t="s">
        <v>90</v>
      </c>
      <c r="E246" s="70" t="s">
        <v>1177</v>
      </c>
      <c r="F246" s="27" t="s">
        <v>661</v>
      </c>
      <c r="G246" s="27" t="s">
        <v>1177</v>
      </c>
      <c r="H246" s="70" t="s">
        <v>166</v>
      </c>
      <c r="I246" s="70" t="s">
        <v>654</v>
      </c>
      <c r="J246" s="27"/>
      <c r="K246" s="28" t="s">
        <v>708</v>
      </c>
      <c r="L246" s="28" t="str">
        <f t="shared" si="6"/>
        <v>_</v>
      </c>
      <c r="M246" s="109">
        <f>ROUND(Tableau1[[#This Row],[LEN]]*7.27,0)</f>
        <v>284</v>
      </c>
      <c r="N246" s="109">
        <v>15</v>
      </c>
      <c r="O246" s="127" t="str">
        <f t="shared" si="7"/>
        <v>_self</v>
      </c>
      <c r="P246" s="109">
        <f>LEN(Tableau1[[#This Row],[LABEL]])</f>
        <v>39</v>
      </c>
      <c r="Q246" s="109">
        <v>15</v>
      </c>
      <c r="R246" s="109" t="e">
        <f>ROUND(Tableau1[[#This Row],[LEN]]*#REF!+#REF!,0)</f>
        <v>#REF!</v>
      </c>
    </row>
    <row r="247" spans="1:18" s="97" customFormat="1" hidden="1" x14ac:dyDescent="0.25">
      <c r="A247" s="25" t="s">
        <v>402</v>
      </c>
      <c r="B247" s="26" t="s">
        <v>251</v>
      </c>
      <c r="C247" s="425" t="s">
        <v>2150</v>
      </c>
      <c r="D247" s="27" t="s">
        <v>778</v>
      </c>
      <c r="E247" s="70" t="s">
        <v>1177</v>
      </c>
      <c r="F247" s="27" t="s">
        <v>673</v>
      </c>
      <c r="G247" s="27" t="s">
        <v>2000</v>
      </c>
      <c r="H247" s="70" t="s">
        <v>166</v>
      </c>
      <c r="I247" s="70" t="s">
        <v>17</v>
      </c>
      <c r="J247" s="27"/>
      <c r="K247" s="28" t="s">
        <v>708</v>
      </c>
      <c r="L247" s="28" t="str">
        <f t="shared" si="6"/>
        <v>_</v>
      </c>
      <c r="M247" s="109">
        <f>ROUND(Tableau1[[#This Row],[LEN]]*7.27,0)</f>
        <v>211</v>
      </c>
      <c r="N247" s="109">
        <v>15</v>
      </c>
      <c r="O247" s="127" t="str">
        <f t="shared" si="7"/>
        <v>_self</v>
      </c>
      <c r="P247" s="109">
        <f>LEN(Tableau1[[#This Row],[LABEL]])</f>
        <v>29</v>
      </c>
      <c r="Q247" s="109">
        <v>15</v>
      </c>
      <c r="R247" s="109" t="e">
        <f>ROUND(Tableau1[[#This Row],[LEN]]*#REF!+#REF!,0)</f>
        <v>#REF!</v>
      </c>
    </row>
    <row r="248" spans="1:18" s="97" customFormat="1" hidden="1" x14ac:dyDescent="0.25">
      <c r="A248" s="25" t="s">
        <v>403</v>
      </c>
      <c r="B248" s="26" t="s">
        <v>251</v>
      </c>
      <c r="C248" s="425" t="s">
        <v>2150</v>
      </c>
      <c r="D248" s="27" t="s">
        <v>92</v>
      </c>
      <c r="E248" s="70" t="s">
        <v>1177</v>
      </c>
      <c r="F248" s="27" t="s">
        <v>663</v>
      </c>
      <c r="G248" s="27" t="s">
        <v>2080</v>
      </c>
      <c r="H248" s="70" t="s">
        <v>166</v>
      </c>
      <c r="I248" s="70" t="s">
        <v>655</v>
      </c>
      <c r="J248" s="27"/>
      <c r="K248" s="28" t="s">
        <v>708</v>
      </c>
      <c r="L248" s="28" t="str">
        <f t="shared" si="6"/>
        <v>_</v>
      </c>
      <c r="M248" s="109">
        <f>ROUND(Tableau1[[#This Row],[LEN]]*7.27,0)</f>
        <v>262</v>
      </c>
      <c r="N248" s="109">
        <v>15</v>
      </c>
      <c r="O248" s="127" t="str">
        <f t="shared" si="7"/>
        <v>_self</v>
      </c>
      <c r="P248" s="109">
        <f>LEN(Tableau1[[#This Row],[LABEL]])</f>
        <v>36</v>
      </c>
      <c r="Q248" s="109">
        <v>15</v>
      </c>
      <c r="R248" s="109" t="e">
        <f>ROUND(Tableau1[[#This Row],[LEN]]*#REF!+#REF!,0)</f>
        <v>#REF!</v>
      </c>
    </row>
    <row r="249" spans="1:18" s="97" customFormat="1" hidden="1" x14ac:dyDescent="0.25">
      <c r="A249" s="29" t="s">
        <v>414</v>
      </c>
      <c r="B249" s="30" t="s">
        <v>403</v>
      </c>
      <c r="C249" s="425" t="s">
        <v>2150</v>
      </c>
      <c r="D249" s="31" t="s">
        <v>95</v>
      </c>
      <c r="E249" s="71" t="s">
        <v>1177</v>
      </c>
      <c r="F249" s="31" t="s">
        <v>663</v>
      </c>
      <c r="G249" s="31" t="s">
        <v>2080</v>
      </c>
      <c r="H249" s="71" t="s">
        <v>166</v>
      </c>
      <c r="I249" s="71" t="s">
        <v>17</v>
      </c>
      <c r="J249" s="31"/>
      <c r="K249" s="32" t="s">
        <v>708</v>
      </c>
      <c r="L249" s="32" t="str">
        <f t="shared" si="6"/>
        <v>_</v>
      </c>
      <c r="M249" s="111">
        <f>ROUND(Tableau1[[#This Row],[LEN]]*7.27,0)</f>
        <v>254</v>
      </c>
      <c r="N249" s="111">
        <v>15</v>
      </c>
      <c r="O249" s="128" t="str">
        <f t="shared" si="7"/>
        <v>_self</v>
      </c>
      <c r="P249" s="111">
        <f>LEN(Tableau1[[#This Row],[LABEL]])</f>
        <v>35</v>
      </c>
      <c r="Q249" s="111">
        <v>15</v>
      </c>
      <c r="R249" s="111" t="e">
        <f>ROUND(Tableau1[[#This Row],[LEN]]*#REF!+#REF!,0)</f>
        <v>#REF!</v>
      </c>
    </row>
    <row r="250" spans="1:18" s="97" customFormat="1" hidden="1" x14ac:dyDescent="0.25">
      <c r="A250" s="29" t="s">
        <v>415</v>
      </c>
      <c r="B250" s="30" t="s">
        <v>403</v>
      </c>
      <c r="C250" s="425" t="s">
        <v>2150</v>
      </c>
      <c r="D250" s="31" t="s">
        <v>96</v>
      </c>
      <c r="E250" s="71" t="s">
        <v>1177</v>
      </c>
      <c r="F250" s="31" t="s">
        <v>663</v>
      </c>
      <c r="G250" s="31" t="s">
        <v>2080</v>
      </c>
      <c r="H250" s="71" t="s">
        <v>166</v>
      </c>
      <c r="I250" s="71" t="s">
        <v>570</v>
      </c>
      <c r="J250" s="31"/>
      <c r="K250" s="32" t="s">
        <v>708</v>
      </c>
      <c r="L250" s="32" t="str">
        <f t="shared" si="6"/>
        <v>_</v>
      </c>
      <c r="M250" s="111">
        <f>ROUND(Tableau1[[#This Row],[LEN]]*7.27,0)</f>
        <v>233</v>
      </c>
      <c r="N250" s="111">
        <v>15</v>
      </c>
      <c r="O250" s="128" t="str">
        <f t="shared" si="7"/>
        <v>_self</v>
      </c>
      <c r="P250" s="111">
        <f>LEN(Tableau1[[#This Row],[LABEL]])</f>
        <v>32</v>
      </c>
      <c r="Q250" s="111">
        <v>15</v>
      </c>
      <c r="R250" s="111" t="e">
        <f>ROUND(Tableau1[[#This Row],[LEN]]*#REF!+#REF!,0)</f>
        <v>#REF!</v>
      </c>
    </row>
    <row r="251" spans="1:18" s="97" customFormat="1" hidden="1" x14ac:dyDescent="0.25">
      <c r="A251" s="29" t="s">
        <v>416</v>
      </c>
      <c r="B251" s="30" t="s">
        <v>403</v>
      </c>
      <c r="C251" s="425" t="s">
        <v>2150</v>
      </c>
      <c r="D251" s="31" t="s">
        <v>97</v>
      </c>
      <c r="E251" s="71" t="s">
        <v>1177</v>
      </c>
      <c r="F251" s="31" t="s">
        <v>663</v>
      </c>
      <c r="G251" s="31" t="s">
        <v>2080</v>
      </c>
      <c r="H251" s="71" t="s">
        <v>166</v>
      </c>
      <c r="I251" s="71" t="s">
        <v>656</v>
      </c>
      <c r="J251" s="31"/>
      <c r="K251" s="32" t="s">
        <v>708</v>
      </c>
      <c r="L251" s="32" t="str">
        <f t="shared" si="6"/>
        <v>_</v>
      </c>
      <c r="M251" s="111">
        <f>ROUND(Tableau1[[#This Row],[LEN]]*7.27,0)</f>
        <v>145</v>
      </c>
      <c r="N251" s="111">
        <v>15</v>
      </c>
      <c r="O251" s="128" t="str">
        <f t="shared" si="7"/>
        <v>_self</v>
      </c>
      <c r="P251" s="111">
        <f>LEN(Tableau1[[#This Row],[LABEL]])</f>
        <v>20</v>
      </c>
      <c r="Q251" s="111">
        <v>15</v>
      </c>
      <c r="R251" s="111" t="e">
        <f>ROUND(Tableau1[[#This Row],[LEN]]*#REF!+#REF!,0)</f>
        <v>#REF!</v>
      </c>
    </row>
    <row r="252" spans="1:18" s="97" customFormat="1" hidden="1" x14ac:dyDescent="0.25">
      <c r="A252" s="25" t="s">
        <v>404</v>
      </c>
      <c r="B252" s="26" t="s">
        <v>251</v>
      </c>
      <c r="C252" s="425" t="s">
        <v>2150</v>
      </c>
      <c r="D252" s="27" t="s">
        <v>91</v>
      </c>
      <c r="E252" s="70" t="s">
        <v>1177</v>
      </c>
      <c r="F252" s="27" t="s">
        <v>663</v>
      </c>
      <c r="G252" s="27" t="s">
        <v>2080</v>
      </c>
      <c r="H252" s="70" t="s">
        <v>166</v>
      </c>
      <c r="I252" s="70" t="s">
        <v>655</v>
      </c>
      <c r="J252" s="27"/>
      <c r="K252" s="28" t="s">
        <v>708</v>
      </c>
      <c r="L252" s="28" t="str">
        <f t="shared" si="6"/>
        <v>_</v>
      </c>
      <c r="M252" s="109">
        <f>ROUND(Tableau1[[#This Row],[LEN]]*7.27,0)</f>
        <v>269</v>
      </c>
      <c r="N252" s="109">
        <v>15</v>
      </c>
      <c r="O252" s="127" t="str">
        <f t="shared" si="7"/>
        <v>_self</v>
      </c>
      <c r="P252" s="109">
        <f>LEN(Tableau1[[#This Row],[LABEL]])</f>
        <v>37</v>
      </c>
      <c r="Q252" s="109">
        <v>15</v>
      </c>
      <c r="R252" s="109" t="e">
        <f>ROUND(Tableau1[[#This Row],[LEN]]*#REF!+#REF!,0)</f>
        <v>#REF!</v>
      </c>
    </row>
    <row r="253" spans="1:18" s="97" customFormat="1" hidden="1" x14ac:dyDescent="0.25">
      <c r="A253" s="29" t="s">
        <v>417</v>
      </c>
      <c r="B253" s="30" t="s">
        <v>404</v>
      </c>
      <c r="C253" s="425" t="s">
        <v>2150</v>
      </c>
      <c r="D253" s="31" t="s">
        <v>98</v>
      </c>
      <c r="E253" s="71" t="s">
        <v>1177</v>
      </c>
      <c r="F253" s="31" t="s">
        <v>663</v>
      </c>
      <c r="G253" s="31" t="s">
        <v>1358</v>
      </c>
      <c r="H253" s="71" t="s">
        <v>166</v>
      </c>
      <c r="I253" s="71" t="s">
        <v>18</v>
      </c>
      <c r="J253" s="31"/>
      <c r="K253" s="32" t="s">
        <v>708</v>
      </c>
      <c r="L253" s="32" t="str">
        <f t="shared" si="6"/>
        <v>_</v>
      </c>
      <c r="M253" s="111">
        <f>ROUND(Tableau1[[#This Row],[LEN]]*7.27,0)</f>
        <v>109</v>
      </c>
      <c r="N253" s="111">
        <v>15</v>
      </c>
      <c r="O253" s="128" t="str">
        <f t="shared" si="7"/>
        <v>_self</v>
      </c>
      <c r="P253" s="111">
        <f>LEN(Tableau1[[#This Row],[LABEL]])</f>
        <v>15</v>
      </c>
      <c r="Q253" s="111">
        <v>15</v>
      </c>
      <c r="R253" s="111" t="e">
        <f>ROUND(Tableau1[[#This Row],[LEN]]*#REF!+#REF!,0)</f>
        <v>#REF!</v>
      </c>
    </row>
    <row r="254" spans="1:18" s="97" customFormat="1" hidden="1" x14ac:dyDescent="0.25">
      <c r="A254" s="29" t="s">
        <v>418</v>
      </c>
      <c r="B254" s="30" t="s">
        <v>404</v>
      </c>
      <c r="C254" s="425" t="s">
        <v>2150</v>
      </c>
      <c r="D254" s="31" t="s">
        <v>99</v>
      </c>
      <c r="E254" s="71" t="s">
        <v>1177</v>
      </c>
      <c r="F254" s="31" t="s">
        <v>663</v>
      </c>
      <c r="G254" s="31" t="s">
        <v>1358</v>
      </c>
      <c r="H254" s="71" t="s">
        <v>166</v>
      </c>
      <c r="I254" s="71" t="s">
        <v>18</v>
      </c>
      <c r="J254" s="31"/>
      <c r="K254" s="32" t="s">
        <v>708</v>
      </c>
      <c r="L254" s="32" t="str">
        <f t="shared" si="6"/>
        <v>_</v>
      </c>
      <c r="M254" s="111">
        <f>ROUND(Tableau1[[#This Row],[LEN]]*7.27,0)</f>
        <v>80</v>
      </c>
      <c r="N254" s="111">
        <v>15</v>
      </c>
      <c r="O254" s="128" t="str">
        <f t="shared" si="7"/>
        <v>_self</v>
      </c>
      <c r="P254" s="111">
        <f>LEN(Tableau1[[#This Row],[LABEL]])</f>
        <v>11</v>
      </c>
      <c r="Q254" s="111">
        <v>15</v>
      </c>
      <c r="R254" s="111" t="e">
        <f>ROUND(Tableau1[[#This Row],[LEN]]*#REF!+#REF!,0)</f>
        <v>#REF!</v>
      </c>
    </row>
    <row r="255" spans="1:18" s="97" customFormat="1" hidden="1" x14ac:dyDescent="0.25">
      <c r="A255" s="25" t="s">
        <v>405</v>
      </c>
      <c r="B255" s="26" t="s">
        <v>251</v>
      </c>
      <c r="C255" s="425" t="s">
        <v>2150</v>
      </c>
      <c r="D255" s="27" t="s">
        <v>1167</v>
      </c>
      <c r="E255" s="70" t="s">
        <v>486</v>
      </c>
      <c r="F255" s="27" t="s">
        <v>1085</v>
      </c>
      <c r="G255" s="27" t="s">
        <v>1084</v>
      </c>
      <c r="H255" s="70" t="s">
        <v>1977</v>
      </c>
      <c r="I255" s="70" t="s">
        <v>1131</v>
      </c>
      <c r="J255" s="27"/>
      <c r="K255" s="28" t="s">
        <v>708</v>
      </c>
      <c r="L255" s="28" t="str">
        <f t="shared" si="6"/>
        <v>_</v>
      </c>
      <c r="M255" s="109">
        <f>ROUND(Tableau1[[#This Row],[LEN]]*7.27,0)</f>
        <v>196</v>
      </c>
      <c r="N255" s="109">
        <v>15</v>
      </c>
      <c r="O255" s="127" t="str">
        <f t="shared" si="7"/>
        <v>_self</v>
      </c>
      <c r="P255" s="109">
        <f>LEN(Tableau1[[#This Row],[LABEL]])</f>
        <v>27</v>
      </c>
      <c r="Q255" s="109">
        <v>15</v>
      </c>
      <c r="R255" s="109" t="e">
        <f>ROUND(Tableau1[[#This Row],[LEN]]*#REF!+#REF!,0)</f>
        <v>#REF!</v>
      </c>
    </row>
    <row r="256" spans="1:18" s="97" customFormat="1" hidden="1" x14ac:dyDescent="0.25">
      <c r="A256" s="29" t="s">
        <v>1203</v>
      </c>
      <c r="B256" s="30" t="s">
        <v>405</v>
      </c>
      <c r="C256" s="425" t="s">
        <v>2150</v>
      </c>
      <c r="D256" s="31" t="s">
        <v>93</v>
      </c>
      <c r="E256" s="71" t="s">
        <v>1177</v>
      </c>
      <c r="F256" s="31" t="s">
        <v>1085</v>
      </c>
      <c r="G256" s="31" t="s">
        <v>1084</v>
      </c>
      <c r="H256" s="71" t="s">
        <v>166</v>
      </c>
      <c r="I256" s="71" t="s">
        <v>18</v>
      </c>
      <c r="J256" s="31"/>
      <c r="K256" s="32" t="s">
        <v>101</v>
      </c>
      <c r="L256" s="32" t="str">
        <f t="shared" si="6"/>
        <v>Documentation</v>
      </c>
      <c r="M256" s="111">
        <f>ROUND(Tableau1[[#This Row],[LEN]]*7.27,0)</f>
        <v>109</v>
      </c>
      <c r="N256" s="111">
        <v>15</v>
      </c>
      <c r="O256" s="128" t="str">
        <f t="shared" si="7"/>
        <v>_blank</v>
      </c>
      <c r="P256" s="111">
        <f>LEN(Tableau1[[#This Row],[LABEL]])</f>
        <v>15</v>
      </c>
      <c r="Q256" s="111">
        <v>15</v>
      </c>
      <c r="R256" s="111" t="e">
        <f>ROUND(Tableau1[[#This Row],[LEN]]*#REF!+#REF!,0)</f>
        <v>#REF!</v>
      </c>
    </row>
    <row r="257" spans="1:18" s="97" customFormat="1" hidden="1" x14ac:dyDescent="0.25">
      <c r="A257" s="29" t="s">
        <v>1204</v>
      </c>
      <c r="B257" s="30" t="s">
        <v>405</v>
      </c>
      <c r="C257" s="425" t="s">
        <v>2150</v>
      </c>
      <c r="D257" s="31" t="s">
        <v>94</v>
      </c>
      <c r="E257" s="71" t="s">
        <v>1177</v>
      </c>
      <c r="F257" s="31" t="s">
        <v>1085</v>
      </c>
      <c r="G257" s="31" t="s">
        <v>1084</v>
      </c>
      <c r="H257" s="71" t="s">
        <v>166</v>
      </c>
      <c r="I257" s="71" t="s">
        <v>18</v>
      </c>
      <c r="J257" s="31"/>
      <c r="K257" s="32" t="s">
        <v>102</v>
      </c>
      <c r="L257" s="32" t="str">
        <f t="shared" si="6"/>
        <v>Documentation</v>
      </c>
      <c r="M257" s="111">
        <f>ROUND(Tableau1[[#This Row],[LEN]]*7.27,0)</f>
        <v>58</v>
      </c>
      <c r="N257" s="111">
        <v>15</v>
      </c>
      <c r="O257" s="128" t="str">
        <f t="shared" si="7"/>
        <v>_blank</v>
      </c>
      <c r="P257" s="111">
        <f>LEN(Tableau1[[#This Row],[LABEL]])</f>
        <v>8</v>
      </c>
      <c r="Q257" s="111">
        <v>15</v>
      </c>
      <c r="R257" s="111" t="e">
        <f>ROUND(Tableau1[[#This Row],[LEN]]*#REF!+#REF!,0)</f>
        <v>#REF!</v>
      </c>
    </row>
    <row r="258" spans="1:18" s="273" customFormat="1" hidden="1" x14ac:dyDescent="0.25">
      <c r="A258" s="288" t="s">
        <v>252</v>
      </c>
      <c r="B258" s="289" t="s">
        <v>206</v>
      </c>
      <c r="C258" s="425" t="s">
        <v>2150</v>
      </c>
      <c r="D258" s="290" t="s">
        <v>4</v>
      </c>
      <c r="E258" s="291" t="s">
        <v>1177</v>
      </c>
      <c r="F258" s="290" t="s">
        <v>666</v>
      </c>
      <c r="G258" s="290" t="s">
        <v>1177</v>
      </c>
      <c r="H258" s="291" t="s">
        <v>166</v>
      </c>
      <c r="I258" s="291" t="str">
        <f>IFERROR(IF(SEARCH(".00.00.00.00.00",Tableau1[[#This Row],[name]],1)=7,"Division",""),"")</f>
        <v>Division</v>
      </c>
      <c r="J258" s="290"/>
      <c r="K258" s="292" t="s">
        <v>708</v>
      </c>
      <c r="L258" s="292" t="str">
        <f t="shared" si="6"/>
        <v>_</v>
      </c>
      <c r="M258" s="293">
        <f>ROUND(Tableau1[[#This Row],[LEN]]*7.27,0)</f>
        <v>36</v>
      </c>
      <c r="N258" s="293">
        <v>15</v>
      </c>
      <c r="O258" s="294" t="str">
        <f t="shared" si="7"/>
        <v>_self</v>
      </c>
      <c r="P258" s="293">
        <f>LEN(Tableau1[[#This Row],[LABEL]])</f>
        <v>5</v>
      </c>
      <c r="Q258" s="293">
        <v>15</v>
      </c>
      <c r="R258" s="293" t="e">
        <f>ROUND(Tableau1[[#This Row],[LEN]]*#REF!+#REF!,0)</f>
        <v>#REF!</v>
      </c>
    </row>
    <row r="259" spans="1:18" s="97" customFormat="1" hidden="1" x14ac:dyDescent="0.25">
      <c r="A259" s="25" t="s">
        <v>1058</v>
      </c>
      <c r="B259" s="26" t="s">
        <v>252</v>
      </c>
      <c r="C259" s="425" t="s">
        <v>2150</v>
      </c>
      <c r="D259" s="27" t="s">
        <v>86</v>
      </c>
      <c r="E259" s="70" t="s">
        <v>1177</v>
      </c>
      <c r="F259" s="27" t="s">
        <v>666</v>
      </c>
      <c r="G259" s="27" t="s">
        <v>2081</v>
      </c>
      <c r="H259" s="70" t="s">
        <v>166</v>
      </c>
      <c r="I259" s="70" t="s">
        <v>570</v>
      </c>
      <c r="J259" s="27"/>
      <c r="K259" s="28" t="s">
        <v>708</v>
      </c>
      <c r="L259" s="28" t="str">
        <f t="shared" si="6"/>
        <v>_</v>
      </c>
      <c r="M259" s="109">
        <f>ROUND(Tableau1[[#This Row],[LEN]]*7.27,0)</f>
        <v>269</v>
      </c>
      <c r="N259" s="109">
        <v>15</v>
      </c>
      <c r="O259" s="127" t="str">
        <f t="shared" si="7"/>
        <v>_self</v>
      </c>
      <c r="P259" s="109">
        <f>LEN(Tableau1[[#This Row],[LABEL]])</f>
        <v>37</v>
      </c>
      <c r="Q259" s="109">
        <v>15</v>
      </c>
      <c r="R259" s="109" t="e">
        <f>ROUND(Tableau1[[#This Row],[LEN]]*#REF!+#REF!,0)</f>
        <v>#REF!</v>
      </c>
    </row>
    <row r="260" spans="1:18" s="97" customFormat="1" hidden="1" x14ac:dyDescent="0.25">
      <c r="A260" s="25" t="s">
        <v>1059</v>
      </c>
      <c r="B260" s="26" t="s">
        <v>252</v>
      </c>
      <c r="C260" s="425" t="s">
        <v>2150</v>
      </c>
      <c r="D260" s="27" t="s">
        <v>87</v>
      </c>
      <c r="E260" s="70" t="s">
        <v>1177</v>
      </c>
      <c r="F260" s="27" t="s">
        <v>663</v>
      </c>
      <c r="G260" s="27" t="s">
        <v>684</v>
      </c>
      <c r="H260" s="70" t="s">
        <v>166</v>
      </c>
      <c r="I260" s="70" t="s">
        <v>570</v>
      </c>
      <c r="J260" s="27"/>
      <c r="K260" s="28" t="s">
        <v>708</v>
      </c>
      <c r="L260" s="28" t="str">
        <f t="shared" si="6"/>
        <v>_</v>
      </c>
      <c r="M260" s="109">
        <f>ROUND(Tableau1[[#This Row],[LEN]]*7.27,0)</f>
        <v>182</v>
      </c>
      <c r="N260" s="109">
        <v>15</v>
      </c>
      <c r="O260" s="127" t="str">
        <f t="shared" si="7"/>
        <v>_self</v>
      </c>
      <c r="P260" s="109">
        <f>LEN(Tableau1[[#This Row],[LABEL]])</f>
        <v>25</v>
      </c>
      <c r="Q260" s="109">
        <v>15</v>
      </c>
      <c r="R260" s="109" t="e">
        <f>ROUND(Tableau1[[#This Row],[LEN]]*#REF!+#REF!,0)</f>
        <v>#REF!</v>
      </c>
    </row>
    <row r="261" spans="1:18" s="97" customFormat="1" hidden="1" x14ac:dyDescent="0.25">
      <c r="A261" s="25" t="s">
        <v>1060</v>
      </c>
      <c r="B261" s="26" t="s">
        <v>252</v>
      </c>
      <c r="C261" s="425" t="s">
        <v>2150</v>
      </c>
      <c r="D261" s="27" t="s">
        <v>88</v>
      </c>
      <c r="E261" s="70" t="s">
        <v>1177</v>
      </c>
      <c r="F261" s="27" t="s">
        <v>667</v>
      </c>
      <c r="G261" s="27" t="s">
        <v>1218</v>
      </c>
      <c r="H261" s="70" t="s">
        <v>166</v>
      </c>
      <c r="I261" s="70" t="s">
        <v>570</v>
      </c>
      <c r="J261" s="27"/>
      <c r="K261" s="28" t="s">
        <v>708</v>
      </c>
      <c r="L261" s="28" t="str">
        <f t="shared" ref="L261:L324" si="8">IF(K261="javascript:void(0)","_","Documentation")</f>
        <v>_</v>
      </c>
      <c r="M261" s="109">
        <f>ROUND(Tableau1[[#This Row],[LEN]]*7.27,0)</f>
        <v>342</v>
      </c>
      <c r="N261" s="109">
        <v>15</v>
      </c>
      <c r="O261" s="127" t="str">
        <f t="shared" si="7"/>
        <v>_self</v>
      </c>
      <c r="P261" s="109">
        <f>LEN(Tableau1[[#This Row],[LABEL]])</f>
        <v>47</v>
      </c>
      <c r="Q261" s="109">
        <v>15</v>
      </c>
      <c r="R261" s="109" t="e">
        <f>ROUND(Tableau1[[#This Row],[LEN]]*#REF!+#REF!,0)</f>
        <v>#REF!</v>
      </c>
    </row>
    <row r="262" spans="1:18" s="97" customFormat="1" hidden="1" x14ac:dyDescent="0.25">
      <c r="A262" s="25" t="s">
        <v>1061</v>
      </c>
      <c r="B262" s="26" t="s">
        <v>252</v>
      </c>
      <c r="C262" s="425" t="s">
        <v>2150</v>
      </c>
      <c r="D262" s="27" t="s">
        <v>1071</v>
      </c>
      <c r="E262" s="70" t="s">
        <v>1177</v>
      </c>
      <c r="F262" s="27" t="s">
        <v>666</v>
      </c>
      <c r="G262" s="27" t="s">
        <v>828</v>
      </c>
      <c r="H262" s="70" t="s">
        <v>166</v>
      </c>
      <c r="I262" s="70" t="s">
        <v>655</v>
      </c>
      <c r="J262" s="27"/>
      <c r="K262" s="28" t="s">
        <v>708</v>
      </c>
      <c r="L262" s="28" t="str">
        <f t="shared" si="8"/>
        <v>_</v>
      </c>
      <c r="M262" s="109">
        <f>ROUND(Tableau1[[#This Row],[LEN]]*7.27,0)</f>
        <v>247</v>
      </c>
      <c r="N262" s="109">
        <v>15</v>
      </c>
      <c r="O262" s="127" t="str">
        <f t="shared" ref="O262:O325" si="9">IF(K262="javascript:void(0)","_self","_blank")</f>
        <v>_self</v>
      </c>
      <c r="P262" s="109">
        <f>LEN(Tableau1[[#This Row],[LABEL]])</f>
        <v>34</v>
      </c>
      <c r="Q262" s="109">
        <v>15</v>
      </c>
      <c r="R262" s="109" t="e">
        <f>ROUND(Tableau1[[#This Row],[LEN]]*#REF!+#REF!,0)</f>
        <v>#REF!</v>
      </c>
    </row>
    <row r="263" spans="1:18" s="97" customFormat="1" hidden="1" x14ac:dyDescent="0.25">
      <c r="A263" s="29" t="s">
        <v>1074</v>
      </c>
      <c r="B263" s="30" t="s">
        <v>1061</v>
      </c>
      <c r="C263" s="425" t="s">
        <v>2150</v>
      </c>
      <c r="D263" s="31" t="s">
        <v>1086</v>
      </c>
      <c r="E263" s="71" t="s">
        <v>1177</v>
      </c>
      <c r="F263" s="31" t="s">
        <v>666</v>
      </c>
      <c r="G263" s="31" t="s">
        <v>828</v>
      </c>
      <c r="H263" s="71" t="s">
        <v>166</v>
      </c>
      <c r="I263" s="71" t="s">
        <v>655</v>
      </c>
      <c r="J263" s="31"/>
      <c r="K263" s="32" t="s">
        <v>708</v>
      </c>
      <c r="L263" s="32" t="str">
        <f t="shared" si="8"/>
        <v>_</v>
      </c>
      <c r="M263" s="111">
        <f>ROUND(Tableau1[[#This Row],[LEN]]*7.27,0)</f>
        <v>87</v>
      </c>
      <c r="N263" s="111">
        <v>15</v>
      </c>
      <c r="O263" s="128" t="str">
        <f t="shared" si="9"/>
        <v>_self</v>
      </c>
      <c r="P263" s="111">
        <f>LEN(Tableau1[[#This Row],[LABEL]])</f>
        <v>12</v>
      </c>
      <c r="Q263" s="111">
        <v>15</v>
      </c>
      <c r="R263" s="111" t="e">
        <f>ROUND(Tableau1[[#This Row],[LEN]]*#REF!+#REF!,0)</f>
        <v>#REF!</v>
      </c>
    </row>
    <row r="264" spans="1:18" s="97" customFormat="1" hidden="1" x14ac:dyDescent="0.25">
      <c r="A264" s="86" t="s">
        <v>1094</v>
      </c>
      <c r="B264" s="87" t="s">
        <v>1074</v>
      </c>
      <c r="C264" s="425" t="s">
        <v>2150</v>
      </c>
      <c r="D264" s="88" t="s">
        <v>1088</v>
      </c>
      <c r="E264" s="89" t="s">
        <v>1177</v>
      </c>
      <c r="F264" s="88" t="s">
        <v>666</v>
      </c>
      <c r="G264" s="88" t="s">
        <v>828</v>
      </c>
      <c r="H264" s="89" t="s">
        <v>166</v>
      </c>
      <c r="I264" s="90" t="s">
        <v>18</v>
      </c>
      <c r="J264" s="88"/>
      <c r="K264" s="91" t="s">
        <v>708</v>
      </c>
      <c r="L264" s="91" t="str">
        <f t="shared" si="8"/>
        <v>_</v>
      </c>
      <c r="M264" s="112">
        <f>ROUND(Tableau1[[#This Row],[LEN]]*7.27,0)</f>
        <v>196</v>
      </c>
      <c r="N264" s="112">
        <v>15</v>
      </c>
      <c r="O264" s="129" t="str">
        <f t="shared" si="9"/>
        <v>_self</v>
      </c>
      <c r="P264" s="112">
        <f>LEN(Tableau1[[#This Row],[LABEL]])</f>
        <v>27</v>
      </c>
      <c r="Q264" s="112">
        <v>15</v>
      </c>
      <c r="R264" s="112" t="e">
        <f>ROUND(Tableau1[[#This Row],[LEN]]*#REF!+#REF!,0)</f>
        <v>#REF!</v>
      </c>
    </row>
    <row r="265" spans="1:18" s="97" customFormat="1" hidden="1" x14ac:dyDescent="0.25">
      <c r="A265" s="86" t="s">
        <v>1095</v>
      </c>
      <c r="B265" s="87" t="s">
        <v>1074</v>
      </c>
      <c r="C265" s="425" t="s">
        <v>2150</v>
      </c>
      <c r="D265" s="88" t="s">
        <v>1089</v>
      </c>
      <c r="E265" s="89" t="s">
        <v>1177</v>
      </c>
      <c r="F265" s="88" t="s">
        <v>666</v>
      </c>
      <c r="G265" s="88" t="s">
        <v>828</v>
      </c>
      <c r="H265" s="89" t="s">
        <v>166</v>
      </c>
      <c r="I265" s="90" t="s">
        <v>18</v>
      </c>
      <c r="J265" s="88"/>
      <c r="K265" s="91" t="s">
        <v>708</v>
      </c>
      <c r="L265" s="91" t="str">
        <f t="shared" si="8"/>
        <v>_</v>
      </c>
      <c r="M265" s="112">
        <f>ROUND(Tableau1[[#This Row],[LEN]]*7.27,0)</f>
        <v>36</v>
      </c>
      <c r="N265" s="112">
        <v>15</v>
      </c>
      <c r="O265" s="129" t="str">
        <f t="shared" si="9"/>
        <v>_self</v>
      </c>
      <c r="P265" s="112">
        <f>LEN(Tableau1[[#This Row],[LABEL]])</f>
        <v>5</v>
      </c>
      <c r="Q265" s="112">
        <v>15</v>
      </c>
      <c r="R265" s="112" t="e">
        <f>ROUND(Tableau1[[#This Row],[LEN]]*#REF!+#REF!,0)</f>
        <v>#REF!</v>
      </c>
    </row>
    <row r="266" spans="1:18" s="97" customFormat="1" hidden="1" x14ac:dyDescent="0.25">
      <c r="A266" s="86" t="s">
        <v>1096</v>
      </c>
      <c r="B266" s="87" t="s">
        <v>1074</v>
      </c>
      <c r="C266" s="425" t="s">
        <v>2150</v>
      </c>
      <c r="D266" s="88" t="s">
        <v>1090</v>
      </c>
      <c r="E266" s="89" t="s">
        <v>1177</v>
      </c>
      <c r="F266" s="88" t="s">
        <v>666</v>
      </c>
      <c r="G266" s="88" t="s">
        <v>828</v>
      </c>
      <c r="H266" s="89" t="s">
        <v>166</v>
      </c>
      <c r="I266" s="90" t="s">
        <v>18</v>
      </c>
      <c r="J266" s="88"/>
      <c r="K266" s="91" t="s">
        <v>708</v>
      </c>
      <c r="L266" s="91" t="str">
        <f t="shared" si="8"/>
        <v>_</v>
      </c>
      <c r="M266" s="112">
        <f>ROUND(Tableau1[[#This Row],[LEN]]*7.27,0)</f>
        <v>29</v>
      </c>
      <c r="N266" s="112">
        <v>15</v>
      </c>
      <c r="O266" s="129" t="str">
        <f t="shared" si="9"/>
        <v>_self</v>
      </c>
      <c r="P266" s="112">
        <f>LEN(Tableau1[[#This Row],[LABEL]])</f>
        <v>4</v>
      </c>
      <c r="Q266" s="112">
        <v>15</v>
      </c>
      <c r="R266" s="112" t="e">
        <f>ROUND(Tableau1[[#This Row],[LEN]]*#REF!+#REF!,0)</f>
        <v>#REF!</v>
      </c>
    </row>
    <row r="267" spans="1:18" s="97" customFormat="1" hidden="1" x14ac:dyDescent="0.25">
      <c r="A267" s="86" t="s">
        <v>1097</v>
      </c>
      <c r="B267" s="87" t="s">
        <v>1074</v>
      </c>
      <c r="C267" s="425" t="s">
        <v>2150</v>
      </c>
      <c r="D267" s="88" t="s">
        <v>1091</v>
      </c>
      <c r="E267" s="89" t="s">
        <v>1177</v>
      </c>
      <c r="F267" s="88" t="s">
        <v>666</v>
      </c>
      <c r="G267" s="88" t="s">
        <v>828</v>
      </c>
      <c r="H267" s="89" t="s">
        <v>166</v>
      </c>
      <c r="I267" s="90" t="s">
        <v>18</v>
      </c>
      <c r="J267" s="88"/>
      <c r="K267" s="91" t="s">
        <v>708</v>
      </c>
      <c r="L267" s="91" t="str">
        <f t="shared" si="8"/>
        <v>_</v>
      </c>
      <c r="M267" s="112">
        <f>ROUND(Tableau1[[#This Row],[LEN]]*7.27,0)</f>
        <v>102</v>
      </c>
      <c r="N267" s="112">
        <v>15</v>
      </c>
      <c r="O267" s="129" t="str">
        <f t="shared" si="9"/>
        <v>_self</v>
      </c>
      <c r="P267" s="112">
        <f>LEN(Tableau1[[#This Row],[LABEL]])</f>
        <v>14</v>
      </c>
      <c r="Q267" s="112">
        <v>15</v>
      </c>
      <c r="R267" s="112" t="e">
        <f>ROUND(Tableau1[[#This Row],[LEN]]*#REF!+#REF!,0)</f>
        <v>#REF!</v>
      </c>
    </row>
    <row r="268" spans="1:18" s="97" customFormat="1" hidden="1" x14ac:dyDescent="0.25">
      <c r="A268" s="86" t="s">
        <v>1098</v>
      </c>
      <c r="B268" s="212" t="s">
        <v>1074</v>
      </c>
      <c r="C268" s="425" t="s">
        <v>2150</v>
      </c>
      <c r="D268" s="88" t="s">
        <v>1092</v>
      </c>
      <c r="E268" s="89" t="s">
        <v>1177</v>
      </c>
      <c r="F268" s="88" t="s">
        <v>666</v>
      </c>
      <c r="G268" s="88" t="s">
        <v>828</v>
      </c>
      <c r="H268" s="89" t="s">
        <v>166</v>
      </c>
      <c r="I268" s="90" t="s">
        <v>18</v>
      </c>
      <c r="J268" s="88"/>
      <c r="K268" s="91" t="s">
        <v>708</v>
      </c>
      <c r="L268" s="91" t="str">
        <f t="shared" si="8"/>
        <v>_</v>
      </c>
      <c r="M268" s="112">
        <f>ROUND(Tableau1[[#This Row],[LEN]]*7.27,0)</f>
        <v>153</v>
      </c>
      <c r="N268" s="112">
        <v>15</v>
      </c>
      <c r="O268" s="129" t="str">
        <f t="shared" si="9"/>
        <v>_self</v>
      </c>
      <c r="P268" s="112">
        <f>LEN(Tableau1[[#This Row],[LABEL]])</f>
        <v>21</v>
      </c>
      <c r="Q268" s="112">
        <v>15</v>
      </c>
      <c r="R268" s="112" t="e">
        <f>ROUND(Tableau1[[#This Row],[LEN]]*#REF!+#REF!,0)</f>
        <v>#REF!</v>
      </c>
    </row>
    <row r="269" spans="1:18" s="97" customFormat="1" hidden="1" x14ac:dyDescent="0.25">
      <c r="A269" s="86" t="s">
        <v>1099</v>
      </c>
      <c r="B269" s="212" t="s">
        <v>1074</v>
      </c>
      <c r="C269" s="425" t="s">
        <v>2150</v>
      </c>
      <c r="D269" s="88" t="s">
        <v>1093</v>
      </c>
      <c r="E269" s="89" t="s">
        <v>1177</v>
      </c>
      <c r="F269" s="88" t="s">
        <v>666</v>
      </c>
      <c r="G269" s="88" t="s">
        <v>828</v>
      </c>
      <c r="H269" s="89" t="s">
        <v>166</v>
      </c>
      <c r="I269" s="90" t="s">
        <v>18</v>
      </c>
      <c r="J269" s="88"/>
      <c r="K269" s="91" t="s">
        <v>708</v>
      </c>
      <c r="L269" s="91" t="str">
        <f t="shared" si="8"/>
        <v>_</v>
      </c>
      <c r="M269" s="112">
        <f>ROUND(Tableau1[[#This Row],[LEN]]*7.27,0)</f>
        <v>269</v>
      </c>
      <c r="N269" s="112">
        <v>15</v>
      </c>
      <c r="O269" s="129" t="str">
        <f t="shared" si="9"/>
        <v>_self</v>
      </c>
      <c r="P269" s="112">
        <f>LEN(Tableau1[[#This Row],[LABEL]])</f>
        <v>37</v>
      </c>
      <c r="Q269" s="112">
        <v>15</v>
      </c>
      <c r="R269" s="112" t="e">
        <f>ROUND(Tableau1[[#This Row],[LEN]]*#REF!+#REF!,0)</f>
        <v>#REF!</v>
      </c>
    </row>
    <row r="270" spans="1:18" s="97" customFormat="1" hidden="1" x14ac:dyDescent="0.25">
      <c r="A270" s="29" t="s">
        <v>1075</v>
      </c>
      <c r="B270" s="30" t="s">
        <v>1061</v>
      </c>
      <c r="C270" s="425" t="s">
        <v>2150</v>
      </c>
      <c r="D270" s="31" t="s">
        <v>1087</v>
      </c>
      <c r="E270" s="71" t="s">
        <v>1177</v>
      </c>
      <c r="F270" s="31" t="s">
        <v>666</v>
      </c>
      <c r="G270" s="31" t="s">
        <v>828</v>
      </c>
      <c r="H270" s="71" t="s">
        <v>166</v>
      </c>
      <c r="I270" s="71" t="s">
        <v>655</v>
      </c>
      <c r="J270" s="31"/>
      <c r="K270" s="32" t="s">
        <v>708</v>
      </c>
      <c r="L270" s="32" t="str">
        <f t="shared" si="8"/>
        <v>_</v>
      </c>
      <c r="M270" s="111">
        <f>ROUND(Tableau1[[#This Row],[LEN]]*7.27,0)</f>
        <v>109</v>
      </c>
      <c r="N270" s="111">
        <v>15</v>
      </c>
      <c r="O270" s="128" t="str">
        <f t="shared" si="9"/>
        <v>_self</v>
      </c>
      <c r="P270" s="111">
        <f>LEN(Tableau1[[#This Row],[LABEL]])</f>
        <v>15</v>
      </c>
      <c r="Q270" s="111">
        <v>15</v>
      </c>
      <c r="R270" s="111" t="e">
        <f>ROUND(Tableau1[[#This Row],[LEN]]*#REF!+#REF!,0)</f>
        <v>#REF!</v>
      </c>
    </row>
    <row r="271" spans="1:18" s="97" customFormat="1" hidden="1" x14ac:dyDescent="0.25">
      <c r="A271" s="86" t="s">
        <v>1102</v>
      </c>
      <c r="B271" s="87" t="s">
        <v>1075</v>
      </c>
      <c r="C271" s="425" t="s">
        <v>2150</v>
      </c>
      <c r="D271" s="88" t="s">
        <v>1100</v>
      </c>
      <c r="E271" s="89" t="s">
        <v>1177</v>
      </c>
      <c r="F271" s="88" t="s">
        <v>666</v>
      </c>
      <c r="G271" s="88" t="s">
        <v>828</v>
      </c>
      <c r="H271" s="89" t="s">
        <v>166</v>
      </c>
      <c r="I271" s="90" t="s">
        <v>18</v>
      </c>
      <c r="J271" s="88"/>
      <c r="K271" s="91" t="s">
        <v>708</v>
      </c>
      <c r="L271" s="91" t="str">
        <f t="shared" si="8"/>
        <v>_</v>
      </c>
      <c r="M271" s="112">
        <f>ROUND(Tableau1[[#This Row],[LEN]]*7.27,0)</f>
        <v>22</v>
      </c>
      <c r="N271" s="112">
        <v>15</v>
      </c>
      <c r="O271" s="129" t="str">
        <f t="shared" si="9"/>
        <v>_self</v>
      </c>
      <c r="P271" s="112">
        <f>LEN(Tableau1[[#This Row],[LABEL]])</f>
        <v>3</v>
      </c>
      <c r="Q271" s="112">
        <v>15</v>
      </c>
      <c r="R271" s="112" t="e">
        <f>ROUND(Tableau1[[#This Row],[LEN]]*#REF!+#REF!,0)</f>
        <v>#REF!</v>
      </c>
    </row>
    <row r="272" spans="1:18" s="97" customFormat="1" hidden="1" x14ac:dyDescent="0.25">
      <c r="A272" s="86" t="s">
        <v>1103</v>
      </c>
      <c r="B272" s="87" t="s">
        <v>1075</v>
      </c>
      <c r="C272" s="425" t="s">
        <v>2150</v>
      </c>
      <c r="D272" s="88" t="s">
        <v>1101</v>
      </c>
      <c r="E272" s="89" t="s">
        <v>1177</v>
      </c>
      <c r="F272" s="88" t="s">
        <v>666</v>
      </c>
      <c r="G272" s="88" t="s">
        <v>828</v>
      </c>
      <c r="H272" s="89" t="s">
        <v>166</v>
      </c>
      <c r="I272" s="90" t="s">
        <v>18</v>
      </c>
      <c r="J272" s="88"/>
      <c r="K272" s="91" t="s">
        <v>708</v>
      </c>
      <c r="L272" s="91" t="str">
        <f t="shared" si="8"/>
        <v>_</v>
      </c>
      <c r="M272" s="112">
        <f>ROUND(Tableau1[[#This Row],[LEN]]*7.27,0)</f>
        <v>36</v>
      </c>
      <c r="N272" s="112">
        <v>15</v>
      </c>
      <c r="O272" s="129" t="str">
        <f t="shared" si="9"/>
        <v>_self</v>
      </c>
      <c r="P272" s="112">
        <f>LEN(Tableau1[[#This Row],[LABEL]])</f>
        <v>5</v>
      </c>
      <c r="Q272" s="112">
        <v>15</v>
      </c>
      <c r="R272" s="112" t="e">
        <f>ROUND(Tableau1[[#This Row],[LEN]]*#REF!+#REF!,0)</f>
        <v>#REF!</v>
      </c>
    </row>
    <row r="273" spans="1:18" s="97" customFormat="1" hidden="1" x14ac:dyDescent="0.25">
      <c r="A273" s="86" t="s">
        <v>1104</v>
      </c>
      <c r="B273" s="87" t="s">
        <v>1075</v>
      </c>
      <c r="C273" s="425" t="s">
        <v>2150</v>
      </c>
      <c r="D273" s="88" t="s">
        <v>812</v>
      </c>
      <c r="E273" s="89" t="s">
        <v>1177</v>
      </c>
      <c r="F273" s="88" t="s">
        <v>666</v>
      </c>
      <c r="G273" s="88" t="s">
        <v>828</v>
      </c>
      <c r="H273" s="89" t="s">
        <v>166</v>
      </c>
      <c r="I273" s="90" t="s">
        <v>18</v>
      </c>
      <c r="J273" s="88"/>
      <c r="K273" s="91" t="s">
        <v>708</v>
      </c>
      <c r="L273" s="91" t="str">
        <f t="shared" si="8"/>
        <v>_</v>
      </c>
      <c r="M273" s="112">
        <f>ROUND(Tableau1[[#This Row],[LEN]]*7.27,0)</f>
        <v>131</v>
      </c>
      <c r="N273" s="112">
        <v>15</v>
      </c>
      <c r="O273" s="129" t="str">
        <f t="shared" si="9"/>
        <v>_self</v>
      </c>
      <c r="P273" s="112">
        <f>LEN(Tableau1[[#This Row],[LABEL]])</f>
        <v>18</v>
      </c>
      <c r="Q273" s="112">
        <v>15</v>
      </c>
      <c r="R273" s="112" t="e">
        <f>ROUND(Tableau1[[#This Row],[LEN]]*#REF!+#REF!,0)</f>
        <v>#REF!</v>
      </c>
    </row>
    <row r="274" spans="1:18" s="97" customFormat="1" hidden="1" x14ac:dyDescent="0.25">
      <c r="A274" s="29" t="s">
        <v>1076</v>
      </c>
      <c r="B274" s="30" t="s">
        <v>1061</v>
      </c>
      <c r="C274" s="425" t="s">
        <v>2150</v>
      </c>
      <c r="D274" s="31" t="s">
        <v>15</v>
      </c>
      <c r="E274" s="71" t="s">
        <v>1177</v>
      </c>
      <c r="F274" s="31" t="s">
        <v>666</v>
      </c>
      <c r="G274" s="31" t="s">
        <v>828</v>
      </c>
      <c r="H274" s="71" t="s">
        <v>166</v>
      </c>
      <c r="I274" s="71" t="s">
        <v>655</v>
      </c>
      <c r="J274" s="31"/>
      <c r="K274" s="32" t="s">
        <v>708</v>
      </c>
      <c r="L274" s="32" t="str">
        <f t="shared" si="8"/>
        <v>_</v>
      </c>
      <c r="M274" s="111">
        <f>ROUND(Tableau1[[#This Row],[LEN]]*7.27,0)</f>
        <v>174</v>
      </c>
      <c r="N274" s="111">
        <v>15</v>
      </c>
      <c r="O274" s="128" t="str">
        <f t="shared" si="9"/>
        <v>_self</v>
      </c>
      <c r="P274" s="111">
        <f>LEN(Tableau1[[#This Row],[LABEL]])</f>
        <v>24</v>
      </c>
      <c r="Q274" s="111">
        <v>15</v>
      </c>
      <c r="R274" s="111" t="e">
        <f>ROUND(Tableau1[[#This Row],[LEN]]*#REF!+#REF!,0)</f>
        <v>#REF!</v>
      </c>
    </row>
    <row r="275" spans="1:18" s="97" customFormat="1" hidden="1" x14ac:dyDescent="0.25">
      <c r="A275" s="86" t="s">
        <v>1105</v>
      </c>
      <c r="B275" s="87" t="s">
        <v>1076</v>
      </c>
      <c r="C275" s="425" t="s">
        <v>2150</v>
      </c>
      <c r="D275" s="88" t="s">
        <v>1100</v>
      </c>
      <c r="E275" s="89" t="s">
        <v>1177</v>
      </c>
      <c r="F275" s="88" t="s">
        <v>666</v>
      </c>
      <c r="G275" s="88" t="s">
        <v>828</v>
      </c>
      <c r="H275" s="89" t="s">
        <v>166</v>
      </c>
      <c r="I275" s="90" t="s">
        <v>18</v>
      </c>
      <c r="J275" s="88"/>
      <c r="K275" s="91" t="s">
        <v>708</v>
      </c>
      <c r="L275" s="91" t="str">
        <f t="shared" si="8"/>
        <v>_</v>
      </c>
      <c r="M275" s="112">
        <f>ROUND(Tableau1[[#This Row],[LEN]]*7.27,0)</f>
        <v>22</v>
      </c>
      <c r="N275" s="112">
        <v>15</v>
      </c>
      <c r="O275" s="129" t="str">
        <f t="shared" si="9"/>
        <v>_self</v>
      </c>
      <c r="P275" s="112">
        <f>LEN(Tableau1[[#This Row],[LABEL]])</f>
        <v>3</v>
      </c>
      <c r="Q275" s="112">
        <v>15</v>
      </c>
      <c r="R275" s="112" t="e">
        <f>ROUND(Tableau1[[#This Row],[LEN]]*#REF!+#REF!,0)</f>
        <v>#REF!</v>
      </c>
    </row>
    <row r="276" spans="1:18" s="97" customFormat="1" hidden="1" x14ac:dyDescent="0.25">
      <c r="A276" s="86" t="s">
        <v>1106</v>
      </c>
      <c r="B276" s="87" t="s">
        <v>1076</v>
      </c>
      <c r="C276" s="425" t="s">
        <v>2150</v>
      </c>
      <c r="D276" s="88" t="s">
        <v>807</v>
      </c>
      <c r="E276" s="89" t="s">
        <v>1177</v>
      </c>
      <c r="F276" s="88" t="s">
        <v>666</v>
      </c>
      <c r="G276" s="88" t="s">
        <v>828</v>
      </c>
      <c r="H276" s="89" t="s">
        <v>166</v>
      </c>
      <c r="I276" s="90" t="s">
        <v>18</v>
      </c>
      <c r="J276" s="88"/>
      <c r="K276" s="91" t="s">
        <v>708</v>
      </c>
      <c r="L276" s="91" t="str">
        <f t="shared" si="8"/>
        <v>_</v>
      </c>
      <c r="M276" s="112">
        <f>ROUND(Tableau1[[#This Row],[LEN]]*7.27,0)</f>
        <v>218</v>
      </c>
      <c r="N276" s="112">
        <v>15</v>
      </c>
      <c r="O276" s="129" t="str">
        <f t="shared" si="9"/>
        <v>_self</v>
      </c>
      <c r="P276" s="112">
        <f>LEN(Tableau1[[#This Row],[LABEL]])</f>
        <v>30</v>
      </c>
      <c r="Q276" s="112">
        <v>15</v>
      </c>
      <c r="R276" s="112" t="e">
        <f>ROUND(Tableau1[[#This Row],[LEN]]*#REF!+#REF!,0)</f>
        <v>#REF!</v>
      </c>
    </row>
    <row r="277" spans="1:18" s="97" customFormat="1" hidden="1" x14ac:dyDescent="0.25">
      <c r="A277" s="86" t="s">
        <v>1107</v>
      </c>
      <c r="B277" s="87" t="s">
        <v>1076</v>
      </c>
      <c r="C277" s="425" t="s">
        <v>2150</v>
      </c>
      <c r="D277" s="88" t="s">
        <v>1112</v>
      </c>
      <c r="E277" s="89" t="s">
        <v>1177</v>
      </c>
      <c r="F277" s="88" t="s">
        <v>666</v>
      </c>
      <c r="G277" s="88" t="s">
        <v>828</v>
      </c>
      <c r="H277" s="89" t="s">
        <v>166</v>
      </c>
      <c r="I277" s="90" t="s">
        <v>18</v>
      </c>
      <c r="J277" s="88"/>
      <c r="K277" s="91" t="s">
        <v>708</v>
      </c>
      <c r="L277" s="91" t="str">
        <f t="shared" si="8"/>
        <v>_</v>
      </c>
      <c r="M277" s="112">
        <f>ROUND(Tableau1[[#This Row],[LEN]]*7.27,0)</f>
        <v>240</v>
      </c>
      <c r="N277" s="112">
        <v>15</v>
      </c>
      <c r="O277" s="129" t="str">
        <f t="shared" si="9"/>
        <v>_self</v>
      </c>
      <c r="P277" s="112">
        <f>LEN(Tableau1[[#This Row],[LABEL]])</f>
        <v>33</v>
      </c>
      <c r="Q277" s="112">
        <v>15</v>
      </c>
      <c r="R277" s="112" t="e">
        <f>ROUND(Tableau1[[#This Row],[LEN]]*#REF!+#REF!,0)</f>
        <v>#REF!</v>
      </c>
    </row>
    <row r="278" spans="1:18" s="97" customFormat="1" hidden="1" x14ac:dyDescent="0.25">
      <c r="A278" s="86" t="s">
        <v>1108</v>
      </c>
      <c r="B278" s="87" t="s">
        <v>1076</v>
      </c>
      <c r="C278" s="425" t="s">
        <v>2150</v>
      </c>
      <c r="D278" s="88" t="s">
        <v>1113</v>
      </c>
      <c r="E278" s="89" t="s">
        <v>1177</v>
      </c>
      <c r="F278" s="88" t="s">
        <v>666</v>
      </c>
      <c r="G278" s="88" t="s">
        <v>828</v>
      </c>
      <c r="H278" s="89" t="s">
        <v>166</v>
      </c>
      <c r="I278" s="90" t="s">
        <v>18</v>
      </c>
      <c r="J278" s="88"/>
      <c r="K278" s="91" t="s">
        <v>708</v>
      </c>
      <c r="L278" s="91" t="str">
        <f t="shared" si="8"/>
        <v>_</v>
      </c>
      <c r="M278" s="112">
        <f>ROUND(Tableau1[[#This Row],[LEN]]*7.27,0)</f>
        <v>116</v>
      </c>
      <c r="N278" s="112">
        <v>15</v>
      </c>
      <c r="O278" s="129" t="str">
        <f t="shared" si="9"/>
        <v>_self</v>
      </c>
      <c r="P278" s="112">
        <f>LEN(Tableau1[[#This Row],[LABEL]])</f>
        <v>16</v>
      </c>
      <c r="Q278" s="112">
        <v>15</v>
      </c>
      <c r="R278" s="112" t="e">
        <f>ROUND(Tableau1[[#This Row],[LEN]]*#REF!+#REF!,0)</f>
        <v>#REF!</v>
      </c>
    </row>
    <row r="279" spans="1:18" s="97" customFormat="1" hidden="1" x14ac:dyDescent="0.25">
      <c r="A279" s="86" t="s">
        <v>1109</v>
      </c>
      <c r="B279" s="87" t="s">
        <v>1076</v>
      </c>
      <c r="C279" s="425" t="s">
        <v>2150</v>
      </c>
      <c r="D279" s="88" t="s">
        <v>1114</v>
      </c>
      <c r="E279" s="89" t="s">
        <v>1177</v>
      </c>
      <c r="F279" s="88" t="s">
        <v>666</v>
      </c>
      <c r="G279" s="88" t="s">
        <v>828</v>
      </c>
      <c r="H279" s="89" t="s">
        <v>166</v>
      </c>
      <c r="I279" s="90" t="s">
        <v>18</v>
      </c>
      <c r="J279" s="88"/>
      <c r="K279" s="91" t="s">
        <v>708</v>
      </c>
      <c r="L279" s="91" t="str">
        <f t="shared" si="8"/>
        <v>_</v>
      </c>
      <c r="M279" s="112">
        <f>ROUND(Tableau1[[#This Row],[LEN]]*7.27,0)</f>
        <v>116</v>
      </c>
      <c r="N279" s="112">
        <v>15</v>
      </c>
      <c r="O279" s="129" t="str">
        <f t="shared" si="9"/>
        <v>_self</v>
      </c>
      <c r="P279" s="112">
        <f>LEN(Tableau1[[#This Row],[LABEL]])</f>
        <v>16</v>
      </c>
      <c r="Q279" s="112">
        <v>15</v>
      </c>
      <c r="R279" s="112" t="e">
        <f>ROUND(Tableau1[[#This Row],[LEN]]*#REF!+#REF!,0)</f>
        <v>#REF!</v>
      </c>
    </row>
    <row r="280" spans="1:18" s="97" customFormat="1" hidden="1" x14ac:dyDescent="0.25">
      <c r="A280" s="86" t="s">
        <v>1110</v>
      </c>
      <c r="B280" s="87" t="s">
        <v>1076</v>
      </c>
      <c r="C280" s="425" t="s">
        <v>2150</v>
      </c>
      <c r="D280" s="88" t="s">
        <v>806</v>
      </c>
      <c r="E280" s="89" t="s">
        <v>1177</v>
      </c>
      <c r="F280" s="88" t="s">
        <v>666</v>
      </c>
      <c r="G280" s="88" t="s">
        <v>828</v>
      </c>
      <c r="H280" s="89" t="s">
        <v>166</v>
      </c>
      <c r="I280" s="90" t="s">
        <v>18</v>
      </c>
      <c r="J280" s="88"/>
      <c r="K280" s="91" t="s">
        <v>708</v>
      </c>
      <c r="L280" s="91" t="str">
        <f t="shared" si="8"/>
        <v>_</v>
      </c>
      <c r="M280" s="112">
        <f>ROUND(Tableau1[[#This Row],[LEN]]*7.27,0)</f>
        <v>174</v>
      </c>
      <c r="N280" s="112">
        <v>15</v>
      </c>
      <c r="O280" s="129" t="str">
        <f t="shared" si="9"/>
        <v>_self</v>
      </c>
      <c r="P280" s="112">
        <f>LEN(Tableau1[[#This Row],[LABEL]])</f>
        <v>24</v>
      </c>
      <c r="Q280" s="112">
        <v>15</v>
      </c>
      <c r="R280" s="112" t="e">
        <f>ROUND(Tableau1[[#This Row],[LEN]]*#REF!+#REF!,0)</f>
        <v>#REF!</v>
      </c>
    </row>
    <row r="281" spans="1:18" s="97" customFormat="1" hidden="1" x14ac:dyDescent="0.25">
      <c r="A281" s="86" t="s">
        <v>1111</v>
      </c>
      <c r="B281" s="87" t="s">
        <v>1076</v>
      </c>
      <c r="C281" s="425" t="s">
        <v>2150</v>
      </c>
      <c r="D281" s="88" t="s">
        <v>812</v>
      </c>
      <c r="E281" s="89" t="s">
        <v>1177</v>
      </c>
      <c r="F281" s="88" t="s">
        <v>666</v>
      </c>
      <c r="G281" s="88" t="s">
        <v>828</v>
      </c>
      <c r="H281" s="89" t="s">
        <v>166</v>
      </c>
      <c r="I281" s="90" t="s">
        <v>18</v>
      </c>
      <c r="J281" s="88"/>
      <c r="K281" s="91" t="s">
        <v>708</v>
      </c>
      <c r="L281" s="91" t="str">
        <f t="shared" si="8"/>
        <v>_</v>
      </c>
      <c r="M281" s="112">
        <f>ROUND(Tableau1[[#This Row],[LEN]]*7.27,0)</f>
        <v>131</v>
      </c>
      <c r="N281" s="112">
        <v>15</v>
      </c>
      <c r="O281" s="129" t="str">
        <f t="shared" si="9"/>
        <v>_self</v>
      </c>
      <c r="P281" s="112">
        <f>LEN(Tableau1[[#This Row],[LABEL]])</f>
        <v>18</v>
      </c>
      <c r="Q281" s="112">
        <v>15</v>
      </c>
      <c r="R281" s="112" t="e">
        <f>ROUND(Tableau1[[#This Row],[LEN]]*#REF!+#REF!,0)</f>
        <v>#REF!</v>
      </c>
    </row>
    <row r="282" spans="1:18" s="97" customFormat="1" hidden="1" x14ac:dyDescent="0.25">
      <c r="A282" s="25" t="s">
        <v>1062</v>
      </c>
      <c r="B282" s="26" t="s">
        <v>252</v>
      </c>
      <c r="C282" s="425" t="s">
        <v>2150</v>
      </c>
      <c r="D282" s="27" t="s">
        <v>1070</v>
      </c>
      <c r="E282" s="70" t="s">
        <v>1177</v>
      </c>
      <c r="F282" s="27" t="s">
        <v>666</v>
      </c>
      <c r="G282" s="27" t="s">
        <v>1177</v>
      </c>
      <c r="H282" s="70" t="s">
        <v>166</v>
      </c>
      <c r="I282" s="70" t="s">
        <v>656</v>
      </c>
      <c r="J282" s="27"/>
      <c r="K282" s="28" t="s">
        <v>708</v>
      </c>
      <c r="L282" s="28" t="str">
        <f t="shared" si="8"/>
        <v>_</v>
      </c>
      <c r="M282" s="109">
        <f>ROUND(Tableau1[[#This Row],[LEN]]*7.27,0)</f>
        <v>371</v>
      </c>
      <c r="N282" s="109">
        <v>15</v>
      </c>
      <c r="O282" s="127" t="str">
        <f t="shared" si="9"/>
        <v>_self</v>
      </c>
      <c r="P282" s="109">
        <f>LEN(Tableau1[[#This Row],[LABEL]])</f>
        <v>51</v>
      </c>
      <c r="Q282" s="109">
        <v>15</v>
      </c>
      <c r="R282" s="109" t="e">
        <f>ROUND(Tableau1[[#This Row],[LEN]]*#REF!+#REF!,0)</f>
        <v>#REF!</v>
      </c>
    </row>
    <row r="283" spans="1:18" s="97" customFormat="1" hidden="1" x14ac:dyDescent="0.25">
      <c r="A283" s="25" t="s">
        <v>1063</v>
      </c>
      <c r="B283" s="26" t="s">
        <v>252</v>
      </c>
      <c r="C283" s="425" t="s">
        <v>2150</v>
      </c>
      <c r="D283" s="27" t="s">
        <v>778</v>
      </c>
      <c r="E283" s="70" t="s">
        <v>1177</v>
      </c>
      <c r="F283" s="27" t="s">
        <v>673</v>
      </c>
      <c r="G283" s="27" t="s">
        <v>2000</v>
      </c>
      <c r="H283" s="70" t="s">
        <v>166</v>
      </c>
      <c r="I283" s="70" t="s">
        <v>17</v>
      </c>
      <c r="J283" s="27"/>
      <c r="K283" s="28" t="s">
        <v>708</v>
      </c>
      <c r="L283" s="28" t="str">
        <f t="shared" si="8"/>
        <v>_</v>
      </c>
      <c r="M283" s="109">
        <f>ROUND(Tableau1[[#This Row],[LEN]]*7.27,0)</f>
        <v>211</v>
      </c>
      <c r="N283" s="109">
        <v>15</v>
      </c>
      <c r="O283" s="127" t="str">
        <f t="shared" si="9"/>
        <v>_self</v>
      </c>
      <c r="P283" s="109">
        <f>LEN(Tableau1[[#This Row],[LABEL]])</f>
        <v>29</v>
      </c>
      <c r="Q283" s="109">
        <v>15</v>
      </c>
      <c r="R283" s="109" t="e">
        <f>ROUND(Tableau1[[#This Row],[LEN]]*#REF!+#REF!,0)</f>
        <v>#REF!</v>
      </c>
    </row>
    <row r="284" spans="1:18" s="97" customFormat="1" hidden="1" x14ac:dyDescent="0.25">
      <c r="A284" s="25" t="s">
        <v>1064</v>
      </c>
      <c r="B284" s="26" t="s">
        <v>252</v>
      </c>
      <c r="C284" s="425" t="s">
        <v>2150</v>
      </c>
      <c r="D284" s="27" t="s">
        <v>92</v>
      </c>
      <c r="E284" s="70" t="s">
        <v>1177</v>
      </c>
      <c r="F284" s="27" t="s">
        <v>663</v>
      </c>
      <c r="G284" s="27" t="s">
        <v>2080</v>
      </c>
      <c r="H284" s="70" t="s">
        <v>166</v>
      </c>
      <c r="I284" s="70" t="s">
        <v>655</v>
      </c>
      <c r="J284" s="27"/>
      <c r="K284" s="28" t="s">
        <v>708</v>
      </c>
      <c r="L284" s="28" t="str">
        <f t="shared" si="8"/>
        <v>_</v>
      </c>
      <c r="M284" s="109">
        <f>ROUND(Tableau1[[#This Row],[LEN]]*7.27,0)</f>
        <v>262</v>
      </c>
      <c r="N284" s="109">
        <v>15</v>
      </c>
      <c r="O284" s="127" t="str">
        <f t="shared" si="9"/>
        <v>_self</v>
      </c>
      <c r="P284" s="109">
        <f>LEN(Tableau1[[#This Row],[LABEL]])</f>
        <v>36</v>
      </c>
      <c r="Q284" s="109">
        <v>15</v>
      </c>
      <c r="R284" s="109" t="e">
        <f>ROUND(Tableau1[[#This Row],[LEN]]*#REF!+#REF!,0)</f>
        <v>#REF!</v>
      </c>
    </row>
    <row r="285" spans="1:18" s="97" customFormat="1" hidden="1" x14ac:dyDescent="0.25">
      <c r="A285" s="29" t="s">
        <v>1077</v>
      </c>
      <c r="B285" s="30" t="s">
        <v>1064</v>
      </c>
      <c r="C285" s="425" t="s">
        <v>2150</v>
      </c>
      <c r="D285" s="31" t="s">
        <v>95</v>
      </c>
      <c r="E285" s="71" t="s">
        <v>1177</v>
      </c>
      <c r="F285" s="31" t="s">
        <v>663</v>
      </c>
      <c r="G285" s="31" t="s">
        <v>2080</v>
      </c>
      <c r="H285" s="71" t="s">
        <v>166</v>
      </c>
      <c r="I285" s="71" t="s">
        <v>17</v>
      </c>
      <c r="J285" s="31"/>
      <c r="K285" s="32" t="s">
        <v>708</v>
      </c>
      <c r="L285" s="32" t="str">
        <f t="shared" si="8"/>
        <v>_</v>
      </c>
      <c r="M285" s="111">
        <f>ROUND(Tableau1[[#This Row],[LEN]]*7.27,0)</f>
        <v>254</v>
      </c>
      <c r="N285" s="111">
        <v>15</v>
      </c>
      <c r="O285" s="128" t="str">
        <f t="shared" si="9"/>
        <v>_self</v>
      </c>
      <c r="P285" s="111">
        <f>LEN(Tableau1[[#This Row],[LABEL]])</f>
        <v>35</v>
      </c>
      <c r="Q285" s="111">
        <v>15</v>
      </c>
      <c r="R285" s="111" t="e">
        <f>ROUND(Tableau1[[#This Row],[LEN]]*#REF!+#REF!,0)</f>
        <v>#REF!</v>
      </c>
    </row>
    <row r="286" spans="1:18" s="97" customFormat="1" hidden="1" x14ac:dyDescent="0.25">
      <c r="A286" s="29" t="s">
        <v>1078</v>
      </c>
      <c r="B286" s="30" t="s">
        <v>1064</v>
      </c>
      <c r="C286" s="425" t="s">
        <v>2150</v>
      </c>
      <c r="D286" s="31" t="s">
        <v>96</v>
      </c>
      <c r="E286" s="71" t="s">
        <v>1177</v>
      </c>
      <c r="F286" s="31" t="s">
        <v>663</v>
      </c>
      <c r="G286" s="31" t="s">
        <v>2080</v>
      </c>
      <c r="H286" s="71" t="s">
        <v>166</v>
      </c>
      <c r="I286" s="71" t="s">
        <v>654</v>
      </c>
      <c r="J286" s="31"/>
      <c r="K286" s="32" t="s">
        <v>708</v>
      </c>
      <c r="L286" s="32" t="str">
        <f t="shared" si="8"/>
        <v>_</v>
      </c>
      <c r="M286" s="111">
        <f>ROUND(Tableau1[[#This Row],[LEN]]*7.27,0)</f>
        <v>233</v>
      </c>
      <c r="N286" s="111">
        <v>15</v>
      </c>
      <c r="O286" s="128" t="str">
        <f t="shared" si="9"/>
        <v>_self</v>
      </c>
      <c r="P286" s="111">
        <f>LEN(Tableau1[[#This Row],[LABEL]])</f>
        <v>32</v>
      </c>
      <c r="Q286" s="111">
        <v>15</v>
      </c>
      <c r="R286" s="111" t="e">
        <f>ROUND(Tableau1[[#This Row],[LEN]]*#REF!+#REF!,0)</f>
        <v>#REF!</v>
      </c>
    </row>
    <row r="287" spans="1:18" s="97" customFormat="1" hidden="1" x14ac:dyDescent="0.25">
      <c r="A287" s="29" t="s">
        <v>1079</v>
      </c>
      <c r="B287" s="30" t="s">
        <v>1064</v>
      </c>
      <c r="C287" s="425" t="s">
        <v>2150</v>
      </c>
      <c r="D287" s="31" t="s">
        <v>97</v>
      </c>
      <c r="E287" s="71" t="s">
        <v>1177</v>
      </c>
      <c r="F287" s="31" t="s">
        <v>663</v>
      </c>
      <c r="G287" s="31" t="s">
        <v>2080</v>
      </c>
      <c r="H287" s="71" t="s">
        <v>166</v>
      </c>
      <c r="I287" s="71" t="s">
        <v>656</v>
      </c>
      <c r="J287" s="31"/>
      <c r="K287" s="32" t="s">
        <v>708</v>
      </c>
      <c r="L287" s="32" t="str">
        <f t="shared" si="8"/>
        <v>_</v>
      </c>
      <c r="M287" s="111">
        <f>ROUND(Tableau1[[#This Row],[LEN]]*7.27,0)</f>
        <v>145</v>
      </c>
      <c r="N287" s="111">
        <v>15</v>
      </c>
      <c r="O287" s="128" t="str">
        <f t="shared" si="9"/>
        <v>_self</v>
      </c>
      <c r="P287" s="111">
        <f>LEN(Tableau1[[#This Row],[LABEL]])</f>
        <v>20</v>
      </c>
      <c r="Q287" s="111">
        <v>15</v>
      </c>
      <c r="R287" s="111" t="e">
        <f>ROUND(Tableau1[[#This Row],[LEN]]*#REF!+#REF!,0)</f>
        <v>#REF!</v>
      </c>
    </row>
    <row r="288" spans="1:18" s="97" customFormat="1" hidden="1" x14ac:dyDescent="0.25">
      <c r="A288" s="25" t="s">
        <v>1065</v>
      </c>
      <c r="B288" s="26" t="s">
        <v>252</v>
      </c>
      <c r="C288" s="425" t="s">
        <v>2150</v>
      </c>
      <c r="D288" s="27" t="s">
        <v>1072</v>
      </c>
      <c r="E288" s="70" t="s">
        <v>1177</v>
      </c>
      <c r="F288" s="27" t="s">
        <v>666</v>
      </c>
      <c r="G288" s="27" t="s">
        <v>667</v>
      </c>
      <c r="H288" s="70" t="s">
        <v>166</v>
      </c>
      <c r="I288" s="70" t="s">
        <v>18</v>
      </c>
      <c r="J288" s="27"/>
      <c r="K288" s="28" t="s">
        <v>708</v>
      </c>
      <c r="L288" s="28" t="str">
        <f t="shared" si="8"/>
        <v>_</v>
      </c>
      <c r="M288" s="109">
        <f>ROUND(Tableau1[[#This Row],[LEN]]*7.27,0)</f>
        <v>422</v>
      </c>
      <c r="N288" s="109">
        <v>15</v>
      </c>
      <c r="O288" s="127" t="str">
        <f t="shared" si="9"/>
        <v>_self</v>
      </c>
      <c r="P288" s="109">
        <f>LEN(Tableau1[[#This Row],[LABEL]])</f>
        <v>58</v>
      </c>
      <c r="Q288" s="109">
        <v>15</v>
      </c>
      <c r="R288" s="109" t="e">
        <f>ROUND(Tableau1[[#This Row],[LEN]]*#REF!+#REF!,0)</f>
        <v>#REF!</v>
      </c>
    </row>
    <row r="289" spans="1:18" s="97" customFormat="1" hidden="1" x14ac:dyDescent="0.25">
      <c r="A289" s="25" t="s">
        <v>1066</v>
      </c>
      <c r="B289" s="26" t="s">
        <v>252</v>
      </c>
      <c r="C289" s="425" t="s">
        <v>2150</v>
      </c>
      <c r="D289" s="27" t="s">
        <v>1073</v>
      </c>
      <c r="E289" s="70" t="s">
        <v>1177</v>
      </c>
      <c r="F289" s="27" t="s">
        <v>666</v>
      </c>
      <c r="G289" s="27" t="s">
        <v>679</v>
      </c>
      <c r="H289" s="70" t="s">
        <v>166</v>
      </c>
      <c r="I289" s="70" t="s">
        <v>656</v>
      </c>
      <c r="J289" s="27"/>
      <c r="K289" s="28" t="s">
        <v>708</v>
      </c>
      <c r="L289" s="28" t="str">
        <f t="shared" si="8"/>
        <v>_</v>
      </c>
      <c r="M289" s="109">
        <f>ROUND(Tableau1[[#This Row],[LEN]]*7.27,0)</f>
        <v>393</v>
      </c>
      <c r="N289" s="109">
        <v>15</v>
      </c>
      <c r="O289" s="127" t="str">
        <f t="shared" si="9"/>
        <v>_self</v>
      </c>
      <c r="P289" s="109">
        <f>LEN(Tableau1[[#This Row],[LABEL]])</f>
        <v>54</v>
      </c>
      <c r="Q289" s="109">
        <v>15</v>
      </c>
      <c r="R289" s="109" t="e">
        <f>ROUND(Tableau1[[#This Row],[LEN]]*#REF!+#REF!,0)</f>
        <v>#REF!</v>
      </c>
    </row>
    <row r="290" spans="1:18" s="97" customFormat="1" hidden="1" x14ac:dyDescent="0.25">
      <c r="A290" s="25" t="s">
        <v>1067</v>
      </c>
      <c r="B290" s="26" t="s">
        <v>252</v>
      </c>
      <c r="C290" s="425" t="s">
        <v>2150</v>
      </c>
      <c r="D290" s="27" t="s">
        <v>1167</v>
      </c>
      <c r="E290" s="70" t="s">
        <v>486</v>
      </c>
      <c r="F290" s="27" t="s">
        <v>1085</v>
      </c>
      <c r="G290" s="27" t="s">
        <v>1084</v>
      </c>
      <c r="H290" s="70" t="s">
        <v>1977</v>
      </c>
      <c r="I290" s="70" t="s">
        <v>1131</v>
      </c>
      <c r="J290" s="27"/>
      <c r="K290" s="28" t="s">
        <v>708</v>
      </c>
      <c r="L290" s="28" t="str">
        <f t="shared" si="8"/>
        <v>_</v>
      </c>
      <c r="M290" s="109">
        <f>ROUND(Tableau1[[#This Row],[LEN]]*7.27,0)</f>
        <v>196</v>
      </c>
      <c r="N290" s="109">
        <v>15</v>
      </c>
      <c r="O290" s="127" t="str">
        <f t="shared" si="9"/>
        <v>_self</v>
      </c>
      <c r="P290" s="109">
        <f>LEN(Tableau1[[#This Row],[LABEL]])</f>
        <v>27</v>
      </c>
      <c r="Q290" s="109">
        <v>15</v>
      </c>
      <c r="R290" s="109" t="e">
        <f>ROUND(Tableau1[[#This Row],[LEN]]*#REF!+#REF!,0)</f>
        <v>#REF!</v>
      </c>
    </row>
    <row r="291" spans="1:18" s="97" customFormat="1" hidden="1" x14ac:dyDescent="0.25">
      <c r="A291" s="29" t="s">
        <v>1080</v>
      </c>
      <c r="B291" s="30" t="s">
        <v>1067</v>
      </c>
      <c r="C291" s="425" t="s">
        <v>2150</v>
      </c>
      <c r="D291" s="31" t="s">
        <v>93</v>
      </c>
      <c r="E291" s="71" t="s">
        <v>1177</v>
      </c>
      <c r="F291" s="31" t="s">
        <v>1085</v>
      </c>
      <c r="G291" s="31" t="s">
        <v>1084</v>
      </c>
      <c r="H291" s="71" t="s">
        <v>166</v>
      </c>
      <c r="I291" s="71" t="s">
        <v>18</v>
      </c>
      <c r="J291" s="31"/>
      <c r="K291" s="32" t="s">
        <v>101</v>
      </c>
      <c r="L291" s="32" t="str">
        <f t="shared" si="8"/>
        <v>Documentation</v>
      </c>
      <c r="M291" s="111">
        <f>ROUND(Tableau1[[#This Row],[LEN]]*7.27,0)</f>
        <v>109</v>
      </c>
      <c r="N291" s="111">
        <v>15</v>
      </c>
      <c r="O291" s="128" t="str">
        <f t="shared" si="9"/>
        <v>_blank</v>
      </c>
      <c r="P291" s="111">
        <f>LEN(Tableau1[[#This Row],[LABEL]])</f>
        <v>15</v>
      </c>
      <c r="Q291" s="111">
        <v>15</v>
      </c>
      <c r="R291" s="111" t="e">
        <f>ROUND(Tableau1[[#This Row],[LEN]]*#REF!+#REF!,0)</f>
        <v>#REF!</v>
      </c>
    </row>
    <row r="292" spans="1:18" s="97" customFormat="1" hidden="1" x14ac:dyDescent="0.25">
      <c r="A292" s="29" t="s">
        <v>1081</v>
      </c>
      <c r="B292" s="30" t="s">
        <v>1067</v>
      </c>
      <c r="C292" s="425" t="s">
        <v>2150</v>
      </c>
      <c r="D292" s="31" t="s">
        <v>94</v>
      </c>
      <c r="E292" s="71" t="s">
        <v>1177</v>
      </c>
      <c r="F292" s="31" t="s">
        <v>1085</v>
      </c>
      <c r="G292" s="31" t="s">
        <v>1084</v>
      </c>
      <c r="H292" s="71" t="s">
        <v>166</v>
      </c>
      <c r="I292" s="71" t="s">
        <v>18</v>
      </c>
      <c r="J292" s="31"/>
      <c r="K292" s="32" t="s">
        <v>102</v>
      </c>
      <c r="L292" s="32" t="str">
        <f t="shared" si="8"/>
        <v>Documentation</v>
      </c>
      <c r="M292" s="111">
        <f>ROUND(Tableau1[[#This Row],[LEN]]*7.27,0)</f>
        <v>58</v>
      </c>
      <c r="N292" s="111">
        <v>15</v>
      </c>
      <c r="O292" s="128" t="str">
        <f t="shared" si="9"/>
        <v>_blank</v>
      </c>
      <c r="P292" s="111">
        <f>LEN(Tableau1[[#This Row],[LABEL]])</f>
        <v>8</v>
      </c>
      <c r="Q292" s="111">
        <v>15</v>
      </c>
      <c r="R292" s="111" t="e">
        <f>ROUND(Tableau1[[#This Row],[LEN]]*#REF!+#REF!,0)</f>
        <v>#REF!</v>
      </c>
    </row>
    <row r="293" spans="1:18" s="273" customFormat="1" hidden="1" x14ac:dyDescent="0.25">
      <c r="A293" s="288" t="s">
        <v>253</v>
      </c>
      <c r="B293" s="289" t="s">
        <v>206</v>
      </c>
      <c r="C293" s="425" t="s">
        <v>2150</v>
      </c>
      <c r="D293" s="290" t="s">
        <v>80</v>
      </c>
      <c r="E293" s="291" t="s">
        <v>1177</v>
      </c>
      <c r="F293" s="290" t="s">
        <v>667</v>
      </c>
      <c r="G293" s="290" t="s">
        <v>1177</v>
      </c>
      <c r="H293" s="291" t="s">
        <v>166</v>
      </c>
      <c r="I293" s="291" t="str">
        <f>IFERROR(IF(SEARCH(".00.00.00.00.00",Tableau1[[#This Row],[name]],1)=7,"Division",""),"")</f>
        <v>Division</v>
      </c>
      <c r="J293" s="290"/>
      <c r="K293" s="292" t="s">
        <v>708</v>
      </c>
      <c r="L293" s="292" t="str">
        <f t="shared" si="8"/>
        <v>_</v>
      </c>
      <c r="M293" s="293">
        <f>ROUND(Tableau1[[#This Row],[LEN]]*7.27,0)</f>
        <v>116</v>
      </c>
      <c r="N293" s="293">
        <v>15</v>
      </c>
      <c r="O293" s="294" t="str">
        <f t="shared" si="9"/>
        <v>_self</v>
      </c>
      <c r="P293" s="293">
        <f>LEN(Tableau1[[#This Row],[LABEL]])</f>
        <v>16</v>
      </c>
      <c r="Q293" s="293">
        <v>15</v>
      </c>
      <c r="R293" s="293" t="e">
        <f>ROUND(Tableau1[[#This Row],[LEN]]*#REF!+#REF!,0)</f>
        <v>#REF!</v>
      </c>
    </row>
    <row r="294" spans="1:18" s="97" customFormat="1" hidden="1" x14ac:dyDescent="0.25">
      <c r="A294" s="25" t="s">
        <v>1115</v>
      </c>
      <c r="B294" s="26" t="s">
        <v>253</v>
      </c>
      <c r="C294" s="425" t="s">
        <v>2150</v>
      </c>
      <c r="D294" s="27" t="s">
        <v>1126</v>
      </c>
      <c r="E294" s="70" t="s">
        <v>1177</v>
      </c>
      <c r="F294" s="27" t="s">
        <v>666</v>
      </c>
      <c r="G294" s="27" t="s">
        <v>661</v>
      </c>
      <c r="H294" s="70" t="s">
        <v>166</v>
      </c>
      <c r="I294" s="70" t="s">
        <v>570</v>
      </c>
      <c r="J294" s="27"/>
      <c r="K294" s="28" t="s">
        <v>708</v>
      </c>
      <c r="L294" s="28" t="str">
        <f t="shared" si="8"/>
        <v>_</v>
      </c>
      <c r="M294" s="109">
        <f>ROUND(Tableau1[[#This Row],[LEN]]*7.27,0)</f>
        <v>284</v>
      </c>
      <c r="N294" s="109">
        <v>15</v>
      </c>
      <c r="O294" s="127" t="str">
        <f t="shared" si="9"/>
        <v>_self</v>
      </c>
      <c r="P294" s="109">
        <f>LEN(Tableau1[[#This Row],[LABEL]])</f>
        <v>39</v>
      </c>
      <c r="Q294" s="109">
        <v>15</v>
      </c>
      <c r="R294" s="109" t="e">
        <f>ROUND(Tableau1[[#This Row],[LEN]]*#REF!+#REF!,0)</f>
        <v>#REF!</v>
      </c>
    </row>
    <row r="295" spans="1:18" s="97" customFormat="1" hidden="1" x14ac:dyDescent="0.25">
      <c r="A295" s="25" t="s">
        <v>1116</v>
      </c>
      <c r="B295" s="26" t="s">
        <v>253</v>
      </c>
      <c r="C295" s="425" t="s">
        <v>2150</v>
      </c>
      <c r="D295" s="27" t="s">
        <v>88</v>
      </c>
      <c r="E295" s="70" t="s">
        <v>1177</v>
      </c>
      <c r="F295" s="27" t="s">
        <v>667</v>
      </c>
      <c r="G295" s="27" t="s">
        <v>1218</v>
      </c>
      <c r="H295" s="70" t="s">
        <v>166</v>
      </c>
      <c r="I295" s="70" t="s">
        <v>570</v>
      </c>
      <c r="J295" s="27"/>
      <c r="K295" s="28" t="s">
        <v>708</v>
      </c>
      <c r="L295" s="28" t="str">
        <f t="shared" si="8"/>
        <v>_</v>
      </c>
      <c r="M295" s="109">
        <f>ROUND(Tableau1[[#This Row],[LEN]]*7.27,0)</f>
        <v>342</v>
      </c>
      <c r="N295" s="109">
        <v>15</v>
      </c>
      <c r="O295" s="127" t="str">
        <f t="shared" si="9"/>
        <v>_self</v>
      </c>
      <c r="P295" s="109">
        <f>LEN(Tableau1[[#This Row],[LABEL]])</f>
        <v>47</v>
      </c>
      <c r="Q295" s="109">
        <v>15</v>
      </c>
      <c r="R295" s="109" t="e">
        <f>ROUND(Tableau1[[#This Row],[LEN]]*#REF!+#REF!,0)</f>
        <v>#REF!</v>
      </c>
    </row>
    <row r="296" spans="1:18" s="97" customFormat="1" hidden="1" x14ac:dyDescent="0.25">
      <c r="A296" s="25" t="s">
        <v>1117</v>
      </c>
      <c r="B296" s="26" t="s">
        <v>253</v>
      </c>
      <c r="C296" s="425" t="s">
        <v>2150</v>
      </c>
      <c r="D296" s="27" t="s">
        <v>1071</v>
      </c>
      <c r="E296" s="70" t="s">
        <v>1177</v>
      </c>
      <c r="F296" s="27" t="s">
        <v>666</v>
      </c>
      <c r="G296" s="27" t="s">
        <v>663</v>
      </c>
      <c r="H296" s="70" t="s">
        <v>166</v>
      </c>
      <c r="I296" s="70" t="s">
        <v>655</v>
      </c>
      <c r="J296" s="27"/>
      <c r="K296" s="28" t="s">
        <v>708</v>
      </c>
      <c r="L296" s="28" t="str">
        <f t="shared" si="8"/>
        <v>_</v>
      </c>
      <c r="M296" s="109">
        <f>ROUND(Tableau1[[#This Row],[LEN]]*7.27,0)</f>
        <v>247</v>
      </c>
      <c r="N296" s="109">
        <v>15</v>
      </c>
      <c r="O296" s="127" t="str">
        <f t="shared" si="9"/>
        <v>_self</v>
      </c>
      <c r="P296" s="109">
        <f>LEN(Tableau1[[#This Row],[LABEL]])</f>
        <v>34</v>
      </c>
      <c r="Q296" s="109">
        <v>15</v>
      </c>
      <c r="R296" s="109" t="e">
        <f>ROUND(Tableau1[[#This Row],[LEN]]*#REF!+#REF!,0)</f>
        <v>#REF!</v>
      </c>
    </row>
    <row r="297" spans="1:18" s="97" customFormat="1" hidden="1" x14ac:dyDescent="0.25">
      <c r="A297" s="29" t="s">
        <v>1135</v>
      </c>
      <c r="B297" s="30" t="s">
        <v>1117</v>
      </c>
      <c r="C297" s="425" t="s">
        <v>2150</v>
      </c>
      <c r="D297" s="31" t="s">
        <v>1086</v>
      </c>
      <c r="E297" s="71" t="s">
        <v>1177</v>
      </c>
      <c r="F297" s="31" t="s">
        <v>666</v>
      </c>
      <c r="G297" s="31" t="s">
        <v>828</v>
      </c>
      <c r="H297" s="71" t="s">
        <v>166</v>
      </c>
      <c r="I297" s="71" t="s">
        <v>655</v>
      </c>
      <c r="J297" s="31"/>
      <c r="K297" s="32" t="s">
        <v>708</v>
      </c>
      <c r="L297" s="32" t="str">
        <f t="shared" si="8"/>
        <v>_</v>
      </c>
      <c r="M297" s="111">
        <f>ROUND(Tableau1[[#This Row],[LEN]]*7.27,0)</f>
        <v>87</v>
      </c>
      <c r="N297" s="111">
        <v>15</v>
      </c>
      <c r="O297" s="128" t="str">
        <f t="shared" si="9"/>
        <v>_self</v>
      </c>
      <c r="P297" s="111">
        <f>LEN(Tableau1[[#This Row],[LABEL]])</f>
        <v>12</v>
      </c>
      <c r="Q297" s="111">
        <v>15</v>
      </c>
      <c r="R297" s="111" t="e">
        <f>ROUND(Tableau1[[#This Row],[LEN]]*#REF!+#REF!,0)</f>
        <v>#REF!</v>
      </c>
    </row>
    <row r="298" spans="1:18" s="97" customFormat="1" hidden="1" x14ac:dyDescent="0.25">
      <c r="A298" s="86" t="s">
        <v>1138</v>
      </c>
      <c r="B298" s="87" t="s">
        <v>1135</v>
      </c>
      <c r="C298" s="425" t="s">
        <v>2150</v>
      </c>
      <c r="D298" s="88" t="s">
        <v>1088</v>
      </c>
      <c r="E298" s="89" t="s">
        <v>1177</v>
      </c>
      <c r="F298" s="88" t="s">
        <v>666</v>
      </c>
      <c r="G298" s="88" t="s">
        <v>828</v>
      </c>
      <c r="H298" s="89" t="s">
        <v>166</v>
      </c>
      <c r="I298" s="90" t="s">
        <v>18</v>
      </c>
      <c r="J298" s="88"/>
      <c r="K298" s="91" t="s">
        <v>708</v>
      </c>
      <c r="L298" s="91" t="str">
        <f t="shared" si="8"/>
        <v>_</v>
      </c>
      <c r="M298" s="112">
        <f>ROUND(Tableau1[[#This Row],[LEN]]*7.27,0)</f>
        <v>196</v>
      </c>
      <c r="N298" s="112">
        <v>15</v>
      </c>
      <c r="O298" s="129" t="str">
        <f t="shared" si="9"/>
        <v>_self</v>
      </c>
      <c r="P298" s="112">
        <f>LEN(Tableau1[[#This Row],[LABEL]])</f>
        <v>27</v>
      </c>
      <c r="Q298" s="112">
        <v>15</v>
      </c>
      <c r="R298" s="112" t="e">
        <f>ROUND(Tableau1[[#This Row],[LEN]]*#REF!+#REF!,0)</f>
        <v>#REF!</v>
      </c>
    </row>
    <row r="299" spans="1:18" s="97" customFormat="1" hidden="1" x14ac:dyDescent="0.25">
      <c r="A299" s="86" t="s">
        <v>1139</v>
      </c>
      <c r="B299" s="87" t="s">
        <v>1135</v>
      </c>
      <c r="C299" s="425" t="s">
        <v>2150</v>
      </c>
      <c r="D299" s="88" t="s">
        <v>1089</v>
      </c>
      <c r="E299" s="89" t="s">
        <v>1177</v>
      </c>
      <c r="F299" s="88" t="s">
        <v>666</v>
      </c>
      <c r="G299" s="88" t="s">
        <v>828</v>
      </c>
      <c r="H299" s="89" t="s">
        <v>166</v>
      </c>
      <c r="I299" s="90" t="s">
        <v>18</v>
      </c>
      <c r="J299" s="88"/>
      <c r="K299" s="91" t="s">
        <v>708</v>
      </c>
      <c r="L299" s="91" t="str">
        <f t="shared" si="8"/>
        <v>_</v>
      </c>
      <c r="M299" s="112">
        <f>ROUND(Tableau1[[#This Row],[LEN]]*7.27,0)</f>
        <v>36</v>
      </c>
      <c r="N299" s="112">
        <v>15</v>
      </c>
      <c r="O299" s="129" t="str">
        <f t="shared" si="9"/>
        <v>_self</v>
      </c>
      <c r="P299" s="112">
        <f>LEN(Tableau1[[#This Row],[LABEL]])</f>
        <v>5</v>
      </c>
      <c r="Q299" s="112">
        <v>15</v>
      </c>
      <c r="R299" s="112" t="e">
        <f>ROUND(Tableau1[[#This Row],[LEN]]*#REF!+#REF!,0)</f>
        <v>#REF!</v>
      </c>
    </row>
    <row r="300" spans="1:18" s="97" customFormat="1" hidden="1" x14ac:dyDescent="0.25">
      <c r="A300" s="86" t="s">
        <v>1140</v>
      </c>
      <c r="B300" s="87" t="s">
        <v>1135</v>
      </c>
      <c r="C300" s="425" t="s">
        <v>2150</v>
      </c>
      <c r="D300" s="88" t="s">
        <v>1090</v>
      </c>
      <c r="E300" s="89" t="s">
        <v>1177</v>
      </c>
      <c r="F300" s="88" t="s">
        <v>666</v>
      </c>
      <c r="G300" s="88" t="s">
        <v>828</v>
      </c>
      <c r="H300" s="89" t="s">
        <v>166</v>
      </c>
      <c r="I300" s="90" t="s">
        <v>18</v>
      </c>
      <c r="J300" s="88"/>
      <c r="K300" s="91" t="s">
        <v>708</v>
      </c>
      <c r="L300" s="91" t="str">
        <f t="shared" si="8"/>
        <v>_</v>
      </c>
      <c r="M300" s="112">
        <f>ROUND(Tableau1[[#This Row],[LEN]]*7.27,0)</f>
        <v>29</v>
      </c>
      <c r="N300" s="112">
        <v>15</v>
      </c>
      <c r="O300" s="129" t="str">
        <f t="shared" si="9"/>
        <v>_self</v>
      </c>
      <c r="P300" s="112">
        <f>LEN(Tableau1[[#This Row],[LABEL]])</f>
        <v>4</v>
      </c>
      <c r="Q300" s="112">
        <v>15</v>
      </c>
      <c r="R300" s="112" t="e">
        <f>ROUND(Tableau1[[#This Row],[LEN]]*#REF!+#REF!,0)</f>
        <v>#REF!</v>
      </c>
    </row>
    <row r="301" spans="1:18" s="97" customFormat="1" hidden="1" x14ac:dyDescent="0.25">
      <c r="A301" s="86" t="s">
        <v>1141</v>
      </c>
      <c r="B301" s="87" t="s">
        <v>1135</v>
      </c>
      <c r="C301" s="425" t="s">
        <v>2150</v>
      </c>
      <c r="D301" s="88" t="s">
        <v>1091</v>
      </c>
      <c r="E301" s="89" t="s">
        <v>1177</v>
      </c>
      <c r="F301" s="88" t="s">
        <v>666</v>
      </c>
      <c r="G301" s="88" t="s">
        <v>828</v>
      </c>
      <c r="H301" s="89" t="s">
        <v>166</v>
      </c>
      <c r="I301" s="90" t="s">
        <v>18</v>
      </c>
      <c r="J301" s="88"/>
      <c r="K301" s="91" t="s">
        <v>708</v>
      </c>
      <c r="L301" s="91" t="str">
        <f t="shared" si="8"/>
        <v>_</v>
      </c>
      <c r="M301" s="112">
        <f>ROUND(Tableau1[[#This Row],[LEN]]*7.27,0)</f>
        <v>102</v>
      </c>
      <c r="N301" s="112">
        <v>15</v>
      </c>
      <c r="O301" s="129" t="str">
        <f t="shared" si="9"/>
        <v>_self</v>
      </c>
      <c r="P301" s="112">
        <f>LEN(Tableau1[[#This Row],[LABEL]])</f>
        <v>14</v>
      </c>
      <c r="Q301" s="112">
        <v>15</v>
      </c>
      <c r="R301" s="112" t="e">
        <f>ROUND(Tableau1[[#This Row],[LEN]]*#REF!+#REF!,0)</f>
        <v>#REF!</v>
      </c>
    </row>
    <row r="302" spans="1:18" s="97" customFormat="1" hidden="1" x14ac:dyDescent="0.25">
      <c r="A302" s="86" t="s">
        <v>1142</v>
      </c>
      <c r="B302" s="212" t="s">
        <v>1135</v>
      </c>
      <c r="C302" s="425" t="s">
        <v>2150</v>
      </c>
      <c r="D302" s="88" t="s">
        <v>1092</v>
      </c>
      <c r="E302" s="89" t="s">
        <v>1177</v>
      </c>
      <c r="F302" s="88" t="s">
        <v>666</v>
      </c>
      <c r="G302" s="88" t="s">
        <v>828</v>
      </c>
      <c r="H302" s="89" t="s">
        <v>166</v>
      </c>
      <c r="I302" s="90" t="s">
        <v>18</v>
      </c>
      <c r="J302" s="88"/>
      <c r="K302" s="91" t="s">
        <v>708</v>
      </c>
      <c r="L302" s="91" t="str">
        <f t="shared" si="8"/>
        <v>_</v>
      </c>
      <c r="M302" s="112">
        <f>ROUND(Tableau1[[#This Row],[LEN]]*7.27,0)</f>
        <v>153</v>
      </c>
      <c r="N302" s="112">
        <v>15</v>
      </c>
      <c r="O302" s="129" t="str">
        <f t="shared" si="9"/>
        <v>_self</v>
      </c>
      <c r="P302" s="112">
        <f>LEN(Tableau1[[#This Row],[LABEL]])</f>
        <v>21</v>
      </c>
      <c r="Q302" s="112">
        <v>15</v>
      </c>
      <c r="R302" s="112" t="e">
        <f>ROUND(Tableau1[[#This Row],[LEN]]*#REF!+#REF!,0)</f>
        <v>#REF!</v>
      </c>
    </row>
    <row r="303" spans="1:18" s="97" customFormat="1" hidden="1" x14ac:dyDescent="0.25">
      <c r="A303" s="86" t="s">
        <v>1143</v>
      </c>
      <c r="B303" s="212" t="s">
        <v>1135</v>
      </c>
      <c r="C303" s="425" t="s">
        <v>2150</v>
      </c>
      <c r="D303" s="88" t="s">
        <v>1093</v>
      </c>
      <c r="E303" s="89" t="s">
        <v>1177</v>
      </c>
      <c r="F303" s="88" t="s">
        <v>666</v>
      </c>
      <c r="G303" s="88" t="s">
        <v>828</v>
      </c>
      <c r="H303" s="89" t="s">
        <v>166</v>
      </c>
      <c r="I303" s="90" t="s">
        <v>18</v>
      </c>
      <c r="J303" s="88"/>
      <c r="K303" s="91" t="s">
        <v>708</v>
      </c>
      <c r="L303" s="91" t="str">
        <f t="shared" si="8"/>
        <v>_</v>
      </c>
      <c r="M303" s="112">
        <f>ROUND(Tableau1[[#This Row],[LEN]]*7.27,0)</f>
        <v>269</v>
      </c>
      <c r="N303" s="112">
        <v>15</v>
      </c>
      <c r="O303" s="129" t="str">
        <f t="shared" si="9"/>
        <v>_self</v>
      </c>
      <c r="P303" s="112">
        <f>LEN(Tableau1[[#This Row],[LABEL]])</f>
        <v>37</v>
      </c>
      <c r="Q303" s="112">
        <v>15</v>
      </c>
      <c r="R303" s="112" t="e">
        <f>ROUND(Tableau1[[#This Row],[LEN]]*#REF!+#REF!,0)</f>
        <v>#REF!</v>
      </c>
    </row>
    <row r="304" spans="1:18" s="97" customFormat="1" hidden="1" x14ac:dyDescent="0.25">
      <c r="A304" s="29" t="s">
        <v>1136</v>
      </c>
      <c r="B304" s="30" t="s">
        <v>1117</v>
      </c>
      <c r="C304" s="425" t="s">
        <v>2150</v>
      </c>
      <c r="D304" s="31" t="s">
        <v>1087</v>
      </c>
      <c r="E304" s="71" t="s">
        <v>1177</v>
      </c>
      <c r="F304" s="31" t="s">
        <v>666</v>
      </c>
      <c r="G304" s="31" t="s">
        <v>828</v>
      </c>
      <c r="H304" s="71" t="s">
        <v>166</v>
      </c>
      <c r="I304" s="71" t="s">
        <v>655</v>
      </c>
      <c r="J304" s="31"/>
      <c r="K304" s="32" t="s">
        <v>708</v>
      </c>
      <c r="L304" s="32" t="str">
        <f t="shared" si="8"/>
        <v>_</v>
      </c>
      <c r="M304" s="111">
        <f>ROUND(Tableau1[[#This Row],[LEN]]*7.27,0)</f>
        <v>109</v>
      </c>
      <c r="N304" s="111">
        <v>15</v>
      </c>
      <c r="O304" s="128" t="str">
        <f t="shared" si="9"/>
        <v>_self</v>
      </c>
      <c r="P304" s="111">
        <f>LEN(Tableau1[[#This Row],[LABEL]])</f>
        <v>15</v>
      </c>
      <c r="Q304" s="111">
        <v>15</v>
      </c>
      <c r="R304" s="111" t="e">
        <f>ROUND(Tableau1[[#This Row],[LEN]]*#REF!+#REF!,0)</f>
        <v>#REF!</v>
      </c>
    </row>
    <row r="305" spans="1:18" s="97" customFormat="1" hidden="1" x14ac:dyDescent="0.25">
      <c r="A305" s="86" t="s">
        <v>1144</v>
      </c>
      <c r="B305" s="87" t="s">
        <v>1136</v>
      </c>
      <c r="C305" s="425" t="s">
        <v>2150</v>
      </c>
      <c r="D305" s="88" t="s">
        <v>1100</v>
      </c>
      <c r="E305" s="89" t="s">
        <v>1177</v>
      </c>
      <c r="F305" s="88" t="s">
        <v>666</v>
      </c>
      <c r="G305" s="88" t="s">
        <v>828</v>
      </c>
      <c r="H305" s="89" t="s">
        <v>166</v>
      </c>
      <c r="I305" s="90" t="s">
        <v>18</v>
      </c>
      <c r="J305" s="88"/>
      <c r="K305" s="91" t="s">
        <v>708</v>
      </c>
      <c r="L305" s="91" t="str">
        <f t="shared" si="8"/>
        <v>_</v>
      </c>
      <c r="M305" s="112">
        <f>ROUND(Tableau1[[#This Row],[LEN]]*7.27,0)</f>
        <v>22</v>
      </c>
      <c r="N305" s="112">
        <v>15</v>
      </c>
      <c r="O305" s="129" t="str">
        <f t="shared" si="9"/>
        <v>_self</v>
      </c>
      <c r="P305" s="112">
        <f>LEN(Tableau1[[#This Row],[LABEL]])</f>
        <v>3</v>
      </c>
      <c r="Q305" s="112">
        <v>15</v>
      </c>
      <c r="R305" s="112" t="e">
        <f>ROUND(Tableau1[[#This Row],[LEN]]*#REF!+#REF!,0)</f>
        <v>#REF!</v>
      </c>
    </row>
    <row r="306" spans="1:18" s="97" customFormat="1" hidden="1" x14ac:dyDescent="0.25">
      <c r="A306" s="86" t="s">
        <v>1145</v>
      </c>
      <c r="B306" s="87" t="s">
        <v>1136</v>
      </c>
      <c r="C306" s="425" t="s">
        <v>2150</v>
      </c>
      <c r="D306" s="88" t="s">
        <v>1101</v>
      </c>
      <c r="E306" s="89" t="s">
        <v>1177</v>
      </c>
      <c r="F306" s="88" t="s">
        <v>666</v>
      </c>
      <c r="G306" s="88" t="s">
        <v>828</v>
      </c>
      <c r="H306" s="89" t="s">
        <v>166</v>
      </c>
      <c r="I306" s="90" t="s">
        <v>18</v>
      </c>
      <c r="J306" s="88"/>
      <c r="K306" s="91" t="s">
        <v>708</v>
      </c>
      <c r="L306" s="91" t="str">
        <f t="shared" si="8"/>
        <v>_</v>
      </c>
      <c r="M306" s="112">
        <f>ROUND(Tableau1[[#This Row],[LEN]]*7.27,0)</f>
        <v>36</v>
      </c>
      <c r="N306" s="112">
        <v>15</v>
      </c>
      <c r="O306" s="129" t="str">
        <f t="shared" si="9"/>
        <v>_self</v>
      </c>
      <c r="P306" s="112">
        <f>LEN(Tableau1[[#This Row],[LABEL]])</f>
        <v>5</v>
      </c>
      <c r="Q306" s="112">
        <v>15</v>
      </c>
      <c r="R306" s="112" t="e">
        <f>ROUND(Tableau1[[#This Row],[LEN]]*#REF!+#REF!,0)</f>
        <v>#REF!</v>
      </c>
    </row>
    <row r="307" spans="1:18" s="97" customFormat="1" hidden="1" x14ac:dyDescent="0.25">
      <c r="A307" s="86" t="s">
        <v>1146</v>
      </c>
      <c r="B307" s="87" t="s">
        <v>1136</v>
      </c>
      <c r="C307" s="425" t="s">
        <v>2150</v>
      </c>
      <c r="D307" s="88" t="s">
        <v>812</v>
      </c>
      <c r="E307" s="89" t="s">
        <v>1177</v>
      </c>
      <c r="F307" s="88" t="s">
        <v>666</v>
      </c>
      <c r="G307" s="88" t="s">
        <v>828</v>
      </c>
      <c r="H307" s="89" t="s">
        <v>166</v>
      </c>
      <c r="I307" s="90" t="s">
        <v>18</v>
      </c>
      <c r="J307" s="88"/>
      <c r="K307" s="91" t="s">
        <v>708</v>
      </c>
      <c r="L307" s="91" t="str">
        <f t="shared" si="8"/>
        <v>_</v>
      </c>
      <c r="M307" s="112">
        <f>ROUND(Tableau1[[#This Row],[LEN]]*7.27,0)</f>
        <v>131</v>
      </c>
      <c r="N307" s="112">
        <v>15</v>
      </c>
      <c r="O307" s="129" t="str">
        <f t="shared" si="9"/>
        <v>_self</v>
      </c>
      <c r="P307" s="112">
        <f>LEN(Tableau1[[#This Row],[LABEL]])</f>
        <v>18</v>
      </c>
      <c r="Q307" s="112">
        <v>15</v>
      </c>
      <c r="R307" s="112" t="e">
        <f>ROUND(Tableau1[[#This Row],[LEN]]*#REF!+#REF!,0)</f>
        <v>#REF!</v>
      </c>
    </row>
    <row r="308" spans="1:18" s="97" customFormat="1" hidden="1" x14ac:dyDescent="0.25">
      <c r="A308" s="29" t="s">
        <v>1137</v>
      </c>
      <c r="B308" s="30" t="s">
        <v>1117</v>
      </c>
      <c r="C308" s="425" t="s">
        <v>2150</v>
      </c>
      <c r="D308" s="31" t="s">
        <v>15</v>
      </c>
      <c r="E308" s="71" t="s">
        <v>1177</v>
      </c>
      <c r="F308" s="31" t="s">
        <v>666</v>
      </c>
      <c r="G308" s="31" t="s">
        <v>828</v>
      </c>
      <c r="H308" s="71" t="s">
        <v>166</v>
      </c>
      <c r="I308" s="71" t="s">
        <v>655</v>
      </c>
      <c r="J308" s="31"/>
      <c r="K308" s="32" t="s">
        <v>708</v>
      </c>
      <c r="L308" s="32" t="str">
        <f t="shared" si="8"/>
        <v>_</v>
      </c>
      <c r="M308" s="111">
        <f>ROUND(Tableau1[[#This Row],[LEN]]*7.27,0)</f>
        <v>174</v>
      </c>
      <c r="N308" s="111">
        <v>15</v>
      </c>
      <c r="O308" s="128" t="str">
        <f t="shared" si="9"/>
        <v>_self</v>
      </c>
      <c r="P308" s="111">
        <f>LEN(Tableau1[[#This Row],[LABEL]])</f>
        <v>24</v>
      </c>
      <c r="Q308" s="111">
        <v>15</v>
      </c>
      <c r="R308" s="111" t="e">
        <f>ROUND(Tableau1[[#This Row],[LEN]]*#REF!+#REF!,0)</f>
        <v>#REF!</v>
      </c>
    </row>
    <row r="309" spans="1:18" s="97" customFormat="1" hidden="1" x14ac:dyDescent="0.25">
      <c r="A309" s="86" t="s">
        <v>1147</v>
      </c>
      <c r="B309" s="87" t="s">
        <v>1137</v>
      </c>
      <c r="C309" s="425" t="s">
        <v>2150</v>
      </c>
      <c r="D309" s="88" t="s">
        <v>1100</v>
      </c>
      <c r="E309" s="89" t="s">
        <v>1177</v>
      </c>
      <c r="F309" s="88" t="s">
        <v>666</v>
      </c>
      <c r="G309" s="88" t="s">
        <v>828</v>
      </c>
      <c r="H309" s="89" t="s">
        <v>166</v>
      </c>
      <c r="I309" s="90" t="s">
        <v>18</v>
      </c>
      <c r="J309" s="88"/>
      <c r="K309" s="91" t="s">
        <v>708</v>
      </c>
      <c r="L309" s="91" t="str">
        <f t="shared" si="8"/>
        <v>_</v>
      </c>
      <c r="M309" s="112">
        <f>ROUND(Tableau1[[#This Row],[LEN]]*7.27,0)</f>
        <v>22</v>
      </c>
      <c r="N309" s="112">
        <v>15</v>
      </c>
      <c r="O309" s="129" t="str">
        <f t="shared" si="9"/>
        <v>_self</v>
      </c>
      <c r="P309" s="112">
        <f>LEN(Tableau1[[#This Row],[LABEL]])</f>
        <v>3</v>
      </c>
      <c r="Q309" s="112">
        <v>15</v>
      </c>
      <c r="R309" s="112" t="e">
        <f>ROUND(Tableau1[[#This Row],[LEN]]*#REF!+#REF!,0)</f>
        <v>#REF!</v>
      </c>
    </row>
    <row r="310" spans="1:18" s="97" customFormat="1" hidden="1" x14ac:dyDescent="0.25">
      <c r="A310" s="86" t="s">
        <v>1148</v>
      </c>
      <c r="B310" s="87" t="s">
        <v>1137</v>
      </c>
      <c r="C310" s="425" t="s">
        <v>2150</v>
      </c>
      <c r="D310" s="88" t="s">
        <v>807</v>
      </c>
      <c r="E310" s="89" t="s">
        <v>1177</v>
      </c>
      <c r="F310" s="88" t="s">
        <v>666</v>
      </c>
      <c r="G310" s="88" t="s">
        <v>828</v>
      </c>
      <c r="H310" s="89" t="s">
        <v>166</v>
      </c>
      <c r="I310" s="90" t="s">
        <v>18</v>
      </c>
      <c r="J310" s="88"/>
      <c r="K310" s="91" t="s">
        <v>708</v>
      </c>
      <c r="L310" s="91" t="str">
        <f t="shared" si="8"/>
        <v>_</v>
      </c>
      <c r="M310" s="112">
        <f>ROUND(Tableau1[[#This Row],[LEN]]*7.27,0)</f>
        <v>218</v>
      </c>
      <c r="N310" s="112">
        <v>15</v>
      </c>
      <c r="O310" s="129" t="str">
        <f t="shared" si="9"/>
        <v>_self</v>
      </c>
      <c r="P310" s="112">
        <f>LEN(Tableau1[[#This Row],[LABEL]])</f>
        <v>30</v>
      </c>
      <c r="Q310" s="112">
        <v>15</v>
      </c>
      <c r="R310" s="112" t="e">
        <f>ROUND(Tableau1[[#This Row],[LEN]]*#REF!+#REF!,0)</f>
        <v>#REF!</v>
      </c>
    </row>
    <row r="311" spans="1:18" s="97" customFormat="1" hidden="1" x14ac:dyDescent="0.25">
      <c r="A311" s="86" t="s">
        <v>1149</v>
      </c>
      <c r="B311" s="87" t="s">
        <v>1137</v>
      </c>
      <c r="C311" s="425" t="s">
        <v>2150</v>
      </c>
      <c r="D311" s="88" t="s">
        <v>1112</v>
      </c>
      <c r="E311" s="89" t="s">
        <v>1177</v>
      </c>
      <c r="F311" s="88" t="s">
        <v>666</v>
      </c>
      <c r="G311" s="88" t="s">
        <v>828</v>
      </c>
      <c r="H311" s="89" t="s">
        <v>166</v>
      </c>
      <c r="I311" s="90" t="s">
        <v>18</v>
      </c>
      <c r="J311" s="88"/>
      <c r="K311" s="91" t="s">
        <v>708</v>
      </c>
      <c r="L311" s="91" t="str">
        <f t="shared" si="8"/>
        <v>_</v>
      </c>
      <c r="M311" s="112">
        <f>ROUND(Tableau1[[#This Row],[LEN]]*7.27,0)</f>
        <v>240</v>
      </c>
      <c r="N311" s="112">
        <v>15</v>
      </c>
      <c r="O311" s="129" t="str">
        <f t="shared" si="9"/>
        <v>_self</v>
      </c>
      <c r="P311" s="112">
        <f>LEN(Tableau1[[#This Row],[LABEL]])</f>
        <v>33</v>
      </c>
      <c r="Q311" s="112">
        <v>15</v>
      </c>
      <c r="R311" s="112" t="e">
        <f>ROUND(Tableau1[[#This Row],[LEN]]*#REF!+#REF!,0)</f>
        <v>#REF!</v>
      </c>
    </row>
    <row r="312" spans="1:18" s="97" customFormat="1" hidden="1" x14ac:dyDescent="0.25">
      <c r="A312" s="86" t="s">
        <v>1150</v>
      </c>
      <c r="B312" s="87" t="s">
        <v>1137</v>
      </c>
      <c r="C312" s="425" t="s">
        <v>2150</v>
      </c>
      <c r="D312" s="88" t="s">
        <v>1113</v>
      </c>
      <c r="E312" s="89" t="s">
        <v>1177</v>
      </c>
      <c r="F312" s="88" t="s">
        <v>666</v>
      </c>
      <c r="G312" s="88" t="s">
        <v>828</v>
      </c>
      <c r="H312" s="89" t="s">
        <v>166</v>
      </c>
      <c r="I312" s="90" t="s">
        <v>18</v>
      </c>
      <c r="J312" s="88"/>
      <c r="K312" s="91" t="s">
        <v>708</v>
      </c>
      <c r="L312" s="91" t="str">
        <f t="shared" si="8"/>
        <v>_</v>
      </c>
      <c r="M312" s="112">
        <f>ROUND(Tableau1[[#This Row],[LEN]]*7.27,0)</f>
        <v>116</v>
      </c>
      <c r="N312" s="112">
        <v>15</v>
      </c>
      <c r="O312" s="129" t="str">
        <f t="shared" si="9"/>
        <v>_self</v>
      </c>
      <c r="P312" s="112">
        <f>LEN(Tableau1[[#This Row],[LABEL]])</f>
        <v>16</v>
      </c>
      <c r="Q312" s="112">
        <v>15</v>
      </c>
      <c r="R312" s="112" t="e">
        <f>ROUND(Tableau1[[#This Row],[LEN]]*#REF!+#REF!,0)</f>
        <v>#REF!</v>
      </c>
    </row>
    <row r="313" spans="1:18" s="97" customFormat="1" hidden="1" x14ac:dyDescent="0.25">
      <c r="A313" s="86" t="s">
        <v>1151</v>
      </c>
      <c r="B313" s="87" t="s">
        <v>1137</v>
      </c>
      <c r="C313" s="425" t="s">
        <v>2150</v>
      </c>
      <c r="D313" s="88" t="s">
        <v>1114</v>
      </c>
      <c r="E313" s="89" t="s">
        <v>1177</v>
      </c>
      <c r="F313" s="88" t="s">
        <v>666</v>
      </c>
      <c r="G313" s="88" t="s">
        <v>828</v>
      </c>
      <c r="H313" s="89" t="s">
        <v>166</v>
      </c>
      <c r="I313" s="90" t="s">
        <v>18</v>
      </c>
      <c r="J313" s="88"/>
      <c r="K313" s="91" t="s">
        <v>708</v>
      </c>
      <c r="L313" s="91" t="str">
        <f t="shared" si="8"/>
        <v>_</v>
      </c>
      <c r="M313" s="112">
        <f>ROUND(Tableau1[[#This Row],[LEN]]*7.27,0)</f>
        <v>116</v>
      </c>
      <c r="N313" s="112">
        <v>15</v>
      </c>
      <c r="O313" s="129" t="str">
        <f t="shared" si="9"/>
        <v>_self</v>
      </c>
      <c r="P313" s="112">
        <f>LEN(Tableau1[[#This Row],[LABEL]])</f>
        <v>16</v>
      </c>
      <c r="Q313" s="112">
        <v>15</v>
      </c>
      <c r="R313" s="112" t="e">
        <f>ROUND(Tableau1[[#This Row],[LEN]]*#REF!+#REF!,0)</f>
        <v>#REF!</v>
      </c>
    </row>
    <row r="314" spans="1:18" s="97" customFormat="1" hidden="1" x14ac:dyDescent="0.25">
      <c r="A314" s="86" t="s">
        <v>1152</v>
      </c>
      <c r="B314" s="87" t="s">
        <v>1137</v>
      </c>
      <c r="C314" s="425" t="s">
        <v>2150</v>
      </c>
      <c r="D314" s="88" t="s">
        <v>806</v>
      </c>
      <c r="E314" s="89" t="s">
        <v>1177</v>
      </c>
      <c r="F314" s="88" t="s">
        <v>666</v>
      </c>
      <c r="G314" s="88" t="s">
        <v>828</v>
      </c>
      <c r="H314" s="89" t="s">
        <v>166</v>
      </c>
      <c r="I314" s="90" t="s">
        <v>18</v>
      </c>
      <c r="J314" s="88"/>
      <c r="K314" s="91" t="s">
        <v>708</v>
      </c>
      <c r="L314" s="91" t="str">
        <f t="shared" si="8"/>
        <v>_</v>
      </c>
      <c r="M314" s="112">
        <f>ROUND(Tableau1[[#This Row],[LEN]]*7.27,0)</f>
        <v>174</v>
      </c>
      <c r="N314" s="112">
        <v>15</v>
      </c>
      <c r="O314" s="129" t="str">
        <f t="shared" si="9"/>
        <v>_self</v>
      </c>
      <c r="P314" s="112">
        <f>LEN(Tableau1[[#This Row],[LABEL]])</f>
        <v>24</v>
      </c>
      <c r="Q314" s="112">
        <v>15</v>
      </c>
      <c r="R314" s="112" t="e">
        <f>ROUND(Tableau1[[#This Row],[LEN]]*#REF!+#REF!,0)</f>
        <v>#REF!</v>
      </c>
    </row>
    <row r="315" spans="1:18" s="97" customFormat="1" hidden="1" x14ac:dyDescent="0.25">
      <c r="A315" s="86" t="s">
        <v>1153</v>
      </c>
      <c r="B315" s="87" t="s">
        <v>1137</v>
      </c>
      <c r="C315" s="425" t="s">
        <v>2150</v>
      </c>
      <c r="D315" s="88" t="s">
        <v>812</v>
      </c>
      <c r="E315" s="89" t="s">
        <v>1177</v>
      </c>
      <c r="F315" s="88" t="s">
        <v>666</v>
      </c>
      <c r="G315" s="88" t="s">
        <v>828</v>
      </c>
      <c r="H315" s="89" t="s">
        <v>166</v>
      </c>
      <c r="I315" s="90" t="s">
        <v>18</v>
      </c>
      <c r="J315" s="88"/>
      <c r="K315" s="91" t="s">
        <v>708</v>
      </c>
      <c r="L315" s="91" t="str">
        <f t="shared" si="8"/>
        <v>_</v>
      </c>
      <c r="M315" s="112">
        <f>ROUND(Tableau1[[#This Row],[LEN]]*7.27,0)</f>
        <v>131</v>
      </c>
      <c r="N315" s="112">
        <v>15</v>
      </c>
      <c r="O315" s="129" t="str">
        <f t="shared" si="9"/>
        <v>_self</v>
      </c>
      <c r="P315" s="112">
        <f>LEN(Tableau1[[#This Row],[LABEL]])</f>
        <v>18</v>
      </c>
      <c r="Q315" s="112">
        <v>15</v>
      </c>
      <c r="R315" s="112" t="e">
        <f>ROUND(Tableau1[[#This Row],[LEN]]*#REF!+#REF!,0)</f>
        <v>#REF!</v>
      </c>
    </row>
    <row r="316" spans="1:18" s="97" customFormat="1" hidden="1" x14ac:dyDescent="0.25">
      <c r="A316" s="25" t="s">
        <v>1118</v>
      </c>
      <c r="B316" s="26" t="s">
        <v>253</v>
      </c>
      <c r="C316" s="425" t="s">
        <v>2150</v>
      </c>
      <c r="D316" s="27" t="s">
        <v>1127</v>
      </c>
      <c r="E316" s="70" t="s">
        <v>1177</v>
      </c>
      <c r="F316" s="27" t="s">
        <v>667</v>
      </c>
      <c r="G316" s="27" t="s">
        <v>1132</v>
      </c>
      <c r="H316" s="70" t="s">
        <v>166</v>
      </c>
      <c r="I316" s="70" t="s">
        <v>654</v>
      </c>
      <c r="J316" s="27"/>
      <c r="K316" s="28" t="s">
        <v>708</v>
      </c>
      <c r="L316" s="28" t="str">
        <f t="shared" si="8"/>
        <v>_</v>
      </c>
      <c r="M316" s="109">
        <f>ROUND(Tableau1[[#This Row],[LEN]]*7.27,0)</f>
        <v>291</v>
      </c>
      <c r="N316" s="109">
        <v>15</v>
      </c>
      <c r="O316" s="127" t="str">
        <f t="shared" si="9"/>
        <v>_self</v>
      </c>
      <c r="P316" s="109">
        <f>LEN(Tableau1[[#This Row],[LABEL]])</f>
        <v>40</v>
      </c>
      <c r="Q316" s="109">
        <v>15</v>
      </c>
      <c r="R316" s="109" t="e">
        <f>ROUND(Tableau1[[#This Row],[LEN]]*#REF!+#REF!,0)</f>
        <v>#REF!</v>
      </c>
    </row>
    <row r="317" spans="1:18" s="97" customFormat="1" hidden="1" x14ac:dyDescent="0.25">
      <c r="A317" s="25" t="s">
        <v>1119</v>
      </c>
      <c r="B317" s="26" t="s">
        <v>253</v>
      </c>
      <c r="C317" s="425" t="s">
        <v>2150</v>
      </c>
      <c r="D317" s="27" t="s">
        <v>1128</v>
      </c>
      <c r="E317" s="70" t="s">
        <v>1177</v>
      </c>
      <c r="F317" s="27" t="s">
        <v>667</v>
      </c>
      <c r="G317" s="27" t="s">
        <v>1177</v>
      </c>
      <c r="H317" s="70" t="s">
        <v>166</v>
      </c>
      <c r="I317" s="70" t="s">
        <v>656</v>
      </c>
      <c r="J317" s="27"/>
      <c r="K317" s="28" t="s">
        <v>708</v>
      </c>
      <c r="L317" s="28" t="str">
        <f t="shared" si="8"/>
        <v>_</v>
      </c>
      <c r="M317" s="109">
        <f>ROUND(Tableau1[[#This Row],[LEN]]*7.27,0)</f>
        <v>422</v>
      </c>
      <c r="N317" s="109">
        <v>15</v>
      </c>
      <c r="O317" s="127" t="str">
        <f t="shared" si="9"/>
        <v>_self</v>
      </c>
      <c r="P317" s="109">
        <f>LEN(Tableau1[[#This Row],[LABEL]])</f>
        <v>58</v>
      </c>
      <c r="Q317" s="109">
        <v>15</v>
      </c>
      <c r="R317" s="109" t="e">
        <f>ROUND(Tableau1[[#This Row],[LEN]]*#REF!+#REF!,0)</f>
        <v>#REF!</v>
      </c>
    </row>
    <row r="318" spans="1:18" s="97" customFormat="1" hidden="1" x14ac:dyDescent="0.25">
      <c r="A318" s="25" t="s">
        <v>1120</v>
      </c>
      <c r="B318" s="26" t="s">
        <v>253</v>
      </c>
      <c r="C318" s="425" t="s">
        <v>2150</v>
      </c>
      <c r="D318" s="27" t="s">
        <v>1154</v>
      </c>
      <c r="E318" s="70" t="s">
        <v>1177</v>
      </c>
      <c r="F318" s="27" t="s">
        <v>667</v>
      </c>
      <c r="G318" s="27" t="s">
        <v>1133</v>
      </c>
      <c r="H318" s="70" t="s">
        <v>166</v>
      </c>
      <c r="I318" s="70" t="s">
        <v>18</v>
      </c>
      <c r="J318" s="27"/>
      <c r="K318" s="28" t="s">
        <v>102</v>
      </c>
      <c r="L318" s="28" t="str">
        <f t="shared" si="8"/>
        <v>Documentation</v>
      </c>
      <c r="M318" s="109">
        <f>ROUND(Tableau1[[#This Row],[LEN]]*7.27,0)</f>
        <v>443</v>
      </c>
      <c r="N318" s="109">
        <v>15</v>
      </c>
      <c r="O318" s="127" t="str">
        <f t="shared" si="9"/>
        <v>_blank</v>
      </c>
      <c r="P318" s="109">
        <f>LEN(Tableau1[[#This Row],[LABEL]])</f>
        <v>61</v>
      </c>
      <c r="Q318" s="109">
        <v>15</v>
      </c>
      <c r="R318" s="109" t="e">
        <f>ROUND(Tableau1[[#This Row],[LEN]]*#REF!+#REF!,0)</f>
        <v>#REF!</v>
      </c>
    </row>
    <row r="319" spans="1:18" s="97" customFormat="1" hidden="1" x14ac:dyDescent="0.25">
      <c r="A319" s="25" t="s">
        <v>1121</v>
      </c>
      <c r="B319" s="26" t="s">
        <v>253</v>
      </c>
      <c r="C319" s="425" t="s">
        <v>2150</v>
      </c>
      <c r="D319" s="27" t="s">
        <v>778</v>
      </c>
      <c r="E319" s="70" t="s">
        <v>1177</v>
      </c>
      <c r="F319" s="27" t="s">
        <v>673</v>
      </c>
      <c r="G319" s="27" t="s">
        <v>2000</v>
      </c>
      <c r="H319" s="70" t="s">
        <v>166</v>
      </c>
      <c r="I319" s="70" t="s">
        <v>17</v>
      </c>
      <c r="J319" s="27"/>
      <c r="K319" s="28" t="s">
        <v>708</v>
      </c>
      <c r="L319" s="28" t="str">
        <f t="shared" si="8"/>
        <v>_</v>
      </c>
      <c r="M319" s="109">
        <f>ROUND(Tableau1[[#This Row],[LEN]]*7.27,0)</f>
        <v>211</v>
      </c>
      <c r="N319" s="109">
        <v>15</v>
      </c>
      <c r="O319" s="127" t="str">
        <f t="shared" si="9"/>
        <v>_self</v>
      </c>
      <c r="P319" s="109">
        <f>LEN(Tableau1[[#This Row],[LABEL]])</f>
        <v>29</v>
      </c>
      <c r="Q319" s="109">
        <v>15</v>
      </c>
      <c r="R319" s="109" t="e">
        <f>ROUND(Tableau1[[#This Row],[LEN]]*#REF!+#REF!,0)</f>
        <v>#REF!</v>
      </c>
    </row>
    <row r="320" spans="1:18" s="97" customFormat="1" hidden="1" x14ac:dyDescent="0.25">
      <c r="A320" s="25" t="s">
        <v>1122</v>
      </c>
      <c r="B320" s="26" t="s">
        <v>253</v>
      </c>
      <c r="C320" s="425" t="s">
        <v>2150</v>
      </c>
      <c r="D320" s="27" t="s">
        <v>92</v>
      </c>
      <c r="E320" s="70" t="s">
        <v>1177</v>
      </c>
      <c r="F320" s="27" t="s">
        <v>663</v>
      </c>
      <c r="G320" s="27" t="s">
        <v>2080</v>
      </c>
      <c r="H320" s="70" t="s">
        <v>166</v>
      </c>
      <c r="I320" s="70" t="s">
        <v>655</v>
      </c>
      <c r="J320" s="27"/>
      <c r="K320" s="28" t="s">
        <v>708</v>
      </c>
      <c r="L320" s="28" t="str">
        <f t="shared" si="8"/>
        <v>_</v>
      </c>
      <c r="M320" s="109">
        <f>ROUND(Tableau1[[#This Row],[LEN]]*7.27,0)</f>
        <v>262</v>
      </c>
      <c r="N320" s="109">
        <v>15</v>
      </c>
      <c r="O320" s="127" t="str">
        <f t="shared" si="9"/>
        <v>_self</v>
      </c>
      <c r="P320" s="109">
        <f>LEN(Tableau1[[#This Row],[LABEL]])</f>
        <v>36</v>
      </c>
      <c r="Q320" s="109">
        <v>15</v>
      </c>
      <c r="R320" s="109" t="e">
        <f>ROUND(Tableau1[[#This Row],[LEN]]*#REF!+#REF!,0)</f>
        <v>#REF!</v>
      </c>
    </row>
    <row r="321" spans="1:18" s="97" customFormat="1" hidden="1" x14ac:dyDescent="0.25">
      <c r="A321" s="29" t="s">
        <v>1155</v>
      </c>
      <c r="B321" s="30" t="s">
        <v>1122</v>
      </c>
      <c r="C321" s="425" t="s">
        <v>2150</v>
      </c>
      <c r="D321" s="31" t="s">
        <v>95</v>
      </c>
      <c r="E321" s="71" t="s">
        <v>1177</v>
      </c>
      <c r="F321" s="31" t="s">
        <v>663</v>
      </c>
      <c r="G321" s="31" t="s">
        <v>2080</v>
      </c>
      <c r="H321" s="71" t="s">
        <v>166</v>
      </c>
      <c r="I321" s="71" t="s">
        <v>17</v>
      </c>
      <c r="J321" s="31"/>
      <c r="K321" s="32" t="s">
        <v>708</v>
      </c>
      <c r="L321" s="32" t="str">
        <f t="shared" si="8"/>
        <v>_</v>
      </c>
      <c r="M321" s="111">
        <f>ROUND(Tableau1[[#This Row],[LEN]]*7.27,0)</f>
        <v>254</v>
      </c>
      <c r="N321" s="111">
        <v>15</v>
      </c>
      <c r="O321" s="128" t="str">
        <f t="shared" si="9"/>
        <v>_self</v>
      </c>
      <c r="P321" s="111">
        <f>LEN(Tableau1[[#This Row],[LABEL]])</f>
        <v>35</v>
      </c>
      <c r="Q321" s="111">
        <v>15</v>
      </c>
      <c r="R321" s="111" t="e">
        <f>ROUND(Tableau1[[#This Row],[LEN]]*#REF!+#REF!,0)</f>
        <v>#REF!</v>
      </c>
    </row>
    <row r="322" spans="1:18" s="97" customFormat="1" hidden="1" x14ac:dyDescent="0.25">
      <c r="A322" s="29" t="s">
        <v>1156</v>
      </c>
      <c r="B322" s="30" t="s">
        <v>1122</v>
      </c>
      <c r="C322" s="425" t="s">
        <v>2150</v>
      </c>
      <c r="D322" s="31" t="s">
        <v>96</v>
      </c>
      <c r="E322" s="71" t="s">
        <v>1177</v>
      </c>
      <c r="F322" s="31" t="s">
        <v>663</v>
      </c>
      <c r="G322" s="31" t="s">
        <v>2080</v>
      </c>
      <c r="H322" s="71" t="s">
        <v>166</v>
      </c>
      <c r="I322" s="71" t="s">
        <v>654</v>
      </c>
      <c r="J322" s="31"/>
      <c r="K322" s="32" t="s">
        <v>708</v>
      </c>
      <c r="L322" s="32" t="str">
        <f t="shared" si="8"/>
        <v>_</v>
      </c>
      <c r="M322" s="111">
        <f>ROUND(Tableau1[[#This Row],[LEN]]*7.27,0)</f>
        <v>233</v>
      </c>
      <c r="N322" s="111">
        <v>15</v>
      </c>
      <c r="O322" s="128" t="str">
        <f t="shared" si="9"/>
        <v>_self</v>
      </c>
      <c r="P322" s="111">
        <f>LEN(Tableau1[[#This Row],[LABEL]])</f>
        <v>32</v>
      </c>
      <c r="Q322" s="111">
        <v>15</v>
      </c>
      <c r="R322" s="111" t="e">
        <f>ROUND(Tableau1[[#This Row],[LEN]]*#REF!+#REF!,0)</f>
        <v>#REF!</v>
      </c>
    </row>
    <row r="323" spans="1:18" s="97" customFormat="1" hidden="1" x14ac:dyDescent="0.25">
      <c r="A323" s="29" t="s">
        <v>1157</v>
      </c>
      <c r="B323" s="30" t="s">
        <v>1122</v>
      </c>
      <c r="C323" s="425" t="s">
        <v>2150</v>
      </c>
      <c r="D323" s="31" t="s">
        <v>97</v>
      </c>
      <c r="E323" s="71" t="s">
        <v>1177</v>
      </c>
      <c r="F323" s="31" t="s">
        <v>663</v>
      </c>
      <c r="G323" s="31" t="s">
        <v>2080</v>
      </c>
      <c r="H323" s="71" t="s">
        <v>166</v>
      </c>
      <c r="I323" s="71" t="s">
        <v>656</v>
      </c>
      <c r="J323" s="31"/>
      <c r="K323" s="32" t="s">
        <v>708</v>
      </c>
      <c r="L323" s="32" t="str">
        <f t="shared" si="8"/>
        <v>_</v>
      </c>
      <c r="M323" s="111">
        <f>ROUND(Tableau1[[#This Row],[LEN]]*7.27,0)</f>
        <v>145</v>
      </c>
      <c r="N323" s="111">
        <v>15</v>
      </c>
      <c r="O323" s="128" t="str">
        <f t="shared" si="9"/>
        <v>_self</v>
      </c>
      <c r="P323" s="111">
        <f>LEN(Tableau1[[#This Row],[LABEL]])</f>
        <v>20</v>
      </c>
      <c r="Q323" s="111">
        <v>15</v>
      </c>
      <c r="R323" s="111" t="e">
        <f>ROUND(Tableau1[[#This Row],[LEN]]*#REF!+#REF!,0)</f>
        <v>#REF!</v>
      </c>
    </row>
    <row r="324" spans="1:18" s="97" customFormat="1" hidden="1" x14ac:dyDescent="0.25">
      <c r="A324" s="25" t="s">
        <v>1123</v>
      </c>
      <c r="B324" s="26" t="s">
        <v>253</v>
      </c>
      <c r="C324" s="425" t="s">
        <v>2150</v>
      </c>
      <c r="D324" s="27" t="s">
        <v>1129</v>
      </c>
      <c r="E324" s="70" t="s">
        <v>1177</v>
      </c>
      <c r="F324" s="27" t="s">
        <v>667</v>
      </c>
      <c r="G324" s="27" t="s">
        <v>1134</v>
      </c>
      <c r="H324" s="70" t="s">
        <v>166</v>
      </c>
      <c r="I324" s="70" t="s">
        <v>18</v>
      </c>
      <c r="J324" s="27"/>
      <c r="K324" s="28" t="s">
        <v>101</v>
      </c>
      <c r="L324" s="28" t="str">
        <f t="shared" si="8"/>
        <v>Documentation</v>
      </c>
      <c r="M324" s="109">
        <f>ROUND(Tableau1[[#This Row],[LEN]]*7.27,0)</f>
        <v>436</v>
      </c>
      <c r="N324" s="109">
        <v>15</v>
      </c>
      <c r="O324" s="127" t="str">
        <f t="shared" si="9"/>
        <v>_blank</v>
      </c>
      <c r="P324" s="109">
        <f>LEN(Tableau1[[#This Row],[LABEL]])</f>
        <v>60</v>
      </c>
      <c r="Q324" s="109">
        <v>15</v>
      </c>
      <c r="R324" s="109" t="e">
        <f>ROUND(Tableau1[[#This Row],[LEN]]*#REF!+#REF!,0)</f>
        <v>#REF!</v>
      </c>
    </row>
    <row r="325" spans="1:18" s="97" customFormat="1" hidden="1" x14ac:dyDescent="0.25">
      <c r="A325" s="25" t="s">
        <v>1124</v>
      </c>
      <c r="B325" s="26" t="s">
        <v>253</v>
      </c>
      <c r="C325" s="425" t="s">
        <v>2150</v>
      </c>
      <c r="D325" s="27" t="s">
        <v>1130</v>
      </c>
      <c r="E325" s="70" t="s">
        <v>1177</v>
      </c>
      <c r="F325" s="27" t="s">
        <v>667</v>
      </c>
      <c r="G325" s="27" t="s">
        <v>1134</v>
      </c>
      <c r="H325" s="70" t="s">
        <v>166</v>
      </c>
      <c r="I325" s="70" t="s">
        <v>18</v>
      </c>
      <c r="J325" s="27"/>
      <c r="K325" s="28" t="s">
        <v>708</v>
      </c>
      <c r="L325" s="28" t="str">
        <f t="shared" ref="L325:L388" si="10">IF(K325="javascript:void(0)","_","Documentation")</f>
        <v>_</v>
      </c>
      <c r="M325" s="109">
        <f>ROUND(Tableau1[[#This Row],[LEN]]*7.27,0)</f>
        <v>291</v>
      </c>
      <c r="N325" s="109">
        <v>15</v>
      </c>
      <c r="O325" s="127" t="str">
        <f t="shared" si="9"/>
        <v>_self</v>
      </c>
      <c r="P325" s="109">
        <f>LEN(Tableau1[[#This Row],[LABEL]])</f>
        <v>40</v>
      </c>
      <c r="Q325" s="109">
        <v>15</v>
      </c>
      <c r="R325" s="109" t="e">
        <f>ROUND(Tableau1[[#This Row],[LEN]]*#REF!+#REF!,0)</f>
        <v>#REF!</v>
      </c>
    </row>
    <row r="326" spans="1:18" s="97" customFormat="1" hidden="1" x14ac:dyDescent="0.25">
      <c r="A326" s="25" t="s">
        <v>1125</v>
      </c>
      <c r="B326" s="26" t="s">
        <v>253</v>
      </c>
      <c r="C326" s="425" t="s">
        <v>2150</v>
      </c>
      <c r="D326" s="27" t="s">
        <v>1167</v>
      </c>
      <c r="E326" s="70" t="s">
        <v>486</v>
      </c>
      <c r="F326" s="27" t="s">
        <v>1085</v>
      </c>
      <c r="G326" s="27" t="s">
        <v>1084</v>
      </c>
      <c r="H326" s="70" t="s">
        <v>1977</v>
      </c>
      <c r="I326" s="70" t="s">
        <v>1131</v>
      </c>
      <c r="J326" s="27"/>
      <c r="K326" s="28" t="s">
        <v>708</v>
      </c>
      <c r="L326" s="28" t="str">
        <f t="shared" si="10"/>
        <v>_</v>
      </c>
      <c r="M326" s="109">
        <f>ROUND(Tableau1[[#This Row],[LEN]]*7.27,0)</f>
        <v>196</v>
      </c>
      <c r="N326" s="109">
        <v>15</v>
      </c>
      <c r="O326" s="127" t="str">
        <f t="shared" ref="O326:O389" si="11">IF(K326="javascript:void(0)","_self","_blank")</f>
        <v>_self</v>
      </c>
      <c r="P326" s="109">
        <f>LEN(Tableau1[[#This Row],[LABEL]])</f>
        <v>27</v>
      </c>
      <c r="Q326" s="109">
        <v>15</v>
      </c>
      <c r="R326" s="109" t="e">
        <f>ROUND(Tableau1[[#This Row],[LEN]]*#REF!+#REF!,0)</f>
        <v>#REF!</v>
      </c>
    </row>
    <row r="327" spans="1:18" s="97" customFormat="1" hidden="1" x14ac:dyDescent="0.25">
      <c r="A327" s="29" t="s">
        <v>1163</v>
      </c>
      <c r="B327" s="30" t="s">
        <v>1125</v>
      </c>
      <c r="C327" s="425" t="s">
        <v>2150</v>
      </c>
      <c r="D327" s="31" t="s">
        <v>93</v>
      </c>
      <c r="E327" s="71" t="s">
        <v>1177</v>
      </c>
      <c r="F327" s="31" t="s">
        <v>1085</v>
      </c>
      <c r="G327" s="31" t="s">
        <v>1084</v>
      </c>
      <c r="H327" s="71" t="s">
        <v>166</v>
      </c>
      <c r="I327" s="71" t="s">
        <v>18</v>
      </c>
      <c r="J327" s="31"/>
      <c r="K327" s="32" t="s">
        <v>101</v>
      </c>
      <c r="L327" s="32" t="str">
        <f t="shared" si="10"/>
        <v>Documentation</v>
      </c>
      <c r="M327" s="111">
        <f>ROUND(Tableau1[[#This Row],[LEN]]*7.27,0)</f>
        <v>109</v>
      </c>
      <c r="N327" s="111">
        <v>15</v>
      </c>
      <c r="O327" s="128" t="str">
        <f t="shared" si="11"/>
        <v>_blank</v>
      </c>
      <c r="P327" s="111">
        <f>LEN(Tableau1[[#This Row],[LABEL]])</f>
        <v>15</v>
      </c>
      <c r="Q327" s="111">
        <v>15</v>
      </c>
      <c r="R327" s="111" t="e">
        <f>ROUND(Tableau1[[#This Row],[LEN]]*#REF!+#REF!,0)</f>
        <v>#REF!</v>
      </c>
    </row>
    <row r="328" spans="1:18" s="97" customFormat="1" hidden="1" x14ac:dyDescent="0.25">
      <c r="A328" s="29" t="s">
        <v>1164</v>
      </c>
      <c r="B328" s="30" t="s">
        <v>1125</v>
      </c>
      <c r="C328" s="425" t="s">
        <v>2150</v>
      </c>
      <c r="D328" s="31" t="s">
        <v>94</v>
      </c>
      <c r="E328" s="71" t="s">
        <v>1177</v>
      </c>
      <c r="F328" s="31" t="s">
        <v>1085</v>
      </c>
      <c r="G328" s="31" t="s">
        <v>1084</v>
      </c>
      <c r="H328" s="71" t="s">
        <v>166</v>
      </c>
      <c r="I328" s="71" t="s">
        <v>18</v>
      </c>
      <c r="J328" s="31"/>
      <c r="K328" s="32" t="s">
        <v>102</v>
      </c>
      <c r="L328" s="32" t="str">
        <f t="shared" si="10"/>
        <v>Documentation</v>
      </c>
      <c r="M328" s="111">
        <f>ROUND(Tableau1[[#This Row],[LEN]]*7.27,0)</f>
        <v>58</v>
      </c>
      <c r="N328" s="111">
        <v>15</v>
      </c>
      <c r="O328" s="128" t="str">
        <f t="shared" si="11"/>
        <v>_blank</v>
      </c>
      <c r="P328" s="111">
        <f>LEN(Tableau1[[#This Row],[LABEL]])</f>
        <v>8</v>
      </c>
      <c r="Q328" s="111">
        <v>15</v>
      </c>
      <c r="R328" s="111" t="e">
        <f>ROUND(Tableau1[[#This Row],[LEN]]*#REF!+#REF!,0)</f>
        <v>#REF!</v>
      </c>
    </row>
    <row r="329" spans="1:18" s="273" customFormat="1" hidden="1" x14ac:dyDescent="0.25">
      <c r="A329" s="288" t="s">
        <v>254</v>
      </c>
      <c r="B329" s="289" t="s">
        <v>206</v>
      </c>
      <c r="C329" s="425" t="s">
        <v>2150</v>
      </c>
      <c r="D329" s="290" t="s">
        <v>5</v>
      </c>
      <c r="E329" s="291" t="s">
        <v>1177</v>
      </c>
      <c r="F329" s="290" t="s">
        <v>668</v>
      </c>
      <c r="G329" s="290" t="s">
        <v>1177</v>
      </c>
      <c r="H329" s="291" t="s">
        <v>166</v>
      </c>
      <c r="I329" s="291" t="str">
        <f>IFERROR(IF(SEARCH(".00.00.00.00.00",Tableau1[[#This Row],[name]],1)=7,"Division",""),"")</f>
        <v>Division</v>
      </c>
      <c r="J329" s="290"/>
      <c r="K329" s="292" t="s">
        <v>708</v>
      </c>
      <c r="L329" s="292" t="str">
        <f t="shared" si="10"/>
        <v>_</v>
      </c>
      <c r="M329" s="293">
        <f>ROUND(Tableau1[[#This Row],[LEN]]*7.27,0)</f>
        <v>73</v>
      </c>
      <c r="N329" s="293">
        <v>15</v>
      </c>
      <c r="O329" s="294" t="str">
        <f t="shared" si="11"/>
        <v>_self</v>
      </c>
      <c r="P329" s="293">
        <f>LEN(Tableau1[[#This Row],[LABEL]])</f>
        <v>10</v>
      </c>
      <c r="Q329" s="293">
        <v>15</v>
      </c>
      <c r="R329" s="293" t="e">
        <f>ROUND(Tableau1[[#This Row],[LEN]]*#REF!+#REF!,0)</f>
        <v>#REF!</v>
      </c>
    </row>
    <row r="330" spans="1:18" s="97" customFormat="1" hidden="1" x14ac:dyDescent="0.25">
      <c r="A330" s="25" t="s">
        <v>1171</v>
      </c>
      <c r="B330" s="26" t="s">
        <v>254</v>
      </c>
      <c r="C330" s="425" t="s">
        <v>2150</v>
      </c>
      <c r="D330" s="27" t="s">
        <v>1168</v>
      </c>
      <c r="E330" s="70" t="s">
        <v>1177</v>
      </c>
      <c r="F330" s="27" t="s">
        <v>668</v>
      </c>
      <c r="G330" s="27" t="s">
        <v>1178</v>
      </c>
      <c r="H330" s="70" t="s">
        <v>166</v>
      </c>
      <c r="I330" s="70" t="s">
        <v>654</v>
      </c>
      <c r="J330" s="27"/>
      <c r="K330" s="28" t="s">
        <v>708</v>
      </c>
      <c r="L330" s="28" t="str">
        <f t="shared" si="10"/>
        <v>_</v>
      </c>
      <c r="M330" s="109">
        <f>ROUND(Tableau1[[#This Row],[LEN]]*7.27,0)</f>
        <v>262</v>
      </c>
      <c r="N330" s="109">
        <v>15</v>
      </c>
      <c r="O330" s="127" t="str">
        <f t="shared" si="11"/>
        <v>_self</v>
      </c>
      <c r="P330" s="109">
        <f>LEN(Tableau1[[#This Row],[LABEL]])</f>
        <v>36</v>
      </c>
      <c r="Q330" s="109">
        <v>15</v>
      </c>
      <c r="R330" s="109" t="e">
        <f>ROUND(Tableau1[[#This Row],[LEN]]*#REF!+#REF!,0)</f>
        <v>#REF!</v>
      </c>
    </row>
    <row r="331" spans="1:18" s="97" customFormat="1" hidden="1" x14ac:dyDescent="0.25">
      <c r="A331" s="25" t="s">
        <v>1172</v>
      </c>
      <c r="B331" s="26" t="s">
        <v>254</v>
      </c>
      <c r="C331" s="425" t="s">
        <v>2150</v>
      </c>
      <c r="D331" s="27" t="s">
        <v>1170</v>
      </c>
      <c r="E331" s="70" t="s">
        <v>1177</v>
      </c>
      <c r="F331" s="27" t="s">
        <v>667</v>
      </c>
      <c r="G331" s="27" t="s">
        <v>2082</v>
      </c>
      <c r="H331" s="70" t="s">
        <v>166</v>
      </c>
      <c r="I331" s="70" t="s">
        <v>655</v>
      </c>
      <c r="J331" s="27"/>
      <c r="K331" s="28" t="s">
        <v>708</v>
      </c>
      <c r="L331" s="28" t="str">
        <f t="shared" si="10"/>
        <v>_</v>
      </c>
      <c r="M331" s="109">
        <f>ROUND(Tableau1[[#This Row],[LEN]]*7.27,0)</f>
        <v>138</v>
      </c>
      <c r="N331" s="109">
        <v>15</v>
      </c>
      <c r="O331" s="127" t="str">
        <f t="shared" si="11"/>
        <v>_self</v>
      </c>
      <c r="P331" s="109">
        <f>LEN(Tableau1[[#This Row],[LABEL]])</f>
        <v>19</v>
      </c>
      <c r="Q331" s="109">
        <v>15</v>
      </c>
      <c r="R331" s="109" t="e">
        <f>ROUND(Tableau1[[#This Row],[LEN]]*#REF!+#REF!,0)</f>
        <v>#REF!</v>
      </c>
    </row>
    <row r="332" spans="1:18" s="97" customFormat="1" hidden="1" x14ac:dyDescent="0.25">
      <c r="A332" s="29" t="s">
        <v>1180</v>
      </c>
      <c r="B332" s="30" t="s">
        <v>1172</v>
      </c>
      <c r="C332" s="425" t="s">
        <v>2150</v>
      </c>
      <c r="D332" s="31" t="s">
        <v>1184</v>
      </c>
      <c r="E332" s="71" t="s">
        <v>1177</v>
      </c>
      <c r="F332" s="31" t="s">
        <v>667</v>
      </c>
      <c r="G332" s="31" t="s">
        <v>2082</v>
      </c>
      <c r="H332" s="71" t="s">
        <v>166</v>
      </c>
      <c r="I332" s="71" t="s">
        <v>18</v>
      </c>
      <c r="J332" s="31"/>
      <c r="K332" s="32" t="s">
        <v>708</v>
      </c>
      <c r="L332" s="32" t="str">
        <f t="shared" si="10"/>
        <v>_</v>
      </c>
      <c r="M332" s="111">
        <f>ROUND(Tableau1[[#This Row],[LEN]]*7.27,0)</f>
        <v>211</v>
      </c>
      <c r="N332" s="111">
        <v>15</v>
      </c>
      <c r="O332" s="128" t="str">
        <f t="shared" si="11"/>
        <v>_self</v>
      </c>
      <c r="P332" s="111">
        <f>LEN(Tableau1[[#This Row],[LABEL]])</f>
        <v>29</v>
      </c>
      <c r="Q332" s="111">
        <v>15</v>
      </c>
      <c r="R332" s="111" t="e">
        <f>ROUND(Tableau1[[#This Row],[LEN]]*#REF!+#REF!,0)</f>
        <v>#REF!</v>
      </c>
    </row>
    <row r="333" spans="1:18" s="97" customFormat="1" hidden="1" x14ac:dyDescent="0.25">
      <c r="A333" s="29" t="s">
        <v>1181</v>
      </c>
      <c r="B333" s="30" t="s">
        <v>1172</v>
      </c>
      <c r="C333" s="425" t="s">
        <v>2150</v>
      </c>
      <c r="D333" s="31" t="s">
        <v>1185</v>
      </c>
      <c r="E333" s="71" t="s">
        <v>1177</v>
      </c>
      <c r="F333" s="31" t="s">
        <v>667</v>
      </c>
      <c r="G333" s="31" t="s">
        <v>2082</v>
      </c>
      <c r="H333" s="71" t="s">
        <v>166</v>
      </c>
      <c r="I333" s="71" t="s">
        <v>18</v>
      </c>
      <c r="J333" s="31"/>
      <c r="K333" s="32" t="s">
        <v>708</v>
      </c>
      <c r="L333" s="32" t="str">
        <f t="shared" si="10"/>
        <v>_</v>
      </c>
      <c r="M333" s="111">
        <f>ROUND(Tableau1[[#This Row],[LEN]]*7.27,0)</f>
        <v>291</v>
      </c>
      <c r="N333" s="111">
        <v>15</v>
      </c>
      <c r="O333" s="128" t="str">
        <f t="shared" si="11"/>
        <v>_self</v>
      </c>
      <c r="P333" s="111">
        <f>LEN(Tableau1[[#This Row],[LABEL]])</f>
        <v>40</v>
      </c>
      <c r="Q333" s="111">
        <v>15</v>
      </c>
      <c r="R333" s="111" t="e">
        <f>ROUND(Tableau1[[#This Row],[LEN]]*#REF!+#REF!,0)</f>
        <v>#REF!</v>
      </c>
    </row>
    <row r="334" spans="1:18" s="97" customFormat="1" hidden="1" x14ac:dyDescent="0.25">
      <c r="A334" s="29" t="s">
        <v>1182</v>
      </c>
      <c r="B334" s="30" t="s">
        <v>1172</v>
      </c>
      <c r="C334" s="425" t="s">
        <v>2150</v>
      </c>
      <c r="D334" s="31" t="s">
        <v>1186</v>
      </c>
      <c r="E334" s="71" t="s">
        <v>1177</v>
      </c>
      <c r="F334" s="31" t="s">
        <v>667</v>
      </c>
      <c r="G334" s="31" t="s">
        <v>2082</v>
      </c>
      <c r="H334" s="71" t="s">
        <v>166</v>
      </c>
      <c r="I334" s="71" t="s">
        <v>18</v>
      </c>
      <c r="J334" s="31"/>
      <c r="K334" s="32" t="s">
        <v>708</v>
      </c>
      <c r="L334" s="32" t="str">
        <f t="shared" si="10"/>
        <v>_</v>
      </c>
      <c r="M334" s="111">
        <f>ROUND(Tableau1[[#This Row],[LEN]]*7.27,0)</f>
        <v>240</v>
      </c>
      <c r="N334" s="111">
        <v>15</v>
      </c>
      <c r="O334" s="128" t="str">
        <f t="shared" si="11"/>
        <v>_self</v>
      </c>
      <c r="P334" s="111">
        <f>LEN(Tableau1[[#This Row],[LABEL]])</f>
        <v>33</v>
      </c>
      <c r="Q334" s="111">
        <v>15</v>
      </c>
      <c r="R334" s="111" t="e">
        <f>ROUND(Tableau1[[#This Row],[LEN]]*#REF!+#REF!,0)</f>
        <v>#REF!</v>
      </c>
    </row>
    <row r="335" spans="1:18" s="97" customFormat="1" hidden="1" x14ac:dyDescent="0.25">
      <c r="A335" s="29" t="s">
        <v>1183</v>
      </c>
      <c r="B335" s="30" t="s">
        <v>1172</v>
      </c>
      <c r="C335" s="425" t="s">
        <v>2150</v>
      </c>
      <c r="D335" s="31" t="s">
        <v>1187</v>
      </c>
      <c r="E335" s="71" t="s">
        <v>1177</v>
      </c>
      <c r="F335" s="31" t="s">
        <v>667</v>
      </c>
      <c r="G335" s="31" t="s">
        <v>2082</v>
      </c>
      <c r="H335" s="71" t="s">
        <v>166</v>
      </c>
      <c r="I335" s="71" t="s">
        <v>18</v>
      </c>
      <c r="J335" s="31"/>
      <c r="K335" s="32" t="s">
        <v>708</v>
      </c>
      <c r="L335" s="32" t="str">
        <f t="shared" si="10"/>
        <v>_</v>
      </c>
      <c r="M335" s="111">
        <f>ROUND(Tableau1[[#This Row],[LEN]]*7.27,0)</f>
        <v>356</v>
      </c>
      <c r="N335" s="111">
        <v>15</v>
      </c>
      <c r="O335" s="128" t="str">
        <f t="shared" si="11"/>
        <v>_self</v>
      </c>
      <c r="P335" s="111">
        <f>LEN(Tableau1[[#This Row],[LABEL]])</f>
        <v>49</v>
      </c>
      <c r="Q335" s="111">
        <v>15</v>
      </c>
      <c r="R335" s="111" t="e">
        <f>ROUND(Tableau1[[#This Row],[LEN]]*#REF!+#REF!,0)</f>
        <v>#REF!</v>
      </c>
    </row>
    <row r="336" spans="1:18" s="97" customFormat="1" hidden="1" x14ac:dyDescent="0.25">
      <c r="A336" s="25" t="s">
        <v>1173</v>
      </c>
      <c r="B336" s="26" t="s">
        <v>254</v>
      </c>
      <c r="C336" s="425" t="s">
        <v>2150</v>
      </c>
      <c r="D336" s="27" t="s">
        <v>778</v>
      </c>
      <c r="E336" s="70" t="s">
        <v>1177</v>
      </c>
      <c r="F336" s="27" t="s">
        <v>673</v>
      </c>
      <c r="G336" s="27" t="s">
        <v>2000</v>
      </c>
      <c r="H336" s="70" t="s">
        <v>166</v>
      </c>
      <c r="I336" s="70" t="s">
        <v>17</v>
      </c>
      <c r="J336" s="27"/>
      <c r="K336" s="28" t="s">
        <v>708</v>
      </c>
      <c r="L336" s="28" t="str">
        <f t="shared" si="10"/>
        <v>_</v>
      </c>
      <c r="M336" s="109">
        <f>ROUND(Tableau1[[#This Row],[LEN]]*7.27,0)</f>
        <v>211</v>
      </c>
      <c r="N336" s="109">
        <v>15</v>
      </c>
      <c r="O336" s="127" t="str">
        <f t="shared" si="11"/>
        <v>_self</v>
      </c>
      <c r="P336" s="109">
        <f>LEN(Tableau1[[#This Row],[LABEL]])</f>
        <v>29</v>
      </c>
      <c r="Q336" s="109">
        <v>15</v>
      </c>
      <c r="R336" s="109" t="e">
        <f>ROUND(Tableau1[[#This Row],[LEN]]*#REF!+#REF!,0)</f>
        <v>#REF!</v>
      </c>
    </row>
    <row r="337" spans="1:18" s="97" customFormat="1" hidden="1" x14ac:dyDescent="0.25">
      <c r="A337" s="25" t="s">
        <v>1174</v>
      </c>
      <c r="B337" s="26" t="s">
        <v>254</v>
      </c>
      <c r="C337" s="425" t="s">
        <v>2150</v>
      </c>
      <c r="D337" s="27" t="s">
        <v>92</v>
      </c>
      <c r="E337" s="70" t="s">
        <v>1177</v>
      </c>
      <c r="F337" s="27" t="s">
        <v>663</v>
      </c>
      <c r="G337" s="27" t="s">
        <v>2080</v>
      </c>
      <c r="H337" s="70" t="s">
        <v>166</v>
      </c>
      <c r="I337" s="70" t="s">
        <v>655</v>
      </c>
      <c r="J337" s="27"/>
      <c r="K337" s="28" t="s">
        <v>708</v>
      </c>
      <c r="L337" s="28" t="str">
        <f t="shared" si="10"/>
        <v>_</v>
      </c>
      <c r="M337" s="109">
        <f>ROUND(Tableau1[[#This Row],[LEN]]*7.27,0)</f>
        <v>262</v>
      </c>
      <c r="N337" s="109">
        <v>15</v>
      </c>
      <c r="O337" s="127" t="str">
        <f t="shared" si="11"/>
        <v>_self</v>
      </c>
      <c r="P337" s="109">
        <f>LEN(Tableau1[[#This Row],[LABEL]])</f>
        <v>36</v>
      </c>
      <c r="Q337" s="109">
        <v>15</v>
      </c>
      <c r="R337" s="109" t="e">
        <f>ROUND(Tableau1[[#This Row],[LEN]]*#REF!+#REF!,0)</f>
        <v>#REF!</v>
      </c>
    </row>
    <row r="338" spans="1:18" s="97" customFormat="1" hidden="1" x14ac:dyDescent="0.25">
      <c r="A338" s="29" t="s">
        <v>1188</v>
      </c>
      <c r="B338" s="30" t="s">
        <v>1174</v>
      </c>
      <c r="C338" s="425" t="s">
        <v>2150</v>
      </c>
      <c r="D338" s="31" t="s">
        <v>95</v>
      </c>
      <c r="E338" s="71" t="s">
        <v>1177</v>
      </c>
      <c r="F338" s="31" t="s">
        <v>663</v>
      </c>
      <c r="G338" s="31" t="s">
        <v>2080</v>
      </c>
      <c r="H338" s="71" t="s">
        <v>166</v>
      </c>
      <c r="I338" s="71" t="s">
        <v>17</v>
      </c>
      <c r="J338" s="31"/>
      <c r="K338" s="32" t="s">
        <v>708</v>
      </c>
      <c r="L338" s="32" t="str">
        <f t="shared" si="10"/>
        <v>_</v>
      </c>
      <c r="M338" s="111">
        <f>ROUND(Tableau1[[#This Row],[LEN]]*7.27,0)</f>
        <v>254</v>
      </c>
      <c r="N338" s="111">
        <v>15</v>
      </c>
      <c r="O338" s="128" t="str">
        <f t="shared" si="11"/>
        <v>_self</v>
      </c>
      <c r="P338" s="111">
        <f>LEN(Tableau1[[#This Row],[LABEL]])</f>
        <v>35</v>
      </c>
      <c r="Q338" s="111">
        <v>15</v>
      </c>
      <c r="R338" s="111" t="e">
        <f>ROUND(Tableau1[[#This Row],[LEN]]*#REF!+#REF!,0)</f>
        <v>#REF!</v>
      </c>
    </row>
    <row r="339" spans="1:18" s="97" customFormat="1" hidden="1" x14ac:dyDescent="0.25">
      <c r="A339" s="29" t="s">
        <v>1189</v>
      </c>
      <c r="B339" s="30" t="s">
        <v>1174</v>
      </c>
      <c r="C339" s="425" t="s">
        <v>2150</v>
      </c>
      <c r="D339" s="31" t="s">
        <v>96</v>
      </c>
      <c r="E339" s="71" t="s">
        <v>1177</v>
      </c>
      <c r="F339" s="31" t="s">
        <v>663</v>
      </c>
      <c r="G339" s="31" t="s">
        <v>2080</v>
      </c>
      <c r="H339" s="71" t="s">
        <v>166</v>
      </c>
      <c r="I339" s="71" t="s">
        <v>654</v>
      </c>
      <c r="J339" s="31"/>
      <c r="K339" s="32" t="s">
        <v>708</v>
      </c>
      <c r="L339" s="32" t="str">
        <f t="shared" si="10"/>
        <v>_</v>
      </c>
      <c r="M339" s="111">
        <f>ROUND(Tableau1[[#This Row],[LEN]]*7.27,0)</f>
        <v>233</v>
      </c>
      <c r="N339" s="111">
        <v>15</v>
      </c>
      <c r="O339" s="128" t="str">
        <f t="shared" si="11"/>
        <v>_self</v>
      </c>
      <c r="P339" s="111">
        <f>LEN(Tableau1[[#This Row],[LABEL]])</f>
        <v>32</v>
      </c>
      <c r="Q339" s="111">
        <v>15</v>
      </c>
      <c r="R339" s="111" t="e">
        <f>ROUND(Tableau1[[#This Row],[LEN]]*#REF!+#REF!,0)</f>
        <v>#REF!</v>
      </c>
    </row>
    <row r="340" spans="1:18" s="97" customFormat="1" hidden="1" x14ac:dyDescent="0.25">
      <c r="A340" s="29" t="s">
        <v>1190</v>
      </c>
      <c r="B340" s="30" t="s">
        <v>1174</v>
      </c>
      <c r="C340" s="425" t="s">
        <v>2150</v>
      </c>
      <c r="D340" s="31" t="s">
        <v>97</v>
      </c>
      <c r="E340" s="71" t="s">
        <v>1177</v>
      </c>
      <c r="F340" s="31" t="s">
        <v>663</v>
      </c>
      <c r="G340" s="31" t="s">
        <v>2080</v>
      </c>
      <c r="H340" s="71" t="s">
        <v>166</v>
      </c>
      <c r="I340" s="71" t="s">
        <v>656</v>
      </c>
      <c r="J340" s="31"/>
      <c r="K340" s="32" t="s">
        <v>708</v>
      </c>
      <c r="L340" s="32" t="str">
        <f t="shared" si="10"/>
        <v>_</v>
      </c>
      <c r="M340" s="111">
        <f>ROUND(Tableau1[[#This Row],[LEN]]*7.27,0)</f>
        <v>145</v>
      </c>
      <c r="N340" s="111">
        <v>15</v>
      </c>
      <c r="O340" s="128" t="str">
        <f t="shared" si="11"/>
        <v>_self</v>
      </c>
      <c r="P340" s="111">
        <f>LEN(Tableau1[[#This Row],[LABEL]])</f>
        <v>20</v>
      </c>
      <c r="Q340" s="111">
        <v>15</v>
      </c>
      <c r="R340" s="111" t="e">
        <f>ROUND(Tableau1[[#This Row],[LEN]]*#REF!+#REF!,0)</f>
        <v>#REF!</v>
      </c>
    </row>
    <row r="341" spans="1:18" s="97" customFormat="1" hidden="1" x14ac:dyDescent="0.25">
      <c r="A341" s="25" t="s">
        <v>1175</v>
      </c>
      <c r="B341" s="26" t="s">
        <v>254</v>
      </c>
      <c r="C341" s="425" t="s">
        <v>2150</v>
      </c>
      <c r="D341" s="27" t="s">
        <v>1169</v>
      </c>
      <c r="E341" s="70" t="s">
        <v>1177</v>
      </c>
      <c r="F341" s="27" t="s">
        <v>667</v>
      </c>
      <c r="G341" s="27" t="s">
        <v>673</v>
      </c>
      <c r="H341" s="70" t="s">
        <v>166</v>
      </c>
      <c r="I341" s="70" t="s">
        <v>656</v>
      </c>
      <c r="J341" s="27"/>
      <c r="K341" s="28" t="s">
        <v>708</v>
      </c>
      <c r="L341" s="28" t="str">
        <f t="shared" si="10"/>
        <v>_</v>
      </c>
      <c r="M341" s="109">
        <f>ROUND(Tableau1[[#This Row],[LEN]]*7.27,0)</f>
        <v>334</v>
      </c>
      <c r="N341" s="109">
        <v>15</v>
      </c>
      <c r="O341" s="127" t="str">
        <f t="shared" si="11"/>
        <v>_self</v>
      </c>
      <c r="P341" s="109">
        <f>LEN(Tableau1[[#This Row],[LABEL]])</f>
        <v>46</v>
      </c>
      <c r="Q341" s="109">
        <v>15</v>
      </c>
      <c r="R341" s="109" t="e">
        <f>ROUND(Tableau1[[#This Row],[LEN]]*#REF!+#REF!,0)</f>
        <v>#REF!</v>
      </c>
    </row>
    <row r="342" spans="1:18" s="97" customFormat="1" hidden="1" x14ac:dyDescent="0.25">
      <c r="A342" s="25" t="s">
        <v>1176</v>
      </c>
      <c r="B342" s="26" t="s">
        <v>254</v>
      </c>
      <c r="C342" s="425" t="s">
        <v>2150</v>
      </c>
      <c r="D342" s="27" t="s">
        <v>1167</v>
      </c>
      <c r="E342" s="70" t="s">
        <v>486</v>
      </c>
      <c r="F342" s="27" t="s">
        <v>1177</v>
      </c>
      <c r="G342" s="27" t="s">
        <v>1084</v>
      </c>
      <c r="H342" s="70" t="s">
        <v>1977</v>
      </c>
      <c r="I342" s="70" t="s">
        <v>1131</v>
      </c>
      <c r="J342" s="27"/>
      <c r="K342" s="28" t="s">
        <v>708</v>
      </c>
      <c r="L342" s="28" t="str">
        <f t="shared" si="10"/>
        <v>_</v>
      </c>
      <c r="M342" s="109">
        <f>ROUND(Tableau1[[#This Row],[LEN]]*7.27,0)</f>
        <v>196</v>
      </c>
      <c r="N342" s="109">
        <v>15</v>
      </c>
      <c r="O342" s="127" t="str">
        <f t="shared" si="11"/>
        <v>_self</v>
      </c>
      <c r="P342" s="109">
        <f>LEN(Tableau1[[#This Row],[LABEL]])</f>
        <v>27</v>
      </c>
      <c r="Q342" s="109">
        <v>15</v>
      </c>
      <c r="R342" s="109" t="e">
        <f>ROUND(Tableau1[[#This Row],[LEN]]*#REF!+#REF!,0)</f>
        <v>#REF!</v>
      </c>
    </row>
    <row r="343" spans="1:18" s="97" customFormat="1" hidden="1" x14ac:dyDescent="0.25">
      <c r="A343" s="29" t="s">
        <v>1191</v>
      </c>
      <c r="B343" s="30" t="s">
        <v>1176</v>
      </c>
      <c r="C343" s="425" t="s">
        <v>2150</v>
      </c>
      <c r="D343" s="31" t="s">
        <v>93</v>
      </c>
      <c r="E343" s="71" t="s">
        <v>1177</v>
      </c>
      <c r="F343" s="31" t="s">
        <v>1085</v>
      </c>
      <c r="G343" s="31" t="s">
        <v>1084</v>
      </c>
      <c r="H343" s="71" t="s">
        <v>166</v>
      </c>
      <c r="I343" s="71" t="s">
        <v>18</v>
      </c>
      <c r="J343" s="31"/>
      <c r="K343" s="32" t="s">
        <v>101</v>
      </c>
      <c r="L343" s="32" t="str">
        <f t="shared" si="10"/>
        <v>Documentation</v>
      </c>
      <c r="M343" s="111">
        <f>ROUND(Tableau1[[#This Row],[LEN]]*7.27,0)</f>
        <v>109</v>
      </c>
      <c r="N343" s="111">
        <v>15</v>
      </c>
      <c r="O343" s="128" t="str">
        <f t="shared" si="11"/>
        <v>_blank</v>
      </c>
      <c r="P343" s="111">
        <f>LEN(Tableau1[[#This Row],[LABEL]])</f>
        <v>15</v>
      </c>
      <c r="Q343" s="111">
        <v>15</v>
      </c>
      <c r="R343" s="111" t="e">
        <f>ROUND(Tableau1[[#This Row],[LEN]]*#REF!+#REF!,0)</f>
        <v>#REF!</v>
      </c>
    </row>
    <row r="344" spans="1:18" s="97" customFormat="1" hidden="1" x14ac:dyDescent="0.25">
      <c r="A344" s="29" t="s">
        <v>1192</v>
      </c>
      <c r="B344" s="30" t="s">
        <v>1176</v>
      </c>
      <c r="C344" s="425" t="s">
        <v>2150</v>
      </c>
      <c r="D344" s="31" t="s">
        <v>94</v>
      </c>
      <c r="E344" s="71" t="s">
        <v>1177</v>
      </c>
      <c r="F344" s="31" t="s">
        <v>1085</v>
      </c>
      <c r="G344" s="31" t="s">
        <v>1084</v>
      </c>
      <c r="H344" s="71" t="s">
        <v>166</v>
      </c>
      <c r="I344" s="71" t="s">
        <v>18</v>
      </c>
      <c r="J344" s="31"/>
      <c r="K344" s="32" t="s">
        <v>102</v>
      </c>
      <c r="L344" s="32" t="str">
        <f t="shared" si="10"/>
        <v>Documentation</v>
      </c>
      <c r="M344" s="111">
        <f>ROUND(Tableau1[[#This Row],[LEN]]*7.27,0)</f>
        <v>58</v>
      </c>
      <c r="N344" s="111">
        <v>15</v>
      </c>
      <c r="O344" s="128" t="str">
        <f t="shared" si="11"/>
        <v>_blank</v>
      </c>
      <c r="P344" s="111">
        <f>LEN(Tableau1[[#This Row],[LABEL]])</f>
        <v>8</v>
      </c>
      <c r="Q344" s="111">
        <v>15</v>
      </c>
      <c r="R344" s="111" t="e">
        <f>ROUND(Tableau1[[#This Row],[LEN]]*#REF!+#REF!,0)</f>
        <v>#REF!</v>
      </c>
    </row>
    <row r="345" spans="1:18" s="273" customFormat="1" hidden="1" x14ac:dyDescent="0.25">
      <c r="A345" s="288" t="s">
        <v>255</v>
      </c>
      <c r="B345" s="289" t="s">
        <v>206</v>
      </c>
      <c r="C345" s="425" t="s">
        <v>2150</v>
      </c>
      <c r="D345" s="290" t="s">
        <v>2147</v>
      </c>
      <c r="E345" s="291" t="s">
        <v>1177</v>
      </c>
      <c r="F345" s="290" t="s">
        <v>669</v>
      </c>
      <c r="G345" s="290" t="s">
        <v>1177</v>
      </c>
      <c r="H345" s="291" t="s">
        <v>166</v>
      </c>
      <c r="I345" s="291" t="str">
        <f>IFERROR(IF(SEARCH(".00.00.00.00.00",Tableau1[[#This Row],[name]],1)=7,"Division",""),"")</f>
        <v>Division</v>
      </c>
      <c r="J345" s="290"/>
      <c r="K345" s="292" t="s">
        <v>708</v>
      </c>
      <c r="L345" s="292" t="str">
        <f t="shared" si="10"/>
        <v>_</v>
      </c>
      <c r="M345" s="293">
        <f>ROUND(Tableau1[[#This Row],[LEN]]*7.27,0)</f>
        <v>196</v>
      </c>
      <c r="N345" s="293">
        <v>15</v>
      </c>
      <c r="O345" s="294" t="str">
        <f t="shared" si="11"/>
        <v>_self</v>
      </c>
      <c r="P345" s="293">
        <f>LEN(Tableau1[[#This Row],[LABEL]])</f>
        <v>27</v>
      </c>
      <c r="Q345" s="293">
        <v>15</v>
      </c>
      <c r="R345" s="293" t="e">
        <f>ROUND(Tableau1[[#This Row],[LEN]]*#REF!+#REF!,0)</f>
        <v>#REF!</v>
      </c>
    </row>
    <row r="346" spans="1:18" s="97" customFormat="1" hidden="1" x14ac:dyDescent="0.25">
      <c r="A346" s="25" t="s">
        <v>436</v>
      </c>
      <c r="B346" s="26" t="s">
        <v>255</v>
      </c>
      <c r="C346" s="425" t="s">
        <v>2150</v>
      </c>
      <c r="D346" s="27" t="s">
        <v>137</v>
      </c>
      <c r="E346" s="70" t="s">
        <v>1177</v>
      </c>
      <c r="F346" s="27" t="s">
        <v>669</v>
      </c>
      <c r="G346" s="27" t="s">
        <v>1177</v>
      </c>
      <c r="H346" s="70" t="s">
        <v>166</v>
      </c>
      <c r="I346" s="70" t="s">
        <v>654</v>
      </c>
      <c r="J346" s="27"/>
      <c r="K346" s="28" t="s">
        <v>726</v>
      </c>
      <c r="L346" s="28" t="str">
        <f t="shared" si="10"/>
        <v>Documentation</v>
      </c>
      <c r="M346" s="109">
        <f>ROUND(Tableau1[[#This Row],[LEN]]*7.27,0)</f>
        <v>269</v>
      </c>
      <c r="N346" s="109">
        <v>15</v>
      </c>
      <c r="O346" s="127" t="str">
        <f t="shared" si="11"/>
        <v>_blank</v>
      </c>
      <c r="P346" s="109">
        <f>LEN(Tableau1[[#This Row],[LABEL]])</f>
        <v>37</v>
      </c>
      <c r="Q346" s="109">
        <v>15</v>
      </c>
      <c r="R346" s="109" t="e">
        <f>ROUND(Tableau1[[#This Row],[LEN]]*#REF!+#REF!,0)</f>
        <v>#REF!</v>
      </c>
    </row>
    <row r="347" spans="1:18" s="97" customFormat="1" hidden="1" x14ac:dyDescent="0.25">
      <c r="A347" s="25" t="s">
        <v>437</v>
      </c>
      <c r="B347" s="26" t="s">
        <v>255</v>
      </c>
      <c r="C347" s="425" t="s">
        <v>2150</v>
      </c>
      <c r="D347" s="27" t="s">
        <v>138</v>
      </c>
      <c r="E347" s="70" t="s">
        <v>1177</v>
      </c>
      <c r="F347" s="27" t="s">
        <v>669</v>
      </c>
      <c r="G347" s="27" t="s">
        <v>678</v>
      </c>
      <c r="H347" s="70" t="s">
        <v>166</v>
      </c>
      <c r="I347" s="70" t="s">
        <v>655</v>
      </c>
      <c r="J347" s="27"/>
      <c r="K347" s="28" t="s">
        <v>708</v>
      </c>
      <c r="L347" s="28" t="str">
        <f t="shared" si="10"/>
        <v>_</v>
      </c>
      <c r="M347" s="109">
        <f>ROUND(Tableau1[[#This Row],[LEN]]*7.27,0)</f>
        <v>225</v>
      </c>
      <c r="N347" s="109">
        <v>15</v>
      </c>
      <c r="O347" s="127" t="str">
        <f t="shared" si="11"/>
        <v>_self</v>
      </c>
      <c r="P347" s="109">
        <f>LEN(Tableau1[[#This Row],[LABEL]])</f>
        <v>31</v>
      </c>
      <c r="Q347" s="109">
        <v>15</v>
      </c>
      <c r="R347" s="109" t="e">
        <f>ROUND(Tableau1[[#This Row],[LEN]]*#REF!+#REF!,0)</f>
        <v>#REF!</v>
      </c>
    </row>
    <row r="348" spans="1:18" s="97" customFormat="1" hidden="1" x14ac:dyDescent="0.25">
      <c r="A348" s="29" t="s">
        <v>438</v>
      </c>
      <c r="B348" s="30" t="s">
        <v>437</v>
      </c>
      <c r="C348" s="425" t="s">
        <v>2150</v>
      </c>
      <c r="D348" s="31" t="s">
        <v>139</v>
      </c>
      <c r="E348" s="71" t="s">
        <v>1177</v>
      </c>
      <c r="F348" s="31" t="s">
        <v>669</v>
      </c>
      <c r="G348" s="31" t="s">
        <v>678</v>
      </c>
      <c r="H348" s="71" t="s">
        <v>166</v>
      </c>
      <c r="I348" s="71" t="s">
        <v>654</v>
      </c>
      <c r="J348" s="31"/>
      <c r="K348" s="32" t="s">
        <v>708</v>
      </c>
      <c r="L348" s="32" t="str">
        <f t="shared" si="10"/>
        <v>_</v>
      </c>
      <c r="M348" s="111">
        <f>ROUND(Tableau1[[#This Row],[LEN]]*7.27,0)</f>
        <v>327</v>
      </c>
      <c r="N348" s="111">
        <v>15</v>
      </c>
      <c r="O348" s="128" t="str">
        <f t="shared" si="11"/>
        <v>_self</v>
      </c>
      <c r="P348" s="111">
        <f>LEN(Tableau1[[#This Row],[LABEL]])</f>
        <v>45</v>
      </c>
      <c r="Q348" s="111">
        <v>15</v>
      </c>
      <c r="R348" s="111" t="e">
        <f>ROUND(Tableau1[[#This Row],[LEN]]*#REF!+#REF!,0)</f>
        <v>#REF!</v>
      </c>
    </row>
    <row r="349" spans="1:18" s="97" customFormat="1" hidden="1" x14ac:dyDescent="0.25">
      <c r="A349" s="29" t="s">
        <v>439</v>
      </c>
      <c r="B349" s="30" t="s">
        <v>437</v>
      </c>
      <c r="C349" s="425" t="s">
        <v>2150</v>
      </c>
      <c r="D349" s="31" t="s">
        <v>140</v>
      </c>
      <c r="E349" s="71" t="s">
        <v>1177</v>
      </c>
      <c r="F349" s="31" t="s">
        <v>669</v>
      </c>
      <c r="G349" s="31" t="s">
        <v>678</v>
      </c>
      <c r="H349" s="71" t="s">
        <v>166</v>
      </c>
      <c r="I349" s="71" t="s">
        <v>654</v>
      </c>
      <c r="J349" s="31"/>
      <c r="K349" s="32" t="s">
        <v>708</v>
      </c>
      <c r="L349" s="32" t="str">
        <f t="shared" si="10"/>
        <v>_</v>
      </c>
      <c r="M349" s="111">
        <f>ROUND(Tableau1[[#This Row],[LEN]]*7.27,0)</f>
        <v>385</v>
      </c>
      <c r="N349" s="111">
        <v>15</v>
      </c>
      <c r="O349" s="128" t="str">
        <f t="shared" si="11"/>
        <v>_self</v>
      </c>
      <c r="P349" s="111">
        <f>LEN(Tableau1[[#This Row],[LABEL]])</f>
        <v>53</v>
      </c>
      <c r="Q349" s="111">
        <v>15</v>
      </c>
      <c r="R349" s="111" t="e">
        <f>ROUND(Tableau1[[#This Row],[LEN]]*#REF!+#REF!,0)</f>
        <v>#REF!</v>
      </c>
    </row>
    <row r="350" spans="1:18" s="97" customFormat="1" hidden="1" x14ac:dyDescent="0.25">
      <c r="A350" s="29" t="s">
        <v>440</v>
      </c>
      <c r="B350" s="30" t="s">
        <v>437</v>
      </c>
      <c r="C350" s="425" t="s">
        <v>2150</v>
      </c>
      <c r="D350" s="31" t="s">
        <v>141</v>
      </c>
      <c r="E350" s="71" t="s">
        <v>1177</v>
      </c>
      <c r="F350" s="31" t="s">
        <v>669</v>
      </c>
      <c r="G350" s="31" t="s">
        <v>678</v>
      </c>
      <c r="H350" s="71" t="s">
        <v>166</v>
      </c>
      <c r="I350" s="71" t="s">
        <v>17</v>
      </c>
      <c r="J350" s="31"/>
      <c r="K350" s="32" t="s">
        <v>708</v>
      </c>
      <c r="L350" s="32" t="str">
        <f t="shared" si="10"/>
        <v>_</v>
      </c>
      <c r="M350" s="111">
        <f>ROUND(Tableau1[[#This Row],[LEN]]*7.27,0)</f>
        <v>313</v>
      </c>
      <c r="N350" s="111">
        <v>15</v>
      </c>
      <c r="O350" s="128" t="str">
        <f t="shared" si="11"/>
        <v>_self</v>
      </c>
      <c r="P350" s="111">
        <f>LEN(Tableau1[[#This Row],[LABEL]])</f>
        <v>43</v>
      </c>
      <c r="Q350" s="111">
        <v>15</v>
      </c>
      <c r="R350" s="111" t="e">
        <f>ROUND(Tableau1[[#This Row],[LEN]]*#REF!+#REF!,0)</f>
        <v>#REF!</v>
      </c>
    </row>
    <row r="351" spans="1:18" s="97" customFormat="1" hidden="1" x14ac:dyDescent="0.25">
      <c r="A351" s="25" t="s">
        <v>441</v>
      </c>
      <c r="B351" s="26" t="s">
        <v>255</v>
      </c>
      <c r="C351" s="425" t="s">
        <v>2150</v>
      </c>
      <c r="D351" s="27" t="s">
        <v>88</v>
      </c>
      <c r="E351" s="70" t="s">
        <v>1177</v>
      </c>
      <c r="F351" s="27" t="s">
        <v>667</v>
      </c>
      <c r="G351" s="27" t="s">
        <v>1218</v>
      </c>
      <c r="H351" s="70" t="s">
        <v>166</v>
      </c>
      <c r="I351" s="70" t="s">
        <v>570</v>
      </c>
      <c r="J351" s="27"/>
      <c r="K351" s="28" t="s">
        <v>708</v>
      </c>
      <c r="L351" s="28" t="str">
        <f t="shared" si="10"/>
        <v>_</v>
      </c>
      <c r="M351" s="109">
        <f>ROUND(Tableau1[[#This Row],[LEN]]*7.27,0)</f>
        <v>342</v>
      </c>
      <c r="N351" s="109">
        <v>15</v>
      </c>
      <c r="O351" s="127" t="str">
        <f t="shared" si="11"/>
        <v>_self</v>
      </c>
      <c r="P351" s="109">
        <f>LEN(Tableau1[[#This Row],[LABEL]])</f>
        <v>47</v>
      </c>
      <c r="Q351" s="109">
        <v>15</v>
      </c>
      <c r="R351" s="109" t="e">
        <f>ROUND(Tableau1[[#This Row],[LEN]]*#REF!+#REF!,0)</f>
        <v>#REF!</v>
      </c>
    </row>
    <row r="352" spans="1:18" s="97" customFormat="1" hidden="1" x14ac:dyDescent="0.25">
      <c r="A352" s="25" t="s">
        <v>442</v>
      </c>
      <c r="B352" s="26" t="s">
        <v>255</v>
      </c>
      <c r="C352" s="425" t="s">
        <v>2150</v>
      </c>
      <c r="D352" s="27" t="s">
        <v>142</v>
      </c>
      <c r="E352" s="70" t="s">
        <v>1177</v>
      </c>
      <c r="F352" s="27" t="s">
        <v>669</v>
      </c>
      <c r="G352" s="27" t="s">
        <v>677</v>
      </c>
      <c r="H352" s="70" t="s">
        <v>166</v>
      </c>
      <c r="I352" s="70" t="s">
        <v>655</v>
      </c>
      <c r="J352" s="27"/>
      <c r="K352" s="28" t="s">
        <v>708</v>
      </c>
      <c r="L352" s="28" t="str">
        <f t="shared" si="10"/>
        <v>_</v>
      </c>
      <c r="M352" s="109">
        <f>ROUND(Tableau1[[#This Row],[LEN]]*7.27,0)</f>
        <v>109</v>
      </c>
      <c r="N352" s="109">
        <v>15</v>
      </c>
      <c r="O352" s="127" t="str">
        <f t="shared" si="11"/>
        <v>_self</v>
      </c>
      <c r="P352" s="109">
        <f>LEN(Tableau1[[#This Row],[LABEL]])</f>
        <v>15</v>
      </c>
      <c r="Q352" s="109">
        <v>15</v>
      </c>
      <c r="R352" s="109" t="e">
        <f>ROUND(Tableau1[[#This Row],[LEN]]*#REF!+#REF!,0)</f>
        <v>#REF!</v>
      </c>
    </row>
    <row r="353" spans="1:18" s="97" customFormat="1" hidden="1" x14ac:dyDescent="0.25">
      <c r="A353" s="25" t="s">
        <v>487</v>
      </c>
      <c r="B353" s="26" t="s">
        <v>255</v>
      </c>
      <c r="C353" s="425" t="s">
        <v>2150</v>
      </c>
      <c r="D353" s="27" t="s">
        <v>143</v>
      </c>
      <c r="E353" s="70" t="s">
        <v>1177</v>
      </c>
      <c r="F353" s="27" t="s">
        <v>669</v>
      </c>
      <c r="G353" s="27" t="s">
        <v>1177</v>
      </c>
      <c r="H353" s="70" t="s">
        <v>166</v>
      </c>
      <c r="I353" s="70" t="s">
        <v>656</v>
      </c>
      <c r="J353" s="27"/>
      <c r="K353" s="28" t="s">
        <v>727</v>
      </c>
      <c r="L353" s="28" t="str">
        <f t="shared" si="10"/>
        <v>Documentation</v>
      </c>
      <c r="M353" s="109">
        <f>ROUND(Tableau1[[#This Row],[LEN]]*7.27,0)</f>
        <v>436</v>
      </c>
      <c r="N353" s="109">
        <v>15</v>
      </c>
      <c r="O353" s="127" t="str">
        <f t="shared" si="11"/>
        <v>_blank</v>
      </c>
      <c r="P353" s="109">
        <f>LEN(Tableau1[[#This Row],[LABEL]])</f>
        <v>60</v>
      </c>
      <c r="Q353" s="109">
        <v>15</v>
      </c>
      <c r="R353" s="109" t="e">
        <f>ROUND(Tableau1[[#This Row],[LEN]]*#REF!+#REF!,0)</f>
        <v>#REF!</v>
      </c>
    </row>
    <row r="354" spans="1:18" s="97" customFormat="1" hidden="1" x14ac:dyDescent="0.25">
      <c r="A354" s="25" t="s">
        <v>488</v>
      </c>
      <c r="B354" s="26" t="s">
        <v>255</v>
      </c>
      <c r="C354" s="425" t="s">
        <v>2150</v>
      </c>
      <c r="D354" s="27" t="s">
        <v>144</v>
      </c>
      <c r="E354" s="70" t="s">
        <v>1177</v>
      </c>
      <c r="F354" s="27" t="s">
        <v>669</v>
      </c>
      <c r="G354" s="27" t="s">
        <v>1177</v>
      </c>
      <c r="H354" s="70" t="s">
        <v>166</v>
      </c>
      <c r="I354" s="70" t="s">
        <v>655</v>
      </c>
      <c r="J354" s="27"/>
      <c r="K354" s="28" t="s">
        <v>708</v>
      </c>
      <c r="L354" s="28" t="str">
        <f t="shared" si="10"/>
        <v>_</v>
      </c>
      <c r="M354" s="109">
        <f>ROUND(Tableau1[[#This Row],[LEN]]*7.27,0)</f>
        <v>44</v>
      </c>
      <c r="N354" s="109">
        <v>15</v>
      </c>
      <c r="O354" s="127" t="str">
        <f t="shared" si="11"/>
        <v>_self</v>
      </c>
      <c r="P354" s="109">
        <f>LEN(Tableau1[[#This Row],[LABEL]])</f>
        <v>6</v>
      </c>
      <c r="Q354" s="109">
        <v>15</v>
      </c>
      <c r="R354" s="109" t="e">
        <f>ROUND(Tableau1[[#This Row],[LEN]]*#REF!+#REF!,0)</f>
        <v>#REF!</v>
      </c>
    </row>
    <row r="355" spans="1:18" s="97" customFormat="1" hidden="1" x14ac:dyDescent="0.25">
      <c r="A355" s="29" t="s">
        <v>658</v>
      </c>
      <c r="B355" s="30" t="s">
        <v>488</v>
      </c>
      <c r="C355" s="425" t="s">
        <v>2150</v>
      </c>
      <c r="D355" s="31" t="s">
        <v>685</v>
      </c>
      <c r="E355" s="71" t="s">
        <v>1177</v>
      </c>
      <c r="F355" s="31" t="s">
        <v>669</v>
      </c>
      <c r="G355" s="31" t="s">
        <v>1177</v>
      </c>
      <c r="H355" s="71" t="s">
        <v>166</v>
      </c>
      <c r="I355" s="71" t="s">
        <v>655</v>
      </c>
      <c r="J355" s="31"/>
      <c r="K355" s="32" t="s">
        <v>708</v>
      </c>
      <c r="L355" s="32" t="str">
        <f t="shared" si="10"/>
        <v>_</v>
      </c>
      <c r="M355" s="111">
        <f>ROUND(Tableau1[[#This Row],[LEN]]*7.27,0)</f>
        <v>58</v>
      </c>
      <c r="N355" s="111">
        <v>15</v>
      </c>
      <c r="O355" s="128" t="str">
        <f t="shared" si="11"/>
        <v>_self</v>
      </c>
      <c r="P355" s="111">
        <f>LEN(Tableau1[[#This Row],[LABEL]])</f>
        <v>8</v>
      </c>
      <c r="Q355" s="111">
        <v>15</v>
      </c>
      <c r="R355" s="111" t="e">
        <f>ROUND(Tableau1[[#This Row],[LEN]]*#REF!+#REF!,0)</f>
        <v>#REF!</v>
      </c>
    </row>
    <row r="356" spans="1:18" s="97" customFormat="1" hidden="1" x14ac:dyDescent="0.25">
      <c r="A356" s="86" t="s">
        <v>688</v>
      </c>
      <c r="B356" s="87" t="s">
        <v>658</v>
      </c>
      <c r="C356" s="425" t="s">
        <v>2150</v>
      </c>
      <c r="D356" s="88" t="s">
        <v>145</v>
      </c>
      <c r="E356" s="89" t="s">
        <v>1177</v>
      </c>
      <c r="F356" s="88" t="s">
        <v>669</v>
      </c>
      <c r="G356" s="88" t="s">
        <v>1177</v>
      </c>
      <c r="H356" s="89" t="s">
        <v>166</v>
      </c>
      <c r="I356" s="90" t="s">
        <v>654</v>
      </c>
      <c r="J356" s="88"/>
      <c r="K356" s="91" t="s">
        <v>708</v>
      </c>
      <c r="L356" s="91" t="str">
        <f t="shared" si="10"/>
        <v>_</v>
      </c>
      <c r="M356" s="112">
        <f>ROUND(Tableau1[[#This Row],[LEN]]*7.27,0)</f>
        <v>342</v>
      </c>
      <c r="N356" s="112">
        <v>15</v>
      </c>
      <c r="O356" s="129" t="str">
        <f t="shared" si="11"/>
        <v>_self</v>
      </c>
      <c r="P356" s="112">
        <f>LEN(Tableau1[[#This Row],[LABEL]])</f>
        <v>47</v>
      </c>
      <c r="Q356" s="112">
        <v>15</v>
      </c>
      <c r="R356" s="112" t="e">
        <f>ROUND(Tableau1[[#This Row],[LEN]]*#REF!+#REF!,0)</f>
        <v>#REF!</v>
      </c>
    </row>
    <row r="357" spans="1:18" s="97" customFormat="1" hidden="1" x14ac:dyDescent="0.25">
      <c r="A357" s="86" t="s">
        <v>689</v>
      </c>
      <c r="B357" s="87" t="s">
        <v>658</v>
      </c>
      <c r="C357" s="425" t="s">
        <v>2150</v>
      </c>
      <c r="D357" s="88" t="s">
        <v>146</v>
      </c>
      <c r="E357" s="89" t="s">
        <v>1177</v>
      </c>
      <c r="F357" s="88" t="s">
        <v>669</v>
      </c>
      <c r="G357" s="88" t="s">
        <v>1177</v>
      </c>
      <c r="H357" s="89" t="s">
        <v>166</v>
      </c>
      <c r="I357" s="90" t="s">
        <v>654</v>
      </c>
      <c r="J357" s="88"/>
      <c r="K357" s="91" t="s">
        <v>708</v>
      </c>
      <c r="L357" s="91" t="str">
        <f t="shared" si="10"/>
        <v>_</v>
      </c>
      <c r="M357" s="112">
        <f>ROUND(Tableau1[[#This Row],[LEN]]*7.27,0)</f>
        <v>291</v>
      </c>
      <c r="N357" s="112">
        <v>15</v>
      </c>
      <c r="O357" s="129" t="str">
        <f t="shared" si="11"/>
        <v>_self</v>
      </c>
      <c r="P357" s="112">
        <f>LEN(Tableau1[[#This Row],[LABEL]])</f>
        <v>40</v>
      </c>
      <c r="Q357" s="112">
        <v>15</v>
      </c>
      <c r="R357" s="112" t="e">
        <f>ROUND(Tableau1[[#This Row],[LEN]]*#REF!+#REF!,0)</f>
        <v>#REF!</v>
      </c>
    </row>
    <row r="358" spans="1:18" s="97" customFormat="1" hidden="1" x14ac:dyDescent="0.25">
      <c r="A358" s="86" t="s">
        <v>690</v>
      </c>
      <c r="B358" s="87" t="s">
        <v>658</v>
      </c>
      <c r="C358" s="425" t="s">
        <v>2150</v>
      </c>
      <c r="D358" s="88" t="s">
        <v>147</v>
      </c>
      <c r="E358" s="89" t="s">
        <v>1177</v>
      </c>
      <c r="F358" s="88" t="s">
        <v>669</v>
      </c>
      <c r="G358" s="88" t="s">
        <v>1177</v>
      </c>
      <c r="H358" s="89" t="s">
        <v>166</v>
      </c>
      <c r="I358" s="90" t="s">
        <v>654</v>
      </c>
      <c r="J358" s="88"/>
      <c r="K358" s="91" t="s">
        <v>708</v>
      </c>
      <c r="L358" s="91" t="str">
        <f t="shared" si="10"/>
        <v>_</v>
      </c>
      <c r="M358" s="112">
        <f>ROUND(Tableau1[[#This Row],[LEN]]*7.27,0)</f>
        <v>174</v>
      </c>
      <c r="N358" s="112">
        <v>15</v>
      </c>
      <c r="O358" s="129" t="str">
        <f t="shared" si="11"/>
        <v>_self</v>
      </c>
      <c r="P358" s="112">
        <f>LEN(Tableau1[[#This Row],[LABEL]])</f>
        <v>24</v>
      </c>
      <c r="Q358" s="112">
        <v>15</v>
      </c>
      <c r="R358" s="112" t="e">
        <f>ROUND(Tableau1[[#This Row],[LEN]]*#REF!+#REF!,0)</f>
        <v>#REF!</v>
      </c>
    </row>
    <row r="359" spans="1:18" s="97" customFormat="1" hidden="1" x14ac:dyDescent="0.25">
      <c r="A359" s="86" t="s">
        <v>691</v>
      </c>
      <c r="B359" s="87" t="s">
        <v>658</v>
      </c>
      <c r="C359" s="425" t="s">
        <v>2150</v>
      </c>
      <c r="D359" s="88" t="s">
        <v>148</v>
      </c>
      <c r="E359" s="89" t="s">
        <v>1177</v>
      </c>
      <c r="F359" s="88" t="s">
        <v>669</v>
      </c>
      <c r="G359" s="88" t="s">
        <v>1177</v>
      </c>
      <c r="H359" s="89" t="s">
        <v>166</v>
      </c>
      <c r="I359" s="90" t="s">
        <v>654</v>
      </c>
      <c r="J359" s="88"/>
      <c r="K359" s="91" t="s">
        <v>708</v>
      </c>
      <c r="L359" s="91" t="str">
        <f t="shared" si="10"/>
        <v>_</v>
      </c>
      <c r="M359" s="112">
        <f>ROUND(Tableau1[[#This Row],[LEN]]*7.27,0)</f>
        <v>225</v>
      </c>
      <c r="N359" s="112">
        <v>15</v>
      </c>
      <c r="O359" s="129" t="str">
        <f t="shared" si="11"/>
        <v>_self</v>
      </c>
      <c r="P359" s="112">
        <f>LEN(Tableau1[[#This Row],[LABEL]])</f>
        <v>31</v>
      </c>
      <c r="Q359" s="112">
        <v>15</v>
      </c>
      <c r="R359" s="112" t="e">
        <f>ROUND(Tableau1[[#This Row],[LEN]]*#REF!+#REF!,0)</f>
        <v>#REF!</v>
      </c>
    </row>
    <row r="360" spans="1:18" s="97" customFormat="1" hidden="1" x14ac:dyDescent="0.25">
      <c r="A360" s="29" t="s">
        <v>659</v>
      </c>
      <c r="B360" s="30" t="s">
        <v>488</v>
      </c>
      <c r="C360" s="425" t="s">
        <v>2150</v>
      </c>
      <c r="D360" s="31" t="s">
        <v>686</v>
      </c>
      <c r="E360" s="71" t="s">
        <v>1177</v>
      </c>
      <c r="F360" s="31" t="s">
        <v>669</v>
      </c>
      <c r="G360" s="31" t="s">
        <v>1177</v>
      </c>
      <c r="H360" s="71" t="s">
        <v>166</v>
      </c>
      <c r="I360" s="71" t="s">
        <v>655</v>
      </c>
      <c r="J360" s="31"/>
      <c r="K360" s="32" t="s">
        <v>708</v>
      </c>
      <c r="L360" s="32" t="str">
        <f t="shared" si="10"/>
        <v>_</v>
      </c>
      <c r="M360" s="111">
        <f>ROUND(Tableau1[[#This Row],[LEN]]*7.27,0)</f>
        <v>29</v>
      </c>
      <c r="N360" s="111">
        <v>15</v>
      </c>
      <c r="O360" s="128" t="str">
        <f t="shared" si="11"/>
        <v>_self</v>
      </c>
      <c r="P360" s="111">
        <f>LEN(Tableau1[[#This Row],[LABEL]])</f>
        <v>4</v>
      </c>
      <c r="Q360" s="111">
        <v>15</v>
      </c>
      <c r="R360" s="111" t="e">
        <f>ROUND(Tableau1[[#This Row],[LEN]]*#REF!+#REF!,0)</f>
        <v>#REF!</v>
      </c>
    </row>
    <row r="361" spans="1:18" s="97" customFormat="1" hidden="1" x14ac:dyDescent="0.25">
      <c r="A361" s="86" t="s">
        <v>692</v>
      </c>
      <c r="B361" s="87" t="s">
        <v>659</v>
      </c>
      <c r="C361" s="425" t="s">
        <v>2150</v>
      </c>
      <c r="D361" s="88" t="s">
        <v>149</v>
      </c>
      <c r="E361" s="89" t="s">
        <v>1177</v>
      </c>
      <c r="F361" s="88" t="s">
        <v>669</v>
      </c>
      <c r="G361" s="88" t="s">
        <v>1177</v>
      </c>
      <c r="H361" s="89" t="s">
        <v>166</v>
      </c>
      <c r="I361" s="90" t="s">
        <v>654</v>
      </c>
      <c r="J361" s="88"/>
      <c r="K361" s="91" t="s">
        <v>708</v>
      </c>
      <c r="L361" s="91" t="str">
        <f t="shared" si="10"/>
        <v>_</v>
      </c>
      <c r="M361" s="112">
        <f>ROUND(Tableau1[[#This Row],[LEN]]*7.27,0)</f>
        <v>167</v>
      </c>
      <c r="N361" s="112">
        <v>15</v>
      </c>
      <c r="O361" s="129" t="str">
        <f t="shared" si="11"/>
        <v>_self</v>
      </c>
      <c r="P361" s="112">
        <f>LEN(Tableau1[[#This Row],[LABEL]])</f>
        <v>23</v>
      </c>
      <c r="Q361" s="112">
        <v>15</v>
      </c>
      <c r="R361" s="112" t="e">
        <f>ROUND(Tableau1[[#This Row],[LEN]]*#REF!+#REF!,0)</f>
        <v>#REF!</v>
      </c>
    </row>
    <row r="362" spans="1:18" s="97" customFormat="1" hidden="1" x14ac:dyDescent="0.25">
      <c r="A362" s="86" t="s">
        <v>693</v>
      </c>
      <c r="B362" s="87" t="s">
        <v>659</v>
      </c>
      <c r="C362" s="425" t="s">
        <v>2150</v>
      </c>
      <c r="D362" s="88" t="s">
        <v>150</v>
      </c>
      <c r="E362" s="89" t="s">
        <v>1177</v>
      </c>
      <c r="F362" s="88" t="s">
        <v>669</v>
      </c>
      <c r="G362" s="88" t="s">
        <v>1177</v>
      </c>
      <c r="H362" s="89" t="s">
        <v>166</v>
      </c>
      <c r="I362" s="90" t="s">
        <v>570</v>
      </c>
      <c r="J362" s="88"/>
      <c r="K362" s="91" t="s">
        <v>708</v>
      </c>
      <c r="L362" s="91" t="str">
        <f t="shared" si="10"/>
        <v>_</v>
      </c>
      <c r="M362" s="112">
        <f>ROUND(Tableau1[[#This Row],[LEN]]*7.27,0)</f>
        <v>247</v>
      </c>
      <c r="N362" s="112">
        <v>15</v>
      </c>
      <c r="O362" s="129" t="str">
        <f t="shared" si="11"/>
        <v>_self</v>
      </c>
      <c r="P362" s="112">
        <f>LEN(Tableau1[[#This Row],[LABEL]])</f>
        <v>34</v>
      </c>
      <c r="Q362" s="112">
        <v>15</v>
      </c>
      <c r="R362" s="112" t="e">
        <f>ROUND(Tableau1[[#This Row],[LEN]]*#REF!+#REF!,0)</f>
        <v>#REF!</v>
      </c>
    </row>
    <row r="363" spans="1:18" s="97" customFormat="1" hidden="1" x14ac:dyDescent="0.25">
      <c r="A363" s="86" t="s">
        <v>694</v>
      </c>
      <c r="B363" s="87" t="s">
        <v>659</v>
      </c>
      <c r="C363" s="425" t="s">
        <v>2150</v>
      </c>
      <c r="D363" s="88" t="s">
        <v>151</v>
      </c>
      <c r="E363" s="89" t="s">
        <v>1177</v>
      </c>
      <c r="F363" s="88" t="s">
        <v>669</v>
      </c>
      <c r="G363" s="88" t="s">
        <v>1177</v>
      </c>
      <c r="H363" s="89" t="s">
        <v>166</v>
      </c>
      <c r="I363" s="90" t="s">
        <v>654</v>
      </c>
      <c r="J363" s="88"/>
      <c r="K363" s="91" t="s">
        <v>708</v>
      </c>
      <c r="L363" s="91" t="str">
        <f t="shared" si="10"/>
        <v>_</v>
      </c>
      <c r="M363" s="112">
        <f>ROUND(Tableau1[[#This Row],[LEN]]*7.27,0)</f>
        <v>233</v>
      </c>
      <c r="N363" s="112">
        <v>15</v>
      </c>
      <c r="O363" s="129" t="str">
        <f t="shared" si="11"/>
        <v>_self</v>
      </c>
      <c r="P363" s="112">
        <f>LEN(Tableau1[[#This Row],[LABEL]])</f>
        <v>32</v>
      </c>
      <c r="Q363" s="112">
        <v>15</v>
      </c>
      <c r="R363" s="112" t="e">
        <f>ROUND(Tableau1[[#This Row],[LEN]]*#REF!+#REF!,0)</f>
        <v>#REF!</v>
      </c>
    </row>
    <row r="364" spans="1:18" s="97" customFormat="1" hidden="1" x14ac:dyDescent="0.25">
      <c r="A364" s="86" t="s">
        <v>695</v>
      </c>
      <c r="B364" s="87" t="s">
        <v>659</v>
      </c>
      <c r="C364" s="425" t="s">
        <v>2150</v>
      </c>
      <c r="D364" s="88" t="s">
        <v>152</v>
      </c>
      <c r="E364" s="89" t="s">
        <v>1177</v>
      </c>
      <c r="F364" s="88" t="s">
        <v>669</v>
      </c>
      <c r="G364" s="88" t="s">
        <v>1177</v>
      </c>
      <c r="H364" s="89" t="s">
        <v>166</v>
      </c>
      <c r="I364" s="90" t="s">
        <v>654</v>
      </c>
      <c r="J364" s="88"/>
      <c r="K364" s="91" t="s">
        <v>708</v>
      </c>
      <c r="L364" s="91" t="str">
        <f t="shared" si="10"/>
        <v>_</v>
      </c>
      <c r="M364" s="112">
        <f>ROUND(Tableau1[[#This Row],[LEN]]*7.27,0)</f>
        <v>174</v>
      </c>
      <c r="N364" s="112">
        <v>15</v>
      </c>
      <c r="O364" s="129" t="str">
        <f t="shared" si="11"/>
        <v>_self</v>
      </c>
      <c r="P364" s="112">
        <f>LEN(Tableau1[[#This Row],[LABEL]])</f>
        <v>24</v>
      </c>
      <c r="Q364" s="112">
        <v>15</v>
      </c>
      <c r="R364" s="112" t="e">
        <f>ROUND(Tableau1[[#This Row],[LEN]]*#REF!+#REF!,0)</f>
        <v>#REF!</v>
      </c>
    </row>
    <row r="365" spans="1:18" s="97" customFormat="1" hidden="1" x14ac:dyDescent="0.25">
      <c r="A365" s="29" t="s">
        <v>660</v>
      </c>
      <c r="B365" s="30" t="s">
        <v>488</v>
      </c>
      <c r="C365" s="425" t="s">
        <v>2150</v>
      </c>
      <c r="D365" s="31" t="s">
        <v>687</v>
      </c>
      <c r="E365" s="71" t="s">
        <v>1177</v>
      </c>
      <c r="F365" s="31" t="s">
        <v>669</v>
      </c>
      <c r="G365" s="31" t="s">
        <v>1177</v>
      </c>
      <c r="H365" s="71" t="s">
        <v>166</v>
      </c>
      <c r="I365" s="71" t="s">
        <v>655</v>
      </c>
      <c r="J365" s="31"/>
      <c r="K365" s="32" t="s">
        <v>708</v>
      </c>
      <c r="L365" s="32" t="str">
        <f t="shared" si="10"/>
        <v>_</v>
      </c>
      <c r="M365" s="111">
        <f>ROUND(Tableau1[[#This Row],[LEN]]*7.27,0)</f>
        <v>51</v>
      </c>
      <c r="N365" s="111">
        <v>15</v>
      </c>
      <c r="O365" s="128" t="str">
        <f t="shared" si="11"/>
        <v>_self</v>
      </c>
      <c r="P365" s="111">
        <f>LEN(Tableau1[[#This Row],[LABEL]])</f>
        <v>7</v>
      </c>
      <c r="Q365" s="111">
        <v>15</v>
      </c>
      <c r="R365" s="111" t="e">
        <f>ROUND(Tableau1[[#This Row],[LEN]]*#REF!+#REF!,0)</f>
        <v>#REF!</v>
      </c>
    </row>
    <row r="366" spans="1:18" s="97" customFormat="1" hidden="1" x14ac:dyDescent="0.25">
      <c r="A366" s="86" t="s">
        <v>696</v>
      </c>
      <c r="B366" s="87" t="s">
        <v>660</v>
      </c>
      <c r="C366" s="425" t="s">
        <v>2150</v>
      </c>
      <c r="D366" s="88" t="s">
        <v>153</v>
      </c>
      <c r="E366" s="89" t="s">
        <v>1177</v>
      </c>
      <c r="F366" s="88" t="s">
        <v>669</v>
      </c>
      <c r="G366" s="88" t="s">
        <v>1177</v>
      </c>
      <c r="H366" s="89" t="s">
        <v>166</v>
      </c>
      <c r="I366" s="90" t="s">
        <v>654</v>
      </c>
      <c r="J366" s="88"/>
      <c r="K366" s="91" t="s">
        <v>728</v>
      </c>
      <c r="L366" s="91" t="str">
        <f t="shared" si="10"/>
        <v>Documentation</v>
      </c>
      <c r="M366" s="112">
        <f>ROUND(Tableau1[[#This Row],[LEN]]*7.27,0)</f>
        <v>276</v>
      </c>
      <c r="N366" s="112">
        <v>15</v>
      </c>
      <c r="O366" s="129" t="str">
        <f t="shared" si="11"/>
        <v>_blank</v>
      </c>
      <c r="P366" s="112">
        <f>LEN(Tableau1[[#This Row],[LABEL]])</f>
        <v>38</v>
      </c>
      <c r="Q366" s="112">
        <v>15</v>
      </c>
      <c r="R366" s="112" t="e">
        <f>ROUND(Tableau1[[#This Row],[LEN]]*#REF!+#REF!,0)</f>
        <v>#REF!</v>
      </c>
    </row>
    <row r="367" spans="1:18" s="97" customFormat="1" hidden="1" x14ac:dyDescent="0.25">
      <c r="A367" s="86" t="s">
        <v>697</v>
      </c>
      <c r="B367" s="87" t="s">
        <v>660</v>
      </c>
      <c r="C367" s="425" t="s">
        <v>2150</v>
      </c>
      <c r="D367" s="88" t="s">
        <v>154</v>
      </c>
      <c r="E367" s="89" t="s">
        <v>1177</v>
      </c>
      <c r="F367" s="88" t="s">
        <v>669</v>
      </c>
      <c r="G367" s="88" t="s">
        <v>1177</v>
      </c>
      <c r="H367" s="89" t="s">
        <v>166</v>
      </c>
      <c r="I367" s="90" t="s">
        <v>654</v>
      </c>
      <c r="J367" s="88"/>
      <c r="K367" s="91" t="s">
        <v>708</v>
      </c>
      <c r="L367" s="91" t="str">
        <f t="shared" si="10"/>
        <v>_</v>
      </c>
      <c r="M367" s="112">
        <f>ROUND(Tableau1[[#This Row],[LEN]]*7.27,0)</f>
        <v>262</v>
      </c>
      <c r="N367" s="112">
        <v>15</v>
      </c>
      <c r="O367" s="129" t="str">
        <f t="shared" si="11"/>
        <v>_self</v>
      </c>
      <c r="P367" s="112">
        <f>LEN(Tableau1[[#This Row],[LABEL]])</f>
        <v>36</v>
      </c>
      <c r="Q367" s="112">
        <v>15</v>
      </c>
      <c r="R367" s="112" t="e">
        <f>ROUND(Tableau1[[#This Row],[LEN]]*#REF!+#REF!,0)</f>
        <v>#REF!</v>
      </c>
    </row>
    <row r="368" spans="1:18" s="97" customFormat="1" hidden="1" x14ac:dyDescent="0.25">
      <c r="A368" s="86" t="s">
        <v>698</v>
      </c>
      <c r="B368" s="87" t="s">
        <v>660</v>
      </c>
      <c r="C368" s="425" t="s">
        <v>2150</v>
      </c>
      <c r="D368" s="88" t="s">
        <v>155</v>
      </c>
      <c r="E368" s="89" t="s">
        <v>1177</v>
      </c>
      <c r="F368" s="88" t="s">
        <v>669</v>
      </c>
      <c r="G368" s="88" t="s">
        <v>1177</v>
      </c>
      <c r="H368" s="89" t="s">
        <v>166</v>
      </c>
      <c r="I368" s="90" t="s">
        <v>570</v>
      </c>
      <c r="J368" s="88"/>
      <c r="K368" s="91" t="s">
        <v>708</v>
      </c>
      <c r="L368" s="91" t="str">
        <f t="shared" si="10"/>
        <v>_</v>
      </c>
      <c r="M368" s="112">
        <f>ROUND(Tableau1[[#This Row],[LEN]]*7.27,0)</f>
        <v>218</v>
      </c>
      <c r="N368" s="112">
        <v>15</v>
      </c>
      <c r="O368" s="129" t="str">
        <f t="shared" si="11"/>
        <v>_self</v>
      </c>
      <c r="P368" s="112">
        <f>LEN(Tableau1[[#This Row],[LABEL]])</f>
        <v>30</v>
      </c>
      <c r="Q368" s="112">
        <v>15</v>
      </c>
      <c r="R368" s="112" t="e">
        <f>ROUND(Tableau1[[#This Row],[LEN]]*#REF!+#REF!,0)</f>
        <v>#REF!</v>
      </c>
    </row>
    <row r="369" spans="1:18" s="97" customFormat="1" hidden="1" x14ac:dyDescent="0.25">
      <c r="A369" s="25" t="s">
        <v>489</v>
      </c>
      <c r="B369" s="26" t="s">
        <v>255</v>
      </c>
      <c r="C369" s="425" t="s">
        <v>2150</v>
      </c>
      <c r="D369" s="27" t="s">
        <v>778</v>
      </c>
      <c r="E369" s="70" t="s">
        <v>1177</v>
      </c>
      <c r="F369" s="27" t="s">
        <v>673</v>
      </c>
      <c r="G369" s="27" t="s">
        <v>2000</v>
      </c>
      <c r="H369" s="70" t="s">
        <v>166</v>
      </c>
      <c r="I369" s="70" t="s">
        <v>17</v>
      </c>
      <c r="J369" s="27"/>
      <c r="K369" s="28" t="s">
        <v>708</v>
      </c>
      <c r="L369" s="28" t="str">
        <f t="shared" si="10"/>
        <v>_</v>
      </c>
      <c r="M369" s="109">
        <f>ROUND(Tableau1[[#This Row],[LEN]]*7.27,0)</f>
        <v>211</v>
      </c>
      <c r="N369" s="109">
        <v>15</v>
      </c>
      <c r="O369" s="127" t="str">
        <f t="shared" si="11"/>
        <v>_self</v>
      </c>
      <c r="P369" s="109">
        <f>LEN(Tableau1[[#This Row],[LABEL]])</f>
        <v>29</v>
      </c>
      <c r="Q369" s="109">
        <v>15</v>
      </c>
      <c r="R369" s="109" t="e">
        <f>ROUND(Tableau1[[#This Row],[LEN]]*#REF!+#REF!,0)</f>
        <v>#REF!</v>
      </c>
    </row>
    <row r="370" spans="1:18" s="97" customFormat="1" hidden="1" x14ac:dyDescent="0.25">
      <c r="A370" s="25" t="s">
        <v>490</v>
      </c>
      <c r="B370" s="26" t="s">
        <v>255</v>
      </c>
      <c r="C370" s="425" t="s">
        <v>2150</v>
      </c>
      <c r="D370" s="27" t="s">
        <v>92</v>
      </c>
      <c r="E370" s="70" t="s">
        <v>1177</v>
      </c>
      <c r="F370" s="27" t="s">
        <v>663</v>
      </c>
      <c r="G370" s="27" t="s">
        <v>2080</v>
      </c>
      <c r="H370" s="70" t="s">
        <v>166</v>
      </c>
      <c r="I370" s="70" t="s">
        <v>655</v>
      </c>
      <c r="J370" s="27"/>
      <c r="K370" s="28" t="s">
        <v>708</v>
      </c>
      <c r="L370" s="28" t="str">
        <f t="shared" si="10"/>
        <v>_</v>
      </c>
      <c r="M370" s="109">
        <f>ROUND(Tableau1[[#This Row],[LEN]]*7.27,0)</f>
        <v>262</v>
      </c>
      <c r="N370" s="109">
        <v>15</v>
      </c>
      <c r="O370" s="127" t="str">
        <f t="shared" si="11"/>
        <v>_self</v>
      </c>
      <c r="P370" s="109">
        <f>LEN(Tableau1[[#This Row],[LABEL]])</f>
        <v>36</v>
      </c>
      <c r="Q370" s="109">
        <v>15</v>
      </c>
      <c r="R370" s="109" t="e">
        <f>ROUND(Tableau1[[#This Row],[LEN]]*#REF!+#REF!,0)</f>
        <v>#REF!</v>
      </c>
    </row>
    <row r="371" spans="1:18" s="97" customFormat="1" hidden="1" x14ac:dyDescent="0.25">
      <c r="A371" s="29" t="s">
        <v>699</v>
      </c>
      <c r="B371" s="30" t="s">
        <v>490</v>
      </c>
      <c r="C371" s="425" t="s">
        <v>2150</v>
      </c>
      <c r="D371" s="31" t="s">
        <v>95</v>
      </c>
      <c r="E371" s="71" t="s">
        <v>1177</v>
      </c>
      <c r="F371" s="31" t="s">
        <v>663</v>
      </c>
      <c r="G371" s="31" t="s">
        <v>2080</v>
      </c>
      <c r="H371" s="71" t="s">
        <v>166</v>
      </c>
      <c r="I371" s="71" t="s">
        <v>18</v>
      </c>
      <c r="J371" s="31"/>
      <c r="K371" s="32" t="s">
        <v>708</v>
      </c>
      <c r="L371" s="32" t="str">
        <f t="shared" si="10"/>
        <v>_</v>
      </c>
      <c r="M371" s="111">
        <f>ROUND(Tableau1[[#This Row],[LEN]]*7.27,0)</f>
        <v>254</v>
      </c>
      <c r="N371" s="111">
        <v>15</v>
      </c>
      <c r="O371" s="128" t="str">
        <f t="shared" si="11"/>
        <v>_self</v>
      </c>
      <c r="P371" s="111">
        <f>LEN(Tableau1[[#This Row],[LABEL]])</f>
        <v>35</v>
      </c>
      <c r="Q371" s="111">
        <v>15</v>
      </c>
      <c r="R371" s="111" t="e">
        <f>ROUND(Tableau1[[#This Row],[LEN]]*#REF!+#REF!,0)</f>
        <v>#REF!</v>
      </c>
    </row>
    <row r="372" spans="1:18" s="97" customFormat="1" hidden="1" x14ac:dyDescent="0.25">
      <c r="A372" s="29" t="s">
        <v>700</v>
      </c>
      <c r="B372" s="30" t="s">
        <v>490</v>
      </c>
      <c r="C372" s="425" t="s">
        <v>2150</v>
      </c>
      <c r="D372" s="31" t="s">
        <v>96</v>
      </c>
      <c r="E372" s="71" t="s">
        <v>1177</v>
      </c>
      <c r="F372" s="31" t="s">
        <v>663</v>
      </c>
      <c r="G372" s="31" t="s">
        <v>2080</v>
      </c>
      <c r="H372" s="71" t="s">
        <v>166</v>
      </c>
      <c r="I372" s="71" t="s">
        <v>18</v>
      </c>
      <c r="J372" s="31"/>
      <c r="K372" s="32" t="s">
        <v>708</v>
      </c>
      <c r="L372" s="32" t="str">
        <f t="shared" si="10"/>
        <v>_</v>
      </c>
      <c r="M372" s="111">
        <f>ROUND(Tableau1[[#This Row],[LEN]]*7.27,0)</f>
        <v>233</v>
      </c>
      <c r="N372" s="111">
        <v>15</v>
      </c>
      <c r="O372" s="128" t="str">
        <f t="shared" si="11"/>
        <v>_self</v>
      </c>
      <c r="P372" s="111">
        <f>LEN(Tableau1[[#This Row],[LABEL]])</f>
        <v>32</v>
      </c>
      <c r="Q372" s="111">
        <v>15</v>
      </c>
      <c r="R372" s="111" t="e">
        <f>ROUND(Tableau1[[#This Row],[LEN]]*#REF!+#REF!,0)</f>
        <v>#REF!</v>
      </c>
    </row>
    <row r="373" spans="1:18" s="97" customFormat="1" hidden="1" x14ac:dyDescent="0.25">
      <c r="A373" s="29" t="s">
        <v>1391</v>
      </c>
      <c r="B373" s="30" t="s">
        <v>490</v>
      </c>
      <c r="C373" s="425" t="s">
        <v>2150</v>
      </c>
      <c r="D373" s="31" t="s">
        <v>97</v>
      </c>
      <c r="E373" s="71" t="s">
        <v>1177</v>
      </c>
      <c r="F373" s="31" t="s">
        <v>663</v>
      </c>
      <c r="G373" s="31" t="s">
        <v>2080</v>
      </c>
      <c r="H373" s="71" t="s">
        <v>166</v>
      </c>
      <c r="I373" s="71" t="s">
        <v>656</v>
      </c>
      <c r="J373" s="31"/>
      <c r="K373" s="32" t="s">
        <v>708</v>
      </c>
      <c r="L373" s="32" t="str">
        <f t="shared" si="10"/>
        <v>_</v>
      </c>
      <c r="M373" s="111">
        <f>ROUND(Tableau1[[#This Row],[LEN]]*7.27,0)</f>
        <v>145</v>
      </c>
      <c r="N373" s="111">
        <v>15</v>
      </c>
      <c r="O373" s="128" t="str">
        <f t="shared" si="11"/>
        <v>_self</v>
      </c>
      <c r="P373" s="111">
        <f>LEN(Tableau1[[#This Row],[LABEL]])</f>
        <v>20</v>
      </c>
      <c r="Q373" s="111">
        <v>15</v>
      </c>
      <c r="R373" s="111" t="e">
        <f>ROUND(Tableau1[[#This Row],[LEN]]*#REF!+#REF!,0)</f>
        <v>#REF!</v>
      </c>
    </row>
    <row r="374" spans="1:18" s="97" customFormat="1" hidden="1" x14ac:dyDescent="0.25">
      <c r="A374" s="25" t="s">
        <v>491</v>
      </c>
      <c r="B374" s="26" t="s">
        <v>255</v>
      </c>
      <c r="C374" s="425" t="s">
        <v>2150</v>
      </c>
      <c r="D374" s="27" t="s">
        <v>1167</v>
      </c>
      <c r="E374" s="70" t="s">
        <v>486</v>
      </c>
      <c r="F374" s="27" t="s">
        <v>1085</v>
      </c>
      <c r="G374" s="27" t="s">
        <v>1084</v>
      </c>
      <c r="H374" s="70" t="s">
        <v>1977</v>
      </c>
      <c r="I374" s="70" t="s">
        <v>1131</v>
      </c>
      <c r="J374" s="27"/>
      <c r="K374" s="28" t="s">
        <v>708</v>
      </c>
      <c r="L374" s="28" t="str">
        <f t="shared" si="10"/>
        <v>_</v>
      </c>
      <c r="M374" s="109">
        <f>ROUND(Tableau1[[#This Row],[LEN]]*7.27,0)</f>
        <v>196</v>
      </c>
      <c r="N374" s="109">
        <v>15</v>
      </c>
      <c r="O374" s="127" t="str">
        <f t="shared" si="11"/>
        <v>_self</v>
      </c>
      <c r="P374" s="109">
        <f>LEN(Tableau1[[#This Row],[LABEL]])</f>
        <v>27</v>
      </c>
      <c r="Q374" s="109">
        <v>15</v>
      </c>
      <c r="R374" s="109" t="e">
        <f>ROUND(Tableau1[[#This Row],[LEN]]*#REF!+#REF!,0)</f>
        <v>#REF!</v>
      </c>
    </row>
    <row r="375" spans="1:18" s="97" customFormat="1" hidden="1" x14ac:dyDescent="0.25">
      <c r="A375" s="29" t="s">
        <v>1205</v>
      </c>
      <c r="B375" s="30" t="s">
        <v>491</v>
      </c>
      <c r="C375" s="425" t="s">
        <v>2150</v>
      </c>
      <c r="D375" s="31" t="s">
        <v>93</v>
      </c>
      <c r="E375" s="71" t="s">
        <v>1177</v>
      </c>
      <c r="F375" s="31" t="s">
        <v>1085</v>
      </c>
      <c r="G375" s="31" t="s">
        <v>1084</v>
      </c>
      <c r="H375" s="71" t="s">
        <v>166</v>
      </c>
      <c r="I375" s="71" t="s">
        <v>18</v>
      </c>
      <c r="J375" s="31"/>
      <c r="K375" s="32" t="s">
        <v>101</v>
      </c>
      <c r="L375" s="32" t="str">
        <f t="shared" si="10"/>
        <v>Documentation</v>
      </c>
      <c r="M375" s="111">
        <f>ROUND(Tableau1[[#This Row],[LEN]]*7.27,0)</f>
        <v>109</v>
      </c>
      <c r="N375" s="111">
        <v>15</v>
      </c>
      <c r="O375" s="128" t="str">
        <f t="shared" si="11"/>
        <v>_blank</v>
      </c>
      <c r="P375" s="111">
        <f>LEN(Tableau1[[#This Row],[LABEL]])</f>
        <v>15</v>
      </c>
      <c r="Q375" s="111">
        <v>15</v>
      </c>
      <c r="R375" s="111" t="e">
        <f>ROUND(Tableau1[[#This Row],[LEN]]*#REF!+#REF!,0)</f>
        <v>#REF!</v>
      </c>
    </row>
    <row r="376" spans="1:18" s="97" customFormat="1" hidden="1" x14ac:dyDescent="0.25">
      <c r="A376" s="29" t="s">
        <v>1206</v>
      </c>
      <c r="B376" s="30" t="s">
        <v>491</v>
      </c>
      <c r="C376" s="425" t="s">
        <v>2150</v>
      </c>
      <c r="D376" s="31" t="s">
        <v>94</v>
      </c>
      <c r="E376" s="71" t="s">
        <v>1177</v>
      </c>
      <c r="F376" s="31" t="s">
        <v>1085</v>
      </c>
      <c r="G376" s="31" t="s">
        <v>1084</v>
      </c>
      <c r="H376" s="71" t="s">
        <v>166</v>
      </c>
      <c r="I376" s="71" t="s">
        <v>18</v>
      </c>
      <c r="J376" s="31"/>
      <c r="K376" s="32" t="s">
        <v>102</v>
      </c>
      <c r="L376" s="32" t="str">
        <f t="shared" si="10"/>
        <v>Documentation</v>
      </c>
      <c r="M376" s="111">
        <f>ROUND(Tableau1[[#This Row],[LEN]]*7.27,0)</f>
        <v>58</v>
      </c>
      <c r="N376" s="111">
        <v>15</v>
      </c>
      <c r="O376" s="128" t="str">
        <f t="shared" si="11"/>
        <v>_blank</v>
      </c>
      <c r="P376" s="111">
        <f>LEN(Tableau1[[#This Row],[LABEL]])</f>
        <v>8</v>
      </c>
      <c r="Q376" s="111">
        <v>15</v>
      </c>
      <c r="R376" s="111" t="e">
        <f>ROUND(Tableau1[[#This Row],[LEN]]*#REF!+#REF!,0)</f>
        <v>#REF!</v>
      </c>
    </row>
    <row r="377" spans="1:18" s="273" customFormat="1" hidden="1" x14ac:dyDescent="0.25">
      <c r="A377" s="288" t="s">
        <v>256</v>
      </c>
      <c r="B377" s="289" t="s">
        <v>206</v>
      </c>
      <c r="C377" s="425" t="s">
        <v>2150</v>
      </c>
      <c r="D377" s="290" t="s">
        <v>7</v>
      </c>
      <c r="E377" s="291" t="s">
        <v>1177</v>
      </c>
      <c r="F377" s="290" t="s">
        <v>663</v>
      </c>
      <c r="G377" s="290" t="s">
        <v>670</v>
      </c>
      <c r="H377" s="291" t="s">
        <v>166</v>
      </c>
      <c r="I377" s="291" t="str">
        <f>IFERROR(IF(SEARCH(".00.00.00.00.00",Tableau1[[#This Row],[name]],1)=7,"Division",""),"")</f>
        <v>Division</v>
      </c>
      <c r="J377" s="290"/>
      <c r="K377" s="292" t="s">
        <v>708</v>
      </c>
      <c r="L377" s="292" t="str">
        <f t="shared" si="10"/>
        <v>_</v>
      </c>
      <c r="M377" s="293">
        <f>ROUND(Tableau1[[#This Row],[LEN]]*7.27,0)</f>
        <v>189</v>
      </c>
      <c r="N377" s="293">
        <v>15</v>
      </c>
      <c r="O377" s="294" t="str">
        <f t="shared" si="11"/>
        <v>_self</v>
      </c>
      <c r="P377" s="293">
        <f>LEN(Tableau1[[#This Row],[LABEL]])</f>
        <v>26</v>
      </c>
      <c r="Q377" s="293">
        <v>15</v>
      </c>
      <c r="R377" s="293" t="e">
        <f>ROUND(Tableau1[[#This Row],[LEN]]*#REF!+#REF!,0)</f>
        <v>#REF!</v>
      </c>
    </row>
    <row r="378" spans="1:18" s="97" customFormat="1" hidden="1" x14ac:dyDescent="0.25">
      <c r="A378" s="25" t="s">
        <v>1193</v>
      </c>
      <c r="B378" s="26" t="s">
        <v>256</v>
      </c>
      <c r="C378" s="425" t="s">
        <v>2150</v>
      </c>
      <c r="D378" s="27" t="s">
        <v>1198</v>
      </c>
      <c r="E378" s="70" t="s">
        <v>1177</v>
      </c>
      <c r="F378" s="27" t="s">
        <v>670</v>
      </c>
      <c r="G378" s="27" t="s">
        <v>678</v>
      </c>
      <c r="H378" s="70" t="s">
        <v>166</v>
      </c>
      <c r="I378" s="70" t="s">
        <v>656</v>
      </c>
      <c r="J378" s="27"/>
      <c r="K378" s="28" t="s">
        <v>708</v>
      </c>
      <c r="L378" s="28" t="str">
        <f t="shared" si="10"/>
        <v>_</v>
      </c>
      <c r="M378" s="109">
        <f>ROUND(Tableau1[[#This Row],[LEN]]*7.27,0)</f>
        <v>204</v>
      </c>
      <c r="N378" s="109">
        <v>15</v>
      </c>
      <c r="O378" s="127" t="str">
        <f t="shared" si="11"/>
        <v>_self</v>
      </c>
      <c r="P378" s="109">
        <f>LEN(Tableau1[[#This Row],[LABEL]])</f>
        <v>28</v>
      </c>
      <c r="Q378" s="109">
        <v>15</v>
      </c>
      <c r="R378" s="109" t="e">
        <f>ROUND(Tableau1[[#This Row],[LEN]]*#REF!+#REF!,0)</f>
        <v>#REF!</v>
      </c>
    </row>
    <row r="379" spans="1:18" s="97" customFormat="1" hidden="1" x14ac:dyDescent="0.25">
      <c r="A379" s="25" t="s">
        <v>1194</v>
      </c>
      <c r="B379" s="26" t="s">
        <v>256</v>
      </c>
      <c r="C379" s="425" t="s">
        <v>2150</v>
      </c>
      <c r="D379" s="27" t="s">
        <v>1199</v>
      </c>
      <c r="E379" s="70" t="s">
        <v>1177</v>
      </c>
      <c r="F379" s="27" t="s">
        <v>670</v>
      </c>
      <c r="G379" s="27" t="s">
        <v>1177</v>
      </c>
      <c r="H379" s="70" t="s">
        <v>166</v>
      </c>
      <c r="I379" s="70" t="s">
        <v>17</v>
      </c>
      <c r="J379" s="27"/>
      <c r="K379" s="28" t="s">
        <v>708</v>
      </c>
      <c r="L379" s="28" t="str">
        <f t="shared" si="10"/>
        <v>_</v>
      </c>
      <c r="M379" s="109">
        <f>ROUND(Tableau1[[#This Row],[LEN]]*7.27,0)</f>
        <v>305</v>
      </c>
      <c r="N379" s="109">
        <v>15</v>
      </c>
      <c r="O379" s="127" t="str">
        <f t="shared" si="11"/>
        <v>_self</v>
      </c>
      <c r="P379" s="109">
        <f>LEN(Tableau1[[#This Row],[LABEL]])</f>
        <v>42</v>
      </c>
      <c r="Q379" s="109">
        <v>15</v>
      </c>
      <c r="R379" s="109" t="e">
        <f>ROUND(Tableau1[[#This Row],[LEN]]*#REF!+#REF!,0)</f>
        <v>#REF!</v>
      </c>
    </row>
    <row r="380" spans="1:18" s="97" customFormat="1" hidden="1" x14ac:dyDescent="0.25">
      <c r="A380" s="25" t="s">
        <v>1195</v>
      </c>
      <c r="B380" s="26" t="s">
        <v>256</v>
      </c>
      <c r="C380" s="425" t="s">
        <v>2150</v>
      </c>
      <c r="D380" s="27" t="s">
        <v>88</v>
      </c>
      <c r="E380" s="70" t="s">
        <v>1177</v>
      </c>
      <c r="F380" s="27" t="s">
        <v>667</v>
      </c>
      <c r="G380" s="27" t="s">
        <v>1218</v>
      </c>
      <c r="H380" s="70" t="s">
        <v>166</v>
      </c>
      <c r="I380" s="70" t="s">
        <v>570</v>
      </c>
      <c r="J380" s="27"/>
      <c r="K380" s="28" t="s">
        <v>708</v>
      </c>
      <c r="L380" s="28" t="str">
        <f t="shared" si="10"/>
        <v>_</v>
      </c>
      <c r="M380" s="109">
        <f>ROUND(Tableau1[[#This Row],[LEN]]*7.27,0)</f>
        <v>342</v>
      </c>
      <c r="N380" s="109">
        <v>15</v>
      </c>
      <c r="O380" s="127" t="str">
        <f t="shared" si="11"/>
        <v>_self</v>
      </c>
      <c r="P380" s="109">
        <f>LEN(Tableau1[[#This Row],[LABEL]])</f>
        <v>47</v>
      </c>
      <c r="Q380" s="109">
        <v>15</v>
      </c>
      <c r="R380" s="109" t="e">
        <f>ROUND(Tableau1[[#This Row],[LEN]]*#REF!+#REF!,0)</f>
        <v>#REF!</v>
      </c>
    </row>
    <row r="381" spans="1:18" s="97" customFormat="1" hidden="1" x14ac:dyDescent="0.25">
      <c r="A381" s="25" t="s">
        <v>1196</v>
      </c>
      <c r="B381" s="26" t="s">
        <v>256</v>
      </c>
      <c r="C381" s="425" t="s">
        <v>2150</v>
      </c>
      <c r="D381" s="27" t="s">
        <v>1200</v>
      </c>
      <c r="E381" s="70" t="s">
        <v>1177</v>
      </c>
      <c r="F381" s="27" t="s">
        <v>670</v>
      </c>
      <c r="G381" s="27" t="s">
        <v>1177</v>
      </c>
      <c r="H381" s="70" t="s">
        <v>166</v>
      </c>
      <c r="I381" s="70" t="s">
        <v>655</v>
      </c>
      <c r="J381" s="27"/>
      <c r="K381" s="28" t="s">
        <v>708</v>
      </c>
      <c r="L381" s="28" t="str">
        <f t="shared" si="10"/>
        <v>_</v>
      </c>
      <c r="M381" s="109">
        <f>ROUND(Tableau1[[#This Row],[LEN]]*7.27,0)</f>
        <v>298</v>
      </c>
      <c r="N381" s="109">
        <v>15</v>
      </c>
      <c r="O381" s="127" t="str">
        <f t="shared" si="11"/>
        <v>_self</v>
      </c>
      <c r="P381" s="109">
        <f>LEN(Tableau1[[#This Row],[LABEL]])</f>
        <v>41</v>
      </c>
      <c r="Q381" s="109">
        <v>15</v>
      </c>
      <c r="R381" s="109" t="e">
        <f>ROUND(Tableau1[[#This Row],[LEN]]*#REF!+#REF!,0)</f>
        <v>#REF!</v>
      </c>
    </row>
    <row r="382" spans="1:18" s="97" customFormat="1" hidden="1" x14ac:dyDescent="0.25">
      <c r="A382" s="29" t="s">
        <v>1214</v>
      </c>
      <c r="B382" s="30" t="s">
        <v>1196</v>
      </c>
      <c r="C382" s="425" t="s">
        <v>2150</v>
      </c>
      <c r="D382" s="31" t="s">
        <v>1211</v>
      </c>
      <c r="E382" s="71" t="s">
        <v>1177</v>
      </c>
      <c r="F382" s="31" t="s">
        <v>670</v>
      </c>
      <c r="G382" s="31" t="s">
        <v>1177</v>
      </c>
      <c r="H382" s="71" t="s">
        <v>166</v>
      </c>
      <c r="I382" s="71" t="s">
        <v>654</v>
      </c>
      <c r="J382" s="31"/>
      <c r="K382" s="32" t="s">
        <v>708</v>
      </c>
      <c r="L382" s="32" t="str">
        <f t="shared" si="10"/>
        <v>_</v>
      </c>
      <c r="M382" s="111">
        <f>ROUND(Tableau1[[#This Row],[LEN]]*7.27,0)</f>
        <v>240</v>
      </c>
      <c r="N382" s="111">
        <v>15</v>
      </c>
      <c r="O382" s="128" t="str">
        <f t="shared" si="11"/>
        <v>_self</v>
      </c>
      <c r="P382" s="111">
        <f>LEN(Tableau1[[#This Row],[LABEL]])</f>
        <v>33</v>
      </c>
      <c r="Q382" s="111">
        <v>15</v>
      </c>
      <c r="R382" s="111" t="e">
        <f>ROUND(Tableau1[[#This Row],[LEN]]*#REF!+#REF!,0)</f>
        <v>#REF!</v>
      </c>
    </row>
    <row r="383" spans="1:18" s="97" customFormat="1" hidden="1" x14ac:dyDescent="0.25">
      <c r="A383" s="29" t="s">
        <v>1215</v>
      </c>
      <c r="B383" s="30" t="s">
        <v>1196</v>
      </c>
      <c r="C383" s="425" t="s">
        <v>2150</v>
      </c>
      <c r="D383" s="31" t="s">
        <v>1212</v>
      </c>
      <c r="E383" s="71" t="s">
        <v>1177</v>
      </c>
      <c r="F383" s="31" t="s">
        <v>670</v>
      </c>
      <c r="G383" s="31" t="s">
        <v>1177</v>
      </c>
      <c r="H383" s="71" t="s">
        <v>166</v>
      </c>
      <c r="I383" s="71" t="s">
        <v>654</v>
      </c>
      <c r="J383" s="31"/>
      <c r="K383" s="32" t="s">
        <v>708</v>
      </c>
      <c r="L383" s="32" t="str">
        <f t="shared" si="10"/>
        <v>_</v>
      </c>
      <c r="M383" s="111">
        <f>ROUND(Tableau1[[#This Row],[LEN]]*7.27,0)</f>
        <v>327</v>
      </c>
      <c r="N383" s="111">
        <v>15</v>
      </c>
      <c r="O383" s="128" t="str">
        <f t="shared" si="11"/>
        <v>_self</v>
      </c>
      <c r="P383" s="111">
        <f>LEN(Tableau1[[#This Row],[LABEL]])</f>
        <v>45</v>
      </c>
      <c r="Q383" s="111">
        <v>15</v>
      </c>
      <c r="R383" s="111" t="e">
        <f>ROUND(Tableau1[[#This Row],[LEN]]*#REF!+#REF!,0)</f>
        <v>#REF!</v>
      </c>
    </row>
    <row r="384" spans="1:18" s="97" customFormat="1" hidden="1" x14ac:dyDescent="0.25">
      <c r="A384" s="29" t="s">
        <v>1216</v>
      </c>
      <c r="B384" s="30" t="s">
        <v>1196</v>
      </c>
      <c r="C384" s="425" t="s">
        <v>2150</v>
      </c>
      <c r="D384" s="31" t="s">
        <v>1213</v>
      </c>
      <c r="E384" s="71" t="s">
        <v>1177</v>
      </c>
      <c r="F384" s="31" t="s">
        <v>670</v>
      </c>
      <c r="G384" s="31" t="s">
        <v>1177</v>
      </c>
      <c r="H384" s="71" t="s">
        <v>166</v>
      </c>
      <c r="I384" s="71" t="s">
        <v>654</v>
      </c>
      <c r="J384" s="31"/>
      <c r="K384" s="32" t="s">
        <v>708</v>
      </c>
      <c r="L384" s="32" t="str">
        <f t="shared" si="10"/>
        <v>_</v>
      </c>
      <c r="M384" s="111">
        <f>ROUND(Tableau1[[#This Row],[LEN]]*7.27,0)</f>
        <v>334</v>
      </c>
      <c r="N384" s="111">
        <v>15</v>
      </c>
      <c r="O384" s="128" t="str">
        <f t="shared" si="11"/>
        <v>_self</v>
      </c>
      <c r="P384" s="111">
        <f>LEN(Tableau1[[#This Row],[LABEL]])</f>
        <v>46</v>
      </c>
      <c r="Q384" s="111">
        <v>15</v>
      </c>
      <c r="R384" s="111" t="e">
        <f>ROUND(Tableau1[[#This Row],[LEN]]*#REF!+#REF!,0)</f>
        <v>#REF!</v>
      </c>
    </row>
    <row r="385" spans="1:18 16372:16376" s="97" customFormat="1" hidden="1" x14ac:dyDescent="0.25">
      <c r="A385" s="25" t="s">
        <v>1197</v>
      </c>
      <c r="B385" s="26" t="s">
        <v>256</v>
      </c>
      <c r="C385" s="425" t="s">
        <v>2150</v>
      </c>
      <c r="D385" s="27" t="s">
        <v>1167</v>
      </c>
      <c r="E385" s="70" t="s">
        <v>486</v>
      </c>
      <c r="F385" s="27" t="s">
        <v>1085</v>
      </c>
      <c r="G385" s="27" t="s">
        <v>1084</v>
      </c>
      <c r="H385" s="70" t="s">
        <v>1977</v>
      </c>
      <c r="I385" s="70" t="s">
        <v>1131</v>
      </c>
      <c r="J385" s="27"/>
      <c r="K385" s="28" t="s">
        <v>708</v>
      </c>
      <c r="L385" s="28" t="str">
        <f t="shared" si="10"/>
        <v>_</v>
      </c>
      <c r="M385" s="109">
        <f>ROUND(Tableau1[[#This Row],[LEN]]*7.27,0)</f>
        <v>196</v>
      </c>
      <c r="N385" s="109">
        <v>15</v>
      </c>
      <c r="O385" s="127" t="str">
        <f t="shared" si="11"/>
        <v>_self</v>
      </c>
      <c r="P385" s="109">
        <f>LEN(Tableau1[[#This Row],[LABEL]])</f>
        <v>27</v>
      </c>
      <c r="Q385" s="109">
        <v>15</v>
      </c>
      <c r="R385" s="109" t="e">
        <f>ROUND(Tableau1[[#This Row],[LEN]]*#REF!+#REF!,0)</f>
        <v>#REF!</v>
      </c>
    </row>
    <row r="386" spans="1:18 16372:16376" s="97" customFormat="1" hidden="1" x14ac:dyDescent="0.25">
      <c r="A386" s="29" t="s">
        <v>1207</v>
      </c>
      <c r="B386" s="30" t="s">
        <v>1197</v>
      </c>
      <c r="C386" s="425" t="s">
        <v>2150</v>
      </c>
      <c r="D386" s="31" t="s">
        <v>93</v>
      </c>
      <c r="E386" s="71" t="s">
        <v>1177</v>
      </c>
      <c r="F386" s="31" t="s">
        <v>1085</v>
      </c>
      <c r="G386" s="31" t="s">
        <v>1084</v>
      </c>
      <c r="H386" s="71" t="s">
        <v>166</v>
      </c>
      <c r="I386" s="71" t="s">
        <v>18</v>
      </c>
      <c r="J386" s="31"/>
      <c r="K386" s="32" t="s">
        <v>101</v>
      </c>
      <c r="L386" s="32" t="str">
        <f t="shared" si="10"/>
        <v>Documentation</v>
      </c>
      <c r="M386" s="111">
        <f>ROUND(Tableau1[[#This Row],[LEN]]*7.27,0)</f>
        <v>109</v>
      </c>
      <c r="N386" s="111">
        <v>15</v>
      </c>
      <c r="O386" s="128" t="str">
        <f t="shared" si="11"/>
        <v>_blank</v>
      </c>
      <c r="P386" s="111">
        <f>LEN(Tableau1[[#This Row],[LABEL]])</f>
        <v>15</v>
      </c>
      <c r="Q386" s="111">
        <v>15</v>
      </c>
      <c r="R386" s="111" t="e">
        <f>ROUND(Tableau1[[#This Row],[LEN]]*#REF!+#REF!,0)</f>
        <v>#REF!</v>
      </c>
    </row>
    <row r="387" spans="1:18 16372:16376" s="97" customFormat="1" hidden="1" x14ac:dyDescent="0.25">
      <c r="A387" s="29" t="s">
        <v>1208</v>
      </c>
      <c r="B387" s="30" t="s">
        <v>1197</v>
      </c>
      <c r="C387" s="425" t="s">
        <v>2150</v>
      </c>
      <c r="D387" s="31" t="s">
        <v>94</v>
      </c>
      <c r="E387" s="71" t="s">
        <v>1177</v>
      </c>
      <c r="F387" s="31" t="s">
        <v>1085</v>
      </c>
      <c r="G387" s="31" t="s">
        <v>1084</v>
      </c>
      <c r="H387" s="71" t="s">
        <v>166</v>
      </c>
      <c r="I387" s="71" t="s">
        <v>18</v>
      </c>
      <c r="J387" s="31"/>
      <c r="K387" s="32" t="s">
        <v>102</v>
      </c>
      <c r="L387" s="32" t="str">
        <f t="shared" si="10"/>
        <v>Documentation</v>
      </c>
      <c r="M387" s="111">
        <f>ROUND(Tableau1[[#This Row],[LEN]]*7.27,0)</f>
        <v>58</v>
      </c>
      <c r="N387" s="111">
        <v>15</v>
      </c>
      <c r="O387" s="128" t="str">
        <f t="shared" si="11"/>
        <v>_blank</v>
      </c>
      <c r="P387" s="111">
        <f>LEN(Tableau1[[#This Row],[LABEL]])</f>
        <v>8</v>
      </c>
      <c r="Q387" s="111">
        <v>15</v>
      </c>
      <c r="R387" s="111" t="e">
        <f>ROUND(Tableau1[[#This Row],[LEN]]*#REF!+#REF!,0)</f>
        <v>#REF!</v>
      </c>
    </row>
    <row r="388" spans="1:18 16372:16376" s="273" customFormat="1" hidden="1" x14ac:dyDescent="0.25">
      <c r="A388" s="288" t="s">
        <v>257</v>
      </c>
      <c r="B388" s="289" t="s">
        <v>206</v>
      </c>
      <c r="C388" s="425" t="s">
        <v>2150</v>
      </c>
      <c r="D388" s="290" t="s">
        <v>8</v>
      </c>
      <c r="E388" s="291" t="s">
        <v>1177</v>
      </c>
      <c r="F388" s="290" t="s">
        <v>671</v>
      </c>
      <c r="G388" s="290" t="s">
        <v>1177</v>
      </c>
      <c r="H388" s="291" t="s">
        <v>166</v>
      </c>
      <c r="I388" s="291" t="str">
        <f>IFERROR(IF(SEARCH(".00.00.00.00.00",Tableau1[[#This Row],[name]],1)=7,"Division",""),"")</f>
        <v>Division</v>
      </c>
      <c r="J388" s="290"/>
      <c r="K388" s="292" t="s">
        <v>708</v>
      </c>
      <c r="L388" s="292" t="str">
        <f t="shared" si="10"/>
        <v>_</v>
      </c>
      <c r="M388" s="293">
        <f>ROUND(Tableau1[[#This Row],[LEN]]*7.27,0)</f>
        <v>116</v>
      </c>
      <c r="N388" s="293">
        <v>15</v>
      </c>
      <c r="O388" s="294" t="str">
        <f t="shared" si="11"/>
        <v>_self</v>
      </c>
      <c r="P388" s="293">
        <f>LEN(Tableau1[[#This Row],[LABEL]])</f>
        <v>16</v>
      </c>
      <c r="Q388" s="293">
        <v>15</v>
      </c>
      <c r="R388" s="293" t="e">
        <f>ROUND(Tableau1[[#This Row],[LEN]]*#REF!+#REF!,0)</f>
        <v>#REF!</v>
      </c>
    </row>
    <row r="389" spans="1:18 16372:16376" s="97" customFormat="1" hidden="1" x14ac:dyDescent="0.25">
      <c r="A389" s="25" t="s">
        <v>1220</v>
      </c>
      <c r="B389" s="26" t="s">
        <v>257</v>
      </c>
      <c r="C389" s="425" t="s">
        <v>2150</v>
      </c>
      <c r="D389" s="27" t="s">
        <v>1217</v>
      </c>
      <c r="E389" s="70" t="s">
        <v>1177</v>
      </c>
      <c r="F389" s="27" t="s">
        <v>671</v>
      </c>
      <c r="G389" s="27" t="s">
        <v>678</v>
      </c>
      <c r="H389" s="70" t="s">
        <v>166</v>
      </c>
      <c r="I389" s="70" t="s">
        <v>654</v>
      </c>
      <c r="J389" s="27"/>
      <c r="K389" s="28" t="s">
        <v>708</v>
      </c>
      <c r="L389" s="28" t="str">
        <f t="shared" ref="L389:L469" si="12">IF(K389="javascript:void(0)","_","Documentation")</f>
        <v>_</v>
      </c>
      <c r="M389" s="109">
        <f>ROUND(Tableau1[[#This Row],[LEN]]*7.27,0)</f>
        <v>160</v>
      </c>
      <c r="N389" s="109">
        <v>15</v>
      </c>
      <c r="O389" s="127" t="str">
        <f t="shared" si="11"/>
        <v>_self</v>
      </c>
      <c r="P389" s="109">
        <f>LEN(Tableau1[[#This Row],[LABEL]])</f>
        <v>22</v>
      </c>
      <c r="Q389" s="109">
        <v>15</v>
      </c>
      <c r="R389" s="109" t="e">
        <f>ROUND(Tableau1[[#This Row],[LEN]]*#REF!+#REF!,0)</f>
        <v>#REF!</v>
      </c>
    </row>
    <row r="390" spans="1:18 16372:16376" s="97" customFormat="1" hidden="1" x14ac:dyDescent="0.25">
      <c r="A390" s="25" t="s">
        <v>1221</v>
      </c>
      <c r="B390" s="26" t="s">
        <v>257</v>
      </c>
      <c r="C390" s="425" t="s">
        <v>2150</v>
      </c>
      <c r="D390" s="27" t="s">
        <v>88</v>
      </c>
      <c r="E390" s="70" t="s">
        <v>1177</v>
      </c>
      <c r="F390" s="27" t="s">
        <v>667</v>
      </c>
      <c r="G390" s="27" t="s">
        <v>1218</v>
      </c>
      <c r="H390" s="70" t="s">
        <v>166</v>
      </c>
      <c r="I390" s="70" t="s">
        <v>570</v>
      </c>
      <c r="J390" s="27"/>
      <c r="K390" s="28" t="s">
        <v>708</v>
      </c>
      <c r="L390" s="28" t="str">
        <f t="shared" si="12"/>
        <v>_</v>
      </c>
      <c r="M390" s="109">
        <f>ROUND(Tableau1[[#This Row],[LEN]]*7.27,0)</f>
        <v>342</v>
      </c>
      <c r="N390" s="109">
        <v>15</v>
      </c>
      <c r="O390" s="127" t="str">
        <f t="shared" ref="O390:O470" si="13">IF(K390="javascript:void(0)","_self","_blank")</f>
        <v>_self</v>
      </c>
      <c r="P390" s="109">
        <f>LEN(Tableau1[[#This Row],[LABEL]])</f>
        <v>47</v>
      </c>
      <c r="Q390" s="109">
        <v>15</v>
      </c>
      <c r="R390" s="109" t="e">
        <f>ROUND(Tableau1[[#This Row],[LEN]]*#REF!+#REF!,0)</f>
        <v>#REF!</v>
      </c>
    </row>
    <row r="391" spans="1:18 16372:16376" s="97" customFormat="1" hidden="1" x14ac:dyDescent="0.25">
      <c r="A391" s="25" t="s">
        <v>1222</v>
      </c>
      <c r="B391" s="26" t="s">
        <v>257</v>
      </c>
      <c r="C391" s="425" t="s">
        <v>2150</v>
      </c>
      <c r="D391" s="27" t="s">
        <v>1219</v>
      </c>
      <c r="E391" s="70" t="s">
        <v>1177</v>
      </c>
      <c r="F391" s="27" t="s">
        <v>671</v>
      </c>
      <c r="G391" s="27" t="s">
        <v>678</v>
      </c>
      <c r="H391" s="70" t="s">
        <v>166</v>
      </c>
      <c r="I391" s="70" t="s">
        <v>656</v>
      </c>
      <c r="J391" s="27"/>
      <c r="K391" s="28" t="s">
        <v>708</v>
      </c>
      <c r="L391" s="28" t="str">
        <f t="shared" si="12"/>
        <v>_</v>
      </c>
      <c r="M391" s="109">
        <f>ROUND(Tableau1[[#This Row],[LEN]]*7.27,0)</f>
        <v>240</v>
      </c>
      <c r="N391" s="109">
        <v>15</v>
      </c>
      <c r="O391" s="127" t="str">
        <f t="shared" si="13"/>
        <v>_self</v>
      </c>
      <c r="P391" s="109">
        <f>LEN(Tableau1[[#This Row],[LABEL]])</f>
        <v>33</v>
      </c>
      <c r="Q391" s="109">
        <v>15</v>
      </c>
      <c r="R391" s="109" t="e">
        <f>ROUND(Tableau1[[#This Row],[LEN]]*#REF!+#REF!,0)</f>
        <v>#REF!</v>
      </c>
    </row>
    <row r="392" spans="1:18 16372:16376" s="97" customFormat="1" hidden="1" x14ac:dyDescent="0.25">
      <c r="A392" s="25" t="s">
        <v>1223</v>
      </c>
      <c r="B392" s="26" t="s">
        <v>257</v>
      </c>
      <c r="C392" s="425" t="s">
        <v>2150</v>
      </c>
      <c r="D392" s="27" t="s">
        <v>1167</v>
      </c>
      <c r="E392" s="70" t="s">
        <v>486</v>
      </c>
      <c r="F392" s="27" t="s">
        <v>1085</v>
      </c>
      <c r="G392" s="27" t="s">
        <v>1084</v>
      </c>
      <c r="H392" s="70" t="s">
        <v>1977</v>
      </c>
      <c r="I392" s="70" t="s">
        <v>1131</v>
      </c>
      <c r="J392" s="27"/>
      <c r="K392" s="28" t="s">
        <v>708</v>
      </c>
      <c r="L392" s="28" t="str">
        <f t="shared" si="12"/>
        <v>_</v>
      </c>
      <c r="M392" s="109">
        <f>ROUND(Tableau1[[#This Row],[LEN]]*7.27,0)</f>
        <v>196</v>
      </c>
      <c r="N392" s="109">
        <v>15</v>
      </c>
      <c r="O392" s="127" t="str">
        <f t="shared" si="13"/>
        <v>_self</v>
      </c>
      <c r="P392" s="109">
        <f>LEN(Tableau1[[#This Row],[LABEL]])</f>
        <v>27</v>
      </c>
      <c r="Q392" s="109">
        <v>15</v>
      </c>
      <c r="R392" s="109" t="e">
        <f>ROUND(Tableau1[[#This Row],[LEN]]*#REF!+#REF!,0)</f>
        <v>#REF!</v>
      </c>
    </row>
    <row r="393" spans="1:18 16372:16376" s="97" customFormat="1" hidden="1" x14ac:dyDescent="0.25">
      <c r="A393" s="29" t="s">
        <v>1224</v>
      </c>
      <c r="B393" s="30" t="s">
        <v>1223</v>
      </c>
      <c r="C393" s="425" t="s">
        <v>2150</v>
      </c>
      <c r="D393" s="31" t="s">
        <v>93</v>
      </c>
      <c r="E393" s="71" t="s">
        <v>1177</v>
      </c>
      <c r="F393" s="31" t="s">
        <v>1085</v>
      </c>
      <c r="G393" s="31" t="s">
        <v>1084</v>
      </c>
      <c r="H393" s="71" t="s">
        <v>166</v>
      </c>
      <c r="I393" s="71" t="s">
        <v>18</v>
      </c>
      <c r="J393" s="31"/>
      <c r="K393" s="32" t="s">
        <v>101</v>
      </c>
      <c r="L393" s="32" t="str">
        <f t="shared" si="12"/>
        <v>Documentation</v>
      </c>
      <c r="M393" s="111">
        <f>ROUND(Tableau1[[#This Row],[LEN]]*7.27,0)</f>
        <v>109</v>
      </c>
      <c r="N393" s="111">
        <v>15</v>
      </c>
      <c r="O393" s="128" t="str">
        <f t="shared" si="13"/>
        <v>_blank</v>
      </c>
      <c r="P393" s="111">
        <f>LEN(Tableau1[[#This Row],[LABEL]])</f>
        <v>15</v>
      </c>
      <c r="Q393" s="111">
        <v>15</v>
      </c>
      <c r="R393" s="111" t="e">
        <f>ROUND(Tableau1[[#This Row],[LEN]]*#REF!+#REF!,0)</f>
        <v>#REF!</v>
      </c>
    </row>
    <row r="394" spans="1:18 16372:16376" s="97" customFormat="1" hidden="1" x14ac:dyDescent="0.25">
      <c r="A394" s="29" t="s">
        <v>1225</v>
      </c>
      <c r="B394" s="30" t="s">
        <v>1223</v>
      </c>
      <c r="C394" s="425" t="s">
        <v>2150</v>
      </c>
      <c r="D394" s="31" t="s">
        <v>94</v>
      </c>
      <c r="E394" s="71" t="s">
        <v>1177</v>
      </c>
      <c r="F394" s="31" t="s">
        <v>1085</v>
      </c>
      <c r="G394" s="31" t="s">
        <v>1084</v>
      </c>
      <c r="H394" s="71" t="s">
        <v>166</v>
      </c>
      <c r="I394" s="71" t="s">
        <v>18</v>
      </c>
      <c r="J394" s="31"/>
      <c r="K394" s="32" t="s">
        <v>102</v>
      </c>
      <c r="L394" s="32" t="str">
        <f t="shared" si="12"/>
        <v>Documentation</v>
      </c>
      <c r="M394" s="111">
        <f>ROUND(Tableau1[[#This Row],[LEN]]*7.27,0)</f>
        <v>58</v>
      </c>
      <c r="N394" s="111">
        <v>15</v>
      </c>
      <c r="O394" s="128" t="str">
        <f t="shared" si="13"/>
        <v>_blank</v>
      </c>
      <c r="P394" s="111">
        <f>LEN(Tableau1[[#This Row],[LABEL]])</f>
        <v>8</v>
      </c>
      <c r="Q394" s="111">
        <v>15</v>
      </c>
      <c r="R394" s="111" t="e">
        <f>ROUND(Tableau1[[#This Row],[LEN]]*#REF!+#REF!,0)</f>
        <v>#REF!</v>
      </c>
    </row>
    <row r="395" spans="1:18 16372:16376" s="273" customFormat="1" x14ac:dyDescent="0.25">
      <c r="A395" s="288" t="s">
        <v>258</v>
      </c>
      <c r="B395" s="289" t="s">
        <v>206</v>
      </c>
      <c r="C395" s="425" t="s">
        <v>2150</v>
      </c>
      <c r="D395" s="290" t="s">
        <v>9</v>
      </c>
      <c r="E395" s="291" t="s">
        <v>1177</v>
      </c>
      <c r="F395" s="290" t="s">
        <v>672</v>
      </c>
      <c r="G395" s="290" t="s">
        <v>1177</v>
      </c>
      <c r="H395" s="291" t="s">
        <v>166</v>
      </c>
      <c r="I395" s="291" t="str">
        <f>IFERROR(IF(SEARCH(".00.00.00.00.00",Tableau1[[#This Row],[name]],1)=7,"Division",""),"")</f>
        <v>Division</v>
      </c>
      <c r="J395" s="290"/>
      <c r="K395" s="292" t="s">
        <v>718</v>
      </c>
      <c r="L395" s="292" t="str">
        <f t="shared" si="12"/>
        <v>Documentation</v>
      </c>
      <c r="M395" s="293">
        <f>ROUND(Tableau1[[#This Row],[LEN]]*7.27,0)</f>
        <v>80</v>
      </c>
      <c r="N395" s="293">
        <v>15</v>
      </c>
      <c r="O395" s="294" t="str">
        <f t="shared" si="13"/>
        <v>_blank</v>
      </c>
      <c r="P395" s="293">
        <f>LEN(Tableau1[[#This Row],[LABEL]])</f>
        <v>11</v>
      </c>
      <c r="Q395" s="293">
        <v>15</v>
      </c>
      <c r="R395" s="293" t="e">
        <f>ROUND(Tableau1[[#This Row],[LEN]]*#REF!+#REF!,0)</f>
        <v>#REF!</v>
      </c>
    </row>
    <row r="396" spans="1:18 16372:16376" s="97" customFormat="1" x14ac:dyDescent="0.25">
      <c r="A396" s="25" t="s">
        <v>476</v>
      </c>
      <c r="B396" s="26" t="s">
        <v>258</v>
      </c>
      <c r="C396" s="425" t="s">
        <v>2150</v>
      </c>
      <c r="D396" s="27" t="s">
        <v>483</v>
      </c>
      <c r="E396" s="70" t="s">
        <v>1177</v>
      </c>
      <c r="F396" s="27" t="s">
        <v>672</v>
      </c>
      <c r="G396" s="27" t="s">
        <v>678</v>
      </c>
      <c r="H396" s="70" t="s">
        <v>166</v>
      </c>
      <c r="I396" s="70" t="s">
        <v>655</v>
      </c>
      <c r="J396" s="27"/>
      <c r="K396" s="28" t="s">
        <v>708</v>
      </c>
      <c r="L396" s="28" t="str">
        <f t="shared" si="12"/>
        <v>_</v>
      </c>
      <c r="M396" s="109">
        <f>ROUND(Tableau1[[#This Row],[LEN]]*7.27,0)</f>
        <v>247</v>
      </c>
      <c r="N396" s="109">
        <v>15</v>
      </c>
      <c r="O396" s="127" t="str">
        <f t="shared" si="13"/>
        <v>_self</v>
      </c>
      <c r="P396" s="109">
        <f>LEN(Tableau1[[#This Row],[LABEL]])</f>
        <v>34</v>
      </c>
      <c r="Q396" s="109">
        <v>15</v>
      </c>
      <c r="R396" s="109" t="e">
        <f>ROUND(Tableau1[[#This Row],[LEN]]*#REF!+#REF!,0)</f>
        <v>#REF!</v>
      </c>
    </row>
    <row r="397" spans="1:18 16372:16376" s="97" customFormat="1" x14ac:dyDescent="0.25">
      <c r="A397" s="425"/>
      <c r="B397" s="31"/>
      <c r="C397" s="425" t="s">
        <v>2150</v>
      </c>
      <c r="D397" s="444" t="s">
        <v>2165</v>
      </c>
      <c r="E397" s="71"/>
      <c r="L397" s="97" t="str">
        <f t="shared" ref="L397:L398" si="14">IF(K397="javascript:void(0)","_","Documentation")</f>
        <v>Documentation</v>
      </c>
      <c r="O397" s="97" t="str">
        <f t="shared" ref="O397:O398" si="15">IF(K397="javascript:void(0)","none","new")</f>
        <v>new</v>
      </c>
      <c r="P397" s="97">
        <f>LEN(Tableau1[[#This Row],[LABEL]])</f>
        <v>34</v>
      </c>
      <c r="XER397" s="425"/>
      <c r="XES397" s="31"/>
      <c r="XET397" s="31"/>
      <c r="XEU397" s="31"/>
      <c r="XEV397" s="71"/>
    </row>
    <row r="398" spans="1:18 16372:16376" s="97" customFormat="1" x14ac:dyDescent="0.25">
      <c r="A398" s="25"/>
      <c r="B398" s="26"/>
      <c r="C398" s="425" t="s">
        <v>2150</v>
      </c>
      <c r="D398" s="31" t="s">
        <v>2192</v>
      </c>
      <c r="E398" s="31"/>
      <c r="F398" s="31"/>
      <c r="G398" s="71"/>
      <c r="H398" s="31"/>
      <c r="I398" s="71" t="s">
        <v>656</v>
      </c>
      <c r="J398" s="31"/>
      <c r="K398" s="71"/>
      <c r="L398" s="101" t="str">
        <f t="shared" si="14"/>
        <v>Documentation</v>
      </c>
      <c r="M398" s="442"/>
      <c r="N398" s="442"/>
      <c r="O398" s="443" t="str">
        <f t="shared" si="15"/>
        <v>new</v>
      </c>
      <c r="P398" s="442">
        <f>LEN(Tableau1[[#This Row],[LABEL]])</f>
        <v>111</v>
      </c>
      <c r="Q398" s="442"/>
      <c r="R398" s="442"/>
    </row>
    <row r="399" spans="1:18 16372:16376" s="97" customFormat="1" x14ac:dyDescent="0.25">
      <c r="A399" s="29" t="s">
        <v>492</v>
      </c>
      <c r="B399" s="30" t="s">
        <v>476</v>
      </c>
      <c r="C399" s="425" t="s">
        <v>2150</v>
      </c>
      <c r="D399" s="31" t="s">
        <v>2209</v>
      </c>
      <c r="E399" s="71" t="s">
        <v>1177</v>
      </c>
      <c r="F399" s="31" t="s">
        <v>672</v>
      </c>
      <c r="G399" s="31" t="s">
        <v>678</v>
      </c>
      <c r="H399" s="71" t="s">
        <v>166</v>
      </c>
      <c r="I399" s="71" t="s">
        <v>656</v>
      </c>
      <c r="J399" s="31"/>
      <c r="K399" s="32" t="s">
        <v>708</v>
      </c>
      <c r="L399" s="32" t="str">
        <f t="shared" si="12"/>
        <v>_</v>
      </c>
      <c r="M399" s="111">
        <f>ROUND(Tableau1[[#This Row],[LEN]]*7.27,0)</f>
        <v>742</v>
      </c>
      <c r="N399" s="111">
        <v>15</v>
      </c>
      <c r="O399" s="128" t="str">
        <f t="shared" si="13"/>
        <v>_self</v>
      </c>
      <c r="P399" s="111">
        <f>LEN(Tableau1[[#This Row],[LABEL]])</f>
        <v>102</v>
      </c>
      <c r="Q399" s="111">
        <v>15</v>
      </c>
      <c r="R399" s="111" t="e">
        <f>ROUND(Tableau1[[#This Row],[LEN]]*#REF!+#REF!,0)</f>
        <v>#REF!</v>
      </c>
    </row>
    <row r="400" spans="1:18 16372:16376" s="97" customFormat="1" x14ac:dyDescent="0.25">
      <c r="A400" s="29" t="s">
        <v>493</v>
      </c>
      <c r="B400" s="30" t="s">
        <v>476</v>
      </c>
      <c r="C400" s="425" t="s">
        <v>2150</v>
      </c>
      <c r="D400" s="31" t="s">
        <v>2204</v>
      </c>
      <c r="E400" s="71" t="s">
        <v>1177</v>
      </c>
      <c r="F400" s="31" t="s">
        <v>672</v>
      </c>
      <c r="G400" s="31" t="s">
        <v>678</v>
      </c>
      <c r="H400" s="71" t="s">
        <v>166</v>
      </c>
      <c r="I400" s="71" t="s">
        <v>656</v>
      </c>
      <c r="J400" s="31"/>
      <c r="K400" s="32" t="s">
        <v>708</v>
      </c>
      <c r="L400" s="32" t="str">
        <f t="shared" si="12"/>
        <v>_</v>
      </c>
      <c r="M400" s="111">
        <f>ROUND(Tableau1[[#This Row],[LEN]]*7.27,0)</f>
        <v>560</v>
      </c>
      <c r="N400" s="111">
        <v>15</v>
      </c>
      <c r="O400" s="128" t="str">
        <f t="shared" si="13"/>
        <v>_self</v>
      </c>
      <c r="P400" s="111">
        <f>LEN(Tableau1[[#This Row],[LABEL]])</f>
        <v>77</v>
      </c>
      <c r="Q400" s="111">
        <v>15</v>
      </c>
      <c r="R400" s="111" t="e">
        <f>ROUND(Tableau1[[#This Row],[LEN]]*#REF!+#REF!,0)</f>
        <v>#REF!</v>
      </c>
    </row>
    <row r="401" spans="1:18" s="97" customFormat="1" x14ac:dyDescent="0.25">
      <c r="A401" s="29"/>
      <c r="B401" s="30"/>
      <c r="C401" s="425" t="s">
        <v>2150</v>
      </c>
      <c r="D401" s="444" t="s">
        <v>2158</v>
      </c>
      <c r="E401" s="71"/>
      <c r="F401" s="71"/>
      <c r="G401" s="31"/>
      <c r="H401" s="71"/>
      <c r="I401" s="440"/>
      <c r="J401" s="31"/>
      <c r="K401" s="441"/>
      <c r="L401" s="101" t="str">
        <f t="shared" ref="L401:L402" si="16">IF(K401="javascript:void(0)","_","Documentation")</f>
        <v>Documentation</v>
      </c>
      <c r="M401" s="442"/>
      <c r="N401" s="442"/>
      <c r="O401" s="443" t="str">
        <f t="shared" ref="O401:O402" si="17">IF(K401="javascript:void(0)","none","new")</f>
        <v>new</v>
      </c>
      <c r="P401" s="442">
        <f>LEN(Tableau1[[#This Row],[LABEL]])</f>
        <v>42</v>
      </c>
      <c r="Q401" s="442"/>
      <c r="R401" s="442"/>
    </row>
    <row r="402" spans="1:18" s="97" customFormat="1" x14ac:dyDescent="0.25">
      <c r="A402" s="29"/>
      <c r="B402" s="30"/>
      <c r="C402" s="425" t="s">
        <v>2150</v>
      </c>
      <c r="D402" s="444" t="s">
        <v>2178</v>
      </c>
      <c r="E402" s="71"/>
      <c r="F402" s="71"/>
      <c r="G402" s="31"/>
      <c r="H402" s="71"/>
      <c r="I402" s="440"/>
      <c r="J402" s="31"/>
      <c r="K402" s="441"/>
      <c r="L402" s="101" t="str">
        <f t="shared" si="16"/>
        <v>Documentation</v>
      </c>
      <c r="M402" s="442"/>
      <c r="N402" s="442"/>
      <c r="O402" s="443" t="str">
        <f t="shared" si="17"/>
        <v>new</v>
      </c>
      <c r="P402" s="442">
        <f>LEN(Tableau1[[#This Row],[LABEL]])</f>
        <v>61</v>
      </c>
      <c r="Q402" s="442"/>
      <c r="R402" s="442"/>
    </row>
    <row r="403" spans="1:18" s="97" customFormat="1" x14ac:dyDescent="0.25">
      <c r="A403" s="29" t="s">
        <v>494</v>
      </c>
      <c r="B403" s="30" t="s">
        <v>476</v>
      </c>
      <c r="C403" s="425" t="s">
        <v>2150</v>
      </c>
      <c r="D403" s="31" t="s">
        <v>2171</v>
      </c>
      <c r="E403" s="71" t="s">
        <v>1177</v>
      </c>
      <c r="F403" s="31" t="s">
        <v>672</v>
      </c>
      <c r="G403" s="31" t="s">
        <v>678</v>
      </c>
      <c r="H403" s="71" t="s">
        <v>166</v>
      </c>
      <c r="I403" s="71" t="s">
        <v>654</v>
      </c>
      <c r="J403" s="31"/>
      <c r="K403" s="32" t="s">
        <v>708</v>
      </c>
      <c r="L403" s="32" t="str">
        <f t="shared" si="12"/>
        <v>_</v>
      </c>
      <c r="M403" s="111">
        <f>ROUND(Tableau1[[#This Row],[LEN]]*7.27,0)</f>
        <v>400</v>
      </c>
      <c r="N403" s="111">
        <v>15</v>
      </c>
      <c r="O403" s="128" t="str">
        <f t="shared" si="13"/>
        <v>_self</v>
      </c>
      <c r="P403" s="111">
        <f>LEN(Tableau1[[#This Row],[LABEL]])</f>
        <v>55</v>
      </c>
      <c r="Q403" s="111">
        <v>15</v>
      </c>
      <c r="R403" s="111" t="e">
        <f>ROUND(Tableau1[[#This Row],[LEN]]*#REF!+#REF!,0)</f>
        <v>#REF!</v>
      </c>
    </row>
    <row r="404" spans="1:18" s="97" customFormat="1" x14ac:dyDescent="0.25">
      <c r="A404" s="29"/>
      <c r="B404" s="30"/>
      <c r="C404" s="425" t="s">
        <v>2150</v>
      </c>
      <c r="D404" s="444" t="s">
        <v>2170</v>
      </c>
      <c r="E404" s="71"/>
      <c r="F404" s="71"/>
      <c r="G404" s="31"/>
      <c r="H404" s="71"/>
      <c r="I404" s="440"/>
      <c r="J404" s="31"/>
      <c r="K404" s="441"/>
      <c r="L404" s="101" t="str">
        <f>IF(K404="javascript:void(0)","_","Documentation")</f>
        <v>Documentation</v>
      </c>
      <c r="M404" s="442"/>
      <c r="N404" s="442"/>
      <c r="O404" s="443" t="str">
        <f>IF(K404="javascript:void(0)","none","new")</f>
        <v>new</v>
      </c>
      <c r="P404" s="442">
        <f>LEN(Tableau1[[#This Row],[LABEL]])</f>
        <v>51</v>
      </c>
      <c r="Q404" s="442"/>
      <c r="R404" s="442"/>
    </row>
    <row r="405" spans="1:18" s="97" customFormat="1" x14ac:dyDescent="0.25">
      <c r="A405" s="29"/>
      <c r="B405" s="30"/>
      <c r="C405" s="425" t="s">
        <v>2150</v>
      </c>
      <c r="D405" s="444" t="s">
        <v>2184</v>
      </c>
      <c r="E405" s="71"/>
      <c r="F405" s="71"/>
      <c r="G405" s="31"/>
      <c r="H405" s="71"/>
      <c r="I405" s="440"/>
      <c r="J405" s="31"/>
      <c r="K405" s="441"/>
      <c r="L405" s="101" t="str">
        <f>IF(K405="javascript:void(0)","_","Documentation")</f>
        <v>Documentation</v>
      </c>
      <c r="M405" s="442"/>
      <c r="N405" s="442"/>
      <c r="O405" s="443" t="str">
        <f>IF(K405="javascript:void(0)","none","new")</f>
        <v>new</v>
      </c>
      <c r="P405" s="442">
        <f>LEN(Tableau1[[#This Row],[LABEL]])</f>
        <v>30</v>
      </c>
      <c r="Q405" s="442"/>
      <c r="R405" s="442"/>
    </row>
    <row r="406" spans="1:18" s="97" customFormat="1" x14ac:dyDescent="0.25">
      <c r="A406" s="29" t="s">
        <v>495</v>
      </c>
      <c r="B406" s="30" t="s">
        <v>476</v>
      </c>
      <c r="C406" s="425" t="s">
        <v>2150</v>
      </c>
      <c r="D406" s="31" t="s">
        <v>2189</v>
      </c>
      <c r="E406" s="71" t="s">
        <v>1177</v>
      </c>
      <c r="F406" s="31" t="s">
        <v>672</v>
      </c>
      <c r="G406" s="31" t="s">
        <v>678</v>
      </c>
      <c r="H406" s="71" t="s">
        <v>166</v>
      </c>
      <c r="I406" s="71" t="s">
        <v>570</v>
      </c>
      <c r="J406" s="31"/>
      <c r="K406" s="32" t="s">
        <v>708</v>
      </c>
      <c r="L406" s="32" t="str">
        <f t="shared" si="12"/>
        <v>_</v>
      </c>
      <c r="M406" s="111">
        <f>ROUND(Tableau1[[#This Row],[LEN]]*7.27,0)</f>
        <v>240</v>
      </c>
      <c r="N406" s="111">
        <v>15</v>
      </c>
      <c r="O406" s="128" t="str">
        <f t="shared" si="13"/>
        <v>_self</v>
      </c>
      <c r="P406" s="111">
        <f>LEN(Tableau1[[#This Row],[LABEL]])</f>
        <v>33</v>
      </c>
      <c r="Q406" s="111">
        <v>15</v>
      </c>
      <c r="R406" s="111" t="e">
        <f>ROUND(Tableau1[[#This Row],[LEN]]*#REF!+#REF!,0)</f>
        <v>#REF!</v>
      </c>
    </row>
    <row r="407" spans="1:18" s="97" customFormat="1" x14ac:dyDescent="0.25">
      <c r="A407" s="29" t="s">
        <v>497</v>
      </c>
      <c r="B407" s="30" t="s">
        <v>476</v>
      </c>
      <c r="C407" s="425" t="s">
        <v>2150</v>
      </c>
      <c r="D407" s="446" t="s">
        <v>503</v>
      </c>
      <c r="E407" s="71" t="s">
        <v>1177</v>
      </c>
      <c r="F407" s="31" t="s">
        <v>672</v>
      </c>
      <c r="G407" s="31" t="s">
        <v>678</v>
      </c>
      <c r="H407" s="71" t="s">
        <v>166</v>
      </c>
      <c r="I407" s="71" t="s">
        <v>656</v>
      </c>
      <c r="J407" s="31"/>
      <c r="K407" s="32" t="s">
        <v>708</v>
      </c>
      <c r="L407" s="32" t="str">
        <f t="shared" si="12"/>
        <v>_</v>
      </c>
      <c r="M407" s="111">
        <f>ROUND(Tableau1[[#This Row],[LEN]]*7.27,0)</f>
        <v>371</v>
      </c>
      <c r="N407" s="111">
        <v>15</v>
      </c>
      <c r="O407" s="128" t="str">
        <f t="shared" si="13"/>
        <v>_self</v>
      </c>
      <c r="P407" s="111">
        <f>LEN(Tableau1[[#This Row],[LABEL]])</f>
        <v>51</v>
      </c>
      <c r="Q407" s="111">
        <v>15</v>
      </c>
      <c r="R407" s="111" t="e">
        <f>ROUND(Tableau1[[#This Row],[LEN]]*#REF!+#REF!,0)</f>
        <v>#REF!</v>
      </c>
    </row>
    <row r="408" spans="1:18" s="97" customFormat="1" hidden="1" x14ac:dyDescent="0.25">
      <c r="A408" s="25" t="s">
        <v>477</v>
      </c>
      <c r="B408" s="26" t="s">
        <v>258</v>
      </c>
      <c r="C408" s="425" t="s">
        <v>2150</v>
      </c>
      <c r="D408" s="27" t="s">
        <v>88</v>
      </c>
      <c r="E408" s="70" t="s">
        <v>1177</v>
      </c>
      <c r="F408" s="27" t="s">
        <v>667</v>
      </c>
      <c r="G408" s="27" t="s">
        <v>1218</v>
      </c>
      <c r="H408" s="70" t="s">
        <v>166</v>
      </c>
      <c r="I408" s="70" t="s">
        <v>570</v>
      </c>
      <c r="J408" s="27"/>
      <c r="K408" s="28" t="s">
        <v>708</v>
      </c>
      <c r="L408" s="28" t="str">
        <f t="shared" si="12"/>
        <v>_</v>
      </c>
      <c r="M408" s="109">
        <f>ROUND(Tableau1[[#This Row],[LEN]]*7.27,0)</f>
        <v>342</v>
      </c>
      <c r="N408" s="109">
        <v>15</v>
      </c>
      <c r="O408" s="127" t="str">
        <f t="shared" si="13"/>
        <v>_self</v>
      </c>
      <c r="P408" s="109">
        <f>LEN(Tableau1[[#This Row],[LABEL]])</f>
        <v>47</v>
      </c>
      <c r="Q408" s="109">
        <v>15</v>
      </c>
      <c r="R408" s="109" t="e">
        <f>ROUND(Tableau1[[#This Row],[LEN]]*#REF!+#REF!,0)</f>
        <v>#REF!</v>
      </c>
    </row>
    <row r="409" spans="1:18" s="97" customFormat="1" x14ac:dyDescent="0.25">
      <c r="A409" s="25"/>
      <c r="B409" s="26"/>
      <c r="C409" s="425" t="s">
        <v>2150</v>
      </c>
      <c r="D409" s="444" t="s">
        <v>2196</v>
      </c>
      <c r="E409" s="70"/>
      <c r="F409" s="31"/>
      <c r="G409" s="31"/>
      <c r="H409" s="71"/>
      <c r="I409" s="440"/>
      <c r="J409" s="27"/>
      <c r="K409" s="441"/>
      <c r="L409" s="101" t="str">
        <f>IF(K409="javascript:void(0)","_","Documentation")</f>
        <v>Documentation</v>
      </c>
      <c r="M409" s="442"/>
      <c r="N409" s="442"/>
      <c r="O409" s="443" t="str">
        <f>IF(K409="javascript:void(0)","none","new")</f>
        <v>new</v>
      </c>
      <c r="P409" s="442">
        <f>LEN(Tableau1[[#This Row],[LABEL]])</f>
        <v>45</v>
      </c>
      <c r="Q409" s="442"/>
      <c r="R409" s="442"/>
    </row>
    <row r="410" spans="1:18" s="97" customFormat="1" x14ac:dyDescent="0.25">
      <c r="A410" s="25" t="s">
        <v>478</v>
      </c>
      <c r="B410" s="26" t="s">
        <v>258</v>
      </c>
      <c r="C410" s="425" t="s">
        <v>2150</v>
      </c>
      <c r="D410" s="27" t="s">
        <v>484</v>
      </c>
      <c r="E410" s="70" t="s">
        <v>1177</v>
      </c>
      <c r="F410" s="27" t="s">
        <v>672</v>
      </c>
      <c r="G410" s="27" t="s">
        <v>1285</v>
      </c>
      <c r="H410" s="70" t="s">
        <v>166</v>
      </c>
      <c r="I410" s="70" t="s">
        <v>655</v>
      </c>
      <c r="J410" s="27"/>
      <c r="K410" s="28" t="s">
        <v>727</v>
      </c>
      <c r="L410" s="28" t="str">
        <f t="shared" si="12"/>
        <v>Documentation</v>
      </c>
      <c r="M410" s="109">
        <f>ROUND(Tableau1[[#This Row],[LEN]]*7.27,0)</f>
        <v>80</v>
      </c>
      <c r="N410" s="109">
        <v>15</v>
      </c>
      <c r="O410" s="127" t="str">
        <f t="shared" si="13"/>
        <v>_blank</v>
      </c>
      <c r="P410" s="109">
        <f>LEN(Tableau1[[#This Row],[LABEL]])</f>
        <v>11</v>
      </c>
      <c r="Q410" s="109">
        <v>15</v>
      </c>
      <c r="R410" s="109" t="e">
        <f>ROUND(Tableau1[[#This Row],[LEN]]*#REF!+#REF!,0)</f>
        <v>#REF!</v>
      </c>
    </row>
    <row r="411" spans="1:18" s="97" customFormat="1" x14ac:dyDescent="0.25">
      <c r="A411" s="29" t="s">
        <v>504</v>
      </c>
      <c r="B411" s="30" t="s">
        <v>478</v>
      </c>
      <c r="C411" s="425" t="s">
        <v>2150</v>
      </c>
      <c r="D411" s="31" t="s">
        <v>2190</v>
      </c>
      <c r="E411" s="71" t="s">
        <v>1177</v>
      </c>
      <c r="F411" s="31" t="s">
        <v>672</v>
      </c>
      <c r="G411" s="31" t="s">
        <v>1285</v>
      </c>
      <c r="H411" s="71" t="s">
        <v>166</v>
      </c>
      <c r="I411" s="71" t="s">
        <v>18</v>
      </c>
      <c r="J411" s="31"/>
      <c r="K411" s="32" t="s">
        <v>705</v>
      </c>
      <c r="L411" s="32" t="str">
        <f t="shared" si="12"/>
        <v>Documentation</v>
      </c>
      <c r="M411" s="111">
        <f>ROUND(Tableau1[[#This Row],[LEN]]*7.27,0)</f>
        <v>196</v>
      </c>
      <c r="N411" s="111">
        <v>15</v>
      </c>
      <c r="O411" s="128" t="str">
        <f t="shared" si="13"/>
        <v>_blank</v>
      </c>
      <c r="P411" s="111">
        <f>LEN(Tableau1[[#This Row],[LABEL]])</f>
        <v>27</v>
      </c>
      <c r="Q411" s="111">
        <v>15</v>
      </c>
      <c r="R411" s="111" t="e">
        <f>ROUND(Tableau1[[#This Row],[LEN]]*#REF!+#REF!,0)</f>
        <v>#REF!</v>
      </c>
    </row>
    <row r="412" spans="1:18" s="97" customFormat="1" x14ac:dyDescent="0.25">
      <c r="A412" s="29"/>
      <c r="B412" s="30"/>
      <c r="C412" s="425" t="s">
        <v>2150</v>
      </c>
      <c r="D412" s="444" t="s">
        <v>2157</v>
      </c>
      <c r="E412" s="71"/>
      <c r="F412" s="71"/>
      <c r="G412" s="31"/>
      <c r="H412" s="71"/>
      <c r="I412" s="440"/>
      <c r="J412" s="31"/>
      <c r="K412" s="441"/>
      <c r="L412" s="101" t="str">
        <f>IF(K412="javascript:void(0)","_","Documentation")</f>
        <v>Documentation</v>
      </c>
      <c r="M412" s="442"/>
      <c r="N412" s="442"/>
      <c r="O412" s="443" t="str">
        <f>IF(K412="javascript:void(0)","none","new")</f>
        <v>new</v>
      </c>
      <c r="P412" s="442">
        <f>LEN(Tableau1[[#This Row],[LABEL]])</f>
        <v>47</v>
      </c>
      <c r="Q412" s="442"/>
      <c r="R412" s="442"/>
    </row>
    <row r="413" spans="1:18" s="97" customFormat="1" x14ac:dyDescent="0.25">
      <c r="A413" s="29"/>
      <c r="B413" s="30"/>
      <c r="C413" s="425" t="s">
        <v>2150</v>
      </c>
      <c r="D413" s="444" t="s">
        <v>2159</v>
      </c>
      <c r="E413" s="71"/>
      <c r="F413" s="71"/>
      <c r="G413" s="31"/>
      <c r="H413" s="71"/>
      <c r="I413" s="440"/>
      <c r="J413" s="31"/>
      <c r="K413" s="441"/>
      <c r="L413" s="101" t="str">
        <f>IF(K413="javascript:void(0)","_","Documentation")</f>
        <v>Documentation</v>
      </c>
      <c r="M413" s="442"/>
      <c r="N413" s="442"/>
      <c r="O413" s="443" t="str">
        <f>IF(K413="javascript:void(0)","none","new")</f>
        <v>new</v>
      </c>
      <c r="P413" s="442">
        <f>LEN(Tableau1[[#This Row],[LABEL]])</f>
        <v>23</v>
      </c>
      <c r="Q413" s="442"/>
      <c r="R413" s="442"/>
    </row>
    <row r="414" spans="1:18" s="97" customFormat="1" x14ac:dyDescent="0.25">
      <c r="A414" s="29"/>
      <c r="B414" s="30"/>
      <c r="C414" s="425" t="s">
        <v>2150</v>
      </c>
      <c r="D414" s="444" t="s">
        <v>2194</v>
      </c>
      <c r="E414" s="71"/>
      <c r="F414" s="71"/>
      <c r="G414" s="31"/>
      <c r="H414" s="71"/>
      <c r="I414" s="440"/>
      <c r="J414" s="31"/>
      <c r="K414" s="441"/>
      <c r="L414" s="101" t="str">
        <f>IF(K414="javascript:void(0)","_","Documentation")</f>
        <v>Documentation</v>
      </c>
      <c r="M414" s="442"/>
      <c r="N414" s="442"/>
      <c r="O414" s="443" t="str">
        <f>IF(K414="javascript:void(0)","none","new")</f>
        <v>new</v>
      </c>
      <c r="P414" s="442">
        <f>LEN(Tableau1[[#This Row],[LABEL]])</f>
        <v>65</v>
      </c>
      <c r="Q414" s="442"/>
      <c r="R414" s="442"/>
    </row>
    <row r="415" spans="1:18" s="97" customFormat="1" x14ac:dyDescent="0.25">
      <c r="A415" s="29"/>
      <c r="B415" s="30"/>
      <c r="C415" s="425" t="s">
        <v>2150</v>
      </c>
      <c r="D415" s="444" t="s">
        <v>2163</v>
      </c>
      <c r="E415" s="71"/>
      <c r="F415" s="71"/>
      <c r="G415" s="31"/>
      <c r="H415" s="71"/>
      <c r="I415" s="440"/>
      <c r="J415" s="31"/>
      <c r="K415" s="441"/>
      <c r="L415" s="101" t="str">
        <f>IF(K415="javascript:void(0)","_","Documentation")</f>
        <v>Documentation</v>
      </c>
      <c r="M415" s="442"/>
      <c r="N415" s="442"/>
      <c r="O415" s="443" t="str">
        <f>IF(K415="javascript:void(0)","none","new")</f>
        <v>new</v>
      </c>
      <c r="P415" s="442">
        <f>LEN(Tableau1[[#This Row],[LABEL]])</f>
        <v>36</v>
      </c>
      <c r="Q415" s="442"/>
      <c r="R415" s="442"/>
    </row>
    <row r="416" spans="1:18" s="97" customFormat="1" x14ac:dyDescent="0.25">
      <c r="A416" s="29"/>
      <c r="B416" s="30"/>
      <c r="C416" s="425" t="s">
        <v>2150</v>
      </c>
      <c r="D416" s="444" t="s">
        <v>2160</v>
      </c>
      <c r="E416" s="71"/>
      <c r="F416" s="71"/>
      <c r="G416" s="31"/>
      <c r="H416" s="71"/>
      <c r="I416" s="440"/>
      <c r="J416" s="31"/>
      <c r="K416" s="441"/>
      <c r="L416" s="101" t="str">
        <f t="shared" ref="L416:L417" si="18">IF(K416="javascript:void(0)","_","Documentation")</f>
        <v>Documentation</v>
      </c>
      <c r="M416" s="442"/>
      <c r="N416" s="442"/>
      <c r="O416" s="443" t="str">
        <f t="shared" ref="O416:O417" si="19">IF(K416="javascript:void(0)","none","new")</f>
        <v>new</v>
      </c>
      <c r="P416" s="442">
        <f>LEN(Tableau1[[#This Row],[LABEL]])</f>
        <v>20</v>
      </c>
      <c r="Q416" s="442"/>
      <c r="R416" s="442"/>
    </row>
    <row r="417" spans="1:18" s="97" customFormat="1" x14ac:dyDescent="0.25">
      <c r="A417" s="29"/>
      <c r="B417" s="30"/>
      <c r="C417" s="425" t="s">
        <v>2150</v>
      </c>
      <c r="D417" s="444" t="s">
        <v>2161</v>
      </c>
      <c r="E417" s="71"/>
      <c r="F417" s="71"/>
      <c r="G417" s="31"/>
      <c r="H417" s="71"/>
      <c r="I417" s="440"/>
      <c r="J417" s="31"/>
      <c r="K417" s="441"/>
      <c r="L417" s="101" t="str">
        <f t="shared" si="18"/>
        <v>Documentation</v>
      </c>
      <c r="M417" s="442"/>
      <c r="N417" s="442"/>
      <c r="O417" s="443" t="str">
        <f t="shared" si="19"/>
        <v>new</v>
      </c>
      <c r="P417" s="442">
        <f>LEN(Tableau1[[#This Row],[LABEL]])</f>
        <v>40</v>
      </c>
      <c r="Q417" s="442"/>
      <c r="R417" s="442"/>
    </row>
    <row r="418" spans="1:18" s="97" customFormat="1" x14ac:dyDescent="0.25">
      <c r="A418" s="29"/>
      <c r="B418" s="30"/>
      <c r="C418" s="425" t="s">
        <v>2150</v>
      </c>
      <c r="D418" s="444" t="s">
        <v>2188</v>
      </c>
      <c r="E418" s="71"/>
      <c r="F418" s="71"/>
      <c r="G418" s="31"/>
      <c r="H418" s="71"/>
      <c r="I418" s="440"/>
      <c r="J418" s="31"/>
      <c r="K418" s="441"/>
      <c r="L418" s="101" t="str">
        <f>IF(K418="javascript:void(0)","_","Documentation")</f>
        <v>Documentation</v>
      </c>
      <c r="M418" s="442"/>
      <c r="N418" s="442"/>
      <c r="O418" s="443" t="str">
        <f>IF(K418="javascript:void(0)","none","new")</f>
        <v>new</v>
      </c>
      <c r="P418" s="442">
        <f>LEN(Tableau1[[#This Row],[LABEL]])</f>
        <v>62</v>
      </c>
      <c r="Q418" s="442"/>
      <c r="R418" s="442"/>
    </row>
    <row r="419" spans="1:18" s="97" customFormat="1" x14ac:dyDescent="0.25">
      <c r="A419" s="29"/>
      <c r="B419" s="30"/>
      <c r="C419" s="425" t="s">
        <v>2150</v>
      </c>
      <c r="D419" s="444" t="s">
        <v>2187</v>
      </c>
      <c r="E419" s="71"/>
      <c r="F419" s="71"/>
      <c r="G419" s="31"/>
      <c r="H419" s="71"/>
      <c r="I419" s="440"/>
      <c r="J419" s="31"/>
      <c r="K419" s="441"/>
      <c r="L419" s="101" t="str">
        <f>IF(K419="javascript:void(0)","_","Documentation")</f>
        <v>Documentation</v>
      </c>
      <c r="M419" s="442"/>
      <c r="N419" s="442"/>
      <c r="O419" s="443" t="str">
        <f>IF(K419="javascript:void(0)","none","new")</f>
        <v>new</v>
      </c>
      <c r="P419" s="442">
        <f>LEN(Tableau1[[#This Row],[LABEL]])</f>
        <v>72</v>
      </c>
      <c r="Q419" s="442"/>
      <c r="R419" s="442"/>
    </row>
    <row r="420" spans="1:18" s="97" customFormat="1" x14ac:dyDescent="0.25">
      <c r="A420" s="29" t="s">
        <v>504</v>
      </c>
      <c r="B420" s="30" t="s">
        <v>478</v>
      </c>
      <c r="C420" s="425" t="s">
        <v>2150</v>
      </c>
      <c r="D420" s="31" t="s">
        <v>2164</v>
      </c>
      <c r="E420" s="71" t="s">
        <v>1177</v>
      </c>
      <c r="F420" s="31" t="s">
        <v>672</v>
      </c>
      <c r="G420" s="31" t="s">
        <v>1285</v>
      </c>
      <c r="H420" s="71" t="s">
        <v>166</v>
      </c>
      <c r="I420" s="71" t="s">
        <v>18</v>
      </c>
      <c r="J420" s="31"/>
      <c r="K420" s="32" t="s">
        <v>705</v>
      </c>
      <c r="L420" s="32" t="str">
        <f t="shared" si="12"/>
        <v>Documentation</v>
      </c>
      <c r="M420" s="111">
        <f>ROUND(Tableau1[[#This Row],[LEN]]*7.27,0)</f>
        <v>422</v>
      </c>
      <c r="N420" s="111">
        <v>15</v>
      </c>
      <c r="O420" s="128" t="str">
        <f t="shared" si="13"/>
        <v>_blank</v>
      </c>
      <c r="P420" s="111">
        <f>LEN(Tableau1[[#This Row],[LABEL]])</f>
        <v>58</v>
      </c>
      <c r="Q420" s="111">
        <v>15</v>
      </c>
      <c r="R420" s="111" t="e">
        <f>ROUND(Tableau1[[#This Row],[LEN]]*#REF!+#REF!,0)</f>
        <v>#REF!</v>
      </c>
    </row>
    <row r="421" spans="1:18" s="97" customFormat="1" x14ac:dyDescent="0.25">
      <c r="A421" s="29"/>
      <c r="B421" s="30"/>
      <c r="C421" s="425" t="s">
        <v>2150</v>
      </c>
      <c r="D421" s="444" t="s">
        <v>2162</v>
      </c>
      <c r="E421" s="71"/>
      <c r="F421" s="71"/>
      <c r="G421" s="31"/>
      <c r="H421" s="71"/>
      <c r="I421" s="440"/>
      <c r="J421" s="31"/>
      <c r="K421" s="441"/>
      <c r="L421" s="101" t="str">
        <f>IF(K421="javascript:void(0)","_","Documentation")</f>
        <v>Documentation</v>
      </c>
      <c r="M421" s="442"/>
      <c r="N421" s="442"/>
      <c r="O421" s="443" t="str">
        <f>IF(K421="javascript:void(0)","none","new")</f>
        <v>new</v>
      </c>
      <c r="P421" s="442">
        <f>LEN(Tableau1[[#This Row],[LABEL]])</f>
        <v>44</v>
      </c>
      <c r="Q421" s="442"/>
      <c r="R421" s="442"/>
    </row>
    <row r="422" spans="1:18" s="97" customFormat="1" x14ac:dyDescent="0.25">
      <c r="A422" s="29"/>
      <c r="B422" s="30"/>
      <c r="C422" s="425" t="s">
        <v>2150</v>
      </c>
      <c r="D422" s="444" t="s">
        <v>2195</v>
      </c>
      <c r="E422" s="71"/>
      <c r="F422" s="71"/>
      <c r="G422" s="31"/>
      <c r="H422" s="71"/>
      <c r="I422" s="440"/>
      <c r="J422" s="31"/>
      <c r="K422" s="441"/>
      <c r="L422" s="101" t="str">
        <f>IF(K422="javascript:void(0)","_","Documentation")</f>
        <v>Documentation</v>
      </c>
      <c r="M422" s="442"/>
      <c r="N422" s="442"/>
      <c r="O422" s="443" t="str">
        <f>IF(K422="javascript:void(0)","none","new")</f>
        <v>new</v>
      </c>
      <c r="P422" s="442">
        <f>LEN(Tableau1[[#This Row],[LABEL]])</f>
        <v>115</v>
      </c>
      <c r="Q422" s="442"/>
      <c r="R422" s="442"/>
    </row>
    <row r="423" spans="1:18" s="97" customFormat="1" x14ac:dyDescent="0.25">
      <c r="A423" s="29"/>
      <c r="B423" s="30"/>
      <c r="C423" s="425" t="s">
        <v>2150</v>
      </c>
      <c r="D423" s="444" t="s">
        <v>2183</v>
      </c>
      <c r="E423" s="71"/>
      <c r="F423" s="71"/>
      <c r="G423" s="31"/>
      <c r="H423" s="71"/>
      <c r="I423" s="440"/>
      <c r="J423" s="31"/>
      <c r="K423" s="441"/>
      <c r="L423" s="101" t="str">
        <f>IF(K423="javascript:void(0)","_","Documentation")</f>
        <v>Documentation</v>
      </c>
      <c r="M423" s="442"/>
      <c r="N423" s="442"/>
      <c r="O423" s="443" t="str">
        <f>IF(K423="javascript:void(0)","none","new")</f>
        <v>new</v>
      </c>
      <c r="P423" s="442">
        <f>LEN(Tableau1[[#This Row],[LABEL]])</f>
        <v>27</v>
      </c>
      <c r="Q423" s="442"/>
      <c r="R423" s="442"/>
    </row>
    <row r="424" spans="1:18" s="97" customFormat="1" x14ac:dyDescent="0.25">
      <c r="A424" s="25" t="s">
        <v>479</v>
      </c>
      <c r="B424" s="26" t="s">
        <v>258</v>
      </c>
      <c r="C424" s="425" t="s">
        <v>2150</v>
      </c>
      <c r="D424" s="27" t="s">
        <v>485</v>
      </c>
      <c r="E424" s="70" t="s">
        <v>1177</v>
      </c>
      <c r="F424" s="27" t="s">
        <v>672</v>
      </c>
      <c r="G424" s="27" t="s">
        <v>1177</v>
      </c>
      <c r="H424" s="70" t="s">
        <v>166</v>
      </c>
      <c r="I424" s="70" t="s">
        <v>654</v>
      </c>
      <c r="J424" s="27"/>
      <c r="K424" s="28" t="s">
        <v>708</v>
      </c>
      <c r="L424" s="28" t="str">
        <f t="shared" si="12"/>
        <v>_</v>
      </c>
      <c r="M424" s="109">
        <f>ROUND(Tableau1[[#This Row],[LEN]]*7.27,0)</f>
        <v>87</v>
      </c>
      <c r="N424" s="109">
        <v>15</v>
      </c>
      <c r="O424" s="127" t="str">
        <f t="shared" si="13"/>
        <v>_self</v>
      </c>
      <c r="P424" s="109">
        <f>LEN(Tableau1[[#This Row],[LABEL]])</f>
        <v>12</v>
      </c>
      <c r="Q424" s="109">
        <v>15</v>
      </c>
      <c r="R424" s="109" t="e">
        <f>ROUND(Tableau1[[#This Row],[LEN]]*#REF!+#REF!,0)</f>
        <v>#REF!</v>
      </c>
    </row>
    <row r="425" spans="1:18" s="97" customFormat="1" hidden="1" x14ac:dyDescent="0.25">
      <c r="A425" s="25" t="s">
        <v>480</v>
      </c>
      <c r="B425" s="26" t="s">
        <v>258</v>
      </c>
      <c r="C425" s="425" t="s">
        <v>2150</v>
      </c>
      <c r="D425" s="27" t="s">
        <v>778</v>
      </c>
      <c r="E425" s="70" t="s">
        <v>1177</v>
      </c>
      <c r="F425" s="27" t="s">
        <v>673</v>
      </c>
      <c r="G425" s="27" t="s">
        <v>2000</v>
      </c>
      <c r="H425" s="70" t="s">
        <v>166</v>
      </c>
      <c r="I425" s="70" t="s">
        <v>17</v>
      </c>
      <c r="J425" s="27"/>
      <c r="K425" s="28" t="s">
        <v>708</v>
      </c>
      <c r="L425" s="28" t="str">
        <f t="shared" si="12"/>
        <v>_</v>
      </c>
      <c r="M425" s="109">
        <f>ROUND(Tableau1[[#This Row],[LEN]]*7.27,0)</f>
        <v>211</v>
      </c>
      <c r="N425" s="109">
        <v>15</v>
      </c>
      <c r="O425" s="127" t="str">
        <f t="shared" si="13"/>
        <v>_self</v>
      </c>
      <c r="P425" s="109">
        <f>LEN(Tableau1[[#This Row],[LABEL]])</f>
        <v>29</v>
      </c>
      <c r="Q425" s="109">
        <v>15</v>
      </c>
      <c r="R425" s="109" t="e">
        <f>ROUND(Tableau1[[#This Row],[LEN]]*#REF!+#REF!,0)</f>
        <v>#REF!</v>
      </c>
    </row>
    <row r="426" spans="1:18" s="97" customFormat="1" hidden="1" x14ac:dyDescent="0.25">
      <c r="A426" s="25" t="s">
        <v>481</v>
      </c>
      <c r="B426" s="26" t="s">
        <v>258</v>
      </c>
      <c r="C426" s="425" t="s">
        <v>2150</v>
      </c>
      <c r="D426" s="27" t="s">
        <v>92</v>
      </c>
      <c r="E426" s="70" t="s">
        <v>1177</v>
      </c>
      <c r="F426" s="27" t="s">
        <v>663</v>
      </c>
      <c r="G426" s="27" t="s">
        <v>2080</v>
      </c>
      <c r="H426" s="70" t="s">
        <v>166</v>
      </c>
      <c r="I426" s="70" t="s">
        <v>655</v>
      </c>
      <c r="J426" s="27"/>
      <c r="K426" s="28" t="s">
        <v>708</v>
      </c>
      <c r="L426" s="28" t="str">
        <f t="shared" si="12"/>
        <v>_</v>
      </c>
      <c r="M426" s="109">
        <f>ROUND(Tableau1[[#This Row],[LEN]]*7.27,0)</f>
        <v>262</v>
      </c>
      <c r="N426" s="109">
        <v>15</v>
      </c>
      <c r="O426" s="127" t="str">
        <f t="shared" si="13"/>
        <v>_self</v>
      </c>
      <c r="P426" s="109">
        <f>LEN(Tableau1[[#This Row],[LABEL]])</f>
        <v>36</v>
      </c>
      <c r="Q426" s="109">
        <v>15</v>
      </c>
      <c r="R426" s="109" t="e">
        <f>ROUND(Tableau1[[#This Row],[LEN]]*#REF!+#REF!,0)</f>
        <v>#REF!</v>
      </c>
    </row>
    <row r="427" spans="1:18" s="97" customFormat="1" hidden="1" x14ac:dyDescent="0.25">
      <c r="A427" s="29" t="s">
        <v>506</v>
      </c>
      <c r="B427" s="30" t="s">
        <v>481</v>
      </c>
      <c r="C427" s="425" t="s">
        <v>2150</v>
      </c>
      <c r="D427" s="31" t="s">
        <v>95</v>
      </c>
      <c r="E427" s="71" t="s">
        <v>1177</v>
      </c>
      <c r="F427" s="31" t="s">
        <v>663</v>
      </c>
      <c r="G427" s="31" t="s">
        <v>2080</v>
      </c>
      <c r="H427" s="71" t="s">
        <v>166</v>
      </c>
      <c r="I427" s="71" t="s">
        <v>18</v>
      </c>
      <c r="J427" s="31"/>
      <c r="K427" s="32" t="s">
        <v>708</v>
      </c>
      <c r="L427" s="32" t="str">
        <f t="shared" si="12"/>
        <v>_</v>
      </c>
      <c r="M427" s="111">
        <f>ROUND(Tableau1[[#This Row],[LEN]]*7.27,0)</f>
        <v>254</v>
      </c>
      <c r="N427" s="111">
        <v>15</v>
      </c>
      <c r="O427" s="128" t="str">
        <f t="shared" si="13"/>
        <v>_self</v>
      </c>
      <c r="P427" s="111">
        <f>LEN(Tableau1[[#This Row],[LABEL]])</f>
        <v>35</v>
      </c>
      <c r="Q427" s="111">
        <v>15</v>
      </c>
      <c r="R427" s="111" t="e">
        <f>ROUND(Tableau1[[#This Row],[LEN]]*#REF!+#REF!,0)</f>
        <v>#REF!</v>
      </c>
    </row>
    <row r="428" spans="1:18" s="97" customFormat="1" hidden="1" x14ac:dyDescent="0.25">
      <c r="A428" s="29" t="s">
        <v>507</v>
      </c>
      <c r="B428" s="30" t="s">
        <v>481</v>
      </c>
      <c r="C428" s="425" t="s">
        <v>2150</v>
      </c>
      <c r="D428" s="31" t="s">
        <v>96</v>
      </c>
      <c r="E428" s="71" t="s">
        <v>1177</v>
      </c>
      <c r="F428" s="31" t="s">
        <v>663</v>
      </c>
      <c r="G428" s="31" t="s">
        <v>2080</v>
      </c>
      <c r="H428" s="71" t="s">
        <v>166</v>
      </c>
      <c r="I428" s="71" t="s">
        <v>18</v>
      </c>
      <c r="J428" s="31"/>
      <c r="K428" s="32" t="s">
        <v>708</v>
      </c>
      <c r="L428" s="32" t="str">
        <f t="shared" si="12"/>
        <v>_</v>
      </c>
      <c r="M428" s="111">
        <f>ROUND(Tableau1[[#This Row],[LEN]]*7.27,0)</f>
        <v>233</v>
      </c>
      <c r="N428" s="111">
        <v>15</v>
      </c>
      <c r="O428" s="128" t="str">
        <f t="shared" si="13"/>
        <v>_self</v>
      </c>
      <c r="P428" s="111">
        <f>LEN(Tableau1[[#This Row],[LABEL]])</f>
        <v>32</v>
      </c>
      <c r="Q428" s="111">
        <v>15</v>
      </c>
      <c r="R428" s="111" t="e">
        <f>ROUND(Tableau1[[#This Row],[LEN]]*#REF!+#REF!,0)</f>
        <v>#REF!</v>
      </c>
    </row>
    <row r="429" spans="1:18" s="97" customFormat="1" hidden="1" x14ac:dyDescent="0.25">
      <c r="A429" s="29" t="s">
        <v>508</v>
      </c>
      <c r="B429" s="30" t="s">
        <v>481</v>
      </c>
      <c r="C429" s="425" t="s">
        <v>2150</v>
      </c>
      <c r="D429" s="31" t="s">
        <v>97</v>
      </c>
      <c r="E429" s="71" t="s">
        <v>1177</v>
      </c>
      <c r="F429" s="31" t="s">
        <v>663</v>
      </c>
      <c r="G429" s="31" t="s">
        <v>2080</v>
      </c>
      <c r="H429" s="71" t="s">
        <v>166</v>
      </c>
      <c r="I429" s="71" t="s">
        <v>656</v>
      </c>
      <c r="J429" s="31"/>
      <c r="K429" s="32" t="s">
        <v>708</v>
      </c>
      <c r="L429" s="32" t="str">
        <f t="shared" si="12"/>
        <v>_</v>
      </c>
      <c r="M429" s="111">
        <f>ROUND(Tableau1[[#This Row],[LEN]]*7.27,0)</f>
        <v>145</v>
      </c>
      <c r="N429" s="111">
        <v>15</v>
      </c>
      <c r="O429" s="128" t="str">
        <f t="shared" si="13"/>
        <v>_self</v>
      </c>
      <c r="P429" s="111">
        <f>LEN(Tableau1[[#This Row],[LABEL]])</f>
        <v>20</v>
      </c>
      <c r="Q429" s="111">
        <v>15</v>
      </c>
      <c r="R429" s="111" t="e">
        <f>ROUND(Tableau1[[#This Row],[LEN]]*#REF!+#REF!,0)</f>
        <v>#REF!</v>
      </c>
    </row>
    <row r="430" spans="1:18" s="97" customFormat="1" hidden="1" x14ac:dyDescent="0.25">
      <c r="A430" s="25" t="s">
        <v>482</v>
      </c>
      <c r="B430" s="26" t="s">
        <v>258</v>
      </c>
      <c r="C430" s="425" t="s">
        <v>2150</v>
      </c>
      <c r="D430" s="27" t="s">
        <v>1167</v>
      </c>
      <c r="E430" s="70" t="s">
        <v>486</v>
      </c>
      <c r="F430" s="27" t="s">
        <v>1085</v>
      </c>
      <c r="G430" s="27" t="s">
        <v>1084</v>
      </c>
      <c r="H430" s="70" t="s">
        <v>1977</v>
      </c>
      <c r="I430" s="70" t="s">
        <v>1131</v>
      </c>
      <c r="J430" s="27"/>
      <c r="K430" s="28" t="s">
        <v>708</v>
      </c>
      <c r="L430" s="28" t="str">
        <f t="shared" si="12"/>
        <v>_</v>
      </c>
      <c r="M430" s="109">
        <f>ROUND(Tableau1[[#This Row],[LEN]]*7.27,0)</f>
        <v>196</v>
      </c>
      <c r="N430" s="109">
        <v>15</v>
      </c>
      <c r="O430" s="127" t="str">
        <f t="shared" si="13"/>
        <v>_self</v>
      </c>
      <c r="P430" s="109">
        <f>LEN(Tableau1[[#This Row],[LABEL]])</f>
        <v>27</v>
      </c>
      <c r="Q430" s="109">
        <v>15</v>
      </c>
      <c r="R430" s="109" t="e">
        <f>ROUND(Tableau1[[#This Row],[LEN]]*#REF!+#REF!,0)</f>
        <v>#REF!</v>
      </c>
    </row>
    <row r="431" spans="1:18" s="97" customFormat="1" hidden="1" x14ac:dyDescent="0.25">
      <c r="A431" s="29" t="s">
        <v>1209</v>
      </c>
      <c r="B431" s="30" t="s">
        <v>482</v>
      </c>
      <c r="C431" s="425" t="s">
        <v>2150</v>
      </c>
      <c r="D431" s="31" t="s">
        <v>93</v>
      </c>
      <c r="E431" s="71" t="s">
        <v>1177</v>
      </c>
      <c r="F431" s="31" t="s">
        <v>1085</v>
      </c>
      <c r="G431" s="31" t="s">
        <v>1084</v>
      </c>
      <c r="H431" s="71" t="s">
        <v>166</v>
      </c>
      <c r="I431" s="71" t="s">
        <v>18</v>
      </c>
      <c r="J431" s="31"/>
      <c r="K431" s="32" t="s">
        <v>101</v>
      </c>
      <c r="L431" s="32" t="str">
        <f t="shared" si="12"/>
        <v>Documentation</v>
      </c>
      <c r="M431" s="111">
        <f>ROUND(Tableau1[[#This Row],[LEN]]*7.27,0)</f>
        <v>109</v>
      </c>
      <c r="N431" s="111">
        <v>15</v>
      </c>
      <c r="O431" s="128" t="str">
        <f t="shared" si="13"/>
        <v>_blank</v>
      </c>
      <c r="P431" s="111">
        <f>LEN(Tableau1[[#This Row],[LABEL]])</f>
        <v>15</v>
      </c>
      <c r="Q431" s="111">
        <v>15</v>
      </c>
      <c r="R431" s="111" t="e">
        <f>ROUND(Tableau1[[#This Row],[LEN]]*#REF!+#REF!,0)</f>
        <v>#REF!</v>
      </c>
    </row>
    <row r="432" spans="1:18" s="97" customFormat="1" hidden="1" x14ac:dyDescent="0.25">
      <c r="A432" s="29" t="s">
        <v>1210</v>
      </c>
      <c r="B432" s="30" t="s">
        <v>482</v>
      </c>
      <c r="C432" s="425" t="s">
        <v>2150</v>
      </c>
      <c r="D432" s="31" t="s">
        <v>94</v>
      </c>
      <c r="E432" s="71" t="s">
        <v>1177</v>
      </c>
      <c r="F432" s="31" t="s">
        <v>1085</v>
      </c>
      <c r="G432" s="31" t="s">
        <v>1084</v>
      </c>
      <c r="H432" s="71" t="s">
        <v>166</v>
      </c>
      <c r="I432" s="71" t="s">
        <v>18</v>
      </c>
      <c r="J432" s="31"/>
      <c r="K432" s="32" t="s">
        <v>102</v>
      </c>
      <c r="L432" s="32" t="str">
        <f t="shared" si="12"/>
        <v>Documentation</v>
      </c>
      <c r="M432" s="111">
        <f>ROUND(Tableau1[[#This Row],[LEN]]*7.27,0)</f>
        <v>58</v>
      </c>
      <c r="N432" s="111">
        <v>15</v>
      </c>
      <c r="O432" s="128" t="str">
        <f t="shared" si="13"/>
        <v>_blank</v>
      </c>
      <c r="P432" s="111">
        <f>LEN(Tableau1[[#This Row],[LABEL]])</f>
        <v>8</v>
      </c>
      <c r="Q432" s="111">
        <v>15</v>
      </c>
      <c r="R432" s="111" t="e">
        <f>ROUND(Tableau1[[#This Row],[LEN]]*#REF!+#REF!,0)</f>
        <v>#REF!</v>
      </c>
    </row>
    <row r="433" spans="1:18" s="273" customFormat="1" hidden="1" x14ac:dyDescent="0.25">
      <c r="A433" s="288" t="s">
        <v>259</v>
      </c>
      <c r="B433" s="289" t="s">
        <v>206</v>
      </c>
      <c r="C433" s="425" t="s">
        <v>2150</v>
      </c>
      <c r="D433" s="290" t="s">
        <v>10</v>
      </c>
      <c r="E433" s="291" t="s">
        <v>1177</v>
      </c>
      <c r="F433" s="290" t="s">
        <v>673</v>
      </c>
      <c r="G433" s="290" t="s">
        <v>1177</v>
      </c>
      <c r="H433" s="291" t="s">
        <v>166</v>
      </c>
      <c r="I433" s="291" t="str">
        <f>IFERROR(IF(SEARCH(".00.00.00.00.00",Tableau1[[#This Row],[name]],1)=7,"Division",""),"")</f>
        <v>Division</v>
      </c>
      <c r="J433" s="290"/>
      <c r="K433" s="292" t="s">
        <v>719</v>
      </c>
      <c r="L433" s="292" t="str">
        <f t="shared" si="12"/>
        <v>Documentation</v>
      </c>
      <c r="M433" s="293">
        <f>ROUND(Tableau1[[#This Row],[LEN]]*7.27,0)</f>
        <v>109</v>
      </c>
      <c r="N433" s="293">
        <v>15</v>
      </c>
      <c r="O433" s="294" t="str">
        <f t="shared" si="13"/>
        <v>_blank</v>
      </c>
      <c r="P433" s="293">
        <f>LEN(Tableau1[[#This Row],[LABEL]])</f>
        <v>15</v>
      </c>
      <c r="Q433" s="293">
        <v>15</v>
      </c>
      <c r="R433" s="293" t="e">
        <f>ROUND(Tableau1[[#This Row],[LEN]]*#REF!+#REF!,0)</f>
        <v>#REF!</v>
      </c>
    </row>
    <row r="434" spans="1:18" s="97" customFormat="1" hidden="1" x14ac:dyDescent="0.25">
      <c r="A434" s="25" t="s">
        <v>1226</v>
      </c>
      <c r="B434" s="26" t="s">
        <v>259</v>
      </c>
      <c r="C434" s="425" t="s">
        <v>2150</v>
      </c>
      <c r="D434" s="27" t="s">
        <v>1238</v>
      </c>
      <c r="E434" s="70" t="s">
        <v>1177</v>
      </c>
      <c r="F434" s="27" t="s">
        <v>673</v>
      </c>
      <c r="G434" s="27" t="s">
        <v>1177</v>
      </c>
      <c r="H434" s="70" t="s">
        <v>166</v>
      </c>
      <c r="I434" s="70" t="s">
        <v>655</v>
      </c>
      <c r="J434" s="27"/>
      <c r="K434" s="28" t="s">
        <v>708</v>
      </c>
      <c r="L434" s="28" t="str">
        <f t="shared" si="12"/>
        <v>_</v>
      </c>
      <c r="M434" s="109">
        <f>ROUND(Tableau1[[#This Row],[LEN]]*7.27,0)</f>
        <v>196</v>
      </c>
      <c r="N434" s="109">
        <v>15</v>
      </c>
      <c r="O434" s="127" t="str">
        <f t="shared" si="13"/>
        <v>_self</v>
      </c>
      <c r="P434" s="109">
        <f>LEN(Tableau1[[#This Row],[LABEL]])</f>
        <v>27</v>
      </c>
      <c r="Q434" s="109">
        <v>15</v>
      </c>
      <c r="R434" s="109" t="e">
        <f>ROUND(Tableau1[[#This Row],[LEN]]*#REF!+#REF!,0)</f>
        <v>#REF!</v>
      </c>
    </row>
    <row r="435" spans="1:18" s="97" customFormat="1" hidden="1" x14ac:dyDescent="0.25">
      <c r="A435" s="29" t="s">
        <v>1251</v>
      </c>
      <c r="B435" s="30" t="s">
        <v>1226</v>
      </c>
      <c r="C435" s="425" t="s">
        <v>2150</v>
      </c>
      <c r="D435" s="31" t="s">
        <v>1255</v>
      </c>
      <c r="E435" s="71" t="s">
        <v>1177</v>
      </c>
      <c r="F435" s="31" t="s">
        <v>673</v>
      </c>
      <c r="G435" s="31" t="s">
        <v>1177</v>
      </c>
      <c r="H435" s="71" t="s">
        <v>166</v>
      </c>
      <c r="I435" s="71" t="s">
        <v>654</v>
      </c>
      <c r="J435" s="31"/>
      <c r="K435" s="32" t="s">
        <v>708</v>
      </c>
      <c r="L435" s="32" t="str">
        <f t="shared" si="12"/>
        <v>_</v>
      </c>
      <c r="M435" s="111">
        <f>ROUND(Tableau1[[#This Row],[LEN]]*7.27,0)</f>
        <v>356</v>
      </c>
      <c r="N435" s="111">
        <v>15</v>
      </c>
      <c r="O435" s="128" t="str">
        <f t="shared" si="13"/>
        <v>_self</v>
      </c>
      <c r="P435" s="111">
        <f>LEN(Tableau1[[#This Row],[LABEL]])</f>
        <v>49</v>
      </c>
      <c r="Q435" s="111">
        <v>15</v>
      </c>
      <c r="R435" s="111" t="e">
        <f>ROUND(Tableau1[[#This Row],[LEN]]*#REF!+#REF!,0)</f>
        <v>#REF!</v>
      </c>
    </row>
    <row r="436" spans="1:18" s="97" customFormat="1" hidden="1" x14ac:dyDescent="0.25">
      <c r="A436" s="29" t="s">
        <v>1252</v>
      </c>
      <c r="B436" s="30" t="s">
        <v>1226</v>
      </c>
      <c r="C436" s="425" t="s">
        <v>2150</v>
      </c>
      <c r="D436" s="31" t="s">
        <v>1256</v>
      </c>
      <c r="E436" s="71" t="s">
        <v>1177</v>
      </c>
      <c r="F436" s="31" t="s">
        <v>673</v>
      </c>
      <c r="G436" s="31" t="s">
        <v>1177</v>
      </c>
      <c r="H436" s="71" t="s">
        <v>166</v>
      </c>
      <c r="I436" s="71" t="s">
        <v>656</v>
      </c>
      <c r="J436" s="31"/>
      <c r="K436" s="32" t="s">
        <v>708</v>
      </c>
      <c r="L436" s="32" t="str">
        <f t="shared" si="12"/>
        <v>_</v>
      </c>
      <c r="M436" s="111">
        <f>ROUND(Tableau1[[#This Row],[LEN]]*7.27,0)</f>
        <v>291</v>
      </c>
      <c r="N436" s="111">
        <v>15</v>
      </c>
      <c r="O436" s="128" t="str">
        <f t="shared" si="13"/>
        <v>_self</v>
      </c>
      <c r="P436" s="111">
        <f>LEN(Tableau1[[#This Row],[LABEL]])</f>
        <v>40</v>
      </c>
      <c r="Q436" s="111">
        <v>15</v>
      </c>
      <c r="R436" s="111" t="e">
        <f>ROUND(Tableau1[[#This Row],[LEN]]*#REF!+#REF!,0)</f>
        <v>#REF!</v>
      </c>
    </row>
    <row r="437" spans="1:18" s="97" customFormat="1" hidden="1" x14ac:dyDescent="0.25">
      <c r="A437" s="29" t="s">
        <v>1253</v>
      </c>
      <c r="B437" s="30" t="s">
        <v>1226</v>
      </c>
      <c r="C437" s="425" t="s">
        <v>2150</v>
      </c>
      <c r="D437" s="31" t="s">
        <v>1257</v>
      </c>
      <c r="E437" s="71" t="s">
        <v>1177</v>
      </c>
      <c r="F437" s="31" t="s">
        <v>673</v>
      </c>
      <c r="G437" s="31" t="s">
        <v>1177</v>
      </c>
      <c r="H437" s="71" t="s">
        <v>166</v>
      </c>
      <c r="I437" s="71" t="s">
        <v>654</v>
      </c>
      <c r="J437" s="31"/>
      <c r="K437" s="32" t="s">
        <v>708</v>
      </c>
      <c r="L437" s="32" t="str">
        <f t="shared" si="12"/>
        <v>_</v>
      </c>
      <c r="M437" s="111">
        <f>ROUND(Tableau1[[#This Row],[LEN]]*7.27,0)</f>
        <v>211</v>
      </c>
      <c r="N437" s="111">
        <v>15</v>
      </c>
      <c r="O437" s="128" t="str">
        <f t="shared" si="13"/>
        <v>_self</v>
      </c>
      <c r="P437" s="111">
        <f>LEN(Tableau1[[#This Row],[LABEL]])</f>
        <v>29</v>
      </c>
      <c r="Q437" s="111">
        <v>15</v>
      </c>
      <c r="R437" s="111" t="e">
        <f>ROUND(Tableau1[[#This Row],[LEN]]*#REF!+#REF!,0)</f>
        <v>#REF!</v>
      </c>
    </row>
    <row r="438" spans="1:18" s="97" customFormat="1" hidden="1" x14ac:dyDescent="0.25">
      <c r="A438" s="29" t="s">
        <v>1254</v>
      </c>
      <c r="B438" s="30" t="s">
        <v>1226</v>
      </c>
      <c r="C438" s="425" t="s">
        <v>2150</v>
      </c>
      <c r="D438" s="31" t="s">
        <v>1258</v>
      </c>
      <c r="E438" s="71" t="s">
        <v>1177</v>
      </c>
      <c r="F438" s="31" t="s">
        <v>673</v>
      </c>
      <c r="G438" s="31" t="s">
        <v>1177</v>
      </c>
      <c r="H438" s="71" t="s">
        <v>166</v>
      </c>
      <c r="I438" s="71" t="s">
        <v>18</v>
      </c>
      <c r="J438" s="31"/>
      <c r="K438" s="32" t="s">
        <v>102</v>
      </c>
      <c r="L438" s="32" t="str">
        <f t="shared" si="12"/>
        <v>Documentation</v>
      </c>
      <c r="M438" s="111">
        <f>ROUND(Tableau1[[#This Row],[LEN]]*7.27,0)</f>
        <v>327</v>
      </c>
      <c r="N438" s="111">
        <v>15</v>
      </c>
      <c r="O438" s="128" t="str">
        <f t="shared" si="13"/>
        <v>_blank</v>
      </c>
      <c r="P438" s="111">
        <f>LEN(Tableau1[[#This Row],[LABEL]])</f>
        <v>45</v>
      </c>
      <c r="Q438" s="111">
        <v>15</v>
      </c>
      <c r="R438" s="111" t="e">
        <f>ROUND(Tableau1[[#This Row],[LEN]]*#REF!+#REF!,0)</f>
        <v>#REF!</v>
      </c>
    </row>
    <row r="439" spans="1:18" s="97" customFormat="1" hidden="1" x14ac:dyDescent="0.25">
      <c r="A439" s="25" t="s">
        <v>1227</v>
      </c>
      <c r="B439" s="26" t="s">
        <v>259</v>
      </c>
      <c r="C439" s="425" t="s">
        <v>2150</v>
      </c>
      <c r="D439" s="27" t="s">
        <v>1239</v>
      </c>
      <c r="E439" s="70" t="s">
        <v>1177</v>
      </c>
      <c r="F439" s="27" t="s">
        <v>673</v>
      </c>
      <c r="G439" s="27" t="s">
        <v>1177</v>
      </c>
      <c r="H439" s="70" t="s">
        <v>166</v>
      </c>
      <c r="I439" s="70" t="s">
        <v>570</v>
      </c>
      <c r="J439" s="27"/>
      <c r="K439" s="28" t="s">
        <v>1240</v>
      </c>
      <c r="L439" s="28" t="str">
        <f t="shared" si="12"/>
        <v>Documentation</v>
      </c>
      <c r="M439" s="109">
        <f>ROUND(Tableau1[[#This Row],[LEN]]*7.27,0)</f>
        <v>276</v>
      </c>
      <c r="N439" s="109">
        <v>15</v>
      </c>
      <c r="O439" s="127" t="str">
        <f t="shared" si="13"/>
        <v>_blank</v>
      </c>
      <c r="P439" s="109">
        <f>LEN(Tableau1[[#This Row],[LABEL]])</f>
        <v>38</v>
      </c>
      <c r="Q439" s="109">
        <v>15</v>
      </c>
      <c r="R439" s="109" t="e">
        <f>ROUND(Tableau1[[#This Row],[LEN]]*#REF!+#REF!,0)</f>
        <v>#REF!</v>
      </c>
    </row>
    <row r="440" spans="1:18" s="97" customFormat="1" hidden="1" x14ac:dyDescent="0.25">
      <c r="A440" s="25" t="s">
        <v>1228</v>
      </c>
      <c r="B440" s="26" t="s">
        <v>259</v>
      </c>
      <c r="C440" s="425" t="s">
        <v>2150</v>
      </c>
      <c r="D440" s="27" t="s">
        <v>88</v>
      </c>
      <c r="E440" s="70" t="s">
        <v>1177</v>
      </c>
      <c r="F440" s="27" t="s">
        <v>667</v>
      </c>
      <c r="G440" s="27" t="s">
        <v>1218</v>
      </c>
      <c r="H440" s="70" t="s">
        <v>166</v>
      </c>
      <c r="I440" s="70" t="s">
        <v>570</v>
      </c>
      <c r="J440" s="27"/>
      <c r="K440" s="28" t="s">
        <v>708</v>
      </c>
      <c r="L440" s="28" t="str">
        <f t="shared" si="12"/>
        <v>_</v>
      </c>
      <c r="M440" s="109">
        <f>ROUND(Tableau1[[#This Row],[LEN]]*7.27,0)</f>
        <v>342</v>
      </c>
      <c r="N440" s="109">
        <v>15</v>
      </c>
      <c r="O440" s="127" t="str">
        <f t="shared" si="13"/>
        <v>_self</v>
      </c>
      <c r="P440" s="109">
        <f>LEN(Tableau1[[#This Row],[LABEL]])</f>
        <v>47</v>
      </c>
      <c r="Q440" s="109">
        <v>15</v>
      </c>
      <c r="R440" s="109" t="e">
        <f>ROUND(Tableau1[[#This Row],[LEN]]*#REF!+#REF!,0)</f>
        <v>#REF!</v>
      </c>
    </row>
    <row r="441" spans="1:18" s="97" customFormat="1" hidden="1" x14ac:dyDescent="0.25">
      <c r="A441" s="25" t="s">
        <v>1229</v>
      </c>
      <c r="B441" s="26" t="s">
        <v>259</v>
      </c>
      <c r="C441" s="425" t="s">
        <v>2150</v>
      </c>
      <c r="D441" s="27" t="s">
        <v>1241</v>
      </c>
      <c r="E441" s="70" t="s">
        <v>1177</v>
      </c>
      <c r="F441" s="27" t="s">
        <v>1242</v>
      </c>
      <c r="G441" s="27" t="s">
        <v>1248</v>
      </c>
      <c r="H441" s="70" t="s">
        <v>166</v>
      </c>
      <c r="I441" s="70" t="s">
        <v>656</v>
      </c>
      <c r="J441" s="27"/>
      <c r="K441" s="28" t="s">
        <v>708</v>
      </c>
      <c r="L441" s="28" t="str">
        <f t="shared" si="12"/>
        <v>_</v>
      </c>
      <c r="M441" s="109">
        <f>ROUND(Tableau1[[#This Row],[LEN]]*7.27,0)</f>
        <v>131</v>
      </c>
      <c r="N441" s="109">
        <v>15</v>
      </c>
      <c r="O441" s="127" t="str">
        <f t="shared" si="13"/>
        <v>_self</v>
      </c>
      <c r="P441" s="109">
        <f>LEN(Tableau1[[#This Row],[LABEL]])</f>
        <v>18</v>
      </c>
      <c r="Q441" s="109">
        <v>15</v>
      </c>
      <c r="R441" s="109" t="e">
        <f>ROUND(Tableau1[[#This Row],[LEN]]*#REF!+#REF!,0)</f>
        <v>#REF!</v>
      </c>
    </row>
    <row r="442" spans="1:18" s="97" customFormat="1" hidden="1" x14ac:dyDescent="0.25">
      <c r="A442" s="25" t="s">
        <v>1230</v>
      </c>
      <c r="B442" s="26" t="s">
        <v>259</v>
      </c>
      <c r="C442" s="425" t="s">
        <v>2150</v>
      </c>
      <c r="D442" s="27" t="s">
        <v>1243</v>
      </c>
      <c r="E442" s="70" t="s">
        <v>1177</v>
      </c>
      <c r="F442" s="27" t="s">
        <v>673</v>
      </c>
      <c r="G442" s="27" t="s">
        <v>1177</v>
      </c>
      <c r="H442" s="70" t="s">
        <v>166</v>
      </c>
      <c r="I442" s="70" t="s">
        <v>655</v>
      </c>
      <c r="J442" s="27"/>
      <c r="K442" s="28" t="s">
        <v>708</v>
      </c>
      <c r="L442" s="28" t="str">
        <f t="shared" si="12"/>
        <v>_</v>
      </c>
      <c r="M442" s="109">
        <f>ROUND(Tableau1[[#This Row],[LEN]]*7.27,0)</f>
        <v>218</v>
      </c>
      <c r="N442" s="109">
        <v>15</v>
      </c>
      <c r="O442" s="127" t="str">
        <f t="shared" si="13"/>
        <v>_self</v>
      </c>
      <c r="P442" s="109">
        <f>LEN(Tableau1[[#This Row],[LABEL]])</f>
        <v>30</v>
      </c>
      <c r="Q442" s="109">
        <v>15</v>
      </c>
      <c r="R442" s="109" t="e">
        <f>ROUND(Tableau1[[#This Row],[LEN]]*#REF!+#REF!,0)</f>
        <v>#REF!</v>
      </c>
    </row>
    <row r="443" spans="1:18" s="97" customFormat="1" hidden="1" x14ac:dyDescent="0.25">
      <c r="A443" s="29" t="s">
        <v>1259</v>
      </c>
      <c r="B443" s="30" t="s">
        <v>1230</v>
      </c>
      <c r="C443" s="425" t="s">
        <v>2150</v>
      </c>
      <c r="D443" s="31" t="s">
        <v>1263</v>
      </c>
      <c r="E443" s="71" t="s">
        <v>1177</v>
      </c>
      <c r="F443" s="31" t="s">
        <v>673</v>
      </c>
      <c r="G443" s="31" t="s">
        <v>1177</v>
      </c>
      <c r="H443" s="71" t="s">
        <v>166</v>
      </c>
      <c r="I443" s="71" t="s">
        <v>656</v>
      </c>
      <c r="J443" s="31"/>
      <c r="K443" s="32" t="s">
        <v>719</v>
      </c>
      <c r="L443" s="32" t="str">
        <f t="shared" si="12"/>
        <v>Documentation</v>
      </c>
      <c r="M443" s="111">
        <f>ROUND(Tableau1[[#This Row],[LEN]]*7.27,0)</f>
        <v>327</v>
      </c>
      <c r="N443" s="111">
        <v>15</v>
      </c>
      <c r="O443" s="128" t="str">
        <f t="shared" si="13"/>
        <v>_blank</v>
      </c>
      <c r="P443" s="111">
        <f>LEN(Tableau1[[#This Row],[LABEL]])</f>
        <v>45</v>
      </c>
      <c r="Q443" s="111">
        <v>15</v>
      </c>
      <c r="R443" s="111" t="e">
        <f>ROUND(Tableau1[[#This Row],[LEN]]*#REF!+#REF!,0)</f>
        <v>#REF!</v>
      </c>
    </row>
    <row r="444" spans="1:18" s="97" customFormat="1" hidden="1" x14ac:dyDescent="0.25">
      <c r="A444" s="29" t="s">
        <v>1260</v>
      </c>
      <c r="B444" s="30" t="s">
        <v>1230</v>
      </c>
      <c r="C444" s="425" t="s">
        <v>2150</v>
      </c>
      <c r="D444" s="31" t="s">
        <v>1264</v>
      </c>
      <c r="E444" s="71" t="s">
        <v>1177</v>
      </c>
      <c r="F444" s="31" t="s">
        <v>673</v>
      </c>
      <c r="G444" s="31" t="s">
        <v>1177</v>
      </c>
      <c r="H444" s="71" t="s">
        <v>166</v>
      </c>
      <c r="I444" s="71" t="s">
        <v>18</v>
      </c>
      <c r="J444" s="31"/>
      <c r="K444" s="32" t="s">
        <v>708</v>
      </c>
      <c r="L444" s="32" t="str">
        <f t="shared" si="12"/>
        <v>_</v>
      </c>
      <c r="M444" s="111">
        <f>ROUND(Tableau1[[#This Row],[LEN]]*7.27,0)</f>
        <v>262</v>
      </c>
      <c r="N444" s="111">
        <v>15</v>
      </c>
      <c r="O444" s="128" t="str">
        <f t="shared" si="13"/>
        <v>_self</v>
      </c>
      <c r="P444" s="111">
        <f>LEN(Tableau1[[#This Row],[LABEL]])</f>
        <v>36</v>
      </c>
      <c r="Q444" s="111">
        <v>15</v>
      </c>
      <c r="R444" s="111" t="e">
        <f>ROUND(Tableau1[[#This Row],[LEN]]*#REF!+#REF!,0)</f>
        <v>#REF!</v>
      </c>
    </row>
    <row r="445" spans="1:18" s="97" customFormat="1" hidden="1" x14ac:dyDescent="0.25">
      <c r="A445" s="29" t="s">
        <v>1261</v>
      </c>
      <c r="B445" s="30" t="s">
        <v>1230</v>
      </c>
      <c r="C445" s="425" t="s">
        <v>2150</v>
      </c>
      <c r="D445" s="31" t="s">
        <v>1265</v>
      </c>
      <c r="E445" s="71" t="s">
        <v>1177</v>
      </c>
      <c r="F445" s="31" t="s">
        <v>673</v>
      </c>
      <c r="G445" s="31" t="s">
        <v>1177</v>
      </c>
      <c r="H445" s="71" t="s">
        <v>166</v>
      </c>
      <c r="I445" s="71" t="s">
        <v>18</v>
      </c>
      <c r="J445" s="31"/>
      <c r="K445" s="32" t="s">
        <v>708</v>
      </c>
      <c r="L445" s="32" t="str">
        <f t="shared" si="12"/>
        <v>_</v>
      </c>
      <c r="M445" s="111">
        <f>ROUND(Tableau1[[#This Row],[LEN]]*7.27,0)</f>
        <v>218</v>
      </c>
      <c r="N445" s="111">
        <v>15</v>
      </c>
      <c r="O445" s="128" t="str">
        <f t="shared" si="13"/>
        <v>_self</v>
      </c>
      <c r="P445" s="111">
        <f>LEN(Tableau1[[#This Row],[LABEL]])</f>
        <v>30</v>
      </c>
      <c r="Q445" s="111">
        <v>15</v>
      </c>
      <c r="R445" s="111" t="e">
        <f>ROUND(Tableau1[[#This Row],[LEN]]*#REF!+#REF!,0)</f>
        <v>#REF!</v>
      </c>
    </row>
    <row r="446" spans="1:18" s="97" customFormat="1" hidden="1" x14ac:dyDescent="0.25">
      <c r="A446" s="29" t="s">
        <v>1262</v>
      </c>
      <c r="B446" s="30" t="s">
        <v>1230</v>
      </c>
      <c r="C446" s="425" t="s">
        <v>2150</v>
      </c>
      <c r="D446" s="31" t="s">
        <v>1266</v>
      </c>
      <c r="E446" s="71" t="s">
        <v>1177</v>
      </c>
      <c r="F446" s="31" t="s">
        <v>673</v>
      </c>
      <c r="G446" s="31" t="s">
        <v>1177</v>
      </c>
      <c r="H446" s="71" t="s">
        <v>166</v>
      </c>
      <c r="I446" s="71" t="s">
        <v>654</v>
      </c>
      <c r="J446" s="31"/>
      <c r="K446" s="32" t="s">
        <v>708</v>
      </c>
      <c r="L446" s="32" t="str">
        <f t="shared" si="12"/>
        <v>_</v>
      </c>
      <c r="M446" s="111">
        <f>ROUND(Tableau1[[#This Row],[LEN]]*7.27,0)</f>
        <v>291</v>
      </c>
      <c r="N446" s="111">
        <v>15</v>
      </c>
      <c r="O446" s="128" t="str">
        <f t="shared" si="13"/>
        <v>_self</v>
      </c>
      <c r="P446" s="111">
        <f>LEN(Tableau1[[#This Row],[LABEL]])</f>
        <v>40</v>
      </c>
      <c r="Q446" s="111">
        <v>15</v>
      </c>
      <c r="R446" s="111" t="e">
        <f>ROUND(Tableau1[[#This Row],[LEN]]*#REF!+#REF!,0)</f>
        <v>#REF!</v>
      </c>
    </row>
    <row r="447" spans="1:18" s="97" customFormat="1" hidden="1" x14ac:dyDescent="0.25">
      <c r="A447" s="25" t="s">
        <v>1231</v>
      </c>
      <c r="B447" s="26" t="s">
        <v>259</v>
      </c>
      <c r="C447" s="425" t="s">
        <v>2150</v>
      </c>
      <c r="D447" s="27" t="s">
        <v>1267</v>
      </c>
      <c r="E447" s="70" t="s">
        <v>1177</v>
      </c>
      <c r="F447" s="27" t="s">
        <v>673</v>
      </c>
      <c r="G447" s="27" t="s">
        <v>1249</v>
      </c>
      <c r="H447" s="70" t="s">
        <v>166</v>
      </c>
      <c r="I447" s="70" t="s">
        <v>655</v>
      </c>
      <c r="J447" s="27"/>
      <c r="K447" s="28" t="s">
        <v>708</v>
      </c>
      <c r="L447" s="28" t="str">
        <f t="shared" si="12"/>
        <v>_</v>
      </c>
      <c r="M447" s="109">
        <f>ROUND(Tableau1[[#This Row],[LEN]]*7.27,0)</f>
        <v>305</v>
      </c>
      <c r="N447" s="109">
        <v>15</v>
      </c>
      <c r="O447" s="127" t="str">
        <f t="shared" si="13"/>
        <v>_self</v>
      </c>
      <c r="P447" s="109">
        <f>LEN(Tableau1[[#This Row],[LABEL]])</f>
        <v>42</v>
      </c>
      <c r="Q447" s="109">
        <v>15</v>
      </c>
      <c r="R447" s="109" t="e">
        <f>ROUND(Tableau1[[#This Row],[LEN]]*#REF!+#REF!,0)</f>
        <v>#REF!</v>
      </c>
    </row>
    <row r="448" spans="1:18" s="97" customFormat="1" hidden="1" x14ac:dyDescent="0.25">
      <c r="A448" s="29" t="s">
        <v>1268</v>
      </c>
      <c r="B448" s="30" t="s">
        <v>1231</v>
      </c>
      <c r="C448" s="425" t="s">
        <v>2150</v>
      </c>
      <c r="D448" s="31" t="s">
        <v>1271</v>
      </c>
      <c r="E448" s="71" t="s">
        <v>1177</v>
      </c>
      <c r="F448" s="31" t="s">
        <v>673</v>
      </c>
      <c r="G448" s="31" t="s">
        <v>1249</v>
      </c>
      <c r="H448" s="71" t="s">
        <v>166</v>
      </c>
      <c r="I448" s="71" t="s">
        <v>570</v>
      </c>
      <c r="J448" s="31"/>
      <c r="K448" s="32" t="s">
        <v>708</v>
      </c>
      <c r="L448" s="32" t="str">
        <f t="shared" si="12"/>
        <v>_</v>
      </c>
      <c r="M448" s="111">
        <f>ROUND(Tableau1[[#This Row],[LEN]]*7.27,0)</f>
        <v>145</v>
      </c>
      <c r="N448" s="111">
        <v>15</v>
      </c>
      <c r="O448" s="128" t="str">
        <f t="shared" si="13"/>
        <v>_self</v>
      </c>
      <c r="P448" s="111">
        <f>LEN(Tableau1[[#This Row],[LABEL]])</f>
        <v>20</v>
      </c>
      <c r="Q448" s="111">
        <v>15</v>
      </c>
      <c r="R448" s="111" t="e">
        <f>ROUND(Tableau1[[#This Row],[LEN]]*#REF!+#REF!,0)</f>
        <v>#REF!</v>
      </c>
    </row>
    <row r="449" spans="1:18" s="97" customFormat="1" hidden="1" x14ac:dyDescent="0.25">
      <c r="A449" s="29" t="s">
        <v>1269</v>
      </c>
      <c r="B449" s="30" t="s">
        <v>1231</v>
      </c>
      <c r="C449" s="425" t="s">
        <v>2150</v>
      </c>
      <c r="D449" s="31" t="s">
        <v>1272</v>
      </c>
      <c r="E449" s="71" t="s">
        <v>1177</v>
      </c>
      <c r="F449" s="31" t="s">
        <v>673</v>
      </c>
      <c r="G449" s="31" t="s">
        <v>1249</v>
      </c>
      <c r="H449" s="71" t="s">
        <v>166</v>
      </c>
      <c r="I449" s="71" t="s">
        <v>570</v>
      </c>
      <c r="J449" s="31"/>
      <c r="K449" s="32" t="s">
        <v>708</v>
      </c>
      <c r="L449" s="32" t="str">
        <f t="shared" si="12"/>
        <v>_</v>
      </c>
      <c r="M449" s="111">
        <f>ROUND(Tableau1[[#This Row],[LEN]]*7.27,0)</f>
        <v>305</v>
      </c>
      <c r="N449" s="111">
        <v>15</v>
      </c>
      <c r="O449" s="128" t="str">
        <f t="shared" si="13"/>
        <v>_self</v>
      </c>
      <c r="P449" s="111">
        <f>LEN(Tableau1[[#This Row],[LABEL]])</f>
        <v>42</v>
      </c>
      <c r="Q449" s="111">
        <v>15</v>
      </c>
      <c r="R449" s="111" t="e">
        <f>ROUND(Tableau1[[#This Row],[LEN]]*#REF!+#REF!,0)</f>
        <v>#REF!</v>
      </c>
    </row>
    <row r="450" spans="1:18" s="97" customFormat="1" hidden="1" x14ac:dyDescent="0.25">
      <c r="A450" s="29" t="s">
        <v>1270</v>
      </c>
      <c r="B450" s="30" t="s">
        <v>1231</v>
      </c>
      <c r="C450" s="425" t="s">
        <v>2150</v>
      </c>
      <c r="D450" s="31" t="s">
        <v>1273</v>
      </c>
      <c r="E450" s="71" t="s">
        <v>1177</v>
      </c>
      <c r="F450" s="31" t="s">
        <v>673</v>
      </c>
      <c r="G450" s="31" t="s">
        <v>1249</v>
      </c>
      <c r="H450" s="71" t="s">
        <v>166</v>
      </c>
      <c r="I450" s="71" t="s">
        <v>570</v>
      </c>
      <c r="J450" s="31"/>
      <c r="K450" s="32" t="s">
        <v>708</v>
      </c>
      <c r="L450" s="32" t="str">
        <f t="shared" si="12"/>
        <v>_</v>
      </c>
      <c r="M450" s="111">
        <f>ROUND(Tableau1[[#This Row],[LEN]]*7.27,0)</f>
        <v>87</v>
      </c>
      <c r="N450" s="111">
        <v>15</v>
      </c>
      <c r="O450" s="128" t="str">
        <f t="shared" si="13"/>
        <v>_self</v>
      </c>
      <c r="P450" s="111">
        <f>LEN(Tableau1[[#This Row],[LABEL]])</f>
        <v>12</v>
      </c>
      <c r="Q450" s="111">
        <v>15</v>
      </c>
      <c r="R450" s="111" t="e">
        <f>ROUND(Tableau1[[#This Row],[LEN]]*#REF!+#REF!,0)</f>
        <v>#REF!</v>
      </c>
    </row>
    <row r="451" spans="1:18" s="97" customFormat="1" hidden="1" x14ac:dyDescent="0.25">
      <c r="A451" s="25" t="s">
        <v>1232</v>
      </c>
      <c r="B451" s="26" t="s">
        <v>259</v>
      </c>
      <c r="C451" s="425" t="s">
        <v>2150</v>
      </c>
      <c r="D451" s="27" t="s">
        <v>1244</v>
      </c>
      <c r="E451" s="70" t="s">
        <v>1177</v>
      </c>
      <c r="F451" s="27" t="s">
        <v>673</v>
      </c>
      <c r="G451" s="27" t="s">
        <v>1177</v>
      </c>
      <c r="H451" s="70" t="s">
        <v>166</v>
      </c>
      <c r="I451" s="70" t="s">
        <v>18</v>
      </c>
      <c r="J451" s="27"/>
      <c r="K451" s="28" t="s">
        <v>708</v>
      </c>
      <c r="L451" s="28" t="str">
        <f t="shared" si="12"/>
        <v>_</v>
      </c>
      <c r="M451" s="109">
        <f>ROUND(Tableau1[[#This Row],[LEN]]*7.27,0)</f>
        <v>247</v>
      </c>
      <c r="N451" s="109">
        <v>15</v>
      </c>
      <c r="O451" s="127" t="str">
        <f t="shared" si="13"/>
        <v>_self</v>
      </c>
      <c r="P451" s="109">
        <f>LEN(Tableau1[[#This Row],[LABEL]])</f>
        <v>34</v>
      </c>
      <c r="Q451" s="109">
        <v>15</v>
      </c>
      <c r="R451" s="109" t="e">
        <f>ROUND(Tableau1[[#This Row],[LEN]]*#REF!+#REF!,0)</f>
        <v>#REF!</v>
      </c>
    </row>
    <row r="452" spans="1:18" s="97" customFormat="1" hidden="1" x14ac:dyDescent="0.25">
      <c r="A452" s="25" t="s">
        <v>1233</v>
      </c>
      <c r="B452" s="26" t="s">
        <v>259</v>
      </c>
      <c r="C452" s="425" t="s">
        <v>2150</v>
      </c>
      <c r="D452" s="27" t="s">
        <v>1245</v>
      </c>
      <c r="E452" s="70" t="s">
        <v>1177</v>
      </c>
      <c r="F452" s="27" t="s">
        <v>673</v>
      </c>
      <c r="G452" s="27" t="s">
        <v>1177</v>
      </c>
      <c r="H452" s="70" t="s">
        <v>166</v>
      </c>
      <c r="I452" s="70" t="s">
        <v>570</v>
      </c>
      <c r="J452" s="27"/>
      <c r="K452" s="28" t="s">
        <v>708</v>
      </c>
      <c r="L452" s="28" t="str">
        <f t="shared" si="12"/>
        <v>_</v>
      </c>
      <c r="M452" s="109">
        <f>ROUND(Tableau1[[#This Row],[LEN]]*7.27,0)</f>
        <v>364</v>
      </c>
      <c r="N452" s="109">
        <v>15</v>
      </c>
      <c r="O452" s="127" t="str">
        <f t="shared" si="13"/>
        <v>_self</v>
      </c>
      <c r="P452" s="109">
        <f>LEN(Tableau1[[#This Row],[LABEL]])</f>
        <v>50</v>
      </c>
      <c r="Q452" s="109">
        <v>15</v>
      </c>
      <c r="R452" s="109" t="e">
        <f>ROUND(Tableau1[[#This Row],[LEN]]*#REF!+#REF!,0)</f>
        <v>#REF!</v>
      </c>
    </row>
    <row r="453" spans="1:18" s="97" customFormat="1" hidden="1" x14ac:dyDescent="0.25">
      <c r="A453" s="25" t="s">
        <v>1234</v>
      </c>
      <c r="B453" s="26" t="s">
        <v>259</v>
      </c>
      <c r="C453" s="425" t="s">
        <v>2150</v>
      </c>
      <c r="D453" s="27" t="s">
        <v>778</v>
      </c>
      <c r="E453" s="70" t="s">
        <v>1177</v>
      </c>
      <c r="F453" s="27" t="s">
        <v>673</v>
      </c>
      <c r="G453" s="27" t="s">
        <v>2000</v>
      </c>
      <c r="H453" s="70" t="s">
        <v>166</v>
      </c>
      <c r="I453" s="70" t="s">
        <v>17</v>
      </c>
      <c r="J453" s="27"/>
      <c r="K453" s="28" t="s">
        <v>708</v>
      </c>
      <c r="L453" s="28" t="str">
        <f t="shared" si="12"/>
        <v>_</v>
      </c>
      <c r="M453" s="109">
        <f>ROUND(Tableau1[[#This Row],[LEN]]*7.27,0)</f>
        <v>211</v>
      </c>
      <c r="N453" s="109">
        <v>15</v>
      </c>
      <c r="O453" s="127" t="str">
        <f t="shared" si="13"/>
        <v>_self</v>
      </c>
      <c r="P453" s="109">
        <f>LEN(Tableau1[[#This Row],[LABEL]])</f>
        <v>29</v>
      </c>
      <c r="Q453" s="109">
        <v>15</v>
      </c>
      <c r="R453" s="109" t="e">
        <f>ROUND(Tableau1[[#This Row],[LEN]]*#REF!+#REF!,0)</f>
        <v>#REF!</v>
      </c>
    </row>
    <row r="454" spans="1:18" s="97" customFormat="1" hidden="1" x14ac:dyDescent="0.25">
      <c r="A454" s="25" t="s">
        <v>1235</v>
      </c>
      <c r="B454" s="26" t="s">
        <v>259</v>
      </c>
      <c r="C454" s="425" t="s">
        <v>2150</v>
      </c>
      <c r="D454" s="27" t="s">
        <v>1246</v>
      </c>
      <c r="E454" s="70" t="s">
        <v>1177</v>
      </c>
      <c r="F454" s="27" t="s">
        <v>673</v>
      </c>
      <c r="G454" s="27" t="s">
        <v>667</v>
      </c>
      <c r="H454" s="70" t="s">
        <v>166</v>
      </c>
      <c r="I454" s="70" t="s">
        <v>655</v>
      </c>
      <c r="J454" s="27"/>
      <c r="K454" s="28" t="s">
        <v>708</v>
      </c>
      <c r="L454" s="28" t="str">
        <f t="shared" si="12"/>
        <v>_</v>
      </c>
      <c r="M454" s="109">
        <f>ROUND(Tableau1[[#This Row],[LEN]]*7.27,0)</f>
        <v>153</v>
      </c>
      <c r="N454" s="109">
        <v>15</v>
      </c>
      <c r="O454" s="127" t="str">
        <f t="shared" si="13"/>
        <v>_self</v>
      </c>
      <c r="P454" s="109">
        <f>LEN(Tableau1[[#This Row],[LABEL]])</f>
        <v>21</v>
      </c>
      <c r="Q454" s="109">
        <v>15</v>
      </c>
      <c r="R454" s="109" t="e">
        <f>ROUND(Tableau1[[#This Row],[LEN]]*#REF!+#REF!,0)</f>
        <v>#REF!</v>
      </c>
    </row>
    <row r="455" spans="1:18" s="97" customFormat="1" hidden="1" x14ac:dyDescent="0.25">
      <c r="A455" s="29" t="s">
        <v>1274</v>
      </c>
      <c r="B455" s="30" t="s">
        <v>1235</v>
      </c>
      <c r="C455" s="425" t="s">
        <v>2150</v>
      </c>
      <c r="D455" s="31" t="s">
        <v>1276</v>
      </c>
      <c r="E455" s="71" t="s">
        <v>1177</v>
      </c>
      <c r="F455" s="31" t="s">
        <v>673</v>
      </c>
      <c r="G455" s="31" t="s">
        <v>667</v>
      </c>
      <c r="H455" s="71" t="s">
        <v>166</v>
      </c>
      <c r="I455" s="71" t="s">
        <v>18</v>
      </c>
      <c r="J455" s="31"/>
      <c r="K455" s="32" t="s">
        <v>708</v>
      </c>
      <c r="L455" s="32" t="str">
        <f t="shared" si="12"/>
        <v>_</v>
      </c>
      <c r="M455" s="111">
        <f>ROUND(Tableau1[[#This Row],[LEN]]*7.27,0)</f>
        <v>131</v>
      </c>
      <c r="N455" s="111">
        <v>15</v>
      </c>
      <c r="O455" s="128" t="str">
        <f t="shared" si="13"/>
        <v>_self</v>
      </c>
      <c r="P455" s="111">
        <f>LEN(Tableau1[[#This Row],[LABEL]])</f>
        <v>18</v>
      </c>
      <c r="Q455" s="111">
        <v>15</v>
      </c>
      <c r="R455" s="111" t="e">
        <f>ROUND(Tableau1[[#This Row],[LEN]]*#REF!+#REF!,0)</f>
        <v>#REF!</v>
      </c>
    </row>
    <row r="456" spans="1:18" s="97" customFormat="1" hidden="1" x14ac:dyDescent="0.25">
      <c r="A456" s="29" t="s">
        <v>1275</v>
      </c>
      <c r="B456" s="30" t="s">
        <v>1235</v>
      </c>
      <c r="C456" s="425" t="s">
        <v>2150</v>
      </c>
      <c r="D456" s="31" t="s">
        <v>1277</v>
      </c>
      <c r="E456" s="71" t="s">
        <v>1177</v>
      </c>
      <c r="F456" s="31" t="s">
        <v>673</v>
      </c>
      <c r="G456" s="31" t="s">
        <v>667</v>
      </c>
      <c r="H456" s="71" t="s">
        <v>166</v>
      </c>
      <c r="I456" s="71" t="s">
        <v>18</v>
      </c>
      <c r="J456" s="31"/>
      <c r="K456" s="32" t="s">
        <v>708</v>
      </c>
      <c r="L456" s="32" t="str">
        <f t="shared" si="12"/>
        <v>_</v>
      </c>
      <c r="M456" s="111">
        <f>ROUND(Tableau1[[#This Row],[LEN]]*7.27,0)</f>
        <v>422</v>
      </c>
      <c r="N456" s="111">
        <v>15</v>
      </c>
      <c r="O456" s="128" t="str">
        <f t="shared" si="13"/>
        <v>_self</v>
      </c>
      <c r="P456" s="111">
        <f>LEN(Tableau1[[#This Row],[LABEL]])</f>
        <v>58</v>
      </c>
      <c r="Q456" s="111">
        <v>15</v>
      </c>
      <c r="R456" s="111" t="e">
        <f>ROUND(Tableau1[[#This Row],[LEN]]*#REF!+#REF!,0)</f>
        <v>#REF!</v>
      </c>
    </row>
    <row r="457" spans="1:18" s="97" customFormat="1" hidden="1" x14ac:dyDescent="0.25">
      <c r="A457" s="25" t="s">
        <v>1236</v>
      </c>
      <c r="B457" s="26" t="s">
        <v>259</v>
      </c>
      <c r="C457" s="425" t="s">
        <v>2150</v>
      </c>
      <c r="D457" s="27" t="s">
        <v>1247</v>
      </c>
      <c r="E457" s="70" t="s">
        <v>1250</v>
      </c>
      <c r="F457" s="27" t="s">
        <v>673</v>
      </c>
      <c r="G457" s="27" t="s">
        <v>667</v>
      </c>
      <c r="H457" s="70" t="s">
        <v>166</v>
      </c>
      <c r="I457" s="70" t="s">
        <v>656</v>
      </c>
      <c r="J457" s="27"/>
      <c r="K457" s="28" t="s">
        <v>708</v>
      </c>
      <c r="L457" s="28" t="str">
        <f t="shared" si="12"/>
        <v>_</v>
      </c>
      <c r="M457" s="109">
        <f>ROUND(Tableau1[[#This Row],[LEN]]*7.27,0)</f>
        <v>160</v>
      </c>
      <c r="N457" s="109">
        <v>15</v>
      </c>
      <c r="O457" s="127" t="str">
        <f t="shared" si="13"/>
        <v>_self</v>
      </c>
      <c r="P457" s="109">
        <f>LEN(Tableau1[[#This Row],[LABEL]])</f>
        <v>22</v>
      </c>
      <c r="Q457" s="109">
        <v>15</v>
      </c>
      <c r="R457" s="109" t="e">
        <f>ROUND(Tableau1[[#This Row],[LEN]]*#REF!+#REF!,0)</f>
        <v>#REF!</v>
      </c>
    </row>
    <row r="458" spans="1:18" s="97" customFormat="1" hidden="1" x14ac:dyDescent="0.25">
      <c r="A458" s="25" t="s">
        <v>1237</v>
      </c>
      <c r="B458" s="26" t="s">
        <v>259</v>
      </c>
      <c r="C458" s="425" t="s">
        <v>2150</v>
      </c>
      <c r="D458" s="27" t="s">
        <v>1167</v>
      </c>
      <c r="E458" s="70" t="s">
        <v>486</v>
      </c>
      <c r="F458" s="27" t="s">
        <v>1085</v>
      </c>
      <c r="G458" s="27" t="s">
        <v>1084</v>
      </c>
      <c r="H458" s="70" t="s">
        <v>1977</v>
      </c>
      <c r="I458" s="70" t="s">
        <v>1131</v>
      </c>
      <c r="J458" s="27"/>
      <c r="K458" s="28" t="s">
        <v>708</v>
      </c>
      <c r="L458" s="28" t="str">
        <f t="shared" si="12"/>
        <v>_</v>
      </c>
      <c r="M458" s="109">
        <f>ROUND(Tableau1[[#This Row],[LEN]]*7.27,0)</f>
        <v>196</v>
      </c>
      <c r="N458" s="109">
        <v>15</v>
      </c>
      <c r="O458" s="127" t="str">
        <f t="shared" si="13"/>
        <v>_self</v>
      </c>
      <c r="P458" s="109">
        <f>LEN(Tableau1[[#This Row],[LABEL]])</f>
        <v>27</v>
      </c>
      <c r="Q458" s="109">
        <v>15</v>
      </c>
      <c r="R458" s="109" t="e">
        <f>ROUND(Tableau1[[#This Row],[LEN]]*#REF!+#REF!,0)</f>
        <v>#REF!</v>
      </c>
    </row>
    <row r="459" spans="1:18" s="273" customFormat="1" hidden="1" x14ac:dyDescent="0.25">
      <c r="A459" s="288" t="s">
        <v>260</v>
      </c>
      <c r="B459" s="289" t="s">
        <v>206</v>
      </c>
      <c r="C459" s="425" t="s">
        <v>2150</v>
      </c>
      <c r="D459" s="290" t="s">
        <v>11</v>
      </c>
      <c r="E459" s="291" t="s">
        <v>1177</v>
      </c>
      <c r="F459" s="290" t="s">
        <v>674</v>
      </c>
      <c r="G459" s="290" t="s">
        <v>1177</v>
      </c>
      <c r="H459" s="291" t="s">
        <v>166</v>
      </c>
      <c r="I459" s="291" t="str">
        <f>IFERROR(IF(SEARCH(".00.00.00.00.00",Tableau1[[#This Row],[name]],1)=7,"Division",""),"")</f>
        <v>Division</v>
      </c>
      <c r="J459" s="290"/>
      <c r="K459" s="292" t="s">
        <v>720</v>
      </c>
      <c r="L459" s="292" t="str">
        <f t="shared" si="12"/>
        <v>Documentation</v>
      </c>
      <c r="M459" s="293">
        <f>ROUND(Tableau1[[#This Row],[LEN]]*7.27,0)</f>
        <v>51</v>
      </c>
      <c r="N459" s="293">
        <v>15</v>
      </c>
      <c r="O459" s="294" t="str">
        <f t="shared" si="13"/>
        <v>_blank</v>
      </c>
      <c r="P459" s="293">
        <f>LEN(Tableau1[[#This Row],[LABEL]])</f>
        <v>7</v>
      </c>
      <c r="Q459" s="293">
        <v>15</v>
      </c>
      <c r="R459" s="293" t="e">
        <f>ROUND(Tableau1[[#This Row],[LEN]]*#REF!+#REF!,0)</f>
        <v>#REF!</v>
      </c>
    </row>
    <row r="460" spans="1:18" s="97" customFormat="1" hidden="1" x14ac:dyDescent="0.25">
      <c r="A460" s="25" t="s">
        <v>1278</v>
      </c>
      <c r="B460" s="26" t="s">
        <v>260</v>
      </c>
      <c r="C460" s="425" t="s">
        <v>2150</v>
      </c>
      <c r="D460" s="27" t="s">
        <v>88</v>
      </c>
      <c r="E460" s="70" t="s">
        <v>1177</v>
      </c>
      <c r="F460" s="27" t="s">
        <v>667</v>
      </c>
      <c r="G460" s="27" t="s">
        <v>1218</v>
      </c>
      <c r="H460" s="70" t="s">
        <v>166</v>
      </c>
      <c r="I460" s="70" t="s">
        <v>570</v>
      </c>
      <c r="J460" s="27"/>
      <c r="K460" s="28" t="s">
        <v>708</v>
      </c>
      <c r="L460" s="28" t="str">
        <f t="shared" si="12"/>
        <v>_</v>
      </c>
      <c r="M460" s="109">
        <f>ROUND(Tableau1[[#This Row],[LEN]]*7.27,0)</f>
        <v>342</v>
      </c>
      <c r="N460" s="109">
        <v>15</v>
      </c>
      <c r="O460" s="127" t="str">
        <f t="shared" si="13"/>
        <v>_self</v>
      </c>
      <c r="P460" s="109">
        <f>LEN(Tableau1[[#This Row],[LABEL]])</f>
        <v>47</v>
      </c>
      <c r="Q460" s="109">
        <v>15</v>
      </c>
      <c r="R460" s="109" t="e">
        <f>ROUND(Tableau1[[#This Row],[LEN]]*#REF!+#REF!,0)</f>
        <v>#REF!</v>
      </c>
    </row>
    <row r="461" spans="1:18" s="97" customFormat="1" x14ac:dyDescent="0.25">
      <c r="A461" s="25" t="s">
        <v>1279</v>
      </c>
      <c r="B461" s="26" t="s">
        <v>260</v>
      </c>
      <c r="C461" s="425" t="s">
        <v>2150</v>
      </c>
      <c r="D461" s="445" t="s">
        <v>484</v>
      </c>
      <c r="E461" s="70" t="s">
        <v>1177</v>
      </c>
      <c r="F461" s="27" t="s">
        <v>672</v>
      </c>
      <c r="G461" s="27" t="s">
        <v>1285</v>
      </c>
      <c r="H461" s="70" t="s">
        <v>166</v>
      </c>
      <c r="I461" s="70" t="s">
        <v>655</v>
      </c>
      <c r="J461" s="27"/>
      <c r="K461" s="28" t="s">
        <v>727</v>
      </c>
      <c r="L461" s="28" t="str">
        <f t="shared" si="12"/>
        <v>Documentation</v>
      </c>
      <c r="M461" s="109">
        <f>ROUND(Tableau1[[#This Row],[LEN]]*7.27,0)</f>
        <v>80</v>
      </c>
      <c r="N461" s="109">
        <v>15</v>
      </c>
      <c r="O461" s="127" t="str">
        <f t="shared" si="13"/>
        <v>_blank</v>
      </c>
      <c r="P461" s="109">
        <f>LEN(Tableau1[[#This Row],[LABEL]])</f>
        <v>11</v>
      </c>
      <c r="Q461" s="109">
        <v>15</v>
      </c>
      <c r="R461" s="109" t="e">
        <f>ROUND(Tableau1[[#This Row],[LEN]]*#REF!+#REF!,0)</f>
        <v>#REF!</v>
      </c>
    </row>
    <row r="462" spans="1:18" s="97" customFormat="1" x14ac:dyDescent="0.25">
      <c r="A462" s="29" t="s">
        <v>1288</v>
      </c>
      <c r="B462" s="30" t="s">
        <v>1279</v>
      </c>
      <c r="C462" s="425" t="s">
        <v>2150</v>
      </c>
      <c r="D462" s="446" t="s">
        <v>505</v>
      </c>
      <c r="E462" s="71" t="s">
        <v>1177</v>
      </c>
      <c r="F462" s="31" t="s">
        <v>672</v>
      </c>
      <c r="G462" s="31" t="s">
        <v>1285</v>
      </c>
      <c r="H462" s="71" t="s">
        <v>166</v>
      </c>
      <c r="I462" s="71" t="s">
        <v>18</v>
      </c>
      <c r="J462" s="31"/>
      <c r="K462" s="32" t="s">
        <v>705</v>
      </c>
      <c r="L462" s="32" t="str">
        <f t="shared" si="12"/>
        <v>Documentation</v>
      </c>
      <c r="M462" s="111">
        <f>ROUND(Tableau1[[#This Row],[LEN]]*7.27,0)</f>
        <v>73</v>
      </c>
      <c r="N462" s="111">
        <v>15</v>
      </c>
      <c r="O462" s="128" t="str">
        <f t="shared" si="13"/>
        <v>_blank</v>
      </c>
      <c r="P462" s="111">
        <f>LEN(Tableau1[[#This Row],[LABEL]])</f>
        <v>10</v>
      </c>
      <c r="Q462" s="111">
        <v>15</v>
      </c>
      <c r="R462" s="111" t="e">
        <f>ROUND(Tableau1[[#This Row],[LEN]]*#REF!+#REF!,0)</f>
        <v>#REF!</v>
      </c>
    </row>
    <row r="463" spans="1:18" s="97" customFormat="1" x14ac:dyDescent="0.25">
      <c r="A463" s="29" t="s">
        <v>1289</v>
      </c>
      <c r="B463" s="30" t="s">
        <v>1279</v>
      </c>
      <c r="C463" s="425" t="s">
        <v>2150</v>
      </c>
      <c r="D463" s="446" t="s">
        <v>1284</v>
      </c>
      <c r="E463" s="71" t="s">
        <v>1177</v>
      </c>
      <c r="F463" s="31" t="s">
        <v>672</v>
      </c>
      <c r="G463" s="31" t="s">
        <v>1285</v>
      </c>
      <c r="H463" s="71" t="s">
        <v>166</v>
      </c>
      <c r="I463" s="71" t="s">
        <v>18</v>
      </c>
      <c r="J463" s="31"/>
      <c r="K463" s="32" t="s">
        <v>705</v>
      </c>
      <c r="L463" s="32" t="str">
        <f t="shared" si="12"/>
        <v>Documentation</v>
      </c>
      <c r="M463" s="111">
        <f>ROUND(Tableau1[[#This Row],[LEN]]*7.27,0)</f>
        <v>153</v>
      </c>
      <c r="N463" s="111">
        <v>15</v>
      </c>
      <c r="O463" s="128" t="str">
        <f t="shared" si="13"/>
        <v>_blank</v>
      </c>
      <c r="P463" s="111">
        <f>LEN(Tableau1[[#This Row],[LABEL]])</f>
        <v>21</v>
      </c>
      <c r="Q463" s="111">
        <v>15</v>
      </c>
      <c r="R463" s="111" t="e">
        <f>ROUND(Tableau1[[#This Row],[LEN]]*#REF!+#REF!,0)</f>
        <v>#REF!</v>
      </c>
    </row>
    <row r="464" spans="1:18" s="97" customFormat="1" hidden="1" x14ac:dyDescent="0.25">
      <c r="A464" s="29" t="s">
        <v>2092</v>
      </c>
      <c r="B464" s="30" t="s">
        <v>1279</v>
      </c>
      <c r="C464" s="425" t="s">
        <v>2150</v>
      </c>
      <c r="D464" s="31" t="s">
        <v>2093</v>
      </c>
      <c r="E464" s="71" t="s">
        <v>1177</v>
      </c>
      <c r="F464" s="31" t="s">
        <v>674</v>
      </c>
      <c r="G464" s="31" t="s">
        <v>674</v>
      </c>
      <c r="H464" s="71" t="s">
        <v>166</v>
      </c>
      <c r="I464" s="71" t="s">
        <v>18</v>
      </c>
      <c r="J464" s="31"/>
      <c r="K464" s="32" t="s">
        <v>705</v>
      </c>
      <c r="L464" s="32" t="str">
        <f t="shared" si="12"/>
        <v>Documentation</v>
      </c>
      <c r="M464" s="111">
        <v>153</v>
      </c>
      <c r="N464" s="111">
        <v>15</v>
      </c>
      <c r="O464" s="128" t="str">
        <f t="shared" si="13"/>
        <v>_blank</v>
      </c>
      <c r="P464" s="111">
        <v>21</v>
      </c>
      <c r="Q464" s="111">
        <v>15</v>
      </c>
      <c r="R464" s="111">
        <v>-163</v>
      </c>
    </row>
    <row r="465" spans="1:18" s="97" customFormat="1" hidden="1" x14ac:dyDescent="0.25">
      <c r="A465" s="25" t="s">
        <v>1280</v>
      </c>
      <c r="B465" s="26" t="s">
        <v>260</v>
      </c>
      <c r="C465" s="425" t="s">
        <v>2150</v>
      </c>
      <c r="D465" s="27" t="s">
        <v>2094</v>
      </c>
      <c r="E465" s="70" t="s">
        <v>1177</v>
      </c>
      <c r="F465" s="27" t="s">
        <v>674</v>
      </c>
      <c r="G465" s="27" t="s">
        <v>1177</v>
      </c>
      <c r="H465" s="70" t="s">
        <v>166</v>
      </c>
      <c r="I465" s="70" t="s">
        <v>655</v>
      </c>
      <c r="J465" s="27"/>
      <c r="K465" s="28" t="s">
        <v>708</v>
      </c>
      <c r="L465" s="28" t="str">
        <f t="shared" si="12"/>
        <v>_</v>
      </c>
      <c r="M465" s="109">
        <f>ROUND(Tableau1[[#This Row],[LEN]]*7.27,0)</f>
        <v>422</v>
      </c>
      <c r="N465" s="109">
        <v>15</v>
      </c>
      <c r="O465" s="127" t="str">
        <f t="shared" si="13"/>
        <v>_self</v>
      </c>
      <c r="P465" s="109">
        <f>LEN(Tableau1[[#This Row],[LABEL]])</f>
        <v>58</v>
      </c>
      <c r="Q465" s="109">
        <v>15</v>
      </c>
      <c r="R465" s="109" t="e">
        <f>ROUND(Tableau1[[#This Row],[LEN]]*#REF!+#REF!,0)</f>
        <v>#REF!</v>
      </c>
    </row>
    <row r="466" spans="1:18" s="97" customFormat="1" hidden="1" x14ac:dyDescent="0.25">
      <c r="A466" s="29" t="s">
        <v>1290</v>
      </c>
      <c r="B466" s="30" t="s">
        <v>1280</v>
      </c>
      <c r="C466" s="425" t="s">
        <v>2150</v>
      </c>
      <c r="D466" s="31" t="s">
        <v>1293</v>
      </c>
      <c r="E466" s="71" t="s">
        <v>1177</v>
      </c>
      <c r="F466" s="31" t="s">
        <v>674</v>
      </c>
      <c r="G466" s="31" t="s">
        <v>1177</v>
      </c>
      <c r="H466" s="71" t="s">
        <v>166</v>
      </c>
      <c r="I466" s="71" t="s">
        <v>654</v>
      </c>
      <c r="J466" s="31"/>
      <c r="K466" s="32" t="s">
        <v>708</v>
      </c>
      <c r="L466" s="32" t="str">
        <f t="shared" si="12"/>
        <v>_</v>
      </c>
      <c r="M466" s="111">
        <f>ROUND(Tableau1[[#This Row],[LEN]]*7.27,0)</f>
        <v>116</v>
      </c>
      <c r="N466" s="111">
        <v>15</v>
      </c>
      <c r="O466" s="128" t="str">
        <f t="shared" si="13"/>
        <v>_self</v>
      </c>
      <c r="P466" s="111">
        <f>LEN(Tableau1[[#This Row],[LABEL]])</f>
        <v>16</v>
      </c>
      <c r="Q466" s="111">
        <v>15</v>
      </c>
      <c r="R466" s="111" t="e">
        <f>ROUND(Tableau1[[#This Row],[LEN]]*#REF!+#REF!,0)</f>
        <v>#REF!</v>
      </c>
    </row>
    <row r="467" spans="1:18" s="97" customFormat="1" hidden="1" x14ac:dyDescent="0.25">
      <c r="A467" s="29" t="s">
        <v>1291</v>
      </c>
      <c r="B467" s="30" t="s">
        <v>1280</v>
      </c>
      <c r="C467" s="425" t="s">
        <v>2150</v>
      </c>
      <c r="D467" s="31" t="s">
        <v>1294</v>
      </c>
      <c r="E467" s="71" t="s">
        <v>1177</v>
      </c>
      <c r="F467" s="31" t="s">
        <v>674</v>
      </c>
      <c r="G467" s="31" t="s">
        <v>1177</v>
      </c>
      <c r="H467" s="71" t="s">
        <v>166</v>
      </c>
      <c r="I467" s="71" t="s">
        <v>654</v>
      </c>
      <c r="J467" s="31"/>
      <c r="K467" s="32" t="s">
        <v>708</v>
      </c>
      <c r="L467" s="32" t="str">
        <f t="shared" si="12"/>
        <v>_</v>
      </c>
      <c r="M467" s="111">
        <f>ROUND(Tableau1[[#This Row],[LEN]]*7.27,0)</f>
        <v>87</v>
      </c>
      <c r="N467" s="111">
        <v>15</v>
      </c>
      <c r="O467" s="128" t="str">
        <f t="shared" si="13"/>
        <v>_self</v>
      </c>
      <c r="P467" s="111">
        <f>LEN(Tableau1[[#This Row],[LABEL]])</f>
        <v>12</v>
      </c>
      <c r="Q467" s="111">
        <v>15</v>
      </c>
      <c r="R467" s="111" t="e">
        <f>ROUND(Tableau1[[#This Row],[LEN]]*#REF!+#REF!,0)</f>
        <v>#REF!</v>
      </c>
    </row>
    <row r="468" spans="1:18" s="97" customFormat="1" hidden="1" x14ac:dyDescent="0.25">
      <c r="A468" s="29" t="s">
        <v>1292</v>
      </c>
      <c r="B468" s="30" t="s">
        <v>1280</v>
      </c>
      <c r="C468" s="425" t="s">
        <v>2150</v>
      </c>
      <c r="D468" s="31" t="s">
        <v>571</v>
      </c>
      <c r="E468" s="71" t="s">
        <v>1177</v>
      </c>
      <c r="F468" s="31" t="s">
        <v>674</v>
      </c>
      <c r="G468" s="31" t="s">
        <v>1177</v>
      </c>
      <c r="H468" s="71" t="s">
        <v>166</v>
      </c>
      <c r="I468" s="71" t="s">
        <v>654</v>
      </c>
      <c r="J468" s="31"/>
      <c r="K468" s="32" t="s">
        <v>708</v>
      </c>
      <c r="L468" s="32" t="str">
        <f t="shared" si="12"/>
        <v>_</v>
      </c>
      <c r="M468" s="111">
        <f>ROUND(Tableau1[[#This Row],[LEN]]*7.27,0)</f>
        <v>44</v>
      </c>
      <c r="N468" s="111">
        <v>15</v>
      </c>
      <c r="O468" s="128" t="str">
        <f t="shared" si="13"/>
        <v>_self</v>
      </c>
      <c r="P468" s="111">
        <f>LEN(Tableau1[[#This Row],[LABEL]])</f>
        <v>6</v>
      </c>
      <c r="Q468" s="111">
        <v>15</v>
      </c>
      <c r="R468" s="111" t="e">
        <f>ROUND(Tableau1[[#This Row],[LEN]]*#REF!+#REF!,0)</f>
        <v>#REF!</v>
      </c>
    </row>
    <row r="469" spans="1:18" s="97" customFormat="1" hidden="1" x14ac:dyDescent="0.25">
      <c r="A469" s="29" t="s">
        <v>2095</v>
      </c>
      <c r="B469" s="30" t="s">
        <v>1280</v>
      </c>
      <c r="C469" s="425" t="s">
        <v>2150</v>
      </c>
      <c r="D469" s="31" t="s">
        <v>1295</v>
      </c>
      <c r="E469" s="71" t="s">
        <v>1177</v>
      </c>
      <c r="F469" s="31" t="s">
        <v>674</v>
      </c>
      <c r="G469" s="31" t="s">
        <v>1177</v>
      </c>
      <c r="H469" s="71" t="s">
        <v>166</v>
      </c>
      <c r="I469" s="71" t="s">
        <v>654</v>
      </c>
      <c r="J469" s="31"/>
      <c r="K469" s="32" t="s">
        <v>708</v>
      </c>
      <c r="L469" s="32" t="str">
        <f t="shared" si="12"/>
        <v>_</v>
      </c>
      <c r="M469" s="111">
        <f>ROUND(Tableau1[[#This Row],[LEN]]*7.27,0)</f>
        <v>145</v>
      </c>
      <c r="N469" s="111">
        <v>15</v>
      </c>
      <c r="O469" s="128" t="str">
        <f t="shared" si="13"/>
        <v>_self</v>
      </c>
      <c r="P469" s="111">
        <f>LEN(Tableau1[[#This Row],[LABEL]])</f>
        <v>20</v>
      </c>
      <c r="Q469" s="111">
        <v>15</v>
      </c>
      <c r="R469" s="111" t="e">
        <f>ROUND(Tableau1[[#This Row],[LEN]]*#REF!+#REF!,0)</f>
        <v>#REF!</v>
      </c>
    </row>
    <row r="470" spans="1:18" s="97" customFormat="1" hidden="1" x14ac:dyDescent="0.25">
      <c r="A470" s="25" t="s">
        <v>1281</v>
      </c>
      <c r="B470" s="26" t="s">
        <v>260</v>
      </c>
      <c r="C470" s="425" t="s">
        <v>2150</v>
      </c>
      <c r="D470" s="27" t="s">
        <v>1287</v>
      </c>
      <c r="E470" s="70" t="s">
        <v>1177</v>
      </c>
      <c r="F470" s="27" t="s">
        <v>674</v>
      </c>
      <c r="G470" s="27" t="s">
        <v>678</v>
      </c>
      <c r="H470" s="70" t="s">
        <v>166</v>
      </c>
      <c r="I470" s="70" t="s">
        <v>655</v>
      </c>
      <c r="J470" s="27"/>
      <c r="K470" s="28" t="s">
        <v>708</v>
      </c>
      <c r="L470" s="28" t="str">
        <f t="shared" ref="L470:L533" si="20">IF(K470="javascript:void(0)","_","Documentation")</f>
        <v>_</v>
      </c>
      <c r="M470" s="109">
        <f>ROUND(Tableau1[[#This Row],[LEN]]*7.27,0)</f>
        <v>320</v>
      </c>
      <c r="N470" s="109">
        <v>15</v>
      </c>
      <c r="O470" s="127" t="str">
        <f t="shared" si="13"/>
        <v>_self</v>
      </c>
      <c r="P470" s="109">
        <f>LEN(Tableau1[[#This Row],[LABEL]])</f>
        <v>44</v>
      </c>
      <c r="Q470" s="109">
        <v>15</v>
      </c>
      <c r="R470" s="109" t="e">
        <f>ROUND(Tableau1[[#This Row],[LEN]]*#REF!+#REF!,0)</f>
        <v>#REF!</v>
      </c>
    </row>
    <row r="471" spans="1:18" s="97" customFormat="1" hidden="1" x14ac:dyDescent="0.25">
      <c r="A471" s="29" t="s">
        <v>1296</v>
      </c>
      <c r="B471" s="30" t="s">
        <v>1281</v>
      </c>
      <c r="C471" s="425" t="s">
        <v>2150</v>
      </c>
      <c r="D471" s="31" t="s">
        <v>1298</v>
      </c>
      <c r="E471" s="71" t="s">
        <v>1177</v>
      </c>
      <c r="F471" s="31" t="s">
        <v>674</v>
      </c>
      <c r="G471" s="31" t="s">
        <v>678</v>
      </c>
      <c r="H471" s="71" t="s">
        <v>166</v>
      </c>
      <c r="I471" s="71" t="s">
        <v>654</v>
      </c>
      <c r="J471" s="31"/>
      <c r="K471" s="32" t="s">
        <v>708</v>
      </c>
      <c r="L471" s="32" t="str">
        <f t="shared" si="20"/>
        <v>_</v>
      </c>
      <c r="M471" s="111">
        <f>ROUND(Tableau1[[#This Row],[LEN]]*7.27,0)</f>
        <v>284</v>
      </c>
      <c r="N471" s="111">
        <v>15</v>
      </c>
      <c r="O471" s="128" t="str">
        <f t="shared" ref="O471:O534" si="21">IF(K471="javascript:void(0)","_self","_blank")</f>
        <v>_self</v>
      </c>
      <c r="P471" s="111">
        <f>LEN(Tableau1[[#This Row],[LABEL]])</f>
        <v>39</v>
      </c>
      <c r="Q471" s="111">
        <v>15</v>
      </c>
      <c r="R471" s="111" t="e">
        <f>ROUND(Tableau1[[#This Row],[LEN]]*#REF!+#REF!,0)</f>
        <v>#REF!</v>
      </c>
    </row>
    <row r="472" spans="1:18" s="97" customFormat="1" hidden="1" x14ac:dyDescent="0.25">
      <c r="A472" s="29" t="s">
        <v>1297</v>
      </c>
      <c r="B472" s="30" t="s">
        <v>1281</v>
      </c>
      <c r="C472" s="425" t="s">
        <v>2150</v>
      </c>
      <c r="D472" s="31" t="s">
        <v>1299</v>
      </c>
      <c r="E472" s="71" t="s">
        <v>1177</v>
      </c>
      <c r="F472" s="31" t="s">
        <v>674</v>
      </c>
      <c r="G472" s="31" t="s">
        <v>678</v>
      </c>
      <c r="H472" s="71" t="s">
        <v>166</v>
      </c>
      <c r="I472" s="71" t="s">
        <v>654</v>
      </c>
      <c r="J472" s="31"/>
      <c r="K472" s="32" t="s">
        <v>708</v>
      </c>
      <c r="L472" s="32" t="str">
        <f t="shared" si="20"/>
        <v>_</v>
      </c>
      <c r="M472" s="111">
        <f>ROUND(Tableau1[[#This Row],[LEN]]*7.27,0)</f>
        <v>124</v>
      </c>
      <c r="N472" s="111">
        <v>15</v>
      </c>
      <c r="O472" s="128" t="str">
        <f t="shared" si="21"/>
        <v>_self</v>
      </c>
      <c r="P472" s="111">
        <f>LEN(Tableau1[[#This Row],[LABEL]])</f>
        <v>17</v>
      </c>
      <c r="Q472" s="111">
        <v>15</v>
      </c>
      <c r="R472" s="111" t="e">
        <f>ROUND(Tableau1[[#This Row],[LEN]]*#REF!+#REF!,0)</f>
        <v>#REF!</v>
      </c>
    </row>
    <row r="473" spans="1:18" s="97" customFormat="1" hidden="1" x14ac:dyDescent="0.25">
      <c r="A473" s="25" t="s">
        <v>1282</v>
      </c>
      <c r="B473" s="26" t="s">
        <v>260</v>
      </c>
      <c r="C473" s="425" t="s">
        <v>2150</v>
      </c>
      <c r="D473" s="27" t="s">
        <v>2090</v>
      </c>
      <c r="E473" s="70" t="s">
        <v>1177</v>
      </c>
      <c r="F473" s="27" t="s">
        <v>667</v>
      </c>
      <c r="G473" s="27" t="s">
        <v>1133</v>
      </c>
      <c r="H473" s="70" t="s">
        <v>166</v>
      </c>
      <c r="I473" s="70" t="s">
        <v>18</v>
      </c>
      <c r="J473" s="27"/>
      <c r="K473" s="28" t="s">
        <v>102</v>
      </c>
      <c r="L473" s="28" t="str">
        <f t="shared" si="20"/>
        <v>Documentation</v>
      </c>
      <c r="M473" s="109">
        <f>ROUND(Tableau1[[#This Row],[LEN]]*7.27,0)</f>
        <v>153</v>
      </c>
      <c r="N473" s="109">
        <v>15</v>
      </c>
      <c r="O473" s="127" t="str">
        <f t="shared" si="21"/>
        <v>_blank</v>
      </c>
      <c r="P473" s="109">
        <f>LEN(Tableau1[[#This Row],[LABEL]])</f>
        <v>21</v>
      </c>
      <c r="Q473" s="109">
        <v>15</v>
      </c>
      <c r="R473" s="109" t="e">
        <f>ROUND(Tableau1[[#This Row],[LEN]]*#REF!+#REF!,0)</f>
        <v>#REF!</v>
      </c>
    </row>
    <row r="474" spans="1:18" s="97" customFormat="1" hidden="1" x14ac:dyDescent="0.25">
      <c r="A474" s="25" t="s">
        <v>1283</v>
      </c>
      <c r="B474" s="26" t="s">
        <v>260</v>
      </c>
      <c r="C474" s="425" t="s">
        <v>2150</v>
      </c>
      <c r="D474" s="27" t="s">
        <v>1167</v>
      </c>
      <c r="E474" s="70" t="s">
        <v>486</v>
      </c>
      <c r="F474" s="27" t="s">
        <v>1085</v>
      </c>
      <c r="G474" s="27" t="s">
        <v>1084</v>
      </c>
      <c r="H474" s="70" t="s">
        <v>1977</v>
      </c>
      <c r="I474" s="70" t="s">
        <v>1131</v>
      </c>
      <c r="J474" s="27"/>
      <c r="K474" s="28" t="s">
        <v>708</v>
      </c>
      <c r="L474" s="28" t="str">
        <f t="shared" si="20"/>
        <v>_</v>
      </c>
      <c r="M474" s="109">
        <f>ROUND(Tableau1[[#This Row],[LEN]]*7.27,0)</f>
        <v>196</v>
      </c>
      <c r="N474" s="109">
        <v>15</v>
      </c>
      <c r="O474" s="127" t="str">
        <f t="shared" si="21"/>
        <v>_self</v>
      </c>
      <c r="P474" s="109">
        <f>LEN(Tableau1[[#This Row],[LABEL]])</f>
        <v>27</v>
      </c>
      <c r="Q474" s="109">
        <v>15</v>
      </c>
      <c r="R474" s="109" t="e">
        <f>ROUND(Tableau1[[#This Row],[LEN]]*#REF!+#REF!,0)</f>
        <v>#REF!</v>
      </c>
    </row>
    <row r="475" spans="1:18" s="97" customFormat="1" hidden="1" x14ac:dyDescent="0.25">
      <c r="A475" s="29" t="s">
        <v>1300</v>
      </c>
      <c r="B475" s="30" t="s">
        <v>1283</v>
      </c>
      <c r="C475" s="425" t="s">
        <v>2150</v>
      </c>
      <c r="D475" s="31" t="s">
        <v>93</v>
      </c>
      <c r="E475" s="71" t="s">
        <v>1177</v>
      </c>
      <c r="F475" s="31" t="s">
        <v>1085</v>
      </c>
      <c r="G475" s="31" t="s">
        <v>1084</v>
      </c>
      <c r="H475" s="71" t="s">
        <v>166</v>
      </c>
      <c r="I475" s="71" t="s">
        <v>18</v>
      </c>
      <c r="J475" s="31"/>
      <c r="K475" s="32" t="s">
        <v>101</v>
      </c>
      <c r="L475" s="32" t="str">
        <f t="shared" si="20"/>
        <v>Documentation</v>
      </c>
      <c r="M475" s="111">
        <f>ROUND(Tableau1[[#This Row],[LEN]]*7.27,0)</f>
        <v>109</v>
      </c>
      <c r="N475" s="111">
        <v>15</v>
      </c>
      <c r="O475" s="128" t="str">
        <f t="shared" si="21"/>
        <v>_blank</v>
      </c>
      <c r="P475" s="111">
        <f>LEN(Tableau1[[#This Row],[LABEL]])</f>
        <v>15</v>
      </c>
      <c r="Q475" s="111">
        <v>15</v>
      </c>
      <c r="R475" s="111" t="e">
        <f>ROUND(Tableau1[[#This Row],[LEN]]*#REF!+#REF!,0)</f>
        <v>#REF!</v>
      </c>
    </row>
    <row r="476" spans="1:18" s="97" customFormat="1" hidden="1" x14ac:dyDescent="0.25">
      <c r="A476" s="29" t="s">
        <v>1301</v>
      </c>
      <c r="B476" s="30" t="s">
        <v>1283</v>
      </c>
      <c r="C476" s="425" t="s">
        <v>2150</v>
      </c>
      <c r="D476" s="31" t="s">
        <v>94</v>
      </c>
      <c r="E476" s="71" t="s">
        <v>1177</v>
      </c>
      <c r="F476" s="31" t="s">
        <v>1085</v>
      </c>
      <c r="G476" s="31" t="s">
        <v>1084</v>
      </c>
      <c r="H476" s="71" t="s">
        <v>166</v>
      </c>
      <c r="I476" s="71" t="s">
        <v>18</v>
      </c>
      <c r="J476" s="31"/>
      <c r="K476" s="32" t="s">
        <v>102</v>
      </c>
      <c r="L476" s="32" t="str">
        <f t="shared" si="20"/>
        <v>Documentation</v>
      </c>
      <c r="M476" s="111">
        <f>ROUND(Tableau1[[#This Row],[LEN]]*7.27,0)</f>
        <v>58</v>
      </c>
      <c r="N476" s="111">
        <v>15</v>
      </c>
      <c r="O476" s="128" t="str">
        <f t="shared" si="21"/>
        <v>_blank</v>
      </c>
      <c r="P476" s="111">
        <f>LEN(Tableau1[[#This Row],[LABEL]])</f>
        <v>8</v>
      </c>
      <c r="Q476" s="111">
        <v>15</v>
      </c>
      <c r="R476" s="111" t="e">
        <f>ROUND(Tableau1[[#This Row],[LEN]]*#REF!+#REF!,0)</f>
        <v>#REF!</v>
      </c>
    </row>
    <row r="477" spans="1:18" s="273" customFormat="1" hidden="1" x14ac:dyDescent="0.25">
      <c r="A477" s="288" t="s">
        <v>261</v>
      </c>
      <c r="B477" s="289" t="s">
        <v>206</v>
      </c>
      <c r="C477" s="425" t="s">
        <v>2150</v>
      </c>
      <c r="D477" s="290" t="s">
        <v>12</v>
      </c>
      <c r="E477" s="291" t="s">
        <v>1177</v>
      </c>
      <c r="F477" s="290" t="s">
        <v>675</v>
      </c>
      <c r="G477" s="290" t="s">
        <v>1177</v>
      </c>
      <c r="H477" s="291" t="s">
        <v>166</v>
      </c>
      <c r="I477" s="291" t="str">
        <f>IFERROR(IF(SEARCH(".00.00.00.00.00",Tableau1[[#This Row],[name]],1)=7,"Division",""),"")</f>
        <v>Division</v>
      </c>
      <c r="J477" s="290"/>
      <c r="K477" s="292" t="s">
        <v>721</v>
      </c>
      <c r="L477" s="292" t="str">
        <f t="shared" si="20"/>
        <v>Documentation</v>
      </c>
      <c r="M477" s="293">
        <f>ROUND(Tableau1[[#This Row],[LEN]]*7.27,0)</f>
        <v>15</v>
      </c>
      <c r="N477" s="293">
        <v>15</v>
      </c>
      <c r="O477" s="294" t="str">
        <f t="shared" si="21"/>
        <v>_blank</v>
      </c>
      <c r="P477" s="293">
        <f>LEN(Tableau1[[#This Row],[LABEL]])</f>
        <v>2</v>
      </c>
      <c r="Q477" s="293">
        <v>15</v>
      </c>
      <c r="R477" s="293" t="e">
        <f>ROUND(Tableau1[[#This Row],[LEN]]*#REF!+#REF!,0)</f>
        <v>#REF!</v>
      </c>
    </row>
    <row r="478" spans="1:18" s="97" customFormat="1" hidden="1" x14ac:dyDescent="0.25">
      <c r="A478" s="25" t="s">
        <v>1302</v>
      </c>
      <c r="B478" s="26" t="s">
        <v>261</v>
      </c>
      <c r="C478" s="425" t="s">
        <v>2150</v>
      </c>
      <c r="D478" s="27" t="s">
        <v>88</v>
      </c>
      <c r="E478" s="70" t="s">
        <v>1177</v>
      </c>
      <c r="F478" s="27" t="s">
        <v>667</v>
      </c>
      <c r="G478" s="27" t="s">
        <v>1218</v>
      </c>
      <c r="H478" s="70" t="s">
        <v>166</v>
      </c>
      <c r="I478" s="70" t="s">
        <v>570</v>
      </c>
      <c r="J478" s="27"/>
      <c r="K478" s="28" t="s">
        <v>708</v>
      </c>
      <c r="L478" s="28" t="str">
        <f t="shared" si="20"/>
        <v>_</v>
      </c>
      <c r="M478" s="109">
        <f>ROUND(Tableau1[[#This Row],[LEN]]*7.27,0)</f>
        <v>342</v>
      </c>
      <c r="N478" s="109">
        <v>15</v>
      </c>
      <c r="O478" s="127" t="str">
        <f t="shared" si="21"/>
        <v>_self</v>
      </c>
      <c r="P478" s="109">
        <f>LEN(Tableau1[[#This Row],[LABEL]])</f>
        <v>47</v>
      </c>
      <c r="Q478" s="109">
        <v>15</v>
      </c>
      <c r="R478" s="109" t="e">
        <f>ROUND(Tableau1[[#This Row],[LEN]]*#REF!+#REF!,0)</f>
        <v>#REF!</v>
      </c>
    </row>
    <row r="479" spans="1:18" s="97" customFormat="1" hidden="1" x14ac:dyDescent="0.25">
      <c r="A479" s="213" t="s">
        <v>1303</v>
      </c>
      <c r="B479" s="214" t="s">
        <v>261</v>
      </c>
      <c r="C479" s="425" t="s">
        <v>2150</v>
      </c>
      <c r="D479" s="215" t="s">
        <v>1310</v>
      </c>
      <c r="E479" s="70" t="s">
        <v>1177</v>
      </c>
      <c r="F479" s="229" t="s">
        <v>675</v>
      </c>
      <c r="G479" s="215" t="s">
        <v>678</v>
      </c>
      <c r="H479" s="70" t="s">
        <v>166</v>
      </c>
      <c r="I479" s="216" t="s">
        <v>655</v>
      </c>
      <c r="J479" s="215"/>
      <c r="K479" s="217" t="s">
        <v>708</v>
      </c>
      <c r="L479" s="217" t="str">
        <f t="shared" si="20"/>
        <v>_</v>
      </c>
      <c r="M479" s="218">
        <f>ROUND(Tableau1[[#This Row],[LEN]]*7.27,0)</f>
        <v>233</v>
      </c>
      <c r="N479" s="218">
        <v>15</v>
      </c>
      <c r="O479" s="219" t="str">
        <f t="shared" si="21"/>
        <v>_self</v>
      </c>
      <c r="P479" s="218">
        <f>LEN(Tableau1[[#This Row],[LABEL]])</f>
        <v>32</v>
      </c>
      <c r="Q479" s="218">
        <v>15</v>
      </c>
      <c r="R479" s="218" t="e">
        <f>ROUND(Tableau1[[#This Row],[LEN]]*#REF!+#REF!,0)</f>
        <v>#REF!</v>
      </c>
    </row>
    <row r="480" spans="1:18" s="97" customFormat="1" hidden="1" x14ac:dyDescent="0.25">
      <c r="A480" s="29" t="s">
        <v>1312</v>
      </c>
      <c r="B480" s="30" t="s">
        <v>1303</v>
      </c>
      <c r="C480" s="425" t="s">
        <v>2150</v>
      </c>
      <c r="D480" s="31" t="s">
        <v>1321</v>
      </c>
      <c r="E480" s="71" t="s">
        <v>1177</v>
      </c>
      <c r="F480" s="31" t="s">
        <v>675</v>
      </c>
      <c r="G480" s="31" t="s">
        <v>678</v>
      </c>
      <c r="H480" s="71" t="s">
        <v>166</v>
      </c>
      <c r="I480" s="71" t="s">
        <v>654</v>
      </c>
      <c r="J480" s="31"/>
      <c r="K480" s="32" t="s">
        <v>708</v>
      </c>
      <c r="L480" s="32" t="str">
        <f t="shared" si="20"/>
        <v>_</v>
      </c>
      <c r="M480" s="111">
        <f>ROUND(Tableau1[[#This Row],[LEN]]*7.27,0)</f>
        <v>349</v>
      </c>
      <c r="N480" s="111">
        <v>15</v>
      </c>
      <c r="O480" s="128" t="str">
        <f t="shared" si="21"/>
        <v>_self</v>
      </c>
      <c r="P480" s="111">
        <f>LEN(Tableau1[[#This Row],[LABEL]])</f>
        <v>48</v>
      </c>
      <c r="Q480" s="111">
        <v>15</v>
      </c>
      <c r="R480" s="111" t="e">
        <f>ROUND(Tableau1[[#This Row],[LEN]]*#REF!+#REF!,0)</f>
        <v>#REF!</v>
      </c>
    </row>
    <row r="481" spans="1:18" s="97" customFormat="1" hidden="1" x14ac:dyDescent="0.25">
      <c r="A481" s="29" t="s">
        <v>1313</v>
      </c>
      <c r="B481" s="30" t="s">
        <v>1303</v>
      </c>
      <c r="C481" s="425" t="s">
        <v>2150</v>
      </c>
      <c r="D481" s="31" t="s">
        <v>1322</v>
      </c>
      <c r="E481" s="71" t="s">
        <v>1177</v>
      </c>
      <c r="F481" s="31" t="s">
        <v>675</v>
      </c>
      <c r="G481" s="31" t="s">
        <v>678</v>
      </c>
      <c r="H481" s="71" t="s">
        <v>166</v>
      </c>
      <c r="I481" s="71" t="s">
        <v>654</v>
      </c>
      <c r="J481" s="31"/>
      <c r="K481" s="32" t="s">
        <v>708</v>
      </c>
      <c r="L481" s="32" t="str">
        <f t="shared" si="20"/>
        <v>_</v>
      </c>
      <c r="M481" s="111">
        <f>ROUND(Tableau1[[#This Row],[LEN]]*7.27,0)</f>
        <v>254</v>
      </c>
      <c r="N481" s="111">
        <v>15</v>
      </c>
      <c r="O481" s="128" t="str">
        <f t="shared" si="21"/>
        <v>_self</v>
      </c>
      <c r="P481" s="111">
        <f>LEN(Tableau1[[#This Row],[LABEL]])</f>
        <v>35</v>
      </c>
      <c r="Q481" s="111">
        <v>15</v>
      </c>
      <c r="R481" s="111" t="e">
        <f>ROUND(Tableau1[[#This Row],[LEN]]*#REF!+#REF!,0)</f>
        <v>#REF!</v>
      </c>
    </row>
    <row r="482" spans="1:18" s="97" customFormat="1" hidden="1" x14ac:dyDescent="0.25">
      <c r="A482" s="29" t="s">
        <v>1314</v>
      </c>
      <c r="B482" s="30" t="s">
        <v>1303</v>
      </c>
      <c r="C482" s="425" t="s">
        <v>2150</v>
      </c>
      <c r="D482" s="31" t="s">
        <v>1323</v>
      </c>
      <c r="E482" s="71" t="s">
        <v>1177</v>
      </c>
      <c r="F482" s="31" t="s">
        <v>675</v>
      </c>
      <c r="G482" s="31" t="s">
        <v>678</v>
      </c>
      <c r="H482" s="71" t="s">
        <v>166</v>
      </c>
      <c r="I482" s="71" t="s">
        <v>654</v>
      </c>
      <c r="J482" s="31"/>
      <c r="K482" s="32" t="s">
        <v>708</v>
      </c>
      <c r="L482" s="32" t="str">
        <f t="shared" si="20"/>
        <v>_</v>
      </c>
      <c r="M482" s="111">
        <f>ROUND(Tableau1[[#This Row],[LEN]]*7.27,0)</f>
        <v>320</v>
      </c>
      <c r="N482" s="111">
        <v>15</v>
      </c>
      <c r="O482" s="128" t="str">
        <f t="shared" si="21"/>
        <v>_self</v>
      </c>
      <c r="P482" s="111">
        <f>LEN(Tableau1[[#This Row],[LABEL]])</f>
        <v>44</v>
      </c>
      <c r="Q482" s="111">
        <v>15</v>
      </c>
      <c r="R482" s="111" t="e">
        <f>ROUND(Tableau1[[#This Row],[LEN]]*#REF!+#REF!,0)</f>
        <v>#REF!</v>
      </c>
    </row>
    <row r="483" spans="1:18" s="97" customFormat="1" hidden="1" x14ac:dyDescent="0.25">
      <c r="A483" s="235" t="s">
        <v>1304</v>
      </c>
      <c r="B483" s="237" t="s">
        <v>261</v>
      </c>
      <c r="C483" s="425" t="s">
        <v>2150</v>
      </c>
      <c r="D483" s="236" t="s">
        <v>1007</v>
      </c>
      <c r="E483" s="70" t="s">
        <v>1177</v>
      </c>
      <c r="F483" s="229" t="s">
        <v>675</v>
      </c>
      <c r="G483" s="215" t="s">
        <v>1177</v>
      </c>
      <c r="H483" s="70" t="s">
        <v>166</v>
      </c>
      <c r="I483" s="230" t="s">
        <v>655</v>
      </c>
      <c r="J483" s="229"/>
      <c r="K483" s="231" t="s">
        <v>708</v>
      </c>
      <c r="L483" s="231" t="str">
        <f t="shared" si="20"/>
        <v>_</v>
      </c>
      <c r="M483" s="232">
        <f>ROUND(Tableau1[[#This Row],[LEN]]*7.27,0)</f>
        <v>305</v>
      </c>
      <c r="N483" s="232">
        <v>15</v>
      </c>
      <c r="O483" s="233" t="str">
        <f t="shared" si="21"/>
        <v>_self</v>
      </c>
      <c r="P483" s="232">
        <f>LEN(Tableau1[[#This Row],[LABEL]])</f>
        <v>42</v>
      </c>
      <c r="Q483" s="232">
        <v>15</v>
      </c>
      <c r="R483" s="234" t="e">
        <f>ROUND(Tableau1[[#This Row],[LEN]]*#REF!+#REF!,0)</f>
        <v>#REF!</v>
      </c>
    </row>
    <row r="484" spans="1:18" s="97" customFormat="1" hidden="1" x14ac:dyDescent="0.25">
      <c r="A484" s="29" t="s">
        <v>1315</v>
      </c>
      <c r="B484" s="30" t="s">
        <v>1304</v>
      </c>
      <c r="C484" s="425" t="s">
        <v>2150</v>
      </c>
      <c r="D484" s="31" t="s">
        <v>1324</v>
      </c>
      <c r="E484" s="71" t="s">
        <v>1177</v>
      </c>
      <c r="F484" s="31" t="s">
        <v>675</v>
      </c>
      <c r="G484" s="31" t="s">
        <v>1177</v>
      </c>
      <c r="H484" s="71" t="s">
        <v>166</v>
      </c>
      <c r="I484" s="71" t="s">
        <v>654</v>
      </c>
      <c r="J484" s="31"/>
      <c r="K484" s="32" t="s">
        <v>708</v>
      </c>
      <c r="L484" s="32" t="str">
        <f t="shared" si="20"/>
        <v>_</v>
      </c>
      <c r="M484" s="111">
        <f>ROUND(Tableau1[[#This Row],[LEN]]*7.27,0)</f>
        <v>218</v>
      </c>
      <c r="N484" s="111">
        <v>15</v>
      </c>
      <c r="O484" s="128" t="str">
        <f t="shared" si="21"/>
        <v>_self</v>
      </c>
      <c r="P484" s="111">
        <f>LEN(Tableau1[[#This Row],[LABEL]])</f>
        <v>30</v>
      </c>
      <c r="Q484" s="111">
        <v>15</v>
      </c>
      <c r="R484" s="111" t="e">
        <f>ROUND(Tableau1[[#This Row],[LEN]]*#REF!+#REF!,0)</f>
        <v>#REF!</v>
      </c>
    </row>
    <row r="485" spans="1:18" s="97" customFormat="1" hidden="1" x14ac:dyDescent="0.25">
      <c r="A485" s="29" t="s">
        <v>1316</v>
      </c>
      <c r="B485" s="30" t="s">
        <v>1304</v>
      </c>
      <c r="C485" s="425" t="s">
        <v>2150</v>
      </c>
      <c r="D485" s="31" t="s">
        <v>1013</v>
      </c>
      <c r="E485" s="71" t="s">
        <v>1177</v>
      </c>
      <c r="F485" s="31" t="s">
        <v>675</v>
      </c>
      <c r="G485" s="31" t="s">
        <v>1177</v>
      </c>
      <c r="H485" s="71" t="s">
        <v>166</v>
      </c>
      <c r="I485" s="71" t="s">
        <v>654</v>
      </c>
      <c r="J485" s="31"/>
      <c r="K485" s="32" t="s">
        <v>708</v>
      </c>
      <c r="L485" s="32" t="str">
        <f t="shared" si="20"/>
        <v>_</v>
      </c>
      <c r="M485" s="111">
        <f>ROUND(Tableau1[[#This Row],[LEN]]*7.27,0)</f>
        <v>284</v>
      </c>
      <c r="N485" s="111">
        <v>15</v>
      </c>
      <c r="O485" s="128" t="str">
        <f t="shared" si="21"/>
        <v>_self</v>
      </c>
      <c r="P485" s="111">
        <f>LEN(Tableau1[[#This Row],[LABEL]])</f>
        <v>39</v>
      </c>
      <c r="Q485" s="111">
        <v>15</v>
      </c>
      <c r="R485" s="111" t="e">
        <f>ROUND(Tableau1[[#This Row],[LEN]]*#REF!+#REF!,0)</f>
        <v>#REF!</v>
      </c>
    </row>
    <row r="486" spans="1:18" s="97" customFormat="1" hidden="1" x14ac:dyDescent="0.25">
      <c r="A486" s="29" t="s">
        <v>1317</v>
      </c>
      <c r="B486" s="30" t="s">
        <v>1304</v>
      </c>
      <c r="C486" s="425" t="s">
        <v>2150</v>
      </c>
      <c r="D486" s="31" t="s">
        <v>1014</v>
      </c>
      <c r="E486" s="71" t="s">
        <v>1177</v>
      </c>
      <c r="F486" s="31" t="s">
        <v>675</v>
      </c>
      <c r="G486" s="31" t="s">
        <v>1177</v>
      </c>
      <c r="H486" s="71" t="s">
        <v>166</v>
      </c>
      <c r="I486" s="71" t="s">
        <v>654</v>
      </c>
      <c r="J486" s="31"/>
      <c r="K486" s="32" t="s">
        <v>708</v>
      </c>
      <c r="L486" s="32" t="str">
        <f t="shared" si="20"/>
        <v>_</v>
      </c>
      <c r="M486" s="111">
        <f>ROUND(Tableau1[[#This Row],[LEN]]*7.27,0)</f>
        <v>327</v>
      </c>
      <c r="N486" s="111">
        <v>15</v>
      </c>
      <c r="O486" s="128" t="str">
        <f t="shared" si="21"/>
        <v>_self</v>
      </c>
      <c r="P486" s="111">
        <f>LEN(Tableau1[[#This Row],[LABEL]])</f>
        <v>45</v>
      </c>
      <c r="Q486" s="111">
        <v>15</v>
      </c>
      <c r="R486" s="111" t="e">
        <f>ROUND(Tableau1[[#This Row],[LEN]]*#REF!+#REF!,0)</f>
        <v>#REF!</v>
      </c>
    </row>
    <row r="487" spans="1:18" s="97" customFormat="1" hidden="1" x14ac:dyDescent="0.25">
      <c r="A487" s="29" t="s">
        <v>1318</v>
      </c>
      <c r="B487" s="30" t="s">
        <v>1304</v>
      </c>
      <c r="C487" s="425" t="s">
        <v>2150</v>
      </c>
      <c r="D487" s="31" t="s">
        <v>1325</v>
      </c>
      <c r="E487" s="71" t="s">
        <v>1177</v>
      </c>
      <c r="F487" s="31" t="s">
        <v>675</v>
      </c>
      <c r="G487" s="31" t="s">
        <v>1177</v>
      </c>
      <c r="H487" s="71" t="s">
        <v>166</v>
      </c>
      <c r="I487" s="71" t="s">
        <v>654</v>
      </c>
      <c r="J487" s="31"/>
      <c r="K487" s="32" t="s">
        <v>708</v>
      </c>
      <c r="L487" s="32" t="str">
        <f t="shared" si="20"/>
        <v>_</v>
      </c>
      <c r="M487" s="111">
        <f>ROUND(Tableau1[[#This Row],[LEN]]*7.27,0)</f>
        <v>327</v>
      </c>
      <c r="N487" s="111">
        <v>15</v>
      </c>
      <c r="O487" s="128" t="str">
        <f t="shared" si="21"/>
        <v>_self</v>
      </c>
      <c r="P487" s="111">
        <f>LEN(Tableau1[[#This Row],[LABEL]])</f>
        <v>45</v>
      </c>
      <c r="Q487" s="111">
        <v>15</v>
      </c>
      <c r="R487" s="111" t="e">
        <f>ROUND(Tableau1[[#This Row],[LEN]]*#REF!+#REF!,0)</f>
        <v>#REF!</v>
      </c>
    </row>
    <row r="488" spans="1:18" s="97" customFormat="1" hidden="1" x14ac:dyDescent="0.25">
      <c r="A488" s="227" t="s">
        <v>1305</v>
      </c>
      <c r="B488" s="228" t="s">
        <v>261</v>
      </c>
      <c r="C488" s="425" t="s">
        <v>2150</v>
      </c>
      <c r="D488" s="229" t="s">
        <v>1311</v>
      </c>
      <c r="E488" s="70" t="s">
        <v>1177</v>
      </c>
      <c r="F488" s="229" t="s">
        <v>675</v>
      </c>
      <c r="G488" s="215" t="s">
        <v>1177</v>
      </c>
      <c r="H488" s="70" t="s">
        <v>166</v>
      </c>
      <c r="I488" s="230" t="s">
        <v>655</v>
      </c>
      <c r="J488" s="229"/>
      <c r="K488" s="231" t="s">
        <v>708</v>
      </c>
      <c r="L488" s="231" t="str">
        <f t="shared" si="20"/>
        <v>_</v>
      </c>
      <c r="M488" s="232">
        <f>ROUND(Tableau1[[#This Row],[LEN]]*7.27,0)</f>
        <v>211</v>
      </c>
      <c r="N488" s="232">
        <v>15</v>
      </c>
      <c r="O488" s="233" t="str">
        <f t="shared" si="21"/>
        <v>_self</v>
      </c>
      <c r="P488" s="232">
        <f>LEN(Tableau1[[#This Row],[LABEL]])</f>
        <v>29</v>
      </c>
      <c r="Q488" s="232">
        <v>15</v>
      </c>
      <c r="R488" s="234" t="e">
        <f>ROUND(Tableau1[[#This Row],[LEN]]*#REF!+#REF!,0)</f>
        <v>#REF!</v>
      </c>
    </row>
    <row r="489" spans="1:18" s="97" customFormat="1" hidden="1" x14ac:dyDescent="0.25">
      <c r="A489" s="29" t="s">
        <v>1319</v>
      </c>
      <c r="B489" s="30" t="s">
        <v>1305</v>
      </c>
      <c r="C489" s="425" t="s">
        <v>2150</v>
      </c>
      <c r="D489" s="31" t="s">
        <v>1326</v>
      </c>
      <c r="E489" s="71" t="s">
        <v>1177</v>
      </c>
      <c r="F489" s="31" t="s">
        <v>675</v>
      </c>
      <c r="G489" s="31" t="s">
        <v>1177</v>
      </c>
      <c r="H489" s="71" t="s">
        <v>166</v>
      </c>
      <c r="I489" s="71" t="s">
        <v>654</v>
      </c>
      <c r="J489" s="31"/>
      <c r="K489" s="32" t="s">
        <v>708</v>
      </c>
      <c r="L489" s="32" t="str">
        <f t="shared" si="20"/>
        <v>_</v>
      </c>
      <c r="M489" s="111">
        <f>ROUND(Tableau1[[#This Row],[LEN]]*7.27,0)</f>
        <v>480</v>
      </c>
      <c r="N489" s="111">
        <v>15</v>
      </c>
      <c r="O489" s="128" t="str">
        <f t="shared" si="21"/>
        <v>_self</v>
      </c>
      <c r="P489" s="111">
        <f>LEN(Tableau1[[#This Row],[LABEL]])</f>
        <v>66</v>
      </c>
      <c r="Q489" s="111">
        <v>15</v>
      </c>
      <c r="R489" s="111" t="e">
        <f>ROUND(Tableau1[[#This Row],[LEN]]*#REF!+#REF!,0)</f>
        <v>#REF!</v>
      </c>
    </row>
    <row r="490" spans="1:18" s="97" customFormat="1" hidden="1" x14ac:dyDescent="0.25">
      <c r="A490" s="29" t="s">
        <v>1320</v>
      </c>
      <c r="B490" s="30" t="s">
        <v>1305</v>
      </c>
      <c r="C490" s="425" t="s">
        <v>2150</v>
      </c>
      <c r="D490" s="31" t="s">
        <v>1327</v>
      </c>
      <c r="E490" s="71" t="s">
        <v>1328</v>
      </c>
      <c r="F490" s="31" t="s">
        <v>675</v>
      </c>
      <c r="G490" s="31" t="s">
        <v>1177</v>
      </c>
      <c r="H490" s="71" t="s">
        <v>166</v>
      </c>
      <c r="I490" s="71" t="s">
        <v>654</v>
      </c>
      <c r="J490" s="31"/>
      <c r="K490" s="32" t="s">
        <v>708</v>
      </c>
      <c r="L490" s="32" t="str">
        <f t="shared" si="20"/>
        <v>_</v>
      </c>
      <c r="M490" s="111">
        <f>ROUND(Tableau1[[#This Row],[LEN]]*7.27,0)</f>
        <v>254</v>
      </c>
      <c r="N490" s="111">
        <v>15</v>
      </c>
      <c r="O490" s="128" t="str">
        <f t="shared" si="21"/>
        <v>_self</v>
      </c>
      <c r="P490" s="111">
        <f>LEN(Tableau1[[#This Row],[LABEL]])</f>
        <v>35</v>
      </c>
      <c r="Q490" s="111">
        <v>15</v>
      </c>
      <c r="R490" s="111" t="e">
        <f>ROUND(Tableau1[[#This Row],[LEN]]*#REF!+#REF!,0)</f>
        <v>#REF!</v>
      </c>
    </row>
    <row r="491" spans="1:18" s="97" customFormat="1" hidden="1" x14ac:dyDescent="0.25">
      <c r="A491" s="220" t="s">
        <v>1306</v>
      </c>
      <c r="B491" s="221" t="s">
        <v>261</v>
      </c>
      <c r="C491" s="425" t="s">
        <v>2150</v>
      </c>
      <c r="D491" s="222" t="s">
        <v>1405</v>
      </c>
      <c r="E491" s="70" t="s">
        <v>1177</v>
      </c>
      <c r="F491" s="229" t="s">
        <v>675</v>
      </c>
      <c r="G491" s="215" t="s">
        <v>678</v>
      </c>
      <c r="H491" s="70" t="s">
        <v>166</v>
      </c>
      <c r="I491" s="223" t="s">
        <v>656</v>
      </c>
      <c r="J491" s="222"/>
      <c r="K491" s="224" t="s">
        <v>708</v>
      </c>
      <c r="L491" s="224" t="str">
        <f t="shared" si="20"/>
        <v>_</v>
      </c>
      <c r="M491" s="225">
        <f>ROUND(Tableau1[[#This Row],[LEN]]*7.27,0)</f>
        <v>443</v>
      </c>
      <c r="N491" s="225">
        <v>15</v>
      </c>
      <c r="O491" s="226" t="str">
        <f t="shared" si="21"/>
        <v>_self</v>
      </c>
      <c r="P491" s="225">
        <f>LEN(Tableau1[[#This Row],[LABEL]])</f>
        <v>61</v>
      </c>
      <c r="Q491" s="225">
        <v>15</v>
      </c>
      <c r="R491" s="225" t="e">
        <f>ROUND(Tableau1[[#This Row],[LEN]]*#REF!+#REF!,0)</f>
        <v>#REF!</v>
      </c>
    </row>
    <row r="492" spans="1:18" s="97" customFormat="1" hidden="1" x14ac:dyDescent="0.25">
      <c r="A492" s="25" t="s">
        <v>1307</v>
      </c>
      <c r="B492" s="26" t="s">
        <v>261</v>
      </c>
      <c r="C492" s="425" t="s">
        <v>2150</v>
      </c>
      <c r="D492" s="27" t="s">
        <v>1167</v>
      </c>
      <c r="E492" s="70" t="s">
        <v>486</v>
      </c>
      <c r="F492" s="27" t="s">
        <v>1085</v>
      </c>
      <c r="G492" s="27" t="s">
        <v>1084</v>
      </c>
      <c r="H492" s="70" t="s">
        <v>1977</v>
      </c>
      <c r="I492" s="70" t="s">
        <v>1131</v>
      </c>
      <c r="J492" s="27"/>
      <c r="K492" s="28" t="s">
        <v>708</v>
      </c>
      <c r="L492" s="28" t="str">
        <f t="shared" si="20"/>
        <v>_</v>
      </c>
      <c r="M492" s="109">
        <f>ROUND(Tableau1[[#This Row],[LEN]]*7.27,0)</f>
        <v>196</v>
      </c>
      <c r="N492" s="109">
        <v>15</v>
      </c>
      <c r="O492" s="127" t="str">
        <f t="shared" si="21"/>
        <v>_self</v>
      </c>
      <c r="P492" s="109">
        <f>LEN(Tableau1[[#This Row],[LABEL]])</f>
        <v>27</v>
      </c>
      <c r="Q492" s="109">
        <v>15</v>
      </c>
      <c r="R492" s="109" t="e">
        <f>ROUND(Tableau1[[#This Row],[LEN]]*#REF!+#REF!,0)</f>
        <v>#REF!</v>
      </c>
    </row>
    <row r="493" spans="1:18" s="97" customFormat="1" hidden="1" x14ac:dyDescent="0.25">
      <c r="A493" s="29" t="s">
        <v>1308</v>
      </c>
      <c r="B493" s="30" t="s">
        <v>1307</v>
      </c>
      <c r="C493" s="425" t="s">
        <v>2150</v>
      </c>
      <c r="D493" s="31" t="s">
        <v>93</v>
      </c>
      <c r="E493" s="71" t="s">
        <v>1177</v>
      </c>
      <c r="F493" s="31" t="s">
        <v>1085</v>
      </c>
      <c r="G493" s="31" t="s">
        <v>1084</v>
      </c>
      <c r="H493" s="71" t="s">
        <v>166</v>
      </c>
      <c r="I493" s="71" t="s">
        <v>18</v>
      </c>
      <c r="J493" s="31"/>
      <c r="K493" s="32" t="s">
        <v>101</v>
      </c>
      <c r="L493" s="32" t="str">
        <f t="shared" si="20"/>
        <v>Documentation</v>
      </c>
      <c r="M493" s="111">
        <f>ROUND(Tableau1[[#This Row],[LEN]]*7.27,0)</f>
        <v>109</v>
      </c>
      <c r="N493" s="111">
        <v>15</v>
      </c>
      <c r="O493" s="128" t="str">
        <f t="shared" si="21"/>
        <v>_blank</v>
      </c>
      <c r="P493" s="111">
        <f>LEN(Tableau1[[#This Row],[LABEL]])</f>
        <v>15</v>
      </c>
      <c r="Q493" s="111">
        <v>15</v>
      </c>
      <c r="R493" s="111" t="e">
        <f>ROUND(Tableau1[[#This Row],[LEN]]*#REF!+#REF!,0)</f>
        <v>#REF!</v>
      </c>
    </row>
    <row r="494" spans="1:18" s="97" customFormat="1" hidden="1" x14ac:dyDescent="0.25">
      <c r="A494" s="29" t="s">
        <v>1309</v>
      </c>
      <c r="B494" s="30" t="s">
        <v>1307</v>
      </c>
      <c r="C494" s="425" t="s">
        <v>2150</v>
      </c>
      <c r="D494" s="31" t="s">
        <v>94</v>
      </c>
      <c r="E494" s="71" t="s">
        <v>1177</v>
      </c>
      <c r="F494" s="31" t="s">
        <v>1085</v>
      </c>
      <c r="G494" s="31" t="s">
        <v>1084</v>
      </c>
      <c r="H494" s="71" t="s">
        <v>166</v>
      </c>
      <c r="I494" s="71" t="s">
        <v>18</v>
      </c>
      <c r="J494" s="31"/>
      <c r="K494" s="32" t="s">
        <v>102</v>
      </c>
      <c r="L494" s="32" t="str">
        <f t="shared" si="20"/>
        <v>Documentation</v>
      </c>
      <c r="M494" s="111">
        <f>ROUND(Tableau1[[#This Row],[LEN]]*7.27,0)</f>
        <v>58</v>
      </c>
      <c r="N494" s="111">
        <v>15</v>
      </c>
      <c r="O494" s="128" t="str">
        <f t="shared" si="21"/>
        <v>_blank</v>
      </c>
      <c r="P494" s="111">
        <f>LEN(Tableau1[[#This Row],[LABEL]])</f>
        <v>8</v>
      </c>
      <c r="Q494" s="111">
        <v>15</v>
      </c>
      <c r="R494" s="111" t="e">
        <f>ROUND(Tableau1[[#This Row],[LEN]]*#REF!+#REF!,0)</f>
        <v>#REF!</v>
      </c>
    </row>
    <row r="495" spans="1:18" s="273" customFormat="1" hidden="1" x14ac:dyDescent="0.25">
      <c r="A495" s="288" t="s">
        <v>262</v>
      </c>
      <c r="B495" s="289" t="s">
        <v>206</v>
      </c>
      <c r="C495" s="425" t="s">
        <v>2150</v>
      </c>
      <c r="D495" s="290" t="s">
        <v>71</v>
      </c>
      <c r="E495" s="291" t="s">
        <v>1177</v>
      </c>
      <c r="F495" s="290" t="s">
        <v>676</v>
      </c>
      <c r="G495" s="290" t="s">
        <v>1177</v>
      </c>
      <c r="H495" s="291" t="s">
        <v>166</v>
      </c>
      <c r="I495" s="291" t="str">
        <f>IFERROR(IF(SEARCH(".00.00.00.00.00",Tableau1[[#This Row],[name]],1)=7,"Division",""),"")</f>
        <v>Division</v>
      </c>
      <c r="J495" s="290"/>
      <c r="K495" s="292" t="s">
        <v>722</v>
      </c>
      <c r="L495" s="292" t="str">
        <f t="shared" si="20"/>
        <v>Documentation</v>
      </c>
      <c r="M495" s="293">
        <f>ROUND(Tableau1[[#This Row],[LEN]]*7.27,0)</f>
        <v>29</v>
      </c>
      <c r="N495" s="293">
        <v>15</v>
      </c>
      <c r="O495" s="294" t="str">
        <f t="shared" si="21"/>
        <v>_blank</v>
      </c>
      <c r="P495" s="293">
        <f>LEN(Tableau1[[#This Row],[LABEL]])</f>
        <v>4</v>
      </c>
      <c r="Q495" s="293">
        <v>15</v>
      </c>
      <c r="R495" s="293" t="e">
        <f>ROUND(Tableau1[[#This Row],[LEN]]*#REF!+#REF!,0)</f>
        <v>#REF!</v>
      </c>
    </row>
    <row r="496" spans="1:18" s="97" customFormat="1" hidden="1" x14ac:dyDescent="0.25">
      <c r="A496" s="220" t="s">
        <v>1329</v>
      </c>
      <c r="B496" s="221" t="s">
        <v>262</v>
      </c>
      <c r="C496" s="425" t="s">
        <v>2150</v>
      </c>
      <c r="D496" s="222" t="s">
        <v>1337</v>
      </c>
      <c r="E496" s="70" t="s">
        <v>1338</v>
      </c>
      <c r="F496" s="229" t="s">
        <v>676</v>
      </c>
      <c r="G496" s="215" t="s">
        <v>1339</v>
      </c>
      <c r="H496" s="70" t="s">
        <v>166</v>
      </c>
      <c r="I496" s="223" t="s">
        <v>656</v>
      </c>
      <c r="J496" s="222"/>
      <c r="K496" s="224" t="s">
        <v>708</v>
      </c>
      <c r="L496" s="224" t="str">
        <f t="shared" si="20"/>
        <v>_</v>
      </c>
      <c r="M496" s="225">
        <f>ROUND(Tableau1[[#This Row],[LEN]]*7.27,0)</f>
        <v>378</v>
      </c>
      <c r="N496" s="225">
        <v>15</v>
      </c>
      <c r="O496" s="226" t="str">
        <f t="shared" si="21"/>
        <v>_self</v>
      </c>
      <c r="P496" s="225">
        <f>LEN(Tableau1[[#This Row],[LABEL]])</f>
        <v>52</v>
      </c>
      <c r="Q496" s="225">
        <v>15</v>
      </c>
      <c r="R496" s="225" t="e">
        <f>ROUND(Tableau1[[#This Row],[LEN]]*#REF!+#REF!,0)</f>
        <v>#REF!</v>
      </c>
    </row>
    <row r="497" spans="1:18" s="97" customFormat="1" hidden="1" x14ac:dyDescent="0.25">
      <c r="A497" s="220" t="s">
        <v>1330</v>
      </c>
      <c r="B497" s="221" t="s">
        <v>262</v>
      </c>
      <c r="C497" s="425" t="s">
        <v>2150</v>
      </c>
      <c r="D497" s="222" t="s">
        <v>88</v>
      </c>
      <c r="E497" s="70" t="s">
        <v>1177</v>
      </c>
      <c r="F497" s="229" t="s">
        <v>667</v>
      </c>
      <c r="G497" s="215" t="s">
        <v>1218</v>
      </c>
      <c r="H497" s="70" t="s">
        <v>166</v>
      </c>
      <c r="I497" s="223" t="s">
        <v>570</v>
      </c>
      <c r="J497" s="222"/>
      <c r="K497" s="224" t="s">
        <v>708</v>
      </c>
      <c r="L497" s="224" t="str">
        <f t="shared" si="20"/>
        <v>_</v>
      </c>
      <c r="M497" s="225">
        <f>ROUND(Tableau1[[#This Row],[LEN]]*7.27,0)</f>
        <v>342</v>
      </c>
      <c r="N497" s="225">
        <v>15</v>
      </c>
      <c r="O497" s="226" t="str">
        <f t="shared" si="21"/>
        <v>_self</v>
      </c>
      <c r="P497" s="225">
        <f>LEN(Tableau1[[#This Row],[LABEL]])</f>
        <v>47</v>
      </c>
      <c r="Q497" s="225">
        <v>15</v>
      </c>
      <c r="R497" s="225" t="e">
        <f>ROUND(Tableau1[[#This Row],[LEN]]*#REF!+#REF!,0)</f>
        <v>#REF!</v>
      </c>
    </row>
    <row r="498" spans="1:18" s="97" customFormat="1" x14ac:dyDescent="0.25">
      <c r="A498" s="220" t="s">
        <v>1331</v>
      </c>
      <c r="B498" s="221" t="s">
        <v>262</v>
      </c>
      <c r="C498" s="425" t="s">
        <v>2150</v>
      </c>
      <c r="D498" s="447" t="s">
        <v>484</v>
      </c>
      <c r="E498" s="70" t="s">
        <v>1177</v>
      </c>
      <c r="F498" s="229" t="s">
        <v>672</v>
      </c>
      <c r="G498" s="215" t="s">
        <v>1285</v>
      </c>
      <c r="H498" s="70" t="s">
        <v>166</v>
      </c>
      <c r="I498" s="223" t="s">
        <v>655</v>
      </c>
      <c r="J498" s="222"/>
      <c r="K498" s="224" t="s">
        <v>727</v>
      </c>
      <c r="L498" s="224" t="str">
        <f t="shared" si="20"/>
        <v>Documentation</v>
      </c>
      <c r="M498" s="225">
        <f>ROUND(Tableau1[[#This Row],[LEN]]*7.27,0)</f>
        <v>80</v>
      </c>
      <c r="N498" s="225">
        <v>15</v>
      </c>
      <c r="O498" s="226" t="str">
        <f t="shared" si="21"/>
        <v>_blank</v>
      </c>
      <c r="P498" s="225">
        <f>LEN(Tableau1[[#This Row],[LABEL]])</f>
        <v>11</v>
      </c>
      <c r="Q498" s="225">
        <v>15</v>
      </c>
      <c r="R498" s="225" t="e">
        <f>ROUND(Tableau1[[#This Row],[LEN]]*#REF!+#REF!,0)</f>
        <v>#REF!</v>
      </c>
    </row>
    <row r="499" spans="1:18" s="97" customFormat="1" x14ac:dyDescent="0.25">
      <c r="A499" s="29" t="s">
        <v>1340</v>
      </c>
      <c r="B499" s="30" t="s">
        <v>1331</v>
      </c>
      <c r="C499" s="425" t="s">
        <v>2150</v>
      </c>
      <c r="D499" s="446" t="s">
        <v>505</v>
      </c>
      <c r="E499" s="71" t="s">
        <v>1177</v>
      </c>
      <c r="F499" s="31" t="s">
        <v>672</v>
      </c>
      <c r="G499" s="31" t="s">
        <v>1285</v>
      </c>
      <c r="H499" s="71" t="s">
        <v>166</v>
      </c>
      <c r="I499" s="71" t="s">
        <v>18</v>
      </c>
      <c r="J499" s="31"/>
      <c r="K499" s="32" t="s">
        <v>705</v>
      </c>
      <c r="L499" s="32" t="str">
        <f t="shared" si="20"/>
        <v>Documentation</v>
      </c>
      <c r="M499" s="111">
        <f>ROUND(Tableau1[[#This Row],[LEN]]*7.27,0)</f>
        <v>73</v>
      </c>
      <c r="N499" s="111">
        <v>15</v>
      </c>
      <c r="O499" s="128" t="str">
        <f t="shared" si="21"/>
        <v>_blank</v>
      </c>
      <c r="P499" s="111">
        <f>LEN(Tableau1[[#This Row],[LABEL]])</f>
        <v>10</v>
      </c>
      <c r="Q499" s="111">
        <v>15</v>
      </c>
      <c r="R499" s="111" t="e">
        <f>ROUND(Tableau1[[#This Row],[LEN]]*#REF!+#REF!,0)</f>
        <v>#REF!</v>
      </c>
    </row>
    <row r="500" spans="1:18" s="97" customFormat="1" x14ac:dyDescent="0.25">
      <c r="A500" s="29" t="s">
        <v>1341</v>
      </c>
      <c r="B500" s="30" t="s">
        <v>1331</v>
      </c>
      <c r="C500" s="425" t="s">
        <v>2150</v>
      </c>
      <c r="D500" s="446" t="s">
        <v>1284</v>
      </c>
      <c r="E500" s="71" t="s">
        <v>1177</v>
      </c>
      <c r="F500" s="31" t="s">
        <v>672</v>
      </c>
      <c r="G500" s="31" t="s">
        <v>1285</v>
      </c>
      <c r="H500" s="71" t="s">
        <v>166</v>
      </c>
      <c r="I500" s="71" t="s">
        <v>18</v>
      </c>
      <c r="J500" s="31"/>
      <c r="K500" s="32" t="s">
        <v>705</v>
      </c>
      <c r="L500" s="32" t="str">
        <f t="shared" si="20"/>
        <v>Documentation</v>
      </c>
      <c r="M500" s="111">
        <f>ROUND(Tableau1[[#This Row],[LEN]]*7.27,0)</f>
        <v>153</v>
      </c>
      <c r="N500" s="111">
        <v>15</v>
      </c>
      <c r="O500" s="128" t="str">
        <f t="shared" si="21"/>
        <v>_blank</v>
      </c>
      <c r="P500" s="111">
        <f>LEN(Tableau1[[#This Row],[LABEL]])</f>
        <v>21</v>
      </c>
      <c r="Q500" s="111">
        <v>15</v>
      </c>
      <c r="R500" s="111" t="e">
        <f>ROUND(Tableau1[[#This Row],[LEN]]*#REF!+#REF!,0)</f>
        <v>#REF!</v>
      </c>
    </row>
    <row r="501" spans="1:18" s="97" customFormat="1" hidden="1" x14ac:dyDescent="0.25">
      <c r="A501" s="220" t="s">
        <v>1332</v>
      </c>
      <c r="B501" s="221" t="s">
        <v>262</v>
      </c>
      <c r="C501" s="425" t="s">
        <v>2150</v>
      </c>
      <c r="D501" s="222" t="s">
        <v>1342</v>
      </c>
      <c r="E501" s="70" t="s">
        <v>1177</v>
      </c>
      <c r="F501" s="229" t="s">
        <v>676</v>
      </c>
      <c r="G501" s="215" t="s">
        <v>1177</v>
      </c>
      <c r="H501" s="70" t="s">
        <v>166</v>
      </c>
      <c r="I501" s="223" t="s">
        <v>656</v>
      </c>
      <c r="J501" s="222"/>
      <c r="K501" s="224" t="s">
        <v>708</v>
      </c>
      <c r="L501" s="224" t="str">
        <f t="shared" si="20"/>
        <v>_</v>
      </c>
      <c r="M501" s="225">
        <f>ROUND(Tableau1[[#This Row],[LEN]]*7.27,0)</f>
        <v>473</v>
      </c>
      <c r="N501" s="225">
        <v>15</v>
      </c>
      <c r="O501" s="226" t="str">
        <f t="shared" si="21"/>
        <v>_self</v>
      </c>
      <c r="P501" s="225">
        <f>LEN(Tableau1[[#This Row],[LABEL]])</f>
        <v>65</v>
      </c>
      <c r="Q501" s="225">
        <v>15</v>
      </c>
      <c r="R501" s="225" t="e">
        <f>ROUND(Tableau1[[#This Row],[LEN]]*#REF!+#REF!,0)</f>
        <v>#REF!</v>
      </c>
    </row>
    <row r="502" spans="1:18" s="97" customFormat="1" hidden="1" x14ac:dyDescent="0.25">
      <c r="A502" s="220" t="s">
        <v>1333</v>
      </c>
      <c r="B502" s="221" t="s">
        <v>262</v>
      </c>
      <c r="C502" s="425" t="s">
        <v>2150</v>
      </c>
      <c r="D502" s="222" t="s">
        <v>1343</v>
      </c>
      <c r="E502" s="70" t="s">
        <v>1177</v>
      </c>
      <c r="F502" s="229" t="s">
        <v>676</v>
      </c>
      <c r="G502" s="215" t="s">
        <v>1339</v>
      </c>
      <c r="H502" s="70" t="s">
        <v>166</v>
      </c>
      <c r="I502" s="223" t="s">
        <v>654</v>
      </c>
      <c r="J502" s="222"/>
      <c r="K502" s="224" t="s">
        <v>708</v>
      </c>
      <c r="L502" s="224" t="str">
        <f t="shared" si="20"/>
        <v>_</v>
      </c>
      <c r="M502" s="225">
        <f>ROUND(Tableau1[[#This Row],[LEN]]*7.27,0)</f>
        <v>269</v>
      </c>
      <c r="N502" s="225">
        <v>15</v>
      </c>
      <c r="O502" s="226" t="str">
        <f t="shared" si="21"/>
        <v>_self</v>
      </c>
      <c r="P502" s="225">
        <f>LEN(Tableau1[[#This Row],[LABEL]])</f>
        <v>37</v>
      </c>
      <c r="Q502" s="225">
        <v>15</v>
      </c>
      <c r="R502" s="225" t="e">
        <f>ROUND(Tableau1[[#This Row],[LEN]]*#REF!+#REF!,0)</f>
        <v>#REF!</v>
      </c>
    </row>
    <row r="503" spans="1:18" s="97" customFormat="1" hidden="1" x14ac:dyDescent="0.25">
      <c r="A503" s="220" t="s">
        <v>1334</v>
      </c>
      <c r="B503" s="221" t="s">
        <v>262</v>
      </c>
      <c r="C503" s="425" t="s">
        <v>2150</v>
      </c>
      <c r="D503" s="222" t="s">
        <v>1154</v>
      </c>
      <c r="E503" s="70" t="s">
        <v>1177</v>
      </c>
      <c r="F503" s="229" t="s">
        <v>667</v>
      </c>
      <c r="G503" s="215" t="s">
        <v>1133</v>
      </c>
      <c r="H503" s="70" t="s">
        <v>166</v>
      </c>
      <c r="I503" s="223" t="s">
        <v>18</v>
      </c>
      <c r="J503" s="222"/>
      <c r="K503" s="224" t="s">
        <v>102</v>
      </c>
      <c r="L503" s="224" t="str">
        <f t="shared" si="20"/>
        <v>Documentation</v>
      </c>
      <c r="M503" s="225">
        <f>ROUND(Tableau1[[#This Row],[LEN]]*7.27,0)</f>
        <v>443</v>
      </c>
      <c r="N503" s="225">
        <v>15</v>
      </c>
      <c r="O503" s="226" t="str">
        <f t="shared" si="21"/>
        <v>_blank</v>
      </c>
      <c r="P503" s="225">
        <f>LEN(Tableau1[[#This Row],[LABEL]])</f>
        <v>61</v>
      </c>
      <c r="Q503" s="225">
        <v>15</v>
      </c>
      <c r="R503" s="225" t="e">
        <f>ROUND(Tableau1[[#This Row],[LEN]]*#REF!+#REF!,0)</f>
        <v>#REF!</v>
      </c>
    </row>
    <row r="504" spans="1:18" s="97" customFormat="1" hidden="1" x14ac:dyDescent="0.25">
      <c r="A504" s="220" t="s">
        <v>1335</v>
      </c>
      <c r="B504" s="221" t="s">
        <v>262</v>
      </c>
      <c r="C504" s="425" t="s">
        <v>2150</v>
      </c>
      <c r="D504" s="222" t="s">
        <v>778</v>
      </c>
      <c r="E504" s="70" t="s">
        <v>1177</v>
      </c>
      <c r="F504" s="229" t="s">
        <v>673</v>
      </c>
      <c r="G504" s="27" t="s">
        <v>2000</v>
      </c>
      <c r="H504" s="70" t="s">
        <v>166</v>
      </c>
      <c r="I504" s="223" t="s">
        <v>17</v>
      </c>
      <c r="J504" s="222"/>
      <c r="K504" s="224" t="s">
        <v>708</v>
      </c>
      <c r="L504" s="224" t="str">
        <f t="shared" si="20"/>
        <v>_</v>
      </c>
      <c r="M504" s="225">
        <f>ROUND(Tableau1[[#This Row],[LEN]]*7.27,0)</f>
        <v>211</v>
      </c>
      <c r="N504" s="225">
        <v>15</v>
      </c>
      <c r="O504" s="226" t="str">
        <f t="shared" si="21"/>
        <v>_self</v>
      </c>
      <c r="P504" s="225">
        <f>LEN(Tableau1[[#This Row],[LABEL]])</f>
        <v>29</v>
      </c>
      <c r="Q504" s="225">
        <v>15</v>
      </c>
      <c r="R504" s="225" t="e">
        <f>ROUND(Tableau1[[#This Row],[LEN]]*#REF!+#REF!,0)</f>
        <v>#REF!</v>
      </c>
    </row>
    <row r="505" spans="1:18" s="97" customFormat="1" hidden="1" x14ac:dyDescent="0.25">
      <c r="A505" s="220" t="s">
        <v>1336</v>
      </c>
      <c r="B505" s="221" t="s">
        <v>262</v>
      </c>
      <c r="C505" s="425" t="s">
        <v>2150</v>
      </c>
      <c r="D505" s="222" t="s">
        <v>1167</v>
      </c>
      <c r="E505" s="70" t="s">
        <v>486</v>
      </c>
      <c r="F505" s="229" t="s">
        <v>1085</v>
      </c>
      <c r="G505" s="215" t="s">
        <v>1084</v>
      </c>
      <c r="H505" s="70" t="s">
        <v>1977</v>
      </c>
      <c r="I505" s="223" t="s">
        <v>1131</v>
      </c>
      <c r="J505" s="222"/>
      <c r="K505" s="224" t="s">
        <v>708</v>
      </c>
      <c r="L505" s="224" t="str">
        <f t="shared" si="20"/>
        <v>_</v>
      </c>
      <c r="M505" s="225">
        <f>ROUND(Tableau1[[#This Row],[LEN]]*7.27,0)</f>
        <v>196</v>
      </c>
      <c r="N505" s="225">
        <v>15</v>
      </c>
      <c r="O505" s="226" t="str">
        <f t="shared" si="21"/>
        <v>_self</v>
      </c>
      <c r="P505" s="225">
        <f>LEN(Tableau1[[#This Row],[LABEL]])</f>
        <v>27</v>
      </c>
      <c r="Q505" s="225">
        <v>15</v>
      </c>
      <c r="R505" s="225" t="e">
        <f>ROUND(Tableau1[[#This Row],[LEN]]*#REF!+#REF!,0)</f>
        <v>#REF!</v>
      </c>
    </row>
    <row r="506" spans="1:18" s="97" customFormat="1" hidden="1" x14ac:dyDescent="0.25">
      <c r="A506" s="29" t="s">
        <v>1344</v>
      </c>
      <c r="B506" s="30" t="s">
        <v>1336</v>
      </c>
      <c r="C506" s="425" t="s">
        <v>2150</v>
      </c>
      <c r="D506" s="31" t="s">
        <v>93</v>
      </c>
      <c r="E506" s="71" t="s">
        <v>1177</v>
      </c>
      <c r="F506" s="31" t="s">
        <v>1085</v>
      </c>
      <c r="G506" s="31" t="s">
        <v>1084</v>
      </c>
      <c r="H506" s="71" t="s">
        <v>166</v>
      </c>
      <c r="I506" s="71" t="s">
        <v>18</v>
      </c>
      <c r="J506" s="31"/>
      <c r="K506" s="32" t="s">
        <v>101</v>
      </c>
      <c r="L506" s="32" t="str">
        <f t="shared" si="20"/>
        <v>Documentation</v>
      </c>
      <c r="M506" s="111">
        <f>ROUND(Tableau1[[#This Row],[LEN]]*7.27,0)</f>
        <v>109</v>
      </c>
      <c r="N506" s="111">
        <v>15</v>
      </c>
      <c r="O506" s="128" t="str">
        <f t="shared" si="21"/>
        <v>_blank</v>
      </c>
      <c r="P506" s="111">
        <f>LEN(Tableau1[[#This Row],[LABEL]])</f>
        <v>15</v>
      </c>
      <c r="Q506" s="111">
        <v>15</v>
      </c>
      <c r="R506" s="111" t="e">
        <f>ROUND(Tableau1[[#This Row],[LEN]]*#REF!+#REF!,0)</f>
        <v>#REF!</v>
      </c>
    </row>
    <row r="507" spans="1:18" s="97" customFormat="1" hidden="1" x14ac:dyDescent="0.25">
      <c r="A507" s="29" t="s">
        <v>1345</v>
      </c>
      <c r="B507" s="30" t="s">
        <v>1336</v>
      </c>
      <c r="C507" s="425" t="s">
        <v>2150</v>
      </c>
      <c r="D507" s="31" t="s">
        <v>94</v>
      </c>
      <c r="E507" s="71" t="s">
        <v>1177</v>
      </c>
      <c r="F507" s="31" t="s">
        <v>1085</v>
      </c>
      <c r="G507" s="31" t="s">
        <v>1084</v>
      </c>
      <c r="H507" s="71" t="s">
        <v>166</v>
      </c>
      <c r="I507" s="71" t="s">
        <v>18</v>
      </c>
      <c r="J507" s="31"/>
      <c r="K507" s="32" t="s">
        <v>102</v>
      </c>
      <c r="L507" s="32" t="str">
        <f t="shared" si="20"/>
        <v>Documentation</v>
      </c>
      <c r="M507" s="111">
        <f>ROUND(Tableau1[[#This Row],[LEN]]*7.27,0)</f>
        <v>58</v>
      </c>
      <c r="N507" s="111">
        <v>15</v>
      </c>
      <c r="O507" s="128" t="str">
        <f t="shared" si="21"/>
        <v>_blank</v>
      </c>
      <c r="P507" s="111">
        <f>LEN(Tableau1[[#This Row],[LABEL]])</f>
        <v>8</v>
      </c>
      <c r="Q507" s="111">
        <v>15</v>
      </c>
      <c r="R507" s="111" t="e">
        <f>ROUND(Tableau1[[#This Row],[LEN]]*#REF!+#REF!,0)</f>
        <v>#REF!</v>
      </c>
    </row>
    <row r="508" spans="1:18" s="273" customFormat="1" hidden="1" x14ac:dyDescent="0.25">
      <c r="A508" s="288" t="s">
        <v>263</v>
      </c>
      <c r="B508" s="289" t="s">
        <v>206</v>
      </c>
      <c r="C508" s="425" t="s">
        <v>2150</v>
      </c>
      <c r="D508" s="290" t="s">
        <v>13</v>
      </c>
      <c r="E508" s="291" t="s">
        <v>1177</v>
      </c>
      <c r="F508" s="290" t="s">
        <v>677</v>
      </c>
      <c r="G508" s="290" t="s">
        <v>1177</v>
      </c>
      <c r="H508" s="291" t="s">
        <v>166</v>
      </c>
      <c r="I508" s="291" t="str">
        <f>IFERROR(IF(SEARCH(".00.00.00.00.00",Tableau1[[#This Row],[name]],1)=7,"Division",""),"")</f>
        <v>Division</v>
      </c>
      <c r="J508" s="290"/>
      <c r="K508" s="292" t="s">
        <v>708</v>
      </c>
      <c r="L508" s="292" t="str">
        <f t="shared" si="20"/>
        <v>_</v>
      </c>
      <c r="M508" s="293">
        <f>ROUND(Tableau1[[#This Row],[LEN]]*7.27,0)</f>
        <v>80</v>
      </c>
      <c r="N508" s="293">
        <v>15</v>
      </c>
      <c r="O508" s="294" t="str">
        <f t="shared" si="21"/>
        <v>_self</v>
      </c>
      <c r="P508" s="293">
        <f>LEN(Tableau1[[#This Row],[LABEL]])</f>
        <v>11</v>
      </c>
      <c r="Q508" s="293">
        <v>15</v>
      </c>
      <c r="R508" s="293" t="e">
        <f>ROUND(Tableau1[[#This Row],[LEN]]*#REF!+#REF!,0)</f>
        <v>#REF!</v>
      </c>
    </row>
    <row r="509" spans="1:18" s="97" customFormat="1" hidden="1" x14ac:dyDescent="0.25">
      <c r="A509" s="220" t="s">
        <v>1346</v>
      </c>
      <c r="B509" s="221" t="s">
        <v>263</v>
      </c>
      <c r="C509" s="425" t="s">
        <v>2150</v>
      </c>
      <c r="D509" s="222" t="s">
        <v>1355</v>
      </c>
      <c r="E509" s="70" t="s">
        <v>1177</v>
      </c>
      <c r="F509" s="229" t="s">
        <v>677</v>
      </c>
      <c r="G509" s="215" t="s">
        <v>1177</v>
      </c>
      <c r="H509" s="70" t="s">
        <v>166</v>
      </c>
      <c r="I509" s="223" t="s">
        <v>655</v>
      </c>
      <c r="J509" s="222"/>
      <c r="K509" s="224" t="s">
        <v>708</v>
      </c>
      <c r="L509" s="224" t="str">
        <f t="shared" si="20"/>
        <v>_</v>
      </c>
      <c r="M509" s="225">
        <f>ROUND(Tableau1[[#This Row],[LEN]]*7.27,0)</f>
        <v>233</v>
      </c>
      <c r="N509" s="225">
        <v>15</v>
      </c>
      <c r="O509" s="226" t="str">
        <f t="shared" si="21"/>
        <v>_self</v>
      </c>
      <c r="P509" s="225">
        <f>LEN(Tableau1[[#This Row],[LABEL]])</f>
        <v>32</v>
      </c>
      <c r="Q509" s="225">
        <v>15</v>
      </c>
      <c r="R509" s="225" t="e">
        <f>ROUND(Tableau1[[#This Row],[LEN]]*#REF!+#REF!,0)</f>
        <v>#REF!</v>
      </c>
    </row>
    <row r="510" spans="1:18" s="97" customFormat="1" hidden="1" x14ac:dyDescent="0.25">
      <c r="A510" s="29" t="s">
        <v>1363</v>
      </c>
      <c r="B510" s="30" t="s">
        <v>1346</v>
      </c>
      <c r="C510" s="425" t="s">
        <v>2150</v>
      </c>
      <c r="D510" s="31" t="s">
        <v>1368</v>
      </c>
      <c r="E510" s="71" t="s">
        <v>1177</v>
      </c>
      <c r="F510" s="31" t="s">
        <v>677</v>
      </c>
      <c r="G510" s="31" t="s">
        <v>1177</v>
      </c>
      <c r="H510" s="71" t="s">
        <v>166</v>
      </c>
      <c r="I510" s="71" t="s">
        <v>654</v>
      </c>
      <c r="J510" s="31"/>
      <c r="K510" s="32" t="s">
        <v>708</v>
      </c>
      <c r="L510" s="32" t="str">
        <f t="shared" si="20"/>
        <v>_</v>
      </c>
      <c r="M510" s="111">
        <f>ROUND(Tableau1[[#This Row],[LEN]]*7.27,0)</f>
        <v>109</v>
      </c>
      <c r="N510" s="111">
        <v>15</v>
      </c>
      <c r="O510" s="128" t="str">
        <f t="shared" si="21"/>
        <v>_self</v>
      </c>
      <c r="P510" s="111">
        <f>LEN(Tableau1[[#This Row],[LABEL]])</f>
        <v>15</v>
      </c>
      <c r="Q510" s="111">
        <v>15</v>
      </c>
      <c r="R510" s="111" t="e">
        <f>ROUND(Tableau1[[#This Row],[LEN]]*#REF!+#REF!,0)</f>
        <v>#REF!</v>
      </c>
    </row>
    <row r="511" spans="1:18" s="97" customFormat="1" hidden="1" x14ac:dyDescent="0.25">
      <c r="A511" s="29" t="s">
        <v>1364</v>
      </c>
      <c r="B511" s="30" t="s">
        <v>1346</v>
      </c>
      <c r="C511" s="425" t="s">
        <v>2150</v>
      </c>
      <c r="D511" s="31" t="s">
        <v>1369</v>
      </c>
      <c r="E511" s="71" t="s">
        <v>1177</v>
      </c>
      <c r="F511" s="31" t="s">
        <v>677</v>
      </c>
      <c r="G511" s="31" t="s">
        <v>1177</v>
      </c>
      <c r="H511" s="71" t="s">
        <v>166</v>
      </c>
      <c r="I511" s="71" t="s">
        <v>654</v>
      </c>
      <c r="J511" s="31"/>
      <c r="K511" s="32" t="s">
        <v>708</v>
      </c>
      <c r="L511" s="32" t="str">
        <f t="shared" si="20"/>
        <v>_</v>
      </c>
      <c r="M511" s="111">
        <f>ROUND(Tableau1[[#This Row],[LEN]]*7.27,0)</f>
        <v>153</v>
      </c>
      <c r="N511" s="111">
        <v>15</v>
      </c>
      <c r="O511" s="128" t="str">
        <f t="shared" si="21"/>
        <v>_self</v>
      </c>
      <c r="P511" s="111">
        <f>LEN(Tableau1[[#This Row],[LABEL]])</f>
        <v>21</v>
      </c>
      <c r="Q511" s="111">
        <v>15</v>
      </c>
      <c r="R511" s="111" t="e">
        <f>ROUND(Tableau1[[#This Row],[LEN]]*#REF!+#REF!,0)</f>
        <v>#REF!</v>
      </c>
    </row>
    <row r="512" spans="1:18" s="97" customFormat="1" hidden="1" x14ac:dyDescent="0.25">
      <c r="A512" s="29" t="s">
        <v>1365</v>
      </c>
      <c r="B512" s="30" t="s">
        <v>1346</v>
      </c>
      <c r="C512" s="425" t="s">
        <v>2150</v>
      </c>
      <c r="D512" s="31" t="s">
        <v>1370</v>
      </c>
      <c r="E512" s="71" t="s">
        <v>1177</v>
      </c>
      <c r="F512" s="31" t="s">
        <v>677</v>
      </c>
      <c r="G512" s="31" t="s">
        <v>1177</v>
      </c>
      <c r="H512" s="71" t="s">
        <v>166</v>
      </c>
      <c r="I512" s="71" t="s">
        <v>654</v>
      </c>
      <c r="J512" s="31"/>
      <c r="K512" s="32" t="s">
        <v>708</v>
      </c>
      <c r="L512" s="32" t="str">
        <f t="shared" si="20"/>
        <v>_</v>
      </c>
      <c r="M512" s="111">
        <f>ROUND(Tableau1[[#This Row],[LEN]]*7.27,0)</f>
        <v>51</v>
      </c>
      <c r="N512" s="111">
        <v>15</v>
      </c>
      <c r="O512" s="128" t="str">
        <f t="shared" si="21"/>
        <v>_self</v>
      </c>
      <c r="P512" s="111">
        <f>LEN(Tableau1[[#This Row],[LABEL]])</f>
        <v>7</v>
      </c>
      <c r="Q512" s="111">
        <v>15</v>
      </c>
      <c r="R512" s="111" t="e">
        <f>ROUND(Tableau1[[#This Row],[LEN]]*#REF!+#REF!,0)</f>
        <v>#REF!</v>
      </c>
    </row>
    <row r="513" spans="1:18" s="97" customFormat="1" hidden="1" x14ac:dyDescent="0.25">
      <c r="A513" s="29" t="s">
        <v>1366</v>
      </c>
      <c r="B513" s="30" t="s">
        <v>1346</v>
      </c>
      <c r="C513" s="425" t="s">
        <v>2150</v>
      </c>
      <c r="D513" s="31" t="s">
        <v>1371</v>
      </c>
      <c r="E513" s="71" t="s">
        <v>1177</v>
      </c>
      <c r="F513" s="31" t="s">
        <v>677</v>
      </c>
      <c r="G513" s="31" t="s">
        <v>1177</v>
      </c>
      <c r="H513" s="71" t="s">
        <v>166</v>
      </c>
      <c r="I513" s="71" t="s">
        <v>654</v>
      </c>
      <c r="J513" s="31"/>
      <c r="K513" s="32" t="s">
        <v>708</v>
      </c>
      <c r="L513" s="32" t="str">
        <f t="shared" si="20"/>
        <v>_</v>
      </c>
      <c r="M513" s="111">
        <f>ROUND(Tableau1[[#This Row],[LEN]]*7.27,0)</f>
        <v>131</v>
      </c>
      <c r="N513" s="111">
        <v>15</v>
      </c>
      <c r="O513" s="128" t="str">
        <f t="shared" si="21"/>
        <v>_self</v>
      </c>
      <c r="P513" s="111">
        <f>LEN(Tableau1[[#This Row],[LABEL]])</f>
        <v>18</v>
      </c>
      <c r="Q513" s="111">
        <v>15</v>
      </c>
      <c r="R513" s="111" t="e">
        <f>ROUND(Tableau1[[#This Row],[LEN]]*#REF!+#REF!,0)</f>
        <v>#REF!</v>
      </c>
    </row>
    <row r="514" spans="1:18" s="97" customFormat="1" hidden="1" x14ac:dyDescent="0.25">
      <c r="A514" s="29" t="s">
        <v>1367</v>
      </c>
      <c r="B514" s="30" t="s">
        <v>1346</v>
      </c>
      <c r="C514" s="425" t="s">
        <v>2150</v>
      </c>
      <c r="D514" s="31" t="s">
        <v>1372</v>
      </c>
      <c r="E514" s="71" t="s">
        <v>1177</v>
      </c>
      <c r="F514" s="31" t="s">
        <v>677</v>
      </c>
      <c r="G514" s="31" t="s">
        <v>1177</v>
      </c>
      <c r="H514" s="71" t="s">
        <v>166</v>
      </c>
      <c r="I514" s="71" t="s">
        <v>654</v>
      </c>
      <c r="J514" s="31"/>
      <c r="K514" s="32" t="s">
        <v>708</v>
      </c>
      <c r="L514" s="32" t="str">
        <f t="shared" si="20"/>
        <v>_</v>
      </c>
      <c r="M514" s="111">
        <f>ROUND(Tableau1[[#This Row],[LEN]]*7.27,0)</f>
        <v>80</v>
      </c>
      <c r="N514" s="111">
        <v>15</v>
      </c>
      <c r="O514" s="128" t="str">
        <f t="shared" si="21"/>
        <v>_self</v>
      </c>
      <c r="P514" s="111">
        <f>LEN(Tableau1[[#This Row],[LABEL]])</f>
        <v>11</v>
      </c>
      <c r="Q514" s="111">
        <v>15</v>
      </c>
      <c r="R514" s="111" t="e">
        <f>ROUND(Tableau1[[#This Row],[LEN]]*#REF!+#REF!,0)</f>
        <v>#REF!</v>
      </c>
    </row>
    <row r="515" spans="1:18" s="97" customFormat="1" hidden="1" x14ac:dyDescent="0.25">
      <c r="A515" s="220" t="s">
        <v>1347</v>
      </c>
      <c r="B515" s="221" t="s">
        <v>263</v>
      </c>
      <c r="C515" s="425" t="s">
        <v>2150</v>
      </c>
      <c r="D515" s="222" t="s">
        <v>1337</v>
      </c>
      <c r="E515" s="70" t="s">
        <v>1338</v>
      </c>
      <c r="F515" s="229" t="s">
        <v>676</v>
      </c>
      <c r="G515" s="215" t="s">
        <v>1339</v>
      </c>
      <c r="H515" s="70" t="s">
        <v>166</v>
      </c>
      <c r="I515" s="223" t="s">
        <v>656</v>
      </c>
      <c r="J515" s="222"/>
      <c r="K515" s="224" t="s">
        <v>708</v>
      </c>
      <c r="L515" s="224" t="str">
        <f t="shared" si="20"/>
        <v>_</v>
      </c>
      <c r="M515" s="225">
        <f>ROUND(Tableau1[[#This Row],[LEN]]*7.27,0)</f>
        <v>378</v>
      </c>
      <c r="N515" s="225">
        <v>15</v>
      </c>
      <c r="O515" s="226" t="str">
        <f t="shared" si="21"/>
        <v>_self</v>
      </c>
      <c r="P515" s="225">
        <f>LEN(Tableau1[[#This Row],[LABEL]])</f>
        <v>52</v>
      </c>
      <c r="Q515" s="225">
        <v>15</v>
      </c>
      <c r="R515" s="225" t="e">
        <f>ROUND(Tableau1[[#This Row],[LEN]]*#REF!+#REF!,0)</f>
        <v>#REF!</v>
      </c>
    </row>
    <row r="516" spans="1:18" s="97" customFormat="1" hidden="1" x14ac:dyDescent="0.25">
      <c r="A516" s="220" t="s">
        <v>1348</v>
      </c>
      <c r="B516" s="221" t="s">
        <v>263</v>
      </c>
      <c r="C516" s="425" t="s">
        <v>2150</v>
      </c>
      <c r="D516" s="222" t="s">
        <v>88</v>
      </c>
      <c r="E516" s="70" t="s">
        <v>1177</v>
      </c>
      <c r="F516" s="229" t="s">
        <v>667</v>
      </c>
      <c r="G516" s="215" t="s">
        <v>1218</v>
      </c>
      <c r="H516" s="70" t="s">
        <v>166</v>
      </c>
      <c r="I516" s="223" t="s">
        <v>570</v>
      </c>
      <c r="J516" s="222"/>
      <c r="K516" s="224" t="s">
        <v>708</v>
      </c>
      <c r="L516" s="224" t="str">
        <f t="shared" si="20"/>
        <v>_</v>
      </c>
      <c r="M516" s="225">
        <f>ROUND(Tableau1[[#This Row],[LEN]]*7.27,0)</f>
        <v>342</v>
      </c>
      <c r="N516" s="225">
        <v>15</v>
      </c>
      <c r="O516" s="226" t="str">
        <f t="shared" si="21"/>
        <v>_self</v>
      </c>
      <c r="P516" s="225">
        <f>LEN(Tableau1[[#This Row],[LABEL]])</f>
        <v>47</v>
      </c>
      <c r="Q516" s="225">
        <v>15</v>
      </c>
      <c r="R516" s="225" t="e">
        <f>ROUND(Tableau1[[#This Row],[LEN]]*#REF!+#REF!,0)</f>
        <v>#REF!</v>
      </c>
    </row>
    <row r="517" spans="1:18" s="97" customFormat="1" hidden="1" x14ac:dyDescent="0.25">
      <c r="A517" s="220" t="s">
        <v>1349</v>
      </c>
      <c r="B517" s="221" t="s">
        <v>263</v>
      </c>
      <c r="C517" s="425" t="s">
        <v>2150</v>
      </c>
      <c r="D517" s="222" t="s">
        <v>142</v>
      </c>
      <c r="E517" s="70" t="s">
        <v>1177</v>
      </c>
      <c r="F517" s="229" t="s">
        <v>669</v>
      </c>
      <c r="G517" s="215" t="s">
        <v>677</v>
      </c>
      <c r="H517" s="70" t="s">
        <v>166</v>
      </c>
      <c r="I517" s="223" t="s">
        <v>655</v>
      </c>
      <c r="J517" s="222"/>
      <c r="K517" s="224" t="s">
        <v>708</v>
      </c>
      <c r="L517" s="224" t="str">
        <f t="shared" si="20"/>
        <v>_</v>
      </c>
      <c r="M517" s="225">
        <f>ROUND(Tableau1[[#This Row],[LEN]]*7.27,0)</f>
        <v>109</v>
      </c>
      <c r="N517" s="225">
        <v>15</v>
      </c>
      <c r="O517" s="226" t="str">
        <f t="shared" si="21"/>
        <v>_self</v>
      </c>
      <c r="P517" s="225">
        <f>LEN(Tableau1[[#This Row],[LABEL]])</f>
        <v>15</v>
      </c>
      <c r="Q517" s="225">
        <v>15</v>
      </c>
      <c r="R517" s="225" t="e">
        <f>ROUND(Tableau1[[#This Row],[LEN]]*#REF!+#REF!,0)</f>
        <v>#REF!</v>
      </c>
    </row>
    <row r="518" spans="1:18" s="97" customFormat="1" hidden="1" x14ac:dyDescent="0.25">
      <c r="A518" s="220" t="s">
        <v>1350</v>
      </c>
      <c r="B518" s="221" t="s">
        <v>263</v>
      </c>
      <c r="C518" s="425" t="s">
        <v>2150</v>
      </c>
      <c r="D518" s="222" t="s">
        <v>1357</v>
      </c>
      <c r="E518" s="70" t="s">
        <v>1177</v>
      </c>
      <c r="F518" s="229" t="s">
        <v>673</v>
      </c>
      <c r="G518" s="215" t="s">
        <v>1249</v>
      </c>
      <c r="H518" s="70" t="s">
        <v>166</v>
      </c>
      <c r="I518" s="223" t="s">
        <v>655</v>
      </c>
      <c r="J518" s="222"/>
      <c r="K518" s="224" t="s">
        <v>708</v>
      </c>
      <c r="L518" s="224" t="str">
        <f t="shared" si="20"/>
        <v>_</v>
      </c>
      <c r="M518" s="225">
        <f>ROUND(Tableau1[[#This Row],[LEN]]*7.27,0)</f>
        <v>298</v>
      </c>
      <c r="N518" s="225">
        <v>15</v>
      </c>
      <c r="O518" s="226" t="str">
        <f t="shared" si="21"/>
        <v>_self</v>
      </c>
      <c r="P518" s="225">
        <f>LEN(Tableau1[[#This Row],[LABEL]])</f>
        <v>41</v>
      </c>
      <c r="Q518" s="225">
        <v>15</v>
      </c>
      <c r="R518" s="225" t="e">
        <f>ROUND(Tableau1[[#This Row],[LEN]]*#REF!+#REF!,0)</f>
        <v>#REF!</v>
      </c>
    </row>
    <row r="519" spans="1:18" s="97" customFormat="1" hidden="1" x14ac:dyDescent="0.25">
      <c r="A519" s="220" t="s">
        <v>1351</v>
      </c>
      <c r="B519" s="221" t="s">
        <v>263</v>
      </c>
      <c r="C519" s="425" t="s">
        <v>2150</v>
      </c>
      <c r="D519" s="222" t="s">
        <v>1343</v>
      </c>
      <c r="E519" s="70" t="s">
        <v>1177</v>
      </c>
      <c r="F519" s="229" t="s">
        <v>676</v>
      </c>
      <c r="G519" s="215" t="s">
        <v>677</v>
      </c>
      <c r="H519" s="70" t="s">
        <v>166</v>
      </c>
      <c r="I519" s="223" t="s">
        <v>654</v>
      </c>
      <c r="J519" s="222"/>
      <c r="K519" s="224" t="s">
        <v>708</v>
      </c>
      <c r="L519" s="224" t="str">
        <f t="shared" si="20"/>
        <v>_</v>
      </c>
      <c r="M519" s="225">
        <f>ROUND(Tableau1[[#This Row],[LEN]]*7.27,0)</f>
        <v>269</v>
      </c>
      <c r="N519" s="225">
        <v>15</v>
      </c>
      <c r="O519" s="226" t="str">
        <f t="shared" si="21"/>
        <v>_self</v>
      </c>
      <c r="P519" s="225">
        <f>LEN(Tableau1[[#This Row],[LABEL]])</f>
        <v>37</v>
      </c>
      <c r="Q519" s="225">
        <v>15</v>
      </c>
      <c r="R519" s="225" t="e">
        <f>ROUND(Tableau1[[#This Row],[LEN]]*#REF!+#REF!,0)</f>
        <v>#REF!</v>
      </c>
    </row>
    <row r="520" spans="1:18" s="97" customFormat="1" hidden="1" x14ac:dyDescent="0.25">
      <c r="A520" s="220" t="s">
        <v>1352</v>
      </c>
      <c r="B520" s="221" t="s">
        <v>263</v>
      </c>
      <c r="C520" s="425" t="s">
        <v>2150</v>
      </c>
      <c r="D520" s="222" t="s">
        <v>778</v>
      </c>
      <c r="E520" s="70" t="s">
        <v>1177</v>
      </c>
      <c r="F520" s="229" t="s">
        <v>673</v>
      </c>
      <c r="G520" s="27" t="s">
        <v>2000</v>
      </c>
      <c r="H520" s="70" t="s">
        <v>166</v>
      </c>
      <c r="I520" s="223" t="s">
        <v>17</v>
      </c>
      <c r="J520" s="222"/>
      <c r="K520" s="224" t="s">
        <v>708</v>
      </c>
      <c r="L520" s="224" t="str">
        <f t="shared" si="20"/>
        <v>_</v>
      </c>
      <c r="M520" s="225">
        <f>ROUND(Tableau1[[#This Row],[LEN]]*7.27,0)</f>
        <v>211</v>
      </c>
      <c r="N520" s="225">
        <v>15</v>
      </c>
      <c r="O520" s="226" t="str">
        <f t="shared" si="21"/>
        <v>_self</v>
      </c>
      <c r="P520" s="225">
        <f>LEN(Tableau1[[#This Row],[LABEL]])</f>
        <v>29</v>
      </c>
      <c r="Q520" s="225">
        <v>15</v>
      </c>
      <c r="R520" s="225" t="e">
        <f>ROUND(Tableau1[[#This Row],[LEN]]*#REF!+#REF!,0)</f>
        <v>#REF!</v>
      </c>
    </row>
    <row r="521" spans="1:18" s="97" customFormat="1" hidden="1" x14ac:dyDescent="0.25">
      <c r="A521" s="220" t="s">
        <v>1353</v>
      </c>
      <c r="B521" s="221" t="s">
        <v>263</v>
      </c>
      <c r="C521" s="425" t="s">
        <v>2150</v>
      </c>
      <c r="D521" s="222" t="s">
        <v>91</v>
      </c>
      <c r="E521" s="70" t="s">
        <v>1177</v>
      </c>
      <c r="F521" s="229" t="s">
        <v>663</v>
      </c>
      <c r="G521" s="215" t="s">
        <v>2080</v>
      </c>
      <c r="H521" s="70" t="s">
        <v>166</v>
      </c>
      <c r="I521" s="223" t="s">
        <v>655</v>
      </c>
      <c r="J521" s="222"/>
      <c r="K521" s="224" t="s">
        <v>708</v>
      </c>
      <c r="L521" s="224" t="str">
        <f t="shared" si="20"/>
        <v>_</v>
      </c>
      <c r="M521" s="225">
        <f>ROUND(Tableau1[[#This Row],[LEN]]*7.27,0)</f>
        <v>269</v>
      </c>
      <c r="N521" s="225">
        <v>15</v>
      </c>
      <c r="O521" s="226" t="str">
        <f t="shared" si="21"/>
        <v>_self</v>
      </c>
      <c r="P521" s="225">
        <f>LEN(Tableau1[[#This Row],[LABEL]])</f>
        <v>37</v>
      </c>
      <c r="Q521" s="225">
        <v>15</v>
      </c>
      <c r="R521" s="225" t="e">
        <f>ROUND(Tableau1[[#This Row],[LEN]]*#REF!+#REF!,0)</f>
        <v>#REF!</v>
      </c>
    </row>
    <row r="522" spans="1:18" s="97" customFormat="1" hidden="1" x14ac:dyDescent="0.25">
      <c r="A522" s="29" t="s">
        <v>1359</v>
      </c>
      <c r="B522" s="30" t="s">
        <v>1353</v>
      </c>
      <c r="C522" s="425" t="s">
        <v>2150</v>
      </c>
      <c r="D522" s="31" t="s">
        <v>98</v>
      </c>
      <c r="E522" s="71" t="s">
        <v>1177</v>
      </c>
      <c r="F522" s="31" t="s">
        <v>663</v>
      </c>
      <c r="G522" s="31" t="s">
        <v>1358</v>
      </c>
      <c r="H522" s="71" t="s">
        <v>166</v>
      </c>
      <c r="I522" s="71" t="s">
        <v>18</v>
      </c>
      <c r="J522" s="31"/>
      <c r="K522" s="32" t="s">
        <v>708</v>
      </c>
      <c r="L522" s="32" t="str">
        <f t="shared" si="20"/>
        <v>_</v>
      </c>
      <c r="M522" s="111">
        <f>ROUND(Tableau1[[#This Row],[LEN]]*7.27,0)</f>
        <v>109</v>
      </c>
      <c r="N522" s="111">
        <v>15</v>
      </c>
      <c r="O522" s="128" t="str">
        <f t="shared" si="21"/>
        <v>_self</v>
      </c>
      <c r="P522" s="111">
        <f>LEN(Tableau1[[#This Row],[LABEL]])</f>
        <v>15</v>
      </c>
      <c r="Q522" s="111">
        <v>15</v>
      </c>
      <c r="R522" s="111" t="e">
        <f>ROUND(Tableau1[[#This Row],[LEN]]*#REF!+#REF!,0)</f>
        <v>#REF!</v>
      </c>
    </row>
    <row r="523" spans="1:18" s="97" customFormat="1" hidden="1" x14ac:dyDescent="0.25">
      <c r="A523" s="29" t="s">
        <v>1360</v>
      </c>
      <c r="B523" s="30" t="s">
        <v>1353</v>
      </c>
      <c r="C523" s="425" t="s">
        <v>2150</v>
      </c>
      <c r="D523" s="31" t="s">
        <v>99</v>
      </c>
      <c r="E523" s="71" t="s">
        <v>1177</v>
      </c>
      <c r="F523" s="31" t="s">
        <v>663</v>
      </c>
      <c r="G523" s="31" t="s">
        <v>1358</v>
      </c>
      <c r="H523" s="71" t="s">
        <v>166</v>
      </c>
      <c r="I523" s="71" t="s">
        <v>18</v>
      </c>
      <c r="J523" s="31"/>
      <c r="K523" s="32" t="s">
        <v>708</v>
      </c>
      <c r="L523" s="32" t="str">
        <f t="shared" si="20"/>
        <v>_</v>
      </c>
      <c r="M523" s="111">
        <f>ROUND(Tableau1[[#This Row],[LEN]]*7.27,0)</f>
        <v>80</v>
      </c>
      <c r="N523" s="111">
        <v>15</v>
      </c>
      <c r="O523" s="128" t="str">
        <f t="shared" si="21"/>
        <v>_self</v>
      </c>
      <c r="P523" s="111">
        <f>LEN(Tableau1[[#This Row],[LABEL]])</f>
        <v>11</v>
      </c>
      <c r="Q523" s="111">
        <v>15</v>
      </c>
      <c r="R523" s="111" t="e">
        <f>ROUND(Tableau1[[#This Row],[LEN]]*#REF!+#REF!,0)</f>
        <v>#REF!</v>
      </c>
    </row>
    <row r="524" spans="1:18" s="97" customFormat="1" hidden="1" x14ac:dyDescent="0.25">
      <c r="A524" s="220" t="s">
        <v>1354</v>
      </c>
      <c r="B524" s="221" t="s">
        <v>263</v>
      </c>
      <c r="C524" s="425" t="s">
        <v>2150</v>
      </c>
      <c r="D524" s="222" t="s">
        <v>1167</v>
      </c>
      <c r="E524" s="70" t="s">
        <v>486</v>
      </c>
      <c r="F524" s="229" t="s">
        <v>1085</v>
      </c>
      <c r="G524" s="215" t="s">
        <v>1084</v>
      </c>
      <c r="H524" s="70" t="s">
        <v>1977</v>
      </c>
      <c r="I524" s="223" t="s">
        <v>1131</v>
      </c>
      <c r="J524" s="222"/>
      <c r="K524" s="224" t="s">
        <v>708</v>
      </c>
      <c r="L524" s="224" t="str">
        <f t="shared" si="20"/>
        <v>_</v>
      </c>
      <c r="M524" s="225">
        <f>ROUND(Tableau1[[#This Row],[LEN]]*7.27,0)</f>
        <v>196</v>
      </c>
      <c r="N524" s="225">
        <v>15</v>
      </c>
      <c r="O524" s="226" t="str">
        <f t="shared" si="21"/>
        <v>_self</v>
      </c>
      <c r="P524" s="225">
        <f>LEN(Tableau1[[#This Row],[LABEL]])</f>
        <v>27</v>
      </c>
      <c r="Q524" s="225">
        <v>15</v>
      </c>
      <c r="R524" s="225" t="e">
        <f>ROUND(Tableau1[[#This Row],[LEN]]*#REF!+#REF!,0)</f>
        <v>#REF!</v>
      </c>
    </row>
    <row r="525" spans="1:18" s="97" customFormat="1" hidden="1" x14ac:dyDescent="0.25">
      <c r="A525" s="29" t="s">
        <v>1361</v>
      </c>
      <c r="B525" s="30" t="s">
        <v>1354</v>
      </c>
      <c r="C525" s="425" t="s">
        <v>2150</v>
      </c>
      <c r="D525" s="31" t="s">
        <v>93</v>
      </c>
      <c r="E525" s="71" t="s">
        <v>1177</v>
      </c>
      <c r="F525" s="31" t="s">
        <v>1085</v>
      </c>
      <c r="G525" s="31" t="s">
        <v>1084</v>
      </c>
      <c r="H525" s="71" t="s">
        <v>166</v>
      </c>
      <c r="I525" s="71" t="s">
        <v>18</v>
      </c>
      <c r="J525" s="31"/>
      <c r="K525" s="32" t="s">
        <v>101</v>
      </c>
      <c r="L525" s="32" t="str">
        <f t="shared" si="20"/>
        <v>Documentation</v>
      </c>
      <c r="M525" s="111">
        <f>ROUND(Tableau1[[#This Row],[LEN]]*7.27,0)</f>
        <v>109</v>
      </c>
      <c r="N525" s="111">
        <v>15</v>
      </c>
      <c r="O525" s="128" t="str">
        <f t="shared" si="21"/>
        <v>_blank</v>
      </c>
      <c r="P525" s="111">
        <f>LEN(Tableau1[[#This Row],[LABEL]])</f>
        <v>15</v>
      </c>
      <c r="Q525" s="111">
        <v>15</v>
      </c>
      <c r="R525" s="111" t="e">
        <f>ROUND(Tableau1[[#This Row],[LEN]]*#REF!+#REF!,0)</f>
        <v>#REF!</v>
      </c>
    </row>
    <row r="526" spans="1:18" s="97" customFormat="1" hidden="1" x14ac:dyDescent="0.25">
      <c r="A526" s="29" t="s">
        <v>1362</v>
      </c>
      <c r="B526" s="30" t="s">
        <v>1354</v>
      </c>
      <c r="C526" s="425" t="s">
        <v>2150</v>
      </c>
      <c r="D526" s="31" t="s">
        <v>94</v>
      </c>
      <c r="E526" s="71" t="s">
        <v>1177</v>
      </c>
      <c r="F526" s="31" t="s">
        <v>1085</v>
      </c>
      <c r="G526" s="31" t="s">
        <v>1084</v>
      </c>
      <c r="H526" s="71" t="s">
        <v>166</v>
      </c>
      <c r="I526" s="71" t="s">
        <v>18</v>
      </c>
      <c r="J526" s="31"/>
      <c r="K526" s="32" t="s">
        <v>102</v>
      </c>
      <c r="L526" s="32" t="str">
        <f t="shared" si="20"/>
        <v>Documentation</v>
      </c>
      <c r="M526" s="111">
        <f>ROUND(Tableau1[[#This Row],[LEN]]*7.27,0)</f>
        <v>58</v>
      </c>
      <c r="N526" s="111">
        <v>15</v>
      </c>
      <c r="O526" s="128" t="str">
        <f t="shared" si="21"/>
        <v>_blank</v>
      </c>
      <c r="P526" s="111">
        <f>LEN(Tableau1[[#This Row],[LABEL]])</f>
        <v>8</v>
      </c>
      <c r="Q526" s="111">
        <v>15</v>
      </c>
      <c r="R526" s="111" t="e">
        <f>ROUND(Tableau1[[#This Row],[LEN]]*#REF!+#REF!,0)</f>
        <v>#REF!</v>
      </c>
    </row>
    <row r="527" spans="1:18" s="273" customFormat="1" hidden="1" x14ac:dyDescent="0.25">
      <c r="A527" s="288" t="s">
        <v>264</v>
      </c>
      <c r="B527" s="289" t="s">
        <v>206</v>
      </c>
      <c r="C527" s="425" t="s">
        <v>2150</v>
      </c>
      <c r="D527" s="290" t="s">
        <v>14</v>
      </c>
      <c r="E527" s="291" t="s">
        <v>1177</v>
      </c>
      <c r="F527" s="290" t="s">
        <v>678</v>
      </c>
      <c r="G527" s="290" t="s">
        <v>1177</v>
      </c>
      <c r="H527" s="291" t="s">
        <v>166</v>
      </c>
      <c r="I527" s="291" t="str">
        <f>IFERROR(IF(SEARCH(".00.00.00.00.00",Tableau1[[#This Row],[name]],1)=7,"Division",""),"")</f>
        <v>Division</v>
      </c>
      <c r="J527" s="290"/>
      <c r="K527" s="292" t="s">
        <v>724</v>
      </c>
      <c r="L527" s="292" t="str">
        <f t="shared" si="20"/>
        <v>Documentation</v>
      </c>
      <c r="M527" s="293">
        <f>ROUND(Tableau1[[#This Row],[LEN]]*7.27,0)</f>
        <v>240</v>
      </c>
      <c r="N527" s="293">
        <v>15</v>
      </c>
      <c r="O527" s="294" t="str">
        <f t="shared" si="21"/>
        <v>_blank</v>
      </c>
      <c r="P527" s="293">
        <f>LEN(Tableau1[[#This Row],[LABEL]])</f>
        <v>33</v>
      </c>
      <c r="Q527" s="293">
        <v>15</v>
      </c>
      <c r="R527" s="293" t="e">
        <f>ROUND(Tableau1[[#This Row],[LEN]]*#REF!+#REF!,0)</f>
        <v>#REF!</v>
      </c>
    </row>
    <row r="528" spans="1:18" s="97" customFormat="1" hidden="1" x14ac:dyDescent="0.25">
      <c r="A528" s="220" t="s">
        <v>1373</v>
      </c>
      <c r="B528" s="221" t="s">
        <v>264</v>
      </c>
      <c r="C528" s="425" t="s">
        <v>2150</v>
      </c>
      <c r="D528" s="222" t="s">
        <v>1168</v>
      </c>
      <c r="E528" s="70" t="s">
        <v>1177</v>
      </c>
      <c r="F528" s="229" t="s">
        <v>668</v>
      </c>
      <c r="G528" s="215" t="s">
        <v>1178</v>
      </c>
      <c r="H528" s="70" t="s">
        <v>166</v>
      </c>
      <c r="I528" s="223" t="s">
        <v>654</v>
      </c>
      <c r="J528" s="222"/>
      <c r="K528" s="224" t="s">
        <v>708</v>
      </c>
      <c r="L528" s="224" t="str">
        <f t="shared" si="20"/>
        <v>_</v>
      </c>
      <c r="M528" s="225">
        <f>ROUND(Tableau1[[#This Row],[LEN]]*7.27,0)</f>
        <v>262</v>
      </c>
      <c r="N528" s="225">
        <v>15</v>
      </c>
      <c r="O528" s="226" t="str">
        <f t="shared" si="21"/>
        <v>_self</v>
      </c>
      <c r="P528" s="225">
        <f>LEN(Tableau1[[#This Row],[LABEL]])</f>
        <v>36</v>
      </c>
      <c r="Q528" s="225">
        <v>15</v>
      </c>
      <c r="R528" s="225" t="e">
        <f>ROUND(Tableau1[[#This Row],[LEN]]*#REF!+#REF!,0)</f>
        <v>#REF!</v>
      </c>
    </row>
    <row r="529" spans="1:18" s="97" customFormat="1" hidden="1" x14ac:dyDescent="0.25">
      <c r="A529" s="220" t="s">
        <v>1374</v>
      </c>
      <c r="B529" s="221" t="s">
        <v>264</v>
      </c>
      <c r="C529" s="425" t="s">
        <v>2150</v>
      </c>
      <c r="D529" s="222" t="s">
        <v>1337</v>
      </c>
      <c r="E529" s="70" t="s">
        <v>1338</v>
      </c>
      <c r="F529" s="229" t="s">
        <v>676</v>
      </c>
      <c r="G529" s="215" t="s">
        <v>1339</v>
      </c>
      <c r="H529" s="70" t="s">
        <v>166</v>
      </c>
      <c r="I529" s="223" t="s">
        <v>656</v>
      </c>
      <c r="J529" s="222"/>
      <c r="K529" s="224" t="s">
        <v>708</v>
      </c>
      <c r="L529" s="224" t="str">
        <f t="shared" si="20"/>
        <v>_</v>
      </c>
      <c r="M529" s="225">
        <f>ROUND(Tableau1[[#This Row],[LEN]]*7.27,0)</f>
        <v>378</v>
      </c>
      <c r="N529" s="225">
        <v>15</v>
      </c>
      <c r="O529" s="226" t="str">
        <f t="shared" si="21"/>
        <v>_self</v>
      </c>
      <c r="P529" s="225">
        <f>LEN(Tableau1[[#This Row],[LABEL]])</f>
        <v>52</v>
      </c>
      <c r="Q529" s="225">
        <v>15</v>
      </c>
      <c r="R529" s="225" t="e">
        <f>ROUND(Tableau1[[#This Row],[LEN]]*#REF!+#REF!,0)</f>
        <v>#REF!</v>
      </c>
    </row>
    <row r="530" spans="1:18" s="97" customFormat="1" hidden="1" x14ac:dyDescent="0.25">
      <c r="A530" s="220" t="s">
        <v>1375</v>
      </c>
      <c r="B530" s="221" t="s">
        <v>264</v>
      </c>
      <c r="C530" s="425" t="s">
        <v>2150</v>
      </c>
      <c r="D530" s="222" t="s">
        <v>138</v>
      </c>
      <c r="E530" s="70" t="s">
        <v>1177</v>
      </c>
      <c r="F530" s="229" t="s">
        <v>669</v>
      </c>
      <c r="G530" s="215" t="s">
        <v>678</v>
      </c>
      <c r="H530" s="70" t="s">
        <v>166</v>
      </c>
      <c r="I530" s="223" t="s">
        <v>655</v>
      </c>
      <c r="J530" s="222"/>
      <c r="K530" s="224" t="s">
        <v>708</v>
      </c>
      <c r="L530" s="224" t="str">
        <f t="shared" si="20"/>
        <v>_</v>
      </c>
      <c r="M530" s="225">
        <f>ROUND(Tableau1[[#This Row],[LEN]]*7.27,0)</f>
        <v>225</v>
      </c>
      <c r="N530" s="225">
        <v>15</v>
      </c>
      <c r="O530" s="226" t="str">
        <f t="shared" si="21"/>
        <v>_self</v>
      </c>
      <c r="P530" s="225">
        <f>LEN(Tableau1[[#This Row],[LABEL]])</f>
        <v>31</v>
      </c>
      <c r="Q530" s="225">
        <v>15</v>
      </c>
      <c r="R530" s="225" t="e">
        <f>ROUND(Tableau1[[#This Row],[LEN]]*#REF!+#REF!,0)</f>
        <v>#REF!</v>
      </c>
    </row>
    <row r="531" spans="1:18" s="97" customFormat="1" hidden="1" x14ac:dyDescent="0.25">
      <c r="A531" s="29" t="s">
        <v>1392</v>
      </c>
      <c r="B531" s="30" t="s">
        <v>1375</v>
      </c>
      <c r="C531" s="425" t="s">
        <v>2150</v>
      </c>
      <c r="D531" s="31" t="s">
        <v>139</v>
      </c>
      <c r="E531" s="71" t="s">
        <v>1177</v>
      </c>
      <c r="F531" s="31" t="s">
        <v>669</v>
      </c>
      <c r="G531" s="31" t="s">
        <v>678</v>
      </c>
      <c r="H531" s="71" t="s">
        <v>166</v>
      </c>
      <c r="I531" s="71" t="s">
        <v>654</v>
      </c>
      <c r="J531" s="31"/>
      <c r="K531" s="32" t="s">
        <v>708</v>
      </c>
      <c r="L531" s="32" t="str">
        <f t="shared" si="20"/>
        <v>_</v>
      </c>
      <c r="M531" s="111">
        <f>ROUND(Tableau1[[#This Row],[LEN]]*7.27,0)</f>
        <v>327</v>
      </c>
      <c r="N531" s="111">
        <v>15</v>
      </c>
      <c r="O531" s="128" t="str">
        <f t="shared" si="21"/>
        <v>_self</v>
      </c>
      <c r="P531" s="111">
        <f>LEN(Tableau1[[#This Row],[LABEL]])</f>
        <v>45</v>
      </c>
      <c r="Q531" s="111">
        <v>15</v>
      </c>
      <c r="R531" s="111" t="e">
        <f>ROUND(Tableau1[[#This Row],[LEN]]*#REF!+#REF!,0)</f>
        <v>#REF!</v>
      </c>
    </row>
    <row r="532" spans="1:18" s="97" customFormat="1" hidden="1" x14ac:dyDescent="0.25">
      <c r="A532" s="29" t="s">
        <v>1393</v>
      </c>
      <c r="B532" s="30" t="s">
        <v>1375</v>
      </c>
      <c r="C532" s="425" t="s">
        <v>2150</v>
      </c>
      <c r="D532" s="31" t="s">
        <v>140</v>
      </c>
      <c r="E532" s="71" t="s">
        <v>1177</v>
      </c>
      <c r="F532" s="31" t="s">
        <v>669</v>
      </c>
      <c r="G532" s="31" t="s">
        <v>678</v>
      </c>
      <c r="H532" s="71" t="s">
        <v>166</v>
      </c>
      <c r="I532" s="71" t="s">
        <v>654</v>
      </c>
      <c r="J532" s="31"/>
      <c r="K532" s="32" t="s">
        <v>708</v>
      </c>
      <c r="L532" s="32" t="str">
        <f t="shared" si="20"/>
        <v>_</v>
      </c>
      <c r="M532" s="111">
        <f>ROUND(Tableau1[[#This Row],[LEN]]*7.27,0)</f>
        <v>385</v>
      </c>
      <c r="N532" s="111">
        <v>15</v>
      </c>
      <c r="O532" s="128" t="str">
        <f t="shared" si="21"/>
        <v>_self</v>
      </c>
      <c r="P532" s="111">
        <f>LEN(Tableau1[[#This Row],[LABEL]])</f>
        <v>53</v>
      </c>
      <c r="Q532" s="111">
        <v>15</v>
      </c>
      <c r="R532" s="111" t="e">
        <f>ROUND(Tableau1[[#This Row],[LEN]]*#REF!+#REF!,0)</f>
        <v>#REF!</v>
      </c>
    </row>
    <row r="533" spans="1:18" s="97" customFormat="1" hidden="1" x14ac:dyDescent="0.25">
      <c r="A533" s="29" t="s">
        <v>1394</v>
      </c>
      <c r="B533" s="30" t="s">
        <v>1375</v>
      </c>
      <c r="C533" s="425" t="s">
        <v>2150</v>
      </c>
      <c r="D533" s="31" t="s">
        <v>141</v>
      </c>
      <c r="E533" s="71" t="s">
        <v>1177</v>
      </c>
      <c r="F533" s="31" t="s">
        <v>669</v>
      </c>
      <c r="G533" s="31" t="s">
        <v>678</v>
      </c>
      <c r="H533" s="71" t="s">
        <v>166</v>
      </c>
      <c r="I533" s="71" t="s">
        <v>17</v>
      </c>
      <c r="J533" s="31"/>
      <c r="K533" s="32" t="s">
        <v>708</v>
      </c>
      <c r="L533" s="32" t="str">
        <f t="shared" si="20"/>
        <v>_</v>
      </c>
      <c r="M533" s="111">
        <f>ROUND(Tableau1[[#This Row],[LEN]]*7.27,0)</f>
        <v>313</v>
      </c>
      <c r="N533" s="111">
        <v>15</v>
      </c>
      <c r="O533" s="128" t="str">
        <f t="shared" si="21"/>
        <v>_self</v>
      </c>
      <c r="P533" s="111">
        <f>LEN(Tableau1[[#This Row],[LABEL]])</f>
        <v>43</v>
      </c>
      <c r="Q533" s="111">
        <v>15</v>
      </c>
      <c r="R533" s="111" t="e">
        <f>ROUND(Tableau1[[#This Row],[LEN]]*#REF!+#REF!,0)</f>
        <v>#REF!</v>
      </c>
    </row>
    <row r="534" spans="1:18" s="97" customFormat="1" x14ac:dyDescent="0.25">
      <c r="A534" s="220" t="s">
        <v>1376</v>
      </c>
      <c r="B534" s="221" t="s">
        <v>264</v>
      </c>
      <c r="C534" s="425" t="s">
        <v>2150</v>
      </c>
      <c r="D534" s="447" t="s">
        <v>483</v>
      </c>
      <c r="E534" s="70" t="s">
        <v>1177</v>
      </c>
      <c r="F534" s="229" t="s">
        <v>672</v>
      </c>
      <c r="G534" s="215" t="s">
        <v>678</v>
      </c>
      <c r="H534" s="70" t="s">
        <v>166</v>
      </c>
      <c r="I534" s="223" t="s">
        <v>655</v>
      </c>
      <c r="J534" s="222"/>
      <c r="K534" s="224" t="s">
        <v>708</v>
      </c>
      <c r="L534" s="224" t="str">
        <f t="shared" ref="L534:L597" si="22">IF(K534="javascript:void(0)","_","Documentation")</f>
        <v>_</v>
      </c>
      <c r="M534" s="225">
        <f>ROUND(Tableau1[[#This Row],[LEN]]*7.27,0)</f>
        <v>247</v>
      </c>
      <c r="N534" s="225">
        <v>15</v>
      </c>
      <c r="O534" s="226" t="str">
        <f t="shared" si="21"/>
        <v>_self</v>
      </c>
      <c r="P534" s="225">
        <f>LEN(Tableau1[[#This Row],[LABEL]])</f>
        <v>34</v>
      </c>
      <c r="Q534" s="225">
        <v>15</v>
      </c>
      <c r="R534" s="225" t="e">
        <f>ROUND(Tableau1[[#This Row],[LEN]]*#REF!+#REF!,0)</f>
        <v>#REF!</v>
      </c>
    </row>
    <row r="535" spans="1:18" s="97" customFormat="1" x14ac:dyDescent="0.25">
      <c r="A535" s="29" t="s">
        <v>1396</v>
      </c>
      <c r="B535" s="30" t="s">
        <v>1376</v>
      </c>
      <c r="C535" s="425" t="s">
        <v>2150</v>
      </c>
      <c r="D535" s="446" t="s">
        <v>498</v>
      </c>
      <c r="E535" s="71" t="s">
        <v>1177</v>
      </c>
      <c r="F535" s="31" t="s">
        <v>672</v>
      </c>
      <c r="G535" s="31" t="s">
        <v>678</v>
      </c>
      <c r="H535" s="71" t="s">
        <v>166</v>
      </c>
      <c r="I535" s="71" t="s">
        <v>656</v>
      </c>
      <c r="J535" s="31"/>
      <c r="K535" s="32" t="s">
        <v>708</v>
      </c>
      <c r="L535" s="32" t="str">
        <f t="shared" si="22"/>
        <v>_</v>
      </c>
      <c r="M535" s="111">
        <f>ROUND(Tableau1[[#This Row],[LEN]]*7.27,0)</f>
        <v>349</v>
      </c>
      <c r="N535" s="111">
        <v>15</v>
      </c>
      <c r="O535" s="128" t="str">
        <f t="shared" ref="O535:O598" si="23">IF(K535="javascript:void(0)","_self","_blank")</f>
        <v>_self</v>
      </c>
      <c r="P535" s="111">
        <f>LEN(Tableau1[[#This Row],[LABEL]])</f>
        <v>48</v>
      </c>
      <c r="Q535" s="111">
        <v>15</v>
      </c>
      <c r="R535" s="111" t="e">
        <f>ROUND(Tableau1[[#This Row],[LEN]]*#REF!+#REF!,0)</f>
        <v>#REF!</v>
      </c>
    </row>
    <row r="536" spans="1:18" s="97" customFormat="1" x14ac:dyDescent="0.25">
      <c r="A536" s="29" t="s">
        <v>1397</v>
      </c>
      <c r="B536" s="30" t="s">
        <v>1376</v>
      </c>
      <c r="C536" s="425" t="s">
        <v>2150</v>
      </c>
      <c r="D536" s="446" t="s">
        <v>499</v>
      </c>
      <c r="E536" s="71" t="s">
        <v>1177</v>
      </c>
      <c r="F536" s="31" t="s">
        <v>672</v>
      </c>
      <c r="G536" s="31" t="s">
        <v>678</v>
      </c>
      <c r="H536" s="71" t="s">
        <v>166</v>
      </c>
      <c r="I536" s="71" t="s">
        <v>570</v>
      </c>
      <c r="J536" s="31"/>
      <c r="K536" s="32" t="s">
        <v>708</v>
      </c>
      <c r="L536" s="32" t="str">
        <f t="shared" si="22"/>
        <v>_</v>
      </c>
      <c r="M536" s="111">
        <f>ROUND(Tableau1[[#This Row],[LEN]]*7.27,0)</f>
        <v>225</v>
      </c>
      <c r="N536" s="111">
        <v>15</v>
      </c>
      <c r="O536" s="128" t="str">
        <f t="shared" si="23"/>
        <v>_self</v>
      </c>
      <c r="P536" s="111">
        <f>LEN(Tableau1[[#This Row],[LABEL]])</f>
        <v>31</v>
      </c>
      <c r="Q536" s="111">
        <v>15</v>
      </c>
      <c r="R536" s="111" t="e">
        <f>ROUND(Tableau1[[#This Row],[LEN]]*#REF!+#REF!,0)</f>
        <v>#REF!</v>
      </c>
    </row>
    <row r="537" spans="1:18" s="97" customFormat="1" x14ac:dyDescent="0.25">
      <c r="A537" s="29" t="s">
        <v>1398</v>
      </c>
      <c r="B537" s="30" t="s">
        <v>1376</v>
      </c>
      <c r="C537" s="425" t="s">
        <v>2150</v>
      </c>
      <c r="D537" s="446" t="s">
        <v>500</v>
      </c>
      <c r="E537" s="71" t="s">
        <v>1177</v>
      </c>
      <c r="F537" s="31" t="s">
        <v>672</v>
      </c>
      <c r="G537" s="31" t="s">
        <v>678</v>
      </c>
      <c r="H537" s="71" t="s">
        <v>166</v>
      </c>
      <c r="I537" s="71" t="s">
        <v>656</v>
      </c>
      <c r="J537" s="31"/>
      <c r="K537" s="32" t="s">
        <v>708</v>
      </c>
      <c r="L537" s="32" t="str">
        <f t="shared" si="22"/>
        <v>_</v>
      </c>
      <c r="M537" s="111">
        <f>ROUND(Tableau1[[#This Row],[LEN]]*7.27,0)</f>
        <v>254</v>
      </c>
      <c r="N537" s="111">
        <v>15</v>
      </c>
      <c r="O537" s="128" t="str">
        <f t="shared" si="23"/>
        <v>_self</v>
      </c>
      <c r="P537" s="111">
        <f>LEN(Tableau1[[#This Row],[LABEL]])</f>
        <v>35</v>
      </c>
      <c r="Q537" s="111">
        <v>15</v>
      </c>
      <c r="R537" s="111" t="e">
        <f>ROUND(Tableau1[[#This Row],[LEN]]*#REF!+#REF!,0)</f>
        <v>#REF!</v>
      </c>
    </row>
    <row r="538" spans="1:18" s="97" customFormat="1" x14ac:dyDescent="0.25">
      <c r="A538" s="29" t="s">
        <v>1399</v>
      </c>
      <c r="B538" s="30" t="s">
        <v>1376</v>
      </c>
      <c r="C538" s="425" t="s">
        <v>2150</v>
      </c>
      <c r="D538" s="446" t="s">
        <v>501</v>
      </c>
      <c r="E538" s="71" t="s">
        <v>1177</v>
      </c>
      <c r="F538" s="31" t="s">
        <v>672</v>
      </c>
      <c r="G538" s="31" t="s">
        <v>678</v>
      </c>
      <c r="H538" s="71" t="s">
        <v>166</v>
      </c>
      <c r="I538" s="71" t="s">
        <v>656</v>
      </c>
      <c r="J538" s="31"/>
      <c r="K538" s="32" t="s">
        <v>708</v>
      </c>
      <c r="L538" s="32" t="str">
        <f t="shared" si="22"/>
        <v>_</v>
      </c>
      <c r="M538" s="111">
        <f>ROUND(Tableau1[[#This Row],[LEN]]*7.27,0)</f>
        <v>313</v>
      </c>
      <c r="N538" s="111">
        <v>15</v>
      </c>
      <c r="O538" s="128" t="str">
        <f t="shared" si="23"/>
        <v>_self</v>
      </c>
      <c r="P538" s="111">
        <f>LEN(Tableau1[[#This Row],[LABEL]])</f>
        <v>43</v>
      </c>
      <c r="Q538" s="111">
        <v>15</v>
      </c>
      <c r="R538" s="111" t="e">
        <f>ROUND(Tableau1[[#This Row],[LEN]]*#REF!+#REF!,0)</f>
        <v>#REF!</v>
      </c>
    </row>
    <row r="539" spans="1:18" s="97" customFormat="1" x14ac:dyDescent="0.25">
      <c r="A539" s="29" t="s">
        <v>1400</v>
      </c>
      <c r="B539" s="30" t="s">
        <v>1376</v>
      </c>
      <c r="C539" s="425" t="s">
        <v>2150</v>
      </c>
      <c r="D539" s="446" t="s">
        <v>502</v>
      </c>
      <c r="E539" s="71" t="s">
        <v>1177</v>
      </c>
      <c r="F539" s="31" t="s">
        <v>672</v>
      </c>
      <c r="G539" s="31" t="s">
        <v>678</v>
      </c>
      <c r="H539" s="71" t="s">
        <v>166</v>
      </c>
      <c r="I539" s="71" t="s">
        <v>654</v>
      </c>
      <c r="J539" s="31"/>
      <c r="K539" s="32" t="s">
        <v>708</v>
      </c>
      <c r="L539" s="32" t="str">
        <f t="shared" si="22"/>
        <v>_</v>
      </c>
      <c r="M539" s="111">
        <f>ROUND(Tableau1[[#This Row],[LEN]]*7.27,0)</f>
        <v>247</v>
      </c>
      <c r="N539" s="111">
        <v>15</v>
      </c>
      <c r="O539" s="128" t="str">
        <f t="shared" si="23"/>
        <v>_self</v>
      </c>
      <c r="P539" s="111">
        <f>LEN(Tableau1[[#This Row],[LABEL]])</f>
        <v>34</v>
      </c>
      <c r="Q539" s="111">
        <v>15</v>
      </c>
      <c r="R539" s="111" t="e">
        <f>ROUND(Tableau1[[#This Row],[LEN]]*#REF!+#REF!,0)</f>
        <v>#REF!</v>
      </c>
    </row>
    <row r="540" spans="1:18" s="97" customFormat="1" x14ac:dyDescent="0.25">
      <c r="A540" s="29" t="s">
        <v>1401</v>
      </c>
      <c r="B540" s="30" t="s">
        <v>1376</v>
      </c>
      <c r="C540" s="425" t="s">
        <v>2150</v>
      </c>
      <c r="D540" s="446" t="s">
        <v>503</v>
      </c>
      <c r="E540" s="71" t="s">
        <v>1177</v>
      </c>
      <c r="F540" s="31" t="s">
        <v>672</v>
      </c>
      <c r="G540" s="31" t="s">
        <v>678</v>
      </c>
      <c r="H540" s="71" t="s">
        <v>166</v>
      </c>
      <c r="I540" s="71" t="s">
        <v>656</v>
      </c>
      <c r="J540" s="31"/>
      <c r="K540" s="32" t="s">
        <v>708</v>
      </c>
      <c r="L540" s="32" t="str">
        <f t="shared" si="22"/>
        <v>_</v>
      </c>
      <c r="M540" s="111">
        <f>ROUND(Tableau1[[#This Row],[LEN]]*7.27,0)</f>
        <v>371</v>
      </c>
      <c r="N540" s="111">
        <v>15</v>
      </c>
      <c r="O540" s="128" t="str">
        <f t="shared" si="23"/>
        <v>_self</v>
      </c>
      <c r="P540" s="111">
        <f>LEN(Tableau1[[#This Row],[LABEL]])</f>
        <v>51</v>
      </c>
      <c r="Q540" s="111">
        <v>15</v>
      </c>
      <c r="R540" s="111" t="e">
        <f>ROUND(Tableau1[[#This Row],[LEN]]*#REF!+#REF!,0)</f>
        <v>#REF!</v>
      </c>
    </row>
    <row r="541" spans="1:18" s="97" customFormat="1" hidden="1" x14ac:dyDescent="0.25">
      <c r="A541" s="220" t="s">
        <v>1377</v>
      </c>
      <c r="B541" s="221" t="s">
        <v>264</v>
      </c>
      <c r="C541" s="425" t="s">
        <v>2150</v>
      </c>
      <c r="D541" s="222" t="s">
        <v>88</v>
      </c>
      <c r="E541" s="70" t="s">
        <v>1177</v>
      </c>
      <c r="F541" s="229" t="s">
        <v>667</v>
      </c>
      <c r="G541" s="215" t="s">
        <v>1218</v>
      </c>
      <c r="H541" s="70" t="s">
        <v>166</v>
      </c>
      <c r="I541" s="223" t="s">
        <v>570</v>
      </c>
      <c r="J541" s="222"/>
      <c r="K541" s="224" t="s">
        <v>708</v>
      </c>
      <c r="L541" s="224" t="str">
        <f t="shared" si="22"/>
        <v>_</v>
      </c>
      <c r="M541" s="225">
        <f>ROUND(Tableau1[[#This Row],[LEN]]*7.27,0)</f>
        <v>342</v>
      </c>
      <c r="N541" s="225">
        <v>15</v>
      </c>
      <c r="O541" s="226" t="str">
        <f t="shared" si="23"/>
        <v>_self</v>
      </c>
      <c r="P541" s="225">
        <f>LEN(Tableau1[[#This Row],[LABEL]])</f>
        <v>47</v>
      </c>
      <c r="Q541" s="225">
        <v>15</v>
      </c>
      <c r="R541" s="225" t="e">
        <f>ROUND(Tableau1[[#This Row],[LEN]]*#REF!+#REF!,0)</f>
        <v>#REF!</v>
      </c>
    </row>
    <row r="542" spans="1:18" s="97" customFormat="1" x14ac:dyDescent="0.25">
      <c r="A542" s="220" t="s">
        <v>1378</v>
      </c>
      <c r="B542" s="221" t="s">
        <v>264</v>
      </c>
      <c r="C542" s="425" t="s">
        <v>2150</v>
      </c>
      <c r="D542" s="447" t="s">
        <v>484</v>
      </c>
      <c r="E542" s="70" t="s">
        <v>1177</v>
      </c>
      <c r="F542" s="229" t="s">
        <v>672</v>
      </c>
      <c r="G542" s="215" t="s">
        <v>1285</v>
      </c>
      <c r="H542" s="70" t="s">
        <v>166</v>
      </c>
      <c r="I542" s="223" t="s">
        <v>655</v>
      </c>
      <c r="J542" s="222"/>
      <c r="K542" s="224" t="s">
        <v>727</v>
      </c>
      <c r="L542" s="224" t="str">
        <f t="shared" si="22"/>
        <v>Documentation</v>
      </c>
      <c r="M542" s="225">
        <f>ROUND(Tableau1[[#This Row],[LEN]]*7.27,0)</f>
        <v>80</v>
      </c>
      <c r="N542" s="225">
        <v>15</v>
      </c>
      <c r="O542" s="226" t="str">
        <f t="shared" si="23"/>
        <v>_blank</v>
      </c>
      <c r="P542" s="225">
        <f>LEN(Tableau1[[#This Row],[LABEL]])</f>
        <v>11</v>
      </c>
      <c r="Q542" s="225">
        <v>15</v>
      </c>
      <c r="R542" s="225" t="e">
        <f>ROUND(Tableau1[[#This Row],[LEN]]*#REF!+#REF!,0)</f>
        <v>#REF!</v>
      </c>
    </row>
    <row r="543" spans="1:18" s="97" customFormat="1" x14ac:dyDescent="0.25">
      <c r="A543" s="29" t="s">
        <v>1402</v>
      </c>
      <c r="B543" s="30" t="s">
        <v>1378</v>
      </c>
      <c r="C543" s="425" t="s">
        <v>2150</v>
      </c>
      <c r="D543" s="446" t="s">
        <v>505</v>
      </c>
      <c r="E543" s="71" t="s">
        <v>1177</v>
      </c>
      <c r="F543" s="31" t="s">
        <v>672</v>
      </c>
      <c r="G543" s="31" t="s">
        <v>1285</v>
      </c>
      <c r="H543" s="71" t="s">
        <v>166</v>
      </c>
      <c r="I543" s="71" t="s">
        <v>18</v>
      </c>
      <c r="J543" s="31"/>
      <c r="K543" s="32" t="s">
        <v>705</v>
      </c>
      <c r="L543" s="32" t="str">
        <f t="shared" si="22"/>
        <v>Documentation</v>
      </c>
      <c r="M543" s="111">
        <f>ROUND(Tableau1[[#This Row],[LEN]]*7.27,0)</f>
        <v>73</v>
      </c>
      <c r="N543" s="111">
        <v>15</v>
      </c>
      <c r="O543" s="128" t="str">
        <f t="shared" si="23"/>
        <v>_blank</v>
      </c>
      <c r="P543" s="111">
        <f>LEN(Tableau1[[#This Row],[LABEL]])</f>
        <v>10</v>
      </c>
      <c r="Q543" s="111">
        <v>15</v>
      </c>
      <c r="R543" s="111" t="e">
        <f>ROUND(Tableau1[[#This Row],[LEN]]*#REF!+#REF!,0)</f>
        <v>#REF!</v>
      </c>
    </row>
    <row r="544" spans="1:18" s="97" customFormat="1" x14ac:dyDescent="0.25">
      <c r="A544" s="29" t="s">
        <v>1403</v>
      </c>
      <c r="B544" s="30" t="s">
        <v>1378</v>
      </c>
      <c r="C544" s="425" t="s">
        <v>2150</v>
      </c>
      <c r="D544" s="446" t="s">
        <v>1284</v>
      </c>
      <c r="E544" s="71" t="s">
        <v>1177</v>
      </c>
      <c r="F544" s="31" t="s">
        <v>672</v>
      </c>
      <c r="G544" s="31" t="s">
        <v>1285</v>
      </c>
      <c r="H544" s="71" t="s">
        <v>166</v>
      </c>
      <c r="I544" s="71" t="s">
        <v>18</v>
      </c>
      <c r="J544" s="31"/>
      <c r="K544" s="32" t="s">
        <v>705</v>
      </c>
      <c r="L544" s="32" t="str">
        <f t="shared" si="22"/>
        <v>Documentation</v>
      </c>
      <c r="M544" s="111">
        <f>ROUND(Tableau1[[#This Row],[LEN]]*7.27,0)</f>
        <v>153</v>
      </c>
      <c r="N544" s="111">
        <v>15</v>
      </c>
      <c r="O544" s="128" t="str">
        <f t="shared" si="23"/>
        <v>_blank</v>
      </c>
      <c r="P544" s="111">
        <f>LEN(Tableau1[[#This Row],[LABEL]])</f>
        <v>21</v>
      </c>
      <c r="Q544" s="111">
        <v>15</v>
      </c>
      <c r="R544" s="111" t="e">
        <f>ROUND(Tableau1[[#This Row],[LEN]]*#REF!+#REF!,0)</f>
        <v>#REF!</v>
      </c>
    </row>
    <row r="545" spans="1:18" s="97" customFormat="1" hidden="1" x14ac:dyDescent="0.25">
      <c r="A545" s="220" t="s">
        <v>1379</v>
      </c>
      <c r="B545" s="221" t="s">
        <v>264</v>
      </c>
      <c r="C545" s="425" t="s">
        <v>2150</v>
      </c>
      <c r="D545" s="222" t="s">
        <v>1357</v>
      </c>
      <c r="E545" s="70" t="s">
        <v>1177</v>
      </c>
      <c r="F545" s="229" t="s">
        <v>673</v>
      </c>
      <c r="G545" s="215" t="s">
        <v>1249</v>
      </c>
      <c r="H545" s="70" t="s">
        <v>166</v>
      </c>
      <c r="I545" s="223" t="s">
        <v>655</v>
      </c>
      <c r="J545" s="222"/>
      <c r="K545" s="224" t="s">
        <v>708</v>
      </c>
      <c r="L545" s="224" t="str">
        <f t="shared" si="22"/>
        <v>_</v>
      </c>
      <c r="M545" s="225">
        <f>ROUND(Tableau1[[#This Row],[LEN]]*7.27,0)</f>
        <v>298</v>
      </c>
      <c r="N545" s="225">
        <v>15</v>
      </c>
      <c r="O545" s="226" t="str">
        <f t="shared" si="23"/>
        <v>_self</v>
      </c>
      <c r="P545" s="225">
        <f>LEN(Tableau1[[#This Row],[LABEL]])</f>
        <v>41</v>
      </c>
      <c r="Q545" s="225">
        <v>15</v>
      </c>
      <c r="R545" s="225" t="e">
        <f>ROUND(Tableau1[[#This Row],[LEN]]*#REF!+#REF!,0)</f>
        <v>#REF!</v>
      </c>
    </row>
    <row r="546" spans="1:18" s="97" customFormat="1" hidden="1" x14ac:dyDescent="0.25">
      <c r="A546" s="220" t="s">
        <v>1380</v>
      </c>
      <c r="B546" s="221" t="s">
        <v>264</v>
      </c>
      <c r="C546" s="425" t="s">
        <v>2150</v>
      </c>
      <c r="D546" s="222" t="s">
        <v>1404</v>
      </c>
      <c r="E546" s="70" t="s">
        <v>1177</v>
      </c>
      <c r="F546" s="229" t="s">
        <v>678</v>
      </c>
      <c r="G546" s="215" t="s">
        <v>1177</v>
      </c>
      <c r="H546" s="70" t="s">
        <v>166</v>
      </c>
      <c r="I546" s="223" t="s">
        <v>656</v>
      </c>
      <c r="J546" s="222"/>
      <c r="K546" s="224" t="s">
        <v>708</v>
      </c>
      <c r="L546" s="224" t="str">
        <f t="shared" si="22"/>
        <v>_</v>
      </c>
      <c r="M546" s="225">
        <f>ROUND(Tableau1[[#This Row],[LEN]]*7.27,0)</f>
        <v>371</v>
      </c>
      <c r="N546" s="225">
        <v>15</v>
      </c>
      <c r="O546" s="226" t="str">
        <f t="shared" si="23"/>
        <v>_self</v>
      </c>
      <c r="P546" s="225">
        <f>LEN(Tableau1[[#This Row],[LABEL]])</f>
        <v>51</v>
      </c>
      <c r="Q546" s="225">
        <v>15</v>
      </c>
      <c r="R546" s="225" t="e">
        <f>ROUND(Tableau1[[#This Row],[LEN]]*#REF!+#REF!,0)</f>
        <v>#REF!</v>
      </c>
    </row>
    <row r="547" spans="1:18" s="97" customFormat="1" hidden="1" x14ac:dyDescent="0.25">
      <c r="A547" s="220" t="s">
        <v>1381</v>
      </c>
      <c r="B547" s="221" t="s">
        <v>264</v>
      </c>
      <c r="C547" s="425" t="s">
        <v>2150</v>
      </c>
      <c r="D547" s="222" t="s">
        <v>1310</v>
      </c>
      <c r="E547" s="70" t="s">
        <v>1177</v>
      </c>
      <c r="F547" s="229" t="s">
        <v>675</v>
      </c>
      <c r="G547" s="215" t="s">
        <v>678</v>
      </c>
      <c r="H547" s="70" t="s">
        <v>166</v>
      </c>
      <c r="I547" s="223" t="s">
        <v>655</v>
      </c>
      <c r="J547" s="222"/>
      <c r="K547" s="224" t="s">
        <v>708</v>
      </c>
      <c r="L547" s="224" t="str">
        <f t="shared" si="22"/>
        <v>_</v>
      </c>
      <c r="M547" s="225">
        <f>ROUND(Tableau1[[#This Row],[LEN]]*7.27,0)</f>
        <v>233</v>
      </c>
      <c r="N547" s="225">
        <v>15</v>
      </c>
      <c r="O547" s="226" t="str">
        <f t="shared" si="23"/>
        <v>_self</v>
      </c>
      <c r="P547" s="225">
        <f>LEN(Tableau1[[#This Row],[LABEL]])</f>
        <v>32</v>
      </c>
      <c r="Q547" s="225">
        <v>15</v>
      </c>
      <c r="R547" s="225" t="e">
        <f>ROUND(Tableau1[[#This Row],[LEN]]*#REF!+#REF!,0)</f>
        <v>#REF!</v>
      </c>
    </row>
    <row r="548" spans="1:18" s="97" customFormat="1" hidden="1" x14ac:dyDescent="0.25">
      <c r="A548" s="220" t="s">
        <v>1382</v>
      </c>
      <c r="B548" s="221" t="s">
        <v>264</v>
      </c>
      <c r="C548" s="425" t="s">
        <v>2150</v>
      </c>
      <c r="D548" s="222" t="s">
        <v>1405</v>
      </c>
      <c r="E548" s="70" t="s">
        <v>1177</v>
      </c>
      <c r="F548" s="229" t="s">
        <v>675</v>
      </c>
      <c r="G548" s="215" t="s">
        <v>678</v>
      </c>
      <c r="H548" s="70" t="s">
        <v>166</v>
      </c>
      <c r="I548" s="223" t="s">
        <v>656</v>
      </c>
      <c r="J548" s="222"/>
      <c r="K548" s="224" t="s">
        <v>708</v>
      </c>
      <c r="L548" s="224" t="str">
        <f t="shared" si="22"/>
        <v>_</v>
      </c>
      <c r="M548" s="225">
        <f>ROUND(Tableau1[[#This Row],[LEN]]*7.27,0)</f>
        <v>443</v>
      </c>
      <c r="N548" s="225">
        <v>15</v>
      </c>
      <c r="O548" s="226" t="str">
        <f t="shared" si="23"/>
        <v>_self</v>
      </c>
      <c r="P548" s="225">
        <f>LEN(Tableau1[[#This Row],[LABEL]])</f>
        <v>61</v>
      </c>
      <c r="Q548" s="225">
        <v>15</v>
      </c>
      <c r="R548" s="225" t="e">
        <f>ROUND(Tableau1[[#This Row],[LEN]]*#REF!+#REF!,0)</f>
        <v>#REF!</v>
      </c>
    </row>
    <row r="549" spans="1:18" s="97" customFormat="1" hidden="1" x14ac:dyDescent="0.25">
      <c r="A549" s="220" t="s">
        <v>1383</v>
      </c>
      <c r="B549" s="221" t="s">
        <v>264</v>
      </c>
      <c r="C549" s="425" t="s">
        <v>2150</v>
      </c>
      <c r="D549" s="222" t="s">
        <v>1343</v>
      </c>
      <c r="E549" s="70" t="s">
        <v>1177</v>
      </c>
      <c r="F549" s="229" t="s">
        <v>676</v>
      </c>
      <c r="G549" s="215" t="s">
        <v>1339</v>
      </c>
      <c r="H549" s="70" t="s">
        <v>166</v>
      </c>
      <c r="I549" s="223" t="s">
        <v>654</v>
      </c>
      <c r="J549" s="222"/>
      <c r="K549" s="224" t="s">
        <v>708</v>
      </c>
      <c r="L549" s="224" t="str">
        <f t="shared" si="22"/>
        <v>_</v>
      </c>
      <c r="M549" s="225">
        <f>ROUND(Tableau1[[#This Row],[LEN]]*7.27,0)</f>
        <v>269</v>
      </c>
      <c r="N549" s="225">
        <v>15</v>
      </c>
      <c r="O549" s="226" t="str">
        <f t="shared" si="23"/>
        <v>_self</v>
      </c>
      <c r="P549" s="225">
        <f>LEN(Tableau1[[#This Row],[LABEL]])</f>
        <v>37</v>
      </c>
      <c r="Q549" s="225">
        <v>15</v>
      </c>
      <c r="R549" s="225" t="e">
        <f>ROUND(Tableau1[[#This Row],[LEN]]*#REF!+#REF!,0)</f>
        <v>#REF!</v>
      </c>
    </row>
    <row r="550" spans="1:18" s="97" customFormat="1" hidden="1" x14ac:dyDescent="0.25">
      <c r="A550" s="220" t="s">
        <v>1384</v>
      </c>
      <c r="B550" s="221" t="s">
        <v>264</v>
      </c>
      <c r="C550" s="425" t="s">
        <v>2150</v>
      </c>
      <c r="D550" s="222" t="s">
        <v>1154</v>
      </c>
      <c r="E550" s="70" t="s">
        <v>1177</v>
      </c>
      <c r="F550" s="229" t="s">
        <v>667</v>
      </c>
      <c r="G550" s="215" t="s">
        <v>1133</v>
      </c>
      <c r="H550" s="70" t="s">
        <v>166</v>
      </c>
      <c r="I550" s="223" t="s">
        <v>18</v>
      </c>
      <c r="J550" s="222"/>
      <c r="K550" s="224" t="s">
        <v>102</v>
      </c>
      <c r="L550" s="224" t="str">
        <f t="shared" si="22"/>
        <v>Documentation</v>
      </c>
      <c r="M550" s="225">
        <f>ROUND(Tableau1[[#This Row],[LEN]]*7.27,0)</f>
        <v>443</v>
      </c>
      <c r="N550" s="225">
        <v>15</v>
      </c>
      <c r="O550" s="226" t="str">
        <f t="shared" si="23"/>
        <v>_blank</v>
      </c>
      <c r="P550" s="225">
        <f>LEN(Tableau1[[#This Row],[LABEL]])</f>
        <v>61</v>
      </c>
      <c r="Q550" s="225">
        <v>15</v>
      </c>
      <c r="R550" s="225" t="e">
        <f>ROUND(Tableau1[[#This Row],[LEN]]*#REF!+#REF!,0)</f>
        <v>#REF!</v>
      </c>
    </row>
    <row r="551" spans="1:18" s="97" customFormat="1" hidden="1" x14ac:dyDescent="0.25">
      <c r="A551" s="220" t="s">
        <v>1385</v>
      </c>
      <c r="B551" s="221" t="s">
        <v>264</v>
      </c>
      <c r="C551" s="425" t="s">
        <v>2150</v>
      </c>
      <c r="D551" s="222" t="s">
        <v>778</v>
      </c>
      <c r="E551" s="70" t="s">
        <v>1177</v>
      </c>
      <c r="F551" s="229" t="s">
        <v>673</v>
      </c>
      <c r="G551" s="27" t="s">
        <v>2000</v>
      </c>
      <c r="H551" s="70" t="s">
        <v>166</v>
      </c>
      <c r="I551" s="223" t="s">
        <v>17</v>
      </c>
      <c r="J551" s="222"/>
      <c r="K551" s="224" t="s">
        <v>708</v>
      </c>
      <c r="L551" s="224" t="str">
        <f t="shared" si="22"/>
        <v>_</v>
      </c>
      <c r="M551" s="225">
        <f>ROUND(Tableau1[[#This Row],[LEN]]*7.27,0)</f>
        <v>211</v>
      </c>
      <c r="N551" s="225">
        <v>15</v>
      </c>
      <c r="O551" s="226" t="str">
        <f t="shared" si="23"/>
        <v>_self</v>
      </c>
      <c r="P551" s="225">
        <f>LEN(Tableau1[[#This Row],[LABEL]])</f>
        <v>29</v>
      </c>
      <c r="Q551" s="225">
        <v>15</v>
      </c>
      <c r="R551" s="225" t="e">
        <f>ROUND(Tableau1[[#This Row],[LEN]]*#REF!+#REF!,0)</f>
        <v>#REF!</v>
      </c>
    </row>
    <row r="552" spans="1:18" s="97" customFormat="1" hidden="1" x14ac:dyDescent="0.25">
      <c r="A552" s="220" t="s">
        <v>1386</v>
      </c>
      <c r="B552" s="221" t="s">
        <v>264</v>
      </c>
      <c r="C552" s="425" t="s">
        <v>2150</v>
      </c>
      <c r="D552" s="222" t="s">
        <v>91</v>
      </c>
      <c r="E552" s="70" t="s">
        <v>1177</v>
      </c>
      <c r="F552" s="229" t="s">
        <v>663</v>
      </c>
      <c r="G552" s="215" t="s">
        <v>2080</v>
      </c>
      <c r="H552" s="70" t="s">
        <v>166</v>
      </c>
      <c r="I552" s="223" t="s">
        <v>655</v>
      </c>
      <c r="J552" s="222"/>
      <c r="K552" s="224" t="s">
        <v>708</v>
      </c>
      <c r="L552" s="224" t="str">
        <f t="shared" si="22"/>
        <v>_</v>
      </c>
      <c r="M552" s="225">
        <f>ROUND(Tableau1[[#This Row],[LEN]]*7.27,0)</f>
        <v>269</v>
      </c>
      <c r="N552" s="225">
        <v>15</v>
      </c>
      <c r="O552" s="226" t="str">
        <f t="shared" si="23"/>
        <v>_self</v>
      </c>
      <c r="P552" s="225">
        <f>LEN(Tableau1[[#This Row],[LABEL]])</f>
        <v>37</v>
      </c>
      <c r="Q552" s="225">
        <v>15</v>
      </c>
      <c r="R552" s="225" t="e">
        <f>ROUND(Tableau1[[#This Row],[LEN]]*#REF!+#REF!,0)</f>
        <v>#REF!</v>
      </c>
    </row>
    <row r="553" spans="1:18" s="97" customFormat="1" hidden="1" x14ac:dyDescent="0.25">
      <c r="A553" s="29" t="s">
        <v>1406</v>
      </c>
      <c r="B553" s="30" t="s">
        <v>1386</v>
      </c>
      <c r="C553" s="425" t="s">
        <v>2150</v>
      </c>
      <c r="D553" s="31" t="s">
        <v>98</v>
      </c>
      <c r="E553" s="71" t="s">
        <v>1177</v>
      </c>
      <c r="F553" s="31" t="s">
        <v>663</v>
      </c>
      <c r="G553" s="31" t="s">
        <v>2080</v>
      </c>
      <c r="H553" s="71" t="s">
        <v>166</v>
      </c>
      <c r="I553" s="71" t="s">
        <v>18</v>
      </c>
      <c r="J553" s="31"/>
      <c r="K553" s="32" t="s">
        <v>708</v>
      </c>
      <c r="L553" s="32" t="str">
        <f t="shared" si="22"/>
        <v>_</v>
      </c>
      <c r="M553" s="111">
        <f>ROUND(Tableau1[[#This Row],[LEN]]*7.27,0)</f>
        <v>109</v>
      </c>
      <c r="N553" s="111">
        <v>15</v>
      </c>
      <c r="O553" s="128" t="str">
        <f t="shared" si="23"/>
        <v>_self</v>
      </c>
      <c r="P553" s="111">
        <f>LEN(Tableau1[[#This Row],[LABEL]])</f>
        <v>15</v>
      </c>
      <c r="Q553" s="111">
        <v>15</v>
      </c>
      <c r="R553" s="111" t="e">
        <f>ROUND(Tableau1[[#This Row],[LEN]]*#REF!+#REF!,0)</f>
        <v>#REF!</v>
      </c>
    </row>
    <row r="554" spans="1:18" s="97" customFormat="1" hidden="1" x14ac:dyDescent="0.25">
      <c r="A554" s="29" t="s">
        <v>1407</v>
      </c>
      <c r="B554" s="30" t="s">
        <v>1386</v>
      </c>
      <c r="C554" s="425" t="s">
        <v>2150</v>
      </c>
      <c r="D554" s="31" t="s">
        <v>99</v>
      </c>
      <c r="E554" s="71" t="s">
        <v>1177</v>
      </c>
      <c r="F554" s="31" t="s">
        <v>663</v>
      </c>
      <c r="G554" s="31" t="s">
        <v>2080</v>
      </c>
      <c r="H554" s="71" t="s">
        <v>166</v>
      </c>
      <c r="I554" s="71" t="s">
        <v>18</v>
      </c>
      <c r="J554" s="31"/>
      <c r="K554" s="32" t="s">
        <v>708</v>
      </c>
      <c r="L554" s="32" t="str">
        <f t="shared" si="22"/>
        <v>_</v>
      </c>
      <c r="M554" s="111">
        <f>ROUND(Tableau1[[#This Row],[LEN]]*7.27,0)</f>
        <v>80</v>
      </c>
      <c r="N554" s="111">
        <v>15</v>
      </c>
      <c r="O554" s="128" t="str">
        <f t="shared" si="23"/>
        <v>_self</v>
      </c>
      <c r="P554" s="111">
        <f>LEN(Tableau1[[#This Row],[LABEL]])</f>
        <v>11</v>
      </c>
      <c r="Q554" s="111">
        <v>15</v>
      </c>
      <c r="R554" s="111" t="e">
        <f>ROUND(Tableau1[[#This Row],[LEN]]*#REF!+#REF!,0)</f>
        <v>#REF!</v>
      </c>
    </row>
    <row r="555" spans="1:18" s="97" customFormat="1" hidden="1" x14ac:dyDescent="0.25">
      <c r="A555" s="220" t="s">
        <v>1387</v>
      </c>
      <c r="B555" s="221" t="s">
        <v>264</v>
      </c>
      <c r="C555" s="425" t="s">
        <v>2150</v>
      </c>
      <c r="D555" s="222" t="s">
        <v>1408</v>
      </c>
      <c r="E555" s="70" t="s">
        <v>1409</v>
      </c>
      <c r="F555" s="229" t="s">
        <v>678</v>
      </c>
      <c r="G555" s="215" t="s">
        <v>671</v>
      </c>
      <c r="H555" s="70" t="s">
        <v>166</v>
      </c>
      <c r="I555" s="223" t="s">
        <v>18</v>
      </c>
      <c r="J555" s="222"/>
      <c r="K555" s="224" t="s">
        <v>708</v>
      </c>
      <c r="L555" s="224" t="str">
        <f t="shared" si="22"/>
        <v>_</v>
      </c>
      <c r="M555" s="225">
        <f>ROUND(Tableau1[[#This Row],[LEN]]*7.27,0)</f>
        <v>364</v>
      </c>
      <c r="N555" s="225">
        <v>15</v>
      </c>
      <c r="O555" s="226" t="str">
        <f t="shared" si="23"/>
        <v>_self</v>
      </c>
      <c r="P555" s="225">
        <f>LEN(Tableau1[[#This Row],[LABEL]])</f>
        <v>50</v>
      </c>
      <c r="Q555" s="225">
        <v>15</v>
      </c>
      <c r="R555" s="225" t="e">
        <f>ROUND(Tableau1[[#This Row],[LEN]]*#REF!+#REF!,0)</f>
        <v>#REF!</v>
      </c>
    </row>
    <row r="556" spans="1:18" s="97" customFormat="1" hidden="1" x14ac:dyDescent="0.25">
      <c r="A556" s="220" t="s">
        <v>1388</v>
      </c>
      <c r="B556" s="221" t="s">
        <v>264</v>
      </c>
      <c r="C556" s="425" t="s">
        <v>2150</v>
      </c>
      <c r="D556" s="222" t="s">
        <v>1410</v>
      </c>
      <c r="E556" s="70" t="s">
        <v>1177</v>
      </c>
      <c r="F556" s="229" t="s">
        <v>678</v>
      </c>
      <c r="G556" s="215" t="s">
        <v>1177</v>
      </c>
      <c r="H556" s="70" t="s">
        <v>166</v>
      </c>
      <c r="I556" s="223" t="s">
        <v>570</v>
      </c>
      <c r="J556" s="222"/>
      <c r="K556" s="224" t="s">
        <v>708</v>
      </c>
      <c r="L556" s="224" t="str">
        <f t="shared" si="22"/>
        <v>_</v>
      </c>
      <c r="M556" s="225">
        <f>ROUND(Tableau1[[#This Row],[LEN]]*7.27,0)</f>
        <v>291</v>
      </c>
      <c r="N556" s="225">
        <v>15</v>
      </c>
      <c r="O556" s="226" t="str">
        <f t="shared" si="23"/>
        <v>_self</v>
      </c>
      <c r="P556" s="225">
        <f>LEN(Tableau1[[#This Row],[LABEL]])</f>
        <v>40</v>
      </c>
      <c r="Q556" s="225">
        <v>15</v>
      </c>
      <c r="R556" s="225" t="e">
        <f>ROUND(Tableau1[[#This Row],[LEN]]*#REF!+#REF!,0)</f>
        <v>#REF!</v>
      </c>
    </row>
    <row r="557" spans="1:18" s="97" customFormat="1" hidden="1" x14ac:dyDescent="0.25">
      <c r="A557" s="220" t="s">
        <v>1389</v>
      </c>
      <c r="B557" s="221" t="s">
        <v>264</v>
      </c>
      <c r="C557" s="425" t="s">
        <v>2150</v>
      </c>
      <c r="D557" s="222" t="s">
        <v>1411</v>
      </c>
      <c r="E557" s="70" t="s">
        <v>1177</v>
      </c>
      <c r="F557" s="229" t="s">
        <v>678</v>
      </c>
      <c r="G557" s="215" t="s">
        <v>1177</v>
      </c>
      <c r="H557" s="70" t="s">
        <v>166</v>
      </c>
      <c r="I557" s="223" t="s">
        <v>656</v>
      </c>
      <c r="J557" s="222"/>
      <c r="K557" s="224" t="s">
        <v>708</v>
      </c>
      <c r="L557" s="224" t="str">
        <f t="shared" si="22"/>
        <v>_</v>
      </c>
      <c r="M557" s="225">
        <f>ROUND(Tableau1[[#This Row],[LEN]]*7.27,0)</f>
        <v>473</v>
      </c>
      <c r="N557" s="225">
        <v>15</v>
      </c>
      <c r="O557" s="226" t="str">
        <f t="shared" si="23"/>
        <v>_self</v>
      </c>
      <c r="P557" s="225">
        <f>LEN(Tableau1[[#This Row],[LABEL]])</f>
        <v>65</v>
      </c>
      <c r="Q557" s="225">
        <v>15</v>
      </c>
      <c r="R557" s="225" t="e">
        <f>ROUND(Tableau1[[#This Row],[LEN]]*#REF!+#REF!,0)</f>
        <v>#REF!</v>
      </c>
    </row>
    <row r="558" spans="1:18" s="97" customFormat="1" hidden="1" x14ac:dyDescent="0.25">
      <c r="A558" s="220" t="s">
        <v>1390</v>
      </c>
      <c r="B558" s="221" t="s">
        <v>264</v>
      </c>
      <c r="C558" s="425" t="s">
        <v>2150</v>
      </c>
      <c r="D558" s="222" t="s">
        <v>1167</v>
      </c>
      <c r="E558" s="70" t="s">
        <v>486</v>
      </c>
      <c r="F558" s="229" t="s">
        <v>1085</v>
      </c>
      <c r="G558" s="215" t="s">
        <v>1084</v>
      </c>
      <c r="H558" s="70" t="s">
        <v>1977</v>
      </c>
      <c r="I558" s="223" t="s">
        <v>1131</v>
      </c>
      <c r="J558" s="222"/>
      <c r="K558" s="224" t="s">
        <v>708</v>
      </c>
      <c r="L558" s="224" t="str">
        <f t="shared" si="22"/>
        <v>_</v>
      </c>
      <c r="M558" s="225">
        <f>ROUND(Tableau1[[#This Row],[LEN]]*7.27,0)</f>
        <v>196</v>
      </c>
      <c r="N558" s="225">
        <v>15</v>
      </c>
      <c r="O558" s="226" t="str">
        <f t="shared" si="23"/>
        <v>_self</v>
      </c>
      <c r="P558" s="225">
        <f>LEN(Tableau1[[#This Row],[LABEL]])</f>
        <v>27</v>
      </c>
      <c r="Q558" s="225">
        <v>15</v>
      </c>
      <c r="R558" s="225" t="e">
        <f>ROUND(Tableau1[[#This Row],[LEN]]*#REF!+#REF!,0)</f>
        <v>#REF!</v>
      </c>
    </row>
    <row r="559" spans="1:18" s="97" customFormat="1" hidden="1" x14ac:dyDescent="0.25">
      <c r="A559" s="29" t="s">
        <v>1412</v>
      </c>
      <c r="B559" s="30" t="s">
        <v>1390</v>
      </c>
      <c r="C559" s="425" t="s">
        <v>2150</v>
      </c>
      <c r="D559" s="31" t="s">
        <v>93</v>
      </c>
      <c r="E559" s="71" t="s">
        <v>1177</v>
      </c>
      <c r="F559" s="31" t="s">
        <v>1085</v>
      </c>
      <c r="G559" s="31" t="s">
        <v>1084</v>
      </c>
      <c r="H559" s="71" t="s">
        <v>166</v>
      </c>
      <c r="I559" s="71" t="s">
        <v>18</v>
      </c>
      <c r="J559" s="31"/>
      <c r="K559" s="32" t="s">
        <v>101</v>
      </c>
      <c r="L559" s="32" t="str">
        <f t="shared" si="22"/>
        <v>Documentation</v>
      </c>
      <c r="M559" s="111">
        <f>ROUND(Tableau1[[#This Row],[LEN]]*7.27,0)</f>
        <v>109</v>
      </c>
      <c r="N559" s="111">
        <v>15</v>
      </c>
      <c r="O559" s="128" t="str">
        <f t="shared" si="23"/>
        <v>_blank</v>
      </c>
      <c r="P559" s="111">
        <f>LEN(Tableau1[[#This Row],[LABEL]])</f>
        <v>15</v>
      </c>
      <c r="Q559" s="111">
        <v>15</v>
      </c>
      <c r="R559" s="111" t="e">
        <f>ROUND(Tableau1[[#This Row],[LEN]]*#REF!+#REF!,0)</f>
        <v>#REF!</v>
      </c>
    </row>
    <row r="560" spans="1:18" s="97" customFormat="1" hidden="1" x14ac:dyDescent="0.25">
      <c r="A560" s="29" t="s">
        <v>1413</v>
      </c>
      <c r="B560" s="30" t="s">
        <v>1390</v>
      </c>
      <c r="C560" s="425" t="s">
        <v>2150</v>
      </c>
      <c r="D560" s="31" t="s">
        <v>94</v>
      </c>
      <c r="E560" s="71" t="s">
        <v>1177</v>
      </c>
      <c r="F560" s="31" t="s">
        <v>1085</v>
      </c>
      <c r="G560" s="31" t="s">
        <v>1084</v>
      </c>
      <c r="H560" s="71" t="s">
        <v>166</v>
      </c>
      <c r="I560" s="71" t="s">
        <v>18</v>
      </c>
      <c r="J560" s="31"/>
      <c r="K560" s="32" t="s">
        <v>102</v>
      </c>
      <c r="L560" s="32" t="str">
        <f t="shared" si="22"/>
        <v>Documentation</v>
      </c>
      <c r="M560" s="111">
        <f>ROUND(Tableau1[[#This Row],[LEN]]*7.27,0)</f>
        <v>58</v>
      </c>
      <c r="N560" s="111">
        <v>15</v>
      </c>
      <c r="O560" s="128" t="str">
        <f t="shared" si="23"/>
        <v>_blank</v>
      </c>
      <c r="P560" s="111">
        <f>LEN(Tableau1[[#This Row],[LABEL]])</f>
        <v>8</v>
      </c>
      <c r="Q560" s="111">
        <v>15</v>
      </c>
      <c r="R560" s="111" t="e">
        <f>ROUND(Tableau1[[#This Row],[LEN]]*#REF!+#REF!,0)</f>
        <v>#REF!</v>
      </c>
    </row>
    <row r="561" spans="1:18" s="273" customFormat="1" hidden="1" x14ac:dyDescent="0.25">
      <c r="A561" s="288" t="s">
        <v>265</v>
      </c>
      <c r="B561" s="289" t="s">
        <v>206</v>
      </c>
      <c r="C561" s="425" t="s">
        <v>2150</v>
      </c>
      <c r="D561" s="290" t="s">
        <v>15</v>
      </c>
      <c r="E561" s="291" t="s">
        <v>1177</v>
      </c>
      <c r="F561" s="290" t="s">
        <v>679</v>
      </c>
      <c r="G561" s="290" t="s">
        <v>1177</v>
      </c>
      <c r="H561" s="291" t="s">
        <v>166</v>
      </c>
      <c r="I561" s="291" t="str">
        <f>IFERROR(IF(SEARCH(".00.00.00.00.00",Tableau1[[#This Row],[name]],1)=7,"Division",""),"")</f>
        <v>Division</v>
      </c>
      <c r="J561" s="290"/>
      <c r="K561" s="292" t="s">
        <v>708</v>
      </c>
      <c r="L561" s="292" t="str">
        <f t="shared" si="22"/>
        <v>_</v>
      </c>
      <c r="M561" s="293">
        <f>ROUND(Tableau1[[#This Row],[LEN]]*7.27,0)</f>
        <v>174</v>
      </c>
      <c r="N561" s="293">
        <v>15</v>
      </c>
      <c r="O561" s="294" t="str">
        <f t="shared" si="23"/>
        <v>_self</v>
      </c>
      <c r="P561" s="293">
        <f>LEN(Tableau1[[#This Row],[LABEL]])</f>
        <v>24</v>
      </c>
      <c r="Q561" s="293">
        <v>15</v>
      </c>
      <c r="R561" s="293" t="e">
        <f>ROUND(Tableau1[[#This Row],[LEN]]*#REF!+#REF!,0)</f>
        <v>#REF!</v>
      </c>
    </row>
    <row r="562" spans="1:18" s="97" customFormat="1" hidden="1" x14ac:dyDescent="0.25">
      <c r="A562" s="220" t="s">
        <v>1414</v>
      </c>
      <c r="B562" s="221" t="s">
        <v>265</v>
      </c>
      <c r="C562" s="425" t="s">
        <v>2150</v>
      </c>
      <c r="D562" s="222" t="s">
        <v>88</v>
      </c>
      <c r="E562" s="70" t="s">
        <v>1177</v>
      </c>
      <c r="F562" s="229" t="s">
        <v>667</v>
      </c>
      <c r="G562" s="215" t="s">
        <v>1218</v>
      </c>
      <c r="H562" s="70" t="s">
        <v>166</v>
      </c>
      <c r="I562" s="223" t="s">
        <v>570</v>
      </c>
      <c r="J562" s="222"/>
      <c r="K562" s="224" t="s">
        <v>708</v>
      </c>
      <c r="L562" s="224" t="str">
        <f t="shared" si="22"/>
        <v>_</v>
      </c>
      <c r="M562" s="225">
        <f>ROUND(Tableau1[[#This Row],[LEN]]*7.27,0)</f>
        <v>342</v>
      </c>
      <c r="N562" s="225">
        <v>15</v>
      </c>
      <c r="O562" s="226" t="str">
        <f t="shared" si="23"/>
        <v>_self</v>
      </c>
      <c r="P562" s="225">
        <f>LEN(Tableau1[[#This Row],[LABEL]])</f>
        <v>47</v>
      </c>
      <c r="Q562" s="225">
        <v>15</v>
      </c>
      <c r="R562" s="225" t="e">
        <f>ROUND(Tableau1[[#This Row],[LEN]]*#REF!+#REF!,0)</f>
        <v>#REF!</v>
      </c>
    </row>
    <row r="563" spans="1:18" s="97" customFormat="1" hidden="1" x14ac:dyDescent="0.25">
      <c r="A563" s="220" t="s">
        <v>1415</v>
      </c>
      <c r="B563" s="221" t="s">
        <v>265</v>
      </c>
      <c r="C563" s="425" t="s">
        <v>2150</v>
      </c>
      <c r="D563" s="222" t="s">
        <v>1357</v>
      </c>
      <c r="E563" s="70" t="s">
        <v>1177</v>
      </c>
      <c r="F563" s="229" t="s">
        <v>673</v>
      </c>
      <c r="G563" s="215" t="s">
        <v>1249</v>
      </c>
      <c r="H563" s="70" t="s">
        <v>166</v>
      </c>
      <c r="I563" s="223" t="s">
        <v>655</v>
      </c>
      <c r="J563" s="222"/>
      <c r="K563" s="224" t="s">
        <v>708</v>
      </c>
      <c r="L563" s="224" t="str">
        <f t="shared" si="22"/>
        <v>_</v>
      </c>
      <c r="M563" s="225">
        <f>ROUND(Tableau1[[#This Row],[LEN]]*7.27,0)</f>
        <v>298</v>
      </c>
      <c r="N563" s="225">
        <v>15</v>
      </c>
      <c r="O563" s="226" t="str">
        <f t="shared" si="23"/>
        <v>_self</v>
      </c>
      <c r="P563" s="225">
        <f>LEN(Tableau1[[#This Row],[LABEL]])</f>
        <v>41</v>
      </c>
      <c r="Q563" s="225">
        <v>15</v>
      </c>
      <c r="R563" s="225" t="e">
        <f>ROUND(Tableau1[[#This Row],[LEN]]*#REF!+#REF!,0)</f>
        <v>#REF!</v>
      </c>
    </row>
    <row r="564" spans="1:18" s="97" customFormat="1" hidden="1" x14ac:dyDescent="0.25">
      <c r="A564" s="220" t="s">
        <v>1416</v>
      </c>
      <c r="B564" s="221" t="s">
        <v>265</v>
      </c>
      <c r="C564" s="425" t="s">
        <v>2150</v>
      </c>
      <c r="D564" s="222" t="s">
        <v>778</v>
      </c>
      <c r="E564" s="70" t="s">
        <v>1177</v>
      </c>
      <c r="F564" s="229" t="s">
        <v>673</v>
      </c>
      <c r="G564" s="27" t="s">
        <v>2000</v>
      </c>
      <c r="H564" s="70" t="s">
        <v>166</v>
      </c>
      <c r="I564" s="223" t="s">
        <v>17</v>
      </c>
      <c r="J564" s="222"/>
      <c r="K564" s="224" t="s">
        <v>708</v>
      </c>
      <c r="L564" s="224" t="str">
        <f t="shared" si="22"/>
        <v>_</v>
      </c>
      <c r="M564" s="225">
        <f>ROUND(Tableau1[[#This Row],[LEN]]*7.27,0)</f>
        <v>211</v>
      </c>
      <c r="N564" s="225">
        <v>15</v>
      </c>
      <c r="O564" s="226" t="str">
        <f t="shared" si="23"/>
        <v>_self</v>
      </c>
      <c r="P564" s="225">
        <f>LEN(Tableau1[[#This Row],[LABEL]])</f>
        <v>29</v>
      </c>
      <c r="Q564" s="225">
        <v>15</v>
      </c>
      <c r="R564" s="225" t="e">
        <f>ROUND(Tableau1[[#This Row],[LEN]]*#REF!+#REF!,0)</f>
        <v>#REF!</v>
      </c>
    </row>
    <row r="565" spans="1:18" s="97" customFormat="1" hidden="1" x14ac:dyDescent="0.25">
      <c r="A565" s="220" t="s">
        <v>1417</v>
      </c>
      <c r="B565" s="221" t="s">
        <v>265</v>
      </c>
      <c r="C565" s="425" t="s">
        <v>2150</v>
      </c>
      <c r="D565" s="222" t="s">
        <v>91</v>
      </c>
      <c r="E565" s="70" t="s">
        <v>1177</v>
      </c>
      <c r="F565" s="229" t="s">
        <v>663</v>
      </c>
      <c r="G565" s="215" t="s">
        <v>2080</v>
      </c>
      <c r="H565" s="70" t="s">
        <v>166</v>
      </c>
      <c r="I565" s="223" t="s">
        <v>655</v>
      </c>
      <c r="J565" s="222"/>
      <c r="K565" s="224" t="s">
        <v>708</v>
      </c>
      <c r="L565" s="224" t="str">
        <f t="shared" si="22"/>
        <v>_</v>
      </c>
      <c r="M565" s="225">
        <f>ROUND(Tableau1[[#This Row],[LEN]]*7.27,0)</f>
        <v>269</v>
      </c>
      <c r="N565" s="225">
        <v>15</v>
      </c>
      <c r="O565" s="226" t="str">
        <f t="shared" si="23"/>
        <v>_self</v>
      </c>
      <c r="P565" s="225">
        <f>LEN(Tableau1[[#This Row],[LABEL]])</f>
        <v>37</v>
      </c>
      <c r="Q565" s="225">
        <v>15</v>
      </c>
      <c r="R565" s="225" t="e">
        <f>ROUND(Tableau1[[#This Row],[LEN]]*#REF!+#REF!,0)</f>
        <v>#REF!</v>
      </c>
    </row>
    <row r="566" spans="1:18" s="97" customFormat="1" hidden="1" x14ac:dyDescent="0.25">
      <c r="A566" s="29" t="s">
        <v>1421</v>
      </c>
      <c r="B566" s="30" t="s">
        <v>1417</v>
      </c>
      <c r="C566" s="425" t="s">
        <v>2150</v>
      </c>
      <c r="D566" s="31" t="s">
        <v>98</v>
      </c>
      <c r="E566" s="71" t="s">
        <v>1177</v>
      </c>
      <c r="F566" s="31" t="s">
        <v>663</v>
      </c>
      <c r="G566" s="31" t="s">
        <v>2080</v>
      </c>
      <c r="H566" s="71" t="s">
        <v>166</v>
      </c>
      <c r="I566" s="71" t="s">
        <v>18</v>
      </c>
      <c r="J566" s="31"/>
      <c r="K566" s="32" t="s">
        <v>708</v>
      </c>
      <c r="L566" s="32" t="str">
        <f t="shared" si="22"/>
        <v>_</v>
      </c>
      <c r="M566" s="111">
        <f>ROUND(Tableau1[[#This Row],[LEN]]*7.27,0)</f>
        <v>109</v>
      </c>
      <c r="N566" s="111">
        <v>15</v>
      </c>
      <c r="O566" s="128" t="str">
        <f t="shared" si="23"/>
        <v>_self</v>
      </c>
      <c r="P566" s="111">
        <f>LEN(Tableau1[[#This Row],[LABEL]])</f>
        <v>15</v>
      </c>
      <c r="Q566" s="111">
        <v>15</v>
      </c>
      <c r="R566" s="111" t="e">
        <f>ROUND(Tableau1[[#This Row],[LEN]]*#REF!+#REF!,0)</f>
        <v>#REF!</v>
      </c>
    </row>
    <row r="567" spans="1:18" s="97" customFormat="1" hidden="1" x14ac:dyDescent="0.25">
      <c r="A567" s="29" t="s">
        <v>1422</v>
      </c>
      <c r="B567" s="30" t="s">
        <v>1417</v>
      </c>
      <c r="C567" s="425" t="s">
        <v>2150</v>
      </c>
      <c r="D567" s="31" t="s">
        <v>99</v>
      </c>
      <c r="E567" s="71" t="s">
        <v>1177</v>
      </c>
      <c r="F567" s="31" t="s">
        <v>663</v>
      </c>
      <c r="G567" s="31" t="s">
        <v>2080</v>
      </c>
      <c r="H567" s="71" t="s">
        <v>166</v>
      </c>
      <c r="I567" s="71" t="s">
        <v>18</v>
      </c>
      <c r="J567" s="31"/>
      <c r="K567" s="32" t="s">
        <v>708</v>
      </c>
      <c r="L567" s="32" t="str">
        <f t="shared" si="22"/>
        <v>_</v>
      </c>
      <c r="M567" s="111">
        <f>ROUND(Tableau1[[#This Row],[LEN]]*7.27,0)</f>
        <v>80</v>
      </c>
      <c r="N567" s="111">
        <v>15</v>
      </c>
      <c r="O567" s="128" t="str">
        <f t="shared" si="23"/>
        <v>_self</v>
      </c>
      <c r="P567" s="111">
        <f>LEN(Tableau1[[#This Row],[LABEL]])</f>
        <v>11</v>
      </c>
      <c r="Q567" s="111">
        <v>15</v>
      </c>
      <c r="R567" s="111" t="e">
        <f>ROUND(Tableau1[[#This Row],[LEN]]*#REF!+#REF!,0)</f>
        <v>#REF!</v>
      </c>
    </row>
    <row r="568" spans="1:18" s="97" customFormat="1" hidden="1" x14ac:dyDescent="0.25">
      <c r="A568" s="220" t="s">
        <v>1418</v>
      </c>
      <c r="B568" s="221" t="s">
        <v>265</v>
      </c>
      <c r="C568" s="425" t="s">
        <v>2150</v>
      </c>
      <c r="D568" s="222" t="s">
        <v>1423</v>
      </c>
      <c r="E568" s="70" t="s">
        <v>1177</v>
      </c>
      <c r="F568" s="229" t="s">
        <v>679</v>
      </c>
      <c r="G568" s="215" t="s">
        <v>1177</v>
      </c>
      <c r="H568" s="70" t="s">
        <v>166</v>
      </c>
      <c r="I568" s="223" t="s">
        <v>656</v>
      </c>
      <c r="J568" s="222"/>
      <c r="K568" s="224" t="s">
        <v>708</v>
      </c>
      <c r="L568" s="224" t="str">
        <f t="shared" si="22"/>
        <v>_</v>
      </c>
      <c r="M568" s="225">
        <f>ROUND(Tableau1[[#This Row],[LEN]]*7.27,0)</f>
        <v>87</v>
      </c>
      <c r="N568" s="225">
        <v>15</v>
      </c>
      <c r="O568" s="226" t="str">
        <f t="shared" si="23"/>
        <v>_self</v>
      </c>
      <c r="P568" s="225">
        <f>LEN(Tableau1[[#This Row],[LABEL]])</f>
        <v>12</v>
      </c>
      <c r="Q568" s="225">
        <v>15</v>
      </c>
      <c r="R568" s="225" t="e">
        <f>ROUND(Tableau1[[#This Row],[LEN]]*#REF!+#REF!,0)</f>
        <v>#REF!</v>
      </c>
    </row>
    <row r="569" spans="1:18" s="97" customFormat="1" hidden="1" x14ac:dyDescent="0.25">
      <c r="A569" s="220" t="s">
        <v>1419</v>
      </c>
      <c r="B569" s="221" t="s">
        <v>265</v>
      </c>
      <c r="C569" s="425" t="s">
        <v>2150</v>
      </c>
      <c r="D569" s="222" t="s">
        <v>1424</v>
      </c>
      <c r="E569" s="70" t="s">
        <v>1177</v>
      </c>
      <c r="F569" s="229" t="s">
        <v>679</v>
      </c>
      <c r="G569" s="215" t="s">
        <v>1177</v>
      </c>
      <c r="H569" s="70" t="s">
        <v>166</v>
      </c>
      <c r="I569" s="223" t="s">
        <v>18</v>
      </c>
      <c r="J569" s="222"/>
      <c r="K569" s="224" t="s">
        <v>708</v>
      </c>
      <c r="L569" s="224" t="str">
        <f t="shared" si="22"/>
        <v>_</v>
      </c>
      <c r="M569" s="225">
        <f>ROUND(Tableau1[[#This Row],[LEN]]*7.27,0)</f>
        <v>320</v>
      </c>
      <c r="N569" s="225">
        <v>15</v>
      </c>
      <c r="O569" s="226" t="str">
        <f t="shared" si="23"/>
        <v>_self</v>
      </c>
      <c r="P569" s="225">
        <f>LEN(Tableau1[[#This Row],[LABEL]])</f>
        <v>44</v>
      </c>
      <c r="Q569" s="225">
        <v>15</v>
      </c>
      <c r="R569" s="225" t="e">
        <f>ROUND(Tableau1[[#This Row],[LEN]]*#REF!+#REF!,0)</f>
        <v>#REF!</v>
      </c>
    </row>
    <row r="570" spans="1:18" s="97" customFormat="1" hidden="1" x14ac:dyDescent="0.25">
      <c r="A570" s="220" t="s">
        <v>1420</v>
      </c>
      <c r="B570" s="221" t="s">
        <v>265</v>
      </c>
      <c r="C570" s="425" t="s">
        <v>2150</v>
      </c>
      <c r="D570" s="222" t="s">
        <v>1167</v>
      </c>
      <c r="E570" s="70" t="s">
        <v>486</v>
      </c>
      <c r="F570" s="229" t="s">
        <v>1085</v>
      </c>
      <c r="G570" s="215" t="s">
        <v>1084</v>
      </c>
      <c r="H570" s="70" t="s">
        <v>1977</v>
      </c>
      <c r="I570" s="223" t="s">
        <v>1131</v>
      </c>
      <c r="J570" s="222"/>
      <c r="K570" s="224" t="s">
        <v>708</v>
      </c>
      <c r="L570" s="224" t="str">
        <f t="shared" si="22"/>
        <v>_</v>
      </c>
      <c r="M570" s="225">
        <f>ROUND(Tableau1[[#This Row],[LEN]]*7.27,0)</f>
        <v>196</v>
      </c>
      <c r="N570" s="225">
        <v>15</v>
      </c>
      <c r="O570" s="226" t="str">
        <f t="shared" si="23"/>
        <v>_self</v>
      </c>
      <c r="P570" s="225">
        <f>LEN(Tableau1[[#This Row],[LABEL]])</f>
        <v>27</v>
      </c>
      <c r="Q570" s="225">
        <v>15</v>
      </c>
      <c r="R570" s="225" t="e">
        <f>ROUND(Tableau1[[#This Row],[LEN]]*#REF!+#REF!,0)</f>
        <v>#REF!</v>
      </c>
    </row>
    <row r="571" spans="1:18" s="97" customFormat="1" hidden="1" x14ac:dyDescent="0.25">
      <c r="A571" s="29" t="s">
        <v>1425</v>
      </c>
      <c r="B571" s="30" t="s">
        <v>1420</v>
      </c>
      <c r="C571" s="425" t="s">
        <v>2150</v>
      </c>
      <c r="D571" s="31" t="s">
        <v>93</v>
      </c>
      <c r="E571" s="71" t="s">
        <v>1177</v>
      </c>
      <c r="F571" s="31" t="s">
        <v>1085</v>
      </c>
      <c r="G571" s="31" t="s">
        <v>1084</v>
      </c>
      <c r="H571" s="71" t="s">
        <v>166</v>
      </c>
      <c r="I571" s="71" t="s">
        <v>18</v>
      </c>
      <c r="J571" s="31"/>
      <c r="K571" s="32" t="s">
        <v>101</v>
      </c>
      <c r="L571" s="32" t="str">
        <f t="shared" si="22"/>
        <v>Documentation</v>
      </c>
      <c r="M571" s="111">
        <f>ROUND(Tableau1[[#This Row],[LEN]]*7.27,0)</f>
        <v>109</v>
      </c>
      <c r="N571" s="111">
        <v>15</v>
      </c>
      <c r="O571" s="128" t="str">
        <f t="shared" si="23"/>
        <v>_blank</v>
      </c>
      <c r="P571" s="111">
        <f>LEN(Tableau1[[#This Row],[LABEL]])</f>
        <v>15</v>
      </c>
      <c r="Q571" s="111">
        <v>15</v>
      </c>
      <c r="R571" s="111" t="e">
        <f>ROUND(Tableau1[[#This Row],[LEN]]*#REF!+#REF!,0)</f>
        <v>#REF!</v>
      </c>
    </row>
    <row r="572" spans="1:18" s="97" customFormat="1" hidden="1" x14ac:dyDescent="0.25">
      <c r="A572" s="29" t="s">
        <v>1426</v>
      </c>
      <c r="B572" s="30" t="s">
        <v>1420</v>
      </c>
      <c r="C572" s="425" t="s">
        <v>2150</v>
      </c>
      <c r="D572" s="31" t="s">
        <v>94</v>
      </c>
      <c r="E572" s="71" t="s">
        <v>1177</v>
      </c>
      <c r="F572" s="31" t="s">
        <v>1085</v>
      </c>
      <c r="G572" s="31" t="s">
        <v>1084</v>
      </c>
      <c r="H572" s="71" t="s">
        <v>166</v>
      </c>
      <c r="I572" s="71" t="s">
        <v>18</v>
      </c>
      <c r="J572" s="31"/>
      <c r="K572" s="32" t="s">
        <v>102</v>
      </c>
      <c r="L572" s="32" t="str">
        <f t="shared" si="22"/>
        <v>Documentation</v>
      </c>
      <c r="M572" s="111">
        <f>ROUND(Tableau1[[#This Row],[LEN]]*7.27,0)</f>
        <v>58</v>
      </c>
      <c r="N572" s="111">
        <v>15</v>
      </c>
      <c r="O572" s="128" t="str">
        <f t="shared" si="23"/>
        <v>_blank</v>
      </c>
      <c r="P572" s="111">
        <f>LEN(Tableau1[[#This Row],[LABEL]])</f>
        <v>8</v>
      </c>
      <c r="Q572" s="111">
        <v>15</v>
      </c>
      <c r="R572" s="111" t="e">
        <f>ROUND(Tableau1[[#This Row],[LEN]]*#REF!+#REF!,0)</f>
        <v>#REF!</v>
      </c>
    </row>
    <row r="573" spans="1:18" s="273" customFormat="1" hidden="1" x14ac:dyDescent="0.25">
      <c r="A573" s="288" t="s">
        <v>1979</v>
      </c>
      <c r="B573" s="289" t="s">
        <v>206</v>
      </c>
      <c r="C573" s="425" t="s">
        <v>2150</v>
      </c>
      <c r="D573" s="290" t="s">
        <v>1950</v>
      </c>
      <c r="E573" s="291" t="s">
        <v>1177</v>
      </c>
      <c r="F573" s="290" t="s">
        <v>1951</v>
      </c>
      <c r="G573" s="290" t="s">
        <v>1177</v>
      </c>
      <c r="H573" s="291" t="s">
        <v>166</v>
      </c>
      <c r="I573" s="291" t="s">
        <v>56</v>
      </c>
      <c r="J573" s="290"/>
      <c r="K573" s="292" t="s">
        <v>708</v>
      </c>
      <c r="L573" s="292" t="str">
        <f t="shared" si="22"/>
        <v>_</v>
      </c>
      <c r="M573" s="293">
        <f>ROUND(Tableau1[[#This Row],[LEN]]*7.27,0)</f>
        <v>51</v>
      </c>
      <c r="N573" s="293">
        <v>15</v>
      </c>
      <c r="O573" s="294" t="str">
        <f t="shared" si="23"/>
        <v>_self</v>
      </c>
      <c r="P573" s="293">
        <f>LEN(Tableau1[[#This Row],[LABEL]])</f>
        <v>7</v>
      </c>
      <c r="Q573" s="293">
        <v>15</v>
      </c>
      <c r="R573" s="293" t="e">
        <f>ROUND(Tableau1[[#This Row],[LEN]]*#REF!+#REF!,0)</f>
        <v>#REF!</v>
      </c>
    </row>
    <row r="574" spans="1:18" s="97" customFormat="1" hidden="1" x14ac:dyDescent="0.25">
      <c r="A574" s="220" t="s">
        <v>1980</v>
      </c>
      <c r="B574" s="221" t="s">
        <v>1979</v>
      </c>
      <c r="C574" s="425" t="s">
        <v>2150</v>
      </c>
      <c r="D574" s="222" t="s">
        <v>2001</v>
      </c>
      <c r="E574" s="70" t="s">
        <v>1990</v>
      </c>
      <c r="F574" s="229" t="s">
        <v>1951</v>
      </c>
      <c r="G574" s="215" t="s">
        <v>1177</v>
      </c>
      <c r="H574" s="70" t="s">
        <v>166</v>
      </c>
      <c r="I574" s="223" t="s">
        <v>570</v>
      </c>
      <c r="J574" s="222"/>
      <c r="K574" s="224" t="s">
        <v>708</v>
      </c>
      <c r="L574" s="224" t="str">
        <f t="shared" si="22"/>
        <v>_</v>
      </c>
      <c r="M574" s="225">
        <f>ROUND(Tableau1[[#This Row],[LEN]]*7.27,0)</f>
        <v>80</v>
      </c>
      <c r="N574" s="225">
        <v>15</v>
      </c>
      <c r="O574" s="226" t="str">
        <f t="shared" si="23"/>
        <v>_self</v>
      </c>
      <c r="P574" s="225">
        <f>LEN(Tableau1[[#This Row],[LABEL]])</f>
        <v>11</v>
      </c>
      <c r="Q574" s="225">
        <v>15</v>
      </c>
      <c r="R574" s="225" t="e">
        <f>ROUND(Tableau1[[#This Row],[LEN]]*#REF!+#REF!,0)</f>
        <v>#REF!</v>
      </c>
    </row>
    <row r="575" spans="1:18" s="97" customFormat="1" hidden="1" x14ac:dyDescent="0.25">
      <c r="A575" s="220" t="s">
        <v>1981</v>
      </c>
      <c r="B575" s="221" t="s">
        <v>1979</v>
      </c>
      <c r="C575" s="425" t="s">
        <v>2150</v>
      </c>
      <c r="D575" s="222" t="s">
        <v>1991</v>
      </c>
      <c r="E575" s="70" t="s">
        <v>1177</v>
      </c>
      <c r="F575" s="229" t="s">
        <v>1951</v>
      </c>
      <c r="G575" s="215" t="s">
        <v>1177</v>
      </c>
      <c r="H575" s="70" t="s">
        <v>166</v>
      </c>
      <c r="I575" s="223" t="s">
        <v>570</v>
      </c>
      <c r="J575" s="222"/>
      <c r="K575" s="224" t="s">
        <v>708</v>
      </c>
      <c r="L575" s="224" t="str">
        <f t="shared" si="22"/>
        <v>_</v>
      </c>
      <c r="M575" s="225">
        <f>ROUND(Tableau1[[#This Row],[LEN]]*7.27,0)</f>
        <v>458</v>
      </c>
      <c r="N575" s="225">
        <v>15</v>
      </c>
      <c r="O575" s="226" t="str">
        <f t="shared" si="23"/>
        <v>_self</v>
      </c>
      <c r="P575" s="225">
        <f>LEN(Tableau1[[#This Row],[LABEL]])</f>
        <v>63</v>
      </c>
      <c r="Q575" s="225">
        <v>15</v>
      </c>
      <c r="R575" s="225" t="e">
        <f>ROUND(Tableau1[[#This Row],[LEN]]*#REF!+#REF!,0)</f>
        <v>#REF!</v>
      </c>
    </row>
    <row r="576" spans="1:18" s="97" customFormat="1" hidden="1" x14ac:dyDescent="0.25">
      <c r="A576" s="220" t="s">
        <v>1982</v>
      </c>
      <c r="B576" s="221" t="s">
        <v>1979</v>
      </c>
      <c r="C576" s="425" t="s">
        <v>2150</v>
      </c>
      <c r="D576" s="222" t="s">
        <v>1992</v>
      </c>
      <c r="E576" s="70" t="s">
        <v>1177</v>
      </c>
      <c r="F576" s="229" t="s">
        <v>1951</v>
      </c>
      <c r="G576" s="215" t="s">
        <v>1177</v>
      </c>
      <c r="H576" s="70" t="s">
        <v>166</v>
      </c>
      <c r="I576" s="223" t="s">
        <v>570</v>
      </c>
      <c r="J576" s="222"/>
      <c r="K576" s="224" t="s">
        <v>708</v>
      </c>
      <c r="L576" s="224" t="str">
        <f t="shared" si="22"/>
        <v>_</v>
      </c>
      <c r="M576" s="225">
        <f>ROUND(Tableau1[[#This Row],[LEN]]*7.27,0)</f>
        <v>305</v>
      </c>
      <c r="N576" s="225">
        <v>15</v>
      </c>
      <c r="O576" s="226" t="str">
        <f t="shared" si="23"/>
        <v>_self</v>
      </c>
      <c r="P576" s="225">
        <f>LEN(Tableau1[[#This Row],[LABEL]])</f>
        <v>42</v>
      </c>
      <c r="Q576" s="225">
        <v>15</v>
      </c>
      <c r="R576" s="225" t="e">
        <f>ROUND(Tableau1[[#This Row],[LEN]]*#REF!+#REF!,0)</f>
        <v>#REF!</v>
      </c>
    </row>
    <row r="577" spans="1:18" s="97" customFormat="1" hidden="1" x14ac:dyDescent="0.25">
      <c r="A577" s="220" t="s">
        <v>1983</v>
      </c>
      <c r="B577" s="221" t="s">
        <v>1979</v>
      </c>
      <c r="C577" s="425" t="s">
        <v>2150</v>
      </c>
      <c r="D577" s="222" t="s">
        <v>1993</v>
      </c>
      <c r="E577" s="70" t="s">
        <v>1177</v>
      </c>
      <c r="F577" s="229" t="s">
        <v>1951</v>
      </c>
      <c r="G577" s="215" t="s">
        <v>1177</v>
      </c>
      <c r="H577" s="70" t="s">
        <v>166</v>
      </c>
      <c r="I577" s="223" t="s">
        <v>570</v>
      </c>
      <c r="J577" s="222"/>
      <c r="K577" s="224" t="s">
        <v>708</v>
      </c>
      <c r="L577" s="224" t="str">
        <f t="shared" si="22"/>
        <v>_</v>
      </c>
      <c r="M577" s="225">
        <f>ROUND(Tableau1[[#This Row],[LEN]]*7.27,0)</f>
        <v>385</v>
      </c>
      <c r="N577" s="225">
        <v>15</v>
      </c>
      <c r="O577" s="226" t="str">
        <f t="shared" si="23"/>
        <v>_self</v>
      </c>
      <c r="P577" s="225">
        <f>LEN(Tableau1[[#This Row],[LABEL]])</f>
        <v>53</v>
      </c>
      <c r="Q577" s="225">
        <v>15</v>
      </c>
      <c r="R577" s="225" t="e">
        <f>ROUND(Tableau1[[#This Row],[LEN]]*#REF!+#REF!,0)</f>
        <v>#REF!</v>
      </c>
    </row>
    <row r="578" spans="1:18" s="97" customFormat="1" hidden="1" x14ac:dyDescent="0.25">
      <c r="A578" s="220" t="s">
        <v>1984</v>
      </c>
      <c r="B578" s="221" t="s">
        <v>1979</v>
      </c>
      <c r="C578" s="425" t="s">
        <v>2150</v>
      </c>
      <c r="D578" s="222" t="s">
        <v>2002</v>
      </c>
      <c r="E578" s="70" t="s">
        <v>1994</v>
      </c>
      <c r="F578" s="229" t="s">
        <v>1951</v>
      </c>
      <c r="G578" s="215" t="s">
        <v>1177</v>
      </c>
      <c r="H578" s="70" t="s">
        <v>166</v>
      </c>
      <c r="I578" s="223" t="s">
        <v>18</v>
      </c>
      <c r="J578" s="222"/>
      <c r="K578" s="224" t="s">
        <v>708</v>
      </c>
      <c r="L578" s="224" t="str">
        <f t="shared" si="22"/>
        <v>_</v>
      </c>
      <c r="M578" s="225">
        <f>ROUND(Tableau1[[#This Row],[LEN]]*7.27,0)</f>
        <v>516</v>
      </c>
      <c r="N578" s="225">
        <v>15</v>
      </c>
      <c r="O578" s="226" t="str">
        <f t="shared" si="23"/>
        <v>_self</v>
      </c>
      <c r="P578" s="225">
        <f>LEN(Tableau1[[#This Row],[LABEL]])</f>
        <v>71</v>
      </c>
      <c r="Q578" s="225">
        <v>15</v>
      </c>
      <c r="R578" s="225" t="e">
        <f>ROUND(Tableau1[[#This Row],[LEN]]*#REF!+#REF!,0)</f>
        <v>#REF!</v>
      </c>
    </row>
    <row r="579" spans="1:18" s="97" customFormat="1" hidden="1" x14ac:dyDescent="0.25">
      <c r="A579" s="220" t="s">
        <v>1985</v>
      </c>
      <c r="B579" s="221" t="s">
        <v>1979</v>
      </c>
      <c r="C579" s="425" t="s">
        <v>2150</v>
      </c>
      <c r="D579" s="222" t="s">
        <v>1995</v>
      </c>
      <c r="E579" s="70" t="s">
        <v>1177</v>
      </c>
      <c r="F579" s="229" t="s">
        <v>1951</v>
      </c>
      <c r="G579" s="215" t="s">
        <v>1177</v>
      </c>
      <c r="H579" s="70" t="s">
        <v>166</v>
      </c>
      <c r="I579" s="223" t="s">
        <v>570</v>
      </c>
      <c r="J579" s="222"/>
      <c r="K579" s="224" t="s">
        <v>708</v>
      </c>
      <c r="L579" s="224" t="str">
        <f t="shared" si="22"/>
        <v>_</v>
      </c>
      <c r="M579" s="225">
        <f>ROUND(Tableau1[[#This Row],[LEN]]*7.27,0)</f>
        <v>196</v>
      </c>
      <c r="N579" s="225">
        <v>15</v>
      </c>
      <c r="O579" s="226" t="str">
        <f t="shared" si="23"/>
        <v>_self</v>
      </c>
      <c r="P579" s="225">
        <f>LEN(Tableau1[[#This Row],[LABEL]])</f>
        <v>27</v>
      </c>
      <c r="Q579" s="225">
        <v>15</v>
      </c>
      <c r="R579" s="225" t="e">
        <f>ROUND(Tableau1[[#This Row],[LEN]]*#REF!+#REF!,0)</f>
        <v>#REF!</v>
      </c>
    </row>
    <row r="580" spans="1:18" s="97" customFormat="1" hidden="1" x14ac:dyDescent="0.25">
      <c r="A580" s="220" t="s">
        <v>1986</v>
      </c>
      <c r="B580" s="221" t="s">
        <v>1979</v>
      </c>
      <c r="C580" s="425" t="s">
        <v>2150</v>
      </c>
      <c r="D580" s="222" t="s">
        <v>1996</v>
      </c>
      <c r="E580" s="70" t="s">
        <v>1177</v>
      </c>
      <c r="F580" s="229" t="s">
        <v>1951</v>
      </c>
      <c r="G580" s="215" t="s">
        <v>1177</v>
      </c>
      <c r="H580" s="70" t="s">
        <v>166</v>
      </c>
      <c r="I580" s="223" t="s">
        <v>570</v>
      </c>
      <c r="J580" s="222"/>
      <c r="K580" s="224" t="s">
        <v>708</v>
      </c>
      <c r="L580" s="224" t="str">
        <f t="shared" si="22"/>
        <v>_</v>
      </c>
      <c r="M580" s="225">
        <f>ROUND(Tableau1[[#This Row],[LEN]]*7.27,0)</f>
        <v>276</v>
      </c>
      <c r="N580" s="225">
        <v>15</v>
      </c>
      <c r="O580" s="226" t="str">
        <f t="shared" si="23"/>
        <v>_self</v>
      </c>
      <c r="P580" s="225">
        <f>LEN(Tableau1[[#This Row],[LABEL]])</f>
        <v>38</v>
      </c>
      <c r="Q580" s="225">
        <v>15</v>
      </c>
      <c r="R580" s="225" t="e">
        <f>ROUND(Tableau1[[#This Row],[LEN]]*#REF!+#REF!,0)</f>
        <v>#REF!</v>
      </c>
    </row>
    <row r="581" spans="1:18" s="97" customFormat="1" hidden="1" x14ac:dyDescent="0.25">
      <c r="A581" s="220" t="s">
        <v>1987</v>
      </c>
      <c r="B581" s="221" t="s">
        <v>1979</v>
      </c>
      <c r="C581" s="425" t="s">
        <v>2150</v>
      </c>
      <c r="D581" s="222" t="s">
        <v>778</v>
      </c>
      <c r="E581" s="70" t="s">
        <v>1177</v>
      </c>
      <c r="F581" s="229" t="s">
        <v>673</v>
      </c>
      <c r="G581" s="27" t="s">
        <v>2000</v>
      </c>
      <c r="H581" s="70" t="s">
        <v>166</v>
      </c>
      <c r="I581" s="223" t="s">
        <v>17</v>
      </c>
      <c r="J581" s="222"/>
      <c r="K581" s="224" t="s">
        <v>708</v>
      </c>
      <c r="L581" s="224" t="str">
        <f t="shared" si="22"/>
        <v>_</v>
      </c>
      <c r="M581" s="225">
        <f>ROUND(Tableau1[[#This Row],[LEN]]*7.27,0)</f>
        <v>211</v>
      </c>
      <c r="N581" s="225">
        <v>15</v>
      </c>
      <c r="O581" s="226" t="str">
        <f t="shared" si="23"/>
        <v>_self</v>
      </c>
      <c r="P581" s="225">
        <f>LEN(Tableau1[[#This Row],[LABEL]])</f>
        <v>29</v>
      </c>
      <c r="Q581" s="225">
        <v>15</v>
      </c>
      <c r="R581" s="225" t="e">
        <f>ROUND(Tableau1[[#This Row],[LEN]]*#REF!+#REF!,0)</f>
        <v>#REF!</v>
      </c>
    </row>
    <row r="582" spans="1:18" s="97" customFormat="1" hidden="1" x14ac:dyDescent="0.25">
      <c r="A582" s="220" t="s">
        <v>1988</v>
      </c>
      <c r="B582" s="221" t="s">
        <v>1979</v>
      </c>
      <c r="C582" s="425" t="s">
        <v>2150</v>
      </c>
      <c r="D582" s="222" t="s">
        <v>1997</v>
      </c>
      <c r="E582" s="70" t="s">
        <v>1177</v>
      </c>
      <c r="F582" s="229" t="s">
        <v>1951</v>
      </c>
      <c r="G582" s="215" t="s">
        <v>1177</v>
      </c>
      <c r="H582" s="70" t="s">
        <v>166</v>
      </c>
      <c r="I582" s="223" t="s">
        <v>570</v>
      </c>
      <c r="J582" s="222"/>
      <c r="K582" s="224" t="s">
        <v>708</v>
      </c>
      <c r="L582" s="224" t="str">
        <f t="shared" si="22"/>
        <v>_</v>
      </c>
      <c r="M582" s="225">
        <f>ROUND(Tableau1[[#This Row],[LEN]]*7.27,0)</f>
        <v>298</v>
      </c>
      <c r="N582" s="225">
        <v>15</v>
      </c>
      <c r="O582" s="226" t="str">
        <f t="shared" si="23"/>
        <v>_self</v>
      </c>
      <c r="P582" s="225">
        <f>LEN(Tableau1[[#This Row],[LABEL]])</f>
        <v>41</v>
      </c>
      <c r="Q582" s="225">
        <v>15</v>
      </c>
      <c r="R582" s="225" t="e">
        <f>ROUND(Tableau1[[#This Row],[LEN]]*#REF!+#REF!,0)</f>
        <v>#REF!</v>
      </c>
    </row>
    <row r="583" spans="1:18" s="97" customFormat="1" hidden="1" x14ac:dyDescent="0.25">
      <c r="A583" s="220" t="s">
        <v>1989</v>
      </c>
      <c r="B583" s="221" t="s">
        <v>1979</v>
      </c>
      <c r="C583" s="425" t="s">
        <v>2150</v>
      </c>
      <c r="D583" s="222" t="s">
        <v>2003</v>
      </c>
      <c r="E583" s="70" t="s">
        <v>1998</v>
      </c>
      <c r="F583" s="229" t="s">
        <v>1951</v>
      </c>
      <c r="G583" s="215" t="s">
        <v>1177</v>
      </c>
      <c r="H583" s="70" t="s">
        <v>166</v>
      </c>
      <c r="I583" s="223" t="s">
        <v>570</v>
      </c>
      <c r="J583" s="222"/>
      <c r="K583" s="224" t="s">
        <v>708</v>
      </c>
      <c r="L583" s="224" t="str">
        <f t="shared" si="22"/>
        <v>_</v>
      </c>
      <c r="M583" s="225">
        <f>ROUND(Tableau1[[#This Row],[LEN]]*7.27,0)</f>
        <v>131</v>
      </c>
      <c r="N583" s="225">
        <v>15</v>
      </c>
      <c r="O583" s="226" t="str">
        <f t="shared" si="23"/>
        <v>_self</v>
      </c>
      <c r="P583" s="225">
        <f>LEN(Tableau1[[#This Row],[LABEL]])</f>
        <v>18</v>
      </c>
      <c r="Q583" s="225">
        <v>15</v>
      </c>
      <c r="R583" s="225" t="e">
        <f>ROUND(Tableau1[[#This Row],[LEN]]*#REF!+#REF!,0)</f>
        <v>#REF!</v>
      </c>
    </row>
    <row r="584" spans="1:18" s="97" customFormat="1" hidden="1" x14ac:dyDescent="0.25">
      <c r="A584" s="220" t="s">
        <v>1999</v>
      </c>
      <c r="B584" s="221" t="s">
        <v>1979</v>
      </c>
      <c r="C584" s="425" t="s">
        <v>2150</v>
      </c>
      <c r="D584" s="222" t="s">
        <v>1167</v>
      </c>
      <c r="E584" s="70" t="s">
        <v>486</v>
      </c>
      <c r="F584" s="229" t="s">
        <v>1085</v>
      </c>
      <c r="G584" s="215" t="s">
        <v>1084</v>
      </c>
      <c r="H584" s="70" t="s">
        <v>1977</v>
      </c>
      <c r="I584" s="223" t="s">
        <v>1131</v>
      </c>
      <c r="J584" s="222"/>
      <c r="K584" s="224" t="s">
        <v>708</v>
      </c>
      <c r="L584" s="224" t="str">
        <f t="shared" si="22"/>
        <v>_</v>
      </c>
      <c r="M584" s="225">
        <f>ROUND(Tableau1[[#This Row],[LEN]]*7.27,0)</f>
        <v>196</v>
      </c>
      <c r="N584" s="225">
        <v>15</v>
      </c>
      <c r="O584" s="226" t="str">
        <f t="shared" si="23"/>
        <v>_self</v>
      </c>
      <c r="P584" s="225">
        <f>LEN(Tableau1[[#This Row],[LABEL]])</f>
        <v>27</v>
      </c>
      <c r="Q584" s="225">
        <v>15</v>
      </c>
      <c r="R584" s="225" t="e">
        <f>ROUND(Tableau1[[#This Row],[LEN]]*#REF!+#REF!,0)</f>
        <v>#REF!</v>
      </c>
    </row>
    <row r="585" spans="1:18" s="97" customFormat="1" hidden="1" x14ac:dyDescent="0.25">
      <c r="A585" s="29" t="s">
        <v>2004</v>
      </c>
      <c r="B585" s="30" t="s">
        <v>1999</v>
      </c>
      <c r="C585" s="425" t="s">
        <v>2150</v>
      </c>
      <c r="D585" s="31" t="s">
        <v>93</v>
      </c>
      <c r="E585" s="71" t="s">
        <v>1177</v>
      </c>
      <c r="F585" s="31" t="s">
        <v>1085</v>
      </c>
      <c r="G585" s="31" t="s">
        <v>1084</v>
      </c>
      <c r="H585" s="71" t="s">
        <v>166</v>
      </c>
      <c r="I585" s="71" t="s">
        <v>18</v>
      </c>
      <c r="J585" s="31"/>
      <c r="K585" s="32" t="s">
        <v>101</v>
      </c>
      <c r="L585" s="32" t="str">
        <f t="shared" si="22"/>
        <v>Documentation</v>
      </c>
      <c r="M585" s="111">
        <f>ROUND(Tableau1[[#This Row],[LEN]]*7.27,0)</f>
        <v>109</v>
      </c>
      <c r="N585" s="111">
        <v>15</v>
      </c>
      <c r="O585" s="128" t="str">
        <f t="shared" si="23"/>
        <v>_blank</v>
      </c>
      <c r="P585" s="111">
        <f>LEN(Tableau1[[#This Row],[LABEL]])</f>
        <v>15</v>
      </c>
      <c r="Q585" s="111">
        <v>15</v>
      </c>
      <c r="R585" s="111" t="e">
        <f>ROUND(Tableau1[[#This Row],[LEN]]*#REF!+#REF!,0)</f>
        <v>#REF!</v>
      </c>
    </row>
    <row r="586" spans="1:18" s="97" customFormat="1" hidden="1" x14ac:dyDescent="0.25">
      <c r="A586" s="29" t="s">
        <v>2005</v>
      </c>
      <c r="B586" s="30" t="s">
        <v>1999</v>
      </c>
      <c r="C586" s="425" t="s">
        <v>2150</v>
      </c>
      <c r="D586" s="31" t="s">
        <v>94</v>
      </c>
      <c r="E586" s="71" t="s">
        <v>1177</v>
      </c>
      <c r="F586" s="31" t="s">
        <v>1085</v>
      </c>
      <c r="G586" s="31" t="s">
        <v>1084</v>
      </c>
      <c r="H586" s="71" t="s">
        <v>166</v>
      </c>
      <c r="I586" s="71" t="s">
        <v>18</v>
      </c>
      <c r="J586" s="31"/>
      <c r="K586" s="32" t="s">
        <v>102</v>
      </c>
      <c r="L586" s="32" t="str">
        <f t="shared" si="22"/>
        <v>Documentation</v>
      </c>
      <c r="M586" s="111">
        <f>ROUND(Tableau1[[#This Row],[LEN]]*7.27,0)</f>
        <v>58</v>
      </c>
      <c r="N586" s="111">
        <v>15</v>
      </c>
      <c r="O586" s="128" t="str">
        <f t="shared" si="23"/>
        <v>_blank</v>
      </c>
      <c r="P586" s="111">
        <f>LEN(Tableau1[[#This Row],[LABEL]])</f>
        <v>8</v>
      </c>
      <c r="Q586" s="111">
        <v>15</v>
      </c>
      <c r="R586" s="111" t="e">
        <f>ROUND(Tableau1[[#This Row],[LEN]]*#REF!+#REF!,0)</f>
        <v>#REF!</v>
      </c>
    </row>
    <row r="587" spans="1:18" s="97" customFormat="1" ht="16.5" hidden="1" thickTop="1" thickBot="1" x14ac:dyDescent="0.3">
      <c r="A587" s="177" t="s">
        <v>207</v>
      </c>
      <c r="B587" s="177" t="s">
        <v>198</v>
      </c>
      <c r="C587" s="426"/>
      <c r="D587" s="178" t="s">
        <v>175</v>
      </c>
      <c r="E587" s="179" t="s">
        <v>472</v>
      </c>
      <c r="F587" s="178" t="s">
        <v>1177</v>
      </c>
      <c r="G587" s="179" t="s">
        <v>1177</v>
      </c>
      <c r="H587" s="178" t="s">
        <v>2096</v>
      </c>
      <c r="I587" s="178" t="s">
        <v>616</v>
      </c>
      <c r="J587" s="179"/>
      <c r="K587" s="180" t="s">
        <v>708</v>
      </c>
      <c r="L587" s="180" t="str">
        <f t="shared" si="22"/>
        <v>_</v>
      </c>
      <c r="M587" s="181">
        <f>ROUND(Tableau1[[#This Row],[LEN]]*7.27,0)</f>
        <v>160</v>
      </c>
      <c r="N587" s="181">
        <v>15</v>
      </c>
      <c r="O587" s="182" t="str">
        <f t="shared" si="23"/>
        <v>_self</v>
      </c>
      <c r="P587" s="181">
        <f>LEN(Tableau1[[#This Row],[LABEL]])</f>
        <v>22</v>
      </c>
      <c r="Q587" s="183">
        <v>15</v>
      </c>
      <c r="R587" s="183" t="e">
        <f>ROUND(Tableau1[[#This Row],[LEN]]*#REF!+#REF!,0)</f>
        <v>#REF!</v>
      </c>
    </row>
    <row r="588" spans="1:18" s="92" customFormat="1" hidden="1" x14ac:dyDescent="0.25">
      <c r="A588" s="309" t="s">
        <v>267</v>
      </c>
      <c r="B588" s="310" t="s">
        <v>207</v>
      </c>
      <c r="C588" s="427" t="s">
        <v>2151</v>
      </c>
      <c r="D588" s="311" t="s">
        <v>57</v>
      </c>
      <c r="E588" s="312" t="s">
        <v>1177</v>
      </c>
      <c r="F588" s="311" t="s">
        <v>663</v>
      </c>
      <c r="G588" s="311" t="s">
        <v>1177</v>
      </c>
      <c r="H588" s="312" t="s">
        <v>2096</v>
      </c>
      <c r="I588" s="312" t="str">
        <f>IFERROR(IF(SEARCH(".00.00.00.00.00",Tableau1[[#This Row],[name]],1)=7,"Division",""),"")</f>
        <v>Division</v>
      </c>
      <c r="J588" s="311"/>
      <c r="K588" s="313" t="s">
        <v>708</v>
      </c>
      <c r="L588" s="313" t="str">
        <f t="shared" si="22"/>
        <v>_</v>
      </c>
      <c r="M588" s="314">
        <f>ROUND(Tableau1[[#This Row],[LEN]]*7.27,0)</f>
        <v>102</v>
      </c>
      <c r="N588" s="314">
        <v>15</v>
      </c>
      <c r="O588" s="315" t="str">
        <f t="shared" si="23"/>
        <v>_self</v>
      </c>
      <c r="P588" s="314">
        <f>LEN(Tableau1[[#This Row],[LABEL]])</f>
        <v>14</v>
      </c>
      <c r="Q588" s="314">
        <v>15</v>
      </c>
      <c r="R588" s="314" t="e">
        <f>ROUND(Tableau1[[#This Row],[LEN]]*#REF!+#REF!,0)</f>
        <v>#REF!</v>
      </c>
    </row>
    <row r="589" spans="1:18" s="97" customFormat="1" hidden="1" x14ac:dyDescent="0.25">
      <c r="A589" s="33" t="s">
        <v>841</v>
      </c>
      <c r="B589" s="34" t="s">
        <v>267</v>
      </c>
      <c r="C589" s="427" t="s">
        <v>2151</v>
      </c>
      <c r="D589" s="35" t="s">
        <v>111</v>
      </c>
      <c r="E589" s="72" t="s">
        <v>1177</v>
      </c>
      <c r="F589" s="35" t="s">
        <v>667</v>
      </c>
      <c r="G589" s="35" t="s">
        <v>2006</v>
      </c>
      <c r="H589" s="72" t="s">
        <v>2096</v>
      </c>
      <c r="I589" s="72" t="s">
        <v>655</v>
      </c>
      <c r="J589" s="35"/>
      <c r="K589" s="36" t="s">
        <v>708</v>
      </c>
      <c r="L589" s="36" t="str">
        <f t="shared" si="22"/>
        <v>_</v>
      </c>
      <c r="M589" s="113">
        <f>ROUND(Tableau1[[#This Row],[LEN]]*7.27,0)</f>
        <v>167</v>
      </c>
      <c r="N589" s="113">
        <v>15</v>
      </c>
      <c r="O589" s="130" t="str">
        <f t="shared" si="23"/>
        <v>_self</v>
      </c>
      <c r="P589" s="113">
        <f>LEN(Tableau1[[#This Row],[LABEL]])</f>
        <v>23</v>
      </c>
      <c r="Q589" s="113">
        <v>15</v>
      </c>
      <c r="R589" s="113" t="e">
        <f>ROUND(Tableau1[[#This Row],[LEN]]*#REF!+#REF!,0)</f>
        <v>#REF!</v>
      </c>
    </row>
    <row r="590" spans="1:18" s="97" customFormat="1" hidden="1" x14ac:dyDescent="0.25">
      <c r="A590" s="37" t="s">
        <v>842</v>
      </c>
      <c r="B590" s="38" t="s">
        <v>841</v>
      </c>
      <c r="C590" s="427" t="s">
        <v>2151</v>
      </c>
      <c r="D590" s="39" t="s">
        <v>112</v>
      </c>
      <c r="E590" s="73" t="s">
        <v>1177</v>
      </c>
      <c r="F590" s="39" t="s">
        <v>667</v>
      </c>
      <c r="G590" s="39" t="s">
        <v>2006</v>
      </c>
      <c r="H590" s="73" t="s">
        <v>2096</v>
      </c>
      <c r="I590" s="73" t="s">
        <v>654</v>
      </c>
      <c r="J590" s="39"/>
      <c r="K590" s="40" t="s">
        <v>708</v>
      </c>
      <c r="L590" s="40" t="str">
        <f t="shared" si="22"/>
        <v>_</v>
      </c>
      <c r="M590" s="114">
        <f>ROUND(Tableau1[[#This Row],[LEN]]*7.27,0)</f>
        <v>167</v>
      </c>
      <c r="N590" s="114">
        <v>15</v>
      </c>
      <c r="O590" s="131" t="str">
        <f t="shared" si="23"/>
        <v>_self</v>
      </c>
      <c r="P590" s="114">
        <f>LEN(Tableau1[[#This Row],[LABEL]])</f>
        <v>23</v>
      </c>
      <c r="Q590" s="114">
        <v>15</v>
      </c>
      <c r="R590" s="114" t="e">
        <f>ROUND(Tableau1[[#This Row],[LEN]]*#REF!+#REF!,0)</f>
        <v>#REF!</v>
      </c>
    </row>
    <row r="591" spans="1:18" s="97" customFormat="1" hidden="1" x14ac:dyDescent="0.25">
      <c r="A591" s="37" t="s">
        <v>843</v>
      </c>
      <c r="B591" s="38" t="s">
        <v>841</v>
      </c>
      <c r="C591" s="427" t="s">
        <v>2151</v>
      </c>
      <c r="D591" s="39" t="s">
        <v>113</v>
      </c>
      <c r="E591" s="73" t="s">
        <v>1177</v>
      </c>
      <c r="F591" s="39" t="s">
        <v>667</v>
      </c>
      <c r="G591" s="39" t="s">
        <v>2006</v>
      </c>
      <c r="H591" s="73" t="s">
        <v>2096</v>
      </c>
      <c r="I591" s="73" t="s">
        <v>654</v>
      </c>
      <c r="J591" s="39"/>
      <c r="K591" s="40" t="s">
        <v>708</v>
      </c>
      <c r="L591" s="40" t="str">
        <f t="shared" si="22"/>
        <v>_</v>
      </c>
      <c r="M591" s="114">
        <f>ROUND(Tableau1[[#This Row],[LEN]]*7.27,0)</f>
        <v>233</v>
      </c>
      <c r="N591" s="114">
        <v>15</v>
      </c>
      <c r="O591" s="131" t="str">
        <f t="shared" si="23"/>
        <v>_self</v>
      </c>
      <c r="P591" s="114">
        <f>LEN(Tableau1[[#This Row],[LABEL]])</f>
        <v>32</v>
      </c>
      <c r="Q591" s="114">
        <v>15</v>
      </c>
      <c r="R591" s="114" t="e">
        <f>ROUND(Tableau1[[#This Row],[LEN]]*#REF!+#REF!,0)</f>
        <v>#REF!</v>
      </c>
    </row>
    <row r="592" spans="1:18" s="273" customFormat="1" hidden="1" x14ac:dyDescent="0.25">
      <c r="A592" s="309" t="s">
        <v>269</v>
      </c>
      <c r="B592" s="310" t="s">
        <v>207</v>
      </c>
      <c r="C592" s="427" t="s">
        <v>2151</v>
      </c>
      <c r="D592" s="311" t="s">
        <v>3</v>
      </c>
      <c r="E592" s="312" t="s">
        <v>1177</v>
      </c>
      <c r="F592" s="311" t="s">
        <v>661</v>
      </c>
      <c r="G592" s="311" t="s">
        <v>1177</v>
      </c>
      <c r="H592" s="312" t="s">
        <v>2096</v>
      </c>
      <c r="I592" s="312" t="str">
        <f>IFERROR(IF(SEARCH(".00.00.00.00.00",Tableau1[[#This Row],[name]],1)=7,"Division",""),"")</f>
        <v>Division</v>
      </c>
      <c r="J592" s="311"/>
      <c r="K592" s="313" t="s">
        <v>708</v>
      </c>
      <c r="L592" s="313" t="str">
        <f t="shared" si="22"/>
        <v>_</v>
      </c>
      <c r="M592" s="314">
        <f>ROUND(Tableau1[[#This Row],[LEN]]*7.27,0)</f>
        <v>73</v>
      </c>
      <c r="N592" s="314">
        <v>15</v>
      </c>
      <c r="O592" s="315" t="str">
        <f t="shared" si="23"/>
        <v>_self</v>
      </c>
      <c r="P592" s="314">
        <f>LEN(Tableau1[[#This Row],[LABEL]])</f>
        <v>10</v>
      </c>
      <c r="Q592" s="314">
        <v>15</v>
      </c>
      <c r="R592" s="314" t="e">
        <f>ROUND(Tableau1[[#This Row],[LEN]]*#REF!+#REF!,0)</f>
        <v>#REF!</v>
      </c>
    </row>
    <row r="593" spans="1:18" s="97" customFormat="1" hidden="1" x14ac:dyDescent="0.25">
      <c r="A593" s="33" t="s">
        <v>419</v>
      </c>
      <c r="B593" s="34" t="s">
        <v>269</v>
      </c>
      <c r="C593" s="427" t="s">
        <v>2151</v>
      </c>
      <c r="D593" s="35" t="s">
        <v>111</v>
      </c>
      <c r="E593" s="72" t="s">
        <v>1177</v>
      </c>
      <c r="F593" s="35" t="s">
        <v>667</v>
      </c>
      <c r="G593" s="35" t="s">
        <v>2006</v>
      </c>
      <c r="H593" s="72" t="s">
        <v>2096</v>
      </c>
      <c r="I593" s="72" t="s">
        <v>655</v>
      </c>
      <c r="J593" s="35"/>
      <c r="K593" s="36" t="s">
        <v>708</v>
      </c>
      <c r="L593" s="36" t="str">
        <f t="shared" si="22"/>
        <v>_</v>
      </c>
      <c r="M593" s="113">
        <f>ROUND(Tableau1[[#This Row],[LEN]]*7.27,0)</f>
        <v>167</v>
      </c>
      <c r="N593" s="113">
        <v>15</v>
      </c>
      <c r="O593" s="130" t="str">
        <f t="shared" si="23"/>
        <v>_self</v>
      </c>
      <c r="P593" s="113">
        <f>LEN(Tableau1[[#This Row],[LABEL]])</f>
        <v>23</v>
      </c>
      <c r="Q593" s="113">
        <v>15</v>
      </c>
      <c r="R593" s="113" t="e">
        <f>ROUND(Tableau1[[#This Row],[LEN]]*#REF!+#REF!,0)</f>
        <v>#REF!</v>
      </c>
    </row>
    <row r="594" spans="1:18" s="97" customFormat="1" hidden="1" x14ac:dyDescent="0.25">
      <c r="A594" s="37" t="s">
        <v>420</v>
      </c>
      <c r="B594" s="38" t="s">
        <v>419</v>
      </c>
      <c r="C594" s="427" t="s">
        <v>2151</v>
      </c>
      <c r="D594" s="39" t="s">
        <v>112</v>
      </c>
      <c r="E594" s="73" t="s">
        <v>1177</v>
      </c>
      <c r="F594" s="39" t="s">
        <v>667</v>
      </c>
      <c r="G594" s="39" t="s">
        <v>2006</v>
      </c>
      <c r="H594" s="73" t="s">
        <v>2096</v>
      </c>
      <c r="I594" s="73" t="s">
        <v>654</v>
      </c>
      <c r="J594" s="39"/>
      <c r="K594" s="40" t="s">
        <v>708</v>
      </c>
      <c r="L594" s="40" t="str">
        <f t="shared" si="22"/>
        <v>_</v>
      </c>
      <c r="M594" s="114">
        <f>ROUND(Tableau1[[#This Row],[LEN]]*7.27,0)</f>
        <v>167</v>
      </c>
      <c r="N594" s="114">
        <v>15</v>
      </c>
      <c r="O594" s="131" t="str">
        <f t="shared" si="23"/>
        <v>_self</v>
      </c>
      <c r="P594" s="114">
        <f>LEN(Tableau1[[#This Row],[LABEL]])</f>
        <v>23</v>
      </c>
      <c r="Q594" s="114">
        <v>15</v>
      </c>
      <c r="R594" s="114" t="e">
        <f>ROUND(Tableau1[[#This Row],[LEN]]*#REF!+#REF!,0)</f>
        <v>#REF!</v>
      </c>
    </row>
    <row r="595" spans="1:18" s="97" customFormat="1" hidden="1" x14ac:dyDescent="0.25">
      <c r="A595" s="37" t="s">
        <v>421</v>
      </c>
      <c r="B595" s="38" t="s">
        <v>419</v>
      </c>
      <c r="C595" s="427" t="s">
        <v>2151</v>
      </c>
      <c r="D595" s="39" t="s">
        <v>113</v>
      </c>
      <c r="E595" s="73" t="s">
        <v>1177</v>
      </c>
      <c r="F595" s="39" t="s">
        <v>667</v>
      </c>
      <c r="G595" s="39" t="s">
        <v>2006</v>
      </c>
      <c r="H595" s="73" t="s">
        <v>2096</v>
      </c>
      <c r="I595" s="73" t="s">
        <v>654</v>
      </c>
      <c r="J595" s="39"/>
      <c r="K595" s="40" t="s">
        <v>708</v>
      </c>
      <c r="L595" s="40" t="str">
        <f t="shared" si="22"/>
        <v>_</v>
      </c>
      <c r="M595" s="114">
        <f>ROUND(Tableau1[[#This Row],[LEN]]*7.27,0)</f>
        <v>233</v>
      </c>
      <c r="N595" s="114">
        <v>15</v>
      </c>
      <c r="O595" s="131" t="str">
        <f t="shared" si="23"/>
        <v>_self</v>
      </c>
      <c r="P595" s="114">
        <f>LEN(Tableau1[[#This Row],[LABEL]])</f>
        <v>32</v>
      </c>
      <c r="Q595" s="114">
        <v>15</v>
      </c>
      <c r="R595" s="114" t="e">
        <f>ROUND(Tableau1[[#This Row],[LEN]]*#REF!+#REF!,0)</f>
        <v>#REF!</v>
      </c>
    </row>
    <row r="596" spans="1:18" s="97" customFormat="1" hidden="1" x14ac:dyDescent="0.25">
      <c r="A596" s="33" t="s">
        <v>422</v>
      </c>
      <c r="B596" s="34" t="s">
        <v>269</v>
      </c>
      <c r="C596" s="427" t="s">
        <v>2151</v>
      </c>
      <c r="D596" s="35" t="s">
        <v>114</v>
      </c>
      <c r="E596" s="72" t="s">
        <v>1177</v>
      </c>
      <c r="F596" s="35" t="s">
        <v>661</v>
      </c>
      <c r="G596" s="35" t="s">
        <v>2083</v>
      </c>
      <c r="H596" s="72" t="s">
        <v>2096</v>
      </c>
      <c r="I596" s="72" t="s">
        <v>654</v>
      </c>
      <c r="J596" s="35"/>
      <c r="K596" s="36" t="s">
        <v>708</v>
      </c>
      <c r="L596" s="36" t="str">
        <f t="shared" si="22"/>
        <v>_</v>
      </c>
      <c r="M596" s="113">
        <f>ROUND(Tableau1[[#This Row],[LEN]]*7.27,0)</f>
        <v>153</v>
      </c>
      <c r="N596" s="113">
        <v>15</v>
      </c>
      <c r="O596" s="130" t="str">
        <f t="shared" si="23"/>
        <v>_self</v>
      </c>
      <c r="P596" s="113">
        <f>LEN(Tableau1[[#This Row],[LABEL]])</f>
        <v>21</v>
      </c>
      <c r="Q596" s="113">
        <v>15</v>
      </c>
      <c r="R596" s="113" t="e">
        <f>ROUND(Tableau1[[#This Row],[LEN]]*#REF!+#REF!,0)</f>
        <v>#REF!</v>
      </c>
    </row>
    <row r="597" spans="1:18" s="273" customFormat="1" hidden="1" x14ac:dyDescent="0.25">
      <c r="A597" s="309" t="s">
        <v>270</v>
      </c>
      <c r="B597" s="310" t="s">
        <v>207</v>
      </c>
      <c r="C597" s="427" t="s">
        <v>2151</v>
      </c>
      <c r="D597" s="311" t="s">
        <v>4</v>
      </c>
      <c r="E597" s="312" t="s">
        <v>1177</v>
      </c>
      <c r="F597" s="311" t="s">
        <v>666</v>
      </c>
      <c r="G597" s="311" t="s">
        <v>1177</v>
      </c>
      <c r="H597" s="312" t="s">
        <v>2096</v>
      </c>
      <c r="I597" s="312" t="str">
        <f>IFERROR(IF(SEARCH(".00.00.00.00.00",Tableau1[[#This Row],[name]],1)=7,"Division",""),"")</f>
        <v>Division</v>
      </c>
      <c r="J597" s="311"/>
      <c r="K597" s="313" t="s">
        <v>708</v>
      </c>
      <c r="L597" s="313" t="str">
        <f t="shared" si="22"/>
        <v>_</v>
      </c>
      <c r="M597" s="314">
        <f>ROUND(Tableau1[[#This Row],[LEN]]*7.27,0)</f>
        <v>36</v>
      </c>
      <c r="N597" s="314">
        <v>15</v>
      </c>
      <c r="O597" s="315" t="str">
        <f t="shared" si="23"/>
        <v>_self</v>
      </c>
      <c r="P597" s="314">
        <f>LEN(Tableau1[[#This Row],[LABEL]])</f>
        <v>5</v>
      </c>
      <c r="Q597" s="314">
        <v>15</v>
      </c>
      <c r="R597" s="314" t="e">
        <f>ROUND(Tableau1[[#This Row],[LEN]]*#REF!+#REF!,0)</f>
        <v>#REF!</v>
      </c>
    </row>
    <row r="598" spans="1:18" s="97" customFormat="1" hidden="1" x14ac:dyDescent="0.25">
      <c r="A598" s="33" t="s">
        <v>1427</v>
      </c>
      <c r="B598" s="34" t="s">
        <v>270</v>
      </c>
      <c r="C598" s="427" t="s">
        <v>2151</v>
      </c>
      <c r="D598" s="35" t="s">
        <v>111</v>
      </c>
      <c r="E598" s="72" t="s">
        <v>1177</v>
      </c>
      <c r="F598" s="35" t="s">
        <v>667</v>
      </c>
      <c r="G598" s="35" t="s">
        <v>2006</v>
      </c>
      <c r="H598" s="72" t="s">
        <v>2096</v>
      </c>
      <c r="I598" s="72" t="s">
        <v>655</v>
      </c>
      <c r="J598" s="35"/>
      <c r="K598" s="36" t="s">
        <v>708</v>
      </c>
      <c r="L598" s="36" t="str">
        <f t="shared" ref="L598:L661" si="24">IF(K598="javascript:void(0)","_","Documentation")</f>
        <v>_</v>
      </c>
      <c r="M598" s="113">
        <f>ROUND(Tableau1[[#This Row],[LEN]]*7.27,0)</f>
        <v>167</v>
      </c>
      <c r="N598" s="113">
        <v>15</v>
      </c>
      <c r="O598" s="130" t="str">
        <f t="shared" si="23"/>
        <v>_self</v>
      </c>
      <c r="P598" s="113">
        <f>LEN(Tableau1[[#This Row],[LABEL]])</f>
        <v>23</v>
      </c>
      <c r="Q598" s="113">
        <v>15</v>
      </c>
      <c r="R598" s="113" t="e">
        <f>ROUND(Tableau1[[#This Row],[LEN]]*#REF!+#REF!,0)</f>
        <v>#REF!</v>
      </c>
    </row>
    <row r="599" spans="1:18" s="97" customFormat="1" hidden="1" x14ac:dyDescent="0.25">
      <c r="A599" s="37" t="s">
        <v>1428</v>
      </c>
      <c r="B599" s="38" t="s">
        <v>1427</v>
      </c>
      <c r="C599" s="427" t="s">
        <v>2151</v>
      </c>
      <c r="D599" s="39" t="s">
        <v>112</v>
      </c>
      <c r="E599" s="73" t="s">
        <v>1177</v>
      </c>
      <c r="F599" s="39" t="s">
        <v>667</v>
      </c>
      <c r="G599" s="39" t="s">
        <v>2006</v>
      </c>
      <c r="H599" s="73" t="s">
        <v>2096</v>
      </c>
      <c r="I599" s="73" t="s">
        <v>654</v>
      </c>
      <c r="J599" s="39"/>
      <c r="K599" s="40" t="s">
        <v>708</v>
      </c>
      <c r="L599" s="40" t="str">
        <f t="shared" si="24"/>
        <v>_</v>
      </c>
      <c r="M599" s="114">
        <f>ROUND(Tableau1[[#This Row],[LEN]]*7.27,0)</f>
        <v>167</v>
      </c>
      <c r="N599" s="114">
        <v>15</v>
      </c>
      <c r="O599" s="131" t="str">
        <f t="shared" ref="O599:O662" si="25">IF(K599="javascript:void(0)","_self","_blank")</f>
        <v>_self</v>
      </c>
      <c r="P599" s="114">
        <f>LEN(Tableau1[[#This Row],[LABEL]])</f>
        <v>23</v>
      </c>
      <c r="Q599" s="114">
        <v>15</v>
      </c>
      <c r="R599" s="114" t="e">
        <f>ROUND(Tableau1[[#This Row],[LEN]]*#REF!+#REF!,0)</f>
        <v>#REF!</v>
      </c>
    </row>
    <row r="600" spans="1:18" s="97" customFormat="1" hidden="1" x14ac:dyDescent="0.25">
      <c r="A600" s="37" t="s">
        <v>1429</v>
      </c>
      <c r="B600" s="38" t="s">
        <v>1427</v>
      </c>
      <c r="C600" s="427" t="s">
        <v>2151</v>
      </c>
      <c r="D600" s="39" t="s">
        <v>113</v>
      </c>
      <c r="E600" s="73" t="s">
        <v>1177</v>
      </c>
      <c r="F600" s="39" t="s">
        <v>667</v>
      </c>
      <c r="G600" s="39" t="s">
        <v>2006</v>
      </c>
      <c r="H600" s="73" t="s">
        <v>2096</v>
      </c>
      <c r="I600" s="73" t="s">
        <v>654</v>
      </c>
      <c r="J600" s="39"/>
      <c r="K600" s="40" t="s">
        <v>708</v>
      </c>
      <c r="L600" s="40" t="str">
        <f t="shared" si="24"/>
        <v>_</v>
      </c>
      <c r="M600" s="114">
        <f>ROUND(Tableau1[[#This Row],[LEN]]*7.27,0)</f>
        <v>233</v>
      </c>
      <c r="N600" s="114">
        <v>15</v>
      </c>
      <c r="O600" s="131" t="str">
        <f t="shared" si="25"/>
        <v>_self</v>
      </c>
      <c r="P600" s="114">
        <f>LEN(Tableau1[[#This Row],[LABEL]])</f>
        <v>32</v>
      </c>
      <c r="Q600" s="114">
        <v>15</v>
      </c>
      <c r="R600" s="114" t="e">
        <f>ROUND(Tableau1[[#This Row],[LEN]]*#REF!+#REF!,0)</f>
        <v>#REF!</v>
      </c>
    </row>
    <row r="601" spans="1:18" s="273" customFormat="1" hidden="1" x14ac:dyDescent="0.25">
      <c r="A601" s="309" t="s">
        <v>271</v>
      </c>
      <c r="B601" s="310" t="s">
        <v>207</v>
      </c>
      <c r="C601" s="427" t="s">
        <v>2151</v>
      </c>
      <c r="D601" s="311" t="s">
        <v>80</v>
      </c>
      <c r="E601" s="312" t="s">
        <v>1177</v>
      </c>
      <c r="F601" s="311" t="s">
        <v>667</v>
      </c>
      <c r="G601" s="311" t="s">
        <v>1177</v>
      </c>
      <c r="H601" s="312" t="s">
        <v>2096</v>
      </c>
      <c r="I601" s="312" t="str">
        <f>IFERROR(IF(SEARCH(".00.00.00.00.00",Tableau1[[#This Row],[name]],1)=7,"Division",""),"")</f>
        <v>Division</v>
      </c>
      <c r="J601" s="311"/>
      <c r="K601" s="313" t="s">
        <v>708</v>
      </c>
      <c r="L601" s="313" t="str">
        <f t="shared" si="24"/>
        <v>_</v>
      </c>
      <c r="M601" s="314">
        <f>ROUND(Tableau1[[#This Row],[LEN]]*7.27,0)</f>
        <v>116</v>
      </c>
      <c r="N601" s="314">
        <v>15</v>
      </c>
      <c r="O601" s="315" t="str">
        <f t="shared" si="25"/>
        <v>_self</v>
      </c>
      <c r="P601" s="314">
        <f>LEN(Tableau1[[#This Row],[LABEL]])</f>
        <v>16</v>
      </c>
      <c r="Q601" s="314">
        <v>15</v>
      </c>
      <c r="R601" s="314" t="e">
        <f>ROUND(Tableau1[[#This Row],[LEN]]*#REF!+#REF!,0)</f>
        <v>#REF!</v>
      </c>
    </row>
    <row r="602" spans="1:18" s="97" customFormat="1" hidden="1" x14ac:dyDescent="0.25">
      <c r="A602" s="33" t="s">
        <v>1430</v>
      </c>
      <c r="B602" s="34" t="s">
        <v>271</v>
      </c>
      <c r="C602" s="427" t="s">
        <v>2151</v>
      </c>
      <c r="D602" s="35" t="s">
        <v>111</v>
      </c>
      <c r="E602" s="72" t="s">
        <v>1177</v>
      </c>
      <c r="F602" s="35" t="s">
        <v>667</v>
      </c>
      <c r="G602" s="35" t="s">
        <v>2006</v>
      </c>
      <c r="H602" s="72" t="s">
        <v>2096</v>
      </c>
      <c r="I602" s="72" t="s">
        <v>655</v>
      </c>
      <c r="J602" s="35"/>
      <c r="K602" s="36" t="s">
        <v>708</v>
      </c>
      <c r="L602" s="36" t="str">
        <f t="shared" si="24"/>
        <v>_</v>
      </c>
      <c r="M602" s="113">
        <f>ROUND(Tableau1[[#This Row],[LEN]]*7.27,0)</f>
        <v>167</v>
      </c>
      <c r="N602" s="113">
        <v>15</v>
      </c>
      <c r="O602" s="130" t="str">
        <f t="shared" si="25"/>
        <v>_self</v>
      </c>
      <c r="P602" s="113">
        <f>LEN(Tableau1[[#This Row],[LABEL]])</f>
        <v>23</v>
      </c>
      <c r="Q602" s="113">
        <v>15</v>
      </c>
      <c r="R602" s="113" t="e">
        <f>ROUND(Tableau1[[#This Row],[LEN]]*#REF!+#REF!,0)</f>
        <v>#REF!</v>
      </c>
    </row>
    <row r="603" spans="1:18" s="97" customFormat="1" hidden="1" x14ac:dyDescent="0.25">
      <c r="A603" s="37" t="s">
        <v>1431</v>
      </c>
      <c r="B603" s="38" t="s">
        <v>1430</v>
      </c>
      <c r="C603" s="427" t="s">
        <v>2151</v>
      </c>
      <c r="D603" s="39" t="s">
        <v>112</v>
      </c>
      <c r="E603" s="73" t="s">
        <v>1177</v>
      </c>
      <c r="F603" s="39" t="s">
        <v>667</v>
      </c>
      <c r="G603" s="39" t="s">
        <v>2006</v>
      </c>
      <c r="H603" s="73" t="s">
        <v>2096</v>
      </c>
      <c r="I603" s="73" t="s">
        <v>654</v>
      </c>
      <c r="J603" s="39"/>
      <c r="K603" s="40" t="s">
        <v>708</v>
      </c>
      <c r="L603" s="40" t="str">
        <f t="shared" si="24"/>
        <v>_</v>
      </c>
      <c r="M603" s="114">
        <f>ROUND(Tableau1[[#This Row],[LEN]]*7.27,0)</f>
        <v>167</v>
      </c>
      <c r="N603" s="114">
        <v>15</v>
      </c>
      <c r="O603" s="131" t="str">
        <f t="shared" si="25"/>
        <v>_self</v>
      </c>
      <c r="P603" s="114">
        <f>LEN(Tableau1[[#This Row],[LABEL]])</f>
        <v>23</v>
      </c>
      <c r="Q603" s="114">
        <v>15</v>
      </c>
      <c r="R603" s="114" t="e">
        <f>ROUND(Tableau1[[#This Row],[LEN]]*#REF!+#REF!,0)</f>
        <v>#REF!</v>
      </c>
    </row>
    <row r="604" spans="1:18" s="97" customFormat="1" hidden="1" x14ac:dyDescent="0.25">
      <c r="A604" s="37" t="s">
        <v>1432</v>
      </c>
      <c r="B604" s="38" t="s">
        <v>1430</v>
      </c>
      <c r="C604" s="427" t="s">
        <v>2151</v>
      </c>
      <c r="D604" s="39" t="s">
        <v>113</v>
      </c>
      <c r="E604" s="73" t="s">
        <v>1177</v>
      </c>
      <c r="F604" s="39" t="s">
        <v>667</v>
      </c>
      <c r="G604" s="39" t="s">
        <v>2006</v>
      </c>
      <c r="H604" s="73" t="s">
        <v>2096</v>
      </c>
      <c r="I604" s="73" t="s">
        <v>654</v>
      </c>
      <c r="J604" s="39"/>
      <c r="K604" s="40" t="s">
        <v>708</v>
      </c>
      <c r="L604" s="40" t="str">
        <f t="shared" si="24"/>
        <v>_</v>
      </c>
      <c r="M604" s="114">
        <f>ROUND(Tableau1[[#This Row],[LEN]]*7.27,0)</f>
        <v>233</v>
      </c>
      <c r="N604" s="114">
        <v>15</v>
      </c>
      <c r="O604" s="131" t="str">
        <f t="shared" si="25"/>
        <v>_self</v>
      </c>
      <c r="P604" s="114">
        <f>LEN(Tableau1[[#This Row],[LABEL]])</f>
        <v>32</v>
      </c>
      <c r="Q604" s="114">
        <v>15</v>
      </c>
      <c r="R604" s="114" t="e">
        <f>ROUND(Tableau1[[#This Row],[LEN]]*#REF!+#REF!,0)</f>
        <v>#REF!</v>
      </c>
    </row>
    <row r="605" spans="1:18" s="273" customFormat="1" hidden="1" x14ac:dyDescent="0.25">
      <c r="A605" s="309" t="s">
        <v>272</v>
      </c>
      <c r="B605" s="310" t="s">
        <v>207</v>
      </c>
      <c r="C605" s="427" t="s">
        <v>2151</v>
      </c>
      <c r="D605" s="311" t="s">
        <v>5</v>
      </c>
      <c r="E605" s="312" t="s">
        <v>1177</v>
      </c>
      <c r="F605" s="311" t="s">
        <v>668</v>
      </c>
      <c r="G605" s="311" t="s">
        <v>1177</v>
      </c>
      <c r="H605" s="312" t="s">
        <v>2096</v>
      </c>
      <c r="I605" s="312" t="str">
        <f>IFERROR(IF(SEARCH(".00.00.00.00.00",Tableau1[[#This Row],[name]],1)=7,"Division",""),"")</f>
        <v>Division</v>
      </c>
      <c r="J605" s="311"/>
      <c r="K605" s="313" t="s">
        <v>708</v>
      </c>
      <c r="L605" s="313" t="str">
        <f t="shared" si="24"/>
        <v>_</v>
      </c>
      <c r="M605" s="314">
        <f>ROUND(Tableau1[[#This Row],[LEN]]*7.27,0)</f>
        <v>73</v>
      </c>
      <c r="N605" s="314">
        <v>15</v>
      </c>
      <c r="O605" s="315" t="str">
        <f t="shared" si="25"/>
        <v>_self</v>
      </c>
      <c r="P605" s="314">
        <f>LEN(Tableau1[[#This Row],[LABEL]])</f>
        <v>10</v>
      </c>
      <c r="Q605" s="314">
        <v>15</v>
      </c>
      <c r="R605" s="314" t="e">
        <f>ROUND(Tableau1[[#This Row],[LEN]]*#REF!+#REF!,0)</f>
        <v>#REF!</v>
      </c>
    </row>
    <row r="606" spans="1:18" s="97" customFormat="1" hidden="1" x14ac:dyDescent="0.25">
      <c r="A606" s="33" t="s">
        <v>1433</v>
      </c>
      <c r="B606" s="34" t="s">
        <v>272</v>
      </c>
      <c r="C606" s="427" t="s">
        <v>2151</v>
      </c>
      <c r="D606" s="35" t="s">
        <v>111</v>
      </c>
      <c r="E606" s="72" t="s">
        <v>1177</v>
      </c>
      <c r="F606" s="35" t="s">
        <v>667</v>
      </c>
      <c r="G606" s="35" t="s">
        <v>2006</v>
      </c>
      <c r="H606" s="72" t="s">
        <v>2096</v>
      </c>
      <c r="I606" s="72" t="s">
        <v>655</v>
      </c>
      <c r="J606" s="35"/>
      <c r="K606" s="36" t="s">
        <v>708</v>
      </c>
      <c r="L606" s="36" t="str">
        <f t="shared" si="24"/>
        <v>_</v>
      </c>
      <c r="M606" s="113">
        <f>ROUND(Tableau1[[#This Row],[LEN]]*7.27,0)</f>
        <v>167</v>
      </c>
      <c r="N606" s="113">
        <v>15</v>
      </c>
      <c r="O606" s="130" t="str">
        <f t="shared" si="25"/>
        <v>_self</v>
      </c>
      <c r="P606" s="113">
        <f>LEN(Tableau1[[#This Row],[LABEL]])</f>
        <v>23</v>
      </c>
      <c r="Q606" s="113">
        <v>15</v>
      </c>
      <c r="R606" s="113" t="e">
        <f>ROUND(Tableau1[[#This Row],[LEN]]*#REF!+#REF!,0)</f>
        <v>#REF!</v>
      </c>
    </row>
    <row r="607" spans="1:18" s="97" customFormat="1" hidden="1" x14ac:dyDescent="0.25">
      <c r="A607" s="37" t="s">
        <v>1434</v>
      </c>
      <c r="B607" s="38" t="s">
        <v>1433</v>
      </c>
      <c r="C607" s="427" t="s">
        <v>2151</v>
      </c>
      <c r="D607" s="39" t="s">
        <v>112</v>
      </c>
      <c r="E607" s="73" t="s">
        <v>1177</v>
      </c>
      <c r="F607" s="39" t="s">
        <v>667</v>
      </c>
      <c r="G607" s="39" t="s">
        <v>2006</v>
      </c>
      <c r="H607" s="73" t="s">
        <v>2096</v>
      </c>
      <c r="I607" s="73" t="s">
        <v>654</v>
      </c>
      <c r="J607" s="39"/>
      <c r="K607" s="40" t="s">
        <v>708</v>
      </c>
      <c r="L607" s="40" t="str">
        <f t="shared" si="24"/>
        <v>_</v>
      </c>
      <c r="M607" s="114">
        <f>ROUND(Tableau1[[#This Row],[LEN]]*7.27,0)</f>
        <v>167</v>
      </c>
      <c r="N607" s="114">
        <v>15</v>
      </c>
      <c r="O607" s="131" t="str">
        <f t="shared" si="25"/>
        <v>_self</v>
      </c>
      <c r="P607" s="114">
        <f>LEN(Tableau1[[#This Row],[LABEL]])</f>
        <v>23</v>
      </c>
      <c r="Q607" s="114">
        <v>15</v>
      </c>
      <c r="R607" s="114" t="e">
        <f>ROUND(Tableau1[[#This Row],[LEN]]*#REF!+#REF!,0)</f>
        <v>#REF!</v>
      </c>
    </row>
    <row r="608" spans="1:18" s="97" customFormat="1" hidden="1" x14ac:dyDescent="0.25">
      <c r="A608" s="37" t="s">
        <v>1435</v>
      </c>
      <c r="B608" s="38" t="s">
        <v>1433</v>
      </c>
      <c r="C608" s="427" t="s">
        <v>2151</v>
      </c>
      <c r="D608" s="39" t="s">
        <v>113</v>
      </c>
      <c r="E608" s="73" t="s">
        <v>1177</v>
      </c>
      <c r="F608" s="39" t="s">
        <v>667</v>
      </c>
      <c r="G608" s="39" t="s">
        <v>2006</v>
      </c>
      <c r="H608" s="73" t="s">
        <v>2096</v>
      </c>
      <c r="I608" s="73" t="s">
        <v>654</v>
      </c>
      <c r="J608" s="39"/>
      <c r="K608" s="40" t="s">
        <v>708</v>
      </c>
      <c r="L608" s="40" t="str">
        <f t="shared" si="24"/>
        <v>_</v>
      </c>
      <c r="M608" s="114">
        <f>ROUND(Tableau1[[#This Row],[LEN]]*7.27,0)</f>
        <v>233</v>
      </c>
      <c r="N608" s="114">
        <v>15</v>
      </c>
      <c r="O608" s="131" t="str">
        <f t="shared" si="25"/>
        <v>_self</v>
      </c>
      <c r="P608" s="114">
        <f>LEN(Tableau1[[#This Row],[LABEL]])</f>
        <v>32</v>
      </c>
      <c r="Q608" s="114">
        <v>15</v>
      </c>
      <c r="R608" s="114" t="e">
        <f>ROUND(Tableau1[[#This Row],[LEN]]*#REF!+#REF!,0)</f>
        <v>#REF!</v>
      </c>
    </row>
    <row r="609" spans="1:18" s="273" customFormat="1" hidden="1" x14ac:dyDescent="0.25">
      <c r="A609" s="309" t="s">
        <v>273</v>
      </c>
      <c r="B609" s="310" t="s">
        <v>207</v>
      </c>
      <c r="C609" s="427" t="s">
        <v>2151</v>
      </c>
      <c r="D609" s="311" t="s">
        <v>2147</v>
      </c>
      <c r="E609" s="312" t="s">
        <v>1177</v>
      </c>
      <c r="F609" s="311" t="s">
        <v>669</v>
      </c>
      <c r="G609" s="311" t="s">
        <v>1177</v>
      </c>
      <c r="H609" s="312" t="s">
        <v>2096</v>
      </c>
      <c r="I609" s="312" t="str">
        <f>IFERROR(IF(SEARCH(".00.00.00.00.00",Tableau1[[#This Row],[name]],1)=7,"Division",""),"")</f>
        <v>Division</v>
      </c>
      <c r="J609" s="311"/>
      <c r="K609" s="313" t="s">
        <v>708</v>
      </c>
      <c r="L609" s="313" t="str">
        <f t="shared" si="24"/>
        <v>_</v>
      </c>
      <c r="M609" s="314">
        <f>ROUND(Tableau1[[#This Row],[LEN]]*7.27,0)</f>
        <v>196</v>
      </c>
      <c r="N609" s="314">
        <v>15</v>
      </c>
      <c r="O609" s="315" t="str">
        <f t="shared" si="25"/>
        <v>_self</v>
      </c>
      <c r="P609" s="314">
        <f>LEN(Tableau1[[#This Row],[LABEL]])</f>
        <v>27</v>
      </c>
      <c r="Q609" s="314">
        <v>15</v>
      </c>
      <c r="R609" s="314" t="e">
        <f>ROUND(Tableau1[[#This Row],[LEN]]*#REF!+#REF!,0)</f>
        <v>#REF!</v>
      </c>
    </row>
    <row r="610" spans="1:18" s="97" customFormat="1" hidden="1" x14ac:dyDescent="0.25">
      <c r="A610" s="33" t="s">
        <v>423</v>
      </c>
      <c r="B610" s="34" t="s">
        <v>273</v>
      </c>
      <c r="C610" s="427" t="s">
        <v>2151</v>
      </c>
      <c r="D610" s="35" t="s">
        <v>111</v>
      </c>
      <c r="E610" s="72" t="s">
        <v>1177</v>
      </c>
      <c r="F610" s="35" t="s">
        <v>667</v>
      </c>
      <c r="G610" s="35" t="s">
        <v>2006</v>
      </c>
      <c r="H610" s="72" t="s">
        <v>2096</v>
      </c>
      <c r="I610" s="72" t="s">
        <v>655</v>
      </c>
      <c r="J610" s="35"/>
      <c r="K610" s="36" t="s">
        <v>708</v>
      </c>
      <c r="L610" s="36" t="str">
        <f t="shared" si="24"/>
        <v>_</v>
      </c>
      <c r="M610" s="113">
        <f>ROUND(Tableau1[[#This Row],[LEN]]*7.27,0)</f>
        <v>167</v>
      </c>
      <c r="N610" s="113">
        <v>15</v>
      </c>
      <c r="O610" s="130" t="str">
        <f t="shared" si="25"/>
        <v>_self</v>
      </c>
      <c r="P610" s="113">
        <f>LEN(Tableau1[[#This Row],[LABEL]])</f>
        <v>23</v>
      </c>
      <c r="Q610" s="113">
        <v>15</v>
      </c>
      <c r="R610" s="113" t="e">
        <f>ROUND(Tableau1[[#This Row],[LEN]]*#REF!+#REF!,0)</f>
        <v>#REF!</v>
      </c>
    </row>
    <row r="611" spans="1:18" s="97" customFormat="1" hidden="1" x14ac:dyDescent="0.25">
      <c r="A611" s="37" t="s">
        <v>426</v>
      </c>
      <c r="B611" s="38" t="s">
        <v>423</v>
      </c>
      <c r="C611" s="427" t="s">
        <v>2151</v>
      </c>
      <c r="D611" s="39" t="s">
        <v>112</v>
      </c>
      <c r="E611" s="73" t="s">
        <v>1177</v>
      </c>
      <c r="F611" s="39" t="s">
        <v>667</v>
      </c>
      <c r="G611" s="39" t="s">
        <v>2006</v>
      </c>
      <c r="H611" s="73" t="s">
        <v>2096</v>
      </c>
      <c r="I611" s="73" t="s">
        <v>654</v>
      </c>
      <c r="J611" s="39"/>
      <c r="K611" s="40" t="s">
        <v>708</v>
      </c>
      <c r="L611" s="40" t="str">
        <f t="shared" si="24"/>
        <v>_</v>
      </c>
      <c r="M611" s="114">
        <f>ROUND(Tableau1[[#This Row],[LEN]]*7.27,0)</f>
        <v>167</v>
      </c>
      <c r="N611" s="114">
        <v>15</v>
      </c>
      <c r="O611" s="131" t="str">
        <f t="shared" si="25"/>
        <v>_self</v>
      </c>
      <c r="P611" s="114">
        <f>LEN(Tableau1[[#This Row],[LABEL]])</f>
        <v>23</v>
      </c>
      <c r="Q611" s="114">
        <v>15</v>
      </c>
      <c r="R611" s="114" t="e">
        <f>ROUND(Tableau1[[#This Row],[LEN]]*#REF!+#REF!,0)</f>
        <v>#REF!</v>
      </c>
    </row>
    <row r="612" spans="1:18" s="97" customFormat="1" hidden="1" x14ac:dyDescent="0.25">
      <c r="A612" s="37" t="s">
        <v>427</v>
      </c>
      <c r="B612" s="38" t="s">
        <v>423</v>
      </c>
      <c r="C612" s="427" t="s">
        <v>2151</v>
      </c>
      <c r="D612" s="39" t="s">
        <v>113</v>
      </c>
      <c r="E612" s="73" t="s">
        <v>1177</v>
      </c>
      <c r="F612" s="39" t="s">
        <v>667</v>
      </c>
      <c r="G612" s="39" t="s">
        <v>2006</v>
      </c>
      <c r="H612" s="73" t="s">
        <v>2096</v>
      </c>
      <c r="I612" s="73" t="s">
        <v>654</v>
      </c>
      <c r="J612" s="39"/>
      <c r="K612" s="40" t="s">
        <v>708</v>
      </c>
      <c r="L612" s="40" t="str">
        <f t="shared" si="24"/>
        <v>_</v>
      </c>
      <c r="M612" s="114">
        <f>ROUND(Tableau1[[#This Row],[LEN]]*7.27,0)</f>
        <v>233</v>
      </c>
      <c r="N612" s="114">
        <v>15</v>
      </c>
      <c r="O612" s="131" t="str">
        <f t="shared" si="25"/>
        <v>_self</v>
      </c>
      <c r="P612" s="114">
        <f>LEN(Tableau1[[#This Row],[LABEL]])</f>
        <v>32</v>
      </c>
      <c r="Q612" s="114">
        <v>15</v>
      </c>
      <c r="R612" s="114" t="e">
        <f>ROUND(Tableau1[[#This Row],[LEN]]*#REF!+#REF!,0)</f>
        <v>#REF!</v>
      </c>
    </row>
    <row r="613" spans="1:18" s="97" customFormat="1" hidden="1" x14ac:dyDescent="0.25">
      <c r="A613" s="33" t="s">
        <v>424</v>
      </c>
      <c r="B613" s="34" t="s">
        <v>273</v>
      </c>
      <c r="C613" s="427" t="s">
        <v>2151</v>
      </c>
      <c r="D613" s="35" t="s">
        <v>156</v>
      </c>
      <c r="E613" s="72" t="s">
        <v>1177</v>
      </c>
      <c r="F613" s="35" t="s">
        <v>669</v>
      </c>
      <c r="G613" s="35" t="s">
        <v>1177</v>
      </c>
      <c r="H613" s="72" t="s">
        <v>2096</v>
      </c>
      <c r="I613" s="72" t="s">
        <v>655</v>
      </c>
      <c r="J613" s="35"/>
      <c r="K613" s="36" t="s">
        <v>708</v>
      </c>
      <c r="L613" s="36" t="str">
        <f t="shared" si="24"/>
        <v>_</v>
      </c>
      <c r="M613" s="113">
        <f>ROUND(Tableau1[[#This Row],[LEN]]*7.27,0)</f>
        <v>131</v>
      </c>
      <c r="N613" s="113">
        <v>15</v>
      </c>
      <c r="O613" s="130" t="str">
        <f t="shared" si="25"/>
        <v>_self</v>
      </c>
      <c r="P613" s="113">
        <f>LEN(Tableau1[[#This Row],[LABEL]])</f>
        <v>18</v>
      </c>
      <c r="Q613" s="113">
        <v>15</v>
      </c>
      <c r="R613" s="113" t="e">
        <f>ROUND(Tableau1[[#This Row],[LEN]]*#REF!+#REF!,0)</f>
        <v>#REF!</v>
      </c>
    </row>
    <row r="614" spans="1:18" s="97" customFormat="1" hidden="1" x14ac:dyDescent="0.25">
      <c r="A614" s="37" t="s">
        <v>428</v>
      </c>
      <c r="B614" s="38" t="s">
        <v>424</v>
      </c>
      <c r="C614" s="427" t="s">
        <v>2151</v>
      </c>
      <c r="D614" s="39" t="s">
        <v>137</v>
      </c>
      <c r="E614" s="73" t="s">
        <v>1177</v>
      </c>
      <c r="F614" s="39" t="s">
        <v>669</v>
      </c>
      <c r="G614" s="39" t="s">
        <v>1177</v>
      </c>
      <c r="H614" s="73" t="s">
        <v>2096</v>
      </c>
      <c r="I614" s="73" t="s">
        <v>654</v>
      </c>
      <c r="J614" s="39"/>
      <c r="K614" s="40" t="s">
        <v>726</v>
      </c>
      <c r="L614" s="40" t="str">
        <f t="shared" si="24"/>
        <v>Documentation</v>
      </c>
      <c r="M614" s="114">
        <f>ROUND(Tableau1[[#This Row],[LEN]]*7.27,0)</f>
        <v>269</v>
      </c>
      <c r="N614" s="114">
        <v>15</v>
      </c>
      <c r="O614" s="131" t="str">
        <f t="shared" si="25"/>
        <v>_blank</v>
      </c>
      <c r="P614" s="114">
        <f>LEN(Tableau1[[#This Row],[LABEL]])</f>
        <v>37</v>
      </c>
      <c r="Q614" s="114">
        <v>15</v>
      </c>
      <c r="R614" s="114" t="e">
        <f>ROUND(Tableau1[[#This Row],[LEN]]*#REF!+#REF!,0)</f>
        <v>#REF!</v>
      </c>
    </row>
    <row r="615" spans="1:18" s="97" customFormat="1" hidden="1" x14ac:dyDescent="0.25">
      <c r="A615" s="37" t="s">
        <v>429</v>
      </c>
      <c r="B615" s="38" t="s">
        <v>424</v>
      </c>
      <c r="C615" s="427" t="s">
        <v>2151</v>
      </c>
      <c r="D615" s="39" t="s">
        <v>157</v>
      </c>
      <c r="E615" s="73" t="s">
        <v>1177</v>
      </c>
      <c r="F615" s="39" t="s">
        <v>669</v>
      </c>
      <c r="G615" s="39" t="s">
        <v>1177</v>
      </c>
      <c r="H615" s="73" t="s">
        <v>2096</v>
      </c>
      <c r="I615" s="73" t="s">
        <v>656</v>
      </c>
      <c r="J615" s="39"/>
      <c r="K615" s="40" t="s">
        <v>708</v>
      </c>
      <c r="L615" s="40" t="str">
        <f t="shared" si="24"/>
        <v>_</v>
      </c>
      <c r="M615" s="114">
        <f>ROUND(Tableau1[[#This Row],[LEN]]*7.27,0)</f>
        <v>538</v>
      </c>
      <c r="N615" s="114">
        <v>15</v>
      </c>
      <c r="O615" s="131" t="str">
        <f t="shared" si="25"/>
        <v>_self</v>
      </c>
      <c r="P615" s="114">
        <f>LEN(Tableau1[[#This Row],[LABEL]])</f>
        <v>74</v>
      </c>
      <c r="Q615" s="114">
        <v>15</v>
      </c>
      <c r="R615" s="114" t="e">
        <f>ROUND(Tableau1[[#This Row],[LEN]]*#REF!+#REF!,0)</f>
        <v>#REF!</v>
      </c>
    </row>
    <row r="616" spans="1:18" s="97" customFormat="1" hidden="1" x14ac:dyDescent="0.25">
      <c r="A616" s="37" t="s">
        <v>430</v>
      </c>
      <c r="B616" s="38" t="s">
        <v>424</v>
      </c>
      <c r="C616" s="427" t="s">
        <v>2151</v>
      </c>
      <c r="D616" s="39" t="s">
        <v>158</v>
      </c>
      <c r="E616" s="73" t="s">
        <v>1177</v>
      </c>
      <c r="F616" s="39" t="s">
        <v>669</v>
      </c>
      <c r="G616" s="39" t="s">
        <v>1177</v>
      </c>
      <c r="H616" s="73" t="s">
        <v>2096</v>
      </c>
      <c r="I616" s="73" t="s">
        <v>656</v>
      </c>
      <c r="J616" s="39"/>
      <c r="K616" s="40" t="s">
        <v>708</v>
      </c>
      <c r="L616" s="40" t="str">
        <f t="shared" si="24"/>
        <v>_</v>
      </c>
      <c r="M616" s="114">
        <f>ROUND(Tableau1[[#This Row],[LEN]]*7.27,0)</f>
        <v>320</v>
      </c>
      <c r="N616" s="114">
        <v>15</v>
      </c>
      <c r="O616" s="131" t="str">
        <f t="shared" si="25"/>
        <v>_self</v>
      </c>
      <c r="P616" s="114">
        <f>LEN(Tableau1[[#This Row],[LABEL]])</f>
        <v>44</v>
      </c>
      <c r="Q616" s="114">
        <v>15</v>
      </c>
      <c r="R616" s="114" t="e">
        <f>ROUND(Tableau1[[#This Row],[LEN]]*#REF!+#REF!,0)</f>
        <v>#REF!</v>
      </c>
    </row>
    <row r="617" spans="1:18" s="97" customFormat="1" hidden="1" x14ac:dyDescent="0.25">
      <c r="A617" s="37" t="s">
        <v>431</v>
      </c>
      <c r="B617" s="38" t="s">
        <v>424</v>
      </c>
      <c r="C617" s="427" t="s">
        <v>2151</v>
      </c>
      <c r="D617" s="39" t="s">
        <v>159</v>
      </c>
      <c r="E617" s="73" t="s">
        <v>1177</v>
      </c>
      <c r="F617" s="39" t="s">
        <v>669</v>
      </c>
      <c r="G617" s="39" t="s">
        <v>1177</v>
      </c>
      <c r="H617" s="73" t="s">
        <v>2096</v>
      </c>
      <c r="I617" s="73" t="s">
        <v>18</v>
      </c>
      <c r="J617" s="39"/>
      <c r="K617" s="40" t="s">
        <v>708</v>
      </c>
      <c r="L617" s="40" t="str">
        <f t="shared" si="24"/>
        <v>_</v>
      </c>
      <c r="M617" s="114">
        <f>ROUND(Tableau1[[#This Row],[LEN]]*7.27,0)</f>
        <v>407</v>
      </c>
      <c r="N617" s="114">
        <v>15</v>
      </c>
      <c r="O617" s="131" t="str">
        <f t="shared" si="25"/>
        <v>_self</v>
      </c>
      <c r="P617" s="114">
        <f>LEN(Tableau1[[#This Row],[LABEL]])</f>
        <v>56</v>
      </c>
      <c r="Q617" s="114">
        <v>15</v>
      </c>
      <c r="R617" s="114" t="e">
        <f>ROUND(Tableau1[[#This Row],[LEN]]*#REF!+#REF!,0)</f>
        <v>#REF!</v>
      </c>
    </row>
    <row r="618" spans="1:18" s="97" customFormat="1" hidden="1" x14ac:dyDescent="0.25">
      <c r="A618" s="37" t="s">
        <v>432</v>
      </c>
      <c r="B618" s="38" t="s">
        <v>424</v>
      </c>
      <c r="C618" s="427" t="s">
        <v>2151</v>
      </c>
      <c r="D618" s="39" t="s">
        <v>160</v>
      </c>
      <c r="E618" s="73" t="s">
        <v>1177</v>
      </c>
      <c r="F618" s="39" t="s">
        <v>669</v>
      </c>
      <c r="G618" s="39" t="s">
        <v>1177</v>
      </c>
      <c r="H618" s="73" t="s">
        <v>2096</v>
      </c>
      <c r="I618" s="73" t="s">
        <v>18</v>
      </c>
      <c r="J618" s="39"/>
      <c r="K618" s="40" t="s">
        <v>708</v>
      </c>
      <c r="L618" s="40" t="str">
        <f t="shared" si="24"/>
        <v>_</v>
      </c>
      <c r="M618" s="114">
        <f>ROUND(Tableau1[[#This Row],[LEN]]*7.27,0)</f>
        <v>371</v>
      </c>
      <c r="N618" s="114">
        <v>15</v>
      </c>
      <c r="O618" s="131" t="str">
        <f t="shared" si="25"/>
        <v>_self</v>
      </c>
      <c r="P618" s="114">
        <f>LEN(Tableau1[[#This Row],[LABEL]])</f>
        <v>51</v>
      </c>
      <c r="Q618" s="114">
        <v>15</v>
      </c>
      <c r="R618" s="114" t="e">
        <f>ROUND(Tableau1[[#This Row],[LEN]]*#REF!+#REF!,0)</f>
        <v>#REF!</v>
      </c>
    </row>
    <row r="619" spans="1:18" s="97" customFormat="1" hidden="1" x14ac:dyDescent="0.25">
      <c r="A619" s="37" t="s">
        <v>433</v>
      </c>
      <c r="B619" s="38" t="s">
        <v>424</v>
      </c>
      <c r="C619" s="427" t="s">
        <v>2151</v>
      </c>
      <c r="D619" s="39" t="s">
        <v>161</v>
      </c>
      <c r="E619" s="73" t="s">
        <v>1177</v>
      </c>
      <c r="F619" s="39" t="s">
        <v>669</v>
      </c>
      <c r="G619" s="39" t="s">
        <v>1177</v>
      </c>
      <c r="H619" s="73" t="s">
        <v>2096</v>
      </c>
      <c r="I619" s="73" t="s">
        <v>656</v>
      </c>
      <c r="J619" s="39"/>
      <c r="K619" s="40" t="s">
        <v>708</v>
      </c>
      <c r="L619" s="40" t="str">
        <f t="shared" si="24"/>
        <v>_</v>
      </c>
      <c r="M619" s="114">
        <f>ROUND(Tableau1[[#This Row],[LEN]]*7.27,0)</f>
        <v>276</v>
      </c>
      <c r="N619" s="114">
        <v>15</v>
      </c>
      <c r="O619" s="131" t="str">
        <f t="shared" si="25"/>
        <v>_self</v>
      </c>
      <c r="P619" s="114">
        <f>LEN(Tableau1[[#This Row],[LABEL]])</f>
        <v>38</v>
      </c>
      <c r="Q619" s="114">
        <v>15</v>
      </c>
      <c r="R619" s="114" t="e">
        <f>ROUND(Tableau1[[#This Row],[LEN]]*#REF!+#REF!,0)</f>
        <v>#REF!</v>
      </c>
    </row>
    <row r="620" spans="1:18" s="97" customFormat="1" hidden="1" x14ac:dyDescent="0.25">
      <c r="A620" s="37" t="s">
        <v>434</v>
      </c>
      <c r="B620" s="38" t="s">
        <v>424</v>
      </c>
      <c r="C620" s="427" t="s">
        <v>2151</v>
      </c>
      <c r="D620" s="39" t="s">
        <v>162</v>
      </c>
      <c r="E620" s="73" t="s">
        <v>1177</v>
      </c>
      <c r="F620" s="39" t="s">
        <v>669</v>
      </c>
      <c r="G620" s="39" t="s">
        <v>1177</v>
      </c>
      <c r="H620" s="73" t="s">
        <v>2096</v>
      </c>
      <c r="I620" s="73" t="s">
        <v>656</v>
      </c>
      <c r="J620" s="39"/>
      <c r="K620" s="40" t="s">
        <v>708</v>
      </c>
      <c r="L620" s="40" t="str">
        <f t="shared" si="24"/>
        <v>_</v>
      </c>
      <c r="M620" s="114">
        <f>ROUND(Tableau1[[#This Row],[LEN]]*7.27,0)</f>
        <v>393</v>
      </c>
      <c r="N620" s="114">
        <v>15</v>
      </c>
      <c r="O620" s="131" t="str">
        <f t="shared" si="25"/>
        <v>_self</v>
      </c>
      <c r="P620" s="114">
        <f>LEN(Tableau1[[#This Row],[LABEL]])</f>
        <v>54</v>
      </c>
      <c r="Q620" s="114">
        <v>15</v>
      </c>
      <c r="R620" s="114" t="e">
        <f>ROUND(Tableau1[[#This Row],[LEN]]*#REF!+#REF!,0)</f>
        <v>#REF!</v>
      </c>
    </row>
    <row r="621" spans="1:18" s="97" customFormat="1" hidden="1" x14ac:dyDescent="0.25">
      <c r="A621" s="37" t="s">
        <v>435</v>
      </c>
      <c r="B621" s="38" t="s">
        <v>424</v>
      </c>
      <c r="C621" s="427" t="s">
        <v>2151</v>
      </c>
      <c r="D621" s="39" t="s">
        <v>163</v>
      </c>
      <c r="E621" s="73" t="s">
        <v>1177</v>
      </c>
      <c r="F621" s="39" t="s">
        <v>669</v>
      </c>
      <c r="G621" s="39" t="s">
        <v>1177</v>
      </c>
      <c r="H621" s="73" t="s">
        <v>2096</v>
      </c>
      <c r="I621" s="73" t="s">
        <v>654</v>
      </c>
      <c r="J621" s="39"/>
      <c r="K621" s="40" t="s">
        <v>708</v>
      </c>
      <c r="L621" s="40" t="str">
        <f t="shared" si="24"/>
        <v>_</v>
      </c>
      <c r="M621" s="114">
        <f>ROUND(Tableau1[[#This Row],[LEN]]*7.27,0)</f>
        <v>153</v>
      </c>
      <c r="N621" s="114">
        <v>15</v>
      </c>
      <c r="O621" s="131" t="str">
        <f t="shared" si="25"/>
        <v>_self</v>
      </c>
      <c r="P621" s="114">
        <f>LEN(Tableau1[[#This Row],[LABEL]])</f>
        <v>21</v>
      </c>
      <c r="Q621" s="114">
        <v>15</v>
      </c>
      <c r="R621" s="114" t="e">
        <f>ROUND(Tableau1[[#This Row],[LEN]]*#REF!+#REF!,0)</f>
        <v>#REF!</v>
      </c>
    </row>
    <row r="622" spans="1:18" s="97" customFormat="1" hidden="1" x14ac:dyDescent="0.25">
      <c r="A622" s="33" t="s">
        <v>425</v>
      </c>
      <c r="B622" s="34" t="s">
        <v>273</v>
      </c>
      <c r="C622" s="427" t="s">
        <v>2151</v>
      </c>
      <c r="D622" s="35" t="s">
        <v>114</v>
      </c>
      <c r="E622" s="72" t="s">
        <v>1177</v>
      </c>
      <c r="F622" s="35" t="s">
        <v>661</v>
      </c>
      <c r="G622" s="35" t="s">
        <v>2083</v>
      </c>
      <c r="H622" s="72" t="s">
        <v>2096</v>
      </c>
      <c r="I622" s="72" t="s">
        <v>654</v>
      </c>
      <c r="J622" s="35"/>
      <c r="K622" s="36" t="s">
        <v>708</v>
      </c>
      <c r="L622" s="36" t="str">
        <f t="shared" si="24"/>
        <v>_</v>
      </c>
      <c r="M622" s="113">
        <f>ROUND(Tableau1[[#This Row],[LEN]]*7.27,0)</f>
        <v>153</v>
      </c>
      <c r="N622" s="113">
        <v>15</v>
      </c>
      <c r="O622" s="130" t="str">
        <f t="shared" si="25"/>
        <v>_self</v>
      </c>
      <c r="P622" s="113">
        <f>LEN(Tableau1[[#This Row],[LABEL]])</f>
        <v>21</v>
      </c>
      <c r="Q622" s="113">
        <v>15</v>
      </c>
      <c r="R622" s="113" t="e">
        <f>ROUND(Tableau1[[#This Row],[LEN]]*#REF!+#REF!,0)</f>
        <v>#REF!</v>
      </c>
    </row>
    <row r="623" spans="1:18" s="273" customFormat="1" hidden="1" x14ac:dyDescent="0.25">
      <c r="A623" s="309" t="s">
        <v>274</v>
      </c>
      <c r="B623" s="310" t="s">
        <v>207</v>
      </c>
      <c r="C623" s="427" t="s">
        <v>2151</v>
      </c>
      <c r="D623" s="311" t="s">
        <v>7</v>
      </c>
      <c r="E623" s="312" t="s">
        <v>1177</v>
      </c>
      <c r="F623" s="311" t="s">
        <v>670</v>
      </c>
      <c r="G623" s="311" t="s">
        <v>1177</v>
      </c>
      <c r="H623" s="312" t="s">
        <v>2096</v>
      </c>
      <c r="I623" s="312" t="str">
        <f>IFERROR(IF(SEARCH(".00.00.00.00.00",Tableau1[[#This Row],[name]],1)=7,"Division",""),"")</f>
        <v>Division</v>
      </c>
      <c r="J623" s="311"/>
      <c r="K623" s="313" t="s">
        <v>708</v>
      </c>
      <c r="L623" s="313" t="str">
        <f t="shared" si="24"/>
        <v>_</v>
      </c>
      <c r="M623" s="314">
        <f>ROUND(Tableau1[[#This Row],[LEN]]*7.27,0)</f>
        <v>189</v>
      </c>
      <c r="N623" s="314">
        <v>15</v>
      </c>
      <c r="O623" s="315" t="str">
        <f t="shared" si="25"/>
        <v>_self</v>
      </c>
      <c r="P623" s="314">
        <f>LEN(Tableau1[[#This Row],[LABEL]])</f>
        <v>26</v>
      </c>
      <c r="Q623" s="314">
        <v>15</v>
      </c>
      <c r="R623" s="314" t="e">
        <f>ROUND(Tableau1[[#This Row],[LEN]]*#REF!+#REF!,0)</f>
        <v>#REF!</v>
      </c>
    </row>
    <row r="624" spans="1:18" s="97" customFormat="1" hidden="1" x14ac:dyDescent="0.25">
      <c r="A624" s="33" t="s">
        <v>1436</v>
      </c>
      <c r="B624" s="34" t="s">
        <v>274</v>
      </c>
      <c r="C624" s="427" t="s">
        <v>2151</v>
      </c>
      <c r="D624" s="35" t="s">
        <v>1440</v>
      </c>
      <c r="E624" s="72" t="s">
        <v>1177</v>
      </c>
      <c r="F624" s="35" t="s">
        <v>670</v>
      </c>
      <c r="G624" s="35" t="s">
        <v>1177</v>
      </c>
      <c r="H624" s="72" t="s">
        <v>2096</v>
      </c>
      <c r="I624" s="72" t="s">
        <v>656</v>
      </c>
      <c r="J624" s="35"/>
      <c r="K624" s="36" t="s">
        <v>708</v>
      </c>
      <c r="L624" s="36" t="str">
        <f t="shared" si="24"/>
        <v>_</v>
      </c>
      <c r="M624" s="113">
        <f>ROUND(Tableau1[[#This Row],[LEN]]*7.27,0)</f>
        <v>342</v>
      </c>
      <c r="N624" s="113">
        <v>15</v>
      </c>
      <c r="O624" s="130" t="str">
        <f t="shared" si="25"/>
        <v>_self</v>
      </c>
      <c r="P624" s="113">
        <f>LEN(Tableau1[[#This Row],[LABEL]])</f>
        <v>47</v>
      </c>
      <c r="Q624" s="113">
        <v>15</v>
      </c>
      <c r="R624" s="113" t="e">
        <f>ROUND(Tableau1[[#This Row],[LEN]]*#REF!+#REF!,0)</f>
        <v>#REF!</v>
      </c>
    </row>
    <row r="625" spans="1:18" s="97" customFormat="1" hidden="1" x14ac:dyDescent="0.25">
      <c r="A625" s="33" t="s">
        <v>1437</v>
      </c>
      <c r="B625" s="34" t="s">
        <v>274</v>
      </c>
      <c r="C625" s="427" t="s">
        <v>2151</v>
      </c>
      <c r="D625" s="35" t="s">
        <v>1441</v>
      </c>
      <c r="E625" s="72" t="s">
        <v>1177</v>
      </c>
      <c r="F625" s="35" t="s">
        <v>670</v>
      </c>
      <c r="G625" s="35" t="s">
        <v>1177</v>
      </c>
      <c r="H625" s="72" t="s">
        <v>2096</v>
      </c>
      <c r="I625" s="72" t="s">
        <v>656</v>
      </c>
      <c r="J625" s="35"/>
      <c r="K625" s="36" t="s">
        <v>708</v>
      </c>
      <c r="L625" s="36" t="str">
        <f t="shared" si="24"/>
        <v>_</v>
      </c>
      <c r="M625" s="113">
        <f>ROUND(Tableau1[[#This Row],[LEN]]*7.27,0)</f>
        <v>305</v>
      </c>
      <c r="N625" s="113">
        <v>15</v>
      </c>
      <c r="O625" s="130" t="str">
        <f t="shared" si="25"/>
        <v>_self</v>
      </c>
      <c r="P625" s="113">
        <f>LEN(Tableau1[[#This Row],[LABEL]])</f>
        <v>42</v>
      </c>
      <c r="Q625" s="113">
        <v>15</v>
      </c>
      <c r="R625" s="113" t="e">
        <f>ROUND(Tableau1[[#This Row],[LEN]]*#REF!+#REF!,0)</f>
        <v>#REF!</v>
      </c>
    </row>
    <row r="626" spans="1:18" s="97" customFormat="1" hidden="1" x14ac:dyDescent="0.25">
      <c r="A626" s="33" t="s">
        <v>1438</v>
      </c>
      <c r="B626" s="34" t="s">
        <v>274</v>
      </c>
      <c r="C626" s="427" t="s">
        <v>2151</v>
      </c>
      <c r="D626" s="35" t="s">
        <v>1442</v>
      </c>
      <c r="E626" s="72" t="s">
        <v>1177</v>
      </c>
      <c r="F626" s="35" t="s">
        <v>670</v>
      </c>
      <c r="G626" s="35" t="s">
        <v>1177</v>
      </c>
      <c r="H626" s="72" t="s">
        <v>2096</v>
      </c>
      <c r="I626" s="72" t="s">
        <v>656</v>
      </c>
      <c r="J626" s="35"/>
      <c r="K626" s="36" t="s">
        <v>708</v>
      </c>
      <c r="L626" s="36" t="str">
        <f t="shared" si="24"/>
        <v>_</v>
      </c>
      <c r="M626" s="113">
        <f>ROUND(Tableau1[[#This Row],[LEN]]*7.27,0)</f>
        <v>167</v>
      </c>
      <c r="N626" s="113">
        <v>15</v>
      </c>
      <c r="O626" s="130" t="str">
        <f t="shared" si="25"/>
        <v>_self</v>
      </c>
      <c r="P626" s="113">
        <f>LEN(Tableau1[[#This Row],[LABEL]])</f>
        <v>23</v>
      </c>
      <c r="Q626" s="113">
        <v>15</v>
      </c>
      <c r="R626" s="113" t="e">
        <f>ROUND(Tableau1[[#This Row],[LEN]]*#REF!+#REF!,0)</f>
        <v>#REF!</v>
      </c>
    </row>
    <row r="627" spans="1:18" s="97" customFormat="1" hidden="1" x14ac:dyDescent="0.25">
      <c r="A627" s="33" t="s">
        <v>1439</v>
      </c>
      <c r="B627" s="34" t="s">
        <v>274</v>
      </c>
      <c r="C627" s="427" t="s">
        <v>2151</v>
      </c>
      <c r="D627" s="35" t="s">
        <v>1443</v>
      </c>
      <c r="E627" s="72" t="s">
        <v>1177</v>
      </c>
      <c r="F627" s="35" t="s">
        <v>670</v>
      </c>
      <c r="G627" s="35" t="s">
        <v>1177</v>
      </c>
      <c r="H627" s="72" t="s">
        <v>2096</v>
      </c>
      <c r="I627" s="72" t="s">
        <v>656</v>
      </c>
      <c r="J627" s="35"/>
      <c r="K627" s="36" t="s">
        <v>708</v>
      </c>
      <c r="L627" s="36" t="str">
        <f t="shared" si="24"/>
        <v>_</v>
      </c>
      <c r="M627" s="113">
        <f>ROUND(Tableau1[[#This Row],[LEN]]*7.27,0)</f>
        <v>385</v>
      </c>
      <c r="N627" s="113">
        <v>15</v>
      </c>
      <c r="O627" s="130" t="str">
        <f t="shared" si="25"/>
        <v>_self</v>
      </c>
      <c r="P627" s="113">
        <f>LEN(Tableau1[[#This Row],[LABEL]])</f>
        <v>53</v>
      </c>
      <c r="Q627" s="113">
        <v>15</v>
      </c>
      <c r="R627" s="113" t="e">
        <f>ROUND(Tableau1[[#This Row],[LEN]]*#REF!+#REF!,0)</f>
        <v>#REF!</v>
      </c>
    </row>
    <row r="628" spans="1:18" s="273" customFormat="1" x14ac:dyDescent="0.25">
      <c r="A628" s="309" t="s">
        <v>276</v>
      </c>
      <c r="B628" s="310" t="s">
        <v>207</v>
      </c>
      <c r="C628" s="427" t="s">
        <v>2151</v>
      </c>
      <c r="D628" s="311" t="s">
        <v>9</v>
      </c>
      <c r="E628" s="312" t="s">
        <v>1177</v>
      </c>
      <c r="F628" s="311" t="s">
        <v>672</v>
      </c>
      <c r="G628" s="311" t="s">
        <v>1177</v>
      </c>
      <c r="H628" s="312" t="s">
        <v>2096</v>
      </c>
      <c r="I628" s="312" t="str">
        <f>IFERROR(IF(SEARCH(".00.00.00.00.00",Tableau1[[#This Row],[name]],1)=7,"Division",""),"")</f>
        <v>Division</v>
      </c>
      <c r="J628" s="311"/>
      <c r="K628" s="313" t="s">
        <v>718</v>
      </c>
      <c r="L628" s="313" t="str">
        <f t="shared" si="24"/>
        <v>Documentation</v>
      </c>
      <c r="M628" s="314">
        <f>ROUND(Tableau1[[#This Row],[LEN]]*7.27,0)</f>
        <v>80</v>
      </c>
      <c r="N628" s="314">
        <v>15</v>
      </c>
      <c r="O628" s="315" t="str">
        <f t="shared" si="25"/>
        <v>_blank</v>
      </c>
      <c r="P628" s="314">
        <f>LEN(Tableau1[[#This Row],[LABEL]])</f>
        <v>11</v>
      </c>
      <c r="Q628" s="314">
        <v>15</v>
      </c>
      <c r="R628" s="314" t="e">
        <f>ROUND(Tableau1[[#This Row],[LEN]]*#REF!+#REF!,0)</f>
        <v>#REF!</v>
      </c>
    </row>
    <row r="629" spans="1:18" s="97" customFormat="1" hidden="1" x14ac:dyDescent="0.25">
      <c r="A629" s="33" t="s">
        <v>1444</v>
      </c>
      <c r="B629" s="34" t="s">
        <v>276</v>
      </c>
      <c r="C629" s="427" t="s">
        <v>2151</v>
      </c>
      <c r="D629" s="35" t="s">
        <v>111</v>
      </c>
      <c r="E629" s="72" t="s">
        <v>1177</v>
      </c>
      <c r="F629" s="35" t="s">
        <v>667</v>
      </c>
      <c r="G629" s="35" t="s">
        <v>2006</v>
      </c>
      <c r="H629" s="72" t="s">
        <v>2096</v>
      </c>
      <c r="I629" s="72" t="s">
        <v>655</v>
      </c>
      <c r="J629" s="35"/>
      <c r="K629" s="36" t="s">
        <v>708</v>
      </c>
      <c r="L629" s="36" t="str">
        <f t="shared" si="24"/>
        <v>_</v>
      </c>
      <c r="M629" s="113">
        <f>ROUND(Tableau1[[#This Row],[LEN]]*7.27,0)</f>
        <v>167</v>
      </c>
      <c r="N629" s="113">
        <v>15</v>
      </c>
      <c r="O629" s="130" t="str">
        <f t="shared" si="25"/>
        <v>_self</v>
      </c>
      <c r="P629" s="113">
        <f>LEN(Tableau1[[#This Row],[LABEL]])</f>
        <v>23</v>
      </c>
      <c r="Q629" s="113">
        <v>15</v>
      </c>
      <c r="R629" s="113" t="e">
        <f>ROUND(Tableau1[[#This Row],[LEN]]*#REF!+#REF!,0)</f>
        <v>#REF!</v>
      </c>
    </row>
    <row r="630" spans="1:18" s="97" customFormat="1" hidden="1" x14ac:dyDescent="0.25">
      <c r="A630" s="37" t="s">
        <v>509</v>
      </c>
      <c r="B630" s="38" t="s">
        <v>1444</v>
      </c>
      <c r="C630" s="427" t="s">
        <v>2151</v>
      </c>
      <c r="D630" s="39" t="s">
        <v>112</v>
      </c>
      <c r="E630" s="73" t="s">
        <v>1177</v>
      </c>
      <c r="F630" s="39" t="s">
        <v>667</v>
      </c>
      <c r="G630" s="39" t="s">
        <v>2006</v>
      </c>
      <c r="H630" s="73" t="s">
        <v>2096</v>
      </c>
      <c r="I630" s="73" t="s">
        <v>654</v>
      </c>
      <c r="J630" s="39"/>
      <c r="K630" s="40" t="s">
        <v>708</v>
      </c>
      <c r="L630" s="40" t="str">
        <f t="shared" si="24"/>
        <v>_</v>
      </c>
      <c r="M630" s="114">
        <f>ROUND(Tableau1[[#This Row],[LEN]]*7.27,0)</f>
        <v>167</v>
      </c>
      <c r="N630" s="114">
        <v>15</v>
      </c>
      <c r="O630" s="131" t="str">
        <f t="shared" si="25"/>
        <v>_self</v>
      </c>
      <c r="P630" s="114">
        <f>LEN(Tableau1[[#This Row],[LABEL]])</f>
        <v>23</v>
      </c>
      <c r="Q630" s="114">
        <v>15</v>
      </c>
      <c r="R630" s="114" t="e">
        <f>ROUND(Tableau1[[#This Row],[LEN]]*#REF!+#REF!,0)</f>
        <v>#REF!</v>
      </c>
    </row>
    <row r="631" spans="1:18" s="97" customFormat="1" hidden="1" x14ac:dyDescent="0.25">
      <c r="A631" s="37" t="s">
        <v>510</v>
      </c>
      <c r="B631" s="38" t="s">
        <v>1444</v>
      </c>
      <c r="C631" s="427" t="s">
        <v>2151</v>
      </c>
      <c r="D631" s="39" t="s">
        <v>113</v>
      </c>
      <c r="E631" s="73" t="s">
        <v>1177</v>
      </c>
      <c r="F631" s="39" t="s">
        <v>667</v>
      </c>
      <c r="G631" s="39" t="s">
        <v>2006</v>
      </c>
      <c r="H631" s="73" t="s">
        <v>2096</v>
      </c>
      <c r="I631" s="73" t="s">
        <v>654</v>
      </c>
      <c r="J631" s="39"/>
      <c r="K631" s="40" t="s">
        <v>708</v>
      </c>
      <c r="L631" s="40" t="str">
        <f t="shared" si="24"/>
        <v>_</v>
      </c>
      <c r="M631" s="114">
        <f>ROUND(Tableau1[[#This Row],[LEN]]*7.27,0)</f>
        <v>233</v>
      </c>
      <c r="N631" s="114">
        <v>15</v>
      </c>
      <c r="O631" s="131" t="str">
        <f t="shared" si="25"/>
        <v>_self</v>
      </c>
      <c r="P631" s="114">
        <f>LEN(Tableau1[[#This Row],[LABEL]])</f>
        <v>32</v>
      </c>
      <c r="Q631" s="114">
        <v>15</v>
      </c>
      <c r="R631" s="114" t="e">
        <f>ROUND(Tableau1[[#This Row],[LEN]]*#REF!+#REF!,0)</f>
        <v>#REF!</v>
      </c>
    </row>
    <row r="632" spans="1:18" s="273" customFormat="1" hidden="1" x14ac:dyDescent="0.25">
      <c r="A632" s="309" t="s">
        <v>277</v>
      </c>
      <c r="B632" s="310" t="s">
        <v>207</v>
      </c>
      <c r="C632" s="427" t="s">
        <v>2151</v>
      </c>
      <c r="D632" s="311" t="s">
        <v>10</v>
      </c>
      <c r="E632" s="312" t="s">
        <v>1177</v>
      </c>
      <c r="F632" s="311" t="s">
        <v>673</v>
      </c>
      <c r="G632" s="311" t="s">
        <v>1177</v>
      </c>
      <c r="H632" s="312" t="s">
        <v>2096</v>
      </c>
      <c r="I632" s="312" t="str">
        <f>IFERROR(IF(SEARCH(".00.00.00.00.00",Tableau1[[#This Row],[name]],1)=7,"Division",""),"")</f>
        <v>Division</v>
      </c>
      <c r="J632" s="311"/>
      <c r="K632" s="313" t="s">
        <v>719</v>
      </c>
      <c r="L632" s="313" t="str">
        <f t="shared" si="24"/>
        <v>Documentation</v>
      </c>
      <c r="M632" s="314">
        <f>ROUND(Tableau1[[#This Row],[LEN]]*7.27,0)</f>
        <v>109</v>
      </c>
      <c r="N632" s="314">
        <v>15</v>
      </c>
      <c r="O632" s="315" t="str">
        <f t="shared" si="25"/>
        <v>_blank</v>
      </c>
      <c r="P632" s="314">
        <f>LEN(Tableau1[[#This Row],[LABEL]])</f>
        <v>15</v>
      </c>
      <c r="Q632" s="314">
        <v>15</v>
      </c>
      <c r="R632" s="314" t="e">
        <f>ROUND(Tableau1[[#This Row],[LEN]]*#REF!+#REF!,0)</f>
        <v>#REF!</v>
      </c>
    </row>
    <row r="633" spans="1:18" s="97" customFormat="1" hidden="1" x14ac:dyDescent="0.25">
      <c r="A633" s="33" t="s">
        <v>1446</v>
      </c>
      <c r="B633" s="34" t="s">
        <v>277</v>
      </c>
      <c r="C633" s="427" t="s">
        <v>2151</v>
      </c>
      <c r="D633" s="35" t="s">
        <v>111</v>
      </c>
      <c r="E633" s="72" t="s">
        <v>1177</v>
      </c>
      <c r="F633" s="35" t="s">
        <v>667</v>
      </c>
      <c r="G633" s="35" t="s">
        <v>2006</v>
      </c>
      <c r="H633" s="72" t="s">
        <v>2096</v>
      </c>
      <c r="I633" s="72" t="s">
        <v>655</v>
      </c>
      <c r="J633" s="35"/>
      <c r="K633" s="36" t="s">
        <v>708</v>
      </c>
      <c r="L633" s="36" t="str">
        <f t="shared" si="24"/>
        <v>_</v>
      </c>
      <c r="M633" s="113">
        <f>ROUND(Tableau1[[#This Row],[LEN]]*7.27,0)</f>
        <v>167</v>
      </c>
      <c r="N633" s="113">
        <v>15</v>
      </c>
      <c r="O633" s="130" t="str">
        <f t="shared" si="25"/>
        <v>_self</v>
      </c>
      <c r="P633" s="113">
        <f>LEN(Tableau1[[#This Row],[LABEL]])</f>
        <v>23</v>
      </c>
      <c r="Q633" s="113">
        <v>15</v>
      </c>
      <c r="R633" s="113" t="e">
        <f>ROUND(Tableau1[[#This Row],[LEN]]*#REF!+#REF!,0)</f>
        <v>#REF!</v>
      </c>
    </row>
    <row r="634" spans="1:18" s="97" customFormat="1" hidden="1" x14ac:dyDescent="0.25">
      <c r="A634" s="37" t="s">
        <v>1448</v>
      </c>
      <c r="B634" s="38" t="s">
        <v>1446</v>
      </c>
      <c r="C634" s="427" t="s">
        <v>2151</v>
      </c>
      <c r="D634" s="39" t="s">
        <v>112</v>
      </c>
      <c r="E634" s="73" t="s">
        <v>1177</v>
      </c>
      <c r="F634" s="39" t="s">
        <v>667</v>
      </c>
      <c r="G634" s="39" t="s">
        <v>2006</v>
      </c>
      <c r="H634" s="73" t="s">
        <v>2096</v>
      </c>
      <c r="I634" s="73" t="s">
        <v>654</v>
      </c>
      <c r="J634" s="39"/>
      <c r="K634" s="40" t="s">
        <v>708</v>
      </c>
      <c r="L634" s="40" t="str">
        <f t="shared" si="24"/>
        <v>_</v>
      </c>
      <c r="M634" s="114">
        <f>ROUND(Tableau1[[#This Row],[LEN]]*7.27,0)</f>
        <v>167</v>
      </c>
      <c r="N634" s="114">
        <v>15</v>
      </c>
      <c r="O634" s="131" t="str">
        <f t="shared" si="25"/>
        <v>_self</v>
      </c>
      <c r="P634" s="114">
        <f>LEN(Tableau1[[#This Row],[LABEL]])</f>
        <v>23</v>
      </c>
      <c r="Q634" s="114">
        <v>15</v>
      </c>
      <c r="R634" s="114" t="e">
        <f>ROUND(Tableau1[[#This Row],[LEN]]*#REF!+#REF!,0)</f>
        <v>#REF!</v>
      </c>
    </row>
    <row r="635" spans="1:18" s="97" customFormat="1" hidden="1" x14ac:dyDescent="0.25">
      <c r="A635" s="37" t="s">
        <v>1449</v>
      </c>
      <c r="B635" s="38" t="s">
        <v>1446</v>
      </c>
      <c r="C635" s="427" t="s">
        <v>2151</v>
      </c>
      <c r="D635" s="39" t="s">
        <v>113</v>
      </c>
      <c r="E635" s="73" t="s">
        <v>1177</v>
      </c>
      <c r="F635" s="39" t="s">
        <v>667</v>
      </c>
      <c r="G635" s="39" t="s">
        <v>2006</v>
      </c>
      <c r="H635" s="73" t="s">
        <v>2096</v>
      </c>
      <c r="I635" s="73" t="s">
        <v>654</v>
      </c>
      <c r="J635" s="39"/>
      <c r="K635" s="40" t="s">
        <v>708</v>
      </c>
      <c r="L635" s="40" t="str">
        <f t="shared" si="24"/>
        <v>_</v>
      </c>
      <c r="M635" s="114">
        <f>ROUND(Tableau1[[#This Row],[LEN]]*7.27,0)</f>
        <v>233</v>
      </c>
      <c r="N635" s="114">
        <v>15</v>
      </c>
      <c r="O635" s="131" t="str">
        <f t="shared" si="25"/>
        <v>_self</v>
      </c>
      <c r="P635" s="114">
        <f>LEN(Tableau1[[#This Row],[LABEL]])</f>
        <v>32</v>
      </c>
      <c r="Q635" s="114">
        <v>15</v>
      </c>
      <c r="R635" s="114" t="e">
        <f>ROUND(Tableau1[[#This Row],[LEN]]*#REF!+#REF!,0)</f>
        <v>#REF!</v>
      </c>
    </row>
    <row r="636" spans="1:18" s="97" customFormat="1" hidden="1" x14ac:dyDescent="0.25">
      <c r="A636" s="33" t="s">
        <v>1447</v>
      </c>
      <c r="B636" s="34" t="s">
        <v>277</v>
      </c>
      <c r="C636" s="427" t="s">
        <v>2151</v>
      </c>
      <c r="D636" s="35" t="s">
        <v>114</v>
      </c>
      <c r="E636" s="72" t="s">
        <v>1177</v>
      </c>
      <c r="F636" s="35" t="s">
        <v>661</v>
      </c>
      <c r="G636" s="35" t="s">
        <v>2083</v>
      </c>
      <c r="H636" s="72" t="s">
        <v>2096</v>
      </c>
      <c r="I636" s="72" t="s">
        <v>654</v>
      </c>
      <c r="J636" s="35"/>
      <c r="K636" s="36" t="s">
        <v>708</v>
      </c>
      <c r="L636" s="36" t="str">
        <f t="shared" si="24"/>
        <v>_</v>
      </c>
      <c r="M636" s="113">
        <f>ROUND(Tableau1[[#This Row],[LEN]]*7.27,0)</f>
        <v>153</v>
      </c>
      <c r="N636" s="113">
        <v>15</v>
      </c>
      <c r="O636" s="130" t="str">
        <f t="shared" si="25"/>
        <v>_self</v>
      </c>
      <c r="P636" s="113">
        <f>LEN(Tableau1[[#This Row],[LABEL]])</f>
        <v>21</v>
      </c>
      <c r="Q636" s="113">
        <v>15</v>
      </c>
      <c r="R636" s="113" t="e">
        <f>ROUND(Tableau1[[#This Row],[LEN]]*#REF!+#REF!,0)</f>
        <v>#REF!</v>
      </c>
    </row>
    <row r="637" spans="1:18" s="273" customFormat="1" hidden="1" x14ac:dyDescent="0.25">
      <c r="A637" s="309" t="s">
        <v>278</v>
      </c>
      <c r="B637" s="310" t="s">
        <v>207</v>
      </c>
      <c r="C637" s="427" t="s">
        <v>2151</v>
      </c>
      <c r="D637" s="311" t="s">
        <v>11</v>
      </c>
      <c r="E637" s="312" t="s">
        <v>1177</v>
      </c>
      <c r="F637" s="311" t="s">
        <v>674</v>
      </c>
      <c r="G637" s="311" t="s">
        <v>1177</v>
      </c>
      <c r="H637" s="312" t="s">
        <v>2096</v>
      </c>
      <c r="I637" s="312" t="str">
        <f>IFERROR(IF(SEARCH(".00.00.00.00.00",Tableau1[[#This Row],[name]],1)=7,"Division",""),"")</f>
        <v>Division</v>
      </c>
      <c r="J637" s="311"/>
      <c r="K637" s="313" t="s">
        <v>720</v>
      </c>
      <c r="L637" s="313" t="str">
        <f t="shared" si="24"/>
        <v>Documentation</v>
      </c>
      <c r="M637" s="314">
        <f>ROUND(Tableau1[[#This Row],[LEN]]*7.27,0)</f>
        <v>51</v>
      </c>
      <c r="N637" s="314">
        <v>15</v>
      </c>
      <c r="O637" s="315" t="str">
        <f t="shared" si="25"/>
        <v>_blank</v>
      </c>
      <c r="P637" s="314">
        <f>LEN(Tableau1[[#This Row],[LABEL]])</f>
        <v>7</v>
      </c>
      <c r="Q637" s="314">
        <v>15</v>
      </c>
      <c r="R637" s="314" t="e">
        <f>ROUND(Tableau1[[#This Row],[LEN]]*#REF!+#REF!,0)</f>
        <v>#REF!</v>
      </c>
    </row>
    <row r="638" spans="1:18" s="97" customFormat="1" hidden="1" x14ac:dyDescent="0.25">
      <c r="A638" s="33" t="s">
        <v>1450</v>
      </c>
      <c r="B638" s="34" t="s">
        <v>278</v>
      </c>
      <c r="C638" s="427" t="s">
        <v>2151</v>
      </c>
      <c r="D638" s="35" t="s">
        <v>111</v>
      </c>
      <c r="E638" s="72" t="s">
        <v>1177</v>
      </c>
      <c r="F638" s="35" t="s">
        <v>667</v>
      </c>
      <c r="G638" s="35" t="s">
        <v>2006</v>
      </c>
      <c r="H638" s="72" t="s">
        <v>2096</v>
      </c>
      <c r="I638" s="72" t="s">
        <v>655</v>
      </c>
      <c r="J638" s="35"/>
      <c r="K638" s="36" t="s">
        <v>708</v>
      </c>
      <c r="L638" s="36" t="str">
        <f t="shared" si="24"/>
        <v>_</v>
      </c>
      <c r="M638" s="113">
        <f>ROUND(Tableau1[[#This Row],[LEN]]*7.27,0)</f>
        <v>167</v>
      </c>
      <c r="N638" s="113">
        <v>15</v>
      </c>
      <c r="O638" s="130" t="str">
        <f t="shared" si="25"/>
        <v>_self</v>
      </c>
      <c r="P638" s="113">
        <f>LEN(Tableau1[[#This Row],[LABEL]])</f>
        <v>23</v>
      </c>
      <c r="Q638" s="113">
        <v>15</v>
      </c>
      <c r="R638" s="113" t="e">
        <f>ROUND(Tableau1[[#This Row],[LEN]]*#REF!+#REF!,0)</f>
        <v>#REF!</v>
      </c>
    </row>
    <row r="639" spans="1:18" s="97" customFormat="1" hidden="1" x14ac:dyDescent="0.25">
      <c r="A639" s="37" t="s">
        <v>1451</v>
      </c>
      <c r="B639" s="38" t="s">
        <v>1450</v>
      </c>
      <c r="C639" s="427" t="s">
        <v>2151</v>
      </c>
      <c r="D639" s="39" t="s">
        <v>112</v>
      </c>
      <c r="E639" s="73" t="s">
        <v>1177</v>
      </c>
      <c r="F639" s="39" t="s">
        <v>667</v>
      </c>
      <c r="G639" s="39" t="s">
        <v>2006</v>
      </c>
      <c r="H639" s="73" t="s">
        <v>2096</v>
      </c>
      <c r="I639" s="73" t="s">
        <v>654</v>
      </c>
      <c r="J639" s="39"/>
      <c r="K639" s="40" t="s">
        <v>708</v>
      </c>
      <c r="L639" s="40" t="str">
        <f t="shared" si="24"/>
        <v>_</v>
      </c>
      <c r="M639" s="114">
        <f>ROUND(Tableau1[[#This Row],[LEN]]*7.27,0)</f>
        <v>167</v>
      </c>
      <c r="N639" s="114">
        <v>15</v>
      </c>
      <c r="O639" s="131" t="str">
        <f t="shared" si="25"/>
        <v>_self</v>
      </c>
      <c r="P639" s="114">
        <f>LEN(Tableau1[[#This Row],[LABEL]])</f>
        <v>23</v>
      </c>
      <c r="Q639" s="114">
        <v>15</v>
      </c>
      <c r="R639" s="114" t="e">
        <f>ROUND(Tableau1[[#This Row],[LEN]]*#REF!+#REF!,0)</f>
        <v>#REF!</v>
      </c>
    </row>
    <row r="640" spans="1:18" s="97" customFormat="1" hidden="1" x14ac:dyDescent="0.25">
      <c r="A640" s="37" t="s">
        <v>1452</v>
      </c>
      <c r="B640" s="38" t="s">
        <v>1450</v>
      </c>
      <c r="C640" s="427" t="s">
        <v>2151</v>
      </c>
      <c r="D640" s="39" t="s">
        <v>113</v>
      </c>
      <c r="E640" s="73" t="s">
        <v>1177</v>
      </c>
      <c r="F640" s="39" t="s">
        <v>667</v>
      </c>
      <c r="G640" s="39" t="s">
        <v>2006</v>
      </c>
      <c r="H640" s="73" t="s">
        <v>2096</v>
      </c>
      <c r="I640" s="73" t="s">
        <v>654</v>
      </c>
      <c r="J640" s="39"/>
      <c r="K640" s="40" t="s">
        <v>708</v>
      </c>
      <c r="L640" s="40" t="str">
        <f t="shared" si="24"/>
        <v>_</v>
      </c>
      <c r="M640" s="114">
        <f>ROUND(Tableau1[[#This Row],[LEN]]*7.27,0)</f>
        <v>233</v>
      </c>
      <c r="N640" s="114">
        <v>15</v>
      </c>
      <c r="O640" s="131" t="str">
        <f t="shared" si="25"/>
        <v>_self</v>
      </c>
      <c r="P640" s="114">
        <f>LEN(Tableau1[[#This Row],[LABEL]])</f>
        <v>32</v>
      </c>
      <c r="Q640" s="114">
        <v>15</v>
      </c>
      <c r="R640" s="114" t="e">
        <f>ROUND(Tableau1[[#This Row],[LEN]]*#REF!+#REF!,0)</f>
        <v>#REF!</v>
      </c>
    </row>
    <row r="641" spans="1:18" s="273" customFormat="1" hidden="1" x14ac:dyDescent="0.25">
      <c r="A641" s="309" t="s">
        <v>279</v>
      </c>
      <c r="B641" s="310" t="s">
        <v>207</v>
      </c>
      <c r="C641" s="427" t="s">
        <v>2151</v>
      </c>
      <c r="D641" s="311" t="s">
        <v>12</v>
      </c>
      <c r="E641" s="312" t="s">
        <v>1177</v>
      </c>
      <c r="F641" s="311" t="s">
        <v>675</v>
      </c>
      <c r="G641" s="311" t="s">
        <v>1177</v>
      </c>
      <c r="H641" s="312" t="s">
        <v>2096</v>
      </c>
      <c r="I641" s="312" t="str">
        <f>IFERROR(IF(SEARCH(".00.00.00.00.00",Tableau1[[#This Row],[name]],1)=7,"Division",""),"")</f>
        <v>Division</v>
      </c>
      <c r="J641" s="311"/>
      <c r="K641" s="313" t="s">
        <v>721</v>
      </c>
      <c r="L641" s="313" t="str">
        <f t="shared" si="24"/>
        <v>Documentation</v>
      </c>
      <c r="M641" s="314">
        <f>ROUND(Tableau1[[#This Row],[LEN]]*7.27,0)</f>
        <v>15</v>
      </c>
      <c r="N641" s="314">
        <v>15</v>
      </c>
      <c r="O641" s="315" t="str">
        <f t="shared" si="25"/>
        <v>_blank</v>
      </c>
      <c r="P641" s="314">
        <f>LEN(Tableau1[[#This Row],[LABEL]])</f>
        <v>2</v>
      </c>
      <c r="Q641" s="314">
        <v>15</v>
      </c>
      <c r="R641" s="314" t="e">
        <f>ROUND(Tableau1[[#This Row],[LEN]]*#REF!+#REF!,0)</f>
        <v>#REF!</v>
      </c>
    </row>
    <row r="642" spans="1:18" s="97" customFormat="1" hidden="1" x14ac:dyDescent="0.25">
      <c r="A642" s="33" t="s">
        <v>1460</v>
      </c>
      <c r="B642" s="34" t="s">
        <v>279</v>
      </c>
      <c r="C642" s="427" t="s">
        <v>2151</v>
      </c>
      <c r="D642" s="35" t="s">
        <v>111</v>
      </c>
      <c r="E642" s="72" t="s">
        <v>1177</v>
      </c>
      <c r="F642" s="35" t="s">
        <v>667</v>
      </c>
      <c r="G642" s="35" t="s">
        <v>2006</v>
      </c>
      <c r="H642" s="72" t="s">
        <v>2096</v>
      </c>
      <c r="I642" s="72" t="s">
        <v>655</v>
      </c>
      <c r="J642" s="35"/>
      <c r="K642" s="36" t="s">
        <v>708</v>
      </c>
      <c r="L642" s="36" t="str">
        <f t="shared" si="24"/>
        <v>_</v>
      </c>
      <c r="M642" s="113">
        <f>ROUND(Tableau1[[#This Row],[LEN]]*7.27,0)</f>
        <v>167</v>
      </c>
      <c r="N642" s="113">
        <v>15</v>
      </c>
      <c r="O642" s="130" t="str">
        <f t="shared" si="25"/>
        <v>_self</v>
      </c>
      <c r="P642" s="113">
        <f>LEN(Tableau1[[#This Row],[LABEL]])</f>
        <v>23</v>
      </c>
      <c r="Q642" s="113">
        <v>15</v>
      </c>
      <c r="R642" s="113" t="e">
        <f>ROUND(Tableau1[[#This Row],[LEN]]*#REF!+#REF!,0)</f>
        <v>#REF!</v>
      </c>
    </row>
    <row r="643" spans="1:18" s="97" customFormat="1" hidden="1" x14ac:dyDescent="0.25">
      <c r="A643" s="37" t="s">
        <v>1463</v>
      </c>
      <c r="B643" s="38" t="s">
        <v>1460</v>
      </c>
      <c r="C643" s="427" t="s">
        <v>2151</v>
      </c>
      <c r="D643" s="39" t="s">
        <v>112</v>
      </c>
      <c r="E643" s="73" t="s">
        <v>1177</v>
      </c>
      <c r="F643" s="39" t="s">
        <v>667</v>
      </c>
      <c r="G643" s="39" t="s">
        <v>2006</v>
      </c>
      <c r="H643" s="73" t="s">
        <v>2096</v>
      </c>
      <c r="I643" s="73" t="s">
        <v>654</v>
      </c>
      <c r="J643" s="39"/>
      <c r="K643" s="40" t="s">
        <v>708</v>
      </c>
      <c r="L643" s="40" t="str">
        <f t="shared" si="24"/>
        <v>_</v>
      </c>
      <c r="M643" s="114">
        <f>ROUND(Tableau1[[#This Row],[LEN]]*7.27,0)</f>
        <v>167</v>
      </c>
      <c r="N643" s="114">
        <v>15</v>
      </c>
      <c r="O643" s="131" t="str">
        <f t="shared" si="25"/>
        <v>_self</v>
      </c>
      <c r="P643" s="114">
        <f>LEN(Tableau1[[#This Row],[LABEL]])</f>
        <v>23</v>
      </c>
      <c r="Q643" s="114">
        <v>15</v>
      </c>
      <c r="R643" s="114" t="e">
        <f>ROUND(Tableau1[[#This Row],[LEN]]*#REF!+#REF!,0)</f>
        <v>#REF!</v>
      </c>
    </row>
    <row r="644" spans="1:18" s="97" customFormat="1" hidden="1" x14ac:dyDescent="0.25">
      <c r="A644" s="37" t="s">
        <v>1464</v>
      </c>
      <c r="B644" s="38" t="s">
        <v>1460</v>
      </c>
      <c r="C644" s="427" t="s">
        <v>2151</v>
      </c>
      <c r="D644" s="39" t="s">
        <v>113</v>
      </c>
      <c r="E644" s="73" t="s">
        <v>1177</v>
      </c>
      <c r="F644" s="39" t="s">
        <v>667</v>
      </c>
      <c r="G644" s="39" t="s">
        <v>2006</v>
      </c>
      <c r="H644" s="73" t="s">
        <v>2096</v>
      </c>
      <c r="I644" s="73" t="s">
        <v>654</v>
      </c>
      <c r="J644" s="39"/>
      <c r="K644" s="40" t="s">
        <v>708</v>
      </c>
      <c r="L644" s="40" t="str">
        <f t="shared" si="24"/>
        <v>_</v>
      </c>
      <c r="M644" s="114">
        <f>ROUND(Tableau1[[#This Row],[LEN]]*7.27,0)</f>
        <v>233</v>
      </c>
      <c r="N644" s="114">
        <v>15</v>
      </c>
      <c r="O644" s="131" t="str">
        <f t="shared" si="25"/>
        <v>_self</v>
      </c>
      <c r="P644" s="114">
        <f>LEN(Tableau1[[#This Row],[LABEL]])</f>
        <v>32</v>
      </c>
      <c r="Q644" s="114">
        <v>15</v>
      </c>
      <c r="R644" s="114" t="e">
        <f>ROUND(Tableau1[[#This Row],[LEN]]*#REF!+#REF!,0)</f>
        <v>#REF!</v>
      </c>
    </row>
    <row r="645" spans="1:18" s="97" customFormat="1" hidden="1" x14ac:dyDescent="0.25">
      <c r="A645" s="33" t="s">
        <v>1461</v>
      </c>
      <c r="B645" s="34" t="s">
        <v>279</v>
      </c>
      <c r="C645" s="427" t="s">
        <v>2151</v>
      </c>
      <c r="D645" s="35" t="s">
        <v>1483</v>
      </c>
      <c r="E645" s="72" t="s">
        <v>1177</v>
      </c>
      <c r="F645" s="35" t="s">
        <v>661</v>
      </c>
      <c r="G645" s="35" t="s">
        <v>2083</v>
      </c>
      <c r="H645" s="72" t="s">
        <v>2096</v>
      </c>
      <c r="I645" s="72" t="s">
        <v>655</v>
      </c>
      <c r="J645" s="35"/>
      <c r="K645" s="36" t="s">
        <v>708</v>
      </c>
      <c r="L645" s="36" t="str">
        <f t="shared" si="24"/>
        <v>_</v>
      </c>
      <c r="M645" s="113">
        <f>ROUND(Tableau1[[#This Row],[LEN]]*7.27,0)</f>
        <v>240</v>
      </c>
      <c r="N645" s="113">
        <v>15</v>
      </c>
      <c r="O645" s="130" t="str">
        <f t="shared" si="25"/>
        <v>_self</v>
      </c>
      <c r="P645" s="113">
        <f>LEN(Tableau1[[#This Row],[LABEL]])</f>
        <v>33</v>
      </c>
      <c r="Q645" s="113">
        <v>15</v>
      </c>
      <c r="R645" s="113" t="e">
        <f>ROUND(Tableau1[[#This Row],[LEN]]*#REF!+#REF!,0)</f>
        <v>#REF!</v>
      </c>
    </row>
    <row r="646" spans="1:18" s="97" customFormat="1" hidden="1" x14ac:dyDescent="0.25">
      <c r="A646" s="37" t="s">
        <v>1465</v>
      </c>
      <c r="B646" s="38" t="s">
        <v>1461</v>
      </c>
      <c r="C646" s="427" t="s">
        <v>2151</v>
      </c>
      <c r="D646" s="39" t="s">
        <v>1458</v>
      </c>
      <c r="E646" s="73" t="s">
        <v>1177</v>
      </c>
      <c r="F646" s="39" t="s">
        <v>661</v>
      </c>
      <c r="G646" s="39" t="s">
        <v>2083</v>
      </c>
      <c r="H646" s="73" t="s">
        <v>2096</v>
      </c>
      <c r="I646" s="73" t="s">
        <v>654</v>
      </c>
      <c r="J646" s="39"/>
      <c r="K646" s="40" t="s">
        <v>708</v>
      </c>
      <c r="L646" s="40" t="str">
        <f t="shared" si="24"/>
        <v>_</v>
      </c>
      <c r="M646" s="114">
        <f>ROUND(Tableau1[[#This Row],[LEN]]*7.27,0)</f>
        <v>189</v>
      </c>
      <c r="N646" s="114">
        <v>15</v>
      </c>
      <c r="O646" s="131" t="str">
        <f t="shared" si="25"/>
        <v>_self</v>
      </c>
      <c r="P646" s="114">
        <f>LEN(Tableau1[[#This Row],[LABEL]])</f>
        <v>26</v>
      </c>
      <c r="Q646" s="114">
        <v>15</v>
      </c>
      <c r="R646" s="114" t="e">
        <f>ROUND(Tableau1[[#This Row],[LEN]]*#REF!+#REF!,0)</f>
        <v>#REF!</v>
      </c>
    </row>
    <row r="647" spans="1:18" s="97" customFormat="1" hidden="1" x14ac:dyDescent="0.25">
      <c r="A647" s="37" t="s">
        <v>1466</v>
      </c>
      <c r="B647" s="38" t="s">
        <v>1461</v>
      </c>
      <c r="C647" s="427" t="s">
        <v>2151</v>
      </c>
      <c r="D647" s="39" t="s">
        <v>1459</v>
      </c>
      <c r="E647" s="73" t="s">
        <v>1177</v>
      </c>
      <c r="F647" s="39" t="s">
        <v>661</v>
      </c>
      <c r="G647" s="39" t="s">
        <v>2083</v>
      </c>
      <c r="H647" s="73" t="s">
        <v>2096</v>
      </c>
      <c r="I647" s="73" t="s">
        <v>654</v>
      </c>
      <c r="J647" s="39"/>
      <c r="K647" s="40" t="s">
        <v>708</v>
      </c>
      <c r="L647" s="40" t="str">
        <f t="shared" si="24"/>
        <v>_</v>
      </c>
      <c r="M647" s="114">
        <f>ROUND(Tableau1[[#This Row],[LEN]]*7.27,0)</f>
        <v>204</v>
      </c>
      <c r="N647" s="114">
        <v>15</v>
      </c>
      <c r="O647" s="131" t="str">
        <f t="shared" si="25"/>
        <v>_self</v>
      </c>
      <c r="P647" s="114">
        <f>LEN(Tableau1[[#This Row],[LABEL]])</f>
        <v>28</v>
      </c>
      <c r="Q647" s="114">
        <v>15</v>
      </c>
      <c r="R647" s="114" t="e">
        <f>ROUND(Tableau1[[#This Row],[LEN]]*#REF!+#REF!,0)</f>
        <v>#REF!</v>
      </c>
    </row>
    <row r="648" spans="1:18" s="273" customFormat="1" hidden="1" x14ac:dyDescent="0.25">
      <c r="A648" s="309" t="s">
        <v>280</v>
      </c>
      <c r="B648" s="310" t="s">
        <v>207</v>
      </c>
      <c r="C648" s="427" t="s">
        <v>2151</v>
      </c>
      <c r="D648" s="311" t="s">
        <v>71</v>
      </c>
      <c r="E648" s="312" t="s">
        <v>1177</v>
      </c>
      <c r="F648" s="311" t="s">
        <v>676</v>
      </c>
      <c r="G648" s="311" t="s">
        <v>1177</v>
      </c>
      <c r="H648" s="312" t="s">
        <v>2096</v>
      </c>
      <c r="I648" s="312" t="str">
        <f>IFERROR(IF(SEARCH(".00.00.00.00.00",Tableau1[[#This Row],[name]],1)=7,"Division",""),"")</f>
        <v>Division</v>
      </c>
      <c r="J648" s="311"/>
      <c r="K648" s="313" t="s">
        <v>722</v>
      </c>
      <c r="L648" s="313" t="str">
        <f t="shared" si="24"/>
        <v>Documentation</v>
      </c>
      <c r="M648" s="314">
        <f>ROUND(Tableau1[[#This Row],[LEN]]*7.27,0)</f>
        <v>29</v>
      </c>
      <c r="N648" s="314">
        <v>15</v>
      </c>
      <c r="O648" s="315" t="str">
        <f t="shared" si="25"/>
        <v>_blank</v>
      </c>
      <c r="P648" s="314">
        <f>LEN(Tableau1[[#This Row],[LABEL]])</f>
        <v>4</v>
      </c>
      <c r="Q648" s="314">
        <v>15</v>
      </c>
      <c r="R648" s="314" t="e">
        <f>ROUND(Tableau1[[#This Row],[LEN]]*#REF!+#REF!,0)</f>
        <v>#REF!</v>
      </c>
    </row>
    <row r="649" spans="1:18" s="97" customFormat="1" hidden="1" x14ac:dyDescent="0.25">
      <c r="A649" s="33" t="s">
        <v>1471</v>
      </c>
      <c r="B649" s="34" t="s">
        <v>280</v>
      </c>
      <c r="C649" s="427" t="s">
        <v>2151</v>
      </c>
      <c r="D649" s="35" t="s">
        <v>111</v>
      </c>
      <c r="E649" s="72" t="s">
        <v>1177</v>
      </c>
      <c r="F649" s="35" t="s">
        <v>667</v>
      </c>
      <c r="G649" s="35" t="s">
        <v>2006</v>
      </c>
      <c r="H649" s="72" t="s">
        <v>2096</v>
      </c>
      <c r="I649" s="72" t="s">
        <v>654</v>
      </c>
      <c r="J649" s="35"/>
      <c r="K649" s="36" t="s">
        <v>708</v>
      </c>
      <c r="L649" s="36" t="str">
        <f t="shared" si="24"/>
        <v>_</v>
      </c>
      <c r="M649" s="113">
        <f>ROUND(Tableau1[[#This Row],[LEN]]*7.27,0)</f>
        <v>167</v>
      </c>
      <c r="N649" s="113">
        <v>15</v>
      </c>
      <c r="O649" s="130" t="str">
        <f t="shared" si="25"/>
        <v>_self</v>
      </c>
      <c r="P649" s="113">
        <f>LEN(Tableau1[[#This Row],[LABEL]])</f>
        <v>23</v>
      </c>
      <c r="Q649" s="113">
        <v>15</v>
      </c>
      <c r="R649" s="113" t="e">
        <f>ROUND(Tableau1[[#This Row],[LEN]]*#REF!+#REF!,0)</f>
        <v>#REF!</v>
      </c>
    </row>
    <row r="650" spans="1:18" s="97" customFormat="1" hidden="1" x14ac:dyDescent="0.25">
      <c r="A650" s="37" t="s">
        <v>1472</v>
      </c>
      <c r="B650" s="38" t="s">
        <v>1471</v>
      </c>
      <c r="C650" s="427" t="s">
        <v>2151</v>
      </c>
      <c r="D650" s="39" t="s">
        <v>112</v>
      </c>
      <c r="E650" s="73" t="s">
        <v>1177</v>
      </c>
      <c r="F650" s="39" t="s">
        <v>667</v>
      </c>
      <c r="G650" s="39" t="s">
        <v>2006</v>
      </c>
      <c r="H650" s="73" t="s">
        <v>2096</v>
      </c>
      <c r="I650" s="73" t="s">
        <v>654</v>
      </c>
      <c r="J650" s="39"/>
      <c r="K650" s="40" t="s">
        <v>708</v>
      </c>
      <c r="L650" s="40" t="str">
        <f t="shared" si="24"/>
        <v>_</v>
      </c>
      <c r="M650" s="114">
        <f>ROUND(Tableau1[[#This Row],[LEN]]*7.27,0)</f>
        <v>167</v>
      </c>
      <c r="N650" s="114">
        <v>15</v>
      </c>
      <c r="O650" s="131" t="str">
        <f t="shared" si="25"/>
        <v>_self</v>
      </c>
      <c r="P650" s="114">
        <f>LEN(Tableau1[[#This Row],[LABEL]])</f>
        <v>23</v>
      </c>
      <c r="Q650" s="114">
        <v>15</v>
      </c>
      <c r="R650" s="114" t="e">
        <f>ROUND(Tableau1[[#This Row],[LEN]]*#REF!+#REF!,0)</f>
        <v>#REF!</v>
      </c>
    </row>
    <row r="651" spans="1:18" s="97" customFormat="1" hidden="1" x14ac:dyDescent="0.25">
      <c r="A651" s="37" t="s">
        <v>1473</v>
      </c>
      <c r="B651" s="38" t="s">
        <v>1471</v>
      </c>
      <c r="C651" s="427" t="s">
        <v>2151</v>
      </c>
      <c r="D651" s="39" t="s">
        <v>113</v>
      </c>
      <c r="E651" s="73" t="s">
        <v>1177</v>
      </c>
      <c r="F651" s="39" t="s">
        <v>667</v>
      </c>
      <c r="G651" s="39" t="s">
        <v>2006</v>
      </c>
      <c r="H651" s="73" t="s">
        <v>2096</v>
      </c>
      <c r="I651" s="73" t="s">
        <v>654</v>
      </c>
      <c r="J651" s="39"/>
      <c r="K651" s="40" t="s">
        <v>708</v>
      </c>
      <c r="L651" s="40" t="str">
        <f t="shared" si="24"/>
        <v>_</v>
      </c>
      <c r="M651" s="114">
        <f>ROUND(Tableau1[[#This Row],[LEN]]*7.27,0)</f>
        <v>233</v>
      </c>
      <c r="N651" s="114">
        <v>15</v>
      </c>
      <c r="O651" s="131" t="str">
        <f t="shared" si="25"/>
        <v>_self</v>
      </c>
      <c r="P651" s="114">
        <f>LEN(Tableau1[[#This Row],[LABEL]])</f>
        <v>32</v>
      </c>
      <c r="Q651" s="114">
        <v>15</v>
      </c>
      <c r="R651" s="114" t="e">
        <f>ROUND(Tableau1[[#This Row],[LEN]]*#REF!+#REF!,0)</f>
        <v>#REF!</v>
      </c>
    </row>
    <row r="652" spans="1:18" s="97" customFormat="1" hidden="1" x14ac:dyDescent="0.25">
      <c r="A652" s="33" t="s">
        <v>1474</v>
      </c>
      <c r="B652" s="34" t="s">
        <v>280</v>
      </c>
      <c r="C652" s="427" t="s">
        <v>2151</v>
      </c>
      <c r="D652" s="35" t="s">
        <v>1586</v>
      </c>
      <c r="E652" s="72" t="s">
        <v>1477</v>
      </c>
      <c r="F652" s="35" t="s">
        <v>676</v>
      </c>
      <c r="G652" s="35" t="s">
        <v>1177</v>
      </c>
      <c r="H652" s="72" t="s">
        <v>2096</v>
      </c>
      <c r="I652" s="72" t="s">
        <v>654</v>
      </c>
      <c r="J652" s="35"/>
      <c r="K652" s="36" t="s">
        <v>708</v>
      </c>
      <c r="L652" s="36" t="str">
        <f t="shared" si="24"/>
        <v>_</v>
      </c>
      <c r="M652" s="113">
        <f>ROUND(Tableau1[[#This Row],[LEN]]*7.27,0)</f>
        <v>414</v>
      </c>
      <c r="N652" s="113">
        <v>15</v>
      </c>
      <c r="O652" s="130" t="str">
        <f t="shared" si="25"/>
        <v>_self</v>
      </c>
      <c r="P652" s="113">
        <f>LEN(Tableau1[[#This Row],[LABEL]])</f>
        <v>57</v>
      </c>
      <c r="Q652" s="113">
        <v>15</v>
      </c>
      <c r="R652" s="113" t="e">
        <f>ROUND(Tableau1[[#This Row],[LEN]]*#REF!+#REF!,0)</f>
        <v>#REF!</v>
      </c>
    </row>
    <row r="653" spans="1:18" s="97" customFormat="1" hidden="1" x14ac:dyDescent="0.25">
      <c r="A653" s="33" t="s">
        <v>1475</v>
      </c>
      <c r="B653" s="34" t="s">
        <v>280</v>
      </c>
      <c r="C653" s="427" t="s">
        <v>2151</v>
      </c>
      <c r="D653" s="35" t="s">
        <v>1478</v>
      </c>
      <c r="E653" s="72" t="s">
        <v>1177</v>
      </c>
      <c r="F653" s="35" t="s">
        <v>676</v>
      </c>
      <c r="G653" s="35" t="s">
        <v>678</v>
      </c>
      <c r="H653" s="72" t="s">
        <v>2096</v>
      </c>
      <c r="I653" s="72" t="s">
        <v>654</v>
      </c>
      <c r="J653" s="35"/>
      <c r="K653" s="36" t="s">
        <v>708</v>
      </c>
      <c r="L653" s="36" t="str">
        <f t="shared" si="24"/>
        <v>_</v>
      </c>
      <c r="M653" s="113">
        <f>ROUND(Tableau1[[#This Row],[LEN]]*7.27,0)</f>
        <v>327</v>
      </c>
      <c r="N653" s="113">
        <v>15</v>
      </c>
      <c r="O653" s="130" t="str">
        <f t="shared" si="25"/>
        <v>_self</v>
      </c>
      <c r="P653" s="113">
        <f>LEN(Tableau1[[#This Row],[LABEL]])</f>
        <v>45</v>
      </c>
      <c r="Q653" s="113">
        <v>15</v>
      </c>
      <c r="R653" s="113" t="e">
        <f>ROUND(Tableau1[[#This Row],[LEN]]*#REF!+#REF!,0)</f>
        <v>#REF!</v>
      </c>
    </row>
    <row r="654" spans="1:18" s="273" customFormat="1" hidden="1" x14ac:dyDescent="0.25">
      <c r="A654" s="309" t="s">
        <v>281</v>
      </c>
      <c r="B654" s="310" t="s">
        <v>207</v>
      </c>
      <c r="C654" s="427" t="s">
        <v>2151</v>
      </c>
      <c r="D654" s="311" t="s">
        <v>13</v>
      </c>
      <c r="E654" s="312" t="s">
        <v>1177</v>
      </c>
      <c r="F654" s="311" t="s">
        <v>677</v>
      </c>
      <c r="G654" s="311" t="s">
        <v>1177</v>
      </c>
      <c r="H654" s="312" t="s">
        <v>2096</v>
      </c>
      <c r="I654" s="312" t="str">
        <f>IFERROR(IF(SEARCH(".00.00.00.00.00",Tableau1[[#This Row],[name]],1)=7,"Division",""),"")</f>
        <v>Division</v>
      </c>
      <c r="J654" s="311"/>
      <c r="K654" s="313" t="s">
        <v>708</v>
      </c>
      <c r="L654" s="313" t="str">
        <f t="shared" si="24"/>
        <v>_</v>
      </c>
      <c r="M654" s="314">
        <f>ROUND(Tableau1[[#This Row],[LEN]]*7.27,0)</f>
        <v>80</v>
      </c>
      <c r="N654" s="314">
        <v>15</v>
      </c>
      <c r="O654" s="315" t="str">
        <f t="shared" si="25"/>
        <v>_self</v>
      </c>
      <c r="P654" s="314">
        <f>LEN(Tableau1[[#This Row],[LABEL]])</f>
        <v>11</v>
      </c>
      <c r="Q654" s="314">
        <v>15</v>
      </c>
      <c r="R654" s="314" t="e">
        <f>ROUND(Tableau1[[#This Row],[LEN]]*#REF!+#REF!,0)</f>
        <v>#REF!</v>
      </c>
    </row>
    <row r="655" spans="1:18" s="97" customFormat="1" hidden="1" x14ac:dyDescent="0.25">
      <c r="A655" s="33" t="s">
        <v>1479</v>
      </c>
      <c r="B655" s="34" t="s">
        <v>281</v>
      </c>
      <c r="C655" s="427" t="s">
        <v>2151</v>
      </c>
      <c r="D655" s="35" t="s">
        <v>111</v>
      </c>
      <c r="E655" s="72" t="s">
        <v>1177</v>
      </c>
      <c r="F655" s="35" t="s">
        <v>667</v>
      </c>
      <c r="G655" s="35" t="s">
        <v>2006</v>
      </c>
      <c r="H655" s="72" t="s">
        <v>2096</v>
      </c>
      <c r="I655" s="72" t="s">
        <v>655</v>
      </c>
      <c r="J655" s="35"/>
      <c r="K655" s="36" t="s">
        <v>708</v>
      </c>
      <c r="L655" s="36" t="str">
        <f t="shared" si="24"/>
        <v>_</v>
      </c>
      <c r="M655" s="113">
        <f>ROUND(Tableau1[[#This Row],[LEN]]*7.27,0)</f>
        <v>167</v>
      </c>
      <c r="N655" s="113">
        <v>15</v>
      </c>
      <c r="O655" s="130" t="str">
        <f t="shared" si="25"/>
        <v>_self</v>
      </c>
      <c r="P655" s="113">
        <f>LEN(Tableau1[[#This Row],[LABEL]])</f>
        <v>23</v>
      </c>
      <c r="Q655" s="113">
        <v>15</v>
      </c>
      <c r="R655" s="113" t="e">
        <f>ROUND(Tableau1[[#This Row],[LEN]]*#REF!+#REF!,0)</f>
        <v>#REF!</v>
      </c>
    </row>
    <row r="656" spans="1:18" s="97" customFormat="1" hidden="1" x14ac:dyDescent="0.25">
      <c r="A656" s="37" t="s">
        <v>1484</v>
      </c>
      <c r="B656" s="38" t="s">
        <v>1479</v>
      </c>
      <c r="C656" s="427" t="s">
        <v>2151</v>
      </c>
      <c r="D656" s="39" t="s">
        <v>112</v>
      </c>
      <c r="E656" s="73" t="s">
        <v>1177</v>
      </c>
      <c r="F656" s="39" t="s">
        <v>667</v>
      </c>
      <c r="G656" s="39" t="s">
        <v>2006</v>
      </c>
      <c r="H656" s="73" t="s">
        <v>2096</v>
      </c>
      <c r="I656" s="73" t="s">
        <v>654</v>
      </c>
      <c r="J656" s="39"/>
      <c r="K656" s="40" t="s">
        <v>708</v>
      </c>
      <c r="L656" s="40" t="str">
        <f t="shared" si="24"/>
        <v>_</v>
      </c>
      <c r="M656" s="114">
        <f>ROUND(Tableau1[[#This Row],[LEN]]*7.27,0)</f>
        <v>167</v>
      </c>
      <c r="N656" s="114">
        <v>15</v>
      </c>
      <c r="O656" s="131" t="str">
        <f t="shared" si="25"/>
        <v>_self</v>
      </c>
      <c r="P656" s="114">
        <f>LEN(Tableau1[[#This Row],[LABEL]])</f>
        <v>23</v>
      </c>
      <c r="Q656" s="114">
        <v>15</v>
      </c>
      <c r="R656" s="114" t="e">
        <f>ROUND(Tableau1[[#This Row],[LEN]]*#REF!+#REF!,0)</f>
        <v>#REF!</v>
      </c>
    </row>
    <row r="657" spans="1:18" s="97" customFormat="1" hidden="1" x14ac:dyDescent="0.25">
      <c r="A657" s="37" t="s">
        <v>1485</v>
      </c>
      <c r="B657" s="38" t="s">
        <v>1479</v>
      </c>
      <c r="C657" s="427" t="s">
        <v>2151</v>
      </c>
      <c r="D657" s="39" t="s">
        <v>113</v>
      </c>
      <c r="E657" s="73" t="s">
        <v>1177</v>
      </c>
      <c r="F657" s="39" t="s">
        <v>667</v>
      </c>
      <c r="G657" s="39" t="s">
        <v>2006</v>
      </c>
      <c r="H657" s="73" t="s">
        <v>2096</v>
      </c>
      <c r="I657" s="73" t="s">
        <v>654</v>
      </c>
      <c r="J657" s="39"/>
      <c r="K657" s="40" t="s">
        <v>708</v>
      </c>
      <c r="L657" s="40" t="str">
        <f t="shared" si="24"/>
        <v>_</v>
      </c>
      <c r="M657" s="114">
        <f>ROUND(Tableau1[[#This Row],[LEN]]*7.27,0)</f>
        <v>233</v>
      </c>
      <c r="N657" s="114">
        <v>15</v>
      </c>
      <c r="O657" s="131" t="str">
        <f t="shared" si="25"/>
        <v>_self</v>
      </c>
      <c r="P657" s="114">
        <f>LEN(Tableau1[[#This Row],[LABEL]])</f>
        <v>32</v>
      </c>
      <c r="Q657" s="114">
        <v>15</v>
      </c>
      <c r="R657" s="114" t="e">
        <f>ROUND(Tableau1[[#This Row],[LEN]]*#REF!+#REF!,0)</f>
        <v>#REF!</v>
      </c>
    </row>
    <row r="658" spans="1:18" s="97" customFormat="1" hidden="1" x14ac:dyDescent="0.25">
      <c r="A658" s="33" t="s">
        <v>1480</v>
      </c>
      <c r="B658" s="34" t="s">
        <v>281</v>
      </c>
      <c r="C658" s="427" t="s">
        <v>2151</v>
      </c>
      <c r="D658" s="35" t="s">
        <v>1483</v>
      </c>
      <c r="E658" s="72" t="s">
        <v>1177</v>
      </c>
      <c r="F658" s="35" t="s">
        <v>661</v>
      </c>
      <c r="G658" s="35" t="s">
        <v>2083</v>
      </c>
      <c r="H658" s="72" t="s">
        <v>2096</v>
      </c>
      <c r="I658" s="72" t="s">
        <v>655</v>
      </c>
      <c r="J658" s="35"/>
      <c r="K658" s="36" t="s">
        <v>708</v>
      </c>
      <c r="L658" s="36" t="str">
        <f t="shared" si="24"/>
        <v>_</v>
      </c>
      <c r="M658" s="113">
        <f>ROUND(Tableau1[[#This Row],[LEN]]*7.27,0)</f>
        <v>240</v>
      </c>
      <c r="N658" s="113">
        <v>15</v>
      </c>
      <c r="O658" s="130" t="str">
        <f t="shared" si="25"/>
        <v>_self</v>
      </c>
      <c r="P658" s="113">
        <f>LEN(Tableau1[[#This Row],[LABEL]])</f>
        <v>33</v>
      </c>
      <c r="Q658" s="113">
        <v>15</v>
      </c>
      <c r="R658" s="113" t="e">
        <f>ROUND(Tableau1[[#This Row],[LEN]]*#REF!+#REF!,0)</f>
        <v>#REF!</v>
      </c>
    </row>
    <row r="659" spans="1:18" s="97" customFormat="1" hidden="1" x14ac:dyDescent="0.25">
      <c r="A659" s="37" t="s">
        <v>1486</v>
      </c>
      <c r="B659" s="38" t="s">
        <v>1480</v>
      </c>
      <c r="C659" s="427" t="s">
        <v>2151</v>
      </c>
      <c r="D659" s="39" t="s">
        <v>1458</v>
      </c>
      <c r="E659" s="73" t="s">
        <v>1177</v>
      </c>
      <c r="F659" s="39" t="s">
        <v>661</v>
      </c>
      <c r="G659" s="39" t="s">
        <v>2083</v>
      </c>
      <c r="H659" s="73" t="s">
        <v>2096</v>
      </c>
      <c r="I659" s="73" t="s">
        <v>654</v>
      </c>
      <c r="J659" s="39"/>
      <c r="K659" s="40" t="s">
        <v>708</v>
      </c>
      <c r="L659" s="40" t="str">
        <f t="shared" si="24"/>
        <v>_</v>
      </c>
      <c r="M659" s="114">
        <f>ROUND(Tableau1[[#This Row],[LEN]]*7.27,0)</f>
        <v>189</v>
      </c>
      <c r="N659" s="114">
        <v>15</v>
      </c>
      <c r="O659" s="131" t="str">
        <f t="shared" si="25"/>
        <v>_self</v>
      </c>
      <c r="P659" s="114">
        <f>LEN(Tableau1[[#This Row],[LABEL]])</f>
        <v>26</v>
      </c>
      <c r="Q659" s="114">
        <v>15</v>
      </c>
      <c r="R659" s="114" t="e">
        <f>ROUND(Tableau1[[#This Row],[LEN]]*#REF!+#REF!,0)</f>
        <v>#REF!</v>
      </c>
    </row>
    <row r="660" spans="1:18" s="97" customFormat="1" hidden="1" x14ac:dyDescent="0.25">
      <c r="A660" s="37" t="s">
        <v>1486</v>
      </c>
      <c r="B660" s="38" t="s">
        <v>1480</v>
      </c>
      <c r="C660" s="427" t="s">
        <v>2151</v>
      </c>
      <c r="D660" s="39" t="s">
        <v>1459</v>
      </c>
      <c r="E660" s="73" t="s">
        <v>1177</v>
      </c>
      <c r="F660" s="39" t="s">
        <v>661</v>
      </c>
      <c r="G660" s="39" t="s">
        <v>2083</v>
      </c>
      <c r="H660" s="73" t="s">
        <v>2096</v>
      </c>
      <c r="I660" s="73" t="s">
        <v>654</v>
      </c>
      <c r="J660" s="39"/>
      <c r="K660" s="40" t="s">
        <v>708</v>
      </c>
      <c r="L660" s="40" t="str">
        <f t="shared" si="24"/>
        <v>_</v>
      </c>
      <c r="M660" s="114">
        <f>ROUND(Tableau1[[#This Row],[LEN]]*7.27,0)</f>
        <v>204</v>
      </c>
      <c r="N660" s="114">
        <v>15</v>
      </c>
      <c r="O660" s="131" t="str">
        <f t="shared" si="25"/>
        <v>_self</v>
      </c>
      <c r="P660" s="114">
        <f>LEN(Tableau1[[#This Row],[LABEL]])</f>
        <v>28</v>
      </c>
      <c r="Q660" s="114">
        <v>15</v>
      </c>
      <c r="R660" s="114" t="e">
        <f>ROUND(Tableau1[[#This Row],[LEN]]*#REF!+#REF!,0)</f>
        <v>#REF!</v>
      </c>
    </row>
    <row r="661" spans="1:18" s="97" customFormat="1" hidden="1" x14ac:dyDescent="0.25">
      <c r="A661" s="33" t="s">
        <v>1481</v>
      </c>
      <c r="B661" s="34" t="s">
        <v>281</v>
      </c>
      <c r="C661" s="427" t="s">
        <v>2151</v>
      </c>
      <c r="D661" s="35" t="s">
        <v>1482</v>
      </c>
      <c r="E661" s="72" t="s">
        <v>1177</v>
      </c>
      <c r="F661" s="35" t="s">
        <v>677</v>
      </c>
      <c r="G661" s="35" t="s">
        <v>1177</v>
      </c>
      <c r="H661" s="72" t="s">
        <v>2096</v>
      </c>
      <c r="I661" s="72" t="s">
        <v>654</v>
      </c>
      <c r="J661" s="35"/>
      <c r="K661" s="36" t="s">
        <v>708</v>
      </c>
      <c r="L661" s="36" t="str">
        <f t="shared" si="24"/>
        <v>_</v>
      </c>
      <c r="M661" s="113">
        <f>ROUND(Tableau1[[#This Row],[LEN]]*7.27,0)</f>
        <v>131</v>
      </c>
      <c r="N661" s="113">
        <v>15</v>
      </c>
      <c r="O661" s="130" t="str">
        <f t="shared" si="25"/>
        <v>_self</v>
      </c>
      <c r="P661" s="113">
        <f>LEN(Tableau1[[#This Row],[LABEL]])</f>
        <v>18</v>
      </c>
      <c r="Q661" s="113">
        <v>15</v>
      </c>
      <c r="R661" s="113" t="e">
        <f>ROUND(Tableau1[[#This Row],[LEN]]*#REF!+#REF!,0)</f>
        <v>#REF!</v>
      </c>
    </row>
    <row r="662" spans="1:18" s="273" customFormat="1" hidden="1" x14ac:dyDescent="0.25">
      <c r="A662" s="309" t="s">
        <v>282</v>
      </c>
      <c r="B662" s="310" t="s">
        <v>207</v>
      </c>
      <c r="C662" s="427" t="s">
        <v>2151</v>
      </c>
      <c r="D662" s="311" t="s">
        <v>14</v>
      </c>
      <c r="E662" s="312" t="s">
        <v>1177</v>
      </c>
      <c r="F662" s="311" t="s">
        <v>678</v>
      </c>
      <c r="G662" s="311" t="s">
        <v>1177</v>
      </c>
      <c r="H662" s="312" t="s">
        <v>2096</v>
      </c>
      <c r="I662" s="312" t="str">
        <f>IFERROR(IF(SEARCH(".00.00.00.00.00",Tableau1[[#This Row],[name]],1)=7,"Division",""),"")</f>
        <v>Division</v>
      </c>
      <c r="J662" s="311"/>
      <c r="K662" s="313" t="s">
        <v>724</v>
      </c>
      <c r="L662" s="313" t="str">
        <f t="shared" ref="L662:L725" si="26">IF(K662="javascript:void(0)","_","Documentation")</f>
        <v>Documentation</v>
      </c>
      <c r="M662" s="314">
        <f>ROUND(Tableau1[[#This Row],[LEN]]*7.27,0)</f>
        <v>240</v>
      </c>
      <c r="N662" s="314">
        <v>15</v>
      </c>
      <c r="O662" s="315" t="str">
        <f t="shared" si="25"/>
        <v>_blank</v>
      </c>
      <c r="P662" s="314">
        <f>LEN(Tableau1[[#This Row],[LABEL]])</f>
        <v>33</v>
      </c>
      <c r="Q662" s="314">
        <v>15</v>
      </c>
      <c r="R662" s="314" t="e">
        <f>ROUND(Tableau1[[#This Row],[LEN]]*#REF!+#REF!,0)</f>
        <v>#REF!</v>
      </c>
    </row>
    <row r="663" spans="1:18" s="97" customFormat="1" hidden="1" x14ac:dyDescent="0.25">
      <c r="A663" s="33" t="s">
        <v>1487</v>
      </c>
      <c r="B663" s="34" t="s">
        <v>282</v>
      </c>
      <c r="C663" s="427" t="s">
        <v>2151</v>
      </c>
      <c r="D663" s="35" t="s">
        <v>111</v>
      </c>
      <c r="E663" s="72" t="s">
        <v>1177</v>
      </c>
      <c r="F663" s="35" t="s">
        <v>667</v>
      </c>
      <c r="G663" s="35" t="s">
        <v>2006</v>
      </c>
      <c r="H663" s="72" t="s">
        <v>2096</v>
      </c>
      <c r="I663" s="72" t="s">
        <v>655</v>
      </c>
      <c r="J663" s="35"/>
      <c r="K663" s="36" t="s">
        <v>708</v>
      </c>
      <c r="L663" s="36" t="str">
        <f t="shared" si="26"/>
        <v>_</v>
      </c>
      <c r="M663" s="113">
        <f>ROUND(Tableau1[[#This Row],[LEN]]*7.27,0)</f>
        <v>167</v>
      </c>
      <c r="N663" s="113">
        <v>15</v>
      </c>
      <c r="O663" s="130" t="str">
        <f t="shared" ref="O663:O726" si="27">IF(K663="javascript:void(0)","_self","_blank")</f>
        <v>_self</v>
      </c>
      <c r="P663" s="113">
        <f>LEN(Tableau1[[#This Row],[LABEL]])</f>
        <v>23</v>
      </c>
      <c r="Q663" s="113">
        <v>15</v>
      </c>
      <c r="R663" s="113" t="e">
        <f>ROUND(Tableau1[[#This Row],[LEN]]*#REF!+#REF!,0)</f>
        <v>#REF!</v>
      </c>
    </row>
    <row r="664" spans="1:18" s="97" customFormat="1" hidden="1" x14ac:dyDescent="0.25">
      <c r="A664" s="37" t="s">
        <v>1492</v>
      </c>
      <c r="B664" s="38" t="s">
        <v>1487</v>
      </c>
      <c r="C664" s="427" t="s">
        <v>2151</v>
      </c>
      <c r="D664" s="39" t="s">
        <v>112</v>
      </c>
      <c r="E664" s="73" t="s">
        <v>1177</v>
      </c>
      <c r="F664" s="39" t="s">
        <v>667</v>
      </c>
      <c r="G664" s="39" t="s">
        <v>2006</v>
      </c>
      <c r="H664" s="73" t="s">
        <v>2096</v>
      </c>
      <c r="I664" s="73" t="s">
        <v>654</v>
      </c>
      <c r="J664" s="39"/>
      <c r="K664" s="40" t="s">
        <v>708</v>
      </c>
      <c r="L664" s="40" t="str">
        <f t="shared" si="26"/>
        <v>_</v>
      </c>
      <c r="M664" s="114">
        <f>ROUND(Tableau1[[#This Row],[LEN]]*7.27,0)</f>
        <v>167</v>
      </c>
      <c r="N664" s="114">
        <v>15</v>
      </c>
      <c r="O664" s="131" t="str">
        <f t="shared" si="27"/>
        <v>_self</v>
      </c>
      <c r="P664" s="114">
        <f>LEN(Tableau1[[#This Row],[LABEL]])</f>
        <v>23</v>
      </c>
      <c r="Q664" s="114">
        <v>15</v>
      </c>
      <c r="R664" s="114" t="e">
        <f>ROUND(Tableau1[[#This Row],[LEN]]*#REF!+#REF!,0)</f>
        <v>#REF!</v>
      </c>
    </row>
    <row r="665" spans="1:18" s="97" customFormat="1" hidden="1" x14ac:dyDescent="0.25">
      <c r="A665" s="37" t="s">
        <v>1493</v>
      </c>
      <c r="B665" s="38" t="s">
        <v>1487</v>
      </c>
      <c r="C665" s="427" t="s">
        <v>2151</v>
      </c>
      <c r="D665" s="39" t="s">
        <v>113</v>
      </c>
      <c r="E665" s="73" t="s">
        <v>1177</v>
      </c>
      <c r="F665" s="39" t="s">
        <v>667</v>
      </c>
      <c r="G665" s="39" t="s">
        <v>2006</v>
      </c>
      <c r="H665" s="73" t="s">
        <v>2096</v>
      </c>
      <c r="I665" s="73" t="s">
        <v>654</v>
      </c>
      <c r="J665" s="39"/>
      <c r="K665" s="40" t="s">
        <v>708</v>
      </c>
      <c r="L665" s="40" t="str">
        <f t="shared" si="26"/>
        <v>_</v>
      </c>
      <c r="M665" s="114">
        <f>ROUND(Tableau1[[#This Row],[LEN]]*7.27,0)</f>
        <v>233</v>
      </c>
      <c r="N665" s="114">
        <v>15</v>
      </c>
      <c r="O665" s="131" t="str">
        <f t="shared" si="27"/>
        <v>_self</v>
      </c>
      <c r="P665" s="114">
        <f>LEN(Tableau1[[#This Row],[LABEL]])</f>
        <v>32</v>
      </c>
      <c r="Q665" s="114">
        <v>15</v>
      </c>
      <c r="R665" s="114" t="e">
        <f>ROUND(Tableau1[[#This Row],[LEN]]*#REF!+#REF!,0)</f>
        <v>#REF!</v>
      </c>
    </row>
    <row r="666" spans="1:18" s="97" customFormat="1" hidden="1" x14ac:dyDescent="0.25">
      <c r="A666" s="33" t="s">
        <v>1488</v>
      </c>
      <c r="B666" s="34" t="s">
        <v>282</v>
      </c>
      <c r="C666" s="427" t="s">
        <v>2151</v>
      </c>
      <c r="D666" s="35" t="s">
        <v>1478</v>
      </c>
      <c r="E666" s="72" t="s">
        <v>1177</v>
      </c>
      <c r="F666" s="35" t="s">
        <v>676</v>
      </c>
      <c r="G666" s="35" t="s">
        <v>678</v>
      </c>
      <c r="H666" s="72" t="s">
        <v>2096</v>
      </c>
      <c r="I666" s="72" t="s">
        <v>654</v>
      </c>
      <c r="J666" s="35"/>
      <c r="K666" s="36" t="s">
        <v>708</v>
      </c>
      <c r="L666" s="36" t="str">
        <f t="shared" si="26"/>
        <v>_</v>
      </c>
      <c r="M666" s="113">
        <f>ROUND(Tableau1[[#This Row],[LEN]]*7.27,0)</f>
        <v>327</v>
      </c>
      <c r="N666" s="113">
        <v>15</v>
      </c>
      <c r="O666" s="130" t="str">
        <f t="shared" si="27"/>
        <v>_self</v>
      </c>
      <c r="P666" s="113">
        <f>LEN(Tableau1[[#This Row],[LABEL]])</f>
        <v>45</v>
      </c>
      <c r="Q666" s="113">
        <v>15</v>
      </c>
      <c r="R666" s="113" t="e">
        <f>ROUND(Tableau1[[#This Row],[LEN]]*#REF!+#REF!,0)</f>
        <v>#REF!</v>
      </c>
    </row>
    <row r="667" spans="1:18" s="97" customFormat="1" hidden="1" x14ac:dyDescent="0.25">
      <c r="A667" s="33" t="s">
        <v>1489</v>
      </c>
      <c r="B667" s="34" t="s">
        <v>282</v>
      </c>
      <c r="C667" s="427" t="s">
        <v>2151</v>
      </c>
      <c r="D667" s="35" t="s">
        <v>1483</v>
      </c>
      <c r="E667" s="72" t="s">
        <v>1177</v>
      </c>
      <c r="F667" s="35" t="s">
        <v>661</v>
      </c>
      <c r="G667" s="35" t="s">
        <v>2083</v>
      </c>
      <c r="H667" s="72" t="s">
        <v>2096</v>
      </c>
      <c r="I667" s="72" t="s">
        <v>655</v>
      </c>
      <c r="J667" s="35"/>
      <c r="K667" s="36" t="s">
        <v>708</v>
      </c>
      <c r="L667" s="36" t="str">
        <f t="shared" si="26"/>
        <v>_</v>
      </c>
      <c r="M667" s="113">
        <f>ROUND(Tableau1[[#This Row],[LEN]]*7.27,0)</f>
        <v>240</v>
      </c>
      <c r="N667" s="113">
        <v>15</v>
      </c>
      <c r="O667" s="130" t="str">
        <f t="shared" si="27"/>
        <v>_self</v>
      </c>
      <c r="P667" s="113">
        <f>LEN(Tableau1[[#This Row],[LABEL]])</f>
        <v>33</v>
      </c>
      <c r="Q667" s="113">
        <v>15</v>
      </c>
      <c r="R667" s="113" t="e">
        <f>ROUND(Tableau1[[#This Row],[LEN]]*#REF!+#REF!,0)</f>
        <v>#REF!</v>
      </c>
    </row>
    <row r="668" spans="1:18" s="97" customFormat="1" hidden="1" x14ac:dyDescent="0.25">
      <c r="A668" s="37" t="s">
        <v>1494</v>
      </c>
      <c r="B668" s="38" t="s">
        <v>1489</v>
      </c>
      <c r="C668" s="427" t="s">
        <v>2151</v>
      </c>
      <c r="D668" s="39" t="s">
        <v>1458</v>
      </c>
      <c r="E668" s="73" t="s">
        <v>1177</v>
      </c>
      <c r="F668" s="39" t="s">
        <v>661</v>
      </c>
      <c r="G668" s="39" t="s">
        <v>2083</v>
      </c>
      <c r="H668" s="73" t="s">
        <v>2096</v>
      </c>
      <c r="I668" s="73" t="s">
        <v>654</v>
      </c>
      <c r="J668" s="39"/>
      <c r="K668" s="40" t="s">
        <v>708</v>
      </c>
      <c r="L668" s="40" t="str">
        <f t="shared" si="26"/>
        <v>_</v>
      </c>
      <c r="M668" s="114">
        <f>ROUND(Tableau1[[#This Row],[LEN]]*7.27,0)</f>
        <v>189</v>
      </c>
      <c r="N668" s="114">
        <v>15</v>
      </c>
      <c r="O668" s="131" t="str">
        <f t="shared" si="27"/>
        <v>_self</v>
      </c>
      <c r="P668" s="114">
        <f>LEN(Tableau1[[#This Row],[LABEL]])</f>
        <v>26</v>
      </c>
      <c r="Q668" s="114">
        <v>15</v>
      </c>
      <c r="R668" s="114" t="e">
        <f>ROUND(Tableau1[[#This Row],[LEN]]*#REF!+#REF!,0)</f>
        <v>#REF!</v>
      </c>
    </row>
    <row r="669" spans="1:18" s="97" customFormat="1" hidden="1" x14ac:dyDescent="0.25">
      <c r="A669" s="37" t="s">
        <v>1495</v>
      </c>
      <c r="B669" s="38" t="s">
        <v>1489</v>
      </c>
      <c r="C669" s="427" t="s">
        <v>2151</v>
      </c>
      <c r="D669" s="39" t="s">
        <v>1459</v>
      </c>
      <c r="E669" s="73" t="s">
        <v>1177</v>
      </c>
      <c r="F669" s="39" t="s">
        <v>661</v>
      </c>
      <c r="G669" s="39" t="s">
        <v>2083</v>
      </c>
      <c r="H669" s="73" t="s">
        <v>2096</v>
      </c>
      <c r="I669" s="73" t="s">
        <v>654</v>
      </c>
      <c r="J669" s="39"/>
      <c r="K669" s="40" t="s">
        <v>708</v>
      </c>
      <c r="L669" s="40" t="str">
        <f t="shared" si="26"/>
        <v>_</v>
      </c>
      <c r="M669" s="114">
        <f>ROUND(Tableau1[[#This Row],[LEN]]*7.27,0)</f>
        <v>204</v>
      </c>
      <c r="N669" s="114">
        <v>15</v>
      </c>
      <c r="O669" s="131" t="str">
        <f t="shared" si="27"/>
        <v>_self</v>
      </c>
      <c r="P669" s="114">
        <f>LEN(Tableau1[[#This Row],[LABEL]])</f>
        <v>28</v>
      </c>
      <c r="Q669" s="114">
        <v>15</v>
      </c>
      <c r="R669" s="114" t="e">
        <f>ROUND(Tableau1[[#This Row],[LEN]]*#REF!+#REF!,0)</f>
        <v>#REF!</v>
      </c>
    </row>
    <row r="670" spans="1:18" s="97" customFormat="1" hidden="1" x14ac:dyDescent="0.25">
      <c r="A670" s="33" t="s">
        <v>1490</v>
      </c>
      <c r="B670" s="34" t="s">
        <v>282</v>
      </c>
      <c r="C670" s="427" t="s">
        <v>2151</v>
      </c>
      <c r="D670" s="35" t="s">
        <v>1491</v>
      </c>
      <c r="E670" s="72" t="s">
        <v>1177</v>
      </c>
      <c r="F670" s="35" t="s">
        <v>678</v>
      </c>
      <c r="G670" s="35" t="s">
        <v>1177</v>
      </c>
      <c r="H670" s="72" t="s">
        <v>2096</v>
      </c>
      <c r="I670" s="72" t="s">
        <v>656</v>
      </c>
      <c r="J670" s="35"/>
      <c r="K670" s="36" t="s">
        <v>708</v>
      </c>
      <c r="L670" s="36" t="str">
        <f t="shared" si="26"/>
        <v>_</v>
      </c>
      <c r="M670" s="113">
        <f>ROUND(Tableau1[[#This Row],[LEN]]*7.27,0)</f>
        <v>247</v>
      </c>
      <c r="N670" s="113">
        <v>16</v>
      </c>
      <c r="O670" s="130" t="str">
        <f t="shared" si="27"/>
        <v>_self</v>
      </c>
      <c r="P670" s="113">
        <f>LEN(Tableau1[[#This Row],[LABEL]])</f>
        <v>34</v>
      </c>
      <c r="Q670" s="113">
        <v>16</v>
      </c>
      <c r="R670" s="113" t="e">
        <f>ROUND(Tableau1[[#This Row],[LEN]]*#REF!+#REF!,0)</f>
        <v>#REF!</v>
      </c>
    </row>
    <row r="671" spans="1:18" s="273" customFormat="1" hidden="1" x14ac:dyDescent="0.25">
      <c r="A671" s="316" t="s">
        <v>283</v>
      </c>
      <c r="B671" s="317" t="s">
        <v>207</v>
      </c>
      <c r="C671" s="427" t="s">
        <v>2151</v>
      </c>
      <c r="D671" s="318" t="s">
        <v>15</v>
      </c>
      <c r="E671" s="319" t="s">
        <v>1177</v>
      </c>
      <c r="F671" s="318" t="s">
        <v>679</v>
      </c>
      <c r="G671" s="318" t="s">
        <v>1177</v>
      </c>
      <c r="H671" s="319" t="s">
        <v>2096</v>
      </c>
      <c r="I671" s="319" t="str">
        <f>IFERROR(IF(SEARCH(".00.00.00.00.00",Tableau1[[#This Row],[name]],1)=7,"Division",""),"")</f>
        <v>Division</v>
      </c>
      <c r="J671" s="318"/>
      <c r="K671" s="320" t="s">
        <v>708</v>
      </c>
      <c r="L671" s="320" t="str">
        <f t="shared" si="26"/>
        <v>_</v>
      </c>
      <c r="M671" s="321">
        <f>ROUND(Tableau1[[#This Row],[LEN]]*7.27,0)</f>
        <v>174</v>
      </c>
      <c r="N671" s="321">
        <v>15</v>
      </c>
      <c r="O671" s="322" t="str">
        <f t="shared" si="27"/>
        <v>_self</v>
      </c>
      <c r="P671" s="321">
        <f>LEN(Tableau1[[#This Row],[LABEL]])</f>
        <v>24</v>
      </c>
      <c r="Q671" s="321">
        <v>15</v>
      </c>
      <c r="R671" s="321" t="e">
        <f>ROUND(Tableau1[[#This Row],[LEN]]*#REF!+#REF!,0)</f>
        <v>#REF!</v>
      </c>
    </row>
    <row r="672" spans="1:18" s="97" customFormat="1" hidden="1" x14ac:dyDescent="0.25">
      <c r="A672" s="33" t="s">
        <v>1496</v>
      </c>
      <c r="B672" s="34" t="s">
        <v>283</v>
      </c>
      <c r="C672" s="427" t="s">
        <v>2151</v>
      </c>
      <c r="D672" s="35" t="s">
        <v>111</v>
      </c>
      <c r="E672" s="72" t="s">
        <v>1177</v>
      </c>
      <c r="F672" s="35" t="s">
        <v>667</v>
      </c>
      <c r="G672" s="35" t="s">
        <v>2006</v>
      </c>
      <c r="H672" s="72" t="s">
        <v>2096</v>
      </c>
      <c r="I672" s="72" t="s">
        <v>655</v>
      </c>
      <c r="J672" s="35"/>
      <c r="K672" s="36" t="s">
        <v>708</v>
      </c>
      <c r="L672" s="36" t="str">
        <f t="shared" si="26"/>
        <v>_</v>
      </c>
      <c r="M672" s="113">
        <f>ROUND(Tableau1[[#This Row],[LEN]]*7.27,0)</f>
        <v>167</v>
      </c>
      <c r="N672" s="113">
        <v>15</v>
      </c>
      <c r="O672" s="130" t="str">
        <f t="shared" si="27"/>
        <v>_self</v>
      </c>
      <c r="P672" s="113">
        <f>LEN(Tableau1[[#This Row],[LABEL]])</f>
        <v>23</v>
      </c>
      <c r="Q672" s="113">
        <v>15</v>
      </c>
      <c r="R672" s="113" t="e">
        <f>ROUND(Tableau1[[#This Row],[LEN]]*#REF!+#REF!,0)</f>
        <v>#REF!</v>
      </c>
    </row>
    <row r="673" spans="1:18" s="97" customFormat="1" hidden="1" x14ac:dyDescent="0.25">
      <c r="A673" s="37" t="s">
        <v>1498</v>
      </c>
      <c r="B673" s="38" t="s">
        <v>1496</v>
      </c>
      <c r="C673" s="427" t="s">
        <v>2151</v>
      </c>
      <c r="D673" s="39" t="s">
        <v>112</v>
      </c>
      <c r="E673" s="73" t="s">
        <v>1177</v>
      </c>
      <c r="F673" s="39" t="s">
        <v>667</v>
      </c>
      <c r="G673" s="39" t="s">
        <v>2006</v>
      </c>
      <c r="H673" s="73" t="s">
        <v>2096</v>
      </c>
      <c r="I673" s="73" t="s">
        <v>654</v>
      </c>
      <c r="J673" s="39"/>
      <c r="K673" s="40" t="s">
        <v>708</v>
      </c>
      <c r="L673" s="40" t="str">
        <f t="shared" si="26"/>
        <v>_</v>
      </c>
      <c r="M673" s="114">
        <f>ROUND(Tableau1[[#This Row],[LEN]]*7.27,0)</f>
        <v>167</v>
      </c>
      <c r="N673" s="114">
        <v>15</v>
      </c>
      <c r="O673" s="131" t="str">
        <f t="shared" si="27"/>
        <v>_self</v>
      </c>
      <c r="P673" s="114">
        <f>LEN(Tableau1[[#This Row],[LABEL]])</f>
        <v>23</v>
      </c>
      <c r="Q673" s="114">
        <v>15</v>
      </c>
      <c r="R673" s="114" t="e">
        <f>ROUND(Tableau1[[#This Row],[LEN]]*#REF!+#REF!,0)</f>
        <v>#REF!</v>
      </c>
    </row>
    <row r="674" spans="1:18" s="97" customFormat="1" hidden="1" x14ac:dyDescent="0.25">
      <c r="A674" s="37" t="s">
        <v>1499</v>
      </c>
      <c r="B674" s="38" t="s">
        <v>1496</v>
      </c>
      <c r="C674" s="427" t="s">
        <v>2151</v>
      </c>
      <c r="D674" s="39" t="s">
        <v>113</v>
      </c>
      <c r="E674" s="73" t="s">
        <v>1177</v>
      </c>
      <c r="F674" s="39" t="s">
        <v>667</v>
      </c>
      <c r="G674" s="39" t="s">
        <v>2006</v>
      </c>
      <c r="H674" s="73" t="s">
        <v>2096</v>
      </c>
      <c r="I674" s="73" t="s">
        <v>654</v>
      </c>
      <c r="J674" s="39"/>
      <c r="K674" s="40" t="s">
        <v>708</v>
      </c>
      <c r="L674" s="40" t="str">
        <f t="shared" si="26"/>
        <v>_</v>
      </c>
      <c r="M674" s="114">
        <f>ROUND(Tableau1[[#This Row],[LEN]]*7.27,0)</f>
        <v>233</v>
      </c>
      <c r="N674" s="114">
        <v>15</v>
      </c>
      <c r="O674" s="131" t="str">
        <f t="shared" si="27"/>
        <v>_self</v>
      </c>
      <c r="P674" s="114">
        <f>LEN(Tableau1[[#This Row],[LABEL]])</f>
        <v>32</v>
      </c>
      <c r="Q674" s="114">
        <v>15</v>
      </c>
      <c r="R674" s="114" t="e">
        <f>ROUND(Tableau1[[#This Row],[LEN]]*#REF!+#REF!,0)</f>
        <v>#REF!</v>
      </c>
    </row>
    <row r="675" spans="1:18" s="97" customFormat="1" hidden="1" x14ac:dyDescent="0.25">
      <c r="A675" s="33" t="s">
        <v>1497</v>
      </c>
      <c r="B675" s="34" t="s">
        <v>283</v>
      </c>
      <c r="C675" s="427" t="s">
        <v>2151</v>
      </c>
      <c r="D675" s="35" t="s">
        <v>1483</v>
      </c>
      <c r="E675" s="72" t="s">
        <v>1177</v>
      </c>
      <c r="F675" s="35" t="s">
        <v>661</v>
      </c>
      <c r="G675" s="35" t="s">
        <v>2083</v>
      </c>
      <c r="H675" s="72" t="s">
        <v>2096</v>
      </c>
      <c r="I675" s="72" t="s">
        <v>655</v>
      </c>
      <c r="J675" s="35"/>
      <c r="K675" s="36" t="s">
        <v>708</v>
      </c>
      <c r="L675" s="36" t="str">
        <f t="shared" si="26"/>
        <v>_</v>
      </c>
      <c r="M675" s="113">
        <f>ROUND(Tableau1[[#This Row],[LEN]]*7.27,0)</f>
        <v>240</v>
      </c>
      <c r="N675" s="113">
        <v>15</v>
      </c>
      <c r="O675" s="130" t="str">
        <f t="shared" si="27"/>
        <v>_self</v>
      </c>
      <c r="P675" s="113">
        <f>LEN(Tableau1[[#This Row],[LABEL]])</f>
        <v>33</v>
      </c>
      <c r="Q675" s="113">
        <v>15</v>
      </c>
      <c r="R675" s="113" t="e">
        <f>ROUND(Tableau1[[#This Row],[LEN]]*#REF!+#REF!,0)</f>
        <v>#REF!</v>
      </c>
    </row>
    <row r="676" spans="1:18" s="97" customFormat="1" hidden="1" x14ac:dyDescent="0.25">
      <c r="A676" s="37" t="s">
        <v>1500</v>
      </c>
      <c r="B676" s="38" t="s">
        <v>1497</v>
      </c>
      <c r="C676" s="427" t="s">
        <v>2151</v>
      </c>
      <c r="D676" s="39" t="s">
        <v>1458</v>
      </c>
      <c r="E676" s="73" t="s">
        <v>1177</v>
      </c>
      <c r="F676" s="39" t="s">
        <v>661</v>
      </c>
      <c r="G676" s="39" t="s">
        <v>2083</v>
      </c>
      <c r="H676" s="73" t="s">
        <v>2096</v>
      </c>
      <c r="I676" s="73" t="s">
        <v>654</v>
      </c>
      <c r="J676" s="39"/>
      <c r="K676" s="40" t="s">
        <v>708</v>
      </c>
      <c r="L676" s="40" t="str">
        <f t="shared" si="26"/>
        <v>_</v>
      </c>
      <c r="M676" s="114">
        <f>ROUND(Tableau1[[#This Row],[LEN]]*7.27,0)</f>
        <v>189</v>
      </c>
      <c r="N676" s="114">
        <v>15</v>
      </c>
      <c r="O676" s="131" t="str">
        <f t="shared" si="27"/>
        <v>_self</v>
      </c>
      <c r="P676" s="114">
        <f>LEN(Tableau1[[#This Row],[LABEL]])</f>
        <v>26</v>
      </c>
      <c r="Q676" s="114">
        <v>15</v>
      </c>
      <c r="R676" s="114" t="e">
        <f>ROUND(Tableau1[[#This Row],[LEN]]*#REF!+#REF!,0)</f>
        <v>#REF!</v>
      </c>
    </row>
    <row r="677" spans="1:18" s="97" customFormat="1" hidden="1" x14ac:dyDescent="0.25">
      <c r="A677" s="37" t="s">
        <v>1501</v>
      </c>
      <c r="B677" s="38" t="s">
        <v>1497</v>
      </c>
      <c r="C677" s="427" t="s">
        <v>2151</v>
      </c>
      <c r="D677" s="39" t="s">
        <v>1459</v>
      </c>
      <c r="E677" s="73" t="s">
        <v>1177</v>
      </c>
      <c r="F677" s="39" t="s">
        <v>661</v>
      </c>
      <c r="G677" s="39" t="s">
        <v>2083</v>
      </c>
      <c r="H677" s="73" t="s">
        <v>2096</v>
      </c>
      <c r="I677" s="73" t="s">
        <v>654</v>
      </c>
      <c r="J677" s="39"/>
      <c r="K677" s="40" t="s">
        <v>708</v>
      </c>
      <c r="L677" s="40" t="str">
        <f t="shared" si="26"/>
        <v>_</v>
      </c>
      <c r="M677" s="114">
        <f>ROUND(Tableau1[[#This Row],[LEN]]*7.27,0)</f>
        <v>204</v>
      </c>
      <c r="N677" s="114">
        <v>15</v>
      </c>
      <c r="O677" s="131" t="str">
        <f t="shared" si="27"/>
        <v>_self</v>
      </c>
      <c r="P677" s="114">
        <f>LEN(Tableau1[[#This Row],[LABEL]])</f>
        <v>28</v>
      </c>
      <c r="Q677" s="114">
        <v>15</v>
      </c>
      <c r="R677" s="114" t="e">
        <f>ROUND(Tableau1[[#This Row],[LEN]]*#REF!+#REF!,0)</f>
        <v>#REF!</v>
      </c>
    </row>
    <row r="678" spans="1:18" s="273" customFormat="1" hidden="1" x14ac:dyDescent="0.25">
      <c r="A678" s="316" t="s">
        <v>2007</v>
      </c>
      <c r="B678" s="317" t="s">
        <v>207</v>
      </c>
      <c r="C678" s="427" t="s">
        <v>2151</v>
      </c>
      <c r="D678" s="318" t="s">
        <v>1950</v>
      </c>
      <c r="E678" s="319" t="s">
        <v>1177</v>
      </c>
      <c r="F678" s="318" t="s">
        <v>1951</v>
      </c>
      <c r="G678" s="318" t="s">
        <v>1177</v>
      </c>
      <c r="H678" s="319" t="s">
        <v>2096</v>
      </c>
      <c r="I678" s="319" t="s">
        <v>56</v>
      </c>
      <c r="J678" s="318"/>
      <c r="K678" s="320" t="s">
        <v>708</v>
      </c>
      <c r="L678" s="320" t="str">
        <f t="shared" si="26"/>
        <v>_</v>
      </c>
      <c r="M678" s="321">
        <f>ROUND(Tableau1[[#This Row],[LEN]]*7.27,0)</f>
        <v>51</v>
      </c>
      <c r="N678" s="321">
        <v>15</v>
      </c>
      <c r="O678" s="322" t="str">
        <f t="shared" si="27"/>
        <v>_self</v>
      </c>
      <c r="P678" s="321">
        <f>LEN(Tableau1[[#This Row],[LABEL]])</f>
        <v>7</v>
      </c>
      <c r="Q678" s="321">
        <v>15</v>
      </c>
      <c r="R678" s="321" t="e">
        <f>ROUND(Tableau1[[#This Row],[LEN]]*#REF!+#REF!,0)</f>
        <v>#REF!</v>
      </c>
    </row>
    <row r="679" spans="1:18" s="97" customFormat="1" hidden="1" x14ac:dyDescent="0.25">
      <c r="A679" s="33" t="s">
        <v>2008</v>
      </c>
      <c r="B679" s="34" t="s">
        <v>2007</v>
      </c>
      <c r="C679" s="427" t="s">
        <v>2151</v>
      </c>
      <c r="D679" s="35" t="s">
        <v>111</v>
      </c>
      <c r="E679" s="72" t="s">
        <v>1177</v>
      </c>
      <c r="F679" s="35" t="s">
        <v>667</v>
      </c>
      <c r="G679" s="35" t="s">
        <v>2006</v>
      </c>
      <c r="H679" s="72" t="s">
        <v>2096</v>
      </c>
      <c r="I679" s="72" t="s">
        <v>655</v>
      </c>
      <c r="J679" s="35"/>
      <c r="K679" s="36" t="s">
        <v>708</v>
      </c>
      <c r="L679" s="36" t="str">
        <f t="shared" si="26"/>
        <v>_</v>
      </c>
      <c r="M679" s="113">
        <f>ROUND(Tableau1[[#This Row],[LEN]]*7.27,0)</f>
        <v>167</v>
      </c>
      <c r="N679" s="113">
        <v>15</v>
      </c>
      <c r="O679" s="130" t="str">
        <f t="shared" si="27"/>
        <v>_self</v>
      </c>
      <c r="P679" s="113">
        <f>LEN(Tableau1[[#This Row],[LABEL]])</f>
        <v>23</v>
      </c>
      <c r="Q679" s="113">
        <v>15</v>
      </c>
      <c r="R679" s="113" t="e">
        <f>ROUND(Tableau1[[#This Row],[LEN]]*#REF!+#REF!,0)</f>
        <v>#REF!</v>
      </c>
    </row>
    <row r="680" spans="1:18" s="97" customFormat="1" hidden="1" x14ac:dyDescent="0.25">
      <c r="A680" s="37" t="s">
        <v>2009</v>
      </c>
      <c r="B680" s="38" t="s">
        <v>2008</v>
      </c>
      <c r="C680" s="427" t="s">
        <v>2151</v>
      </c>
      <c r="D680" s="39" t="s">
        <v>2014</v>
      </c>
      <c r="E680" s="73" t="s">
        <v>2015</v>
      </c>
      <c r="F680" s="39" t="s">
        <v>667</v>
      </c>
      <c r="G680" s="39" t="s">
        <v>2006</v>
      </c>
      <c r="H680" s="73" t="s">
        <v>2096</v>
      </c>
      <c r="I680" s="73" t="s">
        <v>654</v>
      </c>
      <c r="J680" s="39"/>
      <c r="K680" s="40" t="s">
        <v>708</v>
      </c>
      <c r="L680" s="40" t="str">
        <f t="shared" si="26"/>
        <v>_</v>
      </c>
      <c r="M680" s="114">
        <f>ROUND(Tableau1[[#This Row],[LEN]]*7.27,0)</f>
        <v>124</v>
      </c>
      <c r="N680" s="114">
        <v>15</v>
      </c>
      <c r="O680" s="131" t="str">
        <f t="shared" si="27"/>
        <v>_self</v>
      </c>
      <c r="P680" s="114">
        <f>LEN(Tableau1[[#This Row],[LABEL]])</f>
        <v>17</v>
      </c>
      <c r="Q680" s="114">
        <v>15</v>
      </c>
      <c r="R680" s="114" t="e">
        <f>ROUND(Tableau1[[#This Row],[LEN]]*#REF!+#REF!,0)</f>
        <v>#REF!</v>
      </c>
    </row>
    <row r="681" spans="1:18" s="97" customFormat="1" hidden="1" x14ac:dyDescent="0.25">
      <c r="A681" s="37" t="s">
        <v>2010</v>
      </c>
      <c r="B681" s="38" t="s">
        <v>2008</v>
      </c>
      <c r="C681" s="427" t="s">
        <v>2151</v>
      </c>
      <c r="D681" s="39" t="s">
        <v>113</v>
      </c>
      <c r="E681" s="73" t="s">
        <v>1177</v>
      </c>
      <c r="F681" s="39" t="s">
        <v>667</v>
      </c>
      <c r="G681" s="39" t="s">
        <v>2006</v>
      </c>
      <c r="H681" s="73" t="s">
        <v>2096</v>
      </c>
      <c r="I681" s="73" t="s">
        <v>654</v>
      </c>
      <c r="J681" s="39"/>
      <c r="K681" s="40" t="s">
        <v>708</v>
      </c>
      <c r="L681" s="40" t="str">
        <f t="shared" si="26"/>
        <v>_</v>
      </c>
      <c r="M681" s="114">
        <f>ROUND(Tableau1[[#This Row],[LEN]]*7.27,0)</f>
        <v>233</v>
      </c>
      <c r="N681" s="114">
        <v>15</v>
      </c>
      <c r="O681" s="131" t="str">
        <f t="shared" si="27"/>
        <v>_self</v>
      </c>
      <c r="P681" s="114">
        <f>LEN(Tableau1[[#This Row],[LABEL]])</f>
        <v>32</v>
      </c>
      <c r="Q681" s="114">
        <v>15</v>
      </c>
      <c r="R681" s="114" t="e">
        <f>ROUND(Tableau1[[#This Row],[LEN]]*#REF!+#REF!,0)</f>
        <v>#REF!</v>
      </c>
    </row>
    <row r="682" spans="1:18" s="97" customFormat="1" ht="15.75" hidden="1" thickBot="1" x14ac:dyDescent="0.3">
      <c r="A682" s="184" t="s">
        <v>208</v>
      </c>
      <c r="B682" s="184" t="s">
        <v>198</v>
      </c>
      <c r="C682" s="428"/>
      <c r="D682" s="185" t="s">
        <v>176</v>
      </c>
      <c r="E682" s="186" t="s">
        <v>473</v>
      </c>
      <c r="F682" s="185" t="s">
        <v>1177</v>
      </c>
      <c r="G682" s="186" t="s">
        <v>1177</v>
      </c>
      <c r="H682" s="185" t="s">
        <v>68</v>
      </c>
      <c r="I682" s="185" t="s">
        <v>616</v>
      </c>
      <c r="J682" s="186"/>
      <c r="K682" s="187" t="s">
        <v>708</v>
      </c>
      <c r="L682" s="187" t="str">
        <f t="shared" si="26"/>
        <v>_</v>
      </c>
      <c r="M682" s="188">
        <f>ROUND(Tableau1[[#This Row],[LEN]]*7.27,0)</f>
        <v>160</v>
      </c>
      <c r="N682" s="188">
        <v>15</v>
      </c>
      <c r="O682" s="189" t="str">
        <f t="shared" si="27"/>
        <v>_self</v>
      </c>
      <c r="P682" s="188">
        <f>LEN(Tableau1[[#This Row],[LABEL]])</f>
        <v>22</v>
      </c>
      <c r="Q682" s="190">
        <v>15</v>
      </c>
      <c r="R682" s="190" t="e">
        <f>ROUND(Tableau1[[#This Row],[LEN]]*#REF!+#REF!,0)</f>
        <v>#REF!</v>
      </c>
    </row>
    <row r="683" spans="1:18" s="273" customFormat="1" hidden="1" x14ac:dyDescent="0.25">
      <c r="A683" s="330" t="s">
        <v>285</v>
      </c>
      <c r="B683" s="331" t="s">
        <v>208</v>
      </c>
      <c r="C683" s="429" t="s">
        <v>2152</v>
      </c>
      <c r="D683" s="332" t="s">
        <v>57</v>
      </c>
      <c r="E683" s="333" t="s">
        <v>1177</v>
      </c>
      <c r="F683" s="332" t="s">
        <v>663</v>
      </c>
      <c r="G683" s="332" t="s">
        <v>1177</v>
      </c>
      <c r="H683" s="333" t="s">
        <v>68</v>
      </c>
      <c r="I683" s="333" t="str">
        <f>IFERROR(IF(SEARCH(".00.00.00.00.00",Tableau1[[#This Row],[name]],1)=7,"Division",""),"")</f>
        <v>Division</v>
      </c>
      <c r="J683" s="332"/>
      <c r="K683" s="334" t="s">
        <v>708</v>
      </c>
      <c r="L683" s="334" t="str">
        <f t="shared" si="26"/>
        <v>_</v>
      </c>
      <c r="M683" s="335">
        <f>ROUND(Tableau1[[#This Row],[LEN]]*7.27,0)</f>
        <v>102</v>
      </c>
      <c r="N683" s="335">
        <v>15</v>
      </c>
      <c r="O683" s="336" t="str">
        <f t="shared" si="27"/>
        <v>_self</v>
      </c>
      <c r="P683" s="335">
        <f>LEN(Tableau1[[#This Row],[LABEL]])</f>
        <v>14</v>
      </c>
      <c r="Q683" s="335">
        <v>15</v>
      </c>
      <c r="R683" s="335" t="e">
        <f>ROUND(Tableau1[[#This Row],[LEN]]*#REF!+#REF!,0)</f>
        <v>#REF!</v>
      </c>
    </row>
    <row r="684" spans="1:18" s="97" customFormat="1" hidden="1" x14ac:dyDescent="0.25">
      <c r="A684" s="41" t="s">
        <v>844</v>
      </c>
      <c r="B684" s="42" t="s">
        <v>285</v>
      </c>
      <c r="C684" s="429" t="s">
        <v>2152</v>
      </c>
      <c r="D684" s="43" t="s">
        <v>848</v>
      </c>
      <c r="E684" s="74" t="s">
        <v>1177</v>
      </c>
      <c r="F684" s="43" t="s">
        <v>663</v>
      </c>
      <c r="G684" s="43" t="s">
        <v>684</v>
      </c>
      <c r="H684" s="74" t="s">
        <v>68</v>
      </c>
      <c r="I684" s="74" t="s">
        <v>655</v>
      </c>
      <c r="J684" s="43"/>
      <c r="K684" s="44" t="s">
        <v>708</v>
      </c>
      <c r="L684" s="44" t="str">
        <f t="shared" si="26"/>
        <v>_</v>
      </c>
      <c r="M684" s="115">
        <f>ROUND(Tableau1[[#This Row],[LEN]]*7.27,0)</f>
        <v>153</v>
      </c>
      <c r="N684" s="115">
        <v>15</v>
      </c>
      <c r="O684" s="132" t="str">
        <f t="shared" si="27"/>
        <v>_self</v>
      </c>
      <c r="P684" s="115">
        <f>LEN(Tableau1[[#This Row],[LABEL]])</f>
        <v>21</v>
      </c>
      <c r="Q684" s="115">
        <v>15</v>
      </c>
      <c r="R684" s="115" t="e">
        <f>ROUND(Tableau1[[#This Row],[LEN]]*#REF!+#REF!,0)</f>
        <v>#REF!</v>
      </c>
    </row>
    <row r="685" spans="1:18" s="97" customFormat="1" hidden="1" x14ac:dyDescent="0.25">
      <c r="A685" s="45" t="s">
        <v>852</v>
      </c>
      <c r="B685" s="46" t="s">
        <v>844</v>
      </c>
      <c r="C685" s="429" t="s">
        <v>2152</v>
      </c>
      <c r="D685" s="47" t="s">
        <v>864</v>
      </c>
      <c r="E685" s="75" t="s">
        <v>1177</v>
      </c>
      <c r="F685" s="47" t="s">
        <v>663</v>
      </c>
      <c r="G685" s="47" t="s">
        <v>684</v>
      </c>
      <c r="H685" s="75" t="s">
        <v>68</v>
      </c>
      <c r="I685" s="75" t="s">
        <v>656</v>
      </c>
      <c r="J685" s="47"/>
      <c r="K685" s="48" t="s">
        <v>708</v>
      </c>
      <c r="L685" s="48" t="str">
        <f t="shared" si="26"/>
        <v>_</v>
      </c>
      <c r="M685" s="116">
        <f>ROUND(Tableau1[[#This Row],[LEN]]*7.27,0)</f>
        <v>102</v>
      </c>
      <c r="N685" s="116">
        <v>15</v>
      </c>
      <c r="O685" s="133" t="str">
        <f t="shared" si="27"/>
        <v>_self</v>
      </c>
      <c r="P685" s="116">
        <f>LEN(Tableau1[[#This Row],[LABEL]])</f>
        <v>14</v>
      </c>
      <c r="Q685" s="116">
        <v>15</v>
      </c>
      <c r="R685" s="116" t="e">
        <f>ROUND(Tableau1[[#This Row],[LEN]]*#REF!+#REF!,0)</f>
        <v>#REF!</v>
      </c>
    </row>
    <row r="686" spans="1:18" s="97" customFormat="1" hidden="1" x14ac:dyDescent="0.25">
      <c r="A686" s="45" t="s">
        <v>853</v>
      </c>
      <c r="B686" s="46" t="s">
        <v>844</v>
      </c>
      <c r="C686" s="429" t="s">
        <v>2152</v>
      </c>
      <c r="D686" s="47" t="s">
        <v>865</v>
      </c>
      <c r="E686" s="75" t="s">
        <v>1177</v>
      </c>
      <c r="F686" s="47" t="s">
        <v>663</v>
      </c>
      <c r="G686" s="47" t="s">
        <v>684</v>
      </c>
      <c r="H686" s="75" t="s">
        <v>68</v>
      </c>
      <c r="I686" s="75" t="s">
        <v>656</v>
      </c>
      <c r="J686" s="47"/>
      <c r="K686" s="48" t="s">
        <v>708</v>
      </c>
      <c r="L686" s="48" t="str">
        <f t="shared" si="26"/>
        <v>_</v>
      </c>
      <c r="M686" s="116">
        <f>ROUND(Tableau1[[#This Row],[LEN]]*7.27,0)</f>
        <v>211</v>
      </c>
      <c r="N686" s="116">
        <v>15</v>
      </c>
      <c r="O686" s="133" t="str">
        <f t="shared" si="27"/>
        <v>_self</v>
      </c>
      <c r="P686" s="116">
        <f>LEN(Tableau1[[#This Row],[LABEL]])</f>
        <v>29</v>
      </c>
      <c r="Q686" s="116">
        <v>15</v>
      </c>
      <c r="R686" s="116" t="e">
        <f>ROUND(Tableau1[[#This Row],[LEN]]*#REF!+#REF!,0)</f>
        <v>#REF!</v>
      </c>
    </row>
    <row r="687" spans="1:18" s="97" customFormat="1" hidden="1" x14ac:dyDescent="0.25">
      <c r="A687" s="41" t="s">
        <v>845</v>
      </c>
      <c r="B687" s="42" t="s">
        <v>285</v>
      </c>
      <c r="C687" s="429" t="s">
        <v>2152</v>
      </c>
      <c r="D687" s="43" t="s">
        <v>849</v>
      </c>
      <c r="E687" s="74" t="s">
        <v>1177</v>
      </c>
      <c r="F687" s="43" t="s">
        <v>667</v>
      </c>
      <c r="G687" s="43" t="s">
        <v>840</v>
      </c>
      <c r="H687" s="74" t="s">
        <v>68</v>
      </c>
      <c r="I687" s="74" t="s">
        <v>655</v>
      </c>
      <c r="J687" s="43"/>
      <c r="K687" s="44" t="s">
        <v>708</v>
      </c>
      <c r="L687" s="44" t="str">
        <f t="shared" si="26"/>
        <v>_</v>
      </c>
      <c r="M687" s="115">
        <f>ROUND(Tableau1[[#This Row],[LEN]]*7.27,0)</f>
        <v>80</v>
      </c>
      <c r="N687" s="115">
        <v>15</v>
      </c>
      <c r="O687" s="132" t="str">
        <f t="shared" si="27"/>
        <v>_self</v>
      </c>
      <c r="P687" s="115">
        <f>LEN(Tableau1[[#This Row],[LABEL]])</f>
        <v>11</v>
      </c>
      <c r="Q687" s="115">
        <v>15</v>
      </c>
      <c r="R687" s="115" t="e">
        <f>ROUND(Tableau1[[#This Row],[LEN]]*#REF!+#REF!,0)</f>
        <v>#REF!</v>
      </c>
    </row>
    <row r="688" spans="1:18" s="97" customFormat="1" hidden="1" x14ac:dyDescent="0.25">
      <c r="A688" s="45" t="s">
        <v>854</v>
      </c>
      <c r="B688" s="46" t="s">
        <v>845</v>
      </c>
      <c r="C688" s="429" t="s">
        <v>2152</v>
      </c>
      <c r="D688" s="47" t="s">
        <v>112</v>
      </c>
      <c r="E688" s="75" t="s">
        <v>1177</v>
      </c>
      <c r="F688" s="47" t="s">
        <v>667</v>
      </c>
      <c r="G688" s="47" t="s">
        <v>2006</v>
      </c>
      <c r="H688" s="75" t="s">
        <v>68</v>
      </c>
      <c r="I688" s="75" t="s">
        <v>654</v>
      </c>
      <c r="J688" s="47"/>
      <c r="K688" s="48" t="s">
        <v>708</v>
      </c>
      <c r="L688" s="48" t="str">
        <f t="shared" si="26"/>
        <v>_</v>
      </c>
      <c r="M688" s="116">
        <f>ROUND(Tableau1[[#This Row],[LEN]]*7.27,0)</f>
        <v>167</v>
      </c>
      <c r="N688" s="116">
        <v>15</v>
      </c>
      <c r="O688" s="133" t="str">
        <f t="shared" si="27"/>
        <v>_self</v>
      </c>
      <c r="P688" s="116">
        <f>LEN(Tableau1[[#This Row],[LABEL]])</f>
        <v>23</v>
      </c>
      <c r="Q688" s="116">
        <v>15</v>
      </c>
      <c r="R688" s="116" t="e">
        <f>ROUND(Tableau1[[#This Row],[LEN]]*#REF!+#REF!,0)</f>
        <v>#REF!</v>
      </c>
    </row>
    <row r="689" spans="1:18" s="97" customFormat="1" hidden="1" x14ac:dyDescent="0.25">
      <c r="A689" s="45" t="s">
        <v>855</v>
      </c>
      <c r="B689" s="46" t="s">
        <v>845</v>
      </c>
      <c r="C689" s="429" t="s">
        <v>2152</v>
      </c>
      <c r="D689" s="47" t="s">
        <v>113</v>
      </c>
      <c r="E689" s="75" t="s">
        <v>1177</v>
      </c>
      <c r="F689" s="47" t="s">
        <v>667</v>
      </c>
      <c r="G689" s="47" t="s">
        <v>2006</v>
      </c>
      <c r="H689" s="75" t="s">
        <v>68</v>
      </c>
      <c r="I689" s="75" t="s">
        <v>654</v>
      </c>
      <c r="J689" s="47"/>
      <c r="K689" s="48" t="s">
        <v>708</v>
      </c>
      <c r="L689" s="48" t="str">
        <f t="shared" si="26"/>
        <v>_</v>
      </c>
      <c r="M689" s="116">
        <f>ROUND(Tableau1[[#This Row],[LEN]]*7.27,0)</f>
        <v>233</v>
      </c>
      <c r="N689" s="116">
        <v>15</v>
      </c>
      <c r="O689" s="133" t="str">
        <f t="shared" si="27"/>
        <v>_self</v>
      </c>
      <c r="P689" s="116">
        <f>LEN(Tableau1[[#This Row],[LABEL]])</f>
        <v>32</v>
      </c>
      <c r="Q689" s="116">
        <v>15</v>
      </c>
      <c r="R689" s="116" t="e">
        <f>ROUND(Tableau1[[#This Row],[LEN]]*#REF!+#REF!,0)</f>
        <v>#REF!</v>
      </c>
    </row>
    <row r="690" spans="1:18" s="97" customFormat="1" hidden="1" x14ac:dyDescent="0.25">
      <c r="A690" s="41" t="s">
        <v>846</v>
      </c>
      <c r="B690" s="42" t="s">
        <v>285</v>
      </c>
      <c r="C690" s="429" t="s">
        <v>2152</v>
      </c>
      <c r="D690" s="43" t="s">
        <v>850</v>
      </c>
      <c r="E690" s="74" t="s">
        <v>1177</v>
      </c>
      <c r="F690" s="43" t="s">
        <v>663</v>
      </c>
      <c r="G690" s="43" t="s">
        <v>1177</v>
      </c>
      <c r="H690" s="74" t="s">
        <v>68</v>
      </c>
      <c r="I690" s="74" t="s">
        <v>655</v>
      </c>
      <c r="J690" s="43"/>
      <c r="K690" s="44" t="s">
        <v>708</v>
      </c>
      <c r="L690" s="44" t="str">
        <f t="shared" si="26"/>
        <v>_</v>
      </c>
      <c r="M690" s="115">
        <f>ROUND(Tableau1[[#This Row],[LEN]]*7.27,0)</f>
        <v>109</v>
      </c>
      <c r="N690" s="115">
        <v>15</v>
      </c>
      <c r="O690" s="132" t="str">
        <f t="shared" si="27"/>
        <v>_self</v>
      </c>
      <c r="P690" s="115">
        <f>LEN(Tableau1[[#This Row],[LABEL]])</f>
        <v>15</v>
      </c>
      <c r="Q690" s="115">
        <v>15</v>
      </c>
      <c r="R690" s="115" t="e">
        <f>ROUND(Tableau1[[#This Row],[LEN]]*#REF!+#REF!,0)</f>
        <v>#REF!</v>
      </c>
    </row>
    <row r="691" spans="1:18" s="97" customFormat="1" hidden="1" x14ac:dyDescent="0.25">
      <c r="A691" s="45" t="s">
        <v>856</v>
      </c>
      <c r="B691" s="46" t="s">
        <v>846</v>
      </c>
      <c r="C691" s="429" t="s">
        <v>2152</v>
      </c>
      <c r="D691" s="47" t="s">
        <v>866</v>
      </c>
      <c r="E691" s="75" t="s">
        <v>1177</v>
      </c>
      <c r="F691" s="47" t="s">
        <v>663</v>
      </c>
      <c r="G691" s="47" t="s">
        <v>1177</v>
      </c>
      <c r="H691" s="75" t="s">
        <v>68</v>
      </c>
      <c r="I691" s="75" t="s">
        <v>18</v>
      </c>
      <c r="J691" s="47"/>
      <c r="K691" s="48" t="s">
        <v>708</v>
      </c>
      <c r="L691" s="48" t="str">
        <f t="shared" si="26"/>
        <v>_</v>
      </c>
      <c r="M691" s="116">
        <f>ROUND(Tableau1[[#This Row],[LEN]]*7.27,0)</f>
        <v>145</v>
      </c>
      <c r="N691" s="116">
        <v>15</v>
      </c>
      <c r="O691" s="133" t="str">
        <f t="shared" si="27"/>
        <v>_self</v>
      </c>
      <c r="P691" s="116">
        <f>LEN(Tableau1[[#This Row],[LABEL]])</f>
        <v>20</v>
      </c>
      <c r="Q691" s="116">
        <v>15</v>
      </c>
      <c r="R691" s="116" t="e">
        <f>ROUND(Tableau1[[#This Row],[LEN]]*#REF!+#REF!,0)</f>
        <v>#REF!</v>
      </c>
    </row>
    <row r="692" spans="1:18" s="97" customFormat="1" hidden="1" x14ac:dyDescent="0.25">
      <c r="A692" s="45" t="s">
        <v>857</v>
      </c>
      <c r="B692" s="46" t="s">
        <v>846</v>
      </c>
      <c r="C692" s="429" t="s">
        <v>2152</v>
      </c>
      <c r="D692" s="47" t="s">
        <v>867</v>
      </c>
      <c r="E692" s="75" t="s">
        <v>1177</v>
      </c>
      <c r="F692" s="47" t="s">
        <v>663</v>
      </c>
      <c r="G692" s="47" t="s">
        <v>1177</v>
      </c>
      <c r="H692" s="75" t="s">
        <v>68</v>
      </c>
      <c r="I692" s="75" t="s">
        <v>18</v>
      </c>
      <c r="J692" s="47"/>
      <c r="K692" s="48" t="s">
        <v>708</v>
      </c>
      <c r="L692" s="48" t="str">
        <f t="shared" si="26"/>
        <v>_</v>
      </c>
      <c r="M692" s="116">
        <f>ROUND(Tableau1[[#This Row],[LEN]]*7.27,0)</f>
        <v>153</v>
      </c>
      <c r="N692" s="116">
        <v>15</v>
      </c>
      <c r="O692" s="133" t="str">
        <f t="shared" si="27"/>
        <v>_self</v>
      </c>
      <c r="P692" s="116">
        <f>LEN(Tableau1[[#This Row],[LABEL]])</f>
        <v>21</v>
      </c>
      <c r="Q692" s="116">
        <v>15</v>
      </c>
      <c r="R692" s="116" t="e">
        <f>ROUND(Tableau1[[#This Row],[LEN]]*#REF!+#REF!,0)</f>
        <v>#REF!</v>
      </c>
    </row>
    <row r="693" spans="1:18" s="97" customFormat="1" hidden="1" x14ac:dyDescent="0.25">
      <c r="A693" s="45" t="s">
        <v>858</v>
      </c>
      <c r="B693" s="46" t="s">
        <v>846</v>
      </c>
      <c r="C693" s="429" t="s">
        <v>2152</v>
      </c>
      <c r="D693" s="47" t="s">
        <v>868</v>
      </c>
      <c r="E693" s="75" t="s">
        <v>1177</v>
      </c>
      <c r="F693" s="47" t="s">
        <v>663</v>
      </c>
      <c r="G693" s="47" t="s">
        <v>1177</v>
      </c>
      <c r="H693" s="75" t="s">
        <v>68</v>
      </c>
      <c r="I693" s="75" t="s">
        <v>18</v>
      </c>
      <c r="J693" s="47"/>
      <c r="K693" s="48" t="s">
        <v>708</v>
      </c>
      <c r="L693" s="48" t="str">
        <f t="shared" si="26"/>
        <v>_</v>
      </c>
      <c r="M693" s="116">
        <f>ROUND(Tableau1[[#This Row],[LEN]]*7.27,0)</f>
        <v>87</v>
      </c>
      <c r="N693" s="116">
        <v>15</v>
      </c>
      <c r="O693" s="133" t="str">
        <f t="shared" si="27"/>
        <v>_self</v>
      </c>
      <c r="P693" s="116">
        <f>LEN(Tableau1[[#This Row],[LABEL]])</f>
        <v>12</v>
      </c>
      <c r="Q693" s="116">
        <v>15</v>
      </c>
      <c r="R693" s="116" t="e">
        <f>ROUND(Tableau1[[#This Row],[LEN]]*#REF!+#REF!,0)</f>
        <v>#REF!</v>
      </c>
    </row>
    <row r="694" spans="1:18" s="97" customFormat="1" hidden="1" x14ac:dyDescent="0.25">
      <c r="A694" s="45" t="s">
        <v>859</v>
      </c>
      <c r="B694" s="46" t="s">
        <v>846</v>
      </c>
      <c r="C694" s="429" t="s">
        <v>2152</v>
      </c>
      <c r="D694" s="47" t="s">
        <v>869</v>
      </c>
      <c r="E694" s="75" t="s">
        <v>1177</v>
      </c>
      <c r="F694" s="47" t="s">
        <v>663</v>
      </c>
      <c r="G694" s="47" t="s">
        <v>1177</v>
      </c>
      <c r="H694" s="75" t="s">
        <v>68</v>
      </c>
      <c r="I694" s="75" t="s">
        <v>18</v>
      </c>
      <c r="J694" s="47"/>
      <c r="K694" s="48" t="s">
        <v>708</v>
      </c>
      <c r="L694" s="48" t="str">
        <f t="shared" si="26"/>
        <v>_</v>
      </c>
      <c r="M694" s="116">
        <f>ROUND(Tableau1[[#This Row],[LEN]]*7.27,0)</f>
        <v>145</v>
      </c>
      <c r="N694" s="116">
        <v>15</v>
      </c>
      <c r="O694" s="133" t="str">
        <f t="shared" si="27"/>
        <v>_self</v>
      </c>
      <c r="P694" s="116">
        <f>LEN(Tableau1[[#This Row],[LABEL]])</f>
        <v>20</v>
      </c>
      <c r="Q694" s="116">
        <v>15</v>
      </c>
      <c r="R694" s="116" t="e">
        <f>ROUND(Tableau1[[#This Row],[LEN]]*#REF!+#REF!,0)</f>
        <v>#REF!</v>
      </c>
    </row>
    <row r="695" spans="1:18" s="97" customFormat="1" hidden="1" x14ac:dyDescent="0.25">
      <c r="A695" s="41" t="s">
        <v>847</v>
      </c>
      <c r="B695" s="42" t="s">
        <v>285</v>
      </c>
      <c r="C695" s="429" t="s">
        <v>2152</v>
      </c>
      <c r="D695" s="43" t="s">
        <v>851</v>
      </c>
      <c r="E695" s="74" t="s">
        <v>1177</v>
      </c>
      <c r="F695" s="43" t="s">
        <v>663</v>
      </c>
      <c r="G695" s="43" t="s">
        <v>1177</v>
      </c>
      <c r="H695" s="74" t="s">
        <v>68</v>
      </c>
      <c r="I695" s="74" t="s">
        <v>655</v>
      </c>
      <c r="J695" s="43"/>
      <c r="K695" s="44" t="s">
        <v>708</v>
      </c>
      <c r="L695" s="44" t="str">
        <f t="shared" si="26"/>
        <v>_</v>
      </c>
      <c r="M695" s="115">
        <f>ROUND(Tableau1[[#This Row],[LEN]]*7.27,0)</f>
        <v>124</v>
      </c>
      <c r="N695" s="115">
        <v>15</v>
      </c>
      <c r="O695" s="132" t="str">
        <f t="shared" si="27"/>
        <v>_self</v>
      </c>
      <c r="P695" s="115">
        <f>LEN(Tableau1[[#This Row],[LABEL]])</f>
        <v>17</v>
      </c>
      <c r="Q695" s="115">
        <v>15</v>
      </c>
      <c r="R695" s="115" t="e">
        <f>ROUND(Tableau1[[#This Row],[LEN]]*#REF!+#REF!,0)</f>
        <v>#REF!</v>
      </c>
    </row>
    <row r="696" spans="1:18" s="97" customFormat="1" hidden="1" x14ac:dyDescent="0.25">
      <c r="A696" s="45" t="s">
        <v>860</v>
      </c>
      <c r="B696" s="46" t="s">
        <v>847</v>
      </c>
      <c r="C696" s="429" t="s">
        <v>2152</v>
      </c>
      <c r="D696" s="47" t="s">
        <v>870</v>
      </c>
      <c r="E696" s="75" t="s">
        <v>1177</v>
      </c>
      <c r="F696" s="47" t="s">
        <v>663</v>
      </c>
      <c r="G696" s="47" t="s">
        <v>1177</v>
      </c>
      <c r="H696" s="75" t="s">
        <v>68</v>
      </c>
      <c r="I696" s="75" t="s">
        <v>18</v>
      </c>
      <c r="J696" s="47"/>
      <c r="K696" s="48" t="s">
        <v>708</v>
      </c>
      <c r="L696" s="48" t="str">
        <f t="shared" si="26"/>
        <v>_</v>
      </c>
      <c r="M696" s="116">
        <f>ROUND(Tableau1[[#This Row],[LEN]]*7.27,0)</f>
        <v>65</v>
      </c>
      <c r="N696" s="116">
        <v>15</v>
      </c>
      <c r="O696" s="133" t="str">
        <f t="shared" si="27"/>
        <v>_self</v>
      </c>
      <c r="P696" s="116">
        <f>LEN(Tableau1[[#This Row],[LABEL]])</f>
        <v>9</v>
      </c>
      <c r="Q696" s="116">
        <v>15</v>
      </c>
      <c r="R696" s="116" t="e">
        <f>ROUND(Tableau1[[#This Row],[LEN]]*#REF!+#REF!,0)</f>
        <v>#REF!</v>
      </c>
    </row>
    <row r="697" spans="1:18" s="97" customFormat="1" hidden="1" x14ac:dyDescent="0.25">
      <c r="A697" s="45" t="s">
        <v>861</v>
      </c>
      <c r="B697" s="46" t="s">
        <v>847</v>
      </c>
      <c r="C697" s="429" t="s">
        <v>2152</v>
      </c>
      <c r="D697" s="47" t="s">
        <v>871</v>
      </c>
      <c r="E697" s="75" t="s">
        <v>1177</v>
      </c>
      <c r="F697" s="47" t="s">
        <v>663</v>
      </c>
      <c r="G697" s="47" t="s">
        <v>1177</v>
      </c>
      <c r="H697" s="75" t="s">
        <v>68</v>
      </c>
      <c r="I697" s="75" t="s">
        <v>18</v>
      </c>
      <c r="J697" s="47"/>
      <c r="K697" s="48" t="s">
        <v>708</v>
      </c>
      <c r="L697" s="48" t="str">
        <f t="shared" si="26"/>
        <v>_</v>
      </c>
      <c r="M697" s="116">
        <f>ROUND(Tableau1[[#This Row],[LEN]]*7.27,0)</f>
        <v>116</v>
      </c>
      <c r="N697" s="116">
        <v>15</v>
      </c>
      <c r="O697" s="133" t="str">
        <f t="shared" si="27"/>
        <v>_self</v>
      </c>
      <c r="P697" s="116">
        <f>LEN(Tableau1[[#This Row],[LABEL]])</f>
        <v>16</v>
      </c>
      <c r="Q697" s="116">
        <v>15</v>
      </c>
      <c r="R697" s="116" t="e">
        <f>ROUND(Tableau1[[#This Row],[LEN]]*#REF!+#REF!,0)</f>
        <v>#REF!</v>
      </c>
    </row>
    <row r="698" spans="1:18" s="97" customFormat="1" hidden="1" x14ac:dyDescent="0.25">
      <c r="A698" s="45" t="s">
        <v>862</v>
      </c>
      <c r="B698" s="46" t="s">
        <v>847</v>
      </c>
      <c r="C698" s="429" t="s">
        <v>2152</v>
      </c>
      <c r="D698" s="47" t="s">
        <v>872</v>
      </c>
      <c r="E698" s="75" t="s">
        <v>1177</v>
      </c>
      <c r="F698" s="47" t="s">
        <v>663</v>
      </c>
      <c r="G698" s="47" t="s">
        <v>1177</v>
      </c>
      <c r="H698" s="75" t="s">
        <v>68</v>
      </c>
      <c r="I698" s="75" t="s">
        <v>18</v>
      </c>
      <c r="J698" s="47"/>
      <c r="K698" s="48" t="s">
        <v>708</v>
      </c>
      <c r="L698" s="48" t="str">
        <f t="shared" si="26"/>
        <v>_</v>
      </c>
      <c r="M698" s="116">
        <f>ROUND(Tableau1[[#This Row],[LEN]]*7.27,0)</f>
        <v>145</v>
      </c>
      <c r="N698" s="116">
        <v>15</v>
      </c>
      <c r="O698" s="133" t="str">
        <f t="shared" si="27"/>
        <v>_self</v>
      </c>
      <c r="P698" s="116">
        <f>LEN(Tableau1[[#This Row],[LABEL]])</f>
        <v>20</v>
      </c>
      <c r="Q698" s="116">
        <v>15</v>
      </c>
      <c r="R698" s="116" t="e">
        <f>ROUND(Tableau1[[#This Row],[LEN]]*#REF!+#REF!,0)</f>
        <v>#REF!</v>
      </c>
    </row>
    <row r="699" spans="1:18" s="97" customFormat="1" hidden="1" x14ac:dyDescent="0.25">
      <c r="A699" s="45" t="s">
        <v>863</v>
      </c>
      <c r="B699" s="46" t="s">
        <v>847</v>
      </c>
      <c r="C699" s="429" t="s">
        <v>2152</v>
      </c>
      <c r="D699" s="47" t="s">
        <v>873</v>
      </c>
      <c r="E699" s="75" t="s">
        <v>1177</v>
      </c>
      <c r="F699" s="47" t="s">
        <v>663</v>
      </c>
      <c r="G699" s="47" t="s">
        <v>1177</v>
      </c>
      <c r="H699" s="75" t="s">
        <v>68</v>
      </c>
      <c r="I699" s="75" t="s">
        <v>18</v>
      </c>
      <c r="J699" s="47"/>
      <c r="K699" s="48" t="s">
        <v>708</v>
      </c>
      <c r="L699" s="48" t="str">
        <f t="shared" si="26"/>
        <v>_</v>
      </c>
      <c r="M699" s="116">
        <f>ROUND(Tableau1[[#This Row],[LEN]]*7.27,0)</f>
        <v>116</v>
      </c>
      <c r="N699" s="116">
        <v>15</v>
      </c>
      <c r="O699" s="133" t="str">
        <f t="shared" si="27"/>
        <v>_self</v>
      </c>
      <c r="P699" s="116">
        <f>LEN(Tableau1[[#This Row],[LABEL]])</f>
        <v>16</v>
      </c>
      <c r="Q699" s="116">
        <v>15</v>
      </c>
      <c r="R699" s="116" t="e">
        <f>ROUND(Tableau1[[#This Row],[LEN]]*#REF!+#REF!,0)</f>
        <v>#REF!</v>
      </c>
    </row>
    <row r="700" spans="1:18" s="273" customFormat="1" hidden="1" x14ac:dyDescent="0.25">
      <c r="A700" s="330" t="s">
        <v>286</v>
      </c>
      <c r="B700" s="331" t="s">
        <v>208</v>
      </c>
      <c r="C700" s="429" t="s">
        <v>2152</v>
      </c>
      <c r="D700" s="332" t="s">
        <v>2</v>
      </c>
      <c r="E700" s="333" t="s">
        <v>1177</v>
      </c>
      <c r="F700" s="332" t="s">
        <v>662</v>
      </c>
      <c r="G700" s="332" t="s">
        <v>1177</v>
      </c>
      <c r="H700" s="333" t="s">
        <v>68</v>
      </c>
      <c r="I700" s="333" t="str">
        <f>IFERROR(IF(SEARCH(".00.00.00.00.00",Tableau1[[#This Row],[name]],1)=7,"Division",""),"")</f>
        <v>Division</v>
      </c>
      <c r="J700" s="332"/>
      <c r="K700" s="334" t="s">
        <v>708</v>
      </c>
      <c r="L700" s="334" t="str">
        <f t="shared" si="26"/>
        <v>_</v>
      </c>
      <c r="M700" s="335">
        <f>ROUND(Tableau1[[#This Row],[LEN]]*7.27,0)</f>
        <v>65</v>
      </c>
      <c r="N700" s="335">
        <v>15</v>
      </c>
      <c r="O700" s="336" t="str">
        <f t="shared" si="27"/>
        <v>_self</v>
      </c>
      <c r="P700" s="335">
        <f>LEN(Tableau1[[#This Row],[LABEL]])</f>
        <v>9</v>
      </c>
      <c r="Q700" s="335">
        <v>15</v>
      </c>
      <c r="R700" s="335" t="e">
        <f>ROUND(Tableau1[[#This Row],[LEN]]*#REF!+#REF!,0)</f>
        <v>#REF!</v>
      </c>
    </row>
    <row r="701" spans="1:18" s="97" customFormat="1" hidden="1" x14ac:dyDescent="0.25">
      <c r="A701" s="41" t="s">
        <v>737</v>
      </c>
      <c r="B701" s="42" t="s">
        <v>286</v>
      </c>
      <c r="C701" s="429" t="s">
        <v>2152</v>
      </c>
      <c r="D701" s="43" t="s">
        <v>738</v>
      </c>
      <c r="E701" s="74" t="s">
        <v>1177</v>
      </c>
      <c r="F701" s="43" t="s">
        <v>662</v>
      </c>
      <c r="G701" s="43" t="s">
        <v>667</v>
      </c>
      <c r="H701" s="74" t="s">
        <v>68</v>
      </c>
      <c r="I701" s="74" t="s">
        <v>56</v>
      </c>
      <c r="J701" s="43"/>
      <c r="K701" s="44" t="s">
        <v>708</v>
      </c>
      <c r="L701" s="44" t="str">
        <f t="shared" si="26"/>
        <v>_</v>
      </c>
      <c r="M701" s="115">
        <f>ROUND(Tableau1[[#This Row],[LEN]]*7.27,0)</f>
        <v>247</v>
      </c>
      <c r="N701" s="115">
        <v>15</v>
      </c>
      <c r="O701" s="132" t="str">
        <f t="shared" si="27"/>
        <v>_self</v>
      </c>
      <c r="P701" s="115">
        <f>LEN(Tableau1[[#This Row],[LABEL]])</f>
        <v>34</v>
      </c>
      <c r="Q701" s="115">
        <v>15</v>
      </c>
      <c r="R701" s="115" t="e">
        <f>ROUND(Tableau1[[#This Row],[LEN]]*#REF!+#REF!,0)</f>
        <v>#REF!</v>
      </c>
    </row>
    <row r="702" spans="1:18" s="273" customFormat="1" hidden="1" x14ac:dyDescent="0.25">
      <c r="A702" s="330" t="s">
        <v>287</v>
      </c>
      <c r="B702" s="331" t="s">
        <v>208</v>
      </c>
      <c r="C702" s="429" t="s">
        <v>2152</v>
      </c>
      <c r="D702" s="332" t="s">
        <v>3</v>
      </c>
      <c r="E702" s="333" t="s">
        <v>1177</v>
      </c>
      <c r="F702" s="332" t="s">
        <v>661</v>
      </c>
      <c r="G702" s="332" t="s">
        <v>1177</v>
      </c>
      <c r="H702" s="333" t="s">
        <v>68</v>
      </c>
      <c r="I702" s="333" t="str">
        <f>IFERROR(IF(SEARCH(".00.00.00.00.00",Tableau1[[#This Row],[name]],1)=7,"Division",""),"")</f>
        <v>Division</v>
      </c>
      <c r="J702" s="332"/>
      <c r="K702" s="334" t="s">
        <v>708</v>
      </c>
      <c r="L702" s="334" t="str">
        <f t="shared" si="26"/>
        <v>_</v>
      </c>
      <c r="M702" s="335">
        <f>ROUND(Tableau1[[#This Row],[LEN]]*7.27,0)</f>
        <v>73</v>
      </c>
      <c r="N702" s="335">
        <v>15</v>
      </c>
      <c r="O702" s="336" t="str">
        <f t="shared" si="27"/>
        <v>_self</v>
      </c>
      <c r="P702" s="335">
        <f>LEN(Tableau1[[#This Row],[LABEL]])</f>
        <v>10</v>
      </c>
      <c r="Q702" s="335">
        <v>15</v>
      </c>
      <c r="R702" s="335" t="e">
        <f>ROUND(Tableau1[[#This Row],[LEN]]*#REF!+#REF!,0)</f>
        <v>#REF!</v>
      </c>
    </row>
    <row r="703" spans="1:18" s="97" customFormat="1" hidden="1" x14ac:dyDescent="0.25">
      <c r="A703" s="41" t="s">
        <v>443</v>
      </c>
      <c r="B703" s="42" t="s">
        <v>287</v>
      </c>
      <c r="C703" s="429" t="s">
        <v>2152</v>
      </c>
      <c r="D703" s="43" t="s">
        <v>75</v>
      </c>
      <c r="E703" s="74" t="s">
        <v>1177</v>
      </c>
      <c r="F703" s="43" t="s">
        <v>661</v>
      </c>
      <c r="G703" s="43" t="s">
        <v>666</v>
      </c>
      <c r="H703" s="74" t="s">
        <v>68</v>
      </c>
      <c r="I703" s="74" t="s">
        <v>655</v>
      </c>
      <c r="J703" s="43"/>
      <c r="K703" s="44" t="s">
        <v>708</v>
      </c>
      <c r="L703" s="44" t="str">
        <f t="shared" si="26"/>
        <v>_</v>
      </c>
      <c r="M703" s="115">
        <f>ROUND(Tableau1[[#This Row],[LEN]]*7.27,0)</f>
        <v>262</v>
      </c>
      <c r="N703" s="115">
        <v>15</v>
      </c>
      <c r="O703" s="132" t="str">
        <f t="shared" si="27"/>
        <v>_self</v>
      </c>
      <c r="P703" s="115">
        <f>LEN(Tableau1[[#This Row],[LABEL]])</f>
        <v>36</v>
      </c>
      <c r="Q703" s="115">
        <v>15</v>
      </c>
      <c r="R703" s="115" t="e">
        <f>ROUND(Tableau1[[#This Row],[LEN]]*#REF!+#REF!,0)</f>
        <v>#REF!</v>
      </c>
    </row>
    <row r="704" spans="1:18" s="97" customFormat="1" hidden="1" x14ac:dyDescent="0.25">
      <c r="A704" s="45" t="s">
        <v>453</v>
      </c>
      <c r="B704" s="46" t="s">
        <v>443</v>
      </c>
      <c r="C704" s="429" t="s">
        <v>2152</v>
      </c>
      <c r="D704" s="47" t="s">
        <v>115</v>
      </c>
      <c r="E704" s="75" t="s">
        <v>1177</v>
      </c>
      <c r="F704" s="47" t="s">
        <v>661</v>
      </c>
      <c r="G704" s="47" t="s">
        <v>666</v>
      </c>
      <c r="H704" s="75" t="s">
        <v>68</v>
      </c>
      <c r="I704" s="75" t="s">
        <v>656</v>
      </c>
      <c r="J704" s="47"/>
      <c r="K704" s="48" t="s">
        <v>708</v>
      </c>
      <c r="L704" s="48" t="str">
        <f t="shared" si="26"/>
        <v>_</v>
      </c>
      <c r="M704" s="116">
        <f>ROUND(Tableau1[[#This Row],[LEN]]*7.27,0)</f>
        <v>291</v>
      </c>
      <c r="N704" s="116">
        <v>15</v>
      </c>
      <c r="O704" s="133" t="str">
        <f t="shared" si="27"/>
        <v>_self</v>
      </c>
      <c r="P704" s="116">
        <f>LEN(Tableau1[[#This Row],[LABEL]])</f>
        <v>40</v>
      </c>
      <c r="Q704" s="116">
        <v>15</v>
      </c>
      <c r="R704" s="116" t="e">
        <f>ROUND(Tableau1[[#This Row],[LEN]]*#REF!+#REF!,0)</f>
        <v>#REF!</v>
      </c>
    </row>
    <row r="705" spans="1:18" s="97" customFormat="1" hidden="1" x14ac:dyDescent="0.25">
      <c r="A705" s="45" t="s">
        <v>454</v>
      </c>
      <c r="B705" s="46" t="s">
        <v>443</v>
      </c>
      <c r="C705" s="429" t="s">
        <v>2152</v>
      </c>
      <c r="D705" s="47" t="s">
        <v>116</v>
      </c>
      <c r="E705" s="75" t="s">
        <v>1177</v>
      </c>
      <c r="F705" s="47" t="s">
        <v>661</v>
      </c>
      <c r="G705" s="47" t="s">
        <v>666</v>
      </c>
      <c r="H705" s="75" t="s">
        <v>68</v>
      </c>
      <c r="I705" s="75" t="s">
        <v>656</v>
      </c>
      <c r="J705" s="47"/>
      <c r="K705" s="48" t="s">
        <v>708</v>
      </c>
      <c r="L705" s="48" t="str">
        <f t="shared" si="26"/>
        <v>_</v>
      </c>
      <c r="M705" s="116">
        <f>ROUND(Tableau1[[#This Row],[LEN]]*7.27,0)</f>
        <v>313</v>
      </c>
      <c r="N705" s="116">
        <v>15</v>
      </c>
      <c r="O705" s="133" t="str">
        <f t="shared" si="27"/>
        <v>_self</v>
      </c>
      <c r="P705" s="116">
        <f>LEN(Tableau1[[#This Row],[LABEL]])</f>
        <v>43</v>
      </c>
      <c r="Q705" s="116">
        <v>15</v>
      </c>
      <c r="R705" s="116" t="e">
        <f>ROUND(Tableau1[[#This Row],[LEN]]*#REF!+#REF!,0)</f>
        <v>#REF!</v>
      </c>
    </row>
    <row r="706" spans="1:18" s="97" customFormat="1" hidden="1" x14ac:dyDescent="0.25">
      <c r="A706" s="45" t="s">
        <v>455</v>
      </c>
      <c r="B706" s="46" t="s">
        <v>443</v>
      </c>
      <c r="C706" s="429" t="s">
        <v>2152</v>
      </c>
      <c r="D706" s="47" t="s">
        <v>117</v>
      </c>
      <c r="E706" s="75" t="s">
        <v>1177</v>
      </c>
      <c r="F706" s="47" t="s">
        <v>661</v>
      </c>
      <c r="G706" s="47" t="s">
        <v>666</v>
      </c>
      <c r="H706" s="75" t="s">
        <v>68</v>
      </c>
      <c r="I706" s="75" t="s">
        <v>656</v>
      </c>
      <c r="J706" s="47"/>
      <c r="K706" s="48" t="s">
        <v>708</v>
      </c>
      <c r="L706" s="48" t="str">
        <f t="shared" si="26"/>
        <v>_</v>
      </c>
      <c r="M706" s="116">
        <f>ROUND(Tableau1[[#This Row],[LEN]]*7.27,0)</f>
        <v>225</v>
      </c>
      <c r="N706" s="116">
        <v>15</v>
      </c>
      <c r="O706" s="133" t="str">
        <f t="shared" si="27"/>
        <v>_self</v>
      </c>
      <c r="P706" s="116">
        <f>LEN(Tableau1[[#This Row],[LABEL]])</f>
        <v>31</v>
      </c>
      <c r="Q706" s="116">
        <v>15</v>
      </c>
      <c r="R706" s="116" t="e">
        <f>ROUND(Tableau1[[#This Row],[LEN]]*#REF!+#REF!,0)</f>
        <v>#REF!</v>
      </c>
    </row>
    <row r="707" spans="1:18" s="97" customFormat="1" hidden="1" x14ac:dyDescent="0.25">
      <c r="A707" s="41" t="s">
        <v>444</v>
      </c>
      <c r="B707" s="42" t="s">
        <v>287</v>
      </c>
      <c r="C707" s="429" t="s">
        <v>2152</v>
      </c>
      <c r="D707" s="43" t="s">
        <v>512</v>
      </c>
      <c r="E707" s="74" t="s">
        <v>1177</v>
      </c>
      <c r="F707" s="43" t="s">
        <v>667</v>
      </c>
      <c r="G707" s="43" t="s">
        <v>661</v>
      </c>
      <c r="H707" s="74" t="s">
        <v>68</v>
      </c>
      <c r="I707" s="74" t="s">
        <v>655</v>
      </c>
      <c r="J707" s="43"/>
      <c r="K707" s="44" t="s">
        <v>708</v>
      </c>
      <c r="L707" s="44" t="str">
        <f t="shared" si="26"/>
        <v>_</v>
      </c>
      <c r="M707" s="115">
        <f>ROUND(Tableau1[[#This Row],[LEN]]*7.27,0)</f>
        <v>80</v>
      </c>
      <c r="N707" s="115">
        <v>15</v>
      </c>
      <c r="O707" s="132" t="str">
        <f t="shared" si="27"/>
        <v>_self</v>
      </c>
      <c r="P707" s="115">
        <f>LEN(Tableau1[[#This Row],[LABEL]])</f>
        <v>11</v>
      </c>
      <c r="Q707" s="115">
        <v>15</v>
      </c>
      <c r="R707" s="115" t="e">
        <f>ROUND(Tableau1[[#This Row],[LEN]]*#REF!+#REF!,0)</f>
        <v>#REF!</v>
      </c>
    </row>
    <row r="708" spans="1:18" s="97" customFormat="1" hidden="1" x14ac:dyDescent="0.25">
      <c r="A708" s="45" t="s">
        <v>456</v>
      </c>
      <c r="B708" s="46" t="s">
        <v>444</v>
      </c>
      <c r="C708" s="429" t="s">
        <v>2152</v>
      </c>
      <c r="D708" s="47" t="s">
        <v>112</v>
      </c>
      <c r="E708" s="75" t="s">
        <v>1177</v>
      </c>
      <c r="F708" s="47" t="s">
        <v>667</v>
      </c>
      <c r="G708" s="47" t="s">
        <v>2006</v>
      </c>
      <c r="H708" s="75" t="s">
        <v>68</v>
      </c>
      <c r="I708" s="75" t="s">
        <v>654</v>
      </c>
      <c r="J708" s="47"/>
      <c r="K708" s="48" t="s">
        <v>708</v>
      </c>
      <c r="L708" s="48" t="str">
        <f t="shared" si="26"/>
        <v>_</v>
      </c>
      <c r="M708" s="116">
        <f>ROUND(Tableau1[[#This Row],[LEN]]*7.27,0)</f>
        <v>167</v>
      </c>
      <c r="N708" s="116">
        <v>15</v>
      </c>
      <c r="O708" s="133" t="str">
        <f t="shared" si="27"/>
        <v>_self</v>
      </c>
      <c r="P708" s="116">
        <f>LEN(Tableau1[[#This Row],[LABEL]])</f>
        <v>23</v>
      </c>
      <c r="Q708" s="116">
        <v>15</v>
      </c>
      <c r="R708" s="116" t="e">
        <f>ROUND(Tableau1[[#This Row],[LEN]]*#REF!+#REF!,0)</f>
        <v>#REF!</v>
      </c>
    </row>
    <row r="709" spans="1:18" s="97" customFormat="1" hidden="1" x14ac:dyDescent="0.25">
      <c r="A709" s="45" t="s">
        <v>457</v>
      </c>
      <c r="B709" s="46" t="s">
        <v>444</v>
      </c>
      <c r="C709" s="429" t="s">
        <v>2152</v>
      </c>
      <c r="D709" s="47" t="s">
        <v>113</v>
      </c>
      <c r="E709" s="75" t="s">
        <v>1177</v>
      </c>
      <c r="F709" s="47" t="s">
        <v>667</v>
      </c>
      <c r="G709" s="47" t="s">
        <v>2006</v>
      </c>
      <c r="H709" s="75" t="s">
        <v>68</v>
      </c>
      <c r="I709" s="75" t="s">
        <v>654</v>
      </c>
      <c r="J709" s="47"/>
      <c r="K709" s="48" t="s">
        <v>708</v>
      </c>
      <c r="L709" s="48" t="str">
        <f t="shared" si="26"/>
        <v>_</v>
      </c>
      <c r="M709" s="116">
        <f>ROUND(Tableau1[[#This Row],[LEN]]*7.27,0)</f>
        <v>233</v>
      </c>
      <c r="N709" s="116">
        <v>15</v>
      </c>
      <c r="O709" s="133" t="str">
        <f t="shared" si="27"/>
        <v>_self</v>
      </c>
      <c r="P709" s="116">
        <f>LEN(Tableau1[[#This Row],[LABEL]])</f>
        <v>32</v>
      </c>
      <c r="Q709" s="116">
        <v>15</v>
      </c>
      <c r="R709" s="116" t="e">
        <f>ROUND(Tableau1[[#This Row],[LEN]]*#REF!+#REF!,0)</f>
        <v>#REF!</v>
      </c>
    </row>
    <row r="710" spans="1:18" s="97" customFormat="1" hidden="1" x14ac:dyDescent="0.25">
      <c r="A710" s="41" t="s">
        <v>445</v>
      </c>
      <c r="B710" s="42" t="s">
        <v>287</v>
      </c>
      <c r="C710" s="429" t="s">
        <v>2152</v>
      </c>
      <c r="D710" s="43" t="s">
        <v>849</v>
      </c>
      <c r="E710" s="74" t="s">
        <v>1177</v>
      </c>
      <c r="F710" s="43" t="s">
        <v>667</v>
      </c>
      <c r="G710" s="43" t="s">
        <v>840</v>
      </c>
      <c r="H710" s="74" t="s">
        <v>68</v>
      </c>
      <c r="I710" s="74" t="s">
        <v>655</v>
      </c>
      <c r="J710" s="43"/>
      <c r="K710" s="44" t="s">
        <v>708</v>
      </c>
      <c r="L710" s="44" t="str">
        <f t="shared" si="26"/>
        <v>_</v>
      </c>
      <c r="M710" s="115">
        <f>ROUND(Tableau1[[#This Row],[LEN]]*7.27,0)</f>
        <v>80</v>
      </c>
      <c r="N710" s="115">
        <v>15</v>
      </c>
      <c r="O710" s="132" t="str">
        <f t="shared" si="27"/>
        <v>_self</v>
      </c>
      <c r="P710" s="115">
        <f>LEN(Tableau1[[#This Row],[LABEL]])</f>
        <v>11</v>
      </c>
      <c r="Q710" s="115">
        <v>15</v>
      </c>
      <c r="R710" s="115" t="e">
        <f>ROUND(Tableau1[[#This Row],[LEN]]*#REF!+#REF!,0)</f>
        <v>#REF!</v>
      </c>
    </row>
    <row r="711" spans="1:18" s="97" customFormat="1" hidden="1" x14ac:dyDescent="0.25">
      <c r="A711" s="41" t="s">
        <v>446</v>
      </c>
      <c r="B711" s="42" t="s">
        <v>287</v>
      </c>
      <c r="C711" s="429" t="s">
        <v>2152</v>
      </c>
      <c r="D711" s="43" t="s">
        <v>1516</v>
      </c>
      <c r="E711" s="74" t="s">
        <v>1177</v>
      </c>
      <c r="F711" s="43" t="s">
        <v>661</v>
      </c>
      <c r="G711" s="43" t="s">
        <v>666</v>
      </c>
      <c r="H711" s="74" t="s">
        <v>68</v>
      </c>
      <c r="I711" s="74" t="s">
        <v>655</v>
      </c>
      <c r="J711" s="43"/>
      <c r="K711" s="44" t="s">
        <v>708</v>
      </c>
      <c r="L711" s="44" t="str">
        <f t="shared" si="26"/>
        <v>_</v>
      </c>
      <c r="M711" s="115">
        <f>ROUND(Tableau1[[#This Row],[LEN]]*7.27,0)</f>
        <v>305</v>
      </c>
      <c r="N711" s="115">
        <v>15</v>
      </c>
      <c r="O711" s="132" t="str">
        <f t="shared" si="27"/>
        <v>_self</v>
      </c>
      <c r="P711" s="115">
        <f>LEN(Tableau1[[#This Row],[LABEL]])</f>
        <v>42</v>
      </c>
      <c r="Q711" s="115">
        <v>15</v>
      </c>
      <c r="R711" s="115" t="e">
        <f>ROUND(Tableau1[[#This Row],[LEN]]*#REF!+#REF!,0)</f>
        <v>#REF!</v>
      </c>
    </row>
    <row r="712" spans="1:18" s="97" customFormat="1" hidden="1" x14ac:dyDescent="0.25">
      <c r="A712" s="45" t="s">
        <v>458</v>
      </c>
      <c r="B712" s="46" t="s">
        <v>446</v>
      </c>
      <c r="C712" s="429" t="s">
        <v>2152</v>
      </c>
      <c r="D712" s="47" t="s">
        <v>118</v>
      </c>
      <c r="E712" s="75" t="s">
        <v>1177</v>
      </c>
      <c r="F712" s="47" t="s">
        <v>661</v>
      </c>
      <c r="G712" s="47" t="s">
        <v>666</v>
      </c>
      <c r="H712" s="75" t="s">
        <v>68</v>
      </c>
      <c r="I712" s="75" t="s">
        <v>18</v>
      </c>
      <c r="J712" s="47"/>
      <c r="K712" s="48" t="s">
        <v>708</v>
      </c>
      <c r="L712" s="48" t="str">
        <f t="shared" si="26"/>
        <v>_</v>
      </c>
      <c r="M712" s="116">
        <f>ROUND(Tableau1[[#This Row],[LEN]]*7.27,0)</f>
        <v>204</v>
      </c>
      <c r="N712" s="116">
        <v>15</v>
      </c>
      <c r="O712" s="133" t="str">
        <f t="shared" si="27"/>
        <v>_self</v>
      </c>
      <c r="P712" s="116">
        <f>LEN(Tableau1[[#This Row],[LABEL]])</f>
        <v>28</v>
      </c>
      <c r="Q712" s="116">
        <v>15</v>
      </c>
      <c r="R712" s="116" t="e">
        <f>ROUND(Tableau1[[#This Row],[LEN]]*#REF!+#REF!,0)</f>
        <v>#REF!</v>
      </c>
    </row>
    <row r="713" spans="1:18" s="97" customFormat="1" hidden="1" x14ac:dyDescent="0.25">
      <c r="A713" s="45" t="s">
        <v>459</v>
      </c>
      <c r="B713" s="46" t="s">
        <v>446</v>
      </c>
      <c r="C713" s="429" t="s">
        <v>2152</v>
      </c>
      <c r="D713" s="47" t="s">
        <v>119</v>
      </c>
      <c r="E713" s="75" t="s">
        <v>1177</v>
      </c>
      <c r="F713" s="47" t="s">
        <v>661</v>
      </c>
      <c r="G713" s="47" t="s">
        <v>666</v>
      </c>
      <c r="H713" s="75" t="s">
        <v>68</v>
      </c>
      <c r="I713" s="75" t="s">
        <v>18</v>
      </c>
      <c r="J713" s="47"/>
      <c r="K713" s="48" t="s">
        <v>708</v>
      </c>
      <c r="L713" s="48" t="str">
        <f t="shared" si="26"/>
        <v>_</v>
      </c>
      <c r="M713" s="116">
        <f>ROUND(Tableau1[[#This Row],[LEN]]*7.27,0)</f>
        <v>218</v>
      </c>
      <c r="N713" s="116">
        <v>15</v>
      </c>
      <c r="O713" s="133" t="str">
        <f t="shared" si="27"/>
        <v>_self</v>
      </c>
      <c r="P713" s="116">
        <f>LEN(Tableau1[[#This Row],[LABEL]])</f>
        <v>30</v>
      </c>
      <c r="Q713" s="116">
        <v>15</v>
      </c>
      <c r="R713" s="116" t="e">
        <f>ROUND(Tableau1[[#This Row],[LEN]]*#REF!+#REF!,0)</f>
        <v>#REF!</v>
      </c>
    </row>
    <row r="714" spans="1:18" s="97" customFormat="1" hidden="1" x14ac:dyDescent="0.25">
      <c r="A714" s="45" t="s">
        <v>460</v>
      </c>
      <c r="B714" s="46" t="s">
        <v>446</v>
      </c>
      <c r="C714" s="429" t="s">
        <v>2152</v>
      </c>
      <c r="D714" s="47" t="s">
        <v>120</v>
      </c>
      <c r="E714" s="75" t="s">
        <v>1177</v>
      </c>
      <c r="F714" s="47" t="s">
        <v>661</v>
      </c>
      <c r="G714" s="47" t="s">
        <v>666</v>
      </c>
      <c r="H714" s="75" t="s">
        <v>68</v>
      </c>
      <c r="I714" s="75" t="s">
        <v>18</v>
      </c>
      <c r="J714" s="47"/>
      <c r="K714" s="48" t="s">
        <v>708</v>
      </c>
      <c r="L714" s="48" t="str">
        <f t="shared" si="26"/>
        <v>_</v>
      </c>
      <c r="M714" s="116">
        <f>ROUND(Tableau1[[#This Row],[LEN]]*7.27,0)</f>
        <v>131</v>
      </c>
      <c r="N714" s="116">
        <v>15</v>
      </c>
      <c r="O714" s="133" t="str">
        <f t="shared" si="27"/>
        <v>_self</v>
      </c>
      <c r="P714" s="116">
        <f>LEN(Tableau1[[#This Row],[LABEL]])</f>
        <v>18</v>
      </c>
      <c r="Q714" s="116">
        <v>15</v>
      </c>
      <c r="R714" s="116" t="e">
        <f>ROUND(Tableau1[[#This Row],[LEN]]*#REF!+#REF!,0)</f>
        <v>#REF!</v>
      </c>
    </row>
    <row r="715" spans="1:18" s="97" customFormat="1" hidden="1" x14ac:dyDescent="0.25">
      <c r="A715" s="45" t="s">
        <v>461</v>
      </c>
      <c r="B715" s="46" t="s">
        <v>446</v>
      </c>
      <c r="C715" s="429" t="s">
        <v>2152</v>
      </c>
      <c r="D715" s="47" t="s">
        <v>121</v>
      </c>
      <c r="E715" s="75" t="s">
        <v>1177</v>
      </c>
      <c r="F715" s="47" t="s">
        <v>661</v>
      </c>
      <c r="G715" s="47" t="s">
        <v>666</v>
      </c>
      <c r="H715" s="75" t="s">
        <v>68</v>
      </c>
      <c r="I715" s="75" t="s">
        <v>18</v>
      </c>
      <c r="J715" s="47"/>
      <c r="K715" s="48" t="s">
        <v>708</v>
      </c>
      <c r="L715" s="48" t="str">
        <f t="shared" si="26"/>
        <v>_</v>
      </c>
      <c r="M715" s="116">
        <f>ROUND(Tableau1[[#This Row],[LEN]]*7.27,0)</f>
        <v>174</v>
      </c>
      <c r="N715" s="116">
        <v>15</v>
      </c>
      <c r="O715" s="133" t="str">
        <f t="shared" si="27"/>
        <v>_self</v>
      </c>
      <c r="P715" s="116">
        <f>LEN(Tableau1[[#This Row],[LABEL]])</f>
        <v>24</v>
      </c>
      <c r="Q715" s="116">
        <v>15</v>
      </c>
      <c r="R715" s="116" t="e">
        <f>ROUND(Tableau1[[#This Row],[LEN]]*#REF!+#REF!,0)</f>
        <v>#REF!</v>
      </c>
    </row>
    <row r="716" spans="1:18" s="97" customFormat="1" hidden="1" x14ac:dyDescent="0.25">
      <c r="A716" s="41" t="s">
        <v>447</v>
      </c>
      <c r="B716" s="42" t="s">
        <v>287</v>
      </c>
      <c r="C716" s="429" t="s">
        <v>2152</v>
      </c>
      <c r="D716" s="43" t="s">
        <v>122</v>
      </c>
      <c r="E716" s="74" t="s">
        <v>1514</v>
      </c>
      <c r="F716" s="43" t="s">
        <v>667</v>
      </c>
      <c r="G716" s="43" t="s">
        <v>2084</v>
      </c>
      <c r="H716" s="74" t="s">
        <v>68</v>
      </c>
      <c r="I716" s="74" t="s">
        <v>656</v>
      </c>
      <c r="J716" s="43"/>
      <c r="K716" s="44" t="s">
        <v>708</v>
      </c>
      <c r="L716" s="44" t="str">
        <f t="shared" si="26"/>
        <v>_</v>
      </c>
      <c r="M716" s="115">
        <f>ROUND(Tableau1[[#This Row],[LEN]]*7.27,0)</f>
        <v>145</v>
      </c>
      <c r="N716" s="115">
        <v>15</v>
      </c>
      <c r="O716" s="132" t="str">
        <f t="shared" si="27"/>
        <v>_self</v>
      </c>
      <c r="P716" s="115">
        <f>LEN(Tableau1[[#This Row],[LABEL]])</f>
        <v>20</v>
      </c>
      <c r="Q716" s="115">
        <v>15</v>
      </c>
      <c r="R716" s="115" t="e">
        <f>ROUND(Tableau1[[#This Row],[LEN]]*#REF!+#REF!,0)</f>
        <v>#REF!</v>
      </c>
    </row>
    <row r="717" spans="1:18" s="97" customFormat="1" hidden="1" x14ac:dyDescent="0.25">
      <c r="A717" s="41" t="s">
        <v>448</v>
      </c>
      <c r="B717" s="42" t="s">
        <v>287</v>
      </c>
      <c r="C717" s="429" t="s">
        <v>2152</v>
      </c>
      <c r="D717" s="43" t="s">
        <v>538</v>
      </c>
      <c r="E717" s="74" t="s">
        <v>1177</v>
      </c>
      <c r="F717" s="43" t="s">
        <v>684</v>
      </c>
      <c r="G717" s="43" t="s">
        <v>1177</v>
      </c>
      <c r="H717" s="74" t="s">
        <v>68</v>
      </c>
      <c r="I717" s="74" t="s">
        <v>655</v>
      </c>
      <c r="J717" s="43"/>
      <c r="K717" s="44" t="s">
        <v>708</v>
      </c>
      <c r="L717" s="44" t="str">
        <f t="shared" si="26"/>
        <v>_</v>
      </c>
      <c r="M717" s="115">
        <f>ROUND(Tableau1[[#This Row],[LEN]]*7.27,0)</f>
        <v>305</v>
      </c>
      <c r="N717" s="115">
        <v>15</v>
      </c>
      <c r="O717" s="132" t="str">
        <f t="shared" si="27"/>
        <v>_self</v>
      </c>
      <c r="P717" s="115">
        <f>LEN(Tableau1[[#This Row],[LABEL]])</f>
        <v>42</v>
      </c>
      <c r="Q717" s="115">
        <v>15</v>
      </c>
      <c r="R717" s="115" t="e">
        <f>ROUND(Tableau1[[#This Row],[LEN]]*#REF!+#REF!,0)</f>
        <v>#REF!</v>
      </c>
    </row>
    <row r="718" spans="1:18" s="97" customFormat="1" hidden="1" x14ac:dyDescent="0.25">
      <c r="A718" s="45" t="s">
        <v>462</v>
      </c>
      <c r="B718" s="46" t="s">
        <v>448</v>
      </c>
      <c r="C718" s="429" t="s">
        <v>2152</v>
      </c>
      <c r="D718" s="47" t="s">
        <v>123</v>
      </c>
      <c r="E718" s="75" t="s">
        <v>1177</v>
      </c>
      <c r="F718" s="47" t="s">
        <v>684</v>
      </c>
      <c r="G718" s="47" t="s">
        <v>1177</v>
      </c>
      <c r="H718" s="75" t="s">
        <v>68</v>
      </c>
      <c r="I718" s="75" t="s">
        <v>18</v>
      </c>
      <c r="J718" s="47"/>
      <c r="K718" s="48" t="s">
        <v>708</v>
      </c>
      <c r="L718" s="48" t="str">
        <f t="shared" si="26"/>
        <v>_</v>
      </c>
      <c r="M718" s="116">
        <f>ROUND(Tableau1[[#This Row],[LEN]]*7.27,0)</f>
        <v>182</v>
      </c>
      <c r="N718" s="116">
        <v>15</v>
      </c>
      <c r="O718" s="133" t="str">
        <f t="shared" si="27"/>
        <v>_self</v>
      </c>
      <c r="P718" s="116">
        <f>LEN(Tableau1[[#This Row],[LABEL]])</f>
        <v>25</v>
      </c>
      <c r="Q718" s="116">
        <v>15</v>
      </c>
      <c r="R718" s="116" t="e">
        <f>ROUND(Tableau1[[#This Row],[LEN]]*#REF!+#REF!,0)</f>
        <v>#REF!</v>
      </c>
    </row>
    <row r="719" spans="1:18" s="97" customFormat="1" hidden="1" x14ac:dyDescent="0.25">
      <c r="A719" s="45" t="s">
        <v>463</v>
      </c>
      <c r="B719" s="46" t="s">
        <v>448</v>
      </c>
      <c r="C719" s="429" t="s">
        <v>2152</v>
      </c>
      <c r="D719" s="47" t="s">
        <v>124</v>
      </c>
      <c r="E719" s="75" t="s">
        <v>1177</v>
      </c>
      <c r="F719" s="47" t="s">
        <v>684</v>
      </c>
      <c r="G719" s="47" t="s">
        <v>1177</v>
      </c>
      <c r="H719" s="75" t="s">
        <v>68</v>
      </c>
      <c r="I719" s="75" t="s">
        <v>18</v>
      </c>
      <c r="J719" s="47"/>
      <c r="K719" s="48" t="s">
        <v>708</v>
      </c>
      <c r="L719" s="48" t="str">
        <f t="shared" si="26"/>
        <v>_</v>
      </c>
      <c r="M719" s="116">
        <f>ROUND(Tableau1[[#This Row],[LEN]]*7.27,0)</f>
        <v>116</v>
      </c>
      <c r="N719" s="116">
        <v>15</v>
      </c>
      <c r="O719" s="133" t="str">
        <f t="shared" si="27"/>
        <v>_self</v>
      </c>
      <c r="P719" s="116">
        <f>LEN(Tableau1[[#This Row],[LABEL]])</f>
        <v>16</v>
      </c>
      <c r="Q719" s="116">
        <v>15</v>
      </c>
      <c r="R719" s="116" t="e">
        <f>ROUND(Tableau1[[#This Row],[LEN]]*#REF!+#REF!,0)</f>
        <v>#REF!</v>
      </c>
    </row>
    <row r="720" spans="1:18" s="97" customFormat="1" hidden="1" x14ac:dyDescent="0.25">
      <c r="A720" s="45" t="s">
        <v>464</v>
      </c>
      <c r="B720" s="46" t="s">
        <v>448</v>
      </c>
      <c r="C720" s="429" t="s">
        <v>2152</v>
      </c>
      <c r="D720" s="47" t="s">
        <v>125</v>
      </c>
      <c r="E720" s="75" t="s">
        <v>1177</v>
      </c>
      <c r="F720" s="47" t="s">
        <v>684</v>
      </c>
      <c r="G720" s="47" t="s">
        <v>1177</v>
      </c>
      <c r="H720" s="75" t="s">
        <v>68</v>
      </c>
      <c r="I720" s="75" t="s">
        <v>18</v>
      </c>
      <c r="J720" s="47"/>
      <c r="K720" s="48" t="s">
        <v>708</v>
      </c>
      <c r="L720" s="48" t="str">
        <f t="shared" si="26"/>
        <v>_</v>
      </c>
      <c r="M720" s="116">
        <f>ROUND(Tableau1[[#This Row],[LEN]]*7.27,0)</f>
        <v>116</v>
      </c>
      <c r="N720" s="116">
        <v>15</v>
      </c>
      <c r="O720" s="133" t="str">
        <f t="shared" si="27"/>
        <v>_self</v>
      </c>
      <c r="P720" s="116">
        <f>LEN(Tableau1[[#This Row],[LABEL]])</f>
        <v>16</v>
      </c>
      <c r="Q720" s="116">
        <v>15</v>
      </c>
      <c r="R720" s="116" t="e">
        <f>ROUND(Tableau1[[#This Row],[LEN]]*#REF!+#REF!,0)</f>
        <v>#REF!</v>
      </c>
    </row>
    <row r="721" spans="1:18" s="97" customFormat="1" hidden="1" x14ac:dyDescent="0.25">
      <c r="A721" s="45" t="s">
        <v>465</v>
      </c>
      <c r="B721" s="46" t="s">
        <v>448</v>
      </c>
      <c r="C721" s="429" t="s">
        <v>2152</v>
      </c>
      <c r="D721" s="47" t="s">
        <v>126</v>
      </c>
      <c r="E721" s="75" t="s">
        <v>1177</v>
      </c>
      <c r="F721" s="47" t="s">
        <v>684</v>
      </c>
      <c r="G721" s="47" t="s">
        <v>1177</v>
      </c>
      <c r="H721" s="75" t="s">
        <v>68</v>
      </c>
      <c r="I721" s="75" t="s">
        <v>18</v>
      </c>
      <c r="J721" s="47"/>
      <c r="K721" s="48" t="s">
        <v>708</v>
      </c>
      <c r="L721" s="48" t="str">
        <f t="shared" si="26"/>
        <v>_</v>
      </c>
      <c r="M721" s="116">
        <f>ROUND(Tableau1[[#This Row],[LEN]]*7.27,0)</f>
        <v>80</v>
      </c>
      <c r="N721" s="116">
        <v>15</v>
      </c>
      <c r="O721" s="133" t="str">
        <f t="shared" si="27"/>
        <v>_self</v>
      </c>
      <c r="P721" s="116">
        <f>LEN(Tableau1[[#This Row],[LABEL]])</f>
        <v>11</v>
      </c>
      <c r="Q721" s="116">
        <v>15</v>
      </c>
      <c r="R721" s="116" t="e">
        <f>ROUND(Tableau1[[#This Row],[LEN]]*#REF!+#REF!,0)</f>
        <v>#REF!</v>
      </c>
    </row>
    <row r="722" spans="1:18" s="97" customFormat="1" hidden="1" x14ac:dyDescent="0.25">
      <c r="A722" s="45" t="s">
        <v>466</v>
      </c>
      <c r="B722" s="46" t="s">
        <v>448</v>
      </c>
      <c r="C722" s="429" t="s">
        <v>2152</v>
      </c>
      <c r="D722" s="47" t="s">
        <v>127</v>
      </c>
      <c r="E722" s="75" t="s">
        <v>1177</v>
      </c>
      <c r="F722" s="47" t="s">
        <v>684</v>
      </c>
      <c r="G722" s="47" t="s">
        <v>1177</v>
      </c>
      <c r="H722" s="75" t="s">
        <v>68</v>
      </c>
      <c r="I722" s="75" t="s">
        <v>18</v>
      </c>
      <c r="J722" s="47"/>
      <c r="K722" s="48" t="s">
        <v>708</v>
      </c>
      <c r="L722" s="48" t="str">
        <f t="shared" si="26"/>
        <v>_</v>
      </c>
      <c r="M722" s="116">
        <f>ROUND(Tableau1[[#This Row],[LEN]]*7.27,0)</f>
        <v>95</v>
      </c>
      <c r="N722" s="116">
        <v>15</v>
      </c>
      <c r="O722" s="133" t="str">
        <f t="shared" si="27"/>
        <v>_self</v>
      </c>
      <c r="P722" s="116">
        <f>LEN(Tableau1[[#This Row],[LABEL]])</f>
        <v>13</v>
      </c>
      <c r="Q722" s="116">
        <v>15</v>
      </c>
      <c r="R722" s="116" t="e">
        <f>ROUND(Tableau1[[#This Row],[LEN]]*#REF!+#REF!,0)</f>
        <v>#REF!</v>
      </c>
    </row>
    <row r="723" spans="1:18" s="97" customFormat="1" hidden="1" x14ac:dyDescent="0.25">
      <c r="A723" s="45" t="s">
        <v>467</v>
      </c>
      <c r="B723" s="46" t="s">
        <v>448</v>
      </c>
      <c r="C723" s="429" t="s">
        <v>2152</v>
      </c>
      <c r="D723" s="47" t="s">
        <v>1527</v>
      </c>
      <c r="E723" s="75" t="s">
        <v>1177</v>
      </c>
      <c r="F723" s="47" t="s">
        <v>684</v>
      </c>
      <c r="G723" s="47" t="s">
        <v>1177</v>
      </c>
      <c r="H723" s="75" t="s">
        <v>68</v>
      </c>
      <c r="I723" s="75" t="s">
        <v>18</v>
      </c>
      <c r="J723" s="47"/>
      <c r="K723" s="48" t="s">
        <v>708</v>
      </c>
      <c r="L723" s="48" t="str">
        <f t="shared" si="26"/>
        <v>_</v>
      </c>
      <c r="M723" s="116">
        <f>ROUND(Tableau1[[#This Row],[LEN]]*7.27,0)</f>
        <v>233</v>
      </c>
      <c r="N723" s="116">
        <v>15</v>
      </c>
      <c r="O723" s="133" t="str">
        <f t="shared" si="27"/>
        <v>_self</v>
      </c>
      <c r="P723" s="116">
        <f>LEN(Tableau1[[#This Row],[LABEL]])</f>
        <v>32</v>
      </c>
      <c r="Q723" s="116">
        <v>15</v>
      </c>
      <c r="R723" s="116" t="e">
        <f>ROUND(Tableau1[[#This Row],[LEN]]*#REF!+#REF!,0)</f>
        <v>#REF!</v>
      </c>
    </row>
    <row r="724" spans="1:18" s="273" customFormat="1" hidden="1" x14ac:dyDescent="0.25">
      <c r="A724" s="330" t="s">
        <v>288</v>
      </c>
      <c r="B724" s="331" t="s">
        <v>208</v>
      </c>
      <c r="C724" s="429" t="s">
        <v>2152</v>
      </c>
      <c r="D724" s="332" t="s">
        <v>4</v>
      </c>
      <c r="E724" s="333" t="s">
        <v>1177</v>
      </c>
      <c r="F724" s="332" t="s">
        <v>666</v>
      </c>
      <c r="G724" s="332" t="s">
        <v>1177</v>
      </c>
      <c r="H724" s="333" t="s">
        <v>68</v>
      </c>
      <c r="I724" s="333" t="str">
        <f>IFERROR(IF(SEARCH(".00.00.00.00.00",Tableau1[[#This Row],[name]],1)=7,"Division",""),"")</f>
        <v>Division</v>
      </c>
      <c r="J724" s="332"/>
      <c r="K724" s="334" t="s">
        <v>708</v>
      </c>
      <c r="L724" s="334" t="str">
        <f t="shared" si="26"/>
        <v>_</v>
      </c>
      <c r="M724" s="335">
        <f>ROUND(Tableau1[[#This Row],[LEN]]*7.27,0)</f>
        <v>36</v>
      </c>
      <c r="N724" s="335">
        <v>15</v>
      </c>
      <c r="O724" s="336" t="str">
        <f t="shared" si="27"/>
        <v>_self</v>
      </c>
      <c r="P724" s="335">
        <f>LEN(Tableau1[[#This Row],[LABEL]])</f>
        <v>5</v>
      </c>
      <c r="Q724" s="335">
        <v>15</v>
      </c>
      <c r="R724" s="335" t="e">
        <f>ROUND(Tableau1[[#This Row],[LEN]]*#REF!+#REF!,0)</f>
        <v>#REF!</v>
      </c>
    </row>
    <row r="725" spans="1:18" s="97" customFormat="1" hidden="1" x14ac:dyDescent="0.25">
      <c r="A725" s="41" t="s">
        <v>1502</v>
      </c>
      <c r="B725" s="42" t="s">
        <v>288</v>
      </c>
      <c r="C725" s="429" t="s">
        <v>2152</v>
      </c>
      <c r="D725" s="43" t="s">
        <v>75</v>
      </c>
      <c r="E725" s="74" t="s">
        <v>1177</v>
      </c>
      <c r="F725" s="43" t="s">
        <v>661</v>
      </c>
      <c r="G725" s="43" t="s">
        <v>666</v>
      </c>
      <c r="H725" s="74" t="s">
        <v>68</v>
      </c>
      <c r="I725" s="74" t="s">
        <v>655</v>
      </c>
      <c r="J725" s="43"/>
      <c r="K725" s="44" t="s">
        <v>708</v>
      </c>
      <c r="L725" s="44" t="str">
        <f t="shared" si="26"/>
        <v>_</v>
      </c>
      <c r="M725" s="115">
        <f>ROUND(Tableau1[[#This Row],[LEN]]*7.27,0)</f>
        <v>262</v>
      </c>
      <c r="N725" s="115">
        <v>15</v>
      </c>
      <c r="O725" s="132" t="str">
        <f t="shared" si="27"/>
        <v>_self</v>
      </c>
      <c r="P725" s="115">
        <f>LEN(Tableau1[[#This Row],[LABEL]])</f>
        <v>36</v>
      </c>
      <c r="Q725" s="115">
        <v>15</v>
      </c>
      <c r="R725" s="115" t="e">
        <f>ROUND(Tableau1[[#This Row],[LEN]]*#REF!+#REF!,0)</f>
        <v>#REF!</v>
      </c>
    </row>
    <row r="726" spans="1:18" s="97" customFormat="1" hidden="1" x14ac:dyDescent="0.25">
      <c r="A726" s="45" t="s">
        <v>1509</v>
      </c>
      <c r="B726" s="46" t="s">
        <v>1502</v>
      </c>
      <c r="C726" s="429" t="s">
        <v>2152</v>
      </c>
      <c r="D726" s="47" t="s">
        <v>115</v>
      </c>
      <c r="E726" s="75" t="s">
        <v>1177</v>
      </c>
      <c r="F726" s="47" t="s">
        <v>661</v>
      </c>
      <c r="G726" s="47" t="s">
        <v>666</v>
      </c>
      <c r="H726" s="75" t="s">
        <v>68</v>
      </c>
      <c r="I726" s="75" t="s">
        <v>656</v>
      </c>
      <c r="J726" s="47"/>
      <c r="K726" s="48" t="s">
        <v>708</v>
      </c>
      <c r="L726" s="48" t="str">
        <f t="shared" ref="L726:L802" si="28">IF(K726="javascript:void(0)","_","Documentation")</f>
        <v>_</v>
      </c>
      <c r="M726" s="116">
        <f>ROUND(Tableau1[[#This Row],[LEN]]*7.27,0)</f>
        <v>291</v>
      </c>
      <c r="N726" s="116">
        <v>15</v>
      </c>
      <c r="O726" s="133" t="str">
        <f t="shared" si="27"/>
        <v>_self</v>
      </c>
      <c r="P726" s="116">
        <f>LEN(Tableau1[[#This Row],[LABEL]])</f>
        <v>40</v>
      </c>
      <c r="Q726" s="116">
        <v>15</v>
      </c>
      <c r="R726" s="116" t="e">
        <f>ROUND(Tableau1[[#This Row],[LEN]]*#REF!+#REF!,0)</f>
        <v>#REF!</v>
      </c>
    </row>
    <row r="727" spans="1:18" s="97" customFormat="1" hidden="1" x14ac:dyDescent="0.25">
      <c r="A727" s="45" t="s">
        <v>1510</v>
      </c>
      <c r="B727" s="46" t="s">
        <v>1502</v>
      </c>
      <c r="C727" s="429" t="s">
        <v>2152</v>
      </c>
      <c r="D727" s="47" t="s">
        <v>116</v>
      </c>
      <c r="E727" s="75" t="s">
        <v>1177</v>
      </c>
      <c r="F727" s="47" t="s">
        <v>661</v>
      </c>
      <c r="G727" s="47" t="s">
        <v>666</v>
      </c>
      <c r="H727" s="75" t="s">
        <v>68</v>
      </c>
      <c r="I727" s="75" t="s">
        <v>656</v>
      </c>
      <c r="J727" s="47"/>
      <c r="K727" s="48" t="s">
        <v>708</v>
      </c>
      <c r="L727" s="48" t="str">
        <f t="shared" si="28"/>
        <v>_</v>
      </c>
      <c r="M727" s="116">
        <f>ROUND(Tableau1[[#This Row],[LEN]]*7.27,0)</f>
        <v>313</v>
      </c>
      <c r="N727" s="116">
        <v>15</v>
      </c>
      <c r="O727" s="133" t="str">
        <f t="shared" ref="O727:O803" si="29">IF(K727="javascript:void(0)","_self","_blank")</f>
        <v>_self</v>
      </c>
      <c r="P727" s="116">
        <f>LEN(Tableau1[[#This Row],[LABEL]])</f>
        <v>43</v>
      </c>
      <c r="Q727" s="116">
        <v>15</v>
      </c>
      <c r="R727" s="116" t="e">
        <f>ROUND(Tableau1[[#This Row],[LEN]]*#REF!+#REF!,0)</f>
        <v>#REF!</v>
      </c>
    </row>
    <row r="728" spans="1:18" s="97" customFormat="1" hidden="1" x14ac:dyDescent="0.25">
      <c r="A728" s="45" t="s">
        <v>1511</v>
      </c>
      <c r="B728" s="46" t="s">
        <v>1502</v>
      </c>
      <c r="C728" s="429" t="s">
        <v>2152</v>
      </c>
      <c r="D728" s="47" t="s">
        <v>117</v>
      </c>
      <c r="E728" s="75" t="s">
        <v>1177</v>
      </c>
      <c r="F728" s="47" t="s">
        <v>661</v>
      </c>
      <c r="G728" s="47" t="s">
        <v>666</v>
      </c>
      <c r="H728" s="75" t="s">
        <v>68</v>
      </c>
      <c r="I728" s="75" t="s">
        <v>656</v>
      </c>
      <c r="J728" s="47"/>
      <c r="K728" s="48" t="s">
        <v>708</v>
      </c>
      <c r="L728" s="48" t="str">
        <f t="shared" si="28"/>
        <v>_</v>
      </c>
      <c r="M728" s="116">
        <f>ROUND(Tableau1[[#This Row],[LEN]]*7.27,0)</f>
        <v>225</v>
      </c>
      <c r="N728" s="116">
        <v>15</v>
      </c>
      <c r="O728" s="133" t="str">
        <f t="shared" si="29"/>
        <v>_self</v>
      </c>
      <c r="P728" s="116">
        <f>LEN(Tableau1[[#This Row],[LABEL]])</f>
        <v>31</v>
      </c>
      <c r="Q728" s="116">
        <v>15</v>
      </c>
      <c r="R728" s="116" t="e">
        <f>ROUND(Tableau1[[#This Row],[LEN]]*#REF!+#REF!,0)</f>
        <v>#REF!</v>
      </c>
    </row>
    <row r="729" spans="1:18" s="97" customFormat="1" hidden="1" x14ac:dyDescent="0.25">
      <c r="A729" s="41" t="s">
        <v>1503</v>
      </c>
      <c r="B729" s="42" t="s">
        <v>288</v>
      </c>
      <c r="C729" s="429" t="s">
        <v>2152</v>
      </c>
      <c r="D729" s="43" t="s">
        <v>849</v>
      </c>
      <c r="E729" s="74" t="s">
        <v>1177</v>
      </c>
      <c r="F729" s="43" t="s">
        <v>667</v>
      </c>
      <c r="G729" s="43" t="s">
        <v>840</v>
      </c>
      <c r="H729" s="74" t="s">
        <v>68</v>
      </c>
      <c r="I729" s="74" t="s">
        <v>655</v>
      </c>
      <c r="J729" s="43"/>
      <c r="K729" s="44" t="s">
        <v>708</v>
      </c>
      <c r="L729" s="44" t="str">
        <f t="shared" si="28"/>
        <v>_</v>
      </c>
      <c r="M729" s="115">
        <f>ROUND(Tableau1[[#This Row],[LEN]]*7.27,0)</f>
        <v>80</v>
      </c>
      <c r="N729" s="115">
        <v>15</v>
      </c>
      <c r="O729" s="132" t="str">
        <f t="shared" si="29"/>
        <v>_self</v>
      </c>
      <c r="P729" s="115">
        <f>LEN(Tableau1[[#This Row],[LABEL]])</f>
        <v>11</v>
      </c>
      <c r="Q729" s="115">
        <v>15</v>
      </c>
      <c r="R729" s="115" t="e">
        <f>ROUND(Tableau1[[#This Row],[LEN]]*#REF!+#REF!,0)</f>
        <v>#REF!</v>
      </c>
    </row>
    <row r="730" spans="1:18" s="97" customFormat="1" hidden="1" x14ac:dyDescent="0.25">
      <c r="A730" s="45" t="s">
        <v>1512</v>
      </c>
      <c r="B730" s="46" t="s">
        <v>1503</v>
      </c>
      <c r="C730" s="429" t="s">
        <v>2152</v>
      </c>
      <c r="D730" s="47" t="s">
        <v>112</v>
      </c>
      <c r="E730" s="75" t="s">
        <v>1177</v>
      </c>
      <c r="F730" s="47" t="s">
        <v>667</v>
      </c>
      <c r="G730" s="47" t="s">
        <v>2006</v>
      </c>
      <c r="H730" s="75" t="s">
        <v>68</v>
      </c>
      <c r="I730" s="75" t="s">
        <v>654</v>
      </c>
      <c r="J730" s="47"/>
      <c r="K730" s="48" t="s">
        <v>708</v>
      </c>
      <c r="L730" s="48" t="str">
        <f t="shared" si="28"/>
        <v>_</v>
      </c>
      <c r="M730" s="116">
        <f>ROUND(Tableau1[[#This Row],[LEN]]*7.27,0)</f>
        <v>167</v>
      </c>
      <c r="N730" s="116">
        <v>15</v>
      </c>
      <c r="O730" s="133" t="str">
        <f t="shared" si="29"/>
        <v>_self</v>
      </c>
      <c r="P730" s="116">
        <f>LEN(Tableau1[[#This Row],[LABEL]])</f>
        <v>23</v>
      </c>
      <c r="Q730" s="116">
        <v>15</v>
      </c>
      <c r="R730" s="116" t="e">
        <f>ROUND(Tableau1[[#This Row],[LEN]]*#REF!+#REF!,0)</f>
        <v>#REF!</v>
      </c>
    </row>
    <row r="731" spans="1:18" s="97" customFormat="1" hidden="1" x14ac:dyDescent="0.25">
      <c r="A731" s="45" t="s">
        <v>1513</v>
      </c>
      <c r="B731" s="46" t="s">
        <v>1503</v>
      </c>
      <c r="C731" s="429" t="s">
        <v>2152</v>
      </c>
      <c r="D731" s="47" t="s">
        <v>113</v>
      </c>
      <c r="E731" s="75" t="s">
        <v>1177</v>
      </c>
      <c r="F731" s="47" t="s">
        <v>667</v>
      </c>
      <c r="G731" s="47" t="s">
        <v>2006</v>
      </c>
      <c r="H731" s="75" t="s">
        <v>68</v>
      </c>
      <c r="I731" s="75" t="s">
        <v>654</v>
      </c>
      <c r="J731" s="47"/>
      <c r="K731" s="48" t="s">
        <v>708</v>
      </c>
      <c r="L731" s="48" t="str">
        <f t="shared" si="28"/>
        <v>_</v>
      </c>
      <c r="M731" s="116">
        <f>ROUND(Tableau1[[#This Row],[LEN]]*7.27,0)</f>
        <v>233</v>
      </c>
      <c r="N731" s="116">
        <v>15</v>
      </c>
      <c r="O731" s="133" t="str">
        <f t="shared" si="29"/>
        <v>_self</v>
      </c>
      <c r="P731" s="116">
        <f>LEN(Tableau1[[#This Row],[LABEL]])</f>
        <v>32</v>
      </c>
      <c r="Q731" s="116">
        <v>15</v>
      </c>
      <c r="R731" s="116" t="e">
        <f>ROUND(Tableau1[[#This Row],[LEN]]*#REF!+#REF!,0)</f>
        <v>#REF!</v>
      </c>
    </row>
    <row r="732" spans="1:18" s="97" customFormat="1" hidden="1" x14ac:dyDescent="0.25">
      <c r="A732" s="41" t="s">
        <v>1504</v>
      </c>
      <c r="B732" s="42" t="s">
        <v>288</v>
      </c>
      <c r="C732" s="429" t="s">
        <v>2152</v>
      </c>
      <c r="D732" s="43" t="s">
        <v>122</v>
      </c>
      <c r="E732" s="74" t="s">
        <v>1514</v>
      </c>
      <c r="F732" s="43" t="s">
        <v>667</v>
      </c>
      <c r="G732" s="43" t="s">
        <v>2084</v>
      </c>
      <c r="H732" s="74" t="s">
        <v>68</v>
      </c>
      <c r="I732" s="74" t="s">
        <v>656</v>
      </c>
      <c r="J732" s="43"/>
      <c r="K732" s="44" t="s">
        <v>708</v>
      </c>
      <c r="L732" s="44" t="str">
        <f t="shared" si="28"/>
        <v>_</v>
      </c>
      <c r="M732" s="115">
        <f>ROUND(Tableau1[[#This Row],[LEN]]*7.27,0)</f>
        <v>145</v>
      </c>
      <c r="N732" s="115">
        <v>15</v>
      </c>
      <c r="O732" s="132" t="str">
        <f t="shared" si="29"/>
        <v>_self</v>
      </c>
      <c r="P732" s="115">
        <f>LEN(Tableau1[[#This Row],[LABEL]])</f>
        <v>20</v>
      </c>
      <c r="Q732" s="115">
        <v>15</v>
      </c>
      <c r="R732" s="115" t="e">
        <f>ROUND(Tableau1[[#This Row],[LEN]]*#REF!+#REF!,0)</f>
        <v>#REF!</v>
      </c>
    </row>
    <row r="733" spans="1:18" s="97" customFormat="1" hidden="1" x14ac:dyDescent="0.25">
      <c r="A733" s="41" t="s">
        <v>1505</v>
      </c>
      <c r="B733" s="42" t="s">
        <v>288</v>
      </c>
      <c r="C733" s="429" t="s">
        <v>2152</v>
      </c>
      <c r="D733" s="43" t="s">
        <v>1516</v>
      </c>
      <c r="E733" s="74" t="s">
        <v>1177</v>
      </c>
      <c r="F733" s="43" t="s">
        <v>661</v>
      </c>
      <c r="G733" s="43" t="s">
        <v>666</v>
      </c>
      <c r="H733" s="74" t="s">
        <v>68</v>
      </c>
      <c r="I733" s="74" t="s">
        <v>655</v>
      </c>
      <c r="J733" s="43"/>
      <c r="K733" s="44" t="s">
        <v>708</v>
      </c>
      <c r="L733" s="44" t="str">
        <f t="shared" si="28"/>
        <v>_</v>
      </c>
      <c r="M733" s="115">
        <f>ROUND(Tableau1[[#This Row],[LEN]]*7.27,0)</f>
        <v>305</v>
      </c>
      <c r="N733" s="115">
        <v>15</v>
      </c>
      <c r="O733" s="132" t="str">
        <f t="shared" si="29"/>
        <v>_self</v>
      </c>
      <c r="P733" s="115">
        <f>LEN(Tableau1[[#This Row],[LABEL]])</f>
        <v>42</v>
      </c>
      <c r="Q733" s="115">
        <v>15</v>
      </c>
      <c r="R733" s="115" t="e">
        <f>ROUND(Tableau1[[#This Row],[LEN]]*#REF!+#REF!,0)</f>
        <v>#REF!</v>
      </c>
    </row>
    <row r="734" spans="1:18" s="97" customFormat="1" hidden="1" x14ac:dyDescent="0.25">
      <c r="A734" s="45" t="s">
        <v>1517</v>
      </c>
      <c r="B734" s="46" t="s">
        <v>1505</v>
      </c>
      <c r="C734" s="429" t="s">
        <v>2152</v>
      </c>
      <c r="D734" s="47" t="s">
        <v>118</v>
      </c>
      <c r="E734" s="75" t="s">
        <v>1177</v>
      </c>
      <c r="F734" s="47" t="s">
        <v>661</v>
      </c>
      <c r="G734" s="47" t="s">
        <v>666</v>
      </c>
      <c r="H734" s="75" t="s">
        <v>68</v>
      </c>
      <c r="I734" s="75" t="s">
        <v>18</v>
      </c>
      <c r="J734" s="47"/>
      <c r="K734" s="48" t="s">
        <v>708</v>
      </c>
      <c r="L734" s="48" t="str">
        <f t="shared" si="28"/>
        <v>_</v>
      </c>
      <c r="M734" s="116">
        <f>ROUND(Tableau1[[#This Row],[LEN]]*7.27,0)</f>
        <v>204</v>
      </c>
      <c r="N734" s="116">
        <v>15</v>
      </c>
      <c r="O734" s="133" t="str">
        <f t="shared" si="29"/>
        <v>_self</v>
      </c>
      <c r="P734" s="116">
        <f>LEN(Tableau1[[#This Row],[LABEL]])</f>
        <v>28</v>
      </c>
      <c r="Q734" s="116">
        <v>15</v>
      </c>
      <c r="R734" s="116" t="e">
        <f>ROUND(Tableau1[[#This Row],[LEN]]*#REF!+#REF!,0)</f>
        <v>#REF!</v>
      </c>
    </row>
    <row r="735" spans="1:18" s="97" customFormat="1" hidden="1" x14ac:dyDescent="0.25">
      <c r="A735" s="45" t="s">
        <v>1518</v>
      </c>
      <c r="B735" s="46" t="s">
        <v>1505</v>
      </c>
      <c r="C735" s="429" t="s">
        <v>2152</v>
      </c>
      <c r="D735" s="47" t="s">
        <v>119</v>
      </c>
      <c r="E735" s="75" t="s">
        <v>1177</v>
      </c>
      <c r="F735" s="47" t="s">
        <v>661</v>
      </c>
      <c r="G735" s="47" t="s">
        <v>666</v>
      </c>
      <c r="H735" s="75" t="s">
        <v>68</v>
      </c>
      <c r="I735" s="75" t="s">
        <v>18</v>
      </c>
      <c r="J735" s="47"/>
      <c r="K735" s="48" t="s">
        <v>708</v>
      </c>
      <c r="L735" s="48" t="str">
        <f t="shared" si="28"/>
        <v>_</v>
      </c>
      <c r="M735" s="116">
        <f>ROUND(Tableau1[[#This Row],[LEN]]*7.27,0)</f>
        <v>218</v>
      </c>
      <c r="N735" s="116">
        <v>15</v>
      </c>
      <c r="O735" s="133" t="str">
        <f t="shared" si="29"/>
        <v>_self</v>
      </c>
      <c r="P735" s="116">
        <f>LEN(Tableau1[[#This Row],[LABEL]])</f>
        <v>30</v>
      </c>
      <c r="Q735" s="116">
        <v>15</v>
      </c>
      <c r="R735" s="116" t="e">
        <f>ROUND(Tableau1[[#This Row],[LEN]]*#REF!+#REF!,0)</f>
        <v>#REF!</v>
      </c>
    </row>
    <row r="736" spans="1:18" s="97" customFormat="1" hidden="1" x14ac:dyDescent="0.25">
      <c r="A736" s="45" t="s">
        <v>1519</v>
      </c>
      <c r="B736" s="46" t="s">
        <v>1505</v>
      </c>
      <c r="C736" s="429" t="s">
        <v>2152</v>
      </c>
      <c r="D736" s="47" t="s">
        <v>120</v>
      </c>
      <c r="E736" s="75" t="s">
        <v>1177</v>
      </c>
      <c r="F736" s="47" t="s">
        <v>661</v>
      </c>
      <c r="G736" s="47" t="s">
        <v>666</v>
      </c>
      <c r="H736" s="75" t="s">
        <v>68</v>
      </c>
      <c r="I736" s="75" t="s">
        <v>18</v>
      </c>
      <c r="J736" s="47"/>
      <c r="K736" s="48" t="s">
        <v>708</v>
      </c>
      <c r="L736" s="48" t="str">
        <f t="shared" si="28"/>
        <v>_</v>
      </c>
      <c r="M736" s="116">
        <f>ROUND(Tableau1[[#This Row],[LEN]]*7.27,0)</f>
        <v>131</v>
      </c>
      <c r="N736" s="116">
        <v>15</v>
      </c>
      <c r="O736" s="133" t="str">
        <f t="shared" si="29"/>
        <v>_self</v>
      </c>
      <c r="P736" s="116">
        <f>LEN(Tableau1[[#This Row],[LABEL]])</f>
        <v>18</v>
      </c>
      <c r="Q736" s="116">
        <v>15</v>
      </c>
      <c r="R736" s="116" t="e">
        <f>ROUND(Tableau1[[#This Row],[LEN]]*#REF!+#REF!,0)</f>
        <v>#REF!</v>
      </c>
    </row>
    <row r="737" spans="1:18" s="97" customFormat="1" hidden="1" x14ac:dyDescent="0.25">
      <c r="A737" s="45" t="s">
        <v>1520</v>
      </c>
      <c r="B737" s="46" t="s">
        <v>1505</v>
      </c>
      <c r="C737" s="429" t="s">
        <v>2152</v>
      </c>
      <c r="D737" s="47" t="s">
        <v>121</v>
      </c>
      <c r="E737" s="75" t="s">
        <v>1177</v>
      </c>
      <c r="F737" s="47" t="s">
        <v>661</v>
      </c>
      <c r="G737" s="47" t="s">
        <v>666</v>
      </c>
      <c r="H737" s="75" t="s">
        <v>68</v>
      </c>
      <c r="I737" s="75" t="s">
        <v>18</v>
      </c>
      <c r="J737" s="47"/>
      <c r="K737" s="48" t="s">
        <v>708</v>
      </c>
      <c r="L737" s="48" t="str">
        <f t="shared" si="28"/>
        <v>_</v>
      </c>
      <c r="M737" s="116">
        <f>ROUND(Tableau1[[#This Row],[LEN]]*7.27,0)</f>
        <v>174</v>
      </c>
      <c r="N737" s="116">
        <v>15</v>
      </c>
      <c r="O737" s="133" t="str">
        <f t="shared" si="29"/>
        <v>_self</v>
      </c>
      <c r="P737" s="116">
        <f>LEN(Tableau1[[#This Row],[LABEL]])</f>
        <v>24</v>
      </c>
      <c r="Q737" s="116">
        <v>15</v>
      </c>
      <c r="R737" s="116" t="e">
        <f>ROUND(Tableau1[[#This Row],[LEN]]*#REF!+#REF!,0)</f>
        <v>#REF!</v>
      </c>
    </row>
    <row r="738" spans="1:18" s="97" customFormat="1" hidden="1" x14ac:dyDescent="0.25">
      <c r="A738" s="41" t="s">
        <v>1506</v>
      </c>
      <c r="B738" s="42" t="s">
        <v>288</v>
      </c>
      <c r="C738" s="429" t="s">
        <v>2152</v>
      </c>
      <c r="D738" s="43" t="s">
        <v>538</v>
      </c>
      <c r="E738" s="74" t="s">
        <v>1177</v>
      </c>
      <c r="F738" s="43" t="s">
        <v>684</v>
      </c>
      <c r="G738" s="43" t="s">
        <v>1177</v>
      </c>
      <c r="H738" s="74" t="s">
        <v>68</v>
      </c>
      <c r="I738" s="74" t="s">
        <v>655</v>
      </c>
      <c r="J738" s="43"/>
      <c r="K738" s="44" t="s">
        <v>708</v>
      </c>
      <c r="L738" s="44" t="str">
        <f t="shared" si="28"/>
        <v>_</v>
      </c>
      <c r="M738" s="115">
        <f>ROUND(Tableau1[[#This Row],[LEN]]*7.27,0)</f>
        <v>305</v>
      </c>
      <c r="N738" s="115">
        <v>15</v>
      </c>
      <c r="O738" s="132" t="str">
        <f t="shared" si="29"/>
        <v>_self</v>
      </c>
      <c r="P738" s="115">
        <f>LEN(Tableau1[[#This Row],[LABEL]])</f>
        <v>42</v>
      </c>
      <c r="Q738" s="115">
        <v>15</v>
      </c>
      <c r="R738" s="115" t="e">
        <f>ROUND(Tableau1[[#This Row],[LEN]]*#REF!+#REF!,0)</f>
        <v>#REF!</v>
      </c>
    </row>
    <row r="739" spans="1:18" s="97" customFormat="1" hidden="1" x14ac:dyDescent="0.25">
      <c r="A739" s="45" t="s">
        <v>1521</v>
      </c>
      <c r="B739" s="46" t="s">
        <v>1506</v>
      </c>
      <c r="C739" s="429" t="s">
        <v>2152</v>
      </c>
      <c r="D739" s="47" t="s">
        <v>123</v>
      </c>
      <c r="E739" s="75" t="s">
        <v>1177</v>
      </c>
      <c r="F739" s="47" t="s">
        <v>684</v>
      </c>
      <c r="G739" s="47" t="s">
        <v>1177</v>
      </c>
      <c r="H739" s="75" t="s">
        <v>68</v>
      </c>
      <c r="I739" s="75" t="s">
        <v>18</v>
      </c>
      <c r="J739" s="47"/>
      <c r="K739" s="48" t="s">
        <v>708</v>
      </c>
      <c r="L739" s="48" t="str">
        <f t="shared" si="28"/>
        <v>_</v>
      </c>
      <c r="M739" s="116">
        <f>ROUND(Tableau1[[#This Row],[LEN]]*7.27,0)</f>
        <v>182</v>
      </c>
      <c r="N739" s="116">
        <v>15</v>
      </c>
      <c r="O739" s="133" t="str">
        <f t="shared" si="29"/>
        <v>_self</v>
      </c>
      <c r="P739" s="116">
        <f>LEN(Tableau1[[#This Row],[LABEL]])</f>
        <v>25</v>
      </c>
      <c r="Q739" s="116">
        <v>15</v>
      </c>
      <c r="R739" s="116" t="e">
        <f>ROUND(Tableau1[[#This Row],[LEN]]*#REF!+#REF!,0)</f>
        <v>#REF!</v>
      </c>
    </row>
    <row r="740" spans="1:18" s="97" customFormat="1" hidden="1" x14ac:dyDescent="0.25">
      <c r="A740" s="45" t="s">
        <v>1522</v>
      </c>
      <c r="B740" s="46" t="s">
        <v>1506</v>
      </c>
      <c r="C740" s="429" t="s">
        <v>2152</v>
      </c>
      <c r="D740" s="47" t="s">
        <v>124</v>
      </c>
      <c r="E740" s="75" t="s">
        <v>1177</v>
      </c>
      <c r="F740" s="47" t="s">
        <v>684</v>
      </c>
      <c r="G740" s="47" t="s">
        <v>1177</v>
      </c>
      <c r="H740" s="75" t="s">
        <v>68</v>
      </c>
      <c r="I740" s="75" t="s">
        <v>18</v>
      </c>
      <c r="J740" s="47"/>
      <c r="K740" s="48" t="s">
        <v>708</v>
      </c>
      <c r="L740" s="48" t="str">
        <f t="shared" si="28"/>
        <v>_</v>
      </c>
      <c r="M740" s="116">
        <f>ROUND(Tableau1[[#This Row],[LEN]]*7.27,0)</f>
        <v>116</v>
      </c>
      <c r="N740" s="116">
        <v>15</v>
      </c>
      <c r="O740" s="133" t="str">
        <f t="shared" si="29"/>
        <v>_self</v>
      </c>
      <c r="P740" s="116">
        <f>LEN(Tableau1[[#This Row],[LABEL]])</f>
        <v>16</v>
      </c>
      <c r="Q740" s="116">
        <v>15</v>
      </c>
      <c r="R740" s="116" t="e">
        <f>ROUND(Tableau1[[#This Row],[LEN]]*#REF!+#REF!,0)</f>
        <v>#REF!</v>
      </c>
    </row>
    <row r="741" spans="1:18" s="97" customFormat="1" hidden="1" x14ac:dyDescent="0.25">
      <c r="A741" s="45" t="s">
        <v>1523</v>
      </c>
      <c r="B741" s="46" t="s">
        <v>1506</v>
      </c>
      <c r="C741" s="429" t="s">
        <v>2152</v>
      </c>
      <c r="D741" s="47" t="s">
        <v>125</v>
      </c>
      <c r="E741" s="75" t="s">
        <v>1177</v>
      </c>
      <c r="F741" s="47" t="s">
        <v>684</v>
      </c>
      <c r="G741" s="47" t="s">
        <v>1177</v>
      </c>
      <c r="H741" s="75" t="s">
        <v>68</v>
      </c>
      <c r="I741" s="75" t="s">
        <v>18</v>
      </c>
      <c r="J741" s="47"/>
      <c r="K741" s="48" t="s">
        <v>708</v>
      </c>
      <c r="L741" s="48" t="str">
        <f t="shared" si="28"/>
        <v>_</v>
      </c>
      <c r="M741" s="116">
        <f>ROUND(Tableau1[[#This Row],[LEN]]*7.27,0)</f>
        <v>116</v>
      </c>
      <c r="N741" s="116">
        <v>15</v>
      </c>
      <c r="O741" s="133" t="str">
        <f t="shared" si="29"/>
        <v>_self</v>
      </c>
      <c r="P741" s="116">
        <f>LEN(Tableau1[[#This Row],[LABEL]])</f>
        <v>16</v>
      </c>
      <c r="Q741" s="116">
        <v>15</v>
      </c>
      <c r="R741" s="116" t="e">
        <f>ROUND(Tableau1[[#This Row],[LEN]]*#REF!+#REF!,0)</f>
        <v>#REF!</v>
      </c>
    </row>
    <row r="742" spans="1:18" s="97" customFormat="1" hidden="1" x14ac:dyDescent="0.25">
      <c r="A742" s="45" t="s">
        <v>1524</v>
      </c>
      <c r="B742" s="46" t="s">
        <v>1506</v>
      </c>
      <c r="C742" s="429" t="s">
        <v>2152</v>
      </c>
      <c r="D742" s="47" t="s">
        <v>126</v>
      </c>
      <c r="E742" s="75" t="s">
        <v>1177</v>
      </c>
      <c r="F742" s="47" t="s">
        <v>684</v>
      </c>
      <c r="G742" s="47" t="s">
        <v>1177</v>
      </c>
      <c r="H742" s="75" t="s">
        <v>68</v>
      </c>
      <c r="I742" s="75" t="s">
        <v>18</v>
      </c>
      <c r="J742" s="47"/>
      <c r="K742" s="48" t="s">
        <v>708</v>
      </c>
      <c r="L742" s="48" t="str">
        <f t="shared" si="28"/>
        <v>_</v>
      </c>
      <c r="M742" s="116">
        <f>ROUND(Tableau1[[#This Row],[LEN]]*7.27,0)</f>
        <v>80</v>
      </c>
      <c r="N742" s="116">
        <v>15</v>
      </c>
      <c r="O742" s="133" t="str">
        <f t="shared" si="29"/>
        <v>_self</v>
      </c>
      <c r="P742" s="116">
        <f>LEN(Tableau1[[#This Row],[LABEL]])</f>
        <v>11</v>
      </c>
      <c r="Q742" s="116">
        <v>15</v>
      </c>
      <c r="R742" s="116" t="e">
        <f>ROUND(Tableau1[[#This Row],[LEN]]*#REF!+#REF!,0)</f>
        <v>#REF!</v>
      </c>
    </row>
    <row r="743" spans="1:18" s="97" customFormat="1" hidden="1" x14ac:dyDescent="0.25">
      <c r="A743" s="45" t="s">
        <v>1525</v>
      </c>
      <c r="B743" s="46" t="s">
        <v>1506</v>
      </c>
      <c r="C743" s="429" t="s">
        <v>2152</v>
      </c>
      <c r="D743" s="47" t="s">
        <v>127</v>
      </c>
      <c r="E743" s="75" t="s">
        <v>1177</v>
      </c>
      <c r="F743" s="47" t="s">
        <v>684</v>
      </c>
      <c r="G743" s="47" t="s">
        <v>1177</v>
      </c>
      <c r="H743" s="75" t="s">
        <v>68</v>
      </c>
      <c r="I743" s="75" t="s">
        <v>18</v>
      </c>
      <c r="J743" s="47"/>
      <c r="K743" s="48" t="s">
        <v>708</v>
      </c>
      <c r="L743" s="48" t="str">
        <f t="shared" si="28"/>
        <v>_</v>
      </c>
      <c r="M743" s="116">
        <f>ROUND(Tableau1[[#This Row],[LEN]]*7.27,0)</f>
        <v>95</v>
      </c>
      <c r="N743" s="116">
        <v>15</v>
      </c>
      <c r="O743" s="133" t="str">
        <f t="shared" si="29"/>
        <v>_self</v>
      </c>
      <c r="P743" s="116">
        <f>LEN(Tableau1[[#This Row],[LABEL]])</f>
        <v>13</v>
      </c>
      <c r="Q743" s="116">
        <v>15</v>
      </c>
      <c r="R743" s="116" t="e">
        <f>ROUND(Tableau1[[#This Row],[LEN]]*#REF!+#REF!,0)</f>
        <v>#REF!</v>
      </c>
    </row>
    <row r="744" spans="1:18" s="97" customFormat="1" hidden="1" x14ac:dyDescent="0.25">
      <c r="A744" s="45" t="s">
        <v>1526</v>
      </c>
      <c r="B744" s="46" t="s">
        <v>1506</v>
      </c>
      <c r="C744" s="429" t="s">
        <v>2152</v>
      </c>
      <c r="D744" s="47" t="s">
        <v>1527</v>
      </c>
      <c r="E744" s="75" t="s">
        <v>1177</v>
      </c>
      <c r="F744" s="47" t="s">
        <v>684</v>
      </c>
      <c r="G744" s="47" t="s">
        <v>1177</v>
      </c>
      <c r="H744" s="75" t="s">
        <v>68</v>
      </c>
      <c r="I744" s="75" t="s">
        <v>18</v>
      </c>
      <c r="J744" s="47"/>
      <c r="K744" s="48" t="s">
        <v>708</v>
      </c>
      <c r="L744" s="48" t="str">
        <f t="shared" si="28"/>
        <v>_</v>
      </c>
      <c r="M744" s="116">
        <f>ROUND(Tableau1[[#This Row],[LEN]]*7.27,0)</f>
        <v>233</v>
      </c>
      <c r="N744" s="116">
        <v>15</v>
      </c>
      <c r="O744" s="133" t="str">
        <f t="shared" si="29"/>
        <v>_self</v>
      </c>
      <c r="P744" s="116">
        <f>LEN(Tableau1[[#This Row],[LABEL]])</f>
        <v>32</v>
      </c>
      <c r="Q744" s="116">
        <v>15</v>
      </c>
      <c r="R744" s="116" t="e">
        <f>ROUND(Tableau1[[#This Row],[LEN]]*#REF!+#REF!,0)</f>
        <v>#REF!</v>
      </c>
    </row>
    <row r="745" spans="1:18" s="97" customFormat="1" hidden="1" x14ac:dyDescent="0.25">
      <c r="A745" s="41" t="s">
        <v>1507</v>
      </c>
      <c r="B745" s="42" t="s">
        <v>288</v>
      </c>
      <c r="C745" s="429" t="s">
        <v>2152</v>
      </c>
      <c r="D745" s="43" t="s">
        <v>1528</v>
      </c>
      <c r="E745" s="74" t="s">
        <v>1177</v>
      </c>
      <c r="F745" s="43" t="s">
        <v>667</v>
      </c>
      <c r="G745" s="43" t="s">
        <v>1084</v>
      </c>
      <c r="H745" s="74" t="s">
        <v>1977</v>
      </c>
      <c r="I745" s="74" t="s">
        <v>1131</v>
      </c>
      <c r="J745" s="43"/>
      <c r="K745" s="44" t="s">
        <v>708</v>
      </c>
      <c r="L745" s="44" t="str">
        <f t="shared" si="28"/>
        <v>_</v>
      </c>
      <c r="M745" s="115">
        <f>ROUND(Tableau1[[#This Row],[LEN]]*7.27,0)</f>
        <v>174</v>
      </c>
      <c r="N745" s="115">
        <v>15</v>
      </c>
      <c r="O745" s="132" t="str">
        <f t="shared" si="29"/>
        <v>_self</v>
      </c>
      <c r="P745" s="115">
        <f>LEN(Tableau1[[#This Row],[LABEL]])</f>
        <v>24</v>
      </c>
      <c r="Q745" s="115">
        <v>15</v>
      </c>
      <c r="R745" s="115" t="e">
        <f>ROUND(Tableau1[[#This Row],[LEN]]*#REF!+#REF!,0)</f>
        <v>#REF!</v>
      </c>
    </row>
    <row r="746" spans="1:18" s="97" customFormat="1" x14ac:dyDescent="0.25">
      <c r="A746" s="41" t="s">
        <v>1508</v>
      </c>
      <c r="B746" s="42" t="s">
        <v>288</v>
      </c>
      <c r="C746" s="429" t="s">
        <v>2152</v>
      </c>
      <c r="D746" s="450" t="s">
        <v>2168</v>
      </c>
      <c r="E746" s="74" t="s">
        <v>1177</v>
      </c>
      <c r="F746" s="43" t="s">
        <v>672</v>
      </c>
      <c r="G746" s="43" t="s">
        <v>666</v>
      </c>
      <c r="H746" s="74" t="s">
        <v>68</v>
      </c>
      <c r="I746" s="74" t="s">
        <v>656</v>
      </c>
      <c r="J746" s="43"/>
      <c r="K746" s="44" t="s">
        <v>708</v>
      </c>
      <c r="L746" s="44" t="str">
        <f t="shared" si="28"/>
        <v>_</v>
      </c>
      <c r="M746" s="115">
        <f>ROUND(Tableau1[[#This Row],[LEN]]*7.27,0)</f>
        <v>218</v>
      </c>
      <c r="N746" s="115">
        <v>15</v>
      </c>
      <c r="O746" s="132" t="str">
        <f t="shared" si="29"/>
        <v>_self</v>
      </c>
      <c r="P746" s="115">
        <f>LEN(Tableau1[[#This Row],[LABEL]])</f>
        <v>30</v>
      </c>
      <c r="Q746" s="115">
        <v>15</v>
      </c>
      <c r="R746" s="115" t="e">
        <f>ROUND(Tableau1[[#This Row],[LEN]]*#REF!+#REF!,0)</f>
        <v>#REF!</v>
      </c>
    </row>
    <row r="747" spans="1:18" s="273" customFormat="1" hidden="1" x14ac:dyDescent="0.25">
      <c r="A747" s="330" t="s">
        <v>289</v>
      </c>
      <c r="B747" s="331" t="s">
        <v>208</v>
      </c>
      <c r="C747" s="429" t="s">
        <v>2152</v>
      </c>
      <c r="D747" s="332" t="s">
        <v>80</v>
      </c>
      <c r="E747" s="333" t="s">
        <v>1177</v>
      </c>
      <c r="F747" s="332" t="s">
        <v>667</v>
      </c>
      <c r="G747" s="332" t="s">
        <v>1177</v>
      </c>
      <c r="H747" s="333" t="s">
        <v>68</v>
      </c>
      <c r="I747" s="333" t="str">
        <f>IFERROR(IF(SEARCH(".00.00.00.00.00",Tableau1[[#This Row],[name]],1)=7,"Division",""),"")</f>
        <v>Division</v>
      </c>
      <c r="J747" s="332"/>
      <c r="K747" s="334" t="s">
        <v>708</v>
      </c>
      <c r="L747" s="334" t="str">
        <f t="shared" si="28"/>
        <v>_</v>
      </c>
      <c r="M747" s="335">
        <f>ROUND(Tableau1[[#This Row],[LEN]]*7.27,0)</f>
        <v>116</v>
      </c>
      <c r="N747" s="335">
        <v>15</v>
      </c>
      <c r="O747" s="336" t="str">
        <f t="shared" si="29"/>
        <v>_self</v>
      </c>
      <c r="P747" s="335">
        <f>LEN(Tableau1[[#This Row],[LABEL]])</f>
        <v>16</v>
      </c>
      <c r="Q747" s="335">
        <v>15</v>
      </c>
      <c r="R747" s="335" t="e">
        <f>ROUND(Tableau1[[#This Row],[LEN]]*#REF!+#REF!,0)</f>
        <v>#REF!</v>
      </c>
    </row>
    <row r="748" spans="1:18" s="97" customFormat="1" hidden="1" x14ac:dyDescent="0.25">
      <c r="A748" s="41" t="s">
        <v>1531</v>
      </c>
      <c r="B748" s="42" t="s">
        <v>289</v>
      </c>
      <c r="C748" s="429" t="s">
        <v>2152</v>
      </c>
      <c r="D748" s="43" t="s">
        <v>738</v>
      </c>
      <c r="E748" s="74" t="s">
        <v>1177</v>
      </c>
      <c r="F748" s="43" t="s">
        <v>662</v>
      </c>
      <c r="G748" s="43" t="s">
        <v>2085</v>
      </c>
      <c r="H748" s="74" t="s">
        <v>68</v>
      </c>
      <c r="I748" s="74" t="s">
        <v>56</v>
      </c>
      <c r="J748" s="43"/>
      <c r="K748" s="44" t="s">
        <v>708</v>
      </c>
      <c r="L748" s="44" t="str">
        <f t="shared" si="28"/>
        <v>_</v>
      </c>
      <c r="M748" s="115">
        <f>ROUND(Tableau1[[#This Row],[LEN]]*7.27,0)</f>
        <v>247</v>
      </c>
      <c r="N748" s="115">
        <v>15</v>
      </c>
      <c r="O748" s="132" t="str">
        <f t="shared" si="29"/>
        <v>_self</v>
      </c>
      <c r="P748" s="115">
        <f>LEN(Tableau1[[#This Row],[LABEL]])</f>
        <v>34</v>
      </c>
      <c r="Q748" s="115">
        <v>15</v>
      </c>
      <c r="R748" s="115" t="e">
        <f>ROUND(Tableau1[[#This Row],[LEN]]*#REF!+#REF!,0)</f>
        <v>#REF!</v>
      </c>
    </row>
    <row r="749" spans="1:18" s="97" customFormat="1" hidden="1" x14ac:dyDescent="0.25">
      <c r="A749" s="41" t="s">
        <v>1532</v>
      </c>
      <c r="B749" s="42" t="s">
        <v>289</v>
      </c>
      <c r="C749" s="429" t="s">
        <v>2152</v>
      </c>
      <c r="D749" s="43" t="s">
        <v>849</v>
      </c>
      <c r="E749" s="74" t="s">
        <v>1177</v>
      </c>
      <c r="F749" s="43" t="s">
        <v>667</v>
      </c>
      <c r="G749" s="43" t="s">
        <v>840</v>
      </c>
      <c r="H749" s="74" t="s">
        <v>68</v>
      </c>
      <c r="I749" s="74" t="s">
        <v>655</v>
      </c>
      <c r="J749" s="43"/>
      <c r="K749" s="44" t="s">
        <v>708</v>
      </c>
      <c r="L749" s="44" t="str">
        <f t="shared" si="28"/>
        <v>_</v>
      </c>
      <c r="M749" s="115">
        <f>ROUND(Tableau1[[#This Row],[LEN]]*7.27,0)</f>
        <v>80</v>
      </c>
      <c r="N749" s="115">
        <v>15</v>
      </c>
      <c r="O749" s="132" t="str">
        <f t="shared" si="29"/>
        <v>_self</v>
      </c>
      <c r="P749" s="115">
        <f>LEN(Tableau1[[#This Row],[LABEL]])</f>
        <v>11</v>
      </c>
      <c r="Q749" s="115">
        <v>15</v>
      </c>
      <c r="R749" s="115" t="e">
        <f>ROUND(Tableau1[[#This Row],[LEN]]*#REF!+#REF!,0)</f>
        <v>#REF!</v>
      </c>
    </row>
    <row r="750" spans="1:18" s="97" customFormat="1" hidden="1" x14ac:dyDescent="0.25">
      <c r="A750" s="45" t="s">
        <v>1536</v>
      </c>
      <c r="B750" s="46" t="s">
        <v>1532</v>
      </c>
      <c r="C750" s="429" t="s">
        <v>2152</v>
      </c>
      <c r="D750" s="47" t="s">
        <v>112</v>
      </c>
      <c r="E750" s="75" t="s">
        <v>1177</v>
      </c>
      <c r="F750" s="47" t="s">
        <v>667</v>
      </c>
      <c r="G750" s="47" t="s">
        <v>2006</v>
      </c>
      <c r="H750" s="75" t="s">
        <v>68</v>
      </c>
      <c r="I750" s="75" t="s">
        <v>654</v>
      </c>
      <c r="J750" s="47"/>
      <c r="K750" s="48" t="s">
        <v>708</v>
      </c>
      <c r="L750" s="48" t="str">
        <f t="shared" si="28"/>
        <v>_</v>
      </c>
      <c r="M750" s="116">
        <f>ROUND(Tableau1[[#This Row],[LEN]]*7.27,0)</f>
        <v>167</v>
      </c>
      <c r="N750" s="116">
        <v>15</v>
      </c>
      <c r="O750" s="133" t="str">
        <f t="shared" si="29"/>
        <v>_self</v>
      </c>
      <c r="P750" s="116">
        <f>LEN(Tableau1[[#This Row],[LABEL]])</f>
        <v>23</v>
      </c>
      <c r="Q750" s="116">
        <v>15</v>
      </c>
      <c r="R750" s="116" t="e">
        <f>ROUND(Tableau1[[#This Row],[LEN]]*#REF!+#REF!,0)</f>
        <v>#REF!</v>
      </c>
    </row>
    <row r="751" spans="1:18" s="97" customFormat="1" hidden="1" x14ac:dyDescent="0.25">
      <c r="A751" s="45" t="s">
        <v>1537</v>
      </c>
      <c r="B751" s="46" t="s">
        <v>1532</v>
      </c>
      <c r="C751" s="429" t="s">
        <v>2152</v>
      </c>
      <c r="D751" s="47" t="s">
        <v>113</v>
      </c>
      <c r="E751" s="75" t="s">
        <v>1177</v>
      </c>
      <c r="F751" s="47" t="s">
        <v>667</v>
      </c>
      <c r="G751" s="47" t="s">
        <v>2006</v>
      </c>
      <c r="H751" s="75" t="s">
        <v>68</v>
      </c>
      <c r="I751" s="75" t="s">
        <v>654</v>
      </c>
      <c r="J751" s="47"/>
      <c r="K751" s="48" t="s">
        <v>708</v>
      </c>
      <c r="L751" s="48" t="str">
        <f t="shared" si="28"/>
        <v>_</v>
      </c>
      <c r="M751" s="116">
        <f>ROUND(Tableau1[[#This Row],[LEN]]*7.27,0)</f>
        <v>233</v>
      </c>
      <c r="N751" s="116">
        <v>15</v>
      </c>
      <c r="O751" s="133" t="str">
        <f t="shared" si="29"/>
        <v>_self</v>
      </c>
      <c r="P751" s="116">
        <f>LEN(Tableau1[[#This Row],[LABEL]])</f>
        <v>32</v>
      </c>
      <c r="Q751" s="116">
        <v>15</v>
      </c>
      <c r="R751" s="116" t="e">
        <f>ROUND(Tableau1[[#This Row],[LEN]]*#REF!+#REF!,0)</f>
        <v>#REF!</v>
      </c>
    </row>
    <row r="752" spans="1:18" s="97" customFormat="1" hidden="1" x14ac:dyDescent="0.25">
      <c r="A752" s="41" t="s">
        <v>1533</v>
      </c>
      <c r="B752" s="42" t="s">
        <v>289</v>
      </c>
      <c r="C752" s="429" t="s">
        <v>2152</v>
      </c>
      <c r="D752" s="43" t="s">
        <v>122</v>
      </c>
      <c r="E752" s="74" t="s">
        <v>1514</v>
      </c>
      <c r="F752" s="43" t="s">
        <v>667</v>
      </c>
      <c r="G752" s="43" t="s">
        <v>2084</v>
      </c>
      <c r="H752" s="74" t="s">
        <v>68</v>
      </c>
      <c r="I752" s="74" t="s">
        <v>656</v>
      </c>
      <c r="J752" s="43"/>
      <c r="K752" s="44" t="s">
        <v>708</v>
      </c>
      <c r="L752" s="44" t="str">
        <f t="shared" si="28"/>
        <v>_</v>
      </c>
      <c r="M752" s="115">
        <f>ROUND(Tableau1[[#This Row],[LEN]]*7.27,0)</f>
        <v>145</v>
      </c>
      <c r="N752" s="115">
        <v>15</v>
      </c>
      <c r="O752" s="132" t="str">
        <f t="shared" si="29"/>
        <v>_self</v>
      </c>
      <c r="P752" s="115">
        <f>LEN(Tableau1[[#This Row],[LABEL]])</f>
        <v>20</v>
      </c>
      <c r="Q752" s="115">
        <v>15</v>
      </c>
      <c r="R752" s="115" t="e">
        <f>ROUND(Tableau1[[#This Row],[LEN]]*#REF!+#REF!,0)</f>
        <v>#REF!</v>
      </c>
    </row>
    <row r="753" spans="1:18" s="97" customFormat="1" hidden="1" x14ac:dyDescent="0.25">
      <c r="A753" s="41" t="s">
        <v>1534</v>
      </c>
      <c r="B753" s="42" t="s">
        <v>289</v>
      </c>
      <c r="C753" s="429" t="s">
        <v>2152</v>
      </c>
      <c r="D753" s="43" t="s">
        <v>1538</v>
      </c>
      <c r="E753" s="74" t="s">
        <v>1539</v>
      </c>
      <c r="F753" s="43" t="s">
        <v>1177</v>
      </c>
      <c r="G753" s="43" t="s">
        <v>1084</v>
      </c>
      <c r="H753" s="74" t="s">
        <v>1977</v>
      </c>
      <c r="I753" s="74" t="s">
        <v>1131</v>
      </c>
      <c r="J753" s="43"/>
      <c r="K753" s="44" t="s">
        <v>708</v>
      </c>
      <c r="L753" s="44" t="str">
        <f t="shared" si="28"/>
        <v>_</v>
      </c>
      <c r="M753" s="115">
        <f>ROUND(Tableau1[[#This Row],[LEN]]*7.27,0)</f>
        <v>240</v>
      </c>
      <c r="N753" s="115">
        <v>15</v>
      </c>
      <c r="O753" s="132" t="str">
        <f t="shared" si="29"/>
        <v>_self</v>
      </c>
      <c r="P753" s="115">
        <f>LEN(Tableau1[[#This Row],[LABEL]])</f>
        <v>33</v>
      </c>
      <c r="Q753" s="115">
        <v>15</v>
      </c>
      <c r="R753" s="115" t="e">
        <f>ROUND(Tableau1[[#This Row],[LEN]]*#REF!+#REF!,0)</f>
        <v>#REF!</v>
      </c>
    </row>
    <row r="754" spans="1:18" s="97" customFormat="1" hidden="1" x14ac:dyDescent="0.25">
      <c r="A754" s="41" t="s">
        <v>1535</v>
      </c>
      <c r="B754" s="42" t="s">
        <v>289</v>
      </c>
      <c r="C754" s="429" t="s">
        <v>2152</v>
      </c>
      <c r="D754" s="43" t="s">
        <v>1540</v>
      </c>
      <c r="E754" s="74" t="s">
        <v>1177</v>
      </c>
      <c r="F754" s="43" t="s">
        <v>667</v>
      </c>
      <c r="G754" s="43" t="s">
        <v>684</v>
      </c>
      <c r="H754" s="74" t="s">
        <v>68</v>
      </c>
      <c r="I754" s="74" t="s">
        <v>656</v>
      </c>
      <c r="J754" s="43"/>
      <c r="K754" s="44" t="s">
        <v>708</v>
      </c>
      <c r="L754" s="44" t="str">
        <f t="shared" si="28"/>
        <v>_</v>
      </c>
      <c r="M754" s="115">
        <f>ROUND(Tableau1[[#This Row],[LEN]]*7.27,0)</f>
        <v>407</v>
      </c>
      <c r="N754" s="115">
        <v>15</v>
      </c>
      <c r="O754" s="132" t="str">
        <f t="shared" si="29"/>
        <v>_self</v>
      </c>
      <c r="P754" s="115">
        <f>LEN(Tableau1[[#This Row],[LABEL]])</f>
        <v>56</v>
      </c>
      <c r="Q754" s="115">
        <v>15</v>
      </c>
      <c r="R754" s="115" t="e">
        <f>ROUND(Tableau1[[#This Row],[LEN]]*#REF!+#REF!,0)</f>
        <v>#REF!</v>
      </c>
    </row>
    <row r="755" spans="1:18" s="273" customFormat="1" hidden="1" x14ac:dyDescent="0.25">
      <c r="A755" s="330" t="s">
        <v>290</v>
      </c>
      <c r="B755" s="331" t="s">
        <v>208</v>
      </c>
      <c r="C755" s="429" t="s">
        <v>2152</v>
      </c>
      <c r="D755" s="332" t="s">
        <v>5</v>
      </c>
      <c r="E755" s="333" t="s">
        <v>1177</v>
      </c>
      <c r="F755" s="332" t="s">
        <v>668</v>
      </c>
      <c r="G755" s="332" t="s">
        <v>1177</v>
      </c>
      <c r="H755" s="333" t="s">
        <v>68</v>
      </c>
      <c r="I755" s="333" t="str">
        <f>IFERROR(IF(SEARCH(".00.00.00.00.00",Tableau1[[#This Row],[name]],1)=7,"Division",""),"")</f>
        <v>Division</v>
      </c>
      <c r="J755" s="332"/>
      <c r="K755" s="334" t="s">
        <v>708</v>
      </c>
      <c r="L755" s="334" t="str">
        <f t="shared" si="28"/>
        <v>_</v>
      </c>
      <c r="M755" s="335">
        <f>ROUND(Tableau1[[#This Row],[LEN]]*7.27,0)</f>
        <v>73</v>
      </c>
      <c r="N755" s="335">
        <v>15</v>
      </c>
      <c r="O755" s="336" t="str">
        <f t="shared" si="29"/>
        <v>_self</v>
      </c>
      <c r="P755" s="335">
        <f>LEN(Tableau1[[#This Row],[LABEL]])</f>
        <v>10</v>
      </c>
      <c r="Q755" s="335">
        <v>15</v>
      </c>
      <c r="R755" s="335" t="e">
        <f>ROUND(Tableau1[[#This Row],[LEN]]*#REF!+#REF!,0)</f>
        <v>#REF!</v>
      </c>
    </row>
    <row r="756" spans="1:18" s="97" customFormat="1" hidden="1" x14ac:dyDescent="0.25">
      <c r="A756" s="41" t="s">
        <v>1541</v>
      </c>
      <c r="B756" s="42" t="s">
        <v>290</v>
      </c>
      <c r="C756" s="429" t="s">
        <v>2152</v>
      </c>
      <c r="D756" s="43" t="s">
        <v>738</v>
      </c>
      <c r="E756" s="74" t="s">
        <v>1177</v>
      </c>
      <c r="F756" s="43" t="s">
        <v>662</v>
      </c>
      <c r="G756" s="43" t="s">
        <v>2085</v>
      </c>
      <c r="H756" s="74" t="s">
        <v>68</v>
      </c>
      <c r="I756" s="74" t="s">
        <v>56</v>
      </c>
      <c r="J756" s="43"/>
      <c r="K756" s="44" t="s">
        <v>708</v>
      </c>
      <c r="L756" s="44" t="str">
        <f t="shared" si="28"/>
        <v>_</v>
      </c>
      <c r="M756" s="115">
        <f>ROUND(Tableau1[[#This Row],[LEN]]*7.27,0)</f>
        <v>247</v>
      </c>
      <c r="N756" s="115">
        <v>15</v>
      </c>
      <c r="O756" s="132" t="str">
        <f t="shared" si="29"/>
        <v>_self</v>
      </c>
      <c r="P756" s="115">
        <f>LEN(Tableau1[[#This Row],[LABEL]])</f>
        <v>34</v>
      </c>
      <c r="Q756" s="115">
        <v>15</v>
      </c>
      <c r="R756" s="115" t="e">
        <f>ROUND(Tableau1[[#This Row],[LEN]]*#REF!+#REF!,0)</f>
        <v>#REF!</v>
      </c>
    </row>
    <row r="757" spans="1:18" s="97" customFormat="1" hidden="1" x14ac:dyDescent="0.25">
      <c r="A757" s="41" t="s">
        <v>1542</v>
      </c>
      <c r="B757" s="42" t="s">
        <v>290</v>
      </c>
      <c r="C757" s="429" t="s">
        <v>2152</v>
      </c>
      <c r="D757" s="43" t="s">
        <v>122</v>
      </c>
      <c r="E757" s="74" t="s">
        <v>1514</v>
      </c>
      <c r="F757" s="43" t="s">
        <v>667</v>
      </c>
      <c r="G757" s="43" t="s">
        <v>2084</v>
      </c>
      <c r="H757" s="74" t="s">
        <v>68</v>
      </c>
      <c r="I757" s="74" t="s">
        <v>656</v>
      </c>
      <c r="J757" s="43"/>
      <c r="K757" s="44" t="s">
        <v>708</v>
      </c>
      <c r="L757" s="44" t="str">
        <f t="shared" si="28"/>
        <v>_</v>
      </c>
      <c r="M757" s="115">
        <f>ROUND(Tableau1[[#This Row],[LEN]]*7.27,0)</f>
        <v>145</v>
      </c>
      <c r="N757" s="115">
        <v>15</v>
      </c>
      <c r="O757" s="132" t="str">
        <f t="shared" si="29"/>
        <v>_self</v>
      </c>
      <c r="P757" s="115">
        <f>LEN(Tableau1[[#This Row],[LABEL]])</f>
        <v>20</v>
      </c>
      <c r="Q757" s="115">
        <v>15</v>
      </c>
      <c r="R757" s="115" t="e">
        <f>ROUND(Tableau1[[#This Row],[LEN]]*#REF!+#REF!,0)</f>
        <v>#REF!</v>
      </c>
    </row>
    <row r="758" spans="1:18" s="273" customFormat="1" hidden="1" x14ac:dyDescent="0.25">
      <c r="A758" s="330" t="s">
        <v>291</v>
      </c>
      <c r="B758" s="331" t="s">
        <v>208</v>
      </c>
      <c r="C758" s="429" t="s">
        <v>2152</v>
      </c>
      <c r="D758" s="332" t="s">
        <v>2147</v>
      </c>
      <c r="E758" s="333" t="s">
        <v>1177</v>
      </c>
      <c r="F758" s="332" t="s">
        <v>669</v>
      </c>
      <c r="G758" s="332" t="s">
        <v>1177</v>
      </c>
      <c r="H758" s="333" t="s">
        <v>68</v>
      </c>
      <c r="I758" s="333" t="str">
        <f>IFERROR(IF(SEARCH(".00.00.00.00.00",Tableau1[[#This Row],[name]],1)=7,"Division",""),"")</f>
        <v>Division</v>
      </c>
      <c r="J758" s="332"/>
      <c r="K758" s="334" t="s">
        <v>708</v>
      </c>
      <c r="L758" s="334" t="str">
        <f t="shared" si="28"/>
        <v>_</v>
      </c>
      <c r="M758" s="335">
        <f>ROUND(Tableau1[[#This Row],[LEN]]*7.27,0)</f>
        <v>196</v>
      </c>
      <c r="N758" s="335">
        <v>15</v>
      </c>
      <c r="O758" s="336" t="str">
        <f t="shared" si="29"/>
        <v>_self</v>
      </c>
      <c r="P758" s="335">
        <f>LEN(Tableau1[[#This Row],[LABEL]])</f>
        <v>27</v>
      </c>
      <c r="Q758" s="335">
        <v>15</v>
      </c>
      <c r="R758" s="335" t="e">
        <f>ROUND(Tableau1[[#This Row],[LEN]]*#REF!+#REF!,0)</f>
        <v>#REF!</v>
      </c>
    </row>
    <row r="759" spans="1:18" s="97" customFormat="1" hidden="1" x14ac:dyDescent="0.25">
      <c r="A759" s="41" t="s">
        <v>449</v>
      </c>
      <c r="B759" s="42" t="s">
        <v>291</v>
      </c>
      <c r="C759" s="429" t="s">
        <v>2152</v>
      </c>
      <c r="D759" s="43" t="s">
        <v>164</v>
      </c>
      <c r="E759" s="74" t="s">
        <v>1177</v>
      </c>
      <c r="F759" s="43" t="s">
        <v>669</v>
      </c>
      <c r="G759" s="43" t="s">
        <v>1177</v>
      </c>
      <c r="H759" s="74" t="s">
        <v>68</v>
      </c>
      <c r="I759" s="74" t="s">
        <v>18</v>
      </c>
      <c r="J759" s="43"/>
      <c r="K759" s="44" t="s">
        <v>708</v>
      </c>
      <c r="L759" s="44" t="str">
        <f t="shared" si="28"/>
        <v>_</v>
      </c>
      <c r="M759" s="115">
        <f>ROUND(Tableau1[[#This Row],[LEN]]*7.27,0)</f>
        <v>131</v>
      </c>
      <c r="N759" s="115">
        <v>15</v>
      </c>
      <c r="O759" s="132" t="str">
        <f t="shared" si="29"/>
        <v>_self</v>
      </c>
      <c r="P759" s="115">
        <f>LEN(Tableau1[[#This Row],[LABEL]])</f>
        <v>18</v>
      </c>
      <c r="Q759" s="115">
        <v>15</v>
      </c>
      <c r="R759" s="115" t="e">
        <f>ROUND(Tableau1[[#This Row],[LEN]]*#REF!+#REF!,0)</f>
        <v>#REF!</v>
      </c>
    </row>
    <row r="760" spans="1:18" s="97" customFormat="1" hidden="1" x14ac:dyDescent="0.25">
      <c r="A760" s="41" t="s">
        <v>450</v>
      </c>
      <c r="B760" s="42" t="s">
        <v>291</v>
      </c>
      <c r="C760" s="429" t="s">
        <v>2152</v>
      </c>
      <c r="D760" s="43" t="s">
        <v>849</v>
      </c>
      <c r="E760" s="74" t="s">
        <v>1177</v>
      </c>
      <c r="F760" s="43" t="s">
        <v>667</v>
      </c>
      <c r="G760" s="43" t="s">
        <v>840</v>
      </c>
      <c r="H760" s="74" t="s">
        <v>68</v>
      </c>
      <c r="I760" s="74" t="s">
        <v>655</v>
      </c>
      <c r="J760" s="43"/>
      <c r="K760" s="44" t="s">
        <v>708</v>
      </c>
      <c r="L760" s="44" t="str">
        <f t="shared" si="28"/>
        <v>_</v>
      </c>
      <c r="M760" s="115">
        <f>ROUND(Tableau1[[#This Row],[LEN]]*7.27,0)</f>
        <v>80</v>
      </c>
      <c r="N760" s="115">
        <v>15</v>
      </c>
      <c r="O760" s="132" t="str">
        <f t="shared" si="29"/>
        <v>_self</v>
      </c>
      <c r="P760" s="115">
        <f>LEN(Tableau1[[#This Row],[LABEL]])</f>
        <v>11</v>
      </c>
      <c r="Q760" s="115">
        <v>15</v>
      </c>
      <c r="R760" s="115" t="e">
        <f>ROUND(Tableau1[[#This Row],[LEN]]*#REF!+#REF!,0)</f>
        <v>#REF!</v>
      </c>
    </row>
    <row r="761" spans="1:18" s="97" customFormat="1" hidden="1" x14ac:dyDescent="0.25">
      <c r="A761" s="45" t="s">
        <v>468</v>
      </c>
      <c r="B761" s="46" t="s">
        <v>450</v>
      </c>
      <c r="C761" s="429" t="s">
        <v>2152</v>
      </c>
      <c r="D761" s="47" t="s">
        <v>112</v>
      </c>
      <c r="E761" s="75" t="s">
        <v>1177</v>
      </c>
      <c r="F761" s="47" t="s">
        <v>667</v>
      </c>
      <c r="G761" s="47" t="s">
        <v>2006</v>
      </c>
      <c r="H761" s="75" t="s">
        <v>68</v>
      </c>
      <c r="I761" s="75" t="s">
        <v>654</v>
      </c>
      <c r="J761" s="47"/>
      <c r="K761" s="48" t="s">
        <v>708</v>
      </c>
      <c r="L761" s="48" t="str">
        <f t="shared" si="28"/>
        <v>_</v>
      </c>
      <c r="M761" s="116">
        <f>ROUND(Tableau1[[#This Row],[LEN]]*7.27,0)</f>
        <v>167</v>
      </c>
      <c r="N761" s="116">
        <v>15</v>
      </c>
      <c r="O761" s="133" t="str">
        <f t="shared" si="29"/>
        <v>_self</v>
      </c>
      <c r="P761" s="116">
        <f>LEN(Tableau1[[#This Row],[LABEL]])</f>
        <v>23</v>
      </c>
      <c r="Q761" s="116">
        <v>15</v>
      </c>
      <c r="R761" s="116" t="e">
        <f>ROUND(Tableau1[[#This Row],[LEN]]*#REF!+#REF!,0)</f>
        <v>#REF!</v>
      </c>
    </row>
    <row r="762" spans="1:18" s="97" customFormat="1" hidden="1" x14ac:dyDescent="0.25">
      <c r="A762" s="45" t="s">
        <v>469</v>
      </c>
      <c r="B762" s="46" t="s">
        <v>450</v>
      </c>
      <c r="C762" s="429" t="s">
        <v>2152</v>
      </c>
      <c r="D762" s="47" t="s">
        <v>113</v>
      </c>
      <c r="E762" s="75" t="s">
        <v>1177</v>
      </c>
      <c r="F762" s="47" t="s">
        <v>667</v>
      </c>
      <c r="G762" s="47" t="s">
        <v>2006</v>
      </c>
      <c r="H762" s="75" t="s">
        <v>68</v>
      </c>
      <c r="I762" s="75" t="s">
        <v>654</v>
      </c>
      <c r="J762" s="47"/>
      <c r="K762" s="48" t="s">
        <v>708</v>
      </c>
      <c r="L762" s="48" t="str">
        <f t="shared" si="28"/>
        <v>_</v>
      </c>
      <c r="M762" s="116">
        <f>ROUND(Tableau1[[#This Row],[LEN]]*7.27,0)</f>
        <v>233</v>
      </c>
      <c r="N762" s="116">
        <v>15</v>
      </c>
      <c r="O762" s="133" t="str">
        <f t="shared" si="29"/>
        <v>_self</v>
      </c>
      <c r="P762" s="116">
        <f>LEN(Tableau1[[#This Row],[LABEL]])</f>
        <v>32</v>
      </c>
      <c r="Q762" s="116">
        <v>15</v>
      </c>
      <c r="R762" s="116" t="e">
        <f>ROUND(Tableau1[[#This Row],[LEN]]*#REF!+#REF!,0)</f>
        <v>#REF!</v>
      </c>
    </row>
    <row r="763" spans="1:18" s="97" customFormat="1" hidden="1" x14ac:dyDescent="0.25">
      <c r="A763" s="41" t="s">
        <v>451</v>
      </c>
      <c r="B763" s="42" t="s">
        <v>291</v>
      </c>
      <c r="C763" s="429" t="s">
        <v>2152</v>
      </c>
      <c r="D763" s="43" t="s">
        <v>122</v>
      </c>
      <c r="E763" s="74" t="s">
        <v>1514</v>
      </c>
      <c r="F763" s="43" t="s">
        <v>667</v>
      </c>
      <c r="G763" s="43" t="s">
        <v>2084</v>
      </c>
      <c r="H763" s="74" t="s">
        <v>68</v>
      </c>
      <c r="I763" s="74" t="s">
        <v>656</v>
      </c>
      <c r="J763" s="43"/>
      <c r="K763" s="44" t="s">
        <v>708</v>
      </c>
      <c r="L763" s="44" t="str">
        <f t="shared" si="28"/>
        <v>_</v>
      </c>
      <c r="M763" s="115">
        <f>ROUND(Tableau1[[#This Row],[LEN]]*7.27,0)</f>
        <v>145</v>
      </c>
      <c r="N763" s="115">
        <v>15</v>
      </c>
      <c r="O763" s="132" t="str">
        <f t="shared" si="29"/>
        <v>_self</v>
      </c>
      <c r="P763" s="115">
        <f>LEN(Tableau1[[#This Row],[LABEL]])</f>
        <v>20</v>
      </c>
      <c r="Q763" s="115">
        <v>15</v>
      </c>
      <c r="R763" s="115" t="e">
        <f>ROUND(Tableau1[[#This Row],[LEN]]*#REF!+#REF!,0)</f>
        <v>#REF!</v>
      </c>
    </row>
    <row r="764" spans="1:18" s="97" customFormat="1" hidden="1" x14ac:dyDescent="0.25">
      <c r="A764" s="41" t="s">
        <v>452</v>
      </c>
      <c r="B764" s="42" t="s">
        <v>291</v>
      </c>
      <c r="C764" s="429" t="s">
        <v>2152</v>
      </c>
      <c r="D764" s="43" t="s">
        <v>165</v>
      </c>
      <c r="E764" s="74" t="s">
        <v>1177</v>
      </c>
      <c r="F764" s="43" t="s">
        <v>669</v>
      </c>
      <c r="G764" s="43" t="s">
        <v>1177</v>
      </c>
      <c r="H764" s="74" t="s">
        <v>68</v>
      </c>
      <c r="I764" s="74" t="s">
        <v>656</v>
      </c>
      <c r="J764" s="43"/>
      <c r="K764" s="44" t="s">
        <v>708</v>
      </c>
      <c r="L764" s="44" t="str">
        <f t="shared" si="28"/>
        <v>_</v>
      </c>
      <c r="M764" s="115">
        <f>ROUND(Tableau1[[#This Row],[LEN]]*7.27,0)</f>
        <v>189</v>
      </c>
      <c r="N764" s="115">
        <v>15</v>
      </c>
      <c r="O764" s="132" t="str">
        <f t="shared" si="29"/>
        <v>_self</v>
      </c>
      <c r="P764" s="115">
        <f>LEN(Tableau1[[#This Row],[LABEL]])</f>
        <v>26</v>
      </c>
      <c r="Q764" s="115">
        <v>15</v>
      </c>
      <c r="R764" s="115" t="e">
        <f>ROUND(Tableau1[[#This Row],[LEN]]*#REF!+#REF!,0)</f>
        <v>#REF!</v>
      </c>
    </row>
    <row r="765" spans="1:18" s="97" customFormat="1" hidden="1" x14ac:dyDescent="0.25">
      <c r="A765" s="41" t="s">
        <v>1619</v>
      </c>
      <c r="B765" s="42" t="s">
        <v>291</v>
      </c>
      <c r="C765" s="429" t="s">
        <v>2152</v>
      </c>
      <c r="D765" s="43" t="s">
        <v>1618</v>
      </c>
      <c r="E765" s="74" t="s">
        <v>1177</v>
      </c>
      <c r="F765" s="43" t="s">
        <v>669</v>
      </c>
      <c r="G765" s="43" t="s">
        <v>678</v>
      </c>
      <c r="H765" s="74" t="s">
        <v>68</v>
      </c>
      <c r="I765" s="74" t="s">
        <v>656</v>
      </c>
      <c r="J765" s="43"/>
      <c r="K765" s="44" t="s">
        <v>708</v>
      </c>
      <c r="L765" s="44" t="str">
        <f t="shared" si="28"/>
        <v>_</v>
      </c>
      <c r="M765" s="115">
        <f>ROUND(Tableau1[[#This Row],[LEN]]*7.27,0)</f>
        <v>225</v>
      </c>
      <c r="N765" s="115">
        <v>15</v>
      </c>
      <c r="O765" s="132" t="str">
        <f t="shared" si="29"/>
        <v>_self</v>
      </c>
      <c r="P765" s="115">
        <f>LEN(Tableau1[[#This Row],[LABEL]])</f>
        <v>31</v>
      </c>
      <c r="Q765" s="115">
        <v>15</v>
      </c>
      <c r="R765" s="115" t="e">
        <f>ROUND(Tableau1[[#This Row],[LEN]]*#REF!+#REF!,0)</f>
        <v>#REF!</v>
      </c>
    </row>
    <row r="766" spans="1:18" s="273" customFormat="1" hidden="1" x14ac:dyDescent="0.25">
      <c r="A766" s="330" t="s">
        <v>292</v>
      </c>
      <c r="B766" s="331" t="s">
        <v>208</v>
      </c>
      <c r="C766" s="429" t="s">
        <v>2152</v>
      </c>
      <c r="D766" s="332" t="s">
        <v>7</v>
      </c>
      <c r="E766" s="333" t="s">
        <v>1177</v>
      </c>
      <c r="F766" s="332" t="s">
        <v>670</v>
      </c>
      <c r="G766" s="332" t="s">
        <v>1177</v>
      </c>
      <c r="H766" s="333" t="s">
        <v>68</v>
      </c>
      <c r="I766" s="333" t="str">
        <f>IFERROR(IF(SEARCH(".00.00.00.00.00",Tableau1[[#This Row],[name]],1)=7,"Division",""),"")</f>
        <v>Division</v>
      </c>
      <c r="J766" s="332"/>
      <c r="K766" s="334" t="s">
        <v>708</v>
      </c>
      <c r="L766" s="334" t="str">
        <f t="shared" si="28"/>
        <v>_</v>
      </c>
      <c r="M766" s="335">
        <f>ROUND(Tableau1[[#This Row],[LEN]]*7.27,0)</f>
        <v>189</v>
      </c>
      <c r="N766" s="335">
        <v>15</v>
      </c>
      <c r="O766" s="336" t="str">
        <f t="shared" si="29"/>
        <v>_self</v>
      </c>
      <c r="P766" s="335">
        <f>LEN(Tableau1[[#This Row],[LABEL]])</f>
        <v>26</v>
      </c>
      <c r="Q766" s="335">
        <v>15</v>
      </c>
      <c r="R766" s="335" t="e">
        <f>ROUND(Tableau1[[#This Row],[LEN]]*#REF!+#REF!,0)</f>
        <v>#REF!</v>
      </c>
    </row>
    <row r="767" spans="1:18" s="97" customFormat="1" hidden="1" x14ac:dyDescent="0.25">
      <c r="A767" s="41" t="s">
        <v>1544</v>
      </c>
      <c r="B767" s="42" t="s">
        <v>292</v>
      </c>
      <c r="C767" s="429" t="s">
        <v>2152</v>
      </c>
      <c r="D767" s="43" t="s">
        <v>1547</v>
      </c>
      <c r="E767" s="74" t="s">
        <v>1177</v>
      </c>
      <c r="F767" s="43" t="s">
        <v>670</v>
      </c>
      <c r="G767" s="43" t="s">
        <v>1177</v>
      </c>
      <c r="H767" s="74" t="s">
        <v>68</v>
      </c>
      <c r="I767" s="74" t="s">
        <v>656</v>
      </c>
      <c r="J767" s="43"/>
      <c r="K767" s="44" t="s">
        <v>708</v>
      </c>
      <c r="L767" s="44" t="str">
        <f t="shared" si="28"/>
        <v>_</v>
      </c>
      <c r="M767" s="115">
        <f>ROUND(Tableau1[[#This Row],[LEN]]*7.27,0)</f>
        <v>436</v>
      </c>
      <c r="N767" s="115">
        <v>13</v>
      </c>
      <c r="O767" s="132" t="str">
        <f t="shared" si="29"/>
        <v>_self</v>
      </c>
      <c r="P767" s="115">
        <f>LEN(Tableau1[[#This Row],[LABEL]])</f>
        <v>60</v>
      </c>
      <c r="Q767" s="115">
        <v>13</v>
      </c>
      <c r="R767" s="115" t="e">
        <f>ROUND(Tableau1[[#This Row],[LEN]]*#REF!+#REF!,0)</f>
        <v>#REF!</v>
      </c>
    </row>
    <row r="768" spans="1:18" s="97" customFormat="1" hidden="1" x14ac:dyDescent="0.25">
      <c r="A768" s="41" t="s">
        <v>1545</v>
      </c>
      <c r="B768" s="42" t="s">
        <v>292</v>
      </c>
      <c r="C768" s="429" t="s">
        <v>2152</v>
      </c>
      <c r="D768" s="43" t="s">
        <v>1548</v>
      </c>
      <c r="E768" s="74" t="s">
        <v>1177</v>
      </c>
      <c r="F768" s="43" t="s">
        <v>670</v>
      </c>
      <c r="G768" s="43" t="s">
        <v>1177</v>
      </c>
      <c r="H768" s="74" t="s">
        <v>68</v>
      </c>
      <c r="I768" s="74" t="s">
        <v>656</v>
      </c>
      <c r="J768" s="43"/>
      <c r="K768" s="44" t="s">
        <v>708</v>
      </c>
      <c r="L768" s="44" t="str">
        <f t="shared" si="28"/>
        <v>_</v>
      </c>
      <c r="M768" s="115">
        <f>ROUND(Tableau1[[#This Row],[LEN]]*7.27,0)</f>
        <v>414</v>
      </c>
      <c r="N768" s="115">
        <v>14</v>
      </c>
      <c r="O768" s="132" t="str">
        <f t="shared" si="29"/>
        <v>_self</v>
      </c>
      <c r="P768" s="115">
        <f>LEN(Tableau1[[#This Row],[LABEL]])</f>
        <v>57</v>
      </c>
      <c r="Q768" s="115">
        <v>14</v>
      </c>
      <c r="R768" s="115" t="e">
        <f>ROUND(Tableau1[[#This Row],[LEN]]*#REF!+#REF!,0)</f>
        <v>#REF!</v>
      </c>
    </row>
    <row r="769" spans="1:18" s="97" customFormat="1" hidden="1" x14ac:dyDescent="0.25">
      <c r="A769" s="41" t="s">
        <v>1546</v>
      </c>
      <c r="B769" s="42" t="s">
        <v>292</v>
      </c>
      <c r="C769" s="429" t="s">
        <v>2152</v>
      </c>
      <c r="D769" s="43" t="s">
        <v>122</v>
      </c>
      <c r="E769" s="74" t="s">
        <v>1514</v>
      </c>
      <c r="F769" s="43" t="s">
        <v>667</v>
      </c>
      <c r="G769" s="43" t="s">
        <v>2084</v>
      </c>
      <c r="H769" s="74" t="s">
        <v>68</v>
      </c>
      <c r="I769" s="74" t="s">
        <v>656</v>
      </c>
      <c r="J769" s="43"/>
      <c r="K769" s="44" t="s">
        <v>708</v>
      </c>
      <c r="L769" s="44" t="str">
        <f t="shared" si="28"/>
        <v>_</v>
      </c>
      <c r="M769" s="115">
        <f>ROUND(Tableau1[[#This Row],[LEN]]*7.27,0)</f>
        <v>145</v>
      </c>
      <c r="N769" s="115">
        <v>15</v>
      </c>
      <c r="O769" s="132" t="str">
        <f t="shared" si="29"/>
        <v>_self</v>
      </c>
      <c r="P769" s="115">
        <f>LEN(Tableau1[[#This Row],[LABEL]])</f>
        <v>20</v>
      </c>
      <c r="Q769" s="115">
        <v>15</v>
      </c>
      <c r="R769" s="115" t="e">
        <f>ROUND(Tableau1[[#This Row],[LEN]]*#REF!+#REF!,0)</f>
        <v>#REF!</v>
      </c>
    </row>
    <row r="770" spans="1:18" s="273" customFormat="1" hidden="1" x14ac:dyDescent="0.25">
      <c r="A770" s="330" t="s">
        <v>293</v>
      </c>
      <c r="B770" s="331" t="s">
        <v>208</v>
      </c>
      <c r="C770" s="429" t="s">
        <v>2152</v>
      </c>
      <c r="D770" s="332" t="s">
        <v>8</v>
      </c>
      <c r="E770" s="333" t="s">
        <v>1177</v>
      </c>
      <c r="F770" s="332" t="s">
        <v>671</v>
      </c>
      <c r="G770" s="332" t="s">
        <v>1177</v>
      </c>
      <c r="H770" s="333" t="s">
        <v>68</v>
      </c>
      <c r="I770" s="333" t="str">
        <f>IFERROR(IF(SEARCH(".00.00.00.00.00",Tableau1[[#This Row],[name]],1)=7,"Division",""),"")</f>
        <v>Division</v>
      </c>
      <c r="J770" s="332"/>
      <c r="K770" s="334" t="s">
        <v>708</v>
      </c>
      <c r="L770" s="334" t="str">
        <f t="shared" si="28"/>
        <v>_</v>
      </c>
      <c r="M770" s="335">
        <f>ROUND(Tableau1[[#This Row],[LEN]]*7.27,0)</f>
        <v>116</v>
      </c>
      <c r="N770" s="335">
        <v>15</v>
      </c>
      <c r="O770" s="336" t="str">
        <f t="shared" si="29"/>
        <v>_self</v>
      </c>
      <c r="P770" s="335">
        <f>LEN(Tableau1[[#This Row],[LABEL]])</f>
        <v>16</v>
      </c>
      <c r="Q770" s="335">
        <v>15</v>
      </c>
      <c r="R770" s="335" t="e">
        <f>ROUND(Tableau1[[#This Row],[LEN]]*#REF!+#REF!,0)</f>
        <v>#REF!</v>
      </c>
    </row>
    <row r="771" spans="1:18" s="97" customFormat="1" hidden="1" x14ac:dyDescent="0.25">
      <c r="A771" s="41" t="s">
        <v>1549</v>
      </c>
      <c r="B771" s="42" t="s">
        <v>293</v>
      </c>
      <c r="C771" s="429" t="s">
        <v>2152</v>
      </c>
      <c r="D771" s="43" t="s">
        <v>1552</v>
      </c>
      <c r="E771" s="74" t="s">
        <v>1177</v>
      </c>
      <c r="F771" s="43" t="s">
        <v>671</v>
      </c>
      <c r="G771" s="43" t="s">
        <v>1177</v>
      </c>
      <c r="H771" s="74" t="s">
        <v>68</v>
      </c>
      <c r="I771" s="74" t="s">
        <v>654</v>
      </c>
      <c r="J771" s="43"/>
      <c r="K771" s="44" t="s">
        <v>708</v>
      </c>
      <c r="L771" s="44" t="str">
        <f t="shared" si="28"/>
        <v>_</v>
      </c>
      <c r="M771" s="115">
        <f>ROUND(Tableau1[[#This Row],[LEN]]*7.27,0)</f>
        <v>291</v>
      </c>
      <c r="N771" s="115">
        <v>13</v>
      </c>
      <c r="O771" s="132" t="str">
        <f t="shared" si="29"/>
        <v>_self</v>
      </c>
      <c r="P771" s="115">
        <f>LEN(Tableau1[[#This Row],[LABEL]])</f>
        <v>40</v>
      </c>
      <c r="Q771" s="115">
        <v>13</v>
      </c>
      <c r="R771" s="115" t="e">
        <f>ROUND(Tableau1[[#This Row],[LEN]]*#REF!+#REF!,0)</f>
        <v>#REF!</v>
      </c>
    </row>
    <row r="772" spans="1:18" s="97" customFormat="1" hidden="1" x14ac:dyDescent="0.25">
      <c r="A772" s="41" t="s">
        <v>1550</v>
      </c>
      <c r="B772" s="42" t="s">
        <v>293</v>
      </c>
      <c r="C772" s="429" t="s">
        <v>2152</v>
      </c>
      <c r="D772" s="43" t="s">
        <v>1553</v>
      </c>
      <c r="E772" s="74" t="s">
        <v>1177</v>
      </c>
      <c r="F772" s="43" t="s">
        <v>671</v>
      </c>
      <c r="G772" s="43" t="s">
        <v>1177</v>
      </c>
      <c r="H772" s="74" t="s">
        <v>68</v>
      </c>
      <c r="I772" s="74" t="s">
        <v>656</v>
      </c>
      <c r="J772" s="43"/>
      <c r="K772" s="44" t="s">
        <v>708</v>
      </c>
      <c r="L772" s="44" t="str">
        <f t="shared" si="28"/>
        <v>_</v>
      </c>
      <c r="M772" s="115">
        <f>ROUND(Tableau1[[#This Row],[LEN]]*7.27,0)</f>
        <v>305</v>
      </c>
      <c r="N772" s="115">
        <v>14</v>
      </c>
      <c r="O772" s="132" t="str">
        <f t="shared" si="29"/>
        <v>_self</v>
      </c>
      <c r="P772" s="115">
        <f>LEN(Tableau1[[#This Row],[LABEL]])</f>
        <v>42</v>
      </c>
      <c r="Q772" s="115">
        <v>14</v>
      </c>
      <c r="R772" s="115" t="e">
        <f>ROUND(Tableau1[[#This Row],[LEN]]*#REF!+#REF!,0)</f>
        <v>#REF!</v>
      </c>
    </row>
    <row r="773" spans="1:18" s="97" customFormat="1" hidden="1" x14ac:dyDescent="0.25">
      <c r="A773" s="41" t="s">
        <v>1551</v>
      </c>
      <c r="B773" s="42" t="s">
        <v>293</v>
      </c>
      <c r="C773" s="429" t="s">
        <v>2152</v>
      </c>
      <c r="D773" s="43" t="s">
        <v>122</v>
      </c>
      <c r="E773" s="74" t="s">
        <v>1514</v>
      </c>
      <c r="F773" s="43" t="s">
        <v>667</v>
      </c>
      <c r="G773" s="43" t="s">
        <v>2084</v>
      </c>
      <c r="H773" s="74" t="s">
        <v>68</v>
      </c>
      <c r="I773" s="74" t="s">
        <v>656</v>
      </c>
      <c r="J773" s="43"/>
      <c r="K773" s="44" t="s">
        <v>708</v>
      </c>
      <c r="L773" s="44" t="str">
        <f t="shared" si="28"/>
        <v>_</v>
      </c>
      <c r="M773" s="115">
        <f>ROUND(Tableau1[[#This Row],[LEN]]*7.27,0)</f>
        <v>145</v>
      </c>
      <c r="N773" s="115">
        <v>15</v>
      </c>
      <c r="O773" s="132" t="str">
        <f t="shared" si="29"/>
        <v>_self</v>
      </c>
      <c r="P773" s="115">
        <f>LEN(Tableau1[[#This Row],[LABEL]])</f>
        <v>20</v>
      </c>
      <c r="Q773" s="115">
        <v>15</v>
      </c>
      <c r="R773" s="115" t="e">
        <f>ROUND(Tableau1[[#This Row],[LEN]]*#REF!+#REF!,0)</f>
        <v>#REF!</v>
      </c>
    </row>
    <row r="774" spans="1:18" s="273" customFormat="1" x14ac:dyDescent="0.25">
      <c r="A774" s="330" t="s">
        <v>294</v>
      </c>
      <c r="B774" s="331" t="s">
        <v>208</v>
      </c>
      <c r="C774" s="429" t="s">
        <v>2152</v>
      </c>
      <c r="D774" s="332" t="s">
        <v>9</v>
      </c>
      <c r="E774" s="333" t="s">
        <v>1177</v>
      </c>
      <c r="F774" s="332" t="s">
        <v>672</v>
      </c>
      <c r="G774" s="332" t="s">
        <v>1177</v>
      </c>
      <c r="H774" s="333" t="s">
        <v>68</v>
      </c>
      <c r="I774" s="333" t="str">
        <f>IFERROR(IF(SEARCH(".00.00.00.00.00",Tableau1[[#This Row],[name]],1)=7,"Division",""),"")</f>
        <v>Division</v>
      </c>
      <c r="J774" s="332"/>
      <c r="K774" s="334" t="s">
        <v>718</v>
      </c>
      <c r="L774" s="334" t="str">
        <f t="shared" si="28"/>
        <v>Documentation</v>
      </c>
      <c r="M774" s="335">
        <f>ROUND(Tableau1[[#This Row],[LEN]]*7.27,0)</f>
        <v>80</v>
      </c>
      <c r="N774" s="335">
        <v>15</v>
      </c>
      <c r="O774" s="336" t="str">
        <f t="shared" si="29"/>
        <v>_blank</v>
      </c>
      <c r="P774" s="335">
        <f>LEN(Tableau1[[#This Row],[LABEL]])</f>
        <v>11</v>
      </c>
      <c r="Q774" s="335">
        <v>15</v>
      </c>
      <c r="R774" s="335" t="e">
        <f>ROUND(Tableau1[[#This Row],[LEN]]*#REF!+#REF!,0)</f>
        <v>#REF!</v>
      </c>
    </row>
    <row r="775" spans="1:18" s="97" customFormat="1" x14ac:dyDescent="0.25">
      <c r="A775" s="41" t="s">
        <v>515</v>
      </c>
      <c r="B775" s="42" t="s">
        <v>294</v>
      </c>
      <c r="C775" s="429" t="s">
        <v>2152</v>
      </c>
      <c r="D775" s="43" t="s">
        <v>2166</v>
      </c>
      <c r="E775" s="74" t="s">
        <v>1177</v>
      </c>
      <c r="F775" s="43" t="s">
        <v>672</v>
      </c>
      <c r="G775" s="43" t="s">
        <v>1177</v>
      </c>
      <c r="H775" s="74" t="s">
        <v>68</v>
      </c>
      <c r="I775" s="74" t="s">
        <v>654</v>
      </c>
      <c r="J775" s="43"/>
      <c r="K775" s="44" t="s">
        <v>708</v>
      </c>
      <c r="L775" s="44" t="str">
        <f t="shared" si="28"/>
        <v>_</v>
      </c>
      <c r="M775" s="115">
        <f>ROUND(Tableau1[[#This Row],[LEN]]*7.27,0)</f>
        <v>305</v>
      </c>
      <c r="N775" s="115">
        <v>15</v>
      </c>
      <c r="O775" s="132" t="str">
        <f t="shared" si="29"/>
        <v>_self</v>
      </c>
      <c r="P775" s="115">
        <f>LEN(Tableau1[[#This Row],[LABEL]])</f>
        <v>42</v>
      </c>
      <c r="Q775" s="115">
        <v>15</v>
      </c>
      <c r="R775" s="115" t="e">
        <f>ROUND(Tableau1[[#This Row],[LEN]]*#REF!+#REF!,0)</f>
        <v>#REF!</v>
      </c>
    </row>
    <row r="776" spans="1:18" s="97" customFormat="1" x14ac:dyDescent="0.25">
      <c r="A776" s="41" t="s">
        <v>516</v>
      </c>
      <c r="B776" s="42" t="s">
        <v>294</v>
      </c>
      <c r="C776" s="429" t="s">
        <v>2152</v>
      </c>
      <c r="D776" s="43" t="s">
        <v>521</v>
      </c>
      <c r="E776" s="74" t="s">
        <v>1177</v>
      </c>
      <c r="F776" s="43" t="s">
        <v>672</v>
      </c>
      <c r="G776" s="43" t="s">
        <v>1177</v>
      </c>
      <c r="H776" s="74" t="s">
        <v>68</v>
      </c>
      <c r="I776" s="74" t="s">
        <v>655</v>
      </c>
      <c r="J776" s="43"/>
      <c r="K776" s="44" t="s">
        <v>708</v>
      </c>
      <c r="L776" s="44" t="str">
        <f t="shared" si="28"/>
        <v>_</v>
      </c>
      <c r="M776" s="115">
        <f>ROUND(Tableau1[[#This Row],[LEN]]*7.27,0)</f>
        <v>138</v>
      </c>
      <c r="N776" s="115">
        <v>15</v>
      </c>
      <c r="O776" s="132" t="str">
        <f t="shared" si="29"/>
        <v>_self</v>
      </c>
      <c r="P776" s="115">
        <f>LEN(Tableau1[[#This Row],[LABEL]])</f>
        <v>19</v>
      </c>
      <c r="Q776" s="115">
        <v>15</v>
      </c>
      <c r="R776" s="115" t="e">
        <f>ROUND(Tableau1[[#This Row],[LEN]]*#REF!+#REF!,0)</f>
        <v>#REF!</v>
      </c>
    </row>
    <row r="777" spans="1:18" s="97" customFormat="1" x14ac:dyDescent="0.25">
      <c r="A777" s="41"/>
      <c r="B777" s="42"/>
      <c r="C777" s="429" t="s">
        <v>2152</v>
      </c>
      <c r="D777" s="467" t="s">
        <v>2213</v>
      </c>
      <c r="E777" s="74"/>
      <c r="F777" s="74"/>
      <c r="G777" s="43"/>
      <c r="H777" s="74"/>
      <c r="I777" s="440"/>
      <c r="J777" s="43"/>
      <c r="K777" s="441"/>
      <c r="L777" s="101" t="str">
        <f>IF(K777="javascript:void(0)","_","Documentation")</f>
        <v>Documentation</v>
      </c>
      <c r="M777" s="442"/>
      <c r="N777" s="442"/>
      <c r="O777" s="443" t="str">
        <f>IF(K777="javascript:void(0)","none","new")</f>
        <v>new</v>
      </c>
      <c r="P777" s="442">
        <f>LEN(Tableau1[[#This Row],[LABEL]])</f>
        <v>51</v>
      </c>
      <c r="Q777" s="442"/>
      <c r="R777" s="442"/>
    </row>
    <row r="778" spans="1:18" s="97" customFormat="1" x14ac:dyDescent="0.25">
      <c r="A778" s="41"/>
      <c r="B778" s="42"/>
      <c r="C778" s="429" t="s">
        <v>2152</v>
      </c>
      <c r="D778" s="47" t="s">
        <v>2177</v>
      </c>
      <c r="E778" s="74"/>
      <c r="F778" s="75"/>
      <c r="G778" s="47"/>
      <c r="H778" s="74"/>
      <c r="I778" s="75" t="s">
        <v>654</v>
      </c>
      <c r="J778" s="43"/>
      <c r="K778" s="441"/>
      <c r="L778" s="101" t="str">
        <f>IF(K778="javascript:void(0)","_","Documentation")</f>
        <v>Documentation</v>
      </c>
      <c r="M778" s="442"/>
      <c r="N778" s="442"/>
      <c r="O778" s="443" t="str">
        <f>IF(K778="javascript:void(0)","none","new")</f>
        <v>new</v>
      </c>
      <c r="P778" s="442">
        <f>LEN(Tableau1[[#This Row],[LABEL]])</f>
        <v>56</v>
      </c>
      <c r="Q778" s="442"/>
      <c r="R778" s="442"/>
    </row>
    <row r="779" spans="1:18" s="97" customFormat="1" x14ac:dyDescent="0.25">
      <c r="A779" s="41"/>
      <c r="B779" s="42"/>
      <c r="C779" s="429" t="s">
        <v>2152</v>
      </c>
      <c r="D779" s="47" t="s">
        <v>2181</v>
      </c>
      <c r="E779" s="74"/>
      <c r="F779" s="75"/>
      <c r="G779" s="47"/>
      <c r="H779" s="74"/>
      <c r="I779" s="75" t="s">
        <v>656</v>
      </c>
      <c r="J779" s="43"/>
      <c r="K779" s="441"/>
      <c r="L779" s="101" t="str">
        <f>IF(K779="javascript:void(0)","_","Documentation")</f>
        <v>Documentation</v>
      </c>
      <c r="M779" s="442"/>
      <c r="N779" s="442"/>
      <c r="O779" s="443" t="str">
        <f>IF(K779="javascript:void(0)","none","new")</f>
        <v>new</v>
      </c>
      <c r="P779" s="442">
        <f>LEN(Tableau1[[#This Row],[LABEL]])</f>
        <v>78</v>
      </c>
      <c r="Q779" s="442"/>
      <c r="R779" s="442"/>
    </row>
    <row r="780" spans="1:18" s="97" customFormat="1" x14ac:dyDescent="0.25">
      <c r="A780" s="41"/>
      <c r="B780" s="42"/>
      <c r="C780" s="429" t="s">
        <v>2152</v>
      </c>
      <c r="D780" s="449" t="s">
        <v>2205</v>
      </c>
      <c r="E780" s="74"/>
      <c r="F780" s="75"/>
      <c r="G780" s="47"/>
      <c r="H780" s="74"/>
      <c r="I780" s="440"/>
      <c r="J780" s="43"/>
      <c r="K780" s="441"/>
      <c r="L780" s="101" t="str">
        <f t="shared" ref="L780:L783" si="30">IF(K780="javascript:void(0)","_","Documentation")</f>
        <v>Documentation</v>
      </c>
      <c r="M780" s="442"/>
      <c r="N780" s="442"/>
      <c r="O780" s="443" t="str">
        <f t="shared" ref="O780:O783" si="31">IF(K780="javascript:void(0)","none","new")</f>
        <v>new</v>
      </c>
      <c r="P780" s="442">
        <f>LEN(Tableau1[[#This Row],[LABEL]])</f>
        <v>31</v>
      </c>
      <c r="Q780" s="442"/>
      <c r="R780" s="442"/>
    </row>
    <row r="781" spans="1:18" s="97" customFormat="1" x14ac:dyDescent="0.25">
      <c r="A781" s="41"/>
      <c r="B781" s="42"/>
      <c r="C781" s="429" t="s">
        <v>2152</v>
      </c>
      <c r="D781" s="449" t="s">
        <v>2206</v>
      </c>
      <c r="E781" s="74"/>
      <c r="F781" s="75"/>
      <c r="G781" s="47"/>
      <c r="H781" s="74"/>
      <c r="I781" s="440"/>
      <c r="J781" s="43"/>
      <c r="K781" s="441"/>
      <c r="L781" s="101" t="str">
        <f t="shared" si="30"/>
        <v>Documentation</v>
      </c>
      <c r="M781" s="442"/>
      <c r="N781" s="442"/>
      <c r="O781" s="443" t="str">
        <f t="shared" si="31"/>
        <v>new</v>
      </c>
      <c r="P781" s="442">
        <f>LEN(Tableau1[[#This Row],[LABEL]])</f>
        <v>32</v>
      </c>
      <c r="Q781" s="442"/>
      <c r="R781" s="442"/>
    </row>
    <row r="782" spans="1:18" s="97" customFormat="1" x14ac:dyDescent="0.25">
      <c r="A782" s="41"/>
      <c r="B782" s="42"/>
      <c r="C782" s="429" t="s">
        <v>2152</v>
      </c>
      <c r="D782" s="449" t="s">
        <v>2214</v>
      </c>
      <c r="E782" s="74"/>
      <c r="F782" s="75"/>
      <c r="G782" s="47"/>
      <c r="H782" s="74"/>
      <c r="I782" s="440"/>
      <c r="J782" s="43"/>
      <c r="K782" s="441"/>
      <c r="L782" s="101" t="str">
        <f>IF(K782="javascript:void(0)","_","Documentation")</f>
        <v>Documentation</v>
      </c>
      <c r="M782" s="442"/>
      <c r="N782" s="442"/>
      <c r="O782" s="443" t="str">
        <f>IF(K782="javascript:void(0)","none","new")</f>
        <v>new</v>
      </c>
      <c r="P782" s="442">
        <f>LEN(Tableau1[[#This Row],[LABEL]])</f>
        <v>25</v>
      </c>
      <c r="Q782" s="442"/>
      <c r="R782" s="442"/>
    </row>
    <row r="783" spans="1:18" s="97" customFormat="1" x14ac:dyDescent="0.25">
      <c r="A783" s="41"/>
      <c r="B783" s="42"/>
      <c r="C783" s="429" t="s">
        <v>2152</v>
      </c>
      <c r="D783" s="449" t="s">
        <v>2207</v>
      </c>
      <c r="E783" s="74"/>
      <c r="F783" s="75"/>
      <c r="G783" s="47"/>
      <c r="H783" s="74"/>
      <c r="I783" s="440"/>
      <c r="J783" s="43"/>
      <c r="K783" s="441"/>
      <c r="L783" s="101" t="str">
        <f t="shared" si="30"/>
        <v>Documentation</v>
      </c>
      <c r="M783" s="442"/>
      <c r="N783" s="442"/>
      <c r="O783" s="443" t="str">
        <f t="shared" si="31"/>
        <v>new</v>
      </c>
      <c r="P783" s="442">
        <f>LEN(Tableau1[[#This Row],[LABEL]])</f>
        <v>52</v>
      </c>
      <c r="Q783" s="442"/>
      <c r="R783" s="442"/>
    </row>
    <row r="784" spans="1:18" s="97" customFormat="1" x14ac:dyDescent="0.25">
      <c r="A784" s="41"/>
      <c r="B784" s="42"/>
      <c r="C784" s="429" t="s">
        <v>2152</v>
      </c>
      <c r="D784" s="449" t="s">
        <v>2215</v>
      </c>
      <c r="E784" s="74"/>
      <c r="F784" s="75"/>
      <c r="G784" s="47"/>
      <c r="H784" s="74"/>
      <c r="I784" s="440"/>
      <c r="J784" s="43"/>
      <c r="K784" s="441"/>
      <c r="L784" s="101" t="str">
        <f t="shared" ref="L784" si="32">IF(K784="javascript:void(0)","_","Documentation")</f>
        <v>Documentation</v>
      </c>
      <c r="M784" s="442"/>
      <c r="N784" s="442"/>
      <c r="O784" s="443" t="str">
        <f t="shared" ref="O784" si="33">IF(K784="javascript:void(0)","none","new")</f>
        <v>new</v>
      </c>
      <c r="P784" s="442">
        <f>LEN(Tableau1[[#This Row],[LABEL]])</f>
        <v>70</v>
      </c>
      <c r="Q784" s="442"/>
      <c r="R784" s="442"/>
    </row>
    <row r="785" spans="1:18" s="97" customFormat="1" x14ac:dyDescent="0.25">
      <c r="A785" s="41"/>
      <c r="B785" s="42"/>
      <c r="C785" s="429" t="s">
        <v>2152</v>
      </c>
      <c r="D785" s="449" t="s">
        <v>2172</v>
      </c>
      <c r="E785" s="74"/>
      <c r="F785" s="75"/>
      <c r="G785" s="47"/>
      <c r="H785" s="74"/>
      <c r="I785" s="440"/>
      <c r="J785" s="43"/>
      <c r="K785" s="441"/>
      <c r="L785" s="101" t="str">
        <f>IF(K785="javascript:void(0)","_","Documentation")</f>
        <v>Documentation</v>
      </c>
      <c r="M785" s="442"/>
      <c r="N785" s="442"/>
      <c r="O785" s="443" t="str">
        <f>IF(K785="javascript:void(0)","none","new")</f>
        <v>new</v>
      </c>
      <c r="P785" s="442">
        <f>LEN(Tableau1[[#This Row],[LABEL]])</f>
        <v>44</v>
      </c>
      <c r="Q785" s="442"/>
      <c r="R785" s="442"/>
    </row>
    <row r="786" spans="1:18" s="97" customFormat="1" x14ac:dyDescent="0.25">
      <c r="A786" s="45" t="s">
        <v>522</v>
      </c>
      <c r="B786" s="46" t="s">
        <v>516</v>
      </c>
      <c r="C786" s="429" t="s">
        <v>2152</v>
      </c>
      <c r="D786" s="47" t="s">
        <v>2173</v>
      </c>
      <c r="E786" s="75" t="s">
        <v>1177</v>
      </c>
      <c r="F786" s="47" t="s">
        <v>672</v>
      </c>
      <c r="G786" s="47" t="s">
        <v>1177</v>
      </c>
      <c r="H786" s="75" t="s">
        <v>68</v>
      </c>
      <c r="I786" s="75" t="s">
        <v>654</v>
      </c>
      <c r="J786" s="47"/>
      <c r="K786" s="48" t="s">
        <v>708</v>
      </c>
      <c r="L786" s="48" t="str">
        <f t="shared" si="28"/>
        <v>_</v>
      </c>
      <c r="M786" s="116">
        <f>ROUND(Tableau1[[#This Row],[LEN]]*7.27,0)</f>
        <v>225</v>
      </c>
      <c r="N786" s="116">
        <v>15</v>
      </c>
      <c r="O786" s="133" t="str">
        <f t="shared" si="29"/>
        <v>_self</v>
      </c>
      <c r="P786" s="116">
        <f>LEN(Tableau1[[#This Row],[LABEL]])</f>
        <v>31</v>
      </c>
      <c r="Q786" s="116">
        <v>15</v>
      </c>
      <c r="R786" s="116" t="e">
        <f>ROUND(Tableau1[[#This Row],[LEN]]*#REF!+#REF!,0)</f>
        <v>#REF!</v>
      </c>
    </row>
    <row r="787" spans="1:18" s="97" customFormat="1" x14ac:dyDescent="0.25">
      <c r="A787" s="45"/>
      <c r="B787" s="46"/>
      <c r="C787" s="429" t="s">
        <v>2152</v>
      </c>
      <c r="D787" s="449" t="s">
        <v>2197</v>
      </c>
      <c r="E787" s="75"/>
      <c r="F787" s="75"/>
      <c r="G787" s="47"/>
      <c r="H787" s="75"/>
      <c r="I787" s="440"/>
      <c r="J787" s="47"/>
      <c r="K787" s="441"/>
      <c r="L787" s="101" t="str">
        <f>IF(K787="javascript:void(0)","_","Documentation")</f>
        <v>Documentation</v>
      </c>
      <c r="M787" s="442"/>
      <c r="N787" s="442"/>
      <c r="O787" s="443" t="str">
        <f>IF(K787="javascript:void(0)","none","new")</f>
        <v>new</v>
      </c>
      <c r="P787" s="442">
        <f>LEN(Tableau1[[#This Row],[LABEL]])</f>
        <v>44</v>
      </c>
      <c r="Q787" s="442"/>
      <c r="R787" s="442"/>
    </row>
    <row r="788" spans="1:18" s="97" customFormat="1" x14ac:dyDescent="0.25">
      <c r="A788" s="45"/>
      <c r="B788" s="46"/>
      <c r="C788" s="429" t="s">
        <v>2152</v>
      </c>
      <c r="D788" s="47" t="s">
        <v>2208</v>
      </c>
      <c r="E788" s="75"/>
      <c r="F788" s="75"/>
      <c r="G788" s="47"/>
      <c r="H788" s="75"/>
      <c r="I788" s="75" t="s">
        <v>18</v>
      </c>
      <c r="J788" s="47"/>
      <c r="K788" s="441"/>
      <c r="L788" s="101" t="str">
        <f>IF(K788="javascript:void(0)","_","Documentation")</f>
        <v>Documentation</v>
      </c>
      <c r="M788" s="442"/>
      <c r="N788" s="442"/>
      <c r="O788" s="443" t="str">
        <f>IF(K788="javascript:void(0)","none","new")</f>
        <v>new</v>
      </c>
      <c r="P788" s="442">
        <f>LEN(Tableau1[[#This Row],[LABEL]])</f>
        <v>117</v>
      </c>
      <c r="Q788" s="442"/>
      <c r="R788" s="442"/>
    </row>
    <row r="789" spans="1:18" s="97" customFormat="1" x14ac:dyDescent="0.25">
      <c r="A789" s="45"/>
      <c r="B789" s="46"/>
      <c r="C789" s="429" t="s">
        <v>2152</v>
      </c>
      <c r="D789" s="449" t="s">
        <v>2179</v>
      </c>
      <c r="E789" s="75"/>
      <c r="F789" s="75"/>
      <c r="G789" s="47"/>
      <c r="H789" s="75"/>
      <c r="I789" s="440"/>
      <c r="J789" s="47"/>
      <c r="K789" s="441"/>
      <c r="L789" s="101" t="str">
        <f>IF(K789="javascript:void(0)","_","Documentation")</f>
        <v>Documentation</v>
      </c>
      <c r="M789" s="442"/>
      <c r="N789" s="442"/>
      <c r="O789" s="443" t="str">
        <f>IF(K789="javascript:void(0)","none","new")</f>
        <v>new</v>
      </c>
      <c r="P789" s="442">
        <f>LEN(Tableau1[[#This Row],[LABEL]])</f>
        <v>64</v>
      </c>
      <c r="Q789" s="442"/>
      <c r="R789" s="442"/>
    </row>
    <row r="790" spans="1:18" s="97" customFormat="1" x14ac:dyDescent="0.25">
      <c r="A790" s="45"/>
      <c r="B790" s="46"/>
      <c r="C790" s="429" t="s">
        <v>2152</v>
      </c>
      <c r="D790" s="449" t="s">
        <v>2180</v>
      </c>
      <c r="E790" s="75"/>
      <c r="F790" s="75"/>
      <c r="G790" s="47"/>
      <c r="H790" s="75"/>
      <c r="I790" s="440"/>
      <c r="J790" s="47"/>
      <c r="K790" s="441"/>
      <c r="L790" s="101" t="str">
        <f>IF(K790="javascript:void(0)","_","Documentation")</f>
        <v>Documentation</v>
      </c>
      <c r="M790" s="442"/>
      <c r="N790" s="442"/>
      <c r="O790" s="443" t="str">
        <f>IF(K790="javascript:void(0)","none","new")</f>
        <v>new</v>
      </c>
      <c r="P790" s="442">
        <f>LEN(Tableau1[[#This Row],[LABEL]])</f>
        <v>38</v>
      </c>
      <c r="Q790" s="442"/>
      <c r="R790" s="442"/>
    </row>
    <row r="791" spans="1:18" s="97" customFormat="1" x14ac:dyDescent="0.25">
      <c r="A791" s="45" t="s">
        <v>525</v>
      </c>
      <c r="B791" s="46" t="s">
        <v>516</v>
      </c>
      <c r="C791" s="429" t="s">
        <v>2152</v>
      </c>
      <c r="D791" s="47" t="s">
        <v>2175</v>
      </c>
      <c r="E791" s="75" t="s">
        <v>1177</v>
      </c>
      <c r="F791" s="47" t="s">
        <v>672</v>
      </c>
      <c r="G791" s="47" t="s">
        <v>1177</v>
      </c>
      <c r="H791" s="75" t="s">
        <v>68</v>
      </c>
      <c r="I791" s="75" t="s">
        <v>654</v>
      </c>
      <c r="J791" s="47"/>
      <c r="K791" s="48" t="s">
        <v>708</v>
      </c>
      <c r="L791" s="48" t="str">
        <f t="shared" si="28"/>
        <v>_</v>
      </c>
      <c r="M791" s="116">
        <f>ROUND(Tableau1[[#This Row],[LEN]]*7.27,0)</f>
        <v>436</v>
      </c>
      <c r="N791" s="116">
        <v>15</v>
      </c>
      <c r="O791" s="133" t="str">
        <f t="shared" si="29"/>
        <v>_self</v>
      </c>
      <c r="P791" s="116">
        <f>LEN(Tableau1[[#This Row],[LABEL]])</f>
        <v>60</v>
      </c>
      <c r="Q791" s="116">
        <v>15</v>
      </c>
      <c r="R791" s="116" t="e">
        <f>ROUND(Tableau1[[#This Row],[LEN]]*#REF!+#REF!,0)</f>
        <v>#REF!</v>
      </c>
    </row>
    <row r="792" spans="1:18" s="97" customFormat="1" x14ac:dyDescent="0.25">
      <c r="A792" s="45"/>
      <c r="B792" s="46"/>
      <c r="C792" s="429" t="s">
        <v>2152</v>
      </c>
      <c r="D792" s="43" t="s">
        <v>514</v>
      </c>
      <c r="E792" s="75"/>
      <c r="F792" s="75"/>
      <c r="G792" s="47"/>
      <c r="H792" s="75"/>
      <c r="I792" s="74" t="s">
        <v>656</v>
      </c>
      <c r="J792" s="47"/>
      <c r="K792" s="441"/>
      <c r="L792" s="101" t="str">
        <f>IF(K792="javascript:void(0)","_","Documentation")</f>
        <v>Documentation</v>
      </c>
      <c r="M792" s="442"/>
      <c r="N792" s="442"/>
      <c r="O792" s="443" t="str">
        <f>IF(K792="javascript:void(0)","none","new")</f>
        <v>new</v>
      </c>
      <c r="P792" s="442">
        <f>LEN(Tableau1[[#This Row],[LABEL]])</f>
        <v>46</v>
      </c>
      <c r="Q792" s="442"/>
      <c r="R792" s="442"/>
    </row>
    <row r="793" spans="1:18" s="97" customFormat="1" x14ac:dyDescent="0.25">
      <c r="A793" s="45" t="s">
        <v>527</v>
      </c>
      <c r="B793" s="46" t="s">
        <v>516</v>
      </c>
      <c r="C793" s="429" t="s">
        <v>2152</v>
      </c>
      <c r="D793" s="47" t="s">
        <v>533</v>
      </c>
      <c r="E793" s="75" t="s">
        <v>1177</v>
      </c>
      <c r="F793" s="47" t="s">
        <v>672</v>
      </c>
      <c r="G793" s="47" t="s">
        <v>1177</v>
      </c>
      <c r="H793" s="75" t="s">
        <v>68</v>
      </c>
      <c r="I793" s="75" t="s">
        <v>654</v>
      </c>
      <c r="J793" s="47"/>
      <c r="K793" s="48" t="s">
        <v>708</v>
      </c>
      <c r="L793" s="48" t="str">
        <f t="shared" si="28"/>
        <v>_</v>
      </c>
      <c r="M793" s="116">
        <f>ROUND(Tableau1[[#This Row],[LEN]]*7.27,0)</f>
        <v>400</v>
      </c>
      <c r="N793" s="116">
        <v>15</v>
      </c>
      <c r="O793" s="133" t="str">
        <f t="shared" si="29"/>
        <v>_self</v>
      </c>
      <c r="P793" s="116">
        <f>LEN(Tableau1[[#This Row],[LABEL]])</f>
        <v>55</v>
      </c>
      <c r="Q793" s="116">
        <v>15</v>
      </c>
      <c r="R793" s="116" t="e">
        <f>ROUND(Tableau1[[#This Row],[LEN]]*#REF!+#REF!,0)</f>
        <v>#REF!</v>
      </c>
    </row>
    <row r="794" spans="1:18" s="97" customFormat="1" x14ac:dyDescent="0.25">
      <c r="A794" s="45"/>
      <c r="B794" s="46"/>
      <c r="C794" s="429" t="s">
        <v>2152</v>
      </c>
      <c r="D794" s="449" t="s">
        <v>2170</v>
      </c>
      <c r="E794" s="75"/>
      <c r="F794" s="75"/>
      <c r="G794" s="47"/>
      <c r="H794" s="75"/>
      <c r="I794" s="440"/>
      <c r="J794" s="47"/>
      <c r="K794" s="441"/>
      <c r="L794" s="101" t="str">
        <f>IF(K794="javascript:void(0)","_","Documentation")</f>
        <v>Documentation</v>
      </c>
      <c r="M794" s="442"/>
      <c r="N794" s="442"/>
      <c r="O794" s="443" t="str">
        <f>IF(K794="javascript:void(0)","none","new")</f>
        <v>new</v>
      </c>
      <c r="P794" s="442">
        <f>LEN(Tableau1[[#This Row],[LABEL]])</f>
        <v>51</v>
      </c>
      <c r="Q794" s="442"/>
      <c r="R794" s="442"/>
    </row>
    <row r="795" spans="1:18" s="97" customFormat="1" x14ac:dyDescent="0.25">
      <c r="A795" s="45"/>
      <c r="B795" s="46"/>
      <c r="C795" s="429" t="s">
        <v>2152</v>
      </c>
      <c r="D795" s="449" t="s">
        <v>2185</v>
      </c>
      <c r="E795" s="75"/>
      <c r="F795" s="75"/>
      <c r="G795" s="47"/>
      <c r="H795" s="75"/>
      <c r="I795" s="440"/>
      <c r="J795" s="47"/>
      <c r="K795" s="441"/>
      <c r="L795" s="101" t="str">
        <f>IF(K795="javascript:void(0)","_","Documentation")</f>
        <v>Documentation</v>
      </c>
      <c r="M795" s="442"/>
      <c r="N795" s="442"/>
      <c r="O795" s="443" t="str">
        <f>IF(K795="javascript:void(0)","none","new")</f>
        <v>new</v>
      </c>
      <c r="P795" s="442">
        <f>LEN(Tableau1[[#This Row],[LABEL]])</f>
        <v>27</v>
      </c>
      <c r="Q795" s="442"/>
      <c r="R795" s="442"/>
    </row>
    <row r="796" spans="1:18" s="97" customFormat="1" x14ac:dyDescent="0.25">
      <c r="A796" s="45" t="s">
        <v>528</v>
      </c>
      <c r="B796" s="46" t="s">
        <v>516</v>
      </c>
      <c r="C796" s="429" t="s">
        <v>2152</v>
      </c>
      <c r="D796" s="451" t="s">
        <v>2176</v>
      </c>
      <c r="E796" s="75" t="s">
        <v>1177</v>
      </c>
      <c r="F796" s="47" t="s">
        <v>672</v>
      </c>
      <c r="G796" s="47" t="s">
        <v>1177</v>
      </c>
      <c r="H796" s="75" t="s">
        <v>68</v>
      </c>
      <c r="I796" s="75" t="s">
        <v>656</v>
      </c>
      <c r="J796" s="47"/>
      <c r="K796" s="48" t="s">
        <v>708</v>
      </c>
      <c r="L796" s="48" t="str">
        <f t="shared" si="28"/>
        <v>_</v>
      </c>
      <c r="M796" s="116">
        <f>ROUND(Tableau1[[#This Row],[LEN]]*7.27,0)</f>
        <v>327</v>
      </c>
      <c r="N796" s="116">
        <v>15</v>
      </c>
      <c r="O796" s="133" t="str">
        <f t="shared" si="29"/>
        <v>_self</v>
      </c>
      <c r="P796" s="116">
        <f>LEN(Tableau1[[#This Row],[LABEL]])</f>
        <v>45</v>
      </c>
      <c r="Q796" s="116">
        <v>15</v>
      </c>
      <c r="R796" s="116" t="e">
        <f>ROUND(Tableau1[[#This Row],[LEN]]*#REF!+#REF!,0)</f>
        <v>#REF!</v>
      </c>
    </row>
    <row r="797" spans="1:18" s="97" customFormat="1" hidden="1" x14ac:dyDescent="0.25">
      <c r="A797" s="41" t="s">
        <v>517</v>
      </c>
      <c r="B797" s="42" t="s">
        <v>294</v>
      </c>
      <c r="C797" s="429" t="s">
        <v>2152</v>
      </c>
      <c r="D797" s="43" t="s">
        <v>512</v>
      </c>
      <c r="E797" s="74" t="s">
        <v>1177</v>
      </c>
      <c r="F797" s="43" t="s">
        <v>667</v>
      </c>
      <c r="G797" s="43" t="s">
        <v>672</v>
      </c>
      <c r="H797" s="74" t="s">
        <v>68</v>
      </c>
      <c r="I797" s="74" t="s">
        <v>654</v>
      </c>
      <c r="J797" s="43"/>
      <c r="K797" s="44" t="s">
        <v>708</v>
      </c>
      <c r="L797" s="44" t="str">
        <f t="shared" si="28"/>
        <v>_</v>
      </c>
      <c r="M797" s="115">
        <f>ROUND(Tableau1[[#This Row],[LEN]]*7.27,0)</f>
        <v>80</v>
      </c>
      <c r="N797" s="115">
        <v>15</v>
      </c>
      <c r="O797" s="132" t="str">
        <f t="shared" si="29"/>
        <v>_self</v>
      </c>
      <c r="P797" s="115">
        <f>LEN(Tableau1[[#This Row],[LABEL]])</f>
        <v>11</v>
      </c>
      <c r="Q797" s="115">
        <v>15</v>
      </c>
      <c r="R797" s="115" t="e">
        <f>ROUND(Tableau1[[#This Row],[LEN]]*#REF!+#REF!,0)</f>
        <v>#REF!</v>
      </c>
    </row>
    <row r="798" spans="1:18" s="97" customFormat="1" x14ac:dyDescent="0.25">
      <c r="A798" s="41" t="s">
        <v>518</v>
      </c>
      <c r="B798" s="42" t="s">
        <v>294</v>
      </c>
      <c r="C798" s="429" t="s">
        <v>2152</v>
      </c>
      <c r="D798" s="43" t="s">
        <v>2174</v>
      </c>
      <c r="E798" s="74" t="s">
        <v>1177</v>
      </c>
      <c r="F798" s="43" t="s">
        <v>672</v>
      </c>
      <c r="G798" s="43" t="s">
        <v>1177</v>
      </c>
      <c r="H798" s="74" t="s">
        <v>68</v>
      </c>
      <c r="I798" s="74" t="s">
        <v>654</v>
      </c>
      <c r="J798" s="43"/>
      <c r="K798" s="44" t="s">
        <v>708</v>
      </c>
      <c r="L798" s="44" t="str">
        <f t="shared" si="28"/>
        <v>_</v>
      </c>
      <c r="M798" s="115">
        <f>ROUND(Tableau1[[#This Row],[LEN]]*7.27,0)</f>
        <v>414</v>
      </c>
      <c r="N798" s="115">
        <v>15</v>
      </c>
      <c r="O798" s="132" t="str">
        <f t="shared" si="29"/>
        <v>_self</v>
      </c>
      <c r="P798" s="115">
        <f>LEN(Tableau1[[#This Row],[LABEL]])</f>
        <v>57</v>
      </c>
      <c r="Q798" s="115">
        <v>15</v>
      </c>
      <c r="R798" s="115" t="e">
        <f>ROUND(Tableau1[[#This Row],[LEN]]*#REF!+#REF!,0)</f>
        <v>#REF!</v>
      </c>
    </row>
    <row r="799" spans="1:18" s="97" customFormat="1" x14ac:dyDescent="0.25">
      <c r="A799" s="41"/>
      <c r="B799" s="42"/>
      <c r="C799" s="429" t="s">
        <v>2152</v>
      </c>
      <c r="D799" s="467" t="s">
        <v>2211</v>
      </c>
      <c r="E799" s="74"/>
      <c r="F799" s="74"/>
      <c r="G799" s="43"/>
      <c r="H799" s="74"/>
      <c r="I799" s="440"/>
      <c r="J799" s="43"/>
      <c r="K799" s="441"/>
      <c r="L799" s="101" t="str">
        <f>IF(K799="javascript:void(0)","_","Documentation")</f>
        <v>Documentation</v>
      </c>
      <c r="M799" s="442"/>
      <c r="N799" s="442"/>
      <c r="O799" s="443" t="str">
        <f>IF(K799="javascript:void(0)","none","new")</f>
        <v>new</v>
      </c>
      <c r="P799" s="442">
        <f>LEN(Tableau1[[#This Row],[LABEL]])</f>
        <v>33</v>
      </c>
      <c r="Q799" s="442"/>
      <c r="R799" s="442"/>
    </row>
    <row r="800" spans="1:18" s="97" customFormat="1" x14ac:dyDescent="0.25">
      <c r="A800" s="41" t="s">
        <v>519</v>
      </c>
      <c r="B800" s="42" t="s">
        <v>294</v>
      </c>
      <c r="C800" s="429" t="s">
        <v>2152</v>
      </c>
      <c r="D800" s="449" t="s">
        <v>2167</v>
      </c>
      <c r="E800" s="74" t="s">
        <v>1177</v>
      </c>
      <c r="F800" s="43" t="s">
        <v>672</v>
      </c>
      <c r="G800" s="43" t="s">
        <v>1177</v>
      </c>
      <c r="H800" s="74" t="s">
        <v>68</v>
      </c>
      <c r="I800" s="75" t="s">
        <v>654</v>
      </c>
      <c r="J800" s="43"/>
      <c r="K800" s="44" t="s">
        <v>708</v>
      </c>
      <c r="L800" s="44" t="str">
        <f t="shared" si="28"/>
        <v>_</v>
      </c>
      <c r="M800" s="115">
        <f>ROUND(Tableau1[[#This Row],[LEN]]*7.27,0)</f>
        <v>262</v>
      </c>
      <c r="N800" s="115">
        <v>15</v>
      </c>
      <c r="O800" s="132" t="str">
        <f t="shared" si="29"/>
        <v>_self</v>
      </c>
      <c r="P800" s="115">
        <f>LEN(Tableau1[[#This Row],[LABEL]])</f>
        <v>36</v>
      </c>
      <c r="Q800" s="115">
        <v>15</v>
      </c>
      <c r="R800" s="115" t="e">
        <f>ROUND(Tableau1[[#This Row],[LEN]]*#REF!+#REF!,0)</f>
        <v>#REF!</v>
      </c>
    </row>
    <row r="801" spans="1:18" s="97" customFormat="1" x14ac:dyDescent="0.25">
      <c r="A801" s="41" t="s">
        <v>520</v>
      </c>
      <c r="B801" s="42" t="s">
        <v>294</v>
      </c>
      <c r="C801" s="429" t="s">
        <v>2152</v>
      </c>
      <c r="D801" s="450" t="s">
        <v>2168</v>
      </c>
      <c r="E801" s="74" t="s">
        <v>1177</v>
      </c>
      <c r="F801" s="43" t="s">
        <v>672</v>
      </c>
      <c r="G801" s="43" t="s">
        <v>666</v>
      </c>
      <c r="H801" s="74" t="s">
        <v>68</v>
      </c>
      <c r="I801" s="74" t="s">
        <v>656</v>
      </c>
      <c r="J801" s="43"/>
      <c r="K801" s="44" t="s">
        <v>708</v>
      </c>
      <c r="L801" s="44" t="str">
        <f t="shared" si="28"/>
        <v>_</v>
      </c>
      <c r="M801" s="115">
        <f>ROUND(Tableau1[[#This Row],[LEN]]*7.27,0)</f>
        <v>218</v>
      </c>
      <c r="N801" s="115">
        <v>15</v>
      </c>
      <c r="O801" s="132" t="str">
        <f t="shared" si="29"/>
        <v>_self</v>
      </c>
      <c r="P801" s="115">
        <f>LEN(Tableau1[[#This Row],[LABEL]])</f>
        <v>30</v>
      </c>
      <c r="Q801" s="115">
        <v>15</v>
      </c>
      <c r="R801" s="115" t="e">
        <f>ROUND(Tableau1[[#This Row],[LEN]]*#REF!+#REF!,0)</f>
        <v>#REF!</v>
      </c>
    </row>
    <row r="802" spans="1:18" s="273" customFormat="1" hidden="1" x14ac:dyDescent="0.25">
      <c r="A802" s="330" t="s">
        <v>295</v>
      </c>
      <c r="B802" s="331" t="s">
        <v>208</v>
      </c>
      <c r="C802" s="429" t="s">
        <v>2152</v>
      </c>
      <c r="D802" s="332" t="s">
        <v>10</v>
      </c>
      <c r="E802" s="333" t="s">
        <v>1177</v>
      </c>
      <c r="F802" s="332" t="s">
        <v>673</v>
      </c>
      <c r="G802" s="332" t="s">
        <v>1177</v>
      </c>
      <c r="H802" s="333" t="s">
        <v>68</v>
      </c>
      <c r="I802" s="333" t="str">
        <f>IFERROR(IF(SEARCH(".00.00.00.00.00",Tableau1[[#This Row],[name]],1)=7,"Division",""),"")</f>
        <v>Division</v>
      </c>
      <c r="J802" s="332"/>
      <c r="K802" s="334" t="s">
        <v>719</v>
      </c>
      <c r="L802" s="334" t="str">
        <f t="shared" si="28"/>
        <v>Documentation</v>
      </c>
      <c r="M802" s="335">
        <f>ROUND(Tableau1[[#This Row],[LEN]]*7.27,0)</f>
        <v>109</v>
      </c>
      <c r="N802" s="335">
        <v>15</v>
      </c>
      <c r="O802" s="336" t="str">
        <f t="shared" si="29"/>
        <v>_blank</v>
      </c>
      <c r="P802" s="335">
        <f>LEN(Tableau1[[#This Row],[LABEL]])</f>
        <v>15</v>
      </c>
      <c r="Q802" s="335">
        <v>15</v>
      </c>
      <c r="R802" s="335" t="e">
        <f>ROUND(Tableau1[[#This Row],[LEN]]*#REF!+#REF!,0)</f>
        <v>#REF!</v>
      </c>
    </row>
    <row r="803" spans="1:18" s="97" customFormat="1" hidden="1" x14ac:dyDescent="0.25">
      <c r="A803" s="41" t="s">
        <v>1554</v>
      </c>
      <c r="B803" s="42" t="s">
        <v>295</v>
      </c>
      <c r="C803" s="429" t="s">
        <v>2152</v>
      </c>
      <c r="D803" s="43" t="s">
        <v>849</v>
      </c>
      <c r="E803" s="74" t="s">
        <v>1177</v>
      </c>
      <c r="F803" s="43" t="s">
        <v>667</v>
      </c>
      <c r="G803" s="43" t="s">
        <v>840</v>
      </c>
      <c r="H803" s="74" t="s">
        <v>68</v>
      </c>
      <c r="I803" s="74" t="s">
        <v>655</v>
      </c>
      <c r="J803" s="43"/>
      <c r="K803" s="44" t="s">
        <v>708</v>
      </c>
      <c r="L803" s="44" t="str">
        <f t="shared" ref="L803:L866" si="34">IF(K803="javascript:void(0)","_","Documentation")</f>
        <v>_</v>
      </c>
      <c r="M803" s="115">
        <f>ROUND(Tableau1[[#This Row],[LEN]]*7.27,0)</f>
        <v>80</v>
      </c>
      <c r="N803" s="115">
        <v>15</v>
      </c>
      <c r="O803" s="132" t="str">
        <f t="shared" si="29"/>
        <v>_self</v>
      </c>
      <c r="P803" s="115">
        <f>LEN(Tableau1[[#This Row],[LABEL]])</f>
        <v>11</v>
      </c>
      <c r="Q803" s="115">
        <v>15</v>
      </c>
      <c r="R803" s="115" t="e">
        <f>ROUND(Tableau1[[#This Row],[LEN]]*#REF!+#REF!,0)</f>
        <v>#REF!</v>
      </c>
    </row>
    <row r="804" spans="1:18" s="97" customFormat="1" hidden="1" x14ac:dyDescent="0.25">
      <c r="A804" s="45" t="s">
        <v>1557</v>
      </c>
      <c r="B804" s="46" t="s">
        <v>1554</v>
      </c>
      <c r="C804" s="429" t="s">
        <v>2152</v>
      </c>
      <c r="D804" s="47" t="s">
        <v>112</v>
      </c>
      <c r="E804" s="75" t="s">
        <v>1177</v>
      </c>
      <c r="F804" s="47" t="s">
        <v>667</v>
      </c>
      <c r="G804" s="47" t="s">
        <v>2006</v>
      </c>
      <c r="H804" s="75" t="s">
        <v>68</v>
      </c>
      <c r="I804" s="75" t="s">
        <v>654</v>
      </c>
      <c r="J804" s="47"/>
      <c r="K804" s="48" t="s">
        <v>708</v>
      </c>
      <c r="L804" s="48" t="str">
        <f t="shared" si="34"/>
        <v>_</v>
      </c>
      <c r="M804" s="116">
        <f>ROUND(Tableau1[[#This Row],[LEN]]*7.27,0)</f>
        <v>167</v>
      </c>
      <c r="N804" s="116">
        <v>15</v>
      </c>
      <c r="O804" s="133" t="str">
        <f t="shared" ref="O804:O867" si="35">IF(K804="javascript:void(0)","_self","_blank")</f>
        <v>_self</v>
      </c>
      <c r="P804" s="116">
        <f>LEN(Tableau1[[#This Row],[LABEL]])</f>
        <v>23</v>
      </c>
      <c r="Q804" s="116">
        <v>15</v>
      </c>
      <c r="R804" s="116" t="e">
        <f>ROUND(Tableau1[[#This Row],[LEN]]*#REF!+#REF!,0)</f>
        <v>#REF!</v>
      </c>
    </row>
    <row r="805" spans="1:18" s="97" customFormat="1" hidden="1" x14ac:dyDescent="0.25">
      <c r="A805" s="45" t="s">
        <v>1558</v>
      </c>
      <c r="B805" s="46" t="s">
        <v>1554</v>
      </c>
      <c r="C805" s="429" t="s">
        <v>2152</v>
      </c>
      <c r="D805" s="47" t="s">
        <v>113</v>
      </c>
      <c r="E805" s="75" t="s">
        <v>1177</v>
      </c>
      <c r="F805" s="47" t="s">
        <v>667</v>
      </c>
      <c r="G805" s="47" t="s">
        <v>2006</v>
      </c>
      <c r="H805" s="75" t="s">
        <v>68</v>
      </c>
      <c r="I805" s="75" t="s">
        <v>654</v>
      </c>
      <c r="J805" s="47"/>
      <c r="K805" s="48" t="s">
        <v>708</v>
      </c>
      <c r="L805" s="48" t="str">
        <f t="shared" si="34"/>
        <v>_</v>
      </c>
      <c r="M805" s="116">
        <f>ROUND(Tableau1[[#This Row],[LEN]]*7.27,0)</f>
        <v>233</v>
      </c>
      <c r="N805" s="116">
        <v>15</v>
      </c>
      <c r="O805" s="133" t="str">
        <f t="shared" si="35"/>
        <v>_self</v>
      </c>
      <c r="P805" s="116">
        <f>LEN(Tableau1[[#This Row],[LABEL]])</f>
        <v>32</v>
      </c>
      <c r="Q805" s="116">
        <v>15</v>
      </c>
      <c r="R805" s="116" t="e">
        <f>ROUND(Tableau1[[#This Row],[LEN]]*#REF!+#REF!,0)</f>
        <v>#REF!</v>
      </c>
    </row>
    <row r="806" spans="1:18" s="97" customFormat="1" hidden="1" x14ac:dyDescent="0.25">
      <c r="A806" s="41" t="s">
        <v>1555</v>
      </c>
      <c r="B806" s="42" t="s">
        <v>295</v>
      </c>
      <c r="C806" s="429" t="s">
        <v>2152</v>
      </c>
      <c r="D806" s="43" t="s">
        <v>1559</v>
      </c>
      <c r="E806" s="74" t="s">
        <v>1177</v>
      </c>
      <c r="F806" s="43" t="s">
        <v>673</v>
      </c>
      <c r="G806" s="43" t="s">
        <v>1177</v>
      </c>
      <c r="H806" s="74" t="s">
        <v>68</v>
      </c>
      <c r="I806" s="74" t="s">
        <v>654</v>
      </c>
      <c r="J806" s="43"/>
      <c r="K806" s="44" t="s">
        <v>708</v>
      </c>
      <c r="L806" s="44" t="str">
        <f t="shared" si="34"/>
        <v>_</v>
      </c>
      <c r="M806" s="115">
        <f>ROUND(Tableau1[[#This Row],[LEN]]*7.27,0)</f>
        <v>473</v>
      </c>
      <c r="N806" s="115">
        <v>15</v>
      </c>
      <c r="O806" s="132" t="str">
        <f t="shared" si="35"/>
        <v>_self</v>
      </c>
      <c r="P806" s="115">
        <f>LEN(Tableau1[[#This Row],[LABEL]])</f>
        <v>65</v>
      </c>
      <c r="Q806" s="115">
        <v>15</v>
      </c>
      <c r="R806" s="115" t="e">
        <f>ROUND(Tableau1[[#This Row],[LEN]]*#REF!+#REF!,0)</f>
        <v>#REF!</v>
      </c>
    </row>
    <row r="807" spans="1:18" s="97" customFormat="1" hidden="1" x14ac:dyDescent="0.25">
      <c r="A807" s="41" t="s">
        <v>1556</v>
      </c>
      <c r="B807" s="42" t="s">
        <v>295</v>
      </c>
      <c r="C807" s="429" t="s">
        <v>2152</v>
      </c>
      <c r="D807" s="43" t="s">
        <v>1560</v>
      </c>
      <c r="E807" s="74" t="s">
        <v>1177</v>
      </c>
      <c r="F807" s="43" t="s">
        <v>673</v>
      </c>
      <c r="G807" s="43" t="s">
        <v>1177</v>
      </c>
      <c r="H807" s="74" t="s">
        <v>68</v>
      </c>
      <c r="I807" s="74" t="s">
        <v>654</v>
      </c>
      <c r="J807" s="43"/>
      <c r="K807" s="44" t="s">
        <v>708</v>
      </c>
      <c r="L807" s="44" t="str">
        <f t="shared" si="34"/>
        <v>_</v>
      </c>
      <c r="M807" s="115">
        <f>ROUND(Tableau1[[#This Row],[LEN]]*7.27,0)</f>
        <v>225</v>
      </c>
      <c r="N807" s="115">
        <v>15</v>
      </c>
      <c r="O807" s="132" t="str">
        <f t="shared" si="35"/>
        <v>_self</v>
      </c>
      <c r="P807" s="115">
        <f>LEN(Tableau1[[#This Row],[LABEL]])</f>
        <v>31</v>
      </c>
      <c r="Q807" s="115">
        <v>15</v>
      </c>
      <c r="R807" s="115" t="e">
        <f>ROUND(Tableau1[[#This Row],[LEN]]*#REF!+#REF!,0)</f>
        <v>#REF!</v>
      </c>
    </row>
    <row r="808" spans="1:18" s="273" customFormat="1" hidden="1" x14ac:dyDescent="0.25">
      <c r="A808" s="330" t="s">
        <v>296</v>
      </c>
      <c r="B808" s="331" t="s">
        <v>208</v>
      </c>
      <c r="C808" s="429" t="s">
        <v>2152</v>
      </c>
      <c r="D808" s="332" t="s">
        <v>11</v>
      </c>
      <c r="E808" s="333" t="s">
        <v>1177</v>
      </c>
      <c r="F808" s="332" t="s">
        <v>674</v>
      </c>
      <c r="G808" s="332" t="s">
        <v>1177</v>
      </c>
      <c r="H808" s="333" t="s">
        <v>68</v>
      </c>
      <c r="I808" s="333" t="str">
        <f>IFERROR(IF(SEARCH(".00.00.00.00.00",Tableau1[[#This Row],[name]],1)=7,"Division",""),"")</f>
        <v>Division</v>
      </c>
      <c r="J808" s="332"/>
      <c r="K808" s="334" t="s">
        <v>720</v>
      </c>
      <c r="L808" s="334" t="str">
        <f t="shared" si="34"/>
        <v>Documentation</v>
      </c>
      <c r="M808" s="335">
        <f>ROUND(Tableau1[[#This Row],[LEN]]*7.27,0)</f>
        <v>51</v>
      </c>
      <c r="N808" s="335">
        <v>15</v>
      </c>
      <c r="O808" s="336" t="str">
        <f t="shared" si="35"/>
        <v>_blank</v>
      </c>
      <c r="P808" s="335">
        <f>LEN(Tableau1[[#This Row],[LABEL]])</f>
        <v>7</v>
      </c>
      <c r="Q808" s="335">
        <v>15</v>
      </c>
      <c r="R808" s="335" t="e">
        <f>ROUND(Tableau1[[#This Row],[LEN]]*#REF!+#REF!,0)</f>
        <v>#REF!</v>
      </c>
    </row>
    <row r="809" spans="1:18" s="97" customFormat="1" hidden="1" x14ac:dyDescent="0.25">
      <c r="A809" s="41" t="s">
        <v>1561</v>
      </c>
      <c r="B809" s="42" t="s">
        <v>296</v>
      </c>
      <c r="C809" s="429" t="s">
        <v>2152</v>
      </c>
      <c r="D809" s="43" t="s">
        <v>1564</v>
      </c>
      <c r="E809" s="74" t="s">
        <v>1177</v>
      </c>
      <c r="F809" s="43" t="s">
        <v>674</v>
      </c>
      <c r="G809" s="43" t="s">
        <v>1177</v>
      </c>
      <c r="H809" s="74" t="s">
        <v>68</v>
      </c>
      <c r="I809" s="74" t="s">
        <v>656</v>
      </c>
      <c r="J809" s="43"/>
      <c r="K809" s="44" t="s">
        <v>708</v>
      </c>
      <c r="L809" s="44" t="str">
        <f t="shared" si="34"/>
        <v>_</v>
      </c>
      <c r="M809" s="115">
        <f>ROUND(Tableau1[[#This Row],[LEN]]*7.27,0)</f>
        <v>218</v>
      </c>
      <c r="N809" s="115">
        <v>15</v>
      </c>
      <c r="O809" s="132" t="str">
        <f t="shared" si="35"/>
        <v>_self</v>
      </c>
      <c r="P809" s="115">
        <f>LEN(Tableau1[[#This Row],[LABEL]])</f>
        <v>30</v>
      </c>
      <c r="Q809" s="115">
        <v>15</v>
      </c>
      <c r="R809" s="115" t="e">
        <f>ROUND(Tableau1[[#This Row],[LEN]]*#REF!+#REF!,0)</f>
        <v>#REF!</v>
      </c>
    </row>
    <row r="810" spans="1:18" s="97" customFormat="1" hidden="1" x14ac:dyDescent="0.25">
      <c r="A810" s="41" t="s">
        <v>1562</v>
      </c>
      <c r="B810" s="42" t="s">
        <v>296</v>
      </c>
      <c r="C810" s="429" t="s">
        <v>2152</v>
      </c>
      <c r="D810" s="43" t="s">
        <v>1565</v>
      </c>
      <c r="E810" s="74" t="s">
        <v>1566</v>
      </c>
      <c r="F810" s="43" t="s">
        <v>674</v>
      </c>
      <c r="G810" s="43" t="s">
        <v>1177</v>
      </c>
      <c r="H810" s="74" t="s">
        <v>68</v>
      </c>
      <c r="I810" s="74" t="s">
        <v>656</v>
      </c>
      <c r="J810" s="43"/>
      <c r="K810" s="44" t="s">
        <v>708</v>
      </c>
      <c r="L810" s="44" t="str">
        <f t="shared" si="34"/>
        <v>_</v>
      </c>
      <c r="M810" s="115">
        <f>ROUND(Tableau1[[#This Row],[LEN]]*7.27,0)</f>
        <v>211</v>
      </c>
      <c r="N810" s="115">
        <v>15</v>
      </c>
      <c r="O810" s="132" t="str">
        <f t="shared" si="35"/>
        <v>_self</v>
      </c>
      <c r="P810" s="115">
        <f>LEN(Tableau1[[#This Row],[LABEL]])</f>
        <v>29</v>
      </c>
      <c r="Q810" s="115">
        <v>15</v>
      </c>
      <c r="R810" s="115" t="e">
        <f>ROUND(Tableau1[[#This Row],[LEN]]*#REF!+#REF!,0)</f>
        <v>#REF!</v>
      </c>
    </row>
    <row r="811" spans="1:18" s="97" customFormat="1" hidden="1" x14ac:dyDescent="0.25">
      <c r="A811" s="41" t="s">
        <v>1563</v>
      </c>
      <c r="B811" s="42" t="s">
        <v>296</v>
      </c>
      <c r="C811" s="429" t="s">
        <v>2152</v>
      </c>
      <c r="D811" s="43" t="s">
        <v>2098</v>
      </c>
      <c r="E811" s="74" t="s">
        <v>1177</v>
      </c>
      <c r="F811" s="43" t="s">
        <v>661</v>
      </c>
      <c r="G811" s="43" t="s">
        <v>2083</v>
      </c>
      <c r="H811" s="74" t="s">
        <v>68</v>
      </c>
      <c r="I811" s="74" t="s">
        <v>655</v>
      </c>
      <c r="J811" s="43"/>
      <c r="K811" s="44" t="s">
        <v>708</v>
      </c>
      <c r="L811" s="44" t="str">
        <f t="shared" si="34"/>
        <v>_</v>
      </c>
      <c r="M811" s="115">
        <f>ROUND(Tableau1[[#This Row],[LEN]]*7.27,0)</f>
        <v>334</v>
      </c>
      <c r="N811" s="115">
        <v>15</v>
      </c>
      <c r="O811" s="132" t="str">
        <f t="shared" si="35"/>
        <v>_self</v>
      </c>
      <c r="P811" s="115">
        <f>LEN(Tableau1[[#This Row],[LABEL]])</f>
        <v>46</v>
      </c>
      <c r="Q811" s="115">
        <v>15</v>
      </c>
      <c r="R811" s="115" t="e">
        <f>ROUND(Tableau1[[#This Row],[LEN]]*#REF!+#REF!,0)</f>
        <v>#REF!</v>
      </c>
    </row>
    <row r="812" spans="1:18" s="97" customFormat="1" hidden="1" x14ac:dyDescent="0.25">
      <c r="A812" s="45" t="s">
        <v>1567</v>
      </c>
      <c r="B812" s="46" t="s">
        <v>1563</v>
      </c>
      <c r="C812" s="429" t="s">
        <v>2152</v>
      </c>
      <c r="D812" s="47" t="s">
        <v>1458</v>
      </c>
      <c r="E812" s="75" t="s">
        <v>1177</v>
      </c>
      <c r="F812" s="47" t="s">
        <v>674</v>
      </c>
      <c r="G812" s="47" t="s">
        <v>2083</v>
      </c>
      <c r="H812" s="75" t="s">
        <v>68</v>
      </c>
      <c r="I812" s="75" t="s">
        <v>654</v>
      </c>
      <c r="J812" s="47"/>
      <c r="K812" s="48" t="s">
        <v>708</v>
      </c>
      <c r="L812" s="48" t="str">
        <f t="shared" si="34"/>
        <v>_</v>
      </c>
      <c r="M812" s="116">
        <f>ROUND(Tableau1[[#This Row],[LEN]]*7.27,0)</f>
        <v>189</v>
      </c>
      <c r="N812" s="116">
        <v>15</v>
      </c>
      <c r="O812" s="133" t="str">
        <f t="shared" si="35"/>
        <v>_self</v>
      </c>
      <c r="P812" s="116">
        <f>LEN(Tableau1[[#This Row],[LABEL]])</f>
        <v>26</v>
      </c>
      <c r="Q812" s="116">
        <v>15</v>
      </c>
      <c r="R812" s="116" t="e">
        <f>ROUND(Tableau1[[#This Row],[LEN]]*#REF!+#REF!,0)</f>
        <v>#REF!</v>
      </c>
    </row>
    <row r="813" spans="1:18" s="97" customFormat="1" hidden="1" x14ac:dyDescent="0.25">
      <c r="A813" s="45" t="s">
        <v>1568</v>
      </c>
      <c r="B813" s="46" t="s">
        <v>1563</v>
      </c>
      <c r="C813" s="429" t="s">
        <v>2152</v>
      </c>
      <c r="D813" s="47" t="s">
        <v>2097</v>
      </c>
      <c r="E813" s="75" t="s">
        <v>1177</v>
      </c>
      <c r="F813" s="47" t="s">
        <v>674</v>
      </c>
      <c r="G813" s="47" t="s">
        <v>2083</v>
      </c>
      <c r="H813" s="75" t="s">
        <v>68</v>
      </c>
      <c r="I813" s="75" t="s">
        <v>654</v>
      </c>
      <c r="J813" s="47"/>
      <c r="K813" s="48" t="s">
        <v>708</v>
      </c>
      <c r="L813" s="48" t="str">
        <f t="shared" si="34"/>
        <v>_</v>
      </c>
      <c r="M813" s="116">
        <f>ROUND(Tableau1[[#This Row],[LEN]]*7.27,0)</f>
        <v>225</v>
      </c>
      <c r="N813" s="116">
        <v>15</v>
      </c>
      <c r="O813" s="133" t="str">
        <f t="shared" si="35"/>
        <v>_self</v>
      </c>
      <c r="P813" s="116">
        <f>LEN(Tableau1[[#This Row],[LABEL]])</f>
        <v>31</v>
      </c>
      <c r="Q813" s="116">
        <v>15</v>
      </c>
      <c r="R813" s="116" t="e">
        <f>ROUND(Tableau1[[#This Row],[LEN]]*#REF!+#REF!,0)</f>
        <v>#REF!</v>
      </c>
    </row>
    <row r="814" spans="1:18" s="97" customFormat="1" hidden="1" x14ac:dyDescent="0.25">
      <c r="A814" s="41" t="s">
        <v>2099</v>
      </c>
      <c r="B814" s="42" t="s">
        <v>296</v>
      </c>
      <c r="C814" s="429" t="s">
        <v>2152</v>
      </c>
      <c r="D814" s="43" t="s">
        <v>2100</v>
      </c>
      <c r="E814" s="74" t="s">
        <v>1177</v>
      </c>
      <c r="F814" s="43" t="s">
        <v>674</v>
      </c>
      <c r="G814" s="43" t="s">
        <v>1177</v>
      </c>
      <c r="H814" s="74" t="s">
        <v>68</v>
      </c>
      <c r="I814" s="74" t="s">
        <v>656</v>
      </c>
      <c r="J814" s="43"/>
      <c r="K814" s="44" t="s">
        <v>708</v>
      </c>
      <c r="L814" s="44" t="str">
        <f t="shared" si="34"/>
        <v>_</v>
      </c>
      <c r="M814" s="115">
        <f>ROUND(Tableau1[[#This Row],[LEN]]*7.27,0)</f>
        <v>371</v>
      </c>
      <c r="N814" s="115">
        <v>15</v>
      </c>
      <c r="O814" s="132" t="str">
        <f t="shared" si="35"/>
        <v>_self</v>
      </c>
      <c r="P814" s="115">
        <f>LEN(Tableau1[[#This Row],[LABEL]])</f>
        <v>51</v>
      </c>
      <c r="Q814" s="115">
        <v>15</v>
      </c>
      <c r="R814" s="115" t="e">
        <f>ROUND(Tableau1[[#This Row],[LEN]]*#REF!+#REF!,0)</f>
        <v>#REF!</v>
      </c>
    </row>
    <row r="815" spans="1:18" s="273" customFormat="1" hidden="1" x14ac:dyDescent="0.25">
      <c r="A815" s="330" t="s">
        <v>297</v>
      </c>
      <c r="B815" s="331" t="s">
        <v>208</v>
      </c>
      <c r="C815" s="429" t="s">
        <v>2152</v>
      </c>
      <c r="D815" s="332" t="s">
        <v>12</v>
      </c>
      <c r="E815" s="333" t="s">
        <v>1177</v>
      </c>
      <c r="F815" s="332" t="s">
        <v>675</v>
      </c>
      <c r="G815" s="332" t="s">
        <v>1177</v>
      </c>
      <c r="H815" s="333" t="s">
        <v>68</v>
      </c>
      <c r="I815" s="333" t="str">
        <f>IFERROR(IF(SEARCH(".00.00.00.00.00",Tableau1[[#This Row],[name]],1)=7,"Division",""),"")</f>
        <v>Division</v>
      </c>
      <c r="J815" s="332"/>
      <c r="K815" s="334" t="s">
        <v>721</v>
      </c>
      <c r="L815" s="334" t="str">
        <f t="shared" si="34"/>
        <v>Documentation</v>
      </c>
      <c r="M815" s="335">
        <f>ROUND(Tableau1[[#This Row],[LEN]]*7.27,0)</f>
        <v>15</v>
      </c>
      <c r="N815" s="335">
        <v>15</v>
      </c>
      <c r="O815" s="336" t="str">
        <f t="shared" si="35"/>
        <v>_blank</v>
      </c>
      <c r="P815" s="335">
        <f>LEN(Tableau1[[#This Row],[LABEL]])</f>
        <v>2</v>
      </c>
      <c r="Q815" s="335">
        <v>15</v>
      </c>
      <c r="R815" s="335" t="e">
        <f>ROUND(Tableau1[[#This Row],[LEN]]*#REF!+#REF!,0)</f>
        <v>#REF!</v>
      </c>
    </row>
    <row r="816" spans="1:18" s="97" customFormat="1" hidden="1" x14ac:dyDescent="0.25">
      <c r="A816" s="41" t="s">
        <v>1569</v>
      </c>
      <c r="B816" s="42" t="s">
        <v>297</v>
      </c>
      <c r="C816" s="429" t="s">
        <v>2152</v>
      </c>
      <c r="D816" s="43" t="s">
        <v>1620</v>
      </c>
      <c r="E816" s="74" t="s">
        <v>1177</v>
      </c>
      <c r="F816" s="43" t="s">
        <v>675</v>
      </c>
      <c r="G816" s="43" t="s">
        <v>678</v>
      </c>
      <c r="H816" s="74" t="s">
        <v>68</v>
      </c>
      <c r="I816" s="74" t="s">
        <v>655</v>
      </c>
      <c r="J816" s="43"/>
      <c r="K816" s="44" t="s">
        <v>708</v>
      </c>
      <c r="L816" s="44" t="str">
        <f t="shared" si="34"/>
        <v>_</v>
      </c>
      <c r="M816" s="115">
        <f>ROUND(Tableau1[[#This Row],[LEN]]*7.27,0)</f>
        <v>262</v>
      </c>
      <c r="N816" s="115">
        <v>15</v>
      </c>
      <c r="O816" s="132" t="str">
        <f t="shared" si="35"/>
        <v>_self</v>
      </c>
      <c r="P816" s="115">
        <f>LEN(Tableau1[[#This Row],[LABEL]])</f>
        <v>36</v>
      </c>
      <c r="Q816" s="115">
        <v>15</v>
      </c>
      <c r="R816" s="115" t="e">
        <f>ROUND(Tableau1[[#This Row],[LEN]]*#REF!+#REF!,0)</f>
        <v>#REF!</v>
      </c>
    </row>
    <row r="817" spans="1:18" s="97" customFormat="1" hidden="1" x14ac:dyDescent="0.25">
      <c r="A817" s="45" t="s">
        <v>1574</v>
      </c>
      <c r="B817" s="46" t="s">
        <v>1569</v>
      </c>
      <c r="C817" s="429" t="s">
        <v>2152</v>
      </c>
      <c r="D817" s="47" t="s">
        <v>1467</v>
      </c>
      <c r="E817" s="75" t="s">
        <v>1177</v>
      </c>
      <c r="F817" s="47" t="s">
        <v>675</v>
      </c>
      <c r="G817" s="47" t="s">
        <v>678</v>
      </c>
      <c r="H817" s="75" t="s">
        <v>68</v>
      </c>
      <c r="I817" s="75" t="s">
        <v>656</v>
      </c>
      <c r="J817" s="47"/>
      <c r="K817" s="48" t="s">
        <v>708</v>
      </c>
      <c r="L817" s="48" t="str">
        <f t="shared" si="34"/>
        <v>_</v>
      </c>
      <c r="M817" s="116">
        <f>ROUND(Tableau1[[#This Row],[LEN]]*7.27,0)</f>
        <v>102</v>
      </c>
      <c r="N817" s="116">
        <v>15</v>
      </c>
      <c r="O817" s="133" t="str">
        <f t="shared" si="35"/>
        <v>_self</v>
      </c>
      <c r="P817" s="116">
        <f>LEN(Tableau1[[#This Row],[LABEL]])</f>
        <v>14</v>
      </c>
      <c r="Q817" s="116">
        <v>15</v>
      </c>
      <c r="R817" s="116" t="e">
        <f>ROUND(Tableau1[[#This Row],[LEN]]*#REF!+#REF!,0)</f>
        <v>#REF!</v>
      </c>
    </row>
    <row r="818" spans="1:18" s="97" customFormat="1" hidden="1" x14ac:dyDescent="0.25">
      <c r="A818" s="45" t="s">
        <v>1575</v>
      </c>
      <c r="B818" s="46" t="s">
        <v>1569</v>
      </c>
      <c r="C818" s="429" t="s">
        <v>2152</v>
      </c>
      <c r="D818" s="47" t="s">
        <v>1573</v>
      </c>
      <c r="E818" s="75" t="s">
        <v>1177</v>
      </c>
      <c r="F818" s="47" t="s">
        <v>675</v>
      </c>
      <c r="G818" s="47" t="s">
        <v>678</v>
      </c>
      <c r="H818" s="75" t="s">
        <v>68</v>
      </c>
      <c r="I818" s="75" t="s">
        <v>656</v>
      </c>
      <c r="J818" s="47"/>
      <c r="K818" s="48" t="s">
        <v>708</v>
      </c>
      <c r="L818" s="48" t="str">
        <f t="shared" si="34"/>
        <v>_</v>
      </c>
      <c r="M818" s="116">
        <f>ROUND(Tableau1[[#This Row],[LEN]]*7.27,0)</f>
        <v>422</v>
      </c>
      <c r="N818" s="116">
        <v>15</v>
      </c>
      <c r="O818" s="133" t="str">
        <f t="shared" si="35"/>
        <v>_self</v>
      </c>
      <c r="P818" s="116">
        <f>LEN(Tableau1[[#This Row],[LABEL]])</f>
        <v>58</v>
      </c>
      <c r="Q818" s="116">
        <v>15</v>
      </c>
      <c r="R818" s="116" t="e">
        <f>ROUND(Tableau1[[#This Row],[LEN]]*#REF!+#REF!,0)</f>
        <v>#REF!</v>
      </c>
    </row>
    <row r="819" spans="1:18" s="97" customFormat="1" hidden="1" x14ac:dyDescent="0.25">
      <c r="A819" s="45" t="s">
        <v>1576</v>
      </c>
      <c r="B819" s="46" t="s">
        <v>1569</v>
      </c>
      <c r="C819" s="429" t="s">
        <v>2152</v>
      </c>
      <c r="D819" s="47" t="s">
        <v>1468</v>
      </c>
      <c r="E819" s="75" t="s">
        <v>1177</v>
      </c>
      <c r="F819" s="47" t="s">
        <v>675</v>
      </c>
      <c r="G819" s="47" t="s">
        <v>678</v>
      </c>
      <c r="H819" s="75" t="s">
        <v>68</v>
      </c>
      <c r="I819" s="75" t="s">
        <v>656</v>
      </c>
      <c r="J819" s="47"/>
      <c r="K819" s="48" t="s">
        <v>708</v>
      </c>
      <c r="L819" s="48" t="str">
        <f t="shared" si="34"/>
        <v>_</v>
      </c>
      <c r="M819" s="116">
        <f>ROUND(Tableau1[[#This Row],[LEN]]*7.27,0)</f>
        <v>167</v>
      </c>
      <c r="N819" s="116">
        <v>15</v>
      </c>
      <c r="O819" s="133" t="str">
        <f t="shared" si="35"/>
        <v>_self</v>
      </c>
      <c r="P819" s="116">
        <f>LEN(Tableau1[[#This Row],[LABEL]])</f>
        <v>23</v>
      </c>
      <c r="Q819" s="116">
        <v>15</v>
      </c>
      <c r="R819" s="116" t="e">
        <f>ROUND(Tableau1[[#This Row],[LEN]]*#REF!+#REF!,0)</f>
        <v>#REF!</v>
      </c>
    </row>
    <row r="820" spans="1:18" s="97" customFormat="1" hidden="1" x14ac:dyDescent="0.25">
      <c r="A820" s="41" t="s">
        <v>1570</v>
      </c>
      <c r="B820" s="42" t="s">
        <v>297</v>
      </c>
      <c r="C820" s="429" t="s">
        <v>2152</v>
      </c>
      <c r="D820" s="43" t="s">
        <v>849</v>
      </c>
      <c r="E820" s="74" t="s">
        <v>1177</v>
      </c>
      <c r="F820" s="43" t="s">
        <v>667</v>
      </c>
      <c r="G820" s="43" t="s">
        <v>840</v>
      </c>
      <c r="H820" s="74" t="s">
        <v>68</v>
      </c>
      <c r="I820" s="74" t="s">
        <v>655</v>
      </c>
      <c r="J820" s="43"/>
      <c r="K820" s="44" t="s">
        <v>708</v>
      </c>
      <c r="L820" s="44" t="str">
        <f t="shared" si="34"/>
        <v>_</v>
      </c>
      <c r="M820" s="115">
        <f>ROUND(Tableau1[[#This Row],[LEN]]*7.27,0)</f>
        <v>80</v>
      </c>
      <c r="N820" s="115">
        <v>15</v>
      </c>
      <c r="O820" s="132" t="str">
        <f t="shared" si="35"/>
        <v>_self</v>
      </c>
      <c r="P820" s="115">
        <f>LEN(Tableau1[[#This Row],[LABEL]])</f>
        <v>11</v>
      </c>
      <c r="Q820" s="115">
        <v>15</v>
      </c>
      <c r="R820" s="115" t="e">
        <f>ROUND(Tableau1[[#This Row],[LEN]]*#REF!+#REF!,0)</f>
        <v>#REF!</v>
      </c>
    </row>
    <row r="821" spans="1:18" s="97" customFormat="1" hidden="1" x14ac:dyDescent="0.25">
      <c r="A821" s="45" t="s">
        <v>1577</v>
      </c>
      <c r="B821" s="46" t="s">
        <v>1570</v>
      </c>
      <c r="C821" s="429" t="s">
        <v>2152</v>
      </c>
      <c r="D821" s="47" t="s">
        <v>112</v>
      </c>
      <c r="E821" s="75" t="s">
        <v>1177</v>
      </c>
      <c r="F821" s="47" t="s">
        <v>667</v>
      </c>
      <c r="G821" s="47" t="s">
        <v>2006</v>
      </c>
      <c r="H821" s="75" t="s">
        <v>68</v>
      </c>
      <c r="I821" s="75" t="s">
        <v>654</v>
      </c>
      <c r="J821" s="47"/>
      <c r="K821" s="48" t="s">
        <v>708</v>
      </c>
      <c r="L821" s="48" t="str">
        <f t="shared" si="34"/>
        <v>_</v>
      </c>
      <c r="M821" s="116">
        <f>ROUND(Tableau1[[#This Row],[LEN]]*7.27,0)</f>
        <v>167</v>
      </c>
      <c r="N821" s="116">
        <v>15</v>
      </c>
      <c r="O821" s="133" t="str">
        <f t="shared" si="35"/>
        <v>_self</v>
      </c>
      <c r="P821" s="116">
        <f>LEN(Tableau1[[#This Row],[LABEL]])</f>
        <v>23</v>
      </c>
      <c r="Q821" s="116">
        <v>15</v>
      </c>
      <c r="R821" s="116" t="e">
        <f>ROUND(Tableau1[[#This Row],[LEN]]*#REF!+#REF!,0)</f>
        <v>#REF!</v>
      </c>
    </row>
    <row r="822" spans="1:18" s="97" customFormat="1" hidden="1" x14ac:dyDescent="0.25">
      <c r="A822" s="45" t="s">
        <v>1578</v>
      </c>
      <c r="B822" s="46" t="s">
        <v>1570</v>
      </c>
      <c r="C822" s="429" t="s">
        <v>2152</v>
      </c>
      <c r="D822" s="47" t="s">
        <v>113</v>
      </c>
      <c r="E822" s="75" t="s">
        <v>1177</v>
      </c>
      <c r="F822" s="47" t="s">
        <v>667</v>
      </c>
      <c r="G822" s="47" t="s">
        <v>2006</v>
      </c>
      <c r="H822" s="75" t="s">
        <v>68</v>
      </c>
      <c r="I822" s="75" t="s">
        <v>654</v>
      </c>
      <c r="J822" s="47"/>
      <c r="K822" s="48" t="s">
        <v>708</v>
      </c>
      <c r="L822" s="48" t="str">
        <f t="shared" si="34"/>
        <v>_</v>
      </c>
      <c r="M822" s="116">
        <f>ROUND(Tableau1[[#This Row],[LEN]]*7.27,0)</f>
        <v>233</v>
      </c>
      <c r="N822" s="116">
        <v>15</v>
      </c>
      <c r="O822" s="133" t="str">
        <f t="shared" si="35"/>
        <v>_self</v>
      </c>
      <c r="P822" s="116">
        <f>LEN(Tableau1[[#This Row],[LABEL]])</f>
        <v>32</v>
      </c>
      <c r="Q822" s="116">
        <v>15</v>
      </c>
      <c r="R822" s="116" t="e">
        <f>ROUND(Tableau1[[#This Row],[LEN]]*#REF!+#REF!,0)</f>
        <v>#REF!</v>
      </c>
    </row>
    <row r="823" spans="1:18" s="97" customFormat="1" hidden="1" x14ac:dyDescent="0.25">
      <c r="A823" s="41" t="s">
        <v>1571</v>
      </c>
      <c r="B823" s="42" t="s">
        <v>297</v>
      </c>
      <c r="C823" s="429" t="s">
        <v>2152</v>
      </c>
      <c r="D823" s="43" t="s">
        <v>1621</v>
      </c>
      <c r="E823" s="74" t="s">
        <v>1177</v>
      </c>
      <c r="F823" s="43" t="s">
        <v>675</v>
      </c>
      <c r="G823" s="43" t="s">
        <v>678</v>
      </c>
      <c r="H823" s="74" t="s">
        <v>68</v>
      </c>
      <c r="I823" s="74" t="s">
        <v>655</v>
      </c>
      <c r="J823" s="43"/>
      <c r="K823" s="44" t="s">
        <v>708</v>
      </c>
      <c r="L823" s="44" t="str">
        <f t="shared" si="34"/>
        <v>_</v>
      </c>
      <c r="M823" s="115">
        <f>ROUND(Tableau1[[#This Row],[LEN]]*7.27,0)</f>
        <v>262</v>
      </c>
      <c r="N823" s="115">
        <v>15</v>
      </c>
      <c r="O823" s="132" t="str">
        <f t="shared" si="35"/>
        <v>_self</v>
      </c>
      <c r="P823" s="115">
        <f>LEN(Tableau1[[#This Row],[LABEL]])</f>
        <v>36</v>
      </c>
      <c r="Q823" s="115">
        <v>15</v>
      </c>
      <c r="R823" s="115" t="e">
        <f>ROUND(Tableau1[[#This Row],[LEN]]*#REF!+#REF!,0)</f>
        <v>#REF!</v>
      </c>
    </row>
    <row r="824" spans="1:18" s="97" customFormat="1" hidden="1" x14ac:dyDescent="0.25">
      <c r="A824" s="45" t="s">
        <v>1579</v>
      </c>
      <c r="B824" s="46" t="s">
        <v>1571</v>
      </c>
      <c r="C824" s="429" t="s">
        <v>2152</v>
      </c>
      <c r="D824" s="47" t="s">
        <v>1469</v>
      </c>
      <c r="E824" s="75" t="s">
        <v>1177</v>
      </c>
      <c r="F824" s="47" t="s">
        <v>675</v>
      </c>
      <c r="G824" s="47" t="s">
        <v>678</v>
      </c>
      <c r="H824" s="75" t="s">
        <v>68</v>
      </c>
      <c r="I824" s="75" t="s">
        <v>654</v>
      </c>
      <c r="J824" s="47"/>
      <c r="K824" s="48" t="s">
        <v>708</v>
      </c>
      <c r="L824" s="48" t="str">
        <f t="shared" si="34"/>
        <v>_</v>
      </c>
      <c r="M824" s="116">
        <f>ROUND(Tableau1[[#This Row],[LEN]]*7.27,0)</f>
        <v>291</v>
      </c>
      <c r="N824" s="116">
        <v>15</v>
      </c>
      <c r="O824" s="133" t="str">
        <f t="shared" si="35"/>
        <v>_self</v>
      </c>
      <c r="P824" s="116">
        <f>LEN(Tableau1[[#This Row],[LABEL]])</f>
        <v>40</v>
      </c>
      <c r="Q824" s="116">
        <v>15</v>
      </c>
      <c r="R824" s="116" t="e">
        <f>ROUND(Tableau1[[#This Row],[LEN]]*#REF!+#REF!,0)</f>
        <v>#REF!</v>
      </c>
    </row>
    <row r="825" spans="1:18" s="97" customFormat="1" hidden="1" x14ac:dyDescent="0.25">
      <c r="A825" s="45" t="s">
        <v>1580</v>
      </c>
      <c r="B825" s="46" t="s">
        <v>1571</v>
      </c>
      <c r="C825" s="429" t="s">
        <v>2152</v>
      </c>
      <c r="D825" s="47" t="s">
        <v>1470</v>
      </c>
      <c r="E825" s="75" t="s">
        <v>1177</v>
      </c>
      <c r="F825" s="47" t="s">
        <v>675</v>
      </c>
      <c r="G825" s="47" t="s">
        <v>678</v>
      </c>
      <c r="H825" s="75" t="s">
        <v>68</v>
      </c>
      <c r="I825" s="75" t="s">
        <v>656</v>
      </c>
      <c r="J825" s="47"/>
      <c r="K825" s="48" t="s">
        <v>708</v>
      </c>
      <c r="L825" s="48" t="str">
        <f t="shared" si="34"/>
        <v>_</v>
      </c>
      <c r="M825" s="116">
        <f>ROUND(Tableau1[[#This Row],[LEN]]*7.27,0)</f>
        <v>313</v>
      </c>
      <c r="N825" s="116">
        <v>15</v>
      </c>
      <c r="O825" s="133" t="str">
        <f t="shared" si="35"/>
        <v>_self</v>
      </c>
      <c r="P825" s="116">
        <f>LEN(Tableau1[[#This Row],[LABEL]])</f>
        <v>43</v>
      </c>
      <c r="Q825" s="116">
        <v>15</v>
      </c>
      <c r="R825" s="116" t="e">
        <f>ROUND(Tableau1[[#This Row],[LEN]]*#REF!+#REF!,0)</f>
        <v>#REF!</v>
      </c>
    </row>
    <row r="826" spans="1:18" s="97" customFormat="1" hidden="1" x14ac:dyDescent="0.25">
      <c r="A826" s="41" t="s">
        <v>1572</v>
      </c>
      <c r="B826" s="42" t="s">
        <v>297</v>
      </c>
      <c r="C826" s="429" t="s">
        <v>2152</v>
      </c>
      <c r="D826" s="43" t="s">
        <v>1462</v>
      </c>
      <c r="E826" s="74" t="s">
        <v>1177</v>
      </c>
      <c r="F826" s="43" t="s">
        <v>675</v>
      </c>
      <c r="G826" s="43" t="s">
        <v>679</v>
      </c>
      <c r="H826" s="74" t="s">
        <v>68</v>
      </c>
      <c r="I826" s="74" t="s">
        <v>656</v>
      </c>
      <c r="J826" s="43"/>
      <c r="K826" s="44" t="s">
        <v>708</v>
      </c>
      <c r="L826" s="44" t="str">
        <f t="shared" si="34"/>
        <v>_</v>
      </c>
      <c r="M826" s="115">
        <f>ROUND(Tableau1[[#This Row],[LEN]]*7.27,0)</f>
        <v>218</v>
      </c>
      <c r="N826" s="115">
        <v>15</v>
      </c>
      <c r="O826" s="132" t="str">
        <f t="shared" si="35"/>
        <v>_self</v>
      </c>
      <c r="P826" s="115">
        <f>LEN(Tableau1[[#This Row],[LABEL]])</f>
        <v>30</v>
      </c>
      <c r="Q826" s="115">
        <v>15</v>
      </c>
      <c r="R826" s="115" t="e">
        <f>ROUND(Tableau1[[#This Row],[LEN]]*#REF!+#REF!,0)</f>
        <v>#REF!</v>
      </c>
    </row>
    <row r="827" spans="1:18" s="273" customFormat="1" hidden="1" x14ac:dyDescent="0.25">
      <c r="A827" s="330" t="s">
        <v>298</v>
      </c>
      <c r="B827" s="331" t="s">
        <v>208</v>
      </c>
      <c r="C827" s="429" t="s">
        <v>2152</v>
      </c>
      <c r="D827" s="332" t="s">
        <v>71</v>
      </c>
      <c r="E827" s="333" t="s">
        <v>1177</v>
      </c>
      <c r="F827" s="332" t="s">
        <v>676</v>
      </c>
      <c r="G827" s="332" t="s">
        <v>1177</v>
      </c>
      <c r="H827" s="333" t="s">
        <v>68</v>
      </c>
      <c r="I827" s="333" t="str">
        <f>IFERROR(IF(SEARCH(".00.00.00.00.00",Tableau1[[#This Row],[name]],1)=7,"Division",""),"")</f>
        <v>Division</v>
      </c>
      <c r="J827" s="332"/>
      <c r="K827" s="334" t="s">
        <v>722</v>
      </c>
      <c r="L827" s="334" t="str">
        <f t="shared" si="34"/>
        <v>Documentation</v>
      </c>
      <c r="M827" s="335">
        <f>ROUND(Tableau1[[#This Row],[LEN]]*7.27,0)</f>
        <v>29</v>
      </c>
      <c r="N827" s="335">
        <v>15</v>
      </c>
      <c r="O827" s="336" t="str">
        <f t="shared" si="35"/>
        <v>_blank</v>
      </c>
      <c r="P827" s="335">
        <f>LEN(Tableau1[[#This Row],[LABEL]])</f>
        <v>4</v>
      </c>
      <c r="Q827" s="335">
        <v>15</v>
      </c>
      <c r="R827" s="335" t="e">
        <f>ROUND(Tableau1[[#This Row],[LEN]]*#REF!+#REF!,0)</f>
        <v>#REF!</v>
      </c>
    </row>
    <row r="828" spans="1:18" s="97" customFormat="1" hidden="1" x14ac:dyDescent="0.25">
      <c r="A828" s="41" t="s">
        <v>1581</v>
      </c>
      <c r="B828" s="42" t="s">
        <v>298</v>
      </c>
      <c r="C828" s="429" t="s">
        <v>2152</v>
      </c>
      <c r="D828" s="43" t="s">
        <v>1476</v>
      </c>
      <c r="E828" s="74" t="s">
        <v>1477</v>
      </c>
      <c r="F828" s="43" t="s">
        <v>676</v>
      </c>
      <c r="G828" s="43" t="s">
        <v>1177</v>
      </c>
      <c r="H828" s="74" t="s">
        <v>68</v>
      </c>
      <c r="I828" s="74" t="s">
        <v>656</v>
      </c>
      <c r="J828" s="43"/>
      <c r="K828" s="44" t="s">
        <v>708</v>
      </c>
      <c r="L828" s="44" t="str">
        <f t="shared" si="34"/>
        <v>_</v>
      </c>
      <c r="M828" s="115">
        <f>ROUND(Tableau1[[#This Row],[LEN]]*7.27,0)</f>
        <v>371</v>
      </c>
      <c r="N828" s="115">
        <v>15</v>
      </c>
      <c r="O828" s="132" t="str">
        <f t="shared" si="35"/>
        <v>_self</v>
      </c>
      <c r="P828" s="115">
        <f>LEN(Tableau1[[#This Row],[LABEL]])</f>
        <v>51</v>
      </c>
      <c r="Q828" s="115">
        <v>15</v>
      </c>
      <c r="R828" s="115" t="e">
        <f>ROUND(Tableau1[[#This Row],[LEN]]*#REF!+#REF!,0)</f>
        <v>#REF!</v>
      </c>
    </row>
    <row r="829" spans="1:18" s="97" customFormat="1" hidden="1" x14ac:dyDescent="0.25">
      <c r="A829" s="41" t="s">
        <v>1582</v>
      </c>
      <c r="B829" s="42" t="s">
        <v>298</v>
      </c>
      <c r="C829" s="429" t="s">
        <v>2152</v>
      </c>
      <c r="D829" s="43" t="s">
        <v>849</v>
      </c>
      <c r="E829" s="74" t="s">
        <v>1177</v>
      </c>
      <c r="F829" s="43" t="s">
        <v>667</v>
      </c>
      <c r="G829" s="43" t="s">
        <v>840</v>
      </c>
      <c r="H829" s="74" t="s">
        <v>68</v>
      </c>
      <c r="I829" s="74" t="s">
        <v>655</v>
      </c>
      <c r="J829" s="43"/>
      <c r="K829" s="44" t="s">
        <v>708</v>
      </c>
      <c r="L829" s="44" t="str">
        <f t="shared" si="34"/>
        <v>_</v>
      </c>
      <c r="M829" s="115">
        <f>ROUND(Tableau1[[#This Row],[LEN]]*7.27,0)</f>
        <v>80</v>
      </c>
      <c r="N829" s="115">
        <v>15</v>
      </c>
      <c r="O829" s="132" t="str">
        <f t="shared" si="35"/>
        <v>_self</v>
      </c>
      <c r="P829" s="115">
        <f>LEN(Tableau1[[#This Row],[LABEL]])</f>
        <v>11</v>
      </c>
      <c r="Q829" s="115">
        <v>15</v>
      </c>
      <c r="R829" s="115" t="e">
        <f>ROUND(Tableau1[[#This Row],[LEN]]*#REF!+#REF!,0)</f>
        <v>#REF!</v>
      </c>
    </row>
    <row r="830" spans="1:18" s="97" customFormat="1" hidden="1" x14ac:dyDescent="0.25">
      <c r="A830" s="45" t="s">
        <v>1587</v>
      </c>
      <c r="B830" s="46" t="s">
        <v>1582</v>
      </c>
      <c r="C830" s="429" t="s">
        <v>2152</v>
      </c>
      <c r="D830" s="47" t="s">
        <v>112</v>
      </c>
      <c r="E830" s="75" t="s">
        <v>1177</v>
      </c>
      <c r="F830" s="47" t="s">
        <v>667</v>
      </c>
      <c r="G830" s="47" t="s">
        <v>2006</v>
      </c>
      <c r="H830" s="75" t="s">
        <v>68</v>
      </c>
      <c r="I830" s="75" t="s">
        <v>654</v>
      </c>
      <c r="J830" s="47"/>
      <c r="K830" s="48" t="s">
        <v>708</v>
      </c>
      <c r="L830" s="48" t="str">
        <f t="shared" si="34"/>
        <v>_</v>
      </c>
      <c r="M830" s="116">
        <f>ROUND(Tableau1[[#This Row],[LEN]]*7.27,0)</f>
        <v>167</v>
      </c>
      <c r="N830" s="116">
        <v>15</v>
      </c>
      <c r="O830" s="133" t="str">
        <f t="shared" si="35"/>
        <v>_self</v>
      </c>
      <c r="P830" s="116">
        <f>LEN(Tableau1[[#This Row],[LABEL]])</f>
        <v>23</v>
      </c>
      <c r="Q830" s="116">
        <v>15</v>
      </c>
      <c r="R830" s="116" t="e">
        <f>ROUND(Tableau1[[#This Row],[LEN]]*#REF!+#REF!,0)</f>
        <v>#REF!</v>
      </c>
    </row>
    <row r="831" spans="1:18" s="97" customFormat="1" hidden="1" x14ac:dyDescent="0.25">
      <c r="A831" s="45" t="s">
        <v>1588</v>
      </c>
      <c r="B831" s="46" t="s">
        <v>1582</v>
      </c>
      <c r="C831" s="429" t="s">
        <v>2152</v>
      </c>
      <c r="D831" s="47" t="s">
        <v>113</v>
      </c>
      <c r="E831" s="75" t="s">
        <v>1177</v>
      </c>
      <c r="F831" s="47" t="s">
        <v>667</v>
      </c>
      <c r="G831" s="47" t="s">
        <v>2006</v>
      </c>
      <c r="H831" s="75" t="s">
        <v>68</v>
      </c>
      <c r="I831" s="75" t="s">
        <v>654</v>
      </c>
      <c r="J831" s="47"/>
      <c r="K831" s="48" t="s">
        <v>708</v>
      </c>
      <c r="L831" s="48" t="str">
        <f t="shared" si="34"/>
        <v>_</v>
      </c>
      <c r="M831" s="116">
        <f>ROUND(Tableau1[[#This Row],[LEN]]*7.27,0)</f>
        <v>233</v>
      </c>
      <c r="N831" s="116">
        <v>15</v>
      </c>
      <c r="O831" s="133" t="str">
        <f t="shared" si="35"/>
        <v>_self</v>
      </c>
      <c r="P831" s="116">
        <f>LEN(Tableau1[[#This Row],[LABEL]])</f>
        <v>32</v>
      </c>
      <c r="Q831" s="116">
        <v>15</v>
      </c>
      <c r="R831" s="116" t="e">
        <f>ROUND(Tableau1[[#This Row],[LEN]]*#REF!+#REF!,0)</f>
        <v>#REF!</v>
      </c>
    </row>
    <row r="832" spans="1:18" s="97" customFormat="1" hidden="1" x14ac:dyDescent="0.25">
      <c r="A832" s="41" t="s">
        <v>1583</v>
      </c>
      <c r="B832" s="42" t="s">
        <v>298</v>
      </c>
      <c r="C832" s="429" t="s">
        <v>2152</v>
      </c>
      <c r="D832" s="43" t="s">
        <v>1589</v>
      </c>
      <c r="E832" s="74" t="s">
        <v>1177</v>
      </c>
      <c r="F832" s="43" t="s">
        <v>676</v>
      </c>
      <c r="G832" s="43" t="s">
        <v>1177</v>
      </c>
      <c r="H832" s="74" t="s">
        <v>68</v>
      </c>
      <c r="I832" s="74" t="s">
        <v>656</v>
      </c>
      <c r="J832" s="43"/>
      <c r="K832" s="44" t="s">
        <v>708</v>
      </c>
      <c r="L832" s="44" t="str">
        <f t="shared" si="34"/>
        <v>_</v>
      </c>
      <c r="M832" s="115">
        <f>ROUND(Tableau1[[#This Row],[LEN]]*7.27,0)</f>
        <v>487</v>
      </c>
      <c r="N832" s="115">
        <v>15</v>
      </c>
      <c r="O832" s="132" t="str">
        <f t="shared" si="35"/>
        <v>_self</v>
      </c>
      <c r="P832" s="115">
        <f>LEN(Tableau1[[#This Row],[LABEL]])</f>
        <v>67</v>
      </c>
      <c r="Q832" s="115">
        <v>15</v>
      </c>
      <c r="R832" s="115" t="e">
        <f>ROUND(Tableau1[[#This Row],[LEN]]*#REF!+#REF!,0)</f>
        <v>#REF!</v>
      </c>
    </row>
    <row r="833" spans="1:18" s="97" customFormat="1" hidden="1" x14ac:dyDescent="0.25">
      <c r="A833" s="41" t="s">
        <v>1584</v>
      </c>
      <c r="B833" s="42" t="s">
        <v>298</v>
      </c>
      <c r="C833" s="429" t="s">
        <v>2152</v>
      </c>
      <c r="D833" s="43" t="s">
        <v>1590</v>
      </c>
      <c r="E833" s="74" t="s">
        <v>1177</v>
      </c>
      <c r="F833" s="43" t="s">
        <v>676</v>
      </c>
      <c r="G833" s="43" t="s">
        <v>1177</v>
      </c>
      <c r="H833" s="74" t="s">
        <v>68</v>
      </c>
      <c r="I833" s="74" t="s">
        <v>656</v>
      </c>
      <c r="J833" s="43"/>
      <c r="K833" s="44" t="s">
        <v>708</v>
      </c>
      <c r="L833" s="44" t="str">
        <f t="shared" si="34"/>
        <v>_</v>
      </c>
      <c r="M833" s="115">
        <f>ROUND(Tableau1[[#This Row],[LEN]]*7.27,0)</f>
        <v>364</v>
      </c>
      <c r="N833" s="115">
        <v>15</v>
      </c>
      <c r="O833" s="132" t="str">
        <f t="shared" si="35"/>
        <v>_self</v>
      </c>
      <c r="P833" s="115">
        <f>LEN(Tableau1[[#This Row],[LABEL]])</f>
        <v>50</v>
      </c>
      <c r="Q833" s="115">
        <v>15</v>
      </c>
      <c r="R833" s="115" t="e">
        <f>ROUND(Tableau1[[#This Row],[LEN]]*#REF!+#REF!,0)</f>
        <v>#REF!</v>
      </c>
    </row>
    <row r="834" spans="1:18" s="97" customFormat="1" hidden="1" x14ac:dyDescent="0.25">
      <c r="A834" s="41" t="s">
        <v>1585</v>
      </c>
      <c r="B834" s="42" t="s">
        <v>298</v>
      </c>
      <c r="C834" s="429" t="s">
        <v>2152</v>
      </c>
      <c r="D834" s="43" t="s">
        <v>1591</v>
      </c>
      <c r="E834" s="74" t="s">
        <v>1177</v>
      </c>
      <c r="F834" s="43" t="s">
        <v>676</v>
      </c>
      <c r="G834" s="43" t="s">
        <v>1177</v>
      </c>
      <c r="H834" s="74" t="s">
        <v>68</v>
      </c>
      <c r="I834" s="74" t="s">
        <v>656</v>
      </c>
      <c r="J834" s="43"/>
      <c r="K834" s="44" t="s">
        <v>708</v>
      </c>
      <c r="L834" s="44" t="str">
        <f t="shared" si="34"/>
        <v>_</v>
      </c>
      <c r="M834" s="115">
        <f>ROUND(Tableau1[[#This Row],[LEN]]*7.27,0)</f>
        <v>407</v>
      </c>
      <c r="N834" s="115">
        <v>15</v>
      </c>
      <c r="O834" s="132" t="str">
        <f t="shared" si="35"/>
        <v>_self</v>
      </c>
      <c r="P834" s="115">
        <f>LEN(Tableau1[[#This Row],[LABEL]])</f>
        <v>56</v>
      </c>
      <c r="Q834" s="115">
        <v>15</v>
      </c>
      <c r="R834" s="115" t="e">
        <f>ROUND(Tableau1[[#This Row],[LEN]]*#REF!+#REF!,0)</f>
        <v>#REF!</v>
      </c>
    </row>
    <row r="835" spans="1:18" s="273" customFormat="1" hidden="1" x14ac:dyDescent="0.25">
      <c r="A835" s="330" t="s">
        <v>299</v>
      </c>
      <c r="B835" s="331" t="s">
        <v>208</v>
      </c>
      <c r="C835" s="429" t="s">
        <v>2152</v>
      </c>
      <c r="D835" s="332" t="s">
        <v>13</v>
      </c>
      <c r="E835" s="333" t="s">
        <v>1177</v>
      </c>
      <c r="F835" s="332" t="s">
        <v>677</v>
      </c>
      <c r="G835" s="332" t="s">
        <v>1177</v>
      </c>
      <c r="H835" s="333" t="s">
        <v>68</v>
      </c>
      <c r="I835" s="333" t="str">
        <f>IFERROR(IF(SEARCH(".00.00.00.00.00",Tableau1[[#This Row],[name]],1)=7,"Division",""),"")</f>
        <v>Division</v>
      </c>
      <c r="J835" s="332"/>
      <c r="K835" s="334" t="s">
        <v>708</v>
      </c>
      <c r="L835" s="334" t="str">
        <f t="shared" si="34"/>
        <v>_</v>
      </c>
      <c r="M835" s="335">
        <f>ROUND(Tableau1[[#This Row],[LEN]]*7.27,0)</f>
        <v>80</v>
      </c>
      <c r="N835" s="335">
        <v>15</v>
      </c>
      <c r="O835" s="336" t="str">
        <f t="shared" si="35"/>
        <v>_self</v>
      </c>
      <c r="P835" s="335">
        <f>LEN(Tableau1[[#This Row],[LABEL]])</f>
        <v>11</v>
      </c>
      <c r="Q835" s="335">
        <v>15</v>
      </c>
      <c r="R835" s="335" t="e">
        <f>ROUND(Tableau1[[#This Row],[LEN]]*#REF!+#REF!,0)</f>
        <v>#REF!</v>
      </c>
    </row>
    <row r="836" spans="1:18" s="97" customFormat="1" hidden="1" x14ac:dyDescent="0.25">
      <c r="A836" s="41" t="s">
        <v>1592</v>
      </c>
      <c r="B836" s="42" t="s">
        <v>299</v>
      </c>
      <c r="C836" s="429" t="s">
        <v>2152</v>
      </c>
      <c r="D836" s="43" t="s">
        <v>1595</v>
      </c>
      <c r="E836" s="74" t="s">
        <v>1177</v>
      </c>
      <c r="F836" s="43" t="s">
        <v>677</v>
      </c>
      <c r="G836" s="43" t="s">
        <v>1177</v>
      </c>
      <c r="H836" s="74" t="s">
        <v>68</v>
      </c>
      <c r="I836" s="74" t="s">
        <v>654</v>
      </c>
      <c r="J836" s="43"/>
      <c r="K836" s="44" t="s">
        <v>708</v>
      </c>
      <c r="L836" s="44" t="str">
        <f t="shared" si="34"/>
        <v>_</v>
      </c>
      <c r="M836" s="115">
        <f>ROUND(Tableau1[[#This Row],[LEN]]*7.27,0)</f>
        <v>400</v>
      </c>
      <c r="N836" s="115">
        <v>15</v>
      </c>
      <c r="O836" s="132" t="str">
        <f t="shared" si="35"/>
        <v>_self</v>
      </c>
      <c r="P836" s="115">
        <f>LEN(Tableau1[[#This Row],[LABEL]])</f>
        <v>55</v>
      </c>
      <c r="Q836" s="115">
        <v>15</v>
      </c>
      <c r="R836" s="115" t="e">
        <f>ROUND(Tableau1[[#This Row],[LEN]]*#REF!+#REF!,0)</f>
        <v>#REF!</v>
      </c>
    </row>
    <row r="837" spans="1:18" s="97" customFormat="1" hidden="1" x14ac:dyDescent="0.25">
      <c r="A837" s="41" t="s">
        <v>1593</v>
      </c>
      <c r="B837" s="42" t="s">
        <v>299</v>
      </c>
      <c r="C837" s="429" t="s">
        <v>2152</v>
      </c>
      <c r="D837" s="43" t="s">
        <v>849</v>
      </c>
      <c r="E837" s="74" t="s">
        <v>1177</v>
      </c>
      <c r="F837" s="43" t="s">
        <v>667</v>
      </c>
      <c r="G837" s="43" t="s">
        <v>840</v>
      </c>
      <c r="H837" s="74" t="s">
        <v>68</v>
      </c>
      <c r="I837" s="74" t="s">
        <v>655</v>
      </c>
      <c r="J837" s="43"/>
      <c r="K837" s="44" t="s">
        <v>708</v>
      </c>
      <c r="L837" s="44" t="str">
        <f t="shared" si="34"/>
        <v>_</v>
      </c>
      <c r="M837" s="115">
        <f>ROUND(Tableau1[[#This Row],[LEN]]*7.27,0)</f>
        <v>80</v>
      </c>
      <c r="N837" s="115">
        <v>15</v>
      </c>
      <c r="O837" s="132" t="str">
        <f t="shared" si="35"/>
        <v>_self</v>
      </c>
      <c r="P837" s="115">
        <f>LEN(Tableau1[[#This Row],[LABEL]])</f>
        <v>11</v>
      </c>
      <c r="Q837" s="115">
        <v>15</v>
      </c>
      <c r="R837" s="115" t="e">
        <f>ROUND(Tableau1[[#This Row],[LEN]]*#REF!+#REF!,0)</f>
        <v>#REF!</v>
      </c>
    </row>
    <row r="838" spans="1:18" s="97" customFormat="1" hidden="1" x14ac:dyDescent="0.25">
      <c r="A838" s="45" t="s">
        <v>1597</v>
      </c>
      <c r="B838" s="46" t="s">
        <v>1593</v>
      </c>
      <c r="C838" s="429" t="s">
        <v>2152</v>
      </c>
      <c r="D838" s="47" t="s">
        <v>112</v>
      </c>
      <c r="E838" s="75" t="s">
        <v>1177</v>
      </c>
      <c r="F838" s="47" t="s">
        <v>667</v>
      </c>
      <c r="G838" s="47" t="s">
        <v>2006</v>
      </c>
      <c r="H838" s="75" t="s">
        <v>68</v>
      </c>
      <c r="I838" s="75" t="s">
        <v>654</v>
      </c>
      <c r="J838" s="47"/>
      <c r="K838" s="48" t="s">
        <v>708</v>
      </c>
      <c r="L838" s="48" t="str">
        <f t="shared" si="34"/>
        <v>_</v>
      </c>
      <c r="M838" s="116">
        <f>ROUND(Tableau1[[#This Row],[LEN]]*7.27,0)</f>
        <v>167</v>
      </c>
      <c r="N838" s="116">
        <v>15</v>
      </c>
      <c r="O838" s="133" t="str">
        <f t="shared" si="35"/>
        <v>_self</v>
      </c>
      <c r="P838" s="116">
        <f>LEN(Tableau1[[#This Row],[LABEL]])</f>
        <v>23</v>
      </c>
      <c r="Q838" s="116">
        <v>15</v>
      </c>
      <c r="R838" s="116" t="e">
        <f>ROUND(Tableau1[[#This Row],[LEN]]*#REF!+#REF!,0)</f>
        <v>#REF!</v>
      </c>
    </row>
    <row r="839" spans="1:18" s="97" customFormat="1" hidden="1" x14ac:dyDescent="0.25">
      <c r="A839" s="45" t="s">
        <v>1598</v>
      </c>
      <c r="B839" s="46" t="s">
        <v>1593</v>
      </c>
      <c r="C839" s="429" t="s">
        <v>2152</v>
      </c>
      <c r="D839" s="47" t="s">
        <v>113</v>
      </c>
      <c r="E839" s="75" t="s">
        <v>1177</v>
      </c>
      <c r="F839" s="47" t="s">
        <v>667</v>
      </c>
      <c r="G839" s="47" t="s">
        <v>2006</v>
      </c>
      <c r="H839" s="75" t="s">
        <v>68</v>
      </c>
      <c r="I839" s="75" t="s">
        <v>654</v>
      </c>
      <c r="J839" s="47"/>
      <c r="K839" s="48" t="s">
        <v>708</v>
      </c>
      <c r="L839" s="48" t="str">
        <f t="shared" si="34"/>
        <v>_</v>
      </c>
      <c r="M839" s="116">
        <f>ROUND(Tableau1[[#This Row],[LEN]]*7.27,0)</f>
        <v>233</v>
      </c>
      <c r="N839" s="116">
        <v>15</v>
      </c>
      <c r="O839" s="133" t="str">
        <f t="shared" si="35"/>
        <v>_self</v>
      </c>
      <c r="P839" s="116">
        <f>LEN(Tableau1[[#This Row],[LABEL]])</f>
        <v>32</v>
      </c>
      <c r="Q839" s="116">
        <v>15</v>
      </c>
      <c r="R839" s="116" t="e">
        <f>ROUND(Tableau1[[#This Row],[LEN]]*#REF!+#REF!,0)</f>
        <v>#REF!</v>
      </c>
    </row>
    <row r="840" spans="1:18" s="97" customFormat="1" x14ac:dyDescent="0.25">
      <c r="A840" s="41" t="s">
        <v>1594</v>
      </c>
      <c r="B840" s="42" t="s">
        <v>299</v>
      </c>
      <c r="C840" s="429" t="s">
        <v>2152</v>
      </c>
      <c r="D840" s="450" t="s">
        <v>1596</v>
      </c>
      <c r="E840" s="74" t="s">
        <v>1177</v>
      </c>
      <c r="F840" s="43" t="s">
        <v>672</v>
      </c>
      <c r="G840" s="43" t="s">
        <v>677</v>
      </c>
      <c r="H840" s="74" t="s">
        <v>68</v>
      </c>
      <c r="I840" s="74" t="s">
        <v>654</v>
      </c>
      <c r="J840" s="43"/>
      <c r="K840" s="44" t="s">
        <v>708</v>
      </c>
      <c r="L840" s="44" t="str">
        <f t="shared" si="34"/>
        <v>_</v>
      </c>
      <c r="M840" s="115">
        <f>ROUND(Tableau1[[#This Row],[LEN]]*7.27,0)</f>
        <v>342</v>
      </c>
      <c r="N840" s="115">
        <v>15</v>
      </c>
      <c r="O840" s="132" t="str">
        <f t="shared" si="35"/>
        <v>_self</v>
      </c>
      <c r="P840" s="115">
        <f>LEN(Tableau1[[#This Row],[LABEL]])</f>
        <v>47</v>
      </c>
      <c r="Q840" s="115">
        <v>15</v>
      </c>
      <c r="R840" s="115" t="e">
        <f>ROUND(Tableau1[[#This Row],[LEN]]*#REF!+#REF!,0)</f>
        <v>#REF!</v>
      </c>
    </row>
    <row r="841" spans="1:18" s="273" customFormat="1" hidden="1" x14ac:dyDescent="0.25">
      <c r="A841" s="330" t="s">
        <v>300</v>
      </c>
      <c r="B841" s="331" t="s">
        <v>208</v>
      </c>
      <c r="C841" s="429" t="s">
        <v>2152</v>
      </c>
      <c r="D841" s="332" t="s">
        <v>14</v>
      </c>
      <c r="E841" s="333" t="s">
        <v>1177</v>
      </c>
      <c r="F841" s="332" t="s">
        <v>678</v>
      </c>
      <c r="G841" s="332" t="s">
        <v>1177</v>
      </c>
      <c r="H841" s="333" t="s">
        <v>68</v>
      </c>
      <c r="I841" s="333" t="str">
        <f>IFERROR(IF(SEARCH(".00.00.00.00.00",Tableau1[[#This Row],[name]],1)=7,"Division",""),"")</f>
        <v>Division</v>
      </c>
      <c r="J841" s="332"/>
      <c r="K841" s="334" t="s">
        <v>724</v>
      </c>
      <c r="L841" s="334" t="str">
        <f t="shared" si="34"/>
        <v>Documentation</v>
      </c>
      <c r="M841" s="335">
        <f>ROUND(Tableau1[[#This Row],[LEN]]*7.27,0)</f>
        <v>240</v>
      </c>
      <c r="N841" s="335">
        <v>15</v>
      </c>
      <c r="O841" s="336" t="str">
        <f t="shared" si="35"/>
        <v>_blank</v>
      </c>
      <c r="P841" s="335">
        <f>LEN(Tableau1[[#This Row],[LABEL]])</f>
        <v>33</v>
      </c>
      <c r="Q841" s="335">
        <v>15</v>
      </c>
      <c r="R841" s="335" t="e">
        <f>ROUND(Tableau1[[#This Row],[LEN]]*#REF!+#REF!,0)</f>
        <v>#REF!</v>
      </c>
    </row>
    <row r="842" spans="1:18" s="97" customFormat="1" hidden="1" x14ac:dyDescent="0.25">
      <c r="A842" s="41" t="s">
        <v>1599</v>
      </c>
      <c r="B842" s="42" t="s">
        <v>300</v>
      </c>
      <c r="C842" s="429" t="s">
        <v>2152</v>
      </c>
      <c r="D842" s="43" t="s">
        <v>1611</v>
      </c>
      <c r="E842" s="74" t="s">
        <v>1177</v>
      </c>
      <c r="F842" s="43" t="s">
        <v>678</v>
      </c>
      <c r="G842" s="43" t="s">
        <v>1177</v>
      </c>
      <c r="H842" s="74" t="s">
        <v>68</v>
      </c>
      <c r="I842" s="74" t="s">
        <v>656</v>
      </c>
      <c r="J842" s="43"/>
      <c r="K842" s="44" t="s">
        <v>708</v>
      </c>
      <c r="L842" s="44" t="str">
        <f t="shared" si="34"/>
        <v>_</v>
      </c>
      <c r="M842" s="115">
        <f>ROUND(Tableau1[[#This Row],[LEN]]*7.27,0)</f>
        <v>334</v>
      </c>
      <c r="N842" s="115">
        <v>15</v>
      </c>
      <c r="O842" s="132" t="str">
        <f t="shared" si="35"/>
        <v>_self</v>
      </c>
      <c r="P842" s="115">
        <f>LEN(Tableau1[[#This Row],[LABEL]])</f>
        <v>46</v>
      </c>
      <c r="Q842" s="115">
        <v>15</v>
      </c>
      <c r="R842" s="115" t="e">
        <f>ROUND(Tableau1[[#This Row],[LEN]]*#REF!+#REF!,0)</f>
        <v>#REF!</v>
      </c>
    </row>
    <row r="843" spans="1:18" s="97" customFormat="1" hidden="1" x14ac:dyDescent="0.25">
      <c r="A843" s="41" t="s">
        <v>1600</v>
      </c>
      <c r="B843" s="42" t="s">
        <v>300</v>
      </c>
      <c r="C843" s="429" t="s">
        <v>2152</v>
      </c>
      <c r="D843" s="43" t="s">
        <v>1612</v>
      </c>
      <c r="E843" s="74" t="s">
        <v>1177</v>
      </c>
      <c r="F843" s="43" t="s">
        <v>678</v>
      </c>
      <c r="G843" s="43" t="s">
        <v>1177</v>
      </c>
      <c r="H843" s="74" t="s">
        <v>68</v>
      </c>
      <c r="I843" s="74" t="s">
        <v>656</v>
      </c>
      <c r="J843" s="43"/>
      <c r="K843" s="44" t="s">
        <v>708</v>
      </c>
      <c r="L843" s="44" t="str">
        <f t="shared" si="34"/>
        <v>_</v>
      </c>
      <c r="M843" s="115">
        <f>ROUND(Tableau1[[#This Row],[LEN]]*7.27,0)</f>
        <v>174</v>
      </c>
      <c r="N843" s="115">
        <v>15</v>
      </c>
      <c r="O843" s="132" t="str">
        <f t="shared" si="35"/>
        <v>_self</v>
      </c>
      <c r="P843" s="115">
        <f>LEN(Tableau1[[#This Row],[LABEL]])</f>
        <v>24</v>
      </c>
      <c r="Q843" s="115">
        <v>15</v>
      </c>
      <c r="R843" s="115" t="e">
        <f>ROUND(Tableau1[[#This Row],[LEN]]*#REF!+#REF!,0)</f>
        <v>#REF!</v>
      </c>
    </row>
    <row r="844" spans="1:18" s="97" customFormat="1" hidden="1" x14ac:dyDescent="0.25">
      <c r="A844" s="41" t="s">
        <v>1601</v>
      </c>
      <c r="B844" s="42" t="s">
        <v>300</v>
      </c>
      <c r="C844" s="429" t="s">
        <v>2152</v>
      </c>
      <c r="D844" s="43" t="s">
        <v>1613</v>
      </c>
      <c r="E844" s="74" t="s">
        <v>1177</v>
      </c>
      <c r="F844" s="43" t="s">
        <v>678</v>
      </c>
      <c r="G844" s="43" t="s">
        <v>1177</v>
      </c>
      <c r="H844" s="74" t="s">
        <v>68</v>
      </c>
      <c r="I844" s="74" t="s">
        <v>656</v>
      </c>
      <c r="J844" s="43"/>
      <c r="K844" s="44" t="s">
        <v>708</v>
      </c>
      <c r="L844" s="44" t="str">
        <f t="shared" si="34"/>
        <v>_</v>
      </c>
      <c r="M844" s="115">
        <f>ROUND(Tableau1[[#This Row],[LEN]]*7.27,0)</f>
        <v>160</v>
      </c>
      <c r="N844" s="115">
        <v>15</v>
      </c>
      <c r="O844" s="132" t="str">
        <f t="shared" si="35"/>
        <v>_self</v>
      </c>
      <c r="P844" s="115">
        <f>LEN(Tableau1[[#This Row],[LABEL]])</f>
        <v>22</v>
      </c>
      <c r="Q844" s="115">
        <v>15</v>
      </c>
      <c r="R844" s="115" t="e">
        <f>ROUND(Tableau1[[#This Row],[LEN]]*#REF!+#REF!,0)</f>
        <v>#REF!</v>
      </c>
    </row>
    <row r="845" spans="1:18" s="97" customFormat="1" hidden="1" x14ac:dyDescent="0.25">
      <c r="A845" s="41" t="s">
        <v>1602</v>
      </c>
      <c r="B845" s="42" t="s">
        <v>300</v>
      </c>
      <c r="C845" s="429" t="s">
        <v>2152</v>
      </c>
      <c r="D845" s="43" t="s">
        <v>1614</v>
      </c>
      <c r="E845" s="74" t="s">
        <v>1177</v>
      </c>
      <c r="F845" s="43" t="s">
        <v>678</v>
      </c>
      <c r="G845" s="43" t="s">
        <v>1177</v>
      </c>
      <c r="H845" s="74" t="s">
        <v>68</v>
      </c>
      <c r="I845" s="74" t="s">
        <v>656</v>
      </c>
      <c r="J845" s="43"/>
      <c r="K845" s="44" t="s">
        <v>708</v>
      </c>
      <c r="L845" s="44" t="str">
        <f t="shared" si="34"/>
        <v>_</v>
      </c>
      <c r="M845" s="115">
        <f>ROUND(Tableau1[[#This Row],[LEN]]*7.27,0)</f>
        <v>465</v>
      </c>
      <c r="N845" s="115">
        <v>15</v>
      </c>
      <c r="O845" s="132" t="str">
        <f t="shared" si="35"/>
        <v>_self</v>
      </c>
      <c r="P845" s="115">
        <f>LEN(Tableau1[[#This Row],[LABEL]])</f>
        <v>64</v>
      </c>
      <c r="Q845" s="115">
        <v>15</v>
      </c>
      <c r="R845" s="115" t="e">
        <f>ROUND(Tableau1[[#This Row],[LEN]]*#REF!+#REF!,0)</f>
        <v>#REF!</v>
      </c>
    </row>
    <row r="846" spans="1:18" s="97" customFormat="1" hidden="1" x14ac:dyDescent="0.25">
      <c r="A846" s="41" t="s">
        <v>1603</v>
      </c>
      <c r="B846" s="42" t="s">
        <v>300</v>
      </c>
      <c r="C846" s="429" t="s">
        <v>2152</v>
      </c>
      <c r="D846" s="43" t="s">
        <v>1615</v>
      </c>
      <c r="E846" s="74" t="s">
        <v>1177</v>
      </c>
      <c r="F846" s="43" t="s">
        <v>678</v>
      </c>
      <c r="G846" s="43" t="s">
        <v>1177</v>
      </c>
      <c r="H846" s="74" t="s">
        <v>68</v>
      </c>
      <c r="I846" s="74" t="s">
        <v>656</v>
      </c>
      <c r="J846" s="43"/>
      <c r="K846" s="44" t="s">
        <v>708</v>
      </c>
      <c r="L846" s="44" t="str">
        <f t="shared" si="34"/>
        <v>_</v>
      </c>
      <c r="M846" s="115">
        <f>ROUND(Tableau1[[#This Row],[LEN]]*7.27,0)</f>
        <v>291</v>
      </c>
      <c r="N846" s="115">
        <v>15</v>
      </c>
      <c r="O846" s="132" t="str">
        <f t="shared" si="35"/>
        <v>_self</v>
      </c>
      <c r="P846" s="115">
        <f>LEN(Tableau1[[#This Row],[LABEL]])</f>
        <v>40</v>
      </c>
      <c r="Q846" s="115">
        <v>15</v>
      </c>
      <c r="R846" s="115" t="e">
        <f>ROUND(Tableau1[[#This Row],[LEN]]*#REF!+#REF!,0)</f>
        <v>#REF!</v>
      </c>
    </row>
    <row r="847" spans="1:18" s="97" customFormat="1" hidden="1" x14ac:dyDescent="0.25">
      <c r="A847" s="41" t="s">
        <v>1604</v>
      </c>
      <c r="B847" s="42" t="s">
        <v>300</v>
      </c>
      <c r="C847" s="429" t="s">
        <v>2152</v>
      </c>
      <c r="D847" s="43" t="s">
        <v>849</v>
      </c>
      <c r="E847" s="74" t="s">
        <v>1177</v>
      </c>
      <c r="F847" s="43" t="s">
        <v>667</v>
      </c>
      <c r="G847" s="43" t="s">
        <v>840</v>
      </c>
      <c r="H847" s="74" t="s">
        <v>68</v>
      </c>
      <c r="I847" s="74" t="s">
        <v>655</v>
      </c>
      <c r="J847" s="43"/>
      <c r="K847" s="44" t="s">
        <v>708</v>
      </c>
      <c r="L847" s="44" t="str">
        <f t="shared" si="34"/>
        <v>_</v>
      </c>
      <c r="M847" s="115">
        <f>ROUND(Tableau1[[#This Row],[LEN]]*7.27,0)</f>
        <v>80</v>
      </c>
      <c r="N847" s="115">
        <v>15</v>
      </c>
      <c r="O847" s="132" t="str">
        <f t="shared" si="35"/>
        <v>_self</v>
      </c>
      <c r="P847" s="115">
        <f>LEN(Tableau1[[#This Row],[LABEL]])</f>
        <v>11</v>
      </c>
      <c r="Q847" s="115">
        <v>15</v>
      </c>
      <c r="R847" s="115" t="e">
        <f>ROUND(Tableau1[[#This Row],[LEN]]*#REF!+#REF!,0)</f>
        <v>#REF!</v>
      </c>
    </row>
    <row r="848" spans="1:18" s="97" customFormat="1" hidden="1" x14ac:dyDescent="0.25">
      <c r="A848" s="45" t="s">
        <v>1616</v>
      </c>
      <c r="B848" s="46" t="s">
        <v>1604</v>
      </c>
      <c r="C848" s="429" t="s">
        <v>2152</v>
      </c>
      <c r="D848" s="47" t="s">
        <v>112</v>
      </c>
      <c r="E848" s="75" t="s">
        <v>1177</v>
      </c>
      <c r="F848" s="47" t="s">
        <v>667</v>
      </c>
      <c r="G848" s="47" t="s">
        <v>2006</v>
      </c>
      <c r="H848" s="75" t="s">
        <v>68</v>
      </c>
      <c r="I848" s="75" t="s">
        <v>654</v>
      </c>
      <c r="J848" s="47"/>
      <c r="K848" s="48" t="s">
        <v>708</v>
      </c>
      <c r="L848" s="48" t="str">
        <f t="shared" si="34"/>
        <v>_</v>
      </c>
      <c r="M848" s="116">
        <f>ROUND(Tableau1[[#This Row],[LEN]]*7.27,0)</f>
        <v>167</v>
      </c>
      <c r="N848" s="116">
        <v>15</v>
      </c>
      <c r="O848" s="133" t="str">
        <f t="shared" si="35"/>
        <v>_self</v>
      </c>
      <c r="P848" s="116">
        <f>LEN(Tableau1[[#This Row],[LABEL]])</f>
        <v>23</v>
      </c>
      <c r="Q848" s="116">
        <v>15</v>
      </c>
      <c r="R848" s="116" t="e">
        <f>ROUND(Tableau1[[#This Row],[LEN]]*#REF!+#REF!,0)</f>
        <v>#REF!</v>
      </c>
    </row>
    <row r="849" spans="1:18" s="97" customFormat="1" hidden="1" x14ac:dyDescent="0.25">
      <c r="A849" s="45" t="s">
        <v>1617</v>
      </c>
      <c r="B849" s="46" t="s">
        <v>1604</v>
      </c>
      <c r="C849" s="429" t="s">
        <v>2152</v>
      </c>
      <c r="D849" s="47" t="s">
        <v>113</v>
      </c>
      <c r="E849" s="75" t="s">
        <v>1177</v>
      </c>
      <c r="F849" s="47" t="s">
        <v>667</v>
      </c>
      <c r="G849" s="47" t="s">
        <v>2006</v>
      </c>
      <c r="H849" s="75" t="s">
        <v>68</v>
      </c>
      <c r="I849" s="75" t="s">
        <v>654</v>
      </c>
      <c r="J849" s="47"/>
      <c r="K849" s="48" t="s">
        <v>708</v>
      </c>
      <c r="L849" s="48" t="str">
        <f t="shared" si="34"/>
        <v>_</v>
      </c>
      <c r="M849" s="116">
        <f>ROUND(Tableau1[[#This Row],[LEN]]*7.27,0)</f>
        <v>233</v>
      </c>
      <c r="N849" s="116">
        <v>15</v>
      </c>
      <c r="O849" s="133" t="str">
        <f t="shared" si="35"/>
        <v>_self</v>
      </c>
      <c r="P849" s="116">
        <f>LEN(Tableau1[[#This Row],[LABEL]])</f>
        <v>32</v>
      </c>
      <c r="Q849" s="116">
        <v>15</v>
      </c>
      <c r="R849" s="116" t="e">
        <f>ROUND(Tableau1[[#This Row],[LEN]]*#REF!+#REF!,0)</f>
        <v>#REF!</v>
      </c>
    </row>
    <row r="850" spans="1:18" s="97" customFormat="1" hidden="1" x14ac:dyDescent="0.25">
      <c r="A850" s="41" t="s">
        <v>1605</v>
      </c>
      <c r="B850" s="42" t="s">
        <v>300</v>
      </c>
      <c r="C850" s="429" t="s">
        <v>2152</v>
      </c>
      <c r="D850" s="43" t="s">
        <v>1618</v>
      </c>
      <c r="E850" s="74" t="s">
        <v>1177</v>
      </c>
      <c r="F850" s="43" t="s">
        <v>669</v>
      </c>
      <c r="G850" s="43" t="s">
        <v>678</v>
      </c>
      <c r="H850" s="74" t="s">
        <v>68</v>
      </c>
      <c r="I850" s="74" t="s">
        <v>656</v>
      </c>
      <c r="J850" s="43"/>
      <c r="K850" s="44" t="s">
        <v>708</v>
      </c>
      <c r="L850" s="44" t="str">
        <f t="shared" si="34"/>
        <v>_</v>
      </c>
      <c r="M850" s="115">
        <f>ROUND(Tableau1[[#This Row],[LEN]]*7.27,0)</f>
        <v>225</v>
      </c>
      <c r="N850" s="115">
        <v>15</v>
      </c>
      <c r="O850" s="132" t="str">
        <f t="shared" si="35"/>
        <v>_self</v>
      </c>
      <c r="P850" s="115">
        <f>LEN(Tableau1[[#This Row],[LABEL]])</f>
        <v>31</v>
      </c>
      <c r="Q850" s="115">
        <v>15</v>
      </c>
      <c r="R850" s="115" t="e">
        <f>ROUND(Tableau1[[#This Row],[LEN]]*#REF!+#REF!,0)</f>
        <v>#REF!</v>
      </c>
    </row>
    <row r="851" spans="1:18" s="97" customFormat="1" hidden="1" x14ac:dyDescent="0.25">
      <c r="A851" s="41" t="s">
        <v>1606</v>
      </c>
      <c r="B851" s="42" t="s">
        <v>300</v>
      </c>
      <c r="C851" s="429" t="s">
        <v>2152</v>
      </c>
      <c r="D851" s="43" t="s">
        <v>1620</v>
      </c>
      <c r="E851" s="74" t="s">
        <v>1177</v>
      </c>
      <c r="F851" s="43" t="s">
        <v>675</v>
      </c>
      <c r="G851" s="43" t="s">
        <v>678</v>
      </c>
      <c r="H851" s="74" t="s">
        <v>68</v>
      </c>
      <c r="I851" s="74" t="s">
        <v>654</v>
      </c>
      <c r="J851" s="43"/>
      <c r="K851" s="44" t="s">
        <v>708</v>
      </c>
      <c r="L851" s="44" t="str">
        <f t="shared" si="34"/>
        <v>_</v>
      </c>
      <c r="M851" s="115">
        <f>ROUND(Tableau1[[#This Row],[LEN]]*7.27,0)</f>
        <v>262</v>
      </c>
      <c r="N851" s="115">
        <v>15</v>
      </c>
      <c r="O851" s="132" t="str">
        <f t="shared" si="35"/>
        <v>_self</v>
      </c>
      <c r="P851" s="115">
        <f>LEN(Tableau1[[#This Row],[LABEL]])</f>
        <v>36</v>
      </c>
      <c r="Q851" s="115">
        <v>15</v>
      </c>
      <c r="R851" s="115" t="e">
        <f>ROUND(Tableau1[[#This Row],[LEN]]*#REF!+#REF!,0)</f>
        <v>#REF!</v>
      </c>
    </row>
    <row r="852" spans="1:18" s="97" customFormat="1" hidden="1" x14ac:dyDescent="0.25">
      <c r="A852" s="41" t="s">
        <v>1607</v>
      </c>
      <c r="B852" s="42" t="s">
        <v>300</v>
      </c>
      <c r="C852" s="429" t="s">
        <v>2152</v>
      </c>
      <c r="D852" s="43" t="s">
        <v>1622</v>
      </c>
      <c r="E852" s="74" t="s">
        <v>1177</v>
      </c>
      <c r="F852" s="43" t="s">
        <v>678</v>
      </c>
      <c r="G852" s="43" t="s">
        <v>1177</v>
      </c>
      <c r="H852" s="74" t="s">
        <v>68</v>
      </c>
      <c r="I852" s="74" t="s">
        <v>654</v>
      </c>
      <c r="J852" s="43"/>
      <c r="K852" s="44" t="s">
        <v>708</v>
      </c>
      <c r="L852" s="44" t="str">
        <f t="shared" si="34"/>
        <v>_</v>
      </c>
      <c r="M852" s="115">
        <f>ROUND(Tableau1[[#This Row],[LEN]]*7.27,0)</f>
        <v>465</v>
      </c>
      <c r="N852" s="115">
        <v>15</v>
      </c>
      <c r="O852" s="132" t="str">
        <f t="shared" si="35"/>
        <v>_self</v>
      </c>
      <c r="P852" s="115">
        <f>LEN(Tableau1[[#This Row],[LABEL]])</f>
        <v>64</v>
      </c>
      <c r="Q852" s="115">
        <v>15</v>
      </c>
      <c r="R852" s="115" t="e">
        <f>ROUND(Tableau1[[#This Row],[LEN]]*#REF!+#REF!,0)</f>
        <v>#REF!</v>
      </c>
    </row>
    <row r="853" spans="1:18" s="97" customFormat="1" hidden="1" x14ac:dyDescent="0.25">
      <c r="A853" s="41" t="s">
        <v>1608</v>
      </c>
      <c r="B853" s="42" t="s">
        <v>300</v>
      </c>
      <c r="C853" s="429" t="s">
        <v>2152</v>
      </c>
      <c r="D853" s="43" t="s">
        <v>1372</v>
      </c>
      <c r="E853" s="74" t="s">
        <v>1177</v>
      </c>
      <c r="F853" s="43" t="s">
        <v>678</v>
      </c>
      <c r="G853" s="43" t="s">
        <v>1177</v>
      </c>
      <c r="H853" s="74" t="s">
        <v>68</v>
      </c>
      <c r="I853" s="74" t="s">
        <v>655</v>
      </c>
      <c r="J853" s="43"/>
      <c r="K853" s="44" t="s">
        <v>708</v>
      </c>
      <c r="L853" s="44" t="str">
        <f t="shared" si="34"/>
        <v>_</v>
      </c>
      <c r="M853" s="115">
        <f>ROUND(Tableau1[[#This Row],[LEN]]*7.27,0)</f>
        <v>80</v>
      </c>
      <c r="N853" s="115">
        <v>15</v>
      </c>
      <c r="O853" s="132" t="str">
        <f t="shared" si="35"/>
        <v>_self</v>
      </c>
      <c r="P853" s="115">
        <f>LEN(Tableau1[[#This Row],[LABEL]])</f>
        <v>11</v>
      </c>
      <c r="Q853" s="115">
        <v>15</v>
      </c>
      <c r="R853" s="115" t="e">
        <f>ROUND(Tableau1[[#This Row],[LEN]]*#REF!+#REF!,0)</f>
        <v>#REF!</v>
      </c>
    </row>
    <row r="854" spans="1:18" s="97" customFormat="1" hidden="1" x14ac:dyDescent="0.25">
      <c r="A854" s="45" t="s">
        <v>1623</v>
      </c>
      <c r="B854" s="46" t="s">
        <v>1608</v>
      </c>
      <c r="C854" s="429" t="s">
        <v>2152</v>
      </c>
      <c r="D854" s="47" t="s">
        <v>1625</v>
      </c>
      <c r="E854" s="75" t="s">
        <v>1177</v>
      </c>
      <c r="F854" s="47" t="s">
        <v>678</v>
      </c>
      <c r="G854" s="47" t="s">
        <v>1177</v>
      </c>
      <c r="H854" s="75" t="s">
        <v>68</v>
      </c>
      <c r="I854" s="75" t="s">
        <v>654</v>
      </c>
      <c r="J854" s="47"/>
      <c r="K854" s="48" t="s">
        <v>708</v>
      </c>
      <c r="L854" s="48" t="str">
        <f t="shared" si="34"/>
        <v>_</v>
      </c>
      <c r="M854" s="116">
        <f>ROUND(Tableau1[[#This Row],[LEN]]*7.27,0)</f>
        <v>109</v>
      </c>
      <c r="N854" s="116">
        <v>15</v>
      </c>
      <c r="O854" s="133" t="str">
        <f t="shared" si="35"/>
        <v>_self</v>
      </c>
      <c r="P854" s="116">
        <f>LEN(Tableau1[[#This Row],[LABEL]])</f>
        <v>15</v>
      </c>
      <c r="Q854" s="116">
        <v>15</v>
      </c>
      <c r="R854" s="116" t="e">
        <f>ROUND(Tableau1[[#This Row],[LEN]]*#REF!+#REF!,0)</f>
        <v>#REF!</v>
      </c>
    </row>
    <row r="855" spans="1:18" s="97" customFormat="1" hidden="1" x14ac:dyDescent="0.25">
      <c r="A855" s="45" t="s">
        <v>1624</v>
      </c>
      <c r="B855" s="46" t="s">
        <v>1608</v>
      </c>
      <c r="C855" s="429" t="s">
        <v>2152</v>
      </c>
      <c r="D855" s="47" t="s">
        <v>1626</v>
      </c>
      <c r="E855" s="75" t="s">
        <v>1177</v>
      </c>
      <c r="F855" s="47" t="s">
        <v>678</v>
      </c>
      <c r="G855" s="47" t="s">
        <v>1177</v>
      </c>
      <c r="H855" s="75" t="s">
        <v>68</v>
      </c>
      <c r="I855" s="75" t="s">
        <v>654</v>
      </c>
      <c r="J855" s="47"/>
      <c r="K855" s="48" t="s">
        <v>708</v>
      </c>
      <c r="L855" s="48" t="str">
        <f t="shared" si="34"/>
        <v>_</v>
      </c>
      <c r="M855" s="116">
        <f>ROUND(Tableau1[[#This Row],[LEN]]*7.27,0)</f>
        <v>124</v>
      </c>
      <c r="N855" s="116">
        <v>15</v>
      </c>
      <c r="O855" s="133" t="str">
        <f t="shared" si="35"/>
        <v>_self</v>
      </c>
      <c r="P855" s="116">
        <f>LEN(Tableau1[[#This Row],[LABEL]])</f>
        <v>17</v>
      </c>
      <c r="Q855" s="116">
        <v>15</v>
      </c>
      <c r="R855" s="116" t="e">
        <f>ROUND(Tableau1[[#This Row],[LEN]]*#REF!+#REF!,0)</f>
        <v>#REF!</v>
      </c>
    </row>
    <row r="856" spans="1:18" s="97" customFormat="1" hidden="1" x14ac:dyDescent="0.25">
      <c r="A856" s="41" t="s">
        <v>1609</v>
      </c>
      <c r="B856" s="42" t="s">
        <v>300</v>
      </c>
      <c r="C856" s="429" t="s">
        <v>2152</v>
      </c>
      <c r="D856" s="43" t="s">
        <v>1627</v>
      </c>
      <c r="E856" s="74" t="s">
        <v>1177</v>
      </c>
      <c r="F856" s="43" t="s">
        <v>678</v>
      </c>
      <c r="G856" s="43" t="s">
        <v>1177</v>
      </c>
      <c r="H856" s="74" t="s">
        <v>68</v>
      </c>
      <c r="I856" s="74" t="s">
        <v>654</v>
      </c>
      <c r="J856" s="43"/>
      <c r="K856" s="44" t="s">
        <v>708</v>
      </c>
      <c r="L856" s="44" t="str">
        <f t="shared" si="34"/>
        <v>_</v>
      </c>
      <c r="M856" s="115">
        <f>ROUND(Tableau1[[#This Row],[LEN]]*7.27,0)</f>
        <v>334</v>
      </c>
      <c r="N856" s="115">
        <v>15</v>
      </c>
      <c r="O856" s="132" t="str">
        <f t="shared" si="35"/>
        <v>_self</v>
      </c>
      <c r="P856" s="115">
        <f>LEN(Tableau1[[#This Row],[LABEL]])</f>
        <v>46</v>
      </c>
      <c r="Q856" s="115">
        <v>15</v>
      </c>
      <c r="R856" s="115" t="e">
        <f>ROUND(Tableau1[[#This Row],[LEN]]*#REF!+#REF!,0)</f>
        <v>#REF!</v>
      </c>
    </row>
    <row r="857" spans="1:18" s="97" customFormat="1" hidden="1" x14ac:dyDescent="0.25">
      <c r="A857" s="41" t="s">
        <v>1610</v>
      </c>
      <c r="B857" s="42" t="s">
        <v>300</v>
      </c>
      <c r="C857" s="429" t="s">
        <v>2152</v>
      </c>
      <c r="D857" s="43" t="s">
        <v>1628</v>
      </c>
      <c r="E857" s="74" t="s">
        <v>1177</v>
      </c>
      <c r="F857" s="43" t="s">
        <v>678</v>
      </c>
      <c r="G857" s="43" t="s">
        <v>1177</v>
      </c>
      <c r="H857" s="74" t="s">
        <v>68</v>
      </c>
      <c r="I857" s="74" t="s">
        <v>655</v>
      </c>
      <c r="J857" s="43"/>
      <c r="K857" s="44" t="s">
        <v>708</v>
      </c>
      <c r="L857" s="44" t="str">
        <f t="shared" si="34"/>
        <v>_</v>
      </c>
      <c r="M857" s="115">
        <f>ROUND(Tableau1[[#This Row],[LEN]]*7.27,0)</f>
        <v>225</v>
      </c>
      <c r="N857" s="115">
        <v>15</v>
      </c>
      <c r="O857" s="132" t="str">
        <f t="shared" si="35"/>
        <v>_self</v>
      </c>
      <c r="P857" s="115">
        <f>LEN(Tableau1[[#This Row],[LABEL]])</f>
        <v>31</v>
      </c>
      <c r="Q857" s="115">
        <v>15</v>
      </c>
      <c r="R857" s="115" t="e">
        <f>ROUND(Tableau1[[#This Row],[LEN]]*#REF!+#REF!,0)</f>
        <v>#REF!</v>
      </c>
    </row>
    <row r="858" spans="1:18" s="97" customFormat="1" hidden="1" x14ac:dyDescent="0.25">
      <c r="A858" s="45" t="s">
        <v>1629</v>
      </c>
      <c r="B858" s="46" t="s">
        <v>1610</v>
      </c>
      <c r="C858" s="429" t="s">
        <v>2152</v>
      </c>
      <c r="D858" s="47" t="s">
        <v>1633</v>
      </c>
      <c r="E858" s="75" t="s">
        <v>1177</v>
      </c>
      <c r="F858" s="47" t="s">
        <v>678</v>
      </c>
      <c r="G858" s="47" t="s">
        <v>1177</v>
      </c>
      <c r="H858" s="75" t="s">
        <v>68</v>
      </c>
      <c r="I858" s="75" t="s">
        <v>656</v>
      </c>
      <c r="J858" s="47"/>
      <c r="K858" s="48" t="s">
        <v>708</v>
      </c>
      <c r="L858" s="48" t="str">
        <f t="shared" si="34"/>
        <v>_</v>
      </c>
      <c r="M858" s="116">
        <f>ROUND(Tableau1[[#This Row],[LEN]]*7.27,0)</f>
        <v>22</v>
      </c>
      <c r="N858" s="116">
        <v>15</v>
      </c>
      <c r="O858" s="133" t="str">
        <f t="shared" si="35"/>
        <v>_self</v>
      </c>
      <c r="P858" s="116">
        <f>LEN(Tableau1[[#This Row],[LABEL]])</f>
        <v>3</v>
      </c>
      <c r="Q858" s="116">
        <v>15</v>
      </c>
      <c r="R858" s="116" t="e">
        <f>ROUND(Tableau1[[#This Row],[LEN]]*#REF!+#REF!,0)</f>
        <v>#REF!</v>
      </c>
    </row>
    <row r="859" spans="1:18" s="97" customFormat="1" hidden="1" x14ac:dyDescent="0.25">
      <c r="A859" s="45" t="s">
        <v>1630</v>
      </c>
      <c r="B859" s="46" t="s">
        <v>1610</v>
      </c>
      <c r="C859" s="429" t="s">
        <v>2152</v>
      </c>
      <c r="D859" s="47" t="s">
        <v>1634</v>
      </c>
      <c r="E859" s="75" t="s">
        <v>1177</v>
      </c>
      <c r="F859" s="47" t="s">
        <v>678</v>
      </c>
      <c r="G859" s="47" t="s">
        <v>1177</v>
      </c>
      <c r="H859" s="75" t="s">
        <v>68</v>
      </c>
      <c r="I859" s="75" t="s">
        <v>656</v>
      </c>
      <c r="J859" s="47"/>
      <c r="K859" s="48" t="s">
        <v>708</v>
      </c>
      <c r="L859" s="48" t="str">
        <f t="shared" si="34"/>
        <v>_</v>
      </c>
      <c r="M859" s="116">
        <f>ROUND(Tableau1[[#This Row],[LEN]]*7.27,0)</f>
        <v>80</v>
      </c>
      <c r="N859" s="116">
        <v>15</v>
      </c>
      <c r="O859" s="133" t="str">
        <f t="shared" si="35"/>
        <v>_self</v>
      </c>
      <c r="P859" s="116">
        <f>LEN(Tableau1[[#This Row],[LABEL]])</f>
        <v>11</v>
      </c>
      <c r="Q859" s="116">
        <v>15</v>
      </c>
      <c r="R859" s="116" t="e">
        <f>ROUND(Tableau1[[#This Row],[LEN]]*#REF!+#REF!,0)</f>
        <v>#REF!</v>
      </c>
    </row>
    <row r="860" spans="1:18" s="97" customFormat="1" hidden="1" x14ac:dyDescent="0.25">
      <c r="A860" s="45" t="s">
        <v>1631</v>
      </c>
      <c r="B860" s="46" t="s">
        <v>1610</v>
      </c>
      <c r="C860" s="429" t="s">
        <v>2152</v>
      </c>
      <c r="D860" s="47" t="s">
        <v>1635</v>
      </c>
      <c r="E860" s="75" t="s">
        <v>1177</v>
      </c>
      <c r="F860" s="47" t="s">
        <v>678</v>
      </c>
      <c r="G860" s="47" t="s">
        <v>1177</v>
      </c>
      <c r="H860" s="75" t="s">
        <v>68</v>
      </c>
      <c r="I860" s="75" t="s">
        <v>656</v>
      </c>
      <c r="J860" s="47"/>
      <c r="K860" s="48" t="s">
        <v>708</v>
      </c>
      <c r="L860" s="48" t="str">
        <f t="shared" si="34"/>
        <v>_</v>
      </c>
      <c r="M860" s="116">
        <f>ROUND(Tableau1[[#This Row],[LEN]]*7.27,0)</f>
        <v>131</v>
      </c>
      <c r="N860" s="116">
        <v>15</v>
      </c>
      <c r="O860" s="133" t="str">
        <f t="shared" si="35"/>
        <v>_self</v>
      </c>
      <c r="P860" s="116">
        <f>LEN(Tableau1[[#This Row],[LABEL]])</f>
        <v>18</v>
      </c>
      <c r="Q860" s="116">
        <v>15</v>
      </c>
      <c r="R860" s="116" t="e">
        <f>ROUND(Tableau1[[#This Row],[LEN]]*#REF!+#REF!,0)</f>
        <v>#REF!</v>
      </c>
    </row>
    <row r="861" spans="1:18" s="97" customFormat="1" hidden="1" x14ac:dyDescent="0.25">
      <c r="A861" s="45" t="s">
        <v>1632</v>
      </c>
      <c r="B861" s="46" t="s">
        <v>1610</v>
      </c>
      <c r="C861" s="429" t="s">
        <v>2152</v>
      </c>
      <c r="D861" s="47" t="s">
        <v>1636</v>
      </c>
      <c r="E861" s="75" t="s">
        <v>1177</v>
      </c>
      <c r="F861" s="47" t="s">
        <v>678</v>
      </c>
      <c r="G861" s="47" t="s">
        <v>1177</v>
      </c>
      <c r="H861" s="75" t="s">
        <v>68</v>
      </c>
      <c r="I861" s="75" t="s">
        <v>656</v>
      </c>
      <c r="J861" s="47"/>
      <c r="K861" s="48" t="s">
        <v>708</v>
      </c>
      <c r="L861" s="48" t="str">
        <f t="shared" si="34"/>
        <v>_</v>
      </c>
      <c r="M861" s="116">
        <f>ROUND(Tableau1[[#This Row],[LEN]]*7.27,0)</f>
        <v>95</v>
      </c>
      <c r="N861" s="116">
        <v>15</v>
      </c>
      <c r="O861" s="133" t="str">
        <f t="shared" si="35"/>
        <v>_self</v>
      </c>
      <c r="P861" s="116">
        <f>LEN(Tableau1[[#This Row],[LABEL]])</f>
        <v>13</v>
      </c>
      <c r="Q861" s="116">
        <v>15</v>
      </c>
      <c r="R861" s="116" t="e">
        <f>ROUND(Tableau1[[#This Row],[LEN]]*#REF!+#REF!,0)</f>
        <v>#REF!</v>
      </c>
    </row>
    <row r="862" spans="1:18" s="273" customFormat="1" hidden="1" x14ac:dyDescent="0.25">
      <c r="A862" s="337" t="s">
        <v>301</v>
      </c>
      <c r="B862" s="338" t="s">
        <v>208</v>
      </c>
      <c r="C862" s="429" t="s">
        <v>2152</v>
      </c>
      <c r="D862" s="339" t="s">
        <v>15</v>
      </c>
      <c r="E862" s="340" t="s">
        <v>1177</v>
      </c>
      <c r="F862" s="339" t="s">
        <v>679</v>
      </c>
      <c r="G862" s="339" t="s">
        <v>1177</v>
      </c>
      <c r="H862" s="340" t="s">
        <v>68</v>
      </c>
      <c r="I862" s="340" t="str">
        <f>IFERROR(IF(SEARCH(".00.00.00.00.00",Tableau1[[#This Row],[name]],1)=7,"Division",""),"")</f>
        <v>Division</v>
      </c>
      <c r="J862" s="339"/>
      <c r="K862" s="341" t="s">
        <v>708</v>
      </c>
      <c r="L862" s="341" t="str">
        <f t="shared" si="34"/>
        <v>_</v>
      </c>
      <c r="M862" s="342">
        <f>ROUND(Tableau1[[#This Row],[LEN]]*7.27,0)</f>
        <v>174</v>
      </c>
      <c r="N862" s="342">
        <v>15</v>
      </c>
      <c r="O862" s="343" t="str">
        <f t="shared" si="35"/>
        <v>_self</v>
      </c>
      <c r="P862" s="342">
        <f>LEN(Tableau1[[#This Row],[LABEL]])</f>
        <v>24</v>
      </c>
      <c r="Q862" s="342">
        <v>15</v>
      </c>
      <c r="R862" s="342" t="e">
        <f>ROUND(Tableau1[[#This Row],[LEN]]*#REF!+#REF!,0)</f>
        <v>#REF!</v>
      </c>
    </row>
    <row r="863" spans="1:18" s="97" customFormat="1" hidden="1" x14ac:dyDescent="0.25">
      <c r="A863" s="41" t="s">
        <v>1637</v>
      </c>
      <c r="B863" s="42" t="s">
        <v>301</v>
      </c>
      <c r="C863" s="429" t="s">
        <v>2152</v>
      </c>
      <c r="D863" s="43" t="s">
        <v>849</v>
      </c>
      <c r="E863" s="74" t="s">
        <v>1177</v>
      </c>
      <c r="F863" s="43" t="s">
        <v>667</v>
      </c>
      <c r="G863" s="43" t="s">
        <v>840</v>
      </c>
      <c r="H863" s="74" t="s">
        <v>68</v>
      </c>
      <c r="I863" s="74" t="s">
        <v>655</v>
      </c>
      <c r="J863" s="43"/>
      <c r="K863" s="44" t="s">
        <v>708</v>
      </c>
      <c r="L863" s="44" t="str">
        <f t="shared" si="34"/>
        <v>_</v>
      </c>
      <c r="M863" s="115">
        <f>ROUND(Tableau1[[#This Row],[LEN]]*7.27,0)</f>
        <v>80</v>
      </c>
      <c r="N863" s="115">
        <v>15</v>
      </c>
      <c r="O863" s="132" t="str">
        <f t="shared" si="35"/>
        <v>_self</v>
      </c>
      <c r="P863" s="115">
        <f>LEN(Tableau1[[#This Row],[LABEL]])</f>
        <v>11</v>
      </c>
      <c r="Q863" s="115">
        <v>15</v>
      </c>
      <c r="R863" s="115" t="e">
        <f>ROUND(Tableau1[[#This Row],[LEN]]*#REF!+#REF!,0)</f>
        <v>#REF!</v>
      </c>
    </row>
    <row r="864" spans="1:18" s="97" customFormat="1" hidden="1" x14ac:dyDescent="0.25">
      <c r="A864" s="45" t="s">
        <v>1640</v>
      </c>
      <c r="B864" s="46" t="s">
        <v>1637</v>
      </c>
      <c r="C864" s="429" t="s">
        <v>2152</v>
      </c>
      <c r="D864" s="47" t="s">
        <v>112</v>
      </c>
      <c r="E864" s="75" t="s">
        <v>1177</v>
      </c>
      <c r="F864" s="47" t="s">
        <v>667</v>
      </c>
      <c r="G864" s="47" t="s">
        <v>2006</v>
      </c>
      <c r="H864" s="75" t="s">
        <v>68</v>
      </c>
      <c r="I864" s="75" t="s">
        <v>654</v>
      </c>
      <c r="J864" s="47"/>
      <c r="K864" s="48" t="s">
        <v>708</v>
      </c>
      <c r="L864" s="48" t="str">
        <f t="shared" si="34"/>
        <v>_</v>
      </c>
      <c r="M864" s="116">
        <f>ROUND(Tableau1[[#This Row],[LEN]]*7.27,0)</f>
        <v>167</v>
      </c>
      <c r="N864" s="116">
        <v>15</v>
      </c>
      <c r="O864" s="133" t="str">
        <f t="shared" si="35"/>
        <v>_self</v>
      </c>
      <c r="P864" s="116">
        <f>LEN(Tableau1[[#This Row],[LABEL]])</f>
        <v>23</v>
      </c>
      <c r="Q864" s="116">
        <v>15</v>
      </c>
      <c r="R864" s="116" t="e">
        <f>ROUND(Tableau1[[#This Row],[LEN]]*#REF!+#REF!,0)</f>
        <v>#REF!</v>
      </c>
    </row>
    <row r="865" spans="1:18" s="97" customFormat="1" hidden="1" x14ac:dyDescent="0.25">
      <c r="A865" s="45" t="s">
        <v>1641</v>
      </c>
      <c r="B865" s="46" t="s">
        <v>1637</v>
      </c>
      <c r="C865" s="429" t="s">
        <v>2152</v>
      </c>
      <c r="D865" s="47" t="s">
        <v>113</v>
      </c>
      <c r="E865" s="75" t="s">
        <v>1177</v>
      </c>
      <c r="F865" s="47" t="s">
        <v>667</v>
      </c>
      <c r="G865" s="47" t="s">
        <v>2006</v>
      </c>
      <c r="H865" s="75" t="s">
        <v>68</v>
      </c>
      <c r="I865" s="75" t="s">
        <v>654</v>
      </c>
      <c r="J865" s="47"/>
      <c r="K865" s="48" t="s">
        <v>708</v>
      </c>
      <c r="L865" s="48" t="str">
        <f t="shared" si="34"/>
        <v>_</v>
      </c>
      <c r="M865" s="116">
        <f>ROUND(Tableau1[[#This Row],[LEN]]*7.27,0)</f>
        <v>233</v>
      </c>
      <c r="N865" s="116">
        <v>15</v>
      </c>
      <c r="O865" s="133" t="str">
        <f t="shared" si="35"/>
        <v>_self</v>
      </c>
      <c r="P865" s="116">
        <f>LEN(Tableau1[[#This Row],[LABEL]])</f>
        <v>32</v>
      </c>
      <c r="Q865" s="116">
        <v>15</v>
      </c>
      <c r="R865" s="116" t="e">
        <f>ROUND(Tableau1[[#This Row],[LEN]]*#REF!+#REF!,0)</f>
        <v>#REF!</v>
      </c>
    </row>
    <row r="866" spans="1:18" s="97" customFormat="1" hidden="1" x14ac:dyDescent="0.25">
      <c r="A866" s="41" t="s">
        <v>1638</v>
      </c>
      <c r="B866" s="42" t="s">
        <v>301</v>
      </c>
      <c r="C866" s="429" t="s">
        <v>2152</v>
      </c>
      <c r="D866" s="43" t="s">
        <v>1639</v>
      </c>
      <c r="E866" s="74" t="s">
        <v>1177</v>
      </c>
      <c r="F866" s="43" t="s">
        <v>679</v>
      </c>
      <c r="G866" s="43" t="s">
        <v>675</v>
      </c>
      <c r="H866" s="74" t="s">
        <v>68</v>
      </c>
      <c r="I866" s="74" t="s">
        <v>654</v>
      </c>
      <c r="J866" s="43"/>
      <c r="K866" s="44" t="s">
        <v>708</v>
      </c>
      <c r="L866" s="44" t="str">
        <f t="shared" si="34"/>
        <v>_</v>
      </c>
      <c r="M866" s="115">
        <f>ROUND(Tableau1[[#This Row],[LEN]]*7.27,0)</f>
        <v>247</v>
      </c>
      <c r="N866" s="115">
        <v>15</v>
      </c>
      <c r="O866" s="132" t="str">
        <f t="shared" si="35"/>
        <v>_self</v>
      </c>
      <c r="P866" s="115">
        <f>LEN(Tableau1[[#This Row],[LABEL]])</f>
        <v>34</v>
      </c>
      <c r="Q866" s="115">
        <v>15</v>
      </c>
      <c r="R866" s="115" t="e">
        <f>ROUND(Tableau1[[#This Row],[LEN]]*#REF!+#REF!,0)</f>
        <v>#REF!</v>
      </c>
    </row>
    <row r="867" spans="1:18" s="273" customFormat="1" hidden="1" x14ac:dyDescent="0.25">
      <c r="A867" s="338" t="s">
        <v>284</v>
      </c>
      <c r="B867" s="338" t="s">
        <v>208</v>
      </c>
      <c r="C867" s="429" t="s">
        <v>2152</v>
      </c>
      <c r="D867" s="339" t="s">
        <v>1950</v>
      </c>
      <c r="E867" s="340" t="s">
        <v>1177</v>
      </c>
      <c r="F867" s="339" t="s">
        <v>1951</v>
      </c>
      <c r="G867" s="339" t="s">
        <v>1177</v>
      </c>
      <c r="H867" s="340" t="s">
        <v>68</v>
      </c>
      <c r="I867" s="340" t="str">
        <f>IFERROR(IF(SEARCH(".00.00.00.00.00",Tableau1[[#This Row],[name]],1)=7,"Division",""),"")</f>
        <v>Division</v>
      </c>
      <c r="J867" s="339"/>
      <c r="K867" s="341" t="s">
        <v>708</v>
      </c>
      <c r="L867" s="341" t="str">
        <f t="shared" ref="L867:L930" si="36">IF(K867="javascript:void(0)","_","Documentation")</f>
        <v>_</v>
      </c>
      <c r="M867" s="342">
        <f>ROUND(Tableau1[[#This Row],[LEN]]*7.27,0)</f>
        <v>51</v>
      </c>
      <c r="N867" s="342">
        <v>15</v>
      </c>
      <c r="O867" s="343" t="str">
        <f t="shared" si="35"/>
        <v>_self</v>
      </c>
      <c r="P867" s="342">
        <f>LEN(Tableau1[[#This Row],[LABEL]])</f>
        <v>7</v>
      </c>
      <c r="Q867" s="342">
        <v>15</v>
      </c>
      <c r="R867" s="342" t="e">
        <f>ROUND(Tableau1[[#This Row],[LEN]]*#REF!+#REF!,0)</f>
        <v>#REF!</v>
      </c>
    </row>
    <row r="868" spans="1:18" s="97" customFormat="1" hidden="1" x14ac:dyDescent="0.25">
      <c r="A868" s="41" t="s">
        <v>2011</v>
      </c>
      <c r="B868" s="42" t="s">
        <v>284</v>
      </c>
      <c r="C868" s="429" t="s">
        <v>2152</v>
      </c>
      <c r="D868" s="43" t="s">
        <v>2016</v>
      </c>
      <c r="E868" s="74" t="s">
        <v>1177</v>
      </c>
      <c r="F868" s="43" t="s">
        <v>1951</v>
      </c>
      <c r="G868" s="43" t="s">
        <v>1177</v>
      </c>
      <c r="H868" s="74" t="s">
        <v>68</v>
      </c>
      <c r="I868" s="74" t="s">
        <v>654</v>
      </c>
      <c r="J868" s="43"/>
      <c r="K868" s="44" t="s">
        <v>708</v>
      </c>
      <c r="L868" s="44" t="str">
        <f t="shared" si="36"/>
        <v>_</v>
      </c>
      <c r="M868" s="115">
        <f>ROUND(Tableau1[[#This Row],[LEN]]*7.27,0)</f>
        <v>538</v>
      </c>
      <c r="N868" s="115">
        <v>15</v>
      </c>
      <c r="O868" s="132" t="str">
        <f t="shared" ref="O868:O931" si="37">IF(K868="javascript:void(0)","_self","_blank")</f>
        <v>_self</v>
      </c>
      <c r="P868" s="115">
        <f>LEN(Tableau1[[#This Row],[LABEL]])</f>
        <v>74</v>
      </c>
      <c r="Q868" s="115">
        <v>15</v>
      </c>
      <c r="R868" s="115" t="e">
        <f>ROUND(Tableau1[[#This Row],[LEN]]*#REF!+#REF!,0)</f>
        <v>#REF!</v>
      </c>
    </row>
    <row r="869" spans="1:18" s="97" customFormat="1" hidden="1" x14ac:dyDescent="0.25">
      <c r="A869" s="41" t="s">
        <v>2012</v>
      </c>
      <c r="B869" s="42" t="s">
        <v>284</v>
      </c>
      <c r="C869" s="429" t="s">
        <v>2152</v>
      </c>
      <c r="D869" s="43" t="s">
        <v>2017</v>
      </c>
      <c r="E869" s="74" t="s">
        <v>1177</v>
      </c>
      <c r="F869" s="43" t="s">
        <v>1951</v>
      </c>
      <c r="G869" s="43" t="s">
        <v>1177</v>
      </c>
      <c r="H869" s="74" t="s">
        <v>68</v>
      </c>
      <c r="I869" s="74" t="s">
        <v>570</v>
      </c>
      <c r="J869" s="43"/>
      <c r="K869" s="44" t="s">
        <v>708</v>
      </c>
      <c r="L869" s="44" t="str">
        <f t="shared" si="36"/>
        <v>_</v>
      </c>
      <c r="M869" s="115">
        <f>ROUND(Tableau1[[#This Row],[LEN]]*7.27,0)</f>
        <v>422</v>
      </c>
      <c r="N869" s="115">
        <v>15</v>
      </c>
      <c r="O869" s="132" t="str">
        <f t="shared" si="37"/>
        <v>_self</v>
      </c>
      <c r="P869" s="115">
        <f>LEN(Tableau1[[#This Row],[LABEL]])</f>
        <v>58</v>
      </c>
      <c r="Q869" s="115">
        <v>15</v>
      </c>
      <c r="R869" s="115" t="e">
        <f>ROUND(Tableau1[[#This Row],[LEN]]*#REF!+#REF!,0)</f>
        <v>#REF!</v>
      </c>
    </row>
    <row r="870" spans="1:18" s="97" customFormat="1" hidden="1" x14ac:dyDescent="0.25">
      <c r="A870" s="41" t="s">
        <v>2013</v>
      </c>
      <c r="B870" s="42" t="s">
        <v>284</v>
      </c>
      <c r="C870" s="429" t="s">
        <v>2152</v>
      </c>
      <c r="D870" s="43" t="s">
        <v>849</v>
      </c>
      <c r="E870" s="74" t="s">
        <v>1177</v>
      </c>
      <c r="F870" s="43" t="s">
        <v>667</v>
      </c>
      <c r="G870" s="43" t="s">
        <v>840</v>
      </c>
      <c r="H870" s="74" t="s">
        <v>68</v>
      </c>
      <c r="I870" s="74" t="s">
        <v>655</v>
      </c>
      <c r="J870" s="43"/>
      <c r="K870" s="44" t="s">
        <v>708</v>
      </c>
      <c r="L870" s="44" t="str">
        <f t="shared" si="36"/>
        <v>_</v>
      </c>
      <c r="M870" s="115">
        <f>ROUND(Tableau1[[#This Row],[LEN]]*7.27,0)</f>
        <v>80</v>
      </c>
      <c r="N870" s="115">
        <v>15</v>
      </c>
      <c r="O870" s="132" t="str">
        <f t="shared" si="37"/>
        <v>_self</v>
      </c>
      <c r="P870" s="115">
        <f>LEN(Tableau1[[#This Row],[LABEL]])</f>
        <v>11</v>
      </c>
      <c r="Q870" s="115">
        <v>15</v>
      </c>
      <c r="R870" s="115" t="e">
        <f>ROUND(Tableau1[[#This Row],[LEN]]*#REF!+#REF!,0)</f>
        <v>#REF!</v>
      </c>
    </row>
    <row r="871" spans="1:18" s="97" customFormat="1" hidden="1" x14ac:dyDescent="0.25">
      <c r="A871" s="45" t="s">
        <v>2018</v>
      </c>
      <c r="B871" s="46" t="s">
        <v>2013</v>
      </c>
      <c r="C871" s="429" t="s">
        <v>2152</v>
      </c>
      <c r="D871" s="47" t="s">
        <v>112</v>
      </c>
      <c r="E871" s="75" t="s">
        <v>1177</v>
      </c>
      <c r="F871" s="47" t="s">
        <v>667</v>
      </c>
      <c r="G871" s="47" t="s">
        <v>2006</v>
      </c>
      <c r="H871" s="75" t="s">
        <v>68</v>
      </c>
      <c r="I871" s="75" t="s">
        <v>654</v>
      </c>
      <c r="J871" s="47"/>
      <c r="K871" s="48" t="s">
        <v>708</v>
      </c>
      <c r="L871" s="48" t="str">
        <f t="shared" si="36"/>
        <v>_</v>
      </c>
      <c r="M871" s="116">
        <f>ROUND(Tableau1[[#This Row],[LEN]]*7.27,0)</f>
        <v>167</v>
      </c>
      <c r="N871" s="116">
        <v>15</v>
      </c>
      <c r="O871" s="133" t="str">
        <f t="shared" si="37"/>
        <v>_self</v>
      </c>
      <c r="P871" s="116">
        <f>LEN(Tableau1[[#This Row],[LABEL]])</f>
        <v>23</v>
      </c>
      <c r="Q871" s="116">
        <v>15</v>
      </c>
      <c r="R871" s="116" t="e">
        <f>ROUND(Tableau1[[#This Row],[LEN]]*#REF!+#REF!,0)</f>
        <v>#REF!</v>
      </c>
    </row>
    <row r="872" spans="1:18" s="97" customFormat="1" hidden="1" x14ac:dyDescent="0.25">
      <c r="A872" s="45" t="s">
        <v>2019</v>
      </c>
      <c r="B872" s="46" t="s">
        <v>2013</v>
      </c>
      <c r="C872" s="429" t="s">
        <v>2152</v>
      </c>
      <c r="D872" s="47" t="s">
        <v>113</v>
      </c>
      <c r="E872" s="75" t="s">
        <v>1177</v>
      </c>
      <c r="F872" s="47" t="s">
        <v>667</v>
      </c>
      <c r="G872" s="47" t="s">
        <v>2006</v>
      </c>
      <c r="H872" s="75" t="s">
        <v>68</v>
      </c>
      <c r="I872" s="75" t="s">
        <v>654</v>
      </c>
      <c r="J872" s="47"/>
      <c r="K872" s="48" t="s">
        <v>708</v>
      </c>
      <c r="L872" s="48" t="str">
        <f t="shared" si="36"/>
        <v>_</v>
      </c>
      <c r="M872" s="116">
        <f>ROUND(Tableau1[[#This Row],[LEN]]*7.27,0)</f>
        <v>233</v>
      </c>
      <c r="N872" s="116">
        <v>15</v>
      </c>
      <c r="O872" s="133" t="str">
        <f t="shared" si="37"/>
        <v>_self</v>
      </c>
      <c r="P872" s="116">
        <f>LEN(Tableau1[[#This Row],[LABEL]])</f>
        <v>32</v>
      </c>
      <c r="Q872" s="116">
        <v>15</v>
      </c>
      <c r="R872" s="116" t="e">
        <f>ROUND(Tableau1[[#This Row],[LEN]]*#REF!+#REF!,0)</f>
        <v>#REF!</v>
      </c>
    </row>
    <row r="873" spans="1:18" s="92" customFormat="1" ht="15.75" hidden="1" thickBot="1" x14ac:dyDescent="0.3">
      <c r="A873" s="191" t="s">
        <v>209</v>
      </c>
      <c r="B873" s="191" t="s">
        <v>198</v>
      </c>
      <c r="C873" s="430"/>
      <c r="D873" s="192" t="s">
        <v>177</v>
      </c>
      <c r="E873" s="193" t="s">
        <v>0</v>
      </c>
      <c r="F873" s="192" t="s">
        <v>1177</v>
      </c>
      <c r="G873" s="193" t="s">
        <v>1177</v>
      </c>
      <c r="H873" s="192" t="s">
        <v>2101</v>
      </c>
      <c r="I873" s="192" t="s">
        <v>616</v>
      </c>
      <c r="J873" s="193"/>
      <c r="K873" s="194" t="s">
        <v>708</v>
      </c>
      <c r="L873" s="194" t="str">
        <f t="shared" si="36"/>
        <v>_</v>
      </c>
      <c r="M873" s="195">
        <f>ROUND(Tableau1[[#This Row],[LEN]]*7.27,0)</f>
        <v>153</v>
      </c>
      <c r="N873" s="195">
        <v>15</v>
      </c>
      <c r="O873" s="196" t="str">
        <f t="shared" si="37"/>
        <v>_self</v>
      </c>
      <c r="P873" s="195">
        <f>LEN(Tableau1[[#This Row],[LABEL]])</f>
        <v>21</v>
      </c>
      <c r="Q873" s="197">
        <v>15</v>
      </c>
      <c r="R873" s="197" t="e">
        <f>ROUND(Tableau1[[#This Row],[LEN]]*#REF!+#REF!,0)</f>
        <v>#REF!</v>
      </c>
    </row>
    <row r="874" spans="1:18" s="273" customFormat="1" hidden="1" x14ac:dyDescent="0.25">
      <c r="A874" s="351" t="s">
        <v>303</v>
      </c>
      <c r="B874" s="352" t="s">
        <v>209</v>
      </c>
      <c r="C874" s="431" t="s">
        <v>0</v>
      </c>
      <c r="D874" s="353" t="s">
        <v>57</v>
      </c>
      <c r="E874" s="354" t="s">
        <v>1177</v>
      </c>
      <c r="F874" s="353" t="s">
        <v>663</v>
      </c>
      <c r="G874" s="353" t="s">
        <v>1177</v>
      </c>
      <c r="H874" s="354" t="s">
        <v>2101</v>
      </c>
      <c r="I874" s="354" t="str">
        <f>IFERROR(IF(SEARCH(".00.00.00.00.00",Tableau1[[#This Row],[name]],1)=7,"Division",""),"")</f>
        <v>Division</v>
      </c>
      <c r="J874" s="353"/>
      <c r="K874" s="355" t="s">
        <v>708</v>
      </c>
      <c r="L874" s="355" t="str">
        <f t="shared" si="36"/>
        <v>_</v>
      </c>
      <c r="M874" s="356">
        <f>ROUND(Tableau1[[#This Row],[LEN]]*7.27,0)</f>
        <v>102</v>
      </c>
      <c r="N874" s="356">
        <v>15</v>
      </c>
      <c r="O874" s="357" t="str">
        <f t="shared" si="37"/>
        <v>_self</v>
      </c>
      <c r="P874" s="356">
        <f>LEN(Tableau1[[#This Row],[LABEL]])</f>
        <v>14</v>
      </c>
      <c r="Q874" s="356">
        <v>15</v>
      </c>
      <c r="R874" s="356" t="e">
        <f>ROUND(Tableau1[[#This Row],[LEN]]*#REF!+#REF!,0)</f>
        <v>#REF!</v>
      </c>
    </row>
    <row r="875" spans="1:18" s="97" customFormat="1" hidden="1" x14ac:dyDescent="0.25">
      <c r="A875" s="49" t="s">
        <v>876</v>
      </c>
      <c r="B875" s="50" t="s">
        <v>303</v>
      </c>
      <c r="C875" s="431" t="s">
        <v>0</v>
      </c>
      <c r="D875" s="51" t="s">
        <v>891</v>
      </c>
      <c r="E875" s="76" t="s">
        <v>1177</v>
      </c>
      <c r="F875" s="51" t="s">
        <v>663</v>
      </c>
      <c r="G875" s="51" t="s">
        <v>1177</v>
      </c>
      <c r="H875" s="76" t="s">
        <v>2101</v>
      </c>
      <c r="I875" s="76" t="s">
        <v>655</v>
      </c>
      <c r="J875" s="51"/>
      <c r="K875" s="52" t="s">
        <v>708</v>
      </c>
      <c r="L875" s="52" t="str">
        <f t="shared" si="36"/>
        <v>_</v>
      </c>
      <c r="M875" s="117">
        <f>ROUND(Tableau1[[#This Row],[LEN]]*7.27,0)</f>
        <v>124</v>
      </c>
      <c r="N875" s="117">
        <v>15</v>
      </c>
      <c r="O875" s="134" t="str">
        <f t="shared" si="37"/>
        <v>_self</v>
      </c>
      <c r="P875" s="117">
        <f>LEN(Tableau1[[#This Row],[LABEL]])</f>
        <v>17</v>
      </c>
      <c r="Q875" s="117">
        <v>15</v>
      </c>
      <c r="R875" s="117" t="e">
        <f>ROUND(Tableau1[[#This Row],[LEN]]*#REF!+#REF!,0)</f>
        <v>#REF!</v>
      </c>
    </row>
    <row r="876" spans="1:18" s="97" customFormat="1" hidden="1" x14ac:dyDescent="0.25">
      <c r="A876" s="53" t="s">
        <v>884</v>
      </c>
      <c r="B876" s="54" t="s">
        <v>876</v>
      </c>
      <c r="C876" s="431" t="s">
        <v>0</v>
      </c>
      <c r="D876" s="55" t="s">
        <v>890</v>
      </c>
      <c r="E876" s="77" t="s">
        <v>1177</v>
      </c>
      <c r="F876" s="55" t="s">
        <v>663</v>
      </c>
      <c r="G876" s="55" t="s">
        <v>1177</v>
      </c>
      <c r="H876" s="77" t="s">
        <v>2101</v>
      </c>
      <c r="I876" s="77" t="s">
        <v>654</v>
      </c>
      <c r="J876" s="55"/>
      <c r="K876" s="56" t="s">
        <v>708</v>
      </c>
      <c r="L876" s="56" t="str">
        <f t="shared" si="36"/>
        <v>_</v>
      </c>
      <c r="M876" s="118">
        <f>ROUND(Tableau1[[#This Row],[LEN]]*7.27,0)</f>
        <v>138</v>
      </c>
      <c r="N876" s="118">
        <v>15</v>
      </c>
      <c r="O876" s="135" t="str">
        <f t="shared" si="37"/>
        <v>_self</v>
      </c>
      <c r="P876" s="118">
        <f>LEN(Tableau1[[#This Row],[LABEL]])</f>
        <v>19</v>
      </c>
      <c r="Q876" s="118">
        <v>15</v>
      </c>
      <c r="R876" s="118" t="e">
        <f>ROUND(Tableau1[[#This Row],[LEN]]*#REF!+#REF!,0)</f>
        <v>#REF!</v>
      </c>
    </row>
    <row r="877" spans="1:18" s="97" customFormat="1" hidden="1" x14ac:dyDescent="0.25">
      <c r="A877" s="53" t="s">
        <v>885</v>
      </c>
      <c r="B877" s="54" t="s">
        <v>876</v>
      </c>
      <c r="C877" s="431" t="s">
        <v>0</v>
      </c>
      <c r="D877" s="55" t="s">
        <v>893</v>
      </c>
      <c r="E877" s="77" t="s">
        <v>1177</v>
      </c>
      <c r="F877" s="55" t="s">
        <v>663</v>
      </c>
      <c r="G877" s="55" t="s">
        <v>1177</v>
      </c>
      <c r="H877" s="77" t="s">
        <v>2101</v>
      </c>
      <c r="I877" s="77" t="s">
        <v>656</v>
      </c>
      <c r="J877" s="55"/>
      <c r="K877" s="56" t="s">
        <v>708</v>
      </c>
      <c r="L877" s="56" t="str">
        <f t="shared" si="36"/>
        <v>_</v>
      </c>
      <c r="M877" s="118">
        <f>ROUND(Tableau1[[#This Row],[LEN]]*7.27,0)</f>
        <v>182</v>
      </c>
      <c r="N877" s="118">
        <v>15</v>
      </c>
      <c r="O877" s="135" t="str">
        <f t="shared" si="37"/>
        <v>_self</v>
      </c>
      <c r="P877" s="118">
        <f>LEN(Tableau1[[#This Row],[LABEL]])</f>
        <v>25</v>
      </c>
      <c r="Q877" s="118">
        <v>15</v>
      </c>
      <c r="R877" s="118" t="e">
        <f>ROUND(Tableau1[[#This Row],[LEN]]*#REF!+#REF!,0)</f>
        <v>#REF!</v>
      </c>
    </row>
    <row r="878" spans="1:18" s="97" customFormat="1" hidden="1" x14ac:dyDescent="0.25">
      <c r="A878" s="53" t="s">
        <v>886</v>
      </c>
      <c r="B878" s="54" t="s">
        <v>876</v>
      </c>
      <c r="C878" s="431" t="s">
        <v>0</v>
      </c>
      <c r="D878" s="55" t="s">
        <v>894</v>
      </c>
      <c r="E878" s="77" t="s">
        <v>1177</v>
      </c>
      <c r="F878" s="55" t="s">
        <v>663</v>
      </c>
      <c r="G878" s="55" t="s">
        <v>1177</v>
      </c>
      <c r="H878" s="77" t="s">
        <v>2101</v>
      </c>
      <c r="I878" s="77" t="s">
        <v>655</v>
      </c>
      <c r="J878" s="55"/>
      <c r="K878" s="56" t="s">
        <v>708</v>
      </c>
      <c r="L878" s="56" t="str">
        <f t="shared" si="36"/>
        <v>_</v>
      </c>
      <c r="M878" s="118">
        <f>ROUND(Tableau1[[#This Row],[LEN]]*7.27,0)</f>
        <v>153</v>
      </c>
      <c r="N878" s="118">
        <v>15</v>
      </c>
      <c r="O878" s="135" t="str">
        <f t="shared" si="37"/>
        <v>_self</v>
      </c>
      <c r="P878" s="118">
        <f>LEN(Tableau1[[#This Row],[LABEL]])</f>
        <v>21</v>
      </c>
      <c r="Q878" s="118">
        <v>15</v>
      </c>
      <c r="R878" s="118" t="e">
        <f>ROUND(Tableau1[[#This Row],[LEN]]*#REF!+#REF!,0)</f>
        <v>#REF!</v>
      </c>
    </row>
    <row r="879" spans="1:18" s="97" customFormat="1" hidden="1" x14ac:dyDescent="0.25">
      <c r="A879" s="57" t="s">
        <v>896</v>
      </c>
      <c r="B879" s="58" t="s">
        <v>886</v>
      </c>
      <c r="C879" s="431" t="s">
        <v>0</v>
      </c>
      <c r="D879" s="59" t="s">
        <v>898</v>
      </c>
      <c r="E879" s="78" t="s">
        <v>1177</v>
      </c>
      <c r="F879" s="59" t="s">
        <v>663</v>
      </c>
      <c r="G879" s="59" t="s">
        <v>1177</v>
      </c>
      <c r="H879" s="78" t="s">
        <v>2101</v>
      </c>
      <c r="I879" s="78" t="s">
        <v>656</v>
      </c>
      <c r="J879" s="59"/>
      <c r="K879" s="60" t="s">
        <v>708</v>
      </c>
      <c r="L879" s="60" t="str">
        <f t="shared" si="36"/>
        <v>_</v>
      </c>
      <c r="M879" s="119">
        <f>ROUND(Tableau1[[#This Row],[LEN]]*7.27,0)</f>
        <v>160</v>
      </c>
      <c r="N879" s="119">
        <v>15</v>
      </c>
      <c r="O879" s="136" t="str">
        <f t="shared" si="37"/>
        <v>_self</v>
      </c>
      <c r="P879" s="119">
        <f>LEN(Tableau1[[#This Row],[LABEL]])</f>
        <v>22</v>
      </c>
      <c r="Q879" s="119">
        <v>15</v>
      </c>
      <c r="R879" s="119" t="e">
        <f>ROUND(Tableau1[[#This Row],[LEN]]*#REF!+#REF!,0)</f>
        <v>#REF!</v>
      </c>
    </row>
    <row r="880" spans="1:18" s="97" customFormat="1" hidden="1" x14ac:dyDescent="0.25">
      <c r="A880" s="57" t="s">
        <v>897</v>
      </c>
      <c r="B880" s="58" t="s">
        <v>886</v>
      </c>
      <c r="C880" s="431" t="s">
        <v>0</v>
      </c>
      <c r="D880" s="59" t="s">
        <v>899</v>
      </c>
      <c r="E880" s="78" t="s">
        <v>1177</v>
      </c>
      <c r="F880" s="59" t="s">
        <v>663</v>
      </c>
      <c r="G880" s="59" t="s">
        <v>1177</v>
      </c>
      <c r="H880" s="78" t="s">
        <v>2101</v>
      </c>
      <c r="I880" s="78" t="s">
        <v>656</v>
      </c>
      <c r="J880" s="59"/>
      <c r="K880" s="60" t="s">
        <v>708</v>
      </c>
      <c r="L880" s="60" t="str">
        <f t="shared" si="36"/>
        <v>_</v>
      </c>
      <c r="M880" s="119">
        <f>ROUND(Tableau1[[#This Row],[LEN]]*7.27,0)</f>
        <v>204</v>
      </c>
      <c r="N880" s="119">
        <v>15</v>
      </c>
      <c r="O880" s="136" t="str">
        <f t="shared" si="37"/>
        <v>_self</v>
      </c>
      <c r="P880" s="119">
        <f>LEN(Tableau1[[#This Row],[LABEL]])</f>
        <v>28</v>
      </c>
      <c r="Q880" s="119">
        <v>15</v>
      </c>
      <c r="R880" s="119" t="e">
        <f>ROUND(Tableau1[[#This Row],[LEN]]*#REF!+#REF!,0)</f>
        <v>#REF!</v>
      </c>
    </row>
    <row r="881" spans="1:18" s="97" customFormat="1" hidden="1" x14ac:dyDescent="0.25">
      <c r="A881" s="53" t="s">
        <v>887</v>
      </c>
      <c r="B881" s="54" t="s">
        <v>876</v>
      </c>
      <c r="C881" s="431" t="s">
        <v>0</v>
      </c>
      <c r="D881" s="55" t="s">
        <v>895</v>
      </c>
      <c r="E881" s="77" t="s">
        <v>1177</v>
      </c>
      <c r="F881" s="55" t="s">
        <v>663</v>
      </c>
      <c r="G881" s="55" t="s">
        <v>1177</v>
      </c>
      <c r="H881" s="77" t="s">
        <v>2101</v>
      </c>
      <c r="I881" s="77" t="s">
        <v>654</v>
      </c>
      <c r="J881" s="55"/>
      <c r="K881" s="56" t="s">
        <v>708</v>
      </c>
      <c r="L881" s="56" t="str">
        <f t="shared" si="36"/>
        <v>_</v>
      </c>
      <c r="M881" s="118">
        <f>ROUND(Tableau1[[#This Row],[LEN]]*7.27,0)</f>
        <v>153</v>
      </c>
      <c r="N881" s="118">
        <v>15</v>
      </c>
      <c r="O881" s="135" t="str">
        <f t="shared" si="37"/>
        <v>_self</v>
      </c>
      <c r="P881" s="118">
        <f>LEN(Tableau1[[#This Row],[LABEL]])</f>
        <v>21</v>
      </c>
      <c r="Q881" s="118">
        <v>15</v>
      </c>
      <c r="R881" s="118" t="e">
        <f>ROUND(Tableau1[[#This Row],[LEN]]*#REF!+#REF!,0)</f>
        <v>#REF!</v>
      </c>
    </row>
    <row r="882" spans="1:18" s="97" customFormat="1" hidden="1" x14ac:dyDescent="0.25">
      <c r="A882" s="49" t="s">
        <v>877</v>
      </c>
      <c r="B882" s="50" t="s">
        <v>303</v>
      </c>
      <c r="C882" s="431" t="s">
        <v>0</v>
      </c>
      <c r="D882" s="51" t="s">
        <v>881</v>
      </c>
      <c r="E882" s="76" t="s">
        <v>1177</v>
      </c>
      <c r="F882" s="51" t="s">
        <v>663</v>
      </c>
      <c r="G882" s="51" t="s">
        <v>1177</v>
      </c>
      <c r="H882" s="76" t="s">
        <v>2101</v>
      </c>
      <c r="I882" s="76" t="s">
        <v>654</v>
      </c>
      <c r="J882" s="51"/>
      <c r="K882" s="52" t="s">
        <v>708</v>
      </c>
      <c r="L882" s="52" t="str">
        <f t="shared" si="36"/>
        <v>_</v>
      </c>
      <c r="M882" s="117">
        <f>ROUND(Tableau1[[#This Row],[LEN]]*7.27,0)</f>
        <v>189</v>
      </c>
      <c r="N882" s="117">
        <v>15</v>
      </c>
      <c r="O882" s="134" t="str">
        <f t="shared" si="37"/>
        <v>_self</v>
      </c>
      <c r="P882" s="117">
        <f>LEN(Tableau1[[#This Row],[LABEL]])</f>
        <v>26</v>
      </c>
      <c r="Q882" s="117">
        <v>15</v>
      </c>
      <c r="R882" s="117" t="e">
        <f>ROUND(Tableau1[[#This Row],[LEN]]*#REF!+#REF!,0)</f>
        <v>#REF!</v>
      </c>
    </row>
    <row r="883" spans="1:18" s="97" customFormat="1" hidden="1" x14ac:dyDescent="0.25">
      <c r="A883" s="49" t="s">
        <v>878</v>
      </c>
      <c r="B883" s="50" t="s">
        <v>303</v>
      </c>
      <c r="C883" s="431" t="s">
        <v>0</v>
      </c>
      <c r="D883" s="51" t="s">
        <v>882</v>
      </c>
      <c r="E883" s="76" t="s">
        <v>1177</v>
      </c>
      <c r="F883" s="51" t="s">
        <v>663</v>
      </c>
      <c r="G883" s="51" t="s">
        <v>1177</v>
      </c>
      <c r="H883" s="76" t="s">
        <v>2101</v>
      </c>
      <c r="I883" s="76" t="s">
        <v>654</v>
      </c>
      <c r="J883" s="51"/>
      <c r="K883" s="52" t="s">
        <v>708</v>
      </c>
      <c r="L883" s="52" t="str">
        <f t="shared" si="36"/>
        <v>_</v>
      </c>
      <c r="M883" s="117">
        <f>ROUND(Tableau1[[#This Row],[LEN]]*7.27,0)</f>
        <v>240</v>
      </c>
      <c r="N883" s="117">
        <v>15</v>
      </c>
      <c r="O883" s="134" t="str">
        <f t="shared" si="37"/>
        <v>_self</v>
      </c>
      <c r="P883" s="117">
        <f>LEN(Tableau1[[#This Row],[LABEL]])</f>
        <v>33</v>
      </c>
      <c r="Q883" s="117">
        <v>15</v>
      </c>
      <c r="R883" s="117" t="e">
        <f>ROUND(Tableau1[[#This Row],[LEN]]*#REF!+#REF!,0)</f>
        <v>#REF!</v>
      </c>
    </row>
    <row r="884" spans="1:18" s="97" customFormat="1" hidden="1" x14ac:dyDescent="0.25">
      <c r="A884" s="49" t="s">
        <v>879</v>
      </c>
      <c r="B884" s="50" t="s">
        <v>303</v>
      </c>
      <c r="C884" s="431" t="s">
        <v>0</v>
      </c>
      <c r="D884" s="51" t="s">
        <v>883</v>
      </c>
      <c r="E884" s="76" t="s">
        <v>1177</v>
      </c>
      <c r="F884" s="51" t="s">
        <v>663</v>
      </c>
      <c r="G884" s="51" t="s">
        <v>1177</v>
      </c>
      <c r="H884" s="76" t="s">
        <v>2101</v>
      </c>
      <c r="I884" s="76" t="s">
        <v>17</v>
      </c>
      <c r="J884" s="51"/>
      <c r="K884" s="52" t="s">
        <v>708</v>
      </c>
      <c r="L884" s="52" t="str">
        <f t="shared" si="36"/>
        <v>_</v>
      </c>
      <c r="M884" s="117">
        <f>ROUND(Tableau1[[#This Row],[LEN]]*7.27,0)</f>
        <v>276</v>
      </c>
      <c r="N884" s="117">
        <v>15</v>
      </c>
      <c r="O884" s="134" t="str">
        <f t="shared" si="37"/>
        <v>_self</v>
      </c>
      <c r="P884" s="117">
        <f>LEN(Tableau1[[#This Row],[LABEL]])</f>
        <v>38</v>
      </c>
      <c r="Q884" s="117">
        <v>15</v>
      </c>
      <c r="R884" s="117" t="e">
        <f>ROUND(Tableau1[[#This Row],[LEN]]*#REF!+#REF!,0)</f>
        <v>#REF!</v>
      </c>
    </row>
    <row r="885" spans="1:18" s="97" customFormat="1" hidden="1" x14ac:dyDescent="0.25">
      <c r="A885" s="49" t="s">
        <v>880</v>
      </c>
      <c r="B885" s="50" t="s">
        <v>303</v>
      </c>
      <c r="C885" s="431" t="s">
        <v>0</v>
      </c>
      <c r="D885" s="51" t="s">
        <v>892</v>
      </c>
      <c r="E885" s="76" t="s">
        <v>1177</v>
      </c>
      <c r="F885" s="51" t="s">
        <v>663</v>
      </c>
      <c r="G885" s="51" t="s">
        <v>1177</v>
      </c>
      <c r="H885" s="76" t="s">
        <v>2101</v>
      </c>
      <c r="I885" s="76" t="s">
        <v>655</v>
      </c>
      <c r="J885" s="51"/>
      <c r="K885" s="52" t="s">
        <v>708</v>
      </c>
      <c r="L885" s="52" t="str">
        <f t="shared" si="36"/>
        <v>_</v>
      </c>
      <c r="M885" s="117">
        <f>ROUND(Tableau1[[#This Row],[LEN]]*7.27,0)</f>
        <v>131</v>
      </c>
      <c r="N885" s="117">
        <v>15</v>
      </c>
      <c r="O885" s="134" t="str">
        <f t="shared" si="37"/>
        <v>_self</v>
      </c>
      <c r="P885" s="117">
        <f>LEN(Tableau1[[#This Row],[LABEL]])</f>
        <v>18</v>
      </c>
      <c r="Q885" s="117">
        <v>15</v>
      </c>
      <c r="R885" s="117" t="e">
        <f>ROUND(Tableau1[[#This Row],[LEN]]*#REF!+#REF!,0)</f>
        <v>#REF!</v>
      </c>
    </row>
    <row r="886" spans="1:18" s="97" customFormat="1" hidden="1" x14ac:dyDescent="0.25">
      <c r="A886" s="53" t="s">
        <v>888</v>
      </c>
      <c r="B886" s="54" t="s">
        <v>880</v>
      </c>
      <c r="C886" s="431" t="s">
        <v>0</v>
      </c>
      <c r="D886" s="55" t="s">
        <v>900</v>
      </c>
      <c r="E886" s="77" t="s">
        <v>1177</v>
      </c>
      <c r="F886" s="55" t="s">
        <v>663</v>
      </c>
      <c r="G886" s="55" t="s">
        <v>1177</v>
      </c>
      <c r="H886" s="77" t="s">
        <v>2101</v>
      </c>
      <c r="I886" s="77" t="s">
        <v>570</v>
      </c>
      <c r="J886" s="55"/>
      <c r="K886" s="56" t="s">
        <v>708</v>
      </c>
      <c r="L886" s="56" t="str">
        <f t="shared" si="36"/>
        <v>_</v>
      </c>
      <c r="M886" s="118">
        <f>ROUND(Tableau1[[#This Row],[LEN]]*7.27,0)</f>
        <v>73</v>
      </c>
      <c r="N886" s="118">
        <v>15</v>
      </c>
      <c r="O886" s="135" t="str">
        <f t="shared" si="37"/>
        <v>_self</v>
      </c>
      <c r="P886" s="118">
        <f>LEN(Tableau1[[#This Row],[LABEL]])</f>
        <v>10</v>
      </c>
      <c r="Q886" s="118">
        <v>15</v>
      </c>
      <c r="R886" s="118" t="e">
        <f>ROUND(Tableau1[[#This Row],[LEN]]*#REF!+#REF!,0)</f>
        <v>#REF!</v>
      </c>
    </row>
    <row r="887" spans="1:18" s="97" customFormat="1" hidden="1" x14ac:dyDescent="0.25">
      <c r="A887" s="53" t="s">
        <v>889</v>
      </c>
      <c r="B887" s="54" t="s">
        <v>880</v>
      </c>
      <c r="C887" s="431" t="s">
        <v>0</v>
      </c>
      <c r="D887" s="55" t="s">
        <v>901</v>
      </c>
      <c r="E887" s="77" t="s">
        <v>1177</v>
      </c>
      <c r="F887" s="55" t="s">
        <v>663</v>
      </c>
      <c r="G887" s="55" t="s">
        <v>1177</v>
      </c>
      <c r="H887" s="77" t="s">
        <v>2101</v>
      </c>
      <c r="I887" s="77" t="s">
        <v>654</v>
      </c>
      <c r="J887" s="55"/>
      <c r="K887" s="56" t="s">
        <v>708</v>
      </c>
      <c r="L887" s="56" t="str">
        <f t="shared" si="36"/>
        <v>_</v>
      </c>
      <c r="M887" s="118">
        <f>ROUND(Tableau1[[#This Row],[LEN]]*7.27,0)</f>
        <v>116</v>
      </c>
      <c r="N887" s="118">
        <v>15</v>
      </c>
      <c r="O887" s="135" t="str">
        <f t="shared" si="37"/>
        <v>_self</v>
      </c>
      <c r="P887" s="118">
        <f>LEN(Tableau1[[#This Row],[LABEL]])</f>
        <v>16</v>
      </c>
      <c r="Q887" s="118">
        <v>15</v>
      </c>
      <c r="R887" s="118" t="e">
        <f>ROUND(Tableau1[[#This Row],[LEN]]*#REF!+#REF!,0)</f>
        <v>#REF!</v>
      </c>
    </row>
    <row r="888" spans="1:18" s="273" customFormat="1" hidden="1" x14ac:dyDescent="0.25">
      <c r="A888" s="351" t="s">
        <v>305</v>
      </c>
      <c r="B888" s="352" t="s">
        <v>209</v>
      </c>
      <c r="C888" s="431" t="s">
        <v>0</v>
      </c>
      <c r="D888" s="353" t="s">
        <v>3</v>
      </c>
      <c r="E888" s="354" t="s">
        <v>1177</v>
      </c>
      <c r="F888" s="353" t="s">
        <v>661</v>
      </c>
      <c r="G888" s="353" t="s">
        <v>1177</v>
      </c>
      <c r="H888" s="354" t="s">
        <v>2101</v>
      </c>
      <c r="I888" s="354" t="str">
        <f>IFERROR(IF(SEARCH(".00.00.00.00.00",Tableau1[[#This Row],[name]],1)=7,"Division",""),"")</f>
        <v>Division</v>
      </c>
      <c r="J888" s="353"/>
      <c r="K888" s="355" t="s">
        <v>708</v>
      </c>
      <c r="L888" s="355" t="str">
        <f t="shared" si="36"/>
        <v>_</v>
      </c>
      <c r="M888" s="356">
        <f>ROUND(Tableau1[[#This Row],[LEN]]*7.27,0)</f>
        <v>73</v>
      </c>
      <c r="N888" s="356">
        <v>15</v>
      </c>
      <c r="O888" s="357" t="str">
        <f t="shared" si="37"/>
        <v>_self</v>
      </c>
      <c r="P888" s="356">
        <f>LEN(Tableau1[[#This Row],[LABEL]])</f>
        <v>10</v>
      </c>
      <c r="Q888" s="356">
        <v>15</v>
      </c>
      <c r="R888" s="356" t="e">
        <f>ROUND(Tableau1[[#This Row],[LEN]]*#REF!+#REF!,0)</f>
        <v>#REF!</v>
      </c>
    </row>
    <row r="889" spans="1:18" s="97" customFormat="1" hidden="1" x14ac:dyDescent="0.25">
      <c r="A889" s="49" t="s">
        <v>406</v>
      </c>
      <c r="B889" s="50" t="s">
        <v>305</v>
      </c>
      <c r="C889" s="431" t="s">
        <v>0</v>
      </c>
      <c r="D889" s="51" t="s">
        <v>128</v>
      </c>
      <c r="E889" s="76" t="s">
        <v>1177</v>
      </c>
      <c r="F889" s="51" t="s">
        <v>669</v>
      </c>
      <c r="G889" s="51" t="s">
        <v>2029</v>
      </c>
      <c r="H889" s="76" t="s">
        <v>2101</v>
      </c>
      <c r="I889" s="76" t="s">
        <v>570</v>
      </c>
      <c r="J889" s="51"/>
      <c r="K889" s="52" t="s">
        <v>708</v>
      </c>
      <c r="L889" s="52" t="str">
        <f t="shared" si="36"/>
        <v>_</v>
      </c>
      <c r="M889" s="117">
        <f>ROUND(Tableau1[[#This Row],[LEN]]*7.27,0)</f>
        <v>182</v>
      </c>
      <c r="N889" s="117">
        <v>15</v>
      </c>
      <c r="O889" s="134" t="str">
        <f t="shared" si="37"/>
        <v>_self</v>
      </c>
      <c r="P889" s="117">
        <f>LEN(Tableau1[[#This Row],[LABEL]])</f>
        <v>25</v>
      </c>
      <c r="Q889" s="117">
        <v>15</v>
      </c>
      <c r="R889" s="117" t="e">
        <f>ROUND(Tableau1[[#This Row],[LEN]]*#REF!+#REF!,0)</f>
        <v>#REF!</v>
      </c>
    </row>
    <row r="890" spans="1:18" s="97" customFormat="1" hidden="1" x14ac:dyDescent="0.25">
      <c r="A890" s="49" t="s">
        <v>406</v>
      </c>
      <c r="B890" s="50" t="s">
        <v>305</v>
      </c>
      <c r="C890" s="431" t="s">
        <v>0</v>
      </c>
      <c r="D890" s="51" t="s">
        <v>130</v>
      </c>
      <c r="E890" s="76" t="s">
        <v>1177</v>
      </c>
      <c r="F890" s="51" t="s">
        <v>1951</v>
      </c>
      <c r="G890" s="51" t="s">
        <v>661</v>
      </c>
      <c r="H890" s="76" t="s">
        <v>2101</v>
      </c>
      <c r="I890" s="76" t="s">
        <v>655</v>
      </c>
      <c r="J890" s="51"/>
      <c r="K890" s="52" t="s">
        <v>708</v>
      </c>
      <c r="L890" s="52" t="str">
        <f t="shared" si="36"/>
        <v>_</v>
      </c>
      <c r="M890" s="117">
        <f>ROUND(Tableau1[[#This Row],[LEN]]*7.27,0)</f>
        <v>131</v>
      </c>
      <c r="N890" s="117">
        <v>15</v>
      </c>
      <c r="O890" s="134" t="str">
        <f t="shared" si="37"/>
        <v>_self</v>
      </c>
      <c r="P890" s="117">
        <f>LEN(Tableau1[[#This Row],[LABEL]])</f>
        <v>18</v>
      </c>
      <c r="Q890" s="117">
        <v>15</v>
      </c>
      <c r="R890" s="117" t="e">
        <f>ROUND(Tableau1[[#This Row],[LEN]]*#REF!+#REF!,0)</f>
        <v>#REF!</v>
      </c>
    </row>
    <row r="891" spans="1:18" s="97" customFormat="1" hidden="1" x14ac:dyDescent="0.25">
      <c r="A891" s="53" t="s">
        <v>410</v>
      </c>
      <c r="B891" s="54" t="s">
        <v>406</v>
      </c>
      <c r="C891" s="431" t="s">
        <v>0</v>
      </c>
      <c r="D891" s="55" t="s">
        <v>2030</v>
      </c>
      <c r="E891" s="77" t="s">
        <v>1177</v>
      </c>
      <c r="F891" s="55" t="s">
        <v>1951</v>
      </c>
      <c r="G891" s="55" t="s">
        <v>661</v>
      </c>
      <c r="H891" s="77" t="s">
        <v>2101</v>
      </c>
      <c r="I891" s="77" t="s">
        <v>654</v>
      </c>
      <c r="J891" s="55"/>
      <c r="K891" s="56" t="s">
        <v>708</v>
      </c>
      <c r="L891" s="56" t="str">
        <f t="shared" si="36"/>
        <v>_</v>
      </c>
      <c r="M891" s="118">
        <f>ROUND(Tableau1[[#This Row],[LEN]]*7.27,0)</f>
        <v>211</v>
      </c>
      <c r="N891" s="118">
        <v>15</v>
      </c>
      <c r="O891" s="135" t="str">
        <f t="shared" si="37"/>
        <v>_self</v>
      </c>
      <c r="P891" s="118">
        <f>LEN(Tableau1[[#This Row],[LABEL]])</f>
        <v>29</v>
      </c>
      <c r="Q891" s="118">
        <v>15</v>
      </c>
      <c r="R891" s="118" t="e">
        <f>ROUND(Tableau1[[#This Row],[LEN]]*#REF!+#REF!,0)</f>
        <v>#REF!</v>
      </c>
    </row>
    <row r="892" spans="1:18" s="97" customFormat="1" hidden="1" x14ac:dyDescent="0.25">
      <c r="A892" s="53" t="s">
        <v>411</v>
      </c>
      <c r="B892" s="54" t="s">
        <v>406</v>
      </c>
      <c r="C892" s="431" t="s">
        <v>0</v>
      </c>
      <c r="D892" s="55" t="s">
        <v>2031</v>
      </c>
      <c r="E892" s="77" t="s">
        <v>1177</v>
      </c>
      <c r="F892" s="55" t="s">
        <v>1951</v>
      </c>
      <c r="G892" s="55" t="s">
        <v>661</v>
      </c>
      <c r="H892" s="77" t="s">
        <v>2101</v>
      </c>
      <c r="I892" s="77" t="s">
        <v>654</v>
      </c>
      <c r="J892" s="55"/>
      <c r="K892" s="56" t="s">
        <v>708</v>
      </c>
      <c r="L892" s="56" t="str">
        <f t="shared" si="36"/>
        <v>_</v>
      </c>
      <c r="M892" s="118">
        <f>ROUND(Tableau1[[#This Row],[LEN]]*7.27,0)</f>
        <v>313</v>
      </c>
      <c r="N892" s="118">
        <v>15</v>
      </c>
      <c r="O892" s="135" t="str">
        <f t="shared" si="37"/>
        <v>_self</v>
      </c>
      <c r="P892" s="118">
        <f>LEN(Tableau1[[#This Row],[LABEL]])</f>
        <v>43</v>
      </c>
      <c r="Q892" s="118">
        <v>15</v>
      </c>
      <c r="R892" s="118" t="e">
        <f>ROUND(Tableau1[[#This Row],[LEN]]*#REF!+#REF!,0)</f>
        <v>#REF!</v>
      </c>
    </row>
    <row r="893" spans="1:18" s="97" customFormat="1" hidden="1" x14ac:dyDescent="0.25">
      <c r="A893" s="49" t="s">
        <v>407</v>
      </c>
      <c r="B893" s="50" t="s">
        <v>305</v>
      </c>
      <c r="C893" s="431" t="s">
        <v>0</v>
      </c>
      <c r="D893" s="51" t="s">
        <v>129</v>
      </c>
      <c r="E893" s="76" t="s">
        <v>1177</v>
      </c>
      <c r="F893" s="51" t="s">
        <v>673</v>
      </c>
      <c r="G893" s="51" t="s">
        <v>2035</v>
      </c>
      <c r="H893" s="76" t="s">
        <v>2101</v>
      </c>
      <c r="I893" s="76" t="s">
        <v>655</v>
      </c>
      <c r="J893" s="51"/>
      <c r="K893" s="52" t="s">
        <v>708</v>
      </c>
      <c r="L893" s="52" t="str">
        <f t="shared" si="36"/>
        <v>_</v>
      </c>
      <c r="M893" s="117">
        <f>ROUND(Tableau1[[#This Row],[LEN]]*7.27,0)</f>
        <v>87</v>
      </c>
      <c r="N893" s="117">
        <v>15</v>
      </c>
      <c r="O893" s="134" t="str">
        <f t="shared" si="37"/>
        <v>_self</v>
      </c>
      <c r="P893" s="117">
        <f>LEN(Tableau1[[#This Row],[LABEL]])</f>
        <v>12</v>
      </c>
      <c r="Q893" s="117">
        <v>15</v>
      </c>
      <c r="R893" s="117" t="e">
        <f>ROUND(Tableau1[[#This Row],[LEN]]*#REF!+#REF!,0)</f>
        <v>#REF!</v>
      </c>
    </row>
    <row r="894" spans="1:18" s="97" customFormat="1" hidden="1" x14ac:dyDescent="0.25">
      <c r="A894" s="53" t="s">
        <v>408</v>
      </c>
      <c r="B894" s="54" t="s">
        <v>407</v>
      </c>
      <c r="C894" s="431" t="s">
        <v>0</v>
      </c>
      <c r="D894" s="55" t="s">
        <v>131</v>
      </c>
      <c r="E894" s="77" t="s">
        <v>1177</v>
      </c>
      <c r="F894" s="55" t="s">
        <v>673</v>
      </c>
      <c r="G894" s="55" t="s">
        <v>2035</v>
      </c>
      <c r="H894" s="77" t="s">
        <v>2101</v>
      </c>
      <c r="I894" s="77" t="s">
        <v>570</v>
      </c>
      <c r="J894" s="55"/>
      <c r="K894" s="56" t="s">
        <v>708</v>
      </c>
      <c r="L894" s="56" t="str">
        <f t="shared" si="36"/>
        <v>_</v>
      </c>
      <c r="M894" s="118">
        <f>ROUND(Tableau1[[#This Row],[LEN]]*7.27,0)</f>
        <v>262</v>
      </c>
      <c r="N894" s="118">
        <v>15</v>
      </c>
      <c r="O894" s="135" t="str">
        <f t="shared" si="37"/>
        <v>_self</v>
      </c>
      <c r="P894" s="118">
        <f>LEN(Tableau1[[#This Row],[LABEL]])</f>
        <v>36</v>
      </c>
      <c r="Q894" s="118">
        <v>15</v>
      </c>
      <c r="R894" s="118" t="e">
        <f>ROUND(Tableau1[[#This Row],[LEN]]*#REF!+#REF!,0)</f>
        <v>#REF!</v>
      </c>
    </row>
    <row r="895" spans="1:18" s="97" customFormat="1" hidden="1" x14ac:dyDescent="0.25">
      <c r="A895" s="53" t="s">
        <v>409</v>
      </c>
      <c r="B895" s="54" t="s">
        <v>407</v>
      </c>
      <c r="C895" s="431" t="s">
        <v>0</v>
      </c>
      <c r="D895" s="55" t="s">
        <v>132</v>
      </c>
      <c r="E895" s="77" t="s">
        <v>1177</v>
      </c>
      <c r="F895" s="55" t="s">
        <v>673</v>
      </c>
      <c r="G895" s="55" t="s">
        <v>2035</v>
      </c>
      <c r="H895" s="77" t="s">
        <v>2101</v>
      </c>
      <c r="I895" s="77" t="s">
        <v>570</v>
      </c>
      <c r="J895" s="55"/>
      <c r="K895" s="56" t="s">
        <v>708</v>
      </c>
      <c r="L895" s="56" t="str">
        <f t="shared" si="36"/>
        <v>_</v>
      </c>
      <c r="M895" s="118">
        <f>ROUND(Tableau1[[#This Row],[LEN]]*7.27,0)</f>
        <v>298</v>
      </c>
      <c r="N895" s="118">
        <v>15</v>
      </c>
      <c r="O895" s="135" t="str">
        <f t="shared" si="37"/>
        <v>_self</v>
      </c>
      <c r="P895" s="118">
        <f>LEN(Tableau1[[#This Row],[LABEL]])</f>
        <v>41</v>
      </c>
      <c r="Q895" s="118">
        <v>15</v>
      </c>
      <c r="R895" s="118" t="e">
        <f>ROUND(Tableau1[[#This Row],[LEN]]*#REF!+#REF!,0)</f>
        <v>#REF!</v>
      </c>
    </row>
    <row r="896" spans="1:18" s="273" customFormat="1" hidden="1" x14ac:dyDescent="0.25">
      <c r="A896" s="351" t="s">
        <v>306</v>
      </c>
      <c r="B896" s="352" t="s">
        <v>209</v>
      </c>
      <c r="C896" s="431" t="s">
        <v>0</v>
      </c>
      <c r="D896" s="353" t="s">
        <v>4</v>
      </c>
      <c r="E896" s="354" t="s">
        <v>1177</v>
      </c>
      <c r="F896" s="353" t="s">
        <v>666</v>
      </c>
      <c r="G896" s="353" t="s">
        <v>1177</v>
      </c>
      <c r="H896" s="354" t="s">
        <v>2101</v>
      </c>
      <c r="I896" s="354" t="str">
        <f>IFERROR(IF(SEARCH(".00.00.00.00.00",Tableau1[[#This Row],[name]],1)=7,"Division",""),"")</f>
        <v>Division</v>
      </c>
      <c r="J896" s="353"/>
      <c r="K896" s="355" t="s">
        <v>708</v>
      </c>
      <c r="L896" s="355" t="str">
        <f t="shared" si="36"/>
        <v>_</v>
      </c>
      <c r="M896" s="356">
        <f>ROUND(Tableau1[[#This Row],[LEN]]*7.27,0)</f>
        <v>36</v>
      </c>
      <c r="N896" s="356">
        <v>15</v>
      </c>
      <c r="O896" s="357" t="str">
        <f t="shared" si="37"/>
        <v>_self</v>
      </c>
      <c r="P896" s="356">
        <f>LEN(Tableau1[[#This Row],[LABEL]])</f>
        <v>5</v>
      </c>
      <c r="Q896" s="356">
        <v>15</v>
      </c>
      <c r="R896" s="356" t="e">
        <f>ROUND(Tableau1[[#This Row],[LEN]]*#REF!+#REF!,0)</f>
        <v>#REF!</v>
      </c>
    </row>
    <row r="897" spans="1:18" s="97" customFormat="1" hidden="1" x14ac:dyDescent="0.25">
      <c r="A897" s="49" t="s">
        <v>1642</v>
      </c>
      <c r="B897" s="50" t="s">
        <v>306</v>
      </c>
      <c r="C897" s="431" t="s">
        <v>0</v>
      </c>
      <c r="D897" s="51" t="s">
        <v>129</v>
      </c>
      <c r="E897" s="76" t="s">
        <v>1177</v>
      </c>
      <c r="F897" s="51" t="s">
        <v>673</v>
      </c>
      <c r="G897" s="51" t="s">
        <v>2035</v>
      </c>
      <c r="H897" s="76" t="s">
        <v>2101</v>
      </c>
      <c r="I897" s="76" t="s">
        <v>655</v>
      </c>
      <c r="J897" s="51"/>
      <c r="K897" s="52" t="s">
        <v>708</v>
      </c>
      <c r="L897" s="52" t="str">
        <f t="shared" si="36"/>
        <v>_</v>
      </c>
      <c r="M897" s="117">
        <f>ROUND(Tableau1[[#This Row],[LEN]]*7.27,0)</f>
        <v>87</v>
      </c>
      <c r="N897" s="117">
        <v>15</v>
      </c>
      <c r="O897" s="134" t="str">
        <f t="shared" si="37"/>
        <v>_self</v>
      </c>
      <c r="P897" s="117">
        <f>LEN(Tableau1[[#This Row],[LABEL]])</f>
        <v>12</v>
      </c>
      <c r="Q897" s="117">
        <v>15</v>
      </c>
      <c r="R897" s="117" t="e">
        <f>ROUND(Tableau1[[#This Row],[LEN]]*#REF!+#REF!,0)</f>
        <v>#REF!</v>
      </c>
    </row>
    <row r="898" spans="1:18" s="97" customFormat="1" hidden="1" x14ac:dyDescent="0.25">
      <c r="A898" s="53" t="s">
        <v>1647</v>
      </c>
      <c r="B898" s="54" t="s">
        <v>1642</v>
      </c>
      <c r="C898" s="431" t="s">
        <v>0</v>
      </c>
      <c r="D898" s="55" t="s">
        <v>131</v>
      </c>
      <c r="E898" s="77" t="s">
        <v>1177</v>
      </c>
      <c r="F898" s="55" t="s">
        <v>673</v>
      </c>
      <c r="G898" s="55" t="s">
        <v>2035</v>
      </c>
      <c r="H898" s="77" t="s">
        <v>2101</v>
      </c>
      <c r="I898" s="77" t="s">
        <v>570</v>
      </c>
      <c r="J898" s="55"/>
      <c r="K898" s="56" t="s">
        <v>708</v>
      </c>
      <c r="L898" s="56" t="str">
        <f t="shared" si="36"/>
        <v>_</v>
      </c>
      <c r="M898" s="118">
        <f>ROUND(Tableau1[[#This Row],[LEN]]*7.27,0)</f>
        <v>262</v>
      </c>
      <c r="N898" s="118">
        <v>15</v>
      </c>
      <c r="O898" s="135" t="str">
        <f t="shared" si="37"/>
        <v>_self</v>
      </c>
      <c r="P898" s="118">
        <f>LEN(Tableau1[[#This Row],[LABEL]])</f>
        <v>36</v>
      </c>
      <c r="Q898" s="118">
        <v>15</v>
      </c>
      <c r="R898" s="118" t="e">
        <f>ROUND(Tableau1[[#This Row],[LEN]]*#REF!+#REF!,0)</f>
        <v>#REF!</v>
      </c>
    </row>
    <row r="899" spans="1:18" s="97" customFormat="1" hidden="1" x14ac:dyDescent="0.25">
      <c r="A899" s="53" t="s">
        <v>1648</v>
      </c>
      <c r="B899" s="54" t="s">
        <v>1642</v>
      </c>
      <c r="C899" s="431" t="s">
        <v>0</v>
      </c>
      <c r="D899" s="55" t="s">
        <v>132</v>
      </c>
      <c r="E899" s="77" t="s">
        <v>1177</v>
      </c>
      <c r="F899" s="55" t="s">
        <v>673</v>
      </c>
      <c r="G899" s="55" t="s">
        <v>2035</v>
      </c>
      <c r="H899" s="77" t="s">
        <v>2101</v>
      </c>
      <c r="I899" s="77" t="s">
        <v>570</v>
      </c>
      <c r="J899" s="55"/>
      <c r="K899" s="56" t="s">
        <v>708</v>
      </c>
      <c r="L899" s="56" t="str">
        <f t="shared" si="36"/>
        <v>_</v>
      </c>
      <c r="M899" s="118">
        <f>ROUND(Tableau1[[#This Row],[LEN]]*7.27,0)</f>
        <v>298</v>
      </c>
      <c r="N899" s="118">
        <v>15</v>
      </c>
      <c r="O899" s="135" t="str">
        <f t="shared" si="37"/>
        <v>_self</v>
      </c>
      <c r="P899" s="118">
        <f>LEN(Tableau1[[#This Row],[LABEL]])</f>
        <v>41</v>
      </c>
      <c r="Q899" s="118">
        <v>15</v>
      </c>
      <c r="R899" s="118" t="e">
        <f>ROUND(Tableau1[[#This Row],[LEN]]*#REF!+#REF!,0)</f>
        <v>#REF!</v>
      </c>
    </row>
    <row r="900" spans="1:18" s="97" customFormat="1" hidden="1" x14ac:dyDescent="0.25">
      <c r="A900" s="49" t="s">
        <v>1643</v>
      </c>
      <c r="B900" s="50" t="s">
        <v>306</v>
      </c>
      <c r="C900" s="431" t="s">
        <v>0</v>
      </c>
      <c r="D900" s="51" t="s">
        <v>1649</v>
      </c>
      <c r="E900" s="76" t="s">
        <v>1177</v>
      </c>
      <c r="F900" s="51" t="s">
        <v>666</v>
      </c>
      <c r="G900" s="51" t="s">
        <v>1177</v>
      </c>
      <c r="H900" s="76" t="s">
        <v>2101</v>
      </c>
      <c r="I900" s="76" t="s">
        <v>655</v>
      </c>
      <c r="J900" s="51"/>
      <c r="K900" s="52" t="s">
        <v>708</v>
      </c>
      <c r="L900" s="52" t="str">
        <f t="shared" si="36"/>
        <v>_</v>
      </c>
      <c r="M900" s="117">
        <f>ROUND(Tableau1[[#This Row],[LEN]]*7.27,0)</f>
        <v>145</v>
      </c>
      <c r="N900" s="117">
        <v>15</v>
      </c>
      <c r="O900" s="134" t="str">
        <f t="shared" si="37"/>
        <v>_self</v>
      </c>
      <c r="P900" s="117">
        <f>LEN(Tableau1[[#This Row],[LABEL]])</f>
        <v>20</v>
      </c>
      <c r="Q900" s="117">
        <v>15</v>
      </c>
      <c r="R900" s="117" t="e">
        <f>ROUND(Tableau1[[#This Row],[LEN]]*#REF!+#REF!,0)</f>
        <v>#REF!</v>
      </c>
    </row>
    <row r="901" spans="1:18" s="97" customFormat="1" hidden="1" x14ac:dyDescent="0.25">
      <c r="A901" s="53" t="s">
        <v>1650</v>
      </c>
      <c r="B901" s="54" t="s">
        <v>1643</v>
      </c>
      <c r="C901" s="431" t="s">
        <v>0</v>
      </c>
      <c r="D901" s="55" t="s">
        <v>1657</v>
      </c>
      <c r="E901" s="77" t="s">
        <v>1177</v>
      </c>
      <c r="F901" s="55" t="s">
        <v>666</v>
      </c>
      <c r="G901" s="55" t="s">
        <v>1177</v>
      </c>
      <c r="H901" s="77" t="s">
        <v>2101</v>
      </c>
      <c r="I901" s="77" t="s">
        <v>654</v>
      </c>
      <c r="J901" s="55"/>
      <c r="K901" s="56" t="s">
        <v>708</v>
      </c>
      <c r="L901" s="56" t="str">
        <f t="shared" si="36"/>
        <v>_</v>
      </c>
      <c r="M901" s="118">
        <f>ROUND(Tableau1[[#This Row],[LEN]]*7.27,0)</f>
        <v>364</v>
      </c>
      <c r="N901" s="118">
        <v>15</v>
      </c>
      <c r="O901" s="135" t="str">
        <f t="shared" si="37"/>
        <v>_self</v>
      </c>
      <c r="P901" s="118">
        <f>LEN(Tableau1[[#This Row],[LABEL]])</f>
        <v>50</v>
      </c>
      <c r="Q901" s="118">
        <v>15</v>
      </c>
      <c r="R901" s="118" t="e">
        <f>ROUND(Tableau1[[#This Row],[LEN]]*#REF!+#REF!,0)</f>
        <v>#REF!</v>
      </c>
    </row>
    <row r="902" spans="1:18" s="97" customFormat="1" hidden="1" x14ac:dyDescent="0.25">
      <c r="A902" s="53" t="s">
        <v>1651</v>
      </c>
      <c r="B902" s="54" t="s">
        <v>1643</v>
      </c>
      <c r="C902" s="431" t="s">
        <v>0</v>
      </c>
      <c r="D902" s="55" t="s">
        <v>1658</v>
      </c>
      <c r="E902" s="77" t="s">
        <v>1177</v>
      </c>
      <c r="F902" s="55" t="s">
        <v>666</v>
      </c>
      <c r="G902" s="55" t="s">
        <v>1177</v>
      </c>
      <c r="H902" s="77" t="s">
        <v>2101</v>
      </c>
      <c r="I902" s="77" t="s">
        <v>654</v>
      </c>
      <c r="J902" s="55"/>
      <c r="K902" s="56" t="s">
        <v>708</v>
      </c>
      <c r="L902" s="56" t="str">
        <f t="shared" si="36"/>
        <v>_</v>
      </c>
      <c r="M902" s="118">
        <f>ROUND(Tableau1[[#This Row],[LEN]]*7.27,0)</f>
        <v>131</v>
      </c>
      <c r="N902" s="118">
        <v>15</v>
      </c>
      <c r="O902" s="135" t="str">
        <f t="shared" si="37"/>
        <v>_self</v>
      </c>
      <c r="P902" s="118">
        <f>LEN(Tableau1[[#This Row],[LABEL]])</f>
        <v>18</v>
      </c>
      <c r="Q902" s="118">
        <v>15</v>
      </c>
      <c r="R902" s="118" t="e">
        <f>ROUND(Tableau1[[#This Row],[LEN]]*#REF!+#REF!,0)</f>
        <v>#REF!</v>
      </c>
    </row>
    <row r="903" spans="1:18" s="97" customFormat="1" hidden="1" x14ac:dyDescent="0.25">
      <c r="A903" s="53" t="s">
        <v>1652</v>
      </c>
      <c r="B903" s="54" t="s">
        <v>1643</v>
      </c>
      <c r="C903" s="431" t="s">
        <v>0</v>
      </c>
      <c r="D903" s="55" t="s">
        <v>1659</v>
      </c>
      <c r="E903" s="77" t="s">
        <v>1177</v>
      </c>
      <c r="F903" s="55" t="s">
        <v>666</v>
      </c>
      <c r="G903" s="55" t="s">
        <v>1177</v>
      </c>
      <c r="H903" s="77" t="s">
        <v>2101</v>
      </c>
      <c r="I903" s="77" t="s">
        <v>654</v>
      </c>
      <c r="J903" s="55"/>
      <c r="K903" s="56" t="s">
        <v>708</v>
      </c>
      <c r="L903" s="56" t="str">
        <f t="shared" si="36"/>
        <v>_</v>
      </c>
      <c r="M903" s="118">
        <f>ROUND(Tableau1[[#This Row],[LEN]]*7.27,0)</f>
        <v>109</v>
      </c>
      <c r="N903" s="118">
        <v>15</v>
      </c>
      <c r="O903" s="135" t="str">
        <f t="shared" si="37"/>
        <v>_self</v>
      </c>
      <c r="P903" s="118">
        <f>LEN(Tableau1[[#This Row],[LABEL]])</f>
        <v>15</v>
      </c>
      <c r="Q903" s="118">
        <v>15</v>
      </c>
      <c r="R903" s="118" t="e">
        <f>ROUND(Tableau1[[#This Row],[LEN]]*#REF!+#REF!,0)</f>
        <v>#REF!</v>
      </c>
    </row>
    <row r="904" spans="1:18" s="97" customFormat="1" hidden="1" x14ac:dyDescent="0.25">
      <c r="A904" s="53" t="s">
        <v>1653</v>
      </c>
      <c r="B904" s="54" t="s">
        <v>1643</v>
      </c>
      <c r="C904" s="431" t="s">
        <v>0</v>
      </c>
      <c r="D904" s="55" t="s">
        <v>134</v>
      </c>
      <c r="E904" s="77" t="s">
        <v>1177</v>
      </c>
      <c r="F904" s="55" t="s">
        <v>666</v>
      </c>
      <c r="G904" s="55" t="s">
        <v>1177</v>
      </c>
      <c r="H904" s="77" t="s">
        <v>2101</v>
      </c>
      <c r="I904" s="77" t="s">
        <v>654</v>
      </c>
      <c r="J904" s="55"/>
      <c r="K904" s="56" t="s">
        <v>708</v>
      </c>
      <c r="L904" s="56" t="str">
        <f t="shared" si="36"/>
        <v>_</v>
      </c>
      <c r="M904" s="118">
        <f>ROUND(Tableau1[[#This Row],[LEN]]*7.27,0)</f>
        <v>124</v>
      </c>
      <c r="N904" s="118">
        <v>15</v>
      </c>
      <c r="O904" s="135" t="str">
        <f t="shared" si="37"/>
        <v>_self</v>
      </c>
      <c r="P904" s="118">
        <f>LEN(Tableau1[[#This Row],[LABEL]])</f>
        <v>17</v>
      </c>
      <c r="Q904" s="118">
        <v>15</v>
      </c>
      <c r="R904" s="118" t="e">
        <f>ROUND(Tableau1[[#This Row],[LEN]]*#REF!+#REF!,0)</f>
        <v>#REF!</v>
      </c>
    </row>
    <row r="905" spans="1:18" s="97" customFormat="1" hidden="1" x14ac:dyDescent="0.25">
      <c r="A905" s="49" t="s">
        <v>1644</v>
      </c>
      <c r="B905" s="50" t="s">
        <v>306</v>
      </c>
      <c r="C905" s="431" t="s">
        <v>0</v>
      </c>
      <c r="D905" s="51" t="s">
        <v>1654</v>
      </c>
      <c r="E905" s="76" t="s">
        <v>1177</v>
      </c>
      <c r="F905" s="51" t="s">
        <v>666</v>
      </c>
      <c r="G905" s="51" t="s">
        <v>661</v>
      </c>
      <c r="H905" s="76" t="s">
        <v>2101</v>
      </c>
      <c r="I905" s="76" t="s">
        <v>654</v>
      </c>
      <c r="J905" s="51"/>
      <c r="K905" s="52" t="s">
        <v>708</v>
      </c>
      <c r="L905" s="52" t="str">
        <f t="shared" si="36"/>
        <v>_</v>
      </c>
      <c r="M905" s="117">
        <f>ROUND(Tableau1[[#This Row],[LEN]]*7.27,0)</f>
        <v>160</v>
      </c>
      <c r="N905" s="117">
        <v>15</v>
      </c>
      <c r="O905" s="134" t="str">
        <f t="shared" si="37"/>
        <v>_self</v>
      </c>
      <c r="P905" s="117">
        <f>LEN(Tableau1[[#This Row],[LABEL]])</f>
        <v>22</v>
      </c>
      <c r="Q905" s="117">
        <v>15</v>
      </c>
      <c r="R905" s="117" t="e">
        <f>ROUND(Tableau1[[#This Row],[LEN]]*#REF!+#REF!,0)</f>
        <v>#REF!</v>
      </c>
    </row>
    <row r="906" spans="1:18" s="97" customFormat="1" hidden="1" x14ac:dyDescent="0.25">
      <c r="A906" s="49" t="s">
        <v>1645</v>
      </c>
      <c r="B906" s="50" t="s">
        <v>306</v>
      </c>
      <c r="C906" s="431" t="s">
        <v>0</v>
      </c>
      <c r="D906" s="51" t="s">
        <v>1655</v>
      </c>
      <c r="E906" s="76" t="s">
        <v>1656</v>
      </c>
      <c r="F906" s="51" t="s">
        <v>673</v>
      </c>
      <c r="G906" s="51" t="s">
        <v>1660</v>
      </c>
      <c r="H906" s="76" t="s">
        <v>2101</v>
      </c>
      <c r="I906" s="76" t="s">
        <v>654</v>
      </c>
      <c r="J906" s="51"/>
      <c r="K906" s="52" t="s">
        <v>708</v>
      </c>
      <c r="L906" s="52" t="str">
        <f t="shared" si="36"/>
        <v>_</v>
      </c>
      <c r="M906" s="117">
        <f>ROUND(Tableau1[[#This Row],[LEN]]*7.27,0)</f>
        <v>291</v>
      </c>
      <c r="N906" s="117">
        <v>15</v>
      </c>
      <c r="O906" s="134" t="str">
        <f t="shared" si="37"/>
        <v>_self</v>
      </c>
      <c r="P906" s="117">
        <f>LEN(Tableau1[[#This Row],[LABEL]])</f>
        <v>40</v>
      </c>
      <c r="Q906" s="117">
        <v>15</v>
      </c>
      <c r="R906" s="117" t="e">
        <f>ROUND(Tableau1[[#This Row],[LEN]]*#REF!+#REF!,0)</f>
        <v>#REF!</v>
      </c>
    </row>
    <row r="907" spans="1:18" s="273" customFormat="1" hidden="1" x14ac:dyDescent="0.25">
      <c r="A907" s="351" t="s">
        <v>308</v>
      </c>
      <c r="B907" s="352" t="s">
        <v>209</v>
      </c>
      <c r="C907" s="431" t="s">
        <v>0</v>
      </c>
      <c r="D907" s="353" t="s">
        <v>5</v>
      </c>
      <c r="E907" s="354" t="s">
        <v>1177</v>
      </c>
      <c r="F907" s="353" t="s">
        <v>668</v>
      </c>
      <c r="G907" s="353" t="s">
        <v>1177</v>
      </c>
      <c r="H907" s="354" t="s">
        <v>2101</v>
      </c>
      <c r="I907" s="354" t="str">
        <f>IFERROR(IF(SEARCH(".00.00.00.00.00",Tableau1[[#This Row],[name]],1)=7,"Division",""),"")</f>
        <v>Division</v>
      </c>
      <c r="J907" s="353"/>
      <c r="K907" s="355" t="s">
        <v>708</v>
      </c>
      <c r="L907" s="355" t="str">
        <f t="shared" si="36"/>
        <v>_</v>
      </c>
      <c r="M907" s="356">
        <f>ROUND(Tableau1[[#This Row],[LEN]]*7.27,0)</f>
        <v>73</v>
      </c>
      <c r="N907" s="356">
        <v>15</v>
      </c>
      <c r="O907" s="357" t="str">
        <f t="shared" si="37"/>
        <v>_self</v>
      </c>
      <c r="P907" s="356">
        <f>LEN(Tableau1[[#This Row],[LABEL]])</f>
        <v>10</v>
      </c>
      <c r="Q907" s="356">
        <v>15</v>
      </c>
      <c r="R907" s="356" t="e">
        <f>ROUND(Tableau1[[#This Row],[LEN]]*#REF!+#REF!,0)</f>
        <v>#REF!</v>
      </c>
    </row>
    <row r="908" spans="1:18" s="97" customFormat="1" hidden="1" x14ac:dyDescent="0.25">
      <c r="A908" s="49" t="s">
        <v>1661</v>
      </c>
      <c r="B908" s="50" t="s">
        <v>308</v>
      </c>
      <c r="C908" s="431" t="s">
        <v>0</v>
      </c>
      <c r="D908" s="51" t="s">
        <v>1662</v>
      </c>
      <c r="E908" s="76" t="s">
        <v>1177</v>
      </c>
      <c r="F908" s="51" t="s">
        <v>668</v>
      </c>
      <c r="G908" s="51" t="s">
        <v>1339</v>
      </c>
      <c r="H908" s="76" t="s">
        <v>2101</v>
      </c>
      <c r="I908" s="76" t="s">
        <v>56</v>
      </c>
      <c r="J908" s="51"/>
      <c r="K908" s="52" t="s">
        <v>708</v>
      </c>
      <c r="L908" s="52" t="str">
        <f t="shared" si="36"/>
        <v>_</v>
      </c>
      <c r="M908" s="117">
        <f>ROUND(Tableau1[[#This Row],[LEN]]*7.27,0)</f>
        <v>218</v>
      </c>
      <c r="N908" s="117">
        <v>15</v>
      </c>
      <c r="O908" s="134" t="str">
        <f t="shared" si="37"/>
        <v>_self</v>
      </c>
      <c r="P908" s="117">
        <f>LEN(Tableau1[[#This Row],[LABEL]])</f>
        <v>30</v>
      </c>
      <c r="Q908" s="117">
        <v>15</v>
      </c>
      <c r="R908" s="117" t="e">
        <f>ROUND(Tableau1[[#This Row],[LEN]]*#REF!+#REF!,0)</f>
        <v>#REF!</v>
      </c>
    </row>
    <row r="909" spans="1:18" s="273" customFormat="1" hidden="1" x14ac:dyDescent="0.25">
      <c r="A909" s="351" t="s">
        <v>309</v>
      </c>
      <c r="B909" s="352" t="s">
        <v>209</v>
      </c>
      <c r="C909" s="431" t="s">
        <v>0</v>
      </c>
      <c r="D909" s="353" t="s">
        <v>2147</v>
      </c>
      <c r="E909" s="354" t="s">
        <v>1177</v>
      </c>
      <c r="F909" s="353" t="s">
        <v>669</v>
      </c>
      <c r="G909" s="353" t="s">
        <v>1177</v>
      </c>
      <c r="H909" s="354" t="s">
        <v>2101</v>
      </c>
      <c r="I909" s="354" t="str">
        <f>IFERROR(IF(SEARCH(".00.00.00.00.00",Tableau1[[#This Row],[name]],1)=7,"Division",""),"")</f>
        <v>Division</v>
      </c>
      <c r="J909" s="353"/>
      <c r="K909" s="355" t="s">
        <v>708</v>
      </c>
      <c r="L909" s="355" t="str">
        <f t="shared" si="36"/>
        <v>_</v>
      </c>
      <c r="M909" s="356">
        <f>ROUND(Tableau1[[#This Row],[LEN]]*7.27,0)</f>
        <v>196</v>
      </c>
      <c r="N909" s="356">
        <v>15</v>
      </c>
      <c r="O909" s="357" t="str">
        <f t="shared" si="37"/>
        <v>_self</v>
      </c>
      <c r="P909" s="356">
        <f>LEN(Tableau1[[#This Row],[LABEL]])</f>
        <v>27</v>
      </c>
      <c r="Q909" s="356">
        <v>15</v>
      </c>
      <c r="R909" s="356" t="e">
        <f>ROUND(Tableau1[[#This Row],[LEN]]*#REF!+#REF!,0)</f>
        <v>#REF!</v>
      </c>
    </row>
    <row r="910" spans="1:18" s="97" customFormat="1" hidden="1" x14ac:dyDescent="0.25">
      <c r="A910" s="49" t="s">
        <v>1663</v>
      </c>
      <c r="B910" s="50" t="s">
        <v>309</v>
      </c>
      <c r="C910" s="431" t="s">
        <v>0</v>
      </c>
      <c r="D910" s="51" t="s">
        <v>128</v>
      </c>
      <c r="E910" s="76" t="s">
        <v>1177</v>
      </c>
      <c r="F910" s="51" t="s">
        <v>669</v>
      </c>
      <c r="G910" s="51" t="s">
        <v>2029</v>
      </c>
      <c r="H910" s="76" t="s">
        <v>2101</v>
      </c>
      <c r="I910" s="76" t="s">
        <v>570</v>
      </c>
      <c r="J910" s="51"/>
      <c r="K910" s="52" t="s">
        <v>708</v>
      </c>
      <c r="L910" s="52" t="str">
        <f t="shared" si="36"/>
        <v>_</v>
      </c>
      <c r="M910" s="117">
        <f>ROUND(Tableau1[[#This Row],[LEN]]*7.27,0)</f>
        <v>182</v>
      </c>
      <c r="N910" s="117">
        <v>15</v>
      </c>
      <c r="O910" s="134" t="str">
        <f t="shared" si="37"/>
        <v>_self</v>
      </c>
      <c r="P910" s="117">
        <f>LEN(Tableau1[[#This Row],[LABEL]])</f>
        <v>25</v>
      </c>
      <c r="Q910" s="117">
        <v>15</v>
      </c>
      <c r="R910" s="117" t="e">
        <f>ROUND(Tableau1[[#This Row],[LEN]]*#REF!+#REF!,0)</f>
        <v>#REF!</v>
      </c>
    </row>
    <row r="911" spans="1:18" s="97" customFormat="1" hidden="1" x14ac:dyDescent="0.25">
      <c r="A911" s="49" t="s">
        <v>1664</v>
      </c>
      <c r="B911" s="50" t="s">
        <v>309</v>
      </c>
      <c r="C911" s="431" t="s">
        <v>0</v>
      </c>
      <c r="D911" s="51" t="s">
        <v>129</v>
      </c>
      <c r="E911" s="76" t="s">
        <v>1177</v>
      </c>
      <c r="F911" s="51" t="s">
        <v>673</v>
      </c>
      <c r="G911" s="51" t="s">
        <v>2035</v>
      </c>
      <c r="H911" s="76" t="s">
        <v>2101</v>
      </c>
      <c r="I911" s="76" t="s">
        <v>655</v>
      </c>
      <c r="J911" s="51"/>
      <c r="K911" s="52" t="s">
        <v>708</v>
      </c>
      <c r="L911" s="52" t="str">
        <f t="shared" si="36"/>
        <v>_</v>
      </c>
      <c r="M911" s="117">
        <f>ROUND(Tableau1[[#This Row],[LEN]]*7.27,0)</f>
        <v>87</v>
      </c>
      <c r="N911" s="117">
        <v>15</v>
      </c>
      <c r="O911" s="134" t="str">
        <f t="shared" si="37"/>
        <v>_self</v>
      </c>
      <c r="P911" s="117">
        <f>LEN(Tableau1[[#This Row],[LABEL]])</f>
        <v>12</v>
      </c>
      <c r="Q911" s="117">
        <v>15</v>
      </c>
      <c r="R911" s="117" t="e">
        <f>ROUND(Tableau1[[#This Row],[LEN]]*#REF!+#REF!,0)</f>
        <v>#REF!</v>
      </c>
    </row>
    <row r="912" spans="1:18" s="97" customFormat="1" hidden="1" x14ac:dyDescent="0.25">
      <c r="A912" s="53" t="s">
        <v>1675</v>
      </c>
      <c r="B912" s="54" t="s">
        <v>1664</v>
      </c>
      <c r="C912" s="431" t="s">
        <v>0</v>
      </c>
      <c r="D912" s="55" t="s">
        <v>131</v>
      </c>
      <c r="E912" s="77" t="s">
        <v>1177</v>
      </c>
      <c r="F912" s="55" t="s">
        <v>673</v>
      </c>
      <c r="G912" s="55" t="s">
        <v>2035</v>
      </c>
      <c r="H912" s="77" t="s">
        <v>2101</v>
      </c>
      <c r="I912" s="77" t="s">
        <v>570</v>
      </c>
      <c r="J912" s="55"/>
      <c r="K912" s="56" t="s">
        <v>708</v>
      </c>
      <c r="L912" s="56" t="str">
        <f t="shared" si="36"/>
        <v>_</v>
      </c>
      <c r="M912" s="118">
        <f>ROUND(Tableau1[[#This Row],[LEN]]*7.27,0)</f>
        <v>262</v>
      </c>
      <c r="N912" s="118">
        <v>15</v>
      </c>
      <c r="O912" s="135" t="str">
        <f t="shared" si="37"/>
        <v>_self</v>
      </c>
      <c r="P912" s="118">
        <f>LEN(Tableau1[[#This Row],[LABEL]])</f>
        <v>36</v>
      </c>
      <c r="Q912" s="118">
        <v>15</v>
      </c>
      <c r="R912" s="118" t="e">
        <f>ROUND(Tableau1[[#This Row],[LEN]]*#REF!+#REF!,0)</f>
        <v>#REF!</v>
      </c>
    </row>
    <row r="913" spans="1:18" s="97" customFormat="1" hidden="1" x14ac:dyDescent="0.25">
      <c r="A913" s="53" t="s">
        <v>1676</v>
      </c>
      <c r="B913" s="54" t="s">
        <v>1664</v>
      </c>
      <c r="C913" s="431" t="s">
        <v>0</v>
      </c>
      <c r="D913" s="55" t="s">
        <v>132</v>
      </c>
      <c r="E913" s="77" t="s">
        <v>1177</v>
      </c>
      <c r="F913" s="55" t="s">
        <v>673</v>
      </c>
      <c r="G913" s="55" t="s">
        <v>2035</v>
      </c>
      <c r="H913" s="77" t="s">
        <v>2101</v>
      </c>
      <c r="I913" s="77" t="s">
        <v>570</v>
      </c>
      <c r="J913" s="55"/>
      <c r="K913" s="56" t="s">
        <v>708</v>
      </c>
      <c r="L913" s="56" t="str">
        <f t="shared" si="36"/>
        <v>_</v>
      </c>
      <c r="M913" s="118">
        <f>ROUND(Tableau1[[#This Row],[LEN]]*7.27,0)</f>
        <v>298</v>
      </c>
      <c r="N913" s="118">
        <v>15</v>
      </c>
      <c r="O913" s="135" t="str">
        <f t="shared" si="37"/>
        <v>_self</v>
      </c>
      <c r="P913" s="118">
        <f>LEN(Tableau1[[#This Row],[LABEL]])</f>
        <v>41</v>
      </c>
      <c r="Q913" s="118">
        <v>15</v>
      </c>
      <c r="R913" s="118" t="e">
        <f>ROUND(Tableau1[[#This Row],[LEN]]*#REF!+#REF!,0)</f>
        <v>#REF!</v>
      </c>
    </row>
    <row r="914" spans="1:18" s="97" customFormat="1" hidden="1" x14ac:dyDescent="0.25">
      <c r="A914" s="49" t="s">
        <v>1665</v>
      </c>
      <c r="B914" s="50" t="s">
        <v>309</v>
      </c>
      <c r="C914" s="431" t="s">
        <v>0</v>
      </c>
      <c r="D914" s="51" t="s">
        <v>1677</v>
      </c>
      <c r="E914" s="76" t="s">
        <v>1177</v>
      </c>
      <c r="F914" s="51" t="s">
        <v>669</v>
      </c>
      <c r="G914" s="51" t="s">
        <v>1177</v>
      </c>
      <c r="H914" s="76" t="s">
        <v>2101</v>
      </c>
      <c r="I914" s="76" t="s">
        <v>654</v>
      </c>
      <c r="J914" s="51"/>
      <c r="K914" s="52" t="s">
        <v>708</v>
      </c>
      <c r="L914" s="52" t="str">
        <f t="shared" si="36"/>
        <v>_</v>
      </c>
      <c r="M914" s="117">
        <f>ROUND(Tableau1[[#This Row],[LEN]]*7.27,0)</f>
        <v>109</v>
      </c>
      <c r="N914" s="117">
        <v>15</v>
      </c>
      <c r="O914" s="134" t="str">
        <f t="shared" si="37"/>
        <v>_self</v>
      </c>
      <c r="P914" s="117">
        <f>LEN(Tableau1[[#This Row],[LABEL]])</f>
        <v>15</v>
      </c>
      <c r="Q914" s="117">
        <v>15</v>
      </c>
      <c r="R914" s="117" t="e">
        <f>ROUND(Tableau1[[#This Row],[LEN]]*#REF!+#REF!,0)</f>
        <v>#REF!</v>
      </c>
    </row>
    <row r="915" spans="1:18" s="97" customFormat="1" hidden="1" x14ac:dyDescent="0.25">
      <c r="A915" s="49" t="s">
        <v>1666</v>
      </c>
      <c r="B915" s="50" t="s">
        <v>309</v>
      </c>
      <c r="C915" s="431" t="s">
        <v>0</v>
      </c>
      <c r="D915" s="51" t="s">
        <v>1678</v>
      </c>
      <c r="E915" s="76" t="s">
        <v>1177</v>
      </c>
      <c r="F915" s="51" t="s">
        <v>669</v>
      </c>
      <c r="G915" s="51" t="s">
        <v>1177</v>
      </c>
      <c r="H915" s="76" t="s">
        <v>2101</v>
      </c>
      <c r="I915" s="76" t="s">
        <v>654</v>
      </c>
      <c r="J915" s="51"/>
      <c r="K915" s="52" t="s">
        <v>708</v>
      </c>
      <c r="L915" s="52" t="str">
        <f t="shared" si="36"/>
        <v>_</v>
      </c>
      <c r="M915" s="117">
        <f>ROUND(Tableau1[[#This Row],[LEN]]*7.27,0)</f>
        <v>196</v>
      </c>
      <c r="N915" s="117">
        <v>15</v>
      </c>
      <c r="O915" s="134" t="str">
        <f t="shared" si="37"/>
        <v>_self</v>
      </c>
      <c r="P915" s="117">
        <f>LEN(Tableau1[[#This Row],[LABEL]])</f>
        <v>27</v>
      </c>
      <c r="Q915" s="117">
        <v>15</v>
      </c>
      <c r="R915" s="117" t="e">
        <f>ROUND(Tableau1[[#This Row],[LEN]]*#REF!+#REF!,0)</f>
        <v>#REF!</v>
      </c>
    </row>
    <row r="916" spans="1:18" s="97" customFormat="1" hidden="1" x14ac:dyDescent="0.25">
      <c r="A916" s="49" t="s">
        <v>1667</v>
      </c>
      <c r="B916" s="50" t="s">
        <v>309</v>
      </c>
      <c r="C916" s="431" t="s">
        <v>0</v>
      </c>
      <c r="D916" s="51" t="s">
        <v>1679</v>
      </c>
      <c r="E916" s="76" t="s">
        <v>1177</v>
      </c>
      <c r="F916" s="51" t="s">
        <v>669</v>
      </c>
      <c r="G916" s="51" t="s">
        <v>1177</v>
      </c>
      <c r="H916" s="76" t="s">
        <v>2101</v>
      </c>
      <c r="I916" s="76" t="s">
        <v>654</v>
      </c>
      <c r="J916" s="51"/>
      <c r="K916" s="52" t="s">
        <v>708</v>
      </c>
      <c r="L916" s="52" t="str">
        <f t="shared" si="36"/>
        <v>_</v>
      </c>
      <c r="M916" s="117">
        <f>ROUND(Tableau1[[#This Row],[LEN]]*7.27,0)</f>
        <v>254</v>
      </c>
      <c r="N916" s="117">
        <v>15</v>
      </c>
      <c r="O916" s="134" t="str">
        <f t="shared" si="37"/>
        <v>_self</v>
      </c>
      <c r="P916" s="117">
        <f>LEN(Tableau1[[#This Row],[LABEL]])</f>
        <v>35</v>
      </c>
      <c r="Q916" s="117">
        <v>15</v>
      </c>
      <c r="R916" s="117" t="e">
        <f>ROUND(Tableau1[[#This Row],[LEN]]*#REF!+#REF!,0)</f>
        <v>#REF!</v>
      </c>
    </row>
    <row r="917" spans="1:18" s="97" customFormat="1" hidden="1" x14ac:dyDescent="0.25">
      <c r="A917" s="49" t="s">
        <v>1668</v>
      </c>
      <c r="B917" s="50" t="s">
        <v>309</v>
      </c>
      <c r="C917" s="431" t="s">
        <v>0</v>
      </c>
      <c r="D917" s="51" t="s">
        <v>1680</v>
      </c>
      <c r="E917" s="76" t="s">
        <v>1177</v>
      </c>
      <c r="F917" s="51" t="s">
        <v>669</v>
      </c>
      <c r="G917" s="51" t="s">
        <v>1177</v>
      </c>
      <c r="H917" s="76" t="s">
        <v>2101</v>
      </c>
      <c r="I917" s="76" t="s">
        <v>654</v>
      </c>
      <c r="J917" s="51"/>
      <c r="K917" s="52" t="s">
        <v>708</v>
      </c>
      <c r="L917" s="52" t="str">
        <f t="shared" si="36"/>
        <v>_</v>
      </c>
      <c r="M917" s="117">
        <f>ROUND(Tableau1[[#This Row],[LEN]]*7.27,0)</f>
        <v>269</v>
      </c>
      <c r="N917" s="117">
        <v>15</v>
      </c>
      <c r="O917" s="134" t="str">
        <f t="shared" si="37"/>
        <v>_self</v>
      </c>
      <c r="P917" s="117">
        <f>LEN(Tableau1[[#This Row],[LABEL]])</f>
        <v>37</v>
      </c>
      <c r="Q917" s="117">
        <v>15</v>
      </c>
      <c r="R917" s="117" t="e">
        <f>ROUND(Tableau1[[#This Row],[LEN]]*#REF!+#REF!,0)</f>
        <v>#REF!</v>
      </c>
    </row>
    <row r="918" spans="1:18" s="97" customFormat="1" hidden="1" x14ac:dyDescent="0.25">
      <c r="A918" s="49" t="s">
        <v>1669</v>
      </c>
      <c r="B918" s="50" t="s">
        <v>309</v>
      </c>
      <c r="C918" s="431" t="s">
        <v>0</v>
      </c>
      <c r="D918" s="51" t="s">
        <v>1681</v>
      </c>
      <c r="E918" s="76" t="s">
        <v>1177</v>
      </c>
      <c r="F918" s="51" t="s">
        <v>669</v>
      </c>
      <c r="G918" s="51" t="s">
        <v>1177</v>
      </c>
      <c r="H918" s="76" t="s">
        <v>2101</v>
      </c>
      <c r="I918" s="76" t="s">
        <v>655</v>
      </c>
      <c r="J918" s="51"/>
      <c r="K918" s="52" t="s">
        <v>708</v>
      </c>
      <c r="L918" s="52" t="str">
        <f t="shared" si="36"/>
        <v>_</v>
      </c>
      <c r="M918" s="117">
        <f>ROUND(Tableau1[[#This Row],[LEN]]*7.27,0)</f>
        <v>305</v>
      </c>
      <c r="N918" s="117">
        <v>15</v>
      </c>
      <c r="O918" s="134" t="str">
        <f t="shared" si="37"/>
        <v>_self</v>
      </c>
      <c r="P918" s="117">
        <f>LEN(Tableau1[[#This Row],[LABEL]])</f>
        <v>42</v>
      </c>
      <c r="Q918" s="117">
        <v>15</v>
      </c>
      <c r="R918" s="117" t="e">
        <f>ROUND(Tableau1[[#This Row],[LEN]]*#REF!+#REF!,0)</f>
        <v>#REF!</v>
      </c>
    </row>
    <row r="919" spans="1:18" s="97" customFormat="1" hidden="1" x14ac:dyDescent="0.25">
      <c r="A919" s="53" t="s">
        <v>1682</v>
      </c>
      <c r="B919" s="54" t="s">
        <v>1669</v>
      </c>
      <c r="C919" s="431" t="s">
        <v>0</v>
      </c>
      <c r="D919" s="55" t="s">
        <v>1688</v>
      </c>
      <c r="E919" s="77" t="s">
        <v>1687</v>
      </c>
      <c r="F919" s="55" t="s">
        <v>669</v>
      </c>
      <c r="G919" s="55" t="s">
        <v>1177</v>
      </c>
      <c r="H919" s="77" t="s">
        <v>2101</v>
      </c>
      <c r="I919" s="77" t="s">
        <v>654</v>
      </c>
      <c r="J919" s="55"/>
      <c r="K919" s="56" t="s">
        <v>708</v>
      </c>
      <c r="L919" s="56" t="str">
        <f t="shared" si="36"/>
        <v>_</v>
      </c>
      <c r="M919" s="118">
        <f>ROUND(Tableau1[[#This Row],[LEN]]*7.27,0)</f>
        <v>465</v>
      </c>
      <c r="N919" s="118">
        <v>15</v>
      </c>
      <c r="O919" s="135" t="str">
        <f t="shared" si="37"/>
        <v>_self</v>
      </c>
      <c r="P919" s="118">
        <f>LEN(Tableau1[[#This Row],[LABEL]])</f>
        <v>64</v>
      </c>
      <c r="Q919" s="118">
        <v>15</v>
      </c>
      <c r="R919" s="118" t="e">
        <f>ROUND(Tableau1[[#This Row],[LEN]]*#REF!+#REF!,0)</f>
        <v>#REF!</v>
      </c>
    </row>
    <row r="920" spans="1:18" s="97" customFormat="1" hidden="1" x14ac:dyDescent="0.25">
      <c r="A920" s="53" t="s">
        <v>1683</v>
      </c>
      <c r="B920" s="54" t="s">
        <v>1669</v>
      </c>
      <c r="C920" s="431" t="s">
        <v>0</v>
      </c>
      <c r="D920" s="55" t="s">
        <v>1689</v>
      </c>
      <c r="E920" s="77" t="s">
        <v>1177</v>
      </c>
      <c r="F920" s="55" t="s">
        <v>669</v>
      </c>
      <c r="G920" s="55" t="s">
        <v>1177</v>
      </c>
      <c r="H920" s="77" t="s">
        <v>2101</v>
      </c>
      <c r="I920" s="77" t="s">
        <v>654</v>
      </c>
      <c r="J920" s="55"/>
      <c r="K920" s="56" t="s">
        <v>708</v>
      </c>
      <c r="L920" s="56" t="str">
        <f t="shared" si="36"/>
        <v>_</v>
      </c>
      <c r="M920" s="118">
        <f>ROUND(Tableau1[[#This Row],[LEN]]*7.27,0)</f>
        <v>422</v>
      </c>
      <c r="N920" s="118">
        <v>15</v>
      </c>
      <c r="O920" s="135" t="str">
        <f t="shared" si="37"/>
        <v>_self</v>
      </c>
      <c r="P920" s="118">
        <f>LEN(Tableau1[[#This Row],[LABEL]])</f>
        <v>58</v>
      </c>
      <c r="Q920" s="118">
        <v>15</v>
      </c>
      <c r="R920" s="118" t="e">
        <f>ROUND(Tableau1[[#This Row],[LEN]]*#REF!+#REF!,0)</f>
        <v>#REF!</v>
      </c>
    </row>
    <row r="921" spans="1:18" s="97" customFormat="1" hidden="1" x14ac:dyDescent="0.25">
      <c r="A921" s="53" t="s">
        <v>1684</v>
      </c>
      <c r="B921" s="54" t="s">
        <v>1669</v>
      </c>
      <c r="C921" s="431" t="s">
        <v>0</v>
      </c>
      <c r="D921" s="55" t="s">
        <v>1690</v>
      </c>
      <c r="E921" s="77" t="s">
        <v>1177</v>
      </c>
      <c r="F921" s="55" t="s">
        <v>669</v>
      </c>
      <c r="G921" s="55" t="s">
        <v>1177</v>
      </c>
      <c r="H921" s="77" t="s">
        <v>2101</v>
      </c>
      <c r="I921" s="77" t="s">
        <v>654</v>
      </c>
      <c r="J921" s="55"/>
      <c r="K921" s="56" t="s">
        <v>708</v>
      </c>
      <c r="L921" s="56" t="str">
        <f t="shared" si="36"/>
        <v>_</v>
      </c>
      <c r="M921" s="118">
        <f>ROUND(Tableau1[[#This Row],[LEN]]*7.27,0)</f>
        <v>313</v>
      </c>
      <c r="N921" s="118">
        <v>15</v>
      </c>
      <c r="O921" s="135" t="str">
        <f t="shared" si="37"/>
        <v>_self</v>
      </c>
      <c r="P921" s="118">
        <f>LEN(Tableau1[[#This Row],[LABEL]])</f>
        <v>43</v>
      </c>
      <c r="Q921" s="118">
        <v>15</v>
      </c>
      <c r="R921" s="118" t="e">
        <f>ROUND(Tableau1[[#This Row],[LEN]]*#REF!+#REF!,0)</f>
        <v>#REF!</v>
      </c>
    </row>
    <row r="922" spans="1:18" s="97" customFormat="1" hidden="1" x14ac:dyDescent="0.25">
      <c r="A922" s="53" t="s">
        <v>1685</v>
      </c>
      <c r="B922" s="54" t="s">
        <v>1669</v>
      </c>
      <c r="C922" s="431" t="s">
        <v>0</v>
      </c>
      <c r="D922" s="55" t="s">
        <v>1691</v>
      </c>
      <c r="E922" s="77" t="s">
        <v>1701</v>
      </c>
      <c r="F922" s="55" t="s">
        <v>669</v>
      </c>
      <c r="G922" s="55" t="s">
        <v>1177</v>
      </c>
      <c r="H922" s="77" t="s">
        <v>2101</v>
      </c>
      <c r="I922" s="77" t="s">
        <v>654</v>
      </c>
      <c r="J922" s="55"/>
      <c r="K922" s="56" t="s">
        <v>708</v>
      </c>
      <c r="L922" s="56" t="str">
        <f t="shared" si="36"/>
        <v>_</v>
      </c>
      <c r="M922" s="118">
        <f>ROUND(Tableau1[[#This Row],[LEN]]*7.27,0)</f>
        <v>523</v>
      </c>
      <c r="N922" s="118">
        <v>15</v>
      </c>
      <c r="O922" s="135" t="str">
        <f t="shared" si="37"/>
        <v>_self</v>
      </c>
      <c r="P922" s="118">
        <f>LEN(Tableau1[[#This Row],[LABEL]])</f>
        <v>72</v>
      </c>
      <c r="Q922" s="118">
        <v>15</v>
      </c>
      <c r="R922" s="118" t="e">
        <f>ROUND(Tableau1[[#This Row],[LEN]]*#REF!+#REF!,0)</f>
        <v>#REF!</v>
      </c>
    </row>
    <row r="923" spans="1:18" s="97" customFormat="1" hidden="1" x14ac:dyDescent="0.25">
      <c r="A923" s="53" t="s">
        <v>1686</v>
      </c>
      <c r="B923" s="54" t="s">
        <v>1669</v>
      </c>
      <c r="C923" s="431" t="s">
        <v>0</v>
      </c>
      <c r="D923" s="55" t="s">
        <v>1692</v>
      </c>
      <c r="E923" s="77" t="s">
        <v>1177</v>
      </c>
      <c r="F923" s="55" t="s">
        <v>669</v>
      </c>
      <c r="G923" s="55" t="s">
        <v>1177</v>
      </c>
      <c r="H923" s="77" t="s">
        <v>2101</v>
      </c>
      <c r="I923" s="77" t="s">
        <v>655</v>
      </c>
      <c r="J923" s="55"/>
      <c r="K923" s="56" t="s">
        <v>708</v>
      </c>
      <c r="L923" s="56" t="str">
        <f t="shared" si="36"/>
        <v>_</v>
      </c>
      <c r="M923" s="118">
        <f>ROUND(Tableau1[[#This Row],[LEN]]*7.27,0)</f>
        <v>233</v>
      </c>
      <c r="N923" s="118">
        <v>15</v>
      </c>
      <c r="O923" s="135" t="str">
        <f t="shared" si="37"/>
        <v>_self</v>
      </c>
      <c r="P923" s="118">
        <f>LEN(Tableau1[[#This Row],[LABEL]])</f>
        <v>32</v>
      </c>
      <c r="Q923" s="118">
        <v>15</v>
      </c>
      <c r="R923" s="118" t="e">
        <f>ROUND(Tableau1[[#This Row],[LEN]]*#REF!+#REF!,0)</f>
        <v>#REF!</v>
      </c>
    </row>
    <row r="924" spans="1:18" s="97" customFormat="1" hidden="1" x14ac:dyDescent="0.25">
      <c r="A924" s="410" t="s">
        <v>1693</v>
      </c>
      <c r="B924" s="411" t="s">
        <v>1686</v>
      </c>
      <c r="C924" s="431" t="s">
        <v>0</v>
      </c>
      <c r="D924" s="412" t="s">
        <v>1697</v>
      </c>
      <c r="E924" s="413" t="s">
        <v>1177</v>
      </c>
      <c r="F924" s="412" t="s">
        <v>669</v>
      </c>
      <c r="G924" s="412" t="s">
        <v>1177</v>
      </c>
      <c r="H924" s="413" t="s">
        <v>2101</v>
      </c>
      <c r="I924" s="414" t="s">
        <v>654</v>
      </c>
      <c r="J924" s="412"/>
      <c r="K924" s="415" t="s">
        <v>708</v>
      </c>
      <c r="L924" s="415" t="str">
        <f t="shared" si="36"/>
        <v>_</v>
      </c>
      <c r="M924" s="416">
        <f>ROUND(Tableau1[[#This Row],[LEN]]*7.27,0)</f>
        <v>145</v>
      </c>
      <c r="N924" s="416">
        <v>15</v>
      </c>
      <c r="O924" s="417" t="str">
        <f t="shared" si="37"/>
        <v>_self</v>
      </c>
      <c r="P924" s="416">
        <f>LEN(Tableau1[[#This Row],[LABEL]])</f>
        <v>20</v>
      </c>
      <c r="Q924" s="416">
        <v>15</v>
      </c>
      <c r="R924" s="416" t="e">
        <f>ROUND(Tableau1[[#This Row],[LEN]]*#REF!+#REF!,0)</f>
        <v>#REF!</v>
      </c>
    </row>
    <row r="925" spans="1:18" s="97" customFormat="1" hidden="1" x14ac:dyDescent="0.25">
      <c r="A925" s="410" t="s">
        <v>1694</v>
      </c>
      <c r="B925" s="411" t="s">
        <v>1686</v>
      </c>
      <c r="C925" s="431" t="s">
        <v>0</v>
      </c>
      <c r="D925" s="412" t="s">
        <v>1698</v>
      </c>
      <c r="E925" s="413" t="s">
        <v>1177</v>
      </c>
      <c r="F925" s="412" t="s">
        <v>669</v>
      </c>
      <c r="G925" s="412" t="s">
        <v>1177</v>
      </c>
      <c r="H925" s="413" t="s">
        <v>2101</v>
      </c>
      <c r="I925" s="414" t="s">
        <v>654</v>
      </c>
      <c r="J925" s="412"/>
      <c r="K925" s="415" t="s">
        <v>708</v>
      </c>
      <c r="L925" s="415" t="str">
        <f t="shared" si="36"/>
        <v>_</v>
      </c>
      <c r="M925" s="416">
        <f>ROUND(Tableau1[[#This Row],[LEN]]*7.27,0)</f>
        <v>174</v>
      </c>
      <c r="N925" s="416">
        <v>15</v>
      </c>
      <c r="O925" s="417" t="str">
        <f t="shared" si="37"/>
        <v>_self</v>
      </c>
      <c r="P925" s="416">
        <f>LEN(Tableau1[[#This Row],[LABEL]])</f>
        <v>24</v>
      </c>
      <c r="Q925" s="416">
        <v>15</v>
      </c>
      <c r="R925" s="416" t="e">
        <f>ROUND(Tableau1[[#This Row],[LEN]]*#REF!+#REF!,0)</f>
        <v>#REF!</v>
      </c>
    </row>
    <row r="926" spans="1:18" s="97" customFormat="1" hidden="1" x14ac:dyDescent="0.25">
      <c r="A926" s="410" t="s">
        <v>1695</v>
      </c>
      <c r="B926" s="411" t="s">
        <v>1686</v>
      </c>
      <c r="C926" s="431" t="s">
        <v>0</v>
      </c>
      <c r="D926" s="412" t="s">
        <v>1699</v>
      </c>
      <c r="E926" s="413" t="s">
        <v>1177</v>
      </c>
      <c r="F926" s="412" t="s">
        <v>669</v>
      </c>
      <c r="G926" s="412" t="s">
        <v>1177</v>
      </c>
      <c r="H926" s="413" t="s">
        <v>2101</v>
      </c>
      <c r="I926" s="414" t="s">
        <v>654</v>
      </c>
      <c r="J926" s="412"/>
      <c r="K926" s="415" t="s">
        <v>708</v>
      </c>
      <c r="L926" s="415" t="str">
        <f t="shared" si="36"/>
        <v>_</v>
      </c>
      <c r="M926" s="416">
        <f>ROUND(Tableau1[[#This Row],[LEN]]*7.27,0)</f>
        <v>138</v>
      </c>
      <c r="N926" s="416">
        <v>15</v>
      </c>
      <c r="O926" s="417" t="str">
        <f t="shared" si="37"/>
        <v>_self</v>
      </c>
      <c r="P926" s="416">
        <f>LEN(Tableau1[[#This Row],[LABEL]])</f>
        <v>19</v>
      </c>
      <c r="Q926" s="416">
        <v>15</v>
      </c>
      <c r="R926" s="416" t="e">
        <f>ROUND(Tableau1[[#This Row],[LEN]]*#REF!+#REF!,0)</f>
        <v>#REF!</v>
      </c>
    </row>
    <row r="927" spans="1:18" s="97" customFormat="1" hidden="1" x14ac:dyDescent="0.25">
      <c r="A927" s="410" t="s">
        <v>1696</v>
      </c>
      <c r="B927" s="411" t="s">
        <v>1686</v>
      </c>
      <c r="C927" s="431" t="s">
        <v>0</v>
      </c>
      <c r="D927" s="412" t="s">
        <v>1700</v>
      </c>
      <c r="E927" s="413" t="s">
        <v>1177</v>
      </c>
      <c r="F927" s="412" t="s">
        <v>669</v>
      </c>
      <c r="G927" s="412" t="s">
        <v>1177</v>
      </c>
      <c r="H927" s="413" t="s">
        <v>2101</v>
      </c>
      <c r="I927" s="414" t="s">
        <v>654</v>
      </c>
      <c r="J927" s="412"/>
      <c r="K927" s="415" t="s">
        <v>708</v>
      </c>
      <c r="L927" s="415" t="str">
        <f t="shared" si="36"/>
        <v>_</v>
      </c>
      <c r="M927" s="416">
        <f>ROUND(Tableau1[[#This Row],[LEN]]*7.27,0)</f>
        <v>131</v>
      </c>
      <c r="N927" s="416">
        <v>15</v>
      </c>
      <c r="O927" s="417" t="str">
        <f t="shared" si="37"/>
        <v>_self</v>
      </c>
      <c r="P927" s="416">
        <f>LEN(Tableau1[[#This Row],[LABEL]])</f>
        <v>18</v>
      </c>
      <c r="Q927" s="416">
        <v>15</v>
      </c>
      <c r="R927" s="416" t="e">
        <f>ROUND(Tableau1[[#This Row],[LEN]]*#REF!+#REF!,0)</f>
        <v>#REF!</v>
      </c>
    </row>
    <row r="928" spans="1:18" s="97" customFormat="1" hidden="1" x14ac:dyDescent="0.25">
      <c r="A928" s="49" t="s">
        <v>1670</v>
      </c>
      <c r="B928" s="50" t="s">
        <v>309</v>
      </c>
      <c r="C928" s="431" t="s">
        <v>0</v>
      </c>
      <c r="D928" s="51" t="s">
        <v>1702</v>
      </c>
      <c r="E928" s="76" t="s">
        <v>1703</v>
      </c>
      <c r="F928" s="51" t="s">
        <v>669</v>
      </c>
      <c r="G928" s="51" t="s">
        <v>661</v>
      </c>
      <c r="H928" s="76" t="s">
        <v>2101</v>
      </c>
      <c r="I928" s="76" t="s">
        <v>654</v>
      </c>
      <c r="J928" s="51"/>
      <c r="K928" s="52" t="s">
        <v>708</v>
      </c>
      <c r="L928" s="52" t="str">
        <f t="shared" si="36"/>
        <v>_</v>
      </c>
      <c r="M928" s="117">
        <f>ROUND(Tableau1[[#This Row],[LEN]]*7.27,0)</f>
        <v>247</v>
      </c>
      <c r="N928" s="117">
        <v>15</v>
      </c>
      <c r="O928" s="134" t="str">
        <f t="shared" si="37"/>
        <v>_self</v>
      </c>
      <c r="P928" s="117">
        <f>LEN(Tableau1[[#This Row],[LABEL]])</f>
        <v>34</v>
      </c>
      <c r="Q928" s="117">
        <v>15</v>
      </c>
      <c r="R928" s="117" t="e">
        <f>ROUND(Tableau1[[#This Row],[LEN]]*#REF!+#REF!,0)</f>
        <v>#REF!</v>
      </c>
    </row>
    <row r="929" spans="1:18" s="97" customFormat="1" hidden="1" x14ac:dyDescent="0.25">
      <c r="A929" s="49" t="s">
        <v>1671</v>
      </c>
      <c r="B929" s="50" t="s">
        <v>309</v>
      </c>
      <c r="C929" s="431" t="s">
        <v>0</v>
      </c>
      <c r="D929" s="51" t="s">
        <v>549</v>
      </c>
      <c r="E929" s="76" t="s">
        <v>1177</v>
      </c>
      <c r="F929" s="51" t="s">
        <v>673</v>
      </c>
      <c r="G929" s="51" t="s">
        <v>1704</v>
      </c>
      <c r="H929" s="76" t="s">
        <v>2101</v>
      </c>
      <c r="I929" s="76" t="s">
        <v>655</v>
      </c>
      <c r="J929" s="51"/>
      <c r="K929" s="52" t="s">
        <v>708</v>
      </c>
      <c r="L929" s="52" t="str">
        <f t="shared" si="36"/>
        <v>_</v>
      </c>
      <c r="M929" s="117">
        <f>ROUND(Tableau1[[#This Row],[LEN]]*7.27,0)</f>
        <v>145</v>
      </c>
      <c r="N929" s="117">
        <v>15</v>
      </c>
      <c r="O929" s="134" t="str">
        <f t="shared" si="37"/>
        <v>_self</v>
      </c>
      <c r="P929" s="117">
        <f>LEN(Tableau1[[#This Row],[LABEL]])</f>
        <v>20</v>
      </c>
      <c r="Q929" s="117">
        <v>15</v>
      </c>
      <c r="R929" s="117" t="e">
        <f>ROUND(Tableau1[[#This Row],[LEN]]*#REF!+#REF!,0)</f>
        <v>#REF!</v>
      </c>
    </row>
    <row r="930" spans="1:18" s="97" customFormat="1" hidden="1" x14ac:dyDescent="0.25">
      <c r="A930" s="53" t="s">
        <v>1705</v>
      </c>
      <c r="B930" s="54" t="s">
        <v>1671</v>
      </c>
      <c r="C930" s="431" t="s">
        <v>0</v>
      </c>
      <c r="D930" s="55" t="s">
        <v>590</v>
      </c>
      <c r="E930" s="77" t="s">
        <v>1177</v>
      </c>
      <c r="F930" s="55" t="s">
        <v>673</v>
      </c>
      <c r="G930" s="55" t="s">
        <v>1704</v>
      </c>
      <c r="H930" s="77" t="s">
        <v>2101</v>
      </c>
      <c r="I930" s="77" t="s">
        <v>570</v>
      </c>
      <c r="J930" s="55"/>
      <c r="K930" s="56" t="s">
        <v>708</v>
      </c>
      <c r="L930" s="56" t="str">
        <f t="shared" si="36"/>
        <v>_</v>
      </c>
      <c r="M930" s="118">
        <f>ROUND(Tableau1[[#This Row],[LEN]]*7.27,0)</f>
        <v>102</v>
      </c>
      <c r="N930" s="118">
        <v>15</v>
      </c>
      <c r="O930" s="135" t="str">
        <f t="shared" si="37"/>
        <v>_self</v>
      </c>
      <c r="P930" s="118">
        <f>LEN(Tableau1[[#This Row],[LABEL]])</f>
        <v>14</v>
      </c>
      <c r="Q930" s="118">
        <v>15</v>
      </c>
      <c r="R930" s="118" t="e">
        <f>ROUND(Tableau1[[#This Row],[LEN]]*#REF!+#REF!,0)</f>
        <v>#REF!</v>
      </c>
    </row>
    <row r="931" spans="1:18" s="97" customFormat="1" hidden="1" x14ac:dyDescent="0.25">
      <c r="A931" s="53" t="s">
        <v>1706</v>
      </c>
      <c r="B931" s="54" t="s">
        <v>1671</v>
      </c>
      <c r="C931" s="431" t="s">
        <v>0</v>
      </c>
      <c r="D931" s="55" t="s">
        <v>591</v>
      </c>
      <c r="E931" s="77" t="s">
        <v>1177</v>
      </c>
      <c r="F931" s="55" t="s">
        <v>673</v>
      </c>
      <c r="G931" s="55" t="s">
        <v>1704</v>
      </c>
      <c r="H931" s="77" t="s">
        <v>2101</v>
      </c>
      <c r="I931" s="77" t="s">
        <v>570</v>
      </c>
      <c r="J931" s="55"/>
      <c r="K931" s="56" t="s">
        <v>708</v>
      </c>
      <c r="L931" s="56" t="str">
        <f t="shared" ref="L931:L995" si="38">IF(K931="javascript:void(0)","_","Documentation")</f>
        <v>_</v>
      </c>
      <c r="M931" s="118">
        <f>ROUND(Tableau1[[#This Row],[LEN]]*7.27,0)</f>
        <v>262</v>
      </c>
      <c r="N931" s="118">
        <v>15</v>
      </c>
      <c r="O931" s="135" t="str">
        <f t="shared" si="37"/>
        <v>_self</v>
      </c>
      <c r="P931" s="118">
        <f>LEN(Tableau1[[#This Row],[LABEL]])</f>
        <v>36</v>
      </c>
      <c r="Q931" s="118">
        <v>15</v>
      </c>
      <c r="R931" s="118" t="e">
        <f>ROUND(Tableau1[[#This Row],[LEN]]*#REF!+#REF!,0)</f>
        <v>#REF!</v>
      </c>
    </row>
    <row r="932" spans="1:18" s="97" customFormat="1" hidden="1" x14ac:dyDescent="0.25">
      <c r="A932" s="53" t="s">
        <v>1707</v>
      </c>
      <c r="B932" s="54" t="s">
        <v>1671</v>
      </c>
      <c r="C932" s="431" t="s">
        <v>0</v>
      </c>
      <c r="D932" s="55" t="s">
        <v>592</v>
      </c>
      <c r="E932" s="77" t="s">
        <v>1177</v>
      </c>
      <c r="F932" s="55" t="s">
        <v>673</v>
      </c>
      <c r="G932" s="55" t="s">
        <v>1704</v>
      </c>
      <c r="H932" s="77" t="s">
        <v>2101</v>
      </c>
      <c r="I932" s="77" t="s">
        <v>570</v>
      </c>
      <c r="J932" s="55"/>
      <c r="K932" s="56" t="s">
        <v>708</v>
      </c>
      <c r="L932" s="56" t="str">
        <f t="shared" si="38"/>
        <v>_</v>
      </c>
      <c r="M932" s="118">
        <f>ROUND(Tableau1[[#This Row],[LEN]]*7.27,0)</f>
        <v>189</v>
      </c>
      <c r="N932" s="118">
        <v>15</v>
      </c>
      <c r="O932" s="135" t="str">
        <f t="shared" ref="O932:O996" si="39">IF(K932="javascript:void(0)","_self","_blank")</f>
        <v>_self</v>
      </c>
      <c r="P932" s="118">
        <f>LEN(Tableau1[[#This Row],[LABEL]])</f>
        <v>26</v>
      </c>
      <c r="Q932" s="118">
        <v>15</v>
      </c>
      <c r="R932" s="118" t="e">
        <f>ROUND(Tableau1[[#This Row],[LEN]]*#REF!+#REF!,0)</f>
        <v>#REF!</v>
      </c>
    </row>
    <row r="933" spans="1:18" s="97" customFormat="1" hidden="1" x14ac:dyDescent="0.25">
      <c r="A933" s="53" t="s">
        <v>1708</v>
      </c>
      <c r="B933" s="54" t="s">
        <v>1671</v>
      </c>
      <c r="C933" s="431" t="s">
        <v>0</v>
      </c>
      <c r="D933" s="55" t="s">
        <v>597</v>
      </c>
      <c r="E933" s="77" t="s">
        <v>1177</v>
      </c>
      <c r="F933" s="55" t="s">
        <v>673</v>
      </c>
      <c r="G933" s="55" t="s">
        <v>1704</v>
      </c>
      <c r="H933" s="77" t="s">
        <v>2101</v>
      </c>
      <c r="I933" s="77" t="s">
        <v>570</v>
      </c>
      <c r="J933" s="55"/>
      <c r="K933" s="56" t="s">
        <v>708</v>
      </c>
      <c r="L933" s="56" t="str">
        <f t="shared" si="38"/>
        <v>_</v>
      </c>
      <c r="M933" s="118">
        <f>ROUND(Tableau1[[#This Row],[LEN]]*7.27,0)</f>
        <v>465</v>
      </c>
      <c r="N933" s="118">
        <v>15</v>
      </c>
      <c r="O933" s="135" t="str">
        <f t="shared" si="39"/>
        <v>_self</v>
      </c>
      <c r="P933" s="118">
        <f>LEN(Tableau1[[#This Row],[LABEL]])</f>
        <v>64</v>
      </c>
      <c r="Q933" s="118">
        <v>15</v>
      </c>
      <c r="R933" s="118" t="e">
        <f>ROUND(Tableau1[[#This Row],[LEN]]*#REF!+#REF!,0)</f>
        <v>#REF!</v>
      </c>
    </row>
    <row r="934" spans="1:18" s="97" customFormat="1" hidden="1" x14ac:dyDescent="0.25">
      <c r="A934" s="49" t="s">
        <v>1672</v>
      </c>
      <c r="B934" s="50" t="s">
        <v>309</v>
      </c>
      <c r="C934" s="431" t="s">
        <v>0</v>
      </c>
      <c r="D934" s="51" t="s">
        <v>1709</v>
      </c>
      <c r="E934" s="76" t="s">
        <v>1177</v>
      </c>
      <c r="F934" s="51" t="s">
        <v>669</v>
      </c>
      <c r="G934" s="51" t="s">
        <v>1177</v>
      </c>
      <c r="H934" s="76" t="s">
        <v>2101</v>
      </c>
      <c r="I934" s="76" t="s">
        <v>655</v>
      </c>
      <c r="J934" s="51"/>
      <c r="K934" s="52" t="s">
        <v>708</v>
      </c>
      <c r="L934" s="52" t="str">
        <f t="shared" si="38"/>
        <v>_</v>
      </c>
      <c r="M934" s="117">
        <f>ROUND(Tableau1[[#This Row],[LEN]]*7.27,0)</f>
        <v>138</v>
      </c>
      <c r="N934" s="117">
        <v>15</v>
      </c>
      <c r="O934" s="134" t="str">
        <f t="shared" si="39"/>
        <v>_self</v>
      </c>
      <c r="P934" s="117">
        <f>LEN(Tableau1[[#This Row],[LABEL]])</f>
        <v>19</v>
      </c>
      <c r="Q934" s="117">
        <v>15</v>
      </c>
      <c r="R934" s="117" t="e">
        <f>ROUND(Tableau1[[#This Row],[LEN]]*#REF!+#REF!,0)</f>
        <v>#REF!</v>
      </c>
    </row>
    <row r="935" spans="1:18" s="97" customFormat="1" hidden="1" x14ac:dyDescent="0.25">
      <c r="A935" s="53" t="s">
        <v>1710</v>
      </c>
      <c r="B935" s="54" t="s">
        <v>1672</v>
      </c>
      <c r="C935" s="431" t="s">
        <v>0</v>
      </c>
      <c r="D935" s="55" t="s">
        <v>1713</v>
      </c>
      <c r="E935" s="77" t="s">
        <v>1177</v>
      </c>
      <c r="F935" s="55" t="s">
        <v>669</v>
      </c>
      <c r="G935" s="55" t="s">
        <v>1177</v>
      </c>
      <c r="H935" s="77" t="s">
        <v>2101</v>
      </c>
      <c r="I935" s="77" t="s">
        <v>654</v>
      </c>
      <c r="J935" s="55"/>
      <c r="K935" s="56" t="s">
        <v>708</v>
      </c>
      <c r="L935" s="56" t="str">
        <f t="shared" si="38"/>
        <v>_</v>
      </c>
      <c r="M935" s="118">
        <f>ROUND(Tableau1[[#This Row],[LEN]]*7.27,0)</f>
        <v>422</v>
      </c>
      <c r="N935" s="118">
        <v>15</v>
      </c>
      <c r="O935" s="135" t="str">
        <f t="shared" si="39"/>
        <v>_self</v>
      </c>
      <c r="P935" s="118">
        <f>LEN(Tableau1[[#This Row],[LABEL]])</f>
        <v>58</v>
      </c>
      <c r="Q935" s="118">
        <v>15</v>
      </c>
      <c r="R935" s="118" t="e">
        <f>ROUND(Tableau1[[#This Row],[LEN]]*#REF!+#REF!,0)</f>
        <v>#REF!</v>
      </c>
    </row>
    <row r="936" spans="1:18" s="97" customFormat="1" hidden="1" x14ac:dyDescent="0.25">
      <c r="A936" s="53" t="s">
        <v>1711</v>
      </c>
      <c r="B936" s="54" t="s">
        <v>1672</v>
      </c>
      <c r="C936" s="431" t="s">
        <v>0</v>
      </c>
      <c r="D936" s="55" t="s">
        <v>1714</v>
      </c>
      <c r="E936" s="77" t="s">
        <v>1177</v>
      </c>
      <c r="F936" s="55" t="s">
        <v>669</v>
      </c>
      <c r="G936" s="55" t="s">
        <v>1177</v>
      </c>
      <c r="H936" s="77" t="s">
        <v>2101</v>
      </c>
      <c r="I936" s="77" t="s">
        <v>654</v>
      </c>
      <c r="J936" s="55"/>
      <c r="K936" s="56" t="s">
        <v>708</v>
      </c>
      <c r="L936" s="56" t="str">
        <f t="shared" si="38"/>
        <v>_</v>
      </c>
      <c r="M936" s="118">
        <f>ROUND(Tableau1[[#This Row],[LEN]]*7.27,0)</f>
        <v>174</v>
      </c>
      <c r="N936" s="118">
        <v>15</v>
      </c>
      <c r="O936" s="135" t="str">
        <f t="shared" si="39"/>
        <v>_self</v>
      </c>
      <c r="P936" s="118">
        <f>LEN(Tableau1[[#This Row],[LABEL]])</f>
        <v>24</v>
      </c>
      <c r="Q936" s="118">
        <v>15</v>
      </c>
      <c r="R936" s="118" t="e">
        <f>ROUND(Tableau1[[#This Row],[LEN]]*#REF!+#REF!,0)</f>
        <v>#REF!</v>
      </c>
    </row>
    <row r="937" spans="1:18" s="97" customFormat="1" hidden="1" x14ac:dyDescent="0.25">
      <c r="A937" s="53" t="s">
        <v>1712</v>
      </c>
      <c r="B937" s="54" t="s">
        <v>1672</v>
      </c>
      <c r="C937" s="431" t="s">
        <v>0</v>
      </c>
      <c r="D937" s="55" t="s">
        <v>1715</v>
      </c>
      <c r="E937" s="77" t="s">
        <v>1177</v>
      </c>
      <c r="F937" s="55" t="s">
        <v>669</v>
      </c>
      <c r="G937" s="55" t="s">
        <v>1177</v>
      </c>
      <c r="H937" s="77" t="s">
        <v>2101</v>
      </c>
      <c r="I937" s="77" t="s">
        <v>654</v>
      </c>
      <c r="J937" s="55"/>
      <c r="K937" s="56" t="s">
        <v>708</v>
      </c>
      <c r="L937" s="56" t="str">
        <f t="shared" si="38"/>
        <v>_</v>
      </c>
      <c r="M937" s="118">
        <f>ROUND(Tableau1[[#This Row],[LEN]]*7.27,0)</f>
        <v>145</v>
      </c>
      <c r="N937" s="118">
        <v>15</v>
      </c>
      <c r="O937" s="135" t="str">
        <f t="shared" si="39"/>
        <v>_self</v>
      </c>
      <c r="P937" s="118">
        <f>LEN(Tableau1[[#This Row],[LABEL]])</f>
        <v>20</v>
      </c>
      <c r="Q937" s="118">
        <v>15</v>
      </c>
      <c r="R937" s="118" t="e">
        <f>ROUND(Tableau1[[#This Row],[LEN]]*#REF!+#REF!,0)</f>
        <v>#REF!</v>
      </c>
    </row>
    <row r="938" spans="1:18" s="97" customFormat="1" hidden="1" x14ac:dyDescent="0.25">
      <c r="A938" s="49" t="s">
        <v>1673</v>
      </c>
      <c r="B938" s="50" t="s">
        <v>309</v>
      </c>
      <c r="C938" s="431" t="s">
        <v>0</v>
      </c>
      <c r="D938" s="51" t="s">
        <v>598</v>
      </c>
      <c r="E938" s="76" t="s">
        <v>1177</v>
      </c>
      <c r="F938" s="51" t="s">
        <v>673</v>
      </c>
      <c r="G938" s="51" t="s">
        <v>2035</v>
      </c>
      <c r="H938" s="76" t="s">
        <v>2101</v>
      </c>
      <c r="I938" s="76" t="s">
        <v>654</v>
      </c>
      <c r="J938" s="51"/>
      <c r="K938" s="52" t="s">
        <v>708</v>
      </c>
      <c r="L938" s="52" t="str">
        <f t="shared" si="38"/>
        <v>_</v>
      </c>
      <c r="M938" s="117">
        <f>ROUND(Tableau1[[#This Row],[LEN]]*7.27,0)</f>
        <v>553</v>
      </c>
      <c r="N938" s="117">
        <v>15</v>
      </c>
      <c r="O938" s="134" t="str">
        <f t="shared" si="39"/>
        <v>_self</v>
      </c>
      <c r="P938" s="117">
        <f>LEN(Tableau1[[#This Row],[LABEL]])</f>
        <v>76</v>
      </c>
      <c r="Q938" s="117">
        <v>15</v>
      </c>
      <c r="R938" s="117" t="e">
        <f>ROUND(Tableau1[[#This Row],[LEN]]*#REF!+#REF!,0)</f>
        <v>#REF!</v>
      </c>
    </row>
    <row r="939" spans="1:18" s="273" customFormat="1" hidden="1" x14ac:dyDescent="0.25">
      <c r="A939" s="351" t="s">
        <v>310</v>
      </c>
      <c r="B939" s="352" t="s">
        <v>209</v>
      </c>
      <c r="C939" s="431" t="s">
        <v>0</v>
      </c>
      <c r="D939" s="353" t="s">
        <v>7</v>
      </c>
      <c r="E939" s="354" t="s">
        <v>1177</v>
      </c>
      <c r="F939" s="353" t="s">
        <v>670</v>
      </c>
      <c r="G939" s="353" t="s">
        <v>1177</v>
      </c>
      <c r="H939" s="354" t="s">
        <v>2101</v>
      </c>
      <c r="I939" s="354" t="str">
        <f>IFERROR(IF(SEARCH(".00.00.00.00.00",Tableau1[[#This Row],[name]],1)=7,"Division",""),"")</f>
        <v>Division</v>
      </c>
      <c r="J939" s="353"/>
      <c r="K939" s="355" t="s">
        <v>708</v>
      </c>
      <c r="L939" s="355" t="str">
        <f t="shared" si="38"/>
        <v>_</v>
      </c>
      <c r="M939" s="356">
        <f>ROUND(Tableau1[[#This Row],[LEN]]*7.27,0)</f>
        <v>189</v>
      </c>
      <c r="N939" s="356">
        <v>15</v>
      </c>
      <c r="O939" s="357" t="str">
        <f t="shared" si="39"/>
        <v>_self</v>
      </c>
      <c r="P939" s="356">
        <f>LEN(Tableau1[[#This Row],[LABEL]])</f>
        <v>26</v>
      </c>
      <c r="Q939" s="356">
        <v>15</v>
      </c>
      <c r="R939" s="356" t="e">
        <f>ROUND(Tableau1[[#This Row],[LEN]]*#REF!+#REF!,0)</f>
        <v>#REF!</v>
      </c>
    </row>
    <row r="940" spans="1:18" s="97" customFormat="1" hidden="1" x14ac:dyDescent="0.25">
      <c r="A940" s="49" t="s">
        <v>1716</v>
      </c>
      <c r="B940" s="50" t="s">
        <v>310</v>
      </c>
      <c r="C940" s="431" t="s">
        <v>0</v>
      </c>
      <c r="D940" s="51" t="s">
        <v>1717</v>
      </c>
      <c r="E940" s="76" t="s">
        <v>1177</v>
      </c>
      <c r="F940" s="51" t="s">
        <v>670</v>
      </c>
      <c r="G940" s="51" t="s">
        <v>1177</v>
      </c>
      <c r="H940" s="76" t="s">
        <v>2101</v>
      </c>
      <c r="I940" s="76" t="s">
        <v>656</v>
      </c>
      <c r="J940" s="51"/>
      <c r="K940" s="52" t="s">
        <v>708</v>
      </c>
      <c r="L940" s="52" t="str">
        <f t="shared" si="38"/>
        <v>_</v>
      </c>
      <c r="M940" s="117">
        <f>ROUND(Tableau1[[#This Row],[LEN]]*7.27,0)</f>
        <v>422</v>
      </c>
      <c r="N940" s="117">
        <v>15</v>
      </c>
      <c r="O940" s="134" t="str">
        <f t="shared" si="39"/>
        <v>_self</v>
      </c>
      <c r="P940" s="117">
        <f>LEN(Tableau1[[#This Row],[LABEL]])</f>
        <v>58</v>
      </c>
      <c r="Q940" s="117">
        <v>15</v>
      </c>
      <c r="R940" s="117" t="e">
        <f>ROUND(Tableau1[[#This Row],[LEN]]*#REF!+#REF!,0)</f>
        <v>#REF!</v>
      </c>
    </row>
    <row r="941" spans="1:18" s="273" customFormat="1" hidden="1" x14ac:dyDescent="0.25">
      <c r="A941" s="351" t="s">
        <v>311</v>
      </c>
      <c r="B941" s="352" t="s">
        <v>209</v>
      </c>
      <c r="C941" s="431" t="s">
        <v>0</v>
      </c>
      <c r="D941" s="353" t="s">
        <v>8</v>
      </c>
      <c r="E941" s="354" t="s">
        <v>1177</v>
      </c>
      <c r="F941" s="353" t="s">
        <v>671</v>
      </c>
      <c r="G941" s="353" t="s">
        <v>1177</v>
      </c>
      <c r="H941" s="354" t="s">
        <v>2101</v>
      </c>
      <c r="I941" s="354" t="str">
        <f>IFERROR(IF(SEARCH(".00.00.00.00.00",Tableau1[[#This Row],[name]],1)=7,"Division",""),"")</f>
        <v>Division</v>
      </c>
      <c r="J941" s="353"/>
      <c r="K941" s="355" t="s">
        <v>708</v>
      </c>
      <c r="L941" s="355" t="str">
        <f t="shared" si="38"/>
        <v>_</v>
      </c>
      <c r="M941" s="356">
        <f>ROUND(Tableau1[[#This Row],[LEN]]*7.27,0)</f>
        <v>116</v>
      </c>
      <c r="N941" s="356">
        <v>15</v>
      </c>
      <c r="O941" s="357" t="str">
        <f t="shared" si="39"/>
        <v>_self</v>
      </c>
      <c r="P941" s="356">
        <f>LEN(Tableau1[[#This Row],[LABEL]])</f>
        <v>16</v>
      </c>
      <c r="Q941" s="356">
        <v>15</v>
      </c>
      <c r="R941" s="356" t="e">
        <f>ROUND(Tableau1[[#This Row],[LEN]]*#REF!+#REF!,0)</f>
        <v>#REF!</v>
      </c>
    </row>
    <row r="942" spans="1:18" s="97" customFormat="1" hidden="1" x14ac:dyDescent="0.25">
      <c r="A942" s="49" t="s">
        <v>1718</v>
      </c>
      <c r="B942" s="50" t="s">
        <v>311</v>
      </c>
      <c r="C942" s="431" t="s">
        <v>0</v>
      </c>
      <c r="D942" s="51" t="s">
        <v>1720</v>
      </c>
      <c r="E942" s="76" t="s">
        <v>1177</v>
      </c>
      <c r="F942" s="51" t="s">
        <v>671</v>
      </c>
      <c r="G942" s="51" t="s">
        <v>1177</v>
      </c>
      <c r="H942" s="76" t="s">
        <v>2101</v>
      </c>
      <c r="I942" s="76" t="s">
        <v>656</v>
      </c>
      <c r="J942" s="51"/>
      <c r="K942" s="52" t="s">
        <v>708</v>
      </c>
      <c r="L942" s="52" t="str">
        <f t="shared" si="38"/>
        <v>_</v>
      </c>
      <c r="M942" s="117">
        <f>ROUND(Tableau1[[#This Row],[LEN]]*7.27,0)</f>
        <v>487</v>
      </c>
      <c r="N942" s="117">
        <v>15</v>
      </c>
      <c r="O942" s="134" t="str">
        <f t="shared" si="39"/>
        <v>_self</v>
      </c>
      <c r="P942" s="117">
        <f>LEN(Tableau1[[#This Row],[LABEL]])</f>
        <v>67</v>
      </c>
      <c r="Q942" s="117">
        <v>15</v>
      </c>
      <c r="R942" s="117" t="e">
        <f>ROUND(Tableau1[[#This Row],[LEN]]*#REF!+#REF!,0)</f>
        <v>#REF!</v>
      </c>
    </row>
    <row r="943" spans="1:18" s="97" customFormat="1" hidden="1" x14ac:dyDescent="0.25">
      <c r="A943" s="49" t="s">
        <v>1719</v>
      </c>
      <c r="B943" s="50" t="s">
        <v>311</v>
      </c>
      <c r="C943" s="431" t="s">
        <v>0</v>
      </c>
      <c r="D943" s="51" t="s">
        <v>1721</v>
      </c>
      <c r="E943" s="76" t="s">
        <v>1177</v>
      </c>
      <c r="F943" s="51" t="s">
        <v>671</v>
      </c>
      <c r="G943" s="51" t="s">
        <v>1177</v>
      </c>
      <c r="H943" s="76" t="s">
        <v>2101</v>
      </c>
      <c r="I943" s="76" t="s">
        <v>654</v>
      </c>
      <c r="J943" s="51"/>
      <c r="K943" s="52" t="s">
        <v>708</v>
      </c>
      <c r="L943" s="52" t="str">
        <f t="shared" si="38"/>
        <v>_</v>
      </c>
      <c r="M943" s="117">
        <f>ROUND(Tableau1[[#This Row],[LEN]]*7.27,0)</f>
        <v>320</v>
      </c>
      <c r="N943" s="117">
        <v>15</v>
      </c>
      <c r="O943" s="134" t="str">
        <f t="shared" si="39"/>
        <v>_self</v>
      </c>
      <c r="P943" s="117">
        <f>LEN(Tableau1[[#This Row],[LABEL]])</f>
        <v>44</v>
      </c>
      <c r="Q943" s="117">
        <v>15</v>
      </c>
      <c r="R943" s="117" t="e">
        <f>ROUND(Tableau1[[#This Row],[LEN]]*#REF!+#REF!,0)</f>
        <v>#REF!</v>
      </c>
    </row>
    <row r="944" spans="1:18" s="273" customFormat="1" x14ac:dyDescent="0.25">
      <c r="A944" s="351" t="s">
        <v>312</v>
      </c>
      <c r="B944" s="352" t="s">
        <v>209</v>
      </c>
      <c r="C944" s="431" t="s">
        <v>0</v>
      </c>
      <c r="D944" s="353" t="s">
        <v>9</v>
      </c>
      <c r="E944" s="354" t="s">
        <v>1177</v>
      </c>
      <c r="F944" s="353" t="s">
        <v>672</v>
      </c>
      <c r="G944" s="353" t="s">
        <v>1177</v>
      </c>
      <c r="H944" s="354" t="s">
        <v>2101</v>
      </c>
      <c r="I944" s="354" t="str">
        <f>IFERROR(IF(SEARCH(".00.00.00.00.00",Tableau1[[#This Row],[name]],1)=7,"Division",""),"")</f>
        <v>Division</v>
      </c>
      <c r="J944" s="353"/>
      <c r="K944" s="355" t="s">
        <v>718</v>
      </c>
      <c r="L944" s="355" t="str">
        <f t="shared" si="38"/>
        <v>Documentation</v>
      </c>
      <c r="M944" s="356">
        <f>ROUND(Tableau1[[#This Row],[LEN]]*7.27,0)</f>
        <v>80</v>
      </c>
      <c r="N944" s="356">
        <v>15</v>
      </c>
      <c r="O944" s="357" t="str">
        <f t="shared" si="39"/>
        <v>_blank</v>
      </c>
      <c r="P944" s="356">
        <f>LEN(Tableau1[[#This Row],[LABEL]])</f>
        <v>11</v>
      </c>
      <c r="Q944" s="356">
        <v>15</v>
      </c>
      <c r="R944" s="356" t="e">
        <f>ROUND(Tableau1[[#This Row],[LEN]]*#REF!+#REF!,0)</f>
        <v>#REF!</v>
      </c>
    </row>
    <row r="945" spans="1:18" s="97" customFormat="1" hidden="1" x14ac:dyDescent="0.25">
      <c r="A945" s="49" t="s">
        <v>539</v>
      </c>
      <c r="B945" s="50" t="s">
        <v>312</v>
      </c>
      <c r="C945" s="431" t="s">
        <v>0</v>
      </c>
      <c r="D945" s="51" t="s">
        <v>128</v>
      </c>
      <c r="E945" s="76" t="s">
        <v>1177</v>
      </c>
      <c r="F945" s="51" t="s">
        <v>669</v>
      </c>
      <c r="G945" s="51" t="s">
        <v>2029</v>
      </c>
      <c r="H945" s="76" t="s">
        <v>2101</v>
      </c>
      <c r="I945" s="76" t="s">
        <v>570</v>
      </c>
      <c r="J945" s="51"/>
      <c r="K945" s="52" t="s">
        <v>708</v>
      </c>
      <c r="L945" s="52" t="str">
        <f t="shared" si="38"/>
        <v>_</v>
      </c>
      <c r="M945" s="117">
        <f>ROUND(Tableau1[[#This Row],[LEN]]*7.27,0)</f>
        <v>182</v>
      </c>
      <c r="N945" s="117">
        <v>15</v>
      </c>
      <c r="O945" s="134" t="str">
        <f t="shared" si="39"/>
        <v>_self</v>
      </c>
      <c r="P945" s="117">
        <f>LEN(Tableau1[[#This Row],[LABEL]])</f>
        <v>25</v>
      </c>
      <c r="Q945" s="117">
        <v>15</v>
      </c>
      <c r="R945" s="117" t="e">
        <f>ROUND(Tableau1[[#This Row],[LEN]]*#REF!+#REF!,0)</f>
        <v>#REF!</v>
      </c>
    </row>
    <row r="946" spans="1:18" s="97" customFormat="1" hidden="1" x14ac:dyDescent="0.25">
      <c r="A946" s="49" t="s">
        <v>540</v>
      </c>
      <c r="B946" s="50" t="s">
        <v>312</v>
      </c>
      <c r="C946" s="431" t="s">
        <v>0</v>
      </c>
      <c r="D946" s="51" t="s">
        <v>129</v>
      </c>
      <c r="E946" s="76" t="s">
        <v>1177</v>
      </c>
      <c r="F946" s="51" t="s">
        <v>673</v>
      </c>
      <c r="G946" s="51" t="s">
        <v>2035</v>
      </c>
      <c r="H946" s="76" t="s">
        <v>2101</v>
      </c>
      <c r="I946" s="76" t="s">
        <v>655</v>
      </c>
      <c r="J946" s="51"/>
      <c r="K946" s="52" t="s">
        <v>708</v>
      </c>
      <c r="L946" s="52" t="str">
        <f t="shared" si="38"/>
        <v>_</v>
      </c>
      <c r="M946" s="117">
        <f>ROUND(Tableau1[[#This Row],[LEN]]*7.27,0)</f>
        <v>87</v>
      </c>
      <c r="N946" s="117">
        <v>15</v>
      </c>
      <c r="O946" s="134" t="str">
        <f t="shared" si="39"/>
        <v>_self</v>
      </c>
      <c r="P946" s="117">
        <f>LEN(Tableau1[[#This Row],[LABEL]])</f>
        <v>12</v>
      </c>
      <c r="Q946" s="117">
        <v>15</v>
      </c>
      <c r="R946" s="117" t="e">
        <f>ROUND(Tableau1[[#This Row],[LEN]]*#REF!+#REF!,0)</f>
        <v>#REF!</v>
      </c>
    </row>
    <row r="947" spans="1:18" s="97" customFormat="1" hidden="1" x14ac:dyDescent="0.25">
      <c r="A947" s="53" t="s">
        <v>550</v>
      </c>
      <c r="B947" s="54" t="s">
        <v>540</v>
      </c>
      <c r="C947" s="431" t="s">
        <v>0</v>
      </c>
      <c r="D947" s="55" t="s">
        <v>131</v>
      </c>
      <c r="E947" s="77" t="s">
        <v>1177</v>
      </c>
      <c r="F947" s="55" t="s">
        <v>673</v>
      </c>
      <c r="G947" s="55" t="s">
        <v>2035</v>
      </c>
      <c r="H947" s="77" t="s">
        <v>2101</v>
      </c>
      <c r="I947" s="77" t="s">
        <v>570</v>
      </c>
      <c r="J947" s="55"/>
      <c r="K947" s="56" t="s">
        <v>708</v>
      </c>
      <c r="L947" s="56" t="str">
        <f t="shared" si="38"/>
        <v>_</v>
      </c>
      <c r="M947" s="118">
        <f>ROUND(Tableau1[[#This Row],[LEN]]*7.27,0)</f>
        <v>262</v>
      </c>
      <c r="N947" s="118">
        <v>15</v>
      </c>
      <c r="O947" s="135" t="str">
        <f t="shared" si="39"/>
        <v>_self</v>
      </c>
      <c r="P947" s="118">
        <f>LEN(Tableau1[[#This Row],[LABEL]])</f>
        <v>36</v>
      </c>
      <c r="Q947" s="118">
        <v>15</v>
      </c>
      <c r="R947" s="118" t="e">
        <f>ROUND(Tableau1[[#This Row],[LEN]]*#REF!+#REF!,0)</f>
        <v>#REF!</v>
      </c>
    </row>
    <row r="948" spans="1:18" s="97" customFormat="1" hidden="1" x14ac:dyDescent="0.25">
      <c r="A948" s="53" t="s">
        <v>551</v>
      </c>
      <c r="B948" s="54" t="s">
        <v>540</v>
      </c>
      <c r="C948" s="431" t="s">
        <v>0</v>
      </c>
      <c r="D948" s="55" t="s">
        <v>132</v>
      </c>
      <c r="E948" s="77" t="s">
        <v>1177</v>
      </c>
      <c r="F948" s="55" t="s">
        <v>673</v>
      </c>
      <c r="G948" s="55" t="s">
        <v>2035</v>
      </c>
      <c r="H948" s="77" t="s">
        <v>2101</v>
      </c>
      <c r="I948" s="77" t="s">
        <v>570</v>
      </c>
      <c r="J948" s="55"/>
      <c r="K948" s="56" t="s">
        <v>708</v>
      </c>
      <c r="L948" s="56" t="str">
        <f t="shared" si="38"/>
        <v>_</v>
      </c>
      <c r="M948" s="118">
        <f>ROUND(Tableau1[[#This Row],[LEN]]*7.27,0)</f>
        <v>298</v>
      </c>
      <c r="N948" s="118">
        <v>15</v>
      </c>
      <c r="O948" s="135" t="str">
        <f t="shared" si="39"/>
        <v>_self</v>
      </c>
      <c r="P948" s="118">
        <f>LEN(Tableau1[[#This Row],[LABEL]])</f>
        <v>41</v>
      </c>
      <c r="Q948" s="118">
        <v>15</v>
      </c>
      <c r="R948" s="118" t="e">
        <f>ROUND(Tableau1[[#This Row],[LEN]]*#REF!+#REF!,0)</f>
        <v>#REF!</v>
      </c>
    </row>
    <row r="949" spans="1:18" s="97" customFormat="1" x14ac:dyDescent="0.25">
      <c r="A949" s="49" t="s">
        <v>541</v>
      </c>
      <c r="B949" s="50" t="s">
        <v>312</v>
      </c>
      <c r="C949" s="431" t="s">
        <v>0</v>
      </c>
      <c r="D949" s="51" t="s">
        <v>546</v>
      </c>
      <c r="E949" s="76" t="s">
        <v>1177</v>
      </c>
      <c r="F949" s="51" t="s">
        <v>672</v>
      </c>
      <c r="G949" s="51" t="s">
        <v>1177</v>
      </c>
      <c r="H949" s="76" t="s">
        <v>2101</v>
      </c>
      <c r="I949" s="76" t="s">
        <v>655</v>
      </c>
      <c r="J949" s="51"/>
      <c r="K949" s="52" t="s">
        <v>708</v>
      </c>
      <c r="L949" s="52" t="str">
        <f t="shared" si="38"/>
        <v>_</v>
      </c>
      <c r="M949" s="117">
        <f>ROUND(Tableau1[[#This Row],[LEN]]*7.27,0)</f>
        <v>167</v>
      </c>
      <c r="N949" s="117">
        <v>15</v>
      </c>
      <c r="O949" s="134" t="str">
        <f t="shared" si="39"/>
        <v>_self</v>
      </c>
      <c r="P949" s="117">
        <f>LEN(Tableau1[[#This Row],[LABEL]])</f>
        <v>23</v>
      </c>
      <c r="Q949" s="117">
        <v>15</v>
      </c>
      <c r="R949" s="117" t="e">
        <f>ROUND(Tableau1[[#This Row],[LEN]]*#REF!+#REF!,0)</f>
        <v>#REF!</v>
      </c>
    </row>
    <row r="950" spans="1:18" s="97" customFormat="1" x14ac:dyDescent="0.25">
      <c r="A950" s="53" t="s">
        <v>552</v>
      </c>
      <c r="B950" s="54" t="s">
        <v>541</v>
      </c>
      <c r="C950" s="431" t="s">
        <v>0</v>
      </c>
      <c r="D950" s="55" t="s">
        <v>2182</v>
      </c>
      <c r="E950" s="77" t="s">
        <v>1177</v>
      </c>
      <c r="F950" s="55" t="s">
        <v>672</v>
      </c>
      <c r="G950" s="55" t="s">
        <v>1177</v>
      </c>
      <c r="H950" s="77" t="s">
        <v>2101</v>
      </c>
      <c r="I950" s="77" t="s">
        <v>656</v>
      </c>
      <c r="J950" s="55"/>
      <c r="K950" s="56" t="s">
        <v>708</v>
      </c>
      <c r="L950" s="56" t="str">
        <f t="shared" si="38"/>
        <v>_</v>
      </c>
      <c r="M950" s="118">
        <f>ROUND(Tableau1[[#This Row],[LEN]]*7.27,0)</f>
        <v>334</v>
      </c>
      <c r="N950" s="118">
        <v>15</v>
      </c>
      <c r="O950" s="135" t="str">
        <f t="shared" si="39"/>
        <v>_self</v>
      </c>
      <c r="P950" s="118">
        <f>LEN(Tableau1[[#This Row],[LABEL]])</f>
        <v>46</v>
      </c>
      <c r="Q950" s="118">
        <v>15</v>
      </c>
      <c r="R950" s="118" t="e">
        <f>ROUND(Tableau1[[#This Row],[LEN]]*#REF!+#REF!,0)</f>
        <v>#REF!</v>
      </c>
    </row>
    <row r="951" spans="1:18" s="97" customFormat="1" x14ac:dyDescent="0.25">
      <c r="A951" s="53" t="s">
        <v>553</v>
      </c>
      <c r="B951" s="54" t="s">
        <v>541</v>
      </c>
      <c r="C951" s="431" t="s">
        <v>0</v>
      </c>
      <c r="D951" s="55" t="s">
        <v>556</v>
      </c>
      <c r="E951" s="77" t="s">
        <v>1177</v>
      </c>
      <c r="F951" s="55" t="s">
        <v>672</v>
      </c>
      <c r="G951" s="55" t="s">
        <v>1177</v>
      </c>
      <c r="H951" s="77" t="s">
        <v>2101</v>
      </c>
      <c r="I951" s="77" t="s">
        <v>654</v>
      </c>
      <c r="J951" s="55"/>
      <c r="K951" s="56" t="s">
        <v>708</v>
      </c>
      <c r="L951" s="56" t="str">
        <f t="shared" si="38"/>
        <v>_</v>
      </c>
      <c r="M951" s="118">
        <f>ROUND(Tableau1[[#This Row],[LEN]]*7.27,0)</f>
        <v>451</v>
      </c>
      <c r="N951" s="118">
        <v>15</v>
      </c>
      <c r="O951" s="135" t="str">
        <f t="shared" si="39"/>
        <v>_self</v>
      </c>
      <c r="P951" s="118">
        <f>LEN(Tableau1[[#This Row],[LABEL]])</f>
        <v>62</v>
      </c>
      <c r="Q951" s="118">
        <v>15</v>
      </c>
      <c r="R951" s="118" t="e">
        <f>ROUND(Tableau1[[#This Row],[LEN]]*#REF!+#REF!,0)</f>
        <v>#REF!</v>
      </c>
    </row>
    <row r="952" spans="1:18" s="97" customFormat="1" x14ac:dyDescent="0.25">
      <c r="A952" s="53" t="s">
        <v>554</v>
      </c>
      <c r="B952" s="54" t="s">
        <v>541</v>
      </c>
      <c r="C952" s="431" t="s">
        <v>0</v>
      </c>
      <c r="D952" s="55" t="s">
        <v>2198</v>
      </c>
      <c r="E952" s="77" t="s">
        <v>1177</v>
      </c>
      <c r="F952" s="55" t="s">
        <v>672</v>
      </c>
      <c r="G952" s="55" t="s">
        <v>1177</v>
      </c>
      <c r="H952" s="77" t="s">
        <v>2101</v>
      </c>
      <c r="I952" s="77" t="s">
        <v>656</v>
      </c>
      <c r="J952" s="55"/>
      <c r="K952" s="56" t="s">
        <v>708</v>
      </c>
      <c r="L952" s="56" t="str">
        <f t="shared" si="38"/>
        <v>_</v>
      </c>
      <c r="M952" s="118">
        <f>ROUND(Tableau1[[#This Row],[LEN]]*7.27,0)</f>
        <v>291</v>
      </c>
      <c r="N952" s="118">
        <v>15</v>
      </c>
      <c r="O952" s="135" t="str">
        <f t="shared" si="39"/>
        <v>_self</v>
      </c>
      <c r="P952" s="118">
        <f>LEN(Tableau1[[#This Row],[LABEL]])</f>
        <v>40</v>
      </c>
      <c r="Q952" s="118">
        <v>15</v>
      </c>
      <c r="R952" s="118" t="e">
        <f>ROUND(Tableau1[[#This Row],[LEN]]*#REF!+#REF!,0)</f>
        <v>#REF!</v>
      </c>
    </row>
    <row r="953" spans="1:18" s="97" customFormat="1" x14ac:dyDescent="0.25">
      <c r="A953" s="53"/>
      <c r="B953" s="54"/>
      <c r="C953" s="431" t="s">
        <v>0</v>
      </c>
      <c r="D953" s="452" t="s">
        <v>2186</v>
      </c>
      <c r="E953" s="77"/>
      <c r="F953" s="77"/>
      <c r="G953" s="55"/>
      <c r="H953" s="77"/>
      <c r="I953" s="440"/>
      <c r="J953" s="55"/>
      <c r="K953" s="441"/>
      <c r="L953" s="101" t="str">
        <f>IF(K953="javascript:void(0)","_","Documentation")</f>
        <v>Documentation</v>
      </c>
      <c r="M953" s="442"/>
      <c r="N953" s="442"/>
      <c r="O953" s="443" t="str">
        <f>IF(K953="javascript:void(0)","none","new")</f>
        <v>new</v>
      </c>
      <c r="P953" s="442">
        <f>LEN(Tableau1[[#This Row],[LABEL]])</f>
        <v>50</v>
      </c>
      <c r="Q953" s="442"/>
      <c r="R953" s="442"/>
    </row>
    <row r="954" spans="1:18" s="97" customFormat="1" x14ac:dyDescent="0.25">
      <c r="A954" s="49" t="s">
        <v>542</v>
      </c>
      <c r="B954" s="50" t="s">
        <v>312</v>
      </c>
      <c r="C954" s="431" t="s">
        <v>0</v>
      </c>
      <c r="D954" s="51" t="s">
        <v>547</v>
      </c>
      <c r="E954" s="76" t="s">
        <v>1177</v>
      </c>
      <c r="F954" s="51" t="s">
        <v>672</v>
      </c>
      <c r="G954" s="51" t="s">
        <v>1177</v>
      </c>
      <c r="H954" s="76" t="s">
        <v>2101</v>
      </c>
      <c r="I954" s="76" t="s">
        <v>655</v>
      </c>
      <c r="J954" s="51"/>
      <c r="K954" s="52" t="s">
        <v>708</v>
      </c>
      <c r="L954" s="52" t="str">
        <f t="shared" si="38"/>
        <v>_</v>
      </c>
      <c r="M954" s="117">
        <f>ROUND(Tableau1[[#This Row],[LEN]]*7.27,0)</f>
        <v>95</v>
      </c>
      <c r="N954" s="117">
        <v>15</v>
      </c>
      <c r="O954" s="134" t="str">
        <f t="shared" si="39"/>
        <v>_self</v>
      </c>
      <c r="P954" s="117">
        <f>LEN(Tableau1[[#This Row],[LABEL]])</f>
        <v>13</v>
      </c>
      <c r="Q954" s="117">
        <v>15</v>
      </c>
      <c r="R954" s="117" t="e">
        <f>ROUND(Tableau1[[#This Row],[LEN]]*#REF!+#REF!,0)</f>
        <v>#REF!</v>
      </c>
    </row>
    <row r="955" spans="1:18" s="97" customFormat="1" x14ac:dyDescent="0.25">
      <c r="A955" s="53" t="s">
        <v>558</v>
      </c>
      <c r="B955" s="54" t="s">
        <v>542</v>
      </c>
      <c r="C955" s="431" t="s">
        <v>0</v>
      </c>
      <c r="D955" s="55" t="s">
        <v>562</v>
      </c>
      <c r="E955" s="77" t="s">
        <v>1177</v>
      </c>
      <c r="F955" s="55" t="s">
        <v>672</v>
      </c>
      <c r="G955" s="55" t="s">
        <v>1177</v>
      </c>
      <c r="H955" s="77" t="s">
        <v>2101</v>
      </c>
      <c r="I955" s="77" t="s">
        <v>654</v>
      </c>
      <c r="J955" s="55"/>
      <c r="K955" s="56" t="s">
        <v>708</v>
      </c>
      <c r="L955" s="56" t="str">
        <f t="shared" si="38"/>
        <v>_</v>
      </c>
      <c r="M955" s="118">
        <f>ROUND(Tableau1[[#This Row],[LEN]]*7.27,0)</f>
        <v>58</v>
      </c>
      <c r="N955" s="118">
        <v>15</v>
      </c>
      <c r="O955" s="135" t="str">
        <f t="shared" si="39"/>
        <v>_self</v>
      </c>
      <c r="P955" s="118">
        <f>LEN(Tableau1[[#This Row],[LABEL]])</f>
        <v>8</v>
      </c>
      <c r="Q955" s="118">
        <v>15</v>
      </c>
      <c r="R955" s="118" t="e">
        <f>ROUND(Tableau1[[#This Row],[LEN]]*#REF!+#REF!,0)</f>
        <v>#REF!</v>
      </c>
    </row>
    <row r="956" spans="1:18" s="97" customFormat="1" x14ac:dyDescent="0.25">
      <c r="A956" s="53" t="s">
        <v>559</v>
      </c>
      <c r="B956" s="54" t="s">
        <v>542</v>
      </c>
      <c r="C956" s="431" t="s">
        <v>0</v>
      </c>
      <c r="D956" s="55" t="s">
        <v>563</v>
      </c>
      <c r="E956" s="77" t="s">
        <v>1177</v>
      </c>
      <c r="F956" s="55" t="s">
        <v>672</v>
      </c>
      <c r="G956" s="55" t="s">
        <v>1177</v>
      </c>
      <c r="H956" s="77" t="s">
        <v>2101</v>
      </c>
      <c r="I956" s="77" t="s">
        <v>654</v>
      </c>
      <c r="J956" s="55"/>
      <c r="K956" s="56" t="s">
        <v>708</v>
      </c>
      <c r="L956" s="56" t="str">
        <f t="shared" si="38"/>
        <v>_</v>
      </c>
      <c r="M956" s="118">
        <f>ROUND(Tableau1[[#This Row],[LEN]]*7.27,0)</f>
        <v>58</v>
      </c>
      <c r="N956" s="118">
        <v>15</v>
      </c>
      <c r="O956" s="135" t="str">
        <f t="shared" si="39"/>
        <v>_self</v>
      </c>
      <c r="P956" s="118">
        <f>LEN(Tableau1[[#This Row],[LABEL]])</f>
        <v>8</v>
      </c>
      <c r="Q956" s="118">
        <v>15</v>
      </c>
      <c r="R956" s="118" t="e">
        <f>ROUND(Tableau1[[#This Row],[LEN]]*#REF!+#REF!,0)</f>
        <v>#REF!</v>
      </c>
    </row>
    <row r="957" spans="1:18" s="97" customFormat="1" x14ac:dyDescent="0.25">
      <c r="A957" s="53" t="s">
        <v>560</v>
      </c>
      <c r="B957" s="54" t="s">
        <v>542</v>
      </c>
      <c r="C957" s="431" t="s">
        <v>0</v>
      </c>
      <c r="D957" s="55" t="s">
        <v>2199</v>
      </c>
      <c r="E957" s="77" t="s">
        <v>1177</v>
      </c>
      <c r="F957" s="55" t="s">
        <v>672</v>
      </c>
      <c r="G957" s="55" t="s">
        <v>1177</v>
      </c>
      <c r="H957" s="77" t="s">
        <v>2101</v>
      </c>
      <c r="I957" s="77" t="s">
        <v>654</v>
      </c>
      <c r="J957" s="55"/>
      <c r="K957" s="56" t="s">
        <v>708</v>
      </c>
      <c r="L957" s="56" t="str">
        <f t="shared" si="38"/>
        <v>_</v>
      </c>
      <c r="M957" s="118">
        <f>ROUND(Tableau1[[#This Row],[LEN]]*7.27,0)</f>
        <v>131</v>
      </c>
      <c r="N957" s="118">
        <v>15</v>
      </c>
      <c r="O957" s="135" t="str">
        <f t="shared" si="39"/>
        <v>_self</v>
      </c>
      <c r="P957" s="118">
        <f>LEN(Tableau1[[#This Row],[LABEL]])</f>
        <v>18</v>
      </c>
      <c r="Q957" s="118">
        <v>15</v>
      </c>
      <c r="R957" s="118" t="e">
        <f>ROUND(Tableau1[[#This Row],[LEN]]*#REF!+#REF!,0)</f>
        <v>#REF!</v>
      </c>
    </row>
    <row r="958" spans="1:18" s="97" customFormat="1" x14ac:dyDescent="0.25">
      <c r="A958" s="53" t="s">
        <v>561</v>
      </c>
      <c r="B958" s="54" t="s">
        <v>542</v>
      </c>
      <c r="C958" s="431" t="s">
        <v>0</v>
      </c>
      <c r="D958" s="55" t="s">
        <v>2200</v>
      </c>
      <c r="E958" s="77" t="s">
        <v>1177</v>
      </c>
      <c r="F958" s="55" t="s">
        <v>672</v>
      </c>
      <c r="G958" s="55" t="s">
        <v>1177</v>
      </c>
      <c r="H958" s="77" t="s">
        <v>2101</v>
      </c>
      <c r="I958" s="77" t="s">
        <v>654</v>
      </c>
      <c r="J958" s="55"/>
      <c r="K958" s="56" t="s">
        <v>708</v>
      </c>
      <c r="L958" s="56" t="str">
        <f t="shared" si="38"/>
        <v>_</v>
      </c>
      <c r="M958" s="118">
        <f>ROUND(Tableau1[[#This Row],[LEN]]*7.27,0)</f>
        <v>95</v>
      </c>
      <c r="N958" s="118">
        <v>15</v>
      </c>
      <c r="O958" s="135" t="str">
        <f t="shared" si="39"/>
        <v>_self</v>
      </c>
      <c r="P958" s="118">
        <f>LEN(Tableau1[[#This Row],[LABEL]])</f>
        <v>13</v>
      </c>
      <c r="Q958" s="118">
        <v>15</v>
      </c>
      <c r="R958" s="118" t="e">
        <f>ROUND(Tableau1[[#This Row],[LEN]]*#REF!+#REF!,0)</f>
        <v>#REF!</v>
      </c>
    </row>
    <row r="959" spans="1:18" s="97" customFormat="1" x14ac:dyDescent="0.25">
      <c r="A959" s="53" t="s">
        <v>566</v>
      </c>
      <c r="B959" s="54" t="s">
        <v>542</v>
      </c>
      <c r="C959" s="431" t="s">
        <v>0</v>
      </c>
      <c r="D959" s="55" t="s">
        <v>570</v>
      </c>
      <c r="E959" s="77" t="s">
        <v>1177</v>
      </c>
      <c r="F959" s="55" t="s">
        <v>672</v>
      </c>
      <c r="G959" s="55" t="s">
        <v>1177</v>
      </c>
      <c r="H959" s="77" t="s">
        <v>2101</v>
      </c>
      <c r="I959" s="77" t="s">
        <v>654</v>
      </c>
      <c r="J959" s="55"/>
      <c r="K959" s="56" t="s">
        <v>708</v>
      </c>
      <c r="L959" s="56" t="str">
        <f t="shared" si="38"/>
        <v>_</v>
      </c>
      <c r="M959" s="118">
        <f>ROUND(Tableau1[[#This Row],[LEN]]*7.27,0)</f>
        <v>44</v>
      </c>
      <c r="N959" s="118">
        <v>15</v>
      </c>
      <c r="O959" s="135" t="str">
        <f t="shared" si="39"/>
        <v>_self</v>
      </c>
      <c r="P959" s="118">
        <f>LEN(Tableau1[[#This Row],[LABEL]])</f>
        <v>6</v>
      </c>
      <c r="Q959" s="118">
        <v>15</v>
      </c>
      <c r="R959" s="118" t="e">
        <f>ROUND(Tableau1[[#This Row],[LEN]]*#REF!+#REF!,0)</f>
        <v>#REF!</v>
      </c>
    </row>
    <row r="960" spans="1:18" s="97" customFormat="1" x14ac:dyDescent="0.25">
      <c r="A960" s="53" t="s">
        <v>567</v>
      </c>
      <c r="B960" s="54" t="s">
        <v>542</v>
      </c>
      <c r="C960" s="431" t="s">
        <v>0</v>
      </c>
      <c r="D960" s="55" t="s">
        <v>571</v>
      </c>
      <c r="E960" s="77" t="s">
        <v>1177</v>
      </c>
      <c r="F960" s="55" t="s">
        <v>672</v>
      </c>
      <c r="G960" s="55" t="s">
        <v>1177</v>
      </c>
      <c r="H960" s="77" t="s">
        <v>2101</v>
      </c>
      <c r="I960" s="77" t="s">
        <v>654</v>
      </c>
      <c r="J960" s="55"/>
      <c r="K960" s="56" t="s">
        <v>708</v>
      </c>
      <c r="L960" s="56" t="str">
        <f t="shared" si="38"/>
        <v>_</v>
      </c>
      <c r="M960" s="118">
        <f>ROUND(Tableau1[[#This Row],[LEN]]*7.27,0)</f>
        <v>44</v>
      </c>
      <c r="N960" s="118">
        <v>15</v>
      </c>
      <c r="O960" s="135" t="str">
        <f t="shared" si="39"/>
        <v>_self</v>
      </c>
      <c r="P960" s="118">
        <f>LEN(Tableau1[[#This Row],[LABEL]])</f>
        <v>6</v>
      </c>
      <c r="Q960" s="118">
        <v>15</v>
      </c>
      <c r="R960" s="118" t="e">
        <f>ROUND(Tableau1[[#This Row],[LEN]]*#REF!+#REF!,0)</f>
        <v>#REF!</v>
      </c>
    </row>
    <row r="961" spans="1:18" s="97" customFormat="1" x14ac:dyDescent="0.25">
      <c r="A961" s="53" t="s">
        <v>568</v>
      </c>
      <c r="B961" s="54" t="s">
        <v>542</v>
      </c>
      <c r="C961" s="431" t="s">
        <v>0</v>
      </c>
      <c r="D961" s="55" t="s">
        <v>572</v>
      </c>
      <c r="E961" s="77" t="s">
        <v>1177</v>
      </c>
      <c r="F961" s="55" t="s">
        <v>672</v>
      </c>
      <c r="G961" s="55" t="s">
        <v>1177</v>
      </c>
      <c r="H961" s="77" t="s">
        <v>2101</v>
      </c>
      <c r="I961" s="77" t="s">
        <v>654</v>
      </c>
      <c r="J961" s="55"/>
      <c r="K961" s="56" t="s">
        <v>708</v>
      </c>
      <c r="L961" s="56" t="str">
        <f t="shared" si="38"/>
        <v>_</v>
      </c>
      <c r="M961" s="118">
        <f>ROUND(Tableau1[[#This Row],[LEN]]*7.27,0)</f>
        <v>95</v>
      </c>
      <c r="N961" s="118">
        <v>15</v>
      </c>
      <c r="O961" s="135" t="str">
        <f t="shared" si="39"/>
        <v>_self</v>
      </c>
      <c r="P961" s="118">
        <f>LEN(Tableau1[[#This Row],[LABEL]])</f>
        <v>13</v>
      </c>
      <c r="Q961" s="118">
        <v>15</v>
      </c>
      <c r="R961" s="118" t="e">
        <f>ROUND(Tableau1[[#This Row],[LEN]]*#REF!+#REF!,0)</f>
        <v>#REF!</v>
      </c>
    </row>
    <row r="962" spans="1:18" s="97" customFormat="1" x14ac:dyDescent="0.25">
      <c r="A962" s="53" t="s">
        <v>569</v>
      </c>
      <c r="B962" s="54" t="s">
        <v>542</v>
      </c>
      <c r="C962" s="431" t="s">
        <v>0</v>
      </c>
      <c r="D962" s="55" t="s">
        <v>573</v>
      </c>
      <c r="E962" s="77" t="s">
        <v>1177</v>
      </c>
      <c r="F962" s="55" t="s">
        <v>672</v>
      </c>
      <c r="G962" s="55" t="s">
        <v>1177</v>
      </c>
      <c r="H962" s="77" t="s">
        <v>2101</v>
      </c>
      <c r="I962" s="77" t="s">
        <v>654</v>
      </c>
      <c r="J962" s="55"/>
      <c r="K962" s="56" t="s">
        <v>708</v>
      </c>
      <c r="L962" s="56" t="str">
        <f t="shared" si="38"/>
        <v>_</v>
      </c>
      <c r="M962" s="118">
        <f>ROUND(Tableau1[[#This Row],[LEN]]*7.27,0)</f>
        <v>109</v>
      </c>
      <c r="N962" s="118">
        <v>15</v>
      </c>
      <c r="O962" s="135" t="str">
        <f t="shared" si="39"/>
        <v>_self</v>
      </c>
      <c r="P962" s="118">
        <f>LEN(Tableau1[[#This Row],[LABEL]])</f>
        <v>15</v>
      </c>
      <c r="Q962" s="118">
        <v>15</v>
      </c>
      <c r="R962" s="118" t="e">
        <f>ROUND(Tableau1[[#This Row],[LEN]]*#REF!+#REF!,0)</f>
        <v>#REF!</v>
      </c>
    </row>
    <row r="963" spans="1:18" s="97" customFormat="1" x14ac:dyDescent="0.25">
      <c r="A963" s="49" t="s">
        <v>543</v>
      </c>
      <c r="B963" s="50" t="s">
        <v>312</v>
      </c>
      <c r="C963" s="431" t="s">
        <v>0</v>
      </c>
      <c r="D963" s="51" t="s">
        <v>548</v>
      </c>
      <c r="E963" s="76" t="s">
        <v>1177</v>
      </c>
      <c r="F963" s="51" t="s">
        <v>672</v>
      </c>
      <c r="G963" s="51" t="s">
        <v>1177</v>
      </c>
      <c r="H963" s="76" t="s">
        <v>2101</v>
      </c>
      <c r="I963" s="76" t="s">
        <v>655</v>
      </c>
      <c r="J963" s="51"/>
      <c r="K963" s="52" t="s">
        <v>708</v>
      </c>
      <c r="L963" s="52" t="str">
        <f t="shared" si="38"/>
        <v>_</v>
      </c>
      <c r="M963" s="117">
        <f>ROUND(Tableau1[[#This Row],[LEN]]*7.27,0)</f>
        <v>218</v>
      </c>
      <c r="N963" s="117">
        <v>15</v>
      </c>
      <c r="O963" s="134" t="str">
        <f t="shared" si="39"/>
        <v>_self</v>
      </c>
      <c r="P963" s="117">
        <f>LEN(Tableau1[[#This Row],[LABEL]])</f>
        <v>30</v>
      </c>
      <c r="Q963" s="117">
        <v>15</v>
      </c>
      <c r="R963" s="117" t="e">
        <f>ROUND(Tableau1[[#This Row],[LEN]]*#REF!+#REF!,0)</f>
        <v>#REF!</v>
      </c>
    </row>
    <row r="964" spans="1:18" s="97" customFormat="1" x14ac:dyDescent="0.25">
      <c r="A964" s="53" t="s">
        <v>574</v>
      </c>
      <c r="B964" s="54" t="s">
        <v>543</v>
      </c>
      <c r="C964" s="431" t="s">
        <v>0</v>
      </c>
      <c r="D964" s="55" t="s">
        <v>576</v>
      </c>
      <c r="E964" s="77" t="s">
        <v>1177</v>
      </c>
      <c r="F964" s="55" t="s">
        <v>672</v>
      </c>
      <c r="G964" s="55" t="s">
        <v>1177</v>
      </c>
      <c r="H964" s="77" t="s">
        <v>2101</v>
      </c>
      <c r="I964" s="77" t="s">
        <v>655</v>
      </c>
      <c r="J964" s="55"/>
      <c r="K964" s="56" t="s">
        <v>708</v>
      </c>
      <c r="L964" s="56" t="str">
        <f t="shared" si="38"/>
        <v>_</v>
      </c>
      <c r="M964" s="118">
        <f>ROUND(Tableau1[[#This Row],[LEN]]*7.27,0)</f>
        <v>65</v>
      </c>
      <c r="N964" s="118">
        <v>15</v>
      </c>
      <c r="O964" s="135" t="str">
        <f t="shared" si="39"/>
        <v>_self</v>
      </c>
      <c r="P964" s="118">
        <f>LEN(Tableau1[[#This Row],[LABEL]])</f>
        <v>9</v>
      </c>
      <c r="Q964" s="118">
        <v>15</v>
      </c>
      <c r="R964" s="118" t="e">
        <f>ROUND(Tableau1[[#This Row],[LEN]]*#REF!+#REF!,0)</f>
        <v>#REF!</v>
      </c>
    </row>
    <row r="965" spans="1:18" s="97" customFormat="1" x14ac:dyDescent="0.25">
      <c r="A965" s="57" t="s">
        <v>580</v>
      </c>
      <c r="B965" s="58" t="s">
        <v>574</v>
      </c>
      <c r="C965" s="431" t="s">
        <v>0</v>
      </c>
      <c r="D965" s="59" t="s">
        <v>578</v>
      </c>
      <c r="E965" s="78" t="s">
        <v>1177</v>
      </c>
      <c r="F965" s="59" t="s">
        <v>672</v>
      </c>
      <c r="G965" s="59" t="s">
        <v>1177</v>
      </c>
      <c r="H965" s="78" t="s">
        <v>2101</v>
      </c>
      <c r="I965" s="78" t="s">
        <v>654</v>
      </c>
      <c r="J965" s="59"/>
      <c r="K965" s="60" t="s">
        <v>708</v>
      </c>
      <c r="L965" s="60" t="str">
        <f t="shared" si="38"/>
        <v>_</v>
      </c>
      <c r="M965" s="119">
        <f>ROUND(Tableau1[[#This Row],[LEN]]*7.27,0)</f>
        <v>73</v>
      </c>
      <c r="N965" s="119">
        <v>15</v>
      </c>
      <c r="O965" s="136" t="str">
        <f t="shared" si="39"/>
        <v>_self</v>
      </c>
      <c r="P965" s="119">
        <f>LEN(Tableau1[[#This Row],[LABEL]])</f>
        <v>10</v>
      </c>
      <c r="Q965" s="119">
        <v>15</v>
      </c>
      <c r="R965" s="119" t="e">
        <f>ROUND(Tableau1[[#This Row],[LEN]]*#REF!+#REF!,0)</f>
        <v>#REF!</v>
      </c>
    </row>
    <row r="966" spans="1:18" s="97" customFormat="1" x14ac:dyDescent="0.25">
      <c r="A966" s="57" t="s">
        <v>581</v>
      </c>
      <c r="B966" s="58" t="s">
        <v>574</v>
      </c>
      <c r="C966" s="431" t="s">
        <v>0</v>
      </c>
      <c r="D966" s="59" t="s">
        <v>579</v>
      </c>
      <c r="E966" s="78" t="s">
        <v>1177</v>
      </c>
      <c r="F966" s="59" t="s">
        <v>672</v>
      </c>
      <c r="G966" s="59" t="s">
        <v>1177</v>
      </c>
      <c r="H966" s="78" t="s">
        <v>2101</v>
      </c>
      <c r="I966" s="78" t="s">
        <v>654</v>
      </c>
      <c r="J966" s="59"/>
      <c r="K966" s="60" t="s">
        <v>708</v>
      </c>
      <c r="L966" s="60" t="str">
        <f t="shared" si="38"/>
        <v>_</v>
      </c>
      <c r="M966" s="119">
        <f>ROUND(Tableau1[[#This Row],[LEN]]*7.27,0)</f>
        <v>153</v>
      </c>
      <c r="N966" s="119">
        <v>15</v>
      </c>
      <c r="O966" s="136" t="str">
        <f t="shared" si="39"/>
        <v>_self</v>
      </c>
      <c r="P966" s="119">
        <f>LEN(Tableau1[[#This Row],[LABEL]])</f>
        <v>21</v>
      </c>
      <c r="Q966" s="119">
        <v>15</v>
      </c>
      <c r="R966" s="119" t="e">
        <f>ROUND(Tableau1[[#This Row],[LEN]]*#REF!+#REF!,0)</f>
        <v>#REF!</v>
      </c>
    </row>
    <row r="967" spans="1:18" s="97" customFormat="1" x14ac:dyDescent="0.25">
      <c r="A967" s="53" t="s">
        <v>575</v>
      </c>
      <c r="B967" s="54" t="s">
        <v>543</v>
      </c>
      <c r="C967" s="431" t="s">
        <v>0</v>
      </c>
      <c r="D967" s="55" t="s">
        <v>577</v>
      </c>
      <c r="E967" s="77" t="s">
        <v>1177</v>
      </c>
      <c r="F967" s="55" t="s">
        <v>672</v>
      </c>
      <c r="G967" s="55" t="s">
        <v>1177</v>
      </c>
      <c r="H967" s="77" t="s">
        <v>2101</v>
      </c>
      <c r="I967" s="77" t="s">
        <v>655</v>
      </c>
      <c r="J967" s="55"/>
      <c r="K967" s="56" t="s">
        <v>708</v>
      </c>
      <c r="L967" s="56" t="str">
        <f t="shared" si="38"/>
        <v>_</v>
      </c>
      <c r="M967" s="118">
        <f>ROUND(Tableau1[[#This Row],[LEN]]*7.27,0)</f>
        <v>73</v>
      </c>
      <c r="N967" s="118">
        <v>15</v>
      </c>
      <c r="O967" s="135" t="str">
        <f t="shared" si="39"/>
        <v>_self</v>
      </c>
      <c r="P967" s="118">
        <f>LEN(Tableau1[[#This Row],[LABEL]])</f>
        <v>10</v>
      </c>
      <c r="Q967" s="118">
        <v>15</v>
      </c>
      <c r="R967" s="118" t="e">
        <f>ROUND(Tableau1[[#This Row],[LEN]]*#REF!+#REF!,0)</f>
        <v>#REF!</v>
      </c>
    </row>
    <row r="968" spans="1:18" s="97" customFormat="1" x14ac:dyDescent="0.25">
      <c r="A968" s="57" t="s">
        <v>582</v>
      </c>
      <c r="B968" s="58" t="s">
        <v>575</v>
      </c>
      <c r="C968" s="431" t="s">
        <v>0</v>
      </c>
      <c r="D968" s="59" t="s">
        <v>586</v>
      </c>
      <c r="E968" s="78" t="s">
        <v>1177</v>
      </c>
      <c r="F968" s="59" t="s">
        <v>672</v>
      </c>
      <c r="G968" s="59" t="s">
        <v>1177</v>
      </c>
      <c r="H968" s="78" t="s">
        <v>2101</v>
      </c>
      <c r="I968" s="78" t="s">
        <v>654</v>
      </c>
      <c r="J968" s="59"/>
      <c r="K968" s="60" t="s">
        <v>708</v>
      </c>
      <c r="L968" s="60" t="str">
        <f t="shared" si="38"/>
        <v>_</v>
      </c>
      <c r="M968" s="119">
        <f>ROUND(Tableau1[[#This Row],[LEN]]*7.27,0)</f>
        <v>189</v>
      </c>
      <c r="N968" s="119">
        <v>15</v>
      </c>
      <c r="O968" s="136" t="str">
        <f t="shared" si="39"/>
        <v>_self</v>
      </c>
      <c r="P968" s="119">
        <f>LEN(Tableau1[[#This Row],[LABEL]])</f>
        <v>26</v>
      </c>
      <c r="Q968" s="119">
        <v>15</v>
      </c>
      <c r="R968" s="119" t="e">
        <f>ROUND(Tableau1[[#This Row],[LEN]]*#REF!+#REF!,0)</f>
        <v>#REF!</v>
      </c>
    </row>
    <row r="969" spans="1:18" s="97" customFormat="1" x14ac:dyDescent="0.25">
      <c r="A969" s="57" t="s">
        <v>583</v>
      </c>
      <c r="B969" s="58" t="s">
        <v>575</v>
      </c>
      <c r="C969" s="431" t="s">
        <v>0</v>
      </c>
      <c r="D969" s="59" t="s">
        <v>587</v>
      </c>
      <c r="E969" s="78" t="s">
        <v>1177</v>
      </c>
      <c r="F969" s="59" t="s">
        <v>672</v>
      </c>
      <c r="G969" s="59" t="s">
        <v>1177</v>
      </c>
      <c r="H969" s="78" t="s">
        <v>2101</v>
      </c>
      <c r="I969" s="78" t="s">
        <v>654</v>
      </c>
      <c r="J969" s="59"/>
      <c r="K969" s="60" t="s">
        <v>708</v>
      </c>
      <c r="L969" s="60" t="str">
        <f t="shared" si="38"/>
        <v>_</v>
      </c>
      <c r="M969" s="119">
        <f>ROUND(Tableau1[[#This Row],[LEN]]*7.27,0)</f>
        <v>73</v>
      </c>
      <c r="N969" s="119">
        <v>15</v>
      </c>
      <c r="O969" s="136" t="str">
        <f t="shared" si="39"/>
        <v>_self</v>
      </c>
      <c r="P969" s="119">
        <f>LEN(Tableau1[[#This Row],[LABEL]])</f>
        <v>10</v>
      </c>
      <c r="Q969" s="119">
        <v>15</v>
      </c>
      <c r="R969" s="119" t="e">
        <f>ROUND(Tableau1[[#This Row],[LEN]]*#REF!+#REF!,0)</f>
        <v>#REF!</v>
      </c>
    </row>
    <row r="970" spans="1:18" s="97" customFormat="1" x14ac:dyDescent="0.25">
      <c r="A970" s="57" t="s">
        <v>584</v>
      </c>
      <c r="B970" s="58" t="s">
        <v>575</v>
      </c>
      <c r="C970" s="431" t="s">
        <v>0</v>
      </c>
      <c r="D970" s="59" t="s">
        <v>588</v>
      </c>
      <c r="E970" s="78" t="s">
        <v>1177</v>
      </c>
      <c r="F970" s="59" t="s">
        <v>672</v>
      </c>
      <c r="G970" s="59" t="s">
        <v>1177</v>
      </c>
      <c r="H970" s="78" t="s">
        <v>2101</v>
      </c>
      <c r="I970" s="78" t="s">
        <v>654</v>
      </c>
      <c r="J970" s="59"/>
      <c r="K970" s="60" t="s">
        <v>708</v>
      </c>
      <c r="L970" s="60" t="str">
        <f t="shared" si="38"/>
        <v>_</v>
      </c>
      <c r="M970" s="119">
        <f>ROUND(Tableau1[[#This Row],[LEN]]*7.27,0)</f>
        <v>65</v>
      </c>
      <c r="N970" s="119">
        <v>15</v>
      </c>
      <c r="O970" s="136" t="str">
        <f t="shared" si="39"/>
        <v>_self</v>
      </c>
      <c r="P970" s="119">
        <f>LEN(Tableau1[[#This Row],[LABEL]])</f>
        <v>9</v>
      </c>
      <c r="Q970" s="119">
        <v>15</v>
      </c>
      <c r="R970" s="119" t="e">
        <f>ROUND(Tableau1[[#This Row],[LEN]]*#REF!+#REF!,0)</f>
        <v>#REF!</v>
      </c>
    </row>
    <row r="971" spans="1:18" s="97" customFormat="1" x14ac:dyDescent="0.25">
      <c r="A971" s="57" t="s">
        <v>585</v>
      </c>
      <c r="B971" s="58" t="s">
        <v>575</v>
      </c>
      <c r="C971" s="431" t="s">
        <v>0</v>
      </c>
      <c r="D971" s="465" t="s">
        <v>589</v>
      </c>
      <c r="E971" s="78" t="s">
        <v>1177</v>
      </c>
      <c r="F971" s="59" t="s">
        <v>672</v>
      </c>
      <c r="G971" s="59" t="s">
        <v>1177</v>
      </c>
      <c r="H971" s="78" t="s">
        <v>2101</v>
      </c>
      <c r="I971" s="78" t="s">
        <v>654</v>
      </c>
      <c r="J971" s="59"/>
      <c r="K971" s="60" t="s">
        <v>708</v>
      </c>
      <c r="L971" s="60" t="str">
        <f t="shared" si="38"/>
        <v>_</v>
      </c>
      <c r="M971" s="119">
        <f>ROUND(Tableau1[[#This Row],[LEN]]*7.27,0)</f>
        <v>145</v>
      </c>
      <c r="N971" s="119">
        <v>15</v>
      </c>
      <c r="O971" s="136" t="str">
        <f t="shared" si="39"/>
        <v>_self</v>
      </c>
      <c r="P971" s="119">
        <f>LEN(Tableau1[[#This Row],[LABEL]])</f>
        <v>20</v>
      </c>
      <c r="Q971" s="119">
        <v>15</v>
      </c>
      <c r="R971" s="119" t="e">
        <f>ROUND(Tableau1[[#This Row],[LEN]]*#REF!+#REF!,0)</f>
        <v>#REF!</v>
      </c>
    </row>
    <row r="972" spans="1:18" s="97" customFormat="1" hidden="1" x14ac:dyDescent="0.25">
      <c r="A972" s="49" t="s">
        <v>544</v>
      </c>
      <c r="B972" s="50" t="s">
        <v>312</v>
      </c>
      <c r="C972" s="431" t="s">
        <v>0</v>
      </c>
      <c r="D972" s="51" t="s">
        <v>549</v>
      </c>
      <c r="E972" s="76" t="s">
        <v>1177</v>
      </c>
      <c r="F972" s="51" t="s">
        <v>673</v>
      </c>
      <c r="G972" s="51" t="s">
        <v>1704</v>
      </c>
      <c r="H972" s="76" t="s">
        <v>2101</v>
      </c>
      <c r="I972" s="76" t="s">
        <v>655</v>
      </c>
      <c r="J972" s="51"/>
      <c r="K972" s="52" t="s">
        <v>708</v>
      </c>
      <c r="L972" s="52" t="str">
        <f t="shared" si="38"/>
        <v>_</v>
      </c>
      <c r="M972" s="117">
        <f>ROUND(Tableau1[[#This Row],[LEN]]*7.27,0)</f>
        <v>145</v>
      </c>
      <c r="N972" s="117">
        <v>15</v>
      </c>
      <c r="O972" s="134" t="str">
        <f t="shared" si="39"/>
        <v>_self</v>
      </c>
      <c r="P972" s="117">
        <f>LEN(Tableau1[[#This Row],[LABEL]])</f>
        <v>20</v>
      </c>
      <c r="Q972" s="117">
        <v>15</v>
      </c>
      <c r="R972" s="117" t="e">
        <f>ROUND(Tableau1[[#This Row],[LEN]]*#REF!+#REF!,0)</f>
        <v>#REF!</v>
      </c>
    </row>
    <row r="973" spans="1:18" s="97" customFormat="1" hidden="1" x14ac:dyDescent="0.25">
      <c r="A973" s="53" t="s">
        <v>593</v>
      </c>
      <c r="B973" s="54" t="s">
        <v>544</v>
      </c>
      <c r="C973" s="431" t="s">
        <v>0</v>
      </c>
      <c r="D973" s="55" t="s">
        <v>590</v>
      </c>
      <c r="E973" s="77" t="s">
        <v>1177</v>
      </c>
      <c r="F973" s="55" t="s">
        <v>673</v>
      </c>
      <c r="G973" s="55" t="s">
        <v>1704</v>
      </c>
      <c r="H973" s="77" t="s">
        <v>2101</v>
      </c>
      <c r="I973" s="77" t="s">
        <v>570</v>
      </c>
      <c r="J973" s="55"/>
      <c r="K973" s="56" t="s">
        <v>708</v>
      </c>
      <c r="L973" s="56" t="str">
        <f t="shared" si="38"/>
        <v>_</v>
      </c>
      <c r="M973" s="118">
        <f>ROUND(Tableau1[[#This Row],[LEN]]*7.27,0)</f>
        <v>102</v>
      </c>
      <c r="N973" s="118">
        <v>15</v>
      </c>
      <c r="O973" s="135" t="str">
        <f t="shared" si="39"/>
        <v>_self</v>
      </c>
      <c r="P973" s="118">
        <f>LEN(Tableau1[[#This Row],[LABEL]])</f>
        <v>14</v>
      </c>
      <c r="Q973" s="118">
        <v>15</v>
      </c>
      <c r="R973" s="118" t="e">
        <f>ROUND(Tableau1[[#This Row],[LEN]]*#REF!+#REF!,0)</f>
        <v>#REF!</v>
      </c>
    </row>
    <row r="974" spans="1:18" s="97" customFormat="1" hidden="1" x14ac:dyDescent="0.25">
      <c r="A974" s="53" t="s">
        <v>594</v>
      </c>
      <c r="B974" s="54" t="s">
        <v>544</v>
      </c>
      <c r="C974" s="431" t="s">
        <v>0</v>
      </c>
      <c r="D974" s="55" t="s">
        <v>591</v>
      </c>
      <c r="E974" s="77" t="s">
        <v>1177</v>
      </c>
      <c r="F974" s="55" t="s">
        <v>673</v>
      </c>
      <c r="G974" s="55" t="s">
        <v>1704</v>
      </c>
      <c r="H974" s="77" t="s">
        <v>2101</v>
      </c>
      <c r="I974" s="77" t="s">
        <v>570</v>
      </c>
      <c r="J974" s="55"/>
      <c r="K974" s="56" t="s">
        <v>708</v>
      </c>
      <c r="L974" s="56" t="str">
        <f t="shared" si="38"/>
        <v>_</v>
      </c>
      <c r="M974" s="118">
        <f>ROUND(Tableau1[[#This Row],[LEN]]*7.27,0)</f>
        <v>262</v>
      </c>
      <c r="N974" s="118">
        <v>15</v>
      </c>
      <c r="O974" s="135" t="str">
        <f t="shared" si="39"/>
        <v>_self</v>
      </c>
      <c r="P974" s="118">
        <f>LEN(Tableau1[[#This Row],[LABEL]])</f>
        <v>36</v>
      </c>
      <c r="Q974" s="118">
        <v>15</v>
      </c>
      <c r="R974" s="118" t="e">
        <f>ROUND(Tableau1[[#This Row],[LEN]]*#REF!+#REF!,0)</f>
        <v>#REF!</v>
      </c>
    </row>
    <row r="975" spans="1:18" s="97" customFormat="1" hidden="1" x14ac:dyDescent="0.25">
      <c r="A975" s="53" t="s">
        <v>595</v>
      </c>
      <c r="B975" s="54" t="s">
        <v>544</v>
      </c>
      <c r="C975" s="431" t="s">
        <v>0</v>
      </c>
      <c r="D975" s="55" t="s">
        <v>592</v>
      </c>
      <c r="E975" s="77" t="s">
        <v>1177</v>
      </c>
      <c r="F975" s="55" t="s">
        <v>673</v>
      </c>
      <c r="G975" s="55" t="s">
        <v>1704</v>
      </c>
      <c r="H975" s="77" t="s">
        <v>2101</v>
      </c>
      <c r="I975" s="77" t="s">
        <v>570</v>
      </c>
      <c r="J975" s="55"/>
      <c r="K975" s="56" t="s">
        <v>708</v>
      </c>
      <c r="L975" s="56" t="str">
        <f t="shared" si="38"/>
        <v>_</v>
      </c>
      <c r="M975" s="118">
        <f>ROUND(Tableau1[[#This Row],[LEN]]*7.27,0)</f>
        <v>189</v>
      </c>
      <c r="N975" s="118">
        <v>15</v>
      </c>
      <c r="O975" s="135" t="str">
        <f t="shared" si="39"/>
        <v>_self</v>
      </c>
      <c r="P975" s="118">
        <f>LEN(Tableau1[[#This Row],[LABEL]])</f>
        <v>26</v>
      </c>
      <c r="Q975" s="118">
        <v>15</v>
      </c>
      <c r="R975" s="118" t="e">
        <f>ROUND(Tableau1[[#This Row],[LEN]]*#REF!+#REF!,0)</f>
        <v>#REF!</v>
      </c>
    </row>
    <row r="976" spans="1:18" s="97" customFormat="1" hidden="1" x14ac:dyDescent="0.25">
      <c r="A976" s="53" t="s">
        <v>596</v>
      </c>
      <c r="B976" s="54" t="s">
        <v>544</v>
      </c>
      <c r="C976" s="431" t="s">
        <v>0</v>
      </c>
      <c r="D976" s="55" t="s">
        <v>597</v>
      </c>
      <c r="E976" s="77" t="s">
        <v>1177</v>
      </c>
      <c r="F976" s="55" t="s">
        <v>673</v>
      </c>
      <c r="G976" s="55" t="s">
        <v>1704</v>
      </c>
      <c r="H976" s="77" t="s">
        <v>2101</v>
      </c>
      <c r="I976" s="77" t="s">
        <v>570</v>
      </c>
      <c r="J976" s="55"/>
      <c r="K976" s="56" t="s">
        <v>708</v>
      </c>
      <c r="L976" s="56" t="str">
        <f t="shared" si="38"/>
        <v>_</v>
      </c>
      <c r="M976" s="118">
        <f>ROUND(Tableau1[[#This Row],[LEN]]*7.27,0)</f>
        <v>465</v>
      </c>
      <c r="N976" s="118">
        <v>15</v>
      </c>
      <c r="O976" s="135" t="str">
        <f t="shared" si="39"/>
        <v>_self</v>
      </c>
      <c r="P976" s="118">
        <f>LEN(Tableau1[[#This Row],[LABEL]])</f>
        <v>64</v>
      </c>
      <c r="Q976" s="118">
        <v>15</v>
      </c>
      <c r="R976" s="118" t="e">
        <f>ROUND(Tableau1[[#This Row],[LEN]]*#REF!+#REF!,0)</f>
        <v>#REF!</v>
      </c>
    </row>
    <row r="977" spans="1:18" s="97" customFormat="1" hidden="1" x14ac:dyDescent="0.25">
      <c r="A977" s="49" t="s">
        <v>545</v>
      </c>
      <c r="B977" s="50" t="s">
        <v>312</v>
      </c>
      <c r="C977" s="431" t="s">
        <v>0</v>
      </c>
      <c r="D977" s="51" t="s">
        <v>598</v>
      </c>
      <c r="E977" s="76" t="s">
        <v>1177</v>
      </c>
      <c r="F977" s="51" t="s">
        <v>673</v>
      </c>
      <c r="G977" s="51" t="s">
        <v>2035</v>
      </c>
      <c r="H977" s="76" t="s">
        <v>2101</v>
      </c>
      <c r="I977" s="76" t="s">
        <v>654</v>
      </c>
      <c r="J977" s="51"/>
      <c r="K977" s="52" t="s">
        <v>708</v>
      </c>
      <c r="L977" s="52" t="str">
        <f t="shared" si="38"/>
        <v>_</v>
      </c>
      <c r="M977" s="117">
        <f>ROUND(Tableau1[[#This Row],[LEN]]*7.27,0)</f>
        <v>553</v>
      </c>
      <c r="N977" s="117">
        <v>15</v>
      </c>
      <c r="O977" s="134" t="str">
        <f t="shared" si="39"/>
        <v>_self</v>
      </c>
      <c r="P977" s="117">
        <f>LEN(Tableau1[[#This Row],[LABEL]])</f>
        <v>76</v>
      </c>
      <c r="Q977" s="117">
        <v>15</v>
      </c>
      <c r="R977" s="117" t="e">
        <f>ROUND(Tableau1[[#This Row],[LEN]]*#REF!+#REF!,0)</f>
        <v>#REF!</v>
      </c>
    </row>
    <row r="978" spans="1:18" s="273" customFormat="1" hidden="1" x14ac:dyDescent="0.25">
      <c r="A978" s="351" t="s">
        <v>313</v>
      </c>
      <c r="B978" s="352" t="s">
        <v>209</v>
      </c>
      <c r="C978" s="431" t="s">
        <v>0</v>
      </c>
      <c r="D978" s="353" t="s">
        <v>10</v>
      </c>
      <c r="E978" s="354" t="s">
        <v>1177</v>
      </c>
      <c r="F978" s="353" t="s">
        <v>673</v>
      </c>
      <c r="G978" s="353" t="s">
        <v>1177</v>
      </c>
      <c r="H978" s="354" t="s">
        <v>2101</v>
      </c>
      <c r="I978" s="354" t="str">
        <f>IFERROR(IF(SEARCH(".00.00.00.00.00",Tableau1[[#This Row],[name]],1)=7,"Division",""),"")</f>
        <v>Division</v>
      </c>
      <c r="J978" s="353"/>
      <c r="K978" s="355" t="s">
        <v>719</v>
      </c>
      <c r="L978" s="355" t="str">
        <f t="shared" si="38"/>
        <v>Documentation</v>
      </c>
      <c r="M978" s="356">
        <f>ROUND(Tableau1[[#This Row],[LEN]]*7.27,0)</f>
        <v>109</v>
      </c>
      <c r="N978" s="356">
        <v>15</v>
      </c>
      <c r="O978" s="357" t="str">
        <f t="shared" si="39"/>
        <v>_blank</v>
      </c>
      <c r="P978" s="356">
        <f>LEN(Tableau1[[#This Row],[LABEL]])</f>
        <v>15</v>
      </c>
      <c r="Q978" s="356">
        <v>15</v>
      </c>
      <c r="R978" s="356" t="e">
        <f>ROUND(Tableau1[[#This Row],[LEN]]*#REF!+#REF!,0)</f>
        <v>#REF!</v>
      </c>
    </row>
    <row r="979" spans="1:18" s="97" customFormat="1" hidden="1" x14ac:dyDescent="0.25">
      <c r="A979" s="49" t="s">
        <v>1722</v>
      </c>
      <c r="B979" s="50" t="s">
        <v>313</v>
      </c>
      <c r="C979" s="431" t="s">
        <v>0</v>
      </c>
      <c r="D979" s="51" t="s">
        <v>128</v>
      </c>
      <c r="E979" s="76" t="s">
        <v>1177</v>
      </c>
      <c r="F979" s="51" t="s">
        <v>669</v>
      </c>
      <c r="G979" s="51" t="s">
        <v>2029</v>
      </c>
      <c r="H979" s="76" t="s">
        <v>2101</v>
      </c>
      <c r="I979" s="76" t="s">
        <v>570</v>
      </c>
      <c r="J979" s="51"/>
      <c r="K979" s="52" t="s">
        <v>708</v>
      </c>
      <c r="L979" s="52" t="str">
        <f t="shared" si="38"/>
        <v>_</v>
      </c>
      <c r="M979" s="117">
        <f>ROUND(Tableau1[[#This Row],[LEN]]*7.27,0)</f>
        <v>182</v>
      </c>
      <c r="N979" s="117">
        <v>15</v>
      </c>
      <c r="O979" s="134" t="str">
        <f t="shared" si="39"/>
        <v>_self</v>
      </c>
      <c r="P979" s="117">
        <f>LEN(Tableau1[[#This Row],[LABEL]])</f>
        <v>25</v>
      </c>
      <c r="Q979" s="117">
        <v>15</v>
      </c>
      <c r="R979" s="117" t="e">
        <f>ROUND(Tableau1[[#This Row],[LEN]]*#REF!+#REF!,0)</f>
        <v>#REF!</v>
      </c>
    </row>
    <row r="980" spans="1:18" s="97" customFormat="1" hidden="1" x14ac:dyDescent="0.25">
      <c r="A980" s="49" t="s">
        <v>1723</v>
      </c>
      <c r="B980" s="50" t="s">
        <v>313</v>
      </c>
      <c r="C980" s="431" t="s">
        <v>0</v>
      </c>
      <c r="D980" s="51" t="s">
        <v>129</v>
      </c>
      <c r="E980" s="76" t="s">
        <v>1177</v>
      </c>
      <c r="F980" s="51" t="s">
        <v>673</v>
      </c>
      <c r="G980" s="51" t="s">
        <v>2035</v>
      </c>
      <c r="H980" s="76" t="s">
        <v>2101</v>
      </c>
      <c r="I980" s="76" t="s">
        <v>655</v>
      </c>
      <c r="J980" s="51"/>
      <c r="K980" s="52" t="s">
        <v>708</v>
      </c>
      <c r="L980" s="52" t="str">
        <f t="shared" si="38"/>
        <v>_</v>
      </c>
      <c r="M980" s="117">
        <f>ROUND(Tableau1[[#This Row],[LEN]]*7.27,0)</f>
        <v>87</v>
      </c>
      <c r="N980" s="117">
        <v>15</v>
      </c>
      <c r="O980" s="134" t="str">
        <f t="shared" si="39"/>
        <v>_self</v>
      </c>
      <c r="P980" s="117">
        <f>LEN(Tableau1[[#This Row],[LABEL]])</f>
        <v>12</v>
      </c>
      <c r="Q980" s="117">
        <v>15</v>
      </c>
      <c r="R980" s="117" t="e">
        <f>ROUND(Tableau1[[#This Row],[LEN]]*#REF!+#REF!,0)</f>
        <v>#REF!</v>
      </c>
    </row>
    <row r="981" spans="1:18" s="97" customFormat="1" hidden="1" x14ac:dyDescent="0.25">
      <c r="A981" s="53" t="s">
        <v>1728</v>
      </c>
      <c r="B981" s="54" t="s">
        <v>1723</v>
      </c>
      <c r="C981" s="431" t="s">
        <v>0</v>
      </c>
      <c r="D981" s="55" t="s">
        <v>131</v>
      </c>
      <c r="E981" s="77" t="s">
        <v>1177</v>
      </c>
      <c r="F981" s="55" t="s">
        <v>673</v>
      </c>
      <c r="G981" s="55" t="s">
        <v>2035</v>
      </c>
      <c r="H981" s="77" t="s">
        <v>2101</v>
      </c>
      <c r="I981" s="77" t="s">
        <v>570</v>
      </c>
      <c r="J981" s="55"/>
      <c r="K981" s="56" t="s">
        <v>708</v>
      </c>
      <c r="L981" s="56" t="str">
        <f t="shared" si="38"/>
        <v>_</v>
      </c>
      <c r="M981" s="118">
        <f>ROUND(Tableau1[[#This Row],[LEN]]*7.27,0)</f>
        <v>262</v>
      </c>
      <c r="N981" s="118">
        <v>15</v>
      </c>
      <c r="O981" s="135" t="str">
        <f t="shared" si="39"/>
        <v>_self</v>
      </c>
      <c r="P981" s="118">
        <f>LEN(Tableau1[[#This Row],[LABEL]])</f>
        <v>36</v>
      </c>
      <c r="Q981" s="118">
        <v>15</v>
      </c>
      <c r="R981" s="118" t="e">
        <f>ROUND(Tableau1[[#This Row],[LEN]]*#REF!+#REF!,0)</f>
        <v>#REF!</v>
      </c>
    </row>
    <row r="982" spans="1:18" s="97" customFormat="1" hidden="1" x14ac:dyDescent="0.25">
      <c r="A982" s="53" t="s">
        <v>1729</v>
      </c>
      <c r="B982" s="54" t="s">
        <v>1723</v>
      </c>
      <c r="C982" s="431" t="s">
        <v>0</v>
      </c>
      <c r="D982" s="55" t="s">
        <v>132</v>
      </c>
      <c r="E982" s="77" t="s">
        <v>1177</v>
      </c>
      <c r="F982" s="55" t="s">
        <v>673</v>
      </c>
      <c r="G982" s="55" t="s">
        <v>2035</v>
      </c>
      <c r="H982" s="77" t="s">
        <v>2101</v>
      </c>
      <c r="I982" s="77" t="s">
        <v>570</v>
      </c>
      <c r="J982" s="55"/>
      <c r="K982" s="56" t="s">
        <v>708</v>
      </c>
      <c r="L982" s="56" t="str">
        <f t="shared" si="38"/>
        <v>_</v>
      </c>
      <c r="M982" s="118">
        <f>ROUND(Tableau1[[#This Row],[LEN]]*7.27,0)</f>
        <v>298</v>
      </c>
      <c r="N982" s="118">
        <v>15</v>
      </c>
      <c r="O982" s="135" t="str">
        <f t="shared" si="39"/>
        <v>_self</v>
      </c>
      <c r="P982" s="118">
        <f>LEN(Tableau1[[#This Row],[LABEL]])</f>
        <v>41</v>
      </c>
      <c r="Q982" s="118">
        <v>15</v>
      </c>
      <c r="R982" s="118" t="e">
        <f>ROUND(Tableau1[[#This Row],[LEN]]*#REF!+#REF!,0)</f>
        <v>#REF!</v>
      </c>
    </row>
    <row r="983" spans="1:18" s="97" customFormat="1" hidden="1" x14ac:dyDescent="0.25">
      <c r="A983" s="49" t="s">
        <v>1724</v>
      </c>
      <c r="B983" s="50" t="s">
        <v>313</v>
      </c>
      <c r="C983" s="431" t="s">
        <v>0</v>
      </c>
      <c r="D983" s="51" t="s">
        <v>10</v>
      </c>
      <c r="E983" s="76" t="s">
        <v>1177</v>
      </c>
      <c r="F983" s="51" t="s">
        <v>673</v>
      </c>
      <c r="G983" s="51" t="s">
        <v>1177</v>
      </c>
      <c r="H983" s="76" t="s">
        <v>2101</v>
      </c>
      <c r="I983" s="76" t="s">
        <v>655</v>
      </c>
      <c r="J983" s="51"/>
      <c r="K983" s="52" t="s">
        <v>708</v>
      </c>
      <c r="L983" s="52" t="str">
        <f t="shared" si="38"/>
        <v>_</v>
      </c>
      <c r="M983" s="117">
        <f>ROUND(Tableau1[[#This Row],[LEN]]*7.27,0)</f>
        <v>109</v>
      </c>
      <c r="N983" s="117">
        <v>15</v>
      </c>
      <c r="O983" s="134" t="str">
        <f t="shared" si="39"/>
        <v>_self</v>
      </c>
      <c r="P983" s="117">
        <f>LEN(Tableau1[[#This Row],[LABEL]])</f>
        <v>15</v>
      </c>
      <c r="Q983" s="117">
        <v>15</v>
      </c>
      <c r="R983" s="117" t="e">
        <f>ROUND(Tableau1[[#This Row],[LEN]]*#REF!+#REF!,0)</f>
        <v>#REF!</v>
      </c>
    </row>
    <row r="984" spans="1:18" s="97" customFormat="1" hidden="1" x14ac:dyDescent="0.25">
      <c r="A984" s="53" t="s">
        <v>1730</v>
      </c>
      <c r="B984" s="54" t="s">
        <v>1724</v>
      </c>
      <c r="C984" s="431" t="s">
        <v>0</v>
      </c>
      <c r="D984" s="55" t="s">
        <v>1733</v>
      </c>
      <c r="E984" s="77" t="s">
        <v>1177</v>
      </c>
      <c r="F984" s="55" t="s">
        <v>673</v>
      </c>
      <c r="G984" s="55" t="s">
        <v>1177</v>
      </c>
      <c r="H984" s="77" t="s">
        <v>2101</v>
      </c>
      <c r="I984" s="77" t="s">
        <v>654</v>
      </c>
      <c r="J984" s="55"/>
      <c r="K984" s="56" t="s">
        <v>708</v>
      </c>
      <c r="L984" s="56" t="str">
        <f t="shared" si="38"/>
        <v>_</v>
      </c>
      <c r="M984" s="118">
        <f>ROUND(Tableau1[[#This Row],[LEN]]*7.27,0)</f>
        <v>276</v>
      </c>
      <c r="N984" s="118">
        <v>15</v>
      </c>
      <c r="O984" s="135" t="str">
        <f t="shared" si="39"/>
        <v>_self</v>
      </c>
      <c r="P984" s="118">
        <f>LEN(Tableau1[[#This Row],[LABEL]])</f>
        <v>38</v>
      </c>
      <c r="Q984" s="118">
        <v>15</v>
      </c>
      <c r="R984" s="118" t="e">
        <f>ROUND(Tableau1[[#This Row],[LEN]]*#REF!+#REF!,0)</f>
        <v>#REF!</v>
      </c>
    </row>
    <row r="985" spans="1:18" s="97" customFormat="1" hidden="1" x14ac:dyDescent="0.25">
      <c r="A985" s="53" t="s">
        <v>1731</v>
      </c>
      <c r="B985" s="54" t="s">
        <v>1724</v>
      </c>
      <c r="C985" s="431" t="s">
        <v>0</v>
      </c>
      <c r="D985" s="55" t="s">
        <v>1734</v>
      </c>
      <c r="E985" s="77" t="s">
        <v>1177</v>
      </c>
      <c r="F985" s="55" t="s">
        <v>673</v>
      </c>
      <c r="G985" s="55" t="s">
        <v>1177</v>
      </c>
      <c r="H985" s="77" t="s">
        <v>2101</v>
      </c>
      <c r="I985" s="77" t="s">
        <v>654</v>
      </c>
      <c r="J985" s="55"/>
      <c r="K985" s="56" t="s">
        <v>708</v>
      </c>
      <c r="L985" s="56" t="str">
        <f t="shared" si="38"/>
        <v>_</v>
      </c>
      <c r="M985" s="118">
        <f>ROUND(Tableau1[[#This Row],[LEN]]*7.27,0)</f>
        <v>320</v>
      </c>
      <c r="N985" s="118">
        <v>15</v>
      </c>
      <c r="O985" s="135" t="str">
        <f t="shared" si="39"/>
        <v>_self</v>
      </c>
      <c r="P985" s="118">
        <f>LEN(Tableau1[[#This Row],[LABEL]])</f>
        <v>44</v>
      </c>
      <c r="Q985" s="118">
        <v>15</v>
      </c>
      <c r="R985" s="118" t="e">
        <f>ROUND(Tableau1[[#This Row],[LEN]]*#REF!+#REF!,0)</f>
        <v>#REF!</v>
      </c>
    </row>
    <row r="986" spans="1:18" s="97" customFormat="1" hidden="1" x14ac:dyDescent="0.25">
      <c r="A986" s="53" t="s">
        <v>1732</v>
      </c>
      <c r="B986" s="54" t="s">
        <v>1724</v>
      </c>
      <c r="C986" s="431" t="s">
        <v>0</v>
      </c>
      <c r="D986" s="55" t="s">
        <v>1735</v>
      </c>
      <c r="E986" s="77" t="s">
        <v>1177</v>
      </c>
      <c r="F986" s="55" t="s">
        <v>673</v>
      </c>
      <c r="G986" s="55" t="s">
        <v>1177</v>
      </c>
      <c r="H986" s="77" t="s">
        <v>2101</v>
      </c>
      <c r="I986" s="77" t="s">
        <v>654</v>
      </c>
      <c r="J986" s="55"/>
      <c r="K986" s="56" t="s">
        <v>708</v>
      </c>
      <c r="L986" s="56" t="str">
        <f t="shared" si="38"/>
        <v>_</v>
      </c>
      <c r="M986" s="118">
        <f>ROUND(Tableau1[[#This Row],[LEN]]*7.27,0)</f>
        <v>473</v>
      </c>
      <c r="N986" s="118">
        <v>15</v>
      </c>
      <c r="O986" s="135" t="str">
        <f t="shared" si="39"/>
        <v>_self</v>
      </c>
      <c r="P986" s="118">
        <f>LEN(Tableau1[[#This Row],[LABEL]])</f>
        <v>65</v>
      </c>
      <c r="Q986" s="118">
        <v>15</v>
      </c>
      <c r="R986" s="118" t="e">
        <f>ROUND(Tableau1[[#This Row],[LEN]]*#REF!+#REF!,0)</f>
        <v>#REF!</v>
      </c>
    </row>
    <row r="987" spans="1:18" s="97" customFormat="1" hidden="1" x14ac:dyDescent="0.25">
      <c r="A987" s="49" t="s">
        <v>1725</v>
      </c>
      <c r="B987" s="50" t="s">
        <v>313</v>
      </c>
      <c r="C987" s="431" t="s">
        <v>0</v>
      </c>
      <c r="D987" s="51" t="s">
        <v>1736</v>
      </c>
      <c r="E987" s="76" t="s">
        <v>1177</v>
      </c>
      <c r="F987" s="51" t="s">
        <v>673</v>
      </c>
      <c r="G987" s="51" t="s">
        <v>1177</v>
      </c>
      <c r="H987" s="76" t="s">
        <v>2101</v>
      </c>
      <c r="I987" s="76" t="s">
        <v>656</v>
      </c>
      <c r="J987" s="51"/>
      <c r="K987" s="52" t="s">
        <v>1737</v>
      </c>
      <c r="L987" s="52" t="str">
        <f t="shared" si="38"/>
        <v>Documentation</v>
      </c>
      <c r="M987" s="117">
        <f>ROUND(Tableau1[[#This Row],[LEN]]*7.27,0)</f>
        <v>233</v>
      </c>
      <c r="N987" s="117">
        <v>15</v>
      </c>
      <c r="O987" s="134" t="str">
        <f t="shared" si="39"/>
        <v>_blank</v>
      </c>
      <c r="P987" s="117">
        <f>LEN(Tableau1[[#This Row],[LABEL]])</f>
        <v>32</v>
      </c>
      <c r="Q987" s="117">
        <v>15</v>
      </c>
      <c r="R987" s="117" t="e">
        <f>ROUND(Tableau1[[#This Row],[LEN]]*#REF!+#REF!,0)</f>
        <v>#REF!</v>
      </c>
    </row>
    <row r="988" spans="1:18" s="97" customFormat="1" hidden="1" x14ac:dyDescent="0.25">
      <c r="A988" s="49" t="s">
        <v>1726</v>
      </c>
      <c r="B988" s="50" t="s">
        <v>313</v>
      </c>
      <c r="C988" s="431" t="s">
        <v>0</v>
      </c>
      <c r="D988" s="51" t="s">
        <v>549</v>
      </c>
      <c r="E988" s="76" t="s">
        <v>1177</v>
      </c>
      <c r="F988" s="51" t="s">
        <v>673</v>
      </c>
      <c r="G988" s="51" t="s">
        <v>1704</v>
      </c>
      <c r="H988" s="76" t="s">
        <v>2101</v>
      </c>
      <c r="I988" s="76" t="s">
        <v>655</v>
      </c>
      <c r="J988" s="51"/>
      <c r="K988" s="52" t="s">
        <v>708</v>
      </c>
      <c r="L988" s="52" t="str">
        <f t="shared" si="38"/>
        <v>_</v>
      </c>
      <c r="M988" s="117">
        <f>ROUND(Tableau1[[#This Row],[LEN]]*7.27,0)</f>
        <v>145</v>
      </c>
      <c r="N988" s="117">
        <v>15</v>
      </c>
      <c r="O988" s="134" t="str">
        <f t="shared" si="39"/>
        <v>_self</v>
      </c>
      <c r="P988" s="117">
        <f>LEN(Tableau1[[#This Row],[LABEL]])</f>
        <v>20</v>
      </c>
      <c r="Q988" s="117">
        <v>15</v>
      </c>
      <c r="R988" s="117" t="e">
        <f>ROUND(Tableau1[[#This Row],[LEN]]*#REF!+#REF!,0)</f>
        <v>#REF!</v>
      </c>
    </row>
    <row r="989" spans="1:18" s="97" customFormat="1" hidden="1" x14ac:dyDescent="0.25">
      <c r="A989" s="53" t="s">
        <v>1738</v>
      </c>
      <c r="B989" s="54" t="s">
        <v>1726</v>
      </c>
      <c r="C989" s="431" t="s">
        <v>0</v>
      </c>
      <c r="D989" s="55" t="s">
        <v>590</v>
      </c>
      <c r="E989" s="77" t="s">
        <v>1177</v>
      </c>
      <c r="F989" s="55" t="s">
        <v>673</v>
      </c>
      <c r="G989" s="55" t="s">
        <v>1704</v>
      </c>
      <c r="H989" s="77" t="s">
        <v>2101</v>
      </c>
      <c r="I989" s="77" t="s">
        <v>570</v>
      </c>
      <c r="J989" s="55"/>
      <c r="K989" s="56" t="s">
        <v>708</v>
      </c>
      <c r="L989" s="56" t="str">
        <f t="shared" si="38"/>
        <v>_</v>
      </c>
      <c r="M989" s="118">
        <f>ROUND(Tableau1[[#This Row],[LEN]]*7.27,0)</f>
        <v>102</v>
      </c>
      <c r="N989" s="118">
        <v>15</v>
      </c>
      <c r="O989" s="135" t="str">
        <f t="shared" si="39"/>
        <v>_self</v>
      </c>
      <c r="P989" s="118">
        <f>LEN(Tableau1[[#This Row],[LABEL]])</f>
        <v>14</v>
      </c>
      <c r="Q989" s="118">
        <v>15</v>
      </c>
      <c r="R989" s="118" t="e">
        <f>ROUND(Tableau1[[#This Row],[LEN]]*#REF!+#REF!,0)</f>
        <v>#REF!</v>
      </c>
    </row>
    <row r="990" spans="1:18" s="97" customFormat="1" hidden="1" x14ac:dyDescent="0.25">
      <c r="A990" s="53" t="s">
        <v>1739</v>
      </c>
      <c r="B990" s="54" t="s">
        <v>1726</v>
      </c>
      <c r="C990" s="431" t="s">
        <v>0</v>
      </c>
      <c r="D990" s="55" t="s">
        <v>591</v>
      </c>
      <c r="E990" s="77" t="s">
        <v>1177</v>
      </c>
      <c r="F990" s="55" t="s">
        <v>673</v>
      </c>
      <c r="G990" s="55" t="s">
        <v>1704</v>
      </c>
      <c r="H990" s="77" t="s">
        <v>2101</v>
      </c>
      <c r="I990" s="77" t="s">
        <v>570</v>
      </c>
      <c r="J990" s="55"/>
      <c r="K990" s="56" t="s">
        <v>708</v>
      </c>
      <c r="L990" s="56" t="str">
        <f t="shared" si="38"/>
        <v>_</v>
      </c>
      <c r="M990" s="118">
        <f>ROUND(Tableau1[[#This Row],[LEN]]*7.27,0)</f>
        <v>262</v>
      </c>
      <c r="N990" s="118">
        <v>15</v>
      </c>
      <c r="O990" s="135" t="str">
        <f t="shared" si="39"/>
        <v>_self</v>
      </c>
      <c r="P990" s="118">
        <f>LEN(Tableau1[[#This Row],[LABEL]])</f>
        <v>36</v>
      </c>
      <c r="Q990" s="118">
        <v>15</v>
      </c>
      <c r="R990" s="118" t="e">
        <f>ROUND(Tableau1[[#This Row],[LEN]]*#REF!+#REF!,0)</f>
        <v>#REF!</v>
      </c>
    </row>
    <row r="991" spans="1:18" s="97" customFormat="1" hidden="1" x14ac:dyDescent="0.25">
      <c r="A991" s="53" t="s">
        <v>1740</v>
      </c>
      <c r="B991" s="54" t="s">
        <v>1726</v>
      </c>
      <c r="C991" s="431" t="s">
        <v>0</v>
      </c>
      <c r="D991" s="55" t="s">
        <v>592</v>
      </c>
      <c r="E991" s="77" t="s">
        <v>1177</v>
      </c>
      <c r="F991" s="55" t="s">
        <v>673</v>
      </c>
      <c r="G991" s="55" t="s">
        <v>1704</v>
      </c>
      <c r="H991" s="77" t="s">
        <v>2101</v>
      </c>
      <c r="I991" s="77" t="s">
        <v>570</v>
      </c>
      <c r="J991" s="55"/>
      <c r="K991" s="56" t="s">
        <v>708</v>
      </c>
      <c r="L991" s="56" t="str">
        <f t="shared" si="38"/>
        <v>_</v>
      </c>
      <c r="M991" s="118">
        <f>ROUND(Tableau1[[#This Row],[LEN]]*7.27,0)</f>
        <v>189</v>
      </c>
      <c r="N991" s="118">
        <v>15</v>
      </c>
      <c r="O991" s="135" t="str">
        <f t="shared" si="39"/>
        <v>_self</v>
      </c>
      <c r="P991" s="118">
        <f>LEN(Tableau1[[#This Row],[LABEL]])</f>
        <v>26</v>
      </c>
      <c r="Q991" s="118">
        <v>15</v>
      </c>
      <c r="R991" s="118" t="e">
        <f>ROUND(Tableau1[[#This Row],[LEN]]*#REF!+#REF!,0)</f>
        <v>#REF!</v>
      </c>
    </row>
    <row r="992" spans="1:18" s="97" customFormat="1" hidden="1" x14ac:dyDescent="0.25">
      <c r="A992" s="53" t="s">
        <v>1741</v>
      </c>
      <c r="B992" s="54" t="s">
        <v>1726</v>
      </c>
      <c r="C992" s="431" t="s">
        <v>0</v>
      </c>
      <c r="D992" s="55" t="s">
        <v>597</v>
      </c>
      <c r="E992" s="77" t="s">
        <v>1177</v>
      </c>
      <c r="F992" s="55" t="s">
        <v>673</v>
      </c>
      <c r="G992" s="55" t="s">
        <v>1704</v>
      </c>
      <c r="H992" s="77" t="s">
        <v>2101</v>
      </c>
      <c r="I992" s="77" t="s">
        <v>570</v>
      </c>
      <c r="J992" s="55"/>
      <c r="K992" s="56" t="s">
        <v>708</v>
      </c>
      <c r="L992" s="56" t="str">
        <f t="shared" si="38"/>
        <v>_</v>
      </c>
      <c r="M992" s="118">
        <f>ROUND(Tableau1[[#This Row],[LEN]]*7.27,0)</f>
        <v>465</v>
      </c>
      <c r="N992" s="118">
        <v>15</v>
      </c>
      <c r="O992" s="135" t="str">
        <f t="shared" si="39"/>
        <v>_self</v>
      </c>
      <c r="P992" s="118">
        <f>LEN(Tableau1[[#This Row],[LABEL]])</f>
        <v>64</v>
      </c>
      <c r="Q992" s="118">
        <v>15</v>
      </c>
      <c r="R992" s="118" t="e">
        <f>ROUND(Tableau1[[#This Row],[LEN]]*#REF!+#REF!,0)</f>
        <v>#REF!</v>
      </c>
    </row>
    <row r="993" spans="1:18" s="97" customFormat="1" hidden="1" x14ac:dyDescent="0.25">
      <c r="A993" s="49" t="s">
        <v>1727</v>
      </c>
      <c r="B993" s="50" t="s">
        <v>313</v>
      </c>
      <c r="C993" s="431" t="s">
        <v>0</v>
      </c>
      <c r="D993" s="51" t="s">
        <v>598</v>
      </c>
      <c r="E993" s="76" t="s">
        <v>1177</v>
      </c>
      <c r="F993" s="51" t="s">
        <v>673</v>
      </c>
      <c r="G993" s="51" t="s">
        <v>2035</v>
      </c>
      <c r="H993" s="76" t="s">
        <v>2101</v>
      </c>
      <c r="I993" s="76" t="s">
        <v>654</v>
      </c>
      <c r="J993" s="51"/>
      <c r="K993" s="52" t="s">
        <v>708</v>
      </c>
      <c r="L993" s="52" t="str">
        <f t="shared" si="38"/>
        <v>_</v>
      </c>
      <c r="M993" s="117">
        <f>ROUND(Tableau1[[#This Row],[LEN]]*7.27,0)</f>
        <v>553</v>
      </c>
      <c r="N993" s="117">
        <v>15</v>
      </c>
      <c r="O993" s="134" t="str">
        <f t="shared" si="39"/>
        <v>_self</v>
      </c>
      <c r="P993" s="117">
        <f>LEN(Tableau1[[#This Row],[LABEL]])</f>
        <v>76</v>
      </c>
      <c r="Q993" s="117">
        <v>15</v>
      </c>
      <c r="R993" s="117" t="e">
        <f>ROUND(Tableau1[[#This Row],[LEN]]*#REF!+#REF!,0)</f>
        <v>#REF!</v>
      </c>
    </row>
    <row r="994" spans="1:18" s="273" customFormat="1" hidden="1" x14ac:dyDescent="0.25">
      <c r="A994" s="351" t="s">
        <v>314</v>
      </c>
      <c r="B994" s="352" t="s">
        <v>209</v>
      </c>
      <c r="C994" s="431" t="s">
        <v>0</v>
      </c>
      <c r="D994" s="353" t="s">
        <v>11</v>
      </c>
      <c r="E994" s="354" t="s">
        <v>1177</v>
      </c>
      <c r="F994" s="353" t="s">
        <v>674</v>
      </c>
      <c r="G994" s="353" t="s">
        <v>1177</v>
      </c>
      <c r="H994" s="354" t="s">
        <v>2101</v>
      </c>
      <c r="I994" s="354" t="str">
        <f>IFERROR(IF(SEARCH(".00.00.00.00.00",Tableau1[[#This Row],[name]],1)=7,"Division",""),"")</f>
        <v>Division</v>
      </c>
      <c r="J994" s="353"/>
      <c r="K994" s="355" t="s">
        <v>720</v>
      </c>
      <c r="L994" s="355" t="str">
        <f t="shared" si="38"/>
        <v>Documentation</v>
      </c>
      <c r="M994" s="356">
        <f>ROUND(Tableau1[[#This Row],[LEN]]*7.27,0)</f>
        <v>51</v>
      </c>
      <c r="N994" s="356">
        <v>15</v>
      </c>
      <c r="O994" s="357" t="str">
        <f t="shared" si="39"/>
        <v>_blank</v>
      </c>
      <c r="P994" s="356">
        <f>LEN(Tableau1[[#This Row],[LABEL]])</f>
        <v>7</v>
      </c>
      <c r="Q994" s="356">
        <v>15</v>
      </c>
      <c r="R994" s="356" t="e">
        <f>ROUND(Tableau1[[#This Row],[LEN]]*#REF!+#REF!,0)</f>
        <v>#REF!</v>
      </c>
    </row>
    <row r="995" spans="1:18" s="97" customFormat="1" hidden="1" x14ac:dyDescent="0.25">
      <c r="A995" s="49" t="s">
        <v>1742</v>
      </c>
      <c r="B995" s="50" t="s">
        <v>314</v>
      </c>
      <c r="C995" s="431" t="s">
        <v>0</v>
      </c>
      <c r="D995" s="51" t="s">
        <v>2108</v>
      </c>
      <c r="E995" s="76" t="s">
        <v>1177</v>
      </c>
      <c r="F995" s="51" t="s">
        <v>674</v>
      </c>
      <c r="G995" s="51" t="s">
        <v>674</v>
      </c>
      <c r="H995" s="76" t="s">
        <v>2101</v>
      </c>
      <c r="I995" s="76" t="s">
        <v>655</v>
      </c>
      <c r="J995" s="51"/>
      <c r="K995" s="52" t="s">
        <v>708</v>
      </c>
      <c r="L995" s="52" t="str">
        <f t="shared" si="38"/>
        <v>_</v>
      </c>
      <c r="M995" s="117">
        <f>ROUND(Tableau1[[#This Row],[LEN]]*7.27,0)</f>
        <v>124</v>
      </c>
      <c r="N995" s="117">
        <v>15</v>
      </c>
      <c r="O995" s="134" t="str">
        <f t="shared" si="39"/>
        <v>_self</v>
      </c>
      <c r="P995" s="117">
        <f>LEN(Tableau1[[#This Row],[LABEL]])</f>
        <v>17</v>
      </c>
      <c r="Q995" s="117">
        <v>15</v>
      </c>
      <c r="R995" s="117" t="e">
        <f>ROUND(Tableau1[[#This Row],[LEN]]*#REF!+#REF!,0)</f>
        <v>#REF!</v>
      </c>
    </row>
    <row r="996" spans="1:18" s="97" customFormat="1" hidden="1" x14ac:dyDescent="0.25">
      <c r="A996" s="53" t="s">
        <v>1747</v>
      </c>
      <c r="B996" s="54" t="s">
        <v>1742</v>
      </c>
      <c r="C996" s="431" t="s">
        <v>0</v>
      </c>
      <c r="D996" s="55" t="s">
        <v>2117</v>
      </c>
      <c r="E996" s="77" t="s">
        <v>2115</v>
      </c>
      <c r="F996" s="55" t="s">
        <v>674</v>
      </c>
      <c r="G996" s="55" t="s">
        <v>670</v>
      </c>
      <c r="H996" s="77" t="s">
        <v>2101</v>
      </c>
      <c r="I996" s="77" t="s">
        <v>656</v>
      </c>
      <c r="J996" s="55"/>
      <c r="K996" s="56" t="s">
        <v>708</v>
      </c>
      <c r="L996" s="56" t="str">
        <f t="shared" ref="L996:L1059" si="40">IF(K996="javascript:void(0)","_","Documentation")</f>
        <v>_</v>
      </c>
      <c r="M996" s="118">
        <f>ROUND(Tableau1[[#This Row],[LEN]]*7.27,0)</f>
        <v>458</v>
      </c>
      <c r="N996" s="118">
        <v>15</v>
      </c>
      <c r="O996" s="135" t="str">
        <f t="shared" si="39"/>
        <v>_self</v>
      </c>
      <c r="P996" s="118">
        <f>LEN(Tableau1[[#This Row],[LABEL]])</f>
        <v>63</v>
      </c>
      <c r="Q996" s="118">
        <v>15</v>
      </c>
      <c r="R996" s="118" t="e">
        <f>ROUND(Tableau1[[#This Row],[LEN]]*#REF!+#REF!,0)</f>
        <v>#REF!</v>
      </c>
    </row>
    <row r="997" spans="1:18" s="97" customFormat="1" hidden="1" x14ac:dyDescent="0.25">
      <c r="A997" s="53" t="s">
        <v>1748</v>
      </c>
      <c r="B997" s="54" t="s">
        <v>1742</v>
      </c>
      <c r="C997" s="431" t="s">
        <v>0</v>
      </c>
      <c r="D997" s="55" t="s">
        <v>2116</v>
      </c>
      <c r="E997" s="77" t="s">
        <v>1177</v>
      </c>
      <c r="F997" s="55" t="s">
        <v>674</v>
      </c>
      <c r="G997" s="55" t="s">
        <v>674</v>
      </c>
      <c r="H997" s="77" t="s">
        <v>2101</v>
      </c>
      <c r="I997" s="77" t="s">
        <v>656</v>
      </c>
      <c r="J997" s="55"/>
      <c r="K997" s="56" t="s">
        <v>708</v>
      </c>
      <c r="L997" s="56" t="str">
        <f t="shared" si="40"/>
        <v>_</v>
      </c>
      <c r="M997" s="118">
        <f>ROUND(Tableau1[[#This Row],[LEN]]*7.27,0)</f>
        <v>414</v>
      </c>
      <c r="N997" s="118">
        <v>15</v>
      </c>
      <c r="O997" s="135" t="str">
        <f t="shared" ref="O997:O1060" si="41">IF(K997="javascript:void(0)","_self","_blank")</f>
        <v>_self</v>
      </c>
      <c r="P997" s="118">
        <f>LEN(Tableau1[[#This Row],[LABEL]])</f>
        <v>57</v>
      </c>
      <c r="Q997" s="118">
        <v>15</v>
      </c>
      <c r="R997" s="118" t="e">
        <f>ROUND(Tableau1[[#This Row],[LEN]]*#REF!+#REF!,0)</f>
        <v>#REF!</v>
      </c>
    </row>
    <row r="998" spans="1:18" s="97" customFormat="1" hidden="1" x14ac:dyDescent="0.25">
      <c r="A998" s="53" t="s">
        <v>2111</v>
      </c>
      <c r="B998" s="54" t="s">
        <v>1742</v>
      </c>
      <c r="C998" s="431" t="s">
        <v>0</v>
      </c>
      <c r="D998" s="55" t="s">
        <v>2118</v>
      </c>
      <c r="E998" s="77" t="s">
        <v>1177</v>
      </c>
      <c r="F998" s="55" t="s">
        <v>674</v>
      </c>
      <c r="G998" s="55" t="s">
        <v>674</v>
      </c>
      <c r="H998" s="77" t="s">
        <v>2101</v>
      </c>
      <c r="I998" s="77" t="s">
        <v>656</v>
      </c>
      <c r="J998" s="55"/>
      <c r="K998" s="56" t="s">
        <v>708</v>
      </c>
      <c r="L998" s="56" t="str">
        <f t="shared" si="40"/>
        <v>_</v>
      </c>
      <c r="M998" s="118">
        <f>ROUND(Tableau1[[#This Row],[LEN]]*7.27,0)</f>
        <v>545</v>
      </c>
      <c r="N998" s="118">
        <v>15</v>
      </c>
      <c r="O998" s="135" t="str">
        <f t="shared" si="41"/>
        <v>_self</v>
      </c>
      <c r="P998" s="118">
        <f>LEN(Tableau1[[#This Row],[LABEL]])</f>
        <v>75</v>
      </c>
      <c r="Q998" s="118">
        <v>15</v>
      </c>
      <c r="R998" s="118" t="e">
        <f>ROUND(Tableau1[[#This Row],[LEN]]*#REF!+#REF!,0)</f>
        <v>#REF!</v>
      </c>
    </row>
    <row r="999" spans="1:18" s="97" customFormat="1" hidden="1" x14ac:dyDescent="0.25">
      <c r="A999" s="53" t="s">
        <v>2112</v>
      </c>
      <c r="B999" s="54" t="s">
        <v>1742</v>
      </c>
      <c r="C999" s="431" t="s">
        <v>0</v>
      </c>
      <c r="D999" s="55" t="s">
        <v>2119</v>
      </c>
      <c r="E999" s="77" t="s">
        <v>1177</v>
      </c>
      <c r="F999" s="55" t="s">
        <v>674</v>
      </c>
      <c r="G999" s="55" t="s">
        <v>674</v>
      </c>
      <c r="H999" s="77" t="s">
        <v>2101</v>
      </c>
      <c r="I999" s="77" t="s">
        <v>656</v>
      </c>
      <c r="J999" s="55"/>
      <c r="K999" s="56" t="s">
        <v>708</v>
      </c>
      <c r="L999" s="56" t="str">
        <f t="shared" si="40"/>
        <v>_</v>
      </c>
      <c r="M999" s="118">
        <f>ROUND(Tableau1[[#This Row],[LEN]]*7.27,0)</f>
        <v>436</v>
      </c>
      <c r="N999" s="118">
        <v>15</v>
      </c>
      <c r="O999" s="135" t="str">
        <f t="shared" si="41"/>
        <v>_self</v>
      </c>
      <c r="P999" s="118">
        <f>LEN(Tableau1[[#This Row],[LABEL]])</f>
        <v>60</v>
      </c>
      <c r="Q999" s="118">
        <v>15</v>
      </c>
      <c r="R999" s="118" t="e">
        <f>ROUND(Tableau1[[#This Row],[LEN]]*#REF!+#REF!,0)</f>
        <v>#REF!</v>
      </c>
    </row>
    <row r="1000" spans="1:18" s="97" customFormat="1" hidden="1" x14ac:dyDescent="0.25">
      <c r="A1000" s="53" t="s">
        <v>2113</v>
      </c>
      <c r="B1000" s="54" t="s">
        <v>1742</v>
      </c>
      <c r="C1000" s="431" t="s">
        <v>0</v>
      </c>
      <c r="D1000" s="55" t="s">
        <v>2120</v>
      </c>
      <c r="E1000" s="77" t="s">
        <v>1177</v>
      </c>
      <c r="F1000" s="55" t="s">
        <v>674</v>
      </c>
      <c r="G1000" s="55" t="s">
        <v>674</v>
      </c>
      <c r="H1000" s="77" t="s">
        <v>2101</v>
      </c>
      <c r="I1000" s="77" t="s">
        <v>656</v>
      </c>
      <c r="J1000" s="55"/>
      <c r="K1000" s="56" t="s">
        <v>708</v>
      </c>
      <c r="L1000" s="56" t="str">
        <f t="shared" si="40"/>
        <v>_</v>
      </c>
      <c r="M1000" s="118">
        <f>ROUND(Tableau1[[#This Row],[LEN]]*7.27,0)</f>
        <v>400</v>
      </c>
      <c r="N1000" s="118">
        <v>15</v>
      </c>
      <c r="O1000" s="135" t="str">
        <f t="shared" si="41"/>
        <v>_self</v>
      </c>
      <c r="P1000" s="118">
        <f>LEN(Tableau1[[#This Row],[LABEL]])</f>
        <v>55</v>
      </c>
      <c r="Q1000" s="118">
        <v>15</v>
      </c>
      <c r="R1000" s="118" t="e">
        <f>ROUND(Tableau1[[#This Row],[LEN]]*#REF!+#REF!,0)</f>
        <v>#REF!</v>
      </c>
    </row>
    <row r="1001" spans="1:18" s="97" customFormat="1" hidden="1" x14ac:dyDescent="0.25">
      <c r="A1001" s="53" t="s">
        <v>2114</v>
      </c>
      <c r="B1001" s="54" t="s">
        <v>1742</v>
      </c>
      <c r="C1001" s="431" t="s">
        <v>0</v>
      </c>
      <c r="D1001" s="55" t="s">
        <v>2121</v>
      </c>
      <c r="E1001" s="77" t="s">
        <v>1177</v>
      </c>
      <c r="F1001" s="55" t="s">
        <v>674</v>
      </c>
      <c r="G1001" s="55" t="s">
        <v>674</v>
      </c>
      <c r="H1001" s="77" t="s">
        <v>2101</v>
      </c>
      <c r="I1001" s="77" t="s">
        <v>656</v>
      </c>
      <c r="J1001" s="55"/>
      <c r="K1001" s="56" t="s">
        <v>708</v>
      </c>
      <c r="L1001" s="56" t="str">
        <f t="shared" si="40"/>
        <v>_</v>
      </c>
      <c r="M1001" s="118">
        <f>ROUND(Tableau1[[#This Row],[LEN]]*7.27,0)</f>
        <v>393</v>
      </c>
      <c r="N1001" s="118">
        <v>15</v>
      </c>
      <c r="O1001" s="135" t="str">
        <f t="shared" si="41"/>
        <v>_self</v>
      </c>
      <c r="P1001" s="118">
        <f>LEN(Tableau1[[#This Row],[LABEL]])</f>
        <v>54</v>
      </c>
      <c r="Q1001" s="118">
        <v>15</v>
      </c>
      <c r="R1001" s="118" t="e">
        <f>ROUND(Tableau1[[#This Row],[LEN]]*#REF!+#REF!,0)</f>
        <v>#REF!</v>
      </c>
    </row>
    <row r="1002" spans="1:18" s="97" customFormat="1" hidden="1" x14ac:dyDescent="0.25">
      <c r="A1002" s="49" t="s">
        <v>1743</v>
      </c>
      <c r="B1002" s="50" t="s">
        <v>314</v>
      </c>
      <c r="C1002" s="431" t="s">
        <v>0</v>
      </c>
      <c r="D1002" s="51" t="s">
        <v>2109</v>
      </c>
      <c r="E1002" s="76" t="s">
        <v>1177</v>
      </c>
      <c r="F1002" s="51" t="s">
        <v>674</v>
      </c>
      <c r="G1002" s="51" t="s">
        <v>674</v>
      </c>
      <c r="H1002" s="76" t="s">
        <v>2101</v>
      </c>
      <c r="I1002" s="76" t="s">
        <v>655</v>
      </c>
      <c r="J1002" s="51"/>
      <c r="K1002" s="52" t="s">
        <v>708</v>
      </c>
      <c r="L1002" s="52" t="str">
        <f t="shared" si="40"/>
        <v>_</v>
      </c>
      <c r="M1002" s="117">
        <f>ROUND(Tableau1[[#This Row],[LEN]]*7.27,0)</f>
        <v>109</v>
      </c>
      <c r="N1002" s="117">
        <v>15</v>
      </c>
      <c r="O1002" s="134" t="str">
        <f t="shared" si="41"/>
        <v>_self</v>
      </c>
      <c r="P1002" s="117">
        <f>LEN(Tableau1[[#This Row],[LABEL]])</f>
        <v>15</v>
      </c>
      <c r="Q1002" s="117">
        <v>15</v>
      </c>
      <c r="R1002" s="117" t="e">
        <f>ROUND(Tableau1[[#This Row],[LEN]]*#REF!+#REF!,0)</f>
        <v>#REF!</v>
      </c>
    </row>
    <row r="1003" spans="1:18" s="97" customFormat="1" hidden="1" x14ac:dyDescent="0.25">
      <c r="A1003" s="53" t="s">
        <v>2122</v>
      </c>
      <c r="B1003" s="54" t="s">
        <v>1743</v>
      </c>
      <c r="C1003" s="431" t="s">
        <v>0</v>
      </c>
      <c r="D1003" s="55" t="s">
        <v>2128</v>
      </c>
      <c r="E1003" s="77" t="s">
        <v>1177</v>
      </c>
      <c r="F1003" s="55" t="s">
        <v>674</v>
      </c>
      <c r="G1003" s="55" t="s">
        <v>674</v>
      </c>
      <c r="H1003" s="77" t="s">
        <v>2101</v>
      </c>
      <c r="I1003" s="77" t="s">
        <v>656</v>
      </c>
      <c r="J1003" s="55"/>
      <c r="K1003" s="56" t="s">
        <v>708</v>
      </c>
      <c r="L1003" s="56" t="str">
        <f t="shared" si="40"/>
        <v>_</v>
      </c>
      <c r="M1003" s="118">
        <f>ROUND(Tableau1[[#This Row],[LEN]]*7.27,0)</f>
        <v>291</v>
      </c>
      <c r="N1003" s="118">
        <v>15</v>
      </c>
      <c r="O1003" s="135" t="str">
        <f t="shared" si="41"/>
        <v>_self</v>
      </c>
      <c r="P1003" s="118">
        <f>LEN(Tableau1[[#This Row],[LABEL]])</f>
        <v>40</v>
      </c>
      <c r="Q1003" s="118">
        <v>15</v>
      </c>
      <c r="R1003" s="118" t="e">
        <f>ROUND(Tableau1[[#This Row],[LEN]]*#REF!+#REF!,0)</f>
        <v>#REF!</v>
      </c>
    </row>
    <row r="1004" spans="1:18" s="97" customFormat="1" hidden="1" x14ac:dyDescent="0.25">
      <c r="A1004" s="53" t="s">
        <v>2123</v>
      </c>
      <c r="B1004" s="54" t="s">
        <v>1743</v>
      </c>
      <c r="C1004" s="431" t="s">
        <v>0</v>
      </c>
      <c r="D1004" s="55" t="s">
        <v>2129</v>
      </c>
      <c r="E1004" s="77" t="s">
        <v>1177</v>
      </c>
      <c r="F1004" s="55" t="s">
        <v>674</v>
      </c>
      <c r="G1004" s="55" t="s">
        <v>674</v>
      </c>
      <c r="H1004" s="77" t="s">
        <v>2101</v>
      </c>
      <c r="I1004" s="77" t="s">
        <v>656</v>
      </c>
      <c r="J1004" s="55"/>
      <c r="K1004" s="56" t="s">
        <v>708</v>
      </c>
      <c r="L1004" s="56" t="str">
        <f t="shared" si="40"/>
        <v>_</v>
      </c>
      <c r="M1004" s="118">
        <f>ROUND(Tableau1[[#This Row],[LEN]]*7.27,0)</f>
        <v>65</v>
      </c>
      <c r="N1004" s="118">
        <v>15</v>
      </c>
      <c r="O1004" s="135" t="str">
        <f t="shared" si="41"/>
        <v>_self</v>
      </c>
      <c r="P1004" s="118">
        <f>LEN(Tableau1[[#This Row],[LABEL]])</f>
        <v>9</v>
      </c>
      <c r="Q1004" s="118">
        <v>15</v>
      </c>
      <c r="R1004" s="118" t="e">
        <f>ROUND(Tableau1[[#This Row],[LEN]]*#REF!+#REF!,0)</f>
        <v>#REF!</v>
      </c>
    </row>
    <row r="1005" spans="1:18" s="97" customFormat="1" hidden="1" x14ac:dyDescent="0.25">
      <c r="A1005" s="53" t="s">
        <v>2124</v>
      </c>
      <c r="B1005" s="54" t="s">
        <v>1743</v>
      </c>
      <c r="C1005" s="431" t="s">
        <v>0</v>
      </c>
      <c r="D1005" s="55" t="s">
        <v>2130</v>
      </c>
      <c r="E1005" s="77" t="s">
        <v>1177</v>
      </c>
      <c r="F1005" s="55" t="s">
        <v>674</v>
      </c>
      <c r="G1005" s="55" t="s">
        <v>674</v>
      </c>
      <c r="H1005" s="77" t="s">
        <v>2101</v>
      </c>
      <c r="I1005" s="77" t="s">
        <v>656</v>
      </c>
      <c r="J1005" s="55"/>
      <c r="K1005" s="56" t="s">
        <v>708</v>
      </c>
      <c r="L1005" s="56" t="str">
        <f t="shared" si="40"/>
        <v>_</v>
      </c>
      <c r="M1005" s="118">
        <f>ROUND(Tableau1[[#This Row],[LEN]]*7.27,0)</f>
        <v>204</v>
      </c>
      <c r="N1005" s="118">
        <v>15</v>
      </c>
      <c r="O1005" s="135" t="str">
        <f t="shared" si="41"/>
        <v>_self</v>
      </c>
      <c r="P1005" s="118">
        <f>LEN(Tableau1[[#This Row],[LABEL]])</f>
        <v>28</v>
      </c>
      <c r="Q1005" s="118">
        <v>15</v>
      </c>
      <c r="R1005" s="118" t="e">
        <f>ROUND(Tableau1[[#This Row],[LEN]]*#REF!+#REF!,0)</f>
        <v>#REF!</v>
      </c>
    </row>
    <row r="1006" spans="1:18" s="97" customFormat="1" hidden="1" x14ac:dyDescent="0.25">
      <c r="A1006" s="53" t="s">
        <v>2125</v>
      </c>
      <c r="B1006" s="54" t="s">
        <v>1743</v>
      </c>
      <c r="C1006" s="431" t="s">
        <v>0</v>
      </c>
      <c r="D1006" s="55" t="s">
        <v>2131</v>
      </c>
      <c r="E1006" s="77" t="s">
        <v>1177</v>
      </c>
      <c r="F1006" s="55" t="s">
        <v>674</v>
      </c>
      <c r="G1006" s="55" t="s">
        <v>674</v>
      </c>
      <c r="H1006" s="77" t="s">
        <v>2101</v>
      </c>
      <c r="I1006" s="77" t="s">
        <v>656</v>
      </c>
      <c r="J1006" s="55"/>
      <c r="K1006" s="56" t="s">
        <v>708</v>
      </c>
      <c r="L1006" s="56" t="str">
        <f t="shared" si="40"/>
        <v>_</v>
      </c>
      <c r="M1006" s="118">
        <f>ROUND(Tableau1[[#This Row],[LEN]]*7.27,0)</f>
        <v>349</v>
      </c>
      <c r="N1006" s="118">
        <v>15</v>
      </c>
      <c r="O1006" s="135" t="str">
        <f t="shared" si="41"/>
        <v>_self</v>
      </c>
      <c r="P1006" s="118">
        <f>LEN(Tableau1[[#This Row],[LABEL]])</f>
        <v>48</v>
      </c>
      <c r="Q1006" s="118">
        <v>15</v>
      </c>
      <c r="R1006" s="118" t="e">
        <f>ROUND(Tableau1[[#This Row],[LEN]]*#REF!+#REF!,0)</f>
        <v>#REF!</v>
      </c>
    </row>
    <row r="1007" spans="1:18" s="97" customFormat="1" hidden="1" x14ac:dyDescent="0.25">
      <c r="A1007" s="53" t="s">
        <v>2126</v>
      </c>
      <c r="B1007" s="54" t="s">
        <v>1743</v>
      </c>
      <c r="C1007" s="431" t="s">
        <v>0</v>
      </c>
      <c r="D1007" s="55" t="s">
        <v>2132</v>
      </c>
      <c r="E1007" s="77" t="s">
        <v>1177</v>
      </c>
      <c r="F1007" s="55" t="s">
        <v>674</v>
      </c>
      <c r="G1007" s="55" t="s">
        <v>674</v>
      </c>
      <c r="H1007" s="77" t="s">
        <v>2101</v>
      </c>
      <c r="I1007" s="77" t="s">
        <v>656</v>
      </c>
      <c r="J1007" s="55"/>
      <c r="K1007" s="56" t="s">
        <v>708</v>
      </c>
      <c r="L1007" s="56" t="str">
        <f t="shared" si="40"/>
        <v>_</v>
      </c>
      <c r="M1007" s="118">
        <f>ROUND(Tableau1[[#This Row],[LEN]]*7.27,0)</f>
        <v>138</v>
      </c>
      <c r="N1007" s="118">
        <v>15</v>
      </c>
      <c r="O1007" s="135" t="str">
        <f t="shared" si="41"/>
        <v>_self</v>
      </c>
      <c r="P1007" s="118">
        <f>LEN(Tableau1[[#This Row],[LABEL]])</f>
        <v>19</v>
      </c>
      <c r="Q1007" s="118">
        <v>15</v>
      </c>
      <c r="R1007" s="118" t="e">
        <f>ROUND(Tableau1[[#This Row],[LEN]]*#REF!+#REF!,0)</f>
        <v>#REF!</v>
      </c>
    </row>
    <row r="1008" spans="1:18" s="97" customFormat="1" hidden="1" x14ac:dyDescent="0.25">
      <c r="A1008" s="53" t="s">
        <v>2127</v>
      </c>
      <c r="B1008" s="54" t="s">
        <v>1743</v>
      </c>
      <c r="C1008" s="431" t="s">
        <v>0</v>
      </c>
      <c r="D1008" s="55" t="s">
        <v>2133</v>
      </c>
      <c r="E1008" s="77" t="s">
        <v>1177</v>
      </c>
      <c r="F1008" s="55" t="s">
        <v>674</v>
      </c>
      <c r="G1008" s="55" t="s">
        <v>674</v>
      </c>
      <c r="H1008" s="77" t="s">
        <v>2101</v>
      </c>
      <c r="I1008" s="77" t="s">
        <v>656</v>
      </c>
      <c r="J1008" s="55"/>
      <c r="K1008" s="56" t="s">
        <v>708</v>
      </c>
      <c r="L1008" s="56" t="str">
        <f t="shared" si="40"/>
        <v>_</v>
      </c>
      <c r="M1008" s="118">
        <f>ROUND(Tableau1[[#This Row],[LEN]]*7.27,0)</f>
        <v>254</v>
      </c>
      <c r="N1008" s="118">
        <v>15</v>
      </c>
      <c r="O1008" s="135" t="str">
        <f t="shared" si="41"/>
        <v>_self</v>
      </c>
      <c r="P1008" s="118">
        <f>LEN(Tableau1[[#This Row],[LABEL]])</f>
        <v>35</v>
      </c>
      <c r="Q1008" s="118">
        <v>15</v>
      </c>
      <c r="R1008" s="118" t="e">
        <f>ROUND(Tableau1[[#This Row],[LEN]]*#REF!+#REF!,0)</f>
        <v>#REF!</v>
      </c>
    </row>
    <row r="1009" spans="1:18" s="97" customFormat="1" hidden="1" x14ac:dyDescent="0.25">
      <c r="A1009" s="53" t="s">
        <v>2134</v>
      </c>
      <c r="B1009" s="54" t="s">
        <v>1743</v>
      </c>
      <c r="C1009" s="431" t="s">
        <v>0</v>
      </c>
      <c r="D1009" s="55" t="s">
        <v>1754</v>
      </c>
      <c r="E1009" s="77" t="s">
        <v>1177</v>
      </c>
      <c r="F1009" s="55" t="s">
        <v>674</v>
      </c>
      <c r="G1009" s="55" t="s">
        <v>674</v>
      </c>
      <c r="H1009" s="77" t="s">
        <v>2101</v>
      </c>
      <c r="I1009" s="77" t="s">
        <v>656</v>
      </c>
      <c r="J1009" s="55"/>
      <c r="K1009" s="56" t="s">
        <v>708</v>
      </c>
      <c r="L1009" s="56" t="str">
        <f t="shared" si="40"/>
        <v>_</v>
      </c>
      <c r="M1009" s="118">
        <f>ROUND(Tableau1[[#This Row],[LEN]]*7.27,0)</f>
        <v>327</v>
      </c>
      <c r="N1009" s="118">
        <v>15</v>
      </c>
      <c r="O1009" s="135" t="str">
        <f t="shared" si="41"/>
        <v>_self</v>
      </c>
      <c r="P1009" s="118">
        <f>LEN(Tableau1[[#This Row],[LABEL]])</f>
        <v>45</v>
      </c>
      <c r="Q1009" s="118">
        <v>15</v>
      </c>
      <c r="R1009" s="118" t="e">
        <f>ROUND(Tableau1[[#This Row],[LEN]]*#REF!+#REF!,0)</f>
        <v>#REF!</v>
      </c>
    </row>
    <row r="1010" spans="1:18" s="97" customFormat="1" hidden="1" x14ac:dyDescent="0.25">
      <c r="A1010" s="49" t="s">
        <v>1745</v>
      </c>
      <c r="B1010" s="50" t="s">
        <v>314</v>
      </c>
      <c r="C1010" s="431" t="s">
        <v>0</v>
      </c>
      <c r="D1010" s="51" t="s">
        <v>129</v>
      </c>
      <c r="E1010" s="76" t="s">
        <v>1177</v>
      </c>
      <c r="F1010" s="51" t="s">
        <v>673</v>
      </c>
      <c r="G1010" s="51" t="s">
        <v>2035</v>
      </c>
      <c r="H1010" s="76" t="s">
        <v>2101</v>
      </c>
      <c r="I1010" s="76" t="s">
        <v>655</v>
      </c>
      <c r="J1010" s="51"/>
      <c r="K1010" s="52" t="s">
        <v>708</v>
      </c>
      <c r="L1010" s="52" t="str">
        <f t="shared" si="40"/>
        <v>_</v>
      </c>
      <c r="M1010" s="117">
        <f>ROUND(Tableau1[[#This Row],[LEN]]*7.27,0)</f>
        <v>87</v>
      </c>
      <c r="N1010" s="117">
        <v>15</v>
      </c>
      <c r="O1010" s="134" t="str">
        <f t="shared" si="41"/>
        <v>_self</v>
      </c>
      <c r="P1010" s="117">
        <f>LEN(Tableau1[[#This Row],[LABEL]])</f>
        <v>12</v>
      </c>
      <c r="Q1010" s="117">
        <v>15</v>
      </c>
      <c r="R1010" s="117" t="e">
        <f>ROUND(Tableau1[[#This Row],[LEN]]*#REF!+#REF!,0)</f>
        <v>#REF!</v>
      </c>
    </row>
    <row r="1011" spans="1:18" s="97" customFormat="1" hidden="1" x14ac:dyDescent="0.25">
      <c r="A1011" s="53" t="s">
        <v>2102</v>
      </c>
      <c r="B1011" s="54" t="s">
        <v>1745</v>
      </c>
      <c r="C1011" s="431" t="s">
        <v>0</v>
      </c>
      <c r="D1011" s="55" t="s">
        <v>131</v>
      </c>
      <c r="E1011" s="77" t="s">
        <v>1177</v>
      </c>
      <c r="F1011" s="55" t="s">
        <v>673</v>
      </c>
      <c r="G1011" s="55" t="s">
        <v>2035</v>
      </c>
      <c r="H1011" s="77" t="s">
        <v>2101</v>
      </c>
      <c r="I1011" s="77" t="s">
        <v>570</v>
      </c>
      <c r="J1011" s="55"/>
      <c r="K1011" s="56" t="s">
        <v>708</v>
      </c>
      <c r="L1011" s="56" t="str">
        <f t="shared" si="40"/>
        <v>_</v>
      </c>
      <c r="M1011" s="118">
        <f>ROUND(Tableau1[[#This Row],[LEN]]*7.27,0)</f>
        <v>262</v>
      </c>
      <c r="N1011" s="118">
        <v>15</v>
      </c>
      <c r="O1011" s="135" t="str">
        <f t="shared" si="41"/>
        <v>_self</v>
      </c>
      <c r="P1011" s="118">
        <f>LEN(Tableau1[[#This Row],[LABEL]])</f>
        <v>36</v>
      </c>
      <c r="Q1011" s="118">
        <v>15</v>
      </c>
      <c r="R1011" s="118" t="e">
        <f>ROUND(Tableau1[[#This Row],[LEN]]*#REF!+#REF!,0)</f>
        <v>#REF!</v>
      </c>
    </row>
    <row r="1012" spans="1:18" s="97" customFormat="1" hidden="1" x14ac:dyDescent="0.25">
      <c r="A1012" s="53" t="s">
        <v>2103</v>
      </c>
      <c r="B1012" s="54" t="s">
        <v>1745</v>
      </c>
      <c r="C1012" s="431" t="s">
        <v>0</v>
      </c>
      <c r="D1012" s="55" t="s">
        <v>132</v>
      </c>
      <c r="E1012" s="77" t="s">
        <v>1177</v>
      </c>
      <c r="F1012" s="55" t="s">
        <v>673</v>
      </c>
      <c r="G1012" s="55" t="s">
        <v>2035</v>
      </c>
      <c r="H1012" s="77" t="s">
        <v>2101</v>
      </c>
      <c r="I1012" s="77" t="s">
        <v>570</v>
      </c>
      <c r="J1012" s="55"/>
      <c r="K1012" s="56" t="s">
        <v>708</v>
      </c>
      <c r="L1012" s="56" t="str">
        <f t="shared" si="40"/>
        <v>_</v>
      </c>
      <c r="M1012" s="118">
        <f>ROUND(Tableau1[[#This Row],[LEN]]*7.27,0)</f>
        <v>298</v>
      </c>
      <c r="N1012" s="118">
        <v>15</v>
      </c>
      <c r="O1012" s="135" t="str">
        <f t="shared" si="41"/>
        <v>_self</v>
      </c>
      <c r="P1012" s="118">
        <f>LEN(Tableau1[[#This Row],[LABEL]])</f>
        <v>41</v>
      </c>
      <c r="Q1012" s="118">
        <v>15</v>
      </c>
      <c r="R1012" s="118" t="e">
        <f>ROUND(Tableau1[[#This Row],[LEN]]*#REF!+#REF!,0)</f>
        <v>#REF!</v>
      </c>
    </row>
    <row r="1013" spans="1:18" s="97" customFormat="1" hidden="1" x14ac:dyDescent="0.25">
      <c r="A1013" s="49" t="s">
        <v>1746</v>
      </c>
      <c r="B1013" s="50" t="s">
        <v>314</v>
      </c>
      <c r="C1013" s="431" t="s">
        <v>0</v>
      </c>
      <c r="D1013" s="51" t="s">
        <v>549</v>
      </c>
      <c r="E1013" s="76" t="s">
        <v>1177</v>
      </c>
      <c r="F1013" s="51" t="s">
        <v>673</v>
      </c>
      <c r="G1013" s="51" t="s">
        <v>1704</v>
      </c>
      <c r="H1013" s="76" t="s">
        <v>2101</v>
      </c>
      <c r="I1013" s="76" t="s">
        <v>655</v>
      </c>
      <c r="J1013" s="51"/>
      <c r="K1013" s="52" t="s">
        <v>708</v>
      </c>
      <c r="L1013" s="52" t="str">
        <f t="shared" si="40"/>
        <v>_</v>
      </c>
      <c r="M1013" s="117">
        <f>ROUND(Tableau1[[#This Row],[LEN]]*7.27,0)</f>
        <v>145</v>
      </c>
      <c r="N1013" s="117">
        <v>15</v>
      </c>
      <c r="O1013" s="134" t="str">
        <f t="shared" si="41"/>
        <v>_self</v>
      </c>
      <c r="P1013" s="117">
        <f>LEN(Tableau1[[#This Row],[LABEL]])</f>
        <v>20</v>
      </c>
      <c r="Q1013" s="117">
        <v>15</v>
      </c>
      <c r="R1013" s="117" t="e">
        <f>ROUND(Tableau1[[#This Row],[LEN]]*#REF!+#REF!,0)</f>
        <v>#REF!</v>
      </c>
    </row>
    <row r="1014" spans="1:18" s="97" customFormat="1" hidden="1" x14ac:dyDescent="0.25">
      <c r="A1014" s="53" t="s">
        <v>2104</v>
      </c>
      <c r="B1014" s="54" t="s">
        <v>1746</v>
      </c>
      <c r="C1014" s="431" t="s">
        <v>0</v>
      </c>
      <c r="D1014" s="55" t="s">
        <v>590</v>
      </c>
      <c r="E1014" s="77" t="s">
        <v>1177</v>
      </c>
      <c r="F1014" s="55" t="s">
        <v>673</v>
      </c>
      <c r="G1014" s="55" t="s">
        <v>1704</v>
      </c>
      <c r="H1014" s="77" t="s">
        <v>2101</v>
      </c>
      <c r="I1014" s="77" t="s">
        <v>570</v>
      </c>
      <c r="J1014" s="55"/>
      <c r="K1014" s="56" t="s">
        <v>708</v>
      </c>
      <c r="L1014" s="56" t="str">
        <f t="shared" si="40"/>
        <v>_</v>
      </c>
      <c r="M1014" s="118">
        <f>ROUND(Tableau1[[#This Row],[LEN]]*7.27,0)</f>
        <v>102</v>
      </c>
      <c r="N1014" s="118">
        <v>15</v>
      </c>
      <c r="O1014" s="135" t="str">
        <f t="shared" si="41"/>
        <v>_self</v>
      </c>
      <c r="P1014" s="118">
        <f>LEN(Tableau1[[#This Row],[LABEL]])</f>
        <v>14</v>
      </c>
      <c r="Q1014" s="118">
        <v>15</v>
      </c>
      <c r="R1014" s="118" t="e">
        <f>ROUND(Tableau1[[#This Row],[LEN]]*#REF!+#REF!,0)</f>
        <v>#REF!</v>
      </c>
    </row>
    <row r="1015" spans="1:18" s="97" customFormat="1" hidden="1" x14ac:dyDescent="0.25">
      <c r="A1015" s="53" t="s">
        <v>2105</v>
      </c>
      <c r="B1015" s="54" t="s">
        <v>1746</v>
      </c>
      <c r="C1015" s="431" t="s">
        <v>0</v>
      </c>
      <c r="D1015" s="55" t="s">
        <v>591</v>
      </c>
      <c r="E1015" s="77" t="s">
        <v>1177</v>
      </c>
      <c r="F1015" s="55" t="s">
        <v>673</v>
      </c>
      <c r="G1015" s="55" t="s">
        <v>1704</v>
      </c>
      <c r="H1015" s="77" t="s">
        <v>2101</v>
      </c>
      <c r="I1015" s="77" t="s">
        <v>570</v>
      </c>
      <c r="J1015" s="55"/>
      <c r="K1015" s="56" t="s">
        <v>708</v>
      </c>
      <c r="L1015" s="56" t="str">
        <f t="shared" si="40"/>
        <v>_</v>
      </c>
      <c r="M1015" s="118">
        <f>ROUND(Tableau1[[#This Row],[LEN]]*7.27,0)</f>
        <v>262</v>
      </c>
      <c r="N1015" s="118">
        <v>15</v>
      </c>
      <c r="O1015" s="135" t="str">
        <f t="shared" si="41"/>
        <v>_self</v>
      </c>
      <c r="P1015" s="118">
        <f>LEN(Tableau1[[#This Row],[LABEL]])</f>
        <v>36</v>
      </c>
      <c r="Q1015" s="118">
        <v>15</v>
      </c>
      <c r="R1015" s="118" t="e">
        <f>ROUND(Tableau1[[#This Row],[LEN]]*#REF!+#REF!,0)</f>
        <v>#REF!</v>
      </c>
    </row>
    <row r="1016" spans="1:18" s="97" customFormat="1" hidden="1" x14ac:dyDescent="0.25">
      <c r="A1016" s="53" t="s">
        <v>2106</v>
      </c>
      <c r="B1016" s="54" t="s">
        <v>1746</v>
      </c>
      <c r="C1016" s="431" t="s">
        <v>0</v>
      </c>
      <c r="D1016" s="55" t="s">
        <v>592</v>
      </c>
      <c r="E1016" s="77" t="s">
        <v>1177</v>
      </c>
      <c r="F1016" s="55" t="s">
        <v>673</v>
      </c>
      <c r="G1016" s="55" t="s">
        <v>1704</v>
      </c>
      <c r="H1016" s="77" t="s">
        <v>2101</v>
      </c>
      <c r="I1016" s="77" t="s">
        <v>570</v>
      </c>
      <c r="J1016" s="55"/>
      <c r="K1016" s="56" t="s">
        <v>708</v>
      </c>
      <c r="L1016" s="56" t="str">
        <f t="shared" si="40"/>
        <v>_</v>
      </c>
      <c r="M1016" s="118">
        <f>ROUND(Tableau1[[#This Row],[LEN]]*7.27,0)</f>
        <v>189</v>
      </c>
      <c r="N1016" s="118">
        <v>15</v>
      </c>
      <c r="O1016" s="135" t="str">
        <f t="shared" si="41"/>
        <v>_self</v>
      </c>
      <c r="P1016" s="118">
        <f>LEN(Tableau1[[#This Row],[LABEL]])</f>
        <v>26</v>
      </c>
      <c r="Q1016" s="118">
        <v>15</v>
      </c>
      <c r="R1016" s="118" t="e">
        <f>ROUND(Tableau1[[#This Row],[LEN]]*#REF!+#REF!,0)</f>
        <v>#REF!</v>
      </c>
    </row>
    <row r="1017" spans="1:18" s="97" customFormat="1" hidden="1" x14ac:dyDescent="0.25">
      <c r="A1017" s="53" t="s">
        <v>2107</v>
      </c>
      <c r="B1017" s="54" t="s">
        <v>1746</v>
      </c>
      <c r="C1017" s="431" t="s">
        <v>0</v>
      </c>
      <c r="D1017" s="55" t="s">
        <v>597</v>
      </c>
      <c r="E1017" s="77" t="s">
        <v>1177</v>
      </c>
      <c r="F1017" s="55" t="s">
        <v>673</v>
      </c>
      <c r="G1017" s="55" t="s">
        <v>1704</v>
      </c>
      <c r="H1017" s="77" t="s">
        <v>2101</v>
      </c>
      <c r="I1017" s="77" t="s">
        <v>570</v>
      </c>
      <c r="J1017" s="55"/>
      <c r="K1017" s="56" t="s">
        <v>708</v>
      </c>
      <c r="L1017" s="56" t="str">
        <f t="shared" si="40"/>
        <v>_</v>
      </c>
      <c r="M1017" s="118">
        <f>ROUND(Tableau1[[#This Row],[LEN]]*7.27,0)</f>
        <v>465</v>
      </c>
      <c r="N1017" s="118">
        <v>15</v>
      </c>
      <c r="O1017" s="135" t="str">
        <f t="shared" si="41"/>
        <v>_self</v>
      </c>
      <c r="P1017" s="118">
        <f>LEN(Tableau1[[#This Row],[LABEL]])</f>
        <v>64</v>
      </c>
      <c r="Q1017" s="118">
        <v>15</v>
      </c>
      <c r="R1017" s="118" t="e">
        <f>ROUND(Tableau1[[#This Row],[LEN]]*#REF!+#REF!,0)</f>
        <v>#REF!</v>
      </c>
    </row>
    <row r="1018" spans="1:18" s="273" customFormat="1" hidden="1" x14ac:dyDescent="0.25">
      <c r="A1018" s="351" t="s">
        <v>315</v>
      </c>
      <c r="B1018" s="352" t="s">
        <v>209</v>
      </c>
      <c r="C1018" s="431" t="s">
        <v>0</v>
      </c>
      <c r="D1018" s="353" t="s">
        <v>12</v>
      </c>
      <c r="E1018" s="354" t="s">
        <v>1177</v>
      </c>
      <c r="F1018" s="353" t="s">
        <v>675</v>
      </c>
      <c r="G1018" s="353" t="s">
        <v>1177</v>
      </c>
      <c r="H1018" s="354" t="s">
        <v>2101</v>
      </c>
      <c r="I1018" s="354" t="str">
        <f>IFERROR(IF(SEARCH(".00.00.00.00.00",Tableau1[[#This Row],[name]],1)=7,"Division",""),"")</f>
        <v>Division</v>
      </c>
      <c r="J1018" s="353"/>
      <c r="K1018" s="355" t="s">
        <v>721</v>
      </c>
      <c r="L1018" s="355" t="str">
        <f t="shared" si="40"/>
        <v>Documentation</v>
      </c>
      <c r="M1018" s="356">
        <f>ROUND(Tableau1[[#This Row],[LEN]]*7.27,0)</f>
        <v>15</v>
      </c>
      <c r="N1018" s="356">
        <v>15</v>
      </c>
      <c r="O1018" s="357" t="str">
        <f t="shared" si="41"/>
        <v>_blank</v>
      </c>
      <c r="P1018" s="356">
        <f>LEN(Tableau1[[#This Row],[LABEL]])</f>
        <v>2</v>
      </c>
      <c r="Q1018" s="356">
        <v>15</v>
      </c>
      <c r="R1018" s="356" t="e">
        <f>ROUND(Tableau1[[#This Row],[LEN]]*#REF!+#REF!,0)</f>
        <v>#REF!</v>
      </c>
    </row>
    <row r="1019" spans="1:18" s="97" customFormat="1" hidden="1" x14ac:dyDescent="0.25">
      <c r="A1019" s="49" t="s">
        <v>1756</v>
      </c>
      <c r="B1019" s="50" t="s">
        <v>315</v>
      </c>
      <c r="C1019" s="431" t="s">
        <v>0</v>
      </c>
      <c r="D1019" s="51" t="s">
        <v>129</v>
      </c>
      <c r="E1019" s="76" t="s">
        <v>1177</v>
      </c>
      <c r="F1019" s="51" t="s">
        <v>673</v>
      </c>
      <c r="G1019" s="51" t="s">
        <v>2035</v>
      </c>
      <c r="H1019" s="76" t="s">
        <v>2101</v>
      </c>
      <c r="I1019" s="76" t="s">
        <v>655</v>
      </c>
      <c r="J1019" s="51"/>
      <c r="K1019" s="52" t="s">
        <v>708</v>
      </c>
      <c r="L1019" s="52" t="str">
        <f t="shared" si="40"/>
        <v>_</v>
      </c>
      <c r="M1019" s="117">
        <f>ROUND(Tableau1[[#This Row],[LEN]]*7.27,0)</f>
        <v>87</v>
      </c>
      <c r="N1019" s="117">
        <v>15</v>
      </c>
      <c r="O1019" s="134" t="str">
        <f t="shared" si="41"/>
        <v>_self</v>
      </c>
      <c r="P1019" s="117">
        <f>LEN(Tableau1[[#This Row],[LABEL]])</f>
        <v>12</v>
      </c>
      <c r="Q1019" s="117">
        <v>15</v>
      </c>
      <c r="R1019" s="117" t="e">
        <f>ROUND(Tableau1[[#This Row],[LEN]]*#REF!+#REF!,0)</f>
        <v>#REF!</v>
      </c>
    </row>
    <row r="1020" spans="1:18" s="97" customFormat="1" hidden="1" x14ac:dyDescent="0.25">
      <c r="A1020" s="53" t="s">
        <v>1764</v>
      </c>
      <c r="B1020" s="54" t="s">
        <v>1756</v>
      </c>
      <c r="C1020" s="431" t="s">
        <v>0</v>
      </c>
      <c r="D1020" s="55" t="s">
        <v>131</v>
      </c>
      <c r="E1020" s="77" t="s">
        <v>1177</v>
      </c>
      <c r="F1020" s="55" t="s">
        <v>673</v>
      </c>
      <c r="G1020" s="55" t="s">
        <v>2035</v>
      </c>
      <c r="H1020" s="77" t="s">
        <v>2101</v>
      </c>
      <c r="I1020" s="77" t="s">
        <v>570</v>
      </c>
      <c r="J1020" s="55"/>
      <c r="K1020" s="56" t="s">
        <v>708</v>
      </c>
      <c r="L1020" s="56" t="str">
        <f t="shared" si="40"/>
        <v>_</v>
      </c>
      <c r="M1020" s="118">
        <f>ROUND(Tableau1[[#This Row],[LEN]]*7.27,0)</f>
        <v>262</v>
      </c>
      <c r="N1020" s="118">
        <v>15</v>
      </c>
      <c r="O1020" s="135" t="str">
        <f t="shared" si="41"/>
        <v>_self</v>
      </c>
      <c r="P1020" s="118">
        <f>LEN(Tableau1[[#This Row],[LABEL]])</f>
        <v>36</v>
      </c>
      <c r="Q1020" s="118">
        <v>15</v>
      </c>
      <c r="R1020" s="118" t="e">
        <f>ROUND(Tableau1[[#This Row],[LEN]]*#REF!+#REF!,0)</f>
        <v>#REF!</v>
      </c>
    </row>
    <row r="1021" spans="1:18" s="97" customFormat="1" hidden="1" x14ac:dyDescent="0.25">
      <c r="A1021" s="53" t="s">
        <v>1765</v>
      </c>
      <c r="B1021" s="54" t="s">
        <v>1756</v>
      </c>
      <c r="C1021" s="431" t="s">
        <v>0</v>
      </c>
      <c r="D1021" s="55" t="s">
        <v>132</v>
      </c>
      <c r="E1021" s="77" t="s">
        <v>1177</v>
      </c>
      <c r="F1021" s="55" t="s">
        <v>673</v>
      </c>
      <c r="G1021" s="55" t="s">
        <v>2035</v>
      </c>
      <c r="H1021" s="77" t="s">
        <v>2101</v>
      </c>
      <c r="I1021" s="77" t="s">
        <v>570</v>
      </c>
      <c r="J1021" s="55"/>
      <c r="K1021" s="56" t="s">
        <v>708</v>
      </c>
      <c r="L1021" s="56" t="str">
        <f t="shared" si="40"/>
        <v>_</v>
      </c>
      <c r="M1021" s="118">
        <f>ROUND(Tableau1[[#This Row],[LEN]]*7.27,0)</f>
        <v>298</v>
      </c>
      <c r="N1021" s="118">
        <v>15</v>
      </c>
      <c r="O1021" s="135" t="str">
        <f t="shared" si="41"/>
        <v>_self</v>
      </c>
      <c r="P1021" s="118">
        <f>LEN(Tableau1[[#This Row],[LABEL]])</f>
        <v>41</v>
      </c>
      <c r="Q1021" s="118">
        <v>15</v>
      </c>
      <c r="R1021" s="118" t="e">
        <f>ROUND(Tableau1[[#This Row],[LEN]]*#REF!+#REF!,0)</f>
        <v>#REF!</v>
      </c>
    </row>
    <row r="1022" spans="1:18" s="97" customFormat="1" hidden="1" x14ac:dyDescent="0.25">
      <c r="A1022" s="49" t="s">
        <v>1757</v>
      </c>
      <c r="B1022" s="50" t="s">
        <v>315</v>
      </c>
      <c r="C1022" s="431" t="s">
        <v>0</v>
      </c>
      <c r="D1022" s="51" t="s">
        <v>1772</v>
      </c>
      <c r="E1022" s="76" t="s">
        <v>1177</v>
      </c>
      <c r="F1022" s="51" t="s">
        <v>675</v>
      </c>
      <c r="G1022" s="51" t="s">
        <v>679</v>
      </c>
      <c r="H1022" s="76" t="s">
        <v>2101</v>
      </c>
      <c r="I1022" s="76" t="s">
        <v>655</v>
      </c>
      <c r="J1022" s="51"/>
      <c r="K1022" s="52" t="s">
        <v>708</v>
      </c>
      <c r="L1022" s="52" t="str">
        <f t="shared" si="40"/>
        <v>_</v>
      </c>
      <c r="M1022" s="117">
        <f>ROUND(Tableau1[[#This Row],[LEN]]*7.27,0)</f>
        <v>182</v>
      </c>
      <c r="N1022" s="117">
        <v>15</v>
      </c>
      <c r="O1022" s="134" t="str">
        <f t="shared" si="41"/>
        <v>_self</v>
      </c>
      <c r="P1022" s="117">
        <f>LEN(Tableau1[[#This Row],[LABEL]])</f>
        <v>25</v>
      </c>
      <c r="Q1022" s="117">
        <v>15</v>
      </c>
      <c r="R1022" s="117" t="e">
        <f>ROUND(Tableau1[[#This Row],[LEN]]*#REF!+#REF!,0)</f>
        <v>#REF!</v>
      </c>
    </row>
    <row r="1023" spans="1:18" s="97" customFormat="1" hidden="1" x14ac:dyDescent="0.25">
      <c r="A1023" s="53" t="s">
        <v>1766</v>
      </c>
      <c r="B1023" s="54" t="s">
        <v>1757</v>
      </c>
      <c r="C1023" s="431" t="s">
        <v>0</v>
      </c>
      <c r="D1023" s="55" t="s">
        <v>1467</v>
      </c>
      <c r="E1023" s="77" t="s">
        <v>1177</v>
      </c>
      <c r="F1023" s="55" t="s">
        <v>675</v>
      </c>
      <c r="G1023" s="55" t="s">
        <v>679</v>
      </c>
      <c r="H1023" s="77" t="s">
        <v>2101</v>
      </c>
      <c r="I1023" s="77" t="s">
        <v>654</v>
      </c>
      <c r="J1023" s="55"/>
      <c r="K1023" s="56" t="s">
        <v>708</v>
      </c>
      <c r="L1023" s="56" t="str">
        <f t="shared" si="40"/>
        <v>_</v>
      </c>
      <c r="M1023" s="118">
        <f>ROUND(Tableau1[[#This Row],[LEN]]*7.27,0)</f>
        <v>102</v>
      </c>
      <c r="N1023" s="118">
        <v>15</v>
      </c>
      <c r="O1023" s="135" t="str">
        <f t="shared" si="41"/>
        <v>_self</v>
      </c>
      <c r="P1023" s="118">
        <f>LEN(Tableau1[[#This Row],[LABEL]])</f>
        <v>14</v>
      </c>
      <c r="Q1023" s="118">
        <v>15</v>
      </c>
      <c r="R1023" s="118" t="e">
        <f>ROUND(Tableau1[[#This Row],[LEN]]*#REF!+#REF!,0)</f>
        <v>#REF!</v>
      </c>
    </row>
    <row r="1024" spans="1:18" s="97" customFormat="1" hidden="1" x14ac:dyDescent="0.25">
      <c r="A1024" s="53" t="s">
        <v>1767</v>
      </c>
      <c r="B1024" s="54" t="s">
        <v>1757</v>
      </c>
      <c r="C1024" s="431" t="s">
        <v>0</v>
      </c>
      <c r="D1024" s="55" t="s">
        <v>1769</v>
      </c>
      <c r="E1024" s="77" t="s">
        <v>1177</v>
      </c>
      <c r="F1024" s="55" t="s">
        <v>675</v>
      </c>
      <c r="G1024" s="55" t="s">
        <v>679</v>
      </c>
      <c r="H1024" s="77" t="s">
        <v>2101</v>
      </c>
      <c r="I1024" s="77" t="s">
        <v>654</v>
      </c>
      <c r="J1024" s="55"/>
      <c r="K1024" s="56" t="s">
        <v>708</v>
      </c>
      <c r="L1024" s="56" t="str">
        <f t="shared" si="40"/>
        <v>_</v>
      </c>
      <c r="M1024" s="118">
        <f>ROUND(Tableau1[[#This Row],[LEN]]*7.27,0)</f>
        <v>211</v>
      </c>
      <c r="N1024" s="118">
        <v>15</v>
      </c>
      <c r="O1024" s="135" t="str">
        <f t="shared" si="41"/>
        <v>_self</v>
      </c>
      <c r="P1024" s="118">
        <f>LEN(Tableau1[[#This Row],[LABEL]])</f>
        <v>29</v>
      </c>
      <c r="Q1024" s="118">
        <v>15</v>
      </c>
      <c r="R1024" s="118" t="e">
        <f>ROUND(Tableau1[[#This Row],[LEN]]*#REF!+#REF!,0)</f>
        <v>#REF!</v>
      </c>
    </row>
    <row r="1025" spans="1:18" s="97" customFormat="1" hidden="1" x14ac:dyDescent="0.25">
      <c r="A1025" s="53" t="s">
        <v>1768</v>
      </c>
      <c r="B1025" s="54" t="s">
        <v>1757</v>
      </c>
      <c r="C1025" s="431" t="s">
        <v>0</v>
      </c>
      <c r="D1025" s="55" t="s">
        <v>1468</v>
      </c>
      <c r="E1025" s="77" t="s">
        <v>1177</v>
      </c>
      <c r="F1025" s="55" t="s">
        <v>675</v>
      </c>
      <c r="G1025" s="55" t="s">
        <v>679</v>
      </c>
      <c r="H1025" s="77" t="s">
        <v>2101</v>
      </c>
      <c r="I1025" s="77" t="s">
        <v>654</v>
      </c>
      <c r="J1025" s="55"/>
      <c r="K1025" s="56" t="s">
        <v>708</v>
      </c>
      <c r="L1025" s="56" t="str">
        <f t="shared" si="40"/>
        <v>_</v>
      </c>
      <c r="M1025" s="118">
        <f>ROUND(Tableau1[[#This Row],[LEN]]*7.27,0)</f>
        <v>167</v>
      </c>
      <c r="N1025" s="118">
        <v>15</v>
      </c>
      <c r="O1025" s="135" t="str">
        <f t="shared" si="41"/>
        <v>_self</v>
      </c>
      <c r="P1025" s="118">
        <f>LEN(Tableau1[[#This Row],[LABEL]])</f>
        <v>23</v>
      </c>
      <c r="Q1025" s="118">
        <v>15</v>
      </c>
      <c r="R1025" s="118" t="e">
        <f>ROUND(Tableau1[[#This Row],[LEN]]*#REF!+#REF!,0)</f>
        <v>#REF!</v>
      </c>
    </row>
    <row r="1026" spans="1:18" s="97" customFormat="1" hidden="1" x14ac:dyDescent="0.25">
      <c r="A1026" s="49" t="s">
        <v>1758</v>
      </c>
      <c r="B1026" s="50" t="s">
        <v>315</v>
      </c>
      <c r="C1026" s="431" t="s">
        <v>0</v>
      </c>
      <c r="D1026" s="51" t="s">
        <v>1770</v>
      </c>
      <c r="E1026" s="76" t="s">
        <v>1771</v>
      </c>
      <c r="F1026" s="51" t="s">
        <v>675</v>
      </c>
      <c r="G1026" s="51" t="s">
        <v>1177</v>
      </c>
      <c r="H1026" s="76" t="s">
        <v>2101</v>
      </c>
      <c r="I1026" s="76" t="s">
        <v>654</v>
      </c>
      <c r="J1026" s="51"/>
      <c r="K1026" s="52" t="s">
        <v>708</v>
      </c>
      <c r="L1026" s="52" t="str">
        <f t="shared" si="40"/>
        <v>_</v>
      </c>
      <c r="M1026" s="117">
        <f>ROUND(Tableau1[[#This Row],[LEN]]*7.27,0)</f>
        <v>487</v>
      </c>
      <c r="N1026" s="117">
        <v>15</v>
      </c>
      <c r="O1026" s="134" t="str">
        <f t="shared" si="41"/>
        <v>_self</v>
      </c>
      <c r="P1026" s="117">
        <f>LEN(Tableau1[[#This Row],[LABEL]])</f>
        <v>67</v>
      </c>
      <c r="Q1026" s="117">
        <v>15</v>
      </c>
      <c r="R1026" s="117" t="e">
        <f>ROUND(Tableau1[[#This Row],[LEN]]*#REF!+#REF!,0)</f>
        <v>#REF!</v>
      </c>
    </row>
    <row r="1027" spans="1:18" s="97" customFormat="1" hidden="1" x14ac:dyDescent="0.25">
      <c r="A1027" s="49" t="s">
        <v>1759</v>
      </c>
      <c r="B1027" s="50" t="s">
        <v>315</v>
      </c>
      <c r="C1027" s="431" t="s">
        <v>0</v>
      </c>
      <c r="D1027" s="51" t="s">
        <v>1773</v>
      </c>
      <c r="E1027" s="76" t="s">
        <v>1177</v>
      </c>
      <c r="F1027" s="51" t="s">
        <v>675</v>
      </c>
      <c r="G1027" s="51" t="s">
        <v>1177</v>
      </c>
      <c r="H1027" s="76" t="s">
        <v>2101</v>
      </c>
      <c r="I1027" s="76" t="s">
        <v>655</v>
      </c>
      <c r="J1027" s="51"/>
      <c r="K1027" s="52" t="s">
        <v>708</v>
      </c>
      <c r="L1027" s="52" t="str">
        <f t="shared" si="40"/>
        <v>_</v>
      </c>
      <c r="M1027" s="117">
        <f>ROUND(Tableau1[[#This Row],[LEN]]*7.27,0)</f>
        <v>153</v>
      </c>
      <c r="N1027" s="117">
        <v>15</v>
      </c>
      <c r="O1027" s="134" t="str">
        <f t="shared" si="41"/>
        <v>_self</v>
      </c>
      <c r="P1027" s="117">
        <f>LEN(Tableau1[[#This Row],[LABEL]])</f>
        <v>21</v>
      </c>
      <c r="Q1027" s="117">
        <v>15</v>
      </c>
      <c r="R1027" s="117" t="e">
        <f>ROUND(Tableau1[[#This Row],[LEN]]*#REF!+#REF!,0)</f>
        <v>#REF!</v>
      </c>
    </row>
    <row r="1028" spans="1:18" s="97" customFormat="1" hidden="1" x14ac:dyDescent="0.25">
      <c r="A1028" s="53" t="s">
        <v>1774</v>
      </c>
      <c r="B1028" s="54" t="s">
        <v>1759</v>
      </c>
      <c r="C1028" s="431" t="s">
        <v>0</v>
      </c>
      <c r="D1028" s="55" t="s">
        <v>1778</v>
      </c>
      <c r="E1028" s="77" t="s">
        <v>1177</v>
      </c>
      <c r="F1028" s="55" t="s">
        <v>675</v>
      </c>
      <c r="G1028" s="55" t="s">
        <v>1177</v>
      </c>
      <c r="H1028" s="77" t="s">
        <v>2101</v>
      </c>
      <c r="I1028" s="77" t="s">
        <v>654</v>
      </c>
      <c r="J1028" s="55"/>
      <c r="K1028" s="56" t="s">
        <v>708</v>
      </c>
      <c r="L1028" s="56" t="str">
        <f t="shared" si="40"/>
        <v>_</v>
      </c>
      <c r="M1028" s="118">
        <f>ROUND(Tableau1[[#This Row],[LEN]]*7.27,0)</f>
        <v>225</v>
      </c>
      <c r="N1028" s="118">
        <v>15</v>
      </c>
      <c r="O1028" s="135" t="str">
        <f t="shared" si="41"/>
        <v>_self</v>
      </c>
      <c r="P1028" s="118">
        <f>LEN(Tableau1[[#This Row],[LABEL]])</f>
        <v>31</v>
      </c>
      <c r="Q1028" s="118">
        <v>15</v>
      </c>
      <c r="R1028" s="118" t="e">
        <f>ROUND(Tableau1[[#This Row],[LEN]]*#REF!+#REF!,0)</f>
        <v>#REF!</v>
      </c>
    </row>
    <row r="1029" spans="1:18" s="97" customFormat="1" hidden="1" x14ac:dyDescent="0.25">
      <c r="A1029" s="53" t="s">
        <v>1775</v>
      </c>
      <c r="B1029" s="54" t="s">
        <v>1759</v>
      </c>
      <c r="C1029" s="431" t="s">
        <v>0</v>
      </c>
      <c r="D1029" s="55" t="s">
        <v>1779</v>
      </c>
      <c r="E1029" s="77" t="s">
        <v>1177</v>
      </c>
      <c r="F1029" s="55" t="s">
        <v>675</v>
      </c>
      <c r="G1029" s="55" t="s">
        <v>1177</v>
      </c>
      <c r="H1029" s="77" t="s">
        <v>2101</v>
      </c>
      <c r="I1029" s="77" t="s">
        <v>654</v>
      </c>
      <c r="J1029" s="55"/>
      <c r="K1029" s="56" t="s">
        <v>708</v>
      </c>
      <c r="L1029" s="56" t="str">
        <f t="shared" si="40"/>
        <v>_</v>
      </c>
      <c r="M1029" s="118">
        <f>ROUND(Tableau1[[#This Row],[LEN]]*7.27,0)</f>
        <v>124</v>
      </c>
      <c r="N1029" s="118">
        <v>15</v>
      </c>
      <c r="O1029" s="135" t="str">
        <f t="shared" si="41"/>
        <v>_self</v>
      </c>
      <c r="P1029" s="118">
        <f>LEN(Tableau1[[#This Row],[LABEL]])</f>
        <v>17</v>
      </c>
      <c r="Q1029" s="118">
        <v>15</v>
      </c>
      <c r="R1029" s="118" t="e">
        <f>ROUND(Tableau1[[#This Row],[LEN]]*#REF!+#REF!,0)</f>
        <v>#REF!</v>
      </c>
    </row>
    <row r="1030" spans="1:18" s="97" customFormat="1" hidden="1" x14ac:dyDescent="0.25">
      <c r="A1030" s="53" t="s">
        <v>1776</v>
      </c>
      <c r="B1030" s="54" t="s">
        <v>1759</v>
      </c>
      <c r="C1030" s="431" t="s">
        <v>0</v>
      </c>
      <c r="D1030" s="55" t="s">
        <v>1780</v>
      </c>
      <c r="E1030" s="77" t="s">
        <v>1177</v>
      </c>
      <c r="F1030" s="55" t="s">
        <v>675</v>
      </c>
      <c r="G1030" s="55" t="s">
        <v>1177</v>
      </c>
      <c r="H1030" s="77" t="s">
        <v>2101</v>
      </c>
      <c r="I1030" s="77" t="s">
        <v>654</v>
      </c>
      <c r="J1030" s="55"/>
      <c r="K1030" s="56" t="s">
        <v>708</v>
      </c>
      <c r="L1030" s="56" t="str">
        <f t="shared" si="40"/>
        <v>_</v>
      </c>
      <c r="M1030" s="118">
        <f>ROUND(Tableau1[[#This Row],[LEN]]*7.27,0)</f>
        <v>160</v>
      </c>
      <c r="N1030" s="118">
        <v>15</v>
      </c>
      <c r="O1030" s="135" t="str">
        <f t="shared" si="41"/>
        <v>_self</v>
      </c>
      <c r="P1030" s="118">
        <f>LEN(Tableau1[[#This Row],[LABEL]])</f>
        <v>22</v>
      </c>
      <c r="Q1030" s="118">
        <v>15</v>
      </c>
      <c r="R1030" s="118" t="e">
        <f>ROUND(Tableau1[[#This Row],[LEN]]*#REF!+#REF!,0)</f>
        <v>#REF!</v>
      </c>
    </row>
    <row r="1031" spans="1:18" s="97" customFormat="1" hidden="1" x14ac:dyDescent="0.25">
      <c r="A1031" s="53" t="s">
        <v>1777</v>
      </c>
      <c r="B1031" s="54" t="s">
        <v>1759</v>
      </c>
      <c r="C1031" s="431" t="s">
        <v>0</v>
      </c>
      <c r="D1031" s="55" t="s">
        <v>1781</v>
      </c>
      <c r="E1031" s="77" t="s">
        <v>1177</v>
      </c>
      <c r="F1031" s="55" t="s">
        <v>675</v>
      </c>
      <c r="G1031" s="55" t="s">
        <v>1177</v>
      </c>
      <c r="H1031" s="77" t="s">
        <v>2101</v>
      </c>
      <c r="I1031" s="77" t="s">
        <v>654</v>
      </c>
      <c r="J1031" s="55"/>
      <c r="K1031" s="56" t="s">
        <v>708</v>
      </c>
      <c r="L1031" s="56" t="str">
        <f t="shared" si="40"/>
        <v>_</v>
      </c>
      <c r="M1031" s="118">
        <f>ROUND(Tableau1[[#This Row],[LEN]]*7.27,0)</f>
        <v>145</v>
      </c>
      <c r="N1031" s="118">
        <v>15</v>
      </c>
      <c r="O1031" s="135" t="str">
        <f t="shared" si="41"/>
        <v>_self</v>
      </c>
      <c r="P1031" s="118">
        <f>LEN(Tableau1[[#This Row],[LABEL]])</f>
        <v>20</v>
      </c>
      <c r="Q1031" s="118">
        <v>15</v>
      </c>
      <c r="R1031" s="118" t="e">
        <f>ROUND(Tableau1[[#This Row],[LEN]]*#REF!+#REF!,0)</f>
        <v>#REF!</v>
      </c>
    </row>
    <row r="1032" spans="1:18" s="97" customFormat="1" hidden="1" x14ac:dyDescent="0.25">
      <c r="A1032" s="49" t="s">
        <v>1760</v>
      </c>
      <c r="B1032" s="50" t="s">
        <v>315</v>
      </c>
      <c r="C1032" s="431" t="s">
        <v>0</v>
      </c>
      <c r="D1032" s="51" t="s">
        <v>1782</v>
      </c>
      <c r="E1032" s="76" t="s">
        <v>1177</v>
      </c>
      <c r="F1032" s="51" t="s">
        <v>675</v>
      </c>
      <c r="G1032" s="51" t="s">
        <v>679</v>
      </c>
      <c r="H1032" s="76" t="s">
        <v>2101</v>
      </c>
      <c r="I1032" s="76" t="s">
        <v>655</v>
      </c>
      <c r="J1032" s="51"/>
      <c r="K1032" s="52" t="s">
        <v>708</v>
      </c>
      <c r="L1032" s="52" t="str">
        <f t="shared" si="40"/>
        <v>_</v>
      </c>
      <c r="M1032" s="117">
        <f>ROUND(Tableau1[[#This Row],[LEN]]*7.27,0)</f>
        <v>182</v>
      </c>
      <c r="N1032" s="117">
        <v>15</v>
      </c>
      <c r="O1032" s="134" t="str">
        <f t="shared" si="41"/>
        <v>_self</v>
      </c>
      <c r="P1032" s="117">
        <f>LEN(Tableau1[[#This Row],[LABEL]])</f>
        <v>25</v>
      </c>
      <c r="Q1032" s="117">
        <v>15</v>
      </c>
      <c r="R1032" s="117" t="e">
        <f>ROUND(Tableau1[[#This Row],[LEN]]*#REF!+#REF!,0)</f>
        <v>#REF!</v>
      </c>
    </row>
    <row r="1033" spans="1:18" s="97" customFormat="1" hidden="1" x14ac:dyDescent="0.25">
      <c r="A1033" s="53" t="s">
        <v>1783</v>
      </c>
      <c r="B1033" s="54" t="s">
        <v>1760</v>
      </c>
      <c r="C1033" s="431" t="s">
        <v>0</v>
      </c>
      <c r="D1033" s="55" t="s">
        <v>1785</v>
      </c>
      <c r="E1033" s="77" t="s">
        <v>1177</v>
      </c>
      <c r="F1033" s="55" t="s">
        <v>675</v>
      </c>
      <c r="G1033" s="55" t="s">
        <v>679</v>
      </c>
      <c r="H1033" s="77" t="s">
        <v>2101</v>
      </c>
      <c r="I1033" s="77" t="s">
        <v>656</v>
      </c>
      <c r="J1033" s="55"/>
      <c r="K1033" s="56" t="s">
        <v>708</v>
      </c>
      <c r="L1033" s="56" t="str">
        <f t="shared" si="40"/>
        <v>_</v>
      </c>
      <c r="M1033" s="118">
        <f>ROUND(Tableau1[[#This Row],[LEN]]*7.27,0)</f>
        <v>167</v>
      </c>
      <c r="N1033" s="118">
        <v>15</v>
      </c>
      <c r="O1033" s="135" t="str">
        <f t="shared" si="41"/>
        <v>_self</v>
      </c>
      <c r="P1033" s="118">
        <f>LEN(Tableau1[[#This Row],[LABEL]])</f>
        <v>23</v>
      </c>
      <c r="Q1033" s="118">
        <v>15</v>
      </c>
      <c r="R1033" s="118" t="e">
        <f>ROUND(Tableau1[[#This Row],[LEN]]*#REF!+#REF!,0)</f>
        <v>#REF!</v>
      </c>
    </row>
    <row r="1034" spans="1:18" s="97" customFormat="1" hidden="1" x14ac:dyDescent="0.25">
      <c r="A1034" s="53" t="s">
        <v>1784</v>
      </c>
      <c r="B1034" s="54" t="s">
        <v>1760</v>
      </c>
      <c r="C1034" s="431" t="s">
        <v>0</v>
      </c>
      <c r="D1034" s="55" t="s">
        <v>1470</v>
      </c>
      <c r="E1034" s="77" t="s">
        <v>1177</v>
      </c>
      <c r="F1034" s="55" t="s">
        <v>675</v>
      </c>
      <c r="G1034" s="55" t="s">
        <v>679</v>
      </c>
      <c r="H1034" s="77" t="s">
        <v>2101</v>
      </c>
      <c r="I1034" s="77" t="s">
        <v>656</v>
      </c>
      <c r="J1034" s="55"/>
      <c r="K1034" s="56" t="s">
        <v>708</v>
      </c>
      <c r="L1034" s="56" t="str">
        <f t="shared" si="40"/>
        <v>_</v>
      </c>
      <c r="M1034" s="118">
        <f>ROUND(Tableau1[[#This Row],[LEN]]*7.27,0)</f>
        <v>313</v>
      </c>
      <c r="N1034" s="118">
        <v>15</v>
      </c>
      <c r="O1034" s="135" t="str">
        <f t="shared" si="41"/>
        <v>_self</v>
      </c>
      <c r="P1034" s="118">
        <f>LEN(Tableau1[[#This Row],[LABEL]])</f>
        <v>43</v>
      </c>
      <c r="Q1034" s="118">
        <v>15</v>
      </c>
      <c r="R1034" s="118" t="e">
        <f>ROUND(Tableau1[[#This Row],[LEN]]*#REF!+#REF!,0)</f>
        <v>#REF!</v>
      </c>
    </row>
    <row r="1035" spans="1:18" s="97" customFormat="1" hidden="1" x14ac:dyDescent="0.25">
      <c r="A1035" s="49" t="s">
        <v>1761</v>
      </c>
      <c r="B1035" s="50" t="s">
        <v>315</v>
      </c>
      <c r="C1035" s="431" t="s">
        <v>0</v>
      </c>
      <c r="D1035" s="51" t="s">
        <v>1786</v>
      </c>
      <c r="E1035" s="76" t="s">
        <v>1177</v>
      </c>
      <c r="F1035" s="51" t="s">
        <v>675</v>
      </c>
      <c r="G1035" s="51" t="s">
        <v>679</v>
      </c>
      <c r="H1035" s="76" t="s">
        <v>2101</v>
      </c>
      <c r="I1035" s="76" t="s">
        <v>655</v>
      </c>
      <c r="J1035" s="51"/>
      <c r="K1035" s="52" t="s">
        <v>708</v>
      </c>
      <c r="L1035" s="52" t="str">
        <f t="shared" si="40"/>
        <v>_</v>
      </c>
      <c r="M1035" s="117">
        <f>ROUND(Tableau1[[#This Row],[LEN]]*7.27,0)</f>
        <v>262</v>
      </c>
      <c r="N1035" s="117">
        <v>15</v>
      </c>
      <c r="O1035" s="134" t="str">
        <f t="shared" si="41"/>
        <v>_self</v>
      </c>
      <c r="P1035" s="117">
        <f>LEN(Tableau1[[#This Row],[LABEL]])</f>
        <v>36</v>
      </c>
      <c r="Q1035" s="117">
        <v>15</v>
      </c>
      <c r="R1035" s="117" t="e">
        <f>ROUND(Tableau1[[#This Row],[LEN]]*#REF!+#REF!,0)</f>
        <v>#REF!</v>
      </c>
    </row>
    <row r="1036" spans="1:18" s="97" customFormat="1" hidden="1" x14ac:dyDescent="0.25">
      <c r="A1036" s="53" t="s">
        <v>1787</v>
      </c>
      <c r="B1036" s="54" t="s">
        <v>1761</v>
      </c>
      <c r="C1036" s="431" t="s">
        <v>0</v>
      </c>
      <c r="D1036" s="55" t="s">
        <v>1789</v>
      </c>
      <c r="E1036" s="77" t="s">
        <v>1177</v>
      </c>
      <c r="F1036" s="55" t="s">
        <v>675</v>
      </c>
      <c r="G1036" s="55" t="s">
        <v>679</v>
      </c>
      <c r="H1036" s="77" t="s">
        <v>2101</v>
      </c>
      <c r="I1036" s="77" t="s">
        <v>654</v>
      </c>
      <c r="J1036" s="55"/>
      <c r="K1036" s="56" t="s">
        <v>708</v>
      </c>
      <c r="L1036" s="56" t="str">
        <f t="shared" si="40"/>
        <v>_</v>
      </c>
      <c r="M1036" s="118">
        <f>ROUND(Tableau1[[#This Row],[LEN]]*7.27,0)</f>
        <v>487</v>
      </c>
      <c r="N1036" s="118">
        <v>15</v>
      </c>
      <c r="O1036" s="135" t="str">
        <f t="shared" si="41"/>
        <v>_self</v>
      </c>
      <c r="P1036" s="118">
        <f>LEN(Tableau1[[#This Row],[LABEL]])</f>
        <v>67</v>
      </c>
      <c r="Q1036" s="118">
        <v>15</v>
      </c>
      <c r="R1036" s="118" t="e">
        <f>ROUND(Tableau1[[#This Row],[LEN]]*#REF!+#REF!,0)</f>
        <v>#REF!</v>
      </c>
    </row>
    <row r="1037" spans="1:18" s="97" customFormat="1" hidden="1" x14ac:dyDescent="0.25">
      <c r="A1037" s="53" t="s">
        <v>1788</v>
      </c>
      <c r="B1037" s="54" t="s">
        <v>1761</v>
      </c>
      <c r="C1037" s="431" t="s">
        <v>0</v>
      </c>
      <c r="D1037" s="55" t="s">
        <v>1790</v>
      </c>
      <c r="E1037" s="77" t="s">
        <v>1177</v>
      </c>
      <c r="F1037" s="55" t="s">
        <v>675</v>
      </c>
      <c r="G1037" s="55" t="s">
        <v>679</v>
      </c>
      <c r="H1037" s="77" t="s">
        <v>2101</v>
      </c>
      <c r="I1037" s="77" t="s">
        <v>654</v>
      </c>
      <c r="J1037" s="55"/>
      <c r="K1037" s="56" t="s">
        <v>708</v>
      </c>
      <c r="L1037" s="56" t="str">
        <f t="shared" si="40"/>
        <v>_</v>
      </c>
      <c r="M1037" s="118">
        <f>ROUND(Tableau1[[#This Row],[LEN]]*7.27,0)</f>
        <v>313</v>
      </c>
      <c r="N1037" s="118">
        <v>15</v>
      </c>
      <c r="O1037" s="135" t="str">
        <f t="shared" si="41"/>
        <v>_self</v>
      </c>
      <c r="P1037" s="118">
        <f>LEN(Tableau1[[#This Row],[LABEL]])</f>
        <v>43</v>
      </c>
      <c r="Q1037" s="118">
        <v>15</v>
      </c>
      <c r="R1037" s="118" t="e">
        <f>ROUND(Tableau1[[#This Row],[LEN]]*#REF!+#REF!,0)</f>
        <v>#REF!</v>
      </c>
    </row>
    <row r="1038" spans="1:18" s="97" customFormat="1" hidden="1" x14ac:dyDescent="0.25">
      <c r="A1038" s="49" t="s">
        <v>1762</v>
      </c>
      <c r="B1038" s="50" t="s">
        <v>315</v>
      </c>
      <c r="C1038" s="431" t="s">
        <v>0</v>
      </c>
      <c r="D1038" s="51" t="s">
        <v>1791</v>
      </c>
      <c r="E1038" s="76" t="s">
        <v>1177</v>
      </c>
      <c r="F1038" s="51" t="s">
        <v>675</v>
      </c>
      <c r="G1038" s="51" t="s">
        <v>679</v>
      </c>
      <c r="H1038" s="76" t="s">
        <v>2101</v>
      </c>
      <c r="I1038" s="76" t="s">
        <v>655</v>
      </c>
      <c r="J1038" s="51"/>
      <c r="K1038" s="52" t="s">
        <v>708</v>
      </c>
      <c r="L1038" s="52" t="str">
        <f t="shared" si="40"/>
        <v>_</v>
      </c>
      <c r="M1038" s="117">
        <f>ROUND(Tableau1[[#This Row],[LEN]]*7.27,0)</f>
        <v>153</v>
      </c>
      <c r="N1038" s="117">
        <v>15</v>
      </c>
      <c r="O1038" s="134" t="str">
        <f t="shared" si="41"/>
        <v>_self</v>
      </c>
      <c r="P1038" s="117">
        <f>LEN(Tableau1[[#This Row],[LABEL]])</f>
        <v>21</v>
      </c>
      <c r="Q1038" s="117">
        <v>15</v>
      </c>
      <c r="R1038" s="117" t="e">
        <f>ROUND(Tableau1[[#This Row],[LEN]]*#REF!+#REF!,0)</f>
        <v>#REF!</v>
      </c>
    </row>
    <row r="1039" spans="1:18" s="97" customFormat="1" hidden="1" x14ac:dyDescent="0.25">
      <c r="A1039" s="53" t="s">
        <v>1792</v>
      </c>
      <c r="B1039" s="54" t="s">
        <v>1762</v>
      </c>
      <c r="C1039" s="431" t="s">
        <v>0</v>
      </c>
      <c r="D1039" s="55" t="s">
        <v>1778</v>
      </c>
      <c r="E1039" s="77" t="s">
        <v>1177</v>
      </c>
      <c r="F1039" s="55" t="s">
        <v>675</v>
      </c>
      <c r="G1039" s="55" t="s">
        <v>679</v>
      </c>
      <c r="H1039" s="77" t="s">
        <v>2101</v>
      </c>
      <c r="I1039" s="77" t="s">
        <v>654</v>
      </c>
      <c r="J1039" s="55"/>
      <c r="K1039" s="56" t="s">
        <v>708</v>
      </c>
      <c r="L1039" s="56" t="str">
        <f t="shared" si="40"/>
        <v>_</v>
      </c>
      <c r="M1039" s="118">
        <f>ROUND(Tableau1[[#This Row],[LEN]]*7.27,0)</f>
        <v>225</v>
      </c>
      <c r="N1039" s="118">
        <v>15</v>
      </c>
      <c r="O1039" s="135" t="str">
        <f t="shared" si="41"/>
        <v>_self</v>
      </c>
      <c r="P1039" s="118">
        <f>LEN(Tableau1[[#This Row],[LABEL]])</f>
        <v>31</v>
      </c>
      <c r="Q1039" s="118">
        <v>15</v>
      </c>
      <c r="R1039" s="118" t="e">
        <f>ROUND(Tableau1[[#This Row],[LEN]]*#REF!+#REF!,0)</f>
        <v>#REF!</v>
      </c>
    </row>
    <row r="1040" spans="1:18" s="97" customFormat="1" hidden="1" x14ac:dyDescent="0.25">
      <c r="A1040" s="53" t="s">
        <v>1793</v>
      </c>
      <c r="B1040" s="54" t="s">
        <v>1762</v>
      </c>
      <c r="C1040" s="431" t="s">
        <v>0</v>
      </c>
      <c r="D1040" s="55" t="s">
        <v>1779</v>
      </c>
      <c r="E1040" s="77" t="s">
        <v>1177</v>
      </c>
      <c r="F1040" s="55" t="s">
        <v>675</v>
      </c>
      <c r="G1040" s="55" t="s">
        <v>679</v>
      </c>
      <c r="H1040" s="77" t="s">
        <v>2101</v>
      </c>
      <c r="I1040" s="77" t="s">
        <v>654</v>
      </c>
      <c r="J1040" s="55"/>
      <c r="K1040" s="56" t="s">
        <v>708</v>
      </c>
      <c r="L1040" s="56" t="str">
        <f t="shared" si="40"/>
        <v>_</v>
      </c>
      <c r="M1040" s="118">
        <f>ROUND(Tableau1[[#This Row],[LEN]]*7.27,0)</f>
        <v>124</v>
      </c>
      <c r="N1040" s="118">
        <v>15</v>
      </c>
      <c r="O1040" s="135" t="str">
        <f t="shared" si="41"/>
        <v>_self</v>
      </c>
      <c r="P1040" s="118">
        <f>LEN(Tableau1[[#This Row],[LABEL]])</f>
        <v>17</v>
      </c>
      <c r="Q1040" s="118">
        <v>15</v>
      </c>
      <c r="R1040" s="118" t="e">
        <f>ROUND(Tableau1[[#This Row],[LEN]]*#REF!+#REF!,0)</f>
        <v>#REF!</v>
      </c>
    </row>
    <row r="1041" spans="1:18" s="97" customFormat="1" hidden="1" x14ac:dyDescent="0.25">
      <c r="A1041" s="53" t="s">
        <v>1794</v>
      </c>
      <c r="B1041" s="54" t="s">
        <v>1762</v>
      </c>
      <c r="C1041" s="431" t="s">
        <v>0</v>
      </c>
      <c r="D1041" s="55" t="s">
        <v>1780</v>
      </c>
      <c r="E1041" s="77" t="s">
        <v>1177</v>
      </c>
      <c r="F1041" s="55" t="s">
        <v>675</v>
      </c>
      <c r="G1041" s="55" t="s">
        <v>679</v>
      </c>
      <c r="H1041" s="77" t="s">
        <v>2101</v>
      </c>
      <c r="I1041" s="77" t="s">
        <v>654</v>
      </c>
      <c r="J1041" s="55"/>
      <c r="K1041" s="56" t="s">
        <v>708</v>
      </c>
      <c r="L1041" s="56" t="str">
        <f t="shared" si="40"/>
        <v>_</v>
      </c>
      <c r="M1041" s="118">
        <f>ROUND(Tableau1[[#This Row],[LEN]]*7.27,0)</f>
        <v>160</v>
      </c>
      <c r="N1041" s="118">
        <v>15</v>
      </c>
      <c r="O1041" s="135" t="str">
        <f t="shared" si="41"/>
        <v>_self</v>
      </c>
      <c r="P1041" s="118">
        <f>LEN(Tableau1[[#This Row],[LABEL]])</f>
        <v>22</v>
      </c>
      <c r="Q1041" s="118">
        <v>15</v>
      </c>
      <c r="R1041" s="118" t="e">
        <f>ROUND(Tableau1[[#This Row],[LEN]]*#REF!+#REF!,0)</f>
        <v>#REF!</v>
      </c>
    </row>
    <row r="1042" spans="1:18" s="97" customFormat="1" hidden="1" x14ac:dyDescent="0.25">
      <c r="A1042" s="53" t="s">
        <v>1795</v>
      </c>
      <c r="B1042" s="54" t="s">
        <v>1762</v>
      </c>
      <c r="C1042" s="431" t="s">
        <v>0</v>
      </c>
      <c r="D1042" s="55" t="s">
        <v>1781</v>
      </c>
      <c r="E1042" s="77" t="s">
        <v>1177</v>
      </c>
      <c r="F1042" s="55" t="s">
        <v>675</v>
      </c>
      <c r="G1042" s="55" t="s">
        <v>679</v>
      </c>
      <c r="H1042" s="77" t="s">
        <v>2101</v>
      </c>
      <c r="I1042" s="77" t="s">
        <v>654</v>
      </c>
      <c r="J1042" s="55"/>
      <c r="K1042" s="56" t="s">
        <v>708</v>
      </c>
      <c r="L1042" s="56" t="str">
        <f t="shared" si="40"/>
        <v>_</v>
      </c>
      <c r="M1042" s="118">
        <f>ROUND(Tableau1[[#This Row],[LEN]]*7.27,0)</f>
        <v>145</v>
      </c>
      <c r="N1042" s="118">
        <v>15</v>
      </c>
      <c r="O1042" s="135" t="str">
        <f t="shared" si="41"/>
        <v>_self</v>
      </c>
      <c r="P1042" s="118">
        <f>LEN(Tableau1[[#This Row],[LABEL]])</f>
        <v>20</v>
      </c>
      <c r="Q1042" s="118">
        <v>15</v>
      </c>
      <c r="R1042" s="118" t="e">
        <f>ROUND(Tableau1[[#This Row],[LEN]]*#REF!+#REF!,0)</f>
        <v>#REF!</v>
      </c>
    </row>
    <row r="1043" spans="1:18" s="97" customFormat="1" hidden="1" x14ac:dyDescent="0.25">
      <c r="A1043" s="49" t="s">
        <v>1763</v>
      </c>
      <c r="B1043" s="50" t="s">
        <v>315</v>
      </c>
      <c r="C1043" s="431" t="s">
        <v>0</v>
      </c>
      <c r="D1043" s="51" t="s">
        <v>598</v>
      </c>
      <c r="E1043" s="76" t="s">
        <v>1177</v>
      </c>
      <c r="F1043" s="51" t="s">
        <v>673</v>
      </c>
      <c r="G1043" s="51" t="s">
        <v>2035</v>
      </c>
      <c r="H1043" s="76" t="s">
        <v>2101</v>
      </c>
      <c r="I1043" s="76" t="s">
        <v>654</v>
      </c>
      <c r="J1043" s="51"/>
      <c r="K1043" s="52" t="s">
        <v>708</v>
      </c>
      <c r="L1043" s="52" t="str">
        <f t="shared" si="40"/>
        <v>_</v>
      </c>
      <c r="M1043" s="117">
        <f>ROUND(Tableau1[[#This Row],[LEN]]*7.27,0)</f>
        <v>553</v>
      </c>
      <c r="N1043" s="117">
        <v>15</v>
      </c>
      <c r="O1043" s="134" t="str">
        <f t="shared" si="41"/>
        <v>_self</v>
      </c>
      <c r="P1043" s="117">
        <f>LEN(Tableau1[[#This Row],[LABEL]])</f>
        <v>76</v>
      </c>
      <c r="Q1043" s="117">
        <v>15</v>
      </c>
      <c r="R1043" s="117" t="e">
        <f>ROUND(Tableau1[[#This Row],[LEN]]*#REF!+#REF!,0)</f>
        <v>#REF!</v>
      </c>
    </row>
    <row r="1044" spans="1:18" s="273" customFormat="1" hidden="1" x14ac:dyDescent="0.25">
      <c r="A1044" s="351" t="s">
        <v>316</v>
      </c>
      <c r="B1044" s="352" t="s">
        <v>209</v>
      </c>
      <c r="C1044" s="431" t="s">
        <v>0</v>
      </c>
      <c r="D1044" s="353" t="s">
        <v>71</v>
      </c>
      <c r="E1044" s="354" t="s">
        <v>1177</v>
      </c>
      <c r="F1044" s="353" t="s">
        <v>676</v>
      </c>
      <c r="G1044" s="353" t="s">
        <v>1177</v>
      </c>
      <c r="H1044" s="354" t="s">
        <v>2101</v>
      </c>
      <c r="I1044" s="354" t="str">
        <f>IFERROR(IF(SEARCH(".00.00.00.00.00",Tableau1[[#This Row],[name]],1)=7,"Division",""),"")</f>
        <v>Division</v>
      </c>
      <c r="J1044" s="353"/>
      <c r="K1044" s="355" t="s">
        <v>722</v>
      </c>
      <c r="L1044" s="355" t="str">
        <f t="shared" si="40"/>
        <v>Documentation</v>
      </c>
      <c r="M1044" s="356">
        <f>ROUND(Tableau1[[#This Row],[LEN]]*7.27,0)</f>
        <v>29</v>
      </c>
      <c r="N1044" s="356">
        <v>15</v>
      </c>
      <c r="O1044" s="357" t="str">
        <f t="shared" si="41"/>
        <v>_blank</v>
      </c>
      <c r="P1044" s="356">
        <f>LEN(Tableau1[[#This Row],[LABEL]])</f>
        <v>4</v>
      </c>
      <c r="Q1044" s="356">
        <v>15</v>
      </c>
      <c r="R1044" s="356" t="e">
        <f>ROUND(Tableau1[[#This Row],[LEN]]*#REF!+#REF!,0)</f>
        <v>#REF!</v>
      </c>
    </row>
    <row r="1045" spans="1:18" s="97" customFormat="1" hidden="1" x14ac:dyDescent="0.25">
      <c r="A1045" s="49" t="s">
        <v>1796</v>
      </c>
      <c r="B1045" s="50" t="s">
        <v>316</v>
      </c>
      <c r="C1045" s="431" t="s">
        <v>0</v>
      </c>
      <c r="D1045" s="51" t="s">
        <v>129</v>
      </c>
      <c r="E1045" s="76" t="s">
        <v>1177</v>
      </c>
      <c r="F1045" s="51" t="s">
        <v>673</v>
      </c>
      <c r="G1045" s="51" t="s">
        <v>2035</v>
      </c>
      <c r="H1045" s="76" t="s">
        <v>2101</v>
      </c>
      <c r="I1045" s="76" t="s">
        <v>655</v>
      </c>
      <c r="J1045" s="51"/>
      <c r="K1045" s="52" t="s">
        <v>708</v>
      </c>
      <c r="L1045" s="52" t="str">
        <f t="shared" si="40"/>
        <v>_</v>
      </c>
      <c r="M1045" s="117">
        <f>ROUND(Tableau1[[#This Row],[LEN]]*7.27,0)</f>
        <v>87</v>
      </c>
      <c r="N1045" s="117">
        <v>15</v>
      </c>
      <c r="O1045" s="134" t="str">
        <f t="shared" si="41"/>
        <v>_self</v>
      </c>
      <c r="P1045" s="117">
        <f>LEN(Tableau1[[#This Row],[LABEL]])</f>
        <v>12</v>
      </c>
      <c r="Q1045" s="117">
        <v>15</v>
      </c>
      <c r="R1045" s="117" t="e">
        <f>ROUND(Tableau1[[#This Row],[LEN]]*#REF!+#REF!,0)</f>
        <v>#REF!</v>
      </c>
    </row>
    <row r="1046" spans="1:18" s="97" customFormat="1" hidden="1" x14ac:dyDescent="0.25">
      <c r="A1046" s="53" t="s">
        <v>1802</v>
      </c>
      <c r="B1046" s="54" t="s">
        <v>1796</v>
      </c>
      <c r="C1046" s="431" t="s">
        <v>0</v>
      </c>
      <c r="D1046" s="55" t="s">
        <v>131</v>
      </c>
      <c r="E1046" s="77" t="s">
        <v>1177</v>
      </c>
      <c r="F1046" s="55" t="s">
        <v>673</v>
      </c>
      <c r="G1046" s="55" t="s">
        <v>2035</v>
      </c>
      <c r="H1046" s="77" t="s">
        <v>2101</v>
      </c>
      <c r="I1046" s="77" t="s">
        <v>570</v>
      </c>
      <c r="J1046" s="55"/>
      <c r="K1046" s="56" t="s">
        <v>708</v>
      </c>
      <c r="L1046" s="56" t="str">
        <f t="shared" si="40"/>
        <v>_</v>
      </c>
      <c r="M1046" s="118">
        <f>ROUND(Tableau1[[#This Row],[LEN]]*7.27,0)</f>
        <v>262</v>
      </c>
      <c r="N1046" s="118">
        <v>15</v>
      </c>
      <c r="O1046" s="135" t="str">
        <f t="shared" si="41"/>
        <v>_self</v>
      </c>
      <c r="P1046" s="118">
        <f>LEN(Tableau1[[#This Row],[LABEL]])</f>
        <v>36</v>
      </c>
      <c r="Q1046" s="118">
        <v>15</v>
      </c>
      <c r="R1046" s="118" t="e">
        <f>ROUND(Tableau1[[#This Row],[LEN]]*#REF!+#REF!,0)</f>
        <v>#REF!</v>
      </c>
    </row>
    <row r="1047" spans="1:18" s="97" customFormat="1" hidden="1" x14ac:dyDescent="0.25">
      <c r="A1047" s="53" t="s">
        <v>1803</v>
      </c>
      <c r="B1047" s="54" t="s">
        <v>1796</v>
      </c>
      <c r="C1047" s="431" t="s">
        <v>0</v>
      </c>
      <c r="D1047" s="55" t="s">
        <v>132</v>
      </c>
      <c r="E1047" s="77" t="s">
        <v>1177</v>
      </c>
      <c r="F1047" s="55" t="s">
        <v>673</v>
      </c>
      <c r="G1047" s="55" t="s">
        <v>2035</v>
      </c>
      <c r="H1047" s="77" t="s">
        <v>2101</v>
      </c>
      <c r="I1047" s="77" t="s">
        <v>570</v>
      </c>
      <c r="J1047" s="55"/>
      <c r="K1047" s="56" t="s">
        <v>708</v>
      </c>
      <c r="L1047" s="56" t="str">
        <f t="shared" si="40"/>
        <v>_</v>
      </c>
      <c r="M1047" s="118">
        <f>ROUND(Tableau1[[#This Row],[LEN]]*7.27,0)</f>
        <v>298</v>
      </c>
      <c r="N1047" s="118">
        <v>15</v>
      </c>
      <c r="O1047" s="135" t="str">
        <f t="shared" si="41"/>
        <v>_self</v>
      </c>
      <c r="P1047" s="118">
        <f>LEN(Tableau1[[#This Row],[LABEL]])</f>
        <v>41</v>
      </c>
      <c r="Q1047" s="118">
        <v>15</v>
      </c>
      <c r="R1047" s="118" t="e">
        <f>ROUND(Tableau1[[#This Row],[LEN]]*#REF!+#REF!,0)</f>
        <v>#REF!</v>
      </c>
    </row>
    <row r="1048" spans="1:18" s="97" customFormat="1" hidden="1" x14ac:dyDescent="0.25">
      <c r="A1048" s="49" t="s">
        <v>1797</v>
      </c>
      <c r="B1048" s="50" t="s">
        <v>316</v>
      </c>
      <c r="C1048" s="431" t="s">
        <v>0</v>
      </c>
      <c r="D1048" s="51" t="s">
        <v>1808</v>
      </c>
      <c r="E1048" s="76" t="s">
        <v>1177</v>
      </c>
      <c r="F1048" s="51" t="s">
        <v>676</v>
      </c>
      <c r="G1048" s="51" t="s">
        <v>1177</v>
      </c>
      <c r="H1048" s="76" t="s">
        <v>2101</v>
      </c>
      <c r="I1048" s="76" t="s">
        <v>654</v>
      </c>
      <c r="J1048" s="51"/>
      <c r="K1048" s="52" t="s">
        <v>708</v>
      </c>
      <c r="L1048" s="52" t="str">
        <f t="shared" si="40"/>
        <v>_</v>
      </c>
      <c r="M1048" s="117">
        <f>ROUND(Tableau1[[#This Row],[LEN]]*7.27,0)</f>
        <v>364</v>
      </c>
      <c r="N1048" s="117">
        <v>15</v>
      </c>
      <c r="O1048" s="134" t="str">
        <f t="shared" si="41"/>
        <v>_self</v>
      </c>
      <c r="P1048" s="117">
        <f>LEN(Tableau1[[#This Row],[LABEL]])</f>
        <v>50</v>
      </c>
      <c r="Q1048" s="117">
        <v>15</v>
      </c>
      <c r="R1048" s="117" t="e">
        <f>ROUND(Tableau1[[#This Row],[LEN]]*#REF!+#REF!,0)</f>
        <v>#REF!</v>
      </c>
    </row>
    <row r="1049" spans="1:18" s="97" customFormat="1" hidden="1" x14ac:dyDescent="0.25">
      <c r="A1049" s="49" t="s">
        <v>1798</v>
      </c>
      <c r="B1049" s="50" t="s">
        <v>316</v>
      </c>
      <c r="C1049" s="431" t="s">
        <v>0</v>
      </c>
      <c r="D1049" s="51" t="s">
        <v>1810</v>
      </c>
      <c r="E1049" s="76" t="s">
        <v>1177</v>
      </c>
      <c r="F1049" s="51" t="s">
        <v>676</v>
      </c>
      <c r="G1049" s="51" t="s">
        <v>1177</v>
      </c>
      <c r="H1049" s="76" t="s">
        <v>2101</v>
      </c>
      <c r="I1049" s="76" t="s">
        <v>656</v>
      </c>
      <c r="J1049" s="51"/>
      <c r="K1049" s="52" t="s">
        <v>708</v>
      </c>
      <c r="L1049" s="52" t="str">
        <f t="shared" si="40"/>
        <v>_</v>
      </c>
      <c r="M1049" s="117">
        <f>ROUND(Tableau1[[#This Row],[LEN]]*7.27,0)</f>
        <v>124</v>
      </c>
      <c r="N1049" s="117">
        <v>15</v>
      </c>
      <c r="O1049" s="134" t="str">
        <f t="shared" si="41"/>
        <v>_self</v>
      </c>
      <c r="P1049" s="117">
        <f>LEN(Tableau1[[#This Row],[LABEL]])</f>
        <v>17</v>
      </c>
      <c r="Q1049" s="117">
        <v>15</v>
      </c>
      <c r="R1049" s="117" t="e">
        <f>ROUND(Tableau1[[#This Row],[LEN]]*#REF!+#REF!,0)</f>
        <v>#REF!</v>
      </c>
    </row>
    <row r="1050" spans="1:18" s="97" customFormat="1" hidden="1" x14ac:dyDescent="0.25">
      <c r="A1050" s="49" t="s">
        <v>1799</v>
      </c>
      <c r="B1050" s="50" t="s">
        <v>316</v>
      </c>
      <c r="C1050" s="431" t="s">
        <v>0</v>
      </c>
      <c r="D1050" s="51" t="s">
        <v>1809</v>
      </c>
      <c r="E1050" s="76" t="s">
        <v>1177</v>
      </c>
      <c r="F1050" s="51" t="s">
        <v>676</v>
      </c>
      <c r="G1050" s="51" t="s">
        <v>1177</v>
      </c>
      <c r="H1050" s="76" t="s">
        <v>2101</v>
      </c>
      <c r="I1050" s="76" t="s">
        <v>656</v>
      </c>
      <c r="J1050" s="51"/>
      <c r="K1050" s="52" t="s">
        <v>708</v>
      </c>
      <c r="L1050" s="52" t="str">
        <f t="shared" si="40"/>
        <v>_</v>
      </c>
      <c r="M1050" s="117">
        <f>ROUND(Tableau1[[#This Row],[LEN]]*7.27,0)</f>
        <v>189</v>
      </c>
      <c r="N1050" s="117">
        <v>15</v>
      </c>
      <c r="O1050" s="134" t="str">
        <f t="shared" si="41"/>
        <v>_self</v>
      </c>
      <c r="P1050" s="117">
        <f>LEN(Tableau1[[#This Row],[LABEL]])</f>
        <v>26</v>
      </c>
      <c r="Q1050" s="117">
        <v>15</v>
      </c>
      <c r="R1050" s="117" t="e">
        <f>ROUND(Tableau1[[#This Row],[LEN]]*#REF!+#REF!,0)</f>
        <v>#REF!</v>
      </c>
    </row>
    <row r="1051" spans="1:18" s="97" customFormat="1" hidden="1" x14ac:dyDescent="0.25">
      <c r="A1051" s="49" t="s">
        <v>1800</v>
      </c>
      <c r="B1051" s="50" t="s">
        <v>316</v>
      </c>
      <c r="C1051" s="431" t="s">
        <v>0</v>
      </c>
      <c r="D1051" s="51" t="s">
        <v>549</v>
      </c>
      <c r="E1051" s="76" t="s">
        <v>1177</v>
      </c>
      <c r="F1051" s="51" t="s">
        <v>673</v>
      </c>
      <c r="G1051" s="51" t="s">
        <v>1704</v>
      </c>
      <c r="H1051" s="76" t="s">
        <v>2101</v>
      </c>
      <c r="I1051" s="76" t="s">
        <v>655</v>
      </c>
      <c r="J1051" s="51"/>
      <c r="K1051" s="52" t="s">
        <v>708</v>
      </c>
      <c r="L1051" s="52" t="str">
        <f t="shared" si="40"/>
        <v>_</v>
      </c>
      <c r="M1051" s="117">
        <f>ROUND(Tableau1[[#This Row],[LEN]]*7.27,0)</f>
        <v>145</v>
      </c>
      <c r="N1051" s="117">
        <v>15</v>
      </c>
      <c r="O1051" s="134" t="str">
        <f t="shared" si="41"/>
        <v>_self</v>
      </c>
      <c r="P1051" s="117">
        <f>LEN(Tableau1[[#This Row],[LABEL]])</f>
        <v>20</v>
      </c>
      <c r="Q1051" s="117">
        <v>15</v>
      </c>
      <c r="R1051" s="117" t="e">
        <f>ROUND(Tableau1[[#This Row],[LEN]]*#REF!+#REF!,0)</f>
        <v>#REF!</v>
      </c>
    </row>
    <row r="1052" spans="1:18" s="97" customFormat="1" hidden="1" x14ac:dyDescent="0.25">
      <c r="A1052" s="53" t="s">
        <v>1804</v>
      </c>
      <c r="B1052" s="54" t="s">
        <v>1800</v>
      </c>
      <c r="C1052" s="431" t="s">
        <v>0</v>
      </c>
      <c r="D1052" s="55" t="s">
        <v>590</v>
      </c>
      <c r="E1052" s="77" t="s">
        <v>1177</v>
      </c>
      <c r="F1052" s="55" t="s">
        <v>673</v>
      </c>
      <c r="G1052" s="55" t="s">
        <v>1704</v>
      </c>
      <c r="H1052" s="77" t="s">
        <v>2101</v>
      </c>
      <c r="I1052" s="77" t="s">
        <v>570</v>
      </c>
      <c r="J1052" s="55"/>
      <c r="K1052" s="56" t="s">
        <v>708</v>
      </c>
      <c r="L1052" s="56" t="str">
        <f t="shared" si="40"/>
        <v>_</v>
      </c>
      <c r="M1052" s="118">
        <f>ROUND(Tableau1[[#This Row],[LEN]]*7.27,0)</f>
        <v>102</v>
      </c>
      <c r="N1052" s="118">
        <v>15</v>
      </c>
      <c r="O1052" s="135" t="str">
        <f t="shared" si="41"/>
        <v>_self</v>
      </c>
      <c r="P1052" s="118">
        <f>LEN(Tableau1[[#This Row],[LABEL]])</f>
        <v>14</v>
      </c>
      <c r="Q1052" s="118">
        <v>15</v>
      </c>
      <c r="R1052" s="118" t="e">
        <f>ROUND(Tableau1[[#This Row],[LEN]]*#REF!+#REF!,0)</f>
        <v>#REF!</v>
      </c>
    </row>
    <row r="1053" spans="1:18" s="97" customFormat="1" hidden="1" x14ac:dyDescent="0.25">
      <c r="A1053" s="53" t="s">
        <v>1805</v>
      </c>
      <c r="B1053" s="54" t="s">
        <v>1800</v>
      </c>
      <c r="C1053" s="431" t="s">
        <v>0</v>
      </c>
      <c r="D1053" s="55" t="s">
        <v>591</v>
      </c>
      <c r="E1053" s="77" t="s">
        <v>1177</v>
      </c>
      <c r="F1053" s="55" t="s">
        <v>673</v>
      </c>
      <c r="G1053" s="55" t="s">
        <v>1704</v>
      </c>
      <c r="H1053" s="77" t="s">
        <v>2101</v>
      </c>
      <c r="I1053" s="77" t="s">
        <v>570</v>
      </c>
      <c r="J1053" s="55"/>
      <c r="K1053" s="56" t="s">
        <v>708</v>
      </c>
      <c r="L1053" s="56" t="str">
        <f t="shared" si="40"/>
        <v>_</v>
      </c>
      <c r="M1053" s="118">
        <f>ROUND(Tableau1[[#This Row],[LEN]]*7.27,0)</f>
        <v>262</v>
      </c>
      <c r="N1053" s="118">
        <v>15</v>
      </c>
      <c r="O1053" s="135" t="str">
        <f t="shared" si="41"/>
        <v>_self</v>
      </c>
      <c r="P1053" s="118">
        <f>LEN(Tableau1[[#This Row],[LABEL]])</f>
        <v>36</v>
      </c>
      <c r="Q1053" s="118">
        <v>15</v>
      </c>
      <c r="R1053" s="118" t="e">
        <f>ROUND(Tableau1[[#This Row],[LEN]]*#REF!+#REF!,0)</f>
        <v>#REF!</v>
      </c>
    </row>
    <row r="1054" spans="1:18" s="97" customFormat="1" hidden="1" x14ac:dyDescent="0.25">
      <c r="A1054" s="53" t="s">
        <v>1806</v>
      </c>
      <c r="B1054" s="54" t="s">
        <v>1800</v>
      </c>
      <c r="C1054" s="431" t="s">
        <v>0</v>
      </c>
      <c r="D1054" s="55" t="s">
        <v>592</v>
      </c>
      <c r="E1054" s="77" t="s">
        <v>1177</v>
      </c>
      <c r="F1054" s="55" t="s">
        <v>673</v>
      </c>
      <c r="G1054" s="55" t="s">
        <v>1704</v>
      </c>
      <c r="H1054" s="77" t="s">
        <v>2101</v>
      </c>
      <c r="I1054" s="77" t="s">
        <v>570</v>
      </c>
      <c r="J1054" s="55"/>
      <c r="K1054" s="56" t="s">
        <v>708</v>
      </c>
      <c r="L1054" s="56" t="str">
        <f t="shared" si="40"/>
        <v>_</v>
      </c>
      <c r="M1054" s="118">
        <f>ROUND(Tableau1[[#This Row],[LEN]]*7.27,0)</f>
        <v>189</v>
      </c>
      <c r="N1054" s="118">
        <v>15</v>
      </c>
      <c r="O1054" s="135" t="str">
        <f t="shared" si="41"/>
        <v>_self</v>
      </c>
      <c r="P1054" s="118">
        <f>LEN(Tableau1[[#This Row],[LABEL]])</f>
        <v>26</v>
      </c>
      <c r="Q1054" s="118">
        <v>15</v>
      </c>
      <c r="R1054" s="118" t="e">
        <f>ROUND(Tableau1[[#This Row],[LEN]]*#REF!+#REF!,0)</f>
        <v>#REF!</v>
      </c>
    </row>
    <row r="1055" spans="1:18" s="97" customFormat="1" hidden="1" x14ac:dyDescent="0.25">
      <c r="A1055" s="53" t="s">
        <v>1807</v>
      </c>
      <c r="B1055" s="54" t="s">
        <v>1800</v>
      </c>
      <c r="C1055" s="431" t="s">
        <v>0</v>
      </c>
      <c r="D1055" s="55" t="s">
        <v>597</v>
      </c>
      <c r="E1055" s="77" t="s">
        <v>1177</v>
      </c>
      <c r="F1055" s="55" t="s">
        <v>673</v>
      </c>
      <c r="G1055" s="55" t="s">
        <v>1704</v>
      </c>
      <c r="H1055" s="77" t="s">
        <v>2101</v>
      </c>
      <c r="I1055" s="77" t="s">
        <v>570</v>
      </c>
      <c r="J1055" s="55"/>
      <c r="K1055" s="56" t="s">
        <v>708</v>
      </c>
      <c r="L1055" s="56" t="str">
        <f t="shared" si="40"/>
        <v>_</v>
      </c>
      <c r="M1055" s="118">
        <f>ROUND(Tableau1[[#This Row],[LEN]]*7.27,0)</f>
        <v>465</v>
      </c>
      <c r="N1055" s="118">
        <v>15</v>
      </c>
      <c r="O1055" s="135" t="str">
        <f t="shared" si="41"/>
        <v>_self</v>
      </c>
      <c r="P1055" s="118">
        <f>LEN(Tableau1[[#This Row],[LABEL]])</f>
        <v>64</v>
      </c>
      <c r="Q1055" s="118">
        <v>15</v>
      </c>
      <c r="R1055" s="118" t="e">
        <f>ROUND(Tableau1[[#This Row],[LEN]]*#REF!+#REF!,0)</f>
        <v>#REF!</v>
      </c>
    </row>
    <row r="1056" spans="1:18" s="97" customFormat="1" hidden="1" x14ac:dyDescent="0.25">
      <c r="A1056" s="49" t="s">
        <v>1801</v>
      </c>
      <c r="B1056" s="50" t="s">
        <v>316</v>
      </c>
      <c r="C1056" s="431" t="s">
        <v>0</v>
      </c>
      <c r="D1056" s="51" t="s">
        <v>598</v>
      </c>
      <c r="E1056" s="76" t="s">
        <v>1177</v>
      </c>
      <c r="F1056" s="51" t="s">
        <v>673</v>
      </c>
      <c r="G1056" s="51" t="s">
        <v>2035</v>
      </c>
      <c r="H1056" s="76" t="s">
        <v>2101</v>
      </c>
      <c r="I1056" s="76" t="s">
        <v>654</v>
      </c>
      <c r="J1056" s="51"/>
      <c r="K1056" s="52" t="s">
        <v>708</v>
      </c>
      <c r="L1056" s="52" t="str">
        <f t="shared" si="40"/>
        <v>_</v>
      </c>
      <c r="M1056" s="117">
        <f>ROUND(Tableau1[[#This Row],[LEN]]*7.27,0)</f>
        <v>553</v>
      </c>
      <c r="N1056" s="117">
        <v>15</v>
      </c>
      <c r="O1056" s="134" t="str">
        <f t="shared" si="41"/>
        <v>_self</v>
      </c>
      <c r="P1056" s="117">
        <f>LEN(Tableau1[[#This Row],[LABEL]])</f>
        <v>76</v>
      </c>
      <c r="Q1056" s="117">
        <v>15</v>
      </c>
      <c r="R1056" s="117" t="e">
        <f>ROUND(Tableau1[[#This Row],[LEN]]*#REF!+#REF!,0)</f>
        <v>#REF!</v>
      </c>
    </row>
    <row r="1057" spans="1:18" s="273" customFormat="1" hidden="1" x14ac:dyDescent="0.25">
      <c r="A1057" s="351" t="s">
        <v>317</v>
      </c>
      <c r="B1057" s="352" t="s">
        <v>209</v>
      </c>
      <c r="C1057" s="431" t="s">
        <v>0</v>
      </c>
      <c r="D1057" s="353" t="s">
        <v>13</v>
      </c>
      <c r="E1057" s="354" t="s">
        <v>1177</v>
      </c>
      <c r="F1057" s="353" t="s">
        <v>677</v>
      </c>
      <c r="G1057" s="353" t="s">
        <v>1177</v>
      </c>
      <c r="H1057" s="354" t="s">
        <v>2101</v>
      </c>
      <c r="I1057" s="354" t="str">
        <f>IFERROR(IF(SEARCH(".00.00.00.00.00",Tableau1[[#This Row],[name]],1)=7,"Division",""),"")</f>
        <v>Division</v>
      </c>
      <c r="J1057" s="353"/>
      <c r="K1057" s="355" t="s">
        <v>708</v>
      </c>
      <c r="L1057" s="355" t="str">
        <f t="shared" si="40"/>
        <v>_</v>
      </c>
      <c r="M1057" s="356">
        <f>ROUND(Tableau1[[#This Row],[LEN]]*7.27,0)</f>
        <v>80</v>
      </c>
      <c r="N1057" s="356">
        <v>15</v>
      </c>
      <c r="O1057" s="357" t="str">
        <f t="shared" si="41"/>
        <v>_self</v>
      </c>
      <c r="P1057" s="356">
        <f>LEN(Tableau1[[#This Row],[LABEL]])</f>
        <v>11</v>
      </c>
      <c r="Q1057" s="356">
        <v>15</v>
      </c>
      <c r="R1057" s="356" t="e">
        <f>ROUND(Tableau1[[#This Row],[LEN]]*#REF!+#REF!,0)</f>
        <v>#REF!</v>
      </c>
    </row>
    <row r="1058" spans="1:18" s="97" customFormat="1" hidden="1" x14ac:dyDescent="0.25">
      <c r="A1058" s="49" t="s">
        <v>1811</v>
      </c>
      <c r="B1058" s="50" t="s">
        <v>317</v>
      </c>
      <c r="C1058" s="431" t="s">
        <v>0</v>
      </c>
      <c r="D1058" s="51" t="s">
        <v>129</v>
      </c>
      <c r="E1058" s="76" t="s">
        <v>1177</v>
      </c>
      <c r="F1058" s="51" t="s">
        <v>673</v>
      </c>
      <c r="G1058" s="51" t="s">
        <v>2035</v>
      </c>
      <c r="H1058" s="76" t="s">
        <v>2101</v>
      </c>
      <c r="I1058" s="76" t="s">
        <v>655</v>
      </c>
      <c r="J1058" s="51"/>
      <c r="K1058" s="52" t="s">
        <v>708</v>
      </c>
      <c r="L1058" s="52" t="str">
        <f t="shared" si="40"/>
        <v>_</v>
      </c>
      <c r="M1058" s="117">
        <f>ROUND(Tableau1[[#This Row],[LEN]]*7.27,0)</f>
        <v>87</v>
      </c>
      <c r="N1058" s="117">
        <v>15</v>
      </c>
      <c r="O1058" s="134" t="str">
        <f t="shared" si="41"/>
        <v>_self</v>
      </c>
      <c r="P1058" s="117">
        <f>LEN(Tableau1[[#This Row],[LABEL]])</f>
        <v>12</v>
      </c>
      <c r="Q1058" s="117">
        <v>15</v>
      </c>
      <c r="R1058" s="117" t="e">
        <f>ROUND(Tableau1[[#This Row],[LEN]]*#REF!+#REF!,0)</f>
        <v>#REF!</v>
      </c>
    </row>
    <row r="1059" spans="1:18" s="97" customFormat="1" hidden="1" x14ac:dyDescent="0.25">
      <c r="A1059" s="53" t="s">
        <v>1818</v>
      </c>
      <c r="B1059" s="54" t="s">
        <v>1811</v>
      </c>
      <c r="C1059" s="431" t="s">
        <v>0</v>
      </c>
      <c r="D1059" s="55" t="s">
        <v>131</v>
      </c>
      <c r="E1059" s="77" t="s">
        <v>1177</v>
      </c>
      <c r="F1059" s="55" t="s">
        <v>673</v>
      </c>
      <c r="G1059" s="55" t="s">
        <v>2035</v>
      </c>
      <c r="H1059" s="77" t="s">
        <v>2101</v>
      </c>
      <c r="I1059" s="77" t="s">
        <v>570</v>
      </c>
      <c r="J1059" s="55"/>
      <c r="K1059" s="56" t="s">
        <v>708</v>
      </c>
      <c r="L1059" s="56" t="str">
        <f t="shared" si="40"/>
        <v>_</v>
      </c>
      <c r="M1059" s="118">
        <f>ROUND(Tableau1[[#This Row],[LEN]]*7.27,0)</f>
        <v>262</v>
      </c>
      <c r="N1059" s="118">
        <v>15</v>
      </c>
      <c r="O1059" s="135" t="str">
        <f t="shared" si="41"/>
        <v>_self</v>
      </c>
      <c r="P1059" s="118">
        <f>LEN(Tableau1[[#This Row],[LABEL]])</f>
        <v>36</v>
      </c>
      <c r="Q1059" s="118">
        <v>15</v>
      </c>
      <c r="R1059" s="118" t="e">
        <f>ROUND(Tableau1[[#This Row],[LEN]]*#REF!+#REF!,0)</f>
        <v>#REF!</v>
      </c>
    </row>
    <row r="1060" spans="1:18" s="97" customFormat="1" hidden="1" x14ac:dyDescent="0.25">
      <c r="A1060" s="53" t="s">
        <v>1819</v>
      </c>
      <c r="B1060" s="54" t="s">
        <v>1811</v>
      </c>
      <c r="C1060" s="431" t="s">
        <v>0</v>
      </c>
      <c r="D1060" s="55" t="s">
        <v>132</v>
      </c>
      <c r="E1060" s="77" t="s">
        <v>1177</v>
      </c>
      <c r="F1060" s="55" t="s">
        <v>673</v>
      </c>
      <c r="G1060" s="55" t="s">
        <v>2035</v>
      </c>
      <c r="H1060" s="77" t="s">
        <v>2101</v>
      </c>
      <c r="I1060" s="77" t="s">
        <v>570</v>
      </c>
      <c r="J1060" s="55"/>
      <c r="K1060" s="56" t="s">
        <v>708</v>
      </c>
      <c r="L1060" s="56" t="str">
        <f t="shared" ref="L1060:L1123" si="42">IF(K1060="javascript:void(0)","_","Documentation")</f>
        <v>_</v>
      </c>
      <c r="M1060" s="118">
        <f>ROUND(Tableau1[[#This Row],[LEN]]*7.27,0)</f>
        <v>298</v>
      </c>
      <c r="N1060" s="118">
        <v>15</v>
      </c>
      <c r="O1060" s="135" t="str">
        <f t="shared" si="41"/>
        <v>_self</v>
      </c>
      <c r="P1060" s="118">
        <f>LEN(Tableau1[[#This Row],[LABEL]])</f>
        <v>41</v>
      </c>
      <c r="Q1060" s="118">
        <v>15</v>
      </c>
      <c r="R1060" s="118" t="e">
        <f>ROUND(Tableau1[[#This Row],[LEN]]*#REF!+#REF!,0)</f>
        <v>#REF!</v>
      </c>
    </row>
    <row r="1061" spans="1:18" s="97" customFormat="1" hidden="1" x14ac:dyDescent="0.25">
      <c r="A1061" s="49" t="s">
        <v>1812</v>
      </c>
      <c r="B1061" s="50" t="s">
        <v>317</v>
      </c>
      <c r="C1061" s="431" t="s">
        <v>0</v>
      </c>
      <c r="D1061" s="51" t="s">
        <v>1825</v>
      </c>
      <c r="E1061" s="76" t="s">
        <v>1177</v>
      </c>
      <c r="F1061" s="51" t="s">
        <v>677</v>
      </c>
      <c r="G1061" s="51" t="s">
        <v>1847</v>
      </c>
      <c r="H1061" s="76" t="s">
        <v>2101</v>
      </c>
      <c r="I1061" s="76" t="s">
        <v>656</v>
      </c>
      <c r="J1061" s="51"/>
      <c r="K1061" s="52" t="s">
        <v>708</v>
      </c>
      <c r="L1061" s="52" t="str">
        <f t="shared" si="42"/>
        <v>_</v>
      </c>
      <c r="M1061" s="117">
        <f>ROUND(Tableau1[[#This Row],[LEN]]*7.27,0)</f>
        <v>320</v>
      </c>
      <c r="N1061" s="117">
        <v>15</v>
      </c>
      <c r="O1061" s="134" t="str">
        <f t="shared" ref="O1061:O1124" si="43">IF(K1061="javascript:void(0)","_self","_blank")</f>
        <v>_self</v>
      </c>
      <c r="P1061" s="117">
        <f>LEN(Tableau1[[#This Row],[LABEL]])</f>
        <v>44</v>
      </c>
      <c r="Q1061" s="117">
        <v>15</v>
      </c>
      <c r="R1061" s="117" t="e">
        <f>ROUND(Tableau1[[#This Row],[LEN]]*#REF!+#REF!,0)</f>
        <v>#REF!</v>
      </c>
    </row>
    <row r="1062" spans="1:18" s="97" customFormat="1" hidden="1" x14ac:dyDescent="0.25">
      <c r="A1062" s="49" t="s">
        <v>1813</v>
      </c>
      <c r="B1062" s="50" t="s">
        <v>317</v>
      </c>
      <c r="C1062" s="431" t="s">
        <v>0</v>
      </c>
      <c r="D1062" s="51" t="s">
        <v>1826</v>
      </c>
      <c r="E1062" s="76" t="s">
        <v>1177</v>
      </c>
      <c r="F1062" s="51" t="s">
        <v>677</v>
      </c>
      <c r="G1062" s="51" t="s">
        <v>1177</v>
      </c>
      <c r="H1062" s="76" t="s">
        <v>2101</v>
      </c>
      <c r="I1062" s="76" t="s">
        <v>656</v>
      </c>
      <c r="J1062" s="51"/>
      <c r="K1062" s="52" t="s">
        <v>708</v>
      </c>
      <c r="L1062" s="52" t="str">
        <f t="shared" si="42"/>
        <v>_</v>
      </c>
      <c r="M1062" s="117">
        <f>ROUND(Tableau1[[#This Row],[LEN]]*7.27,0)</f>
        <v>320</v>
      </c>
      <c r="N1062" s="117">
        <v>15</v>
      </c>
      <c r="O1062" s="134" t="str">
        <f t="shared" si="43"/>
        <v>_self</v>
      </c>
      <c r="P1062" s="117">
        <f>LEN(Tableau1[[#This Row],[LABEL]])</f>
        <v>44</v>
      </c>
      <c r="Q1062" s="117">
        <v>15</v>
      </c>
      <c r="R1062" s="117" t="e">
        <f>ROUND(Tableau1[[#This Row],[LEN]]*#REF!+#REF!,0)</f>
        <v>#REF!</v>
      </c>
    </row>
    <row r="1063" spans="1:18" s="97" customFormat="1" hidden="1" x14ac:dyDescent="0.25">
      <c r="A1063" s="49" t="s">
        <v>1814</v>
      </c>
      <c r="B1063" s="50" t="s">
        <v>317</v>
      </c>
      <c r="C1063" s="431" t="s">
        <v>0</v>
      </c>
      <c r="D1063" s="51" t="s">
        <v>1827</v>
      </c>
      <c r="E1063" s="76" t="s">
        <v>1177</v>
      </c>
      <c r="F1063" s="51" t="s">
        <v>677</v>
      </c>
      <c r="G1063" s="51" t="s">
        <v>1177</v>
      </c>
      <c r="H1063" s="76" t="s">
        <v>2101</v>
      </c>
      <c r="I1063" s="76" t="s">
        <v>656</v>
      </c>
      <c r="J1063" s="51"/>
      <c r="K1063" s="52" t="s">
        <v>708</v>
      </c>
      <c r="L1063" s="52" t="str">
        <f t="shared" si="42"/>
        <v>_</v>
      </c>
      <c r="M1063" s="117">
        <f>ROUND(Tableau1[[#This Row],[LEN]]*7.27,0)</f>
        <v>145</v>
      </c>
      <c r="N1063" s="117">
        <v>15</v>
      </c>
      <c r="O1063" s="134" t="str">
        <f t="shared" si="43"/>
        <v>_self</v>
      </c>
      <c r="P1063" s="117">
        <f>LEN(Tableau1[[#This Row],[LABEL]])</f>
        <v>20</v>
      </c>
      <c r="Q1063" s="117">
        <v>15</v>
      </c>
      <c r="R1063" s="117" t="e">
        <f>ROUND(Tableau1[[#This Row],[LEN]]*#REF!+#REF!,0)</f>
        <v>#REF!</v>
      </c>
    </row>
    <row r="1064" spans="1:18" s="97" customFormat="1" hidden="1" x14ac:dyDescent="0.25">
      <c r="A1064" s="49" t="s">
        <v>1815</v>
      </c>
      <c r="B1064" s="50" t="s">
        <v>317</v>
      </c>
      <c r="C1064" s="431" t="s">
        <v>0</v>
      </c>
      <c r="D1064" s="51" t="s">
        <v>549</v>
      </c>
      <c r="E1064" s="76" t="s">
        <v>1177</v>
      </c>
      <c r="F1064" s="51" t="s">
        <v>673</v>
      </c>
      <c r="G1064" s="51" t="s">
        <v>1704</v>
      </c>
      <c r="H1064" s="76" t="s">
        <v>2101</v>
      </c>
      <c r="I1064" s="76" t="s">
        <v>655</v>
      </c>
      <c r="J1064" s="51"/>
      <c r="K1064" s="52" t="s">
        <v>708</v>
      </c>
      <c r="L1064" s="52" t="str">
        <f t="shared" si="42"/>
        <v>_</v>
      </c>
      <c r="M1064" s="117">
        <f>ROUND(Tableau1[[#This Row],[LEN]]*7.27,0)</f>
        <v>145</v>
      </c>
      <c r="N1064" s="117">
        <v>15</v>
      </c>
      <c r="O1064" s="134" t="str">
        <f t="shared" si="43"/>
        <v>_self</v>
      </c>
      <c r="P1064" s="117">
        <f>LEN(Tableau1[[#This Row],[LABEL]])</f>
        <v>20</v>
      </c>
      <c r="Q1064" s="117">
        <v>15</v>
      </c>
      <c r="R1064" s="117" t="e">
        <f>ROUND(Tableau1[[#This Row],[LEN]]*#REF!+#REF!,0)</f>
        <v>#REF!</v>
      </c>
    </row>
    <row r="1065" spans="1:18" s="97" customFormat="1" hidden="1" x14ac:dyDescent="0.25">
      <c r="A1065" s="53" t="s">
        <v>1820</v>
      </c>
      <c r="B1065" s="54" t="s">
        <v>1815</v>
      </c>
      <c r="C1065" s="431" t="s">
        <v>0</v>
      </c>
      <c r="D1065" s="55" t="s">
        <v>590</v>
      </c>
      <c r="E1065" s="77" t="s">
        <v>1177</v>
      </c>
      <c r="F1065" s="55" t="s">
        <v>673</v>
      </c>
      <c r="G1065" s="55" t="s">
        <v>1704</v>
      </c>
      <c r="H1065" s="77" t="s">
        <v>2101</v>
      </c>
      <c r="I1065" s="77" t="s">
        <v>570</v>
      </c>
      <c r="J1065" s="55"/>
      <c r="K1065" s="56" t="s">
        <v>708</v>
      </c>
      <c r="L1065" s="56" t="str">
        <f t="shared" si="42"/>
        <v>_</v>
      </c>
      <c r="M1065" s="118">
        <f>ROUND(Tableau1[[#This Row],[LEN]]*7.27,0)</f>
        <v>102</v>
      </c>
      <c r="N1065" s="118">
        <v>15</v>
      </c>
      <c r="O1065" s="135" t="str">
        <f t="shared" si="43"/>
        <v>_self</v>
      </c>
      <c r="P1065" s="118">
        <f>LEN(Tableau1[[#This Row],[LABEL]])</f>
        <v>14</v>
      </c>
      <c r="Q1065" s="118">
        <v>15</v>
      </c>
      <c r="R1065" s="118" t="e">
        <f>ROUND(Tableau1[[#This Row],[LEN]]*#REF!+#REF!,0)</f>
        <v>#REF!</v>
      </c>
    </row>
    <row r="1066" spans="1:18" s="97" customFormat="1" hidden="1" x14ac:dyDescent="0.25">
      <c r="A1066" s="53" t="s">
        <v>1821</v>
      </c>
      <c r="B1066" s="54" t="s">
        <v>1815</v>
      </c>
      <c r="C1066" s="431" t="s">
        <v>0</v>
      </c>
      <c r="D1066" s="55" t="s">
        <v>591</v>
      </c>
      <c r="E1066" s="77" t="s">
        <v>1177</v>
      </c>
      <c r="F1066" s="55" t="s">
        <v>673</v>
      </c>
      <c r="G1066" s="55" t="s">
        <v>1704</v>
      </c>
      <c r="H1066" s="77" t="s">
        <v>2101</v>
      </c>
      <c r="I1066" s="77" t="s">
        <v>570</v>
      </c>
      <c r="J1066" s="55"/>
      <c r="K1066" s="56" t="s">
        <v>708</v>
      </c>
      <c r="L1066" s="56" t="str">
        <f t="shared" si="42"/>
        <v>_</v>
      </c>
      <c r="M1066" s="118">
        <f>ROUND(Tableau1[[#This Row],[LEN]]*7.27,0)</f>
        <v>262</v>
      </c>
      <c r="N1066" s="118">
        <v>15</v>
      </c>
      <c r="O1066" s="135" t="str">
        <f t="shared" si="43"/>
        <v>_self</v>
      </c>
      <c r="P1066" s="118">
        <f>LEN(Tableau1[[#This Row],[LABEL]])</f>
        <v>36</v>
      </c>
      <c r="Q1066" s="118">
        <v>15</v>
      </c>
      <c r="R1066" s="118" t="e">
        <f>ROUND(Tableau1[[#This Row],[LEN]]*#REF!+#REF!,0)</f>
        <v>#REF!</v>
      </c>
    </row>
    <row r="1067" spans="1:18" s="97" customFormat="1" hidden="1" x14ac:dyDescent="0.25">
      <c r="A1067" s="53" t="s">
        <v>1822</v>
      </c>
      <c r="B1067" s="54" t="s">
        <v>1815</v>
      </c>
      <c r="C1067" s="431" t="s">
        <v>0</v>
      </c>
      <c r="D1067" s="55" t="s">
        <v>592</v>
      </c>
      <c r="E1067" s="77" t="s">
        <v>1177</v>
      </c>
      <c r="F1067" s="55" t="s">
        <v>673</v>
      </c>
      <c r="G1067" s="55" t="s">
        <v>1704</v>
      </c>
      <c r="H1067" s="77" t="s">
        <v>2101</v>
      </c>
      <c r="I1067" s="77" t="s">
        <v>570</v>
      </c>
      <c r="J1067" s="55"/>
      <c r="K1067" s="56" t="s">
        <v>708</v>
      </c>
      <c r="L1067" s="56" t="str">
        <f t="shared" si="42"/>
        <v>_</v>
      </c>
      <c r="M1067" s="118">
        <f>ROUND(Tableau1[[#This Row],[LEN]]*7.27,0)</f>
        <v>189</v>
      </c>
      <c r="N1067" s="118">
        <v>15</v>
      </c>
      <c r="O1067" s="135" t="str">
        <f t="shared" si="43"/>
        <v>_self</v>
      </c>
      <c r="P1067" s="118">
        <f>LEN(Tableau1[[#This Row],[LABEL]])</f>
        <v>26</v>
      </c>
      <c r="Q1067" s="118">
        <v>15</v>
      </c>
      <c r="R1067" s="118" t="e">
        <f>ROUND(Tableau1[[#This Row],[LEN]]*#REF!+#REF!,0)</f>
        <v>#REF!</v>
      </c>
    </row>
    <row r="1068" spans="1:18" s="97" customFormat="1" hidden="1" x14ac:dyDescent="0.25">
      <c r="A1068" s="53" t="s">
        <v>1823</v>
      </c>
      <c r="B1068" s="54" t="s">
        <v>1815</v>
      </c>
      <c r="C1068" s="431" t="s">
        <v>0</v>
      </c>
      <c r="D1068" s="55" t="s">
        <v>597</v>
      </c>
      <c r="E1068" s="77" t="s">
        <v>1177</v>
      </c>
      <c r="F1068" s="55" t="s">
        <v>673</v>
      </c>
      <c r="G1068" s="55" t="s">
        <v>1704</v>
      </c>
      <c r="H1068" s="77" t="s">
        <v>2101</v>
      </c>
      <c r="I1068" s="77" t="s">
        <v>570</v>
      </c>
      <c r="J1068" s="55"/>
      <c r="K1068" s="56" t="s">
        <v>708</v>
      </c>
      <c r="L1068" s="56" t="str">
        <f t="shared" si="42"/>
        <v>_</v>
      </c>
      <c r="M1068" s="118">
        <f>ROUND(Tableau1[[#This Row],[LEN]]*7.27,0)</f>
        <v>465</v>
      </c>
      <c r="N1068" s="118">
        <v>15</v>
      </c>
      <c r="O1068" s="135" t="str">
        <f t="shared" si="43"/>
        <v>_self</v>
      </c>
      <c r="P1068" s="118">
        <f>LEN(Tableau1[[#This Row],[LABEL]])</f>
        <v>64</v>
      </c>
      <c r="Q1068" s="118">
        <v>15</v>
      </c>
      <c r="R1068" s="118" t="e">
        <f>ROUND(Tableau1[[#This Row],[LEN]]*#REF!+#REF!,0)</f>
        <v>#REF!</v>
      </c>
    </row>
    <row r="1069" spans="1:18" s="97" customFormat="1" hidden="1" x14ac:dyDescent="0.25">
      <c r="A1069" s="49" t="s">
        <v>1816</v>
      </c>
      <c r="B1069" s="50" t="s">
        <v>317</v>
      </c>
      <c r="C1069" s="431" t="s">
        <v>0</v>
      </c>
      <c r="D1069" s="51" t="s">
        <v>1824</v>
      </c>
      <c r="E1069" s="76" t="s">
        <v>1177</v>
      </c>
      <c r="F1069" s="51" t="s">
        <v>677</v>
      </c>
      <c r="G1069" s="51" t="s">
        <v>1842</v>
      </c>
      <c r="H1069" s="76" t="s">
        <v>2101</v>
      </c>
      <c r="I1069" s="76" t="s">
        <v>570</v>
      </c>
      <c r="J1069" s="51"/>
      <c r="K1069" s="52" t="s">
        <v>708</v>
      </c>
      <c r="L1069" s="52" t="str">
        <f t="shared" si="42"/>
        <v>_</v>
      </c>
      <c r="M1069" s="117">
        <f>ROUND(Tableau1[[#This Row],[LEN]]*7.27,0)</f>
        <v>95</v>
      </c>
      <c r="N1069" s="117">
        <v>15</v>
      </c>
      <c r="O1069" s="134" t="str">
        <f t="shared" si="43"/>
        <v>_self</v>
      </c>
      <c r="P1069" s="117">
        <f>LEN(Tableau1[[#This Row],[LABEL]])</f>
        <v>13</v>
      </c>
      <c r="Q1069" s="117">
        <v>15</v>
      </c>
      <c r="R1069" s="117" t="e">
        <f>ROUND(Tableau1[[#This Row],[LEN]]*#REF!+#REF!,0)</f>
        <v>#REF!</v>
      </c>
    </row>
    <row r="1070" spans="1:18" s="97" customFormat="1" hidden="1" x14ac:dyDescent="0.25">
      <c r="A1070" s="49" t="s">
        <v>1817</v>
      </c>
      <c r="B1070" s="50" t="s">
        <v>317</v>
      </c>
      <c r="C1070" s="431" t="s">
        <v>0</v>
      </c>
      <c r="D1070" s="51" t="s">
        <v>598</v>
      </c>
      <c r="E1070" s="76" t="s">
        <v>1177</v>
      </c>
      <c r="F1070" s="51" t="s">
        <v>673</v>
      </c>
      <c r="G1070" s="51" t="s">
        <v>2035</v>
      </c>
      <c r="H1070" s="76" t="s">
        <v>2101</v>
      </c>
      <c r="I1070" s="76" t="s">
        <v>654</v>
      </c>
      <c r="J1070" s="51"/>
      <c r="K1070" s="52" t="s">
        <v>708</v>
      </c>
      <c r="L1070" s="52" t="str">
        <f t="shared" si="42"/>
        <v>_</v>
      </c>
      <c r="M1070" s="117">
        <f>ROUND(Tableau1[[#This Row],[LEN]]*7.27,0)</f>
        <v>553</v>
      </c>
      <c r="N1070" s="117">
        <v>15</v>
      </c>
      <c r="O1070" s="134" t="str">
        <f t="shared" si="43"/>
        <v>_self</v>
      </c>
      <c r="P1070" s="117">
        <f>LEN(Tableau1[[#This Row],[LABEL]])</f>
        <v>76</v>
      </c>
      <c r="Q1070" s="117">
        <v>15</v>
      </c>
      <c r="R1070" s="117" t="e">
        <f>ROUND(Tableau1[[#This Row],[LEN]]*#REF!+#REF!,0)</f>
        <v>#REF!</v>
      </c>
    </row>
    <row r="1071" spans="1:18" s="273" customFormat="1" hidden="1" x14ac:dyDescent="0.25">
      <c r="A1071" s="351" t="s">
        <v>318</v>
      </c>
      <c r="B1071" s="352" t="s">
        <v>209</v>
      </c>
      <c r="C1071" s="431" t="s">
        <v>0</v>
      </c>
      <c r="D1071" s="353" t="s">
        <v>14</v>
      </c>
      <c r="E1071" s="354" t="s">
        <v>1177</v>
      </c>
      <c r="F1071" s="353" t="s">
        <v>678</v>
      </c>
      <c r="G1071" s="353" t="s">
        <v>1177</v>
      </c>
      <c r="H1071" s="354" t="s">
        <v>2101</v>
      </c>
      <c r="I1071" s="354" t="str">
        <f>IFERROR(IF(SEARCH(".00.00.00.00.00",Tableau1[[#This Row],[name]],1)=7,"Division",""),"")</f>
        <v>Division</v>
      </c>
      <c r="J1071" s="353"/>
      <c r="K1071" s="355" t="s">
        <v>724</v>
      </c>
      <c r="L1071" s="355" t="str">
        <f t="shared" si="42"/>
        <v>Documentation</v>
      </c>
      <c r="M1071" s="356">
        <f>ROUND(Tableau1[[#This Row],[LEN]]*7.27,0)</f>
        <v>240</v>
      </c>
      <c r="N1071" s="356">
        <v>15</v>
      </c>
      <c r="O1071" s="357" t="str">
        <f t="shared" si="43"/>
        <v>_blank</v>
      </c>
      <c r="P1071" s="356">
        <f>LEN(Tableau1[[#This Row],[LABEL]])</f>
        <v>33</v>
      </c>
      <c r="Q1071" s="356">
        <v>15</v>
      </c>
      <c r="R1071" s="356" t="e">
        <f>ROUND(Tableau1[[#This Row],[LEN]]*#REF!+#REF!,0)</f>
        <v>#REF!</v>
      </c>
    </row>
    <row r="1072" spans="1:18" s="97" customFormat="1" hidden="1" x14ac:dyDescent="0.25">
      <c r="A1072" s="49" t="s">
        <v>1828</v>
      </c>
      <c r="B1072" s="50" t="s">
        <v>318</v>
      </c>
      <c r="C1072" s="431" t="s">
        <v>0</v>
      </c>
      <c r="D1072" s="51" t="s">
        <v>1848</v>
      </c>
      <c r="E1072" s="76" t="s">
        <v>1177</v>
      </c>
      <c r="F1072" s="51" t="s">
        <v>678</v>
      </c>
      <c r="G1072" s="51" t="s">
        <v>1177</v>
      </c>
      <c r="H1072" s="76" t="s">
        <v>2101</v>
      </c>
      <c r="I1072" s="76" t="s">
        <v>654</v>
      </c>
      <c r="J1072" s="51"/>
      <c r="K1072" s="52" t="s">
        <v>708</v>
      </c>
      <c r="L1072" s="52" t="str">
        <f t="shared" si="42"/>
        <v>_</v>
      </c>
      <c r="M1072" s="117">
        <f>ROUND(Tableau1[[#This Row],[LEN]]*7.27,0)</f>
        <v>364</v>
      </c>
      <c r="N1072" s="117">
        <v>15</v>
      </c>
      <c r="O1072" s="134" t="str">
        <f t="shared" si="43"/>
        <v>_self</v>
      </c>
      <c r="P1072" s="117">
        <f>LEN(Tableau1[[#This Row],[LABEL]])</f>
        <v>50</v>
      </c>
      <c r="Q1072" s="117">
        <v>15</v>
      </c>
      <c r="R1072" s="117" t="e">
        <f>ROUND(Tableau1[[#This Row],[LEN]]*#REF!+#REF!,0)</f>
        <v>#REF!</v>
      </c>
    </row>
    <row r="1073" spans="1:18" s="97" customFormat="1" hidden="1" x14ac:dyDescent="0.25">
      <c r="A1073" s="49" t="s">
        <v>1829</v>
      </c>
      <c r="B1073" s="50" t="s">
        <v>318</v>
      </c>
      <c r="C1073" s="431" t="s">
        <v>0</v>
      </c>
      <c r="D1073" s="51" t="s">
        <v>1849</v>
      </c>
      <c r="E1073" s="76" t="s">
        <v>1177</v>
      </c>
      <c r="F1073" s="51" t="s">
        <v>678</v>
      </c>
      <c r="G1073" s="51" t="s">
        <v>1177</v>
      </c>
      <c r="H1073" s="76" t="s">
        <v>2101</v>
      </c>
      <c r="I1073" s="76" t="s">
        <v>654</v>
      </c>
      <c r="J1073" s="51"/>
      <c r="K1073" s="52" t="s">
        <v>708</v>
      </c>
      <c r="L1073" s="52" t="str">
        <f t="shared" si="42"/>
        <v>_</v>
      </c>
      <c r="M1073" s="117">
        <f>ROUND(Tableau1[[#This Row],[LEN]]*7.27,0)</f>
        <v>269</v>
      </c>
      <c r="N1073" s="117">
        <v>15</v>
      </c>
      <c r="O1073" s="134" t="str">
        <f t="shared" si="43"/>
        <v>_self</v>
      </c>
      <c r="P1073" s="117">
        <f>LEN(Tableau1[[#This Row],[LABEL]])</f>
        <v>37</v>
      </c>
      <c r="Q1073" s="117">
        <v>15</v>
      </c>
      <c r="R1073" s="117" t="e">
        <f>ROUND(Tableau1[[#This Row],[LEN]]*#REF!+#REF!,0)</f>
        <v>#REF!</v>
      </c>
    </row>
    <row r="1074" spans="1:18" s="97" customFormat="1" hidden="1" x14ac:dyDescent="0.25">
      <c r="A1074" s="49" t="s">
        <v>1830</v>
      </c>
      <c r="B1074" s="50" t="s">
        <v>318</v>
      </c>
      <c r="C1074" s="431" t="s">
        <v>0</v>
      </c>
      <c r="D1074" s="51" t="s">
        <v>1850</v>
      </c>
      <c r="E1074" s="76" t="s">
        <v>1177</v>
      </c>
      <c r="F1074" s="51" t="s">
        <v>678</v>
      </c>
      <c r="G1074" s="51" t="s">
        <v>1177</v>
      </c>
      <c r="H1074" s="76" t="s">
        <v>2101</v>
      </c>
      <c r="I1074" s="76" t="s">
        <v>654</v>
      </c>
      <c r="J1074" s="51"/>
      <c r="K1074" s="52" t="s">
        <v>708</v>
      </c>
      <c r="L1074" s="52" t="str">
        <f t="shared" si="42"/>
        <v>_</v>
      </c>
      <c r="M1074" s="117">
        <f>ROUND(Tableau1[[#This Row],[LEN]]*7.27,0)</f>
        <v>305</v>
      </c>
      <c r="N1074" s="117">
        <v>15</v>
      </c>
      <c r="O1074" s="134" t="str">
        <f t="shared" si="43"/>
        <v>_self</v>
      </c>
      <c r="P1074" s="117">
        <f>LEN(Tableau1[[#This Row],[LABEL]])</f>
        <v>42</v>
      </c>
      <c r="Q1074" s="117">
        <v>15</v>
      </c>
      <c r="R1074" s="117" t="e">
        <f>ROUND(Tableau1[[#This Row],[LEN]]*#REF!+#REF!,0)</f>
        <v>#REF!</v>
      </c>
    </row>
    <row r="1075" spans="1:18" s="97" customFormat="1" hidden="1" x14ac:dyDescent="0.25">
      <c r="A1075" s="49" t="s">
        <v>1831</v>
      </c>
      <c r="B1075" s="50" t="s">
        <v>318</v>
      </c>
      <c r="C1075" s="431" t="s">
        <v>0</v>
      </c>
      <c r="D1075" s="51" t="s">
        <v>128</v>
      </c>
      <c r="E1075" s="76" t="s">
        <v>1177</v>
      </c>
      <c r="F1075" s="51" t="s">
        <v>669</v>
      </c>
      <c r="G1075" s="51" t="s">
        <v>2029</v>
      </c>
      <c r="H1075" s="76" t="s">
        <v>2101</v>
      </c>
      <c r="I1075" s="76" t="s">
        <v>570</v>
      </c>
      <c r="J1075" s="51"/>
      <c r="K1075" s="52" t="s">
        <v>708</v>
      </c>
      <c r="L1075" s="52" t="str">
        <f t="shared" si="42"/>
        <v>_</v>
      </c>
      <c r="M1075" s="117">
        <f>ROUND(Tableau1[[#This Row],[LEN]]*7.27,0)</f>
        <v>182</v>
      </c>
      <c r="N1075" s="117">
        <v>15</v>
      </c>
      <c r="O1075" s="134" t="str">
        <f t="shared" si="43"/>
        <v>_self</v>
      </c>
      <c r="P1075" s="117">
        <f>LEN(Tableau1[[#This Row],[LABEL]])</f>
        <v>25</v>
      </c>
      <c r="Q1075" s="117">
        <v>15</v>
      </c>
      <c r="R1075" s="117" t="e">
        <f>ROUND(Tableau1[[#This Row],[LEN]]*#REF!+#REF!,0)</f>
        <v>#REF!</v>
      </c>
    </row>
    <row r="1076" spans="1:18" s="97" customFormat="1" hidden="1" x14ac:dyDescent="0.25">
      <c r="A1076" s="49" t="s">
        <v>1832</v>
      </c>
      <c r="B1076" s="50" t="s">
        <v>318</v>
      </c>
      <c r="C1076" s="431" t="s">
        <v>0</v>
      </c>
      <c r="D1076" s="51" t="s">
        <v>129</v>
      </c>
      <c r="E1076" s="76" t="s">
        <v>1177</v>
      </c>
      <c r="F1076" s="51" t="s">
        <v>673</v>
      </c>
      <c r="G1076" s="51" t="s">
        <v>2035</v>
      </c>
      <c r="H1076" s="76" t="s">
        <v>2101</v>
      </c>
      <c r="I1076" s="76" t="s">
        <v>655</v>
      </c>
      <c r="J1076" s="51"/>
      <c r="K1076" s="52" t="s">
        <v>708</v>
      </c>
      <c r="L1076" s="52" t="str">
        <f t="shared" si="42"/>
        <v>_</v>
      </c>
      <c r="M1076" s="117">
        <f>ROUND(Tableau1[[#This Row],[LEN]]*7.27,0)</f>
        <v>87</v>
      </c>
      <c r="N1076" s="117">
        <v>15</v>
      </c>
      <c r="O1076" s="134" t="str">
        <f t="shared" si="43"/>
        <v>_self</v>
      </c>
      <c r="P1076" s="117">
        <f>LEN(Tableau1[[#This Row],[LABEL]])</f>
        <v>12</v>
      </c>
      <c r="Q1076" s="117">
        <v>15</v>
      </c>
      <c r="R1076" s="117" t="e">
        <f>ROUND(Tableau1[[#This Row],[LEN]]*#REF!+#REF!,0)</f>
        <v>#REF!</v>
      </c>
    </row>
    <row r="1077" spans="1:18" s="97" customFormat="1" hidden="1" x14ac:dyDescent="0.25">
      <c r="A1077" s="53" t="s">
        <v>1851</v>
      </c>
      <c r="B1077" s="54" t="s">
        <v>1832</v>
      </c>
      <c r="C1077" s="431" t="s">
        <v>0</v>
      </c>
      <c r="D1077" s="55" t="s">
        <v>131</v>
      </c>
      <c r="E1077" s="77" t="s">
        <v>1177</v>
      </c>
      <c r="F1077" s="55" t="s">
        <v>673</v>
      </c>
      <c r="G1077" s="55" t="s">
        <v>2035</v>
      </c>
      <c r="H1077" s="77" t="s">
        <v>2101</v>
      </c>
      <c r="I1077" s="77" t="s">
        <v>570</v>
      </c>
      <c r="J1077" s="55"/>
      <c r="K1077" s="56" t="s">
        <v>708</v>
      </c>
      <c r="L1077" s="56" t="str">
        <f t="shared" si="42"/>
        <v>_</v>
      </c>
      <c r="M1077" s="118">
        <f>ROUND(Tableau1[[#This Row],[LEN]]*7.27,0)</f>
        <v>262</v>
      </c>
      <c r="N1077" s="118">
        <v>15</v>
      </c>
      <c r="O1077" s="135" t="str">
        <f t="shared" si="43"/>
        <v>_self</v>
      </c>
      <c r="P1077" s="118">
        <f>LEN(Tableau1[[#This Row],[LABEL]])</f>
        <v>36</v>
      </c>
      <c r="Q1077" s="118">
        <v>15</v>
      </c>
      <c r="R1077" s="118" t="e">
        <f>ROUND(Tableau1[[#This Row],[LEN]]*#REF!+#REF!,0)</f>
        <v>#REF!</v>
      </c>
    </row>
    <row r="1078" spans="1:18" s="97" customFormat="1" hidden="1" x14ac:dyDescent="0.25">
      <c r="A1078" s="53" t="s">
        <v>1852</v>
      </c>
      <c r="B1078" s="54" t="s">
        <v>1832</v>
      </c>
      <c r="C1078" s="431" t="s">
        <v>0</v>
      </c>
      <c r="D1078" s="55" t="s">
        <v>132</v>
      </c>
      <c r="E1078" s="77" t="s">
        <v>1177</v>
      </c>
      <c r="F1078" s="55" t="s">
        <v>673</v>
      </c>
      <c r="G1078" s="55" t="s">
        <v>2035</v>
      </c>
      <c r="H1078" s="77" t="s">
        <v>2101</v>
      </c>
      <c r="I1078" s="77" t="s">
        <v>570</v>
      </c>
      <c r="J1078" s="55"/>
      <c r="K1078" s="56" t="s">
        <v>708</v>
      </c>
      <c r="L1078" s="56" t="str">
        <f t="shared" si="42"/>
        <v>_</v>
      </c>
      <c r="M1078" s="118">
        <f>ROUND(Tableau1[[#This Row],[LEN]]*7.27,0)</f>
        <v>298</v>
      </c>
      <c r="N1078" s="118">
        <v>15</v>
      </c>
      <c r="O1078" s="135" t="str">
        <f t="shared" si="43"/>
        <v>_self</v>
      </c>
      <c r="P1078" s="118">
        <f>LEN(Tableau1[[#This Row],[LABEL]])</f>
        <v>41</v>
      </c>
      <c r="Q1078" s="118">
        <v>15</v>
      </c>
      <c r="R1078" s="118" t="e">
        <f>ROUND(Tableau1[[#This Row],[LEN]]*#REF!+#REF!,0)</f>
        <v>#REF!</v>
      </c>
    </row>
    <row r="1079" spans="1:18" s="97" customFormat="1" hidden="1" x14ac:dyDescent="0.25">
      <c r="A1079" s="49" t="s">
        <v>1833</v>
      </c>
      <c r="B1079" s="50" t="s">
        <v>318</v>
      </c>
      <c r="C1079" s="431" t="s">
        <v>0</v>
      </c>
      <c r="D1079" s="51" t="s">
        <v>1825</v>
      </c>
      <c r="E1079" s="76" t="s">
        <v>1177</v>
      </c>
      <c r="F1079" s="51" t="s">
        <v>677</v>
      </c>
      <c r="G1079" s="51" t="s">
        <v>1847</v>
      </c>
      <c r="H1079" s="76" t="s">
        <v>2101</v>
      </c>
      <c r="I1079" s="76" t="s">
        <v>656</v>
      </c>
      <c r="J1079" s="51"/>
      <c r="K1079" s="52" t="s">
        <v>708</v>
      </c>
      <c r="L1079" s="52" t="str">
        <f t="shared" si="42"/>
        <v>_</v>
      </c>
      <c r="M1079" s="117">
        <f>ROUND(Tableau1[[#This Row],[LEN]]*7.27,0)</f>
        <v>320</v>
      </c>
      <c r="N1079" s="117">
        <v>15</v>
      </c>
      <c r="O1079" s="134" t="str">
        <f t="shared" si="43"/>
        <v>_self</v>
      </c>
      <c r="P1079" s="117">
        <f>LEN(Tableau1[[#This Row],[LABEL]])</f>
        <v>44</v>
      </c>
      <c r="Q1079" s="117">
        <v>15</v>
      </c>
      <c r="R1079" s="117" t="e">
        <f>ROUND(Tableau1[[#This Row],[LEN]]*#REF!+#REF!,0)</f>
        <v>#REF!</v>
      </c>
    </row>
    <row r="1080" spans="1:18" s="97" customFormat="1" hidden="1" x14ac:dyDescent="0.25">
      <c r="A1080" s="49" t="s">
        <v>1834</v>
      </c>
      <c r="B1080" s="50" t="s">
        <v>318</v>
      </c>
      <c r="C1080" s="431" t="s">
        <v>0</v>
      </c>
      <c r="D1080" s="51" t="s">
        <v>1853</v>
      </c>
      <c r="E1080" s="76" t="s">
        <v>1177</v>
      </c>
      <c r="F1080" s="51" t="s">
        <v>678</v>
      </c>
      <c r="G1080" s="51" t="s">
        <v>1177</v>
      </c>
      <c r="H1080" s="76" t="s">
        <v>2101</v>
      </c>
      <c r="I1080" s="76" t="s">
        <v>656</v>
      </c>
      <c r="J1080" s="51"/>
      <c r="K1080" s="52" t="s">
        <v>708</v>
      </c>
      <c r="L1080" s="52" t="str">
        <f t="shared" si="42"/>
        <v>_</v>
      </c>
      <c r="M1080" s="117">
        <f>ROUND(Tableau1[[#This Row],[LEN]]*7.27,0)</f>
        <v>400</v>
      </c>
      <c r="N1080" s="117">
        <v>15</v>
      </c>
      <c r="O1080" s="134" t="str">
        <f t="shared" si="43"/>
        <v>_self</v>
      </c>
      <c r="P1080" s="117">
        <f>LEN(Tableau1[[#This Row],[LABEL]])</f>
        <v>55</v>
      </c>
      <c r="Q1080" s="117">
        <v>15</v>
      </c>
      <c r="R1080" s="117" t="e">
        <f>ROUND(Tableau1[[#This Row],[LEN]]*#REF!+#REF!,0)</f>
        <v>#REF!</v>
      </c>
    </row>
    <row r="1081" spans="1:18" s="97" customFormat="1" hidden="1" x14ac:dyDescent="0.25">
      <c r="A1081" s="49" t="s">
        <v>1835</v>
      </c>
      <c r="B1081" s="50" t="s">
        <v>318</v>
      </c>
      <c r="C1081" s="431" t="s">
        <v>0</v>
      </c>
      <c r="D1081" s="51" t="s">
        <v>1854</v>
      </c>
      <c r="E1081" s="76" t="s">
        <v>1177</v>
      </c>
      <c r="F1081" s="51" t="s">
        <v>678</v>
      </c>
      <c r="G1081" s="51" t="s">
        <v>1177</v>
      </c>
      <c r="H1081" s="76" t="s">
        <v>2101</v>
      </c>
      <c r="I1081" s="76" t="s">
        <v>654</v>
      </c>
      <c r="J1081" s="51"/>
      <c r="K1081" s="52" t="s">
        <v>708</v>
      </c>
      <c r="L1081" s="52" t="str">
        <f t="shared" si="42"/>
        <v>_</v>
      </c>
      <c r="M1081" s="117">
        <f>ROUND(Tableau1[[#This Row],[LEN]]*7.27,0)</f>
        <v>225</v>
      </c>
      <c r="N1081" s="117">
        <v>15</v>
      </c>
      <c r="O1081" s="134" t="str">
        <f t="shared" si="43"/>
        <v>_self</v>
      </c>
      <c r="P1081" s="117">
        <f>LEN(Tableau1[[#This Row],[LABEL]])</f>
        <v>31</v>
      </c>
      <c r="Q1081" s="117">
        <v>15</v>
      </c>
      <c r="R1081" s="117" t="e">
        <f>ROUND(Tableau1[[#This Row],[LEN]]*#REF!+#REF!,0)</f>
        <v>#REF!</v>
      </c>
    </row>
    <row r="1082" spans="1:18" s="97" customFormat="1" hidden="1" x14ac:dyDescent="0.25">
      <c r="A1082" s="49" t="s">
        <v>1836</v>
      </c>
      <c r="B1082" s="50" t="s">
        <v>318</v>
      </c>
      <c r="C1082" s="431" t="s">
        <v>0</v>
      </c>
      <c r="D1082" s="51" t="s">
        <v>1855</v>
      </c>
      <c r="E1082" s="76" t="s">
        <v>1177</v>
      </c>
      <c r="F1082" s="51" t="s">
        <v>678</v>
      </c>
      <c r="G1082" s="51" t="s">
        <v>1177</v>
      </c>
      <c r="H1082" s="76" t="s">
        <v>2101</v>
      </c>
      <c r="I1082" s="76" t="s">
        <v>654</v>
      </c>
      <c r="J1082" s="51"/>
      <c r="K1082" s="52" t="s">
        <v>708</v>
      </c>
      <c r="L1082" s="52" t="str">
        <f t="shared" si="42"/>
        <v>_</v>
      </c>
      <c r="M1082" s="117">
        <f>ROUND(Tableau1[[#This Row],[LEN]]*7.27,0)</f>
        <v>320</v>
      </c>
      <c r="N1082" s="117">
        <v>15</v>
      </c>
      <c r="O1082" s="134" t="str">
        <f t="shared" si="43"/>
        <v>_self</v>
      </c>
      <c r="P1082" s="117">
        <f>LEN(Tableau1[[#This Row],[LABEL]])</f>
        <v>44</v>
      </c>
      <c r="Q1082" s="117">
        <v>15</v>
      </c>
      <c r="R1082" s="117" t="e">
        <f>ROUND(Tableau1[[#This Row],[LEN]]*#REF!+#REF!,0)</f>
        <v>#REF!</v>
      </c>
    </row>
    <row r="1083" spans="1:18" s="97" customFormat="1" hidden="1" x14ac:dyDescent="0.25">
      <c r="A1083" s="49" t="s">
        <v>1837</v>
      </c>
      <c r="B1083" s="50" t="s">
        <v>318</v>
      </c>
      <c r="C1083" s="431" t="s">
        <v>0</v>
      </c>
      <c r="D1083" s="51" t="s">
        <v>901</v>
      </c>
      <c r="E1083" s="76" t="s">
        <v>1177</v>
      </c>
      <c r="F1083" s="51" t="s">
        <v>678</v>
      </c>
      <c r="G1083" s="51" t="s">
        <v>1177</v>
      </c>
      <c r="H1083" s="76" t="s">
        <v>2101</v>
      </c>
      <c r="I1083" s="76" t="s">
        <v>654</v>
      </c>
      <c r="J1083" s="51"/>
      <c r="K1083" s="52" t="s">
        <v>708</v>
      </c>
      <c r="L1083" s="52" t="str">
        <f t="shared" si="42"/>
        <v>_</v>
      </c>
      <c r="M1083" s="117">
        <f>ROUND(Tableau1[[#This Row],[LEN]]*7.27,0)</f>
        <v>116</v>
      </c>
      <c r="N1083" s="117">
        <v>15</v>
      </c>
      <c r="O1083" s="134" t="str">
        <f t="shared" si="43"/>
        <v>_self</v>
      </c>
      <c r="P1083" s="117">
        <f>LEN(Tableau1[[#This Row],[LABEL]])</f>
        <v>16</v>
      </c>
      <c r="Q1083" s="117">
        <v>15</v>
      </c>
      <c r="R1083" s="117" t="e">
        <f>ROUND(Tableau1[[#This Row],[LEN]]*#REF!+#REF!,0)</f>
        <v>#REF!</v>
      </c>
    </row>
    <row r="1084" spans="1:18" s="97" customFormat="1" hidden="1" x14ac:dyDescent="0.25">
      <c r="A1084" s="49" t="s">
        <v>1838</v>
      </c>
      <c r="B1084" s="50" t="s">
        <v>318</v>
      </c>
      <c r="C1084" s="431" t="s">
        <v>0</v>
      </c>
      <c r="D1084" s="51" t="s">
        <v>1856</v>
      </c>
      <c r="E1084" s="76" t="s">
        <v>1177</v>
      </c>
      <c r="F1084" s="51" t="s">
        <v>678</v>
      </c>
      <c r="G1084" s="51" t="s">
        <v>1177</v>
      </c>
      <c r="H1084" s="76" t="s">
        <v>2101</v>
      </c>
      <c r="I1084" s="76" t="s">
        <v>654</v>
      </c>
      <c r="J1084" s="51"/>
      <c r="K1084" s="52" t="s">
        <v>708</v>
      </c>
      <c r="L1084" s="52" t="str">
        <f t="shared" si="42"/>
        <v>_</v>
      </c>
      <c r="M1084" s="117">
        <f>ROUND(Tableau1[[#This Row],[LEN]]*7.27,0)</f>
        <v>131</v>
      </c>
      <c r="N1084" s="117">
        <v>15</v>
      </c>
      <c r="O1084" s="134" t="str">
        <f t="shared" si="43"/>
        <v>_self</v>
      </c>
      <c r="P1084" s="117">
        <f>LEN(Tableau1[[#This Row],[LABEL]])</f>
        <v>18</v>
      </c>
      <c r="Q1084" s="117">
        <v>15</v>
      </c>
      <c r="R1084" s="117" t="e">
        <f>ROUND(Tableau1[[#This Row],[LEN]]*#REF!+#REF!,0)</f>
        <v>#REF!</v>
      </c>
    </row>
    <row r="1085" spans="1:18" s="97" customFormat="1" hidden="1" x14ac:dyDescent="0.25">
      <c r="A1085" s="49" t="s">
        <v>1839</v>
      </c>
      <c r="B1085" s="50" t="s">
        <v>318</v>
      </c>
      <c r="C1085" s="431" t="s">
        <v>0</v>
      </c>
      <c r="D1085" s="51" t="s">
        <v>549</v>
      </c>
      <c r="E1085" s="76" t="s">
        <v>1177</v>
      </c>
      <c r="F1085" s="51" t="s">
        <v>673</v>
      </c>
      <c r="G1085" s="51" t="s">
        <v>1704</v>
      </c>
      <c r="H1085" s="76" t="s">
        <v>2101</v>
      </c>
      <c r="I1085" s="76" t="s">
        <v>655</v>
      </c>
      <c r="J1085" s="51"/>
      <c r="K1085" s="52" t="s">
        <v>708</v>
      </c>
      <c r="L1085" s="52" t="str">
        <f t="shared" si="42"/>
        <v>_</v>
      </c>
      <c r="M1085" s="117">
        <f>ROUND(Tableau1[[#This Row],[LEN]]*7.27,0)</f>
        <v>145</v>
      </c>
      <c r="N1085" s="117">
        <v>15</v>
      </c>
      <c r="O1085" s="134" t="str">
        <f t="shared" si="43"/>
        <v>_self</v>
      </c>
      <c r="P1085" s="117">
        <f>LEN(Tableau1[[#This Row],[LABEL]])</f>
        <v>20</v>
      </c>
      <c r="Q1085" s="117">
        <v>15</v>
      </c>
      <c r="R1085" s="117" t="e">
        <f>ROUND(Tableau1[[#This Row],[LEN]]*#REF!+#REF!,0)</f>
        <v>#REF!</v>
      </c>
    </row>
    <row r="1086" spans="1:18" s="97" customFormat="1" hidden="1" x14ac:dyDescent="0.25">
      <c r="A1086" s="53" t="s">
        <v>1843</v>
      </c>
      <c r="B1086" s="54" t="s">
        <v>1839</v>
      </c>
      <c r="C1086" s="431" t="s">
        <v>0</v>
      </c>
      <c r="D1086" s="55" t="s">
        <v>590</v>
      </c>
      <c r="E1086" s="77" t="s">
        <v>1177</v>
      </c>
      <c r="F1086" s="55" t="s">
        <v>673</v>
      </c>
      <c r="G1086" s="55" t="s">
        <v>1704</v>
      </c>
      <c r="H1086" s="77" t="s">
        <v>2101</v>
      </c>
      <c r="I1086" s="77" t="s">
        <v>570</v>
      </c>
      <c r="J1086" s="55"/>
      <c r="K1086" s="56" t="s">
        <v>708</v>
      </c>
      <c r="L1086" s="56" t="str">
        <f t="shared" si="42"/>
        <v>_</v>
      </c>
      <c r="M1086" s="118">
        <f>ROUND(Tableau1[[#This Row],[LEN]]*7.27,0)</f>
        <v>102</v>
      </c>
      <c r="N1086" s="118">
        <v>15</v>
      </c>
      <c r="O1086" s="135" t="str">
        <f t="shared" si="43"/>
        <v>_self</v>
      </c>
      <c r="P1086" s="118">
        <f>LEN(Tableau1[[#This Row],[LABEL]])</f>
        <v>14</v>
      </c>
      <c r="Q1086" s="118">
        <v>15</v>
      </c>
      <c r="R1086" s="118" t="e">
        <f>ROUND(Tableau1[[#This Row],[LEN]]*#REF!+#REF!,0)</f>
        <v>#REF!</v>
      </c>
    </row>
    <row r="1087" spans="1:18" s="97" customFormat="1" hidden="1" x14ac:dyDescent="0.25">
      <c r="A1087" s="53" t="s">
        <v>1844</v>
      </c>
      <c r="B1087" s="54" t="s">
        <v>1839</v>
      </c>
      <c r="C1087" s="431" t="s">
        <v>0</v>
      </c>
      <c r="D1087" s="55" t="s">
        <v>591</v>
      </c>
      <c r="E1087" s="77" t="s">
        <v>1177</v>
      </c>
      <c r="F1087" s="55" t="s">
        <v>673</v>
      </c>
      <c r="G1087" s="55" t="s">
        <v>1704</v>
      </c>
      <c r="H1087" s="77" t="s">
        <v>2101</v>
      </c>
      <c r="I1087" s="77" t="s">
        <v>570</v>
      </c>
      <c r="J1087" s="55"/>
      <c r="K1087" s="56" t="s">
        <v>708</v>
      </c>
      <c r="L1087" s="56" t="str">
        <f t="shared" si="42"/>
        <v>_</v>
      </c>
      <c r="M1087" s="118">
        <f>ROUND(Tableau1[[#This Row],[LEN]]*7.27,0)</f>
        <v>262</v>
      </c>
      <c r="N1087" s="118">
        <v>15</v>
      </c>
      <c r="O1087" s="135" t="str">
        <f t="shared" si="43"/>
        <v>_self</v>
      </c>
      <c r="P1087" s="118">
        <f>LEN(Tableau1[[#This Row],[LABEL]])</f>
        <v>36</v>
      </c>
      <c r="Q1087" s="118">
        <v>15</v>
      </c>
      <c r="R1087" s="118" t="e">
        <f>ROUND(Tableau1[[#This Row],[LEN]]*#REF!+#REF!,0)</f>
        <v>#REF!</v>
      </c>
    </row>
    <row r="1088" spans="1:18" s="97" customFormat="1" hidden="1" x14ac:dyDescent="0.25">
      <c r="A1088" s="53" t="s">
        <v>1845</v>
      </c>
      <c r="B1088" s="54" t="s">
        <v>1839</v>
      </c>
      <c r="C1088" s="431" t="s">
        <v>0</v>
      </c>
      <c r="D1088" s="55" t="s">
        <v>592</v>
      </c>
      <c r="E1088" s="77" t="s">
        <v>1177</v>
      </c>
      <c r="F1088" s="55" t="s">
        <v>673</v>
      </c>
      <c r="G1088" s="55" t="s">
        <v>1704</v>
      </c>
      <c r="H1088" s="77" t="s">
        <v>2101</v>
      </c>
      <c r="I1088" s="77" t="s">
        <v>570</v>
      </c>
      <c r="J1088" s="55"/>
      <c r="K1088" s="56" t="s">
        <v>708</v>
      </c>
      <c r="L1088" s="56" t="str">
        <f t="shared" si="42"/>
        <v>_</v>
      </c>
      <c r="M1088" s="118">
        <f>ROUND(Tableau1[[#This Row],[LEN]]*7.27,0)</f>
        <v>189</v>
      </c>
      <c r="N1088" s="118">
        <v>15</v>
      </c>
      <c r="O1088" s="135" t="str">
        <f t="shared" si="43"/>
        <v>_self</v>
      </c>
      <c r="P1088" s="118">
        <f>LEN(Tableau1[[#This Row],[LABEL]])</f>
        <v>26</v>
      </c>
      <c r="Q1088" s="118">
        <v>15</v>
      </c>
      <c r="R1088" s="118" t="e">
        <f>ROUND(Tableau1[[#This Row],[LEN]]*#REF!+#REF!,0)</f>
        <v>#REF!</v>
      </c>
    </row>
    <row r="1089" spans="1:18" s="97" customFormat="1" hidden="1" x14ac:dyDescent="0.25">
      <c r="A1089" s="53" t="s">
        <v>1846</v>
      </c>
      <c r="B1089" s="54" t="s">
        <v>1839</v>
      </c>
      <c r="C1089" s="431" t="s">
        <v>0</v>
      </c>
      <c r="D1089" s="55" t="s">
        <v>597</v>
      </c>
      <c r="E1089" s="77" t="s">
        <v>1177</v>
      </c>
      <c r="F1089" s="55" t="s">
        <v>673</v>
      </c>
      <c r="G1089" s="55" t="s">
        <v>1704</v>
      </c>
      <c r="H1089" s="77" t="s">
        <v>2101</v>
      </c>
      <c r="I1089" s="77" t="s">
        <v>570</v>
      </c>
      <c r="J1089" s="55"/>
      <c r="K1089" s="56" t="s">
        <v>708</v>
      </c>
      <c r="L1089" s="56" t="str">
        <f t="shared" si="42"/>
        <v>_</v>
      </c>
      <c r="M1089" s="118">
        <f>ROUND(Tableau1[[#This Row],[LEN]]*7.27,0)</f>
        <v>465</v>
      </c>
      <c r="N1089" s="118">
        <v>15</v>
      </c>
      <c r="O1089" s="135" t="str">
        <f t="shared" si="43"/>
        <v>_self</v>
      </c>
      <c r="P1089" s="118">
        <f>LEN(Tableau1[[#This Row],[LABEL]])</f>
        <v>64</v>
      </c>
      <c r="Q1089" s="118">
        <v>15</v>
      </c>
      <c r="R1089" s="118" t="e">
        <f>ROUND(Tableau1[[#This Row],[LEN]]*#REF!+#REF!,0)</f>
        <v>#REF!</v>
      </c>
    </row>
    <row r="1090" spans="1:18" s="97" customFormat="1" hidden="1" x14ac:dyDescent="0.25">
      <c r="A1090" s="49" t="s">
        <v>1840</v>
      </c>
      <c r="B1090" s="50" t="s">
        <v>318</v>
      </c>
      <c r="C1090" s="431" t="s">
        <v>0</v>
      </c>
      <c r="D1090" s="51" t="s">
        <v>1824</v>
      </c>
      <c r="E1090" s="76" t="s">
        <v>1177</v>
      </c>
      <c r="F1090" s="51" t="s">
        <v>677</v>
      </c>
      <c r="G1090" s="51" t="s">
        <v>1842</v>
      </c>
      <c r="H1090" s="76" t="s">
        <v>2101</v>
      </c>
      <c r="I1090" s="76" t="s">
        <v>570</v>
      </c>
      <c r="J1090" s="51"/>
      <c r="K1090" s="52" t="s">
        <v>708</v>
      </c>
      <c r="L1090" s="52" t="str">
        <f t="shared" si="42"/>
        <v>_</v>
      </c>
      <c r="M1090" s="117">
        <f>ROUND(Tableau1[[#This Row],[LEN]]*7.27,0)</f>
        <v>95</v>
      </c>
      <c r="N1090" s="117">
        <v>15</v>
      </c>
      <c r="O1090" s="134" t="str">
        <f t="shared" si="43"/>
        <v>_self</v>
      </c>
      <c r="P1090" s="117">
        <f>LEN(Tableau1[[#This Row],[LABEL]])</f>
        <v>13</v>
      </c>
      <c r="Q1090" s="117">
        <v>15</v>
      </c>
      <c r="R1090" s="117" t="e">
        <f>ROUND(Tableau1[[#This Row],[LEN]]*#REF!+#REF!,0)</f>
        <v>#REF!</v>
      </c>
    </row>
    <row r="1091" spans="1:18" s="97" customFormat="1" hidden="1" x14ac:dyDescent="0.25">
      <c r="A1091" s="49" t="s">
        <v>1841</v>
      </c>
      <c r="B1091" s="50" t="s">
        <v>318</v>
      </c>
      <c r="C1091" s="431" t="s">
        <v>0</v>
      </c>
      <c r="D1091" s="51" t="s">
        <v>598</v>
      </c>
      <c r="E1091" s="76" t="s">
        <v>1177</v>
      </c>
      <c r="F1091" s="51" t="s">
        <v>673</v>
      </c>
      <c r="G1091" s="51" t="s">
        <v>2035</v>
      </c>
      <c r="H1091" s="76" t="s">
        <v>2101</v>
      </c>
      <c r="I1091" s="76" t="s">
        <v>654</v>
      </c>
      <c r="J1091" s="51"/>
      <c r="K1091" s="52" t="s">
        <v>708</v>
      </c>
      <c r="L1091" s="52" t="str">
        <f t="shared" si="42"/>
        <v>_</v>
      </c>
      <c r="M1091" s="117">
        <f>ROUND(Tableau1[[#This Row],[LEN]]*7.27,0)</f>
        <v>553</v>
      </c>
      <c r="N1091" s="117">
        <v>15</v>
      </c>
      <c r="O1091" s="134" t="str">
        <f t="shared" si="43"/>
        <v>_self</v>
      </c>
      <c r="P1091" s="117">
        <f>LEN(Tableau1[[#This Row],[LABEL]])</f>
        <v>76</v>
      </c>
      <c r="Q1091" s="117">
        <v>15</v>
      </c>
      <c r="R1091" s="117" t="e">
        <f>ROUND(Tableau1[[#This Row],[LEN]]*#REF!+#REF!,0)</f>
        <v>#REF!</v>
      </c>
    </row>
    <row r="1092" spans="1:18" s="273" customFormat="1" hidden="1" x14ac:dyDescent="0.25">
      <c r="A1092" s="358" t="s">
        <v>319</v>
      </c>
      <c r="B1092" s="359" t="s">
        <v>209</v>
      </c>
      <c r="C1092" s="431" t="s">
        <v>0</v>
      </c>
      <c r="D1092" s="360" t="s">
        <v>15</v>
      </c>
      <c r="E1092" s="361" t="s">
        <v>1177</v>
      </c>
      <c r="F1092" s="360" t="s">
        <v>679</v>
      </c>
      <c r="G1092" s="360" t="s">
        <v>1177</v>
      </c>
      <c r="H1092" s="361" t="s">
        <v>2101</v>
      </c>
      <c r="I1092" s="361" t="str">
        <f>IFERROR(IF(SEARCH(".00.00.00.00.00",Tableau1[[#This Row],[name]],1)=7,"Division",""),"")</f>
        <v>Division</v>
      </c>
      <c r="J1092" s="360"/>
      <c r="K1092" s="362" t="s">
        <v>708</v>
      </c>
      <c r="L1092" s="362" t="str">
        <f t="shared" si="42"/>
        <v>_</v>
      </c>
      <c r="M1092" s="363">
        <f>ROUND(Tableau1[[#This Row],[LEN]]*7.27,0)</f>
        <v>174</v>
      </c>
      <c r="N1092" s="363">
        <v>15</v>
      </c>
      <c r="O1092" s="364" t="str">
        <f t="shared" si="43"/>
        <v>_self</v>
      </c>
      <c r="P1092" s="363">
        <f>LEN(Tableau1[[#This Row],[LABEL]])</f>
        <v>24</v>
      </c>
      <c r="Q1092" s="363">
        <v>15</v>
      </c>
      <c r="R1092" s="363" t="e">
        <f>ROUND(Tableau1[[#This Row],[LEN]]*#REF!+#REF!,0)</f>
        <v>#REF!</v>
      </c>
    </row>
    <row r="1093" spans="1:18" s="97" customFormat="1" hidden="1" x14ac:dyDescent="0.25">
      <c r="A1093" s="49" t="s">
        <v>1857</v>
      </c>
      <c r="B1093" s="50" t="s">
        <v>319</v>
      </c>
      <c r="C1093" s="431" t="s">
        <v>0</v>
      </c>
      <c r="D1093" s="51" t="s">
        <v>1862</v>
      </c>
      <c r="E1093" s="76" t="s">
        <v>1863</v>
      </c>
      <c r="F1093" s="51" t="s">
        <v>679</v>
      </c>
      <c r="G1093" s="51" t="s">
        <v>1177</v>
      </c>
      <c r="H1093" s="76" t="s">
        <v>2101</v>
      </c>
      <c r="I1093" s="76" t="s">
        <v>654</v>
      </c>
      <c r="J1093" s="51"/>
      <c r="K1093" s="52" t="s">
        <v>708</v>
      </c>
      <c r="L1093" s="52" t="str">
        <f t="shared" si="42"/>
        <v>_</v>
      </c>
      <c r="M1093" s="117">
        <f>ROUND(Tableau1[[#This Row],[LEN]]*7.27,0)</f>
        <v>124</v>
      </c>
      <c r="N1093" s="117">
        <v>15</v>
      </c>
      <c r="O1093" s="134" t="str">
        <f t="shared" si="43"/>
        <v>_self</v>
      </c>
      <c r="P1093" s="117">
        <f>LEN(Tableau1[[#This Row],[LABEL]])</f>
        <v>17</v>
      </c>
      <c r="Q1093" s="117">
        <v>15</v>
      </c>
      <c r="R1093" s="117" t="e">
        <f>ROUND(Tableau1[[#This Row],[LEN]]*#REF!+#REF!,0)</f>
        <v>#REF!</v>
      </c>
    </row>
    <row r="1094" spans="1:18" s="97" customFormat="1" hidden="1" x14ac:dyDescent="0.25">
      <c r="A1094" s="49" t="s">
        <v>1858</v>
      </c>
      <c r="B1094" s="50" t="s">
        <v>319</v>
      </c>
      <c r="C1094" s="431" t="s">
        <v>0</v>
      </c>
      <c r="D1094" s="51" t="s">
        <v>1772</v>
      </c>
      <c r="E1094" s="76" t="s">
        <v>1177</v>
      </c>
      <c r="F1094" s="51" t="s">
        <v>675</v>
      </c>
      <c r="G1094" s="51" t="s">
        <v>679</v>
      </c>
      <c r="H1094" s="76" t="s">
        <v>2101</v>
      </c>
      <c r="I1094" s="76" t="s">
        <v>655</v>
      </c>
      <c r="J1094" s="51"/>
      <c r="K1094" s="52" t="s">
        <v>708</v>
      </c>
      <c r="L1094" s="52" t="str">
        <f t="shared" si="42"/>
        <v>_</v>
      </c>
      <c r="M1094" s="117">
        <f>ROUND(Tableau1[[#This Row],[LEN]]*7.27,0)</f>
        <v>182</v>
      </c>
      <c r="N1094" s="117">
        <v>15</v>
      </c>
      <c r="O1094" s="134" t="str">
        <f t="shared" si="43"/>
        <v>_self</v>
      </c>
      <c r="P1094" s="117">
        <f>LEN(Tableau1[[#This Row],[LABEL]])</f>
        <v>25</v>
      </c>
      <c r="Q1094" s="117">
        <v>15</v>
      </c>
      <c r="R1094" s="117" t="e">
        <f>ROUND(Tableau1[[#This Row],[LEN]]*#REF!+#REF!,0)</f>
        <v>#REF!</v>
      </c>
    </row>
    <row r="1095" spans="1:18" s="97" customFormat="1" hidden="1" x14ac:dyDescent="0.25">
      <c r="A1095" s="53" t="s">
        <v>1864</v>
      </c>
      <c r="B1095" s="54" t="s">
        <v>1858</v>
      </c>
      <c r="C1095" s="431" t="s">
        <v>0</v>
      </c>
      <c r="D1095" s="55" t="s">
        <v>1467</v>
      </c>
      <c r="E1095" s="77" t="s">
        <v>1177</v>
      </c>
      <c r="F1095" s="55" t="s">
        <v>675</v>
      </c>
      <c r="G1095" s="55" t="s">
        <v>679</v>
      </c>
      <c r="H1095" s="77" t="s">
        <v>2101</v>
      </c>
      <c r="I1095" s="77" t="s">
        <v>654</v>
      </c>
      <c r="J1095" s="55"/>
      <c r="K1095" s="56" t="s">
        <v>708</v>
      </c>
      <c r="L1095" s="56" t="str">
        <f t="shared" si="42"/>
        <v>_</v>
      </c>
      <c r="M1095" s="118">
        <f>ROUND(Tableau1[[#This Row],[LEN]]*7.27,0)</f>
        <v>102</v>
      </c>
      <c r="N1095" s="118">
        <v>15</v>
      </c>
      <c r="O1095" s="135" t="str">
        <f t="shared" si="43"/>
        <v>_self</v>
      </c>
      <c r="P1095" s="118">
        <f>LEN(Tableau1[[#This Row],[LABEL]])</f>
        <v>14</v>
      </c>
      <c r="Q1095" s="118">
        <v>15</v>
      </c>
      <c r="R1095" s="118" t="e">
        <f>ROUND(Tableau1[[#This Row],[LEN]]*#REF!+#REF!,0)</f>
        <v>#REF!</v>
      </c>
    </row>
    <row r="1096" spans="1:18" s="97" customFormat="1" hidden="1" x14ac:dyDescent="0.25">
      <c r="A1096" s="53" t="s">
        <v>1865</v>
      </c>
      <c r="B1096" s="54" t="s">
        <v>1858</v>
      </c>
      <c r="C1096" s="431" t="s">
        <v>0</v>
      </c>
      <c r="D1096" s="55" t="s">
        <v>1769</v>
      </c>
      <c r="E1096" s="77" t="s">
        <v>1177</v>
      </c>
      <c r="F1096" s="55" t="s">
        <v>675</v>
      </c>
      <c r="G1096" s="55" t="s">
        <v>679</v>
      </c>
      <c r="H1096" s="77" t="s">
        <v>2101</v>
      </c>
      <c r="I1096" s="77" t="s">
        <v>654</v>
      </c>
      <c r="J1096" s="55"/>
      <c r="K1096" s="56" t="s">
        <v>708</v>
      </c>
      <c r="L1096" s="56" t="str">
        <f t="shared" si="42"/>
        <v>_</v>
      </c>
      <c r="M1096" s="118">
        <f>ROUND(Tableau1[[#This Row],[LEN]]*7.27,0)</f>
        <v>211</v>
      </c>
      <c r="N1096" s="118">
        <v>15</v>
      </c>
      <c r="O1096" s="135" t="str">
        <f t="shared" si="43"/>
        <v>_self</v>
      </c>
      <c r="P1096" s="118">
        <f>LEN(Tableau1[[#This Row],[LABEL]])</f>
        <v>29</v>
      </c>
      <c r="Q1096" s="118">
        <v>15</v>
      </c>
      <c r="R1096" s="118" t="e">
        <f>ROUND(Tableau1[[#This Row],[LEN]]*#REF!+#REF!,0)</f>
        <v>#REF!</v>
      </c>
    </row>
    <row r="1097" spans="1:18" s="97" customFormat="1" hidden="1" x14ac:dyDescent="0.25">
      <c r="A1097" s="53" t="s">
        <v>1866</v>
      </c>
      <c r="B1097" s="54" t="s">
        <v>1858</v>
      </c>
      <c r="C1097" s="431" t="s">
        <v>0</v>
      </c>
      <c r="D1097" s="55" t="s">
        <v>1468</v>
      </c>
      <c r="E1097" s="77" t="s">
        <v>1177</v>
      </c>
      <c r="F1097" s="55" t="s">
        <v>675</v>
      </c>
      <c r="G1097" s="55" t="s">
        <v>679</v>
      </c>
      <c r="H1097" s="77" t="s">
        <v>2101</v>
      </c>
      <c r="I1097" s="77" t="s">
        <v>654</v>
      </c>
      <c r="J1097" s="55"/>
      <c r="K1097" s="56" t="s">
        <v>708</v>
      </c>
      <c r="L1097" s="56" t="str">
        <f t="shared" si="42"/>
        <v>_</v>
      </c>
      <c r="M1097" s="118">
        <f>ROUND(Tableau1[[#This Row],[LEN]]*7.27,0)</f>
        <v>167</v>
      </c>
      <c r="N1097" s="118">
        <v>15</v>
      </c>
      <c r="O1097" s="135" t="str">
        <f t="shared" si="43"/>
        <v>_self</v>
      </c>
      <c r="P1097" s="118">
        <f>LEN(Tableau1[[#This Row],[LABEL]])</f>
        <v>23</v>
      </c>
      <c r="Q1097" s="118">
        <v>15</v>
      </c>
      <c r="R1097" s="118" t="e">
        <f>ROUND(Tableau1[[#This Row],[LEN]]*#REF!+#REF!,0)</f>
        <v>#REF!</v>
      </c>
    </row>
    <row r="1098" spans="1:18" s="97" customFormat="1" hidden="1" x14ac:dyDescent="0.25">
      <c r="A1098" s="49" t="s">
        <v>1859</v>
      </c>
      <c r="B1098" s="50" t="s">
        <v>319</v>
      </c>
      <c r="C1098" s="431" t="s">
        <v>0</v>
      </c>
      <c r="D1098" s="51" t="s">
        <v>1824</v>
      </c>
      <c r="E1098" s="76" t="s">
        <v>1177</v>
      </c>
      <c r="F1098" s="51" t="s">
        <v>677</v>
      </c>
      <c r="G1098" s="51" t="s">
        <v>1842</v>
      </c>
      <c r="H1098" s="76" t="s">
        <v>2101</v>
      </c>
      <c r="I1098" s="76" t="s">
        <v>570</v>
      </c>
      <c r="J1098" s="51"/>
      <c r="K1098" s="52" t="s">
        <v>708</v>
      </c>
      <c r="L1098" s="52" t="str">
        <f t="shared" si="42"/>
        <v>_</v>
      </c>
      <c r="M1098" s="117">
        <f>ROUND(Tableau1[[#This Row],[LEN]]*7.27,0)</f>
        <v>95</v>
      </c>
      <c r="N1098" s="117">
        <v>15</v>
      </c>
      <c r="O1098" s="134" t="str">
        <f t="shared" si="43"/>
        <v>_self</v>
      </c>
      <c r="P1098" s="117">
        <f>LEN(Tableau1[[#This Row],[LABEL]])</f>
        <v>13</v>
      </c>
      <c r="Q1098" s="117">
        <v>15</v>
      </c>
      <c r="R1098" s="117" t="e">
        <f>ROUND(Tableau1[[#This Row],[LEN]]*#REF!+#REF!,0)</f>
        <v>#REF!</v>
      </c>
    </row>
    <row r="1099" spans="1:18" s="97" customFormat="1" hidden="1" x14ac:dyDescent="0.25">
      <c r="A1099" s="49" t="s">
        <v>1860</v>
      </c>
      <c r="B1099" s="50" t="s">
        <v>319</v>
      </c>
      <c r="C1099" s="431" t="s">
        <v>0</v>
      </c>
      <c r="D1099" s="51" t="s">
        <v>1867</v>
      </c>
      <c r="E1099" s="76" t="s">
        <v>1177</v>
      </c>
      <c r="F1099" s="51" t="s">
        <v>679</v>
      </c>
      <c r="G1099" s="51" t="s">
        <v>1177</v>
      </c>
      <c r="H1099" s="76" t="s">
        <v>2101</v>
      </c>
      <c r="I1099" s="76" t="s">
        <v>570</v>
      </c>
      <c r="J1099" s="51"/>
      <c r="K1099" s="52" t="s">
        <v>708</v>
      </c>
      <c r="L1099" s="52" t="str">
        <f t="shared" si="42"/>
        <v>_</v>
      </c>
      <c r="M1099" s="117">
        <f>ROUND(Tableau1[[#This Row],[LEN]]*7.27,0)</f>
        <v>313</v>
      </c>
      <c r="N1099" s="117">
        <v>15</v>
      </c>
      <c r="O1099" s="134" t="str">
        <f t="shared" si="43"/>
        <v>_self</v>
      </c>
      <c r="P1099" s="117">
        <f>LEN(Tableau1[[#This Row],[LABEL]])</f>
        <v>43</v>
      </c>
      <c r="Q1099" s="117">
        <v>15</v>
      </c>
      <c r="R1099" s="117" t="e">
        <f>ROUND(Tableau1[[#This Row],[LEN]]*#REF!+#REF!,0)</f>
        <v>#REF!</v>
      </c>
    </row>
    <row r="1100" spans="1:18" s="97" customFormat="1" hidden="1" x14ac:dyDescent="0.25">
      <c r="A1100" s="49" t="s">
        <v>1861</v>
      </c>
      <c r="B1100" s="50" t="s">
        <v>319</v>
      </c>
      <c r="C1100" s="431" t="s">
        <v>0</v>
      </c>
      <c r="D1100" s="51" t="s">
        <v>1868</v>
      </c>
      <c r="E1100" s="76" t="s">
        <v>1177</v>
      </c>
      <c r="F1100" s="51" t="s">
        <v>679</v>
      </c>
      <c r="G1100" s="51" t="s">
        <v>1177</v>
      </c>
      <c r="H1100" s="76" t="s">
        <v>2101</v>
      </c>
      <c r="I1100" s="76" t="s">
        <v>654</v>
      </c>
      <c r="J1100" s="51"/>
      <c r="K1100" s="52" t="s">
        <v>708</v>
      </c>
      <c r="L1100" s="52" t="str">
        <f t="shared" si="42"/>
        <v>_</v>
      </c>
      <c r="M1100" s="117">
        <f>ROUND(Tableau1[[#This Row],[LEN]]*7.27,0)</f>
        <v>189</v>
      </c>
      <c r="N1100" s="117">
        <v>15</v>
      </c>
      <c r="O1100" s="134" t="str">
        <f t="shared" si="43"/>
        <v>_self</v>
      </c>
      <c r="P1100" s="117">
        <f>LEN(Tableau1[[#This Row],[LABEL]])</f>
        <v>26</v>
      </c>
      <c r="Q1100" s="117">
        <v>15</v>
      </c>
      <c r="R1100" s="117" t="e">
        <f>ROUND(Tableau1[[#This Row],[LEN]]*#REF!+#REF!,0)</f>
        <v>#REF!</v>
      </c>
    </row>
    <row r="1101" spans="1:18" s="273" customFormat="1" hidden="1" x14ac:dyDescent="0.25">
      <c r="A1101" s="358" t="s">
        <v>2020</v>
      </c>
      <c r="B1101" s="359" t="s">
        <v>209</v>
      </c>
      <c r="C1101" s="431" t="s">
        <v>0</v>
      </c>
      <c r="D1101" s="360" t="s">
        <v>1950</v>
      </c>
      <c r="E1101" s="361" t="s">
        <v>1177</v>
      </c>
      <c r="F1101" s="360" t="s">
        <v>1951</v>
      </c>
      <c r="G1101" s="360" t="s">
        <v>1177</v>
      </c>
      <c r="H1101" s="361" t="s">
        <v>2101</v>
      </c>
      <c r="I1101" s="361" t="s">
        <v>56</v>
      </c>
      <c r="J1101" s="360"/>
      <c r="K1101" s="362" t="s">
        <v>708</v>
      </c>
      <c r="L1101" s="362" t="str">
        <f t="shared" si="42"/>
        <v>_</v>
      </c>
      <c r="M1101" s="363">
        <f>ROUND(Tableau1[[#This Row],[LEN]]*7.27,0)</f>
        <v>51</v>
      </c>
      <c r="N1101" s="363">
        <v>15</v>
      </c>
      <c r="O1101" s="364" t="str">
        <f t="shared" si="43"/>
        <v>_self</v>
      </c>
      <c r="P1101" s="363">
        <f>LEN(Tableau1[[#This Row],[LABEL]])</f>
        <v>7</v>
      </c>
      <c r="Q1101" s="363">
        <v>15</v>
      </c>
      <c r="R1101" s="363" t="e">
        <f>ROUND(Tableau1[[#This Row],[LEN]]*#REF!+#REF!,0)</f>
        <v>#REF!</v>
      </c>
    </row>
    <row r="1102" spans="1:18" s="97" customFormat="1" hidden="1" x14ac:dyDescent="0.25">
      <c r="A1102" s="49" t="s">
        <v>2021</v>
      </c>
      <c r="B1102" s="50" t="s">
        <v>2020</v>
      </c>
      <c r="C1102" s="431" t="s">
        <v>0</v>
      </c>
      <c r="D1102" s="51" t="s">
        <v>2088</v>
      </c>
      <c r="E1102" s="76" t="s">
        <v>2032</v>
      </c>
      <c r="F1102" s="51" t="s">
        <v>1951</v>
      </c>
      <c r="G1102" s="51" t="s">
        <v>1177</v>
      </c>
      <c r="H1102" s="76" t="s">
        <v>2101</v>
      </c>
      <c r="I1102" s="76" t="s">
        <v>654</v>
      </c>
      <c r="J1102" s="51"/>
      <c r="K1102" s="52" t="s">
        <v>708</v>
      </c>
      <c r="L1102" s="52" t="str">
        <f t="shared" si="42"/>
        <v>_</v>
      </c>
      <c r="M1102" s="117">
        <f>ROUND(Tableau1[[#This Row],[LEN]]*7.27,0)</f>
        <v>414</v>
      </c>
      <c r="N1102" s="117">
        <v>15</v>
      </c>
      <c r="O1102" s="134" t="str">
        <f t="shared" si="43"/>
        <v>_self</v>
      </c>
      <c r="P1102" s="117">
        <f>LEN(Tableau1[[#This Row],[LABEL]])</f>
        <v>57</v>
      </c>
      <c r="Q1102" s="117">
        <v>15</v>
      </c>
      <c r="R1102" s="117" t="e">
        <f>ROUND(Tableau1[[#This Row],[LEN]]*#REF!+#REF!,0)</f>
        <v>#REF!</v>
      </c>
    </row>
    <row r="1103" spans="1:18" s="97" customFormat="1" hidden="1" x14ac:dyDescent="0.25">
      <c r="A1103" s="49" t="s">
        <v>2022</v>
      </c>
      <c r="B1103" s="50" t="s">
        <v>2020</v>
      </c>
      <c r="C1103" s="431" t="s">
        <v>0</v>
      </c>
      <c r="D1103" s="51" t="s">
        <v>2033</v>
      </c>
      <c r="E1103" s="76" t="s">
        <v>1177</v>
      </c>
      <c r="F1103" s="51" t="s">
        <v>1951</v>
      </c>
      <c r="G1103" s="51" t="s">
        <v>1177</v>
      </c>
      <c r="H1103" s="76" t="s">
        <v>2101</v>
      </c>
      <c r="I1103" s="76" t="s">
        <v>654</v>
      </c>
      <c r="J1103" s="51"/>
      <c r="K1103" s="52" t="s">
        <v>708</v>
      </c>
      <c r="L1103" s="52" t="str">
        <f t="shared" si="42"/>
        <v>_</v>
      </c>
      <c r="M1103" s="117">
        <f>ROUND(Tableau1[[#This Row],[LEN]]*7.27,0)</f>
        <v>320</v>
      </c>
      <c r="N1103" s="117">
        <v>15</v>
      </c>
      <c r="O1103" s="134" t="str">
        <f t="shared" si="43"/>
        <v>_self</v>
      </c>
      <c r="P1103" s="117">
        <f>LEN(Tableau1[[#This Row],[LABEL]])</f>
        <v>44</v>
      </c>
      <c r="Q1103" s="117">
        <v>15</v>
      </c>
      <c r="R1103" s="117" t="e">
        <f>ROUND(Tableau1[[#This Row],[LEN]]*#REF!+#REF!,0)</f>
        <v>#REF!</v>
      </c>
    </row>
    <row r="1104" spans="1:18" s="97" customFormat="1" hidden="1" x14ac:dyDescent="0.25">
      <c r="A1104" s="49" t="s">
        <v>2023</v>
      </c>
      <c r="B1104" s="50" t="s">
        <v>2020</v>
      </c>
      <c r="C1104" s="431" t="s">
        <v>0</v>
      </c>
      <c r="D1104" s="51" t="s">
        <v>128</v>
      </c>
      <c r="E1104" s="76" t="s">
        <v>1177</v>
      </c>
      <c r="F1104" s="51" t="s">
        <v>669</v>
      </c>
      <c r="G1104" s="51" t="s">
        <v>2029</v>
      </c>
      <c r="H1104" s="76" t="s">
        <v>2101</v>
      </c>
      <c r="I1104" s="76" t="s">
        <v>570</v>
      </c>
      <c r="J1104" s="51"/>
      <c r="K1104" s="52" t="s">
        <v>708</v>
      </c>
      <c r="L1104" s="52" t="str">
        <f t="shared" si="42"/>
        <v>_</v>
      </c>
      <c r="M1104" s="117">
        <f>ROUND(Tableau1[[#This Row],[LEN]]*7.27,0)</f>
        <v>182</v>
      </c>
      <c r="N1104" s="117">
        <v>15</v>
      </c>
      <c r="O1104" s="134" t="str">
        <f t="shared" si="43"/>
        <v>_self</v>
      </c>
      <c r="P1104" s="117">
        <f>LEN(Tableau1[[#This Row],[LABEL]])</f>
        <v>25</v>
      </c>
      <c r="Q1104" s="117">
        <v>15</v>
      </c>
      <c r="R1104" s="117" t="e">
        <f>ROUND(Tableau1[[#This Row],[LEN]]*#REF!+#REF!,0)</f>
        <v>#REF!</v>
      </c>
    </row>
    <row r="1105" spans="1:18" s="97" customFormat="1" hidden="1" x14ac:dyDescent="0.25">
      <c r="A1105" s="49" t="s">
        <v>2024</v>
      </c>
      <c r="B1105" s="50" t="s">
        <v>2020</v>
      </c>
      <c r="C1105" s="431" t="s">
        <v>0</v>
      </c>
      <c r="D1105" s="51" t="s">
        <v>129</v>
      </c>
      <c r="E1105" s="76" t="s">
        <v>1177</v>
      </c>
      <c r="F1105" s="51" t="s">
        <v>673</v>
      </c>
      <c r="G1105" s="51" t="s">
        <v>2035</v>
      </c>
      <c r="H1105" s="76" t="s">
        <v>2101</v>
      </c>
      <c r="I1105" s="76" t="s">
        <v>655</v>
      </c>
      <c r="J1105" s="51"/>
      <c r="K1105" s="52" t="s">
        <v>708</v>
      </c>
      <c r="L1105" s="52" t="str">
        <f t="shared" si="42"/>
        <v>_</v>
      </c>
      <c r="M1105" s="117">
        <f>ROUND(Tableau1[[#This Row],[LEN]]*7.27,0)</f>
        <v>87</v>
      </c>
      <c r="N1105" s="117">
        <v>15</v>
      </c>
      <c r="O1105" s="134" t="str">
        <f t="shared" si="43"/>
        <v>_self</v>
      </c>
      <c r="P1105" s="117">
        <f>LEN(Tableau1[[#This Row],[LABEL]])</f>
        <v>12</v>
      </c>
      <c r="Q1105" s="117">
        <v>15</v>
      </c>
      <c r="R1105" s="117" t="e">
        <f>ROUND(Tableau1[[#This Row],[LEN]]*#REF!+#REF!,0)</f>
        <v>#REF!</v>
      </c>
    </row>
    <row r="1106" spans="1:18" s="97" customFormat="1" hidden="1" x14ac:dyDescent="0.25">
      <c r="A1106" s="53" t="s">
        <v>2034</v>
      </c>
      <c r="B1106" s="54" t="s">
        <v>2024</v>
      </c>
      <c r="C1106" s="431" t="s">
        <v>0</v>
      </c>
      <c r="D1106" s="55" t="s">
        <v>131</v>
      </c>
      <c r="E1106" s="77" t="s">
        <v>1177</v>
      </c>
      <c r="F1106" s="55" t="s">
        <v>673</v>
      </c>
      <c r="G1106" s="55" t="s">
        <v>2035</v>
      </c>
      <c r="H1106" s="77" t="s">
        <v>2101</v>
      </c>
      <c r="I1106" s="77" t="s">
        <v>570</v>
      </c>
      <c r="J1106" s="55"/>
      <c r="K1106" s="56" t="s">
        <v>708</v>
      </c>
      <c r="L1106" s="56" t="str">
        <f t="shared" si="42"/>
        <v>_</v>
      </c>
      <c r="M1106" s="118">
        <f>ROUND(Tableau1[[#This Row],[LEN]]*7.27,0)</f>
        <v>262</v>
      </c>
      <c r="N1106" s="118">
        <v>15</v>
      </c>
      <c r="O1106" s="135" t="str">
        <f t="shared" si="43"/>
        <v>_self</v>
      </c>
      <c r="P1106" s="118">
        <f>LEN(Tableau1[[#This Row],[LABEL]])</f>
        <v>36</v>
      </c>
      <c r="Q1106" s="118">
        <v>15</v>
      </c>
      <c r="R1106" s="118" t="e">
        <f>ROUND(Tableau1[[#This Row],[LEN]]*#REF!+#REF!,0)</f>
        <v>#REF!</v>
      </c>
    </row>
    <row r="1107" spans="1:18" s="97" customFormat="1" hidden="1" x14ac:dyDescent="0.25">
      <c r="A1107" s="53" t="s">
        <v>2034</v>
      </c>
      <c r="B1107" s="54" t="s">
        <v>2024</v>
      </c>
      <c r="C1107" s="431" t="s">
        <v>0</v>
      </c>
      <c r="D1107" s="55" t="s">
        <v>132</v>
      </c>
      <c r="E1107" s="77" t="s">
        <v>1177</v>
      </c>
      <c r="F1107" s="55" t="s">
        <v>673</v>
      </c>
      <c r="G1107" s="55" t="s">
        <v>2035</v>
      </c>
      <c r="H1107" s="77" t="s">
        <v>2101</v>
      </c>
      <c r="I1107" s="77" t="s">
        <v>570</v>
      </c>
      <c r="J1107" s="55"/>
      <c r="K1107" s="56" t="s">
        <v>708</v>
      </c>
      <c r="L1107" s="56" t="str">
        <f t="shared" si="42"/>
        <v>_</v>
      </c>
      <c r="M1107" s="118">
        <f>ROUND(Tableau1[[#This Row],[LEN]]*7.27,0)</f>
        <v>298</v>
      </c>
      <c r="N1107" s="118">
        <v>15</v>
      </c>
      <c r="O1107" s="135" t="str">
        <f t="shared" si="43"/>
        <v>_self</v>
      </c>
      <c r="P1107" s="118">
        <f>LEN(Tableau1[[#This Row],[LABEL]])</f>
        <v>41</v>
      </c>
      <c r="Q1107" s="118">
        <v>15</v>
      </c>
      <c r="R1107" s="118" t="e">
        <f>ROUND(Tableau1[[#This Row],[LEN]]*#REF!+#REF!,0)</f>
        <v>#REF!</v>
      </c>
    </row>
    <row r="1108" spans="1:18" s="97" customFormat="1" hidden="1" x14ac:dyDescent="0.25">
      <c r="A1108" s="49" t="s">
        <v>2025</v>
      </c>
      <c r="B1108" s="50" t="s">
        <v>2020</v>
      </c>
      <c r="C1108" s="431" t="s">
        <v>0</v>
      </c>
      <c r="D1108" s="51" t="s">
        <v>2040</v>
      </c>
      <c r="E1108" s="76" t="s">
        <v>1177</v>
      </c>
      <c r="F1108" s="51" t="s">
        <v>1951</v>
      </c>
      <c r="G1108" s="51" t="s">
        <v>661</v>
      </c>
      <c r="H1108" s="76" t="s">
        <v>2101</v>
      </c>
      <c r="I1108" s="76" t="s">
        <v>655</v>
      </c>
      <c r="J1108" s="51"/>
      <c r="K1108" s="52" t="s">
        <v>708</v>
      </c>
      <c r="L1108" s="52" t="str">
        <f t="shared" si="42"/>
        <v>_</v>
      </c>
      <c r="M1108" s="117">
        <f>ROUND(Tableau1[[#This Row],[LEN]]*7.27,0)</f>
        <v>204</v>
      </c>
      <c r="N1108" s="117">
        <v>10</v>
      </c>
      <c r="O1108" s="134" t="str">
        <f t="shared" si="43"/>
        <v>_self</v>
      </c>
      <c r="P1108" s="117">
        <f>LEN(Tableau1[[#This Row],[LABEL]])</f>
        <v>28</v>
      </c>
      <c r="Q1108" s="117">
        <v>10</v>
      </c>
      <c r="R1108" s="117" t="e">
        <f>ROUND(Tableau1[[#This Row],[LEN]]*#REF!+#REF!,0)</f>
        <v>#REF!</v>
      </c>
    </row>
    <row r="1109" spans="1:18" s="97" customFormat="1" hidden="1" x14ac:dyDescent="0.25">
      <c r="A1109" s="53" t="s">
        <v>2041</v>
      </c>
      <c r="B1109" s="54" t="s">
        <v>2025</v>
      </c>
      <c r="C1109" s="431" t="s">
        <v>0</v>
      </c>
      <c r="D1109" s="55" t="s">
        <v>2036</v>
      </c>
      <c r="E1109" s="77" t="s">
        <v>1177</v>
      </c>
      <c r="F1109" s="55" t="s">
        <v>1951</v>
      </c>
      <c r="G1109" s="55" t="s">
        <v>661</v>
      </c>
      <c r="H1109" s="77" t="s">
        <v>2101</v>
      </c>
      <c r="I1109" s="77" t="s">
        <v>654</v>
      </c>
      <c r="J1109" s="55"/>
      <c r="K1109" s="56" t="s">
        <v>708</v>
      </c>
      <c r="L1109" s="56" t="str">
        <f t="shared" si="42"/>
        <v>_</v>
      </c>
      <c r="M1109" s="118">
        <f>ROUND(Tableau1[[#This Row],[LEN]]*7.27,0)</f>
        <v>196</v>
      </c>
      <c r="N1109" s="118">
        <v>10</v>
      </c>
      <c r="O1109" s="135" t="str">
        <f t="shared" si="43"/>
        <v>_self</v>
      </c>
      <c r="P1109" s="118">
        <f>LEN(Tableau1[[#This Row],[LABEL]])</f>
        <v>27</v>
      </c>
      <c r="Q1109" s="118">
        <v>10</v>
      </c>
      <c r="R1109" s="118" t="e">
        <f>ROUND(Tableau1[[#This Row],[LEN]]*#REF!+#REF!,0)</f>
        <v>#REF!</v>
      </c>
    </row>
    <row r="1110" spans="1:18" s="97" customFormat="1" hidden="1" x14ac:dyDescent="0.25">
      <c r="A1110" s="53" t="s">
        <v>2042</v>
      </c>
      <c r="B1110" s="54" t="s">
        <v>2025</v>
      </c>
      <c r="C1110" s="431" t="s">
        <v>0</v>
      </c>
      <c r="D1110" s="55" t="s">
        <v>2037</v>
      </c>
      <c r="E1110" s="77" t="s">
        <v>1177</v>
      </c>
      <c r="F1110" s="55" t="s">
        <v>1951</v>
      </c>
      <c r="G1110" s="55" t="s">
        <v>661</v>
      </c>
      <c r="H1110" s="77" t="s">
        <v>2101</v>
      </c>
      <c r="I1110" s="77" t="s">
        <v>654</v>
      </c>
      <c r="J1110" s="55"/>
      <c r="K1110" s="56" t="s">
        <v>708</v>
      </c>
      <c r="L1110" s="56" t="str">
        <f t="shared" si="42"/>
        <v>_</v>
      </c>
      <c r="M1110" s="118">
        <f>ROUND(Tableau1[[#This Row],[LEN]]*7.27,0)</f>
        <v>334</v>
      </c>
      <c r="N1110" s="118">
        <v>11</v>
      </c>
      <c r="O1110" s="135" t="str">
        <f t="shared" si="43"/>
        <v>_self</v>
      </c>
      <c r="P1110" s="118">
        <f>LEN(Tableau1[[#This Row],[LABEL]])</f>
        <v>46</v>
      </c>
      <c r="Q1110" s="118">
        <v>11</v>
      </c>
      <c r="R1110" s="118" t="e">
        <f>ROUND(Tableau1[[#This Row],[LEN]]*#REF!+#REF!,0)</f>
        <v>#REF!</v>
      </c>
    </row>
    <row r="1111" spans="1:18" s="97" customFormat="1" hidden="1" x14ac:dyDescent="0.25">
      <c r="A1111" s="53" t="s">
        <v>2043</v>
      </c>
      <c r="B1111" s="54" t="s">
        <v>2025</v>
      </c>
      <c r="C1111" s="431" t="s">
        <v>0</v>
      </c>
      <c r="D1111" s="55" t="s">
        <v>2038</v>
      </c>
      <c r="E1111" s="77" t="s">
        <v>1177</v>
      </c>
      <c r="F1111" s="55" t="s">
        <v>1951</v>
      </c>
      <c r="G1111" s="55" t="s">
        <v>661</v>
      </c>
      <c r="H1111" s="77" t="s">
        <v>2101</v>
      </c>
      <c r="I1111" s="77" t="s">
        <v>654</v>
      </c>
      <c r="J1111" s="55"/>
      <c r="K1111" s="56" t="s">
        <v>708</v>
      </c>
      <c r="L1111" s="56" t="str">
        <f t="shared" si="42"/>
        <v>_</v>
      </c>
      <c r="M1111" s="118">
        <f>ROUND(Tableau1[[#This Row],[LEN]]*7.27,0)</f>
        <v>95</v>
      </c>
      <c r="N1111" s="118">
        <v>12</v>
      </c>
      <c r="O1111" s="135" t="str">
        <f t="shared" si="43"/>
        <v>_self</v>
      </c>
      <c r="P1111" s="118">
        <f>LEN(Tableau1[[#This Row],[LABEL]])</f>
        <v>13</v>
      </c>
      <c r="Q1111" s="118">
        <v>12</v>
      </c>
      <c r="R1111" s="118" t="e">
        <f>ROUND(Tableau1[[#This Row],[LEN]]*#REF!+#REF!,0)</f>
        <v>#REF!</v>
      </c>
    </row>
    <row r="1112" spans="1:18" s="97" customFormat="1" hidden="1" x14ac:dyDescent="0.25">
      <c r="A1112" s="53" t="s">
        <v>2044</v>
      </c>
      <c r="B1112" s="54" t="s">
        <v>2025</v>
      </c>
      <c r="C1112" s="431" t="s">
        <v>0</v>
      </c>
      <c r="D1112" s="55" t="s">
        <v>2039</v>
      </c>
      <c r="E1112" s="77" t="s">
        <v>1177</v>
      </c>
      <c r="F1112" s="55" t="s">
        <v>1951</v>
      </c>
      <c r="G1112" s="55" t="s">
        <v>661</v>
      </c>
      <c r="H1112" s="77" t="s">
        <v>2101</v>
      </c>
      <c r="I1112" s="77" t="s">
        <v>654</v>
      </c>
      <c r="J1112" s="55"/>
      <c r="K1112" s="56" t="s">
        <v>708</v>
      </c>
      <c r="L1112" s="56" t="str">
        <f t="shared" si="42"/>
        <v>_</v>
      </c>
      <c r="M1112" s="118">
        <f>ROUND(Tableau1[[#This Row],[LEN]]*7.27,0)</f>
        <v>589</v>
      </c>
      <c r="N1112" s="118">
        <v>13</v>
      </c>
      <c r="O1112" s="135" t="str">
        <f t="shared" si="43"/>
        <v>_self</v>
      </c>
      <c r="P1112" s="118">
        <f>LEN(Tableau1[[#This Row],[LABEL]])</f>
        <v>81</v>
      </c>
      <c r="Q1112" s="118">
        <v>13</v>
      </c>
      <c r="R1112" s="118" t="e">
        <f>ROUND(Tableau1[[#This Row],[LEN]]*#REF!+#REF!,0)</f>
        <v>#REF!</v>
      </c>
    </row>
    <row r="1113" spans="1:18" s="97" customFormat="1" hidden="1" x14ac:dyDescent="0.25">
      <c r="A1113" s="53" t="s">
        <v>2045</v>
      </c>
      <c r="B1113" s="54" t="s">
        <v>2025</v>
      </c>
      <c r="C1113" s="431" t="s">
        <v>0</v>
      </c>
      <c r="D1113" s="55" t="s">
        <v>2030</v>
      </c>
      <c r="E1113" s="77" t="s">
        <v>1177</v>
      </c>
      <c r="F1113" s="55" t="s">
        <v>1951</v>
      </c>
      <c r="G1113" s="55" t="s">
        <v>661</v>
      </c>
      <c r="H1113" s="77" t="s">
        <v>2101</v>
      </c>
      <c r="I1113" s="77" t="s">
        <v>654</v>
      </c>
      <c r="J1113" s="55"/>
      <c r="K1113" s="56" t="s">
        <v>708</v>
      </c>
      <c r="L1113" s="56" t="str">
        <f t="shared" si="42"/>
        <v>_</v>
      </c>
      <c r="M1113" s="118">
        <f>ROUND(Tableau1[[#This Row],[LEN]]*7.27,0)</f>
        <v>211</v>
      </c>
      <c r="N1113" s="118">
        <v>14</v>
      </c>
      <c r="O1113" s="135" t="str">
        <f t="shared" si="43"/>
        <v>_self</v>
      </c>
      <c r="P1113" s="118">
        <f>LEN(Tableau1[[#This Row],[LABEL]])</f>
        <v>29</v>
      </c>
      <c r="Q1113" s="118">
        <v>14</v>
      </c>
      <c r="R1113" s="118" t="e">
        <f>ROUND(Tableau1[[#This Row],[LEN]]*#REF!+#REF!,0)</f>
        <v>#REF!</v>
      </c>
    </row>
    <row r="1114" spans="1:18" s="97" customFormat="1" hidden="1" x14ac:dyDescent="0.25">
      <c r="A1114" s="53" t="s">
        <v>2046</v>
      </c>
      <c r="B1114" s="54" t="s">
        <v>2025</v>
      </c>
      <c r="C1114" s="431" t="s">
        <v>0</v>
      </c>
      <c r="D1114" s="55" t="s">
        <v>2031</v>
      </c>
      <c r="E1114" s="77" t="s">
        <v>1177</v>
      </c>
      <c r="F1114" s="55" t="s">
        <v>1951</v>
      </c>
      <c r="G1114" s="55" t="s">
        <v>661</v>
      </c>
      <c r="H1114" s="77" t="s">
        <v>2101</v>
      </c>
      <c r="I1114" s="77" t="s">
        <v>654</v>
      </c>
      <c r="J1114" s="55"/>
      <c r="K1114" s="56" t="s">
        <v>708</v>
      </c>
      <c r="L1114" s="56" t="str">
        <f t="shared" si="42"/>
        <v>_</v>
      </c>
      <c r="M1114" s="118">
        <f>ROUND(Tableau1[[#This Row],[LEN]]*7.27,0)</f>
        <v>313</v>
      </c>
      <c r="N1114" s="118">
        <v>15</v>
      </c>
      <c r="O1114" s="135" t="str">
        <f t="shared" si="43"/>
        <v>_self</v>
      </c>
      <c r="P1114" s="118">
        <f>LEN(Tableau1[[#This Row],[LABEL]])</f>
        <v>43</v>
      </c>
      <c r="Q1114" s="118">
        <v>15</v>
      </c>
      <c r="R1114" s="118" t="e">
        <f>ROUND(Tableau1[[#This Row],[LEN]]*#REF!+#REF!,0)</f>
        <v>#REF!</v>
      </c>
    </row>
    <row r="1115" spans="1:18" s="97" customFormat="1" hidden="1" x14ac:dyDescent="0.25">
      <c r="A1115" s="49" t="s">
        <v>2026</v>
      </c>
      <c r="B1115" s="50" t="s">
        <v>2020</v>
      </c>
      <c r="C1115" s="431" t="s">
        <v>0</v>
      </c>
      <c r="D1115" s="51" t="s">
        <v>598</v>
      </c>
      <c r="E1115" s="76" t="s">
        <v>1177</v>
      </c>
      <c r="F1115" s="51" t="s">
        <v>673</v>
      </c>
      <c r="G1115" s="51" t="s">
        <v>2035</v>
      </c>
      <c r="H1115" s="76" t="s">
        <v>2101</v>
      </c>
      <c r="I1115" s="76" t="s">
        <v>654</v>
      </c>
      <c r="J1115" s="51"/>
      <c r="K1115" s="52" t="s">
        <v>708</v>
      </c>
      <c r="L1115" s="52" t="str">
        <f t="shared" si="42"/>
        <v>_</v>
      </c>
      <c r="M1115" s="117">
        <f>ROUND(Tableau1[[#This Row],[LEN]]*7.27,0)</f>
        <v>553</v>
      </c>
      <c r="N1115" s="117">
        <v>15</v>
      </c>
      <c r="O1115" s="134" t="str">
        <f t="shared" si="43"/>
        <v>_self</v>
      </c>
      <c r="P1115" s="117">
        <f>LEN(Tableau1[[#This Row],[LABEL]])</f>
        <v>76</v>
      </c>
      <c r="Q1115" s="117">
        <v>15</v>
      </c>
      <c r="R1115" s="117" t="e">
        <f>ROUND(Tableau1[[#This Row],[LEN]]*#REF!+#REF!,0)</f>
        <v>#REF!</v>
      </c>
    </row>
    <row r="1116" spans="1:18" s="97" customFormat="1" hidden="1" x14ac:dyDescent="0.25">
      <c r="A1116" s="49" t="s">
        <v>2027</v>
      </c>
      <c r="B1116" s="50" t="s">
        <v>2020</v>
      </c>
      <c r="C1116" s="431" t="s">
        <v>0</v>
      </c>
      <c r="D1116" s="51" t="s">
        <v>2047</v>
      </c>
      <c r="E1116" s="76" t="s">
        <v>1177</v>
      </c>
      <c r="F1116" s="51" t="s">
        <v>1951</v>
      </c>
      <c r="G1116" s="51" t="s">
        <v>1177</v>
      </c>
      <c r="H1116" s="76" t="s">
        <v>2101</v>
      </c>
      <c r="I1116" s="76" t="s">
        <v>654</v>
      </c>
      <c r="J1116" s="51"/>
      <c r="K1116" s="52" t="s">
        <v>708</v>
      </c>
      <c r="L1116" s="52" t="str">
        <f t="shared" si="42"/>
        <v>_</v>
      </c>
      <c r="M1116" s="117">
        <f>ROUND(Tableau1[[#This Row],[LEN]]*7.27,0)</f>
        <v>233</v>
      </c>
      <c r="N1116" s="117">
        <v>15</v>
      </c>
      <c r="O1116" s="134" t="str">
        <f t="shared" si="43"/>
        <v>_self</v>
      </c>
      <c r="P1116" s="117">
        <f>LEN(Tableau1[[#This Row],[LABEL]])</f>
        <v>32</v>
      </c>
      <c r="Q1116" s="117">
        <v>15</v>
      </c>
      <c r="R1116" s="117" t="e">
        <f>ROUND(Tableau1[[#This Row],[LEN]]*#REF!+#REF!,0)</f>
        <v>#REF!</v>
      </c>
    </row>
    <row r="1117" spans="1:18" s="97" customFormat="1" hidden="1" x14ac:dyDescent="0.25">
      <c r="A1117" s="49" t="s">
        <v>2028</v>
      </c>
      <c r="B1117" s="50" t="s">
        <v>2020</v>
      </c>
      <c r="C1117" s="431" t="s">
        <v>0</v>
      </c>
      <c r="D1117" s="51" t="s">
        <v>2048</v>
      </c>
      <c r="E1117" s="76" t="s">
        <v>1177</v>
      </c>
      <c r="F1117" s="51" t="s">
        <v>1951</v>
      </c>
      <c r="G1117" s="51" t="s">
        <v>1177</v>
      </c>
      <c r="H1117" s="76" t="s">
        <v>2101</v>
      </c>
      <c r="I1117" s="76" t="s">
        <v>654</v>
      </c>
      <c r="J1117" s="51"/>
      <c r="K1117" s="52" t="s">
        <v>708</v>
      </c>
      <c r="L1117" s="52" t="str">
        <f t="shared" si="42"/>
        <v>_</v>
      </c>
      <c r="M1117" s="117">
        <f>ROUND(Tableau1[[#This Row],[LEN]]*7.27,0)</f>
        <v>225</v>
      </c>
      <c r="N1117" s="117">
        <v>15</v>
      </c>
      <c r="O1117" s="134" t="str">
        <f t="shared" si="43"/>
        <v>_self</v>
      </c>
      <c r="P1117" s="117">
        <f>LEN(Tableau1[[#This Row],[LABEL]])</f>
        <v>31</v>
      </c>
      <c r="Q1117" s="117">
        <v>15</v>
      </c>
      <c r="R1117" s="117" t="e">
        <f>ROUND(Tableau1[[#This Row],[LEN]]*#REF!+#REF!,0)</f>
        <v>#REF!</v>
      </c>
    </row>
    <row r="1118" spans="1:18" s="92" customFormat="1" ht="16.5" hidden="1" thickTop="1" thickBot="1" x14ac:dyDescent="0.3">
      <c r="A1118" s="198" t="s">
        <v>210</v>
      </c>
      <c r="B1118" s="198" t="s">
        <v>198</v>
      </c>
      <c r="C1118" s="432"/>
      <c r="D1118" s="199" t="s">
        <v>178</v>
      </c>
      <c r="E1118" s="200" t="s">
        <v>474</v>
      </c>
      <c r="F1118" s="199" t="s">
        <v>1177</v>
      </c>
      <c r="G1118" s="200" t="s">
        <v>1084</v>
      </c>
      <c r="H1118" s="199" t="s">
        <v>170</v>
      </c>
      <c r="I1118" s="199" t="s">
        <v>616</v>
      </c>
      <c r="J1118" s="200"/>
      <c r="K1118" s="201" t="s">
        <v>708</v>
      </c>
      <c r="L1118" s="201" t="str">
        <f t="shared" si="42"/>
        <v>_</v>
      </c>
      <c r="M1118" s="202">
        <f>ROUND(Tableau1[[#This Row],[LEN]]*7.27,0)</f>
        <v>102</v>
      </c>
      <c r="N1118" s="202">
        <v>15</v>
      </c>
      <c r="O1118" s="203" t="str">
        <f t="shared" si="43"/>
        <v>_self</v>
      </c>
      <c r="P1118" s="202">
        <f>LEN(Tableau1[[#This Row],[LABEL]])</f>
        <v>14</v>
      </c>
      <c r="Q1118" s="204">
        <v>15</v>
      </c>
      <c r="R1118" s="204" t="e">
        <f>ROUND(Tableau1[[#This Row],[LEN]]*#REF!+#REF!,0)</f>
        <v>#REF!</v>
      </c>
    </row>
    <row r="1119" spans="1:18" s="273" customFormat="1" hidden="1" x14ac:dyDescent="0.25">
      <c r="A1119" s="372" t="s">
        <v>321</v>
      </c>
      <c r="B1119" s="373" t="s">
        <v>210</v>
      </c>
      <c r="C1119" s="433" t="s">
        <v>2153</v>
      </c>
      <c r="D1119" s="374" t="s">
        <v>57</v>
      </c>
      <c r="E1119" s="375" t="s">
        <v>1177</v>
      </c>
      <c r="F1119" s="374" t="s">
        <v>663</v>
      </c>
      <c r="G1119" s="374" t="s">
        <v>1177</v>
      </c>
      <c r="H1119" s="375" t="s">
        <v>170</v>
      </c>
      <c r="I1119" s="375" t="str">
        <f>IFERROR(IF(SEARCH(".00.00.00.00.00",Tableau1[[#This Row],[name]],1)=7,"Division",""),"")</f>
        <v>Division</v>
      </c>
      <c r="J1119" s="374"/>
      <c r="K1119" s="376" t="s">
        <v>708</v>
      </c>
      <c r="L1119" s="376" t="str">
        <f t="shared" si="42"/>
        <v>_</v>
      </c>
      <c r="M1119" s="377">
        <f>ROUND(Tableau1[[#This Row],[LEN]]*7.27,0)</f>
        <v>102</v>
      </c>
      <c r="N1119" s="377">
        <v>15</v>
      </c>
      <c r="O1119" s="378" t="str">
        <f t="shared" si="43"/>
        <v>_self</v>
      </c>
      <c r="P1119" s="377">
        <f>LEN(Tableau1[[#This Row],[LABEL]])</f>
        <v>14</v>
      </c>
      <c r="Q1119" s="377">
        <v>15</v>
      </c>
      <c r="R1119" s="377" t="e">
        <f>ROUND(Tableau1[[#This Row],[LEN]]*#REF!+#REF!,0)</f>
        <v>#REF!</v>
      </c>
    </row>
    <row r="1120" spans="1:18" s="97" customFormat="1" hidden="1" x14ac:dyDescent="0.25">
      <c r="A1120" s="61" t="s">
        <v>906</v>
      </c>
      <c r="B1120" s="62" t="s">
        <v>321</v>
      </c>
      <c r="C1120" s="433" t="s">
        <v>2153</v>
      </c>
      <c r="D1120" s="63" t="s">
        <v>1875</v>
      </c>
      <c r="E1120" s="79" t="s">
        <v>1177</v>
      </c>
      <c r="F1120" s="63" t="s">
        <v>684</v>
      </c>
      <c r="G1120" s="63" t="s">
        <v>2086</v>
      </c>
      <c r="H1120" s="79" t="s">
        <v>170</v>
      </c>
      <c r="I1120" s="79" t="s">
        <v>656</v>
      </c>
      <c r="J1120" s="63"/>
      <c r="K1120" s="64" t="s">
        <v>708</v>
      </c>
      <c r="L1120" s="64" t="str">
        <f t="shared" si="42"/>
        <v>_</v>
      </c>
      <c r="M1120" s="120">
        <f>ROUND(Tableau1[[#This Row],[LEN]]*7.27,0)</f>
        <v>291</v>
      </c>
      <c r="N1120" s="120">
        <v>15</v>
      </c>
      <c r="O1120" s="137" t="str">
        <f t="shared" si="43"/>
        <v>_self</v>
      </c>
      <c r="P1120" s="120">
        <f>LEN(Tableau1[[#This Row],[LABEL]])</f>
        <v>40</v>
      </c>
      <c r="Q1120" s="120">
        <v>15</v>
      </c>
      <c r="R1120" s="120" t="e">
        <f>ROUND(Tableau1[[#This Row],[LEN]]*#REF!+#REF!,0)</f>
        <v>#REF!</v>
      </c>
    </row>
    <row r="1121" spans="1:18" s="97" customFormat="1" hidden="1" x14ac:dyDescent="0.25">
      <c r="A1121" s="61" t="s">
        <v>907</v>
      </c>
      <c r="B1121" s="62" t="s">
        <v>321</v>
      </c>
      <c r="C1121" s="433" t="s">
        <v>2153</v>
      </c>
      <c r="D1121" s="63" t="s">
        <v>903</v>
      </c>
      <c r="E1121" s="79" t="s">
        <v>1177</v>
      </c>
      <c r="F1121" s="63" t="s">
        <v>663</v>
      </c>
      <c r="G1121" s="63" t="s">
        <v>1177</v>
      </c>
      <c r="H1121" s="79" t="s">
        <v>170</v>
      </c>
      <c r="I1121" s="79" t="s">
        <v>654</v>
      </c>
      <c r="J1121" s="63"/>
      <c r="K1121" s="64" t="s">
        <v>708</v>
      </c>
      <c r="L1121" s="64" t="str">
        <f t="shared" si="42"/>
        <v>_</v>
      </c>
      <c r="M1121" s="120">
        <f>ROUND(Tableau1[[#This Row],[LEN]]*7.27,0)</f>
        <v>225</v>
      </c>
      <c r="N1121" s="120">
        <v>15</v>
      </c>
      <c r="O1121" s="137" t="str">
        <f t="shared" si="43"/>
        <v>_self</v>
      </c>
      <c r="P1121" s="120">
        <f>LEN(Tableau1[[#This Row],[LABEL]])</f>
        <v>31</v>
      </c>
      <c r="Q1121" s="120">
        <v>15</v>
      </c>
      <c r="R1121" s="120" t="e">
        <f>ROUND(Tableau1[[#This Row],[LEN]]*#REF!+#REF!,0)</f>
        <v>#REF!</v>
      </c>
    </row>
    <row r="1122" spans="1:18" s="97" customFormat="1" hidden="1" x14ac:dyDescent="0.25">
      <c r="A1122" s="61" t="s">
        <v>908</v>
      </c>
      <c r="B1122" s="62" t="s">
        <v>321</v>
      </c>
      <c r="C1122" s="433" t="s">
        <v>2153</v>
      </c>
      <c r="D1122" s="63" t="s">
        <v>904</v>
      </c>
      <c r="E1122" s="79" t="s">
        <v>1177</v>
      </c>
      <c r="F1122" s="63" t="s">
        <v>663</v>
      </c>
      <c r="G1122" s="63" t="s">
        <v>1177</v>
      </c>
      <c r="H1122" s="79" t="s">
        <v>170</v>
      </c>
      <c r="I1122" s="79" t="s">
        <v>654</v>
      </c>
      <c r="J1122" s="63"/>
      <c r="K1122" s="64" t="s">
        <v>708</v>
      </c>
      <c r="L1122" s="64" t="str">
        <f t="shared" si="42"/>
        <v>_</v>
      </c>
      <c r="M1122" s="120">
        <f>ROUND(Tableau1[[#This Row],[LEN]]*7.27,0)</f>
        <v>247</v>
      </c>
      <c r="N1122" s="120">
        <v>15</v>
      </c>
      <c r="O1122" s="137" t="str">
        <f t="shared" si="43"/>
        <v>_self</v>
      </c>
      <c r="P1122" s="120">
        <f>LEN(Tableau1[[#This Row],[LABEL]])</f>
        <v>34</v>
      </c>
      <c r="Q1122" s="120">
        <v>15</v>
      </c>
      <c r="R1122" s="120" t="e">
        <f>ROUND(Tableau1[[#This Row],[LEN]]*#REF!+#REF!,0)</f>
        <v>#REF!</v>
      </c>
    </row>
    <row r="1123" spans="1:18" s="97" customFormat="1" hidden="1" x14ac:dyDescent="0.25">
      <c r="A1123" s="61" t="s">
        <v>909</v>
      </c>
      <c r="B1123" s="62" t="s">
        <v>321</v>
      </c>
      <c r="C1123" s="433" t="s">
        <v>2153</v>
      </c>
      <c r="D1123" s="63" t="s">
        <v>905</v>
      </c>
      <c r="E1123" s="79" t="s">
        <v>1177</v>
      </c>
      <c r="F1123" s="63" t="s">
        <v>663</v>
      </c>
      <c r="G1123" s="63" t="s">
        <v>1177</v>
      </c>
      <c r="H1123" s="79" t="s">
        <v>170</v>
      </c>
      <c r="I1123" s="79" t="s">
        <v>654</v>
      </c>
      <c r="J1123" s="63"/>
      <c r="K1123" s="64" t="s">
        <v>708</v>
      </c>
      <c r="L1123" s="64" t="str">
        <f t="shared" si="42"/>
        <v>_</v>
      </c>
      <c r="M1123" s="120">
        <f>ROUND(Tableau1[[#This Row],[LEN]]*7.27,0)</f>
        <v>124</v>
      </c>
      <c r="N1123" s="120">
        <v>15</v>
      </c>
      <c r="O1123" s="137" t="str">
        <f t="shared" si="43"/>
        <v>_self</v>
      </c>
      <c r="P1123" s="120">
        <f>LEN(Tableau1[[#This Row],[LABEL]])</f>
        <v>17</v>
      </c>
      <c r="Q1123" s="120">
        <v>15</v>
      </c>
      <c r="R1123" s="120" t="e">
        <f>ROUND(Tableau1[[#This Row],[LEN]]*#REF!+#REF!,0)</f>
        <v>#REF!</v>
      </c>
    </row>
    <row r="1124" spans="1:18" s="97" customFormat="1" hidden="1" x14ac:dyDescent="0.25">
      <c r="A1124" s="61" t="s">
        <v>910</v>
      </c>
      <c r="B1124" s="62" t="s">
        <v>321</v>
      </c>
      <c r="C1124" s="433" t="s">
        <v>2153</v>
      </c>
      <c r="D1124" s="63" t="s">
        <v>602</v>
      </c>
      <c r="E1124" s="79" t="s">
        <v>1177</v>
      </c>
      <c r="F1124" s="63" t="s">
        <v>661</v>
      </c>
      <c r="G1124" s="63" t="s">
        <v>1874</v>
      </c>
      <c r="H1124" s="79" t="s">
        <v>170</v>
      </c>
      <c r="I1124" s="79" t="s">
        <v>656</v>
      </c>
      <c r="J1124" s="63"/>
      <c r="K1124" s="64" t="s">
        <v>708</v>
      </c>
      <c r="L1124" s="64" t="str">
        <f t="shared" ref="L1124:L1190" si="44">IF(K1124="javascript:void(0)","_","Documentation")</f>
        <v>_</v>
      </c>
      <c r="M1124" s="120">
        <f>ROUND(Tableau1[[#This Row],[LEN]]*7.27,0)</f>
        <v>553</v>
      </c>
      <c r="N1124" s="120">
        <v>15</v>
      </c>
      <c r="O1124" s="137" t="str">
        <f t="shared" si="43"/>
        <v>_self</v>
      </c>
      <c r="P1124" s="120">
        <f>LEN(Tableau1[[#This Row],[LABEL]])</f>
        <v>76</v>
      </c>
      <c r="Q1124" s="120">
        <v>15</v>
      </c>
      <c r="R1124" s="120" t="e">
        <f>ROUND(Tableau1[[#This Row],[LEN]]*#REF!+#REF!,0)</f>
        <v>#REF!</v>
      </c>
    </row>
    <row r="1125" spans="1:18" s="97" customFormat="1" hidden="1" x14ac:dyDescent="0.25">
      <c r="A1125" s="61" t="s">
        <v>911</v>
      </c>
      <c r="B1125" s="62" t="s">
        <v>321</v>
      </c>
      <c r="C1125" s="433" t="s">
        <v>2153</v>
      </c>
      <c r="D1125" s="63" t="s">
        <v>50</v>
      </c>
      <c r="E1125" s="79" t="s">
        <v>1177</v>
      </c>
      <c r="F1125" s="63" t="s">
        <v>1177</v>
      </c>
      <c r="G1125" s="63" t="s">
        <v>1084</v>
      </c>
      <c r="H1125" s="79" t="s">
        <v>1978</v>
      </c>
      <c r="I1125" s="79" t="s">
        <v>1131</v>
      </c>
      <c r="J1125" s="63"/>
      <c r="K1125" s="64" t="s">
        <v>708</v>
      </c>
      <c r="L1125" s="64" t="str">
        <f t="shared" si="44"/>
        <v>_</v>
      </c>
      <c r="M1125" s="120">
        <f>ROUND(Tableau1[[#This Row],[LEN]]*7.27,0)</f>
        <v>87</v>
      </c>
      <c r="N1125" s="120">
        <v>15</v>
      </c>
      <c r="O1125" s="137" t="str">
        <f t="shared" ref="O1125:O1191" si="45">IF(K1125="javascript:void(0)","_self","_blank")</f>
        <v>_self</v>
      </c>
      <c r="P1125" s="120">
        <f>LEN(Tableau1[[#This Row],[LABEL]])</f>
        <v>12</v>
      </c>
      <c r="Q1125" s="120">
        <v>15</v>
      </c>
      <c r="R1125" s="120" t="e">
        <f>ROUND(Tableau1[[#This Row],[LEN]]*#REF!+#REF!,0)</f>
        <v>#REF!</v>
      </c>
    </row>
    <row r="1126" spans="1:18" s="97" customFormat="1" hidden="1" x14ac:dyDescent="0.25">
      <c r="A1126" s="61" t="s">
        <v>912</v>
      </c>
      <c r="B1126" s="62" t="s">
        <v>321</v>
      </c>
      <c r="C1126" s="433" t="s">
        <v>2153</v>
      </c>
      <c r="D1126" s="63" t="s">
        <v>603</v>
      </c>
      <c r="E1126" s="79" t="s">
        <v>1177</v>
      </c>
      <c r="F1126" s="63" t="s">
        <v>1177</v>
      </c>
      <c r="G1126" s="63" t="s">
        <v>1084</v>
      </c>
      <c r="H1126" s="79" t="s">
        <v>1977</v>
      </c>
      <c r="I1126" s="79" t="s">
        <v>1131</v>
      </c>
      <c r="J1126" s="63"/>
      <c r="K1126" s="64" t="s">
        <v>708</v>
      </c>
      <c r="L1126" s="64" t="str">
        <f t="shared" si="44"/>
        <v>_</v>
      </c>
      <c r="M1126" s="120">
        <f>ROUND(Tableau1[[#This Row],[LEN]]*7.27,0)</f>
        <v>247</v>
      </c>
      <c r="N1126" s="120">
        <v>15</v>
      </c>
      <c r="O1126" s="137" t="str">
        <f t="shared" si="45"/>
        <v>_self</v>
      </c>
      <c r="P1126" s="120">
        <f>LEN(Tableau1[[#This Row],[LABEL]])</f>
        <v>34</v>
      </c>
      <c r="Q1126" s="120">
        <v>15</v>
      </c>
      <c r="R1126" s="120" t="e">
        <f>ROUND(Tableau1[[#This Row],[LEN]]*#REF!+#REF!,0)</f>
        <v>#REF!</v>
      </c>
    </row>
    <row r="1127" spans="1:18" s="273" customFormat="1" hidden="1" x14ac:dyDescent="0.25">
      <c r="A1127" s="372" t="s">
        <v>323</v>
      </c>
      <c r="B1127" s="373" t="s">
        <v>210</v>
      </c>
      <c r="C1127" s="433" t="s">
        <v>2153</v>
      </c>
      <c r="D1127" s="374" t="s">
        <v>3</v>
      </c>
      <c r="E1127" s="375" t="s">
        <v>1177</v>
      </c>
      <c r="F1127" s="374" t="s">
        <v>661</v>
      </c>
      <c r="G1127" s="374" t="s">
        <v>1177</v>
      </c>
      <c r="H1127" s="375" t="s">
        <v>170</v>
      </c>
      <c r="I1127" s="375" t="str">
        <f>IFERROR(IF(SEARCH(".00.00.00.00.00",Tableau1[[#This Row],[name]],1)=7,"Division",""),"")</f>
        <v>Division</v>
      </c>
      <c r="J1127" s="374"/>
      <c r="K1127" s="376" t="s">
        <v>708</v>
      </c>
      <c r="L1127" s="376" t="str">
        <f t="shared" si="44"/>
        <v>_</v>
      </c>
      <c r="M1127" s="377">
        <f>ROUND(Tableau1[[#This Row],[LEN]]*7.27,0)</f>
        <v>73</v>
      </c>
      <c r="N1127" s="377">
        <v>15</v>
      </c>
      <c r="O1127" s="378" t="str">
        <f t="shared" si="45"/>
        <v>_self</v>
      </c>
      <c r="P1127" s="377">
        <f>LEN(Tableau1[[#This Row],[LABEL]])</f>
        <v>10</v>
      </c>
      <c r="Q1127" s="377">
        <v>15</v>
      </c>
      <c r="R1127" s="377" t="e">
        <f>ROUND(Tableau1[[#This Row],[LEN]]*#REF!+#REF!,0)</f>
        <v>#REF!</v>
      </c>
    </row>
    <row r="1128" spans="1:18" s="97" customFormat="1" hidden="1" x14ac:dyDescent="0.25">
      <c r="A1128" s="61" t="s">
        <v>604</v>
      </c>
      <c r="B1128" s="62" t="s">
        <v>323</v>
      </c>
      <c r="C1128" s="433" t="s">
        <v>2153</v>
      </c>
      <c r="D1128" s="63" t="s">
        <v>1875</v>
      </c>
      <c r="E1128" s="79" t="s">
        <v>1177</v>
      </c>
      <c r="F1128" s="63" t="s">
        <v>684</v>
      </c>
      <c r="G1128" s="63" t="s">
        <v>2086</v>
      </c>
      <c r="H1128" s="79" t="s">
        <v>170</v>
      </c>
      <c r="I1128" s="79" t="s">
        <v>656</v>
      </c>
      <c r="J1128" s="63"/>
      <c r="K1128" s="64" t="s">
        <v>708</v>
      </c>
      <c r="L1128" s="64" t="str">
        <f t="shared" si="44"/>
        <v>_</v>
      </c>
      <c r="M1128" s="120">
        <f>ROUND(Tableau1[[#This Row],[LEN]]*7.27,0)</f>
        <v>291</v>
      </c>
      <c r="N1128" s="120">
        <v>15</v>
      </c>
      <c r="O1128" s="137" t="str">
        <f t="shared" si="45"/>
        <v>_self</v>
      </c>
      <c r="P1128" s="120">
        <f>LEN(Tableau1[[#This Row],[LABEL]])</f>
        <v>40</v>
      </c>
      <c r="Q1128" s="120">
        <v>15</v>
      </c>
      <c r="R1128" s="120" t="e">
        <f>ROUND(Tableau1[[#This Row],[LEN]]*#REF!+#REF!,0)</f>
        <v>#REF!</v>
      </c>
    </row>
    <row r="1129" spans="1:18" s="97" customFormat="1" hidden="1" x14ac:dyDescent="0.25">
      <c r="A1129" s="61" t="s">
        <v>605</v>
      </c>
      <c r="B1129" s="62" t="s">
        <v>323</v>
      </c>
      <c r="C1129" s="433" t="s">
        <v>2153</v>
      </c>
      <c r="D1129" s="63" t="s">
        <v>135</v>
      </c>
      <c r="E1129" s="79" t="s">
        <v>1177</v>
      </c>
      <c r="F1129" s="63" t="s">
        <v>665</v>
      </c>
      <c r="G1129" s="63" t="s">
        <v>661</v>
      </c>
      <c r="H1129" s="79" t="s">
        <v>170</v>
      </c>
      <c r="I1129" s="79" t="s">
        <v>18</v>
      </c>
      <c r="J1129" s="63"/>
      <c r="K1129" s="64" t="s">
        <v>708</v>
      </c>
      <c r="L1129" s="64" t="str">
        <f t="shared" si="44"/>
        <v>_</v>
      </c>
      <c r="M1129" s="120">
        <f>ROUND(Tableau1[[#This Row],[LEN]]*7.27,0)</f>
        <v>211</v>
      </c>
      <c r="N1129" s="120">
        <v>15</v>
      </c>
      <c r="O1129" s="137" t="str">
        <f t="shared" si="45"/>
        <v>_self</v>
      </c>
      <c r="P1129" s="120">
        <f>LEN(Tableau1[[#This Row],[LABEL]])</f>
        <v>29</v>
      </c>
      <c r="Q1129" s="120">
        <v>15</v>
      </c>
      <c r="R1129" s="120" t="e">
        <f>ROUND(Tableau1[[#This Row],[LEN]]*#REF!+#REF!,0)</f>
        <v>#REF!</v>
      </c>
    </row>
    <row r="1130" spans="1:18" s="97" customFormat="1" hidden="1" x14ac:dyDescent="0.25">
      <c r="A1130" s="61" t="s">
        <v>606</v>
      </c>
      <c r="B1130" s="62" t="s">
        <v>323</v>
      </c>
      <c r="C1130" s="433" t="s">
        <v>2153</v>
      </c>
      <c r="D1130" s="63" t="s">
        <v>602</v>
      </c>
      <c r="E1130" s="79" t="s">
        <v>1177</v>
      </c>
      <c r="F1130" s="63" t="s">
        <v>661</v>
      </c>
      <c r="G1130" s="63" t="s">
        <v>1874</v>
      </c>
      <c r="H1130" s="79" t="s">
        <v>170</v>
      </c>
      <c r="I1130" s="79" t="s">
        <v>656</v>
      </c>
      <c r="J1130" s="63"/>
      <c r="K1130" s="64" t="s">
        <v>708</v>
      </c>
      <c r="L1130" s="64" t="str">
        <f t="shared" si="44"/>
        <v>_</v>
      </c>
      <c r="M1130" s="120">
        <f>ROUND(Tableau1[[#This Row],[LEN]]*7.27,0)</f>
        <v>553</v>
      </c>
      <c r="N1130" s="120">
        <v>15</v>
      </c>
      <c r="O1130" s="137" t="str">
        <f t="shared" si="45"/>
        <v>_self</v>
      </c>
      <c r="P1130" s="120">
        <f>LEN(Tableau1[[#This Row],[LABEL]])</f>
        <v>76</v>
      </c>
      <c r="Q1130" s="120">
        <v>15</v>
      </c>
      <c r="R1130" s="120" t="e">
        <f>ROUND(Tableau1[[#This Row],[LEN]]*#REF!+#REF!,0)</f>
        <v>#REF!</v>
      </c>
    </row>
    <row r="1131" spans="1:18" s="97" customFormat="1" hidden="1" x14ac:dyDescent="0.25">
      <c r="A1131" s="61" t="s">
        <v>607</v>
      </c>
      <c r="B1131" s="62" t="s">
        <v>323</v>
      </c>
      <c r="C1131" s="433" t="s">
        <v>2153</v>
      </c>
      <c r="D1131" s="63" t="s">
        <v>50</v>
      </c>
      <c r="E1131" s="79" t="s">
        <v>1177</v>
      </c>
      <c r="F1131" s="63" t="s">
        <v>1177</v>
      </c>
      <c r="G1131" s="63" t="s">
        <v>1084</v>
      </c>
      <c r="H1131" s="79" t="s">
        <v>1978</v>
      </c>
      <c r="I1131" s="79" t="s">
        <v>1131</v>
      </c>
      <c r="J1131" s="63"/>
      <c r="K1131" s="64" t="s">
        <v>708</v>
      </c>
      <c r="L1131" s="64" t="str">
        <f t="shared" si="44"/>
        <v>_</v>
      </c>
      <c r="M1131" s="120">
        <f>ROUND(Tableau1[[#This Row],[LEN]]*7.27,0)</f>
        <v>87</v>
      </c>
      <c r="N1131" s="120">
        <v>15</v>
      </c>
      <c r="O1131" s="137" t="str">
        <f t="shared" si="45"/>
        <v>_self</v>
      </c>
      <c r="P1131" s="120">
        <f>LEN(Tableau1[[#This Row],[LABEL]])</f>
        <v>12</v>
      </c>
      <c r="Q1131" s="120">
        <v>15</v>
      </c>
      <c r="R1131" s="120" t="e">
        <f>ROUND(Tableau1[[#This Row],[LEN]]*#REF!+#REF!,0)</f>
        <v>#REF!</v>
      </c>
    </row>
    <row r="1132" spans="1:18" s="97" customFormat="1" hidden="1" x14ac:dyDescent="0.25">
      <c r="A1132" s="61" t="s">
        <v>608</v>
      </c>
      <c r="B1132" s="62" t="s">
        <v>323</v>
      </c>
      <c r="C1132" s="433" t="s">
        <v>2153</v>
      </c>
      <c r="D1132" s="63" t="s">
        <v>603</v>
      </c>
      <c r="E1132" s="79" t="s">
        <v>1177</v>
      </c>
      <c r="F1132" s="63" t="s">
        <v>1177</v>
      </c>
      <c r="G1132" s="63" t="s">
        <v>1084</v>
      </c>
      <c r="H1132" s="79" t="s">
        <v>1977</v>
      </c>
      <c r="I1132" s="79" t="s">
        <v>1131</v>
      </c>
      <c r="J1132" s="63"/>
      <c r="K1132" s="64" t="s">
        <v>708</v>
      </c>
      <c r="L1132" s="64" t="str">
        <f t="shared" si="44"/>
        <v>_</v>
      </c>
      <c r="M1132" s="120">
        <f>ROUND(Tableau1[[#This Row],[LEN]]*7.27,0)</f>
        <v>247</v>
      </c>
      <c r="N1132" s="120">
        <v>15</v>
      </c>
      <c r="O1132" s="137" t="str">
        <f t="shared" si="45"/>
        <v>_self</v>
      </c>
      <c r="P1132" s="120">
        <f>LEN(Tableau1[[#This Row],[LABEL]])</f>
        <v>34</v>
      </c>
      <c r="Q1132" s="120">
        <v>15</v>
      </c>
      <c r="R1132" s="120" t="e">
        <f>ROUND(Tableau1[[#This Row],[LEN]]*#REF!+#REF!,0)</f>
        <v>#REF!</v>
      </c>
    </row>
    <row r="1133" spans="1:18" s="273" customFormat="1" hidden="1" x14ac:dyDescent="0.25">
      <c r="A1133" s="372" t="s">
        <v>324</v>
      </c>
      <c r="B1133" s="373" t="s">
        <v>210</v>
      </c>
      <c r="C1133" s="433" t="s">
        <v>2153</v>
      </c>
      <c r="D1133" s="374" t="s">
        <v>4</v>
      </c>
      <c r="E1133" s="375" t="s">
        <v>1177</v>
      </c>
      <c r="F1133" s="374" t="s">
        <v>666</v>
      </c>
      <c r="G1133" s="374" t="s">
        <v>1177</v>
      </c>
      <c r="H1133" s="375" t="s">
        <v>170</v>
      </c>
      <c r="I1133" s="375" t="str">
        <f>IFERROR(IF(SEARCH(".00.00.00.00.00",Tableau1[[#This Row],[name]],1)=7,"Division",""),"")</f>
        <v>Division</v>
      </c>
      <c r="J1133" s="374"/>
      <c r="K1133" s="376" t="s">
        <v>708</v>
      </c>
      <c r="L1133" s="376" t="str">
        <f t="shared" si="44"/>
        <v>_</v>
      </c>
      <c r="M1133" s="377">
        <f>ROUND(Tableau1[[#This Row],[LEN]]*7.27,0)</f>
        <v>36</v>
      </c>
      <c r="N1133" s="377">
        <v>15</v>
      </c>
      <c r="O1133" s="378" t="str">
        <f t="shared" si="45"/>
        <v>_self</v>
      </c>
      <c r="P1133" s="377">
        <f>LEN(Tableau1[[#This Row],[LABEL]])</f>
        <v>5</v>
      </c>
      <c r="Q1133" s="377">
        <v>15</v>
      </c>
      <c r="R1133" s="377" t="e">
        <f>ROUND(Tableau1[[#This Row],[LEN]]*#REF!+#REF!,0)</f>
        <v>#REF!</v>
      </c>
    </row>
    <row r="1134" spans="1:18" s="97" customFormat="1" hidden="1" x14ac:dyDescent="0.25">
      <c r="A1134" s="61" t="s">
        <v>1869</v>
      </c>
      <c r="B1134" s="62" t="s">
        <v>324</v>
      </c>
      <c r="C1134" s="433" t="s">
        <v>2153</v>
      </c>
      <c r="D1134" s="63" t="s">
        <v>1876</v>
      </c>
      <c r="E1134" s="79" t="s">
        <v>1177</v>
      </c>
      <c r="F1134" s="63" t="s">
        <v>666</v>
      </c>
      <c r="G1134" s="63" t="s">
        <v>1177</v>
      </c>
      <c r="H1134" s="79" t="s">
        <v>170</v>
      </c>
      <c r="I1134" s="79" t="s">
        <v>654</v>
      </c>
      <c r="J1134" s="63"/>
      <c r="K1134" s="64" t="s">
        <v>708</v>
      </c>
      <c r="L1134" s="64" t="str">
        <f t="shared" si="44"/>
        <v>_</v>
      </c>
      <c r="M1134" s="120">
        <f>ROUND(Tableau1[[#This Row],[LEN]]*7.27,0)</f>
        <v>342</v>
      </c>
      <c r="N1134" s="120">
        <v>15</v>
      </c>
      <c r="O1134" s="137" t="str">
        <f t="shared" si="45"/>
        <v>_self</v>
      </c>
      <c r="P1134" s="120">
        <f>LEN(Tableau1[[#This Row],[LABEL]])</f>
        <v>47</v>
      </c>
      <c r="Q1134" s="120">
        <v>15</v>
      </c>
      <c r="R1134" s="120" t="e">
        <f>ROUND(Tableau1[[#This Row],[LEN]]*#REF!+#REF!,0)</f>
        <v>#REF!</v>
      </c>
    </row>
    <row r="1135" spans="1:18" s="97" customFormat="1" hidden="1" x14ac:dyDescent="0.25">
      <c r="A1135" s="61" t="s">
        <v>1870</v>
      </c>
      <c r="B1135" s="62" t="s">
        <v>324</v>
      </c>
      <c r="C1135" s="433" t="s">
        <v>2153</v>
      </c>
      <c r="D1135" s="63" t="s">
        <v>1875</v>
      </c>
      <c r="E1135" s="79" t="s">
        <v>1177</v>
      </c>
      <c r="F1135" s="63" t="s">
        <v>684</v>
      </c>
      <c r="G1135" s="63" t="s">
        <v>2086</v>
      </c>
      <c r="H1135" s="79" t="s">
        <v>170</v>
      </c>
      <c r="I1135" s="79" t="s">
        <v>656</v>
      </c>
      <c r="J1135" s="63"/>
      <c r="K1135" s="64" t="s">
        <v>708</v>
      </c>
      <c r="L1135" s="64" t="str">
        <f t="shared" si="44"/>
        <v>_</v>
      </c>
      <c r="M1135" s="120">
        <f>ROUND(Tableau1[[#This Row],[LEN]]*7.27,0)</f>
        <v>291</v>
      </c>
      <c r="N1135" s="120">
        <v>15</v>
      </c>
      <c r="O1135" s="137" t="str">
        <f t="shared" si="45"/>
        <v>_self</v>
      </c>
      <c r="P1135" s="120">
        <f>LEN(Tableau1[[#This Row],[LABEL]])</f>
        <v>40</v>
      </c>
      <c r="Q1135" s="120">
        <v>15</v>
      </c>
      <c r="R1135" s="120" t="e">
        <f>ROUND(Tableau1[[#This Row],[LEN]]*#REF!+#REF!,0)</f>
        <v>#REF!</v>
      </c>
    </row>
    <row r="1136" spans="1:18" s="97" customFormat="1" hidden="1" x14ac:dyDescent="0.25">
      <c r="A1136" s="61" t="s">
        <v>1871</v>
      </c>
      <c r="B1136" s="62" t="s">
        <v>324</v>
      </c>
      <c r="C1136" s="433" t="s">
        <v>2153</v>
      </c>
      <c r="D1136" s="63" t="s">
        <v>602</v>
      </c>
      <c r="E1136" s="79" t="s">
        <v>1177</v>
      </c>
      <c r="F1136" s="63" t="s">
        <v>661</v>
      </c>
      <c r="G1136" s="63" t="s">
        <v>1874</v>
      </c>
      <c r="H1136" s="79" t="s">
        <v>170</v>
      </c>
      <c r="I1136" s="79" t="s">
        <v>656</v>
      </c>
      <c r="J1136" s="63"/>
      <c r="K1136" s="64" t="s">
        <v>708</v>
      </c>
      <c r="L1136" s="64" t="str">
        <f t="shared" si="44"/>
        <v>_</v>
      </c>
      <c r="M1136" s="120">
        <f>ROUND(Tableau1[[#This Row],[LEN]]*7.27,0)</f>
        <v>553</v>
      </c>
      <c r="N1136" s="120">
        <v>15</v>
      </c>
      <c r="O1136" s="137" t="str">
        <f t="shared" si="45"/>
        <v>_self</v>
      </c>
      <c r="P1136" s="120">
        <f>LEN(Tableau1[[#This Row],[LABEL]])</f>
        <v>76</v>
      </c>
      <c r="Q1136" s="120">
        <v>15</v>
      </c>
      <c r="R1136" s="120" t="e">
        <f>ROUND(Tableau1[[#This Row],[LEN]]*#REF!+#REF!,0)</f>
        <v>#REF!</v>
      </c>
    </row>
    <row r="1137" spans="1:18" s="97" customFormat="1" hidden="1" x14ac:dyDescent="0.25">
      <c r="A1137" s="61" t="s">
        <v>1872</v>
      </c>
      <c r="B1137" s="62" t="s">
        <v>324</v>
      </c>
      <c r="C1137" s="433" t="s">
        <v>2153</v>
      </c>
      <c r="D1137" s="63" t="s">
        <v>50</v>
      </c>
      <c r="E1137" s="79" t="s">
        <v>1177</v>
      </c>
      <c r="F1137" s="63" t="s">
        <v>1177</v>
      </c>
      <c r="G1137" s="63" t="s">
        <v>1084</v>
      </c>
      <c r="H1137" s="79" t="s">
        <v>1978</v>
      </c>
      <c r="I1137" s="79" t="s">
        <v>1131</v>
      </c>
      <c r="J1137" s="63"/>
      <c r="K1137" s="64" t="s">
        <v>708</v>
      </c>
      <c r="L1137" s="64" t="str">
        <f t="shared" si="44"/>
        <v>_</v>
      </c>
      <c r="M1137" s="120">
        <f>ROUND(Tableau1[[#This Row],[LEN]]*7.27,0)</f>
        <v>87</v>
      </c>
      <c r="N1137" s="120">
        <v>15</v>
      </c>
      <c r="O1137" s="137" t="str">
        <f t="shared" si="45"/>
        <v>_self</v>
      </c>
      <c r="P1137" s="120">
        <f>LEN(Tableau1[[#This Row],[LABEL]])</f>
        <v>12</v>
      </c>
      <c r="Q1137" s="120">
        <v>15</v>
      </c>
      <c r="R1137" s="120" t="e">
        <f>ROUND(Tableau1[[#This Row],[LEN]]*#REF!+#REF!,0)</f>
        <v>#REF!</v>
      </c>
    </row>
    <row r="1138" spans="1:18" s="97" customFormat="1" hidden="1" x14ac:dyDescent="0.25">
      <c r="A1138" s="61" t="s">
        <v>1873</v>
      </c>
      <c r="B1138" s="62" t="s">
        <v>324</v>
      </c>
      <c r="C1138" s="433" t="s">
        <v>2153</v>
      </c>
      <c r="D1138" s="63" t="s">
        <v>603</v>
      </c>
      <c r="E1138" s="79" t="s">
        <v>1177</v>
      </c>
      <c r="F1138" s="63" t="s">
        <v>1177</v>
      </c>
      <c r="G1138" s="63" t="s">
        <v>1084</v>
      </c>
      <c r="H1138" s="79" t="s">
        <v>1977</v>
      </c>
      <c r="I1138" s="79" t="s">
        <v>1131</v>
      </c>
      <c r="J1138" s="63"/>
      <c r="K1138" s="64" t="s">
        <v>708</v>
      </c>
      <c r="L1138" s="64" t="str">
        <f t="shared" si="44"/>
        <v>_</v>
      </c>
      <c r="M1138" s="120">
        <f>ROUND(Tableau1[[#This Row],[LEN]]*7.27,0)</f>
        <v>247</v>
      </c>
      <c r="N1138" s="120">
        <v>15</v>
      </c>
      <c r="O1138" s="137" t="str">
        <f t="shared" si="45"/>
        <v>_self</v>
      </c>
      <c r="P1138" s="120">
        <f>LEN(Tableau1[[#This Row],[LABEL]])</f>
        <v>34</v>
      </c>
      <c r="Q1138" s="120">
        <v>15</v>
      </c>
      <c r="R1138" s="120" t="e">
        <f>ROUND(Tableau1[[#This Row],[LEN]]*#REF!+#REF!,0)</f>
        <v>#REF!</v>
      </c>
    </row>
    <row r="1139" spans="1:18" s="273" customFormat="1" hidden="1" x14ac:dyDescent="0.25">
      <c r="A1139" s="372" t="s">
        <v>326</v>
      </c>
      <c r="B1139" s="373" t="s">
        <v>210</v>
      </c>
      <c r="C1139" s="433" t="s">
        <v>2153</v>
      </c>
      <c r="D1139" s="374" t="s">
        <v>5</v>
      </c>
      <c r="E1139" s="375" t="s">
        <v>1177</v>
      </c>
      <c r="F1139" s="374" t="s">
        <v>668</v>
      </c>
      <c r="G1139" s="374" t="s">
        <v>1177</v>
      </c>
      <c r="H1139" s="375" t="s">
        <v>170</v>
      </c>
      <c r="I1139" s="375" t="str">
        <f>IFERROR(IF(SEARCH(".00.00.00.00.00",Tableau1[[#This Row],[name]],1)=7,"Division",""),"")</f>
        <v>Division</v>
      </c>
      <c r="J1139" s="374"/>
      <c r="K1139" s="376" t="s">
        <v>708</v>
      </c>
      <c r="L1139" s="376" t="str">
        <f t="shared" si="44"/>
        <v>_</v>
      </c>
      <c r="M1139" s="377">
        <f>ROUND(Tableau1[[#This Row],[LEN]]*7.27,0)</f>
        <v>73</v>
      </c>
      <c r="N1139" s="377">
        <v>15</v>
      </c>
      <c r="O1139" s="378" t="str">
        <f t="shared" si="45"/>
        <v>_self</v>
      </c>
      <c r="P1139" s="377">
        <f>LEN(Tableau1[[#This Row],[LABEL]])</f>
        <v>10</v>
      </c>
      <c r="Q1139" s="377">
        <v>15</v>
      </c>
      <c r="R1139" s="377" t="e">
        <f>ROUND(Tableau1[[#This Row],[LEN]]*#REF!+#REF!,0)</f>
        <v>#REF!</v>
      </c>
    </row>
    <row r="1140" spans="1:18" s="97" customFormat="1" hidden="1" x14ac:dyDescent="0.25">
      <c r="A1140" s="61" t="s">
        <v>1877</v>
      </c>
      <c r="B1140" s="62" t="s">
        <v>326</v>
      </c>
      <c r="C1140" s="433" t="s">
        <v>2153</v>
      </c>
      <c r="D1140" s="63" t="s">
        <v>602</v>
      </c>
      <c r="E1140" s="79" t="s">
        <v>1177</v>
      </c>
      <c r="F1140" s="63" t="s">
        <v>661</v>
      </c>
      <c r="G1140" s="63" t="s">
        <v>1874</v>
      </c>
      <c r="H1140" s="79" t="s">
        <v>170</v>
      </c>
      <c r="I1140" s="79" t="s">
        <v>656</v>
      </c>
      <c r="J1140" s="63"/>
      <c r="K1140" s="64" t="s">
        <v>708</v>
      </c>
      <c r="L1140" s="64" t="str">
        <f t="shared" si="44"/>
        <v>_</v>
      </c>
      <c r="M1140" s="120">
        <f>ROUND(Tableau1[[#This Row],[LEN]]*7.27,0)</f>
        <v>553</v>
      </c>
      <c r="N1140" s="120">
        <v>15</v>
      </c>
      <c r="O1140" s="137" t="str">
        <f t="shared" si="45"/>
        <v>_self</v>
      </c>
      <c r="P1140" s="120">
        <f>LEN(Tableau1[[#This Row],[LABEL]])</f>
        <v>76</v>
      </c>
      <c r="Q1140" s="120">
        <v>15</v>
      </c>
      <c r="R1140" s="120" t="e">
        <f>ROUND(Tableau1[[#This Row],[LEN]]*#REF!+#REF!,0)</f>
        <v>#REF!</v>
      </c>
    </row>
    <row r="1141" spans="1:18" s="273" customFormat="1" hidden="1" x14ac:dyDescent="0.25">
      <c r="A1141" s="372" t="s">
        <v>327</v>
      </c>
      <c r="B1141" s="373" t="s">
        <v>210</v>
      </c>
      <c r="C1141" s="433" t="s">
        <v>2153</v>
      </c>
      <c r="D1141" s="374" t="s">
        <v>2147</v>
      </c>
      <c r="E1141" s="375" t="s">
        <v>1177</v>
      </c>
      <c r="F1141" s="374" t="s">
        <v>669</v>
      </c>
      <c r="G1141" s="374" t="s">
        <v>1177</v>
      </c>
      <c r="H1141" s="375" t="s">
        <v>170</v>
      </c>
      <c r="I1141" s="375" t="str">
        <f>IFERROR(IF(SEARCH(".00.00.00.00.00",Tableau1[[#This Row],[name]],1)=7,"Division",""),"")</f>
        <v>Division</v>
      </c>
      <c r="J1141" s="374"/>
      <c r="K1141" s="376" t="s">
        <v>708</v>
      </c>
      <c r="L1141" s="376" t="str">
        <f t="shared" si="44"/>
        <v>_</v>
      </c>
      <c r="M1141" s="377">
        <f>ROUND(Tableau1[[#This Row],[LEN]]*7.27,0)</f>
        <v>196</v>
      </c>
      <c r="N1141" s="377">
        <v>15</v>
      </c>
      <c r="O1141" s="378" t="str">
        <f t="shared" si="45"/>
        <v>_self</v>
      </c>
      <c r="P1141" s="377">
        <f>LEN(Tableau1[[#This Row],[LABEL]])</f>
        <v>27</v>
      </c>
      <c r="Q1141" s="377">
        <v>15</v>
      </c>
      <c r="R1141" s="377" t="e">
        <f>ROUND(Tableau1[[#This Row],[LEN]]*#REF!+#REF!,0)</f>
        <v>#REF!</v>
      </c>
    </row>
    <row r="1142" spans="1:18" s="97" customFormat="1" hidden="1" x14ac:dyDescent="0.25">
      <c r="A1142" s="61" t="s">
        <v>1886</v>
      </c>
      <c r="B1142" s="62" t="s">
        <v>327</v>
      </c>
      <c r="C1142" s="433" t="s">
        <v>2153</v>
      </c>
      <c r="D1142" s="63" t="s">
        <v>1890</v>
      </c>
      <c r="E1142" s="79" t="s">
        <v>1891</v>
      </c>
      <c r="F1142" s="63" t="s">
        <v>669</v>
      </c>
      <c r="G1142" s="63" t="s">
        <v>1177</v>
      </c>
      <c r="H1142" s="79" t="s">
        <v>170</v>
      </c>
      <c r="I1142" s="79" t="s">
        <v>570</v>
      </c>
      <c r="J1142" s="63"/>
      <c r="K1142" s="64" t="s">
        <v>708</v>
      </c>
      <c r="L1142" s="64" t="str">
        <f t="shared" si="44"/>
        <v>_</v>
      </c>
      <c r="M1142" s="120">
        <f>ROUND(Tableau1[[#This Row],[LEN]]*7.27,0)</f>
        <v>327</v>
      </c>
      <c r="N1142" s="120">
        <v>15</v>
      </c>
      <c r="O1142" s="137" t="str">
        <f t="shared" si="45"/>
        <v>_self</v>
      </c>
      <c r="P1142" s="120">
        <f>LEN(Tableau1[[#This Row],[LABEL]])</f>
        <v>45</v>
      </c>
      <c r="Q1142" s="120">
        <v>15</v>
      </c>
      <c r="R1142" s="120" t="e">
        <f>ROUND(Tableau1[[#This Row],[LEN]]*#REF!+#REF!,0)</f>
        <v>#REF!</v>
      </c>
    </row>
    <row r="1143" spans="1:18" s="97" customFormat="1" hidden="1" x14ac:dyDescent="0.25">
      <c r="A1143" s="61" t="s">
        <v>1887</v>
      </c>
      <c r="B1143" s="62" t="s">
        <v>327</v>
      </c>
      <c r="C1143" s="433" t="s">
        <v>2153</v>
      </c>
      <c r="D1143" s="63" t="s">
        <v>602</v>
      </c>
      <c r="E1143" s="79" t="s">
        <v>1177</v>
      </c>
      <c r="F1143" s="63" t="s">
        <v>661</v>
      </c>
      <c r="G1143" s="63" t="s">
        <v>1874</v>
      </c>
      <c r="H1143" s="79" t="s">
        <v>170</v>
      </c>
      <c r="I1143" s="79" t="s">
        <v>656</v>
      </c>
      <c r="J1143" s="63"/>
      <c r="K1143" s="64" t="s">
        <v>708</v>
      </c>
      <c r="L1143" s="64" t="str">
        <f t="shared" si="44"/>
        <v>_</v>
      </c>
      <c r="M1143" s="120">
        <f>ROUND(Tableau1[[#This Row],[LEN]]*7.27,0)</f>
        <v>553</v>
      </c>
      <c r="N1143" s="120">
        <v>15</v>
      </c>
      <c r="O1143" s="137" t="str">
        <f t="shared" si="45"/>
        <v>_self</v>
      </c>
      <c r="P1143" s="120">
        <f>LEN(Tableau1[[#This Row],[LABEL]])</f>
        <v>76</v>
      </c>
      <c r="Q1143" s="120">
        <v>15</v>
      </c>
      <c r="R1143" s="120" t="e">
        <f>ROUND(Tableau1[[#This Row],[LEN]]*#REF!+#REF!,0)</f>
        <v>#REF!</v>
      </c>
    </row>
    <row r="1144" spans="1:18" s="97" customFormat="1" hidden="1" x14ac:dyDescent="0.25">
      <c r="A1144" s="61" t="s">
        <v>1888</v>
      </c>
      <c r="B1144" s="62" t="s">
        <v>327</v>
      </c>
      <c r="C1144" s="433" t="s">
        <v>2153</v>
      </c>
      <c r="D1144" s="63" t="s">
        <v>50</v>
      </c>
      <c r="E1144" s="79" t="s">
        <v>1177</v>
      </c>
      <c r="F1144" s="63" t="s">
        <v>1177</v>
      </c>
      <c r="G1144" s="63" t="s">
        <v>1084</v>
      </c>
      <c r="H1144" s="79" t="s">
        <v>1978</v>
      </c>
      <c r="I1144" s="79" t="s">
        <v>1131</v>
      </c>
      <c r="J1144" s="63"/>
      <c r="K1144" s="64" t="s">
        <v>708</v>
      </c>
      <c r="L1144" s="64" t="str">
        <f t="shared" si="44"/>
        <v>_</v>
      </c>
      <c r="M1144" s="120">
        <f>ROUND(Tableau1[[#This Row],[LEN]]*7.27,0)</f>
        <v>87</v>
      </c>
      <c r="N1144" s="120">
        <v>15</v>
      </c>
      <c r="O1144" s="137" t="str">
        <f t="shared" si="45"/>
        <v>_self</v>
      </c>
      <c r="P1144" s="120">
        <f>LEN(Tableau1[[#This Row],[LABEL]])</f>
        <v>12</v>
      </c>
      <c r="Q1144" s="120">
        <v>15</v>
      </c>
      <c r="R1144" s="120" t="e">
        <f>ROUND(Tableau1[[#This Row],[LEN]]*#REF!+#REF!,0)</f>
        <v>#REF!</v>
      </c>
    </row>
    <row r="1145" spans="1:18" s="97" customFormat="1" hidden="1" x14ac:dyDescent="0.25">
      <c r="A1145" s="61" t="s">
        <v>1889</v>
      </c>
      <c r="B1145" s="62" t="s">
        <v>327</v>
      </c>
      <c r="C1145" s="433" t="s">
        <v>2153</v>
      </c>
      <c r="D1145" s="63" t="s">
        <v>603</v>
      </c>
      <c r="E1145" s="79" t="s">
        <v>1177</v>
      </c>
      <c r="F1145" s="63" t="s">
        <v>1177</v>
      </c>
      <c r="G1145" s="63" t="s">
        <v>1084</v>
      </c>
      <c r="H1145" s="79" t="s">
        <v>1977</v>
      </c>
      <c r="I1145" s="79" t="s">
        <v>1131</v>
      </c>
      <c r="J1145" s="63"/>
      <c r="K1145" s="64" t="s">
        <v>708</v>
      </c>
      <c r="L1145" s="64" t="str">
        <f t="shared" si="44"/>
        <v>_</v>
      </c>
      <c r="M1145" s="120">
        <f>ROUND(Tableau1[[#This Row],[LEN]]*7.27,0)</f>
        <v>247</v>
      </c>
      <c r="N1145" s="120">
        <v>15</v>
      </c>
      <c r="O1145" s="137" t="str">
        <f t="shared" si="45"/>
        <v>_self</v>
      </c>
      <c r="P1145" s="120">
        <f>LEN(Tableau1[[#This Row],[LABEL]])</f>
        <v>34</v>
      </c>
      <c r="Q1145" s="120">
        <v>15</v>
      </c>
      <c r="R1145" s="120" t="e">
        <f>ROUND(Tableau1[[#This Row],[LEN]]*#REF!+#REF!,0)</f>
        <v>#REF!</v>
      </c>
    </row>
    <row r="1146" spans="1:18" s="273" customFormat="1" hidden="1" x14ac:dyDescent="0.25">
      <c r="A1146" s="372" t="s">
        <v>329</v>
      </c>
      <c r="B1146" s="373" t="s">
        <v>210</v>
      </c>
      <c r="C1146" s="433" t="s">
        <v>2153</v>
      </c>
      <c r="D1146" s="374" t="s">
        <v>8</v>
      </c>
      <c r="E1146" s="375" t="s">
        <v>1177</v>
      </c>
      <c r="F1146" s="374" t="s">
        <v>671</v>
      </c>
      <c r="G1146" s="374" t="s">
        <v>1177</v>
      </c>
      <c r="H1146" s="375" t="s">
        <v>170</v>
      </c>
      <c r="I1146" s="375" t="str">
        <f>IFERROR(IF(SEARCH(".00.00.00.00.00",Tableau1[[#This Row],[name]],1)=7,"Division",""),"")</f>
        <v>Division</v>
      </c>
      <c r="J1146" s="374"/>
      <c r="K1146" s="376" t="s">
        <v>708</v>
      </c>
      <c r="L1146" s="376" t="str">
        <f t="shared" si="44"/>
        <v>_</v>
      </c>
      <c r="M1146" s="377">
        <f>ROUND(Tableau1[[#This Row],[LEN]]*7.27,0)</f>
        <v>116</v>
      </c>
      <c r="N1146" s="377">
        <v>15</v>
      </c>
      <c r="O1146" s="378" t="str">
        <f t="shared" si="45"/>
        <v>_self</v>
      </c>
      <c r="P1146" s="377">
        <f>LEN(Tableau1[[#This Row],[LABEL]])</f>
        <v>16</v>
      </c>
      <c r="Q1146" s="377">
        <v>15</v>
      </c>
      <c r="R1146" s="377" t="e">
        <f>ROUND(Tableau1[[#This Row],[LEN]]*#REF!+#REF!,0)</f>
        <v>#REF!</v>
      </c>
    </row>
    <row r="1147" spans="1:18" s="97" customFormat="1" hidden="1" x14ac:dyDescent="0.25">
      <c r="A1147" s="61" t="s">
        <v>1893</v>
      </c>
      <c r="B1147" s="62" t="s">
        <v>329</v>
      </c>
      <c r="C1147" s="433" t="s">
        <v>2153</v>
      </c>
      <c r="D1147" s="63" t="s">
        <v>1892</v>
      </c>
      <c r="E1147" s="79" t="s">
        <v>1177</v>
      </c>
      <c r="F1147" s="63" t="s">
        <v>679</v>
      </c>
      <c r="G1147" s="63" t="s">
        <v>1920</v>
      </c>
      <c r="H1147" s="79" t="s">
        <v>170</v>
      </c>
      <c r="I1147" s="79" t="s">
        <v>656</v>
      </c>
      <c r="J1147" s="63"/>
      <c r="K1147" s="64" t="s">
        <v>708</v>
      </c>
      <c r="L1147" s="64" t="str">
        <f t="shared" si="44"/>
        <v>_</v>
      </c>
      <c r="M1147" s="120">
        <f>ROUND(Tableau1[[#This Row],[LEN]]*7.27,0)</f>
        <v>204</v>
      </c>
      <c r="N1147" s="120">
        <v>15</v>
      </c>
      <c r="O1147" s="137" t="str">
        <f t="shared" si="45"/>
        <v>_self</v>
      </c>
      <c r="P1147" s="120">
        <f>LEN(Tableau1[[#This Row],[LABEL]])</f>
        <v>28</v>
      </c>
      <c r="Q1147" s="120">
        <v>15</v>
      </c>
      <c r="R1147" s="120" t="e">
        <f>ROUND(Tableau1[[#This Row],[LEN]]*#REF!+#REF!,0)</f>
        <v>#REF!</v>
      </c>
    </row>
    <row r="1148" spans="1:18" s="97" customFormat="1" hidden="1" x14ac:dyDescent="0.25">
      <c r="A1148" s="61" t="s">
        <v>1894</v>
      </c>
      <c r="B1148" s="62" t="s">
        <v>329</v>
      </c>
      <c r="C1148" s="433" t="s">
        <v>2153</v>
      </c>
      <c r="D1148" s="63" t="s">
        <v>602</v>
      </c>
      <c r="E1148" s="79" t="s">
        <v>1177</v>
      </c>
      <c r="F1148" s="63" t="s">
        <v>661</v>
      </c>
      <c r="G1148" s="63" t="s">
        <v>1874</v>
      </c>
      <c r="H1148" s="79" t="s">
        <v>170</v>
      </c>
      <c r="I1148" s="79" t="s">
        <v>656</v>
      </c>
      <c r="J1148" s="63"/>
      <c r="K1148" s="64" t="s">
        <v>708</v>
      </c>
      <c r="L1148" s="64" t="str">
        <f t="shared" si="44"/>
        <v>_</v>
      </c>
      <c r="M1148" s="120">
        <f>ROUND(Tableau1[[#This Row],[LEN]]*7.27,0)</f>
        <v>553</v>
      </c>
      <c r="N1148" s="120">
        <v>15</v>
      </c>
      <c r="O1148" s="137" t="str">
        <f t="shared" si="45"/>
        <v>_self</v>
      </c>
      <c r="P1148" s="120">
        <f>LEN(Tableau1[[#This Row],[LABEL]])</f>
        <v>76</v>
      </c>
      <c r="Q1148" s="120">
        <v>15</v>
      </c>
      <c r="R1148" s="120" t="e">
        <f>ROUND(Tableau1[[#This Row],[LEN]]*#REF!+#REF!,0)</f>
        <v>#REF!</v>
      </c>
    </row>
    <row r="1149" spans="1:18" s="97" customFormat="1" hidden="1" x14ac:dyDescent="0.25">
      <c r="A1149" s="61" t="s">
        <v>1895</v>
      </c>
      <c r="B1149" s="62" t="s">
        <v>329</v>
      </c>
      <c r="C1149" s="433" t="s">
        <v>2153</v>
      </c>
      <c r="D1149" s="63" t="s">
        <v>50</v>
      </c>
      <c r="E1149" s="79" t="s">
        <v>1177</v>
      </c>
      <c r="F1149" s="63" t="s">
        <v>1177</v>
      </c>
      <c r="G1149" s="63" t="s">
        <v>1084</v>
      </c>
      <c r="H1149" s="79" t="s">
        <v>1978</v>
      </c>
      <c r="I1149" s="79" t="s">
        <v>1131</v>
      </c>
      <c r="J1149" s="63"/>
      <c r="K1149" s="64" t="s">
        <v>708</v>
      </c>
      <c r="L1149" s="64" t="str">
        <f t="shared" si="44"/>
        <v>_</v>
      </c>
      <c r="M1149" s="120">
        <f>ROUND(Tableau1[[#This Row],[LEN]]*7.27,0)</f>
        <v>87</v>
      </c>
      <c r="N1149" s="120">
        <v>15</v>
      </c>
      <c r="O1149" s="137" t="str">
        <f t="shared" si="45"/>
        <v>_self</v>
      </c>
      <c r="P1149" s="120">
        <f>LEN(Tableau1[[#This Row],[LABEL]])</f>
        <v>12</v>
      </c>
      <c r="Q1149" s="120">
        <v>15</v>
      </c>
      <c r="R1149" s="120" t="e">
        <f>ROUND(Tableau1[[#This Row],[LEN]]*#REF!+#REF!,0)</f>
        <v>#REF!</v>
      </c>
    </row>
    <row r="1150" spans="1:18" s="97" customFormat="1" hidden="1" x14ac:dyDescent="0.25">
      <c r="A1150" s="61" t="s">
        <v>1896</v>
      </c>
      <c r="B1150" s="62" t="s">
        <v>329</v>
      </c>
      <c r="C1150" s="433" t="s">
        <v>2153</v>
      </c>
      <c r="D1150" s="63" t="s">
        <v>603</v>
      </c>
      <c r="E1150" s="79" t="s">
        <v>1177</v>
      </c>
      <c r="F1150" s="63" t="s">
        <v>1177</v>
      </c>
      <c r="G1150" s="63" t="s">
        <v>1084</v>
      </c>
      <c r="H1150" s="79" t="s">
        <v>1977</v>
      </c>
      <c r="I1150" s="79" t="s">
        <v>1131</v>
      </c>
      <c r="J1150" s="63"/>
      <c r="K1150" s="64" t="s">
        <v>708</v>
      </c>
      <c r="L1150" s="64" t="str">
        <f t="shared" si="44"/>
        <v>_</v>
      </c>
      <c r="M1150" s="120">
        <f>ROUND(Tableau1[[#This Row],[LEN]]*7.27,0)</f>
        <v>247</v>
      </c>
      <c r="N1150" s="120">
        <v>15</v>
      </c>
      <c r="O1150" s="137" t="str">
        <f t="shared" si="45"/>
        <v>_self</v>
      </c>
      <c r="P1150" s="120">
        <f>LEN(Tableau1[[#This Row],[LABEL]])</f>
        <v>34</v>
      </c>
      <c r="Q1150" s="120">
        <v>15</v>
      </c>
      <c r="R1150" s="120" t="e">
        <f>ROUND(Tableau1[[#This Row],[LEN]]*#REF!+#REF!,0)</f>
        <v>#REF!</v>
      </c>
    </row>
    <row r="1151" spans="1:18" s="97" customFormat="1" x14ac:dyDescent="0.25">
      <c r="A1151" s="61"/>
      <c r="B1151" s="62"/>
      <c r="C1151" s="431" t="s">
        <v>0</v>
      </c>
      <c r="D1151" s="466" t="s">
        <v>2201</v>
      </c>
      <c r="E1151" s="59"/>
      <c r="F1151" s="59"/>
      <c r="G1151" s="78"/>
      <c r="H1151" s="465"/>
      <c r="I1151" s="59"/>
      <c r="J1151" s="59"/>
      <c r="K1151" s="78"/>
      <c r="L1151" s="101" t="str">
        <f t="shared" ref="L1151:L1153" si="46">IF(K1151="javascript:void(0)","_","Documentation")</f>
        <v>Documentation</v>
      </c>
      <c r="M1151" s="442"/>
      <c r="N1151" s="442"/>
      <c r="O1151" s="443" t="str">
        <f t="shared" ref="O1151:O1153" si="47">IF(K1151="javascript:void(0)","none","new")</f>
        <v>new</v>
      </c>
      <c r="P1151" s="442">
        <f>LEN(Tableau1[[#This Row],[LABEL]])</f>
        <v>16</v>
      </c>
      <c r="Q1151" s="442"/>
      <c r="R1151" s="442"/>
    </row>
    <row r="1152" spans="1:18" s="97" customFormat="1" x14ac:dyDescent="0.25">
      <c r="A1152" s="61"/>
      <c r="B1152" s="62"/>
      <c r="C1152" s="431" t="s">
        <v>0</v>
      </c>
      <c r="D1152" s="466" t="s">
        <v>2202</v>
      </c>
      <c r="E1152" s="59"/>
      <c r="F1152" s="59"/>
      <c r="G1152" s="78"/>
      <c r="H1152" s="465"/>
      <c r="I1152" s="59"/>
      <c r="J1152" s="59"/>
      <c r="K1152" s="78"/>
      <c r="L1152" s="101" t="str">
        <f t="shared" si="46"/>
        <v>Documentation</v>
      </c>
      <c r="M1152" s="442"/>
      <c r="N1152" s="442"/>
      <c r="O1152" s="443" t="str">
        <f t="shared" si="47"/>
        <v>new</v>
      </c>
      <c r="P1152" s="442">
        <f>LEN(Tableau1[[#This Row],[LABEL]])</f>
        <v>21</v>
      </c>
      <c r="Q1152" s="442"/>
      <c r="R1152" s="442"/>
    </row>
    <row r="1153" spans="1:18" s="97" customFormat="1" x14ac:dyDescent="0.25">
      <c r="A1153" s="61"/>
      <c r="B1153" s="62"/>
      <c r="C1153" s="431" t="s">
        <v>0</v>
      </c>
      <c r="D1153" s="466" t="s">
        <v>901</v>
      </c>
      <c r="E1153" s="59"/>
      <c r="F1153" s="59"/>
      <c r="G1153" s="78"/>
      <c r="H1153" s="465"/>
      <c r="I1153" s="59"/>
      <c r="J1153" s="59"/>
      <c r="K1153" s="78"/>
      <c r="L1153" s="101" t="str">
        <f t="shared" si="46"/>
        <v>Documentation</v>
      </c>
      <c r="M1153" s="442"/>
      <c r="N1153" s="442"/>
      <c r="O1153" s="443" t="str">
        <f t="shared" si="47"/>
        <v>new</v>
      </c>
      <c r="P1153" s="442">
        <f>LEN(Tableau1[[#This Row],[LABEL]])</f>
        <v>16</v>
      </c>
      <c r="Q1153" s="442"/>
      <c r="R1153" s="442"/>
    </row>
    <row r="1154" spans="1:18" s="273" customFormat="1" x14ac:dyDescent="0.25">
      <c r="A1154" s="454" t="s">
        <v>330</v>
      </c>
      <c r="B1154" s="457" t="s">
        <v>210</v>
      </c>
      <c r="C1154" s="435" t="s">
        <v>2153</v>
      </c>
      <c r="D1154" s="374" t="s">
        <v>9</v>
      </c>
      <c r="E1154" s="375" t="s">
        <v>1177</v>
      </c>
      <c r="F1154" s="375" t="s">
        <v>672</v>
      </c>
      <c r="G1154" s="374" t="s">
        <v>1177</v>
      </c>
      <c r="H1154" s="375" t="s">
        <v>170</v>
      </c>
      <c r="I1154" s="440" t="str">
        <f>IFERROR(IF(SEARCH(".00.00.00.00.00",Tableau1[[#This Row],[name]],1)=7,"Division",""),"")</f>
        <v>Division</v>
      </c>
      <c r="J1154" s="374"/>
      <c r="K1154" s="441" t="s">
        <v>718</v>
      </c>
      <c r="L1154" s="101" t="str">
        <f t="shared" si="44"/>
        <v>Documentation</v>
      </c>
      <c r="M1154" s="442">
        <f>ROUND(Tableau1[[#This Row],[LEN]]*7.27,0)</f>
        <v>80</v>
      </c>
      <c r="N1154" s="442">
        <v>15</v>
      </c>
      <c r="O1154" s="462" t="str">
        <f t="shared" si="45"/>
        <v>_blank</v>
      </c>
      <c r="P1154" s="442">
        <f>LEN(Tableau1[[#This Row],[LABEL]])</f>
        <v>11</v>
      </c>
      <c r="Q1154" s="442">
        <v>15</v>
      </c>
      <c r="R1154" s="442" t="e">
        <f>ROUND(Tableau1[[#This Row],[LEN]]*#REF!+#REF!,0)</f>
        <v>#REF!</v>
      </c>
    </row>
    <row r="1155" spans="1:18" s="97" customFormat="1" hidden="1" x14ac:dyDescent="0.25">
      <c r="A1155" s="61" t="s">
        <v>599</v>
      </c>
      <c r="B1155" s="62" t="s">
        <v>330</v>
      </c>
      <c r="C1155" s="435" t="s">
        <v>2153</v>
      </c>
      <c r="D1155" s="63" t="s">
        <v>602</v>
      </c>
      <c r="E1155" s="79" t="s">
        <v>1177</v>
      </c>
      <c r="F1155" s="79" t="s">
        <v>661</v>
      </c>
      <c r="G1155" s="63" t="s">
        <v>1874</v>
      </c>
      <c r="H1155" s="79" t="s">
        <v>170</v>
      </c>
      <c r="I1155" s="440" t="s">
        <v>656</v>
      </c>
      <c r="J1155" s="63"/>
      <c r="K1155" s="441" t="s">
        <v>708</v>
      </c>
      <c r="L1155" s="101" t="str">
        <f t="shared" si="44"/>
        <v>_</v>
      </c>
      <c r="M1155" s="442">
        <f>ROUND(Tableau1[[#This Row],[LEN]]*7.27,0)</f>
        <v>553</v>
      </c>
      <c r="N1155" s="442">
        <v>15</v>
      </c>
      <c r="O1155" s="443" t="str">
        <f t="shared" si="45"/>
        <v>_self</v>
      </c>
      <c r="P1155" s="442">
        <f>LEN(Tableau1[[#This Row],[LABEL]])</f>
        <v>76</v>
      </c>
      <c r="Q1155" s="442">
        <v>15</v>
      </c>
      <c r="R1155" s="442" t="e">
        <f>ROUND(Tableau1[[#This Row],[LEN]]*#REF!+#REF!,0)</f>
        <v>#REF!</v>
      </c>
    </row>
    <row r="1156" spans="1:18" s="97" customFormat="1" hidden="1" x14ac:dyDescent="0.25">
      <c r="A1156" s="61" t="s">
        <v>600</v>
      </c>
      <c r="B1156" s="62" t="s">
        <v>330</v>
      </c>
      <c r="C1156" s="435" t="s">
        <v>2153</v>
      </c>
      <c r="D1156" s="63" t="s">
        <v>50</v>
      </c>
      <c r="E1156" s="79" t="s">
        <v>1177</v>
      </c>
      <c r="F1156" s="79" t="s">
        <v>1177</v>
      </c>
      <c r="G1156" s="63" t="s">
        <v>1084</v>
      </c>
      <c r="H1156" s="79" t="s">
        <v>1978</v>
      </c>
      <c r="I1156" s="440" t="s">
        <v>1131</v>
      </c>
      <c r="J1156" s="63"/>
      <c r="K1156" s="441" t="s">
        <v>708</v>
      </c>
      <c r="L1156" s="101" t="str">
        <f t="shared" si="44"/>
        <v>_</v>
      </c>
      <c r="M1156" s="442">
        <f>ROUND(Tableau1[[#This Row],[LEN]]*7.27,0)</f>
        <v>87</v>
      </c>
      <c r="N1156" s="442">
        <v>15</v>
      </c>
      <c r="O1156" s="443" t="str">
        <f t="shared" si="45"/>
        <v>_self</v>
      </c>
      <c r="P1156" s="442">
        <f>LEN(Tableau1[[#This Row],[LABEL]])</f>
        <v>12</v>
      </c>
      <c r="Q1156" s="442">
        <v>15</v>
      </c>
      <c r="R1156" s="442" t="e">
        <f>ROUND(Tableau1[[#This Row],[LEN]]*#REF!+#REF!,0)</f>
        <v>#REF!</v>
      </c>
    </row>
    <row r="1157" spans="1:18" s="97" customFormat="1" hidden="1" x14ac:dyDescent="0.25">
      <c r="A1157" s="61" t="s">
        <v>601</v>
      </c>
      <c r="B1157" s="62" t="s">
        <v>330</v>
      </c>
      <c r="C1157" s="435" t="s">
        <v>2153</v>
      </c>
      <c r="D1157" s="63" t="s">
        <v>603</v>
      </c>
      <c r="E1157" s="79" t="s">
        <v>1177</v>
      </c>
      <c r="F1157" s="79" t="s">
        <v>1177</v>
      </c>
      <c r="G1157" s="63" t="s">
        <v>1084</v>
      </c>
      <c r="H1157" s="79" t="s">
        <v>1977</v>
      </c>
      <c r="I1157" s="440" t="s">
        <v>1131</v>
      </c>
      <c r="J1157" s="63"/>
      <c r="K1157" s="441" t="s">
        <v>708</v>
      </c>
      <c r="L1157" s="101" t="str">
        <f t="shared" si="44"/>
        <v>_</v>
      </c>
      <c r="M1157" s="442">
        <f>ROUND(Tableau1[[#This Row],[LEN]]*7.27,0)</f>
        <v>247</v>
      </c>
      <c r="N1157" s="442">
        <v>15</v>
      </c>
      <c r="O1157" s="443" t="str">
        <f t="shared" si="45"/>
        <v>_self</v>
      </c>
      <c r="P1157" s="442">
        <f>LEN(Tableau1[[#This Row],[LABEL]])</f>
        <v>34</v>
      </c>
      <c r="Q1157" s="442">
        <v>15</v>
      </c>
      <c r="R1157" s="442" t="e">
        <f>ROUND(Tableau1[[#This Row],[LEN]]*#REF!+#REF!,0)</f>
        <v>#REF!</v>
      </c>
    </row>
    <row r="1158" spans="1:18" s="273" customFormat="1" hidden="1" x14ac:dyDescent="0.25">
      <c r="A1158" s="454" t="s">
        <v>331</v>
      </c>
      <c r="B1158" s="457" t="s">
        <v>210</v>
      </c>
      <c r="C1158" s="435" t="s">
        <v>2153</v>
      </c>
      <c r="D1158" s="374" t="s">
        <v>10</v>
      </c>
      <c r="E1158" s="375" t="s">
        <v>1177</v>
      </c>
      <c r="F1158" s="375" t="s">
        <v>673</v>
      </c>
      <c r="G1158" s="374" t="s">
        <v>1177</v>
      </c>
      <c r="H1158" s="375" t="s">
        <v>170</v>
      </c>
      <c r="I1158" s="440" t="str">
        <f>IFERROR(IF(SEARCH(".00.00.00.00.00",Tableau1[[#This Row],[name]],1)=7,"Division",""),"")</f>
        <v>Division</v>
      </c>
      <c r="J1158" s="374"/>
      <c r="K1158" s="441" t="s">
        <v>719</v>
      </c>
      <c r="L1158" s="101" t="str">
        <f t="shared" si="44"/>
        <v>Documentation</v>
      </c>
      <c r="M1158" s="442">
        <f>ROUND(Tableau1[[#This Row],[LEN]]*7.27,0)</f>
        <v>109</v>
      </c>
      <c r="N1158" s="442">
        <v>15</v>
      </c>
      <c r="O1158" s="462" t="str">
        <f t="shared" si="45"/>
        <v>_blank</v>
      </c>
      <c r="P1158" s="442">
        <f>LEN(Tableau1[[#This Row],[LABEL]])</f>
        <v>15</v>
      </c>
      <c r="Q1158" s="442">
        <v>15</v>
      </c>
      <c r="R1158" s="442" t="e">
        <f>ROUND(Tableau1[[#This Row],[LEN]]*#REF!+#REF!,0)</f>
        <v>#REF!</v>
      </c>
    </row>
    <row r="1159" spans="1:18" s="97" customFormat="1" hidden="1" x14ac:dyDescent="0.25">
      <c r="A1159" s="61" t="s">
        <v>1878</v>
      </c>
      <c r="B1159" s="62" t="s">
        <v>331</v>
      </c>
      <c r="C1159" s="435" t="s">
        <v>2153</v>
      </c>
      <c r="D1159" s="63" t="s">
        <v>1882</v>
      </c>
      <c r="E1159" s="79" t="s">
        <v>1177</v>
      </c>
      <c r="F1159" s="79" t="s">
        <v>673</v>
      </c>
      <c r="G1159" s="63" t="s">
        <v>2087</v>
      </c>
      <c r="H1159" s="79" t="s">
        <v>170</v>
      </c>
      <c r="I1159" s="440" t="s">
        <v>656</v>
      </c>
      <c r="J1159" s="63"/>
      <c r="K1159" s="441" t="s">
        <v>708</v>
      </c>
      <c r="L1159" s="101" t="str">
        <f t="shared" si="44"/>
        <v>_</v>
      </c>
      <c r="M1159" s="442">
        <f>ROUND(Tableau1[[#This Row],[LEN]]*7.27,0)</f>
        <v>233</v>
      </c>
      <c r="N1159" s="442">
        <v>15</v>
      </c>
      <c r="O1159" s="443" t="str">
        <f t="shared" si="45"/>
        <v>_self</v>
      </c>
      <c r="P1159" s="442">
        <f>LEN(Tableau1[[#This Row],[LABEL]])</f>
        <v>32</v>
      </c>
      <c r="Q1159" s="442">
        <v>15</v>
      </c>
      <c r="R1159" s="442" t="e">
        <f>ROUND(Tableau1[[#This Row],[LEN]]*#REF!+#REF!,0)</f>
        <v>#REF!</v>
      </c>
    </row>
    <row r="1160" spans="1:18" s="97" customFormat="1" hidden="1" x14ac:dyDescent="0.25">
      <c r="A1160" s="61" t="s">
        <v>1879</v>
      </c>
      <c r="B1160" s="62" t="s">
        <v>331</v>
      </c>
      <c r="C1160" s="435" t="s">
        <v>2153</v>
      </c>
      <c r="D1160" s="63" t="s">
        <v>602</v>
      </c>
      <c r="E1160" s="79" t="s">
        <v>1177</v>
      </c>
      <c r="F1160" s="79" t="s">
        <v>661</v>
      </c>
      <c r="G1160" s="63" t="s">
        <v>1874</v>
      </c>
      <c r="H1160" s="79" t="s">
        <v>170</v>
      </c>
      <c r="I1160" s="440" t="s">
        <v>656</v>
      </c>
      <c r="J1160" s="63"/>
      <c r="K1160" s="441" t="s">
        <v>708</v>
      </c>
      <c r="L1160" s="101" t="str">
        <f t="shared" si="44"/>
        <v>_</v>
      </c>
      <c r="M1160" s="442">
        <f>ROUND(Tableau1[[#This Row],[LEN]]*7.27,0)</f>
        <v>553</v>
      </c>
      <c r="N1160" s="442">
        <v>15</v>
      </c>
      <c r="O1160" s="443" t="str">
        <f t="shared" si="45"/>
        <v>_self</v>
      </c>
      <c r="P1160" s="442">
        <f>LEN(Tableau1[[#This Row],[LABEL]])</f>
        <v>76</v>
      </c>
      <c r="Q1160" s="442">
        <v>15</v>
      </c>
      <c r="R1160" s="442" t="e">
        <f>ROUND(Tableau1[[#This Row],[LEN]]*#REF!+#REF!,0)</f>
        <v>#REF!</v>
      </c>
    </row>
    <row r="1161" spans="1:18" s="97" customFormat="1" hidden="1" x14ac:dyDescent="0.25">
      <c r="A1161" s="61" t="s">
        <v>1880</v>
      </c>
      <c r="B1161" s="62" t="s">
        <v>331</v>
      </c>
      <c r="C1161" s="435" t="s">
        <v>2153</v>
      </c>
      <c r="D1161" s="63" t="s">
        <v>50</v>
      </c>
      <c r="E1161" s="79" t="s">
        <v>1177</v>
      </c>
      <c r="F1161" s="79" t="s">
        <v>1177</v>
      </c>
      <c r="G1161" s="63" t="s">
        <v>1084</v>
      </c>
      <c r="H1161" s="79" t="s">
        <v>1978</v>
      </c>
      <c r="I1161" s="440" t="s">
        <v>1131</v>
      </c>
      <c r="J1161" s="63"/>
      <c r="K1161" s="441" t="s">
        <v>708</v>
      </c>
      <c r="L1161" s="101" t="str">
        <f t="shared" si="44"/>
        <v>_</v>
      </c>
      <c r="M1161" s="442">
        <f>ROUND(Tableau1[[#This Row],[LEN]]*7.27,0)</f>
        <v>87</v>
      </c>
      <c r="N1161" s="442">
        <v>15</v>
      </c>
      <c r="O1161" s="443" t="str">
        <f t="shared" si="45"/>
        <v>_self</v>
      </c>
      <c r="P1161" s="442">
        <f>LEN(Tableau1[[#This Row],[LABEL]])</f>
        <v>12</v>
      </c>
      <c r="Q1161" s="442">
        <v>15</v>
      </c>
      <c r="R1161" s="442" t="e">
        <f>ROUND(Tableau1[[#This Row],[LEN]]*#REF!+#REF!,0)</f>
        <v>#REF!</v>
      </c>
    </row>
    <row r="1162" spans="1:18" s="97" customFormat="1" hidden="1" x14ac:dyDescent="0.25">
      <c r="A1162" s="61" t="s">
        <v>1881</v>
      </c>
      <c r="B1162" s="62" t="s">
        <v>331</v>
      </c>
      <c r="C1162" s="435" t="s">
        <v>2153</v>
      </c>
      <c r="D1162" s="63" t="s">
        <v>603</v>
      </c>
      <c r="E1162" s="79" t="s">
        <v>1177</v>
      </c>
      <c r="F1162" s="79" t="s">
        <v>1177</v>
      </c>
      <c r="G1162" s="63" t="s">
        <v>1084</v>
      </c>
      <c r="H1162" s="79" t="s">
        <v>1977</v>
      </c>
      <c r="I1162" s="440" t="s">
        <v>1131</v>
      </c>
      <c r="J1162" s="63"/>
      <c r="K1162" s="441" t="s">
        <v>708</v>
      </c>
      <c r="L1162" s="101" t="str">
        <f t="shared" si="44"/>
        <v>_</v>
      </c>
      <c r="M1162" s="442">
        <f>ROUND(Tableau1[[#This Row],[LEN]]*7.27,0)</f>
        <v>247</v>
      </c>
      <c r="N1162" s="442">
        <v>15</v>
      </c>
      <c r="O1162" s="443" t="str">
        <f t="shared" si="45"/>
        <v>_self</v>
      </c>
      <c r="P1162" s="442">
        <f>LEN(Tableau1[[#This Row],[LABEL]])</f>
        <v>34</v>
      </c>
      <c r="Q1162" s="442">
        <v>15</v>
      </c>
      <c r="R1162" s="442" t="e">
        <f>ROUND(Tableau1[[#This Row],[LEN]]*#REF!+#REF!,0)</f>
        <v>#REF!</v>
      </c>
    </row>
    <row r="1163" spans="1:18" s="273" customFormat="1" hidden="1" x14ac:dyDescent="0.25">
      <c r="A1163" s="454" t="s">
        <v>332</v>
      </c>
      <c r="B1163" s="457" t="s">
        <v>210</v>
      </c>
      <c r="C1163" s="435" t="s">
        <v>2153</v>
      </c>
      <c r="D1163" s="374" t="s">
        <v>11</v>
      </c>
      <c r="E1163" s="375" t="s">
        <v>1177</v>
      </c>
      <c r="F1163" s="375" t="s">
        <v>674</v>
      </c>
      <c r="G1163" s="374" t="s">
        <v>1177</v>
      </c>
      <c r="H1163" s="375" t="s">
        <v>170</v>
      </c>
      <c r="I1163" s="440" t="str">
        <f>IFERROR(IF(SEARCH(".00.00.00.00.00",Tableau1[[#This Row],[name]],1)=7,"Division",""),"")</f>
        <v>Division</v>
      </c>
      <c r="J1163" s="374"/>
      <c r="K1163" s="441" t="s">
        <v>720</v>
      </c>
      <c r="L1163" s="101" t="str">
        <f t="shared" si="44"/>
        <v>Documentation</v>
      </c>
      <c r="M1163" s="442">
        <f>ROUND(Tableau1[[#This Row],[LEN]]*7.27,0)</f>
        <v>51</v>
      </c>
      <c r="N1163" s="442">
        <v>15</v>
      </c>
      <c r="O1163" s="462" t="str">
        <f t="shared" si="45"/>
        <v>_blank</v>
      </c>
      <c r="P1163" s="442">
        <f>LEN(Tableau1[[#This Row],[LABEL]])</f>
        <v>7</v>
      </c>
      <c r="Q1163" s="442">
        <v>15</v>
      </c>
      <c r="R1163" s="442" t="e">
        <f>ROUND(Tableau1[[#This Row],[LEN]]*#REF!+#REF!,0)</f>
        <v>#REF!</v>
      </c>
    </row>
    <row r="1164" spans="1:18" s="97" customFormat="1" hidden="1" x14ac:dyDescent="0.25">
      <c r="A1164" s="61" t="s">
        <v>1883</v>
      </c>
      <c r="B1164" s="62" t="s">
        <v>332</v>
      </c>
      <c r="C1164" s="435" t="s">
        <v>2153</v>
      </c>
      <c r="D1164" s="63" t="s">
        <v>602</v>
      </c>
      <c r="E1164" s="79" t="s">
        <v>1177</v>
      </c>
      <c r="F1164" s="79" t="s">
        <v>661</v>
      </c>
      <c r="G1164" s="63" t="s">
        <v>1874</v>
      </c>
      <c r="H1164" s="79" t="s">
        <v>170</v>
      </c>
      <c r="I1164" s="440" t="s">
        <v>656</v>
      </c>
      <c r="J1164" s="63"/>
      <c r="K1164" s="441" t="s">
        <v>708</v>
      </c>
      <c r="L1164" s="101" t="str">
        <f t="shared" si="44"/>
        <v>_</v>
      </c>
      <c r="M1164" s="442">
        <f>ROUND(Tableau1[[#This Row],[LEN]]*7.27,0)</f>
        <v>553</v>
      </c>
      <c r="N1164" s="442">
        <v>15</v>
      </c>
      <c r="O1164" s="443" t="str">
        <f t="shared" si="45"/>
        <v>_self</v>
      </c>
      <c r="P1164" s="442">
        <f>LEN(Tableau1[[#This Row],[LABEL]])</f>
        <v>76</v>
      </c>
      <c r="Q1164" s="442">
        <v>15</v>
      </c>
      <c r="R1164" s="442" t="e">
        <f>ROUND(Tableau1[[#This Row],[LEN]]*#REF!+#REF!,0)</f>
        <v>#REF!</v>
      </c>
    </row>
    <row r="1165" spans="1:18" s="97" customFormat="1" hidden="1" x14ac:dyDescent="0.25">
      <c r="A1165" s="61" t="s">
        <v>1884</v>
      </c>
      <c r="B1165" s="62" t="s">
        <v>1883</v>
      </c>
      <c r="C1165" s="435" t="s">
        <v>2153</v>
      </c>
      <c r="D1165" s="63" t="s">
        <v>2139</v>
      </c>
      <c r="E1165" s="79" t="s">
        <v>1177</v>
      </c>
      <c r="F1165" s="79" t="s">
        <v>674</v>
      </c>
      <c r="G1165" s="63" t="s">
        <v>2143</v>
      </c>
      <c r="H1165" s="79" t="s">
        <v>170</v>
      </c>
      <c r="I1165" s="440" t="s">
        <v>656</v>
      </c>
      <c r="J1165" s="63"/>
      <c r="K1165" s="441" t="s">
        <v>708</v>
      </c>
      <c r="L1165" s="101" t="str">
        <f t="shared" si="44"/>
        <v>_</v>
      </c>
      <c r="M1165" s="442">
        <f>ROUND(Tableau1[[#This Row],[LEN]]*7.27,0)</f>
        <v>313</v>
      </c>
      <c r="N1165" s="442">
        <v>15</v>
      </c>
      <c r="O1165" s="443" t="str">
        <f t="shared" si="45"/>
        <v>_self</v>
      </c>
      <c r="P1165" s="442">
        <f>LEN(Tableau1[[#This Row],[LABEL]])</f>
        <v>43</v>
      </c>
      <c r="Q1165" s="442">
        <v>15</v>
      </c>
      <c r="R1165" s="442" t="e">
        <f>ROUND(Tableau1[[#This Row],[LEN]]*#REF!+#REF!,0)</f>
        <v>#REF!</v>
      </c>
    </row>
    <row r="1166" spans="1:18" s="97" customFormat="1" hidden="1" x14ac:dyDescent="0.25">
      <c r="A1166" s="61" t="s">
        <v>1885</v>
      </c>
      <c r="B1166" s="62" t="s">
        <v>1883</v>
      </c>
      <c r="C1166" s="435" t="s">
        <v>2153</v>
      </c>
      <c r="D1166" s="63" t="s">
        <v>2140</v>
      </c>
      <c r="E1166" s="79" t="s">
        <v>1177</v>
      </c>
      <c r="F1166" s="79" t="s">
        <v>674</v>
      </c>
      <c r="G1166" s="63" t="s">
        <v>674</v>
      </c>
      <c r="H1166" s="79" t="s">
        <v>170</v>
      </c>
      <c r="I1166" s="440" t="s">
        <v>656</v>
      </c>
      <c r="J1166" s="63"/>
      <c r="K1166" s="441" t="s">
        <v>708</v>
      </c>
      <c r="L1166" s="101" t="str">
        <f t="shared" si="44"/>
        <v>_</v>
      </c>
      <c r="M1166" s="442">
        <f>ROUND(Tableau1[[#This Row],[LEN]]*7.27,0)</f>
        <v>494</v>
      </c>
      <c r="N1166" s="442">
        <v>15</v>
      </c>
      <c r="O1166" s="443" t="str">
        <f t="shared" si="45"/>
        <v>_self</v>
      </c>
      <c r="P1166" s="442">
        <f>LEN(Tableau1[[#This Row],[LABEL]])</f>
        <v>68</v>
      </c>
      <c r="Q1166" s="442">
        <v>15</v>
      </c>
      <c r="R1166" s="442" t="e">
        <f>ROUND(Tableau1[[#This Row],[LEN]]*#REF!+#REF!,0)</f>
        <v>#REF!</v>
      </c>
    </row>
    <row r="1167" spans="1:18" s="97" customFormat="1" hidden="1" x14ac:dyDescent="0.25">
      <c r="A1167" s="61" t="s">
        <v>2137</v>
      </c>
      <c r="B1167" s="62" t="s">
        <v>1883</v>
      </c>
      <c r="C1167" s="435" t="s">
        <v>2153</v>
      </c>
      <c r="D1167" s="63" t="s">
        <v>2141</v>
      </c>
      <c r="E1167" s="79" t="s">
        <v>1177</v>
      </c>
      <c r="F1167" s="79" t="s">
        <v>674</v>
      </c>
      <c r="G1167" s="63" t="s">
        <v>2144</v>
      </c>
      <c r="H1167" s="79" t="s">
        <v>170</v>
      </c>
      <c r="I1167" s="440" t="s">
        <v>656</v>
      </c>
      <c r="J1167" s="63"/>
      <c r="K1167" s="441" t="s">
        <v>708</v>
      </c>
      <c r="L1167" s="101" t="str">
        <f t="shared" si="44"/>
        <v>_</v>
      </c>
      <c r="M1167" s="442">
        <f>ROUND(Tableau1[[#This Row],[LEN]]*7.27,0)</f>
        <v>291</v>
      </c>
      <c r="N1167" s="442">
        <v>15</v>
      </c>
      <c r="O1167" s="443" t="str">
        <f t="shared" si="45"/>
        <v>_self</v>
      </c>
      <c r="P1167" s="442">
        <f>LEN(Tableau1[[#This Row],[LABEL]])</f>
        <v>40</v>
      </c>
      <c r="Q1167" s="442">
        <v>15</v>
      </c>
      <c r="R1167" s="442" t="e">
        <f>ROUND(Tableau1[[#This Row],[LEN]]*#REF!+#REF!,0)</f>
        <v>#REF!</v>
      </c>
    </row>
    <row r="1168" spans="1:18" s="97" customFormat="1" hidden="1" x14ac:dyDescent="0.25">
      <c r="A1168" s="61" t="s">
        <v>2138</v>
      </c>
      <c r="B1168" s="62" t="s">
        <v>1883</v>
      </c>
      <c r="C1168" s="435" t="s">
        <v>2153</v>
      </c>
      <c r="D1168" s="63" t="s">
        <v>2142</v>
      </c>
      <c r="E1168" s="79" t="s">
        <v>1177</v>
      </c>
      <c r="F1168" s="79" t="s">
        <v>674</v>
      </c>
      <c r="G1168" s="63" t="s">
        <v>2145</v>
      </c>
      <c r="H1168" s="79" t="s">
        <v>170</v>
      </c>
      <c r="I1168" s="440" t="s">
        <v>656</v>
      </c>
      <c r="J1168" s="63"/>
      <c r="K1168" s="441" t="s">
        <v>708</v>
      </c>
      <c r="L1168" s="101" t="str">
        <f t="shared" si="44"/>
        <v>_</v>
      </c>
      <c r="M1168" s="442">
        <f>ROUND(Tableau1[[#This Row],[LEN]]*7.27,0)</f>
        <v>334</v>
      </c>
      <c r="N1168" s="442">
        <v>15</v>
      </c>
      <c r="O1168" s="443" t="str">
        <f t="shared" si="45"/>
        <v>_self</v>
      </c>
      <c r="P1168" s="442">
        <f>LEN(Tableau1[[#This Row],[LABEL]])</f>
        <v>46</v>
      </c>
      <c r="Q1168" s="442">
        <v>15</v>
      </c>
      <c r="R1168" s="442" t="e">
        <f>ROUND(Tableau1[[#This Row],[LEN]]*#REF!+#REF!,0)</f>
        <v>#REF!</v>
      </c>
    </row>
    <row r="1169" spans="1:18" s="97" customFormat="1" hidden="1" x14ac:dyDescent="0.25">
      <c r="A1169" s="61" t="s">
        <v>2135</v>
      </c>
      <c r="B1169" s="62" t="s">
        <v>332</v>
      </c>
      <c r="C1169" s="435" t="s">
        <v>2153</v>
      </c>
      <c r="D1169" s="63" t="s">
        <v>50</v>
      </c>
      <c r="E1169" s="79" t="s">
        <v>1177</v>
      </c>
      <c r="F1169" s="79" t="s">
        <v>1177</v>
      </c>
      <c r="G1169" s="63" t="s">
        <v>1084</v>
      </c>
      <c r="H1169" s="79" t="s">
        <v>1978</v>
      </c>
      <c r="I1169" s="440" t="s">
        <v>1131</v>
      </c>
      <c r="J1169" s="63"/>
      <c r="K1169" s="441" t="s">
        <v>708</v>
      </c>
      <c r="L1169" s="101" t="str">
        <f t="shared" si="44"/>
        <v>_</v>
      </c>
      <c r="M1169" s="442">
        <f>ROUND(Tableau1[[#This Row],[LEN]]*7.27,0)</f>
        <v>87</v>
      </c>
      <c r="N1169" s="442">
        <v>15</v>
      </c>
      <c r="O1169" s="443" t="str">
        <f t="shared" si="45"/>
        <v>_self</v>
      </c>
      <c r="P1169" s="442">
        <f>LEN(Tableau1[[#This Row],[LABEL]])</f>
        <v>12</v>
      </c>
      <c r="Q1169" s="442">
        <v>15</v>
      </c>
      <c r="R1169" s="442" t="e">
        <f>ROUND(Tableau1[[#This Row],[LEN]]*#REF!+#REF!,0)</f>
        <v>#REF!</v>
      </c>
    </row>
    <row r="1170" spans="1:18" s="97" customFormat="1" hidden="1" x14ac:dyDescent="0.25">
      <c r="A1170" s="61" t="s">
        <v>2136</v>
      </c>
      <c r="B1170" s="62" t="s">
        <v>332</v>
      </c>
      <c r="C1170" s="435" t="s">
        <v>2153</v>
      </c>
      <c r="D1170" s="63" t="s">
        <v>603</v>
      </c>
      <c r="E1170" s="79" t="s">
        <v>1177</v>
      </c>
      <c r="F1170" s="79" t="s">
        <v>1177</v>
      </c>
      <c r="G1170" s="63" t="s">
        <v>1084</v>
      </c>
      <c r="H1170" s="79" t="s">
        <v>1977</v>
      </c>
      <c r="I1170" s="440" t="s">
        <v>1131</v>
      </c>
      <c r="J1170" s="63"/>
      <c r="K1170" s="441" t="s">
        <v>708</v>
      </c>
      <c r="L1170" s="101" t="str">
        <f t="shared" si="44"/>
        <v>_</v>
      </c>
      <c r="M1170" s="442">
        <f>ROUND(Tableau1[[#This Row],[LEN]]*7.27,0)</f>
        <v>247</v>
      </c>
      <c r="N1170" s="442">
        <v>15</v>
      </c>
      <c r="O1170" s="443" t="str">
        <f t="shared" si="45"/>
        <v>_self</v>
      </c>
      <c r="P1170" s="442">
        <f>LEN(Tableau1[[#This Row],[LABEL]])</f>
        <v>34</v>
      </c>
      <c r="Q1170" s="442">
        <v>15</v>
      </c>
      <c r="R1170" s="442" t="e">
        <f>ROUND(Tableau1[[#This Row],[LEN]]*#REF!+#REF!,0)</f>
        <v>#REF!</v>
      </c>
    </row>
    <row r="1171" spans="1:18" s="273" customFormat="1" hidden="1" x14ac:dyDescent="0.25">
      <c r="A1171" s="454" t="s">
        <v>333</v>
      </c>
      <c r="B1171" s="457" t="s">
        <v>210</v>
      </c>
      <c r="C1171" s="435" t="s">
        <v>2153</v>
      </c>
      <c r="D1171" s="374" t="s">
        <v>12</v>
      </c>
      <c r="E1171" s="375" t="s">
        <v>1177</v>
      </c>
      <c r="F1171" s="375" t="s">
        <v>675</v>
      </c>
      <c r="G1171" s="374" t="s">
        <v>1177</v>
      </c>
      <c r="H1171" s="375" t="s">
        <v>170</v>
      </c>
      <c r="I1171" s="440" t="str">
        <f>IFERROR(IF(SEARCH(".00.00.00.00.00",Tableau1[[#This Row],[name]],1)=7,"Division",""),"")</f>
        <v>Division</v>
      </c>
      <c r="J1171" s="374"/>
      <c r="K1171" s="441" t="s">
        <v>721</v>
      </c>
      <c r="L1171" s="101" t="str">
        <f t="shared" si="44"/>
        <v>Documentation</v>
      </c>
      <c r="M1171" s="442">
        <f>ROUND(Tableau1[[#This Row],[LEN]]*7.27,0)</f>
        <v>15</v>
      </c>
      <c r="N1171" s="442">
        <v>15</v>
      </c>
      <c r="O1171" s="462" t="str">
        <f t="shared" si="45"/>
        <v>_blank</v>
      </c>
      <c r="P1171" s="442">
        <f>LEN(Tableau1[[#This Row],[LABEL]])</f>
        <v>2</v>
      </c>
      <c r="Q1171" s="442">
        <v>15</v>
      </c>
      <c r="R1171" s="442" t="e">
        <f>ROUND(Tableau1[[#This Row],[LEN]]*#REF!+#REF!,0)</f>
        <v>#REF!</v>
      </c>
    </row>
    <row r="1172" spans="1:18" s="97" customFormat="1" hidden="1" x14ac:dyDescent="0.25">
      <c r="A1172" s="61" t="s">
        <v>1898</v>
      </c>
      <c r="B1172" s="62" t="s">
        <v>333</v>
      </c>
      <c r="C1172" s="435" t="s">
        <v>2153</v>
      </c>
      <c r="D1172" s="63" t="s">
        <v>1897</v>
      </c>
      <c r="E1172" s="79" t="s">
        <v>1177</v>
      </c>
      <c r="F1172" s="79" t="s">
        <v>675</v>
      </c>
      <c r="G1172" s="63" t="s">
        <v>1177</v>
      </c>
      <c r="H1172" s="79" t="s">
        <v>170</v>
      </c>
      <c r="I1172" s="440" t="s">
        <v>656</v>
      </c>
      <c r="J1172" s="63"/>
      <c r="K1172" s="441" t="s">
        <v>708</v>
      </c>
      <c r="L1172" s="101" t="str">
        <f t="shared" si="44"/>
        <v>_</v>
      </c>
      <c r="M1172" s="442">
        <f>ROUND(Tableau1[[#This Row],[LEN]]*7.27,0)</f>
        <v>465</v>
      </c>
      <c r="N1172" s="442">
        <v>15</v>
      </c>
      <c r="O1172" s="443" t="str">
        <f t="shared" si="45"/>
        <v>_self</v>
      </c>
      <c r="P1172" s="442">
        <f>LEN(Tableau1[[#This Row],[LABEL]])</f>
        <v>64</v>
      </c>
      <c r="Q1172" s="442">
        <v>15</v>
      </c>
      <c r="R1172" s="442" t="e">
        <f>ROUND(Tableau1[[#This Row],[LEN]]*#REF!+#REF!,0)</f>
        <v>#REF!</v>
      </c>
    </row>
    <row r="1173" spans="1:18" s="97" customFormat="1" hidden="1" x14ac:dyDescent="0.25">
      <c r="A1173" s="61" t="s">
        <v>1899</v>
      </c>
      <c r="B1173" s="62" t="s">
        <v>333</v>
      </c>
      <c r="C1173" s="435" t="s">
        <v>2153</v>
      </c>
      <c r="D1173" s="63" t="s">
        <v>602</v>
      </c>
      <c r="E1173" s="79" t="s">
        <v>1177</v>
      </c>
      <c r="F1173" s="79" t="s">
        <v>661</v>
      </c>
      <c r="G1173" s="63" t="s">
        <v>1874</v>
      </c>
      <c r="H1173" s="79" t="s">
        <v>170</v>
      </c>
      <c r="I1173" s="440" t="s">
        <v>656</v>
      </c>
      <c r="J1173" s="63"/>
      <c r="K1173" s="441" t="s">
        <v>708</v>
      </c>
      <c r="L1173" s="101" t="str">
        <f t="shared" si="44"/>
        <v>_</v>
      </c>
      <c r="M1173" s="442">
        <f>ROUND(Tableau1[[#This Row],[LEN]]*7.27,0)</f>
        <v>553</v>
      </c>
      <c r="N1173" s="442">
        <v>15</v>
      </c>
      <c r="O1173" s="443" t="str">
        <f t="shared" si="45"/>
        <v>_self</v>
      </c>
      <c r="P1173" s="442">
        <f>LEN(Tableau1[[#This Row],[LABEL]])</f>
        <v>76</v>
      </c>
      <c r="Q1173" s="442">
        <v>15</v>
      </c>
      <c r="R1173" s="442" t="e">
        <f>ROUND(Tableau1[[#This Row],[LEN]]*#REF!+#REF!,0)</f>
        <v>#REF!</v>
      </c>
    </row>
    <row r="1174" spans="1:18" s="97" customFormat="1" hidden="1" x14ac:dyDescent="0.25">
      <c r="A1174" s="61" t="s">
        <v>1900</v>
      </c>
      <c r="B1174" s="62" t="s">
        <v>333</v>
      </c>
      <c r="C1174" s="435" t="s">
        <v>2153</v>
      </c>
      <c r="D1174" s="63" t="s">
        <v>50</v>
      </c>
      <c r="E1174" s="79" t="s">
        <v>1177</v>
      </c>
      <c r="F1174" s="79" t="s">
        <v>1177</v>
      </c>
      <c r="G1174" s="63" t="s">
        <v>1084</v>
      </c>
      <c r="H1174" s="79" t="s">
        <v>1978</v>
      </c>
      <c r="I1174" s="440" t="s">
        <v>1131</v>
      </c>
      <c r="J1174" s="63"/>
      <c r="K1174" s="441" t="s">
        <v>708</v>
      </c>
      <c r="L1174" s="101" t="str">
        <f t="shared" si="44"/>
        <v>_</v>
      </c>
      <c r="M1174" s="442">
        <f>ROUND(Tableau1[[#This Row],[LEN]]*7.27,0)</f>
        <v>87</v>
      </c>
      <c r="N1174" s="442">
        <v>15</v>
      </c>
      <c r="O1174" s="443" t="str">
        <f t="shared" si="45"/>
        <v>_self</v>
      </c>
      <c r="P1174" s="442">
        <f>LEN(Tableau1[[#This Row],[LABEL]])</f>
        <v>12</v>
      </c>
      <c r="Q1174" s="442">
        <v>15</v>
      </c>
      <c r="R1174" s="442" t="e">
        <f>ROUND(Tableau1[[#This Row],[LEN]]*#REF!+#REF!,0)</f>
        <v>#REF!</v>
      </c>
    </row>
    <row r="1175" spans="1:18" s="97" customFormat="1" hidden="1" x14ac:dyDescent="0.25">
      <c r="A1175" s="61" t="s">
        <v>1901</v>
      </c>
      <c r="B1175" s="62" t="s">
        <v>333</v>
      </c>
      <c r="C1175" s="435" t="s">
        <v>2153</v>
      </c>
      <c r="D1175" s="63" t="s">
        <v>603</v>
      </c>
      <c r="E1175" s="79" t="s">
        <v>1177</v>
      </c>
      <c r="F1175" s="79" t="s">
        <v>1177</v>
      </c>
      <c r="G1175" s="63" t="s">
        <v>1084</v>
      </c>
      <c r="H1175" s="79" t="s">
        <v>1977</v>
      </c>
      <c r="I1175" s="440" t="s">
        <v>1131</v>
      </c>
      <c r="J1175" s="63"/>
      <c r="K1175" s="441" t="s">
        <v>708</v>
      </c>
      <c r="L1175" s="101" t="str">
        <f t="shared" si="44"/>
        <v>_</v>
      </c>
      <c r="M1175" s="442">
        <f>ROUND(Tableau1[[#This Row],[LEN]]*7.27,0)</f>
        <v>247</v>
      </c>
      <c r="N1175" s="442">
        <v>15</v>
      </c>
      <c r="O1175" s="443" t="str">
        <f t="shared" si="45"/>
        <v>_self</v>
      </c>
      <c r="P1175" s="442">
        <f>LEN(Tableau1[[#This Row],[LABEL]])</f>
        <v>34</v>
      </c>
      <c r="Q1175" s="442">
        <v>15</v>
      </c>
      <c r="R1175" s="442" t="e">
        <f>ROUND(Tableau1[[#This Row],[LEN]]*#REF!+#REF!,0)</f>
        <v>#REF!</v>
      </c>
    </row>
    <row r="1176" spans="1:18" s="273" customFormat="1" hidden="1" x14ac:dyDescent="0.25">
      <c r="A1176" s="454" t="s">
        <v>334</v>
      </c>
      <c r="B1176" s="457" t="s">
        <v>210</v>
      </c>
      <c r="C1176" s="435" t="s">
        <v>2153</v>
      </c>
      <c r="D1176" s="374" t="s">
        <v>71</v>
      </c>
      <c r="E1176" s="375" t="s">
        <v>1177</v>
      </c>
      <c r="F1176" s="375" t="s">
        <v>676</v>
      </c>
      <c r="G1176" s="374" t="s">
        <v>1177</v>
      </c>
      <c r="H1176" s="375" t="s">
        <v>170</v>
      </c>
      <c r="I1176" s="440" t="str">
        <f>IFERROR(IF(SEARCH(".00.00.00.00.00",Tableau1[[#This Row],[name]],1)=7,"Division",""),"")</f>
        <v>Division</v>
      </c>
      <c r="J1176" s="374"/>
      <c r="K1176" s="441" t="s">
        <v>722</v>
      </c>
      <c r="L1176" s="101" t="str">
        <f t="shared" si="44"/>
        <v>Documentation</v>
      </c>
      <c r="M1176" s="442">
        <f>ROUND(Tableau1[[#This Row],[LEN]]*7.27,0)</f>
        <v>29</v>
      </c>
      <c r="N1176" s="442">
        <v>15</v>
      </c>
      <c r="O1176" s="462" t="str">
        <f t="shared" si="45"/>
        <v>_blank</v>
      </c>
      <c r="P1176" s="442">
        <f>LEN(Tableau1[[#This Row],[LABEL]])</f>
        <v>4</v>
      </c>
      <c r="Q1176" s="442">
        <v>15</v>
      </c>
      <c r="R1176" s="442" t="e">
        <f>ROUND(Tableau1[[#This Row],[LEN]]*#REF!+#REF!,0)</f>
        <v>#REF!</v>
      </c>
    </row>
    <row r="1177" spans="1:18" s="97" customFormat="1" hidden="1" x14ac:dyDescent="0.25">
      <c r="A1177" s="61" t="s">
        <v>1902</v>
      </c>
      <c r="B1177" s="62" t="s">
        <v>334</v>
      </c>
      <c r="C1177" s="435" t="s">
        <v>2153</v>
      </c>
      <c r="D1177" s="63" t="s">
        <v>1906</v>
      </c>
      <c r="E1177" s="79" t="s">
        <v>1908</v>
      </c>
      <c r="F1177" s="79" t="s">
        <v>676</v>
      </c>
      <c r="G1177" s="63" t="s">
        <v>1907</v>
      </c>
      <c r="H1177" s="79" t="s">
        <v>170</v>
      </c>
      <c r="I1177" s="440" t="s">
        <v>656</v>
      </c>
      <c r="J1177" s="63"/>
      <c r="K1177" s="441" t="s">
        <v>708</v>
      </c>
      <c r="L1177" s="101" t="str">
        <f t="shared" si="44"/>
        <v>_</v>
      </c>
      <c r="M1177" s="442">
        <f>ROUND(Tableau1[[#This Row],[LEN]]*7.27,0)</f>
        <v>240</v>
      </c>
      <c r="N1177" s="442">
        <v>15</v>
      </c>
      <c r="O1177" s="443" t="str">
        <f t="shared" si="45"/>
        <v>_self</v>
      </c>
      <c r="P1177" s="442">
        <f>LEN(Tableau1[[#This Row],[LABEL]])</f>
        <v>33</v>
      </c>
      <c r="Q1177" s="442">
        <v>15</v>
      </c>
      <c r="R1177" s="442" t="e">
        <f>ROUND(Tableau1[[#This Row],[LEN]]*#REF!+#REF!,0)</f>
        <v>#REF!</v>
      </c>
    </row>
    <row r="1178" spans="1:18" s="97" customFormat="1" hidden="1" x14ac:dyDescent="0.25">
      <c r="A1178" s="61" t="s">
        <v>1903</v>
      </c>
      <c r="B1178" s="62" t="s">
        <v>334</v>
      </c>
      <c r="C1178" s="435" t="s">
        <v>2153</v>
      </c>
      <c r="D1178" s="63" t="s">
        <v>602</v>
      </c>
      <c r="E1178" s="79" t="s">
        <v>1177</v>
      </c>
      <c r="F1178" s="79" t="s">
        <v>661</v>
      </c>
      <c r="G1178" s="63" t="s">
        <v>1874</v>
      </c>
      <c r="H1178" s="79" t="s">
        <v>170</v>
      </c>
      <c r="I1178" s="440" t="s">
        <v>656</v>
      </c>
      <c r="J1178" s="63"/>
      <c r="K1178" s="441" t="s">
        <v>708</v>
      </c>
      <c r="L1178" s="101" t="str">
        <f t="shared" si="44"/>
        <v>_</v>
      </c>
      <c r="M1178" s="442">
        <f>ROUND(Tableau1[[#This Row],[LEN]]*7.27,0)</f>
        <v>553</v>
      </c>
      <c r="N1178" s="442">
        <v>15</v>
      </c>
      <c r="O1178" s="443" t="str">
        <f t="shared" si="45"/>
        <v>_self</v>
      </c>
      <c r="P1178" s="442">
        <f>LEN(Tableau1[[#This Row],[LABEL]])</f>
        <v>76</v>
      </c>
      <c r="Q1178" s="442">
        <v>15</v>
      </c>
      <c r="R1178" s="442" t="e">
        <f>ROUND(Tableau1[[#This Row],[LEN]]*#REF!+#REF!,0)</f>
        <v>#REF!</v>
      </c>
    </row>
    <row r="1179" spans="1:18" s="97" customFormat="1" hidden="1" x14ac:dyDescent="0.25">
      <c r="A1179" s="61" t="s">
        <v>1904</v>
      </c>
      <c r="B1179" s="62" t="s">
        <v>334</v>
      </c>
      <c r="C1179" s="435" t="s">
        <v>2153</v>
      </c>
      <c r="D1179" s="63" t="s">
        <v>50</v>
      </c>
      <c r="E1179" s="79" t="s">
        <v>1177</v>
      </c>
      <c r="F1179" s="79" t="s">
        <v>1177</v>
      </c>
      <c r="G1179" s="63" t="s">
        <v>1084</v>
      </c>
      <c r="H1179" s="79" t="s">
        <v>1978</v>
      </c>
      <c r="I1179" s="440" t="s">
        <v>1131</v>
      </c>
      <c r="J1179" s="63"/>
      <c r="K1179" s="441" t="s">
        <v>708</v>
      </c>
      <c r="L1179" s="101" t="str">
        <f t="shared" si="44"/>
        <v>_</v>
      </c>
      <c r="M1179" s="442">
        <f>ROUND(Tableau1[[#This Row],[LEN]]*7.27,0)</f>
        <v>87</v>
      </c>
      <c r="N1179" s="442">
        <v>15</v>
      </c>
      <c r="O1179" s="443" t="str">
        <f t="shared" si="45"/>
        <v>_self</v>
      </c>
      <c r="P1179" s="442">
        <f>LEN(Tableau1[[#This Row],[LABEL]])</f>
        <v>12</v>
      </c>
      <c r="Q1179" s="442">
        <v>15</v>
      </c>
      <c r="R1179" s="442" t="e">
        <f>ROUND(Tableau1[[#This Row],[LEN]]*#REF!+#REF!,0)</f>
        <v>#REF!</v>
      </c>
    </row>
    <row r="1180" spans="1:18" s="97" customFormat="1" hidden="1" x14ac:dyDescent="0.25">
      <c r="A1180" s="61" t="s">
        <v>1905</v>
      </c>
      <c r="B1180" s="62" t="s">
        <v>334</v>
      </c>
      <c r="C1180" s="435" t="s">
        <v>2153</v>
      </c>
      <c r="D1180" s="63" t="s">
        <v>603</v>
      </c>
      <c r="E1180" s="79" t="s">
        <v>1177</v>
      </c>
      <c r="F1180" s="79" t="s">
        <v>1177</v>
      </c>
      <c r="G1180" s="63" t="s">
        <v>1084</v>
      </c>
      <c r="H1180" s="79" t="s">
        <v>1977</v>
      </c>
      <c r="I1180" s="440" t="s">
        <v>1131</v>
      </c>
      <c r="J1180" s="63"/>
      <c r="K1180" s="441" t="s">
        <v>708</v>
      </c>
      <c r="L1180" s="101" t="str">
        <f t="shared" si="44"/>
        <v>_</v>
      </c>
      <c r="M1180" s="442">
        <f>ROUND(Tableau1[[#This Row],[LEN]]*7.27,0)</f>
        <v>247</v>
      </c>
      <c r="N1180" s="442">
        <v>15</v>
      </c>
      <c r="O1180" s="443" t="str">
        <f t="shared" si="45"/>
        <v>_self</v>
      </c>
      <c r="P1180" s="442">
        <f>LEN(Tableau1[[#This Row],[LABEL]])</f>
        <v>34</v>
      </c>
      <c r="Q1180" s="442">
        <v>15</v>
      </c>
      <c r="R1180" s="442" t="e">
        <f>ROUND(Tableau1[[#This Row],[LEN]]*#REF!+#REF!,0)</f>
        <v>#REF!</v>
      </c>
    </row>
    <row r="1181" spans="1:18" s="273" customFormat="1" hidden="1" x14ac:dyDescent="0.25">
      <c r="A1181" s="454" t="s">
        <v>335</v>
      </c>
      <c r="B1181" s="457" t="s">
        <v>210</v>
      </c>
      <c r="C1181" s="435" t="s">
        <v>2153</v>
      </c>
      <c r="D1181" s="374" t="s">
        <v>13</v>
      </c>
      <c r="E1181" s="375" t="s">
        <v>1177</v>
      </c>
      <c r="F1181" s="375" t="s">
        <v>677</v>
      </c>
      <c r="G1181" s="374" t="s">
        <v>1177</v>
      </c>
      <c r="H1181" s="375" t="s">
        <v>170</v>
      </c>
      <c r="I1181" s="440" t="str">
        <f>IFERROR(IF(SEARCH(".00.00.00.00.00",Tableau1[[#This Row],[name]],1)=7,"Division",""),"")</f>
        <v>Division</v>
      </c>
      <c r="J1181" s="374"/>
      <c r="K1181" s="441" t="s">
        <v>708</v>
      </c>
      <c r="L1181" s="101" t="str">
        <f t="shared" si="44"/>
        <v>_</v>
      </c>
      <c r="M1181" s="442">
        <f>ROUND(Tableau1[[#This Row],[LEN]]*7.27,0)</f>
        <v>80</v>
      </c>
      <c r="N1181" s="442">
        <v>15</v>
      </c>
      <c r="O1181" s="462" t="str">
        <f t="shared" si="45"/>
        <v>_self</v>
      </c>
      <c r="P1181" s="442">
        <f>LEN(Tableau1[[#This Row],[LABEL]])</f>
        <v>11</v>
      </c>
      <c r="Q1181" s="442">
        <v>15</v>
      </c>
      <c r="R1181" s="442" t="e">
        <f>ROUND(Tableau1[[#This Row],[LEN]]*#REF!+#REF!,0)</f>
        <v>#REF!</v>
      </c>
    </row>
    <row r="1182" spans="1:18" s="97" customFormat="1" hidden="1" x14ac:dyDescent="0.25">
      <c r="A1182" s="61" t="s">
        <v>1909</v>
      </c>
      <c r="B1182" s="62" t="s">
        <v>335</v>
      </c>
      <c r="C1182" s="435" t="s">
        <v>2153</v>
      </c>
      <c r="D1182" s="63" t="s">
        <v>602</v>
      </c>
      <c r="E1182" s="79" t="s">
        <v>1177</v>
      </c>
      <c r="F1182" s="79" t="s">
        <v>661</v>
      </c>
      <c r="G1182" s="63" t="s">
        <v>1874</v>
      </c>
      <c r="H1182" s="79" t="s">
        <v>170</v>
      </c>
      <c r="I1182" s="440" t="s">
        <v>656</v>
      </c>
      <c r="J1182" s="63"/>
      <c r="K1182" s="441" t="s">
        <v>708</v>
      </c>
      <c r="L1182" s="101" t="str">
        <f t="shared" si="44"/>
        <v>_</v>
      </c>
      <c r="M1182" s="442">
        <f>ROUND(Tableau1[[#This Row],[LEN]]*7.27,0)</f>
        <v>553</v>
      </c>
      <c r="N1182" s="442">
        <v>15</v>
      </c>
      <c r="O1182" s="443" t="str">
        <f t="shared" si="45"/>
        <v>_self</v>
      </c>
      <c r="P1182" s="442">
        <f>LEN(Tableau1[[#This Row],[LABEL]])</f>
        <v>76</v>
      </c>
      <c r="Q1182" s="442">
        <v>15</v>
      </c>
      <c r="R1182" s="442" t="e">
        <f>ROUND(Tableau1[[#This Row],[LEN]]*#REF!+#REF!,0)</f>
        <v>#REF!</v>
      </c>
    </row>
    <row r="1183" spans="1:18" s="97" customFormat="1" hidden="1" x14ac:dyDescent="0.25">
      <c r="A1183" s="61" t="s">
        <v>1910</v>
      </c>
      <c r="B1183" s="62" t="s">
        <v>335</v>
      </c>
      <c r="C1183" s="435" t="s">
        <v>2153</v>
      </c>
      <c r="D1183" s="63" t="s">
        <v>50</v>
      </c>
      <c r="E1183" s="79" t="s">
        <v>1177</v>
      </c>
      <c r="F1183" s="79" t="s">
        <v>1177</v>
      </c>
      <c r="G1183" s="63" t="s">
        <v>1084</v>
      </c>
      <c r="H1183" s="79" t="s">
        <v>1978</v>
      </c>
      <c r="I1183" s="440" t="s">
        <v>1131</v>
      </c>
      <c r="J1183" s="63"/>
      <c r="K1183" s="441" t="s">
        <v>708</v>
      </c>
      <c r="L1183" s="101" t="str">
        <f t="shared" si="44"/>
        <v>_</v>
      </c>
      <c r="M1183" s="442">
        <f>ROUND(Tableau1[[#This Row],[LEN]]*7.27,0)</f>
        <v>87</v>
      </c>
      <c r="N1183" s="442">
        <v>15</v>
      </c>
      <c r="O1183" s="443" t="str">
        <f t="shared" si="45"/>
        <v>_self</v>
      </c>
      <c r="P1183" s="442">
        <f>LEN(Tableau1[[#This Row],[LABEL]])</f>
        <v>12</v>
      </c>
      <c r="Q1183" s="442">
        <v>15</v>
      </c>
      <c r="R1183" s="442" t="e">
        <f>ROUND(Tableau1[[#This Row],[LEN]]*#REF!+#REF!,0)</f>
        <v>#REF!</v>
      </c>
    </row>
    <row r="1184" spans="1:18" s="97" customFormat="1" hidden="1" x14ac:dyDescent="0.25">
      <c r="A1184" s="61" t="s">
        <v>1911</v>
      </c>
      <c r="B1184" s="62" t="s">
        <v>335</v>
      </c>
      <c r="C1184" s="435" t="s">
        <v>2153</v>
      </c>
      <c r="D1184" s="63" t="s">
        <v>603</v>
      </c>
      <c r="E1184" s="79" t="s">
        <v>1177</v>
      </c>
      <c r="F1184" s="79" t="s">
        <v>1177</v>
      </c>
      <c r="G1184" s="63" t="s">
        <v>1084</v>
      </c>
      <c r="H1184" s="79" t="s">
        <v>1977</v>
      </c>
      <c r="I1184" s="440" t="s">
        <v>1131</v>
      </c>
      <c r="J1184" s="63"/>
      <c r="K1184" s="441" t="s">
        <v>708</v>
      </c>
      <c r="L1184" s="101" t="str">
        <f t="shared" si="44"/>
        <v>_</v>
      </c>
      <c r="M1184" s="442">
        <f>ROUND(Tableau1[[#This Row],[LEN]]*7.27,0)</f>
        <v>247</v>
      </c>
      <c r="N1184" s="442">
        <v>15</v>
      </c>
      <c r="O1184" s="443" t="str">
        <f t="shared" si="45"/>
        <v>_self</v>
      </c>
      <c r="P1184" s="442">
        <f>LEN(Tableau1[[#This Row],[LABEL]])</f>
        <v>34</v>
      </c>
      <c r="Q1184" s="442">
        <v>15</v>
      </c>
      <c r="R1184" s="442" t="e">
        <f>ROUND(Tableau1[[#This Row],[LEN]]*#REF!+#REF!,0)</f>
        <v>#REF!</v>
      </c>
    </row>
    <row r="1185" spans="1:18" s="273" customFormat="1" hidden="1" x14ac:dyDescent="0.25">
      <c r="A1185" s="454" t="s">
        <v>336</v>
      </c>
      <c r="B1185" s="457" t="s">
        <v>210</v>
      </c>
      <c r="C1185" s="435" t="s">
        <v>2153</v>
      </c>
      <c r="D1185" s="374" t="s">
        <v>14</v>
      </c>
      <c r="E1185" s="375" t="s">
        <v>1177</v>
      </c>
      <c r="F1185" s="375" t="s">
        <v>678</v>
      </c>
      <c r="G1185" s="374" t="s">
        <v>1177</v>
      </c>
      <c r="H1185" s="375" t="s">
        <v>170</v>
      </c>
      <c r="I1185" s="440" t="str">
        <f>IFERROR(IF(SEARCH(".00.00.00.00.00",Tableau1[[#This Row],[name]],1)=7,"Division",""),"")</f>
        <v>Division</v>
      </c>
      <c r="J1185" s="374"/>
      <c r="K1185" s="441" t="s">
        <v>724</v>
      </c>
      <c r="L1185" s="101" t="str">
        <f t="shared" si="44"/>
        <v>Documentation</v>
      </c>
      <c r="M1185" s="442">
        <f>ROUND(Tableau1[[#This Row],[LEN]]*7.27,0)</f>
        <v>240</v>
      </c>
      <c r="N1185" s="442">
        <v>15</v>
      </c>
      <c r="O1185" s="462" t="str">
        <f t="shared" si="45"/>
        <v>_blank</v>
      </c>
      <c r="P1185" s="442">
        <f>LEN(Tableau1[[#This Row],[LABEL]])</f>
        <v>33</v>
      </c>
      <c r="Q1185" s="442">
        <v>15</v>
      </c>
      <c r="R1185" s="442" t="e">
        <f>ROUND(Tableau1[[#This Row],[LEN]]*#REF!+#REF!,0)</f>
        <v>#REF!</v>
      </c>
    </row>
    <row r="1186" spans="1:18" s="97" customFormat="1" hidden="1" x14ac:dyDescent="0.25">
      <c r="A1186" s="61" t="s">
        <v>1912</v>
      </c>
      <c r="B1186" s="62" t="s">
        <v>336</v>
      </c>
      <c r="C1186" s="435" t="s">
        <v>2153</v>
      </c>
      <c r="D1186" s="63" t="s">
        <v>1917</v>
      </c>
      <c r="E1186" s="79" t="s">
        <v>1177</v>
      </c>
      <c r="F1186" s="79" t="s">
        <v>678</v>
      </c>
      <c r="G1186" s="63" t="s">
        <v>1177</v>
      </c>
      <c r="H1186" s="79" t="s">
        <v>170</v>
      </c>
      <c r="I1186" s="440" t="s">
        <v>654</v>
      </c>
      <c r="J1186" s="63"/>
      <c r="K1186" s="441" t="s">
        <v>708</v>
      </c>
      <c r="L1186" s="101" t="str">
        <f t="shared" si="44"/>
        <v>_</v>
      </c>
      <c r="M1186" s="442">
        <f>ROUND(Tableau1[[#This Row],[LEN]]*7.27,0)</f>
        <v>211</v>
      </c>
      <c r="N1186" s="442">
        <v>15</v>
      </c>
      <c r="O1186" s="443" t="str">
        <f t="shared" si="45"/>
        <v>_self</v>
      </c>
      <c r="P1186" s="442">
        <f>LEN(Tableau1[[#This Row],[LABEL]])</f>
        <v>29</v>
      </c>
      <c r="Q1186" s="442">
        <v>15</v>
      </c>
      <c r="R1186" s="442" t="e">
        <f>ROUND(Tableau1[[#This Row],[LEN]]*#REF!+#REF!,0)</f>
        <v>#REF!</v>
      </c>
    </row>
    <row r="1187" spans="1:18" s="97" customFormat="1" hidden="1" x14ac:dyDescent="0.25">
      <c r="A1187" s="61" t="s">
        <v>1913</v>
      </c>
      <c r="B1187" s="62" t="s">
        <v>336</v>
      </c>
      <c r="C1187" s="435" t="s">
        <v>2153</v>
      </c>
      <c r="D1187" s="63" t="s">
        <v>1918</v>
      </c>
      <c r="E1187" s="79" t="s">
        <v>1177</v>
      </c>
      <c r="F1187" s="79" t="s">
        <v>678</v>
      </c>
      <c r="G1187" s="63" t="s">
        <v>1177</v>
      </c>
      <c r="H1187" s="79" t="s">
        <v>170</v>
      </c>
      <c r="I1187" s="440" t="s">
        <v>654</v>
      </c>
      <c r="J1187" s="63"/>
      <c r="K1187" s="441" t="s">
        <v>708</v>
      </c>
      <c r="L1187" s="101" t="str">
        <f t="shared" si="44"/>
        <v>_</v>
      </c>
      <c r="M1187" s="442">
        <f>ROUND(Tableau1[[#This Row],[LEN]]*7.27,0)</f>
        <v>189</v>
      </c>
      <c r="N1187" s="442">
        <v>15</v>
      </c>
      <c r="O1187" s="443" t="str">
        <f t="shared" si="45"/>
        <v>_self</v>
      </c>
      <c r="P1187" s="442">
        <f>LEN(Tableau1[[#This Row],[LABEL]])</f>
        <v>26</v>
      </c>
      <c r="Q1187" s="442">
        <v>15</v>
      </c>
      <c r="R1187" s="442" t="e">
        <f>ROUND(Tableau1[[#This Row],[LEN]]*#REF!+#REF!,0)</f>
        <v>#REF!</v>
      </c>
    </row>
    <row r="1188" spans="1:18" s="97" customFormat="1" hidden="1" x14ac:dyDescent="0.25">
      <c r="A1188" s="61" t="s">
        <v>1914</v>
      </c>
      <c r="B1188" s="62" t="s">
        <v>336</v>
      </c>
      <c r="C1188" s="435" t="s">
        <v>2153</v>
      </c>
      <c r="D1188" s="63" t="s">
        <v>602</v>
      </c>
      <c r="E1188" s="79" t="s">
        <v>1177</v>
      </c>
      <c r="F1188" s="79" t="s">
        <v>661</v>
      </c>
      <c r="G1188" s="63" t="s">
        <v>1874</v>
      </c>
      <c r="H1188" s="79" t="s">
        <v>170</v>
      </c>
      <c r="I1188" s="440" t="s">
        <v>656</v>
      </c>
      <c r="J1188" s="63"/>
      <c r="K1188" s="441" t="s">
        <v>708</v>
      </c>
      <c r="L1188" s="101" t="str">
        <f t="shared" si="44"/>
        <v>_</v>
      </c>
      <c r="M1188" s="442">
        <f>ROUND(Tableau1[[#This Row],[LEN]]*7.27,0)</f>
        <v>553</v>
      </c>
      <c r="N1188" s="442">
        <v>15</v>
      </c>
      <c r="O1188" s="443" t="str">
        <f t="shared" si="45"/>
        <v>_self</v>
      </c>
      <c r="P1188" s="442">
        <f>LEN(Tableau1[[#This Row],[LABEL]])</f>
        <v>76</v>
      </c>
      <c r="Q1188" s="442">
        <v>15</v>
      </c>
      <c r="R1188" s="442" t="e">
        <f>ROUND(Tableau1[[#This Row],[LEN]]*#REF!+#REF!,0)</f>
        <v>#REF!</v>
      </c>
    </row>
    <row r="1189" spans="1:18" s="97" customFormat="1" hidden="1" x14ac:dyDescent="0.25">
      <c r="A1189" s="61" t="s">
        <v>1915</v>
      </c>
      <c r="B1189" s="62" t="s">
        <v>336</v>
      </c>
      <c r="C1189" s="435" t="s">
        <v>2153</v>
      </c>
      <c r="D1189" s="63" t="s">
        <v>50</v>
      </c>
      <c r="E1189" s="79" t="s">
        <v>1177</v>
      </c>
      <c r="F1189" s="79" t="s">
        <v>1177</v>
      </c>
      <c r="G1189" s="63" t="s">
        <v>1084</v>
      </c>
      <c r="H1189" s="79" t="s">
        <v>1978</v>
      </c>
      <c r="I1189" s="440" t="s">
        <v>1131</v>
      </c>
      <c r="J1189" s="63"/>
      <c r="K1189" s="441" t="s">
        <v>708</v>
      </c>
      <c r="L1189" s="101" t="str">
        <f t="shared" si="44"/>
        <v>_</v>
      </c>
      <c r="M1189" s="442">
        <f>ROUND(Tableau1[[#This Row],[LEN]]*7.27,0)</f>
        <v>87</v>
      </c>
      <c r="N1189" s="442">
        <v>15</v>
      </c>
      <c r="O1189" s="443" t="str">
        <f t="shared" si="45"/>
        <v>_self</v>
      </c>
      <c r="P1189" s="442">
        <f>LEN(Tableau1[[#This Row],[LABEL]])</f>
        <v>12</v>
      </c>
      <c r="Q1189" s="442">
        <v>15</v>
      </c>
      <c r="R1189" s="442" t="e">
        <f>ROUND(Tableau1[[#This Row],[LEN]]*#REF!+#REF!,0)</f>
        <v>#REF!</v>
      </c>
    </row>
    <row r="1190" spans="1:18" s="97" customFormat="1" hidden="1" x14ac:dyDescent="0.25">
      <c r="A1190" s="61" t="s">
        <v>1916</v>
      </c>
      <c r="B1190" s="62" t="s">
        <v>336</v>
      </c>
      <c r="C1190" s="435" t="s">
        <v>2153</v>
      </c>
      <c r="D1190" s="63" t="s">
        <v>603</v>
      </c>
      <c r="E1190" s="79" t="s">
        <v>1177</v>
      </c>
      <c r="F1190" s="79" t="s">
        <v>1177</v>
      </c>
      <c r="G1190" s="63" t="s">
        <v>1084</v>
      </c>
      <c r="H1190" s="79" t="s">
        <v>1977</v>
      </c>
      <c r="I1190" s="440" t="s">
        <v>1131</v>
      </c>
      <c r="J1190" s="63"/>
      <c r="K1190" s="441" t="s">
        <v>708</v>
      </c>
      <c r="L1190" s="101" t="str">
        <f t="shared" si="44"/>
        <v>_</v>
      </c>
      <c r="M1190" s="442">
        <f>ROUND(Tableau1[[#This Row],[LEN]]*7.27,0)</f>
        <v>247</v>
      </c>
      <c r="N1190" s="442">
        <v>15</v>
      </c>
      <c r="O1190" s="443" t="str">
        <f t="shared" si="45"/>
        <v>_self</v>
      </c>
      <c r="P1190" s="442">
        <f>LEN(Tableau1[[#This Row],[LABEL]])</f>
        <v>34</v>
      </c>
      <c r="Q1190" s="442">
        <v>15</v>
      </c>
      <c r="R1190" s="442" t="e">
        <f>ROUND(Tableau1[[#This Row],[LEN]]*#REF!+#REF!,0)</f>
        <v>#REF!</v>
      </c>
    </row>
    <row r="1191" spans="1:18" s="273" customFormat="1" hidden="1" x14ac:dyDescent="0.25">
      <c r="A1191" s="454" t="s">
        <v>337</v>
      </c>
      <c r="B1191" s="457" t="s">
        <v>210</v>
      </c>
      <c r="C1191" s="435" t="s">
        <v>2153</v>
      </c>
      <c r="D1191" s="374" t="s">
        <v>15</v>
      </c>
      <c r="E1191" s="375" t="s">
        <v>1177</v>
      </c>
      <c r="F1191" s="375" t="s">
        <v>679</v>
      </c>
      <c r="G1191" s="374" t="s">
        <v>1177</v>
      </c>
      <c r="H1191" s="375" t="s">
        <v>170</v>
      </c>
      <c r="I1191" s="440" t="str">
        <f>IFERROR(IF(SEARCH(".00.00.00.00.00",Tableau1[[#This Row],[name]],1)=7,"Division",""),"")</f>
        <v>Division</v>
      </c>
      <c r="J1191" s="374"/>
      <c r="K1191" s="441" t="s">
        <v>708</v>
      </c>
      <c r="L1191" s="101" t="str">
        <f t="shared" ref="L1191:L1234" si="48">IF(K1191="javascript:void(0)","_","Documentation")</f>
        <v>_</v>
      </c>
      <c r="M1191" s="442">
        <f>ROUND(Tableau1[[#This Row],[LEN]]*7.27,0)</f>
        <v>174</v>
      </c>
      <c r="N1191" s="442">
        <v>15</v>
      </c>
      <c r="O1191" s="462" t="str">
        <f t="shared" si="45"/>
        <v>_self</v>
      </c>
      <c r="P1191" s="442">
        <f>LEN(Tableau1[[#This Row],[LABEL]])</f>
        <v>24</v>
      </c>
      <c r="Q1191" s="442">
        <v>15</v>
      </c>
      <c r="R1191" s="442" t="e">
        <f>ROUND(Tableau1[[#This Row],[LEN]]*#REF!+#REF!,0)</f>
        <v>#REF!</v>
      </c>
    </row>
    <row r="1192" spans="1:18" s="97" customFormat="1" hidden="1" x14ac:dyDescent="0.25">
      <c r="A1192" s="61" t="s">
        <v>1921</v>
      </c>
      <c r="B1192" s="62" t="s">
        <v>337</v>
      </c>
      <c r="C1192" s="435" t="s">
        <v>2153</v>
      </c>
      <c r="D1192" s="63" t="s">
        <v>1919</v>
      </c>
      <c r="E1192" s="79" t="s">
        <v>1177</v>
      </c>
      <c r="F1192" s="79" t="s">
        <v>679</v>
      </c>
      <c r="G1192" s="63" t="s">
        <v>1920</v>
      </c>
      <c r="H1192" s="79" t="s">
        <v>170</v>
      </c>
      <c r="I1192" s="440" t="s">
        <v>656</v>
      </c>
      <c r="J1192" s="63"/>
      <c r="K1192" s="441" t="s">
        <v>708</v>
      </c>
      <c r="L1192" s="101" t="str">
        <f t="shared" si="48"/>
        <v>_</v>
      </c>
      <c r="M1192" s="442">
        <f>ROUND(Tableau1[[#This Row],[LEN]]*7.27,0)</f>
        <v>225</v>
      </c>
      <c r="N1192" s="442">
        <v>15</v>
      </c>
      <c r="O1192" s="443" t="str">
        <f t="shared" ref="O1192:O1234" si="49">IF(K1192="javascript:void(0)","_self","_blank")</f>
        <v>_self</v>
      </c>
      <c r="P1192" s="442">
        <f>LEN(Tableau1[[#This Row],[LABEL]])</f>
        <v>31</v>
      </c>
      <c r="Q1192" s="442">
        <v>15</v>
      </c>
      <c r="R1192" s="442" t="e">
        <f>ROUND(Tableau1[[#This Row],[LEN]]*#REF!+#REF!,0)</f>
        <v>#REF!</v>
      </c>
    </row>
    <row r="1193" spans="1:18" s="97" customFormat="1" hidden="1" x14ac:dyDescent="0.25">
      <c r="A1193" s="61" t="s">
        <v>1922</v>
      </c>
      <c r="B1193" s="62" t="s">
        <v>337</v>
      </c>
      <c r="C1193" s="435" t="s">
        <v>2153</v>
      </c>
      <c r="D1193" s="63" t="s">
        <v>602</v>
      </c>
      <c r="E1193" s="79" t="s">
        <v>1177</v>
      </c>
      <c r="F1193" s="79" t="s">
        <v>661</v>
      </c>
      <c r="G1193" s="63" t="s">
        <v>1874</v>
      </c>
      <c r="H1193" s="79" t="s">
        <v>170</v>
      </c>
      <c r="I1193" s="440" t="s">
        <v>656</v>
      </c>
      <c r="J1193" s="63"/>
      <c r="K1193" s="441" t="s">
        <v>708</v>
      </c>
      <c r="L1193" s="101" t="str">
        <f t="shared" si="48"/>
        <v>_</v>
      </c>
      <c r="M1193" s="442">
        <f>ROUND(Tableau1[[#This Row],[LEN]]*7.27,0)</f>
        <v>553</v>
      </c>
      <c r="N1193" s="442">
        <v>15</v>
      </c>
      <c r="O1193" s="443" t="str">
        <f t="shared" si="49"/>
        <v>_self</v>
      </c>
      <c r="P1193" s="442">
        <f>LEN(Tableau1[[#This Row],[LABEL]])</f>
        <v>76</v>
      </c>
      <c r="Q1193" s="442">
        <v>15</v>
      </c>
      <c r="R1193" s="442" t="e">
        <f>ROUND(Tableau1[[#This Row],[LEN]]*#REF!+#REF!,0)</f>
        <v>#REF!</v>
      </c>
    </row>
    <row r="1194" spans="1:18" s="97" customFormat="1" hidden="1" x14ac:dyDescent="0.25">
      <c r="A1194" s="61" t="s">
        <v>1923</v>
      </c>
      <c r="B1194" s="62" t="s">
        <v>337</v>
      </c>
      <c r="C1194" s="435" t="s">
        <v>2153</v>
      </c>
      <c r="D1194" s="63" t="s">
        <v>50</v>
      </c>
      <c r="E1194" s="79" t="s">
        <v>1177</v>
      </c>
      <c r="F1194" s="79" t="s">
        <v>1177</v>
      </c>
      <c r="G1194" s="63" t="s">
        <v>1084</v>
      </c>
      <c r="H1194" s="79" t="s">
        <v>1978</v>
      </c>
      <c r="I1194" s="440" t="s">
        <v>1131</v>
      </c>
      <c r="J1194" s="63"/>
      <c r="K1194" s="441" t="s">
        <v>708</v>
      </c>
      <c r="L1194" s="101" t="str">
        <f t="shared" si="48"/>
        <v>_</v>
      </c>
      <c r="M1194" s="442">
        <f>ROUND(Tableau1[[#This Row],[LEN]]*7.27,0)</f>
        <v>87</v>
      </c>
      <c r="N1194" s="442">
        <v>15</v>
      </c>
      <c r="O1194" s="443" t="str">
        <f t="shared" si="49"/>
        <v>_self</v>
      </c>
      <c r="P1194" s="442">
        <f>LEN(Tableau1[[#This Row],[LABEL]])</f>
        <v>12</v>
      </c>
      <c r="Q1194" s="442">
        <v>15</v>
      </c>
      <c r="R1194" s="442" t="e">
        <f>ROUND(Tableau1[[#This Row],[LEN]]*#REF!+#REF!,0)</f>
        <v>#REF!</v>
      </c>
    </row>
    <row r="1195" spans="1:18" s="97" customFormat="1" hidden="1" x14ac:dyDescent="0.25">
      <c r="A1195" s="61" t="s">
        <v>1924</v>
      </c>
      <c r="B1195" s="62" t="s">
        <v>337</v>
      </c>
      <c r="C1195" s="435" t="s">
        <v>2153</v>
      </c>
      <c r="D1195" s="63" t="s">
        <v>603</v>
      </c>
      <c r="E1195" s="79" t="s">
        <v>1177</v>
      </c>
      <c r="F1195" s="79" t="s">
        <v>1177</v>
      </c>
      <c r="G1195" s="63" t="s">
        <v>1084</v>
      </c>
      <c r="H1195" s="79" t="s">
        <v>1977</v>
      </c>
      <c r="I1195" s="440" t="s">
        <v>1131</v>
      </c>
      <c r="J1195" s="63"/>
      <c r="K1195" s="441" t="s">
        <v>708</v>
      </c>
      <c r="L1195" s="101" t="str">
        <f t="shared" si="48"/>
        <v>_</v>
      </c>
      <c r="M1195" s="442">
        <f>ROUND(Tableau1[[#This Row],[LEN]]*7.27,0)</f>
        <v>247</v>
      </c>
      <c r="N1195" s="442">
        <v>15</v>
      </c>
      <c r="O1195" s="443" t="str">
        <f t="shared" si="49"/>
        <v>_self</v>
      </c>
      <c r="P1195" s="442">
        <f>LEN(Tableau1[[#This Row],[LABEL]])</f>
        <v>34</v>
      </c>
      <c r="Q1195" s="442">
        <v>15</v>
      </c>
      <c r="R1195" s="442" t="e">
        <f>ROUND(Tableau1[[#This Row],[LEN]]*#REF!+#REF!,0)</f>
        <v>#REF!</v>
      </c>
    </row>
    <row r="1196" spans="1:18" s="273" customFormat="1" hidden="1" x14ac:dyDescent="0.25">
      <c r="A1196" s="454" t="s">
        <v>2049</v>
      </c>
      <c r="B1196" s="457" t="s">
        <v>210</v>
      </c>
      <c r="C1196" s="435" t="s">
        <v>2153</v>
      </c>
      <c r="D1196" s="374" t="s">
        <v>1950</v>
      </c>
      <c r="E1196" s="375" t="s">
        <v>1177</v>
      </c>
      <c r="F1196" s="375" t="s">
        <v>1951</v>
      </c>
      <c r="G1196" s="374" t="s">
        <v>1177</v>
      </c>
      <c r="H1196" s="375" t="s">
        <v>170</v>
      </c>
      <c r="I1196" s="440" t="s">
        <v>56</v>
      </c>
      <c r="J1196" s="374"/>
      <c r="K1196" s="441" t="s">
        <v>708</v>
      </c>
      <c r="L1196" s="101" t="str">
        <f t="shared" si="48"/>
        <v>_</v>
      </c>
      <c r="M1196" s="442">
        <f>ROUND(Tableau1[[#This Row],[LEN]]*7.27,0)</f>
        <v>51</v>
      </c>
      <c r="N1196" s="442">
        <v>15</v>
      </c>
      <c r="O1196" s="462" t="str">
        <f t="shared" si="49"/>
        <v>_self</v>
      </c>
      <c r="P1196" s="442">
        <f>LEN(Tableau1[[#This Row],[LABEL]])</f>
        <v>7</v>
      </c>
      <c r="Q1196" s="442">
        <v>15</v>
      </c>
      <c r="R1196" s="442" t="e">
        <f>ROUND(Tableau1[[#This Row],[LEN]]*#REF!+#REF!,0)</f>
        <v>#REF!</v>
      </c>
    </row>
    <row r="1197" spans="1:18" s="97" customFormat="1" hidden="1" x14ac:dyDescent="0.25">
      <c r="A1197" s="61" t="s">
        <v>2050</v>
      </c>
      <c r="B1197" s="62" t="s">
        <v>2049</v>
      </c>
      <c r="C1197" s="435" t="s">
        <v>2153</v>
      </c>
      <c r="D1197" s="63" t="s">
        <v>2055</v>
      </c>
      <c r="E1197" s="79" t="s">
        <v>1177</v>
      </c>
      <c r="F1197" s="79" t="s">
        <v>1951</v>
      </c>
      <c r="G1197" s="63" t="s">
        <v>1177</v>
      </c>
      <c r="H1197" s="79" t="s">
        <v>170</v>
      </c>
      <c r="I1197" s="440" t="s">
        <v>654</v>
      </c>
      <c r="J1197" s="63"/>
      <c r="K1197" s="441" t="s">
        <v>708</v>
      </c>
      <c r="L1197" s="101" t="str">
        <f t="shared" si="48"/>
        <v>_</v>
      </c>
      <c r="M1197" s="442">
        <f>ROUND(Tableau1[[#This Row],[LEN]]*7.27,0)</f>
        <v>502</v>
      </c>
      <c r="N1197" s="442">
        <v>15</v>
      </c>
      <c r="O1197" s="443" t="str">
        <f t="shared" si="49"/>
        <v>_self</v>
      </c>
      <c r="P1197" s="442">
        <f>LEN(Tableau1[[#This Row],[LABEL]])</f>
        <v>69</v>
      </c>
      <c r="Q1197" s="442">
        <v>15</v>
      </c>
      <c r="R1197" s="442" t="e">
        <f>ROUND(Tableau1[[#This Row],[LEN]]*#REF!+#REF!,0)</f>
        <v>#REF!</v>
      </c>
    </row>
    <row r="1198" spans="1:18" s="97" customFormat="1" hidden="1" x14ac:dyDescent="0.25">
      <c r="A1198" s="61" t="s">
        <v>2051</v>
      </c>
      <c r="B1198" s="62" t="s">
        <v>2049</v>
      </c>
      <c r="C1198" s="435" t="s">
        <v>2153</v>
      </c>
      <c r="D1198" s="63" t="s">
        <v>2056</v>
      </c>
      <c r="E1198" s="79" t="s">
        <v>1177</v>
      </c>
      <c r="F1198" s="79" t="s">
        <v>1951</v>
      </c>
      <c r="G1198" s="63" t="s">
        <v>1177</v>
      </c>
      <c r="H1198" s="79" t="s">
        <v>170</v>
      </c>
      <c r="I1198" s="440" t="s">
        <v>654</v>
      </c>
      <c r="J1198" s="63"/>
      <c r="K1198" s="441" t="s">
        <v>708</v>
      </c>
      <c r="L1198" s="101" t="str">
        <f t="shared" si="48"/>
        <v>_</v>
      </c>
      <c r="M1198" s="442">
        <f>ROUND(Tableau1[[#This Row],[LEN]]*7.27,0)</f>
        <v>582</v>
      </c>
      <c r="N1198" s="442">
        <v>15</v>
      </c>
      <c r="O1198" s="443" t="str">
        <f t="shared" si="49"/>
        <v>_self</v>
      </c>
      <c r="P1198" s="442">
        <f>LEN(Tableau1[[#This Row],[LABEL]])</f>
        <v>80</v>
      </c>
      <c r="Q1198" s="442">
        <v>15</v>
      </c>
      <c r="R1198" s="442" t="e">
        <f>ROUND(Tableau1[[#This Row],[LEN]]*#REF!+#REF!,0)</f>
        <v>#REF!</v>
      </c>
    </row>
    <row r="1199" spans="1:18" s="97" customFormat="1" hidden="1" x14ac:dyDescent="0.25">
      <c r="A1199" s="61" t="s">
        <v>2052</v>
      </c>
      <c r="B1199" s="62" t="s">
        <v>2049</v>
      </c>
      <c r="C1199" s="435" t="s">
        <v>2153</v>
      </c>
      <c r="D1199" s="63" t="s">
        <v>2057</v>
      </c>
      <c r="E1199" s="79" t="s">
        <v>1177</v>
      </c>
      <c r="F1199" s="79" t="s">
        <v>1951</v>
      </c>
      <c r="G1199" s="63" t="s">
        <v>1177</v>
      </c>
      <c r="H1199" s="79" t="s">
        <v>170</v>
      </c>
      <c r="I1199" s="440" t="s">
        <v>654</v>
      </c>
      <c r="J1199" s="63"/>
      <c r="K1199" s="441" t="s">
        <v>708</v>
      </c>
      <c r="L1199" s="101" t="str">
        <f t="shared" si="48"/>
        <v>_</v>
      </c>
      <c r="M1199" s="442">
        <f>ROUND(Tableau1[[#This Row],[LEN]]*7.27,0)</f>
        <v>254</v>
      </c>
      <c r="N1199" s="442">
        <v>15</v>
      </c>
      <c r="O1199" s="443" t="str">
        <f t="shared" si="49"/>
        <v>_self</v>
      </c>
      <c r="P1199" s="442">
        <f>LEN(Tableau1[[#This Row],[LABEL]])</f>
        <v>35</v>
      </c>
      <c r="Q1199" s="442">
        <v>15</v>
      </c>
      <c r="R1199" s="442" t="e">
        <f>ROUND(Tableau1[[#This Row],[LEN]]*#REF!+#REF!,0)</f>
        <v>#REF!</v>
      </c>
    </row>
    <row r="1200" spans="1:18" s="97" customFormat="1" hidden="1" x14ac:dyDescent="0.25">
      <c r="A1200" s="61" t="s">
        <v>2053</v>
      </c>
      <c r="B1200" s="62" t="s">
        <v>2049</v>
      </c>
      <c r="C1200" s="435" t="s">
        <v>2153</v>
      </c>
      <c r="D1200" s="63" t="s">
        <v>2058</v>
      </c>
      <c r="E1200" s="79" t="s">
        <v>1177</v>
      </c>
      <c r="F1200" s="79" t="s">
        <v>1951</v>
      </c>
      <c r="G1200" s="63" t="s">
        <v>1177</v>
      </c>
      <c r="H1200" s="79" t="s">
        <v>170</v>
      </c>
      <c r="I1200" s="440" t="s">
        <v>654</v>
      </c>
      <c r="J1200" s="63"/>
      <c r="K1200" s="441" t="s">
        <v>708</v>
      </c>
      <c r="L1200" s="101" t="str">
        <f t="shared" si="48"/>
        <v>_</v>
      </c>
      <c r="M1200" s="442">
        <f>ROUND(Tableau1[[#This Row],[LEN]]*7.27,0)</f>
        <v>189</v>
      </c>
      <c r="N1200" s="442">
        <v>15</v>
      </c>
      <c r="O1200" s="443" t="str">
        <f t="shared" si="49"/>
        <v>_self</v>
      </c>
      <c r="P1200" s="442">
        <f>LEN(Tableau1[[#This Row],[LABEL]])</f>
        <v>26</v>
      </c>
      <c r="Q1200" s="442">
        <v>15</v>
      </c>
      <c r="R1200" s="442" t="e">
        <f>ROUND(Tableau1[[#This Row],[LEN]]*#REF!+#REF!,0)</f>
        <v>#REF!</v>
      </c>
    </row>
    <row r="1201" spans="1:18" s="97" customFormat="1" hidden="1" x14ac:dyDescent="0.25">
      <c r="A1201" s="61" t="s">
        <v>2054</v>
      </c>
      <c r="B1201" s="62" t="s">
        <v>2049</v>
      </c>
      <c r="C1201" s="435" t="s">
        <v>2153</v>
      </c>
      <c r="D1201" s="63" t="s">
        <v>603</v>
      </c>
      <c r="E1201" s="79" t="s">
        <v>1177</v>
      </c>
      <c r="F1201" s="79" t="s">
        <v>1177</v>
      </c>
      <c r="G1201" s="63" t="s">
        <v>1084</v>
      </c>
      <c r="H1201" s="79" t="s">
        <v>1977</v>
      </c>
      <c r="I1201" s="440" t="s">
        <v>1131</v>
      </c>
      <c r="J1201" s="63"/>
      <c r="K1201" s="441" t="s">
        <v>708</v>
      </c>
      <c r="L1201" s="101" t="str">
        <f t="shared" si="48"/>
        <v>_</v>
      </c>
      <c r="M1201" s="442">
        <f>ROUND(Tableau1[[#This Row],[LEN]]*7.27,0)</f>
        <v>247</v>
      </c>
      <c r="N1201" s="442">
        <v>15</v>
      </c>
      <c r="O1201" s="443" t="str">
        <f t="shared" si="49"/>
        <v>_self</v>
      </c>
      <c r="P1201" s="442">
        <f>LEN(Tableau1[[#This Row],[LABEL]])</f>
        <v>34</v>
      </c>
      <c r="Q1201" s="442">
        <v>15</v>
      </c>
      <c r="R1201" s="442" t="e">
        <f>ROUND(Tableau1[[#This Row],[LEN]]*#REF!+#REF!,0)</f>
        <v>#REF!</v>
      </c>
    </row>
    <row r="1202" spans="1:18" s="92" customFormat="1" hidden="1" x14ac:dyDescent="0.25">
      <c r="A1202" s="455" t="s">
        <v>211</v>
      </c>
      <c r="B1202" s="458" t="s">
        <v>198</v>
      </c>
      <c r="C1202" s="435"/>
      <c r="D1202" s="460" t="s">
        <v>179</v>
      </c>
      <c r="E1202" s="461" t="s">
        <v>475</v>
      </c>
      <c r="F1202" s="460" t="s">
        <v>1177</v>
      </c>
      <c r="G1202" s="461" t="s">
        <v>1177</v>
      </c>
      <c r="H1202" s="460" t="s">
        <v>171</v>
      </c>
      <c r="I1202" s="440" t="s">
        <v>616</v>
      </c>
      <c r="J1202" s="461"/>
      <c r="K1202" s="441" t="s">
        <v>708</v>
      </c>
      <c r="L1202" s="101" t="str">
        <f t="shared" si="48"/>
        <v>_</v>
      </c>
      <c r="M1202" s="442">
        <f>ROUND(Tableau1[[#This Row],[LEN]]*7.27,0)</f>
        <v>116</v>
      </c>
      <c r="N1202" s="442">
        <v>15</v>
      </c>
      <c r="O1202" s="463" t="str">
        <f t="shared" si="49"/>
        <v>_self</v>
      </c>
      <c r="P1202" s="442">
        <f>LEN(Tableau1[[#This Row],[LABEL]])</f>
        <v>16</v>
      </c>
      <c r="Q1202" s="442">
        <v>15</v>
      </c>
      <c r="R1202" s="442" t="e">
        <f>ROUND(Tableau1[[#This Row],[LEN]]*#REF!+#REF!,0)</f>
        <v>#REF!</v>
      </c>
    </row>
    <row r="1203" spans="1:18" s="92" customFormat="1" hidden="1" x14ac:dyDescent="0.25">
      <c r="A1203" s="456" t="s">
        <v>339</v>
      </c>
      <c r="B1203" s="459" t="s">
        <v>211</v>
      </c>
      <c r="C1203" s="435" t="s">
        <v>2154</v>
      </c>
      <c r="D1203" s="396" t="s">
        <v>57</v>
      </c>
      <c r="E1203" s="397" t="s">
        <v>1177</v>
      </c>
      <c r="F1203" s="397" t="s">
        <v>663</v>
      </c>
      <c r="G1203" s="396" t="s">
        <v>1177</v>
      </c>
      <c r="H1203" s="397" t="s">
        <v>171</v>
      </c>
      <c r="I1203" s="448" t="str">
        <f>IFERROR(IF(SEARCH(".00.00.00.00.00",Tableau1[[#This Row],[name]],1)=7,"Division",""),"")</f>
        <v>Division</v>
      </c>
      <c r="J1203" s="396"/>
      <c r="K1203" s="441" t="s">
        <v>708</v>
      </c>
      <c r="L1203" s="101" t="str">
        <f t="shared" si="48"/>
        <v>_</v>
      </c>
      <c r="M1203" s="442">
        <f>ROUND(Tableau1[[#This Row],[LEN]]*7.27,0)</f>
        <v>102</v>
      </c>
      <c r="N1203" s="442">
        <v>15</v>
      </c>
      <c r="O1203" s="401" t="str">
        <f t="shared" si="49"/>
        <v>_self</v>
      </c>
      <c r="P1203" s="442">
        <f>LEN(Tableau1[[#This Row],[LABEL]])</f>
        <v>14</v>
      </c>
      <c r="Q1203" s="442">
        <v>15</v>
      </c>
      <c r="R1203" s="442" t="e">
        <f>ROUND(Tableau1[[#This Row],[LEN]]*#REF!+#REF!,0)</f>
        <v>#REF!</v>
      </c>
    </row>
    <row r="1204" spans="1:18" hidden="1" x14ac:dyDescent="0.25">
      <c r="A1204" s="98" t="s">
        <v>913</v>
      </c>
      <c r="B1204" s="99" t="s">
        <v>339</v>
      </c>
      <c r="C1204" s="435" t="s">
        <v>2154</v>
      </c>
      <c r="D1204" s="100" t="s">
        <v>914</v>
      </c>
      <c r="E1204" s="80" t="s">
        <v>1177</v>
      </c>
      <c r="F1204" s="80" t="s">
        <v>663</v>
      </c>
      <c r="G1204" s="100" t="s">
        <v>1177</v>
      </c>
      <c r="H1204" s="80" t="s">
        <v>171</v>
      </c>
      <c r="I1204" s="448" t="s">
        <v>56</v>
      </c>
      <c r="J1204" s="100"/>
      <c r="K1204" s="441" t="s">
        <v>708</v>
      </c>
      <c r="L1204" s="101" t="str">
        <f t="shared" si="48"/>
        <v>_</v>
      </c>
      <c r="M1204" s="442">
        <f>ROUND(Tableau1[[#This Row],[LEN]]*7.27,0)</f>
        <v>313</v>
      </c>
      <c r="N1204" s="442">
        <v>15</v>
      </c>
      <c r="O1204" s="464" t="str">
        <f t="shared" si="49"/>
        <v>_self</v>
      </c>
      <c r="P1204" s="442">
        <f>LEN(Tableau1[[#This Row],[LABEL]])</f>
        <v>43</v>
      </c>
      <c r="Q1204" s="442">
        <v>15</v>
      </c>
      <c r="R1204" s="442" t="e">
        <f>ROUND(Tableau1[[#This Row],[LEN]]*#REF!+#REF!,0)</f>
        <v>#REF!</v>
      </c>
    </row>
    <row r="1205" spans="1:18" s="92" customFormat="1" hidden="1" x14ac:dyDescent="0.25">
      <c r="A1205" s="456" t="s">
        <v>345</v>
      </c>
      <c r="B1205" s="459" t="s">
        <v>211</v>
      </c>
      <c r="C1205" s="435" t="s">
        <v>2154</v>
      </c>
      <c r="D1205" s="396" t="s">
        <v>2147</v>
      </c>
      <c r="E1205" s="397" t="s">
        <v>1177</v>
      </c>
      <c r="F1205" s="397" t="s">
        <v>669</v>
      </c>
      <c r="G1205" s="396" t="s">
        <v>1177</v>
      </c>
      <c r="H1205" s="397" t="s">
        <v>171</v>
      </c>
      <c r="I1205" s="448" t="str">
        <f>IFERROR(IF(SEARCH(".00.00.00.00.00",Tableau1[[#This Row],[name]],1)=7,"Division",""),"")</f>
        <v>Division</v>
      </c>
      <c r="J1205" s="396"/>
      <c r="K1205" s="441" t="s">
        <v>708</v>
      </c>
      <c r="L1205" s="101" t="str">
        <f t="shared" si="48"/>
        <v>_</v>
      </c>
      <c r="M1205" s="442">
        <f>ROUND(Tableau1[[#This Row],[LEN]]*7.27,0)</f>
        <v>196</v>
      </c>
      <c r="N1205" s="442">
        <v>15</v>
      </c>
      <c r="O1205" s="401" t="str">
        <f t="shared" si="49"/>
        <v>_self</v>
      </c>
      <c r="P1205" s="442">
        <f>LEN(Tableau1[[#This Row],[LABEL]])</f>
        <v>27</v>
      </c>
      <c r="Q1205" s="442">
        <v>15</v>
      </c>
      <c r="R1205" s="442" t="e">
        <f>ROUND(Tableau1[[#This Row],[LEN]]*#REF!+#REF!,0)</f>
        <v>#REF!</v>
      </c>
    </row>
    <row r="1206" spans="1:18" hidden="1" x14ac:dyDescent="0.25">
      <c r="A1206" s="98" t="s">
        <v>1925</v>
      </c>
      <c r="B1206" s="99" t="s">
        <v>345</v>
      </c>
      <c r="C1206" s="435" t="s">
        <v>2154</v>
      </c>
      <c r="D1206" s="100" t="s">
        <v>1930</v>
      </c>
      <c r="E1206" s="80" t="s">
        <v>1177</v>
      </c>
      <c r="F1206" s="80" t="s">
        <v>669</v>
      </c>
      <c r="G1206" s="100" t="s">
        <v>1177</v>
      </c>
      <c r="H1206" s="80" t="s">
        <v>171</v>
      </c>
      <c r="I1206" s="448" t="s">
        <v>656</v>
      </c>
      <c r="J1206" s="100"/>
      <c r="K1206" s="441" t="s">
        <v>708</v>
      </c>
      <c r="L1206" s="101" t="str">
        <f t="shared" si="48"/>
        <v>_</v>
      </c>
      <c r="M1206" s="442">
        <f>ROUND(Tableau1[[#This Row],[LEN]]*7.27,0)</f>
        <v>436</v>
      </c>
      <c r="N1206" s="442">
        <v>15</v>
      </c>
      <c r="O1206" s="464" t="str">
        <f t="shared" si="49"/>
        <v>_self</v>
      </c>
      <c r="P1206" s="442">
        <f>LEN(Tableau1[[#This Row],[LABEL]])</f>
        <v>60</v>
      </c>
      <c r="Q1206" s="442">
        <v>15</v>
      </c>
      <c r="R1206" s="442" t="e">
        <f>ROUND(Tableau1[[#This Row],[LEN]]*#REF!+#REF!,0)</f>
        <v>#REF!</v>
      </c>
    </row>
    <row r="1207" spans="1:18" hidden="1" x14ac:dyDescent="0.25">
      <c r="A1207" s="98" t="s">
        <v>1928</v>
      </c>
      <c r="B1207" s="99" t="s">
        <v>1926</v>
      </c>
      <c r="C1207" s="435" t="s">
        <v>2154</v>
      </c>
      <c r="D1207" s="100" t="s">
        <v>1931</v>
      </c>
      <c r="E1207" s="80" t="s">
        <v>1177</v>
      </c>
      <c r="F1207" s="80" t="s">
        <v>669</v>
      </c>
      <c r="G1207" s="100" t="s">
        <v>1177</v>
      </c>
      <c r="H1207" s="80" t="s">
        <v>171</v>
      </c>
      <c r="I1207" s="448" t="s">
        <v>656</v>
      </c>
      <c r="J1207" s="100"/>
      <c r="K1207" s="441" t="s">
        <v>708</v>
      </c>
      <c r="L1207" s="101" t="str">
        <f t="shared" si="48"/>
        <v>_</v>
      </c>
      <c r="M1207" s="442">
        <f>ROUND(Tableau1[[#This Row],[LEN]]*7.27,0)</f>
        <v>211</v>
      </c>
      <c r="N1207" s="442">
        <v>15</v>
      </c>
      <c r="O1207" s="464" t="str">
        <f t="shared" si="49"/>
        <v>_self</v>
      </c>
      <c r="P1207" s="442">
        <f>LEN(Tableau1[[#This Row],[LABEL]])</f>
        <v>29</v>
      </c>
      <c r="Q1207" s="442">
        <v>15</v>
      </c>
      <c r="R1207" s="442" t="e">
        <f>ROUND(Tableau1[[#This Row],[LEN]]*#REF!+#REF!,0)</f>
        <v>#REF!</v>
      </c>
    </row>
    <row r="1208" spans="1:18" hidden="1" x14ac:dyDescent="0.25">
      <c r="A1208" s="98" t="s">
        <v>1929</v>
      </c>
      <c r="B1208" s="99" t="s">
        <v>1927</v>
      </c>
      <c r="C1208" s="435" t="s">
        <v>2154</v>
      </c>
      <c r="D1208" s="100" t="s">
        <v>1932</v>
      </c>
      <c r="E1208" s="80" t="s">
        <v>1177</v>
      </c>
      <c r="F1208" s="80" t="s">
        <v>669</v>
      </c>
      <c r="G1208" s="100" t="s">
        <v>1177</v>
      </c>
      <c r="H1208" s="80" t="s">
        <v>171</v>
      </c>
      <c r="I1208" s="448" t="s">
        <v>656</v>
      </c>
      <c r="J1208" s="100"/>
      <c r="K1208" s="441" t="s">
        <v>708</v>
      </c>
      <c r="L1208" s="101" t="str">
        <f t="shared" si="48"/>
        <v>_</v>
      </c>
      <c r="M1208" s="442">
        <f>ROUND(Tableau1[[#This Row],[LEN]]*7.27,0)</f>
        <v>124</v>
      </c>
      <c r="N1208" s="442">
        <v>15</v>
      </c>
      <c r="O1208" s="464" t="str">
        <f t="shared" si="49"/>
        <v>_self</v>
      </c>
      <c r="P1208" s="442">
        <f>LEN(Tableau1[[#This Row],[LABEL]])</f>
        <v>17</v>
      </c>
      <c r="Q1208" s="442">
        <v>15</v>
      </c>
      <c r="R1208" s="442" t="e">
        <f>ROUND(Tableau1[[#This Row],[LEN]]*#REF!+#REF!,0)</f>
        <v>#REF!</v>
      </c>
    </row>
    <row r="1209" spans="1:18" s="92" customFormat="1" hidden="1" x14ac:dyDescent="0.25">
      <c r="A1209" s="456" t="s">
        <v>346</v>
      </c>
      <c r="B1209" s="459" t="s">
        <v>211</v>
      </c>
      <c r="C1209" s="435" t="s">
        <v>2154</v>
      </c>
      <c r="D1209" s="396" t="s">
        <v>7</v>
      </c>
      <c r="E1209" s="397" t="s">
        <v>1177</v>
      </c>
      <c r="F1209" s="397" t="s">
        <v>670</v>
      </c>
      <c r="G1209" s="396" t="s">
        <v>1177</v>
      </c>
      <c r="H1209" s="397" t="s">
        <v>171</v>
      </c>
      <c r="I1209" s="448" t="str">
        <f>IFERROR(IF(SEARCH(".00.00.00.00.00",Tableau1[[#This Row],[name]],1)=7,"Division",""),"")</f>
        <v>Division</v>
      </c>
      <c r="J1209" s="396"/>
      <c r="K1209" s="441" t="s">
        <v>708</v>
      </c>
      <c r="L1209" s="101" t="str">
        <f t="shared" si="48"/>
        <v>_</v>
      </c>
      <c r="M1209" s="442">
        <f>ROUND(Tableau1[[#This Row],[LEN]]*7.27,0)</f>
        <v>189</v>
      </c>
      <c r="N1209" s="442">
        <v>15</v>
      </c>
      <c r="O1209" s="401" t="str">
        <f t="shared" si="49"/>
        <v>_self</v>
      </c>
      <c r="P1209" s="442">
        <f>LEN(Tableau1[[#This Row],[LABEL]])</f>
        <v>26</v>
      </c>
      <c r="Q1209" s="442">
        <v>15</v>
      </c>
      <c r="R1209" s="442" t="e">
        <f>ROUND(Tableau1[[#This Row],[LEN]]*#REF!+#REF!,0)</f>
        <v>#REF!</v>
      </c>
    </row>
    <row r="1210" spans="1:18" hidden="1" x14ac:dyDescent="0.25">
      <c r="A1210" s="98" t="s">
        <v>1933</v>
      </c>
      <c r="B1210" s="99" t="s">
        <v>346</v>
      </c>
      <c r="C1210" s="434" t="s">
        <v>2154</v>
      </c>
      <c r="D1210" s="100" t="s">
        <v>1934</v>
      </c>
      <c r="E1210" s="80" t="s">
        <v>1177</v>
      </c>
      <c r="F1210" s="82" t="s">
        <v>670</v>
      </c>
      <c r="G1210" s="100" t="s">
        <v>1177</v>
      </c>
      <c r="H1210" s="80" t="s">
        <v>171</v>
      </c>
      <c r="I1210" s="80" t="s">
        <v>656</v>
      </c>
      <c r="J1210" s="100"/>
      <c r="K1210" s="101" t="s">
        <v>708</v>
      </c>
      <c r="L1210" s="101" t="str">
        <f t="shared" si="48"/>
        <v>_</v>
      </c>
      <c r="M1210" s="121">
        <f>ROUND(Tableau1[[#This Row],[LEN]]*7.27,0)</f>
        <v>138</v>
      </c>
      <c r="N1210" s="121">
        <v>15</v>
      </c>
      <c r="O1210" s="138" t="str">
        <f t="shared" si="49"/>
        <v>_self</v>
      </c>
      <c r="P1210" s="121">
        <f>LEN(Tableau1[[#This Row],[LABEL]])</f>
        <v>19</v>
      </c>
      <c r="Q1210" s="121">
        <v>15</v>
      </c>
      <c r="R1210" s="121" t="e">
        <f>ROUND(Tableau1[[#This Row],[LEN]]*#REF!+#REF!,0)</f>
        <v>#REF!</v>
      </c>
    </row>
    <row r="1211" spans="1:18" s="92" customFormat="1" x14ac:dyDescent="0.25">
      <c r="A1211" s="394" t="s">
        <v>348</v>
      </c>
      <c r="B1211" s="395" t="s">
        <v>211</v>
      </c>
      <c r="C1211" s="434" t="s">
        <v>2154</v>
      </c>
      <c r="D1211" s="396" t="s">
        <v>9</v>
      </c>
      <c r="E1211" s="397" t="s">
        <v>1177</v>
      </c>
      <c r="F1211" s="398" t="s">
        <v>672</v>
      </c>
      <c r="G1211" s="396" t="s">
        <v>1177</v>
      </c>
      <c r="H1211" s="397" t="s">
        <v>171</v>
      </c>
      <c r="I1211" s="397" t="str">
        <f>IFERROR(IF(SEARCH(".00.00.00.00.00",Tableau1[[#This Row],[name]],1)=7,"Division",""),"")</f>
        <v>Division</v>
      </c>
      <c r="J1211" s="396"/>
      <c r="K1211" s="399" t="s">
        <v>718</v>
      </c>
      <c r="L1211" s="399" t="str">
        <f t="shared" si="48"/>
        <v>Documentation</v>
      </c>
      <c r="M1211" s="400">
        <f>ROUND(Tableau1[[#This Row],[LEN]]*7.27,0)</f>
        <v>80</v>
      </c>
      <c r="N1211" s="400">
        <v>15</v>
      </c>
      <c r="O1211" s="401" t="str">
        <f t="shared" si="49"/>
        <v>_blank</v>
      </c>
      <c r="P1211" s="400">
        <f>LEN(Tableau1[[#This Row],[LABEL]])</f>
        <v>11</v>
      </c>
      <c r="Q1211" s="400">
        <v>15</v>
      </c>
      <c r="R1211" s="400" t="e">
        <f>ROUND(Tableau1[[#This Row],[LEN]]*#REF!+#REF!,0)</f>
        <v>#REF!</v>
      </c>
    </row>
    <row r="1212" spans="1:18" x14ac:dyDescent="0.25">
      <c r="A1212" s="98" t="s">
        <v>609</v>
      </c>
      <c r="B1212" s="99" t="s">
        <v>348</v>
      </c>
      <c r="C1212" s="434" t="s">
        <v>2154</v>
      </c>
      <c r="D1212" s="100" t="s">
        <v>611</v>
      </c>
      <c r="E1212" s="80" t="s">
        <v>1177</v>
      </c>
      <c r="F1212" s="82" t="s">
        <v>672</v>
      </c>
      <c r="G1212" s="100" t="s">
        <v>1177</v>
      </c>
      <c r="H1212" s="80" t="s">
        <v>171</v>
      </c>
      <c r="I1212" s="80" t="s">
        <v>656</v>
      </c>
      <c r="J1212" s="100"/>
      <c r="K1212" s="101" t="s">
        <v>708</v>
      </c>
      <c r="L1212" s="101" t="str">
        <f t="shared" si="48"/>
        <v>_</v>
      </c>
      <c r="M1212" s="121">
        <f>ROUND(Tableau1[[#This Row],[LEN]]*7.27,0)</f>
        <v>233</v>
      </c>
      <c r="N1212" s="121">
        <v>15</v>
      </c>
      <c r="O1212" s="138" t="str">
        <f t="shared" si="49"/>
        <v>_self</v>
      </c>
      <c r="P1212" s="121">
        <f>LEN(Tableau1[[#This Row],[LABEL]])</f>
        <v>32</v>
      </c>
      <c r="Q1212" s="121">
        <v>15</v>
      </c>
      <c r="R1212" s="121" t="e">
        <f>ROUND(Tableau1[[#This Row],[LEN]]*#REF!+#REF!,0)</f>
        <v>#REF!</v>
      </c>
    </row>
    <row r="1213" spans="1:18" x14ac:dyDescent="0.25">
      <c r="A1213" s="98" t="s">
        <v>610</v>
      </c>
      <c r="B1213" s="99" t="s">
        <v>348</v>
      </c>
      <c r="C1213" s="434" t="s">
        <v>2154</v>
      </c>
      <c r="D1213" s="100" t="s">
        <v>612</v>
      </c>
      <c r="E1213" s="80" t="s">
        <v>1177</v>
      </c>
      <c r="F1213" s="82" t="s">
        <v>672</v>
      </c>
      <c r="G1213" s="100" t="s">
        <v>1177</v>
      </c>
      <c r="H1213" s="80" t="s">
        <v>171</v>
      </c>
      <c r="I1213" s="80" t="s">
        <v>656</v>
      </c>
      <c r="J1213" s="100"/>
      <c r="K1213" s="101" t="s">
        <v>708</v>
      </c>
      <c r="L1213" s="101" t="str">
        <f t="shared" si="48"/>
        <v>_</v>
      </c>
      <c r="M1213" s="121">
        <f>ROUND(Tableau1[[#This Row],[LEN]]*7.27,0)</f>
        <v>182</v>
      </c>
      <c r="N1213" s="121">
        <v>15</v>
      </c>
      <c r="O1213" s="138" t="str">
        <f t="shared" si="49"/>
        <v>_self</v>
      </c>
      <c r="P1213" s="121">
        <f>LEN(Tableau1[[#This Row],[LABEL]])</f>
        <v>25</v>
      </c>
      <c r="Q1213" s="121">
        <v>15</v>
      </c>
      <c r="R1213" s="121" t="e">
        <f>ROUND(Tableau1[[#This Row],[LEN]]*#REF!+#REF!,0)</f>
        <v>#REF!</v>
      </c>
    </row>
    <row r="1214" spans="1:18" x14ac:dyDescent="0.25">
      <c r="A1214" s="98" t="s">
        <v>613</v>
      </c>
      <c r="B1214" s="99" t="s">
        <v>348</v>
      </c>
      <c r="C1214" s="434" t="s">
        <v>2154</v>
      </c>
      <c r="D1214" s="100" t="s">
        <v>614</v>
      </c>
      <c r="E1214" s="80" t="s">
        <v>1177</v>
      </c>
      <c r="F1214" s="82" t="s">
        <v>672</v>
      </c>
      <c r="G1214" s="100" t="s">
        <v>1177</v>
      </c>
      <c r="H1214" s="80" t="s">
        <v>171</v>
      </c>
      <c r="I1214" s="80" t="s">
        <v>654</v>
      </c>
      <c r="J1214" s="100"/>
      <c r="K1214" s="101" t="s">
        <v>708</v>
      </c>
      <c r="L1214" s="101" t="str">
        <f t="shared" si="48"/>
        <v>_</v>
      </c>
      <c r="M1214" s="121">
        <f>ROUND(Tableau1[[#This Row],[LEN]]*7.27,0)</f>
        <v>153</v>
      </c>
      <c r="N1214" s="121">
        <v>15</v>
      </c>
      <c r="O1214" s="138" t="str">
        <f t="shared" si="49"/>
        <v>_self</v>
      </c>
      <c r="P1214" s="121">
        <f>LEN(Tableau1[[#This Row],[LABEL]])</f>
        <v>21</v>
      </c>
      <c r="Q1214" s="121">
        <v>15</v>
      </c>
      <c r="R1214" s="121" t="e">
        <f>ROUND(Tableau1[[#This Row],[LEN]]*#REF!+#REF!,0)</f>
        <v>#REF!</v>
      </c>
    </row>
    <row r="1215" spans="1:18" s="92" customFormat="1" hidden="1" x14ac:dyDescent="0.25">
      <c r="A1215" s="394" t="s">
        <v>349</v>
      </c>
      <c r="B1215" s="395" t="s">
        <v>211</v>
      </c>
      <c r="C1215" s="434" t="s">
        <v>2154</v>
      </c>
      <c r="D1215" s="396" t="s">
        <v>10</v>
      </c>
      <c r="E1215" s="397" t="s">
        <v>1177</v>
      </c>
      <c r="F1215" s="398" t="s">
        <v>673</v>
      </c>
      <c r="G1215" s="396" t="s">
        <v>1177</v>
      </c>
      <c r="H1215" s="397" t="s">
        <v>171</v>
      </c>
      <c r="I1215" s="397" t="str">
        <f>IFERROR(IF(SEARCH(".00.00.00.00.00",Tableau1[[#This Row],[name]],1)=7,"Division",""),"")</f>
        <v>Division</v>
      </c>
      <c r="J1215" s="396"/>
      <c r="K1215" s="399" t="s">
        <v>719</v>
      </c>
      <c r="L1215" s="399" t="str">
        <f t="shared" si="48"/>
        <v>Documentation</v>
      </c>
      <c r="M1215" s="400">
        <f>ROUND(Tableau1[[#This Row],[LEN]]*7.27,0)</f>
        <v>109</v>
      </c>
      <c r="N1215" s="400">
        <v>15</v>
      </c>
      <c r="O1215" s="401" t="str">
        <f t="shared" si="49"/>
        <v>_blank</v>
      </c>
      <c r="P1215" s="400">
        <f>LEN(Tableau1[[#This Row],[LABEL]])</f>
        <v>15</v>
      </c>
      <c r="Q1215" s="400">
        <v>15</v>
      </c>
      <c r="R1215" s="400" t="e">
        <f>ROUND(Tableau1[[#This Row],[LEN]]*#REF!+#REF!,0)</f>
        <v>#REF!</v>
      </c>
    </row>
    <row r="1216" spans="1:18" hidden="1" x14ac:dyDescent="0.25">
      <c r="A1216" s="98" t="s">
        <v>1935</v>
      </c>
      <c r="B1216" s="99" t="s">
        <v>349</v>
      </c>
      <c r="C1216" s="434" t="s">
        <v>2154</v>
      </c>
      <c r="D1216" s="100" t="s">
        <v>1936</v>
      </c>
      <c r="E1216" s="80" t="s">
        <v>1177</v>
      </c>
      <c r="F1216" s="82" t="s">
        <v>673</v>
      </c>
      <c r="G1216" s="100" t="s">
        <v>1177</v>
      </c>
      <c r="H1216" s="80" t="s">
        <v>171</v>
      </c>
      <c r="I1216" s="80" t="s">
        <v>656</v>
      </c>
      <c r="J1216" s="100"/>
      <c r="K1216" s="101" t="s">
        <v>708</v>
      </c>
      <c r="L1216" s="101" t="str">
        <f t="shared" si="48"/>
        <v>_</v>
      </c>
      <c r="M1216" s="121">
        <f>ROUND(Tableau1[[#This Row],[LEN]]*7.27,0)</f>
        <v>356</v>
      </c>
      <c r="N1216" s="121">
        <v>15</v>
      </c>
      <c r="O1216" s="138" t="str">
        <f t="shared" si="49"/>
        <v>_self</v>
      </c>
      <c r="P1216" s="121">
        <f>LEN(Tableau1[[#This Row],[LABEL]])</f>
        <v>49</v>
      </c>
      <c r="Q1216" s="121">
        <v>15</v>
      </c>
      <c r="R1216" s="121" t="e">
        <f>ROUND(Tableau1[[#This Row],[LEN]]*#REF!+#REF!,0)</f>
        <v>#REF!</v>
      </c>
    </row>
    <row r="1217" spans="1:18" s="92" customFormat="1" hidden="1" x14ac:dyDescent="0.25">
      <c r="A1217" s="394" t="s">
        <v>351</v>
      </c>
      <c r="B1217" s="395" t="s">
        <v>211</v>
      </c>
      <c r="C1217" s="434" t="s">
        <v>2154</v>
      </c>
      <c r="D1217" s="396" t="s">
        <v>12</v>
      </c>
      <c r="E1217" s="397" t="s">
        <v>1177</v>
      </c>
      <c r="F1217" s="398" t="s">
        <v>675</v>
      </c>
      <c r="G1217" s="396" t="s">
        <v>1177</v>
      </c>
      <c r="H1217" s="397" t="s">
        <v>171</v>
      </c>
      <c r="I1217" s="397" t="str">
        <f>IFERROR(IF(SEARCH(".00.00.00.00.00",Tableau1[[#This Row],[name]],1)=7,"Division",""),"")</f>
        <v>Division</v>
      </c>
      <c r="J1217" s="396"/>
      <c r="K1217" s="399" t="s">
        <v>721</v>
      </c>
      <c r="L1217" s="399" t="str">
        <f t="shared" si="48"/>
        <v>Documentation</v>
      </c>
      <c r="M1217" s="400">
        <f>ROUND(Tableau1[[#This Row],[LEN]]*7.27,0)</f>
        <v>15</v>
      </c>
      <c r="N1217" s="400">
        <v>15</v>
      </c>
      <c r="O1217" s="401" t="str">
        <f t="shared" si="49"/>
        <v>_blank</v>
      </c>
      <c r="P1217" s="400">
        <f>LEN(Tableau1[[#This Row],[LABEL]])</f>
        <v>2</v>
      </c>
      <c r="Q1217" s="400">
        <v>15</v>
      </c>
      <c r="R1217" s="400" t="e">
        <f>ROUND(Tableau1[[#This Row],[LEN]]*#REF!+#REF!,0)</f>
        <v>#REF!</v>
      </c>
    </row>
    <row r="1218" spans="1:18" hidden="1" x14ac:dyDescent="0.25">
      <c r="A1218" s="98" t="s">
        <v>1937</v>
      </c>
      <c r="B1218" s="99" t="s">
        <v>351</v>
      </c>
      <c r="C1218" s="434" t="s">
        <v>2154</v>
      </c>
      <c r="D1218" s="100" t="s">
        <v>1938</v>
      </c>
      <c r="E1218" s="80" t="s">
        <v>1939</v>
      </c>
      <c r="F1218" s="82" t="s">
        <v>675</v>
      </c>
      <c r="G1218" s="100" t="s">
        <v>1177</v>
      </c>
      <c r="H1218" s="80" t="s">
        <v>171</v>
      </c>
      <c r="I1218" s="80" t="s">
        <v>656</v>
      </c>
      <c r="J1218" s="100"/>
      <c r="K1218" s="101" t="s">
        <v>708</v>
      </c>
      <c r="L1218" s="101" t="str">
        <f t="shared" si="48"/>
        <v>_</v>
      </c>
      <c r="M1218" s="121">
        <f>ROUND(Tableau1[[#This Row],[LEN]]*7.27,0)</f>
        <v>269</v>
      </c>
      <c r="N1218" s="121">
        <v>15</v>
      </c>
      <c r="O1218" s="138" t="str">
        <f t="shared" si="49"/>
        <v>_self</v>
      </c>
      <c r="P1218" s="121">
        <f>LEN(Tableau1[[#This Row],[LABEL]])</f>
        <v>37</v>
      </c>
      <c r="Q1218" s="121">
        <v>15</v>
      </c>
      <c r="R1218" s="121" t="e">
        <f>ROUND(Tableau1[[#This Row],[LEN]]*#REF!+#REF!,0)</f>
        <v>#REF!</v>
      </c>
    </row>
    <row r="1219" spans="1:18" s="92" customFormat="1" hidden="1" x14ac:dyDescent="0.25">
      <c r="A1219" s="394" t="s">
        <v>353</v>
      </c>
      <c r="B1219" s="395" t="s">
        <v>211</v>
      </c>
      <c r="C1219" s="434" t="s">
        <v>2154</v>
      </c>
      <c r="D1219" s="396" t="s">
        <v>13</v>
      </c>
      <c r="E1219" s="397" t="s">
        <v>1177</v>
      </c>
      <c r="F1219" s="398" t="s">
        <v>677</v>
      </c>
      <c r="G1219" s="396" t="s">
        <v>1177</v>
      </c>
      <c r="H1219" s="397" t="s">
        <v>171</v>
      </c>
      <c r="I1219" s="397" t="str">
        <f>IFERROR(IF(SEARCH(".00.00.00.00.00",Tableau1[[#This Row],[name]],1)=7,"Division",""),"")</f>
        <v>Division</v>
      </c>
      <c r="J1219" s="396"/>
      <c r="K1219" s="399" t="s">
        <v>708</v>
      </c>
      <c r="L1219" s="399" t="str">
        <f t="shared" si="48"/>
        <v>_</v>
      </c>
      <c r="M1219" s="400">
        <f>ROUND(Tableau1[[#This Row],[LEN]]*7.27,0)</f>
        <v>80</v>
      </c>
      <c r="N1219" s="400">
        <v>15</v>
      </c>
      <c r="O1219" s="401" t="str">
        <f t="shared" si="49"/>
        <v>_self</v>
      </c>
      <c r="P1219" s="400">
        <f>LEN(Tableau1[[#This Row],[LABEL]])</f>
        <v>11</v>
      </c>
      <c r="Q1219" s="400">
        <v>15</v>
      </c>
      <c r="R1219" s="400" t="e">
        <f>ROUND(Tableau1[[#This Row],[LEN]]*#REF!+#REF!,0)</f>
        <v>#REF!</v>
      </c>
    </row>
    <row r="1220" spans="1:18" hidden="1" x14ac:dyDescent="0.25">
      <c r="A1220" s="98" t="s">
        <v>1940</v>
      </c>
      <c r="B1220" s="99" t="s">
        <v>353</v>
      </c>
      <c r="C1220" s="434" t="s">
        <v>2154</v>
      </c>
      <c r="D1220" s="100" t="s">
        <v>1941</v>
      </c>
      <c r="E1220" s="80" t="s">
        <v>1177</v>
      </c>
      <c r="F1220" s="82" t="s">
        <v>677</v>
      </c>
      <c r="G1220" s="100" t="s">
        <v>1177</v>
      </c>
      <c r="H1220" s="80" t="s">
        <v>171</v>
      </c>
      <c r="I1220" s="80" t="s">
        <v>656</v>
      </c>
      <c r="J1220" s="100"/>
      <c r="K1220" s="101" t="s">
        <v>708</v>
      </c>
      <c r="L1220" s="101" t="str">
        <f t="shared" si="48"/>
        <v>_</v>
      </c>
      <c r="M1220" s="121">
        <f>ROUND(Tableau1[[#This Row],[LEN]]*7.27,0)</f>
        <v>356</v>
      </c>
      <c r="N1220" s="121">
        <v>15</v>
      </c>
      <c r="O1220" s="138" t="str">
        <f t="shared" si="49"/>
        <v>_self</v>
      </c>
      <c r="P1220" s="121">
        <f>LEN(Tableau1[[#This Row],[LABEL]])</f>
        <v>49</v>
      </c>
      <c r="Q1220" s="121">
        <v>15</v>
      </c>
      <c r="R1220" s="121" t="e">
        <f>ROUND(Tableau1[[#This Row],[LEN]]*#REF!+#REF!,0)</f>
        <v>#REF!</v>
      </c>
    </row>
    <row r="1221" spans="1:18" s="92" customFormat="1" hidden="1" x14ac:dyDescent="0.25">
      <c r="A1221" s="394" t="s">
        <v>354</v>
      </c>
      <c r="B1221" s="395" t="s">
        <v>211</v>
      </c>
      <c r="C1221" s="434" t="s">
        <v>2154</v>
      </c>
      <c r="D1221" s="396" t="s">
        <v>14</v>
      </c>
      <c r="E1221" s="397" t="s">
        <v>1177</v>
      </c>
      <c r="F1221" s="398" t="s">
        <v>678</v>
      </c>
      <c r="G1221" s="396" t="s">
        <v>1177</v>
      </c>
      <c r="H1221" s="397" t="s">
        <v>171</v>
      </c>
      <c r="I1221" s="397" t="str">
        <f>IFERROR(IF(SEARCH(".00.00.00.00.00",Tableau1[[#This Row],[name]],1)=7,"Division",""),"")</f>
        <v>Division</v>
      </c>
      <c r="J1221" s="396"/>
      <c r="K1221" s="399" t="s">
        <v>724</v>
      </c>
      <c r="L1221" s="399" t="str">
        <f t="shared" si="48"/>
        <v>Documentation</v>
      </c>
      <c r="M1221" s="400">
        <f>ROUND(Tableau1[[#This Row],[LEN]]*7.27,0)</f>
        <v>240</v>
      </c>
      <c r="N1221" s="400">
        <v>15</v>
      </c>
      <c r="O1221" s="401" t="str">
        <f t="shared" si="49"/>
        <v>_blank</v>
      </c>
      <c r="P1221" s="400">
        <f>LEN(Tableau1[[#This Row],[LABEL]])</f>
        <v>33</v>
      </c>
      <c r="Q1221" s="400">
        <v>15</v>
      </c>
      <c r="R1221" s="400" t="e">
        <f>ROUND(Tableau1[[#This Row],[LEN]]*#REF!+#REF!,0)</f>
        <v>#REF!</v>
      </c>
    </row>
    <row r="1222" spans="1:18" hidden="1" x14ac:dyDescent="0.25">
      <c r="A1222" s="98" t="s">
        <v>1942</v>
      </c>
      <c r="B1222" s="99" t="s">
        <v>354</v>
      </c>
      <c r="C1222" s="434" t="s">
        <v>2154</v>
      </c>
      <c r="D1222" s="100" t="s">
        <v>1943</v>
      </c>
      <c r="E1222" s="80" t="s">
        <v>1177</v>
      </c>
      <c r="F1222" s="82" t="s">
        <v>678</v>
      </c>
      <c r="G1222" s="100" t="s">
        <v>1177</v>
      </c>
      <c r="H1222" s="80" t="s">
        <v>171</v>
      </c>
      <c r="I1222" s="80" t="s">
        <v>656</v>
      </c>
      <c r="J1222" s="100"/>
      <c r="K1222" s="101" t="s">
        <v>708</v>
      </c>
      <c r="L1222" s="101" t="str">
        <f t="shared" si="48"/>
        <v>_</v>
      </c>
      <c r="M1222" s="121">
        <f>ROUND(Tableau1[[#This Row],[LEN]]*7.27,0)</f>
        <v>196</v>
      </c>
      <c r="N1222" s="121">
        <v>15</v>
      </c>
      <c r="O1222" s="138" t="str">
        <f t="shared" si="49"/>
        <v>_self</v>
      </c>
      <c r="P1222" s="121">
        <f>LEN(Tableau1[[#This Row],[LABEL]])</f>
        <v>27</v>
      </c>
      <c r="Q1222" s="121">
        <v>15</v>
      </c>
      <c r="R1222" s="121" t="e">
        <f>ROUND(Tableau1[[#This Row],[LEN]]*#REF!+#REF!,0)</f>
        <v>#REF!</v>
      </c>
    </row>
    <row r="1223" spans="1:18" s="92" customFormat="1" hidden="1" x14ac:dyDescent="0.25">
      <c r="A1223" s="402" t="s">
        <v>355</v>
      </c>
      <c r="B1223" s="403" t="s">
        <v>211</v>
      </c>
      <c r="C1223" s="434" t="s">
        <v>2154</v>
      </c>
      <c r="D1223" s="404" t="s">
        <v>15</v>
      </c>
      <c r="E1223" s="405" t="s">
        <v>1177</v>
      </c>
      <c r="F1223" s="406" t="s">
        <v>679</v>
      </c>
      <c r="G1223" s="404" t="s">
        <v>1177</v>
      </c>
      <c r="H1223" s="405" t="s">
        <v>171</v>
      </c>
      <c r="I1223" s="405" t="str">
        <f>IFERROR(IF(SEARCH(".00.00.00.00.00",Tableau1[[#This Row],[name]],1)=7,"Division",""),"")</f>
        <v>Division</v>
      </c>
      <c r="J1223" s="404"/>
      <c r="K1223" s="407" t="s">
        <v>708</v>
      </c>
      <c r="L1223" s="407" t="str">
        <f t="shared" si="48"/>
        <v>_</v>
      </c>
      <c r="M1223" s="408">
        <f>ROUND(Tableau1[[#This Row],[LEN]]*7.27,0)</f>
        <v>174</v>
      </c>
      <c r="N1223" s="408">
        <v>15</v>
      </c>
      <c r="O1223" s="409" t="str">
        <f t="shared" si="49"/>
        <v>_self</v>
      </c>
      <c r="P1223" s="408">
        <f>LEN(Tableau1[[#This Row],[LABEL]])</f>
        <v>24</v>
      </c>
      <c r="Q1223" s="408">
        <v>15</v>
      </c>
      <c r="R1223" s="408" t="e">
        <f>ROUND(Tableau1[[#This Row],[LEN]]*#REF!+#REF!,0)</f>
        <v>#REF!</v>
      </c>
    </row>
    <row r="1224" spans="1:18" hidden="1" x14ac:dyDescent="0.25">
      <c r="A1224" s="98" t="s">
        <v>1944</v>
      </c>
      <c r="B1224" s="99" t="s">
        <v>355</v>
      </c>
      <c r="C1224" s="434" t="s">
        <v>2154</v>
      </c>
      <c r="D1224" s="100" t="s">
        <v>1946</v>
      </c>
      <c r="E1224" s="80" t="s">
        <v>1177</v>
      </c>
      <c r="F1224" s="82" t="s">
        <v>679</v>
      </c>
      <c r="G1224" s="100" t="s">
        <v>1177</v>
      </c>
      <c r="H1224" s="80" t="s">
        <v>171</v>
      </c>
      <c r="I1224" s="80" t="s">
        <v>656</v>
      </c>
      <c r="J1224" s="100"/>
      <c r="K1224" s="101" t="s">
        <v>708</v>
      </c>
      <c r="L1224" s="101" t="str">
        <f t="shared" si="48"/>
        <v>_</v>
      </c>
      <c r="M1224" s="121">
        <f>ROUND(Tableau1[[#This Row],[LEN]]*7.27,0)</f>
        <v>313</v>
      </c>
      <c r="N1224" s="121">
        <v>15</v>
      </c>
      <c r="O1224" s="138" t="str">
        <f t="shared" si="49"/>
        <v>_self</v>
      </c>
      <c r="P1224" s="121">
        <f>LEN(Tableau1[[#This Row],[LABEL]])</f>
        <v>43</v>
      </c>
      <c r="Q1224" s="121">
        <v>15</v>
      </c>
      <c r="R1224" s="121" t="e">
        <f>ROUND(Tableau1[[#This Row],[LEN]]*#REF!+#REF!,0)</f>
        <v>#REF!</v>
      </c>
    </row>
    <row r="1225" spans="1:18" hidden="1" x14ac:dyDescent="0.25">
      <c r="A1225" s="98" t="s">
        <v>1945</v>
      </c>
      <c r="B1225" s="99" t="s">
        <v>355</v>
      </c>
      <c r="C1225" s="434" t="s">
        <v>2154</v>
      </c>
      <c r="D1225" s="100" t="s">
        <v>1947</v>
      </c>
      <c r="E1225" s="80" t="s">
        <v>1948</v>
      </c>
      <c r="F1225" s="82" t="s">
        <v>679</v>
      </c>
      <c r="G1225" s="100" t="s">
        <v>1177</v>
      </c>
      <c r="H1225" s="80" t="s">
        <v>171</v>
      </c>
      <c r="I1225" s="80" t="s">
        <v>656</v>
      </c>
      <c r="J1225" s="100"/>
      <c r="K1225" s="101" t="s">
        <v>708</v>
      </c>
      <c r="L1225" s="101" t="str">
        <f t="shared" si="48"/>
        <v>_</v>
      </c>
      <c r="M1225" s="121">
        <f>ROUND(Tableau1[[#This Row],[LEN]]*7.27,0)</f>
        <v>262</v>
      </c>
      <c r="N1225" s="121">
        <v>15</v>
      </c>
      <c r="O1225" s="138" t="str">
        <f t="shared" si="49"/>
        <v>_self</v>
      </c>
      <c r="P1225" s="121">
        <f>LEN(Tableau1[[#This Row],[LABEL]])</f>
        <v>36</v>
      </c>
      <c r="Q1225" s="121">
        <v>15</v>
      </c>
      <c r="R1225" s="121" t="e">
        <f>ROUND(Tableau1[[#This Row],[LEN]]*#REF!+#REF!,0)</f>
        <v>#REF!</v>
      </c>
    </row>
    <row r="1226" spans="1:18" s="92" customFormat="1" hidden="1" x14ac:dyDescent="0.25">
      <c r="A1226" s="402" t="s">
        <v>2059</v>
      </c>
      <c r="B1226" s="403" t="s">
        <v>211</v>
      </c>
      <c r="C1226" s="434" t="s">
        <v>2154</v>
      </c>
      <c r="D1226" s="404" t="s">
        <v>1950</v>
      </c>
      <c r="E1226" s="405" t="s">
        <v>1177</v>
      </c>
      <c r="F1226" s="406" t="s">
        <v>1951</v>
      </c>
      <c r="G1226" s="404" t="s">
        <v>1177</v>
      </c>
      <c r="H1226" s="405" t="s">
        <v>171</v>
      </c>
      <c r="I1226" s="405" t="str">
        <f>IFERROR(IF(SEARCH(".00.00.00.00.00",Tableau1[[#This Row],[name]],1)=7,"Division",""),"")</f>
        <v>Division</v>
      </c>
      <c r="J1226" s="404"/>
      <c r="K1226" s="407" t="s">
        <v>708</v>
      </c>
      <c r="L1226" s="407" t="str">
        <f t="shared" si="48"/>
        <v>_</v>
      </c>
      <c r="M1226" s="408">
        <f>ROUND(Tableau1[[#This Row],[LEN]]*7.27,0)</f>
        <v>51</v>
      </c>
      <c r="N1226" s="408">
        <v>15</v>
      </c>
      <c r="O1226" s="409" t="str">
        <f t="shared" si="49"/>
        <v>_self</v>
      </c>
      <c r="P1226" s="408">
        <f>LEN(Tableau1[[#This Row],[LABEL]])</f>
        <v>7</v>
      </c>
      <c r="Q1226" s="408">
        <v>15</v>
      </c>
      <c r="R1226" s="408" t="e">
        <f>ROUND(Tableau1[[#This Row],[LEN]]*#REF!+#REF!,0)</f>
        <v>#REF!</v>
      </c>
    </row>
    <row r="1227" spans="1:18" hidden="1" x14ac:dyDescent="0.25">
      <c r="A1227" s="98" t="s">
        <v>2060</v>
      </c>
      <c r="B1227" s="99" t="s">
        <v>2059</v>
      </c>
      <c r="C1227" s="434" t="s">
        <v>2154</v>
      </c>
      <c r="D1227" s="100" t="s">
        <v>2068</v>
      </c>
      <c r="E1227" s="80" t="s">
        <v>1177</v>
      </c>
      <c r="F1227" s="82" t="s">
        <v>1951</v>
      </c>
      <c r="G1227" s="100" t="s">
        <v>1177</v>
      </c>
      <c r="H1227" s="80" t="s">
        <v>170</v>
      </c>
      <c r="I1227" s="80" t="s">
        <v>656</v>
      </c>
      <c r="J1227" s="100"/>
      <c r="K1227" s="101" t="s">
        <v>708</v>
      </c>
      <c r="L1227" s="101" t="str">
        <f t="shared" si="48"/>
        <v>_</v>
      </c>
      <c r="M1227" s="121">
        <f>ROUND(Tableau1[[#This Row],[LEN]]*7.27,0)</f>
        <v>422</v>
      </c>
      <c r="N1227" s="121">
        <v>15</v>
      </c>
      <c r="O1227" s="138" t="str">
        <f t="shared" si="49"/>
        <v>_self</v>
      </c>
      <c r="P1227" s="121">
        <f>LEN(Tableau1[[#This Row],[LABEL]])</f>
        <v>58</v>
      </c>
      <c r="Q1227" s="121">
        <v>15</v>
      </c>
      <c r="R1227" s="121" t="e">
        <f>ROUND(Tableau1[[#This Row],[LEN]]*#REF!+#REF!,0)</f>
        <v>#REF!</v>
      </c>
    </row>
    <row r="1228" spans="1:18" hidden="1" x14ac:dyDescent="0.25">
      <c r="A1228" s="98" t="s">
        <v>2061</v>
      </c>
      <c r="B1228" s="99" t="s">
        <v>2059</v>
      </c>
      <c r="C1228" s="434" t="s">
        <v>2154</v>
      </c>
      <c r="D1228" s="100" t="s">
        <v>2069</v>
      </c>
      <c r="E1228" s="80" t="s">
        <v>1177</v>
      </c>
      <c r="F1228" s="82" t="s">
        <v>1951</v>
      </c>
      <c r="G1228" s="100" t="s">
        <v>1177</v>
      </c>
      <c r="H1228" s="80" t="s">
        <v>170</v>
      </c>
      <c r="I1228" s="80" t="s">
        <v>656</v>
      </c>
      <c r="J1228" s="100"/>
      <c r="K1228" s="101" t="s">
        <v>708</v>
      </c>
      <c r="L1228" s="101" t="str">
        <f t="shared" si="48"/>
        <v>_</v>
      </c>
      <c r="M1228" s="121">
        <f>ROUND(Tableau1[[#This Row],[LEN]]*7.27,0)</f>
        <v>116</v>
      </c>
      <c r="N1228" s="121">
        <v>15</v>
      </c>
      <c r="O1228" s="138" t="str">
        <f t="shared" si="49"/>
        <v>_self</v>
      </c>
      <c r="P1228" s="121">
        <f>LEN(Tableau1[[#This Row],[LABEL]])</f>
        <v>16</v>
      </c>
      <c r="Q1228" s="121">
        <v>15</v>
      </c>
      <c r="R1228" s="121" t="e">
        <f>ROUND(Tableau1[[#This Row],[LEN]]*#REF!+#REF!,0)</f>
        <v>#REF!</v>
      </c>
    </row>
    <row r="1229" spans="1:18" hidden="1" x14ac:dyDescent="0.25">
      <c r="A1229" s="98" t="s">
        <v>2062</v>
      </c>
      <c r="B1229" s="99" t="s">
        <v>2059</v>
      </c>
      <c r="C1229" s="434" t="s">
        <v>2154</v>
      </c>
      <c r="D1229" s="100" t="s">
        <v>2070</v>
      </c>
      <c r="E1229" s="80" t="s">
        <v>1177</v>
      </c>
      <c r="F1229" s="82" t="s">
        <v>1951</v>
      </c>
      <c r="G1229" s="100" t="s">
        <v>1177</v>
      </c>
      <c r="H1229" s="80" t="s">
        <v>170</v>
      </c>
      <c r="I1229" s="80" t="s">
        <v>656</v>
      </c>
      <c r="J1229" s="100"/>
      <c r="K1229" s="101" t="s">
        <v>708</v>
      </c>
      <c r="L1229" s="101" t="str">
        <f t="shared" si="48"/>
        <v>_</v>
      </c>
      <c r="M1229" s="121">
        <f>ROUND(Tableau1[[#This Row],[LEN]]*7.27,0)</f>
        <v>429</v>
      </c>
      <c r="N1229" s="121">
        <v>15</v>
      </c>
      <c r="O1229" s="138" t="str">
        <f t="shared" si="49"/>
        <v>_self</v>
      </c>
      <c r="P1229" s="121">
        <f>LEN(Tableau1[[#This Row],[LABEL]])</f>
        <v>59</v>
      </c>
      <c r="Q1229" s="121">
        <v>15</v>
      </c>
      <c r="R1229" s="121" t="e">
        <f>ROUND(Tableau1[[#This Row],[LEN]]*#REF!+#REF!,0)</f>
        <v>#REF!</v>
      </c>
    </row>
    <row r="1230" spans="1:18" hidden="1" x14ac:dyDescent="0.25">
      <c r="A1230" s="98" t="s">
        <v>2063</v>
      </c>
      <c r="B1230" s="99" t="s">
        <v>2059</v>
      </c>
      <c r="C1230" s="434" t="s">
        <v>2154</v>
      </c>
      <c r="D1230" s="100" t="s">
        <v>2071</v>
      </c>
      <c r="E1230" s="80" t="s">
        <v>1177</v>
      </c>
      <c r="F1230" s="82" t="s">
        <v>1951</v>
      </c>
      <c r="G1230" s="100" t="s">
        <v>1177</v>
      </c>
      <c r="H1230" s="80" t="s">
        <v>170</v>
      </c>
      <c r="I1230" s="80" t="s">
        <v>656</v>
      </c>
      <c r="J1230" s="100"/>
      <c r="K1230" s="101" t="s">
        <v>708</v>
      </c>
      <c r="L1230" s="101" t="str">
        <f t="shared" si="48"/>
        <v>_</v>
      </c>
      <c r="M1230" s="121">
        <f>ROUND(Tableau1[[#This Row],[LEN]]*7.27,0)</f>
        <v>385</v>
      </c>
      <c r="N1230" s="121">
        <v>15</v>
      </c>
      <c r="O1230" s="138" t="str">
        <f t="shared" si="49"/>
        <v>_self</v>
      </c>
      <c r="P1230" s="121">
        <f>LEN(Tableau1[[#This Row],[LABEL]])</f>
        <v>53</v>
      </c>
      <c r="Q1230" s="121">
        <v>15</v>
      </c>
      <c r="R1230" s="121" t="e">
        <f>ROUND(Tableau1[[#This Row],[LEN]]*#REF!+#REF!,0)</f>
        <v>#REF!</v>
      </c>
    </row>
    <row r="1231" spans="1:18" hidden="1" x14ac:dyDescent="0.25">
      <c r="A1231" s="98" t="s">
        <v>2064</v>
      </c>
      <c r="B1231" s="99" t="s">
        <v>2059</v>
      </c>
      <c r="C1231" s="434" t="s">
        <v>2154</v>
      </c>
      <c r="D1231" s="100" t="s">
        <v>2072</v>
      </c>
      <c r="E1231" s="80" t="s">
        <v>1177</v>
      </c>
      <c r="F1231" s="82" t="s">
        <v>1951</v>
      </c>
      <c r="G1231" s="100" t="s">
        <v>1177</v>
      </c>
      <c r="H1231" s="80" t="s">
        <v>170</v>
      </c>
      <c r="I1231" s="80" t="s">
        <v>656</v>
      </c>
      <c r="J1231" s="100"/>
      <c r="K1231" s="101" t="s">
        <v>708</v>
      </c>
      <c r="L1231" s="101" t="str">
        <f t="shared" si="48"/>
        <v>_</v>
      </c>
      <c r="M1231" s="121">
        <f>ROUND(Tableau1[[#This Row],[LEN]]*7.27,0)</f>
        <v>494</v>
      </c>
      <c r="N1231" s="121">
        <v>15</v>
      </c>
      <c r="O1231" s="138" t="str">
        <f t="shared" si="49"/>
        <v>_self</v>
      </c>
      <c r="P1231" s="121">
        <f>LEN(Tableau1[[#This Row],[LABEL]])</f>
        <v>68</v>
      </c>
      <c r="Q1231" s="121">
        <v>15</v>
      </c>
      <c r="R1231" s="121" t="e">
        <f>ROUND(Tableau1[[#This Row],[LEN]]*#REF!+#REF!,0)</f>
        <v>#REF!</v>
      </c>
    </row>
    <row r="1232" spans="1:18" hidden="1" x14ac:dyDescent="0.25">
      <c r="A1232" s="98" t="s">
        <v>2065</v>
      </c>
      <c r="B1232" s="99" t="s">
        <v>2059</v>
      </c>
      <c r="C1232" s="434" t="s">
        <v>2154</v>
      </c>
      <c r="D1232" s="100" t="s">
        <v>2073</v>
      </c>
      <c r="E1232" s="80" t="s">
        <v>1177</v>
      </c>
      <c r="F1232" s="82" t="s">
        <v>1951</v>
      </c>
      <c r="G1232" s="100" t="s">
        <v>1177</v>
      </c>
      <c r="H1232" s="80" t="s">
        <v>170</v>
      </c>
      <c r="I1232" s="80" t="s">
        <v>656</v>
      </c>
      <c r="J1232" s="100"/>
      <c r="K1232" s="101" t="s">
        <v>708</v>
      </c>
      <c r="L1232" s="101" t="str">
        <f t="shared" si="48"/>
        <v>_</v>
      </c>
      <c r="M1232" s="121">
        <f>ROUND(Tableau1[[#This Row],[LEN]]*7.27,0)</f>
        <v>196</v>
      </c>
      <c r="N1232" s="121">
        <v>15</v>
      </c>
      <c r="O1232" s="138" t="str">
        <f t="shared" si="49"/>
        <v>_self</v>
      </c>
      <c r="P1232" s="121">
        <f>LEN(Tableau1[[#This Row],[LABEL]])</f>
        <v>27</v>
      </c>
      <c r="Q1232" s="121">
        <v>15</v>
      </c>
      <c r="R1232" s="121" t="e">
        <f>ROUND(Tableau1[[#This Row],[LEN]]*#REF!+#REF!,0)</f>
        <v>#REF!</v>
      </c>
    </row>
    <row r="1233" spans="1:18" hidden="1" x14ac:dyDescent="0.25">
      <c r="A1233" s="98" t="s">
        <v>2066</v>
      </c>
      <c r="B1233" s="99" t="s">
        <v>2059</v>
      </c>
      <c r="C1233" s="434" t="s">
        <v>2154</v>
      </c>
      <c r="D1233" s="100" t="s">
        <v>602</v>
      </c>
      <c r="E1233" s="80" t="s">
        <v>1177</v>
      </c>
      <c r="F1233" s="82" t="s">
        <v>1951</v>
      </c>
      <c r="G1233" s="100" t="s">
        <v>1177</v>
      </c>
      <c r="H1233" s="80" t="s">
        <v>170</v>
      </c>
      <c r="I1233" s="80" t="s">
        <v>656</v>
      </c>
      <c r="J1233" s="100"/>
      <c r="K1233" s="101" t="s">
        <v>708</v>
      </c>
      <c r="L1233" s="101" t="str">
        <f t="shared" si="48"/>
        <v>_</v>
      </c>
      <c r="M1233" s="121">
        <f>ROUND(Tableau1[[#This Row],[LEN]]*7.27,0)</f>
        <v>553</v>
      </c>
      <c r="N1233" s="121">
        <v>15</v>
      </c>
      <c r="O1233" s="138" t="str">
        <f t="shared" si="49"/>
        <v>_self</v>
      </c>
      <c r="P1233" s="121">
        <f>LEN(Tableau1[[#This Row],[LABEL]])</f>
        <v>76</v>
      </c>
      <c r="Q1233" s="121">
        <v>15</v>
      </c>
      <c r="R1233" s="121" t="e">
        <f>ROUND(Tableau1[[#This Row],[LEN]]*#REF!+#REF!,0)</f>
        <v>#REF!</v>
      </c>
    </row>
    <row r="1234" spans="1:18" hidden="1" x14ac:dyDescent="0.25">
      <c r="A1234" s="98" t="s">
        <v>2067</v>
      </c>
      <c r="B1234" s="99" t="s">
        <v>2059</v>
      </c>
      <c r="C1234" s="434" t="s">
        <v>2154</v>
      </c>
      <c r="D1234" s="100" t="s">
        <v>2074</v>
      </c>
      <c r="E1234" s="80" t="s">
        <v>1177</v>
      </c>
      <c r="F1234" s="82" t="s">
        <v>1951</v>
      </c>
      <c r="G1234" s="100" t="s">
        <v>1177</v>
      </c>
      <c r="H1234" s="80" t="s">
        <v>170</v>
      </c>
      <c r="I1234" s="80" t="s">
        <v>656</v>
      </c>
      <c r="J1234" s="100"/>
      <c r="K1234" s="101" t="s">
        <v>708</v>
      </c>
      <c r="L1234" s="101" t="str">
        <f t="shared" si="48"/>
        <v>_</v>
      </c>
      <c r="M1234" s="121">
        <f>ROUND(Tableau1[[#This Row],[LEN]]*7.27,0)</f>
        <v>502</v>
      </c>
      <c r="N1234" s="121">
        <v>15</v>
      </c>
      <c r="O1234" s="138" t="str">
        <f t="shared" si="49"/>
        <v>_self</v>
      </c>
      <c r="P1234" s="121">
        <f>LEN(Tableau1[[#This Row],[LABEL]])</f>
        <v>69</v>
      </c>
      <c r="Q1234" s="121">
        <v>15</v>
      </c>
      <c r="R1234" s="121" t="e">
        <f>ROUND(Tableau1[[#This Row],[LEN]]*#REF!+#REF!,0)</f>
        <v>#REF!</v>
      </c>
    </row>
  </sheetData>
  <dataValidations count="1">
    <dataValidation type="list" allowBlank="1" showInputMessage="1" showErrorMessage="1" sqref="I2:I1234">
      <formula1>listType</formula1>
    </dataValidation>
  </dataValidations>
  <hyperlinks>
    <hyperlink ref="K438" r:id="rId1"/>
    <hyperlink ref="K987" r:id="rId2"/>
  </hyperlinks>
  <pageMargins left="0.7" right="0.7" top="0.75" bottom="0.75" header="0.3" footer="0.3"/>
  <pageSetup orientation="portrait" r:id="rId3"/>
  <ignoredErrors>
    <ignoredError sqref="O122:O126 O2:O117 O128:O396 O410:O411 O406:O408 O403 O399:O400 O420 O791 O786 O424:O776 O1154:O1234 O793 O800:O952 O119:O120 O954:O1150 O796:O798" calculatedColumn="1"/>
  </ignoredErrors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Q1197"/>
  <sheetViews>
    <sheetView zoomScale="85" zoomScaleNormal="85" workbookViewId="0">
      <pane xSplit="3" ySplit="1" topLeftCell="D737" activePane="bottomRight" state="frozen"/>
      <selection pane="topRight" activeCell="D1" sqref="D1"/>
      <selection pane="bottomLeft" activeCell="A2" sqref="A2"/>
      <selection pane="bottomRight" activeCell="C757" sqref="C757:C764"/>
    </sheetView>
  </sheetViews>
  <sheetFormatPr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5.28515625" style="84" customWidth="1"/>
    <col min="8" max="8" width="24.140625" style="84" customWidth="1"/>
    <col min="9" max="9" width="12" style="96" customWidth="1"/>
    <col min="10" max="11" width="22.85546875" style="96" customWidth="1"/>
    <col min="12" max="12" width="8.42578125" style="139" customWidth="1"/>
    <col min="13" max="13" width="9.85546875" style="139" customWidth="1"/>
    <col min="14" max="14" width="11.5703125" style="84" customWidth="1"/>
    <col min="15" max="15" width="7.140625" style="139" customWidth="1"/>
    <col min="16" max="16" width="14.42578125" style="139" customWidth="1"/>
    <col min="17" max="17" width="10.7109375" style="139" customWidth="1"/>
    <col min="18" max="16384" width="21.140625" style="96"/>
  </cols>
  <sheetData>
    <row r="1" spans="1:17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2146</v>
      </c>
      <c r="L1" s="140" t="s">
        <v>729</v>
      </c>
      <c r="M1" s="140" t="s">
        <v>730</v>
      </c>
      <c r="N1" s="140" t="s">
        <v>829</v>
      </c>
      <c r="O1" s="140" t="s">
        <v>831</v>
      </c>
      <c r="P1" s="140" t="s">
        <v>874</v>
      </c>
      <c r="Q1" s="140" t="s">
        <v>875</v>
      </c>
    </row>
    <row r="2" spans="1:17" s="92" customFormat="1" ht="15.75" thickTop="1" x14ac:dyDescent="0.25">
      <c r="A2" s="141" t="s">
        <v>198</v>
      </c>
      <c r="B2" s="141"/>
      <c r="C2" s="142" t="s">
        <v>59</v>
      </c>
      <c r="D2" s="142" t="s">
        <v>1177</v>
      </c>
      <c r="E2" s="142" t="s">
        <v>1177</v>
      </c>
      <c r="F2" s="143" t="s">
        <v>1084</v>
      </c>
      <c r="G2" s="142" t="s">
        <v>69</v>
      </c>
      <c r="H2" s="142" t="s">
        <v>657</v>
      </c>
      <c r="I2" s="143"/>
      <c r="J2" s="144" t="s">
        <v>708</v>
      </c>
      <c r="K2" s="144" t="str">
        <f t="shared" ref="K2:K65" si="0">IF(J2="javascript:void(0)","_","Documentation")</f>
        <v>_</v>
      </c>
      <c r="L2" s="145">
        <f>ROUND(Tableau18[[#This Row],[LEN]]*7.27,0)</f>
        <v>44</v>
      </c>
      <c r="M2" s="145">
        <v>15</v>
      </c>
      <c r="N2" s="146" t="str">
        <f>IF(J2="javascript:void(0)","_self","_blank")</f>
        <v>_self</v>
      </c>
      <c r="O2" s="145">
        <f>LEN(Tableau18[[#This Row],[LABEL]])</f>
        <v>6</v>
      </c>
      <c r="P2" s="147">
        <v>15</v>
      </c>
      <c r="Q2" s="147" t="e">
        <f>ROUND(Tableau18[[#This Row],[LEN]]*#REF!+#REF!,0)</f>
        <v>#REF!</v>
      </c>
    </row>
    <row r="3" spans="1:17" ht="15.75" thickBot="1" x14ac:dyDescent="0.3">
      <c r="A3" s="149" t="s">
        <v>204</v>
      </c>
      <c r="B3" s="149" t="s">
        <v>198</v>
      </c>
      <c r="C3" s="150" t="s">
        <v>172</v>
      </c>
      <c r="D3" s="151" t="s">
        <v>184</v>
      </c>
      <c r="E3" s="150" t="s">
        <v>1177</v>
      </c>
      <c r="F3" s="151" t="s">
        <v>1177</v>
      </c>
      <c r="G3" s="150" t="s">
        <v>70</v>
      </c>
      <c r="H3" s="150" t="s">
        <v>616</v>
      </c>
      <c r="I3" s="151"/>
      <c r="J3" s="152" t="s">
        <v>708</v>
      </c>
      <c r="K3" s="152" t="str">
        <f t="shared" si="0"/>
        <v>_</v>
      </c>
      <c r="L3" s="153">
        <f>ROUND(Tableau18[[#This Row],[LEN]]*7.27,0)</f>
        <v>80</v>
      </c>
      <c r="M3" s="153">
        <v>15</v>
      </c>
      <c r="N3" s="154" t="str">
        <f t="shared" ref="N3:N66" si="1">IF(J3="javascript:void(0)","_self","_blank")</f>
        <v>_self</v>
      </c>
      <c r="O3" s="153">
        <f>LEN(Tableau18[[#This Row],[LABEL]])</f>
        <v>11</v>
      </c>
      <c r="P3" s="155">
        <v>15</v>
      </c>
      <c r="Q3" s="155" t="e">
        <f>ROUND(Tableau18[[#This Row],[LEN]]*#REF!+#REF!,0)</f>
        <v>#REF!</v>
      </c>
    </row>
    <row r="4" spans="1:17" s="92" customFormat="1" ht="15.75" thickTop="1" x14ac:dyDescent="0.25">
      <c r="A4" s="245" t="s">
        <v>213</v>
      </c>
      <c r="B4" s="246" t="s">
        <v>204</v>
      </c>
      <c r="C4" s="247" t="s">
        <v>57</v>
      </c>
      <c r="D4" s="248" t="s">
        <v>1177</v>
      </c>
      <c r="E4" s="247" t="s">
        <v>663</v>
      </c>
      <c r="F4" s="247" t="s">
        <v>1177</v>
      </c>
      <c r="G4" s="248" t="s">
        <v>70</v>
      </c>
      <c r="H4" s="248" t="str">
        <f>IFERROR(IF(SEARCH(".00.00.00.00.00",Tableau18[[#This Row],[name]],1)=7,"Division",""),"")</f>
        <v>Division</v>
      </c>
      <c r="I4" s="247"/>
      <c r="J4" s="249" t="s">
        <v>708</v>
      </c>
      <c r="K4" s="249" t="str">
        <f t="shared" si="0"/>
        <v>_</v>
      </c>
      <c r="L4" s="250">
        <f>ROUND(Tableau18[[#This Row],[LEN]]*7.27,0)</f>
        <v>102</v>
      </c>
      <c r="M4" s="250">
        <v>15</v>
      </c>
      <c r="N4" s="251" t="str">
        <f t="shared" si="1"/>
        <v>_self</v>
      </c>
      <c r="O4" s="250">
        <f>LEN(Tableau18[[#This Row],[LABEL]])</f>
        <v>14</v>
      </c>
      <c r="P4" s="250">
        <v>15</v>
      </c>
      <c r="Q4" s="250" t="e">
        <f>ROUND(Tableau18[[#This Row],[LEN]]*#REF!+#REF!,0)</f>
        <v>#REF!</v>
      </c>
    </row>
    <row r="5" spans="1:17" x14ac:dyDescent="0.25">
      <c r="A5" s="6" t="s">
        <v>740</v>
      </c>
      <c r="B5" s="7" t="s">
        <v>213</v>
      </c>
      <c r="C5" s="8" t="s">
        <v>746</v>
      </c>
      <c r="D5" s="65" t="s">
        <v>1177</v>
      </c>
      <c r="E5" s="8" t="s">
        <v>663</v>
      </c>
      <c r="F5" s="8" t="s">
        <v>1177</v>
      </c>
      <c r="G5" s="65" t="s">
        <v>70</v>
      </c>
      <c r="H5" s="65" t="s">
        <v>654</v>
      </c>
      <c r="I5" s="8"/>
      <c r="J5" s="9" t="s">
        <v>708</v>
      </c>
      <c r="K5" s="9" t="str">
        <f t="shared" si="0"/>
        <v>_</v>
      </c>
      <c r="L5" s="105">
        <f>ROUND(Tableau18[[#This Row],[LEN]]*7.27,0)</f>
        <v>233</v>
      </c>
      <c r="M5" s="105">
        <v>15</v>
      </c>
      <c r="N5" s="123" t="str">
        <f t="shared" si="1"/>
        <v>_self</v>
      </c>
      <c r="O5" s="105">
        <f>LEN(Tableau18[[#This Row],[LABEL]])</f>
        <v>32</v>
      </c>
      <c r="P5" s="105">
        <v>15</v>
      </c>
      <c r="Q5" s="105" t="e">
        <f>ROUND(Tableau18[[#This Row],[LEN]]*#REF!+#REF!,0)</f>
        <v>#REF!</v>
      </c>
    </row>
    <row r="6" spans="1:17" x14ac:dyDescent="0.25">
      <c r="A6" s="6" t="s">
        <v>741</v>
      </c>
      <c r="B6" s="7" t="s">
        <v>213</v>
      </c>
      <c r="C6" s="8" t="s">
        <v>64</v>
      </c>
      <c r="D6" s="65" t="s">
        <v>1177</v>
      </c>
      <c r="E6" s="8" t="s">
        <v>662</v>
      </c>
      <c r="F6" s="8" t="s">
        <v>1956</v>
      </c>
      <c r="G6" s="65" t="s">
        <v>70</v>
      </c>
      <c r="H6" s="65" t="s">
        <v>17</v>
      </c>
      <c r="I6" s="8"/>
      <c r="J6" s="9" t="s">
        <v>708</v>
      </c>
      <c r="K6" s="9" t="str">
        <f t="shared" si="0"/>
        <v>_</v>
      </c>
      <c r="L6" s="105">
        <f>ROUND(Tableau18[[#This Row],[LEN]]*7.27,0)</f>
        <v>291</v>
      </c>
      <c r="M6" s="105">
        <v>15</v>
      </c>
      <c r="N6" s="123" t="str">
        <f t="shared" si="1"/>
        <v>_self</v>
      </c>
      <c r="O6" s="105">
        <f>LEN(Tableau18[[#This Row],[LABEL]])</f>
        <v>40</v>
      </c>
      <c r="P6" s="105">
        <v>15</v>
      </c>
      <c r="Q6" s="105" t="e">
        <f>ROUND(Tableau18[[#This Row],[LEN]]*#REF!+#REF!,0)</f>
        <v>#REF!</v>
      </c>
    </row>
    <row r="7" spans="1:17" x14ac:dyDescent="0.25">
      <c r="A7" s="6" t="s">
        <v>742</v>
      </c>
      <c r="B7" s="7" t="s">
        <v>213</v>
      </c>
      <c r="C7" s="8" t="s">
        <v>747</v>
      </c>
      <c r="D7" s="65" t="s">
        <v>1177</v>
      </c>
      <c r="E7" s="8" t="s">
        <v>663</v>
      </c>
      <c r="F7" s="8" t="s">
        <v>1177</v>
      </c>
      <c r="G7" s="65" t="s">
        <v>70</v>
      </c>
      <c r="H7" s="65" t="s">
        <v>656</v>
      </c>
      <c r="I7" s="8"/>
      <c r="J7" s="9" t="s">
        <v>708</v>
      </c>
      <c r="K7" s="9" t="str">
        <f t="shared" si="0"/>
        <v>_</v>
      </c>
      <c r="L7" s="105">
        <f>ROUND(Tableau18[[#This Row],[LEN]]*7.27,0)</f>
        <v>451</v>
      </c>
      <c r="M7" s="105">
        <v>15</v>
      </c>
      <c r="N7" s="123" t="str">
        <f t="shared" si="1"/>
        <v>_self</v>
      </c>
      <c r="O7" s="105">
        <f>LEN(Tableau18[[#This Row],[LABEL]])</f>
        <v>62</v>
      </c>
      <c r="P7" s="105">
        <v>15</v>
      </c>
      <c r="Q7" s="105" t="e">
        <f>ROUND(Tableau18[[#This Row],[LEN]]*#REF!+#REF!,0)</f>
        <v>#REF!</v>
      </c>
    </row>
    <row r="8" spans="1:17" x14ac:dyDescent="0.25">
      <c r="A8" s="6" t="s">
        <v>743</v>
      </c>
      <c r="B8" s="7" t="s">
        <v>213</v>
      </c>
      <c r="C8" s="8" t="s">
        <v>65</v>
      </c>
      <c r="D8" s="65" t="s">
        <v>1177</v>
      </c>
      <c r="E8" s="8" t="s">
        <v>662</v>
      </c>
      <c r="F8" s="8" t="s">
        <v>1957</v>
      </c>
      <c r="G8" s="65" t="s">
        <v>70</v>
      </c>
      <c r="H8" s="65" t="s">
        <v>17</v>
      </c>
      <c r="I8" s="8"/>
      <c r="J8" s="9" t="s">
        <v>708</v>
      </c>
      <c r="K8" s="9" t="str">
        <f t="shared" si="0"/>
        <v>_</v>
      </c>
      <c r="L8" s="105">
        <f>ROUND(Tableau18[[#This Row],[LEN]]*7.27,0)</f>
        <v>291</v>
      </c>
      <c r="M8" s="105">
        <v>15</v>
      </c>
      <c r="N8" s="123" t="str">
        <f t="shared" si="1"/>
        <v>_self</v>
      </c>
      <c r="O8" s="105">
        <f>LEN(Tableau18[[#This Row],[LABEL]])</f>
        <v>40</v>
      </c>
      <c r="P8" s="105">
        <v>15</v>
      </c>
      <c r="Q8" s="105" t="e">
        <f>ROUND(Tableau18[[#This Row],[LEN]]*#REF!+#REF!,0)</f>
        <v>#REF!</v>
      </c>
    </row>
    <row r="9" spans="1:17" x14ac:dyDescent="0.25">
      <c r="A9" s="6" t="s">
        <v>744</v>
      </c>
      <c r="B9" s="7" t="s">
        <v>213</v>
      </c>
      <c r="C9" s="8" t="s">
        <v>748</v>
      </c>
      <c r="D9" s="65" t="s">
        <v>1177</v>
      </c>
      <c r="E9" s="8" t="s">
        <v>663</v>
      </c>
      <c r="F9" s="8" t="s">
        <v>1177</v>
      </c>
      <c r="G9" s="65" t="s">
        <v>70</v>
      </c>
      <c r="H9" s="65" t="s">
        <v>656</v>
      </c>
      <c r="I9" s="8"/>
      <c r="J9" s="9" t="s">
        <v>708</v>
      </c>
      <c r="K9" s="9" t="str">
        <f t="shared" si="0"/>
        <v>_</v>
      </c>
      <c r="L9" s="105">
        <f>ROUND(Tableau18[[#This Row],[LEN]]*7.27,0)</f>
        <v>247</v>
      </c>
      <c r="M9" s="105">
        <v>15</v>
      </c>
      <c r="N9" s="123" t="str">
        <f t="shared" si="1"/>
        <v>_self</v>
      </c>
      <c r="O9" s="105">
        <f>LEN(Tableau18[[#This Row],[LABEL]])</f>
        <v>34</v>
      </c>
      <c r="P9" s="105">
        <v>15</v>
      </c>
      <c r="Q9" s="105" t="e">
        <f>ROUND(Tableau18[[#This Row],[LEN]]*#REF!+#REF!,0)</f>
        <v>#REF!</v>
      </c>
    </row>
    <row r="10" spans="1:17" x14ac:dyDescent="0.25">
      <c r="A10" s="6" t="s">
        <v>745</v>
      </c>
      <c r="B10" s="7" t="s">
        <v>213</v>
      </c>
      <c r="C10" s="8" t="s">
        <v>1166</v>
      </c>
      <c r="D10" s="65" t="s">
        <v>1177</v>
      </c>
      <c r="E10" s="8" t="s">
        <v>663</v>
      </c>
      <c r="F10" s="8" t="s">
        <v>1177</v>
      </c>
      <c r="G10" s="65" t="s">
        <v>70</v>
      </c>
      <c r="H10" s="65" t="s">
        <v>656</v>
      </c>
      <c r="I10" s="8"/>
      <c r="J10" s="9" t="s">
        <v>708</v>
      </c>
      <c r="K10" s="9" t="str">
        <f t="shared" si="0"/>
        <v>_</v>
      </c>
      <c r="L10" s="105">
        <f>ROUND(Tableau18[[#This Row],[LEN]]*7.27,0)</f>
        <v>364</v>
      </c>
      <c r="M10" s="105">
        <v>15</v>
      </c>
      <c r="N10" s="123" t="str">
        <f t="shared" si="1"/>
        <v>_self</v>
      </c>
      <c r="O10" s="105">
        <f>LEN(Tableau18[[#This Row],[LABEL]])</f>
        <v>50</v>
      </c>
      <c r="P10" s="105">
        <v>15</v>
      </c>
      <c r="Q10" s="105" t="e">
        <f>ROUND(Tableau18[[#This Row],[LEN]]*#REF!+#REF!,0)</f>
        <v>#REF!</v>
      </c>
    </row>
    <row r="11" spans="1:17" s="92" customFormat="1" x14ac:dyDescent="0.25">
      <c r="A11" s="245" t="s">
        <v>214</v>
      </c>
      <c r="B11" s="246" t="s">
        <v>204</v>
      </c>
      <c r="C11" s="247" t="s">
        <v>2</v>
      </c>
      <c r="D11" s="248" t="s">
        <v>1177</v>
      </c>
      <c r="E11" s="247" t="s">
        <v>662</v>
      </c>
      <c r="F11" s="247" t="s">
        <v>1177</v>
      </c>
      <c r="G11" s="248" t="s">
        <v>70</v>
      </c>
      <c r="H11" s="248" t="str">
        <f>IFERROR(IF(SEARCH(".00.00.00.00.00",Tableau18[[#This Row],[name]],1)=7,"Division",""),"")</f>
        <v>Division</v>
      </c>
      <c r="I11" s="247"/>
      <c r="J11" s="249" t="s">
        <v>708</v>
      </c>
      <c r="K11" s="249" t="str">
        <f t="shared" si="0"/>
        <v>_</v>
      </c>
      <c r="L11" s="250">
        <f>ROUND(Tableau18[[#This Row],[LEN]]*7.27,0)</f>
        <v>65</v>
      </c>
      <c r="M11" s="250">
        <v>15</v>
      </c>
      <c r="N11" s="251" t="str">
        <f t="shared" si="1"/>
        <v>_self</v>
      </c>
      <c r="O11" s="250">
        <f>LEN(Tableau18[[#This Row],[LABEL]])</f>
        <v>9</v>
      </c>
      <c r="P11" s="250">
        <v>15</v>
      </c>
      <c r="Q11" s="250" t="e">
        <f>ROUND(Tableau18[[#This Row],[LEN]]*#REF!+#REF!,0)</f>
        <v>#REF!</v>
      </c>
    </row>
    <row r="12" spans="1:17" x14ac:dyDescent="0.25">
      <c r="A12" s="6" t="s">
        <v>734</v>
      </c>
      <c r="B12" s="7" t="s">
        <v>214</v>
      </c>
      <c r="C12" s="8" t="s">
        <v>64</v>
      </c>
      <c r="D12" s="65" t="s">
        <v>1177</v>
      </c>
      <c r="E12" s="8" t="s">
        <v>662</v>
      </c>
      <c r="F12" s="8" t="s">
        <v>1956</v>
      </c>
      <c r="G12" s="65" t="s">
        <v>70</v>
      </c>
      <c r="H12" s="65" t="s">
        <v>17</v>
      </c>
      <c r="I12" s="8"/>
      <c r="J12" s="9" t="s">
        <v>708</v>
      </c>
      <c r="K12" s="9" t="str">
        <f t="shared" si="0"/>
        <v>_</v>
      </c>
      <c r="L12" s="105">
        <f>ROUND(Tableau18[[#This Row],[LEN]]*7.27,0)</f>
        <v>291</v>
      </c>
      <c r="M12" s="105">
        <v>15</v>
      </c>
      <c r="N12" s="123" t="str">
        <f t="shared" si="1"/>
        <v>_self</v>
      </c>
      <c r="O12" s="105">
        <f>LEN(Tableau18[[#This Row],[LABEL]])</f>
        <v>40</v>
      </c>
      <c r="P12" s="105">
        <v>15</v>
      </c>
      <c r="Q12" s="105" t="e">
        <f>ROUND(Tableau18[[#This Row],[LEN]]*#REF!+#REF!,0)</f>
        <v>#REF!</v>
      </c>
    </row>
    <row r="13" spans="1:17" x14ac:dyDescent="0.25">
      <c r="A13" s="6" t="s">
        <v>735</v>
      </c>
      <c r="B13" s="7" t="s">
        <v>214</v>
      </c>
      <c r="C13" s="8" t="s">
        <v>65</v>
      </c>
      <c r="D13" s="65" t="s">
        <v>1177</v>
      </c>
      <c r="E13" s="8" t="s">
        <v>662</v>
      </c>
      <c r="F13" s="8" t="s">
        <v>1957</v>
      </c>
      <c r="G13" s="65" t="s">
        <v>70</v>
      </c>
      <c r="H13" s="65" t="s">
        <v>17</v>
      </c>
      <c r="I13" s="8"/>
      <c r="J13" s="9" t="s">
        <v>708</v>
      </c>
      <c r="K13" s="9" t="str">
        <f t="shared" si="0"/>
        <v>_</v>
      </c>
      <c r="L13" s="105">
        <f>ROUND(Tableau18[[#This Row],[LEN]]*7.27,0)</f>
        <v>291</v>
      </c>
      <c r="M13" s="105">
        <v>15</v>
      </c>
      <c r="N13" s="123" t="str">
        <f t="shared" si="1"/>
        <v>_self</v>
      </c>
      <c r="O13" s="105">
        <f>LEN(Tableau18[[#This Row],[LABEL]])</f>
        <v>40</v>
      </c>
      <c r="P13" s="105">
        <v>15</v>
      </c>
      <c r="Q13" s="105" t="e">
        <f>ROUND(Tableau18[[#This Row],[LEN]]*#REF!+#REF!,0)</f>
        <v>#REF!</v>
      </c>
    </row>
    <row r="14" spans="1:17" x14ac:dyDescent="0.25">
      <c r="A14" s="6" t="s">
        <v>736</v>
      </c>
      <c r="B14" s="7" t="s">
        <v>214</v>
      </c>
      <c r="C14" s="8" t="s">
        <v>72</v>
      </c>
      <c r="D14" s="65" t="s">
        <v>1177</v>
      </c>
      <c r="E14" s="8" t="s">
        <v>662</v>
      </c>
      <c r="F14" s="8" t="s">
        <v>2075</v>
      </c>
      <c r="G14" s="65" t="s">
        <v>70</v>
      </c>
      <c r="H14" s="65" t="s">
        <v>654</v>
      </c>
      <c r="I14" s="8"/>
      <c r="J14" s="9" t="s">
        <v>708</v>
      </c>
      <c r="K14" s="9" t="str">
        <f t="shared" si="0"/>
        <v>_</v>
      </c>
      <c r="L14" s="105">
        <f>ROUND(Tableau18[[#This Row],[LEN]]*7.27,0)</f>
        <v>400</v>
      </c>
      <c r="M14" s="105">
        <v>15</v>
      </c>
      <c r="N14" s="123" t="str">
        <f t="shared" si="1"/>
        <v>_self</v>
      </c>
      <c r="O14" s="105">
        <f>LEN(Tableau18[[#This Row],[LABEL]])</f>
        <v>55</v>
      </c>
      <c r="P14" s="105">
        <v>15</v>
      </c>
      <c r="Q14" s="105" t="e">
        <f>ROUND(Tableau18[[#This Row],[LEN]]*#REF!+#REF!,0)</f>
        <v>#REF!</v>
      </c>
    </row>
    <row r="15" spans="1:17" s="92" customFormat="1" x14ac:dyDescent="0.25">
      <c r="A15" s="245" t="s">
        <v>215</v>
      </c>
      <c r="B15" s="246" t="s">
        <v>204</v>
      </c>
      <c r="C15" s="247" t="s">
        <v>3</v>
      </c>
      <c r="D15" s="248" t="s">
        <v>1177</v>
      </c>
      <c r="E15" s="247" t="s">
        <v>661</v>
      </c>
      <c r="F15" s="247" t="s">
        <v>1177</v>
      </c>
      <c r="G15" s="248" t="s">
        <v>70</v>
      </c>
      <c r="H15" s="248" t="str">
        <f>IFERROR(IF(SEARCH(".00.00.00.00.00",Tableau18[[#This Row],[name]],1)=7,"Division",""),"")</f>
        <v>Division</v>
      </c>
      <c r="I15" s="247"/>
      <c r="J15" s="249" t="s">
        <v>708</v>
      </c>
      <c r="K15" s="249" t="str">
        <f t="shared" si="0"/>
        <v>_</v>
      </c>
      <c r="L15" s="250">
        <f>ROUND(Tableau18[[#This Row],[LEN]]*7.27,0)</f>
        <v>73</v>
      </c>
      <c r="M15" s="250">
        <v>15</v>
      </c>
      <c r="N15" s="251" t="str">
        <f t="shared" si="1"/>
        <v>_self</v>
      </c>
      <c r="O15" s="250">
        <f>LEN(Tableau18[[#This Row],[LABEL]])</f>
        <v>10</v>
      </c>
      <c r="P15" s="250">
        <v>15</v>
      </c>
      <c r="Q15" s="250" t="e">
        <f>ROUND(Tableau18[[#This Row],[LEN]]*#REF!+#REF!,0)</f>
        <v>#REF!</v>
      </c>
    </row>
    <row r="16" spans="1:17" x14ac:dyDescent="0.25">
      <c r="A16" s="6" t="s">
        <v>356</v>
      </c>
      <c r="B16" s="7" t="s">
        <v>215</v>
      </c>
      <c r="C16" s="8" t="s">
        <v>64</v>
      </c>
      <c r="D16" s="65" t="s">
        <v>1177</v>
      </c>
      <c r="E16" s="8" t="s">
        <v>662</v>
      </c>
      <c r="F16" s="8" t="s">
        <v>1956</v>
      </c>
      <c r="G16" s="65" t="s">
        <v>70</v>
      </c>
      <c r="H16" s="65" t="s">
        <v>17</v>
      </c>
      <c r="I16" s="8"/>
      <c r="J16" s="9" t="s">
        <v>708</v>
      </c>
      <c r="K16" s="9" t="str">
        <f t="shared" si="0"/>
        <v>_</v>
      </c>
      <c r="L16" s="105">
        <f>ROUND(Tableau18[[#This Row],[LEN]]*7.27,0)</f>
        <v>291</v>
      </c>
      <c r="M16" s="105">
        <v>15</v>
      </c>
      <c r="N16" s="123" t="str">
        <f t="shared" si="1"/>
        <v>_self</v>
      </c>
      <c r="O16" s="105">
        <f>LEN(Tableau18[[#This Row],[LABEL]])</f>
        <v>40</v>
      </c>
      <c r="P16" s="105">
        <v>15</v>
      </c>
      <c r="Q16" s="105" t="e">
        <f>ROUND(Tableau18[[#This Row],[LEN]]*#REF!+#REF!,0)</f>
        <v>#REF!</v>
      </c>
    </row>
    <row r="17" spans="1:17" x14ac:dyDescent="0.25">
      <c r="A17" s="6" t="s">
        <v>357</v>
      </c>
      <c r="B17" s="7" t="s">
        <v>215</v>
      </c>
      <c r="C17" s="8" t="s">
        <v>75</v>
      </c>
      <c r="D17" s="65" t="s">
        <v>1177</v>
      </c>
      <c r="E17" s="8" t="s">
        <v>684</v>
      </c>
      <c r="F17" s="8" t="s">
        <v>663</v>
      </c>
      <c r="G17" s="65" t="s">
        <v>70</v>
      </c>
      <c r="H17" s="65" t="s">
        <v>655</v>
      </c>
      <c r="I17" s="8"/>
      <c r="J17" s="9" t="s">
        <v>708</v>
      </c>
      <c r="K17" s="9" t="str">
        <f t="shared" si="0"/>
        <v>_</v>
      </c>
      <c r="L17" s="105">
        <f>ROUND(Tableau18[[#This Row],[LEN]]*7.27,0)</f>
        <v>262</v>
      </c>
      <c r="M17" s="105">
        <v>15</v>
      </c>
      <c r="N17" s="123" t="str">
        <f t="shared" si="1"/>
        <v>_self</v>
      </c>
      <c r="O17" s="105">
        <f>LEN(Tableau18[[#This Row],[LABEL]])</f>
        <v>36</v>
      </c>
      <c r="P17" s="105">
        <v>15</v>
      </c>
      <c r="Q17" s="105" t="e">
        <f>ROUND(Tableau18[[#This Row],[LEN]]*#REF!+#REF!,0)</f>
        <v>#REF!</v>
      </c>
    </row>
    <row r="18" spans="1:17" x14ac:dyDescent="0.25">
      <c r="A18" s="10" t="s">
        <v>365</v>
      </c>
      <c r="B18" s="11" t="s">
        <v>357</v>
      </c>
      <c r="C18" s="12" t="s">
        <v>76</v>
      </c>
      <c r="D18" s="66" t="s">
        <v>1177</v>
      </c>
      <c r="E18" s="12" t="s">
        <v>684</v>
      </c>
      <c r="F18" s="12" t="s">
        <v>663</v>
      </c>
      <c r="G18" s="66" t="s">
        <v>70</v>
      </c>
      <c r="H18" s="66" t="s">
        <v>18</v>
      </c>
      <c r="I18" s="12"/>
      <c r="J18" s="13" t="s">
        <v>708</v>
      </c>
      <c r="K18" s="13" t="str">
        <f t="shared" si="0"/>
        <v>_</v>
      </c>
      <c r="L18" s="106">
        <f>ROUND(Tableau18[[#This Row],[LEN]]*7.27,0)</f>
        <v>443</v>
      </c>
      <c r="M18" s="106">
        <v>15</v>
      </c>
      <c r="N18" s="124" t="str">
        <f t="shared" si="1"/>
        <v>_self</v>
      </c>
      <c r="O18" s="106">
        <f>LEN(Tableau18[[#This Row],[LABEL]])</f>
        <v>61</v>
      </c>
      <c r="P18" s="106">
        <v>15</v>
      </c>
      <c r="Q18" s="106" t="e">
        <f>ROUND(Tableau18[[#This Row],[LEN]]*#REF!+#REF!,0)</f>
        <v>#REF!</v>
      </c>
    </row>
    <row r="19" spans="1:17" x14ac:dyDescent="0.25">
      <c r="A19" s="10" t="s">
        <v>366</v>
      </c>
      <c r="B19" s="11" t="s">
        <v>357</v>
      </c>
      <c r="C19" s="12" t="s">
        <v>77</v>
      </c>
      <c r="D19" s="66" t="s">
        <v>1177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3" t="str">
        <f t="shared" si="0"/>
        <v>_</v>
      </c>
      <c r="L19" s="106">
        <f>ROUND(Tableau18[[#This Row],[LEN]]*7.27,0)</f>
        <v>473</v>
      </c>
      <c r="M19" s="106">
        <v>15</v>
      </c>
      <c r="N19" s="124" t="str">
        <f t="shared" si="1"/>
        <v>_self</v>
      </c>
      <c r="O19" s="106">
        <f>LEN(Tableau18[[#This Row],[LABEL]])</f>
        <v>65</v>
      </c>
      <c r="P19" s="106">
        <v>15</v>
      </c>
      <c r="Q19" s="106" t="e">
        <f>ROUND(Tableau18[[#This Row],[LEN]]*#REF!+#REF!,0)</f>
        <v>#REF!</v>
      </c>
    </row>
    <row r="20" spans="1:17" x14ac:dyDescent="0.25">
      <c r="A20" s="10" t="s">
        <v>367</v>
      </c>
      <c r="B20" s="11" t="s">
        <v>357</v>
      </c>
      <c r="C20" s="12" t="s">
        <v>78</v>
      </c>
      <c r="D20" s="66" t="s">
        <v>1177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3" t="str">
        <f t="shared" si="0"/>
        <v>_</v>
      </c>
      <c r="L20" s="106">
        <f>ROUND(Tableau18[[#This Row],[LEN]]*7.27,0)</f>
        <v>385</v>
      </c>
      <c r="M20" s="106">
        <v>15</v>
      </c>
      <c r="N20" s="124" t="str">
        <f t="shared" si="1"/>
        <v>_self</v>
      </c>
      <c r="O20" s="106">
        <f>LEN(Tableau18[[#This Row],[LABEL]])</f>
        <v>53</v>
      </c>
      <c r="P20" s="106">
        <v>15</v>
      </c>
      <c r="Q20" s="106" t="e">
        <f>ROUND(Tableau18[[#This Row],[LEN]]*#REF!+#REF!,0)</f>
        <v>#REF!</v>
      </c>
    </row>
    <row r="21" spans="1:17" x14ac:dyDescent="0.25">
      <c r="A21" s="6" t="s">
        <v>358</v>
      </c>
      <c r="B21" s="7" t="s">
        <v>215</v>
      </c>
      <c r="C21" s="8" t="s">
        <v>65</v>
      </c>
      <c r="D21" s="65" t="s">
        <v>1177</v>
      </c>
      <c r="E21" s="8" t="s">
        <v>662</v>
      </c>
      <c r="F21" s="8" t="s">
        <v>1957</v>
      </c>
      <c r="G21" s="65" t="s">
        <v>70</v>
      </c>
      <c r="H21" s="65" t="s">
        <v>17</v>
      </c>
      <c r="I21" s="8"/>
      <c r="J21" s="9" t="s">
        <v>708</v>
      </c>
      <c r="K21" s="9" t="str">
        <f t="shared" si="0"/>
        <v>_</v>
      </c>
      <c r="L21" s="105">
        <f>ROUND(Tableau18[[#This Row],[LEN]]*7.27,0)</f>
        <v>291</v>
      </c>
      <c r="M21" s="105">
        <v>15</v>
      </c>
      <c r="N21" s="123" t="str">
        <f t="shared" si="1"/>
        <v>_self</v>
      </c>
      <c r="O21" s="105">
        <f>LEN(Tableau18[[#This Row],[LABEL]])</f>
        <v>40</v>
      </c>
      <c r="P21" s="105">
        <v>15</v>
      </c>
      <c r="Q21" s="105" t="e">
        <f>ROUND(Tableau18[[#This Row],[LEN]]*#REF!+#REF!,0)</f>
        <v>#REF!</v>
      </c>
    </row>
    <row r="22" spans="1:17" x14ac:dyDescent="0.25">
      <c r="A22" s="6" t="s">
        <v>359</v>
      </c>
      <c r="B22" s="7" t="s">
        <v>215</v>
      </c>
      <c r="C22" s="8" t="s">
        <v>72</v>
      </c>
      <c r="D22" s="65" t="s">
        <v>1177</v>
      </c>
      <c r="E22" s="8" t="s">
        <v>662</v>
      </c>
      <c r="F22" s="8" t="s">
        <v>2075</v>
      </c>
      <c r="G22" s="65" t="s">
        <v>70</v>
      </c>
      <c r="H22" s="65" t="s">
        <v>654</v>
      </c>
      <c r="I22" s="8"/>
      <c r="J22" s="9" t="s">
        <v>708</v>
      </c>
      <c r="K22" s="9" t="str">
        <f t="shared" si="0"/>
        <v>_</v>
      </c>
      <c r="L22" s="105">
        <f>ROUND(Tableau18[[#This Row],[LEN]]*7.27,0)</f>
        <v>400</v>
      </c>
      <c r="M22" s="105">
        <v>15</v>
      </c>
      <c r="N22" s="123" t="str">
        <f t="shared" si="1"/>
        <v>_self</v>
      </c>
      <c r="O22" s="105">
        <f>LEN(Tableau18[[#This Row],[LABEL]])</f>
        <v>55</v>
      </c>
      <c r="P22" s="105">
        <v>15</v>
      </c>
      <c r="Q22" s="105" t="e">
        <f>ROUND(Tableau18[[#This Row],[LEN]]*#REF!+#REF!,0)</f>
        <v>#REF!</v>
      </c>
    </row>
    <row r="23" spans="1:17" x14ac:dyDescent="0.25">
      <c r="A23" s="6" t="s">
        <v>360</v>
      </c>
      <c r="B23" s="7" t="s">
        <v>215</v>
      </c>
      <c r="C23" s="8" t="s">
        <v>79</v>
      </c>
      <c r="D23" s="65" t="s">
        <v>1177</v>
      </c>
      <c r="E23" s="8" t="s">
        <v>661</v>
      </c>
      <c r="F23" s="8" t="s">
        <v>666</v>
      </c>
      <c r="G23" s="65" t="s">
        <v>70</v>
      </c>
      <c r="H23" s="65" t="s">
        <v>18</v>
      </c>
      <c r="I23" s="8"/>
      <c r="J23" s="9" t="s">
        <v>708</v>
      </c>
      <c r="K23" s="9" t="str">
        <f t="shared" si="0"/>
        <v>_</v>
      </c>
      <c r="L23" s="105">
        <f>ROUND(Tableau18[[#This Row],[LEN]]*7.27,0)</f>
        <v>218</v>
      </c>
      <c r="M23" s="105">
        <v>15</v>
      </c>
      <c r="N23" s="123" t="str">
        <f t="shared" si="1"/>
        <v>_self</v>
      </c>
      <c r="O23" s="105">
        <f>LEN(Tableau18[[#This Row],[LABEL]])</f>
        <v>30</v>
      </c>
      <c r="P23" s="105">
        <v>15</v>
      </c>
      <c r="Q23" s="105" t="e">
        <f>ROUND(Tableau18[[#This Row],[LEN]]*#REF!+#REF!,0)</f>
        <v>#REF!</v>
      </c>
    </row>
    <row r="24" spans="1:17" s="92" customFormat="1" x14ac:dyDescent="0.25">
      <c r="A24" s="245" t="s">
        <v>216</v>
      </c>
      <c r="B24" s="246" t="s">
        <v>204</v>
      </c>
      <c r="C24" s="247" t="s">
        <v>4</v>
      </c>
      <c r="D24" s="248" t="s">
        <v>1177</v>
      </c>
      <c r="E24" s="247" t="s">
        <v>666</v>
      </c>
      <c r="F24" s="247" t="s">
        <v>1177</v>
      </c>
      <c r="G24" s="248" t="s">
        <v>70</v>
      </c>
      <c r="H24" s="248" t="str">
        <f>IFERROR(IF(SEARCH(".00.00.00.00.00",Tableau18[[#This Row],[name]],1)=7,"Division",""),"")</f>
        <v>Division</v>
      </c>
      <c r="I24" s="247"/>
      <c r="J24" s="249" t="s">
        <v>708</v>
      </c>
      <c r="K24" s="249" t="str">
        <f t="shared" si="0"/>
        <v>_</v>
      </c>
      <c r="L24" s="250">
        <f>ROUND(Tableau18[[#This Row],[LEN]]*7.27,0)</f>
        <v>36</v>
      </c>
      <c r="M24" s="250">
        <v>15</v>
      </c>
      <c r="N24" s="251" t="str">
        <f t="shared" si="1"/>
        <v>_self</v>
      </c>
      <c r="O24" s="250">
        <f>LEN(Tableau18[[#This Row],[LABEL]])</f>
        <v>5</v>
      </c>
      <c r="P24" s="250">
        <v>15</v>
      </c>
      <c r="Q24" s="250" t="e">
        <f>ROUND(Tableau18[[#This Row],[LEN]]*#REF!+#REF!,0)</f>
        <v>#REF!</v>
      </c>
    </row>
    <row r="25" spans="1:17" x14ac:dyDescent="0.25">
      <c r="A25" s="6" t="s">
        <v>918</v>
      </c>
      <c r="B25" s="7" t="s">
        <v>216</v>
      </c>
      <c r="C25" s="8" t="s">
        <v>64</v>
      </c>
      <c r="D25" s="65" t="s">
        <v>1177</v>
      </c>
      <c r="E25" s="8" t="s">
        <v>662</v>
      </c>
      <c r="F25" s="8" t="s">
        <v>1956</v>
      </c>
      <c r="G25" s="65" t="s">
        <v>70</v>
      </c>
      <c r="H25" s="65" t="s">
        <v>17</v>
      </c>
      <c r="I25" s="8"/>
      <c r="J25" s="9" t="s">
        <v>708</v>
      </c>
      <c r="K25" s="9" t="str">
        <f t="shared" si="0"/>
        <v>_</v>
      </c>
      <c r="L25" s="105">
        <f>ROUND(Tableau18[[#This Row],[LEN]]*7.27,0)</f>
        <v>291</v>
      </c>
      <c r="M25" s="105">
        <v>15</v>
      </c>
      <c r="N25" s="123" t="str">
        <f t="shared" si="1"/>
        <v>_self</v>
      </c>
      <c r="O25" s="105">
        <f>LEN(Tableau18[[#This Row],[LABEL]])</f>
        <v>40</v>
      </c>
      <c r="P25" s="105">
        <v>15</v>
      </c>
      <c r="Q25" s="105" t="e">
        <f>ROUND(Tableau18[[#This Row],[LEN]]*#REF!+#REF!,0)</f>
        <v>#REF!</v>
      </c>
    </row>
    <row r="26" spans="1:17" x14ac:dyDescent="0.25">
      <c r="A26" s="6" t="s">
        <v>919</v>
      </c>
      <c r="B26" s="7" t="s">
        <v>216</v>
      </c>
      <c r="C26" s="8" t="s">
        <v>75</v>
      </c>
      <c r="D26" s="65" t="s">
        <v>1177</v>
      </c>
      <c r="E26" s="8" t="s">
        <v>684</v>
      </c>
      <c r="F26" s="8" t="s">
        <v>663</v>
      </c>
      <c r="G26" s="65" t="s">
        <v>70</v>
      </c>
      <c r="H26" s="65" t="s">
        <v>655</v>
      </c>
      <c r="I26" s="8"/>
      <c r="J26" s="9" t="s">
        <v>708</v>
      </c>
      <c r="K26" s="9" t="str">
        <f t="shared" si="0"/>
        <v>_</v>
      </c>
      <c r="L26" s="105">
        <f>ROUND(Tableau18[[#This Row],[LEN]]*7.27,0)</f>
        <v>262</v>
      </c>
      <c r="M26" s="105">
        <v>15</v>
      </c>
      <c r="N26" s="123" t="str">
        <f t="shared" si="1"/>
        <v>_self</v>
      </c>
      <c r="O26" s="105">
        <f>LEN(Tableau18[[#This Row],[LABEL]])</f>
        <v>36</v>
      </c>
      <c r="P26" s="105">
        <v>15</v>
      </c>
      <c r="Q26" s="105" t="e">
        <f>ROUND(Tableau18[[#This Row],[LEN]]*#REF!+#REF!,0)</f>
        <v>#REF!</v>
      </c>
    </row>
    <row r="27" spans="1:17" x14ac:dyDescent="0.25">
      <c r="A27" s="12" t="s">
        <v>924</v>
      </c>
      <c r="B27" s="12" t="s">
        <v>919</v>
      </c>
      <c r="C27" s="12" t="s">
        <v>76</v>
      </c>
      <c r="D27" s="66" t="s">
        <v>1177</v>
      </c>
      <c r="E27" s="12" t="s">
        <v>684</v>
      </c>
      <c r="F27" s="12" t="s">
        <v>663</v>
      </c>
      <c r="G27" s="66" t="s">
        <v>70</v>
      </c>
      <c r="H27" s="66" t="s">
        <v>18</v>
      </c>
      <c r="I27" s="12"/>
      <c r="J27" s="13" t="s">
        <v>708</v>
      </c>
      <c r="K27" s="13" t="str">
        <f t="shared" si="0"/>
        <v>_</v>
      </c>
      <c r="L27" s="106">
        <f>ROUND(Tableau18[[#This Row],[LEN]]*7.27,0)</f>
        <v>443</v>
      </c>
      <c r="M27" s="106">
        <v>15</v>
      </c>
      <c r="N27" s="124" t="str">
        <f t="shared" si="1"/>
        <v>_self</v>
      </c>
      <c r="O27" s="106">
        <f>LEN(Tableau18[[#This Row],[LABEL]])</f>
        <v>61</v>
      </c>
      <c r="P27" s="106">
        <v>15</v>
      </c>
      <c r="Q27" s="106" t="e">
        <f>ROUND(Tableau18[[#This Row],[LEN]]*#REF!+#REF!,0)</f>
        <v>#REF!</v>
      </c>
    </row>
    <row r="28" spans="1:17" x14ac:dyDescent="0.25">
      <c r="A28" s="12" t="s">
        <v>925</v>
      </c>
      <c r="B28" s="12" t="s">
        <v>919</v>
      </c>
      <c r="C28" s="12" t="s">
        <v>77</v>
      </c>
      <c r="D28" s="66" t="s">
        <v>1177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3" t="str">
        <f t="shared" si="0"/>
        <v>_</v>
      </c>
      <c r="L28" s="106">
        <f>ROUND(Tableau18[[#This Row],[LEN]]*7.27,0)</f>
        <v>473</v>
      </c>
      <c r="M28" s="106">
        <v>15</v>
      </c>
      <c r="N28" s="124" t="str">
        <f t="shared" si="1"/>
        <v>_self</v>
      </c>
      <c r="O28" s="106">
        <f>LEN(Tableau18[[#This Row],[LABEL]])</f>
        <v>65</v>
      </c>
      <c r="P28" s="106">
        <v>15</v>
      </c>
      <c r="Q28" s="106" t="e">
        <f>ROUND(Tableau18[[#This Row],[LEN]]*#REF!+#REF!,0)</f>
        <v>#REF!</v>
      </c>
    </row>
    <row r="29" spans="1:17" x14ac:dyDescent="0.25">
      <c r="A29" s="12" t="s">
        <v>926</v>
      </c>
      <c r="B29" s="12" t="s">
        <v>919</v>
      </c>
      <c r="C29" s="12" t="s">
        <v>78</v>
      </c>
      <c r="D29" s="66" t="s">
        <v>1177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3" t="str">
        <f t="shared" si="0"/>
        <v>_</v>
      </c>
      <c r="L29" s="106">
        <f>ROUND(Tableau18[[#This Row],[LEN]]*7.27,0)</f>
        <v>385</v>
      </c>
      <c r="M29" s="106">
        <v>15</v>
      </c>
      <c r="N29" s="124" t="str">
        <f t="shared" si="1"/>
        <v>_self</v>
      </c>
      <c r="O29" s="106">
        <f>LEN(Tableau18[[#This Row],[LABEL]])</f>
        <v>53</v>
      </c>
      <c r="P29" s="106">
        <v>15</v>
      </c>
      <c r="Q29" s="106" t="e">
        <f>ROUND(Tableau18[[#This Row],[LEN]]*#REF!+#REF!,0)</f>
        <v>#REF!</v>
      </c>
    </row>
    <row r="30" spans="1:17" x14ac:dyDescent="0.25">
      <c r="A30" s="6" t="s">
        <v>920</v>
      </c>
      <c r="B30" s="7" t="s">
        <v>216</v>
      </c>
      <c r="C30" s="8" t="s">
        <v>65</v>
      </c>
      <c r="D30" s="65" t="s">
        <v>1177</v>
      </c>
      <c r="E30" s="8" t="s">
        <v>662</v>
      </c>
      <c r="F30" s="8" t="s">
        <v>1957</v>
      </c>
      <c r="G30" s="65" t="s">
        <v>70</v>
      </c>
      <c r="H30" s="65" t="s">
        <v>17</v>
      </c>
      <c r="I30" s="8"/>
      <c r="J30" s="9" t="s">
        <v>708</v>
      </c>
      <c r="K30" s="9" t="str">
        <f t="shared" si="0"/>
        <v>_</v>
      </c>
      <c r="L30" s="105">
        <f>ROUND(Tableau18[[#This Row],[LEN]]*7.27,0)</f>
        <v>291</v>
      </c>
      <c r="M30" s="105">
        <v>15</v>
      </c>
      <c r="N30" s="123" t="str">
        <f t="shared" si="1"/>
        <v>_self</v>
      </c>
      <c r="O30" s="105">
        <f>LEN(Tableau18[[#This Row],[LABEL]])</f>
        <v>40</v>
      </c>
      <c r="P30" s="105">
        <v>15</v>
      </c>
      <c r="Q30" s="105" t="e">
        <f>ROUND(Tableau18[[#This Row],[LEN]]*#REF!+#REF!,0)</f>
        <v>#REF!</v>
      </c>
    </row>
    <row r="31" spans="1:17" x14ac:dyDescent="0.25">
      <c r="A31" s="6" t="s">
        <v>921</v>
      </c>
      <c r="B31" s="7" t="s">
        <v>216</v>
      </c>
      <c r="C31" s="8" t="s">
        <v>915</v>
      </c>
      <c r="D31" s="65" t="s">
        <v>1177</v>
      </c>
      <c r="E31" s="8" t="s">
        <v>666</v>
      </c>
      <c r="F31" s="8" t="s">
        <v>667</v>
      </c>
      <c r="G31" s="65" t="s">
        <v>70</v>
      </c>
      <c r="H31" s="65" t="s">
        <v>18</v>
      </c>
      <c r="I31" s="8"/>
      <c r="J31" s="9" t="s">
        <v>708</v>
      </c>
      <c r="K31" s="9" t="str">
        <f t="shared" si="0"/>
        <v>_</v>
      </c>
      <c r="L31" s="105">
        <f>ROUND(Tableau18[[#This Row],[LEN]]*7.27,0)</f>
        <v>225</v>
      </c>
      <c r="M31" s="105">
        <v>15</v>
      </c>
      <c r="N31" s="123" t="str">
        <f t="shared" si="1"/>
        <v>_self</v>
      </c>
      <c r="O31" s="105">
        <f>LEN(Tableau18[[#This Row],[LABEL]])</f>
        <v>31</v>
      </c>
      <c r="P31" s="105">
        <v>15</v>
      </c>
      <c r="Q31" s="105" t="e">
        <f>ROUND(Tableau18[[#This Row],[LEN]]*#REF!+#REF!,0)</f>
        <v>#REF!</v>
      </c>
    </row>
    <row r="32" spans="1:17" x14ac:dyDescent="0.25">
      <c r="A32" s="6" t="s">
        <v>922</v>
      </c>
      <c r="B32" s="7" t="s">
        <v>216</v>
      </c>
      <c r="C32" s="8" t="s">
        <v>917</v>
      </c>
      <c r="D32" s="65" t="s">
        <v>1177</v>
      </c>
      <c r="E32" s="8" t="s">
        <v>666</v>
      </c>
      <c r="F32" s="8" t="s">
        <v>667</v>
      </c>
      <c r="G32" s="65" t="s">
        <v>70</v>
      </c>
      <c r="H32" s="65" t="s">
        <v>656</v>
      </c>
      <c r="I32" s="8"/>
      <c r="J32" s="9" t="s">
        <v>708</v>
      </c>
      <c r="K32" s="9" t="str">
        <f t="shared" si="0"/>
        <v>_</v>
      </c>
      <c r="L32" s="105">
        <f>ROUND(Tableau18[[#This Row],[LEN]]*7.27,0)</f>
        <v>225</v>
      </c>
      <c r="M32" s="105">
        <v>15</v>
      </c>
      <c r="N32" s="123" t="str">
        <f t="shared" si="1"/>
        <v>_self</v>
      </c>
      <c r="O32" s="105">
        <f>LEN(Tableau18[[#This Row],[LABEL]])</f>
        <v>31</v>
      </c>
      <c r="P32" s="105">
        <v>15</v>
      </c>
      <c r="Q32" s="105" t="e">
        <f>ROUND(Tableau18[[#This Row],[LEN]]*#REF!+#REF!,0)</f>
        <v>#REF!</v>
      </c>
    </row>
    <row r="33" spans="1:17" x14ac:dyDescent="0.25">
      <c r="A33" s="6" t="s">
        <v>923</v>
      </c>
      <c r="B33" s="7" t="s">
        <v>216</v>
      </c>
      <c r="C33" s="8" t="s">
        <v>916</v>
      </c>
      <c r="D33" s="65" t="s">
        <v>1177</v>
      </c>
      <c r="E33" s="8" t="s">
        <v>666</v>
      </c>
      <c r="F33" s="8" t="s">
        <v>661</v>
      </c>
      <c r="G33" s="65" t="s">
        <v>70</v>
      </c>
      <c r="H33" s="65" t="s">
        <v>18</v>
      </c>
      <c r="I33" s="8"/>
      <c r="J33" s="9" t="s">
        <v>708</v>
      </c>
      <c r="K33" s="9" t="str">
        <f t="shared" si="0"/>
        <v>_</v>
      </c>
      <c r="L33" s="105">
        <f>ROUND(Tableau18[[#This Row],[LEN]]*7.27,0)</f>
        <v>109</v>
      </c>
      <c r="M33" s="105">
        <v>15</v>
      </c>
      <c r="N33" s="123" t="str">
        <f t="shared" si="1"/>
        <v>_self</v>
      </c>
      <c r="O33" s="105">
        <f>LEN(Tableau18[[#This Row],[LABEL]])</f>
        <v>15</v>
      </c>
      <c r="P33" s="105">
        <v>15</v>
      </c>
      <c r="Q33" s="105" t="e">
        <f>ROUND(Tableau18[[#This Row],[LEN]]*#REF!+#REF!,0)</f>
        <v>#REF!</v>
      </c>
    </row>
    <row r="34" spans="1:17" s="92" customFormat="1" x14ac:dyDescent="0.25">
      <c r="A34" s="245" t="s">
        <v>217</v>
      </c>
      <c r="B34" s="246" t="s">
        <v>204</v>
      </c>
      <c r="C34" s="247" t="s">
        <v>80</v>
      </c>
      <c r="D34" s="248" t="s">
        <v>1177</v>
      </c>
      <c r="E34" s="247" t="s">
        <v>667</v>
      </c>
      <c r="F34" s="247" t="s">
        <v>1177</v>
      </c>
      <c r="G34" s="248" t="s">
        <v>70</v>
      </c>
      <c r="H34" s="248" t="str">
        <f>IFERROR(IF(SEARCH(".00.00.00.00.00",Tableau18[[#This Row],[name]],1)=7,"Division",""),"")</f>
        <v>Division</v>
      </c>
      <c r="I34" s="247"/>
      <c r="J34" s="249" t="s">
        <v>708</v>
      </c>
      <c r="K34" s="249" t="str">
        <f t="shared" si="0"/>
        <v>_</v>
      </c>
      <c r="L34" s="250">
        <f>ROUND(Tableau18[[#This Row],[LEN]]*7.27,0)</f>
        <v>116</v>
      </c>
      <c r="M34" s="250">
        <v>15</v>
      </c>
      <c r="N34" s="251" t="str">
        <f t="shared" si="1"/>
        <v>_self</v>
      </c>
      <c r="O34" s="250">
        <f>LEN(Tableau18[[#This Row],[LABEL]])</f>
        <v>16</v>
      </c>
      <c r="P34" s="250">
        <v>15</v>
      </c>
      <c r="Q34" s="250" t="e">
        <f>ROUND(Tableau18[[#This Row],[LEN]]*#REF!+#REF!,0)</f>
        <v>#REF!</v>
      </c>
    </row>
    <row r="35" spans="1:17" x14ac:dyDescent="0.25">
      <c r="A35" s="6" t="s">
        <v>933</v>
      </c>
      <c r="B35" s="7" t="s">
        <v>217</v>
      </c>
      <c r="C35" s="8" t="s">
        <v>64</v>
      </c>
      <c r="D35" s="65" t="s">
        <v>1177</v>
      </c>
      <c r="E35" s="8" t="s">
        <v>662</v>
      </c>
      <c r="F35" s="8" t="s">
        <v>1956</v>
      </c>
      <c r="G35" s="65" t="s">
        <v>70</v>
      </c>
      <c r="H35" s="65" t="s">
        <v>17</v>
      </c>
      <c r="I35" s="8"/>
      <c r="J35" s="9" t="s">
        <v>708</v>
      </c>
      <c r="K35" s="9" t="str">
        <f t="shared" si="0"/>
        <v>_</v>
      </c>
      <c r="L35" s="105">
        <f>ROUND(Tableau18[[#This Row],[LEN]]*7.27,0)</f>
        <v>291</v>
      </c>
      <c r="M35" s="105">
        <v>15</v>
      </c>
      <c r="N35" s="123" t="str">
        <f t="shared" si="1"/>
        <v>_self</v>
      </c>
      <c r="O35" s="105">
        <f>LEN(Tableau18[[#This Row],[LABEL]])</f>
        <v>40</v>
      </c>
      <c r="P35" s="105">
        <v>15</v>
      </c>
      <c r="Q35" s="105" t="e">
        <f>ROUND(Tableau18[[#This Row],[LEN]]*#REF!+#REF!,0)</f>
        <v>#REF!</v>
      </c>
    </row>
    <row r="36" spans="1:17" x14ac:dyDescent="0.25">
      <c r="A36" s="6" t="s">
        <v>934</v>
      </c>
      <c r="B36" s="7" t="s">
        <v>217</v>
      </c>
      <c r="C36" s="8" t="s">
        <v>927</v>
      </c>
      <c r="D36" s="65" t="s">
        <v>1177</v>
      </c>
      <c r="E36" s="8" t="s">
        <v>667</v>
      </c>
      <c r="F36" s="8" t="s">
        <v>2076</v>
      </c>
      <c r="G36" s="65" t="s">
        <v>70</v>
      </c>
      <c r="H36" s="65" t="s">
        <v>656</v>
      </c>
      <c r="I36" s="8"/>
      <c r="J36" s="9" t="s">
        <v>708</v>
      </c>
      <c r="K36" s="9" t="str">
        <f t="shared" si="0"/>
        <v>_</v>
      </c>
      <c r="L36" s="105">
        <f>ROUND(Tableau18[[#This Row],[LEN]]*7.27,0)</f>
        <v>298</v>
      </c>
      <c r="M36" s="105">
        <v>15</v>
      </c>
      <c r="N36" s="123" t="str">
        <f t="shared" si="1"/>
        <v>_self</v>
      </c>
      <c r="O36" s="105">
        <f>LEN(Tableau18[[#This Row],[LABEL]])</f>
        <v>41</v>
      </c>
      <c r="P36" s="105">
        <v>15</v>
      </c>
      <c r="Q36" s="105" t="e">
        <f>ROUND(Tableau18[[#This Row],[LEN]]*#REF!+#REF!,0)</f>
        <v>#REF!</v>
      </c>
    </row>
    <row r="37" spans="1:17" x14ac:dyDescent="0.25">
      <c r="A37" s="6" t="s">
        <v>935</v>
      </c>
      <c r="B37" s="7" t="s">
        <v>217</v>
      </c>
      <c r="C37" s="8" t="s">
        <v>65</v>
      </c>
      <c r="D37" s="65" t="s">
        <v>1177</v>
      </c>
      <c r="E37" s="8" t="s">
        <v>662</v>
      </c>
      <c r="F37" s="8" t="s">
        <v>1957</v>
      </c>
      <c r="G37" s="65" t="s">
        <v>70</v>
      </c>
      <c r="H37" s="65" t="s">
        <v>17</v>
      </c>
      <c r="I37" s="8"/>
      <c r="J37" s="9" t="s">
        <v>708</v>
      </c>
      <c r="K37" s="9" t="str">
        <f t="shared" si="0"/>
        <v>_</v>
      </c>
      <c r="L37" s="105">
        <f>ROUND(Tableau18[[#This Row],[LEN]]*7.27,0)</f>
        <v>291</v>
      </c>
      <c r="M37" s="105">
        <v>15</v>
      </c>
      <c r="N37" s="123" t="str">
        <f t="shared" si="1"/>
        <v>_self</v>
      </c>
      <c r="O37" s="105">
        <f>LEN(Tableau18[[#This Row],[LABEL]])</f>
        <v>40</v>
      </c>
      <c r="P37" s="105">
        <v>15</v>
      </c>
      <c r="Q37" s="105" t="e">
        <f>ROUND(Tableau18[[#This Row],[LEN]]*#REF!+#REF!,0)</f>
        <v>#REF!</v>
      </c>
    </row>
    <row r="38" spans="1:17" x14ac:dyDescent="0.25">
      <c r="A38" s="6" t="s">
        <v>936</v>
      </c>
      <c r="B38" s="7" t="s">
        <v>217</v>
      </c>
      <c r="C38" s="8" t="s">
        <v>928</v>
      </c>
      <c r="D38" s="65" t="s">
        <v>1177</v>
      </c>
      <c r="E38" s="8" t="s">
        <v>667</v>
      </c>
      <c r="F38" s="8" t="s">
        <v>674</v>
      </c>
      <c r="G38" s="65" t="s">
        <v>70</v>
      </c>
      <c r="H38" s="65" t="s">
        <v>18</v>
      </c>
      <c r="I38" s="8"/>
      <c r="J38" s="9" t="s">
        <v>708</v>
      </c>
      <c r="K38" s="9" t="str">
        <f t="shared" si="0"/>
        <v>_</v>
      </c>
      <c r="L38" s="105">
        <f>ROUND(Tableau18[[#This Row],[LEN]]*7.27,0)</f>
        <v>284</v>
      </c>
      <c r="M38" s="105">
        <v>15</v>
      </c>
      <c r="N38" s="123" t="str">
        <f t="shared" si="1"/>
        <v>_self</v>
      </c>
      <c r="O38" s="105">
        <f>LEN(Tableau18[[#This Row],[LABEL]])</f>
        <v>39</v>
      </c>
      <c r="P38" s="105">
        <v>15</v>
      </c>
      <c r="Q38" s="105" t="e">
        <f>ROUND(Tableau18[[#This Row],[LEN]]*#REF!+#REF!,0)</f>
        <v>#REF!</v>
      </c>
    </row>
    <row r="39" spans="1:17" x14ac:dyDescent="0.25">
      <c r="A39" s="6" t="s">
        <v>937</v>
      </c>
      <c r="B39" s="7" t="s">
        <v>217</v>
      </c>
      <c r="C39" s="8" t="s">
        <v>929</v>
      </c>
      <c r="D39" s="65" t="s">
        <v>1177</v>
      </c>
      <c r="E39" s="8" t="s">
        <v>667</v>
      </c>
      <c r="F39" s="8" t="s">
        <v>1177</v>
      </c>
      <c r="G39" s="65" t="s">
        <v>70</v>
      </c>
      <c r="H39" s="65" t="s">
        <v>656</v>
      </c>
      <c r="I39" s="8"/>
      <c r="J39" s="9" t="s">
        <v>708</v>
      </c>
      <c r="K39" s="9" t="str">
        <f t="shared" si="0"/>
        <v>_</v>
      </c>
      <c r="L39" s="105">
        <f>ROUND(Tableau18[[#This Row],[LEN]]*7.27,0)</f>
        <v>276</v>
      </c>
      <c r="M39" s="105">
        <v>15</v>
      </c>
      <c r="N39" s="123" t="str">
        <f t="shared" si="1"/>
        <v>_self</v>
      </c>
      <c r="O39" s="105">
        <f>LEN(Tableau18[[#This Row],[LABEL]])</f>
        <v>38</v>
      </c>
      <c r="P39" s="105">
        <v>15</v>
      </c>
      <c r="Q39" s="105" t="e">
        <f>ROUND(Tableau18[[#This Row],[LEN]]*#REF!+#REF!,0)</f>
        <v>#REF!</v>
      </c>
    </row>
    <row r="40" spans="1:17" x14ac:dyDescent="0.25">
      <c r="A40" s="6" t="s">
        <v>938</v>
      </c>
      <c r="B40" s="7" t="s">
        <v>217</v>
      </c>
      <c r="C40" s="8" t="s">
        <v>930</v>
      </c>
      <c r="D40" s="65" t="s">
        <v>1177</v>
      </c>
      <c r="E40" s="8" t="s">
        <v>667</v>
      </c>
      <c r="F40" s="8" t="s">
        <v>1177</v>
      </c>
      <c r="G40" s="65" t="s">
        <v>70</v>
      </c>
      <c r="H40" s="65" t="s">
        <v>654</v>
      </c>
      <c r="I40" s="8"/>
      <c r="J40" s="9" t="s">
        <v>706</v>
      </c>
      <c r="K40" s="9" t="str">
        <f t="shared" si="0"/>
        <v>Documentation</v>
      </c>
      <c r="L40" s="105">
        <f>ROUND(Tableau18[[#This Row],[LEN]]*7.27,0)</f>
        <v>465</v>
      </c>
      <c r="M40" s="105">
        <v>15</v>
      </c>
      <c r="N40" s="123" t="str">
        <f t="shared" si="1"/>
        <v>_blank</v>
      </c>
      <c r="O40" s="105">
        <f>LEN(Tableau18[[#This Row],[LABEL]])</f>
        <v>64</v>
      </c>
      <c r="P40" s="105">
        <v>15</v>
      </c>
      <c r="Q40" s="105" t="e">
        <f>ROUND(Tableau18[[#This Row],[LEN]]*#REF!+#REF!,0)</f>
        <v>#REF!</v>
      </c>
    </row>
    <row r="41" spans="1:17" s="92" customFormat="1" x14ac:dyDescent="0.25">
      <c r="A41" s="245" t="s">
        <v>219</v>
      </c>
      <c r="B41" s="246" t="s">
        <v>204</v>
      </c>
      <c r="C41" s="247" t="s">
        <v>2147</v>
      </c>
      <c r="D41" s="248" t="s">
        <v>1177</v>
      </c>
      <c r="E41" s="247" t="s">
        <v>669</v>
      </c>
      <c r="F41" s="247" t="s">
        <v>1177</v>
      </c>
      <c r="G41" s="248" t="s">
        <v>70</v>
      </c>
      <c r="H41" s="248" t="str">
        <f>IFERROR(IF(SEARCH(".00.00.00.00.00",Tableau18[[#This Row],[name]],1)=7,"Division",""),"")</f>
        <v>Division</v>
      </c>
      <c r="I41" s="247"/>
      <c r="J41" s="249" t="s">
        <v>708</v>
      </c>
      <c r="K41" s="249" t="str">
        <f t="shared" si="0"/>
        <v>_</v>
      </c>
      <c r="L41" s="250">
        <f>ROUND(Tableau18[[#This Row],[LEN]]*7.27,0)</f>
        <v>196</v>
      </c>
      <c r="M41" s="250">
        <v>15</v>
      </c>
      <c r="N41" s="251" t="str">
        <f t="shared" si="1"/>
        <v>_self</v>
      </c>
      <c r="O41" s="250">
        <f>LEN(Tableau18[[#This Row],[LABEL]])</f>
        <v>27</v>
      </c>
      <c r="P41" s="250">
        <v>15</v>
      </c>
      <c r="Q41" s="250" t="e">
        <f>ROUND(Tableau18[[#This Row],[LEN]]*#REF!+#REF!,0)</f>
        <v>#REF!</v>
      </c>
    </row>
    <row r="42" spans="1:17" x14ac:dyDescent="0.25">
      <c r="A42" s="14" t="s">
        <v>361</v>
      </c>
      <c r="B42" s="15" t="s">
        <v>219</v>
      </c>
      <c r="C42" s="8" t="s">
        <v>64</v>
      </c>
      <c r="D42" s="67" t="s">
        <v>1177</v>
      </c>
      <c r="E42" s="16" t="s">
        <v>662</v>
      </c>
      <c r="F42" s="8" t="s">
        <v>1956</v>
      </c>
      <c r="G42" s="67" t="s">
        <v>70</v>
      </c>
      <c r="H42" s="67" t="s">
        <v>17</v>
      </c>
      <c r="I42" s="8"/>
      <c r="J42" s="9" t="s">
        <v>708</v>
      </c>
      <c r="K42" s="9" t="str">
        <f t="shared" si="0"/>
        <v>_</v>
      </c>
      <c r="L42" s="105">
        <f>ROUND(Tableau18[[#This Row],[LEN]]*7.27,0)</f>
        <v>291</v>
      </c>
      <c r="M42" s="105">
        <v>15</v>
      </c>
      <c r="N42" s="123" t="str">
        <f t="shared" si="1"/>
        <v>_self</v>
      </c>
      <c r="O42" s="105">
        <f>LEN(Tableau18[[#This Row],[LABEL]])</f>
        <v>40</v>
      </c>
      <c r="P42" s="105">
        <v>15</v>
      </c>
      <c r="Q42" s="105" t="e">
        <f>ROUND(Tableau18[[#This Row],[LEN]]*#REF!+#REF!,0)</f>
        <v>#REF!</v>
      </c>
    </row>
    <row r="43" spans="1:17" x14ac:dyDescent="0.25">
      <c r="A43" s="14" t="s">
        <v>362</v>
      </c>
      <c r="B43" s="15" t="s">
        <v>219</v>
      </c>
      <c r="C43" s="8" t="s">
        <v>65</v>
      </c>
      <c r="D43" s="67" t="s">
        <v>1177</v>
      </c>
      <c r="E43" s="16" t="s">
        <v>662</v>
      </c>
      <c r="F43" s="8" t="s">
        <v>1957</v>
      </c>
      <c r="G43" s="67" t="s">
        <v>70</v>
      </c>
      <c r="H43" s="67" t="s">
        <v>17</v>
      </c>
      <c r="I43" s="8"/>
      <c r="J43" s="9" t="s">
        <v>708</v>
      </c>
      <c r="K43" s="9" t="str">
        <f t="shared" si="0"/>
        <v>_</v>
      </c>
      <c r="L43" s="105">
        <f>ROUND(Tableau18[[#This Row],[LEN]]*7.27,0)</f>
        <v>291</v>
      </c>
      <c r="M43" s="105">
        <v>15</v>
      </c>
      <c r="N43" s="123" t="str">
        <f t="shared" si="1"/>
        <v>_self</v>
      </c>
      <c r="O43" s="105">
        <f>LEN(Tableau18[[#This Row],[LABEL]])</f>
        <v>40</v>
      </c>
      <c r="P43" s="105">
        <v>15</v>
      </c>
      <c r="Q43" s="105" t="e">
        <f>ROUND(Tableau18[[#This Row],[LEN]]*#REF!+#REF!,0)</f>
        <v>#REF!</v>
      </c>
    </row>
    <row r="44" spans="1:17" s="92" customFormat="1" x14ac:dyDescent="0.25">
      <c r="A44" s="245" t="s">
        <v>220</v>
      </c>
      <c r="B44" s="246" t="s">
        <v>204</v>
      </c>
      <c r="C44" s="247" t="s">
        <v>7</v>
      </c>
      <c r="D44" s="248" t="s">
        <v>1177</v>
      </c>
      <c r="E44" s="247" t="s">
        <v>670</v>
      </c>
      <c r="F44" s="247" t="s">
        <v>1177</v>
      </c>
      <c r="G44" s="248" t="s">
        <v>70</v>
      </c>
      <c r="H44" s="248" t="str">
        <f>IFERROR(IF(SEARCH(".00.00.00.00.00",Tableau18[[#This Row],[name]],1)=7,"Division",""),"")</f>
        <v>Division</v>
      </c>
      <c r="I44" s="247"/>
      <c r="J44" s="249" t="s">
        <v>708</v>
      </c>
      <c r="K44" s="249" t="str">
        <f t="shared" si="0"/>
        <v>_</v>
      </c>
      <c r="L44" s="250">
        <f>ROUND(Tableau18[[#This Row],[LEN]]*7.27,0)</f>
        <v>189</v>
      </c>
      <c r="M44" s="250">
        <v>15</v>
      </c>
      <c r="N44" s="251" t="str">
        <f t="shared" si="1"/>
        <v>_self</v>
      </c>
      <c r="O44" s="250">
        <f>LEN(Tableau18[[#This Row],[LABEL]])</f>
        <v>26</v>
      </c>
      <c r="P44" s="250">
        <v>15</v>
      </c>
      <c r="Q44" s="250" t="e">
        <f>ROUND(Tableau18[[#This Row],[LEN]]*#REF!+#REF!,0)</f>
        <v>#REF!</v>
      </c>
    </row>
    <row r="45" spans="1:17" x14ac:dyDescent="0.25">
      <c r="A45" s="14" t="s">
        <v>942</v>
      </c>
      <c r="B45" s="15" t="s">
        <v>220</v>
      </c>
      <c r="C45" s="16" t="s">
        <v>939</v>
      </c>
      <c r="D45" s="67" t="s">
        <v>1177</v>
      </c>
      <c r="E45" s="16" t="s">
        <v>670</v>
      </c>
      <c r="F45" s="16" t="s">
        <v>671</v>
      </c>
      <c r="G45" s="67" t="s">
        <v>70</v>
      </c>
      <c r="H45" s="67" t="s">
        <v>656</v>
      </c>
      <c r="I45" s="8"/>
      <c r="J45" s="9" t="s">
        <v>708</v>
      </c>
      <c r="K45" s="9" t="str">
        <f t="shared" si="0"/>
        <v>_</v>
      </c>
      <c r="L45" s="105">
        <f>ROUND(Tableau18[[#This Row],[LEN]]*7.27,0)</f>
        <v>182</v>
      </c>
      <c r="M45" s="105">
        <v>15</v>
      </c>
      <c r="N45" s="123" t="str">
        <f t="shared" si="1"/>
        <v>_self</v>
      </c>
      <c r="O45" s="105">
        <f>LEN(Tableau18[[#This Row],[LABEL]])</f>
        <v>25</v>
      </c>
      <c r="P45" s="105">
        <v>15</v>
      </c>
      <c r="Q45" s="105" t="e">
        <f>ROUND(Tableau18[[#This Row],[LEN]]*#REF!+#REF!,0)</f>
        <v>#REF!</v>
      </c>
    </row>
    <row r="46" spans="1:17" x14ac:dyDescent="0.25">
      <c r="A46" s="14" t="s">
        <v>943</v>
      </c>
      <c r="B46" s="15" t="s">
        <v>220</v>
      </c>
      <c r="C46" s="16" t="s">
        <v>940</v>
      </c>
      <c r="D46" s="67" t="s">
        <v>1177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9" t="str">
        <f t="shared" si="0"/>
        <v>_</v>
      </c>
      <c r="L46" s="105">
        <f>ROUND(Tableau18[[#This Row],[LEN]]*7.27,0)</f>
        <v>182</v>
      </c>
      <c r="M46" s="105">
        <v>15</v>
      </c>
      <c r="N46" s="123" t="str">
        <f t="shared" si="1"/>
        <v>_self</v>
      </c>
      <c r="O46" s="105">
        <f>LEN(Tableau18[[#This Row],[LABEL]])</f>
        <v>25</v>
      </c>
      <c r="P46" s="105">
        <v>15</v>
      </c>
      <c r="Q46" s="105" t="e">
        <f>ROUND(Tableau18[[#This Row],[LEN]]*#REF!+#REF!,0)</f>
        <v>#REF!</v>
      </c>
    </row>
    <row r="47" spans="1:17" s="92" customFormat="1" x14ac:dyDescent="0.25">
      <c r="A47" s="245" t="s">
        <v>221</v>
      </c>
      <c r="B47" s="246" t="s">
        <v>204</v>
      </c>
      <c r="C47" s="247" t="s">
        <v>8</v>
      </c>
      <c r="D47" s="248" t="s">
        <v>1177</v>
      </c>
      <c r="E47" s="247" t="s">
        <v>671</v>
      </c>
      <c r="F47" s="247" t="s">
        <v>1177</v>
      </c>
      <c r="G47" s="248" t="s">
        <v>70</v>
      </c>
      <c r="H47" s="248" t="str">
        <f>IFERROR(IF(SEARCH(".00.00.00.00.00",Tableau18[[#This Row],[name]],1)=7,"Division",""),"")</f>
        <v>Division</v>
      </c>
      <c r="I47" s="247"/>
      <c r="J47" s="249" t="s">
        <v>708</v>
      </c>
      <c r="K47" s="249" t="str">
        <f t="shared" si="0"/>
        <v>_</v>
      </c>
      <c r="L47" s="250">
        <f>ROUND(Tableau18[[#This Row],[LEN]]*7.27,0)</f>
        <v>116</v>
      </c>
      <c r="M47" s="250">
        <v>15</v>
      </c>
      <c r="N47" s="251" t="str">
        <f t="shared" si="1"/>
        <v>_self</v>
      </c>
      <c r="O47" s="250">
        <f>LEN(Tableau18[[#This Row],[LABEL]])</f>
        <v>16</v>
      </c>
      <c r="P47" s="250">
        <v>15</v>
      </c>
      <c r="Q47" s="250" t="e">
        <f>ROUND(Tableau18[[#This Row],[LEN]]*#REF!+#REF!,0)</f>
        <v>#REF!</v>
      </c>
    </row>
    <row r="48" spans="1:17" x14ac:dyDescent="0.25">
      <c r="A48" s="14" t="s">
        <v>944</v>
      </c>
      <c r="B48" s="15" t="s">
        <v>221</v>
      </c>
      <c r="C48" s="16" t="s">
        <v>945</v>
      </c>
      <c r="D48" s="67" t="s">
        <v>1177</v>
      </c>
      <c r="E48" s="16" t="s">
        <v>671</v>
      </c>
      <c r="F48" s="16" t="s">
        <v>670</v>
      </c>
      <c r="G48" s="67" t="s">
        <v>70</v>
      </c>
      <c r="H48" s="67" t="s">
        <v>654</v>
      </c>
      <c r="I48" s="8"/>
      <c r="J48" s="9" t="s">
        <v>708</v>
      </c>
      <c r="K48" s="9" t="str">
        <f t="shared" si="0"/>
        <v>_</v>
      </c>
      <c r="L48" s="105">
        <f>ROUND(Tableau18[[#This Row],[LEN]]*7.27,0)</f>
        <v>371</v>
      </c>
      <c r="M48" s="105">
        <v>15</v>
      </c>
      <c r="N48" s="123" t="str">
        <f t="shared" si="1"/>
        <v>_self</v>
      </c>
      <c r="O48" s="105">
        <f>LEN(Tableau18[[#This Row],[LABEL]])</f>
        <v>51</v>
      </c>
      <c r="P48" s="105">
        <v>15</v>
      </c>
      <c r="Q48" s="105" t="e">
        <f>ROUND(Tableau18[[#This Row],[LEN]]*#REF!+#REF!,0)</f>
        <v>#REF!</v>
      </c>
    </row>
    <row r="49" spans="1:17" s="92" customFormat="1" x14ac:dyDescent="0.25">
      <c r="A49" s="245" t="s">
        <v>222</v>
      </c>
      <c r="B49" s="246" t="s">
        <v>204</v>
      </c>
      <c r="C49" s="247" t="s">
        <v>9</v>
      </c>
      <c r="D49" s="248" t="s">
        <v>1177</v>
      </c>
      <c r="E49" s="247" t="s">
        <v>672</v>
      </c>
      <c r="F49" s="247" t="s">
        <v>1177</v>
      </c>
      <c r="G49" s="248" t="s">
        <v>70</v>
      </c>
      <c r="H49" s="248" t="str">
        <f>IFERROR(IF(SEARCH(".00.00.00.00.00",Tableau18[[#This Row],[name]],1)=7,"Division",""),"")</f>
        <v>Division</v>
      </c>
      <c r="I49" s="247"/>
      <c r="J49" s="249" t="s">
        <v>718</v>
      </c>
      <c r="K49" s="249" t="str">
        <f t="shared" si="0"/>
        <v>Documentation</v>
      </c>
      <c r="L49" s="250">
        <f>ROUND(Tableau18[[#This Row],[LEN]]*7.27,0)</f>
        <v>80</v>
      </c>
      <c r="M49" s="250">
        <v>15</v>
      </c>
      <c r="N49" s="251" t="str">
        <f t="shared" si="1"/>
        <v>_blank</v>
      </c>
      <c r="O49" s="250">
        <f>LEN(Tableau18[[#This Row],[LABEL]])</f>
        <v>11</v>
      </c>
      <c r="P49" s="250">
        <v>15</v>
      </c>
      <c r="Q49" s="250" t="e">
        <f>ROUND(Tableau18[[#This Row],[LEN]]*#REF!+#REF!,0)</f>
        <v>#REF!</v>
      </c>
    </row>
    <row r="50" spans="1:17" x14ac:dyDescent="0.25">
      <c r="A50" s="14" t="s">
        <v>363</v>
      </c>
      <c r="B50" s="15" t="s">
        <v>222</v>
      </c>
      <c r="C50" s="8" t="s">
        <v>64</v>
      </c>
      <c r="D50" s="67" t="s">
        <v>1177</v>
      </c>
      <c r="E50" s="16" t="s">
        <v>662</v>
      </c>
      <c r="F50" s="8" t="s">
        <v>1956</v>
      </c>
      <c r="G50" s="67" t="s">
        <v>70</v>
      </c>
      <c r="H50" s="67" t="s">
        <v>17</v>
      </c>
      <c r="I50" s="8"/>
      <c r="J50" s="9" t="s">
        <v>708</v>
      </c>
      <c r="K50" s="9" t="str">
        <f t="shared" si="0"/>
        <v>_</v>
      </c>
      <c r="L50" s="105">
        <f>ROUND(Tableau18[[#This Row],[LEN]]*7.27,0)</f>
        <v>291</v>
      </c>
      <c r="M50" s="105">
        <v>15</v>
      </c>
      <c r="N50" s="123" t="str">
        <f t="shared" si="1"/>
        <v>_self</v>
      </c>
      <c r="O50" s="105">
        <f>LEN(Tableau18[[#This Row],[LABEL]])</f>
        <v>40</v>
      </c>
      <c r="P50" s="105">
        <v>15</v>
      </c>
      <c r="Q50" s="105" t="e">
        <f>ROUND(Tableau18[[#This Row],[LEN]]*#REF!+#REF!,0)</f>
        <v>#REF!</v>
      </c>
    </row>
    <row r="51" spans="1:17" x14ac:dyDescent="0.25">
      <c r="A51" s="14" t="s">
        <v>364</v>
      </c>
      <c r="B51" s="15" t="s">
        <v>222</v>
      </c>
      <c r="C51" s="8" t="s">
        <v>65</v>
      </c>
      <c r="D51" s="67" t="s">
        <v>1177</v>
      </c>
      <c r="E51" s="16" t="s">
        <v>662</v>
      </c>
      <c r="F51" s="8" t="s">
        <v>1957</v>
      </c>
      <c r="G51" s="67" t="s">
        <v>70</v>
      </c>
      <c r="H51" s="67" t="s">
        <v>17</v>
      </c>
      <c r="I51" s="8"/>
      <c r="J51" s="9" t="s">
        <v>708</v>
      </c>
      <c r="K51" s="9" t="str">
        <f t="shared" si="0"/>
        <v>_</v>
      </c>
      <c r="L51" s="105">
        <f>ROUND(Tableau18[[#This Row],[LEN]]*7.27,0)</f>
        <v>291</v>
      </c>
      <c r="M51" s="105">
        <v>15</v>
      </c>
      <c r="N51" s="123" t="str">
        <f t="shared" si="1"/>
        <v>_self</v>
      </c>
      <c r="O51" s="105">
        <f>LEN(Tableau18[[#This Row],[LABEL]])</f>
        <v>40</v>
      </c>
      <c r="P51" s="105">
        <v>15</v>
      </c>
      <c r="Q51" s="105" t="e">
        <f>ROUND(Tableau18[[#This Row],[LEN]]*#REF!+#REF!,0)</f>
        <v>#REF!</v>
      </c>
    </row>
    <row r="52" spans="1:17" s="92" customFormat="1" x14ac:dyDescent="0.25">
      <c r="A52" s="245" t="s">
        <v>223</v>
      </c>
      <c r="B52" s="246" t="s">
        <v>204</v>
      </c>
      <c r="C52" s="247" t="s">
        <v>10</v>
      </c>
      <c r="D52" s="248" t="s">
        <v>1177</v>
      </c>
      <c r="E52" s="247" t="s">
        <v>673</v>
      </c>
      <c r="F52" s="247" t="s">
        <v>1177</v>
      </c>
      <c r="G52" s="248" t="s">
        <v>70</v>
      </c>
      <c r="H52" s="248" t="str">
        <f>IFERROR(IF(SEARCH(".00.00.00.00.00",Tableau18[[#This Row],[name]],1)=7,"Division",""),"")</f>
        <v>Division</v>
      </c>
      <c r="I52" s="247"/>
      <c r="J52" s="249" t="s">
        <v>719</v>
      </c>
      <c r="K52" s="249" t="str">
        <f t="shared" si="0"/>
        <v>Documentation</v>
      </c>
      <c r="L52" s="250">
        <f>ROUND(Tableau18[[#This Row],[LEN]]*7.27,0)</f>
        <v>109</v>
      </c>
      <c r="M52" s="250">
        <v>15</v>
      </c>
      <c r="N52" s="251" t="str">
        <f t="shared" si="1"/>
        <v>_blank</v>
      </c>
      <c r="O52" s="250">
        <f>LEN(Tableau18[[#This Row],[LABEL]])</f>
        <v>15</v>
      </c>
      <c r="P52" s="250">
        <v>15</v>
      </c>
      <c r="Q52" s="250" t="e">
        <f>ROUND(Tableau18[[#This Row],[LEN]]*#REF!+#REF!,0)</f>
        <v>#REF!</v>
      </c>
    </row>
    <row r="53" spans="1:17" x14ac:dyDescent="0.25">
      <c r="A53" s="14" t="s">
        <v>946</v>
      </c>
      <c r="B53" s="15" t="s">
        <v>223</v>
      </c>
      <c r="C53" s="8" t="s">
        <v>64</v>
      </c>
      <c r="D53" s="67" t="s">
        <v>1177</v>
      </c>
      <c r="E53" s="16" t="s">
        <v>662</v>
      </c>
      <c r="F53" s="8" t="s">
        <v>1956</v>
      </c>
      <c r="G53" s="67" t="s">
        <v>70</v>
      </c>
      <c r="H53" s="67" t="s">
        <v>17</v>
      </c>
      <c r="I53" s="8"/>
      <c r="J53" s="9" t="s">
        <v>708</v>
      </c>
      <c r="K53" s="9" t="str">
        <f t="shared" si="0"/>
        <v>_</v>
      </c>
      <c r="L53" s="105">
        <f>ROUND(Tableau18[[#This Row],[LEN]]*7.27,0)</f>
        <v>291</v>
      </c>
      <c r="M53" s="105">
        <v>15</v>
      </c>
      <c r="N53" s="123" t="str">
        <f t="shared" si="1"/>
        <v>_self</v>
      </c>
      <c r="O53" s="105">
        <f>LEN(Tableau18[[#This Row],[LABEL]])</f>
        <v>40</v>
      </c>
      <c r="P53" s="105">
        <v>15</v>
      </c>
      <c r="Q53" s="105" t="e">
        <f>ROUND(Tableau18[[#This Row],[LEN]]*#REF!+#REF!,0)</f>
        <v>#REF!</v>
      </c>
    </row>
    <row r="54" spans="1:17" x14ac:dyDescent="0.25">
      <c r="A54" s="14" t="s">
        <v>947</v>
      </c>
      <c r="B54" s="15" t="s">
        <v>223</v>
      </c>
      <c r="C54" s="8" t="s">
        <v>65</v>
      </c>
      <c r="D54" s="67" t="s">
        <v>1177</v>
      </c>
      <c r="E54" s="16" t="s">
        <v>662</v>
      </c>
      <c r="F54" s="8" t="s">
        <v>1957</v>
      </c>
      <c r="G54" s="67" t="s">
        <v>70</v>
      </c>
      <c r="H54" s="67" t="s">
        <v>17</v>
      </c>
      <c r="I54" s="8"/>
      <c r="J54" s="9" t="s">
        <v>708</v>
      </c>
      <c r="K54" s="9" t="str">
        <f t="shared" si="0"/>
        <v>_</v>
      </c>
      <c r="L54" s="105">
        <f>ROUND(Tableau18[[#This Row],[LEN]]*7.27,0)</f>
        <v>291</v>
      </c>
      <c r="M54" s="105">
        <v>15</v>
      </c>
      <c r="N54" s="123" t="str">
        <f t="shared" si="1"/>
        <v>_self</v>
      </c>
      <c r="O54" s="105">
        <f>LEN(Tableau18[[#This Row],[LABEL]])</f>
        <v>40</v>
      </c>
      <c r="P54" s="105">
        <v>15</v>
      </c>
      <c r="Q54" s="105" t="e">
        <f>ROUND(Tableau18[[#This Row],[LEN]]*#REF!+#REF!,0)</f>
        <v>#REF!</v>
      </c>
    </row>
    <row r="55" spans="1:17" s="92" customFormat="1" x14ac:dyDescent="0.25">
      <c r="A55" s="245" t="s">
        <v>225</v>
      </c>
      <c r="B55" s="246" t="s">
        <v>204</v>
      </c>
      <c r="C55" s="247" t="s">
        <v>12</v>
      </c>
      <c r="D55" s="248" t="s">
        <v>1177</v>
      </c>
      <c r="E55" s="247" t="s">
        <v>675</v>
      </c>
      <c r="F55" s="247" t="s">
        <v>1177</v>
      </c>
      <c r="G55" s="248" t="s">
        <v>70</v>
      </c>
      <c r="H55" s="248" t="str">
        <f>IFERROR(IF(SEARCH(".00.00.00.00.00",Tableau18[[#This Row],[name]],1)=7,"Division",""),"")</f>
        <v>Division</v>
      </c>
      <c r="I55" s="247"/>
      <c r="J55" s="249" t="s">
        <v>721</v>
      </c>
      <c r="K55" s="249" t="str">
        <f t="shared" si="0"/>
        <v>Documentation</v>
      </c>
      <c r="L55" s="250">
        <f>ROUND(Tableau18[[#This Row],[LEN]]*7.27,0)</f>
        <v>15</v>
      </c>
      <c r="M55" s="250">
        <v>15</v>
      </c>
      <c r="N55" s="251" t="str">
        <f t="shared" si="1"/>
        <v>_blank</v>
      </c>
      <c r="O55" s="250">
        <f>LEN(Tableau18[[#This Row],[LABEL]])</f>
        <v>2</v>
      </c>
      <c r="P55" s="250">
        <v>15</v>
      </c>
      <c r="Q55" s="250" t="e">
        <f>ROUND(Tableau18[[#This Row],[LEN]]*#REF!+#REF!,0)</f>
        <v>#REF!</v>
      </c>
    </row>
    <row r="56" spans="1:17" x14ac:dyDescent="0.25">
      <c r="A56" s="14" t="s">
        <v>950</v>
      </c>
      <c r="B56" s="14" t="s">
        <v>225</v>
      </c>
      <c r="C56" s="8" t="s">
        <v>65</v>
      </c>
      <c r="D56" s="67" t="s">
        <v>1177</v>
      </c>
      <c r="E56" s="16" t="s">
        <v>662</v>
      </c>
      <c r="F56" s="8" t="s">
        <v>1957</v>
      </c>
      <c r="G56" s="67" t="s">
        <v>70</v>
      </c>
      <c r="H56" s="67" t="s">
        <v>17</v>
      </c>
      <c r="I56" s="8"/>
      <c r="J56" s="9" t="s">
        <v>708</v>
      </c>
      <c r="K56" s="9" t="str">
        <f t="shared" si="0"/>
        <v>_</v>
      </c>
      <c r="L56" s="105">
        <f>ROUND(Tableau18[[#This Row],[LEN]]*7.27,0)</f>
        <v>291</v>
      </c>
      <c r="M56" s="105">
        <v>15</v>
      </c>
      <c r="N56" s="123" t="str">
        <f t="shared" si="1"/>
        <v>_self</v>
      </c>
      <c r="O56" s="105">
        <f>LEN(Tableau18[[#This Row],[LABEL]])</f>
        <v>40</v>
      </c>
      <c r="P56" s="105">
        <v>15</v>
      </c>
      <c r="Q56" s="105" t="e">
        <f>ROUND(Tableau18[[#This Row],[LEN]]*#REF!+#REF!,0)</f>
        <v>#REF!</v>
      </c>
    </row>
    <row r="57" spans="1:17" x14ac:dyDescent="0.25">
      <c r="A57" s="14" t="s">
        <v>951</v>
      </c>
      <c r="B57" s="14" t="s">
        <v>225</v>
      </c>
      <c r="C57" s="16" t="s">
        <v>72</v>
      </c>
      <c r="D57" s="67" t="s">
        <v>1177</v>
      </c>
      <c r="E57" s="16" t="s">
        <v>662</v>
      </c>
      <c r="F57" s="8" t="s">
        <v>2075</v>
      </c>
      <c r="G57" s="67" t="s">
        <v>70</v>
      </c>
      <c r="H57" s="67" t="s">
        <v>654</v>
      </c>
      <c r="I57" s="8"/>
      <c r="J57" s="9" t="s">
        <v>708</v>
      </c>
      <c r="K57" s="9" t="str">
        <f t="shared" si="0"/>
        <v>_</v>
      </c>
      <c r="L57" s="105">
        <f>ROUND(Tableau18[[#This Row],[LEN]]*7.27,0)</f>
        <v>400</v>
      </c>
      <c r="M57" s="105">
        <v>15</v>
      </c>
      <c r="N57" s="123" t="str">
        <f t="shared" si="1"/>
        <v>_self</v>
      </c>
      <c r="O57" s="105">
        <f>LEN(Tableau18[[#This Row],[LABEL]])</f>
        <v>55</v>
      </c>
      <c r="P57" s="105">
        <v>15</v>
      </c>
      <c r="Q57" s="105" t="e">
        <f>ROUND(Tableau18[[#This Row],[LEN]]*#REF!+#REF!,0)</f>
        <v>#REF!</v>
      </c>
    </row>
    <row r="58" spans="1:17" s="92" customFormat="1" x14ac:dyDescent="0.25">
      <c r="A58" s="245" t="s">
        <v>228</v>
      </c>
      <c r="B58" s="246" t="s">
        <v>204</v>
      </c>
      <c r="C58" s="247" t="s">
        <v>14</v>
      </c>
      <c r="D58" s="248" t="s">
        <v>1177</v>
      </c>
      <c r="E58" s="247" t="s">
        <v>678</v>
      </c>
      <c r="F58" s="247" t="s">
        <v>1177</v>
      </c>
      <c r="G58" s="248" t="s">
        <v>70</v>
      </c>
      <c r="H58" s="248" t="str">
        <f>IFERROR(IF(SEARCH(".00.00.00.00.00",Tableau18[[#This Row],[name]],1)=7,"Division",""),"")</f>
        <v>Division</v>
      </c>
      <c r="I58" s="247"/>
      <c r="J58" s="249" t="s">
        <v>724</v>
      </c>
      <c r="K58" s="249" t="str">
        <f t="shared" si="0"/>
        <v>Documentation</v>
      </c>
      <c r="L58" s="250">
        <f>ROUND(Tableau18[[#This Row],[LEN]]*7.27,0)</f>
        <v>240</v>
      </c>
      <c r="M58" s="250">
        <v>15</v>
      </c>
      <c r="N58" s="251" t="str">
        <f t="shared" si="1"/>
        <v>_blank</v>
      </c>
      <c r="O58" s="250">
        <f>LEN(Tableau18[[#This Row],[LABEL]])</f>
        <v>33</v>
      </c>
      <c r="P58" s="250">
        <v>15</v>
      </c>
      <c r="Q58" s="250" t="e">
        <f>ROUND(Tableau18[[#This Row],[LEN]]*#REF!+#REF!,0)</f>
        <v>#REF!</v>
      </c>
    </row>
    <row r="59" spans="1:17" x14ac:dyDescent="0.25">
      <c r="A59" s="14" t="s">
        <v>952</v>
      </c>
      <c r="B59" s="14" t="s">
        <v>228</v>
      </c>
      <c r="C59" s="8" t="s">
        <v>64</v>
      </c>
      <c r="D59" s="67" t="s">
        <v>1177</v>
      </c>
      <c r="E59" s="16" t="s">
        <v>662</v>
      </c>
      <c r="F59" s="8" t="s">
        <v>1956</v>
      </c>
      <c r="G59" s="67" t="s">
        <v>70</v>
      </c>
      <c r="H59" s="67" t="s">
        <v>17</v>
      </c>
      <c r="I59" s="8"/>
      <c r="J59" s="9" t="s">
        <v>708</v>
      </c>
      <c r="K59" s="9" t="str">
        <f t="shared" si="0"/>
        <v>_</v>
      </c>
      <c r="L59" s="105">
        <f>ROUND(Tableau18[[#This Row],[LEN]]*7.27,0)</f>
        <v>291</v>
      </c>
      <c r="M59" s="105">
        <v>15</v>
      </c>
      <c r="N59" s="123" t="str">
        <f t="shared" si="1"/>
        <v>_self</v>
      </c>
      <c r="O59" s="105">
        <f>LEN(Tableau18[[#This Row],[LABEL]])</f>
        <v>40</v>
      </c>
      <c r="P59" s="105">
        <v>15</v>
      </c>
      <c r="Q59" s="105" t="e">
        <f>ROUND(Tableau18[[#This Row],[LEN]]*#REF!+#REF!,0)</f>
        <v>#REF!</v>
      </c>
    </row>
    <row r="60" spans="1:17" x14ac:dyDescent="0.25">
      <c r="A60" s="14" t="s">
        <v>953</v>
      </c>
      <c r="B60" s="14" t="s">
        <v>228</v>
      </c>
      <c r="C60" s="16" t="s">
        <v>927</v>
      </c>
      <c r="D60" s="67" t="s">
        <v>1177</v>
      </c>
      <c r="E60" s="16" t="s">
        <v>667</v>
      </c>
      <c r="F60" s="16" t="s">
        <v>2076</v>
      </c>
      <c r="G60" s="67" t="s">
        <v>70</v>
      </c>
      <c r="H60" s="67" t="s">
        <v>656</v>
      </c>
      <c r="I60" s="8"/>
      <c r="J60" s="9" t="s">
        <v>708</v>
      </c>
      <c r="K60" s="9" t="str">
        <f t="shared" si="0"/>
        <v>_</v>
      </c>
      <c r="L60" s="105">
        <f>ROUND(Tableau18[[#This Row],[LEN]]*7.27,0)</f>
        <v>298</v>
      </c>
      <c r="M60" s="105">
        <v>15</v>
      </c>
      <c r="N60" s="123" t="str">
        <f t="shared" si="1"/>
        <v>_self</v>
      </c>
      <c r="O60" s="105">
        <f>LEN(Tableau18[[#This Row],[LABEL]])</f>
        <v>41</v>
      </c>
      <c r="P60" s="105">
        <v>15</v>
      </c>
      <c r="Q60" s="105" t="e">
        <f>ROUND(Tableau18[[#This Row],[LEN]]*#REF!+#REF!,0)</f>
        <v>#REF!</v>
      </c>
    </row>
    <row r="61" spans="1:17" x14ac:dyDescent="0.25">
      <c r="A61" s="14" t="s">
        <v>954</v>
      </c>
      <c r="B61" s="14" t="s">
        <v>228</v>
      </c>
      <c r="C61" s="8" t="s">
        <v>65</v>
      </c>
      <c r="D61" s="67" t="s">
        <v>1177</v>
      </c>
      <c r="E61" s="16" t="s">
        <v>662</v>
      </c>
      <c r="F61" s="8" t="s">
        <v>1957</v>
      </c>
      <c r="G61" s="67" t="s">
        <v>70</v>
      </c>
      <c r="H61" s="67" t="s">
        <v>17</v>
      </c>
      <c r="I61" s="8"/>
      <c r="J61" s="9" t="s">
        <v>708</v>
      </c>
      <c r="K61" s="9" t="str">
        <f t="shared" si="0"/>
        <v>_</v>
      </c>
      <c r="L61" s="105">
        <f>ROUND(Tableau18[[#This Row],[LEN]]*7.27,0)</f>
        <v>291</v>
      </c>
      <c r="M61" s="105">
        <v>15</v>
      </c>
      <c r="N61" s="123" t="str">
        <f t="shared" si="1"/>
        <v>_self</v>
      </c>
      <c r="O61" s="105">
        <f>LEN(Tableau18[[#This Row],[LABEL]])</f>
        <v>40</v>
      </c>
      <c r="P61" s="105">
        <v>15</v>
      </c>
      <c r="Q61" s="105" t="e">
        <f>ROUND(Tableau18[[#This Row],[LEN]]*#REF!+#REF!,0)</f>
        <v>#REF!</v>
      </c>
    </row>
    <row r="62" spans="1:17" x14ac:dyDescent="0.25">
      <c r="A62" s="14" t="s">
        <v>955</v>
      </c>
      <c r="B62" s="14" t="s">
        <v>228</v>
      </c>
      <c r="C62" s="16" t="s">
        <v>72</v>
      </c>
      <c r="D62" s="67" t="s">
        <v>1177</v>
      </c>
      <c r="E62" s="16" t="s">
        <v>662</v>
      </c>
      <c r="F62" s="8" t="s">
        <v>2075</v>
      </c>
      <c r="G62" s="67" t="s">
        <v>70</v>
      </c>
      <c r="H62" s="67" t="s">
        <v>654</v>
      </c>
      <c r="I62" s="8"/>
      <c r="J62" s="9" t="s">
        <v>708</v>
      </c>
      <c r="K62" s="9" t="str">
        <f t="shared" si="0"/>
        <v>_</v>
      </c>
      <c r="L62" s="105">
        <f>ROUND(Tableau18[[#This Row],[LEN]]*7.27,0)</f>
        <v>400</v>
      </c>
      <c r="M62" s="105">
        <v>15</v>
      </c>
      <c r="N62" s="123" t="str">
        <f t="shared" si="1"/>
        <v>_self</v>
      </c>
      <c r="O62" s="105">
        <f>LEN(Tableau18[[#This Row],[LABEL]])</f>
        <v>55</v>
      </c>
      <c r="P62" s="105">
        <v>15</v>
      </c>
      <c r="Q62" s="105" t="e">
        <f>ROUND(Tableau18[[#This Row],[LEN]]*#REF!+#REF!,0)</f>
        <v>#REF!</v>
      </c>
    </row>
    <row r="63" spans="1:17" x14ac:dyDescent="0.25">
      <c r="A63" s="14" t="s">
        <v>956</v>
      </c>
      <c r="B63" s="14" t="s">
        <v>228</v>
      </c>
      <c r="C63" s="16" t="s">
        <v>930</v>
      </c>
      <c r="D63" s="67" t="s">
        <v>1177</v>
      </c>
      <c r="E63" s="16" t="s">
        <v>678</v>
      </c>
      <c r="F63" s="16" t="s">
        <v>1177</v>
      </c>
      <c r="G63" s="67" t="s">
        <v>70</v>
      </c>
      <c r="H63" s="67" t="s">
        <v>654</v>
      </c>
      <c r="I63" s="8"/>
      <c r="J63" s="9" t="s">
        <v>706</v>
      </c>
      <c r="K63" s="9" t="str">
        <f t="shared" si="0"/>
        <v>Documentation</v>
      </c>
      <c r="L63" s="105">
        <f>ROUND(Tableau18[[#This Row],[LEN]]*7.27,0)</f>
        <v>465</v>
      </c>
      <c r="M63" s="105">
        <v>15</v>
      </c>
      <c r="N63" s="123" t="str">
        <f t="shared" si="1"/>
        <v>_blank</v>
      </c>
      <c r="O63" s="105">
        <f>LEN(Tableau18[[#This Row],[LABEL]])</f>
        <v>64</v>
      </c>
      <c r="P63" s="105">
        <v>15</v>
      </c>
      <c r="Q63" s="105" t="e">
        <f>ROUND(Tableau18[[#This Row],[LEN]]*#REF!+#REF!,0)</f>
        <v>#REF!</v>
      </c>
    </row>
    <row r="64" spans="1:17" s="92" customFormat="1" x14ac:dyDescent="0.25">
      <c r="A64" s="245" t="s">
        <v>229</v>
      </c>
      <c r="B64" s="246" t="s">
        <v>204</v>
      </c>
      <c r="C64" s="247" t="s">
        <v>1950</v>
      </c>
      <c r="D64" s="248" t="s">
        <v>1177</v>
      </c>
      <c r="E64" s="247" t="s">
        <v>1951</v>
      </c>
      <c r="F64" s="247" t="s">
        <v>1177</v>
      </c>
      <c r="G64" s="248" t="s">
        <v>70</v>
      </c>
      <c r="H64" s="248" t="s">
        <v>56</v>
      </c>
      <c r="I64" s="247"/>
      <c r="J64" s="249" t="s">
        <v>708</v>
      </c>
      <c r="K64" s="249" t="str">
        <f t="shared" si="0"/>
        <v>_</v>
      </c>
      <c r="L64" s="250">
        <f>ROUND(Tableau18[[#This Row],[LEN]]*7.27,0)</f>
        <v>51</v>
      </c>
      <c r="M64" s="250">
        <v>15</v>
      </c>
      <c r="N64" s="251" t="str">
        <f t="shared" si="1"/>
        <v>_self</v>
      </c>
      <c r="O64" s="250">
        <f>LEN(Tableau18[[#This Row],[LABEL]])</f>
        <v>7</v>
      </c>
      <c r="P64" s="250">
        <v>15</v>
      </c>
      <c r="Q64" s="250" t="e">
        <f>ROUND(Tableau18[[#This Row],[LEN]]*#REF!+#REF!,0)</f>
        <v>#REF!</v>
      </c>
    </row>
    <row r="65" spans="1:17" x14ac:dyDescent="0.25">
      <c r="A65" s="14" t="s">
        <v>1952</v>
      </c>
      <c r="B65" s="14" t="s">
        <v>229</v>
      </c>
      <c r="C65" s="8" t="s">
        <v>64</v>
      </c>
      <c r="D65" s="67" t="s">
        <v>1177</v>
      </c>
      <c r="E65" s="16" t="s">
        <v>662</v>
      </c>
      <c r="F65" s="8" t="s">
        <v>1956</v>
      </c>
      <c r="G65" s="67" t="s">
        <v>70</v>
      </c>
      <c r="H65" s="67" t="s">
        <v>17</v>
      </c>
      <c r="I65" s="8"/>
      <c r="J65" s="9" t="s">
        <v>708</v>
      </c>
      <c r="K65" s="9" t="str">
        <f t="shared" si="0"/>
        <v>_</v>
      </c>
      <c r="L65" s="105">
        <f>ROUND(Tableau18[[#This Row],[LEN]]*7.27,0)</f>
        <v>291</v>
      </c>
      <c r="M65" s="105">
        <v>15</v>
      </c>
      <c r="N65" s="123" t="str">
        <f t="shared" si="1"/>
        <v>_self</v>
      </c>
      <c r="O65" s="105">
        <f>LEN(Tableau18[[#This Row],[LABEL]])</f>
        <v>40</v>
      </c>
      <c r="P65" s="105">
        <v>15</v>
      </c>
      <c r="Q65" s="105" t="e">
        <f>ROUND(Tableau18[[#This Row],[LEN]]*#REF!+#REF!,0)</f>
        <v>#REF!</v>
      </c>
    </row>
    <row r="66" spans="1:17" x14ac:dyDescent="0.25">
      <c r="A66" s="14" t="s">
        <v>1953</v>
      </c>
      <c r="B66" s="14" t="s">
        <v>229</v>
      </c>
      <c r="C66" s="8" t="s">
        <v>65</v>
      </c>
      <c r="D66" s="67" t="s">
        <v>1177</v>
      </c>
      <c r="E66" s="16" t="s">
        <v>662</v>
      </c>
      <c r="F66" s="8" t="s">
        <v>1957</v>
      </c>
      <c r="G66" s="67" t="s">
        <v>70</v>
      </c>
      <c r="H66" s="67" t="s">
        <v>17</v>
      </c>
      <c r="I66" s="8"/>
      <c r="J66" s="9" t="s">
        <v>708</v>
      </c>
      <c r="K66" s="9" t="str">
        <f t="shared" ref="K66:K129" si="2">IF(J66="javascript:void(0)","_","Documentation")</f>
        <v>_</v>
      </c>
      <c r="L66" s="105">
        <f>ROUND(Tableau18[[#This Row],[LEN]]*7.27,0)</f>
        <v>291</v>
      </c>
      <c r="M66" s="105">
        <v>15</v>
      </c>
      <c r="N66" s="123" t="str">
        <f t="shared" si="1"/>
        <v>_self</v>
      </c>
      <c r="O66" s="105">
        <f>LEN(Tableau18[[#This Row],[LABEL]])</f>
        <v>40</v>
      </c>
      <c r="P66" s="105">
        <v>15</v>
      </c>
      <c r="Q66" s="105" t="e">
        <f>ROUND(Tableau18[[#This Row],[LEN]]*#REF!+#REF!,0)</f>
        <v>#REF!</v>
      </c>
    </row>
    <row r="67" spans="1:17" x14ac:dyDescent="0.25">
      <c r="A67" s="14" t="s">
        <v>1954</v>
      </c>
      <c r="B67" s="14" t="s">
        <v>229</v>
      </c>
      <c r="C67" s="16" t="s">
        <v>1958</v>
      </c>
      <c r="D67" s="67" t="s">
        <v>1177</v>
      </c>
      <c r="E67" s="16" t="s">
        <v>1951</v>
      </c>
      <c r="F67" s="16" t="s">
        <v>1177</v>
      </c>
      <c r="G67" s="67" t="s">
        <v>70</v>
      </c>
      <c r="H67" s="67" t="s">
        <v>570</v>
      </c>
      <c r="I67" s="8"/>
      <c r="J67" s="9" t="s">
        <v>708</v>
      </c>
      <c r="K67" s="9" t="str">
        <f t="shared" si="2"/>
        <v>_</v>
      </c>
      <c r="L67" s="105">
        <f>ROUND(Tableau18[[#This Row],[LEN]]*7.27,0)</f>
        <v>320</v>
      </c>
      <c r="M67" s="105">
        <v>15</v>
      </c>
      <c r="N67" s="123" t="str">
        <f t="shared" ref="N67:N130" si="3">IF(J67="javascript:void(0)","_self","_blank")</f>
        <v>_self</v>
      </c>
      <c r="O67" s="105">
        <f>LEN(Tableau18[[#This Row],[LABEL]])</f>
        <v>44</v>
      </c>
      <c r="P67" s="105">
        <v>15</v>
      </c>
      <c r="Q67" s="105" t="e">
        <f>ROUND(Tableau18[[#This Row],[LEN]]*#REF!+#REF!,0)</f>
        <v>#REF!</v>
      </c>
    </row>
    <row r="68" spans="1:17" x14ac:dyDescent="0.25">
      <c r="A68" s="14" t="s">
        <v>1955</v>
      </c>
      <c r="B68" s="14" t="s">
        <v>229</v>
      </c>
      <c r="C68" s="16" t="s">
        <v>72</v>
      </c>
      <c r="D68" s="67" t="s">
        <v>1177</v>
      </c>
      <c r="E68" s="16" t="s">
        <v>662</v>
      </c>
      <c r="F68" s="8" t="s">
        <v>2075</v>
      </c>
      <c r="G68" s="67" t="s">
        <v>70</v>
      </c>
      <c r="H68" s="67" t="s">
        <v>654</v>
      </c>
      <c r="I68" s="8"/>
      <c r="J68" s="9" t="s">
        <v>708</v>
      </c>
      <c r="K68" s="9" t="str">
        <f t="shared" si="2"/>
        <v>_</v>
      </c>
      <c r="L68" s="105">
        <f>ROUND(Tableau18[[#This Row],[LEN]]*7.27,0)</f>
        <v>400</v>
      </c>
      <c r="M68" s="105">
        <v>15</v>
      </c>
      <c r="N68" s="123" t="str">
        <f t="shared" si="3"/>
        <v>_self</v>
      </c>
      <c r="O68" s="105">
        <f>LEN(Tableau18[[#This Row],[LABEL]])</f>
        <v>55</v>
      </c>
      <c r="P68" s="105">
        <v>15</v>
      </c>
      <c r="Q68" s="105" t="e">
        <f>ROUND(Tableau18[[#This Row],[LEN]]*#REF!+#REF!,0)</f>
        <v>#REF!</v>
      </c>
    </row>
    <row r="69" spans="1:17" ht="15.75" thickBot="1" x14ac:dyDescent="0.3">
      <c r="A69" s="163" t="s">
        <v>205</v>
      </c>
      <c r="B69" s="163" t="s">
        <v>198</v>
      </c>
      <c r="C69" s="164" t="s">
        <v>173</v>
      </c>
      <c r="D69" s="165" t="s">
        <v>185</v>
      </c>
      <c r="E69" s="164" t="s">
        <v>1177</v>
      </c>
      <c r="F69" s="165" t="s">
        <v>1177</v>
      </c>
      <c r="G69" s="164" t="s">
        <v>167</v>
      </c>
      <c r="H69" s="164" t="s">
        <v>616</v>
      </c>
      <c r="I69" s="165"/>
      <c r="J69" s="166" t="s">
        <v>708</v>
      </c>
      <c r="K69" s="166" t="str">
        <f t="shared" si="2"/>
        <v>_</v>
      </c>
      <c r="L69" s="167">
        <f>ROUND(Tableau18[[#This Row],[LEN]]*7.27,0)</f>
        <v>58</v>
      </c>
      <c r="M69" s="167">
        <v>15</v>
      </c>
      <c r="N69" s="168" t="str">
        <f t="shared" si="3"/>
        <v>_self</v>
      </c>
      <c r="O69" s="167">
        <f>LEN(Tableau18[[#This Row],[LABEL]])</f>
        <v>8</v>
      </c>
      <c r="P69" s="169">
        <v>15</v>
      </c>
      <c r="Q69" s="169" t="e">
        <f>ROUND(Tableau18[[#This Row],[LEN]]*#REF!+#REF!,0)</f>
        <v>#REF!</v>
      </c>
    </row>
    <row r="70" spans="1:17" s="92" customFormat="1" ht="15.75" thickTop="1" x14ac:dyDescent="0.25">
      <c r="A70" s="266" t="s">
        <v>231</v>
      </c>
      <c r="B70" s="267" t="s">
        <v>205</v>
      </c>
      <c r="C70" s="268" t="s">
        <v>57</v>
      </c>
      <c r="D70" s="269" t="s">
        <v>1177</v>
      </c>
      <c r="E70" s="268" t="s">
        <v>663</v>
      </c>
      <c r="F70" s="268" t="s">
        <v>1177</v>
      </c>
      <c r="G70" s="269" t="s">
        <v>167</v>
      </c>
      <c r="H70" s="269" t="str">
        <f>IFERROR(IF(SEARCH(".00.00.00.00.00",Tableau18[[#This Row],[name]],1)=7,"Division",""),"")</f>
        <v>Division</v>
      </c>
      <c r="I70" s="268"/>
      <c r="J70" s="270" t="s">
        <v>708</v>
      </c>
      <c r="K70" s="270" t="str">
        <f t="shared" si="2"/>
        <v>_</v>
      </c>
      <c r="L70" s="271">
        <f>ROUND(Tableau18[[#This Row],[LEN]]*7.27,0)</f>
        <v>102</v>
      </c>
      <c r="M70" s="271">
        <v>15</v>
      </c>
      <c r="N70" s="272" t="str">
        <f t="shared" si="3"/>
        <v>_self</v>
      </c>
      <c r="O70" s="271">
        <f>LEN(Tableau18[[#This Row],[LABEL]])</f>
        <v>14</v>
      </c>
      <c r="P70" s="271">
        <v>15</v>
      </c>
      <c r="Q70" s="271" t="e">
        <f>ROUND(Tableau18[[#This Row],[LEN]]*#REF!+#REF!,0)</f>
        <v>#REF!</v>
      </c>
    </row>
    <row r="71" spans="1:17" s="97" customFormat="1" x14ac:dyDescent="0.25">
      <c r="A71" s="17" t="s">
        <v>749</v>
      </c>
      <c r="B71" s="18" t="s">
        <v>231</v>
      </c>
      <c r="C71" s="19" t="s">
        <v>755</v>
      </c>
      <c r="D71" s="68" t="s">
        <v>1177</v>
      </c>
      <c r="E71" s="19" t="s">
        <v>663</v>
      </c>
      <c r="F71" s="19" t="s">
        <v>1177</v>
      </c>
      <c r="G71" s="68" t="s">
        <v>167</v>
      </c>
      <c r="H71" s="68" t="s">
        <v>570</v>
      </c>
      <c r="I71" s="19"/>
      <c r="J71" s="20" t="s">
        <v>708</v>
      </c>
      <c r="K71" s="20" t="str">
        <f t="shared" si="2"/>
        <v>_</v>
      </c>
      <c r="L71" s="107">
        <f>ROUND(Tableau18[[#This Row],[LEN]]*7.27,0)</f>
        <v>254</v>
      </c>
      <c r="M71" s="107">
        <v>15</v>
      </c>
      <c r="N71" s="125" t="str">
        <f t="shared" si="3"/>
        <v>_self</v>
      </c>
      <c r="O71" s="107">
        <f>LEN(Tableau18[[#This Row],[LABEL]])</f>
        <v>35</v>
      </c>
      <c r="P71" s="107">
        <v>15</v>
      </c>
      <c r="Q71" s="107" t="e">
        <f>ROUND(Tableau18[[#This Row],[LEN]]*#REF!+#REF!,0)</f>
        <v>#REF!</v>
      </c>
    </row>
    <row r="72" spans="1:17" s="97" customFormat="1" x14ac:dyDescent="0.25">
      <c r="A72" s="17" t="s">
        <v>750</v>
      </c>
      <c r="B72" s="18" t="s">
        <v>231</v>
      </c>
      <c r="C72" s="19" t="s">
        <v>756</v>
      </c>
      <c r="D72" s="68" t="s">
        <v>1177</v>
      </c>
      <c r="E72" s="19" t="s">
        <v>663</v>
      </c>
      <c r="F72" s="19" t="s">
        <v>1177</v>
      </c>
      <c r="G72" s="68" t="s">
        <v>167</v>
      </c>
      <c r="H72" s="68" t="s">
        <v>654</v>
      </c>
      <c r="I72" s="19"/>
      <c r="J72" s="20" t="s">
        <v>708</v>
      </c>
      <c r="K72" s="20" t="str">
        <f t="shared" si="2"/>
        <v>_</v>
      </c>
      <c r="L72" s="107">
        <f>ROUND(Tableau18[[#This Row],[LEN]]*7.27,0)</f>
        <v>131</v>
      </c>
      <c r="M72" s="107">
        <v>15</v>
      </c>
      <c r="N72" s="125" t="str">
        <f t="shared" si="3"/>
        <v>_self</v>
      </c>
      <c r="O72" s="107">
        <f>LEN(Tableau18[[#This Row],[LABEL]])</f>
        <v>18</v>
      </c>
      <c r="P72" s="107">
        <v>15</v>
      </c>
      <c r="Q72" s="107" t="e">
        <f>ROUND(Tableau18[[#This Row],[LEN]]*#REF!+#REF!,0)</f>
        <v>#REF!</v>
      </c>
    </row>
    <row r="73" spans="1:17" s="97" customFormat="1" x14ac:dyDescent="0.25">
      <c r="A73" s="17" t="s">
        <v>751</v>
      </c>
      <c r="B73" s="18" t="s">
        <v>231</v>
      </c>
      <c r="C73" s="19" t="s">
        <v>757</v>
      </c>
      <c r="D73" s="68" t="s">
        <v>1177</v>
      </c>
      <c r="E73" s="19" t="s">
        <v>663</v>
      </c>
      <c r="F73" s="19" t="s">
        <v>1177</v>
      </c>
      <c r="G73" s="68" t="s">
        <v>167</v>
      </c>
      <c r="H73" s="68" t="s">
        <v>656</v>
      </c>
      <c r="I73" s="19"/>
      <c r="J73" s="20" t="s">
        <v>708</v>
      </c>
      <c r="K73" s="20" t="str">
        <f t="shared" si="2"/>
        <v>_</v>
      </c>
      <c r="L73" s="107">
        <f>ROUND(Tableau18[[#This Row],[LEN]]*7.27,0)</f>
        <v>298</v>
      </c>
      <c r="M73" s="107">
        <v>15</v>
      </c>
      <c r="N73" s="125" t="str">
        <f t="shared" si="3"/>
        <v>_self</v>
      </c>
      <c r="O73" s="107">
        <f>LEN(Tableau18[[#This Row],[LABEL]])</f>
        <v>41</v>
      </c>
      <c r="P73" s="107">
        <v>15</v>
      </c>
      <c r="Q73" s="107" t="e">
        <f>ROUND(Tableau18[[#This Row],[LEN]]*#REF!+#REF!,0)</f>
        <v>#REF!</v>
      </c>
    </row>
    <row r="74" spans="1:17" s="97" customFormat="1" x14ac:dyDescent="0.25">
      <c r="A74" s="17" t="s">
        <v>752</v>
      </c>
      <c r="B74" s="18" t="s">
        <v>231</v>
      </c>
      <c r="C74" s="19" t="s">
        <v>758</v>
      </c>
      <c r="D74" s="68" t="s">
        <v>1177</v>
      </c>
      <c r="E74" s="19" t="s">
        <v>663</v>
      </c>
      <c r="F74" s="19" t="s">
        <v>1177</v>
      </c>
      <c r="G74" s="68" t="s">
        <v>167</v>
      </c>
      <c r="H74" s="68" t="s">
        <v>656</v>
      </c>
      <c r="I74" s="19"/>
      <c r="J74" s="20" t="s">
        <v>708</v>
      </c>
      <c r="K74" s="20" t="str">
        <f t="shared" si="2"/>
        <v>_</v>
      </c>
      <c r="L74" s="107">
        <f>ROUND(Tableau18[[#This Row],[LEN]]*7.27,0)</f>
        <v>254</v>
      </c>
      <c r="M74" s="107">
        <v>15</v>
      </c>
      <c r="N74" s="125" t="str">
        <f t="shared" si="3"/>
        <v>_self</v>
      </c>
      <c r="O74" s="107">
        <f>LEN(Tableau18[[#This Row],[LABEL]])</f>
        <v>35</v>
      </c>
      <c r="P74" s="107">
        <v>15</v>
      </c>
      <c r="Q74" s="107" t="e">
        <f>ROUND(Tableau18[[#This Row],[LEN]]*#REF!+#REF!,0)</f>
        <v>#REF!</v>
      </c>
    </row>
    <row r="75" spans="1:17" s="97" customFormat="1" x14ac:dyDescent="0.25">
      <c r="A75" s="17" t="s">
        <v>753</v>
      </c>
      <c r="B75" s="18" t="s">
        <v>231</v>
      </c>
      <c r="C75" s="19" t="s">
        <v>759</v>
      </c>
      <c r="D75" s="68" t="s">
        <v>1177</v>
      </c>
      <c r="E75" s="19" t="s">
        <v>663</v>
      </c>
      <c r="F75" s="19" t="s">
        <v>1177</v>
      </c>
      <c r="G75" s="68" t="s">
        <v>167</v>
      </c>
      <c r="H75" s="68" t="s">
        <v>654</v>
      </c>
      <c r="I75" s="19"/>
      <c r="J75" s="20" t="s">
        <v>708</v>
      </c>
      <c r="K75" s="20" t="str">
        <f t="shared" si="2"/>
        <v>_</v>
      </c>
      <c r="L75" s="107">
        <f>ROUND(Tableau18[[#This Row],[LEN]]*7.27,0)</f>
        <v>298</v>
      </c>
      <c r="M75" s="107">
        <v>15</v>
      </c>
      <c r="N75" s="125" t="str">
        <f t="shared" si="3"/>
        <v>_self</v>
      </c>
      <c r="O75" s="107">
        <f>LEN(Tableau18[[#This Row],[LABEL]])</f>
        <v>41</v>
      </c>
      <c r="P75" s="107">
        <v>15</v>
      </c>
      <c r="Q75" s="107" t="e">
        <f>ROUND(Tableau18[[#This Row],[LEN]]*#REF!+#REF!,0)</f>
        <v>#REF!</v>
      </c>
    </row>
    <row r="76" spans="1:17" s="97" customFormat="1" x14ac:dyDescent="0.25">
      <c r="A76" s="17" t="s">
        <v>754</v>
      </c>
      <c r="B76" s="18" t="s">
        <v>231</v>
      </c>
      <c r="C76" s="19" t="s">
        <v>110</v>
      </c>
      <c r="D76" s="68" t="s">
        <v>1177</v>
      </c>
      <c r="E76" s="19" t="s">
        <v>1177</v>
      </c>
      <c r="F76" s="19" t="s">
        <v>1084</v>
      </c>
      <c r="G76" s="68" t="s">
        <v>1977</v>
      </c>
      <c r="H76" s="68" t="s">
        <v>1131</v>
      </c>
      <c r="I76" s="19"/>
      <c r="J76" s="20" t="s">
        <v>708</v>
      </c>
      <c r="K76" s="20" t="str">
        <f t="shared" si="2"/>
        <v>_</v>
      </c>
      <c r="L76" s="107">
        <f>ROUND(Tableau18[[#This Row],[LEN]]*7.27,0)</f>
        <v>102</v>
      </c>
      <c r="M76" s="107">
        <v>15</v>
      </c>
      <c r="N76" s="125" t="str">
        <f t="shared" si="3"/>
        <v>_self</v>
      </c>
      <c r="O76" s="107">
        <f>LEN(Tableau18[[#This Row],[LABEL]])</f>
        <v>14</v>
      </c>
      <c r="P76" s="107">
        <v>15</v>
      </c>
      <c r="Q76" s="107" t="e">
        <f>ROUND(Tableau18[[#This Row],[LEN]]*#REF!+#REF!,0)</f>
        <v>#REF!</v>
      </c>
    </row>
    <row r="77" spans="1:17" s="273" customFormat="1" x14ac:dyDescent="0.25">
      <c r="A77" s="266" t="s">
        <v>233</v>
      </c>
      <c r="B77" s="267" t="s">
        <v>205</v>
      </c>
      <c r="C77" s="268" t="s">
        <v>3</v>
      </c>
      <c r="D77" s="269" t="s">
        <v>1177</v>
      </c>
      <c r="E77" s="268" t="s">
        <v>661</v>
      </c>
      <c r="F77" s="268" t="s">
        <v>1177</v>
      </c>
      <c r="G77" s="269" t="s">
        <v>167</v>
      </c>
      <c r="H77" s="269" t="str">
        <f>IFERROR(IF(SEARCH(".00.00.00.00.00",Tableau18[[#This Row],[name]],1)=7,"Division",""),"")</f>
        <v>Division</v>
      </c>
      <c r="I77" s="268"/>
      <c r="J77" s="270" t="s">
        <v>708</v>
      </c>
      <c r="K77" s="270" t="str">
        <f t="shared" si="2"/>
        <v>_</v>
      </c>
      <c r="L77" s="271">
        <f>ROUND(Tableau18[[#This Row],[LEN]]*7.27,0)</f>
        <v>73</v>
      </c>
      <c r="M77" s="271">
        <v>15</v>
      </c>
      <c r="N77" s="272" t="str">
        <f t="shared" si="3"/>
        <v>_self</v>
      </c>
      <c r="O77" s="271">
        <f>LEN(Tableau18[[#This Row],[LABEL]])</f>
        <v>10</v>
      </c>
      <c r="P77" s="271">
        <v>15</v>
      </c>
      <c r="Q77" s="271" t="e">
        <f>ROUND(Tableau18[[#This Row],[LEN]]*#REF!+#REF!,0)</f>
        <v>#REF!</v>
      </c>
    </row>
    <row r="78" spans="1:17" s="97" customFormat="1" x14ac:dyDescent="0.25">
      <c r="A78" s="17" t="s">
        <v>368</v>
      </c>
      <c r="B78" s="18" t="s">
        <v>233</v>
      </c>
      <c r="C78" s="19" t="s">
        <v>81</v>
      </c>
      <c r="D78" s="68" t="s">
        <v>1177</v>
      </c>
      <c r="E78" s="19" t="s">
        <v>667</v>
      </c>
      <c r="F78" s="19" t="s">
        <v>1963</v>
      </c>
      <c r="G78" s="68" t="s">
        <v>167</v>
      </c>
      <c r="H78" s="68" t="s">
        <v>655</v>
      </c>
      <c r="I78" s="19"/>
      <c r="J78" s="20" t="s">
        <v>708</v>
      </c>
      <c r="K78" s="20" t="str">
        <f t="shared" si="2"/>
        <v>_</v>
      </c>
      <c r="L78" s="107">
        <f>ROUND(Tableau18[[#This Row],[LEN]]*7.27,0)</f>
        <v>73</v>
      </c>
      <c r="M78" s="107">
        <v>15</v>
      </c>
      <c r="N78" s="125" t="str">
        <f t="shared" si="3"/>
        <v>_self</v>
      </c>
      <c r="O78" s="107">
        <f>LEN(Tableau18[[#This Row],[LABEL]])</f>
        <v>10</v>
      </c>
      <c r="P78" s="107">
        <v>15</v>
      </c>
      <c r="Q78" s="107" t="e">
        <f>ROUND(Tableau18[[#This Row],[LEN]]*#REF!+#REF!,0)</f>
        <v>#REF!</v>
      </c>
    </row>
    <row r="79" spans="1:17" s="97" customFormat="1" x14ac:dyDescent="0.25">
      <c r="A79" s="21" t="s">
        <v>373</v>
      </c>
      <c r="B79" s="22" t="s">
        <v>368</v>
      </c>
      <c r="C79" s="23" t="s">
        <v>103</v>
      </c>
      <c r="D79" s="69" t="s">
        <v>1177</v>
      </c>
      <c r="E79" s="23" t="s">
        <v>667</v>
      </c>
      <c r="F79" s="23" t="s">
        <v>1963</v>
      </c>
      <c r="G79" s="69" t="s">
        <v>167</v>
      </c>
      <c r="H79" s="69" t="s">
        <v>570</v>
      </c>
      <c r="I79" s="23"/>
      <c r="J79" s="24" t="s">
        <v>708</v>
      </c>
      <c r="K79" s="24" t="str">
        <f t="shared" si="2"/>
        <v>_</v>
      </c>
      <c r="L79" s="108">
        <f>ROUND(Tableau18[[#This Row],[LEN]]*7.27,0)</f>
        <v>138</v>
      </c>
      <c r="M79" s="108">
        <v>15</v>
      </c>
      <c r="N79" s="126" t="str">
        <f t="shared" si="3"/>
        <v>_self</v>
      </c>
      <c r="O79" s="108">
        <f>LEN(Tableau18[[#This Row],[LABEL]])</f>
        <v>19</v>
      </c>
      <c r="P79" s="108">
        <v>15</v>
      </c>
      <c r="Q79" s="108" t="e">
        <f>ROUND(Tableau18[[#This Row],[LEN]]*#REF!+#REF!,0)</f>
        <v>#REF!</v>
      </c>
    </row>
    <row r="80" spans="1:17" s="97" customFormat="1" x14ac:dyDescent="0.25">
      <c r="A80" s="21" t="s">
        <v>374</v>
      </c>
      <c r="B80" s="22" t="s">
        <v>368</v>
      </c>
      <c r="C80" s="23" t="s">
        <v>104</v>
      </c>
      <c r="D80" s="69" t="s">
        <v>1177</v>
      </c>
      <c r="E80" s="23" t="s">
        <v>667</v>
      </c>
      <c r="F80" s="23" t="s">
        <v>1963</v>
      </c>
      <c r="G80" s="69" t="s">
        <v>167</v>
      </c>
      <c r="H80" s="69" t="s">
        <v>570</v>
      </c>
      <c r="I80" s="23"/>
      <c r="J80" s="24" t="s">
        <v>708</v>
      </c>
      <c r="K80" s="24" t="str">
        <f t="shared" si="2"/>
        <v>_</v>
      </c>
      <c r="L80" s="108">
        <f>ROUND(Tableau18[[#This Row],[LEN]]*7.27,0)</f>
        <v>145</v>
      </c>
      <c r="M80" s="108">
        <v>15</v>
      </c>
      <c r="N80" s="126" t="str">
        <f t="shared" si="3"/>
        <v>_self</v>
      </c>
      <c r="O80" s="108">
        <f>LEN(Tableau18[[#This Row],[LABEL]])</f>
        <v>20</v>
      </c>
      <c r="P80" s="108">
        <v>15</v>
      </c>
      <c r="Q80" s="108" t="e">
        <f>ROUND(Tableau18[[#This Row],[LEN]]*#REF!+#REF!,0)</f>
        <v>#REF!</v>
      </c>
    </row>
    <row r="81" spans="1:17" s="97" customFormat="1" x14ac:dyDescent="0.25">
      <c r="A81" s="21" t="s">
        <v>375</v>
      </c>
      <c r="B81" s="22" t="s">
        <v>368</v>
      </c>
      <c r="C81" s="23" t="s">
        <v>105</v>
      </c>
      <c r="D81" s="69" t="s">
        <v>1177</v>
      </c>
      <c r="E81" s="23" t="s">
        <v>667</v>
      </c>
      <c r="F81" s="23" t="s">
        <v>1963</v>
      </c>
      <c r="G81" s="69" t="s">
        <v>167</v>
      </c>
      <c r="H81" s="69" t="s">
        <v>570</v>
      </c>
      <c r="I81" s="23"/>
      <c r="J81" s="24" t="s">
        <v>708</v>
      </c>
      <c r="K81" s="24" t="str">
        <f t="shared" si="2"/>
        <v>_</v>
      </c>
      <c r="L81" s="108">
        <f>ROUND(Tableau18[[#This Row],[LEN]]*7.27,0)</f>
        <v>138</v>
      </c>
      <c r="M81" s="108">
        <v>15</v>
      </c>
      <c r="N81" s="126" t="str">
        <f t="shared" si="3"/>
        <v>_self</v>
      </c>
      <c r="O81" s="108">
        <f>LEN(Tableau18[[#This Row],[LABEL]])</f>
        <v>19</v>
      </c>
      <c r="P81" s="108">
        <v>15</v>
      </c>
      <c r="Q81" s="108" t="e">
        <f>ROUND(Tableau18[[#This Row],[LEN]]*#REF!+#REF!,0)</f>
        <v>#REF!</v>
      </c>
    </row>
    <row r="82" spans="1:17" s="97" customFormat="1" x14ac:dyDescent="0.25">
      <c r="A82" s="21" t="s">
        <v>376</v>
      </c>
      <c r="B82" s="22" t="s">
        <v>368</v>
      </c>
      <c r="C82" s="23" t="s">
        <v>106</v>
      </c>
      <c r="D82" s="69" t="s">
        <v>1177</v>
      </c>
      <c r="E82" s="23" t="s">
        <v>667</v>
      </c>
      <c r="F82" s="23" t="s">
        <v>1963</v>
      </c>
      <c r="G82" s="69" t="s">
        <v>167</v>
      </c>
      <c r="H82" s="69" t="s">
        <v>570</v>
      </c>
      <c r="I82" s="23"/>
      <c r="J82" s="24" t="s">
        <v>708</v>
      </c>
      <c r="K82" s="24" t="str">
        <f t="shared" si="2"/>
        <v>_</v>
      </c>
      <c r="L82" s="108">
        <f>ROUND(Tableau18[[#This Row],[LEN]]*7.27,0)</f>
        <v>36</v>
      </c>
      <c r="M82" s="108">
        <v>15</v>
      </c>
      <c r="N82" s="126" t="str">
        <f t="shared" si="3"/>
        <v>_self</v>
      </c>
      <c r="O82" s="108">
        <f>LEN(Tableau18[[#This Row],[LABEL]])</f>
        <v>5</v>
      </c>
      <c r="P82" s="108">
        <v>15</v>
      </c>
      <c r="Q82" s="108" t="e">
        <f>ROUND(Tableau18[[#This Row],[LEN]]*#REF!+#REF!,0)</f>
        <v>#REF!</v>
      </c>
    </row>
    <row r="83" spans="1:17" s="97" customFormat="1" x14ac:dyDescent="0.25">
      <c r="A83" s="21" t="s">
        <v>377</v>
      </c>
      <c r="B83" s="22" t="s">
        <v>368</v>
      </c>
      <c r="C83" s="23" t="s">
        <v>107</v>
      </c>
      <c r="D83" s="69" t="s">
        <v>1177</v>
      </c>
      <c r="E83" s="23" t="s">
        <v>667</v>
      </c>
      <c r="F83" s="23" t="s">
        <v>1963</v>
      </c>
      <c r="G83" s="69" t="s">
        <v>167</v>
      </c>
      <c r="H83" s="69" t="s">
        <v>570</v>
      </c>
      <c r="I83" s="23"/>
      <c r="J83" s="24" t="s">
        <v>708</v>
      </c>
      <c r="K83" s="24" t="str">
        <f t="shared" si="2"/>
        <v>_</v>
      </c>
      <c r="L83" s="108">
        <f>ROUND(Tableau18[[#This Row],[LEN]]*7.27,0)</f>
        <v>160</v>
      </c>
      <c r="M83" s="108">
        <v>15</v>
      </c>
      <c r="N83" s="126" t="str">
        <f t="shared" si="3"/>
        <v>_self</v>
      </c>
      <c r="O83" s="108">
        <f>LEN(Tableau18[[#This Row],[LABEL]])</f>
        <v>22</v>
      </c>
      <c r="P83" s="108">
        <v>15</v>
      </c>
      <c r="Q83" s="108" t="e">
        <f>ROUND(Tableau18[[#This Row],[LEN]]*#REF!+#REF!,0)</f>
        <v>#REF!</v>
      </c>
    </row>
    <row r="84" spans="1:17" s="97" customFormat="1" x14ac:dyDescent="0.25">
      <c r="A84" s="21" t="s">
        <v>378</v>
      </c>
      <c r="B84" s="22" t="s">
        <v>368</v>
      </c>
      <c r="C84" s="23" t="s">
        <v>108</v>
      </c>
      <c r="D84" s="69" t="s">
        <v>1177</v>
      </c>
      <c r="E84" s="23" t="s">
        <v>667</v>
      </c>
      <c r="F84" s="23" t="s">
        <v>1963</v>
      </c>
      <c r="G84" s="69" t="s">
        <v>167</v>
      </c>
      <c r="H84" s="69" t="s">
        <v>570</v>
      </c>
      <c r="I84" s="23"/>
      <c r="J84" s="24" t="s">
        <v>708</v>
      </c>
      <c r="K84" s="24" t="str">
        <f t="shared" si="2"/>
        <v>_</v>
      </c>
      <c r="L84" s="108">
        <f>ROUND(Tableau18[[#This Row],[LEN]]*7.27,0)</f>
        <v>182</v>
      </c>
      <c r="M84" s="108">
        <v>15</v>
      </c>
      <c r="N84" s="126" t="str">
        <f t="shared" si="3"/>
        <v>_self</v>
      </c>
      <c r="O84" s="108">
        <f>LEN(Tableau18[[#This Row],[LABEL]])</f>
        <v>25</v>
      </c>
      <c r="P84" s="108">
        <v>15</v>
      </c>
      <c r="Q84" s="108" t="e">
        <f>ROUND(Tableau18[[#This Row],[LEN]]*#REF!+#REF!,0)</f>
        <v>#REF!</v>
      </c>
    </row>
    <row r="85" spans="1:17" s="97" customFormat="1" x14ac:dyDescent="0.25">
      <c r="A85" s="17" t="s">
        <v>369</v>
      </c>
      <c r="B85" s="18" t="s">
        <v>233</v>
      </c>
      <c r="C85" s="19" t="s">
        <v>82</v>
      </c>
      <c r="D85" s="68" t="s">
        <v>1177</v>
      </c>
      <c r="E85" s="19" t="s">
        <v>684</v>
      </c>
      <c r="F85" s="19" t="s">
        <v>1177</v>
      </c>
      <c r="G85" s="68" t="s">
        <v>167</v>
      </c>
      <c r="H85" s="68" t="s">
        <v>655</v>
      </c>
      <c r="I85" s="19"/>
      <c r="J85" s="20" t="s">
        <v>708</v>
      </c>
      <c r="K85" s="20" t="str">
        <f t="shared" si="2"/>
        <v>_</v>
      </c>
      <c r="L85" s="107">
        <f>ROUND(Tableau18[[#This Row],[LEN]]*7.27,0)</f>
        <v>269</v>
      </c>
      <c r="M85" s="107">
        <v>15</v>
      </c>
      <c r="N85" s="125" t="str">
        <f t="shared" si="3"/>
        <v>_self</v>
      </c>
      <c r="O85" s="107">
        <f>LEN(Tableau18[[#This Row],[LABEL]])</f>
        <v>37</v>
      </c>
      <c r="P85" s="107">
        <v>15</v>
      </c>
      <c r="Q85" s="107" t="e">
        <f>ROUND(Tableau18[[#This Row],[LEN]]*#REF!+#REF!,0)</f>
        <v>#REF!</v>
      </c>
    </row>
    <row r="86" spans="1:17" s="97" customFormat="1" x14ac:dyDescent="0.25">
      <c r="A86" s="21" t="s">
        <v>379</v>
      </c>
      <c r="B86" s="22" t="s">
        <v>369</v>
      </c>
      <c r="C86" s="23" t="s">
        <v>83</v>
      </c>
      <c r="D86" s="69" t="s">
        <v>1177</v>
      </c>
      <c r="E86" s="23" t="s">
        <v>684</v>
      </c>
      <c r="F86" s="23" t="s">
        <v>1177</v>
      </c>
      <c r="G86" s="69" t="s">
        <v>167</v>
      </c>
      <c r="H86" s="69" t="s">
        <v>18</v>
      </c>
      <c r="I86" s="23"/>
      <c r="J86" s="24" t="s">
        <v>708</v>
      </c>
      <c r="K86" s="24" t="str">
        <f t="shared" si="2"/>
        <v>_</v>
      </c>
      <c r="L86" s="108">
        <f>ROUND(Tableau18[[#This Row],[LEN]]*7.27,0)</f>
        <v>269</v>
      </c>
      <c r="M86" s="108">
        <v>15</v>
      </c>
      <c r="N86" s="126" t="str">
        <f t="shared" si="3"/>
        <v>_self</v>
      </c>
      <c r="O86" s="108">
        <f>LEN(Tableau18[[#This Row],[LABEL]])</f>
        <v>37</v>
      </c>
      <c r="P86" s="108">
        <v>15</v>
      </c>
      <c r="Q86" s="108" t="e">
        <f>ROUND(Tableau18[[#This Row],[LEN]]*#REF!+#REF!,0)</f>
        <v>#REF!</v>
      </c>
    </row>
    <row r="87" spans="1:17" s="97" customFormat="1" x14ac:dyDescent="0.25">
      <c r="A87" s="21" t="s">
        <v>380</v>
      </c>
      <c r="B87" s="22" t="s">
        <v>369</v>
      </c>
      <c r="C87" s="23" t="s">
        <v>84</v>
      </c>
      <c r="D87" s="69" t="s">
        <v>1177</v>
      </c>
      <c r="E87" s="23" t="s">
        <v>684</v>
      </c>
      <c r="F87" s="23" t="s">
        <v>1177</v>
      </c>
      <c r="G87" s="69" t="s">
        <v>167</v>
      </c>
      <c r="H87" s="69" t="s">
        <v>18</v>
      </c>
      <c r="I87" s="23"/>
      <c r="J87" s="24" t="s">
        <v>708</v>
      </c>
      <c r="K87" s="24" t="str">
        <f t="shared" si="2"/>
        <v>_</v>
      </c>
      <c r="L87" s="108">
        <f>ROUND(Tableau18[[#This Row],[LEN]]*7.27,0)</f>
        <v>313</v>
      </c>
      <c r="M87" s="108">
        <v>15</v>
      </c>
      <c r="N87" s="126" t="str">
        <f t="shared" si="3"/>
        <v>_self</v>
      </c>
      <c r="O87" s="108">
        <f>LEN(Tableau18[[#This Row],[LABEL]])</f>
        <v>43</v>
      </c>
      <c r="P87" s="108">
        <v>15</v>
      </c>
      <c r="Q87" s="108" t="e">
        <f>ROUND(Tableau18[[#This Row],[LEN]]*#REF!+#REF!,0)</f>
        <v>#REF!</v>
      </c>
    </row>
    <row r="88" spans="1:17" s="97" customFormat="1" x14ac:dyDescent="0.25">
      <c r="A88" s="21" t="s">
        <v>381</v>
      </c>
      <c r="B88" s="22" t="s">
        <v>369</v>
      </c>
      <c r="C88" s="23" t="s">
        <v>85</v>
      </c>
      <c r="D88" s="69" t="s">
        <v>1177</v>
      </c>
      <c r="E88" s="23" t="s">
        <v>684</v>
      </c>
      <c r="F88" s="23" t="s">
        <v>1177</v>
      </c>
      <c r="G88" s="69" t="s">
        <v>167</v>
      </c>
      <c r="H88" s="69" t="s">
        <v>18</v>
      </c>
      <c r="I88" s="23"/>
      <c r="J88" s="24" t="s">
        <v>708</v>
      </c>
      <c r="K88" s="24" t="str">
        <f t="shared" si="2"/>
        <v>_</v>
      </c>
      <c r="L88" s="108">
        <f>ROUND(Tableau18[[#This Row],[LEN]]*7.27,0)</f>
        <v>218</v>
      </c>
      <c r="M88" s="108">
        <v>15</v>
      </c>
      <c r="N88" s="126" t="str">
        <f t="shared" si="3"/>
        <v>_self</v>
      </c>
      <c r="O88" s="108">
        <f>LEN(Tableau18[[#This Row],[LABEL]])</f>
        <v>30</v>
      </c>
      <c r="P88" s="108">
        <v>15</v>
      </c>
      <c r="Q88" s="108" t="e">
        <f>ROUND(Tableau18[[#This Row],[LEN]]*#REF!+#REF!,0)</f>
        <v>#REF!</v>
      </c>
    </row>
    <row r="89" spans="1:17" s="97" customFormat="1" x14ac:dyDescent="0.25">
      <c r="A89" s="17" t="s">
        <v>370</v>
      </c>
      <c r="B89" s="18" t="s">
        <v>233</v>
      </c>
      <c r="C89" s="19" t="s">
        <v>109</v>
      </c>
      <c r="D89" s="68" t="s">
        <v>1177</v>
      </c>
      <c r="E89" s="19" t="s">
        <v>684</v>
      </c>
      <c r="F89" s="19" t="s">
        <v>1177</v>
      </c>
      <c r="G89" s="68" t="s">
        <v>167</v>
      </c>
      <c r="H89" s="68" t="s">
        <v>656</v>
      </c>
      <c r="I89" s="19"/>
      <c r="J89" s="20" t="s">
        <v>708</v>
      </c>
      <c r="K89" s="20" t="str">
        <f t="shared" si="2"/>
        <v>_</v>
      </c>
      <c r="L89" s="107">
        <f>ROUND(Tableau18[[#This Row],[LEN]]*7.27,0)</f>
        <v>131</v>
      </c>
      <c r="M89" s="107">
        <v>15</v>
      </c>
      <c r="N89" s="125" t="str">
        <f t="shared" si="3"/>
        <v>_self</v>
      </c>
      <c r="O89" s="107">
        <f>LEN(Tableau18[[#This Row],[LABEL]])</f>
        <v>18</v>
      </c>
      <c r="P89" s="107">
        <v>15</v>
      </c>
      <c r="Q89" s="107" t="e">
        <f>ROUND(Tableau18[[#This Row],[LEN]]*#REF!+#REF!,0)</f>
        <v>#REF!</v>
      </c>
    </row>
    <row r="90" spans="1:17" s="97" customFormat="1" x14ac:dyDescent="0.25">
      <c r="A90" s="17" t="s">
        <v>371</v>
      </c>
      <c r="B90" s="18" t="s">
        <v>233</v>
      </c>
      <c r="C90" s="19" t="s">
        <v>110</v>
      </c>
      <c r="D90" s="68" t="s">
        <v>1177</v>
      </c>
      <c r="E90" s="19" t="s">
        <v>1177</v>
      </c>
      <c r="F90" s="19" t="s">
        <v>1084</v>
      </c>
      <c r="G90" s="68" t="s">
        <v>1977</v>
      </c>
      <c r="H90" s="68" t="s">
        <v>1131</v>
      </c>
      <c r="I90" s="19"/>
      <c r="J90" s="20" t="s">
        <v>708</v>
      </c>
      <c r="K90" s="20" t="str">
        <f t="shared" si="2"/>
        <v>_</v>
      </c>
      <c r="L90" s="107">
        <f>ROUND(Tableau18[[#This Row],[LEN]]*7.27,0)</f>
        <v>102</v>
      </c>
      <c r="M90" s="107">
        <v>15</v>
      </c>
      <c r="N90" s="125" t="str">
        <f t="shared" si="3"/>
        <v>_self</v>
      </c>
      <c r="O90" s="107">
        <f>LEN(Tableau18[[#This Row],[LABEL]])</f>
        <v>14</v>
      </c>
      <c r="P90" s="107">
        <v>15</v>
      </c>
      <c r="Q90" s="107" t="e">
        <f>ROUND(Tableau18[[#This Row],[LEN]]*#REF!+#REF!,0)</f>
        <v>#REF!</v>
      </c>
    </row>
    <row r="91" spans="1:17" s="273" customFormat="1" x14ac:dyDescent="0.25">
      <c r="A91" s="266" t="s">
        <v>234</v>
      </c>
      <c r="B91" s="267" t="s">
        <v>205</v>
      </c>
      <c r="C91" s="268" t="s">
        <v>4</v>
      </c>
      <c r="D91" s="269" t="s">
        <v>1177</v>
      </c>
      <c r="E91" s="268" t="s">
        <v>666</v>
      </c>
      <c r="F91" s="268" t="s">
        <v>1177</v>
      </c>
      <c r="G91" s="269" t="s">
        <v>167</v>
      </c>
      <c r="H91" s="269" t="str">
        <f>IFERROR(IF(SEARCH(".00.00.00.00.00",Tableau18[[#This Row],[name]],1)=7,"Division",""),"")</f>
        <v>Division</v>
      </c>
      <c r="I91" s="268"/>
      <c r="J91" s="270" t="s">
        <v>708</v>
      </c>
      <c r="K91" s="270" t="str">
        <f t="shared" si="2"/>
        <v>_</v>
      </c>
      <c r="L91" s="271">
        <f>ROUND(Tableau18[[#This Row],[LEN]]*7.27,0)</f>
        <v>36</v>
      </c>
      <c r="M91" s="271">
        <v>15</v>
      </c>
      <c r="N91" s="272" t="str">
        <f t="shared" si="3"/>
        <v>_self</v>
      </c>
      <c r="O91" s="271">
        <f>LEN(Tableau18[[#This Row],[LABEL]])</f>
        <v>5</v>
      </c>
      <c r="P91" s="271">
        <v>15</v>
      </c>
      <c r="Q91" s="271" t="e">
        <f>ROUND(Tableau18[[#This Row],[LEN]]*#REF!+#REF!,0)</f>
        <v>#REF!</v>
      </c>
    </row>
    <row r="92" spans="1:17" s="97" customFormat="1" x14ac:dyDescent="0.25">
      <c r="A92" s="17" t="s">
        <v>957</v>
      </c>
      <c r="B92" s="18" t="s">
        <v>234</v>
      </c>
      <c r="C92" s="19" t="s">
        <v>961</v>
      </c>
      <c r="D92" s="68" t="s">
        <v>1177</v>
      </c>
      <c r="E92" s="19" t="s">
        <v>970</v>
      </c>
      <c r="F92" s="19" t="s">
        <v>1177</v>
      </c>
      <c r="G92" s="68" t="s">
        <v>167</v>
      </c>
      <c r="H92" s="68" t="s">
        <v>656</v>
      </c>
      <c r="I92" s="19"/>
      <c r="J92" s="20" t="s">
        <v>708</v>
      </c>
      <c r="K92" s="20" t="str">
        <f t="shared" si="2"/>
        <v>_</v>
      </c>
      <c r="L92" s="107">
        <f>ROUND(Tableau18[[#This Row],[LEN]]*7.27,0)</f>
        <v>305</v>
      </c>
      <c r="M92" s="107">
        <v>15</v>
      </c>
      <c r="N92" s="125" t="str">
        <f t="shared" si="3"/>
        <v>_self</v>
      </c>
      <c r="O92" s="107">
        <f>LEN(Tableau18[[#This Row],[LABEL]])</f>
        <v>42</v>
      </c>
      <c r="P92" s="107">
        <v>15</v>
      </c>
      <c r="Q92" s="107" t="e">
        <f>ROUND(Tableau18[[#This Row],[LEN]]*#REF!+#REF!,0)</f>
        <v>#REF!</v>
      </c>
    </row>
    <row r="93" spans="1:17" s="97" customFormat="1" x14ac:dyDescent="0.25">
      <c r="A93" s="17" t="s">
        <v>958</v>
      </c>
      <c r="B93" s="18" t="s">
        <v>234</v>
      </c>
      <c r="C93" s="19" t="s">
        <v>82</v>
      </c>
      <c r="D93" s="68" t="s">
        <v>1177</v>
      </c>
      <c r="E93" s="19" t="s">
        <v>684</v>
      </c>
      <c r="F93" s="19" t="s">
        <v>1177</v>
      </c>
      <c r="G93" s="68" t="s">
        <v>167</v>
      </c>
      <c r="H93" s="68" t="s">
        <v>655</v>
      </c>
      <c r="I93" s="19"/>
      <c r="J93" s="20" t="s">
        <v>708</v>
      </c>
      <c r="K93" s="20" t="str">
        <f t="shared" si="2"/>
        <v>_</v>
      </c>
      <c r="L93" s="107">
        <f>ROUND(Tableau18[[#This Row],[LEN]]*7.27,0)</f>
        <v>269</v>
      </c>
      <c r="M93" s="107">
        <v>15</v>
      </c>
      <c r="N93" s="125" t="str">
        <f t="shared" si="3"/>
        <v>_self</v>
      </c>
      <c r="O93" s="107">
        <f>LEN(Tableau18[[#This Row],[LABEL]])</f>
        <v>37</v>
      </c>
      <c r="P93" s="107">
        <v>15</v>
      </c>
      <c r="Q93" s="107" t="e">
        <f>ROUND(Tableau18[[#This Row],[LEN]]*#REF!+#REF!,0)</f>
        <v>#REF!</v>
      </c>
    </row>
    <row r="94" spans="1:17" s="97" customFormat="1" x14ac:dyDescent="0.25">
      <c r="A94" s="21" t="s">
        <v>962</v>
      </c>
      <c r="B94" s="22" t="s">
        <v>958</v>
      </c>
      <c r="C94" s="23" t="s">
        <v>83</v>
      </c>
      <c r="D94" s="69" t="s">
        <v>1177</v>
      </c>
      <c r="E94" s="23" t="s">
        <v>684</v>
      </c>
      <c r="F94" s="23" t="s">
        <v>1177</v>
      </c>
      <c r="G94" s="69" t="s">
        <v>167</v>
      </c>
      <c r="H94" s="69" t="s">
        <v>18</v>
      </c>
      <c r="I94" s="23"/>
      <c r="J94" s="24" t="s">
        <v>708</v>
      </c>
      <c r="K94" s="24" t="str">
        <f t="shared" si="2"/>
        <v>_</v>
      </c>
      <c r="L94" s="108">
        <f>ROUND(Tableau18[[#This Row],[LEN]]*7.27,0)</f>
        <v>269</v>
      </c>
      <c r="M94" s="108">
        <v>15</v>
      </c>
      <c r="N94" s="126" t="str">
        <f t="shared" si="3"/>
        <v>_self</v>
      </c>
      <c r="O94" s="108">
        <f>LEN(Tableau18[[#This Row],[LABEL]])</f>
        <v>37</v>
      </c>
      <c r="P94" s="108">
        <v>15</v>
      </c>
      <c r="Q94" s="108" t="e">
        <f>ROUND(Tableau18[[#This Row],[LEN]]*#REF!+#REF!,0)</f>
        <v>#REF!</v>
      </c>
    </row>
    <row r="95" spans="1:17" s="97" customFormat="1" x14ac:dyDescent="0.25">
      <c r="A95" s="21" t="s">
        <v>963</v>
      </c>
      <c r="B95" s="22" t="s">
        <v>958</v>
      </c>
      <c r="C95" s="23" t="s">
        <v>84</v>
      </c>
      <c r="D95" s="69" t="s">
        <v>1177</v>
      </c>
      <c r="E95" s="23" t="s">
        <v>684</v>
      </c>
      <c r="F95" s="23" t="s">
        <v>1177</v>
      </c>
      <c r="G95" s="69" t="s">
        <v>167</v>
      </c>
      <c r="H95" s="69" t="s">
        <v>18</v>
      </c>
      <c r="I95" s="23"/>
      <c r="J95" s="24" t="s">
        <v>708</v>
      </c>
      <c r="K95" s="24" t="str">
        <f t="shared" si="2"/>
        <v>_</v>
      </c>
      <c r="L95" s="108">
        <f>ROUND(Tableau18[[#This Row],[LEN]]*7.27,0)</f>
        <v>313</v>
      </c>
      <c r="M95" s="108">
        <v>15</v>
      </c>
      <c r="N95" s="126" t="str">
        <f t="shared" si="3"/>
        <v>_self</v>
      </c>
      <c r="O95" s="108">
        <f>LEN(Tableau18[[#This Row],[LABEL]])</f>
        <v>43</v>
      </c>
      <c r="P95" s="108">
        <v>15</v>
      </c>
      <c r="Q95" s="108" t="e">
        <f>ROUND(Tableau18[[#This Row],[LEN]]*#REF!+#REF!,0)</f>
        <v>#REF!</v>
      </c>
    </row>
    <row r="96" spans="1:17" s="97" customFormat="1" x14ac:dyDescent="0.25">
      <c r="A96" s="21" t="s">
        <v>964</v>
      </c>
      <c r="B96" s="22" t="s">
        <v>958</v>
      </c>
      <c r="C96" s="23" t="s">
        <v>85</v>
      </c>
      <c r="D96" s="69" t="s">
        <v>1177</v>
      </c>
      <c r="E96" s="23" t="s">
        <v>684</v>
      </c>
      <c r="F96" s="23" t="s">
        <v>1177</v>
      </c>
      <c r="G96" s="69" t="s">
        <v>167</v>
      </c>
      <c r="H96" s="69" t="s">
        <v>18</v>
      </c>
      <c r="I96" s="23"/>
      <c r="J96" s="24" t="s">
        <v>708</v>
      </c>
      <c r="K96" s="24" t="str">
        <f t="shared" si="2"/>
        <v>_</v>
      </c>
      <c r="L96" s="108">
        <f>ROUND(Tableau18[[#This Row],[LEN]]*7.27,0)</f>
        <v>218</v>
      </c>
      <c r="M96" s="108">
        <v>15</v>
      </c>
      <c r="N96" s="126" t="str">
        <f t="shared" si="3"/>
        <v>_self</v>
      </c>
      <c r="O96" s="108">
        <f>LEN(Tableau18[[#This Row],[LABEL]])</f>
        <v>30</v>
      </c>
      <c r="P96" s="108">
        <v>15</v>
      </c>
      <c r="Q96" s="108" t="e">
        <f>ROUND(Tableau18[[#This Row],[LEN]]*#REF!+#REF!,0)</f>
        <v>#REF!</v>
      </c>
    </row>
    <row r="97" spans="1:17" s="97" customFormat="1" x14ac:dyDescent="0.25">
      <c r="A97" s="17" t="s">
        <v>959</v>
      </c>
      <c r="B97" s="18" t="s">
        <v>234</v>
      </c>
      <c r="C97" s="19" t="s">
        <v>109</v>
      </c>
      <c r="D97" s="68" t="s">
        <v>1177</v>
      </c>
      <c r="E97" s="19" t="s">
        <v>684</v>
      </c>
      <c r="F97" s="19" t="s">
        <v>1177</v>
      </c>
      <c r="G97" s="68" t="s">
        <v>167</v>
      </c>
      <c r="H97" s="68" t="s">
        <v>656</v>
      </c>
      <c r="I97" s="19"/>
      <c r="J97" s="20" t="s">
        <v>708</v>
      </c>
      <c r="K97" s="20" t="str">
        <f t="shared" si="2"/>
        <v>_</v>
      </c>
      <c r="L97" s="107">
        <f>ROUND(Tableau18[[#This Row],[LEN]]*7.27,0)</f>
        <v>131</v>
      </c>
      <c r="M97" s="107">
        <v>15</v>
      </c>
      <c r="N97" s="125" t="str">
        <f t="shared" si="3"/>
        <v>_self</v>
      </c>
      <c r="O97" s="107">
        <f>LEN(Tableau18[[#This Row],[LABEL]])</f>
        <v>18</v>
      </c>
      <c r="P97" s="107">
        <v>15</v>
      </c>
      <c r="Q97" s="107" t="e">
        <f>ROUND(Tableau18[[#This Row],[LEN]]*#REF!+#REF!,0)</f>
        <v>#REF!</v>
      </c>
    </row>
    <row r="98" spans="1:17" s="97" customFormat="1" x14ac:dyDescent="0.25">
      <c r="A98" s="17" t="s">
        <v>960</v>
      </c>
      <c r="B98" s="18" t="s">
        <v>234</v>
      </c>
      <c r="C98" s="19" t="s">
        <v>110</v>
      </c>
      <c r="D98" s="68" t="s">
        <v>1177</v>
      </c>
      <c r="E98" s="19" t="s">
        <v>1177</v>
      </c>
      <c r="F98" s="19" t="s">
        <v>1084</v>
      </c>
      <c r="G98" s="68" t="s">
        <v>1977</v>
      </c>
      <c r="H98" s="68" t="s">
        <v>1131</v>
      </c>
      <c r="I98" s="19"/>
      <c r="J98" s="20" t="s">
        <v>708</v>
      </c>
      <c r="K98" s="20" t="str">
        <f t="shared" si="2"/>
        <v>_</v>
      </c>
      <c r="L98" s="107">
        <f>ROUND(Tableau18[[#This Row],[LEN]]*7.27,0)</f>
        <v>102</v>
      </c>
      <c r="M98" s="107">
        <v>15</v>
      </c>
      <c r="N98" s="125" t="str">
        <f t="shared" si="3"/>
        <v>_self</v>
      </c>
      <c r="O98" s="107">
        <f>LEN(Tableau18[[#This Row],[LABEL]])</f>
        <v>14</v>
      </c>
      <c r="P98" s="107">
        <v>15</v>
      </c>
      <c r="Q98" s="107" t="e">
        <f>ROUND(Tableau18[[#This Row],[LEN]]*#REF!+#REF!,0)</f>
        <v>#REF!</v>
      </c>
    </row>
    <row r="99" spans="1:17" s="273" customFormat="1" x14ac:dyDescent="0.25">
      <c r="A99" s="266" t="s">
        <v>235</v>
      </c>
      <c r="B99" s="267" t="s">
        <v>205</v>
      </c>
      <c r="C99" s="268" t="s">
        <v>80</v>
      </c>
      <c r="D99" s="269" t="s">
        <v>1177</v>
      </c>
      <c r="E99" s="268" t="s">
        <v>667</v>
      </c>
      <c r="F99" s="268" t="s">
        <v>1177</v>
      </c>
      <c r="G99" s="269" t="s">
        <v>167</v>
      </c>
      <c r="H99" s="269" t="str">
        <f>IFERROR(IF(SEARCH(".00.00.00.00.00",Tableau18[[#This Row],[name]],1)=7,"Division",""),"")</f>
        <v>Division</v>
      </c>
      <c r="I99" s="268"/>
      <c r="J99" s="270" t="s">
        <v>708</v>
      </c>
      <c r="K99" s="270" t="str">
        <f t="shared" si="2"/>
        <v>_</v>
      </c>
      <c r="L99" s="271">
        <f>ROUND(Tableau18[[#This Row],[LEN]]*7.27,0)</f>
        <v>116</v>
      </c>
      <c r="M99" s="271">
        <v>15</v>
      </c>
      <c r="N99" s="272" t="str">
        <f t="shared" si="3"/>
        <v>_self</v>
      </c>
      <c r="O99" s="271">
        <f>LEN(Tableau18[[#This Row],[LABEL]])</f>
        <v>16</v>
      </c>
      <c r="P99" s="271">
        <v>15</v>
      </c>
      <c r="Q99" s="271" t="e">
        <f>ROUND(Tableau18[[#This Row],[LEN]]*#REF!+#REF!,0)</f>
        <v>#REF!</v>
      </c>
    </row>
    <row r="100" spans="1:17" s="97" customFormat="1" x14ac:dyDescent="0.25">
      <c r="A100" s="17" t="s">
        <v>965</v>
      </c>
      <c r="B100" s="18" t="s">
        <v>235</v>
      </c>
      <c r="C100" s="19" t="s">
        <v>81</v>
      </c>
      <c r="D100" s="68" t="s">
        <v>1177</v>
      </c>
      <c r="E100" s="19" t="s">
        <v>667</v>
      </c>
      <c r="F100" s="19" t="s">
        <v>1963</v>
      </c>
      <c r="G100" s="68" t="s">
        <v>167</v>
      </c>
      <c r="H100" s="68" t="s">
        <v>655</v>
      </c>
      <c r="I100" s="19"/>
      <c r="J100" s="20" t="s">
        <v>708</v>
      </c>
      <c r="K100" s="20" t="str">
        <f t="shared" si="2"/>
        <v>_</v>
      </c>
      <c r="L100" s="107">
        <f>ROUND(Tableau18[[#This Row],[LEN]]*7.27,0)</f>
        <v>73</v>
      </c>
      <c r="M100" s="107">
        <v>15</v>
      </c>
      <c r="N100" s="125" t="str">
        <f t="shared" si="3"/>
        <v>_self</v>
      </c>
      <c r="O100" s="107">
        <f>LEN(Tableau18[[#This Row],[LABEL]])</f>
        <v>10</v>
      </c>
      <c r="P100" s="107">
        <v>15</v>
      </c>
      <c r="Q100" s="107" t="e">
        <f>ROUND(Tableau18[[#This Row],[LEN]]*#REF!+#REF!,0)</f>
        <v>#REF!</v>
      </c>
    </row>
    <row r="101" spans="1:17" s="97" customFormat="1" x14ac:dyDescent="0.25">
      <c r="A101" s="21" t="s">
        <v>974</v>
      </c>
      <c r="B101" s="22" t="s">
        <v>965</v>
      </c>
      <c r="C101" s="23" t="s">
        <v>978</v>
      </c>
      <c r="D101" s="69" t="s">
        <v>1177</v>
      </c>
      <c r="E101" s="23" t="s">
        <v>667</v>
      </c>
      <c r="F101" s="23" t="s">
        <v>1963</v>
      </c>
      <c r="G101" s="69" t="s">
        <v>167</v>
      </c>
      <c r="H101" s="69" t="s">
        <v>570</v>
      </c>
      <c r="I101" s="23"/>
      <c r="J101" s="24" t="s">
        <v>708</v>
      </c>
      <c r="K101" s="24" t="str">
        <f t="shared" si="2"/>
        <v>_</v>
      </c>
      <c r="L101" s="108">
        <f>ROUND(Tableau18[[#This Row],[LEN]]*7.27,0)</f>
        <v>87</v>
      </c>
      <c r="M101" s="108">
        <v>15</v>
      </c>
      <c r="N101" s="126" t="str">
        <f t="shared" si="3"/>
        <v>_self</v>
      </c>
      <c r="O101" s="108">
        <f>LEN(Tableau18[[#This Row],[LABEL]])</f>
        <v>12</v>
      </c>
      <c r="P101" s="108">
        <v>15</v>
      </c>
      <c r="Q101" s="108" t="e">
        <f>ROUND(Tableau18[[#This Row],[LEN]]*#REF!+#REF!,0)</f>
        <v>#REF!</v>
      </c>
    </row>
    <row r="102" spans="1:17" s="97" customFormat="1" x14ac:dyDescent="0.25">
      <c r="A102" s="21" t="s">
        <v>975</v>
      </c>
      <c r="B102" s="22" t="s">
        <v>965</v>
      </c>
      <c r="C102" s="23" t="s">
        <v>979</v>
      </c>
      <c r="D102" s="69" t="s">
        <v>1177</v>
      </c>
      <c r="E102" s="23" t="s">
        <v>667</v>
      </c>
      <c r="F102" s="23" t="s">
        <v>1963</v>
      </c>
      <c r="G102" s="69" t="s">
        <v>167</v>
      </c>
      <c r="H102" s="69" t="s">
        <v>570</v>
      </c>
      <c r="I102" s="23"/>
      <c r="J102" s="24" t="s">
        <v>708</v>
      </c>
      <c r="K102" s="24" t="str">
        <f t="shared" si="2"/>
        <v>_</v>
      </c>
      <c r="L102" s="108">
        <f>ROUND(Tableau18[[#This Row],[LEN]]*7.27,0)</f>
        <v>211</v>
      </c>
      <c r="M102" s="108">
        <v>15</v>
      </c>
      <c r="N102" s="126" t="str">
        <f t="shared" si="3"/>
        <v>_self</v>
      </c>
      <c r="O102" s="108">
        <f>LEN(Tableau18[[#This Row],[LABEL]])</f>
        <v>29</v>
      </c>
      <c r="P102" s="108">
        <v>15</v>
      </c>
      <c r="Q102" s="108" t="e">
        <f>ROUND(Tableau18[[#This Row],[LEN]]*#REF!+#REF!,0)</f>
        <v>#REF!</v>
      </c>
    </row>
    <row r="103" spans="1:17" s="97" customFormat="1" x14ac:dyDescent="0.25">
      <c r="A103" s="21" t="s">
        <v>976</v>
      </c>
      <c r="B103" s="22" t="s">
        <v>965</v>
      </c>
      <c r="C103" s="23" t="s">
        <v>980</v>
      </c>
      <c r="D103" s="69" t="s">
        <v>1177</v>
      </c>
      <c r="E103" s="23" t="s">
        <v>667</v>
      </c>
      <c r="F103" s="23" t="s">
        <v>1963</v>
      </c>
      <c r="G103" s="69" t="s">
        <v>167</v>
      </c>
      <c r="H103" s="69" t="s">
        <v>570</v>
      </c>
      <c r="I103" s="23"/>
      <c r="J103" s="24" t="s">
        <v>708</v>
      </c>
      <c r="K103" s="24" t="str">
        <f t="shared" si="2"/>
        <v>_</v>
      </c>
      <c r="L103" s="108">
        <f>ROUND(Tableau18[[#This Row],[LEN]]*7.27,0)</f>
        <v>182</v>
      </c>
      <c r="M103" s="108">
        <v>15</v>
      </c>
      <c r="N103" s="126" t="str">
        <f t="shared" si="3"/>
        <v>_self</v>
      </c>
      <c r="O103" s="108">
        <f>LEN(Tableau18[[#This Row],[LABEL]])</f>
        <v>25</v>
      </c>
      <c r="P103" s="108">
        <v>15</v>
      </c>
      <c r="Q103" s="108" t="e">
        <f>ROUND(Tableau18[[#This Row],[LEN]]*#REF!+#REF!,0)</f>
        <v>#REF!</v>
      </c>
    </row>
    <row r="104" spans="1:17" s="97" customFormat="1" x14ac:dyDescent="0.25">
      <c r="A104" s="21" t="s">
        <v>977</v>
      </c>
      <c r="B104" s="22" t="s">
        <v>965</v>
      </c>
      <c r="C104" s="23" t="s">
        <v>981</v>
      </c>
      <c r="D104" s="69" t="s">
        <v>1177</v>
      </c>
      <c r="E104" s="23" t="s">
        <v>667</v>
      </c>
      <c r="F104" s="23" t="s">
        <v>1963</v>
      </c>
      <c r="G104" s="69" t="s">
        <v>167</v>
      </c>
      <c r="H104" s="69" t="s">
        <v>570</v>
      </c>
      <c r="I104" s="23"/>
      <c r="J104" s="24" t="s">
        <v>708</v>
      </c>
      <c r="K104" s="24" t="str">
        <f t="shared" si="2"/>
        <v>_</v>
      </c>
      <c r="L104" s="108">
        <f>ROUND(Tableau18[[#This Row],[LEN]]*7.27,0)</f>
        <v>305</v>
      </c>
      <c r="M104" s="108">
        <v>15</v>
      </c>
      <c r="N104" s="126" t="str">
        <f t="shared" si="3"/>
        <v>_self</v>
      </c>
      <c r="O104" s="108">
        <f>LEN(Tableau18[[#This Row],[LABEL]])</f>
        <v>42</v>
      </c>
      <c r="P104" s="108">
        <v>15</v>
      </c>
      <c r="Q104" s="108" t="e">
        <f>ROUND(Tableau18[[#This Row],[LEN]]*#REF!+#REF!,0)</f>
        <v>#REF!</v>
      </c>
    </row>
    <row r="105" spans="1:17" s="97" customFormat="1" x14ac:dyDescent="0.25">
      <c r="A105" s="17" t="s">
        <v>966</v>
      </c>
      <c r="B105" s="18" t="s">
        <v>235</v>
      </c>
      <c r="C105" s="19" t="s">
        <v>961</v>
      </c>
      <c r="D105" s="68" t="s">
        <v>1177</v>
      </c>
      <c r="E105" s="19" t="s">
        <v>970</v>
      </c>
      <c r="F105" s="19" t="s">
        <v>1177</v>
      </c>
      <c r="G105" s="68" t="s">
        <v>167</v>
      </c>
      <c r="H105" s="68" t="s">
        <v>656</v>
      </c>
      <c r="I105" s="19"/>
      <c r="J105" s="20" t="s">
        <v>708</v>
      </c>
      <c r="K105" s="20" t="str">
        <f t="shared" si="2"/>
        <v>_</v>
      </c>
      <c r="L105" s="107">
        <f>ROUND(Tableau18[[#This Row],[LEN]]*7.27,0)</f>
        <v>305</v>
      </c>
      <c r="M105" s="107">
        <v>15</v>
      </c>
      <c r="N105" s="125" t="str">
        <f t="shared" si="3"/>
        <v>_self</v>
      </c>
      <c r="O105" s="107">
        <f>LEN(Tableau18[[#This Row],[LABEL]])</f>
        <v>42</v>
      </c>
      <c r="P105" s="107">
        <v>15</v>
      </c>
      <c r="Q105" s="107" t="e">
        <f>ROUND(Tableau18[[#This Row],[LEN]]*#REF!+#REF!,0)</f>
        <v>#REF!</v>
      </c>
    </row>
    <row r="106" spans="1:17" s="97" customFormat="1" x14ac:dyDescent="0.25">
      <c r="A106" s="17" t="s">
        <v>967</v>
      </c>
      <c r="B106" s="18" t="s">
        <v>235</v>
      </c>
      <c r="C106" s="19" t="s">
        <v>971</v>
      </c>
      <c r="D106" s="68" t="s">
        <v>1177</v>
      </c>
      <c r="E106" s="19" t="s">
        <v>667</v>
      </c>
      <c r="F106" s="19" t="s">
        <v>678</v>
      </c>
      <c r="G106" s="68" t="s">
        <v>167</v>
      </c>
      <c r="H106" s="68" t="s">
        <v>570</v>
      </c>
      <c r="I106" s="19"/>
      <c r="J106" s="20" t="s">
        <v>708</v>
      </c>
      <c r="K106" s="20" t="str">
        <f t="shared" si="2"/>
        <v>_</v>
      </c>
      <c r="L106" s="107">
        <f>ROUND(Tableau18[[#This Row],[LEN]]*7.27,0)</f>
        <v>385</v>
      </c>
      <c r="M106" s="107">
        <v>15</v>
      </c>
      <c r="N106" s="125" t="str">
        <f t="shared" si="3"/>
        <v>_self</v>
      </c>
      <c r="O106" s="107">
        <f>LEN(Tableau18[[#This Row],[LABEL]])</f>
        <v>53</v>
      </c>
      <c r="P106" s="107">
        <v>15</v>
      </c>
      <c r="Q106" s="107" t="e">
        <f>ROUND(Tableau18[[#This Row],[LEN]]*#REF!+#REF!,0)</f>
        <v>#REF!</v>
      </c>
    </row>
    <row r="107" spans="1:17" s="97" customFormat="1" x14ac:dyDescent="0.25">
      <c r="A107" s="17" t="s">
        <v>968</v>
      </c>
      <c r="B107" s="18" t="s">
        <v>235</v>
      </c>
      <c r="C107" s="19" t="s">
        <v>972</v>
      </c>
      <c r="D107" s="68" t="s">
        <v>1177</v>
      </c>
      <c r="E107" s="19" t="s">
        <v>667</v>
      </c>
      <c r="F107" s="19" t="s">
        <v>1177</v>
      </c>
      <c r="G107" s="68" t="s">
        <v>167</v>
      </c>
      <c r="H107" s="68" t="s">
        <v>18</v>
      </c>
      <c r="I107" s="19"/>
      <c r="J107" s="20" t="s">
        <v>708</v>
      </c>
      <c r="K107" s="20" t="str">
        <f t="shared" si="2"/>
        <v>_</v>
      </c>
      <c r="L107" s="107">
        <f>ROUND(Tableau18[[#This Row],[LEN]]*7.27,0)</f>
        <v>182</v>
      </c>
      <c r="M107" s="107">
        <v>15</v>
      </c>
      <c r="N107" s="125" t="str">
        <f t="shared" si="3"/>
        <v>_self</v>
      </c>
      <c r="O107" s="107">
        <f>LEN(Tableau18[[#This Row],[LABEL]])</f>
        <v>25</v>
      </c>
      <c r="P107" s="107">
        <v>15</v>
      </c>
      <c r="Q107" s="107" t="e">
        <f>ROUND(Tableau18[[#This Row],[LEN]]*#REF!+#REF!,0)</f>
        <v>#REF!</v>
      </c>
    </row>
    <row r="108" spans="1:17" s="97" customFormat="1" x14ac:dyDescent="0.25">
      <c r="A108" s="17" t="s">
        <v>969</v>
      </c>
      <c r="B108" s="18" t="s">
        <v>235</v>
      </c>
      <c r="C108" s="19" t="s">
        <v>110</v>
      </c>
      <c r="D108" s="68" t="s">
        <v>1177</v>
      </c>
      <c r="E108" s="19" t="s">
        <v>1177</v>
      </c>
      <c r="F108" s="19" t="s">
        <v>1084</v>
      </c>
      <c r="G108" s="68" t="s">
        <v>1977</v>
      </c>
      <c r="H108" s="68" t="s">
        <v>1131</v>
      </c>
      <c r="I108" s="19"/>
      <c r="J108" s="20" t="s">
        <v>708</v>
      </c>
      <c r="K108" s="20" t="str">
        <f t="shared" si="2"/>
        <v>_</v>
      </c>
      <c r="L108" s="107">
        <f>ROUND(Tableau18[[#This Row],[LEN]]*7.27,0)</f>
        <v>102</v>
      </c>
      <c r="M108" s="107">
        <v>15</v>
      </c>
      <c r="N108" s="125" t="str">
        <f t="shared" si="3"/>
        <v>_self</v>
      </c>
      <c r="O108" s="107">
        <f>LEN(Tableau18[[#This Row],[LABEL]])</f>
        <v>14</v>
      </c>
      <c r="P108" s="107">
        <v>15</v>
      </c>
      <c r="Q108" s="107" t="e">
        <f>ROUND(Tableau18[[#This Row],[LEN]]*#REF!+#REF!,0)</f>
        <v>#REF!</v>
      </c>
    </row>
    <row r="109" spans="1:17" s="273" customFormat="1" x14ac:dyDescent="0.25">
      <c r="A109" s="266" t="s">
        <v>236</v>
      </c>
      <c r="B109" s="267" t="s">
        <v>205</v>
      </c>
      <c r="C109" s="268" t="s">
        <v>5</v>
      </c>
      <c r="D109" s="269" t="s">
        <v>1177</v>
      </c>
      <c r="E109" s="268" t="s">
        <v>668</v>
      </c>
      <c r="F109" s="268" t="s">
        <v>1177</v>
      </c>
      <c r="G109" s="269" t="s">
        <v>167</v>
      </c>
      <c r="H109" s="269" t="str">
        <f>IFERROR(IF(SEARCH(".00.00.00.00.00",Tableau18[[#This Row],[name]],1)=7,"Division",""),"")</f>
        <v>Division</v>
      </c>
      <c r="I109" s="268"/>
      <c r="J109" s="270" t="s">
        <v>708</v>
      </c>
      <c r="K109" s="270" t="str">
        <f t="shared" si="2"/>
        <v>_</v>
      </c>
      <c r="L109" s="271">
        <f>ROUND(Tableau18[[#This Row],[LEN]]*7.27,0)</f>
        <v>73</v>
      </c>
      <c r="M109" s="271">
        <v>15</v>
      </c>
      <c r="N109" s="272" t="str">
        <f t="shared" si="3"/>
        <v>_self</v>
      </c>
      <c r="O109" s="271">
        <f>LEN(Tableau18[[#This Row],[LABEL]])</f>
        <v>10</v>
      </c>
      <c r="P109" s="271">
        <v>15</v>
      </c>
      <c r="Q109" s="271" t="e">
        <f>ROUND(Tableau18[[#This Row],[LEN]]*#REF!+#REF!,0)</f>
        <v>#REF!</v>
      </c>
    </row>
    <row r="110" spans="1:17" s="97" customFormat="1" x14ac:dyDescent="0.25">
      <c r="A110" s="17" t="s">
        <v>982</v>
      </c>
      <c r="B110" s="18" t="s">
        <v>236</v>
      </c>
      <c r="C110" s="19" t="s">
        <v>983</v>
      </c>
      <c r="D110" s="68" t="s">
        <v>1177</v>
      </c>
      <c r="E110" s="19" t="s">
        <v>668</v>
      </c>
      <c r="F110" s="19" t="s">
        <v>1177</v>
      </c>
      <c r="G110" s="68" t="s">
        <v>167</v>
      </c>
      <c r="H110" s="68" t="s">
        <v>18</v>
      </c>
      <c r="I110" s="19"/>
      <c r="J110" s="20" t="s">
        <v>708</v>
      </c>
      <c r="K110" s="20" t="str">
        <f t="shared" si="2"/>
        <v>_</v>
      </c>
      <c r="L110" s="107">
        <f>ROUND(Tableau18[[#This Row],[LEN]]*7.27,0)</f>
        <v>371</v>
      </c>
      <c r="M110" s="107">
        <v>15</v>
      </c>
      <c r="N110" s="125" t="str">
        <f t="shared" si="3"/>
        <v>_self</v>
      </c>
      <c r="O110" s="107">
        <f>LEN(Tableau18[[#This Row],[LABEL]])</f>
        <v>51</v>
      </c>
      <c r="P110" s="107">
        <v>15</v>
      </c>
      <c r="Q110" s="107" t="e">
        <f>ROUND(Tableau18[[#This Row],[LEN]]*#REF!+#REF!,0)</f>
        <v>#REF!</v>
      </c>
    </row>
    <row r="111" spans="1:17" s="273" customFormat="1" x14ac:dyDescent="0.25">
      <c r="A111" s="266" t="s">
        <v>237</v>
      </c>
      <c r="B111" s="267" t="s">
        <v>205</v>
      </c>
      <c r="C111" s="268" t="s">
        <v>2147</v>
      </c>
      <c r="D111" s="269" t="s">
        <v>1177</v>
      </c>
      <c r="E111" s="268" t="s">
        <v>669</v>
      </c>
      <c r="F111" s="268" t="s">
        <v>1177</v>
      </c>
      <c r="G111" s="269" t="s">
        <v>167</v>
      </c>
      <c r="H111" s="269" t="str">
        <f>IFERROR(IF(SEARCH(".00.00.00.00.00",Tableau18[[#This Row],[name]],1)=7,"Division",""),"")</f>
        <v>Division</v>
      </c>
      <c r="I111" s="268"/>
      <c r="J111" s="270" t="s">
        <v>708</v>
      </c>
      <c r="K111" s="270" t="str">
        <f t="shared" si="2"/>
        <v>_</v>
      </c>
      <c r="L111" s="271">
        <f>ROUND(Tableau18[[#This Row],[LEN]]*7.27,0)</f>
        <v>196</v>
      </c>
      <c r="M111" s="271">
        <v>15</v>
      </c>
      <c r="N111" s="272" t="str">
        <f t="shared" si="3"/>
        <v>_self</v>
      </c>
      <c r="O111" s="271">
        <f>LEN(Tableau18[[#This Row],[LABEL]])</f>
        <v>27</v>
      </c>
      <c r="P111" s="271">
        <v>15</v>
      </c>
      <c r="Q111" s="271" t="e">
        <f>ROUND(Tableau18[[#This Row],[LEN]]*#REF!+#REF!,0)</f>
        <v>#REF!</v>
      </c>
    </row>
    <row r="112" spans="1:17" s="97" customFormat="1" x14ac:dyDescent="0.25">
      <c r="A112" s="17" t="s">
        <v>382</v>
      </c>
      <c r="B112" s="18" t="s">
        <v>237</v>
      </c>
      <c r="C112" s="19" t="s">
        <v>81</v>
      </c>
      <c r="D112" s="68" t="s">
        <v>1177</v>
      </c>
      <c r="E112" s="19" t="s">
        <v>667</v>
      </c>
      <c r="F112" s="19" t="s">
        <v>702</v>
      </c>
      <c r="G112" s="68" t="s">
        <v>167</v>
      </c>
      <c r="H112" s="68" t="s">
        <v>654</v>
      </c>
      <c r="I112" s="19"/>
      <c r="J112" s="20" t="s">
        <v>708</v>
      </c>
      <c r="K112" s="20" t="str">
        <f t="shared" si="2"/>
        <v>_</v>
      </c>
      <c r="L112" s="107">
        <f>ROUND(Tableau18[[#This Row],[LEN]]*7.27,0)</f>
        <v>73</v>
      </c>
      <c r="M112" s="107">
        <v>15</v>
      </c>
      <c r="N112" s="125" t="str">
        <f t="shared" si="3"/>
        <v>_self</v>
      </c>
      <c r="O112" s="107">
        <f>LEN(Tableau18[[#This Row],[LABEL]])</f>
        <v>10</v>
      </c>
      <c r="P112" s="107">
        <v>15</v>
      </c>
      <c r="Q112" s="107" t="e">
        <f>ROUND(Tableau18[[#This Row],[LEN]]*#REF!+#REF!,0)</f>
        <v>#REF!</v>
      </c>
    </row>
    <row r="113" spans="1:17" s="97" customFormat="1" x14ac:dyDescent="0.25">
      <c r="A113" s="17" t="s">
        <v>383</v>
      </c>
      <c r="B113" s="18" t="s">
        <v>237</v>
      </c>
      <c r="C113" s="19" t="s">
        <v>136</v>
      </c>
      <c r="D113" s="68" t="s">
        <v>1177</v>
      </c>
      <c r="E113" s="19" t="s">
        <v>669</v>
      </c>
      <c r="F113" s="19" t="s">
        <v>678</v>
      </c>
      <c r="G113" s="68" t="s">
        <v>167</v>
      </c>
      <c r="H113" s="68" t="s">
        <v>656</v>
      </c>
      <c r="I113" s="19"/>
      <c r="J113" s="20" t="s">
        <v>708</v>
      </c>
      <c r="K113" s="20" t="str">
        <f t="shared" si="2"/>
        <v>_</v>
      </c>
      <c r="L113" s="107">
        <f>ROUND(Tableau18[[#This Row],[LEN]]*7.27,0)</f>
        <v>174</v>
      </c>
      <c r="M113" s="107">
        <v>15</v>
      </c>
      <c r="N113" s="125" t="str">
        <f t="shared" si="3"/>
        <v>_self</v>
      </c>
      <c r="O113" s="107">
        <f>LEN(Tableau18[[#This Row],[LABEL]])</f>
        <v>24</v>
      </c>
      <c r="P113" s="107">
        <v>15</v>
      </c>
      <c r="Q113" s="107" t="e">
        <f>ROUND(Tableau18[[#This Row],[LEN]]*#REF!+#REF!,0)</f>
        <v>#REF!</v>
      </c>
    </row>
    <row r="114" spans="1:17" s="97" customFormat="1" x14ac:dyDescent="0.25">
      <c r="A114" s="17" t="s">
        <v>384</v>
      </c>
      <c r="B114" s="18" t="s">
        <v>237</v>
      </c>
      <c r="C114" s="19" t="s">
        <v>110</v>
      </c>
      <c r="D114" s="68" t="s">
        <v>1177</v>
      </c>
      <c r="E114" s="19" t="s">
        <v>1177</v>
      </c>
      <c r="F114" s="19" t="s">
        <v>1084</v>
      </c>
      <c r="G114" s="68" t="s">
        <v>1977</v>
      </c>
      <c r="H114" s="68" t="s">
        <v>1131</v>
      </c>
      <c r="I114" s="19"/>
      <c r="J114" s="20" t="s">
        <v>708</v>
      </c>
      <c r="K114" s="20" t="str">
        <f t="shared" si="2"/>
        <v>_</v>
      </c>
      <c r="L114" s="107">
        <f>ROUND(Tableau18[[#This Row],[LEN]]*7.27,0)</f>
        <v>102</v>
      </c>
      <c r="M114" s="107">
        <v>15</v>
      </c>
      <c r="N114" s="125" t="str">
        <f t="shared" si="3"/>
        <v>_self</v>
      </c>
      <c r="O114" s="107">
        <f>LEN(Tableau18[[#This Row],[LABEL]])</f>
        <v>14</v>
      </c>
      <c r="P114" s="107">
        <v>15</v>
      </c>
      <c r="Q114" s="107" t="e">
        <f>ROUND(Tableau18[[#This Row],[LEN]]*#REF!+#REF!,0)</f>
        <v>#REF!</v>
      </c>
    </row>
    <row r="115" spans="1:17" s="273" customFormat="1" x14ac:dyDescent="0.25">
      <c r="A115" s="266" t="s">
        <v>240</v>
      </c>
      <c r="B115" s="267" t="s">
        <v>205</v>
      </c>
      <c r="C115" s="268" t="s">
        <v>9</v>
      </c>
      <c r="D115" s="269" t="s">
        <v>1177</v>
      </c>
      <c r="E115" s="268" t="s">
        <v>672</v>
      </c>
      <c r="F115" s="268" t="s">
        <v>1177</v>
      </c>
      <c r="G115" s="269" t="s">
        <v>167</v>
      </c>
      <c r="H115" s="269" t="str">
        <f>IFERROR(IF(SEARCH(".00.00.00.00.00",Tableau18[[#This Row],[name]],1)=7,"Division",""),"")</f>
        <v>Division</v>
      </c>
      <c r="I115" s="268"/>
      <c r="J115" s="270" t="s">
        <v>718</v>
      </c>
      <c r="K115" s="270" t="str">
        <f t="shared" si="2"/>
        <v>Documentation</v>
      </c>
      <c r="L115" s="271">
        <f>ROUND(Tableau18[[#This Row],[LEN]]*7.27,0)</f>
        <v>80</v>
      </c>
      <c r="M115" s="271">
        <v>15</v>
      </c>
      <c r="N115" s="272" t="str">
        <f t="shared" si="3"/>
        <v>_blank</v>
      </c>
      <c r="O115" s="271">
        <f>LEN(Tableau18[[#This Row],[LABEL]])</f>
        <v>11</v>
      </c>
      <c r="P115" s="271">
        <v>15</v>
      </c>
      <c r="Q115" s="271" t="e">
        <f>ROUND(Tableau18[[#This Row],[LEN]]*#REF!+#REF!,0)</f>
        <v>#REF!</v>
      </c>
    </row>
    <row r="116" spans="1:17" s="97" customFormat="1" x14ac:dyDescent="0.25">
      <c r="A116" s="17" t="s">
        <v>372</v>
      </c>
      <c r="B116" s="18" t="s">
        <v>240</v>
      </c>
      <c r="C116" s="19" t="s">
        <v>81</v>
      </c>
      <c r="D116" s="68" t="s">
        <v>1177</v>
      </c>
      <c r="E116" s="19" t="s">
        <v>672</v>
      </c>
      <c r="F116" s="19" t="s">
        <v>2077</v>
      </c>
      <c r="G116" s="68" t="s">
        <v>167</v>
      </c>
      <c r="H116" s="68" t="s">
        <v>655</v>
      </c>
      <c r="I116" s="19"/>
      <c r="J116" s="20" t="s">
        <v>708</v>
      </c>
      <c r="K116" s="20" t="str">
        <f t="shared" si="2"/>
        <v>_</v>
      </c>
      <c r="L116" s="107">
        <f>ROUND(Tableau18[[#This Row],[LEN]]*7.27,0)</f>
        <v>73</v>
      </c>
      <c r="M116" s="107">
        <v>15</v>
      </c>
      <c r="N116" s="125" t="str">
        <f t="shared" si="3"/>
        <v>_self</v>
      </c>
      <c r="O116" s="107">
        <f>LEN(Tableau18[[#This Row],[LABEL]])</f>
        <v>10</v>
      </c>
      <c r="P116" s="107">
        <v>15</v>
      </c>
      <c r="Q116" s="107" t="e">
        <f>ROUND(Tableau18[[#This Row],[LEN]]*#REF!+#REF!,0)</f>
        <v>#REF!</v>
      </c>
    </row>
    <row r="117" spans="1:17" s="97" customFormat="1" x14ac:dyDescent="0.25">
      <c r="A117" s="21" t="s">
        <v>385</v>
      </c>
      <c r="B117" s="22" t="s">
        <v>372</v>
      </c>
      <c r="C117" s="23" t="s">
        <v>187</v>
      </c>
      <c r="D117" s="69" t="s">
        <v>1177</v>
      </c>
      <c r="E117" s="23" t="s">
        <v>672</v>
      </c>
      <c r="F117" s="23" t="s">
        <v>2077</v>
      </c>
      <c r="G117" s="69" t="s">
        <v>167</v>
      </c>
      <c r="H117" s="69" t="s">
        <v>570</v>
      </c>
      <c r="I117" s="23"/>
      <c r="J117" s="24" t="s">
        <v>708</v>
      </c>
      <c r="K117" s="24" t="str">
        <f t="shared" si="2"/>
        <v>_</v>
      </c>
      <c r="L117" s="108">
        <f>ROUND(Tableau18[[#This Row],[LEN]]*7.27,0)</f>
        <v>305</v>
      </c>
      <c r="M117" s="108">
        <v>15</v>
      </c>
      <c r="N117" s="126" t="str">
        <f t="shared" si="3"/>
        <v>_self</v>
      </c>
      <c r="O117" s="108">
        <f>LEN(Tableau18[[#This Row],[LABEL]])</f>
        <v>42</v>
      </c>
      <c r="P117" s="108">
        <v>15</v>
      </c>
      <c r="Q117" s="108" t="e">
        <f>ROUND(Tableau18[[#This Row],[LEN]]*#REF!+#REF!,0)</f>
        <v>#REF!</v>
      </c>
    </row>
    <row r="118" spans="1:17" s="97" customFormat="1" x14ac:dyDescent="0.25">
      <c r="A118" s="21" t="s">
        <v>386</v>
      </c>
      <c r="B118" s="22" t="s">
        <v>372</v>
      </c>
      <c r="C118" s="23" t="s">
        <v>188</v>
      </c>
      <c r="D118" s="69" t="s">
        <v>1177</v>
      </c>
      <c r="E118" s="23" t="s">
        <v>672</v>
      </c>
      <c r="F118" s="23" t="s">
        <v>2077</v>
      </c>
      <c r="G118" s="69" t="s">
        <v>167</v>
      </c>
      <c r="H118" s="69" t="s">
        <v>570</v>
      </c>
      <c r="I118" s="23"/>
      <c r="J118" s="24" t="s">
        <v>708</v>
      </c>
      <c r="K118" s="24" t="str">
        <f t="shared" si="2"/>
        <v>_</v>
      </c>
      <c r="L118" s="108">
        <f>ROUND(Tableau18[[#This Row],[LEN]]*7.27,0)</f>
        <v>196</v>
      </c>
      <c r="M118" s="108">
        <v>15</v>
      </c>
      <c r="N118" s="126" t="str">
        <f t="shared" si="3"/>
        <v>_self</v>
      </c>
      <c r="O118" s="108">
        <f>LEN(Tableau18[[#This Row],[LABEL]])</f>
        <v>27</v>
      </c>
      <c r="P118" s="108">
        <v>15</v>
      </c>
      <c r="Q118" s="108" t="e">
        <f>ROUND(Tableau18[[#This Row],[LEN]]*#REF!+#REF!,0)</f>
        <v>#REF!</v>
      </c>
    </row>
    <row r="119" spans="1:17" s="97" customFormat="1" x14ac:dyDescent="0.25">
      <c r="A119" s="21" t="s">
        <v>387</v>
      </c>
      <c r="B119" s="22" t="s">
        <v>372</v>
      </c>
      <c r="C119" s="23" t="s">
        <v>189</v>
      </c>
      <c r="D119" s="69" t="s">
        <v>1177</v>
      </c>
      <c r="E119" s="23" t="s">
        <v>672</v>
      </c>
      <c r="F119" s="23" t="s">
        <v>2077</v>
      </c>
      <c r="G119" s="69" t="s">
        <v>167</v>
      </c>
      <c r="H119" s="69" t="s">
        <v>570</v>
      </c>
      <c r="I119" s="23"/>
      <c r="J119" s="24" t="s">
        <v>708</v>
      </c>
      <c r="K119" s="24" t="str">
        <f t="shared" si="2"/>
        <v>_</v>
      </c>
      <c r="L119" s="108">
        <f>ROUND(Tableau18[[#This Row],[LEN]]*7.27,0)</f>
        <v>291</v>
      </c>
      <c r="M119" s="108">
        <v>15</v>
      </c>
      <c r="N119" s="126" t="str">
        <f t="shared" si="3"/>
        <v>_self</v>
      </c>
      <c r="O119" s="108">
        <f>LEN(Tableau18[[#This Row],[LABEL]])</f>
        <v>40</v>
      </c>
      <c r="P119" s="108">
        <v>15</v>
      </c>
      <c r="Q119" s="108" t="e">
        <f>ROUND(Tableau18[[#This Row],[LEN]]*#REF!+#REF!,0)</f>
        <v>#REF!</v>
      </c>
    </row>
    <row r="120" spans="1:17" s="97" customFormat="1" x14ac:dyDescent="0.25">
      <c r="A120" s="21" t="s">
        <v>388</v>
      </c>
      <c r="B120" s="22" t="s">
        <v>372</v>
      </c>
      <c r="C120" s="23" t="s">
        <v>190</v>
      </c>
      <c r="D120" s="69" t="s">
        <v>1177</v>
      </c>
      <c r="E120" s="23" t="s">
        <v>672</v>
      </c>
      <c r="F120" s="23" t="s">
        <v>2077</v>
      </c>
      <c r="G120" s="69" t="s">
        <v>167</v>
      </c>
      <c r="H120" s="69" t="s">
        <v>570</v>
      </c>
      <c r="I120" s="23"/>
      <c r="J120" s="24" t="s">
        <v>708</v>
      </c>
      <c r="K120" s="24" t="str">
        <f t="shared" si="2"/>
        <v>_</v>
      </c>
      <c r="L120" s="108">
        <f>ROUND(Tableau18[[#This Row],[LEN]]*7.27,0)</f>
        <v>240</v>
      </c>
      <c r="M120" s="108">
        <v>15</v>
      </c>
      <c r="N120" s="126" t="str">
        <f t="shared" si="3"/>
        <v>_self</v>
      </c>
      <c r="O120" s="108">
        <f>LEN(Tableau18[[#This Row],[LABEL]])</f>
        <v>33</v>
      </c>
      <c r="P120" s="108">
        <v>15</v>
      </c>
      <c r="Q120" s="108" t="e">
        <f>ROUND(Tableau18[[#This Row],[LEN]]*#REF!+#REF!,0)</f>
        <v>#REF!</v>
      </c>
    </row>
    <row r="121" spans="1:17" s="97" customFormat="1" x14ac:dyDescent="0.25">
      <c r="A121" s="21" t="s">
        <v>389</v>
      </c>
      <c r="B121" s="22" t="s">
        <v>372</v>
      </c>
      <c r="C121" s="23" t="s">
        <v>191</v>
      </c>
      <c r="D121" s="69" t="s">
        <v>1177</v>
      </c>
      <c r="E121" s="23" t="s">
        <v>672</v>
      </c>
      <c r="F121" s="23" t="s">
        <v>2077</v>
      </c>
      <c r="G121" s="69" t="s">
        <v>167</v>
      </c>
      <c r="H121" s="69" t="s">
        <v>570</v>
      </c>
      <c r="I121" s="23"/>
      <c r="J121" s="24" t="s">
        <v>708</v>
      </c>
      <c r="K121" s="24" t="str">
        <f t="shared" si="2"/>
        <v>_</v>
      </c>
      <c r="L121" s="108">
        <f>ROUND(Tableau18[[#This Row],[LEN]]*7.27,0)</f>
        <v>233</v>
      </c>
      <c r="M121" s="108">
        <v>15</v>
      </c>
      <c r="N121" s="126" t="str">
        <f t="shared" si="3"/>
        <v>_self</v>
      </c>
      <c r="O121" s="108">
        <f>LEN(Tableau18[[#This Row],[LABEL]])</f>
        <v>32</v>
      </c>
      <c r="P121" s="108">
        <v>15</v>
      </c>
      <c r="Q121" s="108" t="e">
        <f>ROUND(Tableau18[[#This Row],[LEN]]*#REF!+#REF!,0)</f>
        <v>#REF!</v>
      </c>
    </row>
    <row r="122" spans="1:17" s="97" customFormat="1" x14ac:dyDescent="0.25">
      <c r="A122" s="21" t="s">
        <v>390</v>
      </c>
      <c r="B122" s="22" t="s">
        <v>372</v>
      </c>
      <c r="C122" s="23" t="s">
        <v>192</v>
      </c>
      <c r="D122" s="69" t="s">
        <v>1177</v>
      </c>
      <c r="E122" s="23" t="s">
        <v>672</v>
      </c>
      <c r="F122" s="23" t="s">
        <v>2077</v>
      </c>
      <c r="G122" s="69" t="s">
        <v>167</v>
      </c>
      <c r="H122" s="69" t="s">
        <v>570</v>
      </c>
      <c r="I122" s="23"/>
      <c r="J122" s="24" t="s">
        <v>708</v>
      </c>
      <c r="K122" s="24" t="str">
        <f t="shared" si="2"/>
        <v>_</v>
      </c>
      <c r="L122" s="108">
        <f>ROUND(Tableau18[[#This Row],[LEN]]*7.27,0)</f>
        <v>225</v>
      </c>
      <c r="M122" s="108">
        <v>15</v>
      </c>
      <c r="N122" s="126" t="str">
        <f t="shared" si="3"/>
        <v>_self</v>
      </c>
      <c r="O122" s="108">
        <f>LEN(Tableau18[[#This Row],[LABEL]])</f>
        <v>31</v>
      </c>
      <c r="P122" s="108">
        <v>15</v>
      </c>
      <c r="Q122" s="108" t="e">
        <f>ROUND(Tableau18[[#This Row],[LEN]]*#REF!+#REF!,0)</f>
        <v>#REF!</v>
      </c>
    </row>
    <row r="123" spans="1:17" s="97" customFormat="1" x14ac:dyDescent="0.25">
      <c r="A123" s="21" t="s">
        <v>391</v>
      </c>
      <c r="B123" s="22" t="s">
        <v>372</v>
      </c>
      <c r="C123" s="23" t="s">
        <v>193</v>
      </c>
      <c r="D123" s="69" t="s">
        <v>1177</v>
      </c>
      <c r="E123" s="23" t="s">
        <v>672</v>
      </c>
      <c r="F123" s="23" t="s">
        <v>2077</v>
      </c>
      <c r="G123" s="69" t="s">
        <v>167</v>
      </c>
      <c r="H123" s="69" t="s">
        <v>570</v>
      </c>
      <c r="I123" s="23"/>
      <c r="J123" s="24" t="s">
        <v>708</v>
      </c>
      <c r="K123" s="24" t="str">
        <f t="shared" si="2"/>
        <v>_</v>
      </c>
      <c r="L123" s="108">
        <f>ROUND(Tableau18[[#This Row],[LEN]]*7.27,0)</f>
        <v>196</v>
      </c>
      <c r="M123" s="108">
        <v>15</v>
      </c>
      <c r="N123" s="126" t="str">
        <f t="shared" si="3"/>
        <v>_self</v>
      </c>
      <c r="O123" s="108">
        <f>LEN(Tableau18[[#This Row],[LABEL]])</f>
        <v>27</v>
      </c>
      <c r="P123" s="108">
        <v>15</v>
      </c>
      <c r="Q123" s="108" t="e">
        <f>ROUND(Tableau18[[#This Row],[LEN]]*#REF!+#REF!,0)</f>
        <v>#REF!</v>
      </c>
    </row>
    <row r="124" spans="1:17" s="97" customFormat="1" x14ac:dyDescent="0.25">
      <c r="A124" s="21" t="s">
        <v>392</v>
      </c>
      <c r="B124" s="22" t="s">
        <v>372</v>
      </c>
      <c r="C124" s="23" t="s">
        <v>194</v>
      </c>
      <c r="D124" s="69" t="s">
        <v>1177</v>
      </c>
      <c r="E124" s="23" t="s">
        <v>672</v>
      </c>
      <c r="F124" s="23" t="s">
        <v>2077</v>
      </c>
      <c r="G124" s="69" t="s">
        <v>167</v>
      </c>
      <c r="H124" s="69" t="s">
        <v>570</v>
      </c>
      <c r="I124" s="23"/>
      <c r="J124" s="24" t="s">
        <v>708</v>
      </c>
      <c r="K124" s="24" t="str">
        <f t="shared" si="2"/>
        <v>_</v>
      </c>
      <c r="L124" s="108">
        <f>ROUND(Tableau18[[#This Row],[LEN]]*7.27,0)</f>
        <v>109</v>
      </c>
      <c r="M124" s="108">
        <v>15</v>
      </c>
      <c r="N124" s="126" t="str">
        <f t="shared" si="3"/>
        <v>_self</v>
      </c>
      <c r="O124" s="108">
        <f>LEN(Tableau18[[#This Row],[LABEL]])</f>
        <v>15</v>
      </c>
      <c r="P124" s="108">
        <v>15</v>
      </c>
      <c r="Q124" s="108" t="e">
        <f>ROUND(Tableau18[[#This Row],[LEN]]*#REF!+#REF!,0)</f>
        <v>#REF!</v>
      </c>
    </row>
    <row r="125" spans="1:17" s="97" customFormat="1" x14ac:dyDescent="0.25">
      <c r="A125" s="21" t="s">
        <v>393</v>
      </c>
      <c r="B125" s="22" t="s">
        <v>372</v>
      </c>
      <c r="C125" s="23" t="s">
        <v>195</v>
      </c>
      <c r="D125" s="69" t="s">
        <v>1177</v>
      </c>
      <c r="E125" s="23" t="s">
        <v>672</v>
      </c>
      <c r="F125" s="23" t="s">
        <v>2077</v>
      </c>
      <c r="G125" s="69" t="s">
        <v>167</v>
      </c>
      <c r="H125" s="69" t="s">
        <v>570</v>
      </c>
      <c r="I125" s="23"/>
      <c r="J125" s="24" t="s">
        <v>708</v>
      </c>
      <c r="K125" s="24" t="str">
        <f t="shared" si="2"/>
        <v>_</v>
      </c>
      <c r="L125" s="108">
        <f>ROUND(Tableau18[[#This Row],[LEN]]*7.27,0)</f>
        <v>240</v>
      </c>
      <c r="M125" s="108">
        <v>15</v>
      </c>
      <c r="N125" s="126" t="str">
        <f t="shared" si="3"/>
        <v>_self</v>
      </c>
      <c r="O125" s="108">
        <f>LEN(Tableau18[[#This Row],[LABEL]])</f>
        <v>33</v>
      </c>
      <c r="P125" s="108">
        <v>15</v>
      </c>
      <c r="Q125" s="108" t="e">
        <f>ROUND(Tableau18[[#This Row],[LEN]]*#REF!+#REF!,0)</f>
        <v>#REF!</v>
      </c>
    </row>
    <row r="126" spans="1:17" s="97" customFormat="1" x14ac:dyDescent="0.25">
      <c r="A126" s="21" t="s">
        <v>394</v>
      </c>
      <c r="B126" s="22" t="s">
        <v>372</v>
      </c>
      <c r="C126" s="23" t="s">
        <v>196</v>
      </c>
      <c r="D126" s="69" t="s">
        <v>1177</v>
      </c>
      <c r="E126" s="23" t="s">
        <v>672</v>
      </c>
      <c r="F126" s="23" t="s">
        <v>2077</v>
      </c>
      <c r="G126" s="69" t="s">
        <v>167</v>
      </c>
      <c r="H126" s="69" t="s">
        <v>570</v>
      </c>
      <c r="I126" s="23"/>
      <c r="J126" s="24" t="s">
        <v>708</v>
      </c>
      <c r="K126" s="24" t="str">
        <f t="shared" si="2"/>
        <v>_</v>
      </c>
      <c r="L126" s="108">
        <f>ROUND(Tableau18[[#This Row],[LEN]]*7.27,0)</f>
        <v>269</v>
      </c>
      <c r="M126" s="108">
        <v>15</v>
      </c>
      <c r="N126" s="126" t="str">
        <f t="shared" si="3"/>
        <v>_self</v>
      </c>
      <c r="O126" s="108">
        <f>LEN(Tableau18[[#This Row],[LABEL]])</f>
        <v>37</v>
      </c>
      <c r="P126" s="108">
        <v>15</v>
      </c>
      <c r="Q126" s="108" t="e">
        <f>ROUND(Tableau18[[#This Row],[LEN]]*#REF!+#REF!,0)</f>
        <v>#REF!</v>
      </c>
    </row>
    <row r="127" spans="1:17" s="97" customFormat="1" x14ac:dyDescent="0.25">
      <c r="A127" s="21" t="s">
        <v>395</v>
      </c>
      <c r="B127" s="22" t="s">
        <v>372</v>
      </c>
      <c r="C127" s="23" t="s">
        <v>197</v>
      </c>
      <c r="D127" s="69" t="s">
        <v>1177</v>
      </c>
      <c r="E127" s="23" t="s">
        <v>672</v>
      </c>
      <c r="F127" s="23" t="s">
        <v>2077</v>
      </c>
      <c r="G127" s="69" t="s">
        <v>167</v>
      </c>
      <c r="H127" s="69" t="s">
        <v>570</v>
      </c>
      <c r="I127" s="23"/>
      <c r="J127" s="24" t="s">
        <v>708</v>
      </c>
      <c r="K127" s="24" t="str">
        <f t="shared" si="2"/>
        <v>_</v>
      </c>
      <c r="L127" s="108">
        <f>ROUND(Tableau18[[#This Row],[LEN]]*7.27,0)</f>
        <v>196</v>
      </c>
      <c r="M127" s="108">
        <v>15</v>
      </c>
      <c r="N127" s="126" t="str">
        <f t="shared" si="3"/>
        <v>_self</v>
      </c>
      <c r="O127" s="108">
        <f>LEN(Tableau18[[#This Row],[LABEL]])</f>
        <v>27</v>
      </c>
      <c r="P127" s="108">
        <v>15</v>
      </c>
      <c r="Q127" s="108" t="e">
        <f>ROUND(Tableau18[[#This Row],[LEN]]*#REF!+#REF!,0)</f>
        <v>#REF!</v>
      </c>
    </row>
    <row r="128" spans="1:17" s="97" customFormat="1" x14ac:dyDescent="0.25">
      <c r="A128" s="17" t="s">
        <v>470</v>
      </c>
      <c r="B128" s="18" t="s">
        <v>240</v>
      </c>
      <c r="C128" s="19" t="s">
        <v>110</v>
      </c>
      <c r="D128" s="68" t="s">
        <v>1177</v>
      </c>
      <c r="E128" s="19" t="s">
        <v>1177</v>
      </c>
      <c r="F128" s="19" t="s">
        <v>1084</v>
      </c>
      <c r="G128" s="68" t="s">
        <v>1977</v>
      </c>
      <c r="H128" s="68" t="s">
        <v>1131</v>
      </c>
      <c r="I128" s="19"/>
      <c r="J128" s="20" t="s">
        <v>708</v>
      </c>
      <c r="K128" s="20" t="str">
        <f t="shared" si="2"/>
        <v>_</v>
      </c>
      <c r="L128" s="107">
        <f>ROUND(Tableau18[[#This Row],[LEN]]*7.27,0)</f>
        <v>102</v>
      </c>
      <c r="M128" s="107">
        <v>15</v>
      </c>
      <c r="N128" s="125" t="str">
        <f t="shared" si="3"/>
        <v>_self</v>
      </c>
      <c r="O128" s="107">
        <f>LEN(Tableau18[[#This Row],[LABEL]])</f>
        <v>14</v>
      </c>
      <c r="P128" s="107">
        <v>15</v>
      </c>
      <c r="Q128" s="107" t="e">
        <f>ROUND(Tableau18[[#This Row],[LEN]]*#REF!+#REF!,0)</f>
        <v>#REF!</v>
      </c>
    </row>
    <row r="129" spans="1:17" s="273" customFormat="1" x14ac:dyDescent="0.25">
      <c r="A129" s="266" t="s">
        <v>241</v>
      </c>
      <c r="B129" s="267" t="s">
        <v>205</v>
      </c>
      <c r="C129" s="268" t="s">
        <v>10</v>
      </c>
      <c r="D129" s="269" t="s">
        <v>1177</v>
      </c>
      <c r="E129" s="268" t="s">
        <v>673</v>
      </c>
      <c r="F129" s="268" t="s">
        <v>1177</v>
      </c>
      <c r="G129" s="269" t="s">
        <v>167</v>
      </c>
      <c r="H129" s="269" t="str">
        <f>IFERROR(IF(SEARCH(".00.00.00.00.00",Tableau18[[#This Row],[name]],1)=7,"Division",""),"")</f>
        <v>Division</v>
      </c>
      <c r="I129" s="268"/>
      <c r="J129" s="270" t="s">
        <v>719</v>
      </c>
      <c r="K129" s="270" t="str">
        <f t="shared" si="2"/>
        <v>Documentation</v>
      </c>
      <c r="L129" s="271">
        <f>ROUND(Tableau18[[#This Row],[LEN]]*7.27,0)</f>
        <v>109</v>
      </c>
      <c r="M129" s="271">
        <v>15</v>
      </c>
      <c r="N129" s="272" t="str">
        <f t="shared" si="3"/>
        <v>_blank</v>
      </c>
      <c r="O129" s="271">
        <f>LEN(Tableau18[[#This Row],[LABEL]])</f>
        <v>15</v>
      </c>
      <c r="P129" s="271">
        <v>15</v>
      </c>
      <c r="Q129" s="271" t="e">
        <f>ROUND(Tableau18[[#This Row],[LEN]]*#REF!+#REF!,0)</f>
        <v>#REF!</v>
      </c>
    </row>
    <row r="130" spans="1:17" s="97" customFormat="1" x14ac:dyDescent="0.25">
      <c r="A130" s="17" t="s">
        <v>984</v>
      </c>
      <c r="B130" s="18" t="s">
        <v>241</v>
      </c>
      <c r="C130" s="19" t="s">
        <v>81</v>
      </c>
      <c r="D130" s="68" t="s">
        <v>1177</v>
      </c>
      <c r="E130" s="19" t="s">
        <v>667</v>
      </c>
      <c r="F130" s="19" t="s">
        <v>2078</v>
      </c>
      <c r="G130" s="68" t="s">
        <v>167</v>
      </c>
      <c r="H130" s="68" t="s">
        <v>655</v>
      </c>
      <c r="I130" s="19"/>
      <c r="J130" s="20" t="s">
        <v>708</v>
      </c>
      <c r="K130" s="20" t="str">
        <f t="shared" ref="K130:K193" si="4">IF(J130="javascript:void(0)","_","Documentation")</f>
        <v>_</v>
      </c>
      <c r="L130" s="107">
        <f>ROUND(Tableau18[[#This Row],[LEN]]*7.27,0)</f>
        <v>73</v>
      </c>
      <c r="M130" s="107">
        <v>15</v>
      </c>
      <c r="N130" s="125" t="str">
        <f t="shared" si="3"/>
        <v>_self</v>
      </c>
      <c r="O130" s="107">
        <f>LEN(Tableau18[[#This Row],[LABEL]])</f>
        <v>10</v>
      </c>
      <c r="P130" s="107">
        <v>15</v>
      </c>
      <c r="Q130" s="107" t="e">
        <f>ROUND(Tableau18[[#This Row],[LEN]]*#REF!+#REF!,0)</f>
        <v>#REF!</v>
      </c>
    </row>
    <row r="131" spans="1:17" s="97" customFormat="1" x14ac:dyDescent="0.25">
      <c r="A131" s="21" t="s">
        <v>987</v>
      </c>
      <c r="B131" s="22" t="s">
        <v>984</v>
      </c>
      <c r="C131" s="23" t="s">
        <v>992</v>
      </c>
      <c r="D131" s="69" t="s">
        <v>1177</v>
      </c>
      <c r="E131" s="23" t="s">
        <v>667</v>
      </c>
      <c r="F131" s="23" t="s">
        <v>2078</v>
      </c>
      <c r="G131" s="69" t="s">
        <v>167</v>
      </c>
      <c r="H131" s="69" t="s">
        <v>570</v>
      </c>
      <c r="I131" s="23"/>
      <c r="J131" s="24" t="s">
        <v>708</v>
      </c>
      <c r="K131" s="24" t="str">
        <f t="shared" si="4"/>
        <v>_</v>
      </c>
      <c r="L131" s="108">
        <f>ROUND(Tableau18[[#This Row],[LEN]]*7.27,0)</f>
        <v>138</v>
      </c>
      <c r="M131" s="108">
        <v>15</v>
      </c>
      <c r="N131" s="126" t="str">
        <f t="shared" ref="N131:N194" si="5">IF(J131="javascript:void(0)","_self","_blank")</f>
        <v>_self</v>
      </c>
      <c r="O131" s="108">
        <f>LEN(Tableau18[[#This Row],[LABEL]])</f>
        <v>19</v>
      </c>
      <c r="P131" s="108">
        <v>15</v>
      </c>
      <c r="Q131" s="108" t="e">
        <f>ROUND(Tableau18[[#This Row],[LEN]]*#REF!+#REF!,0)</f>
        <v>#REF!</v>
      </c>
    </row>
    <row r="132" spans="1:17" s="97" customFormat="1" x14ac:dyDescent="0.25">
      <c r="A132" s="21" t="s">
        <v>988</v>
      </c>
      <c r="B132" s="22" t="s">
        <v>984</v>
      </c>
      <c r="C132" s="23" t="s">
        <v>993</v>
      </c>
      <c r="D132" s="69" t="s">
        <v>1177</v>
      </c>
      <c r="E132" s="23" t="s">
        <v>667</v>
      </c>
      <c r="F132" s="23" t="s">
        <v>2078</v>
      </c>
      <c r="G132" s="69" t="s">
        <v>167</v>
      </c>
      <c r="H132" s="69" t="s">
        <v>570</v>
      </c>
      <c r="I132" s="23"/>
      <c r="J132" s="24" t="s">
        <v>708</v>
      </c>
      <c r="K132" s="24" t="str">
        <f t="shared" si="4"/>
        <v>_</v>
      </c>
      <c r="L132" s="108">
        <f>ROUND(Tableau18[[#This Row],[LEN]]*7.27,0)</f>
        <v>225</v>
      </c>
      <c r="M132" s="108">
        <v>15</v>
      </c>
      <c r="N132" s="126" t="str">
        <f t="shared" si="5"/>
        <v>_self</v>
      </c>
      <c r="O132" s="108">
        <f>LEN(Tableau18[[#This Row],[LABEL]])</f>
        <v>31</v>
      </c>
      <c r="P132" s="108">
        <v>15</v>
      </c>
      <c r="Q132" s="108" t="e">
        <f>ROUND(Tableau18[[#This Row],[LEN]]*#REF!+#REF!,0)</f>
        <v>#REF!</v>
      </c>
    </row>
    <row r="133" spans="1:17" s="97" customFormat="1" x14ac:dyDescent="0.25">
      <c r="A133" s="21" t="s">
        <v>989</v>
      </c>
      <c r="B133" s="22" t="s">
        <v>984</v>
      </c>
      <c r="C133" s="23" t="s">
        <v>994</v>
      </c>
      <c r="D133" s="69" t="s">
        <v>1177</v>
      </c>
      <c r="E133" s="23" t="s">
        <v>667</v>
      </c>
      <c r="F133" s="23" t="s">
        <v>2078</v>
      </c>
      <c r="G133" s="69" t="s">
        <v>167</v>
      </c>
      <c r="H133" s="69" t="s">
        <v>570</v>
      </c>
      <c r="I133" s="23"/>
      <c r="J133" s="24" t="s">
        <v>708</v>
      </c>
      <c r="K133" s="24" t="str">
        <f t="shared" si="4"/>
        <v>_</v>
      </c>
      <c r="L133" s="108">
        <f>ROUND(Tableau18[[#This Row],[LEN]]*7.27,0)</f>
        <v>153</v>
      </c>
      <c r="M133" s="108">
        <v>15</v>
      </c>
      <c r="N133" s="126" t="str">
        <f t="shared" si="5"/>
        <v>_self</v>
      </c>
      <c r="O133" s="108">
        <f>LEN(Tableau18[[#This Row],[LABEL]])</f>
        <v>21</v>
      </c>
      <c r="P133" s="108">
        <v>15</v>
      </c>
      <c r="Q133" s="108" t="e">
        <f>ROUND(Tableau18[[#This Row],[LEN]]*#REF!+#REF!,0)</f>
        <v>#REF!</v>
      </c>
    </row>
    <row r="134" spans="1:17" s="97" customFormat="1" x14ac:dyDescent="0.25">
      <c r="A134" s="21" t="s">
        <v>990</v>
      </c>
      <c r="B134" s="22" t="s">
        <v>984</v>
      </c>
      <c r="C134" s="23" t="s">
        <v>995</v>
      </c>
      <c r="D134" s="69" t="s">
        <v>1177</v>
      </c>
      <c r="E134" s="23" t="s">
        <v>667</v>
      </c>
      <c r="F134" s="23" t="s">
        <v>2078</v>
      </c>
      <c r="G134" s="69" t="s">
        <v>167</v>
      </c>
      <c r="H134" s="69" t="s">
        <v>570</v>
      </c>
      <c r="I134" s="23"/>
      <c r="J134" s="24" t="s">
        <v>708</v>
      </c>
      <c r="K134" s="24" t="str">
        <f t="shared" si="4"/>
        <v>_</v>
      </c>
      <c r="L134" s="108">
        <f>ROUND(Tableau18[[#This Row],[LEN]]*7.27,0)</f>
        <v>327</v>
      </c>
      <c r="M134" s="108">
        <v>15</v>
      </c>
      <c r="N134" s="126" t="str">
        <f t="shared" si="5"/>
        <v>_self</v>
      </c>
      <c r="O134" s="108">
        <f>LEN(Tableau18[[#This Row],[LABEL]])</f>
        <v>45</v>
      </c>
      <c r="P134" s="108">
        <v>15</v>
      </c>
      <c r="Q134" s="108" t="e">
        <f>ROUND(Tableau18[[#This Row],[LEN]]*#REF!+#REF!,0)</f>
        <v>#REF!</v>
      </c>
    </row>
    <row r="135" spans="1:17" s="97" customFormat="1" x14ac:dyDescent="0.25">
      <c r="A135" s="21" t="s">
        <v>991</v>
      </c>
      <c r="B135" s="22" t="s">
        <v>984</v>
      </c>
      <c r="C135" s="23" t="s">
        <v>996</v>
      </c>
      <c r="D135" s="69" t="s">
        <v>1177</v>
      </c>
      <c r="E135" s="23" t="s">
        <v>667</v>
      </c>
      <c r="F135" s="23" t="s">
        <v>2078</v>
      </c>
      <c r="G135" s="69" t="s">
        <v>167</v>
      </c>
      <c r="H135" s="69" t="s">
        <v>570</v>
      </c>
      <c r="I135" s="23"/>
      <c r="J135" s="24" t="s">
        <v>708</v>
      </c>
      <c r="K135" s="24" t="str">
        <f t="shared" si="4"/>
        <v>_</v>
      </c>
      <c r="L135" s="108">
        <f>ROUND(Tableau18[[#This Row],[LEN]]*7.27,0)</f>
        <v>211</v>
      </c>
      <c r="M135" s="108">
        <v>15</v>
      </c>
      <c r="N135" s="126" t="str">
        <f t="shared" si="5"/>
        <v>_self</v>
      </c>
      <c r="O135" s="108">
        <f>LEN(Tableau18[[#This Row],[LABEL]])</f>
        <v>29</v>
      </c>
      <c r="P135" s="108">
        <v>15</v>
      </c>
      <c r="Q135" s="108" t="e">
        <f>ROUND(Tableau18[[#This Row],[LEN]]*#REF!+#REF!,0)</f>
        <v>#REF!</v>
      </c>
    </row>
    <row r="136" spans="1:17" s="97" customFormat="1" x14ac:dyDescent="0.25">
      <c r="A136" s="17" t="s">
        <v>985</v>
      </c>
      <c r="B136" s="18" t="s">
        <v>241</v>
      </c>
      <c r="C136" s="19" t="s">
        <v>110</v>
      </c>
      <c r="D136" s="68" t="s">
        <v>1177</v>
      </c>
      <c r="E136" s="19" t="s">
        <v>1177</v>
      </c>
      <c r="F136" s="19" t="s">
        <v>1084</v>
      </c>
      <c r="G136" s="68" t="s">
        <v>1977</v>
      </c>
      <c r="H136" s="68" t="s">
        <v>1131</v>
      </c>
      <c r="I136" s="19"/>
      <c r="J136" s="20" t="s">
        <v>708</v>
      </c>
      <c r="K136" s="20" t="str">
        <f t="shared" si="4"/>
        <v>_</v>
      </c>
      <c r="L136" s="107">
        <f>ROUND(Tableau18[[#This Row],[LEN]]*7.27,0)</f>
        <v>102</v>
      </c>
      <c r="M136" s="107">
        <v>15</v>
      </c>
      <c r="N136" s="125" t="str">
        <f t="shared" si="5"/>
        <v>_self</v>
      </c>
      <c r="O136" s="107">
        <f>LEN(Tableau18[[#This Row],[LABEL]])</f>
        <v>14</v>
      </c>
      <c r="P136" s="107">
        <v>15</v>
      </c>
      <c r="Q136" s="107" t="e">
        <f>ROUND(Tableau18[[#This Row],[LEN]]*#REF!+#REF!,0)</f>
        <v>#REF!</v>
      </c>
    </row>
    <row r="137" spans="1:17" s="273" customFormat="1" x14ac:dyDescent="0.25">
      <c r="A137" s="266" t="s">
        <v>242</v>
      </c>
      <c r="B137" s="267" t="s">
        <v>205</v>
      </c>
      <c r="C137" s="268" t="s">
        <v>11</v>
      </c>
      <c r="D137" s="269" t="s">
        <v>1177</v>
      </c>
      <c r="E137" s="268" t="s">
        <v>674</v>
      </c>
      <c r="F137" s="268" t="s">
        <v>1177</v>
      </c>
      <c r="G137" s="269" t="s">
        <v>167</v>
      </c>
      <c r="H137" s="269" t="str">
        <f>IFERROR(IF(SEARCH(".00.00.00.00.00",Tableau18[[#This Row],[name]],1)=7,"Division",""),"")</f>
        <v>Division</v>
      </c>
      <c r="I137" s="268"/>
      <c r="J137" s="270" t="s">
        <v>720</v>
      </c>
      <c r="K137" s="270" t="str">
        <f t="shared" si="4"/>
        <v>Documentation</v>
      </c>
      <c r="L137" s="271">
        <f>ROUND(Tableau18[[#This Row],[LEN]]*7.27,0)</f>
        <v>51</v>
      </c>
      <c r="M137" s="271">
        <v>15</v>
      </c>
      <c r="N137" s="272" t="str">
        <f t="shared" si="5"/>
        <v>_blank</v>
      </c>
      <c r="O137" s="271">
        <f>LEN(Tableau18[[#This Row],[LABEL]])</f>
        <v>7</v>
      </c>
      <c r="P137" s="271">
        <v>15</v>
      </c>
      <c r="Q137" s="271" t="e">
        <f>ROUND(Tableau18[[#This Row],[LEN]]*#REF!+#REF!,0)</f>
        <v>#REF!</v>
      </c>
    </row>
    <row r="138" spans="1:17" s="97" customFormat="1" x14ac:dyDescent="0.25">
      <c r="A138" s="17" t="s">
        <v>997</v>
      </c>
      <c r="B138" s="18" t="s">
        <v>242</v>
      </c>
      <c r="C138" s="19" t="s">
        <v>2089</v>
      </c>
      <c r="D138" s="68" t="s">
        <v>1177</v>
      </c>
      <c r="E138" s="19" t="s">
        <v>667</v>
      </c>
      <c r="F138" s="19" t="s">
        <v>2079</v>
      </c>
      <c r="G138" s="68" t="s">
        <v>167</v>
      </c>
      <c r="H138" s="68" t="s">
        <v>655</v>
      </c>
      <c r="I138" s="19"/>
      <c r="J138" s="20" t="s">
        <v>708</v>
      </c>
      <c r="K138" s="20" t="str">
        <f t="shared" si="4"/>
        <v>_</v>
      </c>
      <c r="L138" s="107">
        <f>ROUND(Tableau18[[#This Row],[LEN]]*7.27,0)</f>
        <v>276</v>
      </c>
      <c r="M138" s="107">
        <v>15</v>
      </c>
      <c r="N138" s="125" t="str">
        <f t="shared" si="5"/>
        <v>_self</v>
      </c>
      <c r="O138" s="107">
        <f>LEN(Tableau18[[#This Row],[LABEL]])</f>
        <v>38</v>
      </c>
      <c r="P138" s="107">
        <v>15</v>
      </c>
      <c r="Q138" s="107" t="e">
        <f>ROUND(Tableau18[[#This Row],[LEN]]*#REF!+#REF!,0)</f>
        <v>#REF!</v>
      </c>
    </row>
    <row r="139" spans="1:17" s="97" customFormat="1" x14ac:dyDescent="0.25">
      <c r="A139" s="17" t="s">
        <v>998</v>
      </c>
      <c r="B139" s="18" t="s">
        <v>242</v>
      </c>
      <c r="C139" s="19" t="s">
        <v>1001</v>
      </c>
      <c r="D139" s="68" t="s">
        <v>1177</v>
      </c>
      <c r="E139" s="19" t="s">
        <v>1177</v>
      </c>
      <c r="F139" s="19" t="s">
        <v>1084</v>
      </c>
      <c r="G139" s="68" t="s">
        <v>1977</v>
      </c>
      <c r="H139" s="68" t="s">
        <v>1131</v>
      </c>
      <c r="I139" s="19"/>
      <c r="J139" s="20" t="s">
        <v>708</v>
      </c>
      <c r="K139" s="20" t="str">
        <f t="shared" si="4"/>
        <v>_</v>
      </c>
      <c r="L139" s="107">
        <f>ROUND(Tableau18[[#This Row],[LEN]]*7.27,0)</f>
        <v>174</v>
      </c>
      <c r="M139" s="107">
        <v>15</v>
      </c>
      <c r="N139" s="125" t="str">
        <f t="shared" si="5"/>
        <v>_self</v>
      </c>
      <c r="O139" s="107">
        <f>LEN(Tableau18[[#This Row],[LABEL]])</f>
        <v>24</v>
      </c>
      <c r="P139" s="107">
        <v>15</v>
      </c>
      <c r="Q139" s="107" t="e">
        <f>ROUND(Tableau18[[#This Row],[LEN]]*#REF!+#REF!,0)</f>
        <v>#REF!</v>
      </c>
    </row>
    <row r="140" spans="1:17" s="273" customFormat="1" x14ac:dyDescent="0.25">
      <c r="A140" s="266" t="s">
        <v>243</v>
      </c>
      <c r="B140" s="267" t="s">
        <v>205</v>
      </c>
      <c r="C140" s="268" t="s">
        <v>12</v>
      </c>
      <c r="D140" s="269" t="s">
        <v>1177</v>
      </c>
      <c r="E140" s="268" t="s">
        <v>675</v>
      </c>
      <c r="F140" s="268" t="s">
        <v>1177</v>
      </c>
      <c r="G140" s="269" t="s">
        <v>167</v>
      </c>
      <c r="H140" s="269" t="str">
        <f>IFERROR(IF(SEARCH(".00.00.00.00.00",Tableau18[[#This Row],[name]],1)=7,"Division",""),"")</f>
        <v>Division</v>
      </c>
      <c r="I140" s="268"/>
      <c r="J140" s="270" t="s">
        <v>721</v>
      </c>
      <c r="K140" s="270" t="str">
        <f t="shared" si="4"/>
        <v>Documentation</v>
      </c>
      <c r="L140" s="271">
        <f>ROUND(Tableau18[[#This Row],[LEN]]*7.27,0)</f>
        <v>15</v>
      </c>
      <c r="M140" s="271">
        <v>15</v>
      </c>
      <c r="N140" s="272" t="str">
        <f t="shared" si="5"/>
        <v>_blank</v>
      </c>
      <c r="O140" s="271">
        <f>LEN(Tableau18[[#This Row],[LABEL]])</f>
        <v>2</v>
      </c>
      <c r="P140" s="271">
        <v>15</v>
      </c>
      <c r="Q140" s="271" t="e">
        <f>ROUND(Tableau18[[#This Row],[LEN]]*#REF!+#REF!,0)</f>
        <v>#REF!</v>
      </c>
    </row>
    <row r="141" spans="1:17" s="97" customFormat="1" x14ac:dyDescent="0.25">
      <c r="A141" s="17" t="s">
        <v>1004</v>
      </c>
      <c r="B141" s="18" t="s">
        <v>243</v>
      </c>
      <c r="C141" s="19" t="s">
        <v>1007</v>
      </c>
      <c r="D141" s="68" t="s">
        <v>1177</v>
      </c>
      <c r="E141" s="19" t="s">
        <v>675</v>
      </c>
      <c r="F141" s="19" t="s">
        <v>1177</v>
      </c>
      <c r="G141" s="68" t="s">
        <v>167</v>
      </c>
      <c r="H141" s="68" t="s">
        <v>655</v>
      </c>
      <c r="I141" s="19"/>
      <c r="J141" s="20" t="s">
        <v>708</v>
      </c>
      <c r="K141" s="20" t="str">
        <f t="shared" si="4"/>
        <v>_</v>
      </c>
      <c r="L141" s="107">
        <f>ROUND(Tableau18[[#This Row],[LEN]]*7.27,0)</f>
        <v>305</v>
      </c>
      <c r="M141" s="107">
        <v>15</v>
      </c>
      <c r="N141" s="125" t="str">
        <f t="shared" si="5"/>
        <v>_self</v>
      </c>
      <c r="O141" s="107">
        <f>LEN(Tableau18[[#This Row],[LABEL]])</f>
        <v>42</v>
      </c>
      <c r="P141" s="107">
        <v>15</v>
      </c>
      <c r="Q141" s="107" t="e">
        <f>ROUND(Tableau18[[#This Row],[LEN]]*#REF!+#REF!,0)</f>
        <v>#REF!</v>
      </c>
    </row>
    <row r="142" spans="1:17" s="97" customFormat="1" x14ac:dyDescent="0.25">
      <c r="A142" s="21" t="s">
        <v>1009</v>
      </c>
      <c r="B142" s="22" t="s">
        <v>1004</v>
      </c>
      <c r="C142" s="23" t="s">
        <v>1012</v>
      </c>
      <c r="D142" s="69" t="s">
        <v>1177</v>
      </c>
      <c r="E142" s="23" t="s">
        <v>675</v>
      </c>
      <c r="F142" s="23" t="s">
        <v>1177</v>
      </c>
      <c r="G142" s="69" t="s">
        <v>167</v>
      </c>
      <c r="H142" s="69" t="s">
        <v>656</v>
      </c>
      <c r="I142" s="23"/>
      <c r="J142" s="24" t="s">
        <v>708</v>
      </c>
      <c r="K142" s="24" t="str">
        <f t="shared" si="4"/>
        <v>_</v>
      </c>
      <c r="L142" s="108">
        <f>ROUND(Tableau18[[#This Row],[LEN]]*7.27,0)</f>
        <v>276</v>
      </c>
      <c r="M142" s="108">
        <v>15</v>
      </c>
      <c r="N142" s="126" t="str">
        <f t="shared" si="5"/>
        <v>_self</v>
      </c>
      <c r="O142" s="108">
        <f>LEN(Tableau18[[#This Row],[LABEL]])</f>
        <v>38</v>
      </c>
      <c r="P142" s="108">
        <v>15</v>
      </c>
      <c r="Q142" s="108" t="e">
        <f>ROUND(Tableau18[[#This Row],[LEN]]*#REF!+#REF!,0)</f>
        <v>#REF!</v>
      </c>
    </row>
    <row r="143" spans="1:17" s="97" customFormat="1" x14ac:dyDescent="0.25">
      <c r="A143" s="21" t="s">
        <v>1010</v>
      </c>
      <c r="B143" s="22" t="s">
        <v>1004</v>
      </c>
      <c r="C143" s="23" t="s">
        <v>1013</v>
      </c>
      <c r="D143" s="69" t="s">
        <v>1177</v>
      </c>
      <c r="E143" s="23" t="s">
        <v>675</v>
      </c>
      <c r="F143" s="23" t="s">
        <v>1177</v>
      </c>
      <c r="G143" s="69" t="s">
        <v>167</v>
      </c>
      <c r="H143" s="69" t="s">
        <v>656</v>
      </c>
      <c r="I143" s="23"/>
      <c r="J143" s="24" t="s">
        <v>708</v>
      </c>
      <c r="K143" s="24" t="str">
        <f t="shared" si="4"/>
        <v>_</v>
      </c>
      <c r="L143" s="108">
        <f>ROUND(Tableau18[[#This Row],[LEN]]*7.27,0)</f>
        <v>284</v>
      </c>
      <c r="M143" s="108">
        <v>15</v>
      </c>
      <c r="N143" s="126" t="str">
        <f t="shared" si="5"/>
        <v>_self</v>
      </c>
      <c r="O143" s="108">
        <f>LEN(Tableau18[[#This Row],[LABEL]])</f>
        <v>39</v>
      </c>
      <c r="P143" s="108">
        <v>15</v>
      </c>
      <c r="Q143" s="108" t="e">
        <f>ROUND(Tableau18[[#This Row],[LEN]]*#REF!+#REF!,0)</f>
        <v>#REF!</v>
      </c>
    </row>
    <row r="144" spans="1:17" s="97" customFormat="1" x14ac:dyDescent="0.25">
      <c r="A144" s="21" t="s">
        <v>1011</v>
      </c>
      <c r="B144" s="22" t="s">
        <v>1004</v>
      </c>
      <c r="C144" s="23" t="s">
        <v>1014</v>
      </c>
      <c r="D144" s="69" t="s">
        <v>1177</v>
      </c>
      <c r="E144" s="23" t="s">
        <v>675</v>
      </c>
      <c r="F144" s="23" t="s">
        <v>1177</v>
      </c>
      <c r="G144" s="69" t="s">
        <v>167</v>
      </c>
      <c r="H144" s="69" t="s">
        <v>656</v>
      </c>
      <c r="I144" s="23"/>
      <c r="J144" s="24" t="s">
        <v>708</v>
      </c>
      <c r="K144" s="24" t="str">
        <f t="shared" si="4"/>
        <v>_</v>
      </c>
      <c r="L144" s="108">
        <f>ROUND(Tableau18[[#This Row],[LEN]]*7.27,0)</f>
        <v>327</v>
      </c>
      <c r="M144" s="108">
        <v>15</v>
      </c>
      <c r="N144" s="126" t="str">
        <f t="shared" si="5"/>
        <v>_self</v>
      </c>
      <c r="O144" s="108">
        <f>LEN(Tableau18[[#This Row],[LABEL]])</f>
        <v>45</v>
      </c>
      <c r="P144" s="108">
        <v>15</v>
      </c>
      <c r="Q144" s="108" t="e">
        <f>ROUND(Tableau18[[#This Row],[LEN]]*#REF!+#REF!,0)</f>
        <v>#REF!</v>
      </c>
    </row>
    <row r="145" spans="1:17" s="97" customFormat="1" x14ac:dyDescent="0.25">
      <c r="A145" s="17" t="s">
        <v>1005</v>
      </c>
      <c r="B145" s="18" t="s">
        <v>243</v>
      </c>
      <c r="C145" s="19" t="s">
        <v>1008</v>
      </c>
      <c r="D145" s="68" t="s">
        <v>1177</v>
      </c>
      <c r="E145" s="19" t="s">
        <v>675</v>
      </c>
      <c r="F145" s="19" t="s">
        <v>1177</v>
      </c>
      <c r="G145" s="68" t="s">
        <v>167</v>
      </c>
      <c r="H145" s="68" t="s">
        <v>654</v>
      </c>
      <c r="I145" s="19"/>
      <c r="J145" s="20" t="s">
        <v>708</v>
      </c>
      <c r="K145" s="20" t="str">
        <f t="shared" si="4"/>
        <v>_</v>
      </c>
      <c r="L145" s="107">
        <f>ROUND(Tableau18[[#This Row],[LEN]]*7.27,0)</f>
        <v>305</v>
      </c>
      <c r="M145" s="107">
        <v>15</v>
      </c>
      <c r="N145" s="125" t="str">
        <f t="shared" si="5"/>
        <v>_self</v>
      </c>
      <c r="O145" s="107">
        <f>LEN(Tableau18[[#This Row],[LABEL]])</f>
        <v>42</v>
      </c>
      <c r="P145" s="107">
        <v>15</v>
      </c>
      <c r="Q145" s="107" t="e">
        <f>ROUND(Tableau18[[#This Row],[LEN]]*#REF!+#REF!,0)</f>
        <v>#REF!</v>
      </c>
    </row>
    <row r="146" spans="1:17" s="97" customFormat="1" x14ac:dyDescent="0.25">
      <c r="A146" s="17" t="s">
        <v>1006</v>
      </c>
      <c r="B146" s="18" t="s">
        <v>243</v>
      </c>
      <c r="C146" s="19" t="s">
        <v>110</v>
      </c>
      <c r="D146" s="68" t="s">
        <v>1177</v>
      </c>
      <c r="E146" s="19" t="s">
        <v>1177</v>
      </c>
      <c r="F146" s="19" t="s">
        <v>1084</v>
      </c>
      <c r="G146" s="68" t="s">
        <v>1977</v>
      </c>
      <c r="H146" s="68" t="s">
        <v>1131</v>
      </c>
      <c r="I146" s="19"/>
      <c r="J146" s="20" t="s">
        <v>708</v>
      </c>
      <c r="K146" s="20" t="str">
        <f t="shared" si="4"/>
        <v>_</v>
      </c>
      <c r="L146" s="107">
        <f>ROUND(Tableau18[[#This Row],[LEN]]*7.27,0)</f>
        <v>102</v>
      </c>
      <c r="M146" s="107">
        <v>15</v>
      </c>
      <c r="N146" s="125" t="str">
        <f t="shared" si="5"/>
        <v>_self</v>
      </c>
      <c r="O146" s="107">
        <f>LEN(Tableau18[[#This Row],[LABEL]])</f>
        <v>14</v>
      </c>
      <c r="P146" s="107">
        <v>15</v>
      </c>
      <c r="Q146" s="107" t="e">
        <f>ROUND(Tableau18[[#This Row],[LEN]]*#REF!+#REF!,0)</f>
        <v>#REF!</v>
      </c>
    </row>
    <row r="147" spans="1:17" s="273" customFormat="1" x14ac:dyDescent="0.25">
      <c r="A147" s="266" t="s">
        <v>244</v>
      </c>
      <c r="B147" s="267" t="s">
        <v>205</v>
      </c>
      <c r="C147" s="268" t="s">
        <v>71</v>
      </c>
      <c r="D147" s="269" t="s">
        <v>1177</v>
      </c>
      <c r="E147" s="268" t="s">
        <v>676</v>
      </c>
      <c r="F147" s="268" t="s">
        <v>1177</v>
      </c>
      <c r="G147" s="269" t="s">
        <v>167</v>
      </c>
      <c r="H147" s="269" t="str">
        <f>IFERROR(IF(SEARCH(".00.00.00.00.00",Tableau18[[#This Row],[name]],1)=7,"Division",""),"")</f>
        <v>Division</v>
      </c>
      <c r="I147" s="268"/>
      <c r="J147" s="270" t="s">
        <v>722</v>
      </c>
      <c r="K147" s="270" t="str">
        <f t="shared" si="4"/>
        <v>Documentation</v>
      </c>
      <c r="L147" s="271">
        <f>ROUND(Tableau18[[#This Row],[LEN]]*7.27,0)</f>
        <v>29</v>
      </c>
      <c r="M147" s="271">
        <v>15</v>
      </c>
      <c r="N147" s="272" t="str">
        <f t="shared" si="5"/>
        <v>_blank</v>
      </c>
      <c r="O147" s="271">
        <f>LEN(Tableau18[[#This Row],[LABEL]])</f>
        <v>4</v>
      </c>
      <c r="P147" s="271">
        <v>15</v>
      </c>
      <c r="Q147" s="271" t="e">
        <f>ROUND(Tableau18[[#This Row],[LEN]]*#REF!+#REF!,0)</f>
        <v>#REF!</v>
      </c>
    </row>
    <row r="148" spans="1:17" s="97" customFormat="1" x14ac:dyDescent="0.25">
      <c r="A148" s="17" t="s">
        <v>1017</v>
      </c>
      <c r="B148" s="18" t="s">
        <v>244</v>
      </c>
      <c r="C148" s="19" t="s">
        <v>1016</v>
      </c>
      <c r="D148" s="68" t="s">
        <v>1177</v>
      </c>
      <c r="E148" s="19" t="s">
        <v>676</v>
      </c>
      <c r="F148" s="19" t="s">
        <v>1177</v>
      </c>
      <c r="G148" s="68" t="s">
        <v>167</v>
      </c>
      <c r="H148" s="68" t="s">
        <v>656</v>
      </c>
      <c r="I148" s="19"/>
      <c r="J148" s="20" t="s">
        <v>722</v>
      </c>
      <c r="K148" s="20" t="str">
        <f t="shared" si="4"/>
        <v>Documentation</v>
      </c>
      <c r="L148" s="107">
        <f>ROUND(Tableau18[[#This Row],[LEN]]*7.27,0)</f>
        <v>342</v>
      </c>
      <c r="M148" s="107">
        <v>15</v>
      </c>
      <c r="N148" s="125" t="str">
        <f t="shared" si="5"/>
        <v>_blank</v>
      </c>
      <c r="O148" s="107">
        <f>LEN(Tableau18[[#This Row],[LABEL]])</f>
        <v>47</v>
      </c>
      <c r="P148" s="107">
        <v>15</v>
      </c>
      <c r="Q148" s="107" t="e">
        <f>ROUND(Tableau18[[#This Row],[LEN]]*#REF!+#REF!,0)</f>
        <v>#REF!</v>
      </c>
    </row>
    <row r="149" spans="1:17" s="97" customFormat="1" x14ac:dyDescent="0.25">
      <c r="A149" s="17" t="s">
        <v>1018</v>
      </c>
      <c r="B149" s="18" t="s">
        <v>244</v>
      </c>
      <c r="C149" s="19" t="s">
        <v>1015</v>
      </c>
      <c r="D149" s="68" t="s">
        <v>1177</v>
      </c>
      <c r="E149" s="19" t="s">
        <v>676</v>
      </c>
      <c r="F149" s="19" t="s">
        <v>1177</v>
      </c>
      <c r="G149" s="68" t="s">
        <v>167</v>
      </c>
      <c r="H149" s="68" t="s">
        <v>656</v>
      </c>
      <c r="I149" s="19"/>
      <c r="J149" s="20" t="s">
        <v>722</v>
      </c>
      <c r="K149" s="20" t="str">
        <f t="shared" si="4"/>
        <v>Documentation</v>
      </c>
      <c r="L149" s="107">
        <f>ROUND(Tableau18[[#This Row],[LEN]]*7.27,0)</f>
        <v>269</v>
      </c>
      <c r="M149" s="107">
        <v>15</v>
      </c>
      <c r="N149" s="125" t="str">
        <f t="shared" si="5"/>
        <v>_blank</v>
      </c>
      <c r="O149" s="107">
        <f>LEN(Tableau18[[#This Row],[LABEL]])</f>
        <v>37</v>
      </c>
      <c r="P149" s="107">
        <v>15</v>
      </c>
      <c r="Q149" s="107" t="e">
        <f>ROUND(Tableau18[[#This Row],[LEN]]*#REF!+#REF!,0)</f>
        <v>#REF!</v>
      </c>
    </row>
    <row r="150" spans="1:17" s="97" customFormat="1" x14ac:dyDescent="0.25">
      <c r="A150" s="17" t="s">
        <v>1019</v>
      </c>
      <c r="B150" s="18" t="s">
        <v>244</v>
      </c>
      <c r="C150" s="19" t="s">
        <v>110</v>
      </c>
      <c r="D150" s="68" t="s">
        <v>1177</v>
      </c>
      <c r="E150" s="19" t="s">
        <v>1177</v>
      </c>
      <c r="F150" s="19" t="s">
        <v>1084</v>
      </c>
      <c r="G150" s="68" t="s">
        <v>1977</v>
      </c>
      <c r="H150" s="68" t="s">
        <v>1131</v>
      </c>
      <c r="I150" s="19"/>
      <c r="J150" s="20" t="s">
        <v>708</v>
      </c>
      <c r="K150" s="20" t="str">
        <f t="shared" si="4"/>
        <v>_</v>
      </c>
      <c r="L150" s="107">
        <f>ROUND(Tableau18[[#This Row],[LEN]]*7.27,0)</f>
        <v>102</v>
      </c>
      <c r="M150" s="107">
        <v>15</v>
      </c>
      <c r="N150" s="125" t="str">
        <f t="shared" si="5"/>
        <v>_self</v>
      </c>
      <c r="O150" s="107">
        <f>LEN(Tableau18[[#This Row],[LABEL]])</f>
        <v>14</v>
      </c>
      <c r="P150" s="107">
        <v>15</v>
      </c>
      <c r="Q150" s="107" t="e">
        <f>ROUND(Tableau18[[#This Row],[LEN]]*#REF!+#REF!,0)</f>
        <v>#REF!</v>
      </c>
    </row>
    <row r="151" spans="1:17" s="273" customFormat="1" x14ac:dyDescent="0.25">
      <c r="A151" s="266" t="s">
        <v>245</v>
      </c>
      <c r="B151" s="267" t="s">
        <v>205</v>
      </c>
      <c r="C151" s="268" t="s">
        <v>13</v>
      </c>
      <c r="D151" s="269" t="s">
        <v>1177</v>
      </c>
      <c r="E151" s="268" t="s">
        <v>677</v>
      </c>
      <c r="F151" s="268" t="s">
        <v>1177</v>
      </c>
      <c r="G151" s="269" t="s">
        <v>167</v>
      </c>
      <c r="H151" s="269" t="str">
        <f>IFERROR(IF(SEARCH(".00.00.00.00.00",Tableau18[[#This Row],[name]],1)=7,"Division",""),"")</f>
        <v>Division</v>
      </c>
      <c r="I151" s="268"/>
      <c r="J151" s="270" t="s">
        <v>708</v>
      </c>
      <c r="K151" s="270" t="str">
        <f t="shared" si="4"/>
        <v>_</v>
      </c>
      <c r="L151" s="271">
        <f>ROUND(Tableau18[[#This Row],[LEN]]*7.27,0)</f>
        <v>80</v>
      </c>
      <c r="M151" s="271">
        <v>15</v>
      </c>
      <c r="N151" s="272" t="str">
        <f t="shared" si="5"/>
        <v>_self</v>
      </c>
      <c r="O151" s="271">
        <f>LEN(Tableau18[[#This Row],[LABEL]])</f>
        <v>11</v>
      </c>
      <c r="P151" s="271">
        <v>15</v>
      </c>
      <c r="Q151" s="271" t="e">
        <f>ROUND(Tableau18[[#This Row],[LEN]]*#REF!+#REF!,0)</f>
        <v>#REF!</v>
      </c>
    </row>
    <row r="152" spans="1:17" s="97" customFormat="1" x14ac:dyDescent="0.25">
      <c r="A152" s="17" t="s">
        <v>1020</v>
      </c>
      <c r="B152" s="18" t="s">
        <v>245</v>
      </c>
      <c r="C152" s="19" t="s">
        <v>81</v>
      </c>
      <c r="D152" s="68" t="s">
        <v>1177</v>
      </c>
      <c r="E152" s="19" t="s">
        <v>667</v>
      </c>
      <c r="F152" s="19" t="s">
        <v>1963</v>
      </c>
      <c r="G152" s="68" t="s">
        <v>167</v>
      </c>
      <c r="H152" s="68" t="s">
        <v>655</v>
      </c>
      <c r="I152" s="19"/>
      <c r="J152" s="20" t="s">
        <v>708</v>
      </c>
      <c r="K152" s="20" t="str">
        <f t="shared" si="4"/>
        <v>_</v>
      </c>
      <c r="L152" s="107">
        <f>ROUND(Tableau18[[#This Row],[LEN]]*7.27,0)</f>
        <v>73</v>
      </c>
      <c r="M152" s="107">
        <v>15</v>
      </c>
      <c r="N152" s="125" t="str">
        <f t="shared" si="5"/>
        <v>_self</v>
      </c>
      <c r="O152" s="107">
        <f>LEN(Tableau18[[#This Row],[LABEL]])</f>
        <v>10</v>
      </c>
      <c r="P152" s="107">
        <v>15</v>
      </c>
      <c r="Q152" s="107" t="e">
        <f>ROUND(Tableau18[[#This Row],[LEN]]*#REF!+#REF!,0)</f>
        <v>#REF!</v>
      </c>
    </row>
    <row r="153" spans="1:17" s="97" customFormat="1" x14ac:dyDescent="0.25">
      <c r="A153" s="21" t="s">
        <v>1024</v>
      </c>
      <c r="B153" s="22" t="s">
        <v>1020</v>
      </c>
      <c r="C153" s="23" t="s">
        <v>1031</v>
      </c>
      <c r="D153" s="69" t="s">
        <v>1177</v>
      </c>
      <c r="E153" s="23" t="s">
        <v>667</v>
      </c>
      <c r="F153" s="23" t="s">
        <v>1963</v>
      </c>
      <c r="G153" s="69" t="s">
        <v>167</v>
      </c>
      <c r="H153" s="69" t="s">
        <v>570</v>
      </c>
      <c r="I153" s="23"/>
      <c r="J153" s="24" t="s">
        <v>708</v>
      </c>
      <c r="K153" s="24" t="str">
        <f t="shared" si="4"/>
        <v>_</v>
      </c>
      <c r="L153" s="108">
        <f>ROUND(Tableau18[[#This Row],[LEN]]*7.27,0)</f>
        <v>167</v>
      </c>
      <c r="M153" s="108">
        <v>15</v>
      </c>
      <c r="N153" s="126" t="str">
        <f t="shared" si="5"/>
        <v>_self</v>
      </c>
      <c r="O153" s="108">
        <f>LEN(Tableau18[[#This Row],[LABEL]])</f>
        <v>23</v>
      </c>
      <c r="P153" s="108">
        <v>15</v>
      </c>
      <c r="Q153" s="108" t="e">
        <f>ROUND(Tableau18[[#This Row],[LEN]]*#REF!+#REF!,0)</f>
        <v>#REF!</v>
      </c>
    </row>
    <row r="154" spans="1:17" s="97" customFormat="1" x14ac:dyDescent="0.25">
      <c r="A154" s="21" t="s">
        <v>1025</v>
      </c>
      <c r="B154" s="22" t="s">
        <v>1020</v>
      </c>
      <c r="C154" s="23" t="s">
        <v>1032</v>
      </c>
      <c r="D154" s="69" t="s">
        <v>1177</v>
      </c>
      <c r="E154" s="23" t="s">
        <v>667</v>
      </c>
      <c r="F154" s="23" t="s">
        <v>1963</v>
      </c>
      <c r="G154" s="69" t="s">
        <v>167</v>
      </c>
      <c r="H154" s="69" t="s">
        <v>570</v>
      </c>
      <c r="I154" s="23"/>
      <c r="J154" s="24" t="s">
        <v>708</v>
      </c>
      <c r="K154" s="24" t="str">
        <f t="shared" si="4"/>
        <v>_</v>
      </c>
      <c r="L154" s="108">
        <f>ROUND(Tableau18[[#This Row],[LEN]]*7.27,0)</f>
        <v>153</v>
      </c>
      <c r="M154" s="108">
        <v>15</v>
      </c>
      <c r="N154" s="126" t="str">
        <f t="shared" si="5"/>
        <v>_self</v>
      </c>
      <c r="O154" s="108">
        <f>LEN(Tableau18[[#This Row],[LABEL]])</f>
        <v>21</v>
      </c>
      <c r="P154" s="108">
        <v>15</v>
      </c>
      <c r="Q154" s="108" t="e">
        <f>ROUND(Tableau18[[#This Row],[LEN]]*#REF!+#REF!,0)</f>
        <v>#REF!</v>
      </c>
    </row>
    <row r="155" spans="1:17" s="97" customFormat="1" x14ac:dyDescent="0.25">
      <c r="A155" s="21" t="s">
        <v>1026</v>
      </c>
      <c r="B155" s="22" t="s">
        <v>1020</v>
      </c>
      <c r="C155" s="23" t="s">
        <v>1033</v>
      </c>
      <c r="D155" s="69" t="s">
        <v>1177</v>
      </c>
      <c r="E155" s="23" t="s">
        <v>667</v>
      </c>
      <c r="F155" s="23" t="s">
        <v>1963</v>
      </c>
      <c r="G155" s="69" t="s">
        <v>167</v>
      </c>
      <c r="H155" s="69" t="s">
        <v>570</v>
      </c>
      <c r="I155" s="23"/>
      <c r="J155" s="24" t="s">
        <v>708</v>
      </c>
      <c r="K155" s="24" t="str">
        <f t="shared" si="4"/>
        <v>_</v>
      </c>
      <c r="L155" s="108">
        <f>ROUND(Tableau18[[#This Row],[LEN]]*7.27,0)</f>
        <v>334</v>
      </c>
      <c r="M155" s="108">
        <v>15</v>
      </c>
      <c r="N155" s="126" t="str">
        <f t="shared" si="5"/>
        <v>_self</v>
      </c>
      <c r="O155" s="108">
        <f>LEN(Tableau18[[#This Row],[LABEL]])</f>
        <v>46</v>
      </c>
      <c r="P155" s="108">
        <v>15</v>
      </c>
      <c r="Q155" s="108" t="e">
        <f>ROUND(Tableau18[[#This Row],[LEN]]*#REF!+#REF!,0)</f>
        <v>#REF!</v>
      </c>
    </row>
    <row r="156" spans="1:17" s="97" customFormat="1" x14ac:dyDescent="0.25">
      <c r="A156" s="21" t="s">
        <v>1027</v>
      </c>
      <c r="B156" s="22" t="s">
        <v>1020</v>
      </c>
      <c r="C156" s="23" t="s">
        <v>1034</v>
      </c>
      <c r="D156" s="69" t="s">
        <v>1177</v>
      </c>
      <c r="E156" s="23" t="s">
        <v>667</v>
      </c>
      <c r="F156" s="23" t="s">
        <v>1963</v>
      </c>
      <c r="G156" s="69" t="s">
        <v>167</v>
      </c>
      <c r="H156" s="69" t="s">
        <v>570</v>
      </c>
      <c r="I156" s="23"/>
      <c r="J156" s="24" t="s">
        <v>708</v>
      </c>
      <c r="K156" s="24" t="str">
        <f t="shared" si="4"/>
        <v>_</v>
      </c>
      <c r="L156" s="108">
        <f>ROUND(Tableau18[[#This Row],[LEN]]*7.27,0)</f>
        <v>393</v>
      </c>
      <c r="M156" s="108">
        <v>15</v>
      </c>
      <c r="N156" s="126" t="str">
        <f t="shared" si="5"/>
        <v>_self</v>
      </c>
      <c r="O156" s="108">
        <f>LEN(Tableau18[[#This Row],[LABEL]])</f>
        <v>54</v>
      </c>
      <c r="P156" s="108">
        <v>15</v>
      </c>
      <c r="Q156" s="108" t="e">
        <f>ROUND(Tableau18[[#This Row],[LEN]]*#REF!+#REF!,0)</f>
        <v>#REF!</v>
      </c>
    </row>
    <row r="157" spans="1:17" s="97" customFormat="1" x14ac:dyDescent="0.25">
      <c r="A157" s="21" t="s">
        <v>1028</v>
      </c>
      <c r="B157" s="22" t="s">
        <v>1020</v>
      </c>
      <c r="C157" s="23" t="s">
        <v>1035</v>
      </c>
      <c r="D157" s="69" t="s">
        <v>1177</v>
      </c>
      <c r="E157" s="23" t="s">
        <v>667</v>
      </c>
      <c r="F157" s="23" t="s">
        <v>1963</v>
      </c>
      <c r="G157" s="69" t="s">
        <v>167</v>
      </c>
      <c r="H157" s="69" t="s">
        <v>570</v>
      </c>
      <c r="I157" s="23"/>
      <c r="J157" s="24" t="s">
        <v>708</v>
      </c>
      <c r="K157" s="24" t="str">
        <f t="shared" si="4"/>
        <v>_</v>
      </c>
      <c r="L157" s="108">
        <f>ROUND(Tableau18[[#This Row],[LEN]]*7.27,0)</f>
        <v>320</v>
      </c>
      <c r="M157" s="108">
        <v>15</v>
      </c>
      <c r="N157" s="126" t="str">
        <f t="shared" si="5"/>
        <v>_self</v>
      </c>
      <c r="O157" s="108">
        <f>LEN(Tableau18[[#This Row],[LABEL]])</f>
        <v>44</v>
      </c>
      <c r="P157" s="108">
        <v>15</v>
      </c>
      <c r="Q157" s="108" t="e">
        <f>ROUND(Tableau18[[#This Row],[LEN]]*#REF!+#REF!,0)</f>
        <v>#REF!</v>
      </c>
    </row>
    <row r="158" spans="1:17" s="97" customFormat="1" x14ac:dyDescent="0.25">
      <c r="A158" s="21" t="s">
        <v>1029</v>
      </c>
      <c r="B158" s="22" t="s">
        <v>1020</v>
      </c>
      <c r="C158" s="23" t="s">
        <v>1036</v>
      </c>
      <c r="D158" s="69" t="s">
        <v>1177</v>
      </c>
      <c r="E158" s="23" t="s">
        <v>667</v>
      </c>
      <c r="F158" s="23" t="s">
        <v>1963</v>
      </c>
      <c r="G158" s="69" t="s">
        <v>167</v>
      </c>
      <c r="H158" s="69" t="s">
        <v>570</v>
      </c>
      <c r="I158" s="23"/>
      <c r="J158" s="24" t="s">
        <v>708</v>
      </c>
      <c r="K158" s="24" t="str">
        <f t="shared" si="4"/>
        <v>_</v>
      </c>
      <c r="L158" s="108">
        <f>ROUND(Tableau18[[#This Row],[LEN]]*7.27,0)</f>
        <v>95</v>
      </c>
      <c r="M158" s="108">
        <v>15</v>
      </c>
      <c r="N158" s="126" t="str">
        <f t="shared" si="5"/>
        <v>_self</v>
      </c>
      <c r="O158" s="108">
        <f>LEN(Tableau18[[#This Row],[LABEL]])</f>
        <v>13</v>
      </c>
      <c r="P158" s="108">
        <v>15</v>
      </c>
      <c r="Q158" s="108" t="e">
        <f>ROUND(Tableau18[[#This Row],[LEN]]*#REF!+#REF!,0)</f>
        <v>#REF!</v>
      </c>
    </row>
    <row r="159" spans="1:17" s="97" customFormat="1" x14ac:dyDescent="0.25">
      <c r="A159" s="21" t="s">
        <v>1030</v>
      </c>
      <c r="B159" s="22" t="s">
        <v>1020</v>
      </c>
      <c r="C159" s="23" t="s">
        <v>1037</v>
      </c>
      <c r="D159" s="69" t="s">
        <v>1177</v>
      </c>
      <c r="E159" s="23" t="s">
        <v>667</v>
      </c>
      <c r="F159" s="23" t="s">
        <v>1963</v>
      </c>
      <c r="G159" s="69" t="s">
        <v>167</v>
      </c>
      <c r="H159" s="69" t="s">
        <v>570</v>
      </c>
      <c r="I159" s="23"/>
      <c r="J159" s="24" t="s">
        <v>708</v>
      </c>
      <c r="K159" s="24" t="str">
        <f t="shared" si="4"/>
        <v>_</v>
      </c>
      <c r="L159" s="108">
        <f>ROUND(Tableau18[[#This Row],[LEN]]*7.27,0)</f>
        <v>124</v>
      </c>
      <c r="M159" s="108">
        <v>15</v>
      </c>
      <c r="N159" s="126" t="str">
        <f t="shared" si="5"/>
        <v>_self</v>
      </c>
      <c r="O159" s="108">
        <f>LEN(Tableau18[[#This Row],[LABEL]])</f>
        <v>17</v>
      </c>
      <c r="P159" s="108">
        <v>15</v>
      </c>
      <c r="Q159" s="108" t="e">
        <f>ROUND(Tableau18[[#This Row],[LEN]]*#REF!+#REF!,0)</f>
        <v>#REF!</v>
      </c>
    </row>
    <row r="160" spans="1:17" s="97" customFormat="1" x14ac:dyDescent="0.25">
      <c r="A160" s="17" t="s">
        <v>1021</v>
      </c>
      <c r="B160" s="18" t="s">
        <v>245</v>
      </c>
      <c r="C160" s="19" t="s">
        <v>1023</v>
      </c>
      <c r="D160" s="68" t="s">
        <v>1177</v>
      </c>
      <c r="E160" s="19" t="s">
        <v>677</v>
      </c>
      <c r="F160" s="19" t="s">
        <v>1177</v>
      </c>
      <c r="G160" s="68" t="s">
        <v>167</v>
      </c>
      <c r="H160" s="68" t="s">
        <v>654</v>
      </c>
      <c r="I160" s="19"/>
      <c r="J160" s="20" t="s">
        <v>708</v>
      </c>
      <c r="K160" s="20" t="str">
        <f t="shared" si="4"/>
        <v>_</v>
      </c>
      <c r="L160" s="107">
        <f>ROUND(Tableau18[[#This Row],[LEN]]*7.27,0)</f>
        <v>196</v>
      </c>
      <c r="M160" s="107">
        <v>15</v>
      </c>
      <c r="N160" s="125" t="str">
        <f t="shared" si="5"/>
        <v>_self</v>
      </c>
      <c r="O160" s="107">
        <f>LEN(Tableau18[[#This Row],[LABEL]])</f>
        <v>27</v>
      </c>
      <c r="P160" s="107">
        <v>15</v>
      </c>
      <c r="Q160" s="107" t="e">
        <f>ROUND(Tableau18[[#This Row],[LEN]]*#REF!+#REF!,0)</f>
        <v>#REF!</v>
      </c>
    </row>
    <row r="161" spans="1:17" s="97" customFormat="1" x14ac:dyDescent="0.25">
      <c r="A161" s="17" t="s">
        <v>1022</v>
      </c>
      <c r="B161" s="18" t="s">
        <v>245</v>
      </c>
      <c r="C161" s="19" t="s">
        <v>110</v>
      </c>
      <c r="D161" s="68" t="s">
        <v>1177</v>
      </c>
      <c r="E161" s="19" t="s">
        <v>1177</v>
      </c>
      <c r="F161" s="19" t="s">
        <v>1084</v>
      </c>
      <c r="G161" s="68" t="s">
        <v>1977</v>
      </c>
      <c r="H161" s="68" t="s">
        <v>1131</v>
      </c>
      <c r="I161" s="19"/>
      <c r="J161" s="20" t="s">
        <v>708</v>
      </c>
      <c r="K161" s="20" t="str">
        <f t="shared" si="4"/>
        <v>_</v>
      </c>
      <c r="L161" s="107">
        <f>ROUND(Tableau18[[#This Row],[LEN]]*7.27,0)</f>
        <v>102</v>
      </c>
      <c r="M161" s="107">
        <v>15</v>
      </c>
      <c r="N161" s="125" t="str">
        <f t="shared" si="5"/>
        <v>_self</v>
      </c>
      <c r="O161" s="107">
        <f>LEN(Tableau18[[#This Row],[LABEL]])</f>
        <v>14</v>
      </c>
      <c r="P161" s="107">
        <v>15</v>
      </c>
      <c r="Q161" s="107" t="e">
        <f>ROUND(Tableau18[[#This Row],[LEN]]*#REF!+#REF!,0)</f>
        <v>#REF!</v>
      </c>
    </row>
    <row r="162" spans="1:17" s="273" customFormat="1" x14ac:dyDescent="0.25">
      <c r="A162" s="266" t="s">
        <v>246</v>
      </c>
      <c r="B162" s="267" t="s">
        <v>205</v>
      </c>
      <c r="C162" s="268" t="s">
        <v>14</v>
      </c>
      <c r="D162" s="269" t="s">
        <v>1177</v>
      </c>
      <c r="E162" s="268" t="s">
        <v>678</v>
      </c>
      <c r="F162" s="268" t="s">
        <v>1177</v>
      </c>
      <c r="G162" s="269" t="s">
        <v>167</v>
      </c>
      <c r="H162" s="269" t="str">
        <f>IFERROR(IF(SEARCH(".00.00.00.00.00",Tableau18[[#This Row],[name]],1)=7,"Division",""),"")</f>
        <v>Division</v>
      </c>
      <c r="I162" s="268"/>
      <c r="J162" s="270" t="s">
        <v>724</v>
      </c>
      <c r="K162" s="270" t="str">
        <f t="shared" si="4"/>
        <v>Documentation</v>
      </c>
      <c r="L162" s="271">
        <f>ROUND(Tableau18[[#This Row],[LEN]]*7.27,0)</f>
        <v>240</v>
      </c>
      <c r="M162" s="271">
        <v>15</v>
      </c>
      <c r="N162" s="272" t="str">
        <f t="shared" si="5"/>
        <v>_blank</v>
      </c>
      <c r="O162" s="271">
        <f>LEN(Tableau18[[#This Row],[LABEL]])</f>
        <v>33</v>
      </c>
      <c r="P162" s="271">
        <v>15</v>
      </c>
      <c r="Q162" s="271" t="e">
        <f>ROUND(Tableau18[[#This Row],[LEN]]*#REF!+#REF!,0)</f>
        <v>#REF!</v>
      </c>
    </row>
    <row r="163" spans="1:17" s="97" customFormat="1" x14ac:dyDescent="0.25">
      <c r="A163" s="17" t="s">
        <v>1038</v>
      </c>
      <c r="B163" s="18" t="s">
        <v>246</v>
      </c>
      <c r="C163" s="19" t="s">
        <v>81</v>
      </c>
      <c r="D163" s="68" t="s">
        <v>1177</v>
      </c>
      <c r="E163" s="19" t="s">
        <v>667</v>
      </c>
      <c r="F163" s="19" t="s">
        <v>1963</v>
      </c>
      <c r="G163" s="68" t="s">
        <v>167</v>
      </c>
      <c r="H163" s="68" t="s">
        <v>655</v>
      </c>
      <c r="I163" s="19"/>
      <c r="J163" s="20" t="s">
        <v>708</v>
      </c>
      <c r="K163" s="20" t="str">
        <f t="shared" si="4"/>
        <v>_</v>
      </c>
      <c r="L163" s="107">
        <f>ROUND(Tableau18[[#This Row],[LEN]]*7.27,0)</f>
        <v>73</v>
      </c>
      <c r="M163" s="107">
        <v>15</v>
      </c>
      <c r="N163" s="125" t="str">
        <f t="shared" si="5"/>
        <v>_self</v>
      </c>
      <c r="O163" s="107">
        <f>LEN(Tableau18[[#This Row],[LABEL]])</f>
        <v>10</v>
      </c>
      <c r="P163" s="107">
        <v>15</v>
      </c>
      <c r="Q163" s="107" t="e">
        <f>ROUND(Tableau18[[#This Row],[LEN]]*#REF!+#REF!,0)</f>
        <v>#REF!</v>
      </c>
    </row>
    <row r="164" spans="1:17" s="97" customFormat="1" x14ac:dyDescent="0.25">
      <c r="A164" s="21" t="s">
        <v>1042</v>
      </c>
      <c r="B164" s="22" t="s">
        <v>1038</v>
      </c>
      <c r="C164" s="23" t="s">
        <v>1031</v>
      </c>
      <c r="D164" s="69" t="s">
        <v>1177</v>
      </c>
      <c r="E164" s="23" t="s">
        <v>667</v>
      </c>
      <c r="F164" s="23" t="s">
        <v>1963</v>
      </c>
      <c r="G164" s="69" t="s">
        <v>167</v>
      </c>
      <c r="H164" s="69" t="s">
        <v>570</v>
      </c>
      <c r="I164" s="23"/>
      <c r="J164" s="24" t="s">
        <v>708</v>
      </c>
      <c r="K164" s="24" t="str">
        <f t="shared" si="4"/>
        <v>_</v>
      </c>
      <c r="L164" s="108">
        <f>ROUND(Tableau18[[#This Row],[LEN]]*7.27,0)</f>
        <v>167</v>
      </c>
      <c r="M164" s="108">
        <v>15</v>
      </c>
      <c r="N164" s="126" t="str">
        <f t="shared" si="5"/>
        <v>_self</v>
      </c>
      <c r="O164" s="108">
        <f>LEN(Tableau18[[#This Row],[LABEL]])</f>
        <v>23</v>
      </c>
      <c r="P164" s="108">
        <v>15</v>
      </c>
      <c r="Q164" s="108" t="e">
        <f>ROUND(Tableau18[[#This Row],[LEN]]*#REF!+#REF!,0)</f>
        <v>#REF!</v>
      </c>
    </row>
    <row r="165" spans="1:17" s="97" customFormat="1" x14ac:dyDescent="0.25">
      <c r="A165" s="21" t="s">
        <v>1043</v>
      </c>
      <c r="B165" s="22" t="s">
        <v>1038</v>
      </c>
      <c r="C165" s="23" t="s">
        <v>1032</v>
      </c>
      <c r="D165" s="69" t="s">
        <v>1177</v>
      </c>
      <c r="E165" s="23" t="s">
        <v>667</v>
      </c>
      <c r="F165" s="23" t="s">
        <v>1963</v>
      </c>
      <c r="G165" s="69" t="s">
        <v>167</v>
      </c>
      <c r="H165" s="69" t="s">
        <v>570</v>
      </c>
      <c r="I165" s="23"/>
      <c r="J165" s="24" t="s">
        <v>708</v>
      </c>
      <c r="K165" s="24" t="str">
        <f t="shared" si="4"/>
        <v>_</v>
      </c>
      <c r="L165" s="108">
        <f>ROUND(Tableau18[[#This Row],[LEN]]*7.27,0)</f>
        <v>153</v>
      </c>
      <c r="M165" s="108">
        <v>15</v>
      </c>
      <c r="N165" s="126" t="str">
        <f t="shared" si="5"/>
        <v>_self</v>
      </c>
      <c r="O165" s="108">
        <f>LEN(Tableau18[[#This Row],[LABEL]])</f>
        <v>21</v>
      </c>
      <c r="P165" s="108">
        <v>15</v>
      </c>
      <c r="Q165" s="108" t="e">
        <f>ROUND(Tableau18[[#This Row],[LEN]]*#REF!+#REF!,0)</f>
        <v>#REF!</v>
      </c>
    </row>
    <row r="166" spans="1:17" s="97" customFormat="1" x14ac:dyDescent="0.25">
      <c r="A166" s="21" t="s">
        <v>1044</v>
      </c>
      <c r="B166" s="22" t="s">
        <v>1038</v>
      </c>
      <c r="C166" s="23" t="s">
        <v>1033</v>
      </c>
      <c r="D166" s="69" t="s">
        <v>1177</v>
      </c>
      <c r="E166" s="23" t="s">
        <v>667</v>
      </c>
      <c r="F166" s="23" t="s">
        <v>1963</v>
      </c>
      <c r="G166" s="69" t="s">
        <v>167</v>
      </c>
      <c r="H166" s="69" t="s">
        <v>570</v>
      </c>
      <c r="I166" s="23"/>
      <c r="J166" s="24" t="s">
        <v>708</v>
      </c>
      <c r="K166" s="24" t="str">
        <f t="shared" si="4"/>
        <v>_</v>
      </c>
      <c r="L166" s="108">
        <f>ROUND(Tableau18[[#This Row],[LEN]]*7.27,0)</f>
        <v>334</v>
      </c>
      <c r="M166" s="108">
        <v>15</v>
      </c>
      <c r="N166" s="126" t="str">
        <f t="shared" si="5"/>
        <v>_self</v>
      </c>
      <c r="O166" s="108">
        <f>LEN(Tableau18[[#This Row],[LABEL]])</f>
        <v>46</v>
      </c>
      <c r="P166" s="108">
        <v>15</v>
      </c>
      <c r="Q166" s="108" t="e">
        <f>ROUND(Tableau18[[#This Row],[LEN]]*#REF!+#REF!,0)</f>
        <v>#REF!</v>
      </c>
    </row>
    <row r="167" spans="1:17" s="97" customFormat="1" x14ac:dyDescent="0.25">
      <c r="A167" s="21" t="s">
        <v>1045</v>
      </c>
      <c r="B167" s="22" t="s">
        <v>1038</v>
      </c>
      <c r="C167" s="23" t="s">
        <v>1034</v>
      </c>
      <c r="D167" s="69" t="s">
        <v>1177</v>
      </c>
      <c r="E167" s="23" t="s">
        <v>667</v>
      </c>
      <c r="F167" s="23" t="s">
        <v>1963</v>
      </c>
      <c r="G167" s="69" t="s">
        <v>167</v>
      </c>
      <c r="H167" s="69" t="s">
        <v>570</v>
      </c>
      <c r="I167" s="23"/>
      <c r="J167" s="24" t="s">
        <v>708</v>
      </c>
      <c r="K167" s="24" t="str">
        <f t="shared" si="4"/>
        <v>_</v>
      </c>
      <c r="L167" s="108">
        <f>ROUND(Tableau18[[#This Row],[LEN]]*7.27,0)</f>
        <v>393</v>
      </c>
      <c r="M167" s="108">
        <v>15</v>
      </c>
      <c r="N167" s="126" t="str">
        <f t="shared" si="5"/>
        <v>_self</v>
      </c>
      <c r="O167" s="108">
        <f>LEN(Tableau18[[#This Row],[LABEL]])</f>
        <v>54</v>
      </c>
      <c r="P167" s="108">
        <v>15</v>
      </c>
      <c r="Q167" s="108" t="e">
        <f>ROUND(Tableau18[[#This Row],[LEN]]*#REF!+#REF!,0)</f>
        <v>#REF!</v>
      </c>
    </row>
    <row r="168" spans="1:17" s="97" customFormat="1" x14ac:dyDescent="0.25">
      <c r="A168" s="21" t="s">
        <v>1046</v>
      </c>
      <c r="B168" s="22" t="s">
        <v>1038</v>
      </c>
      <c r="C168" s="23" t="s">
        <v>1035</v>
      </c>
      <c r="D168" s="69" t="s">
        <v>1177</v>
      </c>
      <c r="E168" s="23" t="s">
        <v>667</v>
      </c>
      <c r="F168" s="23" t="s">
        <v>1963</v>
      </c>
      <c r="G168" s="69" t="s">
        <v>167</v>
      </c>
      <c r="H168" s="69" t="s">
        <v>570</v>
      </c>
      <c r="I168" s="23"/>
      <c r="J168" s="24" t="s">
        <v>708</v>
      </c>
      <c r="K168" s="24" t="str">
        <f t="shared" si="4"/>
        <v>_</v>
      </c>
      <c r="L168" s="108">
        <f>ROUND(Tableau18[[#This Row],[LEN]]*7.27,0)</f>
        <v>320</v>
      </c>
      <c r="M168" s="108">
        <v>15</v>
      </c>
      <c r="N168" s="126" t="str">
        <f t="shared" si="5"/>
        <v>_self</v>
      </c>
      <c r="O168" s="108">
        <f>LEN(Tableau18[[#This Row],[LABEL]])</f>
        <v>44</v>
      </c>
      <c r="P168" s="108">
        <v>15</v>
      </c>
      <c r="Q168" s="108" t="e">
        <f>ROUND(Tableau18[[#This Row],[LEN]]*#REF!+#REF!,0)</f>
        <v>#REF!</v>
      </c>
    </row>
    <row r="169" spans="1:17" s="97" customFormat="1" x14ac:dyDescent="0.25">
      <c r="A169" s="21" t="s">
        <v>1047</v>
      </c>
      <c r="B169" s="22" t="s">
        <v>1038</v>
      </c>
      <c r="C169" s="23" t="s">
        <v>1036</v>
      </c>
      <c r="D169" s="69" t="s">
        <v>1177</v>
      </c>
      <c r="E169" s="23" t="s">
        <v>667</v>
      </c>
      <c r="F169" s="23" t="s">
        <v>1963</v>
      </c>
      <c r="G169" s="69" t="s">
        <v>167</v>
      </c>
      <c r="H169" s="69" t="s">
        <v>570</v>
      </c>
      <c r="I169" s="23"/>
      <c r="J169" s="24" t="s">
        <v>708</v>
      </c>
      <c r="K169" s="24" t="str">
        <f t="shared" si="4"/>
        <v>_</v>
      </c>
      <c r="L169" s="108">
        <f>ROUND(Tableau18[[#This Row],[LEN]]*7.27,0)</f>
        <v>95</v>
      </c>
      <c r="M169" s="108">
        <v>15</v>
      </c>
      <c r="N169" s="126" t="str">
        <f t="shared" si="5"/>
        <v>_self</v>
      </c>
      <c r="O169" s="108">
        <f>LEN(Tableau18[[#This Row],[LABEL]])</f>
        <v>13</v>
      </c>
      <c r="P169" s="108">
        <v>15</v>
      </c>
      <c r="Q169" s="108" t="e">
        <f>ROUND(Tableau18[[#This Row],[LEN]]*#REF!+#REF!,0)</f>
        <v>#REF!</v>
      </c>
    </row>
    <row r="170" spans="1:17" s="97" customFormat="1" x14ac:dyDescent="0.25">
      <c r="A170" s="21" t="s">
        <v>1048</v>
      </c>
      <c r="B170" s="22" t="s">
        <v>1038</v>
      </c>
      <c r="C170" s="23" t="s">
        <v>1037</v>
      </c>
      <c r="D170" s="69" t="s">
        <v>1177</v>
      </c>
      <c r="E170" s="23" t="s">
        <v>667</v>
      </c>
      <c r="F170" s="23" t="s">
        <v>1963</v>
      </c>
      <c r="G170" s="69" t="s">
        <v>167</v>
      </c>
      <c r="H170" s="69" t="s">
        <v>570</v>
      </c>
      <c r="I170" s="23"/>
      <c r="J170" s="24" t="s">
        <v>708</v>
      </c>
      <c r="K170" s="24" t="str">
        <f t="shared" si="4"/>
        <v>_</v>
      </c>
      <c r="L170" s="108">
        <f>ROUND(Tableau18[[#This Row],[LEN]]*7.27,0)</f>
        <v>124</v>
      </c>
      <c r="M170" s="108">
        <v>15</v>
      </c>
      <c r="N170" s="126" t="str">
        <f t="shared" si="5"/>
        <v>_self</v>
      </c>
      <c r="O170" s="108">
        <f>LEN(Tableau18[[#This Row],[LABEL]])</f>
        <v>17</v>
      </c>
      <c r="P170" s="108">
        <v>15</v>
      </c>
      <c r="Q170" s="108" t="e">
        <f>ROUND(Tableau18[[#This Row],[LEN]]*#REF!+#REF!,0)</f>
        <v>#REF!</v>
      </c>
    </row>
    <row r="171" spans="1:17" s="97" customFormat="1" x14ac:dyDescent="0.25">
      <c r="A171" s="17" t="s">
        <v>1039</v>
      </c>
      <c r="B171" s="18" t="s">
        <v>246</v>
      </c>
      <c r="C171" s="19" t="s">
        <v>136</v>
      </c>
      <c r="D171" s="68" t="s">
        <v>1177</v>
      </c>
      <c r="E171" s="19" t="s">
        <v>669</v>
      </c>
      <c r="F171" s="19" t="s">
        <v>678</v>
      </c>
      <c r="G171" s="68" t="s">
        <v>167</v>
      </c>
      <c r="H171" s="68" t="s">
        <v>656</v>
      </c>
      <c r="I171" s="19"/>
      <c r="J171" s="20" t="s">
        <v>708</v>
      </c>
      <c r="K171" s="20" t="str">
        <f t="shared" si="4"/>
        <v>_</v>
      </c>
      <c r="L171" s="107">
        <f>ROUND(Tableau18[[#This Row],[LEN]]*7.27,0)</f>
        <v>174</v>
      </c>
      <c r="M171" s="107">
        <v>15</v>
      </c>
      <c r="N171" s="125" t="str">
        <f t="shared" si="5"/>
        <v>_self</v>
      </c>
      <c r="O171" s="107">
        <f>LEN(Tableau18[[#This Row],[LABEL]])</f>
        <v>24</v>
      </c>
      <c r="P171" s="107">
        <v>15</v>
      </c>
      <c r="Q171" s="107" t="e">
        <f>ROUND(Tableau18[[#This Row],[LEN]]*#REF!+#REF!,0)</f>
        <v>#REF!</v>
      </c>
    </row>
    <row r="172" spans="1:17" s="97" customFormat="1" x14ac:dyDescent="0.25">
      <c r="A172" s="17" t="s">
        <v>1040</v>
      </c>
      <c r="B172" s="18" t="s">
        <v>246</v>
      </c>
      <c r="C172" s="19" t="s">
        <v>971</v>
      </c>
      <c r="D172" s="68" t="s">
        <v>1177</v>
      </c>
      <c r="E172" s="19" t="s">
        <v>667</v>
      </c>
      <c r="F172" s="19" t="s">
        <v>678</v>
      </c>
      <c r="G172" s="68" t="s">
        <v>167</v>
      </c>
      <c r="H172" s="68" t="s">
        <v>570</v>
      </c>
      <c r="I172" s="19"/>
      <c r="J172" s="20" t="s">
        <v>708</v>
      </c>
      <c r="K172" s="20" t="str">
        <f t="shared" si="4"/>
        <v>_</v>
      </c>
      <c r="L172" s="107">
        <f>ROUND(Tableau18[[#This Row],[LEN]]*7.27,0)</f>
        <v>385</v>
      </c>
      <c r="M172" s="107">
        <v>15</v>
      </c>
      <c r="N172" s="125" t="str">
        <f t="shared" si="5"/>
        <v>_self</v>
      </c>
      <c r="O172" s="107">
        <f>LEN(Tableau18[[#This Row],[LABEL]])</f>
        <v>53</v>
      </c>
      <c r="P172" s="107">
        <v>15</v>
      </c>
      <c r="Q172" s="107" t="e">
        <f>ROUND(Tableau18[[#This Row],[LEN]]*#REF!+#REF!,0)</f>
        <v>#REF!</v>
      </c>
    </row>
    <row r="173" spans="1:17" s="97" customFormat="1" x14ac:dyDescent="0.25">
      <c r="A173" s="17" t="s">
        <v>1041</v>
      </c>
      <c r="B173" s="18" t="s">
        <v>246</v>
      </c>
      <c r="C173" s="19" t="s">
        <v>110</v>
      </c>
      <c r="D173" s="68" t="s">
        <v>1177</v>
      </c>
      <c r="E173" s="19" t="s">
        <v>1177</v>
      </c>
      <c r="F173" s="19" t="s">
        <v>1084</v>
      </c>
      <c r="G173" s="68" t="s">
        <v>1977</v>
      </c>
      <c r="H173" s="68" t="s">
        <v>1131</v>
      </c>
      <c r="I173" s="19"/>
      <c r="J173" s="20" t="s">
        <v>708</v>
      </c>
      <c r="K173" s="20" t="str">
        <f t="shared" si="4"/>
        <v>_</v>
      </c>
      <c r="L173" s="107">
        <f>ROUND(Tableau18[[#This Row],[LEN]]*7.27,0)</f>
        <v>102</v>
      </c>
      <c r="M173" s="107">
        <v>15</v>
      </c>
      <c r="N173" s="125" t="str">
        <f t="shared" si="5"/>
        <v>_self</v>
      </c>
      <c r="O173" s="107">
        <f>LEN(Tableau18[[#This Row],[LABEL]])</f>
        <v>14</v>
      </c>
      <c r="P173" s="107">
        <v>15</v>
      </c>
      <c r="Q173" s="107" t="e">
        <f>ROUND(Tableau18[[#This Row],[LEN]]*#REF!+#REF!,0)</f>
        <v>#REF!</v>
      </c>
    </row>
    <row r="174" spans="1:17" s="273" customFormat="1" x14ac:dyDescent="0.25">
      <c r="A174" s="274" t="s">
        <v>247</v>
      </c>
      <c r="B174" s="275" t="s">
        <v>205</v>
      </c>
      <c r="C174" s="276" t="s">
        <v>15</v>
      </c>
      <c r="D174" s="277" t="s">
        <v>1177</v>
      </c>
      <c r="E174" s="276" t="s">
        <v>679</v>
      </c>
      <c r="F174" s="276" t="s">
        <v>1177</v>
      </c>
      <c r="G174" s="277" t="s">
        <v>167</v>
      </c>
      <c r="H174" s="277" t="str">
        <f>IFERROR(IF(SEARCH(".00.00.00.00.00",Tableau18[[#This Row],[name]],1)=7,"Division",""),"")</f>
        <v>Division</v>
      </c>
      <c r="I174" s="276"/>
      <c r="J174" s="278" t="s">
        <v>708</v>
      </c>
      <c r="K174" s="278" t="str">
        <f t="shared" si="4"/>
        <v>_</v>
      </c>
      <c r="L174" s="279">
        <f>ROUND(Tableau18[[#This Row],[LEN]]*7.27,0)</f>
        <v>174</v>
      </c>
      <c r="M174" s="279">
        <v>15</v>
      </c>
      <c r="N174" s="280" t="str">
        <f t="shared" si="5"/>
        <v>_self</v>
      </c>
      <c r="O174" s="279">
        <f>LEN(Tableau18[[#This Row],[LABEL]])</f>
        <v>24</v>
      </c>
      <c r="P174" s="279">
        <v>15</v>
      </c>
      <c r="Q174" s="279" t="e">
        <f>ROUND(Tableau18[[#This Row],[LEN]]*#REF!+#REF!,0)</f>
        <v>#REF!</v>
      </c>
    </row>
    <row r="175" spans="1:17" s="97" customFormat="1" x14ac:dyDescent="0.25">
      <c r="A175" s="17" t="s">
        <v>1049</v>
      </c>
      <c r="B175" s="18" t="s">
        <v>247</v>
      </c>
      <c r="C175" s="19" t="s">
        <v>81</v>
      </c>
      <c r="D175" s="68" t="s">
        <v>1177</v>
      </c>
      <c r="E175" s="19" t="s">
        <v>667</v>
      </c>
      <c r="F175" s="19" t="s">
        <v>1963</v>
      </c>
      <c r="G175" s="68" t="s">
        <v>167</v>
      </c>
      <c r="H175" s="68" t="s">
        <v>655</v>
      </c>
      <c r="I175" s="19"/>
      <c r="J175" s="20" t="s">
        <v>708</v>
      </c>
      <c r="K175" s="20" t="str">
        <f t="shared" si="4"/>
        <v>_</v>
      </c>
      <c r="L175" s="107">
        <f>ROUND(Tableau18[[#This Row],[LEN]]*7.27,0)</f>
        <v>73</v>
      </c>
      <c r="M175" s="107">
        <v>15</v>
      </c>
      <c r="N175" s="125" t="str">
        <f t="shared" si="5"/>
        <v>_self</v>
      </c>
      <c r="O175" s="107">
        <f>LEN(Tableau18[[#This Row],[LABEL]])</f>
        <v>10</v>
      </c>
      <c r="P175" s="107">
        <v>15</v>
      </c>
      <c r="Q175" s="107" t="e">
        <f>ROUND(Tableau18[[#This Row],[LEN]]*#REF!+#REF!,0)</f>
        <v>#REF!</v>
      </c>
    </row>
    <row r="176" spans="1:17" s="97" customFormat="1" x14ac:dyDescent="0.25">
      <c r="A176" s="21" t="s">
        <v>1051</v>
      </c>
      <c r="B176" s="22" t="s">
        <v>1049</v>
      </c>
      <c r="C176" s="23" t="s">
        <v>1031</v>
      </c>
      <c r="D176" s="69" t="s">
        <v>1177</v>
      </c>
      <c r="E176" s="23" t="s">
        <v>667</v>
      </c>
      <c r="F176" s="23" t="s">
        <v>1963</v>
      </c>
      <c r="G176" s="69" t="s">
        <v>167</v>
      </c>
      <c r="H176" s="69" t="s">
        <v>570</v>
      </c>
      <c r="I176" s="23"/>
      <c r="J176" s="24" t="s">
        <v>708</v>
      </c>
      <c r="K176" s="24" t="str">
        <f t="shared" si="4"/>
        <v>_</v>
      </c>
      <c r="L176" s="108">
        <f>ROUND(Tableau18[[#This Row],[LEN]]*7.27,0)</f>
        <v>167</v>
      </c>
      <c r="M176" s="108">
        <v>15</v>
      </c>
      <c r="N176" s="126" t="str">
        <f t="shared" si="5"/>
        <v>_self</v>
      </c>
      <c r="O176" s="108">
        <f>LEN(Tableau18[[#This Row],[LABEL]])</f>
        <v>23</v>
      </c>
      <c r="P176" s="108">
        <v>15</v>
      </c>
      <c r="Q176" s="108" t="e">
        <f>ROUND(Tableau18[[#This Row],[LEN]]*#REF!+#REF!,0)</f>
        <v>#REF!</v>
      </c>
    </row>
    <row r="177" spans="1:17" s="97" customFormat="1" x14ac:dyDescent="0.25">
      <c r="A177" s="21" t="s">
        <v>1052</v>
      </c>
      <c r="B177" s="22" t="s">
        <v>1049</v>
      </c>
      <c r="C177" s="23" t="s">
        <v>1032</v>
      </c>
      <c r="D177" s="69" t="s">
        <v>1177</v>
      </c>
      <c r="E177" s="23" t="s">
        <v>667</v>
      </c>
      <c r="F177" s="23" t="s">
        <v>1963</v>
      </c>
      <c r="G177" s="69" t="s">
        <v>167</v>
      </c>
      <c r="H177" s="69" t="s">
        <v>570</v>
      </c>
      <c r="I177" s="23"/>
      <c r="J177" s="24" t="s">
        <v>708</v>
      </c>
      <c r="K177" s="24" t="str">
        <f t="shared" si="4"/>
        <v>_</v>
      </c>
      <c r="L177" s="108">
        <f>ROUND(Tableau18[[#This Row],[LEN]]*7.27,0)</f>
        <v>153</v>
      </c>
      <c r="M177" s="108">
        <v>15</v>
      </c>
      <c r="N177" s="126" t="str">
        <f t="shared" si="5"/>
        <v>_self</v>
      </c>
      <c r="O177" s="108">
        <f>LEN(Tableau18[[#This Row],[LABEL]])</f>
        <v>21</v>
      </c>
      <c r="P177" s="108">
        <v>15</v>
      </c>
      <c r="Q177" s="108" t="e">
        <f>ROUND(Tableau18[[#This Row],[LEN]]*#REF!+#REF!,0)</f>
        <v>#REF!</v>
      </c>
    </row>
    <row r="178" spans="1:17" s="97" customFormat="1" x14ac:dyDescent="0.25">
      <c r="A178" s="21" t="s">
        <v>1053</v>
      </c>
      <c r="B178" s="22" t="s">
        <v>1049</v>
      </c>
      <c r="C178" s="23" t="s">
        <v>1033</v>
      </c>
      <c r="D178" s="69" t="s">
        <v>1177</v>
      </c>
      <c r="E178" s="23" t="s">
        <v>667</v>
      </c>
      <c r="F178" s="23" t="s">
        <v>1963</v>
      </c>
      <c r="G178" s="69" t="s">
        <v>167</v>
      </c>
      <c r="H178" s="69" t="s">
        <v>570</v>
      </c>
      <c r="I178" s="23"/>
      <c r="J178" s="24" t="s">
        <v>708</v>
      </c>
      <c r="K178" s="24" t="str">
        <f t="shared" si="4"/>
        <v>_</v>
      </c>
      <c r="L178" s="108">
        <f>ROUND(Tableau18[[#This Row],[LEN]]*7.27,0)</f>
        <v>334</v>
      </c>
      <c r="M178" s="108">
        <v>15</v>
      </c>
      <c r="N178" s="126" t="str">
        <f t="shared" si="5"/>
        <v>_self</v>
      </c>
      <c r="O178" s="108">
        <f>LEN(Tableau18[[#This Row],[LABEL]])</f>
        <v>46</v>
      </c>
      <c r="P178" s="108">
        <v>15</v>
      </c>
      <c r="Q178" s="108" t="e">
        <f>ROUND(Tableau18[[#This Row],[LEN]]*#REF!+#REF!,0)</f>
        <v>#REF!</v>
      </c>
    </row>
    <row r="179" spans="1:17" s="97" customFormat="1" x14ac:dyDescent="0.25">
      <c r="A179" s="21" t="s">
        <v>1054</v>
      </c>
      <c r="B179" s="22" t="s">
        <v>1049</v>
      </c>
      <c r="C179" s="23" t="s">
        <v>1034</v>
      </c>
      <c r="D179" s="69" t="s">
        <v>1177</v>
      </c>
      <c r="E179" s="23" t="s">
        <v>667</v>
      </c>
      <c r="F179" s="23" t="s">
        <v>1963</v>
      </c>
      <c r="G179" s="69" t="s">
        <v>167</v>
      </c>
      <c r="H179" s="69" t="s">
        <v>570</v>
      </c>
      <c r="I179" s="23"/>
      <c r="J179" s="24" t="s">
        <v>708</v>
      </c>
      <c r="K179" s="24" t="str">
        <f t="shared" si="4"/>
        <v>_</v>
      </c>
      <c r="L179" s="108">
        <f>ROUND(Tableau18[[#This Row],[LEN]]*7.27,0)</f>
        <v>393</v>
      </c>
      <c r="M179" s="108">
        <v>15</v>
      </c>
      <c r="N179" s="126" t="str">
        <f t="shared" si="5"/>
        <v>_self</v>
      </c>
      <c r="O179" s="108">
        <f>LEN(Tableau18[[#This Row],[LABEL]])</f>
        <v>54</v>
      </c>
      <c r="P179" s="108">
        <v>15</v>
      </c>
      <c r="Q179" s="108" t="e">
        <f>ROUND(Tableau18[[#This Row],[LEN]]*#REF!+#REF!,0)</f>
        <v>#REF!</v>
      </c>
    </row>
    <row r="180" spans="1:17" s="97" customFormat="1" x14ac:dyDescent="0.25">
      <c r="A180" s="21" t="s">
        <v>1055</v>
      </c>
      <c r="B180" s="22" t="s">
        <v>1049</v>
      </c>
      <c r="C180" s="23" t="s">
        <v>1035</v>
      </c>
      <c r="D180" s="69" t="s">
        <v>1177</v>
      </c>
      <c r="E180" s="23" t="s">
        <v>667</v>
      </c>
      <c r="F180" s="23" t="s">
        <v>1963</v>
      </c>
      <c r="G180" s="69" t="s">
        <v>167</v>
      </c>
      <c r="H180" s="69" t="s">
        <v>570</v>
      </c>
      <c r="I180" s="23"/>
      <c r="J180" s="24" t="s">
        <v>708</v>
      </c>
      <c r="K180" s="24" t="str">
        <f t="shared" si="4"/>
        <v>_</v>
      </c>
      <c r="L180" s="108">
        <f>ROUND(Tableau18[[#This Row],[LEN]]*7.27,0)</f>
        <v>320</v>
      </c>
      <c r="M180" s="108">
        <v>15</v>
      </c>
      <c r="N180" s="126" t="str">
        <f t="shared" si="5"/>
        <v>_self</v>
      </c>
      <c r="O180" s="108">
        <f>LEN(Tableau18[[#This Row],[LABEL]])</f>
        <v>44</v>
      </c>
      <c r="P180" s="108">
        <v>15</v>
      </c>
      <c r="Q180" s="108" t="e">
        <f>ROUND(Tableau18[[#This Row],[LEN]]*#REF!+#REF!,0)</f>
        <v>#REF!</v>
      </c>
    </row>
    <row r="181" spans="1:17" s="97" customFormat="1" x14ac:dyDescent="0.25">
      <c r="A181" s="21" t="s">
        <v>1056</v>
      </c>
      <c r="B181" s="22" t="s">
        <v>1049</v>
      </c>
      <c r="C181" s="23" t="s">
        <v>1036</v>
      </c>
      <c r="D181" s="69" t="s">
        <v>1177</v>
      </c>
      <c r="E181" s="23" t="s">
        <v>667</v>
      </c>
      <c r="F181" s="23" t="s">
        <v>1963</v>
      </c>
      <c r="G181" s="69" t="s">
        <v>167</v>
      </c>
      <c r="H181" s="69" t="s">
        <v>570</v>
      </c>
      <c r="I181" s="23"/>
      <c r="J181" s="24" t="s">
        <v>708</v>
      </c>
      <c r="K181" s="24" t="str">
        <f t="shared" si="4"/>
        <v>_</v>
      </c>
      <c r="L181" s="108">
        <f>ROUND(Tableau18[[#This Row],[LEN]]*7.27,0)</f>
        <v>95</v>
      </c>
      <c r="M181" s="108">
        <v>15</v>
      </c>
      <c r="N181" s="126" t="str">
        <f t="shared" si="5"/>
        <v>_self</v>
      </c>
      <c r="O181" s="108">
        <f>LEN(Tableau18[[#This Row],[LABEL]])</f>
        <v>13</v>
      </c>
      <c r="P181" s="108">
        <v>15</v>
      </c>
      <c r="Q181" s="108" t="e">
        <f>ROUND(Tableau18[[#This Row],[LEN]]*#REF!+#REF!,0)</f>
        <v>#REF!</v>
      </c>
    </row>
    <row r="182" spans="1:17" s="97" customFormat="1" x14ac:dyDescent="0.25">
      <c r="A182" s="21" t="s">
        <v>1057</v>
      </c>
      <c r="B182" s="22" t="s">
        <v>1049</v>
      </c>
      <c r="C182" s="23" t="s">
        <v>1037</v>
      </c>
      <c r="D182" s="69" t="s">
        <v>1177</v>
      </c>
      <c r="E182" s="23" t="s">
        <v>667</v>
      </c>
      <c r="F182" s="23" t="s">
        <v>1963</v>
      </c>
      <c r="G182" s="69" t="s">
        <v>167</v>
      </c>
      <c r="H182" s="69" t="s">
        <v>570</v>
      </c>
      <c r="I182" s="23"/>
      <c r="J182" s="24" t="s">
        <v>708</v>
      </c>
      <c r="K182" s="24" t="str">
        <f t="shared" si="4"/>
        <v>_</v>
      </c>
      <c r="L182" s="108">
        <f>ROUND(Tableau18[[#This Row],[LEN]]*7.27,0)</f>
        <v>124</v>
      </c>
      <c r="M182" s="108">
        <v>15</v>
      </c>
      <c r="N182" s="126" t="str">
        <f t="shared" si="5"/>
        <v>_self</v>
      </c>
      <c r="O182" s="108">
        <f>LEN(Tableau18[[#This Row],[LABEL]])</f>
        <v>17</v>
      </c>
      <c r="P182" s="108">
        <v>15</v>
      </c>
      <c r="Q182" s="108" t="e">
        <f>ROUND(Tableau18[[#This Row],[LEN]]*#REF!+#REF!,0)</f>
        <v>#REF!</v>
      </c>
    </row>
    <row r="183" spans="1:17" s="97" customFormat="1" x14ac:dyDescent="0.25">
      <c r="A183" s="17" t="s">
        <v>1050</v>
      </c>
      <c r="B183" s="18" t="s">
        <v>247</v>
      </c>
      <c r="C183" s="19" t="s">
        <v>110</v>
      </c>
      <c r="D183" s="68" t="s">
        <v>1177</v>
      </c>
      <c r="E183" s="19" t="s">
        <v>1177</v>
      </c>
      <c r="F183" s="19" t="s">
        <v>1084</v>
      </c>
      <c r="G183" s="68" t="s">
        <v>1977</v>
      </c>
      <c r="H183" s="68" t="s">
        <v>1131</v>
      </c>
      <c r="I183" s="19"/>
      <c r="J183" s="20" t="s">
        <v>708</v>
      </c>
      <c r="K183" s="20" t="str">
        <f t="shared" si="4"/>
        <v>_</v>
      </c>
      <c r="L183" s="107">
        <f>ROUND(Tableau18[[#This Row],[LEN]]*7.27,0)</f>
        <v>102</v>
      </c>
      <c r="M183" s="107">
        <v>15</v>
      </c>
      <c r="N183" s="125" t="str">
        <f t="shared" si="5"/>
        <v>_self</v>
      </c>
      <c r="O183" s="107">
        <f>LEN(Tableau18[[#This Row],[LABEL]])</f>
        <v>14</v>
      </c>
      <c r="P183" s="107">
        <v>15</v>
      </c>
      <c r="Q183" s="107" t="e">
        <f>ROUND(Tableau18[[#This Row],[LEN]]*#REF!+#REF!,0)</f>
        <v>#REF!</v>
      </c>
    </row>
    <row r="184" spans="1:17" s="273" customFormat="1" x14ac:dyDescent="0.25">
      <c r="A184" s="274" t="s">
        <v>1960</v>
      </c>
      <c r="B184" s="275" t="s">
        <v>205</v>
      </c>
      <c r="C184" s="276" t="s">
        <v>1950</v>
      </c>
      <c r="D184" s="277"/>
      <c r="E184" s="276" t="s">
        <v>1951</v>
      </c>
      <c r="F184" s="276" t="s">
        <v>1177</v>
      </c>
      <c r="G184" s="277" t="s">
        <v>167</v>
      </c>
      <c r="H184" s="277" t="s">
        <v>56</v>
      </c>
      <c r="I184" s="276"/>
      <c r="J184" s="278" t="s">
        <v>708</v>
      </c>
      <c r="K184" s="278" t="str">
        <f t="shared" si="4"/>
        <v>_</v>
      </c>
      <c r="L184" s="279">
        <f>ROUND(Tableau18[[#This Row],[LEN]]*7.27,0)</f>
        <v>51</v>
      </c>
      <c r="M184" s="279">
        <v>15</v>
      </c>
      <c r="N184" s="280" t="str">
        <f t="shared" si="5"/>
        <v>_self</v>
      </c>
      <c r="O184" s="279">
        <f>LEN(Tableau18[[#This Row],[LABEL]])</f>
        <v>7</v>
      </c>
      <c r="P184" s="279">
        <v>15</v>
      </c>
      <c r="Q184" s="279" t="e">
        <f>ROUND(Tableau18[[#This Row],[LEN]]*#REF!+#REF!,0)</f>
        <v>#REF!</v>
      </c>
    </row>
    <row r="185" spans="1:17" s="97" customFormat="1" x14ac:dyDescent="0.25">
      <c r="A185" s="17" t="s">
        <v>1961</v>
      </c>
      <c r="B185" s="18" t="s">
        <v>1960</v>
      </c>
      <c r="C185" s="19" t="s">
        <v>81</v>
      </c>
      <c r="D185" s="68" t="s">
        <v>1177</v>
      </c>
      <c r="E185" s="19" t="s">
        <v>667</v>
      </c>
      <c r="F185" s="19" t="s">
        <v>1963</v>
      </c>
      <c r="G185" s="68" t="s">
        <v>167</v>
      </c>
      <c r="H185" s="68" t="s">
        <v>655</v>
      </c>
      <c r="I185" s="19"/>
      <c r="J185" s="20" t="s">
        <v>708</v>
      </c>
      <c r="K185" s="20" t="str">
        <f t="shared" si="4"/>
        <v>_</v>
      </c>
      <c r="L185" s="107">
        <f>ROUND(Tableau18[[#This Row],[LEN]]*7.27,0)</f>
        <v>73</v>
      </c>
      <c r="M185" s="107">
        <v>15</v>
      </c>
      <c r="N185" s="125" t="str">
        <f t="shared" si="5"/>
        <v>_self</v>
      </c>
      <c r="O185" s="107">
        <f>LEN(Tableau18[[#This Row],[LABEL]])</f>
        <v>10</v>
      </c>
      <c r="P185" s="107">
        <v>15</v>
      </c>
      <c r="Q185" s="107" t="e">
        <f>ROUND(Tableau18[[#This Row],[LEN]]*#REF!+#REF!,0)</f>
        <v>#REF!</v>
      </c>
    </row>
    <row r="186" spans="1:17" s="97" customFormat="1" x14ac:dyDescent="0.25">
      <c r="A186" s="21" t="s">
        <v>1970</v>
      </c>
      <c r="B186" s="22" t="s">
        <v>1961</v>
      </c>
      <c r="C186" s="23" t="s">
        <v>1967</v>
      </c>
      <c r="D186" s="69" t="s">
        <v>1177</v>
      </c>
      <c r="E186" s="23" t="s">
        <v>667</v>
      </c>
      <c r="F186" s="23" t="s">
        <v>1963</v>
      </c>
      <c r="G186" s="69" t="s">
        <v>167</v>
      </c>
      <c r="H186" s="69" t="s">
        <v>570</v>
      </c>
      <c r="I186" s="23"/>
      <c r="J186" s="24" t="s">
        <v>708</v>
      </c>
      <c r="K186" s="24" t="str">
        <f t="shared" si="4"/>
        <v>_</v>
      </c>
      <c r="L186" s="108">
        <f>ROUND(Tableau18[[#This Row],[LEN]]*7.27,0)</f>
        <v>334</v>
      </c>
      <c r="M186" s="108">
        <v>15</v>
      </c>
      <c r="N186" s="126" t="str">
        <f t="shared" si="5"/>
        <v>_self</v>
      </c>
      <c r="O186" s="108">
        <f>LEN(Tableau18[[#This Row],[LABEL]])</f>
        <v>46</v>
      </c>
      <c r="P186" s="108">
        <v>15</v>
      </c>
      <c r="Q186" s="108" t="e">
        <f>ROUND(Tableau18[[#This Row],[LEN]]*#REF!+#REF!,0)</f>
        <v>#REF!</v>
      </c>
    </row>
    <row r="187" spans="1:17" s="97" customFormat="1" x14ac:dyDescent="0.25">
      <c r="A187" s="21" t="s">
        <v>1971</v>
      </c>
      <c r="B187" s="22" t="s">
        <v>1961</v>
      </c>
      <c r="C187" s="23" t="s">
        <v>1974</v>
      </c>
      <c r="D187" s="69" t="s">
        <v>1969</v>
      </c>
      <c r="E187" s="23" t="s">
        <v>667</v>
      </c>
      <c r="F187" s="23" t="s">
        <v>1963</v>
      </c>
      <c r="G187" s="69" t="s">
        <v>167</v>
      </c>
      <c r="H187" s="69" t="s">
        <v>570</v>
      </c>
      <c r="I187" s="23"/>
      <c r="J187" s="24" t="s">
        <v>708</v>
      </c>
      <c r="K187" s="24" t="str">
        <f t="shared" si="4"/>
        <v>_</v>
      </c>
      <c r="L187" s="108">
        <f>ROUND(Tableau18[[#This Row],[LEN]]*7.27,0)</f>
        <v>262</v>
      </c>
      <c r="M187" s="108">
        <v>15</v>
      </c>
      <c r="N187" s="126" t="str">
        <f t="shared" si="5"/>
        <v>_self</v>
      </c>
      <c r="O187" s="108">
        <f>LEN(Tableau18[[#This Row],[LABEL]])</f>
        <v>36</v>
      </c>
      <c r="P187" s="108">
        <v>15</v>
      </c>
      <c r="Q187" s="108" t="e">
        <f>ROUND(Tableau18[[#This Row],[LEN]]*#REF!+#REF!,0)</f>
        <v>#REF!</v>
      </c>
    </row>
    <row r="188" spans="1:17" s="97" customFormat="1" x14ac:dyDescent="0.25">
      <c r="A188" s="21" t="s">
        <v>1972</v>
      </c>
      <c r="B188" s="22" t="s">
        <v>1961</v>
      </c>
      <c r="C188" s="23" t="s">
        <v>1976</v>
      </c>
      <c r="D188" s="69" t="s">
        <v>1177</v>
      </c>
      <c r="E188" s="23" t="s">
        <v>667</v>
      </c>
      <c r="F188" s="23" t="s">
        <v>1963</v>
      </c>
      <c r="G188" s="69" t="s">
        <v>167</v>
      </c>
      <c r="H188" s="69" t="s">
        <v>570</v>
      </c>
      <c r="I188" s="23"/>
      <c r="J188" s="24" t="s">
        <v>708</v>
      </c>
      <c r="K188" s="24" t="str">
        <f t="shared" si="4"/>
        <v>_</v>
      </c>
      <c r="L188" s="108">
        <f>ROUND(Tableau18[[#This Row],[LEN]]*7.27,0)</f>
        <v>443</v>
      </c>
      <c r="M188" s="108">
        <v>15</v>
      </c>
      <c r="N188" s="126" t="str">
        <f t="shared" si="5"/>
        <v>_self</v>
      </c>
      <c r="O188" s="108">
        <f>LEN(Tableau18[[#This Row],[LABEL]])</f>
        <v>61</v>
      </c>
      <c r="P188" s="108">
        <v>15</v>
      </c>
      <c r="Q188" s="108" t="e">
        <f>ROUND(Tableau18[[#This Row],[LEN]]*#REF!+#REF!,0)</f>
        <v>#REF!</v>
      </c>
    </row>
    <row r="189" spans="1:17" s="97" customFormat="1" x14ac:dyDescent="0.25">
      <c r="A189" s="21" t="s">
        <v>1973</v>
      </c>
      <c r="B189" s="22" t="s">
        <v>1961</v>
      </c>
      <c r="C189" s="23" t="s">
        <v>1975</v>
      </c>
      <c r="D189" s="69" t="s">
        <v>1968</v>
      </c>
      <c r="E189" s="23" t="s">
        <v>667</v>
      </c>
      <c r="F189" s="23" t="s">
        <v>1963</v>
      </c>
      <c r="G189" s="69" t="s">
        <v>167</v>
      </c>
      <c r="H189" s="69" t="s">
        <v>570</v>
      </c>
      <c r="I189" s="23"/>
      <c r="J189" s="24" t="s">
        <v>708</v>
      </c>
      <c r="K189" s="24" t="str">
        <f t="shared" si="4"/>
        <v>_</v>
      </c>
      <c r="L189" s="108">
        <f>ROUND(Tableau18[[#This Row],[LEN]]*7.27,0)</f>
        <v>167</v>
      </c>
      <c r="M189" s="108">
        <v>15</v>
      </c>
      <c r="N189" s="126" t="str">
        <f t="shared" si="5"/>
        <v>_self</v>
      </c>
      <c r="O189" s="108">
        <f>LEN(Tableau18[[#This Row],[LABEL]])</f>
        <v>23</v>
      </c>
      <c r="P189" s="108">
        <v>15</v>
      </c>
      <c r="Q189" s="108" t="e">
        <f>ROUND(Tableau18[[#This Row],[LEN]]*#REF!+#REF!,0)</f>
        <v>#REF!</v>
      </c>
    </row>
    <row r="190" spans="1:17" s="97" customFormat="1" x14ac:dyDescent="0.25">
      <c r="A190" s="17" t="s">
        <v>1962</v>
      </c>
      <c r="B190" s="18" t="s">
        <v>1960</v>
      </c>
      <c r="C190" s="19" t="s">
        <v>110</v>
      </c>
      <c r="D190" s="68" t="s">
        <v>1177</v>
      </c>
      <c r="E190" s="19" t="s">
        <v>1177</v>
      </c>
      <c r="F190" s="19" t="s">
        <v>1084</v>
      </c>
      <c r="G190" s="68" t="s">
        <v>1977</v>
      </c>
      <c r="H190" s="68" t="s">
        <v>1131</v>
      </c>
      <c r="I190" s="19"/>
      <c r="J190" s="20" t="s">
        <v>708</v>
      </c>
      <c r="K190" s="20" t="str">
        <f t="shared" si="4"/>
        <v>_</v>
      </c>
      <c r="L190" s="107">
        <f>ROUND(Tableau18[[#This Row],[LEN]]*7.27,0)</f>
        <v>102</v>
      </c>
      <c r="M190" s="107">
        <v>15</v>
      </c>
      <c r="N190" s="125" t="str">
        <f t="shared" si="5"/>
        <v>_self</v>
      </c>
      <c r="O190" s="107">
        <f>LEN(Tableau18[[#This Row],[LABEL]])</f>
        <v>14</v>
      </c>
      <c r="P190" s="107">
        <v>15</v>
      </c>
      <c r="Q190" s="107" t="e">
        <f>ROUND(Tableau18[[#This Row],[LEN]]*#REF!+#REF!,0)</f>
        <v>#REF!</v>
      </c>
    </row>
    <row r="191" spans="1:17" s="97" customFormat="1" ht="15.75" thickBot="1" x14ac:dyDescent="0.3">
      <c r="A191" s="170" t="s">
        <v>206</v>
      </c>
      <c r="B191" s="170" t="s">
        <v>198</v>
      </c>
      <c r="C191" s="171" t="s">
        <v>174</v>
      </c>
      <c r="D191" s="172" t="s">
        <v>186</v>
      </c>
      <c r="E191" s="171" t="s">
        <v>1177</v>
      </c>
      <c r="F191" s="172" t="s">
        <v>1177</v>
      </c>
      <c r="G191" s="171" t="s">
        <v>166</v>
      </c>
      <c r="H191" s="171" t="s">
        <v>616</v>
      </c>
      <c r="I191" s="172"/>
      <c r="J191" s="173" t="s">
        <v>708</v>
      </c>
      <c r="K191" s="173" t="str">
        <f t="shared" si="4"/>
        <v>_</v>
      </c>
      <c r="L191" s="174">
        <f>ROUND(Tableau18[[#This Row],[LEN]]*7.27,0)</f>
        <v>65</v>
      </c>
      <c r="M191" s="174">
        <v>15</v>
      </c>
      <c r="N191" s="175" t="str">
        <f t="shared" si="5"/>
        <v>_self</v>
      </c>
      <c r="O191" s="174">
        <f>LEN(Tableau18[[#This Row],[LABEL]])</f>
        <v>9</v>
      </c>
      <c r="P191" s="176">
        <v>15</v>
      </c>
      <c r="Q191" s="176" t="e">
        <f>ROUND(Tableau18[[#This Row],[LEN]]*#REF!+#REF!,0)</f>
        <v>#REF!</v>
      </c>
    </row>
    <row r="192" spans="1:17" s="92" customFormat="1" ht="15.75" thickTop="1" x14ac:dyDescent="0.25">
      <c r="A192" s="288" t="s">
        <v>249</v>
      </c>
      <c r="B192" s="289" t="s">
        <v>206</v>
      </c>
      <c r="C192" s="290" t="s">
        <v>57</v>
      </c>
      <c r="D192" s="291" t="s">
        <v>1177</v>
      </c>
      <c r="E192" s="290" t="s">
        <v>663</v>
      </c>
      <c r="F192" s="290" t="s">
        <v>1177</v>
      </c>
      <c r="G192" s="291" t="s">
        <v>166</v>
      </c>
      <c r="H192" s="291" t="str">
        <f>IFERROR(IF(SEARCH(".00.00.00.00.00",Tableau18[[#This Row],[name]],1)=7,"Division",""),"")</f>
        <v>Division</v>
      </c>
      <c r="I192" s="290"/>
      <c r="J192" s="292" t="s">
        <v>708</v>
      </c>
      <c r="K192" s="292" t="str">
        <f t="shared" si="4"/>
        <v>_</v>
      </c>
      <c r="L192" s="293">
        <f>ROUND(Tableau18[[#This Row],[LEN]]*7.27,0)</f>
        <v>102</v>
      </c>
      <c r="M192" s="293">
        <v>15</v>
      </c>
      <c r="N192" s="294" t="str">
        <f t="shared" si="5"/>
        <v>_self</v>
      </c>
      <c r="O192" s="293">
        <f>LEN(Tableau18[[#This Row],[LABEL]])</f>
        <v>14</v>
      </c>
      <c r="P192" s="293">
        <v>15</v>
      </c>
      <c r="Q192" s="293" t="e">
        <f>ROUND(Tableau18[[#This Row],[LEN]]*#REF!+#REF!,0)</f>
        <v>#REF!</v>
      </c>
    </row>
    <row r="193" spans="1:17" s="97" customFormat="1" x14ac:dyDescent="0.25">
      <c r="A193" s="25" t="s">
        <v>760</v>
      </c>
      <c r="B193" s="26" t="s">
        <v>249</v>
      </c>
      <c r="C193" s="27" t="s">
        <v>774</v>
      </c>
      <c r="D193" s="70" t="s">
        <v>1177</v>
      </c>
      <c r="E193" s="27" t="s">
        <v>663</v>
      </c>
      <c r="F193" s="27" t="s">
        <v>1177</v>
      </c>
      <c r="G193" s="70" t="s">
        <v>166</v>
      </c>
      <c r="H193" s="70" t="s">
        <v>656</v>
      </c>
      <c r="I193" s="27"/>
      <c r="J193" s="28" t="s">
        <v>708</v>
      </c>
      <c r="K193" s="28" t="str">
        <f t="shared" si="4"/>
        <v>_</v>
      </c>
      <c r="L193" s="109">
        <f>ROUND(Tableau18[[#This Row],[LEN]]*7.27,0)</f>
        <v>393</v>
      </c>
      <c r="M193" s="109">
        <v>15</v>
      </c>
      <c r="N193" s="127" t="str">
        <f t="shared" si="5"/>
        <v>_self</v>
      </c>
      <c r="O193" s="109">
        <f>LEN(Tableau18[[#This Row],[LABEL]])</f>
        <v>54</v>
      </c>
      <c r="P193" s="109">
        <v>15</v>
      </c>
      <c r="Q193" s="109" t="e">
        <f>ROUND(Tableau18[[#This Row],[LEN]]*#REF!+#REF!,0)</f>
        <v>#REF!</v>
      </c>
    </row>
    <row r="194" spans="1:17" s="97" customFormat="1" x14ac:dyDescent="0.25">
      <c r="A194" s="25" t="s">
        <v>761</v>
      </c>
      <c r="B194" s="26" t="s">
        <v>249</v>
      </c>
      <c r="C194" s="27" t="s">
        <v>781</v>
      </c>
      <c r="D194" s="70" t="s">
        <v>1177</v>
      </c>
      <c r="E194" s="27" t="s">
        <v>663</v>
      </c>
      <c r="F194" s="27" t="s">
        <v>1177</v>
      </c>
      <c r="G194" s="70" t="s">
        <v>166</v>
      </c>
      <c r="H194" s="70" t="s">
        <v>655</v>
      </c>
      <c r="I194" s="27"/>
      <c r="J194" s="28" t="s">
        <v>708</v>
      </c>
      <c r="K194" s="28" t="str">
        <f t="shared" ref="K194:K257" si="6">IF(J194="javascript:void(0)","_","Documentation")</f>
        <v>_</v>
      </c>
      <c r="L194" s="109">
        <f>ROUND(Tableau18[[#This Row],[LEN]]*7.27,0)</f>
        <v>218</v>
      </c>
      <c r="M194" s="109">
        <v>15</v>
      </c>
      <c r="N194" s="127" t="str">
        <f t="shared" si="5"/>
        <v>_self</v>
      </c>
      <c r="O194" s="109">
        <f>LEN(Tableau18[[#This Row],[LABEL]])</f>
        <v>30</v>
      </c>
      <c r="P194" s="109">
        <v>15</v>
      </c>
      <c r="Q194" s="109" t="e">
        <f>ROUND(Tableau18[[#This Row],[LEN]]*#REF!+#REF!,0)</f>
        <v>#REF!</v>
      </c>
    </row>
    <row r="195" spans="1:17" s="97" customFormat="1" x14ac:dyDescent="0.25">
      <c r="A195" s="29" t="s">
        <v>787</v>
      </c>
      <c r="B195" s="30" t="s">
        <v>761</v>
      </c>
      <c r="C195" s="31" t="s">
        <v>789</v>
      </c>
      <c r="D195" s="71" t="s">
        <v>1177</v>
      </c>
      <c r="E195" s="31" t="s">
        <v>663</v>
      </c>
      <c r="F195" s="31" t="s">
        <v>1177</v>
      </c>
      <c r="G195" s="71" t="s">
        <v>166</v>
      </c>
      <c r="H195" s="85" t="s">
        <v>654</v>
      </c>
      <c r="I195" s="31"/>
      <c r="J195" s="103" t="s">
        <v>708</v>
      </c>
      <c r="K195" s="103" t="str">
        <f t="shared" si="6"/>
        <v>_</v>
      </c>
      <c r="L195" s="110">
        <f>ROUND(Tableau18[[#This Row],[LEN]]*7.27,0)</f>
        <v>189</v>
      </c>
      <c r="M195" s="110">
        <v>15</v>
      </c>
      <c r="N195" s="128" t="str">
        <f t="shared" ref="N195:N258" si="7">IF(J195="javascript:void(0)","_self","_blank")</f>
        <v>_self</v>
      </c>
      <c r="O195" s="111">
        <f>LEN(Tableau18[[#This Row],[LABEL]])</f>
        <v>26</v>
      </c>
      <c r="P195" s="111">
        <v>15</v>
      </c>
      <c r="Q195" s="111" t="e">
        <f>ROUND(Tableau18[[#This Row],[LEN]]*#REF!+#REF!,0)</f>
        <v>#REF!</v>
      </c>
    </row>
    <row r="196" spans="1:17" s="97" customFormat="1" x14ac:dyDescent="0.25">
      <c r="A196" s="29" t="s">
        <v>788</v>
      </c>
      <c r="B196" s="30" t="s">
        <v>761</v>
      </c>
      <c r="C196" s="31" t="s">
        <v>790</v>
      </c>
      <c r="D196" s="71" t="s">
        <v>1177</v>
      </c>
      <c r="E196" s="31" t="s">
        <v>663</v>
      </c>
      <c r="F196" s="31" t="s">
        <v>1177</v>
      </c>
      <c r="G196" s="71" t="s">
        <v>166</v>
      </c>
      <c r="H196" s="85" t="s">
        <v>654</v>
      </c>
      <c r="I196" s="31"/>
      <c r="J196" s="103" t="s">
        <v>708</v>
      </c>
      <c r="K196" s="103" t="str">
        <f t="shared" si="6"/>
        <v>_</v>
      </c>
      <c r="L196" s="110">
        <f>ROUND(Tableau18[[#This Row],[LEN]]*7.27,0)</f>
        <v>349</v>
      </c>
      <c r="M196" s="110">
        <v>15</v>
      </c>
      <c r="N196" s="128" t="str">
        <f t="shared" si="7"/>
        <v>_self</v>
      </c>
      <c r="O196" s="111">
        <f>LEN(Tableau18[[#This Row],[LABEL]])</f>
        <v>48</v>
      </c>
      <c r="P196" s="111">
        <v>15</v>
      </c>
      <c r="Q196" s="111" t="e">
        <f>ROUND(Tableau18[[#This Row],[LEN]]*#REF!+#REF!,0)</f>
        <v>#REF!</v>
      </c>
    </row>
    <row r="197" spans="1:17" s="97" customFormat="1" x14ac:dyDescent="0.25">
      <c r="A197" s="25" t="s">
        <v>762</v>
      </c>
      <c r="B197" s="26" t="s">
        <v>249</v>
      </c>
      <c r="C197" s="27" t="s">
        <v>775</v>
      </c>
      <c r="D197" s="70" t="s">
        <v>1177</v>
      </c>
      <c r="E197" s="27" t="s">
        <v>663</v>
      </c>
      <c r="F197" s="27" t="s">
        <v>1177</v>
      </c>
      <c r="G197" s="70" t="s">
        <v>166</v>
      </c>
      <c r="H197" s="70" t="s">
        <v>654</v>
      </c>
      <c r="I197" s="27"/>
      <c r="J197" s="28" t="s">
        <v>708</v>
      </c>
      <c r="K197" s="28" t="str">
        <f t="shared" si="6"/>
        <v>_</v>
      </c>
      <c r="L197" s="109">
        <f>ROUND(Tableau18[[#This Row],[LEN]]*7.27,0)</f>
        <v>378</v>
      </c>
      <c r="M197" s="109">
        <v>15</v>
      </c>
      <c r="N197" s="127" t="str">
        <f t="shared" si="7"/>
        <v>_self</v>
      </c>
      <c r="O197" s="109">
        <f>LEN(Tableau18[[#This Row],[LABEL]])</f>
        <v>52</v>
      </c>
      <c r="P197" s="109">
        <v>15</v>
      </c>
      <c r="Q197" s="109" t="e">
        <f>ROUND(Tableau18[[#This Row],[LEN]]*#REF!+#REF!,0)</f>
        <v>#REF!</v>
      </c>
    </row>
    <row r="198" spans="1:17" s="97" customFormat="1" x14ac:dyDescent="0.25">
      <c r="A198" s="25" t="s">
        <v>763</v>
      </c>
      <c r="B198" s="26" t="s">
        <v>249</v>
      </c>
      <c r="C198" s="27" t="s">
        <v>88</v>
      </c>
      <c r="D198" s="70" t="s">
        <v>1177</v>
      </c>
      <c r="E198" s="27" t="s">
        <v>667</v>
      </c>
      <c r="F198" s="27" t="s">
        <v>1218</v>
      </c>
      <c r="G198" s="70" t="s">
        <v>166</v>
      </c>
      <c r="H198" s="70" t="s">
        <v>570</v>
      </c>
      <c r="I198" s="27"/>
      <c r="J198" s="28" t="s">
        <v>708</v>
      </c>
      <c r="K198" s="28" t="str">
        <f t="shared" si="6"/>
        <v>_</v>
      </c>
      <c r="L198" s="109">
        <f>ROUND(Tableau18[[#This Row],[LEN]]*7.27,0)</f>
        <v>342</v>
      </c>
      <c r="M198" s="109">
        <v>15</v>
      </c>
      <c r="N198" s="127" t="str">
        <f t="shared" si="7"/>
        <v>_self</v>
      </c>
      <c r="O198" s="109">
        <f>LEN(Tableau18[[#This Row],[LABEL]])</f>
        <v>47</v>
      </c>
      <c r="P198" s="109">
        <v>15</v>
      </c>
      <c r="Q198" s="109" t="e">
        <f>ROUND(Tableau18[[#This Row],[LEN]]*#REF!+#REF!,0)</f>
        <v>#REF!</v>
      </c>
    </row>
    <row r="199" spans="1:17" s="97" customFormat="1" x14ac:dyDescent="0.25">
      <c r="A199" s="25" t="s">
        <v>764</v>
      </c>
      <c r="B199" s="26" t="s">
        <v>249</v>
      </c>
      <c r="C199" s="27" t="s">
        <v>776</v>
      </c>
      <c r="D199" s="70" t="s">
        <v>1177</v>
      </c>
      <c r="E199" s="27" t="s">
        <v>663</v>
      </c>
      <c r="F199" s="27" t="s">
        <v>970</v>
      </c>
      <c r="G199" s="70" t="s">
        <v>166</v>
      </c>
      <c r="H199" s="70" t="s">
        <v>655</v>
      </c>
      <c r="I199" s="27"/>
      <c r="J199" s="28" t="s">
        <v>708</v>
      </c>
      <c r="K199" s="28" t="str">
        <f t="shared" si="6"/>
        <v>_</v>
      </c>
      <c r="L199" s="109">
        <f>ROUND(Tableau18[[#This Row],[LEN]]*7.27,0)</f>
        <v>44</v>
      </c>
      <c r="M199" s="109">
        <v>15</v>
      </c>
      <c r="N199" s="127" t="str">
        <f t="shared" si="7"/>
        <v>_self</v>
      </c>
      <c r="O199" s="109">
        <f>LEN(Tableau18[[#This Row],[LABEL]])</f>
        <v>6</v>
      </c>
      <c r="P199" s="109">
        <v>15</v>
      </c>
      <c r="Q199" s="109" t="e">
        <f>ROUND(Tableau18[[#This Row],[LEN]]*#REF!+#REF!,0)</f>
        <v>#REF!</v>
      </c>
    </row>
    <row r="200" spans="1:17" s="97" customFormat="1" x14ac:dyDescent="0.25">
      <c r="A200" s="29" t="s">
        <v>791</v>
      </c>
      <c r="B200" s="30" t="s">
        <v>764</v>
      </c>
      <c r="C200" s="31" t="s">
        <v>794</v>
      </c>
      <c r="D200" s="71" t="s">
        <v>1177</v>
      </c>
      <c r="E200" s="31" t="s">
        <v>663</v>
      </c>
      <c r="F200" s="31" t="s">
        <v>970</v>
      </c>
      <c r="G200" s="71" t="s">
        <v>166</v>
      </c>
      <c r="H200" s="85" t="s">
        <v>18</v>
      </c>
      <c r="I200" s="31"/>
      <c r="J200" s="103" t="s">
        <v>708</v>
      </c>
      <c r="K200" s="103" t="str">
        <f t="shared" si="6"/>
        <v>_</v>
      </c>
      <c r="L200" s="110">
        <f>ROUND(Tableau18[[#This Row],[LEN]]*7.27,0)</f>
        <v>65</v>
      </c>
      <c r="M200" s="110">
        <v>15</v>
      </c>
      <c r="N200" s="128" t="str">
        <f t="shared" si="7"/>
        <v>_self</v>
      </c>
      <c r="O200" s="111">
        <f>LEN(Tableau18[[#This Row],[LABEL]])</f>
        <v>9</v>
      </c>
      <c r="P200" s="111">
        <v>15</v>
      </c>
      <c r="Q200" s="111" t="e">
        <f>ROUND(Tableau18[[#This Row],[LEN]]*#REF!+#REF!,0)</f>
        <v>#REF!</v>
      </c>
    </row>
    <row r="201" spans="1:17" s="97" customFormat="1" x14ac:dyDescent="0.25">
      <c r="A201" s="29" t="s">
        <v>792</v>
      </c>
      <c r="B201" s="30" t="s">
        <v>764</v>
      </c>
      <c r="C201" s="31" t="s">
        <v>795</v>
      </c>
      <c r="D201" s="71" t="s">
        <v>1177</v>
      </c>
      <c r="E201" s="31" t="s">
        <v>663</v>
      </c>
      <c r="F201" s="31" t="s">
        <v>970</v>
      </c>
      <c r="G201" s="71" t="s">
        <v>166</v>
      </c>
      <c r="H201" s="85" t="s">
        <v>18</v>
      </c>
      <c r="I201" s="31"/>
      <c r="J201" s="103" t="s">
        <v>708</v>
      </c>
      <c r="K201" s="103" t="str">
        <f t="shared" si="6"/>
        <v>_</v>
      </c>
      <c r="L201" s="110">
        <f>ROUND(Tableau18[[#This Row],[LEN]]*7.27,0)</f>
        <v>65</v>
      </c>
      <c r="M201" s="110">
        <v>15</v>
      </c>
      <c r="N201" s="128" t="str">
        <f t="shared" si="7"/>
        <v>_self</v>
      </c>
      <c r="O201" s="111">
        <f>LEN(Tableau18[[#This Row],[LABEL]])</f>
        <v>9</v>
      </c>
      <c r="P201" s="111">
        <v>15</v>
      </c>
      <c r="Q201" s="111" t="e">
        <f>ROUND(Tableau18[[#This Row],[LEN]]*#REF!+#REF!,0)</f>
        <v>#REF!</v>
      </c>
    </row>
    <row r="202" spans="1:17" s="97" customFormat="1" x14ac:dyDescent="0.25">
      <c r="A202" s="29" t="s">
        <v>793</v>
      </c>
      <c r="B202" s="30" t="s">
        <v>764</v>
      </c>
      <c r="C202" s="31" t="s">
        <v>796</v>
      </c>
      <c r="D202" s="71" t="s">
        <v>1177</v>
      </c>
      <c r="E202" s="31" t="s">
        <v>663</v>
      </c>
      <c r="F202" s="31" t="s">
        <v>970</v>
      </c>
      <c r="G202" s="71" t="s">
        <v>166</v>
      </c>
      <c r="H202" s="85" t="s">
        <v>18</v>
      </c>
      <c r="I202" s="31"/>
      <c r="J202" s="103" t="s">
        <v>708</v>
      </c>
      <c r="K202" s="103" t="str">
        <f t="shared" si="6"/>
        <v>_</v>
      </c>
      <c r="L202" s="110">
        <f>ROUND(Tableau18[[#This Row],[LEN]]*7.27,0)</f>
        <v>73</v>
      </c>
      <c r="M202" s="110">
        <v>15</v>
      </c>
      <c r="N202" s="128" t="str">
        <f t="shared" si="7"/>
        <v>_self</v>
      </c>
      <c r="O202" s="111">
        <f>LEN(Tableau18[[#This Row],[LABEL]])</f>
        <v>10</v>
      </c>
      <c r="P202" s="111">
        <v>15</v>
      </c>
      <c r="Q202" s="111" t="e">
        <f>ROUND(Tableau18[[#This Row],[LEN]]*#REF!+#REF!,0)</f>
        <v>#REF!</v>
      </c>
    </row>
    <row r="203" spans="1:17" s="97" customFormat="1" x14ac:dyDescent="0.25">
      <c r="A203" s="29" t="s">
        <v>797</v>
      </c>
      <c r="B203" s="30" t="s">
        <v>764</v>
      </c>
      <c r="C203" s="31" t="s">
        <v>801</v>
      </c>
      <c r="D203" s="71" t="s">
        <v>1177</v>
      </c>
      <c r="E203" s="31" t="s">
        <v>663</v>
      </c>
      <c r="F203" s="31" t="s">
        <v>970</v>
      </c>
      <c r="G203" s="71" t="s">
        <v>166</v>
      </c>
      <c r="H203" s="85" t="s">
        <v>18</v>
      </c>
      <c r="I203" s="31"/>
      <c r="J203" s="103" t="s">
        <v>708</v>
      </c>
      <c r="K203" s="103" t="str">
        <f t="shared" si="6"/>
        <v>_</v>
      </c>
      <c r="L203" s="110">
        <f>ROUND(Tableau18[[#This Row],[LEN]]*7.27,0)</f>
        <v>73</v>
      </c>
      <c r="M203" s="110">
        <v>15</v>
      </c>
      <c r="N203" s="128" t="str">
        <f t="shared" si="7"/>
        <v>_self</v>
      </c>
      <c r="O203" s="111">
        <f>LEN(Tableau18[[#This Row],[LABEL]])</f>
        <v>10</v>
      </c>
      <c r="P203" s="111">
        <v>15</v>
      </c>
      <c r="Q203" s="111" t="e">
        <f>ROUND(Tableau18[[#This Row],[LEN]]*#REF!+#REF!,0)</f>
        <v>#REF!</v>
      </c>
    </row>
    <row r="204" spans="1:17" s="97" customFormat="1" x14ac:dyDescent="0.25">
      <c r="A204" s="29" t="s">
        <v>798</v>
      </c>
      <c r="B204" s="30" t="s">
        <v>764</v>
      </c>
      <c r="C204" s="31" t="s">
        <v>806</v>
      </c>
      <c r="D204" s="71" t="s">
        <v>1177</v>
      </c>
      <c r="E204" s="31" t="s">
        <v>663</v>
      </c>
      <c r="F204" s="31" t="s">
        <v>970</v>
      </c>
      <c r="G204" s="71" t="s">
        <v>166</v>
      </c>
      <c r="H204" s="85" t="s">
        <v>18</v>
      </c>
      <c r="I204" s="31"/>
      <c r="J204" s="103" t="s">
        <v>708</v>
      </c>
      <c r="K204" s="103" t="str">
        <f t="shared" si="6"/>
        <v>_</v>
      </c>
      <c r="L204" s="110">
        <f>ROUND(Tableau18[[#This Row],[LEN]]*7.27,0)</f>
        <v>174</v>
      </c>
      <c r="M204" s="110">
        <v>15</v>
      </c>
      <c r="N204" s="128" t="str">
        <f t="shared" si="7"/>
        <v>_self</v>
      </c>
      <c r="O204" s="111">
        <f>LEN(Tableau18[[#This Row],[LABEL]])</f>
        <v>24</v>
      </c>
      <c r="P204" s="111">
        <v>15</v>
      </c>
      <c r="Q204" s="111" t="e">
        <f>ROUND(Tableau18[[#This Row],[LEN]]*#REF!+#REF!,0)</f>
        <v>#REF!</v>
      </c>
    </row>
    <row r="205" spans="1:17" s="97" customFormat="1" x14ac:dyDescent="0.25">
      <c r="A205" s="29" t="s">
        <v>799</v>
      </c>
      <c r="B205" s="30" t="s">
        <v>764</v>
      </c>
      <c r="C205" s="31" t="s">
        <v>807</v>
      </c>
      <c r="D205" s="71" t="s">
        <v>1177</v>
      </c>
      <c r="E205" s="31" t="s">
        <v>663</v>
      </c>
      <c r="F205" s="31" t="s">
        <v>970</v>
      </c>
      <c r="G205" s="71" t="s">
        <v>166</v>
      </c>
      <c r="H205" s="85" t="s">
        <v>18</v>
      </c>
      <c r="I205" s="31"/>
      <c r="J205" s="103" t="s">
        <v>708</v>
      </c>
      <c r="K205" s="103" t="str">
        <f t="shared" si="6"/>
        <v>_</v>
      </c>
      <c r="L205" s="110">
        <f>ROUND(Tableau18[[#This Row],[LEN]]*7.27,0)</f>
        <v>218</v>
      </c>
      <c r="M205" s="110">
        <v>15</v>
      </c>
      <c r="N205" s="128" t="str">
        <f t="shared" si="7"/>
        <v>_self</v>
      </c>
      <c r="O205" s="111">
        <f>LEN(Tableau18[[#This Row],[LABEL]])</f>
        <v>30</v>
      </c>
      <c r="P205" s="111">
        <v>15</v>
      </c>
      <c r="Q205" s="111" t="e">
        <f>ROUND(Tableau18[[#This Row],[LEN]]*#REF!+#REF!,0)</f>
        <v>#REF!</v>
      </c>
    </row>
    <row r="206" spans="1:17" s="97" customFormat="1" x14ac:dyDescent="0.25">
      <c r="A206" s="29" t="s">
        <v>800</v>
      </c>
      <c r="B206" s="30" t="s">
        <v>764</v>
      </c>
      <c r="C206" s="31" t="s">
        <v>808</v>
      </c>
      <c r="D206" s="71" t="s">
        <v>1177</v>
      </c>
      <c r="E206" s="31" t="s">
        <v>663</v>
      </c>
      <c r="F206" s="31" t="s">
        <v>970</v>
      </c>
      <c r="G206" s="71" t="s">
        <v>166</v>
      </c>
      <c r="H206" s="85" t="s">
        <v>18</v>
      </c>
      <c r="I206" s="31"/>
      <c r="J206" s="103" t="s">
        <v>708</v>
      </c>
      <c r="K206" s="103" t="str">
        <f t="shared" si="6"/>
        <v>_</v>
      </c>
      <c r="L206" s="110">
        <f>ROUND(Tableau18[[#This Row],[LEN]]*7.27,0)</f>
        <v>15</v>
      </c>
      <c r="M206" s="110">
        <v>15</v>
      </c>
      <c r="N206" s="128" t="str">
        <f t="shared" si="7"/>
        <v>_self</v>
      </c>
      <c r="O206" s="111">
        <f>LEN(Tableau18[[#This Row],[LABEL]])</f>
        <v>2</v>
      </c>
      <c r="P206" s="111">
        <v>15</v>
      </c>
      <c r="Q206" s="111" t="e">
        <f>ROUND(Tableau18[[#This Row],[LEN]]*#REF!+#REF!,0)</f>
        <v>#REF!</v>
      </c>
    </row>
    <row r="207" spans="1:17" s="97" customFormat="1" x14ac:dyDescent="0.25">
      <c r="A207" s="29" t="s">
        <v>802</v>
      </c>
      <c r="B207" s="30" t="s">
        <v>764</v>
      </c>
      <c r="C207" s="31" t="s">
        <v>809</v>
      </c>
      <c r="D207" s="71" t="s">
        <v>1177</v>
      </c>
      <c r="E207" s="31" t="s">
        <v>663</v>
      </c>
      <c r="F207" s="31" t="s">
        <v>970</v>
      </c>
      <c r="G207" s="71" t="s">
        <v>166</v>
      </c>
      <c r="H207" s="85" t="s">
        <v>18</v>
      </c>
      <c r="I207" s="31"/>
      <c r="J207" s="103" t="s">
        <v>708</v>
      </c>
      <c r="K207" s="103" t="str">
        <f t="shared" si="6"/>
        <v>_</v>
      </c>
      <c r="L207" s="110">
        <f>ROUND(Tableau18[[#This Row],[LEN]]*7.27,0)</f>
        <v>65</v>
      </c>
      <c r="M207" s="110">
        <v>15</v>
      </c>
      <c r="N207" s="128" t="str">
        <f t="shared" si="7"/>
        <v>_self</v>
      </c>
      <c r="O207" s="111">
        <f>LEN(Tableau18[[#This Row],[LABEL]])</f>
        <v>9</v>
      </c>
      <c r="P207" s="111">
        <v>15</v>
      </c>
      <c r="Q207" s="111" t="e">
        <f>ROUND(Tableau18[[#This Row],[LEN]]*#REF!+#REF!,0)</f>
        <v>#REF!</v>
      </c>
    </row>
    <row r="208" spans="1:17" s="97" customFormat="1" x14ac:dyDescent="0.25">
      <c r="A208" s="29" t="s">
        <v>803</v>
      </c>
      <c r="B208" s="30" t="s">
        <v>764</v>
      </c>
      <c r="C208" s="31" t="s">
        <v>810</v>
      </c>
      <c r="D208" s="71" t="s">
        <v>1177</v>
      </c>
      <c r="E208" s="31" t="s">
        <v>663</v>
      </c>
      <c r="F208" s="31" t="s">
        <v>970</v>
      </c>
      <c r="G208" s="71" t="s">
        <v>166</v>
      </c>
      <c r="H208" s="85" t="s">
        <v>18</v>
      </c>
      <c r="I208" s="31"/>
      <c r="J208" s="103" t="s">
        <v>708</v>
      </c>
      <c r="K208" s="103" t="str">
        <f t="shared" si="6"/>
        <v>_</v>
      </c>
      <c r="L208" s="110">
        <f>ROUND(Tableau18[[#This Row],[LEN]]*7.27,0)</f>
        <v>225</v>
      </c>
      <c r="M208" s="110">
        <v>15</v>
      </c>
      <c r="N208" s="128" t="str">
        <f t="shared" si="7"/>
        <v>_self</v>
      </c>
      <c r="O208" s="111">
        <f>LEN(Tableau18[[#This Row],[LABEL]])</f>
        <v>31</v>
      </c>
      <c r="P208" s="111">
        <v>15</v>
      </c>
      <c r="Q208" s="111" t="e">
        <f>ROUND(Tableau18[[#This Row],[LEN]]*#REF!+#REF!,0)</f>
        <v>#REF!</v>
      </c>
    </row>
    <row r="209" spans="1:17" s="97" customFormat="1" x14ac:dyDescent="0.25">
      <c r="A209" s="29" t="s">
        <v>804</v>
      </c>
      <c r="B209" s="30" t="s">
        <v>764</v>
      </c>
      <c r="C209" s="31" t="s">
        <v>811</v>
      </c>
      <c r="D209" s="71" t="s">
        <v>1177</v>
      </c>
      <c r="E209" s="31" t="s">
        <v>663</v>
      </c>
      <c r="F209" s="31" t="s">
        <v>970</v>
      </c>
      <c r="G209" s="71" t="s">
        <v>166</v>
      </c>
      <c r="H209" s="85" t="s">
        <v>18</v>
      </c>
      <c r="I209" s="31"/>
      <c r="J209" s="103" t="s">
        <v>708</v>
      </c>
      <c r="K209" s="103" t="str">
        <f t="shared" si="6"/>
        <v>_</v>
      </c>
      <c r="L209" s="110">
        <f>ROUND(Tableau18[[#This Row],[LEN]]*7.27,0)</f>
        <v>160</v>
      </c>
      <c r="M209" s="110">
        <v>15</v>
      </c>
      <c r="N209" s="128" t="str">
        <f t="shared" si="7"/>
        <v>_self</v>
      </c>
      <c r="O209" s="111">
        <f>LEN(Tableau18[[#This Row],[LABEL]])</f>
        <v>22</v>
      </c>
      <c r="P209" s="111">
        <v>15</v>
      </c>
      <c r="Q209" s="111" t="e">
        <f>ROUND(Tableau18[[#This Row],[LEN]]*#REF!+#REF!,0)</f>
        <v>#REF!</v>
      </c>
    </row>
    <row r="210" spans="1:17" s="97" customFormat="1" x14ac:dyDescent="0.25">
      <c r="A210" s="29" t="s">
        <v>805</v>
      </c>
      <c r="B210" s="30" t="s">
        <v>764</v>
      </c>
      <c r="C210" s="31" t="s">
        <v>812</v>
      </c>
      <c r="D210" s="71" t="s">
        <v>1177</v>
      </c>
      <c r="E210" s="31" t="s">
        <v>663</v>
      </c>
      <c r="F210" s="31" t="s">
        <v>970</v>
      </c>
      <c r="G210" s="71" t="s">
        <v>166</v>
      </c>
      <c r="H210" s="85" t="s">
        <v>18</v>
      </c>
      <c r="I210" s="31"/>
      <c r="J210" s="103" t="s">
        <v>708</v>
      </c>
      <c r="K210" s="103" t="str">
        <f t="shared" si="6"/>
        <v>_</v>
      </c>
      <c r="L210" s="110">
        <f>ROUND(Tableau18[[#This Row],[LEN]]*7.27,0)</f>
        <v>131</v>
      </c>
      <c r="M210" s="110">
        <v>15</v>
      </c>
      <c r="N210" s="128" t="str">
        <f t="shared" si="7"/>
        <v>_self</v>
      </c>
      <c r="O210" s="111">
        <f>LEN(Tableau18[[#This Row],[LABEL]])</f>
        <v>18</v>
      </c>
      <c r="P210" s="111">
        <v>15</v>
      </c>
      <c r="Q210" s="111" t="e">
        <f>ROUND(Tableau18[[#This Row],[LEN]]*#REF!+#REF!,0)</f>
        <v>#REF!</v>
      </c>
    </row>
    <row r="211" spans="1:17" s="97" customFormat="1" x14ac:dyDescent="0.25">
      <c r="A211" s="25" t="s">
        <v>765</v>
      </c>
      <c r="B211" s="26" t="s">
        <v>249</v>
      </c>
      <c r="C211" s="27" t="s">
        <v>783</v>
      </c>
      <c r="D211" s="70" t="s">
        <v>1177</v>
      </c>
      <c r="E211" s="27" t="s">
        <v>663</v>
      </c>
      <c r="F211" s="27" t="s">
        <v>1177</v>
      </c>
      <c r="G211" s="70" t="s">
        <v>166</v>
      </c>
      <c r="H211" s="70" t="s">
        <v>655</v>
      </c>
      <c r="I211" s="27"/>
      <c r="J211" s="28" t="s">
        <v>708</v>
      </c>
      <c r="K211" s="28" t="str">
        <f t="shared" si="6"/>
        <v>_</v>
      </c>
      <c r="L211" s="109">
        <f>ROUND(Tableau18[[#This Row],[LEN]]*7.27,0)</f>
        <v>138</v>
      </c>
      <c r="M211" s="109">
        <v>15</v>
      </c>
      <c r="N211" s="127" t="str">
        <f t="shared" si="7"/>
        <v>_self</v>
      </c>
      <c r="O211" s="109">
        <f>LEN(Tableau18[[#This Row],[LABEL]])</f>
        <v>19</v>
      </c>
      <c r="P211" s="109">
        <v>15</v>
      </c>
      <c r="Q211" s="109" t="e">
        <f>ROUND(Tableau18[[#This Row],[LEN]]*#REF!+#REF!,0)</f>
        <v>#REF!</v>
      </c>
    </row>
    <row r="212" spans="1:17" s="97" customFormat="1" x14ac:dyDescent="0.25">
      <c r="A212" s="29" t="s">
        <v>813</v>
      </c>
      <c r="B212" s="30" t="s">
        <v>765</v>
      </c>
      <c r="C212" s="31" t="s">
        <v>817</v>
      </c>
      <c r="D212" s="71" t="s">
        <v>1177</v>
      </c>
      <c r="E212" s="31" t="s">
        <v>663</v>
      </c>
      <c r="F212" s="31" t="s">
        <v>1177</v>
      </c>
      <c r="G212" s="71" t="s">
        <v>166</v>
      </c>
      <c r="H212" s="85" t="s">
        <v>656</v>
      </c>
      <c r="I212" s="31"/>
      <c r="J212" s="103" t="s">
        <v>708</v>
      </c>
      <c r="K212" s="103" t="str">
        <f t="shared" si="6"/>
        <v>_</v>
      </c>
      <c r="L212" s="110">
        <f>ROUND(Tableau18[[#This Row],[LEN]]*7.27,0)</f>
        <v>313</v>
      </c>
      <c r="M212" s="110">
        <v>15</v>
      </c>
      <c r="N212" s="128" t="str">
        <f t="shared" si="7"/>
        <v>_self</v>
      </c>
      <c r="O212" s="111">
        <f>LEN(Tableau18[[#This Row],[LABEL]])</f>
        <v>43</v>
      </c>
      <c r="P212" s="111">
        <v>15</v>
      </c>
      <c r="Q212" s="111" t="e">
        <f>ROUND(Tableau18[[#This Row],[LEN]]*#REF!+#REF!,0)</f>
        <v>#REF!</v>
      </c>
    </row>
    <row r="213" spans="1:17" s="97" customFormat="1" x14ac:dyDescent="0.25">
      <c r="A213" s="29" t="s">
        <v>814</v>
      </c>
      <c r="B213" s="30" t="s">
        <v>765</v>
      </c>
      <c r="C213" s="31" t="s">
        <v>818</v>
      </c>
      <c r="D213" s="71" t="s">
        <v>1177</v>
      </c>
      <c r="E213" s="31" t="s">
        <v>663</v>
      </c>
      <c r="F213" s="31" t="s">
        <v>1177</v>
      </c>
      <c r="G213" s="71" t="s">
        <v>166</v>
      </c>
      <c r="H213" s="85" t="s">
        <v>656</v>
      </c>
      <c r="I213" s="31"/>
      <c r="J213" s="103" t="s">
        <v>708</v>
      </c>
      <c r="K213" s="103" t="str">
        <f t="shared" si="6"/>
        <v>_</v>
      </c>
      <c r="L213" s="110">
        <f>ROUND(Tableau18[[#This Row],[LEN]]*7.27,0)</f>
        <v>349</v>
      </c>
      <c r="M213" s="110">
        <v>15</v>
      </c>
      <c r="N213" s="128" t="str">
        <f t="shared" si="7"/>
        <v>_self</v>
      </c>
      <c r="O213" s="111">
        <f>LEN(Tableau18[[#This Row],[LABEL]])</f>
        <v>48</v>
      </c>
      <c r="P213" s="111">
        <v>15</v>
      </c>
      <c r="Q213" s="111" t="e">
        <f>ROUND(Tableau18[[#This Row],[LEN]]*#REF!+#REF!,0)</f>
        <v>#REF!</v>
      </c>
    </row>
    <row r="214" spans="1:17" s="97" customFormat="1" x14ac:dyDescent="0.25">
      <c r="A214" s="29" t="s">
        <v>815</v>
      </c>
      <c r="B214" s="30" t="s">
        <v>765</v>
      </c>
      <c r="C214" s="31" t="s">
        <v>819</v>
      </c>
      <c r="D214" s="71" t="s">
        <v>1177</v>
      </c>
      <c r="E214" s="31" t="s">
        <v>663</v>
      </c>
      <c r="F214" s="31" t="s">
        <v>1177</v>
      </c>
      <c r="G214" s="71" t="s">
        <v>166</v>
      </c>
      <c r="H214" s="85" t="s">
        <v>656</v>
      </c>
      <c r="I214" s="31"/>
      <c r="J214" s="103" t="s">
        <v>708</v>
      </c>
      <c r="K214" s="103" t="str">
        <f t="shared" si="6"/>
        <v>_</v>
      </c>
      <c r="L214" s="110">
        <f>ROUND(Tableau18[[#This Row],[LEN]]*7.27,0)</f>
        <v>189</v>
      </c>
      <c r="M214" s="110">
        <v>15</v>
      </c>
      <c r="N214" s="128" t="str">
        <f t="shared" si="7"/>
        <v>_self</v>
      </c>
      <c r="O214" s="111">
        <f>LEN(Tableau18[[#This Row],[LABEL]])</f>
        <v>26</v>
      </c>
      <c r="P214" s="111">
        <v>15</v>
      </c>
      <c r="Q214" s="111" t="e">
        <f>ROUND(Tableau18[[#This Row],[LEN]]*#REF!+#REF!,0)</f>
        <v>#REF!</v>
      </c>
    </row>
    <row r="215" spans="1:17" s="97" customFormat="1" x14ac:dyDescent="0.25">
      <c r="A215" s="29" t="s">
        <v>816</v>
      </c>
      <c r="B215" s="30" t="s">
        <v>765</v>
      </c>
      <c r="C215" s="31" t="s">
        <v>820</v>
      </c>
      <c r="D215" s="71" t="s">
        <v>1177</v>
      </c>
      <c r="E215" s="31" t="s">
        <v>663</v>
      </c>
      <c r="F215" s="31" t="s">
        <v>1177</v>
      </c>
      <c r="G215" s="71" t="s">
        <v>166</v>
      </c>
      <c r="H215" s="85" t="s">
        <v>18</v>
      </c>
      <c r="I215" s="31"/>
      <c r="J215" s="103" t="s">
        <v>708</v>
      </c>
      <c r="K215" s="103" t="str">
        <f t="shared" si="6"/>
        <v>_</v>
      </c>
      <c r="L215" s="110">
        <f>ROUND(Tableau18[[#This Row],[LEN]]*7.27,0)</f>
        <v>124</v>
      </c>
      <c r="M215" s="110">
        <v>15</v>
      </c>
      <c r="N215" s="128" t="str">
        <f t="shared" si="7"/>
        <v>_self</v>
      </c>
      <c r="O215" s="111">
        <f>LEN(Tableau18[[#This Row],[LABEL]])</f>
        <v>17</v>
      </c>
      <c r="P215" s="111">
        <v>15</v>
      </c>
      <c r="Q215" s="111" t="e">
        <f>ROUND(Tableau18[[#This Row],[LEN]]*#REF!+#REF!,0)</f>
        <v>#REF!</v>
      </c>
    </row>
    <row r="216" spans="1:17" s="97" customFormat="1" x14ac:dyDescent="0.25">
      <c r="A216" s="25" t="s">
        <v>766</v>
      </c>
      <c r="B216" s="26" t="s">
        <v>249</v>
      </c>
      <c r="C216" s="27" t="s">
        <v>1165</v>
      </c>
      <c r="D216" s="70" t="s">
        <v>1177</v>
      </c>
      <c r="E216" s="27" t="s">
        <v>663</v>
      </c>
      <c r="F216" s="27" t="s">
        <v>1177</v>
      </c>
      <c r="G216" s="70" t="s">
        <v>166</v>
      </c>
      <c r="H216" s="70" t="s">
        <v>654</v>
      </c>
      <c r="I216" s="27"/>
      <c r="J216" s="28" t="s">
        <v>708</v>
      </c>
      <c r="K216" s="28" t="str">
        <f t="shared" si="6"/>
        <v>_</v>
      </c>
      <c r="L216" s="109">
        <f>ROUND(Tableau18[[#This Row],[LEN]]*7.27,0)</f>
        <v>211</v>
      </c>
      <c r="M216" s="109">
        <v>15</v>
      </c>
      <c r="N216" s="127" t="str">
        <f t="shared" si="7"/>
        <v>_self</v>
      </c>
      <c r="O216" s="109">
        <f>LEN(Tableau18[[#This Row],[LABEL]])</f>
        <v>29</v>
      </c>
      <c r="P216" s="109">
        <v>15</v>
      </c>
      <c r="Q216" s="109" t="e">
        <f>ROUND(Tableau18[[#This Row],[LEN]]*#REF!+#REF!,0)</f>
        <v>#REF!</v>
      </c>
    </row>
    <row r="217" spans="1:17" s="97" customFormat="1" x14ac:dyDescent="0.25">
      <c r="A217" s="25" t="s">
        <v>767</v>
      </c>
      <c r="B217" s="26" t="s">
        <v>249</v>
      </c>
      <c r="C217" s="27" t="s">
        <v>777</v>
      </c>
      <c r="D217" s="70" t="s">
        <v>1177</v>
      </c>
      <c r="E217" s="27" t="s">
        <v>663</v>
      </c>
      <c r="F217" s="27" t="s">
        <v>1177</v>
      </c>
      <c r="G217" s="70" t="s">
        <v>166</v>
      </c>
      <c r="H217" s="70" t="s">
        <v>656</v>
      </c>
      <c r="I217" s="27"/>
      <c r="J217" s="28" t="s">
        <v>708</v>
      </c>
      <c r="K217" s="28" t="str">
        <f t="shared" si="6"/>
        <v>_</v>
      </c>
      <c r="L217" s="109">
        <f>ROUND(Tableau18[[#This Row],[LEN]]*7.27,0)</f>
        <v>378</v>
      </c>
      <c r="M217" s="109">
        <v>15</v>
      </c>
      <c r="N217" s="127" t="str">
        <f t="shared" si="7"/>
        <v>_self</v>
      </c>
      <c r="O217" s="109">
        <f>LEN(Tableau18[[#This Row],[LABEL]])</f>
        <v>52</v>
      </c>
      <c r="P217" s="109">
        <v>15</v>
      </c>
      <c r="Q217" s="109" t="e">
        <f>ROUND(Tableau18[[#This Row],[LEN]]*#REF!+#REF!,0)</f>
        <v>#REF!</v>
      </c>
    </row>
    <row r="218" spans="1:17" s="97" customFormat="1" x14ac:dyDescent="0.25">
      <c r="A218" s="25" t="s">
        <v>768</v>
      </c>
      <c r="B218" s="26" t="s">
        <v>249</v>
      </c>
      <c r="C218" s="27" t="s">
        <v>778</v>
      </c>
      <c r="D218" s="70" t="s">
        <v>1177</v>
      </c>
      <c r="E218" s="27" t="s">
        <v>673</v>
      </c>
      <c r="F218" s="27" t="s">
        <v>2000</v>
      </c>
      <c r="G218" s="70" t="s">
        <v>166</v>
      </c>
      <c r="H218" s="70" t="s">
        <v>17</v>
      </c>
      <c r="I218" s="27"/>
      <c r="J218" s="28" t="s">
        <v>708</v>
      </c>
      <c r="K218" s="28" t="str">
        <f t="shared" si="6"/>
        <v>_</v>
      </c>
      <c r="L218" s="109">
        <f>ROUND(Tableau18[[#This Row],[LEN]]*7.27,0)</f>
        <v>211</v>
      </c>
      <c r="M218" s="109">
        <v>15</v>
      </c>
      <c r="N218" s="127" t="str">
        <f t="shared" si="7"/>
        <v>_self</v>
      </c>
      <c r="O218" s="109">
        <f>LEN(Tableau18[[#This Row],[LABEL]])</f>
        <v>29</v>
      </c>
      <c r="P218" s="109">
        <v>15</v>
      </c>
      <c r="Q218" s="109" t="e">
        <f>ROUND(Tableau18[[#This Row],[LEN]]*#REF!+#REF!,0)</f>
        <v>#REF!</v>
      </c>
    </row>
    <row r="219" spans="1:17" s="97" customFormat="1" x14ac:dyDescent="0.25">
      <c r="A219" s="25" t="s">
        <v>769</v>
      </c>
      <c r="B219" s="26" t="s">
        <v>249</v>
      </c>
      <c r="C219" s="27" t="s">
        <v>92</v>
      </c>
      <c r="D219" s="70" t="s">
        <v>1177</v>
      </c>
      <c r="E219" s="27" t="s">
        <v>663</v>
      </c>
      <c r="F219" s="27" t="s">
        <v>2080</v>
      </c>
      <c r="G219" s="70" t="s">
        <v>166</v>
      </c>
      <c r="H219" s="70" t="s">
        <v>655</v>
      </c>
      <c r="I219" s="27"/>
      <c r="J219" s="28" t="s">
        <v>708</v>
      </c>
      <c r="K219" s="28" t="str">
        <f t="shared" si="6"/>
        <v>_</v>
      </c>
      <c r="L219" s="109">
        <f>ROUND(Tableau18[[#This Row],[LEN]]*7.27,0)</f>
        <v>262</v>
      </c>
      <c r="M219" s="109">
        <v>15</v>
      </c>
      <c r="N219" s="127" t="str">
        <f t="shared" si="7"/>
        <v>_self</v>
      </c>
      <c r="O219" s="109">
        <f>LEN(Tableau18[[#This Row],[LABEL]])</f>
        <v>36</v>
      </c>
      <c r="P219" s="109">
        <v>15</v>
      </c>
      <c r="Q219" s="109" t="e">
        <f>ROUND(Tableau18[[#This Row],[LEN]]*#REF!+#REF!,0)</f>
        <v>#REF!</v>
      </c>
    </row>
    <row r="220" spans="1:17" s="97" customFormat="1" x14ac:dyDescent="0.25">
      <c r="A220" s="29" t="s">
        <v>821</v>
      </c>
      <c r="B220" s="30" t="s">
        <v>769</v>
      </c>
      <c r="C220" s="31" t="s">
        <v>95</v>
      </c>
      <c r="D220" s="71" t="s">
        <v>1177</v>
      </c>
      <c r="E220" s="31" t="s">
        <v>663</v>
      </c>
      <c r="F220" s="31" t="s">
        <v>2080</v>
      </c>
      <c r="G220" s="71" t="s">
        <v>166</v>
      </c>
      <c r="H220" s="85" t="s">
        <v>17</v>
      </c>
      <c r="I220" s="31"/>
      <c r="J220" s="103" t="s">
        <v>708</v>
      </c>
      <c r="K220" s="103" t="str">
        <f t="shared" si="6"/>
        <v>_</v>
      </c>
      <c r="L220" s="110">
        <f>ROUND(Tableau18[[#This Row],[LEN]]*7.27,0)</f>
        <v>254</v>
      </c>
      <c r="M220" s="110">
        <v>15</v>
      </c>
      <c r="N220" s="128" t="str">
        <f t="shared" si="7"/>
        <v>_self</v>
      </c>
      <c r="O220" s="111">
        <f>LEN(Tableau18[[#This Row],[LABEL]])</f>
        <v>35</v>
      </c>
      <c r="P220" s="111">
        <v>15</v>
      </c>
      <c r="Q220" s="111" t="e">
        <f>ROUND(Tableau18[[#This Row],[LEN]]*#REF!+#REF!,0)</f>
        <v>#REF!</v>
      </c>
    </row>
    <row r="221" spans="1:17" s="97" customFormat="1" x14ac:dyDescent="0.25">
      <c r="A221" s="29" t="s">
        <v>822</v>
      </c>
      <c r="B221" s="30" t="s">
        <v>769</v>
      </c>
      <c r="C221" s="31" t="s">
        <v>96</v>
      </c>
      <c r="D221" s="71" t="s">
        <v>1177</v>
      </c>
      <c r="E221" s="31" t="s">
        <v>663</v>
      </c>
      <c r="F221" s="31" t="s">
        <v>2080</v>
      </c>
      <c r="G221" s="71" t="s">
        <v>166</v>
      </c>
      <c r="H221" s="85" t="s">
        <v>570</v>
      </c>
      <c r="I221" s="31"/>
      <c r="J221" s="103" t="s">
        <v>708</v>
      </c>
      <c r="K221" s="103" t="str">
        <f t="shared" si="6"/>
        <v>_</v>
      </c>
      <c r="L221" s="110">
        <f>ROUND(Tableau18[[#This Row],[LEN]]*7.27,0)</f>
        <v>233</v>
      </c>
      <c r="M221" s="110">
        <v>15</v>
      </c>
      <c r="N221" s="128" t="str">
        <f t="shared" si="7"/>
        <v>_self</v>
      </c>
      <c r="O221" s="111">
        <f>LEN(Tableau18[[#This Row],[LABEL]])</f>
        <v>32</v>
      </c>
      <c r="P221" s="111">
        <v>15</v>
      </c>
      <c r="Q221" s="111" t="e">
        <f>ROUND(Tableau18[[#This Row],[LEN]]*#REF!+#REF!,0)</f>
        <v>#REF!</v>
      </c>
    </row>
    <row r="222" spans="1:17" s="97" customFormat="1" x14ac:dyDescent="0.25">
      <c r="A222" s="29" t="s">
        <v>823</v>
      </c>
      <c r="B222" s="30" t="s">
        <v>769</v>
      </c>
      <c r="C222" s="31" t="s">
        <v>97</v>
      </c>
      <c r="D222" s="71" t="s">
        <v>1177</v>
      </c>
      <c r="E222" s="31" t="s">
        <v>663</v>
      </c>
      <c r="F222" s="31" t="s">
        <v>2080</v>
      </c>
      <c r="G222" s="71" t="s">
        <v>166</v>
      </c>
      <c r="H222" s="85" t="s">
        <v>656</v>
      </c>
      <c r="I222" s="31"/>
      <c r="J222" s="103" t="s">
        <v>708</v>
      </c>
      <c r="K222" s="103" t="str">
        <f t="shared" si="6"/>
        <v>_</v>
      </c>
      <c r="L222" s="110">
        <f>ROUND(Tableau18[[#This Row],[LEN]]*7.27,0)</f>
        <v>145</v>
      </c>
      <c r="M222" s="110">
        <v>15</v>
      </c>
      <c r="N222" s="128" t="str">
        <f t="shared" si="7"/>
        <v>_self</v>
      </c>
      <c r="O222" s="111">
        <f>LEN(Tableau18[[#This Row],[LABEL]])</f>
        <v>20</v>
      </c>
      <c r="P222" s="111">
        <v>15</v>
      </c>
      <c r="Q222" s="111" t="e">
        <f>ROUND(Tableau18[[#This Row],[LEN]]*#REF!+#REF!,0)</f>
        <v>#REF!</v>
      </c>
    </row>
    <row r="223" spans="1:17" s="97" customFormat="1" x14ac:dyDescent="0.25">
      <c r="A223" s="25" t="s">
        <v>770</v>
      </c>
      <c r="B223" s="26" t="s">
        <v>249</v>
      </c>
      <c r="C223" s="27" t="s">
        <v>782</v>
      </c>
      <c r="D223" s="70" t="s">
        <v>1177</v>
      </c>
      <c r="E223" s="27" t="s">
        <v>667</v>
      </c>
      <c r="F223" s="27" t="s">
        <v>663</v>
      </c>
      <c r="G223" s="70" t="s">
        <v>166</v>
      </c>
      <c r="H223" s="70" t="s">
        <v>655</v>
      </c>
      <c r="I223" s="27"/>
      <c r="J223" s="28" t="s">
        <v>708</v>
      </c>
      <c r="K223" s="28" t="str">
        <f t="shared" si="6"/>
        <v>_</v>
      </c>
      <c r="L223" s="109">
        <f>ROUND(Tableau18[[#This Row],[LEN]]*7.27,0)</f>
        <v>182</v>
      </c>
      <c r="M223" s="109">
        <v>15</v>
      </c>
      <c r="N223" s="127" t="str">
        <f t="shared" si="7"/>
        <v>_self</v>
      </c>
      <c r="O223" s="109">
        <f>LEN(Tableau18[[#This Row],[LABEL]])</f>
        <v>25</v>
      </c>
      <c r="P223" s="109">
        <v>15</v>
      </c>
      <c r="Q223" s="109" t="e">
        <f>ROUND(Tableau18[[#This Row],[LEN]]*#REF!+#REF!,0)</f>
        <v>#REF!</v>
      </c>
    </row>
    <row r="224" spans="1:17" s="97" customFormat="1" x14ac:dyDescent="0.25">
      <c r="A224" s="29" t="s">
        <v>824</v>
      </c>
      <c r="B224" s="30" t="s">
        <v>770</v>
      </c>
      <c r="C224" s="31" t="s">
        <v>826</v>
      </c>
      <c r="D224" s="71" t="s">
        <v>1177</v>
      </c>
      <c r="E224" s="31" t="s">
        <v>667</v>
      </c>
      <c r="F224" s="31" t="s">
        <v>663</v>
      </c>
      <c r="G224" s="71" t="s">
        <v>166</v>
      </c>
      <c r="H224" s="85" t="s">
        <v>18</v>
      </c>
      <c r="I224" s="31"/>
      <c r="J224" s="103" t="s">
        <v>101</v>
      </c>
      <c r="K224" s="103" t="str">
        <f t="shared" si="6"/>
        <v>Documentation</v>
      </c>
      <c r="L224" s="110">
        <f>ROUND(Tableau18[[#This Row],[LEN]]*7.27,0)</f>
        <v>174</v>
      </c>
      <c r="M224" s="110">
        <v>15</v>
      </c>
      <c r="N224" s="128" t="str">
        <f t="shared" si="7"/>
        <v>_blank</v>
      </c>
      <c r="O224" s="111">
        <f>LEN(Tableau18[[#This Row],[LABEL]])</f>
        <v>24</v>
      </c>
      <c r="P224" s="111">
        <v>15</v>
      </c>
      <c r="Q224" s="111" t="e">
        <f>ROUND(Tableau18[[#This Row],[LEN]]*#REF!+#REF!,0)</f>
        <v>#REF!</v>
      </c>
    </row>
    <row r="225" spans="1:17" s="97" customFormat="1" x14ac:dyDescent="0.25">
      <c r="A225" s="29" t="s">
        <v>825</v>
      </c>
      <c r="B225" s="30" t="s">
        <v>770</v>
      </c>
      <c r="C225" s="31" t="s">
        <v>827</v>
      </c>
      <c r="D225" s="71" t="s">
        <v>1177</v>
      </c>
      <c r="E225" s="31" t="s">
        <v>667</v>
      </c>
      <c r="F225" s="31" t="s">
        <v>663</v>
      </c>
      <c r="G225" s="71" t="s">
        <v>166</v>
      </c>
      <c r="H225" s="85" t="s">
        <v>654</v>
      </c>
      <c r="I225" s="31"/>
      <c r="J225" s="103" t="s">
        <v>101</v>
      </c>
      <c r="K225" s="103" t="str">
        <f t="shared" si="6"/>
        <v>Documentation</v>
      </c>
      <c r="L225" s="110">
        <f>ROUND(Tableau18[[#This Row],[LEN]]*7.27,0)</f>
        <v>262</v>
      </c>
      <c r="M225" s="110">
        <v>15</v>
      </c>
      <c r="N225" s="128" t="str">
        <f t="shared" si="7"/>
        <v>_blank</v>
      </c>
      <c r="O225" s="111">
        <f>LEN(Tableau18[[#This Row],[LABEL]])</f>
        <v>36</v>
      </c>
      <c r="P225" s="111">
        <v>15</v>
      </c>
      <c r="Q225" s="111" t="e">
        <f>ROUND(Tableau18[[#This Row],[LEN]]*#REF!+#REF!,0)</f>
        <v>#REF!</v>
      </c>
    </row>
    <row r="226" spans="1:17" s="97" customFormat="1" x14ac:dyDescent="0.25">
      <c r="A226" s="25" t="s">
        <v>771</v>
      </c>
      <c r="B226" s="26" t="s">
        <v>249</v>
      </c>
      <c r="C226" s="27" t="s">
        <v>779</v>
      </c>
      <c r="D226" s="70" t="s">
        <v>1177</v>
      </c>
      <c r="E226" s="27" t="s">
        <v>663</v>
      </c>
      <c r="F226" s="27" t="s">
        <v>1177</v>
      </c>
      <c r="G226" s="70" t="s">
        <v>166</v>
      </c>
      <c r="H226" s="70" t="s">
        <v>655</v>
      </c>
      <c r="I226" s="27"/>
      <c r="J226" s="28" t="s">
        <v>708</v>
      </c>
      <c r="K226" s="28" t="str">
        <f t="shared" si="6"/>
        <v>_</v>
      </c>
      <c r="L226" s="109">
        <f>ROUND(Tableau18[[#This Row],[LEN]]*7.27,0)</f>
        <v>22</v>
      </c>
      <c r="M226" s="109">
        <v>15</v>
      </c>
      <c r="N226" s="127" t="str">
        <f t="shared" si="7"/>
        <v>_self</v>
      </c>
      <c r="O226" s="109">
        <f>LEN(Tableau18[[#This Row],[LABEL]])</f>
        <v>3</v>
      </c>
      <c r="P226" s="109">
        <v>15</v>
      </c>
      <c r="Q226" s="109" t="e">
        <f>ROUND(Tableau18[[#This Row],[LEN]]*#REF!+#REF!,0)</f>
        <v>#REF!</v>
      </c>
    </row>
    <row r="227" spans="1:17" s="97" customFormat="1" x14ac:dyDescent="0.25">
      <c r="A227" s="29" t="s">
        <v>832</v>
      </c>
      <c r="B227" s="30" t="s">
        <v>771</v>
      </c>
      <c r="C227" s="31" t="s">
        <v>836</v>
      </c>
      <c r="D227" s="71" t="s">
        <v>1177</v>
      </c>
      <c r="E227" s="31" t="s">
        <v>663</v>
      </c>
      <c r="F227" s="31" t="s">
        <v>1177</v>
      </c>
      <c r="G227" s="71" t="s">
        <v>166</v>
      </c>
      <c r="H227" s="85" t="s">
        <v>654</v>
      </c>
      <c r="I227" s="31"/>
      <c r="J227" s="103" t="s">
        <v>708</v>
      </c>
      <c r="K227" s="103" t="str">
        <f t="shared" si="6"/>
        <v>_</v>
      </c>
      <c r="L227" s="110">
        <f>ROUND(Tableau18[[#This Row],[LEN]]*7.27,0)</f>
        <v>131</v>
      </c>
      <c r="M227" s="110">
        <v>15</v>
      </c>
      <c r="N227" s="128" t="str">
        <f t="shared" si="7"/>
        <v>_self</v>
      </c>
      <c r="O227" s="111">
        <f>LEN(Tableau18[[#This Row],[LABEL]])</f>
        <v>18</v>
      </c>
      <c r="P227" s="111">
        <v>15</v>
      </c>
      <c r="Q227" s="111" t="e">
        <f>ROUND(Tableau18[[#This Row],[LEN]]*#REF!+#REF!,0)</f>
        <v>#REF!</v>
      </c>
    </row>
    <row r="228" spans="1:17" s="97" customFormat="1" x14ac:dyDescent="0.25">
      <c r="A228" s="29" t="s">
        <v>833</v>
      </c>
      <c r="B228" s="30" t="s">
        <v>771</v>
      </c>
      <c r="C228" s="31" t="s">
        <v>837</v>
      </c>
      <c r="D228" s="71" t="s">
        <v>1177</v>
      </c>
      <c r="E228" s="31" t="s">
        <v>663</v>
      </c>
      <c r="F228" s="31" t="s">
        <v>1177</v>
      </c>
      <c r="G228" s="71" t="s">
        <v>166</v>
      </c>
      <c r="H228" s="85" t="s">
        <v>654</v>
      </c>
      <c r="I228" s="31"/>
      <c r="J228" s="103" t="s">
        <v>708</v>
      </c>
      <c r="K228" s="103" t="str">
        <f t="shared" si="6"/>
        <v>_</v>
      </c>
      <c r="L228" s="110">
        <f>ROUND(Tableau18[[#This Row],[LEN]]*7.27,0)</f>
        <v>174</v>
      </c>
      <c r="M228" s="110">
        <v>15</v>
      </c>
      <c r="N228" s="128" t="str">
        <f t="shared" si="7"/>
        <v>_self</v>
      </c>
      <c r="O228" s="111">
        <f>LEN(Tableau18[[#This Row],[LABEL]])</f>
        <v>24</v>
      </c>
      <c r="P228" s="111">
        <v>15</v>
      </c>
      <c r="Q228" s="111" t="e">
        <f>ROUND(Tableau18[[#This Row],[LEN]]*#REF!+#REF!,0)</f>
        <v>#REF!</v>
      </c>
    </row>
    <row r="229" spans="1:17" s="97" customFormat="1" x14ac:dyDescent="0.25">
      <c r="A229" s="29" t="s">
        <v>834</v>
      </c>
      <c r="B229" s="30" t="s">
        <v>771</v>
      </c>
      <c r="C229" s="31" t="s">
        <v>838</v>
      </c>
      <c r="D229" s="71" t="s">
        <v>1177</v>
      </c>
      <c r="E229" s="31" t="s">
        <v>663</v>
      </c>
      <c r="F229" s="31" t="s">
        <v>1177</v>
      </c>
      <c r="G229" s="71" t="s">
        <v>166</v>
      </c>
      <c r="H229" s="85" t="s">
        <v>654</v>
      </c>
      <c r="I229" s="31"/>
      <c r="J229" s="103" t="s">
        <v>708</v>
      </c>
      <c r="K229" s="103" t="str">
        <f t="shared" si="6"/>
        <v>_</v>
      </c>
      <c r="L229" s="110">
        <f>ROUND(Tableau18[[#This Row],[LEN]]*7.27,0)</f>
        <v>167</v>
      </c>
      <c r="M229" s="110">
        <v>15</v>
      </c>
      <c r="N229" s="128" t="str">
        <f t="shared" si="7"/>
        <v>_self</v>
      </c>
      <c r="O229" s="111">
        <f>LEN(Tableau18[[#This Row],[LABEL]])</f>
        <v>23</v>
      </c>
      <c r="P229" s="111">
        <v>15</v>
      </c>
      <c r="Q229" s="111" t="e">
        <f>ROUND(Tableau18[[#This Row],[LEN]]*#REF!+#REF!,0)</f>
        <v>#REF!</v>
      </c>
    </row>
    <row r="230" spans="1:17" s="97" customFormat="1" x14ac:dyDescent="0.25">
      <c r="A230" s="29" t="s">
        <v>835</v>
      </c>
      <c r="B230" s="30" t="s">
        <v>771</v>
      </c>
      <c r="C230" s="31" t="s">
        <v>839</v>
      </c>
      <c r="D230" s="71" t="s">
        <v>1177</v>
      </c>
      <c r="E230" s="31" t="s">
        <v>663</v>
      </c>
      <c r="F230" s="31" t="s">
        <v>1177</v>
      </c>
      <c r="G230" s="71" t="s">
        <v>166</v>
      </c>
      <c r="H230" s="85" t="s">
        <v>656</v>
      </c>
      <c r="I230" s="31"/>
      <c r="J230" s="103" t="s">
        <v>708</v>
      </c>
      <c r="K230" s="103" t="str">
        <f t="shared" si="6"/>
        <v>_</v>
      </c>
      <c r="L230" s="110">
        <f>ROUND(Tableau18[[#This Row],[LEN]]*7.27,0)</f>
        <v>138</v>
      </c>
      <c r="M230" s="110">
        <v>15</v>
      </c>
      <c r="N230" s="128" t="str">
        <f t="shared" si="7"/>
        <v>_self</v>
      </c>
      <c r="O230" s="111">
        <f>LEN(Tableau18[[#This Row],[LABEL]])</f>
        <v>19</v>
      </c>
      <c r="P230" s="111">
        <v>15</v>
      </c>
      <c r="Q230" s="111" t="e">
        <f>ROUND(Tableau18[[#This Row],[LEN]]*#REF!+#REF!,0)</f>
        <v>#REF!</v>
      </c>
    </row>
    <row r="231" spans="1:17" s="97" customFormat="1" x14ac:dyDescent="0.25">
      <c r="A231" s="25" t="s">
        <v>772</v>
      </c>
      <c r="B231" s="26" t="s">
        <v>249</v>
      </c>
      <c r="C231" s="27" t="s">
        <v>780</v>
      </c>
      <c r="D231" s="70" t="s">
        <v>1177</v>
      </c>
      <c r="E231" s="27" t="s">
        <v>663</v>
      </c>
      <c r="F231" s="27" t="s">
        <v>1177</v>
      </c>
      <c r="G231" s="70" t="s">
        <v>166</v>
      </c>
      <c r="H231" s="70" t="s">
        <v>656</v>
      </c>
      <c r="I231" s="27"/>
      <c r="J231" s="28" t="s">
        <v>708</v>
      </c>
      <c r="K231" s="28" t="str">
        <f t="shared" si="6"/>
        <v>_</v>
      </c>
      <c r="L231" s="109">
        <f>ROUND(Tableau18[[#This Row],[LEN]]*7.27,0)</f>
        <v>385</v>
      </c>
      <c r="M231" s="109">
        <v>15</v>
      </c>
      <c r="N231" s="127" t="str">
        <f t="shared" si="7"/>
        <v>_self</v>
      </c>
      <c r="O231" s="109">
        <f>LEN(Tableau18[[#This Row],[LABEL]])</f>
        <v>53</v>
      </c>
      <c r="P231" s="109">
        <v>15</v>
      </c>
      <c r="Q231" s="109" t="e">
        <f>ROUND(Tableau18[[#This Row],[LEN]]*#REF!+#REF!,0)</f>
        <v>#REF!</v>
      </c>
    </row>
    <row r="232" spans="1:17" s="97" customFormat="1" x14ac:dyDescent="0.25">
      <c r="A232" s="25" t="s">
        <v>773</v>
      </c>
      <c r="B232" s="26" t="s">
        <v>249</v>
      </c>
      <c r="C232" s="27" t="s">
        <v>1167</v>
      </c>
      <c r="D232" s="70" t="s">
        <v>486</v>
      </c>
      <c r="E232" s="27" t="s">
        <v>1085</v>
      </c>
      <c r="F232" s="27" t="s">
        <v>1084</v>
      </c>
      <c r="G232" s="70" t="s">
        <v>1977</v>
      </c>
      <c r="H232" s="70" t="s">
        <v>1131</v>
      </c>
      <c r="I232" s="27"/>
      <c r="J232" s="28" t="s">
        <v>708</v>
      </c>
      <c r="K232" s="28" t="str">
        <f t="shared" si="6"/>
        <v>_</v>
      </c>
      <c r="L232" s="109">
        <f>ROUND(Tableau18[[#This Row],[LEN]]*7.27,0)</f>
        <v>196</v>
      </c>
      <c r="M232" s="109">
        <v>15</v>
      </c>
      <c r="N232" s="127" t="str">
        <f t="shared" si="7"/>
        <v>_self</v>
      </c>
      <c r="O232" s="109">
        <f>LEN(Tableau18[[#This Row],[LABEL]])</f>
        <v>27</v>
      </c>
      <c r="P232" s="109">
        <v>15</v>
      </c>
      <c r="Q232" s="109" t="e">
        <f>ROUND(Tableau18[[#This Row],[LEN]]*#REF!+#REF!,0)</f>
        <v>#REF!</v>
      </c>
    </row>
    <row r="233" spans="1:17" s="97" customFormat="1" x14ac:dyDescent="0.25">
      <c r="A233" s="29" t="s">
        <v>1201</v>
      </c>
      <c r="B233" s="30" t="s">
        <v>773</v>
      </c>
      <c r="C233" s="31" t="s">
        <v>93</v>
      </c>
      <c r="D233" s="71" t="s">
        <v>1177</v>
      </c>
      <c r="E233" s="31" t="s">
        <v>1085</v>
      </c>
      <c r="F233" s="31" t="s">
        <v>1084</v>
      </c>
      <c r="G233" s="71" t="s">
        <v>166</v>
      </c>
      <c r="H233" s="85" t="s">
        <v>18</v>
      </c>
      <c r="I233" s="31"/>
      <c r="J233" s="103" t="s">
        <v>101</v>
      </c>
      <c r="K233" s="103" t="str">
        <f t="shared" si="6"/>
        <v>Documentation</v>
      </c>
      <c r="L233" s="110">
        <f>ROUND(Tableau18[[#This Row],[LEN]]*7.27,0)</f>
        <v>109</v>
      </c>
      <c r="M233" s="110">
        <v>15</v>
      </c>
      <c r="N233" s="128" t="str">
        <f t="shared" si="7"/>
        <v>_blank</v>
      </c>
      <c r="O233" s="111">
        <f>LEN(Tableau18[[#This Row],[LABEL]])</f>
        <v>15</v>
      </c>
      <c r="P233" s="111">
        <v>15</v>
      </c>
      <c r="Q233" s="111" t="e">
        <f>ROUND(Tableau18[[#This Row],[LEN]]*#REF!+#REF!,0)</f>
        <v>#REF!</v>
      </c>
    </row>
    <row r="234" spans="1:17" s="97" customFormat="1" x14ac:dyDescent="0.25">
      <c r="A234" s="29" t="s">
        <v>1202</v>
      </c>
      <c r="B234" s="30" t="s">
        <v>773</v>
      </c>
      <c r="C234" s="31" t="s">
        <v>94</v>
      </c>
      <c r="D234" s="71" t="s">
        <v>1177</v>
      </c>
      <c r="E234" s="31" t="s">
        <v>1085</v>
      </c>
      <c r="F234" s="31" t="s">
        <v>1084</v>
      </c>
      <c r="G234" s="71" t="s">
        <v>166</v>
      </c>
      <c r="H234" s="85" t="s">
        <v>18</v>
      </c>
      <c r="I234" s="31"/>
      <c r="J234" s="103" t="s">
        <v>102</v>
      </c>
      <c r="K234" s="103" t="str">
        <f t="shared" si="6"/>
        <v>Documentation</v>
      </c>
      <c r="L234" s="110">
        <f>ROUND(Tableau18[[#This Row],[LEN]]*7.27,0)</f>
        <v>58</v>
      </c>
      <c r="M234" s="110">
        <v>15</v>
      </c>
      <c r="N234" s="128" t="str">
        <f t="shared" si="7"/>
        <v>_blank</v>
      </c>
      <c r="O234" s="111">
        <f>LEN(Tableau18[[#This Row],[LABEL]])</f>
        <v>8</v>
      </c>
      <c r="P234" s="111">
        <v>15</v>
      </c>
      <c r="Q234" s="111" t="e">
        <f>ROUND(Tableau18[[#This Row],[LEN]]*#REF!+#REF!,0)</f>
        <v>#REF!</v>
      </c>
    </row>
    <row r="235" spans="1:17" s="273" customFormat="1" x14ac:dyDescent="0.25">
      <c r="A235" s="288" t="s">
        <v>251</v>
      </c>
      <c r="B235" s="289" t="s">
        <v>206</v>
      </c>
      <c r="C235" s="290" t="s">
        <v>3</v>
      </c>
      <c r="D235" s="291" t="s">
        <v>1177</v>
      </c>
      <c r="E235" s="290" t="s">
        <v>661</v>
      </c>
      <c r="F235" s="290" t="s">
        <v>1177</v>
      </c>
      <c r="G235" s="291" t="s">
        <v>166</v>
      </c>
      <c r="H235" s="291" t="str">
        <f>IFERROR(IF(SEARCH(".00.00.00.00.00",Tableau18[[#This Row],[name]],1)=7,"Division",""),"")</f>
        <v>Division</v>
      </c>
      <c r="I235" s="290"/>
      <c r="J235" s="292" t="s">
        <v>708</v>
      </c>
      <c r="K235" s="292" t="str">
        <f t="shared" si="6"/>
        <v>_</v>
      </c>
      <c r="L235" s="293">
        <f>ROUND(Tableau18[[#This Row],[LEN]]*7.27,0)</f>
        <v>73</v>
      </c>
      <c r="M235" s="293">
        <v>15</v>
      </c>
      <c r="N235" s="294" t="str">
        <f t="shared" si="7"/>
        <v>_self</v>
      </c>
      <c r="O235" s="293">
        <f>LEN(Tableau18[[#This Row],[LABEL]])</f>
        <v>10</v>
      </c>
      <c r="P235" s="293">
        <v>15</v>
      </c>
      <c r="Q235" s="293" t="e">
        <f>ROUND(Tableau18[[#This Row],[LEN]]*#REF!+#REF!,0)</f>
        <v>#REF!</v>
      </c>
    </row>
    <row r="236" spans="1:17" s="97" customFormat="1" x14ac:dyDescent="0.25">
      <c r="A236" s="25" t="s">
        <v>396</v>
      </c>
      <c r="B236" s="26" t="s">
        <v>251</v>
      </c>
      <c r="C236" s="27" t="s">
        <v>86</v>
      </c>
      <c r="D236" s="70" t="s">
        <v>1177</v>
      </c>
      <c r="E236" s="27" t="s">
        <v>661</v>
      </c>
      <c r="F236" s="27" t="s">
        <v>1068</v>
      </c>
      <c r="G236" s="70" t="s">
        <v>166</v>
      </c>
      <c r="H236" s="70" t="s">
        <v>570</v>
      </c>
      <c r="I236" s="27"/>
      <c r="J236" s="28" t="s">
        <v>708</v>
      </c>
      <c r="K236" s="28" t="str">
        <f t="shared" si="6"/>
        <v>_</v>
      </c>
      <c r="L236" s="109">
        <f>ROUND(Tableau18[[#This Row],[LEN]]*7.27,0)</f>
        <v>269</v>
      </c>
      <c r="M236" s="109">
        <v>15</v>
      </c>
      <c r="N236" s="127" t="str">
        <f t="shared" si="7"/>
        <v>_self</v>
      </c>
      <c r="O236" s="109">
        <f>LEN(Tableau18[[#This Row],[LABEL]])</f>
        <v>37</v>
      </c>
      <c r="P236" s="109">
        <v>15</v>
      </c>
      <c r="Q236" s="109" t="e">
        <f>ROUND(Tableau18[[#This Row],[LEN]]*#REF!+#REF!,0)</f>
        <v>#REF!</v>
      </c>
    </row>
    <row r="237" spans="1:17" s="97" customFormat="1" x14ac:dyDescent="0.25">
      <c r="A237" s="25" t="s">
        <v>397</v>
      </c>
      <c r="B237" s="26" t="s">
        <v>251</v>
      </c>
      <c r="C237" s="27" t="s">
        <v>87</v>
      </c>
      <c r="D237" s="70" t="s">
        <v>1177</v>
      </c>
      <c r="E237" s="27" t="s">
        <v>661</v>
      </c>
      <c r="F237" s="27" t="s">
        <v>1177</v>
      </c>
      <c r="G237" s="70" t="s">
        <v>166</v>
      </c>
      <c r="H237" s="70" t="s">
        <v>570</v>
      </c>
      <c r="I237" s="27"/>
      <c r="J237" s="28" t="s">
        <v>708</v>
      </c>
      <c r="K237" s="28" t="str">
        <f t="shared" si="6"/>
        <v>_</v>
      </c>
      <c r="L237" s="109">
        <f>ROUND(Tableau18[[#This Row],[LEN]]*7.27,0)</f>
        <v>182</v>
      </c>
      <c r="M237" s="109">
        <v>15</v>
      </c>
      <c r="N237" s="127" t="str">
        <f t="shared" si="7"/>
        <v>_self</v>
      </c>
      <c r="O237" s="109">
        <f>LEN(Tableau18[[#This Row],[LABEL]])</f>
        <v>25</v>
      </c>
      <c r="P237" s="109">
        <v>15</v>
      </c>
      <c r="Q237" s="109" t="e">
        <f>ROUND(Tableau18[[#This Row],[LEN]]*#REF!+#REF!,0)</f>
        <v>#REF!</v>
      </c>
    </row>
    <row r="238" spans="1:17" s="97" customFormat="1" x14ac:dyDescent="0.25">
      <c r="A238" s="25" t="s">
        <v>398</v>
      </c>
      <c r="B238" s="26" t="s">
        <v>251</v>
      </c>
      <c r="C238" s="27" t="s">
        <v>88</v>
      </c>
      <c r="D238" s="70" t="s">
        <v>1177</v>
      </c>
      <c r="E238" s="27" t="s">
        <v>667</v>
      </c>
      <c r="F238" s="27" t="s">
        <v>1218</v>
      </c>
      <c r="G238" s="70" t="s">
        <v>166</v>
      </c>
      <c r="H238" s="70" t="s">
        <v>570</v>
      </c>
      <c r="I238" s="27"/>
      <c r="J238" s="28" t="s">
        <v>708</v>
      </c>
      <c r="K238" s="28" t="str">
        <f t="shared" si="6"/>
        <v>_</v>
      </c>
      <c r="L238" s="109">
        <f>ROUND(Tableau18[[#This Row],[LEN]]*7.27,0)</f>
        <v>342</v>
      </c>
      <c r="M238" s="109">
        <v>15</v>
      </c>
      <c r="N238" s="127" t="str">
        <f t="shared" si="7"/>
        <v>_self</v>
      </c>
      <c r="O238" s="109">
        <f>LEN(Tableau18[[#This Row],[LABEL]])</f>
        <v>47</v>
      </c>
      <c r="P238" s="109">
        <v>15</v>
      </c>
      <c r="Q238" s="109" t="e">
        <f>ROUND(Tableau18[[#This Row],[LEN]]*#REF!+#REF!,0)</f>
        <v>#REF!</v>
      </c>
    </row>
    <row r="239" spans="1:17" s="97" customFormat="1" x14ac:dyDescent="0.25">
      <c r="A239" s="25" t="s">
        <v>399</v>
      </c>
      <c r="B239" s="26" t="s">
        <v>251</v>
      </c>
      <c r="C239" s="27" t="s">
        <v>89</v>
      </c>
      <c r="D239" s="70" t="s">
        <v>1177</v>
      </c>
      <c r="E239" s="27" t="s">
        <v>661</v>
      </c>
      <c r="F239" s="27" t="s">
        <v>1177</v>
      </c>
      <c r="G239" s="70" t="s">
        <v>166</v>
      </c>
      <c r="H239" s="70" t="s">
        <v>570</v>
      </c>
      <c r="I239" s="27"/>
      <c r="J239" s="28" t="s">
        <v>708</v>
      </c>
      <c r="K239" s="28" t="str">
        <f t="shared" si="6"/>
        <v>_</v>
      </c>
      <c r="L239" s="109">
        <f>ROUND(Tableau18[[#This Row],[LEN]]*7.27,0)</f>
        <v>262</v>
      </c>
      <c r="M239" s="109">
        <v>15</v>
      </c>
      <c r="N239" s="127" t="str">
        <f t="shared" si="7"/>
        <v>_self</v>
      </c>
      <c r="O239" s="109">
        <f>LEN(Tableau18[[#This Row],[LABEL]])</f>
        <v>36</v>
      </c>
      <c r="P239" s="109">
        <v>15</v>
      </c>
      <c r="Q239" s="109" t="e">
        <f>ROUND(Tableau18[[#This Row],[LEN]]*#REF!+#REF!,0)</f>
        <v>#REF!</v>
      </c>
    </row>
    <row r="240" spans="1:17" s="97" customFormat="1" x14ac:dyDescent="0.25">
      <c r="A240" s="25" t="s">
        <v>400</v>
      </c>
      <c r="B240" s="26" t="s">
        <v>251</v>
      </c>
      <c r="C240" s="27" t="s">
        <v>1167</v>
      </c>
      <c r="D240" s="70" t="s">
        <v>486</v>
      </c>
      <c r="E240" s="27" t="s">
        <v>1085</v>
      </c>
      <c r="F240" s="27" t="s">
        <v>1084</v>
      </c>
      <c r="G240" s="70" t="s">
        <v>1977</v>
      </c>
      <c r="H240" s="70" t="s">
        <v>1131</v>
      </c>
      <c r="I240" s="27"/>
      <c r="J240" s="28" t="s">
        <v>708</v>
      </c>
      <c r="K240" s="28" t="str">
        <f t="shared" si="6"/>
        <v>_</v>
      </c>
      <c r="L240" s="109">
        <f>ROUND(Tableau18[[#This Row],[LEN]]*7.27,0)</f>
        <v>196</v>
      </c>
      <c r="M240" s="109">
        <v>15</v>
      </c>
      <c r="N240" s="127" t="str">
        <f t="shared" si="7"/>
        <v>_self</v>
      </c>
      <c r="O240" s="109">
        <f>LEN(Tableau18[[#This Row],[LABEL]])</f>
        <v>27</v>
      </c>
      <c r="P240" s="109">
        <v>15</v>
      </c>
      <c r="Q240" s="109" t="e">
        <f>ROUND(Tableau18[[#This Row],[LEN]]*#REF!+#REF!,0)</f>
        <v>#REF!</v>
      </c>
    </row>
    <row r="241" spans="1:17" s="97" customFormat="1" x14ac:dyDescent="0.25">
      <c r="A241" s="29" t="s">
        <v>412</v>
      </c>
      <c r="B241" s="30" t="s">
        <v>400</v>
      </c>
      <c r="C241" s="31" t="s">
        <v>93</v>
      </c>
      <c r="D241" s="71" t="s">
        <v>1177</v>
      </c>
      <c r="E241" s="31" t="s">
        <v>661</v>
      </c>
      <c r="F241" s="31" t="s">
        <v>1177</v>
      </c>
      <c r="G241" s="71" t="s">
        <v>166</v>
      </c>
      <c r="H241" s="71" t="s">
        <v>18</v>
      </c>
      <c r="I241" s="31"/>
      <c r="J241" s="32" t="s">
        <v>101</v>
      </c>
      <c r="K241" s="32" t="str">
        <f t="shared" si="6"/>
        <v>Documentation</v>
      </c>
      <c r="L241" s="111">
        <f>ROUND(Tableau18[[#This Row],[LEN]]*7.27,0)</f>
        <v>109</v>
      </c>
      <c r="M241" s="111">
        <v>15</v>
      </c>
      <c r="N241" s="128" t="str">
        <f t="shared" si="7"/>
        <v>_blank</v>
      </c>
      <c r="O241" s="111">
        <f>LEN(Tableau18[[#This Row],[LABEL]])</f>
        <v>15</v>
      </c>
      <c r="P241" s="111">
        <v>15</v>
      </c>
      <c r="Q241" s="111" t="e">
        <f>ROUND(Tableau18[[#This Row],[LEN]]*#REF!+#REF!,0)</f>
        <v>#REF!</v>
      </c>
    </row>
    <row r="242" spans="1:17" s="97" customFormat="1" x14ac:dyDescent="0.25">
      <c r="A242" s="29" t="s">
        <v>413</v>
      </c>
      <c r="B242" s="30" t="s">
        <v>400</v>
      </c>
      <c r="C242" s="31" t="s">
        <v>94</v>
      </c>
      <c r="D242" s="71" t="s">
        <v>1177</v>
      </c>
      <c r="E242" s="31" t="s">
        <v>661</v>
      </c>
      <c r="F242" s="31" t="s">
        <v>1177</v>
      </c>
      <c r="G242" s="71" t="s">
        <v>166</v>
      </c>
      <c r="H242" s="71" t="s">
        <v>18</v>
      </c>
      <c r="I242" s="31"/>
      <c r="J242" s="32" t="s">
        <v>102</v>
      </c>
      <c r="K242" s="32" t="str">
        <f t="shared" si="6"/>
        <v>Documentation</v>
      </c>
      <c r="L242" s="111">
        <f>ROUND(Tableau18[[#This Row],[LEN]]*7.27,0)</f>
        <v>58</v>
      </c>
      <c r="M242" s="111">
        <v>15</v>
      </c>
      <c r="N242" s="128" t="str">
        <f t="shared" si="7"/>
        <v>_blank</v>
      </c>
      <c r="O242" s="111">
        <f>LEN(Tableau18[[#This Row],[LABEL]])</f>
        <v>8</v>
      </c>
      <c r="P242" s="111">
        <v>15</v>
      </c>
      <c r="Q242" s="111" t="e">
        <f>ROUND(Tableau18[[#This Row],[LEN]]*#REF!+#REF!,0)</f>
        <v>#REF!</v>
      </c>
    </row>
    <row r="243" spans="1:17" s="97" customFormat="1" x14ac:dyDescent="0.25">
      <c r="A243" s="25" t="s">
        <v>401</v>
      </c>
      <c r="B243" s="26" t="s">
        <v>251</v>
      </c>
      <c r="C243" s="27" t="s">
        <v>90</v>
      </c>
      <c r="D243" s="70" t="s">
        <v>1177</v>
      </c>
      <c r="E243" s="27" t="s">
        <v>661</v>
      </c>
      <c r="F243" s="27" t="s">
        <v>1177</v>
      </c>
      <c r="G243" s="70" t="s">
        <v>166</v>
      </c>
      <c r="H243" s="70" t="s">
        <v>654</v>
      </c>
      <c r="I243" s="27"/>
      <c r="J243" s="28" t="s">
        <v>708</v>
      </c>
      <c r="K243" s="28" t="str">
        <f t="shared" si="6"/>
        <v>_</v>
      </c>
      <c r="L243" s="109">
        <f>ROUND(Tableau18[[#This Row],[LEN]]*7.27,0)</f>
        <v>284</v>
      </c>
      <c r="M243" s="109">
        <v>15</v>
      </c>
      <c r="N243" s="127" t="str">
        <f t="shared" si="7"/>
        <v>_self</v>
      </c>
      <c r="O243" s="109">
        <f>LEN(Tableau18[[#This Row],[LABEL]])</f>
        <v>39</v>
      </c>
      <c r="P243" s="109">
        <v>15</v>
      </c>
      <c r="Q243" s="109" t="e">
        <f>ROUND(Tableau18[[#This Row],[LEN]]*#REF!+#REF!,0)</f>
        <v>#REF!</v>
      </c>
    </row>
    <row r="244" spans="1:17" s="97" customFormat="1" x14ac:dyDescent="0.25">
      <c r="A244" s="25" t="s">
        <v>402</v>
      </c>
      <c r="B244" s="26" t="s">
        <v>251</v>
      </c>
      <c r="C244" s="27" t="s">
        <v>778</v>
      </c>
      <c r="D244" s="70" t="s">
        <v>1177</v>
      </c>
      <c r="E244" s="27" t="s">
        <v>673</v>
      </c>
      <c r="F244" s="27" t="s">
        <v>2000</v>
      </c>
      <c r="G244" s="70" t="s">
        <v>166</v>
      </c>
      <c r="H244" s="70" t="s">
        <v>17</v>
      </c>
      <c r="I244" s="27"/>
      <c r="J244" s="28" t="s">
        <v>708</v>
      </c>
      <c r="K244" s="28" t="str">
        <f t="shared" si="6"/>
        <v>_</v>
      </c>
      <c r="L244" s="109">
        <f>ROUND(Tableau18[[#This Row],[LEN]]*7.27,0)</f>
        <v>211</v>
      </c>
      <c r="M244" s="109">
        <v>15</v>
      </c>
      <c r="N244" s="127" t="str">
        <f t="shared" si="7"/>
        <v>_self</v>
      </c>
      <c r="O244" s="109">
        <f>LEN(Tableau18[[#This Row],[LABEL]])</f>
        <v>29</v>
      </c>
      <c r="P244" s="109">
        <v>15</v>
      </c>
      <c r="Q244" s="109" t="e">
        <f>ROUND(Tableau18[[#This Row],[LEN]]*#REF!+#REF!,0)</f>
        <v>#REF!</v>
      </c>
    </row>
    <row r="245" spans="1:17" s="97" customFormat="1" x14ac:dyDescent="0.25">
      <c r="A245" s="25" t="s">
        <v>403</v>
      </c>
      <c r="B245" s="26" t="s">
        <v>251</v>
      </c>
      <c r="C245" s="27" t="s">
        <v>92</v>
      </c>
      <c r="D245" s="70" t="s">
        <v>1177</v>
      </c>
      <c r="E245" s="27" t="s">
        <v>663</v>
      </c>
      <c r="F245" s="27" t="s">
        <v>2080</v>
      </c>
      <c r="G245" s="70" t="s">
        <v>166</v>
      </c>
      <c r="H245" s="70" t="s">
        <v>655</v>
      </c>
      <c r="I245" s="27"/>
      <c r="J245" s="28" t="s">
        <v>708</v>
      </c>
      <c r="K245" s="28" t="str">
        <f t="shared" si="6"/>
        <v>_</v>
      </c>
      <c r="L245" s="109">
        <f>ROUND(Tableau18[[#This Row],[LEN]]*7.27,0)</f>
        <v>262</v>
      </c>
      <c r="M245" s="109">
        <v>15</v>
      </c>
      <c r="N245" s="127" t="str">
        <f t="shared" si="7"/>
        <v>_self</v>
      </c>
      <c r="O245" s="109">
        <f>LEN(Tableau18[[#This Row],[LABEL]])</f>
        <v>36</v>
      </c>
      <c r="P245" s="109">
        <v>15</v>
      </c>
      <c r="Q245" s="109" t="e">
        <f>ROUND(Tableau18[[#This Row],[LEN]]*#REF!+#REF!,0)</f>
        <v>#REF!</v>
      </c>
    </row>
    <row r="246" spans="1:17" s="97" customFormat="1" x14ac:dyDescent="0.25">
      <c r="A246" s="29" t="s">
        <v>414</v>
      </c>
      <c r="B246" s="30" t="s">
        <v>403</v>
      </c>
      <c r="C246" s="31" t="s">
        <v>95</v>
      </c>
      <c r="D246" s="71" t="s">
        <v>1177</v>
      </c>
      <c r="E246" s="31" t="s">
        <v>663</v>
      </c>
      <c r="F246" s="31" t="s">
        <v>2080</v>
      </c>
      <c r="G246" s="71" t="s">
        <v>166</v>
      </c>
      <c r="H246" s="71" t="s">
        <v>17</v>
      </c>
      <c r="I246" s="31"/>
      <c r="J246" s="32" t="s">
        <v>708</v>
      </c>
      <c r="K246" s="32" t="str">
        <f t="shared" si="6"/>
        <v>_</v>
      </c>
      <c r="L246" s="111">
        <f>ROUND(Tableau18[[#This Row],[LEN]]*7.27,0)</f>
        <v>254</v>
      </c>
      <c r="M246" s="111">
        <v>15</v>
      </c>
      <c r="N246" s="128" t="str">
        <f t="shared" si="7"/>
        <v>_self</v>
      </c>
      <c r="O246" s="111">
        <f>LEN(Tableau18[[#This Row],[LABEL]])</f>
        <v>35</v>
      </c>
      <c r="P246" s="111">
        <v>15</v>
      </c>
      <c r="Q246" s="111" t="e">
        <f>ROUND(Tableau18[[#This Row],[LEN]]*#REF!+#REF!,0)</f>
        <v>#REF!</v>
      </c>
    </row>
    <row r="247" spans="1:17" s="97" customFormat="1" x14ac:dyDescent="0.25">
      <c r="A247" s="29" t="s">
        <v>415</v>
      </c>
      <c r="B247" s="30" t="s">
        <v>403</v>
      </c>
      <c r="C247" s="31" t="s">
        <v>96</v>
      </c>
      <c r="D247" s="71" t="s">
        <v>1177</v>
      </c>
      <c r="E247" s="31" t="s">
        <v>663</v>
      </c>
      <c r="F247" s="31" t="s">
        <v>2080</v>
      </c>
      <c r="G247" s="71" t="s">
        <v>166</v>
      </c>
      <c r="H247" s="71" t="s">
        <v>570</v>
      </c>
      <c r="I247" s="31"/>
      <c r="J247" s="32" t="s">
        <v>708</v>
      </c>
      <c r="K247" s="32" t="str">
        <f t="shared" si="6"/>
        <v>_</v>
      </c>
      <c r="L247" s="111">
        <f>ROUND(Tableau18[[#This Row],[LEN]]*7.27,0)</f>
        <v>233</v>
      </c>
      <c r="M247" s="111">
        <v>15</v>
      </c>
      <c r="N247" s="128" t="str">
        <f t="shared" si="7"/>
        <v>_self</v>
      </c>
      <c r="O247" s="111">
        <f>LEN(Tableau18[[#This Row],[LABEL]])</f>
        <v>32</v>
      </c>
      <c r="P247" s="111">
        <v>15</v>
      </c>
      <c r="Q247" s="111" t="e">
        <f>ROUND(Tableau18[[#This Row],[LEN]]*#REF!+#REF!,0)</f>
        <v>#REF!</v>
      </c>
    </row>
    <row r="248" spans="1:17" s="97" customFormat="1" x14ac:dyDescent="0.25">
      <c r="A248" s="29" t="s">
        <v>416</v>
      </c>
      <c r="B248" s="30" t="s">
        <v>403</v>
      </c>
      <c r="C248" s="31" t="s">
        <v>97</v>
      </c>
      <c r="D248" s="71" t="s">
        <v>1177</v>
      </c>
      <c r="E248" s="31" t="s">
        <v>663</v>
      </c>
      <c r="F248" s="31" t="s">
        <v>2080</v>
      </c>
      <c r="G248" s="71" t="s">
        <v>166</v>
      </c>
      <c r="H248" s="71" t="s">
        <v>656</v>
      </c>
      <c r="I248" s="31"/>
      <c r="J248" s="32" t="s">
        <v>708</v>
      </c>
      <c r="K248" s="32" t="str">
        <f t="shared" si="6"/>
        <v>_</v>
      </c>
      <c r="L248" s="111">
        <f>ROUND(Tableau18[[#This Row],[LEN]]*7.27,0)</f>
        <v>145</v>
      </c>
      <c r="M248" s="111">
        <v>15</v>
      </c>
      <c r="N248" s="128" t="str">
        <f t="shared" si="7"/>
        <v>_self</v>
      </c>
      <c r="O248" s="111">
        <f>LEN(Tableau18[[#This Row],[LABEL]])</f>
        <v>20</v>
      </c>
      <c r="P248" s="111">
        <v>15</v>
      </c>
      <c r="Q248" s="111" t="e">
        <f>ROUND(Tableau18[[#This Row],[LEN]]*#REF!+#REF!,0)</f>
        <v>#REF!</v>
      </c>
    </row>
    <row r="249" spans="1:17" s="97" customFormat="1" x14ac:dyDescent="0.25">
      <c r="A249" s="25" t="s">
        <v>404</v>
      </c>
      <c r="B249" s="26" t="s">
        <v>251</v>
      </c>
      <c r="C249" s="27" t="s">
        <v>91</v>
      </c>
      <c r="D249" s="70" t="s">
        <v>1177</v>
      </c>
      <c r="E249" s="27" t="s">
        <v>663</v>
      </c>
      <c r="F249" s="27" t="s">
        <v>2080</v>
      </c>
      <c r="G249" s="70" t="s">
        <v>166</v>
      </c>
      <c r="H249" s="70" t="s">
        <v>655</v>
      </c>
      <c r="I249" s="27"/>
      <c r="J249" s="28" t="s">
        <v>708</v>
      </c>
      <c r="K249" s="28" t="str">
        <f t="shared" si="6"/>
        <v>_</v>
      </c>
      <c r="L249" s="109">
        <f>ROUND(Tableau18[[#This Row],[LEN]]*7.27,0)</f>
        <v>269</v>
      </c>
      <c r="M249" s="109">
        <v>15</v>
      </c>
      <c r="N249" s="127" t="str">
        <f t="shared" si="7"/>
        <v>_self</v>
      </c>
      <c r="O249" s="109">
        <f>LEN(Tableau18[[#This Row],[LABEL]])</f>
        <v>37</v>
      </c>
      <c r="P249" s="109">
        <v>15</v>
      </c>
      <c r="Q249" s="109" t="e">
        <f>ROUND(Tableau18[[#This Row],[LEN]]*#REF!+#REF!,0)</f>
        <v>#REF!</v>
      </c>
    </row>
    <row r="250" spans="1:17" s="97" customFormat="1" x14ac:dyDescent="0.25">
      <c r="A250" s="29" t="s">
        <v>417</v>
      </c>
      <c r="B250" s="30" t="s">
        <v>404</v>
      </c>
      <c r="C250" s="31" t="s">
        <v>98</v>
      </c>
      <c r="D250" s="71" t="s">
        <v>1177</v>
      </c>
      <c r="E250" s="31" t="s">
        <v>663</v>
      </c>
      <c r="F250" s="31" t="s">
        <v>1358</v>
      </c>
      <c r="G250" s="71" t="s">
        <v>166</v>
      </c>
      <c r="H250" s="71" t="s">
        <v>18</v>
      </c>
      <c r="I250" s="31"/>
      <c r="J250" s="32" t="s">
        <v>708</v>
      </c>
      <c r="K250" s="32" t="str">
        <f t="shared" si="6"/>
        <v>_</v>
      </c>
      <c r="L250" s="111">
        <f>ROUND(Tableau18[[#This Row],[LEN]]*7.27,0)</f>
        <v>109</v>
      </c>
      <c r="M250" s="111">
        <v>15</v>
      </c>
      <c r="N250" s="128" t="str">
        <f t="shared" si="7"/>
        <v>_self</v>
      </c>
      <c r="O250" s="111">
        <f>LEN(Tableau18[[#This Row],[LABEL]])</f>
        <v>15</v>
      </c>
      <c r="P250" s="111">
        <v>15</v>
      </c>
      <c r="Q250" s="111" t="e">
        <f>ROUND(Tableau18[[#This Row],[LEN]]*#REF!+#REF!,0)</f>
        <v>#REF!</v>
      </c>
    </row>
    <row r="251" spans="1:17" s="97" customFormat="1" x14ac:dyDescent="0.25">
      <c r="A251" s="29" t="s">
        <v>418</v>
      </c>
      <c r="B251" s="30" t="s">
        <v>404</v>
      </c>
      <c r="C251" s="31" t="s">
        <v>99</v>
      </c>
      <c r="D251" s="71" t="s">
        <v>1177</v>
      </c>
      <c r="E251" s="31" t="s">
        <v>663</v>
      </c>
      <c r="F251" s="31" t="s">
        <v>1358</v>
      </c>
      <c r="G251" s="71" t="s">
        <v>166</v>
      </c>
      <c r="H251" s="71" t="s">
        <v>18</v>
      </c>
      <c r="I251" s="31"/>
      <c r="J251" s="32" t="s">
        <v>708</v>
      </c>
      <c r="K251" s="32" t="str">
        <f t="shared" si="6"/>
        <v>_</v>
      </c>
      <c r="L251" s="111">
        <f>ROUND(Tableau18[[#This Row],[LEN]]*7.27,0)</f>
        <v>80</v>
      </c>
      <c r="M251" s="111">
        <v>15</v>
      </c>
      <c r="N251" s="128" t="str">
        <f t="shared" si="7"/>
        <v>_self</v>
      </c>
      <c r="O251" s="111">
        <f>LEN(Tableau18[[#This Row],[LABEL]])</f>
        <v>11</v>
      </c>
      <c r="P251" s="111">
        <v>15</v>
      </c>
      <c r="Q251" s="111" t="e">
        <f>ROUND(Tableau18[[#This Row],[LEN]]*#REF!+#REF!,0)</f>
        <v>#REF!</v>
      </c>
    </row>
    <row r="252" spans="1:17" s="97" customFormat="1" x14ac:dyDescent="0.25">
      <c r="A252" s="25" t="s">
        <v>405</v>
      </c>
      <c r="B252" s="26" t="s">
        <v>251</v>
      </c>
      <c r="C252" s="27" t="s">
        <v>1167</v>
      </c>
      <c r="D252" s="70" t="s">
        <v>486</v>
      </c>
      <c r="E252" s="27" t="s">
        <v>1085</v>
      </c>
      <c r="F252" s="27" t="s">
        <v>1084</v>
      </c>
      <c r="G252" s="70" t="s">
        <v>1977</v>
      </c>
      <c r="H252" s="70" t="s">
        <v>1131</v>
      </c>
      <c r="I252" s="27"/>
      <c r="J252" s="28" t="s">
        <v>708</v>
      </c>
      <c r="K252" s="28" t="str">
        <f t="shared" si="6"/>
        <v>_</v>
      </c>
      <c r="L252" s="109">
        <f>ROUND(Tableau18[[#This Row],[LEN]]*7.27,0)</f>
        <v>196</v>
      </c>
      <c r="M252" s="109">
        <v>15</v>
      </c>
      <c r="N252" s="127" t="str">
        <f t="shared" si="7"/>
        <v>_self</v>
      </c>
      <c r="O252" s="109">
        <f>LEN(Tableau18[[#This Row],[LABEL]])</f>
        <v>27</v>
      </c>
      <c r="P252" s="109">
        <v>15</v>
      </c>
      <c r="Q252" s="109" t="e">
        <f>ROUND(Tableau18[[#This Row],[LEN]]*#REF!+#REF!,0)</f>
        <v>#REF!</v>
      </c>
    </row>
    <row r="253" spans="1:17" s="97" customFormat="1" x14ac:dyDescent="0.25">
      <c r="A253" s="29" t="s">
        <v>1203</v>
      </c>
      <c r="B253" s="30" t="s">
        <v>405</v>
      </c>
      <c r="C253" s="31" t="s">
        <v>93</v>
      </c>
      <c r="D253" s="71" t="s">
        <v>1177</v>
      </c>
      <c r="E253" s="31" t="s">
        <v>1085</v>
      </c>
      <c r="F253" s="31" t="s">
        <v>1084</v>
      </c>
      <c r="G253" s="71" t="s">
        <v>166</v>
      </c>
      <c r="H253" s="71" t="s">
        <v>18</v>
      </c>
      <c r="I253" s="31"/>
      <c r="J253" s="32" t="s">
        <v>101</v>
      </c>
      <c r="K253" s="32" t="str">
        <f t="shared" si="6"/>
        <v>Documentation</v>
      </c>
      <c r="L253" s="111">
        <f>ROUND(Tableau18[[#This Row],[LEN]]*7.27,0)</f>
        <v>109</v>
      </c>
      <c r="M253" s="111">
        <v>15</v>
      </c>
      <c r="N253" s="128" t="str">
        <f t="shared" si="7"/>
        <v>_blank</v>
      </c>
      <c r="O253" s="111">
        <f>LEN(Tableau18[[#This Row],[LABEL]])</f>
        <v>15</v>
      </c>
      <c r="P253" s="111">
        <v>15</v>
      </c>
      <c r="Q253" s="111" t="e">
        <f>ROUND(Tableau18[[#This Row],[LEN]]*#REF!+#REF!,0)</f>
        <v>#REF!</v>
      </c>
    </row>
    <row r="254" spans="1:17" s="97" customFormat="1" x14ac:dyDescent="0.25">
      <c r="A254" s="29" t="s">
        <v>1204</v>
      </c>
      <c r="B254" s="30" t="s">
        <v>405</v>
      </c>
      <c r="C254" s="31" t="s">
        <v>94</v>
      </c>
      <c r="D254" s="71" t="s">
        <v>1177</v>
      </c>
      <c r="E254" s="31" t="s">
        <v>1085</v>
      </c>
      <c r="F254" s="31" t="s">
        <v>1084</v>
      </c>
      <c r="G254" s="71" t="s">
        <v>166</v>
      </c>
      <c r="H254" s="71" t="s">
        <v>18</v>
      </c>
      <c r="I254" s="31"/>
      <c r="J254" s="32" t="s">
        <v>102</v>
      </c>
      <c r="K254" s="32" t="str">
        <f t="shared" si="6"/>
        <v>Documentation</v>
      </c>
      <c r="L254" s="111">
        <f>ROUND(Tableau18[[#This Row],[LEN]]*7.27,0)</f>
        <v>58</v>
      </c>
      <c r="M254" s="111">
        <v>15</v>
      </c>
      <c r="N254" s="128" t="str">
        <f t="shared" si="7"/>
        <v>_blank</v>
      </c>
      <c r="O254" s="111">
        <f>LEN(Tableau18[[#This Row],[LABEL]])</f>
        <v>8</v>
      </c>
      <c r="P254" s="111">
        <v>15</v>
      </c>
      <c r="Q254" s="111" t="e">
        <f>ROUND(Tableau18[[#This Row],[LEN]]*#REF!+#REF!,0)</f>
        <v>#REF!</v>
      </c>
    </row>
    <row r="255" spans="1:17" s="273" customFormat="1" x14ac:dyDescent="0.25">
      <c r="A255" s="288" t="s">
        <v>252</v>
      </c>
      <c r="B255" s="289" t="s">
        <v>206</v>
      </c>
      <c r="C255" s="290" t="s">
        <v>4</v>
      </c>
      <c r="D255" s="291" t="s">
        <v>1177</v>
      </c>
      <c r="E255" s="290" t="s">
        <v>666</v>
      </c>
      <c r="F255" s="290" t="s">
        <v>1177</v>
      </c>
      <c r="G255" s="291" t="s">
        <v>166</v>
      </c>
      <c r="H255" s="291" t="str">
        <f>IFERROR(IF(SEARCH(".00.00.00.00.00",Tableau18[[#This Row],[name]],1)=7,"Division",""),"")</f>
        <v>Division</v>
      </c>
      <c r="I255" s="290"/>
      <c r="J255" s="292" t="s">
        <v>708</v>
      </c>
      <c r="K255" s="292" t="str">
        <f t="shared" si="6"/>
        <v>_</v>
      </c>
      <c r="L255" s="293">
        <f>ROUND(Tableau18[[#This Row],[LEN]]*7.27,0)</f>
        <v>36</v>
      </c>
      <c r="M255" s="293">
        <v>15</v>
      </c>
      <c r="N255" s="294" t="str">
        <f t="shared" si="7"/>
        <v>_self</v>
      </c>
      <c r="O255" s="293">
        <f>LEN(Tableau18[[#This Row],[LABEL]])</f>
        <v>5</v>
      </c>
      <c r="P255" s="293">
        <v>15</v>
      </c>
      <c r="Q255" s="293" t="e">
        <f>ROUND(Tableau18[[#This Row],[LEN]]*#REF!+#REF!,0)</f>
        <v>#REF!</v>
      </c>
    </row>
    <row r="256" spans="1:17" s="97" customFormat="1" x14ac:dyDescent="0.25">
      <c r="A256" s="25" t="s">
        <v>1058</v>
      </c>
      <c r="B256" s="26" t="s">
        <v>252</v>
      </c>
      <c r="C256" s="27" t="s">
        <v>86</v>
      </c>
      <c r="D256" s="70" t="s">
        <v>1177</v>
      </c>
      <c r="E256" s="27" t="s">
        <v>666</v>
      </c>
      <c r="F256" s="27" t="s">
        <v>2081</v>
      </c>
      <c r="G256" s="70" t="s">
        <v>166</v>
      </c>
      <c r="H256" s="70" t="s">
        <v>570</v>
      </c>
      <c r="I256" s="27"/>
      <c r="J256" s="28" t="s">
        <v>708</v>
      </c>
      <c r="K256" s="28" t="str">
        <f t="shared" si="6"/>
        <v>_</v>
      </c>
      <c r="L256" s="109">
        <f>ROUND(Tableau18[[#This Row],[LEN]]*7.27,0)</f>
        <v>269</v>
      </c>
      <c r="M256" s="109">
        <v>15</v>
      </c>
      <c r="N256" s="127" t="str">
        <f t="shared" si="7"/>
        <v>_self</v>
      </c>
      <c r="O256" s="109">
        <f>LEN(Tableau18[[#This Row],[LABEL]])</f>
        <v>37</v>
      </c>
      <c r="P256" s="109">
        <v>15</v>
      </c>
      <c r="Q256" s="109" t="e">
        <f>ROUND(Tableau18[[#This Row],[LEN]]*#REF!+#REF!,0)</f>
        <v>#REF!</v>
      </c>
    </row>
    <row r="257" spans="1:17" s="97" customFormat="1" x14ac:dyDescent="0.25">
      <c r="A257" s="25" t="s">
        <v>1059</v>
      </c>
      <c r="B257" s="26" t="s">
        <v>252</v>
      </c>
      <c r="C257" s="27" t="s">
        <v>87</v>
      </c>
      <c r="D257" s="70" t="s">
        <v>1177</v>
      </c>
      <c r="E257" s="27" t="s">
        <v>663</v>
      </c>
      <c r="F257" s="27" t="s">
        <v>684</v>
      </c>
      <c r="G257" s="70" t="s">
        <v>166</v>
      </c>
      <c r="H257" s="70" t="s">
        <v>570</v>
      </c>
      <c r="I257" s="27"/>
      <c r="J257" s="28" t="s">
        <v>708</v>
      </c>
      <c r="K257" s="28" t="str">
        <f t="shared" si="6"/>
        <v>_</v>
      </c>
      <c r="L257" s="109">
        <f>ROUND(Tableau18[[#This Row],[LEN]]*7.27,0)</f>
        <v>182</v>
      </c>
      <c r="M257" s="109">
        <v>15</v>
      </c>
      <c r="N257" s="127" t="str">
        <f t="shared" si="7"/>
        <v>_self</v>
      </c>
      <c r="O257" s="109">
        <f>LEN(Tableau18[[#This Row],[LABEL]])</f>
        <v>25</v>
      </c>
      <c r="P257" s="109">
        <v>15</v>
      </c>
      <c r="Q257" s="109" t="e">
        <f>ROUND(Tableau18[[#This Row],[LEN]]*#REF!+#REF!,0)</f>
        <v>#REF!</v>
      </c>
    </row>
    <row r="258" spans="1:17" s="97" customFormat="1" x14ac:dyDescent="0.25">
      <c r="A258" s="25" t="s">
        <v>1060</v>
      </c>
      <c r="B258" s="26" t="s">
        <v>252</v>
      </c>
      <c r="C258" s="27" t="s">
        <v>88</v>
      </c>
      <c r="D258" s="70" t="s">
        <v>1177</v>
      </c>
      <c r="E258" s="27" t="s">
        <v>667</v>
      </c>
      <c r="F258" s="27" t="s">
        <v>1218</v>
      </c>
      <c r="G258" s="70" t="s">
        <v>166</v>
      </c>
      <c r="H258" s="70" t="s">
        <v>570</v>
      </c>
      <c r="I258" s="27"/>
      <c r="J258" s="28" t="s">
        <v>708</v>
      </c>
      <c r="K258" s="28" t="str">
        <f t="shared" ref="K258:K321" si="8">IF(J258="javascript:void(0)","_","Documentation")</f>
        <v>_</v>
      </c>
      <c r="L258" s="109">
        <f>ROUND(Tableau18[[#This Row],[LEN]]*7.27,0)</f>
        <v>342</v>
      </c>
      <c r="M258" s="109">
        <v>15</v>
      </c>
      <c r="N258" s="127" t="str">
        <f t="shared" si="7"/>
        <v>_self</v>
      </c>
      <c r="O258" s="109">
        <f>LEN(Tableau18[[#This Row],[LABEL]])</f>
        <v>47</v>
      </c>
      <c r="P258" s="109">
        <v>15</v>
      </c>
      <c r="Q258" s="109" t="e">
        <f>ROUND(Tableau18[[#This Row],[LEN]]*#REF!+#REF!,0)</f>
        <v>#REF!</v>
      </c>
    </row>
    <row r="259" spans="1:17" s="97" customFormat="1" x14ac:dyDescent="0.25">
      <c r="A259" s="25" t="s">
        <v>1061</v>
      </c>
      <c r="B259" s="26" t="s">
        <v>252</v>
      </c>
      <c r="C259" s="27" t="s">
        <v>1071</v>
      </c>
      <c r="D259" s="70" t="s">
        <v>1177</v>
      </c>
      <c r="E259" s="27" t="s">
        <v>666</v>
      </c>
      <c r="F259" s="27" t="s">
        <v>828</v>
      </c>
      <c r="G259" s="70" t="s">
        <v>166</v>
      </c>
      <c r="H259" s="70" t="s">
        <v>655</v>
      </c>
      <c r="I259" s="27"/>
      <c r="J259" s="28" t="s">
        <v>708</v>
      </c>
      <c r="K259" s="28" t="str">
        <f t="shared" si="8"/>
        <v>_</v>
      </c>
      <c r="L259" s="109">
        <f>ROUND(Tableau18[[#This Row],[LEN]]*7.27,0)</f>
        <v>247</v>
      </c>
      <c r="M259" s="109">
        <v>15</v>
      </c>
      <c r="N259" s="127" t="str">
        <f t="shared" ref="N259:N322" si="9">IF(J259="javascript:void(0)","_self","_blank")</f>
        <v>_self</v>
      </c>
      <c r="O259" s="109">
        <f>LEN(Tableau18[[#This Row],[LABEL]])</f>
        <v>34</v>
      </c>
      <c r="P259" s="109">
        <v>15</v>
      </c>
      <c r="Q259" s="109" t="e">
        <f>ROUND(Tableau18[[#This Row],[LEN]]*#REF!+#REF!,0)</f>
        <v>#REF!</v>
      </c>
    </row>
    <row r="260" spans="1:17" s="97" customFormat="1" x14ac:dyDescent="0.25">
      <c r="A260" s="29" t="s">
        <v>1074</v>
      </c>
      <c r="B260" s="30" t="s">
        <v>1061</v>
      </c>
      <c r="C260" s="31" t="s">
        <v>1086</v>
      </c>
      <c r="D260" s="71" t="s">
        <v>1177</v>
      </c>
      <c r="E260" s="31" t="s">
        <v>666</v>
      </c>
      <c r="F260" s="31" t="s">
        <v>828</v>
      </c>
      <c r="G260" s="71" t="s">
        <v>166</v>
      </c>
      <c r="H260" s="71" t="s">
        <v>655</v>
      </c>
      <c r="I260" s="31"/>
      <c r="J260" s="32" t="s">
        <v>708</v>
      </c>
      <c r="K260" s="32" t="str">
        <f t="shared" si="8"/>
        <v>_</v>
      </c>
      <c r="L260" s="111">
        <f>ROUND(Tableau18[[#This Row],[LEN]]*7.27,0)</f>
        <v>87</v>
      </c>
      <c r="M260" s="111">
        <v>15</v>
      </c>
      <c r="N260" s="128" t="str">
        <f t="shared" si="9"/>
        <v>_self</v>
      </c>
      <c r="O260" s="111">
        <f>LEN(Tableau18[[#This Row],[LABEL]])</f>
        <v>12</v>
      </c>
      <c r="P260" s="111">
        <v>15</v>
      </c>
      <c r="Q260" s="111" t="e">
        <f>ROUND(Tableau18[[#This Row],[LEN]]*#REF!+#REF!,0)</f>
        <v>#REF!</v>
      </c>
    </row>
    <row r="261" spans="1:17" s="97" customFormat="1" x14ac:dyDescent="0.25">
      <c r="A261" s="86" t="s">
        <v>1094</v>
      </c>
      <c r="B261" s="87" t="s">
        <v>1074</v>
      </c>
      <c r="C261" s="88" t="s">
        <v>1088</v>
      </c>
      <c r="D261" s="89" t="s">
        <v>1177</v>
      </c>
      <c r="E261" s="88" t="s">
        <v>666</v>
      </c>
      <c r="F261" s="88" t="s">
        <v>828</v>
      </c>
      <c r="G261" s="89" t="s">
        <v>166</v>
      </c>
      <c r="H261" s="90" t="s">
        <v>18</v>
      </c>
      <c r="I261" s="88"/>
      <c r="J261" s="91" t="s">
        <v>708</v>
      </c>
      <c r="K261" s="91" t="str">
        <f t="shared" si="8"/>
        <v>_</v>
      </c>
      <c r="L261" s="112">
        <f>ROUND(Tableau18[[#This Row],[LEN]]*7.27,0)</f>
        <v>196</v>
      </c>
      <c r="M261" s="112">
        <v>15</v>
      </c>
      <c r="N261" s="129" t="str">
        <f t="shared" si="9"/>
        <v>_self</v>
      </c>
      <c r="O261" s="112">
        <f>LEN(Tableau18[[#This Row],[LABEL]])</f>
        <v>27</v>
      </c>
      <c r="P261" s="112">
        <v>15</v>
      </c>
      <c r="Q261" s="112" t="e">
        <f>ROUND(Tableau18[[#This Row],[LEN]]*#REF!+#REF!,0)</f>
        <v>#REF!</v>
      </c>
    </row>
    <row r="262" spans="1:17" s="97" customFormat="1" x14ac:dyDescent="0.25">
      <c r="A262" s="86" t="s">
        <v>1095</v>
      </c>
      <c r="B262" s="87" t="s">
        <v>1074</v>
      </c>
      <c r="C262" s="88" t="s">
        <v>1089</v>
      </c>
      <c r="D262" s="89" t="s">
        <v>1177</v>
      </c>
      <c r="E262" s="88" t="s">
        <v>666</v>
      </c>
      <c r="F262" s="88" t="s">
        <v>828</v>
      </c>
      <c r="G262" s="89" t="s">
        <v>166</v>
      </c>
      <c r="H262" s="90" t="s">
        <v>18</v>
      </c>
      <c r="I262" s="88"/>
      <c r="J262" s="91" t="s">
        <v>708</v>
      </c>
      <c r="K262" s="91" t="str">
        <f t="shared" si="8"/>
        <v>_</v>
      </c>
      <c r="L262" s="112">
        <f>ROUND(Tableau18[[#This Row],[LEN]]*7.27,0)</f>
        <v>36</v>
      </c>
      <c r="M262" s="112">
        <v>15</v>
      </c>
      <c r="N262" s="129" t="str">
        <f t="shared" si="9"/>
        <v>_self</v>
      </c>
      <c r="O262" s="112">
        <f>LEN(Tableau18[[#This Row],[LABEL]])</f>
        <v>5</v>
      </c>
      <c r="P262" s="112">
        <v>15</v>
      </c>
      <c r="Q262" s="112" t="e">
        <f>ROUND(Tableau18[[#This Row],[LEN]]*#REF!+#REF!,0)</f>
        <v>#REF!</v>
      </c>
    </row>
    <row r="263" spans="1:17" s="97" customFormat="1" x14ac:dyDescent="0.25">
      <c r="A263" s="86" t="s">
        <v>1096</v>
      </c>
      <c r="B263" s="87" t="s">
        <v>1074</v>
      </c>
      <c r="C263" s="88" t="s">
        <v>1090</v>
      </c>
      <c r="D263" s="89" t="s">
        <v>1177</v>
      </c>
      <c r="E263" s="88" t="s">
        <v>666</v>
      </c>
      <c r="F263" s="88" t="s">
        <v>828</v>
      </c>
      <c r="G263" s="89" t="s">
        <v>166</v>
      </c>
      <c r="H263" s="90" t="s">
        <v>18</v>
      </c>
      <c r="I263" s="88"/>
      <c r="J263" s="91" t="s">
        <v>708</v>
      </c>
      <c r="K263" s="91" t="str">
        <f t="shared" si="8"/>
        <v>_</v>
      </c>
      <c r="L263" s="112">
        <f>ROUND(Tableau18[[#This Row],[LEN]]*7.27,0)</f>
        <v>29</v>
      </c>
      <c r="M263" s="112">
        <v>15</v>
      </c>
      <c r="N263" s="129" t="str">
        <f t="shared" si="9"/>
        <v>_self</v>
      </c>
      <c r="O263" s="112">
        <f>LEN(Tableau18[[#This Row],[LABEL]])</f>
        <v>4</v>
      </c>
      <c r="P263" s="112">
        <v>15</v>
      </c>
      <c r="Q263" s="112" t="e">
        <f>ROUND(Tableau18[[#This Row],[LEN]]*#REF!+#REF!,0)</f>
        <v>#REF!</v>
      </c>
    </row>
    <row r="264" spans="1:17" s="97" customFormat="1" x14ac:dyDescent="0.25">
      <c r="A264" s="86" t="s">
        <v>1097</v>
      </c>
      <c r="B264" s="87" t="s">
        <v>1074</v>
      </c>
      <c r="C264" s="88" t="s">
        <v>1091</v>
      </c>
      <c r="D264" s="89" t="s">
        <v>1177</v>
      </c>
      <c r="E264" s="88" t="s">
        <v>666</v>
      </c>
      <c r="F264" s="88" t="s">
        <v>828</v>
      </c>
      <c r="G264" s="89" t="s">
        <v>166</v>
      </c>
      <c r="H264" s="90" t="s">
        <v>18</v>
      </c>
      <c r="I264" s="88"/>
      <c r="J264" s="91" t="s">
        <v>708</v>
      </c>
      <c r="K264" s="91" t="str">
        <f t="shared" si="8"/>
        <v>_</v>
      </c>
      <c r="L264" s="112">
        <f>ROUND(Tableau18[[#This Row],[LEN]]*7.27,0)</f>
        <v>102</v>
      </c>
      <c r="M264" s="112">
        <v>15</v>
      </c>
      <c r="N264" s="129" t="str">
        <f t="shared" si="9"/>
        <v>_self</v>
      </c>
      <c r="O264" s="112">
        <f>LEN(Tableau18[[#This Row],[LABEL]])</f>
        <v>14</v>
      </c>
      <c r="P264" s="112">
        <v>15</v>
      </c>
      <c r="Q264" s="112" t="e">
        <f>ROUND(Tableau18[[#This Row],[LEN]]*#REF!+#REF!,0)</f>
        <v>#REF!</v>
      </c>
    </row>
    <row r="265" spans="1:17" s="97" customFormat="1" x14ac:dyDescent="0.25">
      <c r="A265" s="86" t="s">
        <v>1098</v>
      </c>
      <c r="B265" s="87" t="s">
        <v>1074</v>
      </c>
      <c r="C265" s="88" t="s">
        <v>1092</v>
      </c>
      <c r="D265" s="89" t="s">
        <v>1177</v>
      </c>
      <c r="E265" s="88" t="s">
        <v>666</v>
      </c>
      <c r="F265" s="88" t="s">
        <v>828</v>
      </c>
      <c r="G265" s="89" t="s">
        <v>166</v>
      </c>
      <c r="H265" s="90" t="s">
        <v>18</v>
      </c>
      <c r="I265" s="88"/>
      <c r="J265" s="91" t="s">
        <v>708</v>
      </c>
      <c r="K265" s="91" t="str">
        <f t="shared" si="8"/>
        <v>_</v>
      </c>
      <c r="L265" s="112">
        <f>ROUND(Tableau18[[#This Row],[LEN]]*7.27,0)</f>
        <v>153</v>
      </c>
      <c r="M265" s="112">
        <v>15</v>
      </c>
      <c r="N265" s="129" t="str">
        <f t="shared" si="9"/>
        <v>_self</v>
      </c>
      <c r="O265" s="112">
        <f>LEN(Tableau18[[#This Row],[LABEL]])</f>
        <v>21</v>
      </c>
      <c r="P265" s="112">
        <v>15</v>
      </c>
      <c r="Q265" s="112" t="e">
        <f>ROUND(Tableau18[[#This Row],[LEN]]*#REF!+#REF!,0)</f>
        <v>#REF!</v>
      </c>
    </row>
    <row r="266" spans="1:17" s="97" customFormat="1" x14ac:dyDescent="0.25">
      <c r="A266" s="86" t="s">
        <v>1099</v>
      </c>
      <c r="B266" s="87" t="s">
        <v>1074</v>
      </c>
      <c r="C266" s="88" t="s">
        <v>1093</v>
      </c>
      <c r="D266" s="89" t="s">
        <v>1177</v>
      </c>
      <c r="E266" s="88" t="s">
        <v>666</v>
      </c>
      <c r="F266" s="88" t="s">
        <v>828</v>
      </c>
      <c r="G266" s="89" t="s">
        <v>166</v>
      </c>
      <c r="H266" s="90" t="s">
        <v>18</v>
      </c>
      <c r="I266" s="88"/>
      <c r="J266" s="91" t="s">
        <v>708</v>
      </c>
      <c r="K266" s="91" t="str">
        <f t="shared" si="8"/>
        <v>_</v>
      </c>
      <c r="L266" s="112">
        <f>ROUND(Tableau18[[#This Row],[LEN]]*7.27,0)</f>
        <v>269</v>
      </c>
      <c r="M266" s="112">
        <v>15</v>
      </c>
      <c r="N266" s="129" t="str">
        <f t="shared" si="9"/>
        <v>_self</v>
      </c>
      <c r="O266" s="112">
        <f>LEN(Tableau18[[#This Row],[LABEL]])</f>
        <v>37</v>
      </c>
      <c r="P266" s="112">
        <v>15</v>
      </c>
      <c r="Q266" s="112" t="e">
        <f>ROUND(Tableau18[[#This Row],[LEN]]*#REF!+#REF!,0)</f>
        <v>#REF!</v>
      </c>
    </row>
    <row r="267" spans="1:17" s="97" customFormat="1" x14ac:dyDescent="0.25">
      <c r="A267" s="29" t="s">
        <v>1075</v>
      </c>
      <c r="B267" s="30" t="s">
        <v>1061</v>
      </c>
      <c r="C267" s="31" t="s">
        <v>1087</v>
      </c>
      <c r="D267" s="71" t="s">
        <v>1177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32" t="str">
        <f t="shared" si="8"/>
        <v>_</v>
      </c>
      <c r="L267" s="111">
        <f>ROUND(Tableau18[[#This Row],[LEN]]*7.27,0)</f>
        <v>109</v>
      </c>
      <c r="M267" s="111">
        <v>15</v>
      </c>
      <c r="N267" s="128" t="str">
        <f t="shared" si="9"/>
        <v>_self</v>
      </c>
      <c r="O267" s="111">
        <f>LEN(Tableau18[[#This Row],[LABEL]])</f>
        <v>15</v>
      </c>
      <c r="P267" s="111">
        <v>15</v>
      </c>
      <c r="Q267" s="111" t="e">
        <f>ROUND(Tableau18[[#This Row],[LEN]]*#REF!+#REF!,0)</f>
        <v>#REF!</v>
      </c>
    </row>
    <row r="268" spans="1:17" s="97" customFormat="1" x14ac:dyDescent="0.25">
      <c r="A268" s="86" t="s">
        <v>1102</v>
      </c>
      <c r="B268" s="87" t="s">
        <v>1075</v>
      </c>
      <c r="C268" s="88" t="s">
        <v>1100</v>
      </c>
      <c r="D268" s="89" t="s">
        <v>1177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91" t="str">
        <f t="shared" si="8"/>
        <v>_</v>
      </c>
      <c r="L268" s="112">
        <f>ROUND(Tableau18[[#This Row],[LEN]]*7.27,0)</f>
        <v>22</v>
      </c>
      <c r="M268" s="112">
        <v>15</v>
      </c>
      <c r="N268" s="129" t="str">
        <f t="shared" si="9"/>
        <v>_self</v>
      </c>
      <c r="O268" s="112">
        <f>LEN(Tableau18[[#This Row],[LABEL]])</f>
        <v>3</v>
      </c>
      <c r="P268" s="112">
        <v>15</v>
      </c>
      <c r="Q268" s="112" t="e">
        <f>ROUND(Tableau18[[#This Row],[LEN]]*#REF!+#REF!,0)</f>
        <v>#REF!</v>
      </c>
    </row>
    <row r="269" spans="1:17" s="97" customFormat="1" x14ac:dyDescent="0.25">
      <c r="A269" s="86" t="s">
        <v>1103</v>
      </c>
      <c r="B269" s="87" t="s">
        <v>1075</v>
      </c>
      <c r="C269" s="88" t="s">
        <v>1101</v>
      </c>
      <c r="D269" s="89" t="s">
        <v>1177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91" t="str">
        <f t="shared" si="8"/>
        <v>_</v>
      </c>
      <c r="L269" s="112">
        <f>ROUND(Tableau18[[#This Row],[LEN]]*7.27,0)</f>
        <v>36</v>
      </c>
      <c r="M269" s="112">
        <v>15</v>
      </c>
      <c r="N269" s="129" t="str">
        <f t="shared" si="9"/>
        <v>_self</v>
      </c>
      <c r="O269" s="112">
        <f>LEN(Tableau18[[#This Row],[LABEL]])</f>
        <v>5</v>
      </c>
      <c r="P269" s="112">
        <v>15</v>
      </c>
      <c r="Q269" s="112" t="e">
        <f>ROUND(Tableau18[[#This Row],[LEN]]*#REF!+#REF!,0)</f>
        <v>#REF!</v>
      </c>
    </row>
    <row r="270" spans="1:17" s="97" customFormat="1" x14ac:dyDescent="0.25">
      <c r="A270" s="86" t="s">
        <v>1104</v>
      </c>
      <c r="B270" s="87" t="s">
        <v>1075</v>
      </c>
      <c r="C270" s="88" t="s">
        <v>812</v>
      </c>
      <c r="D270" s="89" t="s">
        <v>1177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91" t="str">
        <f t="shared" si="8"/>
        <v>_</v>
      </c>
      <c r="L270" s="112">
        <f>ROUND(Tableau18[[#This Row],[LEN]]*7.27,0)</f>
        <v>131</v>
      </c>
      <c r="M270" s="112">
        <v>15</v>
      </c>
      <c r="N270" s="129" t="str">
        <f t="shared" si="9"/>
        <v>_self</v>
      </c>
      <c r="O270" s="112">
        <f>LEN(Tableau18[[#This Row],[LABEL]])</f>
        <v>18</v>
      </c>
      <c r="P270" s="112">
        <v>15</v>
      </c>
      <c r="Q270" s="112" t="e">
        <f>ROUND(Tableau18[[#This Row],[LEN]]*#REF!+#REF!,0)</f>
        <v>#REF!</v>
      </c>
    </row>
    <row r="271" spans="1:17" s="97" customFormat="1" x14ac:dyDescent="0.25">
      <c r="A271" s="29" t="s">
        <v>1076</v>
      </c>
      <c r="B271" s="30" t="s">
        <v>1061</v>
      </c>
      <c r="C271" s="31" t="s">
        <v>15</v>
      </c>
      <c r="D271" s="71" t="s">
        <v>1177</v>
      </c>
      <c r="E271" s="31" t="s">
        <v>666</v>
      </c>
      <c r="F271" s="31" t="s">
        <v>828</v>
      </c>
      <c r="G271" s="71" t="s">
        <v>166</v>
      </c>
      <c r="H271" s="71" t="s">
        <v>655</v>
      </c>
      <c r="I271" s="31"/>
      <c r="J271" s="32" t="s">
        <v>708</v>
      </c>
      <c r="K271" s="32" t="str">
        <f t="shared" si="8"/>
        <v>_</v>
      </c>
      <c r="L271" s="111">
        <f>ROUND(Tableau18[[#This Row],[LEN]]*7.27,0)</f>
        <v>174</v>
      </c>
      <c r="M271" s="111">
        <v>15</v>
      </c>
      <c r="N271" s="128" t="str">
        <f t="shared" si="9"/>
        <v>_self</v>
      </c>
      <c r="O271" s="111">
        <f>LEN(Tableau18[[#This Row],[LABEL]])</f>
        <v>24</v>
      </c>
      <c r="P271" s="111">
        <v>15</v>
      </c>
      <c r="Q271" s="111" t="e">
        <f>ROUND(Tableau18[[#This Row],[LEN]]*#REF!+#REF!,0)</f>
        <v>#REF!</v>
      </c>
    </row>
    <row r="272" spans="1:17" s="97" customFormat="1" x14ac:dyDescent="0.25">
      <c r="A272" s="86" t="s">
        <v>1105</v>
      </c>
      <c r="B272" s="87" t="s">
        <v>1076</v>
      </c>
      <c r="C272" s="88" t="s">
        <v>1100</v>
      </c>
      <c r="D272" s="89" t="s">
        <v>1177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91" t="str">
        <f t="shared" si="8"/>
        <v>_</v>
      </c>
      <c r="L272" s="112">
        <f>ROUND(Tableau18[[#This Row],[LEN]]*7.27,0)</f>
        <v>22</v>
      </c>
      <c r="M272" s="112">
        <v>15</v>
      </c>
      <c r="N272" s="129" t="str">
        <f t="shared" si="9"/>
        <v>_self</v>
      </c>
      <c r="O272" s="112">
        <f>LEN(Tableau18[[#This Row],[LABEL]])</f>
        <v>3</v>
      </c>
      <c r="P272" s="112">
        <v>15</v>
      </c>
      <c r="Q272" s="112" t="e">
        <f>ROUND(Tableau18[[#This Row],[LEN]]*#REF!+#REF!,0)</f>
        <v>#REF!</v>
      </c>
    </row>
    <row r="273" spans="1:17" s="97" customFormat="1" x14ac:dyDescent="0.25">
      <c r="A273" s="86" t="s">
        <v>1106</v>
      </c>
      <c r="B273" s="87" t="s">
        <v>1076</v>
      </c>
      <c r="C273" s="88" t="s">
        <v>807</v>
      </c>
      <c r="D273" s="89" t="s">
        <v>1177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91" t="str">
        <f t="shared" si="8"/>
        <v>_</v>
      </c>
      <c r="L273" s="112">
        <f>ROUND(Tableau18[[#This Row],[LEN]]*7.27,0)</f>
        <v>218</v>
      </c>
      <c r="M273" s="112">
        <v>15</v>
      </c>
      <c r="N273" s="129" t="str">
        <f t="shared" si="9"/>
        <v>_self</v>
      </c>
      <c r="O273" s="112">
        <f>LEN(Tableau18[[#This Row],[LABEL]])</f>
        <v>30</v>
      </c>
      <c r="P273" s="112">
        <v>15</v>
      </c>
      <c r="Q273" s="112" t="e">
        <f>ROUND(Tableau18[[#This Row],[LEN]]*#REF!+#REF!,0)</f>
        <v>#REF!</v>
      </c>
    </row>
    <row r="274" spans="1:17" s="97" customFormat="1" x14ac:dyDescent="0.25">
      <c r="A274" s="86" t="s">
        <v>1107</v>
      </c>
      <c r="B274" s="87" t="s">
        <v>1076</v>
      </c>
      <c r="C274" s="88" t="s">
        <v>1112</v>
      </c>
      <c r="D274" s="89" t="s">
        <v>1177</v>
      </c>
      <c r="E274" s="88" t="s">
        <v>666</v>
      </c>
      <c r="F274" s="88" t="s">
        <v>828</v>
      </c>
      <c r="G274" s="89" t="s">
        <v>166</v>
      </c>
      <c r="H274" s="90" t="s">
        <v>18</v>
      </c>
      <c r="I274" s="88"/>
      <c r="J274" s="91" t="s">
        <v>708</v>
      </c>
      <c r="K274" s="91" t="str">
        <f t="shared" si="8"/>
        <v>_</v>
      </c>
      <c r="L274" s="112">
        <f>ROUND(Tableau18[[#This Row],[LEN]]*7.27,0)</f>
        <v>240</v>
      </c>
      <c r="M274" s="112">
        <v>15</v>
      </c>
      <c r="N274" s="129" t="str">
        <f t="shared" si="9"/>
        <v>_self</v>
      </c>
      <c r="O274" s="112">
        <f>LEN(Tableau18[[#This Row],[LABEL]])</f>
        <v>33</v>
      </c>
      <c r="P274" s="112">
        <v>15</v>
      </c>
      <c r="Q274" s="112" t="e">
        <f>ROUND(Tableau18[[#This Row],[LEN]]*#REF!+#REF!,0)</f>
        <v>#REF!</v>
      </c>
    </row>
    <row r="275" spans="1:17" s="97" customFormat="1" x14ac:dyDescent="0.25">
      <c r="A275" s="86" t="s">
        <v>1108</v>
      </c>
      <c r="B275" s="87" t="s">
        <v>1076</v>
      </c>
      <c r="C275" s="88" t="s">
        <v>1113</v>
      </c>
      <c r="D275" s="89" t="s">
        <v>1177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91" t="str">
        <f t="shared" si="8"/>
        <v>_</v>
      </c>
      <c r="L275" s="112">
        <f>ROUND(Tableau18[[#This Row],[LEN]]*7.27,0)</f>
        <v>116</v>
      </c>
      <c r="M275" s="112">
        <v>15</v>
      </c>
      <c r="N275" s="129" t="str">
        <f t="shared" si="9"/>
        <v>_self</v>
      </c>
      <c r="O275" s="112">
        <f>LEN(Tableau18[[#This Row],[LABEL]])</f>
        <v>16</v>
      </c>
      <c r="P275" s="112">
        <v>15</v>
      </c>
      <c r="Q275" s="112" t="e">
        <f>ROUND(Tableau18[[#This Row],[LEN]]*#REF!+#REF!,0)</f>
        <v>#REF!</v>
      </c>
    </row>
    <row r="276" spans="1:17" s="97" customFormat="1" x14ac:dyDescent="0.25">
      <c r="A276" s="86" t="s">
        <v>1109</v>
      </c>
      <c r="B276" s="87" t="s">
        <v>1076</v>
      </c>
      <c r="C276" s="88" t="s">
        <v>1114</v>
      </c>
      <c r="D276" s="89" t="s">
        <v>1177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91" t="str">
        <f t="shared" si="8"/>
        <v>_</v>
      </c>
      <c r="L276" s="112">
        <f>ROUND(Tableau18[[#This Row],[LEN]]*7.27,0)</f>
        <v>116</v>
      </c>
      <c r="M276" s="112">
        <v>15</v>
      </c>
      <c r="N276" s="129" t="str">
        <f t="shared" si="9"/>
        <v>_self</v>
      </c>
      <c r="O276" s="112">
        <f>LEN(Tableau18[[#This Row],[LABEL]])</f>
        <v>16</v>
      </c>
      <c r="P276" s="112">
        <v>15</v>
      </c>
      <c r="Q276" s="112" t="e">
        <f>ROUND(Tableau18[[#This Row],[LEN]]*#REF!+#REF!,0)</f>
        <v>#REF!</v>
      </c>
    </row>
    <row r="277" spans="1:17" s="97" customFormat="1" x14ac:dyDescent="0.25">
      <c r="A277" s="86" t="s">
        <v>1110</v>
      </c>
      <c r="B277" s="87" t="s">
        <v>1076</v>
      </c>
      <c r="C277" s="88" t="s">
        <v>806</v>
      </c>
      <c r="D277" s="89" t="s">
        <v>1177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91" t="str">
        <f t="shared" si="8"/>
        <v>_</v>
      </c>
      <c r="L277" s="112">
        <f>ROUND(Tableau18[[#This Row],[LEN]]*7.27,0)</f>
        <v>174</v>
      </c>
      <c r="M277" s="112">
        <v>15</v>
      </c>
      <c r="N277" s="129" t="str">
        <f t="shared" si="9"/>
        <v>_self</v>
      </c>
      <c r="O277" s="112">
        <f>LEN(Tableau18[[#This Row],[LABEL]])</f>
        <v>24</v>
      </c>
      <c r="P277" s="112">
        <v>15</v>
      </c>
      <c r="Q277" s="112" t="e">
        <f>ROUND(Tableau18[[#This Row],[LEN]]*#REF!+#REF!,0)</f>
        <v>#REF!</v>
      </c>
    </row>
    <row r="278" spans="1:17" s="97" customFormat="1" x14ac:dyDescent="0.25">
      <c r="A278" s="86" t="s">
        <v>1111</v>
      </c>
      <c r="B278" s="87" t="s">
        <v>1076</v>
      </c>
      <c r="C278" s="88" t="s">
        <v>812</v>
      </c>
      <c r="D278" s="89" t="s">
        <v>1177</v>
      </c>
      <c r="E278" s="88" t="s">
        <v>666</v>
      </c>
      <c r="F278" s="88" t="s">
        <v>828</v>
      </c>
      <c r="G278" s="89" t="s">
        <v>166</v>
      </c>
      <c r="H278" s="90" t="s">
        <v>18</v>
      </c>
      <c r="I278" s="88"/>
      <c r="J278" s="91" t="s">
        <v>708</v>
      </c>
      <c r="K278" s="91" t="str">
        <f t="shared" si="8"/>
        <v>_</v>
      </c>
      <c r="L278" s="112">
        <f>ROUND(Tableau18[[#This Row],[LEN]]*7.27,0)</f>
        <v>131</v>
      </c>
      <c r="M278" s="112">
        <v>15</v>
      </c>
      <c r="N278" s="129" t="str">
        <f t="shared" si="9"/>
        <v>_self</v>
      </c>
      <c r="O278" s="112">
        <f>LEN(Tableau18[[#This Row],[LABEL]])</f>
        <v>18</v>
      </c>
      <c r="P278" s="112">
        <v>15</v>
      </c>
      <c r="Q278" s="112" t="e">
        <f>ROUND(Tableau18[[#This Row],[LEN]]*#REF!+#REF!,0)</f>
        <v>#REF!</v>
      </c>
    </row>
    <row r="279" spans="1:17" s="97" customFormat="1" x14ac:dyDescent="0.25">
      <c r="A279" s="25" t="s">
        <v>1062</v>
      </c>
      <c r="B279" s="26" t="s">
        <v>252</v>
      </c>
      <c r="C279" s="27" t="s">
        <v>1070</v>
      </c>
      <c r="D279" s="70" t="s">
        <v>1177</v>
      </c>
      <c r="E279" s="27" t="s">
        <v>666</v>
      </c>
      <c r="F279" s="27" t="s">
        <v>1177</v>
      </c>
      <c r="G279" s="70" t="s">
        <v>166</v>
      </c>
      <c r="H279" s="70" t="s">
        <v>656</v>
      </c>
      <c r="I279" s="27"/>
      <c r="J279" s="28" t="s">
        <v>708</v>
      </c>
      <c r="K279" s="28" t="str">
        <f t="shared" si="8"/>
        <v>_</v>
      </c>
      <c r="L279" s="109">
        <f>ROUND(Tableau18[[#This Row],[LEN]]*7.27,0)</f>
        <v>371</v>
      </c>
      <c r="M279" s="109">
        <v>15</v>
      </c>
      <c r="N279" s="127" t="str">
        <f t="shared" si="9"/>
        <v>_self</v>
      </c>
      <c r="O279" s="109">
        <f>LEN(Tableau18[[#This Row],[LABEL]])</f>
        <v>51</v>
      </c>
      <c r="P279" s="109">
        <v>15</v>
      </c>
      <c r="Q279" s="109" t="e">
        <f>ROUND(Tableau18[[#This Row],[LEN]]*#REF!+#REF!,0)</f>
        <v>#REF!</v>
      </c>
    </row>
    <row r="280" spans="1:17" s="97" customFormat="1" x14ac:dyDescent="0.25">
      <c r="A280" s="25" t="s">
        <v>1063</v>
      </c>
      <c r="B280" s="26" t="s">
        <v>252</v>
      </c>
      <c r="C280" s="27" t="s">
        <v>778</v>
      </c>
      <c r="D280" s="70" t="s">
        <v>1177</v>
      </c>
      <c r="E280" s="27" t="s">
        <v>673</v>
      </c>
      <c r="F280" s="27" t="s">
        <v>2000</v>
      </c>
      <c r="G280" s="70" t="s">
        <v>166</v>
      </c>
      <c r="H280" s="70" t="s">
        <v>17</v>
      </c>
      <c r="I280" s="27"/>
      <c r="J280" s="28" t="s">
        <v>708</v>
      </c>
      <c r="K280" s="28" t="str">
        <f t="shared" si="8"/>
        <v>_</v>
      </c>
      <c r="L280" s="109">
        <f>ROUND(Tableau18[[#This Row],[LEN]]*7.27,0)</f>
        <v>211</v>
      </c>
      <c r="M280" s="109">
        <v>15</v>
      </c>
      <c r="N280" s="127" t="str">
        <f t="shared" si="9"/>
        <v>_self</v>
      </c>
      <c r="O280" s="109">
        <f>LEN(Tableau18[[#This Row],[LABEL]])</f>
        <v>29</v>
      </c>
      <c r="P280" s="109">
        <v>15</v>
      </c>
      <c r="Q280" s="109" t="e">
        <f>ROUND(Tableau18[[#This Row],[LEN]]*#REF!+#REF!,0)</f>
        <v>#REF!</v>
      </c>
    </row>
    <row r="281" spans="1:17" s="97" customFormat="1" x14ac:dyDescent="0.25">
      <c r="A281" s="25" t="s">
        <v>1064</v>
      </c>
      <c r="B281" s="26" t="s">
        <v>252</v>
      </c>
      <c r="C281" s="27" t="s">
        <v>92</v>
      </c>
      <c r="D281" s="70" t="s">
        <v>1177</v>
      </c>
      <c r="E281" s="27" t="s">
        <v>663</v>
      </c>
      <c r="F281" s="27" t="s">
        <v>2080</v>
      </c>
      <c r="G281" s="70" t="s">
        <v>166</v>
      </c>
      <c r="H281" s="70" t="s">
        <v>655</v>
      </c>
      <c r="I281" s="27"/>
      <c r="J281" s="28" t="s">
        <v>708</v>
      </c>
      <c r="K281" s="28" t="str">
        <f t="shared" si="8"/>
        <v>_</v>
      </c>
      <c r="L281" s="109">
        <f>ROUND(Tableau18[[#This Row],[LEN]]*7.27,0)</f>
        <v>262</v>
      </c>
      <c r="M281" s="109">
        <v>15</v>
      </c>
      <c r="N281" s="127" t="str">
        <f t="shared" si="9"/>
        <v>_self</v>
      </c>
      <c r="O281" s="109">
        <f>LEN(Tableau18[[#This Row],[LABEL]])</f>
        <v>36</v>
      </c>
      <c r="P281" s="109">
        <v>15</v>
      </c>
      <c r="Q281" s="109" t="e">
        <f>ROUND(Tableau18[[#This Row],[LEN]]*#REF!+#REF!,0)</f>
        <v>#REF!</v>
      </c>
    </row>
    <row r="282" spans="1:17" s="97" customFormat="1" x14ac:dyDescent="0.25">
      <c r="A282" s="29" t="s">
        <v>1077</v>
      </c>
      <c r="B282" s="30" t="s">
        <v>1064</v>
      </c>
      <c r="C282" s="31" t="s">
        <v>95</v>
      </c>
      <c r="D282" s="71" t="s">
        <v>1177</v>
      </c>
      <c r="E282" s="31" t="s">
        <v>663</v>
      </c>
      <c r="F282" s="31" t="s">
        <v>2080</v>
      </c>
      <c r="G282" s="71" t="s">
        <v>166</v>
      </c>
      <c r="H282" s="71" t="s">
        <v>17</v>
      </c>
      <c r="I282" s="31"/>
      <c r="J282" s="32" t="s">
        <v>708</v>
      </c>
      <c r="K282" s="32" t="str">
        <f t="shared" si="8"/>
        <v>_</v>
      </c>
      <c r="L282" s="111">
        <f>ROUND(Tableau18[[#This Row],[LEN]]*7.27,0)</f>
        <v>254</v>
      </c>
      <c r="M282" s="111">
        <v>15</v>
      </c>
      <c r="N282" s="128" t="str">
        <f t="shared" si="9"/>
        <v>_self</v>
      </c>
      <c r="O282" s="111">
        <f>LEN(Tableau18[[#This Row],[LABEL]])</f>
        <v>35</v>
      </c>
      <c r="P282" s="111">
        <v>15</v>
      </c>
      <c r="Q282" s="111" t="e">
        <f>ROUND(Tableau18[[#This Row],[LEN]]*#REF!+#REF!,0)</f>
        <v>#REF!</v>
      </c>
    </row>
    <row r="283" spans="1:17" s="97" customFormat="1" x14ac:dyDescent="0.25">
      <c r="A283" s="29" t="s">
        <v>1078</v>
      </c>
      <c r="B283" s="30" t="s">
        <v>1064</v>
      </c>
      <c r="C283" s="31" t="s">
        <v>96</v>
      </c>
      <c r="D283" s="71" t="s">
        <v>1177</v>
      </c>
      <c r="E283" s="31" t="s">
        <v>663</v>
      </c>
      <c r="F283" s="31" t="s">
        <v>2080</v>
      </c>
      <c r="G283" s="71" t="s">
        <v>166</v>
      </c>
      <c r="H283" s="71" t="s">
        <v>654</v>
      </c>
      <c r="I283" s="31"/>
      <c r="J283" s="32" t="s">
        <v>708</v>
      </c>
      <c r="K283" s="32" t="str">
        <f t="shared" si="8"/>
        <v>_</v>
      </c>
      <c r="L283" s="111">
        <f>ROUND(Tableau18[[#This Row],[LEN]]*7.27,0)</f>
        <v>233</v>
      </c>
      <c r="M283" s="111">
        <v>15</v>
      </c>
      <c r="N283" s="128" t="str">
        <f t="shared" si="9"/>
        <v>_self</v>
      </c>
      <c r="O283" s="111">
        <f>LEN(Tableau18[[#This Row],[LABEL]])</f>
        <v>32</v>
      </c>
      <c r="P283" s="111">
        <v>15</v>
      </c>
      <c r="Q283" s="111" t="e">
        <f>ROUND(Tableau18[[#This Row],[LEN]]*#REF!+#REF!,0)</f>
        <v>#REF!</v>
      </c>
    </row>
    <row r="284" spans="1:17" s="97" customFormat="1" x14ac:dyDescent="0.25">
      <c r="A284" s="29" t="s">
        <v>1079</v>
      </c>
      <c r="B284" s="30" t="s">
        <v>1064</v>
      </c>
      <c r="C284" s="31" t="s">
        <v>97</v>
      </c>
      <c r="D284" s="71" t="s">
        <v>1177</v>
      </c>
      <c r="E284" s="31" t="s">
        <v>663</v>
      </c>
      <c r="F284" s="31" t="s">
        <v>2080</v>
      </c>
      <c r="G284" s="71" t="s">
        <v>166</v>
      </c>
      <c r="H284" s="71" t="s">
        <v>656</v>
      </c>
      <c r="I284" s="31"/>
      <c r="J284" s="32" t="s">
        <v>708</v>
      </c>
      <c r="K284" s="32" t="str">
        <f t="shared" si="8"/>
        <v>_</v>
      </c>
      <c r="L284" s="111">
        <f>ROUND(Tableau18[[#This Row],[LEN]]*7.27,0)</f>
        <v>145</v>
      </c>
      <c r="M284" s="111">
        <v>15</v>
      </c>
      <c r="N284" s="128" t="str">
        <f t="shared" si="9"/>
        <v>_self</v>
      </c>
      <c r="O284" s="111">
        <f>LEN(Tableau18[[#This Row],[LABEL]])</f>
        <v>20</v>
      </c>
      <c r="P284" s="111">
        <v>15</v>
      </c>
      <c r="Q284" s="111" t="e">
        <f>ROUND(Tableau18[[#This Row],[LEN]]*#REF!+#REF!,0)</f>
        <v>#REF!</v>
      </c>
    </row>
    <row r="285" spans="1:17" s="97" customFormat="1" x14ac:dyDescent="0.25">
      <c r="A285" s="25" t="s">
        <v>1065</v>
      </c>
      <c r="B285" s="26" t="s">
        <v>252</v>
      </c>
      <c r="C285" s="27" t="s">
        <v>1072</v>
      </c>
      <c r="D285" s="70" t="s">
        <v>1177</v>
      </c>
      <c r="E285" s="27" t="s">
        <v>666</v>
      </c>
      <c r="F285" s="27" t="s">
        <v>667</v>
      </c>
      <c r="G285" s="70" t="s">
        <v>166</v>
      </c>
      <c r="H285" s="70" t="s">
        <v>18</v>
      </c>
      <c r="I285" s="27"/>
      <c r="J285" s="28" t="s">
        <v>708</v>
      </c>
      <c r="K285" s="28" t="str">
        <f t="shared" si="8"/>
        <v>_</v>
      </c>
      <c r="L285" s="109">
        <f>ROUND(Tableau18[[#This Row],[LEN]]*7.27,0)</f>
        <v>422</v>
      </c>
      <c r="M285" s="109">
        <v>15</v>
      </c>
      <c r="N285" s="127" t="str">
        <f t="shared" si="9"/>
        <v>_self</v>
      </c>
      <c r="O285" s="109">
        <f>LEN(Tableau18[[#This Row],[LABEL]])</f>
        <v>58</v>
      </c>
      <c r="P285" s="109">
        <v>15</v>
      </c>
      <c r="Q285" s="109" t="e">
        <f>ROUND(Tableau18[[#This Row],[LEN]]*#REF!+#REF!,0)</f>
        <v>#REF!</v>
      </c>
    </row>
    <row r="286" spans="1:17" s="97" customFormat="1" x14ac:dyDescent="0.25">
      <c r="A286" s="25" t="s">
        <v>1066</v>
      </c>
      <c r="B286" s="26" t="s">
        <v>252</v>
      </c>
      <c r="C286" s="27" t="s">
        <v>1073</v>
      </c>
      <c r="D286" s="70" t="s">
        <v>1177</v>
      </c>
      <c r="E286" s="27" t="s">
        <v>666</v>
      </c>
      <c r="F286" s="27" t="s">
        <v>679</v>
      </c>
      <c r="G286" s="70" t="s">
        <v>166</v>
      </c>
      <c r="H286" s="70" t="s">
        <v>656</v>
      </c>
      <c r="I286" s="27"/>
      <c r="J286" s="28" t="s">
        <v>708</v>
      </c>
      <c r="K286" s="28" t="str">
        <f t="shared" si="8"/>
        <v>_</v>
      </c>
      <c r="L286" s="109">
        <f>ROUND(Tableau18[[#This Row],[LEN]]*7.27,0)</f>
        <v>393</v>
      </c>
      <c r="M286" s="109">
        <v>15</v>
      </c>
      <c r="N286" s="127" t="str">
        <f t="shared" si="9"/>
        <v>_self</v>
      </c>
      <c r="O286" s="109">
        <f>LEN(Tableau18[[#This Row],[LABEL]])</f>
        <v>54</v>
      </c>
      <c r="P286" s="109">
        <v>15</v>
      </c>
      <c r="Q286" s="109" t="e">
        <f>ROUND(Tableau18[[#This Row],[LEN]]*#REF!+#REF!,0)</f>
        <v>#REF!</v>
      </c>
    </row>
    <row r="287" spans="1:17" s="97" customFormat="1" x14ac:dyDescent="0.25">
      <c r="A287" s="25" t="s">
        <v>1067</v>
      </c>
      <c r="B287" s="26" t="s">
        <v>252</v>
      </c>
      <c r="C287" s="27" t="s">
        <v>1167</v>
      </c>
      <c r="D287" s="70" t="s">
        <v>486</v>
      </c>
      <c r="E287" s="27" t="s">
        <v>1085</v>
      </c>
      <c r="F287" s="27" t="s">
        <v>1084</v>
      </c>
      <c r="G287" s="70" t="s">
        <v>1977</v>
      </c>
      <c r="H287" s="70" t="s">
        <v>1131</v>
      </c>
      <c r="I287" s="27"/>
      <c r="J287" s="28" t="s">
        <v>708</v>
      </c>
      <c r="K287" s="28" t="str">
        <f t="shared" si="8"/>
        <v>_</v>
      </c>
      <c r="L287" s="109">
        <f>ROUND(Tableau18[[#This Row],[LEN]]*7.27,0)</f>
        <v>196</v>
      </c>
      <c r="M287" s="109">
        <v>15</v>
      </c>
      <c r="N287" s="127" t="str">
        <f t="shared" si="9"/>
        <v>_self</v>
      </c>
      <c r="O287" s="109">
        <f>LEN(Tableau18[[#This Row],[LABEL]])</f>
        <v>27</v>
      </c>
      <c r="P287" s="109">
        <v>15</v>
      </c>
      <c r="Q287" s="109" t="e">
        <f>ROUND(Tableau18[[#This Row],[LEN]]*#REF!+#REF!,0)</f>
        <v>#REF!</v>
      </c>
    </row>
    <row r="288" spans="1:17" s="97" customFormat="1" x14ac:dyDescent="0.25">
      <c r="A288" s="29" t="s">
        <v>1080</v>
      </c>
      <c r="B288" s="30" t="s">
        <v>1067</v>
      </c>
      <c r="C288" s="31" t="s">
        <v>93</v>
      </c>
      <c r="D288" s="71" t="s">
        <v>1177</v>
      </c>
      <c r="E288" s="31" t="s">
        <v>1085</v>
      </c>
      <c r="F288" s="31" t="s">
        <v>1084</v>
      </c>
      <c r="G288" s="71" t="s">
        <v>166</v>
      </c>
      <c r="H288" s="71" t="s">
        <v>18</v>
      </c>
      <c r="I288" s="31"/>
      <c r="J288" s="32" t="s">
        <v>101</v>
      </c>
      <c r="K288" s="32" t="str">
        <f t="shared" si="8"/>
        <v>Documentation</v>
      </c>
      <c r="L288" s="111">
        <f>ROUND(Tableau18[[#This Row],[LEN]]*7.27,0)</f>
        <v>109</v>
      </c>
      <c r="M288" s="111">
        <v>15</v>
      </c>
      <c r="N288" s="128" t="str">
        <f t="shared" si="9"/>
        <v>_blank</v>
      </c>
      <c r="O288" s="111">
        <f>LEN(Tableau18[[#This Row],[LABEL]])</f>
        <v>15</v>
      </c>
      <c r="P288" s="111">
        <v>15</v>
      </c>
      <c r="Q288" s="111" t="e">
        <f>ROUND(Tableau18[[#This Row],[LEN]]*#REF!+#REF!,0)</f>
        <v>#REF!</v>
      </c>
    </row>
    <row r="289" spans="1:17" s="97" customFormat="1" x14ac:dyDescent="0.25">
      <c r="A289" s="29" t="s">
        <v>1081</v>
      </c>
      <c r="B289" s="30" t="s">
        <v>1067</v>
      </c>
      <c r="C289" s="31" t="s">
        <v>94</v>
      </c>
      <c r="D289" s="71" t="s">
        <v>1177</v>
      </c>
      <c r="E289" s="31" t="s">
        <v>1085</v>
      </c>
      <c r="F289" s="31" t="s">
        <v>1084</v>
      </c>
      <c r="G289" s="71" t="s">
        <v>166</v>
      </c>
      <c r="H289" s="71" t="s">
        <v>18</v>
      </c>
      <c r="I289" s="31"/>
      <c r="J289" s="32" t="s">
        <v>102</v>
      </c>
      <c r="K289" s="32" t="str">
        <f t="shared" si="8"/>
        <v>Documentation</v>
      </c>
      <c r="L289" s="111">
        <f>ROUND(Tableau18[[#This Row],[LEN]]*7.27,0)</f>
        <v>58</v>
      </c>
      <c r="M289" s="111">
        <v>15</v>
      </c>
      <c r="N289" s="128" t="str">
        <f t="shared" si="9"/>
        <v>_blank</v>
      </c>
      <c r="O289" s="111">
        <f>LEN(Tableau18[[#This Row],[LABEL]])</f>
        <v>8</v>
      </c>
      <c r="P289" s="111">
        <v>15</v>
      </c>
      <c r="Q289" s="111" t="e">
        <f>ROUND(Tableau18[[#This Row],[LEN]]*#REF!+#REF!,0)</f>
        <v>#REF!</v>
      </c>
    </row>
    <row r="290" spans="1:17" s="273" customFormat="1" x14ac:dyDescent="0.25">
      <c r="A290" s="288" t="s">
        <v>253</v>
      </c>
      <c r="B290" s="289" t="s">
        <v>206</v>
      </c>
      <c r="C290" s="290" t="s">
        <v>80</v>
      </c>
      <c r="D290" s="291" t="s">
        <v>1177</v>
      </c>
      <c r="E290" s="290" t="s">
        <v>667</v>
      </c>
      <c r="F290" s="290" t="s">
        <v>1177</v>
      </c>
      <c r="G290" s="291" t="s">
        <v>166</v>
      </c>
      <c r="H290" s="291" t="str">
        <f>IFERROR(IF(SEARCH(".00.00.00.00.00",Tableau18[[#This Row],[name]],1)=7,"Division",""),"")</f>
        <v>Division</v>
      </c>
      <c r="I290" s="290"/>
      <c r="J290" s="292" t="s">
        <v>708</v>
      </c>
      <c r="K290" s="292" t="str">
        <f t="shared" si="8"/>
        <v>_</v>
      </c>
      <c r="L290" s="293">
        <f>ROUND(Tableau18[[#This Row],[LEN]]*7.27,0)</f>
        <v>116</v>
      </c>
      <c r="M290" s="293">
        <v>15</v>
      </c>
      <c r="N290" s="294" t="str">
        <f t="shared" si="9"/>
        <v>_self</v>
      </c>
      <c r="O290" s="293">
        <f>LEN(Tableau18[[#This Row],[LABEL]])</f>
        <v>16</v>
      </c>
      <c r="P290" s="293">
        <v>15</v>
      </c>
      <c r="Q290" s="293" t="e">
        <f>ROUND(Tableau18[[#This Row],[LEN]]*#REF!+#REF!,0)</f>
        <v>#REF!</v>
      </c>
    </row>
    <row r="291" spans="1:17" s="97" customFormat="1" x14ac:dyDescent="0.25">
      <c r="A291" s="25" t="s">
        <v>1115</v>
      </c>
      <c r="B291" s="26" t="s">
        <v>253</v>
      </c>
      <c r="C291" s="27" t="s">
        <v>1126</v>
      </c>
      <c r="D291" s="70" t="s">
        <v>1177</v>
      </c>
      <c r="E291" s="27" t="s">
        <v>666</v>
      </c>
      <c r="F291" s="27" t="s">
        <v>661</v>
      </c>
      <c r="G291" s="70" t="s">
        <v>166</v>
      </c>
      <c r="H291" s="70" t="s">
        <v>570</v>
      </c>
      <c r="I291" s="27"/>
      <c r="J291" s="28" t="s">
        <v>708</v>
      </c>
      <c r="K291" s="28" t="str">
        <f t="shared" si="8"/>
        <v>_</v>
      </c>
      <c r="L291" s="109">
        <f>ROUND(Tableau18[[#This Row],[LEN]]*7.27,0)</f>
        <v>284</v>
      </c>
      <c r="M291" s="109">
        <v>15</v>
      </c>
      <c r="N291" s="127" t="str">
        <f t="shared" si="9"/>
        <v>_self</v>
      </c>
      <c r="O291" s="109">
        <f>LEN(Tableau18[[#This Row],[LABEL]])</f>
        <v>39</v>
      </c>
      <c r="P291" s="109">
        <v>15</v>
      </c>
      <c r="Q291" s="109" t="e">
        <f>ROUND(Tableau18[[#This Row],[LEN]]*#REF!+#REF!,0)</f>
        <v>#REF!</v>
      </c>
    </row>
    <row r="292" spans="1:17" s="97" customFormat="1" x14ac:dyDescent="0.25">
      <c r="A292" s="25" t="s">
        <v>1116</v>
      </c>
      <c r="B292" s="26" t="s">
        <v>253</v>
      </c>
      <c r="C292" s="27" t="s">
        <v>88</v>
      </c>
      <c r="D292" s="70" t="s">
        <v>1177</v>
      </c>
      <c r="E292" s="27" t="s">
        <v>667</v>
      </c>
      <c r="F292" s="27" t="s">
        <v>1218</v>
      </c>
      <c r="G292" s="70" t="s">
        <v>166</v>
      </c>
      <c r="H292" s="70" t="s">
        <v>570</v>
      </c>
      <c r="I292" s="27"/>
      <c r="J292" s="28" t="s">
        <v>708</v>
      </c>
      <c r="K292" s="28" t="str">
        <f t="shared" si="8"/>
        <v>_</v>
      </c>
      <c r="L292" s="109">
        <f>ROUND(Tableau18[[#This Row],[LEN]]*7.27,0)</f>
        <v>342</v>
      </c>
      <c r="M292" s="109">
        <v>15</v>
      </c>
      <c r="N292" s="127" t="str">
        <f t="shared" si="9"/>
        <v>_self</v>
      </c>
      <c r="O292" s="109">
        <f>LEN(Tableau18[[#This Row],[LABEL]])</f>
        <v>47</v>
      </c>
      <c r="P292" s="109">
        <v>15</v>
      </c>
      <c r="Q292" s="109" t="e">
        <f>ROUND(Tableau18[[#This Row],[LEN]]*#REF!+#REF!,0)</f>
        <v>#REF!</v>
      </c>
    </row>
    <row r="293" spans="1:17" s="97" customFormat="1" x14ac:dyDescent="0.25">
      <c r="A293" s="25" t="s">
        <v>1117</v>
      </c>
      <c r="B293" s="26" t="s">
        <v>253</v>
      </c>
      <c r="C293" s="27" t="s">
        <v>1071</v>
      </c>
      <c r="D293" s="70" t="s">
        <v>1177</v>
      </c>
      <c r="E293" s="27" t="s">
        <v>666</v>
      </c>
      <c r="F293" s="27" t="s">
        <v>663</v>
      </c>
      <c r="G293" s="70" t="s">
        <v>166</v>
      </c>
      <c r="H293" s="70" t="s">
        <v>655</v>
      </c>
      <c r="I293" s="27"/>
      <c r="J293" s="28" t="s">
        <v>708</v>
      </c>
      <c r="K293" s="28" t="str">
        <f t="shared" si="8"/>
        <v>_</v>
      </c>
      <c r="L293" s="109">
        <f>ROUND(Tableau18[[#This Row],[LEN]]*7.27,0)</f>
        <v>247</v>
      </c>
      <c r="M293" s="109">
        <v>15</v>
      </c>
      <c r="N293" s="127" t="str">
        <f t="shared" si="9"/>
        <v>_self</v>
      </c>
      <c r="O293" s="109">
        <f>LEN(Tableau18[[#This Row],[LABEL]])</f>
        <v>34</v>
      </c>
      <c r="P293" s="109">
        <v>15</v>
      </c>
      <c r="Q293" s="109" t="e">
        <f>ROUND(Tableau18[[#This Row],[LEN]]*#REF!+#REF!,0)</f>
        <v>#REF!</v>
      </c>
    </row>
    <row r="294" spans="1:17" s="97" customFormat="1" x14ac:dyDescent="0.25">
      <c r="A294" s="29" t="s">
        <v>1135</v>
      </c>
      <c r="B294" s="30" t="s">
        <v>1117</v>
      </c>
      <c r="C294" s="31" t="s">
        <v>1086</v>
      </c>
      <c r="D294" s="71" t="s">
        <v>1177</v>
      </c>
      <c r="E294" s="31" t="s">
        <v>666</v>
      </c>
      <c r="F294" s="31" t="s">
        <v>828</v>
      </c>
      <c r="G294" s="71" t="s">
        <v>166</v>
      </c>
      <c r="H294" s="71" t="s">
        <v>655</v>
      </c>
      <c r="I294" s="31"/>
      <c r="J294" s="32" t="s">
        <v>708</v>
      </c>
      <c r="K294" s="32" t="str">
        <f t="shared" si="8"/>
        <v>_</v>
      </c>
      <c r="L294" s="111">
        <f>ROUND(Tableau18[[#This Row],[LEN]]*7.27,0)</f>
        <v>87</v>
      </c>
      <c r="M294" s="111">
        <v>15</v>
      </c>
      <c r="N294" s="128" t="str">
        <f t="shared" si="9"/>
        <v>_self</v>
      </c>
      <c r="O294" s="111">
        <f>LEN(Tableau18[[#This Row],[LABEL]])</f>
        <v>12</v>
      </c>
      <c r="P294" s="111">
        <v>15</v>
      </c>
      <c r="Q294" s="111" t="e">
        <f>ROUND(Tableau18[[#This Row],[LEN]]*#REF!+#REF!,0)</f>
        <v>#REF!</v>
      </c>
    </row>
    <row r="295" spans="1:17" s="97" customFormat="1" x14ac:dyDescent="0.25">
      <c r="A295" s="86" t="s">
        <v>1138</v>
      </c>
      <c r="B295" s="87" t="s">
        <v>1135</v>
      </c>
      <c r="C295" s="88" t="s">
        <v>1088</v>
      </c>
      <c r="D295" s="89" t="s">
        <v>1177</v>
      </c>
      <c r="E295" s="88" t="s">
        <v>666</v>
      </c>
      <c r="F295" s="88" t="s">
        <v>828</v>
      </c>
      <c r="G295" s="89" t="s">
        <v>166</v>
      </c>
      <c r="H295" s="90" t="s">
        <v>18</v>
      </c>
      <c r="I295" s="88"/>
      <c r="J295" s="91" t="s">
        <v>708</v>
      </c>
      <c r="K295" s="91" t="str">
        <f t="shared" si="8"/>
        <v>_</v>
      </c>
      <c r="L295" s="112">
        <f>ROUND(Tableau18[[#This Row],[LEN]]*7.27,0)</f>
        <v>196</v>
      </c>
      <c r="M295" s="112">
        <v>15</v>
      </c>
      <c r="N295" s="129" t="str">
        <f t="shared" si="9"/>
        <v>_self</v>
      </c>
      <c r="O295" s="112">
        <f>LEN(Tableau18[[#This Row],[LABEL]])</f>
        <v>27</v>
      </c>
      <c r="P295" s="112">
        <v>15</v>
      </c>
      <c r="Q295" s="112" t="e">
        <f>ROUND(Tableau18[[#This Row],[LEN]]*#REF!+#REF!,0)</f>
        <v>#REF!</v>
      </c>
    </row>
    <row r="296" spans="1:17" s="97" customFormat="1" x14ac:dyDescent="0.25">
      <c r="A296" s="86" t="s">
        <v>1139</v>
      </c>
      <c r="B296" s="87" t="s">
        <v>1135</v>
      </c>
      <c r="C296" s="88" t="s">
        <v>1089</v>
      </c>
      <c r="D296" s="89" t="s">
        <v>1177</v>
      </c>
      <c r="E296" s="88" t="s">
        <v>666</v>
      </c>
      <c r="F296" s="88" t="s">
        <v>828</v>
      </c>
      <c r="G296" s="89" t="s">
        <v>166</v>
      </c>
      <c r="H296" s="90" t="s">
        <v>18</v>
      </c>
      <c r="I296" s="88"/>
      <c r="J296" s="91" t="s">
        <v>708</v>
      </c>
      <c r="K296" s="91" t="str">
        <f t="shared" si="8"/>
        <v>_</v>
      </c>
      <c r="L296" s="112">
        <f>ROUND(Tableau18[[#This Row],[LEN]]*7.27,0)</f>
        <v>36</v>
      </c>
      <c r="M296" s="112">
        <v>15</v>
      </c>
      <c r="N296" s="129" t="str">
        <f t="shared" si="9"/>
        <v>_self</v>
      </c>
      <c r="O296" s="112">
        <f>LEN(Tableau18[[#This Row],[LABEL]])</f>
        <v>5</v>
      </c>
      <c r="P296" s="112">
        <v>15</v>
      </c>
      <c r="Q296" s="112" t="e">
        <f>ROUND(Tableau18[[#This Row],[LEN]]*#REF!+#REF!,0)</f>
        <v>#REF!</v>
      </c>
    </row>
    <row r="297" spans="1:17" s="97" customFormat="1" x14ac:dyDescent="0.25">
      <c r="A297" s="86" t="s">
        <v>1140</v>
      </c>
      <c r="B297" s="87" t="s">
        <v>1135</v>
      </c>
      <c r="C297" s="88" t="s">
        <v>1090</v>
      </c>
      <c r="D297" s="89" t="s">
        <v>1177</v>
      </c>
      <c r="E297" s="88" t="s">
        <v>666</v>
      </c>
      <c r="F297" s="88" t="s">
        <v>828</v>
      </c>
      <c r="G297" s="89" t="s">
        <v>166</v>
      </c>
      <c r="H297" s="90" t="s">
        <v>18</v>
      </c>
      <c r="I297" s="88"/>
      <c r="J297" s="91" t="s">
        <v>708</v>
      </c>
      <c r="K297" s="91" t="str">
        <f t="shared" si="8"/>
        <v>_</v>
      </c>
      <c r="L297" s="112">
        <f>ROUND(Tableau18[[#This Row],[LEN]]*7.27,0)</f>
        <v>29</v>
      </c>
      <c r="M297" s="112">
        <v>15</v>
      </c>
      <c r="N297" s="129" t="str">
        <f t="shared" si="9"/>
        <v>_self</v>
      </c>
      <c r="O297" s="112">
        <f>LEN(Tableau18[[#This Row],[LABEL]])</f>
        <v>4</v>
      </c>
      <c r="P297" s="112">
        <v>15</v>
      </c>
      <c r="Q297" s="112" t="e">
        <f>ROUND(Tableau18[[#This Row],[LEN]]*#REF!+#REF!,0)</f>
        <v>#REF!</v>
      </c>
    </row>
    <row r="298" spans="1:17" s="97" customFormat="1" x14ac:dyDescent="0.25">
      <c r="A298" s="86" t="s">
        <v>1141</v>
      </c>
      <c r="B298" s="87" t="s">
        <v>1135</v>
      </c>
      <c r="C298" s="88" t="s">
        <v>1091</v>
      </c>
      <c r="D298" s="89" t="s">
        <v>1177</v>
      </c>
      <c r="E298" s="88" t="s">
        <v>666</v>
      </c>
      <c r="F298" s="88" t="s">
        <v>828</v>
      </c>
      <c r="G298" s="89" t="s">
        <v>166</v>
      </c>
      <c r="H298" s="90" t="s">
        <v>18</v>
      </c>
      <c r="I298" s="88"/>
      <c r="J298" s="91" t="s">
        <v>708</v>
      </c>
      <c r="K298" s="91" t="str">
        <f t="shared" si="8"/>
        <v>_</v>
      </c>
      <c r="L298" s="112">
        <f>ROUND(Tableau18[[#This Row],[LEN]]*7.27,0)</f>
        <v>102</v>
      </c>
      <c r="M298" s="112">
        <v>15</v>
      </c>
      <c r="N298" s="129" t="str">
        <f t="shared" si="9"/>
        <v>_self</v>
      </c>
      <c r="O298" s="112">
        <f>LEN(Tableau18[[#This Row],[LABEL]])</f>
        <v>14</v>
      </c>
      <c r="P298" s="112">
        <v>15</v>
      </c>
      <c r="Q298" s="112" t="e">
        <f>ROUND(Tableau18[[#This Row],[LEN]]*#REF!+#REF!,0)</f>
        <v>#REF!</v>
      </c>
    </row>
    <row r="299" spans="1:17" s="97" customFormat="1" x14ac:dyDescent="0.25">
      <c r="A299" s="86" t="s">
        <v>1142</v>
      </c>
      <c r="B299" s="87" t="s">
        <v>1135</v>
      </c>
      <c r="C299" s="88" t="s">
        <v>1092</v>
      </c>
      <c r="D299" s="89" t="s">
        <v>1177</v>
      </c>
      <c r="E299" s="88" t="s">
        <v>666</v>
      </c>
      <c r="F299" s="88" t="s">
        <v>828</v>
      </c>
      <c r="G299" s="89" t="s">
        <v>166</v>
      </c>
      <c r="H299" s="90" t="s">
        <v>18</v>
      </c>
      <c r="I299" s="88"/>
      <c r="J299" s="91" t="s">
        <v>708</v>
      </c>
      <c r="K299" s="91" t="str">
        <f t="shared" si="8"/>
        <v>_</v>
      </c>
      <c r="L299" s="112">
        <f>ROUND(Tableau18[[#This Row],[LEN]]*7.27,0)</f>
        <v>153</v>
      </c>
      <c r="M299" s="112">
        <v>15</v>
      </c>
      <c r="N299" s="129" t="str">
        <f t="shared" si="9"/>
        <v>_self</v>
      </c>
      <c r="O299" s="112">
        <f>LEN(Tableau18[[#This Row],[LABEL]])</f>
        <v>21</v>
      </c>
      <c r="P299" s="112">
        <v>15</v>
      </c>
      <c r="Q299" s="112" t="e">
        <f>ROUND(Tableau18[[#This Row],[LEN]]*#REF!+#REF!,0)</f>
        <v>#REF!</v>
      </c>
    </row>
    <row r="300" spans="1:17" s="97" customFormat="1" x14ac:dyDescent="0.25">
      <c r="A300" s="86" t="s">
        <v>1143</v>
      </c>
      <c r="B300" s="87" t="s">
        <v>1135</v>
      </c>
      <c r="C300" s="88" t="s">
        <v>1093</v>
      </c>
      <c r="D300" s="89" t="s">
        <v>1177</v>
      </c>
      <c r="E300" s="88" t="s">
        <v>666</v>
      </c>
      <c r="F300" s="88" t="s">
        <v>828</v>
      </c>
      <c r="G300" s="89" t="s">
        <v>166</v>
      </c>
      <c r="H300" s="90" t="s">
        <v>18</v>
      </c>
      <c r="I300" s="88"/>
      <c r="J300" s="91" t="s">
        <v>708</v>
      </c>
      <c r="K300" s="91" t="str">
        <f t="shared" si="8"/>
        <v>_</v>
      </c>
      <c r="L300" s="112">
        <f>ROUND(Tableau18[[#This Row],[LEN]]*7.27,0)</f>
        <v>269</v>
      </c>
      <c r="M300" s="112">
        <v>15</v>
      </c>
      <c r="N300" s="129" t="str">
        <f t="shared" si="9"/>
        <v>_self</v>
      </c>
      <c r="O300" s="112">
        <f>LEN(Tableau18[[#This Row],[LABEL]])</f>
        <v>37</v>
      </c>
      <c r="P300" s="112">
        <v>15</v>
      </c>
      <c r="Q300" s="112" t="e">
        <f>ROUND(Tableau18[[#This Row],[LEN]]*#REF!+#REF!,0)</f>
        <v>#REF!</v>
      </c>
    </row>
    <row r="301" spans="1:17" s="97" customFormat="1" x14ac:dyDescent="0.25">
      <c r="A301" s="29" t="s">
        <v>1136</v>
      </c>
      <c r="B301" s="30" t="s">
        <v>1117</v>
      </c>
      <c r="C301" s="31" t="s">
        <v>1087</v>
      </c>
      <c r="D301" s="71" t="s">
        <v>1177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32" t="str">
        <f t="shared" si="8"/>
        <v>_</v>
      </c>
      <c r="L301" s="111">
        <f>ROUND(Tableau18[[#This Row],[LEN]]*7.27,0)</f>
        <v>109</v>
      </c>
      <c r="M301" s="111">
        <v>15</v>
      </c>
      <c r="N301" s="128" t="str">
        <f t="shared" si="9"/>
        <v>_self</v>
      </c>
      <c r="O301" s="111">
        <f>LEN(Tableau18[[#This Row],[LABEL]])</f>
        <v>15</v>
      </c>
      <c r="P301" s="111">
        <v>15</v>
      </c>
      <c r="Q301" s="111" t="e">
        <f>ROUND(Tableau18[[#This Row],[LEN]]*#REF!+#REF!,0)</f>
        <v>#REF!</v>
      </c>
    </row>
    <row r="302" spans="1:17" s="97" customFormat="1" x14ac:dyDescent="0.25">
      <c r="A302" s="86" t="s">
        <v>1144</v>
      </c>
      <c r="B302" s="87" t="s">
        <v>1136</v>
      </c>
      <c r="C302" s="88" t="s">
        <v>1100</v>
      </c>
      <c r="D302" s="89" t="s">
        <v>1177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91" t="str">
        <f t="shared" si="8"/>
        <v>_</v>
      </c>
      <c r="L302" s="112">
        <f>ROUND(Tableau18[[#This Row],[LEN]]*7.27,0)</f>
        <v>22</v>
      </c>
      <c r="M302" s="112">
        <v>15</v>
      </c>
      <c r="N302" s="129" t="str">
        <f t="shared" si="9"/>
        <v>_self</v>
      </c>
      <c r="O302" s="112">
        <f>LEN(Tableau18[[#This Row],[LABEL]])</f>
        <v>3</v>
      </c>
      <c r="P302" s="112">
        <v>15</v>
      </c>
      <c r="Q302" s="112" t="e">
        <f>ROUND(Tableau18[[#This Row],[LEN]]*#REF!+#REF!,0)</f>
        <v>#REF!</v>
      </c>
    </row>
    <row r="303" spans="1:17" s="97" customFormat="1" x14ac:dyDescent="0.25">
      <c r="A303" s="86" t="s">
        <v>1145</v>
      </c>
      <c r="B303" s="87" t="s">
        <v>1136</v>
      </c>
      <c r="C303" s="88" t="s">
        <v>1101</v>
      </c>
      <c r="D303" s="89" t="s">
        <v>1177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91" t="str">
        <f t="shared" si="8"/>
        <v>_</v>
      </c>
      <c r="L303" s="112">
        <f>ROUND(Tableau18[[#This Row],[LEN]]*7.27,0)</f>
        <v>36</v>
      </c>
      <c r="M303" s="112">
        <v>15</v>
      </c>
      <c r="N303" s="129" t="str">
        <f t="shared" si="9"/>
        <v>_self</v>
      </c>
      <c r="O303" s="112">
        <f>LEN(Tableau18[[#This Row],[LABEL]])</f>
        <v>5</v>
      </c>
      <c r="P303" s="112">
        <v>15</v>
      </c>
      <c r="Q303" s="112" t="e">
        <f>ROUND(Tableau18[[#This Row],[LEN]]*#REF!+#REF!,0)</f>
        <v>#REF!</v>
      </c>
    </row>
    <row r="304" spans="1:17" s="97" customFormat="1" x14ac:dyDescent="0.25">
      <c r="A304" s="86" t="s">
        <v>1146</v>
      </c>
      <c r="B304" s="87" t="s">
        <v>1136</v>
      </c>
      <c r="C304" s="88" t="s">
        <v>812</v>
      </c>
      <c r="D304" s="89" t="s">
        <v>1177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91" t="str">
        <f t="shared" si="8"/>
        <v>_</v>
      </c>
      <c r="L304" s="112">
        <f>ROUND(Tableau18[[#This Row],[LEN]]*7.27,0)</f>
        <v>131</v>
      </c>
      <c r="M304" s="112">
        <v>15</v>
      </c>
      <c r="N304" s="129" t="str">
        <f t="shared" si="9"/>
        <v>_self</v>
      </c>
      <c r="O304" s="112">
        <f>LEN(Tableau18[[#This Row],[LABEL]])</f>
        <v>18</v>
      </c>
      <c r="P304" s="112">
        <v>15</v>
      </c>
      <c r="Q304" s="112" t="e">
        <f>ROUND(Tableau18[[#This Row],[LEN]]*#REF!+#REF!,0)</f>
        <v>#REF!</v>
      </c>
    </row>
    <row r="305" spans="1:17" s="97" customFormat="1" x14ac:dyDescent="0.25">
      <c r="A305" s="29" t="s">
        <v>1137</v>
      </c>
      <c r="B305" s="30" t="s">
        <v>1117</v>
      </c>
      <c r="C305" s="31" t="s">
        <v>15</v>
      </c>
      <c r="D305" s="71" t="s">
        <v>1177</v>
      </c>
      <c r="E305" s="31" t="s">
        <v>666</v>
      </c>
      <c r="F305" s="31" t="s">
        <v>828</v>
      </c>
      <c r="G305" s="71" t="s">
        <v>166</v>
      </c>
      <c r="H305" s="71" t="s">
        <v>655</v>
      </c>
      <c r="I305" s="31"/>
      <c r="J305" s="32" t="s">
        <v>708</v>
      </c>
      <c r="K305" s="32" t="str">
        <f t="shared" si="8"/>
        <v>_</v>
      </c>
      <c r="L305" s="111">
        <f>ROUND(Tableau18[[#This Row],[LEN]]*7.27,0)</f>
        <v>174</v>
      </c>
      <c r="M305" s="111">
        <v>15</v>
      </c>
      <c r="N305" s="128" t="str">
        <f t="shared" si="9"/>
        <v>_self</v>
      </c>
      <c r="O305" s="111">
        <f>LEN(Tableau18[[#This Row],[LABEL]])</f>
        <v>24</v>
      </c>
      <c r="P305" s="111">
        <v>15</v>
      </c>
      <c r="Q305" s="111" t="e">
        <f>ROUND(Tableau18[[#This Row],[LEN]]*#REF!+#REF!,0)</f>
        <v>#REF!</v>
      </c>
    </row>
    <row r="306" spans="1:17" s="97" customFormat="1" x14ac:dyDescent="0.25">
      <c r="A306" s="86" t="s">
        <v>1147</v>
      </c>
      <c r="B306" s="87" t="s">
        <v>1137</v>
      </c>
      <c r="C306" s="88" t="s">
        <v>1100</v>
      </c>
      <c r="D306" s="89" t="s">
        <v>1177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91" t="str">
        <f t="shared" si="8"/>
        <v>_</v>
      </c>
      <c r="L306" s="112">
        <f>ROUND(Tableau18[[#This Row],[LEN]]*7.27,0)</f>
        <v>22</v>
      </c>
      <c r="M306" s="112">
        <v>15</v>
      </c>
      <c r="N306" s="129" t="str">
        <f t="shared" si="9"/>
        <v>_self</v>
      </c>
      <c r="O306" s="112">
        <f>LEN(Tableau18[[#This Row],[LABEL]])</f>
        <v>3</v>
      </c>
      <c r="P306" s="112">
        <v>15</v>
      </c>
      <c r="Q306" s="112" t="e">
        <f>ROUND(Tableau18[[#This Row],[LEN]]*#REF!+#REF!,0)</f>
        <v>#REF!</v>
      </c>
    </row>
    <row r="307" spans="1:17" s="97" customFormat="1" x14ac:dyDescent="0.25">
      <c r="A307" s="86" t="s">
        <v>1148</v>
      </c>
      <c r="B307" s="87" t="s">
        <v>1137</v>
      </c>
      <c r="C307" s="88" t="s">
        <v>807</v>
      </c>
      <c r="D307" s="89" t="s">
        <v>1177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91" t="str">
        <f t="shared" si="8"/>
        <v>_</v>
      </c>
      <c r="L307" s="112">
        <f>ROUND(Tableau18[[#This Row],[LEN]]*7.27,0)</f>
        <v>218</v>
      </c>
      <c r="M307" s="112">
        <v>15</v>
      </c>
      <c r="N307" s="129" t="str">
        <f t="shared" si="9"/>
        <v>_self</v>
      </c>
      <c r="O307" s="112">
        <f>LEN(Tableau18[[#This Row],[LABEL]])</f>
        <v>30</v>
      </c>
      <c r="P307" s="112">
        <v>15</v>
      </c>
      <c r="Q307" s="112" t="e">
        <f>ROUND(Tableau18[[#This Row],[LEN]]*#REF!+#REF!,0)</f>
        <v>#REF!</v>
      </c>
    </row>
    <row r="308" spans="1:17" s="97" customFormat="1" x14ac:dyDescent="0.25">
      <c r="A308" s="86" t="s">
        <v>1149</v>
      </c>
      <c r="B308" s="87" t="s">
        <v>1137</v>
      </c>
      <c r="C308" s="88" t="s">
        <v>1112</v>
      </c>
      <c r="D308" s="89" t="s">
        <v>1177</v>
      </c>
      <c r="E308" s="88" t="s">
        <v>666</v>
      </c>
      <c r="F308" s="88" t="s">
        <v>828</v>
      </c>
      <c r="G308" s="89" t="s">
        <v>166</v>
      </c>
      <c r="H308" s="90" t="s">
        <v>18</v>
      </c>
      <c r="I308" s="88"/>
      <c r="J308" s="91" t="s">
        <v>708</v>
      </c>
      <c r="K308" s="91" t="str">
        <f t="shared" si="8"/>
        <v>_</v>
      </c>
      <c r="L308" s="112">
        <f>ROUND(Tableau18[[#This Row],[LEN]]*7.27,0)</f>
        <v>240</v>
      </c>
      <c r="M308" s="112">
        <v>15</v>
      </c>
      <c r="N308" s="129" t="str">
        <f t="shared" si="9"/>
        <v>_self</v>
      </c>
      <c r="O308" s="112">
        <f>LEN(Tableau18[[#This Row],[LABEL]])</f>
        <v>33</v>
      </c>
      <c r="P308" s="112">
        <v>15</v>
      </c>
      <c r="Q308" s="112" t="e">
        <f>ROUND(Tableau18[[#This Row],[LEN]]*#REF!+#REF!,0)</f>
        <v>#REF!</v>
      </c>
    </row>
    <row r="309" spans="1:17" s="97" customFormat="1" x14ac:dyDescent="0.25">
      <c r="A309" s="86" t="s">
        <v>1150</v>
      </c>
      <c r="B309" s="87" t="s">
        <v>1137</v>
      </c>
      <c r="C309" s="88" t="s">
        <v>1113</v>
      </c>
      <c r="D309" s="89" t="s">
        <v>1177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91" t="str">
        <f t="shared" si="8"/>
        <v>_</v>
      </c>
      <c r="L309" s="112">
        <f>ROUND(Tableau18[[#This Row],[LEN]]*7.27,0)</f>
        <v>116</v>
      </c>
      <c r="M309" s="112">
        <v>15</v>
      </c>
      <c r="N309" s="129" t="str">
        <f t="shared" si="9"/>
        <v>_self</v>
      </c>
      <c r="O309" s="112">
        <f>LEN(Tableau18[[#This Row],[LABEL]])</f>
        <v>16</v>
      </c>
      <c r="P309" s="112">
        <v>15</v>
      </c>
      <c r="Q309" s="112" t="e">
        <f>ROUND(Tableau18[[#This Row],[LEN]]*#REF!+#REF!,0)</f>
        <v>#REF!</v>
      </c>
    </row>
    <row r="310" spans="1:17" s="97" customFormat="1" x14ac:dyDescent="0.25">
      <c r="A310" s="86" t="s">
        <v>1151</v>
      </c>
      <c r="B310" s="87" t="s">
        <v>1137</v>
      </c>
      <c r="C310" s="88" t="s">
        <v>1114</v>
      </c>
      <c r="D310" s="89" t="s">
        <v>1177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91" t="str">
        <f t="shared" si="8"/>
        <v>_</v>
      </c>
      <c r="L310" s="112">
        <f>ROUND(Tableau18[[#This Row],[LEN]]*7.27,0)</f>
        <v>116</v>
      </c>
      <c r="M310" s="112">
        <v>15</v>
      </c>
      <c r="N310" s="129" t="str">
        <f t="shared" si="9"/>
        <v>_self</v>
      </c>
      <c r="O310" s="112">
        <f>LEN(Tableau18[[#This Row],[LABEL]])</f>
        <v>16</v>
      </c>
      <c r="P310" s="112">
        <v>15</v>
      </c>
      <c r="Q310" s="112" t="e">
        <f>ROUND(Tableau18[[#This Row],[LEN]]*#REF!+#REF!,0)</f>
        <v>#REF!</v>
      </c>
    </row>
    <row r="311" spans="1:17" s="97" customFormat="1" x14ac:dyDescent="0.25">
      <c r="A311" s="86" t="s">
        <v>1152</v>
      </c>
      <c r="B311" s="87" t="s">
        <v>1137</v>
      </c>
      <c r="C311" s="88" t="s">
        <v>806</v>
      </c>
      <c r="D311" s="89" t="s">
        <v>1177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91" t="str">
        <f t="shared" si="8"/>
        <v>_</v>
      </c>
      <c r="L311" s="112">
        <f>ROUND(Tableau18[[#This Row],[LEN]]*7.27,0)</f>
        <v>174</v>
      </c>
      <c r="M311" s="112">
        <v>15</v>
      </c>
      <c r="N311" s="129" t="str">
        <f t="shared" si="9"/>
        <v>_self</v>
      </c>
      <c r="O311" s="112">
        <f>LEN(Tableau18[[#This Row],[LABEL]])</f>
        <v>24</v>
      </c>
      <c r="P311" s="112">
        <v>15</v>
      </c>
      <c r="Q311" s="112" t="e">
        <f>ROUND(Tableau18[[#This Row],[LEN]]*#REF!+#REF!,0)</f>
        <v>#REF!</v>
      </c>
    </row>
    <row r="312" spans="1:17" s="97" customFormat="1" x14ac:dyDescent="0.25">
      <c r="A312" s="86" t="s">
        <v>1153</v>
      </c>
      <c r="B312" s="87" t="s">
        <v>1137</v>
      </c>
      <c r="C312" s="88" t="s">
        <v>812</v>
      </c>
      <c r="D312" s="89" t="s">
        <v>1177</v>
      </c>
      <c r="E312" s="88" t="s">
        <v>666</v>
      </c>
      <c r="F312" s="88" t="s">
        <v>828</v>
      </c>
      <c r="G312" s="89" t="s">
        <v>166</v>
      </c>
      <c r="H312" s="90" t="s">
        <v>18</v>
      </c>
      <c r="I312" s="88"/>
      <c r="J312" s="91" t="s">
        <v>708</v>
      </c>
      <c r="K312" s="91" t="str">
        <f t="shared" si="8"/>
        <v>_</v>
      </c>
      <c r="L312" s="112">
        <f>ROUND(Tableau18[[#This Row],[LEN]]*7.27,0)</f>
        <v>131</v>
      </c>
      <c r="M312" s="112">
        <v>15</v>
      </c>
      <c r="N312" s="129" t="str">
        <f t="shared" si="9"/>
        <v>_self</v>
      </c>
      <c r="O312" s="112">
        <f>LEN(Tableau18[[#This Row],[LABEL]])</f>
        <v>18</v>
      </c>
      <c r="P312" s="112">
        <v>15</v>
      </c>
      <c r="Q312" s="112" t="e">
        <f>ROUND(Tableau18[[#This Row],[LEN]]*#REF!+#REF!,0)</f>
        <v>#REF!</v>
      </c>
    </row>
    <row r="313" spans="1:17" s="97" customFormat="1" x14ac:dyDescent="0.25">
      <c r="A313" s="25" t="s">
        <v>1118</v>
      </c>
      <c r="B313" s="26" t="s">
        <v>253</v>
      </c>
      <c r="C313" s="27" t="s">
        <v>1127</v>
      </c>
      <c r="D313" s="70" t="s">
        <v>1177</v>
      </c>
      <c r="E313" s="27" t="s">
        <v>667</v>
      </c>
      <c r="F313" s="27" t="s">
        <v>1132</v>
      </c>
      <c r="G313" s="70" t="s">
        <v>166</v>
      </c>
      <c r="H313" s="70" t="s">
        <v>654</v>
      </c>
      <c r="I313" s="27"/>
      <c r="J313" s="28" t="s">
        <v>708</v>
      </c>
      <c r="K313" s="28" t="str">
        <f t="shared" si="8"/>
        <v>_</v>
      </c>
      <c r="L313" s="109">
        <f>ROUND(Tableau18[[#This Row],[LEN]]*7.27,0)</f>
        <v>291</v>
      </c>
      <c r="M313" s="109">
        <v>15</v>
      </c>
      <c r="N313" s="127" t="str">
        <f t="shared" si="9"/>
        <v>_self</v>
      </c>
      <c r="O313" s="109">
        <f>LEN(Tableau18[[#This Row],[LABEL]])</f>
        <v>40</v>
      </c>
      <c r="P313" s="109">
        <v>15</v>
      </c>
      <c r="Q313" s="109" t="e">
        <f>ROUND(Tableau18[[#This Row],[LEN]]*#REF!+#REF!,0)</f>
        <v>#REF!</v>
      </c>
    </row>
    <row r="314" spans="1:17" s="97" customFormat="1" x14ac:dyDescent="0.25">
      <c r="A314" s="25" t="s">
        <v>1119</v>
      </c>
      <c r="B314" s="26" t="s">
        <v>253</v>
      </c>
      <c r="C314" s="27" t="s">
        <v>1128</v>
      </c>
      <c r="D314" s="70" t="s">
        <v>1177</v>
      </c>
      <c r="E314" s="27" t="s">
        <v>667</v>
      </c>
      <c r="F314" s="27" t="s">
        <v>1177</v>
      </c>
      <c r="G314" s="70" t="s">
        <v>166</v>
      </c>
      <c r="H314" s="70" t="s">
        <v>656</v>
      </c>
      <c r="I314" s="27"/>
      <c r="J314" s="28" t="s">
        <v>708</v>
      </c>
      <c r="K314" s="28" t="str">
        <f t="shared" si="8"/>
        <v>_</v>
      </c>
      <c r="L314" s="109">
        <f>ROUND(Tableau18[[#This Row],[LEN]]*7.27,0)</f>
        <v>422</v>
      </c>
      <c r="M314" s="109">
        <v>15</v>
      </c>
      <c r="N314" s="127" t="str">
        <f t="shared" si="9"/>
        <v>_self</v>
      </c>
      <c r="O314" s="109">
        <f>LEN(Tableau18[[#This Row],[LABEL]])</f>
        <v>58</v>
      </c>
      <c r="P314" s="109">
        <v>15</v>
      </c>
      <c r="Q314" s="109" t="e">
        <f>ROUND(Tableau18[[#This Row],[LEN]]*#REF!+#REF!,0)</f>
        <v>#REF!</v>
      </c>
    </row>
    <row r="315" spans="1:17" s="97" customFormat="1" x14ac:dyDescent="0.25">
      <c r="A315" s="25" t="s">
        <v>1120</v>
      </c>
      <c r="B315" s="26" t="s">
        <v>253</v>
      </c>
      <c r="C315" s="27" t="s">
        <v>1154</v>
      </c>
      <c r="D315" s="70" t="s">
        <v>1177</v>
      </c>
      <c r="E315" s="27" t="s">
        <v>667</v>
      </c>
      <c r="F315" s="27" t="s">
        <v>1133</v>
      </c>
      <c r="G315" s="70" t="s">
        <v>166</v>
      </c>
      <c r="H315" s="70" t="s">
        <v>18</v>
      </c>
      <c r="I315" s="27"/>
      <c r="J315" s="28" t="s">
        <v>102</v>
      </c>
      <c r="K315" s="28" t="str">
        <f t="shared" si="8"/>
        <v>Documentation</v>
      </c>
      <c r="L315" s="109">
        <f>ROUND(Tableau18[[#This Row],[LEN]]*7.27,0)</f>
        <v>443</v>
      </c>
      <c r="M315" s="109">
        <v>15</v>
      </c>
      <c r="N315" s="127" t="str">
        <f t="shared" si="9"/>
        <v>_blank</v>
      </c>
      <c r="O315" s="109">
        <f>LEN(Tableau18[[#This Row],[LABEL]])</f>
        <v>61</v>
      </c>
      <c r="P315" s="109">
        <v>15</v>
      </c>
      <c r="Q315" s="109" t="e">
        <f>ROUND(Tableau18[[#This Row],[LEN]]*#REF!+#REF!,0)</f>
        <v>#REF!</v>
      </c>
    </row>
    <row r="316" spans="1:17" s="97" customFormat="1" x14ac:dyDescent="0.25">
      <c r="A316" s="25" t="s">
        <v>1121</v>
      </c>
      <c r="B316" s="26" t="s">
        <v>253</v>
      </c>
      <c r="C316" s="27" t="s">
        <v>778</v>
      </c>
      <c r="D316" s="70" t="s">
        <v>1177</v>
      </c>
      <c r="E316" s="27" t="s">
        <v>673</v>
      </c>
      <c r="F316" s="27" t="s">
        <v>2000</v>
      </c>
      <c r="G316" s="70" t="s">
        <v>166</v>
      </c>
      <c r="H316" s="70" t="s">
        <v>17</v>
      </c>
      <c r="I316" s="27"/>
      <c r="J316" s="28" t="s">
        <v>708</v>
      </c>
      <c r="K316" s="28" t="str">
        <f t="shared" si="8"/>
        <v>_</v>
      </c>
      <c r="L316" s="109">
        <f>ROUND(Tableau18[[#This Row],[LEN]]*7.27,0)</f>
        <v>211</v>
      </c>
      <c r="M316" s="109">
        <v>15</v>
      </c>
      <c r="N316" s="127" t="str">
        <f t="shared" si="9"/>
        <v>_self</v>
      </c>
      <c r="O316" s="109">
        <f>LEN(Tableau18[[#This Row],[LABEL]])</f>
        <v>29</v>
      </c>
      <c r="P316" s="109">
        <v>15</v>
      </c>
      <c r="Q316" s="109" t="e">
        <f>ROUND(Tableau18[[#This Row],[LEN]]*#REF!+#REF!,0)</f>
        <v>#REF!</v>
      </c>
    </row>
    <row r="317" spans="1:17" s="97" customFormat="1" x14ac:dyDescent="0.25">
      <c r="A317" s="25" t="s">
        <v>1122</v>
      </c>
      <c r="B317" s="26" t="s">
        <v>253</v>
      </c>
      <c r="C317" s="27" t="s">
        <v>92</v>
      </c>
      <c r="D317" s="70" t="s">
        <v>1177</v>
      </c>
      <c r="E317" s="27" t="s">
        <v>663</v>
      </c>
      <c r="F317" s="27" t="s">
        <v>2080</v>
      </c>
      <c r="G317" s="70" t="s">
        <v>166</v>
      </c>
      <c r="H317" s="70" t="s">
        <v>655</v>
      </c>
      <c r="I317" s="27"/>
      <c r="J317" s="28" t="s">
        <v>708</v>
      </c>
      <c r="K317" s="28" t="str">
        <f t="shared" si="8"/>
        <v>_</v>
      </c>
      <c r="L317" s="109">
        <f>ROUND(Tableau18[[#This Row],[LEN]]*7.27,0)</f>
        <v>262</v>
      </c>
      <c r="M317" s="109">
        <v>15</v>
      </c>
      <c r="N317" s="127" t="str">
        <f t="shared" si="9"/>
        <v>_self</v>
      </c>
      <c r="O317" s="109">
        <f>LEN(Tableau18[[#This Row],[LABEL]])</f>
        <v>36</v>
      </c>
      <c r="P317" s="109">
        <v>15</v>
      </c>
      <c r="Q317" s="109" t="e">
        <f>ROUND(Tableau18[[#This Row],[LEN]]*#REF!+#REF!,0)</f>
        <v>#REF!</v>
      </c>
    </row>
    <row r="318" spans="1:17" s="97" customFormat="1" x14ac:dyDescent="0.25">
      <c r="A318" s="29" t="s">
        <v>1155</v>
      </c>
      <c r="B318" s="30" t="s">
        <v>1122</v>
      </c>
      <c r="C318" s="31" t="s">
        <v>95</v>
      </c>
      <c r="D318" s="71" t="s">
        <v>1177</v>
      </c>
      <c r="E318" s="31" t="s">
        <v>663</v>
      </c>
      <c r="F318" s="31" t="s">
        <v>2080</v>
      </c>
      <c r="G318" s="71" t="s">
        <v>166</v>
      </c>
      <c r="H318" s="71" t="s">
        <v>17</v>
      </c>
      <c r="I318" s="31"/>
      <c r="J318" s="32" t="s">
        <v>708</v>
      </c>
      <c r="K318" s="32" t="str">
        <f t="shared" si="8"/>
        <v>_</v>
      </c>
      <c r="L318" s="111">
        <f>ROUND(Tableau18[[#This Row],[LEN]]*7.27,0)</f>
        <v>254</v>
      </c>
      <c r="M318" s="111">
        <v>15</v>
      </c>
      <c r="N318" s="128" t="str">
        <f t="shared" si="9"/>
        <v>_self</v>
      </c>
      <c r="O318" s="111">
        <f>LEN(Tableau18[[#This Row],[LABEL]])</f>
        <v>35</v>
      </c>
      <c r="P318" s="111">
        <v>15</v>
      </c>
      <c r="Q318" s="111" t="e">
        <f>ROUND(Tableau18[[#This Row],[LEN]]*#REF!+#REF!,0)</f>
        <v>#REF!</v>
      </c>
    </row>
    <row r="319" spans="1:17" s="97" customFormat="1" x14ac:dyDescent="0.25">
      <c r="A319" s="29" t="s">
        <v>1156</v>
      </c>
      <c r="B319" s="30" t="s">
        <v>1122</v>
      </c>
      <c r="C319" s="31" t="s">
        <v>96</v>
      </c>
      <c r="D319" s="71" t="s">
        <v>1177</v>
      </c>
      <c r="E319" s="31" t="s">
        <v>663</v>
      </c>
      <c r="F319" s="31" t="s">
        <v>2080</v>
      </c>
      <c r="G319" s="71" t="s">
        <v>166</v>
      </c>
      <c r="H319" s="71" t="s">
        <v>654</v>
      </c>
      <c r="I319" s="31"/>
      <c r="J319" s="32" t="s">
        <v>708</v>
      </c>
      <c r="K319" s="32" t="str">
        <f t="shared" si="8"/>
        <v>_</v>
      </c>
      <c r="L319" s="111">
        <f>ROUND(Tableau18[[#This Row],[LEN]]*7.27,0)</f>
        <v>233</v>
      </c>
      <c r="M319" s="111">
        <v>15</v>
      </c>
      <c r="N319" s="128" t="str">
        <f t="shared" si="9"/>
        <v>_self</v>
      </c>
      <c r="O319" s="111">
        <f>LEN(Tableau18[[#This Row],[LABEL]])</f>
        <v>32</v>
      </c>
      <c r="P319" s="111">
        <v>15</v>
      </c>
      <c r="Q319" s="111" t="e">
        <f>ROUND(Tableau18[[#This Row],[LEN]]*#REF!+#REF!,0)</f>
        <v>#REF!</v>
      </c>
    </row>
    <row r="320" spans="1:17" s="97" customFormat="1" x14ac:dyDescent="0.25">
      <c r="A320" s="29" t="s">
        <v>1157</v>
      </c>
      <c r="B320" s="30" t="s">
        <v>1122</v>
      </c>
      <c r="C320" s="31" t="s">
        <v>97</v>
      </c>
      <c r="D320" s="71" t="s">
        <v>1177</v>
      </c>
      <c r="E320" s="31" t="s">
        <v>663</v>
      </c>
      <c r="F320" s="31" t="s">
        <v>2080</v>
      </c>
      <c r="G320" s="71" t="s">
        <v>166</v>
      </c>
      <c r="H320" s="71" t="s">
        <v>656</v>
      </c>
      <c r="I320" s="31"/>
      <c r="J320" s="32" t="s">
        <v>708</v>
      </c>
      <c r="K320" s="32" t="str">
        <f t="shared" si="8"/>
        <v>_</v>
      </c>
      <c r="L320" s="111">
        <f>ROUND(Tableau18[[#This Row],[LEN]]*7.27,0)</f>
        <v>145</v>
      </c>
      <c r="M320" s="111">
        <v>15</v>
      </c>
      <c r="N320" s="128" t="str">
        <f t="shared" si="9"/>
        <v>_self</v>
      </c>
      <c r="O320" s="111">
        <f>LEN(Tableau18[[#This Row],[LABEL]])</f>
        <v>20</v>
      </c>
      <c r="P320" s="111">
        <v>15</v>
      </c>
      <c r="Q320" s="111" t="e">
        <f>ROUND(Tableau18[[#This Row],[LEN]]*#REF!+#REF!,0)</f>
        <v>#REF!</v>
      </c>
    </row>
    <row r="321" spans="1:17" s="97" customFormat="1" x14ac:dyDescent="0.25">
      <c r="A321" s="25" t="s">
        <v>1123</v>
      </c>
      <c r="B321" s="26" t="s">
        <v>253</v>
      </c>
      <c r="C321" s="27" t="s">
        <v>1129</v>
      </c>
      <c r="D321" s="70" t="s">
        <v>1177</v>
      </c>
      <c r="E321" s="27" t="s">
        <v>667</v>
      </c>
      <c r="F321" s="27" t="s">
        <v>1134</v>
      </c>
      <c r="G321" s="70" t="s">
        <v>166</v>
      </c>
      <c r="H321" s="70" t="s">
        <v>18</v>
      </c>
      <c r="I321" s="27"/>
      <c r="J321" s="28" t="s">
        <v>101</v>
      </c>
      <c r="K321" s="28" t="str">
        <f t="shared" si="8"/>
        <v>Documentation</v>
      </c>
      <c r="L321" s="109">
        <f>ROUND(Tableau18[[#This Row],[LEN]]*7.27,0)</f>
        <v>436</v>
      </c>
      <c r="M321" s="109">
        <v>15</v>
      </c>
      <c r="N321" s="127" t="str">
        <f t="shared" si="9"/>
        <v>_blank</v>
      </c>
      <c r="O321" s="109">
        <f>LEN(Tableau18[[#This Row],[LABEL]])</f>
        <v>60</v>
      </c>
      <c r="P321" s="109">
        <v>15</v>
      </c>
      <c r="Q321" s="109" t="e">
        <f>ROUND(Tableau18[[#This Row],[LEN]]*#REF!+#REF!,0)</f>
        <v>#REF!</v>
      </c>
    </row>
    <row r="322" spans="1:17" s="97" customFormat="1" x14ac:dyDescent="0.25">
      <c r="A322" s="25" t="s">
        <v>1124</v>
      </c>
      <c r="B322" s="26" t="s">
        <v>253</v>
      </c>
      <c r="C322" s="27" t="s">
        <v>1130</v>
      </c>
      <c r="D322" s="70" t="s">
        <v>1177</v>
      </c>
      <c r="E322" s="27" t="s">
        <v>667</v>
      </c>
      <c r="F322" s="27" t="s">
        <v>1134</v>
      </c>
      <c r="G322" s="70" t="s">
        <v>166</v>
      </c>
      <c r="H322" s="70" t="s">
        <v>18</v>
      </c>
      <c r="I322" s="27"/>
      <c r="J322" s="28" t="s">
        <v>708</v>
      </c>
      <c r="K322" s="28" t="str">
        <f t="shared" ref="K322:K385" si="10">IF(J322="javascript:void(0)","_","Documentation")</f>
        <v>_</v>
      </c>
      <c r="L322" s="109">
        <f>ROUND(Tableau18[[#This Row],[LEN]]*7.27,0)</f>
        <v>291</v>
      </c>
      <c r="M322" s="109">
        <v>15</v>
      </c>
      <c r="N322" s="127" t="str">
        <f t="shared" si="9"/>
        <v>_self</v>
      </c>
      <c r="O322" s="109">
        <f>LEN(Tableau18[[#This Row],[LABEL]])</f>
        <v>40</v>
      </c>
      <c r="P322" s="109">
        <v>15</v>
      </c>
      <c r="Q322" s="109" t="e">
        <f>ROUND(Tableau18[[#This Row],[LEN]]*#REF!+#REF!,0)</f>
        <v>#REF!</v>
      </c>
    </row>
    <row r="323" spans="1:17" s="97" customFormat="1" x14ac:dyDescent="0.25">
      <c r="A323" s="25" t="s">
        <v>1125</v>
      </c>
      <c r="B323" s="26" t="s">
        <v>253</v>
      </c>
      <c r="C323" s="27" t="s">
        <v>1167</v>
      </c>
      <c r="D323" s="70" t="s">
        <v>486</v>
      </c>
      <c r="E323" s="27" t="s">
        <v>1085</v>
      </c>
      <c r="F323" s="27" t="s">
        <v>1084</v>
      </c>
      <c r="G323" s="70" t="s">
        <v>1977</v>
      </c>
      <c r="H323" s="70" t="s">
        <v>1131</v>
      </c>
      <c r="I323" s="27"/>
      <c r="J323" s="28" t="s">
        <v>708</v>
      </c>
      <c r="K323" s="28" t="str">
        <f t="shared" si="10"/>
        <v>_</v>
      </c>
      <c r="L323" s="109">
        <f>ROUND(Tableau18[[#This Row],[LEN]]*7.27,0)</f>
        <v>196</v>
      </c>
      <c r="M323" s="109">
        <v>15</v>
      </c>
      <c r="N323" s="127" t="str">
        <f t="shared" ref="N323:N386" si="11">IF(J323="javascript:void(0)","_self","_blank")</f>
        <v>_self</v>
      </c>
      <c r="O323" s="109">
        <f>LEN(Tableau18[[#This Row],[LABEL]])</f>
        <v>27</v>
      </c>
      <c r="P323" s="109">
        <v>15</v>
      </c>
      <c r="Q323" s="109" t="e">
        <f>ROUND(Tableau18[[#This Row],[LEN]]*#REF!+#REF!,0)</f>
        <v>#REF!</v>
      </c>
    </row>
    <row r="324" spans="1:17" s="97" customFormat="1" x14ac:dyDescent="0.25">
      <c r="A324" s="29" t="s">
        <v>1163</v>
      </c>
      <c r="B324" s="30" t="s">
        <v>1125</v>
      </c>
      <c r="C324" s="31" t="s">
        <v>93</v>
      </c>
      <c r="D324" s="71" t="s">
        <v>1177</v>
      </c>
      <c r="E324" s="31" t="s">
        <v>1085</v>
      </c>
      <c r="F324" s="31" t="s">
        <v>1084</v>
      </c>
      <c r="G324" s="71" t="s">
        <v>166</v>
      </c>
      <c r="H324" s="71" t="s">
        <v>18</v>
      </c>
      <c r="I324" s="31"/>
      <c r="J324" s="32" t="s">
        <v>101</v>
      </c>
      <c r="K324" s="32" t="str">
        <f t="shared" si="10"/>
        <v>Documentation</v>
      </c>
      <c r="L324" s="111">
        <f>ROUND(Tableau18[[#This Row],[LEN]]*7.27,0)</f>
        <v>109</v>
      </c>
      <c r="M324" s="111">
        <v>15</v>
      </c>
      <c r="N324" s="128" t="str">
        <f t="shared" si="11"/>
        <v>_blank</v>
      </c>
      <c r="O324" s="111">
        <f>LEN(Tableau18[[#This Row],[LABEL]])</f>
        <v>15</v>
      </c>
      <c r="P324" s="111">
        <v>15</v>
      </c>
      <c r="Q324" s="111" t="e">
        <f>ROUND(Tableau18[[#This Row],[LEN]]*#REF!+#REF!,0)</f>
        <v>#REF!</v>
      </c>
    </row>
    <row r="325" spans="1:17" s="97" customFormat="1" x14ac:dyDescent="0.25">
      <c r="A325" s="29" t="s">
        <v>1164</v>
      </c>
      <c r="B325" s="30" t="s">
        <v>1125</v>
      </c>
      <c r="C325" s="31" t="s">
        <v>94</v>
      </c>
      <c r="D325" s="71" t="s">
        <v>1177</v>
      </c>
      <c r="E325" s="31" t="s">
        <v>1085</v>
      </c>
      <c r="F325" s="31" t="s">
        <v>1084</v>
      </c>
      <c r="G325" s="71" t="s">
        <v>166</v>
      </c>
      <c r="H325" s="71" t="s">
        <v>18</v>
      </c>
      <c r="I325" s="31"/>
      <c r="J325" s="32" t="s">
        <v>102</v>
      </c>
      <c r="K325" s="32" t="str">
        <f t="shared" si="10"/>
        <v>Documentation</v>
      </c>
      <c r="L325" s="111">
        <f>ROUND(Tableau18[[#This Row],[LEN]]*7.27,0)</f>
        <v>58</v>
      </c>
      <c r="M325" s="111">
        <v>15</v>
      </c>
      <c r="N325" s="128" t="str">
        <f t="shared" si="11"/>
        <v>_blank</v>
      </c>
      <c r="O325" s="111">
        <f>LEN(Tableau18[[#This Row],[LABEL]])</f>
        <v>8</v>
      </c>
      <c r="P325" s="111">
        <v>15</v>
      </c>
      <c r="Q325" s="111" t="e">
        <f>ROUND(Tableau18[[#This Row],[LEN]]*#REF!+#REF!,0)</f>
        <v>#REF!</v>
      </c>
    </row>
    <row r="326" spans="1:17" s="273" customFormat="1" x14ac:dyDescent="0.25">
      <c r="A326" s="288" t="s">
        <v>254</v>
      </c>
      <c r="B326" s="289" t="s">
        <v>206</v>
      </c>
      <c r="C326" s="290" t="s">
        <v>5</v>
      </c>
      <c r="D326" s="291" t="s">
        <v>1177</v>
      </c>
      <c r="E326" s="290" t="s">
        <v>668</v>
      </c>
      <c r="F326" s="290" t="s">
        <v>1177</v>
      </c>
      <c r="G326" s="291" t="s">
        <v>166</v>
      </c>
      <c r="H326" s="291" t="str">
        <f>IFERROR(IF(SEARCH(".00.00.00.00.00",Tableau18[[#This Row],[name]],1)=7,"Division",""),"")</f>
        <v>Division</v>
      </c>
      <c r="I326" s="290"/>
      <c r="J326" s="292" t="s">
        <v>708</v>
      </c>
      <c r="K326" s="292" t="str">
        <f t="shared" si="10"/>
        <v>_</v>
      </c>
      <c r="L326" s="293">
        <f>ROUND(Tableau18[[#This Row],[LEN]]*7.27,0)</f>
        <v>73</v>
      </c>
      <c r="M326" s="293">
        <v>15</v>
      </c>
      <c r="N326" s="294" t="str">
        <f t="shared" si="11"/>
        <v>_self</v>
      </c>
      <c r="O326" s="293">
        <f>LEN(Tableau18[[#This Row],[LABEL]])</f>
        <v>10</v>
      </c>
      <c r="P326" s="293">
        <v>15</v>
      </c>
      <c r="Q326" s="293" t="e">
        <f>ROUND(Tableau18[[#This Row],[LEN]]*#REF!+#REF!,0)</f>
        <v>#REF!</v>
      </c>
    </row>
    <row r="327" spans="1:17" s="97" customFormat="1" x14ac:dyDescent="0.25">
      <c r="A327" s="25" t="s">
        <v>1171</v>
      </c>
      <c r="B327" s="26" t="s">
        <v>254</v>
      </c>
      <c r="C327" s="27" t="s">
        <v>1168</v>
      </c>
      <c r="D327" s="70" t="s">
        <v>1177</v>
      </c>
      <c r="E327" s="27" t="s">
        <v>668</v>
      </c>
      <c r="F327" s="27" t="s">
        <v>1178</v>
      </c>
      <c r="G327" s="70" t="s">
        <v>166</v>
      </c>
      <c r="H327" s="70" t="s">
        <v>654</v>
      </c>
      <c r="I327" s="27"/>
      <c r="J327" s="28" t="s">
        <v>708</v>
      </c>
      <c r="K327" s="28" t="str">
        <f t="shared" si="10"/>
        <v>_</v>
      </c>
      <c r="L327" s="109">
        <f>ROUND(Tableau18[[#This Row],[LEN]]*7.27,0)</f>
        <v>262</v>
      </c>
      <c r="M327" s="109">
        <v>15</v>
      </c>
      <c r="N327" s="127" t="str">
        <f t="shared" si="11"/>
        <v>_self</v>
      </c>
      <c r="O327" s="109">
        <f>LEN(Tableau18[[#This Row],[LABEL]])</f>
        <v>36</v>
      </c>
      <c r="P327" s="109">
        <v>15</v>
      </c>
      <c r="Q327" s="109" t="e">
        <f>ROUND(Tableau18[[#This Row],[LEN]]*#REF!+#REF!,0)</f>
        <v>#REF!</v>
      </c>
    </row>
    <row r="328" spans="1:17" s="97" customFormat="1" x14ac:dyDescent="0.25">
      <c r="A328" s="25" t="s">
        <v>1172</v>
      </c>
      <c r="B328" s="26" t="s">
        <v>254</v>
      </c>
      <c r="C328" s="27" t="s">
        <v>1170</v>
      </c>
      <c r="D328" s="70" t="s">
        <v>1177</v>
      </c>
      <c r="E328" s="27" t="s">
        <v>667</v>
      </c>
      <c r="F328" s="27" t="s">
        <v>2082</v>
      </c>
      <c r="G328" s="70" t="s">
        <v>166</v>
      </c>
      <c r="H328" s="70" t="s">
        <v>655</v>
      </c>
      <c r="I328" s="27"/>
      <c r="J328" s="28" t="s">
        <v>708</v>
      </c>
      <c r="K328" s="28" t="str">
        <f t="shared" si="10"/>
        <v>_</v>
      </c>
      <c r="L328" s="109">
        <f>ROUND(Tableau18[[#This Row],[LEN]]*7.27,0)</f>
        <v>138</v>
      </c>
      <c r="M328" s="109">
        <v>15</v>
      </c>
      <c r="N328" s="127" t="str">
        <f t="shared" si="11"/>
        <v>_self</v>
      </c>
      <c r="O328" s="109">
        <f>LEN(Tableau18[[#This Row],[LABEL]])</f>
        <v>19</v>
      </c>
      <c r="P328" s="109">
        <v>15</v>
      </c>
      <c r="Q328" s="109" t="e">
        <f>ROUND(Tableau18[[#This Row],[LEN]]*#REF!+#REF!,0)</f>
        <v>#REF!</v>
      </c>
    </row>
    <row r="329" spans="1:17" s="97" customFormat="1" x14ac:dyDescent="0.25">
      <c r="A329" s="29" t="s">
        <v>1180</v>
      </c>
      <c r="B329" s="30" t="s">
        <v>1172</v>
      </c>
      <c r="C329" s="31" t="s">
        <v>1184</v>
      </c>
      <c r="D329" s="71" t="s">
        <v>1177</v>
      </c>
      <c r="E329" s="31" t="s">
        <v>667</v>
      </c>
      <c r="F329" s="31" t="s">
        <v>2082</v>
      </c>
      <c r="G329" s="71" t="s">
        <v>166</v>
      </c>
      <c r="H329" s="71" t="s">
        <v>18</v>
      </c>
      <c r="I329" s="31"/>
      <c r="J329" s="32" t="s">
        <v>708</v>
      </c>
      <c r="K329" s="32" t="str">
        <f t="shared" si="10"/>
        <v>_</v>
      </c>
      <c r="L329" s="111">
        <f>ROUND(Tableau18[[#This Row],[LEN]]*7.27,0)</f>
        <v>211</v>
      </c>
      <c r="M329" s="111">
        <v>15</v>
      </c>
      <c r="N329" s="128" t="str">
        <f t="shared" si="11"/>
        <v>_self</v>
      </c>
      <c r="O329" s="111">
        <f>LEN(Tableau18[[#This Row],[LABEL]])</f>
        <v>29</v>
      </c>
      <c r="P329" s="111">
        <v>15</v>
      </c>
      <c r="Q329" s="111" t="e">
        <f>ROUND(Tableau18[[#This Row],[LEN]]*#REF!+#REF!,0)</f>
        <v>#REF!</v>
      </c>
    </row>
    <row r="330" spans="1:17" s="97" customFormat="1" x14ac:dyDescent="0.25">
      <c r="A330" s="29" t="s">
        <v>1181</v>
      </c>
      <c r="B330" s="30" t="s">
        <v>1172</v>
      </c>
      <c r="C330" s="31" t="s">
        <v>1185</v>
      </c>
      <c r="D330" s="71" t="s">
        <v>1177</v>
      </c>
      <c r="E330" s="31" t="s">
        <v>667</v>
      </c>
      <c r="F330" s="31" t="s">
        <v>2082</v>
      </c>
      <c r="G330" s="71" t="s">
        <v>166</v>
      </c>
      <c r="H330" s="71" t="s">
        <v>18</v>
      </c>
      <c r="I330" s="31"/>
      <c r="J330" s="32" t="s">
        <v>708</v>
      </c>
      <c r="K330" s="32" t="str">
        <f t="shared" si="10"/>
        <v>_</v>
      </c>
      <c r="L330" s="111">
        <f>ROUND(Tableau18[[#This Row],[LEN]]*7.27,0)</f>
        <v>291</v>
      </c>
      <c r="M330" s="111">
        <v>15</v>
      </c>
      <c r="N330" s="128" t="str">
        <f t="shared" si="11"/>
        <v>_self</v>
      </c>
      <c r="O330" s="111">
        <f>LEN(Tableau18[[#This Row],[LABEL]])</f>
        <v>40</v>
      </c>
      <c r="P330" s="111">
        <v>15</v>
      </c>
      <c r="Q330" s="111" t="e">
        <f>ROUND(Tableau18[[#This Row],[LEN]]*#REF!+#REF!,0)</f>
        <v>#REF!</v>
      </c>
    </row>
    <row r="331" spans="1:17" s="97" customFormat="1" x14ac:dyDescent="0.25">
      <c r="A331" s="29" t="s">
        <v>1182</v>
      </c>
      <c r="B331" s="30" t="s">
        <v>1172</v>
      </c>
      <c r="C331" s="31" t="s">
        <v>1186</v>
      </c>
      <c r="D331" s="71" t="s">
        <v>1177</v>
      </c>
      <c r="E331" s="31" t="s">
        <v>667</v>
      </c>
      <c r="F331" s="31" t="s">
        <v>2082</v>
      </c>
      <c r="G331" s="71" t="s">
        <v>166</v>
      </c>
      <c r="H331" s="71" t="s">
        <v>18</v>
      </c>
      <c r="I331" s="31"/>
      <c r="J331" s="32" t="s">
        <v>708</v>
      </c>
      <c r="K331" s="32" t="str">
        <f t="shared" si="10"/>
        <v>_</v>
      </c>
      <c r="L331" s="111">
        <f>ROUND(Tableau18[[#This Row],[LEN]]*7.27,0)</f>
        <v>240</v>
      </c>
      <c r="M331" s="111">
        <v>15</v>
      </c>
      <c r="N331" s="128" t="str">
        <f t="shared" si="11"/>
        <v>_self</v>
      </c>
      <c r="O331" s="111">
        <f>LEN(Tableau18[[#This Row],[LABEL]])</f>
        <v>33</v>
      </c>
      <c r="P331" s="111">
        <v>15</v>
      </c>
      <c r="Q331" s="111" t="e">
        <f>ROUND(Tableau18[[#This Row],[LEN]]*#REF!+#REF!,0)</f>
        <v>#REF!</v>
      </c>
    </row>
    <row r="332" spans="1:17" s="97" customFormat="1" x14ac:dyDescent="0.25">
      <c r="A332" s="29" t="s">
        <v>1183</v>
      </c>
      <c r="B332" s="30" t="s">
        <v>1172</v>
      </c>
      <c r="C332" s="31" t="s">
        <v>1187</v>
      </c>
      <c r="D332" s="71" t="s">
        <v>1177</v>
      </c>
      <c r="E332" s="31" t="s">
        <v>667</v>
      </c>
      <c r="F332" s="31" t="s">
        <v>2082</v>
      </c>
      <c r="G332" s="71" t="s">
        <v>166</v>
      </c>
      <c r="H332" s="71" t="s">
        <v>18</v>
      </c>
      <c r="I332" s="31"/>
      <c r="J332" s="32" t="s">
        <v>708</v>
      </c>
      <c r="K332" s="32" t="str">
        <f t="shared" si="10"/>
        <v>_</v>
      </c>
      <c r="L332" s="111">
        <f>ROUND(Tableau18[[#This Row],[LEN]]*7.27,0)</f>
        <v>356</v>
      </c>
      <c r="M332" s="111">
        <v>15</v>
      </c>
      <c r="N332" s="128" t="str">
        <f t="shared" si="11"/>
        <v>_self</v>
      </c>
      <c r="O332" s="111">
        <f>LEN(Tableau18[[#This Row],[LABEL]])</f>
        <v>49</v>
      </c>
      <c r="P332" s="111">
        <v>15</v>
      </c>
      <c r="Q332" s="111" t="e">
        <f>ROUND(Tableau18[[#This Row],[LEN]]*#REF!+#REF!,0)</f>
        <v>#REF!</v>
      </c>
    </row>
    <row r="333" spans="1:17" s="97" customFormat="1" x14ac:dyDescent="0.25">
      <c r="A333" s="25" t="s">
        <v>1173</v>
      </c>
      <c r="B333" s="26" t="s">
        <v>254</v>
      </c>
      <c r="C333" s="27" t="s">
        <v>778</v>
      </c>
      <c r="D333" s="70" t="s">
        <v>1177</v>
      </c>
      <c r="E333" s="27" t="s">
        <v>673</v>
      </c>
      <c r="F333" s="27" t="s">
        <v>2000</v>
      </c>
      <c r="G333" s="70" t="s">
        <v>166</v>
      </c>
      <c r="H333" s="70" t="s">
        <v>17</v>
      </c>
      <c r="I333" s="27"/>
      <c r="J333" s="28" t="s">
        <v>708</v>
      </c>
      <c r="K333" s="28" t="str">
        <f t="shared" si="10"/>
        <v>_</v>
      </c>
      <c r="L333" s="109">
        <f>ROUND(Tableau18[[#This Row],[LEN]]*7.27,0)</f>
        <v>211</v>
      </c>
      <c r="M333" s="109">
        <v>15</v>
      </c>
      <c r="N333" s="127" t="str">
        <f t="shared" si="11"/>
        <v>_self</v>
      </c>
      <c r="O333" s="109">
        <f>LEN(Tableau18[[#This Row],[LABEL]])</f>
        <v>29</v>
      </c>
      <c r="P333" s="109">
        <v>15</v>
      </c>
      <c r="Q333" s="109" t="e">
        <f>ROUND(Tableau18[[#This Row],[LEN]]*#REF!+#REF!,0)</f>
        <v>#REF!</v>
      </c>
    </row>
    <row r="334" spans="1:17" s="97" customFormat="1" x14ac:dyDescent="0.25">
      <c r="A334" s="25" t="s">
        <v>1174</v>
      </c>
      <c r="B334" s="26" t="s">
        <v>254</v>
      </c>
      <c r="C334" s="27" t="s">
        <v>92</v>
      </c>
      <c r="D334" s="70" t="s">
        <v>1177</v>
      </c>
      <c r="E334" s="27" t="s">
        <v>663</v>
      </c>
      <c r="F334" s="27" t="s">
        <v>2080</v>
      </c>
      <c r="G334" s="70" t="s">
        <v>166</v>
      </c>
      <c r="H334" s="70" t="s">
        <v>655</v>
      </c>
      <c r="I334" s="27"/>
      <c r="J334" s="28" t="s">
        <v>708</v>
      </c>
      <c r="K334" s="28" t="str">
        <f t="shared" si="10"/>
        <v>_</v>
      </c>
      <c r="L334" s="109">
        <f>ROUND(Tableau18[[#This Row],[LEN]]*7.27,0)</f>
        <v>262</v>
      </c>
      <c r="M334" s="109">
        <v>15</v>
      </c>
      <c r="N334" s="127" t="str">
        <f t="shared" si="11"/>
        <v>_self</v>
      </c>
      <c r="O334" s="109">
        <f>LEN(Tableau18[[#This Row],[LABEL]])</f>
        <v>36</v>
      </c>
      <c r="P334" s="109">
        <v>15</v>
      </c>
      <c r="Q334" s="109" t="e">
        <f>ROUND(Tableau18[[#This Row],[LEN]]*#REF!+#REF!,0)</f>
        <v>#REF!</v>
      </c>
    </row>
    <row r="335" spans="1:17" s="97" customFormat="1" x14ac:dyDescent="0.25">
      <c r="A335" s="29" t="s">
        <v>1188</v>
      </c>
      <c r="B335" s="30" t="s">
        <v>1174</v>
      </c>
      <c r="C335" s="31" t="s">
        <v>95</v>
      </c>
      <c r="D335" s="71" t="s">
        <v>1177</v>
      </c>
      <c r="E335" s="31" t="s">
        <v>663</v>
      </c>
      <c r="F335" s="31" t="s">
        <v>2080</v>
      </c>
      <c r="G335" s="71" t="s">
        <v>166</v>
      </c>
      <c r="H335" s="71" t="s">
        <v>17</v>
      </c>
      <c r="I335" s="31"/>
      <c r="J335" s="32" t="s">
        <v>708</v>
      </c>
      <c r="K335" s="32" t="str">
        <f t="shared" si="10"/>
        <v>_</v>
      </c>
      <c r="L335" s="111">
        <f>ROUND(Tableau18[[#This Row],[LEN]]*7.27,0)</f>
        <v>254</v>
      </c>
      <c r="M335" s="111">
        <v>15</v>
      </c>
      <c r="N335" s="128" t="str">
        <f t="shared" si="11"/>
        <v>_self</v>
      </c>
      <c r="O335" s="111">
        <f>LEN(Tableau18[[#This Row],[LABEL]])</f>
        <v>35</v>
      </c>
      <c r="P335" s="111">
        <v>15</v>
      </c>
      <c r="Q335" s="111" t="e">
        <f>ROUND(Tableau18[[#This Row],[LEN]]*#REF!+#REF!,0)</f>
        <v>#REF!</v>
      </c>
    </row>
    <row r="336" spans="1:17" s="97" customFormat="1" x14ac:dyDescent="0.25">
      <c r="A336" s="29" t="s">
        <v>1189</v>
      </c>
      <c r="B336" s="30" t="s">
        <v>1174</v>
      </c>
      <c r="C336" s="31" t="s">
        <v>96</v>
      </c>
      <c r="D336" s="71" t="s">
        <v>1177</v>
      </c>
      <c r="E336" s="31" t="s">
        <v>663</v>
      </c>
      <c r="F336" s="31" t="s">
        <v>2080</v>
      </c>
      <c r="G336" s="71" t="s">
        <v>166</v>
      </c>
      <c r="H336" s="71" t="s">
        <v>654</v>
      </c>
      <c r="I336" s="31"/>
      <c r="J336" s="32" t="s">
        <v>708</v>
      </c>
      <c r="K336" s="32" t="str">
        <f t="shared" si="10"/>
        <v>_</v>
      </c>
      <c r="L336" s="111">
        <f>ROUND(Tableau18[[#This Row],[LEN]]*7.27,0)</f>
        <v>233</v>
      </c>
      <c r="M336" s="111">
        <v>15</v>
      </c>
      <c r="N336" s="128" t="str">
        <f t="shared" si="11"/>
        <v>_self</v>
      </c>
      <c r="O336" s="111">
        <f>LEN(Tableau18[[#This Row],[LABEL]])</f>
        <v>32</v>
      </c>
      <c r="P336" s="111">
        <v>15</v>
      </c>
      <c r="Q336" s="111" t="e">
        <f>ROUND(Tableau18[[#This Row],[LEN]]*#REF!+#REF!,0)</f>
        <v>#REF!</v>
      </c>
    </row>
    <row r="337" spans="1:17" s="97" customFormat="1" x14ac:dyDescent="0.25">
      <c r="A337" s="29" t="s">
        <v>1190</v>
      </c>
      <c r="B337" s="30" t="s">
        <v>1174</v>
      </c>
      <c r="C337" s="31" t="s">
        <v>97</v>
      </c>
      <c r="D337" s="71" t="s">
        <v>1177</v>
      </c>
      <c r="E337" s="31" t="s">
        <v>663</v>
      </c>
      <c r="F337" s="31" t="s">
        <v>2080</v>
      </c>
      <c r="G337" s="71" t="s">
        <v>166</v>
      </c>
      <c r="H337" s="71" t="s">
        <v>656</v>
      </c>
      <c r="I337" s="31"/>
      <c r="J337" s="32" t="s">
        <v>708</v>
      </c>
      <c r="K337" s="32" t="str">
        <f t="shared" si="10"/>
        <v>_</v>
      </c>
      <c r="L337" s="111">
        <f>ROUND(Tableau18[[#This Row],[LEN]]*7.27,0)</f>
        <v>145</v>
      </c>
      <c r="M337" s="111">
        <v>15</v>
      </c>
      <c r="N337" s="128" t="str">
        <f t="shared" si="11"/>
        <v>_self</v>
      </c>
      <c r="O337" s="111">
        <f>LEN(Tableau18[[#This Row],[LABEL]])</f>
        <v>20</v>
      </c>
      <c r="P337" s="111">
        <v>15</v>
      </c>
      <c r="Q337" s="111" t="e">
        <f>ROUND(Tableau18[[#This Row],[LEN]]*#REF!+#REF!,0)</f>
        <v>#REF!</v>
      </c>
    </row>
    <row r="338" spans="1:17" s="97" customFormat="1" x14ac:dyDescent="0.25">
      <c r="A338" s="25" t="s">
        <v>1175</v>
      </c>
      <c r="B338" s="26" t="s">
        <v>254</v>
      </c>
      <c r="C338" s="27" t="s">
        <v>1169</v>
      </c>
      <c r="D338" s="70" t="s">
        <v>1177</v>
      </c>
      <c r="E338" s="27" t="s">
        <v>667</v>
      </c>
      <c r="F338" s="27" t="s">
        <v>673</v>
      </c>
      <c r="G338" s="70" t="s">
        <v>166</v>
      </c>
      <c r="H338" s="70" t="s">
        <v>656</v>
      </c>
      <c r="I338" s="27"/>
      <c r="J338" s="28" t="s">
        <v>708</v>
      </c>
      <c r="K338" s="28" t="str">
        <f t="shared" si="10"/>
        <v>_</v>
      </c>
      <c r="L338" s="109">
        <f>ROUND(Tableau18[[#This Row],[LEN]]*7.27,0)</f>
        <v>334</v>
      </c>
      <c r="M338" s="109">
        <v>15</v>
      </c>
      <c r="N338" s="127" t="str">
        <f t="shared" si="11"/>
        <v>_self</v>
      </c>
      <c r="O338" s="109">
        <f>LEN(Tableau18[[#This Row],[LABEL]])</f>
        <v>46</v>
      </c>
      <c r="P338" s="109">
        <v>15</v>
      </c>
      <c r="Q338" s="109" t="e">
        <f>ROUND(Tableau18[[#This Row],[LEN]]*#REF!+#REF!,0)</f>
        <v>#REF!</v>
      </c>
    </row>
    <row r="339" spans="1:17" s="97" customFormat="1" x14ac:dyDescent="0.25">
      <c r="A339" s="25" t="s">
        <v>1176</v>
      </c>
      <c r="B339" s="26" t="s">
        <v>254</v>
      </c>
      <c r="C339" s="27" t="s">
        <v>1167</v>
      </c>
      <c r="D339" s="70" t="s">
        <v>486</v>
      </c>
      <c r="E339" s="27" t="s">
        <v>1177</v>
      </c>
      <c r="F339" s="27" t="s">
        <v>1084</v>
      </c>
      <c r="G339" s="70" t="s">
        <v>1977</v>
      </c>
      <c r="H339" s="70" t="s">
        <v>1131</v>
      </c>
      <c r="I339" s="27"/>
      <c r="J339" s="28" t="s">
        <v>708</v>
      </c>
      <c r="K339" s="28" t="str">
        <f t="shared" si="10"/>
        <v>_</v>
      </c>
      <c r="L339" s="109">
        <f>ROUND(Tableau18[[#This Row],[LEN]]*7.27,0)</f>
        <v>196</v>
      </c>
      <c r="M339" s="109">
        <v>15</v>
      </c>
      <c r="N339" s="127" t="str">
        <f t="shared" si="11"/>
        <v>_self</v>
      </c>
      <c r="O339" s="109">
        <f>LEN(Tableau18[[#This Row],[LABEL]])</f>
        <v>27</v>
      </c>
      <c r="P339" s="109">
        <v>15</v>
      </c>
      <c r="Q339" s="109" t="e">
        <f>ROUND(Tableau18[[#This Row],[LEN]]*#REF!+#REF!,0)</f>
        <v>#REF!</v>
      </c>
    </row>
    <row r="340" spans="1:17" s="97" customFormat="1" x14ac:dyDescent="0.25">
      <c r="A340" s="29" t="s">
        <v>1191</v>
      </c>
      <c r="B340" s="30" t="s">
        <v>1176</v>
      </c>
      <c r="C340" s="31" t="s">
        <v>93</v>
      </c>
      <c r="D340" s="71" t="s">
        <v>1177</v>
      </c>
      <c r="E340" s="31" t="s">
        <v>1085</v>
      </c>
      <c r="F340" s="31" t="s">
        <v>1084</v>
      </c>
      <c r="G340" s="71" t="s">
        <v>166</v>
      </c>
      <c r="H340" s="71" t="s">
        <v>18</v>
      </c>
      <c r="I340" s="31"/>
      <c r="J340" s="32" t="s">
        <v>101</v>
      </c>
      <c r="K340" s="32" t="str">
        <f t="shared" si="10"/>
        <v>Documentation</v>
      </c>
      <c r="L340" s="111">
        <f>ROUND(Tableau18[[#This Row],[LEN]]*7.27,0)</f>
        <v>109</v>
      </c>
      <c r="M340" s="111">
        <v>15</v>
      </c>
      <c r="N340" s="128" t="str">
        <f t="shared" si="11"/>
        <v>_blank</v>
      </c>
      <c r="O340" s="111">
        <f>LEN(Tableau18[[#This Row],[LABEL]])</f>
        <v>15</v>
      </c>
      <c r="P340" s="111">
        <v>15</v>
      </c>
      <c r="Q340" s="111" t="e">
        <f>ROUND(Tableau18[[#This Row],[LEN]]*#REF!+#REF!,0)</f>
        <v>#REF!</v>
      </c>
    </row>
    <row r="341" spans="1:17" s="97" customFormat="1" x14ac:dyDescent="0.25">
      <c r="A341" s="29" t="s">
        <v>1192</v>
      </c>
      <c r="B341" s="30" t="s">
        <v>1176</v>
      </c>
      <c r="C341" s="31" t="s">
        <v>94</v>
      </c>
      <c r="D341" s="71" t="s">
        <v>1177</v>
      </c>
      <c r="E341" s="31" t="s">
        <v>1085</v>
      </c>
      <c r="F341" s="31" t="s">
        <v>1084</v>
      </c>
      <c r="G341" s="71" t="s">
        <v>166</v>
      </c>
      <c r="H341" s="71" t="s">
        <v>18</v>
      </c>
      <c r="I341" s="31"/>
      <c r="J341" s="32" t="s">
        <v>102</v>
      </c>
      <c r="K341" s="32" t="str">
        <f t="shared" si="10"/>
        <v>Documentation</v>
      </c>
      <c r="L341" s="111">
        <f>ROUND(Tableau18[[#This Row],[LEN]]*7.27,0)</f>
        <v>58</v>
      </c>
      <c r="M341" s="111">
        <v>15</v>
      </c>
      <c r="N341" s="128" t="str">
        <f t="shared" si="11"/>
        <v>_blank</v>
      </c>
      <c r="O341" s="111">
        <f>LEN(Tableau18[[#This Row],[LABEL]])</f>
        <v>8</v>
      </c>
      <c r="P341" s="111">
        <v>15</v>
      </c>
      <c r="Q341" s="111" t="e">
        <f>ROUND(Tableau18[[#This Row],[LEN]]*#REF!+#REF!,0)</f>
        <v>#REF!</v>
      </c>
    </row>
    <row r="342" spans="1:17" s="273" customFormat="1" x14ac:dyDescent="0.25">
      <c r="A342" s="288" t="s">
        <v>255</v>
      </c>
      <c r="B342" s="289" t="s">
        <v>206</v>
      </c>
      <c r="C342" s="290" t="s">
        <v>2147</v>
      </c>
      <c r="D342" s="291" t="s">
        <v>1177</v>
      </c>
      <c r="E342" s="290" t="s">
        <v>669</v>
      </c>
      <c r="F342" s="290" t="s">
        <v>1177</v>
      </c>
      <c r="G342" s="291" t="s">
        <v>166</v>
      </c>
      <c r="H342" s="291" t="str">
        <f>IFERROR(IF(SEARCH(".00.00.00.00.00",Tableau18[[#This Row],[name]],1)=7,"Division",""),"")</f>
        <v>Division</v>
      </c>
      <c r="I342" s="290"/>
      <c r="J342" s="292" t="s">
        <v>708</v>
      </c>
      <c r="K342" s="292" t="str">
        <f t="shared" si="10"/>
        <v>_</v>
      </c>
      <c r="L342" s="293">
        <f>ROUND(Tableau18[[#This Row],[LEN]]*7.27,0)</f>
        <v>196</v>
      </c>
      <c r="M342" s="293">
        <v>15</v>
      </c>
      <c r="N342" s="294" t="str">
        <f t="shared" si="11"/>
        <v>_self</v>
      </c>
      <c r="O342" s="293">
        <f>LEN(Tableau18[[#This Row],[LABEL]])</f>
        <v>27</v>
      </c>
      <c r="P342" s="293">
        <v>15</v>
      </c>
      <c r="Q342" s="293" t="e">
        <f>ROUND(Tableau18[[#This Row],[LEN]]*#REF!+#REF!,0)</f>
        <v>#REF!</v>
      </c>
    </row>
    <row r="343" spans="1:17" s="97" customFormat="1" x14ac:dyDescent="0.25">
      <c r="A343" s="25" t="s">
        <v>436</v>
      </c>
      <c r="B343" s="26" t="s">
        <v>255</v>
      </c>
      <c r="C343" s="27" t="s">
        <v>137</v>
      </c>
      <c r="D343" s="70" t="s">
        <v>1177</v>
      </c>
      <c r="E343" s="27" t="s">
        <v>669</v>
      </c>
      <c r="F343" s="27" t="s">
        <v>1177</v>
      </c>
      <c r="G343" s="70" t="s">
        <v>166</v>
      </c>
      <c r="H343" s="70" t="s">
        <v>654</v>
      </c>
      <c r="I343" s="27"/>
      <c r="J343" s="28" t="s">
        <v>726</v>
      </c>
      <c r="K343" s="28" t="str">
        <f t="shared" si="10"/>
        <v>Documentation</v>
      </c>
      <c r="L343" s="109">
        <f>ROUND(Tableau18[[#This Row],[LEN]]*7.27,0)</f>
        <v>269</v>
      </c>
      <c r="M343" s="109">
        <v>15</v>
      </c>
      <c r="N343" s="127" t="str">
        <f t="shared" si="11"/>
        <v>_blank</v>
      </c>
      <c r="O343" s="109">
        <f>LEN(Tableau18[[#This Row],[LABEL]])</f>
        <v>37</v>
      </c>
      <c r="P343" s="109">
        <v>15</v>
      </c>
      <c r="Q343" s="109" t="e">
        <f>ROUND(Tableau18[[#This Row],[LEN]]*#REF!+#REF!,0)</f>
        <v>#REF!</v>
      </c>
    </row>
    <row r="344" spans="1:17" s="97" customFormat="1" x14ac:dyDescent="0.25">
      <c r="A344" s="25" t="s">
        <v>437</v>
      </c>
      <c r="B344" s="26" t="s">
        <v>255</v>
      </c>
      <c r="C344" s="27" t="s">
        <v>138</v>
      </c>
      <c r="D344" s="70" t="s">
        <v>1177</v>
      </c>
      <c r="E344" s="27" t="s">
        <v>669</v>
      </c>
      <c r="F344" s="27" t="s">
        <v>678</v>
      </c>
      <c r="G344" s="70" t="s">
        <v>166</v>
      </c>
      <c r="H344" s="70" t="s">
        <v>655</v>
      </c>
      <c r="I344" s="27"/>
      <c r="J344" s="28" t="s">
        <v>708</v>
      </c>
      <c r="K344" s="28" t="str">
        <f t="shared" si="10"/>
        <v>_</v>
      </c>
      <c r="L344" s="109">
        <f>ROUND(Tableau18[[#This Row],[LEN]]*7.27,0)</f>
        <v>225</v>
      </c>
      <c r="M344" s="109">
        <v>15</v>
      </c>
      <c r="N344" s="127" t="str">
        <f t="shared" si="11"/>
        <v>_self</v>
      </c>
      <c r="O344" s="109">
        <f>LEN(Tableau18[[#This Row],[LABEL]])</f>
        <v>31</v>
      </c>
      <c r="P344" s="109">
        <v>15</v>
      </c>
      <c r="Q344" s="109" t="e">
        <f>ROUND(Tableau18[[#This Row],[LEN]]*#REF!+#REF!,0)</f>
        <v>#REF!</v>
      </c>
    </row>
    <row r="345" spans="1:17" s="97" customFormat="1" x14ac:dyDescent="0.25">
      <c r="A345" s="29" t="s">
        <v>438</v>
      </c>
      <c r="B345" s="30" t="s">
        <v>437</v>
      </c>
      <c r="C345" s="31" t="s">
        <v>139</v>
      </c>
      <c r="D345" s="71" t="s">
        <v>1177</v>
      </c>
      <c r="E345" s="31" t="s">
        <v>669</v>
      </c>
      <c r="F345" s="31" t="s">
        <v>678</v>
      </c>
      <c r="G345" s="71" t="s">
        <v>166</v>
      </c>
      <c r="H345" s="71" t="s">
        <v>654</v>
      </c>
      <c r="I345" s="31"/>
      <c r="J345" s="32" t="s">
        <v>708</v>
      </c>
      <c r="K345" s="32" t="str">
        <f t="shared" si="10"/>
        <v>_</v>
      </c>
      <c r="L345" s="111">
        <f>ROUND(Tableau18[[#This Row],[LEN]]*7.27,0)</f>
        <v>327</v>
      </c>
      <c r="M345" s="111">
        <v>15</v>
      </c>
      <c r="N345" s="128" t="str">
        <f t="shared" si="11"/>
        <v>_self</v>
      </c>
      <c r="O345" s="111">
        <f>LEN(Tableau18[[#This Row],[LABEL]])</f>
        <v>45</v>
      </c>
      <c r="P345" s="111">
        <v>15</v>
      </c>
      <c r="Q345" s="111" t="e">
        <f>ROUND(Tableau18[[#This Row],[LEN]]*#REF!+#REF!,0)</f>
        <v>#REF!</v>
      </c>
    </row>
    <row r="346" spans="1:17" s="97" customFormat="1" x14ac:dyDescent="0.25">
      <c r="A346" s="29" t="s">
        <v>439</v>
      </c>
      <c r="B346" s="30" t="s">
        <v>437</v>
      </c>
      <c r="C346" s="31" t="s">
        <v>140</v>
      </c>
      <c r="D346" s="71" t="s">
        <v>1177</v>
      </c>
      <c r="E346" s="31" t="s">
        <v>669</v>
      </c>
      <c r="F346" s="31" t="s">
        <v>678</v>
      </c>
      <c r="G346" s="71" t="s">
        <v>166</v>
      </c>
      <c r="H346" s="71" t="s">
        <v>654</v>
      </c>
      <c r="I346" s="31"/>
      <c r="J346" s="32" t="s">
        <v>708</v>
      </c>
      <c r="K346" s="32" t="str">
        <f t="shared" si="10"/>
        <v>_</v>
      </c>
      <c r="L346" s="111">
        <f>ROUND(Tableau18[[#This Row],[LEN]]*7.27,0)</f>
        <v>385</v>
      </c>
      <c r="M346" s="111">
        <v>15</v>
      </c>
      <c r="N346" s="128" t="str">
        <f t="shared" si="11"/>
        <v>_self</v>
      </c>
      <c r="O346" s="111">
        <f>LEN(Tableau18[[#This Row],[LABEL]])</f>
        <v>53</v>
      </c>
      <c r="P346" s="111">
        <v>15</v>
      </c>
      <c r="Q346" s="111" t="e">
        <f>ROUND(Tableau18[[#This Row],[LEN]]*#REF!+#REF!,0)</f>
        <v>#REF!</v>
      </c>
    </row>
    <row r="347" spans="1:17" s="97" customFormat="1" x14ac:dyDescent="0.25">
      <c r="A347" s="29" t="s">
        <v>440</v>
      </c>
      <c r="B347" s="30" t="s">
        <v>437</v>
      </c>
      <c r="C347" s="31" t="s">
        <v>141</v>
      </c>
      <c r="D347" s="71" t="s">
        <v>1177</v>
      </c>
      <c r="E347" s="31" t="s">
        <v>669</v>
      </c>
      <c r="F347" s="31" t="s">
        <v>678</v>
      </c>
      <c r="G347" s="71" t="s">
        <v>166</v>
      </c>
      <c r="H347" s="71" t="s">
        <v>17</v>
      </c>
      <c r="I347" s="31"/>
      <c r="J347" s="32" t="s">
        <v>708</v>
      </c>
      <c r="K347" s="32" t="str">
        <f t="shared" si="10"/>
        <v>_</v>
      </c>
      <c r="L347" s="111">
        <f>ROUND(Tableau18[[#This Row],[LEN]]*7.27,0)</f>
        <v>313</v>
      </c>
      <c r="M347" s="111">
        <v>15</v>
      </c>
      <c r="N347" s="128" t="str">
        <f t="shared" si="11"/>
        <v>_self</v>
      </c>
      <c r="O347" s="111">
        <f>LEN(Tableau18[[#This Row],[LABEL]])</f>
        <v>43</v>
      </c>
      <c r="P347" s="111">
        <v>15</v>
      </c>
      <c r="Q347" s="111" t="e">
        <f>ROUND(Tableau18[[#This Row],[LEN]]*#REF!+#REF!,0)</f>
        <v>#REF!</v>
      </c>
    </row>
    <row r="348" spans="1:17" s="97" customFormat="1" x14ac:dyDescent="0.25">
      <c r="A348" s="25" t="s">
        <v>441</v>
      </c>
      <c r="B348" s="26" t="s">
        <v>255</v>
      </c>
      <c r="C348" s="27" t="s">
        <v>88</v>
      </c>
      <c r="D348" s="70" t="s">
        <v>1177</v>
      </c>
      <c r="E348" s="27" t="s">
        <v>667</v>
      </c>
      <c r="F348" s="27" t="s">
        <v>1218</v>
      </c>
      <c r="G348" s="70" t="s">
        <v>166</v>
      </c>
      <c r="H348" s="70" t="s">
        <v>570</v>
      </c>
      <c r="I348" s="27"/>
      <c r="J348" s="28" t="s">
        <v>708</v>
      </c>
      <c r="K348" s="28" t="str">
        <f t="shared" si="10"/>
        <v>_</v>
      </c>
      <c r="L348" s="109">
        <f>ROUND(Tableau18[[#This Row],[LEN]]*7.27,0)</f>
        <v>342</v>
      </c>
      <c r="M348" s="109">
        <v>15</v>
      </c>
      <c r="N348" s="127" t="str">
        <f t="shared" si="11"/>
        <v>_self</v>
      </c>
      <c r="O348" s="109">
        <f>LEN(Tableau18[[#This Row],[LABEL]])</f>
        <v>47</v>
      </c>
      <c r="P348" s="109">
        <v>15</v>
      </c>
      <c r="Q348" s="109" t="e">
        <f>ROUND(Tableau18[[#This Row],[LEN]]*#REF!+#REF!,0)</f>
        <v>#REF!</v>
      </c>
    </row>
    <row r="349" spans="1:17" s="97" customFormat="1" x14ac:dyDescent="0.25">
      <c r="A349" s="25" t="s">
        <v>442</v>
      </c>
      <c r="B349" s="26" t="s">
        <v>255</v>
      </c>
      <c r="C349" s="27" t="s">
        <v>142</v>
      </c>
      <c r="D349" s="70" t="s">
        <v>1177</v>
      </c>
      <c r="E349" s="27" t="s">
        <v>669</v>
      </c>
      <c r="F349" s="27" t="s">
        <v>677</v>
      </c>
      <c r="G349" s="70" t="s">
        <v>166</v>
      </c>
      <c r="H349" s="70" t="s">
        <v>655</v>
      </c>
      <c r="I349" s="27"/>
      <c r="J349" s="28" t="s">
        <v>708</v>
      </c>
      <c r="K349" s="28" t="str">
        <f t="shared" si="10"/>
        <v>_</v>
      </c>
      <c r="L349" s="109">
        <f>ROUND(Tableau18[[#This Row],[LEN]]*7.27,0)</f>
        <v>109</v>
      </c>
      <c r="M349" s="109">
        <v>15</v>
      </c>
      <c r="N349" s="127" t="str">
        <f t="shared" si="11"/>
        <v>_self</v>
      </c>
      <c r="O349" s="109">
        <f>LEN(Tableau18[[#This Row],[LABEL]])</f>
        <v>15</v>
      </c>
      <c r="P349" s="109">
        <v>15</v>
      </c>
      <c r="Q349" s="109" t="e">
        <f>ROUND(Tableau18[[#This Row],[LEN]]*#REF!+#REF!,0)</f>
        <v>#REF!</v>
      </c>
    </row>
    <row r="350" spans="1:17" s="97" customFormat="1" x14ac:dyDescent="0.25">
      <c r="A350" s="25" t="s">
        <v>487</v>
      </c>
      <c r="B350" s="26" t="s">
        <v>255</v>
      </c>
      <c r="C350" s="27" t="s">
        <v>143</v>
      </c>
      <c r="D350" s="70" t="s">
        <v>1177</v>
      </c>
      <c r="E350" s="27" t="s">
        <v>669</v>
      </c>
      <c r="F350" s="27" t="s">
        <v>1177</v>
      </c>
      <c r="G350" s="70" t="s">
        <v>166</v>
      </c>
      <c r="H350" s="70" t="s">
        <v>656</v>
      </c>
      <c r="I350" s="27"/>
      <c r="J350" s="28" t="s">
        <v>727</v>
      </c>
      <c r="K350" s="28" t="str">
        <f t="shared" si="10"/>
        <v>Documentation</v>
      </c>
      <c r="L350" s="109">
        <f>ROUND(Tableau18[[#This Row],[LEN]]*7.27,0)</f>
        <v>436</v>
      </c>
      <c r="M350" s="109">
        <v>15</v>
      </c>
      <c r="N350" s="127" t="str">
        <f t="shared" si="11"/>
        <v>_blank</v>
      </c>
      <c r="O350" s="109">
        <f>LEN(Tableau18[[#This Row],[LABEL]])</f>
        <v>60</v>
      </c>
      <c r="P350" s="109">
        <v>15</v>
      </c>
      <c r="Q350" s="109" t="e">
        <f>ROUND(Tableau18[[#This Row],[LEN]]*#REF!+#REF!,0)</f>
        <v>#REF!</v>
      </c>
    </row>
    <row r="351" spans="1:17" s="97" customFormat="1" x14ac:dyDescent="0.25">
      <c r="A351" s="25" t="s">
        <v>488</v>
      </c>
      <c r="B351" s="26" t="s">
        <v>255</v>
      </c>
      <c r="C351" s="27" t="s">
        <v>144</v>
      </c>
      <c r="D351" s="70" t="s">
        <v>1177</v>
      </c>
      <c r="E351" s="27" t="s">
        <v>669</v>
      </c>
      <c r="F351" s="27" t="s">
        <v>1177</v>
      </c>
      <c r="G351" s="70" t="s">
        <v>166</v>
      </c>
      <c r="H351" s="70" t="s">
        <v>655</v>
      </c>
      <c r="I351" s="27"/>
      <c r="J351" s="28" t="s">
        <v>708</v>
      </c>
      <c r="K351" s="28" t="str">
        <f t="shared" si="10"/>
        <v>_</v>
      </c>
      <c r="L351" s="109">
        <f>ROUND(Tableau18[[#This Row],[LEN]]*7.27,0)</f>
        <v>44</v>
      </c>
      <c r="M351" s="109">
        <v>15</v>
      </c>
      <c r="N351" s="127" t="str">
        <f t="shared" si="11"/>
        <v>_self</v>
      </c>
      <c r="O351" s="109">
        <f>LEN(Tableau18[[#This Row],[LABEL]])</f>
        <v>6</v>
      </c>
      <c r="P351" s="109">
        <v>15</v>
      </c>
      <c r="Q351" s="109" t="e">
        <f>ROUND(Tableau18[[#This Row],[LEN]]*#REF!+#REF!,0)</f>
        <v>#REF!</v>
      </c>
    </row>
    <row r="352" spans="1:17" s="97" customFormat="1" x14ac:dyDescent="0.25">
      <c r="A352" s="29" t="s">
        <v>658</v>
      </c>
      <c r="B352" s="30" t="s">
        <v>488</v>
      </c>
      <c r="C352" s="31" t="s">
        <v>685</v>
      </c>
      <c r="D352" s="71" t="s">
        <v>1177</v>
      </c>
      <c r="E352" s="31" t="s">
        <v>669</v>
      </c>
      <c r="F352" s="31" t="s">
        <v>1177</v>
      </c>
      <c r="G352" s="71" t="s">
        <v>166</v>
      </c>
      <c r="H352" s="71" t="s">
        <v>655</v>
      </c>
      <c r="I352" s="31"/>
      <c r="J352" s="32" t="s">
        <v>708</v>
      </c>
      <c r="K352" s="32" t="str">
        <f t="shared" si="10"/>
        <v>_</v>
      </c>
      <c r="L352" s="111">
        <f>ROUND(Tableau18[[#This Row],[LEN]]*7.27,0)</f>
        <v>58</v>
      </c>
      <c r="M352" s="111">
        <v>15</v>
      </c>
      <c r="N352" s="128" t="str">
        <f t="shared" si="11"/>
        <v>_self</v>
      </c>
      <c r="O352" s="111">
        <f>LEN(Tableau18[[#This Row],[LABEL]])</f>
        <v>8</v>
      </c>
      <c r="P352" s="111">
        <v>15</v>
      </c>
      <c r="Q352" s="111" t="e">
        <f>ROUND(Tableau18[[#This Row],[LEN]]*#REF!+#REF!,0)</f>
        <v>#REF!</v>
      </c>
    </row>
    <row r="353" spans="1:17" s="97" customFormat="1" x14ac:dyDescent="0.25">
      <c r="A353" s="86" t="s">
        <v>688</v>
      </c>
      <c r="B353" s="87" t="s">
        <v>658</v>
      </c>
      <c r="C353" s="88" t="s">
        <v>145</v>
      </c>
      <c r="D353" s="89" t="s">
        <v>1177</v>
      </c>
      <c r="E353" s="88" t="s">
        <v>669</v>
      </c>
      <c r="F353" s="88" t="s">
        <v>1177</v>
      </c>
      <c r="G353" s="89" t="s">
        <v>166</v>
      </c>
      <c r="H353" s="90" t="s">
        <v>654</v>
      </c>
      <c r="I353" s="88"/>
      <c r="J353" s="91" t="s">
        <v>708</v>
      </c>
      <c r="K353" s="91" t="str">
        <f t="shared" si="10"/>
        <v>_</v>
      </c>
      <c r="L353" s="112">
        <f>ROUND(Tableau18[[#This Row],[LEN]]*7.27,0)</f>
        <v>342</v>
      </c>
      <c r="M353" s="112">
        <v>15</v>
      </c>
      <c r="N353" s="129" t="str">
        <f t="shared" si="11"/>
        <v>_self</v>
      </c>
      <c r="O353" s="112">
        <f>LEN(Tableau18[[#This Row],[LABEL]])</f>
        <v>47</v>
      </c>
      <c r="P353" s="112">
        <v>15</v>
      </c>
      <c r="Q353" s="112" t="e">
        <f>ROUND(Tableau18[[#This Row],[LEN]]*#REF!+#REF!,0)</f>
        <v>#REF!</v>
      </c>
    </row>
    <row r="354" spans="1:17" s="97" customFormat="1" x14ac:dyDescent="0.25">
      <c r="A354" s="86" t="s">
        <v>689</v>
      </c>
      <c r="B354" s="87" t="s">
        <v>658</v>
      </c>
      <c r="C354" s="88" t="s">
        <v>146</v>
      </c>
      <c r="D354" s="89" t="s">
        <v>1177</v>
      </c>
      <c r="E354" s="88" t="s">
        <v>669</v>
      </c>
      <c r="F354" s="88" t="s">
        <v>1177</v>
      </c>
      <c r="G354" s="89" t="s">
        <v>166</v>
      </c>
      <c r="H354" s="90" t="s">
        <v>654</v>
      </c>
      <c r="I354" s="88"/>
      <c r="J354" s="91" t="s">
        <v>708</v>
      </c>
      <c r="K354" s="91" t="str">
        <f t="shared" si="10"/>
        <v>_</v>
      </c>
      <c r="L354" s="112">
        <f>ROUND(Tableau18[[#This Row],[LEN]]*7.27,0)</f>
        <v>291</v>
      </c>
      <c r="M354" s="112">
        <v>15</v>
      </c>
      <c r="N354" s="129" t="str">
        <f t="shared" si="11"/>
        <v>_self</v>
      </c>
      <c r="O354" s="112">
        <f>LEN(Tableau18[[#This Row],[LABEL]])</f>
        <v>40</v>
      </c>
      <c r="P354" s="112">
        <v>15</v>
      </c>
      <c r="Q354" s="112" t="e">
        <f>ROUND(Tableau18[[#This Row],[LEN]]*#REF!+#REF!,0)</f>
        <v>#REF!</v>
      </c>
    </row>
    <row r="355" spans="1:17" s="97" customFormat="1" x14ac:dyDescent="0.25">
      <c r="A355" s="86" t="s">
        <v>690</v>
      </c>
      <c r="B355" s="87" t="s">
        <v>658</v>
      </c>
      <c r="C355" s="88" t="s">
        <v>147</v>
      </c>
      <c r="D355" s="89" t="s">
        <v>1177</v>
      </c>
      <c r="E355" s="88" t="s">
        <v>669</v>
      </c>
      <c r="F355" s="88" t="s">
        <v>1177</v>
      </c>
      <c r="G355" s="89" t="s">
        <v>166</v>
      </c>
      <c r="H355" s="90" t="s">
        <v>654</v>
      </c>
      <c r="I355" s="88"/>
      <c r="J355" s="91" t="s">
        <v>708</v>
      </c>
      <c r="K355" s="91" t="str">
        <f t="shared" si="10"/>
        <v>_</v>
      </c>
      <c r="L355" s="112">
        <f>ROUND(Tableau18[[#This Row],[LEN]]*7.27,0)</f>
        <v>174</v>
      </c>
      <c r="M355" s="112">
        <v>15</v>
      </c>
      <c r="N355" s="129" t="str">
        <f t="shared" si="11"/>
        <v>_self</v>
      </c>
      <c r="O355" s="112">
        <f>LEN(Tableau18[[#This Row],[LABEL]])</f>
        <v>24</v>
      </c>
      <c r="P355" s="112">
        <v>15</v>
      </c>
      <c r="Q355" s="112" t="e">
        <f>ROUND(Tableau18[[#This Row],[LEN]]*#REF!+#REF!,0)</f>
        <v>#REF!</v>
      </c>
    </row>
    <row r="356" spans="1:17" s="97" customFormat="1" x14ac:dyDescent="0.25">
      <c r="A356" s="86" t="s">
        <v>691</v>
      </c>
      <c r="B356" s="87" t="s">
        <v>658</v>
      </c>
      <c r="C356" s="88" t="s">
        <v>148</v>
      </c>
      <c r="D356" s="89" t="s">
        <v>1177</v>
      </c>
      <c r="E356" s="88" t="s">
        <v>669</v>
      </c>
      <c r="F356" s="88" t="s">
        <v>1177</v>
      </c>
      <c r="G356" s="89" t="s">
        <v>166</v>
      </c>
      <c r="H356" s="90" t="s">
        <v>654</v>
      </c>
      <c r="I356" s="88"/>
      <c r="J356" s="91" t="s">
        <v>708</v>
      </c>
      <c r="K356" s="91" t="str">
        <f t="shared" si="10"/>
        <v>_</v>
      </c>
      <c r="L356" s="112">
        <f>ROUND(Tableau18[[#This Row],[LEN]]*7.27,0)</f>
        <v>225</v>
      </c>
      <c r="M356" s="112">
        <v>15</v>
      </c>
      <c r="N356" s="129" t="str">
        <f t="shared" si="11"/>
        <v>_self</v>
      </c>
      <c r="O356" s="112">
        <f>LEN(Tableau18[[#This Row],[LABEL]])</f>
        <v>31</v>
      </c>
      <c r="P356" s="112">
        <v>15</v>
      </c>
      <c r="Q356" s="112" t="e">
        <f>ROUND(Tableau18[[#This Row],[LEN]]*#REF!+#REF!,0)</f>
        <v>#REF!</v>
      </c>
    </row>
    <row r="357" spans="1:17" s="97" customFormat="1" x14ac:dyDescent="0.25">
      <c r="A357" s="29" t="s">
        <v>659</v>
      </c>
      <c r="B357" s="30" t="s">
        <v>488</v>
      </c>
      <c r="C357" s="31" t="s">
        <v>686</v>
      </c>
      <c r="D357" s="71" t="s">
        <v>1177</v>
      </c>
      <c r="E357" s="31" t="s">
        <v>669</v>
      </c>
      <c r="F357" s="31" t="s">
        <v>1177</v>
      </c>
      <c r="G357" s="71" t="s">
        <v>166</v>
      </c>
      <c r="H357" s="71" t="s">
        <v>655</v>
      </c>
      <c r="I357" s="31"/>
      <c r="J357" s="32" t="s">
        <v>708</v>
      </c>
      <c r="K357" s="32" t="str">
        <f t="shared" si="10"/>
        <v>_</v>
      </c>
      <c r="L357" s="111">
        <f>ROUND(Tableau18[[#This Row],[LEN]]*7.27,0)</f>
        <v>29</v>
      </c>
      <c r="M357" s="111">
        <v>15</v>
      </c>
      <c r="N357" s="128" t="str">
        <f t="shared" si="11"/>
        <v>_self</v>
      </c>
      <c r="O357" s="111">
        <f>LEN(Tableau18[[#This Row],[LABEL]])</f>
        <v>4</v>
      </c>
      <c r="P357" s="111">
        <v>15</v>
      </c>
      <c r="Q357" s="111" t="e">
        <f>ROUND(Tableau18[[#This Row],[LEN]]*#REF!+#REF!,0)</f>
        <v>#REF!</v>
      </c>
    </row>
    <row r="358" spans="1:17" s="97" customFormat="1" x14ac:dyDescent="0.25">
      <c r="A358" s="86" t="s">
        <v>692</v>
      </c>
      <c r="B358" s="87" t="s">
        <v>659</v>
      </c>
      <c r="C358" s="88" t="s">
        <v>149</v>
      </c>
      <c r="D358" s="89" t="s">
        <v>1177</v>
      </c>
      <c r="E358" s="88" t="s">
        <v>669</v>
      </c>
      <c r="F358" s="88" t="s">
        <v>1177</v>
      </c>
      <c r="G358" s="89" t="s">
        <v>166</v>
      </c>
      <c r="H358" s="90" t="s">
        <v>654</v>
      </c>
      <c r="I358" s="88"/>
      <c r="J358" s="91" t="s">
        <v>708</v>
      </c>
      <c r="K358" s="91" t="str">
        <f t="shared" si="10"/>
        <v>_</v>
      </c>
      <c r="L358" s="112">
        <f>ROUND(Tableau18[[#This Row],[LEN]]*7.27,0)</f>
        <v>167</v>
      </c>
      <c r="M358" s="112">
        <v>15</v>
      </c>
      <c r="N358" s="129" t="str">
        <f t="shared" si="11"/>
        <v>_self</v>
      </c>
      <c r="O358" s="112">
        <f>LEN(Tableau18[[#This Row],[LABEL]])</f>
        <v>23</v>
      </c>
      <c r="P358" s="112">
        <v>15</v>
      </c>
      <c r="Q358" s="112" t="e">
        <f>ROUND(Tableau18[[#This Row],[LEN]]*#REF!+#REF!,0)</f>
        <v>#REF!</v>
      </c>
    </row>
    <row r="359" spans="1:17" s="97" customFormat="1" x14ac:dyDescent="0.25">
      <c r="A359" s="86" t="s">
        <v>693</v>
      </c>
      <c r="B359" s="87" t="s">
        <v>659</v>
      </c>
      <c r="C359" s="88" t="s">
        <v>150</v>
      </c>
      <c r="D359" s="89" t="s">
        <v>1177</v>
      </c>
      <c r="E359" s="88" t="s">
        <v>669</v>
      </c>
      <c r="F359" s="88" t="s">
        <v>1177</v>
      </c>
      <c r="G359" s="89" t="s">
        <v>166</v>
      </c>
      <c r="H359" s="90" t="s">
        <v>570</v>
      </c>
      <c r="I359" s="88"/>
      <c r="J359" s="91" t="s">
        <v>708</v>
      </c>
      <c r="K359" s="91" t="str">
        <f t="shared" si="10"/>
        <v>_</v>
      </c>
      <c r="L359" s="112">
        <f>ROUND(Tableau18[[#This Row],[LEN]]*7.27,0)</f>
        <v>247</v>
      </c>
      <c r="M359" s="112">
        <v>15</v>
      </c>
      <c r="N359" s="129" t="str">
        <f t="shared" si="11"/>
        <v>_self</v>
      </c>
      <c r="O359" s="112">
        <f>LEN(Tableau18[[#This Row],[LABEL]])</f>
        <v>34</v>
      </c>
      <c r="P359" s="112">
        <v>15</v>
      </c>
      <c r="Q359" s="112" t="e">
        <f>ROUND(Tableau18[[#This Row],[LEN]]*#REF!+#REF!,0)</f>
        <v>#REF!</v>
      </c>
    </row>
    <row r="360" spans="1:17" s="97" customFormat="1" x14ac:dyDescent="0.25">
      <c r="A360" s="86" t="s">
        <v>694</v>
      </c>
      <c r="B360" s="87" t="s">
        <v>659</v>
      </c>
      <c r="C360" s="88" t="s">
        <v>151</v>
      </c>
      <c r="D360" s="89" t="s">
        <v>1177</v>
      </c>
      <c r="E360" s="88" t="s">
        <v>669</v>
      </c>
      <c r="F360" s="88" t="s">
        <v>1177</v>
      </c>
      <c r="G360" s="89" t="s">
        <v>166</v>
      </c>
      <c r="H360" s="90" t="s">
        <v>654</v>
      </c>
      <c r="I360" s="88"/>
      <c r="J360" s="91" t="s">
        <v>708</v>
      </c>
      <c r="K360" s="91" t="str">
        <f t="shared" si="10"/>
        <v>_</v>
      </c>
      <c r="L360" s="112">
        <f>ROUND(Tableau18[[#This Row],[LEN]]*7.27,0)</f>
        <v>233</v>
      </c>
      <c r="M360" s="112">
        <v>15</v>
      </c>
      <c r="N360" s="129" t="str">
        <f t="shared" si="11"/>
        <v>_self</v>
      </c>
      <c r="O360" s="112">
        <f>LEN(Tableau18[[#This Row],[LABEL]])</f>
        <v>32</v>
      </c>
      <c r="P360" s="112">
        <v>15</v>
      </c>
      <c r="Q360" s="112" t="e">
        <f>ROUND(Tableau18[[#This Row],[LEN]]*#REF!+#REF!,0)</f>
        <v>#REF!</v>
      </c>
    </row>
    <row r="361" spans="1:17" s="97" customFormat="1" x14ac:dyDescent="0.25">
      <c r="A361" s="86" t="s">
        <v>695</v>
      </c>
      <c r="B361" s="87" t="s">
        <v>659</v>
      </c>
      <c r="C361" s="88" t="s">
        <v>152</v>
      </c>
      <c r="D361" s="89" t="s">
        <v>1177</v>
      </c>
      <c r="E361" s="88" t="s">
        <v>669</v>
      </c>
      <c r="F361" s="88" t="s">
        <v>1177</v>
      </c>
      <c r="G361" s="89" t="s">
        <v>166</v>
      </c>
      <c r="H361" s="90" t="s">
        <v>654</v>
      </c>
      <c r="I361" s="88"/>
      <c r="J361" s="91" t="s">
        <v>708</v>
      </c>
      <c r="K361" s="91" t="str">
        <f t="shared" si="10"/>
        <v>_</v>
      </c>
      <c r="L361" s="112">
        <f>ROUND(Tableau18[[#This Row],[LEN]]*7.27,0)</f>
        <v>174</v>
      </c>
      <c r="M361" s="112">
        <v>15</v>
      </c>
      <c r="N361" s="129" t="str">
        <f t="shared" si="11"/>
        <v>_self</v>
      </c>
      <c r="O361" s="112">
        <f>LEN(Tableau18[[#This Row],[LABEL]])</f>
        <v>24</v>
      </c>
      <c r="P361" s="112">
        <v>15</v>
      </c>
      <c r="Q361" s="112" t="e">
        <f>ROUND(Tableau18[[#This Row],[LEN]]*#REF!+#REF!,0)</f>
        <v>#REF!</v>
      </c>
    </row>
    <row r="362" spans="1:17" s="97" customFormat="1" x14ac:dyDescent="0.25">
      <c r="A362" s="29" t="s">
        <v>660</v>
      </c>
      <c r="B362" s="30" t="s">
        <v>488</v>
      </c>
      <c r="C362" s="31" t="s">
        <v>687</v>
      </c>
      <c r="D362" s="71" t="s">
        <v>1177</v>
      </c>
      <c r="E362" s="31" t="s">
        <v>669</v>
      </c>
      <c r="F362" s="31" t="s">
        <v>1177</v>
      </c>
      <c r="G362" s="71" t="s">
        <v>166</v>
      </c>
      <c r="H362" s="71" t="s">
        <v>655</v>
      </c>
      <c r="I362" s="31"/>
      <c r="J362" s="32" t="s">
        <v>708</v>
      </c>
      <c r="K362" s="32" t="str">
        <f t="shared" si="10"/>
        <v>_</v>
      </c>
      <c r="L362" s="111">
        <f>ROUND(Tableau18[[#This Row],[LEN]]*7.27,0)</f>
        <v>51</v>
      </c>
      <c r="M362" s="111">
        <v>15</v>
      </c>
      <c r="N362" s="128" t="str">
        <f t="shared" si="11"/>
        <v>_self</v>
      </c>
      <c r="O362" s="111">
        <f>LEN(Tableau18[[#This Row],[LABEL]])</f>
        <v>7</v>
      </c>
      <c r="P362" s="111">
        <v>15</v>
      </c>
      <c r="Q362" s="111" t="e">
        <f>ROUND(Tableau18[[#This Row],[LEN]]*#REF!+#REF!,0)</f>
        <v>#REF!</v>
      </c>
    </row>
    <row r="363" spans="1:17" s="97" customFormat="1" x14ac:dyDescent="0.25">
      <c r="A363" s="86" t="s">
        <v>696</v>
      </c>
      <c r="B363" s="87" t="s">
        <v>660</v>
      </c>
      <c r="C363" s="88" t="s">
        <v>153</v>
      </c>
      <c r="D363" s="89" t="s">
        <v>1177</v>
      </c>
      <c r="E363" s="88" t="s">
        <v>669</v>
      </c>
      <c r="F363" s="88" t="s">
        <v>1177</v>
      </c>
      <c r="G363" s="89" t="s">
        <v>166</v>
      </c>
      <c r="H363" s="90" t="s">
        <v>654</v>
      </c>
      <c r="I363" s="88"/>
      <c r="J363" s="91" t="s">
        <v>728</v>
      </c>
      <c r="K363" s="91" t="str">
        <f t="shared" si="10"/>
        <v>Documentation</v>
      </c>
      <c r="L363" s="112">
        <f>ROUND(Tableau18[[#This Row],[LEN]]*7.27,0)</f>
        <v>276</v>
      </c>
      <c r="M363" s="112">
        <v>15</v>
      </c>
      <c r="N363" s="129" t="str">
        <f t="shared" si="11"/>
        <v>_blank</v>
      </c>
      <c r="O363" s="112">
        <f>LEN(Tableau18[[#This Row],[LABEL]])</f>
        <v>38</v>
      </c>
      <c r="P363" s="112">
        <v>15</v>
      </c>
      <c r="Q363" s="112" t="e">
        <f>ROUND(Tableau18[[#This Row],[LEN]]*#REF!+#REF!,0)</f>
        <v>#REF!</v>
      </c>
    </row>
    <row r="364" spans="1:17" s="97" customFormat="1" x14ac:dyDescent="0.25">
      <c r="A364" s="86" t="s">
        <v>697</v>
      </c>
      <c r="B364" s="87" t="s">
        <v>660</v>
      </c>
      <c r="C364" s="88" t="s">
        <v>154</v>
      </c>
      <c r="D364" s="89" t="s">
        <v>1177</v>
      </c>
      <c r="E364" s="88" t="s">
        <v>669</v>
      </c>
      <c r="F364" s="88" t="s">
        <v>1177</v>
      </c>
      <c r="G364" s="89" t="s">
        <v>166</v>
      </c>
      <c r="H364" s="90" t="s">
        <v>654</v>
      </c>
      <c r="I364" s="88"/>
      <c r="J364" s="91" t="s">
        <v>708</v>
      </c>
      <c r="K364" s="91" t="str">
        <f t="shared" si="10"/>
        <v>_</v>
      </c>
      <c r="L364" s="112">
        <f>ROUND(Tableau18[[#This Row],[LEN]]*7.27,0)</f>
        <v>262</v>
      </c>
      <c r="M364" s="112">
        <v>15</v>
      </c>
      <c r="N364" s="129" t="str">
        <f t="shared" si="11"/>
        <v>_self</v>
      </c>
      <c r="O364" s="112">
        <f>LEN(Tableau18[[#This Row],[LABEL]])</f>
        <v>36</v>
      </c>
      <c r="P364" s="112">
        <v>15</v>
      </c>
      <c r="Q364" s="112" t="e">
        <f>ROUND(Tableau18[[#This Row],[LEN]]*#REF!+#REF!,0)</f>
        <v>#REF!</v>
      </c>
    </row>
    <row r="365" spans="1:17" s="97" customFormat="1" x14ac:dyDescent="0.25">
      <c r="A365" s="86" t="s">
        <v>698</v>
      </c>
      <c r="B365" s="87" t="s">
        <v>660</v>
      </c>
      <c r="C365" s="88" t="s">
        <v>155</v>
      </c>
      <c r="D365" s="89" t="s">
        <v>1177</v>
      </c>
      <c r="E365" s="88" t="s">
        <v>669</v>
      </c>
      <c r="F365" s="88" t="s">
        <v>1177</v>
      </c>
      <c r="G365" s="89" t="s">
        <v>166</v>
      </c>
      <c r="H365" s="90" t="s">
        <v>570</v>
      </c>
      <c r="I365" s="88"/>
      <c r="J365" s="91" t="s">
        <v>708</v>
      </c>
      <c r="K365" s="91" t="str">
        <f t="shared" si="10"/>
        <v>_</v>
      </c>
      <c r="L365" s="112">
        <f>ROUND(Tableau18[[#This Row],[LEN]]*7.27,0)</f>
        <v>218</v>
      </c>
      <c r="M365" s="112">
        <v>15</v>
      </c>
      <c r="N365" s="129" t="str">
        <f t="shared" si="11"/>
        <v>_self</v>
      </c>
      <c r="O365" s="112">
        <f>LEN(Tableau18[[#This Row],[LABEL]])</f>
        <v>30</v>
      </c>
      <c r="P365" s="112">
        <v>15</v>
      </c>
      <c r="Q365" s="112" t="e">
        <f>ROUND(Tableau18[[#This Row],[LEN]]*#REF!+#REF!,0)</f>
        <v>#REF!</v>
      </c>
    </row>
    <row r="366" spans="1:17" s="97" customFormat="1" x14ac:dyDescent="0.25">
      <c r="A366" s="25" t="s">
        <v>489</v>
      </c>
      <c r="B366" s="26" t="s">
        <v>255</v>
      </c>
      <c r="C366" s="27" t="s">
        <v>778</v>
      </c>
      <c r="D366" s="70" t="s">
        <v>1177</v>
      </c>
      <c r="E366" s="27" t="s">
        <v>673</v>
      </c>
      <c r="F366" s="27" t="s">
        <v>2000</v>
      </c>
      <c r="G366" s="70" t="s">
        <v>166</v>
      </c>
      <c r="H366" s="70" t="s">
        <v>17</v>
      </c>
      <c r="I366" s="27"/>
      <c r="J366" s="28" t="s">
        <v>708</v>
      </c>
      <c r="K366" s="28" t="str">
        <f t="shared" si="10"/>
        <v>_</v>
      </c>
      <c r="L366" s="109">
        <f>ROUND(Tableau18[[#This Row],[LEN]]*7.27,0)</f>
        <v>211</v>
      </c>
      <c r="M366" s="109">
        <v>15</v>
      </c>
      <c r="N366" s="127" t="str">
        <f t="shared" si="11"/>
        <v>_self</v>
      </c>
      <c r="O366" s="109">
        <f>LEN(Tableau18[[#This Row],[LABEL]])</f>
        <v>29</v>
      </c>
      <c r="P366" s="109">
        <v>15</v>
      </c>
      <c r="Q366" s="109" t="e">
        <f>ROUND(Tableau18[[#This Row],[LEN]]*#REF!+#REF!,0)</f>
        <v>#REF!</v>
      </c>
    </row>
    <row r="367" spans="1:17" s="97" customFormat="1" x14ac:dyDescent="0.25">
      <c r="A367" s="25" t="s">
        <v>490</v>
      </c>
      <c r="B367" s="26" t="s">
        <v>255</v>
      </c>
      <c r="C367" s="27" t="s">
        <v>92</v>
      </c>
      <c r="D367" s="70" t="s">
        <v>1177</v>
      </c>
      <c r="E367" s="27" t="s">
        <v>663</v>
      </c>
      <c r="F367" s="27" t="s">
        <v>2080</v>
      </c>
      <c r="G367" s="70" t="s">
        <v>166</v>
      </c>
      <c r="H367" s="70" t="s">
        <v>655</v>
      </c>
      <c r="I367" s="27"/>
      <c r="J367" s="28" t="s">
        <v>708</v>
      </c>
      <c r="K367" s="28" t="str">
        <f t="shared" si="10"/>
        <v>_</v>
      </c>
      <c r="L367" s="109">
        <f>ROUND(Tableau18[[#This Row],[LEN]]*7.27,0)</f>
        <v>262</v>
      </c>
      <c r="M367" s="109">
        <v>15</v>
      </c>
      <c r="N367" s="127" t="str">
        <f t="shared" si="11"/>
        <v>_self</v>
      </c>
      <c r="O367" s="109">
        <f>LEN(Tableau18[[#This Row],[LABEL]])</f>
        <v>36</v>
      </c>
      <c r="P367" s="109">
        <v>15</v>
      </c>
      <c r="Q367" s="109" t="e">
        <f>ROUND(Tableau18[[#This Row],[LEN]]*#REF!+#REF!,0)</f>
        <v>#REF!</v>
      </c>
    </row>
    <row r="368" spans="1:17" s="97" customFormat="1" x14ac:dyDescent="0.25">
      <c r="A368" s="29" t="s">
        <v>699</v>
      </c>
      <c r="B368" s="30" t="s">
        <v>490</v>
      </c>
      <c r="C368" s="31" t="s">
        <v>95</v>
      </c>
      <c r="D368" s="71" t="s">
        <v>1177</v>
      </c>
      <c r="E368" s="31" t="s">
        <v>663</v>
      </c>
      <c r="F368" s="31" t="s">
        <v>2080</v>
      </c>
      <c r="G368" s="71" t="s">
        <v>166</v>
      </c>
      <c r="H368" s="71" t="s">
        <v>18</v>
      </c>
      <c r="I368" s="31"/>
      <c r="J368" s="32" t="s">
        <v>708</v>
      </c>
      <c r="K368" s="32" t="str">
        <f t="shared" si="10"/>
        <v>_</v>
      </c>
      <c r="L368" s="111">
        <f>ROUND(Tableau18[[#This Row],[LEN]]*7.27,0)</f>
        <v>254</v>
      </c>
      <c r="M368" s="111">
        <v>15</v>
      </c>
      <c r="N368" s="128" t="str">
        <f t="shared" si="11"/>
        <v>_self</v>
      </c>
      <c r="O368" s="111">
        <f>LEN(Tableau18[[#This Row],[LABEL]])</f>
        <v>35</v>
      </c>
      <c r="P368" s="111">
        <v>15</v>
      </c>
      <c r="Q368" s="111" t="e">
        <f>ROUND(Tableau18[[#This Row],[LEN]]*#REF!+#REF!,0)</f>
        <v>#REF!</v>
      </c>
    </row>
    <row r="369" spans="1:17" s="97" customFormat="1" x14ac:dyDescent="0.25">
      <c r="A369" s="29" t="s">
        <v>700</v>
      </c>
      <c r="B369" s="30" t="s">
        <v>490</v>
      </c>
      <c r="C369" s="31" t="s">
        <v>96</v>
      </c>
      <c r="D369" s="71" t="s">
        <v>1177</v>
      </c>
      <c r="E369" s="31" t="s">
        <v>663</v>
      </c>
      <c r="F369" s="31" t="s">
        <v>2080</v>
      </c>
      <c r="G369" s="71" t="s">
        <v>166</v>
      </c>
      <c r="H369" s="71" t="s">
        <v>18</v>
      </c>
      <c r="I369" s="31"/>
      <c r="J369" s="32" t="s">
        <v>708</v>
      </c>
      <c r="K369" s="32" t="str">
        <f t="shared" si="10"/>
        <v>_</v>
      </c>
      <c r="L369" s="111">
        <f>ROUND(Tableau18[[#This Row],[LEN]]*7.27,0)</f>
        <v>233</v>
      </c>
      <c r="M369" s="111">
        <v>15</v>
      </c>
      <c r="N369" s="128" t="str">
        <f t="shared" si="11"/>
        <v>_self</v>
      </c>
      <c r="O369" s="111">
        <f>LEN(Tableau18[[#This Row],[LABEL]])</f>
        <v>32</v>
      </c>
      <c r="P369" s="111">
        <v>15</v>
      </c>
      <c r="Q369" s="111" t="e">
        <f>ROUND(Tableau18[[#This Row],[LEN]]*#REF!+#REF!,0)</f>
        <v>#REF!</v>
      </c>
    </row>
    <row r="370" spans="1:17" s="97" customFormat="1" x14ac:dyDescent="0.25">
      <c r="A370" s="29" t="s">
        <v>1391</v>
      </c>
      <c r="B370" s="30" t="s">
        <v>490</v>
      </c>
      <c r="C370" s="31" t="s">
        <v>97</v>
      </c>
      <c r="D370" s="71" t="s">
        <v>1177</v>
      </c>
      <c r="E370" s="31" t="s">
        <v>663</v>
      </c>
      <c r="F370" s="31" t="s">
        <v>2080</v>
      </c>
      <c r="G370" s="71" t="s">
        <v>166</v>
      </c>
      <c r="H370" s="71" t="s">
        <v>656</v>
      </c>
      <c r="I370" s="31"/>
      <c r="J370" s="32" t="s">
        <v>708</v>
      </c>
      <c r="K370" s="32" t="str">
        <f t="shared" si="10"/>
        <v>_</v>
      </c>
      <c r="L370" s="111">
        <f>ROUND(Tableau18[[#This Row],[LEN]]*7.27,0)</f>
        <v>145</v>
      </c>
      <c r="M370" s="111">
        <v>15</v>
      </c>
      <c r="N370" s="128" t="str">
        <f t="shared" si="11"/>
        <v>_self</v>
      </c>
      <c r="O370" s="111">
        <f>LEN(Tableau18[[#This Row],[LABEL]])</f>
        <v>20</v>
      </c>
      <c r="P370" s="111">
        <v>15</v>
      </c>
      <c r="Q370" s="111" t="e">
        <f>ROUND(Tableau18[[#This Row],[LEN]]*#REF!+#REF!,0)</f>
        <v>#REF!</v>
      </c>
    </row>
    <row r="371" spans="1:17" s="97" customFormat="1" x14ac:dyDescent="0.25">
      <c r="A371" s="25" t="s">
        <v>491</v>
      </c>
      <c r="B371" s="26" t="s">
        <v>255</v>
      </c>
      <c r="C371" s="27" t="s">
        <v>1167</v>
      </c>
      <c r="D371" s="70" t="s">
        <v>486</v>
      </c>
      <c r="E371" s="27" t="s">
        <v>1085</v>
      </c>
      <c r="F371" s="27" t="s">
        <v>1084</v>
      </c>
      <c r="G371" s="70" t="s">
        <v>1977</v>
      </c>
      <c r="H371" s="70" t="s">
        <v>1131</v>
      </c>
      <c r="I371" s="27"/>
      <c r="J371" s="28" t="s">
        <v>708</v>
      </c>
      <c r="K371" s="28" t="str">
        <f t="shared" si="10"/>
        <v>_</v>
      </c>
      <c r="L371" s="109">
        <f>ROUND(Tableau18[[#This Row],[LEN]]*7.27,0)</f>
        <v>196</v>
      </c>
      <c r="M371" s="109">
        <v>15</v>
      </c>
      <c r="N371" s="127" t="str">
        <f t="shared" si="11"/>
        <v>_self</v>
      </c>
      <c r="O371" s="109">
        <f>LEN(Tableau18[[#This Row],[LABEL]])</f>
        <v>27</v>
      </c>
      <c r="P371" s="109">
        <v>15</v>
      </c>
      <c r="Q371" s="109" t="e">
        <f>ROUND(Tableau18[[#This Row],[LEN]]*#REF!+#REF!,0)</f>
        <v>#REF!</v>
      </c>
    </row>
    <row r="372" spans="1:17" s="97" customFormat="1" x14ac:dyDescent="0.25">
      <c r="A372" s="29" t="s">
        <v>1205</v>
      </c>
      <c r="B372" s="30" t="s">
        <v>491</v>
      </c>
      <c r="C372" s="31" t="s">
        <v>93</v>
      </c>
      <c r="D372" s="71" t="s">
        <v>1177</v>
      </c>
      <c r="E372" s="31" t="s">
        <v>1085</v>
      </c>
      <c r="F372" s="31" t="s">
        <v>1084</v>
      </c>
      <c r="G372" s="71" t="s">
        <v>166</v>
      </c>
      <c r="H372" s="71" t="s">
        <v>18</v>
      </c>
      <c r="I372" s="31"/>
      <c r="J372" s="32" t="s">
        <v>101</v>
      </c>
      <c r="K372" s="32" t="str">
        <f t="shared" si="10"/>
        <v>Documentation</v>
      </c>
      <c r="L372" s="111">
        <f>ROUND(Tableau18[[#This Row],[LEN]]*7.27,0)</f>
        <v>109</v>
      </c>
      <c r="M372" s="111">
        <v>15</v>
      </c>
      <c r="N372" s="128" t="str">
        <f t="shared" si="11"/>
        <v>_blank</v>
      </c>
      <c r="O372" s="111">
        <f>LEN(Tableau18[[#This Row],[LABEL]])</f>
        <v>15</v>
      </c>
      <c r="P372" s="111">
        <v>15</v>
      </c>
      <c r="Q372" s="111" t="e">
        <f>ROUND(Tableau18[[#This Row],[LEN]]*#REF!+#REF!,0)</f>
        <v>#REF!</v>
      </c>
    </row>
    <row r="373" spans="1:17" s="97" customFormat="1" x14ac:dyDescent="0.25">
      <c r="A373" s="29" t="s">
        <v>1206</v>
      </c>
      <c r="B373" s="30" t="s">
        <v>491</v>
      </c>
      <c r="C373" s="31" t="s">
        <v>94</v>
      </c>
      <c r="D373" s="71" t="s">
        <v>1177</v>
      </c>
      <c r="E373" s="31" t="s">
        <v>1085</v>
      </c>
      <c r="F373" s="31" t="s">
        <v>1084</v>
      </c>
      <c r="G373" s="71" t="s">
        <v>166</v>
      </c>
      <c r="H373" s="71" t="s">
        <v>18</v>
      </c>
      <c r="I373" s="31"/>
      <c r="J373" s="32" t="s">
        <v>102</v>
      </c>
      <c r="K373" s="32" t="str">
        <f t="shared" si="10"/>
        <v>Documentation</v>
      </c>
      <c r="L373" s="111">
        <f>ROUND(Tableau18[[#This Row],[LEN]]*7.27,0)</f>
        <v>58</v>
      </c>
      <c r="M373" s="111">
        <v>15</v>
      </c>
      <c r="N373" s="128" t="str">
        <f t="shared" si="11"/>
        <v>_blank</v>
      </c>
      <c r="O373" s="111">
        <f>LEN(Tableau18[[#This Row],[LABEL]])</f>
        <v>8</v>
      </c>
      <c r="P373" s="111">
        <v>15</v>
      </c>
      <c r="Q373" s="111" t="e">
        <f>ROUND(Tableau18[[#This Row],[LEN]]*#REF!+#REF!,0)</f>
        <v>#REF!</v>
      </c>
    </row>
    <row r="374" spans="1:17" s="273" customFormat="1" x14ac:dyDescent="0.25">
      <c r="A374" s="288" t="s">
        <v>256</v>
      </c>
      <c r="B374" s="289" t="s">
        <v>206</v>
      </c>
      <c r="C374" s="290" t="s">
        <v>7</v>
      </c>
      <c r="D374" s="291" t="s">
        <v>1177</v>
      </c>
      <c r="E374" s="290" t="s">
        <v>663</v>
      </c>
      <c r="F374" s="290" t="s">
        <v>670</v>
      </c>
      <c r="G374" s="291" t="s">
        <v>166</v>
      </c>
      <c r="H374" s="291" t="str">
        <f>IFERROR(IF(SEARCH(".00.00.00.00.00",Tableau18[[#This Row],[name]],1)=7,"Division",""),"")</f>
        <v>Division</v>
      </c>
      <c r="I374" s="290"/>
      <c r="J374" s="292" t="s">
        <v>708</v>
      </c>
      <c r="K374" s="292" t="str">
        <f t="shared" si="10"/>
        <v>_</v>
      </c>
      <c r="L374" s="293">
        <f>ROUND(Tableau18[[#This Row],[LEN]]*7.27,0)</f>
        <v>189</v>
      </c>
      <c r="M374" s="293">
        <v>15</v>
      </c>
      <c r="N374" s="294" t="str">
        <f t="shared" si="11"/>
        <v>_self</v>
      </c>
      <c r="O374" s="293">
        <f>LEN(Tableau18[[#This Row],[LABEL]])</f>
        <v>26</v>
      </c>
      <c r="P374" s="293">
        <v>15</v>
      </c>
      <c r="Q374" s="293" t="e">
        <f>ROUND(Tableau18[[#This Row],[LEN]]*#REF!+#REF!,0)</f>
        <v>#REF!</v>
      </c>
    </row>
    <row r="375" spans="1:17" s="97" customFormat="1" x14ac:dyDescent="0.25">
      <c r="A375" s="25" t="s">
        <v>1193</v>
      </c>
      <c r="B375" s="26" t="s">
        <v>256</v>
      </c>
      <c r="C375" s="27" t="s">
        <v>1198</v>
      </c>
      <c r="D375" s="70" t="s">
        <v>1177</v>
      </c>
      <c r="E375" s="27" t="s">
        <v>670</v>
      </c>
      <c r="F375" s="27" t="s">
        <v>678</v>
      </c>
      <c r="G375" s="70" t="s">
        <v>166</v>
      </c>
      <c r="H375" s="70" t="s">
        <v>656</v>
      </c>
      <c r="I375" s="27"/>
      <c r="J375" s="28" t="s">
        <v>708</v>
      </c>
      <c r="K375" s="28" t="str">
        <f t="shared" si="10"/>
        <v>_</v>
      </c>
      <c r="L375" s="109">
        <f>ROUND(Tableau18[[#This Row],[LEN]]*7.27,0)</f>
        <v>204</v>
      </c>
      <c r="M375" s="109">
        <v>15</v>
      </c>
      <c r="N375" s="127" t="str">
        <f t="shared" si="11"/>
        <v>_self</v>
      </c>
      <c r="O375" s="109">
        <f>LEN(Tableau18[[#This Row],[LABEL]])</f>
        <v>28</v>
      </c>
      <c r="P375" s="109">
        <v>15</v>
      </c>
      <c r="Q375" s="109" t="e">
        <f>ROUND(Tableau18[[#This Row],[LEN]]*#REF!+#REF!,0)</f>
        <v>#REF!</v>
      </c>
    </row>
    <row r="376" spans="1:17" s="97" customFormat="1" x14ac:dyDescent="0.25">
      <c r="A376" s="25" t="s">
        <v>1194</v>
      </c>
      <c r="B376" s="26" t="s">
        <v>256</v>
      </c>
      <c r="C376" s="27" t="s">
        <v>1199</v>
      </c>
      <c r="D376" s="70" t="s">
        <v>1177</v>
      </c>
      <c r="E376" s="27" t="s">
        <v>670</v>
      </c>
      <c r="F376" s="27" t="s">
        <v>1177</v>
      </c>
      <c r="G376" s="70" t="s">
        <v>166</v>
      </c>
      <c r="H376" s="70" t="s">
        <v>17</v>
      </c>
      <c r="I376" s="27"/>
      <c r="J376" s="28" t="s">
        <v>708</v>
      </c>
      <c r="K376" s="28" t="str">
        <f t="shared" si="10"/>
        <v>_</v>
      </c>
      <c r="L376" s="109">
        <f>ROUND(Tableau18[[#This Row],[LEN]]*7.27,0)</f>
        <v>305</v>
      </c>
      <c r="M376" s="109">
        <v>15</v>
      </c>
      <c r="N376" s="127" t="str">
        <f t="shared" si="11"/>
        <v>_self</v>
      </c>
      <c r="O376" s="109">
        <f>LEN(Tableau18[[#This Row],[LABEL]])</f>
        <v>42</v>
      </c>
      <c r="P376" s="109">
        <v>15</v>
      </c>
      <c r="Q376" s="109" t="e">
        <f>ROUND(Tableau18[[#This Row],[LEN]]*#REF!+#REF!,0)</f>
        <v>#REF!</v>
      </c>
    </row>
    <row r="377" spans="1:17" s="97" customFormat="1" x14ac:dyDescent="0.25">
      <c r="A377" s="25" t="s">
        <v>1195</v>
      </c>
      <c r="B377" s="26" t="s">
        <v>256</v>
      </c>
      <c r="C377" s="27" t="s">
        <v>88</v>
      </c>
      <c r="D377" s="70" t="s">
        <v>1177</v>
      </c>
      <c r="E377" s="27" t="s">
        <v>667</v>
      </c>
      <c r="F377" s="27" t="s">
        <v>1218</v>
      </c>
      <c r="G377" s="70" t="s">
        <v>166</v>
      </c>
      <c r="H377" s="70" t="s">
        <v>570</v>
      </c>
      <c r="I377" s="27"/>
      <c r="J377" s="28" t="s">
        <v>708</v>
      </c>
      <c r="K377" s="28" t="str">
        <f t="shared" si="10"/>
        <v>_</v>
      </c>
      <c r="L377" s="109">
        <f>ROUND(Tableau18[[#This Row],[LEN]]*7.27,0)</f>
        <v>342</v>
      </c>
      <c r="M377" s="109">
        <v>15</v>
      </c>
      <c r="N377" s="127" t="str">
        <f t="shared" si="11"/>
        <v>_self</v>
      </c>
      <c r="O377" s="109">
        <f>LEN(Tableau18[[#This Row],[LABEL]])</f>
        <v>47</v>
      </c>
      <c r="P377" s="109">
        <v>15</v>
      </c>
      <c r="Q377" s="109" t="e">
        <f>ROUND(Tableau18[[#This Row],[LEN]]*#REF!+#REF!,0)</f>
        <v>#REF!</v>
      </c>
    </row>
    <row r="378" spans="1:17" s="97" customFormat="1" x14ac:dyDescent="0.25">
      <c r="A378" s="25" t="s">
        <v>1196</v>
      </c>
      <c r="B378" s="26" t="s">
        <v>256</v>
      </c>
      <c r="C378" s="27" t="s">
        <v>1200</v>
      </c>
      <c r="D378" s="70" t="s">
        <v>1177</v>
      </c>
      <c r="E378" s="27" t="s">
        <v>670</v>
      </c>
      <c r="F378" s="27" t="s">
        <v>1177</v>
      </c>
      <c r="G378" s="70" t="s">
        <v>166</v>
      </c>
      <c r="H378" s="70" t="s">
        <v>655</v>
      </c>
      <c r="I378" s="27"/>
      <c r="J378" s="28" t="s">
        <v>708</v>
      </c>
      <c r="K378" s="28" t="str">
        <f t="shared" si="10"/>
        <v>_</v>
      </c>
      <c r="L378" s="109">
        <f>ROUND(Tableau18[[#This Row],[LEN]]*7.27,0)</f>
        <v>298</v>
      </c>
      <c r="M378" s="109">
        <v>15</v>
      </c>
      <c r="N378" s="127" t="str">
        <f t="shared" si="11"/>
        <v>_self</v>
      </c>
      <c r="O378" s="109">
        <f>LEN(Tableau18[[#This Row],[LABEL]])</f>
        <v>41</v>
      </c>
      <c r="P378" s="109">
        <v>15</v>
      </c>
      <c r="Q378" s="109" t="e">
        <f>ROUND(Tableau18[[#This Row],[LEN]]*#REF!+#REF!,0)</f>
        <v>#REF!</v>
      </c>
    </row>
    <row r="379" spans="1:17" s="97" customFormat="1" x14ac:dyDescent="0.25">
      <c r="A379" s="29" t="s">
        <v>1214</v>
      </c>
      <c r="B379" s="30" t="s">
        <v>1196</v>
      </c>
      <c r="C379" s="31" t="s">
        <v>1211</v>
      </c>
      <c r="D379" s="71" t="s">
        <v>1177</v>
      </c>
      <c r="E379" s="31" t="s">
        <v>670</v>
      </c>
      <c r="F379" s="31" t="s">
        <v>1177</v>
      </c>
      <c r="G379" s="71" t="s">
        <v>166</v>
      </c>
      <c r="H379" s="71" t="s">
        <v>654</v>
      </c>
      <c r="I379" s="31"/>
      <c r="J379" s="32" t="s">
        <v>708</v>
      </c>
      <c r="K379" s="32" t="str">
        <f t="shared" si="10"/>
        <v>_</v>
      </c>
      <c r="L379" s="111">
        <f>ROUND(Tableau18[[#This Row],[LEN]]*7.27,0)</f>
        <v>240</v>
      </c>
      <c r="M379" s="111">
        <v>15</v>
      </c>
      <c r="N379" s="128" t="str">
        <f t="shared" si="11"/>
        <v>_self</v>
      </c>
      <c r="O379" s="111">
        <f>LEN(Tableau18[[#This Row],[LABEL]])</f>
        <v>33</v>
      </c>
      <c r="P379" s="111">
        <v>15</v>
      </c>
      <c r="Q379" s="111" t="e">
        <f>ROUND(Tableau18[[#This Row],[LEN]]*#REF!+#REF!,0)</f>
        <v>#REF!</v>
      </c>
    </row>
    <row r="380" spans="1:17" s="97" customFormat="1" x14ac:dyDescent="0.25">
      <c r="A380" s="29" t="s">
        <v>1215</v>
      </c>
      <c r="B380" s="30" t="s">
        <v>1196</v>
      </c>
      <c r="C380" s="31" t="s">
        <v>1212</v>
      </c>
      <c r="D380" s="71" t="s">
        <v>1177</v>
      </c>
      <c r="E380" s="31" t="s">
        <v>670</v>
      </c>
      <c r="F380" s="31" t="s">
        <v>1177</v>
      </c>
      <c r="G380" s="71" t="s">
        <v>166</v>
      </c>
      <c r="H380" s="71" t="s">
        <v>654</v>
      </c>
      <c r="I380" s="31"/>
      <c r="J380" s="32" t="s">
        <v>708</v>
      </c>
      <c r="K380" s="32" t="str">
        <f t="shared" si="10"/>
        <v>_</v>
      </c>
      <c r="L380" s="111">
        <f>ROUND(Tableau18[[#This Row],[LEN]]*7.27,0)</f>
        <v>327</v>
      </c>
      <c r="M380" s="111">
        <v>15</v>
      </c>
      <c r="N380" s="128" t="str">
        <f t="shared" si="11"/>
        <v>_self</v>
      </c>
      <c r="O380" s="111">
        <f>LEN(Tableau18[[#This Row],[LABEL]])</f>
        <v>45</v>
      </c>
      <c r="P380" s="111">
        <v>15</v>
      </c>
      <c r="Q380" s="111" t="e">
        <f>ROUND(Tableau18[[#This Row],[LEN]]*#REF!+#REF!,0)</f>
        <v>#REF!</v>
      </c>
    </row>
    <row r="381" spans="1:17" s="97" customFormat="1" x14ac:dyDescent="0.25">
      <c r="A381" s="29" t="s">
        <v>1216</v>
      </c>
      <c r="B381" s="30" t="s">
        <v>1196</v>
      </c>
      <c r="C381" s="31" t="s">
        <v>1213</v>
      </c>
      <c r="D381" s="71" t="s">
        <v>1177</v>
      </c>
      <c r="E381" s="31" t="s">
        <v>670</v>
      </c>
      <c r="F381" s="31" t="s">
        <v>1177</v>
      </c>
      <c r="G381" s="71" t="s">
        <v>166</v>
      </c>
      <c r="H381" s="71" t="s">
        <v>654</v>
      </c>
      <c r="I381" s="31"/>
      <c r="J381" s="32" t="s">
        <v>708</v>
      </c>
      <c r="K381" s="32" t="str">
        <f t="shared" si="10"/>
        <v>_</v>
      </c>
      <c r="L381" s="111">
        <f>ROUND(Tableau18[[#This Row],[LEN]]*7.27,0)</f>
        <v>334</v>
      </c>
      <c r="M381" s="111">
        <v>15</v>
      </c>
      <c r="N381" s="128" t="str">
        <f t="shared" si="11"/>
        <v>_self</v>
      </c>
      <c r="O381" s="111">
        <f>LEN(Tableau18[[#This Row],[LABEL]])</f>
        <v>46</v>
      </c>
      <c r="P381" s="111">
        <v>15</v>
      </c>
      <c r="Q381" s="111" t="e">
        <f>ROUND(Tableau18[[#This Row],[LEN]]*#REF!+#REF!,0)</f>
        <v>#REF!</v>
      </c>
    </row>
    <row r="382" spans="1:17" s="97" customFormat="1" x14ac:dyDescent="0.25">
      <c r="A382" s="25" t="s">
        <v>1197</v>
      </c>
      <c r="B382" s="26" t="s">
        <v>256</v>
      </c>
      <c r="C382" s="27" t="s">
        <v>1167</v>
      </c>
      <c r="D382" s="70" t="s">
        <v>486</v>
      </c>
      <c r="E382" s="27" t="s">
        <v>1085</v>
      </c>
      <c r="F382" s="27" t="s">
        <v>1084</v>
      </c>
      <c r="G382" s="70" t="s">
        <v>1977</v>
      </c>
      <c r="H382" s="70" t="s">
        <v>1131</v>
      </c>
      <c r="I382" s="27"/>
      <c r="J382" s="28" t="s">
        <v>708</v>
      </c>
      <c r="K382" s="28" t="str">
        <f t="shared" si="10"/>
        <v>_</v>
      </c>
      <c r="L382" s="109">
        <f>ROUND(Tableau18[[#This Row],[LEN]]*7.27,0)</f>
        <v>196</v>
      </c>
      <c r="M382" s="109">
        <v>15</v>
      </c>
      <c r="N382" s="127" t="str">
        <f t="shared" si="11"/>
        <v>_self</v>
      </c>
      <c r="O382" s="109">
        <f>LEN(Tableau18[[#This Row],[LABEL]])</f>
        <v>27</v>
      </c>
      <c r="P382" s="109">
        <v>15</v>
      </c>
      <c r="Q382" s="109" t="e">
        <f>ROUND(Tableau18[[#This Row],[LEN]]*#REF!+#REF!,0)</f>
        <v>#REF!</v>
      </c>
    </row>
    <row r="383" spans="1:17" s="97" customFormat="1" x14ac:dyDescent="0.25">
      <c r="A383" s="29" t="s">
        <v>1207</v>
      </c>
      <c r="B383" s="30" t="s">
        <v>1197</v>
      </c>
      <c r="C383" s="31" t="s">
        <v>93</v>
      </c>
      <c r="D383" s="71" t="s">
        <v>1177</v>
      </c>
      <c r="E383" s="31" t="s">
        <v>1085</v>
      </c>
      <c r="F383" s="31" t="s">
        <v>1084</v>
      </c>
      <c r="G383" s="71" t="s">
        <v>166</v>
      </c>
      <c r="H383" s="71" t="s">
        <v>18</v>
      </c>
      <c r="I383" s="31"/>
      <c r="J383" s="32" t="s">
        <v>101</v>
      </c>
      <c r="K383" s="32" t="str">
        <f t="shared" si="10"/>
        <v>Documentation</v>
      </c>
      <c r="L383" s="111">
        <f>ROUND(Tableau18[[#This Row],[LEN]]*7.27,0)</f>
        <v>109</v>
      </c>
      <c r="M383" s="111">
        <v>15</v>
      </c>
      <c r="N383" s="128" t="str">
        <f t="shared" si="11"/>
        <v>_blank</v>
      </c>
      <c r="O383" s="111">
        <f>LEN(Tableau18[[#This Row],[LABEL]])</f>
        <v>15</v>
      </c>
      <c r="P383" s="111">
        <v>15</v>
      </c>
      <c r="Q383" s="111" t="e">
        <f>ROUND(Tableau18[[#This Row],[LEN]]*#REF!+#REF!,0)</f>
        <v>#REF!</v>
      </c>
    </row>
    <row r="384" spans="1:17" s="97" customFormat="1" x14ac:dyDescent="0.25">
      <c r="A384" s="29" t="s">
        <v>1208</v>
      </c>
      <c r="B384" s="30" t="s">
        <v>1197</v>
      </c>
      <c r="C384" s="31" t="s">
        <v>94</v>
      </c>
      <c r="D384" s="71" t="s">
        <v>1177</v>
      </c>
      <c r="E384" s="31" t="s">
        <v>1085</v>
      </c>
      <c r="F384" s="31" t="s">
        <v>1084</v>
      </c>
      <c r="G384" s="71" t="s">
        <v>166</v>
      </c>
      <c r="H384" s="71" t="s">
        <v>18</v>
      </c>
      <c r="I384" s="31"/>
      <c r="J384" s="32" t="s">
        <v>102</v>
      </c>
      <c r="K384" s="32" t="str">
        <f t="shared" si="10"/>
        <v>Documentation</v>
      </c>
      <c r="L384" s="111">
        <f>ROUND(Tableau18[[#This Row],[LEN]]*7.27,0)</f>
        <v>58</v>
      </c>
      <c r="M384" s="111">
        <v>15</v>
      </c>
      <c r="N384" s="128" t="str">
        <f t="shared" si="11"/>
        <v>_blank</v>
      </c>
      <c r="O384" s="111">
        <f>LEN(Tableau18[[#This Row],[LABEL]])</f>
        <v>8</v>
      </c>
      <c r="P384" s="111">
        <v>15</v>
      </c>
      <c r="Q384" s="111" t="e">
        <f>ROUND(Tableau18[[#This Row],[LEN]]*#REF!+#REF!,0)</f>
        <v>#REF!</v>
      </c>
    </row>
    <row r="385" spans="1:17" s="273" customFormat="1" x14ac:dyDescent="0.25">
      <c r="A385" s="288" t="s">
        <v>257</v>
      </c>
      <c r="B385" s="289" t="s">
        <v>206</v>
      </c>
      <c r="C385" s="290" t="s">
        <v>8</v>
      </c>
      <c r="D385" s="291" t="s">
        <v>1177</v>
      </c>
      <c r="E385" s="290" t="s">
        <v>671</v>
      </c>
      <c r="F385" s="290" t="s">
        <v>1177</v>
      </c>
      <c r="G385" s="291" t="s">
        <v>166</v>
      </c>
      <c r="H385" s="291" t="str">
        <f>IFERROR(IF(SEARCH(".00.00.00.00.00",Tableau18[[#This Row],[name]],1)=7,"Division",""),"")</f>
        <v>Division</v>
      </c>
      <c r="I385" s="290"/>
      <c r="J385" s="292" t="s">
        <v>708</v>
      </c>
      <c r="K385" s="292" t="str">
        <f t="shared" si="10"/>
        <v>_</v>
      </c>
      <c r="L385" s="293">
        <f>ROUND(Tableau18[[#This Row],[LEN]]*7.27,0)</f>
        <v>116</v>
      </c>
      <c r="M385" s="293">
        <v>15</v>
      </c>
      <c r="N385" s="294" t="str">
        <f t="shared" si="11"/>
        <v>_self</v>
      </c>
      <c r="O385" s="293">
        <f>LEN(Tableau18[[#This Row],[LABEL]])</f>
        <v>16</v>
      </c>
      <c r="P385" s="293">
        <v>15</v>
      </c>
      <c r="Q385" s="293" t="e">
        <f>ROUND(Tableau18[[#This Row],[LEN]]*#REF!+#REF!,0)</f>
        <v>#REF!</v>
      </c>
    </row>
    <row r="386" spans="1:17" s="97" customFormat="1" x14ac:dyDescent="0.25">
      <c r="A386" s="25" t="s">
        <v>1220</v>
      </c>
      <c r="B386" s="26" t="s">
        <v>257</v>
      </c>
      <c r="C386" s="27" t="s">
        <v>1217</v>
      </c>
      <c r="D386" s="70" t="s">
        <v>1177</v>
      </c>
      <c r="E386" s="27" t="s">
        <v>671</v>
      </c>
      <c r="F386" s="27" t="s">
        <v>678</v>
      </c>
      <c r="G386" s="70" t="s">
        <v>166</v>
      </c>
      <c r="H386" s="70" t="s">
        <v>654</v>
      </c>
      <c r="I386" s="27"/>
      <c r="J386" s="28" t="s">
        <v>708</v>
      </c>
      <c r="K386" s="28" t="str">
        <f t="shared" ref="K386:K449" si="12">IF(J386="javascript:void(0)","_","Documentation")</f>
        <v>_</v>
      </c>
      <c r="L386" s="109">
        <f>ROUND(Tableau18[[#This Row],[LEN]]*7.27,0)</f>
        <v>160</v>
      </c>
      <c r="M386" s="109">
        <v>15</v>
      </c>
      <c r="N386" s="127" t="str">
        <f t="shared" si="11"/>
        <v>_self</v>
      </c>
      <c r="O386" s="109">
        <f>LEN(Tableau18[[#This Row],[LABEL]])</f>
        <v>22</v>
      </c>
      <c r="P386" s="109">
        <v>15</v>
      </c>
      <c r="Q386" s="109" t="e">
        <f>ROUND(Tableau18[[#This Row],[LEN]]*#REF!+#REF!,0)</f>
        <v>#REF!</v>
      </c>
    </row>
    <row r="387" spans="1:17" s="97" customFormat="1" x14ac:dyDescent="0.25">
      <c r="A387" s="25" t="s">
        <v>1221</v>
      </c>
      <c r="B387" s="26" t="s">
        <v>257</v>
      </c>
      <c r="C387" s="27" t="s">
        <v>88</v>
      </c>
      <c r="D387" s="70" t="s">
        <v>1177</v>
      </c>
      <c r="E387" s="27" t="s">
        <v>667</v>
      </c>
      <c r="F387" s="27" t="s">
        <v>1218</v>
      </c>
      <c r="G387" s="70" t="s">
        <v>166</v>
      </c>
      <c r="H387" s="70" t="s">
        <v>570</v>
      </c>
      <c r="I387" s="27"/>
      <c r="J387" s="28" t="s">
        <v>708</v>
      </c>
      <c r="K387" s="28" t="str">
        <f t="shared" si="12"/>
        <v>_</v>
      </c>
      <c r="L387" s="109">
        <f>ROUND(Tableau18[[#This Row],[LEN]]*7.27,0)</f>
        <v>342</v>
      </c>
      <c r="M387" s="109">
        <v>15</v>
      </c>
      <c r="N387" s="127" t="str">
        <f t="shared" ref="N387:N450" si="13">IF(J387="javascript:void(0)","_self","_blank")</f>
        <v>_self</v>
      </c>
      <c r="O387" s="109">
        <f>LEN(Tableau18[[#This Row],[LABEL]])</f>
        <v>47</v>
      </c>
      <c r="P387" s="109">
        <v>15</v>
      </c>
      <c r="Q387" s="109" t="e">
        <f>ROUND(Tableau18[[#This Row],[LEN]]*#REF!+#REF!,0)</f>
        <v>#REF!</v>
      </c>
    </row>
    <row r="388" spans="1:17" s="97" customFormat="1" x14ac:dyDescent="0.25">
      <c r="A388" s="25" t="s">
        <v>1222</v>
      </c>
      <c r="B388" s="26" t="s">
        <v>257</v>
      </c>
      <c r="C388" s="27" t="s">
        <v>1219</v>
      </c>
      <c r="D388" s="70" t="s">
        <v>1177</v>
      </c>
      <c r="E388" s="27" t="s">
        <v>671</v>
      </c>
      <c r="F388" s="27" t="s">
        <v>678</v>
      </c>
      <c r="G388" s="70" t="s">
        <v>166</v>
      </c>
      <c r="H388" s="70" t="s">
        <v>656</v>
      </c>
      <c r="I388" s="27"/>
      <c r="J388" s="28" t="s">
        <v>708</v>
      </c>
      <c r="K388" s="28" t="str">
        <f t="shared" si="12"/>
        <v>_</v>
      </c>
      <c r="L388" s="109">
        <f>ROUND(Tableau18[[#This Row],[LEN]]*7.27,0)</f>
        <v>240</v>
      </c>
      <c r="M388" s="109">
        <v>15</v>
      </c>
      <c r="N388" s="127" t="str">
        <f t="shared" si="13"/>
        <v>_self</v>
      </c>
      <c r="O388" s="109">
        <f>LEN(Tableau18[[#This Row],[LABEL]])</f>
        <v>33</v>
      </c>
      <c r="P388" s="109">
        <v>15</v>
      </c>
      <c r="Q388" s="109" t="e">
        <f>ROUND(Tableau18[[#This Row],[LEN]]*#REF!+#REF!,0)</f>
        <v>#REF!</v>
      </c>
    </row>
    <row r="389" spans="1:17" s="97" customFormat="1" x14ac:dyDescent="0.25">
      <c r="A389" s="25" t="s">
        <v>1223</v>
      </c>
      <c r="B389" s="26" t="s">
        <v>257</v>
      </c>
      <c r="C389" s="27" t="s">
        <v>1167</v>
      </c>
      <c r="D389" s="70" t="s">
        <v>486</v>
      </c>
      <c r="E389" s="27" t="s">
        <v>1085</v>
      </c>
      <c r="F389" s="27" t="s">
        <v>1084</v>
      </c>
      <c r="G389" s="70" t="s">
        <v>1977</v>
      </c>
      <c r="H389" s="70" t="s">
        <v>1131</v>
      </c>
      <c r="I389" s="27"/>
      <c r="J389" s="28" t="s">
        <v>708</v>
      </c>
      <c r="K389" s="28" t="str">
        <f t="shared" si="12"/>
        <v>_</v>
      </c>
      <c r="L389" s="109">
        <f>ROUND(Tableau18[[#This Row],[LEN]]*7.27,0)</f>
        <v>196</v>
      </c>
      <c r="M389" s="109">
        <v>15</v>
      </c>
      <c r="N389" s="127" t="str">
        <f t="shared" si="13"/>
        <v>_self</v>
      </c>
      <c r="O389" s="109">
        <f>LEN(Tableau18[[#This Row],[LABEL]])</f>
        <v>27</v>
      </c>
      <c r="P389" s="109">
        <v>15</v>
      </c>
      <c r="Q389" s="109" t="e">
        <f>ROUND(Tableau18[[#This Row],[LEN]]*#REF!+#REF!,0)</f>
        <v>#REF!</v>
      </c>
    </row>
    <row r="390" spans="1:17" s="97" customFormat="1" x14ac:dyDescent="0.25">
      <c r="A390" s="29" t="s">
        <v>1224</v>
      </c>
      <c r="B390" s="30" t="s">
        <v>1223</v>
      </c>
      <c r="C390" s="31" t="s">
        <v>93</v>
      </c>
      <c r="D390" s="71" t="s">
        <v>1177</v>
      </c>
      <c r="E390" s="31" t="s">
        <v>1085</v>
      </c>
      <c r="F390" s="31" t="s">
        <v>1084</v>
      </c>
      <c r="G390" s="71" t="s">
        <v>166</v>
      </c>
      <c r="H390" s="71" t="s">
        <v>18</v>
      </c>
      <c r="I390" s="31"/>
      <c r="J390" s="32" t="s">
        <v>101</v>
      </c>
      <c r="K390" s="32" t="str">
        <f t="shared" si="12"/>
        <v>Documentation</v>
      </c>
      <c r="L390" s="111">
        <f>ROUND(Tableau18[[#This Row],[LEN]]*7.27,0)</f>
        <v>109</v>
      </c>
      <c r="M390" s="111">
        <v>15</v>
      </c>
      <c r="N390" s="128" t="str">
        <f t="shared" si="13"/>
        <v>_blank</v>
      </c>
      <c r="O390" s="111">
        <f>LEN(Tableau18[[#This Row],[LABEL]])</f>
        <v>15</v>
      </c>
      <c r="P390" s="111">
        <v>15</v>
      </c>
      <c r="Q390" s="111" t="e">
        <f>ROUND(Tableau18[[#This Row],[LEN]]*#REF!+#REF!,0)</f>
        <v>#REF!</v>
      </c>
    </row>
    <row r="391" spans="1:17" s="97" customFormat="1" x14ac:dyDescent="0.25">
      <c r="A391" s="29" t="s">
        <v>1225</v>
      </c>
      <c r="B391" s="30" t="s">
        <v>1223</v>
      </c>
      <c r="C391" s="31" t="s">
        <v>94</v>
      </c>
      <c r="D391" s="71" t="s">
        <v>1177</v>
      </c>
      <c r="E391" s="31" t="s">
        <v>1085</v>
      </c>
      <c r="F391" s="31" t="s">
        <v>1084</v>
      </c>
      <c r="G391" s="71" t="s">
        <v>166</v>
      </c>
      <c r="H391" s="71" t="s">
        <v>18</v>
      </c>
      <c r="I391" s="31"/>
      <c r="J391" s="32" t="s">
        <v>102</v>
      </c>
      <c r="K391" s="32" t="str">
        <f t="shared" si="12"/>
        <v>Documentation</v>
      </c>
      <c r="L391" s="111">
        <f>ROUND(Tableau18[[#This Row],[LEN]]*7.27,0)</f>
        <v>58</v>
      </c>
      <c r="M391" s="111">
        <v>15</v>
      </c>
      <c r="N391" s="128" t="str">
        <f t="shared" si="13"/>
        <v>_blank</v>
      </c>
      <c r="O391" s="111">
        <f>LEN(Tableau18[[#This Row],[LABEL]])</f>
        <v>8</v>
      </c>
      <c r="P391" s="111">
        <v>15</v>
      </c>
      <c r="Q391" s="111" t="e">
        <f>ROUND(Tableau18[[#This Row],[LEN]]*#REF!+#REF!,0)</f>
        <v>#REF!</v>
      </c>
    </row>
    <row r="392" spans="1:17" s="273" customFormat="1" x14ac:dyDescent="0.25">
      <c r="A392" s="288" t="s">
        <v>258</v>
      </c>
      <c r="B392" s="289" t="s">
        <v>206</v>
      </c>
      <c r="C392" s="290" t="s">
        <v>9</v>
      </c>
      <c r="D392" s="291" t="s">
        <v>1177</v>
      </c>
      <c r="E392" s="290" t="s">
        <v>672</v>
      </c>
      <c r="F392" s="290" t="s">
        <v>1177</v>
      </c>
      <c r="G392" s="291" t="s">
        <v>166</v>
      </c>
      <c r="H392" s="291" t="str">
        <f>IFERROR(IF(SEARCH(".00.00.00.00.00",Tableau18[[#This Row],[name]],1)=7,"Division",""),"")</f>
        <v>Division</v>
      </c>
      <c r="I392" s="290"/>
      <c r="J392" s="292" t="s">
        <v>718</v>
      </c>
      <c r="K392" s="292" t="str">
        <f t="shared" si="12"/>
        <v>Documentation</v>
      </c>
      <c r="L392" s="293">
        <f>ROUND(Tableau18[[#This Row],[LEN]]*7.27,0)</f>
        <v>80</v>
      </c>
      <c r="M392" s="293">
        <v>15</v>
      </c>
      <c r="N392" s="294" t="str">
        <f t="shared" si="13"/>
        <v>_blank</v>
      </c>
      <c r="O392" s="293">
        <f>LEN(Tableau18[[#This Row],[LABEL]])</f>
        <v>11</v>
      </c>
      <c r="P392" s="293">
        <v>15</v>
      </c>
      <c r="Q392" s="293" t="e">
        <f>ROUND(Tableau18[[#This Row],[LEN]]*#REF!+#REF!,0)</f>
        <v>#REF!</v>
      </c>
    </row>
    <row r="393" spans="1:17" s="97" customFormat="1" x14ac:dyDescent="0.25">
      <c r="A393" s="25" t="s">
        <v>476</v>
      </c>
      <c r="B393" s="26" t="s">
        <v>258</v>
      </c>
      <c r="C393" s="27" t="s">
        <v>483</v>
      </c>
      <c r="D393" s="70" t="s">
        <v>1177</v>
      </c>
      <c r="E393" s="27" t="s">
        <v>672</v>
      </c>
      <c r="F393" s="27" t="s">
        <v>678</v>
      </c>
      <c r="G393" s="70" t="s">
        <v>166</v>
      </c>
      <c r="H393" s="70" t="s">
        <v>655</v>
      </c>
      <c r="I393" s="27"/>
      <c r="J393" s="28" t="s">
        <v>708</v>
      </c>
      <c r="K393" s="28" t="str">
        <f t="shared" si="12"/>
        <v>_</v>
      </c>
      <c r="L393" s="109">
        <f>ROUND(Tableau18[[#This Row],[LEN]]*7.27,0)</f>
        <v>247</v>
      </c>
      <c r="M393" s="109">
        <v>15</v>
      </c>
      <c r="N393" s="127" t="str">
        <f t="shared" si="13"/>
        <v>_self</v>
      </c>
      <c r="O393" s="109">
        <f>LEN(Tableau18[[#This Row],[LABEL]])</f>
        <v>34</v>
      </c>
      <c r="P393" s="109">
        <v>15</v>
      </c>
      <c r="Q393" s="109" t="e">
        <f>ROUND(Tableau18[[#This Row],[LEN]]*#REF!+#REF!,0)</f>
        <v>#REF!</v>
      </c>
    </row>
    <row r="394" spans="1:17" s="97" customFormat="1" x14ac:dyDescent="0.25">
      <c r="A394" s="29" t="s">
        <v>492</v>
      </c>
      <c r="B394" s="30" t="s">
        <v>476</v>
      </c>
      <c r="C394" s="31" t="s">
        <v>498</v>
      </c>
      <c r="D394" s="71" t="s">
        <v>1177</v>
      </c>
      <c r="E394" s="31" t="s">
        <v>672</v>
      </c>
      <c r="F394" s="31" t="s">
        <v>678</v>
      </c>
      <c r="G394" s="71" t="s">
        <v>166</v>
      </c>
      <c r="H394" s="71" t="s">
        <v>656</v>
      </c>
      <c r="I394" s="31"/>
      <c r="J394" s="32" t="s">
        <v>708</v>
      </c>
      <c r="K394" s="32" t="str">
        <f t="shared" si="12"/>
        <v>_</v>
      </c>
      <c r="L394" s="111">
        <f>ROUND(Tableau18[[#This Row],[LEN]]*7.27,0)</f>
        <v>349</v>
      </c>
      <c r="M394" s="111">
        <v>15</v>
      </c>
      <c r="N394" s="128" t="str">
        <f t="shared" si="13"/>
        <v>_self</v>
      </c>
      <c r="O394" s="111">
        <f>LEN(Tableau18[[#This Row],[LABEL]])</f>
        <v>48</v>
      </c>
      <c r="P394" s="111">
        <v>15</v>
      </c>
      <c r="Q394" s="111" t="e">
        <f>ROUND(Tableau18[[#This Row],[LEN]]*#REF!+#REF!,0)</f>
        <v>#REF!</v>
      </c>
    </row>
    <row r="395" spans="1:17" s="97" customFormat="1" x14ac:dyDescent="0.25">
      <c r="A395" s="29" t="s">
        <v>493</v>
      </c>
      <c r="B395" s="30" t="s">
        <v>476</v>
      </c>
      <c r="C395" s="31" t="s">
        <v>499</v>
      </c>
      <c r="D395" s="71" t="s">
        <v>1177</v>
      </c>
      <c r="E395" s="31" t="s">
        <v>672</v>
      </c>
      <c r="F395" s="31" t="s">
        <v>678</v>
      </c>
      <c r="G395" s="71" t="s">
        <v>166</v>
      </c>
      <c r="H395" s="71" t="s">
        <v>570</v>
      </c>
      <c r="I395" s="31"/>
      <c r="J395" s="32" t="s">
        <v>708</v>
      </c>
      <c r="K395" s="32" t="str">
        <f t="shared" si="12"/>
        <v>_</v>
      </c>
      <c r="L395" s="111">
        <f>ROUND(Tableau18[[#This Row],[LEN]]*7.27,0)</f>
        <v>225</v>
      </c>
      <c r="M395" s="111">
        <v>15</v>
      </c>
      <c r="N395" s="128" t="str">
        <f t="shared" si="13"/>
        <v>_self</v>
      </c>
      <c r="O395" s="111">
        <f>LEN(Tableau18[[#This Row],[LABEL]])</f>
        <v>31</v>
      </c>
      <c r="P395" s="111">
        <v>15</v>
      </c>
      <c r="Q395" s="111" t="e">
        <f>ROUND(Tableau18[[#This Row],[LEN]]*#REF!+#REF!,0)</f>
        <v>#REF!</v>
      </c>
    </row>
    <row r="396" spans="1:17" s="97" customFormat="1" x14ac:dyDescent="0.25">
      <c r="A396" s="29" t="s">
        <v>494</v>
      </c>
      <c r="B396" s="30" t="s">
        <v>476</v>
      </c>
      <c r="C396" s="31" t="s">
        <v>500</v>
      </c>
      <c r="D396" s="71" t="s">
        <v>1177</v>
      </c>
      <c r="E396" s="31" t="s">
        <v>672</v>
      </c>
      <c r="F396" s="31" t="s">
        <v>678</v>
      </c>
      <c r="G396" s="71" t="s">
        <v>166</v>
      </c>
      <c r="H396" s="71" t="s">
        <v>656</v>
      </c>
      <c r="I396" s="31"/>
      <c r="J396" s="32" t="s">
        <v>708</v>
      </c>
      <c r="K396" s="32" t="str">
        <f t="shared" si="12"/>
        <v>_</v>
      </c>
      <c r="L396" s="111">
        <f>ROUND(Tableau18[[#This Row],[LEN]]*7.27,0)</f>
        <v>254</v>
      </c>
      <c r="M396" s="111">
        <v>15</v>
      </c>
      <c r="N396" s="128" t="str">
        <f t="shared" si="13"/>
        <v>_self</v>
      </c>
      <c r="O396" s="111">
        <f>LEN(Tableau18[[#This Row],[LABEL]])</f>
        <v>35</v>
      </c>
      <c r="P396" s="111">
        <v>15</v>
      </c>
      <c r="Q396" s="111" t="e">
        <f>ROUND(Tableau18[[#This Row],[LEN]]*#REF!+#REF!,0)</f>
        <v>#REF!</v>
      </c>
    </row>
    <row r="397" spans="1:17" s="97" customFormat="1" x14ac:dyDescent="0.25">
      <c r="A397" s="29" t="s">
        <v>495</v>
      </c>
      <c r="B397" s="30" t="s">
        <v>476</v>
      </c>
      <c r="C397" s="31" t="s">
        <v>501</v>
      </c>
      <c r="D397" s="71" t="s">
        <v>1177</v>
      </c>
      <c r="E397" s="31" t="s">
        <v>672</v>
      </c>
      <c r="F397" s="31" t="s">
        <v>678</v>
      </c>
      <c r="G397" s="71" t="s">
        <v>166</v>
      </c>
      <c r="H397" s="71" t="s">
        <v>656</v>
      </c>
      <c r="I397" s="31"/>
      <c r="J397" s="32" t="s">
        <v>708</v>
      </c>
      <c r="K397" s="32" t="str">
        <f t="shared" si="12"/>
        <v>_</v>
      </c>
      <c r="L397" s="111">
        <f>ROUND(Tableau18[[#This Row],[LEN]]*7.27,0)</f>
        <v>313</v>
      </c>
      <c r="M397" s="111">
        <v>15</v>
      </c>
      <c r="N397" s="128" t="str">
        <f t="shared" si="13"/>
        <v>_self</v>
      </c>
      <c r="O397" s="111">
        <f>LEN(Tableau18[[#This Row],[LABEL]])</f>
        <v>43</v>
      </c>
      <c r="P397" s="111">
        <v>15</v>
      </c>
      <c r="Q397" s="111" t="e">
        <f>ROUND(Tableau18[[#This Row],[LEN]]*#REF!+#REF!,0)</f>
        <v>#REF!</v>
      </c>
    </row>
    <row r="398" spans="1:17" s="97" customFormat="1" x14ac:dyDescent="0.25">
      <c r="A398" s="29" t="s">
        <v>496</v>
      </c>
      <c r="B398" s="30" t="s">
        <v>476</v>
      </c>
      <c r="C398" s="31" t="s">
        <v>502</v>
      </c>
      <c r="D398" s="71" t="s">
        <v>1177</v>
      </c>
      <c r="E398" s="31" t="s">
        <v>672</v>
      </c>
      <c r="F398" s="31" t="s">
        <v>678</v>
      </c>
      <c r="G398" s="71" t="s">
        <v>166</v>
      </c>
      <c r="H398" s="71" t="s">
        <v>654</v>
      </c>
      <c r="I398" s="31"/>
      <c r="J398" s="32" t="s">
        <v>708</v>
      </c>
      <c r="K398" s="32" t="str">
        <f t="shared" si="12"/>
        <v>_</v>
      </c>
      <c r="L398" s="111">
        <f>ROUND(Tableau18[[#This Row],[LEN]]*7.27,0)</f>
        <v>247</v>
      </c>
      <c r="M398" s="111">
        <v>15</v>
      </c>
      <c r="N398" s="128" t="str">
        <f t="shared" si="13"/>
        <v>_self</v>
      </c>
      <c r="O398" s="111">
        <f>LEN(Tableau18[[#This Row],[LABEL]])</f>
        <v>34</v>
      </c>
      <c r="P398" s="111">
        <v>15</v>
      </c>
      <c r="Q398" s="111" t="e">
        <f>ROUND(Tableau18[[#This Row],[LEN]]*#REF!+#REF!,0)</f>
        <v>#REF!</v>
      </c>
    </row>
    <row r="399" spans="1:17" s="97" customFormat="1" x14ac:dyDescent="0.25">
      <c r="A399" s="29" t="s">
        <v>497</v>
      </c>
      <c r="B399" s="30" t="s">
        <v>476</v>
      </c>
      <c r="C399" s="31" t="s">
        <v>503</v>
      </c>
      <c r="D399" s="71" t="s">
        <v>1177</v>
      </c>
      <c r="E399" s="31" t="s">
        <v>672</v>
      </c>
      <c r="F399" s="31" t="s">
        <v>678</v>
      </c>
      <c r="G399" s="71" t="s">
        <v>166</v>
      </c>
      <c r="H399" s="71" t="s">
        <v>656</v>
      </c>
      <c r="I399" s="31"/>
      <c r="J399" s="32" t="s">
        <v>708</v>
      </c>
      <c r="K399" s="32" t="str">
        <f t="shared" si="12"/>
        <v>_</v>
      </c>
      <c r="L399" s="111">
        <f>ROUND(Tableau18[[#This Row],[LEN]]*7.27,0)</f>
        <v>371</v>
      </c>
      <c r="M399" s="111">
        <v>15</v>
      </c>
      <c r="N399" s="128" t="str">
        <f t="shared" si="13"/>
        <v>_self</v>
      </c>
      <c r="O399" s="111">
        <f>LEN(Tableau18[[#This Row],[LABEL]])</f>
        <v>51</v>
      </c>
      <c r="P399" s="111">
        <v>15</v>
      </c>
      <c r="Q399" s="111" t="e">
        <f>ROUND(Tableau18[[#This Row],[LEN]]*#REF!+#REF!,0)</f>
        <v>#REF!</v>
      </c>
    </row>
    <row r="400" spans="1:17" s="97" customFormat="1" x14ac:dyDescent="0.25">
      <c r="A400" s="25" t="s">
        <v>477</v>
      </c>
      <c r="B400" s="26" t="s">
        <v>258</v>
      </c>
      <c r="C400" s="27" t="s">
        <v>88</v>
      </c>
      <c r="D400" s="70" t="s">
        <v>1177</v>
      </c>
      <c r="E400" s="27" t="s">
        <v>667</v>
      </c>
      <c r="F400" s="27" t="s">
        <v>1218</v>
      </c>
      <c r="G400" s="70" t="s">
        <v>166</v>
      </c>
      <c r="H400" s="70" t="s">
        <v>570</v>
      </c>
      <c r="I400" s="27"/>
      <c r="J400" s="28" t="s">
        <v>708</v>
      </c>
      <c r="K400" s="28" t="str">
        <f t="shared" si="12"/>
        <v>_</v>
      </c>
      <c r="L400" s="109">
        <f>ROUND(Tableau18[[#This Row],[LEN]]*7.27,0)</f>
        <v>342</v>
      </c>
      <c r="M400" s="109">
        <v>15</v>
      </c>
      <c r="N400" s="127" t="str">
        <f t="shared" si="13"/>
        <v>_self</v>
      </c>
      <c r="O400" s="109">
        <f>LEN(Tableau18[[#This Row],[LABEL]])</f>
        <v>47</v>
      </c>
      <c r="P400" s="109">
        <v>15</v>
      </c>
      <c r="Q400" s="109" t="e">
        <f>ROUND(Tableau18[[#This Row],[LEN]]*#REF!+#REF!,0)</f>
        <v>#REF!</v>
      </c>
    </row>
    <row r="401" spans="1:17" s="97" customFormat="1" x14ac:dyDescent="0.25">
      <c r="A401" s="25" t="s">
        <v>478</v>
      </c>
      <c r="B401" s="26" t="s">
        <v>258</v>
      </c>
      <c r="C401" s="27" t="s">
        <v>484</v>
      </c>
      <c r="D401" s="70" t="s">
        <v>1177</v>
      </c>
      <c r="E401" s="27" t="s">
        <v>672</v>
      </c>
      <c r="F401" s="27" t="s">
        <v>1285</v>
      </c>
      <c r="G401" s="70" t="s">
        <v>166</v>
      </c>
      <c r="H401" s="70" t="s">
        <v>655</v>
      </c>
      <c r="I401" s="27"/>
      <c r="J401" s="28" t="s">
        <v>727</v>
      </c>
      <c r="K401" s="28" t="str">
        <f t="shared" si="12"/>
        <v>Documentation</v>
      </c>
      <c r="L401" s="109">
        <f>ROUND(Tableau18[[#This Row],[LEN]]*7.27,0)</f>
        <v>80</v>
      </c>
      <c r="M401" s="109">
        <v>15</v>
      </c>
      <c r="N401" s="127" t="str">
        <f t="shared" si="13"/>
        <v>_blank</v>
      </c>
      <c r="O401" s="109">
        <f>LEN(Tableau18[[#This Row],[LABEL]])</f>
        <v>11</v>
      </c>
      <c r="P401" s="109">
        <v>15</v>
      </c>
      <c r="Q401" s="109" t="e">
        <f>ROUND(Tableau18[[#This Row],[LEN]]*#REF!+#REF!,0)</f>
        <v>#REF!</v>
      </c>
    </row>
    <row r="402" spans="1:17" s="97" customFormat="1" x14ac:dyDescent="0.25">
      <c r="A402" s="29" t="s">
        <v>504</v>
      </c>
      <c r="B402" s="30" t="s">
        <v>478</v>
      </c>
      <c r="C402" s="31" t="s">
        <v>505</v>
      </c>
      <c r="D402" s="71" t="s">
        <v>1177</v>
      </c>
      <c r="E402" s="31" t="s">
        <v>672</v>
      </c>
      <c r="F402" s="31" t="s">
        <v>1285</v>
      </c>
      <c r="G402" s="71" t="s">
        <v>166</v>
      </c>
      <c r="H402" s="71" t="s">
        <v>18</v>
      </c>
      <c r="I402" s="31"/>
      <c r="J402" s="32" t="s">
        <v>705</v>
      </c>
      <c r="K402" s="32" t="str">
        <f t="shared" si="12"/>
        <v>Documentation</v>
      </c>
      <c r="L402" s="111">
        <f>ROUND(Tableau18[[#This Row],[LEN]]*7.27,0)</f>
        <v>73</v>
      </c>
      <c r="M402" s="111">
        <v>15</v>
      </c>
      <c r="N402" s="128" t="str">
        <f t="shared" si="13"/>
        <v>_blank</v>
      </c>
      <c r="O402" s="111">
        <f>LEN(Tableau18[[#This Row],[LABEL]])</f>
        <v>10</v>
      </c>
      <c r="P402" s="111">
        <v>15</v>
      </c>
      <c r="Q402" s="111" t="e">
        <f>ROUND(Tableau18[[#This Row],[LEN]]*#REF!+#REF!,0)</f>
        <v>#REF!</v>
      </c>
    </row>
    <row r="403" spans="1:17" s="97" customFormat="1" x14ac:dyDescent="0.25">
      <c r="A403" s="29" t="s">
        <v>504</v>
      </c>
      <c r="B403" s="30" t="s">
        <v>478</v>
      </c>
      <c r="C403" s="31" t="s">
        <v>1284</v>
      </c>
      <c r="D403" s="71" t="s">
        <v>1177</v>
      </c>
      <c r="E403" s="31" t="s">
        <v>672</v>
      </c>
      <c r="F403" s="31" t="s">
        <v>1285</v>
      </c>
      <c r="G403" s="71" t="s">
        <v>166</v>
      </c>
      <c r="H403" s="71" t="s">
        <v>18</v>
      </c>
      <c r="I403" s="31"/>
      <c r="J403" s="32" t="s">
        <v>705</v>
      </c>
      <c r="K403" s="32" t="str">
        <f t="shared" si="12"/>
        <v>Documentation</v>
      </c>
      <c r="L403" s="111">
        <f>ROUND(Tableau18[[#This Row],[LEN]]*7.27,0)</f>
        <v>153</v>
      </c>
      <c r="M403" s="111">
        <v>15</v>
      </c>
      <c r="N403" s="128" t="str">
        <f t="shared" si="13"/>
        <v>_blank</v>
      </c>
      <c r="O403" s="111">
        <f>LEN(Tableau18[[#This Row],[LABEL]])</f>
        <v>21</v>
      </c>
      <c r="P403" s="111">
        <v>15</v>
      </c>
      <c r="Q403" s="111" t="e">
        <f>ROUND(Tableau18[[#This Row],[LEN]]*#REF!+#REF!,0)</f>
        <v>#REF!</v>
      </c>
    </row>
    <row r="404" spans="1:17" s="97" customFormat="1" x14ac:dyDescent="0.25">
      <c r="A404" s="25" t="s">
        <v>479</v>
      </c>
      <c r="B404" s="26" t="s">
        <v>258</v>
      </c>
      <c r="C404" s="27" t="s">
        <v>485</v>
      </c>
      <c r="D404" s="70" t="s">
        <v>1177</v>
      </c>
      <c r="E404" s="27" t="s">
        <v>672</v>
      </c>
      <c r="F404" s="27" t="s">
        <v>1177</v>
      </c>
      <c r="G404" s="70" t="s">
        <v>166</v>
      </c>
      <c r="H404" s="70" t="s">
        <v>654</v>
      </c>
      <c r="I404" s="27"/>
      <c r="J404" s="28" t="s">
        <v>708</v>
      </c>
      <c r="K404" s="28" t="str">
        <f t="shared" si="12"/>
        <v>_</v>
      </c>
      <c r="L404" s="109">
        <f>ROUND(Tableau18[[#This Row],[LEN]]*7.27,0)</f>
        <v>87</v>
      </c>
      <c r="M404" s="109">
        <v>15</v>
      </c>
      <c r="N404" s="127" t="str">
        <f t="shared" si="13"/>
        <v>_self</v>
      </c>
      <c r="O404" s="109">
        <f>LEN(Tableau18[[#This Row],[LABEL]])</f>
        <v>12</v>
      </c>
      <c r="P404" s="109">
        <v>15</v>
      </c>
      <c r="Q404" s="109" t="e">
        <f>ROUND(Tableau18[[#This Row],[LEN]]*#REF!+#REF!,0)</f>
        <v>#REF!</v>
      </c>
    </row>
    <row r="405" spans="1:17" s="97" customFormat="1" x14ac:dyDescent="0.25">
      <c r="A405" s="25" t="s">
        <v>480</v>
      </c>
      <c r="B405" s="26" t="s">
        <v>258</v>
      </c>
      <c r="C405" s="27" t="s">
        <v>778</v>
      </c>
      <c r="D405" s="70" t="s">
        <v>1177</v>
      </c>
      <c r="E405" s="27" t="s">
        <v>673</v>
      </c>
      <c r="F405" s="27" t="s">
        <v>2000</v>
      </c>
      <c r="G405" s="70" t="s">
        <v>166</v>
      </c>
      <c r="H405" s="70" t="s">
        <v>17</v>
      </c>
      <c r="I405" s="27"/>
      <c r="J405" s="28" t="s">
        <v>708</v>
      </c>
      <c r="K405" s="28" t="str">
        <f t="shared" si="12"/>
        <v>_</v>
      </c>
      <c r="L405" s="109">
        <f>ROUND(Tableau18[[#This Row],[LEN]]*7.27,0)</f>
        <v>211</v>
      </c>
      <c r="M405" s="109">
        <v>15</v>
      </c>
      <c r="N405" s="127" t="str">
        <f t="shared" si="13"/>
        <v>_self</v>
      </c>
      <c r="O405" s="109">
        <f>LEN(Tableau18[[#This Row],[LABEL]])</f>
        <v>29</v>
      </c>
      <c r="P405" s="109">
        <v>15</v>
      </c>
      <c r="Q405" s="109" t="e">
        <f>ROUND(Tableau18[[#This Row],[LEN]]*#REF!+#REF!,0)</f>
        <v>#REF!</v>
      </c>
    </row>
    <row r="406" spans="1:17" s="97" customFormat="1" x14ac:dyDescent="0.25">
      <c r="A406" s="25" t="s">
        <v>481</v>
      </c>
      <c r="B406" s="26" t="s">
        <v>258</v>
      </c>
      <c r="C406" s="27" t="s">
        <v>92</v>
      </c>
      <c r="D406" s="70" t="s">
        <v>1177</v>
      </c>
      <c r="E406" s="27" t="s">
        <v>663</v>
      </c>
      <c r="F406" s="27" t="s">
        <v>2080</v>
      </c>
      <c r="G406" s="70" t="s">
        <v>166</v>
      </c>
      <c r="H406" s="70" t="s">
        <v>655</v>
      </c>
      <c r="I406" s="27"/>
      <c r="J406" s="28" t="s">
        <v>708</v>
      </c>
      <c r="K406" s="28" t="str">
        <f t="shared" si="12"/>
        <v>_</v>
      </c>
      <c r="L406" s="109">
        <f>ROUND(Tableau18[[#This Row],[LEN]]*7.27,0)</f>
        <v>262</v>
      </c>
      <c r="M406" s="109">
        <v>15</v>
      </c>
      <c r="N406" s="127" t="str">
        <f t="shared" si="13"/>
        <v>_self</v>
      </c>
      <c r="O406" s="109">
        <f>LEN(Tableau18[[#This Row],[LABEL]])</f>
        <v>36</v>
      </c>
      <c r="P406" s="109">
        <v>15</v>
      </c>
      <c r="Q406" s="109" t="e">
        <f>ROUND(Tableau18[[#This Row],[LEN]]*#REF!+#REF!,0)</f>
        <v>#REF!</v>
      </c>
    </row>
    <row r="407" spans="1:17" s="97" customFormat="1" x14ac:dyDescent="0.25">
      <c r="A407" s="29" t="s">
        <v>506</v>
      </c>
      <c r="B407" s="30" t="s">
        <v>481</v>
      </c>
      <c r="C407" s="31" t="s">
        <v>95</v>
      </c>
      <c r="D407" s="71" t="s">
        <v>1177</v>
      </c>
      <c r="E407" s="31" t="s">
        <v>663</v>
      </c>
      <c r="F407" s="31" t="s">
        <v>2080</v>
      </c>
      <c r="G407" s="71" t="s">
        <v>166</v>
      </c>
      <c r="H407" s="71" t="s">
        <v>18</v>
      </c>
      <c r="I407" s="31"/>
      <c r="J407" s="32" t="s">
        <v>708</v>
      </c>
      <c r="K407" s="32" t="str">
        <f t="shared" si="12"/>
        <v>_</v>
      </c>
      <c r="L407" s="111">
        <f>ROUND(Tableau18[[#This Row],[LEN]]*7.27,0)</f>
        <v>254</v>
      </c>
      <c r="M407" s="111">
        <v>15</v>
      </c>
      <c r="N407" s="128" t="str">
        <f t="shared" si="13"/>
        <v>_self</v>
      </c>
      <c r="O407" s="111">
        <f>LEN(Tableau18[[#This Row],[LABEL]])</f>
        <v>35</v>
      </c>
      <c r="P407" s="111">
        <v>15</v>
      </c>
      <c r="Q407" s="111" t="e">
        <f>ROUND(Tableau18[[#This Row],[LEN]]*#REF!+#REF!,0)</f>
        <v>#REF!</v>
      </c>
    </row>
    <row r="408" spans="1:17" s="97" customFormat="1" x14ac:dyDescent="0.25">
      <c r="A408" s="29" t="s">
        <v>507</v>
      </c>
      <c r="B408" s="30" t="s">
        <v>481</v>
      </c>
      <c r="C408" s="31" t="s">
        <v>96</v>
      </c>
      <c r="D408" s="71" t="s">
        <v>1177</v>
      </c>
      <c r="E408" s="31" t="s">
        <v>663</v>
      </c>
      <c r="F408" s="31" t="s">
        <v>2080</v>
      </c>
      <c r="G408" s="71" t="s">
        <v>166</v>
      </c>
      <c r="H408" s="71" t="s">
        <v>18</v>
      </c>
      <c r="I408" s="31"/>
      <c r="J408" s="32" t="s">
        <v>708</v>
      </c>
      <c r="K408" s="32" t="str">
        <f t="shared" si="12"/>
        <v>_</v>
      </c>
      <c r="L408" s="111">
        <f>ROUND(Tableau18[[#This Row],[LEN]]*7.27,0)</f>
        <v>233</v>
      </c>
      <c r="M408" s="111">
        <v>15</v>
      </c>
      <c r="N408" s="128" t="str">
        <f t="shared" si="13"/>
        <v>_self</v>
      </c>
      <c r="O408" s="111">
        <f>LEN(Tableau18[[#This Row],[LABEL]])</f>
        <v>32</v>
      </c>
      <c r="P408" s="111">
        <v>15</v>
      </c>
      <c r="Q408" s="111" t="e">
        <f>ROUND(Tableau18[[#This Row],[LEN]]*#REF!+#REF!,0)</f>
        <v>#REF!</v>
      </c>
    </row>
    <row r="409" spans="1:17" s="97" customFormat="1" x14ac:dyDescent="0.25">
      <c r="A409" s="29" t="s">
        <v>508</v>
      </c>
      <c r="B409" s="30" t="s">
        <v>481</v>
      </c>
      <c r="C409" s="31" t="s">
        <v>97</v>
      </c>
      <c r="D409" s="71" t="s">
        <v>1177</v>
      </c>
      <c r="E409" s="31" t="s">
        <v>663</v>
      </c>
      <c r="F409" s="31" t="s">
        <v>2080</v>
      </c>
      <c r="G409" s="71" t="s">
        <v>166</v>
      </c>
      <c r="H409" s="71" t="s">
        <v>656</v>
      </c>
      <c r="I409" s="31"/>
      <c r="J409" s="32" t="s">
        <v>708</v>
      </c>
      <c r="K409" s="32" t="str">
        <f t="shared" si="12"/>
        <v>_</v>
      </c>
      <c r="L409" s="111">
        <f>ROUND(Tableau18[[#This Row],[LEN]]*7.27,0)</f>
        <v>145</v>
      </c>
      <c r="M409" s="111">
        <v>15</v>
      </c>
      <c r="N409" s="128" t="str">
        <f t="shared" si="13"/>
        <v>_self</v>
      </c>
      <c r="O409" s="111">
        <f>LEN(Tableau18[[#This Row],[LABEL]])</f>
        <v>20</v>
      </c>
      <c r="P409" s="111">
        <v>15</v>
      </c>
      <c r="Q409" s="111" t="e">
        <f>ROUND(Tableau18[[#This Row],[LEN]]*#REF!+#REF!,0)</f>
        <v>#REF!</v>
      </c>
    </row>
    <row r="410" spans="1:17" s="97" customFormat="1" x14ac:dyDescent="0.25">
      <c r="A410" s="25" t="s">
        <v>482</v>
      </c>
      <c r="B410" s="26" t="s">
        <v>258</v>
      </c>
      <c r="C410" s="27" t="s">
        <v>1167</v>
      </c>
      <c r="D410" s="70" t="s">
        <v>486</v>
      </c>
      <c r="E410" s="27" t="s">
        <v>1085</v>
      </c>
      <c r="F410" s="27" t="s">
        <v>1084</v>
      </c>
      <c r="G410" s="70" t="s">
        <v>1977</v>
      </c>
      <c r="H410" s="70" t="s">
        <v>1131</v>
      </c>
      <c r="I410" s="27"/>
      <c r="J410" s="28" t="s">
        <v>708</v>
      </c>
      <c r="K410" s="28" t="str">
        <f t="shared" si="12"/>
        <v>_</v>
      </c>
      <c r="L410" s="109">
        <f>ROUND(Tableau18[[#This Row],[LEN]]*7.27,0)</f>
        <v>196</v>
      </c>
      <c r="M410" s="109">
        <v>15</v>
      </c>
      <c r="N410" s="127" t="str">
        <f t="shared" si="13"/>
        <v>_self</v>
      </c>
      <c r="O410" s="109">
        <f>LEN(Tableau18[[#This Row],[LABEL]])</f>
        <v>27</v>
      </c>
      <c r="P410" s="109">
        <v>15</v>
      </c>
      <c r="Q410" s="109" t="e">
        <f>ROUND(Tableau18[[#This Row],[LEN]]*#REF!+#REF!,0)</f>
        <v>#REF!</v>
      </c>
    </row>
    <row r="411" spans="1:17" s="97" customFormat="1" x14ac:dyDescent="0.25">
      <c r="A411" s="29" t="s">
        <v>1209</v>
      </c>
      <c r="B411" s="30" t="s">
        <v>482</v>
      </c>
      <c r="C411" s="31" t="s">
        <v>93</v>
      </c>
      <c r="D411" s="71" t="s">
        <v>1177</v>
      </c>
      <c r="E411" s="31" t="s">
        <v>1085</v>
      </c>
      <c r="F411" s="31" t="s">
        <v>1084</v>
      </c>
      <c r="G411" s="71" t="s">
        <v>166</v>
      </c>
      <c r="H411" s="71" t="s">
        <v>18</v>
      </c>
      <c r="I411" s="31"/>
      <c r="J411" s="32" t="s">
        <v>101</v>
      </c>
      <c r="K411" s="32" t="str">
        <f t="shared" si="12"/>
        <v>Documentation</v>
      </c>
      <c r="L411" s="111">
        <f>ROUND(Tableau18[[#This Row],[LEN]]*7.27,0)</f>
        <v>109</v>
      </c>
      <c r="M411" s="111">
        <v>15</v>
      </c>
      <c r="N411" s="128" t="str">
        <f t="shared" si="13"/>
        <v>_blank</v>
      </c>
      <c r="O411" s="111">
        <f>LEN(Tableau18[[#This Row],[LABEL]])</f>
        <v>15</v>
      </c>
      <c r="P411" s="111">
        <v>15</v>
      </c>
      <c r="Q411" s="111" t="e">
        <f>ROUND(Tableau18[[#This Row],[LEN]]*#REF!+#REF!,0)</f>
        <v>#REF!</v>
      </c>
    </row>
    <row r="412" spans="1:17" s="97" customFormat="1" x14ac:dyDescent="0.25">
      <c r="A412" s="29" t="s">
        <v>1210</v>
      </c>
      <c r="B412" s="30" t="s">
        <v>482</v>
      </c>
      <c r="C412" s="31" t="s">
        <v>94</v>
      </c>
      <c r="D412" s="71" t="s">
        <v>1177</v>
      </c>
      <c r="E412" s="31" t="s">
        <v>1085</v>
      </c>
      <c r="F412" s="31" t="s">
        <v>1084</v>
      </c>
      <c r="G412" s="71" t="s">
        <v>166</v>
      </c>
      <c r="H412" s="71" t="s">
        <v>18</v>
      </c>
      <c r="I412" s="31"/>
      <c r="J412" s="32" t="s">
        <v>102</v>
      </c>
      <c r="K412" s="32" t="str">
        <f t="shared" si="12"/>
        <v>Documentation</v>
      </c>
      <c r="L412" s="111">
        <f>ROUND(Tableau18[[#This Row],[LEN]]*7.27,0)</f>
        <v>58</v>
      </c>
      <c r="M412" s="111">
        <v>15</v>
      </c>
      <c r="N412" s="128" t="str">
        <f t="shared" si="13"/>
        <v>_blank</v>
      </c>
      <c r="O412" s="111">
        <f>LEN(Tableau18[[#This Row],[LABEL]])</f>
        <v>8</v>
      </c>
      <c r="P412" s="111">
        <v>15</v>
      </c>
      <c r="Q412" s="111" t="e">
        <f>ROUND(Tableau18[[#This Row],[LEN]]*#REF!+#REF!,0)</f>
        <v>#REF!</v>
      </c>
    </row>
    <row r="413" spans="1:17" s="273" customFormat="1" x14ac:dyDescent="0.25">
      <c r="A413" s="288" t="s">
        <v>259</v>
      </c>
      <c r="B413" s="289" t="s">
        <v>206</v>
      </c>
      <c r="C413" s="290" t="s">
        <v>10</v>
      </c>
      <c r="D413" s="291" t="s">
        <v>1177</v>
      </c>
      <c r="E413" s="290" t="s">
        <v>673</v>
      </c>
      <c r="F413" s="290" t="s">
        <v>1177</v>
      </c>
      <c r="G413" s="291" t="s">
        <v>166</v>
      </c>
      <c r="H413" s="291" t="str">
        <f>IFERROR(IF(SEARCH(".00.00.00.00.00",Tableau18[[#This Row],[name]],1)=7,"Division",""),"")</f>
        <v>Division</v>
      </c>
      <c r="I413" s="290"/>
      <c r="J413" s="292" t="s">
        <v>719</v>
      </c>
      <c r="K413" s="292" t="str">
        <f t="shared" si="12"/>
        <v>Documentation</v>
      </c>
      <c r="L413" s="293">
        <f>ROUND(Tableau18[[#This Row],[LEN]]*7.27,0)</f>
        <v>109</v>
      </c>
      <c r="M413" s="293">
        <v>15</v>
      </c>
      <c r="N413" s="294" t="str">
        <f t="shared" si="13"/>
        <v>_blank</v>
      </c>
      <c r="O413" s="293">
        <f>LEN(Tableau18[[#This Row],[LABEL]])</f>
        <v>15</v>
      </c>
      <c r="P413" s="293">
        <v>15</v>
      </c>
      <c r="Q413" s="293" t="e">
        <f>ROUND(Tableau18[[#This Row],[LEN]]*#REF!+#REF!,0)</f>
        <v>#REF!</v>
      </c>
    </row>
    <row r="414" spans="1:17" s="97" customFormat="1" x14ac:dyDescent="0.25">
      <c r="A414" s="25" t="s">
        <v>1226</v>
      </c>
      <c r="B414" s="26" t="s">
        <v>259</v>
      </c>
      <c r="C414" s="27" t="s">
        <v>1238</v>
      </c>
      <c r="D414" s="70" t="s">
        <v>1177</v>
      </c>
      <c r="E414" s="27" t="s">
        <v>673</v>
      </c>
      <c r="F414" s="27" t="s">
        <v>1177</v>
      </c>
      <c r="G414" s="70" t="s">
        <v>166</v>
      </c>
      <c r="H414" s="70" t="s">
        <v>655</v>
      </c>
      <c r="I414" s="27"/>
      <c r="J414" s="28" t="s">
        <v>708</v>
      </c>
      <c r="K414" s="28" t="str">
        <f t="shared" si="12"/>
        <v>_</v>
      </c>
      <c r="L414" s="109">
        <f>ROUND(Tableau18[[#This Row],[LEN]]*7.27,0)</f>
        <v>196</v>
      </c>
      <c r="M414" s="109">
        <v>15</v>
      </c>
      <c r="N414" s="127" t="str">
        <f t="shared" si="13"/>
        <v>_self</v>
      </c>
      <c r="O414" s="109">
        <f>LEN(Tableau18[[#This Row],[LABEL]])</f>
        <v>27</v>
      </c>
      <c r="P414" s="109">
        <v>15</v>
      </c>
      <c r="Q414" s="109" t="e">
        <f>ROUND(Tableau18[[#This Row],[LEN]]*#REF!+#REF!,0)</f>
        <v>#REF!</v>
      </c>
    </row>
    <row r="415" spans="1:17" s="97" customFormat="1" x14ac:dyDescent="0.25">
      <c r="A415" s="29" t="s">
        <v>1251</v>
      </c>
      <c r="B415" s="30" t="s">
        <v>1226</v>
      </c>
      <c r="C415" s="31" t="s">
        <v>1255</v>
      </c>
      <c r="D415" s="71" t="s">
        <v>1177</v>
      </c>
      <c r="E415" s="31" t="s">
        <v>673</v>
      </c>
      <c r="F415" s="31" t="s">
        <v>1177</v>
      </c>
      <c r="G415" s="71" t="s">
        <v>166</v>
      </c>
      <c r="H415" s="71" t="s">
        <v>654</v>
      </c>
      <c r="I415" s="31"/>
      <c r="J415" s="32" t="s">
        <v>708</v>
      </c>
      <c r="K415" s="32" t="str">
        <f t="shared" si="12"/>
        <v>_</v>
      </c>
      <c r="L415" s="111">
        <f>ROUND(Tableau18[[#This Row],[LEN]]*7.27,0)</f>
        <v>356</v>
      </c>
      <c r="M415" s="111">
        <v>15</v>
      </c>
      <c r="N415" s="128" t="str">
        <f t="shared" si="13"/>
        <v>_self</v>
      </c>
      <c r="O415" s="111">
        <f>LEN(Tableau18[[#This Row],[LABEL]])</f>
        <v>49</v>
      </c>
      <c r="P415" s="111">
        <v>15</v>
      </c>
      <c r="Q415" s="111" t="e">
        <f>ROUND(Tableau18[[#This Row],[LEN]]*#REF!+#REF!,0)</f>
        <v>#REF!</v>
      </c>
    </row>
    <row r="416" spans="1:17" s="97" customFormat="1" x14ac:dyDescent="0.25">
      <c r="A416" s="29" t="s">
        <v>1252</v>
      </c>
      <c r="B416" s="30" t="s">
        <v>1226</v>
      </c>
      <c r="C416" s="31" t="s">
        <v>1256</v>
      </c>
      <c r="D416" s="71" t="s">
        <v>1177</v>
      </c>
      <c r="E416" s="31" t="s">
        <v>673</v>
      </c>
      <c r="F416" s="31" t="s">
        <v>1177</v>
      </c>
      <c r="G416" s="71" t="s">
        <v>166</v>
      </c>
      <c r="H416" s="71" t="s">
        <v>656</v>
      </c>
      <c r="I416" s="31"/>
      <c r="J416" s="32" t="s">
        <v>708</v>
      </c>
      <c r="K416" s="32" t="str">
        <f t="shared" si="12"/>
        <v>_</v>
      </c>
      <c r="L416" s="111">
        <f>ROUND(Tableau18[[#This Row],[LEN]]*7.27,0)</f>
        <v>291</v>
      </c>
      <c r="M416" s="111">
        <v>15</v>
      </c>
      <c r="N416" s="128" t="str">
        <f t="shared" si="13"/>
        <v>_self</v>
      </c>
      <c r="O416" s="111">
        <f>LEN(Tableau18[[#This Row],[LABEL]])</f>
        <v>40</v>
      </c>
      <c r="P416" s="111">
        <v>15</v>
      </c>
      <c r="Q416" s="111" t="e">
        <f>ROUND(Tableau18[[#This Row],[LEN]]*#REF!+#REF!,0)</f>
        <v>#REF!</v>
      </c>
    </row>
    <row r="417" spans="1:17" s="97" customFormat="1" x14ac:dyDescent="0.25">
      <c r="A417" s="29" t="s">
        <v>1253</v>
      </c>
      <c r="B417" s="30" t="s">
        <v>1226</v>
      </c>
      <c r="C417" s="31" t="s">
        <v>1257</v>
      </c>
      <c r="D417" s="71" t="s">
        <v>1177</v>
      </c>
      <c r="E417" s="31" t="s">
        <v>673</v>
      </c>
      <c r="F417" s="31" t="s">
        <v>1177</v>
      </c>
      <c r="G417" s="71" t="s">
        <v>166</v>
      </c>
      <c r="H417" s="71" t="s">
        <v>654</v>
      </c>
      <c r="I417" s="31"/>
      <c r="J417" s="32" t="s">
        <v>708</v>
      </c>
      <c r="K417" s="32" t="str">
        <f t="shared" si="12"/>
        <v>_</v>
      </c>
      <c r="L417" s="111">
        <f>ROUND(Tableau18[[#This Row],[LEN]]*7.27,0)</f>
        <v>211</v>
      </c>
      <c r="M417" s="111">
        <v>15</v>
      </c>
      <c r="N417" s="128" t="str">
        <f t="shared" si="13"/>
        <v>_self</v>
      </c>
      <c r="O417" s="111">
        <f>LEN(Tableau18[[#This Row],[LABEL]])</f>
        <v>29</v>
      </c>
      <c r="P417" s="111">
        <v>15</v>
      </c>
      <c r="Q417" s="111" t="e">
        <f>ROUND(Tableau18[[#This Row],[LEN]]*#REF!+#REF!,0)</f>
        <v>#REF!</v>
      </c>
    </row>
    <row r="418" spans="1:17" s="97" customFormat="1" x14ac:dyDescent="0.25">
      <c r="A418" s="29" t="s">
        <v>1254</v>
      </c>
      <c r="B418" s="30" t="s">
        <v>1226</v>
      </c>
      <c r="C418" s="31" t="s">
        <v>1258</v>
      </c>
      <c r="D418" s="71" t="s">
        <v>1177</v>
      </c>
      <c r="E418" s="31" t="s">
        <v>673</v>
      </c>
      <c r="F418" s="31" t="s">
        <v>1177</v>
      </c>
      <c r="G418" s="71" t="s">
        <v>166</v>
      </c>
      <c r="H418" s="71" t="s">
        <v>18</v>
      </c>
      <c r="I418" s="31"/>
      <c r="J418" s="32" t="s">
        <v>102</v>
      </c>
      <c r="K418" s="32" t="str">
        <f t="shared" si="12"/>
        <v>Documentation</v>
      </c>
      <c r="L418" s="111">
        <f>ROUND(Tableau18[[#This Row],[LEN]]*7.27,0)</f>
        <v>327</v>
      </c>
      <c r="M418" s="111">
        <v>15</v>
      </c>
      <c r="N418" s="128" t="str">
        <f t="shared" si="13"/>
        <v>_blank</v>
      </c>
      <c r="O418" s="111">
        <f>LEN(Tableau18[[#This Row],[LABEL]])</f>
        <v>45</v>
      </c>
      <c r="P418" s="111">
        <v>15</v>
      </c>
      <c r="Q418" s="111" t="e">
        <f>ROUND(Tableau18[[#This Row],[LEN]]*#REF!+#REF!,0)</f>
        <v>#REF!</v>
      </c>
    </row>
    <row r="419" spans="1:17" s="97" customFormat="1" x14ac:dyDescent="0.25">
      <c r="A419" s="25" t="s">
        <v>1227</v>
      </c>
      <c r="B419" s="26" t="s">
        <v>259</v>
      </c>
      <c r="C419" s="27" t="s">
        <v>1239</v>
      </c>
      <c r="D419" s="70" t="s">
        <v>1177</v>
      </c>
      <c r="E419" s="27" t="s">
        <v>673</v>
      </c>
      <c r="F419" s="27" t="s">
        <v>1177</v>
      </c>
      <c r="G419" s="70" t="s">
        <v>166</v>
      </c>
      <c r="H419" s="70" t="s">
        <v>570</v>
      </c>
      <c r="I419" s="27"/>
      <c r="J419" s="28" t="s">
        <v>1240</v>
      </c>
      <c r="K419" s="28" t="str">
        <f t="shared" si="12"/>
        <v>Documentation</v>
      </c>
      <c r="L419" s="109">
        <f>ROUND(Tableau18[[#This Row],[LEN]]*7.27,0)</f>
        <v>276</v>
      </c>
      <c r="M419" s="109">
        <v>15</v>
      </c>
      <c r="N419" s="127" t="str">
        <f t="shared" si="13"/>
        <v>_blank</v>
      </c>
      <c r="O419" s="109">
        <f>LEN(Tableau18[[#This Row],[LABEL]])</f>
        <v>38</v>
      </c>
      <c r="P419" s="109">
        <v>15</v>
      </c>
      <c r="Q419" s="109" t="e">
        <f>ROUND(Tableau18[[#This Row],[LEN]]*#REF!+#REF!,0)</f>
        <v>#REF!</v>
      </c>
    </row>
    <row r="420" spans="1:17" s="97" customFormat="1" x14ac:dyDescent="0.25">
      <c r="A420" s="25" t="s">
        <v>1228</v>
      </c>
      <c r="B420" s="26" t="s">
        <v>259</v>
      </c>
      <c r="C420" s="27" t="s">
        <v>88</v>
      </c>
      <c r="D420" s="70" t="s">
        <v>1177</v>
      </c>
      <c r="E420" s="27" t="s">
        <v>667</v>
      </c>
      <c r="F420" s="27" t="s">
        <v>1218</v>
      </c>
      <c r="G420" s="70" t="s">
        <v>166</v>
      </c>
      <c r="H420" s="70" t="s">
        <v>570</v>
      </c>
      <c r="I420" s="27"/>
      <c r="J420" s="28" t="s">
        <v>708</v>
      </c>
      <c r="K420" s="28" t="str">
        <f t="shared" si="12"/>
        <v>_</v>
      </c>
      <c r="L420" s="109">
        <f>ROUND(Tableau18[[#This Row],[LEN]]*7.27,0)</f>
        <v>342</v>
      </c>
      <c r="M420" s="109">
        <v>15</v>
      </c>
      <c r="N420" s="127" t="str">
        <f t="shared" si="13"/>
        <v>_self</v>
      </c>
      <c r="O420" s="109">
        <f>LEN(Tableau18[[#This Row],[LABEL]])</f>
        <v>47</v>
      </c>
      <c r="P420" s="109">
        <v>15</v>
      </c>
      <c r="Q420" s="109" t="e">
        <f>ROUND(Tableau18[[#This Row],[LEN]]*#REF!+#REF!,0)</f>
        <v>#REF!</v>
      </c>
    </row>
    <row r="421" spans="1:17" s="97" customFormat="1" x14ac:dyDescent="0.25">
      <c r="A421" s="25" t="s">
        <v>1229</v>
      </c>
      <c r="B421" s="26" t="s">
        <v>259</v>
      </c>
      <c r="C421" s="27" t="s">
        <v>1241</v>
      </c>
      <c r="D421" s="70" t="s">
        <v>1177</v>
      </c>
      <c r="E421" s="27" t="s">
        <v>1242</v>
      </c>
      <c r="F421" s="27" t="s">
        <v>1248</v>
      </c>
      <c r="G421" s="70" t="s">
        <v>166</v>
      </c>
      <c r="H421" s="70" t="s">
        <v>656</v>
      </c>
      <c r="I421" s="27"/>
      <c r="J421" s="28" t="s">
        <v>708</v>
      </c>
      <c r="K421" s="28" t="str">
        <f t="shared" si="12"/>
        <v>_</v>
      </c>
      <c r="L421" s="109">
        <f>ROUND(Tableau18[[#This Row],[LEN]]*7.27,0)</f>
        <v>131</v>
      </c>
      <c r="M421" s="109">
        <v>15</v>
      </c>
      <c r="N421" s="127" t="str">
        <f t="shared" si="13"/>
        <v>_self</v>
      </c>
      <c r="O421" s="109">
        <f>LEN(Tableau18[[#This Row],[LABEL]])</f>
        <v>18</v>
      </c>
      <c r="P421" s="109">
        <v>15</v>
      </c>
      <c r="Q421" s="109" t="e">
        <f>ROUND(Tableau18[[#This Row],[LEN]]*#REF!+#REF!,0)</f>
        <v>#REF!</v>
      </c>
    </row>
    <row r="422" spans="1:17" s="97" customFormat="1" x14ac:dyDescent="0.25">
      <c r="A422" s="25" t="s">
        <v>1230</v>
      </c>
      <c r="B422" s="26" t="s">
        <v>259</v>
      </c>
      <c r="C422" s="27" t="s">
        <v>1243</v>
      </c>
      <c r="D422" s="70" t="s">
        <v>1177</v>
      </c>
      <c r="E422" s="27" t="s">
        <v>673</v>
      </c>
      <c r="F422" s="27" t="s">
        <v>1177</v>
      </c>
      <c r="G422" s="70" t="s">
        <v>166</v>
      </c>
      <c r="H422" s="70" t="s">
        <v>655</v>
      </c>
      <c r="I422" s="27"/>
      <c r="J422" s="28" t="s">
        <v>708</v>
      </c>
      <c r="K422" s="28" t="str">
        <f t="shared" si="12"/>
        <v>_</v>
      </c>
      <c r="L422" s="109">
        <f>ROUND(Tableau18[[#This Row],[LEN]]*7.27,0)</f>
        <v>218</v>
      </c>
      <c r="M422" s="109">
        <v>15</v>
      </c>
      <c r="N422" s="127" t="str">
        <f t="shared" si="13"/>
        <v>_self</v>
      </c>
      <c r="O422" s="109">
        <f>LEN(Tableau18[[#This Row],[LABEL]])</f>
        <v>30</v>
      </c>
      <c r="P422" s="109">
        <v>15</v>
      </c>
      <c r="Q422" s="109" t="e">
        <f>ROUND(Tableau18[[#This Row],[LEN]]*#REF!+#REF!,0)</f>
        <v>#REF!</v>
      </c>
    </row>
    <row r="423" spans="1:17" s="97" customFormat="1" x14ac:dyDescent="0.25">
      <c r="A423" s="29" t="s">
        <v>1259</v>
      </c>
      <c r="B423" s="30" t="s">
        <v>1230</v>
      </c>
      <c r="C423" s="31" t="s">
        <v>1263</v>
      </c>
      <c r="D423" s="71" t="s">
        <v>1177</v>
      </c>
      <c r="E423" s="31" t="s">
        <v>673</v>
      </c>
      <c r="F423" s="31" t="s">
        <v>1177</v>
      </c>
      <c r="G423" s="71" t="s">
        <v>166</v>
      </c>
      <c r="H423" s="71" t="s">
        <v>656</v>
      </c>
      <c r="I423" s="31"/>
      <c r="J423" s="32" t="s">
        <v>719</v>
      </c>
      <c r="K423" s="32" t="str">
        <f t="shared" si="12"/>
        <v>Documentation</v>
      </c>
      <c r="L423" s="111">
        <f>ROUND(Tableau18[[#This Row],[LEN]]*7.27,0)</f>
        <v>327</v>
      </c>
      <c r="M423" s="111">
        <v>15</v>
      </c>
      <c r="N423" s="128" t="str">
        <f t="shared" si="13"/>
        <v>_blank</v>
      </c>
      <c r="O423" s="111">
        <f>LEN(Tableau18[[#This Row],[LABEL]])</f>
        <v>45</v>
      </c>
      <c r="P423" s="111">
        <v>15</v>
      </c>
      <c r="Q423" s="111" t="e">
        <f>ROUND(Tableau18[[#This Row],[LEN]]*#REF!+#REF!,0)</f>
        <v>#REF!</v>
      </c>
    </row>
    <row r="424" spans="1:17" s="97" customFormat="1" x14ac:dyDescent="0.25">
      <c r="A424" s="29" t="s">
        <v>1260</v>
      </c>
      <c r="B424" s="30" t="s">
        <v>1230</v>
      </c>
      <c r="C424" s="31" t="s">
        <v>1264</v>
      </c>
      <c r="D424" s="71" t="s">
        <v>1177</v>
      </c>
      <c r="E424" s="31" t="s">
        <v>673</v>
      </c>
      <c r="F424" s="31" t="s">
        <v>1177</v>
      </c>
      <c r="G424" s="71" t="s">
        <v>166</v>
      </c>
      <c r="H424" s="71" t="s">
        <v>18</v>
      </c>
      <c r="I424" s="31"/>
      <c r="J424" s="32" t="s">
        <v>708</v>
      </c>
      <c r="K424" s="32" t="str">
        <f t="shared" si="12"/>
        <v>_</v>
      </c>
      <c r="L424" s="111">
        <f>ROUND(Tableau18[[#This Row],[LEN]]*7.27,0)</f>
        <v>262</v>
      </c>
      <c r="M424" s="111">
        <v>15</v>
      </c>
      <c r="N424" s="128" t="str">
        <f t="shared" si="13"/>
        <v>_self</v>
      </c>
      <c r="O424" s="111">
        <f>LEN(Tableau18[[#This Row],[LABEL]])</f>
        <v>36</v>
      </c>
      <c r="P424" s="111">
        <v>15</v>
      </c>
      <c r="Q424" s="111" t="e">
        <f>ROUND(Tableau18[[#This Row],[LEN]]*#REF!+#REF!,0)</f>
        <v>#REF!</v>
      </c>
    </row>
    <row r="425" spans="1:17" s="97" customFormat="1" x14ac:dyDescent="0.25">
      <c r="A425" s="29" t="s">
        <v>1261</v>
      </c>
      <c r="B425" s="30" t="s">
        <v>1230</v>
      </c>
      <c r="C425" s="31" t="s">
        <v>1265</v>
      </c>
      <c r="D425" s="71" t="s">
        <v>1177</v>
      </c>
      <c r="E425" s="31" t="s">
        <v>673</v>
      </c>
      <c r="F425" s="31" t="s">
        <v>1177</v>
      </c>
      <c r="G425" s="71" t="s">
        <v>166</v>
      </c>
      <c r="H425" s="71" t="s">
        <v>18</v>
      </c>
      <c r="I425" s="31"/>
      <c r="J425" s="32" t="s">
        <v>708</v>
      </c>
      <c r="K425" s="32" t="str">
        <f t="shared" si="12"/>
        <v>_</v>
      </c>
      <c r="L425" s="111">
        <f>ROUND(Tableau18[[#This Row],[LEN]]*7.27,0)</f>
        <v>218</v>
      </c>
      <c r="M425" s="111">
        <v>15</v>
      </c>
      <c r="N425" s="128" t="str">
        <f t="shared" si="13"/>
        <v>_self</v>
      </c>
      <c r="O425" s="111">
        <f>LEN(Tableau18[[#This Row],[LABEL]])</f>
        <v>30</v>
      </c>
      <c r="P425" s="111">
        <v>15</v>
      </c>
      <c r="Q425" s="111" t="e">
        <f>ROUND(Tableau18[[#This Row],[LEN]]*#REF!+#REF!,0)</f>
        <v>#REF!</v>
      </c>
    </row>
    <row r="426" spans="1:17" s="97" customFormat="1" x14ac:dyDescent="0.25">
      <c r="A426" s="29" t="s">
        <v>1262</v>
      </c>
      <c r="B426" s="30" t="s">
        <v>1230</v>
      </c>
      <c r="C426" s="31" t="s">
        <v>1266</v>
      </c>
      <c r="D426" s="71" t="s">
        <v>1177</v>
      </c>
      <c r="E426" s="31" t="s">
        <v>673</v>
      </c>
      <c r="F426" s="31" t="s">
        <v>1177</v>
      </c>
      <c r="G426" s="71" t="s">
        <v>166</v>
      </c>
      <c r="H426" s="71" t="s">
        <v>654</v>
      </c>
      <c r="I426" s="31"/>
      <c r="J426" s="32" t="s">
        <v>708</v>
      </c>
      <c r="K426" s="32" t="str">
        <f t="shared" si="12"/>
        <v>_</v>
      </c>
      <c r="L426" s="111">
        <f>ROUND(Tableau18[[#This Row],[LEN]]*7.27,0)</f>
        <v>291</v>
      </c>
      <c r="M426" s="111">
        <v>15</v>
      </c>
      <c r="N426" s="128" t="str">
        <f t="shared" si="13"/>
        <v>_self</v>
      </c>
      <c r="O426" s="111">
        <f>LEN(Tableau18[[#This Row],[LABEL]])</f>
        <v>40</v>
      </c>
      <c r="P426" s="111">
        <v>15</v>
      </c>
      <c r="Q426" s="111" t="e">
        <f>ROUND(Tableau18[[#This Row],[LEN]]*#REF!+#REF!,0)</f>
        <v>#REF!</v>
      </c>
    </row>
    <row r="427" spans="1:17" s="97" customFormat="1" x14ac:dyDescent="0.25">
      <c r="A427" s="25" t="s">
        <v>1231</v>
      </c>
      <c r="B427" s="26" t="s">
        <v>259</v>
      </c>
      <c r="C427" s="27" t="s">
        <v>1267</v>
      </c>
      <c r="D427" s="70" t="s">
        <v>1177</v>
      </c>
      <c r="E427" s="27" t="s">
        <v>673</v>
      </c>
      <c r="F427" s="27" t="s">
        <v>1249</v>
      </c>
      <c r="G427" s="70" t="s">
        <v>166</v>
      </c>
      <c r="H427" s="70" t="s">
        <v>655</v>
      </c>
      <c r="I427" s="27"/>
      <c r="J427" s="28" t="s">
        <v>708</v>
      </c>
      <c r="K427" s="28" t="str">
        <f t="shared" si="12"/>
        <v>_</v>
      </c>
      <c r="L427" s="109">
        <f>ROUND(Tableau18[[#This Row],[LEN]]*7.27,0)</f>
        <v>305</v>
      </c>
      <c r="M427" s="109">
        <v>15</v>
      </c>
      <c r="N427" s="127" t="str">
        <f t="shared" si="13"/>
        <v>_self</v>
      </c>
      <c r="O427" s="109">
        <f>LEN(Tableau18[[#This Row],[LABEL]])</f>
        <v>42</v>
      </c>
      <c r="P427" s="109">
        <v>15</v>
      </c>
      <c r="Q427" s="109" t="e">
        <f>ROUND(Tableau18[[#This Row],[LEN]]*#REF!+#REF!,0)</f>
        <v>#REF!</v>
      </c>
    </row>
    <row r="428" spans="1:17" s="97" customFormat="1" x14ac:dyDescent="0.25">
      <c r="A428" s="29" t="s">
        <v>1268</v>
      </c>
      <c r="B428" s="30" t="s">
        <v>1231</v>
      </c>
      <c r="C428" s="31" t="s">
        <v>1271</v>
      </c>
      <c r="D428" s="71" t="s">
        <v>1177</v>
      </c>
      <c r="E428" s="31" t="s">
        <v>673</v>
      </c>
      <c r="F428" s="31" t="s">
        <v>1249</v>
      </c>
      <c r="G428" s="71" t="s">
        <v>166</v>
      </c>
      <c r="H428" s="71" t="s">
        <v>570</v>
      </c>
      <c r="I428" s="31"/>
      <c r="J428" s="32" t="s">
        <v>708</v>
      </c>
      <c r="K428" s="32" t="str">
        <f t="shared" si="12"/>
        <v>_</v>
      </c>
      <c r="L428" s="111">
        <f>ROUND(Tableau18[[#This Row],[LEN]]*7.27,0)</f>
        <v>145</v>
      </c>
      <c r="M428" s="111">
        <v>15</v>
      </c>
      <c r="N428" s="128" t="str">
        <f t="shared" si="13"/>
        <v>_self</v>
      </c>
      <c r="O428" s="111">
        <f>LEN(Tableau18[[#This Row],[LABEL]])</f>
        <v>20</v>
      </c>
      <c r="P428" s="111">
        <v>15</v>
      </c>
      <c r="Q428" s="111" t="e">
        <f>ROUND(Tableau18[[#This Row],[LEN]]*#REF!+#REF!,0)</f>
        <v>#REF!</v>
      </c>
    </row>
    <row r="429" spans="1:17" s="97" customFormat="1" x14ac:dyDescent="0.25">
      <c r="A429" s="29" t="s">
        <v>1269</v>
      </c>
      <c r="B429" s="30" t="s">
        <v>1231</v>
      </c>
      <c r="C429" s="31" t="s">
        <v>1272</v>
      </c>
      <c r="D429" s="71" t="s">
        <v>1177</v>
      </c>
      <c r="E429" s="31" t="s">
        <v>673</v>
      </c>
      <c r="F429" s="31" t="s">
        <v>1249</v>
      </c>
      <c r="G429" s="71" t="s">
        <v>166</v>
      </c>
      <c r="H429" s="71" t="s">
        <v>570</v>
      </c>
      <c r="I429" s="31"/>
      <c r="J429" s="32" t="s">
        <v>708</v>
      </c>
      <c r="K429" s="32" t="str">
        <f t="shared" si="12"/>
        <v>_</v>
      </c>
      <c r="L429" s="111">
        <f>ROUND(Tableau18[[#This Row],[LEN]]*7.27,0)</f>
        <v>305</v>
      </c>
      <c r="M429" s="111">
        <v>15</v>
      </c>
      <c r="N429" s="128" t="str">
        <f t="shared" si="13"/>
        <v>_self</v>
      </c>
      <c r="O429" s="111">
        <f>LEN(Tableau18[[#This Row],[LABEL]])</f>
        <v>42</v>
      </c>
      <c r="P429" s="111">
        <v>15</v>
      </c>
      <c r="Q429" s="111" t="e">
        <f>ROUND(Tableau18[[#This Row],[LEN]]*#REF!+#REF!,0)</f>
        <v>#REF!</v>
      </c>
    </row>
    <row r="430" spans="1:17" s="97" customFormat="1" x14ac:dyDescent="0.25">
      <c r="A430" s="29" t="s">
        <v>1270</v>
      </c>
      <c r="B430" s="30" t="s">
        <v>1231</v>
      </c>
      <c r="C430" s="31" t="s">
        <v>1273</v>
      </c>
      <c r="D430" s="71" t="s">
        <v>1177</v>
      </c>
      <c r="E430" s="31" t="s">
        <v>673</v>
      </c>
      <c r="F430" s="31" t="s">
        <v>1249</v>
      </c>
      <c r="G430" s="71" t="s">
        <v>166</v>
      </c>
      <c r="H430" s="71" t="s">
        <v>570</v>
      </c>
      <c r="I430" s="31"/>
      <c r="J430" s="32" t="s">
        <v>708</v>
      </c>
      <c r="K430" s="32" t="str">
        <f t="shared" si="12"/>
        <v>_</v>
      </c>
      <c r="L430" s="111">
        <f>ROUND(Tableau18[[#This Row],[LEN]]*7.27,0)</f>
        <v>87</v>
      </c>
      <c r="M430" s="111">
        <v>15</v>
      </c>
      <c r="N430" s="128" t="str">
        <f t="shared" si="13"/>
        <v>_self</v>
      </c>
      <c r="O430" s="111">
        <f>LEN(Tableau18[[#This Row],[LABEL]])</f>
        <v>12</v>
      </c>
      <c r="P430" s="111">
        <v>15</v>
      </c>
      <c r="Q430" s="111" t="e">
        <f>ROUND(Tableau18[[#This Row],[LEN]]*#REF!+#REF!,0)</f>
        <v>#REF!</v>
      </c>
    </row>
    <row r="431" spans="1:17" s="97" customFormat="1" x14ac:dyDescent="0.25">
      <c r="A431" s="25" t="s">
        <v>1232</v>
      </c>
      <c r="B431" s="26" t="s">
        <v>259</v>
      </c>
      <c r="C431" s="27" t="s">
        <v>1244</v>
      </c>
      <c r="D431" s="70" t="s">
        <v>1177</v>
      </c>
      <c r="E431" s="27" t="s">
        <v>673</v>
      </c>
      <c r="F431" s="27" t="s">
        <v>1177</v>
      </c>
      <c r="G431" s="70" t="s">
        <v>166</v>
      </c>
      <c r="H431" s="70" t="s">
        <v>18</v>
      </c>
      <c r="I431" s="27"/>
      <c r="J431" s="28" t="s">
        <v>708</v>
      </c>
      <c r="K431" s="28" t="str">
        <f t="shared" si="12"/>
        <v>_</v>
      </c>
      <c r="L431" s="109">
        <f>ROUND(Tableau18[[#This Row],[LEN]]*7.27,0)</f>
        <v>247</v>
      </c>
      <c r="M431" s="109">
        <v>15</v>
      </c>
      <c r="N431" s="127" t="str">
        <f t="shared" si="13"/>
        <v>_self</v>
      </c>
      <c r="O431" s="109">
        <f>LEN(Tableau18[[#This Row],[LABEL]])</f>
        <v>34</v>
      </c>
      <c r="P431" s="109">
        <v>15</v>
      </c>
      <c r="Q431" s="109" t="e">
        <f>ROUND(Tableau18[[#This Row],[LEN]]*#REF!+#REF!,0)</f>
        <v>#REF!</v>
      </c>
    </row>
    <row r="432" spans="1:17" s="97" customFormat="1" x14ac:dyDescent="0.25">
      <c r="A432" s="25" t="s">
        <v>1233</v>
      </c>
      <c r="B432" s="26" t="s">
        <v>259</v>
      </c>
      <c r="C432" s="27" t="s">
        <v>1245</v>
      </c>
      <c r="D432" s="70" t="s">
        <v>1177</v>
      </c>
      <c r="E432" s="27" t="s">
        <v>673</v>
      </c>
      <c r="F432" s="27" t="s">
        <v>1177</v>
      </c>
      <c r="G432" s="70" t="s">
        <v>166</v>
      </c>
      <c r="H432" s="70" t="s">
        <v>570</v>
      </c>
      <c r="I432" s="27"/>
      <c r="J432" s="28" t="s">
        <v>708</v>
      </c>
      <c r="K432" s="28" t="str">
        <f t="shared" si="12"/>
        <v>_</v>
      </c>
      <c r="L432" s="109">
        <f>ROUND(Tableau18[[#This Row],[LEN]]*7.27,0)</f>
        <v>364</v>
      </c>
      <c r="M432" s="109">
        <v>15</v>
      </c>
      <c r="N432" s="127" t="str">
        <f t="shared" si="13"/>
        <v>_self</v>
      </c>
      <c r="O432" s="109">
        <f>LEN(Tableau18[[#This Row],[LABEL]])</f>
        <v>50</v>
      </c>
      <c r="P432" s="109">
        <v>15</v>
      </c>
      <c r="Q432" s="109" t="e">
        <f>ROUND(Tableau18[[#This Row],[LEN]]*#REF!+#REF!,0)</f>
        <v>#REF!</v>
      </c>
    </row>
    <row r="433" spans="1:17" s="97" customFormat="1" x14ac:dyDescent="0.25">
      <c r="A433" s="25" t="s">
        <v>1234</v>
      </c>
      <c r="B433" s="26" t="s">
        <v>259</v>
      </c>
      <c r="C433" s="27" t="s">
        <v>778</v>
      </c>
      <c r="D433" s="70" t="s">
        <v>1177</v>
      </c>
      <c r="E433" s="27" t="s">
        <v>673</v>
      </c>
      <c r="F433" s="27" t="s">
        <v>2000</v>
      </c>
      <c r="G433" s="70" t="s">
        <v>166</v>
      </c>
      <c r="H433" s="70" t="s">
        <v>17</v>
      </c>
      <c r="I433" s="27"/>
      <c r="J433" s="28" t="s">
        <v>708</v>
      </c>
      <c r="K433" s="28" t="str">
        <f t="shared" si="12"/>
        <v>_</v>
      </c>
      <c r="L433" s="109">
        <f>ROUND(Tableau18[[#This Row],[LEN]]*7.27,0)</f>
        <v>211</v>
      </c>
      <c r="M433" s="109">
        <v>15</v>
      </c>
      <c r="N433" s="127" t="str">
        <f t="shared" si="13"/>
        <v>_self</v>
      </c>
      <c r="O433" s="109">
        <f>LEN(Tableau18[[#This Row],[LABEL]])</f>
        <v>29</v>
      </c>
      <c r="P433" s="109">
        <v>15</v>
      </c>
      <c r="Q433" s="109" t="e">
        <f>ROUND(Tableau18[[#This Row],[LEN]]*#REF!+#REF!,0)</f>
        <v>#REF!</v>
      </c>
    </row>
    <row r="434" spans="1:17" s="97" customFormat="1" x14ac:dyDescent="0.25">
      <c r="A434" s="25" t="s">
        <v>1235</v>
      </c>
      <c r="B434" s="26" t="s">
        <v>259</v>
      </c>
      <c r="C434" s="27" t="s">
        <v>1246</v>
      </c>
      <c r="D434" s="70" t="s">
        <v>1177</v>
      </c>
      <c r="E434" s="27" t="s">
        <v>673</v>
      </c>
      <c r="F434" s="27" t="s">
        <v>667</v>
      </c>
      <c r="G434" s="70" t="s">
        <v>166</v>
      </c>
      <c r="H434" s="70" t="s">
        <v>655</v>
      </c>
      <c r="I434" s="27"/>
      <c r="J434" s="28" t="s">
        <v>708</v>
      </c>
      <c r="K434" s="28" t="str">
        <f t="shared" si="12"/>
        <v>_</v>
      </c>
      <c r="L434" s="109">
        <f>ROUND(Tableau18[[#This Row],[LEN]]*7.27,0)</f>
        <v>153</v>
      </c>
      <c r="M434" s="109">
        <v>15</v>
      </c>
      <c r="N434" s="127" t="str">
        <f t="shared" si="13"/>
        <v>_self</v>
      </c>
      <c r="O434" s="109">
        <f>LEN(Tableau18[[#This Row],[LABEL]])</f>
        <v>21</v>
      </c>
      <c r="P434" s="109">
        <v>15</v>
      </c>
      <c r="Q434" s="109" t="e">
        <f>ROUND(Tableau18[[#This Row],[LEN]]*#REF!+#REF!,0)</f>
        <v>#REF!</v>
      </c>
    </row>
    <row r="435" spans="1:17" s="97" customFormat="1" x14ac:dyDescent="0.25">
      <c r="A435" s="29" t="s">
        <v>1274</v>
      </c>
      <c r="B435" s="30" t="s">
        <v>1235</v>
      </c>
      <c r="C435" s="31" t="s">
        <v>1276</v>
      </c>
      <c r="D435" s="71" t="s">
        <v>1177</v>
      </c>
      <c r="E435" s="31" t="s">
        <v>673</v>
      </c>
      <c r="F435" s="31" t="s">
        <v>667</v>
      </c>
      <c r="G435" s="71" t="s">
        <v>166</v>
      </c>
      <c r="H435" s="71" t="s">
        <v>18</v>
      </c>
      <c r="I435" s="31"/>
      <c r="J435" s="32" t="s">
        <v>708</v>
      </c>
      <c r="K435" s="32" t="str">
        <f t="shared" si="12"/>
        <v>_</v>
      </c>
      <c r="L435" s="111">
        <f>ROUND(Tableau18[[#This Row],[LEN]]*7.27,0)</f>
        <v>131</v>
      </c>
      <c r="M435" s="111">
        <v>15</v>
      </c>
      <c r="N435" s="128" t="str">
        <f t="shared" si="13"/>
        <v>_self</v>
      </c>
      <c r="O435" s="111">
        <f>LEN(Tableau18[[#This Row],[LABEL]])</f>
        <v>18</v>
      </c>
      <c r="P435" s="111">
        <v>15</v>
      </c>
      <c r="Q435" s="111" t="e">
        <f>ROUND(Tableau18[[#This Row],[LEN]]*#REF!+#REF!,0)</f>
        <v>#REF!</v>
      </c>
    </row>
    <row r="436" spans="1:17" s="97" customFormat="1" x14ac:dyDescent="0.25">
      <c r="A436" s="29" t="s">
        <v>1275</v>
      </c>
      <c r="B436" s="30" t="s">
        <v>1235</v>
      </c>
      <c r="C436" s="31" t="s">
        <v>1277</v>
      </c>
      <c r="D436" s="71" t="s">
        <v>1177</v>
      </c>
      <c r="E436" s="31" t="s">
        <v>673</v>
      </c>
      <c r="F436" s="31" t="s">
        <v>667</v>
      </c>
      <c r="G436" s="71" t="s">
        <v>166</v>
      </c>
      <c r="H436" s="71" t="s">
        <v>18</v>
      </c>
      <c r="I436" s="31"/>
      <c r="J436" s="32" t="s">
        <v>708</v>
      </c>
      <c r="K436" s="32" t="str">
        <f t="shared" si="12"/>
        <v>_</v>
      </c>
      <c r="L436" s="111">
        <f>ROUND(Tableau18[[#This Row],[LEN]]*7.27,0)</f>
        <v>422</v>
      </c>
      <c r="M436" s="111">
        <v>15</v>
      </c>
      <c r="N436" s="128" t="str">
        <f t="shared" si="13"/>
        <v>_self</v>
      </c>
      <c r="O436" s="111">
        <f>LEN(Tableau18[[#This Row],[LABEL]])</f>
        <v>58</v>
      </c>
      <c r="P436" s="111">
        <v>15</v>
      </c>
      <c r="Q436" s="111" t="e">
        <f>ROUND(Tableau18[[#This Row],[LEN]]*#REF!+#REF!,0)</f>
        <v>#REF!</v>
      </c>
    </row>
    <row r="437" spans="1:17" s="97" customFormat="1" x14ac:dyDescent="0.25">
      <c r="A437" s="25" t="s">
        <v>1236</v>
      </c>
      <c r="B437" s="26" t="s">
        <v>259</v>
      </c>
      <c r="C437" s="27" t="s">
        <v>1247</v>
      </c>
      <c r="D437" s="70" t="s">
        <v>1250</v>
      </c>
      <c r="E437" s="27" t="s">
        <v>673</v>
      </c>
      <c r="F437" s="27" t="s">
        <v>667</v>
      </c>
      <c r="G437" s="70" t="s">
        <v>166</v>
      </c>
      <c r="H437" s="70" t="s">
        <v>656</v>
      </c>
      <c r="I437" s="27"/>
      <c r="J437" s="28" t="s">
        <v>708</v>
      </c>
      <c r="K437" s="28" t="str">
        <f t="shared" si="12"/>
        <v>_</v>
      </c>
      <c r="L437" s="109">
        <f>ROUND(Tableau18[[#This Row],[LEN]]*7.27,0)</f>
        <v>160</v>
      </c>
      <c r="M437" s="109">
        <v>15</v>
      </c>
      <c r="N437" s="127" t="str">
        <f t="shared" si="13"/>
        <v>_self</v>
      </c>
      <c r="O437" s="109">
        <f>LEN(Tableau18[[#This Row],[LABEL]])</f>
        <v>22</v>
      </c>
      <c r="P437" s="109">
        <v>15</v>
      </c>
      <c r="Q437" s="109" t="e">
        <f>ROUND(Tableau18[[#This Row],[LEN]]*#REF!+#REF!,0)</f>
        <v>#REF!</v>
      </c>
    </row>
    <row r="438" spans="1:17" s="97" customFormat="1" x14ac:dyDescent="0.25">
      <c r="A438" s="25" t="s">
        <v>1237</v>
      </c>
      <c r="B438" s="26" t="s">
        <v>259</v>
      </c>
      <c r="C438" s="27" t="s">
        <v>1167</v>
      </c>
      <c r="D438" s="70" t="s">
        <v>486</v>
      </c>
      <c r="E438" s="27" t="s">
        <v>1085</v>
      </c>
      <c r="F438" s="27" t="s">
        <v>1084</v>
      </c>
      <c r="G438" s="70" t="s">
        <v>1977</v>
      </c>
      <c r="H438" s="70" t="s">
        <v>1131</v>
      </c>
      <c r="I438" s="27"/>
      <c r="J438" s="28" t="s">
        <v>708</v>
      </c>
      <c r="K438" s="28" t="str">
        <f t="shared" si="12"/>
        <v>_</v>
      </c>
      <c r="L438" s="109">
        <f>ROUND(Tableau18[[#This Row],[LEN]]*7.27,0)</f>
        <v>196</v>
      </c>
      <c r="M438" s="109">
        <v>15</v>
      </c>
      <c r="N438" s="127" t="str">
        <f t="shared" si="13"/>
        <v>_self</v>
      </c>
      <c r="O438" s="109">
        <f>LEN(Tableau18[[#This Row],[LABEL]])</f>
        <v>27</v>
      </c>
      <c r="P438" s="109">
        <v>15</v>
      </c>
      <c r="Q438" s="109" t="e">
        <f>ROUND(Tableau18[[#This Row],[LEN]]*#REF!+#REF!,0)</f>
        <v>#REF!</v>
      </c>
    </row>
    <row r="439" spans="1:17" s="273" customFormat="1" x14ac:dyDescent="0.25">
      <c r="A439" s="288" t="s">
        <v>260</v>
      </c>
      <c r="B439" s="289" t="s">
        <v>206</v>
      </c>
      <c r="C439" s="290" t="s">
        <v>11</v>
      </c>
      <c r="D439" s="291" t="s">
        <v>1177</v>
      </c>
      <c r="E439" s="290" t="s">
        <v>674</v>
      </c>
      <c r="F439" s="290" t="s">
        <v>1177</v>
      </c>
      <c r="G439" s="291" t="s">
        <v>166</v>
      </c>
      <c r="H439" s="291" t="str">
        <f>IFERROR(IF(SEARCH(".00.00.00.00.00",Tableau18[[#This Row],[name]],1)=7,"Division",""),"")</f>
        <v>Division</v>
      </c>
      <c r="I439" s="290"/>
      <c r="J439" s="292" t="s">
        <v>720</v>
      </c>
      <c r="K439" s="292" t="str">
        <f t="shared" si="12"/>
        <v>Documentation</v>
      </c>
      <c r="L439" s="293">
        <f>ROUND(Tableau18[[#This Row],[LEN]]*7.27,0)</f>
        <v>51</v>
      </c>
      <c r="M439" s="293">
        <v>15</v>
      </c>
      <c r="N439" s="294" t="str">
        <f t="shared" si="13"/>
        <v>_blank</v>
      </c>
      <c r="O439" s="293">
        <f>LEN(Tableau18[[#This Row],[LABEL]])</f>
        <v>7</v>
      </c>
      <c r="P439" s="293">
        <v>15</v>
      </c>
      <c r="Q439" s="293" t="e">
        <f>ROUND(Tableau18[[#This Row],[LEN]]*#REF!+#REF!,0)</f>
        <v>#REF!</v>
      </c>
    </row>
    <row r="440" spans="1:17" s="97" customFormat="1" x14ac:dyDescent="0.25">
      <c r="A440" s="25" t="s">
        <v>1278</v>
      </c>
      <c r="B440" s="26" t="s">
        <v>260</v>
      </c>
      <c r="C440" s="27" t="s">
        <v>88</v>
      </c>
      <c r="D440" s="70" t="s">
        <v>1177</v>
      </c>
      <c r="E440" s="27" t="s">
        <v>667</v>
      </c>
      <c r="F440" s="27" t="s">
        <v>1218</v>
      </c>
      <c r="G440" s="70" t="s">
        <v>166</v>
      </c>
      <c r="H440" s="70" t="s">
        <v>570</v>
      </c>
      <c r="I440" s="27"/>
      <c r="J440" s="28" t="s">
        <v>708</v>
      </c>
      <c r="K440" s="28" t="str">
        <f t="shared" si="12"/>
        <v>_</v>
      </c>
      <c r="L440" s="109">
        <f>ROUND(Tableau18[[#This Row],[LEN]]*7.27,0)</f>
        <v>342</v>
      </c>
      <c r="M440" s="109">
        <v>15</v>
      </c>
      <c r="N440" s="127" t="str">
        <f t="shared" si="13"/>
        <v>_self</v>
      </c>
      <c r="O440" s="109">
        <f>LEN(Tableau18[[#This Row],[LABEL]])</f>
        <v>47</v>
      </c>
      <c r="P440" s="109">
        <v>15</v>
      </c>
      <c r="Q440" s="109" t="e">
        <f>ROUND(Tableau18[[#This Row],[LEN]]*#REF!+#REF!,0)</f>
        <v>#REF!</v>
      </c>
    </row>
    <row r="441" spans="1:17" s="97" customFormat="1" x14ac:dyDescent="0.25">
      <c r="A441" s="25" t="s">
        <v>1279</v>
      </c>
      <c r="B441" s="26" t="s">
        <v>260</v>
      </c>
      <c r="C441" s="27" t="s">
        <v>484</v>
      </c>
      <c r="D441" s="70" t="s">
        <v>1177</v>
      </c>
      <c r="E441" s="27" t="s">
        <v>672</v>
      </c>
      <c r="F441" s="27" t="s">
        <v>1285</v>
      </c>
      <c r="G441" s="70" t="s">
        <v>166</v>
      </c>
      <c r="H441" s="70" t="s">
        <v>655</v>
      </c>
      <c r="I441" s="27"/>
      <c r="J441" s="28" t="s">
        <v>727</v>
      </c>
      <c r="K441" s="28" t="str">
        <f t="shared" si="12"/>
        <v>Documentation</v>
      </c>
      <c r="L441" s="109">
        <f>ROUND(Tableau18[[#This Row],[LEN]]*7.27,0)</f>
        <v>80</v>
      </c>
      <c r="M441" s="109">
        <v>15</v>
      </c>
      <c r="N441" s="127" t="str">
        <f t="shared" si="13"/>
        <v>_blank</v>
      </c>
      <c r="O441" s="109">
        <f>LEN(Tableau18[[#This Row],[LABEL]])</f>
        <v>11</v>
      </c>
      <c r="P441" s="109">
        <v>15</v>
      </c>
      <c r="Q441" s="109" t="e">
        <f>ROUND(Tableau18[[#This Row],[LEN]]*#REF!+#REF!,0)</f>
        <v>#REF!</v>
      </c>
    </row>
    <row r="442" spans="1:17" s="97" customFormat="1" x14ac:dyDescent="0.25">
      <c r="A442" s="29" t="s">
        <v>1288</v>
      </c>
      <c r="B442" s="30" t="s">
        <v>1279</v>
      </c>
      <c r="C442" s="31" t="s">
        <v>505</v>
      </c>
      <c r="D442" s="71" t="s">
        <v>1177</v>
      </c>
      <c r="E442" s="31" t="s">
        <v>672</v>
      </c>
      <c r="F442" s="31" t="s">
        <v>1285</v>
      </c>
      <c r="G442" s="71" t="s">
        <v>166</v>
      </c>
      <c r="H442" s="71" t="s">
        <v>18</v>
      </c>
      <c r="I442" s="31"/>
      <c r="J442" s="32" t="s">
        <v>705</v>
      </c>
      <c r="K442" s="32" t="str">
        <f t="shared" si="12"/>
        <v>Documentation</v>
      </c>
      <c r="L442" s="111">
        <f>ROUND(Tableau18[[#This Row],[LEN]]*7.27,0)</f>
        <v>73</v>
      </c>
      <c r="M442" s="111">
        <v>15</v>
      </c>
      <c r="N442" s="128" t="str">
        <f t="shared" si="13"/>
        <v>_blank</v>
      </c>
      <c r="O442" s="111">
        <f>LEN(Tableau18[[#This Row],[LABEL]])</f>
        <v>10</v>
      </c>
      <c r="P442" s="111">
        <v>15</v>
      </c>
      <c r="Q442" s="111" t="e">
        <f>ROUND(Tableau18[[#This Row],[LEN]]*#REF!+#REF!,0)</f>
        <v>#REF!</v>
      </c>
    </row>
    <row r="443" spans="1:17" s="97" customFormat="1" x14ac:dyDescent="0.25">
      <c r="A443" s="29" t="s">
        <v>1289</v>
      </c>
      <c r="B443" s="30" t="s">
        <v>1279</v>
      </c>
      <c r="C443" s="31" t="s">
        <v>1284</v>
      </c>
      <c r="D443" s="71" t="s">
        <v>1177</v>
      </c>
      <c r="E443" s="31" t="s">
        <v>672</v>
      </c>
      <c r="F443" s="31" t="s">
        <v>1285</v>
      </c>
      <c r="G443" s="71" t="s">
        <v>166</v>
      </c>
      <c r="H443" s="71" t="s">
        <v>18</v>
      </c>
      <c r="I443" s="31"/>
      <c r="J443" s="32" t="s">
        <v>705</v>
      </c>
      <c r="K443" s="32" t="str">
        <f t="shared" si="12"/>
        <v>Documentation</v>
      </c>
      <c r="L443" s="111">
        <f>ROUND(Tableau18[[#This Row],[LEN]]*7.27,0)</f>
        <v>153</v>
      </c>
      <c r="M443" s="111">
        <v>15</v>
      </c>
      <c r="N443" s="128" t="str">
        <f t="shared" si="13"/>
        <v>_blank</v>
      </c>
      <c r="O443" s="111">
        <f>LEN(Tableau18[[#This Row],[LABEL]])</f>
        <v>21</v>
      </c>
      <c r="P443" s="111">
        <v>15</v>
      </c>
      <c r="Q443" s="111" t="e">
        <f>ROUND(Tableau18[[#This Row],[LEN]]*#REF!+#REF!,0)</f>
        <v>#REF!</v>
      </c>
    </row>
    <row r="444" spans="1:17" s="97" customFormat="1" x14ac:dyDescent="0.25">
      <c r="A444" s="29" t="s">
        <v>2092</v>
      </c>
      <c r="B444" s="30" t="s">
        <v>1279</v>
      </c>
      <c r="C444" s="31" t="s">
        <v>2093</v>
      </c>
      <c r="D444" s="71" t="s">
        <v>1177</v>
      </c>
      <c r="E444" s="31" t="s">
        <v>674</v>
      </c>
      <c r="F444" s="31" t="s">
        <v>674</v>
      </c>
      <c r="G444" s="71" t="s">
        <v>166</v>
      </c>
      <c r="H444" s="71" t="s">
        <v>18</v>
      </c>
      <c r="I444" s="31"/>
      <c r="J444" s="32" t="s">
        <v>705</v>
      </c>
      <c r="K444" s="32" t="str">
        <f t="shared" si="12"/>
        <v>Documentation</v>
      </c>
      <c r="L444" s="111">
        <v>153</v>
      </c>
      <c r="M444" s="111">
        <v>15</v>
      </c>
      <c r="N444" s="128" t="str">
        <f t="shared" si="13"/>
        <v>_blank</v>
      </c>
      <c r="O444" s="111">
        <v>21</v>
      </c>
      <c r="P444" s="111">
        <v>15</v>
      </c>
      <c r="Q444" s="111">
        <v>-163</v>
      </c>
    </row>
    <row r="445" spans="1:17" s="97" customFormat="1" x14ac:dyDescent="0.25">
      <c r="A445" s="25" t="s">
        <v>1280</v>
      </c>
      <c r="B445" s="26" t="s">
        <v>260</v>
      </c>
      <c r="C445" s="27" t="s">
        <v>2094</v>
      </c>
      <c r="D445" s="70" t="s">
        <v>1177</v>
      </c>
      <c r="E445" s="27" t="s">
        <v>674</v>
      </c>
      <c r="F445" s="27" t="s">
        <v>1177</v>
      </c>
      <c r="G445" s="70" t="s">
        <v>166</v>
      </c>
      <c r="H445" s="70" t="s">
        <v>655</v>
      </c>
      <c r="I445" s="27"/>
      <c r="J445" s="28" t="s">
        <v>708</v>
      </c>
      <c r="K445" s="28" t="str">
        <f t="shared" si="12"/>
        <v>_</v>
      </c>
      <c r="L445" s="109">
        <f>ROUND(Tableau18[[#This Row],[LEN]]*7.27,0)</f>
        <v>422</v>
      </c>
      <c r="M445" s="109">
        <v>15</v>
      </c>
      <c r="N445" s="127" t="str">
        <f t="shared" si="13"/>
        <v>_self</v>
      </c>
      <c r="O445" s="109">
        <f>LEN(Tableau18[[#This Row],[LABEL]])</f>
        <v>58</v>
      </c>
      <c r="P445" s="109">
        <v>15</v>
      </c>
      <c r="Q445" s="109" t="e">
        <f>ROUND(Tableau18[[#This Row],[LEN]]*#REF!+#REF!,0)</f>
        <v>#REF!</v>
      </c>
    </row>
    <row r="446" spans="1:17" s="97" customFormat="1" x14ac:dyDescent="0.25">
      <c r="A446" s="29" t="s">
        <v>1290</v>
      </c>
      <c r="B446" s="30" t="s">
        <v>1280</v>
      </c>
      <c r="C446" s="31" t="s">
        <v>1293</v>
      </c>
      <c r="D446" s="71" t="s">
        <v>1177</v>
      </c>
      <c r="E446" s="31" t="s">
        <v>674</v>
      </c>
      <c r="F446" s="31" t="s">
        <v>1177</v>
      </c>
      <c r="G446" s="71" t="s">
        <v>166</v>
      </c>
      <c r="H446" s="71" t="s">
        <v>654</v>
      </c>
      <c r="I446" s="31"/>
      <c r="J446" s="32" t="s">
        <v>708</v>
      </c>
      <c r="K446" s="32" t="str">
        <f t="shared" si="12"/>
        <v>_</v>
      </c>
      <c r="L446" s="111">
        <f>ROUND(Tableau18[[#This Row],[LEN]]*7.27,0)</f>
        <v>116</v>
      </c>
      <c r="M446" s="111">
        <v>15</v>
      </c>
      <c r="N446" s="128" t="str">
        <f t="shared" si="13"/>
        <v>_self</v>
      </c>
      <c r="O446" s="111">
        <f>LEN(Tableau18[[#This Row],[LABEL]])</f>
        <v>16</v>
      </c>
      <c r="P446" s="111">
        <v>15</v>
      </c>
      <c r="Q446" s="111" t="e">
        <f>ROUND(Tableau18[[#This Row],[LEN]]*#REF!+#REF!,0)</f>
        <v>#REF!</v>
      </c>
    </row>
    <row r="447" spans="1:17" s="97" customFormat="1" x14ac:dyDescent="0.25">
      <c r="A447" s="29" t="s">
        <v>1291</v>
      </c>
      <c r="B447" s="30" t="s">
        <v>1280</v>
      </c>
      <c r="C447" s="31" t="s">
        <v>1294</v>
      </c>
      <c r="D447" s="71" t="s">
        <v>1177</v>
      </c>
      <c r="E447" s="31" t="s">
        <v>674</v>
      </c>
      <c r="F447" s="31" t="s">
        <v>1177</v>
      </c>
      <c r="G447" s="71" t="s">
        <v>166</v>
      </c>
      <c r="H447" s="71" t="s">
        <v>654</v>
      </c>
      <c r="I447" s="31"/>
      <c r="J447" s="32" t="s">
        <v>708</v>
      </c>
      <c r="K447" s="32" t="str">
        <f t="shared" si="12"/>
        <v>_</v>
      </c>
      <c r="L447" s="111">
        <f>ROUND(Tableau18[[#This Row],[LEN]]*7.27,0)</f>
        <v>87</v>
      </c>
      <c r="M447" s="111">
        <v>15</v>
      </c>
      <c r="N447" s="128" t="str">
        <f t="shared" si="13"/>
        <v>_self</v>
      </c>
      <c r="O447" s="111">
        <f>LEN(Tableau18[[#This Row],[LABEL]])</f>
        <v>12</v>
      </c>
      <c r="P447" s="111">
        <v>15</v>
      </c>
      <c r="Q447" s="111" t="e">
        <f>ROUND(Tableau18[[#This Row],[LEN]]*#REF!+#REF!,0)</f>
        <v>#REF!</v>
      </c>
    </row>
    <row r="448" spans="1:17" s="97" customFormat="1" x14ac:dyDescent="0.25">
      <c r="A448" s="29" t="s">
        <v>1292</v>
      </c>
      <c r="B448" s="30" t="s">
        <v>1280</v>
      </c>
      <c r="C448" s="31" t="s">
        <v>571</v>
      </c>
      <c r="D448" s="71" t="s">
        <v>1177</v>
      </c>
      <c r="E448" s="31" t="s">
        <v>674</v>
      </c>
      <c r="F448" s="31" t="s">
        <v>1177</v>
      </c>
      <c r="G448" s="71" t="s">
        <v>166</v>
      </c>
      <c r="H448" s="71" t="s">
        <v>654</v>
      </c>
      <c r="I448" s="31"/>
      <c r="J448" s="32" t="s">
        <v>708</v>
      </c>
      <c r="K448" s="32" t="str">
        <f t="shared" si="12"/>
        <v>_</v>
      </c>
      <c r="L448" s="111">
        <f>ROUND(Tableau18[[#This Row],[LEN]]*7.27,0)</f>
        <v>44</v>
      </c>
      <c r="M448" s="111">
        <v>15</v>
      </c>
      <c r="N448" s="128" t="str">
        <f t="shared" si="13"/>
        <v>_self</v>
      </c>
      <c r="O448" s="111">
        <f>LEN(Tableau18[[#This Row],[LABEL]])</f>
        <v>6</v>
      </c>
      <c r="P448" s="111">
        <v>15</v>
      </c>
      <c r="Q448" s="111" t="e">
        <f>ROUND(Tableau18[[#This Row],[LEN]]*#REF!+#REF!,0)</f>
        <v>#REF!</v>
      </c>
    </row>
    <row r="449" spans="1:17" s="97" customFormat="1" x14ac:dyDescent="0.25">
      <c r="A449" s="29" t="s">
        <v>2095</v>
      </c>
      <c r="B449" s="30" t="s">
        <v>1280</v>
      </c>
      <c r="C449" s="31" t="s">
        <v>1295</v>
      </c>
      <c r="D449" s="71" t="s">
        <v>1177</v>
      </c>
      <c r="E449" s="31" t="s">
        <v>674</v>
      </c>
      <c r="F449" s="31" t="s">
        <v>1177</v>
      </c>
      <c r="G449" s="71" t="s">
        <v>166</v>
      </c>
      <c r="H449" s="71" t="s">
        <v>654</v>
      </c>
      <c r="I449" s="31"/>
      <c r="J449" s="32" t="s">
        <v>708</v>
      </c>
      <c r="K449" s="32" t="str">
        <f t="shared" si="12"/>
        <v>_</v>
      </c>
      <c r="L449" s="111">
        <f>ROUND(Tableau18[[#This Row],[LEN]]*7.27,0)</f>
        <v>145</v>
      </c>
      <c r="M449" s="111">
        <v>15</v>
      </c>
      <c r="N449" s="128" t="str">
        <f t="shared" si="13"/>
        <v>_self</v>
      </c>
      <c r="O449" s="111">
        <f>LEN(Tableau18[[#This Row],[LABEL]])</f>
        <v>20</v>
      </c>
      <c r="P449" s="111">
        <v>15</v>
      </c>
      <c r="Q449" s="111" t="e">
        <f>ROUND(Tableau18[[#This Row],[LEN]]*#REF!+#REF!,0)</f>
        <v>#REF!</v>
      </c>
    </row>
    <row r="450" spans="1:17" s="97" customFormat="1" x14ac:dyDescent="0.25">
      <c r="A450" s="25" t="s">
        <v>1281</v>
      </c>
      <c r="B450" s="26" t="s">
        <v>260</v>
      </c>
      <c r="C450" s="27" t="s">
        <v>1287</v>
      </c>
      <c r="D450" s="70" t="s">
        <v>1177</v>
      </c>
      <c r="E450" s="27" t="s">
        <v>674</v>
      </c>
      <c r="F450" s="27" t="s">
        <v>678</v>
      </c>
      <c r="G450" s="70" t="s">
        <v>166</v>
      </c>
      <c r="H450" s="70" t="s">
        <v>655</v>
      </c>
      <c r="I450" s="27"/>
      <c r="J450" s="28" t="s">
        <v>708</v>
      </c>
      <c r="K450" s="28" t="str">
        <f t="shared" ref="K450:K513" si="14">IF(J450="javascript:void(0)","_","Documentation")</f>
        <v>_</v>
      </c>
      <c r="L450" s="109">
        <f>ROUND(Tableau18[[#This Row],[LEN]]*7.27,0)</f>
        <v>320</v>
      </c>
      <c r="M450" s="109">
        <v>15</v>
      </c>
      <c r="N450" s="127" t="str">
        <f t="shared" si="13"/>
        <v>_self</v>
      </c>
      <c r="O450" s="109">
        <f>LEN(Tableau18[[#This Row],[LABEL]])</f>
        <v>44</v>
      </c>
      <c r="P450" s="109">
        <v>15</v>
      </c>
      <c r="Q450" s="109" t="e">
        <f>ROUND(Tableau18[[#This Row],[LEN]]*#REF!+#REF!,0)</f>
        <v>#REF!</v>
      </c>
    </row>
    <row r="451" spans="1:17" s="97" customFormat="1" x14ac:dyDescent="0.25">
      <c r="A451" s="29" t="s">
        <v>1296</v>
      </c>
      <c r="B451" s="30" t="s">
        <v>1281</v>
      </c>
      <c r="C451" s="31" t="s">
        <v>1298</v>
      </c>
      <c r="D451" s="71" t="s">
        <v>1177</v>
      </c>
      <c r="E451" s="31" t="s">
        <v>674</v>
      </c>
      <c r="F451" s="31" t="s">
        <v>678</v>
      </c>
      <c r="G451" s="71" t="s">
        <v>166</v>
      </c>
      <c r="H451" s="71" t="s">
        <v>654</v>
      </c>
      <c r="I451" s="31"/>
      <c r="J451" s="32" t="s">
        <v>708</v>
      </c>
      <c r="K451" s="32" t="str">
        <f t="shared" si="14"/>
        <v>_</v>
      </c>
      <c r="L451" s="111">
        <f>ROUND(Tableau18[[#This Row],[LEN]]*7.27,0)</f>
        <v>284</v>
      </c>
      <c r="M451" s="111">
        <v>15</v>
      </c>
      <c r="N451" s="128" t="str">
        <f t="shared" ref="N451:N514" si="15">IF(J451="javascript:void(0)","_self","_blank")</f>
        <v>_self</v>
      </c>
      <c r="O451" s="111">
        <f>LEN(Tableau18[[#This Row],[LABEL]])</f>
        <v>39</v>
      </c>
      <c r="P451" s="111">
        <v>15</v>
      </c>
      <c r="Q451" s="111" t="e">
        <f>ROUND(Tableau18[[#This Row],[LEN]]*#REF!+#REF!,0)</f>
        <v>#REF!</v>
      </c>
    </row>
    <row r="452" spans="1:17" s="97" customFormat="1" x14ac:dyDescent="0.25">
      <c r="A452" s="29" t="s">
        <v>1297</v>
      </c>
      <c r="B452" s="30" t="s">
        <v>1281</v>
      </c>
      <c r="C452" s="31" t="s">
        <v>1299</v>
      </c>
      <c r="D452" s="71" t="s">
        <v>1177</v>
      </c>
      <c r="E452" s="31" t="s">
        <v>674</v>
      </c>
      <c r="F452" s="31" t="s">
        <v>678</v>
      </c>
      <c r="G452" s="71" t="s">
        <v>166</v>
      </c>
      <c r="H452" s="71" t="s">
        <v>654</v>
      </c>
      <c r="I452" s="31"/>
      <c r="J452" s="32" t="s">
        <v>708</v>
      </c>
      <c r="K452" s="32" t="str">
        <f t="shared" si="14"/>
        <v>_</v>
      </c>
      <c r="L452" s="111">
        <f>ROUND(Tableau18[[#This Row],[LEN]]*7.27,0)</f>
        <v>124</v>
      </c>
      <c r="M452" s="111">
        <v>15</v>
      </c>
      <c r="N452" s="128" t="str">
        <f t="shared" si="15"/>
        <v>_self</v>
      </c>
      <c r="O452" s="111">
        <f>LEN(Tableau18[[#This Row],[LABEL]])</f>
        <v>17</v>
      </c>
      <c r="P452" s="111">
        <v>15</v>
      </c>
      <c r="Q452" s="111" t="e">
        <f>ROUND(Tableau18[[#This Row],[LEN]]*#REF!+#REF!,0)</f>
        <v>#REF!</v>
      </c>
    </row>
    <row r="453" spans="1:17" s="97" customFormat="1" x14ac:dyDescent="0.25">
      <c r="A453" s="25" t="s">
        <v>1282</v>
      </c>
      <c r="B453" s="26" t="s">
        <v>260</v>
      </c>
      <c r="C453" s="27" t="s">
        <v>2090</v>
      </c>
      <c r="D453" s="70" t="s">
        <v>1177</v>
      </c>
      <c r="E453" s="27" t="s">
        <v>667</v>
      </c>
      <c r="F453" s="27" t="s">
        <v>1133</v>
      </c>
      <c r="G453" s="70" t="s">
        <v>166</v>
      </c>
      <c r="H453" s="70" t="s">
        <v>18</v>
      </c>
      <c r="I453" s="27"/>
      <c r="J453" s="28" t="s">
        <v>102</v>
      </c>
      <c r="K453" s="28" t="str">
        <f t="shared" si="14"/>
        <v>Documentation</v>
      </c>
      <c r="L453" s="109">
        <f>ROUND(Tableau18[[#This Row],[LEN]]*7.27,0)</f>
        <v>153</v>
      </c>
      <c r="M453" s="109">
        <v>15</v>
      </c>
      <c r="N453" s="127" t="str">
        <f t="shared" si="15"/>
        <v>_blank</v>
      </c>
      <c r="O453" s="109">
        <f>LEN(Tableau18[[#This Row],[LABEL]])</f>
        <v>21</v>
      </c>
      <c r="P453" s="109">
        <v>15</v>
      </c>
      <c r="Q453" s="109" t="e">
        <f>ROUND(Tableau18[[#This Row],[LEN]]*#REF!+#REF!,0)</f>
        <v>#REF!</v>
      </c>
    </row>
    <row r="454" spans="1:17" s="97" customFormat="1" x14ac:dyDescent="0.25">
      <c r="A454" s="25" t="s">
        <v>1283</v>
      </c>
      <c r="B454" s="26" t="s">
        <v>260</v>
      </c>
      <c r="C454" s="27" t="s">
        <v>1167</v>
      </c>
      <c r="D454" s="70" t="s">
        <v>486</v>
      </c>
      <c r="E454" s="27" t="s">
        <v>1085</v>
      </c>
      <c r="F454" s="27" t="s">
        <v>1084</v>
      </c>
      <c r="G454" s="70" t="s">
        <v>1977</v>
      </c>
      <c r="H454" s="70" t="s">
        <v>1131</v>
      </c>
      <c r="I454" s="27"/>
      <c r="J454" s="28" t="s">
        <v>708</v>
      </c>
      <c r="K454" s="28" t="str">
        <f t="shared" si="14"/>
        <v>_</v>
      </c>
      <c r="L454" s="109">
        <f>ROUND(Tableau18[[#This Row],[LEN]]*7.27,0)</f>
        <v>196</v>
      </c>
      <c r="M454" s="109">
        <v>15</v>
      </c>
      <c r="N454" s="127" t="str">
        <f t="shared" si="15"/>
        <v>_self</v>
      </c>
      <c r="O454" s="109">
        <f>LEN(Tableau18[[#This Row],[LABEL]])</f>
        <v>27</v>
      </c>
      <c r="P454" s="109">
        <v>15</v>
      </c>
      <c r="Q454" s="109" t="e">
        <f>ROUND(Tableau18[[#This Row],[LEN]]*#REF!+#REF!,0)</f>
        <v>#REF!</v>
      </c>
    </row>
    <row r="455" spans="1:17" s="97" customFormat="1" x14ac:dyDescent="0.25">
      <c r="A455" s="29" t="s">
        <v>1300</v>
      </c>
      <c r="B455" s="30" t="s">
        <v>1283</v>
      </c>
      <c r="C455" s="31" t="s">
        <v>93</v>
      </c>
      <c r="D455" s="71" t="s">
        <v>1177</v>
      </c>
      <c r="E455" s="31" t="s">
        <v>1085</v>
      </c>
      <c r="F455" s="31" t="s">
        <v>1084</v>
      </c>
      <c r="G455" s="71" t="s">
        <v>166</v>
      </c>
      <c r="H455" s="71" t="s">
        <v>18</v>
      </c>
      <c r="I455" s="31"/>
      <c r="J455" s="32" t="s">
        <v>101</v>
      </c>
      <c r="K455" s="32" t="str">
        <f t="shared" si="14"/>
        <v>Documentation</v>
      </c>
      <c r="L455" s="111">
        <f>ROUND(Tableau18[[#This Row],[LEN]]*7.27,0)</f>
        <v>109</v>
      </c>
      <c r="M455" s="111">
        <v>15</v>
      </c>
      <c r="N455" s="128" t="str">
        <f t="shared" si="15"/>
        <v>_blank</v>
      </c>
      <c r="O455" s="111">
        <f>LEN(Tableau18[[#This Row],[LABEL]])</f>
        <v>15</v>
      </c>
      <c r="P455" s="111">
        <v>15</v>
      </c>
      <c r="Q455" s="111" t="e">
        <f>ROUND(Tableau18[[#This Row],[LEN]]*#REF!+#REF!,0)</f>
        <v>#REF!</v>
      </c>
    </row>
    <row r="456" spans="1:17" s="97" customFormat="1" x14ac:dyDescent="0.25">
      <c r="A456" s="29" t="s">
        <v>1301</v>
      </c>
      <c r="B456" s="30" t="s">
        <v>1283</v>
      </c>
      <c r="C456" s="31" t="s">
        <v>94</v>
      </c>
      <c r="D456" s="71" t="s">
        <v>1177</v>
      </c>
      <c r="E456" s="31" t="s">
        <v>1085</v>
      </c>
      <c r="F456" s="31" t="s">
        <v>1084</v>
      </c>
      <c r="G456" s="71" t="s">
        <v>166</v>
      </c>
      <c r="H456" s="71" t="s">
        <v>18</v>
      </c>
      <c r="I456" s="31"/>
      <c r="J456" s="32" t="s">
        <v>102</v>
      </c>
      <c r="K456" s="32" t="str">
        <f t="shared" si="14"/>
        <v>Documentation</v>
      </c>
      <c r="L456" s="111">
        <f>ROUND(Tableau18[[#This Row],[LEN]]*7.27,0)</f>
        <v>58</v>
      </c>
      <c r="M456" s="111">
        <v>15</v>
      </c>
      <c r="N456" s="128" t="str">
        <f t="shared" si="15"/>
        <v>_blank</v>
      </c>
      <c r="O456" s="111">
        <f>LEN(Tableau18[[#This Row],[LABEL]])</f>
        <v>8</v>
      </c>
      <c r="P456" s="111">
        <v>15</v>
      </c>
      <c r="Q456" s="111" t="e">
        <f>ROUND(Tableau18[[#This Row],[LEN]]*#REF!+#REF!,0)</f>
        <v>#REF!</v>
      </c>
    </row>
    <row r="457" spans="1:17" s="273" customFormat="1" x14ac:dyDescent="0.25">
      <c r="A457" s="288" t="s">
        <v>261</v>
      </c>
      <c r="B457" s="289" t="s">
        <v>206</v>
      </c>
      <c r="C457" s="290" t="s">
        <v>12</v>
      </c>
      <c r="D457" s="291" t="s">
        <v>1177</v>
      </c>
      <c r="E457" s="290" t="s">
        <v>675</v>
      </c>
      <c r="F457" s="290" t="s">
        <v>1177</v>
      </c>
      <c r="G457" s="291" t="s">
        <v>166</v>
      </c>
      <c r="H457" s="291" t="str">
        <f>IFERROR(IF(SEARCH(".00.00.00.00.00",Tableau18[[#This Row],[name]],1)=7,"Division",""),"")</f>
        <v>Division</v>
      </c>
      <c r="I457" s="290"/>
      <c r="J457" s="292" t="s">
        <v>721</v>
      </c>
      <c r="K457" s="292" t="str">
        <f t="shared" si="14"/>
        <v>Documentation</v>
      </c>
      <c r="L457" s="293">
        <f>ROUND(Tableau18[[#This Row],[LEN]]*7.27,0)</f>
        <v>15</v>
      </c>
      <c r="M457" s="293">
        <v>15</v>
      </c>
      <c r="N457" s="294" t="str">
        <f t="shared" si="15"/>
        <v>_blank</v>
      </c>
      <c r="O457" s="293">
        <f>LEN(Tableau18[[#This Row],[LABEL]])</f>
        <v>2</v>
      </c>
      <c r="P457" s="293">
        <v>15</v>
      </c>
      <c r="Q457" s="293" t="e">
        <f>ROUND(Tableau18[[#This Row],[LEN]]*#REF!+#REF!,0)</f>
        <v>#REF!</v>
      </c>
    </row>
    <row r="458" spans="1:17" s="97" customFormat="1" x14ac:dyDescent="0.25">
      <c r="A458" s="25" t="s">
        <v>1302</v>
      </c>
      <c r="B458" s="26" t="s">
        <v>261</v>
      </c>
      <c r="C458" s="27" t="s">
        <v>88</v>
      </c>
      <c r="D458" s="70" t="s">
        <v>1177</v>
      </c>
      <c r="E458" s="27" t="s">
        <v>667</v>
      </c>
      <c r="F458" s="27" t="s">
        <v>1218</v>
      </c>
      <c r="G458" s="70" t="s">
        <v>166</v>
      </c>
      <c r="H458" s="70" t="s">
        <v>570</v>
      </c>
      <c r="I458" s="27"/>
      <c r="J458" s="28" t="s">
        <v>708</v>
      </c>
      <c r="K458" s="28" t="str">
        <f t="shared" si="14"/>
        <v>_</v>
      </c>
      <c r="L458" s="109">
        <f>ROUND(Tableau18[[#This Row],[LEN]]*7.27,0)</f>
        <v>342</v>
      </c>
      <c r="M458" s="109">
        <v>15</v>
      </c>
      <c r="N458" s="127" t="str">
        <f t="shared" si="15"/>
        <v>_self</v>
      </c>
      <c r="O458" s="109">
        <f>LEN(Tableau18[[#This Row],[LABEL]])</f>
        <v>47</v>
      </c>
      <c r="P458" s="109">
        <v>15</v>
      </c>
      <c r="Q458" s="109" t="e">
        <f>ROUND(Tableau18[[#This Row],[LEN]]*#REF!+#REF!,0)</f>
        <v>#REF!</v>
      </c>
    </row>
    <row r="459" spans="1:17" s="97" customFormat="1" x14ac:dyDescent="0.25">
      <c r="A459" s="213" t="s">
        <v>1303</v>
      </c>
      <c r="B459" s="214" t="s">
        <v>261</v>
      </c>
      <c r="C459" s="215" t="s">
        <v>1310</v>
      </c>
      <c r="D459" s="70" t="s">
        <v>1177</v>
      </c>
      <c r="E459" s="229" t="s">
        <v>675</v>
      </c>
      <c r="F459" s="215" t="s">
        <v>678</v>
      </c>
      <c r="G459" s="70" t="s">
        <v>166</v>
      </c>
      <c r="H459" s="216" t="s">
        <v>655</v>
      </c>
      <c r="I459" s="215"/>
      <c r="J459" s="217" t="s">
        <v>708</v>
      </c>
      <c r="K459" s="217" t="str">
        <f t="shared" si="14"/>
        <v>_</v>
      </c>
      <c r="L459" s="218">
        <f>ROUND(Tableau18[[#This Row],[LEN]]*7.27,0)</f>
        <v>233</v>
      </c>
      <c r="M459" s="218">
        <v>15</v>
      </c>
      <c r="N459" s="219" t="str">
        <f t="shared" si="15"/>
        <v>_self</v>
      </c>
      <c r="O459" s="218">
        <f>LEN(Tableau18[[#This Row],[LABEL]])</f>
        <v>32</v>
      </c>
      <c r="P459" s="218">
        <v>15</v>
      </c>
      <c r="Q459" s="218" t="e">
        <f>ROUND(Tableau18[[#This Row],[LEN]]*#REF!+#REF!,0)</f>
        <v>#REF!</v>
      </c>
    </row>
    <row r="460" spans="1:17" s="97" customFormat="1" x14ac:dyDescent="0.25">
      <c r="A460" s="29" t="s">
        <v>1312</v>
      </c>
      <c r="B460" s="30" t="s">
        <v>1303</v>
      </c>
      <c r="C460" s="31" t="s">
        <v>1321</v>
      </c>
      <c r="D460" s="71" t="s">
        <v>1177</v>
      </c>
      <c r="E460" s="31" t="s">
        <v>675</v>
      </c>
      <c r="F460" s="31" t="s">
        <v>678</v>
      </c>
      <c r="G460" s="71" t="s">
        <v>166</v>
      </c>
      <c r="H460" s="71" t="s">
        <v>654</v>
      </c>
      <c r="I460" s="31"/>
      <c r="J460" s="32" t="s">
        <v>708</v>
      </c>
      <c r="K460" s="32" t="str">
        <f t="shared" si="14"/>
        <v>_</v>
      </c>
      <c r="L460" s="111">
        <f>ROUND(Tableau18[[#This Row],[LEN]]*7.27,0)</f>
        <v>349</v>
      </c>
      <c r="M460" s="111">
        <v>15</v>
      </c>
      <c r="N460" s="128" t="str">
        <f t="shared" si="15"/>
        <v>_self</v>
      </c>
      <c r="O460" s="111">
        <f>LEN(Tableau18[[#This Row],[LABEL]])</f>
        <v>48</v>
      </c>
      <c r="P460" s="111">
        <v>15</v>
      </c>
      <c r="Q460" s="111" t="e">
        <f>ROUND(Tableau18[[#This Row],[LEN]]*#REF!+#REF!,0)</f>
        <v>#REF!</v>
      </c>
    </row>
    <row r="461" spans="1:17" s="97" customFormat="1" x14ac:dyDescent="0.25">
      <c r="A461" s="29" t="s">
        <v>1313</v>
      </c>
      <c r="B461" s="30" t="s">
        <v>1303</v>
      </c>
      <c r="C461" s="31" t="s">
        <v>1322</v>
      </c>
      <c r="D461" s="71" t="s">
        <v>1177</v>
      </c>
      <c r="E461" s="31" t="s">
        <v>675</v>
      </c>
      <c r="F461" s="31" t="s">
        <v>678</v>
      </c>
      <c r="G461" s="71" t="s">
        <v>166</v>
      </c>
      <c r="H461" s="71" t="s">
        <v>654</v>
      </c>
      <c r="I461" s="31"/>
      <c r="J461" s="32" t="s">
        <v>708</v>
      </c>
      <c r="K461" s="32" t="str">
        <f t="shared" si="14"/>
        <v>_</v>
      </c>
      <c r="L461" s="111">
        <f>ROUND(Tableau18[[#This Row],[LEN]]*7.27,0)</f>
        <v>254</v>
      </c>
      <c r="M461" s="111">
        <v>15</v>
      </c>
      <c r="N461" s="128" t="str">
        <f t="shared" si="15"/>
        <v>_self</v>
      </c>
      <c r="O461" s="111">
        <f>LEN(Tableau18[[#This Row],[LABEL]])</f>
        <v>35</v>
      </c>
      <c r="P461" s="111">
        <v>15</v>
      </c>
      <c r="Q461" s="111" t="e">
        <f>ROUND(Tableau18[[#This Row],[LEN]]*#REF!+#REF!,0)</f>
        <v>#REF!</v>
      </c>
    </row>
    <row r="462" spans="1:17" s="97" customFormat="1" x14ac:dyDescent="0.25">
      <c r="A462" s="29" t="s">
        <v>1314</v>
      </c>
      <c r="B462" s="30" t="s">
        <v>1303</v>
      </c>
      <c r="C462" s="31" t="s">
        <v>1323</v>
      </c>
      <c r="D462" s="71" t="s">
        <v>1177</v>
      </c>
      <c r="E462" s="31" t="s">
        <v>675</v>
      </c>
      <c r="F462" s="31" t="s">
        <v>678</v>
      </c>
      <c r="G462" s="71" t="s">
        <v>166</v>
      </c>
      <c r="H462" s="71" t="s">
        <v>654</v>
      </c>
      <c r="I462" s="31"/>
      <c r="J462" s="32" t="s">
        <v>708</v>
      </c>
      <c r="K462" s="32" t="str">
        <f t="shared" si="14"/>
        <v>_</v>
      </c>
      <c r="L462" s="111">
        <f>ROUND(Tableau18[[#This Row],[LEN]]*7.27,0)</f>
        <v>320</v>
      </c>
      <c r="M462" s="111">
        <v>15</v>
      </c>
      <c r="N462" s="128" t="str">
        <f t="shared" si="15"/>
        <v>_self</v>
      </c>
      <c r="O462" s="111">
        <f>LEN(Tableau18[[#This Row],[LABEL]])</f>
        <v>44</v>
      </c>
      <c r="P462" s="111">
        <v>15</v>
      </c>
      <c r="Q462" s="111" t="e">
        <f>ROUND(Tableau18[[#This Row],[LEN]]*#REF!+#REF!,0)</f>
        <v>#REF!</v>
      </c>
    </row>
    <row r="463" spans="1:17" s="97" customFormat="1" x14ac:dyDescent="0.25">
      <c r="A463" s="235" t="s">
        <v>1304</v>
      </c>
      <c r="B463" s="237" t="s">
        <v>261</v>
      </c>
      <c r="C463" s="236" t="s">
        <v>1007</v>
      </c>
      <c r="D463" s="70" t="s">
        <v>1177</v>
      </c>
      <c r="E463" s="229" t="s">
        <v>675</v>
      </c>
      <c r="F463" s="215" t="s">
        <v>1177</v>
      </c>
      <c r="G463" s="70" t="s">
        <v>166</v>
      </c>
      <c r="H463" s="230" t="s">
        <v>655</v>
      </c>
      <c r="I463" s="229"/>
      <c r="J463" s="231" t="s">
        <v>708</v>
      </c>
      <c r="K463" s="231" t="str">
        <f t="shared" si="14"/>
        <v>_</v>
      </c>
      <c r="L463" s="232">
        <f>ROUND(Tableau18[[#This Row],[LEN]]*7.27,0)</f>
        <v>305</v>
      </c>
      <c r="M463" s="232">
        <v>15</v>
      </c>
      <c r="N463" s="233" t="str">
        <f t="shared" si="15"/>
        <v>_self</v>
      </c>
      <c r="O463" s="232">
        <f>LEN(Tableau18[[#This Row],[LABEL]])</f>
        <v>42</v>
      </c>
      <c r="P463" s="232">
        <v>15</v>
      </c>
      <c r="Q463" s="234" t="e">
        <f>ROUND(Tableau18[[#This Row],[LEN]]*#REF!+#REF!,0)</f>
        <v>#REF!</v>
      </c>
    </row>
    <row r="464" spans="1:17" s="97" customFormat="1" x14ac:dyDescent="0.25">
      <c r="A464" s="29" t="s">
        <v>1315</v>
      </c>
      <c r="B464" s="30" t="s">
        <v>1304</v>
      </c>
      <c r="C464" s="31" t="s">
        <v>1324</v>
      </c>
      <c r="D464" s="71" t="s">
        <v>1177</v>
      </c>
      <c r="E464" s="31" t="s">
        <v>675</v>
      </c>
      <c r="F464" s="31" t="s">
        <v>1177</v>
      </c>
      <c r="G464" s="71" t="s">
        <v>166</v>
      </c>
      <c r="H464" s="71" t="s">
        <v>654</v>
      </c>
      <c r="I464" s="31"/>
      <c r="J464" s="32" t="s">
        <v>708</v>
      </c>
      <c r="K464" s="32" t="str">
        <f t="shared" si="14"/>
        <v>_</v>
      </c>
      <c r="L464" s="111">
        <f>ROUND(Tableau18[[#This Row],[LEN]]*7.27,0)</f>
        <v>218</v>
      </c>
      <c r="M464" s="111">
        <v>15</v>
      </c>
      <c r="N464" s="128" t="str">
        <f t="shared" si="15"/>
        <v>_self</v>
      </c>
      <c r="O464" s="111">
        <f>LEN(Tableau18[[#This Row],[LABEL]])</f>
        <v>30</v>
      </c>
      <c r="P464" s="111">
        <v>15</v>
      </c>
      <c r="Q464" s="111" t="e">
        <f>ROUND(Tableau18[[#This Row],[LEN]]*#REF!+#REF!,0)</f>
        <v>#REF!</v>
      </c>
    </row>
    <row r="465" spans="1:17" s="97" customFormat="1" x14ac:dyDescent="0.25">
      <c r="A465" s="29" t="s">
        <v>1316</v>
      </c>
      <c r="B465" s="30" t="s">
        <v>1304</v>
      </c>
      <c r="C465" s="31" t="s">
        <v>1013</v>
      </c>
      <c r="D465" s="71" t="s">
        <v>1177</v>
      </c>
      <c r="E465" s="31" t="s">
        <v>675</v>
      </c>
      <c r="F465" s="31" t="s">
        <v>1177</v>
      </c>
      <c r="G465" s="71" t="s">
        <v>166</v>
      </c>
      <c r="H465" s="71" t="s">
        <v>654</v>
      </c>
      <c r="I465" s="31"/>
      <c r="J465" s="32" t="s">
        <v>708</v>
      </c>
      <c r="K465" s="32" t="str">
        <f t="shared" si="14"/>
        <v>_</v>
      </c>
      <c r="L465" s="111">
        <f>ROUND(Tableau18[[#This Row],[LEN]]*7.27,0)</f>
        <v>284</v>
      </c>
      <c r="M465" s="111">
        <v>15</v>
      </c>
      <c r="N465" s="128" t="str">
        <f t="shared" si="15"/>
        <v>_self</v>
      </c>
      <c r="O465" s="111">
        <f>LEN(Tableau18[[#This Row],[LABEL]])</f>
        <v>39</v>
      </c>
      <c r="P465" s="111">
        <v>15</v>
      </c>
      <c r="Q465" s="111" t="e">
        <f>ROUND(Tableau18[[#This Row],[LEN]]*#REF!+#REF!,0)</f>
        <v>#REF!</v>
      </c>
    </row>
    <row r="466" spans="1:17" s="97" customFormat="1" x14ac:dyDescent="0.25">
      <c r="A466" s="29" t="s">
        <v>1317</v>
      </c>
      <c r="B466" s="30" t="s">
        <v>1304</v>
      </c>
      <c r="C466" s="31" t="s">
        <v>1014</v>
      </c>
      <c r="D466" s="71" t="s">
        <v>1177</v>
      </c>
      <c r="E466" s="31" t="s">
        <v>675</v>
      </c>
      <c r="F466" s="31" t="s">
        <v>1177</v>
      </c>
      <c r="G466" s="71" t="s">
        <v>166</v>
      </c>
      <c r="H466" s="71" t="s">
        <v>654</v>
      </c>
      <c r="I466" s="31"/>
      <c r="J466" s="32" t="s">
        <v>708</v>
      </c>
      <c r="K466" s="32" t="str">
        <f t="shared" si="14"/>
        <v>_</v>
      </c>
      <c r="L466" s="111">
        <f>ROUND(Tableau18[[#This Row],[LEN]]*7.27,0)</f>
        <v>327</v>
      </c>
      <c r="M466" s="111">
        <v>15</v>
      </c>
      <c r="N466" s="128" t="str">
        <f t="shared" si="15"/>
        <v>_self</v>
      </c>
      <c r="O466" s="111">
        <f>LEN(Tableau18[[#This Row],[LABEL]])</f>
        <v>45</v>
      </c>
      <c r="P466" s="111">
        <v>15</v>
      </c>
      <c r="Q466" s="111" t="e">
        <f>ROUND(Tableau18[[#This Row],[LEN]]*#REF!+#REF!,0)</f>
        <v>#REF!</v>
      </c>
    </row>
    <row r="467" spans="1:17" s="97" customFormat="1" x14ac:dyDescent="0.25">
      <c r="A467" s="29" t="s">
        <v>1318</v>
      </c>
      <c r="B467" s="30" t="s">
        <v>1304</v>
      </c>
      <c r="C467" s="31" t="s">
        <v>1325</v>
      </c>
      <c r="D467" s="71" t="s">
        <v>1177</v>
      </c>
      <c r="E467" s="31" t="s">
        <v>675</v>
      </c>
      <c r="F467" s="31" t="s">
        <v>1177</v>
      </c>
      <c r="G467" s="71" t="s">
        <v>166</v>
      </c>
      <c r="H467" s="71" t="s">
        <v>654</v>
      </c>
      <c r="I467" s="31"/>
      <c r="J467" s="32" t="s">
        <v>708</v>
      </c>
      <c r="K467" s="32" t="str">
        <f t="shared" si="14"/>
        <v>_</v>
      </c>
      <c r="L467" s="111">
        <f>ROUND(Tableau18[[#This Row],[LEN]]*7.27,0)</f>
        <v>327</v>
      </c>
      <c r="M467" s="111">
        <v>15</v>
      </c>
      <c r="N467" s="128" t="str">
        <f t="shared" si="15"/>
        <v>_self</v>
      </c>
      <c r="O467" s="111">
        <f>LEN(Tableau18[[#This Row],[LABEL]])</f>
        <v>45</v>
      </c>
      <c r="P467" s="111">
        <v>15</v>
      </c>
      <c r="Q467" s="111" t="e">
        <f>ROUND(Tableau18[[#This Row],[LEN]]*#REF!+#REF!,0)</f>
        <v>#REF!</v>
      </c>
    </row>
    <row r="468" spans="1:17" s="97" customFormat="1" x14ac:dyDescent="0.25">
      <c r="A468" s="227" t="s">
        <v>1305</v>
      </c>
      <c r="B468" s="228" t="s">
        <v>261</v>
      </c>
      <c r="C468" s="229" t="s">
        <v>1311</v>
      </c>
      <c r="D468" s="70" t="s">
        <v>1177</v>
      </c>
      <c r="E468" s="229" t="s">
        <v>675</v>
      </c>
      <c r="F468" s="215" t="s">
        <v>1177</v>
      </c>
      <c r="G468" s="70" t="s">
        <v>166</v>
      </c>
      <c r="H468" s="230" t="s">
        <v>655</v>
      </c>
      <c r="I468" s="229"/>
      <c r="J468" s="231" t="s">
        <v>708</v>
      </c>
      <c r="K468" s="231" t="str">
        <f t="shared" si="14"/>
        <v>_</v>
      </c>
      <c r="L468" s="232">
        <f>ROUND(Tableau18[[#This Row],[LEN]]*7.27,0)</f>
        <v>211</v>
      </c>
      <c r="M468" s="232">
        <v>15</v>
      </c>
      <c r="N468" s="233" t="str">
        <f t="shared" si="15"/>
        <v>_self</v>
      </c>
      <c r="O468" s="232">
        <f>LEN(Tableau18[[#This Row],[LABEL]])</f>
        <v>29</v>
      </c>
      <c r="P468" s="232">
        <v>15</v>
      </c>
      <c r="Q468" s="234" t="e">
        <f>ROUND(Tableau18[[#This Row],[LEN]]*#REF!+#REF!,0)</f>
        <v>#REF!</v>
      </c>
    </row>
    <row r="469" spans="1:17" s="97" customFormat="1" x14ac:dyDescent="0.25">
      <c r="A469" s="29" t="s">
        <v>1319</v>
      </c>
      <c r="B469" s="30" t="s">
        <v>1305</v>
      </c>
      <c r="C469" s="31" t="s">
        <v>1326</v>
      </c>
      <c r="D469" s="71" t="s">
        <v>1177</v>
      </c>
      <c r="E469" s="31" t="s">
        <v>675</v>
      </c>
      <c r="F469" s="31" t="s">
        <v>1177</v>
      </c>
      <c r="G469" s="71" t="s">
        <v>166</v>
      </c>
      <c r="H469" s="71" t="s">
        <v>654</v>
      </c>
      <c r="I469" s="31"/>
      <c r="J469" s="32" t="s">
        <v>708</v>
      </c>
      <c r="K469" s="32" t="str">
        <f t="shared" si="14"/>
        <v>_</v>
      </c>
      <c r="L469" s="111">
        <f>ROUND(Tableau18[[#This Row],[LEN]]*7.27,0)</f>
        <v>480</v>
      </c>
      <c r="M469" s="111">
        <v>15</v>
      </c>
      <c r="N469" s="128" t="str">
        <f t="shared" si="15"/>
        <v>_self</v>
      </c>
      <c r="O469" s="111">
        <f>LEN(Tableau18[[#This Row],[LABEL]])</f>
        <v>66</v>
      </c>
      <c r="P469" s="111">
        <v>15</v>
      </c>
      <c r="Q469" s="111" t="e">
        <f>ROUND(Tableau18[[#This Row],[LEN]]*#REF!+#REF!,0)</f>
        <v>#REF!</v>
      </c>
    </row>
    <row r="470" spans="1:17" s="97" customFormat="1" x14ac:dyDescent="0.25">
      <c r="A470" s="29" t="s">
        <v>1320</v>
      </c>
      <c r="B470" s="30" t="s">
        <v>1305</v>
      </c>
      <c r="C470" s="31" t="s">
        <v>1327</v>
      </c>
      <c r="D470" s="71" t="s">
        <v>1328</v>
      </c>
      <c r="E470" s="31" t="s">
        <v>675</v>
      </c>
      <c r="F470" s="31" t="s">
        <v>1177</v>
      </c>
      <c r="G470" s="71" t="s">
        <v>166</v>
      </c>
      <c r="H470" s="71" t="s">
        <v>654</v>
      </c>
      <c r="I470" s="31"/>
      <c r="J470" s="32" t="s">
        <v>708</v>
      </c>
      <c r="K470" s="32" t="str">
        <f t="shared" si="14"/>
        <v>_</v>
      </c>
      <c r="L470" s="111">
        <f>ROUND(Tableau18[[#This Row],[LEN]]*7.27,0)</f>
        <v>254</v>
      </c>
      <c r="M470" s="111">
        <v>15</v>
      </c>
      <c r="N470" s="128" t="str">
        <f t="shared" si="15"/>
        <v>_self</v>
      </c>
      <c r="O470" s="111">
        <f>LEN(Tableau18[[#This Row],[LABEL]])</f>
        <v>35</v>
      </c>
      <c r="P470" s="111">
        <v>15</v>
      </c>
      <c r="Q470" s="111" t="e">
        <f>ROUND(Tableau18[[#This Row],[LEN]]*#REF!+#REF!,0)</f>
        <v>#REF!</v>
      </c>
    </row>
    <row r="471" spans="1:17" s="97" customFormat="1" x14ac:dyDescent="0.25">
      <c r="A471" s="220" t="s">
        <v>1306</v>
      </c>
      <c r="B471" s="221" t="s">
        <v>261</v>
      </c>
      <c r="C471" s="222" t="s">
        <v>1405</v>
      </c>
      <c r="D471" s="70" t="s">
        <v>1177</v>
      </c>
      <c r="E471" s="229" t="s">
        <v>675</v>
      </c>
      <c r="F471" s="215" t="s">
        <v>678</v>
      </c>
      <c r="G471" s="70" t="s">
        <v>166</v>
      </c>
      <c r="H471" s="223" t="s">
        <v>656</v>
      </c>
      <c r="I471" s="222"/>
      <c r="J471" s="224" t="s">
        <v>708</v>
      </c>
      <c r="K471" s="224" t="str">
        <f t="shared" si="14"/>
        <v>_</v>
      </c>
      <c r="L471" s="225">
        <f>ROUND(Tableau18[[#This Row],[LEN]]*7.27,0)</f>
        <v>443</v>
      </c>
      <c r="M471" s="225">
        <v>15</v>
      </c>
      <c r="N471" s="226" t="str">
        <f t="shared" si="15"/>
        <v>_self</v>
      </c>
      <c r="O471" s="225">
        <f>LEN(Tableau18[[#This Row],[LABEL]])</f>
        <v>61</v>
      </c>
      <c r="P471" s="225">
        <v>15</v>
      </c>
      <c r="Q471" s="225" t="e">
        <f>ROUND(Tableau18[[#This Row],[LEN]]*#REF!+#REF!,0)</f>
        <v>#REF!</v>
      </c>
    </row>
    <row r="472" spans="1:17" s="97" customFormat="1" x14ac:dyDescent="0.25">
      <c r="A472" s="25" t="s">
        <v>1307</v>
      </c>
      <c r="B472" s="26" t="s">
        <v>261</v>
      </c>
      <c r="C472" s="27" t="s">
        <v>1167</v>
      </c>
      <c r="D472" s="70" t="s">
        <v>486</v>
      </c>
      <c r="E472" s="27" t="s">
        <v>1085</v>
      </c>
      <c r="F472" s="27" t="s">
        <v>1084</v>
      </c>
      <c r="G472" s="70" t="s">
        <v>1977</v>
      </c>
      <c r="H472" s="70" t="s">
        <v>1131</v>
      </c>
      <c r="I472" s="27"/>
      <c r="J472" s="28" t="s">
        <v>708</v>
      </c>
      <c r="K472" s="28" t="str">
        <f t="shared" si="14"/>
        <v>_</v>
      </c>
      <c r="L472" s="109">
        <f>ROUND(Tableau18[[#This Row],[LEN]]*7.27,0)</f>
        <v>196</v>
      </c>
      <c r="M472" s="109">
        <v>15</v>
      </c>
      <c r="N472" s="127" t="str">
        <f t="shared" si="15"/>
        <v>_self</v>
      </c>
      <c r="O472" s="109">
        <f>LEN(Tableau18[[#This Row],[LABEL]])</f>
        <v>27</v>
      </c>
      <c r="P472" s="109">
        <v>15</v>
      </c>
      <c r="Q472" s="109" t="e">
        <f>ROUND(Tableau18[[#This Row],[LEN]]*#REF!+#REF!,0)</f>
        <v>#REF!</v>
      </c>
    </row>
    <row r="473" spans="1:17" s="97" customFormat="1" x14ac:dyDescent="0.25">
      <c r="A473" s="29" t="s">
        <v>1308</v>
      </c>
      <c r="B473" s="30" t="s">
        <v>1307</v>
      </c>
      <c r="C473" s="31" t="s">
        <v>93</v>
      </c>
      <c r="D473" s="71" t="s">
        <v>1177</v>
      </c>
      <c r="E473" s="31" t="s">
        <v>1085</v>
      </c>
      <c r="F473" s="31" t="s">
        <v>1084</v>
      </c>
      <c r="G473" s="71" t="s">
        <v>166</v>
      </c>
      <c r="H473" s="71" t="s">
        <v>18</v>
      </c>
      <c r="I473" s="31"/>
      <c r="J473" s="32" t="s">
        <v>101</v>
      </c>
      <c r="K473" s="32" t="str">
        <f t="shared" si="14"/>
        <v>Documentation</v>
      </c>
      <c r="L473" s="111">
        <f>ROUND(Tableau18[[#This Row],[LEN]]*7.27,0)</f>
        <v>109</v>
      </c>
      <c r="M473" s="111">
        <v>15</v>
      </c>
      <c r="N473" s="128" t="str">
        <f t="shared" si="15"/>
        <v>_blank</v>
      </c>
      <c r="O473" s="111">
        <f>LEN(Tableau18[[#This Row],[LABEL]])</f>
        <v>15</v>
      </c>
      <c r="P473" s="111">
        <v>15</v>
      </c>
      <c r="Q473" s="111" t="e">
        <f>ROUND(Tableau18[[#This Row],[LEN]]*#REF!+#REF!,0)</f>
        <v>#REF!</v>
      </c>
    </row>
    <row r="474" spans="1:17" s="97" customFormat="1" x14ac:dyDescent="0.25">
      <c r="A474" s="29" t="s">
        <v>1309</v>
      </c>
      <c r="B474" s="30" t="s">
        <v>1307</v>
      </c>
      <c r="C474" s="31" t="s">
        <v>94</v>
      </c>
      <c r="D474" s="71" t="s">
        <v>1177</v>
      </c>
      <c r="E474" s="31" t="s">
        <v>1085</v>
      </c>
      <c r="F474" s="31" t="s">
        <v>1084</v>
      </c>
      <c r="G474" s="71" t="s">
        <v>166</v>
      </c>
      <c r="H474" s="71" t="s">
        <v>18</v>
      </c>
      <c r="I474" s="31"/>
      <c r="J474" s="32" t="s">
        <v>102</v>
      </c>
      <c r="K474" s="32" t="str">
        <f t="shared" si="14"/>
        <v>Documentation</v>
      </c>
      <c r="L474" s="111">
        <f>ROUND(Tableau18[[#This Row],[LEN]]*7.27,0)</f>
        <v>58</v>
      </c>
      <c r="M474" s="111">
        <v>15</v>
      </c>
      <c r="N474" s="128" t="str">
        <f t="shared" si="15"/>
        <v>_blank</v>
      </c>
      <c r="O474" s="111">
        <f>LEN(Tableau18[[#This Row],[LABEL]])</f>
        <v>8</v>
      </c>
      <c r="P474" s="111">
        <v>15</v>
      </c>
      <c r="Q474" s="111" t="e">
        <f>ROUND(Tableau18[[#This Row],[LEN]]*#REF!+#REF!,0)</f>
        <v>#REF!</v>
      </c>
    </row>
    <row r="475" spans="1:17" s="273" customFormat="1" x14ac:dyDescent="0.25">
      <c r="A475" s="288" t="s">
        <v>262</v>
      </c>
      <c r="B475" s="289" t="s">
        <v>206</v>
      </c>
      <c r="C475" s="290" t="s">
        <v>71</v>
      </c>
      <c r="D475" s="291" t="s">
        <v>1177</v>
      </c>
      <c r="E475" s="290" t="s">
        <v>676</v>
      </c>
      <c r="F475" s="290" t="s">
        <v>1177</v>
      </c>
      <c r="G475" s="291" t="s">
        <v>166</v>
      </c>
      <c r="H475" s="291" t="str">
        <f>IFERROR(IF(SEARCH(".00.00.00.00.00",Tableau18[[#This Row],[name]],1)=7,"Division",""),"")</f>
        <v>Division</v>
      </c>
      <c r="I475" s="290"/>
      <c r="J475" s="292" t="s">
        <v>722</v>
      </c>
      <c r="K475" s="292" t="str">
        <f t="shared" si="14"/>
        <v>Documentation</v>
      </c>
      <c r="L475" s="293">
        <f>ROUND(Tableau18[[#This Row],[LEN]]*7.27,0)</f>
        <v>29</v>
      </c>
      <c r="M475" s="293">
        <v>15</v>
      </c>
      <c r="N475" s="294" t="str">
        <f t="shared" si="15"/>
        <v>_blank</v>
      </c>
      <c r="O475" s="293">
        <f>LEN(Tableau18[[#This Row],[LABEL]])</f>
        <v>4</v>
      </c>
      <c r="P475" s="293">
        <v>15</v>
      </c>
      <c r="Q475" s="293" t="e">
        <f>ROUND(Tableau18[[#This Row],[LEN]]*#REF!+#REF!,0)</f>
        <v>#REF!</v>
      </c>
    </row>
    <row r="476" spans="1:17" s="97" customFormat="1" x14ac:dyDescent="0.25">
      <c r="A476" s="220" t="s">
        <v>1329</v>
      </c>
      <c r="B476" s="221" t="s">
        <v>262</v>
      </c>
      <c r="C476" s="222" t="s">
        <v>1337</v>
      </c>
      <c r="D476" s="70" t="s">
        <v>1338</v>
      </c>
      <c r="E476" s="229" t="s">
        <v>676</v>
      </c>
      <c r="F476" s="215" t="s">
        <v>1339</v>
      </c>
      <c r="G476" s="70" t="s">
        <v>166</v>
      </c>
      <c r="H476" s="223" t="s">
        <v>656</v>
      </c>
      <c r="I476" s="222"/>
      <c r="J476" s="224" t="s">
        <v>708</v>
      </c>
      <c r="K476" s="224" t="str">
        <f t="shared" si="14"/>
        <v>_</v>
      </c>
      <c r="L476" s="225">
        <f>ROUND(Tableau18[[#This Row],[LEN]]*7.27,0)</f>
        <v>378</v>
      </c>
      <c r="M476" s="225">
        <v>15</v>
      </c>
      <c r="N476" s="226" t="str">
        <f t="shared" si="15"/>
        <v>_self</v>
      </c>
      <c r="O476" s="225">
        <f>LEN(Tableau18[[#This Row],[LABEL]])</f>
        <v>52</v>
      </c>
      <c r="P476" s="225">
        <v>15</v>
      </c>
      <c r="Q476" s="225" t="e">
        <f>ROUND(Tableau18[[#This Row],[LEN]]*#REF!+#REF!,0)</f>
        <v>#REF!</v>
      </c>
    </row>
    <row r="477" spans="1:17" s="97" customFormat="1" x14ac:dyDescent="0.25">
      <c r="A477" s="220" t="s">
        <v>1330</v>
      </c>
      <c r="B477" s="221" t="s">
        <v>262</v>
      </c>
      <c r="C477" s="222" t="s">
        <v>88</v>
      </c>
      <c r="D477" s="70" t="s">
        <v>1177</v>
      </c>
      <c r="E477" s="229" t="s">
        <v>667</v>
      </c>
      <c r="F477" s="215" t="s">
        <v>1218</v>
      </c>
      <c r="G477" s="70" t="s">
        <v>166</v>
      </c>
      <c r="H477" s="223" t="s">
        <v>570</v>
      </c>
      <c r="I477" s="222"/>
      <c r="J477" s="224" t="s">
        <v>708</v>
      </c>
      <c r="K477" s="224" t="str">
        <f t="shared" si="14"/>
        <v>_</v>
      </c>
      <c r="L477" s="225">
        <f>ROUND(Tableau18[[#This Row],[LEN]]*7.27,0)</f>
        <v>342</v>
      </c>
      <c r="M477" s="225">
        <v>15</v>
      </c>
      <c r="N477" s="226" t="str">
        <f t="shared" si="15"/>
        <v>_self</v>
      </c>
      <c r="O477" s="225">
        <f>LEN(Tableau18[[#This Row],[LABEL]])</f>
        <v>47</v>
      </c>
      <c r="P477" s="225">
        <v>15</v>
      </c>
      <c r="Q477" s="225" t="e">
        <f>ROUND(Tableau18[[#This Row],[LEN]]*#REF!+#REF!,0)</f>
        <v>#REF!</v>
      </c>
    </row>
    <row r="478" spans="1:17" s="97" customFormat="1" x14ac:dyDescent="0.25">
      <c r="A478" s="220" t="s">
        <v>1331</v>
      </c>
      <c r="B478" s="221" t="s">
        <v>262</v>
      </c>
      <c r="C478" s="222" t="s">
        <v>484</v>
      </c>
      <c r="D478" s="70" t="s">
        <v>1177</v>
      </c>
      <c r="E478" s="229" t="s">
        <v>672</v>
      </c>
      <c r="F478" s="215" t="s">
        <v>1285</v>
      </c>
      <c r="G478" s="70" t="s">
        <v>166</v>
      </c>
      <c r="H478" s="223" t="s">
        <v>655</v>
      </c>
      <c r="I478" s="222"/>
      <c r="J478" s="224" t="s">
        <v>727</v>
      </c>
      <c r="K478" s="224" t="str">
        <f t="shared" si="14"/>
        <v>Documentation</v>
      </c>
      <c r="L478" s="225">
        <f>ROUND(Tableau18[[#This Row],[LEN]]*7.27,0)</f>
        <v>80</v>
      </c>
      <c r="M478" s="225">
        <v>15</v>
      </c>
      <c r="N478" s="226" t="str">
        <f t="shared" si="15"/>
        <v>_blank</v>
      </c>
      <c r="O478" s="225">
        <f>LEN(Tableau18[[#This Row],[LABEL]])</f>
        <v>11</v>
      </c>
      <c r="P478" s="225">
        <v>15</v>
      </c>
      <c r="Q478" s="225" t="e">
        <f>ROUND(Tableau18[[#This Row],[LEN]]*#REF!+#REF!,0)</f>
        <v>#REF!</v>
      </c>
    </row>
    <row r="479" spans="1:17" s="97" customFormat="1" x14ac:dyDescent="0.25">
      <c r="A479" s="29" t="s">
        <v>1340</v>
      </c>
      <c r="B479" s="30" t="s">
        <v>1331</v>
      </c>
      <c r="C479" s="31" t="s">
        <v>505</v>
      </c>
      <c r="D479" s="71" t="s">
        <v>1177</v>
      </c>
      <c r="E479" s="31" t="s">
        <v>672</v>
      </c>
      <c r="F479" s="31" t="s">
        <v>1285</v>
      </c>
      <c r="G479" s="71" t="s">
        <v>166</v>
      </c>
      <c r="H479" s="71" t="s">
        <v>18</v>
      </c>
      <c r="I479" s="31"/>
      <c r="J479" s="32" t="s">
        <v>705</v>
      </c>
      <c r="K479" s="32" t="str">
        <f t="shared" si="14"/>
        <v>Documentation</v>
      </c>
      <c r="L479" s="111">
        <f>ROUND(Tableau18[[#This Row],[LEN]]*7.27,0)</f>
        <v>73</v>
      </c>
      <c r="M479" s="111">
        <v>15</v>
      </c>
      <c r="N479" s="128" t="str">
        <f t="shared" si="15"/>
        <v>_blank</v>
      </c>
      <c r="O479" s="111">
        <f>LEN(Tableau18[[#This Row],[LABEL]])</f>
        <v>10</v>
      </c>
      <c r="P479" s="111">
        <v>15</v>
      </c>
      <c r="Q479" s="111" t="e">
        <f>ROUND(Tableau18[[#This Row],[LEN]]*#REF!+#REF!,0)</f>
        <v>#REF!</v>
      </c>
    </row>
    <row r="480" spans="1:17" s="97" customFormat="1" x14ac:dyDescent="0.25">
      <c r="A480" s="29" t="s">
        <v>1341</v>
      </c>
      <c r="B480" s="30" t="s">
        <v>1331</v>
      </c>
      <c r="C480" s="31" t="s">
        <v>1284</v>
      </c>
      <c r="D480" s="71" t="s">
        <v>1177</v>
      </c>
      <c r="E480" s="31" t="s">
        <v>672</v>
      </c>
      <c r="F480" s="31" t="s">
        <v>1285</v>
      </c>
      <c r="G480" s="71" t="s">
        <v>166</v>
      </c>
      <c r="H480" s="71" t="s">
        <v>18</v>
      </c>
      <c r="I480" s="31"/>
      <c r="J480" s="32" t="s">
        <v>705</v>
      </c>
      <c r="K480" s="32" t="str">
        <f t="shared" si="14"/>
        <v>Documentation</v>
      </c>
      <c r="L480" s="111">
        <f>ROUND(Tableau18[[#This Row],[LEN]]*7.27,0)</f>
        <v>153</v>
      </c>
      <c r="M480" s="111">
        <v>15</v>
      </c>
      <c r="N480" s="128" t="str">
        <f t="shared" si="15"/>
        <v>_blank</v>
      </c>
      <c r="O480" s="111">
        <f>LEN(Tableau18[[#This Row],[LABEL]])</f>
        <v>21</v>
      </c>
      <c r="P480" s="111">
        <v>15</v>
      </c>
      <c r="Q480" s="111" t="e">
        <f>ROUND(Tableau18[[#This Row],[LEN]]*#REF!+#REF!,0)</f>
        <v>#REF!</v>
      </c>
    </row>
    <row r="481" spans="1:17" s="97" customFormat="1" x14ac:dyDescent="0.25">
      <c r="A481" s="220" t="s">
        <v>1332</v>
      </c>
      <c r="B481" s="221" t="s">
        <v>262</v>
      </c>
      <c r="C481" s="222" t="s">
        <v>1342</v>
      </c>
      <c r="D481" s="70" t="s">
        <v>1177</v>
      </c>
      <c r="E481" s="229" t="s">
        <v>676</v>
      </c>
      <c r="F481" s="215" t="s">
        <v>1177</v>
      </c>
      <c r="G481" s="70" t="s">
        <v>166</v>
      </c>
      <c r="H481" s="223" t="s">
        <v>656</v>
      </c>
      <c r="I481" s="222"/>
      <c r="J481" s="224" t="s">
        <v>708</v>
      </c>
      <c r="K481" s="224" t="str">
        <f t="shared" si="14"/>
        <v>_</v>
      </c>
      <c r="L481" s="225">
        <f>ROUND(Tableau18[[#This Row],[LEN]]*7.27,0)</f>
        <v>473</v>
      </c>
      <c r="M481" s="225">
        <v>15</v>
      </c>
      <c r="N481" s="226" t="str">
        <f t="shared" si="15"/>
        <v>_self</v>
      </c>
      <c r="O481" s="225">
        <f>LEN(Tableau18[[#This Row],[LABEL]])</f>
        <v>65</v>
      </c>
      <c r="P481" s="225">
        <v>15</v>
      </c>
      <c r="Q481" s="225" t="e">
        <f>ROUND(Tableau18[[#This Row],[LEN]]*#REF!+#REF!,0)</f>
        <v>#REF!</v>
      </c>
    </row>
    <row r="482" spans="1:17" s="97" customFormat="1" x14ac:dyDescent="0.25">
      <c r="A482" s="220" t="s">
        <v>1333</v>
      </c>
      <c r="B482" s="221" t="s">
        <v>262</v>
      </c>
      <c r="C482" s="222" t="s">
        <v>1343</v>
      </c>
      <c r="D482" s="70" t="s">
        <v>1177</v>
      </c>
      <c r="E482" s="229" t="s">
        <v>676</v>
      </c>
      <c r="F482" s="215" t="s">
        <v>1339</v>
      </c>
      <c r="G482" s="70" t="s">
        <v>166</v>
      </c>
      <c r="H482" s="223" t="s">
        <v>654</v>
      </c>
      <c r="I482" s="222"/>
      <c r="J482" s="224" t="s">
        <v>708</v>
      </c>
      <c r="K482" s="224" t="str">
        <f t="shared" si="14"/>
        <v>_</v>
      </c>
      <c r="L482" s="225">
        <f>ROUND(Tableau18[[#This Row],[LEN]]*7.27,0)</f>
        <v>269</v>
      </c>
      <c r="M482" s="225">
        <v>15</v>
      </c>
      <c r="N482" s="226" t="str">
        <f t="shared" si="15"/>
        <v>_self</v>
      </c>
      <c r="O482" s="225">
        <f>LEN(Tableau18[[#This Row],[LABEL]])</f>
        <v>37</v>
      </c>
      <c r="P482" s="225">
        <v>15</v>
      </c>
      <c r="Q482" s="225" t="e">
        <f>ROUND(Tableau18[[#This Row],[LEN]]*#REF!+#REF!,0)</f>
        <v>#REF!</v>
      </c>
    </row>
    <row r="483" spans="1:17" s="97" customFormat="1" x14ac:dyDescent="0.25">
      <c r="A483" s="220" t="s">
        <v>1334</v>
      </c>
      <c r="B483" s="221" t="s">
        <v>262</v>
      </c>
      <c r="C483" s="222" t="s">
        <v>1154</v>
      </c>
      <c r="D483" s="70" t="s">
        <v>1177</v>
      </c>
      <c r="E483" s="229" t="s">
        <v>667</v>
      </c>
      <c r="F483" s="215" t="s">
        <v>1133</v>
      </c>
      <c r="G483" s="70" t="s">
        <v>166</v>
      </c>
      <c r="H483" s="223" t="s">
        <v>18</v>
      </c>
      <c r="I483" s="222"/>
      <c r="J483" s="224" t="s">
        <v>102</v>
      </c>
      <c r="K483" s="224" t="str">
        <f t="shared" si="14"/>
        <v>Documentation</v>
      </c>
      <c r="L483" s="225">
        <f>ROUND(Tableau18[[#This Row],[LEN]]*7.27,0)</f>
        <v>443</v>
      </c>
      <c r="M483" s="225">
        <v>15</v>
      </c>
      <c r="N483" s="226" t="str">
        <f t="shared" si="15"/>
        <v>_blank</v>
      </c>
      <c r="O483" s="225">
        <f>LEN(Tableau18[[#This Row],[LABEL]])</f>
        <v>61</v>
      </c>
      <c r="P483" s="225">
        <v>15</v>
      </c>
      <c r="Q483" s="225" t="e">
        <f>ROUND(Tableau18[[#This Row],[LEN]]*#REF!+#REF!,0)</f>
        <v>#REF!</v>
      </c>
    </row>
    <row r="484" spans="1:17" s="97" customFormat="1" x14ac:dyDescent="0.25">
      <c r="A484" s="220" t="s">
        <v>1335</v>
      </c>
      <c r="B484" s="221" t="s">
        <v>262</v>
      </c>
      <c r="C484" s="222" t="s">
        <v>778</v>
      </c>
      <c r="D484" s="70" t="s">
        <v>1177</v>
      </c>
      <c r="E484" s="229" t="s">
        <v>673</v>
      </c>
      <c r="F484" s="27" t="s">
        <v>2000</v>
      </c>
      <c r="G484" s="70" t="s">
        <v>166</v>
      </c>
      <c r="H484" s="223" t="s">
        <v>17</v>
      </c>
      <c r="I484" s="222"/>
      <c r="J484" s="224" t="s">
        <v>708</v>
      </c>
      <c r="K484" s="224" t="str">
        <f t="shared" si="14"/>
        <v>_</v>
      </c>
      <c r="L484" s="225">
        <f>ROUND(Tableau18[[#This Row],[LEN]]*7.27,0)</f>
        <v>211</v>
      </c>
      <c r="M484" s="225">
        <v>15</v>
      </c>
      <c r="N484" s="226" t="str">
        <f t="shared" si="15"/>
        <v>_self</v>
      </c>
      <c r="O484" s="225">
        <f>LEN(Tableau18[[#This Row],[LABEL]])</f>
        <v>29</v>
      </c>
      <c r="P484" s="225">
        <v>15</v>
      </c>
      <c r="Q484" s="225" t="e">
        <f>ROUND(Tableau18[[#This Row],[LEN]]*#REF!+#REF!,0)</f>
        <v>#REF!</v>
      </c>
    </row>
    <row r="485" spans="1:17" s="97" customFormat="1" x14ac:dyDescent="0.25">
      <c r="A485" s="220" t="s">
        <v>1336</v>
      </c>
      <c r="B485" s="221" t="s">
        <v>262</v>
      </c>
      <c r="C485" s="222" t="s">
        <v>1167</v>
      </c>
      <c r="D485" s="70" t="s">
        <v>486</v>
      </c>
      <c r="E485" s="229" t="s">
        <v>1085</v>
      </c>
      <c r="F485" s="215" t="s">
        <v>1084</v>
      </c>
      <c r="G485" s="70" t="s">
        <v>1977</v>
      </c>
      <c r="H485" s="223" t="s">
        <v>1131</v>
      </c>
      <c r="I485" s="222"/>
      <c r="J485" s="224" t="s">
        <v>708</v>
      </c>
      <c r="K485" s="224" t="str">
        <f t="shared" si="14"/>
        <v>_</v>
      </c>
      <c r="L485" s="225">
        <f>ROUND(Tableau18[[#This Row],[LEN]]*7.27,0)</f>
        <v>196</v>
      </c>
      <c r="M485" s="225">
        <v>15</v>
      </c>
      <c r="N485" s="226" t="str">
        <f t="shared" si="15"/>
        <v>_self</v>
      </c>
      <c r="O485" s="225">
        <f>LEN(Tableau18[[#This Row],[LABEL]])</f>
        <v>27</v>
      </c>
      <c r="P485" s="225">
        <v>15</v>
      </c>
      <c r="Q485" s="225" t="e">
        <f>ROUND(Tableau18[[#This Row],[LEN]]*#REF!+#REF!,0)</f>
        <v>#REF!</v>
      </c>
    </row>
    <row r="486" spans="1:17" s="97" customFormat="1" x14ac:dyDescent="0.25">
      <c r="A486" s="29" t="s">
        <v>1344</v>
      </c>
      <c r="B486" s="30" t="s">
        <v>1336</v>
      </c>
      <c r="C486" s="31" t="s">
        <v>93</v>
      </c>
      <c r="D486" s="71" t="s">
        <v>1177</v>
      </c>
      <c r="E486" s="31" t="s">
        <v>1085</v>
      </c>
      <c r="F486" s="31" t="s">
        <v>1084</v>
      </c>
      <c r="G486" s="71" t="s">
        <v>166</v>
      </c>
      <c r="H486" s="71" t="s">
        <v>18</v>
      </c>
      <c r="I486" s="31"/>
      <c r="J486" s="32" t="s">
        <v>101</v>
      </c>
      <c r="K486" s="32" t="str">
        <f t="shared" si="14"/>
        <v>Documentation</v>
      </c>
      <c r="L486" s="111">
        <f>ROUND(Tableau18[[#This Row],[LEN]]*7.27,0)</f>
        <v>109</v>
      </c>
      <c r="M486" s="111">
        <v>15</v>
      </c>
      <c r="N486" s="128" t="str">
        <f t="shared" si="15"/>
        <v>_blank</v>
      </c>
      <c r="O486" s="111">
        <f>LEN(Tableau18[[#This Row],[LABEL]])</f>
        <v>15</v>
      </c>
      <c r="P486" s="111">
        <v>15</v>
      </c>
      <c r="Q486" s="111" t="e">
        <f>ROUND(Tableau18[[#This Row],[LEN]]*#REF!+#REF!,0)</f>
        <v>#REF!</v>
      </c>
    </row>
    <row r="487" spans="1:17" s="97" customFormat="1" x14ac:dyDescent="0.25">
      <c r="A487" s="29" t="s">
        <v>1345</v>
      </c>
      <c r="B487" s="30" t="s">
        <v>1336</v>
      </c>
      <c r="C487" s="31" t="s">
        <v>94</v>
      </c>
      <c r="D487" s="71" t="s">
        <v>1177</v>
      </c>
      <c r="E487" s="31" t="s">
        <v>1085</v>
      </c>
      <c r="F487" s="31" t="s">
        <v>1084</v>
      </c>
      <c r="G487" s="71" t="s">
        <v>166</v>
      </c>
      <c r="H487" s="71" t="s">
        <v>18</v>
      </c>
      <c r="I487" s="31"/>
      <c r="J487" s="32" t="s">
        <v>102</v>
      </c>
      <c r="K487" s="32" t="str">
        <f t="shared" si="14"/>
        <v>Documentation</v>
      </c>
      <c r="L487" s="111">
        <f>ROUND(Tableau18[[#This Row],[LEN]]*7.27,0)</f>
        <v>58</v>
      </c>
      <c r="M487" s="111">
        <v>15</v>
      </c>
      <c r="N487" s="128" t="str">
        <f t="shared" si="15"/>
        <v>_blank</v>
      </c>
      <c r="O487" s="111">
        <f>LEN(Tableau18[[#This Row],[LABEL]])</f>
        <v>8</v>
      </c>
      <c r="P487" s="111">
        <v>15</v>
      </c>
      <c r="Q487" s="111" t="e">
        <f>ROUND(Tableau18[[#This Row],[LEN]]*#REF!+#REF!,0)</f>
        <v>#REF!</v>
      </c>
    </row>
    <row r="488" spans="1:17" s="273" customFormat="1" x14ac:dyDescent="0.25">
      <c r="A488" s="288" t="s">
        <v>263</v>
      </c>
      <c r="B488" s="289" t="s">
        <v>206</v>
      </c>
      <c r="C488" s="290" t="s">
        <v>13</v>
      </c>
      <c r="D488" s="291" t="s">
        <v>1177</v>
      </c>
      <c r="E488" s="290" t="s">
        <v>677</v>
      </c>
      <c r="F488" s="290" t="s">
        <v>1177</v>
      </c>
      <c r="G488" s="291" t="s">
        <v>166</v>
      </c>
      <c r="H488" s="291" t="str">
        <f>IFERROR(IF(SEARCH(".00.00.00.00.00",Tableau18[[#This Row],[name]],1)=7,"Division",""),"")</f>
        <v>Division</v>
      </c>
      <c r="I488" s="290"/>
      <c r="J488" s="292" t="s">
        <v>708</v>
      </c>
      <c r="K488" s="292" t="str">
        <f t="shared" si="14"/>
        <v>_</v>
      </c>
      <c r="L488" s="293">
        <f>ROUND(Tableau18[[#This Row],[LEN]]*7.27,0)</f>
        <v>80</v>
      </c>
      <c r="M488" s="293">
        <v>15</v>
      </c>
      <c r="N488" s="294" t="str">
        <f t="shared" si="15"/>
        <v>_self</v>
      </c>
      <c r="O488" s="293">
        <f>LEN(Tableau18[[#This Row],[LABEL]])</f>
        <v>11</v>
      </c>
      <c r="P488" s="293">
        <v>15</v>
      </c>
      <c r="Q488" s="293" t="e">
        <f>ROUND(Tableau18[[#This Row],[LEN]]*#REF!+#REF!,0)</f>
        <v>#REF!</v>
      </c>
    </row>
    <row r="489" spans="1:17" s="97" customFormat="1" x14ac:dyDescent="0.25">
      <c r="A489" s="220" t="s">
        <v>1346</v>
      </c>
      <c r="B489" s="221" t="s">
        <v>263</v>
      </c>
      <c r="C489" s="222" t="s">
        <v>1355</v>
      </c>
      <c r="D489" s="70" t="s">
        <v>1177</v>
      </c>
      <c r="E489" s="229" t="s">
        <v>677</v>
      </c>
      <c r="F489" s="215" t="s">
        <v>1177</v>
      </c>
      <c r="G489" s="70" t="s">
        <v>166</v>
      </c>
      <c r="H489" s="223" t="s">
        <v>655</v>
      </c>
      <c r="I489" s="222"/>
      <c r="J489" s="224" t="s">
        <v>708</v>
      </c>
      <c r="K489" s="224" t="str">
        <f t="shared" si="14"/>
        <v>_</v>
      </c>
      <c r="L489" s="225">
        <f>ROUND(Tableau18[[#This Row],[LEN]]*7.27,0)</f>
        <v>233</v>
      </c>
      <c r="M489" s="225">
        <v>15</v>
      </c>
      <c r="N489" s="226" t="str">
        <f t="shared" si="15"/>
        <v>_self</v>
      </c>
      <c r="O489" s="225">
        <f>LEN(Tableau18[[#This Row],[LABEL]])</f>
        <v>32</v>
      </c>
      <c r="P489" s="225">
        <v>15</v>
      </c>
      <c r="Q489" s="225" t="e">
        <f>ROUND(Tableau18[[#This Row],[LEN]]*#REF!+#REF!,0)</f>
        <v>#REF!</v>
      </c>
    </row>
    <row r="490" spans="1:17" s="97" customFormat="1" x14ac:dyDescent="0.25">
      <c r="A490" s="29" t="s">
        <v>1363</v>
      </c>
      <c r="B490" s="30" t="s">
        <v>1346</v>
      </c>
      <c r="C490" s="31" t="s">
        <v>1368</v>
      </c>
      <c r="D490" s="71" t="s">
        <v>1177</v>
      </c>
      <c r="E490" s="31" t="s">
        <v>677</v>
      </c>
      <c r="F490" s="31" t="s">
        <v>1177</v>
      </c>
      <c r="G490" s="71" t="s">
        <v>166</v>
      </c>
      <c r="H490" s="71" t="s">
        <v>654</v>
      </c>
      <c r="I490" s="31"/>
      <c r="J490" s="32" t="s">
        <v>708</v>
      </c>
      <c r="K490" s="32" t="str">
        <f t="shared" si="14"/>
        <v>_</v>
      </c>
      <c r="L490" s="111">
        <f>ROUND(Tableau18[[#This Row],[LEN]]*7.27,0)</f>
        <v>109</v>
      </c>
      <c r="M490" s="111">
        <v>15</v>
      </c>
      <c r="N490" s="128" t="str">
        <f t="shared" si="15"/>
        <v>_self</v>
      </c>
      <c r="O490" s="111">
        <f>LEN(Tableau18[[#This Row],[LABEL]])</f>
        <v>15</v>
      </c>
      <c r="P490" s="111">
        <v>15</v>
      </c>
      <c r="Q490" s="111" t="e">
        <f>ROUND(Tableau18[[#This Row],[LEN]]*#REF!+#REF!,0)</f>
        <v>#REF!</v>
      </c>
    </row>
    <row r="491" spans="1:17" s="97" customFormat="1" x14ac:dyDescent="0.25">
      <c r="A491" s="29" t="s">
        <v>1364</v>
      </c>
      <c r="B491" s="30" t="s">
        <v>1346</v>
      </c>
      <c r="C491" s="31" t="s">
        <v>1369</v>
      </c>
      <c r="D491" s="71" t="s">
        <v>1177</v>
      </c>
      <c r="E491" s="31" t="s">
        <v>677</v>
      </c>
      <c r="F491" s="31" t="s">
        <v>1177</v>
      </c>
      <c r="G491" s="71" t="s">
        <v>166</v>
      </c>
      <c r="H491" s="71" t="s">
        <v>654</v>
      </c>
      <c r="I491" s="31"/>
      <c r="J491" s="32" t="s">
        <v>708</v>
      </c>
      <c r="K491" s="32" t="str">
        <f t="shared" si="14"/>
        <v>_</v>
      </c>
      <c r="L491" s="111">
        <f>ROUND(Tableau18[[#This Row],[LEN]]*7.27,0)</f>
        <v>153</v>
      </c>
      <c r="M491" s="111">
        <v>15</v>
      </c>
      <c r="N491" s="128" t="str">
        <f t="shared" si="15"/>
        <v>_self</v>
      </c>
      <c r="O491" s="111">
        <f>LEN(Tableau18[[#This Row],[LABEL]])</f>
        <v>21</v>
      </c>
      <c r="P491" s="111">
        <v>15</v>
      </c>
      <c r="Q491" s="111" t="e">
        <f>ROUND(Tableau18[[#This Row],[LEN]]*#REF!+#REF!,0)</f>
        <v>#REF!</v>
      </c>
    </row>
    <row r="492" spans="1:17" s="97" customFormat="1" x14ac:dyDescent="0.25">
      <c r="A492" s="29" t="s">
        <v>1365</v>
      </c>
      <c r="B492" s="30" t="s">
        <v>1346</v>
      </c>
      <c r="C492" s="31" t="s">
        <v>1370</v>
      </c>
      <c r="D492" s="71" t="s">
        <v>1177</v>
      </c>
      <c r="E492" s="31" t="s">
        <v>677</v>
      </c>
      <c r="F492" s="31" t="s">
        <v>1177</v>
      </c>
      <c r="G492" s="71" t="s">
        <v>166</v>
      </c>
      <c r="H492" s="71" t="s">
        <v>654</v>
      </c>
      <c r="I492" s="31"/>
      <c r="J492" s="32" t="s">
        <v>708</v>
      </c>
      <c r="K492" s="32" t="str">
        <f t="shared" si="14"/>
        <v>_</v>
      </c>
      <c r="L492" s="111">
        <f>ROUND(Tableau18[[#This Row],[LEN]]*7.27,0)</f>
        <v>51</v>
      </c>
      <c r="M492" s="111">
        <v>15</v>
      </c>
      <c r="N492" s="128" t="str">
        <f t="shared" si="15"/>
        <v>_self</v>
      </c>
      <c r="O492" s="111">
        <f>LEN(Tableau18[[#This Row],[LABEL]])</f>
        <v>7</v>
      </c>
      <c r="P492" s="111">
        <v>15</v>
      </c>
      <c r="Q492" s="111" t="e">
        <f>ROUND(Tableau18[[#This Row],[LEN]]*#REF!+#REF!,0)</f>
        <v>#REF!</v>
      </c>
    </row>
    <row r="493" spans="1:17" s="97" customFormat="1" x14ac:dyDescent="0.25">
      <c r="A493" s="29" t="s">
        <v>1366</v>
      </c>
      <c r="B493" s="30" t="s">
        <v>1346</v>
      </c>
      <c r="C493" s="31" t="s">
        <v>1371</v>
      </c>
      <c r="D493" s="71" t="s">
        <v>1177</v>
      </c>
      <c r="E493" s="31" t="s">
        <v>677</v>
      </c>
      <c r="F493" s="31" t="s">
        <v>1177</v>
      </c>
      <c r="G493" s="71" t="s">
        <v>166</v>
      </c>
      <c r="H493" s="71" t="s">
        <v>654</v>
      </c>
      <c r="I493" s="31"/>
      <c r="J493" s="32" t="s">
        <v>708</v>
      </c>
      <c r="K493" s="32" t="str">
        <f t="shared" si="14"/>
        <v>_</v>
      </c>
      <c r="L493" s="111">
        <f>ROUND(Tableau18[[#This Row],[LEN]]*7.27,0)</f>
        <v>131</v>
      </c>
      <c r="M493" s="111">
        <v>15</v>
      </c>
      <c r="N493" s="128" t="str">
        <f t="shared" si="15"/>
        <v>_self</v>
      </c>
      <c r="O493" s="111">
        <f>LEN(Tableau18[[#This Row],[LABEL]])</f>
        <v>18</v>
      </c>
      <c r="P493" s="111">
        <v>15</v>
      </c>
      <c r="Q493" s="111" t="e">
        <f>ROUND(Tableau18[[#This Row],[LEN]]*#REF!+#REF!,0)</f>
        <v>#REF!</v>
      </c>
    </row>
    <row r="494" spans="1:17" s="97" customFormat="1" x14ac:dyDescent="0.25">
      <c r="A494" s="29" t="s">
        <v>1367</v>
      </c>
      <c r="B494" s="30" t="s">
        <v>1346</v>
      </c>
      <c r="C494" s="31" t="s">
        <v>1372</v>
      </c>
      <c r="D494" s="71" t="s">
        <v>1177</v>
      </c>
      <c r="E494" s="31" t="s">
        <v>677</v>
      </c>
      <c r="F494" s="31" t="s">
        <v>1177</v>
      </c>
      <c r="G494" s="71" t="s">
        <v>166</v>
      </c>
      <c r="H494" s="71" t="s">
        <v>654</v>
      </c>
      <c r="I494" s="31"/>
      <c r="J494" s="32" t="s">
        <v>708</v>
      </c>
      <c r="K494" s="32" t="str">
        <f t="shared" si="14"/>
        <v>_</v>
      </c>
      <c r="L494" s="111">
        <f>ROUND(Tableau18[[#This Row],[LEN]]*7.27,0)</f>
        <v>80</v>
      </c>
      <c r="M494" s="111">
        <v>15</v>
      </c>
      <c r="N494" s="128" t="str">
        <f t="shared" si="15"/>
        <v>_self</v>
      </c>
      <c r="O494" s="111">
        <f>LEN(Tableau18[[#This Row],[LABEL]])</f>
        <v>11</v>
      </c>
      <c r="P494" s="111">
        <v>15</v>
      </c>
      <c r="Q494" s="111" t="e">
        <f>ROUND(Tableau18[[#This Row],[LEN]]*#REF!+#REF!,0)</f>
        <v>#REF!</v>
      </c>
    </row>
    <row r="495" spans="1:17" s="97" customFormat="1" x14ac:dyDescent="0.25">
      <c r="A495" s="220" t="s">
        <v>1347</v>
      </c>
      <c r="B495" s="221" t="s">
        <v>263</v>
      </c>
      <c r="C495" s="222" t="s">
        <v>1337</v>
      </c>
      <c r="D495" s="70" t="s">
        <v>1338</v>
      </c>
      <c r="E495" s="229" t="s">
        <v>676</v>
      </c>
      <c r="F495" s="215" t="s">
        <v>1339</v>
      </c>
      <c r="G495" s="70" t="s">
        <v>166</v>
      </c>
      <c r="H495" s="223" t="s">
        <v>656</v>
      </c>
      <c r="I495" s="222"/>
      <c r="J495" s="224" t="s">
        <v>708</v>
      </c>
      <c r="K495" s="224" t="str">
        <f t="shared" si="14"/>
        <v>_</v>
      </c>
      <c r="L495" s="225">
        <f>ROUND(Tableau18[[#This Row],[LEN]]*7.27,0)</f>
        <v>378</v>
      </c>
      <c r="M495" s="225">
        <v>15</v>
      </c>
      <c r="N495" s="226" t="str">
        <f t="shared" si="15"/>
        <v>_self</v>
      </c>
      <c r="O495" s="225">
        <f>LEN(Tableau18[[#This Row],[LABEL]])</f>
        <v>52</v>
      </c>
      <c r="P495" s="225">
        <v>15</v>
      </c>
      <c r="Q495" s="225" t="e">
        <f>ROUND(Tableau18[[#This Row],[LEN]]*#REF!+#REF!,0)</f>
        <v>#REF!</v>
      </c>
    </row>
    <row r="496" spans="1:17" s="97" customFormat="1" x14ac:dyDescent="0.25">
      <c r="A496" s="220" t="s">
        <v>1348</v>
      </c>
      <c r="B496" s="221" t="s">
        <v>263</v>
      </c>
      <c r="C496" s="222" t="s">
        <v>88</v>
      </c>
      <c r="D496" s="70" t="s">
        <v>1177</v>
      </c>
      <c r="E496" s="229" t="s">
        <v>667</v>
      </c>
      <c r="F496" s="215" t="s">
        <v>1218</v>
      </c>
      <c r="G496" s="70" t="s">
        <v>166</v>
      </c>
      <c r="H496" s="223" t="s">
        <v>570</v>
      </c>
      <c r="I496" s="222"/>
      <c r="J496" s="224" t="s">
        <v>708</v>
      </c>
      <c r="K496" s="224" t="str">
        <f t="shared" si="14"/>
        <v>_</v>
      </c>
      <c r="L496" s="225">
        <f>ROUND(Tableau18[[#This Row],[LEN]]*7.27,0)</f>
        <v>342</v>
      </c>
      <c r="M496" s="225">
        <v>15</v>
      </c>
      <c r="N496" s="226" t="str">
        <f t="shared" si="15"/>
        <v>_self</v>
      </c>
      <c r="O496" s="225">
        <f>LEN(Tableau18[[#This Row],[LABEL]])</f>
        <v>47</v>
      </c>
      <c r="P496" s="225">
        <v>15</v>
      </c>
      <c r="Q496" s="225" t="e">
        <f>ROUND(Tableau18[[#This Row],[LEN]]*#REF!+#REF!,0)</f>
        <v>#REF!</v>
      </c>
    </row>
    <row r="497" spans="1:17" s="97" customFormat="1" x14ac:dyDescent="0.25">
      <c r="A497" s="220" t="s">
        <v>1349</v>
      </c>
      <c r="B497" s="221" t="s">
        <v>263</v>
      </c>
      <c r="C497" s="222" t="s">
        <v>142</v>
      </c>
      <c r="D497" s="70" t="s">
        <v>1177</v>
      </c>
      <c r="E497" s="229" t="s">
        <v>669</v>
      </c>
      <c r="F497" s="215" t="s">
        <v>677</v>
      </c>
      <c r="G497" s="70" t="s">
        <v>166</v>
      </c>
      <c r="H497" s="223" t="s">
        <v>655</v>
      </c>
      <c r="I497" s="222"/>
      <c r="J497" s="224" t="s">
        <v>708</v>
      </c>
      <c r="K497" s="224" t="str">
        <f t="shared" si="14"/>
        <v>_</v>
      </c>
      <c r="L497" s="225">
        <f>ROUND(Tableau18[[#This Row],[LEN]]*7.27,0)</f>
        <v>109</v>
      </c>
      <c r="M497" s="225">
        <v>15</v>
      </c>
      <c r="N497" s="226" t="str">
        <f t="shared" si="15"/>
        <v>_self</v>
      </c>
      <c r="O497" s="225">
        <f>LEN(Tableau18[[#This Row],[LABEL]])</f>
        <v>15</v>
      </c>
      <c r="P497" s="225">
        <v>15</v>
      </c>
      <c r="Q497" s="225" t="e">
        <f>ROUND(Tableau18[[#This Row],[LEN]]*#REF!+#REF!,0)</f>
        <v>#REF!</v>
      </c>
    </row>
    <row r="498" spans="1:17" s="97" customFormat="1" x14ac:dyDescent="0.25">
      <c r="A498" s="220" t="s">
        <v>1350</v>
      </c>
      <c r="B498" s="221" t="s">
        <v>263</v>
      </c>
      <c r="C498" s="222" t="s">
        <v>1357</v>
      </c>
      <c r="D498" s="70" t="s">
        <v>1177</v>
      </c>
      <c r="E498" s="229" t="s">
        <v>673</v>
      </c>
      <c r="F498" s="215" t="s">
        <v>1249</v>
      </c>
      <c r="G498" s="70" t="s">
        <v>166</v>
      </c>
      <c r="H498" s="223" t="s">
        <v>655</v>
      </c>
      <c r="I498" s="222"/>
      <c r="J498" s="224" t="s">
        <v>708</v>
      </c>
      <c r="K498" s="224" t="str">
        <f t="shared" si="14"/>
        <v>_</v>
      </c>
      <c r="L498" s="225">
        <f>ROUND(Tableau18[[#This Row],[LEN]]*7.27,0)</f>
        <v>298</v>
      </c>
      <c r="M498" s="225">
        <v>15</v>
      </c>
      <c r="N498" s="226" t="str">
        <f t="shared" si="15"/>
        <v>_self</v>
      </c>
      <c r="O498" s="225">
        <f>LEN(Tableau18[[#This Row],[LABEL]])</f>
        <v>41</v>
      </c>
      <c r="P498" s="225">
        <v>15</v>
      </c>
      <c r="Q498" s="225" t="e">
        <f>ROUND(Tableau18[[#This Row],[LEN]]*#REF!+#REF!,0)</f>
        <v>#REF!</v>
      </c>
    </row>
    <row r="499" spans="1:17" s="97" customFormat="1" x14ac:dyDescent="0.25">
      <c r="A499" s="220" t="s">
        <v>1351</v>
      </c>
      <c r="B499" s="221" t="s">
        <v>263</v>
      </c>
      <c r="C499" s="222" t="s">
        <v>1343</v>
      </c>
      <c r="D499" s="70" t="s">
        <v>1177</v>
      </c>
      <c r="E499" s="229" t="s">
        <v>676</v>
      </c>
      <c r="F499" s="215" t="s">
        <v>677</v>
      </c>
      <c r="G499" s="70" t="s">
        <v>166</v>
      </c>
      <c r="H499" s="223" t="s">
        <v>654</v>
      </c>
      <c r="I499" s="222"/>
      <c r="J499" s="224" t="s">
        <v>708</v>
      </c>
      <c r="K499" s="224" t="str">
        <f t="shared" si="14"/>
        <v>_</v>
      </c>
      <c r="L499" s="225">
        <f>ROUND(Tableau18[[#This Row],[LEN]]*7.27,0)</f>
        <v>269</v>
      </c>
      <c r="M499" s="225">
        <v>15</v>
      </c>
      <c r="N499" s="226" t="str">
        <f t="shared" si="15"/>
        <v>_self</v>
      </c>
      <c r="O499" s="225">
        <f>LEN(Tableau18[[#This Row],[LABEL]])</f>
        <v>37</v>
      </c>
      <c r="P499" s="225">
        <v>15</v>
      </c>
      <c r="Q499" s="225" t="e">
        <f>ROUND(Tableau18[[#This Row],[LEN]]*#REF!+#REF!,0)</f>
        <v>#REF!</v>
      </c>
    </row>
    <row r="500" spans="1:17" s="97" customFormat="1" x14ac:dyDescent="0.25">
      <c r="A500" s="220" t="s">
        <v>1352</v>
      </c>
      <c r="B500" s="221" t="s">
        <v>263</v>
      </c>
      <c r="C500" s="222" t="s">
        <v>778</v>
      </c>
      <c r="D500" s="70" t="s">
        <v>1177</v>
      </c>
      <c r="E500" s="229" t="s">
        <v>673</v>
      </c>
      <c r="F500" s="27" t="s">
        <v>2000</v>
      </c>
      <c r="G500" s="70" t="s">
        <v>166</v>
      </c>
      <c r="H500" s="223" t="s">
        <v>17</v>
      </c>
      <c r="I500" s="222"/>
      <c r="J500" s="224" t="s">
        <v>708</v>
      </c>
      <c r="K500" s="224" t="str">
        <f t="shared" si="14"/>
        <v>_</v>
      </c>
      <c r="L500" s="225">
        <f>ROUND(Tableau18[[#This Row],[LEN]]*7.27,0)</f>
        <v>211</v>
      </c>
      <c r="M500" s="225">
        <v>15</v>
      </c>
      <c r="N500" s="226" t="str">
        <f t="shared" si="15"/>
        <v>_self</v>
      </c>
      <c r="O500" s="225">
        <f>LEN(Tableau18[[#This Row],[LABEL]])</f>
        <v>29</v>
      </c>
      <c r="P500" s="225">
        <v>15</v>
      </c>
      <c r="Q500" s="225" t="e">
        <f>ROUND(Tableau18[[#This Row],[LEN]]*#REF!+#REF!,0)</f>
        <v>#REF!</v>
      </c>
    </row>
    <row r="501" spans="1:17" s="97" customFormat="1" x14ac:dyDescent="0.25">
      <c r="A501" s="220" t="s">
        <v>1353</v>
      </c>
      <c r="B501" s="221" t="s">
        <v>263</v>
      </c>
      <c r="C501" s="222" t="s">
        <v>91</v>
      </c>
      <c r="D501" s="70" t="s">
        <v>1177</v>
      </c>
      <c r="E501" s="229" t="s">
        <v>663</v>
      </c>
      <c r="F501" s="215" t="s">
        <v>2080</v>
      </c>
      <c r="G501" s="70" t="s">
        <v>166</v>
      </c>
      <c r="H501" s="223" t="s">
        <v>655</v>
      </c>
      <c r="I501" s="222"/>
      <c r="J501" s="224" t="s">
        <v>708</v>
      </c>
      <c r="K501" s="224" t="str">
        <f t="shared" si="14"/>
        <v>_</v>
      </c>
      <c r="L501" s="225">
        <f>ROUND(Tableau18[[#This Row],[LEN]]*7.27,0)</f>
        <v>269</v>
      </c>
      <c r="M501" s="225">
        <v>15</v>
      </c>
      <c r="N501" s="226" t="str">
        <f t="shared" si="15"/>
        <v>_self</v>
      </c>
      <c r="O501" s="225">
        <f>LEN(Tableau18[[#This Row],[LABEL]])</f>
        <v>37</v>
      </c>
      <c r="P501" s="225">
        <v>15</v>
      </c>
      <c r="Q501" s="225" t="e">
        <f>ROUND(Tableau18[[#This Row],[LEN]]*#REF!+#REF!,0)</f>
        <v>#REF!</v>
      </c>
    </row>
    <row r="502" spans="1:17" s="97" customFormat="1" x14ac:dyDescent="0.25">
      <c r="A502" s="29" t="s">
        <v>1359</v>
      </c>
      <c r="B502" s="30" t="s">
        <v>1353</v>
      </c>
      <c r="C502" s="31" t="s">
        <v>98</v>
      </c>
      <c r="D502" s="71" t="s">
        <v>1177</v>
      </c>
      <c r="E502" s="31" t="s">
        <v>663</v>
      </c>
      <c r="F502" s="31" t="s">
        <v>1358</v>
      </c>
      <c r="G502" s="71" t="s">
        <v>166</v>
      </c>
      <c r="H502" s="71" t="s">
        <v>18</v>
      </c>
      <c r="I502" s="31"/>
      <c r="J502" s="32" t="s">
        <v>708</v>
      </c>
      <c r="K502" s="32" t="str">
        <f t="shared" si="14"/>
        <v>_</v>
      </c>
      <c r="L502" s="111">
        <f>ROUND(Tableau18[[#This Row],[LEN]]*7.27,0)</f>
        <v>109</v>
      </c>
      <c r="M502" s="111">
        <v>15</v>
      </c>
      <c r="N502" s="128" t="str">
        <f t="shared" si="15"/>
        <v>_self</v>
      </c>
      <c r="O502" s="111">
        <f>LEN(Tableau18[[#This Row],[LABEL]])</f>
        <v>15</v>
      </c>
      <c r="P502" s="111">
        <v>15</v>
      </c>
      <c r="Q502" s="111" t="e">
        <f>ROUND(Tableau18[[#This Row],[LEN]]*#REF!+#REF!,0)</f>
        <v>#REF!</v>
      </c>
    </row>
    <row r="503" spans="1:17" s="97" customFormat="1" x14ac:dyDescent="0.25">
      <c r="A503" s="29" t="s">
        <v>1360</v>
      </c>
      <c r="B503" s="30" t="s">
        <v>1353</v>
      </c>
      <c r="C503" s="31" t="s">
        <v>99</v>
      </c>
      <c r="D503" s="71" t="s">
        <v>1177</v>
      </c>
      <c r="E503" s="31" t="s">
        <v>663</v>
      </c>
      <c r="F503" s="31" t="s">
        <v>1358</v>
      </c>
      <c r="G503" s="71" t="s">
        <v>166</v>
      </c>
      <c r="H503" s="71" t="s">
        <v>18</v>
      </c>
      <c r="I503" s="31"/>
      <c r="J503" s="32" t="s">
        <v>708</v>
      </c>
      <c r="K503" s="32" t="str">
        <f t="shared" si="14"/>
        <v>_</v>
      </c>
      <c r="L503" s="111">
        <f>ROUND(Tableau18[[#This Row],[LEN]]*7.27,0)</f>
        <v>80</v>
      </c>
      <c r="M503" s="111">
        <v>15</v>
      </c>
      <c r="N503" s="128" t="str">
        <f t="shared" si="15"/>
        <v>_self</v>
      </c>
      <c r="O503" s="111">
        <f>LEN(Tableau18[[#This Row],[LABEL]])</f>
        <v>11</v>
      </c>
      <c r="P503" s="111">
        <v>15</v>
      </c>
      <c r="Q503" s="111" t="e">
        <f>ROUND(Tableau18[[#This Row],[LEN]]*#REF!+#REF!,0)</f>
        <v>#REF!</v>
      </c>
    </row>
    <row r="504" spans="1:17" s="97" customFormat="1" x14ac:dyDescent="0.25">
      <c r="A504" s="220" t="s">
        <v>1354</v>
      </c>
      <c r="B504" s="221" t="s">
        <v>263</v>
      </c>
      <c r="C504" s="222" t="s">
        <v>1167</v>
      </c>
      <c r="D504" s="70" t="s">
        <v>486</v>
      </c>
      <c r="E504" s="229" t="s">
        <v>1085</v>
      </c>
      <c r="F504" s="215" t="s">
        <v>1084</v>
      </c>
      <c r="G504" s="70" t="s">
        <v>1977</v>
      </c>
      <c r="H504" s="223" t="s">
        <v>1131</v>
      </c>
      <c r="I504" s="222"/>
      <c r="J504" s="224" t="s">
        <v>708</v>
      </c>
      <c r="K504" s="224" t="str">
        <f t="shared" si="14"/>
        <v>_</v>
      </c>
      <c r="L504" s="225">
        <f>ROUND(Tableau18[[#This Row],[LEN]]*7.27,0)</f>
        <v>196</v>
      </c>
      <c r="M504" s="225">
        <v>15</v>
      </c>
      <c r="N504" s="226" t="str">
        <f t="shared" si="15"/>
        <v>_self</v>
      </c>
      <c r="O504" s="225">
        <f>LEN(Tableau18[[#This Row],[LABEL]])</f>
        <v>27</v>
      </c>
      <c r="P504" s="225">
        <v>15</v>
      </c>
      <c r="Q504" s="225" t="e">
        <f>ROUND(Tableau18[[#This Row],[LEN]]*#REF!+#REF!,0)</f>
        <v>#REF!</v>
      </c>
    </row>
    <row r="505" spans="1:17" s="97" customFormat="1" x14ac:dyDescent="0.25">
      <c r="A505" s="29" t="s">
        <v>1361</v>
      </c>
      <c r="B505" s="30" t="s">
        <v>1354</v>
      </c>
      <c r="C505" s="31" t="s">
        <v>93</v>
      </c>
      <c r="D505" s="71" t="s">
        <v>1177</v>
      </c>
      <c r="E505" s="31" t="s">
        <v>1085</v>
      </c>
      <c r="F505" s="31" t="s">
        <v>1084</v>
      </c>
      <c r="G505" s="71" t="s">
        <v>166</v>
      </c>
      <c r="H505" s="71" t="s">
        <v>18</v>
      </c>
      <c r="I505" s="31"/>
      <c r="J505" s="32" t="s">
        <v>101</v>
      </c>
      <c r="K505" s="32" t="str">
        <f t="shared" si="14"/>
        <v>Documentation</v>
      </c>
      <c r="L505" s="111">
        <f>ROUND(Tableau18[[#This Row],[LEN]]*7.27,0)</f>
        <v>109</v>
      </c>
      <c r="M505" s="111">
        <v>15</v>
      </c>
      <c r="N505" s="128" t="str">
        <f t="shared" si="15"/>
        <v>_blank</v>
      </c>
      <c r="O505" s="111">
        <f>LEN(Tableau18[[#This Row],[LABEL]])</f>
        <v>15</v>
      </c>
      <c r="P505" s="111">
        <v>15</v>
      </c>
      <c r="Q505" s="111" t="e">
        <f>ROUND(Tableau18[[#This Row],[LEN]]*#REF!+#REF!,0)</f>
        <v>#REF!</v>
      </c>
    </row>
    <row r="506" spans="1:17" s="97" customFormat="1" x14ac:dyDescent="0.25">
      <c r="A506" s="29" t="s">
        <v>1362</v>
      </c>
      <c r="B506" s="30" t="s">
        <v>1354</v>
      </c>
      <c r="C506" s="31" t="s">
        <v>94</v>
      </c>
      <c r="D506" s="71" t="s">
        <v>1177</v>
      </c>
      <c r="E506" s="31" t="s">
        <v>1085</v>
      </c>
      <c r="F506" s="31" t="s">
        <v>1084</v>
      </c>
      <c r="G506" s="71" t="s">
        <v>166</v>
      </c>
      <c r="H506" s="71" t="s">
        <v>18</v>
      </c>
      <c r="I506" s="31"/>
      <c r="J506" s="32" t="s">
        <v>102</v>
      </c>
      <c r="K506" s="32" t="str">
        <f t="shared" si="14"/>
        <v>Documentation</v>
      </c>
      <c r="L506" s="111">
        <f>ROUND(Tableau18[[#This Row],[LEN]]*7.27,0)</f>
        <v>58</v>
      </c>
      <c r="M506" s="111">
        <v>15</v>
      </c>
      <c r="N506" s="128" t="str">
        <f t="shared" si="15"/>
        <v>_blank</v>
      </c>
      <c r="O506" s="111">
        <f>LEN(Tableau18[[#This Row],[LABEL]])</f>
        <v>8</v>
      </c>
      <c r="P506" s="111">
        <v>15</v>
      </c>
      <c r="Q506" s="111" t="e">
        <f>ROUND(Tableau18[[#This Row],[LEN]]*#REF!+#REF!,0)</f>
        <v>#REF!</v>
      </c>
    </row>
    <row r="507" spans="1:17" s="273" customFormat="1" x14ac:dyDescent="0.25">
      <c r="A507" s="288" t="s">
        <v>264</v>
      </c>
      <c r="B507" s="289" t="s">
        <v>206</v>
      </c>
      <c r="C507" s="290" t="s">
        <v>14</v>
      </c>
      <c r="D507" s="291" t="s">
        <v>1177</v>
      </c>
      <c r="E507" s="290" t="s">
        <v>678</v>
      </c>
      <c r="F507" s="290" t="s">
        <v>1177</v>
      </c>
      <c r="G507" s="291" t="s">
        <v>166</v>
      </c>
      <c r="H507" s="291" t="str">
        <f>IFERROR(IF(SEARCH(".00.00.00.00.00",Tableau18[[#This Row],[name]],1)=7,"Division",""),"")</f>
        <v>Division</v>
      </c>
      <c r="I507" s="290"/>
      <c r="J507" s="292" t="s">
        <v>724</v>
      </c>
      <c r="K507" s="292" t="str">
        <f t="shared" si="14"/>
        <v>Documentation</v>
      </c>
      <c r="L507" s="293">
        <f>ROUND(Tableau18[[#This Row],[LEN]]*7.27,0)</f>
        <v>240</v>
      </c>
      <c r="M507" s="293">
        <v>15</v>
      </c>
      <c r="N507" s="294" t="str">
        <f t="shared" si="15"/>
        <v>_blank</v>
      </c>
      <c r="O507" s="293">
        <f>LEN(Tableau18[[#This Row],[LABEL]])</f>
        <v>33</v>
      </c>
      <c r="P507" s="293">
        <v>15</v>
      </c>
      <c r="Q507" s="293" t="e">
        <f>ROUND(Tableau18[[#This Row],[LEN]]*#REF!+#REF!,0)</f>
        <v>#REF!</v>
      </c>
    </row>
    <row r="508" spans="1:17" s="97" customFormat="1" x14ac:dyDescent="0.25">
      <c r="A508" s="220" t="s">
        <v>1373</v>
      </c>
      <c r="B508" s="221" t="s">
        <v>264</v>
      </c>
      <c r="C508" s="222" t="s">
        <v>1168</v>
      </c>
      <c r="D508" s="70" t="s">
        <v>1177</v>
      </c>
      <c r="E508" s="229" t="s">
        <v>668</v>
      </c>
      <c r="F508" s="215" t="s">
        <v>1178</v>
      </c>
      <c r="G508" s="70" t="s">
        <v>166</v>
      </c>
      <c r="H508" s="223" t="s">
        <v>654</v>
      </c>
      <c r="I508" s="222"/>
      <c r="J508" s="224" t="s">
        <v>708</v>
      </c>
      <c r="K508" s="224" t="str">
        <f t="shared" si="14"/>
        <v>_</v>
      </c>
      <c r="L508" s="225">
        <f>ROUND(Tableau18[[#This Row],[LEN]]*7.27,0)</f>
        <v>262</v>
      </c>
      <c r="M508" s="225">
        <v>15</v>
      </c>
      <c r="N508" s="226" t="str">
        <f t="shared" si="15"/>
        <v>_self</v>
      </c>
      <c r="O508" s="225">
        <f>LEN(Tableau18[[#This Row],[LABEL]])</f>
        <v>36</v>
      </c>
      <c r="P508" s="225">
        <v>15</v>
      </c>
      <c r="Q508" s="225" t="e">
        <f>ROUND(Tableau18[[#This Row],[LEN]]*#REF!+#REF!,0)</f>
        <v>#REF!</v>
      </c>
    </row>
    <row r="509" spans="1:17" s="97" customFormat="1" x14ac:dyDescent="0.25">
      <c r="A509" s="220" t="s">
        <v>1374</v>
      </c>
      <c r="B509" s="221" t="s">
        <v>264</v>
      </c>
      <c r="C509" s="222" t="s">
        <v>1337</v>
      </c>
      <c r="D509" s="70" t="s">
        <v>1338</v>
      </c>
      <c r="E509" s="229" t="s">
        <v>676</v>
      </c>
      <c r="F509" s="215" t="s">
        <v>1339</v>
      </c>
      <c r="G509" s="70" t="s">
        <v>166</v>
      </c>
      <c r="H509" s="223" t="s">
        <v>656</v>
      </c>
      <c r="I509" s="222"/>
      <c r="J509" s="224" t="s">
        <v>708</v>
      </c>
      <c r="K509" s="224" t="str">
        <f t="shared" si="14"/>
        <v>_</v>
      </c>
      <c r="L509" s="225">
        <f>ROUND(Tableau18[[#This Row],[LEN]]*7.27,0)</f>
        <v>378</v>
      </c>
      <c r="M509" s="225">
        <v>15</v>
      </c>
      <c r="N509" s="226" t="str">
        <f t="shared" si="15"/>
        <v>_self</v>
      </c>
      <c r="O509" s="225">
        <f>LEN(Tableau18[[#This Row],[LABEL]])</f>
        <v>52</v>
      </c>
      <c r="P509" s="225">
        <v>15</v>
      </c>
      <c r="Q509" s="225" t="e">
        <f>ROUND(Tableau18[[#This Row],[LEN]]*#REF!+#REF!,0)</f>
        <v>#REF!</v>
      </c>
    </row>
    <row r="510" spans="1:17" s="97" customFormat="1" x14ac:dyDescent="0.25">
      <c r="A510" s="220" t="s">
        <v>1375</v>
      </c>
      <c r="B510" s="221" t="s">
        <v>264</v>
      </c>
      <c r="C510" s="222" t="s">
        <v>138</v>
      </c>
      <c r="D510" s="70" t="s">
        <v>1177</v>
      </c>
      <c r="E510" s="229" t="s">
        <v>669</v>
      </c>
      <c r="F510" s="215" t="s">
        <v>678</v>
      </c>
      <c r="G510" s="70" t="s">
        <v>166</v>
      </c>
      <c r="H510" s="223" t="s">
        <v>655</v>
      </c>
      <c r="I510" s="222"/>
      <c r="J510" s="224" t="s">
        <v>708</v>
      </c>
      <c r="K510" s="224" t="str">
        <f t="shared" si="14"/>
        <v>_</v>
      </c>
      <c r="L510" s="225">
        <f>ROUND(Tableau18[[#This Row],[LEN]]*7.27,0)</f>
        <v>225</v>
      </c>
      <c r="M510" s="225">
        <v>15</v>
      </c>
      <c r="N510" s="226" t="str">
        <f t="shared" si="15"/>
        <v>_self</v>
      </c>
      <c r="O510" s="225">
        <f>LEN(Tableau18[[#This Row],[LABEL]])</f>
        <v>31</v>
      </c>
      <c r="P510" s="225">
        <v>15</v>
      </c>
      <c r="Q510" s="225" t="e">
        <f>ROUND(Tableau18[[#This Row],[LEN]]*#REF!+#REF!,0)</f>
        <v>#REF!</v>
      </c>
    </row>
    <row r="511" spans="1:17" s="97" customFormat="1" x14ac:dyDescent="0.25">
      <c r="A511" s="29" t="s">
        <v>1392</v>
      </c>
      <c r="B511" s="30" t="s">
        <v>1375</v>
      </c>
      <c r="C511" s="31" t="s">
        <v>139</v>
      </c>
      <c r="D511" s="71" t="s">
        <v>1177</v>
      </c>
      <c r="E511" s="31" t="s">
        <v>669</v>
      </c>
      <c r="F511" s="31" t="s">
        <v>678</v>
      </c>
      <c r="G511" s="71" t="s">
        <v>166</v>
      </c>
      <c r="H511" s="71" t="s">
        <v>654</v>
      </c>
      <c r="I511" s="31"/>
      <c r="J511" s="32" t="s">
        <v>708</v>
      </c>
      <c r="K511" s="32" t="str">
        <f t="shared" si="14"/>
        <v>_</v>
      </c>
      <c r="L511" s="111">
        <f>ROUND(Tableau18[[#This Row],[LEN]]*7.27,0)</f>
        <v>327</v>
      </c>
      <c r="M511" s="111">
        <v>15</v>
      </c>
      <c r="N511" s="128" t="str">
        <f t="shared" si="15"/>
        <v>_self</v>
      </c>
      <c r="O511" s="111">
        <f>LEN(Tableau18[[#This Row],[LABEL]])</f>
        <v>45</v>
      </c>
      <c r="P511" s="111">
        <v>15</v>
      </c>
      <c r="Q511" s="111" t="e">
        <f>ROUND(Tableau18[[#This Row],[LEN]]*#REF!+#REF!,0)</f>
        <v>#REF!</v>
      </c>
    </row>
    <row r="512" spans="1:17" s="97" customFormat="1" x14ac:dyDescent="0.25">
      <c r="A512" s="29" t="s">
        <v>1393</v>
      </c>
      <c r="B512" s="30" t="s">
        <v>1375</v>
      </c>
      <c r="C512" s="31" t="s">
        <v>140</v>
      </c>
      <c r="D512" s="71" t="s">
        <v>1177</v>
      </c>
      <c r="E512" s="31" t="s">
        <v>669</v>
      </c>
      <c r="F512" s="31" t="s">
        <v>678</v>
      </c>
      <c r="G512" s="71" t="s">
        <v>166</v>
      </c>
      <c r="H512" s="71" t="s">
        <v>654</v>
      </c>
      <c r="I512" s="31"/>
      <c r="J512" s="32" t="s">
        <v>708</v>
      </c>
      <c r="K512" s="32" t="str">
        <f t="shared" si="14"/>
        <v>_</v>
      </c>
      <c r="L512" s="111">
        <f>ROUND(Tableau18[[#This Row],[LEN]]*7.27,0)</f>
        <v>385</v>
      </c>
      <c r="M512" s="111">
        <v>15</v>
      </c>
      <c r="N512" s="128" t="str">
        <f t="shared" si="15"/>
        <v>_self</v>
      </c>
      <c r="O512" s="111">
        <f>LEN(Tableau18[[#This Row],[LABEL]])</f>
        <v>53</v>
      </c>
      <c r="P512" s="111">
        <v>15</v>
      </c>
      <c r="Q512" s="111" t="e">
        <f>ROUND(Tableau18[[#This Row],[LEN]]*#REF!+#REF!,0)</f>
        <v>#REF!</v>
      </c>
    </row>
    <row r="513" spans="1:17" s="97" customFormat="1" x14ac:dyDescent="0.25">
      <c r="A513" s="29" t="s">
        <v>1394</v>
      </c>
      <c r="B513" s="30" t="s">
        <v>1375</v>
      </c>
      <c r="C513" s="31" t="s">
        <v>141</v>
      </c>
      <c r="D513" s="71" t="s">
        <v>1177</v>
      </c>
      <c r="E513" s="31" t="s">
        <v>669</v>
      </c>
      <c r="F513" s="31" t="s">
        <v>678</v>
      </c>
      <c r="G513" s="71" t="s">
        <v>166</v>
      </c>
      <c r="H513" s="71" t="s">
        <v>17</v>
      </c>
      <c r="I513" s="31"/>
      <c r="J513" s="32" t="s">
        <v>708</v>
      </c>
      <c r="K513" s="32" t="str">
        <f t="shared" si="14"/>
        <v>_</v>
      </c>
      <c r="L513" s="111">
        <f>ROUND(Tableau18[[#This Row],[LEN]]*7.27,0)</f>
        <v>313</v>
      </c>
      <c r="M513" s="111">
        <v>15</v>
      </c>
      <c r="N513" s="128" t="str">
        <f t="shared" si="15"/>
        <v>_self</v>
      </c>
      <c r="O513" s="111">
        <f>LEN(Tableau18[[#This Row],[LABEL]])</f>
        <v>43</v>
      </c>
      <c r="P513" s="111">
        <v>15</v>
      </c>
      <c r="Q513" s="111" t="e">
        <f>ROUND(Tableau18[[#This Row],[LEN]]*#REF!+#REF!,0)</f>
        <v>#REF!</v>
      </c>
    </row>
    <row r="514" spans="1:17" s="97" customFormat="1" x14ac:dyDescent="0.25">
      <c r="A514" s="220" t="s">
        <v>1376</v>
      </c>
      <c r="B514" s="221" t="s">
        <v>264</v>
      </c>
      <c r="C514" s="222" t="s">
        <v>483</v>
      </c>
      <c r="D514" s="70" t="s">
        <v>1177</v>
      </c>
      <c r="E514" s="229" t="s">
        <v>672</v>
      </c>
      <c r="F514" s="215" t="s">
        <v>678</v>
      </c>
      <c r="G514" s="70" t="s">
        <v>166</v>
      </c>
      <c r="H514" s="223" t="s">
        <v>655</v>
      </c>
      <c r="I514" s="222"/>
      <c r="J514" s="224" t="s">
        <v>708</v>
      </c>
      <c r="K514" s="224" t="str">
        <f t="shared" ref="K514:K577" si="16">IF(J514="javascript:void(0)","_","Documentation")</f>
        <v>_</v>
      </c>
      <c r="L514" s="225">
        <f>ROUND(Tableau18[[#This Row],[LEN]]*7.27,0)</f>
        <v>247</v>
      </c>
      <c r="M514" s="225">
        <v>15</v>
      </c>
      <c r="N514" s="226" t="str">
        <f t="shared" si="15"/>
        <v>_self</v>
      </c>
      <c r="O514" s="225">
        <f>LEN(Tableau18[[#This Row],[LABEL]])</f>
        <v>34</v>
      </c>
      <c r="P514" s="225">
        <v>15</v>
      </c>
      <c r="Q514" s="225" t="e">
        <f>ROUND(Tableau18[[#This Row],[LEN]]*#REF!+#REF!,0)</f>
        <v>#REF!</v>
      </c>
    </row>
    <row r="515" spans="1:17" s="97" customFormat="1" x14ac:dyDescent="0.25">
      <c r="A515" s="29" t="s">
        <v>1396</v>
      </c>
      <c r="B515" s="30" t="s">
        <v>1376</v>
      </c>
      <c r="C515" s="31" t="s">
        <v>498</v>
      </c>
      <c r="D515" s="71" t="s">
        <v>1177</v>
      </c>
      <c r="E515" s="31" t="s">
        <v>672</v>
      </c>
      <c r="F515" s="31" t="s">
        <v>678</v>
      </c>
      <c r="G515" s="71" t="s">
        <v>166</v>
      </c>
      <c r="H515" s="71" t="s">
        <v>656</v>
      </c>
      <c r="I515" s="31"/>
      <c r="J515" s="32" t="s">
        <v>708</v>
      </c>
      <c r="K515" s="32" t="str">
        <f t="shared" si="16"/>
        <v>_</v>
      </c>
      <c r="L515" s="111">
        <f>ROUND(Tableau18[[#This Row],[LEN]]*7.27,0)</f>
        <v>349</v>
      </c>
      <c r="M515" s="111">
        <v>15</v>
      </c>
      <c r="N515" s="128" t="str">
        <f t="shared" ref="N515:N578" si="17">IF(J515="javascript:void(0)","_self","_blank")</f>
        <v>_self</v>
      </c>
      <c r="O515" s="111">
        <f>LEN(Tableau18[[#This Row],[LABEL]])</f>
        <v>48</v>
      </c>
      <c r="P515" s="111">
        <v>15</v>
      </c>
      <c r="Q515" s="111" t="e">
        <f>ROUND(Tableau18[[#This Row],[LEN]]*#REF!+#REF!,0)</f>
        <v>#REF!</v>
      </c>
    </row>
    <row r="516" spans="1:17" s="97" customFormat="1" x14ac:dyDescent="0.25">
      <c r="A516" s="29" t="s">
        <v>1397</v>
      </c>
      <c r="B516" s="30" t="s">
        <v>1376</v>
      </c>
      <c r="C516" s="31" t="s">
        <v>499</v>
      </c>
      <c r="D516" s="71" t="s">
        <v>1177</v>
      </c>
      <c r="E516" s="31" t="s">
        <v>672</v>
      </c>
      <c r="F516" s="31" t="s">
        <v>678</v>
      </c>
      <c r="G516" s="71" t="s">
        <v>166</v>
      </c>
      <c r="H516" s="71" t="s">
        <v>570</v>
      </c>
      <c r="I516" s="31"/>
      <c r="J516" s="32" t="s">
        <v>708</v>
      </c>
      <c r="K516" s="32" t="str">
        <f t="shared" si="16"/>
        <v>_</v>
      </c>
      <c r="L516" s="111">
        <f>ROUND(Tableau18[[#This Row],[LEN]]*7.27,0)</f>
        <v>225</v>
      </c>
      <c r="M516" s="111">
        <v>15</v>
      </c>
      <c r="N516" s="128" t="str">
        <f t="shared" si="17"/>
        <v>_self</v>
      </c>
      <c r="O516" s="111">
        <f>LEN(Tableau18[[#This Row],[LABEL]])</f>
        <v>31</v>
      </c>
      <c r="P516" s="111">
        <v>15</v>
      </c>
      <c r="Q516" s="111" t="e">
        <f>ROUND(Tableau18[[#This Row],[LEN]]*#REF!+#REF!,0)</f>
        <v>#REF!</v>
      </c>
    </row>
    <row r="517" spans="1:17" s="97" customFormat="1" x14ac:dyDescent="0.25">
      <c r="A517" s="29" t="s">
        <v>1398</v>
      </c>
      <c r="B517" s="30" t="s">
        <v>1376</v>
      </c>
      <c r="C517" s="31" t="s">
        <v>500</v>
      </c>
      <c r="D517" s="71" t="s">
        <v>1177</v>
      </c>
      <c r="E517" s="31" t="s">
        <v>672</v>
      </c>
      <c r="F517" s="31" t="s">
        <v>678</v>
      </c>
      <c r="G517" s="71" t="s">
        <v>166</v>
      </c>
      <c r="H517" s="71" t="s">
        <v>656</v>
      </c>
      <c r="I517" s="31"/>
      <c r="J517" s="32" t="s">
        <v>708</v>
      </c>
      <c r="K517" s="32" t="str">
        <f t="shared" si="16"/>
        <v>_</v>
      </c>
      <c r="L517" s="111">
        <f>ROUND(Tableau18[[#This Row],[LEN]]*7.27,0)</f>
        <v>254</v>
      </c>
      <c r="M517" s="111">
        <v>15</v>
      </c>
      <c r="N517" s="128" t="str">
        <f t="shared" si="17"/>
        <v>_self</v>
      </c>
      <c r="O517" s="111">
        <f>LEN(Tableau18[[#This Row],[LABEL]])</f>
        <v>35</v>
      </c>
      <c r="P517" s="111">
        <v>15</v>
      </c>
      <c r="Q517" s="111" t="e">
        <f>ROUND(Tableau18[[#This Row],[LEN]]*#REF!+#REF!,0)</f>
        <v>#REF!</v>
      </c>
    </row>
    <row r="518" spans="1:17" s="97" customFormat="1" x14ac:dyDescent="0.25">
      <c r="A518" s="29" t="s">
        <v>1399</v>
      </c>
      <c r="B518" s="30" t="s">
        <v>1376</v>
      </c>
      <c r="C518" s="31" t="s">
        <v>501</v>
      </c>
      <c r="D518" s="71" t="s">
        <v>1177</v>
      </c>
      <c r="E518" s="31" t="s">
        <v>672</v>
      </c>
      <c r="F518" s="31" t="s">
        <v>678</v>
      </c>
      <c r="G518" s="71" t="s">
        <v>166</v>
      </c>
      <c r="H518" s="71" t="s">
        <v>656</v>
      </c>
      <c r="I518" s="31"/>
      <c r="J518" s="32" t="s">
        <v>708</v>
      </c>
      <c r="K518" s="32" t="str">
        <f t="shared" si="16"/>
        <v>_</v>
      </c>
      <c r="L518" s="111">
        <f>ROUND(Tableau18[[#This Row],[LEN]]*7.27,0)</f>
        <v>313</v>
      </c>
      <c r="M518" s="111">
        <v>15</v>
      </c>
      <c r="N518" s="128" t="str">
        <f t="shared" si="17"/>
        <v>_self</v>
      </c>
      <c r="O518" s="111">
        <f>LEN(Tableau18[[#This Row],[LABEL]])</f>
        <v>43</v>
      </c>
      <c r="P518" s="111">
        <v>15</v>
      </c>
      <c r="Q518" s="111" t="e">
        <f>ROUND(Tableau18[[#This Row],[LEN]]*#REF!+#REF!,0)</f>
        <v>#REF!</v>
      </c>
    </row>
    <row r="519" spans="1:17" s="97" customFormat="1" x14ac:dyDescent="0.25">
      <c r="A519" s="29" t="s">
        <v>1400</v>
      </c>
      <c r="B519" s="30" t="s">
        <v>1376</v>
      </c>
      <c r="C519" s="31" t="s">
        <v>502</v>
      </c>
      <c r="D519" s="71" t="s">
        <v>1177</v>
      </c>
      <c r="E519" s="31" t="s">
        <v>672</v>
      </c>
      <c r="F519" s="31" t="s">
        <v>678</v>
      </c>
      <c r="G519" s="71" t="s">
        <v>166</v>
      </c>
      <c r="H519" s="71" t="s">
        <v>654</v>
      </c>
      <c r="I519" s="31"/>
      <c r="J519" s="32" t="s">
        <v>708</v>
      </c>
      <c r="K519" s="32" t="str">
        <f t="shared" si="16"/>
        <v>_</v>
      </c>
      <c r="L519" s="111">
        <f>ROUND(Tableau18[[#This Row],[LEN]]*7.27,0)</f>
        <v>247</v>
      </c>
      <c r="M519" s="111">
        <v>15</v>
      </c>
      <c r="N519" s="128" t="str">
        <f t="shared" si="17"/>
        <v>_self</v>
      </c>
      <c r="O519" s="111">
        <f>LEN(Tableau18[[#This Row],[LABEL]])</f>
        <v>34</v>
      </c>
      <c r="P519" s="111">
        <v>15</v>
      </c>
      <c r="Q519" s="111" t="e">
        <f>ROUND(Tableau18[[#This Row],[LEN]]*#REF!+#REF!,0)</f>
        <v>#REF!</v>
      </c>
    </row>
    <row r="520" spans="1:17" s="97" customFormat="1" x14ac:dyDescent="0.25">
      <c r="A520" s="29" t="s">
        <v>1401</v>
      </c>
      <c r="B520" s="30" t="s">
        <v>1376</v>
      </c>
      <c r="C520" s="31" t="s">
        <v>503</v>
      </c>
      <c r="D520" s="71" t="s">
        <v>1177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32" t="str">
        <f t="shared" si="16"/>
        <v>_</v>
      </c>
      <c r="L520" s="111">
        <f>ROUND(Tableau18[[#This Row],[LEN]]*7.27,0)</f>
        <v>371</v>
      </c>
      <c r="M520" s="111">
        <v>15</v>
      </c>
      <c r="N520" s="128" t="str">
        <f t="shared" si="17"/>
        <v>_self</v>
      </c>
      <c r="O520" s="111">
        <f>LEN(Tableau18[[#This Row],[LABEL]])</f>
        <v>51</v>
      </c>
      <c r="P520" s="111">
        <v>15</v>
      </c>
      <c r="Q520" s="111" t="e">
        <f>ROUND(Tableau18[[#This Row],[LEN]]*#REF!+#REF!,0)</f>
        <v>#REF!</v>
      </c>
    </row>
    <row r="521" spans="1:17" s="97" customFormat="1" x14ac:dyDescent="0.25">
      <c r="A521" s="220" t="s">
        <v>1377</v>
      </c>
      <c r="B521" s="221" t="s">
        <v>264</v>
      </c>
      <c r="C521" s="222" t="s">
        <v>88</v>
      </c>
      <c r="D521" s="70" t="s">
        <v>1177</v>
      </c>
      <c r="E521" s="229" t="s">
        <v>667</v>
      </c>
      <c r="F521" s="215" t="s">
        <v>1218</v>
      </c>
      <c r="G521" s="70" t="s">
        <v>166</v>
      </c>
      <c r="H521" s="223" t="s">
        <v>570</v>
      </c>
      <c r="I521" s="222"/>
      <c r="J521" s="224" t="s">
        <v>708</v>
      </c>
      <c r="K521" s="224" t="str">
        <f t="shared" si="16"/>
        <v>_</v>
      </c>
      <c r="L521" s="225">
        <f>ROUND(Tableau18[[#This Row],[LEN]]*7.27,0)</f>
        <v>342</v>
      </c>
      <c r="M521" s="225">
        <v>15</v>
      </c>
      <c r="N521" s="226" t="str">
        <f t="shared" si="17"/>
        <v>_self</v>
      </c>
      <c r="O521" s="225">
        <f>LEN(Tableau18[[#This Row],[LABEL]])</f>
        <v>47</v>
      </c>
      <c r="P521" s="225">
        <v>15</v>
      </c>
      <c r="Q521" s="225" t="e">
        <f>ROUND(Tableau18[[#This Row],[LEN]]*#REF!+#REF!,0)</f>
        <v>#REF!</v>
      </c>
    </row>
    <row r="522" spans="1:17" s="97" customFormat="1" x14ac:dyDescent="0.25">
      <c r="A522" s="220" t="s">
        <v>1378</v>
      </c>
      <c r="B522" s="221" t="s">
        <v>264</v>
      </c>
      <c r="C522" s="222" t="s">
        <v>484</v>
      </c>
      <c r="D522" s="70" t="s">
        <v>1177</v>
      </c>
      <c r="E522" s="229" t="s">
        <v>672</v>
      </c>
      <c r="F522" s="215" t="s">
        <v>1285</v>
      </c>
      <c r="G522" s="70" t="s">
        <v>166</v>
      </c>
      <c r="H522" s="223" t="s">
        <v>655</v>
      </c>
      <c r="I522" s="222"/>
      <c r="J522" s="224" t="s">
        <v>727</v>
      </c>
      <c r="K522" s="224" t="str">
        <f t="shared" si="16"/>
        <v>Documentation</v>
      </c>
      <c r="L522" s="225">
        <f>ROUND(Tableau18[[#This Row],[LEN]]*7.27,0)</f>
        <v>80</v>
      </c>
      <c r="M522" s="225">
        <v>15</v>
      </c>
      <c r="N522" s="226" t="str">
        <f t="shared" si="17"/>
        <v>_blank</v>
      </c>
      <c r="O522" s="225">
        <f>LEN(Tableau18[[#This Row],[LABEL]])</f>
        <v>11</v>
      </c>
      <c r="P522" s="225">
        <v>15</v>
      </c>
      <c r="Q522" s="225" t="e">
        <f>ROUND(Tableau18[[#This Row],[LEN]]*#REF!+#REF!,0)</f>
        <v>#REF!</v>
      </c>
    </row>
    <row r="523" spans="1:17" s="97" customFormat="1" x14ac:dyDescent="0.25">
      <c r="A523" s="29" t="s">
        <v>1402</v>
      </c>
      <c r="B523" s="30" t="s">
        <v>1378</v>
      </c>
      <c r="C523" s="31" t="s">
        <v>505</v>
      </c>
      <c r="D523" s="71" t="s">
        <v>1177</v>
      </c>
      <c r="E523" s="31" t="s">
        <v>672</v>
      </c>
      <c r="F523" s="31" t="s">
        <v>1285</v>
      </c>
      <c r="G523" s="71" t="s">
        <v>166</v>
      </c>
      <c r="H523" s="71" t="s">
        <v>18</v>
      </c>
      <c r="I523" s="31"/>
      <c r="J523" s="32" t="s">
        <v>705</v>
      </c>
      <c r="K523" s="32" t="str">
        <f t="shared" si="16"/>
        <v>Documentation</v>
      </c>
      <c r="L523" s="111">
        <f>ROUND(Tableau18[[#This Row],[LEN]]*7.27,0)</f>
        <v>73</v>
      </c>
      <c r="M523" s="111">
        <v>15</v>
      </c>
      <c r="N523" s="128" t="str">
        <f t="shared" si="17"/>
        <v>_blank</v>
      </c>
      <c r="O523" s="111">
        <f>LEN(Tableau18[[#This Row],[LABEL]])</f>
        <v>10</v>
      </c>
      <c r="P523" s="111">
        <v>15</v>
      </c>
      <c r="Q523" s="111" t="e">
        <f>ROUND(Tableau18[[#This Row],[LEN]]*#REF!+#REF!,0)</f>
        <v>#REF!</v>
      </c>
    </row>
    <row r="524" spans="1:17" s="97" customFormat="1" x14ac:dyDescent="0.25">
      <c r="A524" s="29" t="s">
        <v>1403</v>
      </c>
      <c r="B524" s="30" t="s">
        <v>1378</v>
      </c>
      <c r="C524" s="31" t="s">
        <v>1284</v>
      </c>
      <c r="D524" s="71" t="s">
        <v>1177</v>
      </c>
      <c r="E524" s="31" t="s">
        <v>672</v>
      </c>
      <c r="F524" s="31" t="s">
        <v>1285</v>
      </c>
      <c r="G524" s="71" t="s">
        <v>166</v>
      </c>
      <c r="H524" s="71" t="s">
        <v>18</v>
      </c>
      <c r="I524" s="31"/>
      <c r="J524" s="32" t="s">
        <v>705</v>
      </c>
      <c r="K524" s="32" t="str">
        <f t="shared" si="16"/>
        <v>Documentation</v>
      </c>
      <c r="L524" s="111">
        <f>ROUND(Tableau18[[#This Row],[LEN]]*7.27,0)</f>
        <v>153</v>
      </c>
      <c r="M524" s="111">
        <v>15</v>
      </c>
      <c r="N524" s="128" t="str">
        <f t="shared" si="17"/>
        <v>_blank</v>
      </c>
      <c r="O524" s="111">
        <f>LEN(Tableau18[[#This Row],[LABEL]])</f>
        <v>21</v>
      </c>
      <c r="P524" s="111">
        <v>15</v>
      </c>
      <c r="Q524" s="111" t="e">
        <f>ROUND(Tableau18[[#This Row],[LEN]]*#REF!+#REF!,0)</f>
        <v>#REF!</v>
      </c>
    </row>
    <row r="525" spans="1:17" s="97" customFormat="1" x14ac:dyDescent="0.25">
      <c r="A525" s="220" t="s">
        <v>1379</v>
      </c>
      <c r="B525" s="221" t="s">
        <v>264</v>
      </c>
      <c r="C525" s="222" t="s">
        <v>1357</v>
      </c>
      <c r="D525" s="70" t="s">
        <v>1177</v>
      </c>
      <c r="E525" s="229" t="s">
        <v>673</v>
      </c>
      <c r="F525" s="215" t="s">
        <v>1249</v>
      </c>
      <c r="G525" s="70" t="s">
        <v>166</v>
      </c>
      <c r="H525" s="223" t="s">
        <v>655</v>
      </c>
      <c r="I525" s="222"/>
      <c r="J525" s="224" t="s">
        <v>708</v>
      </c>
      <c r="K525" s="224" t="str">
        <f t="shared" si="16"/>
        <v>_</v>
      </c>
      <c r="L525" s="225">
        <f>ROUND(Tableau18[[#This Row],[LEN]]*7.27,0)</f>
        <v>298</v>
      </c>
      <c r="M525" s="225">
        <v>15</v>
      </c>
      <c r="N525" s="226" t="str">
        <f t="shared" si="17"/>
        <v>_self</v>
      </c>
      <c r="O525" s="225">
        <f>LEN(Tableau18[[#This Row],[LABEL]])</f>
        <v>41</v>
      </c>
      <c r="P525" s="225">
        <v>15</v>
      </c>
      <c r="Q525" s="225" t="e">
        <f>ROUND(Tableau18[[#This Row],[LEN]]*#REF!+#REF!,0)</f>
        <v>#REF!</v>
      </c>
    </row>
    <row r="526" spans="1:17" s="97" customFormat="1" x14ac:dyDescent="0.25">
      <c r="A526" s="220" t="s">
        <v>1380</v>
      </c>
      <c r="B526" s="221" t="s">
        <v>264</v>
      </c>
      <c r="C526" s="222" t="s">
        <v>1404</v>
      </c>
      <c r="D526" s="70" t="s">
        <v>1177</v>
      </c>
      <c r="E526" s="229" t="s">
        <v>678</v>
      </c>
      <c r="F526" s="215" t="s">
        <v>1177</v>
      </c>
      <c r="G526" s="70" t="s">
        <v>166</v>
      </c>
      <c r="H526" s="223" t="s">
        <v>656</v>
      </c>
      <c r="I526" s="222"/>
      <c r="J526" s="224" t="s">
        <v>708</v>
      </c>
      <c r="K526" s="224" t="str">
        <f t="shared" si="16"/>
        <v>_</v>
      </c>
      <c r="L526" s="225">
        <f>ROUND(Tableau18[[#This Row],[LEN]]*7.27,0)</f>
        <v>371</v>
      </c>
      <c r="M526" s="225">
        <v>15</v>
      </c>
      <c r="N526" s="226" t="str">
        <f t="shared" si="17"/>
        <v>_self</v>
      </c>
      <c r="O526" s="225">
        <f>LEN(Tableau18[[#This Row],[LABEL]])</f>
        <v>51</v>
      </c>
      <c r="P526" s="225">
        <v>15</v>
      </c>
      <c r="Q526" s="225" t="e">
        <f>ROUND(Tableau18[[#This Row],[LEN]]*#REF!+#REF!,0)</f>
        <v>#REF!</v>
      </c>
    </row>
    <row r="527" spans="1:17" s="97" customFormat="1" x14ac:dyDescent="0.25">
      <c r="A527" s="220" t="s">
        <v>1381</v>
      </c>
      <c r="B527" s="221" t="s">
        <v>264</v>
      </c>
      <c r="C527" s="222" t="s">
        <v>1310</v>
      </c>
      <c r="D527" s="70" t="s">
        <v>1177</v>
      </c>
      <c r="E527" s="229" t="s">
        <v>675</v>
      </c>
      <c r="F527" s="215" t="s">
        <v>678</v>
      </c>
      <c r="G527" s="70" t="s">
        <v>166</v>
      </c>
      <c r="H527" s="223" t="s">
        <v>655</v>
      </c>
      <c r="I527" s="222"/>
      <c r="J527" s="224" t="s">
        <v>708</v>
      </c>
      <c r="K527" s="224" t="str">
        <f t="shared" si="16"/>
        <v>_</v>
      </c>
      <c r="L527" s="225">
        <f>ROUND(Tableau18[[#This Row],[LEN]]*7.27,0)</f>
        <v>233</v>
      </c>
      <c r="M527" s="225">
        <v>15</v>
      </c>
      <c r="N527" s="226" t="str">
        <f t="shared" si="17"/>
        <v>_self</v>
      </c>
      <c r="O527" s="225">
        <f>LEN(Tableau18[[#This Row],[LABEL]])</f>
        <v>32</v>
      </c>
      <c r="P527" s="225">
        <v>15</v>
      </c>
      <c r="Q527" s="225" t="e">
        <f>ROUND(Tableau18[[#This Row],[LEN]]*#REF!+#REF!,0)</f>
        <v>#REF!</v>
      </c>
    </row>
    <row r="528" spans="1:17" s="97" customFormat="1" x14ac:dyDescent="0.25">
      <c r="A528" s="220" t="s">
        <v>1382</v>
      </c>
      <c r="B528" s="221" t="s">
        <v>264</v>
      </c>
      <c r="C528" s="222" t="s">
        <v>1405</v>
      </c>
      <c r="D528" s="70" t="s">
        <v>1177</v>
      </c>
      <c r="E528" s="229" t="s">
        <v>675</v>
      </c>
      <c r="F528" s="215" t="s">
        <v>678</v>
      </c>
      <c r="G528" s="70" t="s">
        <v>166</v>
      </c>
      <c r="H528" s="223" t="s">
        <v>656</v>
      </c>
      <c r="I528" s="222"/>
      <c r="J528" s="224" t="s">
        <v>708</v>
      </c>
      <c r="K528" s="224" t="str">
        <f t="shared" si="16"/>
        <v>_</v>
      </c>
      <c r="L528" s="225">
        <f>ROUND(Tableau18[[#This Row],[LEN]]*7.27,0)</f>
        <v>443</v>
      </c>
      <c r="M528" s="225">
        <v>15</v>
      </c>
      <c r="N528" s="226" t="str">
        <f t="shared" si="17"/>
        <v>_self</v>
      </c>
      <c r="O528" s="225">
        <f>LEN(Tableau18[[#This Row],[LABEL]])</f>
        <v>61</v>
      </c>
      <c r="P528" s="225">
        <v>15</v>
      </c>
      <c r="Q528" s="225" t="e">
        <f>ROUND(Tableau18[[#This Row],[LEN]]*#REF!+#REF!,0)</f>
        <v>#REF!</v>
      </c>
    </row>
    <row r="529" spans="1:17" s="97" customFormat="1" x14ac:dyDescent="0.25">
      <c r="A529" s="220" t="s">
        <v>1383</v>
      </c>
      <c r="B529" s="221" t="s">
        <v>264</v>
      </c>
      <c r="C529" s="222" t="s">
        <v>1343</v>
      </c>
      <c r="D529" s="70" t="s">
        <v>1177</v>
      </c>
      <c r="E529" s="229" t="s">
        <v>676</v>
      </c>
      <c r="F529" s="215" t="s">
        <v>1339</v>
      </c>
      <c r="G529" s="70" t="s">
        <v>166</v>
      </c>
      <c r="H529" s="223" t="s">
        <v>654</v>
      </c>
      <c r="I529" s="222"/>
      <c r="J529" s="224" t="s">
        <v>708</v>
      </c>
      <c r="K529" s="224" t="str">
        <f t="shared" si="16"/>
        <v>_</v>
      </c>
      <c r="L529" s="225">
        <f>ROUND(Tableau18[[#This Row],[LEN]]*7.27,0)</f>
        <v>269</v>
      </c>
      <c r="M529" s="225">
        <v>15</v>
      </c>
      <c r="N529" s="226" t="str">
        <f t="shared" si="17"/>
        <v>_self</v>
      </c>
      <c r="O529" s="225">
        <f>LEN(Tableau18[[#This Row],[LABEL]])</f>
        <v>37</v>
      </c>
      <c r="P529" s="225">
        <v>15</v>
      </c>
      <c r="Q529" s="225" t="e">
        <f>ROUND(Tableau18[[#This Row],[LEN]]*#REF!+#REF!,0)</f>
        <v>#REF!</v>
      </c>
    </row>
    <row r="530" spans="1:17" s="97" customFormat="1" x14ac:dyDescent="0.25">
      <c r="A530" s="220" t="s">
        <v>1384</v>
      </c>
      <c r="B530" s="221" t="s">
        <v>264</v>
      </c>
      <c r="C530" s="222" t="s">
        <v>1154</v>
      </c>
      <c r="D530" s="70" t="s">
        <v>1177</v>
      </c>
      <c r="E530" s="229" t="s">
        <v>667</v>
      </c>
      <c r="F530" s="215" t="s">
        <v>1133</v>
      </c>
      <c r="G530" s="70" t="s">
        <v>166</v>
      </c>
      <c r="H530" s="223" t="s">
        <v>18</v>
      </c>
      <c r="I530" s="222"/>
      <c r="J530" s="224" t="s">
        <v>102</v>
      </c>
      <c r="K530" s="224" t="str">
        <f t="shared" si="16"/>
        <v>Documentation</v>
      </c>
      <c r="L530" s="225">
        <f>ROUND(Tableau18[[#This Row],[LEN]]*7.27,0)</f>
        <v>443</v>
      </c>
      <c r="M530" s="225">
        <v>15</v>
      </c>
      <c r="N530" s="226" t="str">
        <f t="shared" si="17"/>
        <v>_blank</v>
      </c>
      <c r="O530" s="225">
        <f>LEN(Tableau18[[#This Row],[LABEL]])</f>
        <v>61</v>
      </c>
      <c r="P530" s="225">
        <v>15</v>
      </c>
      <c r="Q530" s="225" t="e">
        <f>ROUND(Tableau18[[#This Row],[LEN]]*#REF!+#REF!,0)</f>
        <v>#REF!</v>
      </c>
    </row>
    <row r="531" spans="1:17" s="97" customFormat="1" x14ac:dyDescent="0.25">
      <c r="A531" s="220" t="s">
        <v>1385</v>
      </c>
      <c r="B531" s="221" t="s">
        <v>264</v>
      </c>
      <c r="C531" s="222" t="s">
        <v>778</v>
      </c>
      <c r="D531" s="70" t="s">
        <v>1177</v>
      </c>
      <c r="E531" s="229" t="s">
        <v>673</v>
      </c>
      <c r="F531" s="27" t="s">
        <v>2000</v>
      </c>
      <c r="G531" s="70" t="s">
        <v>166</v>
      </c>
      <c r="H531" s="223" t="s">
        <v>17</v>
      </c>
      <c r="I531" s="222"/>
      <c r="J531" s="224" t="s">
        <v>708</v>
      </c>
      <c r="K531" s="224" t="str">
        <f t="shared" si="16"/>
        <v>_</v>
      </c>
      <c r="L531" s="225">
        <f>ROUND(Tableau18[[#This Row],[LEN]]*7.27,0)</f>
        <v>211</v>
      </c>
      <c r="M531" s="225">
        <v>15</v>
      </c>
      <c r="N531" s="226" t="str">
        <f t="shared" si="17"/>
        <v>_self</v>
      </c>
      <c r="O531" s="225">
        <f>LEN(Tableau18[[#This Row],[LABEL]])</f>
        <v>29</v>
      </c>
      <c r="P531" s="225">
        <v>15</v>
      </c>
      <c r="Q531" s="225" t="e">
        <f>ROUND(Tableau18[[#This Row],[LEN]]*#REF!+#REF!,0)</f>
        <v>#REF!</v>
      </c>
    </row>
    <row r="532" spans="1:17" s="97" customFormat="1" x14ac:dyDescent="0.25">
      <c r="A532" s="220" t="s">
        <v>1386</v>
      </c>
      <c r="B532" s="221" t="s">
        <v>264</v>
      </c>
      <c r="C532" s="222" t="s">
        <v>91</v>
      </c>
      <c r="D532" s="70" t="s">
        <v>1177</v>
      </c>
      <c r="E532" s="229" t="s">
        <v>663</v>
      </c>
      <c r="F532" s="215" t="s">
        <v>2080</v>
      </c>
      <c r="G532" s="70" t="s">
        <v>166</v>
      </c>
      <c r="H532" s="223" t="s">
        <v>655</v>
      </c>
      <c r="I532" s="222"/>
      <c r="J532" s="224" t="s">
        <v>708</v>
      </c>
      <c r="K532" s="224" t="str">
        <f t="shared" si="16"/>
        <v>_</v>
      </c>
      <c r="L532" s="225">
        <f>ROUND(Tableau18[[#This Row],[LEN]]*7.27,0)</f>
        <v>269</v>
      </c>
      <c r="M532" s="225">
        <v>15</v>
      </c>
      <c r="N532" s="226" t="str">
        <f t="shared" si="17"/>
        <v>_self</v>
      </c>
      <c r="O532" s="225">
        <f>LEN(Tableau18[[#This Row],[LABEL]])</f>
        <v>37</v>
      </c>
      <c r="P532" s="225">
        <v>15</v>
      </c>
      <c r="Q532" s="225" t="e">
        <f>ROUND(Tableau18[[#This Row],[LEN]]*#REF!+#REF!,0)</f>
        <v>#REF!</v>
      </c>
    </row>
    <row r="533" spans="1:17" s="97" customFormat="1" x14ac:dyDescent="0.25">
      <c r="A533" s="29" t="s">
        <v>1406</v>
      </c>
      <c r="B533" s="30" t="s">
        <v>1386</v>
      </c>
      <c r="C533" s="31" t="s">
        <v>98</v>
      </c>
      <c r="D533" s="71" t="s">
        <v>1177</v>
      </c>
      <c r="E533" s="31" t="s">
        <v>663</v>
      </c>
      <c r="F533" s="31" t="s">
        <v>2080</v>
      </c>
      <c r="G533" s="71" t="s">
        <v>166</v>
      </c>
      <c r="H533" s="71" t="s">
        <v>18</v>
      </c>
      <c r="I533" s="31"/>
      <c r="J533" s="32" t="s">
        <v>708</v>
      </c>
      <c r="K533" s="32" t="str">
        <f t="shared" si="16"/>
        <v>_</v>
      </c>
      <c r="L533" s="111">
        <f>ROUND(Tableau18[[#This Row],[LEN]]*7.27,0)</f>
        <v>109</v>
      </c>
      <c r="M533" s="111">
        <v>15</v>
      </c>
      <c r="N533" s="128" t="str">
        <f t="shared" si="17"/>
        <v>_self</v>
      </c>
      <c r="O533" s="111">
        <f>LEN(Tableau18[[#This Row],[LABEL]])</f>
        <v>15</v>
      </c>
      <c r="P533" s="111">
        <v>15</v>
      </c>
      <c r="Q533" s="111" t="e">
        <f>ROUND(Tableau18[[#This Row],[LEN]]*#REF!+#REF!,0)</f>
        <v>#REF!</v>
      </c>
    </row>
    <row r="534" spans="1:17" s="97" customFormat="1" x14ac:dyDescent="0.25">
      <c r="A534" s="29" t="s">
        <v>1407</v>
      </c>
      <c r="B534" s="30" t="s">
        <v>1386</v>
      </c>
      <c r="C534" s="31" t="s">
        <v>99</v>
      </c>
      <c r="D534" s="71" t="s">
        <v>1177</v>
      </c>
      <c r="E534" s="31" t="s">
        <v>663</v>
      </c>
      <c r="F534" s="31" t="s">
        <v>2080</v>
      </c>
      <c r="G534" s="71" t="s">
        <v>166</v>
      </c>
      <c r="H534" s="71" t="s">
        <v>18</v>
      </c>
      <c r="I534" s="31"/>
      <c r="J534" s="32" t="s">
        <v>708</v>
      </c>
      <c r="K534" s="32" t="str">
        <f t="shared" si="16"/>
        <v>_</v>
      </c>
      <c r="L534" s="111">
        <f>ROUND(Tableau18[[#This Row],[LEN]]*7.27,0)</f>
        <v>80</v>
      </c>
      <c r="M534" s="111">
        <v>15</v>
      </c>
      <c r="N534" s="128" t="str">
        <f t="shared" si="17"/>
        <v>_self</v>
      </c>
      <c r="O534" s="111">
        <f>LEN(Tableau18[[#This Row],[LABEL]])</f>
        <v>11</v>
      </c>
      <c r="P534" s="111">
        <v>15</v>
      </c>
      <c r="Q534" s="111" t="e">
        <f>ROUND(Tableau18[[#This Row],[LEN]]*#REF!+#REF!,0)</f>
        <v>#REF!</v>
      </c>
    </row>
    <row r="535" spans="1:17" s="97" customFormat="1" x14ac:dyDescent="0.25">
      <c r="A535" s="220" t="s">
        <v>1387</v>
      </c>
      <c r="B535" s="221" t="s">
        <v>264</v>
      </c>
      <c r="C535" s="222" t="s">
        <v>1408</v>
      </c>
      <c r="D535" s="70" t="s">
        <v>1409</v>
      </c>
      <c r="E535" s="229" t="s">
        <v>678</v>
      </c>
      <c r="F535" s="215" t="s">
        <v>671</v>
      </c>
      <c r="G535" s="70" t="s">
        <v>166</v>
      </c>
      <c r="H535" s="223" t="s">
        <v>18</v>
      </c>
      <c r="I535" s="222"/>
      <c r="J535" s="224" t="s">
        <v>708</v>
      </c>
      <c r="K535" s="224" t="str">
        <f t="shared" si="16"/>
        <v>_</v>
      </c>
      <c r="L535" s="225">
        <f>ROUND(Tableau18[[#This Row],[LEN]]*7.27,0)</f>
        <v>364</v>
      </c>
      <c r="M535" s="225">
        <v>15</v>
      </c>
      <c r="N535" s="226" t="str">
        <f t="shared" si="17"/>
        <v>_self</v>
      </c>
      <c r="O535" s="225">
        <f>LEN(Tableau18[[#This Row],[LABEL]])</f>
        <v>50</v>
      </c>
      <c r="P535" s="225">
        <v>15</v>
      </c>
      <c r="Q535" s="225" t="e">
        <f>ROUND(Tableau18[[#This Row],[LEN]]*#REF!+#REF!,0)</f>
        <v>#REF!</v>
      </c>
    </row>
    <row r="536" spans="1:17" s="97" customFormat="1" x14ac:dyDescent="0.25">
      <c r="A536" s="220" t="s">
        <v>1388</v>
      </c>
      <c r="B536" s="221" t="s">
        <v>264</v>
      </c>
      <c r="C536" s="222" t="s">
        <v>1410</v>
      </c>
      <c r="D536" s="70" t="s">
        <v>1177</v>
      </c>
      <c r="E536" s="229" t="s">
        <v>678</v>
      </c>
      <c r="F536" s="215" t="s">
        <v>1177</v>
      </c>
      <c r="G536" s="70" t="s">
        <v>166</v>
      </c>
      <c r="H536" s="223" t="s">
        <v>570</v>
      </c>
      <c r="I536" s="222"/>
      <c r="J536" s="224" t="s">
        <v>708</v>
      </c>
      <c r="K536" s="224" t="str">
        <f t="shared" si="16"/>
        <v>_</v>
      </c>
      <c r="L536" s="225">
        <f>ROUND(Tableau18[[#This Row],[LEN]]*7.27,0)</f>
        <v>291</v>
      </c>
      <c r="M536" s="225">
        <v>15</v>
      </c>
      <c r="N536" s="226" t="str">
        <f t="shared" si="17"/>
        <v>_self</v>
      </c>
      <c r="O536" s="225">
        <f>LEN(Tableau18[[#This Row],[LABEL]])</f>
        <v>40</v>
      </c>
      <c r="P536" s="225">
        <v>15</v>
      </c>
      <c r="Q536" s="225" t="e">
        <f>ROUND(Tableau18[[#This Row],[LEN]]*#REF!+#REF!,0)</f>
        <v>#REF!</v>
      </c>
    </row>
    <row r="537" spans="1:17" s="97" customFormat="1" x14ac:dyDescent="0.25">
      <c r="A537" s="220" t="s">
        <v>1389</v>
      </c>
      <c r="B537" s="221" t="s">
        <v>264</v>
      </c>
      <c r="C537" s="222" t="s">
        <v>1411</v>
      </c>
      <c r="D537" s="70" t="s">
        <v>1177</v>
      </c>
      <c r="E537" s="229" t="s">
        <v>678</v>
      </c>
      <c r="F537" s="215" t="s">
        <v>1177</v>
      </c>
      <c r="G537" s="70" t="s">
        <v>166</v>
      </c>
      <c r="H537" s="223" t="s">
        <v>656</v>
      </c>
      <c r="I537" s="222"/>
      <c r="J537" s="224" t="s">
        <v>708</v>
      </c>
      <c r="K537" s="224" t="str">
        <f t="shared" si="16"/>
        <v>_</v>
      </c>
      <c r="L537" s="225">
        <f>ROUND(Tableau18[[#This Row],[LEN]]*7.27,0)</f>
        <v>473</v>
      </c>
      <c r="M537" s="225">
        <v>15</v>
      </c>
      <c r="N537" s="226" t="str">
        <f t="shared" si="17"/>
        <v>_self</v>
      </c>
      <c r="O537" s="225">
        <f>LEN(Tableau18[[#This Row],[LABEL]])</f>
        <v>65</v>
      </c>
      <c r="P537" s="225">
        <v>15</v>
      </c>
      <c r="Q537" s="225" t="e">
        <f>ROUND(Tableau18[[#This Row],[LEN]]*#REF!+#REF!,0)</f>
        <v>#REF!</v>
      </c>
    </row>
    <row r="538" spans="1:17" s="97" customFormat="1" x14ac:dyDescent="0.25">
      <c r="A538" s="220" t="s">
        <v>1390</v>
      </c>
      <c r="B538" s="221" t="s">
        <v>264</v>
      </c>
      <c r="C538" s="222" t="s">
        <v>1167</v>
      </c>
      <c r="D538" s="70" t="s">
        <v>486</v>
      </c>
      <c r="E538" s="229" t="s">
        <v>1085</v>
      </c>
      <c r="F538" s="215" t="s">
        <v>1084</v>
      </c>
      <c r="G538" s="70" t="s">
        <v>1977</v>
      </c>
      <c r="H538" s="223" t="s">
        <v>1131</v>
      </c>
      <c r="I538" s="222"/>
      <c r="J538" s="224" t="s">
        <v>708</v>
      </c>
      <c r="K538" s="224" t="str">
        <f t="shared" si="16"/>
        <v>_</v>
      </c>
      <c r="L538" s="225">
        <f>ROUND(Tableau18[[#This Row],[LEN]]*7.27,0)</f>
        <v>196</v>
      </c>
      <c r="M538" s="225">
        <v>15</v>
      </c>
      <c r="N538" s="226" t="str">
        <f t="shared" si="17"/>
        <v>_self</v>
      </c>
      <c r="O538" s="225">
        <f>LEN(Tableau18[[#This Row],[LABEL]])</f>
        <v>27</v>
      </c>
      <c r="P538" s="225">
        <v>15</v>
      </c>
      <c r="Q538" s="225" t="e">
        <f>ROUND(Tableau18[[#This Row],[LEN]]*#REF!+#REF!,0)</f>
        <v>#REF!</v>
      </c>
    </row>
    <row r="539" spans="1:17" s="97" customFormat="1" x14ac:dyDescent="0.25">
      <c r="A539" s="29" t="s">
        <v>1412</v>
      </c>
      <c r="B539" s="30" t="s">
        <v>1390</v>
      </c>
      <c r="C539" s="31" t="s">
        <v>93</v>
      </c>
      <c r="D539" s="71" t="s">
        <v>1177</v>
      </c>
      <c r="E539" s="31" t="s">
        <v>1085</v>
      </c>
      <c r="F539" s="31" t="s">
        <v>1084</v>
      </c>
      <c r="G539" s="71" t="s">
        <v>166</v>
      </c>
      <c r="H539" s="71" t="s">
        <v>18</v>
      </c>
      <c r="I539" s="31"/>
      <c r="J539" s="32" t="s">
        <v>101</v>
      </c>
      <c r="K539" s="32" t="str">
        <f t="shared" si="16"/>
        <v>Documentation</v>
      </c>
      <c r="L539" s="111">
        <f>ROUND(Tableau18[[#This Row],[LEN]]*7.27,0)</f>
        <v>109</v>
      </c>
      <c r="M539" s="111">
        <v>15</v>
      </c>
      <c r="N539" s="128" t="str">
        <f t="shared" si="17"/>
        <v>_blank</v>
      </c>
      <c r="O539" s="111">
        <f>LEN(Tableau18[[#This Row],[LABEL]])</f>
        <v>15</v>
      </c>
      <c r="P539" s="111">
        <v>15</v>
      </c>
      <c r="Q539" s="111" t="e">
        <f>ROUND(Tableau18[[#This Row],[LEN]]*#REF!+#REF!,0)</f>
        <v>#REF!</v>
      </c>
    </row>
    <row r="540" spans="1:17" s="97" customFormat="1" x14ac:dyDescent="0.25">
      <c r="A540" s="29" t="s">
        <v>1413</v>
      </c>
      <c r="B540" s="30" t="s">
        <v>1390</v>
      </c>
      <c r="C540" s="31" t="s">
        <v>94</v>
      </c>
      <c r="D540" s="71" t="s">
        <v>1177</v>
      </c>
      <c r="E540" s="31" t="s">
        <v>1085</v>
      </c>
      <c r="F540" s="31" t="s">
        <v>1084</v>
      </c>
      <c r="G540" s="71" t="s">
        <v>166</v>
      </c>
      <c r="H540" s="71" t="s">
        <v>18</v>
      </c>
      <c r="I540" s="31"/>
      <c r="J540" s="32" t="s">
        <v>102</v>
      </c>
      <c r="K540" s="32" t="str">
        <f t="shared" si="16"/>
        <v>Documentation</v>
      </c>
      <c r="L540" s="111">
        <f>ROUND(Tableau18[[#This Row],[LEN]]*7.27,0)</f>
        <v>58</v>
      </c>
      <c r="M540" s="111">
        <v>15</v>
      </c>
      <c r="N540" s="128" t="str">
        <f t="shared" si="17"/>
        <v>_blank</v>
      </c>
      <c r="O540" s="111">
        <f>LEN(Tableau18[[#This Row],[LABEL]])</f>
        <v>8</v>
      </c>
      <c r="P540" s="111">
        <v>15</v>
      </c>
      <c r="Q540" s="111" t="e">
        <f>ROUND(Tableau18[[#This Row],[LEN]]*#REF!+#REF!,0)</f>
        <v>#REF!</v>
      </c>
    </row>
    <row r="541" spans="1:17" s="273" customFormat="1" x14ac:dyDescent="0.25">
      <c r="A541" s="288" t="s">
        <v>265</v>
      </c>
      <c r="B541" s="289" t="s">
        <v>206</v>
      </c>
      <c r="C541" s="290" t="s">
        <v>15</v>
      </c>
      <c r="D541" s="291" t="s">
        <v>1177</v>
      </c>
      <c r="E541" s="290" t="s">
        <v>679</v>
      </c>
      <c r="F541" s="290" t="s">
        <v>1177</v>
      </c>
      <c r="G541" s="291" t="s">
        <v>166</v>
      </c>
      <c r="H541" s="291" t="str">
        <f>IFERROR(IF(SEARCH(".00.00.00.00.00",Tableau18[[#This Row],[name]],1)=7,"Division",""),"")</f>
        <v>Division</v>
      </c>
      <c r="I541" s="290"/>
      <c r="J541" s="292" t="s">
        <v>708</v>
      </c>
      <c r="K541" s="292" t="str">
        <f t="shared" si="16"/>
        <v>_</v>
      </c>
      <c r="L541" s="293">
        <f>ROUND(Tableau18[[#This Row],[LEN]]*7.27,0)</f>
        <v>174</v>
      </c>
      <c r="M541" s="293">
        <v>15</v>
      </c>
      <c r="N541" s="294" t="str">
        <f t="shared" si="17"/>
        <v>_self</v>
      </c>
      <c r="O541" s="293">
        <f>LEN(Tableau18[[#This Row],[LABEL]])</f>
        <v>24</v>
      </c>
      <c r="P541" s="293">
        <v>15</v>
      </c>
      <c r="Q541" s="293" t="e">
        <f>ROUND(Tableau18[[#This Row],[LEN]]*#REF!+#REF!,0)</f>
        <v>#REF!</v>
      </c>
    </row>
    <row r="542" spans="1:17" s="97" customFormat="1" x14ac:dyDescent="0.25">
      <c r="A542" s="220" t="s">
        <v>1414</v>
      </c>
      <c r="B542" s="221" t="s">
        <v>265</v>
      </c>
      <c r="C542" s="222" t="s">
        <v>88</v>
      </c>
      <c r="D542" s="70" t="s">
        <v>1177</v>
      </c>
      <c r="E542" s="229" t="s">
        <v>667</v>
      </c>
      <c r="F542" s="215" t="s">
        <v>1218</v>
      </c>
      <c r="G542" s="70" t="s">
        <v>166</v>
      </c>
      <c r="H542" s="223" t="s">
        <v>570</v>
      </c>
      <c r="I542" s="222"/>
      <c r="J542" s="224" t="s">
        <v>708</v>
      </c>
      <c r="K542" s="224" t="str">
        <f t="shared" si="16"/>
        <v>_</v>
      </c>
      <c r="L542" s="225">
        <f>ROUND(Tableau18[[#This Row],[LEN]]*7.27,0)</f>
        <v>342</v>
      </c>
      <c r="M542" s="225">
        <v>15</v>
      </c>
      <c r="N542" s="226" t="str">
        <f t="shared" si="17"/>
        <v>_self</v>
      </c>
      <c r="O542" s="225">
        <f>LEN(Tableau18[[#This Row],[LABEL]])</f>
        <v>47</v>
      </c>
      <c r="P542" s="225">
        <v>15</v>
      </c>
      <c r="Q542" s="225" t="e">
        <f>ROUND(Tableau18[[#This Row],[LEN]]*#REF!+#REF!,0)</f>
        <v>#REF!</v>
      </c>
    </row>
    <row r="543" spans="1:17" s="97" customFormat="1" x14ac:dyDescent="0.25">
      <c r="A543" s="220" t="s">
        <v>1415</v>
      </c>
      <c r="B543" s="221" t="s">
        <v>265</v>
      </c>
      <c r="C543" s="222" t="s">
        <v>1357</v>
      </c>
      <c r="D543" s="70" t="s">
        <v>1177</v>
      </c>
      <c r="E543" s="229" t="s">
        <v>673</v>
      </c>
      <c r="F543" s="215" t="s">
        <v>1249</v>
      </c>
      <c r="G543" s="70" t="s">
        <v>166</v>
      </c>
      <c r="H543" s="223" t="s">
        <v>655</v>
      </c>
      <c r="I543" s="222"/>
      <c r="J543" s="224" t="s">
        <v>708</v>
      </c>
      <c r="K543" s="224" t="str">
        <f t="shared" si="16"/>
        <v>_</v>
      </c>
      <c r="L543" s="225">
        <f>ROUND(Tableau18[[#This Row],[LEN]]*7.27,0)</f>
        <v>298</v>
      </c>
      <c r="M543" s="225">
        <v>15</v>
      </c>
      <c r="N543" s="226" t="str">
        <f t="shared" si="17"/>
        <v>_self</v>
      </c>
      <c r="O543" s="225">
        <f>LEN(Tableau18[[#This Row],[LABEL]])</f>
        <v>41</v>
      </c>
      <c r="P543" s="225">
        <v>15</v>
      </c>
      <c r="Q543" s="225" t="e">
        <f>ROUND(Tableau18[[#This Row],[LEN]]*#REF!+#REF!,0)</f>
        <v>#REF!</v>
      </c>
    </row>
    <row r="544" spans="1:17" s="97" customFormat="1" x14ac:dyDescent="0.25">
      <c r="A544" s="220" t="s">
        <v>1416</v>
      </c>
      <c r="B544" s="221" t="s">
        <v>265</v>
      </c>
      <c r="C544" s="222" t="s">
        <v>778</v>
      </c>
      <c r="D544" s="70" t="s">
        <v>1177</v>
      </c>
      <c r="E544" s="229" t="s">
        <v>673</v>
      </c>
      <c r="F544" s="27" t="s">
        <v>2000</v>
      </c>
      <c r="G544" s="70" t="s">
        <v>166</v>
      </c>
      <c r="H544" s="223" t="s">
        <v>17</v>
      </c>
      <c r="I544" s="222"/>
      <c r="J544" s="224" t="s">
        <v>708</v>
      </c>
      <c r="K544" s="224" t="str">
        <f t="shared" si="16"/>
        <v>_</v>
      </c>
      <c r="L544" s="225">
        <f>ROUND(Tableau18[[#This Row],[LEN]]*7.27,0)</f>
        <v>211</v>
      </c>
      <c r="M544" s="225">
        <v>15</v>
      </c>
      <c r="N544" s="226" t="str">
        <f t="shared" si="17"/>
        <v>_self</v>
      </c>
      <c r="O544" s="225">
        <f>LEN(Tableau18[[#This Row],[LABEL]])</f>
        <v>29</v>
      </c>
      <c r="P544" s="225">
        <v>15</v>
      </c>
      <c r="Q544" s="225" t="e">
        <f>ROUND(Tableau18[[#This Row],[LEN]]*#REF!+#REF!,0)</f>
        <v>#REF!</v>
      </c>
    </row>
    <row r="545" spans="1:17" s="97" customFormat="1" x14ac:dyDescent="0.25">
      <c r="A545" s="220" t="s">
        <v>1417</v>
      </c>
      <c r="B545" s="221" t="s">
        <v>265</v>
      </c>
      <c r="C545" s="222" t="s">
        <v>91</v>
      </c>
      <c r="D545" s="70" t="s">
        <v>1177</v>
      </c>
      <c r="E545" s="229" t="s">
        <v>663</v>
      </c>
      <c r="F545" s="215" t="s">
        <v>2080</v>
      </c>
      <c r="G545" s="70" t="s">
        <v>166</v>
      </c>
      <c r="H545" s="223" t="s">
        <v>655</v>
      </c>
      <c r="I545" s="222"/>
      <c r="J545" s="224" t="s">
        <v>708</v>
      </c>
      <c r="K545" s="224" t="str">
        <f t="shared" si="16"/>
        <v>_</v>
      </c>
      <c r="L545" s="225">
        <f>ROUND(Tableau18[[#This Row],[LEN]]*7.27,0)</f>
        <v>269</v>
      </c>
      <c r="M545" s="225">
        <v>15</v>
      </c>
      <c r="N545" s="226" t="str">
        <f t="shared" si="17"/>
        <v>_self</v>
      </c>
      <c r="O545" s="225">
        <f>LEN(Tableau18[[#This Row],[LABEL]])</f>
        <v>37</v>
      </c>
      <c r="P545" s="225">
        <v>15</v>
      </c>
      <c r="Q545" s="225" t="e">
        <f>ROUND(Tableau18[[#This Row],[LEN]]*#REF!+#REF!,0)</f>
        <v>#REF!</v>
      </c>
    </row>
    <row r="546" spans="1:17" s="97" customFormat="1" x14ac:dyDescent="0.25">
      <c r="A546" s="29" t="s">
        <v>1421</v>
      </c>
      <c r="B546" s="30" t="s">
        <v>1417</v>
      </c>
      <c r="C546" s="31" t="s">
        <v>98</v>
      </c>
      <c r="D546" s="71" t="s">
        <v>1177</v>
      </c>
      <c r="E546" s="31" t="s">
        <v>663</v>
      </c>
      <c r="F546" s="31" t="s">
        <v>2080</v>
      </c>
      <c r="G546" s="71" t="s">
        <v>166</v>
      </c>
      <c r="H546" s="71" t="s">
        <v>18</v>
      </c>
      <c r="I546" s="31"/>
      <c r="J546" s="32" t="s">
        <v>708</v>
      </c>
      <c r="K546" s="32" t="str">
        <f t="shared" si="16"/>
        <v>_</v>
      </c>
      <c r="L546" s="111">
        <f>ROUND(Tableau18[[#This Row],[LEN]]*7.27,0)</f>
        <v>109</v>
      </c>
      <c r="M546" s="111">
        <v>15</v>
      </c>
      <c r="N546" s="128" t="str">
        <f t="shared" si="17"/>
        <v>_self</v>
      </c>
      <c r="O546" s="111">
        <f>LEN(Tableau18[[#This Row],[LABEL]])</f>
        <v>15</v>
      </c>
      <c r="P546" s="111">
        <v>15</v>
      </c>
      <c r="Q546" s="111" t="e">
        <f>ROUND(Tableau18[[#This Row],[LEN]]*#REF!+#REF!,0)</f>
        <v>#REF!</v>
      </c>
    </row>
    <row r="547" spans="1:17" s="97" customFormat="1" x14ac:dyDescent="0.25">
      <c r="A547" s="29" t="s">
        <v>1422</v>
      </c>
      <c r="B547" s="30" t="s">
        <v>1417</v>
      </c>
      <c r="C547" s="31" t="s">
        <v>99</v>
      </c>
      <c r="D547" s="71" t="s">
        <v>1177</v>
      </c>
      <c r="E547" s="31" t="s">
        <v>663</v>
      </c>
      <c r="F547" s="31" t="s">
        <v>2080</v>
      </c>
      <c r="G547" s="71" t="s">
        <v>166</v>
      </c>
      <c r="H547" s="71" t="s">
        <v>18</v>
      </c>
      <c r="I547" s="31"/>
      <c r="J547" s="32" t="s">
        <v>708</v>
      </c>
      <c r="K547" s="32" t="str">
        <f t="shared" si="16"/>
        <v>_</v>
      </c>
      <c r="L547" s="111">
        <f>ROUND(Tableau18[[#This Row],[LEN]]*7.27,0)</f>
        <v>80</v>
      </c>
      <c r="M547" s="111">
        <v>15</v>
      </c>
      <c r="N547" s="128" t="str">
        <f t="shared" si="17"/>
        <v>_self</v>
      </c>
      <c r="O547" s="111">
        <f>LEN(Tableau18[[#This Row],[LABEL]])</f>
        <v>11</v>
      </c>
      <c r="P547" s="111">
        <v>15</v>
      </c>
      <c r="Q547" s="111" t="e">
        <f>ROUND(Tableau18[[#This Row],[LEN]]*#REF!+#REF!,0)</f>
        <v>#REF!</v>
      </c>
    </row>
    <row r="548" spans="1:17" s="97" customFormat="1" x14ac:dyDescent="0.25">
      <c r="A548" s="220" t="s">
        <v>1418</v>
      </c>
      <c r="B548" s="221" t="s">
        <v>265</v>
      </c>
      <c r="C548" s="222" t="s">
        <v>1423</v>
      </c>
      <c r="D548" s="70" t="s">
        <v>1177</v>
      </c>
      <c r="E548" s="229" t="s">
        <v>679</v>
      </c>
      <c r="F548" s="215" t="s">
        <v>1177</v>
      </c>
      <c r="G548" s="70" t="s">
        <v>166</v>
      </c>
      <c r="H548" s="223" t="s">
        <v>656</v>
      </c>
      <c r="I548" s="222"/>
      <c r="J548" s="224" t="s">
        <v>708</v>
      </c>
      <c r="K548" s="224" t="str">
        <f t="shared" si="16"/>
        <v>_</v>
      </c>
      <c r="L548" s="225">
        <f>ROUND(Tableau18[[#This Row],[LEN]]*7.27,0)</f>
        <v>87</v>
      </c>
      <c r="M548" s="225">
        <v>15</v>
      </c>
      <c r="N548" s="226" t="str">
        <f t="shared" si="17"/>
        <v>_self</v>
      </c>
      <c r="O548" s="225">
        <f>LEN(Tableau18[[#This Row],[LABEL]])</f>
        <v>12</v>
      </c>
      <c r="P548" s="225">
        <v>15</v>
      </c>
      <c r="Q548" s="225" t="e">
        <f>ROUND(Tableau18[[#This Row],[LEN]]*#REF!+#REF!,0)</f>
        <v>#REF!</v>
      </c>
    </row>
    <row r="549" spans="1:17" s="97" customFormat="1" x14ac:dyDescent="0.25">
      <c r="A549" s="220" t="s">
        <v>1419</v>
      </c>
      <c r="B549" s="221" t="s">
        <v>265</v>
      </c>
      <c r="C549" s="222" t="s">
        <v>1424</v>
      </c>
      <c r="D549" s="70" t="s">
        <v>1177</v>
      </c>
      <c r="E549" s="229" t="s">
        <v>679</v>
      </c>
      <c r="F549" s="215" t="s">
        <v>1177</v>
      </c>
      <c r="G549" s="70" t="s">
        <v>166</v>
      </c>
      <c r="H549" s="223" t="s">
        <v>18</v>
      </c>
      <c r="I549" s="222"/>
      <c r="J549" s="224" t="s">
        <v>708</v>
      </c>
      <c r="K549" s="224" t="str">
        <f t="shared" si="16"/>
        <v>_</v>
      </c>
      <c r="L549" s="225">
        <f>ROUND(Tableau18[[#This Row],[LEN]]*7.27,0)</f>
        <v>320</v>
      </c>
      <c r="M549" s="225">
        <v>15</v>
      </c>
      <c r="N549" s="226" t="str">
        <f t="shared" si="17"/>
        <v>_self</v>
      </c>
      <c r="O549" s="225">
        <f>LEN(Tableau18[[#This Row],[LABEL]])</f>
        <v>44</v>
      </c>
      <c r="P549" s="225">
        <v>15</v>
      </c>
      <c r="Q549" s="225" t="e">
        <f>ROUND(Tableau18[[#This Row],[LEN]]*#REF!+#REF!,0)</f>
        <v>#REF!</v>
      </c>
    </row>
    <row r="550" spans="1:17" s="97" customFormat="1" x14ac:dyDescent="0.25">
      <c r="A550" s="220" t="s">
        <v>1420</v>
      </c>
      <c r="B550" s="221" t="s">
        <v>265</v>
      </c>
      <c r="C550" s="222" t="s">
        <v>1167</v>
      </c>
      <c r="D550" s="70" t="s">
        <v>486</v>
      </c>
      <c r="E550" s="229" t="s">
        <v>1085</v>
      </c>
      <c r="F550" s="215" t="s">
        <v>1084</v>
      </c>
      <c r="G550" s="70" t="s">
        <v>1977</v>
      </c>
      <c r="H550" s="223" t="s">
        <v>1131</v>
      </c>
      <c r="I550" s="222"/>
      <c r="J550" s="224" t="s">
        <v>708</v>
      </c>
      <c r="K550" s="224" t="str">
        <f t="shared" si="16"/>
        <v>_</v>
      </c>
      <c r="L550" s="225">
        <f>ROUND(Tableau18[[#This Row],[LEN]]*7.27,0)</f>
        <v>196</v>
      </c>
      <c r="M550" s="225">
        <v>15</v>
      </c>
      <c r="N550" s="226" t="str">
        <f t="shared" si="17"/>
        <v>_self</v>
      </c>
      <c r="O550" s="225">
        <f>LEN(Tableau18[[#This Row],[LABEL]])</f>
        <v>27</v>
      </c>
      <c r="P550" s="225">
        <v>15</v>
      </c>
      <c r="Q550" s="225" t="e">
        <f>ROUND(Tableau18[[#This Row],[LEN]]*#REF!+#REF!,0)</f>
        <v>#REF!</v>
      </c>
    </row>
    <row r="551" spans="1:17" s="97" customFormat="1" x14ac:dyDescent="0.25">
      <c r="A551" s="29" t="s">
        <v>1425</v>
      </c>
      <c r="B551" s="30" t="s">
        <v>1420</v>
      </c>
      <c r="C551" s="31" t="s">
        <v>93</v>
      </c>
      <c r="D551" s="71" t="s">
        <v>1177</v>
      </c>
      <c r="E551" s="31" t="s">
        <v>1085</v>
      </c>
      <c r="F551" s="31" t="s">
        <v>1084</v>
      </c>
      <c r="G551" s="71" t="s">
        <v>166</v>
      </c>
      <c r="H551" s="71" t="s">
        <v>18</v>
      </c>
      <c r="I551" s="31"/>
      <c r="J551" s="32" t="s">
        <v>101</v>
      </c>
      <c r="K551" s="32" t="str">
        <f t="shared" si="16"/>
        <v>Documentation</v>
      </c>
      <c r="L551" s="111">
        <f>ROUND(Tableau18[[#This Row],[LEN]]*7.27,0)</f>
        <v>109</v>
      </c>
      <c r="M551" s="111">
        <v>15</v>
      </c>
      <c r="N551" s="128" t="str">
        <f t="shared" si="17"/>
        <v>_blank</v>
      </c>
      <c r="O551" s="111">
        <f>LEN(Tableau18[[#This Row],[LABEL]])</f>
        <v>15</v>
      </c>
      <c r="P551" s="111">
        <v>15</v>
      </c>
      <c r="Q551" s="111" t="e">
        <f>ROUND(Tableau18[[#This Row],[LEN]]*#REF!+#REF!,0)</f>
        <v>#REF!</v>
      </c>
    </row>
    <row r="552" spans="1:17" s="97" customFormat="1" x14ac:dyDescent="0.25">
      <c r="A552" s="29" t="s">
        <v>1426</v>
      </c>
      <c r="B552" s="30" t="s">
        <v>1420</v>
      </c>
      <c r="C552" s="31" t="s">
        <v>94</v>
      </c>
      <c r="D552" s="71" t="s">
        <v>1177</v>
      </c>
      <c r="E552" s="31" t="s">
        <v>1085</v>
      </c>
      <c r="F552" s="31" t="s">
        <v>1084</v>
      </c>
      <c r="G552" s="71" t="s">
        <v>166</v>
      </c>
      <c r="H552" s="71" t="s">
        <v>18</v>
      </c>
      <c r="I552" s="31"/>
      <c r="J552" s="32" t="s">
        <v>102</v>
      </c>
      <c r="K552" s="32" t="str">
        <f t="shared" si="16"/>
        <v>Documentation</v>
      </c>
      <c r="L552" s="111">
        <f>ROUND(Tableau18[[#This Row],[LEN]]*7.27,0)</f>
        <v>58</v>
      </c>
      <c r="M552" s="111">
        <v>15</v>
      </c>
      <c r="N552" s="128" t="str">
        <f t="shared" si="17"/>
        <v>_blank</v>
      </c>
      <c r="O552" s="111">
        <f>LEN(Tableau18[[#This Row],[LABEL]])</f>
        <v>8</v>
      </c>
      <c r="P552" s="111">
        <v>15</v>
      </c>
      <c r="Q552" s="111" t="e">
        <f>ROUND(Tableau18[[#This Row],[LEN]]*#REF!+#REF!,0)</f>
        <v>#REF!</v>
      </c>
    </row>
    <row r="553" spans="1:17" s="273" customFormat="1" x14ac:dyDescent="0.25">
      <c r="A553" s="288" t="s">
        <v>1979</v>
      </c>
      <c r="B553" s="289" t="s">
        <v>206</v>
      </c>
      <c r="C553" s="290" t="s">
        <v>1950</v>
      </c>
      <c r="D553" s="291" t="s">
        <v>1177</v>
      </c>
      <c r="E553" s="290" t="s">
        <v>1951</v>
      </c>
      <c r="F553" s="290" t="s">
        <v>1177</v>
      </c>
      <c r="G553" s="291" t="s">
        <v>166</v>
      </c>
      <c r="H553" s="291" t="s">
        <v>56</v>
      </c>
      <c r="I553" s="290"/>
      <c r="J553" s="292" t="s">
        <v>708</v>
      </c>
      <c r="K553" s="292" t="str">
        <f t="shared" si="16"/>
        <v>_</v>
      </c>
      <c r="L553" s="293">
        <f>ROUND(Tableau18[[#This Row],[LEN]]*7.27,0)</f>
        <v>51</v>
      </c>
      <c r="M553" s="293">
        <v>15</v>
      </c>
      <c r="N553" s="294" t="str">
        <f t="shared" si="17"/>
        <v>_self</v>
      </c>
      <c r="O553" s="293">
        <f>LEN(Tableau18[[#This Row],[LABEL]])</f>
        <v>7</v>
      </c>
      <c r="P553" s="293">
        <v>15</v>
      </c>
      <c r="Q553" s="293" t="e">
        <f>ROUND(Tableau18[[#This Row],[LEN]]*#REF!+#REF!,0)</f>
        <v>#REF!</v>
      </c>
    </row>
    <row r="554" spans="1:17" s="97" customFormat="1" x14ac:dyDescent="0.25">
      <c r="A554" s="220" t="s">
        <v>1980</v>
      </c>
      <c r="B554" s="221" t="s">
        <v>1979</v>
      </c>
      <c r="C554" s="222" t="s">
        <v>2001</v>
      </c>
      <c r="D554" s="70" t="s">
        <v>1990</v>
      </c>
      <c r="E554" s="229" t="s">
        <v>1951</v>
      </c>
      <c r="F554" s="215" t="s">
        <v>1177</v>
      </c>
      <c r="G554" s="70" t="s">
        <v>166</v>
      </c>
      <c r="H554" s="223" t="s">
        <v>570</v>
      </c>
      <c r="I554" s="222"/>
      <c r="J554" s="224" t="s">
        <v>708</v>
      </c>
      <c r="K554" s="224" t="str">
        <f t="shared" si="16"/>
        <v>_</v>
      </c>
      <c r="L554" s="225">
        <f>ROUND(Tableau18[[#This Row],[LEN]]*7.27,0)</f>
        <v>80</v>
      </c>
      <c r="M554" s="225">
        <v>15</v>
      </c>
      <c r="N554" s="226" t="str">
        <f t="shared" si="17"/>
        <v>_self</v>
      </c>
      <c r="O554" s="225">
        <f>LEN(Tableau18[[#This Row],[LABEL]])</f>
        <v>11</v>
      </c>
      <c r="P554" s="225">
        <v>15</v>
      </c>
      <c r="Q554" s="225" t="e">
        <f>ROUND(Tableau18[[#This Row],[LEN]]*#REF!+#REF!,0)</f>
        <v>#REF!</v>
      </c>
    </row>
    <row r="555" spans="1:17" s="97" customFormat="1" x14ac:dyDescent="0.25">
      <c r="A555" s="220" t="s">
        <v>1981</v>
      </c>
      <c r="B555" s="221" t="s">
        <v>1979</v>
      </c>
      <c r="C555" s="222" t="s">
        <v>1991</v>
      </c>
      <c r="D555" s="70" t="s">
        <v>1177</v>
      </c>
      <c r="E555" s="229" t="s">
        <v>1951</v>
      </c>
      <c r="F555" s="215" t="s">
        <v>1177</v>
      </c>
      <c r="G555" s="70" t="s">
        <v>166</v>
      </c>
      <c r="H555" s="223" t="s">
        <v>570</v>
      </c>
      <c r="I555" s="222"/>
      <c r="J555" s="224" t="s">
        <v>708</v>
      </c>
      <c r="K555" s="224" t="str">
        <f t="shared" si="16"/>
        <v>_</v>
      </c>
      <c r="L555" s="225">
        <f>ROUND(Tableau18[[#This Row],[LEN]]*7.27,0)</f>
        <v>458</v>
      </c>
      <c r="M555" s="225">
        <v>15</v>
      </c>
      <c r="N555" s="226" t="str">
        <f t="shared" si="17"/>
        <v>_self</v>
      </c>
      <c r="O555" s="225">
        <f>LEN(Tableau18[[#This Row],[LABEL]])</f>
        <v>63</v>
      </c>
      <c r="P555" s="225">
        <v>15</v>
      </c>
      <c r="Q555" s="225" t="e">
        <f>ROUND(Tableau18[[#This Row],[LEN]]*#REF!+#REF!,0)</f>
        <v>#REF!</v>
      </c>
    </row>
    <row r="556" spans="1:17" s="97" customFormat="1" x14ac:dyDescent="0.25">
      <c r="A556" s="220" t="s">
        <v>1982</v>
      </c>
      <c r="B556" s="221" t="s">
        <v>1979</v>
      </c>
      <c r="C556" s="222" t="s">
        <v>1992</v>
      </c>
      <c r="D556" s="70" t="s">
        <v>1177</v>
      </c>
      <c r="E556" s="229" t="s">
        <v>1951</v>
      </c>
      <c r="F556" s="215" t="s">
        <v>1177</v>
      </c>
      <c r="G556" s="70" t="s">
        <v>166</v>
      </c>
      <c r="H556" s="223" t="s">
        <v>570</v>
      </c>
      <c r="I556" s="222"/>
      <c r="J556" s="224" t="s">
        <v>708</v>
      </c>
      <c r="K556" s="224" t="str">
        <f t="shared" si="16"/>
        <v>_</v>
      </c>
      <c r="L556" s="225">
        <f>ROUND(Tableau18[[#This Row],[LEN]]*7.27,0)</f>
        <v>305</v>
      </c>
      <c r="M556" s="225">
        <v>15</v>
      </c>
      <c r="N556" s="226" t="str">
        <f t="shared" si="17"/>
        <v>_self</v>
      </c>
      <c r="O556" s="225">
        <f>LEN(Tableau18[[#This Row],[LABEL]])</f>
        <v>42</v>
      </c>
      <c r="P556" s="225">
        <v>15</v>
      </c>
      <c r="Q556" s="225" t="e">
        <f>ROUND(Tableau18[[#This Row],[LEN]]*#REF!+#REF!,0)</f>
        <v>#REF!</v>
      </c>
    </row>
    <row r="557" spans="1:17" s="97" customFormat="1" x14ac:dyDescent="0.25">
      <c r="A557" s="220" t="s">
        <v>1983</v>
      </c>
      <c r="B557" s="221" t="s">
        <v>1979</v>
      </c>
      <c r="C557" s="222" t="s">
        <v>1993</v>
      </c>
      <c r="D557" s="70" t="s">
        <v>1177</v>
      </c>
      <c r="E557" s="229" t="s">
        <v>1951</v>
      </c>
      <c r="F557" s="215" t="s">
        <v>1177</v>
      </c>
      <c r="G557" s="70" t="s">
        <v>166</v>
      </c>
      <c r="H557" s="223" t="s">
        <v>570</v>
      </c>
      <c r="I557" s="222"/>
      <c r="J557" s="224" t="s">
        <v>708</v>
      </c>
      <c r="K557" s="224" t="str">
        <f t="shared" si="16"/>
        <v>_</v>
      </c>
      <c r="L557" s="225">
        <f>ROUND(Tableau18[[#This Row],[LEN]]*7.27,0)</f>
        <v>385</v>
      </c>
      <c r="M557" s="225">
        <v>15</v>
      </c>
      <c r="N557" s="226" t="str">
        <f t="shared" si="17"/>
        <v>_self</v>
      </c>
      <c r="O557" s="225">
        <f>LEN(Tableau18[[#This Row],[LABEL]])</f>
        <v>53</v>
      </c>
      <c r="P557" s="225">
        <v>15</v>
      </c>
      <c r="Q557" s="225" t="e">
        <f>ROUND(Tableau18[[#This Row],[LEN]]*#REF!+#REF!,0)</f>
        <v>#REF!</v>
      </c>
    </row>
    <row r="558" spans="1:17" s="97" customFormat="1" x14ac:dyDescent="0.25">
      <c r="A558" s="220" t="s">
        <v>1984</v>
      </c>
      <c r="B558" s="221" t="s">
        <v>1979</v>
      </c>
      <c r="C558" s="222" t="s">
        <v>2002</v>
      </c>
      <c r="D558" s="70" t="s">
        <v>1994</v>
      </c>
      <c r="E558" s="229" t="s">
        <v>1951</v>
      </c>
      <c r="F558" s="215" t="s">
        <v>1177</v>
      </c>
      <c r="G558" s="70" t="s">
        <v>166</v>
      </c>
      <c r="H558" s="223" t="s">
        <v>18</v>
      </c>
      <c r="I558" s="222"/>
      <c r="J558" s="224" t="s">
        <v>708</v>
      </c>
      <c r="K558" s="224" t="str">
        <f t="shared" si="16"/>
        <v>_</v>
      </c>
      <c r="L558" s="225">
        <f>ROUND(Tableau18[[#This Row],[LEN]]*7.27,0)</f>
        <v>516</v>
      </c>
      <c r="M558" s="225">
        <v>15</v>
      </c>
      <c r="N558" s="226" t="str">
        <f t="shared" si="17"/>
        <v>_self</v>
      </c>
      <c r="O558" s="225">
        <f>LEN(Tableau18[[#This Row],[LABEL]])</f>
        <v>71</v>
      </c>
      <c r="P558" s="225">
        <v>15</v>
      </c>
      <c r="Q558" s="225" t="e">
        <f>ROUND(Tableau18[[#This Row],[LEN]]*#REF!+#REF!,0)</f>
        <v>#REF!</v>
      </c>
    </row>
    <row r="559" spans="1:17" s="97" customFormat="1" x14ac:dyDescent="0.25">
      <c r="A559" s="220" t="s">
        <v>1985</v>
      </c>
      <c r="B559" s="221" t="s">
        <v>1979</v>
      </c>
      <c r="C559" s="222" t="s">
        <v>1995</v>
      </c>
      <c r="D559" s="70" t="s">
        <v>1177</v>
      </c>
      <c r="E559" s="229" t="s">
        <v>1951</v>
      </c>
      <c r="F559" s="215" t="s">
        <v>1177</v>
      </c>
      <c r="G559" s="70" t="s">
        <v>166</v>
      </c>
      <c r="H559" s="223" t="s">
        <v>570</v>
      </c>
      <c r="I559" s="222"/>
      <c r="J559" s="224" t="s">
        <v>708</v>
      </c>
      <c r="K559" s="224" t="str">
        <f t="shared" si="16"/>
        <v>_</v>
      </c>
      <c r="L559" s="225">
        <f>ROUND(Tableau18[[#This Row],[LEN]]*7.27,0)</f>
        <v>196</v>
      </c>
      <c r="M559" s="225">
        <v>15</v>
      </c>
      <c r="N559" s="226" t="str">
        <f t="shared" si="17"/>
        <v>_self</v>
      </c>
      <c r="O559" s="225">
        <f>LEN(Tableau18[[#This Row],[LABEL]])</f>
        <v>27</v>
      </c>
      <c r="P559" s="225">
        <v>15</v>
      </c>
      <c r="Q559" s="225" t="e">
        <f>ROUND(Tableau18[[#This Row],[LEN]]*#REF!+#REF!,0)</f>
        <v>#REF!</v>
      </c>
    </row>
    <row r="560" spans="1:17" s="97" customFormat="1" x14ac:dyDescent="0.25">
      <c r="A560" s="220" t="s">
        <v>1986</v>
      </c>
      <c r="B560" s="221" t="s">
        <v>1979</v>
      </c>
      <c r="C560" s="222" t="s">
        <v>1996</v>
      </c>
      <c r="D560" s="70" t="s">
        <v>1177</v>
      </c>
      <c r="E560" s="229" t="s">
        <v>1951</v>
      </c>
      <c r="F560" s="215" t="s">
        <v>1177</v>
      </c>
      <c r="G560" s="70" t="s">
        <v>166</v>
      </c>
      <c r="H560" s="223" t="s">
        <v>570</v>
      </c>
      <c r="I560" s="222"/>
      <c r="J560" s="224" t="s">
        <v>708</v>
      </c>
      <c r="K560" s="224" t="str">
        <f t="shared" si="16"/>
        <v>_</v>
      </c>
      <c r="L560" s="225">
        <f>ROUND(Tableau18[[#This Row],[LEN]]*7.27,0)</f>
        <v>276</v>
      </c>
      <c r="M560" s="225">
        <v>15</v>
      </c>
      <c r="N560" s="226" t="str">
        <f t="shared" si="17"/>
        <v>_self</v>
      </c>
      <c r="O560" s="225">
        <f>LEN(Tableau18[[#This Row],[LABEL]])</f>
        <v>38</v>
      </c>
      <c r="P560" s="225">
        <v>15</v>
      </c>
      <c r="Q560" s="225" t="e">
        <f>ROUND(Tableau18[[#This Row],[LEN]]*#REF!+#REF!,0)</f>
        <v>#REF!</v>
      </c>
    </row>
    <row r="561" spans="1:17" s="97" customFormat="1" x14ac:dyDescent="0.25">
      <c r="A561" s="220" t="s">
        <v>1987</v>
      </c>
      <c r="B561" s="221" t="s">
        <v>1979</v>
      </c>
      <c r="C561" s="222" t="s">
        <v>778</v>
      </c>
      <c r="D561" s="70" t="s">
        <v>1177</v>
      </c>
      <c r="E561" s="229" t="s">
        <v>673</v>
      </c>
      <c r="F561" s="27" t="s">
        <v>2000</v>
      </c>
      <c r="G561" s="70" t="s">
        <v>166</v>
      </c>
      <c r="H561" s="223" t="s">
        <v>17</v>
      </c>
      <c r="I561" s="222"/>
      <c r="J561" s="224" t="s">
        <v>708</v>
      </c>
      <c r="K561" s="224" t="str">
        <f t="shared" si="16"/>
        <v>_</v>
      </c>
      <c r="L561" s="225">
        <f>ROUND(Tableau18[[#This Row],[LEN]]*7.27,0)</f>
        <v>211</v>
      </c>
      <c r="M561" s="225">
        <v>15</v>
      </c>
      <c r="N561" s="226" t="str">
        <f t="shared" si="17"/>
        <v>_self</v>
      </c>
      <c r="O561" s="225">
        <f>LEN(Tableau18[[#This Row],[LABEL]])</f>
        <v>29</v>
      </c>
      <c r="P561" s="225">
        <v>15</v>
      </c>
      <c r="Q561" s="225" t="e">
        <f>ROUND(Tableau18[[#This Row],[LEN]]*#REF!+#REF!,0)</f>
        <v>#REF!</v>
      </c>
    </row>
    <row r="562" spans="1:17" s="97" customFormat="1" x14ac:dyDescent="0.25">
      <c r="A562" s="220" t="s">
        <v>1988</v>
      </c>
      <c r="B562" s="221" t="s">
        <v>1979</v>
      </c>
      <c r="C562" s="222" t="s">
        <v>1997</v>
      </c>
      <c r="D562" s="70" t="s">
        <v>1177</v>
      </c>
      <c r="E562" s="229" t="s">
        <v>1951</v>
      </c>
      <c r="F562" s="215" t="s">
        <v>1177</v>
      </c>
      <c r="G562" s="70" t="s">
        <v>166</v>
      </c>
      <c r="H562" s="223" t="s">
        <v>570</v>
      </c>
      <c r="I562" s="222"/>
      <c r="J562" s="224" t="s">
        <v>708</v>
      </c>
      <c r="K562" s="224" t="str">
        <f t="shared" si="16"/>
        <v>_</v>
      </c>
      <c r="L562" s="225">
        <f>ROUND(Tableau18[[#This Row],[LEN]]*7.27,0)</f>
        <v>298</v>
      </c>
      <c r="M562" s="225">
        <v>15</v>
      </c>
      <c r="N562" s="226" t="str">
        <f t="shared" si="17"/>
        <v>_self</v>
      </c>
      <c r="O562" s="225">
        <f>LEN(Tableau18[[#This Row],[LABEL]])</f>
        <v>41</v>
      </c>
      <c r="P562" s="225">
        <v>15</v>
      </c>
      <c r="Q562" s="225" t="e">
        <f>ROUND(Tableau18[[#This Row],[LEN]]*#REF!+#REF!,0)</f>
        <v>#REF!</v>
      </c>
    </row>
    <row r="563" spans="1:17" s="97" customFormat="1" x14ac:dyDescent="0.25">
      <c r="A563" s="220" t="s">
        <v>1989</v>
      </c>
      <c r="B563" s="221" t="s">
        <v>1979</v>
      </c>
      <c r="C563" s="222" t="s">
        <v>2003</v>
      </c>
      <c r="D563" s="70" t="s">
        <v>1998</v>
      </c>
      <c r="E563" s="229" t="s">
        <v>1951</v>
      </c>
      <c r="F563" s="215" t="s">
        <v>1177</v>
      </c>
      <c r="G563" s="70" t="s">
        <v>166</v>
      </c>
      <c r="H563" s="223" t="s">
        <v>570</v>
      </c>
      <c r="I563" s="222"/>
      <c r="J563" s="224" t="s">
        <v>708</v>
      </c>
      <c r="K563" s="224" t="str">
        <f t="shared" si="16"/>
        <v>_</v>
      </c>
      <c r="L563" s="225">
        <f>ROUND(Tableau18[[#This Row],[LEN]]*7.27,0)</f>
        <v>131</v>
      </c>
      <c r="M563" s="225">
        <v>15</v>
      </c>
      <c r="N563" s="226" t="str">
        <f t="shared" si="17"/>
        <v>_self</v>
      </c>
      <c r="O563" s="225">
        <f>LEN(Tableau18[[#This Row],[LABEL]])</f>
        <v>18</v>
      </c>
      <c r="P563" s="225">
        <v>15</v>
      </c>
      <c r="Q563" s="225" t="e">
        <f>ROUND(Tableau18[[#This Row],[LEN]]*#REF!+#REF!,0)</f>
        <v>#REF!</v>
      </c>
    </row>
    <row r="564" spans="1:17" s="97" customFormat="1" x14ac:dyDescent="0.25">
      <c r="A564" s="220" t="s">
        <v>1999</v>
      </c>
      <c r="B564" s="221" t="s">
        <v>1979</v>
      </c>
      <c r="C564" s="222" t="s">
        <v>1167</v>
      </c>
      <c r="D564" s="70" t="s">
        <v>486</v>
      </c>
      <c r="E564" s="229" t="s">
        <v>1085</v>
      </c>
      <c r="F564" s="215" t="s">
        <v>1084</v>
      </c>
      <c r="G564" s="70" t="s">
        <v>1977</v>
      </c>
      <c r="H564" s="223" t="s">
        <v>1131</v>
      </c>
      <c r="I564" s="222"/>
      <c r="J564" s="224" t="s">
        <v>708</v>
      </c>
      <c r="K564" s="224" t="str">
        <f t="shared" si="16"/>
        <v>_</v>
      </c>
      <c r="L564" s="225">
        <f>ROUND(Tableau18[[#This Row],[LEN]]*7.27,0)</f>
        <v>196</v>
      </c>
      <c r="M564" s="225">
        <v>15</v>
      </c>
      <c r="N564" s="226" t="str">
        <f t="shared" si="17"/>
        <v>_self</v>
      </c>
      <c r="O564" s="225">
        <f>LEN(Tableau18[[#This Row],[LABEL]])</f>
        <v>27</v>
      </c>
      <c r="P564" s="225">
        <v>15</v>
      </c>
      <c r="Q564" s="225" t="e">
        <f>ROUND(Tableau18[[#This Row],[LEN]]*#REF!+#REF!,0)</f>
        <v>#REF!</v>
      </c>
    </row>
    <row r="565" spans="1:17" s="97" customFormat="1" x14ac:dyDescent="0.25">
      <c r="A565" s="29" t="s">
        <v>2004</v>
      </c>
      <c r="B565" s="30" t="s">
        <v>1999</v>
      </c>
      <c r="C565" s="31" t="s">
        <v>93</v>
      </c>
      <c r="D565" s="71" t="s">
        <v>1177</v>
      </c>
      <c r="E565" s="31" t="s">
        <v>1085</v>
      </c>
      <c r="F565" s="31" t="s">
        <v>1084</v>
      </c>
      <c r="G565" s="71" t="s">
        <v>166</v>
      </c>
      <c r="H565" s="71" t="s">
        <v>18</v>
      </c>
      <c r="I565" s="31"/>
      <c r="J565" s="32" t="s">
        <v>101</v>
      </c>
      <c r="K565" s="32" t="str">
        <f t="shared" si="16"/>
        <v>Documentation</v>
      </c>
      <c r="L565" s="111">
        <f>ROUND(Tableau18[[#This Row],[LEN]]*7.27,0)</f>
        <v>109</v>
      </c>
      <c r="M565" s="111">
        <v>15</v>
      </c>
      <c r="N565" s="128" t="str">
        <f t="shared" si="17"/>
        <v>_blank</v>
      </c>
      <c r="O565" s="111">
        <f>LEN(Tableau18[[#This Row],[LABEL]])</f>
        <v>15</v>
      </c>
      <c r="P565" s="111">
        <v>15</v>
      </c>
      <c r="Q565" s="111" t="e">
        <f>ROUND(Tableau18[[#This Row],[LEN]]*#REF!+#REF!,0)</f>
        <v>#REF!</v>
      </c>
    </row>
    <row r="566" spans="1:17" s="97" customFormat="1" ht="15.75" thickBot="1" x14ac:dyDescent="0.3">
      <c r="A566" s="29" t="s">
        <v>2005</v>
      </c>
      <c r="B566" s="30" t="s">
        <v>1999</v>
      </c>
      <c r="C566" s="31" t="s">
        <v>94</v>
      </c>
      <c r="D566" s="71" t="s">
        <v>1177</v>
      </c>
      <c r="E566" s="31" t="s">
        <v>1085</v>
      </c>
      <c r="F566" s="31" t="s">
        <v>1084</v>
      </c>
      <c r="G566" s="71" t="s">
        <v>166</v>
      </c>
      <c r="H566" s="71" t="s">
        <v>18</v>
      </c>
      <c r="I566" s="31"/>
      <c r="J566" s="32" t="s">
        <v>102</v>
      </c>
      <c r="K566" s="32" t="str">
        <f t="shared" si="16"/>
        <v>Documentation</v>
      </c>
      <c r="L566" s="111">
        <f>ROUND(Tableau18[[#This Row],[LEN]]*7.27,0)</f>
        <v>58</v>
      </c>
      <c r="M566" s="111">
        <v>15</v>
      </c>
      <c r="N566" s="128" t="str">
        <f t="shared" si="17"/>
        <v>_blank</v>
      </c>
      <c r="O566" s="111">
        <f>LEN(Tableau18[[#This Row],[LABEL]])</f>
        <v>8</v>
      </c>
      <c r="P566" s="111">
        <v>15</v>
      </c>
      <c r="Q566" s="111" t="e">
        <f>ROUND(Tableau18[[#This Row],[LEN]]*#REF!+#REF!,0)</f>
        <v>#REF!</v>
      </c>
    </row>
    <row r="567" spans="1:17" s="97" customFormat="1" ht="16.5" thickTop="1" thickBot="1" x14ac:dyDescent="0.3">
      <c r="A567" s="177" t="s">
        <v>207</v>
      </c>
      <c r="B567" s="177" t="s">
        <v>198</v>
      </c>
      <c r="C567" s="178" t="s">
        <v>175</v>
      </c>
      <c r="D567" s="179" t="s">
        <v>472</v>
      </c>
      <c r="E567" s="178" t="s">
        <v>1177</v>
      </c>
      <c r="F567" s="179" t="s">
        <v>1177</v>
      </c>
      <c r="G567" s="178" t="s">
        <v>2096</v>
      </c>
      <c r="H567" s="178" t="s">
        <v>616</v>
      </c>
      <c r="I567" s="179"/>
      <c r="J567" s="180" t="s">
        <v>708</v>
      </c>
      <c r="K567" s="180" t="str">
        <f t="shared" si="16"/>
        <v>_</v>
      </c>
      <c r="L567" s="181">
        <f>ROUND(Tableau18[[#This Row],[LEN]]*7.27,0)</f>
        <v>160</v>
      </c>
      <c r="M567" s="181">
        <v>15</v>
      </c>
      <c r="N567" s="182" t="str">
        <f t="shared" si="17"/>
        <v>_self</v>
      </c>
      <c r="O567" s="181">
        <f>LEN(Tableau18[[#This Row],[LABEL]])</f>
        <v>22</v>
      </c>
      <c r="P567" s="183">
        <v>15</v>
      </c>
      <c r="Q567" s="183" t="e">
        <f>ROUND(Tableau18[[#This Row],[LEN]]*#REF!+#REF!,0)</f>
        <v>#REF!</v>
      </c>
    </row>
    <row r="568" spans="1:17" s="92" customFormat="1" ht="15.75" thickTop="1" x14ac:dyDescent="0.25">
      <c r="A568" s="309" t="s">
        <v>267</v>
      </c>
      <c r="B568" s="310" t="s">
        <v>207</v>
      </c>
      <c r="C568" s="311" t="s">
        <v>57</v>
      </c>
      <c r="D568" s="312" t="s">
        <v>1177</v>
      </c>
      <c r="E568" s="311" t="s">
        <v>663</v>
      </c>
      <c r="F568" s="311" t="s">
        <v>1177</v>
      </c>
      <c r="G568" s="312" t="s">
        <v>2096</v>
      </c>
      <c r="H568" s="312" t="str">
        <f>IFERROR(IF(SEARCH(".00.00.00.00.00",Tableau18[[#This Row],[name]],1)=7,"Division",""),"")</f>
        <v>Division</v>
      </c>
      <c r="I568" s="311"/>
      <c r="J568" s="313" t="s">
        <v>708</v>
      </c>
      <c r="K568" s="313" t="str">
        <f t="shared" si="16"/>
        <v>_</v>
      </c>
      <c r="L568" s="314">
        <f>ROUND(Tableau18[[#This Row],[LEN]]*7.27,0)</f>
        <v>102</v>
      </c>
      <c r="M568" s="314">
        <v>15</v>
      </c>
      <c r="N568" s="315" t="str">
        <f t="shared" si="17"/>
        <v>_self</v>
      </c>
      <c r="O568" s="314">
        <f>LEN(Tableau18[[#This Row],[LABEL]])</f>
        <v>14</v>
      </c>
      <c r="P568" s="314">
        <v>15</v>
      </c>
      <c r="Q568" s="314" t="e">
        <f>ROUND(Tableau18[[#This Row],[LEN]]*#REF!+#REF!,0)</f>
        <v>#REF!</v>
      </c>
    </row>
    <row r="569" spans="1:17" s="97" customFormat="1" x14ac:dyDescent="0.25">
      <c r="A569" s="33" t="s">
        <v>841</v>
      </c>
      <c r="B569" s="34" t="s">
        <v>267</v>
      </c>
      <c r="C569" s="35" t="s">
        <v>111</v>
      </c>
      <c r="D569" s="72" t="s">
        <v>1177</v>
      </c>
      <c r="E569" s="35" t="s">
        <v>667</v>
      </c>
      <c r="F569" s="35" t="s">
        <v>2006</v>
      </c>
      <c r="G569" s="72" t="s">
        <v>2096</v>
      </c>
      <c r="H569" s="72" t="s">
        <v>655</v>
      </c>
      <c r="I569" s="35"/>
      <c r="J569" s="36" t="s">
        <v>708</v>
      </c>
      <c r="K569" s="36" t="str">
        <f t="shared" si="16"/>
        <v>_</v>
      </c>
      <c r="L569" s="113">
        <f>ROUND(Tableau18[[#This Row],[LEN]]*7.27,0)</f>
        <v>167</v>
      </c>
      <c r="M569" s="113">
        <v>15</v>
      </c>
      <c r="N569" s="130" t="str">
        <f t="shared" si="17"/>
        <v>_self</v>
      </c>
      <c r="O569" s="113">
        <f>LEN(Tableau18[[#This Row],[LABEL]])</f>
        <v>23</v>
      </c>
      <c r="P569" s="113">
        <v>15</v>
      </c>
      <c r="Q569" s="113" t="e">
        <f>ROUND(Tableau18[[#This Row],[LEN]]*#REF!+#REF!,0)</f>
        <v>#REF!</v>
      </c>
    </row>
    <row r="570" spans="1:17" s="97" customFormat="1" x14ac:dyDescent="0.25">
      <c r="A570" s="37" t="s">
        <v>842</v>
      </c>
      <c r="B570" s="38" t="s">
        <v>841</v>
      </c>
      <c r="C570" s="39" t="s">
        <v>112</v>
      </c>
      <c r="D570" s="73" t="s">
        <v>1177</v>
      </c>
      <c r="E570" s="39" t="s">
        <v>667</v>
      </c>
      <c r="F570" s="39" t="s">
        <v>2006</v>
      </c>
      <c r="G570" s="73" t="s">
        <v>2096</v>
      </c>
      <c r="H570" s="73" t="s">
        <v>654</v>
      </c>
      <c r="I570" s="39"/>
      <c r="J570" s="40" t="s">
        <v>708</v>
      </c>
      <c r="K570" s="40" t="str">
        <f t="shared" si="16"/>
        <v>_</v>
      </c>
      <c r="L570" s="114">
        <f>ROUND(Tableau18[[#This Row],[LEN]]*7.27,0)</f>
        <v>167</v>
      </c>
      <c r="M570" s="114">
        <v>15</v>
      </c>
      <c r="N570" s="131" t="str">
        <f t="shared" si="17"/>
        <v>_self</v>
      </c>
      <c r="O570" s="114">
        <f>LEN(Tableau18[[#This Row],[LABEL]])</f>
        <v>23</v>
      </c>
      <c r="P570" s="114">
        <v>15</v>
      </c>
      <c r="Q570" s="114" t="e">
        <f>ROUND(Tableau18[[#This Row],[LEN]]*#REF!+#REF!,0)</f>
        <v>#REF!</v>
      </c>
    </row>
    <row r="571" spans="1:17" s="97" customFormat="1" x14ac:dyDescent="0.25">
      <c r="A571" s="37" t="s">
        <v>843</v>
      </c>
      <c r="B571" s="38" t="s">
        <v>841</v>
      </c>
      <c r="C571" s="39" t="s">
        <v>113</v>
      </c>
      <c r="D571" s="73" t="s">
        <v>1177</v>
      </c>
      <c r="E571" s="39" t="s">
        <v>667</v>
      </c>
      <c r="F571" s="39" t="s">
        <v>2006</v>
      </c>
      <c r="G571" s="73" t="s">
        <v>2096</v>
      </c>
      <c r="H571" s="73" t="s">
        <v>654</v>
      </c>
      <c r="I571" s="39"/>
      <c r="J571" s="40" t="s">
        <v>708</v>
      </c>
      <c r="K571" s="40" t="str">
        <f t="shared" si="16"/>
        <v>_</v>
      </c>
      <c r="L571" s="114">
        <f>ROUND(Tableau18[[#This Row],[LEN]]*7.27,0)</f>
        <v>233</v>
      </c>
      <c r="M571" s="114">
        <v>15</v>
      </c>
      <c r="N571" s="131" t="str">
        <f t="shared" si="17"/>
        <v>_self</v>
      </c>
      <c r="O571" s="114">
        <f>LEN(Tableau18[[#This Row],[LABEL]])</f>
        <v>32</v>
      </c>
      <c r="P571" s="114">
        <v>15</v>
      </c>
      <c r="Q571" s="114" t="e">
        <f>ROUND(Tableau18[[#This Row],[LEN]]*#REF!+#REF!,0)</f>
        <v>#REF!</v>
      </c>
    </row>
    <row r="572" spans="1:17" s="273" customFormat="1" x14ac:dyDescent="0.25">
      <c r="A572" s="309" t="s">
        <v>269</v>
      </c>
      <c r="B572" s="310" t="s">
        <v>207</v>
      </c>
      <c r="C572" s="311" t="s">
        <v>3</v>
      </c>
      <c r="D572" s="312" t="s">
        <v>1177</v>
      </c>
      <c r="E572" s="311" t="s">
        <v>661</v>
      </c>
      <c r="F572" s="311" t="s">
        <v>1177</v>
      </c>
      <c r="G572" s="312" t="s">
        <v>2096</v>
      </c>
      <c r="H572" s="312" t="str">
        <f>IFERROR(IF(SEARCH(".00.00.00.00.00",Tableau18[[#This Row],[name]],1)=7,"Division",""),"")</f>
        <v>Division</v>
      </c>
      <c r="I572" s="311"/>
      <c r="J572" s="313" t="s">
        <v>708</v>
      </c>
      <c r="K572" s="313" t="str">
        <f t="shared" si="16"/>
        <v>_</v>
      </c>
      <c r="L572" s="314">
        <f>ROUND(Tableau18[[#This Row],[LEN]]*7.27,0)</f>
        <v>73</v>
      </c>
      <c r="M572" s="314">
        <v>15</v>
      </c>
      <c r="N572" s="315" t="str">
        <f t="shared" si="17"/>
        <v>_self</v>
      </c>
      <c r="O572" s="314">
        <f>LEN(Tableau18[[#This Row],[LABEL]])</f>
        <v>10</v>
      </c>
      <c r="P572" s="314">
        <v>15</v>
      </c>
      <c r="Q572" s="314" t="e">
        <f>ROUND(Tableau18[[#This Row],[LEN]]*#REF!+#REF!,0)</f>
        <v>#REF!</v>
      </c>
    </row>
    <row r="573" spans="1:17" s="97" customFormat="1" x14ac:dyDescent="0.25">
      <c r="A573" s="33" t="s">
        <v>419</v>
      </c>
      <c r="B573" s="34" t="s">
        <v>269</v>
      </c>
      <c r="C573" s="35" t="s">
        <v>111</v>
      </c>
      <c r="D573" s="72" t="s">
        <v>1177</v>
      </c>
      <c r="E573" s="35" t="s">
        <v>667</v>
      </c>
      <c r="F573" s="35" t="s">
        <v>2006</v>
      </c>
      <c r="G573" s="72" t="s">
        <v>2096</v>
      </c>
      <c r="H573" s="72" t="s">
        <v>655</v>
      </c>
      <c r="I573" s="35"/>
      <c r="J573" s="36" t="s">
        <v>708</v>
      </c>
      <c r="K573" s="36" t="str">
        <f t="shared" si="16"/>
        <v>_</v>
      </c>
      <c r="L573" s="113">
        <f>ROUND(Tableau18[[#This Row],[LEN]]*7.27,0)</f>
        <v>167</v>
      </c>
      <c r="M573" s="113">
        <v>15</v>
      </c>
      <c r="N573" s="130" t="str">
        <f t="shared" si="17"/>
        <v>_self</v>
      </c>
      <c r="O573" s="113">
        <f>LEN(Tableau18[[#This Row],[LABEL]])</f>
        <v>23</v>
      </c>
      <c r="P573" s="113">
        <v>15</v>
      </c>
      <c r="Q573" s="113" t="e">
        <f>ROUND(Tableau18[[#This Row],[LEN]]*#REF!+#REF!,0)</f>
        <v>#REF!</v>
      </c>
    </row>
    <row r="574" spans="1:17" s="97" customFormat="1" x14ac:dyDescent="0.25">
      <c r="A574" s="37" t="s">
        <v>420</v>
      </c>
      <c r="B574" s="38" t="s">
        <v>419</v>
      </c>
      <c r="C574" s="39" t="s">
        <v>112</v>
      </c>
      <c r="D574" s="73" t="s">
        <v>1177</v>
      </c>
      <c r="E574" s="39" t="s">
        <v>667</v>
      </c>
      <c r="F574" s="39" t="s">
        <v>2006</v>
      </c>
      <c r="G574" s="73" t="s">
        <v>2096</v>
      </c>
      <c r="H574" s="73" t="s">
        <v>654</v>
      </c>
      <c r="I574" s="39"/>
      <c r="J574" s="40" t="s">
        <v>708</v>
      </c>
      <c r="K574" s="40" t="str">
        <f t="shared" si="16"/>
        <v>_</v>
      </c>
      <c r="L574" s="114">
        <f>ROUND(Tableau18[[#This Row],[LEN]]*7.27,0)</f>
        <v>167</v>
      </c>
      <c r="M574" s="114">
        <v>15</v>
      </c>
      <c r="N574" s="131" t="str">
        <f t="shared" si="17"/>
        <v>_self</v>
      </c>
      <c r="O574" s="114">
        <f>LEN(Tableau18[[#This Row],[LABEL]])</f>
        <v>23</v>
      </c>
      <c r="P574" s="114">
        <v>15</v>
      </c>
      <c r="Q574" s="114" t="e">
        <f>ROUND(Tableau18[[#This Row],[LEN]]*#REF!+#REF!,0)</f>
        <v>#REF!</v>
      </c>
    </row>
    <row r="575" spans="1:17" s="97" customFormat="1" x14ac:dyDescent="0.25">
      <c r="A575" s="37" t="s">
        <v>421</v>
      </c>
      <c r="B575" s="38" t="s">
        <v>419</v>
      </c>
      <c r="C575" s="39" t="s">
        <v>113</v>
      </c>
      <c r="D575" s="73" t="s">
        <v>1177</v>
      </c>
      <c r="E575" s="39" t="s">
        <v>667</v>
      </c>
      <c r="F575" s="39" t="s">
        <v>2006</v>
      </c>
      <c r="G575" s="73" t="s">
        <v>2096</v>
      </c>
      <c r="H575" s="73" t="s">
        <v>654</v>
      </c>
      <c r="I575" s="39"/>
      <c r="J575" s="40" t="s">
        <v>708</v>
      </c>
      <c r="K575" s="40" t="str">
        <f t="shared" si="16"/>
        <v>_</v>
      </c>
      <c r="L575" s="114">
        <f>ROUND(Tableau18[[#This Row],[LEN]]*7.27,0)</f>
        <v>233</v>
      </c>
      <c r="M575" s="114">
        <v>15</v>
      </c>
      <c r="N575" s="131" t="str">
        <f t="shared" si="17"/>
        <v>_self</v>
      </c>
      <c r="O575" s="114">
        <f>LEN(Tableau18[[#This Row],[LABEL]])</f>
        <v>32</v>
      </c>
      <c r="P575" s="114">
        <v>15</v>
      </c>
      <c r="Q575" s="114" t="e">
        <f>ROUND(Tableau18[[#This Row],[LEN]]*#REF!+#REF!,0)</f>
        <v>#REF!</v>
      </c>
    </row>
    <row r="576" spans="1:17" s="97" customFormat="1" x14ac:dyDescent="0.25">
      <c r="A576" s="33" t="s">
        <v>422</v>
      </c>
      <c r="B576" s="34" t="s">
        <v>269</v>
      </c>
      <c r="C576" s="35" t="s">
        <v>114</v>
      </c>
      <c r="D576" s="72" t="s">
        <v>1177</v>
      </c>
      <c r="E576" s="35" t="s">
        <v>661</v>
      </c>
      <c r="F576" s="35" t="s">
        <v>2083</v>
      </c>
      <c r="G576" s="72" t="s">
        <v>2096</v>
      </c>
      <c r="H576" s="72" t="s">
        <v>654</v>
      </c>
      <c r="I576" s="35"/>
      <c r="J576" s="36" t="s">
        <v>708</v>
      </c>
      <c r="K576" s="36" t="str">
        <f t="shared" si="16"/>
        <v>_</v>
      </c>
      <c r="L576" s="113">
        <f>ROUND(Tableau18[[#This Row],[LEN]]*7.27,0)</f>
        <v>153</v>
      </c>
      <c r="M576" s="113">
        <v>15</v>
      </c>
      <c r="N576" s="130" t="str">
        <f t="shared" si="17"/>
        <v>_self</v>
      </c>
      <c r="O576" s="113">
        <f>LEN(Tableau18[[#This Row],[LABEL]])</f>
        <v>21</v>
      </c>
      <c r="P576" s="113">
        <v>15</v>
      </c>
      <c r="Q576" s="113" t="e">
        <f>ROUND(Tableau18[[#This Row],[LEN]]*#REF!+#REF!,0)</f>
        <v>#REF!</v>
      </c>
    </row>
    <row r="577" spans="1:17" s="273" customFormat="1" x14ac:dyDescent="0.25">
      <c r="A577" s="309" t="s">
        <v>270</v>
      </c>
      <c r="B577" s="310" t="s">
        <v>207</v>
      </c>
      <c r="C577" s="311" t="s">
        <v>4</v>
      </c>
      <c r="D577" s="312" t="s">
        <v>1177</v>
      </c>
      <c r="E577" s="311" t="s">
        <v>666</v>
      </c>
      <c r="F577" s="311" t="s">
        <v>1177</v>
      </c>
      <c r="G577" s="312" t="s">
        <v>2096</v>
      </c>
      <c r="H577" s="312" t="str">
        <f>IFERROR(IF(SEARCH(".00.00.00.00.00",Tableau18[[#This Row],[name]],1)=7,"Division",""),"")</f>
        <v>Division</v>
      </c>
      <c r="I577" s="311"/>
      <c r="J577" s="313" t="s">
        <v>708</v>
      </c>
      <c r="K577" s="313" t="str">
        <f t="shared" si="16"/>
        <v>_</v>
      </c>
      <c r="L577" s="314">
        <f>ROUND(Tableau18[[#This Row],[LEN]]*7.27,0)</f>
        <v>36</v>
      </c>
      <c r="M577" s="314">
        <v>15</v>
      </c>
      <c r="N577" s="315" t="str">
        <f t="shared" si="17"/>
        <v>_self</v>
      </c>
      <c r="O577" s="314">
        <f>LEN(Tableau18[[#This Row],[LABEL]])</f>
        <v>5</v>
      </c>
      <c r="P577" s="314">
        <v>15</v>
      </c>
      <c r="Q577" s="314" t="e">
        <f>ROUND(Tableau18[[#This Row],[LEN]]*#REF!+#REF!,0)</f>
        <v>#REF!</v>
      </c>
    </row>
    <row r="578" spans="1:17" s="97" customFormat="1" x14ac:dyDescent="0.25">
      <c r="A578" s="33" t="s">
        <v>1427</v>
      </c>
      <c r="B578" s="34" t="s">
        <v>270</v>
      </c>
      <c r="C578" s="35" t="s">
        <v>111</v>
      </c>
      <c r="D578" s="72" t="s">
        <v>1177</v>
      </c>
      <c r="E578" s="35" t="s">
        <v>667</v>
      </c>
      <c r="F578" s="35" t="s">
        <v>2006</v>
      </c>
      <c r="G578" s="72" t="s">
        <v>2096</v>
      </c>
      <c r="H578" s="72" t="s">
        <v>655</v>
      </c>
      <c r="I578" s="35"/>
      <c r="J578" s="36" t="s">
        <v>708</v>
      </c>
      <c r="K578" s="36" t="str">
        <f t="shared" ref="K578:K641" si="18">IF(J578="javascript:void(0)","_","Documentation")</f>
        <v>_</v>
      </c>
      <c r="L578" s="113">
        <f>ROUND(Tableau18[[#This Row],[LEN]]*7.27,0)</f>
        <v>167</v>
      </c>
      <c r="M578" s="113">
        <v>15</v>
      </c>
      <c r="N578" s="130" t="str">
        <f t="shared" si="17"/>
        <v>_self</v>
      </c>
      <c r="O578" s="113">
        <f>LEN(Tableau18[[#This Row],[LABEL]])</f>
        <v>23</v>
      </c>
      <c r="P578" s="113">
        <v>15</v>
      </c>
      <c r="Q578" s="113" t="e">
        <f>ROUND(Tableau18[[#This Row],[LEN]]*#REF!+#REF!,0)</f>
        <v>#REF!</v>
      </c>
    </row>
    <row r="579" spans="1:17" s="97" customFormat="1" x14ac:dyDescent="0.25">
      <c r="A579" s="37" t="s">
        <v>1428</v>
      </c>
      <c r="B579" s="38" t="s">
        <v>1427</v>
      </c>
      <c r="C579" s="39" t="s">
        <v>112</v>
      </c>
      <c r="D579" s="73" t="s">
        <v>1177</v>
      </c>
      <c r="E579" s="39" t="s">
        <v>667</v>
      </c>
      <c r="F579" s="39" t="s">
        <v>2006</v>
      </c>
      <c r="G579" s="73" t="s">
        <v>2096</v>
      </c>
      <c r="H579" s="73" t="s">
        <v>654</v>
      </c>
      <c r="I579" s="39"/>
      <c r="J579" s="40" t="s">
        <v>708</v>
      </c>
      <c r="K579" s="40" t="str">
        <f t="shared" si="18"/>
        <v>_</v>
      </c>
      <c r="L579" s="114">
        <f>ROUND(Tableau18[[#This Row],[LEN]]*7.27,0)</f>
        <v>167</v>
      </c>
      <c r="M579" s="114">
        <v>15</v>
      </c>
      <c r="N579" s="131" t="str">
        <f t="shared" ref="N579:N642" si="19">IF(J579="javascript:void(0)","_self","_blank")</f>
        <v>_self</v>
      </c>
      <c r="O579" s="114">
        <f>LEN(Tableau18[[#This Row],[LABEL]])</f>
        <v>23</v>
      </c>
      <c r="P579" s="114">
        <v>15</v>
      </c>
      <c r="Q579" s="114" t="e">
        <f>ROUND(Tableau18[[#This Row],[LEN]]*#REF!+#REF!,0)</f>
        <v>#REF!</v>
      </c>
    </row>
    <row r="580" spans="1:17" s="97" customFormat="1" x14ac:dyDescent="0.25">
      <c r="A580" s="37" t="s">
        <v>1429</v>
      </c>
      <c r="B580" s="38" t="s">
        <v>1427</v>
      </c>
      <c r="C580" s="39" t="s">
        <v>113</v>
      </c>
      <c r="D580" s="73" t="s">
        <v>1177</v>
      </c>
      <c r="E580" s="39" t="s">
        <v>667</v>
      </c>
      <c r="F580" s="39" t="s">
        <v>2006</v>
      </c>
      <c r="G580" s="73" t="s">
        <v>2096</v>
      </c>
      <c r="H580" s="73" t="s">
        <v>654</v>
      </c>
      <c r="I580" s="39"/>
      <c r="J580" s="40" t="s">
        <v>708</v>
      </c>
      <c r="K580" s="40" t="str">
        <f t="shared" si="18"/>
        <v>_</v>
      </c>
      <c r="L580" s="114">
        <f>ROUND(Tableau18[[#This Row],[LEN]]*7.27,0)</f>
        <v>233</v>
      </c>
      <c r="M580" s="114">
        <v>15</v>
      </c>
      <c r="N580" s="131" t="str">
        <f t="shared" si="19"/>
        <v>_self</v>
      </c>
      <c r="O580" s="114">
        <f>LEN(Tableau18[[#This Row],[LABEL]])</f>
        <v>32</v>
      </c>
      <c r="P580" s="114">
        <v>15</v>
      </c>
      <c r="Q580" s="114" t="e">
        <f>ROUND(Tableau18[[#This Row],[LEN]]*#REF!+#REF!,0)</f>
        <v>#REF!</v>
      </c>
    </row>
    <row r="581" spans="1:17" s="273" customFormat="1" x14ac:dyDescent="0.25">
      <c r="A581" s="309" t="s">
        <v>271</v>
      </c>
      <c r="B581" s="310" t="s">
        <v>207</v>
      </c>
      <c r="C581" s="311" t="s">
        <v>80</v>
      </c>
      <c r="D581" s="312" t="s">
        <v>1177</v>
      </c>
      <c r="E581" s="311" t="s">
        <v>667</v>
      </c>
      <c r="F581" s="311" t="s">
        <v>1177</v>
      </c>
      <c r="G581" s="312" t="s">
        <v>2096</v>
      </c>
      <c r="H581" s="312" t="str">
        <f>IFERROR(IF(SEARCH(".00.00.00.00.00",Tableau18[[#This Row],[name]],1)=7,"Division",""),"")</f>
        <v>Division</v>
      </c>
      <c r="I581" s="311"/>
      <c r="J581" s="313" t="s">
        <v>708</v>
      </c>
      <c r="K581" s="313" t="str">
        <f t="shared" si="18"/>
        <v>_</v>
      </c>
      <c r="L581" s="314">
        <f>ROUND(Tableau18[[#This Row],[LEN]]*7.27,0)</f>
        <v>116</v>
      </c>
      <c r="M581" s="314">
        <v>15</v>
      </c>
      <c r="N581" s="315" t="str">
        <f t="shared" si="19"/>
        <v>_self</v>
      </c>
      <c r="O581" s="314">
        <f>LEN(Tableau18[[#This Row],[LABEL]])</f>
        <v>16</v>
      </c>
      <c r="P581" s="314">
        <v>15</v>
      </c>
      <c r="Q581" s="314" t="e">
        <f>ROUND(Tableau18[[#This Row],[LEN]]*#REF!+#REF!,0)</f>
        <v>#REF!</v>
      </c>
    </row>
    <row r="582" spans="1:17" s="97" customFormat="1" x14ac:dyDescent="0.25">
      <c r="A582" s="33" t="s">
        <v>1430</v>
      </c>
      <c r="B582" s="34" t="s">
        <v>271</v>
      </c>
      <c r="C582" s="35" t="s">
        <v>111</v>
      </c>
      <c r="D582" s="72" t="s">
        <v>1177</v>
      </c>
      <c r="E582" s="35" t="s">
        <v>667</v>
      </c>
      <c r="F582" s="35" t="s">
        <v>2006</v>
      </c>
      <c r="G582" s="72" t="s">
        <v>2096</v>
      </c>
      <c r="H582" s="72" t="s">
        <v>655</v>
      </c>
      <c r="I582" s="35"/>
      <c r="J582" s="36" t="s">
        <v>708</v>
      </c>
      <c r="K582" s="36" t="str">
        <f t="shared" si="18"/>
        <v>_</v>
      </c>
      <c r="L582" s="113">
        <f>ROUND(Tableau18[[#This Row],[LEN]]*7.27,0)</f>
        <v>167</v>
      </c>
      <c r="M582" s="113">
        <v>15</v>
      </c>
      <c r="N582" s="130" t="str">
        <f t="shared" si="19"/>
        <v>_self</v>
      </c>
      <c r="O582" s="113">
        <f>LEN(Tableau18[[#This Row],[LABEL]])</f>
        <v>23</v>
      </c>
      <c r="P582" s="113">
        <v>15</v>
      </c>
      <c r="Q582" s="113" t="e">
        <f>ROUND(Tableau18[[#This Row],[LEN]]*#REF!+#REF!,0)</f>
        <v>#REF!</v>
      </c>
    </row>
    <row r="583" spans="1:17" s="97" customFormat="1" x14ac:dyDescent="0.25">
      <c r="A583" s="37" t="s">
        <v>1431</v>
      </c>
      <c r="B583" s="38" t="s">
        <v>1430</v>
      </c>
      <c r="C583" s="39" t="s">
        <v>112</v>
      </c>
      <c r="D583" s="73" t="s">
        <v>1177</v>
      </c>
      <c r="E583" s="39" t="s">
        <v>667</v>
      </c>
      <c r="F583" s="39" t="s">
        <v>2006</v>
      </c>
      <c r="G583" s="73" t="s">
        <v>2096</v>
      </c>
      <c r="H583" s="73" t="s">
        <v>654</v>
      </c>
      <c r="I583" s="39"/>
      <c r="J583" s="40" t="s">
        <v>708</v>
      </c>
      <c r="K583" s="40" t="str">
        <f t="shared" si="18"/>
        <v>_</v>
      </c>
      <c r="L583" s="114">
        <f>ROUND(Tableau18[[#This Row],[LEN]]*7.27,0)</f>
        <v>167</v>
      </c>
      <c r="M583" s="114">
        <v>15</v>
      </c>
      <c r="N583" s="131" t="str">
        <f t="shared" si="19"/>
        <v>_self</v>
      </c>
      <c r="O583" s="114">
        <f>LEN(Tableau18[[#This Row],[LABEL]])</f>
        <v>23</v>
      </c>
      <c r="P583" s="114">
        <v>15</v>
      </c>
      <c r="Q583" s="114" t="e">
        <f>ROUND(Tableau18[[#This Row],[LEN]]*#REF!+#REF!,0)</f>
        <v>#REF!</v>
      </c>
    </row>
    <row r="584" spans="1:17" s="97" customFormat="1" x14ac:dyDescent="0.25">
      <c r="A584" s="37" t="s">
        <v>1432</v>
      </c>
      <c r="B584" s="38" t="s">
        <v>1430</v>
      </c>
      <c r="C584" s="39" t="s">
        <v>113</v>
      </c>
      <c r="D584" s="73" t="s">
        <v>1177</v>
      </c>
      <c r="E584" s="39" t="s">
        <v>667</v>
      </c>
      <c r="F584" s="39" t="s">
        <v>2006</v>
      </c>
      <c r="G584" s="73" t="s">
        <v>2096</v>
      </c>
      <c r="H584" s="73" t="s">
        <v>654</v>
      </c>
      <c r="I584" s="39"/>
      <c r="J584" s="40" t="s">
        <v>708</v>
      </c>
      <c r="K584" s="40" t="str">
        <f t="shared" si="18"/>
        <v>_</v>
      </c>
      <c r="L584" s="114">
        <f>ROUND(Tableau18[[#This Row],[LEN]]*7.27,0)</f>
        <v>233</v>
      </c>
      <c r="M584" s="114">
        <v>15</v>
      </c>
      <c r="N584" s="131" t="str">
        <f t="shared" si="19"/>
        <v>_self</v>
      </c>
      <c r="O584" s="114">
        <f>LEN(Tableau18[[#This Row],[LABEL]])</f>
        <v>32</v>
      </c>
      <c r="P584" s="114">
        <v>15</v>
      </c>
      <c r="Q584" s="114" t="e">
        <f>ROUND(Tableau18[[#This Row],[LEN]]*#REF!+#REF!,0)</f>
        <v>#REF!</v>
      </c>
    </row>
    <row r="585" spans="1:17" s="273" customFormat="1" x14ac:dyDescent="0.25">
      <c r="A585" s="309" t="s">
        <v>272</v>
      </c>
      <c r="B585" s="310" t="s">
        <v>207</v>
      </c>
      <c r="C585" s="311" t="s">
        <v>5</v>
      </c>
      <c r="D585" s="312" t="s">
        <v>1177</v>
      </c>
      <c r="E585" s="311" t="s">
        <v>668</v>
      </c>
      <c r="F585" s="311" t="s">
        <v>1177</v>
      </c>
      <c r="G585" s="312" t="s">
        <v>2096</v>
      </c>
      <c r="H585" s="312" t="str">
        <f>IFERROR(IF(SEARCH(".00.00.00.00.00",Tableau18[[#This Row],[name]],1)=7,"Division",""),"")</f>
        <v>Division</v>
      </c>
      <c r="I585" s="311"/>
      <c r="J585" s="313" t="s">
        <v>708</v>
      </c>
      <c r="K585" s="313" t="str">
        <f t="shared" si="18"/>
        <v>_</v>
      </c>
      <c r="L585" s="314">
        <f>ROUND(Tableau18[[#This Row],[LEN]]*7.27,0)</f>
        <v>73</v>
      </c>
      <c r="M585" s="314">
        <v>15</v>
      </c>
      <c r="N585" s="315" t="str">
        <f t="shared" si="19"/>
        <v>_self</v>
      </c>
      <c r="O585" s="314">
        <f>LEN(Tableau18[[#This Row],[LABEL]])</f>
        <v>10</v>
      </c>
      <c r="P585" s="314">
        <v>15</v>
      </c>
      <c r="Q585" s="314" t="e">
        <f>ROUND(Tableau18[[#This Row],[LEN]]*#REF!+#REF!,0)</f>
        <v>#REF!</v>
      </c>
    </row>
    <row r="586" spans="1:17" s="97" customFormat="1" x14ac:dyDescent="0.25">
      <c r="A586" s="33" t="s">
        <v>1433</v>
      </c>
      <c r="B586" s="34" t="s">
        <v>272</v>
      </c>
      <c r="C586" s="35" t="s">
        <v>111</v>
      </c>
      <c r="D586" s="72" t="s">
        <v>1177</v>
      </c>
      <c r="E586" s="35" t="s">
        <v>667</v>
      </c>
      <c r="F586" s="35" t="s">
        <v>2006</v>
      </c>
      <c r="G586" s="72" t="s">
        <v>2096</v>
      </c>
      <c r="H586" s="72" t="s">
        <v>655</v>
      </c>
      <c r="I586" s="35"/>
      <c r="J586" s="36" t="s">
        <v>708</v>
      </c>
      <c r="K586" s="36" t="str">
        <f t="shared" si="18"/>
        <v>_</v>
      </c>
      <c r="L586" s="113">
        <f>ROUND(Tableau18[[#This Row],[LEN]]*7.27,0)</f>
        <v>167</v>
      </c>
      <c r="M586" s="113">
        <v>15</v>
      </c>
      <c r="N586" s="130" t="str">
        <f t="shared" si="19"/>
        <v>_self</v>
      </c>
      <c r="O586" s="113">
        <f>LEN(Tableau18[[#This Row],[LABEL]])</f>
        <v>23</v>
      </c>
      <c r="P586" s="113">
        <v>15</v>
      </c>
      <c r="Q586" s="113" t="e">
        <f>ROUND(Tableau18[[#This Row],[LEN]]*#REF!+#REF!,0)</f>
        <v>#REF!</v>
      </c>
    </row>
    <row r="587" spans="1:17" s="97" customFormat="1" x14ac:dyDescent="0.25">
      <c r="A587" s="37" t="s">
        <v>1434</v>
      </c>
      <c r="B587" s="38" t="s">
        <v>1433</v>
      </c>
      <c r="C587" s="39" t="s">
        <v>112</v>
      </c>
      <c r="D587" s="73" t="s">
        <v>1177</v>
      </c>
      <c r="E587" s="39" t="s">
        <v>667</v>
      </c>
      <c r="F587" s="39" t="s">
        <v>2006</v>
      </c>
      <c r="G587" s="73" t="s">
        <v>2096</v>
      </c>
      <c r="H587" s="73" t="s">
        <v>654</v>
      </c>
      <c r="I587" s="39"/>
      <c r="J587" s="40" t="s">
        <v>708</v>
      </c>
      <c r="K587" s="40" t="str">
        <f t="shared" si="18"/>
        <v>_</v>
      </c>
      <c r="L587" s="114">
        <f>ROUND(Tableau18[[#This Row],[LEN]]*7.27,0)</f>
        <v>167</v>
      </c>
      <c r="M587" s="114">
        <v>15</v>
      </c>
      <c r="N587" s="131" t="str">
        <f t="shared" si="19"/>
        <v>_self</v>
      </c>
      <c r="O587" s="114">
        <f>LEN(Tableau18[[#This Row],[LABEL]])</f>
        <v>23</v>
      </c>
      <c r="P587" s="114">
        <v>15</v>
      </c>
      <c r="Q587" s="114" t="e">
        <f>ROUND(Tableau18[[#This Row],[LEN]]*#REF!+#REF!,0)</f>
        <v>#REF!</v>
      </c>
    </row>
    <row r="588" spans="1:17" s="97" customFormat="1" x14ac:dyDescent="0.25">
      <c r="A588" s="37" t="s">
        <v>1435</v>
      </c>
      <c r="B588" s="38" t="s">
        <v>1433</v>
      </c>
      <c r="C588" s="39" t="s">
        <v>113</v>
      </c>
      <c r="D588" s="73" t="s">
        <v>1177</v>
      </c>
      <c r="E588" s="39" t="s">
        <v>667</v>
      </c>
      <c r="F588" s="39" t="s">
        <v>2006</v>
      </c>
      <c r="G588" s="73" t="s">
        <v>2096</v>
      </c>
      <c r="H588" s="73" t="s">
        <v>654</v>
      </c>
      <c r="I588" s="39"/>
      <c r="J588" s="40" t="s">
        <v>708</v>
      </c>
      <c r="K588" s="40" t="str">
        <f t="shared" si="18"/>
        <v>_</v>
      </c>
      <c r="L588" s="114">
        <f>ROUND(Tableau18[[#This Row],[LEN]]*7.27,0)</f>
        <v>233</v>
      </c>
      <c r="M588" s="114">
        <v>15</v>
      </c>
      <c r="N588" s="131" t="str">
        <f t="shared" si="19"/>
        <v>_self</v>
      </c>
      <c r="O588" s="114">
        <f>LEN(Tableau18[[#This Row],[LABEL]])</f>
        <v>32</v>
      </c>
      <c r="P588" s="114">
        <v>15</v>
      </c>
      <c r="Q588" s="114" t="e">
        <f>ROUND(Tableau18[[#This Row],[LEN]]*#REF!+#REF!,0)</f>
        <v>#REF!</v>
      </c>
    </row>
    <row r="589" spans="1:17" s="273" customFormat="1" x14ac:dyDescent="0.25">
      <c r="A589" s="309" t="s">
        <v>273</v>
      </c>
      <c r="B589" s="310" t="s">
        <v>207</v>
      </c>
      <c r="C589" s="311" t="s">
        <v>2147</v>
      </c>
      <c r="D589" s="312" t="s">
        <v>1177</v>
      </c>
      <c r="E589" s="311" t="s">
        <v>669</v>
      </c>
      <c r="F589" s="311" t="s">
        <v>1177</v>
      </c>
      <c r="G589" s="312" t="s">
        <v>2096</v>
      </c>
      <c r="H589" s="312" t="str">
        <f>IFERROR(IF(SEARCH(".00.00.00.00.00",Tableau18[[#This Row],[name]],1)=7,"Division",""),"")</f>
        <v>Division</v>
      </c>
      <c r="I589" s="311"/>
      <c r="J589" s="313" t="s">
        <v>708</v>
      </c>
      <c r="K589" s="313" t="str">
        <f t="shared" si="18"/>
        <v>_</v>
      </c>
      <c r="L589" s="314">
        <f>ROUND(Tableau18[[#This Row],[LEN]]*7.27,0)</f>
        <v>196</v>
      </c>
      <c r="M589" s="314">
        <v>15</v>
      </c>
      <c r="N589" s="315" t="str">
        <f t="shared" si="19"/>
        <v>_self</v>
      </c>
      <c r="O589" s="314">
        <f>LEN(Tableau18[[#This Row],[LABEL]])</f>
        <v>27</v>
      </c>
      <c r="P589" s="314">
        <v>15</v>
      </c>
      <c r="Q589" s="314" t="e">
        <f>ROUND(Tableau18[[#This Row],[LEN]]*#REF!+#REF!,0)</f>
        <v>#REF!</v>
      </c>
    </row>
    <row r="590" spans="1:17" s="97" customFormat="1" x14ac:dyDescent="0.25">
      <c r="A590" s="33" t="s">
        <v>423</v>
      </c>
      <c r="B590" s="34" t="s">
        <v>273</v>
      </c>
      <c r="C590" s="35" t="s">
        <v>111</v>
      </c>
      <c r="D590" s="72" t="s">
        <v>1177</v>
      </c>
      <c r="E590" s="35" t="s">
        <v>667</v>
      </c>
      <c r="F590" s="35" t="s">
        <v>2006</v>
      </c>
      <c r="G590" s="72" t="s">
        <v>2096</v>
      </c>
      <c r="H590" s="72" t="s">
        <v>655</v>
      </c>
      <c r="I590" s="35"/>
      <c r="J590" s="36" t="s">
        <v>708</v>
      </c>
      <c r="K590" s="36" t="str">
        <f t="shared" si="18"/>
        <v>_</v>
      </c>
      <c r="L590" s="113">
        <f>ROUND(Tableau18[[#This Row],[LEN]]*7.27,0)</f>
        <v>167</v>
      </c>
      <c r="M590" s="113">
        <v>15</v>
      </c>
      <c r="N590" s="130" t="str">
        <f t="shared" si="19"/>
        <v>_self</v>
      </c>
      <c r="O590" s="113">
        <f>LEN(Tableau18[[#This Row],[LABEL]])</f>
        <v>23</v>
      </c>
      <c r="P590" s="113">
        <v>15</v>
      </c>
      <c r="Q590" s="113" t="e">
        <f>ROUND(Tableau18[[#This Row],[LEN]]*#REF!+#REF!,0)</f>
        <v>#REF!</v>
      </c>
    </row>
    <row r="591" spans="1:17" s="97" customFormat="1" x14ac:dyDescent="0.25">
      <c r="A591" s="37" t="s">
        <v>426</v>
      </c>
      <c r="B591" s="38" t="s">
        <v>423</v>
      </c>
      <c r="C591" s="39" t="s">
        <v>112</v>
      </c>
      <c r="D591" s="73" t="s">
        <v>1177</v>
      </c>
      <c r="E591" s="39" t="s">
        <v>667</v>
      </c>
      <c r="F591" s="39" t="s">
        <v>2006</v>
      </c>
      <c r="G591" s="73" t="s">
        <v>2096</v>
      </c>
      <c r="H591" s="73" t="s">
        <v>654</v>
      </c>
      <c r="I591" s="39"/>
      <c r="J591" s="40" t="s">
        <v>708</v>
      </c>
      <c r="K591" s="40" t="str">
        <f t="shared" si="18"/>
        <v>_</v>
      </c>
      <c r="L591" s="114">
        <f>ROUND(Tableau18[[#This Row],[LEN]]*7.27,0)</f>
        <v>167</v>
      </c>
      <c r="M591" s="114">
        <v>15</v>
      </c>
      <c r="N591" s="131" t="str">
        <f t="shared" si="19"/>
        <v>_self</v>
      </c>
      <c r="O591" s="114">
        <f>LEN(Tableau18[[#This Row],[LABEL]])</f>
        <v>23</v>
      </c>
      <c r="P591" s="114">
        <v>15</v>
      </c>
      <c r="Q591" s="114" t="e">
        <f>ROUND(Tableau18[[#This Row],[LEN]]*#REF!+#REF!,0)</f>
        <v>#REF!</v>
      </c>
    </row>
    <row r="592" spans="1:17" s="97" customFormat="1" x14ac:dyDescent="0.25">
      <c r="A592" s="37" t="s">
        <v>427</v>
      </c>
      <c r="B592" s="38" t="s">
        <v>423</v>
      </c>
      <c r="C592" s="39" t="s">
        <v>113</v>
      </c>
      <c r="D592" s="73" t="s">
        <v>1177</v>
      </c>
      <c r="E592" s="39" t="s">
        <v>667</v>
      </c>
      <c r="F592" s="39" t="s">
        <v>2006</v>
      </c>
      <c r="G592" s="73" t="s">
        <v>2096</v>
      </c>
      <c r="H592" s="73" t="s">
        <v>654</v>
      </c>
      <c r="I592" s="39"/>
      <c r="J592" s="40" t="s">
        <v>708</v>
      </c>
      <c r="K592" s="40" t="str">
        <f t="shared" si="18"/>
        <v>_</v>
      </c>
      <c r="L592" s="114">
        <f>ROUND(Tableau18[[#This Row],[LEN]]*7.27,0)</f>
        <v>233</v>
      </c>
      <c r="M592" s="114">
        <v>15</v>
      </c>
      <c r="N592" s="131" t="str">
        <f t="shared" si="19"/>
        <v>_self</v>
      </c>
      <c r="O592" s="114">
        <f>LEN(Tableau18[[#This Row],[LABEL]])</f>
        <v>32</v>
      </c>
      <c r="P592" s="114">
        <v>15</v>
      </c>
      <c r="Q592" s="114" t="e">
        <f>ROUND(Tableau18[[#This Row],[LEN]]*#REF!+#REF!,0)</f>
        <v>#REF!</v>
      </c>
    </row>
    <row r="593" spans="1:17" s="97" customFormat="1" x14ac:dyDescent="0.25">
      <c r="A593" s="33" t="s">
        <v>424</v>
      </c>
      <c r="B593" s="34" t="s">
        <v>273</v>
      </c>
      <c r="C593" s="35" t="s">
        <v>156</v>
      </c>
      <c r="D593" s="72" t="s">
        <v>1177</v>
      </c>
      <c r="E593" s="35" t="s">
        <v>669</v>
      </c>
      <c r="F593" s="35" t="s">
        <v>1177</v>
      </c>
      <c r="G593" s="72" t="s">
        <v>2096</v>
      </c>
      <c r="H593" s="72" t="s">
        <v>655</v>
      </c>
      <c r="I593" s="35"/>
      <c r="J593" s="36" t="s">
        <v>708</v>
      </c>
      <c r="K593" s="36" t="str">
        <f t="shared" si="18"/>
        <v>_</v>
      </c>
      <c r="L593" s="113">
        <f>ROUND(Tableau18[[#This Row],[LEN]]*7.27,0)</f>
        <v>131</v>
      </c>
      <c r="M593" s="113">
        <v>15</v>
      </c>
      <c r="N593" s="130" t="str">
        <f t="shared" si="19"/>
        <v>_self</v>
      </c>
      <c r="O593" s="113">
        <f>LEN(Tableau18[[#This Row],[LABEL]])</f>
        <v>18</v>
      </c>
      <c r="P593" s="113">
        <v>15</v>
      </c>
      <c r="Q593" s="113" t="e">
        <f>ROUND(Tableau18[[#This Row],[LEN]]*#REF!+#REF!,0)</f>
        <v>#REF!</v>
      </c>
    </row>
    <row r="594" spans="1:17" s="97" customFormat="1" x14ac:dyDescent="0.25">
      <c r="A594" s="37" t="s">
        <v>428</v>
      </c>
      <c r="B594" s="38" t="s">
        <v>424</v>
      </c>
      <c r="C594" s="39" t="s">
        <v>137</v>
      </c>
      <c r="D594" s="73" t="s">
        <v>1177</v>
      </c>
      <c r="E594" s="39" t="s">
        <v>669</v>
      </c>
      <c r="F594" s="39" t="s">
        <v>1177</v>
      </c>
      <c r="G594" s="73" t="s">
        <v>2096</v>
      </c>
      <c r="H594" s="73" t="s">
        <v>654</v>
      </c>
      <c r="I594" s="39"/>
      <c r="J594" s="40" t="s">
        <v>726</v>
      </c>
      <c r="K594" s="40" t="str">
        <f t="shared" si="18"/>
        <v>Documentation</v>
      </c>
      <c r="L594" s="114">
        <f>ROUND(Tableau18[[#This Row],[LEN]]*7.27,0)</f>
        <v>269</v>
      </c>
      <c r="M594" s="114">
        <v>15</v>
      </c>
      <c r="N594" s="131" t="str">
        <f t="shared" si="19"/>
        <v>_blank</v>
      </c>
      <c r="O594" s="114">
        <f>LEN(Tableau18[[#This Row],[LABEL]])</f>
        <v>37</v>
      </c>
      <c r="P594" s="114">
        <v>15</v>
      </c>
      <c r="Q594" s="114" t="e">
        <f>ROUND(Tableau18[[#This Row],[LEN]]*#REF!+#REF!,0)</f>
        <v>#REF!</v>
      </c>
    </row>
    <row r="595" spans="1:17" s="97" customFormat="1" x14ac:dyDescent="0.25">
      <c r="A595" s="37" t="s">
        <v>429</v>
      </c>
      <c r="B595" s="38" t="s">
        <v>424</v>
      </c>
      <c r="C595" s="39" t="s">
        <v>157</v>
      </c>
      <c r="D595" s="73" t="s">
        <v>1177</v>
      </c>
      <c r="E595" s="39" t="s">
        <v>669</v>
      </c>
      <c r="F595" s="39" t="s">
        <v>1177</v>
      </c>
      <c r="G595" s="73" t="s">
        <v>2096</v>
      </c>
      <c r="H595" s="73" t="s">
        <v>656</v>
      </c>
      <c r="I595" s="39"/>
      <c r="J595" s="40" t="s">
        <v>708</v>
      </c>
      <c r="K595" s="40" t="str">
        <f t="shared" si="18"/>
        <v>_</v>
      </c>
      <c r="L595" s="114">
        <f>ROUND(Tableau18[[#This Row],[LEN]]*7.27,0)</f>
        <v>538</v>
      </c>
      <c r="M595" s="114">
        <v>15</v>
      </c>
      <c r="N595" s="131" t="str">
        <f t="shared" si="19"/>
        <v>_self</v>
      </c>
      <c r="O595" s="114">
        <f>LEN(Tableau18[[#This Row],[LABEL]])</f>
        <v>74</v>
      </c>
      <c r="P595" s="114">
        <v>15</v>
      </c>
      <c r="Q595" s="114" t="e">
        <f>ROUND(Tableau18[[#This Row],[LEN]]*#REF!+#REF!,0)</f>
        <v>#REF!</v>
      </c>
    </row>
    <row r="596" spans="1:17" s="97" customFormat="1" x14ac:dyDescent="0.25">
      <c r="A596" s="37" t="s">
        <v>430</v>
      </c>
      <c r="B596" s="38" t="s">
        <v>424</v>
      </c>
      <c r="C596" s="39" t="s">
        <v>158</v>
      </c>
      <c r="D596" s="73" t="s">
        <v>1177</v>
      </c>
      <c r="E596" s="39" t="s">
        <v>669</v>
      </c>
      <c r="F596" s="39" t="s">
        <v>1177</v>
      </c>
      <c r="G596" s="73" t="s">
        <v>2096</v>
      </c>
      <c r="H596" s="73" t="s">
        <v>656</v>
      </c>
      <c r="I596" s="39"/>
      <c r="J596" s="40" t="s">
        <v>708</v>
      </c>
      <c r="K596" s="40" t="str">
        <f t="shared" si="18"/>
        <v>_</v>
      </c>
      <c r="L596" s="114">
        <f>ROUND(Tableau18[[#This Row],[LEN]]*7.27,0)</f>
        <v>320</v>
      </c>
      <c r="M596" s="114">
        <v>15</v>
      </c>
      <c r="N596" s="131" t="str">
        <f t="shared" si="19"/>
        <v>_self</v>
      </c>
      <c r="O596" s="114">
        <f>LEN(Tableau18[[#This Row],[LABEL]])</f>
        <v>44</v>
      </c>
      <c r="P596" s="114">
        <v>15</v>
      </c>
      <c r="Q596" s="114" t="e">
        <f>ROUND(Tableau18[[#This Row],[LEN]]*#REF!+#REF!,0)</f>
        <v>#REF!</v>
      </c>
    </row>
    <row r="597" spans="1:17" s="97" customFormat="1" x14ac:dyDescent="0.25">
      <c r="A597" s="37" t="s">
        <v>431</v>
      </c>
      <c r="B597" s="38" t="s">
        <v>424</v>
      </c>
      <c r="C597" s="39" t="s">
        <v>159</v>
      </c>
      <c r="D597" s="73" t="s">
        <v>1177</v>
      </c>
      <c r="E597" s="39" t="s">
        <v>669</v>
      </c>
      <c r="F597" s="39" t="s">
        <v>1177</v>
      </c>
      <c r="G597" s="73" t="s">
        <v>2096</v>
      </c>
      <c r="H597" s="73" t="s">
        <v>18</v>
      </c>
      <c r="I597" s="39"/>
      <c r="J597" s="40" t="s">
        <v>708</v>
      </c>
      <c r="K597" s="40" t="str">
        <f t="shared" si="18"/>
        <v>_</v>
      </c>
      <c r="L597" s="114">
        <f>ROUND(Tableau18[[#This Row],[LEN]]*7.27,0)</f>
        <v>407</v>
      </c>
      <c r="M597" s="114">
        <v>15</v>
      </c>
      <c r="N597" s="131" t="str">
        <f t="shared" si="19"/>
        <v>_self</v>
      </c>
      <c r="O597" s="114">
        <f>LEN(Tableau18[[#This Row],[LABEL]])</f>
        <v>56</v>
      </c>
      <c r="P597" s="114">
        <v>15</v>
      </c>
      <c r="Q597" s="114" t="e">
        <f>ROUND(Tableau18[[#This Row],[LEN]]*#REF!+#REF!,0)</f>
        <v>#REF!</v>
      </c>
    </row>
    <row r="598" spans="1:17" s="97" customFormat="1" x14ac:dyDescent="0.25">
      <c r="A598" s="37" t="s">
        <v>432</v>
      </c>
      <c r="B598" s="38" t="s">
        <v>424</v>
      </c>
      <c r="C598" s="39" t="s">
        <v>160</v>
      </c>
      <c r="D598" s="73" t="s">
        <v>1177</v>
      </c>
      <c r="E598" s="39" t="s">
        <v>669</v>
      </c>
      <c r="F598" s="39" t="s">
        <v>1177</v>
      </c>
      <c r="G598" s="73" t="s">
        <v>2096</v>
      </c>
      <c r="H598" s="73" t="s">
        <v>18</v>
      </c>
      <c r="I598" s="39"/>
      <c r="J598" s="40" t="s">
        <v>708</v>
      </c>
      <c r="K598" s="40" t="str">
        <f t="shared" si="18"/>
        <v>_</v>
      </c>
      <c r="L598" s="114">
        <f>ROUND(Tableau18[[#This Row],[LEN]]*7.27,0)</f>
        <v>371</v>
      </c>
      <c r="M598" s="114">
        <v>15</v>
      </c>
      <c r="N598" s="131" t="str">
        <f t="shared" si="19"/>
        <v>_self</v>
      </c>
      <c r="O598" s="114">
        <f>LEN(Tableau18[[#This Row],[LABEL]])</f>
        <v>51</v>
      </c>
      <c r="P598" s="114">
        <v>15</v>
      </c>
      <c r="Q598" s="114" t="e">
        <f>ROUND(Tableau18[[#This Row],[LEN]]*#REF!+#REF!,0)</f>
        <v>#REF!</v>
      </c>
    </row>
    <row r="599" spans="1:17" s="97" customFormat="1" x14ac:dyDescent="0.25">
      <c r="A599" s="37" t="s">
        <v>433</v>
      </c>
      <c r="B599" s="38" t="s">
        <v>424</v>
      </c>
      <c r="C599" s="39" t="s">
        <v>161</v>
      </c>
      <c r="D599" s="73" t="s">
        <v>1177</v>
      </c>
      <c r="E599" s="39" t="s">
        <v>669</v>
      </c>
      <c r="F599" s="39" t="s">
        <v>1177</v>
      </c>
      <c r="G599" s="73" t="s">
        <v>2096</v>
      </c>
      <c r="H599" s="73" t="s">
        <v>656</v>
      </c>
      <c r="I599" s="39"/>
      <c r="J599" s="40" t="s">
        <v>708</v>
      </c>
      <c r="K599" s="40" t="str">
        <f t="shared" si="18"/>
        <v>_</v>
      </c>
      <c r="L599" s="114">
        <f>ROUND(Tableau18[[#This Row],[LEN]]*7.27,0)</f>
        <v>276</v>
      </c>
      <c r="M599" s="114">
        <v>15</v>
      </c>
      <c r="N599" s="131" t="str">
        <f t="shared" si="19"/>
        <v>_self</v>
      </c>
      <c r="O599" s="114">
        <f>LEN(Tableau18[[#This Row],[LABEL]])</f>
        <v>38</v>
      </c>
      <c r="P599" s="114">
        <v>15</v>
      </c>
      <c r="Q599" s="114" t="e">
        <f>ROUND(Tableau18[[#This Row],[LEN]]*#REF!+#REF!,0)</f>
        <v>#REF!</v>
      </c>
    </row>
    <row r="600" spans="1:17" s="97" customFormat="1" x14ac:dyDescent="0.25">
      <c r="A600" s="37" t="s">
        <v>434</v>
      </c>
      <c r="B600" s="38" t="s">
        <v>424</v>
      </c>
      <c r="C600" s="39" t="s">
        <v>162</v>
      </c>
      <c r="D600" s="73" t="s">
        <v>1177</v>
      </c>
      <c r="E600" s="39" t="s">
        <v>669</v>
      </c>
      <c r="F600" s="39" t="s">
        <v>1177</v>
      </c>
      <c r="G600" s="73" t="s">
        <v>2096</v>
      </c>
      <c r="H600" s="73" t="s">
        <v>656</v>
      </c>
      <c r="I600" s="39"/>
      <c r="J600" s="40" t="s">
        <v>708</v>
      </c>
      <c r="K600" s="40" t="str">
        <f t="shared" si="18"/>
        <v>_</v>
      </c>
      <c r="L600" s="114">
        <f>ROUND(Tableau18[[#This Row],[LEN]]*7.27,0)</f>
        <v>393</v>
      </c>
      <c r="M600" s="114">
        <v>15</v>
      </c>
      <c r="N600" s="131" t="str">
        <f t="shared" si="19"/>
        <v>_self</v>
      </c>
      <c r="O600" s="114">
        <f>LEN(Tableau18[[#This Row],[LABEL]])</f>
        <v>54</v>
      </c>
      <c r="P600" s="114">
        <v>15</v>
      </c>
      <c r="Q600" s="114" t="e">
        <f>ROUND(Tableau18[[#This Row],[LEN]]*#REF!+#REF!,0)</f>
        <v>#REF!</v>
      </c>
    </row>
    <row r="601" spans="1:17" s="97" customFormat="1" x14ac:dyDescent="0.25">
      <c r="A601" s="37" t="s">
        <v>435</v>
      </c>
      <c r="B601" s="38" t="s">
        <v>424</v>
      </c>
      <c r="C601" s="39" t="s">
        <v>163</v>
      </c>
      <c r="D601" s="73" t="s">
        <v>1177</v>
      </c>
      <c r="E601" s="39" t="s">
        <v>669</v>
      </c>
      <c r="F601" s="39" t="s">
        <v>1177</v>
      </c>
      <c r="G601" s="73" t="s">
        <v>2096</v>
      </c>
      <c r="H601" s="73" t="s">
        <v>654</v>
      </c>
      <c r="I601" s="39"/>
      <c r="J601" s="40" t="s">
        <v>708</v>
      </c>
      <c r="K601" s="40" t="str">
        <f t="shared" si="18"/>
        <v>_</v>
      </c>
      <c r="L601" s="114">
        <f>ROUND(Tableau18[[#This Row],[LEN]]*7.27,0)</f>
        <v>153</v>
      </c>
      <c r="M601" s="114">
        <v>15</v>
      </c>
      <c r="N601" s="131" t="str">
        <f t="shared" si="19"/>
        <v>_self</v>
      </c>
      <c r="O601" s="114">
        <f>LEN(Tableau18[[#This Row],[LABEL]])</f>
        <v>21</v>
      </c>
      <c r="P601" s="114">
        <v>15</v>
      </c>
      <c r="Q601" s="114" t="e">
        <f>ROUND(Tableau18[[#This Row],[LEN]]*#REF!+#REF!,0)</f>
        <v>#REF!</v>
      </c>
    </row>
    <row r="602" spans="1:17" s="97" customFormat="1" x14ac:dyDescent="0.25">
      <c r="A602" s="33" t="s">
        <v>425</v>
      </c>
      <c r="B602" s="34" t="s">
        <v>273</v>
      </c>
      <c r="C602" s="35" t="s">
        <v>114</v>
      </c>
      <c r="D602" s="72" t="s">
        <v>1177</v>
      </c>
      <c r="E602" s="35" t="s">
        <v>661</v>
      </c>
      <c r="F602" s="35" t="s">
        <v>2083</v>
      </c>
      <c r="G602" s="72" t="s">
        <v>2096</v>
      </c>
      <c r="H602" s="72" t="s">
        <v>654</v>
      </c>
      <c r="I602" s="35"/>
      <c r="J602" s="36" t="s">
        <v>708</v>
      </c>
      <c r="K602" s="36" t="str">
        <f t="shared" si="18"/>
        <v>_</v>
      </c>
      <c r="L602" s="113">
        <f>ROUND(Tableau18[[#This Row],[LEN]]*7.27,0)</f>
        <v>153</v>
      </c>
      <c r="M602" s="113">
        <v>15</v>
      </c>
      <c r="N602" s="130" t="str">
        <f t="shared" si="19"/>
        <v>_self</v>
      </c>
      <c r="O602" s="113">
        <f>LEN(Tableau18[[#This Row],[LABEL]])</f>
        <v>21</v>
      </c>
      <c r="P602" s="113">
        <v>15</v>
      </c>
      <c r="Q602" s="113" t="e">
        <f>ROUND(Tableau18[[#This Row],[LEN]]*#REF!+#REF!,0)</f>
        <v>#REF!</v>
      </c>
    </row>
    <row r="603" spans="1:17" s="273" customFormat="1" x14ac:dyDescent="0.25">
      <c r="A603" s="309" t="s">
        <v>274</v>
      </c>
      <c r="B603" s="310" t="s">
        <v>207</v>
      </c>
      <c r="C603" s="311" t="s">
        <v>7</v>
      </c>
      <c r="D603" s="312" t="s">
        <v>1177</v>
      </c>
      <c r="E603" s="311" t="s">
        <v>670</v>
      </c>
      <c r="F603" s="311" t="s">
        <v>1177</v>
      </c>
      <c r="G603" s="312" t="s">
        <v>2096</v>
      </c>
      <c r="H603" s="312" t="str">
        <f>IFERROR(IF(SEARCH(".00.00.00.00.00",Tableau18[[#This Row],[name]],1)=7,"Division",""),"")</f>
        <v>Division</v>
      </c>
      <c r="I603" s="311"/>
      <c r="J603" s="313" t="s">
        <v>708</v>
      </c>
      <c r="K603" s="313" t="str">
        <f t="shared" si="18"/>
        <v>_</v>
      </c>
      <c r="L603" s="314">
        <f>ROUND(Tableau18[[#This Row],[LEN]]*7.27,0)</f>
        <v>189</v>
      </c>
      <c r="M603" s="314">
        <v>15</v>
      </c>
      <c r="N603" s="315" t="str">
        <f t="shared" si="19"/>
        <v>_self</v>
      </c>
      <c r="O603" s="314">
        <f>LEN(Tableau18[[#This Row],[LABEL]])</f>
        <v>26</v>
      </c>
      <c r="P603" s="314">
        <v>15</v>
      </c>
      <c r="Q603" s="314" t="e">
        <f>ROUND(Tableau18[[#This Row],[LEN]]*#REF!+#REF!,0)</f>
        <v>#REF!</v>
      </c>
    </row>
    <row r="604" spans="1:17" s="97" customFormat="1" x14ac:dyDescent="0.25">
      <c r="A604" s="33" t="s">
        <v>1436</v>
      </c>
      <c r="B604" s="34" t="s">
        <v>274</v>
      </c>
      <c r="C604" s="35" t="s">
        <v>1440</v>
      </c>
      <c r="D604" s="72" t="s">
        <v>1177</v>
      </c>
      <c r="E604" s="35" t="s">
        <v>670</v>
      </c>
      <c r="F604" s="35" t="s">
        <v>1177</v>
      </c>
      <c r="G604" s="72" t="s">
        <v>2096</v>
      </c>
      <c r="H604" s="72" t="s">
        <v>656</v>
      </c>
      <c r="I604" s="35"/>
      <c r="J604" s="36" t="s">
        <v>708</v>
      </c>
      <c r="K604" s="36" t="str">
        <f t="shared" si="18"/>
        <v>_</v>
      </c>
      <c r="L604" s="113">
        <f>ROUND(Tableau18[[#This Row],[LEN]]*7.27,0)</f>
        <v>342</v>
      </c>
      <c r="M604" s="113">
        <v>15</v>
      </c>
      <c r="N604" s="130" t="str">
        <f t="shared" si="19"/>
        <v>_self</v>
      </c>
      <c r="O604" s="113">
        <f>LEN(Tableau18[[#This Row],[LABEL]])</f>
        <v>47</v>
      </c>
      <c r="P604" s="113">
        <v>15</v>
      </c>
      <c r="Q604" s="113" t="e">
        <f>ROUND(Tableau18[[#This Row],[LEN]]*#REF!+#REF!,0)</f>
        <v>#REF!</v>
      </c>
    </row>
    <row r="605" spans="1:17" s="97" customFormat="1" x14ac:dyDescent="0.25">
      <c r="A605" s="33" t="s">
        <v>1437</v>
      </c>
      <c r="B605" s="34" t="s">
        <v>274</v>
      </c>
      <c r="C605" s="35" t="s">
        <v>1441</v>
      </c>
      <c r="D605" s="72" t="s">
        <v>1177</v>
      </c>
      <c r="E605" s="35" t="s">
        <v>670</v>
      </c>
      <c r="F605" s="35" t="s">
        <v>1177</v>
      </c>
      <c r="G605" s="72" t="s">
        <v>2096</v>
      </c>
      <c r="H605" s="72" t="s">
        <v>656</v>
      </c>
      <c r="I605" s="35"/>
      <c r="J605" s="36" t="s">
        <v>708</v>
      </c>
      <c r="K605" s="36" t="str">
        <f t="shared" si="18"/>
        <v>_</v>
      </c>
      <c r="L605" s="113">
        <f>ROUND(Tableau18[[#This Row],[LEN]]*7.27,0)</f>
        <v>305</v>
      </c>
      <c r="M605" s="113">
        <v>15</v>
      </c>
      <c r="N605" s="130" t="str">
        <f t="shared" si="19"/>
        <v>_self</v>
      </c>
      <c r="O605" s="113">
        <f>LEN(Tableau18[[#This Row],[LABEL]])</f>
        <v>42</v>
      </c>
      <c r="P605" s="113">
        <v>15</v>
      </c>
      <c r="Q605" s="113" t="e">
        <f>ROUND(Tableau18[[#This Row],[LEN]]*#REF!+#REF!,0)</f>
        <v>#REF!</v>
      </c>
    </row>
    <row r="606" spans="1:17" s="97" customFormat="1" x14ac:dyDescent="0.25">
      <c r="A606" s="33" t="s">
        <v>1438</v>
      </c>
      <c r="B606" s="34" t="s">
        <v>274</v>
      </c>
      <c r="C606" s="35" t="s">
        <v>1442</v>
      </c>
      <c r="D606" s="72" t="s">
        <v>1177</v>
      </c>
      <c r="E606" s="35" t="s">
        <v>670</v>
      </c>
      <c r="F606" s="35" t="s">
        <v>1177</v>
      </c>
      <c r="G606" s="72" t="s">
        <v>2096</v>
      </c>
      <c r="H606" s="72" t="s">
        <v>656</v>
      </c>
      <c r="I606" s="35"/>
      <c r="J606" s="36" t="s">
        <v>708</v>
      </c>
      <c r="K606" s="36" t="str">
        <f t="shared" si="18"/>
        <v>_</v>
      </c>
      <c r="L606" s="113">
        <f>ROUND(Tableau18[[#This Row],[LEN]]*7.27,0)</f>
        <v>167</v>
      </c>
      <c r="M606" s="113">
        <v>15</v>
      </c>
      <c r="N606" s="130" t="str">
        <f t="shared" si="19"/>
        <v>_self</v>
      </c>
      <c r="O606" s="113">
        <f>LEN(Tableau18[[#This Row],[LABEL]])</f>
        <v>23</v>
      </c>
      <c r="P606" s="113">
        <v>15</v>
      </c>
      <c r="Q606" s="113" t="e">
        <f>ROUND(Tableau18[[#This Row],[LEN]]*#REF!+#REF!,0)</f>
        <v>#REF!</v>
      </c>
    </row>
    <row r="607" spans="1:17" s="97" customFormat="1" x14ac:dyDescent="0.25">
      <c r="A607" s="33" t="s">
        <v>1439</v>
      </c>
      <c r="B607" s="34" t="s">
        <v>274</v>
      </c>
      <c r="C607" s="35" t="s">
        <v>1443</v>
      </c>
      <c r="D607" s="72" t="s">
        <v>1177</v>
      </c>
      <c r="E607" s="35" t="s">
        <v>670</v>
      </c>
      <c r="F607" s="35" t="s">
        <v>1177</v>
      </c>
      <c r="G607" s="72" t="s">
        <v>2096</v>
      </c>
      <c r="H607" s="72" t="s">
        <v>656</v>
      </c>
      <c r="I607" s="35"/>
      <c r="J607" s="36" t="s">
        <v>708</v>
      </c>
      <c r="K607" s="36" t="str">
        <f t="shared" si="18"/>
        <v>_</v>
      </c>
      <c r="L607" s="113">
        <f>ROUND(Tableau18[[#This Row],[LEN]]*7.27,0)</f>
        <v>385</v>
      </c>
      <c r="M607" s="113">
        <v>15</v>
      </c>
      <c r="N607" s="130" t="str">
        <f t="shared" si="19"/>
        <v>_self</v>
      </c>
      <c r="O607" s="113">
        <f>LEN(Tableau18[[#This Row],[LABEL]])</f>
        <v>53</v>
      </c>
      <c r="P607" s="113">
        <v>15</v>
      </c>
      <c r="Q607" s="113" t="e">
        <f>ROUND(Tableau18[[#This Row],[LEN]]*#REF!+#REF!,0)</f>
        <v>#REF!</v>
      </c>
    </row>
    <row r="608" spans="1:17" s="273" customFormat="1" x14ac:dyDescent="0.25">
      <c r="A608" s="309" t="s">
        <v>276</v>
      </c>
      <c r="B608" s="310" t="s">
        <v>207</v>
      </c>
      <c r="C608" s="311" t="s">
        <v>9</v>
      </c>
      <c r="D608" s="312" t="s">
        <v>1177</v>
      </c>
      <c r="E608" s="311" t="s">
        <v>672</v>
      </c>
      <c r="F608" s="311" t="s">
        <v>1177</v>
      </c>
      <c r="G608" s="312" t="s">
        <v>2096</v>
      </c>
      <c r="H608" s="312" t="str">
        <f>IFERROR(IF(SEARCH(".00.00.00.00.00",Tableau18[[#This Row],[name]],1)=7,"Division",""),"")</f>
        <v>Division</v>
      </c>
      <c r="I608" s="311"/>
      <c r="J608" s="313" t="s">
        <v>718</v>
      </c>
      <c r="K608" s="313" t="str">
        <f t="shared" si="18"/>
        <v>Documentation</v>
      </c>
      <c r="L608" s="314">
        <f>ROUND(Tableau18[[#This Row],[LEN]]*7.27,0)</f>
        <v>80</v>
      </c>
      <c r="M608" s="314">
        <v>15</v>
      </c>
      <c r="N608" s="315" t="str">
        <f t="shared" si="19"/>
        <v>_blank</v>
      </c>
      <c r="O608" s="314">
        <f>LEN(Tableau18[[#This Row],[LABEL]])</f>
        <v>11</v>
      </c>
      <c r="P608" s="314">
        <v>15</v>
      </c>
      <c r="Q608" s="314" t="e">
        <f>ROUND(Tableau18[[#This Row],[LEN]]*#REF!+#REF!,0)</f>
        <v>#REF!</v>
      </c>
    </row>
    <row r="609" spans="1:17" s="97" customFormat="1" x14ac:dyDescent="0.25">
      <c r="A609" s="33" t="s">
        <v>1444</v>
      </c>
      <c r="B609" s="34" t="s">
        <v>276</v>
      </c>
      <c r="C609" s="35" t="s">
        <v>111</v>
      </c>
      <c r="D609" s="72" t="s">
        <v>1177</v>
      </c>
      <c r="E609" s="35" t="s">
        <v>667</v>
      </c>
      <c r="F609" s="35" t="s">
        <v>2006</v>
      </c>
      <c r="G609" s="72" t="s">
        <v>2096</v>
      </c>
      <c r="H609" s="72" t="s">
        <v>655</v>
      </c>
      <c r="I609" s="35"/>
      <c r="J609" s="36" t="s">
        <v>708</v>
      </c>
      <c r="K609" s="36" t="str">
        <f t="shared" si="18"/>
        <v>_</v>
      </c>
      <c r="L609" s="113">
        <f>ROUND(Tableau18[[#This Row],[LEN]]*7.27,0)</f>
        <v>167</v>
      </c>
      <c r="M609" s="113">
        <v>15</v>
      </c>
      <c r="N609" s="130" t="str">
        <f t="shared" si="19"/>
        <v>_self</v>
      </c>
      <c r="O609" s="113">
        <f>LEN(Tableau18[[#This Row],[LABEL]])</f>
        <v>23</v>
      </c>
      <c r="P609" s="113">
        <v>15</v>
      </c>
      <c r="Q609" s="113" t="e">
        <f>ROUND(Tableau18[[#This Row],[LEN]]*#REF!+#REF!,0)</f>
        <v>#REF!</v>
      </c>
    </row>
    <row r="610" spans="1:17" s="97" customFormat="1" x14ac:dyDescent="0.25">
      <c r="A610" s="37" t="s">
        <v>509</v>
      </c>
      <c r="B610" s="38" t="s">
        <v>1444</v>
      </c>
      <c r="C610" s="39" t="s">
        <v>112</v>
      </c>
      <c r="D610" s="73" t="s">
        <v>1177</v>
      </c>
      <c r="E610" s="39" t="s">
        <v>667</v>
      </c>
      <c r="F610" s="39" t="s">
        <v>2006</v>
      </c>
      <c r="G610" s="73" t="s">
        <v>2096</v>
      </c>
      <c r="H610" s="73" t="s">
        <v>654</v>
      </c>
      <c r="I610" s="39"/>
      <c r="J610" s="40" t="s">
        <v>708</v>
      </c>
      <c r="K610" s="40" t="str">
        <f t="shared" si="18"/>
        <v>_</v>
      </c>
      <c r="L610" s="114">
        <f>ROUND(Tableau18[[#This Row],[LEN]]*7.27,0)</f>
        <v>167</v>
      </c>
      <c r="M610" s="114">
        <v>15</v>
      </c>
      <c r="N610" s="131" t="str">
        <f t="shared" si="19"/>
        <v>_self</v>
      </c>
      <c r="O610" s="114">
        <f>LEN(Tableau18[[#This Row],[LABEL]])</f>
        <v>23</v>
      </c>
      <c r="P610" s="114">
        <v>15</v>
      </c>
      <c r="Q610" s="114" t="e">
        <f>ROUND(Tableau18[[#This Row],[LEN]]*#REF!+#REF!,0)</f>
        <v>#REF!</v>
      </c>
    </row>
    <row r="611" spans="1:17" s="97" customFormat="1" x14ac:dyDescent="0.25">
      <c r="A611" s="37" t="s">
        <v>510</v>
      </c>
      <c r="B611" s="38" t="s">
        <v>1444</v>
      </c>
      <c r="C611" s="39" t="s">
        <v>113</v>
      </c>
      <c r="D611" s="73" t="s">
        <v>1177</v>
      </c>
      <c r="E611" s="39" t="s">
        <v>667</v>
      </c>
      <c r="F611" s="39" t="s">
        <v>2006</v>
      </c>
      <c r="G611" s="73" t="s">
        <v>2096</v>
      </c>
      <c r="H611" s="73" t="s">
        <v>654</v>
      </c>
      <c r="I611" s="39"/>
      <c r="J611" s="40" t="s">
        <v>708</v>
      </c>
      <c r="K611" s="40" t="str">
        <f t="shared" si="18"/>
        <v>_</v>
      </c>
      <c r="L611" s="114">
        <f>ROUND(Tableau18[[#This Row],[LEN]]*7.27,0)</f>
        <v>233</v>
      </c>
      <c r="M611" s="114">
        <v>15</v>
      </c>
      <c r="N611" s="131" t="str">
        <f t="shared" si="19"/>
        <v>_self</v>
      </c>
      <c r="O611" s="114">
        <f>LEN(Tableau18[[#This Row],[LABEL]])</f>
        <v>32</v>
      </c>
      <c r="P611" s="114">
        <v>15</v>
      </c>
      <c r="Q611" s="114" t="e">
        <f>ROUND(Tableau18[[#This Row],[LEN]]*#REF!+#REF!,0)</f>
        <v>#REF!</v>
      </c>
    </row>
    <row r="612" spans="1:17" s="273" customFormat="1" x14ac:dyDescent="0.25">
      <c r="A612" s="309" t="s">
        <v>277</v>
      </c>
      <c r="B612" s="310" t="s">
        <v>207</v>
      </c>
      <c r="C612" s="311" t="s">
        <v>10</v>
      </c>
      <c r="D612" s="312" t="s">
        <v>1177</v>
      </c>
      <c r="E612" s="311" t="s">
        <v>673</v>
      </c>
      <c r="F612" s="311" t="s">
        <v>1177</v>
      </c>
      <c r="G612" s="312" t="s">
        <v>2096</v>
      </c>
      <c r="H612" s="312" t="str">
        <f>IFERROR(IF(SEARCH(".00.00.00.00.00",Tableau18[[#This Row],[name]],1)=7,"Division",""),"")</f>
        <v>Division</v>
      </c>
      <c r="I612" s="311"/>
      <c r="J612" s="313" t="s">
        <v>719</v>
      </c>
      <c r="K612" s="313" t="str">
        <f t="shared" si="18"/>
        <v>Documentation</v>
      </c>
      <c r="L612" s="314">
        <f>ROUND(Tableau18[[#This Row],[LEN]]*7.27,0)</f>
        <v>109</v>
      </c>
      <c r="M612" s="314">
        <v>15</v>
      </c>
      <c r="N612" s="315" t="str">
        <f t="shared" si="19"/>
        <v>_blank</v>
      </c>
      <c r="O612" s="314">
        <f>LEN(Tableau18[[#This Row],[LABEL]])</f>
        <v>15</v>
      </c>
      <c r="P612" s="314">
        <v>15</v>
      </c>
      <c r="Q612" s="314" t="e">
        <f>ROUND(Tableau18[[#This Row],[LEN]]*#REF!+#REF!,0)</f>
        <v>#REF!</v>
      </c>
    </row>
    <row r="613" spans="1:17" s="97" customFormat="1" x14ac:dyDescent="0.25">
      <c r="A613" s="33" t="s">
        <v>1446</v>
      </c>
      <c r="B613" s="34" t="s">
        <v>277</v>
      </c>
      <c r="C613" s="35" t="s">
        <v>111</v>
      </c>
      <c r="D613" s="72" t="s">
        <v>1177</v>
      </c>
      <c r="E613" s="35" t="s">
        <v>667</v>
      </c>
      <c r="F613" s="35" t="s">
        <v>2006</v>
      </c>
      <c r="G613" s="72" t="s">
        <v>2096</v>
      </c>
      <c r="H613" s="72" t="s">
        <v>655</v>
      </c>
      <c r="I613" s="35"/>
      <c r="J613" s="36" t="s">
        <v>708</v>
      </c>
      <c r="K613" s="36" t="str">
        <f t="shared" si="18"/>
        <v>_</v>
      </c>
      <c r="L613" s="113">
        <f>ROUND(Tableau18[[#This Row],[LEN]]*7.27,0)</f>
        <v>167</v>
      </c>
      <c r="M613" s="113">
        <v>15</v>
      </c>
      <c r="N613" s="130" t="str">
        <f t="shared" si="19"/>
        <v>_self</v>
      </c>
      <c r="O613" s="113">
        <f>LEN(Tableau18[[#This Row],[LABEL]])</f>
        <v>23</v>
      </c>
      <c r="P613" s="113">
        <v>15</v>
      </c>
      <c r="Q613" s="113" t="e">
        <f>ROUND(Tableau18[[#This Row],[LEN]]*#REF!+#REF!,0)</f>
        <v>#REF!</v>
      </c>
    </row>
    <row r="614" spans="1:17" s="97" customFormat="1" x14ac:dyDescent="0.25">
      <c r="A614" s="37" t="s">
        <v>1448</v>
      </c>
      <c r="B614" s="38" t="s">
        <v>1446</v>
      </c>
      <c r="C614" s="39" t="s">
        <v>112</v>
      </c>
      <c r="D614" s="73" t="s">
        <v>1177</v>
      </c>
      <c r="E614" s="39" t="s">
        <v>667</v>
      </c>
      <c r="F614" s="39" t="s">
        <v>2006</v>
      </c>
      <c r="G614" s="73" t="s">
        <v>2096</v>
      </c>
      <c r="H614" s="73" t="s">
        <v>654</v>
      </c>
      <c r="I614" s="39"/>
      <c r="J614" s="40" t="s">
        <v>708</v>
      </c>
      <c r="K614" s="40" t="str">
        <f t="shared" si="18"/>
        <v>_</v>
      </c>
      <c r="L614" s="114">
        <f>ROUND(Tableau18[[#This Row],[LEN]]*7.27,0)</f>
        <v>167</v>
      </c>
      <c r="M614" s="114">
        <v>15</v>
      </c>
      <c r="N614" s="131" t="str">
        <f t="shared" si="19"/>
        <v>_self</v>
      </c>
      <c r="O614" s="114">
        <f>LEN(Tableau18[[#This Row],[LABEL]])</f>
        <v>23</v>
      </c>
      <c r="P614" s="114">
        <v>15</v>
      </c>
      <c r="Q614" s="114" t="e">
        <f>ROUND(Tableau18[[#This Row],[LEN]]*#REF!+#REF!,0)</f>
        <v>#REF!</v>
      </c>
    </row>
    <row r="615" spans="1:17" s="97" customFormat="1" x14ac:dyDescent="0.25">
      <c r="A615" s="37" t="s">
        <v>1449</v>
      </c>
      <c r="B615" s="38" t="s">
        <v>1446</v>
      </c>
      <c r="C615" s="39" t="s">
        <v>113</v>
      </c>
      <c r="D615" s="73" t="s">
        <v>1177</v>
      </c>
      <c r="E615" s="39" t="s">
        <v>667</v>
      </c>
      <c r="F615" s="39" t="s">
        <v>2006</v>
      </c>
      <c r="G615" s="73" t="s">
        <v>2096</v>
      </c>
      <c r="H615" s="73" t="s">
        <v>654</v>
      </c>
      <c r="I615" s="39"/>
      <c r="J615" s="40" t="s">
        <v>708</v>
      </c>
      <c r="K615" s="40" t="str">
        <f t="shared" si="18"/>
        <v>_</v>
      </c>
      <c r="L615" s="114">
        <f>ROUND(Tableau18[[#This Row],[LEN]]*7.27,0)</f>
        <v>233</v>
      </c>
      <c r="M615" s="114">
        <v>15</v>
      </c>
      <c r="N615" s="131" t="str">
        <f t="shared" si="19"/>
        <v>_self</v>
      </c>
      <c r="O615" s="114">
        <f>LEN(Tableau18[[#This Row],[LABEL]])</f>
        <v>32</v>
      </c>
      <c r="P615" s="114">
        <v>15</v>
      </c>
      <c r="Q615" s="114" t="e">
        <f>ROUND(Tableau18[[#This Row],[LEN]]*#REF!+#REF!,0)</f>
        <v>#REF!</v>
      </c>
    </row>
    <row r="616" spans="1:17" s="97" customFormat="1" x14ac:dyDescent="0.25">
      <c r="A616" s="33" t="s">
        <v>1447</v>
      </c>
      <c r="B616" s="34" t="s">
        <v>277</v>
      </c>
      <c r="C616" s="35" t="s">
        <v>114</v>
      </c>
      <c r="D616" s="72" t="s">
        <v>1177</v>
      </c>
      <c r="E616" s="35" t="s">
        <v>661</v>
      </c>
      <c r="F616" s="35" t="s">
        <v>2083</v>
      </c>
      <c r="G616" s="72" t="s">
        <v>2096</v>
      </c>
      <c r="H616" s="72" t="s">
        <v>654</v>
      </c>
      <c r="I616" s="35"/>
      <c r="J616" s="36" t="s">
        <v>708</v>
      </c>
      <c r="K616" s="36" t="str">
        <f t="shared" si="18"/>
        <v>_</v>
      </c>
      <c r="L616" s="113">
        <f>ROUND(Tableau18[[#This Row],[LEN]]*7.27,0)</f>
        <v>153</v>
      </c>
      <c r="M616" s="113">
        <v>15</v>
      </c>
      <c r="N616" s="130" t="str">
        <f t="shared" si="19"/>
        <v>_self</v>
      </c>
      <c r="O616" s="113">
        <f>LEN(Tableau18[[#This Row],[LABEL]])</f>
        <v>21</v>
      </c>
      <c r="P616" s="113">
        <v>15</v>
      </c>
      <c r="Q616" s="113" t="e">
        <f>ROUND(Tableau18[[#This Row],[LEN]]*#REF!+#REF!,0)</f>
        <v>#REF!</v>
      </c>
    </row>
    <row r="617" spans="1:17" s="273" customFormat="1" x14ac:dyDescent="0.25">
      <c r="A617" s="309" t="s">
        <v>278</v>
      </c>
      <c r="B617" s="310" t="s">
        <v>207</v>
      </c>
      <c r="C617" s="311" t="s">
        <v>11</v>
      </c>
      <c r="D617" s="312" t="s">
        <v>1177</v>
      </c>
      <c r="E617" s="311" t="s">
        <v>674</v>
      </c>
      <c r="F617" s="311" t="s">
        <v>1177</v>
      </c>
      <c r="G617" s="312" t="s">
        <v>2096</v>
      </c>
      <c r="H617" s="312" t="str">
        <f>IFERROR(IF(SEARCH(".00.00.00.00.00",Tableau18[[#This Row],[name]],1)=7,"Division",""),"")</f>
        <v>Division</v>
      </c>
      <c r="I617" s="311"/>
      <c r="J617" s="313" t="s">
        <v>720</v>
      </c>
      <c r="K617" s="313" t="str">
        <f t="shared" si="18"/>
        <v>Documentation</v>
      </c>
      <c r="L617" s="314">
        <f>ROUND(Tableau18[[#This Row],[LEN]]*7.27,0)</f>
        <v>51</v>
      </c>
      <c r="M617" s="314">
        <v>15</v>
      </c>
      <c r="N617" s="315" t="str">
        <f t="shared" si="19"/>
        <v>_blank</v>
      </c>
      <c r="O617" s="314">
        <f>LEN(Tableau18[[#This Row],[LABEL]])</f>
        <v>7</v>
      </c>
      <c r="P617" s="314">
        <v>15</v>
      </c>
      <c r="Q617" s="314" t="e">
        <f>ROUND(Tableau18[[#This Row],[LEN]]*#REF!+#REF!,0)</f>
        <v>#REF!</v>
      </c>
    </row>
    <row r="618" spans="1:17" s="97" customFormat="1" x14ac:dyDescent="0.25">
      <c r="A618" s="33" t="s">
        <v>1450</v>
      </c>
      <c r="B618" s="34" t="s">
        <v>278</v>
      </c>
      <c r="C618" s="35" t="s">
        <v>111</v>
      </c>
      <c r="D618" s="72" t="s">
        <v>1177</v>
      </c>
      <c r="E618" s="35" t="s">
        <v>667</v>
      </c>
      <c r="F618" s="35" t="s">
        <v>2006</v>
      </c>
      <c r="G618" s="72" t="s">
        <v>2096</v>
      </c>
      <c r="H618" s="72" t="s">
        <v>655</v>
      </c>
      <c r="I618" s="35"/>
      <c r="J618" s="36" t="s">
        <v>708</v>
      </c>
      <c r="K618" s="36" t="str">
        <f t="shared" si="18"/>
        <v>_</v>
      </c>
      <c r="L618" s="113">
        <f>ROUND(Tableau18[[#This Row],[LEN]]*7.27,0)</f>
        <v>167</v>
      </c>
      <c r="M618" s="113">
        <v>15</v>
      </c>
      <c r="N618" s="130" t="str">
        <f t="shared" si="19"/>
        <v>_self</v>
      </c>
      <c r="O618" s="113">
        <f>LEN(Tableau18[[#This Row],[LABEL]])</f>
        <v>23</v>
      </c>
      <c r="P618" s="113">
        <v>15</v>
      </c>
      <c r="Q618" s="113" t="e">
        <f>ROUND(Tableau18[[#This Row],[LEN]]*#REF!+#REF!,0)</f>
        <v>#REF!</v>
      </c>
    </row>
    <row r="619" spans="1:17" s="97" customFormat="1" x14ac:dyDescent="0.25">
      <c r="A619" s="37" t="s">
        <v>1451</v>
      </c>
      <c r="B619" s="38" t="s">
        <v>1450</v>
      </c>
      <c r="C619" s="39" t="s">
        <v>112</v>
      </c>
      <c r="D619" s="73" t="s">
        <v>1177</v>
      </c>
      <c r="E619" s="39" t="s">
        <v>667</v>
      </c>
      <c r="F619" s="39" t="s">
        <v>2006</v>
      </c>
      <c r="G619" s="73" t="s">
        <v>2096</v>
      </c>
      <c r="H619" s="73" t="s">
        <v>654</v>
      </c>
      <c r="I619" s="39"/>
      <c r="J619" s="40" t="s">
        <v>708</v>
      </c>
      <c r="K619" s="40" t="str">
        <f t="shared" si="18"/>
        <v>_</v>
      </c>
      <c r="L619" s="114">
        <f>ROUND(Tableau18[[#This Row],[LEN]]*7.27,0)</f>
        <v>167</v>
      </c>
      <c r="M619" s="114">
        <v>15</v>
      </c>
      <c r="N619" s="131" t="str">
        <f t="shared" si="19"/>
        <v>_self</v>
      </c>
      <c r="O619" s="114">
        <f>LEN(Tableau18[[#This Row],[LABEL]])</f>
        <v>23</v>
      </c>
      <c r="P619" s="114">
        <v>15</v>
      </c>
      <c r="Q619" s="114" t="e">
        <f>ROUND(Tableau18[[#This Row],[LEN]]*#REF!+#REF!,0)</f>
        <v>#REF!</v>
      </c>
    </row>
    <row r="620" spans="1:17" s="97" customFormat="1" x14ac:dyDescent="0.25">
      <c r="A620" s="37" t="s">
        <v>1452</v>
      </c>
      <c r="B620" s="38" t="s">
        <v>1450</v>
      </c>
      <c r="C620" s="39" t="s">
        <v>113</v>
      </c>
      <c r="D620" s="73" t="s">
        <v>1177</v>
      </c>
      <c r="E620" s="39" t="s">
        <v>667</v>
      </c>
      <c r="F620" s="39" t="s">
        <v>2006</v>
      </c>
      <c r="G620" s="73" t="s">
        <v>2096</v>
      </c>
      <c r="H620" s="73" t="s">
        <v>654</v>
      </c>
      <c r="I620" s="39"/>
      <c r="J620" s="40" t="s">
        <v>708</v>
      </c>
      <c r="K620" s="40" t="str">
        <f t="shared" si="18"/>
        <v>_</v>
      </c>
      <c r="L620" s="114">
        <f>ROUND(Tableau18[[#This Row],[LEN]]*7.27,0)</f>
        <v>233</v>
      </c>
      <c r="M620" s="114">
        <v>15</v>
      </c>
      <c r="N620" s="131" t="str">
        <f t="shared" si="19"/>
        <v>_self</v>
      </c>
      <c r="O620" s="114">
        <f>LEN(Tableau18[[#This Row],[LABEL]])</f>
        <v>32</v>
      </c>
      <c r="P620" s="114">
        <v>15</v>
      </c>
      <c r="Q620" s="114" t="e">
        <f>ROUND(Tableau18[[#This Row],[LEN]]*#REF!+#REF!,0)</f>
        <v>#REF!</v>
      </c>
    </row>
    <row r="621" spans="1:17" s="273" customFormat="1" x14ac:dyDescent="0.25">
      <c r="A621" s="309" t="s">
        <v>279</v>
      </c>
      <c r="B621" s="310" t="s">
        <v>207</v>
      </c>
      <c r="C621" s="311" t="s">
        <v>12</v>
      </c>
      <c r="D621" s="312" t="s">
        <v>1177</v>
      </c>
      <c r="E621" s="311" t="s">
        <v>675</v>
      </c>
      <c r="F621" s="311" t="s">
        <v>1177</v>
      </c>
      <c r="G621" s="312" t="s">
        <v>2096</v>
      </c>
      <c r="H621" s="312" t="str">
        <f>IFERROR(IF(SEARCH(".00.00.00.00.00",Tableau18[[#This Row],[name]],1)=7,"Division",""),"")</f>
        <v>Division</v>
      </c>
      <c r="I621" s="311"/>
      <c r="J621" s="313" t="s">
        <v>721</v>
      </c>
      <c r="K621" s="313" t="str">
        <f t="shared" si="18"/>
        <v>Documentation</v>
      </c>
      <c r="L621" s="314">
        <f>ROUND(Tableau18[[#This Row],[LEN]]*7.27,0)</f>
        <v>15</v>
      </c>
      <c r="M621" s="314">
        <v>15</v>
      </c>
      <c r="N621" s="315" t="str">
        <f t="shared" si="19"/>
        <v>_blank</v>
      </c>
      <c r="O621" s="314">
        <f>LEN(Tableau18[[#This Row],[LABEL]])</f>
        <v>2</v>
      </c>
      <c r="P621" s="314">
        <v>15</v>
      </c>
      <c r="Q621" s="314" t="e">
        <f>ROUND(Tableau18[[#This Row],[LEN]]*#REF!+#REF!,0)</f>
        <v>#REF!</v>
      </c>
    </row>
    <row r="622" spans="1:17" s="97" customFormat="1" x14ac:dyDescent="0.25">
      <c r="A622" s="33" t="s">
        <v>1460</v>
      </c>
      <c r="B622" s="34" t="s">
        <v>279</v>
      </c>
      <c r="C622" s="35" t="s">
        <v>111</v>
      </c>
      <c r="D622" s="72" t="s">
        <v>1177</v>
      </c>
      <c r="E622" s="35" t="s">
        <v>667</v>
      </c>
      <c r="F622" s="35" t="s">
        <v>2006</v>
      </c>
      <c r="G622" s="72" t="s">
        <v>2096</v>
      </c>
      <c r="H622" s="72" t="s">
        <v>655</v>
      </c>
      <c r="I622" s="35"/>
      <c r="J622" s="36" t="s">
        <v>708</v>
      </c>
      <c r="K622" s="36" t="str">
        <f t="shared" si="18"/>
        <v>_</v>
      </c>
      <c r="L622" s="113">
        <f>ROUND(Tableau18[[#This Row],[LEN]]*7.27,0)</f>
        <v>167</v>
      </c>
      <c r="M622" s="113">
        <v>15</v>
      </c>
      <c r="N622" s="130" t="str">
        <f t="shared" si="19"/>
        <v>_self</v>
      </c>
      <c r="O622" s="113">
        <f>LEN(Tableau18[[#This Row],[LABEL]])</f>
        <v>23</v>
      </c>
      <c r="P622" s="113">
        <v>15</v>
      </c>
      <c r="Q622" s="113" t="e">
        <f>ROUND(Tableau18[[#This Row],[LEN]]*#REF!+#REF!,0)</f>
        <v>#REF!</v>
      </c>
    </row>
    <row r="623" spans="1:17" s="97" customFormat="1" x14ac:dyDescent="0.25">
      <c r="A623" s="37" t="s">
        <v>1463</v>
      </c>
      <c r="B623" s="38" t="s">
        <v>1460</v>
      </c>
      <c r="C623" s="39" t="s">
        <v>112</v>
      </c>
      <c r="D623" s="73" t="s">
        <v>1177</v>
      </c>
      <c r="E623" s="39" t="s">
        <v>667</v>
      </c>
      <c r="F623" s="39" t="s">
        <v>2006</v>
      </c>
      <c r="G623" s="73" t="s">
        <v>2096</v>
      </c>
      <c r="H623" s="73" t="s">
        <v>654</v>
      </c>
      <c r="I623" s="39"/>
      <c r="J623" s="40" t="s">
        <v>708</v>
      </c>
      <c r="K623" s="40" t="str">
        <f t="shared" si="18"/>
        <v>_</v>
      </c>
      <c r="L623" s="114">
        <f>ROUND(Tableau18[[#This Row],[LEN]]*7.27,0)</f>
        <v>167</v>
      </c>
      <c r="M623" s="114">
        <v>15</v>
      </c>
      <c r="N623" s="131" t="str">
        <f t="shared" si="19"/>
        <v>_self</v>
      </c>
      <c r="O623" s="114">
        <f>LEN(Tableau18[[#This Row],[LABEL]])</f>
        <v>23</v>
      </c>
      <c r="P623" s="114">
        <v>15</v>
      </c>
      <c r="Q623" s="114" t="e">
        <f>ROUND(Tableau18[[#This Row],[LEN]]*#REF!+#REF!,0)</f>
        <v>#REF!</v>
      </c>
    </row>
    <row r="624" spans="1:17" s="97" customFormat="1" x14ac:dyDescent="0.25">
      <c r="A624" s="37" t="s">
        <v>1464</v>
      </c>
      <c r="B624" s="38" t="s">
        <v>1460</v>
      </c>
      <c r="C624" s="39" t="s">
        <v>113</v>
      </c>
      <c r="D624" s="73" t="s">
        <v>1177</v>
      </c>
      <c r="E624" s="39" t="s">
        <v>667</v>
      </c>
      <c r="F624" s="39" t="s">
        <v>2006</v>
      </c>
      <c r="G624" s="73" t="s">
        <v>2096</v>
      </c>
      <c r="H624" s="73" t="s">
        <v>654</v>
      </c>
      <c r="I624" s="39"/>
      <c r="J624" s="40" t="s">
        <v>708</v>
      </c>
      <c r="K624" s="40" t="str">
        <f t="shared" si="18"/>
        <v>_</v>
      </c>
      <c r="L624" s="114">
        <f>ROUND(Tableau18[[#This Row],[LEN]]*7.27,0)</f>
        <v>233</v>
      </c>
      <c r="M624" s="114">
        <v>15</v>
      </c>
      <c r="N624" s="131" t="str">
        <f t="shared" si="19"/>
        <v>_self</v>
      </c>
      <c r="O624" s="114">
        <f>LEN(Tableau18[[#This Row],[LABEL]])</f>
        <v>32</v>
      </c>
      <c r="P624" s="114">
        <v>15</v>
      </c>
      <c r="Q624" s="114" t="e">
        <f>ROUND(Tableau18[[#This Row],[LEN]]*#REF!+#REF!,0)</f>
        <v>#REF!</v>
      </c>
    </row>
    <row r="625" spans="1:17" s="97" customFormat="1" x14ac:dyDescent="0.25">
      <c r="A625" s="33" t="s">
        <v>1461</v>
      </c>
      <c r="B625" s="34" t="s">
        <v>279</v>
      </c>
      <c r="C625" s="35" t="s">
        <v>1483</v>
      </c>
      <c r="D625" s="72" t="s">
        <v>1177</v>
      </c>
      <c r="E625" s="35" t="s">
        <v>661</v>
      </c>
      <c r="F625" s="35" t="s">
        <v>2083</v>
      </c>
      <c r="G625" s="72" t="s">
        <v>2096</v>
      </c>
      <c r="H625" s="72" t="s">
        <v>655</v>
      </c>
      <c r="I625" s="35"/>
      <c r="J625" s="36" t="s">
        <v>708</v>
      </c>
      <c r="K625" s="36" t="str">
        <f t="shared" si="18"/>
        <v>_</v>
      </c>
      <c r="L625" s="113">
        <f>ROUND(Tableau18[[#This Row],[LEN]]*7.27,0)</f>
        <v>240</v>
      </c>
      <c r="M625" s="113">
        <v>15</v>
      </c>
      <c r="N625" s="130" t="str">
        <f t="shared" si="19"/>
        <v>_self</v>
      </c>
      <c r="O625" s="113">
        <f>LEN(Tableau18[[#This Row],[LABEL]])</f>
        <v>33</v>
      </c>
      <c r="P625" s="113">
        <v>15</v>
      </c>
      <c r="Q625" s="113" t="e">
        <f>ROUND(Tableau18[[#This Row],[LEN]]*#REF!+#REF!,0)</f>
        <v>#REF!</v>
      </c>
    </row>
    <row r="626" spans="1:17" s="97" customFormat="1" x14ac:dyDescent="0.25">
      <c r="A626" s="37" t="s">
        <v>1465</v>
      </c>
      <c r="B626" s="38" t="s">
        <v>1461</v>
      </c>
      <c r="C626" s="39" t="s">
        <v>1458</v>
      </c>
      <c r="D626" s="73" t="s">
        <v>1177</v>
      </c>
      <c r="E626" s="39" t="s">
        <v>661</v>
      </c>
      <c r="F626" s="39" t="s">
        <v>2083</v>
      </c>
      <c r="G626" s="73" t="s">
        <v>2096</v>
      </c>
      <c r="H626" s="73" t="s">
        <v>654</v>
      </c>
      <c r="I626" s="39"/>
      <c r="J626" s="40" t="s">
        <v>708</v>
      </c>
      <c r="K626" s="40" t="str">
        <f t="shared" si="18"/>
        <v>_</v>
      </c>
      <c r="L626" s="114">
        <f>ROUND(Tableau18[[#This Row],[LEN]]*7.27,0)</f>
        <v>189</v>
      </c>
      <c r="M626" s="114">
        <v>15</v>
      </c>
      <c r="N626" s="131" t="str">
        <f t="shared" si="19"/>
        <v>_self</v>
      </c>
      <c r="O626" s="114">
        <f>LEN(Tableau18[[#This Row],[LABEL]])</f>
        <v>26</v>
      </c>
      <c r="P626" s="114">
        <v>15</v>
      </c>
      <c r="Q626" s="114" t="e">
        <f>ROUND(Tableau18[[#This Row],[LEN]]*#REF!+#REF!,0)</f>
        <v>#REF!</v>
      </c>
    </row>
    <row r="627" spans="1:17" s="97" customFormat="1" x14ac:dyDescent="0.25">
      <c r="A627" s="37" t="s">
        <v>1466</v>
      </c>
      <c r="B627" s="38" t="s">
        <v>1461</v>
      </c>
      <c r="C627" s="39" t="s">
        <v>1459</v>
      </c>
      <c r="D627" s="73" t="s">
        <v>1177</v>
      </c>
      <c r="E627" s="39" t="s">
        <v>661</v>
      </c>
      <c r="F627" s="39" t="s">
        <v>2083</v>
      </c>
      <c r="G627" s="73" t="s">
        <v>2096</v>
      </c>
      <c r="H627" s="73" t="s">
        <v>654</v>
      </c>
      <c r="I627" s="39"/>
      <c r="J627" s="40" t="s">
        <v>708</v>
      </c>
      <c r="K627" s="40" t="str">
        <f t="shared" si="18"/>
        <v>_</v>
      </c>
      <c r="L627" s="114">
        <f>ROUND(Tableau18[[#This Row],[LEN]]*7.27,0)</f>
        <v>204</v>
      </c>
      <c r="M627" s="114">
        <v>15</v>
      </c>
      <c r="N627" s="131" t="str">
        <f t="shared" si="19"/>
        <v>_self</v>
      </c>
      <c r="O627" s="114">
        <f>LEN(Tableau18[[#This Row],[LABEL]])</f>
        <v>28</v>
      </c>
      <c r="P627" s="114">
        <v>15</v>
      </c>
      <c r="Q627" s="114" t="e">
        <f>ROUND(Tableau18[[#This Row],[LEN]]*#REF!+#REF!,0)</f>
        <v>#REF!</v>
      </c>
    </row>
    <row r="628" spans="1:17" s="273" customFormat="1" x14ac:dyDescent="0.25">
      <c r="A628" s="309" t="s">
        <v>280</v>
      </c>
      <c r="B628" s="310" t="s">
        <v>207</v>
      </c>
      <c r="C628" s="311" t="s">
        <v>71</v>
      </c>
      <c r="D628" s="312" t="s">
        <v>1177</v>
      </c>
      <c r="E628" s="311" t="s">
        <v>676</v>
      </c>
      <c r="F628" s="311" t="s">
        <v>1177</v>
      </c>
      <c r="G628" s="312" t="s">
        <v>2096</v>
      </c>
      <c r="H628" s="312" t="str">
        <f>IFERROR(IF(SEARCH(".00.00.00.00.00",Tableau18[[#This Row],[name]],1)=7,"Division",""),"")</f>
        <v>Division</v>
      </c>
      <c r="I628" s="311"/>
      <c r="J628" s="313" t="s">
        <v>722</v>
      </c>
      <c r="K628" s="313" t="str">
        <f t="shared" si="18"/>
        <v>Documentation</v>
      </c>
      <c r="L628" s="314">
        <f>ROUND(Tableau18[[#This Row],[LEN]]*7.27,0)</f>
        <v>29</v>
      </c>
      <c r="M628" s="314">
        <v>15</v>
      </c>
      <c r="N628" s="315" t="str">
        <f t="shared" si="19"/>
        <v>_blank</v>
      </c>
      <c r="O628" s="314">
        <f>LEN(Tableau18[[#This Row],[LABEL]])</f>
        <v>4</v>
      </c>
      <c r="P628" s="314">
        <v>15</v>
      </c>
      <c r="Q628" s="314" t="e">
        <f>ROUND(Tableau18[[#This Row],[LEN]]*#REF!+#REF!,0)</f>
        <v>#REF!</v>
      </c>
    </row>
    <row r="629" spans="1:17" s="97" customFormat="1" x14ac:dyDescent="0.25">
      <c r="A629" s="33" t="s">
        <v>1471</v>
      </c>
      <c r="B629" s="34" t="s">
        <v>280</v>
      </c>
      <c r="C629" s="35" t="s">
        <v>111</v>
      </c>
      <c r="D629" s="72" t="s">
        <v>1177</v>
      </c>
      <c r="E629" s="35" t="s">
        <v>667</v>
      </c>
      <c r="F629" s="35" t="s">
        <v>2006</v>
      </c>
      <c r="G629" s="72" t="s">
        <v>2096</v>
      </c>
      <c r="H629" s="72" t="s">
        <v>654</v>
      </c>
      <c r="I629" s="35"/>
      <c r="J629" s="36" t="s">
        <v>708</v>
      </c>
      <c r="K629" s="36" t="str">
        <f t="shared" si="18"/>
        <v>_</v>
      </c>
      <c r="L629" s="113">
        <f>ROUND(Tableau18[[#This Row],[LEN]]*7.27,0)</f>
        <v>167</v>
      </c>
      <c r="M629" s="113">
        <v>15</v>
      </c>
      <c r="N629" s="130" t="str">
        <f t="shared" si="19"/>
        <v>_self</v>
      </c>
      <c r="O629" s="113">
        <f>LEN(Tableau18[[#This Row],[LABEL]])</f>
        <v>23</v>
      </c>
      <c r="P629" s="113">
        <v>15</v>
      </c>
      <c r="Q629" s="113" t="e">
        <f>ROUND(Tableau18[[#This Row],[LEN]]*#REF!+#REF!,0)</f>
        <v>#REF!</v>
      </c>
    </row>
    <row r="630" spans="1:17" s="97" customFormat="1" x14ac:dyDescent="0.25">
      <c r="A630" s="37" t="s">
        <v>1472</v>
      </c>
      <c r="B630" s="38" t="s">
        <v>1471</v>
      </c>
      <c r="C630" s="39" t="s">
        <v>112</v>
      </c>
      <c r="D630" s="73" t="s">
        <v>1177</v>
      </c>
      <c r="E630" s="39" t="s">
        <v>667</v>
      </c>
      <c r="F630" s="39" t="s">
        <v>2006</v>
      </c>
      <c r="G630" s="73" t="s">
        <v>2096</v>
      </c>
      <c r="H630" s="73" t="s">
        <v>654</v>
      </c>
      <c r="I630" s="39"/>
      <c r="J630" s="40" t="s">
        <v>708</v>
      </c>
      <c r="K630" s="40" t="str">
        <f t="shared" si="18"/>
        <v>_</v>
      </c>
      <c r="L630" s="114">
        <f>ROUND(Tableau18[[#This Row],[LEN]]*7.27,0)</f>
        <v>167</v>
      </c>
      <c r="M630" s="114">
        <v>15</v>
      </c>
      <c r="N630" s="131" t="str">
        <f t="shared" si="19"/>
        <v>_self</v>
      </c>
      <c r="O630" s="114">
        <f>LEN(Tableau18[[#This Row],[LABEL]])</f>
        <v>23</v>
      </c>
      <c r="P630" s="114">
        <v>15</v>
      </c>
      <c r="Q630" s="114" t="e">
        <f>ROUND(Tableau18[[#This Row],[LEN]]*#REF!+#REF!,0)</f>
        <v>#REF!</v>
      </c>
    </row>
    <row r="631" spans="1:17" s="97" customFormat="1" x14ac:dyDescent="0.25">
      <c r="A631" s="37" t="s">
        <v>1473</v>
      </c>
      <c r="B631" s="38" t="s">
        <v>1471</v>
      </c>
      <c r="C631" s="39" t="s">
        <v>113</v>
      </c>
      <c r="D631" s="73" t="s">
        <v>1177</v>
      </c>
      <c r="E631" s="39" t="s">
        <v>667</v>
      </c>
      <c r="F631" s="39" t="s">
        <v>2006</v>
      </c>
      <c r="G631" s="73" t="s">
        <v>2096</v>
      </c>
      <c r="H631" s="73" t="s">
        <v>654</v>
      </c>
      <c r="I631" s="39"/>
      <c r="J631" s="40" t="s">
        <v>708</v>
      </c>
      <c r="K631" s="40" t="str">
        <f t="shared" si="18"/>
        <v>_</v>
      </c>
      <c r="L631" s="114">
        <f>ROUND(Tableau18[[#This Row],[LEN]]*7.27,0)</f>
        <v>233</v>
      </c>
      <c r="M631" s="114">
        <v>15</v>
      </c>
      <c r="N631" s="131" t="str">
        <f t="shared" si="19"/>
        <v>_self</v>
      </c>
      <c r="O631" s="114">
        <f>LEN(Tableau18[[#This Row],[LABEL]])</f>
        <v>32</v>
      </c>
      <c r="P631" s="114">
        <v>15</v>
      </c>
      <c r="Q631" s="114" t="e">
        <f>ROUND(Tableau18[[#This Row],[LEN]]*#REF!+#REF!,0)</f>
        <v>#REF!</v>
      </c>
    </row>
    <row r="632" spans="1:17" s="97" customFormat="1" x14ac:dyDescent="0.25">
      <c r="A632" s="33" t="s">
        <v>1474</v>
      </c>
      <c r="B632" s="34" t="s">
        <v>280</v>
      </c>
      <c r="C632" s="35" t="s">
        <v>1586</v>
      </c>
      <c r="D632" s="72" t="s">
        <v>1477</v>
      </c>
      <c r="E632" s="35" t="s">
        <v>676</v>
      </c>
      <c r="F632" s="35" t="s">
        <v>1177</v>
      </c>
      <c r="G632" s="72" t="s">
        <v>2096</v>
      </c>
      <c r="H632" s="72" t="s">
        <v>654</v>
      </c>
      <c r="I632" s="35"/>
      <c r="J632" s="36" t="s">
        <v>708</v>
      </c>
      <c r="K632" s="36" t="str">
        <f t="shared" si="18"/>
        <v>_</v>
      </c>
      <c r="L632" s="113">
        <f>ROUND(Tableau18[[#This Row],[LEN]]*7.27,0)</f>
        <v>414</v>
      </c>
      <c r="M632" s="113">
        <v>15</v>
      </c>
      <c r="N632" s="130" t="str">
        <f t="shared" si="19"/>
        <v>_self</v>
      </c>
      <c r="O632" s="113">
        <f>LEN(Tableau18[[#This Row],[LABEL]])</f>
        <v>57</v>
      </c>
      <c r="P632" s="113">
        <v>15</v>
      </c>
      <c r="Q632" s="113" t="e">
        <f>ROUND(Tableau18[[#This Row],[LEN]]*#REF!+#REF!,0)</f>
        <v>#REF!</v>
      </c>
    </row>
    <row r="633" spans="1:17" s="97" customFormat="1" x14ac:dyDescent="0.25">
      <c r="A633" s="33" t="s">
        <v>1475</v>
      </c>
      <c r="B633" s="34" t="s">
        <v>280</v>
      </c>
      <c r="C633" s="35" t="s">
        <v>1478</v>
      </c>
      <c r="D633" s="72" t="s">
        <v>1177</v>
      </c>
      <c r="E633" s="35" t="s">
        <v>676</v>
      </c>
      <c r="F633" s="35" t="s">
        <v>678</v>
      </c>
      <c r="G633" s="72" t="s">
        <v>2096</v>
      </c>
      <c r="H633" s="72" t="s">
        <v>654</v>
      </c>
      <c r="I633" s="35"/>
      <c r="J633" s="36" t="s">
        <v>708</v>
      </c>
      <c r="K633" s="36" t="str">
        <f t="shared" si="18"/>
        <v>_</v>
      </c>
      <c r="L633" s="113">
        <f>ROUND(Tableau18[[#This Row],[LEN]]*7.27,0)</f>
        <v>327</v>
      </c>
      <c r="M633" s="113">
        <v>15</v>
      </c>
      <c r="N633" s="130" t="str">
        <f t="shared" si="19"/>
        <v>_self</v>
      </c>
      <c r="O633" s="113">
        <f>LEN(Tableau18[[#This Row],[LABEL]])</f>
        <v>45</v>
      </c>
      <c r="P633" s="113">
        <v>15</v>
      </c>
      <c r="Q633" s="113" t="e">
        <f>ROUND(Tableau18[[#This Row],[LEN]]*#REF!+#REF!,0)</f>
        <v>#REF!</v>
      </c>
    </row>
    <row r="634" spans="1:17" s="273" customFormat="1" x14ac:dyDescent="0.25">
      <c r="A634" s="309" t="s">
        <v>281</v>
      </c>
      <c r="B634" s="310" t="s">
        <v>207</v>
      </c>
      <c r="C634" s="311" t="s">
        <v>13</v>
      </c>
      <c r="D634" s="312" t="s">
        <v>1177</v>
      </c>
      <c r="E634" s="311" t="s">
        <v>677</v>
      </c>
      <c r="F634" s="311" t="s">
        <v>1177</v>
      </c>
      <c r="G634" s="312" t="s">
        <v>2096</v>
      </c>
      <c r="H634" s="312" t="str">
        <f>IFERROR(IF(SEARCH(".00.00.00.00.00",Tableau18[[#This Row],[name]],1)=7,"Division",""),"")</f>
        <v>Division</v>
      </c>
      <c r="I634" s="311"/>
      <c r="J634" s="313" t="s">
        <v>708</v>
      </c>
      <c r="K634" s="313" t="str">
        <f t="shared" si="18"/>
        <v>_</v>
      </c>
      <c r="L634" s="314">
        <f>ROUND(Tableau18[[#This Row],[LEN]]*7.27,0)</f>
        <v>80</v>
      </c>
      <c r="M634" s="314">
        <v>15</v>
      </c>
      <c r="N634" s="315" t="str">
        <f t="shared" si="19"/>
        <v>_self</v>
      </c>
      <c r="O634" s="314">
        <f>LEN(Tableau18[[#This Row],[LABEL]])</f>
        <v>11</v>
      </c>
      <c r="P634" s="314">
        <v>15</v>
      </c>
      <c r="Q634" s="314" t="e">
        <f>ROUND(Tableau18[[#This Row],[LEN]]*#REF!+#REF!,0)</f>
        <v>#REF!</v>
      </c>
    </row>
    <row r="635" spans="1:17" s="97" customFormat="1" x14ac:dyDescent="0.25">
      <c r="A635" s="33" t="s">
        <v>1479</v>
      </c>
      <c r="B635" s="34" t="s">
        <v>281</v>
      </c>
      <c r="C635" s="35" t="s">
        <v>111</v>
      </c>
      <c r="D635" s="72" t="s">
        <v>1177</v>
      </c>
      <c r="E635" s="35" t="s">
        <v>667</v>
      </c>
      <c r="F635" s="35" t="s">
        <v>2006</v>
      </c>
      <c r="G635" s="72" t="s">
        <v>2096</v>
      </c>
      <c r="H635" s="72" t="s">
        <v>655</v>
      </c>
      <c r="I635" s="35"/>
      <c r="J635" s="36" t="s">
        <v>708</v>
      </c>
      <c r="K635" s="36" t="str">
        <f t="shared" si="18"/>
        <v>_</v>
      </c>
      <c r="L635" s="113">
        <f>ROUND(Tableau18[[#This Row],[LEN]]*7.27,0)</f>
        <v>167</v>
      </c>
      <c r="M635" s="113">
        <v>15</v>
      </c>
      <c r="N635" s="130" t="str">
        <f t="shared" si="19"/>
        <v>_self</v>
      </c>
      <c r="O635" s="113">
        <f>LEN(Tableau18[[#This Row],[LABEL]])</f>
        <v>23</v>
      </c>
      <c r="P635" s="113">
        <v>15</v>
      </c>
      <c r="Q635" s="113" t="e">
        <f>ROUND(Tableau18[[#This Row],[LEN]]*#REF!+#REF!,0)</f>
        <v>#REF!</v>
      </c>
    </row>
    <row r="636" spans="1:17" s="97" customFormat="1" x14ac:dyDescent="0.25">
      <c r="A636" s="37" t="s">
        <v>1484</v>
      </c>
      <c r="B636" s="38" t="s">
        <v>1479</v>
      </c>
      <c r="C636" s="39" t="s">
        <v>112</v>
      </c>
      <c r="D636" s="73" t="s">
        <v>1177</v>
      </c>
      <c r="E636" s="39" t="s">
        <v>667</v>
      </c>
      <c r="F636" s="39" t="s">
        <v>2006</v>
      </c>
      <c r="G636" s="73" t="s">
        <v>2096</v>
      </c>
      <c r="H636" s="73" t="s">
        <v>654</v>
      </c>
      <c r="I636" s="39"/>
      <c r="J636" s="40" t="s">
        <v>708</v>
      </c>
      <c r="K636" s="40" t="str">
        <f t="shared" si="18"/>
        <v>_</v>
      </c>
      <c r="L636" s="114">
        <f>ROUND(Tableau18[[#This Row],[LEN]]*7.27,0)</f>
        <v>167</v>
      </c>
      <c r="M636" s="114">
        <v>15</v>
      </c>
      <c r="N636" s="131" t="str">
        <f t="shared" si="19"/>
        <v>_self</v>
      </c>
      <c r="O636" s="114">
        <f>LEN(Tableau18[[#This Row],[LABEL]])</f>
        <v>23</v>
      </c>
      <c r="P636" s="114">
        <v>15</v>
      </c>
      <c r="Q636" s="114" t="e">
        <f>ROUND(Tableau18[[#This Row],[LEN]]*#REF!+#REF!,0)</f>
        <v>#REF!</v>
      </c>
    </row>
    <row r="637" spans="1:17" s="97" customFormat="1" x14ac:dyDescent="0.25">
      <c r="A637" s="37" t="s">
        <v>1485</v>
      </c>
      <c r="B637" s="38" t="s">
        <v>1479</v>
      </c>
      <c r="C637" s="39" t="s">
        <v>113</v>
      </c>
      <c r="D637" s="73" t="s">
        <v>1177</v>
      </c>
      <c r="E637" s="39" t="s">
        <v>667</v>
      </c>
      <c r="F637" s="39" t="s">
        <v>2006</v>
      </c>
      <c r="G637" s="73" t="s">
        <v>2096</v>
      </c>
      <c r="H637" s="73" t="s">
        <v>654</v>
      </c>
      <c r="I637" s="39"/>
      <c r="J637" s="40" t="s">
        <v>708</v>
      </c>
      <c r="K637" s="40" t="str">
        <f t="shared" si="18"/>
        <v>_</v>
      </c>
      <c r="L637" s="114">
        <f>ROUND(Tableau18[[#This Row],[LEN]]*7.27,0)</f>
        <v>233</v>
      </c>
      <c r="M637" s="114">
        <v>15</v>
      </c>
      <c r="N637" s="131" t="str">
        <f t="shared" si="19"/>
        <v>_self</v>
      </c>
      <c r="O637" s="114">
        <f>LEN(Tableau18[[#This Row],[LABEL]])</f>
        <v>32</v>
      </c>
      <c r="P637" s="114">
        <v>15</v>
      </c>
      <c r="Q637" s="114" t="e">
        <f>ROUND(Tableau18[[#This Row],[LEN]]*#REF!+#REF!,0)</f>
        <v>#REF!</v>
      </c>
    </row>
    <row r="638" spans="1:17" s="97" customFormat="1" x14ac:dyDescent="0.25">
      <c r="A638" s="33" t="s">
        <v>1480</v>
      </c>
      <c r="B638" s="34" t="s">
        <v>281</v>
      </c>
      <c r="C638" s="35" t="s">
        <v>1483</v>
      </c>
      <c r="D638" s="72" t="s">
        <v>1177</v>
      </c>
      <c r="E638" s="35" t="s">
        <v>661</v>
      </c>
      <c r="F638" s="35" t="s">
        <v>2083</v>
      </c>
      <c r="G638" s="72" t="s">
        <v>2096</v>
      </c>
      <c r="H638" s="72" t="s">
        <v>655</v>
      </c>
      <c r="I638" s="35"/>
      <c r="J638" s="36" t="s">
        <v>708</v>
      </c>
      <c r="K638" s="36" t="str">
        <f t="shared" si="18"/>
        <v>_</v>
      </c>
      <c r="L638" s="113">
        <f>ROUND(Tableau18[[#This Row],[LEN]]*7.27,0)</f>
        <v>240</v>
      </c>
      <c r="M638" s="113">
        <v>15</v>
      </c>
      <c r="N638" s="130" t="str">
        <f t="shared" si="19"/>
        <v>_self</v>
      </c>
      <c r="O638" s="113">
        <f>LEN(Tableau18[[#This Row],[LABEL]])</f>
        <v>33</v>
      </c>
      <c r="P638" s="113">
        <v>15</v>
      </c>
      <c r="Q638" s="113" t="e">
        <f>ROUND(Tableau18[[#This Row],[LEN]]*#REF!+#REF!,0)</f>
        <v>#REF!</v>
      </c>
    </row>
    <row r="639" spans="1:17" s="97" customFormat="1" x14ac:dyDescent="0.25">
      <c r="A639" s="37" t="s">
        <v>1486</v>
      </c>
      <c r="B639" s="38" t="s">
        <v>1480</v>
      </c>
      <c r="C639" s="39" t="s">
        <v>1458</v>
      </c>
      <c r="D639" s="73" t="s">
        <v>1177</v>
      </c>
      <c r="E639" s="39" t="s">
        <v>661</v>
      </c>
      <c r="F639" s="39" t="s">
        <v>2083</v>
      </c>
      <c r="G639" s="73" t="s">
        <v>2096</v>
      </c>
      <c r="H639" s="73" t="s">
        <v>654</v>
      </c>
      <c r="I639" s="39"/>
      <c r="J639" s="40" t="s">
        <v>708</v>
      </c>
      <c r="K639" s="40" t="str">
        <f t="shared" si="18"/>
        <v>_</v>
      </c>
      <c r="L639" s="114">
        <f>ROUND(Tableau18[[#This Row],[LEN]]*7.27,0)</f>
        <v>189</v>
      </c>
      <c r="M639" s="114">
        <v>15</v>
      </c>
      <c r="N639" s="131" t="str">
        <f t="shared" si="19"/>
        <v>_self</v>
      </c>
      <c r="O639" s="114">
        <f>LEN(Tableau18[[#This Row],[LABEL]])</f>
        <v>26</v>
      </c>
      <c r="P639" s="114">
        <v>15</v>
      </c>
      <c r="Q639" s="114" t="e">
        <f>ROUND(Tableau18[[#This Row],[LEN]]*#REF!+#REF!,0)</f>
        <v>#REF!</v>
      </c>
    </row>
    <row r="640" spans="1:17" s="97" customFormat="1" x14ac:dyDescent="0.25">
      <c r="A640" s="37" t="s">
        <v>1486</v>
      </c>
      <c r="B640" s="38" t="s">
        <v>1480</v>
      </c>
      <c r="C640" s="39" t="s">
        <v>1459</v>
      </c>
      <c r="D640" s="73" t="s">
        <v>1177</v>
      </c>
      <c r="E640" s="39" t="s">
        <v>661</v>
      </c>
      <c r="F640" s="39" t="s">
        <v>2083</v>
      </c>
      <c r="G640" s="73" t="s">
        <v>2096</v>
      </c>
      <c r="H640" s="73" t="s">
        <v>654</v>
      </c>
      <c r="I640" s="39"/>
      <c r="J640" s="40" t="s">
        <v>708</v>
      </c>
      <c r="K640" s="40" t="str">
        <f t="shared" si="18"/>
        <v>_</v>
      </c>
      <c r="L640" s="114">
        <f>ROUND(Tableau18[[#This Row],[LEN]]*7.27,0)</f>
        <v>204</v>
      </c>
      <c r="M640" s="114">
        <v>15</v>
      </c>
      <c r="N640" s="131" t="str">
        <f t="shared" si="19"/>
        <v>_self</v>
      </c>
      <c r="O640" s="114">
        <f>LEN(Tableau18[[#This Row],[LABEL]])</f>
        <v>28</v>
      </c>
      <c r="P640" s="114">
        <v>15</v>
      </c>
      <c r="Q640" s="114" t="e">
        <f>ROUND(Tableau18[[#This Row],[LEN]]*#REF!+#REF!,0)</f>
        <v>#REF!</v>
      </c>
    </row>
    <row r="641" spans="1:17" s="97" customFormat="1" x14ac:dyDescent="0.25">
      <c r="A641" s="33" t="s">
        <v>1481</v>
      </c>
      <c r="B641" s="34" t="s">
        <v>281</v>
      </c>
      <c r="C641" s="35" t="s">
        <v>1482</v>
      </c>
      <c r="D641" s="72" t="s">
        <v>1177</v>
      </c>
      <c r="E641" s="35" t="s">
        <v>677</v>
      </c>
      <c r="F641" s="35" t="s">
        <v>1177</v>
      </c>
      <c r="G641" s="72" t="s">
        <v>2096</v>
      </c>
      <c r="H641" s="72" t="s">
        <v>654</v>
      </c>
      <c r="I641" s="35"/>
      <c r="J641" s="36" t="s">
        <v>708</v>
      </c>
      <c r="K641" s="36" t="str">
        <f t="shared" si="18"/>
        <v>_</v>
      </c>
      <c r="L641" s="113">
        <f>ROUND(Tableau18[[#This Row],[LEN]]*7.27,0)</f>
        <v>131</v>
      </c>
      <c r="M641" s="113">
        <v>15</v>
      </c>
      <c r="N641" s="130" t="str">
        <f t="shared" si="19"/>
        <v>_self</v>
      </c>
      <c r="O641" s="113">
        <f>LEN(Tableau18[[#This Row],[LABEL]])</f>
        <v>18</v>
      </c>
      <c r="P641" s="113">
        <v>15</v>
      </c>
      <c r="Q641" s="113" t="e">
        <f>ROUND(Tableau18[[#This Row],[LEN]]*#REF!+#REF!,0)</f>
        <v>#REF!</v>
      </c>
    </row>
    <row r="642" spans="1:17" s="273" customFormat="1" x14ac:dyDescent="0.25">
      <c r="A642" s="309" t="s">
        <v>282</v>
      </c>
      <c r="B642" s="310" t="s">
        <v>207</v>
      </c>
      <c r="C642" s="311" t="s">
        <v>14</v>
      </c>
      <c r="D642" s="312" t="s">
        <v>1177</v>
      </c>
      <c r="E642" s="311" t="s">
        <v>678</v>
      </c>
      <c r="F642" s="311" t="s">
        <v>1177</v>
      </c>
      <c r="G642" s="312" t="s">
        <v>2096</v>
      </c>
      <c r="H642" s="312" t="str">
        <f>IFERROR(IF(SEARCH(".00.00.00.00.00",Tableau18[[#This Row],[name]],1)=7,"Division",""),"")</f>
        <v>Division</v>
      </c>
      <c r="I642" s="311"/>
      <c r="J642" s="313" t="s">
        <v>724</v>
      </c>
      <c r="K642" s="313" t="str">
        <f t="shared" ref="K642:K705" si="20">IF(J642="javascript:void(0)","_","Documentation")</f>
        <v>Documentation</v>
      </c>
      <c r="L642" s="314">
        <f>ROUND(Tableau18[[#This Row],[LEN]]*7.27,0)</f>
        <v>240</v>
      </c>
      <c r="M642" s="314">
        <v>15</v>
      </c>
      <c r="N642" s="315" t="str">
        <f t="shared" si="19"/>
        <v>_blank</v>
      </c>
      <c r="O642" s="314">
        <f>LEN(Tableau18[[#This Row],[LABEL]])</f>
        <v>33</v>
      </c>
      <c r="P642" s="314">
        <v>15</v>
      </c>
      <c r="Q642" s="314" t="e">
        <f>ROUND(Tableau18[[#This Row],[LEN]]*#REF!+#REF!,0)</f>
        <v>#REF!</v>
      </c>
    </row>
    <row r="643" spans="1:17" s="97" customFormat="1" x14ac:dyDescent="0.25">
      <c r="A643" s="33" t="s">
        <v>1487</v>
      </c>
      <c r="B643" s="34" t="s">
        <v>282</v>
      </c>
      <c r="C643" s="35" t="s">
        <v>111</v>
      </c>
      <c r="D643" s="72" t="s">
        <v>1177</v>
      </c>
      <c r="E643" s="35" t="s">
        <v>667</v>
      </c>
      <c r="F643" s="35" t="s">
        <v>2006</v>
      </c>
      <c r="G643" s="72" t="s">
        <v>2096</v>
      </c>
      <c r="H643" s="72" t="s">
        <v>655</v>
      </c>
      <c r="I643" s="35"/>
      <c r="J643" s="36" t="s">
        <v>708</v>
      </c>
      <c r="K643" s="36" t="str">
        <f t="shared" si="20"/>
        <v>_</v>
      </c>
      <c r="L643" s="113">
        <f>ROUND(Tableau18[[#This Row],[LEN]]*7.27,0)</f>
        <v>167</v>
      </c>
      <c r="M643" s="113">
        <v>15</v>
      </c>
      <c r="N643" s="130" t="str">
        <f t="shared" ref="N643:N706" si="21">IF(J643="javascript:void(0)","_self","_blank")</f>
        <v>_self</v>
      </c>
      <c r="O643" s="113">
        <f>LEN(Tableau18[[#This Row],[LABEL]])</f>
        <v>23</v>
      </c>
      <c r="P643" s="113">
        <v>15</v>
      </c>
      <c r="Q643" s="113" t="e">
        <f>ROUND(Tableau18[[#This Row],[LEN]]*#REF!+#REF!,0)</f>
        <v>#REF!</v>
      </c>
    </row>
    <row r="644" spans="1:17" s="97" customFormat="1" x14ac:dyDescent="0.25">
      <c r="A644" s="37" t="s">
        <v>1492</v>
      </c>
      <c r="B644" s="38" t="s">
        <v>1487</v>
      </c>
      <c r="C644" s="39" t="s">
        <v>112</v>
      </c>
      <c r="D644" s="73" t="s">
        <v>1177</v>
      </c>
      <c r="E644" s="39" t="s">
        <v>667</v>
      </c>
      <c r="F644" s="39" t="s">
        <v>2006</v>
      </c>
      <c r="G644" s="73" t="s">
        <v>2096</v>
      </c>
      <c r="H644" s="73" t="s">
        <v>654</v>
      </c>
      <c r="I644" s="39"/>
      <c r="J644" s="40" t="s">
        <v>708</v>
      </c>
      <c r="K644" s="40" t="str">
        <f t="shared" si="20"/>
        <v>_</v>
      </c>
      <c r="L644" s="114">
        <f>ROUND(Tableau18[[#This Row],[LEN]]*7.27,0)</f>
        <v>167</v>
      </c>
      <c r="M644" s="114">
        <v>15</v>
      </c>
      <c r="N644" s="131" t="str">
        <f t="shared" si="21"/>
        <v>_self</v>
      </c>
      <c r="O644" s="114">
        <f>LEN(Tableau18[[#This Row],[LABEL]])</f>
        <v>23</v>
      </c>
      <c r="P644" s="114">
        <v>15</v>
      </c>
      <c r="Q644" s="114" t="e">
        <f>ROUND(Tableau18[[#This Row],[LEN]]*#REF!+#REF!,0)</f>
        <v>#REF!</v>
      </c>
    </row>
    <row r="645" spans="1:17" s="97" customFormat="1" x14ac:dyDescent="0.25">
      <c r="A645" s="37" t="s">
        <v>1493</v>
      </c>
      <c r="B645" s="38" t="s">
        <v>1487</v>
      </c>
      <c r="C645" s="39" t="s">
        <v>113</v>
      </c>
      <c r="D645" s="73" t="s">
        <v>1177</v>
      </c>
      <c r="E645" s="39" t="s">
        <v>667</v>
      </c>
      <c r="F645" s="39" t="s">
        <v>2006</v>
      </c>
      <c r="G645" s="73" t="s">
        <v>2096</v>
      </c>
      <c r="H645" s="73" t="s">
        <v>654</v>
      </c>
      <c r="I645" s="39"/>
      <c r="J645" s="40" t="s">
        <v>708</v>
      </c>
      <c r="K645" s="40" t="str">
        <f t="shared" si="20"/>
        <v>_</v>
      </c>
      <c r="L645" s="114">
        <f>ROUND(Tableau18[[#This Row],[LEN]]*7.27,0)</f>
        <v>233</v>
      </c>
      <c r="M645" s="114">
        <v>15</v>
      </c>
      <c r="N645" s="131" t="str">
        <f t="shared" si="21"/>
        <v>_self</v>
      </c>
      <c r="O645" s="114">
        <f>LEN(Tableau18[[#This Row],[LABEL]])</f>
        <v>32</v>
      </c>
      <c r="P645" s="114">
        <v>15</v>
      </c>
      <c r="Q645" s="114" t="e">
        <f>ROUND(Tableau18[[#This Row],[LEN]]*#REF!+#REF!,0)</f>
        <v>#REF!</v>
      </c>
    </row>
    <row r="646" spans="1:17" s="97" customFormat="1" x14ac:dyDescent="0.25">
      <c r="A646" s="33" t="s">
        <v>1488</v>
      </c>
      <c r="B646" s="34" t="s">
        <v>282</v>
      </c>
      <c r="C646" s="35" t="s">
        <v>1478</v>
      </c>
      <c r="D646" s="72" t="s">
        <v>1177</v>
      </c>
      <c r="E646" s="35" t="s">
        <v>676</v>
      </c>
      <c r="F646" s="35" t="s">
        <v>678</v>
      </c>
      <c r="G646" s="72" t="s">
        <v>2096</v>
      </c>
      <c r="H646" s="72" t="s">
        <v>654</v>
      </c>
      <c r="I646" s="35"/>
      <c r="J646" s="36" t="s">
        <v>708</v>
      </c>
      <c r="K646" s="36" t="str">
        <f t="shared" si="20"/>
        <v>_</v>
      </c>
      <c r="L646" s="113">
        <f>ROUND(Tableau18[[#This Row],[LEN]]*7.27,0)</f>
        <v>327</v>
      </c>
      <c r="M646" s="113">
        <v>15</v>
      </c>
      <c r="N646" s="130" t="str">
        <f t="shared" si="21"/>
        <v>_self</v>
      </c>
      <c r="O646" s="113">
        <f>LEN(Tableau18[[#This Row],[LABEL]])</f>
        <v>45</v>
      </c>
      <c r="P646" s="113">
        <v>15</v>
      </c>
      <c r="Q646" s="113" t="e">
        <f>ROUND(Tableau18[[#This Row],[LEN]]*#REF!+#REF!,0)</f>
        <v>#REF!</v>
      </c>
    </row>
    <row r="647" spans="1:17" s="97" customFormat="1" x14ac:dyDescent="0.25">
      <c r="A647" s="33" t="s">
        <v>1489</v>
      </c>
      <c r="B647" s="34" t="s">
        <v>282</v>
      </c>
      <c r="C647" s="35" t="s">
        <v>1483</v>
      </c>
      <c r="D647" s="72" t="s">
        <v>1177</v>
      </c>
      <c r="E647" s="35" t="s">
        <v>661</v>
      </c>
      <c r="F647" s="35" t="s">
        <v>2083</v>
      </c>
      <c r="G647" s="72" t="s">
        <v>2096</v>
      </c>
      <c r="H647" s="72" t="s">
        <v>655</v>
      </c>
      <c r="I647" s="35"/>
      <c r="J647" s="36" t="s">
        <v>708</v>
      </c>
      <c r="K647" s="36" t="str">
        <f t="shared" si="20"/>
        <v>_</v>
      </c>
      <c r="L647" s="113">
        <f>ROUND(Tableau18[[#This Row],[LEN]]*7.27,0)</f>
        <v>240</v>
      </c>
      <c r="M647" s="113">
        <v>15</v>
      </c>
      <c r="N647" s="130" t="str">
        <f t="shared" si="21"/>
        <v>_self</v>
      </c>
      <c r="O647" s="113">
        <f>LEN(Tableau18[[#This Row],[LABEL]])</f>
        <v>33</v>
      </c>
      <c r="P647" s="113">
        <v>15</v>
      </c>
      <c r="Q647" s="113" t="e">
        <f>ROUND(Tableau18[[#This Row],[LEN]]*#REF!+#REF!,0)</f>
        <v>#REF!</v>
      </c>
    </row>
    <row r="648" spans="1:17" s="97" customFormat="1" x14ac:dyDescent="0.25">
      <c r="A648" s="37" t="s">
        <v>1494</v>
      </c>
      <c r="B648" s="38" t="s">
        <v>1489</v>
      </c>
      <c r="C648" s="39" t="s">
        <v>1458</v>
      </c>
      <c r="D648" s="73" t="s">
        <v>1177</v>
      </c>
      <c r="E648" s="39" t="s">
        <v>661</v>
      </c>
      <c r="F648" s="39" t="s">
        <v>2083</v>
      </c>
      <c r="G648" s="73" t="s">
        <v>2096</v>
      </c>
      <c r="H648" s="73" t="s">
        <v>654</v>
      </c>
      <c r="I648" s="39"/>
      <c r="J648" s="40" t="s">
        <v>708</v>
      </c>
      <c r="K648" s="40" t="str">
        <f t="shared" si="20"/>
        <v>_</v>
      </c>
      <c r="L648" s="114">
        <f>ROUND(Tableau18[[#This Row],[LEN]]*7.27,0)</f>
        <v>189</v>
      </c>
      <c r="M648" s="114">
        <v>15</v>
      </c>
      <c r="N648" s="131" t="str">
        <f t="shared" si="21"/>
        <v>_self</v>
      </c>
      <c r="O648" s="114">
        <f>LEN(Tableau18[[#This Row],[LABEL]])</f>
        <v>26</v>
      </c>
      <c r="P648" s="114">
        <v>15</v>
      </c>
      <c r="Q648" s="114" t="e">
        <f>ROUND(Tableau18[[#This Row],[LEN]]*#REF!+#REF!,0)</f>
        <v>#REF!</v>
      </c>
    </row>
    <row r="649" spans="1:17" s="97" customFormat="1" x14ac:dyDescent="0.25">
      <c r="A649" s="37" t="s">
        <v>1495</v>
      </c>
      <c r="B649" s="38" t="s">
        <v>1489</v>
      </c>
      <c r="C649" s="39" t="s">
        <v>1459</v>
      </c>
      <c r="D649" s="73" t="s">
        <v>1177</v>
      </c>
      <c r="E649" s="39" t="s">
        <v>661</v>
      </c>
      <c r="F649" s="39" t="s">
        <v>2083</v>
      </c>
      <c r="G649" s="73" t="s">
        <v>2096</v>
      </c>
      <c r="H649" s="73" t="s">
        <v>654</v>
      </c>
      <c r="I649" s="39"/>
      <c r="J649" s="40" t="s">
        <v>708</v>
      </c>
      <c r="K649" s="40" t="str">
        <f t="shared" si="20"/>
        <v>_</v>
      </c>
      <c r="L649" s="114">
        <f>ROUND(Tableau18[[#This Row],[LEN]]*7.27,0)</f>
        <v>204</v>
      </c>
      <c r="M649" s="114">
        <v>15</v>
      </c>
      <c r="N649" s="131" t="str">
        <f t="shared" si="21"/>
        <v>_self</v>
      </c>
      <c r="O649" s="114">
        <f>LEN(Tableau18[[#This Row],[LABEL]])</f>
        <v>28</v>
      </c>
      <c r="P649" s="114">
        <v>15</v>
      </c>
      <c r="Q649" s="114" t="e">
        <f>ROUND(Tableau18[[#This Row],[LEN]]*#REF!+#REF!,0)</f>
        <v>#REF!</v>
      </c>
    </row>
    <row r="650" spans="1:17" s="97" customFormat="1" x14ac:dyDescent="0.25">
      <c r="A650" s="33" t="s">
        <v>1490</v>
      </c>
      <c r="B650" s="34" t="s">
        <v>282</v>
      </c>
      <c r="C650" s="35" t="s">
        <v>1491</v>
      </c>
      <c r="D650" s="72" t="s">
        <v>1177</v>
      </c>
      <c r="E650" s="35" t="s">
        <v>678</v>
      </c>
      <c r="F650" s="35" t="s">
        <v>1177</v>
      </c>
      <c r="G650" s="72" t="s">
        <v>2096</v>
      </c>
      <c r="H650" s="72" t="s">
        <v>656</v>
      </c>
      <c r="I650" s="35"/>
      <c r="J650" s="36" t="s">
        <v>708</v>
      </c>
      <c r="K650" s="36" t="str">
        <f t="shared" si="20"/>
        <v>_</v>
      </c>
      <c r="L650" s="113">
        <f>ROUND(Tableau18[[#This Row],[LEN]]*7.27,0)</f>
        <v>247</v>
      </c>
      <c r="M650" s="113">
        <v>16</v>
      </c>
      <c r="N650" s="130" t="str">
        <f t="shared" si="21"/>
        <v>_self</v>
      </c>
      <c r="O650" s="113">
        <f>LEN(Tableau18[[#This Row],[LABEL]])</f>
        <v>34</v>
      </c>
      <c r="P650" s="113">
        <v>16</v>
      </c>
      <c r="Q650" s="113" t="e">
        <f>ROUND(Tableau18[[#This Row],[LEN]]*#REF!+#REF!,0)</f>
        <v>#REF!</v>
      </c>
    </row>
    <row r="651" spans="1:17" s="273" customFormat="1" x14ac:dyDescent="0.25">
      <c r="A651" s="316" t="s">
        <v>283</v>
      </c>
      <c r="B651" s="317" t="s">
        <v>207</v>
      </c>
      <c r="C651" s="318" t="s">
        <v>15</v>
      </c>
      <c r="D651" s="319" t="s">
        <v>1177</v>
      </c>
      <c r="E651" s="318" t="s">
        <v>679</v>
      </c>
      <c r="F651" s="318" t="s">
        <v>1177</v>
      </c>
      <c r="G651" s="319" t="s">
        <v>2096</v>
      </c>
      <c r="H651" s="319" t="str">
        <f>IFERROR(IF(SEARCH(".00.00.00.00.00",Tableau18[[#This Row],[name]],1)=7,"Division",""),"")</f>
        <v>Division</v>
      </c>
      <c r="I651" s="318"/>
      <c r="J651" s="320" t="s">
        <v>708</v>
      </c>
      <c r="K651" s="320" t="str">
        <f t="shared" si="20"/>
        <v>_</v>
      </c>
      <c r="L651" s="321">
        <f>ROUND(Tableau18[[#This Row],[LEN]]*7.27,0)</f>
        <v>174</v>
      </c>
      <c r="M651" s="321">
        <v>15</v>
      </c>
      <c r="N651" s="322" t="str">
        <f t="shared" si="21"/>
        <v>_self</v>
      </c>
      <c r="O651" s="321">
        <f>LEN(Tableau18[[#This Row],[LABEL]])</f>
        <v>24</v>
      </c>
      <c r="P651" s="321">
        <v>15</v>
      </c>
      <c r="Q651" s="321" t="e">
        <f>ROUND(Tableau18[[#This Row],[LEN]]*#REF!+#REF!,0)</f>
        <v>#REF!</v>
      </c>
    </row>
    <row r="652" spans="1:17" s="97" customFormat="1" x14ac:dyDescent="0.25">
      <c r="A652" s="33" t="s">
        <v>1496</v>
      </c>
      <c r="B652" s="34" t="s">
        <v>283</v>
      </c>
      <c r="C652" s="35" t="s">
        <v>111</v>
      </c>
      <c r="D652" s="72" t="s">
        <v>1177</v>
      </c>
      <c r="E652" s="35" t="s">
        <v>667</v>
      </c>
      <c r="F652" s="35" t="s">
        <v>2006</v>
      </c>
      <c r="G652" s="72" t="s">
        <v>2096</v>
      </c>
      <c r="H652" s="72" t="s">
        <v>655</v>
      </c>
      <c r="I652" s="35"/>
      <c r="J652" s="36" t="s">
        <v>708</v>
      </c>
      <c r="K652" s="36" t="str">
        <f t="shared" si="20"/>
        <v>_</v>
      </c>
      <c r="L652" s="113">
        <f>ROUND(Tableau18[[#This Row],[LEN]]*7.27,0)</f>
        <v>167</v>
      </c>
      <c r="M652" s="113">
        <v>15</v>
      </c>
      <c r="N652" s="130" t="str">
        <f t="shared" si="21"/>
        <v>_self</v>
      </c>
      <c r="O652" s="113">
        <f>LEN(Tableau18[[#This Row],[LABEL]])</f>
        <v>23</v>
      </c>
      <c r="P652" s="113">
        <v>15</v>
      </c>
      <c r="Q652" s="113" t="e">
        <f>ROUND(Tableau18[[#This Row],[LEN]]*#REF!+#REF!,0)</f>
        <v>#REF!</v>
      </c>
    </row>
    <row r="653" spans="1:17" s="97" customFormat="1" x14ac:dyDescent="0.25">
      <c r="A653" s="37" t="s">
        <v>1498</v>
      </c>
      <c r="B653" s="38" t="s">
        <v>1496</v>
      </c>
      <c r="C653" s="39" t="s">
        <v>112</v>
      </c>
      <c r="D653" s="73" t="s">
        <v>1177</v>
      </c>
      <c r="E653" s="39" t="s">
        <v>667</v>
      </c>
      <c r="F653" s="39" t="s">
        <v>2006</v>
      </c>
      <c r="G653" s="73" t="s">
        <v>2096</v>
      </c>
      <c r="H653" s="73" t="s">
        <v>654</v>
      </c>
      <c r="I653" s="39"/>
      <c r="J653" s="40" t="s">
        <v>708</v>
      </c>
      <c r="K653" s="40" t="str">
        <f t="shared" si="20"/>
        <v>_</v>
      </c>
      <c r="L653" s="114">
        <f>ROUND(Tableau18[[#This Row],[LEN]]*7.27,0)</f>
        <v>167</v>
      </c>
      <c r="M653" s="114">
        <v>15</v>
      </c>
      <c r="N653" s="131" t="str">
        <f t="shared" si="21"/>
        <v>_self</v>
      </c>
      <c r="O653" s="114">
        <f>LEN(Tableau18[[#This Row],[LABEL]])</f>
        <v>23</v>
      </c>
      <c r="P653" s="114">
        <v>15</v>
      </c>
      <c r="Q653" s="114" t="e">
        <f>ROUND(Tableau18[[#This Row],[LEN]]*#REF!+#REF!,0)</f>
        <v>#REF!</v>
      </c>
    </row>
    <row r="654" spans="1:17" s="97" customFormat="1" x14ac:dyDescent="0.25">
      <c r="A654" s="37" t="s">
        <v>1499</v>
      </c>
      <c r="B654" s="38" t="s">
        <v>1496</v>
      </c>
      <c r="C654" s="39" t="s">
        <v>113</v>
      </c>
      <c r="D654" s="73" t="s">
        <v>1177</v>
      </c>
      <c r="E654" s="39" t="s">
        <v>667</v>
      </c>
      <c r="F654" s="39" t="s">
        <v>2006</v>
      </c>
      <c r="G654" s="73" t="s">
        <v>2096</v>
      </c>
      <c r="H654" s="73" t="s">
        <v>654</v>
      </c>
      <c r="I654" s="39"/>
      <c r="J654" s="40" t="s">
        <v>708</v>
      </c>
      <c r="K654" s="40" t="str">
        <f t="shared" si="20"/>
        <v>_</v>
      </c>
      <c r="L654" s="114">
        <f>ROUND(Tableau18[[#This Row],[LEN]]*7.27,0)</f>
        <v>233</v>
      </c>
      <c r="M654" s="114">
        <v>15</v>
      </c>
      <c r="N654" s="131" t="str">
        <f t="shared" si="21"/>
        <v>_self</v>
      </c>
      <c r="O654" s="114">
        <f>LEN(Tableau18[[#This Row],[LABEL]])</f>
        <v>32</v>
      </c>
      <c r="P654" s="114">
        <v>15</v>
      </c>
      <c r="Q654" s="114" t="e">
        <f>ROUND(Tableau18[[#This Row],[LEN]]*#REF!+#REF!,0)</f>
        <v>#REF!</v>
      </c>
    </row>
    <row r="655" spans="1:17" s="97" customFormat="1" x14ac:dyDescent="0.25">
      <c r="A655" s="33" t="s">
        <v>1497</v>
      </c>
      <c r="B655" s="34" t="s">
        <v>283</v>
      </c>
      <c r="C655" s="35" t="s">
        <v>1483</v>
      </c>
      <c r="D655" s="72" t="s">
        <v>1177</v>
      </c>
      <c r="E655" s="35" t="s">
        <v>661</v>
      </c>
      <c r="F655" s="35" t="s">
        <v>2083</v>
      </c>
      <c r="G655" s="72" t="s">
        <v>2096</v>
      </c>
      <c r="H655" s="72" t="s">
        <v>655</v>
      </c>
      <c r="I655" s="35"/>
      <c r="J655" s="36" t="s">
        <v>708</v>
      </c>
      <c r="K655" s="36" t="str">
        <f t="shared" si="20"/>
        <v>_</v>
      </c>
      <c r="L655" s="113">
        <f>ROUND(Tableau18[[#This Row],[LEN]]*7.27,0)</f>
        <v>240</v>
      </c>
      <c r="M655" s="113">
        <v>15</v>
      </c>
      <c r="N655" s="130" t="str">
        <f t="shared" si="21"/>
        <v>_self</v>
      </c>
      <c r="O655" s="113">
        <f>LEN(Tableau18[[#This Row],[LABEL]])</f>
        <v>33</v>
      </c>
      <c r="P655" s="113">
        <v>15</v>
      </c>
      <c r="Q655" s="113" t="e">
        <f>ROUND(Tableau18[[#This Row],[LEN]]*#REF!+#REF!,0)</f>
        <v>#REF!</v>
      </c>
    </row>
    <row r="656" spans="1:17" s="97" customFormat="1" x14ac:dyDescent="0.25">
      <c r="A656" s="37" t="s">
        <v>1500</v>
      </c>
      <c r="B656" s="38" t="s">
        <v>1497</v>
      </c>
      <c r="C656" s="39" t="s">
        <v>1458</v>
      </c>
      <c r="D656" s="73" t="s">
        <v>1177</v>
      </c>
      <c r="E656" s="39" t="s">
        <v>661</v>
      </c>
      <c r="F656" s="39" t="s">
        <v>2083</v>
      </c>
      <c r="G656" s="73" t="s">
        <v>2096</v>
      </c>
      <c r="H656" s="73" t="s">
        <v>654</v>
      </c>
      <c r="I656" s="39"/>
      <c r="J656" s="40" t="s">
        <v>708</v>
      </c>
      <c r="K656" s="40" t="str">
        <f t="shared" si="20"/>
        <v>_</v>
      </c>
      <c r="L656" s="114">
        <f>ROUND(Tableau18[[#This Row],[LEN]]*7.27,0)</f>
        <v>189</v>
      </c>
      <c r="M656" s="114">
        <v>15</v>
      </c>
      <c r="N656" s="131" t="str">
        <f t="shared" si="21"/>
        <v>_self</v>
      </c>
      <c r="O656" s="114">
        <f>LEN(Tableau18[[#This Row],[LABEL]])</f>
        <v>26</v>
      </c>
      <c r="P656" s="114">
        <v>15</v>
      </c>
      <c r="Q656" s="114" t="e">
        <f>ROUND(Tableau18[[#This Row],[LEN]]*#REF!+#REF!,0)</f>
        <v>#REF!</v>
      </c>
    </row>
    <row r="657" spans="1:17" s="97" customFormat="1" x14ac:dyDescent="0.25">
      <c r="A657" s="37" t="s">
        <v>1501</v>
      </c>
      <c r="B657" s="38" t="s">
        <v>1497</v>
      </c>
      <c r="C657" s="39" t="s">
        <v>1459</v>
      </c>
      <c r="D657" s="73" t="s">
        <v>1177</v>
      </c>
      <c r="E657" s="39" t="s">
        <v>661</v>
      </c>
      <c r="F657" s="39" t="s">
        <v>2083</v>
      </c>
      <c r="G657" s="73" t="s">
        <v>2096</v>
      </c>
      <c r="H657" s="73" t="s">
        <v>654</v>
      </c>
      <c r="I657" s="39"/>
      <c r="J657" s="40" t="s">
        <v>708</v>
      </c>
      <c r="K657" s="40" t="str">
        <f t="shared" si="20"/>
        <v>_</v>
      </c>
      <c r="L657" s="114">
        <f>ROUND(Tableau18[[#This Row],[LEN]]*7.27,0)</f>
        <v>204</v>
      </c>
      <c r="M657" s="114">
        <v>15</v>
      </c>
      <c r="N657" s="131" t="str">
        <f t="shared" si="21"/>
        <v>_self</v>
      </c>
      <c r="O657" s="114">
        <f>LEN(Tableau18[[#This Row],[LABEL]])</f>
        <v>28</v>
      </c>
      <c r="P657" s="114">
        <v>15</v>
      </c>
      <c r="Q657" s="114" t="e">
        <f>ROUND(Tableau18[[#This Row],[LEN]]*#REF!+#REF!,0)</f>
        <v>#REF!</v>
      </c>
    </row>
    <row r="658" spans="1:17" s="273" customFormat="1" x14ac:dyDescent="0.25">
      <c r="A658" s="316" t="s">
        <v>2007</v>
      </c>
      <c r="B658" s="317" t="s">
        <v>207</v>
      </c>
      <c r="C658" s="318" t="s">
        <v>1950</v>
      </c>
      <c r="D658" s="319" t="s">
        <v>1177</v>
      </c>
      <c r="E658" s="318" t="s">
        <v>1951</v>
      </c>
      <c r="F658" s="318" t="s">
        <v>1177</v>
      </c>
      <c r="G658" s="319" t="s">
        <v>2096</v>
      </c>
      <c r="H658" s="319" t="s">
        <v>56</v>
      </c>
      <c r="I658" s="318"/>
      <c r="J658" s="320" t="s">
        <v>708</v>
      </c>
      <c r="K658" s="320" t="str">
        <f t="shared" si="20"/>
        <v>_</v>
      </c>
      <c r="L658" s="321">
        <f>ROUND(Tableau18[[#This Row],[LEN]]*7.27,0)</f>
        <v>51</v>
      </c>
      <c r="M658" s="321">
        <v>15</v>
      </c>
      <c r="N658" s="322" t="str">
        <f t="shared" si="21"/>
        <v>_self</v>
      </c>
      <c r="O658" s="321">
        <f>LEN(Tableau18[[#This Row],[LABEL]])</f>
        <v>7</v>
      </c>
      <c r="P658" s="321">
        <v>15</v>
      </c>
      <c r="Q658" s="321" t="e">
        <f>ROUND(Tableau18[[#This Row],[LEN]]*#REF!+#REF!,0)</f>
        <v>#REF!</v>
      </c>
    </row>
    <row r="659" spans="1:17" s="97" customFormat="1" x14ac:dyDescent="0.25">
      <c r="A659" s="33" t="s">
        <v>2008</v>
      </c>
      <c r="B659" s="34" t="s">
        <v>2007</v>
      </c>
      <c r="C659" s="35" t="s">
        <v>111</v>
      </c>
      <c r="D659" s="72" t="s">
        <v>1177</v>
      </c>
      <c r="E659" s="35" t="s">
        <v>667</v>
      </c>
      <c r="F659" s="35" t="s">
        <v>2006</v>
      </c>
      <c r="G659" s="72" t="s">
        <v>2096</v>
      </c>
      <c r="H659" s="72" t="s">
        <v>655</v>
      </c>
      <c r="I659" s="35"/>
      <c r="J659" s="36" t="s">
        <v>708</v>
      </c>
      <c r="K659" s="36" t="str">
        <f t="shared" si="20"/>
        <v>_</v>
      </c>
      <c r="L659" s="113">
        <f>ROUND(Tableau18[[#This Row],[LEN]]*7.27,0)</f>
        <v>167</v>
      </c>
      <c r="M659" s="113">
        <v>15</v>
      </c>
      <c r="N659" s="130" t="str">
        <f t="shared" si="21"/>
        <v>_self</v>
      </c>
      <c r="O659" s="113">
        <f>LEN(Tableau18[[#This Row],[LABEL]])</f>
        <v>23</v>
      </c>
      <c r="P659" s="113">
        <v>15</v>
      </c>
      <c r="Q659" s="113" t="e">
        <f>ROUND(Tableau18[[#This Row],[LEN]]*#REF!+#REF!,0)</f>
        <v>#REF!</v>
      </c>
    </row>
    <row r="660" spans="1:17" s="97" customFormat="1" x14ac:dyDescent="0.25">
      <c r="A660" s="37" t="s">
        <v>2009</v>
      </c>
      <c r="B660" s="38" t="s">
        <v>2008</v>
      </c>
      <c r="C660" s="39" t="s">
        <v>2014</v>
      </c>
      <c r="D660" s="73" t="s">
        <v>2015</v>
      </c>
      <c r="E660" s="39" t="s">
        <v>667</v>
      </c>
      <c r="F660" s="39" t="s">
        <v>2006</v>
      </c>
      <c r="G660" s="73" t="s">
        <v>2096</v>
      </c>
      <c r="H660" s="73" t="s">
        <v>654</v>
      </c>
      <c r="I660" s="39"/>
      <c r="J660" s="40" t="s">
        <v>708</v>
      </c>
      <c r="K660" s="40" t="str">
        <f t="shared" si="20"/>
        <v>_</v>
      </c>
      <c r="L660" s="114">
        <f>ROUND(Tableau18[[#This Row],[LEN]]*7.27,0)</f>
        <v>124</v>
      </c>
      <c r="M660" s="114">
        <v>15</v>
      </c>
      <c r="N660" s="131" t="str">
        <f t="shared" si="21"/>
        <v>_self</v>
      </c>
      <c r="O660" s="114">
        <f>LEN(Tableau18[[#This Row],[LABEL]])</f>
        <v>17</v>
      </c>
      <c r="P660" s="114">
        <v>15</v>
      </c>
      <c r="Q660" s="114" t="e">
        <f>ROUND(Tableau18[[#This Row],[LEN]]*#REF!+#REF!,0)</f>
        <v>#REF!</v>
      </c>
    </row>
    <row r="661" spans="1:17" s="97" customFormat="1" x14ac:dyDescent="0.25">
      <c r="A661" s="37" t="s">
        <v>2010</v>
      </c>
      <c r="B661" s="38" t="s">
        <v>2008</v>
      </c>
      <c r="C661" s="39" t="s">
        <v>113</v>
      </c>
      <c r="D661" s="73" t="s">
        <v>1177</v>
      </c>
      <c r="E661" s="39" t="s">
        <v>667</v>
      </c>
      <c r="F661" s="39" t="s">
        <v>2006</v>
      </c>
      <c r="G661" s="73" t="s">
        <v>2096</v>
      </c>
      <c r="H661" s="73" t="s">
        <v>654</v>
      </c>
      <c r="I661" s="39"/>
      <c r="J661" s="40" t="s">
        <v>708</v>
      </c>
      <c r="K661" s="40" t="str">
        <f t="shared" si="20"/>
        <v>_</v>
      </c>
      <c r="L661" s="114">
        <f>ROUND(Tableau18[[#This Row],[LEN]]*7.27,0)</f>
        <v>233</v>
      </c>
      <c r="M661" s="114">
        <v>15</v>
      </c>
      <c r="N661" s="131" t="str">
        <f t="shared" si="21"/>
        <v>_self</v>
      </c>
      <c r="O661" s="114">
        <f>LEN(Tableau18[[#This Row],[LABEL]])</f>
        <v>32</v>
      </c>
      <c r="P661" s="114">
        <v>15</v>
      </c>
      <c r="Q661" s="114" t="e">
        <f>ROUND(Tableau18[[#This Row],[LEN]]*#REF!+#REF!,0)</f>
        <v>#REF!</v>
      </c>
    </row>
    <row r="662" spans="1:17" s="97" customFormat="1" ht="15.75" thickBot="1" x14ac:dyDescent="0.3">
      <c r="A662" s="184" t="s">
        <v>208</v>
      </c>
      <c r="B662" s="184" t="s">
        <v>198</v>
      </c>
      <c r="C662" s="185" t="s">
        <v>176</v>
      </c>
      <c r="D662" s="186" t="s">
        <v>473</v>
      </c>
      <c r="E662" s="185" t="s">
        <v>1177</v>
      </c>
      <c r="F662" s="186" t="s">
        <v>1177</v>
      </c>
      <c r="G662" s="185" t="s">
        <v>68</v>
      </c>
      <c r="H662" s="185" t="s">
        <v>616</v>
      </c>
      <c r="I662" s="186"/>
      <c r="J662" s="187" t="s">
        <v>708</v>
      </c>
      <c r="K662" s="187" t="str">
        <f t="shared" si="20"/>
        <v>_</v>
      </c>
      <c r="L662" s="188">
        <f>ROUND(Tableau18[[#This Row],[LEN]]*7.27,0)</f>
        <v>160</v>
      </c>
      <c r="M662" s="188">
        <v>15</v>
      </c>
      <c r="N662" s="189" t="str">
        <f t="shared" si="21"/>
        <v>_self</v>
      </c>
      <c r="O662" s="188">
        <f>LEN(Tableau18[[#This Row],[LABEL]])</f>
        <v>22</v>
      </c>
      <c r="P662" s="190">
        <v>15</v>
      </c>
      <c r="Q662" s="190" t="e">
        <f>ROUND(Tableau18[[#This Row],[LEN]]*#REF!+#REF!,0)</f>
        <v>#REF!</v>
      </c>
    </row>
    <row r="663" spans="1:17" s="273" customFormat="1" ht="15.75" thickTop="1" x14ac:dyDescent="0.25">
      <c r="A663" s="330" t="s">
        <v>285</v>
      </c>
      <c r="B663" s="331" t="s">
        <v>208</v>
      </c>
      <c r="C663" s="332" t="s">
        <v>57</v>
      </c>
      <c r="D663" s="333" t="s">
        <v>1177</v>
      </c>
      <c r="E663" s="332" t="s">
        <v>663</v>
      </c>
      <c r="F663" s="332" t="s">
        <v>1177</v>
      </c>
      <c r="G663" s="333" t="s">
        <v>68</v>
      </c>
      <c r="H663" s="333" t="str">
        <f>IFERROR(IF(SEARCH(".00.00.00.00.00",Tableau18[[#This Row],[name]],1)=7,"Division",""),"")</f>
        <v>Division</v>
      </c>
      <c r="I663" s="332"/>
      <c r="J663" s="334" t="s">
        <v>708</v>
      </c>
      <c r="K663" s="334" t="str">
        <f t="shared" si="20"/>
        <v>_</v>
      </c>
      <c r="L663" s="335">
        <f>ROUND(Tableau18[[#This Row],[LEN]]*7.27,0)</f>
        <v>102</v>
      </c>
      <c r="M663" s="335">
        <v>15</v>
      </c>
      <c r="N663" s="336" t="str">
        <f t="shared" si="21"/>
        <v>_self</v>
      </c>
      <c r="O663" s="335">
        <f>LEN(Tableau18[[#This Row],[LABEL]])</f>
        <v>14</v>
      </c>
      <c r="P663" s="335">
        <v>15</v>
      </c>
      <c r="Q663" s="335" t="e">
        <f>ROUND(Tableau18[[#This Row],[LEN]]*#REF!+#REF!,0)</f>
        <v>#REF!</v>
      </c>
    </row>
    <row r="664" spans="1:17" s="97" customFormat="1" x14ac:dyDescent="0.25">
      <c r="A664" s="41" t="s">
        <v>844</v>
      </c>
      <c r="B664" s="42" t="s">
        <v>285</v>
      </c>
      <c r="C664" s="43" t="s">
        <v>848</v>
      </c>
      <c r="D664" s="74" t="s">
        <v>1177</v>
      </c>
      <c r="E664" s="43" t="s">
        <v>663</v>
      </c>
      <c r="F664" s="43" t="s">
        <v>684</v>
      </c>
      <c r="G664" s="74" t="s">
        <v>68</v>
      </c>
      <c r="H664" s="74" t="s">
        <v>655</v>
      </c>
      <c r="I664" s="43"/>
      <c r="J664" s="44" t="s">
        <v>708</v>
      </c>
      <c r="K664" s="44" t="str">
        <f t="shared" si="20"/>
        <v>_</v>
      </c>
      <c r="L664" s="115">
        <f>ROUND(Tableau18[[#This Row],[LEN]]*7.27,0)</f>
        <v>153</v>
      </c>
      <c r="M664" s="115">
        <v>15</v>
      </c>
      <c r="N664" s="132" t="str">
        <f t="shared" si="21"/>
        <v>_self</v>
      </c>
      <c r="O664" s="115">
        <f>LEN(Tableau18[[#This Row],[LABEL]])</f>
        <v>21</v>
      </c>
      <c r="P664" s="115">
        <v>15</v>
      </c>
      <c r="Q664" s="115" t="e">
        <f>ROUND(Tableau18[[#This Row],[LEN]]*#REF!+#REF!,0)</f>
        <v>#REF!</v>
      </c>
    </row>
    <row r="665" spans="1:17" s="97" customFormat="1" x14ac:dyDescent="0.25">
      <c r="A665" s="45" t="s">
        <v>852</v>
      </c>
      <c r="B665" s="46" t="s">
        <v>844</v>
      </c>
      <c r="C665" s="47" t="s">
        <v>864</v>
      </c>
      <c r="D665" s="75" t="s">
        <v>1177</v>
      </c>
      <c r="E665" s="47" t="s">
        <v>663</v>
      </c>
      <c r="F665" s="47" t="s">
        <v>684</v>
      </c>
      <c r="G665" s="75" t="s">
        <v>68</v>
      </c>
      <c r="H665" s="75" t="s">
        <v>656</v>
      </c>
      <c r="I665" s="47"/>
      <c r="J665" s="48" t="s">
        <v>708</v>
      </c>
      <c r="K665" s="48" t="str">
        <f t="shared" si="20"/>
        <v>_</v>
      </c>
      <c r="L665" s="116">
        <f>ROUND(Tableau18[[#This Row],[LEN]]*7.27,0)</f>
        <v>102</v>
      </c>
      <c r="M665" s="116">
        <v>15</v>
      </c>
      <c r="N665" s="133" t="str">
        <f t="shared" si="21"/>
        <v>_self</v>
      </c>
      <c r="O665" s="116">
        <f>LEN(Tableau18[[#This Row],[LABEL]])</f>
        <v>14</v>
      </c>
      <c r="P665" s="116">
        <v>15</v>
      </c>
      <c r="Q665" s="116" t="e">
        <f>ROUND(Tableau18[[#This Row],[LEN]]*#REF!+#REF!,0)</f>
        <v>#REF!</v>
      </c>
    </row>
    <row r="666" spans="1:17" s="97" customFormat="1" x14ac:dyDescent="0.25">
      <c r="A666" s="45" t="s">
        <v>853</v>
      </c>
      <c r="B666" s="46" t="s">
        <v>844</v>
      </c>
      <c r="C666" s="47" t="s">
        <v>865</v>
      </c>
      <c r="D666" s="75" t="s">
        <v>1177</v>
      </c>
      <c r="E666" s="47" t="s">
        <v>663</v>
      </c>
      <c r="F666" s="47" t="s">
        <v>684</v>
      </c>
      <c r="G666" s="75" t="s">
        <v>68</v>
      </c>
      <c r="H666" s="75" t="s">
        <v>656</v>
      </c>
      <c r="I666" s="47"/>
      <c r="J666" s="48" t="s">
        <v>708</v>
      </c>
      <c r="K666" s="48" t="str">
        <f t="shared" si="20"/>
        <v>_</v>
      </c>
      <c r="L666" s="116">
        <f>ROUND(Tableau18[[#This Row],[LEN]]*7.27,0)</f>
        <v>211</v>
      </c>
      <c r="M666" s="116">
        <v>15</v>
      </c>
      <c r="N666" s="133" t="str">
        <f t="shared" si="21"/>
        <v>_self</v>
      </c>
      <c r="O666" s="116">
        <f>LEN(Tableau18[[#This Row],[LABEL]])</f>
        <v>29</v>
      </c>
      <c r="P666" s="116">
        <v>15</v>
      </c>
      <c r="Q666" s="116" t="e">
        <f>ROUND(Tableau18[[#This Row],[LEN]]*#REF!+#REF!,0)</f>
        <v>#REF!</v>
      </c>
    </row>
    <row r="667" spans="1:17" s="97" customFormat="1" x14ac:dyDescent="0.25">
      <c r="A667" s="41" t="s">
        <v>845</v>
      </c>
      <c r="B667" s="42" t="s">
        <v>285</v>
      </c>
      <c r="C667" s="43" t="s">
        <v>849</v>
      </c>
      <c r="D667" s="74" t="s">
        <v>1177</v>
      </c>
      <c r="E667" s="43" t="s">
        <v>667</v>
      </c>
      <c r="F667" s="43" t="s">
        <v>840</v>
      </c>
      <c r="G667" s="74" t="s">
        <v>68</v>
      </c>
      <c r="H667" s="74" t="s">
        <v>655</v>
      </c>
      <c r="I667" s="43"/>
      <c r="J667" s="44" t="s">
        <v>708</v>
      </c>
      <c r="K667" s="44" t="str">
        <f t="shared" si="20"/>
        <v>_</v>
      </c>
      <c r="L667" s="115">
        <f>ROUND(Tableau18[[#This Row],[LEN]]*7.27,0)</f>
        <v>80</v>
      </c>
      <c r="M667" s="115">
        <v>15</v>
      </c>
      <c r="N667" s="132" t="str">
        <f t="shared" si="21"/>
        <v>_self</v>
      </c>
      <c r="O667" s="115">
        <f>LEN(Tableau18[[#This Row],[LABEL]])</f>
        <v>11</v>
      </c>
      <c r="P667" s="115">
        <v>15</v>
      </c>
      <c r="Q667" s="115" t="e">
        <f>ROUND(Tableau18[[#This Row],[LEN]]*#REF!+#REF!,0)</f>
        <v>#REF!</v>
      </c>
    </row>
    <row r="668" spans="1:17" s="97" customFormat="1" x14ac:dyDescent="0.25">
      <c r="A668" s="45" t="s">
        <v>854</v>
      </c>
      <c r="B668" s="46" t="s">
        <v>845</v>
      </c>
      <c r="C668" s="47" t="s">
        <v>112</v>
      </c>
      <c r="D668" s="75" t="s">
        <v>1177</v>
      </c>
      <c r="E668" s="47" t="s">
        <v>667</v>
      </c>
      <c r="F668" s="47" t="s">
        <v>2006</v>
      </c>
      <c r="G668" s="75" t="s">
        <v>68</v>
      </c>
      <c r="H668" s="75" t="s">
        <v>654</v>
      </c>
      <c r="I668" s="47"/>
      <c r="J668" s="48" t="s">
        <v>708</v>
      </c>
      <c r="K668" s="48" t="str">
        <f t="shared" si="20"/>
        <v>_</v>
      </c>
      <c r="L668" s="116">
        <f>ROUND(Tableau18[[#This Row],[LEN]]*7.27,0)</f>
        <v>167</v>
      </c>
      <c r="M668" s="116">
        <v>15</v>
      </c>
      <c r="N668" s="133" t="str">
        <f t="shared" si="21"/>
        <v>_self</v>
      </c>
      <c r="O668" s="116">
        <f>LEN(Tableau18[[#This Row],[LABEL]])</f>
        <v>23</v>
      </c>
      <c r="P668" s="116">
        <v>15</v>
      </c>
      <c r="Q668" s="116" t="e">
        <f>ROUND(Tableau18[[#This Row],[LEN]]*#REF!+#REF!,0)</f>
        <v>#REF!</v>
      </c>
    </row>
    <row r="669" spans="1:17" s="97" customFormat="1" x14ac:dyDescent="0.25">
      <c r="A669" s="45" t="s">
        <v>855</v>
      </c>
      <c r="B669" s="46" t="s">
        <v>845</v>
      </c>
      <c r="C669" s="47" t="s">
        <v>113</v>
      </c>
      <c r="D669" s="75" t="s">
        <v>1177</v>
      </c>
      <c r="E669" s="47" t="s">
        <v>667</v>
      </c>
      <c r="F669" s="47" t="s">
        <v>2006</v>
      </c>
      <c r="G669" s="75" t="s">
        <v>68</v>
      </c>
      <c r="H669" s="75" t="s">
        <v>654</v>
      </c>
      <c r="I669" s="47"/>
      <c r="J669" s="48" t="s">
        <v>708</v>
      </c>
      <c r="K669" s="48" t="str">
        <f t="shared" si="20"/>
        <v>_</v>
      </c>
      <c r="L669" s="116">
        <f>ROUND(Tableau18[[#This Row],[LEN]]*7.27,0)</f>
        <v>233</v>
      </c>
      <c r="M669" s="116">
        <v>15</v>
      </c>
      <c r="N669" s="133" t="str">
        <f t="shared" si="21"/>
        <v>_self</v>
      </c>
      <c r="O669" s="116">
        <f>LEN(Tableau18[[#This Row],[LABEL]])</f>
        <v>32</v>
      </c>
      <c r="P669" s="116">
        <v>15</v>
      </c>
      <c r="Q669" s="116" t="e">
        <f>ROUND(Tableau18[[#This Row],[LEN]]*#REF!+#REF!,0)</f>
        <v>#REF!</v>
      </c>
    </row>
    <row r="670" spans="1:17" s="97" customFormat="1" x14ac:dyDescent="0.25">
      <c r="A670" s="41" t="s">
        <v>846</v>
      </c>
      <c r="B670" s="42" t="s">
        <v>285</v>
      </c>
      <c r="C670" s="43" t="s">
        <v>850</v>
      </c>
      <c r="D670" s="74" t="s">
        <v>1177</v>
      </c>
      <c r="E670" s="43" t="s">
        <v>663</v>
      </c>
      <c r="F670" s="43" t="s">
        <v>1177</v>
      </c>
      <c r="G670" s="74" t="s">
        <v>68</v>
      </c>
      <c r="H670" s="74" t="s">
        <v>655</v>
      </c>
      <c r="I670" s="43"/>
      <c r="J670" s="44" t="s">
        <v>708</v>
      </c>
      <c r="K670" s="44" t="str">
        <f t="shared" si="20"/>
        <v>_</v>
      </c>
      <c r="L670" s="115">
        <f>ROUND(Tableau18[[#This Row],[LEN]]*7.27,0)</f>
        <v>109</v>
      </c>
      <c r="M670" s="115">
        <v>15</v>
      </c>
      <c r="N670" s="132" t="str">
        <f t="shared" si="21"/>
        <v>_self</v>
      </c>
      <c r="O670" s="115">
        <f>LEN(Tableau18[[#This Row],[LABEL]])</f>
        <v>15</v>
      </c>
      <c r="P670" s="115">
        <v>15</v>
      </c>
      <c r="Q670" s="115" t="e">
        <f>ROUND(Tableau18[[#This Row],[LEN]]*#REF!+#REF!,0)</f>
        <v>#REF!</v>
      </c>
    </row>
    <row r="671" spans="1:17" s="97" customFormat="1" x14ac:dyDescent="0.25">
      <c r="A671" s="45" t="s">
        <v>856</v>
      </c>
      <c r="B671" s="46" t="s">
        <v>846</v>
      </c>
      <c r="C671" s="47" t="s">
        <v>866</v>
      </c>
      <c r="D671" s="75" t="s">
        <v>1177</v>
      </c>
      <c r="E671" s="47" t="s">
        <v>663</v>
      </c>
      <c r="F671" s="47" t="s">
        <v>1177</v>
      </c>
      <c r="G671" s="75" t="s">
        <v>68</v>
      </c>
      <c r="H671" s="75" t="s">
        <v>18</v>
      </c>
      <c r="I671" s="47"/>
      <c r="J671" s="48" t="s">
        <v>708</v>
      </c>
      <c r="K671" s="48" t="str">
        <f t="shared" si="20"/>
        <v>_</v>
      </c>
      <c r="L671" s="116">
        <f>ROUND(Tableau18[[#This Row],[LEN]]*7.27,0)</f>
        <v>145</v>
      </c>
      <c r="M671" s="116">
        <v>15</v>
      </c>
      <c r="N671" s="133" t="str">
        <f t="shared" si="21"/>
        <v>_self</v>
      </c>
      <c r="O671" s="116">
        <f>LEN(Tableau18[[#This Row],[LABEL]])</f>
        <v>20</v>
      </c>
      <c r="P671" s="116">
        <v>15</v>
      </c>
      <c r="Q671" s="116" t="e">
        <f>ROUND(Tableau18[[#This Row],[LEN]]*#REF!+#REF!,0)</f>
        <v>#REF!</v>
      </c>
    </row>
    <row r="672" spans="1:17" s="97" customFormat="1" x14ac:dyDescent="0.25">
      <c r="A672" s="45" t="s">
        <v>857</v>
      </c>
      <c r="B672" s="46" t="s">
        <v>846</v>
      </c>
      <c r="C672" s="47" t="s">
        <v>867</v>
      </c>
      <c r="D672" s="75" t="s">
        <v>1177</v>
      </c>
      <c r="E672" s="47" t="s">
        <v>663</v>
      </c>
      <c r="F672" s="47" t="s">
        <v>1177</v>
      </c>
      <c r="G672" s="75" t="s">
        <v>68</v>
      </c>
      <c r="H672" s="75" t="s">
        <v>18</v>
      </c>
      <c r="I672" s="47"/>
      <c r="J672" s="48" t="s">
        <v>708</v>
      </c>
      <c r="K672" s="48" t="str">
        <f t="shared" si="20"/>
        <v>_</v>
      </c>
      <c r="L672" s="116">
        <f>ROUND(Tableau18[[#This Row],[LEN]]*7.27,0)</f>
        <v>153</v>
      </c>
      <c r="M672" s="116">
        <v>15</v>
      </c>
      <c r="N672" s="133" t="str">
        <f t="shared" si="21"/>
        <v>_self</v>
      </c>
      <c r="O672" s="116">
        <f>LEN(Tableau18[[#This Row],[LABEL]])</f>
        <v>21</v>
      </c>
      <c r="P672" s="116">
        <v>15</v>
      </c>
      <c r="Q672" s="116" t="e">
        <f>ROUND(Tableau18[[#This Row],[LEN]]*#REF!+#REF!,0)</f>
        <v>#REF!</v>
      </c>
    </row>
    <row r="673" spans="1:17" s="97" customFormat="1" x14ac:dyDescent="0.25">
      <c r="A673" s="45" t="s">
        <v>858</v>
      </c>
      <c r="B673" s="46" t="s">
        <v>846</v>
      </c>
      <c r="C673" s="47" t="s">
        <v>868</v>
      </c>
      <c r="D673" s="75" t="s">
        <v>1177</v>
      </c>
      <c r="E673" s="47" t="s">
        <v>663</v>
      </c>
      <c r="F673" s="47" t="s">
        <v>1177</v>
      </c>
      <c r="G673" s="75" t="s">
        <v>68</v>
      </c>
      <c r="H673" s="75" t="s">
        <v>18</v>
      </c>
      <c r="I673" s="47"/>
      <c r="J673" s="48" t="s">
        <v>708</v>
      </c>
      <c r="K673" s="48" t="str">
        <f t="shared" si="20"/>
        <v>_</v>
      </c>
      <c r="L673" s="116">
        <f>ROUND(Tableau18[[#This Row],[LEN]]*7.27,0)</f>
        <v>87</v>
      </c>
      <c r="M673" s="116">
        <v>15</v>
      </c>
      <c r="N673" s="133" t="str">
        <f t="shared" si="21"/>
        <v>_self</v>
      </c>
      <c r="O673" s="116">
        <f>LEN(Tableau18[[#This Row],[LABEL]])</f>
        <v>12</v>
      </c>
      <c r="P673" s="116">
        <v>15</v>
      </c>
      <c r="Q673" s="116" t="e">
        <f>ROUND(Tableau18[[#This Row],[LEN]]*#REF!+#REF!,0)</f>
        <v>#REF!</v>
      </c>
    </row>
    <row r="674" spans="1:17" s="97" customFormat="1" x14ac:dyDescent="0.25">
      <c r="A674" s="45" t="s">
        <v>859</v>
      </c>
      <c r="B674" s="46" t="s">
        <v>846</v>
      </c>
      <c r="C674" s="47" t="s">
        <v>869</v>
      </c>
      <c r="D674" s="75" t="s">
        <v>1177</v>
      </c>
      <c r="E674" s="47" t="s">
        <v>663</v>
      </c>
      <c r="F674" s="47" t="s">
        <v>1177</v>
      </c>
      <c r="G674" s="75" t="s">
        <v>68</v>
      </c>
      <c r="H674" s="75" t="s">
        <v>18</v>
      </c>
      <c r="I674" s="47"/>
      <c r="J674" s="48" t="s">
        <v>708</v>
      </c>
      <c r="K674" s="48" t="str">
        <f t="shared" si="20"/>
        <v>_</v>
      </c>
      <c r="L674" s="116">
        <f>ROUND(Tableau18[[#This Row],[LEN]]*7.27,0)</f>
        <v>145</v>
      </c>
      <c r="M674" s="116">
        <v>15</v>
      </c>
      <c r="N674" s="133" t="str">
        <f t="shared" si="21"/>
        <v>_self</v>
      </c>
      <c r="O674" s="116">
        <f>LEN(Tableau18[[#This Row],[LABEL]])</f>
        <v>20</v>
      </c>
      <c r="P674" s="116">
        <v>15</v>
      </c>
      <c r="Q674" s="116" t="e">
        <f>ROUND(Tableau18[[#This Row],[LEN]]*#REF!+#REF!,0)</f>
        <v>#REF!</v>
      </c>
    </row>
    <row r="675" spans="1:17" s="97" customFormat="1" x14ac:dyDescent="0.25">
      <c r="A675" s="41" t="s">
        <v>847</v>
      </c>
      <c r="B675" s="42" t="s">
        <v>285</v>
      </c>
      <c r="C675" s="43" t="s">
        <v>851</v>
      </c>
      <c r="D675" s="74" t="s">
        <v>1177</v>
      </c>
      <c r="E675" s="43" t="s">
        <v>663</v>
      </c>
      <c r="F675" s="43" t="s">
        <v>1177</v>
      </c>
      <c r="G675" s="74" t="s">
        <v>68</v>
      </c>
      <c r="H675" s="74" t="s">
        <v>655</v>
      </c>
      <c r="I675" s="43"/>
      <c r="J675" s="44" t="s">
        <v>708</v>
      </c>
      <c r="K675" s="44" t="str">
        <f t="shared" si="20"/>
        <v>_</v>
      </c>
      <c r="L675" s="115">
        <f>ROUND(Tableau18[[#This Row],[LEN]]*7.27,0)</f>
        <v>124</v>
      </c>
      <c r="M675" s="115">
        <v>15</v>
      </c>
      <c r="N675" s="132" t="str">
        <f t="shared" si="21"/>
        <v>_self</v>
      </c>
      <c r="O675" s="115">
        <f>LEN(Tableau18[[#This Row],[LABEL]])</f>
        <v>17</v>
      </c>
      <c r="P675" s="115">
        <v>15</v>
      </c>
      <c r="Q675" s="115" t="e">
        <f>ROUND(Tableau18[[#This Row],[LEN]]*#REF!+#REF!,0)</f>
        <v>#REF!</v>
      </c>
    </row>
    <row r="676" spans="1:17" s="97" customFormat="1" x14ac:dyDescent="0.25">
      <c r="A676" s="45" t="s">
        <v>860</v>
      </c>
      <c r="B676" s="46" t="s">
        <v>847</v>
      </c>
      <c r="C676" s="47" t="s">
        <v>870</v>
      </c>
      <c r="D676" s="75" t="s">
        <v>1177</v>
      </c>
      <c r="E676" s="47" t="s">
        <v>663</v>
      </c>
      <c r="F676" s="47" t="s">
        <v>1177</v>
      </c>
      <c r="G676" s="75" t="s">
        <v>68</v>
      </c>
      <c r="H676" s="75" t="s">
        <v>18</v>
      </c>
      <c r="I676" s="47"/>
      <c r="J676" s="48" t="s">
        <v>708</v>
      </c>
      <c r="K676" s="48" t="str">
        <f t="shared" si="20"/>
        <v>_</v>
      </c>
      <c r="L676" s="116">
        <f>ROUND(Tableau18[[#This Row],[LEN]]*7.27,0)</f>
        <v>65</v>
      </c>
      <c r="M676" s="116">
        <v>15</v>
      </c>
      <c r="N676" s="133" t="str">
        <f t="shared" si="21"/>
        <v>_self</v>
      </c>
      <c r="O676" s="116">
        <f>LEN(Tableau18[[#This Row],[LABEL]])</f>
        <v>9</v>
      </c>
      <c r="P676" s="116">
        <v>15</v>
      </c>
      <c r="Q676" s="116" t="e">
        <f>ROUND(Tableau18[[#This Row],[LEN]]*#REF!+#REF!,0)</f>
        <v>#REF!</v>
      </c>
    </row>
    <row r="677" spans="1:17" s="97" customFormat="1" x14ac:dyDescent="0.25">
      <c r="A677" s="45" t="s">
        <v>861</v>
      </c>
      <c r="B677" s="46" t="s">
        <v>847</v>
      </c>
      <c r="C677" s="47" t="s">
        <v>871</v>
      </c>
      <c r="D677" s="75" t="s">
        <v>1177</v>
      </c>
      <c r="E677" s="47" t="s">
        <v>663</v>
      </c>
      <c r="F677" s="47" t="s">
        <v>1177</v>
      </c>
      <c r="G677" s="75" t="s">
        <v>68</v>
      </c>
      <c r="H677" s="75" t="s">
        <v>18</v>
      </c>
      <c r="I677" s="47"/>
      <c r="J677" s="48" t="s">
        <v>708</v>
      </c>
      <c r="K677" s="48" t="str">
        <f t="shared" si="20"/>
        <v>_</v>
      </c>
      <c r="L677" s="116">
        <f>ROUND(Tableau18[[#This Row],[LEN]]*7.27,0)</f>
        <v>116</v>
      </c>
      <c r="M677" s="116">
        <v>15</v>
      </c>
      <c r="N677" s="133" t="str">
        <f t="shared" si="21"/>
        <v>_self</v>
      </c>
      <c r="O677" s="116">
        <f>LEN(Tableau18[[#This Row],[LABEL]])</f>
        <v>16</v>
      </c>
      <c r="P677" s="116">
        <v>15</v>
      </c>
      <c r="Q677" s="116" t="e">
        <f>ROUND(Tableau18[[#This Row],[LEN]]*#REF!+#REF!,0)</f>
        <v>#REF!</v>
      </c>
    </row>
    <row r="678" spans="1:17" s="97" customFormat="1" x14ac:dyDescent="0.25">
      <c r="A678" s="45" t="s">
        <v>862</v>
      </c>
      <c r="B678" s="46" t="s">
        <v>847</v>
      </c>
      <c r="C678" s="47" t="s">
        <v>872</v>
      </c>
      <c r="D678" s="75" t="s">
        <v>1177</v>
      </c>
      <c r="E678" s="47" t="s">
        <v>663</v>
      </c>
      <c r="F678" s="47" t="s">
        <v>1177</v>
      </c>
      <c r="G678" s="75" t="s">
        <v>68</v>
      </c>
      <c r="H678" s="75" t="s">
        <v>18</v>
      </c>
      <c r="I678" s="47"/>
      <c r="J678" s="48" t="s">
        <v>708</v>
      </c>
      <c r="K678" s="48" t="str">
        <f t="shared" si="20"/>
        <v>_</v>
      </c>
      <c r="L678" s="116">
        <f>ROUND(Tableau18[[#This Row],[LEN]]*7.27,0)</f>
        <v>145</v>
      </c>
      <c r="M678" s="116">
        <v>15</v>
      </c>
      <c r="N678" s="133" t="str">
        <f t="shared" si="21"/>
        <v>_self</v>
      </c>
      <c r="O678" s="116">
        <f>LEN(Tableau18[[#This Row],[LABEL]])</f>
        <v>20</v>
      </c>
      <c r="P678" s="116">
        <v>15</v>
      </c>
      <c r="Q678" s="116" t="e">
        <f>ROUND(Tableau18[[#This Row],[LEN]]*#REF!+#REF!,0)</f>
        <v>#REF!</v>
      </c>
    </row>
    <row r="679" spans="1:17" s="97" customFormat="1" x14ac:dyDescent="0.25">
      <c r="A679" s="45" t="s">
        <v>863</v>
      </c>
      <c r="B679" s="46" t="s">
        <v>847</v>
      </c>
      <c r="C679" s="47" t="s">
        <v>873</v>
      </c>
      <c r="D679" s="75" t="s">
        <v>1177</v>
      </c>
      <c r="E679" s="47" t="s">
        <v>663</v>
      </c>
      <c r="F679" s="47" t="s">
        <v>1177</v>
      </c>
      <c r="G679" s="75" t="s">
        <v>68</v>
      </c>
      <c r="H679" s="75" t="s">
        <v>18</v>
      </c>
      <c r="I679" s="47"/>
      <c r="J679" s="48" t="s">
        <v>708</v>
      </c>
      <c r="K679" s="48" t="str">
        <f t="shared" si="20"/>
        <v>_</v>
      </c>
      <c r="L679" s="116">
        <f>ROUND(Tableau18[[#This Row],[LEN]]*7.27,0)</f>
        <v>116</v>
      </c>
      <c r="M679" s="116">
        <v>15</v>
      </c>
      <c r="N679" s="133" t="str">
        <f t="shared" si="21"/>
        <v>_self</v>
      </c>
      <c r="O679" s="116">
        <f>LEN(Tableau18[[#This Row],[LABEL]])</f>
        <v>16</v>
      </c>
      <c r="P679" s="116">
        <v>15</v>
      </c>
      <c r="Q679" s="116" t="e">
        <f>ROUND(Tableau18[[#This Row],[LEN]]*#REF!+#REF!,0)</f>
        <v>#REF!</v>
      </c>
    </row>
    <row r="680" spans="1:17" s="273" customFormat="1" x14ac:dyDescent="0.25">
      <c r="A680" s="330" t="s">
        <v>286</v>
      </c>
      <c r="B680" s="331" t="s">
        <v>208</v>
      </c>
      <c r="C680" s="332" t="s">
        <v>2</v>
      </c>
      <c r="D680" s="333" t="s">
        <v>1177</v>
      </c>
      <c r="E680" s="332" t="s">
        <v>662</v>
      </c>
      <c r="F680" s="332" t="s">
        <v>1177</v>
      </c>
      <c r="G680" s="333" t="s">
        <v>68</v>
      </c>
      <c r="H680" s="333" t="str">
        <f>IFERROR(IF(SEARCH(".00.00.00.00.00",Tableau18[[#This Row],[name]],1)=7,"Division",""),"")</f>
        <v>Division</v>
      </c>
      <c r="I680" s="332"/>
      <c r="J680" s="334" t="s">
        <v>708</v>
      </c>
      <c r="K680" s="334" t="str">
        <f t="shared" si="20"/>
        <v>_</v>
      </c>
      <c r="L680" s="335">
        <f>ROUND(Tableau18[[#This Row],[LEN]]*7.27,0)</f>
        <v>65</v>
      </c>
      <c r="M680" s="335">
        <v>15</v>
      </c>
      <c r="N680" s="336" t="str">
        <f t="shared" si="21"/>
        <v>_self</v>
      </c>
      <c r="O680" s="335">
        <f>LEN(Tableau18[[#This Row],[LABEL]])</f>
        <v>9</v>
      </c>
      <c r="P680" s="335">
        <v>15</v>
      </c>
      <c r="Q680" s="335" t="e">
        <f>ROUND(Tableau18[[#This Row],[LEN]]*#REF!+#REF!,0)</f>
        <v>#REF!</v>
      </c>
    </row>
    <row r="681" spans="1:17" s="97" customFormat="1" x14ac:dyDescent="0.25">
      <c r="A681" s="41" t="s">
        <v>737</v>
      </c>
      <c r="B681" s="42" t="s">
        <v>286</v>
      </c>
      <c r="C681" s="43" t="s">
        <v>738</v>
      </c>
      <c r="D681" s="74" t="s">
        <v>1177</v>
      </c>
      <c r="E681" s="43" t="s">
        <v>662</v>
      </c>
      <c r="F681" s="43" t="s">
        <v>667</v>
      </c>
      <c r="G681" s="74" t="s">
        <v>68</v>
      </c>
      <c r="H681" s="74" t="s">
        <v>56</v>
      </c>
      <c r="I681" s="43"/>
      <c r="J681" s="44" t="s">
        <v>708</v>
      </c>
      <c r="K681" s="44" t="str">
        <f t="shared" si="20"/>
        <v>_</v>
      </c>
      <c r="L681" s="115">
        <f>ROUND(Tableau18[[#This Row],[LEN]]*7.27,0)</f>
        <v>247</v>
      </c>
      <c r="M681" s="115">
        <v>15</v>
      </c>
      <c r="N681" s="132" t="str">
        <f t="shared" si="21"/>
        <v>_self</v>
      </c>
      <c r="O681" s="115">
        <f>LEN(Tableau18[[#This Row],[LABEL]])</f>
        <v>34</v>
      </c>
      <c r="P681" s="115">
        <v>15</v>
      </c>
      <c r="Q681" s="115" t="e">
        <f>ROUND(Tableau18[[#This Row],[LEN]]*#REF!+#REF!,0)</f>
        <v>#REF!</v>
      </c>
    </row>
    <row r="682" spans="1:17" s="273" customFormat="1" x14ac:dyDescent="0.25">
      <c r="A682" s="330" t="s">
        <v>287</v>
      </c>
      <c r="B682" s="331" t="s">
        <v>208</v>
      </c>
      <c r="C682" s="332" t="s">
        <v>3</v>
      </c>
      <c r="D682" s="333" t="s">
        <v>1177</v>
      </c>
      <c r="E682" s="332" t="s">
        <v>661</v>
      </c>
      <c r="F682" s="332" t="s">
        <v>1177</v>
      </c>
      <c r="G682" s="333" t="s">
        <v>68</v>
      </c>
      <c r="H682" s="333" t="str">
        <f>IFERROR(IF(SEARCH(".00.00.00.00.00",Tableau18[[#This Row],[name]],1)=7,"Division",""),"")</f>
        <v>Division</v>
      </c>
      <c r="I682" s="332"/>
      <c r="J682" s="334" t="s">
        <v>708</v>
      </c>
      <c r="K682" s="334" t="str">
        <f t="shared" si="20"/>
        <v>_</v>
      </c>
      <c r="L682" s="335">
        <f>ROUND(Tableau18[[#This Row],[LEN]]*7.27,0)</f>
        <v>73</v>
      </c>
      <c r="M682" s="335">
        <v>15</v>
      </c>
      <c r="N682" s="336" t="str">
        <f t="shared" si="21"/>
        <v>_self</v>
      </c>
      <c r="O682" s="335">
        <f>LEN(Tableau18[[#This Row],[LABEL]])</f>
        <v>10</v>
      </c>
      <c r="P682" s="335">
        <v>15</v>
      </c>
      <c r="Q682" s="335" t="e">
        <f>ROUND(Tableau18[[#This Row],[LEN]]*#REF!+#REF!,0)</f>
        <v>#REF!</v>
      </c>
    </row>
    <row r="683" spans="1:17" s="97" customFormat="1" x14ac:dyDescent="0.25">
      <c r="A683" s="41" t="s">
        <v>443</v>
      </c>
      <c r="B683" s="42" t="s">
        <v>287</v>
      </c>
      <c r="C683" s="43" t="s">
        <v>75</v>
      </c>
      <c r="D683" s="74" t="s">
        <v>1177</v>
      </c>
      <c r="E683" s="43" t="s">
        <v>661</v>
      </c>
      <c r="F683" s="43" t="s">
        <v>666</v>
      </c>
      <c r="G683" s="74" t="s">
        <v>68</v>
      </c>
      <c r="H683" s="74" t="s">
        <v>655</v>
      </c>
      <c r="I683" s="43"/>
      <c r="J683" s="44" t="s">
        <v>708</v>
      </c>
      <c r="K683" s="44" t="str">
        <f t="shared" si="20"/>
        <v>_</v>
      </c>
      <c r="L683" s="115">
        <f>ROUND(Tableau18[[#This Row],[LEN]]*7.27,0)</f>
        <v>262</v>
      </c>
      <c r="M683" s="115">
        <v>15</v>
      </c>
      <c r="N683" s="132" t="str">
        <f t="shared" si="21"/>
        <v>_self</v>
      </c>
      <c r="O683" s="115">
        <f>LEN(Tableau18[[#This Row],[LABEL]])</f>
        <v>36</v>
      </c>
      <c r="P683" s="115">
        <v>15</v>
      </c>
      <c r="Q683" s="115" t="e">
        <f>ROUND(Tableau18[[#This Row],[LEN]]*#REF!+#REF!,0)</f>
        <v>#REF!</v>
      </c>
    </row>
    <row r="684" spans="1:17" s="97" customFormat="1" x14ac:dyDescent="0.25">
      <c r="A684" s="45" t="s">
        <v>453</v>
      </c>
      <c r="B684" s="46" t="s">
        <v>443</v>
      </c>
      <c r="C684" s="47" t="s">
        <v>115</v>
      </c>
      <c r="D684" s="75" t="s">
        <v>1177</v>
      </c>
      <c r="E684" s="47" t="s">
        <v>661</v>
      </c>
      <c r="F684" s="47" t="s">
        <v>666</v>
      </c>
      <c r="G684" s="75" t="s">
        <v>68</v>
      </c>
      <c r="H684" s="75" t="s">
        <v>656</v>
      </c>
      <c r="I684" s="47"/>
      <c r="J684" s="48" t="s">
        <v>708</v>
      </c>
      <c r="K684" s="48" t="str">
        <f t="shared" si="20"/>
        <v>_</v>
      </c>
      <c r="L684" s="116">
        <f>ROUND(Tableau18[[#This Row],[LEN]]*7.27,0)</f>
        <v>291</v>
      </c>
      <c r="M684" s="116">
        <v>15</v>
      </c>
      <c r="N684" s="133" t="str">
        <f t="shared" si="21"/>
        <v>_self</v>
      </c>
      <c r="O684" s="116">
        <f>LEN(Tableau18[[#This Row],[LABEL]])</f>
        <v>40</v>
      </c>
      <c r="P684" s="116">
        <v>15</v>
      </c>
      <c r="Q684" s="116" t="e">
        <f>ROUND(Tableau18[[#This Row],[LEN]]*#REF!+#REF!,0)</f>
        <v>#REF!</v>
      </c>
    </row>
    <row r="685" spans="1:17" s="97" customFormat="1" x14ac:dyDescent="0.25">
      <c r="A685" s="45" t="s">
        <v>454</v>
      </c>
      <c r="B685" s="46" t="s">
        <v>443</v>
      </c>
      <c r="C685" s="47" t="s">
        <v>116</v>
      </c>
      <c r="D685" s="75" t="s">
        <v>1177</v>
      </c>
      <c r="E685" s="47" t="s">
        <v>661</v>
      </c>
      <c r="F685" s="47" t="s">
        <v>666</v>
      </c>
      <c r="G685" s="75" t="s">
        <v>68</v>
      </c>
      <c r="H685" s="75" t="s">
        <v>656</v>
      </c>
      <c r="I685" s="47"/>
      <c r="J685" s="48" t="s">
        <v>708</v>
      </c>
      <c r="K685" s="48" t="str">
        <f t="shared" si="20"/>
        <v>_</v>
      </c>
      <c r="L685" s="116">
        <f>ROUND(Tableau18[[#This Row],[LEN]]*7.27,0)</f>
        <v>313</v>
      </c>
      <c r="M685" s="116">
        <v>15</v>
      </c>
      <c r="N685" s="133" t="str">
        <f t="shared" si="21"/>
        <v>_self</v>
      </c>
      <c r="O685" s="116">
        <f>LEN(Tableau18[[#This Row],[LABEL]])</f>
        <v>43</v>
      </c>
      <c r="P685" s="116">
        <v>15</v>
      </c>
      <c r="Q685" s="116" t="e">
        <f>ROUND(Tableau18[[#This Row],[LEN]]*#REF!+#REF!,0)</f>
        <v>#REF!</v>
      </c>
    </row>
    <row r="686" spans="1:17" s="97" customFormat="1" x14ac:dyDescent="0.25">
      <c r="A686" s="45" t="s">
        <v>455</v>
      </c>
      <c r="B686" s="46" t="s">
        <v>443</v>
      </c>
      <c r="C686" s="47" t="s">
        <v>117</v>
      </c>
      <c r="D686" s="75" t="s">
        <v>1177</v>
      </c>
      <c r="E686" s="47" t="s">
        <v>661</v>
      </c>
      <c r="F686" s="47" t="s">
        <v>666</v>
      </c>
      <c r="G686" s="75" t="s">
        <v>68</v>
      </c>
      <c r="H686" s="75" t="s">
        <v>656</v>
      </c>
      <c r="I686" s="47"/>
      <c r="J686" s="48" t="s">
        <v>708</v>
      </c>
      <c r="K686" s="48" t="str">
        <f t="shared" si="20"/>
        <v>_</v>
      </c>
      <c r="L686" s="116">
        <f>ROUND(Tableau18[[#This Row],[LEN]]*7.27,0)</f>
        <v>225</v>
      </c>
      <c r="M686" s="116">
        <v>15</v>
      </c>
      <c r="N686" s="133" t="str">
        <f t="shared" si="21"/>
        <v>_self</v>
      </c>
      <c r="O686" s="116">
        <f>LEN(Tableau18[[#This Row],[LABEL]])</f>
        <v>31</v>
      </c>
      <c r="P686" s="116">
        <v>15</v>
      </c>
      <c r="Q686" s="116" t="e">
        <f>ROUND(Tableau18[[#This Row],[LEN]]*#REF!+#REF!,0)</f>
        <v>#REF!</v>
      </c>
    </row>
    <row r="687" spans="1:17" s="97" customFormat="1" x14ac:dyDescent="0.25">
      <c r="A687" s="41" t="s">
        <v>444</v>
      </c>
      <c r="B687" s="42" t="s">
        <v>287</v>
      </c>
      <c r="C687" s="43" t="s">
        <v>512</v>
      </c>
      <c r="D687" s="74" t="s">
        <v>1177</v>
      </c>
      <c r="E687" s="43" t="s">
        <v>667</v>
      </c>
      <c r="F687" s="43" t="s">
        <v>661</v>
      </c>
      <c r="G687" s="74" t="s">
        <v>68</v>
      </c>
      <c r="H687" s="74" t="s">
        <v>655</v>
      </c>
      <c r="I687" s="43"/>
      <c r="J687" s="44" t="s">
        <v>708</v>
      </c>
      <c r="K687" s="44" t="str">
        <f t="shared" si="20"/>
        <v>_</v>
      </c>
      <c r="L687" s="115">
        <f>ROUND(Tableau18[[#This Row],[LEN]]*7.27,0)</f>
        <v>80</v>
      </c>
      <c r="M687" s="115">
        <v>15</v>
      </c>
      <c r="N687" s="132" t="str">
        <f t="shared" si="21"/>
        <v>_self</v>
      </c>
      <c r="O687" s="115">
        <f>LEN(Tableau18[[#This Row],[LABEL]])</f>
        <v>11</v>
      </c>
      <c r="P687" s="115">
        <v>15</v>
      </c>
      <c r="Q687" s="115" t="e">
        <f>ROUND(Tableau18[[#This Row],[LEN]]*#REF!+#REF!,0)</f>
        <v>#REF!</v>
      </c>
    </row>
    <row r="688" spans="1:17" s="97" customFormat="1" x14ac:dyDescent="0.25">
      <c r="A688" s="45" t="s">
        <v>456</v>
      </c>
      <c r="B688" s="46" t="s">
        <v>444</v>
      </c>
      <c r="C688" s="47" t="s">
        <v>112</v>
      </c>
      <c r="D688" s="75" t="s">
        <v>1177</v>
      </c>
      <c r="E688" s="47" t="s">
        <v>667</v>
      </c>
      <c r="F688" s="47" t="s">
        <v>2006</v>
      </c>
      <c r="G688" s="75" t="s">
        <v>68</v>
      </c>
      <c r="H688" s="75" t="s">
        <v>654</v>
      </c>
      <c r="I688" s="47"/>
      <c r="J688" s="48" t="s">
        <v>708</v>
      </c>
      <c r="K688" s="48" t="str">
        <f t="shared" si="20"/>
        <v>_</v>
      </c>
      <c r="L688" s="116">
        <f>ROUND(Tableau18[[#This Row],[LEN]]*7.27,0)</f>
        <v>167</v>
      </c>
      <c r="M688" s="116">
        <v>15</v>
      </c>
      <c r="N688" s="133" t="str">
        <f t="shared" si="21"/>
        <v>_self</v>
      </c>
      <c r="O688" s="116">
        <f>LEN(Tableau18[[#This Row],[LABEL]])</f>
        <v>23</v>
      </c>
      <c r="P688" s="116">
        <v>15</v>
      </c>
      <c r="Q688" s="116" t="e">
        <f>ROUND(Tableau18[[#This Row],[LEN]]*#REF!+#REF!,0)</f>
        <v>#REF!</v>
      </c>
    </row>
    <row r="689" spans="1:17" s="97" customFormat="1" x14ac:dyDescent="0.25">
      <c r="A689" s="45" t="s">
        <v>457</v>
      </c>
      <c r="B689" s="46" t="s">
        <v>444</v>
      </c>
      <c r="C689" s="47" t="s">
        <v>113</v>
      </c>
      <c r="D689" s="75" t="s">
        <v>1177</v>
      </c>
      <c r="E689" s="47" t="s">
        <v>667</v>
      </c>
      <c r="F689" s="47" t="s">
        <v>2006</v>
      </c>
      <c r="G689" s="75" t="s">
        <v>68</v>
      </c>
      <c r="H689" s="75" t="s">
        <v>654</v>
      </c>
      <c r="I689" s="47"/>
      <c r="J689" s="48" t="s">
        <v>708</v>
      </c>
      <c r="K689" s="48" t="str">
        <f t="shared" si="20"/>
        <v>_</v>
      </c>
      <c r="L689" s="116">
        <f>ROUND(Tableau18[[#This Row],[LEN]]*7.27,0)</f>
        <v>233</v>
      </c>
      <c r="M689" s="116">
        <v>15</v>
      </c>
      <c r="N689" s="133" t="str">
        <f t="shared" si="21"/>
        <v>_self</v>
      </c>
      <c r="O689" s="116">
        <f>LEN(Tableau18[[#This Row],[LABEL]])</f>
        <v>32</v>
      </c>
      <c r="P689" s="116">
        <v>15</v>
      </c>
      <c r="Q689" s="116" t="e">
        <f>ROUND(Tableau18[[#This Row],[LEN]]*#REF!+#REF!,0)</f>
        <v>#REF!</v>
      </c>
    </row>
    <row r="690" spans="1:17" s="97" customFormat="1" x14ac:dyDescent="0.25">
      <c r="A690" s="41" t="s">
        <v>445</v>
      </c>
      <c r="B690" s="42" t="s">
        <v>287</v>
      </c>
      <c r="C690" s="43" t="s">
        <v>849</v>
      </c>
      <c r="D690" s="74" t="s">
        <v>1177</v>
      </c>
      <c r="E690" s="43" t="s">
        <v>667</v>
      </c>
      <c r="F690" s="43" t="s">
        <v>840</v>
      </c>
      <c r="G690" s="74" t="s">
        <v>68</v>
      </c>
      <c r="H690" s="74" t="s">
        <v>655</v>
      </c>
      <c r="I690" s="43"/>
      <c r="J690" s="44" t="s">
        <v>708</v>
      </c>
      <c r="K690" s="44" t="str">
        <f t="shared" si="20"/>
        <v>_</v>
      </c>
      <c r="L690" s="115">
        <f>ROUND(Tableau18[[#This Row],[LEN]]*7.27,0)</f>
        <v>80</v>
      </c>
      <c r="M690" s="115">
        <v>15</v>
      </c>
      <c r="N690" s="132" t="str">
        <f t="shared" si="21"/>
        <v>_self</v>
      </c>
      <c r="O690" s="115">
        <f>LEN(Tableau18[[#This Row],[LABEL]])</f>
        <v>11</v>
      </c>
      <c r="P690" s="115">
        <v>15</v>
      </c>
      <c r="Q690" s="115" t="e">
        <f>ROUND(Tableau18[[#This Row],[LEN]]*#REF!+#REF!,0)</f>
        <v>#REF!</v>
      </c>
    </row>
    <row r="691" spans="1:17" s="97" customFormat="1" x14ac:dyDescent="0.25">
      <c r="A691" s="41" t="s">
        <v>446</v>
      </c>
      <c r="B691" s="42" t="s">
        <v>287</v>
      </c>
      <c r="C691" s="43" t="s">
        <v>1516</v>
      </c>
      <c r="D691" s="74" t="s">
        <v>1177</v>
      </c>
      <c r="E691" s="43" t="s">
        <v>661</v>
      </c>
      <c r="F691" s="43" t="s">
        <v>666</v>
      </c>
      <c r="G691" s="74" t="s">
        <v>68</v>
      </c>
      <c r="H691" s="74" t="s">
        <v>655</v>
      </c>
      <c r="I691" s="43"/>
      <c r="J691" s="44" t="s">
        <v>708</v>
      </c>
      <c r="K691" s="44" t="str">
        <f t="shared" si="20"/>
        <v>_</v>
      </c>
      <c r="L691" s="115">
        <f>ROUND(Tableau18[[#This Row],[LEN]]*7.27,0)</f>
        <v>305</v>
      </c>
      <c r="M691" s="115">
        <v>15</v>
      </c>
      <c r="N691" s="132" t="str">
        <f t="shared" si="21"/>
        <v>_self</v>
      </c>
      <c r="O691" s="115">
        <f>LEN(Tableau18[[#This Row],[LABEL]])</f>
        <v>42</v>
      </c>
      <c r="P691" s="115">
        <v>15</v>
      </c>
      <c r="Q691" s="115" t="e">
        <f>ROUND(Tableau18[[#This Row],[LEN]]*#REF!+#REF!,0)</f>
        <v>#REF!</v>
      </c>
    </row>
    <row r="692" spans="1:17" s="97" customFormat="1" x14ac:dyDescent="0.25">
      <c r="A692" s="45" t="s">
        <v>458</v>
      </c>
      <c r="B692" s="46" t="s">
        <v>446</v>
      </c>
      <c r="C692" s="47" t="s">
        <v>118</v>
      </c>
      <c r="D692" s="75" t="s">
        <v>1177</v>
      </c>
      <c r="E692" s="47" t="s">
        <v>661</v>
      </c>
      <c r="F692" s="47" t="s">
        <v>666</v>
      </c>
      <c r="G692" s="75" t="s">
        <v>68</v>
      </c>
      <c r="H692" s="75" t="s">
        <v>18</v>
      </c>
      <c r="I692" s="47"/>
      <c r="J692" s="48" t="s">
        <v>708</v>
      </c>
      <c r="K692" s="48" t="str">
        <f t="shared" si="20"/>
        <v>_</v>
      </c>
      <c r="L692" s="116">
        <f>ROUND(Tableau18[[#This Row],[LEN]]*7.27,0)</f>
        <v>204</v>
      </c>
      <c r="M692" s="116">
        <v>15</v>
      </c>
      <c r="N692" s="133" t="str">
        <f t="shared" si="21"/>
        <v>_self</v>
      </c>
      <c r="O692" s="116">
        <f>LEN(Tableau18[[#This Row],[LABEL]])</f>
        <v>28</v>
      </c>
      <c r="P692" s="116">
        <v>15</v>
      </c>
      <c r="Q692" s="116" t="e">
        <f>ROUND(Tableau18[[#This Row],[LEN]]*#REF!+#REF!,0)</f>
        <v>#REF!</v>
      </c>
    </row>
    <row r="693" spans="1:17" s="97" customFormat="1" x14ac:dyDescent="0.25">
      <c r="A693" s="45" t="s">
        <v>459</v>
      </c>
      <c r="B693" s="46" t="s">
        <v>446</v>
      </c>
      <c r="C693" s="47" t="s">
        <v>119</v>
      </c>
      <c r="D693" s="75" t="s">
        <v>1177</v>
      </c>
      <c r="E693" s="47" t="s">
        <v>661</v>
      </c>
      <c r="F693" s="47" t="s">
        <v>666</v>
      </c>
      <c r="G693" s="75" t="s">
        <v>68</v>
      </c>
      <c r="H693" s="75" t="s">
        <v>18</v>
      </c>
      <c r="I693" s="47"/>
      <c r="J693" s="48" t="s">
        <v>708</v>
      </c>
      <c r="K693" s="48" t="str">
        <f t="shared" si="20"/>
        <v>_</v>
      </c>
      <c r="L693" s="116">
        <f>ROUND(Tableau18[[#This Row],[LEN]]*7.27,0)</f>
        <v>218</v>
      </c>
      <c r="M693" s="116">
        <v>15</v>
      </c>
      <c r="N693" s="133" t="str">
        <f t="shared" si="21"/>
        <v>_self</v>
      </c>
      <c r="O693" s="116">
        <f>LEN(Tableau18[[#This Row],[LABEL]])</f>
        <v>30</v>
      </c>
      <c r="P693" s="116">
        <v>15</v>
      </c>
      <c r="Q693" s="116" t="e">
        <f>ROUND(Tableau18[[#This Row],[LEN]]*#REF!+#REF!,0)</f>
        <v>#REF!</v>
      </c>
    </row>
    <row r="694" spans="1:17" s="97" customFormat="1" x14ac:dyDescent="0.25">
      <c r="A694" s="45" t="s">
        <v>460</v>
      </c>
      <c r="B694" s="46" t="s">
        <v>446</v>
      </c>
      <c r="C694" s="47" t="s">
        <v>120</v>
      </c>
      <c r="D694" s="75" t="s">
        <v>1177</v>
      </c>
      <c r="E694" s="47" t="s">
        <v>661</v>
      </c>
      <c r="F694" s="47" t="s">
        <v>666</v>
      </c>
      <c r="G694" s="75" t="s">
        <v>68</v>
      </c>
      <c r="H694" s="75" t="s">
        <v>18</v>
      </c>
      <c r="I694" s="47"/>
      <c r="J694" s="48" t="s">
        <v>708</v>
      </c>
      <c r="K694" s="48" t="str">
        <f t="shared" si="20"/>
        <v>_</v>
      </c>
      <c r="L694" s="116">
        <f>ROUND(Tableau18[[#This Row],[LEN]]*7.27,0)</f>
        <v>131</v>
      </c>
      <c r="M694" s="116">
        <v>15</v>
      </c>
      <c r="N694" s="133" t="str">
        <f t="shared" si="21"/>
        <v>_self</v>
      </c>
      <c r="O694" s="116">
        <f>LEN(Tableau18[[#This Row],[LABEL]])</f>
        <v>18</v>
      </c>
      <c r="P694" s="116">
        <v>15</v>
      </c>
      <c r="Q694" s="116" t="e">
        <f>ROUND(Tableau18[[#This Row],[LEN]]*#REF!+#REF!,0)</f>
        <v>#REF!</v>
      </c>
    </row>
    <row r="695" spans="1:17" s="97" customFormat="1" x14ac:dyDescent="0.25">
      <c r="A695" s="45" t="s">
        <v>461</v>
      </c>
      <c r="B695" s="46" t="s">
        <v>446</v>
      </c>
      <c r="C695" s="47" t="s">
        <v>121</v>
      </c>
      <c r="D695" s="75" t="s">
        <v>1177</v>
      </c>
      <c r="E695" s="47" t="s">
        <v>661</v>
      </c>
      <c r="F695" s="47" t="s">
        <v>666</v>
      </c>
      <c r="G695" s="75" t="s">
        <v>68</v>
      </c>
      <c r="H695" s="75" t="s">
        <v>18</v>
      </c>
      <c r="I695" s="47"/>
      <c r="J695" s="48" t="s">
        <v>708</v>
      </c>
      <c r="K695" s="48" t="str">
        <f t="shared" si="20"/>
        <v>_</v>
      </c>
      <c r="L695" s="116">
        <f>ROUND(Tableau18[[#This Row],[LEN]]*7.27,0)</f>
        <v>174</v>
      </c>
      <c r="M695" s="116">
        <v>15</v>
      </c>
      <c r="N695" s="133" t="str">
        <f t="shared" si="21"/>
        <v>_self</v>
      </c>
      <c r="O695" s="116">
        <f>LEN(Tableau18[[#This Row],[LABEL]])</f>
        <v>24</v>
      </c>
      <c r="P695" s="116">
        <v>15</v>
      </c>
      <c r="Q695" s="116" t="e">
        <f>ROUND(Tableau18[[#This Row],[LEN]]*#REF!+#REF!,0)</f>
        <v>#REF!</v>
      </c>
    </row>
    <row r="696" spans="1:17" s="97" customFormat="1" x14ac:dyDescent="0.25">
      <c r="A696" s="41" t="s">
        <v>447</v>
      </c>
      <c r="B696" s="42" t="s">
        <v>287</v>
      </c>
      <c r="C696" s="43" t="s">
        <v>122</v>
      </c>
      <c r="D696" s="74" t="s">
        <v>1514</v>
      </c>
      <c r="E696" s="43" t="s">
        <v>667</v>
      </c>
      <c r="F696" s="43" t="s">
        <v>2084</v>
      </c>
      <c r="G696" s="74" t="s">
        <v>68</v>
      </c>
      <c r="H696" s="74" t="s">
        <v>656</v>
      </c>
      <c r="I696" s="43"/>
      <c r="J696" s="44" t="s">
        <v>708</v>
      </c>
      <c r="K696" s="44" t="str">
        <f t="shared" si="20"/>
        <v>_</v>
      </c>
      <c r="L696" s="115">
        <f>ROUND(Tableau18[[#This Row],[LEN]]*7.27,0)</f>
        <v>145</v>
      </c>
      <c r="M696" s="115">
        <v>15</v>
      </c>
      <c r="N696" s="132" t="str">
        <f t="shared" si="21"/>
        <v>_self</v>
      </c>
      <c r="O696" s="115">
        <f>LEN(Tableau18[[#This Row],[LABEL]])</f>
        <v>20</v>
      </c>
      <c r="P696" s="115">
        <v>15</v>
      </c>
      <c r="Q696" s="115" t="e">
        <f>ROUND(Tableau18[[#This Row],[LEN]]*#REF!+#REF!,0)</f>
        <v>#REF!</v>
      </c>
    </row>
    <row r="697" spans="1:17" s="97" customFormat="1" x14ac:dyDescent="0.25">
      <c r="A697" s="41" t="s">
        <v>448</v>
      </c>
      <c r="B697" s="42" t="s">
        <v>287</v>
      </c>
      <c r="C697" s="43" t="s">
        <v>538</v>
      </c>
      <c r="D697" s="74" t="s">
        <v>1177</v>
      </c>
      <c r="E697" s="43" t="s">
        <v>684</v>
      </c>
      <c r="F697" s="43" t="s">
        <v>1177</v>
      </c>
      <c r="G697" s="74" t="s">
        <v>68</v>
      </c>
      <c r="H697" s="74" t="s">
        <v>655</v>
      </c>
      <c r="I697" s="43"/>
      <c r="J697" s="44" t="s">
        <v>708</v>
      </c>
      <c r="K697" s="44" t="str">
        <f t="shared" si="20"/>
        <v>_</v>
      </c>
      <c r="L697" s="115">
        <f>ROUND(Tableau18[[#This Row],[LEN]]*7.27,0)</f>
        <v>305</v>
      </c>
      <c r="M697" s="115">
        <v>15</v>
      </c>
      <c r="N697" s="132" t="str">
        <f t="shared" si="21"/>
        <v>_self</v>
      </c>
      <c r="O697" s="115">
        <f>LEN(Tableau18[[#This Row],[LABEL]])</f>
        <v>42</v>
      </c>
      <c r="P697" s="115">
        <v>15</v>
      </c>
      <c r="Q697" s="115" t="e">
        <f>ROUND(Tableau18[[#This Row],[LEN]]*#REF!+#REF!,0)</f>
        <v>#REF!</v>
      </c>
    </row>
    <row r="698" spans="1:17" s="97" customFormat="1" x14ac:dyDescent="0.25">
      <c r="A698" s="45" t="s">
        <v>462</v>
      </c>
      <c r="B698" s="46" t="s">
        <v>448</v>
      </c>
      <c r="C698" s="47" t="s">
        <v>123</v>
      </c>
      <c r="D698" s="75" t="s">
        <v>1177</v>
      </c>
      <c r="E698" s="47" t="s">
        <v>684</v>
      </c>
      <c r="F698" s="47" t="s">
        <v>1177</v>
      </c>
      <c r="G698" s="75" t="s">
        <v>68</v>
      </c>
      <c r="H698" s="75" t="s">
        <v>18</v>
      </c>
      <c r="I698" s="47"/>
      <c r="J698" s="48" t="s">
        <v>708</v>
      </c>
      <c r="K698" s="48" t="str">
        <f t="shared" si="20"/>
        <v>_</v>
      </c>
      <c r="L698" s="116">
        <f>ROUND(Tableau18[[#This Row],[LEN]]*7.27,0)</f>
        <v>182</v>
      </c>
      <c r="M698" s="116">
        <v>15</v>
      </c>
      <c r="N698" s="133" t="str">
        <f t="shared" si="21"/>
        <v>_self</v>
      </c>
      <c r="O698" s="116">
        <f>LEN(Tableau18[[#This Row],[LABEL]])</f>
        <v>25</v>
      </c>
      <c r="P698" s="116">
        <v>15</v>
      </c>
      <c r="Q698" s="116" t="e">
        <f>ROUND(Tableau18[[#This Row],[LEN]]*#REF!+#REF!,0)</f>
        <v>#REF!</v>
      </c>
    </row>
    <row r="699" spans="1:17" s="97" customFormat="1" x14ac:dyDescent="0.25">
      <c r="A699" s="45" t="s">
        <v>463</v>
      </c>
      <c r="B699" s="46" t="s">
        <v>448</v>
      </c>
      <c r="C699" s="47" t="s">
        <v>124</v>
      </c>
      <c r="D699" s="75" t="s">
        <v>1177</v>
      </c>
      <c r="E699" s="47" t="s">
        <v>684</v>
      </c>
      <c r="F699" s="47" t="s">
        <v>1177</v>
      </c>
      <c r="G699" s="75" t="s">
        <v>68</v>
      </c>
      <c r="H699" s="75" t="s">
        <v>18</v>
      </c>
      <c r="I699" s="47"/>
      <c r="J699" s="48" t="s">
        <v>708</v>
      </c>
      <c r="K699" s="48" t="str">
        <f t="shared" si="20"/>
        <v>_</v>
      </c>
      <c r="L699" s="116">
        <f>ROUND(Tableau18[[#This Row],[LEN]]*7.27,0)</f>
        <v>116</v>
      </c>
      <c r="M699" s="116">
        <v>15</v>
      </c>
      <c r="N699" s="133" t="str">
        <f t="shared" si="21"/>
        <v>_self</v>
      </c>
      <c r="O699" s="116">
        <f>LEN(Tableau18[[#This Row],[LABEL]])</f>
        <v>16</v>
      </c>
      <c r="P699" s="116">
        <v>15</v>
      </c>
      <c r="Q699" s="116" t="e">
        <f>ROUND(Tableau18[[#This Row],[LEN]]*#REF!+#REF!,0)</f>
        <v>#REF!</v>
      </c>
    </row>
    <row r="700" spans="1:17" s="97" customFormat="1" x14ac:dyDescent="0.25">
      <c r="A700" s="45" t="s">
        <v>464</v>
      </c>
      <c r="B700" s="46" t="s">
        <v>448</v>
      </c>
      <c r="C700" s="47" t="s">
        <v>125</v>
      </c>
      <c r="D700" s="75" t="s">
        <v>1177</v>
      </c>
      <c r="E700" s="47" t="s">
        <v>684</v>
      </c>
      <c r="F700" s="47" t="s">
        <v>1177</v>
      </c>
      <c r="G700" s="75" t="s">
        <v>68</v>
      </c>
      <c r="H700" s="75" t="s">
        <v>18</v>
      </c>
      <c r="I700" s="47"/>
      <c r="J700" s="48" t="s">
        <v>708</v>
      </c>
      <c r="K700" s="48" t="str">
        <f t="shared" si="20"/>
        <v>_</v>
      </c>
      <c r="L700" s="116">
        <f>ROUND(Tableau18[[#This Row],[LEN]]*7.27,0)</f>
        <v>116</v>
      </c>
      <c r="M700" s="116">
        <v>15</v>
      </c>
      <c r="N700" s="133" t="str">
        <f t="shared" si="21"/>
        <v>_self</v>
      </c>
      <c r="O700" s="116">
        <f>LEN(Tableau18[[#This Row],[LABEL]])</f>
        <v>16</v>
      </c>
      <c r="P700" s="116">
        <v>15</v>
      </c>
      <c r="Q700" s="116" t="e">
        <f>ROUND(Tableau18[[#This Row],[LEN]]*#REF!+#REF!,0)</f>
        <v>#REF!</v>
      </c>
    </row>
    <row r="701" spans="1:17" s="97" customFormat="1" x14ac:dyDescent="0.25">
      <c r="A701" s="45" t="s">
        <v>465</v>
      </c>
      <c r="B701" s="46" t="s">
        <v>448</v>
      </c>
      <c r="C701" s="47" t="s">
        <v>126</v>
      </c>
      <c r="D701" s="75" t="s">
        <v>1177</v>
      </c>
      <c r="E701" s="47" t="s">
        <v>684</v>
      </c>
      <c r="F701" s="47" t="s">
        <v>1177</v>
      </c>
      <c r="G701" s="75" t="s">
        <v>68</v>
      </c>
      <c r="H701" s="75" t="s">
        <v>18</v>
      </c>
      <c r="I701" s="47"/>
      <c r="J701" s="48" t="s">
        <v>708</v>
      </c>
      <c r="K701" s="48" t="str">
        <f t="shared" si="20"/>
        <v>_</v>
      </c>
      <c r="L701" s="116">
        <f>ROUND(Tableau18[[#This Row],[LEN]]*7.27,0)</f>
        <v>80</v>
      </c>
      <c r="M701" s="116">
        <v>15</v>
      </c>
      <c r="N701" s="133" t="str">
        <f t="shared" si="21"/>
        <v>_self</v>
      </c>
      <c r="O701" s="116">
        <f>LEN(Tableau18[[#This Row],[LABEL]])</f>
        <v>11</v>
      </c>
      <c r="P701" s="116">
        <v>15</v>
      </c>
      <c r="Q701" s="116" t="e">
        <f>ROUND(Tableau18[[#This Row],[LEN]]*#REF!+#REF!,0)</f>
        <v>#REF!</v>
      </c>
    </row>
    <row r="702" spans="1:17" s="97" customFormat="1" x14ac:dyDescent="0.25">
      <c r="A702" s="45" t="s">
        <v>466</v>
      </c>
      <c r="B702" s="46" t="s">
        <v>448</v>
      </c>
      <c r="C702" s="47" t="s">
        <v>127</v>
      </c>
      <c r="D702" s="75" t="s">
        <v>1177</v>
      </c>
      <c r="E702" s="47" t="s">
        <v>684</v>
      </c>
      <c r="F702" s="47" t="s">
        <v>1177</v>
      </c>
      <c r="G702" s="75" t="s">
        <v>68</v>
      </c>
      <c r="H702" s="75" t="s">
        <v>18</v>
      </c>
      <c r="I702" s="47"/>
      <c r="J702" s="48" t="s">
        <v>708</v>
      </c>
      <c r="K702" s="48" t="str">
        <f t="shared" si="20"/>
        <v>_</v>
      </c>
      <c r="L702" s="116">
        <f>ROUND(Tableau18[[#This Row],[LEN]]*7.27,0)</f>
        <v>95</v>
      </c>
      <c r="M702" s="116">
        <v>15</v>
      </c>
      <c r="N702" s="133" t="str">
        <f t="shared" si="21"/>
        <v>_self</v>
      </c>
      <c r="O702" s="116">
        <f>LEN(Tableau18[[#This Row],[LABEL]])</f>
        <v>13</v>
      </c>
      <c r="P702" s="116">
        <v>15</v>
      </c>
      <c r="Q702" s="116" t="e">
        <f>ROUND(Tableau18[[#This Row],[LEN]]*#REF!+#REF!,0)</f>
        <v>#REF!</v>
      </c>
    </row>
    <row r="703" spans="1:17" s="97" customFormat="1" x14ac:dyDescent="0.25">
      <c r="A703" s="45" t="s">
        <v>467</v>
      </c>
      <c r="B703" s="46" t="s">
        <v>448</v>
      </c>
      <c r="C703" s="47" t="s">
        <v>1527</v>
      </c>
      <c r="D703" s="75" t="s">
        <v>1177</v>
      </c>
      <c r="E703" s="47" t="s">
        <v>684</v>
      </c>
      <c r="F703" s="47" t="s">
        <v>1177</v>
      </c>
      <c r="G703" s="75" t="s">
        <v>68</v>
      </c>
      <c r="H703" s="75" t="s">
        <v>18</v>
      </c>
      <c r="I703" s="47"/>
      <c r="J703" s="48" t="s">
        <v>708</v>
      </c>
      <c r="K703" s="48" t="str">
        <f t="shared" si="20"/>
        <v>_</v>
      </c>
      <c r="L703" s="116">
        <f>ROUND(Tableau18[[#This Row],[LEN]]*7.27,0)</f>
        <v>233</v>
      </c>
      <c r="M703" s="116">
        <v>15</v>
      </c>
      <c r="N703" s="133" t="str">
        <f t="shared" si="21"/>
        <v>_self</v>
      </c>
      <c r="O703" s="116">
        <f>LEN(Tableau18[[#This Row],[LABEL]])</f>
        <v>32</v>
      </c>
      <c r="P703" s="116">
        <v>15</v>
      </c>
      <c r="Q703" s="116" t="e">
        <f>ROUND(Tableau18[[#This Row],[LEN]]*#REF!+#REF!,0)</f>
        <v>#REF!</v>
      </c>
    </row>
    <row r="704" spans="1:17" s="273" customFormat="1" x14ac:dyDescent="0.25">
      <c r="A704" s="330" t="s">
        <v>288</v>
      </c>
      <c r="B704" s="331" t="s">
        <v>208</v>
      </c>
      <c r="C704" s="332" t="s">
        <v>4</v>
      </c>
      <c r="D704" s="333" t="s">
        <v>1177</v>
      </c>
      <c r="E704" s="332" t="s">
        <v>666</v>
      </c>
      <c r="F704" s="332" t="s">
        <v>1177</v>
      </c>
      <c r="G704" s="333" t="s">
        <v>68</v>
      </c>
      <c r="H704" s="333" t="str">
        <f>IFERROR(IF(SEARCH(".00.00.00.00.00",Tableau18[[#This Row],[name]],1)=7,"Division",""),"")</f>
        <v>Division</v>
      </c>
      <c r="I704" s="332"/>
      <c r="J704" s="334" t="s">
        <v>708</v>
      </c>
      <c r="K704" s="334" t="str">
        <f t="shared" si="20"/>
        <v>_</v>
      </c>
      <c r="L704" s="335">
        <f>ROUND(Tableau18[[#This Row],[LEN]]*7.27,0)</f>
        <v>36</v>
      </c>
      <c r="M704" s="335">
        <v>15</v>
      </c>
      <c r="N704" s="336" t="str">
        <f t="shared" si="21"/>
        <v>_self</v>
      </c>
      <c r="O704" s="335">
        <f>LEN(Tableau18[[#This Row],[LABEL]])</f>
        <v>5</v>
      </c>
      <c r="P704" s="335">
        <v>15</v>
      </c>
      <c r="Q704" s="335" t="e">
        <f>ROUND(Tableau18[[#This Row],[LEN]]*#REF!+#REF!,0)</f>
        <v>#REF!</v>
      </c>
    </row>
    <row r="705" spans="1:17" s="97" customFormat="1" x14ac:dyDescent="0.25">
      <c r="A705" s="41" t="s">
        <v>1502</v>
      </c>
      <c r="B705" s="42" t="s">
        <v>288</v>
      </c>
      <c r="C705" s="43" t="s">
        <v>75</v>
      </c>
      <c r="D705" s="74" t="s">
        <v>1177</v>
      </c>
      <c r="E705" s="43" t="s">
        <v>661</v>
      </c>
      <c r="F705" s="43" t="s">
        <v>666</v>
      </c>
      <c r="G705" s="74" t="s">
        <v>68</v>
      </c>
      <c r="H705" s="74" t="s">
        <v>655</v>
      </c>
      <c r="I705" s="43"/>
      <c r="J705" s="44" t="s">
        <v>708</v>
      </c>
      <c r="K705" s="44" t="str">
        <f t="shared" si="20"/>
        <v>_</v>
      </c>
      <c r="L705" s="115">
        <f>ROUND(Tableau18[[#This Row],[LEN]]*7.27,0)</f>
        <v>262</v>
      </c>
      <c r="M705" s="115">
        <v>15</v>
      </c>
      <c r="N705" s="132" t="str">
        <f t="shared" si="21"/>
        <v>_self</v>
      </c>
      <c r="O705" s="115">
        <f>LEN(Tableau18[[#This Row],[LABEL]])</f>
        <v>36</v>
      </c>
      <c r="P705" s="115">
        <v>15</v>
      </c>
      <c r="Q705" s="115" t="e">
        <f>ROUND(Tableau18[[#This Row],[LEN]]*#REF!+#REF!,0)</f>
        <v>#REF!</v>
      </c>
    </row>
    <row r="706" spans="1:17" s="97" customFormat="1" x14ac:dyDescent="0.25">
      <c r="A706" s="45" t="s">
        <v>1509</v>
      </c>
      <c r="B706" s="46" t="s">
        <v>1502</v>
      </c>
      <c r="C706" s="47" t="s">
        <v>115</v>
      </c>
      <c r="D706" s="75" t="s">
        <v>1177</v>
      </c>
      <c r="E706" s="47" t="s">
        <v>661</v>
      </c>
      <c r="F706" s="47" t="s">
        <v>666</v>
      </c>
      <c r="G706" s="75" t="s">
        <v>68</v>
      </c>
      <c r="H706" s="75" t="s">
        <v>656</v>
      </c>
      <c r="I706" s="47"/>
      <c r="J706" s="48" t="s">
        <v>708</v>
      </c>
      <c r="K706" s="48" t="str">
        <f t="shared" ref="K706:K769" si="22">IF(J706="javascript:void(0)","_","Documentation")</f>
        <v>_</v>
      </c>
      <c r="L706" s="116">
        <f>ROUND(Tableau18[[#This Row],[LEN]]*7.27,0)</f>
        <v>291</v>
      </c>
      <c r="M706" s="116">
        <v>15</v>
      </c>
      <c r="N706" s="133" t="str">
        <f t="shared" si="21"/>
        <v>_self</v>
      </c>
      <c r="O706" s="116">
        <f>LEN(Tableau18[[#This Row],[LABEL]])</f>
        <v>40</v>
      </c>
      <c r="P706" s="116">
        <v>15</v>
      </c>
      <c r="Q706" s="116" t="e">
        <f>ROUND(Tableau18[[#This Row],[LEN]]*#REF!+#REF!,0)</f>
        <v>#REF!</v>
      </c>
    </row>
    <row r="707" spans="1:17" s="97" customFormat="1" x14ac:dyDescent="0.25">
      <c r="A707" s="45" t="s">
        <v>1510</v>
      </c>
      <c r="B707" s="46" t="s">
        <v>1502</v>
      </c>
      <c r="C707" s="47" t="s">
        <v>116</v>
      </c>
      <c r="D707" s="75" t="s">
        <v>1177</v>
      </c>
      <c r="E707" s="47" t="s">
        <v>661</v>
      </c>
      <c r="F707" s="47" t="s">
        <v>666</v>
      </c>
      <c r="G707" s="75" t="s">
        <v>68</v>
      </c>
      <c r="H707" s="75" t="s">
        <v>656</v>
      </c>
      <c r="I707" s="47"/>
      <c r="J707" s="48" t="s">
        <v>708</v>
      </c>
      <c r="K707" s="48" t="str">
        <f t="shared" si="22"/>
        <v>_</v>
      </c>
      <c r="L707" s="116">
        <f>ROUND(Tableau18[[#This Row],[LEN]]*7.27,0)</f>
        <v>313</v>
      </c>
      <c r="M707" s="116">
        <v>15</v>
      </c>
      <c r="N707" s="133" t="str">
        <f t="shared" ref="N707:N770" si="23">IF(J707="javascript:void(0)","_self","_blank")</f>
        <v>_self</v>
      </c>
      <c r="O707" s="116">
        <f>LEN(Tableau18[[#This Row],[LABEL]])</f>
        <v>43</v>
      </c>
      <c r="P707" s="116">
        <v>15</v>
      </c>
      <c r="Q707" s="116" t="e">
        <f>ROUND(Tableau18[[#This Row],[LEN]]*#REF!+#REF!,0)</f>
        <v>#REF!</v>
      </c>
    </row>
    <row r="708" spans="1:17" s="97" customFormat="1" x14ac:dyDescent="0.25">
      <c r="A708" s="45" t="s">
        <v>1511</v>
      </c>
      <c r="B708" s="46" t="s">
        <v>1502</v>
      </c>
      <c r="C708" s="47" t="s">
        <v>117</v>
      </c>
      <c r="D708" s="75" t="s">
        <v>1177</v>
      </c>
      <c r="E708" s="47" t="s">
        <v>661</v>
      </c>
      <c r="F708" s="47" t="s">
        <v>666</v>
      </c>
      <c r="G708" s="75" t="s">
        <v>68</v>
      </c>
      <c r="H708" s="75" t="s">
        <v>656</v>
      </c>
      <c r="I708" s="47"/>
      <c r="J708" s="48" t="s">
        <v>708</v>
      </c>
      <c r="K708" s="48" t="str">
        <f t="shared" si="22"/>
        <v>_</v>
      </c>
      <c r="L708" s="116">
        <f>ROUND(Tableau18[[#This Row],[LEN]]*7.27,0)</f>
        <v>225</v>
      </c>
      <c r="M708" s="116">
        <v>15</v>
      </c>
      <c r="N708" s="133" t="str">
        <f t="shared" si="23"/>
        <v>_self</v>
      </c>
      <c r="O708" s="116">
        <f>LEN(Tableau18[[#This Row],[LABEL]])</f>
        <v>31</v>
      </c>
      <c r="P708" s="116">
        <v>15</v>
      </c>
      <c r="Q708" s="116" t="e">
        <f>ROUND(Tableau18[[#This Row],[LEN]]*#REF!+#REF!,0)</f>
        <v>#REF!</v>
      </c>
    </row>
    <row r="709" spans="1:17" s="97" customFormat="1" x14ac:dyDescent="0.25">
      <c r="A709" s="41" t="s">
        <v>1503</v>
      </c>
      <c r="B709" s="42" t="s">
        <v>288</v>
      </c>
      <c r="C709" s="43" t="s">
        <v>849</v>
      </c>
      <c r="D709" s="74" t="s">
        <v>1177</v>
      </c>
      <c r="E709" s="43" t="s">
        <v>667</v>
      </c>
      <c r="F709" s="43" t="s">
        <v>840</v>
      </c>
      <c r="G709" s="74" t="s">
        <v>68</v>
      </c>
      <c r="H709" s="74" t="s">
        <v>655</v>
      </c>
      <c r="I709" s="43"/>
      <c r="J709" s="44" t="s">
        <v>708</v>
      </c>
      <c r="K709" s="44" t="str">
        <f t="shared" si="22"/>
        <v>_</v>
      </c>
      <c r="L709" s="115">
        <f>ROUND(Tableau18[[#This Row],[LEN]]*7.27,0)</f>
        <v>80</v>
      </c>
      <c r="M709" s="115">
        <v>15</v>
      </c>
      <c r="N709" s="132" t="str">
        <f t="shared" si="23"/>
        <v>_self</v>
      </c>
      <c r="O709" s="115">
        <f>LEN(Tableau18[[#This Row],[LABEL]])</f>
        <v>11</v>
      </c>
      <c r="P709" s="115">
        <v>15</v>
      </c>
      <c r="Q709" s="115" t="e">
        <f>ROUND(Tableau18[[#This Row],[LEN]]*#REF!+#REF!,0)</f>
        <v>#REF!</v>
      </c>
    </row>
    <row r="710" spans="1:17" s="97" customFormat="1" x14ac:dyDescent="0.25">
      <c r="A710" s="45" t="s">
        <v>1512</v>
      </c>
      <c r="B710" s="46" t="s">
        <v>1503</v>
      </c>
      <c r="C710" s="47" t="s">
        <v>112</v>
      </c>
      <c r="D710" s="75" t="s">
        <v>1177</v>
      </c>
      <c r="E710" s="47" t="s">
        <v>667</v>
      </c>
      <c r="F710" s="47" t="s">
        <v>2006</v>
      </c>
      <c r="G710" s="75" t="s">
        <v>68</v>
      </c>
      <c r="H710" s="75" t="s">
        <v>654</v>
      </c>
      <c r="I710" s="47"/>
      <c r="J710" s="48" t="s">
        <v>708</v>
      </c>
      <c r="K710" s="48" t="str">
        <f t="shared" si="22"/>
        <v>_</v>
      </c>
      <c r="L710" s="116">
        <f>ROUND(Tableau18[[#This Row],[LEN]]*7.27,0)</f>
        <v>167</v>
      </c>
      <c r="M710" s="116">
        <v>15</v>
      </c>
      <c r="N710" s="133" t="str">
        <f t="shared" si="23"/>
        <v>_self</v>
      </c>
      <c r="O710" s="116">
        <f>LEN(Tableau18[[#This Row],[LABEL]])</f>
        <v>23</v>
      </c>
      <c r="P710" s="116">
        <v>15</v>
      </c>
      <c r="Q710" s="116" t="e">
        <f>ROUND(Tableau18[[#This Row],[LEN]]*#REF!+#REF!,0)</f>
        <v>#REF!</v>
      </c>
    </row>
    <row r="711" spans="1:17" s="97" customFormat="1" x14ac:dyDescent="0.25">
      <c r="A711" s="45" t="s">
        <v>1513</v>
      </c>
      <c r="B711" s="46" t="s">
        <v>1503</v>
      </c>
      <c r="C711" s="47" t="s">
        <v>113</v>
      </c>
      <c r="D711" s="75" t="s">
        <v>1177</v>
      </c>
      <c r="E711" s="47" t="s">
        <v>667</v>
      </c>
      <c r="F711" s="47" t="s">
        <v>2006</v>
      </c>
      <c r="G711" s="75" t="s">
        <v>68</v>
      </c>
      <c r="H711" s="75" t="s">
        <v>654</v>
      </c>
      <c r="I711" s="47"/>
      <c r="J711" s="48" t="s">
        <v>708</v>
      </c>
      <c r="K711" s="48" t="str">
        <f t="shared" si="22"/>
        <v>_</v>
      </c>
      <c r="L711" s="116">
        <f>ROUND(Tableau18[[#This Row],[LEN]]*7.27,0)</f>
        <v>233</v>
      </c>
      <c r="M711" s="116">
        <v>15</v>
      </c>
      <c r="N711" s="133" t="str">
        <f t="shared" si="23"/>
        <v>_self</v>
      </c>
      <c r="O711" s="116">
        <f>LEN(Tableau18[[#This Row],[LABEL]])</f>
        <v>32</v>
      </c>
      <c r="P711" s="116">
        <v>15</v>
      </c>
      <c r="Q711" s="116" t="e">
        <f>ROUND(Tableau18[[#This Row],[LEN]]*#REF!+#REF!,0)</f>
        <v>#REF!</v>
      </c>
    </row>
    <row r="712" spans="1:17" s="97" customFormat="1" x14ac:dyDescent="0.25">
      <c r="A712" s="41" t="s">
        <v>1504</v>
      </c>
      <c r="B712" s="42" t="s">
        <v>288</v>
      </c>
      <c r="C712" s="43" t="s">
        <v>122</v>
      </c>
      <c r="D712" s="74" t="s">
        <v>1514</v>
      </c>
      <c r="E712" s="43" t="s">
        <v>667</v>
      </c>
      <c r="F712" s="43" t="s">
        <v>2084</v>
      </c>
      <c r="G712" s="74" t="s">
        <v>68</v>
      </c>
      <c r="H712" s="74" t="s">
        <v>656</v>
      </c>
      <c r="I712" s="43"/>
      <c r="J712" s="44" t="s">
        <v>708</v>
      </c>
      <c r="K712" s="44" t="str">
        <f t="shared" si="22"/>
        <v>_</v>
      </c>
      <c r="L712" s="115">
        <f>ROUND(Tableau18[[#This Row],[LEN]]*7.27,0)</f>
        <v>145</v>
      </c>
      <c r="M712" s="115">
        <v>15</v>
      </c>
      <c r="N712" s="132" t="str">
        <f t="shared" si="23"/>
        <v>_self</v>
      </c>
      <c r="O712" s="115">
        <f>LEN(Tableau18[[#This Row],[LABEL]])</f>
        <v>20</v>
      </c>
      <c r="P712" s="115">
        <v>15</v>
      </c>
      <c r="Q712" s="115" t="e">
        <f>ROUND(Tableau18[[#This Row],[LEN]]*#REF!+#REF!,0)</f>
        <v>#REF!</v>
      </c>
    </row>
    <row r="713" spans="1:17" s="97" customFormat="1" x14ac:dyDescent="0.25">
      <c r="A713" s="41" t="s">
        <v>1505</v>
      </c>
      <c r="B713" s="42" t="s">
        <v>288</v>
      </c>
      <c r="C713" s="43" t="s">
        <v>1516</v>
      </c>
      <c r="D713" s="74" t="s">
        <v>1177</v>
      </c>
      <c r="E713" s="43" t="s">
        <v>661</v>
      </c>
      <c r="F713" s="43" t="s">
        <v>666</v>
      </c>
      <c r="G713" s="74" t="s">
        <v>68</v>
      </c>
      <c r="H713" s="74" t="s">
        <v>655</v>
      </c>
      <c r="I713" s="43"/>
      <c r="J713" s="44" t="s">
        <v>708</v>
      </c>
      <c r="K713" s="44" t="str">
        <f t="shared" si="22"/>
        <v>_</v>
      </c>
      <c r="L713" s="115">
        <f>ROUND(Tableau18[[#This Row],[LEN]]*7.27,0)</f>
        <v>305</v>
      </c>
      <c r="M713" s="115">
        <v>15</v>
      </c>
      <c r="N713" s="132" t="str">
        <f t="shared" si="23"/>
        <v>_self</v>
      </c>
      <c r="O713" s="115">
        <f>LEN(Tableau18[[#This Row],[LABEL]])</f>
        <v>42</v>
      </c>
      <c r="P713" s="115">
        <v>15</v>
      </c>
      <c r="Q713" s="115" t="e">
        <f>ROUND(Tableau18[[#This Row],[LEN]]*#REF!+#REF!,0)</f>
        <v>#REF!</v>
      </c>
    </row>
    <row r="714" spans="1:17" s="97" customFormat="1" x14ac:dyDescent="0.25">
      <c r="A714" s="45" t="s">
        <v>1517</v>
      </c>
      <c r="B714" s="46" t="s">
        <v>1505</v>
      </c>
      <c r="C714" s="47" t="s">
        <v>118</v>
      </c>
      <c r="D714" s="75" t="s">
        <v>1177</v>
      </c>
      <c r="E714" s="47" t="s">
        <v>661</v>
      </c>
      <c r="F714" s="47" t="s">
        <v>666</v>
      </c>
      <c r="G714" s="75" t="s">
        <v>68</v>
      </c>
      <c r="H714" s="75" t="s">
        <v>18</v>
      </c>
      <c r="I714" s="47"/>
      <c r="J714" s="48" t="s">
        <v>708</v>
      </c>
      <c r="K714" s="48" t="str">
        <f t="shared" si="22"/>
        <v>_</v>
      </c>
      <c r="L714" s="116">
        <f>ROUND(Tableau18[[#This Row],[LEN]]*7.27,0)</f>
        <v>204</v>
      </c>
      <c r="M714" s="116">
        <v>15</v>
      </c>
      <c r="N714" s="133" t="str">
        <f t="shared" si="23"/>
        <v>_self</v>
      </c>
      <c r="O714" s="116">
        <f>LEN(Tableau18[[#This Row],[LABEL]])</f>
        <v>28</v>
      </c>
      <c r="P714" s="116">
        <v>15</v>
      </c>
      <c r="Q714" s="116" t="e">
        <f>ROUND(Tableau18[[#This Row],[LEN]]*#REF!+#REF!,0)</f>
        <v>#REF!</v>
      </c>
    </row>
    <row r="715" spans="1:17" s="97" customFormat="1" x14ac:dyDescent="0.25">
      <c r="A715" s="45" t="s">
        <v>1518</v>
      </c>
      <c r="B715" s="46" t="s">
        <v>1505</v>
      </c>
      <c r="C715" s="47" t="s">
        <v>119</v>
      </c>
      <c r="D715" s="75" t="s">
        <v>1177</v>
      </c>
      <c r="E715" s="47" t="s">
        <v>661</v>
      </c>
      <c r="F715" s="47" t="s">
        <v>666</v>
      </c>
      <c r="G715" s="75" t="s">
        <v>68</v>
      </c>
      <c r="H715" s="75" t="s">
        <v>18</v>
      </c>
      <c r="I715" s="47"/>
      <c r="J715" s="48" t="s">
        <v>708</v>
      </c>
      <c r="K715" s="48" t="str">
        <f t="shared" si="22"/>
        <v>_</v>
      </c>
      <c r="L715" s="116">
        <f>ROUND(Tableau18[[#This Row],[LEN]]*7.27,0)</f>
        <v>218</v>
      </c>
      <c r="M715" s="116">
        <v>15</v>
      </c>
      <c r="N715" s="133" t="str">
        <f t="shared" si="23"/>
        <v>_self</v>
      </c>
      <c r="O715" s="116">
        <f>LEN(Tableau18[[#This Row],[LABEL]])</f>
        <v>30</v>
      </c>
      <c r="P715" s="116">
        <v>15</v>
      </c>
      <c r="Q715" s="116" t="e">
        <f>ROUND(Tableau18[[#This Row],[LEN]]*#REF!+#REF!,0)</f>
        <v>#REF!</v>
      </c>
    </row>
    <row r="716" spans="1:17" s="97" customFormat="1" x14ac:dyDescent="0.25">
      <c r="A716" s="45" t="s">
        <v>1519</v>
      </c>
      <c r="B716" s="46" t="s">
        <v>1505</v>
      </c>
      <c r="C716" s="47" t="s">
        <v>120</v>
      </c>
      <c r="D716" s="75" t="s">
        <v>1177</v>
      </c>
      <c r="E716" s="47" t="s">
        <v>661</v>
      </c>
      <c r="F716" s="47" t="s">
        <v>666</v>
      </c>
      <c r="G716" s="75" t="s">
        <v>68</v>
      </c>
      <c r="H716" s="75" t="s">
        <v>18</v>
      </c>
      <c r="I716" s="47"/>
      <c r="J716" s="48" t="s">
        <v>708</v>
      </c>
      <c r="K716" s="48" t="str">
        <f t="shared" si="22"/>
        <v>_</v>
      </c>
      <c r="L716" s="116">
        <f>ROUND(Tableau18[[#This Row],[LEN]]*7.27,0)</f>
        <v>131</v>
      </c>
      <c r="M716" s="116">
        <v>15</v>
      </c>
      <c r="N716" s="133" t="str">
        <f t="shared" si="23"/>
        <v>_self</v>
      </c>
      <c r="O716" s="116">
        <f>LEN(Tableau18[[#This Row],[LABEL]])</f>
        <v>18</v>
      </c>
      <c r="P716" s="116">
        <v>15</v>
      </c>
      <c r="Q716" s="116" t="e">
        <f>ROUND(Tableau18[[#This Row],[LEN]]*#REF!+#REF!,0)</f>
        <v>#REF!</v>
      </c>
    </row>
    <row r="717" spans="1:17" s="97" customFormat="1" x14ac:dyDescent="0.25">
      <c r="A717" s="45" t="s">
        <v>1520</v>
      </c>
      <c r="B717" s="46" t="s">
        <v>1505</v>
      </c>
      <c r="C717" s="47" t="s">
        <v>121</v>
      </c>
      <c r="D717" s="75" t="s">
        <v>1177</v>
      </c>
      <c r="E717" s="47" t="s">
        <v>661</v>
      </c>
      <c r="F717" s="47" t="s">
        <v>666</v>
      </c>
      <c r="G717" s="75" t="s">
        <v>68</v>
      </c>
      <c r="H717" s="75" t="s">
        <v>18</v>
      </c>
      <c r="I717" s="47"/>
      <c r="J717" s="48" t="s">
        <v>708</v>
      </c>
      <c r="K717" s="48" t="str">
        <f t="shared" si="22"/>
        <v>_</v>
      </c>
      <c r="L717" s="116">
        <f>ROUND(Tableau18[[#This Row],[LEN]]*7.27,0)</f>
        <v>174</v>
      </c>
      <c r="M717" s="116">
        <v>15</v>
      </c>
      <c r="N717" s="133" t="str">
        <f t="shared" si="23"/>
        <v>_self</v>
      </c>
      <c r="O717" s="116">
        <f>LEN(Tableau18[[#This Row],[LABEL]])</f>
        <v>24</v>
      </c>
      <c r="P717" s="116">
        <v>15</v>
      </c>
      <c r="Q717" s="116" t="e">
        <f>ROUND(Tableau18[[#This Row],[LEN]]*#REF!+#REF!,0)</f>
        <v>#REF!</v>
      </c>
    </row>
    <row r="718" spans="1:17" s="97" customFormat="1" x14ac:dyDescent="0.25">
      <c r="A718" s="41" t="s">
        <v>1506</v>
      </c>
      <c r="B718" s="42" t="s">
        <v>288</v>
      </c>
      <c r="C718" s="43" t="s">
        <v>538</v>
      </c>
      <c r="D718" s="74" t="s">
        <v>1177</v>
      </c>
      <c r="E718" s="43" t="s">
        <v>684</v>
      </c>
      <c r="F718" s="43" t="s">
        <v>1177</v>
      </c>
      <c r="G718" s="74" t="s">
        <v>68</v>
      </c>
      <c r="H718" s="74" t="s">
        <v>655</v>
      </c>
      <c r="I718" s="43"/>
      <c r="J718" s="44" t="s">
        <v>708</v>
      </c>
      <c r="K718" s="44" t="str">
        <f t="shared" si="22"/>
        <v>_</v>
      </c>
      <c r="L718" s="115">
        <f>ROUND(Tableau18[[#This Row],[LEN]]*7.27,0)</f>
        <v>305</v>
      </c>
      <c r="M718" s="115">
        <v>15</v>
      </c>
      <c r="N718" s="132" t="str">
        <f t="shared" si="23"/>
        <v>_self</v>
      </c>
      <c r="O718" s="115">
        <f>LEN(Tableau18[[#This Row],[LABEL]])</f>
        <v>42</v>
      </c>
      <c r="P718" s="115">
        <v>15</v>
      </c>
      <c r="Q718" s="115" t="e">
        <f>ROUND(Tableau18[[#This Row],[LEN]]*#REF!+#REF!,0)</f>
        <v>#REF!</v>
      </c>
    </row>
    <row r="719" spans="1:17" s="97" customFormat="1" x14ac:dyDescent="0.25">
      <c r="A719" s="45" t="s">
        <v>1521</v>
      </c>
      <c r="B719" s="46" t="s">
        <v>1506</v>
      </c>
      <c r="C719" s="47" t="s">
        <v>123</v>
      </c>
      <c r="D719" s="75" t="s">
        <v>1177</v>
      </c>
      <c r="E719" s="47" t="s">
        <v>684</v>
      </c>
      <c r="F719" s="47" t="s">
        <v>1177</v>
      </c>
      <c r="G719" s="75" t="s">
        <v>68</v>
      </c>
      <c r="H719" s="75" t="s">
        <v>18</v>
      </c>
      <c r="I719" s="47"/>
      <c r="J719" s="48" t="s">
        <v>708</v>
      </c>
      <c r="K719" s="48" t="str">
        <f t="shared" si="22"/>
        <v>_</v>
      </c>
      <c r="L719" s="116">
        <f>ROUND(Tableau18[[#This Row],[LEN]]*7.27,0)</f>
        <v>182</v>
      </c>
      <c r="M719" s="116">
        <v>15</v>
      </c>
      <c r="N719" s="133" t="str">
        <f t="shared" si="23"/>
        <v>_self</v>
      </c>
      <c r="O719" s="116">
        <f>LEN(Tableau18[[#This Row],[LABEL]])</f>
        <v>25</v>
      </c>
      <c r="P719" s="116">
        <v>15</v>
      </c>
      <c r="Q719" s="116" t="e">
        <f>ROUND(Tableau18[[#This Row],[LEN]]*#REF!+#REF!,0)</f>
        <v>#REF!</v>
      </c>
    </row>
    <row r="720" spans="1:17" s="97" customFormat="1" x14ac:dyDescent="0.25">
      <c r="A720" s="45" t="s">
        <v>1522</v>
      </c>
      <c r="B720" s="46" t="s">
        <v>1506</v>
      </c>
      <c r="C720" s="47" t="s">
        <v>124</v>
      </c>
      <c r="D720" s="75" t="s">
        <v>1177</v>
      </c>
      <c r="E720" s="47" t="s">
        <v>684</v>
      </c>
      <c r="F720" s="47" t="s">
        <v>1177</v>
      </c>
      <c r="G720" s="75" t="s">
        <v>68</v>
      </c>
      <c r="H720" s="75" t="s">
        <v>18</v>
      </c>
      <c r="I720" s="47"/>
      <c r="J720" s="48" t="s">
        <v>708</v>
      </c>
      <c r="K720" s="48" t="str">
        <f t="shared" si="22"/>
        <v>_</v>
      </c>
      <c r="L720" s="116">
        <f>ROUND(Tableau18[[#This Row],[LEN]]*7.27,0)</f>
        <v>116</v>
      </c>
      <c r="M720" s="116">
        <v>15</v>
      </c>
      <c r="N720" s="133" t="str">
        <f t="shared" si="23"/>
        <v>_self</v>
      </c>
      <c r="O720" s="116">
        <f>LEN(Tableau18[[#This Row],[LABEL]])</f>
        <v>16</v>
      </c>
      <c r="P720" s="116">
        <v>15</v>
      </c>
      <c r="Q720" s="116" t="e">
        <f>ROUND(Tableau18[[#This Row],[LEN]]*#REF!+#REF!,0)</f>
        <v>#REF!</v>
      </c>
    </row>
    <row r="721" spans="1:17" s="97" customFormat="1" x14ac:dyDescent="0.25">
      <c r="A721" s="45" t="s">
        <v>1523</v>
      </c>
      <c r="B721" s="46" t="s">
        <v>1506</v>
      </c>
      <c r="C721" s="47" t="s">
        <v>125</v>
      </c>
      <c r="D721" s="75" t="s">
        <v>1177</v>
      </c>
      <c r="E721" s="47" t="s">
        <v>684</v>
      </c>
      <c r="F721" s="47" t="s">
        <v>1177</v>
      </c>
      <c r="G721" s="75" t="s">
        <v>68</v>
      </c>
      <c r="H721" s="75" t="s">
        <v>18</v>
      </c>
      <c r="I721" s="47"/>
      <c r="J721" s="48" t="s">
        <v>708</v>
      </c>
      <c r="K721" s="48" t="str">
        <f t="shared" si="22"/>
        <v>_</v>
      </c>
      <c r="L721" s="116">
        <f>ROUND(Tableau18[[#This Row],[LEN]]*7.27,0)</f>
        <v>116</v>
      </c>
      <c r="M721" s="116">
        <v>15</v>
      </c>
      <c r="N721" s="133" t="str">
        <f t="shared" si="23"/>
        <v>_self</v>
      </c>
      <c r="O721" s="116">
        <f>LEN(Tableau18[[#This Row],[LABEL]])</f>
        <v>16</v>
      </c>
      <c r="P721" s="116">
        <v>15</v>
      </c>
      <c r="Q721" s="116" t="e">
        <f>ROUND(Tableau18[[#This Row],[LEN]]*#REF!+#REF!,0)</f>
        <v>#REF!</v>
      </c>
    </row>
    <row r="722" spans="1:17" s="97" customFormat="1" x14ac:dyDescent="0.25">
      <c r="A722" s="45" t="s">
        <v>1524</v>
      </c>
      <c r="B722" s="46" t="s">
        <v>1506</v>
      </c>
      <c r="C722" s="47" t="s">
        <v>126</v>
      </c>
      <c r="D722" s="75" t="s">
        <v>1177</v>
      </c>
      <c r="E722" s="47" t="s">
        <v>684</v>
      </c>
      <c r="F722" s="47" t="s">
        <v>1177</v>
      </c>
      <c r="G722" s="75" t="s">
        <v>68</v>
      </c>
      <c r="H722" s="75" t="s">
        <v>18</v>
      </c>
      <c r="I722" s="47"/>
      <c r="J722" s="48" t="s">
        <v>708</v>
      </c>
      <c r="K722" s="48" t="str">
        <f t="shared" si="22"/>
        <v>_</v>
      </c>
      <c r="L722" s="116">
        <f>ROUND(Tableau18[[#This Row],[LEN]]*7.27,0)</f>
        <v>80</v>
      </c>
      <c r="M722" s="116">
        <v>15</v>
      </c>
      <c r="N722" s="133" t="str">
        <f t="shared" si="23"/>
        <v>_self</v>
      </c>
      <c r="O722" s="116">
        <f>LEN(Tableau18[[#This Row],[LABEL]])</f>
        <v>11</v>
      </c>
      <c r="P722" s="116">
        <v>15</v>
      </c>
      <c r="Q722" s="116" t="e">
        <f>ROUND(Tableau18[[#This Row],[LEN]]*#REF!+#REF!,0)</f>
        <v>#REF!</v>
      </c>
    </row>
    <row r="723" spans="1:17" s="97" customFormat="1" x14ac:dyDescent="0.25">
      <c r="A723" s="45" t="s">
        <v>1525</v>
      </c>
      <c r="B723" s="46" t="s">
        <v>1506</v>
      </c>
      <c r="C723" s="47" t="s">
        <v>127</v>
      </c>
      <c r="D723" s="75" t="s">
        <v>1177</v>
      </c>
      <c r="E723" s="47" t="s">
        <v>684</v>
      </c>
      <c r="F723" s="47" t="s">
        <v>1177</v>
      </c>
      <c r="G723" s="75" t="s">
        <v>68</v>
      </c>
      <c r="H723" s="75" t="s">
        <v>18</v>
      </c>
      <c r="I723" s="47"/>
      <c r="J723" s="48" t="s">
        <v>708</v>
      </c>
      <c r="K723" s="48" t="str">
        <f t="shared" si="22"/>
        <v>_</v>
      </c>
      <c r="L723" s="116">
        <f>ROUND(Tableau18[[#This Row],[LEN]]*7.27,0)</f>
        <v>95</v>
      </c>
      <c r="M723" s="116">
        <v>15</v>
      </c>
      <c r="N723" s="133" t="str">
        <f t="shared" si="23"/>
        <v>_self</v>
      </c>
      <c r="O723" s="116">
        <f>LEN(Tableau18[[#This Row],[LABEL]])</f>
        <v>13</v>
      </c>
      <c r="P723" s="116">
        <v>15</v>
      </c>
      <c r="Q723" s="116" t="e">
        <f>ROUND(Tableau18[[#This Row],[LEN]]*#REF!+#REF!,0)</f>
        <v>#REF!</v>
      </c>
    </row>
    <row r="724" spans="1:17" s="97" customFormat="1" x14ac:dyDescent="0.25">
      <c r="A724" s="45" t="s">
        <v>1526</v>
      </c>
      <c r="B724" s="46" t="s">
        <v>1506</v>
      </c>
      <c r="C724" s="47" t="s">
        <v>1527</v>
      </c>
      <c r="D724" s="75" t="s">
        <v>1177</v>
      </c>
      <c r="E724" s="47" t="s">
        <v>684</v>
      </c>
      <c r="F724" s="47" t="s">
        <v>1177</v>
      </c>
      <c r="G724" s="75" t="s">
        <v>68</v>
      </c>
      <c r="H724" s="75" t="s">
        <v>18</v>
      </c>
      <c r="I724" s="47"/>
      <c r="J724" s="48" t="s">
        <v>708</v>
      </c>
      <c r="K724" s="48" t="str">
        <f t="shared" si="22"/>
        <v>_</v>
      </c>
      <c r="L724" s="116">
        <f>ROUND(Tableau18[[#This Row],[LEN]]*7.27,0)</f>
        <v>233</v>
      </c>
      <c r="M724" s="116">
        <v>15</v>
      </c>
      <c r="N724" s="133" t="str">
        <f t="shared" si="23"/>
        <v>_self</v>
      </c>
      <c r="O724" s="116">
        <f>LEN(Tableau18[[#This Row],[LABEL]])</f>
        <v>32</v>
      </c>
      <c r="P724" s="116">
        <v>15</v>
      </c>
      <c r="Q724" s="116" t="e">
        <f>ROUND(Tableau18[[#This Row],[LEN]]*#REF!+#REF!,0)</f>
        <v>#REF!</v>
      </c>
    </row>
    <row r="725" spans="1:17" s="97" customFormat="1" x14ac:dyDescent="0.25">
      <c r="A725" s="41" t="s">
        <v>1507</v>
      </c>
      <c r="B725" s="42" t="s">
        <v>288</v>
      </c>
      <c r="C725" s="43" t="s">
        <v>1528</v>
      </c>
      <c r="D725" s="74" t="s">
        <v>1177</v>
      </c>
      <c r="E725" s="43" t="s">
        <v>667</v>
      </c>
      <c r="F725" s="43" t="s">
        <v>1084</v>
      </c>
      <c r="G725" s="74" t="s">
        <v>1977</v>
      </c>
      <c r="H725" s="74" t="s">
        <v>1131</v>
      </c>
      <c r="I725" s="43"/>
      <c r="J725" s="44" t="s">
        <v>708</v>
      </c>
      <c r="K725" s="44" t="str">
        <f t="shared" si="22"/>
        <v>_</v>
      </c>
      <c r="L725" s="115">
        <f>ROUND(Tableau18[[#This Row],[LEN]]*7.27,0)</f>
        <v>174</v>
      </c>
      <c r="M725" s="115">
        <v>15</v>
      </c>
      <c r="N725" s="132" t="str">
        <f t="shared" si="23"/>
        <v>_self</v>
      </c>
      <c r="O725" s="115">
        <f>LEN(Tableau18[[#This Row],[LABEL]])</f>
        <v>24</v>
      </c>
      <c r="P725" s="115">
        <v>15</v>
      </c>
      <c r="Q725" s="115" t="e">
        <f>ROUND(Tableau18[[#This Row],[LEN]]*#REF!+#REF!,0)</f>
        <v>#REF!</v>
      </c>
    </row>
    <row r="726" spans="1:17" s="97" customFormat="1" x14ac:dyDescent="0.25">
      <c r="A726" s="41" t="s">
        <v>1508</v>
      </c>
      <c r="B726" s="42" t="s">
        <v>288</v>
      </c>
      <c r="C726" s="43" t="s">
        <v>1529</v>
      </c>
      <c r="D726" s="74" t="s">
        <v>1177</v>
      </c>
      <c r="E726" s="43" t="s">
        <v>672</v>
      </c>
      <c r="F726" s="43" t="s">
        <v>666</v>
      </c>
      <c r="G726" s="74" t="s">
        <v>68</v>
      </c>
      <c r="H726" s="74" t="s">
        <v>656</v>
      </c>
      <c r="I726" s="43"/>
      <c r="J726" s="44" t="s">
        <v>708</v>
      </c>
      <c r="K726" s="44" t="str">
        <f t="shared" si="22"/>
        <v>_</v>
      </c>
      <c r="L726" s="115">
        <f>ROUND(Tableau18[[#This Row],[LEN]]*7.27,0)</f>
        <v>218</v>
      </c>
      <c r="M726" s="115">
        <v>15</v>
      </c>
      <c r="N726" s="132" t="str">
        <f t="shared" si="23"/>
        <v>_self</v>
      </c>
      <c r="O726" s="115">
        <f>LEN(Tableau18[[#This Row],[LABEL]])</f>
        <v>30</v>
      </c>
      <c r="P726" s="115">
        <v>15</v>
      </c>
      <c r="Q726" s="115" t="e">
        <f>ROUND(Tableau18[[#This Row],[LEN]]*#REF!+#REF!,0)</f>
        <v>#REF!</v>
      </c>
    </row>
    <row r="727" spans="1:17" s="273" customFormat="1" x14ac:dyDescent="0.25">
      <c r="A727" s="330" t="s">
        <v>289</v>
      </c>
      <c r="B727" s="331" t="s">
        <v>208</v>
      </c>
      <c r="C727" s="332" t="s">
        <v>80</v>
      </c>
      <c r="D727" s="333" t="s">
        <v>1177</v>
      </c>
      <c r="E727" s="332" t="s">
        <v>667</v>
      </c>
      <c r="F727" s="332" t="s">
        <v>1177</v>
      </c>
      <c r="G727" s="333" t="s">
        <v>68</v>
      </c>
      <c r="H727" s="333" t="str">
        <f>IFERROR(IF(SEARCH(".00.00.00.00.00",Tableau18[[#This Row],[name]],1)=7,"Division",""),"")</f>
        <v>Division</v>
      </c>
      <c r="I727" s="332"/>
      <c r="J727" s="334" t="s">
        <v>708</v>
      </c>
      <c r="K727" s="334" t="str">
        <f t="shared" si="22"/>
        <v>_</v>
      </c>
      <c r="L727" s="335">
        <f>ROUND(Tableau18[[#This Row],[LEN]]*7.27,0)</f>
        <v>116</v>
      </c>
      <c r="M727" s="335">
        <v>15</v>
      </c>
      <c r="N727" s="336" t="str">
        <f t="shared" si="23"/>
        <v>_self</v>
      </c>
      <c r="O727" s="335">
        <f>LEN(Tableau18[[#This Row],[LABEL]])</f>
        <v>16</v>
      </c>
      <c r="P727" s="335">
        <v>15</v>
      </c>
      <c r="Q727" s="335" t="e">
        <f>ROUND(Tableau18[[#This Row],[LEN]]*#REF!+#REF!,0)</f>
        <v>#REF!</v>
      </c>
    </row>
    <row r="728" spans="1:17" s="97" customFormat="1" x14ac:dyDescent="0.25">
      <c r="A728" s="41" t="s">
        <v>1531</v>
      </c>
      <c r="B728" s="42" t="s">
        <v>289</v>
      </c>
      <c r="C728" s="43" t="s">
        <v>738</v>
      </c>
      <c r="D728" s="74" t="s">
        <v>1177</v>
      </c>
      <c r="E728" s="43" t="s">
        <v>662</v>
      </c>
      <c r="F728" s="43" t="s">
        <v>2085</v>
      </c>
      <c r="G728" s="74" t="s">
        <v>68</v>
      </c>
      <c r="H728" s="74" t="s">
        <v>56</v>
      </c>
      <c r="I728" s="43"/>
      <c r="J728" s="44" t="s">
        <v>708</v>
      </c>
      <c r="K728" s="44" t="str">
        <f t="shared" si="22"/>
        <v>_</v>
      </c>
      <c r="L728" s="115">
        <f>ROUND(Tableau18[[#This Row],[LEN]]*7.27,0)</f>
        <v>247</v>
      </c>
      <c r="M728" s="115">
        <v>15</v>
      </c>
      <c r="N728" s="132" t="str">
        <f t="shared" si="23"/>
        <v>_self</v>
      </c>
      <c r="O728" s="115">
        <f>LEN(Tableau18[[#This Row],[LABEL]])</f>
        <v>34</v>
      </c>
      <c r="P728" s="115">
        <v>15</v>
      </c>
      <c r="Q728" s="115" t="e">
        <f>ROUND(Tableau18[[#This Row],[LEN]]*#REF!+#REF!,0)</f>
        <v>#REF!</v>
      </c>
    </row>
    <row r="729" spans="1:17" s="97" customFormat="1" x14ac:dyDescent="0.25">
      <c r="A729" s="41" t="s">
        <v>1532</v>
      </c>
      <c r="B729" s="42" t="s">
        <v>289</v>
      </c>
      <c r="C729" s="43" t="s">
        <v>849</v>
      </c>
      <c r="D729" s="74" t="s">
        <v>1177</v>
      </c>
      <c r="E729" s="43" t="s">
        <v>667</v>
      </c>
      <c r="F729" s="43" t="s">
        <v>840</v>
      </c>
      <c r="G729" s="74" t="s">
        <v>68</v>
      </c>
      <c r="H729" s="74" t="s">
        <v>655</v>
      </c>
      <c r="I729" s="43"/>
      <c r="J729" s="44" t="s">
        <v>708</v>
      </c>
      <c r="K729" s="44" t="str">
        <f t="shared" si="22"/>
        <v>_</v>
      </c>
      <c r="L729" s="115">
        <f>ROUND(Tableau18[[#This Row],[LEN]]*7.27,0)</f>
        <v>80</v>
      </c>
      <c r="M729" s="115">
        <v>15</v>
      </c>
      <c r="N729" s="132" t="str">
        <f t="shared" si="23"/>
        <v>_self</v>
      </c>
      <c r="O729" s="115">
        <f>LEN(Tableau18[[#This Row],[LABEL]])</f>
        <v>11</v>
      </c>
      <c r="P729" s="115">
        <v>15</v>
      </c>
      <c r="Q729" s="115" t="e">
        <f>ROUND(Tableau18[[#This Row],[LEN]]*#REF!+#REF!,0)</f>
        <v>#REF!</v>
      </c>
    </row>
    <row r="730" spans="1:17" s="97" customFormat="1" x14ac:dyDescent="0.25">
      <c r="A730" s="45" t="s">
        <v>1536</v>
      </c>
      <c r="B730" s="46" t="s">
        <v>1532</v>
      </c>
      <c r="C730" s="47" t="s">
        <v>112</v>
      </c>
      <c r="D730" s="75" t="s">
        <v>1177</v>
      </c>
      <c r="E730" s="47" t="s">
        <v>667</v>
      </c>
      <c r="F730" s="47" t="s">
        <v>2006</v>
      </c>
      <c r="G730" s="75" t="s">
        <v>68</v>
      </c>
      <c r="H730" s="75" t="s">
        <v>654</v>
      </c>
      <c r="I730" s="47"/>
      <c r="J730" s="48" t="s">
        <v>708</v>
      </c>
      <c r="K730" s="48" t="str">
        <f t="shared" si="22"/>
        <v>_</v>
      </c>
      <c r="L730" s="116">
        <f>ROUND(Tableau18[[#This Row],[LEN]]*7.27,0)</f>
        <v>167</v>
      </c>
      <c r="M730" s="116">
        <v>15</v>
      </c>
      <c r="N730" s="133" t="str">
        <f t="shared" si="23"/>
        <v>_self</v>
      </c>
      <c r="O730" s="116">
        <f>LEN(Tableau18[[#This Row],[LABEL]])</f>
        <v>23</v>
      </c>
      <c r="P730" s="116">
        <v>15</v>
      </c>
      <c r="Q730" s="116" t="e">
        <f>ROUND(Tableau18[[#This Row],[LEN]]*#REF!+#REF!,0)</f>
        <v>#REF!</v>
      </c>
    </row>
    <row r="731" spans="1:17" s="97" customFormat="1" x14ac:dyDescent="0.25">
      <c r="A731" s="45" t="s">
        <v>1537</v>
      </c>
      <c r="B731" s="46" t="s">
        <v>1532</v>
      </c>
      <c r="C731" s="47" t="s">
        <v>113</v>
      </c>
      <c r="D731" s="75" t="s">
        <v>1177</v>
      </c>
      <c r="E731" s="47" t="s">
        <v>667</v>
      </c>
      <c r="F731" s="47" t="s">
        <v>2006</v>
      </c>
      <c r="G731" s="75" t="s">
        <v>68</v>
      </c>
      <c r="H731" s="75" t="s">
        <v>654</v>
      </c>
      <c r="I731" s="47"/>
      <c r="J731" s="48" t="s">
        <v>708</v>
      </c>
      <c r="K731" s="48" t="str">
        <f t="shared" si="22"/>
        <v>_</v>
      </c>
      <c r="L731" s="116">
        <f>ROUND(Tableau18[[#This Row],[LEN]]*7.27,0)</f>
        <v>233</v>
      </c>
      <c r="M731" s="116">
        <v>15</v>
      </c>
      <c r="N731" s="133" t="str">
        <f t="shared" si="23"/>
        <v>_self</v>
      </c>
      <c r="O731" s="116">
        <f>LEN(Tableau18[[#This Row],[LABEL]])</f>
        <v>32</v>
      </c>
      <c r="P731" s="116">
        <v>15</v>
      </c>
      <c r="Q731" s="116" t="e">
        <f>ROUND(Tableau18[[#This Row],[LEN]]*#REF!+#REF!,0)</f>
        <v>#REF!</v>
      </c>
    </row>
    <row r="732" spans="1:17" s="97" customFormat="1" x14ac:dyDescent="0.25">
      <c r="A732" s="41" t="s">
        <v>1533</v>
      </c>
      <c r="B732" s="42" t="s">
        <v>289</v>
      </c>
      <c r="C732" s="43" t="s">
        <v>122</v>
      </c>
      <c r="D732" s="74" t="s">
        <v>1514</v>
      </c>
      <c r="E732" s="43" t="s">
        <v>667</v>
      </c>
      <c r="F732" s="43" t="s">
        <v>2084</v>
      </c>
      <c r="G732" s="74" t="s">
        <v>68</v>
      </c>
      <c r="H732" s="74" t="s">
        <v>656</v>
      </c>
      <c r="I732" s="43"/>
      <c r="J732" s="44" t="s">
        <v>708</v>
      </c>
      <c r="K732" s="44" t="str">
        <f t="shared" si="22"/>
        <v>_</v>
      </c>
      <c r="L732" s="115">
        <f>ROUND(Tableau18[[#This Row],[LEN]]*7.27,0)</f>
        <v>145</v>
      </c>
      <c r="M732" s="115">
        <v>15</v>
      </c>
      <c r="N732" s="132" t="str">
        <f t="shared" si="23"/>
        <v>_self</v>
      </c>
      <c r="O732" s="115">
        <f>LEN(Tableau18[[#This Row],[LABEL]])</f>
        <v>20</v>
      </c>
      <c r="P732" s="115">
        <v>15</v>
      </c>
      <c r="Q732" s="115" t="e">
        <f>ROUND(Tableau18[[#This Row],[LEN]]*#REF!+#REF!,0)</f>
        <v>#REF!</v>
      </c>
    </row>
    <row r="733" spans="1:17" s="97" customFormat="1" x14ac:dyDescent="0.25">
      <c r="A733" s="41" t="s">
        <v>1534</v>
      </c>
      <c r="B733" s="42" t="s">
        <v>289</v>
      </c>
      <c r="C733" s="43" t="s">
        <v>1538</v>
      </c>
      <c r="D733" s="74" t="s">
        <v>1539</v>
      </c>
      <c r="E733" s="43" t="s">
        <v>1177</v>
      </c>
      <c r="F733" s="43" t="s">
        <v>1084</v>
      </c>
      <c r="G733" s="74" t="s">
        <v>1977</v>
      </c>
      <c r="H733" s="74" t="s">
        <v>1131</v>
      </c>
      <c r="I733" s="43"/>
      <c r="J733" s="44" t="s">
        <v>708</v>
      </c>
      <c r="K733" s="44" t="str">
        <f t="shared" si="22"/>
        <v>_</v>
      </c>
      <c r="L733" s="115">
        <f>ROUND(Tableau18[[#This Row],[LEN]]*7.27,0)</f>
        <v>240</v>
      </c>
      <c r="M733" s="115">
        <v>15</v>
      </c>
      <c r="N733" s="132" t="str">
        <f t="shared" si="23"/>
        <v>_self</v>
      </c>
      <c r="O733" s="115">
        <f>LEN(Tableau18[[#This Row],[LABEL]])</f>
        <v>33</v>
      </c>
      <c r="P733" s="115">
        <v>15</v>
      </c>
      <c r="Q733" s="115" t="e">
        <f>ROUND(Tableau18[[#This Row],[LEN]]*#REF!+#REF!,0)</f>
        <v>#REF!</v>
      </c>
    </row>
    <row r="734" spans="1:17" s="97" customFormat="1" x14ac:dyDescent="0.25">
      <c r="A734" s="41" t="s">
        <v>1535</v>
      </c>
      <c r="B734" s="42" t="s">
        <v>289</v>
      </c>
      <c r="C734" s="43" t="s">
        <v>1540</v>
      </c>
      <c r="D734" s="74" t="s">
        <v>1177</v>
      </c>
      <c r="E734" s="43" t="s">
        <v>667</v>
      </c>
      <c r="F734" s="43" t="s">
        <v>684</v>
      </c>
      <c r="G734" s="74" t="s">
        <v>68</v>
      </c>
      <c r="H734" s="74" t="s">
        <v>656</v>
      </c>
      <c r="I734" s="43"/>
      <c r="J734" s="44" t="s">
        <v>708</v>
      </c>
      <c r="K734" s="44" t="str">
        <f t="shared" si="22"/>
        <v>_</v>
      </c>
      <c r="L734" s="115">
        <f>ROUND(Tableau18[[#This Row],[LEN]]*7.27,0)</f>
        <v>407</v>
      </c>
      <c r="M734" s="115">
        <v>15</v>
      </c>
      <c r="N734" s="132" t="str">
        <f t="shared" si="23"/>
        <v>_self</v>
      </c>
      <c r="O734" s="115">
        <f>LEN(Tableau18[[#This Row],[LABEL]])</f>
        <v>56</v>
      </c>
      <c r="P734" s="115">
        <v>15</v>
      </c>
      <c r="Q734" s="115" t="e">
        <f>ROUND(Tableau18[[#This Row],[LEN]]*#REF!+#REF!,0)</f>
        <v>#REF!</v>
      </c>
    </row>
    <row r="735" spans="1:17" s="273" customFormat="1" x14ac:dyDescent="0.25">
      <c r="A735" s="330" t="s">
        <v>290</v>
      </c>
      <c r="B735" s="331" t="s">
        <v>208</v>
      </c>
      <c r="C735" s="332" t="s">
        <v>5</v>
      </c>
      <c r="D735" s="333" t="s">
        <v>1177</v>
      </c>
      <c r="E735" s="332" t="s">
        <v>668</v>
      </c>
      <c r="F735" s="332" t="s">
        <v>1177</v>
      </c>
      <c r="G735" s="333" t="s">
        <v>68</v>
      </c>
      <c r="H735" s="333" t="str">
        <f>IFERROR(IF(SEARCH(".00.00.00.00.00",Tableau18[[#This Row],[name]],1)=7,"Division",""),"")</f>
        <v>Division</v>
      </c>
      <c r="I735" s="332"/>
      <c r="J735" s="334" t="s">
        <v>708</v>
      </c>
      <c r="K735" s="334" t="str">
        <f t="shared" si="22"/>
        <v>_</v>
      </c>
      <c r="L735" s="335">
        <f>ROUND(Tableau18[[#This Row],[LEN]]*7.27,0)</f>
        <v>73</v>
      </c>
      <c r="M735" s="335">
        <v>15</v>
      </c>
      <c r="N735" s="336" t="str">
        <f t="shared" si="23"/>
        <v>_self</v>
      </c>
      <c r="O735" s="335">
        <f>LEN(Tableau18[[#This Row],[LABEL]])</f>
        <v>10</v>
      </c>
      <c r="P735" s="335">
        <v>15</v>
      </c>
      <c r="Q735" s="335" t="e">
        <f>ROUND(Tableau18[[#This Row],[LEN]]*#REF!+#REF!,0)</f>
        <v>#REF!</v>
      </c>
    </row>
    <row r="736" spans="1:17" s="97" customFormat="1" x14ac:dyDescent="0.25">
      <c r="A736" s="41" t="s">
        <v>1541</v>
      </c>
      <c r="B736" s="42" t="s">
        <v>290</v>
      </c>
      <c r="C736" s="43" t="s">
        <v>738</v>
      </c>
      <c r="D736" s="74" t="s">
        <v>1177</v>
      </c>
      <c r="E736" s="43" t="s">
        <v>662</v>
      </c>
      <c r="F736" s="43" t="s">
        <v>2085</v>
      </c>
      <c r="G736" s="74" t="s">
        <v>68</v>
      </c>
      <c r="H736" s="74" t="s">
        <v>56</v>
      </c>
      <c r="I736" s="43"/>
      <c r="J736" s="44" t="s">
        <v>708</v>
      </c>
      <c r="K736" s="44" t="str">
        <f t="shared" si="22"/>
        <v>_</v>
      </c>
      <c r="L736" s="115">
        <f>ROUND(Tableau18[[#This Row],[LEN]]*7.27,0)</f>
        <v>247</v>
      </c>
      <c r="M736" s="115">
        <v>15</v>
      </c>
      <c r="N736" s="132" t="str">
        <f t="shared" si="23"/>
        <v>_self</v>
      </c>
      <c r="O736" s="115">
        <f>LEN(Tableau18[[#This Row],[LABEL]])</f>
        <v>34</v>
      </c>
      <c r="P736" s="115">
        <v>15</v>
      </c>
      <c r="Q736" s="115" t="e">
        <f>ROUND(Tableau18[[#This Row],[LEN]]*#REF!+#REF!,0)</f>
        <v>#REF!</v>
      </c>
    </row>
    <row r="737" spans="1:17" s="97" customFormat="1" x14ac:dyDescent="0.25">
      <c r="A737" s="41" t="s">
        <v>1542</v>
      </c>
      <c r="B737" s="42" t="s">
        <v>290</v>
      </c>
      <c r="C737" s="43" t="s">
        <v>122</v>
      </c>
      <c r="D737" s="74" t="s">
        <v>1514</v>
      </c>
      <c r="E737" s="43" t="s">
        <v>667</v>
      </c>
      <c r="F737" s="43" t="s">
        <v>2084</v>
      </c>
      <c r="G737" s="74" t="s">
        <v>68</v>
      </c>
      <c r="H737" s="74" t="s">
        <v>656</v>
      </c>
      <c r="I737" s="43"/>
      <c r="J737" s="44" t="s">
        <v>708</v>
      </c>
      <c r="K737" s="44" t="str">
        <f t="shared" si="22"/>
        <v>_</v>
      </c>
      <c r="L737" s="115">
        <f>ROUND(Tableau18[[#This Row],[LEN]]*7.27,0)</f>
        <v>145</v>
      </c>
      <c r="M737" s="115">
        <v>15</v>
      </c>
      <c r="N737" s="132" t="str">
        <f t="shared" si="23"/>
        <v>_self</v>
      </c>
      <c r="O737" s="115">
        <f>LEN(Tableau18[[#This Row],[LABEL]])</f>
        <v>20</v>
      </c>
      <c r="P737" s="115">
        <v>15</v>
      </c>
      <c r="Q737" s="115" t="e">
        <f>ROUND(Tableau18[[#This Row],[LEN]]*#REF!+#REF!,0)</f>
        <v>#REF!</v>
      </c>
    </row>
    <row r="738" spans="1:17" s="273" customFormat="1" x14ac:dyDescent="0.25">
      <c r="A738" s="330" t="s">
        <v>291</v>
      </c>
      <c r="B738" s="331" t="s">
        <v>208</v>
      </c>
      <c r="C738" s="332" t="s">
        <v>2147</v>
      </c>
      <c r="D738" s="333" t="s">
        <v>1177</v>
      </c>
      <c r="E738" s="332" t="s">
        <v>669</v>
      </c>
      <c r="F738" s="332" t="s">
        <v>1177</v>
      </c>
      <c r="G738" s="333" t="s">
        <v>68</v>
      </c>
      <c r="H738" s="333" t="str">
        <f>IFERROR(IF(SEARCH(".00.00.00.00.00",Tableau18[[#This Row],[name]],1)=7,"Division",""),"")</f>
        <v>Division</v>
      </c>
      <c r="I738" s="332"/>
      <c r="J738" s="334" t="s">
        <v>708</v>
      </c>
      <c r="K738" s="334" t="str">
        <f t="shared" si="22"/>
        <v>_</v>
      </c>
      <c r="L738" s="335">
        <f>ROUND(Tableau18[[#This Row],[LEN]]*7.27,0)</f>
        <v>196</v>
      </c>
      <c r="M738" s="335">
        <v>15</v>
      </c>
      <c r="N738" s="336" t="str">
        <f t="shared" si="23"/>
        <v>_self</v>
      </c>
      <c r="O738" s="335">
        <f>LEN(Tableau18[[#This Row],[LABEL]])</f>
        <v>27</v>
      </c>
      <c r="P738" s="335">
        <v>15</v>
      </c>
      <c r="Q738" s="335" t="e">
        <f>ROUND(Tableau18[[#This Row],[LEN]]*#REF!+#REF!,0)</f>
        <v>#REF!</v>
      </c>
    </row>
    <row r="739" spans="1:17" s="97" customFormat="1" x14ac:dyDescent="0.25">
      <c r="A739" s="41" t="s">
        <v>449</v>
      </c>
      <c r="B739" s="42" t="s">
        <v>291</v>
      </c>
      <c r="C739" s="43" t="s">
        <v>164</v>
      </c>
      <c r="D739" s="74" t="s">
        <v>1177</v>
      </c>
      <c r="E739" s="43" t="s">
        <v>669</v>
      </c>
      <c r="F739" s="43" t="s">
        <v>1177</v>
      </c>
      <c r="G739" s="74" t="s">
        <v>68</v>
      </c>
      <c r="H739" s="74" t="s">
        <v>18</v>
      </c>
      <c r="I739" s="43"/>
      <c r="J739" s="44" t="s">
        <v>708</v>
      </c>
      <c r="K739" s="44" t="str">
        <f t="shared" si="22"/>
        <v>_</v>
      </c>
      <c r="L739" s="115">
        <f>ROUND(Tableau18[[#This Row],[LEN]]*7.27,0)</f>
        <v>131</v>
      </c>
      <c r="M739" s="115">
        <v>15</v>
      </c>
      <c r="N739" s="132" t="str">
        <f t="shared" si="23"/>
        <v>_self</v>
      </c>
      <c r="O739" s="115">
        <f>LEN(Tableau18[[#This Row],[LABEL]])</f>
        <v>18</v>
      </c>
      <c r="P739" s="115">
        <v>15</v>
      </c>
      <c r="Q739" s="115" t="e">
        <f>ROUND(Tableau18[[#This Row],[LEN]]*#REF!+#REF!,0)</f>
        <v>#REF!</v>
      </c>
    </row>
    <row r="740" spans="1:17" s="97" customFormat="1" x14ac:dyDescent="0.25">
      <c r="A740" s="41" t="s">
        <v>450</v>
      </c>
      <c r="B740" s="42" t="s">
        <v>291</v>
      </c>
      <c r="C740" s="43" t="s">
        <v>849</v>
      </c>
      <c r="D740" s="74" t="s">
        <v>1177</v>
      </c>
      <c r="E740" s="43" t="s">
        <v>667</v>
      </c>
      <c r="F740" s="43" t="s">
        <v>840</v>
      </c>
      <c r="G740" s="74" t="s">
        <v>68</v>
      </c>
      <c r="H740" s="74" t="s">
        <v>655</v>
      </c>
      <c r="I740" s="43"/>
      <c r="J740" s="44" t="s">
        <v>708</v>
      </c>
      <c r="K740" s="44" t="str">
        <f t="shared" si="22"/>
        <v>_</v>
      </c>
      <c r="L740" s="115">
        <f>ROUND(Tableau18[[#This Row],[LEN]]*7.27,0)</f>
        <v>80</v>
      </c>
      <c r="M740" s="115">
        <v>15</v>
      </c>
      <c r="N740" s="132" t="str">
        <f t="shared" si="23"/>
        <v>_self</v>
      </c>
      <c r="O740" s="115">
        <f>LEN(Tableau18[[#This Row],[LABEL]])</f>
        <v>11</v>
      </c>
      <c r="P740" s="115">
        <v>15</v>
      </c>
      <c r="Q740" s="115" t="e">
        <f>ROUND(Tableau18[[#This Row],[LEN]]*#REF!+#REF!,0)</f>
        <v>#REF!</v>
      </c>
    </row>
    <row r="741" spans="1:17" s="97" customFormat="1" x14ac:dyDescent="0.25">
      <c r="A741" s="45" t="s">
        <v>468</v>
      </c>
      <c r="B741" s="46" t="s">
        <v>450</v>
      </c>
      <c r="C741" s="47" t="s">
        <v>112</v>
      </c>
      <c r="D741" s="75" t="s">
        <v>1177</v>
      </c>
      <c r="E741" s="47" t="s">
        <v>667</v>
      </c>
      <c r="F741" s="47" t="s">
        <v>2006</v>
      </c>
      <c r="G741" s="75" t="s">
        <v>68</v>
      </c>
      <c r="H741" s="75" t="s">
        <v>654</v>
      </c>
      <c r="I741" s="47"/>
      <c r="J741" s="48" t="s">
        <v>708</v>
      </c>
      <c r="K741" s="48" t="str">
        <f t="shared" si="22"/>
        <v>_</v>
      </c>
      <c r="L741" s="116">
        <f>ROUND(Tableau18[[#This Row],[LEN]]*7.27,0)</f>
        <v>167</v>
      </c>
      <c r="M741" s="116">
        <v>15</v>
      </c>
      <c r="N741" s="133" t="str">
        <f t="shared" si="23"/>
        <v>_self</v>
      </c>
      <c r="O741" s="116">
        <f>LEN(Tableau18[[#This Row],[LABEL]])</f>
        <v>23</v>
      </c>
      <c r="P741" s="116">
        <v>15</v>
      </c>
      <c r="Q741" s="116" t="e">
        <f>ROUND(Tableau18[[#This Row],[LEN]]*#REF!+#REF!,0)</f>
        <v>#REF!</v>
      </c>
    </row>
    <row r="742" spans="1:17" s="97" customFormat="1" x14ac:dyDescent="0.25">
      <c r="A742" s="45" t="s">
        <v>469</v>
      </c>
      <c r="B742" s="46" t="s">
        <v>450</v>
      </c>
      <c r="C742" s="47" t="s">
        <v>113</v>
      </c>
      <c r="D742" s="75" t="s">
        <v>1177</v>
      </c>
      <c r="E742" s="47" t="s">
        <v>667</v>
      </c>
      <c r="F742" s="47" t="s">
        <v>2006</v>
      </c>
      <c r="G742" s="75" t="s">
        <v>68</v>
      </c>
      <c r="H742" s="75" t="s">
        <v>654</v>
      </c>
      <c r="I742" s="47"/>
      <c r="J742" s="48" t="s">
        <v>708</v>
      </c>
      <c r="K742" s="48" t="str">
        <f t="shared" si="22"/>
        <v>_</v>
      </c>
      <c r="L742" s="116">
        <f>ROUND(Tableau18[[#This Row],[LEN]]*7.27,0)</f>
        <v>233</v>
      </c>
      <c r="M742" s="116">
        <v>15</v>
      </c>
      <c r="N742" s="133" t="str">
        <f t="shared" si="23"/>
        <v>_self</v>
      </c>
      <c r="O742" s="116">
        <f>LEN(Tableau18[[#This Row],[LABEL]])</f>
        <v>32</v>
      </c>
      <c r="P742" s="116">
        <v>15</v>
      </c>
      <c r="Q742" s="116" t="e">
        <f>ROUND(Tableau18[[#This Row],[LEN]]*#REF!+#REF!,0)</f>
        <v>#REF!</v>
      </c>
    </row>
    <row r="743" spans="1:17" s="97" customFormat="1" x14ac:dyDescent="0.25">
      <c r="A743" s="41" t="s">
        <v>451</v>
      </c>
      <c r="B743" s="42" t="s">
        <v>291</v>
      </c>
      <c r="C743" s="43" t="s">
        <v>122</v>
      </c>
      <c r="D743" s="74" t="s">
        <v>1514</v>
      </c>
      <c r="E743" s="43" t="s">
        <v>667</v>
      </c>
      <c r="F743" s="43" t="s">
        <v>2084</v>
      </c>
      <c r="G743" s="74" t="s">
        <v>68</v>
      </c>
      <c r="H743" s="74" t="s">
        <v>656</v>
      </c>
      <c r="I743" s="43"/>
      <c r="J743" s="44" t="s">
        <v>708</v>
      </c>
      <c r="K743" s="44" t="str">
        <f t="shared" si="22"/>
        <v>_</v>
      </c>
      <c r="L743" s="115">
        <f>ROUND(Tableau18[[#This Row],[LEN]]*7.27,0)</f>
        <v>145</v>
      </c>
      <c r="M743" s="115">
        <v>15</v>
      </c>
      <c r="N743" s="132" t="str">
        <f t="shared" si="23"/>
        <v>_self</v>
      </c>
      <c r="O743" s="115">
        <f>LEN(Tableau18[[#This Row],[LABEL]])</f>
        <v>20</v>
      </c>
      <c r="P743" s="115">
        <v>15</v>
      </c>
      <c r="Q743" s="115" t="e">
        <f>ROUND(Tableau18[[#This Row],[LEN]]*#REF!+#REF!,0)</f>
        <v>#REF!</v>
      </c>
    </row>
    <row r="744" spans="1:17" s="97" customFormat="1" x14ac:dyDescent="0.25">
      <c r="A744" s="41" t="s">
        <v>452</v>
      </c>
      <c r="B744" s="42" t="s">
        <v>291</v>
      </c>
      <c r="C744" s="43" t="s">
        <v>165</v>
      </c>
      <c r="D744" s="74" t="s">
        <v>1177</v>
      </c>
      <c r="E744" s="43" t="s">
        <v>669</v>
      </c>
      <c r="F744" s="43" t="s">
        <v>1177</v>
      </c>
      <c r="G744" s="74" t="s">
        <v>68</v>
      </c>
      <c r="H744" s="74" t="s">
        <v>656</v>
      </c>
      <c r="I744" s="43"/>
      <c r="J744" s="44" t="s">
        <v>708</v>
      </c>
      <c r="K744" s="44" t="str">
        <f t="shared" si="22"/>
        <v>_</v>
      </c>
      <c r="L744" s="115">
        <f>ROUND(Tableau18[[#This Row],[LEN]]*7.27,0)</f>
        <v>189</v>
      </c>
      <c r="M744" s="115">
        <v>15</v>
      </c>
      <c r="N744" s="132" t="str">
        <f t="shared" si="23"/>
        <v>_self</v>
      </c>
      <c r="O744" s="115">
        <f>LEN(Tableau18[[#This Row],[LABEL]])</f>
        <v>26</v>
      </c>
      <c r="P744" s="115">
        <v>15</v>
      </c>
      <c r="Q744" s="115" t="e">
        <f>ROUND(Tableau18[[#This Row],[LEN]]*#REF!+#REF!,0)</f>
        <v>#REF!</v>
      </c>
    </row>
    <row r="745" spans="1:17" s="97" customFormat="1" x14ac:dyDescent="0.25">
      <c r="A745" s="41" t="s">
        <v>1619</v>
      </c>
      <c r="B745" s="42" t="s">
        <v>291</v>
      </c>
      <c r="C745" s="43" t="s">
        <v>1618</v>
      </c>
      <c r="D745" s="74" t="s">
        <v>1177</v>
      </c>
      <c r="E745" s="43" t="s">
        <v>669</v>
      </c>
      <c r="F745" s="43" t="s">
        <v>678</v>
      </c>
      <c r="G745" s="74" t="s">
        <v>68</v>
      </c>
      <c r="H745" s="74" t="s">
        <v>656</v>
      </c>
      <c r="I745" s="43"/>
      <c r="J745" s="44" t="s">
        <v>708</v>
      </c>
      <c r="K745" s="44" t="str">
        <f t="shared" si="22"/>
        <v>_</v>
      </c>
      <c r="L745" s="115">
        <f>ROUND(Tableau18[[#This Row],[LEN]]*7.27,0)</f>
        <v>225</v>
      </c>
      <c r="M745" s="115">
        <v>15</v>
      </c>
      <c r="N745" s="132" t="str">
        <f t="shared" si="23"/>
        <v>_self</v>
      </c>
      <c r="O745" s="115">
        <f>LEN(Tableau18[[#This Row],[LABEL]])</f>
        <v>31</v>
      </c>
      <c r="P745" s="115">
        <v>15</v>
      </c>
      <c r="Q745" s="115" t="e">
        <f>ROUND(Tableau18[[#This Row],[LEN]]*#REF!+#REF!,0)</f>
        <v>#REF!</v>
      </c>
    </row>
    <row r="746" spans="1:17" s="273" customFormat="1" x14ac:dyDescent="0.25">
      <c r="A746" s="330" t="s">
        <v>292</v>
      </c>
      <c r="B746" s="331" t="s">
        <v>208</v>
      </c>
      <c r="C746" s="332" t="s">
        <v>7</v>
      </c>
      <c r="D746" s="333" t="s">
        <v>1177</v>
      </c>
      <c r="E746" s="332" t="s">
        <v>670</v>
      </c>
      <c r="F746" s="332" t="s">
        <v>1177</v>
      </c>
      <c r="G746" s="333" t="s">
        <v>68</v>
      </c>
      <c r="H746" s="333" t="str">
        <f>IFERROR(IF(SEARCH(".00.00.00.00.00",Tableau18[[#This Row],[name]],1)=7,"Division",""),"")</f>
        <v>Division</v>
      </c>
      <c r="I746" s="332"/>
      <c r="J746" s="334" t="s">
        <v>708</v>
      </c>
      <c r="K746" s="334" t="str">
        <f t="shared" si="22"/>
        <v>_</v>
      </c>
      <c r="L746" s="335">
        <f>ROUND(Tableau18[[#This Row],[LEN]]*7.27,0)</f>
        <v>189</v>
      </c>
      <c r="M746" s="335">
        <v>15</v>
      </c>
      <c r="N746" s="336" t="str">
        <f t="shared" si="23"/>
        <v>_self</v>
      </c>
      <c r="O746" s="335">
        <f>LEN(Tableau18[[#This Row],[LABEL]])</f>
        <v>26</v>
      </c>
      <c r="P746" s="335">
        <v>15</v>
      </c>
      <c r="Q746" s="335" t="e">
        <f>ROUND(Tableau18[[#This Row],[LEN]]*#REF!+#REF!,0)</f>
        <v>#REF!</v>
      </c>
    </row>
    <row r="747" spans="1:17" s="97" customFormat="1" x14ac:dyDescent="0.25">
      <c r="A747" s="41" t="s">
        <v>1544</v>
      </c>
      <c r="B747" s="42" t="s">
        <v>292</v>
      </c>
      <c r="C747" s="43" t="s">
        <v>1547</v>
      </c>
      <c r="D747" s="74" t="s">
        <v>1177</v>
      </c>
      <c r="E747" s="43" t="s">
        <v>670</v>
      </c>
      <c r="F747" s="43" t="s">
        <v>1177</v>
      </c>
      <c r="G747" s="74" t="s">
        <v>68</v>
      </c>
      <c r="H747" s="74" t="s">
        <v>656</v>
      </c>
      <c r="I747" s="43"/>
      <c r="J747" s="44" t="s">
        <v>708</v>
      </c>
      <c r="K747" s="44" t="str">
        <f t="shared" si="22"/>
        <v>_</v>
      </c>
      <c r="L747" s="115">
        <f>ROUND(Tableau18[[#This Row],[LEN]]*7.27,0)</f>
        <v>436</v>
      </c>
      <c r="M747" s="115">
        <v>13</v>
      </c>
      <c r="N747" s="132" t="str">
        <f t="shared" si="23"/>
        <v>_self</v>
      </c>
      <c r="O747" s="115">
        <f>LEN(Tableau18[[#This Row],[LABEL]])</f>
        <v>60</v>
      </c>
      <c r="P747" s="115">
        <v>13</v>
      </c>
      <c r="Q747" s="115" t="e">
        <f>ROUND(Tableau18[[#This Row],[LEN]]*#REF!+#REF!,0)</f>
        <v>#REF!</v>
      </c>
    </row>
    <row r="748" spans="1:17" s="97" customFormat="1" x14ac:dyDescent="0.25">
      <c r="A748" s="41" t="s">
        <v>1545</v>
      </c>
      <c r="B748" s="42" t="s">
        <v>292</v>
      </c>
      <c r="C748" s="43" t="s">
        <v>1548</v>
      </c>
      <c r="D748" s="74" t="s">
        <v>1177</v>
      </c>
      <c r="E748" s="43" t="s">
        <v>670</v>
      </c>
      <c r="F748" s="43" t="s">
        <v>1177</v>
      </c>
      <c r="G748" s="74" t="s">
        <v>68</v>
      </c>
      <c r="H748" s="74" t="s">
        <v>656</v>
      </c>
      <c r="I748" s="43"/>
      <c r="J748" s="44" t="s">
        <v>708</v>
      </c>
      <c r="K748" s="44" t="str">
        <f t="shared" si="22"/>
        <v>_</v>
      </c>
      <c r="L748" s="115">
        <f>ROUND(Tableau18[[#This Row],[LEN]]*7.27,0)</f>
        <v>414</v>
      </c>
      <c r="M748" s="115">
        <v>14</v>
      </c>
      <c r="N748" s="132" t="str">
        <f t="shared" si="23"/>
        <v>_self</v>
      </c>
      <c r="O748" s="115">
        <f>LEN(Tableau18[[#This Row],[LABEL]])</f>
        <v>57</v>
      </c>
      <c r="P748" s="115">
        <v>14</v>
      </c>
      <c r="Q748" s="115" t="e">
        <f>ROUND(Tableau18[[#This Row],[LEN]]*#REF!+#REF!,0)</f>
        <v>#REF!</v>
      </c>
    </row>
    <row r="749" spans="1:17" s="97" customFormat="1" x14ac:dyDescent="0.25">
      <c r="A749" s="41" t="s">
        <v>1546</v>
      </c>
      <c r="B749" s="42" t="s">
        <v>292</v>
      </c>
      <c r="C749" s="43" t="s">
        <v>122</v>
      </c>
      <c r="D749" s="74" t="s">
        <v>1514</v>
      </c>
      <c r="E749" s="43" t="s">
        <v>667</v>
      </c>
      <c r="F749" s="43" t="s">
        <v>2084</v>
      </c>
      <c r="G749" s="74" t="s">
        <v>68</v>
      </c>
      <c r="H749" s="74" t="s">
        <v>656</v>
      </c>
      <c r="I749" s="43"/>
      <c r="J749" s="44" t="s">
        <v>708</v>
      </c>
      <c r="K749" s="44" t="str">
        <f t="shared" si="22"/>
        <v>_</v>
      </c>
      <c r="L749" s="115">
        <f>ROUND(Tableau18[[#This Row],[LEN]]*7.27,0)</f>
        <v>145</v>
      </c>
      <c r="M749" s="115">
        <v>15</v>
      </c>
      <c r="N749" s="132" t="str">
        <f t="shared" si="23"/>
        <v>_self</v>
      </c>
      <c r="O749" s="115">
        <f>LEN(Tableau18[[#This Row],[LABEL]])</f>
        <v>20</v>
      </c>
      <c r="P749" s="115">
        <v>15</v>
      </c>
      <c r="Q749" s="115" t="e">
        <f>ROUND(Tableau18[[#This Row],[LEN]]*#REF!+#REF!,0)</f>
        <v>#REF!</v>
      </c>
    </row>
    <row r="750" spans="1:17" s="273" customFormat="1" x14ac:dyDescent="0.25">
      <c r="A750" s="330" t="s">
        <v>293</v>
      </c>
      <c r="B750" s="331" t="s">
        <v>208</v>
      </c>
      <c r="C750" s="332" t="s">
        <v>8</v>
      </c>
      <c r="D750" s="333" t="s">
        <v>1177</v>
      </c>
      <c r="E750" s="332" t="s">
        <v>671</v>
      </c>
      <c r="F750" s="332" t="s">
        <v>1177</v>
      </c>
      <c r="G750" s="333" t="s">
        <v>68</v>
      </c>
      <c r="H750" s="333" t="str">
        <f>IFERROR(IF(SEARCH(".00.00.00.00.00",Tableau18[[#This Row],[name]],1)=7,"Division",""),"")</f>
        <v>Division</v>
      </c>
      <c r="I750" s="332"/>
      <c r="J750" s="334" t="s">
        <v>708</v>
      </c>
      <c r="K750" s="334" t="str">
        <f t="shared" si="22"/>
        <v>_</v>
      </c>
      <c r="L750" s="335">
        <f>ROUND(Tableau18[[#This Row],[LEN]]*7.27,0)</f>
        <v>116</v>
      </c>
      <c r="M750" s="335">
        <v>15</v>
      </c>
      <c r="N750" s="336" t="str">
        <f t="shared" si="23"/>
        <v>_self</v>
      </c>
      <c r="O750" s="335">
        <f>LEN(Tableau18[[#This Row],[LABEL]])</f>
        <v>16</v>
      </c>
      <c r="P750" s="335">
        <v>15</v>
      </c>
      <c r="Q750" s="335" t="e">
        <f>ROUND(Tableau18[[#This Row],[LEN]]*#REF!+#REF!,0)</f>
        <v>#REF!</v>
      </c>
    </row>
    <row r="751" spans="1:17" s="97" customFormat="1" x14ac:dyDescent="0.25">
      <c r="A751" s="41" t="s">
        <v>1549</v>
      </c>
      <c r="B751" s="42" t="s">
        <v>293</v>
      </c>
      <c r="C751" s="43" t="s">
        <v>1552</v>
      </c>
      <c r="D751" s="74" t="s">
        <v>1177</v>
      </c>
      <c r="E751" s="43" t="s">
        <v>671</v>
      </c>
      <c r="F751" s="43" t="s">
        <v>1177</v>
      </c>
      <c r="G751" s="74" t="s">
        <v>68</v>
      </c>
      <c r="H751" s="74" t="s">
        <v>654</v>
      </c>
      <c r="I751" s="43"/>
      <c r="J751" s="44" t="s">
        <v>708</v>
      </c>
      <c r="K751" s="44" t="str">
        <f t="shared" si="22"/>
        <v>_</v>
      </c>
      <c r="L751" s="115">
        <f>ROUND(Tableau18[[#This Row],[LEN]]*7.27,0)</f>
        <v>291</v>
      </c>
      <c r="M751" s="115">
        <v>13</v>
      </c>
      <c r="N751" s="132" t="str">
        <f t="shared" si="23"/>
        <v>_self</v>
      </c>
      <c r="O751" s="115">
        <f>LEN(Tableau18[[#This Row],[LABEL]])</f>
        <v>40</v>
      </c>
      <c r="P751" s="115">
        <v>13</v>
      </c>
      <c r="Q751" s="115" t="e">
        <f>ROUND(Tableau18[[#This Row],[LEN]]*#REF!+#REF!,0)</f>
        <v>#REF!</v>
      </c>
    </row>
    <row r="752" spans="1:17" s="97" customFormat="1" x14ac:dyDescent="0.25">
      <c r="A752" s="41" t="s">
        <v>1550</v>
      </c>
      <c r="B752" s="42" t="s">
        <v>293</v>
      </c>
      <c r="C752" s="43" t="s">
        <v>1553</v>
      </c>
      <c r="D752" s="74" t="s">
        <v>1177</v>
      </c>
      <c r="E752" s="43" t="s">
        <v>671</v>
      </c>
      <c r="F752" s="43" t="s">
        <v>1177</v>
      </c>
      <c r="G752" s="74" t="s">
        <v>68</v>
      </c>
      <c r="H752" s="74" t="s">
        <v>656</v>
      </c>
      <c r="I752" s="43"/>
      <c r="J752" s="44" t="s">
        <v>708</v>
      </c>
      <c r="K752" s="44" t="str">
        <f t="shared" si="22"/>
        <v>_</v>
      </c>
      <c r="L752" s="115">
        <f>ROUND(Tableau18[[#This Row],[LEN]]*7.27,0)</f>
        <v>305</v>
      </c>
      <c r="M752" s="115">
        <v>14</v>
      </c>
      <c r="N752" s="132" t="str">
        <f t="shared" si="23"/>
        <v>_self</v>
      </c>
      <c r="O752" s="115">
        <f>LEN(Tableau18[[#This Row],[LABEL]])</f>
        <v>42</v>
      </c>
      <c r="P752" s="115">
        <v>14</v>
      </c>
      <c r="Q752" s="115" t="e">
        <f>ROUND(Tableau18[[#This Row],[LEN]]*#REF!+#REF!,0)</f>
        <v>#REF!</v>
      </c>
    </row>
    <row r="753" spans="1:17" s="97" customFormat="1" x14ac:dyDescent="0.25">
      <c r="A753" s="41" t="s">
        <v>1551</v>
      </c>
      <c r="B753" s="42" t="s">
        <v>293</v>
      </c>
      <c r="C753" s="43" t="s">
        <v>122</v>
      </c>
      <c r="D753" s="74" t="s">
        <v>1514</v>
      </c>
      <c r="E753" s="43" t="s">
        <v>667</v>
      </c>
      <c r="F753" s="43" t="s">
        <v>2084</v>
      </c>
      <c r="G753" s="74" t="s">
        <v>68</v>
      </c>
      <c r="H753" s="74" t="s">
        <v>656</v>
      </c>
      <c r="I753" s="43"/>
      <c r="J753" s="44" t="s">
        <v>708</v>
      </c>
      <c r="K753" s="44" t="str">
        <f t="shared" si="22"/>
        <v>_</v>
      </c>
      <c r="L753" s="115">
        <f>ROUND(Tableau18[[#This Row],[LEN]]*7.27,0)</f>
        <v>145</v>
      </c>
      <c r="M753" s="115">
        <v>15</v>
      </c>
      <c r="N753" s="132" t="str">
        <f t="shared" si="23"/>
        <v>_self</v>
      </c>
      <c r="O753" s="115">
        <f>LEN(Tableau18[[#This Row],[LABEL]])</f>
        <v>20</v>
      </c>
      <c r="P753" s="115">
        <v>15</v>
      </c>
      <c r="Q753" s="115" t="e">
        <f>ROUND(Tableau18[[#This Row],[LEN]]*#REF!+#REF!,0)</f>
        <v>#REF!</v>
      </c>
    </row>
    <row r="754" spans="1:17" s="273" customFormat="1" x14ac:dyDescent="0.25">
      <c r="A754" s="330" t="s">
        <v>294</v>
      </c>
      <c r="B754" s="331" t="s">
        <v>208</v>
      </c>
      <c r="C754" s="332" t="s">
        <v>9</v>
      </c>
      <c r="D754" s="333" t="s">
        <v>1177</v>
      </c>
      <c r="E754" s="332" t="s">
        <v>672</v>
      </c>
      <c r="F754" s="332" t="s">
        <v>1177</v>
      </c>
      <c r="G754" s="333" t="s">
        <v>68</v>
      </c>
      <c r="H754" s="333" t="str">
        <f>IFERROR(IF(SEARCH(".00.00.00.00.00",Tableau18[[#This Row],[name]],1)=7,"Division",""),"")</f>
        <v>Division</v>
      </c>
      <c r="I754" s="332"/>
      <c r="J754" s="334" t="s">
        <v>718</v>
      </c>
      <c r="K754" s="334" t="str">
        <f t="shared" si="22"/>
        <v>Documentation</v>
      </c>
      <c r="L754" s="335">
        <f>ROUND(Tableau18[[#This Row],[LEN]]*7.27,0)</f>
        <v>80</v>
      </c>
      <c r="M754" s="335">
        <v>15</v>
      </c>
      <c r="N754" s="336" t="str">
        <f t="shared" si="23"/>
        <v>_blank</v>
      </c>
      <c r="O754" s="335">
        <f>LEN(Tableau18[[#This Row],[LABEL]])</f>
        <v>11</v>
      </c>
      <c r="P754" s="335">
        <v>15</v>
      </c>
      <c r="Q754" s="335" t="e">
        <f>ROUND(Tableau18[[#This Row],[LEN]]*#REF!+#REF!,0)</f>
        <v>#REF!</v>
      </c>
    </row>
    <row r="755" spans="1:17" s="97" customFormat="1" x14ac:dyDescent="0.25">
      <c r="A755" s="41" t="s">
        <v>515</v>
      </c>
      <c r="B755" s="42" t="s">
        <v>294</v>
      </c>
      <c r="C755" s="43" t="s">
        <v>511</v>
      </c>
      <c r="D755" s="74" t="s">
        <v>1177</v>
      </c>
      <c r="E755" s="43" t="s">
        <v>672</v>
      </c>
      <c r="F755" s="43" t="s">
        <v>1177</v>
      </c>
      <c r="G755" s="74" t="s">
        <v>68</v>
      </c>
      <c r="H755" s="74" t="s">
        <v>654</v>
      </c>
      <c r="I755" s="43"/>
      <c r="J755" s="44" t="s">
        <v>708</v>
      </c>
      <c r="K755" s="44" t="str">
        <f t="shared" si="22"/>
        <v>_</v>
      </c>
      <c r="L755" s="115">
        <f>ROUND(Tableau18[[#This Row],[LEN]]*7.27,0)</f>
        <v>305</v>
      </c>
      <c r="M755" s="115">
        <v>15</v>
      </c>
      <c r="N755" s="132" t="str">
        <f t="shared" si="23"/>
        <v>_self</v>
      </c>
      <c r="O755" s="115">
        <f>LEN(Tableau18[[#This Row],[LABEL]])</f>
        <v>42</v>
      </c>
      <c r="P755" s="115">
        <v>15</v>
      </c>
      <c r="Q755" s="115" t="e">
        <f>ROUND(Tableau18[[#This Row],[LEN]]*#REF!+#REF!,0)</f>
        <v>#REF!</v>
      </c>
    </row>
    <row r="756" spans="1:17" s="97" customFormat="1" x14ac:dyDescent="0.25">
      <c r="A756" s="41" t="s">
        <v>516</v>
      </c>
      <c r="B756" s="42" t="s">
        <v>294</v>
      </c>
      <c r="C756" s="43" t="s">
        <v>521</v>
      </c>
      <c r="D756" s="74" t="s">
        <v>1177</v>
      </c>
      <c r="E756" s="43" t="s">
        <v>672</v>
      </c>
      <c r="F756" s="43" t="s">
        <v>1177</v>
      </c>
      <c r="G756" s="74" t="s">
        <v>68</v>
      </c>
      <c r="H756" s="74" t="s">
        <v>655</v>
      </c>
      <c r="I756" s="43"/>
      <c r="J756" s="44" t="s">
        <v>708</v>
      </c>
      <c r="K756" s="44" t="str">
        <f t="shared" si="22"/>
        <v>_</v>
      </c>
      <c r="L756" s="115">
        <f>ROUND(Tableau18[[#This Row],[LEN]]*7.27,0)</f>
        <v>138</v>
      </c>
      <c r="M756" s="115">
        <v>15</v>
      </c>
      <c r="N756" s="132" t="str">
        <f t="shared" si="23"/>
        <v>_self</v>
      </c>
      <c r="O756" s="115">
        <f>LEN(Tableau18[[#This Row],[LABEL]])</f>
        <v>19</v>
      </c>
      <c r="P756" s="115">
        <v>15</v>
      </c>
      <c r="Q756" s="115" t="e">
        <f>ROUND(Tableau18[[#This Row],[LEN]]*#REF!+#REF!,0)</f>
        <v>#REF!</v>
      </c>
    </row>
    <row r="757" spans="1:17" s="97" customFormat="1" x14ac:dyDescent="0.25">
      <c r="A757" s="45" t="s">
        <v>522</v>
      </c>
      <c r="B757" s="46" t="s">
        <v>516</v>
      </c>
      <c r="C757" s="47" t="s">
        <v>536</v>
      </c>
      <c r="D757" s="75" t="s">
        <v>1177</v>
      </c>
      <c r="E757" s="47" t="s">
        <v>672</v>
      </c>
      <c r="F757" s="47" t="s">
        <v>1177</v>
      </c>
      <c r="G757" s="75" t="s">
        <v>68</v>
      </c>
      <c r="H757" s="75" t="s">
        <v>654</v>
      </c>
      <c r="I757" s="47"/>
      <c r="J757" s="48" t="s">
        <v>708</v>
      </c>
      <c r="K757" s="48" t="str">
        <f t="shared" si="22"/>
        <v>_</v>
      </c>
      <c r="L757" s="116">
        <f>ROUND(Tableau18[[#This Row],[LEN]]*7.27,0)</f>
        <v>174</v>
      </c>
      <c r="M757" s="116">
        <v>15</v>
      </c>
      <c r="N757" s="133" t="str">
        <f t="shared" si="23"/>
        <v>_self</v>
      </c>
      <c r="O757" s="116">
        <f>LEN(Tableau18[[#This Row],[LABEL]])</f>
        <v>24</v>
      </c>
      <c r="P757" s="116">
        <v>15</v>
      </c>
      <c r="Q757" s="116" t="e">
        <f>ROUND(Tableau18[[#This Row],[LEN]]*#REF!+#REF!,0)</f>
        <v>#REF!</v>
      </c>
    </row>
    <row r="758" spans="1:17" s="97" customFormat="1" x14ac:dyDescent="0.25">
      <c r="A758" s="45" t="s">
        <v>523</v>
      </c>
      <c r="B758" s="46" t="s">
        <v>516</v>
      </c>
      <c r="C758" s="47" t="s">
        <v>535</v>
      </c>
      <c r="D758" s="75" t="s">
        <v>1177</v>
      </c>
      <c r="E758" s="47" t="s">
        <v>672</v>
      </c>
      <c r="F758" s="47" t="s">
        <v>1177</v>
      </c>
      <c r="G758" s="75" t="s">
        <v>68</v>
      </c>
      <c r="H758" s="75" t="s">
        <v>654</v>
      </c>
      <c r="I758" s="47"/>
      <c r="J758" s="48" t="s">
        <v>708</v>
      </c>
      <c r="K758" s="48" t="str">
        <f t="shared" si="22"/>
        <v>_</v>
      </c>
      <c r="L758" s="116">
        <f>ROUND(Tableau18[[#This Row],[LEN]]*7.27,0)</f>
        <v>218</v>
      </c>
      <c r="M758" s="116">
        <v>15</v>
      </c>
      <c r="N758" s="133" t="str">
        <f t="shared" si="23"/>
        <v>_self</v>
      </c>
      <c r="O758" s="116">
        <f>LEN(Tableau18[[#This Row],[LABEL]])</f>
        <v>30</v>
      </c>
      <c r="P758" s="116">
        <v>15</v>
      </c>
      <c r="Q758" s="116" t="e">
        <f>ROUND(Tableau18[[#This Row],[LEN]]*#REF!+#REF!,0)</f>
        <v>#REF!</v>
      </c>
    </row>
    <row r="759" spans="1:17" s="97" customFormat="1" x14ac:dyDescent="0.25">
      <c r="A759" s="45" t="s">
        <v>524</v>
      </c>
      <c r="B759" s="46" t="s">
        <v>516</v>
      </c>
      <c r="C759" s="47" t="s">
        <v>530</v>
      </c>
      <c r="D759" s="75" t="s">
        <v>1177</v>
      </c>
      <c r="E759" s="47" t="s">
        <v>672</v>
      </c>
      <c r="F759" s="47" t="s">
        <v>1177</v>
      </c>
      <c r="G759" s="75" t="s">
        <v>68</v>
      </c>
      <c r="H759" s="75" t="s">
        <v>656</v>
      </c>
      <c r="I759" s="47"/>
      <c r="J759" s="48" t="s">
        <v>708</v>
      </c>
      <c r="K759" s="48" t="str">
        <f t="shared" si="22"/>
        <v>_</v>
      </c>
      <c r="L759" s="116">
        <f>ROUND(Tableau18[[#This Row],[LEN]]*7.27,0)</f>
        <v>327</v>
      </c>
      <c r="M759" s="116">
        <v>15</v>
      </c>
      <c r="N759" s="133" t="str">
        <f t="shared" si="23"/>
        <v>_self</v>
      </c>
      <c r="O759" s="116">
        <f>LEN(Tableau18[[#This Row],[LABEL]])</f>
        <v>45</v>
      </c>
      <c r="P759" s="116">
        <v>15</v>
      </c>
      <c r="Q759" s="116" t="e">
        <f>ROUND(Tableau18[[#This Row],[LEN]]*#REF!+#REF!,0)</f>
        <v>#REF!</v>
      </c>
    </row>
    <row r="760" spans="1:17" s="97" customFormat="1" x14ac:dyDescent="0.25">
      <c r="A760" s="45" t="s">
        <v>525</v>
      </c>
      <c r="B760" s="46" t="s">
        <v>516</v>
      </c>
      <c r="C760" s="47" t="s">
        <v>531</v>
      </c>
      <c r="D760" s="75" t="s">
        <v>1177</v>
      </c>
      <c r="E760" s="47" t="s">
        <v>672</v>
      </c>
      <c r="F760" s="47" t="s">
        <v>1177</v>
      </c>
      <c r="G760" s="75" t="s">
        <v>68</v>
      </c>
      <c r="H760" s="75" t="s">
        <v>654</v>
      </c>
      <c r="I760" s="47"/>
      <c r="J760" s="48" t="s">
        <v>708</v>
      </c>
      <c r="K760" s="48" t="str">
        <f t="shared" si="22"/>
        <v>_</v>
      </c>
      <c r="L760" s="116">
        <f>ROUND(Tableau18[[#This Row],[LEN]]*7.27,0)</f>
        <v>400</v>
      </c>
      <c r="M760" s="116">
        <v>15</v>
      </c>
      <c r="N760" s="133" t="str">
        <f t="shared" si="23"/>
        <v>_self</v>
      </c>
      <c r="O760" s="116">
        <f>LEN(Tableau18[[#This Row],[LABEL]])</f>
        <v>55</v>
      </c>
      <c r="P760" s="116">
        <v>15</v>
      </c>
      <c r="Q760" s="116" t="e">
        <f>ROUND(Tableau18[[#This Row],[LEN]]*#REF!+#REF!,0)</f>
        <v>#REF!</v>
      </c>
    </row>
    <row r="761" spans="1:17" s="97" customFormat="1" x14ac:dyDescent="0.25">
      <c r="A761" s="45" t="s">
        <v>526</v>
      </c>
      <c r="B761" s="46" t="s">
        <v>516</v>
      </c>
      <c r="C761" s="47" t="s">
        <v>532</v>
      </c>
      <c r="D761" s="75" t="s">
        <v>1177</v>
      </c>
      <c r="E761" s="47" t="s">
        <v>672</v>
      </c>
      <c r="F761" s="47" t="s">
        <v>1177</v>
      </c>
      <c r="G761" s="75" t="s">
        <v>68</v>
      </c>
      <c r="H761" s="75" t="s">
        <v>18</v>
      </c>
      <c r="I761" s="47"/>
      <c r="J761" s="48" t="s">
        <v>708</v>
      </c>
      <c r="K761" s="48" t="str">
        <f t="shared" si="22"/>
        <v>_</v>
      </c>
      <c r="L761" s="116">
        <f>ROUND(Tableau18[[#This Row],[LEN]]*7.27,0)</f>
        <v>589</v>
      </c>
      <c r="M761" s="116">
        <v>15</v>
      </c>
      <c r="N761" s="133" t="str">
        <f t="shared" si="23"/>
        <v>_self</v>
      </c>
      <c r="O761" s="116">
        <f>LEN(Tableau18[[#This Row],[LABEL]])</f>
        <v>81</v>
      </c>
      <c r="P761" s="116">
        <v>15</v>
      </c>
      <c r="Q761" s="116" t="e">
        <f>ROUND(Tableau18[[#This Row],[LEN]]*#REF!+#REF!,0)</f>
        <v>#REF!</v>
      </c>
    </row>
    <row r="762" spans="1:17" s="97" customFormat="1" x14ac:dyDescent="0.25">
      <c r="A762" s="45" t="s">
        <v>527</v>
      </c>
      <c r="B762" s="46" t="s">
        <v>516</v>
      </c>
      <c r="C762" s="47" t="s">
        <v>533</v>
      </c>
      <c r="D762" s="75" t="s">
        <v>1177</v>
      </c>
      <c r="E762" s="47" t="s">
        <v>672</v>
      </c>
      <c r="F762" s="47" t="s">
        <v>1177</v>
      </c>
      <c r="G762" s="75" t="s">
        <v>68</v>
      </c>
      <c r="H762" s="75" t="s">
        <v>654</v>
      </c>
      <c r="I762" s="47"/>
      <c r="J762" s="48" t="s">
        <v>708</v>
      </c>
      <c r="K762" s="48" t="str">
        <f t="shared" si="22"/>
        <v>_</v>
      </c>
      <c r="L762" s="116">
        <f>ROUND(Tableau18[[#This Row],[LEN]]*7.27,0)</f>
        <v>400</v>
      </c>
      <c r="M762" s="116">
        <v>15</v>
      </c>
      <c r="N762" s="133" t="str">
        <f t="shared" si="23"/>
        <v>_self</v>
      </c>
      <c r="O762" s="116">
        <f>LEN(Tableau18[[#This Row],[LABEL]])</f>
        <v>55</v>
      </c>
      <c r="P762" s="116">
        <v>15</v>
      </c>
      <c r="Q762" s="116" t="e">
        <f>ROUND(Tableau18[[#This Row],[LEN]]*#REF!+#REF!,0)</f>
        <v>#REF!</v>
      </c>
    </row>
    <row r="763" spans="1:17" s="97" customFormat="1" x14ac:dyDescent="0.25">
      <c r="A763" s="45" t="s">
        <v>528</v>
      </c>
      <c r="B763" s="46" t="s">
        <v>516</v>
      </c>
      <c r="C763" s="47" t="s">
        <v>534</v>
      </c>
      <c r="D763" s="75" t="s">
        <v>1177</v>
      </c>
      <c r="E763" s="47" t="s">
        <v>672</v>
      </c>
      <c r="F763" s="47" t="s">
        <v>1177</v>
      </c>
      <c r="G763" s="75" t="s">
        <v>68</v>
      </c>
      <c r="H763" s="75" t="s">
        <v>656</v>
      </c>
      <c r="I763" s="47"/>
      <c r="J763" s="48" t="s">
        <v>708</v>
      </c>
      <c r="K763" s="48" t="str">
        <f t="shared" si="22"/>
        <v>_</v>
      </c>
      <c r="L763" s="116">
        <f>ROUND(Tableau18[[#This Row],[LEN]]*7.27,0)</f>
        <v>356</v>
      </c>
      <c r="M763" s="116">
        <v>15</v>
      </c>
      <c r="N763" s="133" t="str">
        <f t="shared" si="23"/>
        <v>_self</v>
      </c>
      <c r="O763" s="116">
        <f>LEN(Tableau18[[#This Row],[LABEL]])</f>
        <v>49</v>
      </c>
      <c r="P763" s="116">
        <v>15</v>
      </c>
      <c r="Q763" s="116" t="e">
        <f>ROUND(Tableau18[[#This Row],[LEN]]*#REF!+#REF!,0)</f>
        <v>#REF!</v>
      </c>
    </row>
    <row r="764" spans="1:17" s="97" customFormat="1" x14ac:dyDescent="0.25">
      <c r="A764" s="45" t="s">
        <v>529</v>
      </c>
      <c r="B764" s="46" t="s">
        <v>516</v>
      </c>
      <c r="C764" s="47" t="s">
        <v>537</v>
      </c>
      <c r="D764" s="75" t="s">
        <v>1177</v>
      </c>
      <c r="E764" s="47" t="s">
        <v>672</v>
      </c>
      <c r="F764" s="47" t="s">
        <v>1177</v>
      </c>
      <c r="G764" s="75" t="s">
        <v>68</v>
      </c>
      <c r="H764" s="75" t="s">
        <v>654</v>
      </c>
      <c r="I764" s="47"/>
      <c r="J764" s="48" t="s">
        <v>708</v>
      </c>
      <c r="K764" s="48" t="str">
        <f t="shared" si="22"/>
        <v>_</v>
      </c>
      <c r="L764" s="116">
        <f>ROUND(Tableau18[[#This Row],[LEN]]*7.27,0)</f>
        <v>225</v>
      </c>
      <c r="M764" s="116">
        <v>15</v>
      </c>
      <c r="N764" s="133" t="str">
        <f t="shared" si="23"/>
        <v>_self</v>
      </c>
      <c r="O764" s="116">
        <f>LEN(Tableau18[[#This Row],[LABEL]])</f>
        <v>31</v>
      </c>
      <c r="P764" s="116">
        <v>15</v>
      </c>
      <c r="Q764" s="116" t="e">
        <f>ROUND(Tableau18[[#This Row],[LEN]]*#REF!+#REF!,0)</f>
        <v>#REF!</v>
      </c>
    </row>
    <row r="765" spans="1:17" s="97" customFormat="1" x14ac:dyDescent="0.25">
      <c r="A765" s="41" t="s">
        <v>517</v>
      </c>
      <c r="B765" s="42" t="s">
        <v>294</v>
      </c>
      <c r="C765" s="43" t="s">
        <v>512</v>
      </c>
      <c r="D765" s="74" t="s">
        <v>1177</v>
      </c>
      <c r="E765" s="43" t="s">
        <v>667</v>
      </c>
      <c r="F765" s="43" t="s">
        <v>672</v>
      </c>
      <c r="G765" s="74" t="s">
        <v>68</v>
      </c>
      <c r="H765" s="74" t="s">
        <v>654</v>
      </c>
      <c r="I765" s="43"/>
      <c r="J765" s="44" t="s">
        <v>708</v>
      </c>
      <c r="K765" s="44" t="str">
        <f t="shared" si="22"/>
        <v>_</v>
      </c>
      <c r="L765" s="115">
        <f>ROUND(Tableau18[[#This Row],[LEN]]*7.27,0)</f>
        <v>80</v>
      </c>
      <c r="M765" s="115">
        <v>15</v>
      </c>
      <c r="N765" s="132" t="str">
        <f t="shared" si="23"/>
        <v>_self</v>
      </c>
      <c r="O765" s="115">
        <f>LEN(Tableau18[[#This Row],[LABEL]])</f>
        <v>11</v>
      </c>
      <c r="P765" s="115">
        <v>15</v>
      </c>
      <c r="Q765" s="115" t="e">
        <f>ROUND(Tableau18[[#This Row],[LEN]]*#REF!+#REF!,0)</f>
        <v>#REF!</v>
      </c>
    </row>
    <row r="766" spans="1:17" s="97" customFormat="1" x14ac:dyDescent="0.25">
      <c r="A766" s="41" t="s">
        <v>518</v>
      </c>
      <c r="B766" s="42" t="s">
        <v>294</v>
      </c>
      <c r="C766" s="43" t="s">
        <v>513</v>
      </c>
      <c r="D766" s="74" t="s">
        <v>1177</v>
      </c>
      <c r="E766" s="43" t="s">
        <v>672</v>
      </c>
      <c r="F766" s="43" t="s">
        <v>1177</v>
      </c>
      <c r="G766" s="74" t="s">
        <v>68</v>
      </c>
      <c r="H766" s="74" t="s">
        <v>654</v>
      </c>
      <c r="I766" s="43"/>
      <c r="J766" s="44" t="s">
        <v>708</v>
      </c>
      <c r="K766" s="44" t="str">
        <f t="shared" si="22"/>
        <v>_</v>
      </c>
      <c r="L766" s="115">
        <f>ROUND(Tableau18[[#This Row],[LEN]]*7.27,0)</f>
        <v>378</v>
      </c>
      <c r="M766" s="115">
        <v>15</v>
      </c>
      <c r="N766" s="132" t="str">
        <f t="shared" si="23"/>
        <v>_self</v>
      </c>
      <c r="O766" s="115">
        <f>LEN(Tableau18[[#This Row],[LABEL]])</f>
        <v>52</v>
      </c>
      <c r="P766" s="115">
        <v>15</v>
      </c>
      <c r="Q766" s="115" t="e">
        <f>ROUND(Tableau18[[#This Row],[LEN]]*#REF!+#REF!,0)</f>
        <v>#REF!</v>
      </c>
    </row>
    <row r="767" spans="1:17" s="97" customFormat="1" x14ac:dyDescent="0.25">
      <c r="A767" s="41" t="s">
        <v>519</v>
      </c>
      <c r="B767" s="42" t="s">
        <v>294</v>
      </c>
      <c r="C767" s="43" t="s">
        <v>514</v>
      </c>
      <c r="D767" s="74" t="s">
        <v>1177</v>
      </c>
      <c r="E767" s="43" t="s">
        <v>672</v>
      </c>
      <c r="F767" s="43" t="s">
        <v>1177</v>
      </c>
      <c r="G767" s="74" t="s">
        <v>68</v>
      </c>
      <c r="H767" s="74" t="s">
        <v>656</v>
      </c>
      <c r="I767" s="43"/>
      <c r="J767" s="44" t="s">
        <v>708</v>
      </c>
      <c r="K767" s="44" t="str">
        <f t="shared" si="22"/>
        <v>_</v>
      </c>
      <c r="L767" s="115">
        <f>ROUND(Tableau18[[#This Row],[LEN]]*7.27,0)</f>
        <v>334</v>
      </c>
      <c r="M767" s="115">
        <v>15</v>
      </c>
      <c r="N767" s="132" t="str">
        <f t="shared" si="23"/>
        <v>_self</v>
      </c>
      <c r="O767" s="115">
        <f>LEN(Tableau18[[#This Row],[LABEL]])</f>
        <v>46</v>
      </c>
      <c r="P767" s="115">
        <v>15</v>
      </c>
      <c r="Q767" s="115" t="e">
        <f>ROUND(Tableau18[[#This Row],[LEN]]*#REF!+#REF!,0)</f>
        <v>#REF!</v>
      </c>
    </row>
    <row r="768" spans="1:17" s="97" customFormat="1" x14ac:dyDescent="0.25">
      <c r="A768" s="41" t="s">
        <v>520</v>
      </c>
      <c r="B768" s="42" t="s">
        <v>294</v>
      </c>
      <c r="C768" s="43" t="s">
        <v>1529</v>
      </c>
      <c r="D768" s="74" t="s">
        <v>1177</v>
      </c>
      <c r="E768" s="43" t="s">
        <v>672</v>
      </c>
      <c r="F768" s="43" t="s">
        <v>666</v>
      </c>
      <c r="G768" s="74" t="s">
        <v>68</v>
      </c>
      <c r="H768" s="74" t="s">
        <v>656</v>
      </c>
      <c r="I768" s="43"/>
      <c r="J768" s="44" t="s">
        <v>708</v>
      </c>
      <c r="K768" s="44" t="str">
        <f t="shared" si="22"/>
        <v>_</v>
      </c>
      <c r="L768" s="115">
        <f>ROUND(Tableau18[[#This Row],[LEN]]*7.27,0)</f>
        <v>218</v>
      </c>
      <c r="M768" s="115">
        <v>15</v>
      </c>
      <c r="N768" s="132" t="str">
        <f t="shared" si="23"/>
        <v>_self</v>
      </c>
      <c r="O768" s="115">
        <f>LEN(Tableau18[[#This Row],[LABEL]])</f>
        <v>30</v>
      </c>
      <c r="P768" s="115">
        <v>15</v>
      </c>
      <c r="Q768" s="115" t="e">
        <f>ROUND(Tableau18[[#This Row],[LEN]]*#REF!+#REF!,0)</f>
        <v>#REF!</v>
      </c>
    </row>
    <row r="769" spans="1:17" s="273" customFormat="1" x14ac:dyDescent="0.25">
      <c r="A769" s="330" t="s">
        <v>295</v>
      </c>
      <c r="B769" s="331" t="s">
        <v>208</v>
      </c>
      <c r="C769" s="332" t="s">
        <v>10</v>
      </c>
      <c r="D769" s="333" t="s">
        <v>1177</v>
      </c>
      <c r="E769" s="332" t="s">
        <v>673</v>
      </c>
      <c r="F769" s="332" t="s">
        <v>1177</v>
      </c>
      <c r="G769" s="333" t="s">
        <v>68</v>
      </c>
      <c r="H769" s="333" t="str">
        <f>IFERROR(IF(SEARCH(".00.00.00.00.00",Tableau18[[#This Row],[name]],1)=7,"Division",""),"")</f>
        <v>Division</v>
      </c>
      <c r="I769" s="332"/>
      <c r="J769" s="334" t="s">
        <v>719</v>
      </c>
      <c r="K769" s="334" t="str">
        <f t="shared" si="22"/>
        <v>Documentation</v>
      </c>
      <c r="L769" s="335">
        <f>ROUND(Tableau18[[#This Row],[LEN]]*7.27,0)</f>
        <v>109</v>
      </c>
      <c r="M769" s="335">
        <v>15</v>
      </c>
      <c r="N769" s="336" t="str">
        <f t="shared" si="23"/>
        <v>_blank</v>
      </c>
      <c r="O769" s="335">
        <f>LEN(Tableau18[[#This Row],[LABEL]])</f>
        <v>15</v>
      </c>
      <c r="P769" s="335">
        <v>15</v>
      </c>
      <c r="Q769" s="335" t="e">
        <f>ROUND(Tableau18[[#This Row],[LEN]]*#REF!+#REF!,0)</f>
        <v>#REF!</v>
      </c>
    </row>
    <row r="770" spans="1:17" s="97" customFormat="1" x14ac:dyDescent="0.25">
      <c r="A770" s="41" t="s">
        <v>1554</v>
      </c>
      <c r="B770" s="42" t="s">
        <v>295</v>
      </c>
      <c r="C770" s="43" t="s">
        <v>849</v>
      </c>
      <c r="D770" s="74" t="s">
        <v>1177</v>
      </c>
      <c r="E770" s="43" t="s">
        <v>667</v>
      </c>
      <c r="F770" s="43" t="s">
        <v>840</v>
      </c>
      <c r="G770" s="74" t="s">
        <v>68</v>
      </c>
      <c r="H770" s="74" t="s">
        <v>655</v>
      </c>
      <c r="I770" s="43"/>
      <c r="J770" s="44" t="s">
        <v>708</v>
      </c>
      <c r="K770" s="44" t="str">
        <f t="shared" ref="K770:K833" si="24">IF(J770="javascript:void(0)","_","Documentation")</f>
        <v>_</v>
      </c>
      <c r="L770" s="115">
        <f>ROUND(Tableau18[[#This Row],[LEN]]*7.27,0)</f>
        <v>80</v>
      </c>
      <c r="M770" s="115">
        <v>15</v>
      </c>
      <c r="N770" s="132" t="str">
        <f t="shared" si="23"/>
        <v>_self</v>
      </c>
      <c r="O770" s="115">
        <f>LEN(Tableau18[[#This Row],[LABEL]])</f>
        <v>11</v>
      </c>
      <c r="P770" s="115">
        <v>15</v>
      </c>
      <c r="Q770" s="115" t="e">
        <f>ROUND(Tableau18[[#This Row],[LEN]]*#REF!+#REF!,0)</f>
        <v>#REF!</v>
      </c>
    </row>
    <row r="771" spans="1:17" s="97" customFormat="1" x14ac:dyDescent="0.25">
      <c r="A771" s="45" t="s">
        <v>1557</v>
      </c>
      <c r="B771" s="46" t="s">
        <v>1554</v>
      </c>
      <c r="C771" s="47" t="s">
        <v>112</v>
      </c>
      <c r="D771" s="75" t="s">
        <v>1177</v>
      </c>
      <c r="E771" s="47" t="s">
        <v>667</v>
      </c>
      <c r="F771" s="47" t="s">
        <v>2006</v>
      </c>
      <c r="G771" s="75" t="s">
        <v>68</v>
      </c>
      <c r="H771" s="75" t="s">
        <v>654</v>
      </c>
      <c r="I771" s="47"/>
      <c r="J771" s="48" t="s">
        <v>708</v>
      </c>
      <c r="K771" s="48" t="str">
        <f t="shared" si="24"/>
        <v>_</v>
      </c>
      <c r="L771" s="116">
        <f>ROUND(Tableau18[[#This Row],[LEN]]*7.27,0)</f>
        <v>167</v>
      </c>
      <c r="M771" s="116">
        <v>15</v>
      </c>
      <c r="N771" s="133" t="str">
        <f t="shared" ref="N771:N834" si="25">IF(J771="javascript:void(0)","_self","_blank")</f>
        <v>_self</v>
      </c>
      <c r="O771" s="116">
        <f>LEN(Tableau18[[#This Row],[LABEL]])</f>
        <v>23</v>
      </c>
      <c r="P771" s="116">
        <v>15</v>
      </c>
      <c r="Q771" s="116" t="e">
        <f>ROUND(Tableau18[[#This Row],[LEN]]*#REF!+#REF!,0)</f>
        <v>#REF!</v>
      </c>
    </row>
    <row r="772" spans="1:17" s="97" customFormat="1" x14ac:dyDescent="0.25">
      <c r="A772" s="45" t="s">
        <v>1558</v>
      </c>
      <c r="B772" s="46" t="s">
        <v>1554</v>
      </c>
      <c r="C772" s="47" t="s">
        <v>113</v>
      </c>
      <c r="D772" s="75" t="s">
        <v>1177</v>
      </c>
      <c r="E772" s="47" t="s">
        <v>667</v>
      </c>
      <c r="F772" s="47" t="s">
        <v>2006</v>
      </c>
      <c r="G772" s="75" t="s">
        <v>68</v>
      </c>
      <c r="H772" s="75" t="s">
        <v>654</v>
      </c>
      <c r="I772" s="47"/>
      <c r="J772" s="48" t="s">
        <v>708</v>
      </c>
      <c r="K772" s="48" t="str">
        <f t="shared" si="24"/>
        <v>_</v>
      </c>
      <c r="L772" s="116">
        <f>ROUND(Tableau18[[#This Row],[LEN]]*7.27,0)</f>
        <v>233</v>
      </c>
      <c r="M772" s="116">
        <v>15</v>
      </c>
      <c r="N772" s="133" t="str">
        <f t="shared" si="25"/>
        <v>_self</v>
      </c>
      <c r="O772" s="116">
        <f>LEN(Tableau18[[#This Row],[LABEL]])</f>
        <v>32</v>
      </c>
      <c r="P772" s="116">
        <v>15</v>
      </c>
      <c r="Q772" s="116" t="e">
        <f>ROUND(Tableau18[[#This Row],[LEN]]*#REF!+#REF!,0)</f>
        <v>#REF!</v>
      </c>
    </row>
    <row r="773" spans="1:17" s="97" customFormat="1" x14ac:dyDescent="0.25">
      <c r="A773" s="41" t="s">
        <v>1555</v>
      </c>
      <c r="B773" s="42" t="s">
        <v>295</v>
      </c>
      <c r="C773" s="43" t="s">
        <v>1559</v>
      </c>
      <c r="D773" s="74" t="s">
        <v>1177</v>
      </c>
      <c r="E773" s="43" t="s">
        <v>673</v>
      </c>
      <c r="F773" s="43" t="s">
        <v>1177</v>
      </c>
      <c r="G773" s="74" t="s">
        <v>68</v>
      </c>
      <c r="H773" s="74" t="s">
        <v>654</v>
      </c>
      <c r="I773" s="43"/>
      <c r="J773" s="44" t="s">
        <v>708</v>
      </c>
      <c r="K773" s="44" t="str">
        <f t="shared" si="24"/>
        <v>_</v>
      </c>
      <c r="L773" s="115">
        <f>ROUND(Tableau18[[#This Row],[LEN]]*7.27,0)</f>
        <v>473</v>
      </c>
      <c r="M773" s="115">
        <v>15</v>
      </c>
      <c r="N773" s="132" t="str">
        <f t="shared" si="25"/>
        <v>_self</v>
      </c>
      <c r="O773" s="115">
        <f>LEN(Tableau18[[#This Row],[LABEL]])</f>
        <v>65</v>
      </c>
      <c r="P773" s="115">
        <v>15</v>
      </c>
      <c r="Q773" s="115" t="e">
        <f>ROUND(Tableau18[[#This Row],[LEN]]*#REF!+#REF!,0)</f>
        <v>#REF!</v>
      </c>
    </row>
    <row r="774" spans="1:17" s="97" customFormat="1" x14ac:dyDescent="0.25">
      <c r="A774" s="41" t="s">
        <v>1556</v>
      </c>
      <c r="B774" s="42" t="s">
        <v>295</v>
      </c>
      <c r="C774" s="43" t="s">
        <v>1560</v>
      </c>
      <c r="D774" s="74" t="s">
        <v>1177</v>
      </c>
      <c r="E774" s="43" t="s">
        <v>673</v>
      </c>
      <c r="F774" s="43" t="s">
        <v>1177</v>
      </c>
      <c r="G774" s="74" t="s">
        <v>68</v>
      </c>
      <c r="H774" s="74" t="s">
        <v>654</v>
      </c>
      <c r="I774" s="43"/>
      <c r="J774" s="44" t="s">
        <v>708</v>
      </c>
      <c r="K774" s="44" t="str">
        <f t="shared" si="24"/>
        <v>_</v>
      </c>
      <c r="L774" s="115">
        <f>ROUND(Tableau18[[#This Row],[LEN]]*7.27,0)</f>
        <v>225</v>
      </c>
      <c r="M774" s="115">
        <v>15</v>
      </c>
      <c r="N774" s="132" t="str">
        <f t="shared" si="25"/>
        <v>_self</v>
      </c>
      <c r="O774" s="115">
        <f>LEN(Tableau18[[#This Row],[LABEL]])</f>
        <v>31</v>
      </c>
      <c r="P774" s="115">
        <v>15</v>
      </c>
      <c r="Q774" s="115" t="e">
        <f>ROUND(Tableau18[[#This Row],[LEN]]*#REF!+#REF!,0)</f>
        <v>#REF!</v>
      </c>
    </row>
    <row r="775" spans="1:17" s="273" customFormat="1" x14ac:dyDescent="0.25">
      <c r="A775" s="330" t="s">
        <v>296</v>
      </c>
      <c r="B775" s="331" t="s">
        <v>208</v>
      </c>
      <c r="C775" s="332" t="s">
        <v>11</v>
      </c>
      <c r="D775" s="333" t="s">
        <v>1177</v>
      </c>
      <c r="E775" s="332" t="s">
        <v>674</v>
      </c>
      <c r="F775" s="332" t="s">
        <v>1177</v>
      </c>
      <c r="G775" s="333" t="s">
        <v>68</v>
      </c>
      <c r="H775" s="333" t="str">
        <f>IFERROR(IF(SEARCH(".00.00.00.00.00",Tableau18[[#This Row],[name]],1)=7,"Division",""),"")</f>
        <v>Division</v>
      </c>
      <c r="I775" s="332"/>
      <c r="J775" s="334" t="s">
        <v>720</v>
      </c>
      <c r="K775" s="334" t="str">
        <f t="shared" si="24"/>
        <v>Documentation</v>
      </c>
      <c r="L775" s="335">
        <f>ROUND(Tableau18[[#This Row],[LEN]]*7.27,0)</f>
        <v>51</v>
      </c>
      <c r="M775" s="335">
        <v>15</v>
      </c>
      <c r="N775" s="336" t="str">
        <f t="shared" si="25"/>
        <v>_blank</v>
      </c>
      <c r="O775" s="335">
        <f>LEN(Tableau18[[#This Row],[LABEL]])</f>
        <v>7</v>
      </c>
      <c r="P775" s="335">
        <v>15</v>
      </c>
      <c r="Q775" s="335" t="e">
        <f>ROUND(Tableau18[[#This Row],[LEN]]*#REF!+#REF!,0)</f>
        <v>#REF!</v>
      </c>
    </row>
    <row r="776" spans="1:17" s="97" customFormat="1" x14ac:dyDescent="0.25">
      <c r="A776" s="41" t="s">
        <v>1561</v>
      </c>
      <c r="B776" s="42" t="s">
        <v>296</v>
      </c>
      <c r="C776" s="43" t="s">
        <v>1564</v>
      </c>
      <c r="D776" s="74" t="s">
        <v>1177</v>
      </c>
      <c r="E776" s="43" t="s">
        <v>674</v>
      </c>
      <c r="F776" s="43" t="s">
        <v>1177</v>
      </c>
      <c r="G776" s="74" t="s">
        <v>68</v>
      </c>
      <c r="H776" s="74" t="s">
        <v>656</v>
      </c>
      <c r="I776" s="43"/>
      <c r="J776" s="44" t="s">
        <v>708</v>
      </c>
      <c r="K776" s="44" t="str">
        <f t="shared" si="24"/>
        <v>_</v>
      </c>
      <c r="L776" s="115">
        <f>ROUND(Tableau18[[#This Row],[LEN]]*7.27,0)</f>
        <v>218</v>
      </c>
      <c r="M776" s="115">
        <v>15</v>
      </c>
      <c r="N776" s="132" t="str">
        <f t="shared" si="25"/>
        <v>_self</v>
      </c>
      <c r="O776" s="115">
        <f>LEN(Tableau18[[#This Row],[LABEL]])</f>
        <v>30</v>
      </c>
      <c r="P776" s="115">
        <v>15</v>
      </c>
      <c r="Q776" s="115" t="e">
        <f>ROUND(Tableau18[[#This Row],[LEN]]*#REF!+#REF!,0)</f>
        <v>#REF!</v>
      </c>
    </row>
    <row r="777" spans="1:17" s="97" customFormat="1" x14ac:dyDescent="0.25">
      <c r="A777" s="41" t="s">
        <v>1562</v>
      </c>
      <c r="B777" s="42" t="s">
        <v>296</v>
      </c>
      <c r="C777" s="43" t="s">
        <v>1565</v>
      </c>
      <c r="D777" s="74" t="s">
        <v>1566</v>
      </c>
      <c r="E777" s="43" t="s">
        <v>674</v>
      </c>
      <c r="F777" s="43" t="s">
        <v>1177</v>
      </c>
      <c r="G777" s="74" t="s">
        <v>68</v>
      </c>
      <c r="H777" s="74" t="s">
        <v>656</v>
      </c>
      <c r="I777" s="43"/>
      <c r="J777" s="44" t="s">
        <v>708</v>
      </c>
      <c r="K777" s="44" t="str">
        <f t="shared" si="24"/>
        <v>_</v>
      </c>
      <c r="L777" s="115">
        <f>ROUND(Tableau18[[#This Row],[LEN]]*7.27,0)</f>
        <v>211</v>
      </c>
      <c r="M777" s="115">
        <v>15</v>
      </c>
      <c r="N777" s="132" t="str">
        <f t="shared" si="25"/>
        <v>_self</v>
      </c>
      <c r="O777" s="115">
        <f>LEN(Tableau18[[#This Row],[LABEL]])</f>
        <v>29</v>
      </c>
      <c r="P777" s="115">
        <v>15</v>
      </c>
      <c r="Q777" s="115" t="e">
        <f>ROUND(Tableau18[[#This Row],[LEN]]*#REF!+#REF!,0)</f>
        <v>#REF!</v>
      </c>
    </row>
    <row r="778" spans="1:17" s="97" customFormat="1" x14ac:dyDescent="0.25">
      <c r="A778" s="41" t="s">
        <v>1563</v>
      </c>
      <c r="B778" s="42" t="s">
        <v>296</v>
      </c>
      <c r="C778" s="43" t="s">
        <v>2098</v>
      </c>
      <c r="D778" s="74" t="s">
        <v>1177</v>
      </c>
      <c r="E778" s="43" t="s">
        <v>661</v>
      </c>
      <c r="F778" s="43" t="s">
        <v>2083</v>
      </c>
      <c r="G778" s="74" t="s">
        <v>68</v>
      </c>
      <c r="H778" s="74" t="s">
        <v>655</v>
      </c>
      <c r="I778" s="43"/>
      <c r="J778" s="44" t="s">
        <v>708</v>
      </c>
      <c r="K778" s="44" t="str">
        <f t="shared" si="24"/>
        <v>_</v>
      </c>
      <c r="L778" s="115">
        <f>ROUND(Tableau18[[#This Row],[LEN]]*7.27,0)</f>
        <v>334</v>
      </c>
      <c r="M778" s="115">
        <v>15</v>
      </c>
      <c r="N778" s="132" t="str">
        <f t="shared" si="25"/>
        <v>_self</v>
      </c>
      <c r="O778" s="115">
        <f>LEN(Tableau18[[#This Row],[LABEL]])</f>
        <v>46</v>
      </c>
      <c r="P778" s="115">
        <v>15</v>
      </c>
      <c r="Q778" s="115" t="e">
        <f>ROUND(Tableau18[[#This Row],[LEN]]*#REF!+#REF!,0)</f>
        <v>#REF!</v>
      </c>
    </row>
    <row r="779" spans="1:17" s="97" customFormat="1" x14ac:dyDescent="0.25">
      <c r="A779" s="45" t="s">
        <v>1567</v>
      </c>
      <c r="B779" s="46" t="s">
        <v>1563</v>
      </c>
      <c r="C779" s="47" t="s">
        <v>1458</v>
      </c>
      <c r="D779" s="75" t="s">
        <v>1177</v>
      </c>
      <c r="E779" s="47" t="s">
        <v>674</v>
      </c>
      <c r="F779" s="47" t="s">
        <v>2083</v>
      </c>
      <c r="G779" s="75" t="s">
        <v>68</v>
      </c>
      <c r="H779" s="75" t="s">
        <v>654</v>
      </c>
      <c r="I779" s="47"/>
      <c r="J779" s="48" t="s">
        <v>708</v>
      </c>
      <c r="K779" s="48" t="str">
        <f t="shared" si="24"/>
        <v>_</v>
      </c>
      <c r="L779" s="116">
        <f>ROUND(Tableau18[[#This Row],[LEN]]*7.27,0)</f>
        <v>189</v>
      </c>
      <c r="M779" s="116">
        <v>15</v>
      </c>
      <c r="N779" s="133" t="str">
        <f t="shared" si="25"/>
        <v>_self</v>
      </c>
      <c r="O779" s="116">
        <f>LEN(Tableau18[[#This Row],[LABEL]])</f>
        <v>26</v>
      </c>
      <c r="P779" s="116">
        <v>15</v>
      </c>
      <c r="Q779" s="116" t="e">
        <f>ROUND(Tableau18[[#This Row],[LEN]]*#REF!+#REF!,0)</f>
        <v>#REF!</v>
      </c>
    </row>
    <row r="780" spans="1:17" s="97" customFormat="1" x14ac:dyDescent="0.25">
      <c r="A780" s="45" t="s">
        <v>1568</v>
      </c>
      <c r="B780" s="46" t="s">
        <v>1563</v>
      </c>
      <c r="C780" s="47" t="s">
        <v>2097</v>
      </c>
      <c r="D780" s="75" t="s">
        <v>1177</v>
      </c>
      <c r="E780" s="47" t="s">
        <v>674</v>
      </c>
      <c r="F780" s="47" t="s">
        <v>2083</v>
      </c>
      <c r="G780" s="75" t="s">
        <v>68</v>
      </c>
      <c r="H780" s="75" t="s">
        <v>654</v>
      </c>
      <c r="I780" s="47"/>
      <c r="J780" s="48" t="s">
        <v>708</v>
      </c>
      <c r="K780" s="48" t="str">
        <f t="shared" si="24"/>
        <v>_</v>
      </c>
      <c r="L780" s="116">
        <f>ROUND(Tableau18[[#This Row],[LEN]]*7.27,0)</f>
        <v>225</v>
      </c>
      <c r="M780" s="116">
        <v>15</v>
      </c>
      <c r="N780" s="133" t="str">
        <f t="shared" si="25"/>
        <v>_self</v>
      </c>
      <c r="O780" s="116">
        <f>LEN(Tableau18[[#This Row],[LABEL]])</f>
        <v>31</v>
      </c>
      <c r="P780" s="116">
        <v>15</v>
      </c>
      <c r="Q780" s="116" t="e">
        <f>ROUND(Tableau18[[#This Row],[LEN]]*#REF!+#REF!,0)</f>
        <v>#REF!</v>
      </c>
    </row>
    <row r="781" spans="1:17" s="97" customFormat="1" x14ac:dyDescent="0.25">
      <c r="A781" s="41" t="s">
        <v>2099</v>
      </c>
      <c r="B781" s="42" t="s">
        <v>296</v>
      </c>
      <c r="C781" s="43" t="s">
        <v>2100</v>
      </c>
      <c r="D781" s="74" t="s">
        <v>1177</v>
      </c>
      <c r="E781" s="43" t="s">
        <v>674</v>
      </c>
      <c r="F781" s="43" t="s">
        <v>1177</v>
      </c>
      <c r="G781" s="74" t="s">
        <v>68</v>
      </c>
      <c r="H781" s="74" t="s">
        <v>656</v>
      </c>
      <c r="I781" s="43"/>
      <c r="J781" s="44" t="s">
        <v>708</v>
      </c>
      <c r="K781" s="44" t="str">
        <f t="shared" si="24"/>
        <v>_</v>
      </c>
      <c r="L781" s="115">
        <f>ROUND(Tableau18[[#This Row],[LEN]]*7.27,0)</f>
        <v>371</v>
      </c>
      <c r="M781" s="115">
        <v>15</v>
      </c>
      <c r="N781" s="132" t="str">
        <f t="shared" si="25"/>
        <v>_self</v>
      </c>
      <c r="O781" s="115">
        <f>LEN(Tableau18[[#This Row],[LABEL]])</f>
        <v>51</v>
      </c>
      <c r="P781" s="115">
        <v>15</v>
      </c>
      <c r="Q781" s="115" t="e">
        <f>ROUND(Tableau18[[#This Row],[LEN]]*#REF!+#REF!,0)</f>
        <v>#REF!</v>
      </c>
    </row>
    <row r="782" spans="1:17" s="273" customFormat="1" x14ac:dyDescent="0.25">
      <c r="A782" s="330" t="s">
        <v>297</v>
      </c>
      <c r="B782" s="331" t="s">
        <v>208</v>
      </c>
      <c r="C782" s="332" t="s">
        <v>12</v>
      </c>
      <c r="D782" s="333" t="s">
        <v>1177</v>
      </c>
      <c r="E782" s="332" t="s">
        <v>675</v>
      </c>
      <c r="F782" s="332" t="s">
        <v>1177</v>
      </c>
      <c r="G782" s="333" t="s">
        <v>68</v>
      </c>
      <c r="H782" s="333" t="str">
        <f>IFERROR(IF(SEARCH(".00.00.00.00.00",Tableau18[[#This Row],[name]],1)=7,"Division",""),"")</f>
        <v>Division</v>
      </c>
      <c r="I782" s="332"/>
      <c r="J782" s="334" t="s">
        <v>721</v>
      </c>
      <c r="K782" s="334" t="str">
        <f t="shared" si="24"/>
        <v>Documentation</v>
      </c>
      <c r="L782" s="335">
        <f>ROUND(Tableau18[[#This Row],[LEN]]*7.27,0)</f>
        <v>15</v>
      </c>
      <c r="M782" s="335">
        <v>15</v>
      </c>
      <c r="N782" s="336" t="str">
        <f t="shared" si="25"/>
        <v>_blank</v>
      </c>
      <c r="O782" s="335">
        <f>LEN(Tableau18[[#This Row],[LABEL]])</f>
        <v>2</v>
      </c>
      <c r="P782" s="335">
        <v>15</v>
      </c>
      <c r="Q782" s="335" t="e">
        <f>ROUND(Tableau18[[#This Row],[LEN]]*#REF!+#REF!,0)</f>
        <v>#REF!</v>
      </c>
    </row>
    <row r="783" spans="1:17" s="97" customFormat="1" x14ac:dyDescent="0.25">
      <c r="A783" s="41" t="s">
        <v>1569</v>
      </c>
      <c r="B783" s="42" t="s">
        <v>297</v>
      </c>
      <c r="C783" s="43" t="s">
        <v>1620</v>
      </c>
      <c r="D783" s="74" t="s">
        <v>1177</v>
      </c>
      <c r="E783" s="43" t="s">
        <v>675</v>
      </c>
      <c r="F783" s="43" t="s">
        <v>678</v>
      </c>
      <c r="G783" s="74" t="s">
        <v>68</v>
      </c>
      <c r="H783" s="74" t="s">
        <v>655</v>
      </c>
      <c r="I783" s="43"/>
      <c r="J783" s="44" t="s">
        <v>708</v>
      </c>
      <c r="K783" s="44" t="str">
        <f t="shared" si="24"/>
        <v>_</v>
      </c>
      <c r="L783" s="115">
        <f>ROUND(Tableau18[[#This Row],[LEN]]*7.27,0)</f>
        <v>262</v>
      </c>
      <c r="M783" s="115">
        <v>15</v>
      </c>
      <c r="N783" s="132" t="str">
        <f t="shared" si="25"/>
        <v>_self</v>
      </c>
      <c r="O783" s="115">
        <f>LEN(Tableau18[[#This Row],[LABEL]])</f>
        <v>36</v>
      </c>
      <c r="P783" s="115">
        <v>15</v>
      </c>
      <c r="Q783" s="115" t="e">
        <f>ROUND(Tableau18[[#This Row],[LEN]]*#REF!+#REF!,0)</f>
        <v>#REF!</v>
      </c>
    </row>
    <row r="784" spans="1:17" s="97" customFormat="1" x14ac:dyDescent="0.25">
      <c r="A784" s="45" t="s">
        <v>1574</v>
      </c>
      <c r="B784" s="46" t="s">
        <v>1569</v>
      </c>
      <c r="C784" s="47" t="s">
        <v>1467</v>
      </c>
      <c r="D784" s="75" t="s">
        <v>1177</v>
      </c>
      <c r="E784" s="47" t="s">
        <v>675</v>
      </c>
      <c r="F784" s="47" t="s">
        <v>678</v>
      </c>
      <c r="G784" s="75" t="s">
        <v>68</v>
      </c>
      <c r="H784" s="75" t="s">
        <v>656</v>
      </c>
      <c r="I784" s="47"/>
      <c r="J784" s="48" t="s">
        <v>708</v>
      </c>
      <c r="K784" s="48" t="str">
        <f t="shared" si="24"/>
        <v>_</v>
      </c>
      <c r="L784" s="116">
        <f>ROUND(Tableau18[[#This Row],[LEN]]*7.27,0)</f>
        <v>102</v>
      </c>
      <c r="M784" s="116">
        <v>15</v>
      </c>
      <c r="N784" s="133" t="str">
        <f t="shared" si="25"/>
        <v>_self</v>
      </c>
      <c r="O784" s="116">
        <f>LEN(Tableau18[[#This Row],[LABEL]])</f>
        <v>14</v>
      </c>
      <c r="P784" s="116">
        <v>15</v>
      </c>
      <c r="Q784" s="116" t="e">
        <f>ROUND(Tableau18[[#This Row],[LEN]]*#REF!+#REF!,0)</f>
        <v>#REF!</v>
      </c>
    </row>
    <row r="785" spans="1:17" s="97" customFormat="1" x14ac:dyDescent="0.25">
      <c r="A785" s="45" t="s">
        <v>1575</v>
      </c>
      <c r="B785" s="46" t="s">
        <v>1569</v>
      </c>
      <c r="C785" s="47" t="s">
        <v>1573</v>
      </c>
      <c r="D785" s="75" t="s">
        <v>1177</v>
      </c>
      <c r="E785" s="47" t="s">
        <v>675</v>
      </c>
      <c r="F785" s="47" t="s">
        <v>678</v>
      </c>
      <c r="G785" s="75" t="s">
        <v>68</v>
      </c>
      <c r="H785" s="75" t="s">
        <v>656</v>
      </c>
      <c r="I785" s="47"/>
      <c r="J785" s="48" t="s">
        <v>708</v>
      </c>
      <c r="K785" s="48" t="str">
        <f t="shared" si="24"/>
        <v>_</v>
      </c>
      <c r="L785" s="116">
        <f>ROUND(Tableau18[[#This Row],[LEN]]*7.27,0)</f>
        <v>422</v>
      </c>
      <c r="M785" s="116">
        <v>15</v>
      </c>
      <c r="N785" s="133" t="str">
        <f t="shared" si="25"/>
        <v>_self</v>
      </c>
      <c r="O785" s="116">
        <f>LEN(Tableau18[[#This Row],[LABEL]])</f>
        <v>58</v>
      </c>
      <c r="P785" s="116">
        <v>15</v>
      </c>
      <c r="Q785" s="116" t="e">
        <f>ROUND(Tableau18[[#This Row],[LEN]]*#REF!+#REF!,0)</f>
        <v>#REF!</v>
      </c>
    </row>
    <row r="786" spans="1:17" s="97" customFormat="1" x14ac:dyDescent="0.25">
      <c r="A786" s="45" t="s">
        <v>1576</v>
      </c>
      <c r="B786" s="46" t="s">
        <v>1569</v>
      </c>
      <c r="C786" s="47" t="s">
        <v>1468</v>
      </c>
      <c r="D786" s="75" t="s">
        <v>1177</v>
      </c>
      <c r="E786" s="47" t="s">
        <v>675</v>
      </c>
      <c r="F786" s="47" t="s">
        <v>678</v>
      </c>
      <c r="G786" s="75" t="s">
        <v>68</v>
      </c>
      <c r="H786" s="75" t="s">
        <v>656</v>
      </c>
      <c r="I786" s="47"/>
      <c r="J786" s="48" t="s">
        <v>708</v>
      </c>
      <c r="K786" s="48" t="str">
        <f t="shared" si="24"/>
        <v>_</v>
      </c>
      <c r="L786" s="116">
        <f>ROUND(Tableau18[[#This Row],[LEN]]*7.27,0)</f>
        <v>167</v>
      </c>
      <c r="M786" s="116">
        <v>15</v>
      </c>
      <c r="N786" s="133" t="str">
        <f t="shared" si="25"/>
        <v>_self</v>
      </c>
      <c r="O786" s="116">
        <f>LEN(Tableau18[[#This Row],[LABEL]])</f>
        <v>23</v>
      </c>
      <c r="P786" s="116">
        <v>15</v>
      </c>
      <c r="Q786" s="116" t="e">
        <f>ROUND(Tableau18[[#This Row],[LEN]]*#REF!+#REF!,0)</f>
        <v>#REF!</v>
      </c>
    </row>
    <row r="787" spans="1:17" s="97" customFormat="1" x14ac:dyDescent="0.25">
      <c r="A787" s="41" t="s">
        <v>1570</v>
      </c>
      <c r="B787" s="42" t="s">
        <v>297</v>
      </c>
      <c r="C787" s="43" t="s">
        <v>849</v>
      </c>
      <c r="D787" s="74" t="s">
        <v>1177</v>
      </c>
      <c r="E787" s="43" t="s">
        <v>667</v>
      </c>
      <c r="F787" s="43" t="s">
        <v>840</v>
      </c>
      <c r="G787" s="74" t="s">
        <v>68</v>
      </c>
      <c r="H787" s="74" t="s">
        <v>655</v>
      </c>
      <c r="I787" s="43"/>
      <c r="J787" s="44" t="s">
        <v>708</v>
      </c>
      <c r="K787" s="44" t="str">
        <f t="shared" si="24"/>
        <v>_</v>
      </c>
      <c r="L787" s="115">
        <f>ROUND(Tableau18[[#This Row],[LEN]]*7.27,0)</f>
        <v>80</v>
      </c>
      <c r="M787" s="115">
        <v>15</v>
      </c>
      <c r="N787" s="132" t="str">
        <f t="shared" si="25"/>
        <v>_self</v>
      </c>
      <c r="O787" s="115">
        <f>LEN(Tableau18[[#This Row],[LABEL]])</f>
        <v>11</v>
      </c>
      <c r="P787" s="115">
        <v>15</v>
      </c>
      <c r="Q787" s="115" t="e">
        <f>ROUND(Tableau18[[#This Row],[LEN]]*#REF!+#REF!,0)</f>
        <v>#REF!</v>
      </c>
    </row>
    <row r="788" spans="1:17" s="97" customFormat="1" x14ac:dyDescent="0.25">
      <c r="A788" s="45" t="s">
        <v>1577</v>
      </c>
      <c r="B788" s="46" t="s">
        <v>1570</v>
      </c>
      <c r="C788" s="47" t="s">
        <v>112</v>
      </c>
      <c r="D788" s="75" t="s">
        <v>1177</v>
      </c>
      <c r="E788" s="47" t="s">
        <v>667</v>
      </c>
      <c r="F788" s="47" t="s">
        <v>2006</v>
      </c>
      <c r="G788" s="75" t="s">
        <v>68</v>
      </c>
      <c r="H788" s="75" t="s">
        <v>654</v>
      </c>
      <c r="I788" s="47"/>
      <c r="J788" s="48" t="s">
        <v>708</v>
      </c>
      <c r="K788" s="48" t="str">
        <f t="shared" si="24"/>
        <v>_</v>
      </c>
      <c r="L788" s="116">
        <f>ROUND(Tableau18[[#This Row],[LEN]]*7.27,0)</f>
        <v>167</v>
      </c>
      <c r="M788" s="116">
        <v>15</v>
      </c>
      <c r="N788" s="133" t="str">
        <f t="shared" si="25"/>
        <v>_self</v>
      </c>
      <c r="O788" s="116">
        <f>LEN(Tableau18[[#This Row],[LABEL]])</f>
        <v>23</v>
      </c>
      <c r="P788" s="116">
        <v>15</v>
      </c>
      <c r="Q788" s="116" t="e">
        <f>ROUND(Tableau18[[#This Row],[LEN]]*#REF!+#REF!,0)</f>
        <v>#REF!</v>
      </c>
    </row>
    <row r="789" spans="1:17" s="97" customFormat="1" x14ac:dyDescent="0.25">
      <c r="A789" s="45" t="s">
        <v>1578</v>
      </c>
      <c r="B789" s="46" t="s">
        <v>1570</v>
      </c>
      <c r="C789" s="47" t="s">
        <v>113</v>
      </c>
      <c r="D789" s="75" t="s">
        <v>1177</v>
      </c>
      <c r="E789" s="47" t="s">
        <v>667</v>
      </c>
      <c r="F789" s="47" t="s">
        <v>2006</v>
      </c>
      <c r="G789" s="75" t="s">
        <v>68</v>
      </c>
      <c r="H789" s="75" t="s">
        <v>654</v>
      </c>
      <c r="I789" s="47"/>
      <c r="J789" s="48" t="s">
        <v>708</v>
      </c>
      <c r="K789" s="48" t="str">
        <f t="shared" si="24"/>
        <v>_</v>
      </c>
      <c r="L789" s="116">
        <f>ROUND(Tableau18[[#This Row],[LEN]]*7.27,0)</f>
        <v>233</v>
      </c>
      <c r="M789" s="116">
        <v>15</v>
      </c>
      <c r="N789" s="133" t="str">
        <f t="shared" si="25"/>
        <v>_self</v>
      </c>
      <c r="O789" s="116">
        <f>LEN(Tableau18[[#This Row],[LABEL]])</f>
        <v>32</v>
      </c>
      <c r="P789" s="116">
        <v>15</v>
      </c>
      <c r="Q789" s="116" t="e">
        <f>ROUND(Tableau18[[#This Row],[LEN]]*#REF!+#REF!,0)</f>
        <v>#REF!</v>
      </c>
    </row>
    <row r="790" spans="1:17" s="97" customFormat="1" x14ac:dyDescent="0.25">
      <c r="A790" s="41" t="s">
        <v>1571</v>
      </c>
      <c r="B790" s="42" t="s">
        <v>297</v>
      </c>
      <c r="C790" s="43" t="s">
        <v>1621</v>
      </c>
      <c r="D790" s="74" t="s">
        <v>1177</v>
      </c>
      <c r="E790" s="43" t="s">
        <v>675</v>
      </c>
      <c r="F790" s="43" t="s">
        <v>678</v>
      </c>
      <c r="G790" s="74" t="s">
        <v>68</v>
      </c>
      <c r="H790" s="74" t="s">
        <v>655</v>
      </c>
      <c r="I790" s="43"/>
      <c r="J790" s="44" t="s">
        <v>708</v>
      </c>
      <c r="K790" s="44" t="str">
        <f t="shared" si="24"/>
        <v>_</v>
      </c>
      <c r="L790" s="115">
        <f>ROUND(Tableau18[[#This Row],[LEN]]*7.27,0)</f>
        <v>262</v>
      </c>
      <c r="M790" s="115">
        <v>15</v>
      </c>
      <c r="N790" s="132" t="str">
        <f t="shared" si="25"/>
        <v>_self</v>
      </c>
      <c r="O790" s="115">
        <f>LEN(Tableau18[[#This Row],[LABEL]])</f>
        <v>36</v>
      </c>
      <c r="P790" s="115">
        <v>15</v>
      </c>
      <c r="Q790" s="115" t="e">
        <f>ROUND(Tableau18[[#This Row],[LEN]]*#REF!+#REF!,0)</f>
        <v>#REF!</v>
      </c>
    </row>
    <row r="791" spans="1:17" s="97" customFormat="1" x14ac:dyDescent="0.25">
      <c r="A791" s="45" t="s">
        <v>1579</v>
      </c>
      <c r="B791" s="46" t="s">
        <v>1571</v>
      </c>
      <c r="C791" s="47" t="s">
        <v>1469</v>
      </c>
      <c r="D791" s="75" t="s">
        <v>1177</v>
      </c>
      <c r="E791" s="47" t="s">
        <v>675</v>
      </c>
      <c r="F791" s="47" t="s">
        <v>678</v>
      </c>
      <c r="G791" s="75" t="s">
        <v>68</v>
      </c>
      <c r="H791" s="75" t="s">
        <v>654</v>
      </c>
      <c r="I791" s="47"/>
      <c r="J791" s="48" t="s">
        <v>708</v>
      </c>
      <c r="K791" s="48" t="str">
        <f t="shared" si="24"/>
        <v>_</v>
      </c>
      <c r="L791" s="116">
        <f>ROUND(Tableau18[[#This Row],[LEN]]*7.27,0)</f>
        <v>291</v>
      </c>
      <c r="M791" s="116">
        <v>15</v>
      </c>
      <c r="N791" s="133" t="str">
        <f t="shared" si="25"/>
        <v>_self</v>
      </c>
      <c r="O791" s="116">
        <f>LEN(Tableau18[[#This Row],[LABEL]])</f>
        <v>40</v>
      </c>
      <c r="P791" s="116">
        <v>15</v>
      </c>
      <c r="Q791" s="116" t="e">
        <f>ROUND(Tableau18[[#This Row],[LEN]]*#REF!+#REF!,0)</f>
        <v>#REF!</v>
      </c>
    </row>
    <row r="792" spans="1:17" s="97" customFormat="1" x14ac:dyDescent="0.25">
      <c r="A792" s="45" t="s">
        <v>1580</v>
      </c>
      <c r="B792" s="46" t="s">
        <v>1571</v>
      </c>
      <c r="C792" s="47" t="s">
        <v>1470</v>
      </c>
      <c r="D792" s="75" t="s">
        <v>1177</v>
      </c>
      <c r="E792" s="47" t="s">
        <v>675</v>
      </c>
      <c r="F792" s="47" t="s">
        <v>678</v>
      </c>
      <c r="G792" s="75" t="s">
        <v>68</v>
      </c>
      <c r="H792" s="75" t="s">
        <v>656</v>
      </c>
      <c r="I792" s="47"/>
      <c r="J792" s="48" t="s">
        <v>708</v>
      </c>
      <c r="K792" s="48" t="str">
        <f t="shared" si="24"/>
        <v>_</v>
      </c>
      <c r="L792" s="116">
        <f>ROUND(Tableau18[[#This Row],[LEN]]*7.27,0)</f>
        <v>313</v>
      </c>
      <c r="M792" s="116">
        <v>15</v>
      </c>
      <c r="N792" s="133" t="str">
        <f t="shared" si="25"/>
        <v>_self</v>
      </c>
      <c r="O792" s="116">
        <f>LEN(Tableau18[[#This Row],[LABEL]])</f>
        <v>43</v>
      </c>
      <c r="P792" s="116">
        <v>15</v>
      </c>
      <c r="Q792" s="116" t="e">
        <f>ROUND(Tableau18[[#This Row],[LEN]]*#REF!+#REF!,0)</f>
        <v>#REF!</v>
      </c>
    </row>
    <row r="793" spans="1:17" s="97" customFormat="1" x14ac:dyDescent="0.25">
      <c r="A793" s="41" t="s">
        <v>1572</v>
      </c>
      <c r="B793" s="42" t="s">
        <v>297</v>
      </c>
      <c r="C793" s="43" t="s">
        <v>1462</v>
      </c>
      <c r="D793" s="74" t="s">
        <v>1177</v>
      </c>
      <c r="E793" s="43" t="s">
        <v>675</v>
      </c>
      <c r="F793" s="43" t="s">
        <v>679</v>
      </c>
      <c r="G793" s="74" t="s">
        <v>68</v>
      </c>
      <c r="H793" s="74" t="s">
        <v>656</v>
      </c>
      <c r="I793" s="43"/>
      <c r="J793" s="44" t="s">
        <v>708</v>
      </c>
      <c r="K793" s="44" t="str">
        <f t="shared" si="24"/>
        <v>_</v>
      </c>
      <c r="L793" s="115">
        <f>ROUND(Tableau18[[#This Row],[LEN]]*7.27,0)</f>
        <v>218</v>
      </c>
      <c r="M793" s="115">
        <v>15</v>
      </c>
      <c r="N793" s="132" t="str">
        <f t="shared" si="25"/>
        <v>_self</v>
      </c>
      <c r="O793" s="115">
        <f>LEN(Tableau18[[#This Row],[LABEL]])</f>
        <v>30</v>
      </c>
      <c r="P793" s="115">
        <v>15</v>
      </c>
      <c r="Q793" s="115" t="e">
        <f>ROUND(Tableau18[[#This Row],[LEN]]*#REF!+#REF!,0)</f>
        <v>#REF!</v>
      </c>
    </row>
    <row r="794" spans="1:17" s="273" customFormat="1" x14ac:dyDescent="0.25">
      <c r="A794" s="330" t="s">
        <v>298</v>
      </c>
      <c r="B794" s="331" t="s">
        <v>208</v>
      </c>
      <c r="C794" s="332" t="s">
        <v>71</v>
      </c>
      <c r="D794" s="333" t="s">
        <v>1177</v>
      </c>
      <c r="E794" s="332" t="s">
        <v>676</v>
      </c>
      <c r="F794" s="332" t="s">
        <v>1177</v>
      </c>
      <c r="G794" s="333" t="s">
        <v>68</v>
      </c>
      <c r="H794" s="333" t="str">
        <f>IFERROR(IF(SEARCH(".00.00.00.00.00",Tableau18[[#This Row],[name]],1)=7,"Division",""),"")</f>
        <v>Division</v>
      </c>
      <c r="I794" s="332"/>
      <c r="J794" s="334" t="s">
        <v>722</v>
      </c>
      <c r="K794" s="334" t="str">
        <f t="shared" si="24"/>
        <v>Documentation</v>
      </c>
      <c r="L794" s="335">
        <f>ROUND(Tableau18[[#This Row],[LEN]]*7.27,0)</f>
        <v>29</v>
      </c>
      <c r="M794" s="335">
        <v>15</v>
      </c>
      <c r="N794" s="336" t="str">
        <f t="shared" si="25"/>
        <v>_blank</v>
      </c>
      <c r="O794" s="335">
        <f>LEN(Tableau18[[#This Row],[LABEL]])</f>
        <v>4</v>
      </c>
      <c r="P794" s="335">
        <v>15</v>
      </c>
      <c r="Q794" s="335" t="e">
        <f>ROUND(Tableau18[[#This Row],[LEN]]*#REF!+#REF!,0)</f>
        <v>#REF!</v>
      </c>
    </row>
    <row r="795" spans="1:17" s="97" customFormat="1" x14ac:dyDescent="0.25">
      <c r="A795" s="41" t="s">
        <v>1581</v>
      </c>
      <c r="B795" s="42" t="s">
        <v>298</v>
      </c>
      <c r="C795" s="43" t="s">
        <v>1476</v>
      </c>
      <c r="D795" s="74" t="s">
        <v>1477</v>
      </c>
      <c r="E795" s="43" t="s">
        <v>676</v>
      </c>
      <c r="F795" s="43" t="s">
        <v>1177</v>
      </c>
      <c r="G795" s="74" t="s">
        <v>68</v>
      </c>
      <c r="H795" s="74" t="s">
        <v>656</v>
      </c>
      <c r="I795" s="43"/>
      <c r="J795" s="44" t="s">
        <v>708</v>
      </c>
      <c r="K795" s="44" t="str">
        <f t="shared" si="24"/>
        <v>_</v>
      </c>
      <c r="L795" s="115">
        <f>ROUND(Tableau18[[#This Row],[LEN]]*7.27,0)</f>
        <v>371</v>
      </c>
      <c r="M795" s="115">
        <v>15</v>
      </c>
      <c r="N795" s="132" t="str">
        <f t="shared" si="25"/>
        <v>_self</v>
      </c>
      <c r="O795" s="115">
        <f>LEN(Tableau18[[#This Row],[LABEL]])</f>
        <v>51</v>
      </c>
      <c r="P795" s="115">
        <v>15</v>
      </c>
      <c r="Q795" s="115" t="e">
        <f>ROUND(Tableau18[[#This Row],[LEN]]*#REF!+#REF!,0)</f>
        <v>#REF!</v>
      </c>
    </row>
    <row r="796" spans="1:17" s="97" customFormat="1" x14ac:dyDescent="0.25">
      <c r="A796" s="41" t="s">
        <v>1582</v>
      </c>
      <c r="B796" s="42" t="s">
        <v>298</v>
      </c>
      <c r="C796" s="43" t="s">
        <v>849</v>
      </c>
      <c r="D796" s="74" t="s">
        <v>1177</v>
      </c>
      <c r="E796" s="43" t="s">
        <v>667</v>
      </c>
      <c r="F796" s="43" t="s">
        <v>840</v>
      </c>
      <c r="G796" s="74" t="s">
        <v>68</v>
      </c>
      <c r="H796" s="74" t="s">
        <v>655</v>
      </c>
      <c r="I796" s="43"/>
      <c r="J796" s="44" t="s">
        <v>708</v>
      </c>
      <c r="K796" s="44" t="str">
        <f t="shared" si="24"/>
        <v>_</v>
      </c>
      <c r="L796" s="115">
        <f>ROUND(Tableau18[[#This Row],[LEN]]*7.27,0)</f>
        <v>80</v>
      </c>
      <c r="M796" s="115">
        <v>15</v>
      </c>
      <c r="N796" s="132" t="str">
        <f t="shared" si="25"/>
        <v>_self</v>
      </c>
      <c r="O796" s="115">
        <f>LEN(Tableau18[[#This Row],[LABEL]])</f>
        <v>11</v>
      </c>
      <c r="P796" s="115">
        <v>15</v>
      </c>
      <c r="Q796" s="115" t="e">
        <f>ROUND(Tableau18[[#This Row],[LEN]]*#REF!+#REF!,0)</f>
        <v>#REF!</v>
      </c>
    </row>
    <row r="797" spans="1:17" s="97" customFormat="1" x14ac:dyDescent="0.25">
      <c r="A797" s="45" t="s">
        <v>1587</v>
      </c>
      <c r="B797" s="46" t="s">
        <v>1582</v>
      </c>
      <c r="C797" s="47" t="s">
        <v>112</v>
      </c>
      <c r="D797" s="75" t="s">
        <v>1177</v>
      </c>
      <c r="E797" s="47" t="s">
        <v>667</v>
      </c>
      <c r="F797" s="47" t="s">
        <v>2006</v>
      </c>
      <c r="G797" s="75" t="s">
        <v>68</v>
      </c>
      <c r="H797" s="75" t="s">
        <v>654</v>
      </c>
      <c r="I797" s="47"/>
      <c r="J797" s="48" t="s">
        <v>708</v>
      </c>
      <c r="K797" s="48" t="str">
        <f t="shared" si="24"/>
        <v>_</v>
      </c>
      <c r="L797" s="116">
        <f>ROUND(Tableau18[[#This Row],[LEN]]*7.27,0)</f>
        <v>167</v>
      </c>
      <c r="M797" s="116">
        <v>15</v>
      </c>
      <c r="N797" s="133" t="str">
        <f t="shared" si="25"/>
        <v>_self</v>
      </c>
      <c r="O797" s="116">
        <f>LEN(Tableau18[[#This Row],[LABEL]])</f>
        <v>23</v>
      </c>
      <c r="P797" s="116">
        <v>15</v>
      </c>
      <c r="Q797" s="116" t="e">
        <f>ROUND(Tableau18[[#This Row],[LEN]]*#REF!+#REF!,0)</f>
        <v>#REF!</v>
      </c>
    </row>
    <row r="798" spans="1:17" s="97" customFormat="1" x14ac:dyDescent="0.25">
      <c r="A798" s="45" t="s">
        <v>1588</v>
      </c>
      <c r="B798" s="46" t="s">
        <v>1582</v>
      </c>
      <c r="C798" s="47" t="s">
        <v>113</v>
      </c>
      <c r="D798" s="75" t="s">
        <v>1177</v>
      </c>
      <c r="E798" s="47" t="s">
        <v>667</v>
      </c>
      <c r="F798" s="47" t="s">
        <v>2006</v>
      </c>
      <c r="G798" s="75" t="s">
        <v>68</v>
      </c>
      <c r="H798" s="75" t="s">
        <v>654</v>
      </c>
      <c r="I798" s="47"/>
      <c r="J798" s="48" t="s">
        <v>708</v>
      </c>
      <c r="K798" s="48" t="str">
        <f t="shared" si="24"/>
        <v>_</v>
      </c>
      <c r="L798" s="116">
        <f>ROUND(Tableau18[[#This Row],[LEN]]*7.27,0)</f>
        <v>233</v>
      </c>
      <c r="M798" s="116">
        <v>15</v>
      </c>
      <c r="N798" s="133" t="str">
        <f t="shared" si="25"/>
        <v>_self</v>
      </c>
      <c r="O798" s="116">
        <f>LEN(Tableau18[[#This Row],[LABEL]])</f>
        <v>32</v>
      </c>
      <c r="P798" s="116">
        <v>15</v>
      </c>
      <c r="Q798" s="116" t="e">
        <f>ROUND(Tableau18[[#This Row],[LEN]]*#REF!+#REF!,0)</f>
        <v>#REF!</v>
      </c>
    </row>
    <row r="799" spans="1:17" s="97" customFormat="1" x14ac:dyDescent="0.25">
      <c r="A799" s="41" t="s">
        <v>1583</v>
      </c>
      <c r="B799" s="42" t="s">
        <v>298</v>
      </c>
      <c r="C799" s="43" t="s">
        <v>1589</v>
      </c>
      <c r="D799" s="74" t="s">
        <v>1177</v>
      </c>
      <c r="E799" s="43" t="s">
        <v>676</v>
      </c>
      <c r="F799" s="43" t="s">
        <v>1177</v>
      </c>
      <c r="G799" s="74" t="s">
        <v>68</v>
      </c>
      <c r="H799" s="74" t="s">
        <v>656</v>
      </c>
      <c r="I799" s="43"/>
      <c r="J799" s="44" t="s">
        <v>708</v>
      </c>
      <c r="K799" s="44" t="str">
        <f t="shared" si="24"/>
        <v>_</v>
      </c>
      <c r="L799" s="115">
        <f>ROUND(Tableau18[[#This Row],[LEN]]*7.27,0)</f>
        <v>487</v>
      </c>
      <c r="M799" s="115">
        <v>15</v>
      </c>
      <c r="N799" s="132" t="str">
        <f t="shared" si="25"/>
        <v>_self</v>
      </c>
      <c r="O799" s="115">
        <f>LEN(Tableau18[[#This Row],[LABEL]])</f>
        <v>67</v>
      </c>
      <c r="P799" s="115">
        <v>15</v>
      </c>
      <c r="Q799" s="115" t="e">
        <f>ROUND(Tableau18[[#This Row],[LEN]]*#REF!+#REF!,0)</f>
        <v>#REF!</v>
      </c>
    </row>
    <row r="800" spans="1:17" s="97" customFormat="1" x14ac:dyDescent="0.25">
      <c r="A800" s="41" t="s">
        <v>1584</v>
      </c>
      <c r="B800" s="42" t="s">
        <v>298</v>
      </c>
      <c r="C800" s="43" t="s">
        <v>1590</v>
      </c>
      <c r="D800" s="74" t="s">
        <v>1177</v>
      </c>
      <c r="E800" s="43" t="s">
        <v>676</v>
      </c>
      <c r="F800" s="43" t="s">
        <v>1177</v>
      </c>
      <c r="G800" s="74" t="s">
        <v>68</v>
      </c>
      <c r="H800" s="74" t="s">
        <v>656</v>
      </c>
      <c r="I800" s="43"/>
      <c r="J800" s="44" t="s">
        <v>708</v>
      </c>
      <c r="K800" s="44" t="str">
        <f t="shared" si="24"/>
        <v>_</v>
      </c>
      <c r="L800" s="115">
        <f>ROUND(Tableau18[[#This Row],[LEN]]*7.27,0)</f>
        <v>364</v>
      </c>
      <c r="M800" s="115">
        <v>15</v>
      </c>
      <c r="N800" s="132" t="str">
        <f t="shared" si="25"/>
        <v>_self</v>
      </c>
      <c r="O800" s="115">
        <f>LEN(Tableau18[[#This Row],[LABEL]])</f>
        <v>50</v>
      </c>
      <c r="P800" s="115">
        <v>15</v>
      </c>
      <c r="Q800" s="115" t="e">
        <f>ROUND(Tableau18[[#This Row],[LEN]]*#REF!+#REF!,0)</f>
        <v>#REF!</v>
      </c>
    </row>
    <row r="801" spans="1:17" s="97" customFormat="1" x14ac:dyDescent="0.25">
      <c r="A801" s="41" t="s">
        <v>1585</v>
      </c>
      <c r="B801" s="42" t="s">
        <v>298</v>
      </c>
      <c r="C801" s="43" t="s">
        <v>1591</v>
      </c>
      <c r="D801" s="74" t="s">
        <v>1177</v>
      </c>
      <c r="E801" s="43" t="s">
        <v>676</v>
      </c>
      <c r="F801" s="43" t="s">
        <v>1177</v>
      </c>
      <c r="G801" s="74" t="s">
        <v>68</v>
      </c>
      <c r="H801" s="74" t="s">
        <v>656</v>
      </c>
      <c r="I801" s="43"/>
      <c r="J801" s="44" t="s">
        <v>708</v>
      </c>
      <c r="K801" s="44" t="str">
        <f t="shared" si="24"/>
        <v>_</v>
      </c>
      <c r="L801" s="115">
        <f>ROUND(Tableau18[[#This Row],[LEN]]*7.27,0)</f>
        <v>407</v>
      </c>
      <c r="M801" s="115">
        <v>15</v>
      </c>
      <c r="N801" s="132" t="str">
        <f t="shared" si="25"/>
        <v>_self</v>
      </c>
      <c r="O801" s="115">
        <f>LEN(Tableau18[[#This Row],[LABEL]])</f>
        <v>56</v>
      </c>
      <c r="P801" s="115">
        <v>15</v>
      </c>
      <c r="Q801" s="115" t="e">
        <f>ROUND(Tableau18[[#This Row],[LEN]]*#REF!+#REF!,0)</f>
        <v>#REF!</v>
      </c>
    </row>
    <row r="802" spans="1:17" s="273" customFormat="1" x14ac:dyDescent="0.25">
      <c r="A802" s="330" t="s">
        <v>299</v>
      </c>
      <c r="B802" s="331" t="s">
        <v>208</v>
      </c>
      <c r="C802" s="332" t="s">
        <v>13</v>
      </c>
      <c r="D802" s="333" t="s">
        <v>1177</v>
      </c>
      <c r="E802" s="332" t="s">
        <v>677</v>
      </c>
      <c r="F802" s="332" t="s">
        <v>1177</v>
      </c>
      <c r="G802" s="333" t="s">
        <v>68</v>
      </c>
      <c r="H802" s="333" t="str">
        <f>IFERROR(IF(SEARCH(".00.00.00.00.00",Tableau18[[#This Row],[name]],1)=7,"Division",""),"")</f>
        <v>Division</v>
      </c>
      <c r="I802" s="332"/>
      <c r="J802" s="334" t="s">
        <v>708</v>
      </c>
      <c r="K802" s="334" t="str">
        <f t="shared" si="24"/>
        <v>_</v>
      </c>
      <c r="L802" s="335">
        <f>ROUND(Tableau18[[#This Row],[LEN]]*7.27,0)</f>
        <v>80</v>
      </c>
      <c r="M802" s="335">
        <v>15</v>
      </c>
      <c r="N802" s="336" t="str">
        <f t="shared" si="25"/>
        <v>_self</v>
      </c>
      <c r="O802" s="335">
        <f>LEN(Tableau18[[#This Row],[LABEL]])</f>
        <v>11</v>
      </c>
      <c r="P802" s="335">
        <v>15</v>
      </c>
      <c r="Q802" s="335" t="e">
        <f>ROUND(Tableau18[[#This Row],[LEN]]*#REF!+#REF!,0)</f>
        <v>#REF!</v>
      </c>
    </row>
    <row r="803" spans="1:17" s="97" customFormat="1" x14ac:dyDescent="0.25">
      <c r="A803" s="41" t="s">
        <v>1592</v>
      </c>
      <c r="B803" s="42" t="s">
        <v>299</v>
      </c>
      <c r="C803" s="43" t="s">
        <v>1595</v>
      </c>
      <c r="D803" s="74" t="s">
        <v>1177</v>
      </c>
      <c r="E803" s="43" t="s">
        <v>677</v>
      </c>
      <c r="F803" s="43" t="s">
        <v>1177</v>
      </c>
      <c r="G803" s="74" t="s">
        <v>68</v>
      </c>
      <c r="H803" s="74" t="s">
        <v>654</v>
      </c>
      <c r="I803" s="43"/>
      <c r="J803" s="44" t="s">
        <v>708</v>
      </c>
      <c r="K803" s="44" t="str">
        <f t="shared" si="24"/>
        <v>_</v>
      </c>
      <c r="L803" s="115">
        <f>ROUND(Tableau18[[#This Row],[LEN]]*7.27,0)</f>
        <v>400</v>
      </c>
      <c r="M803" s="115">
        <v>15</v>
      </c>
      <c r="N803" s="132" t="str">
        <f t="shared" si="25"/>
        <v>_self</v>
      </c>
      <c r="O803" s="115">
        <f>LEN(Tableau18[[#This Row],[LABEL]])</f>
        <v>55</v>
      </c>
      <c r="P803" s="115">
        <v>15</v>
      </c>
      <c r="Q803" s="115" t="e">
        <f>ROUND(Tableau18[[#This Row],[LEN]]*#REF!+#REF!,0)</f>
        <v>#REF!</v>
      </c>
    </row>
    <row r="804" spans="1:17" s="97" customFormat="1" x14ac:dyDescent="0.25">
      <c r="A804" s="41" t="s">
        <v>1593</v>
      </c>
      <c r="B804" s="42" t="s">
        <v>299</v>
      </c>
      <c r="C804" s="43" t="s">
        <v>849</v>
      </c>
      <c r="D804" s="74" t="s">
        <v>1177</v>
      </c>
      <c r="E804" s="43" t="s">
        <v>667</v>
      </c>
      <c r="F804" s="43" t="s">
        <v>840</v>
      </c>
      <c r="G804" s="74" t="s">
        <v>68</v>
      </c>
      <c r="H804" s="74" t="s">
        <v>655</v>
      </c>
      <c r="I804" s="43"/>
      <c r="J804" s="44" t="s">
        <v>708</v>
      </c>
      <c r="K804" s="44" t="str">
        <f t="shared" si="24"/>
        <v>_</v>
      </c>
      <c r="L804" s="115">
        <f>ROUND(Tableau18[[#This Row],[LEN]]*7.27,0)</f>
        <v>80</v>
      </c>
      <c r="M804" s="115">
        <v>15</v>
      </c>
      <c r="N804" s="132" t="str">
        <f t="shared" si="25"/>
        <v>_self</v>
      </c>
      <c r="O804" s="115">
        <f>LEN(Tableau18[[#This Row],[LABEL]])</f>
        <v>11</v>
      </c>
      <c r="P804" s="115">
        <v>15</v>
      </c>
      <c r="Q804" s="115" t="e">
        <f>ROUND(Tableau18[[#This Row],[LEN]]*#REF!+#REF!,0)</f>
        <v>#REF!</v>
      </c>
    </row>
    <row r="805" spans="1:17" s="97" customFormat="1" x14ac:dyDescent="0.25">
      <c r="A805" s="45" t="s">
        <v>1597</v>
      </c>
      <c r="B805" s="46" t="s">
        <v>1593</v>
      </c>
      <c r="C805" s="47" t="s">
        <v>112</v>
      </c>
      <c r="D805" s="75" t="s">
        <v>1177</v>
      </c>
      <c r="E805" s="47" t="s">
        <v>667</v>
      </c>
      <c r="F805" s="47" t="s">
        <v>2006</v>
      </c>
      <c r="G805" s="75" t="s">
        <v>68</v>
      </c>
      <c r="H805" s="75" t="s">
        <v>654</v>
      </c>
      <c r="I805" s="47"/>
      <c r="J805" s="48" t="s">
        <v>708</v>
      </c>
      <c r="K805" s="48" t="str">
        <f t="shared" si="24"/>
        <v>_</v>
      </c>
      <c r="L805" s="116">
        <f>ROUND(Tableau18[[#This Row],[LEN]]*7.27,0)</f>
        <v>167</v>
      </c>
      <c r="M805" s="116">
        <v>15</v>
      </c>
      <c r="N805" s="133" t="str">
        <f t="shared" si="25"/>
        <v>_self</v>
      </c>
      <c r="O805" s="116">
        <f>LEN(Tableau18[[#This Row],[LABEL]])</f>
        <v>23</v>
      </c>
      <c r="P805" s="116">
        <v>15</v>
      </c>
      <c r="Q805" s="116" t="e">
        <f>ROUND(Tableau18[[#This Row],[LEN]]*#REF!+#REF!,0)</f>
        <v>#REF!</v>
      </c>
    </row>
    <row r="806" spans="1:17" s="97" customFormat="1" x14ac:dyDescent="0.25">
      <c r="A806" s="45" t="s">
        <v>1598</v>
      </c>
      <c r="B806" s="46" t="s">
        <v>1593</v>
      </c>
      <c r="C806" s="47" t="s">
        <v>113</v>
      </c>
      <c r="D806" s="75" t="s">
        <v>1177</v>
      </c>
      <c r="E806" s="47" t="s">
        <v>667</v>
      </c>
      <c r="F806" s="47" t="s">
        <v>2006</v>
      </c>
      <c r="G806" s="75" t="s">
        <v>68</v>
      </c>
      <c r="H806" s="75" t="s">
        <v>654</v>
      </c>
      <c r="I806" s="47"/>
      <c r="J806" s="48" t="s">
        <v>708</v>
      </c>
      <c r="K806" s="48" t="str">
        <f t="shared" si="24"/>
        <v>_</v>
      </c>
      <c r="L806" s="116">
        <f>ROUND(Tableau18[[#This Row],[LEN]]*7.27,0)</f>
        <v>233</v>
      </c>
      <c r="M806" s="116">
        <v>15</v>
      </c>
      <c r="N806" s="133" t="str">
        <f t="shared" si="25"/>
        <v>_self</v>
      </c>
      <c r="O806" s="116">
        <f>LEN(Tableau18[[#This Row],[LABEL]])</f>
        <v>32</v>
      </c>
      <c r="P806" s="116">
        <v>15</v>
      </c>
      <c r="Q806" s="116" t="e">
        <f>ROUND(Tableau18[[#This Row],[LEN]]*#REF!+#REF!,0)</f>
        <v>#REF!</v>
      </c>
    </row>
    <row r="807" spans="1:17" s="97" customFormat="1" x14ac:dyDescent="0.25">
      <c r="A807" s="41" t="s">
        <v>1594</v>
      </c>
      <c r="B807" s="42" t="s">
        <v>299</v>
      </c>
      <c r="C807" s="43" t="s">
        <v>1596</v>
      </c>
      <c r="D807" s="74" t="s">
        <v>1177</v>
      </c>
      <c r="E807" s="43" t="s">
        <v>672</v>
      </c>
      <c r="F807" s="43" t="s">
        <v>677</v>
      </c>
      <c r="G807" s="74" t="s">
        <v>68</v>
      </c>
      <c r="H807" s="74" t="s">
        <v>654</v>
      </c>
      <c r="I807" s="43"/>
      <c r="J807" s="44" t="s">
        <v>708</v>
      </c>
      <c r="K807" s="44" t="str">
        <f t="shared" si="24"/>
        <v>_</v>
      </c>
      <c r="L807" s="115">
        <f>ROUND(Tableau18[[#This Row],[LEN]]*7.27,0)</f>
        <v>342</v>
      </c>
      <c r="M807" s="115">
        <v>15</v>
      </c>
      <c r="N807" s="132" t="str">
        <f t="shared" si="25"/>
        <v>_self</v>
      </c>
      <c r="O807" s="115">
        <f>LEN(Tableau18[[#This Row],[LABEL]])</f>
        <v>47</v>
      </c>
      <c r="P807" s="115">
        <v>15</v>
      </c>
      <c r="Q807" s="115" t="e">
        <f>ROUND(Tableau18[[#This Row],[LEN]]*#REF!+#REF!,0)</f>
        <v>#REF!</v>
      </c>
    </row>
    <row r="808" spans="1:17" s="273" customFormat="1" x14ac:dyDescent="0.25">
      <c r="A808" s="330" t="s">
        <v>300</v>
      </c>
      <c r="B808" s="331" t="s">
        <v>208</v>
      </c>
      <c r="C808" s="332" t="s">
        <v>14</v>
      </c>
      <c r="D808" s="333" t="s">
        <v>1177</v>
      </c>
      <c r="E808" s="332" t="s">
        <v>678</v>
      </c>
      <c r="F808" s="332" t="s">
        <v>1177</v>
      </c>
      <c r="G808" s="333" t="s">
        <v>68</v>
      </c>
      <c r="H808" s="333" t="str">
        <f>IFERROR(IF(SEARCH(".00.00.00.00.00",Tableau18[[#This Row],[name]],1)=7,"Division",""),"")</f>
        <v>Division</v>
      </c>
      <c r="I808" s="332"/>
      <c r="J808" s="334" t="s">
        <v>724</v>
      </c>
      <c r="K808" s="334" t="str">
        <f t="shared" si="24"/>
        <v>Documentation</v>
      </c>
      <c r="L808" s="335">
        <f>ROUND(Tableau18[[#This Row],[LEN]]*7.27,0)</f>
        <v>240</v>
      </c>
      <c r="M808" s="335">
        <v>15</v>
      </c>
      <c r="N808" s="336" t="str">
        <f t="shared" si="25"/>
        <v>_blank</v>
      </c>
      <c r="O808" s="335">
        <f>LEN(Tableau18[[#This Row],[LABEL]])</f>
        <v>33</v>
      </c>
      <c r="P808" s="335">
        <v>15</v>
      </c>
      <c r="Q808" s="335" t="e">
        <f>ROUND(Tableau18[[#This Row],[LEN]]*#REF!+#REF!,0)</f>
        <v>#REF!</v>
      </c>
    </row>
    <row r="809" spans="1:17" s="97" customFormat="1" x14ac:dyDescent="0.25">
      <c r="A809" s="41" t="s">
        <v>1599</v>
      </c>
      <c r="B809" s="42" t="s">
        <v>300</v>
      </c>
      <c r="C809" s="43" t="s">
        <v>1611</v>
      </c>
      <c r="D809" s="74" t="s">
        <v>1177</v>
      </c>
      <c r="E809" s="43" t="s">
        <v>678</v>
      </c>
      <c r="F809" s="43" t="s">
        <v>1177</v>
      </c>
      <c r="G809" s="74" t="s">
        <v>68</v>
      </c>
      <c r="H809" s="74" t="s">
        <v>656</v>
      </c>
      <c r="I809" s="43"/>
      <c r="J809" s="44" t="s">
        <v>708</v>
      </c>
      <c r="K809" s="44" t="str">
        <f t="shared" si="24"/>
        <v>_</v>
      </c>
      <c r="L809" s="115">
        <f>ROUND(Tableau18[[#This Row],[LEN]]*7.27,0)</f>
        <v>334</v>
      </c>
      <c r="M809" s="115">
        <v>15</v>
      </c>
      <c r="N809" s="132" t="str">
        <f t="shared" si="25"/>
        <v>_self</v>
      </c>
      <c r="O809" s="115">
        <f>LEN(Tableau18[[#This Row],[LABEL]])</f>
        <v>46</v>
      </c>
      <c r="P809" s="115">
        <v>15</v>
      </c>
      <c r="Q809" s="115" t="e">
        <f>ROUND(Tableau18[[#This Row],[LEN]]*#REF!+#REF!,0)</f>
        <v>#REF!</v>
      </c>
    </row>
    <row r="810" spans="1:17" s="97" customFormat="1" x14ac:dyDescent="0.25">
      <c r="A810" s="41" t="s">
        <v>1600</v>
      </c>
      <c r="B810" s="42" t="s">
        <v>300</v>
      </c>
      <c r="C810" s="43" t="s">
        <v>1612</v>
      </c>
      <c r="D810" s="74" t="s">
        <v>1177</v>
      </c>
      <c r="E810" s="43" t="s">
        <v>678</v>
      </c>
      <c r="F810" s="43" t="s">
        <v>1177</v>
      </c>
      <c r="G810" s="74" t="s">
        <v>68</v>
      </c>
      <c r="H810" s="74" t="s">
        <v>656</v>
      </c>
      <c r="I810" s="43"/>
      <c r="J810" s="44" t="s">
        <v>708</v>
      </c>
      <c r="K810" s="44" t="str">
        <f t="shared" si="24"/>
        <v>_</v>
      </c>
      <c r="L810" s="115">
        <f>ROUND(Tableau18[[#This Row],[LEN]]*7.27,0)</f>
        <v>174</v>
      </c>
      <c r="M810" s="115">
        <v>15</v>
      </c>
      <c r="N810" s="132" t="str">
        <f t="shared" si="25"/>
        <v>_self</v>
      </c>
      <c r="O810" s="115">
        <f>LEN(Tableau18[[#This Row],[LABEL]])</f>
        <v>24</v>
      </c>
      <c r="P810" s="115">
        <v>15</v>
      </c>
      <c r="Q810" s="115" t="e">
        <f>ROUND(Tableau18[[#This Row],[LEN]]*#REF!+#REF!,0)</f>
        <v>#REF!</v>
      </c>
    </row>
    <row r="811" spans="1:17" s="97" customFormat="1" x14ac:dyDescent="0.25">
      <c r="A811" s="41" t="s">
        <v>1601</v>
      </c>
      <c r="B811" s="42" t="s">
        <v>300</v>
      </c>
      <c r="C811" s="43" t="s">
        <v>1613</v>
      </c>
      <c r="D811" s="74" t="s">
        <v>1177</v>
      </c>
      <c r="E811" s="43" t="s">
        <v>678</v>
      </c>
      <c r="F811" s="43" t="s">
        <v>1177</v>
      </c>
      <c r="G811" s="74" t="s">
        <v>68</v>
      </c>
      <c r="H811" s="74" t="s">
        <v>656</v>
      </c>
      <c r="I811" s="43"/>
      <c r="J811" s="44" t="s">
        <v>708</v>
      </c>
      <c r="K811" s="44" t="str">
        <f t="shared" si="24"/>
        <v>_</v>
      </c>
      <c r="L811" s="115">
        <f>ROUND(Tableau18[[#This Row],[LEN]]*7.27,0)</f>
        <v>160</v>
      </c>
      <c r="M811" s="115">
        <v>15</v>
      </c>
      <c r="N811" s="132" t="str">
        <f t="shared" si="25"/>
        <v>_self</v>
      </c>
      <c r="O811" s="115">
        <f>LEN(Tableau18[[#This Row],[LABEL]])</f>
        <v>22</v>
      </c>
      <c r="P811" s="115">
        <v>15</v>
      </c>
      <c r="Q811" s="115" t="e">
        <f>ROUND(Tableau18[[#This Row],[LEN]]*#REF!+#REF!,0)</f>
        <v>#REF!</v>
      </c>
    </row>
    <row r="812" spans="1:17" s="97" customFormat="1" x14ac:dyDescent="0.25">
      <c r="A812" s="41" t="s">
        <v>1602</v>
      </c>
      <c r="B812" s="42" t="s">
        <v>300</v>
      </c>
      <c r="C812" s="43" t="s">
        <v>1614</v>
      </c>
      <c r="D812" s="74" t="s">
        <v>1177</v>
      </c>
      <c r="E812" s="43" t="s">
        <v>678</v>
      </c>
      <c r="F812" s="43" t="s">
        <v>1177</v>
      </c>
      <c r="G812" s="74" t="s">
        <v>68</v>
      </c>
      <c r="H812" s="74" t="s">
        <v>656</v>
      </c>
      <c r="I812" s="43"/>
      <c r="J812" s="44" t="s">
        <v>708</v>
      </c>
      <c r="K812" s="44" t="str">
        <f t="shared" si="24"/>
        <v>_</v>
      </c>
      <c r="L812" s="115">
        <f>ROUND(Tableau18[[#This Row],[LEN]]*7.27,0)</f>
        <v>465</v>
      </c>
      <c r="M812" s="115">
        <v>15</v>
      </c>
      <c r="N812" s="132" t="str">
        <f t="shared" si="25"/>
        <v>_self</v>
      </c>
      <c r="O812" s="115">
        <f>LEN(Tableau18[[#This Row],[LABEL]])</f>
        <v>64</v>
      </c>
      <c r="P812" s="115">
        <v>15</v>
      </c>
      <c r="Q812" s="115" t="e">
        <f>ROUND(Tableau18[[#This Row],[LEN]]*#REF!+#REF!,0)</f>
        <v>#REF!</v>
      </c>
    </row>
    <row r="813" spans="1:17" s="97" customFormat="1" x14ac:dyDescent="0.25">
      <c r="A813" s="41" t="s">
        <v>1603</v>
      </c>
      <c r="B813" s="42" t="s">
        <v>300</v>
      </c>
      <c r="C813" s="43" t="s">
        <v>1615</v>
      </c>
      <c r="D813" s="74" t="s">
        <v>1177</v>
      </c>
      <c r="E813" s="43" t="s">
        <v>678</v>
      </c>
      <c r="F813" s="43" t="s">
        <v>1177</v>
      </c>
      <c r="G813" s="74" t="s">
        <v>68</v>
      </c>
      <c r="H813" s="74" t="s">
        <v>656</v>
      </c>
      <c r="I813" s="43"/>
      <c r="J813" s="44" t="s">
        <v>708</v>
      </c>
      <c r="K813" s="44" t="str">
        <f t="shared" si="24"/>
        <v>_</v>
      </c>
      <c r="L813" s="115">
        <f>ROUND(Tableau18[[#This Row],[LEN]]*7.27,0)</f>
        <v>291</v>
      </c>
      <c r="M813" s="115">
        <v>15</v>
      </c>
      <c r="N813" s="132" t="str">
        <f t="shared" si="25"/>
        <v>_self</v>
      </c>
      <c r="O813" s="115">
        <f>LEN(Tableau18[[#This Row],[LABEL]])</f>
        <v>40</v>
      </c>
      <c r="P813" s="115">
        <v>15</v>
      </c>
      <c r="Q813" s="115" t="e">
        <f>ROUND(Tableau18[[#This Row],[LEN]]*#REF!+#REF!,0)</f>
        <v>#REF!</v>
      </c>
    </row>
    <row r="814" spans="1:17" s="97" customFormat="1" x14ac:dyDescent="0.25">
      <c r="A814" s="41" t="s">
        <v>1604</v>
      </c>
      <c r="B814" s="42" t="s">
        <v>300</v>
      </c>
      <c r="C814" s="43" t="s">
        <v>849</v>
      </c>
      <c r="D814" s="74" t="s">
        <v>1177</v>
      </c>
      <c r="E814" s="43" t="s">
        <v>667</v>
      </c>
      <c r="F814" s="43" t="s">
        <v>840</v>
      </c>
      <c r="G814" s="74" t="s">
        <v>68</v>
      </c>
      <c r="H814" s="74" t="s">
        <v>655</v>
      </c>
      <c r="I814" s="43"/>
      <c r="J814" s="44" t="s">
        <v>708</v>
      </c>
      <c r="K814" s="44" t="str">
        <f t="shared" si="24"/>
        <v>_</v>
      </c>
      <c r="L814" s="115">
        <f>ROUND(Tableau18[[#This Row],[LEN]]*7.27,0)</f>
        <v>80</v>
      </c>
      <c r="M814" s="115">
        <v>15</v>
      </c>
      <c r="N814" s="132" t="str">
        <f t="shared" si="25"/>
        <v>_self</v>
      </c>
      <c r="O814" s="115">
        <f>LEN(Tableau18[[#This Row],[LABEL]])</f>
        <v>11</v>
      </c>
      <c r="P814" s="115">
        <v>15</v>
      </c>
      <c r="Q814" s="115" t="e">
        <f>ROUND(Tableau18[[#This Row],[LEN]]*#REF!+#REF!,0)</f>
        <v>#REF!</v>
      </c>
    </row>
    <row r="815" spans="1:17" s="97" customFormat="1" x14ac:dyDescent="0.25">
      <c r="A815" s="45" t="s">
        <v>1616</v>
      </c>
      <c r="B815" s="46" t="s">
        <v>1604</v>
      </c>
      <c r="C815" s="47" t="s">
        <v>112</v>
      </c>
      <c r="D815" s="75" t="s">
        <v>1177</v>
      </c>
      <c r="E815" s="47" t="s">
        <v>667</v>
      </c>
      <c r="F815" s="47" t="s">
        <v>2006</v>
      </c>
      <c r="G815" s="75" t="s">
        <v>68</v>
      </c>
      <c r="H815" s="75" t="s">
        <v>654</v>
      </c>
      <c r="I815" s="47"/>
      <c r="J815" s="48" t="s">
        <v>708</v>
      </c>
      <c r="K815" s="48" t="str">
        <f t="shared" si="24"/>
        <v>_</v>
      </c>
      <c r="L815" s="116">
        <f>ROUND(Tableau18[[#This Row],[LEN]]*7.27,0)</f>
        <v>167</v>
      </c>
      <c r="M815" s="116">
        <v>15</v>
      </c>
      <c r="N815" s="133" t="str">
        <f t="shared" si="25"/>
        <v>_self</v>
      </c>
      <c r="O815" s="116">
        <f>LEN(Tableau18[[#This Row],[LABEL]])</f>
        <v>23</v>
      </c>
      <c r="P815" s="116">
        <v>15</v>
      </c>
      <c r="Q815" s="116" t="e">
        <f>ROUND(Tableau18[[#This Row],[LEN]]*#REF!+#REF!,0)</f>
        <v>#REF!</v>
      </c>
    </row>
    <row r="816" spans="1:17" s="97" customFormat="1" x14ac:dyDescent="0.25">
      <c r="A816" s="45" t="s">
        <v>1617</v>
      </c>
      <c r="B816" s="46" t="s">
        <v>1604</v>
      </c>
      <c r="C816" s="47" t="s">
        <v>113</v>
      </c>
      <c r="D816" s="75" t="s">
        <v>1177</v>
      </c>
      <c r="E816" s="47" t="s">
        <v>667</v>
      </c>
      <c r="F816" s="47" t="s">
        <v>2006</v>
      </c>
      <c r="G816" s="75" t="s">
        <v>68</v>
      </c>
      <c r="H816" s="75" t="s">
        <v>654</v>
      </c>
      <c r="I816" s="47"/>
      <c r="J816" s="48" t="s">
        <v>708</v>
      </c>
      <c r="K816" s="48" t="str">
        <f t="shared" si="24"/>
        <v>_</v>
      </c>
      <c r="L816" s="116">
        <f>ROUND(Tableau18[[#This Row],[LEN]]*7.27,0)</f>
        <v>233</v>
      </c>
      <c r="M816" s="116">
        <v>15</v>
      </c>
      <c r="N816" s="133" t="str">
        <f t="shared" si="25"/>
        <v>_self</v>
      </c>
      <c r="O816" s="116">
        <f>LEN(Tableau18[[#This Row],[LABEL]])</f>
        <v>32</v>
      </c>
      <c r="P816" s="116">
        <v>15</v>
      </c>
      <c r="Q816" s="116" t="e">
        <f>ROUND(Tableau18[[#This Row],[LEN]]*#REF!+#REF!,0)</f>
        <v>#REF!</v>
      </c>
    </row>
    <row r="817" spans="1:17" s="97" customFormat="1" x14ac:dyDescent="0.25">
      <c r="A817" s="41" t="s">
        <v>1605</v>
      </c>
      <c r="B817" s="42" t="s">
        <v>300</v>
      </c>
      <c r="C817" s="43" t="s">
        <v>1618</v>
      </c>
      <c r="D817" s="74" t="s">
        <v>1177</v>
      </c>
      <c r="E817" s="43" t="s">
        <v>669</v>
      </c>
      <c r="F817" s="43" t="s">
        <v>678</v>
      </c>
      <c r="G817" s="74" t="s">
        <v>68</v>
      </c>
      <c r="H817" s="74" t="s">
        <v>656</v>
      </c>
      <c r="I817" s="43"/>
      <c r="J817" s="44" t="s">
        <v>708</v>
      </c>
      <c r="K817" s="44" t="str">
        <f t="shared" si="24"/>
        <v>_</v>
      </c>
      <c r="L817" s="115">
        <f>ROUND(Tableau18[[#This Row],[LEN]]*7.27,0)</f>
        <v>225</v>
      </c>
      <c r="M817" s="115">
        <v>15</v>
      </c>
      <c r="N817" s="132" t="str">
        <f t="shared" si="25"/>
        <v>_self</v>
      </c>
      <c r="O817" s="115">
        <f>LEN(Tableau18[[#This Row],[LABEL]])</f>
        <v>31</v>
      </c>
      <c r="P817" s="115">
        <v>15</v>
      </c>
      <c r="Q817" s="115" t="e">
        <f>ROUND(Tableau18[[#This Row],[LEN]]*#REF!+#REF!,0)</f>
        <v>#REF!</v>
      </c>
    </row>
    <row r="818" spans="1:17" s="97" customFormat="1" x14ac:dyDescent="0.25">
      <c r="A818" s="41" t="s">
        <v>1606</v>
      </c>
      <c r="B818" s="42" t="s">
        <v>300</v>
      </c>
      <c r="C818" s="43" t="s">
        <v>1620</v>
      </c>
      <c r="D818" s="74" t="s">
        <v>1177</v>
      </c>
      <c r="E818" s="43" t="s">
        <v>675</v>
      </c>
      <c r="F818" s="43" t="s">
        <v>678</v>
      </c>
      <c r="G818" s="74" t="s">
        <v>68</v>
      </c>
      <c r="H818" s="74" t="s">
        <v>654</v>
      </c>
      <c r="I818" s="43"/>
      <c r="J818" s="44" t="s">
        <v>708</v>
      </c>
      <c r="K818" s="44" t="str">
        <f t="shared" si="24"/>
        <v>_</v>
      </c>
      <c r="L818" s="115">
        <f>ROUND(Tableau18[[#This Row],[LEN]]*7.27,0)</f>
        <v>262</v>
      </c>
      <c r="M818" s="115">
        <v>15</v>
      </c>
      <c r="N818" s="132" t="str">
        <f t="shared" si="25"/>
        <v>_self</v>
      </c>
      <c r="O818" s="115">
        <f>LEN(Tableau18[[#This Row],[LABEL]])</f>
        <v>36</v>
      </c>
      <c r="P818" s="115">
        <v>15</v>
      </c>
      <c r="Q818" s="115" t="e">
        <f>ROUND(Tableau18[[#This Row],[LEN]]*#REF!+#REF!,0)</f>
        <v>#REF!</v>
      </c>
    </row>
    <row r="819" spans="1:17" s="97" customFormat="1" x14ac:dyDescent="0.25">
      <c r="A819" s="41" t="s">
        <v>1607</v>
      </c>
      <c r="B819" s="42" t="s">
        <v>300</v>
      </c>
      <c r="C819" s="43" t="s">
        <v>1622</v>
      </c>
      <c r="D819" s="74" t="s">
        <v>1177</v>
      </c>
      <c r="E819" s="43" t="s">
        <v>678</v>
      </c>
      <c r="F819" s="43" t="s">
        <v>1177</v>
      </c>
      <c r="G819" s="74" t="s">
        <v>68</v>
      </c>
      <c r="H819" s="74" t="s">
        <v>654</v>
      </c>
      <c r="I819" s="43"/>
      <c r="J819" s="44" t="s">
        <v>708</v>
      </c>
      <c r="K819" s="44" t="str">
        <f t="shared" si="24"/>
        <v>_</v>
      </c>
      <c r="L819" s="115">
        <f>ROUND(Tableau18[[#This Row],[LEN]]*7.27,0)</f>
        <v>465</v>
      </c>
      <c r="M819" s="115">
        <v>15</v>
      </c>
      <c r="N819" s="132" t="str">
        <f t="shared" si="25"/>
        <v>_self</v>
      </c>
      <c r="O819" s="115">
        <f>LEN(Tableau18[[#This Row],[LABEL]])</f>
        <v>64</v>
      </c>
      <c r="P819" s="115">
        <v>15</v>
      </c>
      <c r="Q819" s="115" t="e">
        <f>ROUND(Tableau18[[#This Row],[LEN]]*#REF!+#REF!,0)</f>
        <v>#REF!</v>
      </c>
    </row>
    <row r="820" spans="1:17" s="97" customFormat="1" x14ac:dyDescent="0.25">
      <c r="A820" s="41" t="s">
        <v>1608</v>
      </c>
      <c r="B820" s="42" t="s">
        <v>300</v>
      </c>
      <c r="C820" s="43" t="s">
        <v>1372</v>
      </c>
      <c r="D820" s="74" t="s">
        <v>1177</v>
      </c>
      <c r="E820" s="43" t="s">
        <v>678</v>
      </c>
      <c r="F820" s="43" t="s">
        <v>1177</v>
      </c>
      <c r="G820" s="74" t="s">
        <v>68</v>
      </c>
      <c r="H820" s="74" t="s">
        <v>655</v>
      </c>
      <c r="I820" s="43"/>
      <c r="J820" s="44" t="s">
        <v>708</v>
      </c>
      <c r="K820" s="44" t="str">
        <f t="shared" si="24"/>
        <v>_</v>
      </c>
      <c r="L820" s="115">
        <f>ROUND(Tableau18[[#This Row],[LEN]]*7.27,0)</f>
        <v>80</v>
      </c>
      <c r="M820" s="115">
        <v>15</v>
      </c>
      <c r="N820" s="132" t="str">
        <f t="shared" si="25"/>
        <v>_self</v>
      </c>
      <c r="O820" s="115">
        <f>LEN(Tableau18[[#This Row],[LABEL]])</f>
        <v>11</v>
      </c>
      <c r="P820" s="115">
        <v>15</v>
      </c>
      <c r="Q820" s="115" t="e">
        <f>ROUND(Tableau18[[#This Row],[LEN]]*#REF!+#REF!,0)</f>
        <v>#REF!</v>
      </c>
    </row>
    <row r="821" spans="1:17" s="97" customFormat="1" x14ac:dyDescent="0.25">
      <c r="A821" s="45" t="s">
        <v>1623</v>
      </c>
      <c r="B821" s="46" t="s">
        <v>1608</v>
      </c>
      <c r="C821" s="47" t="s">
        <v>1625</v>
      </c>
      <c r="D821" s="75" t="s">
        <v>1177</v>
      </c>
      <c r="E821" s="47" t="s">
        <v>678</v>
      </c>
      <c r="F821" s="47" t="s">
        <v>1177</v>
      </c>
      <c r="G821" s="75" t="s">
        <v>68</v>
      </c>
      <c r="H821" s="75" t="s">
        <v>654</v>
      </c>
      <c r="I821" s="47"/>
      <c r="J821" s="48" t="s">
        <v>708</v>
      </c>
      <c r="K821" s="48" t="str">
        <f t="shared" si="24"/>
        <v>_</v>
      </c>
      <c r="L821" s="116">
        <f>ROUND(Tableau18[[#This Row],[LEN]]*7.27,0)</f>
        <v>109</v>
      </c>
      <c r="M821" s="116">
        <v>15</v>
      </c>
      <c r="N821" s="133" t="str">
        <f t="shared" si="25"/>
        <v>_self</v>
      </c>
      <c r="O821" s="116">
        <f>LEN(Tableau18[[#This Row],[LABEL]])</f>
        <v>15</v>
      </c>
      <c r="P821" s="116">
        <v>15</v>
      </c>
      <c r="Q821" s="116" t="e">
        <f>ROUND(Tableau18[[#This Row],[LEN]]*#REF!+#REF!,0)</f>
        <v>#REF!</v>
      </c>
    </row>
    <row r="822" spans="1:17" s="97" customFormat="1" x14ac:dyDescent="0.25">
      <c r="A822" s="45" t="s">
        <v>1624</v>
      </c>
      <c r="B822" s="46" t="s">
        <v>1608</v>
      </c>
      <c r="C822" s="47" t="s">
        <v>1626</v>
      </c>
      <c r="D822" s="75" t="s">
        <v>1177</v>
      </c>
      <c r="E822" s="47" t="s">
        <v>678</v>
      </c>
      <c r="F822" s="47" t="s">
        <v>1177</v>
      </c>
      <c r="G822" s="75" t="s">
        <v>68</v>
      </c>
      <c r="H822" s="75" t="s">
        <v>654</v>
      </c>
      <c r="I822" s="47"/>
      <c r="J822" s="48" t="s">
        <v>708</v>
      </c>
      <c r="K822" s="48" t="str">
        <f t="shared" si="24"/>
        <v>_</v>
      </c>
      <c r="L822" s="116">
        <f>ROUND(Tableau18[[#This Row],[LEN]]*7.27,0)</f>
        <v>124</v>
      </c>
      <c r="M822" s="116">
        <v>15</v>
      </c>
      <c r="N822" s="133" t="str">
        <f t="shared" si="25"/>
        <v>_self</v>
      </c>
      <c r="O822" s="116">
        <f>LEN(Tableau18[[#This Row],[LABEL]])</f>
        <v>17</v>
      </c>
      <c r="P822" s="116">
        <v>15</v>
      </c>
      <c r="Q822" s="116" t="e">
        <f>ROUND(Tableau18[[#This Row],[LEN]]*#REF!+#REF!,0)</f>
        <v>#REF!</v>
      </c>
    </row>
    <row r="823" spans="1:17" s="97" customFormat="1" x14ac:dyDescent="0.25">
      <c r="A823" s="41" t="s">
        <v>1609</v>
      </c>
      <c r="B823" s="42" t="s">
        <v>300</v>
      </c>
      <c r="C823" s="43" t="s">
        <v>1627</v>
      </c>
      <c r="D823" s="74" t="s">
        <v>1177</v>
      </c>
      <c r="E823" s="43" t="s">
        <v>678</v>
      </c>
      <c r="F823" s="43" t="s">
        <v>1177</v>
      </c>
      <c r="G823" s="74" t="s">
        <v>68</v>
      </c>
      <c r="H823" s="74" t="s">
        <v>654</v>
      </c>
      <c r="I823" s="43"/>
      <c r="J823" s="44" t="s">
        <v>708</v>
      </c>
      <c r="K823" s="44" t="str">
        <f t="shared" si="24"/>
        <v>_</v>
      </c>
      <c r="L823" s="115">
        <f>ROUND(Tableau18[[#This Row],[LEN]]*7.27,0)</f>
        <v>334</v>
      </c>
      <c r="M823" s="115">
        <v>15</v>
      </c>
      <c r="N823" s="132" t="str">
        <f t="shared" si="25"/>
        <v>_self</v>
      </c>
      <c r="O823" s="115">
        <f>LEN(Tableau18[[#This Row],[LABEL]])</f>
        <v>46</v>
      </c>
      <c r="P823" s="115">
        <v>15</v>
      </c>
      <c r="Q823" s="115" t="e">
        <f>ROUND(Tableau18[[#This Row],[LEN]]*#REF!+#REF!,0)</f>
        <v>#REF!</v>
      </c>
    </row>
    <row r="824" spans="1:17" s="97" customFormat="1" x14ac:dyDescent="0.25">
      <c r="A824" s="41" t="s">
        <v>1610</v>
      </c>
      <c r="B824" s="42" t="s">
        <v>300</v>
      </c>
      <c r="C824" s="43" t="s">
        <v>1628</v>
      </c>
      <c r="D824" s="74" t="s">
        <v>1177</v>
      </c>
      <c r="E824" s="43" t="s">
        <v>678</v>
      </c>
      <c r="F824" s="43" t="s">
        <v>1177</v>
      </c>
      <c r="G824" s="74" t="s">
        <v>68</v>
      </c>
      <c r="H824" s="74" t="s">
        <v>655</v>
      </c>
      <c r="I824" s="43"/>
      <c r="J824" s="44" t="s">
        <v>708</v>
      </c>
      <c r="K824" s="44" t="str">
        <f t="shared" si="24"/>
        <v>_</v>
      </c>
      <c r="L824" s="115">
        <f>ROUND(Tableau18[[#This Row],[LEN]]*7.27,0)</f>
        <v>225</v>
      </c>
      <c r="M824" s="115">
        <v>15</v>
      </c>
      <c r="N824" s="132" t="str">
        <f t="shared" si="25"/>
        <v>_self</v>
      </c>
      <c r="O824" s="115">
        <f>LEN(Tableau18[[#This Row],[LABEL]])</f>
        <v>31</v>
      </c>
      <c r="P824" s="115">
        <v>15</v>
      </c>
      <c r="Q824" s="115" t="e">
        <f>ROUND(Tableau18[[#This Row],[LEN]]*#REF!+#REF!,0)</f>
        <v>#REF!</v>
      </c>
    </row>
    <row r="825" spans="1:17" s="97" customFormat="1" x14ac:dyDescent="0.25">
      <c r="A825" s="45" t="s">
        <v>1629</v>
      </c>
      <c r="B825" s="46" t="s">
        <v>1610</v>
      </c>
      <c r="C825" s="47" t="s">
        <v>1633</v>
      </c>
      <c r="D825" s="75" t="s">
        <v>1177</v>
      </c>
      <c r="E825" s="47" t="s">
        <v>678</v>
      </c>
      <c r="F825" s="47" t="s">
        <v>1177</v>
      </c>
      <c r="G825" s="75" t="s">
        <v>68</v>
      </c>
      <c r="H825" s="75" t="s">
        <v>656</v>
      </c>
      <c r="I825" s="47"/>
      <c r="J825" s="48" t="s">
        <v>708</v>
      </c>
      <c r="K825" s="48" t="str">
        <f t="shared" si="24"/>
        <v>_</v>
      </c>
      <c r="L825" s="116">
        <f>ROUND(Tableau18[[#This Row],[LEN]]*7.27,0)</f>
        <v>22</v>
      </c>
      <c r="M825" s="116">
        <v>15</v>
      </c>
      <c r="N825" s="133" t="str">
        <f t="shared" si="25"/>
        <v>_self</v>
      </c>
      <c r="O825" s="116">
        <f>LEN(Tableau18[[#This Row],[LABEL]])</f>
        <v>3</v>
      </c>
      <c r="P825" s="116">
        <v>15</v>
      </c>
      <c r="Q825" s="116" t="e">
        <f>ROUND(Tableau18[[#This Row],[LEN]]*#REF!+#REF!,0)</f>
        <v>#REF!</v>
      </c>
    </row>
    <row r="826" spans="1:17" s="97" customFormat="1" x14ac:dyDescent="0.25">
      <c r="A826" s="45" t="s">
        <v>1630</v>
      </c>
      <c r="B826" s="46" t="s">
        <v>1610</v>
      </c>
      <c r="C826" s="47" t="s">
        <v>1634</v>
      </c>
      <c r="D826" s="75" t="s">
        <v>1177</v>
      </c>
      <c r="E826" s="47" t="s">
        <v>678</v>
      </c>
      <c r="F826" s="47" t="s">
        <v>1177</v>
      </c>
      <c r="G826" s="75" t="s">
        <v>68</v>
      </c>
      <c r="H826" s="75" t="s">
        <v>656</v>
      </c>
      <c r="I826" s="47"/>
      <c r="J826" s="48" t="s">
        <v>708</v>
      </c>
      <c r="K826" s="48" t="str">
        <f t="shared" si="24"/>
        <v>_</v>
      </c>
      <c r="L826" s="116">
        <f>ROUND(Tableau18[[#This Row],[LEN]]*7.27,0)</f>
        <v>80</v>
      </c>
      <c r="M826" s="116">
        <v>15</v>
      </c>
      <c r="N826" s="133" t="str">
        <f t="shared" si="25"/>
        <v>_self</v>
      </c>
      <c r="O826" s="116">
        <f>LEN(Tableau18[[#This Row],[LABEL]])</f>
        <v>11</v>
      </c>
      <c r="P826" s="116">
        <v>15</v>
      </c>
      <c r="Q826" s="116" t="e">
        <f>ROUND(Tableau18[[#This Row],[LEN]]*#REF!+#REF!,0)</f>
        <v>#REF!</v>
      </c>
    </row>
    <row r="827" spans="1:17" s="97" customFormat="1" x14ac:dyDescent="0.25">
      <c r="A827" s="45" t="s">
        <v>1631</v>
      </c>
      <c r="B827" s="46" t="s">
        <v>1610</v>
      </c>
      <c r="C827" s="47" t="s">
        <v>1635</v>
      </c>
      <c r="D827" s="75" t="s">
        <v>1177</v>
      </c>
      <c r="E827" s="47" t="s">
        <v>678</v>
      </c>
      <c r="F827" s="47" t="s">
        <v>1177</v>
      </c>
      <c r="G827" s="75" t="s">
        <v>68</v>
      </c>
      <c r="H827" s="75" t="s">
        <v>656</v>
      </c>
      <c r="I827" s="47"/>
      <c r="J827" s="48" t="s">
        <v>708</v>
      </c>
      <c r="K827" s="48" t="str">
        <f t="shared" si="24"/>
        <v>_</v>
      </c>
      <c r="L827" s="116">
        <f>ROUND(Tableau18[[#This Row],[LEN]]*7.27,0)</f>
        <v>131</v>
      </c>
      <c r="M827" s="116">
        <v>15</v>
      </c>
      <c r="N827" s="133" t="str">
        <f t="shared" si="25"/>
        <v>_self</v>
      </c>
      <c r="O827" s="116">
        <f>LEN(Tableau18[[#This Row],[LABEL]])</f>
        <v>18</v>
      </c>
      <c r="P827" s="116">
        <v>15</v>
      </c>
      <c r="Q827" s="116" t="e">
        <f>ROUND(Tableau18[[#This Row],[LEN]]*#REF!+#REF!,0)</f>
        <v>#REF!</v>
      </c>
    </row>
    <row r="828" spans="1:17" s="97" customFormat="1" x14ac:dyDescent="0.25">
      <c r="A828" s="45" t="s">
        <v>1632</v>
      </c>
      <c r="B828" s="46" t="s">
        <v>1610</v>
      </c>
      <c r="C828" s="47" t="s">
        <v>1636</v>
      </c>
      <c r="D828" s="75" t="s">
        <v>1177</v>
      </c>
      <c r="E828" s="47" t="s">
        <v>678</v>
      </c>
      <c r="F828" s="47" t="s">
        <v>1177</v>
      </c>
      <c r="G828" s="75" t="s">
        <v>68</v>
      </c>
      <c r="H828" s="75" t="s">
        <v>656</v>
      </c>
      <c r="I828" s="47"/>
      <c r="J828" s="48" t="s">
        <v>708</v>
      </c>
      <c r="K828" s="48" t="str">
        <f t="shared" si="24"/>
        <v>_</v>
      </c>
      <c r="L828" s="116">
        <f>ROUND(Tableau18[[#This Row],[LEN]]*7.27,0)</f>
        <v>95</v>
      </c>
      <c r="M828" s="116">
        <v>15</v>
      </c>
      <c r="N828" s="133" t="str">
        <f t="shared" si="25"/>
        <v>_self</v>
      </c>
      <c r="O828" s="116">
        <f>LEN(Tableau18[[#This Row],[LABEL]])</f>
        <v>13</v>
      </c>
      <c r="P828" s="116">
        <v>15</v>
      </c>
      <c r="Q828" s="116" t="e">
        <f>ROUND(Tableau18[[#This Row],[LEN]]*#REF!+#REF!,0)</f>
        <v>#REF!</v>
      </c>
    </row>
    <row r="829" spans="1:17" s="273" customFormat="1" x14ac:dyDescent="0.25">
      <c r="A829" s="337" t="s">
        <v>301</v>
      </c>
      <c r="B829" s="338" t="s">
        <v>208</v>
      </c>
      <c r="C829" s="339" t="s">
        <v>15</v>
      </c>
      <c r="D829" s="340" t="s">
        <v>1177</v>
      </c>
      <c r="E829" s="339" t="s">
        <v>679</v>
      </c>
      <c r="F829" s="339" t="s">
        <v>1177</v>
      </c>
      <c r="G829" s="340" t="s">
        <v>68</v>
      </c>
      <c r="H829" s="340" t="str">
        <f>IFERROR(IF(SEARCH(".00.00.00.00.00",Tableau18[[#This Row],[name]],1)=7,"Division",""),"")</f>
        <v>Division</v>
      </c>
      <c r="I829" s="339"/>
      <c r="J829" s="341" t="s">
        <v>708</v>
      </c>
      <c r="K829" s="341" t="str">
        <f t="shared" si="24"/>
        <v>_</v>
      </c>
      <c r="L829" s="342">
        <f>ROUND(Tableau18[[#This Row],[LEN]]*7.27,0)</f>
        <v>174</v>
      </c>
      <c r="M829" s="342">
        <v>15</v>
      </c>
      <c r="N829" s="343" t="str">
        <f t="shared" si="25"/>
        <v>_self</v>
      </c>
      <c r="O829" s="342">
        <f>LEN(Tableau18[[#This Row],[LABEL]])</f>
        <v>24</v>
      </c>
      <c r="P829" s="342">
        <v>15</v>
      </c>
      <c r="Q829" s="342" t="e">
        <f>ROUND(Tableau18[[#This Row],[LEN]]*#REF!+#REF!,0)</f>
        <v>#REF!</v>
      </c>
    </row>
    <row r="830" spans="1:17" s="97" customFormat="1" x14ac:dyDescent="0.25">
      <c r="A830" s="41" t="s">
        <v>1637</v>
      </c>
      <c r="B830" s="42" t="s">
        <v>301</v>
      </c>
      <c r="C830" s="43" t="s">
        <v>849</v>
      </c>
      <c r="D830" s="74" t="s">
        <v>1177</v>
      </c>
      <c r="E830" s="43" t="s">
        <v>667</v>
      </c>
      <c r="F830" s="43" t="s">
        <v>840</v>
      </c>
      <c r="G830" s="74" t="s">
        <v>68</v>
      </c>
      <c r="H830" s="74" t="s">
        <v>655</v>
      </c>
      <c r="I830" s="43"/>
      <c r="J830" s="44" t="s">
        <v>708</v>
      </c>
      <c r="K830" s="44" t="str">
        <f t="shared" si="24"/>
        <v>_</v>
      </c>
      <c r="L830" s="115">
        <f>ROUND(Tableau18[[#This Row],[LEN]]*7.27,0)</f>
        <v>80</v>
      </c>
      <c r="M830" s="115">
        <v>15</v>
      </c>
      <c r="N830" s="132" t="str">
        <f t="shared" si="25"/>
        <v>_self</v>
      </c>
      <c r="O830" s="115">
        <f>LEN(Tableau18[[#This Row],[LABEL]])</f>
        <v>11</v>
      </c>
      <c r="P830" s="115">
        <v>15</v>
      </c>
      <c r="Q830" s="115" t="e">
        <f>ROUND(Tableau18[[#This Row],[LEN]]*#REF!+#REF!,0)</f>
        <v>#REF!</v>
      </c>
    </row>
    <row r="831" spans="1:17" s="97" customFormat="1" x14ac:dyDescent="0.25">
      <c r="A831" s="45" t="s">
        <v>1640</v>
      </c>
      <c r="B831" s="46" t="s">
        <v>1637</v>
      </c>
      <c r="C831" s="47" t="s">
        <v>112</v>
      </c>
      <c r="D831" s="75" t="s">
        <v>1177</v>
      </c>
      <c r="E831" s="47" t="s">
        <v>667</v>
      </c>
      <c r="F831" s="47" t="s">
        <v>2006</v>
      </c>
      <c r="G831" s="75" t="s">
        <v>68</v>
      </c>
      <c r="H831" s="75" t="s">
        <v>654</v>
      </c>
      <c r="I831" s="47"/>
      <c r="J831" s="48" t="s">
        <v>708</v>
      </c>
      <c r="K831" s="48" t="str">
        <f t="shared" si="24"/>
        <v>_</v>
      </c>
      <c r="L831" s="116">
        <f>ROUND(Tableau18[[#This Row],[LEN]]*7.27,0)</f>
        <v>167</v>
      </c>
      <c r="M831" s="116">
        <v>15</v>
      </c>
      <c r="N831" s="133" t="str">
        <f t="shared" si="25"/>
        <v>_self</v>
      </c>
      <c r="O831" s="116">
        <f>LEN(Tableau18[[#This Row],[LABEL]])</f>
        <v>23</v>
      </c>
      <c r="P831" s="116">
        <v>15</v>
      </c>
      <c r="Q831" s="116" t="e">
        <f>ROUND(Tableau18[[#This Row],[LEN]]*#REF!+#REF!,0)</f>
        <v>#REF!</v>
      </c>
    </row>
    <row r="832" spans="1:17" s="97" customFormat="1" x14ac:dyDescent="0.25">
      <c r="A832" s="45" t="s">
        <v>1641</v>
      </c>
      <c r="B832" s="46" t="s">
        <v>1637</v>
      </c>
      <c r="C832" s="47" t="s">
        <v>113</v>
      </c>
      <c r="D832" s="75" t="s">
        <v>1177</v>
      </c>
      <c r="E832" s="47" t="s">
        <v>667</v>
      </c>
      <c r="F832" s="47" t="s">
        <v>2006</v>
      </c>
      <c r="G832" s="75" t="s">
        <v>68</v>
      </c>
      <c r="H832" s="75" t="s">
        <v>654</v>
      </c>
      <c r="I832" s="47"/>
      <c r="J832" s="48" t="s">
        <v>708</v>
      </c>
      <c r="K832" s="48" t="str">
        <f t="shared" si="24"/>
        <v>_</v>
      </c>
      <c r="L832" s="116">
        <f>ROUND(Tableau18[[#This Row],[LEN]]*7.27,0)</f>
        <v>233</v>
      </c>
      <c r="M832" s="116">
        <v>15</v>
      </c>
      <c r="N832" s="133" t="str">
        <f t="shared" si="25"/>
        <v>_self</v>
      </c>
      <c r="O832" s="116">
        <f>LEN(Tableau18[[#This Row],[LABEL]])</f>
        <v>32</v>
      </c>
      <c r="P832" s="116">
        <v>15</v>
      </c>
      <c r="Q832" s="116" t="e">
        <f>ROUND(Tableau18[[#This Row],[LEN]]*#REF!+#REF!,0)</f>
        <v>#REF!</v>
      </c>
    </row>
    <row r="833" spans="1:17" s="97" customFormat="1" x14ac:dyDescent="0.25">
      <c r="A833" s="41" t="s">
        <v>1638</v>
      </c>
      <c r="B833" s="42" t="s">
        <v>301</v>
      </c>
      <c r="C833" s="43" t="s">
        <v>1639</v>
      </c>
      <c r="D833" s="74" t="s">
        <v>1177</v>
      </c>
      <c r="E833" s="43" t="s">
        <v>679</v>
      </c>
      <c r="F833" s="43" t="s">
        <v>675</v>
      </c>
      <c r="G833" s="74" t="s">
        <v>68</v>
      </c>
      <c r="H833" s="74" t="s">
        <v>654</v>
      </c>
      <c r="I833" s="43"/>
      <c r="J833" s="44" t="s">
        <v>708</v>
      </c>
      <c r="K833" s="44" t="str">
        <f t="shared" si="24"/>
        <v>_</v>
      </c>
      <c r="L833" s="115">
        <f>ROUND(Tableau18[[#This Row],[LEN]]*7.27,0)</f>
        <v>247</v>
      </c>
      <c r="M833" s="115">
        <v>15</v>
      </c>
      <c r="N833" s="132" t="str">
        <f t="shared" si="25"/>
        <v>_self</v>
      </c>
      <c r="O833" s="115">
        <f>LEN(Tableau18[[#This Row],[LABEL]])</f>
        <v>34</v>
      </c>
      <c r="P833" s="115">
        <v>15</v>
      </c>
      <c r="Q833" s="115" t="e">
        <f>ROUND(Tableau18[[#This Row],[LEN]]*#REF!+#REF!,0)</f>
        <v>#REF!</v>
      </c>
    </row>
    <row r="834" spans="1:17" s="273" customFormat="1" x14ac:dyDescent="0.25">
      <c r="A834" s="338" t="s">
        <v>284</v>
      </c>
      <c r="B834" s="338" t="s">
        <v>208</v>
      </c>
      <c r="C834" s="339" t="s">
        <v>1950</v>
      </c>
      <c r="D834" s="340" t="s">
        <v>1177</v>
      </c>
      <c r="E834" s="339" t="s">
        <v>1951</v>
      </c>
      <c r="F834" s="339" t="s">
        <v>1177</v>
      </c>
      <c r="G834" s="340" t="s">
        <v>68</v>
      </c>
      <c r="H834" s="340" t="str">
        <f>IFERROR(IF(SEARCH(".00.00.00.00.00",Tableau18[[#This Row],[name]],1)=7,"Division",""),"")</f>
        <v>Division</v>
      </c>
      <c r="I834" s="339"/>
      <c r="J834" s="341" t="s">
        <v>708</v>
      </c>
      <c r="K834" s="341" t="str">
        <f t="shared" ref="K834:K897" si="26">IF(J834="javascript:void(0)","_","Documentation")</f>
        <v>_</v>
      </c>
      <c r="L834" s="342">
        <f>ROUND(Tableau18[[#This Row],[LEN]]*7.27,0)</f>
        <v>51</v>
      </c>
      <c r="M834" s="342">
        <v>15</v>
      </c>
      <c r="N834" s="343" t="str">
        <f t="shared" si="25"/>
        <v>_self</v>
      </c>
      <c r="O834" s="342">
        <f>LEN(Tableau18[[#This Row],[LABEL]])</f>
        <v>7</v>
      </c>
      <c r="P834" s="342">
        <v>15</v>
      </c>
      <c r="Q834" s="342" t="e">
        <f>ROUND(Tableau18[[#This Row],[LEN]]*#REF!+#REF!,0)</f>
        <v>#REF!</v>
      </c>
    </row>
    <row r="835" spans="1:17" s="97" customFormat="1" x14ac:dyDescent="0.25">
      <c r="A835" s="41" t="s">
        <v>2011</v>
      </c>
      <c r="B835" s="42" t="s">
        <v>284</v>
      </c>
      <c r="C835" s="43" t="s">
        <v>2016</v>
      </c>
      <c r="D835" s="74" t="s">
        <v>1177</v>
      </c>
      <c r="E835" s="43" t="s">
        <v>1951</v>
      </c>
      <c r="F835" s="43" t="s">
        <v>1177</v>
      </c>
      <c r="G835" s="74" t="s">
        <v>68</v>
      </c>
      <c r="H835" s="74" t="s">
        <v>654</v>
      </c>
      <c r="I835" s="43"/>
      <c r="J835" s="44" t="s">
        <v>708</v>
      </c>
      <c r="K835" s="44" t="str">
        <f t="shared" si="26"/>
        <v>_</v>
      </c>
      <c r="L835" s="115">
        <f>ROUND(Tableau18[[#This Row],[LEN]]*7.27,0)</f>
        <v>538</v>
      </c>
      <c r="M835" s="115">
        <v>15</v>
      </c>
      <c r="N835" s="132" t="str">
        <f t="shared" ref="N835:N898" si="27">IF(J835="javascript:void(0)","_self","_blank")</f>
        <v>_self</v>
      </c>
      <c r="O835" s="115">
        <f>LEN(Tableau18[[#This Row],[LABEL]])</f>
        <v>74</v>
      </c>
      <c r="P835" s="115">
        <v>15</v>
      </c>
      <c r="Q835" s="115" t="e">
        <f>ROUND(Tableau18[[#This Row],[LEN]]*#REF!+#REF!,0)</f>
        <v>#REF!</v>
      </c>
    </row>
    <row r="836" spans="1:17" s="97" customFormat="1" x14ac:dyDescent="0.25">
      <c r="A836" s="41" t="s">
        <v>2012</v>
      </c>
      <c r="B836" s="42" t="s">
        <v>284</v>
      </c>
      <c r="C836" s="43" t="s">
        <v>2017</v>
      </c>
      <c r="D836" s="74" t="s">
        <v>1177</v>
      </c>
      <c r="E836" s="43" t="s">
        <v>1951</v>
      </c>
      <c r="F836" s="43" t="s">
        <v>1177</v>
      </c>
      <c r="G836" s="74" t="s">
        <v>68</v>
      </c>
      <c r="H836" s="74" t="s">
        <v>570</v>
      </c>
      <c r="I836" s="43"/>
      <c r="J836" s="44" t="s">
        <v>708</v>
      </c>
      <c r="K836" s="44" t="str">
        <f t="shared" si="26"/>
        <v>_</v>
      </c>
      <c r="L836" s="115">
        <f>ROUND(Tableau18[[#This Row],[LEN]]*7.27,0)</f>
        <v>422</v>
      </c>
      <c r="M836" s="115">
        <v>15</v>
      </c>
      <c r="N836" s="132" t="str">
        <f t="shared" si="27"/>
        <v>_self</v>
      </c>
      <c r="O836" s="115">
        <f>LEN(Tableau18[[#This Row],[LABEL]])</f>
        <v>58</v>
      </c>
      <c r="P836" s="115">
        <v>15</v>
      </c>
      <c r="Q836" s="115" t="e">
        <f>ROUND(Tableau18[[#This Row],[LEN]]*#REF!+#REF!,0)</f>
        <v>#REF!</v>
      </c>
    </row>
    <row r="837" spans="1:17" s="97" customFormat="1" x14ac:dyDescent="0.25">
      <c r="A837" s="41" t="s">
        <v>2013</v>
      </c>
      <c r="B837" s="42" t="s">
        <v>284</v>
      </c>
      <c r="C837" s="43" t="s">
        <v>849</v>
      </c>
      <c r="D837" s="74" t="s">
        <v>1177</v>
      </c>
      <c r="E837" s="43" t="s">
        <v>667</v>
      </c>
      <c r="F837" s="43" t="s">
        <v>840</v>
      </c>
      <c r="G837" s="74" t="s">
        <v>68</v>
      </c>
      <c r="H837" s="74" t="s">
        <v>655</v>
      </c>
      <c r="I837" s="43"/>
      <c r="J837" s="44" t="s">
        <v>708</v>
      </c>
      <c r="K837" s="44" t="str">
        <f t="shared" si="26"/>
        <v>_</v>
      </c>
      <c r="L837" s="115">
        <f>ROUND(Tableau18[[#This Row],[LEN]]*7.27,0)</f>
        <v>80</v>
      </c>
      <c r="M837" s="115">
        <v>15</v>
      </c>
      <c r="N837" s="132" t="str">
        <f t="shared" si="27"/>
        <v>_self</v>
      </c>
      <c r="O837" s="115">
        <f>LEN(Tableau18[[#This Row],[LABEL]])</f>
        <v>11</v>
      </c>
      <c r="P837" s="115">
        <v>15</v>
      </c>
      <c r="Q837" s="115" t="e">
        <f>ROUND(Tableau18[[#This Row],[LEN]]*#REF!+#REF!,0)</f>
        <v>#REF!</v>
      </c>
    </row>
    <row r="838" spans="1:17" s="97" customFormat="1" x14ac:dyDescent="0.25">
      <c r="A838" s="45" t="s">
        <v>2018</v>
      </c>
      <c r="B838" s="46" t="s">
        <v>2013</v>
      </c>
      <c r="C838" s="47" t="s">
        <v>112</v>
      </c>
      <c r="D838" s="75" t="s">
        <v>1177</v>
      </c>
      <c r="E838" s="47" t="s">
        <v>667</v>
      </c>
      <c r="F838" s="47" t="s">
        <v>2006</v>
      </c>
      <c r="G838" s="75" t="s">
        <v>68</v>
      </c>
      <c r="H838" s="75" t="s">
        <v>654</v>
      </c>
      <c r="I838" s="47"/>
      <c r="J838" s="48" t="s">
        <v>708</v>
      </c>
      <c r="K838" s="48" t="str">
        <f t="shared" si="26"/>
        <v>_</v>
      </c>
      <c r="L838" s="116">
        <f>ROUND(Tableau18[[#This Row],[LEN]]*7.27,0)</f>
        <v>167</v>
      </c>
      <c r="M838" s="116">
        <v>15</v>
      </c>
      <c r="N838" s="133" t="str">
        <f t="shared" si="27"/>
        <v>_self</v>
      </c>
      <c r="O838" s="116">
        <f>LEN(Tableau18[[#This Row],[LABEL]])</f>
        <v>23</v>
      </c>
      <c r="P838" s="116">
        <v>15</v>
      </c>
      <c r="Q838" s="116" t="e">
        <f>ROUND(Tableau18[[#This Row],[LEN]]*#REF!+#REF!,0)</f>
        <v>#REF!</v>
      </c>
    </row>
    <row r="839" spans="1:17" s="97" customFormat="1" x14ac:dyDescent="0.25">
      <c r="A839" s="45" t="s">
        <v>2019</v>
      </c>
      <c r="B839" s="46" t="s">
        <v>2013</v>
      </c>
      <c r="C839" s="47" t="s">
        <v>113</v>
      </c>
      <c r="D839" s="75" t="s">
        <v>1177</v>
      </c>
      <c r="E839" s="47" t="s">
        <v>667</v>
      </c>
      <c r="F839" s="47" t="s">
        <v>2006</v>
      </c>
      <c r="G839" s="75" t="s">
        <v>68</v>
      </c>
      <c r="H839" s="75" t="s">
        <v>654</v>
      </c>
      <c r="I839" s="47"/>
      <c r="J839" s="48" t="s">
        <v>708</v>
      </c>
      <c r="K839" s="48" t="str">
        <f t="shared" si="26"/>
        <v>_</v>
      </c>
      <c r="L839" s="116">
        <f>ROUND(Tableau18[[#This Row],[LEN]]*7.27,0)</f>
        <v>233</v>
      </c>
      <c r="M839" s="116">
        <v>15</v>
      </c>
      <c r="N839" s="133" t="str">
        <f t="shared" si="27"/>
        <v>_self</v>
      </c>
      <c r="O839" s="116">
        <f>LEN(Tableau18[[#This Row],[LABEL]])</f>
        <v>32</v>
      </c>
      <c r="P839" s="116">
        <v>15</v>
      </c>
      <c r="Q839" s="116" t="e">
        <f>ROUND(Tableau18[[#This Row],[LEN]]*#REF!+#REF!,0)</f>
        <v>#REF!</v>
      </c>
    </row>
    <row r="840" spans="1:17" s="92" customFormat="1" ht="15.75" thickBot="1" x14ac:dyDescent="0.3">
      <c r="A840" s="191" t="s">
        <v>209</v>
      </c>
      <c r="B840" s="191" t="s">
        <v>198</v>
      </c>
      <c r="C840" s="192" t="s">
        <v>177</v>
      </c>
      <c r="D840" s="193" t="s">
        <v>0</v>
      </c>
      <c r="E840" s="192" t="s">
        <v>1177</v>
      </c>
      <c r="F840" s="193" t="s">
        <v>1177</v>
      </c>
      <c r="G840" s="192" t="s">
        <v>2101</v>
      </c>
      <c r="H840" s="192" t="s">
        <v>616</v>
      </c>
      <c r="I840" s="193"/>
      <c r="J840" s="194" t="s">
        <v>708</v>
      </c>
      <c r="K840" s="194" t="str">
        <f t="shared" si="26"/>
        <v>_</v>
      </c>
      <c r="L840" s="195">
        <f>ROUND(Tableau18[[#This Row],[LEN]]*7.27,0)</f>
        <v>153</v>
      </c>
      <c r="M840" s="195">
        <v>15</v>
      </c>
      <c r="N840" s="196" t="str">
        <f t="shared" si="27"/>
        <v>_self</v>
      </c>
      <c r="O840" s="195">
        <f>LEN(Tableau18[[#This Row],[LABEL]])</f>
        <v>21</v>
      </c>
      <c r="P840" s="197">
        <v>15</v>
      </c>
      <c r="Q840" s="197" t="e">
        <f>ROUND(Tableau18[[#This Row],[LEN]]*#REF!+#REF!,0)</f>
        <v>#REF!</v>
      </c>
    </row>
    <row r="841" spans="1:17" s="273" customFormat="1" ht="15.75" thickTop="1" x14ac:dyDescent="0.25">
      <c r="A841" s="351" t="s">
        <v>303</v>
      </c>
      <c r="B841" s="352" t="s">
        <v>209</v>
      </c>
      <c r="C841" s="353" t="s">
        <v>57</v>
      </c>
      <c r="D841" s="354" t="s">
        <v>1177</v>
      </c>
      <c r="E841" s="353" t="s">
        <v>663</v>
      </c>
      <c r="F841" s="353" t="s">
        <v>1177</v>
      </c>
      <c r="G841" s="354" t="s">
        <v>2101</v>
      </c>
      <c r="H841" s="354" t="str">
        <f>IFERROR(IF(SEARCH(".00.00.00.00.00",Tableau18[[#This Row],[name]],1)=7,"Division",""),"")</f>
        <v>Division</v>
      </c>
      <c r="I841" s="353"/>
      <c r="J841" s="355" t="s">
        <v>708</v>
      </c>
      <c r="K841" s="355" t="str">
        <f t="shared" si="26"/>
        <v>_</v>
      </c>
      <c r="L841" s="356">
        <f>ROUND(Tableau18[[#This Row],[LEN]]*7.27,0)</f>
        <v>102</v>
      </c>
      <c r="M841" s="356">
        <v>15</v>
      </c>
      <c r="N841" s="357" t="str">
        <f t="shared" si="27"/>
        <v>_self</v>
      </c>
      <c r="O841" s="356">
        <f>LEN(Tableau18[[#This Row],[LABEL]])</f>
        <v>14</v>
      </c>
      <c r="P841" s="356">
        <v>15</v>
      </c>
      <c r="Q841" s="356" t="e">
        <f>ROUND(Tableau18[[#This Row],[LEN]]*#REF!+#REF!,0)</f>
        <v>#REF!</v>
      </c>
    </row>
    <row r="842" spans="1:17" s="97" customFormat="1" x14ac:dyDescent="0.25">
      <c r="A842" s="49" t="s">
        <v>876</v>
      </c>
      <c r="B842" s="50" t="s">
        <v>303</v>
      </c>
      <c r="C842" s="51" t="s">
        <v>891</v>
      </c>
      <c r="D842" s="76" t="s">
        <v>1177</v>
      </c>
      <c r="E842" s="51" t="s">
        <v>663</v>
      </c>
      <c r="F842" s="51" t="s">
        <v>1177</v>
      </c>
      <c r="G842" s="76" t="s">
        <v>2101</v>
      </c>
      <c r="H842" s="76" t="s">
        <v>655</v>
      </c>
      <c r="I842" s="51"/>
      <c r="J842" s="52" t="s">
        <v>708</v>
      </c>
      <c r="K842" s="52" t="str">
        <f t="shared" si="26"/>
        <v>_</v>
      </c>
      <c r="L842" s="117">
        <f>ROUND(Tableau18[[#This Row],[LEN]]*7.27,0)</f>
        <v>124</v>
      </c>
      <c r="M842" s="117">
        <v>15</v>
      </c>
      <c r="N842" s="134" t="str">
        <f t="shared" si="27"/>
        <v>_self</v>
      </c>
      <c r="O842" s="117">
        <f>LEN(Tableau18[[#This Row],[LABEL]])</f>
        <v>17</v>
      </c>
      <c r="P842" s="117">
        <v>15</v>
      </c>
      <c r="Q842" s="117" t="e">
        <f>ROUND(Tableau18[[#This Row],[LEN]]*#REF!+#REF!,0)</f>
        <v>#REF!</v>
      </c>
    </row>
    <row r="843" spans="1:17" s="97" customFormat="1" x14ac:dyDescent="0.25">
      <c r="A843" s="53" t="s">
        <v>884</v>
      </c>
      <c r="B843" s="54" t="s">
        <v>876</v>
      </c>
      <c r="C843" s="55" t="s">
        <v>890</v>
      </c>
      <c r="D843" s="77" t="s">
        <v>1177</v>
      </c>
      <c r="E843" s="55" t="s">
        <v>663</v>
      </c>
      <c r="F843" s="55" t="s">
        <v>1177</v>
      </c>
      <c r="G843" s="77" t="s">
        <v>2101</v>
      </c>
      <c r="H843" s="77" t="s">
        <v>654</v>
      </c>
      <c r="I843" s="55"/>
      <c r="J843" s="56" t="s">
        <v>708</v>
      </c>
      <c r="K843" s="56" t="str">
        <f t="shared" si="26"/>
        <v>_</v>
      </c>
      <c r="L843" s="118">
        <f>ROUND(Tableau18[[#This Row],[LEN]]*7.27,0)</f>
        <v>138</v>
      </c>
      <c r="M843" s="118">
        <v>15</v>
      </c>
      <c r="N843" s="135" t="str">
        <f t="shared" si="27"/>
        <v>_self</v>
      </c>
      <c r="O843" s="118">
        <f>LEN(Tableau18[[#This Row],[LABEL]])</f>
        <v>19</v>
      </c>
      <c r="P843" s="118">
        <v>15</v>
      </c>
      <c r="Q843" s="118" t="e">
        <f>ROUND(Tableau18[[#This Row],[LEN]]*#REF!+#REF!,0)</f>
        <v>#REF!</v>
      </c>
    </row>
    <row r="844" spans="1:17" s="97" customFormat="1" x14ac:dyDescent="0.25">
      <c r="A844" s="53" t="s">
        <v>885</v>
      </c>
      <c r="B844" s="54" t="s">
        <v>876</v>
      </c>
      <c r="C844" s="55" t="s">
        <v>893</v>
      </c>
      <c r="D844" s="77" t="s">
        <v>1177</v>
      </c>
      <c r="E844" s="55" t="s">
        <v>663</v>
      </c>
      <c r="F844" s="55" t="s">
        <v>1177</v>
      </c>
      <c r="G844" s="77" t="s">
        <v>2101</v>
      </c>
      <c r="H844" s="77" t="s">
        <v>656</v>
      </c>
      <c r="I844" s="55"/>
      <c r="J844" s="56" t="s">
        <v>708</v>
      </c>
      <c r="K844" s="56" t="str">
        <f t="shared" si="26"/>
        <v>_</v>
      </c>
      <c r="L844" s="118">
        <f>ROUND(Tableau18[[#This Row],[LEN]]*7.27,0)</f>
        <v>182</v>
      </c>
      <c r="M844" s="118">
        <v>15</v>
      </c>
      <c r="N844" s="135" t="str">
        <f t="shared" si="27"/>
        <v>_self</v>
      </c>
      <c r="O844" s="118">
        <f>LEN(Tableau18[[#This Row],[LABEL]])</f>
        <v>25</v>
      </c>
      <c r="P844" s="118">
        <v>15</v>
      </c>
      <c r="Q844" s="118" t="e">
        <f>ROUND(Tableau18[[#This Row],[LEN]]*#REF!+#REF!,0)</f>
        <v>#REF!</v>
      </c>
    </row>
    <row r="845" spans="1:17" s="97" customFormat="1" x14ac:dyDescent="0.25">
      <c r="A845" s="53" t="s">
        <v>886</v>
      </c>
      <c r="B845" s="54" t="s">
        <v>876</v>
      </c>
      <c r="C845" s="55" t="s">
        <v>894</v>
      </c>
      <c r="D845" s="77" t="s">
        <v>1177</v>
      </c>
      <c r="E845" s="55" t="s">
        <v>663</v>
      </c>
      <c r="F845" s="55" t="s">
        <v>1177</v>
      </c>
      <c r="G845" s="77" t="s">
        <v>2101</v>
      </c>
      <c r="H845" s="77" t="s">
        <v>655</v>
      </c>
      <c r="I845" s="55"/>
      <c r="J845" s="56" t="s">
        <v>708</v>
      </c>
      <c r="K845" s="56" t="str">
        <f t="shared" si="26"/>
        <v>_</v>
      </c>
      <c r="L845" s="118">
        <f>ROUND(Tableau18[[#This Row],[LEN]]*7.27,0)</f>
        <v>153</v>
      </c>
      <c r="M845" s="118">
        <v>15</v>
      </c>
      <c r="N845" s="135" t="str">
        <f t="shared" si="27"/>
        <v>_self</v>
      </c>
      <c r="O845" s="118">
        <f>LEN(Tableau18[[#This Row],[LABEL]])</f>
        <v>21</v>
      </c>
      <c r="P845" s="118">
        <v>15</v>
      </c>
      <c r="Q845" s="118" t="e">
        <f>ROUND(Tableau18[[#This Row],[LEN]]*#REF!+#REF!,0)</f>
        <v>#REF!</v>
      </c>
    </row>
    <row r="846" spans="1:17" s="97" customFormat="1" x14ac:dyDescent="0.25">
      <c r="A846" s="57" t="s">
        <v>896</v>
      </c>
      <c r="B846" s="58" t="s">
        <v>886</v>
      </c>
      <c r="C846" s="59" t="s">
        <v>898</v>
      </c>
      <c r="D846" s="78" t="s">
        <v>1177</v>
      </c>
      <c r="E846" s="59" t="s">
        <v>663</v>
      </c>
      <c r="F846" s="59" t="s">
        <v>1177</v>
      </c>
      <c r="G846" s="78" t="s">
        <v>2101</v>
      </c>
      <c r="H846" s="78" t="s">
        <v>656</v>
      </c>
      <c r="I846" s="59"/>
      <c r="J846" s="60" t="s">
        <v>708</v>
      </c>
      <c r="K846" s="60" t="str">
        <f t="shared" si="26"/>
        <v>_</v>
      </c>
      <c r="L846" s="119">
        <f>ROUND(Tableau18[[#This Row],[LEN]]*7.27,0)</f>
        <v>160</v>
      </c>
      <c r="M846" s="119">
        <v>15</v>
      </c>
      <c r="N846" s="136" t="str">
        <f t="shared" si="27"/>
        <v>_self</v>
      </c>
      <c r="O846" s="119">
        <f>LEN(Tableau18[[#This Row],[LABEL]])</f>
        <v>22</v>
      </c>
      <c r="P846" s="119">
        <v>15</v>
      </c>
      <c r="Q846" s="119" t="e">
        <f>ROUND(Tableau18[[#This Row],[LEN]]*#REF!+#REF!,0)</f>
        <v>#REF!</v>
      </c>
    </row>
    <row r="847" spans="1:17" s="97" customFormat="1" x14ac:dyDescent="0.25">
      <c r="A847" s="57" t="s">
        <v>897</v>
      </c>
      <c r="B847" s="58" t="s">
        <v>886</v>
      </c>
      <c r="C847" s="59" t="s">
        <v>899</v>
      </c>
      <c r="D847" s="78" t="s">
        <v>1177</v>
      </c>
      <c r="E847" s="59" t="s">
        <v>663</v>
      </c>
      <c r="F847" s="59" t="s">
        <v>1177</v>
      </c>
      <c r="G847" s="78" t="s">
        <v>2101</v>
      </c>
      <c r="H847" s="78" t="s">
        <v>656</v>
      </c>
      <c r="I847" s="59"/>
      <c r="J847" s="60" t="s">
        <v>708</v>
      </c>
      <c r="K847" s="60" t="str">
        <f t="shared" si="26"/>
        <v>_</v>
      </c>
      <c r="L847" s="119">
        <f>ROUND(Tableau18[[#This Row],[LEN]]*7.27,0)</f>
        <v>204</v>
      </c>
      <c r="M847" s="119">
        <v>15</v>
      </c>
      <c r="N847" s="136" t="str">
        <f t="shared" si="27"/>
        <v>_self</v>
      </c>
      <c r="O847" s="119">
        <f>LEN(Tableau18[[#This Row],[LABEL]])</f>
        <v>28</v>
      </c>
      <c r="P847" s="119">
        <v>15</v>
      </c>
      <c r="Q847" s="119" t="e">
        <f>ROUND(Tableau18[[#This Row],[LEN]]*#REF!+#REF!,0)</f>
        <v>#REF!</v>
      </c>
    </row>
    <row r="848" spans="1:17" s="97" customFormat="1" x14ac:dyDescent="0.25">
      <c r="A848" s="53" t="s">
        <v>887</v>
      </c>
      <c r="B848" s="54" t="s">
        <v>876</v>
      </c>
      <c r="C848" s="55" t="s">
        <v>895</v>
      </c>
      <c r="D848" s="77" t="s">
        <v>1177</v>
      </c>
      <c r="E848" s="55" t="s">
        <v>663</v>
      </c>
      <c r="F848" s="55" t="s">
        <v>1177</v>
      </c>
      <c r="G848" s="77" t="s">
        <v>2101</v>
      </c>
      <c r="H848" s="77" t="s">
        <v>654</v>
      </c>
      <c r="I848" s="55"/>
      <c r="J848" s="56" t="s">
        <v>708</v>
      </c>
      <c r="K848" s="56" t="str">
        <f t="shared" si="26"/>
        <v>_</v>
      </c>
      <c r="L848" s="118">
        <f>ROUND(Tableau18[[#This Row],[LEN]]*7.27,0)</f>
        <v>153</v>
      </c>
      <c r="M848" s="118">
        <v>15</v>
      </c>
      <c r="N848" s="135" t="str">
        <f t="shared" si="27"/>
        <v>_self</v>
      </c>
      <c r="O848" s="118">
        <f>LEN(Tableau18[[#This Row],[LABEL]])</f>
        <v>21</v>
      </c>
      <c r="P848" s="118">
        <v>15</v>
      </c>
      <c r="Q848" s="118" t="e">
        <f>ROUND(Tableau18[[#This Row],[LEN]]*#REF!+#REF!,0)</f>
        <v>#REF!</v>
      </c>
    </row>
    <row r="849" spans="1:17" s="97" customFormat="1" x14ac:dyDescent="0.25">
      <c r="A849" s="49" t="s">
        <v>877</v>
      </c>
      <c r="B849" s="50" t="s">
        <v>303</v>
      </c>
      <c r="C849" s="51" t="s">
        <v>881</v>
      </c>
      <c r="D849" s="76" t="s">
        <v>1177</v>
      </c>
      <c r="E849" s="51" t="s">
        <v>663</v>
      </c>
      <c r="F849" s="51" t="s">
        <v>1177</v>
      </c>
      <c r="G849" s="76" t="s">
        <v>2101</v>
      </c>
      <c r="H849" s="76" t="s">
        <v>654</v>
      </c>
      <c r="I849" s="51"/>
      <c r="J849" s="52" t="s">
        <v>708</v>
      </c>
      <c r="K849" s="52" t="str">
        <f t="shared" si="26"/>
        <v>_</v>
      </c>
      <c r="L849" s="117">
        <f>ROUND(Tableau18[[#This Row],[LEN]]*7.27,0)</f>
        <v>189</v>
      </c>
      <c r="M849" s="117">
        <v>15</v>
      </c>
      <c r="N849" s="134" t="str">
        <f t="shared" si="27"/>
        <v>_self</v>
      </c>
      <c r="O849" s="117">
        <f>LEN(Tableau18[[#This Row],[LABEL]])</f>
        <v>26</v>
      </c>
      <c r="P849" s="117">
        <v>15</v>
      </c>
      <c r="Q849" s="117" t="e">
        <f>ROUND(Tableau18[[#This Row],[LEN]]*#REF!+#REF!,0)</f>
        <v>#REF!</v>
      </c>
    </row>
    <row r="850" spans="1:17" s="97" customFormat="1" x14ac:dyDescent="0.25">
      <c r="A850" s="49" t="s">
        <v>878</v>
      </c>
      <c r="B850" s="50" t="s">
        <v>303</v>
      </c>
      <c r="C850" s="51" t="s">
        <v>882</v>
      </c>
      <c r="D850" s="76" t="s">
        <v>1177</v>
      </c>
      <c r="E850" s="51" t="s">
        <v>663</v>
      </c>
      <c r="F850" s="51" t="s">
        <v>1177</v>
      </c>
      <c r="G850" s="76" t="s">
        <v>2101</v>
      </c>
      <c r="H850" s="76" t="s">
        <v>654</v>
      </c>
      <c r="I850" s="51"/>
      <c r="J850" s="52" t="s">
        <v>708</v>
      </c>
      <c r="K850" s="52" t="str">
        <f t="shared" si="26"/>
        <v>_</v>
      </c>
      <c r="L850" s="117">
        <f>ROUND(Tableau18[[#This Row],[LEN]]*7.27,0)</f>
        <v>240</v>
      </c>
      <c r="M850" s="117">
        <v>15</v>
      </c>
      <c r="N850" s="134" t="str">
        <f t="shared" si="27"/>
        <v>_self</v>
      </c>
      <c r="O850" s="117">
        <f>LEN(Tableau18[[#This Row],[LABEL]])</f>
        <v>33</v>
      </c>
      <c r="P850" s="117">
        <v>15</v>
      </c>
      <c r="Q850" s="117" t="e">
        <f>ROUND(Tableau18[[#This Row],[LEN]]*#REF!+#REF!,0)</f>
        <v>#REF!</v>
      </c>
    </row>
    <row r="851" spans="1:17" s="97" customFormat="1" x14ac:dyDescent="0.25">
      <c r="A851" s="49" t="s">
        <v>879</v>
      </c>
      <c r="B851" s="50" t="s">
        <v>303</v>
      </c>
      <c r="C851" s="51" t="s">
        <v>883</v>
      </c>
      <c r="D851" s="76" t="s">
        <v>1177</v>
      </c>
      <c r="E851" s="51" t="s">
        <v>663</v>
      </c>
      <c r="F851" s="51" t="s">
        <v>1177</v>
      </c>
      <c r="G851" s="76" t="s">
        <v>2101</v>
      </c>
      <c r="H851" s="76" t="s">
        <v>17</v>
      </c>
      <c r="I851" s="51"/>
      <c r="J851" s="52" t="s">
        <v>708</v>
      </c>
      <c r="K851" s="52" t="str">
        <f t="shared" si="26"/>
        <v>_</v>
      </c>
      <c r="L851" s="117">
        <f>ROUND(Tableau18[[#This Row],[LEN]]*7.27,0)</f>
        <v>276</v>
      </c>
      <c r="M851" s="117">
        <v>15</v>
      </c>
      <c r="N851" s="134" t="str">
        <f t="shared" si="27"/>
        <v>_self</v>
      </c>
      <c r="O851" s="117">
        <f>LEN(Tableau18[[#This Row],[LABEL]])</f>
        <v>38</v>
      </c>
      <c r="P851" s="117">
        <v>15</v>
      </c>
      <c r="Q851" s="117" t="e">
        <f>ROUND(Tableau18[[#This Row],[LEN]]*#REF!+#REF!,0)</f>
        <v>#REF!</v>
      </c>
    </row>
    <row r="852" spans="1:17" s="97" customFormat="1" x14ac:dyDescent="0.25">
      <c r="A852" s="49" t="s">
        <v>880</v>
      </c>
      <c r="B852" s="50" t="s">
        <v>303</v>
      </c>
      <c r="C852" s="51" t="s">
        <v>892</v>
      </c>
      <c r="D852" s="76" t="s">
        <v>1177</v>
      </c>
      <c r="E852" s="51" t="s">
        <v>663</v>
      </c>
      <c r="F852" s="51" t="s">
        <v>1177</v>
      </c>
      <c r="G852" s="76" t="s">
        <v>2101</v>
      </c>
      <c r="H852" s="76" t="s">
        <v>655</v>
      </c>
      <c r="I852" s="51"/>
      <c r="J852" s="52" t="s">
        <v>708</v>
      </c>
      <c r="K852" s="52" t="str">
        <f t="shared" si="26"/>
        <v>_</v>
      </c>
      <c r="L852" s="117">
        <f>ROUND(Tableau18[[#This Row],[LEN]]*7.27,0)</f>
        <v>131</v>
      </c>
      <c r="M852" s="117">
        <v>15</v>
      </c>
      <c r="N852" s="134" t="str">
        <f t="shared" si="27"/>
        <v>_self</v>
      </c>
      <c r="O852" s="117">
        <f>LEN(Tableau18[[#This Row],[LABEL]])</f>
        <v>18</v>
      </c>
      <c r="P852" s="117">
        <v>15</v>
      </c>
      <c r="Q852" s="117" t="e">
        <f>ROUND(Tableau18[[#This Row],[LEN]]*#REF!+#REF!,0)</f>
        <v>#REF!</v>
      </c>
    </row>
    <row r="853" spans="1:17" s="97" customFormat="1" x14ac:dyDescent="0.25">
      <c r="A853" s="53" t="s">
        <v>888</v>
      </c>
      <c r="B853" s="54" t="s">
        <v>880</v>
      </c>
      <c r="C853" s="55" t="s">
        <v>900</v>
      </c>
      <c r="D853" s="77" t="s">
        <v>1177</v>
      </c>
      <c r="E853" s="55" t="s">
        <v>663</v>
      </c>
      <c r="F853" s="55" t="s">
        <v>1177</v>
      </c>
      <c r="G853" s="77" t="s">
        <v>2101</v>
      </c>
      <c r="H853" s="77" t="s">
        <v>570</v>
      </c>
      <c r="I853" s="55"/>
      <c r="J853" s="56" t="s">
        <v>708</v>
      </c>
      <c r="K853" s="56" t="str">
        <f t="shared" si="26"/>
        <v>_</v>
      </c>
      <c r="L853" s="118">
        <f>ROUND(Tableau18[[#This Row],[LEN]]*7.27,0)</f>
        <v>73</v>
      </c>
      <c r="M853" s="118">
        <v>15</v>
      </c>
      <c r="N853" s="135" t="str">
        <f t="shared" si="27"/>
        <v>_self</v>
      </c>
      <c r="O853" s="118">
        <f>LEN(Tableau18[[#This Row],[LABEL]])</f>
        <v>10</v>
      </c>
      <c r="P853" s="118">
        <v>15</v>
      </c>
      <c r="Q853" s="118" t="e">
        <f>ROUND(Tableau18[[#This Row],[LEN]]*#REF!+#REF!,0)</f>
        <v>#REF!</v>
      </c>
    </row>
    <row r="854" spans="1:17" s="97" customFormat="1" x14ac:dyDescent="0.25">
      <c r="A854" s="53" t="s">
        <v>889</v>
      </c>
      <c r="B854" s="54" t="s">
        <v>880</v>
      </c>
      <c r="C854" s="55" t="s">
        <v>901</v>
      </c>
      <c r="D854" s="77" t="s">
        <v>1177</v>
      </c>
      <c r="E854" s="55" t="s">
        <v>663</v>
      </c>
      <c r="F854" s="55" t="s">
        <v>1177</v>
      </c>
      <c r="G854" s="77" t="s">
        <v>2101</v>
      </c>
      <c r="H854" s="77" t="s">
        <v>654</v>
      </c>
      <c r="I854" s="55"/>
      <c r="J854" s="56" t="s">
        <v>708</v>
      </c>
      <c r="K854" s="56" t="str">
        <f t="shared" si="26"/>
        <v>_</v>
      </c>
      <c r="L854" s="118">
        <f>ROUND(Tableau18[[#This Row],[LEN]]*7.27,0)</f>
        <v>116</v>
      </c>
      <c r="M854" s="118">
        <v>15</v>
      </c>
      <c r="N854" s="135" t="str">
        <f t="shared" si="27"/>
        <v>_self</v>
      </c>
      <c r="O854" s="118">
        <f>LEN(Tableau18[[#This Row],[LABEL]])</f>
        <v>16</v>
      </c>
      <c r="P854" s="118">
        <v>15</v>
      </c>
      <c r="Q854" s="118" t="e">
        <f>ROUND(Tableau18[[#This Row],[LEN]]*#REF!+#REF!,0)</f>
        <v>#REF!</v>
      </c>
    </row>
    <row r="855" spans="1:17" s="273" customFormat="1" x14ac:dyDescent="0.25">
      <c r="A855" s="351" t="s">
        <v>305</v>
      </c>
      <c r="B855" s="352" t="s">
        <v>209</v>
      </c>
      <c r="C855" s="353" t="s">
        <v>3</v>
      </c>
      <c r="D855" s="354" t="s">
        <v>1177</v>
      </c>
      <c r="E855" s="353" t="s">
        <v>661</v>
      </c>
      <c r="F855" s="353" t="s">
        <v>1177</v>
      </c>
      <c r="G855" s="354" t="s">
        <v>2101</v>
      </c>
      <c r="H855" s="354" t="str">
        <f>IFERROR(IF(SEARCH(".00.00.00.00.00",Tableau18[[#This Row],[name]],1)=7,"Division",""),"")</f>
        <v>Division</v>
      </c>
      <c r="I855" s="353"/>
      <c r="J855" s="355" t="s">
        <v>708</v>
      </c>
      <c r="K855" s="355" t="str">
        <f t="shared" si="26"/>
        <v>_</v>
      </c>
      <c r="L855" s="356">
        <f>ROUND(Tableau18[[#This Row],[LEN]]*7.27,0)</f>
        <v>73</v>
      </c>
      <c r="M855" s="356">
        <v>15</v>
      </c>
      <c r="N855" s="357" t="str">
        <f t="shared" si="27"/>
        <v>_self</v>
      </c>
      <c r="O855" s="356">
        <f>LEN(Tableau18[[#This Row],[LABEL]])</f>
        <v>10</v>
      </c>
      <c r="P855" s="356">
        <v>15</v>
      </c>
      <c r="Q855" s="356" t="e">
        <f>ROUND(Tableau18[[#This Row],[LEN]]*#REF!+#REF!,0)</f>
        <v>#REF!</v>
      </c>
    </row>
    <row r="856" spans="1:17" s="97" customFormat="1" x14ac:dyDescent="0.25">
      <c r="A856" s="49" t="s">
        <v>406</v>
      </c>
      <c r="B856" s="50" t="s">
        <v>305</v>
      </c>
      <c r="C856" s="51" t="s">
        <v>128</v>
      </c>
      <c r="D856" s="76" t="s">
        <v>1177</v>
      </c>
      <c r="E856" s="51" t="s">
        <v>669</v>
      </c>
      <c r="F856" s="51" t="s">
        <v>2029</v>
      </c>
      <c r="G856" s="76" t="s">
        <v>2101</v>
      </c>
      <c r="H856" s="76" t="s">
        <v>570</v>
      </c>
      <c r="I856" s="51"/>
      <c r="J856" s="52" t="s">
        <v>708</v>
      </c>
      <c r="K856" s="52" t="str">
        <f t="shared" si="26"/>
        <v>_</v>
      </c>
      <c r="L856" s="117">
        <f>ROUND(Tableau18[[#This Row],[LEN]]*7.27,0)</f>
        <v>182</v>
      </c>
      <c r="M856" s="117">
        <v>15</v>
      </c>
      <c r="N856" s="134" t="str">
        <f t="shared" si="27"/>
        <v>_self</v>
      </c>
      <c r="O856" s="117">
        <f>LEN(Tableau18[[#This Row],[LABEL]])</f>
        <v>25</v>
      </c>
      <c r="P856" s="117">
        <v>15</v>
      </c>
      <c r="Q856" s="117" t="e">
        <f>ROUND(Tableau18[[#This Row],[LEN]]*#REF!+#REF!,0)</f>
        <v>#REF!</v>
      </c>
    </row>
    <row r="857" spans="1:17" s="97" customFormat="1" x14ac:dyDescent="0.25">
      <c r="A857" s="49" t="s">
        <v>406</v>
      </c>
      <c r="B857" s="50" t="s">
        <v>305</v>
      </c>
      <c r="C857" s="51" t="s">
        <v>130</v>
      </c>
      <c r="D857" s="76" t="s">
        <v>1177</v>
      </c>
      <c r="E857" s="51" t="s">
        <v>1951</v>
      </c>
      <c r="F857" s="51" t="s">
        <v>661</v>
      </c>
      <c r="G857" s="76" t="s">
        <v>2101</v>
      </c>
      <c r="H857" s="76" t="s">
        <v>655</v>
      </c>
      <c r="I857" s="51"/>
      <c r="J857" s="52" t="s">
        <v>708</v>
      </c>
      <c r="K857" s="52" t="str">
        <f t="shared" si="26"/>
        <v>_</v>
      </c>
      <c r="L857" s="117">
        <f>ROUND(Tableau18[[#This Row],[LEN]]*7.27,0)</f>
        <v>131</v>
      </c>
      <c r="M857" s="117">
        <v>15</v>
      </c>
      <c r="N857" s="134" t="str">
        <f t="shared" si="27"/>
        <v>_self</v>
      </c>
      <c r="O857" s="117">
        <f>LEN(Tableau18[[#This Row],[LABEL]])</f>
        <v>18</v>
      </c>
      <c r="P857" s="117">
        <v>15</v>
      </c>
      <c r="Q857" s="117" t="e">
        <f>ROUND(Tableau18[[#This Row],[LEN]]*#REF!+#REF!,0)</f>
        <v>#REF!</v>
      </c>
    </row>
    <row r="858" spans="1:17" s="97" customFormat="1" x14ac:dyDescent="0.25">
      <c r="A858" s="53" t="s">
        <v>410</v>
      </c>
      <c r="B858" s="54" t="s">
        <v>406</v>
      </c>
      <c r="C858" s="55" t="s">
        <v>2030</v>
      </c>
      <c r="D858" s="77" t="s">
        <v>1177</v>
      </c>
      <c r="E858" s="55" t="s">
        <v>1951</v>
      </c>
      <c r="F858" s="55" t="s">
        <v>661</v>
      </c>
      <c r="G858" s="77" t="s">
        <v>2101</v>
      </c>
      <c r="H858" s="77" t="s">
        <v>654</v>
      </c>
      <c r="I858" s="55"/>
      <c r="J858" s="56" t="s">
        <v>708</v>
      </c>
      <c r="K858" s="56" t="str">
        <f t="shared" si="26"/>
        <v>_</v>
      </c>
      <c r="L858" s="118">
        <f>ROUND(Tableau18[[#This Row],[LEN]]*7.27,0)</f>
        <v>211</v>
      </c>
      <c r="M858" s="118">
        <v>15</v>
      </c>
      <c r="N858" s="135" t="str">
        <f t="shared" si="27"/>
        <v>_self</v>
      </c>
      <c r="O858" s="118">
        <f>LEN(Tableau18[[#This Row],[LABEL]])</f>
        <v>29</v>
      </c>
      <c r="P858" s="118">
        <v>15</v>
      </c>
      <c r="Q858" s="118" t="e">
        <f>ROUND(Tableau18[[#This Row],[LEN]]*#REF!+#REF!,0)</f>
        <v>#REF!</v>
      </c>
    </row>
    <row r="859" spans="1:17" s="97" customFormat="1" x14ac:dyDescent="0.25">
      <c r="A859" s="53" t="s">
        <v>411</v>
      </c>
      <c r="B859" s="54" t="s">
        <v>406</v>
      </c>
      <c r="C859" s="55" t="s">
        <v>2031</v>
      </c>
      <c r="D859" s="77" t="s">
        <v>1177</v>
      </c>
      <c r="E859" s="55" t="s">
        <v>1951</v>
      </c>
      <c r="F859" s="55" t="s">
        <v>661</v>
      </c>
      <c r="G859" s="77" t="s">
        <v>2101</v>
      </c>
      <c r="H859" s="77" t="s">
        <v>654</v>
      </c>
      <c r="I859" s="55"/>
      <c r="J859" s="56" t="s">
        <v>708</v>
      </c>
      <c r="K859" s="56" t="str">
        <f t="shared" si="26"/>
        <v>_</v>
      </c>
      <c r="L859" s="118">
        <f>ROUND(Tableau18[[#This Row],[LEN]]*7.27,0)</f>
        <v>313</v>
      </c>
      <c r="M859" s="118">
        <v>15</v>
      </c>
      <c r="N859" s="135" t="str">
        <f t="shared" si="27"/>
        <v>_self</v>
      </c>
      <c r="O859" s="118">
        <f>LEN(Tableau18[[#This Row],[LABEL]])</f>
        <v>43</v>
      </c>
      <c r="P859" s="118">
        <v>15</v>
      </c>
      <c r="Q859" s="118" t="e">
        <f>ROUND(Tableau18[[#This Row],[LEN]]*#REF!+#REF!,0)</f>
        <v>#REF!</v>
      </c>
    </row>
    <row r="860" spans="1:17" s="97" customFormat="1" x14ac:dyDescent="0.25">
      <c r="A860" s="49" t="s">
        <v>407</v>
      </c>
      <c r="B860" s="50" t="s">
        <v>305</v>
      </c>
      <c r="C860" s="51" t="s">
        <v>129</v>
      </c>
      <c r="D860" s="76" t="s">
        <v>1177</v>
      </c>
      <c r="E860" s="51" t="s">
        <v>673</v>
      </c>
      <c r="F860" s="51" t="s">
        <v>2035</v>
      </c>
      <c r="G860" s="76" t="s">
        <v>2101</v>
      </c>
      <c r="H860" s="76" t="s">
        <v>655</v>
      </c>
      <c r="I860" s="51"/>
      <c r="J860" s="52" t="s">
        <v>708</v>
      </c>
      <c r="K860" s="52" t="str">
        <f t="shared" si="26"/>
        <v>_</v>
      </c>
      <c r="L860" s="117">
        <f>ROUND(Tableau18[[#This Row],[LEN]]*7.27,0)</f>
        <v>87</v>
      </c>
      <c r="M860" s="117">
        <v>15</v>
      </c>
      <c r="N860" s="134" t="str">
        <f t="shared" si="27"/>
        <v>_self</v>
      </c>
      <c r="O860" s="117">
        <f>LEN(Tableau18[[#This Row],[LABEL]])</f>
        <v>12</v>
      </c>
      <c r="P860" s="117">
        <v>15</v>
      </c>
      <c r="Q860" s="117" t="e">
        <f>ROUND(Tableau18[[#This Row],[LEN]]*#REF!+#REF!,0)</f>
        <v>#REF!</v>
      </c>
    </row>
    <row r="861" spans="1:17" s="97" customFormat="1" x14ac:dyDescent="0.25">
      <c r="A861" s="53" t="s">
        <v>408</v>
      </c>
      <c r="B861" s="54" t="s">
        <v>407</v>
      </c>
      <c r="C861" s="55" t="s">
        <v>131</v>
      </c>
      <c r="D861" s="77" t="s">
        <v>1177</v>
      </c>
      <c r="E861" s="55" t="s">
        <v>673</v>
      </c>
      <c r="F861" s="55" t="s">
        <v>2035</v>
      </c>
      <c r="G861" s="77" t="s">
        <v>2101</v>
      </c>
      <c r="H861" s="77" t="s">
        <v>570</v>
      </c>
      <c r="I861" s="55"/>
      <c r="J861" s="56" t="s">
        <v>708</v>
      </c>
      <c r="K861" s="56" t="str">
        <f t="shared" si="26"/>
        <v>_</v>
      </c>
      <c r="L861" s="118">
        <f>ROUND(Tableau18[[#This Row],[LEN]]*7.27,0)</f>
        <v>262</v>
      </c>
      <c r="M861" s="118">
        <v>15</v>
      </c>
      <c r="N861" s="135" t="str">
        <f t="shared" si="27"/>
        <v>_self</v>
      </c>
      <c r="O861" s="118">
        <f>LEN(Tableau18[[#This Row],[LABEL]])</f>
        <v>36</v>
      </c>
      <c r="P861" s="118">
        <v>15</v>
      </c>
      <c r="Q861" s="118" t="e">
        <f>ROUND(Tableau18[[#This Row],[LEN]]*#REF!+#REF!,0)</f>
        <v>#REF!</v>
      </c>
    </row>
    <row r="862" spans="1:17" s="97" customFormat="1" x14ac:dyDescent="0.25">
      <c r="A862" s="53" t="s">
        <v>409</v>
      </c>
      <c r="B862" s="54" t="s">
        <v>407</v>
      </c>
      <c r="C862" s="55" t="s">
        <v>132</v>
      </c>
      <c r="D862" s="77" t="s">
        <v>1177</v>
      </c>
      <c r="E862" s="55" t="s">
        <v>673</v>
      </c>
      <c r="F862" s="55" t="s">
        <v>2035</v>
      </c>
      <c r="G862" s="77" t="s">
        <v>2101</v>
      </c>
      <c r="H862" s="77" t="s">
        <v>570</v>
      </c>
      <c r="I862" s="55"/>
      <c r="J862" s="56" t="s">
        <v>708</v>
      </c>
      <c r="K862" s="56" t="str">
        <f t="shared" si="26"/>
        <v>_</v>
      </c>
      <c r="L862" s="118">
        <f>ROUND(Tableau18[[#This Row],[LEN]]*7.27,0)</f>
        <v>298</v>
      </c>
      <c r="M862" s="118">
        <v>15</v>
      </c>
      <c r="N862" s="135" t="str">
        <f t="shared" si="27"/>
        <v>_self</v>
      </c>
      <c r="O862" s="118">
        <f>LEN(Tableau18[[#This Row],[LABEL]])</f>
        <v>41</v>
      </c>
      <c r="P862" s="118">
        <v>15</v>
      </c>
      <c r="Q862" s="118" t="e">
        <f>ROUND(Tableau18[[#This Row],[LEN]]*#REF!+#REF!,0)</f>
        <v>#REF!</v>
      </c>
    </row>
    <row r="863" spans="1:17" s="273" customFormat="1" x14ac:dyDescent="0.25">
      <c r="A863" s="351" t="s">
        <v>306</v>
      </c>
      <c r="B863" s="352" t="s">
        <v>209</v>
      </c>
      <c r="C863" s="353" t="s">
        <v>4</v>
      </c>
      <c r="D863" s="354" t="s">
        <v>1177</v>
      </c>
      <c r="E863" s="353" t="s">
        <v>666</v>
      </c>
      <c r="F863" s="353" t="s">
        <v>1177</v>
      </c>
      <c r="G863" s="354" t="s">
        <v>2101</v>
      </c>
      <c r="H863" s="354" t="str">
        <f>IFERROR(IF(SEARCH(".00.00.00.00.00",Tableau18[[#This Row],[name]],1)=7,"Division",""),"")</f>
        <v>Division</v>
      </c>
      <c r="I863" s="353"/>
      <c r="J863" s="355" t="s">
        <v>708</v>
      </c>
      <c r="K863" s="355" t="str">
        <f t="shared" si="26"/>
        <v>_</v>
      </c>
      <c r="L863" s="356">
        <f>ROUND(Tableau18[[#This Row],[LEN]]*7.27,0)</f>
        <v>36</v>
      </c>
      <c r="M863" s="356">
        <v>15</v>
      </c>
      <c r="N863" s="357" t="str">
        <f t="shared" si="27"/>
        <v>_self</v>
      </c>
      <c r="O863" s="356">
        <f>LEN(Tableau18[[#This Row],[LABEL]])</f>
        <v>5</v>
      </c>
      <c r="P863" s="356">
        <v>15</v>
      </c>
      <c r="Q863" s="356" t="e">
        <f>ROUND(Tableau18[[#This Row],[LEN]]*#REF!+#REF!,0)</f>
        <v>#REF!</v>
      </c>
    </row>
    <row r="864" spans="1:17" s="97" customFormat="1" x14ac:dyDescent="0.25">
      <c r="A864" s="49" t="s">
        <v>1642</v>
      </c>
      <c r="B864" s="50" t="s">
        <v>306</v>
      </c>
      <c r="C864" s="51" t="s">
        <v>129</v>
      </c>
      <c r="D864" s="76" t="s">
        <v>1177</v>
      </c>
      <c r="E864" s="51" t="s">
        <v>673</v>
      </c>
      <c r="F864" s="51" t="s">
        <v>2035</v>
      </c>
      <c r="G864" s="76" t="s">
        <v>2101</v>
      </c>
      <c r="H864" s="76" t="s">
        <v>655</v>
      </c>
      <c r="I864" s="51"/>
      <c r="J864" s="52" t="s">
        <v>708</v>
      </c>
      <c r="K864" s="52" t="str">
        <f t="shared" si="26"/>
        <v>_</v>
      </c>
      <c r="L864" s="117">
        <f>ROUND(Tableau18[[#This Row],[LEN]]*7.27,0)</f>
        <v>87</v>
      </c>
      <c r="M864" s="117">
        <v>15</v>
      </c>
      <c r="N864" s="134" t="str">
        <f t="shared" si="27"/>
        <v>_self</v>
      </c>
      <c r="O864" s="117">
        <f>LEN(Tableau18[[#This Row],[LABEL]])</f>
        <v>12</v>
      </c>
      <c r="P864" s="117">
        <v>15</v>
      </c>
      <c r="Q864" s="117" t="e">
        <f>ROUND(Tableau18[[#This Row],[LEN]]*#REF!+#REF!,0)</f>
        <v>#REF!</v>
      </c>
    </row>
    <row r="865" spans="1:17" s="97" customFormat="1" x14ac:dyDescent="0.25">
      <c r="A865" s="53" t="s">
        <v>1647</v>
      </c>
      <c r="B865" s="54" t="s">
        <v>1642</v>
      </c>
      <c r="C865" s="55" t="s">
        <v>131</v>
      </c>
      <c r="D865" s="77" t="s">
        <v>1177</v>
      </c>
      <c r="E865" s="55" t="s">
        <v>673</v>
      </c>
      <c r="F865" s="55" t="s">
        <v>2035</v>
      </c>
      <c r="G865" s="77" t="s">
        <v>2101</v>
      </c>
      <c r="H865" s="77" t="s">
        <v>570</v>
      </c>
      <c r="I865" s="55"/>
      <c r="J865" s="56" t="s">
        <v>708</v>
      </c>
      <c r="K865" s="56" t="str">
        <f t="shared" si="26"/>
        <v>_</v>
      </c>
      <c r="L865" s="118">
        <f>ROUND(Tableau18[[#This Row],[LEN]]*7.27,0)</f>
        <v>262</v>
      </c>
      <c r="M865" s="118">
        <v>15</v>
      </c>
      <c r="N865" s="135" t="str">
        <f t="shared" si="27"/>
        <v>_self</v>
      </c>
      <c r="O865" s="118">
        <f>LEN(Tableau18[[#This Row],[LABEL]])</f>
        <v>36</v>
      </c>
      <c r="P865" s="118">
        <v>15</v>
      </c>
      <c r="Q865" s="118" t="e">
        <f>ROUND(Tableau18[[#This Row],[LEN]]*#REF!+#REF!,0)</f>
        <v>#REF!</v>
      </c>
    </row>
    <row r="866" spans="1:17" s="97" customFormat="1" x14ac:dyDescent="0.25">
      <c r="A866" s="53" t="s">
        <v>1648</v>
      </c>
      <c r="B866" s="54" t="s">
        <v>1642</v>
      </c>
      <c r="C866" s="55" t="s">
        <v>132</v>
      </c>
      <c r="D866" s="77" t="s">
        <v>1177</v>
      </c>
      <c r="E866" s="55" t="s">
        <v>673</v>
      </c>
      <c r="F866" s="55" t="s">
        <v>2035</v>
      </c>
      <c r="G866" s="77" t="s">
        <v>2101</v>
      </c>
      <c r="H866" s="77" t="s">
        <v>570</v>
      </c>
      <c r="I866" s="55"/>
      <c r="J866" s="56" t="s">
        <v>708</v>
      </c>
      <c r="K866" s="56" t="str">
        <f t="shared" si="26"/>
        <v>_</v>
      </c>
      <c r="L866" s="118">
        <f>ROUND(Tableau18[[#This Row],[LEN]]*7.27,0)</f>
        <v>298</v>
      </c>
      <c r="M866" s="118">
        <v>15</v>
      </c>
      <c r="N866" s="135" t="str">
        <f t="shared" si="27"/>
        <v>_self</v>
      </c>
      <c r="O866" s="118">
        <f>LEN(Tableau18[[#This Row],[LABEL]])</f>
        <v>41</v>
      </c>
      <c r="P866" s="118">
        <v>15</v>
      </c>
      <c r="Q866" s="118" t="e">
        <f>ROUND(Tableau18[[#This Row],[LEN]]*#REF!+#REF!,0)</f>
        <v>#REF!</v>
      </c>
    </row>
    <row r="867" spans="1:17" s="97" customFormat="1" x14ac:dyDescent="0.25">
      <c r="A867" s="49" t="s">
        <v>1643</v>
      </c>
      <c r="B867" s="50" t="s">
        <v>306</v>
      </c>
      <c r="C867" s="51" t="s">
        <v>1649</v>
      </c>
      <c r="D867" s="76" t="s">
        <v>1177</v>
      </c>
      <c r="E867" s="51" t="s">
        <v>666</v>
      </c>
      <c r="F867" s="51" t="s">
        <v>1177</v>
      </c>
      <c r="G867" s="76" t="s">
        <v>2101</v>
      </c>
      <c r="H867" s="76" t="s">
        <v>655</v>
      </c>
      <c r="I867" s="51"/>
      <c r="J867" s="52" t="s">
        <v>708</v>
      </c>
      <c r="K867" s="52" t="str">
        <f t="shared" si="26"/>
        <v>_</v>
      </c>
      <c r="L867" s="117">
        <f>ROUND(Tableau18[[#This Row],[LEN]]*7.27,0)</f>
        <v>145</v>
      </c>
      <c r="M867" s="117">
        <v>15</v>
      </c>
      <c r="N867" s="134" t="str">
        <f t="shared" si="27"/>
        <v>_self</v>
      </c>
      <c r="O867" s="117">
        <f>LEN(Tableau18[[#This Row],[LABEL]])</f>
        <v>20</v>
      </c>
      <c r="P867" s="117">
        <v>15</v>
      </c>
      <c r="Q867" s="117" t="e">
        <f>ROUND(Tableau18[[#This Row],[LEN]]*#REF!+#REF!,0)</f>
        <v>#REF!</v>
      </c>
    </row>
    <row r="868" spans="1:17" s="97" customFormat="1" x14ac:dyDescent="0.25">
      <c r="A868" s="53" t="s">
        <v>1650</v>
      </c>
      <c r="B868" s="54" t="s">
        <v>1643</v>
      </c>
      <c r="C868" s="55" t="s">
        <v>1657</v>
      </c>
      <c r="D868" s="77" t="s">
        <v>1177</v>
      </c>
      <c r="E868" s="55" t="s">
        <v>666</v>
      </c>
      <c r="F868" s="55" t="s">
        <v>1177</v>
      </c>
      <c r="G868" s="77" t="s">
        <v>2101</v>
      </c>
      <c r="H868" s="77" t="s">
        <v>654</v>
      </c>
      <c r="I868" s="55"/>
      <c r="J868" s="56" t="s">
        <v>708</v>
      </c>
      <c r="K868" s="56" t="str">
        <f t="shared" si="26"/>
        <v>_</v>
      </c>
      <c r="L868" s="118">
        <f>ROUND(Tableau18[[#This Row],[LEN]]*7.27,0)</f>
        <v>364</v>
      </c>
      <c r="M868" s="118">
        <v>15</v>
      </c>
      <c r="N868" s="135" t="str">
        <f t="shared" si="27"/>
        <v>_self</v>
      </c>
      <c r="O868" s="118">
        <f>LEN(Tableau18[[#This Row],[LABEL]])</f>
        <v>50</v>
      </c>
      <c r="P868" s="118">
        <v>15</v>
      </c>
      <c r="Q868" s="118" t="e">
        <f>ROUND(Tableau18[[#This Row],[LEN]]*#REF!+#REF!,0)</f>
        <v>#REF!</v>
      </c>
    </row>
    <row r="869" spans="1:17" s="97" customFormat="1" x14ac:dyDescent="0.25">
      <c r="A869" s="53" t="s">
        <v>1651</v>
      </c>
      <c r="B869" s="54" t="s">
        <v>1643</v>
      </c>
      <c r="C869" s="55" t="s">
        <v>1658</v>
      </c>
      <c r="D869" s="77" t="s">
        <v>1177</v>
      </c>
      <c r="E869" s="55" t="s">
        <v>666</v>
      </c>
      <c r="F869" s="55" t="s">
        <v>1177</v>
      </c>
      <c r="G869" s="77" t="s">
        <v>2101</v>
      </c>
      <c r="H869" s="77" t="s">
        <v>654</v>
      </c>
      <c r="I869" s="55"/>
      <c r="J869" s="56" t="s">
        <v>708</v>
      </c>
      <c r="K869" s="56" t="str">
        <f t="shared" si="26"/>
        <v>_</v>
      </c>
      <c r="L869" s="118">
        <f>ROUND(Tableau18[[#This Row],[LEN]]*7.27,0)</f>
        <v>131</v>
      </c>
      <c r="M869" s="118">
        <v>15</v>
      </c>
      <c r="N869" s="135" t="str">
        <f t="shared" si="27"/>
        <v>_self</v>
      </c>
      <c r="O869" s="118">
        <f>LEN(Tableau18[[#This Row],[LABEL]])</f>
        <v>18</v>
      </c>
      <c r="P869" s="118">
        <v>15</v>
      </c>
      <c r="Q869" s="118" t="e">
        <f>ROUND(Tableau18[[#This Row],[LEN]]*#REF!+#REF!,0)</f>
        <v>#REF!</v>
      </c>
    </row>
    <row r="870" spans="1:17" s="97" customFormat="1" x14ac:dyDescent="0.25">
      <c r="A870" s="53" t="s">
        <v>1652</v>
      </c>
      <c r="B870" s="54" t="s">
        <v>1643</v>
      </c>
      <c r="C870" s="55" t="s">
        <v>1659</v>
      </c>
      <c r="D870" s="77" t="s">
        <v>1177</v>
      </c>
      <c r="E870" s="55" t="s">
        <v>666</v>
      </c>
      <c r="F870" s="55" t="s">
        <v>1177</v>
      </c>
      <c r="G870" s="77" t="s">
        <v>2101</v>
      </c>
      <c r="H870" s="77" t="s">
        <v>654</v>
      </c>
      <c r="I870" s="55"/>
      <c r="J870" s="56" t="s">
        <v>708</v>
      </c>
      <c r="K870" s="56" t="str">
        <f t="shared" si="26"/>
        <v>_</v>
      </c>
      <c r="L870" s="118">
        <f>ROUND(Tableau18[[#This Row],[LEN]]*7.27,0)</f>
        <v>109</v>
      </c>
      <c r="M870" s="118">
        <v>15</v>
      </c>
      <c r="N870" s="135" t="str">
        <f t="shared" si="27"/>
        <v>_self</v>
      </c>
      <c r="O870" s="118">
        <f>LEN(Tableau18[[#This Row],[LABEL]])</f>
        <v>15</v>
      </c>
      <c r="P870" s="118">
        <v>15</v>
      </c>
      <c r="Q870" s="118" t="e">
        <f>ROUND(Tableau18[[#This Row],[LEN]]*#REF!+#REF!,0)</f>
        <v>#REF!</v>
      </c>
    </row>
    <row r="871" spans="1:17" s="97" customFormat="1" x14ac:dyDescent="0.25">
      <c r="A871" s="53" t="s">
        <v>1653</v>
      </c>
      <c r="B871" s="54" t="s">
        <v>1643</v>
      </c>
      <c r="C871" s="55" t="s">
        <v>134</v>
      </c>
      <c r="D871" s="77" t="s">
        <v>1177</v>
      </c>
      <c r="E871" s="55" t="s">
        <v>666</v>
      </c>
      <c r="F871" s="55" t="s">
        <v>1177</v>
      </c>
      <c r="G871" s="77" t="s">
        <v>2101</v>
      </c>
      <c r="H871" s="77" t="s">
        <v>654</v>
      </c>
      <c r="I871" s="55"/>
      <c r="J871" s="56" t="s">
        <v>708</v>
      </c>
      <c r="K871" s="56" t="str">
        <f t="shared" si="26"/>
        <v>_</v>
      </c>
      <c r="L871" s="118">
        <f>ROUND(Tableau18[[#This Row],[LEN]]*7.27,0)</f>
        <v>124</v>
      </c>
      <c r="M871" s="118">
        <v>15</v>
      </c>
      <c r="N871" s="135" t="str">
        <f t="shared" si="27"/>
        <v>_self</v>
      </c>
      <c r="O871" s="118">
        <f>LEN(Tableau18[[#This Row],[LABEL]])</f>
        <v>17</v>
      </c>
      <c r="P871" s="118">
        <v>15</v>
      </c>
      <c r="Q871" s="118" t="e">
        <f>ROUND(Tableau18[[#This Row],[LEN]]*#REF!+#REF!,0)</f>
        <v>#REF!</v>
      </c>
    </row>
    <row r="872" spans="1:17" s="97" customFormat="1" x14ac:dyDescent="0.25">
      <c r="A872" s="49" t="s">
        <v>1644</v>
      </c>
      <c r="B872" s="50" t="s">
        <v>306</v>
      </c>
      <c r="C872" s="51" t="s">
        <v>1654</v>
      </c>
      <c r="D872" s="76" t="s">
        <v>1177</v>
      </c>
      <c r="E872" s="51" t="s">
        <v>666</v>
      </c>
      <c r="F872" s="51" t="s">
        <v>661</v>
      </c>
      <c r="G872" s="76" t="s">
        <v>2101</v>
      </c>
      <c r="H872" s="76" t="s">
        <v>654</v>
      </c>
      <c r="I872" s="51"/>
      <c r="J872" s="52" t="s">
        <v>708</v>
      </c>
      <c r="K872" s="52" t="str">
        <f t="shared" si="26"/>
        <v>_</v>
      </c>
      <c r="L872" s="117">
        <f>ROUND(Tableau18[[#This Row],[LEN]]*7.27,0)</f>
        <v>160</v>
      </c>
      <c r="M872" s="117">
        <v>15</v>
      </c>
      <c r="N872" s="134" t="str">
        <f t="shared" si="27"/>
        <v>_self</v>
      </c>
      <c r="O872" s="117">
        <f>LEN(Tableau18[[#This Row],[LABEL]])</f>
        <v>22</v>
      </c>
      <c r="P872" s="117">
        <v>15</v>
      </c>
      <c r="Q872" s="117" t="e">
        <f>ROUND(Tableau18[[#This Row],[LEN]]*#REF!+#REF!,0)</f>
        <v>#REF!</v>
      </c>
    </row>
    <row r="873" spans="1:17" s="97" customFormat="1" x14ac:dyDescent="0.25">
      <c r="A873" s="49" t="s">
        <v>1645</v>
      </c>
      <c r="B873" s="50" t="s">
        <v>306</v>
      </c>
      <c r="C873" s="51" t="s">
        <v>1655</v>
      </c>
      <c r="D873" s="76" t="s">
        <v>1656</v>
      </c>
      <c r="E873" s="51" t="s">
        <v>673</v>
      </c>
      <c r="F873" s="51" t="s">
        <v>1660</v>
      </c>
      <c r="G873" s="76" t="s">
        <v>2101</v>
      </c>
      <c r="H873" s="76" t="s">
        <v>654</v>
      </c>
      <c r="I873" s="51"/>
      <c r="J873" s="52" t="s">
        <v>708</v>
      </c>
      <c r="K873" s="52" t="str">
        <f t="shared" si="26"/>
        <v>_</v>
      </c>
      <c r="L873" s="117">
        <f>ROUND(Tableau18[[#This Row],[LEN]]*7.27,0)</f>
        <v>291</v>
      </c>
      <c r="M873" s="117">
        <v>15</v>
      </c>
      <c r="N873" s="134" t="str">
        <f t="shared" si="27"/>
        <v>_self</v>
      </c>
      <c r="O873" s="117">
        <f>LEN(Tableau18[[#This Row],[LABEL]])</f>
        <v>40</v>
      </c>
      <c r="P873" s="117">
        <v>15</v>
      </c>
      <c r="Q873" s="117" t="e">
        <f>ROUND(Tableau18[[#This Row],[LEN]]*#REF!+#REF!,0)</f>
        <v>#REF!</v>
      </c>
    </row>
    <row r="874" spans="1:17" s="273" customFormat="1" x14ac:dyDescent="0.25">
      <c r="A874" s="351" t="s">
        <v>308</v>
      </c>
      <c r="B874" s="352" t="s">
        <v>209</v>
      </c>
      <c r="C874" s="353" t="s">
        <v>5</v>
      </c>
      <c r="D874" s="354" t="s">
        <v>1177</v>
      </c>
      <c r="E874" s="353" t="s">
        <v>668</v>
      </c>
      <c r="F874" s="353" t="s">
        <v>1177</v>
      </c>
      <c r="G874" s="354" t="s">
        <v>2101</v>
      </c>
      <c r="H874" s="354" t="str">
        <f>IFERROR(IF(SEARCH(".00.00.00.00.00",Tableau18[[#This Row],[name]],1)=7,"Division",""),"")</f>
        <v>Division</v>
      </c>
      <c r="I874" s="353"/>
      <c r="J874" s="355" t="s">
        <v>708</v>
      </c>
      <c r="K874" s="355" t="str">
        <f t="shared" si="26"/>
        <v>_</v>
      </c>
      <c r="L874" s="356">
        <f>ROUND(Tableau18[[#This Row],[LEN]]*7.27,0)</f>
        <v>73</v>
      </c>
      <c r="M874" s="356">
        <v>15</v>
      </c>
      <c r="N874" s="357" t="str">
        <f t="shared" si="27"/>
        <v>_self</v>
      </c>
      <c r="O874" s="356">
        <f>LEN(Tableau18[[#This Row],[LABEL]])</f>
        <v>10</v>
      </c>
      <c r="P874" s="356">
        <v>15</v>
      </c>
      <c r="Q874" s="356" t="e">
        <f>ROUND(Tableau18[[#This Row],[LEN]]*#REF!+#REF!,0)</f>
        <v>#REF!</v>
      </c>
    </row>
    <row r="875" spans="1:17" s="97" customFormat="1" x14ac:dyDescent="0.25">
      <c r="A875" s="49" t="s">
        <v>1661</v>
      </c>
      <c r="B875" s="50" t="s">
        <v>308</v>
      </c>
      <c r="C875" s="51" t="s">
        <v>1662</v>
      </c>
      <c r="D875" s="76" t="s">
        <v>1177</v>
      </c>
      <c r="E875" s="51" t="s">
        <v>668</v>
      </c>
      <c r="F875" s="51" t="s">
        <v>1339</v>
      </c>
      <c r="G875" s="76" t="s">
        <v>2101</v>
      </c>
      <c r="H875" s="76" t="s">
        <v>56</v>
      </c>
      <c r="I875" s="51"/>
      <c r="J875" s="52" t="s">
        <v>708</v>
      </c>
      <c r="K875" s="52" t="str">
        <f t="shared" si="26"/>
        <v>_</v>
      </c>
      <c r="L875" s="117">
        <f>ROUND(Tableau18[[#This Row],[LEN]]*7.27,0)</f>
        <v>218</v>
      </c>
      <c r="M875" s="117">
        <v>15</v>
      </c>
      <c r="N875" s="134" t="str">
        <f t="shared" si="27"/>
        <v>_self</v>
      </c>
      <c r="O875" s="117">
        <f>LEN(Tableau18[[#This Row],[LABEL]])</f>
        <v>30</v>
      </c>
      <c r="P875" s="117">
        <v>15</v>
      </c>
      <c r="Q875" s="117" t="e">
        <f>ROUND(Tableau18[[#This Row],[LEN]]*#REF!+#REF!,0)</f>
        <v>#REF!</v>
      </c>
    </row>
    <row r="876" spans="1:17" s="273" customFormat="1" x14ac:dyDescent="0.25">
      <c r="A876" s="351" t="s">
        <v>309</v>
      </c>
      <c r="B876" s="352" t="s">
        <v>209</v>
      </c>
      <c r="C876" s="353" t="s">
        <v>2147</v>
      </c>
      <c r="D876" s="354" t="s">
        <v>1177</v>
      </c>
      <c r="E876" s="353" t="s">
        <v>669</v>
      </c>
      <c r="F876" s="353" t="s">
        <v>1177</v>
      </c>
      <c r="G876" s="354" t="s">
        <v>2101</v>
      </c>
      <c r="H876" s="354" t="str">
        <f>IFERROR(IF(SEARCH(".00.00.00.00.00",Tableau18[[#This Row],[name]],1)=7,"Division",""),"")</f>
        <v>Division</v>
      </c>
      <c r="I876" s="353"/>
      <c r="J876" s="355" t="s">
        <v>708</v>
      </c>
      <c r="K876" s="355" t="str">
        <f t="shared" si="26"/>
        <v>_</v>
      </c>
      <c r="L876" s="356">
        <f>ROUND(Tableau18[[#This Row],[LEN]]*7.27,0)</f>
        <v>196</v>
      </c>
      <c r="M876" s="356">
        <v>15</v>
      </c>
      <c r="N876" s="357" t="str">
        <f t="shared" si="27"/>
        <v>_self</v>
      </c>
      <c r="O876" s="356">
        <f>LEN(Tableau18[[#This Row],[LABEL]])</f>
        <v>27</v>
      </c>
      <c r="P876" s="356">
        <v>15</v>
      </c>
      <c r="Q876" s="356" t="e">
        <f>ROUND(Tableau18[[#This Row],[LEN]]*#REF!+#REF!,0)</f>
        <v>#REF!</v>
      </c>
    </row>
    <row r="877" spans="1:17" s="97" customFormat="1" x14ac:dyDescent="0.25">
      <c r="A877" s="49" t="s">
        <v>1663</v>
      </c>
      <c r="B877" s="50" t="s">
        <v>309</v>
      </c>
      <c r="C877" s="51" t="s">
        <v>128</v>
      </c>
      <c r="D877" s="76" t="s">
        <v>1177</v>
      </c>
      <c r="E877" s="51" t="s">
        <v>669</v>
      </c>
      <c r="F877" s="51" t="s">
        <v>2029</v>
      </c>
      <c r="G877" s="76" t="s">
        <v>2101</v>
      </c>
      <c r="H877" s="76" t="s">
        <v>570</v>
      </c>
      <c r="I877" s="51"/>
      <c r="J877" s="52" t="s">
        <v>708</v>
      </c>
      <c r="K877" s="52" t="str">
        <f t="shared" si="26"/>
        <v>_</v>
      </c>
      <c r="L877" s="117">
        <f>ROUND(Tableau18[[#This Row],[LEN]]*7.27,0)</f>
        <v>182</v>
      </c>
      <c r="M877" s="117">
        <v>15</v>
      </c>
      <c r="N877" s="134" t="str">
        <f t="shared" si="27"/>
        <v>_self</v>
      </c>
      <c r="O877" s="117">
        <f>LEN(Tableau18[[#This Row],[LABEL]])</f>
        <v>25</v>
      </c>
      <c r="P877" s="117">
        <v>15</v>
      </c>
      <c r="Q877" s="117" t="e">
        <f>ROUND(Tableau18[[#This Row],[LEN]]*#REF!+#REF!,0)</f>
        <v>#REF!</v>
      </c>
    </row>
    <row r="878" spans="1:17" s="97" customFormat="1" x14ac:dyDescent="0.25">
      <c r="A878" s="49" t="s">
        <v>1664</v>
      </c>
      <c r="B878" s="50" t="s">
        <v>309</v>
      </c>
      <c r="C878" s="51" t="s">
        <v>129</v>
      </c>
      <c r="D878" s="76" t="s">
        <v>1177</v>
      </c>
      <c r="E878" s="51" t="s">
        <v>673</v>
      </c>
      <c r="F878" s="51" t="s">
        <v>2035</v>
      </c>
      <c r="G878" s="76" t="s">
        <v>2101</v>
      </c>
      <c r="H878" s="76" t="s">
        <v>655</v>
      </c>
      <c r="I878" s="51"/>
      <c r="J878" s="52" t="s">
        <v>708</v>
      </c>
      <c r="K878" s="52" t="str">
        <f t="shared" si="26"/>
        <v>_</v>
      </c>
      <c r="L878" s="117">
        <f>ROUND(Tableau18[[#This Row],[LEN]]*7.27,0)</f>
        <v>87</v>
      </c>
      <c r="M878" s="117">
        <v>15</v>
      </c>
      <c r="N878" s="134" t="str">
        <f t="shared" si="27"/>
        <v>_self</v>
      </c>
      <c r="O878" s="117">
        <f>LEN(Tableau18[[#This Row],[LABEL]])</f>
        <v>12</v>
      </c>
      <c r="P878" s="117">
        <v>15</v>
      </c>
      <c r="Q878" s="117" t="e">
        <f>ROUND(Tableau18[[#This Row],[LEN]]*#REF!+#REF!,0)</f>
        <v>#REF!</v>
      </c>
    </row>
    <row r="879" spans="1:17" s="97" customFormat="1" x14ac:dyDescent="0.25">
      <c r="A879" s="53" t="s">
        <v>1675</v>
      </c>
      <c r="B879" s="54" t="s">
        <v>1664</v>
      </c>
      <c r="C879" s="55" t="s">
        <v>131</v>
      </c>
      <c r="D879" s="77" t="s">
        <v>1177</v>
      </c>
      <c r="E879" s="55" t="s">
        <v>673</v>
      </c>
      <c r="F879" s="55" t="s">
        <v>2035</v>
      </c>
      <c r="G879" s="77" t="s">
        <v>2101</v>
      </c>
      <c r="H879" s="77" t="s">
        <v>570</v>
      </c>
      <c r="I879" s="55"/>
      <c r="J879" s="56" t="s">
        <v>708</v>
      </c>
      <c r="K879" s="56" t="str">
        <f t="shared" si="26"/>
        <v>_</v>
      </c>
      <c r="L879" s="118">
        <f>ROUND(Tableau18[[#This Row],[LEN]]*7.27,0)</f>
        <v>262</v>
      </c>
      <c r="M879" s="118">
        <v>15</v>
      </c>
      <c r="N879" s="135" t="str">
        <f t="shared" si="27"/>
        <v>_self</v>
      </c>
      <c r="O879" s="118">
        <f>LEN(Tableau18[[#This Row],[LABEL]])</f>
        <v>36</v>
      </c>
      <c r="P879" s="118">
        <v>15</v>
      </c>
      <c r="Q879" s="118" t="e">
        <f>ROUND(Tableau18[[#This Row],[LEN]]*#REF!+#REF!,0)</f>
        <v>#REF!</v>
      </c>
    </row>
    <row r="880" spans="1:17" s="97" customFormat="1" x14ac:dyDescent="0.25">
      <c r="A880" s="53" t="s">
        <v>1676</v>
      </c>
      <c r="B880" s="54" t="s">
        <v>1664</v>
      </c>
      <c r="C880" s="55" t="s">
        <v>132</v>
      </c>
      <c r="D880" s="77" t="s">
        <v>1177</v>
      </c>
      <c r="E880" s="55" t="s">
        <v>673</v>
      </c>
      <c r="F880" s="55" t="s">
        <v>2035</v>
      </c>
      <c r="G880" s="77" t="s">
        <v>2101</v>
      </c>
      <c r="H880" s="77" t="s">
        <v>570</v>
      </c>
      <c r="I880" s="55"/>
      <c r="J880" s="56" t="s">
        <v>708</v>
      </c>
      <c r="K880" s="56" t="str">
        <f t="shared" si="26"/>
        <v>_</v>
      </c>
      <c r="L880" s="118">
        <f>ROUND(Tableau18[[#This Row],[LEN]]*7.27,0)</f>
        <v>298</v>
      </c>
      <c r="M880" s="118">
        <v>15</v>
      </c>
      <c r="N880" s="135" t="str">
        <f t="shared" si="27"/>
        <v>_self</v>
      </c>
      <c r="O880" s="118">
        <f>LEN(Tableau18[[#This Row],[LABEL]])</f>
        <v>41</v>
      </c>
      <c r="P880" s="118">
        <v>15</v>
      </c>
      <c r="Q880" s="118" t="e">
        <f>ROUND(Tableau18[[#This Row],[LEN]]*#REF!+#REF!,0)</f>
        <v>#REF!</v>
      </c>
    </row>
    <row r="881" spans="1:17" s="97" customFormat="1" x14ac:dyDescent="0.25">
      <c r="A881" s="49" t="s">
        <v>1665</v>
      </c>
      <c r="B881" s="50" t="s">
        <v>309</v>
      </c>
      <c r="C881" s="51" t="s">
        <v>1677</v>
      </c>
      <c r="D881" s="76" t="s">
        <v>1177</v>
      </c>
      <c r="E881" s="51" t="s">
        <v>669</v>
      </c>
      <c r="F881" s="51" t="s">
        <v>1177</v>
      </c>
      <c r="G881" s="76" t="s">
        <v>2101</v>
      </c>
      <c r="H881" s="76" t="s">
        <v>654</v>
      </c>
      <c r="I881" s="51"/>
      <c r="J881" s="52" t="s">
        <v>708</v>
      </c>
      <c r="K881" s="52" t="str">
        <f t="shared" si="26"/>
        <v>_</v>
      </c>
      <c r="L881" s="117">
        <f>ROUND(Tableau18[[#This Row],[LEN]]*7.27,0)</f>
        <v>109</v>
      </c>
      <c r="M881" s="117">
        <v>15</v>
      </c>
      <c r="N881" s="134" t="str">
        <f t="shared" si="27"/>
        <v>_self</v>
      </c>
      <c r="O881" s="117">
        <f>LEN(Tableau18[[#This Row],[LABEL]])</f>
        <v>15</v>
      </c>
      <c r="P881" s="117">
        <v>15</v>
      </c>
      <c r="Q881" s="117" t="e">
        <f>ROUND(Tableau18[[#This Row],[LEN]]*#REF!+#REF!,0)</f>
        <v>#REF!</v>
      </c>
    </row>
    <row r="882" spans="1:17" s="97" customFormat="1" x14ac:dyDescent="0.25">
      <c r="A882" s="49" t="s">
        <v>1666</v>
      </c>
      <c r="B882" s="50" t="s">
        <v>309</v>
      </c>
      <c r="C882" s="51" t="s">
        <v>1678</v>
      </c>
      <c r="D882" s="76" t="s">
        <v>1177</v>
      </c>
      <c r="E882" s="51" t="s">
        <v>669</v>
      </c>
      <c r="F882" s="51" t="s">
        <v>1177</v>
      </c>
      <c r="G882" s="76" t="s">
        <v>2101</v>
      </c>
      <c r="H882" s="76" t="s">
        <v>654</v>
      </c>
      <c r="I882" s="51"/>
      <c r="J882" s="52" t="s">
        <v>708</v>
      </c>
      <c r="K882" s="52" t="str">
        <f t="shared" si="26"/>
        <v>_</v>
      </c>
      <c r="L882" s="117">
        <f>ROUND(Tableau18[[#This Row],[LEN]]*7.27,0)</f>
        <v>196</v>
      </c>
      <c r="M882" s="117">
        <v>15</v>
      </c>
      <c r="N882" s="134" t="str">
        <f t="shared" si="27"/>
        <v>_self</v>
      </c>
      <c r="O882" s="117">
        <f>LEN(Tableau18[[#This Row],[LABEL]])</f>
        <v>27</v>
      </c>
      <c r="P882" s="117">
        <v>15</v>
      </c>
      <c r="Q882" s="117" t="e">
        <f>ROUND(Tableau18[[#This Row],[LEN]]*#REF!+#REF!,0)</f>
        <v>#REF!</v>
      </c>
    </row>
    <row r="883" spans="1:17" s="97" customFormat="1" x14ac:dyDescent="0.25">
      <c r="A883" s="49" t="s">
        <v>1667</v>
      </c>
      <c r="B883" s="50" t="s">
        <v>309</v>
      </c>
      <c r="C883" s="51" t="s">
        <v>1679</v>
      </c>
      <c r="D883" s="76" t="s">
        <v>1177</v>
      </c>
      <c r="E883" s="51" t="s">
        <v>669</v>
      </c>
      <c r="F883" s="51" t="s">
        <v>1177</v>
      </c>
      <c r="G883" s="76" t="s">
        <v>2101</v>
      </c>
      <c r="H883" s="76" t="s">
        <v>654</v>
      </c>
      <c r="I883" s="51"/>
      <c r="J883" s="52" t="s">
        <v>708</v>
      </c>
      <c r="K883" s="52" t="str">
        <f t="shared" si="26"/>
        <v>_</v>
      </c>
      <c r="L883" s="117">
        <f>ROUND(Tableau18[[#This Row],[LEN]]*7.27,0)</f>
        <v>254</v>
      </c>
      <c r="M883" s="117">
        <v>15</v>
      </c>
      <c r="N883" s="134" t="str">
        <f t="shared" si="27"/>
        <v>_self</v>
      </c>
      <c r="O883" s="117">
        <f>LEN(Tableau18[[#This Row],[LABEL]])</f>
        <v>35</v>
      </c>
      <c r="P883" s="117">
        <v>15</v>
      </c>
      <c r="Q883" s="117" t="e">
        <f>ROUND(Tableau18[[#This Row],[LEN]]*#REF!+#REF!,0)</f>
        <v>#REF!</v>
      </c>
    </row>
    <row r="884" spans="1:17" s="97" customFormat="1" x14ac:dyDescent="0.25">
      <c r="A884" s="49" t="s">
        <v>1668</v>
      </c>
      <c r="B884" s="50" t="s">
        <v>309</v>
      </c>
      <c r="C884" s="51" t="s">
        <v>1680</v>
      </c>
      <c r="D884" s="76" t="s">
        <v>1177</v>
      </c>
      <c r="E884" s="51" t="s">
        <v>669</v>
      </c>
      <c r="F884" s="51" t="s">
        <v>1177</v>
      </c>
      <c r="G884" s="76" t="s">
        <v>2101</v>
      </c>
      <c r="H884" s="76" t="s">
        <v>654</v>
      </c>
      <c r="I884" s="51"/>
      <c r="J884" s="52" t="s">
        <v>708</v>
      </c>
      <c r="K884" s="52" t="str">
        <f t="shared" si="26"/>
        <v>_</v>
      </c>
      <c r="L884" s="117">
        <f>ROUND(Tableau18[[#This Row],[LEN]]*7.27,0)</f>
        <v>269</v>
      </c>
      <c r="M884" s="117">
        <v>15</v>
      </c>
      <c r="N884" s="134" t="str">
        <f t="shared" si="27"/>
        <v>_self</v>
      </c>
      <c r="O884" s="117">
        <f>LEN(Tableau18[[#This Row],[LABEL]])</f>
        <v>37</v>
      </c>
      <c r="P884" s="117">
        <v>15</v>
      </c>
      <c r="Q884" s="117" t="e">
        <f>ROUND(Tableau18[[#This Row],[LEN]]*#REF!+#REF!,0)</f>
        <v>#REF!</v>
      </c>
    </row>
    <row r="885" spans="1:17" s="97" customFormat="1" x14ac:dyDescent="0.25">
      <c r="A885" s="49" t="s">
        <v>1669</v>
      </c>
      <c r="B885" s="50" t="s">
        <v>309</v>
      </c>
      <c r="C885" s="51" t="s">
        <v>1681</v>
      </c>
      <c r="D885" s="76" t="s">
        <v>1177</v>
      </c>
      <c r="E885" s="51" t="s">
        <v>669</v>
      </c>
      <c r="F885" s="51" t="s">
        <v>1177</v>
      </c>
      <c r="G885" s="76" t="s">
        <v>2101</v>
      </c>
      <c r="H885" s="76" t="s">
        <v>655</v>
      </c>
      <c r="I885" s="51"/>
      <c r="J885" s="52" t="s">
        <v>708</v>
      </c>
      <c r="K885" s="52" t="str">
        <f t="shared" si="26"/>
        <v>_</v>
      </c>
      <c r="L885" s="117">
        <f>ROUND(Tableau18[[#This Row],[LEN]]*7.27,0)</f>
        <v>305</v>
      </c>
      <c r="M885" s="117">
        <v>15</v>
      </c>
      <c r="N885" s="134" t="str">
        <f t="shared" si="27"/>
        <v>_self</v>
      </c>
      <c r="O885" s="117">
        <f>LEN(Tableau18[[#This Row],[LABEL]])</f>
        <v>42</v>
      </c>
      <c r="P885" s="117">
        <v>15</v>
      </c>
      <c r="Q885" s="117" t="e">
        <f>ROUND(Tableau18[[#This Row],[LEN]]*#REF!+#REF!,0)</f>
        <v>#REF!</v>
      </c>
    </row>
    <row r="886" spans="1:17" s="97" customFormat="1" x14ac:dyDescent="0.25">
      <c r="A886" s="53" t="s">
        <v>1682</v>
      </c>
      <c r="B886" s="54" t="s">
        <v>1669</v>
      </c>
      <c r="C886" s="55" t="s">
        <v>1688</v>
      </c>
      <c r="D886" s="77" t="s">
        <v>1687</v>
      </c>
      <c r="E886" s="55" t="s">
        <v>669</v>
      </c>
      <c r="F886" s="55" t="s">
        <v>1177</v>
      </c>
      <c r="G886" s="77" t="s">
        <v>2101</v>
      </c>
      <c r="H886" s="77" t="s">
        <v>654</v>
      </c>
      <c r="I886" s="55"/>
      <c r="J886" s="56" t="s">
        <v>708</v>
      </c>
      <c r="K886" s="56" t="str">
        <f t="shared" si="26"/>
        <v>_</v>
      </c>
      <c r="L886" s="118">
        <f>ROUND(Tableau18[[#This Row],[LEN]]*7.27,0)</f>
        <v>465</v>
      </c>
      <c r="M886" s="118">
        <v>15</v>
      </c>
      <c r="N886" s="135" t="str">
        <f t="shared" si="27"/>
        <v>_self</v>
      </c>
      <c r="O886" s="118">
        <f>LEN(Tableau18[[#This Row],[LABEL]])</f>
        <v>64</v>
      </c>
      <c r="P886" s="118">
        <v>15</v>
      </c>
      <c r="Q886" s="118" t="e">
        <f>ROUND(Tableau18[[#This Row],[LEN]]*#REF!+#REF!,0)</f>
        <v>#REF!</v>
      </c>
    </row>
    <row r="887" spans="1:17" s="97" customFormat="1" x14ac:dyDescent="0.25">
      <c r="A887" s="53" t="s">
        <v>1683</v>
      </c>
      <c r="B887" s="54" t="s">
        <v>1669</v>
      </c>
      <c r="C887" s="55" t="s">
        <v>1689</v>
      </c>
      <c r="D887" s="77" t="s">
        <v>1177</v>
      </c>
      <c r="E887" s="55" t="s">
        <v>669</v>
      </c>
      <c r="F887" s="55" t="s">
        <v>1177</v>
      </c>
      <c r="G887" s="77" t="s">
        <v>2101</v>
      </c>
      <c r="H887" s="77" t="s">
        <v>654</v>
      </c>
      <c r="I887" s="55"/>
      <c r="J887" s="56" t="s">
        <v>708</v>
      </c>
      <c r="K887" s="56" t="str">
        <f t="shared" si="26"/>
        <v>_</v>
      </c>
      <c r="L887" s="118">
        <f>ROUND(Tableau18[[#This Row],[LEN]]*7.27,0)</f>
        <v>422</v>
      </c>
      <c r="M887" s="118">
        <v>15</v>
      </c>
      <c r="N887" s="135" t="str">
        <f t="shared" si="27"/>
        <v>_self</v>
      </c>
      <c r="O887" s="118">
        <f>LEN(Tableau18[[#This Row],[LABEL]])</f>
        <v>58</v>
      </c>
      <c r="P887" s="118">
        <v>15</v>
      </c>
      <c r="Q887" s="118" t="e">
        <f>ROUND(Tableau18[[#This Row],[LEN]]*#REF!+#REF!,0)</f>
        <v>#REF!</v>
      </c>
    </row>
    <row r="888" spans="1:17" s="97" customFormat="1" x14ac:dyDescent="0.25">
      <c r="A888" s="53" t="s">
        <v>1684</v>
      </c>
      <c r="B888" s="54" t="s">
        <v>1669</v>
      </c>
      <c r="C888" s="55" t="s">
        <v>1690</v>
      </c>
      <c r="D888" s="77" t="s">
        <v>1177</v>
      </c>
      <c r="E888" s="55" t="s">
        <v>669</v>
      </c>
      <c r="F888" s="55" t="s">
        <v>1177</v>
      </c>
      <c r="G888" s="77" t="s">
        <v>2101</v>
      </c>
      <c r="H888" s="77" t="s">
        <v>654</v>
      </c>
      <c r="I888" s="55"/>
      <c r="J888" s="56" t="s">
        <v>708</v>
      </c>
      <c r="K888" s="56" t="str">
        <f t="shared" si="26"/>
        <v>_</v>
      </c>
      <c r="L888" s="118">
        <f>ROUND(Tableau18[[#This Row],[LEN]]*7.27,0)</f>
        <v>313</v>
      </c>
      <c r="M888" s="118">
        <v>15</v>
      </c>
      <c r="N888" s="135" t="str">
        <f t="shared" si="27"/>
        <v>_self</v>
      </c>
      <c r="O888" s="118">
        <f>LEN(Tableau18[[#This Row],[LABEL]])</f>
        <v>43</v>
      </c>
      <c r="P888" s="118">
        <v>15</v>
      </c>
      <c r="Q888" s="118" t="e">
        <f>ROUND(Tableau18[[#This Row],[LEN]]*#REF!+#REF!,0)</f>
        <v>#REF!</v>
      </c>
    </row>
    <row r="889" spans="1:17" s="97" customFormat="1" x14ac:dyDescent="0.25">
      <c r="A889" s="53" t="s">
        <v>1685</v>
      </c>
      <c r="B889" s="54" t="s">
        <v>1669</v>
      </c>
      <c r="C889" s="55" t="s">
        <v>1691</v>
      </c>
      <c r="D889" s="77" t="s">
        <v>1701</v>
      </c>
      <c r="E889" s="55" t="s">
        <v>669</v>
      </c>
      <c r="F889" s="55" t="s">
        <v>1177</v>
      </c>
      <c r="G889" s="77" t="s">
        <v>2101</v>
      </c>
      <c r="H889" s="77" t="s">
        <v>654</v>
      </c>
      <c r="I889" s="55"/>
      <c r="J889" s="56" t="s">
        <v>708</v>
      </c>
      <c r="K889" s="56" t="str">
        <f t="shared" si="26"/>
        <v>_</v>
      </c>
      <c r="L889" s="118">
        <f>ROUND(Tableau18[[#This Row],[LEN]]*7.27,0)</f>
        <v>523</v>
      </c>
      <c r="M889" s="118">
        <v>15</v>
      </c>
      <c r="N889" s="135" t="str">
        <f t="shared" si="27"/>
        <v>_self</v>
      </c>
      <c r="O889" s="118">
        <f>LEN(Tableau18[[#This Row],[LABEL]])</f>
        <v>72</v>
      </c>
      <c r="P889" s="118">
        <v>15</v>
      </c>
      <c r="Q889" s="118" t="e">
        <f>ROUND(Tableau18[[#This Row],[LEN]]*#REF!+#REF!,0)</f>
        <v>#REF!</v>
      </c>
    </row>
    <row r="890" spans="1:17" s="97" customFormat="1" x14ac:dyDescent="0.25">
      <c r="A890" s="53" t="s">
        <v>1686</v>
      </c>
      <c r="B890" s="54" t="s">
        <v>1669</v>
      </c>
      <c r="C890" s="55" t="s">
        <v>1692</v>
      </c>
      <c r="D890" s="77" t="s">
        <v>1177</v>
      </c>
      <c r="E890" s="55" t="s">
        <v>669</v>
      </c>
      <c r="F890" s="55" t="s">
        <v>1177</v>
      </c>
      <c r="G890" s="77" t="s">
        <v>2101</v>
      </c>
      <c r="H890" s="77" t="s">
        <v>655</v>
      </c>
      <c r="I890" s="55"/>
      <c r="J890" s="56" t="s">
        <v>708</v>
      </c>
      <c r="K890" s="56" t="str">
        <f t="shared" si="26"/>
        <v>_</v>
      </c>
      <c r="L890" s="118">
        <f>ROUND(Tableau18[[#This Row],[LEN]]*7.27,0)</f>
        <v>233</v>
      </c>
      <c r="M890" s="118">
        <v>15</v>
      </c>
      <c r="N890" s="135" t="str">
        <f t="shared" si="27"/>
        <v>_self</v>
      </c>
      <c r="O890" s="118">
        <f>LEN(Tableau18[[#This Row],[LABEL]])</f>
        <v>32</v>
      </c>
      <c r="P890" s="118">
        <v>15</v>
      </c>
      <c r="Q890" s="118" t="e">
        <f>ROUND(Tableau18[[#This Row],[LEN]]*#REF!+#REF!,0)</f>
        <v>#REF!</v>
      </c>
    </row>
    <row r="891" spans="1:17" s="97" customFormat="1" x14ac:dyDescent="0.25">
      <c r="A891" s="438" t="s">
        <v>1693</v>
      </c>
      <c r="B891" s="437" t="s">
        <v>1686</v>
      </c>
      <c r="C891" s="412" t="s">
        <v>1697</v>
      </c>
      <c r="D891" s="413" t="s">
        <v>1177</v>
      </c>
      <c r="E891" s="412" t="s">
        <v>669</v>
      </c>
      <c r="F891" s="412" t="s">
        <v>1177</v>
      </c>
      <c r="G891" s="413" t="s">
        <v>2101</v>
      </c>
      <c r="H891" s="414" t="s">
        <v>654</v>
      </c>
      <c r="I891" s="412"/>
      <c r="J891" s="415" t="s">
        <v>708</v>
      </c>
      <c r="K891" s="415" t="str">
        <f t="shared" si="26"/>
        <v>_</v>
      </c>
      <c r="L891" s="416">
        <f>ROUND(Tableau18[[#This Row],[LEN]]*7.27,0)</f>
        <v>145</v>
      </c>
      <c r="M891" s="416">
        <v>15</v>
      </c>
      <c r="N891" s="417" t="str">
        <f t="shared" si="27"/>
        <v>_self</v>
      </c>
      <c r="O891" s="416">
        <f>LEN(Tableau18[[#This Row],[LABEL]])</f>
        <v>20</v>
      </c>
      <c r="P891" s="416">
        <v>15</v>
      </c>
      <c r="Q891" s="416" t="e">
        <f>ROUND(Tableau18[[#This Row],[LEN]]*#REF!+#REF!,0)</f>
        <v>#REF!</v>
      </c>
    </row>
    <row r="892" spans="1:17" s="97" customFormat="1" x14ac:dyDescent="0.25">
      <c r="A892" s="438" t="s">
        <v>1694</v>
      </c>
      <c r="B892" s="437" t="s">
        <v>1686</v>
      </c>
      <c r="C892" s="412" t="s">
        <v>1698</v>
      </c>
      <c r="D892" s="413" t="s">
        <v>1177</v>
      </c>
      <c r="E892" s="412" t="s">
        <v>669</v>
      </c>
      <c r="F892" s="412" t="s">
        <v>1177</v>
      </c>
      <c r="G892" s="413" t="s">
        <v>2101</v>
      </c>
      <c r="H892" s="414" t="s">
        <v>654</v>
      </c>
      <c r="I892" s="412"/>
      <c r="J892" s="415" t="s">
        <v>708</v>
      </c>
      <c r="K892" s="415" t="str">
        <f t="shared" si="26"/>
        <v>_</v>
      </c>
      <c r="L892" s="416">
        <f>ROUND(Tableau18[[#This Row],[LEN]]*7.27,0)</f>
        <v>174</v>
      </c>
      <c r="M892" s="416">
        <v>15</v>
      </c>
      <c r="N892" s="417" t="str">
        <f t="shared" si="27"/>
        <v>_self</v>
      </c>
      <c r="O892" s="416">
        <f>LEN(Tableau18[[#This Row],[LABEL]])</f>
        <v>24</v>
      </c>
      <c r="P892" s="416">
        <v>15</v>
      </c>
      <c r="Q892" s="416" t="e">
        <f>ROUND(Tableau18[[#This Row],[LEN]]*#REF!+#REF!,0)</f>
        <v>#REF!</v>
      </c>
    </row>
    <row r="893" spans="1:17" s="97" customFormat="1" x14ac:dyDescent="0.25">
      <c r="A893" s="438" t="s">
        <v>1695</v>
      </c>
      <c r="B893" s="437" t="s">
        <v>1686</v>
      </c>
      <c r="C893" s="412" t="s">
        <v>1699</v>
      </c>
      <c r="D893" s="413" t="s">
        <v>1177</v>
      </c>
      <c r="E893" s="412" t="s">
        <v>669</v>
      </c>
      <c r="F893" s="412" t="s">
        <v>1177</v>
      </c>
      <c r="G893" s="413" t="s">
        <v>2101</v>
      </c>
      <c r="H893" s="414" t="s">
        <v>654</v>
      </c>
      <c r="I893" s="412"/>
      <c r="J893" s="415" t="s">
        <v>708</v>
      </c>
      <c r="K893" s="415" t="str">
        <f t="shared" si="26"/>
        <v>_</v>
      </c>
      <c r="L893" s="416">
        <f>ROUND(Tableau18[[#This Row],[LEN]]*7.27,0)</f>
        <v>138</v>
      </c>
      <c r="M893" s="416">
        <v>15</v>
      </c>
      <c r="N893" s="417" t="str">
        <f t="shared" si="27"/>
        <v>_self</v>
      </c>
      <c r="O893" s="416">
        <f>LEN(Tableau18[[#This Row],[LABEL]])</f>
        <v>19</v>
      </c>
      <c r="P893" s="416">
        <v>15</v>
      </c>
      <c r="Q893" s="416" t="e">
        <f>ROUND(Tableau18[[#This Row],[LEN]]*#REF!+#REF!,0)</f>
        <v>#REF!</v>
      </c>
    </row>
    <row r="894" spans="1:17" s="97" customFormat="1" x14ac:dyDescent="0.25">
      <c r="A894" s="438" t="s">
        <v>1696</v>
      </c>
      <c r="B894" s="437" t="s">
        <v>1686</v>
      </c>
      <c r="C894" s="412" t="s">
        <v>1700</v>
      </c>
      <c r="D894" s="413" t="s">
        <v>1177</v>
      </c>
      <c r="E894" s="412" t="s">
        <v>669</v>
      </c>
      <c r="F894" s="412" t="s">
        <v>1177</v>
      </c>
      <c r="G894" s="413" t="s">
        <v>2101</v>
      </c>
      <c r="H894" s="414" t="s">
        <v>654</v>
      </c>
      <c r="I894" s="412"/>
      <c r="J894" s="415" t="s">
        <v>708</v>
      </c>
      <c r="K894" s="415" t="str">
        <f t="shared" si="26"/>
        <v>_</v>
      </c>
      <c r="L894" s="416">
        <f>ROUND(Tableau18[[#This Row],[LEN]]*7.27,0)</f>
        <v>131</v>
      </c>
      <c r="M894" s="416">
        <v>15</v>
      </c>
      <c r="N894" s="417" t="str">
        <f t="shared" si="27"/>
        <v>_self</v>
      </c>
      <c r="O894" s="416">
        <f>LEN(Tableau18[[#This Row],[LABEL]])</f>
        <v>18</v>
      </c>
      <c r="P894" s="416">
        <v>15</v>
      </c>
      <c r="Q894" s="416" t="e">
        <f>ROUND(Tableau18[[#This Row],[LEN]]*#REF!+#REF!,0)</f>
        <v>#REF!</v>
      </c>
    </row>
    <row r="895" spans="1:17" s="97" customFormat="1" x14ac:dyDescent="0.25">
      <c r="A895" s="49" t="s">
        <v>1670</v>
      </c>
      <c r="B895" s="50" t="s">
        <v>309</v>
      </c>
      <c r="C895" s="51" t="s">
        <v>1702</v>
      </c>
      <c r="D895" s="76" t="s">
        <v>1703</v>
      </c>
      <c r="E895" s="51" t="s">
        <v>669</v>
      </c>
      <c r="F895" s="51" t="s">
        <v>661</v>
      </c>
      <c r="G895" s="76" t="s">
        <v>2101</v>
      </c>
      <c r="H895" s="76" t="s">
        <v>654</v>
      </c>
      <c r="I895" s="51"/>
      <c r="J895" s="52" t="s">
        <v>708</v>
      </c>
      <c r="K895" s="52" t="str">
        <f t="shared" si="26"/>
        <v>_</v>
      </c>
      <c r="L895" s="117">
        <f>ROUND(Tableau18[[#This Row],[LEN]]*7.27,0)</f>
        <v>247</v>
      </c>
      <c r="M895" s="117">
        <v>15</v>
      </c>
      <c r="N895" s="134" t="str">
        <f t="shared" si="27"/>
        <v>_self</v>
      </c>
      <c r="O895" s="117">
        <f>LEN(Tableau18[[#This Row],[LABEL]])</f>
        <v>34</v>
      </c>
      <c r="P895" s="117">
        <v>15</v>
      </c>
      <c r="Q895" s="117" t="e">
        <f>ROUND(Tableau18[[#This Row],[LEN]]*#REF!+#REF!,0)</f>
        <v>#REF!</v>
      </c>
    </row>
    <row r="896" spans="1:17" s="97" customFormat="1" x14ac:dyDescent="0.25">
      <c r="A896" s="49" t="s">
        <v>1671</v>
      </c>
      <c r="B896" s="50" t="s">
        <v>309</v>
      </c>
      <c r="C896" s="51" t="s">
        <v>549</v>
      </c>
      <c r="D896" s="76" t="s">
        <v>1177</v>
      </c>
      <c r="E896" s="51" t="s">
        <v>673</v>
      </c>
      <c r="F896" s="51" t="s">
        <v>1704</v>
      </c>
      <c r="G896" s="76" t="s">
        <v>2101</v>
      </c>
      <c r="H896" s="76" t="s">
        <v>655</v>
      </c>
      <c r="I896" s="51"/>
      <c r="J896" s="52" t="s">
        <v>708</v>
      </c>
      <c r="K896" s="52" t="str">
        <f t="shared" si="26"/>
        <v>_</v>
      </c>
      <c r="L896" s="117">
        <f>ROUND(Tableau18[[#This Row],[LEN]]*7.27,0)</f>
        <v>145</v>
      </c>
      <c r="M896" s="117">
        <v>15</v>
      </c>
      <c r="N896" s="134" t="str">
        <f t="shared" si="27"/>
        <v>_self</v>
      </c>
      <c r="O896" s="117">
        <f>LEN(Tableau18[[#This Row],[LABEL]])</f>
        <v>20</v>
      </c>
      <c r="P896" s="117">
        <v>15</v>
      </c>
      <c r="Q896" s="117" t="e">
        <f>ROUND(Tableau18[[#This Row],[LEN]]*#REF!+#REF!,0)</f>
        <v>#REF!</v>
      </c>
    </row>
    <row r="897" spans="1:17" s="97" customFormat="1" x14ac:dyDescent="0.25">
      <c r="A897" s="53" t="s">
        <v>1705</v>
      </c>
      <c r="B897" s="54" t="s">
        <v>1671</v>
      </c>
      <c r="C897" s="55" t="s">
        <v>590</v>
      </c>
      <c r="D897" s="77" t="s">
        <v>1177</v>
      </c>
      <c r="E897" s="55" t="s">
        <v>673</v>
      </c>
      <c r="F897" s="55" t="s">
        <v>1704</v>
      </c>
      <c r="G897" s="77" t="s">
        <v>2101</v>
      </c>
      <c r="H897" s="77" t="s">
        <v>570</v>
      </c>
      <c r="I897" s="55"/>
      <c r="J897" s="56" t="s">
        <v>708</v>
      </c>
      <c r="K897" s="56" t="str">
        <f t="shared" si="26"/>
        <v>_</v>
      </c>
      <c r="L897" s="118">
        <f>ROUND(Tableau18[[#This Row],[LEN]]*7.27,0)</f>
        <v>102</v>
      </c>
      <c r="M897" s="118">
        <v>15</v>
      </c>
      <c r="N897" s="135" t="str">
        <f t="shared" si="27"/>
        <v>_self</v>
      </c>
      <c r="O897" s="118">
        <f>LEN(Tableau18[[#This Row],[LABEL]])</f>
        <v>14</v>
      </c>
      <c r="P897" s="118">
        <v>15</v>
      </c>
      <c r="Q897" s="118" t="e">
        <f>ROUND(Tableau18[[#This Row],[LEN]]*#REF!+#REF!,0)</f>
        <v>#REF!</v>
      </c>
    </row>
    <row r="898" spans="1:17" s="97" customFormat="1" x14ac:dyDescent="0.25">
      <c r="A898" s="53" t="s">
        <v>1706</v>
      </c>
      <c r="B898" s="54" t="s">
        <v>1671</v>
      </c>
      <c r="C898" s="55" t="s">
        <v>591</v>
      </c>
      <c r="D898" s="77" t="s">
        <v>1177</v>
      </c>
      <c r="E898" s="55" t="s">
        <v>673</v>
      </c>
      <c r="F898" s="55" t="s">
        <v>1704</v>
      </c>
      <c r="G898" s="77" t="s">
        <v>2101</v>
      </c>
      <c r="H898" s="77" t="s">
        <v>570</v>
      </c>
      <c r="I898" s="55"/>
      <c r="J898" s="56" t="s">
        <v>708</v>
      </c>
      <c r="K898" s="56" t="str">
        <f t="shared" ref="K898:K961" si="28">IF(J898="javascript:void(0)","_","Documentation")</f>
        <v>_</v>
      </c>
      <c r="L898" s="118">
        <f>ROUND(Tableau18[[#This Row],[LEN]]*7.27,0)</f>
        <v>262</v>
      </c>
      <c r="M898" s="118">
        <v>15</v>
      </c>
      <c r="N898" s="135" t="str">
        <f t="shared" si="27"/>
        <v>_self</v>
      </c>
      <c r="O898" s="118">
        <f>LEN(Tableau18[[#This Row],[LABEL]])</f>
        <v>36</v>
      </c>
      <c r="P898" s="118">
        <v>15</v>
      </c>
      <c r="Q898" s="118" t="e">
        <f>ROUND(Tableau18[[#This Row],[LEN]]*#REF!+#REF!,0)</f>
        <v>#REF!</v>
      </c>
    </row>
    <row r="899" spans="1:17" s="97" customFormat="1" x14ac:dyDescent="0.25">
      <c r="A899" s="53" t="s">
        <v>1707</v>
      </c>
      <c r="B899" s="54" t="s">
        <v>1671</v>
      </c>
      <c r="C899" s="55" t="s">
        <v>592</v>
      </c>
      <c r="D899" s="77" t="s">
        <v>1177</v>
      </c>
      <c r="E899" s="55" t="s">
        <v>673</v>
      </c>
      <c r="F899" s="55" t="s">
        <v>1704</v>
      </c>
      <c r="G899" s="77" t="s">
        <v>2101</v>
      </c>
      <c r="H899" s="77" t="s">
        <v>570</v>
      </c>
      <c r="I899" s="55"/>
      <c r="J899" s="56" t="s">
        <v>708</v>
      </c>
      <c r="K899" s="56" t="str">
        <f t="shared" si="28"/>
        <v>_</v>
      </c>
      <c r="L899" s="118">
        <f>ROUND(Tableau18[[#This Row],[LEN]]*7.27,0)</f>
        <v>189</v>
      </c>
      <c r="M899" s="118">
        <v>15</v>
      </c>
      <c r="N899" s="135" t="str">
        <f t="shared" ref="N899:N962" si="29">IF(J899="javascript:void(0)","_self","_blank")</f>
        <v>_self</v>
      </c>
      <c r="O899" s="118">
        <f>LEN(Tableau18[[#This Row],[LABEL]])</f>
        <v>26</v>
      </c>
      <c r="P899" s="118">
        <v>15</v>
      </c>
      <c r="Q899" s="118" t="e">
        <f>ROUND(Tableau18[[#This Row],[LEN]]*#REF!+#REF!,0)</f>
        <v>#REF!</v>
      </c>
    </row>
    <row r="900" spans="1:17" s="97" customFormat="1" x14ac:dyDescent="0.25">
      <c r="A900" s="53" t="s">
        <v>1708</v>
      </c>
      <c r="B900" s="54" t="s">
        <v>1671</v>
      </c>
      <c r="C900" s="55" t="s">
        <v>597</v>
      </c>
      <c r="D900" s="77" t="s">
        <v>1177</v>
      </c>
      <c r="E900" s="55" t="s">
        <v>673</v>
      </c>
      <c r="F900" s="55" t="s">
        <v>1704</v>
      </c>
      <c r="G900" s="77" t="s">
        <v>2101</v>
      </c>
      <c r="H900" s="77" t="s">
        <v>570</v>
      </c>
      <c r="I900" s="55"/>
      <c r="J900" s="56" t="s">
        <v>708</v>
      </c>
      <c r="K900" s="56" t="str">
        <f t="shared" si="28"/>
        <v>_</v>
      </c>
      <c r="L900" s="118">
        <f>ROUND(Tableau18[[#This Row],[LEN]]*7.27,0)</f>
        <v>465</v>
      </c>
      <c r="M900" s="118">
        <v>15</v>
      </c>
      <c r="N900" s="135" t="str">
        <f t="shared" si="29"/>
        <v>_self</v>
      </c>
      <c r="O900" s="118">
        <f>LEN(Tableau18[[#This Row],[LABEL]])</f>
        <v>64</v>
      </c>
      <c r="P900" s="118">
        <v>15</v>
      </c>
      <c r="Q900" s="118" t="e">
        <f>ROUND(Tableau18[[#This Row],[LEN]]*#REF!+#REF!,0)</f>
        <v>#REF!</v>
      </c>
    </row>
    <row r="901" spans="1:17" s="97" customFormat="1" x14ac:dyDescent="0.25">
      <c r="A901" s="49" t="s">
        <v>1672</v>
      </c>
      <c r="B901" s="50" t="s">
        <v>309</v>
      </c>
      <c r="C901" s="51" t="s">
        <v>1709</v>
      </c>
      <c r="D901" s="76" t="s">
        <v>1177</v>
      </c>
      <c r="E901" s="51" t="s">
        <v>669</v>
      </c>
      <c r="F901" s="51" t="s">
        <v>1177</v>
      </c>
      <c r="G901" s="76" t="s">
        <v>2101</v>
      </c>
      <c r="H901" s="76" t="s">
        <v>655</v>
      </c>
      <c r="I901" s="51"/>
      <c r="J901" s="52" t="s">
        <v>708</v>
      </c>
      <c r="K901" s="52" t="str">
        <f t="shared" si="28"/>
        <v>_</v>
      </c>
      <c r="L901" s="117">
        <f>ROUND(Tableau18[[#This Row],[LEN]]*7.27,0)</f>
        <v>138</v>
      </c>
      <c r="M901" s="117">
        <v>15</v>
      </c>
      <c r="N901" s="134" t="str">
        <f t="shared" si="29"/>
        <v>_self</v>
      </c>
      <c r="O901" s="117">
        <f>LEN(Tableau18[[#This Row],[LABEL]])</f>
        <v>19</v>
      </c>
      <c r="P901" s="117">
        <v>15</v>
      </c>
      <c r="Q901" s="117" t="e">
        <f>ROUND(Tableau18[[#This Row],[LEN]]*#REF!+#REF!,0)</f>
        <v>#REF!</v>
      </c>
    </row>
    <row r="902" spans="1:17" s="97" customFormat="1" x14ac:dyDescent="0.25">
      <c r="A902" s="53" t="s">
        <v>1710</v>
      </c>
      <c r="B902" s="54" t="s">
        <v>1672</v>
      </c>
      <c r="C902" s="55" t="s">
        <v>1713</v>
      </c>
      <c r="D902" s="77" t="s">
        <v>1177</v>
      </c>
      <c r="E902" s="55" t="s">
        <v>669</v>
      </c>
      <c r="F902" s="55" t="s">
        <v>1177</v>
      </c>
      <c r="G902" s="77" t="s">
        <v>2101</v>
      </c>
      <c r="H902" s="77" t="s">
        <v>654</v>
      </c>
      <c r="I902" s="55"/>
      <c r="J902" s="56" t="s">
        <v>708</v>
      </c>
      <c r="K902" s="56" t="str">
        <f t="shared" si="28"/>
        <v>_</v>
      </c>
      <c r="L902" s="118">
        <f>ROUND(Tableau18[[#This Row],[LEN]]*7.27,0)</f>
        <v>422</v>
      </c>
      <c r="M902" s="118">
        <v>15</v>
      </c>
      <c r="N902" s="135" t="str">
        <f t="shared" si="29"/>
        <v>_self</v>
      </c>
      <c r="O902" s="118">
        <f>LEN(Tableau18[[#This Row],[LABEL]])</f>
        <v>58</v>
      </c>
      <c r="P902" s="118">
        <v>15</v>
      </c>
      <c r="Q902" s="118" t="e">
        <f>ROUND(Tableau18[[#This Row],[LEN]]*#REF!+#REF!,0)</f>
        <v>#REF!</v>
      </c>
    </row>
    <row r="903" spans="1:17" s="97" customFormat="1" x14ac:dyDescent="0.25">
      <c r="A903" s="53" t="s">
        <v>1711</v>
      </c>
      <c r="B903" s="54" t="s">
        <v>1672</v>
      </c>
      <c r="C903" s="55" t="s">
        <v>1714</v>
      </c>
      <c r="D903" s="77" t="s">
        <v>1177</v>
      </c>
      <c r="E903" s="55" t="s">
        <v>669</v>
      </c>
      <c r="F903" s="55" t="s">
        <v>1177</v>
      </c>
      <c r="G903" s="77" t="s">
        <v>2101</v>
      </c>
      <c r="H903" s="77" t="s">
        <v>654</v>
      </c>
      <c r="I903" s="55"/>
      <c r="J903" s="56" t="s">
        <v>708</v>
      </c>
      <c r="K903" s="56" t="str">
        <f t="shared" si="28"/>
        <v>_</v>
      </c>
      <c r="L903" s="118">
        <f>ROUND(Tableau18[[#This Row],[LEN]]*7.27,0)</f>
        <v>174</v>
      </c>
      <c r="M903" s="118">
        <v>15</v>
      </c>
      <c r="N903" s="135" t="str">
        <f t="shared" si="29"/>
        <v>_self</v>
      </c>
      <c r="O903" s="118">
        <f>LEN(Tableau18[[#This Row],[LABEL]])</f>
        <v>24</v>
      </c>
      <c r="P903" s="118">
        <v>15</v>
      </c>
      <c r="Q903" s="118" t="e">
        <f>ROUND(Tableau18[[#This Row],[LEN]]*#REF!+#REF!,0)</f>
        <v>#REF!</v>
      </c>
    </row>
    <row r="904" spans="1:17" s="97" customFormat="1" x14ac:dyDescent="0.25">
      <c r="A904" s="53" t="s">
        <v>1712</v>
      </c>
      <c r="B904" s="54" t="s">
        <v>1672</v>
      </c>
      <c r="C904" s="55" t="s">
        <v>1715</v>
      </c>
      <c r="D904" s="77" t="s">
        <v>1177</v>
      </c>
      <c r="E904" s="55" t="s">
        <v>669</v>
      </c>
      <c r="F904" s="55" t="s">
        <v>1177</v>
      </c>
      <c r="G904" s="77" t="s">
        <v>2101</v>
      </c>
      <c r="H904" s="77" t="s">
        <v>654</v>
      </c>
      <c r="I904" s="55"/>
      <c r="J904" s="56" t="s">
        <v>708</v>
      </c>
      <c r="K904" s="56" t="str">
        <f t="shared" si="28"/>
        <v>_</v>
      </c>
      <c r="L904" s="118">
        <f>ROUND(Tableau18[[#This Row],[LEN]]*7.27,0)</f>
        <v>145</v>
      </c>
      <c r="M904" s="118">
        <v>15</v>
      </c>
      <c r="N904" s="135" t="str">
        <f t="shared" si="29"/>
        <v>_self</v>
      </c>
      <c r="O904" s="118">
        <f>LEN(Tableau18[[#This Row],[LABEL]])</f>
        <v>20</v>
      </c>
      <c r="P904" s="118">
        <v>15</v>
      </c>
      <c r="Q904" s="118" t="e">
        <f>ROUND(Tableau18[[#This Row],[LEN]]*#REF!+#REF!,0)</f>
        <v>#REF!</v>
      </c>
    </row>
    <row r="905" spans="1:17" s="97" customFormat="1" x14ac:dyDescent="0.25">
      <c r="A905" s="49" t="s">
        <v>1673</v>
      </c>
      <c r="B905" s="50" t="s">
        <v>309</v>
      </c>
      <c r="C905" s="51" t="s">
        <v>598</v>
      </c>
      <c r="D905" s="76" t="s">
        <v>1177</v>
      </c>
      <c r="E905" s="51" t="s">
        <v>673</v>
      </c>
      <c r="F905" s="51" t="s">
        <v>2035</v>
      </c>
      <c r="G905" s="76" t="s">
        <v>2101</v>
      </c>
      <c r="H905" s="76" t="s">
        <v>654</v>
      </c>
      <c r="I905" s="51"/>
      <c r="J905" s="52" t="s">
        <v>708</v>
      </c>
      <c r="K905" s="52" t="str">
        <f t="shared" si="28"/>
        <v>_</v>
      </c>
      <c r="L905" s="117">
        <f>ROUND(Tableau18[[#This Row],[LEN]]*7.27,0)</f>
        <v>553</v>
      </c>
      <c r="M905" s="117">
        <v>15</v>
      </c>
      <c r="N905" s="134" t="str">
        <f t="shared" si="29"/>
        <v>_self</v>
      </c>
      <c r="O905" s="117">
        <f>LEN(Tableau18[[#This Row],[LABEL]])</f>
        <v>76</v>
      </c>
      <c r="P905" s="117">
        <v>15</v>
      </c>
      <c r="Q905" s="117" t="e">
        <f>ROUND(Tableau18[[#This Row],[LEN]]*#REF!+#REF!,0)</f>
        <v>#REF!</v>
      </c>
    </row>
    <row r="906" spans="1:17" s="273" customFormat="1" x14ac:dyDescent="0.25">
      <c r="A906" s="351" t="s">
        <v>310</v>
      </c>
      <c r="B906" s="352" t="s">
        <v>209</v>
      </c>
      <c r="C906" s="353" t="s">
        <v>7</v>
      </c>
      <c r="D906" s="354" t="s">
        <v>1177</v>
      </c>
      <c r="E906" s="353" t="s">
        <v>670</v>
      </c>
      <c r="F906" s="353" t="s">
        <v>1177</v>
      </c>
      <c r="G906" s="354" t="s">
        <v>2101</v>
      </c>
      <c r="H906" s="354" t="str">
        <f>IFERROR(IF(SEARCH(".00.00.00.00.00",Tableau18[[#This Row],[name]],1)=7,"Division",""),"")</f>
        <v>Division</v>
      </c>
      <c r="I906" s="353"/>
      <c r="J906" s="355" t="s">
        <v>708</v>
      </c>
      <c r="K906" s="355" t="str">
        <f t="shared" si="28"/>
        <v>_</v>
      </c>
      <c r="L906" s="356">
        <f>ROUND(Tableau18[[#This Row],[LEN]]*7.27,0)</f>
        <v>189</v>
      </c>
      <c r="M906" s="356">
        <v>15</v>
      </c>
      <c r="N906" s="357" t="str">
        <f t="shared" si="29"/>
        <v>_self</v>
      </c>
      <c r="O906" s="356">
        <f>LEN(Tableau18[[#This Row],[LABEL]])</f>
        <v>26</v>
      </c>
      <c r="P906" s="356">
        <v>15</v>
      </c>
      <c r="Q906" s="356" t="e">
        <f>ROUND(Tableau18[[#This Row],[LEN]]*#REF!+#REF!,0)</f>
        <v>#REF!</v>
      </c>
    </row>
    <row r="907" spans="1:17" s="97" customFormat="1" x14ac:dyDescent="0.25">
      <c r="A907" s="49" t="s">
        <v>1716</v>
      </c>
      <c r="B907" s="50" t="s">
        <v>310</v>
      </c>
      <c r="C907" s="51" t="s">
        <v>1717</v>
      </c>
      <c r="D907" s="76" t="s">
        <v>1177</v>
      </c>
      <c r="E907" s="51" t="s">
        <v>670</v>
      </c>
      <c r="F907" s="51" t="s">
        <v>1177</v>
      </c>
      <c r="G907" s="76" t="s">
        <v>2101</v>
      </c>
      <c r="H907" s="76" t="s">
        <v>656</v>
      </c>
      <c r="I907" s="51"/>
      <c r="J907" s="52" t="s">
        <v>708</v>
      </c>
      <c r="K907" s="52" t="str">
        <f t="shared" si="28"/>
        <v>_</v>
      </c>
      <c r="L907" s="117">
        <f>ROUND(Tableau18[[#This Row],[LEN]]*7.27,0)</f>
        <v>422</v>
      </c>
      <c r="M907" s="117">
        <v>15</v>
      </c>
      <c r="N907" s="134" t="str">
        <f t="shared" si="29"/>
        <v>_self</v>
      </c>
      <c r="O907" s="117">
        <f>LEN(Tableau18[[#This Row],[LABEL]])</f>
        <v>58</v>
      </c>
      <c r="P907" s="117">
        <v>15</v>
      </c>
      <c r="Q907" s="117" t="e">
        <f>ROUND(Tableau18[[#This Row],[LEN]]*#REF!+#REF!,0)</f>
        <v>#REF!</v>
      </c>
    </row>
    <row r="908" spans="1:17" s="273" customFormat="1" x14ac:dyDescent="0.25">
      <c r="A908" s="351" t="s">
        <v>311</v>
      </c>
      <c r="B908" s="352" t="s">
        <v>209</v>
      </c>
      <c r="C908" s="353" t="s">
        <v>8</v>
      </c>
      <c r="D908" s="354" t="s">
        <v>1177</v>
      </c>
      <c r="E908" s="353" t="s">
        <v>671</v>
      </c>
      <c r="F908" s="353" t="s">
        <v>1177</v>
      </c>
      <c r="G908" s="354" t="s">
        <v>2101</v>
      </c>
      <c r="H908" s="354" t="str">
        <f>IFERROR(IF(SEARCH(".00.00.00.00.00",Tableau18[[#This Row],[name]],1)=7,"Division",""),"")</f>
        <v>Division</v>
      </c>
      <c r="I908" s="353"/>
      <c r="J908" s="355" t="s">
        <v>708</v>
      </c>
      <c r="K908" s="355" t="str">
        <f t="shared" si="28"/>
        <v>_</v>
      </c>
      <c r="L908" s="356">
        <f>ROUND(Tableau18[[#This Row],[LEN]]*7.27,0)</f>
        <v>116</v>
      </c>
      <c r="M908" s="356">
        <v>15</v>
      </c>
      <c r="N908" s="357" t="str">
        <f t="shared" si="29"/>
        <v>_self</v>
      </c>
      <c r="O908" s="356">
        <f>LEN(Tableau18[[#This Row],[LABEL]])</f>
        <v>16</v>
      </c>
      <c r="P908" s="356">
        <v>15</v>
      </c>
      <c r="Q908" s="356" t="e">
        <f>ROUND(Tableau18[[#This Row],[LEN]]*#REF!+#REF!,0)</f>
        <v>#REF!</v>
      </c>
    </row>
    <row r="909" spans="1:17" s="97" customFormat="1" x14ac:dyDescent="0.25">
      <c r="A909" s="49" t="s">
        <v>1718</v>
      </c>
      <c r="B909" s="50" t="s">
        <v>311</v>
      </c>
      <c r="C909" s="51" t="s">
        <v>1720</v>
      </c>
      <c r="D909" s="76" t="s">
        <v>1177</v>
      </c>
      <c r="E909" s="51" t="s">
        <v>671</v>
      </c>
      <c r="F909" s="51" t="s">
        <v>1177</v>
      </c>
      <c r="G909" s="76" t="s">
        <v>2101</v>
      </c>
      <c r="H909" s="76" t="s">
        <v>656</v>
      </c>
      <c r="I909" s="51"/>
      <c r="J909" s="52" t="s">
        <v>708</v>
      </c>
      <c r="K909" s="52" t="str">
        <f t="shared" si="28"/>
        <v>_</v>
      </c>
      <c r="L909" s="117">
        <f>ROUND(Tableau18[[#This Row],[LEN]]*7.27,0)</f>
        <v>487</v>
      </c>
      <c r="M909" s="117">
        <v>15</v>
      </c>
      <c r="N909" s="134" t="str">
        <f t="shared" si="29"/>
        <v>_self</v>
      </c>
      <c r="O909" s="117">
        <f>LEN(Tableau18[[#This Row],[LABEL]])</f>
        <v>67</v>
      </c>
      <c r="P909" s="117">
        <v>15</v>
      </c>
      <c r="Q909" s="117" t="e">
        <f>ROUND(Tableau18[[#This Row],[LEN]]*#REF!+#REF!,0)</f>
        <v>#REF!</v>
      </c>
    </row>
    <row r="910" spans="1:17" s="97" customFormat="1" x14ac:dyDescent="0.25">
      <c r="A910" s="49" t="s">
        <v>1719</v>
      </c>
      <c r="B910" s="50" t="s">
        <v>311</v>
      </c>
      <c r="C910" s="51" t="s">
        <v>1721</v>
      </c>
      <c r="D910" s="76" t="s">
        <v>1177</v>
      </c>
      <c r="E910" s="51" t="s">
        <v>671</v>
      </c>
      <c r="F910" s="51" t="s">
        <v>1177</v>
      </c>
      <c r="G910" s="76" t="s">
        <v>2101</v>
      </c>
      <c r="H910" s="76" t="s">
        <v>654</v>
      </c>
      <c r="I910" s="51"/>
      <c r="J910" s="52" t="s">
        <v>708</v>
      </c>
      <c r="K910" s="52" t="str">
        <f t="shared" si="28"/>
        <v>_</v>
      </c>
      <c r="L910" s="117">
        <f>ROUND(Tableau18[[#This Row],[LEN]]*7.27,0)</f>
        <v>320</v>
      </c>
      <c r="M910" s="117">
        <v>15</v>
      </c>
      <c r="N910" s="134" t="str">
        <f t="shared" si="29"/>
        <v>_self</v>
      </c>
      <c r="O910" s="117">
        <f>LEN(Tableau18[[#This Row],[LABEL]])</f>
        <v>44</v>
      </c>
      <c r="P910" s="117">
        <v>15</v>
      </c>
      <c r="Q910" s="117" t="e">
        <f>ROUND(Tableau18[[#This Row],[LEN]]*#REF!+#REF!,0)</f>
        <v>#REF!</v>
      </c>
    </row>
    <row r="911" spans="1:17" s="273" customFormat="1" x14ac:dyDescent="0.25">
      <c r="A911" s="351" t="s">
        <v>312</v>
      </c>
      <c r="B911" s="352" t="s">
        <v>209</v>
      </c>
      <c r="C911" s="353" t="s">
        <v>9</v>
      </c>
      <c r="D911" s="354" t="s">
        <v>1177</v>
      </c>
      <c r="E911" s="353" t="s">
        <v>672</v>
      </c>
      <c r="F911" s="353" t="s">
        <v>1177</v>
      </c>
      <c r="G911" s="354" t="s">
        <v>2101</v>
      </c>
      <c r="H911" s="354" t="str">
        <f>IFERROR(IF(SEARCH(".00.00.00.00.00",Tableau18[[#This Row],[name]],1)=7,"Division",""),"")</f>
        <v>Division</v>
      </c>
      <c r="I911" s="353"/>
      <c r="J911" s="355" t="s">
        <v>718</v>
      </c>
      <c r="K911" s="355" t="str">
        <f t="shared" si="28"/>
        <v>Documentation</v>
      </c>
      <c r="L911" s="356">
        <f>ROUND(Tableau18[[#This Row],[LEN]]*7.27,0)</f>
        <v>80</v>
      </c>
      <c r="M911" s="356">
        <v>15</v>
      </c>
      <c r="N911" s="357" t="str">
        <f t="shared" si="29"/>
        <v>_blank</v>
      </c>
      <c r="O911" s="356">
        <f>LEN(Tableau18[[#This Row],[LABEL]])</f>
        <v>11</v>
      </c>
      <c r="P911" s="356">
        <v>15</v>
      </c>
      <c r="Q911" s="356" t="e">
        <f>ROUND(Tableau18[[#This Row],[LEN]]*#REF!+#REF!,0)</f>
        <v>#REF!</v>
      </c>
    </row>
    <row r="912" spans="1:17" s="97" customFormat="1" x14ac:dyDescent="0.25">
      <c r="A912" s="49" t="s">
        <v>539</v>
      </c>
      <c r="B912" s="50" t="s">
        <v>312</v>
      </c>
      <c r="C912" s="51" t="s">
        <v>128</v>
      </c>
      <c r="D912" s="76" t="s">
        <v>1177</v>
      </c>
      <c r="E912" s="51" t="s">
        <v>669</v>
      </c>
      <c r="F912" s="51" t="s">
        <v>2029</v>
      </c>
      <c r="G912" s="76" t="s">
        <v>2101</v>
      </c>
      <c r="H912" s="76" t="s">
        <v>570</v>
      </c>
      <c r="I912" s="51"/>
      <c r="J912" s="52" t="s">
        <v>708</v>
      </c>
      <c r="K912" s="52" t="str">
        <f t="shared" si="28"/>
        <v>_</v>
      </c>
      <c r="L912" s="117">
        <f>ROUND(Tableau18[[#This Row],[LEN]]*7.27,0)</f>
        <v>182</v>
      </c>
      <c r="M912" s="117">
        <v>15</v>
      </c>
      <c r="N912" s="134" t="str">
        <f t="shared" si="29"/>
        <v>_self</v>
      </c>
      <c r="O912" s="117">
        <f>LEN(Tableau18[[#This Row],[LABEL]])</f>
        <v>25</v>
      </c>
      <c r="P912" s="117">
        <v>15</v>
      </c>
      <c r="Q912" s="117" t="e">
        <f>ROUND(Tableau18[[#This Row],[LEN]]*#REF!+#REF!,0)</f>
        <v>#REF!</v>
      </c>
    </row>
    <row r="913" spans="1:17" s="97" customFormat="1" x14ac:dyDescent="0.25">
      <c r="A913" s="49" t="s">
        <v>540</v>
      </c>
      <c r="B913" s="50" t="s">
        <v>312</v>
      </c>
      <c r="C913" s="51" t="s">
        <v>129</v>
      </c>
      <c r="D913" s="76" t="s">
        <v>1177</v>
      </c>
      <c r="E913" s="51" t="s">
        <v>673</v>
      </c>
      <c r="F913" s="51" t="s">
        <v>2035</v>
      </c>
      <c r="G913" s="76" t="s">
        <v>2101</v>
      </c>
      <c r="H913" s="76" t="s">
        <v>655</v>
      </c>
      <c r="I913" s="51"/>
      <c r="J913" s="52" t="s">
        <v>708</v>
      </c>
      <c r="K913" s="52" t="str">
        <f t="shared" si="28"/>
        <v>_</v>
      </c>
      <c r="L913" s="117">
        <f>ROUND(Tableau18[[#This Row],[LEN]]*7.27,0)</f>
        <v>87</v>
      </c>
      <c r="M913" s="117">
        <v>15</v>
      </c>
      <c r="N913" s="134" t="str">
        <f t="shared" si="29"/>
        <v>_self</v>
      </c>
      <c r="O913" s="117">
        <f>LEN(Tableau18[[#This Row],[LABEL]])</f>
        <v>12</v>
      </c>
      <c r="P913" s="117">
        <v>15</v>
      </c>
      <c r="Q913" s="117" t="e">
        <f>ROUND(Tableau18[[#This Row],[LEN]]*#REF!+#REF!,0)</f>
        <v>#REF!</v>
      </c>
    </row>
    <row r="914" spans="1:17" s="97" customFormat="1" x14ac:dyDescent="0.25">
      <c r="A914" s="53" t="s">
        <v>550</v>
      </c>
      <c r="B914" s="54" t="s">
        <v>540</v>
      </c>
      <c r="C914" s="55" t="s">
        <v>131</v>
      </c>
      <c r="D914" s="77" t="s">
        <v>1177</v>
      </c>
      <c r="E914" s="55" t="s">
        <v>673</v>
      </c>
      <c r="F914" s="55" t="s">
        <v>2035</v>
      </c>
      <c r="G914" s="77" t="s">
        <v>2101</v>
      </c>
      <c r="H914" s="77" t="s">
        <v>570</v>
      </c>
      <c r="I914" s="55"/>
      <c r="J914" s="56" t="s">
        <v>708</v>
      </c>
      <c r="K914" s="56" t="str">
        <f t="shared" si="28"/>
        <v>_</v>
      </c>
      <c r="L914" s="118">
        <f>ROUND(Tableau18[[#This Row],[LEN]]*7.27,0)</f>
        <v>262</v>
      </c>
      <c r="M914" s="118">
        <v>15</v>
      </c>
      <c r="N914" s="135" t="str">
        <f t="shared" si="29"/>
        <v>_self</v>
      </c>
      <c r="O914" s="118">
        <f>LEN(Tableau18[[#This Row],[LABEL]])</f>
        <v>36</v>
      </c>
      <c r="P914" s="118">
        <v>15</v>
      </c>
      <c r="Q914" s="118" t="e">
        <f>ROUND(Tableau18[[#This Row],[LEN]]*#REF!+#REF!,0)</f>
        <v>#REF!</v>
      </c>
    </row>
    <row r="915" spans="1:17" s="97" customFormat="1" x14ac:dyDescent="0.25">
      <c r="A915" s="53" t="s">
        <v>551</v>
      </c>
      <c r="B915" s="54" t="s">
        <v>540</v>
      </c>
      <c r="C915" s="55" t="s">
        <v>132</v>
      </c>
      <c r="D915" s="77" t="s">
        <v>1177</v>
      </c>
      <c r="E915" s="55" t="s">
        <v>673</v>
      </c>
      <c r="F915" s="55" t="s">
        <v>2035</v>
      </c>
      <c r="G915" s="77" t="s">
        <v>2101</v>
      </c>
      <c r="H915" s="77" t="s">
        <v>570</v>
      </c>
      <c r="I915" s="55"/>
      <c r="J915" s="56" t="s">
        <v>708</v>
      </c>
      <c r="K915" s="56" t="str">
        <f t="shared" si="28"/>
        <v>_</v>
      </c>
      <c r="L915" s="118">
        <f>ROUND(Tableau18[[#This Row],[LEN]]*7.27,0)</f>
        <v>298</v>
      </c>
      <c r="M915" s="118">
        <v>15</v>
      </c>
      <c r="N915" s="135" t="str">
        <f t="shared" si="29"/>
        <v>_self</v>
      </c>
      <c r="O915" s="118">
        <f>LEN(Tableau18[[#This Row],[LABEL]])</f>
        <v>41</v>
      </c>
      <c r="P915" s="118">
        <v>15</v>
      </c>
      <c r="Q915" s="118" t="e">
        <f>ROUND(Tableau18[[#This Row],[LEN]]*#REF!+#REF!,0)</f>
        <v>#REF!</v>
      </c>
    </row>
    <row r="916" spans="1:17" s="97" customFormat="1" x14ac:dyDescent="0.25">
      <c r="A916" s="49" t="s">
        <v>541</v>
      </c>
      <c r="B916" s="50" t="s">
        <v>312</v>
      </c>
      <c r="C916" s="51" t="s">
        <v>546</v>
      </c>
      <c r="D916" s="76" t="s">
        <v>1177</v>
      </c>
      <c r="E916" s="51" t="s">
        <v>672</v>
      </c>
      <c r="F916" s="51" t="s">
        <v>1177</v>
      </c>
      <c r="G916" s="76" t="s">
        <v>2101</v>
      </c>
      <c r="H916" s="76" t="s">
        <v>655</v>
      </c>
      <c r="I916" s="51"/>
      <c r="J916" s="52" t="s">
        <v>708</v>
      </c>
      <c r="K916" s="52" t="str">
        <f t="shared" si="28"/>
        <v>_</v>
      </c>
      <c r="L916" s="117">
        <f>ROUND(Tableau18[[#This Row],[LEN]]*7.27,0)</f>
        <v>167</v>
      </c>
      <c r="M916" s="117">
        <v>15</v>
      </c>
      <c r="N916" s="134" t="str">
        <f t="shared" si="29"/>
        <v>_self</v>
      </c>
      <c r="O916" s="117">
        <f>LEN(Tableau18[[#This Row],[LABEL]])</f>
        <v>23</v>
      </c>
      <c r="P916" s="117">
        <v>15</v>
      </c>
      <c r="Q916" s="117" t="e">
        <f>ROUND(Tableau18[[#This Row],[LEN]]*#REF!+#REF!,0)</f>
        <v>#REF!</v>
      </c>
    </row>
    <row r="917" spans="1:17" s="97" customFormat="1" x14ac:dyDescent="0.25">
      <c r="A917" s="53" t="s">
        <v>552</v>
      </c>
      <c r="B917" s="54" t="s">
        <v>541</v>
      </c>
      <c r="C917" s="55" t="s">
        <v>555</v>
      </c>
      <c r="D917" s="77" t="s">
        <v>1177</v>
      </c>
      <c r="E917" s="55" t="s">
        <v>672</v>
      </c>
      <c r="F917" s="55" t="s">
        <v>1177</v>
      </c>
      <c r="G917" s="77" t="s">
        <v>2101</v>
      </c>
      <c r="H917" s="77" t="s">
        <v>656</v>
      </c>
      <c r="I917" s="55"/>
      <c r="J917" s="56" t="s">
        <v>708</v>
      </c>
      <c r="K917" s="56" t="str">
        <f t="shared" si="28"/>
        <v>_</v>
      </c>
      <c r="L917" s="118">
        <f>ROUND(Tableau18[[#This Row],[LEN]]*7.27,0)</f>
        <v>356</v>
      </c>
      <c r="M917" s="118">
        <v>15</v>
      </c>
      <c r="N917" s="135" t="str">
        <f t="shared" si="29"/>
        <v>_self</v>
      </c>
      <c r="O917" s="118">
        <f>LEN(Tableau18[[#This Row],[LABEL]])</f>
        <v>49</v>
      </c>
      <c r="P917" s="118">
        <v>15</v>
      </c>
      <c r="Q917" s="118" t="e">
        <f>ROUND(Tableau18[[#This Row],[LEN]]*#REF!+#REF!,0)</f>
        <v>#REF!</v>
      </c>
    </row>
    <row r="918" spans="1:17" s="97" customFormat="1" x14ac:dyDescent="0.25">
      <c r="A918" s="53" t="s">
        <v>553</v>
      </c>
      <c r="B918" s="54" t="s">
        <v>541</v>
      </c>
      <c r="C918" s="55" t="s">
        <v>556</v>
      </c>
      <c r="D918" s="77" t="s">
        <v>1177</v>
      </c>
      <c r="E918" s="55" t="s">
        <v>672</v>
      </c>
      <c r="F918" s="55" t="s">
        <v>1177</v>
      </c>
      <c r="G918" s="77" t="s">
        <v>2101</v>
      </c>
      <c r="H918" s="77" t="s">
        <v>654</v>
      </c>
      <c r="I918" s="55"/>
      <c r="J918" s="56" t="s">
        <v>708</v>
      </c>
      <c r="K918" s="56" t="str">
        <f t="shared" si="28"/>
        <v>_</v>
      </c>
      <c r="L918" s="118">
        <f>ROUND(Tableau18[[#This Row],[LEN]]*7.27,0)</f>
        <v>451</v>
      </c>
      <c r="M918" s="118">
        <v>15</v>
      </c>
      <c r="N918" s="135" t="str">
        <f t="shared" si="29"/>
        <v>_self</v>
      </c>
      <c r="O918" s="118">
        <f>LEN(Tableau18[[#This Row],[LABEL]])</f>
        <v>62</v>
      </c>
      <c r="P918" s="118">
        <v>15</v>
      </c>
      <c r="Q918" s="118" t="e">
        <f>ROUND(Tableau18[[#This Row],[LEN]]*#REF!+#REF!,0)</f>
        <v>#REF!</v>
      </c>
    </row>
    <row r="919" spans="1:17" s="97" customFormat="1" x14ac:dyDescent="0.25">
      <c r="A919" s="53" t="s">
        <v>554</v>
      </c>
      <c r="B919" s="54" t="s">
        <v>541</v>
      </c>
      <c r="C919" s="55" t="s">
        <v>557</v>
      </c>
      <c r="D919" s="77" t="s">
        <v>1177</v>
      </c>
      <c r="E919" s="55" t="s">
        <v>672</v>
      </c>
      <c r="F919" s="55" t="s">
        <v>1177</v>
      </c>
      <c r="G919" s="77" t="s">
        <v>2101</v>
      </c>
      <c r="H919" s="77" t="s">
        <v>656</v>
      </c>
      <c r="I919" s="55"/>
      <c r="J919" s="56" t="s">
        <v>708</v>
      </c>
      <c r="K919" s="56" t="str">
        <f t="shared" si="28"/>
        <v>_</v>
      </c>
      <c r="L919" s="118">
        <f>ROUND(Tableau18[[#This Row],[LEN]]*7.27,0)</f>
        <v>240</v>
      </c>
      <c r="M919" s="118">
        <v>15</v>
      </c>
      <c r="N919" s="135" t="str">
        <f t="shared" si="29"/>
        <v>_self</v>
      </c>
      <c r="O919" s="118">
        <f>LEN(Tableau18[[#This Row],[LABEL]])</f>
        <v>33</v>
      </c>
      <c r="P919" s="118">
        <v>15</v>
      </c>
      <c r="Q919" s="118" t="e">
        <f>ROUND(Tableau18[[#This Row],[LEN]]*#REF!+#REF!,0)</f>
        <v>#REF!</v>
      </c>
    </row>
    <row r="920" spans="1:17" s="97" customFormat="1" x14ac:dyDescent="0.25">
      <c r="A920" s="49" t="s">
        <v>542</v>
      </c>
      <c r="B920" s="50" t="s">
        <v>312</v>
      </c>
      <c r="C920" s="51" t="s">
        <v>547</v>
      </c>
      <c r="D920" s="76" t="s">
        <v>1177</v>
      </c>
      <c r="E920" s="51" t="s">
        <v>672</v>
      </c>
      <c r="F920" s="51" t="s">
        <v>1177</v>
      </c>
      <c r="G920" s="76" t="s">
        <v>2101</v>
      </c>
      <c r="H920" s="76" t="s">
        <v>655</v>
      </c>
      <c r="I920" s="51"/>
      <c r="J920" s="52" t="s">
        <v>708</v>
      </c>
      <c r="K920" s="52" t="str">
        <f t="shared" si="28"/>
        <v>_</v>
      </c>
      <c r="L920" s="117">
        <f>ROUND(Tableau18[[#This Row],[LEN]]*7.27,0)</f>
        <v>95</v>
      </c>
      <c r="M920" s="117">
        <v>15</v>
      </c>
      <c r="N920" s="134" t="str">
        <f t="shared" si="29"/>
        <v>_self</v>
      </c>
      <c r="O920" s="117">
        <f>LEN(Tableau18[[#This Row],[LABEL]])</f>
        <v>13</v>
      </c>
      <c r="P920" s="117">
        <v>15</v>
      </c>
      <c r="Q920" s="117" t="e">
        <f>ROUND(Tableau18[[#This Row],[LEN]]*#REF!+#REF!,0)</f>
        <v>#REF!</v>
      </c>
    </row>
    <row r="921" spans="1:17" s="97" customFormat="1" x14ac:dyDescent="0.25">
      <c r="A921" s="53" t="s">
        <v>558</v>
      </c>
      <c r="B921" s="54" t="s">
        <v>542</v>
      </c>
      <c r="C921" s="55" t="s">
        <v>562</v>
      </c>
      <c r="D921" s="77" t="s">
        <v>1177</v>
      </c>
      <c r="E921" s="55" t="s">
        <v>672</v>
      </c>
      <c r="F921" s="55" t="s">
        <v>1177</v>
      </c>
      <c r="G921" s="77" t="s">
        <v>2101</v>
      </c>
      <c r="H921" s="77" t="s">
        <v>654</v>
      </c>
      <c r="I921" s="55"/>
      <c r="J921" s="56" t="s">
        <v>708</v>
      </c>
      <c r="K921" s="56" t="str">
        <f t="shared" si="28"/>
        <v>_</v>
      </c>
      <c r="L921" s="118">
        <f>ROUND(Tableau18[[#This Row],[LEN]]*7.27,0)</f>
        <v>58</v>
      </c>
      <c r="M921" s="118">
        <v>15</v>
      </c>
      <c r="N921" s="135" t="str">
        <f t="shared" si="29"/>
        <v>_self</v>
      </c>
      <c r="O921" s="118">
        <f>LEN(Tableau18[[#This Row],[LABEL]])</f>
        <v>8</v>
      </c>
      <c r="P921" s="118">
        <v>15</v>
      </c>
      <c r="Q921" s="118" t="e">
        <f>ROUND(Tableau18[[#This Row],[LEN]]*#REF!+#REF!,0)</f>
        <v>#REF!</v>
      </c>
    </row>
    <row r="922" spans="1:17" s="97" customFormat="1" x14ac:dyDescent="0.25">
      <c r="A922" s="53" t="s">
        <v>559</v>
      </c>
      <c r="B922" s="54" t="s">
        <v>542</v>
      </c>
      <c r="C922" s="55" t="s">
        <v>563</v>
      </c>
      <c r="D922" s="77" t="s">
        <v>1177</v>
      </c>
      <c r="E922" s="55" t="s">
        <v>672</v>
      </c>
      <c r="F922" s="55" t="s">
        <v>1177</v>
      </c>
      <c r="G922" s="77" t="s">
        <v>2101</v>
      </c>
      <c r="H922" s="77" t="s">
        <v>654</v>
      </c>
      <c r="I922" s="55"/>
      <c r="J922" s="56" t="s">
        <v>708</v>
      </c>
      <c r="K922" s="56" t="str">
        <f t="shared" si="28"/>
        <v>_</v>
      </c>
      <c r="L922" s="118">
        <f>ROUND(Tableau18[[#This Row],[LEN]]*7.27,0)</f>
        <v>58</v>
      </c>
      <c r="M922" s="118">
        <v>15</v>
      </c>
      <c r="N922" s="135" t="str">
        <f t="shared" si="29"/>
        <v>_self</v>
      </c>
      <c r="O922" s="118">
        <f>LEN(Tableau18[[#This Row],[LABEL]])</f>
        <v>8</v>
      </c>
      <c r="P922" s="118">
        <v>15</v>
      </c>
      <c r="Q922" s="118" t="e">
        <f>ROUND(Tableau18[[#This Row],[LEN]]*#REF!+#REF!,0)</f>
        <v>#REF!</v>
      </c>
    </row>
    <row r="923" spans="1:17" s="97" customFormat="1" x14ac:dyDescent="0.25">
      <c r="A923" s="53" t="s">
        <v>560</v>
      </c>
      <c r="B923" s="54" t="s">
        <v>542</v>
      </c>
      <c r="C923" s="55" t="s">
        <v>564</v>
      </c>
      <c r="D923" s="77" t="s">
        <v>1177</v>
      </c>
      <c r="E923" s="55" t="s">
        <v>672</v>
      </c>
      <c r="F923" s="55" t="s">
        <v>1177</v>
      </c>
      <c r="G923" s="77" t="s">
        <v>2101</v>
      </c>
      <c r="H923" s="77" t="s">
        <v>654</v>
      </c>
      <c r="I923" s="55"/>
      <c r="J923" s="56" t="s">
        <v>708</v>
      </c>
      <c r="K923" s="56" t="str">
        <f t="shared" si="28"/>
        <v>_</v>
      </c>
      <c r="L923" s="118">
        <f>ROUND(Tableau18[[#This Row],[LEN]]*7.27,0)</f>
        <v>58</v>
      </c>
      <c r="M923" s="118">
        <v>15</v>
      </c>
      <c r="N923" s="135" t="str">
        <f t="shared" si="29"/>
        <v>_self</v>
      </c>
      <c r="O923" s="118">
        <f>LEN(Tableau18[[#This Row],[LABEL]])</f>
        <v>8</v>
      </c>
      <c r="P923" s="118">
        <v>15</v>
      </c>
      <c r="Q923" s="118" t="e">
        <f>ROUND(Tableau18[[#This Row],[LEN]]*#REF!+#REF!,0)</f>
        <v>#REF!</v>
      </c>
    </row>
    <row r="924" spans="1:17" s="97" customFormat="1" x14ac:dyDescent="0.25">
      <c r="A924" s="53" t="s">
        <v>561</v>
      </c>
      <c r="B924" s="54" t="s">
        <v>542</v>
      </c>
      <c r="C924" s="55" t="s">
        <v>565</v>
      </c>
      <c r="D924" s="77" t="s">
        <v>1177</v>
      </c>
      <c r="E924" s="55" t="s">
        <v>672</v>
      </c>
      <c r="F924" s="55" t="s">
        <v>1177</v>
      </c>
      <c r="G924" s="77" t="s">
        <v>2101</v>
      </c>
      <c r="H924" s="77" t="s">
        <v>654</v>
      </c>
      <c r="I924" s="55"/>
      <c r="J924" s="56" t="s">
        <v>708</v>
      </c>
      <c r="K924" s="56" t="str">
        <f t="shared" si="28"/>
        <v>_</v>
      </c>
      <c r="L924" s="118">
        <f>ROUND(Tableau18[[#This Row],[LEN]]*7.27,0)</f>
        <v>51</v>
      </c>
      <c r="M924" s="118">
        <v>15</v>
      </c>
      <c r="N924" s="135" t="str">
        <f t="shared" si="29"/>
        <v>_self</v>
      </c>
      <c r="O924" s="118">
        <f>LEN(Tableau18[[#This Row],[LABEL]])</f>
        <v>7</v>
      </c>
      <c r="P924" s="118">
        <v>15</v>
      </c>
      <c r="Q924" s="118" t="e">
        <f>ROUND(Tableau18[[#This Row],[LEN]]*#REF!+#REF!,0)</f>
        <v>#REF!</v>
      </c>
    </row>
    <row r="925" spans="1:17" s="97" customFormat="1" x14ac:dyDescent="0.25">
      <c r="A925" s="53" t="s">
        <v>566</v>
      </c>
      <c r="B925" s="54" t="s">
        <v>542</v>
      </c>
      <c r="C925" s="55" t="s">
        <v>570</v>
      </c>
      <c r="D925" s="77" t="s">
        <v>1177</v>
      </c>
      <c r="E925" s="55" t="s">
        <v>672</v>
      </c>
      <c r="F925" s="55" t="s">
        <v>1177</v>
      </c>
      <c r="G925" s="77" t="s">
        <v>2101</v>
      </c>
      <c r="H925" s="77" t="s">
        <v>654</v>
      </c>
      <c r="I925" s="55"/>
      <c r="J925" s="56" t="s">
        <v>708</v>
      </c>
      <c r="K925" s="56" t="str">
        <f t="shared" si="28"/>
        <v>_</v>
      </c>
      <c r="L925" s="118">
        <f>ROUND(Tableau18[[#This Row],[LEN]]*7.27,0)</f>
        <v>44</v>
      </c>
      <c r="M925" s="118">
        <v>15</v>
      </c>
      <c r="N925" s="135" t="str">
        <f t="shared" si="29"/>
        <v>_self</v>
      </c>
      <c r="O925" s="118">
        <f>LEN(Tableau18[[#This Row],[LABEL]])</f>
        <v>6</v>
      </c>
      <c r="P925" s="118">
        <v>15</v>
      </c>
      <c r="Q925" s="118" t="e">
        <f>ROUND(Tableau18[[#This Row],[LEN]]*#REF!+#REF!,0)</f>
        <v>#REF!</v>
      </c>
    </row>
    <row r="926" spans="1:17" s="97" customFormat="1" x14ac:dyDescent="0.25">
      <c r="A926" s="53" t="s">
        <v>567</v>
      </c>
      <c r="B926" s="54" t="s">
        <v>542</v>
      </c>
      <c r="C926" s="55" t="s">
        <v>571</v>
      </c>
      <c r="D926" s="77" t="s">
        <v>1177</v>
      </c>
      <c r="E926" s="55" t="s">
        <v>672</v>
      </c>
      <c r="F926" s="55" t="s">
        <v>1177</v>
      </c>
      <c r="G926" s="77" t="s">
        <v>2101</v>
      </c>
      <c r="H926" s="77" t="s">
        <v>654</v>
      </c>
      <c r="I926" s="55"/>
      <c r="J926" s="56" t="s">
        <v>708</v>
      </c>
      <c r="K926" s="56" t="str">
        <f t="shared" si="28"/>
        <v>_</v>
      </c>
      <c r="L926" s="118">
        <f>ROUND(Tableau18[[#This Row],[LEN]]*7.27,0)</f>
        <v>44</v>
      </c>
      <c r="M926" s="118">
        <v>15</v>
      </c>
      <c r="N926" s="135" t="str">
        <f t="shared" si="29"/>
        <v>_self</v>
      </c>
      <c r="O926" s="118">
        <f>LEN(Tableau18[[#This Row],[LABEL]])</f>
        <v>6</v>
      </c>
      <c r="P926" s="118">
        <v>15</v>
      </c>
      <c r="Q926" s="118" t="e">
        <f>ROUND(Tableau18[[#This Row],[LEN]]*#REF!+#REF!,0)</f>
        <v>#REF!</v>
      </c>
    </row>
    <row r="927" spans="1:17" s="97" customFormat="1" x14ac:dyDescent="0.25">
      <c r="A927" s="53" t="s">
        <v>568</v>
      </c>
      <c r="B927" s="54" t="s">
        <v>542</v>
      </c>
      <c r="C927" s="55" t="s">
        <v>572</v>
      </c>
      <c r="D927" s="77" t="s">
        <v>1177</v>
      </c>
      <c r="E927" s="55" t="s">
        <v>672</v>
      </c>
      <c r="F927" s="55" t="s">
        <v>1177</v>
      </c>
      <c r="G927" s="77" t="s">
        <v>2101</v>
      </c>
      <c r="H927" s="77" t="s">
        <v>654</v>
      </c>
      <c r="I927" s="55"/>
      <c r="J927" s="56" t="s">
        <v>708</v>
      </c>
      <c r="K927" s="56" t="str">
        <f t="shared" si="28"/>
        <v>_</v>
      </c>
      <c r="L927" s="118">
        <f>ROUND(Tableau18[[#This Row],[LEN]]*7.27,0)</f>
        <v>95</v>
      </c>
      <c r="M927" s="118">
        <v>15</v>
      </c>
      <c r="N927" s="135" t="str">
        <f t="shared" si="29"/>
        <v>_self</v>
      </c>
      <c r="O927" s="118">
        <f>LEN(Tableau18[[#This Row],[LABEL]])</f>
        <v>13</v>
      </c>
      <c r="P927" s="118">
        <v>15</v>
      </c>
      <c r="Q927" s="118" t="e">
        <f>ROUND(Tableau18[[#This Row],[LEN]]*#REF!+#REF!,0)</f>
        <v>#REF!</v>
      </c>
    </row>
    <row r="928" spans="1:17" s="97" customFormat="1" x14ac:dyDescent="0.25">
      <c r="A928" s="53" t="s">
        <v>569</v>
      </c>
      <c r="B928" s="54" t="s">
        <v>542</v>
      </c>
      <c r="C928" s="55" t="s">
        <v>573</v>
      </c>
      <c r="D928" s="77" t="s">
        <v>1177</v>
      </c>
      <c r="E928" s="55" t="s">
        <v>672</v>
      </c>
      <c r="F928" s="55" t="s">
        <v>1177</v>
      </c>
      <c r="G928" s="77" t="s">
        <v>2101</v>
      </c>
      <c r="H928" s="77" t="s">
        <v>654</v>
      </c>
      <c r="I928" s="55"/>
      <c r="J928" s="56" t="s">
        <v>708</v>
      </c>
      <c r="K928" s="56" t="str">
        <f t="shared" si="28"/>
        <v>_</v>
      </c>
      <c r="L928" s="118">
        <f>ROUND(Tableau18[[#This Row],[LEN]]*7.27,0)</f>
        <v>109</v>
      </c>
      <c r="M928" s="118">
        <v>15</v>
      </c>
      <c r="N928" s="135" t="str">
        <f t="shared" si="29"/>
        <v>_self</v>
      </c>
      <c r="O928" s="118">
        <f>LEN(Tableau18[[#This Row],[LABEL]])</f>
        <v>15</v>
      </c>
      <c r="P928" s="118">
        <v>15</v>
      </c>
      <c r="Q928" s="118" t="e">
        <f>ROUND(Tableau18[[#This Row],[LEN]]*#REF!+#REF!,0)</f>
        <v>#REF!</v>
      </c>
    </row>
    <row r="929" spans="1:17" s="97" customFormat="1" x14ac:dyDescent="0.25">
      <c r="A929" s="49" t="s">
        <v>543</v>
      </c>
      <c r="B929" s="50" t="s">
        <v>312</v>
      </c>
      <c r="C929" s="51" t="s">
        <v>548</v>
      </c>
      <c r="D929" s="76" t="s">
        <v>1177</v>
      </c>
      <c r="E929" s="51" t="s">
        <v>672</v>
      </c>
      <c r="F929" s="51" t="s">
        <v>1177</v>
      </c>
      <c r="G929" s="76" t="s">
        <v>2101</v>
      </c>
      <c r="H929" s="76" t="s">
        <v>655</v>
      </c>
      <c r="I929" s="51"/>
      <c r="J929" s="52" t="s">
        <v>708</v>
      </c>
      <c r="K929" s="52" t="str">
        <f t="shared" si="28"/>
        <v>_</v>
      </c>
      <c r="L929" s="117">
        <f>ROUND(Tableau18[[#This Row],[LEN]]*7.27,0)</f>
        <v>218</v>
      </c>
      <c r="M929" s="117">
        <v>15</v>
      </c>
      <c r="N929" s="134" t="str">
        <f t="shared" si="29"/>
        <v>_self</v>
      </c>
      <c r="O929" s="117">
        <f>LEN(Tableau18[[#This Row],[LABEL]])</f>
        <v>30</v>
      </c>
      <c r="P929" s="117">
        <v>15</v>
      </c>
      <c r="Q929" s="117" t="e">
        <f>ROUND(Tableau18[[#This Row],[LEN]]*#REF!+#REF!,0)</f>
        <v>#REF!</v>
      </c>
    </row>
    <row r="930" spans="1:17" s="97" customFormat="1" x14ac:dyDescent="0.25">
      <c r="A930" s="53" t="s">
        <v>574</v>
      </c>
      <c r="B930" s="54" t="s">
        <v>543</v>
      </c>
      <c r="C930" s="55" t="s">
        <v>576</v>
      </c>
      <c r="D930" s="77" t="s">
        <v>1177</v>
      </c>
      <c r="E930" s="55" t="s">
        <v>672</v>
      </c>
      <c r="F930" s="55" t="s">
        <v>1177</v>
      </c>
      <c r="G930" s="77" t="s">
        <v>2101</v>
      </c>
      <c r="H930" s="77" t="s">
        <v>655</v>
      </c>
      <c r="I930" s="55"/>
      <c r="J930" s="56" t="s">
        <v>708</v>
      </c>
      <c r="K930" s="56" t="str">
        <f t="shared" si="28"/>
        <v>_</v>
      </c>
      <c r="L930" s="118">
        <f>ROUND(Tableau18[[#This Row],[LEN]]*7.27,0)</f>
        <v>65</v>
      </c>
      <c r="M930" s="118">
        <v>15</v>
      </c>
      <c r="N930" s="135" t="str">
        <f t="shared" si="29"/>
        <v>_self</v>
      </c>
      <c r="O930" s="118">
        <f>LEN(Tableau18[[#This Row],[LABEL]])</f>
        <v>9</v>
      </c>
      <c r="P930" s="118">
        <v>15</v>
      </c>
      <c r="Q930" s="118" t="e">
        <f>ROUND(Tableau18[[#This Row],[LEN]]*#REF!+#REF!,0)</f>
        <v>#REF!</v>
      </c>
    </row>
    <row r="931" spans="1:17" s="97" customFormat="1" x14ac:dyDescent="0.25">
      <c r="A931" s="57" t="s">
        <v>580</v>
      </c>
      <c r="B931" s="58" t="s">
        <v>574</v>
      </c>
      <c r="C931" s="59" t="s">
        <v>578</v>
      </c>
      <c r="D931" s="78" t="s">
        <v>1177</v>
      </c>
      <c r="E931" s="59" t="s">
        <v>672</v>
      </c>
      <c r="F931" s="59" t="s">
        <v>1177</v>
      </c>
      <c r="G931" s="78" t="s">
        <v>2101</v>
      </c>
      <c r="H931" s="78" t="s">
        <v>654</v>
      </c>
      <c r="I931" s="59"/>
      <c r="J931" s="60" t="s">
        <v>708</v>
      </c>
      <c r="K931" s="60" t="str">
        <f t="shared" si="28"/>
        <v>_</v>
      </c>
      <c r="L931" s="119">
        <f>ROUND(Tableau18[[#This Row],[LEN]]*7.27,0)</f>
        <v>73</v>
      </c>
      <c r="M931" s="119">
        <v>15</v>
      </c>
      <c r="N931" s="136" t="str">
        <f t="shared" si="29"/>
        <v>_self</v>
      </c>
      <c r="O931" s="119">
        <f>LEN(Tableau18[[#This Row],[LABEL]])</f>
        <v>10</v>
      </c>
      <c r="P931" s="119">
        <v>15</v>
      </c>
      <c r="Q931" s="119" t="e">
        <f>ROUND(Tableau18[[#This Row],[LEN]]*#REF!+#REF!,0)</f>
        <v>#REF!</v>
      </c>
    </row>
    <row r="932" spans="1:17" s="97" customFormat="1" x14ac:dyDescent="0.25">
      <c r="A932" s="57" t="s">
        <v>581</v>
      </c>
      <c r="B932" s="58" t="s">
        <v>574</v>
      </c>
      <c r="C932" s="59" t="s">
        <v>579</v>
      </c>
      <c r="D932" s="78" t="s">
        <v>1177</v>
      </c>
      <c r="E932" s="59" t="s">
        <v>672</v>
      </c>
      <c r="F932" s="59" t="s">
        <v>1177</v>
      </c>
      <c r="G932" s="78" t="s">
        <v>2101</v>
      </c>
      <c r="H932" s="78" t="s">
        <v>654</v>
      </c>
      <c r="I932" s="59"/>
      <c r="J932" s="60" t="s">
        <v>708</v>
      </c>
      <c r="K932" s="60" t="str">
        <f t="shared" si="28"/>
        <v>_</v>
      </c>
      <c r="L932" s="119">
        <f>ROUND(Tableau18[[#This Row],[LEN]]*7.27,0)</f>
        <v>153</v>
      </c>
      <c r="M932" s="119">
        <v>15</v>
      </c>
      <c r="N932" s="136" t="str">
        <f t="shared" si="29"/>
        <v>_self</v>
      </c>
      <c r="O932" s="119">
        <f>LEN(Tableau18[[#This Row],[LABEL]])</f>
        <v>21</v>
      </c>
      <c r="P932" s="119">
        <v>15</v>
      </c>
      <c r="Q932" s="119" t="e">
        <f>ROUND(Tableau18[[#This Row],[LEN]]*#REF!+#REF!,0)</f>
        <v>#REF!</v>
      </c>
    </row>
    <row r="933" spans="1:17" s="97" customFormat="1" x14ac:dyDescent="0.25">
      <c r="A933" s="53" t="s">
        <v>575</v>
      </c>
      <c r="B933" s="54" t="s">
        <v>543</v>
      </c>
      <c r="C933" s="55" t="s">
        <v>577</v>
      </c>
      <c r="D933" s="77" t="s">
        <v>1177</v>
      </c>
      <c r="E933" s="55" t="s">
        <v>672</v>
      </c>
      <c r="F933" s="55" t="s">
        <v>1177</v>
      </c>
      <c r="G933" s="77" t="s">
        <v>2101</v>
      </c>
      <c r="H933" s="77" t="s">
        <v>655</v>
      </c>
      <c r="I933" s="55"/>
      <c r="J933" s="56" t="s">
        <v>708</v>
      </c>
      <c r="K933" s="56" t="str">
        <f t="shared" si="28"/>
        <v>_</v>
      </c>
      <c r="L933" s="118">
        <f>ROUND(Tableau18[[#This Row],[LEN]]*7.27,0)</f>
        <v>73</v>
      </c>
      <c r="M933" s="118">
        <v>15</v>
      </c>
      <c r="N933" s="135" t="str">
        <f t="shared" si="29"/>
        <v>_self</v>
      </c>
      <c r="O933" s="118">
        <f>LEN(Tableau18[[#This Row],[LABEL]])</f>
        <v>10</v>
      </c>
      <c r="P933" s="118">
        <v>15</v>
      </c>
      <c r="Q933" s="118" t="e">
        <f>ROUND(Tableau18[[#This Row],[LEN]]*#REF!+#REF!,0)</f>
        <v>#REF!</v>
      </c>
    </row>
    <row r="934" spans="1:17" s="97" customFormat="1" x14ac:dyDescent="0.25">
      <c r="A934" s="57" t="s">
        <v>582</v>
      </c>
      <c r="B934" s="58" t="s">
        <v>575</v>
      </c>
      <c r="C934" s="59" t="s">
        <v>586</v>
      </c>
      <c r="D934" s="78" t="s">
        <v>1177</v>
      </c>
      <c r="E934" s="59" t="s">
        <v>672</v>
      </c>
      <c r="F934" s="59" t="s">
        <v>1177</v>
      </c>
      <c r="G934" s="78" t="s">
        <v>2101</v>
      </c>
      <c r="H934" s="78" t="s">
        <v>654</v>
      </c>
      <c r="I934" s="59"/>
      <c r="J934" s="60" t="s">
        <v>708</v>
      </c>
      <c r="K934" s="60" t="str">
        <f t="shared" si="28"/>
        <v>_</v>
      </c>
      <c r="L934" s="119">
        <f>ROUND(Tableau18[[#This Row],[LEN]]*7.27,0)</f>
        <v>189</v>
      </c>
      <c r="M934" s="119">
        <v>15</v>
      </c>
      <c r="N934" s="136" t="str">
        <f t="shared" si="29"/>
        <v>_self</v>
      </c>
      <c r="O934" s="119">
        <f>LEN(Tableau18[[#This Row],[LABEL]])</f>
        <v>26</v>
      </c>
      <c r="P934" s="119">
        <v>15</v>
      </c>
      <c r="Q934" s="119" t="e">
        <f>ROUND(Tableau18[[#This Row],[LEN]]*#REF!+#REF!,0)</f>
        <v>#REF!</v>
      </c>
    </row>
    <row r="935" spans="1:17" s="97" customFormat="1" x14ac:dyDescent="0.25">
      <c r="A935" s="57" t="s">
        <v>583</v>
      </c>
      <c r="B935" s="58" t="s">
        <v>575</v>
      </c>
      <c r="C935" s="59" t="s">
        <v>587</v>
      </c>
      <c r="D935" s="78" t="s">
        <v>1177</v>
      </c>
      <c r="E935" s="59" t="s">
        <v>672</v>
      </c>
      <c r="F935" s="59" t="s">
        <v>1177</v>
      </c>
      <c r="G935" s="78" t="s">
        <v>2101</v>
      </c>
      <c r="H935" s="78" t="s">
        <v>654</v>
      </c>
      <c r="I935" s="59"/>
      <c r="J935" s="60" t="s">
        <v>708</v>
      </c>
      <c r="K935" s="60" t="str">
        <f t="shared" si="28"/>
        <v>_</v>
      </c>
      <c r="L935" s="119">
        <f>ROUND(Tableau18[[#This Row],[LEN]]*7.27,0)</f>
        <v>73</v>
      </c>
      <c r="M935" s="119">
        <v>15</v>
      </c>
      <c r="N935" s="136" t="str">
        <f t="shared" si="29"/>
        <v>_self</v>
      </c>
      <c r="O935" s="119">
        <f>LEN(Tableau18[[#This Row],[LABEL]])</f>
        <v>10</v>
      </c>
      <c r="P935" s="119">
        <v>15</v>
      </c>
      <c r="Q935" s="119" t="e">
        <f>ROUND(Tableau18[[#This Row],[LEN]]*#REF!+#REF!,0)</f>
        <v>#REF!</v>
      </c>
    </row>
    <row r="936" spans="1:17" s="97" customFormat="1" x14ac:dyDescent="0.25">
      <c r="A936" s="57" t="s">
        <v>584</v>
      </c>
      <c r="B936" s="58" t="s">
        <v>575</v>
      </c>
      <c r="C936" s="59" t="s">
        <v>588</v>
      </c>
      <c r="D936" s="78" t="s">
        <v>1177</v>
      </c>
      <c r="E936" s="59" t="s">
        <v>672</v>
      </c>
      <c r="F936" s="59" t="s">
        <v>1177</v>
      </c>
      <c r="G936" s="78" t="s">
        <v>2101</v>
      </c>
      <c r="H936" s="78" t="s">
        <v>654</v>
      </c>
      <c r="I936" s="59"/>
      <c r="J936" s="60" t="s">
        <v>708</v>
      </c>
      <c r="K936" s="60" t="str">
        <f t="shared" si="28"/>
        <v>_</v>
      </c>
      <c r="L936" s="119">
        <f>ROUND(Tableau18[[#This Row],[LEN]]*7.27,0)</f>
        <v>65</v>
      </c>
      <c r="M936" s="119">
        <v>15</v>
      </c>
      <c r="N936" s="136" t="str">
        <f t="shared" si="29"/>
        <v>_self</v>
      </c>
      <c r="O936" s="119">
        <f>LEN(Tableau18[[#This Row],[LABEL]])</f>
        <v>9</v>
      </c>
      <c r="P936" s="119">
        <v>15</v>
      </c>
      <c r="Q936" s="119" t="e">
        <f>ROUND(Tableau18[[#This Row],[LEN]]*#REF!+#REF!,0)</f>
        <v>#REF!</v>
      </c>
    </row>
    <row r="937" spans="1:17" s="97" customFormat="1" x14ac:dyDescent="0.25">
      <c r="A937" s="57" t="s">
        <v>585</v>
      </c>
      <c r="B937" s="58" t="s">
        <v>575</v>
      </c>
      <c r="C937" s="59" t="s">
        <v>589</v>
      </c>
      <c r="D937" s="78" t="s">
        <v>1177</v>
      </c>
      <c r="E937" s="59" t="s">
        <v>672</v>
      </c>
      <c r="F937" s="59" t="s">
        <v>1177</v>
      </c>
      <c r="G937" s="78" t="s">
        <v>2101</v>
      </c>
      <c r="H937" s="78" t="s">
        <v>654</v>
      </c>
      <c r="I937" s="59"/>
      <c r="J937" s="60" t="s">
        <v>708</v>
      </c>
      <c r="K937" s="60" t="str">
        <f t="shared" si="28"/>
        <v>_</v>
      </c>
      <c r="L937" s="119">
        <f>ROUND(Tableau18[[#This Row],[LEN]]*7.27,0)</f>
        <v>145</v>
      </c>
      <c r="M937" s="119">
        <v>15</v>
      </c>
      <c r="N937" s="136" t="str">
        <f t="shared" si="29"/>
        <v>_self</v>
      </c>
      <c r="O937" s="119">
        <f>LEN(Tableau18[[#This Row],[LABEL]])</f>
        <v>20</v>
      </c>
      <c r="P937" s="119">
        <v>15</v>
      </c>
      <c r="Q937" s="119" t="e">
        <f>ROUND(Tableau18[[#This Row],[LEN]]*#REF!+#REF!,0)</f>
        <v>#REF!</v>
      </c>
    </row>
    <row r="938" spans="1:17" s="97" customFormat="1" x14ac:dyDescent="0.25">
      <c r="A938" s="49" t="s">
        <v>544</v>
      </c>
      <c r="B938" s="50" t="s">
        <v>312</v>
      </c>
      <c r="C938" s="51" t="s">
        <v>549</v>
      </c>
      <c r="D938" s="76" t="s">
        <v>1177</v>
      </c>
      <c r="E938" s="51" t="s">
        <v>673</v>
      </c>
      <c r="F938" s="51" t="s">
        <v>1704</v>
      </c>
      <c r="G938" s="76" t="s">
        <v>2101</v>
      </c>
      <c r="H938" s="76" t="s">
        <v>655</v>
      </c>
      <c r="I938" s="51"/>
      <c r="J938" s="52" t="s">
        <v>708</v>
      </c>
      <c r="K938" s="52" t="str">
        <f t="shared" si="28"/>
        <v>_</v>
      </c>
      <c r="L938" s="117">
        <f>ROUND(Tableau18[[#This Row],[LEN]]*7.27,0)</f>
        <v>145</v>
      </c>
      <c r="M938" s="117">
        <v>15</v>
      </c>
      <c r="N938" s="134" t="str">
        <f t="shared" si="29"/>
        <v>_self</v>
      </c>
      <c r="O938" s="117">
        <f>LEN(Tableau18[[#This Row],[LABEL]])</f>
        <v>20</v>
      </c>
      <c r="P938" s="117">
        <v>15</v>
      </c>
      <c r="Q938" s="117" t="e">
        <f>ROUND(Tableau18[[#This Row],[LEN]]*#REF!+#REF!,0)</f>
        <v>#REF!</v>
      </c>
    </row>
    <row r="939" spans="1:17" s="97" customFormat="1" x14ac:dyDescent="0.25">
      <c r="A939" s="53" t="s">
        <v>593</v>
      </c>
      <c r="B939" s="54" t="s">
        <v>544</v>
      </c>
      <c r="C939" s="55" t="s">
        <v>590</v>
      </c>
      <c r="D939" s="77" t="s">
        <v>1177</v>
      </c>
      <c r="E939" s="55" t="s">
        <v>673</v>
      </c>
      <c r="F939" s="55" t="s">
        <v>1704</v>
      </c>
      <c r="G939" s="77" t="s">
        <v>2101</v>
      </c>
      <c r="H939" s="77" t="s">
        <v>570</v>
      </c>
      <c r="I939" s="55"/>
      <c r="J939" s="56" t="s">
        <v>708</v>
      </c>
      <c r="K939" s="56" t="str">
        <f t="shared" si="28"/>
        <v>_</v>
      </c>
      <c r="L939" s="118">
        <f>ROUND(Tableau18[[#This Row],[LEN]]*7.27,0)</f>
        <v>102</v>
      </c>
      <c r="M939" s="118">
        <v>15</v>
      </c>
      <c r="N939" s="135" t="str">
        <f t="shared" si="29"/>
        <v>_self</v>
      </c>
      <c r="O939" s="118">
        <f>LEN(Tableau18[[#This Row],[LABEL]])</f>
        <v>14</v>
      </c>
      <c r="P939" s="118">
        <v>15</v>
      </c>
      <c r="Q939" s="118" t="e">
        <f>ROUND(Tableau18[[#This Row],[LEN]]*#REF!+#REF!,0)</f>
        <v>#REF!</v>
      </c>
    </row>
    <row r="940" spans="1:17" s="97" customFormat="1" x14ac:dyDescent="0.25">
      <c r="A940" s="53" t="s">
        <v>594</v>
      </c>
      <c r="B940" s="54" t="s">
        <v>544</v>
      </c>
      <c r="C940" s="55" t="s">
        <v>591</v>
      </c>
      <c r="D940" s="77" t="s">
        <v>1177</v>
      </c>
      <c r="E940" s="55" t="s">
        <v>673</v>
      </c>
      <c r="F940" s="55" t="s">
        <v>1704</v>
      </c>
      <c r="G940" s="77" t="s">
        <v>2101</v>
      </c>
      <c r="H940" s="77" t="s">
        <v>570</v>
      </c>
      <c r="I940" s="55"/>
      <c r="J940" s="56" t="s">
        <v>708</v>
      </c>
      <c r="K940" s="56" t="str">
        <f t="shared" si="28"/>
        <v>_</v>
      </c>
      <c r="L940" s="118">
        <f>ROUND(Tableau18[[#This Row],[LEN]]*7.27,0)</f>
        <v>262</v>
      </c>
      <c r="M940" s="118">
        <v>15</v>
      </c>
      <c r="N940" s="135" t="str">
        <f t="shared" si="29"/>
        <v>_self</v>
      </c>
      <c r="O940" s="118">
        <f>LEN(Tableau18[[#This Row],[LABEL]])</f>
        <v>36</v>
      </c>
      <c r="P940" s="118">
        <v>15</v>
      </c>
      <c r="Q940" s="118" t="e">
        <f>ROUND(Tableau18[[#This Row],[LEN]]*#REF!+#REF!,0)</f>
        <v>#REF!</v>
      </c>
    </row>
    <row r="941" spans="1:17" s="97" customFormat="1" x14ac:dyDescent="0.25">
      <c r="A941" s="53" t="s">
        <v>595</v>
      </c>
      <c r="B941" s="54" t="s">
        <v>544</v>
      </c>
      <c r="C941" s="55" t="s">
        <v>592</v>
      </c>
      <c r="D941" s="77" t="s">
        <v>1177</v>
      </c>
      <c r="E941" s="55" t="s">
        <v>673</v>
      </c>
      <c r="F941" s="55" t="s">
        <v>1704</v>
      </c>
      <c r="G941" s="77" t="s">
        <v>2101</v>
      </c>
      <c r="H941" s="77" t="s">
        <v>570</v>
      </c>
      <c r="I941" s="55"/>
      <c r="J941" s="56" t="s">
        <v>708</v>
      </c>
      <c r="K941" s="56" t="str">
        <f t="shared" si="28"/>
        <v>_</v>
      </c>
      <c r="L941" s="118">
        <f>ROUND(Tableau18[[#This Row],[LEN]]*7.27,0)</f>
        <v>189</v>
      </c>
      <c r="M941" s="118">
        <v>15</v>
      </c>
      <c r="N941" s="135" t="str">
        <f t="shared" si="29"/>
        <v>_self</v>
      </c>
      <c r="O941" s="118">
        <f>LEN(Tableau18[[#This Row],[LABEL]])</f>
        <v>26</v>
      </c>
      <c r="P941" s="118">
        <v>15</v>
      </c>
      <c r="Q941" s="118" t="e">
        <f>ROUND(Tableau18[[#This Row],[LEN]]*#REF!+#REF!,0)</f>
        <v>#REF!</v>
      </c>
    </row>
    <row r="942" spans="1:17" s="97" customFormat="1" x14ac:dyDescent="0.25">
      <c r="A942" s="53" t="s">
        <v>596</v>
      </c>
      <c r="B942" s="54" t="s">
        <v>544</v>
      </c>
      <c r="C942" s="55" t="s">
        <v>597</v>
      </c>
      <c r="D942" s="77" t="s">
        <v>1177</v>
      </c>
      <c r="E942" s="55" t="s">
        <v>673</v>
      </c>
      <c r="F942" s="55" t="s">
        <v>1704</v>
      </c>
      <c r="G942" s="77" t="s">
        <v>2101</v>
      </c>
      <c r="H942" s="77" t="s">
        <v>570</v>
      </c>
      <c r="I942" s="55"/>
      <c r="J942" s="56" t="s">
        <v>708</v>
      </c>
      <c r="K942" s="56" t="str">
        <f t="shared" si="28"/>
        <v>_</v>
      </c>
      <c r="L942" s="118">
        <f>ROUND(Tableau18[[#This Row],[LEN]]*7.27,0)</f>
        <v>465</v>
      </c>
      <c r="M942" s="118">
        <v>15</v>
      </c>
      <c r="N942" s="135" t="str">
        <f t="shared" si="29"/>
        <v>_self</v>
      </c>
      <c r="O942" s="118">
        <f>LEN(Tableau18[[#This Row],[LABEL]])</f>
        <v>64</v>
      </c>
      <c r="P942" s="118">
        <v>15</v>
      </c>
      <c r="Q942" s="118" t="e">
        <f>ROUND(Tableau18[[#This Row],[LEN]]*#REF!+#REF!,0)</f>
        <v>#REF!</v>
      </c>
    </row>
    <row r="943" spans="1:17" s="97" customFormat="1" x14ac:dyDescent="0.25">
      <c r="A943" s="49" t="s">
        <v>545</v>
      </c>
      <c r="B943" s="50" t="s">
        <v>312</v>
      </c>
      <c r="C943" s="51" t="s">
        <v>598</v>
      </c>
      <c r="D943" s="76" t="s">
        <v>1177</v>
      </c>
      <c r="E943" s="51" t="s">
        <v>673</v>
      </c>
      <c r="F943" s="51" t="s">
        <v>2035</v>
      </c>
      <c r="G943" s="76" t="s">
        <v>2101</v>
      </c>
      <c r="H943" s="76" t="s">
        <v>654</v>
      </c>
      <c r="I943" s="51"/>
      <c r="J943" s="52" t="s">
        <v>708</v>
      </c>
      <c r="K943" s="52" t="str">
        <f t="shared" si="28"/>
        <v>_</v>
      </c>
      <c r="L943" s="117">
        <f>ROUND(Tableau18[[#This Row],[LEN]]*7.27,0)</f>
        <v>553</v>
      </c>
      <c r="M943" s="117">
        <v>15</v>
      </c>
      <c r="N943" s="134" t="str">
        <f t="shared" si="29"/>
        <v>_self</v>
      </c>
      <c r="O943" s="117">
        <f>LEN(Tableau18[[#This Row],[LABEL]])</f>
        <v>76</v>
      </c>
      <c r="P943" s="117">
        <v>15</v>
      </c>
      <c r="Q943" s="117" t="e">
        <f>ROUND(Tableau18[[#This Row],[LEN]]*#REF!+#REF!,0)</f>
        <v>#REF!</v>
      </c>
    </row>
    <row r="944" spans="1:17" s="273" customFormat="1" x14ac:dyDescent="0.25">
      <c r="A944" s="351" t="s">
        <v>313</v>
      </c>
      <c r="B944" s="352" t="s">
        <v>209</v>
      </c>
      <c r="C944" s="353" t="s">
        <v>10</v>
      </c>
      <c r="D944" s="354" t="s">
        <v>1177</v>
      </c>
      <c r="E944" s="353" t="s">
        <v>673</v>
      </c>
      <c r="F944" s="353" t="s">
        <v>1177</v>
      </c>
      <c r="G944" s="354" t="s">
        <v>2101</v>
      </c>
      <c r="H944" s="354" t="str">
        <f>IFERROR(IF(SEARCH(".00.00.00.00.00",Tableau18[[#This Row],[name]],1)=7,"Division",""),"")</f>
        <v>Division</v>
      </c>
      <c r="I944" s="353"/>
      <c r="J944" s="355" t="s">
        <v>719</v>
      </c>
      <c r="K944" s="355" t="str">
        <f t="shared" si="28"/>
        <v>Documentation</v>
      </c>
      <c r="L944" s="356">
        <f>ROUND(Tableau18[[#This Row],[LEN]]*7.27,0)</f>
        <v>109</v>
      </c>
      <c r="M944" s="356">
        <v>15</v>
      </c>
      <c r="N944" s="357" t="str">
        <f t="shared" si="29"/>
        <v>_blank</v>
      </c>
      <c r="O944" s="356">
        <f>LEN(Tableau18[[#This Row],[LABEL]])</f>
        <v>15</v>
      </c>
      <c r="P944" s="356">
        <v>15</v>
      </c>
      <c r="Q944" s="356" t="e">
        <f>ROUND(Tableau18[[#This Row],[LEN]]*#REF!+#REF!,0)</f>
        <v>#REF!</v>
      </c>
    </row>
    <row r="945" spans="1:17" s="97" customFormat="1" x14ac:dyDescent="0.25">
      <c r="A945" s="49" t="s">
        <v>1722</v>
      </c>
      <c r="B945" s="50" t="s">
        <v>313</v>
      </c>
      <c r="C945" s="51" t="s">
        <v>128</v>
      </c>
      <c r="D945" s="76" t="s">
        <v>1177</v>
      </c>
      <c r="E945" s="51" t="s">
        <v>669</v>
      </c>
      <c r="F945" s="51" t="s">
        <v>2029</v>
      </c>
      <c r="G945" s="76" t="s">
        <v>2101</v>
      </c>
      <c r="H945" s="76" t="s">
        <v>570</v>
      </c>
      <c r="I945" s="51"/>
      <c r="J945" s="52" t="s">
        <v>708</v>
      </c>
      <c r="K945" s="52" t="str">
        <f t="shared" si="28"/>
        <v>_</v>
      </c>
      <c r="L945" s="117">
        <f>ROUND(Tableau18[[#This Row],[LEN]]*7.27,0)</f>
        <v>182</v>
      </c>
      <c r="M945" s="117">
        <v>15</v>
      </c>
      <c r="N945" s="134" t="str">
        <f t="shared" si="29"/>
        <v>_self</v>
      </c>
      <c r="O945" s="117">
        <f>LEN(Tableau18[[#This Row],[LABEL]])</f>
        <v>25</v>
      </c>
      <c r="P945" s="117">
        <v>15</v>
      </c>
      <c r="Q945" s="117" t="e">
        <f>ROUND(Tableau18[[#This Row],[LEN]]*#REF!+#REF!,0)</f>
        <v>#REF!</v>
      </c>
    </row>
    <row r="946" spans="1:17" s="97" customFormat="1" x14ac:dyDescent="0.25">
      <c r="A946" s="49" t="s">
        <v>1723</v>
      </c>
      <c r="B946" s="50" t="s">
        <v>313</v>
      </c>
      <c r="C946" s="51" t="s">
        <v>129</v>
      </c>
      <c r="D946" s="76" t="s">
        <v>1177</v>
      </c>
      <c r="E946" s="51" t="s">
        <v>673</v>
      </c>
      <c r="F946" s="51" t="s">
        <v>2035</v>
      </c>
      <c r="G946" s="76" t="s">
        <v>2101</v>
      </c>
      <c r="H946" s="76" t="s">
        <v>655</v>
      </c>
      <c r="I946" s="51"/>
      <c r="J946" s="52" t="s">
        <v>708</v>
      </c>
      <c r="K946" s="52" t="str">
        <f t="shared" si="28"/>
        <v>_</v>
      </c>
      <c r="L946" s="117">
        <f>ROUND(Tableau18[[#This Row],[LEN]]*7.27,0)</f>
        <v>87</v>
      </c>
      <c r="M946" s="117">
        <v>15</v>
      </c>
      <c r="N946" s="134" t="str">
        <f t="shared" si="29"/>
        <v>_self</v>
      </c>
      <c r="O946" s="117">
        <f>LEN(Tableau18[[#This Row],[LABEL]])</f>
        <v>12</v>
      </c>
      <c r="P946" s="117">
        <v>15</v>
      </c>
      <c r="Q946" s="117" t="e">
        <f>ROUND(Tableau18[[#This Row],[LEN]]*#REF!+#REF!,0)</f>
        <v>#REF!</v>
      </c>
    </row>
    <row r="947" spans="1:17" s="97" customFormat="1" x14ac:dyDescent="0.25">
      <c r="A947" s="53" t="s">
        <v>1728</v>
      </c>
      <c r="B947" s="54" t="s">
        <v>1723</v>
      </c>
      <c r="C947" s="55" t="s">
        <v>131</v>
      </c>
      <c r="D947" s="77" t="s">
        <v>1177</v>
      </c>
      <c r="E947" s="55" t="s">
        <v>673</v>
      </c>
      <c r="F947" s="55" t="s">
        <v>2035</v>
      </c>
      <c r="G947" s="77" t="s">
        <v>2101</v>
      </c>
      <c r="H947" s="77" t="s">
        <v>570</v>
      </c>
      <c r="I947" s="55"/>
      <c r="J947" s="56" t="s">
        <v>708</v>
      </c>
      <c r="K947" s="56" t="str">
        <f t="shared" si="28"/>
        <v>_</v>
      </c>
      <c r="L947" s="118">
        <f>ROUND(Tableau18[[#This Row],[LEN]]*7.27,0)</f>
        <v>262</v>
      </c>
      <c r="M947" s="118">
        <v>15</v>
      </c>
      <c r="N947" s="135" t="str">
        <f t="shared" si="29"/>
        <v>_self</v>
      </c>
      <c r="O947" s="118">
        <f>LEN(Tableau18[[#This Row],[LABEL]])</f>
        <v>36</v>
      </c>
      <c r="P947" s="118">
        <v>15</v>
      </c>
      <c r="Q947" s="118" t="e">
        <f>ROUND(Tableau18[[#This Row],[LEN]]*#REF!+#REF!,0)</f>
        <v>#REF!</v>
      </c>
    </row>
    <row r="948" spans="1:17" s="97" customFormat="1" x14ac:dyDescent="0.25">
      <c r="A948" s="53" t="s">
        <v>1729</v>
      </c>
      <c r="B948" s="54" t="s">
        <v>1723</v>
      </c>
      <c r="C948" s="55" t="s">
        <v>132</v>
      </c>
      <c r="D948" s="77" t="s">
        <v>1177</v>
      </c>
      <c r="E948" s="55" t="s">
        <v>673</v>
      </c>
      <c r="F948" s="55" t="s">
        <v>2035</v>
      </c>
      <c r="G948" s="77" t="s">
        <v>2101</v>
      </c>
      <c r="H948" s="77" t="s">
        <v>570</v>
      </c>
      <c r="I948" s="55"/>
      <c r="J948" s="56" t="s">
        <v>708</v>
      </c>
      <c r="K948" s="56" t="str">
        <f t="shared" si="28"/>
        <v>_</v>
      </c>
      <c r="L948" s="118">
        <f>ROUND(Tableau18[[#This Row],[LEN]]*7.27,0)</f>
        <v>298</v>
      </c>
      <c r="M948" s="118">
        <v>15</v>
      </c>
      <c r="N948" s="135" t="str">
        <f t="shared" si="29"/>
        <v>_self</v>
      </c>
      <c r="O948" s="118">
        <f>LEN(Tableau18[[#This Row],[LABEL]])</f>
        <v>41</v>
      </c>
      <c r="P948" s="118">
        <v>15</v>
      </c>
      <c r="Q948" s="118" t="e">
        <f>ROUND(Tableau18[[#This Row],[LEN]]*#REF!+#REF!,0)</f>
        <v>#REF!</v>
      </c>
    </row>
    <row r="949" spans="1:17" s="97" customFormat="1" x14ac:dyDescent="0.25">
      <c r="A949" s="49" t="s">
        <v>1724</v>
      </c>
      <c r="B949" s="50" t="s">
        <v>313</v>
      </c>
      <c r="C949" s="51" t="s">
        <v>10</v>
      </c>
      <c r="D949" s="76" t="s">
        <v>1177</v>
      </c>
      <c r="E949" s="51" t="s">
        <v>673</v>
      </c>
      <c r="F949" s="51" t="s">
        <v>1177</v>
      </c>
      <c r="G949" s="76" t="s">
        <v>2101</v>
      </c>
      <c r="H949" s="76" t="s">
        <v>655</v>
      </c>
      <c r="I949" s="51"/>
      <c r="J949" s="52" t="s">
        <v>708</v>
      </c>
      <c r="K949" s="52" t="str">
        <f t="shared" si="28"/>
        <v>_</v>
      </c>
      <c r="L949" s="117">
        <f>ROUND(Tableau18[[#This Row],[LEN]]*7.27,0)</f>
        <v>109</v>
      </c>
      <c r="M949" s="117">
        <v>15</v>
      </c>
      <c r="N949" s="134" t="str">
        <f t="shared" si="29"/>
        <v>_self</v>
      </c>
      <c r="O949" s="117">
        <f>LEN(Tableau18[[#This Row],[LABEL]])</f>
        <v>15</v>
      </c>
      <c r="P949" s="117">
        <v>15</v>
      </c>
      <c r="Q949" s="117" t="e">
        <f>ROUND(Tableau18[[#This Row],[LEN]]*#REF!+#REF!,0)</f>
        <v>#REF!</v>
      </c>
    </row>
    <row r="950" spans="1:17" s="97" customFormat="1" x14ac:dyDescent="0.25">
      <c r="A950" s="53" t="s">
        <v>1730</v>
      </c>
      <c r="B950" s="54" t="s">
        <v>1724</v>
      </c>
      <c r="C950" s="55" t="s">
        <v>1733</v>
      </c>
      <c r="D950" s="77" t="s">
        <v>1177</v>
      </c>
      <c r="E950" s="55" t="s">
        <v>673</v>
      </c>
      <c r="F950" s="55" t="s">
        <v>1177</v>
      </c>
      <c r="G950" s="77" t="s">
        <v>2101</v>
      </c>
      <c r="H950" s="77" t="s">
        <v>654</v>
      </c>
      <c r="I950" s="55"/>
      <c r="J950" s="56" t="s">
        <v>708</v>
      </c>
      <c r="K950" s="56" t="str">
        <f t="shared" si="28"/>
        <v>_</v>
      </c>
      <c r="L950" s="118">
        <f>ROUND(Tableau18[[#This Row],[LEN]]*7.27,0)</f>
        <v>276</v>
      </c>
      <c r="M950" s="118">
        <v>15</v>
      </c>
      <c r="N950" s="135" t="str">
        <f t="shared" si="29"/>
        <v>_self</v>
      </c>
      <c r="O950" s="118">
        <f>LEN(Tableau18[[#This Row],[LABEL]])</f>
        <v>38</v>
      </c>
      <c r="P950" s="118">
        <v>15</v>
      </c>
      <c r="Q950" s="118" t="e">
        <f>ROUND(Tableau18[[#This Row],[LEN]]*#REF!+#REF!,0)</f>
        <v>#REF!</v>
      </c>
    </row>
    <row r="951" spans="1:17" s="97" customFormat="1" x14ac:dyDescent="0.25">
      <c r="A951" s="53" t="s">
        <v>1731</v>
      </c>
      <c r="B951" s="54" t="s">
        <v>1724</v>
      </c>
      <c r="C951" s="55" t="s">
        <v>1734</v>
      </c>
      <c r="D951" s="77" t="s">
        <v>1177</v>
      </c>
      <c r="E951" s="55" t="s">
        <v>673</v>
      </c>
      <c r="F951" s="55" t="s">
        <v>1177</v>
      </c>
      <c r="G951" s="77" t="s">
        <v>2101</v>
      </c>
      <c r="H951" s="77" t="s">
        <v>654</v>
      </c>
      <c r="I951" s="55"/>
      <c r="J951" s="56" t="s">
        <v>708</v>
      </c>
      <c r="K951" s="56" t="str">
        <f t="shared" si="28"/>
        <v>_</v>
      </c>
      <c r="L951" s="118">
        <f>ROUND(Tableau18[[#This Row],[LEN]]*7.27,0)</f>
        <v>320</v>
      </c>
      <c r="M951" s="118">
        <v>15</v>
      </c>
      <c r="N951" s="135" t="str">
        <f t="shared" si="29"/>
        <v>_self</v>
      </c>
      <c r="O951" s="118">
        <f>LEN(Tableau18[[#This Row],[LABEL]])</f>
        <v>44</v>
      </c>
      <c r="P951" s="118">
        <v>15</v>
      </c>
      <c r="Q951" s="118" t="e">
        <f>ROUND(Tableau18[[#This Row],[LEN]]*#REF!+#REF!,0)</f>
        <v>#REF!</v>
      </c>
    </row>
    <row r="952" spans="1:17" s="97" customFormat="1" x14ac:dyDescent="0.25">
      <c r="A952" s="53" t="s">
        <v>1732</v>
      </c>
      <c r="B952" s="54" t="s">
        <v>1724</v>
      </c>
      <c r="C952" s="55" t="s">
        <v>1735</v>
      </c>
      <c r="D952" s="77" t="s">
        <v>1177</v>
      </c>
      <c r="E952" s="55" t="s">
        <v>673</v>
      </c>
      <c r="F952" s="55" t="s">
        <v>1177</v>
      </c>
      <c r="G952" s="77" t="s">
        <v>2101</v>
      </c>
      <c r="H952" s="77" t="s">
        <v>654</v>
      </c>
      <c r="I952" s="55"/>
      <c r="J952" s="56" t="s">
        <v>708</v>
      </c>
      <c r="K952" s="56" t="str">
        <f t="shared" si="28"/>
        <v>_</v>
      </c>
      <c r="L952" s="118">
        <f>ROUND(Tableau18[[#This Row],[LEN]]*7.27,0)</f>
        <v>473</v>
      </c>
      <c r="M952" s="118">
        <v>15</v>
      </c>
      <c r="N952" s="135" t="str">
        <f t="shared" si="29"/>
        <v>_self</v>
      </c>
      <c r="O952" s="118">
        <f>LEN(Tableau18[[#This Row],[LABEL]])</f>
        <v>65</v>
      </c>
      <c r="P952" s="118">
        <v>15</v>
      </c>
      <c r="Q952" s="118" t="e">
        <f>ROUND(Tableau18[[#This Row],[LEN]]*#REF!+#REF!,0)</f>
        <v>#REF!</v>
      </c>
    </row>
    <row r="953" spans="1:17" s="97" customFormat="1" x14ac:dyDescent="0.25">
      <c r="A953" s="49" t="s">
        <v>1725</v>
      </c>
      <c r="B953" s="50" t="s">
        <v>313</v>
      </c>
      <c r="C953" s="51" t="s">
        <v>1736</v>
      </c>
      <c r="D953" s="76" t="s">
        <v>1177</v>
      </c>
      <c r="E953" s="51" t="s">
        <v>673</v>
      </c>
      <c r="F953" s="51" t="s">
        <v>1177</v>
      </c>
      <c r="G953" s="76" t="s">
        <v>2101</v>
      </c>
      <c r="H953" s="76" t="s">
        <v>656</v>
      </c>
      <c r="I953" s="51"/>
      <c r="J953" s="52" t="s">
        <v>1737</v>
      </c>
      <c r="K953" s="52" t="str">
        <f t="shared" si="28"/>
        <v>Documentation</v>
      </c>
      <c r="L953" s="117">
        <f>ROUND(Tableau18[[#This Row],[LEN]]*7.27,0)</f>
        <v>233</v>
      </c>
      <c r="M953" s="117">
        <v>15</v>
      </c>
      <c r="N953" s="134" t="str">
        <f t="shared" si="29"/>
        <v>_blank</v>
      </c>
      <c r="O953" s="117">
        <f>LEN(Tableau18[[#This Row],[LABEL]])</f>
        <v>32</v>
      </c>
      <c r="P953" s="117">
        <v>15</v>
      </c>
      <c r="Q953" s="117" t="e">
        <f>ROUND(Tableau18[[#This Row],[LEN]]*#REF!+#REF!,0)</f>
        <v>#REF!</v>
      </c>
    </row>
    <row r="954" spans="1:17" s="97" customFormat="1" x14ac:dyDescent="0.25">
      <c r="A954" s="49" t="s">
        <v>1726</v>
      </c>
      <c r="B954" s="50" t="s">
        <v>313</v>
      </c>
      <c r="C954" s="51" t="s">
        <v>549</v>
      </c>
      <c r="D954" s="76" t="s">
        <v>1177</v>
      </c>
      <c r="E954" s="51" t="s">
        <v>673</v>
      </c>
      <c r="F954" s="51" t="s">
        <v>1704</v>
      </c>
      <c r="G954" s="76" t="s">
        <v>2101</v>
      </c>
      <c r="H954" s="76" t="s">
        <v>655</v>
      </c>
      <c r="I954" s="51"/>
      <c r="J954" s="52" t="s">
        <v>708</v>
      </c>
      <c r="K954" s="52" t="str">
        <f t="shared" si="28"/>
        <v>_</v>
      </c>
      <c r="L954" s="117">
        <f>ROUND(Tableau18[[#This Row],[LEN]]*7.27,0)</f>
        <v>145</v>
      </c>
      <c r="M954" s="117">
        <v>15</v>
      </c>
      <c r="N954" s="134" t="str">
        <f t="shared" si="29"/>
        <v>_self</v>
      </c>
      <c r="O954" s="117">
        <f>LEN(Tableau18[[#This Row],[LABEL]])</f>
        <v>20</v>
      </c>
      <c r="P954" s="117">
        <v>15</v>
      </c>
      <c r="Q954" s="117" t="e">
        <f>ROUND(Tableau18[[#This Row],[LEN]]*#REF!+#REF!,0)</f>
        <v>#REF!</v>
      </c>
    </row>
    <row r="955" spans="1:17" s="97" customFormat="1" x14ac:dyDescent="0.25">
      <c r="A955" s="53" t="s">
        <v>1738</v>
      </c>
      <c r="B955" s="54" t="s">
        <v>1726</v>
      </c>
      <c r="C955" s="55" t="s">
        <v>590</v>
      </c>
      <c r="D955" s="77" t="s">
        <v>1177</v>
      </c>
      <c r="E955" s="55" t="s">
        <v>673</v>
      </c>
      <c r="F955" s="55" t="s">
        <v>1704</v>
      </c>
      <c r="G955" s="77" t="s">
        <v>2101</v>
      </c>
      <c r="H955" s="77" t="s">
        <v>570</v>
      </c>
      <c r="I955" s="55"/>
      <c r="J955" s="56" t="s">
        <v>708</v>
      </c>
      <c r="K955" s="56" t="str">
        <f t="shared" si="28"/>
        <v>_</v>
      </c>
      <c r="L955" s="118">
        <f>ROUND(Tableau18[[#This Row],[LEN]]*7.27,0)</f>
        <v>102</v>
      </c>
      <c r="M955" s="118">
        <v>15</v>
      </c>
      <c r="N955" s="135" t="str">
        <f t="shared" si="29"/>
        <v>_self</v>
      </c>
      <c r="O955" s="118">
        <f>LEN(Tableau18[[#This Row],[LABEL]])</f>
        <v>14</v>
      </c>
      <c r="P955" s="118">
        <v>15</v>
      </c>
      <c r="Q955" s="118" t="e">
        <f>ROUND(Tableau18[[#This Row],[LEN]]*#REF!+#REF!,0)</f>
        <v>#REF!</v>
      </c>
    </row>
    <row r="956" spans="1:17" s="97" customFormat="1" x14ac:dyDescent="0.25">
      <c r="A956" s="53" t="s">
        <v>1739</v>
      </c>
      <c r="B956" s="54" t="s">
        <v>1726</v>
      </c>
      <c r="C956" s="55" t="s">
        <v>591</v>
      </c>
      <c r="D956" s="77" t="s">
        <v>1177</v>
      </c>
      <c r="E956" s="55" t="s">
        <v>673</v>
      </c>
      <c r="F956" s="55" t="s">
        <v>1704</v>
      </c>
      <c r="G956" s="77" t="s">
        <v>2101</v>
      </c>
      <c r="H956" s="77" t="s">
        <v>570</v>
      </c>
      <c r="I956" s="55"/>
      <c r="J956" s="56" t="s">
        <v>708</v>
      </c>
      <c r="K956" s="56" t="str">
        <f t="shared" si="28"/>
        <v>_</v>
      </c>
      <c r="L956" s="118">
        <f>ROUND(Tableau18[[#This Row],[LEN]]*7.27,0)</f>
        <v>262</v>
      </c>
      <c r="M956" s="118">
        <v>15</v>
      </c>
      <c r="N956" s="135" t="str">
        <f t="shared" si="29"/>
        <v>_self</v>
      </c>
      <c r="O956" s="118">
        <f>LEN(Tableau18[[#This Row],[LABEL]])</f>
        <v>36</v>
      </c>
      <c r="P956" s="118">
        <v>15</v>
      </c>
      <c r="Q956" s="118" t="e">
        <f>ROUND(Tableau18[[#This Row],[LEN]]*#REF!+#REF!,0)</f>
        <v>#REF!</v>
      </c>
    </row>
    <row r="957" spans="1:17" s="97" customFormat="1" x14ac:dyDescent="0.25">
      <c r="A957" s="53" t="s">
        <v>1740</v>
      </c>
      <c r="B957" s="54" t="s">
        <v>1726</v>
      </c>
      <c r="C957" s="55" t="s">
        <v>592</v>
      </c>
      <c r="D957" s="77" t="s">
        <v>1177</v>
      </c>
      <c r="E957" s="55" t="s">
        <v>673</v>
      </c>
      <c r="F957" s="55" t="s">
        <v>1704</v>
      </c>
      <c r="G957" s="77" t="s">
        <v>2101</v>
      </c>
      <c r="H957" s="77" t="s">
        <v>570</v>
      </c>
      <c r="I957" s="55"/>
      <c r="J957" s="56" t="s">
        <v>708</v>
      </c>
      <c r="K957" s="56" t="str">
        <f t="shared" si="28"/>
        <v>_</v>
      </c>
      <c r="L957" s="118">
        <f>ROUND(Tableau18[[#This Row],[LEN]]*7.27,0)</f>
        <v>189</v>
      </c>
      <c r="M957" s="118">
        <v>15</v>
      </c>
      <c r="N957" s="135" t="str">
        <f t="shared" si="29"/>
        <v>_self</v>
      </c>
      <c r="O957" s="118">
        <f>LEN(Tableau18[[#This Row],[LABEL]])</f>
        <v>26</v>
      </c>
      <c r="P957" s="118">
        <v>15</v>
      </c>
      <c r="Q957" s="118" t="e">
        <f>ROUND(Tableau18[[#This Row],[LEN]]*#REF!+#REF!,0)</f>
        <v>#REF!</v>
      </c>
    </row>
    <row r="958" spans="1:17" s="97" customFormat="1" x14ac:dyDescent="0.25">
      <c r="A958" s="53" t="s">
        <v>1741</v>
      </c>
      <c r="B958" s="54" t="s">
        <v>1726</v>
      </c>
      <c r="C958" s="55" t="s">
        <v>597</v>
      </c>
      <c r="D958" s="77" t="s">
        <v>1177</v>
      </c>
      <c r="E958" s="55" t="s">
        <v>673</v>
      </c>
      <c r="F958" s="55" t="s">
        <v>1704</v>
      </c>
      <c r="G958" s="77" t="s">
        <v>2101</v>
      </c>
      <c r="H958" s="77" t="s">
        <v>570</v>
      </c>
      <c r="I958" s="55"/>
      <c r="J958" s="56" t="s">
        <v>708</v>
      </c>
      <c r="K958" s="56" t="str">
        <f t="shared" si="28"/>
        <v>_</v>
      </c>
      <c r="L958" s="118">
        <f>ROUND(Tableau18[[#This Row],[LEN]]*7.27,0)</f>
        <v>465</v>
      </c>
      <c r="M958" s="118">
        <v>15</v>
      </c>
      <c r="N958" s="135" t="str">
        <f t="shared" si="29"/>
        <v>_self</v>
      </c>
      <c r="O958" s="118">
        <f>LEN(Tableau18[[#This Row],[LABEL]])</f>
        <v>64</v>
      </c>
      <c r="P958" s="118">
        <v>15</v>
      </c>
      <c r="Q958" s="118" t="e">
        <f>ROUND(Tableau18[[#This Row],[LEN]]*#REF!+#REF!,0)</f>
        <v>#REF!</v>
      </c>
    </row>
    <row r="959" spans="1:17" s="97" customFormat="1" x14ac:dyDescent="0.25">
      <c r="A959" s="49" t="s">
        <v>1727</v>
      </c>
      <c r="B959" s="50" t="s">
        <v>313</v>
      </c>
      <c r="C959" s="51" t="s">
        <v>598</v>
      </c>
      <c r="D959" s="76" t="s">
        <v>1177</v>
      </c>
      <c r="E959" s="51" t="s">
        <v>673</v>
      </c>
      <c r="F959" s="51" t="s">
        <v>2035</v>
      </c>
      <c r="G959" s="76" t="s">
        <v>2101</v>
      </c>
      <c r="H959" s="76" t="s">
        <v>654</v>
      </c>
      <c r="I959" s="51"/>
      <c r="J959" s="52" t="s">
        <v>708</v>
      </c>
      <c r="K959" s="52" t="str">
        <f t="shared" si="28"/>
        <v>_</v>
      </c>
      <c r="L959" s="117">
        <f>ROUND(Tableau18[[#This Row],[LEN]]*7.27,0)</f>
        <v>553</v>
      </c>
      <c r="M959" s="117">
        <v>15</v>
      </c>
      <c r="N959" s="134" t="str">
        <f t="shared" si="29"/>
        <v>_self</v>
      </c>
      <c r="O959" s="117">
        <f>LEN(Tableau18[[#This Row],[LABEL]])</f>
        <v>76</v>
      </c>
      <c r="P959" s="117">
        <v>15</v>
      </c>
      <c r="Q959" s="117" t="e">
        <f>ROUND(Tableau18[[#This Row],[LEN]]*#REF!+#REF!,0)</f>
        <v>#REF!</v>
      </c>
    </row>
    <row r="960" spans="1:17" s="273" customFormat="1" x14ac:dyDescent="0.25">
      <c r="A960" s="351" t="s">
        <v>314</v>
      </c>
      <c r="B960" s="352" t="s">
        <v>209</v>
      </c>
      <c r="C960" s="353" t="s">
        <v>11</v>
      </c>
      <c r="D960" s="354" t="s">
        <v>1177</v>
      </c>
      <c r="E960" s="353" t="s">
        <v>674</v>
      </c>
      <c r="F960" s="353" t="s">
        <v>1177</v>
      </c>
      <c r="G960" s="354" t="s">
        <v>2101</v>
      </c>
      <c r="H960" s="354" t="str">
        <f>IFERROR(IF(SEARCH(".00.00.00.00.00",Tableau18[[#This Row],[name]],1)=7,"Division",""),"")</f>
        <v>Division</v>
      </c>
      <c r="I960" s="353"/>
      <c r="J960" s="355" t="s">
        <v>720</v>
      </c>
      <c r="K960" s="355" t="str">
        <f t="shared" si="28"/>
        <v>Documentation</v>
      </c>
      <c r="L960" s="356">
        <f>ROUND(Tableau18[[#This Row],[LEN]]*7.27,0)</f>
        <v>51</v>
      </c>
      <c r="M960" s="356">
        <v>15</v>
      </c>
      <c r="N960" s="357" t="str">
        <f t="shared" si="29"/>
        <v>_blank</v>
      </c>
      <c r="O960" s="356">
        <f>LEN(Tableau18[[#This Row],[LABEL]])</f>
        <v>7</v>
      </c>
      <c r="P960" s="356">
        <v>15</v>
      </c>
      <c r="Q960" s="356" t="e">
        <f>ROUND(Tableau18[[#This Row],[LEN]]*#REF!+#REF!,0)</f>
        <v>#REF!</v>
      </c>
    </row>
    <row r="961" spans="1:17" s="97" customFormat="1" x14ac:dyDescent="0.25">
      <c r="A961" s="49" t="s">
        <v>1742</v>
      </c>
      <c r="B961" s="50" t="s">
        <v>314</v>
      </c>
      <c r="C961" s="51" t="s">
        <v>2108</v>
      </c>
      <c r="D961" s="76" t="s">
        <v>1177</v>
      </c>
      <c r="E961" s="51" t="s">
        <v>674</v>
      </c>
      <c r="F961" s="51" t="s">
        <v>674</v>
      </c>
      <c r="G961" s="76" t="s">
        <v>2101</v>
      </c>
      <c r="H961" s="76" t="s">
        <v>655</v>
      </c>
      <c r="I961" s="51"/>
      <c r="J961" s="52" t="s">
        <v>708</v>
      </c>
      <c r="K961" s="52" t="str">
        <f t="shared" si="28"/>
        <v>_</v>
      </c>
      <c r="L961" s="117">
        <f>ROUND(Tableau18[[#This Row],[LEN]]*7.27,0)</f>
        <v>124</v>
      </c>
      <c r="M961" s="117">
        <v>15</v>
      </c>
      <c r="N961" s="134" t="str">
        <f t="shared" si="29"/>
        <v>_self</v>
      </c>
      <c r="O961" s="117">
        <f>LEN(Tableau18[[#This Row],[LABEL]])</f>
        <v>17</v>
      </c>
      <c r="P961" s="117">
        <v>15</v>
      </c>
      <c r="Q961" s="117" t="e">
        <f>ROUND(Tableau18[[#This Row],[LEN]]*#REF!+#REF!,0)</f>
        <v>#REF!</v>
      </c>
    </row>
    <row r="962" spans="1:17" s="97" customFormat="1" x14ac:dyDescent="0.25">
      <c r="A962" s="53" t="s">
        <v>1747</v>
      </c>
      <c r="B962" s="54" t="s">
        <v>1742</v>
      </c>
      <c r="C962" s="55" t="s">
        <v>2117</v>
      </c>
      <c r="D962" s="77" t="s">
        <v>2115</v>
      </c>
      <c r="E962" s="55" t="s">
        <v>674</v>
      </c>
      <c r="F962" s="55" t="s">
        <v>670</v>
      </c>
      <c r="G962" s="77" t="s">
        <v>2101</v>
      </c>
      <c r="H962" s="77" t="s">
        <v>656</v>
      </c>
      <c r="I962" s="55"/>
      <c r="J962" s="56" t="s">
        <v>708</v>
      </c>
      <c r="K962" s="56" t="str">
        <f t="shared" ref="K962:K1025" si="30">IF(J962="javascript:void(0)","_","Documentation")</f>
        <v>_</v>
      </c>
      <c r="L962" s="118">
        <f>ROUND(Tableau18[[#This Row],[LEN]]*7.27,0)</f>
        <v>458</v>
      </c>
      <c r="M962" s="118">
        <v>15</v>
      </c>
      <c r="N962" s="135" t="str">
        <f t="shared" si="29"/>
        <v>_self</v>
      </c>
      <c r="O962" s="118">
        <f>LEN(Tableau18[[#This Row],[LABEL]])</f>
        <v>63</v>
      </c>
      <c r="P962" s="118">
        <v>15</v>
      </c>
      <c r="Q962" s="118" t="e">
        <f>ROUND(Tableau18[[#This Row],[LEN]]*#REF!+#REF!,0)</f>
        <v>#REF!</v>
      </c>
    </row>
    <row r="963" spans="1:17" s="97" customFormat="1" x14ac:dyDescent="0.25">
      <c r="A963" s="53" t="s">
        <v>1748</v>
      </c>
      <c r="B963" s="54" t="s">
        <v>1742</v>
      </c>
      <c r="C963" s="55" t="s">
        <v>2116</v>
      </c>
      <c r="D963" s="77" t="s">
        <v>1177</v>
      </c>
      <c r="E963" s="55" t="s">
        <v>674</v>
      </c>
      <c r="F963" s="55" t="s">
        <v>674</v>
      </c>
      <c r="G963" s="77" t="s">
        <v>2101</v>
      </c>
      <c r="H963" s="77" t="s">
        <v>656</v>
      </c>
      <c r="I963" s="55"/>
      <c r="J963" s="56" t="s">
        <v>708</v>
      </c>
      <c r="K963" s="56" t="str">
        <f t="shared" si="30"/>
        <v>_</v>
      </c>
      <c r="L963" s="118">
        <f>ROUND(Tableau18[[#This Row],[LEN]]*7.27,0)</f>
        <v>414</v>
      </c>
      <c r="M963" s="118">
        <v>15</v>
      </c>
      <c r="N963" s="135" t="str">
        <f t="shared" ref="N963:N1026" si="31">IF(J963="javascript:void(0)","_self","_blank")</f>
        <v>_self</v>
      </c>
      <c r="O963" s="118">
        <f>LEN(Tableau18[[#This Row],[LABEL]])</f>
        <v>57</v>
      </c>
      <c r="P963" s="118">
        <v>15</v>
      </c>
      <c r="Q963" s="118" t="e">
        <f>ROUND(Tableau18[[#This Row],[LEN]]*#REF!+#REF!,0)</f>
        <v>#REF!</v>
      </c>
    </row>
    <row r="964" spans="1:17" s="97" customFormat="1" x14ac:dyDescent="0.25">
      <c r="A964" s="53" t="s">
        <v>2111</v>
      </c>
      <c r="B964" s="54" t="s">
        <v>1742</v>
      </c>
      <c r="C964" s="55" t="s">
        <v>2118</v>
      </c>
      <c r="D964" s="77" t="s">
        <v>1177</v>
      </c>
      <c r="E964" s="55" t="s">
        <v>674</v>
      </c>
      <c r="F964" s="55" t="s">
        <v>674</v>
      </c>
      <c r="G964" s="77" t="s">
        <v>2101</v>
      </c>
      <c r="H964" s="77" t="s">
        <v>656</v>
      </c>
      <c r="I964" s="55"/>
      <c r="J964" s="56" t="s">
        <v>708</v>
      </c>
      <c r="K964" s="56" t="str">
        <f t="shared" si="30"/>
        <v>_</v>
      </c>
      <c r="L964" s="118">
        <f>ROUND(Tableau18[[#This Row],[LEN]]*7.27,0)</f>
        <v>545</v>
      </c>
      <c r="M964" s="118">
        <v>15</v>
      </c>
      <c r="N964" s="135" t="str">
        <f t="shared" si="31"/>
        <v>_self</v>
      </c>
      <c r="O964" s="118">
        <f>LEN(Tableau18[[#This Row],[LABEL]])</f>
        <v>75</v>
      </c>
      <c r="P964" s="118">
        <v>15</v>
      </c>
      <c r="Q964" s="118" t="e">
        <f>ROUND(Tableau18[[#This Row],[LEN]]*#REF!+#REF!,0)</f>
        <v>#REF!</v>
      </c>
    </row>
    <row r="965" spans="1:17" s="97" customFormat="1" x14ac:dyDescent="0.25">
      <c r="A965" s="53" t="s">
        <v>2112</v>
      </c>
      <c r="B965" s="54" t="s">
        <v>1742</v>
      </c>
      <c r="C965" s="55" t="s">
        <v>2119</v>
      </c>
      <c r="D965" s="77" t="s">
        <v>1177</v>
      </c>
      <c r="E965" s="55" t="s">
        <v>674</v>
      </c>
      <c r="F965" s="55" t="s">
        <v>674</v>
      </c>
      <c r="G965" s="77" t="s">
        <v>2101</v>
      </c>
      <c r="H965" s="77" t="s">
        <v>656</v>
      </c>
      <c r="I965" s="55"/>
      <c r="J965" s="56" t="s">
        <v>708</v>
      </c>
      <c r="K965" s="56" t="str">
        <f t="shared" si="30"/>
        <v>_</v>
      </c>
      <c r="L965" s="118">
        <f>ROUND(Tableau18[[#This Row],[LEN]]*7.27,0)</f>
        <v>436</v>
      </c>
      <c r="M965" s="118">
        <v>15</v>
      </c>
      <c r="N965" s="135" t="str">
        <f t="shared" si="31"/>
        <v>_self</v>
      </c>
      <c r="O965" s="118">
        <f>LEN(Tableau18[[#This Row],[LABEL]])</f>
        <v>60</v>
      </c>
      <c r="P965" s="118">
        <v>15</v>
      </c>
      <c r="Q965" s="118" t="e">
        <f>ROUND(Tableau18[[#This Row],[LEN]]*#REF!+#REF!,0)</f>
        <v>#REF!</v>
      </c>
    </row>
    <row r="966" spans="1:17" s="97" customFormat="1" x14ac:dyDescent="0.25">
      <c r="A966" s="53" t="s">
        <v>2113</v>
      </c>
      <c r="B966" s="54" t="s">
        <v>1742</v>
      </c>
      <c r="C966" s="55" t="s">
        <v>2120</v>
      </c>
      <c r="D966" s="77" t="s">
        <v>1177</v>
      </c>
      <c r="E966" s="55" t="s">
        <v>674</v>
      </c>
      <c r="F966" s="55" t="s">
        <v>674</v>
      </c>
      <c r="G966" s="77" t="s">
        <v>2101</v>
      </c>
      <c r="H966" s="77" t="s">
        <v>656</v>
      </c>
      <c r="I966" s="55"/>
      <c r="J966" s="56" t="s">
        <v>708</v>
      </c>
      <c r="K966" s="56" t="str">
        <f t="shared" si="30"/>
        <v>_</v>
      </c>
      <c r="L966" s="118">
        <f>ROUND(Tableau18[[#This Row],[LEN]]*7.27,0)</f>
        <v>400</v>
      </c>
      <c r="M966" s="118">
        <v>15</v>
      </c>
      <c r="N966" s="135" t="str">
        <f t="shared" si="31"/>
        <v>_self</v>
      </c>
      <c r="O966" s="118">
        <f>LEN(Tableau18[[#This Row],[LABEL]])</f>
        <v>55</v>
      </c>
      <c r="P966" s="118">
        <v>15</v>
      </c>
      <c r="Q966" s="118" t="e">
        <f>ROUND(Tableau18[[#This Row],[LEN]]*#REF!+#REF!,0)</f>
        <v>#REF!</v>
      </c>
    </row>
    <row r="967" spans="1:17" s="97" customFormat="1" x14ac:dyDescent="0.25">
      <c r="A967" s="53" t="s">
        <v>2114</v>
      </c>
      <c r="B967" s="54" t="s">
        <v>1742</v>
      </c>
      <c r="C967" s="55" t="s">
        <v>2121</v>
      </c>
      <c r="D967" s="77" t="s">
        <v>1177</v>
      </c>
      <c r="E967" s="55" t="s">
        <v>674</v>
      </c>
      <c r="F967" s="55" t="s">
        <v>674</v>
      </c>
      <c r="G967" s="77" t="s">
        <v>2101</v>
      </c>
      <c r="H967" s="77" t="s">
        <v>656</v>
      </c>
      <c r="I967" s="55"/>
      <c r="J967" s="56" t="s">
        <v>708</v>
      </c>
      <c r="K967" s="56" t="str">
        <f t="shared" si="30"/>
        <v>_</v>
      </c>
      <c r="L967" s="118">
        <f>ROUND(Tableau18[[#This Row],[LEN]]*7.27,0)</f>
        <v>393</v>
      </c>
      <c r="M967" s="118">
        <v>15</v>
      </c>
      <c r="N967" s="135" t="str">
        <f t="shared" si="31"/>
        <v>_self</v>
      </c>
      <c r="O967" s="118">
        <f>LEN(Tableau18[[#This Row],[LABEL]])</f>
        <v>54</v>
      </c>
      <c r="P967" s="118">
        <v>15</v>
      </c>
      <c r="Q967" s="118" t="e">
        <f>ROUND(Tableau18[[#This Row],[LEN]]*#REF!+#REF!,0)</f>
        <v>#REF!</v>
      </c>
    </row>
    <row r="968" spans="1:17" s="97" customFormat="1" x14ac:dyDescent="0.25">
      <c r="A968" s="49" t="s">
        <v>1743</v>
      </c>
      <c r="B968" s="50" t="s">
        <v>314</v>
      </c>
      <c r="C968" s="51" t="s">
        <v>2109</v>
      </c>
      <c r="D968" s="76" t="s">
        <v>1177</v>
      </c>
      <c r="E968" s="51" t="s">
        <v>674</v>
      </c>
      <c r="F968" s="51" t="s">
        <v>674</v>
      </c>
      <c r="G968" s="76" t="s">
        <v>2101</v>
      </c>
      <c r="H968" s="76" t="s">
        <v>655</v>
      </c>
      <c r="I968" s="51"/>
      <c r="J968" s="52" t="s">
        <v>708</v>
      </c>
      <c r="K968" s="52" t="str">
        <f t="shared" si="30"/>
        <v>_</v>
      </c>
      <c r="L968" s="117">
        <f>ROUND(Tableau18[[#This Row],[LEN]]*7.27,0)</f>
        <v>109</v>
      </c>
      <c r="M968" s="117">
        <v>15</v>
      </c>
      <c r="N968" s="134" t="str">
        <f t="shared" si="31"/>
        <v>_self</v>
      </c>
      <c r="O968" s="117">
        <f>LEN(Tableau18[[#This Row],[LABEL]])</f>
        <v>15</v>
      </c>
      <c r="P968" s="117">
        <v>15</v>
      </c>
      <c r="Q968" s="117" t="e">
        <f>ROUND(Tableau18[[#This Row],[LEN]]*#REF!+#REF!,0)</f>
        <v>#REF!</v>
      </c>
    </row>
    <row r="969" spans="1:17" s="97" customFormat="1" x14ac:dyDescent="0.25">
      <c r="A969" s="53" t="s">
        <v>2122</v>
      </c>
      <c r="B969" s="54" t="s">
        <v>1743</v>
      </c>
      <c r="C969" s="55" t="s">
        <v>2128</v>
      </c>
      <c r="D969" s="77" t="s">
        <v>1177</v>
      </c>
      <c r="E969" s="55" t="s">
        <v>674</v>
      </c>
      <c r="F969" s="55" t="s">
        <v>674</v>
      </c>
      <c r="G969" s="77" t="s">
        <v>2101</v>
      </c>
      <c r="H969" s="77" t="s">
        <v>656</v>
      </c>
      <c r="I969" s="55"/>
      <c r="J969" s="56" t="s">
        <v>708</v>
      </c>
      <c r="K969" s="56" t="str">
        <f t="shared" si="30"/>
        <v>_</v>
      </c>
      <c r="L969" s="118">
        <f>ROUND(Tableau18[[#This Row],[LEN]]*7.27,0)</f>
        <v>291</v>
      </c>
      <c r="M969" s="118">
        <v>15</v>
      </c>
      <c r="N969" s="135" t="str">
        <f t="shared" si="31"/>
        <v>_self</v>
      </c>
      <c r="O969" s="118">
        <f>LEN(Tableau18[[#This Row],[LABEL]])</f>
        <v>40</v>
      </c>
      <c r="P969" s="118">
        <v>15</v>
      </c>
      <c r="Q969" s="118" t="e">
        <f>ROUND(Tableau18[[#This Row],[LEN]]*#REF!+#REF!,0)</f>
        <v>#REF!</v>
      </c>
    </row>
    <row r="970" spans="1:17" s="97" customFormat="1" x14ac:dyDescent="0.25">
      <c r="A970" s="53" t="s">
        <v>2123</v>
      </c>
      <c r="B970" s="54" t="s">
        <v>1743</v>
      </c>
      <c r="C970" s="55" t="s">
        <v>2129</v>
      </c>
      <c r="D970" s="77" t="s">
        <v>1177</v>
      </c>
      <c r="E970" s="55" t="s">
        <v>674</v>
      </c>
      <c r="F970" s="55" t="s">
        <v>674</v>
      </c>
      <c r="G970" s="77" t="s">
        <v>2101</v>
      </c>
      <c r="H970" s="77" t="s">
        <v>656</v>
      </c>
      <c r="I970" s="55"/>
      <c r="J970" s="56" t="s">
        <v>708</v>
      </c>
      <c r="K970" s="56" t="str">
        <f t="shared" si="30"/>
        <v>_</v>
      </c>
      <c r="L970" s="118">
        <f>ROUND(Tableau18[[#This Row],[LEN]]*7.27,0)</f>
        <v>65</v>
      </c>
      <c r="M970" s="118">
        <v>15</v>
      </c>
      <c r="N970" s="135" t="str">
        <f t="shared" si="31"/>
        <v>_self</v>
      </c>
      <c r="O970" s="118">
        <f>LEN(Tableau18[[#This Row],[LABEL]])</f>
        <v>9</v>
      </c>
      <c r="P970" s="118">
        <v>15</v>
      </c>
      <c r="Q970" s="118" t="e">
        <f>ROUND(Tableau18[[#This Row],[LEN]]*#REF!+#REF!,0)</f>
        <v>#REF!</v>
      </c>
    </row>
    <row r="971" spans="1:17" s="97" customFormat="1" x14ac:dyDescent="0.25">
      <c r="A971" s="53" t="s">
        <v>2124</v>
      </c>
      <c r="B971" s="54" t="s">
        <v>1743</v>
      </c>
      <c r="C971" s="55" t="s">
        <v>2130</v>
      </c>
      <c r="D971" s="77" t="s">
        <v>1177</v>
      </c>
      <c r="E971" s="55" t="s">
        <v>674</v>
      </c>
      <c r="F971" s="55" t="s">
        <v>674</v>
      </c>
      <c r="G971" s="77" t="s">
        <v>2101</v>
      </c>
      <c r="H971" s="77" t="s">
        <v>656</v>
      </c>
      <c r="I971" s="55"/>
      <c r="J971" s="56" t="s">
        <v>708</v>
      </c>
      <c r="K971" s="56" t="str">
        <f t="shared" si="30"/>
        <v>_</v>
      </c>
      <c r="L971" s="118">
        <f>ROUND(Tableau18[[#This Row],[LEN]]*7.27,0)</f>
        <v>204</v>
      </c>
      <c r="M971" s="118">
        <v>15</v>
      </c>
      <c r="N971" s="135" t="str">
        <f t="shared" si="31"/>
        <v>_self</v>
      </c>
      <c r="O971" s="118">
        <f>LEN(Tableau18[[#This Row],[LABEL]])</f>
        <v>28</v>
      </c>
      <c r="P971" s="118">
        <v>15</v>
      </c>
      <c r="Q971" s="118" t="e">
        <f>ROUND(Tableau18[[#This Row],[LEN]]*#REF!+#REF!,0)</f>
        <v>#REF!</v>
      </c>
    </row>
    <row r="972" spans="1:17" s="97" customFormat="1" x14ac:dyDescent="0.25">
      <c r="A972" s="53" t="s">
        <v>2125</v>
      </c>
      <c r="B972" s="54" t="s">
        <v>1743</v>
      </c>
      <c r="C972" s="55" t="s">
        <v>2131</v>
      </c>
      <c r="D972" s="77" t="s">
        <v>1177</v>
      </c>
      <c r="E972" s="55" t="s">
        <v>674</v>
      </c>
      <c r="F972" s="55" t="s">
        <v>674</v>
      </c>
      <c r="G972" s="77" t="s">
        <v>2101</v>
      </c>
      <c r="H972" s="77" t="s">
        <v>656</v>
      </c>
      <c r="I972" s="55"/>
      <c r="J972" s="56" t="s">
        <v>708</v>
      </c>
      <c r="K972" s="56" t="str">
        <f t="shared" si="30"/>
        <v>_</v>
      </c>
      <c r="L972" s="118">
        <f>ROUND(Tableau18[[#This Row],[LEN]]*7.27,0)</f>
        <v>349</v>
      </c>
      <c r="M972" s="118">
        <v>15</v>
      </c>
      <c r="N972" s="135" t="str">
        <f t="shared" si="31"/>
        <v>_self</v>
      </c>
      <c r="O972" s="118">
        <f>LEN(Tableau18[[#This Row],[LABEL]])</f>
        <v>48</v>
      </c>
      <c r="P972" s="118">
        <v>15</v>
      </c>
      <c r="Q972" s="118" t="e">
        <f>ROUND(Tableau18[[#This Row],[LEN]]*#REF!+#REF!,0)</f>
        <v>#REF!</v>
      </c>
    </row>
    <row r="973" spans="1:17" s="97" customFormat="1" x14ac:dyDescent="0.25">
      <c r="A973" s="53" t="s">
        <v>2126</v>
      </c>
      <c r="B973" s="54" t="s">
        <v>1743</v>
      </c>
      <c r="C973" s="55" t="s">
        <v>2132</v>
      </c>
      <c r="D973" s="77" t="s">
        <v>1177</v>
      </c>
      <c r="E973" s="55" t="s">
        <v>674</v>
      </c>
      <c r="F973" s="55" t="s">
        <v>674</v>
      </c>
      <c r="G973" s="77" t="s">
        <v>2101</v>
      </c>
      <c r="H973" s="77" t="s">
        <v>656</v>
      </c>
      <c r="I973" s="55"/>
      <c r="J973" s="56" t="s">
        <v>708</v>
      </c>
      <c r="K973" s="56" t="str">
        <f t="shared" si="30"/>
        <v>_</v>
      </c>
      <c r="L973" s="118">
        <f>ROUND(Tableau18[[#This Row],[LEN]]*7.27,0)</f>
        <v>138</v>
      </c>
      <c r="M973" s="118">
        <v>15</v>
      </c>
      <c r="N973" s="135" t="str">
        <f t="shared" si="31"/>
        <v>_self</v>
      </c>
      <c r="O973" s="118">
        <f>LEN(Tableau18[[#This Row],[LABEL]])</f>
        <v>19</v>
      </c>
      <c r="P973" s="118">
        <v>15</v>
      </c>
      <c r="Q973" s="118" t="e">
        <f>ROUND(Tableau18[[#This Row],[LEN]]*#REF!+#REF!,0)</f>
        <v>#REF!</v>
      </c>
    </row>
    <row r="974" spans="1:17" s="97" customFormat="1" x14ac:dyDescent="0.25">
      <c r="A974" s="53" t="s">
        <v>2127</v>
      </c>
      <c r="B974" s="54" t="s">
        <v>1743</v>
      </c>
      <c r="C974" s="55" t="s">
        <v>2133</v>
      </c>
      <c r="D974" s="77" t="s">
        <v>1177</v>
      </c>
      <c r="E974" s="55" t="s">
        <v>674</v>
      </c>
      <c r="F974" s="55" t="s">
        <v>674</v>
      </c>
      <c r="G974" s="77" t="s">
        <v>2101</v>
      </c>
      <c r="H974" s="77" t="s">
        <v>656</v>
      </c>
      <c r="I974" s="55"/>
      <c r="J974" s="56" t="s">
        <v>708</v>
      </c>
      <c r="K974" s="56" t="str">
        <f t="shared" si="30"/>
        <v>_</v>
      </c>
      <c r="L974" s="118">
        <f>ROUND(Tableau18[[#This Row],[LEN]]*7.27,0)</f>
        <v>254</v>
      </c>
      <c r="M974" s="118">
        <v>15</v>
      </c>
      <c r="N974" s="135" t="str">
        <f t="shared" si="31"/>
        <v>_self</v>
      </c>
      <c r="O974" s="118">
        <f>LEN(Tableau18[[#This Row],[LABEL]])</f>
        <v>35</v>
      </c>
      <c r="P974" s="118">
        <v>15</v>
      </c>
      <c r="Q974" s="118" t="e">
        <f>ROUND(Tableau18[[#This Row],[LEN]]*#REF!+#REF!,0)</f>
        <v>#REF!</v>
      </c>
    </row>
    <row r="975" spans="1:17" s="97" customFormat="1" x14ac:dyDescent="0.25">
      <c r="A975" s="53" t="s">
        <v>2134</v>
      </c>
      <c r="B975" s="54" t="s">
        <v>1743</v>
      </c>
      <c r="C975" s="55" t="s">
        <v>1754</v>
      </c>
      <c r="D975" s="77" t="s">
        <v>1177</v>
      </c>
      <c r="E975" s="55" t="s">
        <v>674</v>
      </c>
      <c r="F975" s="55" t="s">
        <v>674</v>
      </c>
      <c r="G975" s="77" t="s">
        <v>2101</v>
      </c>
      <c r="H975" s="77" t="s">
        <v>656</v>
      </c>
      <c r="I975" s="55"/>
      <c r="J975" s="56" t="s">
        <v>708</v>
      </c>
      <c r="K975" s="56" t="str">
        <f t="shared" si="30"/>
        <v>_</v>
      </c>
      <c r="L975" s="118">
        <f>ROUND(Tableau18[[#This Row],[LEN]]*7.27,0)</f>
        <v>327</v>
      </c>
      <c r="M975" s="118">
        <v>15</v>
      </c>
      <c r="N975" s="135" t="str">
        <f t="shared" si="31"/>
        <v>_self</v>
      </c>
      <c r="O975" s="118">
        <f>LEN(Tableau18[[#This Row],[LABEL]])</f>
        <v>45</v>
      </c>
      <c r="P975" s="118">
        <v>15</v>
      </c>
      <c r="Q975" s="118" t="e">
        <f>ROUND(Tableau18[[#This Row],[LEN]]*#REF!+#REF!,0)</f>
        <v>#REF!</v>
      </c>
    </row>
    <row r="976" spans="1:17" s="97" customFormat="1" x14ac:dyDescent="0.25">
      <c r="A976" s="49" t="s">
        <v>1745</v>
      </c>
      <c r="B976" s="50" t="s">
        <v>314</v>
      </c>
      <c r="C976" s="51" t="s">
        <v>129</v>
      </c>
      <c r="D976" s="76" t="s">
        <v>1177</v>
      </c>
      <c r="E976" s="51" t="s">
        <v>673</v>
      </c>
      <c r="F976" s="51" t="s">
        <v>2035</v>
      </c>
      <c r="G976" s="76" t="s">
        <v>2101</v>
      </c>
      <c r="H976" s="76" t="s">
        <v>655</v>
      </c>
      <c r="I976" s="51"/>
      <c r="J976" s="52" t="s">
        <v>708</v>
      </c>
      <c r="K976" s="52" t="str">
        <f t="shared" si="30"/>
        <v>_</v>
      </c>
      <c r="L976" s="117">
        <f>ROUND(Tableau18[[#This Row],[LEN]]*7.27,0)</f>
        <v>87</v>
      </c>
      <c r="M976" s="117">
        <v>15</v>
      </c>
      <c r="N976" s="134" t="str">
        <f t="shared" si="31"/>
        <v>_self</v>
      </c>
      <c r="O976" s="117">
        <f>LEN(Tableau18[[#This Row],[LABEL]])</f>
        <v>12</v>
      </c>
      <c r="P976" s="117">
        <v>15</v>
      </c>
      <c r="Q976" s="117" t="e">
        <f>ROUND(Tableau18[[#This Row],[LEN]]*#REF!+#REF!,0)</f>
        <v>#REF!</v>
      </c>
    </row>
    <row r="977" spans="1:17" s="97" customFormat="1" x14ac:dyDescent="0.25">
      <c r="A977" s="53" t="s">
        <v>2102</v>
      </c>
      <c r="B977" s="54" t="s">
        <v>1745</v>
      </c>
      <c r="C977" s="55" t="s">
        <v>131</v>
      </c>
      <c r="D977" s="77" t="s">
        <v>1177</v>
      </c>
      <c r="E977" s="55" t="s">
        <v>673</v>
      </c>
      <c r="F977" s="55" t="s">
        <v>2035</v>
      </c>
      <c r="G977" s="77" t="s">
        <v>2101</v>
      </c>
      <c r="H977" s="77" t="s">
        <v>570</v>
      </c>
      <c r="I977" s="55"/>
      <c r="J977" s="56" t="s">
        <v>708</v>
      </c>
      <c r="K977" s="56" t="str">
        <f t="shared" si="30"/>
        <v>_</v>
      </c>
      <c r="L977" s="118">
        <f>ROUND(Tableau18[[#This Row],[LEN]]*7.27,0)</f>
        <v>262</v>
      </c>
      <c r="M977" s="118">
        <v>15</v>
      </c>
      <c r="N977" s="135" t="str">
        <f t="shared" si="31"/>
        <v>_self</v>
      </c>
      <c r="O977" s="118">
        <f>LEN(Tableau18[[#This Row],[LABEL]])</f>
        <v>36</v>
      </c>
      <c r="P977" s="118">
        <v>15</v>
      </c>
      <c r="Q977" s="118" t="e">
        <f>ROUND(Tableau18[[#This Row],[LEN]]*#REF!+#REF!,0)</f>
        <v>#REF!</v>
      </c>
    </row>
    <row r="978" spans="1:17" s="97" customFormat="1" x14ac:dyDescent="0.25">
      <c r="A978" s="53" t="s">
        <v>2103</v>
      </c>
      <c r="B978" s="54" t="s">
        <v>1745</v>
      </c>
      <c r="C978" s="55" t="s">
        <v>132</v>
      </c>
      <c r="D978" s="77" t="s">
        <v>1177</v>
      </c>
      <c r="E978" s="55" t="s">
        <v>673</v>
      </c>
      <c r="F978" s="55" t="s">
        <v>2035</v>
      </c>
      <c r="G978" s="77" t="s">
        <v>2101</v>
      </c>
      <c r="H978" s="77" t="s">
        <v>570</v>
      </c>
      <c r="I978" s="55"/>
      <c r="J978" s="56" t="s">
        <v>708</v>
      </c>
      <c r="K978" s="56" t="str">
        <f t="shared" si="30"/>
        <v>_</v>
      </c>
      <c r="L978" s="118">
        <f>ROUND(Tableau18[[#This Row],[LEN]]*7.27,0)</f>
        <v>298</v>
      </c>
      <c r="M978" s="118">
        <v>15</v>
      </c>
      <c r="N978" s="135" t="str">
        <f t="shared" si="31"/>
        <v>_self</v>
      </c>
      <c r="O978" s="118">
        <f>LEN(Tableau18[[#This Row],[LABEL]])</f>
        <v>41</v>
      </c>
      <c r="P978" s="118">
        <v>15</v>
      </c>
      <c r="Q978" s="118" t="e">
        <f>ROUND(Tableau18[[#This Row],[LEN]]*#REF!+#REF!,0)</f>
        <v>#REF!</v>
      </c>
    </row>
    <row r="979" spans="1:17" s="97" customFormat="1" x14ac:dyDescent="0.25">
      <c r="A979" s="49" t="s">
        <v>1746</v>
      </c>
      <c r="B979" s="50" t="s">
        <v>314</v>
      </c>
      <c r="C979" s="51" t="s">
        <v>549</v>
      </c>
      <c r="D979" s="76" t="s">
        <v>1177</v>
      </c>
      <c r="E979" s="51" t="s">
        <v>673</v>
      </c>
      <c r="F979" s="51" t="s">
        <v>1704</v>
      </c>
      <c r="G979" s="76" t="s">
        <v>2101</v>
      </c>
      <c r="H979" s="76" t="s">
        <v>655</v>
      </c>
      <c r="I979" s="51"/>
      <c r="J979" s="52" t="s">
        <v>708</v>
      </c>
      <c r="K979" s="52" t="str">
        <f t="shared" si="30"/>
        <v>_</v>
      </c>
      <c r="L979" s="117">
        <f>ROUND(Tableau18[[#This Row],[LEN]]*7.27,0)</f>
        <v>145</v>
      </c>
      <c r="M979" s="117">
        <v>15</v>
      </c>
      <c r="N979" s="134" t="str">
        <f t="shared" si="31"/>
        <v>_self</v>
      </c>
      <c r="O979" s="117">
        <f>LEN(Tableau18[[#This Row],[LABEL]])</f>
        <v>20</v>
      </c>
      <c r="P979" s="117">
        <v>15</v>
      </c>
      <c r="Q979" s="117" t="e">
        <f>ROUND(Tableau18[[#This Row],[LEN]]*#REF!+#REF!,0)</f>
        <v>#REF!</v>
      </c>
    </row>
    <row r="980" spans="1:17" s="97" customFormat="1" x14ac:dyDescent="0.25">
      <c r="A980" s="53" t="s">
        <v>2104</v>
      </c>
      <c r="B980" s="54" t="s">
        <v>1746</v>
      </c>
      <c r="C980" s="55" t="s">
        <v>590</v>
      </c>
      <c r="D980" s="77" t="s">
        <v>1177</v>
      </c>
      <c r="E980" s="55" t="s">
        <v>673</v>
      </c>
      <c r="F980" s="55" t="s">
        <v>1704</v>
      </c>
      <c r="G980" s="77" t="s">
        <v>2101</v>
      </c>
      <c r="H980" s="77" t="s">
        <v>570</v>
      </c>
      <c r="I980" s="55"/>
      <c r="J980" s="56" t="s">
        <v>708</v>
      </c>
      <c r="K980" s="56" t="str">
        <f t="shared" si="30"/>
        <v>_</v>
      </c>
      <c r="L980" s="118">
        <f>ROUND(Tableau18[[#This Row],[LEN]]*7.27,0)</f>
        <v>102</v>
      </c>
      <c r="M980" s="118">
        <v>15</v>
      </c>
      <c r="N980" s="135" t="str">
        <f t="shared" si="31"/>
        <v>_self</v>
      </c>
      <c r="O980" s="118">
        <f>LEN(Tableau18[[#This Row],[LABEL]])</f>
        <v>14</v>
      </c>
      <c r="P980" s="118">
        <v>15</v>
      </c>
      <c r="Q980" s="118" t="e">
        <f>ROUND(Tableau18[[#This Row],[LEN]]*#REF!+#REF!,0)</f>
        <v>#REF!</v>
      </c>
    </row>
    <row r="981" spans="1:17" s="97" customFormat="1" x14ac:dyDescent="0.25">
      <c r="A981" s="53" t="s">
        <v>2105</v>
      </c>
      <c r="B981" s="54" t="s">
        <v>1746</v>
      </c>
      <c r="C981" s="55" t="s">
        <v>591</v>
      </c>
      <c r="D981" s="77" t="s">
        <v>1177</v>
      </c>
      <c r="E981" s="55" t="s">
        <v>673</v>
      </c>
      <c r="F981" s="55" t="s">
        <v>1704</v>
      </c>
      <c r="G981" s="77" t="s">
        <v>2101</v>
      </c>
      <c r="H981" s="77" t="s">
        <v>570</v>
      </c>
      <c r="I981" s="55"/>
      <c r="J981" s="56" t="s">
        <v>708</v>
      </c>
      <c r="K981" s="56" t="str">
        <f t="shared" si="30"/>
        <v>_</v>
      </c>
      <c r="L981" s="118">
        <f>ROUND(Tableau18[[#This Row],[LEN]]*7.27,0)</f>
        <v>262</v>
      </c>
      <c r="M981" s="118">
        <v>15</v>
      </c>
      <c r="N981" s="135" t="str">
        <f t="shared" si="31"/>
        <v>_self</v>
      </c>
      <c r="O981" s="118">
        <f>LEN(Tableau18[[#This Row],[LABEL]])</f>
        <v>36</v>
      </c>
      <c r="P981" s="118">
        <v>15</v>
      </c>
      <c r="Q981" s="118" t="e">
        <f>ROUND(Tableau18[[#This Row],[LEN]]*#REF!+#REF!,0)</f>
        <v>#REF!</v>
      </c>
    </row>
    <row r="982" spans="1:17" s="97" customFormat="1" x14ac:dyDescent="0.25">
      <c r="A982" s="53" t="s">
        <v>2106</v>
      </c>
      <c r="B982" s="54" t="s">
        <v>1746</v>
      </c>
      <c r="C982" s="55" t="s">
        <v>592</v>
      </c>
      <c r="D982" s="77" t="s">
        <v>1177</v>
      </c>
      <c r="E982" s="55" t="s">
        <v>673</v>
      </c>
      <c r="F982" s="55" t="s">
        <v>1704</v>
      </c>
      <c r="G982" s="77" t="s">
        <v>2101</v>
      </c>
      <c r="H982" s="77" t="s">
        <v>570</v>
      </c>
      <c r="I982" s="55"/>
      <c r="J982" s="56" t="s">
        <v>708</v>
      </c>
      <c r="K982" s="56" t="str">
        <f t="shared" si="30"/>
        <v>_</v>
      </c>
      <c r="L982" s="118">
        <f>ROUND(Tableau18[[#This Row],[LEN]]*7.27,0)</f>
        <v>189</v>
      </c>
      <c r="M982" s="118">
        <v>15</v>
      </c>
      <c r="N982" s="135" t="str">
        <f t="shared" si="31"/>
        <v>_self</v>
      </c>
      <c r="O982" s="118">
        <f>LEN(Tableau18[[#This Row],[LABEL]])</f>
        <v>26</v>
      </c>
      <c r="P982" s="118">
        <v>15</v>
      </c>
      <c r="Q982" s="118" t="e">
        <f>ROUND(Tableau18[[#This Row],[LEN]]*#REF!+#REF!,0)</f>
        <v>#REF!</v>
      </c>
    </row>
    <row r="983" spans="1:17" s="97" customFormat="1" x14ac:dyDescent="0.25">
      <c r="A983" s="53" t="s">
        <v>2107</v>
      </c>
      <c r="B983" s="54" t="s">
        <v>1746</v>
      </c>
      <c r="C983" s="55" t="s">
        <v>597</v>
      </c>
      <c r="D983" s="77" t="s">
        <v>1177</v>
      </c>
      <c r="E983" s="55" t="s">
        <v>673</v>
      </c>
      <c r="F983" s="55" t="s">
        <v>1704</v>
      </c>
      <c r="G983" s="77" t="s">
        <v>2101</v>
      </c>
      <c r="H983" s="77" t="s">
        <v>570</v>
      </c>
      <c r="I983" s="55"/>
      <c r="J983" s="56" t="s">
        <v>708</v>
      </c>
      <c r="K983" s="56" t="str">
        <f t="shared" si="30"/>
        <v>_</v>
      </c>
      <c r="L983" s="118">
        <f>ROUND(Tableau18[[#This Row],[LEN]]*7.27,0)</f>
        <v>465</v>
      </c>
      <c r="M983" s="118">
        <v>15</v>
      </c>
      <c r="N983" s="135" t="str">
        <f t="shared" si="31"/>
        <v>_self</v>
      </c>
      <c r="O983" s="118">
        <f>LEN(Tableau18[[#This Row],[LABEL]])</f>
        <v>64</v>
      </c>
      <c r="P983" s="118">
        <v>15</v>
      </c>
      <c r="Q983" s="118" t="e">
        <f>ROUND(Tableau18[[#This Row],[LEN]]*#REF!+#REF!,0)</f>
        <v>#REF!</v>
      </c>
    </row>
    <row r="984" spans="1:17" s="273" customFormat="1" x14ac:dyDescent="0.25">
      <c r="A984" s="351" t="s">
        <v>315</v>
      </c>
      <c r="B984" s="352" t="s">
        <v>209</v>
      </c>
      <c r="C984" s="353" t="s">
        <v>12</v>
      </c>
      <c r="D984" s="354" t="s">
        <v>1177</v>
      </c>
      <c r="E984" s="353" t="s">
        <v>675</v>
      </c>
      <c r="F984" s="353" t="s">
        <v>1177</v>
      </c>
      <c r="G984" s="354" t="s">
        <v>2101</v>
      </c>
      <c r="H984" s="354" t="str">
        <f>IFERROR(IF(SEARCH(".00.00.00.00.00",Tableau18[[#This Row],[name]],1)=7,"Division",""),"")</f>
        <v>Division</v>
      </c>
      <c r="I984" s="353"/>
      <c r="J984" s="355" t="s">
        <v>721</v>
      </c>
      <c r="K984" s="355" t="str">
        <f t="shared" si="30"/>
        <v>Documentation</v>
      </c>
      <c r="L984" s="356">
        <f>ROUND(Tableau18[[#This Row],[LEN]]*7.27,0)</f>
        <v>15</v>
      </c>
      <c r="M984" s="356">
        <v>15</v>
      </c>
      <c r="N984" s="357" t="str">
        <f t="shared" si="31"/>
        <v>_blank</v>
      </c>
      <c r="O984" s="356">
        <f>LEN(Tableau18[[#This Row],[LABEL]])</f>
        <v>2</v>
      </c>
      <c r="P984" s="356">
        <v>15</v>
      </c>
      <c r="Q984" s="356" t="e">
        <f>ROUND(Tableau18[[#This Row],[LEN]]*#REF!+#REF!,0)</f>
        <v>#REF!</v>
      </c>
    </row>
    <row r="985" spans="1:17" s="97" customFormat="1" x14ac:dyDescent="0.25">
      <c r="A985" s="49" t="s">
        <v>1756</v>
      </c>
      <c r="B985" s="50" t="s">
        <v>315</v>
      </c>
      <c r="C985" s="51" t="s">
        <v>129</v>
      </c>
      <c r="D985" s="76" t="s">
        <v>1177</v>
      </c>
      <c r="E985" s="51" t="s">
        <v>673</v>
      </c>
      <c r="F985" s="51" t="s">
        <v>2035</v>
      </c>
      <c r="G985" s="76" t="s">
        <v>2101</v>
      </c>
      <c r="H985" s="76" t="s">
        <v>655</v>
      </c>
      <c r="I985" s="51"/>
      <c r="J985" s="52" t="s">
        <v>708</v>
      </c>
      <c r="K985" s="52" t="str">
        <f t="shared" si="30"/>
        <v>_</v>
      </c>
      <c r="L985" s="117">
        <f>ROUND(Tableau18[[#This Row],[LEN]]*7.27,0)</f>
        <v>87</v>
      </c>
      <c r="M985" s="117">
        <v>15</v>
      </c>
      <c r="N985" s="134" t="str">
        <f t="shared" si="31"/>
        <v>_self</v>
      </c>
      <c r="O985" s="117">
        <f>LEN(Tableau18[[#This Row],[LABEL]])</f>
        <v>12</v>
      </c>
      <c r="P985" s="117">
        <v>15</v>
      </c>
      <c r="Q985" s="117" t="e">
        <f>ROUND(Tableau18[[#This Row],[LEN]]*#REF!+#REF!,0)</f>
        <v>#REF!</v>
      </c>
    </row>
    <row r="986" spans="1:17" s="97" customFormat="1" x14ac:dyDescent="0.25">
      <c r="A986" s="53" t="s">
        <v>1764</v>
      </c>
      <c r="B986" s="54" t="s">
        <v>1756</v>
      </c>
      <c r="C986" s="55" t="s">
        <v>131</v>
      </c>
      <c r="D986" s="77" t="s">
        <v>1177</v>
      </c>
      <c r="E986" s="55" t="s">
        <v>673</v>
      </c>
      <c r="F986" s="55" t="s">
        <v>2035</v>
      </c>
      <c r="G986" s="77" t="s">
        <v>2101</v>
      </c>
      <c r="H986" s="77" t="s">
        <v>570</v>
      </c>
      <c r="I986" s="55"/>
      <c r="J986" s="56" t="s">
        <v>708</v>
      </c>
      <c r="K986" s="56" t="str">
        <f t="shared" si="30"/>
        <v>_</v>
      </c>
      <c r="L986" s="118">
        <f>ROUND(Tableau18[[#This Row],[LEN]]*7.27,0)</f>
        <v>262</v>
      </c>
      <c r="M986" s="118">
        <v>15</v>
      </c>
      <c r="N986" s="135" t="str">
        <f t="shared" si="31"/>
        <v>_self</v>
      </c>
      <c r="O986" s="118">
        <f>LEN(Tableau18[[#This Row],[LABEL]])</f>
        <v>36</v>
      </c>
      <c r="P986" s="118">
        <v>15</v>
      </c>
      <c r="Q986" s="118" t="e">
        <f>ROUND(Tableau18[[#This Row],[LEN]]*#REF!+#REF!,0)</f>
        <v>#REF!</v>
      </c>
    </row>
    <row r="987" spans="1:17" s="97" customFormat="1" x14ac:dyDescent="0.25">
      <c r="A987" s="53" t="s">
        <v>1765</v>
      </c>
      <c r="B987" s="54" t="s">
        <v>1756</v>
      </c>
      <c r="C987" s="55" t="s">
        <v>132</v>
      </c>
      <c r="D987" s="77" t="s">
        <v>1177</v>
      </c>
      <c r="E987" s="55" t="s">
        <v>673</v>
      </c>
      <c r="F987" s="55" t="s">
        <v>2035</v>
      </c>
      <c r="G987" s="77" t="s">
        <v>2101</v>
      </c>
      <c r="H987" s="77" t="s">
        <v>570</v>
      </c>
      <c r="I987" s="55"/>
      <c r="J987" s="56" t="s">
        <v>708</v>
      </c>
      <c r="K987" s="56" t="str">
        <f t="shared" si="30"/>
        <v>_</v>
      </c>
      <c r="L987" s="118">
        <f>ROUND(Tableau18[[#This Row],[LEN]]*7.27,0)</f>
        <v>298</v>
      </c>
      <c r="M987" s="118">
        <v>15</v>
      </c>
      <c r="N987" s="135" t="str">
        <f t="shared" si="31"/>
        <v>_self</v>
      </c>
      <c r="O987" s="118">
        <f>LEN(Tableau18[[#This Row],[LABEL]])</f>
        <v>41</v>
      </c>
      <c r="P987" s="118">
        <v>15</v>
      </c>
      <c r="Q987" s="118" t="e">
        <f>ROUND(Tableau18[[#This Row],[LEN]]*#REF!+#REF!,0)</f>
        <v>#REF!</v>
      </c>
    </row>
    <row r="988" spans="1:17" s="97" customFormat="1" x14ac:dyDescent="0.25">
      <c r="A988" s="49" t="s">
        <v>1757</v>
      </c>
      <c r="B988" s="50" t="s">
        <v>315</v>
      </c>
      <c r="C988" s="51" t="s">
        <v>1772</v>
      </c>
      <c r="D988" s="76" t="s">
        <v>1177</v>
      </c>
      <c r="E988" s="51" t="s">
        <v>675</v>
      </c>
      <c r="F988" s="51" t="s">
        <v>679</v>
      </c>
      <c r="G988" s="76" t="s">
        <v>2101</v>
      </c>
      <c r="H988" s="76" t="s">
        <v>655</v>
      </c>
      <c r="I988" s="51"/>
      <c r="J988" s="52" t="s">
        <v>708</v>
      </c>
      <c r="K988" s="52" t="str">
        <f t="shared" si="30"/>
        <v>_</v>
      </c>
      <c r="L988" s="117">
        <f>ROUND(Tableau18[[#This Row],[LEN]]*7.27,0)</f>
        <v>182</v>
      </c>
      <c r="M988" s="117">
        <v>15</v>
      </c>
      <c r="N988" s="134" t="str">
        <f t="shared" si="31"/>
        <v>_self</v>
      </c>
      <c r="O988" s="117">
        <f>LEN(Tableau18[[#This Row],[LABEL]])</f>
        <v>25</v>
      </c>
      <c r="P988" s="117">
        <v>15</v>
      </c>
      <c r="Q988" s="117" t="e">
        <f>ROUND(Tableau18[[#This Row],[LEN]]*#REF!+#REF!,0)</f>
        <v>#REF!</v>
      </c>
    </row>
    <row r="989" spans="1:17" s="97" customFormat="1" x14ac:dyDescent="0.25">
      <c r="A989" s="53" t="s">
        <v>1766</v>
      </c>
      <c r="B989" s="54" t="s">
        <v>1757</v>
      </c>
      <c r="C989" s="55" t="s">
        <v>1467</v>
      </c>
      <c r="D989" s="77" t="s">
        <v>1177</v>
      </c>
      <c r="E989" s="55" t="s">
        <v>675</v>
      </c>
      <c r="F989" s="55" t="s">
        <v>679</v>
      </c>
      <c r="G989" s="77" t="s">
        <v>2101</v>
      </c>
      <c r="H989" s="77" t="s">
        <v>654</v>
      </c>
      <c r="I989" s="55"/>
      <c r="J989" s="56" t="s">
        <v>708</v>
      </c>
      <c r="K989" s="56" t="str">
        <f t="shared" si="30"/>
        <v>_</v>
      </c>
      <c r="L989" s="118">
        <f>ROUND(Tableau18[[#This Row],[LEN]]*7.27,0)</f>
        <v>102</v>
      </c>
      <c r="M989" s="118">
        <v>15</v>
      </c>
      <c r="N989" s="135" t="str">
        <f t="shared" si="31"/>
        <v>_self</v>
      </c>
      <c r="O989" s="118">
        <f>LEN(Tableau18[[#This Row],[LABEL]])</f>
        <v>14</v>
      </c>
      <c r="P989" s="118">
        <v>15</v>
      </c>
      <c r="Q989" s="118" t="e">
        <f>ROUND(Tableau18[[#This Row],[LEN]]*#REF!+#REF!,0)</f>
        <v>#REF!</v>
      </c>
    </row>
    <row r="990" spans="1:17" s="97" customFormat="1" x14ac:dyDescent="0.25">
      <c r="A990" s="53" t="s">
        <v>1767</v>
      </c>
      <c r="B990" s="54" t="s">
        <v>1757</v>
      </c>
      <c r="C990" s="55" t="s">
        <v>1769</v>
      </c>
      <c r="D990" s="77" t="s">
        <v>1177</v>
      </c>
      <c r="E990" s="55" t="s">
        <v>675</v>
      </c>
      <c r="F990" s="55" t="s">
        <v>679</v>
      </c>
      <c r="G990" s="77" t="s">
        <v>2101</v>
      </c>
      <c r="H990" s="77" t="s">
        <v>654</v>
      </c>
      <c r="I990" s="55"/>
      <c r="J990" s="56" t="s">
        <v>708</v>
      </c>
      <c r="K990" s="56" t="str">
        <f t="shared" si="30"/>
        <v>_</v>
      </c>
      <c r="L990" s="118">
        <f>ROUND(Tableau18[[#This Row],[LEN]]*7.27,0)</f>
        <v>211</v>
      </c>
      <c r="M990" s="118">
        <v>15</v>
      </c>
      <c r="N990" s="135" t="str">
        <f t="shared" si="31"/>
        <v>_self</v>
      </c>
      <c r="O990" s="118">
        <f>LEN(Tableau18[[#This Row],[LABEL]])</f>
        <v>29</v>
      </c>
      <c r="P990" s="118">
        <v>15</v>
      </c>
      <c r="Q990" s="118" t="e">
        <f>ROUND(Tableau18[[#This Row],[LEN]]*#REF!+#REF!,0)</f>
        <v>#REF!</v>
      </c>
    </row>
    <row r="991" spans="1:17" s="97" customFormat="1" x14ac:dyDescent="0.25">
      <c r="A991" s="53" t="s">
        <v>1768</v>
      </c>
      <c r="B991" s="54" t="s">
        <v>1757</v>
      </c>
      <c r="C991" s="55" t="s">
        <v>1468</v>
      </c>
      <c r="D991" s="77" t="s">
        <v>1177</v>
      </c>
      <c r="E991" s="55" t="s">
        <v>675</v>
      </c>
      <c r="F991" s="55" t="s">
        <v>679</v>
      </c>
      <c r="G991" s="77" t="s">
        <v>2101</v>
      </c>
      <c r="H991" s="77" t="s">
        <v>654</v>
      </c>
      <c r="I991" s="55"/>
      <c r="J991" s="56" t="s">
        <v>708</v>
      </c>
      <c r="K991" s="56" t="str">
        <f t="shared" si="30"/>
        <v>_</v>
      </c>
      <c r="L991" s="118">
        <f>ROUND(Tableau18[[#This Row],[LEN]]*7.27,0)</f>
        <v>167</v>
      </c>
      <c r="M991" s="118">
        <v>15</v>
      </c>
      <c r="N991" s="135" t="str">
        <f t="shared" si="31"/>
        <v>_self</v>
      </c>
      <c r="O991" s="118">
        <f>LEN(Tableau18[[#This Row],[LABEL]])</f>
        <v>23</v>
      </c>
      <c r="P991" s="118">
        <v>15</v>
      </c>
      <c r="Q991" s="118" t="e">
        <f>ROUND(Tableau18[[#This Row],[LEN]]*#REF!+#REF!,0)</f>
        <v>#REF!</v>
      </c>
    </row>
    <row r="992" spans="1:17" s="97" customFormat="1" x14ac:dyDescent="0.25">
      <c r="A992" s="49" t="s">
        <v>1758</v>
      </c>
      <c r="B992" s="50" t="s">
        <v>315</v>
      </c>
      <c r="C992" s="51" t="s">
        <v>1770</v>
      </c>
      <c r="D992" s="76" t="s">
        <v>1771</v>
      </c>
      <c r="E992" s="51" t="s">
        <v>675</v>
      </c>
      <c r="F992" s="51" t="s">
        <v>1177</v>
      </c>
      <c r="G992" s="76" t="s">
        <v>2101</v>
      </c>
      <c r="H992" s="76" t="s">
        <v>654</v>
      </c>
      <c r="I992" s="51"/>
      <c r="J992" s="52" t="s">
        <v>708</v>
      </c>
      <c r="K992" s="52" t="str">
        <f t="shared" si="30"/>
        <v>_</v>
      </c>
      <c r="L992" s="117">
        <f>ROUND(Tableau18[[#This Row],[LEN]]*7.27,0)</f>
        <v>487</v>
      </c>
      <c r="M992" s="117">
        <v>15</v>
      </c>
      <c r="N992" s="134" t="str">
        <f t="shared" si="31"/>
        <v>_self</v>
      </c>
      <c r="O992" s="117">
        <f>LEN(Tableau18[[#This Row],[LABEL]])</f>
        <v>67</v>
      </c>
      <c r="P992" s="117">
        <v>15</v>
      </c>
      <c r="Q992" s="117" t="e">
        <f>ROUND(Tableau18[[#This Row],[LEN]]*#REF!+#REF!,0)</f>
        <v>#REF!</v>
      </c>
    </row>
    <row r="993" spans="1:17" s="97" customFormat="1" x14ac:dyDescent="0.25">
      <c r="A993" s="49" t="s">
        <v>1759</v>
      </c>
      <c r="B993" s="50" t="s">
        <v>315</v>
      </c>
      <c r="C993" s="51" t="s">
        <v>1773</v>
      </c>
      <c r="D993" s="76" t="s">
        <v>1177</v>
      </c>
      <c r="E993" s="51" t="s">
        <v>675</v>
      </c>
      <c r="F993" s="51" t="s">
        <v>1177</v>
      </c>
      <c r="G993" s="76" t="s">
        <v>2101</v>
      </c>
      <c r="H993" s="76" t="s">
        <v>655</v>
      </c>
      <c r="I993" s="51"/>
      <c r="J993" s="52" t="s">
        <v>708</v>
      </c>
      <c r="K993" s="52" t="str">
        <f t="shared" si="30"/>
        <v>_</v>
      </c>
      <c r="L993" s="117">
        <f>ROUND(Tableau18[[#This Row],[LEN]]*7.27,0)</f>
        <v>153</v>
      </c>
      <c r="M993" s="117">
        <v>15</v>
      </c>
      <c r="N993" s="134" t="str">
        <f t="shared" si="31"/>
        <v>_self</v>
      </c>
      <c r="O993" s="117">
        <f>LEN(Tableau18[[#This Row],[LABEL]])</f>
        <v>21</v>
      </c>
      <c r="P993" s="117">
        <v>15</v>
      </c>
      <c r="Q993" s="117" t="e">
        <f>ROUND(Tableau18[[#This Row],[LEN]]*#REF!+#REF!,0)</f>
        <v>#REF!</v>
      </c>
    </row>
    <row r="994" spans="1:17" s="97" customFormat="1" x14ac:dyDescent="0.25">
      <c r="A994" s="53" t="s">
        <v>1774</v>
      </c>
      <c r="B994" s="54" t="s">
        <v>1759</v>
      </c>
      <c r="C994" s="55" t="s">
        <v>1778</v>
      </c>
      <c r="D994" s="77" t="s">
        <v>1177</v>
      </c>
      <c r="E994" s="55" t="s">
        <v>675</v>
      </c>
      <c r="F994" s="55" t="s">
        <v>1177</v>
      </c>
      <c r="G994" s="77" t="s">
        <v>2101</v>
      </c>
      <c r="H994" s="77" t="s">
        <v>654</v>
      </c>
      <c r="I994" s="55"/>
      <c r="J994" s="56" t="s">
        <v>708</v>
      </c>
      <c r="K994" s="56" t="str">
        <f t="shared" si="30"/>
        <v>_</v>
      </c>
      <c r="L994" s="118">
        <f>ROUND(Tableau18[[#This Row],[LEN]]*7.27,0)</f>
        <v>225</v>
      </c>
      <c r="M994" s="118">
        <v>15</v>
      </c>
      <c r="N994" s="135" t="str">
        <f t="shared" si="31"/>
        <v>_self</v>
      </c>
      <c r="O994" s="118">
        <f>LEN(Tableau18[[#This Row],[LABEL]])</f>
        <v>31</v>
      </c>
      <c r="P994" s="118">
        <v>15</v>
      </c>
      <c r="Q994" s="118" t="e">
        <f>ROUND(Tableau18[[#This Row],[LEN]]*#REF!+#REF!,0)</f>
        <v>#REF!</v>
      </c>
    </row>
    <row r="995" spans="1:17" s="97" customFormat="1" x14ac:dyDescent="0.25">
      <c r="A995" s="53" t="s">
        <v>1775</v>
      </c>
      <c r="B995" s="54" t="s">
        <v>1759</v>
      </c>
      <c r="C995" s="55" t="s">
        <v>1779</v>
      </c>
      <c r="D995" s="77" t="s">
        <v>1177</v>
      </c>
      <c r="E995" s="55" t="s">
        <v>675</v>
      </c>
      <c r="F995" s="55" t="s">
        <v>1177</v>
      </c>
      <c r="G995" s="77" t="s">
        <v>2101</v>
      </c>
      <c r="H995" s="77" t="s">
        <v>654</v>
      </c>
      <c r="I995" s="55"/>
      <c r="J995" s="56" t="s">
        <v>708</v>
      </c>
      <c r="K995" s="56" t="str">
        <f t="shared" si="30"/>
        <v>_</v>
      </c>
      <c r="L995" s="118">
        <f>ROUND(Tableau18[[#This Row],[LEN]]*7.27,0)</f>
        <v>124</v>
      </c>
      <c r="M995" s="118">
        <v>15</v>
      </c>
      <c r="N995" s="135" t="str">
        <f t="shared" si="31"/>
        <v>_self</v>
      </c>
      <c r="O995" s="118">
        <f>LEN(Tableau18[[#This Row],[LABEL]])</f>
        <v>17</v>
      </c>
      <c r="P995" s="118">
        <v>15</v>
      </c>
      <c r="Q995" s="118" t="e">
        <f>ROUND(Tableau18[[#This Row],[LEN]]*#REF!+#REF!,0)</f>
        <v>#REF!</v>
      </c>
    </row>
    <row r="996" spans="1:17" s="97" customFormat="1" x14ac:dyDescent="0.25">
      <c r="A996" s="53" t="s">
        <v>1776</v>
      </c>
      <c r="B996" s="54" t="s">
        <v>1759</v>
      </c>
      <c r="C996" s="55" t="s">
        <v>1780</v>
      </c>
      <c r="D996" s="77" t="s">
        <v>1177</v>
      </c>
      <c r="E996" s="55" t="s">
        <v>675</v>
      </c>
      <c r="F996" s="55" t="s">
        <v>1177</v>
      </c>
      <c r="G996" s="77" t="s">
        <v>2101</v>
      </c>
      <c r="H996" s="77" t="s">
        <v>654</v>
      </c>
      <c r="I996" s="55"/>
      <c r="J996" s="56" t="s">
        <v>708</v>
      </c>
      <c r="K996" s="56" t="str">
        <f t="shared" si="30"/>
        <v>_</v>
      </c>
      <c r="L996" s="118">
        <f>ROUND(Tableau18[[#This Row],[LEN]]*7.27,0)</f>
        <v>160</v>
      </c>
      <c r="M996" s="118">
        <v>15</v>
      </c>
      <c r="N996" s="135" t="str">
        <f t="shared" si="31"/>
        <v>_self</v>
      </c>
      <c r="O996" s="118">
        <f>LEN(Tableau18[[#This Row],[LABEL]])</f>
        <v>22</v>
      </c>
      <c r="P996" s="118">
        <v>15</v>
      </c>
      <c r="Q996" s="118" t="e">
        <f>ROUND(Tableau18[[#This Row],[LEN]]*#REF!+#REF!,0)</f>
        <v>#REF!</v>
      </c>
    </row>
    <row r="997" spans="1:17" s="97" customFormat="1" x14ac:dyDescent="0.25">
      <c r="A997" s="53" t="s">
        <v>1777</v>
      </c>
      <c r="B997" s="54" t="s">
        <v>1759</v>
      </c>
      <c r="C997" s="55" t="s">
        <v>1781</v>
      </c>
      <c r="D997" s="77" t="s">
        <v>1177</v>
      </c>
      <c r="E997" s="55" t="s">
        <v>675</v>
      </c>
      <c r="F997" s="55" t="s">
        <v>1177</v>
      </c>
      <c r="G997" s="77" t="s">
        <v>2101</v>
      </c>
      <c r="H997" s="77" t="s">
        <v>654</v>
      </c>
      <c r="I997" s="55"/>
      <c r="J997" s="56" t="s">
        <v>708</v>
      </c>
      <c r="K997" s="56" t="str">
        <f t="shared" si="30"/>
        <v>_</v>
      </c>
      <c r="L997" s="118">
        <f>ROUND(Tableau18[[#This Row],[LEN]]*7.27,0)</f>
        <v>145</v>
      </c>
      <c r="M997" s="118">
        <v>15</v>
      </c>
      <c r="N997" s="135" t="str">
        <f t="shared" si="31"/>
        <v>_self</v>
      </c>
      <c r="O997" s="118">
        <f>LEN(Tableau18[[#This Row],[LABEL]])</f>
        <v>20</v>
      </c>
      <c r="P997" s="118">
        <v>15</v>
      </c>
      <c r="Q997" s="118" t="e">
        <f>ROUND(Tableau18[[#This Row],[LEN]]*#REF!+#REF!,0)</f>
        <v>#REF!</v>
      </c>
    </row>
    <row r="998" spans="1:17" s="97" customFormat="1" x14ac:dyDescent="0.25">
      <c r="A998" s="49" t="s">
        <v>1760</v>
      </c>
      <c r="B998" s="50" t="s">
        <v>315</v>
      </c>
      <c r="C998" s="51" t="s">
        <v>1782</v>
      </c>
      <c r="D998" s="76" t="s">
        <v>1177</v>
      </c>
      <c r="E998" s="51" t="s">
        <v>675</v>
      </c>
      <c r="F998" s="51" t="s">
        <v>679</v>
      </c>
      <c r="G998" s="76" t="s">
        <v>2101</v>
      </c>
      <c r="H998" s="76" t="s">
        <v>655</v>
      </c>
      <c r="I998" s="51"/>
      <c r="J998" s="52" t="s">
        <v>708</v>
      </c>
      <c r="K998" s="52" t="str">
        <f t="shared" si="30"/>
        <v>_</v>
      </c>
      <c r="L998" s="117">
        <f>ROUND(Tableau18[[#This Row],[LEN]]*7.27,0)</f>
        <v>182</v>
      </c>
      <c r="M998" s="117">
        <v>15</v>
      </c>
      <c r="N998" s="134" t="str">
        <f t="shared" si="31"/>
        <v>_self</v>
      </c>
      <c r="O998" s="117">
        <f>LEN(Tableau18[[#This Row],[LABEL]])</f>
        <v>25</v>
      </c>
      <c r="P998" s="117">
        <v>15</v>
      </c>
      <c r="Q998" s="117" t="e">
        <f>ROUND(Tableau18[[#This Row],[LEN]]*#REF!+#REF!,0)</f>
        <v>#REF!</v>
      </c>
    </row>
    <row r="999" spans="1:17" s="97" customFormat="1" x14ac:dyDescent="0.25">
      <c r="A999" s="53" t="s">
        <v>1783</v>
      </c>
      <c r="B999" s="54" t="s">
        <v>1760</v>
      </c>
      <c r="C999" s="55" t="s">
        <v>1785</v>
      </c>
      <c r="D999" s="77" t="s">
        <v>1177</v>
      </c>
      <c r="E999" s="55" t="s">
        <v>675</v>
      </c>
      <c r="F999" s="55" t="s">
        <v>679</v>
      </c>
      <c r="G999" s="77" t="s">
        <v>2101</v>
      </c>
      <c r="H999" s="77" t="s">
        <v>656</v>
      </c>
      <c r="I999" s="55"/>
      <c r="J999" s="56" t="s">
        <v>708</v>
      </c>
      <c r="K999" s="56" t="str">
        <f t="shared" si="30"/>
        <v>_</v>
      </c>
      <c r="L999" s="118">
        <f>ROUND(Tableau18[[#This Row],[LEN]]*7.27,0)</f>
        <v>167</v>
      </c>
      <c r="M999" s="118">
        <v>15</v>
      </c>
      <c r="N999" s="135" t="str">
        <f t="shared" si="31"/>
        <v>_self</v>
      </c>
      <c r="O999" s="118">
        <f>LEN(Tableau18[[#This Row],[LABEL]])</f>
        <v>23</v>
      </c>
      <c r="P999" s="118">
        <v>15</v>
      </c>
      <c r="Q999" s="118" t="e">
        <f>ROUND(Tableau18[[#This Row],[LEN]]*#REF!+#REF!,0)</f>
        <v>#REF!</v>
      </c>
    </row>
    <row r="1000" spans="1:17" s="97" customFormat="1" x14ac:dyDescent="0.25">
      <c r="A1000" s="53" t="s">
        <v>1784</v>
      </c>
      <c r="B1000" s="54" t="s">
        <v>1760</v>
      </c>
      <c r="C1000" s="55" t="s">
        <v>1470</v>
      </c>
      <c r="D1000" s="77" t="s">
        <v>1177</v>
      </c>
      <c r="E1000" s="55" t="s">
        <v>675</v>
      </c>
      <c r="F1000" s="55" t="s">
        <v>679</v>
      </c>
      <c r="G1000" s="77" t="s">
        <v>2101</v>
      </c>
      <c r="H1000" s="77" t="s">
        <v>656</v>
      </c>
      <c r="I1000" s="55"/>
      <c r="J1000" s="56" t="s">
        <v>708</v>
      </c>
      <c r="K1000" s="56" t="str">
        <f t="shared" si="30"/>
        <v>_</v>
      </c>
      <c r="L1000" s="118">
        <f>ROUND(Tableau18[[#This Row],[LEN]]*7.27,0)</f>
        <v>313</v>
      </c>
      <c r="M1000" s="118">
        <v>15</v>
      </c>
      <c r="N1000" s="135" t="str">
        <f t="shared" si="31"/>
        <v>_self</v>
      </c>
      <c r="O1000" s="118">
        <f>LEN(Tableau18[[#This Row],[LABEL]])</f>
        <v>43</v>
      </c>
      <c r="P1000" s="118">
        <v>15</v>
      </c>
      <c r="Q1000" s="118" t="e">
        <f>ROUND(Tableau18[[#This Row],[LEN]]*#REF!+#REF!,0)</f>
        <v>#REF!</v>
      </c>
    </row>
    <row r="1001" spans="1:17" s="97" customFormat="1" x14ac:dyDescent="0.25">
      <c r="A1001" s="49" t="s">
        <v>1761</v>
      </c>
      <c r="B1001" s="50" t="s">
        <v>315</v>
      </c>
      <c r="C1001" s="51" t="s">
        <v>1786</v>
      </c>
      <c r="D1001" s="76" t="s">
        <v>1177</v>
      </c>
      <c r="E1001" s="51" t="s">
        <v>675</v>
      </c>
      <c r="F1001" s="51" t="s">
        <v>679</v>
      </c>
      <c r="G1001" s="76" t="s">
        <v>2101</v>
      </c>
      <c r="H1001" s="76" t="s">
        <v>655</v>
      </c>
      <c r="I1001" s="51"/>
      <c r="J1001" s="52" t="s">
        <v>708</v>
      </c>
      <c r="K1001" s="52" t="str">
        <f t="shared" si="30"/>
        <v>_</v>
      </c>
      <c r="L1001" s="117">
        <f>ROUND(Tableau18[[#This Row],[LEN]]*7.27,0)</f>
        <v>262</v>
      </c>
      <c r="M1001" s="117">
        <v>15</v>
      </c>
      <c r="N1001" s="134" t="str">
        <f t="shared" si="31"/>
        <v>_self</v>
      </c>
      <c r="O1001" s="117">
        <f>LEN(Tableau18[[#This Row],[LABEL]])</f>
        <v>36</v>
      </c>
      <c r="P1001" s="117">
        <v>15</v>
      </c>
      <c r="Q1001" s="117" t="e">
        <f>ROUND(Tableau18[[#This Row],[LEN]]*#REF!+#REF!,0)</f>
        <v>#REF!</v>
      </c>
    </row>
    <row r="1002" spans="1:17" s="97" customFormat="1" x14ac:dyDescent="0.25">
      <c r="A1002" s="53" t="s">
        <v>1787</v>
      </c>
      <c r="B1002" s="54" t="s">
        <v>1761</v>
      </c>
      <c r="C1002" s="55" t="s">
        <v>1789</v>
      </c>
      <c r="D1002" s="77" t="s">
        <v>1177</v>
      </c>
      <c r="E1002" s="55" t="s">
        <v>675</v>
      </c>
      <c r="F1002" s="55" t="s">
        <v>679</v>
      </c>
      <c r="G1002" s="77" t="s">
        <v>2101</v>
      </c>
      <c r="H1002" s="77" t="s">
        <v>654</v>
      </c>
      <c r="I1002" s="55"/>
      <c r="J1002" s="56" t="s">
        <v>708</v>
      </c>
      <c r="K1002" s="56" t="str">
        <f t="shared" si="30"/>
        <v>_</v>
      </c>
      <c r="L1002" s="118">
        <f>ROUND(Tableau18[[#This Row],[LEN]]*7.27,0)</f>
        <v>487</v>
      </c>
      <c r="M1002" s="118">
        <v>15</v>
      </c>
      <c r="N1002" s="135" t="str">
        <f t="shared" si="31"/>
        <v>_self</v>
      </c>
      <c r="O1002" s="118">
        <f>LEN(Tableau18[[#This Row],[LABEL]])</f>
        <v>67</v>
      </c>
      <c r="P1002" s="118">
        <v>15</v>
      </c>
      <c r="Q1002" s="118" t="e">
        <f>ROUND(Tableau18[[#This Row],[LEN]]*#REF!+#REF!,0)</f>
        <v>#REF!</v>
      </c>
    </row>
    <row r="1003" spans="1:17" s="97" customFormat="1" x14ac:dyDescent="0.25">
      <c r="A1003" s="53" t="s">
        <v>1788</v>
      </c>
      <c r="B1003" s="54" t="s">
        <v>1761</v>
      </c>
      <c r="C1003" s="55" t="s">
        <v>1790</v>
      </c>
      <c r="D1003" s="77" t="s">
        <v>1177</v>
      </c>
      <c r="E1003" s="55" t="s">
        <v>675</v>
      </c>
      <c r="F1003" s="55" t="s">
        <v>679</v>
      </c>
      <c r="G1003" s="77" t="s">
        <v>2101</v>
      </c>
      <c r="H1003" s="77" t="s">
        <v>654</v>
      </c>
      <c r="I1003" s="55"/>
      <c r="J1003" s="56" t="s">
        <v>708</v>
      </c>
      <c r="K1003" s="56" t="str">
        <f t="shared" si="30"/>
        <v>_</v>
      </c>
      <c r="L1003" s="118">
        <f>ROUND(Tableau18[[#This Row],[LEN]]*7.27,0)</f>
        <v>313</v>
      </c>
      <c r="M1003" s="118">
        <v>15</v>
      </c>
      <c r="N1003" s="135" t="str">
        <f t="shared" si="31"/>
        <v>_self</v>
      </c>
      <c r="O1003" s="118">
        <f>LEN(Tableau18[[#This Row],[LABEL]])</f>
        <v>43</v>
      </c>
      <c r="P1003" s="118">
        <v>15</v>
      </c>
      <c r="Q1003" s="118" t="e">
        <f>ROUND(Tableau18[[#This Row],[LEN]]*#REF!+#REF!,0)</f>
        <v>#REF!</v>
      </c>
    </row>
    <row r="1004" spans="1:17" s="97" customFormat="1" x14ac:dyDescent="0.25">
      <c r="A1004" s="49" t="s">
        <v>1762</v>
      </c>
      <c r="B1004" s="50" t="s">
        <v>315</v>
      </c>
      <c r="C1004" s="51" t="s">
        <v>1791</v>
      </c>
      <c r="D1004" s="76" t="s">
        <v>1177</v>
      </c>
      <c r="E1004" s="51" t="s">
        <v>675</v>
      </c>
      <c r="F1004" s="51" t="s">
        <v>679</v>
      </c>
      <c r="G1004" s="76" t="s">
        <v>2101</v>
      </c>
      <c r="H1004" s="76" t="s">
        <v>655</v>
      </c>
      <c r="I1004" s="51"/>
      <c r="J1004" s="52" t="s">
        <v>708</v>
      </c>
      <c r="K1004" s="52" t="str">
        <f t="shared" si="30"/>
        <v>_</v>
      </c>
      <c r="L1004" s="117">
        <f>ROUND(Tableau18[[#This Row],[LEN]]*7.27,0)</f>
        <v>153</v>
      </c>
      <c r="M1004" s="117">
        <v>15</v>
      </c>
      <c r="N1004" s="134" t="str">
        <f t="shared" si="31"/>
        <v>_self</v>
      </c>
      <c r="O1004" s="117">
        <f>LEN(Tableau18[[#This Row],[LABEL]])</f>
        <v>21</v>
      </c>
      <c r="P1004" s="117">
        <v>15</v>
      </c>
      <c r="Q1004" s="117" t="e">
        <f>ROUND(Tableau18[[#This Row],[LEN]]*#REF!+#REF!,0)</f>
        <v>#REF!</v>
      </c>
    </row>
    <row r="1005" spans="1:17" s="97" customFormat="1" x14ac:dyDescent="0.25">
      <c r="A1005" s="53" t="s">
        <v>1792</v>
      </c>
      <c r="B1005" s="54" t="s">
        <v>1762</v>
      </c>
      <c r="C1005" s="55" t="s">
        <v>1778</v>
      </c>
      <c r="D1005" s="77" t="s">
        <v>1177</v>
      </c>
      <c r="E1005" s="55" t="s">
        <v>675</v>
      </c>
      <c r="F1005" s="55" t="s">
        <v>679</v>
      </c>
      <c r="G1005" s="77" t="s">
        <v>2101</v>
      </c>
      <c r="H1005" s="77" t="s">
        <v>654</v>
      </c>
      <c r="I1005" s="55"/>
      <c r="J1005" s="56" t="s">
        <v>708</v>
      </c>
      <c r="K1005" s="56" t="str">
        <f t="shared" si="30"/>
        <v>_</v>
      </c>
      <c r="L1005" s="118">
        <f>ROUND(Tableau18[[#This Row],[LEN]]*7.27,0)</f>
        <v>225</v>
      </c>
      <c r="M1005" s="118">
        <v>15</v>
      </c>
      <c r="N1005" s="135" t="str">
        <f t="shared" si="31"/>
        <v>_self</v>
      </c>
      <c r="O1005" s="118">
        <f>LEN(Tableau18[[#This Row],[LABEL]])</f>
        <v>31</v>
      </c>
      <c r="P1005" s="118">
        <v>15</v>
      </c>
      <c r="Q1005" s="118" t="e">
        <f>ROUND(Tableau18[[#This Row],[LEN]]*#REF!+#REF!,0)</f>
        <v>#REF!</v>
      </c>
    </row>
    <row r="1006" spans="1:17" s="97" customFormat="1" x14ac:dyDescent="0.25">
      <c r="A1006" s="53" t="s">
        <v>1793</v>
      </c>
      <c r="B1006" s="54" t="s">
        <v>1762</v>
      </c>
      <c r="C1006" s="55" t="s">
        <v>1779</v>
      </c>
      <c r="D1006" s="77" t="s">
        <v>1177</v>
      </c>
      <c r="E1006" s="55" t="s">
        <v>675</v>
      </c>
      <c r="F1006" s="55" t="s">
        <v>679</v>
      </c>
      <c r="G1006" s="77" t="s">
        <v>2101</v>
      </c>
      <c r="H1006" s="77" t="s">
        <v>654</v>
      </c>
      <c r="I1006" s="55"/>
      <c r="J1006" s="56" t="s">
        <v>708</v>
      </c>
      <c r="K1006" s="56" t="str">
        <f t="shared" si="30"/>
        <v>_</v>
      </c>
      <c r="L1006" s="118">
        <f>ROUND(Tableau18[[#This Row],[LEN]]*7.27,0)</f>
        <v>124</v>
      </c>
      <c r="M1006" s="118">
        <v>15</v>
      </c>
      <c r="N1006" s="135" t="str">
        <f t="shared" si="31"/>
        <v>_self</v>
      </c>
      <c r="O1006" s="118">
        <f>LEN(Tableau18[[#This Row],[LABEL]])</f>
        <v>17</v>
      </c>
      <c r="P1006" s="118">
        <v>15</v>
      </c>
      <c r="Q1006" s="118" t="e">
        <f>ROUND(Tableau18[[#This Row],[LEN]]*#REF!+#REF!,0)</f>
        <v>#REF!</v>
      </c>
    </row>
    <row r="1007" spans="1:17" s="97" customFormat="1" x14ac:dyDescent="0.25">
      <c r="A1007" s="53" t="s">
        <v>1794</v>
      </c>
      <c r="B1007" s="54" t="s">
        <v>1762</v>
      </c>
      <c r="C1007" s="55" t="s">
        <v>1780</v>
      </c>
      <c r="D1007" s="77" t="s">
        <v>1177</v>
      </c>
      <c r="E1007" s="55" t="s">
        <v>675</v>
      </c>
      <c r="F1007" s="55" t="s">
        <v>679</v>
      </c>
      <c r="G1007" s="77" t="s">
        <v>2101</v>
      </c>
      <c r="H1007" s="77" t="s">
        <v>654</v>
      </c>
      <c r="I1007" s="55"/>
      <c r="J1007" s="56" t="s">
        <v>708</v>
      </c>
      <c r="K1007" s="56" t="str">
        <f t="shared" si="30"/>
        <v>_</v>
      </c>
      <c r="L1007" s="118">
        <f>ROUND(Tableau18[[#This Row],[LEN]]*7.27,0)</f>
        <v>160</v>
      </c>
      <c r="M1007" s="118">
        <v>15</v>
      </c>
      <c r="N1007" s="135" t="str">
        <f t="shared" si="31"/>
        <v>_self</v>
      </c>
      <c r="O1007" s="118">
        <f>LEN(Tableau18[[#This Row],[LABEL]])</f>
        <v>22</v>
      </c>
      <c r="P1007" s="118">
        <v>15</v>
      </c>
      <c r="Q1007" s="118" t="e">
        <f>ROUND(Tableau18[[#This Row],[LEN]]*#REF!+#REF!,0)</f>
        <v>#REF!</v>
      </c>
    </row>
    <row r="1008" spans="1:17" s="97" customFormat="1" x14ac:dyDescent="0.25">
      <c r="A1008" s="53" t="s">
        <v>1795</v>
      </c>
      <c r="B1008" s="54" t="s">
        <v>1762</v>
      </c>
      <c r="C1008" s="55" t="s">
        <v>1781</v>
      </c>
      <c r="D1008" s="77" t="s">
        <v>1177</v>
      </c>
      <c r="E1008" s="55" t="s">
        <v>675</v>
      </c>
      <c r="F1008" s="55" t="s">
        <v>679</v>
      </c>
      <c r="G1008" s="77" t="s">
        <v>2101</v>
      </c>
      <c r="H1008" s="77" t="s">
        <v>654</v>
      </c>
      <c r="I1008" s="55"/>
      <c r="J1008" s="56" t="s">
        <v>708</v>
      </c>
      <c r="K1008" s="56" t="str">
        <f t="shared" si="30"/>
        <v>_</v>
      </c>
      <c r="L1008" s="118">
        <f>ROUND(Tableau18[[#This Row],[LEN]]*7.27,0)</f>
        <v>145</v>
      </c>
      <c r="M1008" s="118">
        <v>15</v>
      </c>
      <c r="N1008" s="135" t="str">
        <f t="shared" si="31"/>
        <v>_self</v>
      </c>
      <c r="O1008" s="118">
        <f>LEN(Tableau18[[#This Row],[LABEL]])</f>
        <v>20</v>
      </c>
      <c r="P1008" s="118">
        <v>15</v>
      </c>
      <c r="Q1008" s="118" t="e">
        <f>ROUND(Tableau18[[#This Row],[LEN]]*#REF!+#REF!,0)</f>
        <v>#REF!</v>
      </c>
    </row>
    <row r="1009" spans="1:17" s="97" customFormat="1" x14ac:dyDescent="0.25">
      <c r="A1009" s="49" t="s">
        <v>1763</v>
      </c>
      <c r="B1009" s="50" t="s">
        <v>315</v>
      </c>
      <c r="C1009" s="51" t="s">
        <v>598</v>
      </c>
      <c r="D1009" s="76" t="s">
        <v>1177</v>
      </c>
      <c r="E1009" s="51" t="s">
        <v>673</v>
      </c>
      <c r="F1009" s="51" t="s">
        <v>2035</v>
      </c>
      <c r="G1009" s="76" t="s">
        <v>2101</v>
      </c>
      <c r="H1009" s="76" t="s">
        <v>654</v>
      </c>
      <c r="I1009" s="51"/>
      <c r="J1009" s="52" t="s">
        <v>708</v>
      </c>
      <c r="K1009" s="52" t="str">
        <f t="shared" si="30"/>
        <v>_</v>
      </c>
      <c r="L1009" s="117">
        <f>ROUND(Tableau18[[#This Row],[LEN]]*7.27,0)</f>
        <v>553</v>
      </c>
      <c r="M1009" s="117">
        <v>15</v>
      </c>
      <c r="N1009" s="134" t="str">
        <f t="shared" si="31"/>
        <v>_self</v>
      </c>
      <c r="O1009" s="117">
        <f>LEN(Tableau18[[#This Row],[LABEL]])</f>
        <v>76</v>
      </c>
      <c r="P1009" s="117">
        <v>15</v>
      </c>
      <c r="Q1009" s="117" t="e">
        <f>ROUND(Tableau18[[#This Row],[LEN]]*#REF!+#REF!,0)</f>
        <v>#REF!</v>
      </c>
    </row>
    <row r="1010" spans="1:17" s="273" customFormat="1" x14ac:dyDescent="0.25">
      <c r="A1010" s="351" t="s">
        <v>316</v>
      </c>
      <c r="B1010" s="352" t="s">
        <v>209</v>
      </c>
      <c r="C1010" s="353" t="s">
        <v>71</v>
      </c>
      <c r="D1010" s="354" t="s">
        <v>1177</v>
      </c>
      <c r="E1010" s="353" t="s">
        <v>676</v>
      </c>
      <c r="F1010" s="353" t="s">
        <v>1177</v>
      </c>
      <c r="G1010" s="354" t="s">
        <v>2101</v>
      </c>
      <c r="H1010" s="354" t="str">
        <f>IFERROR(IF(SEARCH(".00.00.00.00.00",Tableau18[[#This Row],[name]],1)=7,"Division",""),"")</f>
        <v>Division</v>
      </c>
      <c r="I1010" s="353"/>
      <c r="J1010" s="355" t="s">
        <v>722</v>
      </c>
      <c r="K1010" s="355" t="str">
        <f t="shared" si="30"/>
        <v>Documentation</v>
      </c>
      <c r="L1010" s="356">
        <f>ROUND(Tableau18[[#This Row],[LEN]]*7.27,0)</f>
        <v>29</v>
      </c>
      <c r="M1010" s="356">
        <v>15</v>
      </c>
      <c r="N1010" s="357" t="str">
        <f t="shared" si="31"/>
        <v>_blank</v>
      </c>
      <c r="O1010" s="356">
        <f>LEN(Tableau18[[#This Row],[LABEL]])</f>
        <v>4</v>
      </c>
      <c r="P1010" s="356">
        <v>15</v>
      </c>
      <c r="Q1010" s="356" t="e">
        <f>ROUND(Tableau18[[#This Row],[LEN]]*#REF!+#REF!,0)</f>
        <v>#REF!</v>
      </c>
    </row>
    <row r="1011" spans="1:17" s="97" customFormat="1" x14ac:dyDescent="0.25">
      <c r="A1011" s="49" t="s">
        <v>1796</v>
      </c>
      <c r="B1011" s="50" t="s">
        <v>316</v>
      </c>
      <c r="C1011" s="51" t="s">
        <v>129</v>
      </c>
      <c r="D1011" s="76" t="s">
        <v>1177</v>
      </c>
      <c r="E1011" s="51" t="s">
        <v>673</v>
      </c>
      <c r="F1011" s="51" t="s">
        <v>2035</v>
      </c>
      <c r="G1011" s="76" t="s">
        <v>2101</v>
      </c>
      <c r="H1011" s="76" t="s">
        <v>655</v>
      </c>
      <c r="I1011" s="51"/>
      <c r="J1011" s="52" t="s">
        <v>708</v>
      </c>
      <c r="K1011" s="52" t="str">
        <f t="shared" si="30"/>
        <v>_</v>
      </c>
      <c r="L1011" s="117">
        <f>ROUND(Tableau18[[#This Row],[LEN]]*7.27,0)</f>
        <v>87</v>
      </c>
      <c r="M1011" s="117">
        <v>15</v>
      </c>
      <c r="N1011" s="134" t="str">
        <f t="shared" si="31"/>
        <v>_self</v>
      </c>
      <c r="O1011" s="117">
        <f>LEN(Tableau18[[#This Row],[LABEL]])</f>
        <v>12</v>
      </c>
      <c r="P1011" s="117">
        <v>15</v>
      </c>
      <c r="Q1011" s="117" t="e">
        <f>ROUND(Tableau18[[#This Row],[LEN]]*#REF!+#REF!,0)</f>
        <v>#REF!</v>
      </c>
    </row>
    <row r="1012" spans="1:17" s="97" customFormat="1" x14ac:dyDescent="0.25">
      <c r="A1012" s="53" t="s">
        <v>1802</v>
      </c>
      <c r="B1012" s="54" t="s">
        <v>1796</v>
      </c>
      <c r="C1012" s="55" t="s">
        <v>131</v>
      </c>
      <c r="D1012" s="77" t="s">
        <v>1177</v>
      </c>
      <c r="E1012" s="55" t="s">
        <v>673</v>
      </c>
      <c r="F1012" s="55" t="s">
        <v>2035</v>
      </c>
      <c r="G1012" s="77" t="s">
        <v>2101</v>
      </c>
      <c r="H1012" s="77" t="s">
        <v>570</v>
      </c>
      <c r="I1012" s="55"/>
      <c r="J1012" s="56" t="s">
        <v>708</v>
      </c>
      <c r="K1012" s="56" t="str">
        <f t="shared" si="30"/>
        <v>_</v>
      </c>
      <c r="L1012" s="118">
        <f>ROUND(Tableau18[[#This Row],[LEN]]*7.27,0)</f>
        <v>262</v>
      </c>
      <c r="M1012" s="118">
        <v>15</v>
      </c>
      <c r="N1012" s="135" t="str">
        <f t="shared" si="31"/>
        <v>_self</v>
      </c>
      <c r="O1012" s="118">
        <f>LEN(Tableau18[[#This Row],[LABEL]])</f>
        <v>36</v>
      </c>
      <c r="P1012" s="118">
        <v>15</v>
      </c>
      <c r="Q1012" s="118" t="e">
        <f>ROUND(Tableau18[[#This Row],[LEN]]*#REF!+#REF!,0)</f>
        <v>#REF!</v>
      </c>
    </row>
    <row r="1013" spans="1:17" s="97" customFormat="1" x14ac:dyDescent="0.25">
      <c r="A1013" s="53" t="s">
        <v>1803</v>
      </c>
      <c r="B1013" s="54" t="s">
        <v>1796</v>
      </c>
      <c r="C1013" s="55" t="s">
        <v>132</v>
      </c>
      <c r="D1013" s="77" t="s">
        <v>1177</v>
      </c>
      <c r="E1013" s="55" t="s">
        <v>673</v>
      </c>
      <c r="F1013" s="55" t="s">
        <v>2035</v>
      </c>
      <c r="G1013" s="77" t="s">
        <v>2101</v>
      </c>
      <c r="H1013" s="77" t="s">
        <v>570</v>
      </c>
      <c r="I1013" s="55"/>
      <c r="J1013" s="56" t="s">
        <v>708</v>
      </c>
      <c r="K1013" s="56" t="str">
        <f t="shared" si="30"/>
        <v>_</v>
      </c>
      <c r="L1013" s="118">
        <f>ROUND(Tableau18[[#This Row],[LEN]]*7.27,0)</f>
        <v>298</v>
      </c>
      <c r="M1013" s="118">
        <v>15</v>
      </c>
      <c r="N1013" s="135" t="str">
        <f t="shared" si="31"/>
        <v>_self</v>
      </c>
      <c r="O1013" s="118">
        <f>LEN(Tableau18[[#This Row],[LABEL]])</f>
        <v>41</v>
      </c>
      <c r="P1013" s="118">
        <v>15</v>
      </c>
      <c r="Q1013" s="118" t="e">
        <f>ROUND(Tableau18[[#This Row],[LEN]]*#REF!+#REF!,0)</f>
        <v>#REF!</v>
      </c>
    </row>
    <row r="1014" spans="1:17" s="97" customFormat="1" x14ac:dyDescent="0.25">
      <c r="A1014" s="49" t="s">
        <v>1797</v>
      </c>
      <c r="B1014" s="50" t="s">
        <v>316</v>
      </c>
      <c r="C1014" s="51" t="s">
        <v>1808</v>
      </c>
      <c r="D1014" s="76" t="s">
        <v>1177</v>
      </c>
      <c r="E1014" s="51" t="s">
        <v>676</v>
      </c>
      <c r="F1014" s="51" t="s">
        <v>1177</v>
      </c>
      <c r="G1014" s="76" t="s">
        <v>2101</v>
      </c>
      <c r="H1014" s="76" t="s">
        <v>654</v>
      </c>
      <c r="I1014" s="51"/>
      <c r="J1014" s="52" t="s">
        <v>708</v>
      </c>
      <c r="K1014" s="52" t="str">
        <f t="shared" si="30"/>
        <v>_</v>
      </c>
      <c r="L1014" s="117">
        <f>ROUND(Tableau18[[#This Row],[LEN]]*7.27,0)</f>
        <v>364</v>
      </c>
      <c r="M1014" s="117">
        <v>15</v>
      </c>
      <c r="N1014" s="134" t="str">
        <f t="shared" si="31"/>
        <v>_self</v>
      </c>
      <c r="O1014" s="117">
        <f>LEN(Tableau18[[#This Row],[LABEL]])</f>
        <v>50</v>
      </c>
      <c r="P1014" s="117">
        <v>15</v>
      </c>
      <c r="Q1014" s="117" t="e">
        <f>ROUND(Tableau18[[#This Row],[LEN]]*#REF!+#REF!,0)</f>
        <v>#REF!</v>
      </c>
    </row>
    <row r="1015" spans="1:17" s="97" customFormat="1" x14ac:dyDescent="0.25">
      <c r="A1015" s="49" t="s">
        <v>1798</v>
      </c>
      <c r="B1015" s="50" t="s">
        <v>316</v>
      </c>
      <c r="C1015" s="51" t="s">
        <v>1810</v>
      </c>
      <c r="D1015" s="76" t="s">
        <v>1177</v>
      </c>
      <c r="E1015" s="51" t="s">
        <v>676</v>
      </c>
      <c r="F1015" s="51" t="s">
        <v>1177</v>
      </c>
      <c r="G1015" s="76" t="s">
        <v>2101</v>
      </c>
      <c r="H1015" s="76" t="s">
        <v>656</v>
      </c>
      <c r="I1015" s="51"/>
      <c r="J1015" s="52" t="s">
        <v>708</v>
      </c>
      <c r="K1015" s="52" t="str">
        <f t="shared" si="30"/>
        <v>_</v>
      </c>
      <c r="L1015" s="117">
        <f>ROUND(Tableau18[[#This Row],[LEN]]*7.27,0)</f>
        <v>124</v>
      </c>
      <c r="M1015" s="117">
        <v>15</v>
      </c>
      <c r="N1015" s="134" t="str">
        <f t="shared" si="31"/>
        <v>_self</v>
      </c>
      <c r="O1015" s="117">
        <f>LEN(Tableau18[[#This Row],[LABEL]])</f>
        <v>17</v>
      </c>
      <c r="P1015" s="117">
        <v>15</v>
      </c>
      <c r="Q1015" s="117" t="e">
        <f>ROUND(Tableau18[[#This Row],[LEN]]*#REF!+#REF!,0)</f>
        <v>#REF!</v>
      </c>
    </row>
    <row r="1016" spans="1:17" s="97" customFormat="1" x14ac:dyDescent="0.25">
      <c r="A1016" s="49" t="s">
        <v>1799</v>
      </c>
      <c r="B1016" s="50" t="s">
        <v>316</v>
      </c>
      <c r="C1016" s="51" t="s">
        <v>1809</v>
      </c>
      <c r="D1016" s="76" t="s">
        <v>1177</v>
      </c>
      <c r="E1016" s="51" t="s">
        <v>676</v>
      </c>
      <c r="F1016" s="51" t="s">
        <v>1177</v>
      </c>
      <c r="G1016" s="76" t="s">
        <v>2101</v>
      </c>
      <c r="H1016" s="76" t="s">
        <v>656</v>
      </c>
      <c r="I1016" s="51"/>
      <c r="J1016" s="52" t="s">
        <v>708</v>
      </c>
      <c r="K1016" s="52" t="str">
        <f t="shared" si="30"/>
        <v>_</v>
      </c>
      <c r="L1016" s="117">
        <f>ROUND(Tableau18[[#This Row],[LEN]]*7.27,0)</f>
        <v>189</v>
      </c>
      <c r="M1016" s="117">
        <v>15</v>
      </c>
      <c r="N1016" s="134" t="str">
        <f t="shared" si="31"/>
        <v>_self</v>
      </c>
      <c r="O1016" s="117">
        <f>LEN(Tableau18[[#This Row],[LABEL]])</f>
        <v>26</v>
      </c>
      <c r="P1016" s="117">
        <v>15</v>
      </c>
      <c r="Q1016" s="117" t="e">
        <f>ROUND(Tableau18[[#This Row],[LEN]]*#REF!+#REF!,0)</f>
        <v>#REF!</v>
      </c>
    </row>
    <row r="1017" spans="1:17" s="97" customFormat="1" x14ac:dyDescent="0.25">
      <c r="A1017" s="49" t="s">
        <v>1800</v>
      </c>
      <c r="B1017" s="50" t="s">
        <v>316</v>
      </c>
      <c r="C1017" s="51" t="s">
        <v>549</v>
      </c>
      <c r="D1017" s="76" t="s">
        <v>1177</v>
      </c>
      <c r="E1017" s="51" t="s">
        <v>673</v>
      </c>
      <c r="F1017" s="51" t="s">
        <v>1704</v>
      </c>
      <c r="G1017" s="76" t="s">
        <v>2101</v>
      </c>
      <c r="H1017" s="76" t="s">
        <v>655</v>
      </c>
      <c r="I1017" s="51"/>
      <c r="J1017" s="52" t="s">
        <v>708</v>
      </c>
      <c r="K1017" s="52" t="str">
        <f t="shared" si="30"/>
        <v>_</v>
      </c>
      <c r="L1017" s="117">
        <f>ROUND(Tableau18[[#This Row],[LEN]]*7.27,0)</f>
        <v>145</v>
      </c>
      <c r="M1017" s="117">
        <v>15</v>
      </c>
      <c r="N1017" s="134" t="str">
        <f t="shared" si="31"/>
        <v>_self</v>
      </c>
      <c r="O1017" s="117">
        <f>LEN(Tableau18[[#This Row],[LABEL]])</f>
        <v>20</v>
      </c>
      <c r="P1017" s="117">
        <v>15</v>
      </c>
      <c r="Q1017" s="117" t="e">
        <f>ROUND(Tableau18[[#This Row],[LEN]]*#REF!+#REF!,0)</f>
        <v>#REF!</v>
      </c>
    </row>
    <row r="1018" spans="1:17" s="97" customFormat="1" x14ac:dyDescent="0.25">
      <c r="A1018" s="53" t="s">
        <v>1804</v>
      </c>
      <c r="B1018" s="54" t="s">
        <v>1800</v>
      </c>
      <c r="C1018" s="55" t="s">
        <v>590</v>
      </c>
      <c r="D1018" s="77" t="s">
        <v>1177</v>
      </c>
      <c r="E1018" s="55" t="s">
        <v>673</v>
      </c>
      <c r="F1018" s="55" t="s">
        <v>1704</v>
      </c>
      <c r="G1018" s="77" t="s">
        <v>2101</v>
      </c>
      <c r="H1018" s="77" t="s">
        <v>570</v>
      </c>
      <c r="I1018" s="55"/>
      <c r="J1018" s="56" t="s">
        <v>708</v>
      </c>
      <c r="K1018" s="56" t="str">
        <f t="shared" si="30"/>
        <v>_</v>
      </c>
      <c r="L1018" s="118">
        <f>ROUND(Tableau18[[#This Row],[LEN]]*7.27,0)</f>
        <v>102</v>
      </c>
      <c r="M1018" s="118">
        <v>15</v>
      </c>
      <c r="N1018" s="135" t="str">
        <f t="shared" si="31"/>
        <v>_self</v>
      </c>
      <c r="O1018" s="118">
        <f>LEN(Tableau18[[#This Row],[LABEL]])</f>
        <v>14</v>
      </c>
      <c r="P1018" s="118">
        <v>15</v>
      </c>
      <c r="Q1018" s="118" t="e">
        <f>ROUND(Tableau18[[#This Row],[LEN]]*#REF!+#REF!,0)</f>
        <v>#REF!</v>
      </c>
    </row>
    <row r="1019" spans="1:17" s="97" customFormat="1" x14ac:dyDescent="0.25">
      <c r="A1019" s="53" t="s">
        <v>1805</v>
      </c>
      <c r="B1019" s="54" t="s">
        <v>1800</v>
      </c>
      <c r="C1019" s="55" t="s">
        <v>591</v>
      </c>
      <c r="D1019" s="77" t="s">
        <v>1177</v>
      </c>
      <c r="E1019" s="55" t="s">
        <v>673</v>
      </c>
      <c r="F1019" s="55" t="s">
        <v>1704</v>
      </c>
      <c r="G1019" s="77" t="s">
        <v>2101</v>
      </c>
      <c r="H1019" s="77" t="s">
        <v>570</v>
      </c>
      <c r="I1019" s="55"/>
      <c r="J1019" s="56" t="s">
        <v>708</v>
      </c>
      <c r="K1019" s="56" t="str">
        <f t="shared" si="30"/>
        <v>_</v>
      </c>
      <c r="L1019" s="118">
        <f>ROUND(Tableau18[[#This Row],[LEN]]*7.27,0)</f>
        <v>262</v>
      </c>
      <c r="M1019" s="118">
        <v>15</v>
      </c>
      <c r="N1019" s="135" t="str">
        <f t="shared" si="31"/>
        <v>_self</v>
      </c>
      <c r="O1019" s="118">
        <f>LEN(Tableau18[[#This Row],[LABEL]])</f>
        <v>36</v>
      </c>
      <c r="P1019" s="118">
        <v>15</v>
      </c>
      <c r="Q1019" s="118" t="e">
        <f>ROUND(Tableau18[[#This Row],[LEN]]*#REF!+#REF!,0)</f>
        <v>#REF!</v>
      </c>
    </row>
    <row r="1020" spans="1:17" s="97" customFormat="1" x14ac:dyDescent="0.25">
      <c r="A1020" s="53" t="s">
        <v>1806</v>
      </c>
      <c r="B1020" s="54" t="s">
        <v>1800</v>
      </c>
      <c r="C1020" s="55" t="s">
        <v>592</v>
      </c>
      <c r="D1020" s="77" t="s">
        <v>1177</v>
      </c>
      <c r="E1020" s="55" t="s">
        <v>673</v>
      </c>
      <c r="F1020" s="55" t="s">
        <v>1704</v>
      </c>
      <c r="G1020" s="77" t="s">
        <v>2101</v>
      </c>
      <c r="H1020" s="77" t="s">
        <v>570</v>
      </c>
      <c r="I1020" s="55"/>
      <c r="J1020" s="56" t="s">
        <v>708</v>
      </c>
      <c r="K1020" s="56" t="str">
        <f t="shared" si="30"/>
        <v>_</v>
      </c>
      <c r="L1020" s="118">
        <f>ROUND(Tableau18[[#This Row],[LEN]]*7.27,0)</f>
        <v>189</v>
      </c>
      <c r="M1020" s="118">
        <v>15</v>
      </c>
      <c r="N1020" s="135" t="str">
        <f t="shared" si="31"/>
        <v>_self</v>
      </c>
      <c r="O1020" s="118">
        <f>LEN(Tableau18[[#This Row],[LABEL]])</f>
        <v>26</v>
      </c>
      <c r="P1020" s="118">
        <v>15</v>
      </c>
      <c r="Q1020" s="118" t="e">
        <f>ROUND(Tableau18[[#This Row],[LEN]]*#REF!+#REF!,0)</f>
        <v>#REF!</v>
      </c>
    </row>
    <row r="1021" spans="1:17" s="97" customFormat="1" x14ac:dyDescent="0.25">
      <c r="A1021" s="53" t="s">
        <v>1807</v>
      </c>
      <c r="B1021" s="54" t="s">
        <v>1800</v>
      </c>
      <c r="C1021" s="55" t="s">
        <v>597</v>
      </c>
      <c r="D1021" s="77" t="s">
        <v>1177</v>
      </c>
      <c r="E1021" s="55" t="s">
        <v>673</v>
      </c>
      <c r="F1021" s="55" t="s">
        <v>1704</v>
      </c>
      <c r="G1021" s="77" t="s">
        <v>2101</v>
      </c>
      <c r="H1021" s="77" t="s">
        <v>570</v>
      </c>
      <c r="I1021" s="55"/>
      <c r="J1021" s="56" t="s">
        <v>708</v>
      </c>
      <c r="K1021" s="56" t="str">
        <f t="shared" si="30"/>
        <v>_</v>
      </c>
      <c r="L1021" s="118">
        <f>ROUND(Tableau18[[#This Row],[LEN]]*7.27,0)</f>
        <v>465</v>
      </c>
      <c r="M1021" s="118">
        <v>15</v>
      </c>
      <c r="N1021" s="135" t="str">
        <f t="shared" si="31"/>
        <v>_self</v>
      </c>
      <c r="O1021" s="118">
        <f>LEN(Tableau18[[#This Row],[LABEL]])</f>
        <v>64</v>
      </c>
      <c r="P1021" s="118">
        <v>15</v>
      </c>
      <c r="Q1021" s="118" t="e">
        <f>ROUND(Tableau18[[#This Row],[LEN]]*#REF!+#REF!,0)</f>
        <v>#REF!</v>
      </c>
    </row>
    <row r="1022" spans="1:17" s="97" customFormat="1" x14ac:dyDescent="0.25">
      <c r="A1022" s="49" t="s">
        <v>1801</v>
      </c>
      <c r="B1022" s="50" t="s">
        <v>316</v>
      </c>
      <c r="C1022" s="51" t="s">
        <v>598</v>
      </c>
      <c r="D1022" s="76" t="s">
        <v>1177</v>
      </c>
      <c r="E1022" s="51" t="s">
        <v>673</v>
      </c>
      <c r="F1022" s="51" t="s">
        <v>2035</v>
      </c>
      <c r="G1022" s="76" t="s">
        <v>2101</v>
      </c>
      <c r="H1022" s="76" t="s">
        <v>654</v>
      </c>
      <c r="I1022" s="51"/>
      <c r="J1022" s="52" t="s">
        <v>708</v>
      </c>
      <c r="K1022" s="52" t="str">
        <f t="shared" si="30"/>
        <v>_</v>
      </c>
      <c r="L1022" s="117">
        <f>ROUND(Tableau18[[#This Row],[LEN]]*7.27,0)</f>
        <v>553</v>
      </c>
      <c r="M1022" s="117">
        <v>15</v>
      </c>
      <c r="N1022" s="134" t="str">
        <f t="shared" si="31"/>
        <v>_self</v>
      </c>
      <c r="O1022" s="117">
        <f>LEN(Tableau18[[#This Row],[LABEL]])</f>
        <v>76</v>
      </c>
      <c r="P1022" s="117">
        <v>15</v>
      </c>
      <c r="Q1022" s="117" t="e">
        <f>ROUND(Tableau18[[#This Row],[LEN]]*#REF!+#REF!,0)</f>
        <v>#REF!</v>
      </c>
    </row>
    <row r="1023" spans="1:17" s="273" customFormat="1" x14ac:dyDescent="0.25">
      <c r="A1023" s="351" t="s">
        <v>317</v>
      </c>
      <c r="B1023" s="352" t="s">
        <v>209</v>
      </c>
      <c r="C1023" s="353" t="s">
        <v>13</v>
      </c>
      <c r="D1023" s="354" t="s">
        <v>1177</v>
      </c>
      <c r="E1023" s="353" t="s">
        <v>677</v>
      </c>
      <c r="F1023" s="353" t="s">
        <v>1177</v>
      </c>
      <c r="G1023" s="354" t="s">
        <v>2101</v>
      </c>
      <c r="H1023" s="354" t="str">
        <f>IFERROR(IF(SEARCH(".00.00.00.00.00",Tableau18[[#This Row],[name]],1)=7,"Division",""),"")</f>
        <v>Division</v>
      </c>
      <c r="I1023" s="353"/>
      <c r="J1023" s="355" t="s">
        <v>708</v>
      </c>
      <c r="K1023" s="355" t="str">
        <f t="shared" si="30"/>
        <v>_</v>
      </c>
      <c r="L1023" s="356">
        <f>ROUND(Tableau18[[#This Row],[LEN]]*7.27,0)</f>
        <v>80</v>
      </c>
      <c r="M1023" s="356">
        <v>15</v>
      </c>
      <c r="N1023" s="357" t="str">
        <f t="shared" si="31"/>
        <v>_self</v>
      </c>
      <c r="O1023" s="356">
        <f>LEN(Tableau18[[#This Row],[LABEL]])</f>
        <v>11</v>
      </c>
      <c r="P1023" s="356">
        <v>15</v>
      </c>
      <c r="Q1023" s="356" t="e">
        <f>ROUND(Tableau18[[#This Row],[LEN]]*#REF!+#REF!,0)</f>
        <v>#REF!</v>
      </c>
    </row>
    <row r="1024" spans="1:17" s="97" customFormat="1" x14ac:dyDescent="0.25">
      <c r="A1024" s="49" t="s">
        <v>1811</v>
      </c>
      <c r="B1024" s="50" t="s">
        <v>317</v>
      </c>
      <c r="C1024" s="51" t="s">
        <v>129</v>
      </c>
      <c r="D1024" s="76" t="s">
        <v>1177</v>
      </c>
      <c r="E1024" s="51" t="s">
        <v>673</v>
      </c>
      <c r="F1024" s="51" t="s">
        <v>2035</v>
      </c>
      <c r="G1024" s="76" t="s">
        <v>2101</v>
      </c>
      <c r="H1024" s="76" t="s">
        <v>655</v>
      </c>
      <c r="I1024" s="51"/>
      <c r="J1024" s="52" t="s">
        <v>708</v>
      </c>
      <c r="K1024" s="52" t="str">
        <f t="shared" si="30"/>
        <v>_</v>
      </c>
      <c r="L1024" s="117">
        <f>ROUND(Tableau18[[#This Row],[LEN]]*7.27,0)</f>
        <v>87</v>
      </c>
      <c r="M1024" s="117">
        <v>15</v>
      </c>
      <c r="N1024" s="134" t="str">
        <f t="shared" si="31"/>
        <v>_self</v>
      </c>
      <c r="O1024" s="117">
        <f>LEN(Tableau18[[#This Row],[LABEL]])</f>
        <v>12</v>
      </c>
      <c r="P1024" s="117">
        <v>15</v>
      </c>
      <c r="Q1024" s="117" t="e">
        <f>ROUND(Tableau18[[#This Row],[LEN]]*#REF!+#REF!,0)</f>
        <v>#REF!</v>
      </c>
    </row>
    <row r="1025" spans="1:17" s="97" customFormat="1" x14ac:dyDescent="0.25">
      <c r="A1025" s="53" t="s">
        <v>1818</v>
      </c>
      <c r="B1025" s="54" t="s">
        <v>1811</v>
      </c>
      <c r="C1025" s="55" t="s">
        <v>131</v>
      </c>
      <c r="D1025" s="77" t="s">
        <v>1177</v>
      </c>
      <c r="E1025" s="55" t="s">
        <v>673</v>
      </c>
      <c r="F1025" s="55" t="s">
        <v>2035</v>
      </c>
      <c r="G1025" s="77" t="s">
        <v>2101</v>
      </c>
      <c r="H1025" s="77" t="s">
        <v>570</v>
      </c>
      <c r="I1025" s="55"/>
      <c r="J1025" s="56" t="s">
        <v>708</v>
      </c>
      <c r="K1025" s="56" t="str">
        <f t="shared" si="30"/>
        <v>_</v>
      </c>
      <c r="L1025" s="118">
        <f>ROUND(Tableau18[[#This Row],[LEN]]*7.27,0)</f>
        <v>262</v>
      </c>
      <c r="M1025" s="118">
        <v>15</v>
      </c>
      <c r="N1025" s="135" t="str">
        <f t="shared" si="31"/>
        <v>_self</v>
      </c>
      <c r="O1025" s="118">
        <f>LEN(Tableau18[[#This Row],[LABEL]])</f>
        <v>36</v>
      </c>
      <c r="P1025" s="118">
        <v>15</v>
      </c>
      <c r="Q1025" s="118" t="e">
        <f>ROUND(Tableau18[[#This Row],[LEN]]*#REF!+#REF!,0)</f>
        <v>#REF!</v>
      </c>
    </row>
    <row r="1026" spans="1:17" s="97" customFormat="1" x14ac:dyDescent="0.25">
      <c r="A1026" s="53" t="s">
        <v>1819</v>
      </c>
      <c r="B1026" s="54" t="s">
        <v>1811</v>
      </c>
      <c r="C1026" s="55" t="s">
        <v>132</v>
      </c>
      <c r="D1026" s="77" t="s">
        <v>1177</v>
      </c>
      <c r="E1026" s="55" t="s">
        <v>673</v>
      </c>
      <c r="F1026" s="55" t="s">
        <v>2035</v>
      </c>
      <c r="G1026" s="77" t="s">
        <v>2101</v>
      </c>
      <c r="H1026" s="77" t="s">
        <v>570</v>
      </c>
      <c r="I1026" s="55"/>
      <c r="J1026" s="56" t="s">
        <v>708</v>
      </c>
      <c r="K1026" s="56" t="str">
        <f t="shared" ref="K1026:K1089" si="32">IF(J1026="javascript:void(0)","_","Documentation")</f>
        <v>_</v>
      </c>
      <c r="L1026" s="118">
        <f>ROUND(Tableau18[[#This Row],[LEN]]*7.27,0)</f>
        <v>298</v>
      </c>
      <c r="M1026" s="118">
        <v>15</v>
      </c>
      <c r="N1026" s="135" t="str">
        <f t="shared" si="31"/>
        <v>_self</v>
      </c>
      <c r="O1026" s="118">
        <f>LEN(Tableau18[[#This Row],[LABEL]])</f>
        <v>41</v>
      </c>
      <c r="P1026" s="118">
        <v>15</v>
      </c>
      <c r="Q1026" s="118" t="e">
        <f>ROUND(Tableau18[[#This Row],[LEN]]*#REF!+#REF!,0)</f>
        <v>#REF!</v>
      </c>
    </row>
    <row r="1027" spans="1:17" s="97" customFormat="1" x14ac:dyDescent="0.25">
      <c r="A1027" s="49" t="s">
        <v>1812</v>
      </c>
      <c r="B1027" s="50" t="s">
        <v>317</v>
      </c>
      <c r="C1027" s="51" t="s">
        <v>1825</v>
      </c>
      <c r="D1027" s="76" t="s">
        <v>1177</v>
      </c>
      <c r="E1027" s="51" t="s">
        <v>677</v>
      </c>
      <c r="F1027" s="51" t="s">
        <v>1847</v>
      </c>
      <c r="G1027" s="76" t="s">
        <v>2101</v>
      </c>
      <c r="H1027" s="76" t="s">
        <v>656</v>
      </c>
      <c r="I1027" s="51"/>
      <c r="J1027" s="52" t="s">
        <v>708</v>
      </c>
      <c r="K1027" s="52" t="str">
        <f t="shared" si="32"/>
        <v>_</v>
      </c>
      <c r="L1027" s="117">
        <f>ROUND(Tableau18[[#This Row],[LEN]]*7.27,0)</f>
        <v>320</v>
      </c>
      <c r="M1027" s="117">
        <v>15</v>
      </c>
      <c r="N1027" s="134" t="str">
        <f t="shared" ref="N1027:N1090" si="33">IF(J1027="javascript:void(0)","_self","_blank")</f>
        <v>_self</v>
      </c>
      <c r="O1027" s="117">
        <f>LEN(Tableau18[[#This Row],[LABEL]])</f>
        <v>44</v>
      </c>
      <c r="P1027" s="117">
        <v>15</v>
      </c>
      <c r="Q1027" s="117" t="e">
        <f>ROUND(Tableau18[[#This Row],[LEN]]*#REF!+#REF!,0)</f>
        <v>#REF!</v>
      </c>
    </row>
    <row r="1028" spans="1:17" s="97" customFormat="1" x14ac:dyDescent="0.25">
      <c r="A1028" s="49" t="s">
        <v>1813</v>
      </c>
      <c r="B1028" s="50" t="s">
        <v>317</v>
      </c>
      <c r="C1028" s="51" t="s">
        <v>1826</v>
      </c>
      <c r="D1028" s="76" t="s">
        <v>1177</v>
      </c>
      <c r="E1028" s="51" t="s">
        <v>677</v>
      </c>
      <c r="F1028" s="51" t="s">
        <v>1177</v>
      </c>
      <c r="G1028" s="76" t="s">
        <v>2101</v>
      </c>
      <c r="H1028" s="76" t="s">
        <v>656</v>
      </c>
      <c r="I1028" s="51"/>
      <c r="J1028" s="52" t="s">
        <v>708</v>
      </c>
      <c r="K1028" s="52" t="str">
        <f t="shared" si="32"/>
        <v>_</v>
      </c>
      <c r="L1028" s="117">
        <f>ROUND(Tableau18[[#This Row],[LEN]]*7.27,0)</f>
        <v>320</v>
      </c>
      <c r="M1028" s="117">
        <v>15</v>
      </c>
      <c r="N1028" s="134" t="str">
        <f t="shared" si="33"/>
        <v>_self</v>
      </c>
      <c r="O1028" s="117">
        <f>LEN(Tableau18[[#This Row],[LABEL]])</f>
        <v>44</v>
      </c>
      <c r="P1028" s="117">
        <v>15</v>
      </c>
      <c r="Q1028" s="117" t="e">
        <f>ROUND(Tableau18[[#This Row],[LEN]]*#REF!+#REF!,0)</f>
        <v>#REF!</v>
      </c>
    </row>
    <row r="1029" spans="1:17" s="97" customFormat="1" x14ac:dyDescent="0.25">
      <c r="A1029" s="49" t="s">
        <v>1814</v>
      </c>
      <c r="B1029" s="50" t="s">
        <v>317</v>
      </c>
      <c r="C1029" s="51" t="s">
        <v>1827</v>
      </c>
      <c r="D1029" s="76" t="s">
        <v>1177</v>
      </c>
      <c r="E1029" s="51" t="s">
        <v>677</v>
      </c>
      <c r="F1029" s="51" t="s">
        <v>1177</v>
      </c>
      <c r="G1029" s="76" t="s">
        <v>2101</v>
      </c>
      <c r="H1029" s="76" t="s">
        <v>656</v>
      </c>
      <c r="I1029" s="51"/>
      <c r="J1029" s="52" t="s">
        <v>708</v>
      </c>
      <c r="K1029" s="52" t="str">
        <f t="shared" si="32"/>
        <v>_</v>
      </c>
      <c r="L1029" s="117">
        <f>ROUND(Tableau18[[#This Row],[LEN]]*7.27,0)</f>
        <v>145</v>
      </c>
      <c r="M1029" s="117">
        <v>15</v>
      </c>
      <c r="N1029" s="134" t="str">
        <f t="shared" si="33"/>
        <v>_self</v>
      </c>
      <c r="O1029" s="117">
        <f>LEN(Tableau18[[#This Row],[LABEL]])</f>
        <v>20</v>
      </c>
      <c r="P1029" s="117">
        <v>15</v>
      </c>
      <c r="Q1029" s="117" t="e">
        <f>ROUND(Tableau18[[#This Row],[LEN]]*#REF!+#REF!,0)</f>
        <v>#REF!</v>
      </c>
    </row>
    <row r="1030" spans="1:17" s="97" customFormat="1" x14ac:dyDescent="0.25">
      <c r="A1030" s="49" t="s">
        <v>1815</v>
      </c>
      <c r="B1030" s="50" t="s">
        <v>317</v>
      </c>
      <c r="C1030" s="51" t="s">
        <v>549</v>
      </c>
      <c r="D1030" s="76" t="s">
        <v>1177</v>
      </c>
      <c r="E1030" s="51" t="s">
        <v>673</v>
      </c>
      <c r="F1030" s="51" t="s">
        <v>1704</v>
      </c>
      <c r="G1030" s="76" t="s">
        <v>2101</v>
      </c>
      <c r="H1030" s="76" t="s">
        <v>655</v>
      </c>
      <c r="I1030" s="51"/>
      <c r="J1030" s="52" t="s">
        <v>708</v>
      </c>
      <c r="K1030" s="52" t="str">
        <f t="shared" si="32"/>
        <v>_</v>
      </c>
      <c r="L1030" s="117">
        <f>ROUND(Tableau18[[#This Row],[LEN]]*7.27,0)</f>
        <v>145</v>
      </c>
      <c r="M1030" s="117">
        <v>15</v>
      </c>
      <c r="N1030" s="134" t="str">
        <f t="shared" si="33"/>
        <v>_self</v>
      </c>
      <c r="O1030" s="117">
        <f>LEN(Tableau18[[#This Row],[LABEL]])</f>
        <v>20</v>
      </c>
      <c r="P1030" s="117">
        <v>15</v>
      </c>
      <c r="Q1030" s="117" t="e">
        <f>ROUND(Tableau18[[#This Row],[LEN]]*#REF!+#REF!,0)</f>
        <v>#REF!</v>
      </c>
    </row>
    <row r="1031" spans="1:17" s="97" customFormat="1" x14ac:dyDescent="0.25">
      <c r="A1031" s="53" t="s">
        <v>1820</v>
      </c>
      <c r="B1031" s="54" t="s">
        <v>1815</v>
      </c>
      <c r="C1031" s="55" t="s">
        <v>590</v>
      </c>
      <c r="D1031" s="77" t="s">
        <v>1177</v>
      </c>
      <c r="E1031" s="55" t="s">
        <v>673</v>
      </c>
      <c r="F1031" s="55" t="s">
        <v>1704</v>
      </c>
      <c r="G1031" s="77" t="s">
        <v>2101</v>
      </c>
      <c r="H1031" s="77" t="s">
        <v>570</v>
      </c>
      <c r="I1031" s="55"/>
      <c r="J1031" s="56" t="s">
        <v>708</v>
      </c>
      <c r="K1031" s="56" t="str">
        <f t="shared" si="32"/>
        <v>_</v>
      </c>
      <c r="L1031" s="118">
        <f>ROUND(Tableau18[[#This Row],[LEN]]*7.27,0)</f>
        <v>102</v>
      </c>
      <c r="M1031" s="118">
        <v>15</v>
      </c>
      <c r="N1031" s="135" t="str">
        <f t="shared" si="33"/>
        <v>_self</v>
      </c>
      <c r="O1031" s="118">
        <f>LEN(Tableau18[[#This Row],[LABEL]])</f>
        <v>14</v>
      </c>
      <c r="P1031" s="118">
        <v>15</v>
      </c>
      <c r="Q1031" s="118" t="e">
        <f>ROUND(Tableau18[[#This Row],[LEN]]*#REF!+#REF!,0)</f>
        <v>#REF!</v>
      </c>
    </row>
    <row r="1032" spans="1:17" s="97" customFormat="1" x14ac:dyDescent="0.25">
      <c r="A1032" s="53" t="s">
        <v>1821</v>
      </c>
      <c r="B1032" s="54" t="s">
        <v>1815</v>
      </c>
      <c r="C1032" s="55" t="s">
        <v>591</v>
      </c>
      <c r="D1032" s="77" t="s">
        <v>1177</v>
      </c>
      <c r="E1032" s="55" t="s">
        <v>673</v>
      </c>
      <c r="F1032" s="55" t="s">
        <v>1704</v>
      </c>
      <c r="G1032" s="77" t="s">
        <v>2101</v>
      </c>
      <c r="H1032" s="77" t="s">
        <v>570</v>
      </c>
      <c r="I1032" s="55"/>
      <c r="J1032" s="56" t="s">
        <v>708</v>
      </c>
      <c r="K1032" s="56" t="str">
        <f t="shared" si="32"/>
        <v>_</v>
      </c>
      <c r="L1032" s="118">
        <f>ROUND(Tableau18[[#This Row],[LEN]]*7.27,0)</f>
        <v>262</v>
      </c>
      <c r="M1032" s="118">
        <v>15</v>
      </c>
      <c r="N1032" s="135" t="str">
        <f t="shared" si="33"/>
        <v>_self</v>
      </c>
      <c r="O1032" s="118">
        <f>LEN(Tableau18[[#This Row],[LABEL]])</f>
        <v>36</v>
      </c>
      <c r="P1032" s="118">
        <v>15</v>
      </c>
      <c r="Q1032" s="118" t="e">
        <f>ROUND(Tableau18[[#This Row],[LEN]]*#REF!+#REF!,0)</f>
        <v>#REF!</v>
      </c>
    </row>
    <row r="1033" spans="1:17" s="97" customFormat="1" x14ac:dyDescent="0.25">
      <c r="A1033" s="53" t="s">
        <v>1822</v>
      </c>
      <c r="B1033" s="54" t="s">
        <v>1815</v>
      </c>
      <c r="C1033" s="55" t="s">
        <v>592</v>
      </c>
      <c r="D1033" s="77" t="s">
        <v>1177</v>
      </c>
      <c r="E1033" s="55" t="s">
        <v>673</v>
      </c>
      <c r="F1033" s="55" t="s">
        <v>1704</v>
      </c>
      <c r="G1033" s="77" t="s">
        <v>2101</v>
      </c>
      <c r="H1033" s="77" t="s">
        <v>570</v>
      </c>
      <c r="I1033" s="55"/>
      <c r="J1033" s="56" t="s">
        <v>708</v>
      </c>
      <c r="K1033" s="56" t="str">
        <f t="shared" si="32"/>
        <v>_</v>
      </c>
      <c r="L1033" s="118">
        <f>ROUND(Tableau18[[#This Row],[LEN]]*7.27,0)</f>
        <v>189</v>
      </c>
      <c r="M1033" s="118">
        <v>15</v>
      </c>
      <c r="N1033" s="135" t="str">
        <f t="shared" si="33"/>
        <v>_self</v>
      </c>
      <c r="O1033" s="118">
        <f>LEN(Tableau18[[#This Row],[LABEL]])</f>
        <v>26</v>
      </c>
      <c r="P1033" s="118">
        <v>15</v>
      </c>
      <c r="Q1033" s="118" t="e">
        <f>ROUND(Tableau18[[#This Row],[LEN]]*#REF!+#REF!,0)</f>
        <v>#REF!</v>
      </c>
    </row>
    <row r="1034" spans="1:17" s="97" customFormat="1" x14ac:dyDescent="0.25">
      <c r="A1034" s="53" t="s">
        <v>1823</v>
      </c>
      <c r="B1034" s="54" t="s">
        <v>1815</v>
      </c>
      <c r="C1034" s="55" t="s">
        <v>597</v>
      </c>
      <c r="D1034" s="77" t="s">
        <v>1177</v>
      </c>
      <c r="E1034" s="55" t="s">
        <v>673</v>
      </c>
      <c r="F1034" s="55" t="s">
        <v>1704</v>
      </c>
      <c r="G1034" s="77" t="s">
        <v>2101</v>
      </c>
      <c r="H1034" s="77" t="s">
        <v>570</v>
      </c>
      <c r="I1034" s="55"/>
      <c r="J1034" s="56" t="s">
        <v>708</v>
      </c>
      <c r="K1034" s="56" t="str">
        <f t="shared" si="32"/>
        <v>_</v>
      </c>
      <c r="L1034" s="118">
        <f>ROUND(Tableau18[[#This Row],[LEN]]*7.27,0)</f>
        <v>465</v>
      </c>
      <c r="M1034" s="118">
        <v>15</v>
      </c>
      <c r="N1034" s="135" t="str">
        <f t="shared" si="33"/>
        <v>_self</v>
      </c>
      <c r="O1034" s="118">
        <f>LEN(Tableau18[[#This Row],[LABEL]])</f>
        <v>64</v>
      </c>
      <c r="P1034" s="118">
        <v>15</v>
      </c>
      <c r="Q1034" s="118" t="e">
        <f>ROUND(Tableau18[[#This Row],[LEN]]*#REF!+#REF!,0)</f>
        <v>#REF!</v>
      </c>
    </row>
    <row r="1035" spans="1:17" s="97" customFormat="1" x14ac:dyDescent="0.25">
      <c r="A1035" s="49" t="s">
        <v>1816</v>
      </c>
      <c r="B1035" s="50" t="s">
        <v>317</v>
      </c>
      <c r="C1035" s="51" t="s">
        <v>1824</v>
      </c>
      <c r="D1035" s="76" t="s">
        <v>1177</v>
      </c>
      <c r="E1035" s="51" t="s">
        <v>677</v>
      </c>
      <c r="F1035" s="51" t="s">
        <v>1842</v>
      </c>
      <c r="G1035" s="76" t="s">
        <v>2101</v>
      </c>
      <c r="H1035" s="76" t="s">
        <v>570</v>
      </c>
      <c r="I1035" s="51"/>
      <c r="J1035" s="52" t="s">
        <v>708</v>
      </c>
      <c r="K1035" s="52" t="str">
        <f t="shared" si="32"/>
        <v>_</v>
      </c>
      <c r="L1035" s="117">
        <f>ROUND(Tableau18[[#This Row],[LEN]]*7.27,0)</f>
        <v>95</v>
      </c>
      <c r="M1035" s="117">
        <v>15</v>
      </c>
      <c r="N1035" s="134" t="str">
        <f t="shared" si="33"/>
        <v>_self</v>
      </c>
      <c r="O1035" s="117">
        <f>LEN(Tableau18[[#This Row],[LABEL]])</f>
        <v>13</v>
      </c>
      <c r="P1035" s="117">
        <v>15</v>
      </c>
      <c r="Q1035" s="117" t="e">
        <f>ROUND(Tableau18[[#This Row],[LEN]]*#REF!+#REF!,0)</f>
        <v>#REF!</v>
      </c>
    </row>
    <row r="1036" spans="1:17" s="97" customFormat="1" x14ac:dyDescent="0.25">
      <c r="A1036" s="49" t="s">
        <v>1817</v>
      </c>
      <c r="B1036" s="50" t="s">
        <v>317</v>
      </c>
      <c r="C1036" s="51" t="s">
        <v>598</v>
      </c>
      <c r="D1036" s="76" t="s">
        <v>1177</v>
      </c>
      <c r="E1036" s="51" t="s">
        <v>673</v>
      </c>
      <c r="F1036" s="51" t="s">
        <v>2035</v>
      </c>
      <c r="G1036" s="76" t="s">
        <v>2101</v>
      </c>
      <c r="H1036" s="76" t="s">
        <v>654</v>
      </c>
      <c r="I1036" s="51"/>
      <c r="J1036" s="52" t="s">
        <v>708</v>
      </c>
      <c r="K1036" s="52" t="str">
        <f t="shared" si="32"/>
        <v>_</v>
      </c>
      <c r="L1036" s="117">
        <f>ROUND(Tableau18[[#This Row],[LEN]]*7.27,0)</f>
        <v>553</v>
      </c>
      <c r="M1036" s="117">
        <v>15</v>
      </c>
      <c r="N1036" s="134" t="str">
        <f t="shared" si="33"/>
        <v>_self</v>
      </c>
      <c r="O1036" s="117">
        <f>LEN(Tableau18[[#This Row],[LABEL]])</f>
        <v>76</v>
      </c>
      <c r="P1036" s="117">
        <v>15</v>
      </c>
      <c r="Q1036" s="117" t="e">
        <f>ROUND(Tableau18[[#This Row],[LEN]]*#REF!+#REF!,0)</f>
        <v>#REF!</v>
      </c>
    </row>
    <row r="1037" spans="1:17" s="273" customFormat="1" x14ac:dyDescent="0.25">
      <c r="A1037" s="351" t="s">
        <v>318</v>
      </c>
      <c r="B1037" s="352" t="s">
        <v>209</v>
      </c>
      <c r="C1037" s="353" t="s">
        <v>14</v>
      </c>
      <c r="D1037" s="354" t="s">
        <v>1177</v>
      </c>
      <c r="E1037" s="353" t="s">
        <v>678</v>
      </c>
      <c r="F1037" s="353" t="s">
        <v>1177</v>
      </c>
      <c r="G1037" s="354" t="s">
        <v>2101</v>
      </c>
      <c r="H1037" s="354" t="str">
        <f>IFERROR(IF(SEARCH(".00.00.00.00.00",Tableau18[[#This Row],[name]],1)=7,"Division",""),"")</f>
        <v>Division</v>
      </c>
      <c r="I1037" s="353"/>
      <c r="J1037" s="355" t="s">
        <v>724</v>
      </c>
      <c r="K1037" s="355" t="str">
        <f t="shared" si="32"/>
        <v>Documentation</v>
      </c>
      <c r="L1037" s="356">
        <f>ROUND(Tableau18[[#This Row],[LEN]]*7.27,0)</f>
        <v>240</v>
      </c>
      <c r="M1037" s="356">
        <v>15</v>
      </c>
      <c r="N1037" s="357" t="str">
        <f t="shared" si="33"/>
        <v>_blank</v>
      </c>
      <c r="O1037" s="356">
        <f>LEN(Tableau18[[#This Row],[LABEL]])</f>
        <v>33</v>
      </c>
      <c r="P1037" s="356">
        <v>15</v>
      </c>
      <c r="Q1037" s="356" t="e">
        <f>ROUND(Tableau18[[#This Row],[LEN]]*#REF!+#REF!,0)</f>
        <v>#REF!</v>
      </c>
    </row>
    <row r="1038" spans="1:17" s="97" customFormat="1" x14ac:dyDescent="0.25">
      <c r="A1038" s="49" t="s">
        <v>1828</v>
      </c>
      <c r="B1038" s="50" t="s">
        <v>318</v>
      </c>
      <c r="C1038" s="51" t="s">
        <v>1848</v>
      </c>
      <c r="D1038" s="76" t="s">
        <v>1177</v>
      </c>
      <c r="E1038" s="51" t="s">
        <v>678</v>
      </c>
      <c r="F1038" s="51" t="s">
        <v>1177</v>
      </c>
      <c r="G1038" s="76" t="s">
        <v>2101</v>
      </c>
      <c r="H1038" s="76" t="s">
        <v>654</v>
      </c>
      <c r="I1038" s="51"/>
      <c r="J1038" s="52" t="s">
        <v>708</v>
      </c>
      <c r="K1038" s="52" t="str">
        <f t="shared" si="32"/>
        <v>_</v>
      </c>
      <c r="L1038" s="117">
        <f>ROUND(Tableau18[[#This Row],[LEN]]*7.27,0)</f>
        <v>364</v>
      </c>
      <c r="M1038" s="117">
        <v>15</v>
      </c>
      <c r="N1038" s="134" t="str">
        <f t="shared" si="33"/>
        <v>_self</v>
      </c>
      <c r="O1038" s="117">
        <f>LEN(Tableau18[[#This Row],[LABEL]])</f>
        <v>50</v>
      </c>
      <c r="P1038" s="117">
        <v>15</v>
      </c>
      <c r="Q1038" s="117" t="e">
        <f>ROUND(Tableau18[[#This Row],[LEN]]*#REF!+#REF!,0)</f>
        <v>#REF!</v>
      </c>
    </row>
    <row r="1039" spans="1:17" s="97" customFormat="1" x14ac:dyDescent="0.25">
      <c r="A1039" s="49" t="s">
        <v>1829</v>
      </c>
      <c r="B1039" s="50" t="s">
        <v>318</v>
      </c>
      <c r="C1039" s="51" t="s">
        <v>1849</v>
      </c>
      <c r="D1039" s="76" t="s">
        <v>1177</v>
      </c>
      <c r="E1039" s="51" t="s">
        <v>678</v>
      </c>
      <c r="F1039" s="51" t="s">
        <v>1177</v>
      </c>
      <c r="G1039" s="76" t="s">
        <v>2101</v>
      </c>
      <c r="H1039" s="76" t="s">
        <v>654</v>
      </c>
      <c r="I1039" s="51"/>
      <c r="J1039" s="52" t="s">
        <v>708</v>
      </c>
      <c r="K1039" s="52" t="str">
        <f t="shared" si="32"/>
        <v>_</v>
      </c>
      <c r="L1039" s="117">
        <f>ROUND(Tableau18[[#This Row],[LEN]]*7.27,0)</f>
        <v>269</v>
      </c>
      <c r="M1039" s="117">
        <v>15</v>
      </c>
      <c r="N1039" s="134" t="str">
        <f t="shared" si="33"/>
        <v>_self</v>
      </c>
      <c r="O1039" s="117">
        <f>LEN(Tableau18[[#This Row],[LABEL]])</f>
        <v>37</v>
      </c>
      <c r="P1039" s="117">
        <v>15</v>
      </c>
      <c r="Q1039" s="117" t="e">
        <f>ROUND(Tableau18[[#This Row],[LEN]]*#REF!+#REF!,0)</f>
        <v>#REF!</v>
      </c>
    </row>
    <row r="1040" spans="1:17" s="97" customFormat="1" x14ac:dyDescent="0.25">
      <c r="A1040" s="49" t="s">
        <v>1830</v>
      </c>
      <c r="B1040" s="50" t="s">
        <v>318</v>
      </c>
      <c r="C1040" s="51" t="s">
        <v>1850</v>
      </c>
      <c r="D1040" s="76" t="s">
        <v>1177</v>
      </c>
      <c r="E1040" s="51" t="s">
        <v>678</v>
      </c>
      <c r="F1040" s="51" t="s">
        <v>1177</v>
      </c>
      <c r="G1040" s="76" t="s">
        <v>2101</v>
      </c>
      <c r="H1040" s="76" t="s">
        <v>654</v>
      </c>
      <c r="I1040" s="51"/>
      <c r="J1040" s="52" t="s">
        <v>708</v>
      </c>
      <c r="K1040" s="52" t="str">
        <f t="shared" si="32"/>
        <v>_</v>
      </c>
      <c r="L1040" s="117">
        <f>ROUND(Tableau18[[#This Row],[LEN]]*7.27,0)</f>
        <v>305</v>
      </c>
      <c r="M1040" s="117">
        <v>15</v>
      </c>
      <c r="N1040" s="134" t="str">
        <f t="shared" si="33"/>
        <v>_self</v>
      </c>
      <c r="O1040" s="117">
        <f>LEN(Tableau18[[#This Row],[LABEL]])</f>
        <v>42</v>
      </c>
      <c r="P1040" s="117">
        <v>15</v>
      </c>
      <c r="Q1040" s="117" t="e">
        <f>ROUND(Tableau18[[#This Row],[LEN]]*#REF!+#REF!,0)</f>
        <v>#REF!</v>
      </c>
    </row>
    <row r="1041" spans="1:17" s="97" customFormat="1" x14ac:dyDescent="0.25">
      <c r="A1041" s="49" t="s">
        <v>1831</v>
      </c>
      <c r="B1041" s="50" t="s">
        <v>318</v>
      </c>
      <c r="C1041" s="51" t="s">
        <v>128</v>
      </c>
      <c r="D1041" s="76" t="s">
        <v>1177</v>
      </c>
      <c r="E1041" s="51" t="s">
        <v>669</v>
      </c>
      <c r="F1041" s="51" t="s">
        <v>2029</v>
      </c>
      <c r="G1041" s="76" t="s">
        <v>2101</v>
      </c>
      <c r="H1041" s="76" t="s">
        <v>570</v>
      </c>
      <c r="I1041" s="51"/>
      <c r="J1041" s="52" t="s">
        <v>708</v>
      </c>
      <c r="K1041" s="52" t="str">
        <f t="shared" si="32"/>
        <v>_</v>
      </c>
      <c r="L1041" s="117">
        <f>ROUND(Tableau18[[#This Row],[LEN]]*7.27,0)</f>
        <v>182</v>
      </c>
      <c r="M1041" s="117">
        <v>15</v>
      </c>
      <c r="N1041" s="134" t="str">
        <f t="shared" si="33"/>
        <v>_self</v>
      </c>
      <c r="O1041" s="117">
        <f>LEN(Tableau18[[#This Row],[LABEL]])</f>
        <v>25</v>
      </c>
      <c r="P1041" s="117">
        <v>15</v>
      </c>
      <c r="Q1041" s="117" t="e">
        <f>ROUND(Tableau18[[#This Row],[LEN]]*#REF!+#REF!,0)</f>
        <v>#REF!</v>
      </c>
    </row>
    <row r="1042" spans="1:17" s="97" customFormat="1" x14ac:dyDescent="0.25">
      <c r="A1042" s="49" t="s">
        <v>1832</v>
      </c>
      <c r="B1042" s="50" t="s">
        <v>318</v>
      </c>
      <c r="C1042" s="51" t="s">
        <v>129</v>
      </c>
      <c r="D1042" s="76" t="s">
        <v>1177</v>
      </c>
      <c r="E1042" s="51" t="s">
        <v>673</v>
      </c>
      <c r="F1042" s="51" t="s">
        <v>2035</v>
      </c>
      <c r="G1042" s="76" t="s">
        <v>2101</v>
      </c>
      <c r="H1042" s="76" t="s">
        <v>655</v>
      </c>
      <c r="I1042" s="51"/>
      <c r="J1042" s="52" t="s">
        <v>708</v>
      </c>
      <c r="K1042" s="52" t="str">
        <f t="shared" si="32"/>
        <v>_</v>
      </c>
      <c r="L1042" s="117">
        <f>ROUND(Tableau18[[#This Row],[LEN]]*7.27,0)</f>
        <v>87</v>
      </c>
      <c r="M1042" s="117">
        <v>15</v>
      </c>
      <c r="N1042" s="134" t="str">
        <f t="shared" si="33"/>
        <v>_self</v>
      </c>
      <c r="O1042" s="117">
        <f>LEN(Tableau18[[#This Row],[LABEL]])</f>
        <v>12</v>
      </c>
      <c r="P1042" s="117">
        <v>15</v>
      </c>
      <c r="Q1042" s="117" t="e">
        <f>ROUND(Tableau18[[#This Row],[LEN]]*#REF!+#REF!,0)</f>
        <v>#REF!</v>
      </c>
    </row>
    <row r="1043" spans="1:17" s="97" customFormat="1" x14ac:dyDescent="0.25">
      <c r="A1043" s="53" t="s">
        <v>1851</v>
      </c>
      <c r="B1043" s="54" t="s">
        <v>1832</v>
      </c>
      <c r="C1043" s="55" t="s">
        <v>131</v>
      </c>
      <c r="D1043" s="77" t="s">
        <v>1177</v>
      </c>
      <c r="E1043" s="55" t="s">
        <v>673</v>
      </c>
      <c r="F1043" s="55" t="s">
        <v>2035</v>
      </c>
      <c r="G1043" s="77" t="s">
        <v>2101</v>
      </c>
      <c r="H1043" s="77" t="s">
        <v>570</v>
      </c>
      <c r="I1043" s="55"/>
      <c r="J1043" s="56" t="s">
        <v>708</v>
      </c>
      <c r="K1043" s="56" t="str">
        <f t="shared" si="32"/>
        <v>_</v>
      </c>
      <c r="L1043" s="118">
        <f>ROUND(Tableau18[[#This Row],[LEN]]*7.27,0)</f>
        <v>262</v>
      </c>
      <c r="M1043" s="118">
        <v>15</v>
      </c>
      <c r="N1043" s="135" t="str">
        <f t="shared" si="33"/>
        <v>_self</v>
      </c>
      <c r="O1043" s="118">
        <f>LEN(Tableau18[[#This Row],[LABEL]])</f>
        <v>36</v>
      </c>
      <c r="P1043" s="118">
        <v>15</v>
      </c>
      <c r="Q1043" s="118" t="e">
        <f>ROUND(Tableau18[[#This Row],[LEN]]*#REF!+#REF!,0)</f>
        <v>#REF!</v>
      </c>
    </row>
    <row r="1044" spans="1:17" s="97" customFormat="1" x14ac:dyDescent="0.25">
      <c r="A1044" s="53" t="s">
        <v>1852</v>
      </c>
      <c r="B1044" s="54" t="s">
        <v>1832</v>
      </c>
      <c r="C1044" s="55" t="s">
        <v>132</v>
      </c>
      <c r="D1044" s="77" t="s">
        <v>1177</v>
      </c>
      <c r="E1044" s="55" t="s">
        <v>673</v>
      </c>
      <c r="F1044" s="55" t="s">
        <v>2035</v>
      </c>
      <c r="G1044" s="77" t="s">
        <v>2101</v>
      </c>
      <c r="H1044" s="77" t="s">
        <v>570</v>
      </c>
      <c r="I1044" s="55"/>
      <c r="J1044" s="56" t="s">
        <v>708</v>
      </c>
      <c r="K1044" s="56" t="str">
        <f t="shared" si="32"/>
        <v>_</v>
      </c>
      <c r="L1044" s="118">
        <f>ROUND(Tableau18[[#This Row],[LEN]]*7.27,0)</f>
        <v>298</v>
      </c>
      <c r="M1044" s="118">
        <v>15</v>
      </c>
      <c r="N1044" s="135" t="str">
        <f t="shared" si="33"/>
        <v>_self</v>
      </c>
      <c r="O1044" s="118">
        <f>LEN(Tableau18[[#This Row],[LABEL]])</f>
        <v>41</v>
      </c>
      <c r="P1044" s="118">
        <v>15</v>
      </c>
      <c r="Q1044" s="118" t="e">
        <f>ROUND(Tableau18[[#This Row],[LEN]]*#REF!+#REF!,0)</f>
        <v>#REF!</v>
      </c>
    </row>
    <row r="1045" spans="1:17" s="97" customFormat="1" x14ac:dyDescent="0.25">
      <c r="A1045" s="49" t="s">
        <v>1833</v>
      </c>
      <c r="B1045" s="50" t="s">
        <v>318</v>
      </c>
      <c r="C1045" s="51" t="s">
        <v>1825</v>
      </c>
      <c r="D1045" s="76" t="s">
        <v>1177</v>
      </c>
      <c r="E1045" s="51" t="s">
        <v>677</v>
      </c>
      <c r="F1045" s="51" t="s">
        <v>1847</v>
      </c>
      <c r="G1045" s="76" t="s">
        <v>2101</v>
      </c>
      <c r="H1045" s="76" t="s">
        <v>656</v>
      </c>
      <c r="I1045" s="51"/>
      <c r="J1045" s="52" t="s">
        <v>708</v>
      </c>
      <c r="K1045" s="52" t="str">
        <f t="shared" si="32"/>
        <v>_</v>
      </c>
      <c r="L1045" s="117">
        <f>ROUND(Tableau18[[#This Row],[LEN]]*7.27,0)</f>
        <v>320</v>
      </c>
      <c r="M1045" s="117">
        <v>15</v>
      </c>
      <c r="N1045" s="134" t="str">
        <f t="shared" si="33"/>
        <v>_self</v>
      </c>
      <c r="O1045" s="117">
        <f>LEN(Tableau18[[#This Row],[LABEL]])</f>
        <v>44</v>
      </c>
      <c r="P1045" s="117">
        <v>15</v>
      </c>
      <c r="Q1045" s="117" t="e">
        <f>ROUND(Tableau18[[#This Row],[LEN]]*#REF!+#REF!,0)</f>
        <v>#REF!</v>
      </c>
    </row>
    <row r="1046" spans="1:17" s="97" customFormat="1" x14ac:dyDescent="0.25">
      <c r="A1046" s="49" t="s">
        <v>1834</v>
      </c>
      <c r="B1046" s="50" t="s">
        <v>318</v>
      </c>
      <c r="C1046" s="51" t="s">
        <v>1853</v>
      </c>
      <c r="D1046" s="76" t="s">
        <v>1177</v>
      </c>
      <c r="E1046" s="51" t="s">
        <v>678</v>
      </c>
      <c r="F1046" s="51" t="s">
        <v>1177</v>
      </c>
      <c r="G1046" s="76" t="s">
        <v>2101</v>
      </c>
      <c r="H1046" s="76" t="s">
        <v>656</v>
      </c>
      <c r="I1046" s="51"/>
      <c r="J1046" s="52" t="s">
        <v>708</v>
      </c>
      <c r="K1046" s="52" t="str">
        <f t="shared" si="32"/>
        <v>_</v>
      </c>
      <c r="L1046" s="117">
        <f>ROUND(Tableau18[[#This Row],[LEN]]*7.27,0)</f>
        <v>400</v>
      </c>
      <c r="M1046" s="117">
        <v>15</v>
      </c>
      <c r="N1046" s="134" t="str">
        <f t="shared" si="33"/>
        <v>_self</v>
      </c>
      <c r="O1046" s="117">
        <f>LEN(Tableau18[[#This Row],[LABEL]])</f>
        <v>55</v>
      </c>
      <c r="P1046" s="117">
        <v>15</v>
      </c>
      <c r="Q1046" s="117" t="e">
        <f>ROUND(Tableau18[[#This Row],[LEN]]*#REF!+#REF!,0)</f>
        <v>#REF!</v>
      </c>
    </row>
    <row r="1047" spans="1:17" s="97" customFormat="1" x14ac:dyDescent="0.25">
      <c r="A1047" s="49" t="s">
        <v>1835</v>
      </c>
      <c r="B1047" s="50" t="s">
        <v>318</v>
      </c>
      <c r="C1047" s="51" t="s">
        <v>1854</v>
      </c>
      <c r="D1047" s="76" t="s">
        <v>1177</v>
      </c>
      <c r="E1047" s="51" t="s">
        <v>678</v>
      </c>
      <c r="F1047" s="51" t="s">
        <v>1177</v>
      </c>
      <c r="G1047" s="76" t="s">
        <v>2101</v>
      </c>
      <c r="H1047" s="76" t="s">
        <v>654</v>
      </c>
      <c r="I1047" s="51"/>
      <c r="J1047" s="52" t="s">
        <v>708</v>
      </c>
      <c r="K1047" s="52" t="str">
        <f t="shared" si="32"/>
        <v>_</v>
      </c>
      <c r="L1047" s="117">
        <f>ROUND(Tableau18[[#This Row],[LEN]]*7.27,0)</f>
        <v>225</v>
      </c>
      <c r="M1047" s="117">
        <v>15</v>
      </c>
      <c r="N1047" s="134" t="str">
        <f t="shared" si="33"/>
        <v>_self</v>
      </c>
      <c r="O1047" s="117">
        <f>LEN(Tableau18[[#This Row],[LABEL]])</f>
        <v>31</v>
      </c>
      <c r="P1047" s="117">
        <v>15</v>
      </c>
      <c r="Q1047" s="117" t="e">
        <f>ROUND(Tableau18[[#This Row],[LEN]]*#REF!+#REF!,0)</f>
        <v>#REF!</v>
      </c>
    </row>
    <row r="1048" spans="1:17" s="97" customFormat="1" x14ac:dyDescent="0.25">
      <c r="A1048" s="49" t="s">
        <v>1836</v>
      </c>
      <c r="B1048" s="50" t="s">
        <v>318</v>
      </c>
      <c r="C1048" s="51" t="s">
        <v>1855</v>
      </c>
      <c r="D1048" s="76" t="s">
        <v>1177</v>
      </c>
      <c r="E1048" s="51" t="s">
        <v>678</v>
      </c>
      <c r="F1048" s="51" t="s">
        <v>1177</v>
      </c>
      <c r="G1048" s="76" t="s">
        <v>2101</v>
      </c>
      <c r="H1048" s="76" t="s">
        <v>654</v>
      </c>
      <c r="I1048" s="51"/>
      <c r="J1048" s="52" t="s">
        <v>708</v>
      </c>
      <c r="K1048" s="52" t="str">
        <f t="shared" si="32"/>
        <v>_</v>
      </c>
      <c r="L1048" s="117">
        <f>ROUND(Tableau18[[#This Row],[LEN]]*7.27,0)</f>
        <v>320</v>
      </c>
      <c r="M1048" s="117">
        <v>15</v>
      </c>
      <c r="N1048" s="134" t="str">
        <f t="shared" si="33"/>
        <v>_self</v>
      </c>
      <c r="O1048" s="117">
        <f>LEN(Tableau18[[#This Row],[LABEL]])</f>
        <v>44</v>
      </c>
      <c r="P1048" s="117">
        <v>15</v>
      </c>
      <c r="Q1048" s="117" t="e">
        <f>ROUND(Tableau18[[#This Row],[LEN]]*#REF!+#REF!,0)</f>
        <v>#REF!</v>
      </c>
    </row>
    <row r="1049" spans="1:17" s="97" customFormat="1" x14ac:dyDescent="0.25">
      <c r="A1049" s="49" t="s">
        <v>1837</v>
      </c>
      <c r="B1049" s="50" t="s">
        <v>318</v>
      </c>
      <c r="C1049" s="51" t="s">
        <v>901</v>
      </c>
      <c r="D1049" s="76" t="s">
        <v>1177</v>
      </c>
      <c r="E1049" s="51" t="s">
        <v>678</v>
      </c>
      <c r="F1049" s="51" t="s">
        <v>1177</v>
      </c>
      <c r="G1049" s="76" t="s">
        <v>2101</v>
      </c>
      <c r="H1049" s="76" t="s">
        <v>654</v>
      </c>
      <c r="I1049" s="51"/>
      <c r="J1049" s="52" t="s">
        <v>708</v>
      </c>
      <c r="K1049" s="52" t="str">
        <f t="shared" si="32"/>
        <v>_</v>
      </c>
      <c r="L1049" s="117">
        <f>ROUND(Tableau18[[#This Row],[LEN]]*7.27,0)</f>
        <v>116</v>
      </c>
      <c r="M1049" s="117">
        <v>15</v>
      </c>
      <c r="N1049" s="134" t="str">
        <f t="shared" si="33"/>
        <v>_self</v>
      </c>
      <c r="O1049" s="117">
        <f>LEN(Tableau18[[#This Row],[LABEL]])</f>
        <v>16</v>
      </c>
      <c r="P1049" s="117">
        <v>15</v>
      </c>
      <c r="Q1049" s="117" t="e">
        <f>ROUND(Tableau18[[#This Row],[LEN]]*#REF!+#REF!,0)</f>
        <v>#REF!</v>
      </c>
    </row>
    <row r="1050" spans="1:17" s="97" customFormat="1" x14ac:dyDescent="0.25">
      <c r="A1050" s="49" t="s">
        <v>1838</v>
      </c>
      <c r="B1050" s="50" t="s">
        <v>318</v>
      </c>
      <c r="C1050" s="51" t="s">
        <v>1856</v>
      </c>
      <c r="D1050" s="76" t="s">
        <v>1177</v>
      </c>
      <c r="E1050" s="51" t="s">
        <v>678</v>
      </c>
      <c r="F1050" s="51" t="s">
        <v>1177</v>
      </c>
      <c r="G1050" s="76" t="s">
        <v>2101</v>
      </c>
      <c r="H1050" s="76" t="s">
        <v>654</v>
      </c>
      <c r="I1050" s="51"/>
      <c r="J1050" s="52" t="s">
        <v>708</v>
      </c>
      <c r="K1050" s="52" t="str">
        <f t="shared" si="32"/>
        <v>_</v>
      </c>
      <c r="L1050" s="117">
        <f>ROUND(Tableau18[[#This Row],[LEN]]*7.27,0)</f>
        <v>131</v>
      </c>
      <c r="M1050" s="117">
        <v>15</v>
      </c>
      <c r="N1050" s="134" t="str">
        <f t="shared" si="33"/>
        <v>_self</v>
      </c>
      <c r="O1050" s="117">
        <f>LEN(Tableau18[[#This Row],[LABEL]])</f>
        <v>18</v>
      </c>
      <c r="P1050" s="117">
        <v>15</v>
      </c>
      <c r="Q1050" s="117" t="e">
        <f>ROUND(Tableau18[[#This Row],[LEN]]*#REF!+#REF!,0)</f>
        <v>#REF!</v>
      </c>
    </row>
    <row r="1051" spans="1:17" s="97" customFormat="1" x14ac:dyDescent="0.25">
      <c r="A1051" s="49" t="s">
        <v>1839</v>
      </c>
      <c r="B1051" s="50" t="s">
        <v>318</v>
      </c>
      <c r="C1051" s="51" t="s">
        <v>549</v>
      </c>
      <c r="D1051" s="76" t="s">
        <v>1177</v>
      </c>
      <c r="E1051" s="51" t="s">
        <v>673</v>
      </c>
      <c r="F1051" s="51" t="s">
        <v>1704</v>
      </c>
      <c r="G1051" s="76" t="s">
        <v>2101</v>
      </c>
      <c r="H1051" s="76" t="s">
        <v>655</v>
      </c>
      <c r="I1051" s="51"/>
      <c r="J1051" s="52" t="s">
        <v>708</v>
      </c>
      <c r="K1051" s="52" t="str">
        <f t="shared" si="32"/>
        <v>_</v>
      </c>
      <c r="L1051" s="117">
        <f>ROUND(Tableau18[[#This Row],[LEN]]*7.27,0)</f>
        <v>145</v>
      </c>
      <c r="M1051" s="117">
        <v>15</v>
      </c>
      <c r="N1051" s="134" t="str">
        <f t="shared" si="33"/>
        <v>_self</v>
      </c>
      <c r="O1051" s="117">
        <f>LEN(Tableau18[[#This Row],[LABEL]])</f>
        <v>20</v>
      </c>
      <c r="P1051" s="117">
        <v>15</v>
      </c>
      <c r="Q1051" s="117" t="e">
        <f>ROUND(Tableau18[[#This Row],[LEN]]*#REF!+#REF!,0)</f>
        <v>#REF!</v>
      </c>
    </row>
    <row r="1052" spans="1:17" s="97" customFormat="1" x14ac:dyDescent="0.25">
      <c r="A1052" s="53" t="s">
        <v>1843</v>
      </c>
      <c r="B1052" s="54" t="s">
        <v>1839</v>
      </c>
      <c r="C1052" s="55" t="s">
        <v>590</v>
      </c>
      <c r="D1052" s="77" t="s">
        <v>1177</v>
      </c>
      <c r="E1052" s="55" t="s">
        <v>673</v>
      </c>
      <c r="F1052" s="55" t="s">
        <v>1704</v>
      </c>
      <c r="G1052" s="77" t="s">
        <v>2101</v>
      </c>
      <c r="H1052" s="77" t="s">
        <v>570</v>
      </c>
      <c r="I1052" s="55"/>
      <c r="J1052" s="56" t="s">
        <v>708</v>
      </c>
      <c r="K1052" s="56" t="str">
        <f t="shared" si="32"/>
        <v>_</v>
      </c>
      <c r="L1052" s="118">
        <f>ROUND(Tableau18[[#This Row],[LEN]]*7.27,0)</f>
        <v>102</v>
      </c>
      <c r="M1052" s="118">
        <v>15</v>
      </c>
      <c r="N1052" s="135" t="str">
        <f t="shared" si="33"/>
        <v>_self</v>
      </c>
      <c r="O1052" s="118">
        <f>LEN(Tableau18[[#This Row],[LABEL]])</f>
        <v>14</v>
      </c>
      <c r="P1052" s="118">
        <v>15</v>
      </c>
      <c r="Q1052" s="118" t="e">
        <f>ROUND(Tableau18[[#This Row],[LEN]]*#REF!+#REF!,0)</f>
        <v>#REF!</v>
      </c>
    </row>
    <row r="1053" spans="1:17" s="97" customFormat="1" x14ac:dyDescent="0.25">
      <c r="A1053" s="53" t="s">
        <v>1844</v>
      </c>
      <c r="B1053" s="54" t="s">
        <v>1839</v>
      </c>
      <c r="C1053" s="55" t="s">
        <v>591</v>
      </c>
      <c r="D1053" s="77" t="s">
        <v>1177</v>
      </c>
      <c r="E1053" s="55" t="s">
        <v>673</v>
      </c>
      <c r="F1053" s="55" t="s">
        <v>1704</v>
      </c>
      <c r="G1053" s="77" t="s">
        <v>2101</v>
      </c>
      <c r="H1053" s="77" t="s">
        <v>570</v>
      </c>
      <c r="I1053" s="55"/>
      <c r="J1053" s="56" t="s">
        <v>708</v>
      </c>
      <c r="K1053" s="56" t="str">
        <f t="shared" si="32"/>
        <v>_</v>
      </c>
      <c r="L1053" s="118">
        <f>ROUND(Tableau18[[#This Row],[LEN]]*7.27,0)</f>
        <v>262</v>
      </c>
      <c r="M1053" s="118">
        <v>15</v>
      </c>
      <c r="N1053" s="135" t="str">
        <f t="shared" si="33"/>
        <v>_self</v>
      </c>
      <c r="O1053" s="118">
        <f>LEN(Tableau18[[#This Row],[LABEL]])</f>
        <v>36</v>
      </c>
      <c r="P1053" s="118">
        <v>15</v>
      </c>
      <c r="Q1053" s="118" t="e">
        <f>ROUND(Tableau18[[#This Row],[LEN]]*#REF!+#REF!,0)</f>
        <v>#REF!</v>
      </c>
    </row>
    <row r="1054" spans="1:17" s="97" customFormat="1" x14ac:dyDescent="0.25">
      <c r="A1054" s="53" t="s">
        <v>1845</v>
      </c>
      <c r="B1054" s="54" t="s">
        <v>1839</v>
      </c>
      <c r="C1054" s="55" t="s">
        <v>592</v>
      </c>
      <c r="D1054" s="77" t="s">
        <v>1177</v>
      </c>
      <c r="E1054" s="55" t="s">
        <v>673</v>
      </c>
      <c r="F1054" s="55" t="s">
        <v>1704</v>
      </c>
      <c r="G1054" s="77" t="s">
        <v>2101</v>
      </c>
      <c r="H1054" s="77" t="s">
        <v>570</v>
      </c>
      <c r="I1054" s="55"/>
      <c r="J1054" s="56" t="s">
        <v>708</v>
      </c>
      <c r="K1054" s="56" t="str">
        <f t="shared" si="32"/>
        <v>_</v>
      </c>
      <c r="L1054" s="118">
        <f>ROUND(Tableau18[[#This Row],[LEN]]*7.27,0)</f>
        <v>189</v>
      </c>
      <c r="M1054" s="118">
        <v>15</v>
      </c>
      <c r="N1054" s="135" t="str">
        <f t="shared" si="33"/>
        <v>_self</v>
      </c>
      <c r="O1054" s="118">
        <f>LEN(Tableau18[[#This Row],[LABEL]])</f>
        <v>26</v>
      </c>
      <c r="P1054" s="118">
        <v>15</v>
      </c>
      <c r="Q1054" s="118" t="e">
        <f>ROUND(Tableau18[[#This Row],[LEN]]*#REF!+#REF!,0)</f>
        <v>#REF!</v>
      </c>
    </row>
    <row r="1055" spans="1:17" s="97" customFormat="1" x14ac:dyDescent="0.25">
      <c r="A1055" s="53" t="s">
        <v>1846</v>
      </c>
      <c r="B1055" s="54" t="s">
        <v>1839</v>
      </c>
      <c r="C1055" s="55" t="s">
        <v>597</v>
      </c>
      <c r="D1055" s="77" t="s">
        <v>1177</v>
      </c>
      <c r="E1055" s="55" t="s">
        <v>673</v>
      </c>
      <c r="F1055" s="55" t="s">
        <v>1704</v>
      </c>
      <c r="G1055" s="77" t="s">
        <v>2101</v>
      </c>
      <c r="H1055" s="77" t="s">
        <v>570</v>
      </c>
      <c r="I1055" s="55"/>
      <c r="J1055" s="56" t="s">
        <v>708</v>
      </c>
      <c r="K1055" s="56" t="str">
        <f t="shared" si="32"/>
        <v>_</v>
      </c>
      <c r="L1055" s="118">
        <f>ROUND(Tableau18[[#This Row],[LEN]]*7.27,0)</f>
        <v>465</v>
      </c>
      <c r="M1055" s="118">
        <v>15</v>
      </c>
      <c r="N1055" s="135" t="str">
        <f t="shared" si="33"/>
        <v>_self</v>
      </c>
      <c r="O1055" s="118">
        <f>LEN(Tableau18[[#This Row],[LABEL]])</f>
        <v>64</v>
      </c>
      <c r="P1055" s="118">
        <v>15</v>
      </c>
      <c r="Q1055" s="118" t="e">
        <f>ROUND(Tableau18[[#This Row],[LEN]]*#REF!+#REF!,0)</f>
        <v>#REF!</v>
      </c>
    </row>
    <row r="1056" spans="1:17" s="97" customFormat="1" x14ac:dyDescent="0.25">
      <c r="A1056" s="49" t="s">
        <v>1840</v>
      </c>
      <c r="B1056" s="50" t="s">
        <v>318</v>
      </c>
      <c r="C1056" s="51" t="s">
        <v>1824</v>
      </c>
      <c r="D1056" s="76" t="s">
        <v>1177</v>
      </c>
      <c r="E1056" s="51" t="s">
        <v>677</v>
      </c>
      <c r="F1056" s="51" t="s">
        <v>1842</v>
      </c>
      <c r="G1056" s="76" t="s">
        <v>2101</v>
      </c>
      <c r="H1056" s="76" t="s">
        <v>570</v>
      </c>
      <c r="I1056" s="51"/>
      <c r="J1056" s="52" t="s">
        <v>708</v>
      </c>
      <c r="K1056" s="52" t="str">
        <f t="shared" si="32"/>
        <v>_</v>
      </c>
      <c r="L1056" s="117">
        <f>ROUND(Tableau18[[#This Row],[LEN]]*7.27,0)</f>
        <v>95</v>
      </c>
      <c r="M1056" s="117">
        <v>15</v>
      </c>
      <c r="N1056" s="134" t="str">
        <f t="shared" si="33"/>
        <v>_self</v>
      </c>
      <c r="O1056" s="117">
        <f>LEN(Tableau18[[#This Row],[LABEL]])</f>
        <v>13</v>
      </c>
      <c r="P1056" s="117">
        <v>15</v>
      </c>
      <c r="Q1056" s="117" t="e">
        <f>ROUND(Tableau18[[#This Row],[LEN]]*#REF!+#REF!,0)</f>
        <v>#REF!</v>
      </c>
    </row>
    <row r="1057" spans="1:17" s="97" customFormat="1" x14ac:dyDescent="0.25">
      <c r="A1057" s="49" t="s">
        <v>1841</v>
      </c>
      <c r="B1057" s="50" t="s">
        <v>318</v>
      </c>
      <c r="C1057" s="51" t="s">
        <v>598</v>
      </c>
      <c r="D1057" s="76" t="s">
        <v>1177</v>
      </c>
      <c r="E1057" s="51" t="s">
        <v>673</v>
      </c>
      <c r="F1057" s="51" t="s">
        <v>2035</v>
      </c>
      <c r="G1057" s="76" t="s">
        <v>2101</v>
      </c>
      <c r="H1057" s="76" t="s">
        <v>654</v>
      </c>
      <c r="I1057" s="51"/>
      <c r="J1057" s="52" t="s">
        <v>708</v>
      </c>
      <c r="K1057" s="52" t="str">
        <f t="shared" si="32"/>
        <v>_</v>
      </c>
      <c r="L1057" s="117">
        <f>ROUND(Tableau18[[#This Row],[LEN]]*7.27,0)</f>
        <v>553</v>
      </c>
      <c r="M1057" s="117">
        <v>15</v>
      </c>
      <c r="N1057" s="134" t="str">
        <f t="shared" si="33"/>
        <v>_self</v>
      </c>
      <c r="O1057" s="117">
        <f>LEN(Tableau18[[#This Row],[LABEL]])</f>
        <v>76</v>
      </c>
      <c r="P1057" s="117">
        <v>15</v>
      </c>
      <c r="Q1057" s="117" t="e">
        <f>ROUND(Tableau18[[#This Row],[LEN]]*#REF!+#REF!,0)</f>
        <v>#REF!</v>
      </c>
    </row>
    <row r="1058" spans="1:17" s="273" customFormat="1" x14ac:dyDescent="0.25">
      <c r="A1058" s="358" t="s">
        <v>319</v>
      </c>
      <c r="B1058" s="359" t="s">
        <v>209</v>
      </c>
      <c r="C1058" s="360" t="s">
        <v>15</v>
      </c>
      <c r="D1058" s="361" t="s">
        <v>1177</v>
      </c>
      <c r="E1058" s="360" t="s">
        <v>679</v>
      </c>
      <c r="F1058" s="360" t="s">
        <v>1177</v>
      </c>
      <c r="G1058" s="361" t="s">
        <v>2101</v>
      </c>
      <c r="H1058" s="361" t="str">
        <f>IFERROR(IF(SEARCH(".00.00.00.00.00",Tableau18[[#This Row],[name]],1)=7,"Division",""),"")</f>
        <v>Division</v>
      </c>
      <c r="I1058" s="360"/>
      <c r="J1058" s="362" t="s">
        <v>708</v>
      </c>
      <c r="K1058" s="362" t="str">
        <f t="shared" si="32"/>
        <v>_</v>
      </c>
      <c r="L1058" s="363">
        <f>ROUND(Tableau18[[#This Row],[LEN]]*7.27,0)</f>
        <v>174</v>
      </c>
      <c r="M1058" s="363">
        <v>15</v>
      </c>
      <c r="N1058" s="364" t="str">
        <f t="shared" si="33"/>
        <v>_self</v>
      </c>
      <c r="O1058" s="363">
        <f>LEN(Tableau18[[#This Row],[LABEL]])</f>
        <v>24</v>
      </c>
      <c r="P1058" s="363">
        <v>15</v>
      </c>
      <c r="Q1058" s="363" t="e">
        <f>ROUND(Tableau18[[#This Row],[LEN]]*#REF!+#REF!,0)</f>
        <v>#REF!</v>
      </c>
    </row>
    <row r="1059" spans="1:17" s="97" customFormat="1" x14ac:dyDescent="0.25">
      <c r="A1059" s="49" t="s">
        <v>1857</v>
      </c>
      <c r="B1059" s="50" t="s">
        <v>319</v>
      </c>
      <c r="C1059" s="51" t="s">
        <v>1862</v>
      </c>
      <c r="D1059" s="76" t="s">
        <v>1863</v>
      </c>
      <c r="E1059" s="51" t="s">
        <v>679</v>
      </c>
      <c r="F1059" s="51" t="s">
        <v>1177</v>
      </c>
      <c r="G1059" s="76" t="s">
        <v>2101</v>
      </c>
      <c r="H1059" s="76" t="s">
        <v>654</v>
      </c>
      <c r="I1059" s="51"/>
      <c r="J1059" s="52" t="s">
        <v>708</v>
      </c>
      <c r="K1059" s="52" t="str">
        <f t="shared" si="32"/>
        <v>_</v>
      </c>
      <c r="L1059" s="117">
        <f>ROUND(Tableau18[[#This Row],[LEN]]*7.27,0)</f>
        <v>124</v>
      </c>
      <c r="M1059" s="117">
        <v>15</v>
      </c>
      <c r="N1059" s="134" t="str">
        <f t="shared" si="33"/>
        <v>_self</v>
      </c>
      <c r="O1059" s="117">
        <f>LEN(Tableau18[[#This Row],[LABEL]])</f>
        <v>17</v>
      </c>
      <c r="P1059" s="117">
        <v>15</v>
      </c>
      <c r="Q1059" s="117" t="e">
        <f>ROUND(Tableau18[[#This Row],[LEN]]*#REF!+#REF!,0)</f>
        <v>#REF!</v>
      </c>
    </row>
    <row r="1060" spans="1:17" s="97" customFormat="1" x14ac:dyDescent="0.25">
      <c r="A1060" s="49" t="s">
        <v>1858</v>
      </c>
      <c r="B1060" s="50" t="s">
        <v>319</v>
      </c>
      <c r="C1060" s="51" t="s">
        <v>1772</v>
      </c>
      <c r="D1060" s="76" t="s">
        <v>1177</v>
      </c>
      <c r="E1060" s="51" t="s">
        <v>675</v>
      </c>
      <c r="F1060" s="51" t="s">
        <v>679</v>
      </c>
      <c r="G1060" s="76" t="s">
        <v>2101</v>
      </c>
      <c r="H1060" s="76" t="s">
        <v>655</v>
      </c>
      <c r="I1060" s="51"/>
      <c r="J1060" s="52" t="s">
        <v>708</v>
      </c>
      <c r="K1060" s="52" t="str">
        <f t="shared" si="32"/>
        <v>_</v>
      </c>
      <c r="L1060" s="117">
        <f>ROUND(Tableau18[[#This Row],[LEN]]*7.27,0)</f>
        <v>182</v>
      </c>
      <c r="M1060" s="117">
        <v>15</v>
      </c>
      <c r="N1060" s="134" t="str">
        <f t="shared" si="33"/>
        <v>_self</v>
      </c>
      <c r="O1060" s="117">
        <f>LEN(Tableau18[[#This Row],[LABEL]])</f>
        <v>25</v>
      </c>
      <c r="P1060" s="117">
        <v>15</v>
      </c>
      <c r="Q1060" s="117" t="e">
        <f>ROUND(Tableau18[[#This Row],[LEN]]*#REF!+#REF!,0)</f>
        <v>#REF!</v>
      </c>
    </row>
    <row r="1061" spans="1:17" s="97" customFormat="1" x14ac:dyDescent="0.25">
      <c r="A1061" s="53" t="s">
        <v>1864</v>
      </c>
      <c r="B1061" s="54" t="s">
        <v>1858</v>
      </c>
      <c r="C1061" s="55" t="s">
        <v>1467</v>
      </c>
      <c r="D1061" s="77" t="s">
        <v>1177</v>
      </c>
      <c r="E1061" s="55" t="s">
        <v>675</v>
      </c>
      <c r="F1061" s="55" t="s">
        <v>679</v>
      </c>
      <c r="G1061" s="77" t="s">
        <v>2101</v>
      </c>
      <c r="H1061" s="77" t="s">
        <v>654</v>
      </c>
      <c r="I1061" s="55"/>
      <c r="J1061" s="56" t="s">
        <v>708</v>
      </c>
      <c r="K1061" s="56" t="str">
        <f t="shared" si="32"/>
        <v>_</v>
      </c>
      <c r="L1061" s="118">
        <f>ROUND(Tableau18[[#This Row],[LEN]]*7.27,0)</f>
        <v>102</v>
      </c>
      <c r="M1061" s="118">
        <v>15</v>
      </c>
      <c r="N1061" s="135" t="str">
        <f t="shared" si="33"/>
        <v>_self</v>
      </c>
      <c r="O1061" s="118">
        <f>LEN(Tableau18[[#This Row],[LABEL]])</f>
        <v>14</v>
      </c>
      <c r="P1061" s="118">
        <v>15</v>
      </c>
      <c r="Q1061" s="118" t="e">
        <f>ROUND(Tableau18[[#This Row],[LEN]]*#REF!+#REF!,0)</f>
        <v>#REF!</v>
      </c>
    </row>
    <row r="1062" spans="1:17" s="97" customFormat="1" x14ac:dyDescent="0.25">
      <c r="A1062" s="53" t="s">
        <v>1865</v>
      </c>
      <c r="B1062" s="54" t="s">
        <v>1858</v>
      </c>
      <c r="C1062" s="55" t="s">
        <v>1769</v>
      </c>
      <c r="D1062" s="77" t="s">
        <v>1177</v>
      </c>
      <c r="E1062" s="55" t="s">
        <v>675</v>
      </c>
      <c r="F1062" s="55" t="s">
        <v>679</v>
      </c>
      <c r="G1062" s="77" t="s">
        <v>2101</v>
      </c>
      <c r="H1062" s="77" t="s">
        <v>654</v>
      </c>
      <c r="I1062" s="55"/>
      <c r="J1062" s="56" t="s">
        <v>708</v>
      </c>
      <c r="K1062" s="56" t="str">
        <f t="shared" si="32"/>
        <v>_</v>
      </c>
      <c r="L1062" s="118">
        <f>ROUND(Tableau18[[#This Row],[LEN]]*7.27,0)</f>
        <v>211</v>
      </c>
      <c r="M1062" s="118">
        <v>15</v>
      </c>
      <c r="N1062" s="135" t="str">
        <f t="shared" si="33"/>
        <v>_self</v>
      </c>
      <c r="O1062" s="118">
        <f>LEN(Tableau18[[#This Row],[LABEL]])</f>
        <v>29</v>
      </c>
      <c r="P1062" s="118">
        <v>15</v>
      </c>
      <c r="Q1062" s="118" t="e">
        <f>ROUND(Tableau18[[#This Row],[LEN]]*#REF!+#REF!,0)</f>
        <v>#REF!</v>
      </c>
    </row>
    <row r="1063" spans="1:17" s="97" customFormat="1" x14ac:dyDescent="0.25">
      <c r="A1063" s="53" t="s">
        <v>1866</v>
      </c>
      <c r="B1063" s="54" t="s">
        <v>1858</v>
      </c>
      <c r="C1063" s="55" t="s">
        <v>1468</v>
      </c>
      <c r="D1063" s="77" t="s">
        <v>1177</v>
      </c>
      <c r="E1063" s="55" t="s">
        <v>675</v>
      </c>
      <c r="F1063" s="55" t="s">
        <v>679</v>
      </c>
      <c r="G1063" s="77" t="s">
        <v>2101</v>
      </c>
      <c r="H1063" s="77" t="s">
        <v>654</v>
      </c>
      <c r="I1063" s="55"/>
      <c r="J1063" s="56" t="s">
        <v>708</v>
      </c>
      <c r="K1063" s="56" t="str">
        <f t="shared" si="32"/>
        <v>_</v>
      </c>
      <c r="L1063" s="118">
        <f>ROUND(Tableau18[[#This Row],[LEN]]*7.27,0)</f>
        <v>167</v>
      </c>
      <c r="M1063" s="118">
        <v>15</v>
      </c>
      <c r="N1063" s="135" t="str">
        <f t="shared" si="33"/>
        <v>_self</v>
      </c>
      <c r="O1063" s="118">
        <f>LEN(Tableau18[[#This Row],[LABEL]])</f>
        <v>23</v>
      </c>
      <c r="P1063" s="118">
        <v>15</v>
      </c>
      <c r="Q1063" s="118" t="e">
        <f>ROUND(Tableau18[[#This Row],[LEN]]*#REF!+#REF!,0)</f>
        <v>#REF!</v>
      </c>
    </row>
    <row r="1064" spans="1:17" s="97" customFormat="1" x14ac:dyDescent="0.25">
      <c r="A1064" s="49" t="s">
        <v>1859</v>
      </c>
      <c r="B1064" s="50" t="s">
        <v>319</v>
      </c>
      <c r="C1064" s="51" t="s">
        <v>1824</v>
      </c>
      <c r="D1064" s="76" t="s">
        <v>1177</v>
      </c>
      <c r="E1064" s="51" t="s">
        <v>677</v>
      </c>
      <c r="F1064" s="51" t="s">
        <v>1842</v>
      </c>
      <c r="G1064" s="76" t="s">
        <v>2101</v>
      </c>
      <c r="H1064" s="76" t="s">
        <v>570</v>
      </c>
      <c r="I1064" s="51"/>
      <c r="J1064" s="52" t="s">
        <v>708</v>
      </c>
      <c r="K1064" s="52" t="str">
        <f t="shared" si="32"/>
        <v>_</v>
      </c>
      <c r="L1064" s="117">
        <f>ROUND(Tableau18[[#This Row],[LEN]]*7.27,0)</f>
        <v>95</v>
      </c>
      <c r="M1064" s="117">
        <v>15</v>
      </c>
      <c r="N1064" s="134" t="str">
        <f t="shared" si="33"/>
        <v>_self</v>
      </c>
      <c r="O1064" s="117">
        <f>LEN(Tableau18[[#This Row],[LABEL]])</f>
        <v>13</v>
      </c>
      <c r="P1064" s="117">
        <v>15</v>
      </c>
      <c r="Q1064" s="117" t="e">
        <f>ROUND(Tableau18[[#This Row],[LEN]]*#REF!+#REF!,0)</f>
        <v>#REF!</v>
      </c>
    </row>
    <row r="1065" spans="1:17" s="97" customFormat="1" x14ac:dyDescent="0.25">
      <c r="A1065" s="49" t="s">
        <v>1860</v>
      </c>
      <c r="B1065" s="50" t="s">
        <v>319</v>
      </c>
      <c r="C1065" s="51" t="s">
        <v>1867</v>
      </c>
      <c r="D1065" s="76" t="s">
        <v>1177</v>
      </c>
      <c r="E1065" s="51" t="s">
        <v>679</v>
      </c>
      <c r="F1065" s="51" t="s">
        <v>1177</v>
      </c>
      <c r="G1065" s="76" t="s">
        <v>2101</v>
      </c>
      <c r="H1065" s="76" t="s">
        <v>570</v>
      </c>
      <c r="I1065" s="51"/>
      <c r="J1065" s="52" t="s">
        <v>708</v>
      </c>
      <c r="K1065" s="52" t="str">
        <f t="shared" si="32"/>
        <v>_</v>
      </c>
      <c r="L1065" s="117">
        <f>ROUND(Tableau18[[#This Row],[LEN]]*7.27,0)</f>
        <v>313</v>
      </c>
      <c r="M1065" s="117">
        <v>15</v>
      </c>
      <c r="N1065" s="134" t="str">
        <f t="shared" si="33"/>
        <v>_self</v>
      </c>
      <c r="O1065" s="117">
        <f>LEN(Tableau18[[#This Row],[LABEL]])</f>
        <v>43</v>
      </c>
      <c r="P1065" s="117">
        <v>15</v>
      </c>
      <c r="Q1065" s="117" t="e">
        <f>ROUND(Tableau18[[#This Row],[LEN]]*#REF!+#REF!,0)</f>
        <v>#REF!</v>
      </c>
    </row>
    <row r="1066" spans="1:17" s="97" customFormat="1" x14ac:dyDescent="0.25">
      <c r="A1066" s="49" t="s">
        <v>1861</v>
      </c>
      <c r="B1066" s="50" t="s">
        <v>319</v>
      </c>
      <c r="C1066" s="51" t="s">
        <v>1868</v>
      </c>
      <c r="D1066" s="76" t="s">
        <v>1177</v>
      </c>
      <c r="E1066" s="51" t="s">
        <v>679</v>
      </c>
      <c r="F1066" s="51" t="s">
        <v>1177</v>
      </c>
      <c r="G1066" s="76" t="s">
        <v>2101</v>
      </c>
      <c r="H1066" s="76" t="s">
        <v>654</v>
      </c>
      <c r="I1066" s="51"/>
      <c r="J1066" s="52" t="s">
        <v>708</v>
      </c>
      <c r="K1066" s="52" t="str">
        <f t="shared" si="32"/>
        <v>_</v>
      </c>
      <c r="L1066" s="117">
        <f>ROUND(Tableau18[[#This Row],[LEN]]*7.27,0)</f>
        <v>189</v>
      </c>
      <c r="M1066" s="117">
        <v>15</v>
      </c>
      <c r="N1066" s="134" t="str">
        <f t="shared" si="33"/>
        <v>_self</v>
      </c>
      <c r="O1066" s="117">
        <f>LEN(Tableau18[[#This Row],[LABEL]])</f>
        <v>26</v>
      </c>
      <c r="P1066" s="117">
        <v>15</v>
      </c>
      <c r="Q1066" s="117" t="e">
        <f>ROUND(Tableau18[[#This Row],[LEN]]*#REF!+#REF!,0)</f>
        <v>#REF!</v>
      </c>
    </row>
    <row r="1067" spans="1:17" s="273" customFormat="1" x14ac:dyDescent="0.25">
      <c r="A1067" s="358" t="s">
        <v>2020</v>
      </c>
      <c r="B1067" s="359" t="s">
        <v>209</v>
      </c>
      <c r="C1067" s="360" t="s">
        <v>1950</v>
      </c>
      <c r="D1067" s="361" t="s">
        <v>1177</v>
      </c>
      <c r="E1067" s="360" t="s">
        <v>1951</v>
      </c>
      <c r="F1067" s="360" t="s">
        <v>1177</v>
      </c>
      <c r="G1067" s="361" t="s">
        <v>2101</v>
      </c>
      <c r="H1067" s="361" t="s">
        <v>56</v>
      </c>
      <c r="I1067" s="360"/>
      <c r="J1067" s="362" t="s">
        <v>708</v>
      </c>
      <c r="K1067" s="362" t="str">
        <f t="shared" si="32"/>
        <v>_</v>
      </c>
      <c r="L1067" s="363">
        <f>ROUND(Tableau18[[#This Row],[LEN]]*7.27,0)</f>
        <v>51</v>
      </c>
      <c r="M1067" s="363">
        <v>15</v>
      </c>
      <c r="N1067" s="364" t="str">
        <f t="shared" si="33"/>
        <v>_self</v>
      </c>
      <c r="O1067" s="363">
        <f>LEN(Tableau18[[#This Row],[LABEL]])</f>
        <v>7</v>
      </c>
      <c r="P1067" s="363">
        <v>15</v>
      </c>
      <c r="Q1067" s="363" t="e">
        <f>ROUND(Tableau18[[#This Row],[LEN]]*#REF!+#REF!,0)</f>
        <v>#REF!</v>
      </c>
    </row>
    <row r="1068" spans="1:17" s="97" customFormat="1" x14ac:dyDescent="0.25">
      <c r="A1068" s="49" t="s">
        <v>2021</v>
      </c>
      <c r="B1068" s="50" t="s">
        <v>2020</v>
      </c>
      <c r="C1068" s="51" t="s">
        <v>2088</v>
      </c>
      <c r="D1068" s="76" t="s">
        <v>2032</v>
      </c>
      <c r="E1068" s="51" t="s">
        <v>1951</v>
      </c>
      <c r="F1068" s="51" t="s">
        <v>1177</v>
      </c>
      <c r="G1068" s="76" t="s">
        <v>2101</v>
      </c>
      <c r="H1068" s="76" t="s">
        <v>654</v>
      </c>
      <c r="I1068" s="51"/>
      <c r="J1068" s="52" t="s">
        <v>708</v>
      </c>
      <c r="K1068" s="52" t="str">
        <f t="shared" si="32"/>
        <v>_</v>
      </c>
      <c r="L1068" s="117">
        <f>ROUND(Tableau18[[#This Row],[LEN]]*7.27,0)</f>
        <v>414</v>
      </c>
      <c r="M1068" s="117">
        <v>15</v>
      </c>
      <c r="N1068" s="134" t="str">
        <f t="shared" si="33"/>
        <v>_self</v>
      </c>
      <c r="O1068" s="117">
        <f>LEN(Tableau18[[#This Row],[LABEL]])</f>
        <v>57</v>
      </c>
      <c r="P1068" s="117">
        <v>15</v>
      </c>
      <c r="Q1068" s="117" t="e">
        <f>ROUND(Tableau18[[#This Row],[LEN]]*#REF!+#REF!,0)</f>
        <v>#REF!</v>
      </c>
    </row>
    <row r="1069" spans="1:17" s="97" customFormat="1" x14ac:dyDescent="0.25">
      <c r="A1069" s="49" t="s">
        <v>2022</v>
      </c>
      <c r="B1069" s="50" t="s">
        <v>2020</v>
      </c>
      <c r="C1069" s="51" t="s">
        <v>2033</v>
      </c>
      <c r="D1069" s="76" t="s">
        <v>1177</v>
      </c>
      <c r="E1069" s="51" t="s">
        <v>1951</v>
      </c>
      <c r="F1069" s="51" t="s">
        <v>1177</v>
      </c>
      <c r="G1069" s="76" t="s">
        <v>2101</v>
      </c>
      <c r="H1069" s="76" t="s">
        <v>654</v>
      </c>
      <c r="I1069" s="51"/>
      <c r="J1069" s="52" t="s">
        <v>708</v>
      </c>
      <c r="K1069" s="52" t="str">
        <f t="shared" si="32"/>
        <v>_</v>
      </c>
      <c r="L1069" s="117">
        <f>ROUND(Tableau18[[#This Row],[LEN]]*7.27,0)</f>
        <v>320</v>
      </c>
      <c r="M1069" s="117">
        <v>15</v>
      </c>
      <c r="N1069" s="134" t="str">
        <f t="shared" si="33"/>
        <v>_self</v>
      </c>
      <c r="O1069" s="117">
        <f>LEN(Tableau18[[#This Row],[LABEL]])</f>
        <v>44</v>
      </c>
      <c r="P1069" s="117">
        <v>15</v>
      </c>
      <c r="Q1069" s="117" t="e">
        <f>ROUND(Tableau18[[#This Row],[LEN]]*#REF!+#REF!,0)</f>
        <v>#REF!</v>
      </c>
    </row>
    <row r="1070" spans="1:17" s="97" customFormat="1" x14ac:dyDescent="0.25">
      <c r="A1070" s="49" t="s">
        <v>2023</v>
      </c>
      <c r="B1070" s="50" t="s">
        <v>2020</v>
      </c>
      <c r="C1070" s="51" t="s">
        <v>128</v>
      </c>
      <c r="D1070" s="76" t="s">
        <v>1177</v>
      </c>
      <c r="E1070" s="51" t="s">
        <v>669</v>
      </c>
      <c r="F1070" s="51" t="s">
        <v>2029</v>
      </c>
      <c r="G1070" s="76" t="s">
        <v>2101</v>
      </c>
      <c r="H1070" s="76" t="s">
        <v>570</v>
      </c>
      <c r="I1070" s="51"/>
      <c r="J1070" s="52" t="s">
        <v>708</v>
      </c>
      <c r="K1070" s="52" t="str">
        <f t="shared" si="32"/>
        <v>_</v>
      </c>
      <c r="L1070" s="117">
        <f>ROUND(Tableau18[[#This Row],[LEN]]*7.27,0)</f>
        <v>182</v>
      </c>
      <c r="M1070" s="117">
        <v>15</v>
      </c>
      <c r="N1070" s="134" t="str">
        <f t="shared" si="33"/>
        <v>_self</v>
      </c>
      <c r="O1070" s="117">
        <f>LEN(Tableau18[[#This Row],[LABEL]])</f>
        <v>25</v>
      </c>
      <c r="P1070" s="117">
        <v>15</v>
      </c>
      <c r="Q1070" s="117" t="e">
        <f>ROUND(Tableau18[[#This Row],[LEN]]*#REF!+#REF!,0)</f>
        <v>#REF!</v>
      </c>
    </row>
    <row r="1071" spans="1:17" s="97" customFormat="1" x14ac:dyDescent="0.25">
      <c r="A1071" s="49" t="s">
        <v>2024</v>
      </c>
      <c r="B1071" s="50" t="s">
        <v>2020</v>
      </c>
      <c r="C1071" s="51" t="s">
        <v>129</v>
      </c>
      <c r="D1071" s="76" t="s">
        <v>1177</v>
      </c>
      <c r="E1071" s="51" t="s">
        <v>673</v>
      </c>
      <c r="F1071" s="51" t="s">
        <v>2035</v>
      </c>
      <c r="G1071" s="76" t="s">
        <v>2101</v>
      </c>
      <c r="H1071" s="76" t="s">
        <v>655</v>
      </c>
      <c r="I1071" s="51"/>
      <c r="J1071" s="52" t="s">
        <v>708</v>
      </c>
      <c r="K1071" s="52" t="str">
        <f t="shared" si="32"/>
        <v>_</v>
      </c>
      <c r="L1071" s="117">
        <f>ROUND(Tableau18[[#This Row],[LEN]]*7.27,0)</f>
        <v>87</v>
      </c>
      <c r="M1071" s="117">
        <v>15</v>
      </c>
      <c r="N1071" s="134" t="str">
        <f t="shared" si="33"/>
        <v>_self</v>
      </c>
      <c r="O1071" s="117">
        <f>LEN(Tableau18[[#This Row],[LABEL]])</f>
        <v>12</v>
      </c>
      <c r="P1071" s="117">
        <v>15</v>
      </c>
      <c r="Q1071" s="117" t="e">
        <f>ROUND(Tableau18[[#This Row],[LEN]]*#REF!+#REF!,0)</f>
        <v>#REF!</v>
      </c>
    </row>
    <row r="1072" spans="1:17" s="97" customFormat="1" x14ac:dyDescent="0.25">
      <c r="A1072" s="53" t="s">
        <v>2034</v>
      </c>
      <c r="B1072" s="54" t="s">
        <v>2024</v>
      </c>
      <c r="C1072" s="55" t="s">
        <v>131</v>
      </c>
      <c r="D1072" s="77" t="s">
        <v>1177</v>
      </c>
      <c r="E1072" s="55" t="s">
        <v>673</v>
      </c>
      <c r="F1072" s="55" t="s">
        <v>2035</v>
      </c>
      <c r="G1072" s="77" t="s">
        <v>2101</v>
      </c>
      <c r="H1072" s="77" t="s">
        <v>570</v>
      </c>
      <c r="I1072" s="55"/>
      <c r="J1072" s="56" t="s">
        <v>708</v>
      </c>
      <c r="K1072" s="56" t="str">
        <f t="shared" si="32"/>
        <v>_</v>
      </c>
      <c r="L1072" s="118">
        <f>ROUND(Tableau18[[#This Row],[LEN]]*7.27,0)</f>
        <v>262</v>
      </c>
      <c r="M1072" s="118">
        <v>15</v>
      </c>
      <c r="N1072" s="135" t="str">
        <f t="shared" si="33"/>
        <v>_self</v>
      </c>
      <c r="O1072" s="118">
        <f>LEN(Tableau18[[#This Row],[LABEL]])</f>
        <v>36</v>
      </c>
      <c r="P1072" s="118">
        <v>15</v>
      </c>
      <c r="Q1072" s="118" t="e">
        <f>ROUND(Tableau18[[#This Row],[LEN]]*#REF!+#REF!,0)</f>
        <v>#REF!</v>
      </c>
    </row>
    <row r="1073" spans="1:17" s="97" customFormat="1" x14ac:dyDescent="0.25">
      <c r="A1073" s="53" t="s">
        <v>2034</v>
      </c>
      <c r="B1073" s="54" t="s">
        <v>2024</v>
      </c>
      <c r="C1073" s="55" t="s">
        <v>132</v>
      </c>
      <c r="D1073" s="77" t="s">
        <v>1177</v>
      </c>
      <c r="E1073" s="55" t="s">
        <v>673</v>
      </c>
      <c r="F1073" s="55" t="s">
        <v>2035</v>
      </c>
      <c r="G1073" s="77" t="s">
        <v>2101</v>
      </c>
      <c r="H1073" s="77" t="s">
        <v>570</v>
      </c>
      <c r="I1073" s="55"/>
      <c r="J1073" s="56" t="s">
        <v>708</v>
      </c>
      <c r="K1073" s="56" t="str">
        <f t="shared" si="32"/>
        <v>_</v>
      </c>
      <c r="L1073" s="118">
        <f>ROUND(Tableau18[[#This Row],[LEN]]*7.27,0)</f>
        <v>298</v>
      </c>
      <c r="M1073" s="118">
        <v>15</v>
      </c>
      <c r="N1073" s="135" t="str">
        <f t="shared" si="33"/>
        <v>_self</v>
      </c>
      <c r="O1073" s="118">
        <f>LEN(Tableau18[[#This Row],[LABEL]])</f>
        <v>41</v>
      </c>
      <c r="P1073" s="118">
        <v>15</v>
      </c>
      <c r="Q1073" s="118" t="e">
        <f>ROUND(Tableau18[[#This Row],[LEN]]*#REF!+#REF!,0)</f>
        <v>#REF!</v>
      </c>
    </row>
    <row r="1074" spans="1:17" s="97" customFormat="1" x14ac:dyDescent="0.25">
      <c r="A1074" s="49" t="s">
        <v>2025</v>
      </c>
      <c r="B1074" s="50" t="s">
        <v>2020</v>
      </c>
      <c r="C1074" s="51" t="s">
        <v>2040</v>
      </c>
      <c r="D1074" s="76" t="s">
        <v>1177</v>
      </c>
      <c r="E1074" s="51" t="s">
        <v>1951</v>
      </c>
      <c r="F1074" s="51" t="s">
        <v>661</v>
      </c>
      <c r="G1074" s="76" t="s">
        <v>2101</v>
      </c>
      <c r="H1074" s="76" t="s">
        <v>655</v>
      </c>
      <c r="I1074" s="51"/>
      <c r="J1074" s="52" t="s">
        <v>708</v>
      </c>
      <c r="K1074" s="52" t="str">
        <f t="shared" si="32"/>
        <v>_</v>
      </c>
      <c r="L1074" s="117">
        <f>ROUND(Tableau18[[#This Row],[LEN]]*7.27,0)</f>
        <v>204</v>
      </c>
      <c r="M1074" s="117">
        <v>10</v>
      </c>
      <c r="N1074" s="134" t="str">
        <f t="shared" si="33"/>
        <v>_self</v>
      </c>
      <c r="O1074" s="117">
        <f>LEN(Tableau18[[#This Row],[LABEL]])</f>
        <v>28</v>
      </c>
      <c r="P1074" s="117">
        <v>10</v>
      </c>
      <c r="Q1074" s="117" t="e">
        <f>ROUND(Tableau18[[#This Row],[LEN]]*#REF!+#REF!,0)</f>
        <v>#REF!</v>
      </c>
    </row>
    <row r="1075" spans="1:17" s="97" customFormat="1" x14ac:dyDescent="0.25">
      <c r="A1075" s="53" t="s">
        <v>2041</v>
      </c>
      <c r="B1075" s="54" t="s">
        <v>2025</v>
      </c>
      <c r="C1075" s="55" t="s">
        <v>2036</v>
      </c>
      <c r="D1075" s="77" t="s">
        <v>1177</v>
      </c>
      <c r="E1075" s="55" t="s">
        <v>1951</v>
      </c>
      <c r="F1075" s="55" t="s">
        <v>661</v>
      </c>
      <c r="G1075" s="77" t="s">
        <v>2101</v>
      </c>
      <c r="H1075" s="77" t="s">
        <v>654</v>
      </c>
      <c r="I1075" s="55"/>
      <c r="J1075" s="56" t="s">
        <v>708</v>
      </c>
      <c r="K1075" s="56" t="str">
        <f t="shared" si="32"/>
        <v>_</v>
      </c>
      <c r="L1075" s="118">
        <f>ROUND(Tableau18[[#This Row],[LEN]]*7.27,0)</f>
        <v>196</v>
      </c>
      <c r="M1075" s="118">
        <v>10</v>
      </c>
      <c r="N1075" s="135" t="str">
        <f t="shared" si="33"/>
        <v>_self</v>
      </c>
      <c r="O1075" s="118">
        <f>LEN(Tableau18[[#This Row],[LABEL]])</f>
        <v>27</v>
      </c>
      <c r="P1075" s="118">
        <v>10</v>
      </c>
      <c r="Q1075" s="118" t="e">
        <f>ROUND(Tableau18[[#This Row],[LEN]]*#REF!+#REF!,0)</f>
        <v>#REF!</v>
      </c>
    </row>
    <row r="1076" spans="1:17" s="97" customFormat="1" x14ac:dyDescent="0.25">
      <c r="A1076" s="53" t="s">
        <v>2042</v>
      </c>
      <c r="B1076" s="54" t="s">
        <v>2025</v>
      </c>
      <c r="C1076" s="55" t="s">
        <v>2037</v>
      </c>
      <c r="D1076" s="77" t="s">
        <v>1177</v>
      </c>
      <c r="E1076" s="55" t="s">
        <v>1951</v>
      </c>
      <c r="F1076" s="55" t="s">
        <v>661</v>
      </c>
      <c r="G1076" s="77" t="s">
        <v>2101</v>
      </c>
      <c r="H1076" s="77" t="s">
        <v>654</v>
      </c>
      <c r="I1076" s="55"/>
      <c r="J1076" s="56" t="s">
        <v>708</v>
      </c>
      <c r="K1076" s="56" t="str">
        <f t="shared" si="32"/>
        <v>_</v>
      </c>
      <c r="L1076" s="118">
        <f>ROUND(Tableau18[[#This Row],[LEN]]*7.27,0)</f>
        <v>334</v>
      </c>
      <c r="M1076" s="118">
        <v>11</v>
      </c>
      <c r="N1076" s="135" t="str">
        <f t="shared" si="33"/>
        <v>_self</v>
      </c>
      <c r="O1076" s="118">
        <f>LEN(Tableau18[[#This Row],[LABEL]])</f>
        <v>46</v>
      </c>
      <c r="P1076" s="118">
        <v>11</v>
      </c>
      <c r="Q1076" s="118" t="e">
        <f>ROUND(Tableau18[[#This Row],[LEN]]*#REF!+#REF!,0)</f>
        <v>#REF!</v>
      </c>
    </row>
    <row r="1077" spans="1:17" s="97" customFormat="1" x14ac:dyDescent="0.25">
      <c r="A1077" s="53" t="s">
        <v>2043</v>
      </c>
      <c r="B1077" s="54" t="s">
        <v>2025</v>
      </c>
      <c r="C1077" s="55" t="s">
        <v>2038</v>
      </c>
      <c r="D1077" s="77" t="s">
        <v>1177</v>
      </c>
      <c r="E1077" s="55" t="s">
        <v>1951</v>
      </c>
      <c r="F1077" s="55" t="s">
        <v>661</v>
      </c>
      <c r="G1077" s="77" t="s">
        <v>2101</v>
      </c>
      <c r="H1077" s="77" t="s">
        <v>654</v>
      </c>
      <c r="I1077" s="55"/>
      <c r="J1077" s="56" t="s">
        <v>708</v>
      </c>
      <c r="K1077" s="56" t="str">
        <f t="shared" si="32"/>
        <v>_</v>
      </c>
      <c r="L1077" s="118">
        <f>ROUND(Tableau18[[#This Row],[LEN]]*7.27,0)</f>
        <v>95</v>
      </c>
      <c r="M1077" s="118">
        <v>12</v>
      </c>
      <c r="N1077" s="135" t="str">
        <f t="shared" si="33"/>
        <v>_self</v>
      </c>
      <c r="O1077" s="118">
        <f>LEN(Tableau18[[#This Row],[LABEL]])</f>
        <v>13</v>
      </c>
      <c r="P1077" s="118">
        <v>12</v>
      </c>
      <c r="Q1077" s="118" t="e">
        <f>ROUND(Tableau18[[#This Row],[LEN]]*#REF!+#REF!,0)</f>
        <v>#REF!</v>
      </c>
    </row>
    <row r="1078" spans="1:17" s="97" customFormat="1" x14ac:dyDescent="0.25">
      <c r="A1078" s="53" t="s">
        <v>2044</v>
      </c>
      <c r="B1078" s="54" t="s">
        <v>2025</v>
      </c>
      <c r="C1078" s="55" t="s">
        <v>2039</v>
      </c>
      <c r="D1078" s="77" t="s">
        <v>1177</v>
      </c>
      <c r="E1078" s="55" t="s">
        <v>1951</v>
      </c>
      <c r="F1078" s="55" t="s">
        <v>661</v>
      </c>
      <c r="G1078" s="77" t="s">
        <v>2101</v>
      </c>
      <c r="H1078" s="77" t="s">
        <v>654</v>
      </c>
      <c r="I1078" s="55"/>
      <c r="J1078" s="56" t="s">
        <v>708</v>
      </c>
      <c r="K1078" s="56" t="str">
        <f t="shared" si="32"/>
        <v>_</v>
      </c>
      <c r="L1078" s="118">
        <f>ROUND(Tableau18[[#This Row],[LEN]]*7.27,0)</f>
        <v>589</v>
      </c>
      <c r="M1078" s="118">
        <v>13</v>
      </c>
      <c r="N1078" s="135" t="str">
        <f t="shared" si="33"/>
        <v>_self</v>
      </c>
      <c r="O1078" s="118">
        <f>LEN(Tableau18[[#This Row],[LABEL]])</f>
        <v>81</v>
      </c>
      <c r="P1078" s="118">
        <v>13</v>
      </c>
      <c r="Q1078" s="118" t="e">
        <f>ROUND(Tableau18[[#This Row],[LEN]]*#REF!+#REF!,0)</f>
        <v>#REF!</v>
      </c>
    </row>
    <row r="1079" spans="1:17" s="97" customFormat="1" x14ac:dyDescent="0.25">
      <c r="A1079" s="53" t="s">
        <v>2045</v>
      </c>
      <c r="B1079" s="54" t="s">
        <v>2025</v>
      </c>
      <c r="C1079" s="55" t="s">
        <v>2030</v>
      </c>
      <c r="D1079" s="77" t="s">
        <v>1177</v>
      </c>
      <c r="E1079" s="55" t="s">
        <v>1951</v>
      </c>
      <c r="F1079" s="55" t="s">
        <v>661</v>
      </c>
      <c r="G1079" s="77" t="s">
        <v>2101</v>
      </c>
      <c r="H1079" s="77" t="s">
        <v>654</v>
      </c>
      <c r="I1079" s="55"/>
      <c r="J1079" s="56" t="s">
        <v>708</v>
      </c>
      <c r="K1079" s="56" t="str">
        <f t="shared" si="32"/>
        <v>_</v>
      </c>
      <c r="L1079" s="118">
        <f>ROUND(Tableau18[[#This Row],[LEN]]*7.27,0)</f>
        <v>211</v>
      </c>
      <c r="M1079" s="118">
        <v>14</v>
      </c>
      <c r="N1079" s="135" t="str">
        <f t="shared" si="33"/>
        <v>_self</v>
      </c>
      <c r="O1079" s="118">
        <f>LEN(Tableau18[[#This Row],[LABEL]])</f>
        <v>29</v>
      </c>
      <c r="P1079" s="118">
        <v>14</v>
      </c>
      <c r="Q1079" s="118" t="e">
        <f>ROUND(Tableau18[[#This Row],[LEN]]*#REF!+#REF!,0)</f>
        <v>#REF!</v>
      </c>
    </row>
    <row r="1080" spans="1:17" s="97" customFormat="1" x14ac:dyDescent="0.25">
      <c r="A1080" s="53" t="s">
        <v>2046</v>
      </c>
      <c r="B1080" s="54" t="s">
        <v>2025</v>
      </c>
      <c r="C1080" s="55" t="s">
        <v>2031</v>
      </c>
      <c r="D1080" s="77" t="s">
        <v>1177</v>
      </c>
      <c r="E1080" s="55" t="s">
        <v>1951</v>
      </c>
      <c r="F1080" s="55" t="s">
        <v>661</v>
      </c>
      <c r="G1080" s="77" t="s">
        <v>2101</v>
      </c>
      <c r="H1080" s="77" t="s">
        <v>654</v>
      </c>
      <c r="I1080" s="55"/>
      <c r="J1080" s="56" t="s">
        <v>708</v>
      </c>
      <c r="K1080" s="56" t="str">
        <f t="shared" si="32"/>
        <v>_</v>
      </c>
      <c r="L1080" s="118">
        <f>ROUND(Tableau18[[#This Row],[LEN]]*7.27,0)</f>
        <v>313</v>
      </c>
      <c r="M1080" s="118">
        <v>15</v>
      </c>
      <c r="N1080" s="135" t="str">
        <f t="shared" si="33"/>
        <v>_self</v>
      </c>
      <c r="O1080" s="118">
        <f>LEN(Tableau18[[#This Row],[LABEL]])</f>
        <v>43</v>
      </c>
      <c r="P1080" s="118">
        <v>15</v>
      </c>
      <c r="Q1080" s="118" t="e">
        <f>ROUND(Tableau18[[#This Row],[LEN]]*#REF!+#REF!,0)</f>
        <v>#REF!</v>
      </c>
    </row>
    <row r="1081" spans="1:17" s="97" customFormat="1" x14ac:dyDescent="0.25">
      <c r="A1081" s="49" t="s">
        <v>2026</v>
      </c>
      <c r="B1081" s="50" t="s">
        <v>2020</v>
      </c>
      <c r="C1081" s="51" t="s">
        <v>598</v>
      </c>
      <c r="D1081" s="76" t="s">
        <v>1177</v>
      </c>
      <c r="E1081" s="51" t="s">
        <v>673</v>
      </c>
      <c r="F1081" s="51" t="s">
        <v>2035</v>
      </c>
      <c r="G1081" s="76" t="s">
        <v>2101</v>
      </c>
      <c r="H1081" s="76" t="s">
        <v>654</v>
      </c>
      <c r="I1081" s="51"/>
      <c r="J1081" s="52" t="s">
        <v>708</v>
      </c>
      <c r="K1081" s="52" t="str">
        <f t="shared" si="32"/>
        <v>_</v>
      </c>
      <c r="L1081" s="117">
        <f>ROUND(Tableau18[[#This Row],[LEN]]*7.27,0)</f>
        <v>553</v>
      </c>
      <c r="M1081" s="117">
        <v>15</v>
      </c>
      <c r="N1081" s="134" t="str">
        <f t="shared" si="33"/>
        <v>_self</v>
      </c>
      <c r="O1081" s="117">
        <f>LEN(Tableau18[[#This Row],[LABEL]])</f>
        <v>76</v>
      </c>
      <c r="P1081" s="117">
        <v>15</v>
      </c>
      <c r="Q1081" s="117" t="e">
        <f>ROUND(Tableau18[[#This Row],[LEN]]*#REF!+#REF!,0)</f>
        <v>#REF!</v>
      </c>
    </row>
    <row r="1082" spans="1:17" s="97" customFormat="1" x14ac:dyDescent="0.25">
      <c r="A1082" s="49" t="s">
        <v>2027</v>
      </c>
      <c r="B1082" s="50" t="s">
        <v>2020</v>
      </c>
      <c r="C1082" s="51" t="s">
        <v>2047</v>
      </c>
      <c r="D1082" s="76" t="s">
        <v>1177</v>
      </c>
      <c r="E1082" s="51" t="s">
        <v>1951</v>
      </c>
      <c r="F1082" s="51" t="s">
        <v>1177</v>
      </c>
      <c r="G1082" s="76" t="s">
        <v>2101</v>
      </c>
      <c r="H1082" s="76" t="s">
        <v>654</v>
      </c>
      <c r="I1082" s="51"/>
      <c r="J1082" s="52" t="s">
        <v>708</v>
      </c>
      <c r="K1082" s="52" t="str">
        <f t="shared" si="32"/>
        <v>_</v>
      </c>
      <c r="L1082" s="117">
        <f>ROUND(Tableau18[[#This Row],[LEN]]*7.27,0)</f>
        <v>233</v>
      </c>
      <c r="M1082" s="117">
        <v>15</v>
      </c>
      <c r="N1082" s="134" t="str">
        <f t="shared" si="33"/>
        <v>_self</v>
      </c>
      <c r="O1082" s="117">
        <f>LEN(Tableau18[[#This Row],[LABEL]])</f>
        <v>32</v>
      </c>
      <c r="P1082" s="117">
        <v>15</v>
      </c>
      <c r="Q1082" s="117" t="e">
        <f>ROUND(Tableau18[[#This Row],[LEN]]*#REF!+#REF!,0)</f>
        <v>#REF!</v>
      </c>
    </row>
    <row r="1083" spans="1:17" s="97" customFormat="1" ht="15.75" thickBot="1" x14ac:dyDescent="0.3">
      <c r="A1083" s="49" t="s">
        <v>2028</v>
      </c>
      <c r="B1083" s="50" t="s">
        <v>2020</v>
      </c>
      <c r="C1083" s="51" t="s">
        <v>2048</v>
      </c>
      <c r="D1083" s="76" t="s">
        <v>1177</v>
      </c>
      <c r="E1083" s="51" t="s">
        <v>1951</v>
      </c>
      <c r="F1083" s="51" t="s">
        <v>1177</v>
      </c>
      <c r="G1083" s="76" t="s">
        <v>2101</v>
      </c>
      <c r="H1083" s="76" t="s">
        <v>654</v>
      </c>
      <c r="I1083" s="51"/>
      <c r="J1083" s="52" t="s">
        <v>708</v>
      </c>
      <c r="K1083" s="52" t="str">
        <f t="shared" si="32"/>
        <v>_</v>
      </c>
      <c r="L1083" s="117">
        <f>ROUND(Tableau18[[#This Row],[LEN]]*7.27,0)</f>
        <v>225</v>
      </c>
      <c r="M1083" s="117">
        <v>15</v>
      </c>
      <c r="N1083" s="134" t="str">
        <f t="shared" si="33"/>
        <v>_self</v>
      </c>
      <c r="O1083" s="117">
        <f>LEN(Tableau18[[#This Row],[LABEL]])</f>
        <v>31</v>
      </c>
      <c r="P1083" s="117">
        <v>15</v>
      </c>
      <c r="Q1083" s="117" t="e">
        <f>ROUND(Tableau18[[#This Row],[LEN]]*#REF!+#REF!,0)</f>
        <v>#REF!</v>
      </c>
    </row>
    <row r="1084" spans="1:17" s="92" customFormat="1" ht="16.5" thickTop="1" thickBot="1" x14ac:dyDescent="0.3">
      <c r="A1084" s="198" t="s">
        <v>210</v>
      </c>
      <c r="B1084" s="198" t="s">
        <v>198</v>
      </c>
      <c r="C1084" s="199" t="s">
        <v>178</v>
      </c>
      <c r="D1084" s="200" t="s">
        <v>474</v>
      </c>
      <c r="E1084" s="199" t="s">
        <v>1177</v>
      </c>
      <c r="F1084" s="200" t="s">
        <v>1084</v>
      </c>
      <c r="G1084" s="199" t="s">
        <v>170</v>
      </c>
      <c r="H1084" s="199" t="s">
        <v>616</v>
      </c>
      <c r="I1084" s="200"/>
      <c r="J1084" s="201" t="s">
        <v>708</v>
      </c>
      <c r="K1084" s="201" t="str">
        <f t="shared" si="32"/>
        <v>_</v>
      </c>
      <c r="L1084" s="202">
        <f>ROUND(Tableau18[[#This Row],[LEN]]*7.27,0)</f>
        <v>102</v>
      </c>
      <c r="M1084" s="202">
        <v>15</v>
      </c>
      <c r="N1084" s="203" t="str">
        <f t="shared" si="33"/>
        <v>_self</v>
      </c>
      <c r="O1084" s="202">
        <f>LEN(Tableau18[[#This Row],[LABEL]])</f>
        <v>14</v>
      </c>
      <c r="P1084" s="204">
        <v>15</v>
      </c>
      <c r="Q1084" s="204" t="e">
        <f>ROUND(Tableau18[[#This Row],[LEN]]*#REF!+#REF!,0)</f>
        <v>#REF!</v>
      </c>
    </row>
    <row r="1085" spans="1:17" s="273" customFormat="1" ht="15.75" thickTop="1" x14ac:dyDescent="0.25">
      <c r="A1085" s="372" t="s">
        <v>321</v>
      </c>
      <c r="B1085" s="373" t="s">
        <v>210</v>
      </c>
      <c r="C1085" s="374" t="s">
        <v>57</v>
      </c>
      <c r="D1085" s="375" t="s">
        <v>1177</v>
      </c>
      <c r="E1085" s="374" t="s">
        <v>663</v>
      </c>
      <c r="F1085" s="374" t="s">
        <v>1177</v>
      </c>
      <c r="G1085" s="375" t="s">
        <v>170</v>
      </c>
      <c r="H1085" s="375" t="str">
        <f>IFERROR(IF(SEARCH(".00.00.00.00.00",Tableau18[[#This Row],[name]],1)=7,"Division",""),"")</f>
        <v>Division</v>
      </c>
      <c r="I1085" s="374"/>
      <c r="J1085" s="376" t="s">
        <v>708</v>
      </c>
      <c r="K1085" s="376" t="str">
        <f t="shared" si="32"/>
        <v>_</v>
      </c>
      <c r="L1085" s="377">
        <f>ROUND(Tableau18[[#This Row],[LEN]]*7.27,0)</f>
        <v>102</v>
      </c>
      <c r="M1085" s="377">
        <v>15</v>
      </c>
      <c r="N1085" s="378" t="str">
        <f t="shared" si="33"/>
        <v>_self</v>
      </c>
      <c r="O1085" s="377">
        <f>LEN(Tableau18[[#This Row],[LABEL]])</f>
        <v>14</v>
      </c>
      <c r="P1085" s="377">
        <v>15</v>
      </c>
      <c r="Q1085" s="377" t="e">
        <f>ROUND(Tableau18[[#This Row],[LEN]]*#REF!+#REF!,0)</f>
        <v>#REF!</v>
      </c>
    </row>
    <row r="1086" spans="1:17" s="97" customFormat="1" x14ac:dyDescent="0.25">
      <c r="A1086" s="61" t="s">
        <v>906</v>
      </c>
      <c r="B1086" s="62" t="s">
        <v>321</v>
      </c>
      <c r="C1086" s="63" t="s">
        <v>1875</v>
      </c>
      <c r="D1086" s="79" t="s">
        <v>1177</v>
      </c>
      <c r="E1086" s="63" t="s">
        <v>684</v>
      </c>
      <c r="F1086" s="63" t="s">
        <v>2086</v>
      </c>
      <c r="G1086" s="79" t="s">
        <v>170</v>
      </c>
      <c r="H1086" s="79" t="s">
        <v>656</v>
      </c>
      <c r="I1086" s="63"/>
      <c r="J1086" s="64" t="s">
        <v>708</v>
      </c>
      <c r="K1086" s="64" t="str">
        <f t="shared" si="32"/>
        <v>_</v>
      </c>
      <c r="L1086" s="120">
        <f>ROUND(Tableau18[[#This Row],[LEN]]*7.27,0)</f>
        <v>291</v>
      </c>
      <c r="M1086" s="120">
        <v>15</v>
      </c>
      <c r="N1086" s="137" t="str">
        <f t="shared" si="33"/>
        <v>_self</v>
      </c>
      <c r="O1086" s="120">
        <f>LEN(Tableau18[[#This Row],[LABEL]])</f>
        <v>40</v>
      </c>
      <c r="P1086" s="120">
        <v>15</v>
      </c>
      <c r="Q1086" s="120" t="e">
        <f>ROUND(Tableau18[[#This Row],[LEN]]*#REF!+#REF!,0)</f>
        <v>#REF!</v>
      </c>
    </row>
    <row r="1087" spans="1:17" s="97" customFormat="1" x14ac:dyDescent="0.25">
      <c r="A1087" s="61" t="s">
        <v>907</v>
      </c>
      <c r="B1087" s="62" t="s">
        <v>321</v>
      </c>
      <c r="C1087" s="63" t="s">
        <v>903</v>
      </c>
      <c r="D1087" s="79" t="s">
        <v>1177</v>
      </c>
      <c r="E1087" s="63" t="s">
        <v>663</v>
      </c>
      <c r="F1087" s="63" t="s">
        <v>1177</v>
      </c>
      <c r="G1087" s="79" t="s">
        <v>170</v>
      </c>
      <c r="H1087" s="79" t="s">
        <v>654</v>
      </c>
      <c r="I1087" s="63"/>
      <c r="J1087" s="64" t="s">
        <v>708</v>
      </c>
      <c r="K1087" s="64" t="str">
        <f t="shared" si="32"/>
        <v>_</v>
      </c>
      <c r="L1087" s="120">
        <f>ROUND(Tableau18[[#This Row],[LEN]]*7.27,0)</f>
        <v>225</v>
      </c>
      <c r="M1087" s="120">
        <v>15</v>
      </c>
      <c r="N1087" s="137" t="str">
        <f t="shared" si="33"/>
        <v>_self</v>
      </c>
      <c r="O1087" s="120">
        <f>LEN(Tableau18[[#This Row],[LABEL]])</f>
        <v>31</v>
      </c>
      <c r="P1087" s="120">
        <v>15</v>
      </c>
      <c r="Q1087" s="120" t="e">
        <f>ROUND(Tableau18[[#This Row],[LEN]]*#REF!+#REF!,0)</f>
        <v>#REF!</v>
      </c>
    </row>
    <row r="1088" spans="1:17" s="97" customFormat="1" x14ac:dyDescent="0.25">
      <c r="A1088" s="61" t="s">
        <v>908</v>
      </c>
      <c r="B1088" s="62" t="s">
        <v>321</v>
      </c>
      <c r="C1088" s="63" t="s">
        <v>904</v>
      </c>
      <c r="D1088" s="79" t="s">
        <v>1177</v>
      </c>
      <c r="E1088" s="63" t="s">
        <v>663</v>
      </c>
      <c r="F1088" s="63" t="s">
        <v>1177</v>
      </c>
      <c r="G1088" s="79" t="s">
        <v>170</v>
      </c>
      <c r="H1088" s="79" t="s">
        <v>654</v>
      </c>
      <c r="I1088" s="63"/>
      <c r="J1088" s="64" t="s">
        <v>708</v>
      </c>
      <c r="K1088" s="64" t="str">
        <f t="shared" si="32"/>
        <v>_</v>
      </c>
      <c r="L1088" s="120">
        <f>ROUND(Tableau18[[#This Row],[LEN]]*7.27,0)</f>
        <v>247</v>
      </c>
      <c r="M1088" s="120">
        <v>15</v>
      </c>
      <c r="N1088" s="137" t="str">
        <f t="shared" si="33"/>
        <v>_self</v>
      </c>
      <c r="O1088" s="120">
        <f>LEN(Tableau18[[#This Row],[LABEL]])</f>
        <v>34</v>
      </c>
      <c r="P1088" s="120">
        <v>15</v>
      </c>
      <c r="Q1088" s="120" t="e">
        <f>ROUND(Tableau18[[#This Row],[LEN]]*#REF!+#REF!,0)</f>
        <v>#REF!</v>
      </c>
    </row>
    <row r="1089" spans="1:17" s="97" customFormat="1" x14ac:dyDescent="0.25">
      <c r="A1089" s="61" t="s">
        <v>909</v>
      </c>
      <c r="B1089" s="62" t="s">
        <v>321</v>
      </c>
      <c r="C1089" s="63" t="s">
        <v>905</v>
      </c>
      <c r="D1089" s="79" t="s">
        <v>1177</v>
      </c>
      <c r="E1089" s="63" t="s">
        <v>663</v>
      </c>
      <c r="F1089" s="63" t="s">
        <v>1177</v>
      </c>
      <c r="G1089" s="79" t="s">
        <v>170</v>
      </c>
      <c r="H1089" s="79" t="s">
        <v>654</v>
      </c>
      <c r="I1089" s="63"/>
      <c r="J1089" s="64" t="s">
        <v>708</v>
      </c>
      <c r="K1089" s="64" t="str">
        <f t="shared" si="32"/>
        <v>_</v>
      </c>
      <c r="L1089" s="120">
        <f>ROUND(Tableau18[[#This Row],[LEN]]*7.27,0)</f>
        <v>124</v>
      </c>
      <c r="M1089" s="120">
        <v>15</v>
      </c>
      <c r="N1089" s="137" t="str">
        <f t="shared" si="33"/>
        <v>_self</v>
      </c>
      <c r="O1089" s="120">
        <f>LEN(Tableau18[[#This Row],[LABEL]])</f>
        <v>17</v>
      </c>
      <c r="P1089" s="120">
        <v>15</v>
      </c>
      <c r="Q1089" s="120" t="e">
        <f>ROUND(Tableau18[[#This Row],[LEN]]*#REF!+#REF!,0)</f>
        <v>#REF!</v>
      </c>
    </row>
    <row r="1090" spans="1:17" s="97" customFormat="1" x14ac:dyDescent="0.25">
      <c r="A1090" s="61" t="s">
        <v>910</v>
      </c>
      <c r="B1090" s="62" t="s">
        <v>321</v>
      </c>
      <c r="C1090" s="63" t="s">
        <v>602</v>
      </c>
      <c r="D1090" s="79" t="s">
        <v>1177</v>
      </c>
      <c r="E1090" s="63" t="s">
        <v>661</v>
      </c>
      <c r="F1090" s="63" t="s">
        <v>1874</v>
      </c>
      <c r="G1090" s="79" t="s">
        <v>170</v>
      </c>
      <c r="H1090" s="79" t="s">
        <v>656</v>
      </c>
      <c r="I1090" s="63"/>
      <c r="J1090" s="64" t="s">
        <v>708</v>
      </c>
      <c r="K1090" s="64" t="str">
        <f t="shared" ref="K1090:K1153" si="34">IF(J1090="javascript:void(0)","_","Documentation")</f>
        <v>_</v>
      </c>
      <c r="L1090" s="120">
        <f>ROUND(Tableau18[[#This Row],[LEN]]*7.27,0)</f>
        <v>553</v>
      </c>
      <c r="M1090" s="120">
        <v>15</v>
      </c>
      <c r="N1090" s="137" t="str">
        <f t="shared" si="33"/>
        <v>_self</v>
      </c>
      <c r="O1090" s="120">
        <f>LEN(Tableau18[[#This Row],[LABEL]])</f>
        <v>76</v>
      </c>
      <c r="P1090" s="120">
        <v>15</v>
      </c>
      <c r="Q1090" s="120" t="e">
        <f>ROUND(Tableau18[[#This Row],[LEN]]*#REF!+#REF!,0)</f>
        <v>#REF!</v>
      </c>
    </row>
    <row r="1091" spans="1:17" s="97" customFormat="1" x14ac:dyDescent="0.25">
      <c r="A1091" s="61" t="s">
        <v>911</v>
      </c>
      <c r="B1091" s="62" t="s">
        <v>321</v>
      </c>
      <c r="C1091" s="63" t="s">
        <v>50</v>
      </c>
      <c r="D1091" s="79" t="s">
        <v>1177</v>
      </c>
      <c r="E1091" s="63" t="s">
        <v>1177</v>
      </c>
      <c r="F1091" s="63" t="s">
        <v>1084</v>
      </c>
      <c r="G1091" s="79" t="s">
        <v>1978</v>
      </c>
      <c r="H1091" s="79" t="s">
        <v>1131</v>
      </c>
      <c r="I1091" s="63"/>
      <c r="J1091" s="64" t="s">
        <v>708</v>
      </c>
      <c r="K1091" s="64" t="str">
        <f t="shared" si="34"/>
        <v>_</v>
      </c>
      <c r="L1091" s="120">
        <f>ROUND(Tableau18[[#This Row],[LEN]]*7.27,0)</f>
        <v>87</v>
      </c>
      <c r="M1091" s="120">
        <v>15</v>
      </c>
      <c r="N1091" s="137" t="str">
        <f t="shared" ref="N1091:N1154" si="35">IF(J1091="javascript:void(0)","_self","_blank")</f>
        <v>_self</v>
      </c>
      <c r="O1091" s="120">
        <f>LEN(Tableau18[[#This Row],[LABEL]])</f>
        <v>12</v>
      </c>
      <c r="P1091" s="120">
        <v>15</v>
      </c>
      <c r="Q1091" s="120" t="e">
        <f>ROUND(Tableau18[[#This Row],[LEN]]*#REF!+#REF!,0)</f>
        <v>#REF!</v>
      </c>
    </row>
    <row r="1092" spans="1:17" s="97" customFormat="1" x14ac:dyDescent="0.25">
      <c r="A1092" s="61" t="s">
        <v>912</v>
      </c>
      <c r="B1092" s="62" t="s">
        <v>321</v>
      </c>
      <c r="C1092" s="63" t="s">
        <v>603</v>
      </c>
      <c r="D1092" s="79" t="s">
        <v>1177</v>
      </c>
      <c r="E1092" s="63" t="s">
        <v>1177</v>
      </c>
      <c r="F1092" s="63" t="s">
        <v>1084</v>
      </c>
      <c r="G1092" s="79" t="s">
        <v>1977</v>
      </c>
      <c r="H1092" s="79" t="s">
        <v>1131</v>
      </c>
      <c r="I1092" s="63"/>
      <c r="J1092" s="64" t="s">
        <v>708</v>
      </c>
      <c r="K1092" s="64" t="str">
        <f t="shared" si="34"/>
        <v>_</v>
      </c>
      <c r="L1092" s="120">
        <f>ROUND(Tableau18[[#This Row],[LEN]]*7.27,0)</f>
        <v>247</v>
      </c>
      <c r="M1092" s="120">
        <v>15</v>
      </c>
      <c r="N1092" s="137" t="str">
        <f t="shared" si="35"/>
        <v>_self</v>
      </c>
      <c r="O1092" s="120">
        <f>LEN(Tableau18[[#This Row],[LABEL]])</f>
        <v>34</v>
      </c>
      <c r="P1092" s="120">
        <v>15</v>
      </c>
      <c r="Q1092" s="120" t="e">
        <f>ROUND(Tableau18[[#This Row],[LEN]]*#REF!+#REF!,0)</f>
        <v>#REF!</v>
      </c>
    </row>
    <row r="1093" spans="1:17" s="273" customFormat="1" x14ac:dyDescent="0.25">
      <c r="A1093" s="372" t="s">
        <v>323</v>
      </c>
      <c r="B1093" s="373" t="s">
        <v>210</v>
      </c>
      <c r="C1093" s="374" t="s">
        <v>3</v>
      </c>
      <c r="D1093" s="375" t="s">
        <v>1177</v>
      </c>
      <c r="E1093" s="374" t="s">
        <v>661</v>
      </c>
      <c r="F1093" s="374" t="s">
        <v>1177</v>
      </c>
      <c r="G1093" s="375" t="s">
        <v>170</v>
      </c>
      <c r="H1093" s="375" t="str">
        <f>IFERROR(IF(SEARCH(".00.00.00.00.00",Tableau18[[#This Row],[name]],1)=7,"Division",""),"")</f>
        <v>Division</v>
      </c>
      <c r="I1093" s="374"/>
      <c r="J1093" s="376" t="s">
        <v>708</v>
      </c>
      <c r="K1093" s="376" t="str">
        <f t="shared" si="34"/>
        <v>_</v>
      </c>
      <c r="L1093" s="377">
        <f>ROUND(Tableau18[[#This Row],[LEN]]*7.27,0)</f>
        <v>73</v>
      </c>
      <c r="M1093" s="377">
        <v>15</v>
      </c>
      <c r="N1093" s="378" t="str">
        <f t="shared" si="35"/>
        <v>_self</v>
      </c>
      <c r="O1093" s="377">
        <f>LEN(Tableau18[[#This Row],[LABEL]])</f>
        <v>10</v>
      </c>
      <c r="P1093" s="377">
        <v>15</v>
      </c>
      <c r="Q1093" s="377" t="e">
        <f>ROUND(Tableau18[[#This Row],[LEN]]*#REF!+#REF!,0)</f>
        <v>#REF!</v>
      </c>
    </row>
    <row r="1094" spans="1:17" s="97" customFormat="1" x14ac:dyDescent="0.25">
      <c r="A1094" s="61" t="s">
        <v>604</v>
      </c>
      <c r="B1094" s="62" t="s">
        <v>323</v>
      </c>
      <c r="C1094" s="63" t="s">
        <v>1875</v>
      </c>
      <c r="D1094" s="79" t="s">
        <v>1177</v>
      </c>
      <c r="E1094" s="63" t="s">
        <v>684</v>
      </c>
      <c r="F1094" s="63" t="s">
        <v>2086</v>
      </c>
      <c r="G1094" s="79" t="s">
        <v>170</v>
      </c>
      <c r="H1094" s="79" t="s">
        <v>656</v>
      </c>
      <c r="I1094" s="63"/>
      <c r="J1094" s="64" t="s">
        <v>708</v>
      </c>
      <c r="K1094" s="64" t="str">
        <f t="shared" si="34"/>
        <v>_</v>
      </c>
      <c r="L1094" s="120">
        <f>ROUND(Tableau18[[#This Row],[LEN]]*7.27,0)</f>
        <v>291</v>
      </c>
      <c r="M1094" s="120">
        <v>15</v>
      </c>
      <c r="N1094" s="137" t="str">
        <f t="shared" si="35"/>
        <v>_self</v>
      </c>
      <c r="O1094" s="120">
        <f>LEN(Tableau18[[#This Row],[LABEL]])</f>
        <v>40</v>
      </c>
      <c r="P1094" s="120">
        <v>15</v>
      </c>
      <c r="Q1094" s="120" t="e">
        <f>ROUND(Tableau18[[#This Row],[LEN]]*#REF!+#REF!,0)</f>
        <v>#REF!</v>
      </c>
    </row>
    <row r="1095" spans="1:17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1177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64" t="str">
        <f t="shared" si="34"/>
        <v>_</v>
      </c>
      <c r="L1095" s="120">
        <f>ROUND(Tableau18[[#This Row],[LEN]]*7.27,0)</f>
        <v>211</v>
      </c>
      <c r="M1095" s="120">
        <v>15</v>
      </c>
      <c r="N1095" s="137" t="str">
        <f t="shared" si="35"/>
        <v>_self</v>
      </c>
      <c r="O1095" s="120">
        <f>LEN(Tableau18[[#This Row],[LABEL]])</f>
        <v>29</v>
      </c>
      <c r="P1095" s="120">
        <v>15</v>
      </c>
      <c r="Q1095" s="120" t="e">
        <f>ROUND(Tableau18[[#This Row],[LEN]]*#REF!+#REF!,0)</f>
        <v>#REF!</v>
      </c>
    </row>
    <row r="1096" spans="1:17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1177</v>
      </c>
      <c r="E1096" s="63" t="s">
        <v>661</v>
      </c>
      <c r="F1096" s="63" t="s">
        <v>1874</v>
      </c>
      <c r="G1096" s="79" t="s">
        <v>170</v>
      </c>
      <c r="H1096" s="79" t="s">
        <v>656</v>
      </c>
      <c r="I1096" s="63"/>
      <c r="J1096" s="64" t="s">
        <v>708</v>
      </c>
      <c r="K1096" s="64" t="str">
        <f t="shared" si="34"/>
        <v>_</v>
      </c>
      <c r="L1096" s="120">
        <f>ROUND(Tableau18[[#This Row],[LEN]]*7.27,0)</f>
        <v>553</v>
      </c>
      <c r="M1096" s="120">
        <v>15</v>
      </c>
      <c r="N1096" s="137" t="str">
        <f t="shared" si="35"/>
        <v>_self</v>
      </c>
      <c r="O1096" s="120">
        <f>LEN(Tableau18[[#This Row],[LABEL]])</f>
        <v>76</v>
      </c>
      <c r="P1096" s="120">
        <v>15</v>
      </c>
      <c r="Q1096" s="120" t="e">
        <f>ROUND(Tableau18[[#This Row],[LEN]]*#REF!+#REF!,0)</f>
        <v>#REF!</v>
      </c>
    </row>
    <row r="1097" spans="1:17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1177</v>
      </c>
      <c r="E1097" s="63" t="s">
        <v>1177</v>
      </c>
      <c r="F1097" s="63" t="s">
        <v>1084</v>
      </c>
      <c r="G1097" s="79" t="s">
        <v>1978</v>
      </c>
      <c r="H1097" s="79" t="s">
        <v>1131</v>
      </c>
      <c r="I1097" s="63"/>
      <c r="J1097" s="64" t="s">
        <v>708</v>
      </c>
      <c r="K1097" s="64" t="str">
        <f t="shared" si="34"/>
        <v>_</v>
      </c>
      <c r="L1097" s="120">
        <f>ROUND(Tableau18[[#This Row],[LEN]]*7.27,0)</f>
        <v>87</v>
      </c>
      <c r="M1097" s="120">
        <v>15</v>
      </c>
      <c r="N1097" s="137" t="str">
        <f t="shared" si="35"/>
        <v>_self</v>
      </c>
      <c r="O1097" s="120">
        <f>LEN(Tableau18[[#This Row],[LABEL]])</f>
        <v>12</v>
      </c>
      <c r="P1097" s="120">
        <v>15</v>
      </c>
      <c r="Q1097" s="120" t="e">
        <f>ROUND(Tableau18[[#This Row],[LEN]]*#REF!+#REF!,0)</f>
        <v>#REF!</v>
      </c>
    </row>
    <row r="1098" spans="1:17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1177</v>
      </c>
      <c r="E1098" s="63" t="s">
        <v>1177</v>
      </c>
      <c r="F1098" s="63" t="s">
        <v>1084</v>
      </c>
      <c r="G1098" s="79" t="s">
        <v>1977</v>
      </c>
      <c r="H1098" s="79" t="s">
        <v>1131</v>
      </c>
      <c r="I1098" s="63"/>
      <c r="J1098" s="64" t="s">
        <v>708</v>
      </c>
      <c r="K1098" s="64" t="str">
        <f t="shared" si="34"/>
        <v>_</v>
      </c>
      <c r="L1098" s="120">
        <f>ROUND(Tableau18[[#This Row],[LEN]]*7.27,0)</f>
        <v>247</v>
      </c>
      <c r="M1098" s="120">
        <v>15</v>
      </c>
      <c r="N1098" s="137" t="str">
        <f t="shared" si="35"/>
        <v>_self</v>
      </c>
      <c r="O1098" s="120">
        <f>LEN(Tableau18[[#This Row],[LABEL]])</f>
        <v>34</v>
      </c>
      <c r="P1098" s="120">
        <v>15</v>
      </c>
      <c r="Q1098" s="120" t="e">
        <f>ROUND(Tableau18[[#This Row],[LEN]]*#REF!+#REF!,0)</f>
        <v>#REF!</v>
      </c>
    </row>
    <row r="1099" spans="1:17" s="273" customFormat="1" x14ac:dyDescent="0.25">
      <c r="A1099" s="372" t="s">
        <v>324</v>
      </c>
      <c r="B1099" s="373" t="s">
        <v>210</v>
      </c>
      <c r="C1099" s="374" t="s">
        <v>4</v>
      </c>
      <c r="D1099" s="375" t="s">
        <v>1177</v>
      </c>
      <c r="E1099" s="374" t="s">
        <v>666</v>
      </c>
      <c r="F1099" s="374" t="s">
        <v>1177</v>
      </c>
      <c r="G1099" s="375" t="s">
        <v>170</v>
      </c>
      <c r="H1099" s="375" t="str">
        <f>IFERROR(IF(SEARCH(".00.00.00.00.00",Tableau18[[#This Row],[name]],1)=7,"Division",""),"")</f>
        <v>Division</v>
      </c>
      <c r="I1099" s="374"/>
      <c r="J1099" s="376" t="s">
        <v>708</v>
      </c>
      <c r="K1099" s="376" t="str">
        <f t="shared" si="34"/>
        <v>_</v>
      </c>
      <c r="L1099" s="377">
        <f>ROUND(Tableau18[[#This Row],[LEN]]*7.27,0)</f>
        <v>36</v>
      </c>
      <c r="M1099" s="377">
        <v>15</v>
      </c>
      <c r="N1099" s="378" t="str">
        <f t="shared" si="35"/>
        <v>_self</v>
      </c>
      <c r="O1099" s="377">
        <f>LEN(Tableau18[[#This Row],[LABEL]])</f>
        <v>5</v>
      </c>
      <c r="P1099" s="377">
        <v>15</v>
      </c>
      <c r="Q1099" s="377" t="e">
        <f>ROUND(Tableau18[[#This Row],[LEN]]*#REF!+#REF!,0)</f>
        <v>#REF!</v>
      </c>
    </row>
    <row r="1100" spans="1:17" s="97" customFormat="1" x14ac:dyDescent="0.25">
      <c r="A1100" s="61" t="s">
        <v>1869</v>
      </c>
      <c r="B1100" s="62" t="s">
        <v>324</v>
      </c>
      <c r="C1100" s="63" t="s">
        <v>1876</v>
      </c>
      <c r="D1100" s="79" t="s">
        <v>1177</v>
      </c>
      <c r="E1100" s="63" t="s">
        <v>666</v>
      </c>
      <c r="F1100" s="63" t="s">
        <v>1177</v>
      </c>
      <c r="G1100" s="79" t="s">
        <v>170</v>
      </c>
      <c r="H1100" s="79" t="s">
        <v>654</v>
      </c>
      <c r="I1100" s="63"/>
      <c r="J1100" s="64" t="s">
        <v>708</v>
      </c>
      <c r="K1100" s="64" t="str">
        <f t="shared" si="34"/>
        <v>_</v>
      </c>
      <c r="L1100" s="120">
        <f>ROUND(Tableau18[[#This Row],[LEN]]*7.27,0)</f>
        <v>342</v>
      </c>
      <c r="M1100" s="120">
        <v>15</v>
      </c>
      <c r="N1100" s="137" t="str">
        <f t="shared" si="35"/>
        <v>_self</v>
      </c>
      <c r="O1100" s="120">
        <f>LEN(Tableau18[[#This Row],[LABEL]])</f>
        <v>47</v>
      </c>
      <c r="P1100" s="120">
        <v>15</v>
      </c>
      <c r="Q1100" s="120" t="e">
        <f>ROUND(Tableau18[[#This Row],[LEN]]*#REF!+#REF!,0)</f>
        <v>#REF!</v>
      </c>
    </row>
    <row r="1101" spans="1:17" s="97" customFormat="1" x14ac:dyDescent="0.25">
      <c r="A1101" s="61" t="s">
        <v>1870</v>
      </c>
      <c r="B1101" s="62" t="s">
        <v>324</v>
      </c>
      <c r="C1101" s="63" t="s">
        <v>1875</v>
      </c>
      <c r="D1101" s="79" t="s">
        <v>1177</v>
      </c>
      <c r="E1101" s="63" t="s">
        <v>684</v>
      </c>
      <c r="F1101" s="63" t="s">
        <v>2086</v>
      </c>
      <c r="G1101" s="79" t="s">
        <v>170</v>
      </c>
      <c r="H1101" s="79" t="s">
        <v>656</v>
      </c>
      <c r="I1101" s="63"/>
      <c r="J1101" s="64" t="s">
        <v>708</v>
      </c>
      <c r="K1101" s="64" t="str">
        <f t="shared" si="34"/>
        <v>_</v>
      </c>
      <c r="L1101" s="120">
        <f>ROUND(Tableau18[[#This Row],[LEN]]*7.27,0)</f>
        <v>291</v>
      </c>
      <c r="M1101" s="120">
        <v>15</v>
      </c>
      <c r="N1101" s="137" t="str">
        <f t="shared" si="35"/>
        <v>_self</v>
      </c>
      <c r="O1101" s="120">
        <f>LEN(Tableau18[[#This Row],[LABEL]])</f>
        <v>40</v>
      </c>
      <c r="P1101" s="120">
        <v>15</v>
      </c>
      <c r="Q1101" s="120" t="e">
        <f>ROUND(Tableau18[[#This Row],[LEN]]*#REF!+#REF!,0)</f>
        <v>#REF!</v>
      </c>
    </row>
    <row r="1102" spans="1:17" s="97" customFormat="1" x14ac:dyDescent="0.25">
      <c r="A1102" s="61" t="s">
        <v>1871</v>
      </c>
      <c r="B1102" s="62" t="s">
        <v>324</v>
      </c>
      <c r="C1102" s="63" t="s">
        <v>602</v>
      </c>
      <c r="D1102" s="79" t="s">
        <v>1177</v>
      </c>
      <c r="E1102" s="63" t="s">
        <v>661</v>
      </c>
      <c r="F1102" s="63" t="s">
        <v>1874</v>
      </c>
      <c r="G1102" s="79" t="s">
        <v>170</v>
      </c>
      <c r="H1102" s="79" t="s">
        <v>656</v>
      </c>
      <c r="I1102" s="63"/>
      <c r="J1102" s="64" t="s">
        <v>708</v>
      </c>
      <c r="K1102" s="64" t="str">
        <f t="shared" si="34"/>
        <v>_</v>
      </c>
      <c r="L1102" s="120">
        <f>ROUND(Tableau18[[#This Row],[LEN]]*7.27,0)</f>
        <v>553</v>
      </c>
      <c r="M1102" s="120">
        <v>15</v>
      </c>
      <c r="N1102" s="137" t="str">
        <f t="shared" si="35"/>
        <v>_self</v>
      </c>
      <c r="O1102" s="120">
        <f>LEN(Tableau18[[#This Row],[LABEL]])</f>
        <v>76</v>
      </c>
      <c r="P1102" s="120">
        <v>15</v>
      </c>
      <c r="Q1102" s="120" t="e">
        <f>ROUND(Tableau18[[#This Row],[LEN]]*#REF!+#REF!,0)</f>
        <v>#REF!</v>
      </c>
    </row>
    <row r="1103" spans="1:17" s="97" customFormat="1" x14ac:dyDescent="0.25">
      <c r="A1103" s="61" t="s">
        <v>1872</v>
      </c>
      <c r="B1103" s="62" t="s">
        <v>324</v>
      </c>
      <c r="C1103" s="63" t="s">
        <v>50</v>
      </c>
      <c r="D1103" s="79" t="s">
        <v>1177</v>
      </c>
      <c r="E1103" s="63" t="s">
        <v>1177</v>
      </c>
      <c r="F1103" s="63" t="s">
        <v>1084</v>
      </c>
      <c r="G1103" s="79" t="s">
        <v>1978</v>
      </c>
      <c r="H1103" s="79" t="s">
        <v>1131</v>
      </c>
      <c r="I1103" s="63"/>
      <c r="J1103" s="64" t="s">
        <v>708</v>
      </c>
      <c r="K1103" s="64" t="str">
        <f t="shared" si="34"/>
        <v>_</v>
      </c>
      <c r="L1103" s="120">
        <f>ROUND(Tableau18[[#This Row],[LEN]]*7.27,0)</f>
        <v>87</v>
      </c>
      <c r="M1103" s="120">
        <v>15</v>
      </c>
      <c r="N1103" s="137" t="str">
        <f t="shared" si="35"/>
        <v>_self</v>
      </c>
      <c r="O1103" s="120">
        <f>LEN(Tableau18[[#This Row],[LABEL]])</f>
        <v>12</v>
      </c>
      <c r="P1103" s="120">
        <v>15</v>
      </c>
      <c r="Q1103" s="120" t="e">
        <f>ROUND(Tableau18[[#This Row],[LEN]]*#REF!+#REF!,0)</f>
        <v>#REF!</v>
      </c>
    </row>
    <row r="1104" spans="1:17" s="97" customFormat="1" x14ac:dyDescent="0.25">
      <c r="A1104" s="61" t="s">
        <v>1873</v>
      </c>
      <c r="B1104" s="62" t="s">
        <v>324</v>
      </c>
      <c r="C1104" s="63" t="s">
        <v>603</v>
      </c>
      <c r="D1104" s="79" t="s">
        <v>1177</v>
      </c>
      <c r="E1104" s="63" t="s">
        <v>1177</v>
      </c>
      <c r="F1104" s="63" t="s">
        <v>1084</v>
      </c>
      <c r="G1104" s="79" t="s">
        <v>1977</v>
      </c>
      <c r="H1104" s="79" t="s">
        <v>1131</v>
      </c>
      <c r="I1104" s="63"/>
      <c r="J1104" s="64" t="s">
        <v>708</v>
      </c>
      <c r="K1104" s="64" t="str">
        <f t="shared" si="34"/>
        <v>_</v>
      </c>
      <c r="L1104" s="120">
        <f>ROUND(Tableau18[[#This Row],[LEN]]*7.27,0)</f>
        <v>247</v>
      </c>
      <c r="M1104" s="120">
        <v>15</v>
      </c>
      <c r="N1104" s="137" t="str">
        <f t="shared" si="35"/>
        <v>_self</v>
      </c>
      <c r="O1104" s="120">
        <f>LEN(Tableau18[[#This Row],[LABEL]])</f>
        <v>34</v>
      </c>
      <c r="P1104" s="120">
        <v>15</v>
      </c>
      <c r="Q1104" s="120" t="e">
        <f>ROUND(Tableau18[[#This Row],[LEN]]*#REF!+#REF!,0)</f>
        <v>#REF!</v>
      </c>
    </row>
    <row r="1105" spans="1:17" s="273" customFormat="1" x14ac:dyDescent="0.25">
      <c r="A1105" s="372" t="s">
        <v>326</v>
      </c>
      <c r="B1105" s="373" t="s">
        <v>210</v>
      </c>
      <c r="C1105" s="374" t="s">
        <v>5</v>
      </c>
      <c r="D1105" s="375" t="s">
        <v>1177</v>
      </c>
      <c r="E1105" s="374" t="s">
        <v>668</v>
      </c>
      <c r="F1105" s="374" t="s">
        <v>1177</v>
      </c>
      <c r="G1105" s="375" t="s">
        <v>170</v>
      </c>
      <c r="H1105" s="375" t="str">
        <f>IFERROR(IF(SEARCH(".00.00.00.00.00",Tableau18[[#This Row],[name]],1)=7,"Division",""),"")</f>
        <v>Division</v>
      </c>
      <c r="I1105" s="374"/>
      <c r="J1105" s="376" t="s">
        <v>708</v>
      </c>
      <c r="K1105" s="376" t="str">
        <f t="shared" si="34"/>
        <v>_</v>
      </c>
      <c r="L1105" s="377">
        <f>ROUND(Tableau18[[#This Row],[LEN]]*7.27,0)</f>
        <v>73</v>
      </c>
      <c r="M1105" s="377">
        <v>15</v>
      </c>
      <c r="N1105" s="378" t="str">
        <f t="shared" si="35"/>
        <v>_self</v>
      </c>
      <c r="O1105" s="377">
        <f>LEN(Tableau18[[#This Row],[LABEL]])</f>
        <v>10</v>
      </c>
      <c r="P1105" s="377">
        <v>15</v>
      </c>
      <c r="Q1105" s="377" t="e">
        <f>ROUND(Tableau18[[#This Row],[LEN]]*#REF!+#REF!,0)</f>
        <v>#REF!</v>
      </c>
    </row>
    <row r="1106" spans="1:17" s="97" customFormat="1" x14ac:dyDescent="0.25">
      <c r="A1106" s="61" t="s">
        <v>1877</v>
      </c>
      <c r="B1106" s="62" t="s">
        <v>326</v>
      </c>
      <c r="C1106" s="63" t="s">
        <v>602</v>
      </c>
      <c r="D1106" s="79" t="s">
        <v>1177</v>
      </c>
      <c r="E1106" s="63" t="s">
        <v>661</v>
      </c>
      <c r="F1106" s="63" t="s">
        <v>1874</v>
      </c>
      <c r="G1106" s="79" t="s">
        <v>170</v>
      </c>
      <c r="H1106" s="79" t="s">
        <v>656</v>
      </c>
      <c r="I1106" s="63"/>
      <c r="J1106" s="64" t="s">
        <v>708</v>
      </c>
      <c r="K1106" s="64" t="str">
        <f t="shared" si="34"/>
        <v>_</v>
      </c>
      <c r="L1106" s="120">
        <f>ROUND(Tableau18[[#This Row],[LEN]]*7.27,0)</f>
        <v>553</v>
      </c>
      <c r="M1106" s="120">
        <v>15</v>
      </c>
      <c r="N1106" s="137" t="str">
        <f t="shared" si="35"/>
        <v>_self</v>
      </c>
      <c r="O1106" s="120">
        <f>LEN(Tableau18[[#This Row],[LABEL]])</f>
        <v>76</v>
      </c>
      <c r="P1106" s="120">
        <v>15</v>
      </c>
      <c r="Q1106" s="120" t="e">
        <f>ROUND(Tableau18[[#This Row],[LEN]]*#REF!+#REF!,0)</f>
        <v>#REF!</v>
      </c>
    </row>
    <row r="1107" spans="1:17" s="273" customFormat="1" x14ac:dyDescent="0.25">
      <c r="A1107" s="372" t="s">
        <v>327</v>
      </c>
      <c r="B1107" s="373" t="s">
        <v>210</v>
      </c>
      <c r="C1107" s="374" t="s">
        <v>2147</v>
      </c>
      <c r="D1107" s="375" t="s">
        <v>1177</v>
      </c>
      <c r="E1107" s="374" t="s">
        <v>669</v>
      </c>
      <c r="F1107" s="374" t="s">
        <v>1177</v>
      </c>
      <c r="G1107" s="375" t="s">
        <v>170</v>
      </c>
      <c r="H1107" s="375" t="str">
        <f>IFERROR(IF(SEARCH(".00.00.00.00.00",Tableau18[[#This Row],[name]],1)=7,"Division",""),"")</f>
        <v>Division</v>
      </c>
      <c r="I1107" s="374"/>
      <c r="J1107" s="376" t="s">
        <v>708</v>
      </c>
      <c r="K1107" s="376" t="str">
        <f t="shared" si="34"/>
        <v>_</v>
      </c>
      <c r="L1107" s="377">
        <f>ROUND(Tableau18[[#This Row],[LEN]]*7.27,0)</f>
        <v>196</v>
      </c>
      <c r="M1107" s="377">
        <v>15</v>
      </c>
      <c r="N1107" s="378" t="str">
        <f t="shared" si="35"/>
        <v>_self</v>
      </c>
      <c r="O1107" s="377">
        <f>LEN(Tableau18[[#This Row],[LABEL]])</f>
        <v>27</v>
      </c>
      <c r="P1107" s="377">
        <v>15</v>
      </c>
      <c r="Q1107" s="377" t="e">
        <f>ROUND(Tableau18[[#This Row],[LEN]]*#REF!+#REF!,0)</f>
        <v>#REF!</v>
      </c>
    </row>
    <row r="1108" spans="1:17" s="97" customFormat="1" x14ac:dyDescent="0.25">
      <c r="A1108" s="61" t="s">
        <v>1886</v>
      </c>
      <c r="B1108" s="62" t="s">
        <v>327</v>
      </c>
      <c r="C1108" s="63" t="s">
        <v>1890</v>
      </c>
      <c r="D1108" s="79" t="s">
        <v>1891</v>
      </c>
      <c r="E1108" s="63" t="s">
        <v>669</v>
      </c>
      <c r="F1108" s="63" t="s">
        <v>1177</v>
      </c>
      <c r="G1108" s="79" t="s">
        <v>170</v>
      </c>
      <c r="H1108" s="79" t="s">
        <v>570</v>
      </c>
      <c r="I1108" s="63"/>
      <c r="J1108" s="64" t="s">
        <v>708</v>
      </c>
      <c r="K1108" s="64" t="str">
        <f t="shared" si="34"/>
        <v>_</v>
      </c>
      <c r="L1108" s="120">
        <f>ROUND(Tableau18[[#This Row],[LEN]]*7.27,0)</f>
        <v>327</v>
      </c>
      <c r="M1108" s="120">
        <v>15</v>
      </c>
      <c r="N1108" s="137" t="str">
        <f t="shared" si="35"/>
        <v>_self</v>
      </c>
      <c r="O1108" s="120">
        <f>LEN(Tableau18[[#This Row],[LABEL]])</f>
        <v>45</v>
      </c>
      <c r="P1108" s="120">
        <v>15</v>
      </c>
      <c r="Q1108" s="120" t="e">
        <f>ROUND(Tableau18[[#This Row],[LEN]]*#REF!+#REF!,0)</f>
        <v>#REF!</v>
      </c>
    </row>
    <row r="1109" spans="1:17" s="97" customFormat="1" x14ac:dyDescent="0.25">
      <c r="A1109" s="61" t="s">
        <v>1887</v>
      </c>
      <c r="B1109" s="62" t="s">
        <v>327</v>
      </c>
      <c r="C1109" s="63" t="s">
        <v>602</v>
      </c>
      <c r="D1109" s="79" t="s">
        <v>1177</v>
      </c>
      <c r="E1109" s="63" t="s">
        <v>661</v>
      </c>
      <c r="F1109" s="63" t="s">
        <v>1874</v>
      </c>
      <c r="G1109" s="79" t="s">
        <v>170</v>
      </c>
      <c r="H1109" s="79" t="s">
        <v>656</v>
      </c>
      <c r="I1109" s="63"/>
      <c r="J1109" s="64" t="s">
        <v>708</v>
      </c>
      <c r="K1109" s="64" t="str">
        <f t="shared" si="34"/>
        <v>_</v>
      </c>
      <c r="L1109" s="120">
        <f>ROUND(Tableau18[[#This Row],[LEN]]*7.27,0)</f>
        <v>553</v>
      </c>
      <c r="M1109" s="120">
        <v>15</v>
      </c>
      <c r="N1109" s="137" t="str">
        <f t="shared" si="35"/>
        <v>_self</v>
      </c>
      <c r="O1109" s="120">
        <f>LEN(Tableau18[[#This Row],[LABEL]])</f>
        <v>76</v>
      </c>
      <c r="P1109" s="120">
        <v>15</v>
      </c>
      <c r="Q1109" s="120" t="e">
        <f>ROUND(Tableau18[[#This Row],[LEN]]*#REF!+#REF!,0)</f>
        <v>#REF!</v>
      </c>
    </row>
    <row r="1110" spans="1:17" s="97" customFormat="1" x14ac:dyDescent="0.25">
      <c r="A1110" s="61" t="s">
        <v>1888</v>
      </c>
      <c r="B1110" s="62" t="s">
        <v>327</v>
      </c>
      <c r="C1110" s="63" t="s">
        <v>50</v>
      </c>
      <c r="D1110" s="79" t="s">
        <v>1177</v>
      </c>
      <c r="E1110" s="63" t="s">
        <v>1177</v>
      </c>
      <c r="F1110" s="63" t="s">
        <v>1084</v>
      </c>
      <c r="G1110" s="79" t="s">
        <v>1978</v>
      </c>
      <c r="H1110" s="79" t="s">
        <v>1131</v>
      </c>
      <c r="I1110" s="63"/>
      <c r="J1110" s="64" t="s">
        <v>708</v>
      </c>
      <c r="K1110" s="64" t="str">
        <f t="shared" si="34"/>
        <v>_</v>
      </c>
      <c r="L1110" s="120">
        <f>ROUND(Tableau18[[#This Row],[LEN]]*7.27,0)</f>
        <v>87</v>
      </c>
      <c r="M1110" s="120">
        <v>15</v>
      </c>
      <c r="N1110" s="137" t="str">
        <f t="shared" si="35"/>
        <v>_self</v>
      </c>
      <c r="O1110" s="120">
        <f>LEN(Tableau18[[#This Row],[LABEL]])</f>
        <v>12</v>
      </c>
      <c r="P1110" s="120">
        <v>15</v>
      </c>
      <c r="Q1110" s="120" t="e">
        <f>ROUND(Tableau18[[#This Row],[LEN]]*#REF!+#REF!,0)</f>
        <v>#REF!</v>
      </c>
    </row>
    <row r="1111" spans="1:17" s="97" customFormat="1" x14ac:dyDescent="0.25">
      <c r="A1111" s="61" t="s">
        <v>1889</v>
      </c>
      <c r="B1111" s="62" t="s">
        <v>327</v>
      </c>
      <c r="C1111" s="63" t="s">
        <v>603</v>
      </c>
      <c r="D1111" s="79" t="s">
        <v>1177</v>
      </c>
      <c r="E1111" s="63" t="s">
        <v>1177</v>
      </c>
      <c r="F1111" s="63" t="s">
        <v>1084</v>
      </c>
      <c r="G1111" s="79" t="s">
        <v>1977</v>
      </c>
      <c r="H1111" s="79" t="s">
        <v>1131</v>
      </c>
      <c r="I1111" s="63"/>
      <c r="J1111" s="64" t="s">
        <v>708</v>
      </c>
      <c r="K1111" s="64" t="str">
        <f t="shared" si="34"/>
        <v>_</v>
      </c>
      <c r="L1111" s="120">
        <f>ROUND(Tableau18[[#This Row],[LEN]]*7.27,0)</f>
        <v>247</v>
      </c>
      <c r="M1111" s="120">
        <v>15</v>
      </c>
      <c r="N1111" s="137" t="str">
        <f t="shared" si="35"/>
        <v>_self</v>
      </c>
      <c r="O1111" s="120">
        <f>LEN(Tableau18[[#This Row],[LABEL]])</f>
        <v>34</v>
      </c>
      <c r="P1111" s="120">
        <v>15</v>
      </c>
      <c r="Q1111" s="120" t="e">
        <f>ROUND(Tableau18[[#This Row],[LEN]]*#REF!+#REF!,0)</f>
        <v>#REF!</v>
      </c>
    </row>
    <row r="1112" spans="1:17" s="273" customFormat="1" x14ac:dyDescent="0.25">
      <c r="A1112" s="372" t="s">
        <v>329</v>
      </c>
      <c r="B1112" s="373" t="s">
        <v>210</v>
      </c>
      <c r="C1112" s="374" t="s">
        <v>8</v>
      </c>
      <c r="D1112" s="375" t="s">
        <v>1177</v>
      </c>
      <c r="E1112" s="374" t="s">
        <v>671</v>
      </c>
      <c r="F1112" s="374" t="s">
        <v>1177</v>
      </c>
      <c r="G1112" s="375" t="s">
        <v>170</v>
      </c>
      <c r="H1112" s="375" t="str">
        <f>IFERROR(IF(SEARCH(".00.00.00.00.00",Tableau18[[#This Row],[name]],1)=7,"Division",""),"")</f>
        <v>Division</v>
      </c>
      <c r="I1112" s="374"/>
      <c r="J1112" s="376" t="s">
        <v>708</v>
      </c>
      <c r="K1112" s="376" t="str">
        <f t="shared" si="34"/>
        <v>_</v>
      </c>
      <c r="L1112" s="377">
        <f>ROUND(Tableau18[[#This Row],[LEN]]*7.27,0)</f>
        <v>116</v>
      </c>
      <c r="M1112" s="377">
        <v>15</v>
      </c>
      <c r="N1112" s="378" t="str">
        <f t="shared" si="35"/>
        <v>_self</v>
      </c>
      <c r="O1112" s="377">
        <f>LEN(Tableau18[[#This Row],[LABEL]])</f>
        <v>16</v>
      </c>
      <c r="P1112" s="377">
        <v>15</v>
      </c>
      <c r="Q1112" s="377" t="e">
        <f>ROUND(Tableau18[[#This Row],[LEN]]*#REF!+#REF!,0)</f>
        <v>#REF!</v>
      </c>
    </row>
    <row r="1113" spans="1:17" s="97" customFormat="1" x14ac:dyDescent="0.25">
      <c r="A1113" s="61" t="s">
        <v>1893</v>
      </c>
      <c r="B1113" s="62" t="s">
        <v>329</v>
      </c>
      <c r="C1113" s="63" t="s">
        <v>1892</v>
      </c>
      <c r="D1113" s="79" t="s">
        <v>1177</v>
      </c>
      <c r="E1113" s="63" t="s">
        <v>679</v>
      </c>
      <c r="F1113" s="63" t="s">
        <v>1920</v>
      </c>
      <c r="G1113" s="79" t="s">
        <v>170</v>
      </c>
      <c r="H1113" s="79" t="s">
        <v>656</v>
      </c>
      <c r="I1113" s="63"/>
      <c r="J1113" s="64" t="s">
        <v>708</v>
      </c>
      <c r="K1113" s="64" t="str">
        <f t="shared" si="34"/>
        <v>_</v>
      </c>
      <c r="L1113" s="120">
        <f>ROUND(Tableau18[[#This Row],[LEN]]*7.27,0)</f>
        <v>204</v>
      </c>
      <c r="M1113" s="120">
        <v>15</v>
      </c>
      <c r="N1113" s="137" t="str">
        <f t="shared" si="35"/>
        <v>_self</v>
      </c>
      <c r="O1113" s="120">
        <f>LEN(Tableau18[[#This Row],[LABEL]])</f>
        <v>28</v>
      </c>
      <c r="P1113" s="120">
        <v>15</v>
      </c>
      <c r="Q1113" s="120" t="e">
        <f>ROUND(Tableau18[[#This Row],[LEN]]*#REF!+#REF!,0)</f>
        <v>#REF!</v>
      </c>
    </row>
    <row r="1114" spans="1:17" s="97" customFormat="1" x14ac:dyDescent="0.25">
      <c r="A1114" s="61" t="s">
        <v>1894</v>
      </c>
      <c r="B1114" s="62" t="s">
        <v>329</v>
      </c>
      <c r="C1114" s="63" t="s">
        <v>602</v>
      </c>
      <c r="D1114" s="79" t="s">
        <v>1177</v>
      </c>
      <c r="E1114" s="63" t="s">
        <v>661</v>
      </c>
      <c r="F1114" s="63" t="s">
        <v>1874</v>
      </c>
      <c r="G1114" s="79" t="s">
        <v>170</v>
      </c>
      <c r="H1114" s="79" t="s">
        <v>656</v>
      </c>
      <c r="I1114" s="63"/>
      <c r="J1114" s="64" t="s">
        <v>708</v>
      </c>
      <c r="K1114" s="64" t="str">
        <f t="shared" si="34"/>
        <v>_</v>
      </c>
      <c r="L1114" s="120">
        <f>ROUND(Tableau18[[#This Row],[LEN]]*7.27,0)</f>
        <v>553</v>
      </c>
      <c r="M1114" s="120">
        <v>15</v>
      </c>
      <c r="N1114" s="137" t="str">
        <f t="shared" si="35"/>
        <v>_self</v>
      </c>
      <c r="O1114" s="120">
        <f>LEN(Tableau18[[#This Row],[LABEL]])</f>
        <v>76</v>
      </c>
      <c r="P1114" s="120">
        <v>15</v>
      </c>
      <c r="Q1114" s="120" t="e">
        <f>ROUND(Tableau18[[#This Row],[LEN]]*#REF!+#REF!,0)</f>
        <v>#REF!</v>
      </c>
    </row>
    <row r="1115" spans="1:17" s="97" customFormat="1" x14ac:dyDescent="0.25">
      <c r="A1115" s="61" t="s">
        <v>1895</v>
      </c>
      <c r="B1115" s="62" t="s">
        <v>329</v>
      </c>
      <c r="C1115" s="63" t="s">
        <v>50</v>
      </c>
      <c r="D1115" s="79" t="s">
        <v>1177</v>
      </c>
      <c r="E1115" s="63" t="s">
        <v>1177</v>
      </c>
      <c r="F1115" s="63" t="s">
        <v>1084</v>
      </c>
      <c r="G1115" s="79" t="s">
        <v>1978</v>
      </c>
      <c r="H1115" s="79" t="s">
        <v>1131</v>
      </c>
      <c r="I1115" s="63"/>
      <c r="J1115" s="64" t="s">
        <v>708</v>
      </c>
      <c r="K1115" s="64" t="str">
        <f t="shared" si="34"/>
        <v>_</v>
      </c>
      <c r="L1115" s="120">
        <f>ROUND(Tableau18[[#This Row],[LEN]]*7.27,0)</f>
        <v>87</v>
      </c>
      <c r="M1115" s="120">
        <v>15</v>
      </c>
      <c r="N1115" s="137" t="str">
        <f t="shared" si="35"/>
        <v>_self</v>
      </c>
      <c r="O1115" s="120">
        <f>LEN(Tableau18[[#This Row],[LABEL]])</f>
        <v>12</v>
      </c>
      <c r="P1115" s="120">
        <v>15</v>
      </c>
      <c r="Q1115" s="120" t="e">
        <f>ROUND(Tableau18[[#This Row],[LEN]]*#REF!+#REF!,0)</f>
        <v>#REF!</v>
      </c>
    </row>
    <row r="1116" spans="1:17" s="97" customFormat="1" x14ac:dyDescent="0.25">
      <c r="A1116" s="61" t="s">
        <v>1896</v>
      </c>
      <c r="B1116" s="62" t="s">
        <v>329</v>
      </c>
      <c r="C1116" s="63" t="s">
        <v>603</v>
      </c>
      <c r="D1116" s="79" t="s">
        <v>1177</v>
      </c>
      <c r="E1116" s="63" t="s">
        <v>1177</v>
      </c>
      <c r="F1116" s="63" t="s">
        <v>1084</v>
      </c>
      <c r="G1116" s="79" t="s">
        <v>1977</v>
      </c>
      <c r="H1116" s="79" t="s">
        <v>1131</v>
      </c>
      <c r="I1116" s="63"/>
      <c r="J1116" s="64" t="s">
        <v>708</v>
      </c>
      <c r="K1116" s="64" t="str">
        <f t="shared" si="34"/>
        <v>_</v>
      </c>
      <c r="L1116" s="120">
        <f>ROUND(Tableau18[[#This Row],[LEN]]*7.27,0)</f>
        <v>247</v>
      </c>
      <c r="M1116" s="120">
        <v>15</v>
      </c>
      <c r="N1116" s="137" t="str">
        <f t="shared" si="35"/>
        <v>_self</v>
      </c>
      <c r="O1116" s="120">
        <f>LEN(Tableau18[[#This Row],[LABEL]])</f>
        <v>34</v>
      </c>
      <c r="P1116" s="120">
        <v>15</v>
      </c>
      <c r="Q1116" s="120" t="e">
        <f>ROUND(Tableau18[[#This Row],[LEN]]*#REF!+#REF!,0)</f>
        <v>#REF!</v>
      </c>
    </row>
    <row r="1117" spans="1:17" s="273" customFormat="1" x14ac:dyDescent="0.25">
      <c r="A1117" s="372" t="s">
        <v>330</v>
      </c>
      <c r="B1117" s="373" t="s">
        <v>210</v>
      </c>
      <c r="C1117" s="374" t="s">
        <v>9</v>
      </c>
      <c r="D1117" s="375" t="s">
        <v>1177</v>
      </c>
      <c r="E1117" s="374" t="s">
        <v>672</v>
      </c>
      <c r="F1117" s="374" t="s">
        <v>1177</v>
      </c>
      <c r="G1117" s="375" t="s">
        <v>170</v>
      </c>
      <c r="H1117" s="375" t="str">
        <f>IFERROR(IF(SEARCH(".00.00.00.00.00",Tableau18[[#This Row],[name]],1)=7,"Division",""),"")</f>
        <v>Division</v>
      </c>
      <c r="I1117" s="374"/>
      <c r="J1117" s="376" t="s">
        <v>718</v>
      </c>
      <c r="K1117" s="376" t="str">
        <f t="shared" si="34"/>
        <v>Documentation</v>
      </c>
      <c r="L1117" s="377">
        <f>ROUND(Tableau18[[#This Row],[LEN]]*7.27,0)</f>
        <v>80</v>
      </c>
      <c r="M1117" s="377">
        <v>15</v>
      </c>
      <c r="N1117" s="378" t="str">
        <f t="shared" si="35"/>
        <v>_blank</v>
      </c>
      <c r="O1117" s="377">
        <f>LEN(Tableau18[[#This Row],[LABEL]])</f>
        <v>11</v>
      </c>
      <c r="P1117" s="377">
        <v>15</v>
      </c>
      <c r="Q1117" s="377" t="e">
        <f>ROUND(Tableau18[[#This Row],[LEN]]*#REF!+#REF!,0)</f>
        <v>#REF!</v>
      </c>
    </row>
    <row r="1118" spans="1:17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1177</v>
      </c>
      <c r="E1118" s="63" t="s">
        <v>661</v>
      </c>
      <c r="F1118" s="63" t="s">
        <v>1874</v>
      </c>
      <c r="G1118" s="79" t="s">
        <v>170</v>
      </c>
      <c r="H1118" s="79" t="s">
        <v>656</v>
      </c>
      <c r="I1118" s="63"/>
      <c r="J1118" s="64" t="s">
        <v>708</v>
      </c>
      <c r="K1118" s="64" t="str">
        <f t="shared" si="34"/>
        <v>_</v>
      </c>
      <c r="L1118" s="120">
        <f>ROUND(Tableau18[[#This Row],[LEN]]*7.27,0)</f>
        <v>553</v>
      </c>
      <c r="M1118" s="120">
        <v>15</v>
      </c>
      <c r="N1118" s="137" t="str">
        <f t="shared" si="35"/>
        <v>_self</v>
      </c>
      <c r="O1118" s="120">
        <f>LEN(Tableau18[[#This Row],[LABEL]])</f>
        <v>76</v>
      </c>
      <c r="P1118" s="120">
        <v>15</v>
      </c>
      <c r="Q1118" s="120" t="e">
        <f>ROUND(Tableau18[[#This Row],[LEN]]*#REF!+#REF!,0)</f>
        <v>#REF!</v>
      </c>
    </row>
    <row r="1119" spans="1:17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1177</v>
      </c>
      <c r="E1119" s="63" t="s">
        <v>1177</v>
      </c>
      <c r="F1119" s="63" t="s">
        <v>1084</v>
      </c>
      <c r="G1119" s="79" t="s">
        <v>1978</v>
      </c>
      <c r="H1119" s="79" t="s">
        <v>1131</v>
      </c>
      <c r="I1119" s="63"/>
      <c r="J1119" s="64" t="s">
        <v>708</v>
      </c>
      <c r="K1119" s="64" t="str">
        <f t="shared" si="34"/>
        <v>_</v>
      </c>
      <c r="L1119" s="120">
        <f>ROUND(Tableau18[[#This Row],[LEN]]*7.27,0)</f>
        <v>87</v>
      </c>
      <c r="M1119" s="120">
        <v>15</v>
      </c>
      <c r="N1119" s="137" t="str">
        <f t="shared" si="35"/>
        <v>_self</v>
      </c>
      <c r="O1119" s="120">
        <f>LEN(Tableau18[[#This Row],[LABEL]])</f>
        <v>12</v>
      </c>
      <c r="P1119" s="120">
        <v>15</v>
      </c>
      <c r="Q1119" s="120" t="e">
        <f>ROUND(Tableau18[[#This Row],[LEN]]*#REF!+#REF!,0)</f>
        <v>#REF!</v>
      </c>
    </row>
    <row r="1120" spans="1:17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1177</v>
      </c>
      <c r="E1120" s="63" t="s">
        <v>1177</v>
      </c>
      <c r="F1120" s="63" t="s">
        <v>1084</v>
      </c>
      <c r="G1120" s="79" t="s">
        <v>1977</v>
      </c>
      <c r="H1120" s="79" t="s">
        <v>1131</v>
      </c>
      <c r="I1120" s="63"/>
      <c r="J1120" s="64" t="s">
        <v>708</v>
      </c>
      <c r="K1120" s="64" t="str">
        <f t="shared" si="34"/>
        <v>_</v>
      </c>
      <c r="L1120" s="120">
        <f>ROUND(Tableau18[[#This Row],[LEN]]*7.27,0)</f>
        <v>247</v>
      </c>
      <c r="M1120" s="120">
        <v>15</v>
      </c>
      <c r="N1120" s="137" t="str">
        <f t="shared" si="35"/>
        <v>_self</v>
      </c>
      <c r="O1120" s="120">
        <f>LEN(Tableau18[[#This Row],[LABEL]])</f>
        <v>34</v>
      </c>
      <c r="P1120" s="120">
        <v>15</v>
      </c>
      <c r="Q1120" s="120" t="e">
        <f>ROUND(Tableau18[[#This Row],[LEN]]*#REF!+#REF!,0)</f>
        <v>#REF!</v>
      </c>
    </row>
    <row r="1121" spans="1:17" s="273" customFormat="1" x14ac:dyDescent="0.25">
      <c r="A1121" s="372" t="s">
        <v>331</v>
      </c>
      <c r="B1121" s="373" t="s">
        <v>210</v>
      </c>
      <c r="C1121" s="374" t="s">
        <v>10</v>
      </c>
      <c r="D1121" s="375" t="s">
        <v>1177</v>
      </c>
      <c r="E1121" s="374" t="s">
        <v>673</v>
      </c>
      <c r="F1121" s="374" t="s">
        <v>1177</v>
      </c>
      <c r="G1121" s="375" t="s">
        <v>170</v>
      </c>
      <c r="H1121" s="375" t="str">
        <f>IFERROR(IF(SEARCH(".00.00.00.00.00",Tableau18[[#This Row],[name]],1)=7,"Division",""),"")</f>
        <v>Division</v>
      </c>
      <c r="I1121" s="374"/>
      <c r="J1121" s="376" t="s">
        <v>719</v>
      </c>
      <c r="K1121" s="376" t="str">
        <f t="shared" si="34"/>
        <v>Documentation</v>
      </c>
      <c r="L1121" s="377">
        <f>ROUND(Tableau18[[#This Row],[LEN]]*7.27,0)</f>
        <v>109</v>
      </c>
      <c r="M1121" s="377">
        <v>15</v>
      </c>
      <c r="N1121" s="378" t="str">
        <f t="shared" si="35"/>
        <v>_blank</v>
      </c>
      <c r="O1121" s="377">
        <f>LEN(Tableau18[[#This Row],[LABEL]])</f>
        <v>15</v>
      </c>
      <c r="P1121" s="377">
        <v>15</v>
      </c>
      <c r="Q1121" s="377" t="e">
        <f>ROUND(Tableau18[[#This Row],[LEN]]*#REF!+#REF!,0)</f>
        <v>#REF!</v>
      </c>
    </row>
    <row r="1122" spans="1:17" s="97" customFormat="1" x14ac:dyDescent="0.25">
      <c r="A1122" s="61" t="s">
        <v>1878</v>
      </c>
      <c r="B1122" s="62" t="s">
        <v>331</v>
      </c>
      <c r="C1122" s="63" t="s">
        <v>1882</v>
      </c>
      <c r="D1122" s="79" t="s">
        <v>1177</v>
      </c>
      <c r="E1122" s="63" t="s">
        <v>673</v>
      </c>
      <c r="F1122" s="63" t="s">
        <v>2087</v>
      </c>
      <c r="G1122" s="79" t="s">
        <v>170</v>
      </c>
      <c r="H1122" s="79" t="s">
        <v>656</v>
      </c>
      <c r="I1122" s="63"/>
      <c r="J1122" s="64" t="s">
        <v>708</v>
      </c>
      <c r="K1122" s="64" t="str">
        <f t="shared" si="34"/>
        <v>_</v>
      </c>
      <c r="L1122" s="120">
        <f>ROUND(Tableau18[[#This Row],[LEN]]*7.27,0)</f>
        <v>233</v>
      </c>
      <c r="M1122" s="120">
        <v>15</v>
      </c>
      <c r="N1122" s="137" t="str">
        <f t="shared" si="35"/>
        <v>_self</v>
      </c>
      <c r="O1122" s="120">
        <f>LEN(Tableau18[[#This Row],[LABEL]])</f>
        <v>32</v>
      </c>
      <c r="P1122" s="120">
        <v>15</v>
      </c>
      <c r="Q1122" s="120" t="e">
        <f>ROUND(Tableau18[[#This Row],[LEN]]*#REF!+#REF!,0)</f>
        <v>#REF!</v>
      </c>
    </row>
    <row r="1123" spans="1:17" s="97" customFormat="1" x14ac:dyDescent="0.25">
      <c r="A1123" s="61" t="s">
        <v>1879</v>
      </c>
      <c r="B1123" s="62" t="s">
        <v>331</v>
      </c>
      <c r="C1123" s="63" t="s">
        <v>602</v>
      </c>
      <c r="D1123" s="79" t="s">
        <v>1177</v>
      </c>
      <c r="E1123" s="63" t="s">
        <v>661</v>
      </c>
      <c r="F1123" s="63" t="s">
        <v>1874</v>
      </c>
      <c r="G1123" s="79" t="s">
        <v>170</v>
      </c>
      <c r="H1123" s="79" t="s">
        <v>656</v>
      </c>
      <c r="I1123" s="63"/>
      <c r="J1123" s="64" t="s">
        <v>708</v>
      </c>
      <c r="K1123" s="64" t="str">
        <f t="shared" si="34"/>
        <v>_</v>
      </c>
      <c r="L1123" s="120">
        <f>ROUND(Tableau18[[#This Row],[LEN]]*7.27,0)</f>
        <v>553</v>
      </c>
      <c r="M1123" s="120">
        <v>15</v>
      </c>
      <c r="N1123" s="137" t="str">
        <f t="shared" si="35"/>
        <v>_self</v>
      </c>
      <c r="O1123" s="120">
        <f>LEN(Tableau18[[#This Row],[LABEL]])</f>
        <v>76</v>
      </c>
      <c r="P1123" s="120">
        <v>15</v>
      </c>
      <c r="Q1123" s="120" t="e">
        <f>ROUND(Tableau18[[#This Row],[LEN]]*#REF!+#REF!,0)</f>
        <v>#REF!</v>
      </c>
    </row>
    <row r="1124" spans="1:17" s="97" customFormat="1" x14ac:dyDescent="0.25">
      <c r="A1124" s="61" t="s">
        <v>1880</v>
      </c>
      <c r="B1124" s="62" t="s">
        <v>331</v>
      </c>
      <c r="C1124" s="63" t="s">
        <v>50</v>
      </c>
      <c r="D1124" s="79" t="s">
        <v>1177</v>
      </c>
      <c r="E1124" s="63" t="s">
        <v>1177</v>
      </c>
      <c r="F1124" s="63" t="s">
        <v>1084</v>
      </c>
      <c r="G1124" s="79" t="s">
        <v>1978</v>
      </c>
      <c r="H1124" s="79" t="s">
        <v>1131</v>
      </c>
      <c r="I1124" s="63"/>
      <c r="J1124" s="64" t="s">
        <v>708</v>
      </c>
      <c r="K1124" s="64" t="str">
        <f t="shared" si="34"/>
        <v>_</v>
      </c>
      <c r="L1124" s="120">
        <f>ROUND(Tableau18[[#This Row],[LEN]]*7.27,0)</f>
        <v>87</v>
      </c>
      <c r="M1124" s="120">
        <v>15</v>
      </c>
      <c r="N1124" s="137" t="str">
        <f t="shared" si="35"/>
        <v>_self</v>
      </c>
      <c r="O1124" s="120">
        <f>LEN(Tableau18[[#This Row],[LABEL]])</f>
        <v>12</v>
      </c>
      <c r="P1124" s="120">
        <v>15</v>
      </c>
      <c r="Q1124" s="120" t="e">
        <f>ROUND(Tableau18[[#This Row],[LEN]]*#REF!+#REF!,0)</f>
        <v>#REF!</v>
      </c>
    </row>
    <row r="1125" spans="1:17" s="97" customFormat="1" x14ac:dyDescent="0.25">
      <c r="A1125" s="61" t="s">
        <v>1881</v>
      </c>
      <c r="B1125" s="62" t="s">
        <v>331</v>
      </c>
      <c r="C1125" s="63" t="s">
        <v>603</v>
      </c>
      <c r="D1125" s="79" t="s">
        <v>1177</v>
      </c>
      <c r="E1125" s="63" t="s">
        <v>1177</v>
      </c>
      <c r="F1125" s="63" t="s">
        <v>1084</v>
      </c>
      <c r="G1125" s="79" t="s">
        <v>1977</v>
      </c>
      <c r="H1125" s="79" t="s">
        <v>1131</v>
      </c>
      <c r="I1125" s="63"/>
      <c r="J1125" s="64" t="s">
        <v>708</v>
      </c>
      <c r="K1125" s="64" t="str">
        <f t="shared" si="34"/>
        <v>_</v>
      </c>
      <c r="L1125" s="120">
        <f>ROUND(Tableau18[[#This Row],[LEN]]*7.27,0)</f>
        <v>247</v>
      </c>
      <c r="M1125" s="120">
        <v>15</v>
      </c>
      <c r="N1125" s="137" t="str">
        <f t="shared" si="35"/>
        <v>_self</v>
      </c>
      <c r="O1125" s="120">
        <f>LEN(Tableau18[[#This Row],[LABEL]])</f>
        <v>34</v>
      </c>
      <c r="P1125" s="120">
        <v>15</v>
      </c>
      <c r="Q1125" s="120" t="e">
        <f>ROUND(Tableau18[[#This Row],[LEN]]*#REF!+#REF!,0)</f>
        <v>#REF!</v>
      </c>
    </row>
    <row r="1126" spans="1:17" s="273" customFormat="1" x14ac:dyDescent="0.25">
      <c r="A1126" s="372" t="s">
        <v>332</v>
      </c>
      <c r="B1126" s="373" t="s">
        <v>210</v>
      </c>
      <c r="C1126" s="374" t="s">
        <v>11</v>
      </c>
      <c r="D1126" s="375" t="s">
        <v>1177</v>
      </c>
      <c r="E1126" s="374" t="s">
        <v>674</v>
      </c>
      <c r="F1126" s="374" t="s">
        <v>1177</v>
      </c>
      <c r="G1126" s="375" t="s">
        <v>170</v>
      </c>
      <c r="H1126" s="375" t="str">
        <f>IFERROR(IF(SEARCH(".00.00.00.00.00",Tableau18[[#This Row],[name]],1)=7,"Division",""),"")</f>
        <v>Division</v>
      </c>
      <c r="I1126" s="374"/>
      <c r="J1126" s="376" t="s">
        <v>720</v>
      </c>
      <c r="K1126" s="376" t="str">
        <f t="shared" si="34"/>
        <v>Documentation</v>
      </c>
      <c r="L1126" s="377">
        <f>ROUND(Tableau18[[#This Row],[LEN]]*7.27,0)</f>
        <v>51</v>
      </c>
      <c r="M1126" s="377">
        <v>15</v>
      </c>
      <c r="N1126" s="378" t="str">
        <f t="shared" si="35"/>
        <v>_blank</v>
      </c>
      <c r="O1126" s="377">
        <f>LEN(Tableau18[[#This Row],[LABEL]])</f>
        <v>7</v>
      </c>
      <c r="P1126" s="377">
        <v>15</v>
      </c>
      <c r="Q1126" s="377" t="e">
        <f>ROUND(Tableau18[[#This Row],[LEN]]*#REF!+#REF!,0)</f>
        <v>#REF!</v>
      </c>
    </row>
    <row r="1127" spans="1:17" s="97" customFormat="1" x14ac:dyDescent="0.25">
      <c r="A1127" s="61" t="s">
        <v>1883</v>
      </c>
      <c r="B1127" s="62" t="s">
        <v>332</v>
      </c>
      <c r="C1127" s="63" t="s">
        <v>602</v>
      </c>
      <c r="D1127" s="79" t="s">
        <v>1177</v>
      </c>
      <c r="E1127" s="63" t="s">
        <v>661</v>
      </c>
      <c r="F1127" s="63" t="s">
        <v>1874</v>
      </c>
      <c r="G1127" s="79" t="s">
        <v>170</v>
      </c>
      <c r="H1127" s="79" t="s">
        <v>656</v>
      </c>
      <c r="I1127" s="63"/>
      <c r="J1127" s="64" t="s">
        <v>708</v>
      </c>
      <c r="K1127" s="64" t="str">
        <f t="shared" si="34"/>
        <v>_</v>
      </c>
      <c r="L1127" s="120">
        <f>ROUND(Tableau18[[#This Row],[LEN]]*7.27,0)</f>
        <v>553</v>
      </c>
      <c r="M1127" s="120">
        <v>15</v>
      </c>
      <c r="N1127" s="137" t="str">
        <f t="shared" si="35"/>
        <v>_self</v>
      </c>
      <c r="O1127" s="120">
        <f>LEN(Tableau18[[#This Row],[LABEL]])</f>
        <v>76</v>
      </c>
      <c r="P1127" s="120">
        <v>15</v>
      </c>
      <c r="Q1127" s="120" t="e">
        <f>ROUND(Tableau18[[#This Row],[LEN]]*#REF!+#REF!,0)</f>
        <v>#REF!</v>
      </c>
    </row>
    <row r="1128" spans="1:17" s="97" customFormat="1" x14ac:dyDescent="0.25">
      <c r="A1128" s="61" t="s">
        <v>1884</v>
      </c>
      <c r="B1128" s="62" t="s">
        <v>1883</v>
      </c>
      <c r="C1128" s="63" t="s">
        <v>2139</v>
      </c>
      <c r="D1128" s="79" t="s">
        <v>1177</v>
      </c>
      <c r="E1128" s="63" t="s">
        <v>674</v>
      </c>
      <c r="F1128" s="63" t="s">
        <v>2143</v>
      </c>
      <c r="G1128" s="79" t="s">
        <v>170</v>
      </c>
      <c r="H1128" s="79" t="s">
        <v>656</v>
      </c>
      <c r="I1128" s="63"/>
      <c r="J1128" s="64" t="s">
        <v>708</v>
      </c>
      <c r="K1128" s="64" t="str">
        <f t="shared" si="34"/>
        <v>_</v>
      </c>
      <c r="L1128" s="120">
        <f>ROUND(Tableau18[[#This Row],[LEN]]*7.27,0)</f>
        <v>313</v>
      </c>
      <c r="M1128" s="120">
        <v>15</v>
      </c>
      <c r="N1128" s="137" t="str">
        <f t="shared" si="35"/>
        <v>_self</v>
      </c>
      <c r="O1128" s="120">
        <f>LEN(Tableau18[[#This Row],[LABEL]])</f>
        <v>43</v>
      </c>
      <c r="P1128" s="120">
        <v>15</v>
      </c>
      <c r="Q1128" s="120" t="e">
        <f>ROUND(Tableau18[[#This Row],[LEN]]*#REF!+#REF!,0)</f>
        <v>#REF!</v>
      </c>
    </row>
    <row r="1129" spans="1:17" s="97" customFormat="1" x14ac:dyDescent="0.25">
      <c r="A1129" s="61" t="s">
        <v>1885</v>
      </c>
      <c r="B1129" s="62" t="s">
        <v>1883</v>
      </c>
      <c r="C1129" s="63" t="s">
        <v>2140</v>
      </c>
      <c r="D1129" s="79" t="s">
        <v>1177</v>
      </c>
      <c r="E1129" s="63" t="s">
        <v>674</v>
      </c>
      <c r="F1129" s="63" t="s">
        <v>674</v>
      </c>
      <c r="G1129" s="79" t="s">
        <v>170</v>
      </c>
      <c r="H1129" s="79" t="s">
        <v>656</v>
      </c>
      <c r="I1129" s="63"/>
      <c r="J1129" s="64" t="s">
        <v>708</v>
      </c>
      <c r="K1129" s="64" t="str">
        <f t="shared" si="34"/>
        <v>_</v>
      </c>
      <c r="L1129" s="120">
        <f>ROUND(Tableau18[[#This Row],[LEN]]*7.27,0)</f>
        <v>494</v>
      </c>
      <c r="M1129" s="120">
        <v>15</v>
      </c>
      <c r="N1129" s="137" t="str">
        <f t="shared" si="35"/>
        <v>_self</v>
      </c>
      <c r="O1129" s="120">
        <f>LEN(Tableau18[[#This Row],[LABEL]])</f>
        <v>68</v>
      </c>
      <c r="P1129" s="120">
        <v>15</v>
      </c>
      <c r="Q1129" s="120" t="e">
        <f>ROUND(Tableau18[[#This Row],[LEN]]*#REF!+#REF!,0)</f>
        <v>#REF!</v>
      </c>
    </row>
    <row r="1130" spans="1:17" s="97" customFormat="1" x14ac:dyDescent="0.25">
      <c r="A1130" s="61" t="s">
        <v>2137</v>
      </c>
      <c r="B1130" s="62" t="s">
        <v>1883</v>
      </c>
      <c r="C1130" s="63" t="s">
        <v>2141</v>
      </c>
      <c r="D1130" s="79" t="s">
        <v>1177</v>
      </c>
      <c r="E1130" s="63" t="s">
        <v>674</v>
      </c>
      <c r="F1130" s="63" t="s">
        <v>2144</v>
      </c>
      <c r="G1130" s="79" t="s">
        <v>170</v>
      </c>
      <c r="H1130" s="79" t="s">
        <v>656</v>
      </c>
      <c r="I1130" s="63"/>
      <c r="J1130" s="64" t="s">
        <v>708</v>
      </c>
      <c r="K1130" s="64" t="str">
        <f t="shared" si="34"/>
        <v>_</v>
      </c>
      <c r="L1130" s="120">
        <f>ROUND(Tableau18[[#This Row],[LEN]]*7.27,0)</f>
        <v>291</v>
      </c>
      <c r="M1130" s="120">
        <v>15</v>
      </c>
      <c r="N1130" s="137" t="str">
        <f t="shared" si="35"/>
        <v>_self</v>
      </c>
      <c r="O1130" s="120">
        <f>LEN(Tableau18[[#This Row],[LABEL]])</f>
        <v>40</v>
      </c>
      <c r="P1130" s="120">
        <v>15</v>
      </c>
      <c r="Q1130" s="120" t="e">
        <f>ROUND(Tableau18[[#This Row],[LEN]]*#REF!+#REF!,0)</f>
        <v>#REF!</v>
      </c>
    </row>
    <row r="1131" spans="1:17" s="97" customFormat="1" x14ac:dyDescent="0.25">
      <c r="A1131" s="61" t="s">
        <v>2138</v>
      </c>
      <c r="B1131" s="62" t="s">
        <v>1883</v>
      </c>
      <c r="C1131" s="63" t="s">
        <v>2142</v>
      </c>
      <c r="D1131" s="79" t="s">
        <v>1177</v>
      </c>
      <c r="E1131" s="63" t="s">
        <v>674</v>
      </c>
      <c r="F1131" s="63" t="s">
        <v>2145</v>
      </c>
      <c r="G1131" s="79" t="s">
        <v>170</v>
      </c>
      <c r="H1131" s="79" t="s">
        <v>656</v>
      </c>
      <c r="I1131" s="63"/>
      <c r="J1131" s="64" t="s">
        <v>708</v>
      </c>
      <c r="K1131" s="64" t="str">
        <f t="shared" si="34"/>
        <v>_</v>
      </c>
      <c r="L1131" s="120">
        <f>ROUND(Tableau18[[#This Row],[LEN]]*7.27,0)</f>
        <v>334</v>
      </c>
      <c r="M1131" s="120">
        <v>15</v>
      </c>
      <c r="N1131" s="137" t="str">
        <f t="shared" si="35"/>
        <v>_self</v>
      </c>
      <c r="O1131" s="120">
        <f>LEN(Tableau18[[#This Row],[LABEL]])</f>
        <v>46</v>
      </c>
      <c r="P1131" s="120">
        <v>15</v>
      </c>
      <c r="Q1131" s="120" t="e">
        <f>ROUND(Tableau18[[#This Row],[LEN]]*#REF!+#REF!,0)</f>
        <v>#REF!</v>
      </c>
    </row>
    <row r="1132" spans="1:17" s="97" customFormat="1" x14ac:dyDescent="0.25">
      <c r="A1132" s="61" t="s">
        <v>2135</v>
      </c>
      <c r="B1132" s="62" t="s">
        <v>332</v>
      </c>
      <c r="C1132" s="63" t="s">
        <v>50</v>
      </c>
      <c r="D1132" s="79" t="s">
        <v>1177</v>
      </c>
      <c r="E1132" s="63" t="s">
        <v>1177</v>
      </c>
      <c r="F1132" s="63" t="s">
        <v>1084</v>
      </c>
      <c r="G1132" s="79" t="s">
        <v>1978</v>
      </c>
      <c r="H1132" s="79" t="s">
        <v>1131</v>
      </c>
      <c r="I1132" s="63"/>
      <c r="J1132" s="64" t="s">
        <v>708</v>
      </c>
      <c r="K1132" s="64" t="str">
        <f t="shared" si="34"/>
        <v>_</v>
      </c>
      <c r="L1132" s="120">
        <f>ROUND(Tableau18[[#This Row],[LEN]]*7.27,0)</f>
        <v>87</v>
      </c>
      <c r="M1132" s="120">
        <v>15</v>
      </c>
      <c r="N1132" s="137" t="str">
        <f t="shared" si="35"/>
        <v>_self</v>
      </c>
      <c r="O1132" s="120">
        <f>LEN(Tableau18[[#This Row],[LABEL]])</f>
        <v>12</v>
      </c>
      <c r="P1132" s="120">
        <v>15</v>
      </c>
      <c r="Q1132" s="120" t="e">
        <f>ROUND(Tableau18[[#This Row],[LEN]]*#REF!+#REF!,0)</f>
        <v>#REF!</v>
      </c>
    </row>
    <row r="1133" spans="1:17" s="97" customFormat="1" x14ac:dyDescent="0.25">
      <c r="A1133" s="61" t="s">
        <v>2136</v>
      </c>
      <c r="B1133" s="62" t="s">
        <v>332</v>
      </c>
      <c r="C1133" s="63" t="s">
        <v>603</v>
      </c>
      <c r="D1133" s="79" t="s">
        <v>1177</v>
      </c>
      <c r="E1133" s="63" t="s">
        <v>1177</v>
      </c>
      <c r="F1133" s="63" t="s">
        <v>1084</v>
      </c>
      <c r="G1133" s="79" t="s">
        <v>1977</v>
      </c>
      <c r="H1133" s="79" t="s">
        <v>1131</v>
      </c>
      <c r="I1133" s="63"/>
      <c r="J1133" s="64" t="s">
        <v>708</v>
      </c>
      <c r="K1133" s="64" t="str">
        <f t="shared" si="34"/>
        <v>_</v>
      </c>
      <c r="L1133" s="120">
        <f>ROUND(Tableau18[[#This Row],[LEN]]*7.27,0)</f>
        <v>247</v>
      </c>
      <c r="M1133" s="120">
        <v>15</v>
      </c>
      <c r="N1133" s="137" t="str">
        <f t="shared" si="35"/>
        <v>_self</v>
      </c>
      <c r="O1133" s="120">
        <f>LEN(Tableau18[[#This Row],[LABEL]])</f>
        <v>34</v>
      </c>
      <c r="P1133" s="120">
        <v>15</v>
      </c>
      <c r="Q1133" s="120" t="e">
        <f>ROUND(Tableau18[[#This Row],[LEN]]*#REF!+#REF!,0)</f>
        <v>#REF!</v>
      </c>
    </row>
    <row r="1134" spans="1:17" s="273" customFormat="1" x14ac:dyDescent="0.25">
      <c r="A1134" s="372" t="s">
        <v>333</v>
      </c>
      <c r="B1134" s="373" t="s">
        <v>210</v>
      </c>
      <c r="C1134" s="374" t="s">
        <v>12</v>
      </c>
      <c r="D1134" s="375" t="s">
        <v>1177</v>
      </c>
      <c r="E1134" s="374" t="s">
        <v>675</v>
      </c>
      <c r="F1134" s="374" t="s">
        <v>1177</v>
      </c>
      <c r="G1134" s="375" t="s">
        <v>170</v>
      </c>
      <c r="H1134" s="375" t="str">
        <f>IFERROR(IF(SEARCH(".00.00.00.00.00",Tableau18[[#This Row],[name]],1)=7,"Division",""),"")</f>
        <v>Division</v>
      </c>
      <c r="I1134" s="374"/>
      <c r="J1134" s="376" t="s">
        <v>721</v>
      </c>
      <c r="K1134" s="376" t="str">
        <f t="shared" si="34"/>
        <v>Documentation</v>
      </c>
      <c r="L1134" s="377">
        <f>ROUND(Tableau18[[#This Row],[LEN]]*7.27,0)</f>
        <v>15</v>
      </c>
      <c r="M1134" s="377">
        <v>15</v>
      </c>
      <c r="N1134" s="378" t="str">
        <f t="shared" si="35"/>
        <v>_blank</v>
      </c>
      <c r="O1134" s="377">
        <f>LEN(Tableau18[[#This Row],[LABEL]])</f>
        <v>2</v>
      </c>
      <c r="P1134" s="377">
        <v>15</v>
      </c>
      <c r="Q1134" s="377" t="e">
        <f>ROUND(Tableau18[[#This Row],[LEN]]*#REF!+#REF!,0)</f>
        <v>#REF!</v>
      </c>
    </row>
    <row r="1135" spans="1:17" s="97" customFormat="1" x14ac:dyDescent="0.25">
      <c r="A1135" s="61" t="s">
        <v>1898</v>
      </c>
      <c r="B1135" s="62" t="s">
        <v>333</v>
      </c>
      <c r="C1135" s="63" t="s">
        <v>1897</v>
      </c>
      <c r="D1135" s="79" t="s">
        <v>1177</v>
      </c>
      <c r="E1135" s="63" t="s">
        <v>675</v>
      </c>
      <c r="F1135" s="63" t="s">
        <v>1177</v>
      </c>
      <c r="G1135" s="79" t="s">
        <v>170</v>
      </c>
      <c r="H1135" s="79" t="s">
        <v>656</v>
      </c>
      <c r="I1135" s="63"/>
      <c r="J1135" s="64" t="s">
        <v>708</v>
      </c>
      <c r="K1135" s="64" t="str">
        <f t="shared" si="34"/>
        <v>_</v>
      </c>
      <c r="L1135" s="120">
        <f>ROUND(Tableau18[[#This Row],[LEN]]*7.27,0)</f>
        <v>465</v>
      </c>
      <c r="M1135" s="120">
        <v>15</v>
      </c>
      <c r="N1135" s="137" t="str">
        <f t="shared" si="35"/>
        <v>_self</v>
      </c>
      <c r="O1135" s="120">
        <f>LEN(Tableau18[[#This Row],[LABEL]])</f>
        <v>64</v>
      </c>
      <c r="P1135" s="120">
        <v>15</v>
      </c>
      <c r="Q1135" s="120" t="e">
        <f>ROUND(Tableau18[[#This Row],[LEN]]*#REF!+#REF!,0)</f>
        <v>#REF!</v>
      </c>
    </row>
    <row r="1136" spans="1:17" s="97" customFormat="1" x14ac:dyDescent="0.25">
      <c r="A1136" s="61" t="s">
        <v>1899</v>
      </c>
      <c r="B1136" s="62" t="s">
        <v>333</v>
      </c>
      <c r="C1136" s="63" t="s">
        <v>602</v>
      </c>
      <c r="D1136" s="79" t="s">
        <v>1177</v>
      </c>
      <c r="E1136" s="63" t="s">
        <v>661</v>
      </c>
      <c r="F1136" s="63" t="s">
        <v>1874</v>
      </c>
      <c r="G1136" s="79" t="s">
        <v>170</v>
      </c>
      <c r="H1136" s="79" t="s">
        <v>656</v>
      </c>
      <c r="I1136" s="63"/>
      <c r="J1136" s="64" t="s">
        <v>708</v>
      </c>
      <c r="K1136" s="64" t="str">
        <f t="shared" si="34"/>
        <v>_</v>
      </c>
      <c r="L1136" s="120">
        <f>ROUND(Tableau18[[#This Row],[LEN]]*7.27,0)</f>
        <v>553</v>
      </c>
      <c r="M1136" s="120">
        <v>15</v>
      </c>
      <c r="N1136" s="137" t="str">
        <f t="shared" si="35"/>
        <v>_self</v>
      </c>
      <c r="O1136" s="120">
        <f>LEN(Tableau18[[#This Row],[LABEL]])</f>
        <v>76</v>
      </c>
      <c r="P1136" s="120">
        <v>15</v>
      </c>
      <c r="Q1136" s="120" t="e">
        <f>ROUND(Tableau18[[#This Row],[LEN]]*#REF!+#REF!,0)</f>
        <v>#REF!</v>
      </c>
    </row>
    <row r="1137" spans="1:17" s="97" customFormat="1" x14ac:dyDescent="0.25">
      <c r="A1137" s="61" t="s">
        <v>1900</v>
      </c>
      <c r="B1137" s="62" t="s">
        <v>333</v>
      </c>
      <c r="C1137" s="63" t="s">
        <v>50</v>
      </c>
      <c r="D1137" s="79" t="s">
        <v>1177</v>
      </c>
      <c r="E1137" s="63" t="s">
        <v>1177</v>
      </c>
      <c r="F1137" s="63" t="s">
        <v>1084</v>
      </c>
      <c r="G1137" s="79" t="s">
        <v>1978</v>
      </c>
      <c r="H1137" s="79" t="s">
        <v>1131</v>
      </c>
      <c r="I1137" s="63"/>
      <c r="J1137" s="64" t="s">
        <v>708</v>
      </c>
      <c r="K1137" s="64" t="str">
        <f t="shared" si="34"/>
        <v>_</v>
      </c>
      <c r="L1137" s="120">
        <f>ROUND(Tableau18[[#This Row],[LEN]]*7.27,0)</f>
        <v>87</v>
      </c>
      <c r="M1137" s="120">
        <v>15</v>
      </c>
      <c r="N1137" s="137" t="str">
        <f t="shared" si="35"/>
        <v>_self</v>
      </c>
      <c r="O1137" s="120">
        <f>LEN(Tableau18[[#This Row],[LABEL]])</f>
        <v>12</v>
      </c>
      <c r="P1137" s="120">
        <v>15</v>
      </c>
      <c r="Q1137" s="120" t="e">
        <f>ROUND(Tableau18[[#This Row],[LEN]]*#REF!+#REF!,0)</f>
        <v>#REF!</v>
      </c>
    </row>
    <row r="1138" spans="1:17" s="97" customFormat="1" x14ac:dyDescent="0.25">
      <c r="A1138" s="61" t="s">
        <v>1901</v>
      </c>
      <c r="B1138" s="62" t="s">
        <v>333</v>
      </c>
      <c r="C1138" s="63" t="s">
        <v>603</v>
      </c>
      <c r="D1138" s="79" t="s">
        <v>1177</v>
      </c>
      <c r="E1138" s="63" t="s">
        <v>1177</v>
      </c>
      <c r="F1138" s="63" t="s">
        <v>1084</v>
      </c>
      <c r="G1138" s="79" t="s">
        <v>1977</v>
      </c>
      <c r="H1138" s="79" t="s">
        <v>1131</v>
      </c>
      <c r="I1138" s="63"/>
      <c r="J1138" s="64" t="s">
        <v>708</v>
      </c>
      <c r="K1138" s="64" t="str">
        <f t="shared" si="34"/>
        <v>_</v>
      </c>
      <c r="L1138" s="120">
        <f>ROUND(Tableau18[[#This Row],[LEN]]*7.27,0)</f>
        <v>247</v>
      </c>
      <c r="M1138" s="120">
        <v>15</v>
      </c>
      <c r="N1138" s="137" t="str">
        <f t="shared" si="35"/>
        <v>_self</v>
      </c>
      <c r="O1138" s="120">
        <f>LEN(Tableau18[[#This Row],[LABEL]])</f>
        <v>34</v>
      </c>
      <c r="P1138" s="120">
        <v>15</v>
      </c>
      <c r="Q1138" s="120" t="e">
        <f>ROUND(Tableau18[[#This Row],[LEN]]*#REF!+#REF!,0)</f>
        <v>#REF!</v>
      </c>
    </row>
    <row r="1139" spans="1:17" s="273" customFormat="1" x14ac:dyDescent="0.25">
      <c r="A1139" s="372" t="s">
        <v>334</v>
      </c>
      <c r="B1139" s="373" t="s">
        <v>210</v>
      </c>
      <c r="C1139" s="374" t="s">
        <v>71</v>
      </c>
      <c r="D1139" s="375" t="s">
        <v>1177</v>
      </c>
      <c r="E1139" s="374" t="s">
        <v>676</v>
      </c>
      <c r="F1139" s="374" t="s">
        <v>1177</v>
      </c>
      <c r="G1139" s="375" t="s">
        <v>170</v>
      </c>
      <c r="H1139" s="375" t="str">
        <f>IFERROR(IF(SEARCH(".00.00.00.00.00",Tableau18[[#This Row],[name]],1)=7,"Division",""),"")</f>
        <v>Division</v>
      </c>
      <c r="I1139" s="374"/>
      <c r="J1139" s="376" t="s">
        <v>722</v>
      </c>
      <c r="K1139" s="376" t="str">
        <f t="shared" si="34"/>
        <v>Documentation</v>
      </c>
      <c r="L1139" s="377">
        <f>ROUND(Tableau18[[#This Row],[LEN]]*7.27,0)</f>
        <v>29</v>
      </c>
      <c r="M1139" s="377">
        <v>15</v>
      </c>
      <c r="N1139" s="378" t="str">
        <f t="shared" si="35"/>
        <v>_blank</v>
      </c>
      <c r="O1139" s="377">
        <f>LEN(Tableau18[[#This Row],[LABEL]])</f>
        <v>4</v>
      </c>
      <c r="P1139" s="377">
        <v>15</v>
      </c>
      <c r="Q1139" s="377" t="e">
        <f>ROUND(Tableau18[[#This Row],[LEN]]*#REF!+#REF!,0)</f>
        <v>#REF!</v>
      </c>
    </row>
    <row r="1140" spans="1:17" s="97" customFormat="1" x14ac:dyDescent="0.25">
      <c r="A1140" s="61" t="s">
        <v>1902</v>
      </c>
      <c r="B1140" s="62" t="s">
        <v>334</v>
      </c>
      <c r="C1140" s="63" t="s">
        <v>1906</v>
      </c>
      <c r="D1140" s="79" t="s">
        <v>1908</v>
      </c>
      <c r="E1140" s="63" t="s">
        <v>676</v>
      </c>
      <c r="F1140" s="63" t="s">
        <v>1907</v>
      </c>
      <c r="G1140" s="79" t="s">
        <v>170</v>
      </c>
      <c r="H1140" s="79" t="s">
        <v>656</v>
      </c>
      <c r="I1140" s="63"/>
      <c r="J1140" s="64" t="s">
        <v>708</v>
      </c>
      <c r="K1140" s="64" t="str">
        <f t="shared" si="34"/>
        <v>_</v>
      </c>
      <c r="L1140" s="120">
        <f>ROUND(Tableau18[[#This Row],[LEN]]*7.27,0)</f>
        <v>240</v>
      </c>
      <c r="M1140" s="120">
        <v>15</v>
      </c>
      <c r="N1140" s="137" t="str">
        <f t="shared" si="35"/>
        <v>_self</v>
      </c>
      <c r="O1140" s="120">
        <f>LEN(Tableau18[[#This Row],[LABEL]])</f>
        <v>33</v>
      </c>
      <c r="P1140" s="120">
        <v>15</v>
      </c>
      <c r="Q1140" s="120" t="e">
        <f>ROUND(Tableau18[[#This Row],[LEN]]*#REF!+#REF!,0)</f>
        <v>#REF!</v>
      </c>
    </row>
    <row r="1141" spans="1:17" s="97" customFormat="1" x14ac:dyDescent="0.25">
      <c r="A1141" s="61" t="s">
        <v>1903</v>
      </c>
      <c r="B1141" s="62" t="s">
        <v>334</v>
      </c>
      <c r="C1141" s="63" t="s">
        <v>602</v>
      </c>
      <c r="D1141" s="79" t="s">
        <v>1177</v>
      </c>
      <c r="E1141" s="63" t="s">
        <v>661</v>
      </c>
      <c r="F1141" s="63" t="s">
        <v>1874</v>
      </c>
      <c r="G1141" s="79" t="s">
        <v>170</v>
      </c>
      <c r="H1141" s="79" t="s">
        <v>656</v>
      </c>
      <c r="I1141" s="63"/>
      <c r="J1141" s="64" t="s">
        <v>708</v>
      </c>
      <c r="K1141" s="64" t="str">
        <f t="shared" si="34"/>
        <v>_</v>
      </c>
      <c r="L1141" s="120">
        <f>ROUND(Tableau18[[#This Row],[LEN]]*7.27,0)</f>
        <v>553</v>
      </c>
      <c r="M1141" s="120">
        <v>15</v>
      </c>
      <c r="N1141" s="137" t="str">
        <f t="shared" si="35"/>
        <v>_self</v>
      </c>
      <c r="O1141" s="120">
        <f>LEN(Tableau18[[#This Row],[LABEL]])</f>
        <v>76</v>
      </c>
      <c r="P1141" s="120">
        <v>15</v>
      </c>
      <c r="Q1141" s="120" t="e">
        <f>ROUND(Tableau18[[#This Row],[LEN]]*#REF!+#REF!,0)</f>
        <v>#REF!</v>
      </c>
    </row>
    <row r="1142" spans="1:17" s="97" customFormat="1" x14ac:dyDescent="0.25">
      <c r="A1142" s="61" t="s">
        <v>1904</v>
      </c>
      <c r="B1142" s="62" t="s">
        <v>334</v>
      </c>
      <c r="C1142" s="63" t="s">
        <v>50</v>
      </c>
      <c r="D1142" s="79" t="s">
        <v>1177</v>
      </c>
      <c r="E1142" s="63" t="s">
        <v>1177</v>
      </c>
      <c r="F1142" s="63" t="s">
        <v>1084</v>
      </c>
      <c r="G1142" s="79" t="s">
        <v>1978</v>
      </c>
      <c r="H1142" s="79" t="s">
        <v>1131</v>
      </c>
      <c r="I1142" s="63"/>
      <c r="J1142" s="64" t="s">
        <v>708</v>
      </c>
      <c r="K1142" s="64" t="str">
        <f t="shared" si="34"/>
        <v>_</v>
      </c>
      <c r="L1142" s="120">
        <f>ROUND(Tableau18[[#This Row],[LEN]]*7.27,0)</f>
        <v>87</v>
      </c>
      <c r="M1142" s="120">
        <v>15</v>
      </c>
      <c r="N1142" s="137" t="str">
        <f t="shared" si="35"/>
        <v>_self</v>
      </c>
      <c r="O1142" s="120">
        <f>LEN(Tableau18[[#This Row],[LABEL]])</f>
        <v>12</v>
      </c>
      <c r="P1142" s="120">
        <v>15</v>
      </c>
      <c r="Q1142" s="120" t="e">
        <f>ROUND(Tableau18[[#This Row],[LEN]]*#REF!+#REF!,0)</f>
        <v>#REF!</v>
      </c>
    </row>
    <row r="1143" spans="1:17" s="97" customFormat="1" x14ac:dyDescent="0.25">
      <c r="A1143" s="61" t="s">
        <v>1905</v>
      </c>
      <c r="B1143" s="62" t="s">
        <v>334</v>
      </c>
      <c r="C1143" s="63" t="s">
        <v>603</v>
      </c>
      <c r="D1143" s="79" t="s">
        <v>1177</v>
      </c>
      <c r="E1143" s="63" t="s">
        <v>1177</v>
      </c>
      <c r="F1143" s="63" t="s">
        <v>1084</v>
      </c>
      <c r="G1143" s="79" t="s">
        <v>1977</v>
      </c>
      <c r="H1143" s="79" t="s">
        <v>1131</v>
      </c>
      <c r="I1143" s="63"/>
      <c r="J1143" s="64" t="s">
        <v>708</v>
      </c>
      <c r="K1143" s="64" t="str">
        <f t="shared" si="34"/>
        <v>_</v>
      </c>
      <c r="L1143" s="120">
        <f>ROUND(Tableau18[[#This Row],[LEN]]*7.27,0)</f>
        <v>247</v>
      </c>
      <c r="M1143" s="120">
        <v>15</v>
      </c>
      <c r="N1143" s="137" t="str">
        <f t="shared" si="35"/>
        <v>_self</v>
      </c>
      <c r="O1143" s="120">
        <f>LEN(Tableau18[[#This Row],[LABEL]])</f>
        <v>34</v>
      </c>
      <c r="P1143" s="120">
        <v>15</v>
      </c>
      <c r="Q1143" s="120" t="e">
        <f>ROUND(Tableau18[[#This Row],[LEN]]*#REF!+#REF!,0)</f>
        <v>#REF!</v>
      </c>
    </row>
    <row r="1144" spans="1:17" s="273" customFormat="1" x14ac:dyDescent="0.25">
      <c r="A1144" s="372" t="s">
        <v>335</v>
      </c>
      <c r="B1144" s="373" t="s">
        <v>210</v>
      </c>
      <c r="C1144" s="374" t="s">
        <v>13</v>
      </c>
      <c r="D1144" s="375" t="s">
        <v>1177</v>
      </c>
      <c r="E1144" s="374" t="s">
        <v>677</v>
      </c>
      <c r="F1144" s="374" t="s">
        <v>1177</v>
      </c>
      <c r="G1144" s="375" t="s">
        <v>170</v>
      </c>
      <c r="H1144" s="375" t="str">
        <f>IFERROR(IF(SEARCH(".00.00.00.00.00",Tableau18[[#This Row],[name]],1)=7,"Division",""),"")</f>
        <v>Division</v>
      </c>
      <c r="I1144" s="374"/>
      <c r="J1144" s="376" t="s">
        <v>708</v>
      </c>
      <c r="K1144" s="376" t="str">
        <f t="shared" si="34"/>
        <v>_</v>
      </c>
      <c r="L1144" s="377">
        <f>ROUND(Tableau18[[#This Row],[LEN]]*7.27,0)</f>
        <v>80</v>
      </c>
      <c r="M1144" s="377">
        <v>15</v>
      </c>
      <c r="N1144" s="378" t="str">
        <f t="shared" si="35"/>
        <v>_self</v>
      </c>
      <c r="O1144" s="377">
        <f>LEN(Tableau18[[#This Row],[LABEL]])</f>
        <v>11</v>
      </c>
      <c r="P1144" s="377">
        <v>15</v>
      </c>
      <c r="Q1144" s="377" t="e">
        <f>ROUND(Tableau18[[#This Row],[LEN]]*#REF!+#REF!,0)</f>
        <v>#REF!</v>
      </c>
    </row>
    <row r="1145" spans="1:17" s="97" customFormat="1" x14ac:dyDescent="0.25">
      <c r="A1145" s="61" t="s">
        <v>1909</v>
      </c>
      <c r="B1145" s="62" t="s">
        <v>335</v>
      </c>
      <c r="C1145" s="63" t="s">
        <v>602</v>
      </c>
      <c r="D1145" s="79" t="s">
        <v>1177</v>
      </c>
      <c r="E1145" s="63" t="s">
        <v>661</v>
      </c>
      <c r="F1145" s="63" t="s">
        <v>1874</v>
      </c>
      <c r="G1145" s="79" t="s">
        <v>170</v>
      </c>
      <c r="H1145" s="79" t="s">
        <v>656</v>
      </c>
      <c r="I1145" s="63"/>
      <c r="J1145" s="64" t="s">
        <v>708</v>
      </c>
      <c r="K1145" s="64" t="str">
        <f t="shared" si="34"/>
        <v>_</v>
      </c>
      <c r="L1145" s="120">
        <f>ROUND(Tableau18[[#This Row],[LEN]]*7.27,0)</f>
        <v>553</v>
      </c>
      <c r="M1145" s="120">
        <v>15</v>
      </c>
      <c r="N1145" s="137" t="str">
        <f t="shared" si="35"/>
        <v>_self</v>
      </c>
      <c r="O1145" s="120">
        <f>LEN(Tableau18[[#This Row],[LABEL]])</f>
        <v>76</v>
      </c>
      <c r="P1145" s="120">
        <v>15</v>
      </c>
      <c r="Q1145" s="120" t="e">
        <f>ROUND(Tableau18[[#This Row],[LEN]]*#REF!+#REF!,0)</f>
        <v>#REF!</v>
      </c>
    </row>
    <row r="1146" spans="1:17" s="97" customFormat="1" x14ac:dyDescent="0.25">
      <c r="A1146" s="61" t="s">
        <v>1910</v>
      </c>
      <c r="B1146" s="62" t="s">
        <v>335</v>
      </c>
      <c r="C1146" s="63" t="s">
        <v>50</v>
      </c>
      <c r="D1146" s="79" t="s">
        <v>1177</v>
      </c>
      <c r="E1146" s="63" t="s">
        <v>1177</v>
      </c>
      <c r="F1146" s="63" t="s">
        <v>1084</v>
      </c>
      <c r="G1146" s="79" t="s">
        <v>1978</v>
      </c>
      <c r="H1146" s="79" t="s">
        <v>1131</v>
      </c>
      <c r="I1146" s="63"/>
      <c r="J1146" s="64" t="s">
        <v>708</v>
      </c>
      <c r="K1146" s="64" t="str">
        <f t="shared" si="34"/>
        <v>_</v>
      </c>
      <c r="L1146" s="120">
        <f>ROUND(Tableau18[[#This Row],[LEN]]*7.27,0)</f>
        <v>87</v>
      </c>
      <c r="M1146" s="120">
        <v>15</v>
      </c>
      <c r="N1146" s="137" t="str">
        <f t="shared" si="35"/>
        <v>_self</v>
      </c>
      <c r="O1146" s="120">
        <f>LEN(Tableau18[[#This Row],[LABEL]])</f>
        <v>12</v>
      </c>
      <c r="P1146" s="120">
        <v>15</v>
      </c>
      <c r="Q1146" s="120" t="e">
        <f>ROUND(Tableau18[[#This Row],[LEN]]*#REF!+#REF!,0)</f>
        <v>#REF!</v>
      </c>
    </row>
    <row r="1147" spans="1:17" s="97" customFormat="1" x14ac:dyDescent="0.25">
      <c r="A1147" s="61" t="s">
        <v>1911</v>
      </c>
      <c r="B1147" s="62" t="s">
        <v>335</v>
      </c>
      <c r="C1147" s="63" t="s">
        <v>603</v>
      </c>
      <c r="D1147" s="79" t="s">
        <v>1177</v>
      </c>
      <c r="E1147" s="63" t="s">
        <v>1177</v>
      </c>
      <c r="F1147" s="63" t="s">
        <v>1084</v>
      </c>
      <c r="G1147" s="79" t="s">
        <v>1977</v>
      </c>
      <c r="H1147" s="79" t="s">
        <v>1131</v>
      </c>
      <c r="I1147" s="63"/>
      <c r="J1147" s="64" t="s">
        <v>708</v>
      </c>
      <c r="K1147" s="64" t="str">
        <f t="shared" si="34"/>
        <v>_</v>
      </c>
      <c r="L1147" s="120">
        <f>ROUND(Tableau18[[#This Row],[LEN]]*7.27,0)</f>
        <v>247</v>
      </c>
      <c r="M1147" s="120">
        <v>15</v>
      </c>
      <c r="N1147" s="137" t="str">
        <f t="shared" si="35"/>
        <v>_self</v>
      </c>
      <c r="O1147" s="120">
        <f>LEN(Tableau18[[#This Row],[LABEL]])</f>
        <v>34</v>
      </c>
      <c r="P1147" s="120">
        <v>15</v>
      </c>
      <c r="Q1147" s="120" t="e">
        <f>ROUND(Tableau18[[#This Row],[LEN]]*#REF!+#REF!,0)</f>
        <v>#REF!</v>
      </c>
    </row>
    <row r="1148" spans="1:17" s="273" customFormat="1" x14ac:dyDescent="0.25">
      <c r="A1148" s="372" t="s">
        <v>336</v>
      </c>
      <c r="B1148" s="373" t="s">
        <v>210</v>
      </c>
      <c r="C1148" s="374" t="s">
        <v>14</v>
      </c>
      <c r="D1148" s="375" t="s">
        <v>1177</v>
      </c>
      <c r="E1148" s="374" t="s">
        <v>678</v>
      </c>
      <c r="F1148" s="374" t="s">
        <v>1177</v>
      </c>
      <c r="G1148" s="375" t="s">
        <v>170</v>
      </c>
      <c r="H1148" s="375" t="str">
        <f>IFERROR(IF(SEARCH(".00.00.00.00.00",Tableau18[[#This Row],[name]],1)=7,"Division",""),"")</f>
        <v>Division</v>
      </c>
      <c r="I1148" s="374"/>
      <c r="J1148" s="376" t="s">
        <v>724</v>
      </c>
      <c r="K1148" s="376" t="str">
        <f t="shared" si="34"/>
        <v>Documentation</v>
      </c>
      <c r="L1148" s="377">
        <f>ROUND(Tableau18[[#This Row],[LEN]]*7.27,0)</f>
        <v>240</v>
      </c>
      <c r="M1148" s="377">
        <v>15</v>
      </c>
      <c r="N1148" s="378" t="str">
        <f t="shared" si="35"/>
        <v>_blank</v>
      </c>
      <c r="O1148" s="377">
        <f>LEN(Tableau18[[#This Row],[LABEL]])</f>
        <v>33</v>
      </c>
      <c r="P1148" s="377">
        <v>15</v>
      </c>
      <c r="Q1148" s="377" t="e">
        <f>ROUND(Tableau18[[#This Row],[LEN]]*#REF!+#REF!,0)</f>
        <v>#REF!</v>
      </c>
    </row>
    <row r="1149" spans="1:17" s="97" customFormat="1" x14ac:dyDescent="0.25">
      <c r="A1149" s="61" t="s">
        <v>1912</v>
      </c>
      <c r="B1149" s="62" t="s">
        <v>336</v>
      </c>
      <c r="C1149" s="63" t="s">
        <v>1917</v>
      </c>
      <c r="D1149" s="79" t="s">
        <v>1177</v>
      </c>
      <c r="E1149" s="63" t="s">
        <v>678</v>
      </c>
      <c r="F1149" s="63" t="s">
        <v>1177</v>
      </c>
      <c r="G1149" s="79" t="s">
        <v>170</v>
      </c>
      <c r="H1149" s="79" t="s">
        <v>654</v>
      </c>
      <c r="I1149" s="63"/>
      <c r="J1149" s="64" t="s">
        <v>708</v>
      </c>
      <c r="K1149" s="64" t="str">
        <f t="shared" si="34"/>
        <v>_</v>
      </c>
      <c r="L1149" s="120">
        <f>ROUND(Tableau18[[#This Row],[LEN]]*7.27,0)</f>
        <v>211</v>
      </c>
      <c r="M1149" s="120">
        <v>15</v>
      </c>
      <c r="N1149" s="137" t="str">
        <f t="shared" si="35"/>
        <v>_self</v>
      </c>
      <c r="O1149" s="120">
        <f>LEN(Tableau18[[#This Row],[LABEL]])</f>
        <v>29</v>
      </c>
      <c r="P1149" s="120">
        <v>15</v>
      </c>
      <c r="Q1149" s="120" t="e">
        <f>ROUND(Tableau18[[#This Row],[LEN]]*#REF!+#REF!,0)</f>
        <v>#REF!</v>
      </c>
    </row>
    <row r="1150" spans="1:17" s="97" customFormat="1" x14ac:dyDescent="0.25">
      <c r="A1150" s="61" t="s">
        <v>1913</v>
      </c>
      <c r="B1150" s="62" t="s">
        <v>336</v>
      </c>
      <c r="C1150" s="63" t="s">
        <v>1918</v>
      </c>
      <c r="D1150" s="79" t="s">
        <v>1177</v>
      </c>
      <c r="E1150" s="63" t="s">
        <v>678</v>
      </c>
      <c r="F1150" s="63" t="s">
        <v>1177</v>
      </c>
      <c r="G1150" s="79" t="s">
        <v>170</v>
      </c>
      <c r="H1150" s="79" t="s">
        <v>654</v>
      </c>
      <c r="I1150" s="63"/>
      <c r="J1150" s="64" t="s">
        <v>708</v>
      </c>
      <c r="K1150" s="64" t="str">
        <f t="shared" si="34"/>
        <v>_</v>
      </c>
      <c r="L1150" s="120">
        <f>ROUND(Tableau18[[#This Row],[LEN]]*7.27,0)</f>
        <v>189</v>
      </c>
      <c r="M1150" s="120">
        <v>15</v>
      </c>
      <c r="N1150" s="137" t="str">
        <f t="shared" si="35"/>
        <v>_self</v>
      </c>
      <c r="O1150" s="120">
        <f>LEN(Tableau18[[#This Row],[LABEL]])</f>
        <v>26</v>
      </c>
      <c r="P1150" s="120">
        <v>15</v>
      </c>
      <c r="Q1150" s="120" t="e">
        <f>ROUND(Tableau18[[#This Row],[LEN]]*#REF!+#REF!,0)</f>
        <v>#REF!</v>
      </c>
    </row>
    <row r="1151" spans="1:17" s="97" customFormat="1" x14ac:dyDescent="0.25">
      <c r="A1151" s="61" t="s">
        <v>1914</v>
      </c>
      <c r="B1151" s="62" t="s">
        <v>336</v>
      </c>
      <c r="C1151" s="63" t="s">
        <v>602</v>
      </c>
      <c r="D1151" s="79" t="s">
        <v>1177</v>
      </c>
      <c r="E1151" s="63" t="s">
        <v>661</v>
      </c>
      <c r="F1151" s="63" t="s">
        <v>1874</v>
      </c>
      <c r="G1151" s="79" t="s">
        <v>170</v>
      </c>
      <c r="H1151" s="79" t="s">
        <v>656</v>
      </c>
      <c r="I1151" s="63"/>
      <c r="J1151" s="64" t="s">
        <v>708</v>
      </c>
      <c r="K1151" s="64" t="str">
        <f t="shared" si="34"/>
        <v>_</v>
      </c>
      <c r="L1151" s="120">
        <f>ROUND(Tableau18[[#This Row],[LEN]]*7.27,0)</f>
        <v>553</v>
      </c>
      <c r="M1151" s="120">
        <v>15</v>
      </c>
      <c r="N1151" s="137" t="str">
        <f t="shared" si="35"/>
        <v>_self</v>
      </c>
      <c r="O1151" s="120">
        <f>LEN(Tableau18[[#This Row],[LABEL]])</f>
        <v>76</v>
      </c>
      <c r="P1151" s="120">
        <v>15</v>
      </c>
      <c r="Q1151" s="120" t="e">
        <f>ROUND(Tableau18[[#This Row],[LEN]]*#REF!+#REF!,0)</f>
        <v>#REF!</v>
      </c>
    </row>
    <row r="1152" spans="1:17" s="97" customFormat="1" x14ac:dyDescent="0.25">
      <c r="A1152" s="61" t="s">
        <v>1915</v>
      </c>
      <c r="B1152" s="62" t="s">
        <v>336</v>
      </c>
      <c r="C1152" s="63" t="s">
        <v>50</v>
      </c>
      <c r="D1152" s="79" t="s">
        <v>1177</v>
      </c>
      <c r="E1152" s="63" t="s">
        <v>1177</v>
      </c>
      <c r="F1152" s="63" t="s">
        <v>1084</v>
      </c>
      <c r="G1152" s="79" t="s">
        <v>1978</v>
      </c>
      <c r="H1152" s="79" t="s">
        <v>1131</v>
      </c>
      <c r="I1152" s="63"/>
      <c r="J1152" s="64" t="s">
        <v>708</v>
      </c>
      <c r="K1152" s="64" t="str">
        <f t="shared" si="34"/>
        <v>_</v>
      </c>
      <c r="L1152" s="120">
        <f>ROUND(Tableau18[[#This Row],[LEN]]*7.27,0)</f>
        <v>87</v>
      </c>
      <c r="M1152" s="120">
        <v>15</v>
      </c>
      <c r="N1152" s="137" t="str">
        <f t="shared" si="35"/>
        <v>_self</v>
      </c>
      <c r="O1152" s="120">
        <f>LEN(Tableau18[[#This Row],[LABEL]])</f>
        <v>12</v>
      </c>
      <c r="P1152" s="120">
        <v>15</v>
      </c>
      <c r="Q1152" s="120" t="e">
        <f>ROUND(Tableau18[[#This Row],[LEN]]*#REF!+#REF!,0)</f>
        <v>#REF!</v>
      </c>
    </row>
    <row r="1153" spans="1:17" s="97" customFormat="1" x14ac:dyDescent="0.25">
      <c r="A1153" s="61" t="s">
        <v>1916</v>
      </c>
      <c r="B1153" s="62" t="s">
        <v>336</v>
      </c>
      <c r="C1153" s="63" t="s">
        <v>603</v>
      </c>
      <c r="D1153" s="79" t="s">
        <v>1177</v>
      </c>
      <c r="E1153" s="63" t="s">
        <v>1177</v>
      </c>
      <c r="F1153" s="63" t="s">
        <v>1084</v>
      </c>
      <c r="G1153" s="79" t="s">
        <v>1977</v>
      </c>
      <c r="H1153" s="79" t="s">
        <v>1131</v>
      </c>
      <c r="I1153" s="63"/>
      <c r="J1153" s="64" t="s">
        <v>708</v>
      </c>
      <c r="K1153" s="64" t="str">
        <f t="shared" si="34"/>
        <v>_</v>
      </c>
      <c r="L1153" s="120">
        <f>ROUND(Tableau18[[#This Row],[LEN]]*7.27,0)</f>
        <v>247</v>
      </c>
      <c r="M1153" s="120">
        <v>15</v>
      </c>
      <c r="N1153" s="137" t="str">
        <f t="shared" si="35"/>
        <v>_self</v>
      </c>
      <c r="O1153" s="120">
        <f>LEN(Tableau18[[#This Row],[LABEL]])</f>
        <v>34</v>
      </c>
      <c r="P1153" s="120">
        <v>15</v>
      </c>
      <c r="Q1153" s="120" t="e">
        <f>ROUND(Tableau18[[#This Row],[LEN]]*#REF!+#REF!,0)</f>
        <v>#REF!</v>
      </c>
    </row>
    <row r="1154" spans="1:17" s="273" customFormat="1" x14ac:dyDescent="0.25">
      <c r="A1154" s="379" t="s">
        <v>337</v>
      </c>
      <c r="B1154" s="380" t="s">
        <v>210</v>
      </c>
      <c r="C1154" s="381" t="s">
        <v>15</v>
      </c>
      <c r="D1154" s="382" t="s">
        <v>1177</v>
      </c>
      <c r="E1154" s="381" t="s">
        <v>679</v>
      </c>
      <c r="F1154" s="381" t="s">
        <v>1177</v>
      </c>
      <c r="G1154" s="382" t="s">
        <v>170</v>
      </c>
      <c r="H1154" s="382" t="str">
        <f>IFERROR(IF(SEARCH(".00.00.00.00.00",Tableau18[[#This Row],[name]],1)=7,"Division",""),"")</f>
        <v>Division</v>
      </c>
      <c r="I1154" s="381"/>
      <c r="J1154" s="383" t="s">
        <v>708</v>
      </c>
      <c r="K1154" s="383" t="str">
        <f t="shared" ref="K1154:K1197" si="36">IF(J1154="javascript:void(0)","_","Documentation")</f>
        <v>_</v>
      </c>
      <c r="L1154" s="384">
        <f>ROUND(Tableau18[[#This Row],[LEN]]*7.27,0)</f>
        <v>174</v>
      </c>
      <c r="M1154" s="384">
        <v>15</v>
      </c>
      <c r="N1154" s="385" t="str">
        <f t="shared" si="35"/>
        <v>_self</v>
      </c>
      <c r="O1154" s="384">
        <f>LEN(Tableau18[[#This Row],[LABEL]])</f>
        <v>24</v>
      </c>
      <c r="P1154" s="384">
        <v>15</v>
      </c>
      <c r="Q1154" s="384" t="e">
        <f>ROUND(Tableau18[[#This Row],[LEN]]*#REF!+#REF!,0)</f>
        <v>#REF!</v>
      </c>
    </row>
    <row r="1155" spans="1:17" s="97" customFormat="1" x14ac:dyDescent="0.25">
      <c r="A1155" s="61" t="s">
        <v>1921</v>
      </c>
      <c r="B1155" s="62" t="s">
        <v>337</v>
      </c>
      <c r="C1155" s="63" t="s">
        <v>1919</v>
      </c>
      <c r="D1155" s="79" t="s">
        <v>1177</v>
      </c>
      <c r="E1155" s="63" t="s">
        <v>679</v>
      </c>
      <c r="F1155" s="63" t="s">
        <v>1920</v>
      </c>
      <c r="G1155" s="79" t="s">
        <v>170</v>
      </c>
      <c r="H1155" s="79" t="s">
        <v>656</v>
      </c>
      <c r="I1155" s="63"/>
      <c r="J1155" s="64" t="s">
        <v>708</v>
      </c>
      <c r="K1155" s="64" t="str">
        <f t="shared" si="36"/>
        <v>_</v>
      </c>
      <c r="L1155" s="120">
        <f>ROUND(Tableau18[[#This Row],[LEN]]*7.27,0)</f>
        <v>225</v>
      </c>
      <c r="M1155" s="120">
        <v>15</v>
      </c>
      <c r="N1155" s="137" t="str">
        <f t="shared" ref="N1155:N1197" si="37">IF(J1155="javascript:void(0)","_self","_blank")</f>
        <v>_self</v>
      </c>
      <c r="O1155" s="120">
        <f>LEN(Tableau18[[#This Row],[LABEL]])</f>
        <v>31</v>
      </c>
      <c r="P1155" s="120">
        <v>15</v>
      </c>
      <c r="Q1155" s="120" t="e">
        <f>ROUND(Tableau18[[#This Row],[LEN]]*#REF!+#REF!,0)</f>
        <v>#REF!</v>
      </c>
    </row>
    <row r="1156" spans="1:17" s="97" customFormat="1" x14ac:dyDescent="0.25">
      <c r="A1156" s="61" t="s">
        <v>1922</v>
      </c>
      <c r="B1156" s="62" t="s">
        <v>337</v>
      </c>
      <c r="C1156" s="63" t="s">
        <v>602</v>
      </c>
      <c r="D1156" s="79" t="s">
        <v>1177</v>
      </c>
      <c r="E1156" s="63" t="s">
        <v>661</v>
      </c>
      <c r="F1156" s="63" t="s">
        <v>1874</v>
      </c>
      <c r="G1156" s="79" t="s">
        <v>170</v>
      </c>
      <c r="H1156" s="79" t="s">
        <v>656</v>
      </c>
      <c r="I1156" s="63"/>
      <c r="J1156" s="64" t="s">
        <v>708</v>
      </c>
      <c r="K1156" s="64" t="str">
        <f t="shared" si="36"/>
        <v>_</v>
      </c>
      <c r="L1156" s="120">
        <f>ROUND(Tableau18[[#This Row],[LEN]]*7.27,0)</f>
        <v>553</v>
      </c>
      <c r="M1156" s="120">
        <v>15</v>
      </c>
      <c r="N1156" s="137" t="str">
        <f t="shared" si="37"/>
        <v>_self</v>
      </c>
      <c r="O1156" s="120">
        <f>LEN(Tableau18[[#This Row],[LABEL]])</f>
        <v>76</v>
      </c>
      <c r="P1156" s="120">
        <v>15</v>
      </c>
      <c r="Q1156" s="120" t="e">
        <f>ROUND(Tableau18[[#This Row],[LEN]]*#REF!+#REF!,0)</f>
        <v>#REF!</v>
      </c>
    </row>
    <row r="1157" spans="1:17" s="97" customFormat="1" x14ac:dyDescent="0.25">
      <c r="A1157" s="61" t="s">
        <v>1923</v>
      </c>
      <c r="B1157" s="62" t="s">
        <v>337</v>
      </c>
      <c r="C1157" s="63" t="s">
        <v>50</v>
      </c>
      <c r="D1157" s="79" t="s">
        <v>1177</v>
      </c>
      <c r="E1157" s="63" t="s">
        <v>1177</v>
      </c>
      <c r="F1157" s="63" t="s">
        <v>1084</v>
      </c>
      <c r="G1157" s="79" t="s">
        <v>1978</v>
      </c>
      <c r="H1157" s="79" t="s">
        <v>1131</v>
      </c>
      <c r="I1157" s="63"/>
      <c r="J1157" s="64" t="s">
        <v>708</v>
      </c>
      <c r="K1157" s="64" t="str">
        <f t="shared" si="36"/>
        <v>_</v>
      </c>
      <c r="L1157" s="120">
        <f>ROUND(Tableau18[[#This Row],[LEN]]*7.27,0)</f>
        <v>87</v>
      </c>
      <c r="M1157" s="120">
        <v>15</v>
      </c>
      <c r="N1157" s="137" t="str">
        <f t="shared" si="37"/>
        <v>_self</v>
      </c>
      <c r="O1157" s="120">
        <f>LEN(Tableau18[[#This Row],[LABEL]])</f>
        <v>12</v>
      </c>
      <c r="P1157" s="120">
        <v>15</v>
      </c>
      <c r="Q1157" s="120" t="e">
        <f>ROUND(Tableau18[[#This Row],[LEN]]*#REF!+#REF!,0)</f>
        <v>#REF!</v>
      </c>
    </row>
    <row r="1158" spans="1:17" s="97" customFormat="1" x14ac:dyDescent="0.25">
      <c r="A1158" s="61" t="s">
        <v>1924</v>
      </c>
      <c r="B1158" s="62" t="s">
        <v>337</v>
      </c>
      <c r="C1158" s="63" t="s">
        <v>603</v>
      </c>
      <c r="D1158" s="79" t="s">
        <v>1177</v>
      </c>
      <c r="E1158" s="63" t="s">
        <v>1177</v>
      </c>
      <c r="F1158" s="63" t="s">
        <v>1084</v>
      </c>
      <c r="G1158" s="79" t="s">
        <v>1977</v>
      </c>
      <c r="H1158" s="79" t="s">
        <v>1131</v>
      </c>
      <c r="I1158" s="63"/>
      <c r="J1158" s="64" t="s">
        <v>708</v>
      </c>
      <c r="K1158" s="64" t="str">
        <f t="shared" si="36"/>
        <v>_</v>
      </c>
      <c r="L1158" s="120">
        <f>ROUND(Tableau18[[#This Row],[LEN]]*7.27,0)</f>
        <v>247</v>
      </c>
      <c r="M1158" s="120">
        <v>15</v>
      </c>
      <c r="N1158" s="137" t="str">
        <f t="shared" si="37"/>
        <v>_self</v>
      </c>
      <c r="O1158" s="120">
        <f>LEN(Tableau18[[#This Row],[LABEL]])</f>
        <v>34</v>
      </c>
      <c r="P1158" s="120">
        <v>15</v>
      </c>
      <c r="Q1158" s="120" t="e">
        <f>ROUND(Tableau18[[#This Row],[LEN]]*#REF!+#REF!,0)</f>
        <v>#REF!</v>
      </c>
    </row>
    <row r="1159" spans="1:17" s="273" customFormat="1" x14ac:dyDescent="0.25">
      <c r="A1159" s="379" t="s">
        <v>2049</v>
      </c>
      <c r="B1159" s="380" t="s">
        <v>210</v>
      </c>
      <c r="C1159" s="381" t="s">
        <v>1950</v>
      </c>
      <c r="D1159" s="382" t="s">
        <v>1177</v>
      </c>
      <c r="E1159" s="381" t="s">
        <v>1951</v>
      </c>
      <c r="F1159" s="381" t="s">
        <v>1177</v>
      </c>
      <c r="G1159" s="382" t="s">
        <v>170</v>
      </c>
      <c r="H1159" s="382" t="s">
        <v>56</v>
      </c>
      <c r="I1159" s="381"/>
      <c r="J1159" s="383" t="s">
        <v>708</v>
      </c>
      <c r="K1159" s="383" t="str">
        <f t="shared" si="36"/>
        <v>_</v>
      </c>
      <c r="L1159" s="384">
        <f>ROUND(Tableau18[[#This Row],[LEN]]*7.27,0)</f>
        <v>51</v>
      </c>
      <c r="M1159" s="384">
        <v>15</v>
      </c>
      <c r="N1159" s="385" t="str">
        <f t="shared" si="37"/>
        <v>_self</v>
      </c>
      <c r="O1159" s="384">
        <f>LEN(Tableau18[[#This Row],[LABEL]])</f>
        <v>7</v>
      </c>
      <c r="P1159" s="384">
        <v>15</v>
      </c>
      <c r="Q1159" s="384" t="e">
        <f>ROUND(Tableau18[[#This Row],[LEN]]*#REF!+#REF!,0)</f>
        <v>#REF!</v>
      </c>
    </row>
    <row r="1160" spans="1:17" s="97" customFormat="1" x14ac:dyDescent="0.25">
      <c r="A1160" s="61" t="s">
        <v>2050</v>
      </c>
      <c r="B1160" s="62" t="s">
        <v>2049</v>
      </c>
      <c r="C1160" s="63" t="s">
        <v>2055</v>
      </c>
      <c r="D1160" s="79" t="s">
        <v>1177</v>
      </c>
      <c r="E1160" s="63" t="s">
        <v>1951</v>
      </c>
      <c r="F1160" s="63" t="s">
        <v>1177</v>
      </c>
      <c r="G1160" s="79" t="s">
        <v>170</v>
      </c>
      <c r="H1160" s="79" t="s">
        <v>654</v>
      </c>
      <c r="I1160" s="63"/>
      <c r="J1160" s="64" t="s">
        <v>708</v>
      </c>
      <c r="K1160" s="64" t="str">
        <f t="shared" si="36"/>
        <v>_</v>
      </c>
      <c r="L1160" s="120">
        <f>ROUND(Tableau18[[#This Row],[LEN]]*7.27,0)</f>
        <v>502</v>
      </c>
      <c r="M1160" s="120">
        <v>15</v>
      </c>
      <c r="N1160" s="137" t="str">
        <f t="shared" si="37"/>
        <v>_self</v>
      </c>
      <c r="O1160" s="120">
        <f>LEN(Tableau18[[#This Row],[LABEL]])</f>
        <v>69</v>
      </c>
      <c r="P1160" s="120">
        <v>15</v>
      </c>
      <c r="Q1160" s="120" t="e">
        <f>ROUND(Tableau18[[#This Row],[LEN]]*#REF!+#REF!,0)</f>
        <v>#REF!</v>
      </c>
    </row>
    <row r="1161" spans="1:17" s="97" customFormat="1" x14ac:dyDescent="0.25">
      <c r="A1161" s="61" t="s">
        <v>2051</v>
      </c>
      <c r="B1161" s="62" t="s">
        <v>2049</v>
      </c>
      <c r="C1161" s="63" t="s">
        <v>2056</v>
      </c>
      <c r="D1161" s="79" t="s">
        <v>1177</v>
      </c>
      <c r="E1161" s="63" t="s">
        <v>1951</v>
      </c>
      <c r="F1161" s="63" t="s">
        <v>1177</v>
      </c>
      <c r="G1161" s="79" t="s">
        <v>170</v>
      </c>
      <c r="H1161" s="79" t="s">
        <v>654</v>
      </c>
      <c r="I1161" s="63"/>
      <c r="J1161" s="64" t="s">
        <v>708</v>
      </c>
      <c r="K1161" s="64" t="str">
        <f t="shared" si="36"/>
        <v>_</v>
      </c>
      <c r="L1161" s="120">
        <f>ROUND(Tableau18[[#This Row],[LEN]]*7.27,0)</f>
        <v>582</v>
      </c>
      <c r="M1161" s="120">
        <v>15</v>
      </c>
      <c r="N1161" s="137" t="str">
        <f t="shared" si="37"/>
        <v>_self</v>
      </c>
      <c r="O1161" s="120">
        <f>LEN(Tableau18[[#This Row],[LABEL]])</f>
        <v>80</v>
      </c>
      <c r="P1161" s="120">
        <v>15</v>
      </c>
      <c r="Q1161" s="120" t="e">
        <f>ROUND(Tableau18[[#This Row],[LEN]]*#REF!+#REF!,0)</f>
        <v>#REF!</v>
      </c>
    </row>
    <row r="1162" spans="1:17" s="97" customFormat="1" x14ac:dyDescent="0.25">
      <c r="A1162" s="61" t="s">
        <v>2052</v>
      </c>
      <c r="B1162" s="62" t="s">
        <v>2049</v>
      </c>
      <c r="C1162" s="63" t="s">
        <v>2057</v>
      </c>
      <c r="D1162" s="79" t="s">
        <v>1177</v>
      </c>
      <c r="E1162" s="63" t="s">
        <v>1951</v>
      </c>
      <c r="F1162" s="63" t="s">
        <v>1177</v>
      </c>
      <c r="G1162" s="79" t="s">
        <v>170</v>
      </c>
      <c r="H1162" s="79" t="s">
        <v>654</v>
      </c>
      <c r="I1162" s="63"/>
      <c r="J1162" s="64" t="s">
        <v>708</v>
      </c>
      <c r="K1162" s="64" t="str">
        <f t="shared" si="36"/>
        <v>_</v>
      </c>
      <c r="L1162" s="120">
        <f>ROUND(Tableau18[[#This Row],[LEN]]*7.27,0)</f>
        <v>254</v>
      </c>
      <c r="M1162" s="120">
        <v>15</v>
      </c>
      <c r="N1162" s="137" t="str">
        <f t="shared" si="37"/>
        <v>_self</v>
      </c>
      <c r="O1162" s="120">
        <f>LEN(Tableau18[[#This Row],[LABEL]])</f>
        <v>35</v>
      </c>
      <c r="P1162" s="120">
        <v>15</v>
      </c>
      <c r="Q1162" s="120" t="e">
        <f>ROUND(Tableau18[[#This Row],[LEN]]*#REF!+#REF!,0)</f>
        <v>#REF!</v>
      </c>
    </row>
    <row r="1163" spans="1:17" s="97" customFormat="1" x14ac:dyDescent="0.25">
      <c r="A1163" s="61" t="s">
        <v>2053</v>
      </c>
      <c r="B1163" s="62" t="s">
        <v>2049</v>
      </c>
      <c r="C1163" s="63" t="s">
        <v>2058</v>
      </c>
      <c r="D1163" s="79" t="s">
        <v>1177</v>
      </c>
      <c r="E1163" s="63" t="s">
        <v>1951</v>
      </c>
      <c r="F1163" s="63" t="s">
        <v>1177</v>
      </c>
      <c r="G1163" s="79" t="s">
        <v>170</v>
      </c>
      <c r="H1163" s="79" t="s">
        <v>654</v>
      </c>
      <c r="I1163" s="63"/>
      <c r="J1163" s="64" t="s">
        <v>708</v>
      </c>
      <c r="K1163" s="64" t="str">
        <f t="shared" si="36"/>
        <v>_</v>
      </c>
      <c r="L1163" s="120">
        <f>ROUND(Tableau18[[#This Row],[LEN]]*7.27,0)</f>
        <v>189</v>
      </c>
      <c r="M1163" s="120">
        <v>15</v>
      </c>
      <c r="N1163" s="137" t="str">
        <f t="shared" si="37"/>
        <v>_self</v>
      </c>
      <c r="O1163" s="120">
        <f>LEN(Tableau18[[#This Row],[LABEL]])</f>
        <v>26</v>
      </c>
      <c r="P1163" s="120">
        <v>15</v>
      </c>
      <c r="Q1163" s="120" t="e">
        <f>ROUND(Tableau18[[#This Row],[LEN]]*#REF!+#REF!,0)</f>
        <v>#REF!</v>
      </c>
    </row>
    <row r="1164" spans="1:17" s="97" customFormat="1" ht="15.75" thickBot="1" x14ac:dyDescent="0.3">
      <c r="A1164" s="61" t="s">
        <v>2054</v>
      </c>
      <c r="B1164" s="62" t="s">
        <v>2049</v>
      </c>
      <c r="C1164" s="63" t="s">
        <v>603</v>
      </c>
      <c r="D1164" s="79" t="s">
        <v>1177</v>
      </c>
      <c r="E1164" s="63" t="s">
        <v>1177</v>
      </c>
      <c r="F1164" s="63" t="s">
        <v>1084</v>
      </c>
      <c r="G1164" s="79" t="s">
        <v>1977</v>
      </c>
      <c r="H1164" s="79" t="s">
        <v>1131</v>
      </c>
      <c r="I1164" s="63"/>
      <c r="J1164" s="64" t="s">
        <v>708</v>
      </c>
      <c r="K1164" s="64" t="str">
        <f t="shared" si="36"/>
        <v>_</v>
      </c>
      <c r="L1164" s="120">
        <f>ROUND(Tableau18[[#This Row],[LEN]]*7.27,0)</f>
        <v>247</v>
      </c>
      <c r="M1164" s="120">
        <v>15</v>
      </c>
      <c r="N1164" s="137" t="str">
        <f t="shared" si="37"/>
        <v>_self</v>
      </c>
      <c r="O1164" s="120">
        <f>LEN(Tableau18[[#This Row],[LABEL]])</f>
        <v>34</v>
      </c>
      <c r="P1164" s="120">
        <v>15</v>
      </c>
      <c r="Q1164" s="120" t="e">
        <f>ROUND(Tableau18[[#This Row],[LEN]]*#REF!+#REF!,0)</f>
        <v>#REF!</v>
      </c>
    </row>
    <row r="1165" spans="1:17" s="92" customFormat="1" ht="16.5" thickTop="1" thickBot="1" x14ac:dyDescent="0.3">
      <c r="A1165" s="205" t="s">
        <v>211</v>
      </c>
      <c r="B1165" s="205" t="s">
        <v>198</v>
      </c>
      <c r="C1165" s="206" t="s">
        <v>179</v>
      </c>
      <c r="D1165" s="207" t="s">
        <v>475</v>
      </c>
      <c r="E1165" s="206" t="s">
        <v>1177</v>
      </c>
      <c r="F1165" s="207" t="s">
        <v>1177</v>
      </c>
      <c r="G1165" s="206" t="s">
        <v>171</v>
      </c>
      <c r="H1165" s="206" t="s">
        <v>616</v>
      </c>
      <c r="I1165" s="207"/>
      <c r="J1165" s="208" t="s">
        <v>708</v>
      </c>
      <c r="K1165" s="208" t="str">
        <f t="shared" si="36"/>
        <v>_</v>
      </c>
      <c r="L1165" s="209">
        <f>ROUND(Tableau18[[#This Row],[LEN]]*7.27,0)</f>
        <v>116</v>
      </c>
      <c r="M1165" s="209">
        <v>15</v>
      </c>
      <c r="N1165" s="210" t="str">
        <f t="shared" si="37"/>
        <v>_self</v>
      </c>
      <c r="O1165" s="209">
        <f>LEN(Tableau18[[#This Row],[LABEL]])</f>
        <v>16</v>
      </c>
      <c r="P1165" s="211">
        <v>15</v>
      </c>
      <c r="Q1165" s="211" t="e">
        <f>ROUND(Tableau18[[#This Row],[LEN]]*#REF!+#REF!,0)</f>
        <v>#REF!</v>
      </c>
    </row>
    <row r="1166" spans="1:17" s="92" customFormat="1" ht="15.75" thickTop="1" x14ac:dyDescent="0.25">
      <c r="A1166" s="394" t="s">
        <v>339</v>
      </c>
      <c r="B1166" s="395" t="s">
        <v>211</v>
      </c>
      <c r="C1166" s="396" t="s">
        <v>57</v>
      </c>
      <c r="D1166" s="397" t="s">
        <v>1177</v>
      </c>
      <c r="E1166" s="398" t="s">
        <v>663</v>
      </c>
      <c r="F1166" s="396" t="s">
        <v>1177</v>
      </c>
      <c r="G1166" s="397" t="s">
        <v>171</v>
      </c>
      <c r="H1166" s="397" t="str">
        <f>IFERROR(IF(SEARCH(".00.00.00.00.00",Tableau18[[#This Row],[name]],1)=7,"Division",""),"")</f>
        <v>Division</v>
      </c>
      <c r="I1166" s="396"/>
      <c r="J1166" s="399" t="s">
        <v>708</v>
      </c>
      <c r="K1166" s="399" t="str">
        <f t="shared" si="36"/>
        <v>_</v>
      </c>
      <c r="L1166" s="400">
        <f>ROUND(Tableau18[[#This Row],[LEN]]*7.27,0)</f>
        <v>102</v>
      </c>
      <c r="M1166" s="400">
        <v>15</v>
      </c>
      <c r="N1166" s="401" t="str">
        <f t="shared" si="37"/>
        <v>_self</v>
      </c>
      <c r="O1166" s="400">
        <f>LEN(Tableau18[[#This Row],[LABEL]])</f>
        <v>14</v>
      </c>
      <c r="P1166" s="400">
        <v>15</v>
      </c>
      <c r="Q1166" s="400" t="e">
        <f>ROUND(Tableau18[[#This Row],[LEN]]*#REF!+#REF!,0)</f>
        <v>#REF!</v>
      </c>
    </row>
    <row r="1167" spans="1:17" x14ac:dyDescent="0.25">
      <c r="A1167" s="98" t="s">
        <v>913</v>
      </c>
      <c r="B1167" s="99" t="s">
        <v>339</v>
      </c>
      <c r="C1167" s="100" t="s">
        <v>914</v>
      </c>
      <c r="D1167" s="80" t="s">
        <v>1177</v>
      </c>
      <c r="E1167" s="82" t="s">
        <v>663</v>
      </c>
      <c r="F1167" s="100" t="s">
        <v>1177</v>
      </c>
      <c r="G1167" s="80" t="s">
        <v>171</v>
      </c>
      <c r="H1167" s="80" t="s">
        <v>56</v>
      </c>
      <c r="I1167" s="100"/>
      <c r="J1167" s="101" t="s">
        <v>708</v>
      </c>
      <c r="K1167" s="101" t="str">
        <f t="shared" si="36"/>
        <v>_</v>
      </c>
      <c r="L1167" s="121">
        <f>ROUND(Tableau18[[#This Row],[LEN]]*7.27,0)</f>
        <v>313</v>
      </c>
      <c r="M1167" s="121">
        <v>15</v>
      </c>
      <c r="N1167" s="138" t="str">
        <f t="shared" si="37"/>
        <v>_self</v>
      </c>
      <c r="O1167" s="121">
        <f>LEN(Tableau18[[#This Row],[LABEL]])</f>
        <v>43</v>
      </c>
      <c r="P1167" s="121">
        <v>15</v>
      </c>
      <c r="Q1167" s="121" t="e">
        <f>ROUND(Tableau18[[#This Row],[LEN]]*#REF!+#REF!,0)</f>
        <v>#REF!</v>
      </c>
    </row>
    <row r="1168" spans="1:17" s="92" customFormat="1" x14ac:dyDescent="0.25">
      <c r="A1168" s="394" t="s">
        <v>345</v>
      </c>
      <c r="B1168" s="395" t="s">
        <v>211</v>
      </c>
      <c r="C1168" s="396" t="s">
        <v>2147</v>
      </c>
      <c r="D1168" s="397" t="s">
        <v>1177</v>
      </c>
      <c r="E1168" s="398" t="s">
        <v>669</v>
      </c>
      <c r="F1168" s="396" t="s">
        <v>1177</v>
      </c>
      <c r="G1168" s="397" t="s">
        <v>171</v>
      </c>
      <c r="H1168" s="397" t="str">
        <f>IFERROR(IF(SEARCH(".00.00.00.00.00",Tableau18[[#This Row],[name]],1)=7,"Division",""),"")</f>
        <v>Division</v>
      </c>
      <c r="I1168" s="396"/>
      <c r="J1168" s="399" t="s">
        <v>708</v>
      </c>
      <c r="K1168" s="399" t="str">
        <f t="shared" si="36"/>
        <v>_</v>
      </c>
      <c r="L1168" s="400">
        <f>ROUND(Tableau18[[#This Row],[LEN]]*7.27,0)</f>
        <v>196</v>
      </c>
      <c r="M1168" s="400">
        <v>15</v>
      </c>
      <c r="N1168" s="401" t="str">
        <f t="shared" si="37"/>
        <v>_self</v>
      </c>
      <c r="O1168" s="400">
        <f>LEN(Tableau18[[#This Row],[LABEL]])</f>
        <v>27</v>
      </c>
      <c r="P1168" s="400">
        <v>15</v>
      </c>
      <c r="Q1168" s="400" t="e">
        <f>ROUND(Tableau18[[#This Row],[LEN]]*#REF!+#REF!,0)</f>
        <v>#REF!</v>
      </c>
    </row>
    <row r="1169" spans="1:17" x14ac:dyDescent="0.25">
      <c r="A1169" s="98" t="s">
        <v>1925</v>
      </c>
      <c r="B1169" s="99" t="s">
        <v>345</v>
      </c>
      <c r="C1169" s="100" t="s">
        <v>1930</v>
      </c>
      <c r="D1169" s="80" t="s">
        <v>1177</v>
      </c>
      <c r="E1169" s="82" t="s">
        <v>669</v>
      </c>
      <c r="F1169" s="100" t="s">
        <v>1177</v>
      </c>
      <c r="G1169" s="80" t="s">
        <v>171</v>
      </c>
      <c r="H1169" s="80" t="s">
        <v>656</v>
      </c>
      <c r="I1169" s="100"/>
      <c r="J1169" s="101" t="s">
        <v>708</v>
      </c>
      <c r="K1169" s="101" t="str">
        <f t="shared" si="36"/>
        <v>_</v>
      </c>
      <c r="L1169" s="121">
        <f>ROUND(Tableau18[[#This Row],[LEN]]*7.27,0)</f>
        <v>436</v>
      </c>
      <c r="M1169" s="121">
        <v>15</v>
      </c>
      <c r="N1169" s="138" t="str">
        <f t="shared" si="37"/>
        <v>_self</v>
      </c>
      <c r="O1169" s="121">
        <f>LEN(Tableau18[[#This Row],[LABEL]])</f>
        <v>60</v>
      </c>
      <c r="P1169" s="121">
        <v>15</v>
      </c>
      <c r="Q1169" s="121" t="e">
        <f>ROUND(Tableau18[[#This Row],[LEN]]*#REF!+#REF!,0)</f>
        <v>#REF!</v>
      </c>
    </row>
    <row r="1170" spans="1:17" x14ac:dyDescent="0.25">
      <c r="A1170" s="98" t="s">
        <v>1928</v>
      </c>
      <c r="B1170" s="99" t="s">
        <v>1926</v>
      </c>
      <c r="C1170" s="100" t="s">
        <v>1931</v>
      </c>
      <c r="D1170" s="80" t="s">
        <v>1177</v>
      </c>
      <c r="E1170" s="82" t="s">
        <v>669</v>
      </c>
      <c r="F1170" s="100" t="s">
        <v>1177</v>
      </c>
      <c r="G1170" s="80" t="s">
        <v>171</v>
      </c>
      <c r="H1170" s="80" t="s">
        <v>656</v>
      </c>
      <c r="I1170" s="100"/>
      <c r="J1170" s="101" t="s">
        <v>708</v>
      </c>
      <c r="K1170" s="101" t="str">
        <f t="shared" si="36"/>
        <v>_</v>
      </c>
      <c r="L1170" s="121">
        <f>ROUND(Tableau18[[#This Row],[LEN]]*7.27,0)</f>
        <v>211</v>
      </c>
      <c r="M1170" s="121">
        <v>15</v>
      </c>
      <c r="N1170" s="138" t="str">
        <f t="shared" si="37"/>
        <v>_self</v>
      </c>
      <c r="O1170" s="121">
        <f>LEN(Tableau18[[#This Row],[LABEL]])</f>
        <v>29</v>
      </c>
      <c r="P1170" s="121">
        <v>15</v>
      </c>
      <c r="Q1170" s="121" t="e">
        <f>ROUND(Tableau18[[#This Row],[LEN]]*#REF!+#REF!,0)</f>
        <v>#REF!</v>
      </c>
    </row>
    <row r="1171" spans="1:17" x14ac:dyDescent="0.25">
      <c r="A1171" s="98" t="s">
        <v>1929</v>
      </c>
      <c r="B1171" s="99" t="s">
        <v>1927</v>
      </c>
      <c r="C1171" s="100" t="s">
        <v>1932</v>
      </c>
      <c r="D1171" s="80" t="s">
        <v>1177</v>
      </c>
      <c r="E1171" s="82" t="s">
        <v>669</v>
      </c>
      <c r="F1171" s="100" t="s">
        <v>1177</v>
      </c>
      <c r="G1171" s="80" t="s">
        <v>171</v>
      </c>
      <c r="H1171" s="80" t="s">
        <v>656</v>
      </c>
      <c r="I1171" s="100"/>
      <c r="J1171" s="101" t="s">
        <v>708</v>
      </c>
      <c r="K1171" s="101" t="str">
        <f t="shared" si="36"/>
        <v>_</v>
      </c>
      <c r="L1171" s="121">
        <f>ROUND(Tableau18[[#This Row],[LEN]]*7.27,0)</f>
        <v>124</v>
      </c>
      <c r="M1171" s="121">
        <v>15</v>
      </c>
      <c r="N1171" s="138" t="str">
        <f t="shared" si="37"/>
        <v>_self</v>
      </c>
      <c r="O1171" s="121">
        <f>LEN(Tableau18[[#This Row],[LABEL]])</f>
        <v>17</v>
      </c>
      <c r="P1171" s="121">
        <v>15</v>
      </c>
      <c r="Q1171" s="121" t="e">
        <f>ROUND(Tableau18[[#This Row],[LEN]]*#REF!+#REF!,0)</f>
        <v>#REF!</v>
      </c>
    </row>
    <row r="1172" spans="1:17" s="92" customFormat="1" x14ac:dyDescent="0.25">
      <c r="A1172" s="394" t="s">
        <v>346</v>
      </c>
      <c r="B1172" s="395" t="s">
        <v>211</v>
      </c>
      <c r="C1172" s="396" t="s">
        <v>7</v>
      </c>
      <c r="D1172" s="397" t="s">
        <v>1177</v>
      </c>
      <c r="E1172" s="398" t="s">
        <v>670</v>
      </c>
      <c r="F1172" s="396" t="s">
        <v>1177</v>
      </c>
      <c r="G1172" s="397" t="s">
        <v>171</v>
      </c>
      <c r="H1172" s="397" t="str">
        <f>IFERROR(IF(SEARCH(".00.00.00.00.00",Tableau18[[#This Row],[name]],1)=7,"Division",""),"")</f>
        <v>Division</v>
      </c>
      <c r="I1172" s="396"/>
      <c r="J1172" s="399" t="s">
        <v>708</v>
      </c>
      <c r="K1172" s="399" t="str">
        <f t="shared" si="36"/>
        <v>_</v>
      </c>
      <c r="L1172" s="400">
        <f>ROUND(Tableau18[[#This Row],[LEN]]*7.27,0)</f>
        <v>189</v>
      </c>
      <c r="M1172" s="400">
        <v>15</v>
      </c>
      <c r="N1172" s="401" t="str">
        <f t="shared" si="37"/>
        <v>_self</v>
      </c>
      <c r="O1172" s="400">
        <f>LEN(Tableau18[[#This Row],[LABEL]])</f>
        <v>26</v>
      </c>
      <c r="P1172" s="400">
        <v>15</v>
      </c>
      <c r="Q1172" s="400" t="e">
        <f>ROUND(Tableau18[[#This Row],[LEN]]*#REF!+#REF!,0)</f>
        <v>#REF!</v>
      </c>
    </row>
    <row r="1173" spans="1:17" x14ac:dyDescent="0.25">
      <c r="A1173" s="98" t="s">
        <v>1933</v>
      </c>
      <c r="B1173" s="99" t="s">
        <v>346</v>
      </c>
      <c r="C1173" s="100" t="s">
        <v>1934</v>
      </c>
      <c r="D1173" s="80" t="s">
        <v>1177</v>
      </c>
      <c r="E1173" s="82" t="s">
        <v>670</v>
      </c>
      <c r="F1173" s="100" t="s">
        <v>1177</v>
      </c>
      <c r="G1173" s="80" t="s">
        <v>171</v>
      </c>
      <c r="H1173" s="80" t="s">
        <v>656</v>
      </c>
      <c r="I1173" s="100"/>
      <c r="J1173" s="101" t="s">
        <v>708</v>
      </c>
      <c r="K1173" s="101" t="str">
        <f t="shared" si="36"/>
        <v>_</v>
      </c>
      <c r="L1173" s="121">
        <f>ROUND(Tableau18[[#This Row],[LEN]]*7.27,0)</f>
        <v>138</v>
      </c>
      <c r="M1173" s="121">
        <v>15</v>
      </c>
      <c r="N1173" s="138" t="str">
        <f t="shared" si="37"/>
        <v>_self</v>
      </c>
      <c r="O1173" s="121">
        <f>LEN(Tableau18[[#This Row],[LABEL]])</f>
        <v>19</v>
      </c>
      <c r="P1173" s="121">
        <v>15</v>
      </c>
      <c r="Q1173" s="121" t="e">
        <f>ROUND(Tableau18[[#This Row],[LEN]]*#REF!+#REF!,0)</f>
        <v>#REF!</v>
      </c>
    </row>
    <row r="1174" spans="1:17" s="92" customFormat="1" x14ac:dyDescent="0.25">
      <c r="A1174" s="394" t="s">
        <v>348</v>
      </c>
      <c r="B1174" s="395" t="s">
        <v>211</v>
      </c>
      <c r="C1174" s="396" t="s">
        <v>9</v>
      </c>
      <c r="D1174" s="397" t="s">
        <v>1177</v>
      </c>
      <c r="E1174" s="398" t="s">
        <v>672</v>
      </c>
      <c r="F1174" s="396" t="s">
        <v>1177</v>
      </c>
      <c r="G1174" s="397" t="s">
        <v>171</v>
      </c>
      <c r="H1174" s="397" t="str">
        <f>IFERROR(IF(SEARCH(".00.00.00.00.00",Tableau18[[#This Row],[name]],1)=7,"Division",""),"")</f>
        <v>Division</v>
      </c>
      <c r="I1174" s="396"/>
      <c r="J1174" s="399" t="s">
        <v>718</v>
      </c>
      <c r="K1174" s="399" t="str">
        <f t="shared" si="36"/>
        <v>Documentation</v>
      </c>
      <c r="L1174" s="400">
        <f>ROUND(Tableau18[[#This Row],[LEN]]*7.27,0)</f>
        <v>80</v>
      </c>
      <c r="M1174" s="400">
        <v>15</v>
      </c>
      <c r="N1174" s="401" t="str">
        <f t="shared" si="37"/>
        <v>_blank</v>
      </c>
      <c r="O1174" s="400">
        <f>LEN(Tableau18[[#This Row],[LABEL]])</f>
        <v>11</v>
      </c>
      <c r="P1174" s="400">
        <v>15</v>
      </c>
      <c r="Q1174" s="400" t="e">
        <f>ROUND(Tableau18[[#This Row],[LEN]]*#REF!+#REF!,0)</f>
        <v>#REF!</v>
      </c>
    </row>
    <row r="1175" spans="1:17" x14ac:dyDescent="0.25">
      <c r="A1175" s="98" t="s">
        <v>609</v>
      </c>
      <c r="B1175" s="99" t="s">
        <v>348</v>
      </c>
      <c r="C1175" s="100" t="s">
        <v>611</v>
      </c>
      <c r="D1175" s="80" t="s">
        <v>1177</v>
      </c>
      <c r="E1175" s="82" t="s">
        <v>672</v>
      </c>
      <c r="F1175" s="100" t="s">
        <v>1177</v>
      </c>
      <c r="G1175" s="80" t="s">
        <v>171</v>
      </c>
      <c r="H1175" s="80" t="s">
        <v>656</v>
      </c>
      <c r="I1175" s="100"/>
      <c r="J1175" s="101" t="s">
        <v>708</v>
      </c>
      <c r="K1175" s="101" t="str">
        <f t="shared" si="36"/>
        <v>_</v>
      </c>
      <c r="L1175" s="121">
        <f>ROUND(Tableau18[[#This Row],[LEN]]*7.27,0)</f>
        <v>233</v>
      </c>
      <c r="M1175" s="121">
        <v>15</v>
      </c>
      <c r="N1175" s="138" t="str">
        <f t="shared" si="37"/>
        <v>_self</v>
      </c>
      <c r="O1175" s="121">
        <f>LEN(Tableau18[[#This Row],[LABEL]])</f>
        <v>32</v>
      </c>
      <c r="P1175" s="121">
        <v>15</v>
      </c>
      <c r="Q1175" s="121" t="e">
        <f>ROUND(Tableau18[[#This Row],[LEN]]*#REF!+#REF!,0)</f>
        <v>#REF!</v>
      </c>
    </row>
    <row r="1176" spans="1:17" x14ac:dyDescent="0.25">
      <c r="A1176" s="98" t="s">
        <v>610</v>
      </c>
      <c r="B1176" s="99" t="s">
        <v>348</v>
      </c>
      <c r="C1176" s="100" t="s">
        <v>612</v>
      </c>
      <c r="D1176" s="80" t="s">
        <v>1177</v>
      </c>
      <c r="E1176" s="82" t="s">
        <v>672</v>
      </c>
      <c r="F1176" s="100" t="s">
        <v>1177</v>
      </c>
      <c r="G1176" s="80" t="s">
        <v>171</v>
      </c>
      <c r="H1176" s="80" t="s">
        <v>656</v>
      </c>
      <c r="I1176" s="100"/>
      <c r="J1176" s="101" t="s">
        <v>708</v>
      </c>
      <c r="K1176" s="101" t="str">
        <f t="shared" si="36"/>
        <v>_</v>
      </c>
      <c r="L1176" s="121">
        <f>ROUND(Tableau18[[#This Row],[LEN]]*7.27,0)</f>
        <v>182</v>
      </c>
      <c r="M1176" s="121">
        <v>15</v>
      </c>
      <c r="N1176" s="138" t="str">
        <f t="shared" si="37"/>
        <v>_self</v>
      </c>
      <c r="O1176" s="121">
        <f>LEN(Tableau18[[#This Row],[LABEL]])</f>
        <v>25</v>
      </c>
      <c r="P1176" s="121">
        <v>15</v>
      </c>
      <c r="Q1176" s="121" t="e">
        <f>ROUND(Tableau18[[#This Row],[LEN]]*#REF!+#REF!,0)</f>
        <v>#REF!</v>
      </c>
    </row>
    <row r="1177" spans="1:17" x14ac:dyDescent="0.25">
      <c r="A1177" s="98" t="s">
        <v>613</v>
      </c>
      <c r="B1177" s="99" t="s">
        <v>348</v>
      </c>
      <c r="C1177" s="100" t="s">
        <v>614</v>
      </c>
      <c r="D1177" s="80" t="s">
        <v>1177</v>
      </c>
      <c r="E1177" s="82" t="s">
        <v>672</v>
      </c>
      <c r="F1177" s="100" t="s">
        <v>1177</v>
      </c>
      <c r="G1177" s="80" t="s">
        <v>171</v>
      </c>
      <c r="H1177" s="80" t="s">
        <v>654</v>
      </c>
      <c r="I1177" s="100"/>
      <c r="J1177" s="101" t="s">
        <v>708</v>
      </c>
      <c r="K1177" s="101" t="str">
        <f t="shared" si="36"/>
        <v>_</v>
      </c>
      <c r="L1177" s="121">
        <f>ROUND(Tableau18[[#This Row],[LEN]]*7.27,0)</f>
        <v>153</v>
      </c>
      <c r="M1177" s="121">
        <v>15</v>
      </c>
      <c r="N1177" s="138" t="str">
        <f t="shared" si="37"/>
        <v>_self</v>
      </c>
      <c r="O1177" s="121">
        <f>LEN(Tableau18[[#This Row],[LABEL]])</f>
        <v>21</v>
      </c>
      <c r="P1177" s="121">
        <v>15</v>
      </c>
      <c r="Q1177" s="121" t="e">
        <f>ROUND(Tableau18[[#This Row],[LEN]]*#REF!+#REF!,0)</f>
        <v>#REF!</v>
      </c>
    </row>
    <row r="1178" spans="1:17" s="92" customFormat="1" x14ac:dyDescent="0.25">
      <c r="A1178" s="394" t="s">
        <v>349</v>
      </c>
      <c r="B1178" s="395" t="s">
        <v>211</v>
      </c>
      <c r="C1178" s="396" t="s">
        <v>10</v>
      </c>
      <c r="D1178" s="397" t="s">
        <v>1177</v>
      </c>
      <c r="E1178" s="398" t="s">
        <v>673</v>
      </c>
      <c r="F1178" s="396" t="s">
        <v>1177</v>
      </c>
      <c r="G1178" s="397" t="s">
        <v>171</v>
      </c>
      <c r="H1178" s="397" t="str">
        <f>IFERROR(IF(SEARCH(".00.00.00.00.00",Tableau18[[#This Row],[name]],1)=7,"Division",""),"")</f>
        <v>Division</v>
      </c>
      <c r="I1178" s="396"/>
      <c r="J1178" s="399" t="s">
        <v>719</v>
      </c>
      <c r="K1178" s="399" t="str">
        <f t="shared" si="36"/>
        <v>Documentation</v>
      </c>
      <c r="L1178" s="400">
        <f>ROUND(Tableau18[[#This Row],[LEN]]*7.27,0)</f>
        <v>109</v>
      </c>
      <c r="M1178" s="400">
        <v>15</v>
      </c>
      <c r="N1178" s="401" t="str">
        <f t="shared" si="37"/>
        <v>_blank</v>
      </c>
      <c r="O1178" s="400">
        <f>LEN(Tableau18[[#This Row],[LABEL]])</f>
        <v>15</v>
      </c>
      <c r="P1178" s="400">
        <v>15</v>
      </c>
      <c r="Q1178" s="400" t="e">
        <f>ROUND(Tableau18[[#This Row],[LEN]]*#REF!+#REF!,0)</f>
        <v>#REF!</v>
      </c>
    </row>
    <row r="1179" spans="1:17" x14ac:dyDescent="0.25">
      <c r="A1179" s="98" t="s">
        <v>1935</v>
      </c>
      <c r="B1179" s="99" t="s">
        <v>349</v>
      </c>
      <c r="C1179" s="100" t="s">
        <v>1936</v>
      </c>
      <c r="D1179" s="80" t="s">
        <v>1177</v>
      </c>
      <c r="E1179" s="82" t="s">
        <v>673</v>
      </c>
      <c r="F1179" s="100" t="s">
        <v>1177</v>
      </c>
      <c r="G1179" s="80" t="s">
        <v>171</v>
      </c>
      <c r="H1179" s="80" t="s">
        <v>656</v>
      </c>
      <c r="I1179" s="100"/>
      <c r="J1179" s="101" t="s">
        <v>708</v>
      </c>
      <c r="K1179" s="101" t="str">
        <f t="shared" si="36"/>
        <v>_</v>
      </c>
      <c r="L1179" s="121">
        <f>ROUND(Tableau18[[#This Row],[LEN]]*7.27,0)</f>
        <v>356</v>
      </c>
      <c r="M1179" s="121">
        <v>15</v>
      </c>
      <c r="N1179" s="138" t="str">
        <f t="shared" si="37"/>
        <v>_self</v>
      </c>
      <c r="O1179" s="121">
        <f>LEN(Tableau18[[#This Row],[LABEL]])</f>
        <v>49</v>
      </c>
      <c r="P1179" s="121">
        <v>15</v>
      </c>
      <c r="Q1179" s="121" t="e">
        <f>ROUND(Tableau18[[#This Row],[LEN]]*#REF!+#REF!,0)</f>
        <v>#REF!</v>
      </c>
    </row>
    <row r="1180" spans="1:17" s="92" customFormat="1" x14ac:dyDescent="0.25">
      <c r="A1180" s="394" t="s">
        <v>351</v>
      </c>
      <c r="B1180" s="395" t="s">
        <v>211</v>
      </c>
      <c r="C1180" s="396" t="s">
        <v>12</v>
      </c>
      <c r="D1180" s="397" t="s">
        <v>1177</v>
      </c>
      <c r="E1180" s="398" t="s">
        <v>675</v>
      </c>
      <c r="F1180" s="396" t="s">
        <v>1177</v>
      </c>
      <c r="G1180" s="397" t="s">
        <v>171</v>
      </c>
      <c r="H1180" s="397" t="str">
        <f>IFERROR(IF(SEARCH(".00.00.00.00.00",Tableau18[[#This Row],[name]],1)=7,"Division",""),"")</f>
        <v>Division</v>
      </c>
      <c r="I1180" s="396"/>
      <c r="J1180" s="399" t="s">
        <v>721</v>
      </c>
      <c r="K1180" s="399" t="str">
        <f t="shared" si="36"/>
        <v>Documentation</v>
      </c>
      <c r="L1180" s="400">
        <f>ROUND(Tableau18[[#This Row],[LEN]]*7.27,0)</f>
        <v>15</v>
      </c>
      <c r="M1180" s="400">
        <v>15</v>
      </c>
      <c r="N1180" s="401" t="str">
        <f t="shared" si="37"/>
        <v>_blank</v>
      </c>
      <c r="O1180" s="400">
        <f>LEN(Tableau18[[#This Row],[LABEL]])</f>
        <v>2</v>
      </c>
      <c r="P1180" s="400">
        <v>15</v>
      </c>
      <c r="Q1180" s="400" t="e">
        <f>ROUND(Tableau18[[#This Row],[LEN]]*#REF!+#REF!,0)</f>
        <v>#REF!</v>
      </c>
    </row>
    <row r="1181" spans="1:17" x14ac:dyDescent="0.25">
      <c r="A1181" s="98" t="s">
        <v>1937</v>
      </c>
      <c r="B1181" s="99" t="s">
        <v>351</v>
      </c>
      <c r="C1181" s="100" t="s">
        <v>1938</v>
      </c>
      <c r="D1181" s="80" t="s">
        <v>1939</v>
      </c>
      <c r="E1181" s="82" t="s">
        <v>675</v>
      </c>
      <c r="F1181" s="100" t="s">
        <v>1177</v>
      </c>
      <c r="G1181" s="80" t="s">
        <v>171</v>
      </c>
      <c r="H1181" s="80" t="s">
        <v>656</v>
      </c>
      <c r="I1181" s="100"/>
      <c r="J1181" s="101" t="s">
        <v>708</v>
      </c>
      <c r="K1181" s="101" t="str">
        <f t="shared" si="36"/>
        <v>_</v>
      </c>
      <c r="L1181" s="121">
        <f>ROUND(Tableau18[[#This Row],[LEN]]*7.27,0)</f>
        <v>269</v>
      </c>
      <c r="M1181" s="121">
        <v>15</v>
      </c>
      <c r="N1181" s="138" t="str">
        <f t="shared" si="37"/>
        <v>_self</v>
      </c>
      <c r="O1181" s="121">
        <f>LEN(Tableau18[[#This Row],[LABEL]])</f>
        <v>37</v>
      </c>
      <c r="P1181" s="121">
        <v>15</v>
      </c>
      <c r="Q1181" s="121" t="e">
        <f>ROUND(Tableau18[[#This Row],[LEN]]*#REF!+#REF!,0)</f>
        <v>#REF!</v>
      </c>
    </row>
    <row r="1182" spans="1:17" s="92" customFormat="1" x14ac:dyDescent="0.25">
      <c r="A1182" s="394" t="s">
        <v>353</v>
      </c>
      <c r="B1182" s="395" t="s">
        <v>211</v>
      </c>
      <c r="C1182" s="396" t="s">
        <v>13</v>
      </c>
      <c r="D1182" s="397" t="s">
        <v>1177</v>
      </c>
      <c r="E1182" s="398" t="s">
        <v>677</v>
      </c>
      <c r="F1182" s="396" t="s">
        <v>1177</v>
      </c>
      <c r="G1182" s="397" t="s">
        <v>171</v>
      </c>
      <c r="H1182" s="397" t="str">
        <f>IFERROR(IF(SEARCH(".00.00.00.00.00",Tableau18[[#This Row],[name]],1)=7,"Division",""),"")</f>
        <v>Division</v>
      </c>
      <c r="I1182" s="396"/>
      <c r="J1182" s="399" t="s">
        <v>708</v>
      </c>
      <c r="K1182" s="399" t="str">
        <f t="shared" si="36"/>
        <v>_</v>
      </c>
      <c r="L1182" s="400">
        <f>ROUND(Tableau18[[#This Row],[LEN]]*7.27,0)</f>
        <v>80</v>
      </c>
      <c r="M1182" s="400">
        <v>15</v>
      </c>
      <c r="N1182" s="401" t="str">
        <f t="shared" si="37"/>
        <v>_self</v>
      </c>
      <c r="O1182" s="400">
        <f>LEN(Tableau18[[#This Row],[LABEL]])</f>
        <v>11</v>
      </c>
      <c r="P1182" s="400">
        <v>15</v>
      </c>
      <c r="Q1182" s="400" t="e">
        <f>ROUND(Tableau18[[#This Row],[LEN]]*#REF!+#REF!,0)</f>
        <v>#REF!</v>
      </c>
    </row>
    <row r="1183" spans="1:17" x14ac:dyDescent="0.25">
      <c r="A1183" s="98" t="s">
        <v>1940</v>
      </c>
      <c r="B1183" s="99" t="s">
        <v>353</v>
      </c>
      <c r="C1183" s="100" t="s">
        <v>1941</v>
      </c>
      <c r="D1183" s="80" t="s">
        <v>1177</v>
      </c>
      <c r="E1183" s="82" t="s">
        <v>677</v>
      </c>
      <c r="F1183" s="100" t="s">
        <v>1177</v>
      </c>
      <c r="G1183" s="80" t="s">
        <v>171</v>
      </c>
      <c r="H1183" s="80" t="s">
        <v>656</v>
      </c>
      <c r="I1183" s="100"/>
      <c r="J1183" s="101" t="s">
        <v>708</v>
      </c>
      <c r="K1183" s="101" t="str">
        <f t="shared" si="36"/>
        <v>_</v>
      </c>
      <c r="L1183" s="121">
        <f>ROUND(Tableau18[[#This Row],[LEN]]*7.27,0)</f>
        <v>356</v>
      </c>
      <c r="M1183" s="121">
        <v>15</v>
      </c>
      <c r="N1183" s="138" t="str">
        <f t="shared" si="37"/>
        <v>_self</v>
      </c>
      <c r="O1183" s="121">
        <f>LEN(Tableau18[[#This Row],[LABEL]])</f>
        <v>49</v>
      </c>
      <c r="P1183" s="121">
        <v>15</v>
      </c>
      <c r="Q1183" s="121" t="e">
        <f>ROUND(Tableau18[[#This Row],[LEN]]*#REF!+#REF!,0)</f>
        <v>#REF!</v>
      </c>
    </row>
    <row r="1184" spans="1:17" s="92" customFormat="1" x14ac:dyDescent="0.25">
      <c r="A1184" s="394" t="s">
        <v>354</v>
      </c>
      <c r="B1184" s="395" t="s">
        <v>211</v>
      </c>
      <c r="C1184" s="396" t="s">
        <v>14</v>
      </c>
      <c r="D1184" s="397" t="s">
        <v>1177</v>
      </c>
      <c r="E1184" s="398" t="s">
        <v>678</v>
      </c>
      <c r="F1184" s="396" t="s">
        <v>1177</v>
      </c>
      <c r="G1184" s="397" t="s">
        <v>171</v>
      </c>
      <c r="H1184" s="397" t="str">
        <f>IFERROR(IF(SEARCH(".00.00.00.00.00",Tableau18[[#This Row],[name]],1)=7,"Division",""),"")</f>
        <v>Division</v>
      </c>
      <c r="I1184" s="396"/>
      <c r="J1184" s="399" t="s">
        <v>724</v>
      </c>
      <c r="K1184" s="399" t="str">
        <f t="shared" si="36"/>
        <v>Documentation</v>
      </c>
      <c r="L1184" s="400">
        <f>ROUND(Tableau18[[#This Row],[LEN]]*7.27,0)</f>
        <v>240</v>
      </c>
      <c r="M1184" s="400">
        <v>15</v>
      </c>
      <c r="N1184" s="401" t="str">
        <f t="shared" si="37"/>
        <v>_blank</v>
      </c>
      <c r="O1184" s="400">
        <f>LEN(Tableau18[[#This Row],[LABEL]])</f>
        <v>33</v>
      </c>
      <c r="P1184" s="400">
        <v>15</v>
      </c>
      <c r="Q1184" s="400" t="e">
        <f>ROUND(Tableau18[[#This Row],[LEN]]*#REF!+#REF!,0)</f>
        <v>#REF!</v>
      </c>
    </row>
    <row r="1185" spans="1:17" x14ac:dyDescent="0.25">
      <c r="A1185" s="98" t="s">
        <v>1942</v>
      </c>
      <c r="B1185" s="99" t="s">
        <v>354</v>
      </c>
      <c r="C1185" s="100" t="s">
        <v>1943</v>
      </c>
      <c r="D1185" s="80" t="s">
        <v>1177</v>
      </c>
      <c r="E1185" s="82" t="s">
        <v>678</v>
      </c>
      <c r="F1185" s="100" t="s">
        <v>1177</v>
      </c>
      <c r="G1185" s="80" t="s">
        <v>171</v>
      </c>
      <c r="H1185" s="80" t="s">
        <v>656</v>
      </c>
      <c r="I1185" s="100"/>
      <c r="J1185" s="101" t="s">
        <v>708</v>
      </c>
      <c r="K1185" s="101" t="str">
        <f t="shared" si="36"/>
        <v>_</v>
      </c>
      <c r="L1185" s="121">
        <f>ROUND(Tableau18[[#This Row],[LEN]]*7.27,0)</f>
        <v>196</v>
      </c>
      <c r="M1185" s="121">
        <v>15</v>
      </c>
      <c r="N1185" s="138" t="str">
        <f t="shared" si="37"/>
        <v>_self</v>
      </c>
      <c r="O1185" s="121">
        <f>LEN(Tableau18[[#This Row],[LABEL]])</f>
        <v>27</v>
      </c>
      <c r="P1185" s="121">
        <v>15</v>
      </c>
      <c r="Q1185" s="121" t="e">
        <f>ROUND(Tableau18[[#This Row],[LEN]]*#REF!+#REF!,0)</f>
        <v>#REF!</v>
      </c>
    </row>
    <row r="1186" spans="1:17" s="92" customFormat="1" x14ac:dyDescent="0.25">
      <c r="A1186" s="402" t="s">
        <v>355</v>
      </c>
      <c r="B1186" s="403" t="s">
        <v>211</v>
      </c>
      <c r="C1186" s="404" t="s">
        <v>15</v>
      </c>
      <c r="D1186" s="405" t="s">
        <v>1177</v>
      </c>
      <c r="E1186" s="406" t="s">
        <v>679</v>
      </c>
      <c r="F1186" s="404" t="s">
        <v>1177</v>
      </c>
      <c r="G1186" s="405" t="s">
        <v>171</v>
      </c>
      <c r="H1186" s="405" t="str">
        <f>IFERROR(IF(SEARCH(".00.00.00.00.00",Tableau18[[#This Row],[name]],1)=7,"Division",""),"")</f>
        <v>Division</v>
      </c>
      <c r="I1186" s="404"/>
      <c r="J1186" s="407" t="s">
        <v>708</v>
      </c>
      <c r="K1186" s="407" t="str">
        <f t="shared" si="36"/>
        <v>_</v>
      </c>
      <c r="L1186" s="408">
        <f>ROUND(Tableau18[[#This Row],[LEN]]*7.27,0)</f>
        <v>174</v>
      </c>
      <c r="M1186" s="408">
        <v>15</v>
      </c>
      <c r="N1186" s="409" t="str">
        <f t="shared" si="37"/>
        <v>_self</v>
      </c>
      <c r="O1186" s="408">
        <f>LEN(Tableau18[[#This Row],[LABEL]])</f>
        <v>24</v>
      </c>
      <c r="P1186" s="408">
        <v>15</v>
      </c>
      <c r="Q1186" s="408" t="e">
        <f>ROUND(Tableau18[[#This Row],[LEN]]*#REF!+#REF!,0)</f>
        <v>#REF!</v>
      </c>
    </row>
    <row r="1187" spans="1:17" x14ac:dyDescent="0.25">
      <c r="A1187" s="98" t="s">
        <v>1944</v>
      </c>
      <c r="B1187" s="99" t="s">
        <v>355</v>
      </c>
      <c r="C1187" s="100" t="s">
        <v>1946</v>
      </c>
      <c r="D1187" s="80" t="s">
        <v>1177</v>
      </c>
      <c r="E1187" s="82" t="s">
        <v>679</v>
      </c>
      <c r="F1187" s="100" t="s">
        <v>1177</v>
      </c>
      <c r="G1187" s="80" t="s">
        <v>171</v>
      </c>
      <c r="H1187" s="80" t="s">
        <v>656</v>
      </c>
      <c r="I1187" s="100"/>
      <c r="J1187" s="101" t="s">
        <v>708</v>
      </c>
      <c r="K1187" s="101" t="str">
        <f t="shared" si="36"/>
        <v>_</v>
      </c>
      <c r="L1187" s="121">
        <f>ROUND(Tableau18[[#This Row],[LEN]]*7.27,0)</f>
        <v>313</v>
      </c>
      <c r="M1187" s="121">
        <v>15</v>
      </c>
      <c r="N1187" s="138" t="str">
        <f t="shared" si="37"/>
        <v>_self</v>
      </c>
      <c r="O1187" s="121">
        <f>LEN(Tableau18[[#This Row],[LABEL]])</f>
        <v>43</v>
      </c>
      <c r="P1187" s="121">
        <v>15</v>
      </c>
      <c r="Q1187" s="121" t="e">
        <f>ROUND(Tableau18[[#This Row],[LEN]]*#REF!+#REF!,0)</f>
        <v>#REF!</v>
      </c>
    </row>
    <row r="1188" spans="1:17" x14ac:dyDescent="0.25">
      <c r="A1188" s="98" t="s">
        <v>1945</v>
      </c>
      <c r="B1188" s="99" t="s">
        <v>355</v>
      </c>
      <c r="C1188" s="100" t="s">
        <v>1947</v>
      </c>
      <c r="D1188" s="80" t="s">
        <v>1948</v>
      </c>
      <c r="E1188" s="82" t="s">
        <v>679</v>
      </c>
      <c r="F1188" s="100" t="s">
        <v>1177</v>
      </c>
      <c r="G1188" s="80" t="s">
        <v>171</v>
      </c>
      <c r="H1188" s="80" t="s">
        <v>656</v>
      </c>
      <c r="I1188" s="100"/>
      <c r="J1188" s="101" t="s">
        <v>708</v>
      </c>
      <c r="K1188" s="101" t="str">
        <f t="shared" si="36"/>
        <v>_</v>
      </c>
      <c r="L1188" s="121">
        <f>ROUND(Tableau18[[#This Row],[LEN]]*7.27,0)</f>
        <v>262</v>
      </c>
      <c r="M1188" s="121">
        <v>15</v>
      </c>
      <c r="N1188" s="138" t="str">
        <f t="shared" si="37"/>
        <v>_self</v>
      </c>
      <c r="O1188" s="121">
        <f>LEN(Tableau18[[#This Row],[LABEL]])</f>
        <v>36</v>
      </c>
      <c r="P1188" s="121">
        <v>15</v>
      </c>
      <c r="Q1188" s="121" t="e">
        <f>ROUND(Tableau18[[#This Row],[LEN]]*#REF!+#REF!,0)</f>
        <v>#REF!</v>
      </c>
    </row>
    <row r="1189" spans="1:17" s="92" customFormat="1" x14ac:dyDescent="0.25">
      <c r="A1189" s="402" t="s">
        <v>2059</v>
      </c>
      <c r="B1189" s="403" t="s">
        <v>211</v>
      </c>
      <c r="C1189" s="404" t="s">
        <v>1950</v>
      </c>
      <c r="D1189" s="405" t="s">
        <v>1177</v>
      </c>
      <c r="E1189" s="406" t="s">
        <v>1951</v>
      </c>
      <c r="F1189" s="404" t="s">
        <v>1177</v>
      </c>
      <c r="G1189" s="405" t="s">
        <v>171</v>
      </c>
      <c r="H1189" s="405" t="str">
        <f>IFERROR(IF(SEARCH(".00.00.00.00.00",Tableau18[[#This Row],[name]],1)=7,"Division",""),"")</f>
        <v>Division</v>
      </c>
      <c r="I1189" s="404"/>
      <c r="J1189" s="407" t="s">
        <v>708</v>
      </c>
      <c r="K1189" s="407" t="str">
        <f t="shared" si="36"/>
        <v>_</v>
      </c>
      <c r="L1189" s="408">
        <f>ROUND(Tableau18[[#This Row],[LEN]]*7.27,0)</f>
        <v>51</v>
      </c>
      <c r="M1189" s="408">
        <v>15</v>
      </c>
      <c r="N1189" s="409" t="str">
        <f t="shared" si="37"/>
        <v>_self</v>
      </c>
      <c r="O1189" s="408">
        <f>LEN(Tableau18[[#This Row],[LABEL]])</f>
        <v>7</v>
      </c>
      <c r="P1189" s="408">
        <v>15</v>
      </c>
      <c r="Q1189" s="408" t="e">
        <f>ROUND(Tableau18[[#This Row],[LEN]]*#REF!+#REF!,0)</f>
        <v>#REF!</v>
      </c>
    </row>
    <row r="1190" spans="1:17" x14ac:dyDescent="0.25">
      <c r="A1190" s="98" t="s">
        <v>2060</v>
      </c>
      <c r="B1190" s="99" t="s">
        <v>2059</v>
      </c>
      <c r="C1190" s="100" t="s">
        <v>2068</v>
      </c>
      <c r="D1190" s="80" t="s">
        <v>1177</v>
      </c>
      <c r="E1190" s="82" t="s">
        <v>1951</v>
      </c>
      <c r="F1190" s="100" t="s">
        <v>1177</v>
      </c>
      <c r="G1190" s="80" t="s">
        <v>170</v>
      </c>
      <c r="H1190" s="80" t="s">
        <v>656</v>
      </c>
      <c r="I1190" s="100"/>
      <c r="J1190" s="101" t="s">
        <v>708</v>
      </c>
      <c r="K1190" s="101" t="str">
        <f t="shared" si="36"/>
        <v>_</v>
      </c>
      <c r="L1190" s="121">
        <f>ROUND(Tableau18[[#This Row],[LEN]]*7.27,0)</f>
        <v>422</v>
      </c>
      <c r="M1190" s="121">
        <v>15</v>
      </c>
      <c r="N1190" s="138" t="str">
        <f t="shared" si="37"/>
        <v>_self</v>
      </c>
      <c r="O1190" s="121">
        <f>LEN(Tableau18[[#This Row],[LABEL]])</f>
        <v>58</v>
      </c>
      <c r="P1190" s="121">
        <v>15</v>
      </c>
      <c r="Q1190" s="121" t="e">
        <f>ROUND(Tableau18[[#This Row],[LEN]]*#REF!+#REF!,0)</f>
        <v>#REF!</v>
      </c>
    </row>
    <row r="1191" spans="1:17" x14ac:dyDescent="0.25">
      <c r="A1191" s="98" t="s">
        <v>2061</v>
      </c>
      <c r="B1191" s="99" t="s">
        <v>2059</v>
      </c>
      <c r="C1191" s="100" t="s">
        <v>2069</v>
      </c>
      <c r="D1191" s="80" t="s">
        <v>1177</v>
      </c>
      <c r="E1191" s="82" t="s">
        <v>1951</v>
      </c>
      <c r="F1191" s="100" t="s">
        <v>1177</v>
      </c>
      <c r="G1191" s="80" t="s">
        <v>170</v>
      </c>
      <c r="H1191" s="80" t="s">
        <v>656</v>
      </c>
      <c r="I1191" s="100"/>
      <c r="J1191" s="101" t="s">
        <v>708</v>
      </c>
      <c r="K1191" s="101" t="str">
        <f t="shared" si="36"/>
        <v>_</v>
      </c>
      <c r="L1191" s="121">
        <f>ROUND(Tableau18[[#This Row],[LEN]]*7.27,0)</f>
        <v>116</v>
      </c>
      <c r="M1191" s="121">
        <v>15</v>
      </c>
      <c r="N1191" s="138" t="str">
        <f t="shared" si="37"/>
        <v>_self</v>
      </c>
      <c r="O1191" s="121">
        <f>LEN(Tableau18[[#This Row],[LABEL]])</f>
        <v>16</v>
      </c>
      <c r="P1191" s="121">
        <v>15</v>
      </c>
      <c r="Q1191" s="121" t="e">
        <f>ROUND(Tableau18[[#This Row],[LEN]]*#REF!+#REF!,0)</f>
        <v>#REF!</v>
      </c>
    </row>
    <row r="1192" spans="1:17" x14ac:dyDescent="0.25">
      <c r="A1192" s="98" t="s">
        <v>2062</v>
      </c>
      <c r="B1192" s="99" t="s">
        <v>2059</v>
      </c>
      <c r="C1192" s="100" t="s">
        <v>2070</v>
      </c>
      <c r="D1192" s="80" t="s">
        <v>1177</v>
      </c>
      <c r="E1192" s="82" t="s">
        <v>1951</v>
      </c>
      <c r="F1192" s="100" t="s">
        <v>1177</v>
      </c>
      <c r="G1192" s="80" t="s">
        <v>170</v>
      </c>
      <c r="H1192" s="80" t="s">
        <v>656</v>
      </c>
      <c r="I1192" s="100"/>
      <c r="J1192" s="101" t="s">
        <v>708</v>
      </c>
      <c r="K1192" s="101" t="str">
        <f t="shared" si="36"/>
        <v>_</v>
      </c>
      <c r="L1192" s="121">
        <f>ROUND(Tableau18[[#This Row],[LEN]]*7.27,0)</f>
        <v>429</v>
      </c>
      <c r="M1192" s="121">
        <v>15</v>
      </c>
      <c r="N1192" s="138" t="str">
        <f t="shared" si="37"/>
        <v>_self</v>
      </c>
      <c r="O1192" s="121">
        <f>LEN(Tableau18[[#This Row],[LABEL]])</f>
        <v>59</v>
      </c>
      <c r="P1192" s="121">
        <v>15</v>
      </c>
      <c r="Q1192" s="121" t="e">
        <f>ROUND(Tableau18[[#This Row],[LEN]]*#REF!+#REF!,0)</f>
        <v>#REF!</v>
      </c>
    </row>
    <row r="1193" spans="1:17" x14ac:dyDescent="0.25">
      <c r="A1193" s="98" t="s">
        <v>2063</v>
      </c>
      <c r="B1193" s="99" t="s">
        <v>2059</v>
      </c>
      <c r="C1193" s="100" t="s">
        <v>2071</v>
      </c>
      <c r="D1193" s="80" t="s">
        <v>1177</v>
      </c>
      <c r="E1193" s="82" t="s">
        <v>1951</v>
      </c>
      <c r="F1193" s="100" t="s">
        <v>1177</v>
      </c>
      <c r="G1193" s="80" t="s">
        <v>170</v>
      </c>
      <c r="H1193" s="80" t="s">
        <v>656</v>
      </c>
      <c r="I1193" s="100"/>
      <c r="J1193" s="101" t="s">
        <v>708</v>
      </c>
      <c r="K1193" s="101" t="str">
        <f t="shared" si="36"/>
        <v>_</v>
      </c>
      <c r="L1193" s="121">
        <f>ROUND(Tableau18[[#This Row],[LEN]]*7.27,0)</f>
        <v>385</v>
      </c>
      <c r="M1193" s="121">
        <v>15</v>
      </c>
      <c r="N1193" s="138" t="str">
        <f t="shared" si="37"/>
        <v>_self</v>
      </c>
      <c r="O1193" s="121">
        <f>LEN(Tableau18[[#This Row],[LABEL]])</f>
        <v>53</v>
      </c>
      <c r="P1193" s="121">
        <v>15</v>
      </c>
      <c r="Q1193" s="121" t="e">
        <f>ROUND(Tableau18[[#This Row],[LEN]]*#REF!+#REF!,0)</f>
        <v>#REF!</v>
      </c>
    </row>
    <row r="1194" spans="1:17" x14ac:dyDescent="0.25">
      <c r="A1194" s="98" t="s">
        <v>2064</v>
      </c>
      <c r="B1194" s="99" t="s">
        <v>2059</v>
      </c>
      <c r="C1194" s="100" t="s">
        <v>2072</v>
      </c>
      <c r="D1194" s="80" t="s">
        <v>1177</v>
      </c>
      <c r="E1194" s="82" t="s">
        <v>1951</v>
      </c>
      <c r="F1194" s="100" t="s">
        <v>1177</v>
      </c>
      <c r="G1194" s="80" t="s">
        <v>170</v>
      </c>
      <c r="H1194" s="80" t="s">
        <v>656</v>
      </c>
      <c r="I1194" s="100"/>
      <c r="J1194" s="101" t="s">
        <v>708</v>
      </c>
      <c r="K1194" s="101" t="str">
        <f t="shared" si="36"/>
        <v>_</v>
      </c>
      <c r="L1194" s="121">
        <f>ROUND(Tableau18[[#This Row],[LEN]]*7.27,0)</f>
        <v>494</v>
      </c>
      <c r="M1194" s="121">
        <v>15</v>
      </c>
      <c r="N1194" s="138" t="str">
        <f t="shared" si="37"/>
        <v>_self</v>
      </c>
      <c r="O1194" s="121">
        <f>LEN(Tableau18[[#This Row],[LABEL]])</f>
        <v>68</v>
      </c>
      <c r="P1194" s="121">
        <v>15</v>
      </c>
      <c r="Q1194" s="121" t="e">
        <f>ROUND(Tableau18[[#This Row],[LEN]]*#REF!+#REF!,0)</f>
        <v>#REF!</v>
      </c>
    </row>
    <row r="1195" spans="1:17" x14ac:dyDescent="0.25">
      <c r="A1195" s="98" t="s">
        <v>2065</v>
      </c>
      <c r="B1195" s="99" t="s">
        <v>2059</v>
      </c>
      <c r="C1195" s="100" t="s">
        <v>2073</v>
      </c>
      <c r="D1195" s="80" t="s">
        <v>1177</v>
      </c>
      <c r="E1195" s="82" t="s">
        <v>1951</v>
      </c>
      <c r="F1195" s="100" t="s">
        <v>1177</v>
      </c>
      <c r="G1195" s="80" t="s">
        <v>170</v>
      </c>
      <c r="H1195" s="80" t="s">
        <v>656</v>
      </c>
      <c r="I1195" s="100"/>
      <c r="J1195" s="101" t="s">
        <v>708</v>
      </c>
      <c r="K1195" s="101" t="str">
        <f t="shared" si="36"/>
        <v>_</v>
      </c>
      <c r="L1195" s="121">
        <f>ROUND(Tableau18[[#This Row],[LEN]]*7.27,0)</f>
        <v>196</v>
      </c>
      <c r="M1195" s="121">
        <v>15</v>
      </c>
      <c r="N1195" s="138" t="str">
        <f t="shared" si="37"/>
        <v>_self</v>
      </c>
      <c r="O1195" s="121">
        <f>LEN(Tableau18[[#This Row],[LABEL]])</f>
        <v>27</v>
      </c>
      <c r="P1195" s="121">
        <v>15</v>
      </c>
      <c r="Q1195" s="121" t="e">
        <f>ROUND(Tableau18[[#This Row],[LEN]]*#REF!+#REF!,0)</f>
        <v>#REF!</v>
      </c>
    </row>
    <row r="1196" spans="1:17" x14ac:dyDescent="0.25">
      <c r="A1196" s="98" t="s">
        <v>2066</v>
      </c>
      <c r="B1196" s="99" t="s">
        <v>2059</v>
      </c>
      <c r="C1196" s="100" t="s">
        <v>602</v>
      </c>
      <c r="D1196" s="80" t="s">
        <v>1177</v>
      </c>
      <c r="E1196" s="82" t="s">
        <v>1951</v>
      </c>
      <c r="F1196" s="100" t="s">
        <v>1177</v>
      </c>
      <c r="G1196" s="80" t="s">
        <v>170</v>
      </c>
      <c r="H1196" s="80" t="s">
        <v>656</v>
      </c>
      <c r="I1196" s="100"/>
      <c r="J1196" s="101" t="s">
        <v>708</v>
      </c>
      <c r="K1196" s="101" t="str">
        <f t="shared" si="36"/>
        <v>_</v>
      </c>
      <c r="L1196" s="121">
        <f>ROUND(Tableau18[[#This Row],[LEN]]*7.27,0)</f>
        <v>553</v>
      </c>
      <c r="M1196" s="121">
        <v>15</v>
      </c>
      <c r="N1196" s="138" t="str">
        <f t="shared" si="37"/>
        <v>_self</v>
      </c>
      <c r="O1196" s="121">
        <f>LEN(Tableau18[[#This Row],[LABEL]])</f>
        <v>76</v>
      </c>
      <c r="P1196" s="121">
        <v>15</v>
      </c>
      <c r="Q1196" s="121" t="e">
        <f>ROUND(Tableau18[[#This Row],[LEN]]*#REF!+#REF!,0)</f>
        <v>#REF!</v>
      </c>
    </row>
    <row r="1197" spans="1:17" x14ac:dyDescent="0.25">
      <c r="A1197" s="98" t="s">
        <v>2067</v>
      </c>
      <c r="B1197" s="99" t="s">
        <v>2059</v>
      </c>
      <c r="C1197" s="100" t="s">
        <v>2074</v>
      </c>
      <c r="D1197" s="80" t="s">
        <v>1177</v>
      </c>
      <c r="E1197" s="82" t="s">
        <v>1951</v>
      </c>
      <c r="F1197" s="100" t="s">
        <v>1177</v>
      </c>
      <c r="G1197" s="80" t="s">
        <v>170</v>
      </c>
      <c r="H1197" s="80" t="s">
        <v>656</v>
      </c>
      <c r="I1197" s="100"/>
      <c r="J1197" s="101" t="s">
        <v>708</v>
      </c>
      <c r="K1197" s="101" t="str">
        <f t="shared" si="36"/>
        <v>_</v>
      </c>
      <c r="L1197" s="121">
        <f>ROUND(Tableau18[[#This Row],[LEN]]*7.27,0)</f>
        <v>502</v>
      </c>
      <c r="M1197" s="121">
        <v>15</v>
      </c>
      <c r="N1197" s="138" t="str">
        <f t="shared" si="37"/>
        <v>_self</v>
      </c>
      <c r="O1197" s="121">
        <f>LEN(Tableau18[[#This Row],[LABEL]])</f>
        <v>69</v>
      </c>
      <c r="P1197" s="121">
        <v>15</v>
      </c>
      <c r="Q1197" s="121" t="e">
        <f>ROUND(Tableau18[[#This Row],[LEN]]*#REF!+#REF!,0)</f>
        <v>#REF!</v>
      </c>
    </row>
  </sheetData>
  <dataValidations count="1">
    <dataValidation type="list" allowBlank="1" showInputMessage="1" showErrorMessage="1" sqref="H2:H1197">
      <formula1>listType</formula1>
    </dataValidation>
  </dataValidations>
  <hyperlinks>
    <hyperlink ref="J418" r:id="rId1"/>
    <hyperlink ref="J953" r:id="rId2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21"/>
  <sheetViews>
    <sheetView zoomScale="70" zoomScaleNormal="70" workbookViewId="0">
      <selection activeCell="J26" sqref="J26"/>
    </sheetView>
  </sheetViews>
  <sheetFormatPr defaultColWidth="11.42578125" defaultRowHeight="15" x14ac:dyDescent="0.25"/>
  <cols>
    <col min="1" max="4" width="34.5703125" style="1" customWidth="1"/>
    <col min="5" max="5" width="28.85546875" style="1" customWidth="1"/>
    <col min="6" max="6" width="16.42578125" style="1" customWidth="1"/>
    <col min="7" max="8" width="11.42578125" style="1"/>
    <col min="9" max="9" width="46.28515625" style="1" customWidth="1"/>
    <col min="10" max="10" width="36.7109375" style="1" customWidth="1"/>
    <col min="11" max="16384" width="11.42578125" style="1"/>
  </cols>
  <sheetData>
    <row r="1" spans="1:10" s="2" customFormat="1" x14ac:dyDescent="0.25">
      <c r="A1" s="5" t="s">
        <v>16</v>
      </c>
      <c r="B1" s="5" t="s">
        <v>39</v>
      </c>
      <c r="C1" s="5" t="s">
        <v>20</v>
      </c>
      <c r="D1" s="5" t="s">
        <v>36</v>
      </c>
      <c r="E1" s="5" t="s">
        <v>43</v>
      </c>
      <c r="F1" s="418" t="s">
        <v>51</v>
      </c>
      <c r="G1" s="418"/>
      <c r="H1" s="5"/>
      <c r="I1" s="418" t="s">
        <v>635</v>
      </c>
      <c r="J1" s="418"/>
    </row>
    <row r="2" spans="1:10" x14ac:dyDescent="0.25">
      <c r="A2" s="1" t="s">
        <v>654</v>
      </c>
      <c r="B2" s="1" t="s">
        <v>41</v>
      </c>
      <c r="C2" s="1" t="s">
        <v>23</v>
      </c>
      <c r="D2" s="1" t="s">
        <v>23</v>
      </c>
      <c r="E2" s="1" t="s">
        <v>44</v>
      </c>
      <c r="F2" s="3" t="s">
        <v>52</v>
      </c>
      <c r="G2" s="1">
        <v>-206276.71521739129</v>
      </c>
      <c r="I2" s="1" t="s">
        <v>58</v>
      </c>
      <c r="J2" s="1" t="s">
        <v>636</v>
      </c>
    </row>
    <row r="3" spans="1:10" x14ac:dyDescent="0.25">
      <c r="A3" s="1" t="s">
        <v>18</v>
      </c>
      <c r="B3" s="1" t="s">
        <v>42</v>
      </c>
      <c r="C3" s="1" t="s">
        <v>21</v>
      </c>
      <c r="D3" s="1" t="s">
        <v>21</v>
      </c>
      <c r="E3" s="1" t="s">
        <v>45</v>
      </c>
      <c r="F3" s="3" t="s">
        <v>53</v>
      </c>
      <c r="G3" s="1">
        <v>16906037.731884059</v>
      </c>
      <c r="I3" s="1" t="s">
        <v>617</v>
      </c>
      <c r="J3" s="1" t="s">
        <v>637</v>
      </c>
    </row>
    <row r="4" spans="1:10" x14ac:dyDescent="0.25">
      <c r="A4" s="1" t="s">
        <v>570</v>
      </c>
      <c r="B4" s="1" t="s">
        <v>49</v>
      </c>
      <c r="C4" s="1" t="s">
        <v>22</v>
      </c>
      <c r="D4" s="1" t="s">
        <v>22</v>
      </c>
      <c r="E4" s="1" t="s">
        <v>46</v>
      </c>
      <c r="F4" s="3"/>
      <c r="I4" s="1" t="s">
        <v>618</v>
      </c>
      <c r="J4" s="1" t="s">
        <v>638</v>
      </c>
    </row>
    <row r="5" spans="1:10" x14ac:dyDescent="0.25">
      <c r="A5" s="1" t="s">
        <v>656</v>
      </c>
      <c r="C5" s="1" t="s">
        <v>28</v>
      </c>
      <c r="D5" s="1" t="s">
        <v>28</v>
      </c>
      <c r="F5" s="3"/>
      <c r="I5" s="1" t="s">
        <v>619</v>
      </c>
      <c r="J5" s="1" t="s">
        <v>639</v>
      </c>
    </row>
    <row r="6" spans="1:10" x14ac:dyDescent="0.25">
      <c r="A6" s="1" t="s">
        <v>1131</v>
      </c>
      <c r="C6" s="1" t="s">
        <v>48</v>
      </c>
      <c r="D6" s="1" t="s">
        <v>48</v>
      </c>
      <c r="I6" s="1" t="s">
        <v>620</v>
      </c>
      <c r="J6" s="1" t="s">
        <v>640</v>
      </c>
    </row>
    <row r="7" spans="1:10" x14ac:dyDescent="0.25">
      <c r="A7" s="1" t="s">
        <v>17</v>
      </c>
      <c r="C7" s="1" t="s">
        <v>37</v>
      </c>
      <c r="D7" s="1" t="s">
        <v>40</v>
      </c>
      <c r="I7" s="1" t="s">
        <v>621</v>
      </c>
      <c r="J7" s="1" t="s">
        <v>641</v>
      </c>
    </row>
    <row r="8" spans="1:10" x14ac:dyDescent="0.25">
      <c r="A8" s="1" t="s">
        <v>19</v>
      </c>
      <c r="C8" s="1" t="s">
        <v>30</v>
      </c>
      <c r="D8" s="1" t="s">
        <v>38</v>
      </c>
      <c r="I8" s="1" t="s">
        <v>622</v>
      </c>
      <c r="J8" s="1" t="s">
        <v>642</v>
      </c>
    </row>
    <row r="9" spans="1:10" x14ac:dyDescent="0.25">
      <c r="A9" s="1" t="s">
        <v>56</v>
      </c>
      <c r="C9" s="1" t="s">
        <v>32</v>
      </c>
      <c r="D9" s="1" t="s">
        <v>32</v>
      </c>
      <c r="I9" s="1" t="s">
        <v>623</v>
      </c>
      <c r="J9" s="1" t="s">
        <v>643</v>
      </c>
    </row>
    <row r="10" spans="1:10" x14ac:dyDescent="0.25">
      <c r="A10" s="1" t="s">
        <v>655</v>
      </c>
      <c r="C10" s="1" t="s">
        <v>33</v>
      </c>
      <c r="D10" s="1" t="s">
        <v>33</v>
      </c>
      <c r="I10" s="1" t="s">
        <v>624</v>
      </c>
      <c r="J10" s="1" t="s">
        <v>644</v>
      </c>
    </row>
    <row r="11" spans="1:10" x14ac:dyDescent="0.25">
      <c r="A11" s="1" t="s">
        <v>615</v>
      </c>
      <c r="C11" s="1" t="s">
        <v>31</v>
      </c>
      <c r="D11" s="1" t="s">
        <v>31</v>
      </c>
      <c r="I11" s="1" t="s">
        <v>625</v>
      </c>
      <c r="J11" s="1" t="s">
        <v>645</v>
      </c>
    </row>
    <row r="12" spans="1:10" x14ac:dyDescent="0.25">
      <c r="A12" s="1" t="s">
        <v>657</v>
      </c>
      <c r="C12" s="1" t="s">
        <v>47</v>
      </c>
      <c r="D12" s="1" t="s">
        <v>24</v>
      </c>
      <c r="I12" s="1" t="s">
        <v>626</v>
      </c>
      <c r="J12" s="1" t="s">
        <v>646</v>
      </c>
    </row>
    <row r="13" spans="1:10" x14ac:dyDescent="0.25">
      <c r="A13" s="1" t="s">
        <v>616</v>
      </c>
      <c r="C13" s="1" t="s">
        <v>34</v>
      </c>
      <c r="D13" s="1" t="s">
        <v>25</v>
      </c>
      <c r="I13" s="1" t="s">
        <v>627</v>
      </c>
      <c r="J13" s="1" t="s">
        <v>647</v>
      </c>
    </row>
    <row r="14" spans="1:10" x14ac:dyDescent="0.25">
      <c r="C14" s="1" t="s">
        <v>24</v>
      </c>
      <c r="D14" s="1" t="s">
        <v>26</v>
      </c>
      <c r="I14" s="1" t="s">
        <v>628</v>
      </c>
      <c r="J14" s="1" t="s">
        <v>648</v>
      </c>
    </row>
    <row r="15" spans="1:10" x14ac:dyDescent="0.25">
      <c r="C15" s="1" t="s">
        <v>25</v>
      </c>
      <c r="D15" s="1" t="s">
        <v>29</v>
      </c>
      <c r="I15" s="1" t="s">
        <v>629</v>
      </c>
      <c r="J15" s="1" t="s">
        <v>649</v>
      </c>
    </row>
    <row r="16" spans="1:10" x14ac:dyDescent="0.25">
      <c r="C16" s="1" t="s">
        <v>26</v>
      </c>
      <c r="I16" s="1" t="s">
        <v>630</v>
      </c>
      <c r="J16" s="1" t="s">
        <v>650</v>
      </c>
    </row>
    <row r="17" spans="3:10" x14ac:dyDescent="0.25">
      <c r="C17" s="1" t="s">
        <v>29</v>
      </c>
      <c r="I17" s="1" t="s">
        <v>631</v>
      </c>
      <c r="J17" s="1" t="s">
        <v>651</v>
      </c>
    </row>
    <row r="18" spans="3:10" x14ac:dyDescent="0.25">
      <c r="C18" s="1" t="s">
        <v>35</v>
      </c>
      <c r="I18" s="1" t="s">
        <v>632</v>
      </c>
      <c r="J18" s="1" t="s">
        <v>652</v>
      </c>
    </row>
    <row r="19" spans="3:10" x14ac:dyDescent="0.25">
      <c r="C19" s="1" t="s">
        <v>27</v>
      </c>
      <c r="I19" s="1" t="s">
        <v>633</v>
      </c>
      <c r="J19" s="1" t="s">
        <v>653</v>
      </c>
    </row>
    <row r="20" spans="3:10" x14ac:dyDescent="0.25">
      <c r="I20" s="1" t="s">
        <v>634</v>
      </c>
    </row>
    <row r="21" spans="3:10" x14ac:dyDescent="0.25">
      <c r="I21" s="1" t="s">
        <v>1949</v>
      </c>
    </row>
  </sheetData>
  <mergeCells count="2">
    <mergeCell ref="F1:G1"/>
    <mergeCell ref="I1:J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P1156"/>
  <sheetViews>
    <sheetView zoomScale="85" zoomScaleNormal="85" workbookViewId="0">
      <pane xSplit="3" ySplit="1" topLeftCell="D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28</v>
      </c>
      <c r="E2" s="142" t="s">
        <v>58</v>
      </c>
      <c r="F2" s="143" t="s">
        <v>665</v>
      </c>
      <c r="G2" s="142" t="s">
        <v>69</v>
      </c>
      <c r="H2" s="142" t="s">
        <v>657</v>
      </c>
      <c r="I2" s="143"/>
      <c r="J2" s="144" t="s">
        <v>708</v>
      </c>
      <c r="K2" s="145">
        <f>ROUND(Tableau13[[#This Row],[LEN]]*7.27,0)</f>
        <v>44</v>
      </c>
      <c r="L2" s="145">
        <v>15</v>
      </c>
      <c r="M2" s="146" t="str">
        <f t="shared" ref="M2:M93" si="0">IF(J2="javascript:void(0)","none","new")</f>
        <v>none</v>
      </c>
      <c r="N2" s="145">
        <f>LEN(Tableau13[[#This Row],[LABEL]])</f>
        <v>6</v>
      </c>
      <c r="O2" s="147">
        <v>15</v>
      </c>
      <c r="P2" s="147" t="e">
        <f>ROUND(Tableau13[[#This Row],[LEN]]*#REF!+#REF!,0)</f>
        <v>#REF!</v>
      </c>
    </row>
    <row r="3" spans="1:16" x14ac:dyDescent="0.25">
      <c r="A3" s="93" t="s">
        <v>199</v>
      </c>
      <c r="B3" s="93" t="s">
        <v>198</v>
      </c>
      <c r="C3" s="81" t="s">
        <v>1158</v>
      </c>
      <c r="D3" s="83" t="s">
        <v>180</v>
      </c>
      <c r="E3" s="83" t="s">
        <v>58</v>
      </c>
      <c r="F3" s="94" t="s">
        <v>665</v>
      </c>
      <c r="G3" s="83" t="s">
        <v>171</v>
      </c>
      <c r="H3" s="83" t="s">
        <v>615</v>
      </c>
      <c r="I3" s="94"/>
      <c r="J3" s="95" t="s">
        <v>707</v>
      </c>
      <c r="K3" s="104">
        <f>ROUND(Tableau13[[#This Row],[LEN]]*7.27,0)</f>
        <v>102</v>
      </c>
      <c r="L3" s="104">
        <v>15</v>
      </c>
      <c r="M3" s="122" t="str">
        <f t="shared" si="0"/>
        <v>new</v>
      </c>
      <c r="N3" s="104">
        <f>LEN(Tableau13[[#This Row],[LABEL]])</f>
        <v>14</v>
      </c>
      <c r="O3" s="148">
        <v>15</v>
      </c>
      <c r="P3" s="148" t="e">
        <f>ROUND(Tableau13[[#This Row],[LEN]]*#REF!+#REF!,0)</f>
        <v>#REF!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58</v>
      </c>
      <c r="F4" s="151"/>
      <c r="G4" s="150" t="s">
        <v>70</v>
      </c>
      <c r="H4" s="150" t="s">
        <v>616</v>
      </c>
      <c r="I4" s="151"/>
      <c r="J4" s="152" t="s">
        <v>708</v>
      </c>
      <c r="K4" s="153">
        <f>ROUND(Tableau13[[#This Row],[LEN]]*7.27,0)</f>
        <v>80</v>
      </c>
      <c r="L4" s="153">
        <v>15</v>
      </c>
      <c r="M4" s="154" t="str">
        <f t="shared" si="0"/>
        <v>none</v>
      </c>
      <c r="N4" s="153">
        <f>LEN(Tableau13[[#This Row],[LABEL]])</f>
        <v>11</v>
      </c>
      <c r="O4" s="155">
        <v>15</v>
      </c>
      <c r="P4" s="155" t="e">
        <f>ROUND(Tableau13[[#This Row],[LEN]]*#REF!+#REF!,0)</f>
        <v>#REF!</v>
      </c>
    </row>
    <row r="5" spans="1:16" s="92" customFormat="1" ht="15.75" thickTop="1" x14ac:dyDescent="0.25">
      <c r="A5" s="238" t="s">
        <v>212</v>
      </c>
      <c r="B5" s="239" t="s">
        <v>204</v>
      </c>
      <c r="C5" s="240" t="s">
        <v>1</v>
      </c>
      <c r="D5" s="241" t="s">
        <v>28</v>
      </c>
      <c r="E5" s="240" t="s">
        <v>664</v>
      </c>
      <c r="F5" s="240" t="s">
        <v>664</v>
      </c>
      <c r="G5" s="241" t="s">
        <v>70</v>
      </c>
      <c r="H5" s="241" t="str">
        <f>IFERROR(IF(SEARCH(".00.00.00.00.00",Tableau13[[#This Row],[name]],1)=7,"Division",""),"")</f>
        <v>Division</v>
      </c>
      <c r="I5" s="240"/>
      <c r="J5" s="242" t="s">
        <v>708</v>
      </c>
      <c r="K5" s="243">
        <f>ROUND(Tableau13[[#This Row],[LEN]]*7.27,0)</f>
        <v>182</v>
      </c>
      <c r="L5" s="243">
        <v>15</v>
      </c>
      <c r="M5" s="244" t="str">
        <f t="shared" si="0"/>
        <v>none</v>
      </c>
      <c r="N5" s="243">
        <f>LEN(Tableau13[[#This Row],[LABEL]])</f>
        <v>25</v>
      </c>
      <c r="O5" s="243">
        <v>15</v>
      </c>
      <c r="P5" s="243" t="e">
        <f>ROUND(Tableau13[[#This Row],[LEN]]*#REF!+#REF!,0)</f>
        <v>#REF!</v>
      </c>
    </row>
    <row r="6" spans="1:16" s="92" customFormat="1" x14ac:dyDescent="0.25">
      <c r="A6" s="245" t="s">
        <v>213</v>
      </c>
      <c r="B6" s="246" t="s">
        <v>204</v>
      </c>
      <c r="C6" s="247" t="s">
        <v>57</v>
      </c>
      <c r="D6" s="248" t="s">
        <v>28</v>
      </c>
      <c r="E6" s="247" t="s">
        <v>663</v>
      </c>
      <c r="F6" s="247" t="s">
        <v>663</v>
      </c>
      <c r="G6" s="248" t="s">
        <v>70</v>
      </c>
      <c r="H6" s="248" t="str">
        <f>IFERROR(IF(SEARCH(".00.00.00.00.00",Tableau13[[#This Row],[name]],1)=7,"Division",""),"")</f>
        <v>Division</v>
      </c>
      <c r="I6" s="247"/>
      <c r="J6" s="249" t="s">
        <v>709</v>
      </c>
      <c r="K6" s="250">
        <f>ROUND(Tableau13[[#This Row],[LEN]]*7.27,0)</f>
        <v>102</v>
      </c>
      <c r="L6" s="250">
        <v>15</v>
      </c>
      <c r="M6" s="251" t="str">
        <f t="shared" si="0"/>
        <v>new</v>
      </c>
      <c r="N6" s="250">
        <f>LEN(Tableau13[[#This Row],[LABEL]])</f>
        <v>14</v>
      </c>
      <c r="O6" s="250">
        <v>15</v>
      </c>
      <c r="P6" s="250" t="e">
        <f>ROUND(Tableau13[[#This Row],[LEN]]*#REF!+#REF!,0)</f>
        <v>#REF!</v>
      </c>
    </row>
    <row r="7" spans="1:16" x14ac:dyDescent="0.25">
      <c r="A7" s="6" t="s">
        <v>740</v>
      </c>
      <c r="B7" s="7" t="s">
        <v>213</v>
      </c>
      <c r="C7" s="8" t="s">
        <v>746</v>
      </c>
      <c r="D7" s="65" t="s">
        <v>28</v>
      </c>
      <c r="E7" s="8" t="s">
        <v>663</v>
      </c>
      <c r="F7" s="8" t="s">
        <v>663</v>
      </c>
      <c r="G7" s="65" t="s">
        <v>70</v>
      </c>
      <c r="H7" s="65" t="s">
        <v>654</v>
      </c>
      <c r="I7" s="8"/>
      <c r="J7" s="9" t="s">
        <v>708</v>
      </c>
      <c r="K7" s="105">
        <f>ROUND(Tableau13[[#This Row],[LEN]]*7.27,0)</f>
        <v>233</v>
      </c>
      <c r="L7" s="105">
        <v>15</v>
      </c>
      <c r="M7" s="123" t="str">
        <f t="shared" si="0"/>
        <v>none</v>
      </c>
      <c r="N7" s="105">
        <f>LEN(Tableau13[[#This Row],[LABEL]])</f>
        <v>32</v>
      </c>
      <c r="O7" s="105">
        <v>15</v>
      </c>
      <c r="P7" s="105" t="e">
        <f>ROUND(Tableau13[[#This Row],[LEN]]*#REF!+#REF!,0)</f>
        <v>#REF!</v>
      </c>
    </row>
    <row r="8" spans="1:16" x14ac:dyDescent="0.25">
      <c r="A8" s="6" t="s">
        <v>741</v>
      </c>
      <c r="B8" s="7" t="s">
        <v>213</v>
      </c>
      <c r="C8" s="8" t="s">
        <v>64</v>
      </c>
      <c r="D8" s="65" t="s">
        <v>28</v>
      </c>
      <c r="E8" s="8" t="s">
        <v>662</v>
      </c>
      <c r="F8" s="8" t="s">
        <v>680</v>
      </c>
      <c r="G8" s="65" t="s">
        <v>70</v>
      </c>
      <c r="H8" s="65" t="s">
        <v>17</v>
      </c>
      <c r="I8" s="8"/>
      <c r="J8" s="9" t="s">
        <v>708</v>
      </c>
      <c r="K8" s="105">
        <f>ROUND(Tableau13[[#This Row],[LEN]]*7.27,0)</f>
        <v>291</v>
      </c>
      <c r="L8" s="105">
        <v>15</v>
      </c>
      <c r="M8" s="123" t="str">
        <f t="shared" si="0"/>
        <v>none</v>
      </c>
      <c r="N8" s="105">
        <f>LEN(Tableau13[[#This Row],[LABEL]])</f>
        <v>40</v>
      </c>
      <c r="O8" s="105">
        <v>15</v>
      </c>
      <c r="P8" s="105" t="e">
        <f>ROUND(Tableau13[[#This Row],[LEN]]*#REF!+#REF!,0)</f>
        <v>#REF!</v>
      </c>
    </row>
    <row r="9" spans="1:16" x14ac:dyDescent="0.25">
      <c r="A9" s="6" t="s">
        <v>742</v>
      </c>
      <c r="B9" s="7" t="s">
        <v>213</v>
      </c>
      <c r="C9" s="8" t="s">
        <v>747</v>
      </c>
      <c r="D9" s="65" t="s">
        <v>28</v>
      </c>
      <c r="E9" s="8" t="s">
        <v>663</v>
      </c>
      <c r="F9" s="8" t="s">
        <v>663</v>
      </c>
      <c r="G9" s="65" t="s">
        <v>70</v>
      </c>
      <c r="H9" s="65" t="s">
        <v>656</v>
      </c>
      <c r="I9" s="8"/>
      <c r="J9" s="9" t="s">
        <v>708</v>
      </c>
      <c r="K9" s="105">
        <f>ROUND(Tableau13[[#This Row],[LEN]]*7.27,0)</f>
        <v>451</v>
      </c>
      <c r="L9" s="105">
        <v>15</v>
      </c>
      <c r="M9" s="123" t="str">
        <f t="shared" si="0"/>
        <v>none</v>
      </c>
      <c r="N9" s="105">
        <f>LEN(Tableau13[[#This Row],[LABEL]])</f>
        <v>62</v>
      </c>
      <c r="O9" s="105">
        <v>15</v>
      </c>
      <c r="P9" s="105" t="e">
        <f>ROUND(Tableau13[[#This Row],[LEN]]*#REF!+#REF!,0)</f>
        <v>#REF!</v>
      </c>
    </row>
    <row r="10" spans="1:16" x14ac:dyDescent="0.25">
      <c r="A10" s="6" t="s">
        <v>743</v>
      </c>
      <c r="B10" s="7" t="s">
        <v>213</v>
      </c>
      <c r="C10" s="8" t="s">
        <v>65</v>
      </c>
      <c r="D10" s="65" t="s">
        <v>28</v>
      </c>
      <c r="E10" s="8" t="s">
        <v>662</v>
      </c>
      <c r="F10" s="8" t="s">
        <v>682</v>
      </c>
      <c r="G10" s="65" t="s">
        <v>70</v>
      </c>
      <c r="H10" s="65" t="s">
        <v>17</v>
      </c>
      <c r="I10" s="8"/>
      <c r="J10" s="9" t="s">
        <v>708</v>
      </c>
      <c r="K10" s="105">
        <f>ROUND(Tableau13[[#This Row],[LEN]]*7.27,0)</f>
        <v>291</v>
      </c>
      <c r="L10" s="105">
        <v>15</v>
      </c>
      <c r="M10" s="123" t="str">
        <f t="shared" si="0"/>
        <v>none</v>
      </c>
      <c r="N10" s="105">
        <f>LEN(Tableau13[[#This Row],[LABEL]])</f>
        <v>40</v>
      </c>
      <c r="O10" s="105">
        <v>15</v>
      </c>
      <c r="P10" s="105" t="e">
        <f>ROUND(Tableau13[[#This Row],[LEN]]*#REF!+#REF!,0)</f>
        <v>#REF!</v>
      </c>
    </row>
    <row r="11" spans="1:16" x14ac:dyDescent="0.25">
      <c r="A11" s="6" t="s">
        <v>744</v>
      </c>
      <c r="B11" s="7" t="s">
        <v>213</v>
      </c>
      <c r="C11" s="8" t="s">
        <v>748</v>
      </c>
      <c r="D11" s="65" t="s">
        <v>28</v>
      </c>
      <c r="E11" s="8" t="s">
        <v>663</v>
      </c>
      <c r="F11" s="8" t="s">
        <v>663</v>
      </c>
      <c r="G11" s="65" t="s">
        <v>70</v>
      </c>
      <c r="H11" s="65" t="s">
        <v>656</v>
      </c>
      <c r="I11" s="8"/>
      <c r="J11" s="9" t="s">
        <v>708</v>
      </c>
      <c r="K11" s="105">
        <f>ROUND(Tableau13[[#This Row],[LEN]]*7.27,0)</f>
        <v>247</v>
      </c>
      <c r="L11" s="105">
        <v>15</v>
      </c>
      <c r="M11" s="123" t="str">
        <f t="shared" si="0"/>
        <v>none</v>
      </c>
      <c r="N11" s="105">
        <f>LEN(Tableau13[[#This Row],[LABEL]])</f>
        <v>34</v>
      </c>
      <c r="O11" s="105">
        <v>15</v>
      </c>
      <c r="P11" s="105" t="e">
        <f>ROUND(Tableau13[[#This Row],[LEN]]*#REF!+#REF!,0)</f>
        <v>#REF!</v>
      </c>
    </row>
    <row r="12" spans="1:16" x14ac:dyDescent="0.25">
      <c r="A12" s="6" t="s">
        <v>745</v>
      </c>
      <c r="B12" s="7" t="s">
        <v>213</v>
      </c>
      <c r="C12" s="8" t="s">
        <v>1166</v>
      </c>
      <c r="D12" s="65" t="s">
        <v>28</v>
      </c>
      <c r="E12" s="8" t="s">
        <v>663</v>
      </c>
      <c r="F12" s="8" t="s">
        <v>663</v>
      </c>
      <c r="G12" s="65" t="s">
        <v>70</v>
      </c>
      <c r="H12" s="65" t="s">
        <v>656</v>
      </c>
      <c r="I12" s="8"/>
      <c r="J12" s="9" t="s">
        <v>708</v>
      </c>
      <c r="K12" s="105">
        <f>ROUND(Tableau13[[#This Row],[LEN]]*7.27,0)</f>
        <v>364</v>
      </c>
      <c r="L12" s="105">
        <v>15</v>
      </c>
      <c r="M12" s="123" t="str">
        <f t="shared" si="0"/>
        <v>none</v>
      </c>
      <c r="N12" s="105">
        <f>LEN(Tableau13[[#This Row],[LABEL]])</f>
        <v>50</v>
      </c>
      <c r="O12" s="105">
        <v>15</v>
      </c>
      <c r="P12" s="105" t="e">
        <f>ROUND(Tableau13[[#This Row],[LEN]]*#REF!+#REF!,0)</f>
        <v>#REF!</v>
      </c>
    </row>
    <row r="13" spans="1:16" s="92" customFormat="1" x14ac:dyDescent="0.25">
      <c r="A13" s="245" t="s">
        <v>214</v>
      </c>
      <c r="B13" s="246" t="s">
        <v>204</v>
      </c>
      <c r="C13" s="247" t="s">
        <v>2</v>
      </c>
      <c r="D13" s="248" t="s">
        <v>28</v>
      </c>
      <c r="E13" s="247" t="s">
        <v>662</v>
      </c>
      <c r="F13" s="247" t="s">
        <v>662</v>
      </c>
      <c r="G13" s="248" t="s">
        <v>70</v>
      </c>
      <c r="H13" s="248" t="str">
        <f>IFERROR(IF(SEARCH(".00.00.00.00.00",Tableau13[[#This Row],[name]],1)=7,"Division",""),"")</f>
        <v>Division</v>
      </c>
      <c r="I13" s="247"/>
      <c r="J13" s="249" t="s">
        <v>710</v>
      </c>
      <c r="K13" s="250">
        <f>ROUND(Tableau13[[#This Row],[LEN]]*7.27,0)</f>
        <v>65</v>
      </c>
      <c r="L13" s="250">
        <v>15</v>
      </c>
      <c r="M13" s="251" t="str">
        <f t="shared" si="0"/>
        <v>new</v>
      </c>
      <c r="N13" s="250">
        <f>LEN(Tableau13[[#This Row],[LABEL]])</f>
        <v>9</v>
      </c>
      <c r="O13" s="250">
        <v>15</v>
      </c>
      <c r="P13" s="250" t="e">
        <f>ROUND(Tableau13[[#This Row],[LEN]]*#REF!+#REF!,0)</f>
        <v>#REF!</v>
      </c>
    </row>
    <row r="14" spans="1:16" x14ac:dyDescent="0.25">
      <c r="A14" s="6" t="s">
        <v>734</v>
      </c>
      <c r="B14" s="7" t="s">
        <v>214</v>
      </c>
      <c r="C14" s="8" t="s">
        <v>64</v>
      </c>
      <c r="D14" s="65" t="s">
        <v>28</v>
      </c>
      <c r="E14" s="8" t="s">
        <v>662</v>
      </c>
      <c r="F14" s="8" t="s">
        <v>731</v>
      </c>
      <c r="G14" s="65" t="s">
        <v>70</v>
      </c>
      <c r="H14" s="65" t="s">
        <v>17</v>
      </c>
      <c r="I14" s="8"/>
      <c r="J14" s="9" t="s">
        <v>708</v>
      </c>
      <c r="K14" s="105">
        <f>ROUND(Tableau13[[#This Row],[LEN]]*7.27,0)</f>
        <v>291</v>
      </c>
      <c r="L14" s="105">
        <v>15</v>
      </c>
      <c r="M14" s="123" t="str">
        <f t="shared" si="0"/>
        <v>none</v>
      </c>
      <c r="N14" s="105">
        <f>LEN(Tableau13[[#This Row],[LABEL]])</f>
        <v>40</v>
      </c>
      <c r="O14" s="105">
        <v>15</v>
      </c>
      <c r="P14" s="105" t="e">
        <f>ROUND(Tableau13[[#This Row],[LEN]]*#REF!+#REF!,0)</f>
        <v>#REF!</v>
      </c>
    </row>
    <row r="15" spans="1:16" x14ac:dyDescent="0.25">
      <c r="A15" s="6" t="s">
        <v>735</v>
      </c>
      <c r="B15" s="7" t="s">
        <v>214</v>
      </c>
      <c r="C15" s="8" t="s">
        <v>65</v>
      </c>
      <c r="D15" s="65" t="s">
        <v>28</v>
      </c>
      <c r="E15" s="8" t="s">
        <v>662</v>
      </c>
      <c r="F15" s="8" t="s">
        <v>732</v>
      </c>
      <c r="G15" s="65" t="s">
        <v>70</v>
      </c>
      <c r="H15" s="65" t="s">
        <v>17</v>
      </c>
      <c r="I15" s="8"/>
      <c r="J15" s="9" t="s">
        <v>708</v>
      </c>
      <c r="K15" s="105">
        <f>ROUND(Tableau13[[#This Row],[LEN]]*7.27,0)</f>
        <v>291</v>
      </c>
      <c r="L15" s="105">
        <v>15</v>
      </c>
      <c r="M15" s="123" t="str">
        <f t="shared" si="0"/>
        <v>none</v>
      </c>
      <c r="N15" s="105">
        <f>LEN(Tableau13[[#This Row],[LABEL]])</f>
        <v>40</v>
      </c>
      <c r="O15" s="105">
        <v>15</v>
      </c>
      <c r="P15" s="105" t="e">
        <f>ROUND(Tableau13[[#This Row],[LEN]]*#REF!+#REF!,0)</f>
        <v>#REF!</v>
      </c>
    </row>
    <row r="16" spans="1:16" x14ac:dyDescent="0.25">
      <c r="A16" s="6" t="s">
        <v>736</v>
      </c>
      <c r="B16" s="7" t="s">
        <v>214</v>
      </c>
      <c r="C16" s="8" t="s">
        <v>72</v>
      </c>
      <c r="D16" s="65" t="s">
        <v>28</v>
      </c>
      <c r="E16" s="8" t="s">
        <v>662</v>
      </c>
      <c r="F16" s="8" t="s">
        <v>733</v>
      </c>
      <c r="G16" s="65" t="s">
        <v>70</v>
      </c>
      <c r="H16" s="65" t="s">
        <v>654</v>
      </c>
      <c r="I16" s="8"/>
      <c r="J16" s="9" t="s">
        <v>708</v>
      </c>
      <c r="K16" s="105">
        <f>ROUND(Tableau13[[#This Row],[LEN]]*7.27,0)</f>
        <v>400</v>
      </c>
      <c r="L16" s="105">
        <v>15</v>
      </c>
      <c r="M16" s="123" t="str">
        <f t="shared" si="0"/>
        <v>none</v>
      </c>
      <c r="N16" s="105">
        <f>LEN(Tableau13[[#This Row],[LABEL]])</f>
        <v>55</v>
      </c>
      <c r="O16" s="105">
        <v>15</v>
      </c>
      <c r="P16" s="105" t="e">
        <f>ROUND(Tableau13[[#This Row],[LEN]]*#REF!+#REF!,0)</f>
        <v>#REF!</v>
      </c>
    </row>
    <row r="17" spans="1:16" s="92" customFormat="1" x14ac:dyDescent="0.25">
      <c r="A17" s="245" t="s">
        <v>215</v>
      </c>
      <c r="B17" s="246" t="s">
        <v>204</v>
      </c>
      <c r="C17" s="247" t="s">
        <v>3</v>
      </c>
      <c r="D17" s="248" t="s">
        <v>28</v>
      </c>
      <c r="E17" s="247" t="s">
        <v>661</v>
      </c>
      <c r="F17" s="247" t="s">
        <v>661</v>
      </c>
      <c r="G17" s="248" t="s">
        <v>70</v>
      </c>
      <c r="H17" s="248" t="str">
        <f>IFERROR(IF(SEARCH(".00.00.00.00.00",Tableau13[[#This Row],[name]],1)=7,"Division",""),"")</f>
        <v>Division</v>
      </c>
      <c r="I17" s="247"/>
      <c r="J17" s="249" t="s">
        <v>711</v>
      </c>
      <c r="K17" s="250">
        <f>ROUND(Tableau13[[#This Row],[LEN]]*7.27,0)</f>
        <v>73</v>
      </c>
      <c r="L17" s="250">
        <v>15</v>
      </c>
      <c r="M17" s="251" t="str">
        <f t="shared" si="0"/>
        <v>new</v>
      </c>
      <c r="N17" s="250">
        <f>LEN(Tableau13[[#This Row],[LABEL]])</f>
        <v>10</v>
      </c>
      <c r="O17" s="250">
        <v>15</v>
      </c>
      <c r="P17" s="250" t="e">
        <f>ROUND(Tableau13[[#This Row],[LEN]]*#REF!+#REF!,0)</f>
        <v>#REF!</v>
      </c>
    </row>
    <row r="18" spans="1:16" x14ac:dyDescent="0.25">
      <c r="A18" s="6" t="s">
        <v>356</v>
      </c>
      <c r="B18" s="7" t="s">
        <v>215</v>
      </c>
      <c r="C18" s="8" t="s">
        <v>64</v>
      </c>
      <c r="D18" s="65" t="s">
        <v>28</v>
      </c>
      <c r="E18" s="8" t="s">
        <v>662</v>
      </c>
      <c r="F18" s="8" t="s">
        <v>680</v>
      </c>
      <c r="G18" s="65" t="s">
        <v>70</v>
      </c>
      <c r="H18" s="65" t="s">
        <v>17</v>
      </c>
      <c r="I18" s="8"/>
      <c r="J18" s="9" t="s">
        <v>708</v>
      </c>
      <c r="K18" s="105">
        <f>ROUND(Tableau13[[#This Row],[LEN]]*7.27,0)</f>
        <v>291</v>
      </c>
      <c r="L18" s="105">
        <v>15</v>
      </c>
      <c r="M18" s="123" t="str">
        <f t="shared" si="0"/>
        <v>none</v>
      </c>
      <c r="N18" s="105">
        <f>LEN(Tableau13[[#This Row],[LABEL]])</f>
        <v>40</v>
      </c>
      <c r="O18" s="105">
        <v>15</v>
      </c>
      <c r="P18" s="105" t="e">
        <f>ROUND(Tableau13[[#This Row],[LEN]]*#REF!+#REF!,0)</f>
        <v>#REF!</v>
      </c>
    </row>
    <row r="19" spans="1:16" x14ac:dyDescent="0.25">
      <c r="A19" s="6" t="s">
        <v>357</v>
      </c>
      <c r="B19" s="7" t="s">
        <v>215</v>
      </c>
      <c r="C19" s="8" t="s">
        <v>75</v>
      </c>
      <c r="D19" s="65" t="s">
        <v>28</v>
      </c>
      <c r="E19" s="8" t="s">
        <v>684</v>
      </c>
      <c r="F19" s="8" t="s">
        <v>681</v>
      </c>
      <c r="G19" s="65" t="s">
        <v>70</v>
      </c>
      <c r="H19" s="65" t="s">
        <v>655</v>
      </c>
      <c r="I19" s="8"/>
      <c r="J19" s="9" t="s">
        <v>708</v>
      </c>
      <c r="K19" s="105">
        <f>ROUND(Tableau13[[#This Row],[LEN]]*7.27,0)</f>
        <v>262</v>
      </c>
      <c r="L19" s="105">
        <v>15</v>
      </c>
      <c r="M19" s="123" t="str">
        <f t="shared" si="0"/>
        <v>none</v>
      </c>
      <c r="N19" s="105">
        <f>LEN(Tableau13[[#This Row],[LABEL]])</f>
        <v>36</v>
      </c>
      <c r="O19" s="105">
        <v>15</v>
      </c>
      <c r="P19" s="105" t="e">
        <f>ROUND(Tableau13[[#This Row],[LEN]]*#REF!+#REF!,0)</f>
        <v>#REF!</v>
      </c>
    </row>
    <row r="20" spans="1:16" x14ac:dyDescent="0.25">
      <c r="A20" s="10" t="s">
        <v>365</v>
      </c>
      <c r="B20" s="11" t="s">
        <v>357</v>
      </c>
      <c r="C20" s="12" t="s">
        <v>76</v>
      </c>
      <c r="D20" s="66" t="s">
        <v>28</v>
      </c>
      <c r="E20" s="12" t="s">
        <v>684</v>
      </c>
      <c r="F20" s="12" t="s">
        <v>681</v>
      </c>
      <c r="G20" s="66" t="s">
        <v>70</v>
      </c>
      <c r="H20" s="66" t="s">
        <v>18</v>
      </c>
      <c r="I20" s="12"/>
      <c r="J20" s="13" t="s">
        <v>708</v>
      </c>
      <c r="K20" s="106">
        <f>ROUND(Tableau13[[#This Row],[LEN]]*7.27,0)</f>
        <v>443</v>
      </c>
      <c r="L20" s="106">
        <v>15</v>
      </c>
      <c r="M20" s="124" t="str">
        <f t="shared" si="0"/>
        <v>none</v>
      </c>
      <c r="N20" s="106">
        <f>LEN(Tableau13[[#This Row],[LABEL]])</f>
        <v>61</v>
      </c>
      <c r="O20" s="106">
        <v>15</v>
      </c>
      <c r="P20" s="106" t="e">
        <f>ROUND(Tableau13[[#This Row],[LEN]]*#REF!+#REF!,0)</f>
        <v>#REF!</v>
      </c>
    </row>
    <row r="21" spans="1:16" x14ac:dyDescent="0.25">
      <c r="A21" s="10" t="s">
        <v>366</v>
      </c>
      <c r="B21" s="11" t="s">
        <v>357</v>
      </c>
      <c r="C21" s="12" t="s">
        <v>77</v>
      </c>
      <c r="D21" s="66" t="s">
        <v>28</v>
      </c>
      <c r="E21" s="12" t="s">
        <v>684</v>
      </c>
      <c r="F21" s="12" t="s">
        <v>681</v>
      </c>
      <c r="G21" s="66" t="s">
        <v>70</v>
      </c>
      <c r="H21" s="66" t="s">
        <v>18</v>
      </c>
      <c r="I21" s="12"/>
      <c r="J21" s="13" t="s">
        <v>708</v>
      </c>
      <c r="K21" s="106">
        <f>ROUND(Tableau13[[#This Row],[LEN]]*7.27,0)</f>
        <v>473</v>
      </c>
      <c r="L21" s="106">
        <v>15</v>
      </c>
      <c r="M21" s="124" t="str">
        <f t="shared" si="0"/>
        <v>none</v>
      </c>
      <c r="N21" s="106">
        <f>LEN(Tableau13[[#This Row],[LABEL]])</f>
        <v>65</v>
      </c>
      <c r="O21" s="106">
        <v>15</v>
      </c>
      <c r="P21" s="106" t="e">
        <f>ROUND(Tableau13[[#This Row],[LEN]]*#REF!+#REF!,0)</f>
        <v>#REF!</v>
      </c>
    </row>
    <row r="22" spans="1:16" x14ac:dyDescent="0.25">
      <c r="A22" s="10" t="s">
        <v>367</v>
      </c>
      <c r="B22" s="11" t="s">
        <v>357</v>
      </c>
      <c r="C22" s="12" t="s">
        <v>78</v>
      </c>
      <c r="D22" s="66" t="s">
        <v>28</v>
      </c>
      <c r="E22" s="12" t="s">
        <v>684</v>
      </c>
      <c r="F22" s="12" t="s">
        <v>681</v>
      </c>
      <c r="G22" s="66" t="s">
        <v>70</v>
      </c>
      <c r="H22" s="66" t="s">
        <v>18</v>
      </c>
      <c r="I22" s="12"/>
      <c r="J22" s="13" t="s">
        <v>708</v>
      </c>
      <c r="K22" s="106">
        <f>ROUND(Tableau13[[#This Row],[LEN]]*7.27,0)</f>
        <v>385</v>
      </c>
      <c r="L22" s="106">
        <v>15</v>
      </c>
      <c r="M22" s="124" t="str">
        <f t="shared" si="0"/>
        <v>none</v>
      </c>
      <c r="N22" s="106">
        <f>LEN(Tableau13[[#This Row],[LABEL]])</f>
        <v>53</v>
      </c>
      <c r="O22" s="106">
        <v>15</v>
      </c>
      <c r="P22" s="106" t="e">
        <f>ROUND(Tableau13[[#This Row],[LEN]]*#REF!+#REF!,0)</f>
        <v>#REF!</v>
      </c>
    </row>
    <row r="23" spans="1:16" x14ac:dyDescent="0.25">
      <c r="A23" s="6" t="s">
        <v>358</v>
      </c>
      <c r="B23" s="7" t="s">
        <v>215</v>
      </c>
      <c r="C23" s="8" t="s">
        <v>65</v>
      </c>
      <c r="D23" s="65" t="s">
        <v>28</v>
      </c>
      <c r="E23" s="8" t="s">
        <v>662</v>
      </c>
      <c r="F23" s="8" t="s">
        <v>682</v>
      </c>
      <c r="G23" s="65" t="s">
        <v>70</v>
      </c>
      <c r="H23" s="65" t="s">
        <v>17</v>
      </c>
      <c r="I23" s="8"/>
      <c r="J23" s="9" t="s">
        <v>708</v>
      </c>
      <c r="K23" s="105">
        <f>ROUND(Tableau13[[#This Row],[LEN]]*7.27,0)</f>
        <v>291</v>
      </c>
      <c r="L23" s="105">
        <v>15</v>
      </c>
      <c r="M23" s="123" t="str">
        <f t="shared" si="0"/>
        <v>none</v>
      </c>
      <c r="N23" s="105">
        <f>LEN(Tableau13[[#This Row],[LABEL]])</f>
        <v>40</v>
      </c>
      <c r="O23" s="105">
        <v>15</v>
      </c>
      <c r="P23" s="105" t="e">
        <f>ROUND(Tableau13[[#This Row],[LEN]]*#REF!+#REF!,0)</f>
        <v>#REF!</v>
      </c>
    </row>
    <row r="24" spans="1:16" x14ac:dyDescent="0.25">
      <c r="A24" s="6" t="s">
        <v>359</v>
      </c>
      <c r="B24" s="7" t="s">
        <v>215</v>
      </c>
      <c r="C24" s="8" t="s">
        <v>72</v>
      </c>
      <c r="D24" s="65" t="s">
        <v>28</v>
      </c>
      <c r="E24" s="8" t="s">
        <v>662</v>
      </c>
      <c r="F24" s="8" t="s">
        <v>683</v>
      </c>
      <c r="G24" s="65" t="s">
        <v>70</v>
      </c>
      <c r="H24" s="65" t="s">
        <v>654</v>
      </c>
      <c r="I24" s="8"/>
      <c r="J24" s="9" t="s">
        <v>708</v>
      </c>
      <c r="K24" s="105">
        <f>ROUND(Tableau13[[#This Row],[LEN]]*7.27,0)</f>
        <v>400</v>
      </c>
      <c r="L24" s="105">
        <v>15</v>
      </c>
      <c r="M24" s="123" t="str">
        <f t="shared" si="0"/>
        <v>none</v>
      </c>
      <c r="N24" s="105">
        <f>LEN(Tableau13[[#This Row],[LABEL]])</f>
        <v>55</v>
      </c>
      <c r="O24" s="105">
        <v>15</v>
      </c>
      <c r="P24" s="105" t="e">
        <f>ROUND(Tableau13[[#This Row],[LEN]]*#REF!+#REF!,0)</f>
        <v>#REF!</v>
      </c>
    </row>
    <row r="25" spans="1:16" x14ac:dyDescent="0.25">
      <c r="A25" s="6" t="s">
        <v>360</v>
      </c>
      <c r="B25" s="7" t="s">
        <v>215</v>
      </c>
      <c r="C25" s="8" t="s">
        <v>79</v>
      </c>
      <c r="D25" s="65" t="s">
        <v>28</v>
      </c>
      <c r="E25" s="8" t="s">
        <v>661</v>
      </c>
      <c r="F25" s="8" t="s">
        <v>684</v>
      </c>
      <c r="G25" s="65" t="s">
        <v>70</v>
      </c>
      <c r="H25" s="65" t="s">
        <v>18</v>
      </c>
      <c r="I25" s="8"/>
      <c r="J25" s="9" t="s">
        <v>708</v>
      </c>
      <c r="K25" s="105">
        <f>ROUND(Tableau13[[#This Row],[LEN]]*7.27,0)</f>
        <v>218</v>
      </c>
      <c r="L25" s="105">
        <v>15</v>
      </c>
      <c r="M25" s="123" t="str">
        <f t="shared" si="0"/>
        <v>none</v>
      </c>
      <c r="N25" s="105">
        <f>LEN(Tableau13[[#This Row],[LABEL]])</f>
        <v>30</v>
      </c>
      <c r="O25" s="105">
        <v>15</v>
      </c>
      <c r="P25" s="105" t="e">
        <f>ROUND(Tableau13[[#This Row],[LEN]]*#REF!+#REF!,0)</f>
        <v>#REF!</v>
      </c>
    </row>
    <row r="26" spans="1:16" s="92" customFormat="1" x14ac:dyDescent="0.25">
      <c r="A26" s="245" t="s">
        <v>216</v>
      </c>
      <c r="B26" s="246" t="s">
        <v>204</v>
      </c>
      <c r="C26" s="247" t="s">
        <v>4</v>
      </c>
      <c r="D26" s="248" t="s">
        <v>28</v>
      </c>
      <c r="E26" s="247" t="s">
        <v>666</v>
      </c>
      <c r="F26" s="247" t="s">
        <v>666</v>
      </c>
      <c r="G26" s="248" t="s">
        <v>70</v>
      </c>
      <c r="H26" s="248" t="str">
        <f>IFERROR(IF(SEARCH(".00.00.00.00.00",Tableau13[[#This Row],[name]],1)=7,"Division",""),"")</f>
        <v>Division</v>
      </c>
      <c r="I26" s="247"/>
      <c r="J26" s="249" t="s">
        <v>712</v>
      </c>
      <c r="K26" s="250">
        <f>ROUND(Tableau13[[#This Row],[LEN]]*7.27,0)</f>
        <v>36</v>
      </c>
      <c r="L26" s="250">
        <v>15</v>
      </c>
      <c r="M26" s="251" t="str">
        <f t="shared" si="0"/>
        <v>new</v>
      </c>
      <c r="N26" s="250">
        <f>LEN(Tableau13[[#This Row],[LABEL]])</f>
        <v>5</v>
      </c>
      <c r="O26" s="250">
        <v>15</v>
      </c>
      <c r="P26" s="250" t="e">
        <f>ROUND(Tableau13[[#This Row],[LEN]]*#REF!+#REF!,0)</f>
        <v>#REF!</v>
      </c>
    </row>
    <row r="27" spans="1:16" x14ac:dyDescent="0.25">
      <c r="A27" s="6" t="s">
        <v>918</v>
      </c>
      <c r="B27" s="7" t="s">
        <v>216</v>
      </c>
      <c r="C27" s="8" t="s">
        <v>64</v>
      </c>
      <c r="D27" s="65" t="s">
        <v>28</v>
      </c>
      <c r="E27" s="8" t="s">
        <v>662</v>
      </c>
      <c r="F27" s="8" t="s">
        <v>680</v>
      </c>
      <c r="G27" s="65" t="s">
        <v>70</v>
      </c>
      <c r="H27" s="65" t="s">
        <v>17</v>
      </c>
      <c r="I27" s="8"/>
      <c r="J27" s="9" t="s">
        <v>708</v>
      </c>
      <c r="K27" s="105">
        <f>ROUND(Tableau13[[#This Row],[LEN]]*7.27,0)</f>
        <v>291</v>
      </c>
      <c r="L27" s="105">
        <v>15</v>
      </c>
      <c r="M27" s="123" t="str">
        <f t="shared" si="0"/>
        <v>none</v>
      </c>
      <c r="N27" s="105">
        <f>LEN(Tableau13[[#This Row],[LABEL]])</f>
        <v>40</v>
      </c>
      <c r="O27" s="105">
        <v>15</v>
      </c>
      <c r="P27" s="105" t="e">
        <f>ROUND(Tableau13[[#This Row],[LEN]]*#REF!+#REF!,0)</f>
        <v>#REF!</v>
      </c>
    </row>
    <row r="28" spans="1:16" x14ac:dyDescent="0.25">
      <c r="A28" s="6" t="s">
        <v>919</v>
      </c>
      <c r="B28" s="7" t="s">
        <v>216</v>
      </c>
      <c r="C28" s="8" t="s">
        <v>75</v>
      </c>
      <c r="D28" s="65" t="s">
        <v>28</v>
      </c>
      <c r="E28" s="8" t="s">
        <v>684</v>
      </c>
      <c r="F28" s="8" t="s">
        <v>681</v>
      </c>
      <c r="G28" s="65" t="s">
        <v>70</v>
      </c>
      <c r="H28" s="65" t="s">
        <v>655</v>
      </c>
      <c r="I28" s="8"/>
      <c r="J28" s="9" t="s">
        <v>708</v>
      </c>
      <c r="K28" s="105">
        <f>ROUND(Tableau13[[#This Row],[LEN]]*7.27,0)</f>
        <v>262</v>
      </c>
      <c r="L28" s="105">
        <v>15</v>
      </c>
      <c r="M28" s="123" t="str">
        <f t="shared" si="0"/>
        <v>none</v>
      </c>
      <c r="N28" s="105">
        <f>LEN(Tableau13[[#This Row],[LABEL]])</f>
        <v>36</v>
      </c>
      <c r="O28" s="105">
        <v>15</v>
      </c>
      <c r="P28" s="105" t="e">
        <f>ROUND(Tableau13[[#This Row],[LEN]]*#REF!+#REF!,0)</f>
        <v>#REF!</v>
      </c>
    </row>
    <row r="29" spans="1:16" x14ac:dyDescent="0.25">
      <c r="A29" s="12" t="s">
        <v>924</v>
      </c>
      <c r="B29" s="12" t="s">
        <v>919</v>
      </c>
      <c r="C29" s="12" t="s">
        <v>76</v>
      </c>
      <c r="D29" s="66" t="s">
        <v>28</v>
      </c>
      <c r="E29" s="12" t="s">
        <v>684</v>
      </c>
      <c r="F29" s="12" t="s">
        <v>681</v>
      </c>
      <c r="G29" s="66" t="s">
        <v>70</v>
      </c>
      <c r="H29" s="66" t="s">
        <v>18</v>
      </c>
      <c r="I29" s="12"/>
      <c r="J29" s="13" t="s">
        <v>708</v>
      </c>
      <c r="K29" s="106">
        <f>ROUND(Tableau13[[#This Row],[LEN]]*7.27,0)</f>
        <v>443</v>
      </c>
      <c r="L29" s="106">
        <v>15</v>
      </c>
      <c r="M29" s="124" t="str">
        <f t="shared" si="0"/>
        <v>none</v>
      </c>
      <c r="N29" s="106">
        <f>LEN(Tableau13[[#This Row],[LABEL]])</f>
        <v>61</v>
      </c>
      <c r="O29" s="106">
        <v>15</v>
      </c>
      <c r="P29" s="106" t="e">
        <f>ROUND(Tableau13[[#This Row],[LEN]]*#REF!+#REF!,0)</f>
        <v>#REF!</v>
      </c>
    </row>
    <row r="30" spans="1:16" x14ac:dyDescent="0.25">
      <c r="A30" s="12" t="s">
        <v>925</v>
      </c>
      <c r="B30" s="12" t="s">
        <v>919</v>
      </c>
      <c r="C30" s="12" t="s">
        <v>77</v>
      </c>
      <c r="D30" s="66" t="s">
        <v>28</v>
      </c>
      <c r="E30" s="12" t="s">
        <v>684</v>
      </c>
      <c r="F30" s="12" t="s">
        <v>681</v>
      </c>
      <c r="G30" s="66" t="s">
        <v>70</v>
      </c>
      <c r="H30" s="66" t="s">
        <v>18</v>
      </c>
      <c r="I30" s="12"/>
      <c r="J30" s="13" t="s">
        <v>708</v>
      </c>
      <c r="K30" s="106">
        <f>ROUND(Tableau13[[#This Row],[LEN]]*7.27,0)</f>
        <v>473</v>
      </c>
      <c r="L30" s="106">
        <v>15</v>
      </c>
      <c r="M30" s="124" t="str">
        <f t="shared" si="0"/>
        <v>none</v>
      </c>
      <c r="N30" s="106">
        <f>LEN(Tableau13[[#This Row],[LABEL]])</f>
        <v>65</v>
      </c>
      <c r="O30" s="106">
        <v>15</v>
      </c>
      <c r="P30" s="106" t="e">
        <f>ROUND(Tableau13[[#This Row],[LEN]]*#REF!+#REF!,0)</f>
        <v>#REF!</v>
      </c>
    </row>
    <row r="31" spans="1:16" x14ac:dyDescent="0.25">
      <c r="A31" s="12" t="s">
        <v>926</v>
      </c>
      <c r="B31" s="12" t="s">
        <v>919</v>
      </c>
      <c r="C31" s="12" t="s">
        <v>78</v>
      </c>
      <c r="D31" s="66" t="s">
        <v>28</v>
      </c>
      <c r="E31" s="12" t="s">
        <v>684</v>
      </c>
      <c r="F31" s="12" t="s">
        <v>681</v>
      </c>
      <c r="G31" s="66" t="s">
        <v>70</v>
      </c>
      <c r="H31" s="66" t="s">
        <v>18</v>
      </c>
      <c r="I31" s="12"/>
      <c r="J31" s="13" t="s">
        <v>708</v>
      </c>
      <c r="K31" s="106">
        <f>ROUND(Tableau13[[#This Row],[LEN]]*7.27,0)</f>
        <v>385</v>
      </c>
      <c r="L31" s="106">
        <v>15</v>
      </c>
      <c r="M31" s="124" t="str">
        <f t="shared" si="0"/>
        <v>none</v>
      </c>
      <c r="N31" s="106">
        <f>LEN(Tableau13[[#This Row],[LABEL]])</f>
        <v>53</v>
      </c>
      <c r="O31" s="106">
        <v>15</v>
      </c>
      <c r="P31" s="106" t="e">
        <f>ROUND(Tableau13[[#This Row],[LEN]]*#REF!+#REF!,0)</f>
        <v>#REF!</v>
      </c>
    </row>
    <row r="32" spans="1:16" x14ac:dyDescent="0.25">
      <c r="A32" s="6" t="s">
        <v>920</v>
      </c>
      <c r="B32" s="7" t="s">
        <v>216</v>
      </c>
      <c r="C32" s="8" t="s">
        <v>65</v>
      </c>
      <c r="D32" s="65" t="s">
        <v>28</v>
      </c>
      <c r="E32" s="8" t="s">
        <v>662</v>
      </c>
      <c r="F32" s="8" t="s">
        <v>682</v>
      </c>
      <c r="G32" s="65" t="s">
        <v>70</v>
      </c>
      <c r="H32" s="65" t="s">
        <v>17</v>
      </c>
      <c r="I32" s="8"/>
      <c r="J32" s="9" t="s">
        <v>708</v>
      </c>
      <c r="K32" s="105">
        <f>ROUND(Tableau13[[#This Row],[LEN]]*7.27,0)</f>
        <v>291</v>
      </c>
      <c r="L32" s="105">
        <v>15</v>
      </c>
      <c r="M32" s="123" t="str">
        <f t="shared" si="0"/>
        <v>none</v>
      </c>
      <c r="N32" s="105">
        <f>LEN(Tableau13[[#This Row],[LABEL]])</f>
        <v>40</v>
      </c>
      <c r="O32" s="105">
        <v>15</v>
      </c>
      <c r="P32" s="105" t="e">
        <f>ROUND(Tableau13[[#This Row],[LEN]]*#REF!+#REF!,0)</f>
        <v>#REF!</v>
      </c>
    </row>
    <row r="33" spans="1:16" x14ac:dyDescent="0.25">
      <c r="A33" s="6" t="s">
        <v>921</v>
      </c>
      <c r="B33" s="7" t="s">
        <v>216</v>
      </c>
      <c r="C33" s="8" t="s">
        <v>915</v>
      </c>
      <c r="D33" s="65" t="s">
        <v>28</v>
      </c>
      <c r="E33" s="8" t="s">
        <v>666</v>
      </c>
      <c r="F33" s="8" t="s">
        <v>667</v>
      </c>
      <c r="G33" s="65" t="s">
        <v>70</v>
      </c>
      <c r="H33" s="65" t="s">
        <v>18</v>
      </c>
      <c r="I33" s="8"/>
      <c r="J33" s="9" t="s">
        <v>708</v>
      </c>
      <c r="K33" s="105">
        <f>ROUND(Tableau13[[#This Row],[LEN]]*7.27,0)</f>
        <v>225</v>
      </c>
      <c r="L33" s="105">
        <v>15</v>
      </c>
      <c r="M33" s="123" t="str">
        <f t="shared" si="0"/>
        <v>none</v>
      </c>
      <c r="N33" s="105">
        <f>LEN(Tableau13[[#This Row],[LABEL]])</f>
        <v>31</v>
      </c>
      <c r="O33" s="105">
        <v>15</v>
      </c>
      <c r="P33" s="105" t="e">
        <f>ROUND(Tableau13[[#This Row],[LEN]]*#REF!+#REF!,0)</f>
        <v>#REF!</v>
      </c>
    </row>
    <row r="34" spans="1:16" x14ac:dyDescent="0.25">
      <c r="A34" s="6" t="s">
        <v>922</v>
      </c>
      <c r="B34" s="7" t="s">
        <v>216</v>
      </c>
      <c r="C34" s="8" t="s">
        <v>917</v>
      </c>
      <c r="D34" s="65" t="s">
        <v>28</v>
      </c>
      <c r="E34" s="8" t="s">
        <v>666</v>
      </c>
      <c r="F34" s="8" t="s">
        <v>667</v>
      </c>
      <c r="G34" s="65" t="s">
        <v>70</v>
      </c>
      <c r="H34" s="65" t="s">
        <v>656</v>
      </c>
      <c r="I34" s="8"/>
      <c r="J34" s="9" t="s">
        <v>708</v>
      </c>
      <c r="K34" s="105">
        <f>ROUND(Tableau13[[#This Row],[LEN]]*7.27,0)</f>
        <v>225</v>
      </c>
      <c r="L34" s="105">
        <v>15</v>
      </c>
      <c r="M34" s="123" t="str">
        <f t="shared" si="0"/>
        <v>none</v>
      </c>
      <c r="N34" s="105">
        <f>LEN(Tableau13[[#This Row],[LABEL]])</f>
        <v>31</v>
      </c>
      <c r="O34" s="105">
        <v>15</v>
      </c>
      <c r="P34" s="105" t="e">
        <f>ROUND(Tableau13[[#This Row],[LEN]]*#REF!+#REF!,0)</f>
        <v>#REF!</v>
      </c>
    </row>
    <row r="35" spans="1:16" x14ac:dyDescent="0.25">
      <c r="A35" s="6" t="s">
        <v>923</v>
      </c>
      <c r="B35" s="7" t="s">
        <v>216</v>
      </c>
      <c r="C35" s="8" t="s">
        <v>916</v>
      </c>
      <c r="D35" s="65" t="s">
        <v>28</v>
      </c>
      <c r="E35" s="8" t="s">
        <v>666</v>
      </c>
      <c r="F35" s="8" t="s">
        <v>684</v>
      </c>
      <c r="G35" s="65" t="s">
        <v>70</v>
      </c>
      <c r="H35" s="65" t="s">
        <v>18</v>
      </c>
      <c r="I35" s="8"/>
      <c r="J35" s="9" t="s">
        <v>708</v>
      </c>
      <c r="K35" s="105">
        <f>ROUND(Tableau13[[#This Row],[LEN]]*7.27,0)</f>
        <v>109</v>
      </c>
      <c r="L35" s="105">
        <v>15</v>
      </c>
      <c r="M35" s="123" t="str">
        <f t="shared" si="0"/>
        <v>none</v>
      </c>
      <c r="N35" s="105">
        <f>LEN(Tableau13[[#This Row],[LABEL]])</f>
        <v>15</v>
      </c>
      <c r="O35" s="105">
        <v>15</v>
      </c>
      <c r="P35" s="105" t="e">
        <f>ROUND(Tableau13[[#This Row],[LEN]]*#REF!+#REF!,0)</f>
        <v>#REF!</v>
      </c>
    </row>
    <row r="36" spans="1:16" s="92" customFormat="1" x14ac:dyDescent="0.25">
      <c r="A36" s="245" t="s">
        <v>217</v>
      </c>
      <c r="B36" s="246" t="s">
        <v>204</v>
      </c>
      <c r="C36" s="247" t="s">
        <v>80</v>
      </c>
      <c r="D36" s="248" t="s">
        <v>28</v>
      </c>
      <c r="E36" s="247" t="s">
        <v>667</v>
      </c>
      <c r="F36" s="247" t="s">
        <v>667</v>
      </c>
      <c r="G36" s="248" t="s">
        <v>70</v>
      </c>
      <c r="H36" s="248" t="str">
        <f>IFERROR(IF(SEARCH(".00.00.00.00.00",Tableau13[[#This Row],[name]],1)=7,"Division",""),"")</f>
        <v>Division</v>
      </c>
      <c r="I36" s="247"/>
      <c r="J36" s="249" t="s">
        <v>713</v>
      </c>
      <c r="K36" s="250">
        <f>ROUND(Tableau13[[#This Row],[LEN]]*7.27,0)</f>
        <v>116</v>
      </c>
      <c r="L36" s="250">
        <v>15</v>
      </c>
      <c r="M36" s="251" t="str">
        <f t="shared" si="0"/>
        <v>new</v>
      </c>
      <c r="N36" s="250">
        <f>LEN(Tableau13[[#This Row],[LABEL]])</f>
        <v>16</v>
      </c>
      <c r="O36" s="250">
        <v>15</v>
      </c>
      <c r="P36" s="250" t="e">
        <f>ROUND(Tableau13[[#This Row],[LEN]]*#REF!+#REF!,0)</f>
        <v>#REF!</v>
      </c>
    </row>
    <row r="37" spans="1:16" x14ac:dyDescent="0.25">
      <c r="A37" s="6" t="s">
        <v>933</v>
      </c>
      <c r="B37" s="7" t="s">
        <v>217</v>
      </c>
      <c r="C37" s="8" t="s">
        <v>64</v>
      </c>
      <c r="D37" s="65" t="s">
        <v>28</v>
      </c>
      <c r="E37" s="8" t="s">
        <v>662</v>
      </c>
      <c r="F37" s="8" t="s">
        <v>680</v>
      </c>
      <c r="G37" s="65" t="s">
        <v>70</v>
      </c>
      <c r="H37" s="65" t="s">
        <v>17</v>
      </c>
      <c r="I37" s="8"/>
      <c r="J37" s="9" t="s">
        <v>708</v>
      </c>
      <c r="K37" s="105">
        <f>ROUND(Tableau13[[#This Row],[LEN]]*7.27,0)</f>
        <v>291</v>
      </c>
      <c r="L37" s="105">
        <v>15</v>
      </c>
      <c r="M37" s="123" t="str">
        <f t="shared" si="0"/>
        <v>none</v>
      </c>
      <c r="N37" s="105">
        <f>LEN(Tableau13[[#This Row],[LABEL]])</f>
        <v>40</v>
      </c>
      <c r="O37" s="105">
        <v>15</v>
      </c>
      <c r="P37" s="105" t="e">
        <f>ROUND(Tableau13[[#This Row],[LEN]]*#REF!+#REF!,0)</f>
        <v>#REF!</v>
      </c>
    </row>
    <row r="38" spans="1:16" x14ac:dyDescent="0.25">
      <c r="A38" s="6" t="s">
        <v>934</v>
      </c>
      <c r="B38" s="7" t="s">
        <v>217</v>
      </c>
      <c r="C38" s="8" t="s">
        <v>927</v>
      </c>
      <c r="D38" s="65" t="s">
        <v>28</v>
      </c>
      <c r="E38" s="8" t="s">
        <v>667</v>
      </c>
      <c r="F38" s="8" t="s">
        <v>931</v>
      </c>
      <c r="G38" s="65" t="s">
        <v>70</v>
      </c>
      <c r="H38" s="65" t="s">
        <v>656</v>
      </c>
      <c r="I38" s="8"/>
      <c r="J38" s="9" t="s">
        <v>708</v>
      </c>
      <c r="K38" s="105">
        <f>ROUND(Tableau13[[#This Row],[LEN]]*7.27,0)</f>
        <v>298</v>
      </c>
      <c r="L38" s="105">
        <v>15</v>
      </c>
      <c r="M38" s="123" t="str">
        <f t="shared" si="0"/>
        <v>none</v>
      </c>
      <c r="N38" s="105">
        <f>LEN(Tableau13[[#This Row],[LABEL]])</f>
        <v>41</v>
      </c>
      <c r="O38" s="105">
        <v>15</v>
      </c>
      <c r="P38" s="105" t="e">
        <f>ROUND(Tableau13[[#This Row],[LEN]]*#REF!+#REF!,0)</f>
        <v>#REF!</v>
      </c>
    </row>
    <row r="39" spans="1:16" x14ac:dyDescent="0.25">
      <c r="A39" s="6" t="s">
        <v>935</v>
      </c>
      <c r="B39" s="7" t="s">
        <v>217</v>
      </c>
      <c r="C39" s="8" t="s">
        <v>65</v>
      </c>
      <c r="D39" s="65" t="s">
        <v>28</v>
      </c>
      <c r="E39" s="8" t="s">
        <v>662</v>
      </c>
      <c r="F39" s="8" t="s">
        <v>682</v>
      </c>
      <c r="G39" s="65" t="s">
        <v>70</v>
      </c>
      <c r="H39" s="65" t="s">
        <v>17</v>
      </c>
      <c r="I39" s="8"/>
      <c r="J39" s="9" t="s">
        <v>708</v>
      </c>
      <c r="K39" s="105">
        <f>ROUND(Tableau13[[#This Row],[LEN]]*7.27,0)</f>
        <v>291</v>
      </c>
      <c r="L39" s="105">
        <v>15</v>
      </c>
      <c r="M39" s="123" t="str">
        <f t="shared" si="0"/>
        <v>none</v>
      </c>
      <c r="N39" s="105">
        <f>LEN(Tableau13[[#This Row],[LABEL]])</f>
        <v>40</v>
      </c>
      <c r="O39" s="105">
        <v>15</v>
      </c>
      <c r="P39" s="105" t="e">
        <f>ROUND(Tableau13[[#This Row],[LEN]]*#REF!+#REF!,0)</f>
        <v>#REF!</v>
      </c>
    </row>
    <row r="40" spans="1:16" x14ac:dyDescent="0.25">
      <c r="A40" s="6" t="s">
        <v>936</v>
      </c>
      <c r="B40" s="7" t="s">
        <v>217</v>
      </c>
      <c r="C40" s="8" t="s">
        <v>928</v>
      </c>
      <c r="D40" s="65" t="s">
        <v>28</v>
      </c>
      <c r="E40" s="8" t="s">
        <v>667</v>
      </c>
      <c r="F40" s="8" t="s">
        <v>932</v>
      </c>
      <c r="G40" s="65" t="s">
        <v>70</v>
      </c>
      <c r="H40" s="65" t="s">
        <v>18</v>
      </c>
      <c r="I40" s="8"/>
      <c r="J40" s="9" t="s">
        <v>708</v>
      </c>
      <c r="K40" s="105">
        <f>ROUND(Tableau13[[#This Row],[LEN]]*7.27,0)</f>
        <v>284</v>
      </c>
      <c r="L40" s="105">
        <v>15</v>
      </c>
      <c r="M40" s="123" t="str">
        <f t="shared" si="0"/>
        <v>none</v>
      </c>
      <c r="N40" s="105">
        <f>LEN(Tableau13[[#This Row],[LABEL]])</f>
        <v>39</v>
      </c>
      <c r="O40" s="105">
        <v>15</v>
      </c>
      <c r="P40" s="105" t="e">
        <f>ROUND(Tableau13[[#This Row],[LEN]]*#REF!+#REF!,0)</f>
        <v>#REF!</v>
      </c>
    </row>
    <row r="41" spans="1:16" x14ac:dyDescent="0.25">
      <c r="A41" s="6" t="s">
        <v>937</v>
      </c>
      <c r="B41" s="7" t="s">
        <v>217</v>
      </c>
      <c r="C41" s="8" t="s">
        <v>929</v>
      </c>
      <c r="D41" s="65" t="s">
        <v>28</v>
      </c>
      <c r="E41" s="8" t="s">
        <v>667</v>
      </c>
      <c r="F41" s="8" t="s">
        <v>667</v>
      </c>
      <c r="G41" s="65" t="s">
        <v>70</v>
      </c>
      <c r="H41" s="65" t="s">
        <v>656</v>
      </c>
      <c r="I41" s="8"/>
      <c r="J41" s="9" t="s">
        <v>708</v>
      </c>
      <c r="K41" s="105">
        <f>ROUND(Tableau13[[#This Row],[LEN]]*7.27,0)</f>
        <v>276</v>
      </c>
      <c r="L41" s="105">
        <v>15</v>
      </c>
      <c r="M41" s="123" t="str">
        <f t="shared" si="0"/>
        <v>none</v>
      </c>
      <c r="N41" s="105">
        <f>LEN(Tableau13[[#This Row],[LABEL]])</f>
        <v>38</v>
      </c>
      <c r="O41" s="105">
        <v>15</v>
      </c>
      <c r="P41" s="105" t="e">
        <f>ROUND(Tableau13[[#This Row],[LEN]]*#REF!+#REF!,0)</f>
        <v>#REF!</v>
      </c>
    </row>
    <row r="42" spans="1:16" x14ac:dyDescent="0.25">
      <c r="A42" s="6" t="s">
        <v>938</v>
      </c>
      <c r="B42" s="7" t="s">
        <v>217</v>
      </c>
      <c r="C42" s="8" t="s">
        <v>930</v>
      </c>
      <c r="D42" s="65" t="s">
        <v>28</v>
      </c>
      <c r="E42" s="8" t="s">
        <v>667</v>
      </c>
      <c r="F42" s="8" t="s">
        <v>667</v>
      </c>
      <c r="G42" s="65" t="s">
        <v>70</v>
      </c>
      <c r="H42" s="65" t="s">
        <v>654</v>
      </c>
      <c r="I42" s="8"/>
      <c r="J42" s="9" t="s">
        <v>706</v>
      </c>
      <c r="K42" s="105">
        <f>ROUND(Tableau13[[#This Row],[LEN]]*7.27,0)</f>
        <v>465</v>
      </c>
      <c r="L42" s="105">
        <v>15</v>
      </c>
      <c r="M42" s="123" t="str">
        <f t="shared" si="0"/>
        <v>new</v>
      </c>
      <c r="N42" s="105">
        <f>LEN(Tableau13[[#This Row],[LABEL]])</f>
        <v>64</v>
      </c>
      <c r="O42" s="105">
        <v>15</v>
      </c>
      <c r="P42" s="105" t="e">
        <f>ROUND(Tableau13[[#This Row],[LEN]]*#REF!+#REF!,0)</f>
        <v>#REF!</v>
      </c>
    </row>
    <row r="43" spans="1:16" s="92" customFormat="1" x14ac:dyDescent="0.25">
      <c r="A43" s="245" t="s">
        <v>218</v>
      </c>
      <c r="B43" s="246" t="s">
        <v>204</v>
      </c>
      <c r="C43" s="247" t="s">
        <v>5</v>
      </c>
      <c r="D43" s="248" t="s">
        <v>28</v>
      </c>
      <c r="E43" s="247" t="s">
        <v>668</v>
      </c>
      <c r="F43" s="247" t="s">
        <v>668</v>
      </c>
      <c r="G43" s="248" t="s">
        <v>70</v>
      </c>
      <c r="H43" s="248" t="str">
        <f>IFERROR(IF(SEARCH(".00.00.00.00.00",Tableau13[[#This Row],[name]],1)=7,"Division",""),"")</f>
        <v>Division</v>
      </c>
      <c r="I43" s="247"/>
      <c r="J43" s="249" t="s">
        <v>714</v>
      </c>
      <c r="K43" s="250">
        <f>ROUND(Tableau13[[#This Row],[LEN]]*7.27,0)</f>
        <v>73</v>
      </c>
      <c r="L43" s="250">
        <v>15</v>
      </c>
      <c r="M43" s="251" t="str">
        <f t="shared" si="0"/>
        <v>new</v>
      </c>
      <c r="N43" s="250">
        <f>LEN(Tableau13[[#This Row],[LABEL]])</f>
        <v>10</v>
      </c>
      <c r="O43" s="250">
        <v>15</v>
      </c>
      <c r="P43" s="250" t="e">
        <f>ROUND(Tableau13[[#This Row],[LEN]]*#REF!+#REF!,0)</f>
        <v>#REF!</v>
      </c>
    </row>
    <row r="44" spans="1:16" s="92" customFormat="1" x14ac:dyDescent="0.25">
      <c r="A44" s="245" t="s">
        <v>219</v>
      </c>
      <c r="B44" s="246" t="s">
        <v>204</v>
      </c>
      <c r="C44" s="247" t="s">
        <v>6</v>
      </c>
      <c r="D44" s="248" t="s">
        <v>28</v>
      </c>
      <c r="E44" s="247" t="s">
        <v>669</v>
      </c>
      <c r="F44" s="247" t="s">
        <v>669</v>
      </c>
      <c r="G44" s="248" t="s">
        <v>70</v>
      </c>
      <c r="H44" s="248" t="str">
        <f>IFERROR(IF(SEARCH(".00.00.00.00.00",Tableau13[[#This Row],[name]],1)=7,"Division",""),"")</f>
        <v>Division</v>
      </c>
      <c r="I44" s="247"/>
      <c r="J44" s="249" t="s">
        <v>715</v>
      </c>
      <c r="K44" s="250">
        <f>ROUND(Tableau13[[#This Row],[LEN]]*7.27,0)</f>
        <v>196</v>
      </c>
      <c r="L44" s="250">
        <v>15</v>
      </c>
      <c r="M44" s="251" t="str">
        <f t="shared" si="0"/>
        <v>new</v>
      </c>
      <c r="N44" s="250">
        <f>LEN(Tableau13[[#This Row],[LABEL]])</f>
        <v>27</v>
      </c>
      <c r="O44" s="250">
        <v>15</v>
      </c>
      <c r="P44" s="250" t="e">
        <f>ROUND(Tableau13[[#This Row],[LEN]]*#REF!+#REF!,0)</f>
        <v>#REF!</v>
      </c>
    </row>
    <row r="45" spans="1:16" x14ac:dyDescent="0.25">
      <c r="A45" s="14" t="s">
        <v>361</v>
      </c>
      <c r="B45" s="15" t="s">
        <v>219</v>
      </c>
      <c r="C45" s="16" t="s">
        <v>73</v>
      </c>
      <c r="D45" s="67" t="s">
        <v>28</v>
      </c>
      <c r="E45" s="16" t="s">
        <v>662</v>
      </c>
      <c r="F45" s="16" t="s">
        <v>680</v>
      </c>
      <c r="G45" s="67" t="s">
        <v>70</v>
      </c>
      <c r="H45" s="67" t="s">
        <v>17</v>
      </c>
      <c r="I45" s="8"/>
      <c r="J45" s="9" t="s">
        <v>708</v>
      </c>
      <c r="K45" s="105">
        <f>ROUND(Tableau13[[#This Row],[LEN]]*7.27,0)</f>
        <v>298</v>
      </c>
      <c r="L45" s="105">
        <v>15</v>
      </c>
      <c r="M45" s="123" t="str">
        <f t="shared" si="0"/>
        <v>none</v>
      </c>
      <c r="N45" s="105">
        <f>LEN(Tableau13[[#This Row],[LABEL]])</f>
        <v>41</v>
      </c>
      <c r="O45" s="105">
        <v>15</v>
      </c>
      <c r="P45" s="105" t="e">
        <f>ROUND(Tableau13[[#This Row],[LEN]]*#REF!+#REF!,0)</f>
        <v>#REF!</v>
      </c>
    </row>
    <row r="46" spans="1:16" x14ac:dyDescent="0.25">
      <c r="A46" s="14" t="s">
        <v>362</v>
      </c>
      <c r="B46" s="15" t="s">
        <v>219</v>
      </c>
      <c r="C46" s="16" t="s">
        <v>74</v>
      </c>
      <c r="D46" s="67" t="s">
        <v>28</v>
      </c>
      <c r="E46" s="16" t="s">
        <v>662</v>
      </c>
      <c r="F46" s="16" t="s">
        <v>680</v>
      </c>
      <c r="G46" s="67" t="s">
        <v>70</v>
      </c>
      <c r="H46" s="67" t="s">
        <v>17</v>
      </c>
      <c r="I46" s="8"/>
      <c r="J46" s="9" t="s">
        <v>708</v>
      </c>
      <c r="K46" s="105">
        <f>ROUND(Tableau13[[#This Row],[LEN]]*7.27,0)</f>
        <v>298</v>
      </c>
      <c r="L46" s="105">
        <v>15</v>
      </c>
      <c r="M46" s="123" t="str">
        <f t="shared" si="0"/>
        <v>none</v>
      </c>
      <c r="N46" s="105">
        <f>LEN(Tableau13[[#This Row],[LABEL]])</f>
        <v>41</v>
      </c>
      <c r="O46" s="105">
        <v>15</v>
      </c>
      <c r="P46" s="105" t="e">
        <f>ROUND(Tableau13[[#This Row],[LEN]]*#REF!+#REF!,0)</f>
        <v>#REF!</v>
      </c>
    </row>
    <row r="47" spans="1:16" s="92" customFormat="1" x14ac:dyDescent="0.25">
      <c r="A47" s="245" t="s">
        <v>220</v>
      </c>
      <c r="B47" s="246" t="s">
        <v>204</v>
      </c>
      <c r="C47" s="247" t="s">
        <v>7</v>
      </c>
      <c r="D47" s="248" t="s">
        <v>28</v>
      </c>
      <c r="E47" s="247" t="s">
        <v>670</v>
      </c>
      <c r="F47" s="247" t="s">
        <v>670</v>
      </c>
      <c r="G47" s="248" t="s">
        <v>70</v>
      </c>
      <c r="H47" s="248" t="str">
        <f>IFERROR(IF(SEARCH(".00.00.00.00.00",Tableau13[[#This Row],[name]],1)=7,"Division",""),"")</f>
        <v>Division</v>
      </c>
      <c r="I47" s="247"/>
      <c r="J47" s="249" t="s">
        <v>716</v>
      </c>
      <c r="K47" s="250">
        <f>ROUND(Tableau13[[#This Row],[LEN]]*7.27,0)</f>
        <v>189</v>
      </c>
      <c r="L47" s="250">
        <v>15</v>
      </c>
      <c r="M47" s="251" t="str">
        <f t="shared" si="0"/>
        <v>new</v>
      </c>
      <c r="N47" s="250">
        <f>LEN(Tableau13[[#This Row],[LABEL]])</f>
        <v>26</v>
      </c>
      <c r="O47" s="250">
        <v>15</v>
      </c>
      <c r="P47" s="250" t="e">
        <f>ROUND(Tableau13[[#This Row],[LEN]]*#REF!+#REF!,0)</f>
        <v>#REF!</v>
      </c>
    </row>
    <row r="48" spans="1:16" x14ac:dyDescent="0.25">
      <c r="A48" s="14" t="s">
        <v>942</v>
      </c>
      <c r="B48" s="15" t="s">
        <v>220</v>
      </c>
      <c r="C48" s="16" t="s">
        <v>939</v>
      </c>
      <c r="D48" s="67" t="s">
        <v>28</v>
      </c>
      <c r="E48" s="16" t="s">
        <v>670</v>
      </c>
      <c r="F48" s="16" t="s">
        <v>941</v>
      </c>
      <c r="G48" s="67" t="s">
        <v>70</v>
      </c>
      <c r="H48" s="67" t="s">
        <v>656</v>
      </c>
      <c r="I48" s="8"/>
      <c r="J48" s="9" t="s">
        <v>708</v>
      </c>
      <c r="K48" s="105">
        <f>ROUND(Tableau13[[#This Row],[LEN]]*7.27,0)</f>
        <v>182</v>
      </c>
      <c r="L48" s="105">
        <v>15</v>
      </c>
      <c r="M48" s="123" t="str">
        <f t="shared" si="0"/>
        <v>none</v>
      </c>
      <c r="N48" s="105">
        <f>LEN(Tableau13[[#This Row],[LABEL]])</f>
        <v>25</v>
      </c>
      <c r="O48" s="105">
        <v>15</v>
      </c>
      <c r="P48" s="105" t="e">
        <f>ROUND(Tableau13[[#This Row],[LEN]]*#REF!+#REF!,0)</f>
        <v>#REF!</v>
      </c>
    </row>
    <row r="49" spans="1:16" x14ac:dyDescent="0.25">
      <c r="A49" s="14" t="s">
        <v>943</v>
      </c>
      <c r="B49" s="15" t="s">
        <v>220</v>
      </c>
      <c r="C49" s="16" t="s">
        <v>940</v>
      </c>
      <c r="D49" s="67" t="s">
        <v>28</v>
      </c>
      <c r="E49" s="16" t="s">
        <v>670</v>
      </c>
      <c r="F49" s="16" t="s">
        <v>941</v>
      </c>
      <c r="G49" s="67" t="s">
        <v>70</v>
      </c>
      <c r="H49" s="67" t="s">
        <v>656</v>
      </c>
      <c r="I49" s="8"/>
      <c r="J49" s="9" t="s">
        <v>708</v>
      </c>
      <c r="K49" s="105">
        <f>ROUND(Tableau13[[#This Row],[LEN]]*7.27,0)</f>
        <v>182</v>
      </c>
      <c r="L49" s="105">
        <v>15</v>
      </c>
      <c r="M49" s="123" t="str">
        <f t="shared" si="0"/>
        <v>none</v>
      </c>
      <c r="N49" s="105">
        <f>LEN(Tableau13[[#This Row],[LABEL]])</f>
        <v>25</v>
      </c>
      <c r="O49" s="105">
        <v>15</v>
      </c>
      <c r="P49" s="105" t="e">
        <f>ROUND(Tableau13[[#This Row],[LEN]]*#REF!+#REF!,0)</f>
        <v>#REF!</v>
      </c>
    </row>
    <row r="50" spans="1:16" s="92" customFormat="1" x14ac:dyDescent="0.25">
      <c r="A50" s="245" t="s">
        <v>221</v>
      </c>
      <c r="B50" s="246" t="s">
        <v>204</v>
      </c>
      <c r="C50" s="247" t="s">
        <v>8</v>
      </c>
      <c r="D50" s="248" t="s">
        <v>28</v>
      </c>
      <c r="E50" s="247" t="s">
        <v>671</v>
      </c>
      <c r="F50" s="247" t="s">
        <v>671</v>
      </c>
      <c r="G50" s="248" t="s">
        <v>70</v>
      </c>
      <c r="H50" s="248" t="str">
        <f>IFERROR(IF(SEARCH(".00.00.00.00.00",Tableau13[[#This Row],[name]],1)=7,"Division",""),"")</f>
        <v>Division</v>
      </c>
      <c r="I50" s="247"/>
      <c r="J50" s="249" t="s">
        <v>717</v>
      </c>
      <c r="K50" s="250">
        <f>ROUND(Tableau13[[#This Row],[LEN]]*7.27,0)</f>
        <v>116</v>
      </c>
      <c r="L50" s="250">
        <v>15</v>
      </c>
      <c r="M50" s="251" t="str">
        <f t="shared" si="0"/>
        <v>new</v>
      </c>
      <c r="N50" s="250">
        <f>LEN(Tableau13[[#This Row],[LABEL]])</f>
        <v>16</v>
      </c>
      <c r="O50" s="250">
        <v>15</v>
      </c>
      <c r="P50" s="250" t="e">
        <f>ROUND(Tableau13[[#This Row],[LEN]]*#REF!+#REF!,0)</f>
        <v>#REF!</v>
      </c>
    </row>
    <row r="51" spans="1:16" x14ac:dyDescent="0.25">
      <c r="A51" s="14" t="s">
        <v>944</v>
      </c>
      <c r="B51" s="15" t="s">
        <v>221</v>
      </c>
      <c r="C51" s="16" t="s">
        <v>945</v>
      </c>
      <c r="D51" s="67" t="s">
        <v>28</v>
      </c>
      <c r="E51" s="16" t="s">
        <v>671</v>
      </c>
      <c r="F51" s="16" t="s">
        <v>941</v>
      </c>
      <c r="G51" s="67" t="s">
        <v>70</v>
      </c>
      <c r="H51" s="67" t="s">
        <v>654</v>
      </c>
      <c r="I51" s="8"/>
      <c r="J51" s="9" t="s">
        <v>708</v>
      </c>
      <c r="K51" s="105">
        <f>ROUND(Tableau13[[#This Row],[LEN]]*7.27,0)</f>
        <v>371</v>
      </c>
      <c r="L51" s="105">
        <v>15</v>
      </c>
      <c r="M51" s="123" t="str">
        <f t="shared" si="0"/>
        <v>none</v>
      </c>
      <c r="N51" s="105">
        <f>LEN(Tableau13[[#This Row],[LABEL]])</f>
        <v>51</v>
      </c>
      <c r="O51" s="105">
        <v>15</v>
      </c>
      <c r="P51" s="105" t="e">
        <f>ROUND(Tableau13[[#This Row],[LEN]]*#REF!+#REF!,0)</f>
        <v>#REF!</v>
      </c>
    </row>
    <row r="52" spans="1:16" s="92" customFormat="1" x14ac:dyDescent="0.25">
      <c r="A52" s="245" t="s">
        <v>222</v>
      </c>
      <c r="B52" s="246" t="s">
        <v>204</v>
      </c>
      <c r="C52" s="247" t="s">
        <v>9</v>
      </c>
      <c r="D52" s="248" t="s">
        <v>28</v>
      </c>
      <c r="E52" s="247" t="s">
        <v>672</v>
      </c>
      <c r="F52" s="247" t="s">
        <v>672</v>
      </c>
      <c r="G52" s="248" t="s">
        <v>70</v>
      </c>
      <c r="H52" s="248" t="str">
        <f>IFERROR(IF(SEARCH(".00.00.00.00.00",Tableau13[[#This Row],[name]],1)=7,"Division",""),"")</f>
        <v>Division</v>
      </c>
      <c r="I52" s="247"/>
      <c r="J52" s="249" t="s">
        <v>718</v>
      </c>
      <c r="K52" s="250">
        <f>ROUND(Tableau13[[#This Row],[LEN]]*7.27,0)</f>
        <v>80</v>
      </c>
      <c r="L52" s="250">
        <v>15</v>
      </c>
      <c r="M52" s="251" t="str">
        <f t="shared" si="0"/>
        <v>new</v>
      </c>
      <c r="N52" s="250">
        <f>LEN(Tableau13[[#This Row],[LABEL]])</f>
        <v>11</v>
      </c>
      <c r="O52" s="250">
        <v>15</v>
      </c>
      <c r="P52" s="250" t="e">
        <f>ROUND(Tableau13[[#This Row],[LEN]]*#REF!+#REF!,0)</f>
        <v>#REF!</v>
      </c>
    </row>
    <row r="53" spans="1:16" x14ac:dyDescent="0.25">
      <c r="A53" s="14" t="s">
        <v>363</v>
      </c>
      <c r="B53" s="15" t="s">
        <v>222</v>
      </c>
      <c r="C53" s="16" t="s">
        <v>73</v>
      </c>
      <c r="D53" s="67" t="s">
        <v>28</v>
      </c>
      <c r="E53" s="16" t="s">
        <v>662</v>
      </c>
      <c r="F53" s="16" t="s">
        <v>701</v>
      </c>
      <c r="G53" s="67" t="s">
        <v>70</v>
      </c>
      <c r="H53" s="67" t="s">
        <v>17</v>
      </c>
      <c r="I53" s="8"/>
      <c r="J53" s="9" t="s">
        <v>708</v>
      </c>
      <c r="K53" s="105">
        <f>ROUND(Tableau13[[#This Row],[LEN]]*7.27,0)</f>
        <v>298</v>
      </c>
      <c r="L53" s="105">
        <v>15</v>
      </c>
      <c r="M53" s="123" t="str">
        <f t="shared" si="0"/>
        <v>none</v>
      </c>
      <c r="N53" s="105">
        <f>LEN(Tableau13[[#This Row],[LABEL]])</f>
        <v>41</v>
      </c>
      <c r="O53" s="105">
        <v>15</v>
      </c>
      <c r="P53" s="105" t="e">
        <f>ROUND(Tableau13[[#This Row],[LEN]]*#REF!+#REF!,0)</f>
        <v>#REF!</v>
      </c>
    </row>
    <row r="54" spans="1:16" x14ac:dyDescent="0.25">
      <c r="A54" s="14" t="s">
        <v>364</v>
      </c>
      <c r="B54" s="15" t="s">
        <v>222</v>
      </c>
      <c r="C54" s="16" t="s">
        <v>74</v>
      </c>
      <c r="D54" s="67" t="s">
        <v>28</v>
      </c>
      <c r="E54" s="16" t="s">
        <v>662</v>
      </c>
      <c r="F54" s="16" t="s">
        <v>701</v>
      </c>
      <c r="G54" s="67" t="s">
        <v>70</v>
      </c>
      <c r="H54" s="67" t="s">
        <v>17</v>
      </c>
      <c r="I54" s="8"/>
      <c r="J54" s="9" t="s">
        <v>708</v>
      </c>
      <c r="K54" s="105">
        <f>ROUND(Tableau13[[#This Row],[LEN]]*7.27,0)</f>
        <v>298</v>
      </c>
      <c r="L54" s="105">
        <v>15</v>
      </c>
      <c r="M54" s="123" t="str">
        <f t="shared" si="0"/>
        <v>none</v>
      </c>
      <c r="N54" s="105">
        <f>LEN(Tableau13[[#This Row],[LABEL]])</f>
        <v>41</v>
      </c>
      <c r="O54" s="105">
        <v>15</v>
      </c>
      <c r="P54" s="105" t="e">
        <f>ROUND(Tableau13[[#This Row],[LEN]]*#REF!+#REF!,0)</f>
        <v>#REF!</v>
      </c>
    </row>
    <row r="55" spans="1:16" s="92" customFormat="1" x14ac:dyDescent="0.25">
      <c r="A55" s="245" t="s">
        <v>223</v>
      </c>
      <c r="B55" s="246" t="s">
        <v>204</v>
      </c>
      <c r="C55" s="247" t="s">
        <v>10</v>
      </c>
      <c r="D55" s="248" t="s">
        <v>28</v>
      </c>
      <c r="E55" s="247" t="s">
        <v>673</v>
      </c>
      <c r="F55" s="247" t="s">
        <v>673</v>
      </c>
      <c r="G55" s="248" t="s">
        <v>70</v>
      </c>
      <c r="H55" s="248" t="str">
        <f>IFERROR(IF(SEARCH(".00.00.00.00.00",Tableau13[[#This Row],[name]],1)=7,"Division",""),"")</f>
        <v>Division</v>
      </c>
      <c r="I55" s="247"/>
      <c r="J55" s="249" t="s">
        <v>719</v>
      </c>
      <c r="K55" s="250">
        <f>ROUND(Tableau13[[#This Row],[LEN]]*7.27,0)</f>
        <v>109</v>
      </c>
      <c r="L55" s="250">
        <v>15</v>
      </c>
      <c r="M55" s="251" t="str">
        <f t="shared" si="0"/>
        <v>new</v>
      </c>
      <c r="N55" s="250">
        <f>LEN(Tableau13[[#This Row],[LABEL]])</f>
        <v>15</v>
      </c>
      <c r="O55" s="250">
        <v>15</v>
      </c>
      <c r="P55" s="250" t="e">
        <f>ROUND(Tableau13[[#This Row],[LEN]]*#REF!+#REF!,0)</f>
        <v>#REF!</v>
      </c>
    </row>
    <row r="56" spans="1:16" x14ac:dyDescent="0.25">
      <c r="A56" s="14" t="s">
        <v>946</v>
      </c>
      <c r="B56" s="15" t="s">
        <v>223</v>
      </c>
      <c r="C56" s="16" t="s">
        <v>73</v>
      </c>
      <c r="D56" s="67" t="s">
        <v>28</v>
      </c>
      <c r="E56" s="16" t="s">
        <v>662</v>
      </c>
      <c r="F56" s="16" t="s">
        <v>701</v>
      </c>
      <c r="G56" s="67" t="s">
        <v>70</v>
      </c>
      <c r="H56" s="67" t="s">
        <v>17</v>
      </c>
      <c r="I56" s="8"/>
      <c r="J56" s="9" t="s">
        <v>708</v>
      </c>
      <c r="K56" s="105">
        <f>ROUND(Tableau13[[#This Row],[LEN]]*7.27,0)</f>
        <v>298</v>
      </c>
      <c r="L56" s="105">
        <v>15</v>
      </c>
      <c r="M56" s="123" t="str">
        <f t="shared" si="0"/>
        <v>none</v>
      </c>
      <c r="N56" s="105">
        <f>LEN(Tableau13[[#This Row],[LABEL]])</f>
        <v>41</v>
      </c>
      <c r="O56" s="105">
        <v>15</v>
      </c>
      <c r="P56" s="105" t="e">
        <f>ROUND(Tableau13[[#This Row],[LEN]]*#REF!+#REF!,0)</f>
        <v>#REF!</v>
      </c>
    </row>
    <row r="57" spans="1:16" x14ac:dyDescent="0.25">
      <c r="A57" s="14" t="s">
        <v>947</v>
      </c>
      <c r="B57" s="15" t="s">
        <v>223</v>
      </c>
      <c r="C57" s="16" t="s">
        <v>74</v>
      </c>
      <c r="D57" s="67" t="s">
        <v>28</v>
      </c>
      <c r="E57" s="16" t="s">
        <v>662</v>
      </c>
      <c r="F57" s="16" t="s">
        <v>701</v>
      </c>
      <c r="G57" s="67" t="s">
        <v>70</v>
      </c>
      <c r="H57" s="67" t="s">
        <v>17</v>
      </c>
      <c r="I57" s="8"/>
      <c r="J57" s="9" t="s">
        <v>708</v>
      </c>
      <c r="K57" s="105">
        <f>ROUND(Tableau13[[#This Row],[LEN]]*7.27,0)</f>
        <v>298</v>
      </c>
      <c r="L57" s="105">
        <v>15</v>
      </c>
      <c r="M57" s="123" t="str">
        <f t="shared" si="0"/>
        <v>none</v>
      </c>
      <c r="N57" s="105">
        <f>LEN(Tableau13[[#This Row],[LABEL]])</f>
        <v>41</v>
      </c>
      <c r="O57" s="105">
        <v>15</v>
      </c>
      <c r="P57" s="105" t="e">
        <f>ROUND(Tableau13[[#This Row],[LEN]]*#REF!+#REF!,0)</f>
        <v>#REF!</v>
      </c>
    </row>
    <row r="58" spans="1:16" s="92" customFormat="1" x14ac:dyDescent="0.25">
      <c r="A58" s="245" t="s">
        <v>224</v>
      </c>
      <c r="B58" s="246" t="s">
        <v>204</v>
      </c>
      <c r="C58" s="247" t="s">
        <v>11</v>
      </c>
      <c r="D58" s="248" t="s">
        <v>28</v>
      </c>
      <c r="E58" s="247" t="s">
        <v>674</v>
      </c>
      <c r="F58" s="247" t="s">
        <v>674</v>
      </c>
      <c r="G58" s="248" t="s">
        <v>70</v>
      </c>
      <c r="H58" s="248" t="str">
        <f>IFERROR(IF(SEARCH(".00.00.00.00.00",Tableau13[[#This Row],[name]],1)=7,"Division",""),"")</f>
        <v>Division</v>
      </c>
      <c r="I58" s="247"/>
      <c r="J58" s="249" t="s">
        <v>720</v>
      </c>
      <c r="K58" s="250">
        <f>ROUND(Tableau13[[#This Row],[LEN]]*7.27,0)</f>
        <v>51</v>
      </c>
      <c r="L58" s="250">
        <v>15</v>
      </c>
      <c r="M58" s="251" t="str">
        <f t="shared" si="0"/>
        <v>new</v>
      </c>
      <c r="N58" s="250">
        <f>LEN(Tableau13[[#This Row],[LABEL]])</f>
        <v>7</v>
      </c>
      <c r="O58" s="250">
        <v>15</v>
      </c>
      <c r="P58" s="250" t="e">
        <f>ROUND(Tableau13[[#This Row],[LEN]]*#REF!+#REF!,0)</f>
        <v>#REF!</v>
      </c>
    </row>
    <row r="59" spans="1:16" x14ac:dyDescent="0.25">
      <c r="A59" s="14" t="s">
        <v>949</v>
      </c>
      <c r="B59" s="15" t="s">
        <v>224</v>
      </c>
      <c r="C59" s="16" t="s">
        <v>948</v>
      </c>
      <c r="D59" s="67" t="s">
        <v>28</v>
      </c>
      <c r="E59" s="16" t="s">
        <v>667</v>
      </c>
      <c r="F59" s="16" t="s">
        <v>667</v>
      </c>
      <c r="G59" s="67" t="s">
        <v>70</v>
      </c>
      <c r="H59" s="67" t="s">
        <v>17</v>
      </c>
      <c r="I59" s="8"/>
      <c r="J59" s="9" t="s">
        <v>708</v>
      </c>
      <c r="K59" s="105">
        <f>ROUND(Tableau13[[#This Row],[LEN]]*7.27,0)</f>
        <v>276</v>
      </c>
      <c r="L59" s="105">
        <v>15</v>
      </c>
      <c r="M59" s="123" t="str">
        <f t="shared" si="0"/>
        <v>none</v>
      </c>
      <c r="N59" s="105">
        <f>LEN(Tableau13[[#This Row],[LABEL]])</f>
        <v>38</v>
      </c>
      <c r="O59" s="105">
        <v>15</v>
      </c>
      <c r="P59" s="105" t="e">
        <f>ROUND(Tableau13[[#This Row],[LEN]]*#REF!+#REF!,0)</f>
        <v>#REF!</v>
      </c>
    </row>
    <row r="60" spans="1:16" s="92" customFormat="1" x14ac:dyDescent="0.25">
      <c r="A60" s="245" t="s">
        <v>225</v>
      </c>
      <c r="B60" s="246" t="s">
        <v>204</v>
      </c>
      <c r="C60" s="247" t="s">
        <v>12</v>
      </c>
      <c r="D60" s="248" t="s">
        <v>28</v>
      </c>
      <c r="E60" s="247" t="s">
        <v>675</v>
      </c>
      <c r="F60" s="247" t="s">
        <v>675</v>
      </c>
      <c r="G60" s="248" t="s">
        <v>70</v>
      </c>
      <c r="H60" s="248" t="str">
        <f>IFERROR(IF(SEARCH(".00.00.00.00.00",Tableau13[[#This Row],[name]],1)=7,"Division",""),"")</f>
        <v>Division</v>
      </c>
      <c r="I60" s="247"/>
      <c r="J60" s="249" t="s">
        <v>721</v>
      </c>
      <c r="K60" s="250">
        <f>ROUND(Tableau13[[#This Row],[LEN]]*7.27,0)</f>
        <v>15</v>
      </c>
      <c r="L60" s="250">
        <v>15</v>
      </c>
      <c r="M60" s="251" t="str">
        <f t="shared" si="0"/>
        <v>new</v>
      </c>
      <c r="N60" s="250">
        <f>LEN(Tableau13[[#This Row],[LABEL]])</f>
        <v>2</v>
      </c>
      <c r="O60" s="250">
        <v>15</v>
      </c>
      <c r="P60" s="250" t="e">
        <f>ROUND(Tableau13[[#This Row],[LEN]]*#REF!+#REF!,0)</f>
        <v>#REF!</v>
      </c>
    </row>
    <row r="61" spans="1:16" x14ac:dyDescent="0.25">
      <c r="A61" s="14" t="s">
        <v>950</v>
      </c>
      <c r="B61" s="14" t="s">
        <v>225</v>
      </c>
      <c r="C61" s="16" t="s">
        <v>74</v>
      </c>
      <c r="D61" s="67" t="s">
        <v>28</v>
      </c>
      <c r="E61" s="16" t="s">
        <v>662</v>
      </c>
      <c r="F61" s="16" t="s">
        <v>701</v>
      </c>
      <c r="G61" s="67" t="s">
        <v>70</v>
      </c>
      <c r="H61" s="67" t="s">
        <v>17</v>
      </c>
      <c r="I61" s="8"/>
      <c r="J61" s="9" t="s">
        <v>708</v>
      </c>
      <c r="K61" s="105">
        <f>ROUND(Tableau13[[#This Row],[LEN]]*7.27,0)</f>
        <v>298</v>
      </c>
      <c r="L61" s="105">
        <v>15</v>
      </c>
      <c r="M61" s="123" t="str">
        <f t="shared" si="0"/>
        <v>none</v>
      </c>
      <c r="N61" s="105">
        <f>LEN(Tableau13[[#This Row],[LABEL]])</f>
        <v>41</v>
      </c>
      <c r="O61" s="105">
        <v>15</v>
      </c>
      <c r="P61" s="105" t="e">
        <f>ROUND(Tableau13[[#This Row],[LEN]]*#REF!+#REF!,0)</f>
        <v>#REF!</v>
      </c>
    </row>
    <row r="62" spans="1:16" x14ac:dyDescent="0.25">
      <c r="A62" s="14" t="s">
        <v>951</v>
      </c>
      <c r="B62" s="14" t="s">
        <v>225</v>
      </c>
      <c r="C62" s="16" t="s">
        <v>72</v>
      </c>
      <c r="D62" s="67" t="s">
        <v>28</v>
      </c>
      <c r="E62" s="16" t="s">
        <v>662</v>
      </c>
      <c r="F62" s="16" t="s">
        <v>683</v>
      </c>
      <c r="G62" s="67" t="s">
        <v>70</v>
      </c>
      <c r="H62" s="67" t="s">
        <v>654</v>
      </c>
      <c r="I62" s="8"/>
      <c r="J62" s="9" t="s">
        <v>708</v>
      </c>
      <c r="K62" s="105">
        <f>ROUND(Tableau13[[#This Row],[LEN]]*7.27,0)</f>
        <v>400</v>
      </c>
      <c r="L62" s="105">
        <v>15</v>
      </c>
      <c r="M62" s="123" t="str">
        <f t="shared" si="0"/>
        <v>none</v>
      </c>
      <c r="N62" s="105">
        <f>LEN(Tableau13[[#This Row],[LABEL]])</f>
        <v>55</v>
      </c>
      <c r="O62" s="105">
        <v>15</v>
      </c>
      <c r="P62" s="105" t="e">
        <f>ROUND(Tableau13[[#This Row],[LEN]]*#REF!+#REF!,0)</f>
        <v>#REF!</v>
      </c>
    </row>
    <row r="63" spans="1:16" s="92" customFormat="1" x14ac:dyDescent="0.25">
      <c r="A63" s="245" t="s">
        <v>226</v>
      </c>
      <c r="B63" s="246" t="s">
        <v>204</v>
      </c>
      <c r="C63" s="247" t="s">
        <v>71</v>
      </c>
      <c r="D63" s="248" t="s">
        <v>28</v>
      </c>
      <c r="E63" s="247" t="s">
        <v>676</v>
      </c>
      <c r="F63" s="247" t="s">
        <v>676</v>
      </c>
      <c r="G63" s="248" t="s">
        <v>70</v>
      </c>
      <c r="H63" s="248" t="str">
        <f>IFERROR(IF(SEARCH(".00.00.00.00.00",Tableau13[[#This Row],[name]],1)=7,"Division",""),"")</f>
        <v>Division</v>
      </c>
      <c r="I63" s="247"/>
      <c r="J63" s="249" t="s">
        <v>722</v>
      </c>
      <c r="K63" s="250">
        <f>ROUND(Tableau13[[#This Row],[LEN]]*7.27,0)</f>
        <v>29</v>
      </c>
      <c r="L63" s="250">
        <v>15</v>
      </c>
      <c r="M63" s="251" t="str">
        <f t="shared" si="0"/>
        <v>new</v>
      </c>
      <c r="N63" s="250">
        <f>LEN(Tableau13[[#This Row],[LABEL]])</f>
        <v>4</v>
      </c>
      <c r="O63" s="250">
        <v>15</v>
      </c>
      <c r="P63" s="250" t="e">
        <f>ROUND(Tableau13[[#This Row],[LEN]]*#REF!+#REF!,0)</f>
        <v>#REF!</v>
      </c>
    </row>
    <row r="64" spans="1:16" s="92" customFormat="1" x14ac:dyDescent="0.25">
      <c r="A64" s="245" t="s">
        <v>227</v>
      </c>
      <c r="B64" s="246" t="s">
        <v>204</v>
      </c>
      <c r="C64" s="247" t="s">
        <v>13</v>
      </c>
      <c r="D64" s="248" t="s">
        <v>28</v>
      </c>
      <c r="E64" s="247" t="s">
        <v>677</v>
      </c>
      <c r="F64" s="247" t="s">
        <v>677</v>
      </c>
      <c r="G64" s="248" t="s">
        <v>70</v>
      </c>
      <c r="H64" s="248" t="str">
        <f>IFERROR(IF(SEARCH(".00.00.00.00.00",Tableau13[[#This Row],[name]],1)=7,"Division",""),"")</f>
        <v>Division</v>
      </c>
      <c r="I64" s="247"/>
      <c r="J64" s="249" t="s">
        <v>723</v>
      </c>
      <c r="K64" s="250">
        <f>ROUND(Tableau13[[#This Row],[LEN]]*7.27,0)</f>
        <v>80</v>
      </c>
      <c r="L64" s="250">
        <v>15</v>
      </c>
      <c r="M64" s="251" t="str">
        <f t="shared" si="0"/>
        <v>new</v>
      </c>
      <c r="N64" s="250">
        <f>LEN(Tableau13[[#This Row],[LABEL]])</f>
        <v>11</v>
      </c>
      <c r="O64" s="250">
        <v>15</v>
      </c>
      <c r="P64" s="250" t="e">
        <f>ROUND(Tableau13[[#This Row],[LEN]]*#REF!+#REF!,0)</f>
        <v>#REF!</v>
      </c>
    </row>
    <row r="65" spans="1:16" s="92" customFormat="1" x14ac:dyDescent="0.25">
      <c r="A65" s="245" t="s">
        <v>228</v>
      </c>
      <c r="B65" s="246" t="s">
        <v>204</v>
      </c>
      <c r="C65" s="247" t="s">
        <v>14</v>
      </c>
      <c r="D65" s="248" t="s">
        <v>28</v>
      </c>
      <c r="E65" s="247" t="s">
        <v>678</v>
      </c>
      <c r="F65" s="247" t="s">
        <v>678</v>
      </c>
      <c r="G65" s="248" t="s">
        <v>70</v>
      </c>
      <c r="H65" s="248" t="str">
        <f>IFERROR(IF(SEARCH(".00.00.00.00.00",Tableau13[[#This Row],[name]],1)=7,"Division",""),"")</f>
        <v>Division</v>
      </c>
      <c r="I65" s="247"/>
      <c r="J65" s="249" t="s">
        <v>724</v>
      </c>
      <c r="K65" s="250">
        <f>ROUND(Tableau13[[#This Row],[LEN]]*7.27,0)</f>
        <v>240</v>
      </c>
      <c r="L65" s="250">
        <v>15</v>
      </c>
      <c r="M65" s="251" t="str">
        <f t="shared" si="0"/>
        <v>new</v>
      </c>
      <c r="N65" s="250">
        <f>LEN(Tableau13[[#This Row],[LABEL]])</f>
        <v>33</v>
      </c>
      <c r="O65" s="250">
        <v>15</v>
      </c>
      <c r="P65" s="250" t="e">
        <f>ROUND(Tableau13[[#This Row],[LEN]]*#REF!+#REF!,0)</f>
        <v>#REF!</v>
      </c>
    </row>
    <row r="66" spans="1:16" x14ac:dyDescent="0.25">
      <c r="A66" s="14" t="s">
        <v>952</v>
      </c>
      <c r="B66" s="14" t="s">
        <v>228</v>
      </c>
      <c r="C66" s="16" t="s">
        <v>73</v>
      </c>
      <c r="D66" s="67" t="s">
        <v>28</v>
      </c>
      <c r="E66" s="16" t="s">
        <v>662</v>
      </c>
      <c r="F66" s="16" t="s">
        <v>701</v>
      </c>
      <c r="G66" s="67" t="s">
        <v>70</v>
      </c>
      <c r="H66" s="67" t="s">
        <v>17</v>
      </c>
      <c r="I66" s="8"/>
      <c r="J66" s="9" t="s">
        <v>708</v>
      </c>
      <c r="K66" s="105">
        <f>ROUND(Tableau13[[#This Row],[LEN]]*7.27,0)</f>
        <v>298</v>
      </c>
      <c r="L66" s="105">
        <v>15</v>
      </c>
      <c r="M66" s="123" t="str">
        <f t="shared" si="0"/>
        <v>none</v>
      </c>
      <c r="N66" s="105">
        <f>LEN(Tableau13[[#This Row],[LABEL]])</f>
        <v>41</v>
      </c>
      <c r="O66" s="105">
        <v>15</v>
      </c>
      <c r="P66" s="105" t="e">
        <f>ROUND(Tableau13[[#This Row],[LEN]]*#REF!+#REF!,0)</f>
        <v>#REF!</v>
      </c>
    </row>
    <row r="67" spans="1:16" x14ac:dyDescent="0.25">
      <c r="A67" s="14" t="s">
        <v>953</v>
      </c>
      <c r="B67" s="14" t="s">
        <v>228</v>
      </c>
      <c r="C67" s="16" t="s">
        <v>927</v>
      </c>
      <c r="D67" s="67" t="s">
        <v>28</v>
      </c>
      <c r="E67" s="16" t="s">
        <v>667</v>
      </c>
      <c r="F67" s="16" t="s">
        <v>931</v>
      </c>
      <c r="G67" s="67" t="s">
        <v>70</v>
      </c>
      <c r="H67" s="67" t="s">
        <v>656</v>
      </c>
      <c r="I67" s="8"/>
      <c r="J67" s="9" t="s">
        <v>708</v>
      </c>
      <c r="K67" s="105">
        <f>ROUND(Tableau13[[#This Row],[LEN]]*7.27,0)</f>
        <v>298</v>
      </c>
      <c r="L67" s="105">
        <v>15</v>
      </c>
      <c r="M67" s="123" t="str">
        <f t="shared" si="0"/>
        <v>none</v>
      </c>
      <c r="N67" s="105">
        <f>LEN(Tableau13[[#This Row],[LABEL]])</f>
        <v>41</v>
      </c>
      <c r="O67" s="105">
        <v>15</v>
      </c>
      <c r="P67" s="105" t="e">
        <f>ROUND(Tableau13[[#This Row],[LEN]]*#REF!+#REF!,0)</f>
        <v>#REF!</v>
      </c>
    </row>
    <row r="68" spans="1:16" x14ac:dyDescent="0.25">
      <c r="A68" s="14" t="s">
        <v>954</v>
      </c>
      <c r="B68" s="14" t="s">
        <v>228</v>
      </c>
      <c r="C68" s="16" t="s">
        <v>65</v>
      </c>
      <c r="D68" s="67" t="s">
        <v>28</v>
      </c>
      <c r="E68" s="16" t="s">
        <v>662</v>
      </c>
      <c r="F68" s="16" t="s">
        <v>682</v>
      </c>
      <c r="G68" s="67" t="s">
        <v>70</v>
      </c>
      <c r="H68" s="67" t="s">
        <v>17</v>
      </c>
      <c r="I68" s="8"/>
      <c r="J68" s="9" t="s">
        <v>708</v>
      </c>
      <c r="K68" s="105">
        <f>ROUND(Tableau13[[#This Row],[LEN]]*7.27,0)</f>
        <v>291</v>
      </c>
      <c r="L68" s="105">
        <v>15</v>
      </c>
      <c r="M68" s="123" t="str">
        <f t="shared" si="0"/>
        <v>none</v>
      </c>
      <c r="N68" s="105">
        <f>LEN(Tableau13[[#This Row],[LABEL]])</f>
        <v>40</v>
      </c>
      <c r="O68" s="105">
        <v>15</v>
      </c>
      <c r="P68" s="105" t="e">
        <f>ROUND(Tableau13[[#This Row],[LEN]]*#REF!+#REF!,0)</f>
        <v>#REF!</v>
      </c>
    </row>
    <row r="69" spans="1:16" x14ac:dyDescent="0.25">
      <c r="A69" s="14" t="s">
        <v>955</v>
      </c>
      <c r="B69" s="14" t="s">
        <v>228</v>
      </c>
      <c r="C69" s="16" t="s">
        <v>72</v>
      </c>
      <c r="D69" s="67" t="s">
        <v>28</v>
      </c>
      <c r="E69" s="16" t="s">
        <v>662</v>
      </c>
      <c r="F69" s="16" t="s">
        <v>683</v>
      </c>
      <c r="G69" s="67" t="s">
        <v>70</v>
      </c>
      <c r="H69" s="67" t="s">
        <v>654</v>
      </c>
      <c r="I69" s="8"/>
      <c r="J69" s="9" t="s">
        <v>708</v>
      </c>
      <c r="K69" s="105">
        <f>ROUND(Tableau13[[#This Row],[LEN]]*7.27,0)</f>
        <v>400</v>
      </c>
      <c r="L69" s="105">
        <v>15</v>
      </c>
      <c r="M69" s="123" t="str">
        <f t="shared" si="0"/>
        <v>none</v>
      </c>
      <c r="N69" s="105">
        <f>LEN(Tableau13[[#This Row],[LABEL]])</f>
        <v>55</v>
      </c>
      <c r="O69" s="105">
        <v>15</v>
      </c>
      <c r="P69" s="105" t="e">
        <f>ROUND(Tableau13[[#This Row],[LEN]]*#REF!+#REF!,0)</f>
        <v>#REF!</v>
      </c>
    </row>
    <row r="70" spans="1:16" x14ac:dyDescent="0.25">
      <c r="A70" s="14" t="s">
        <v>956</v>
      </c>
      <c r="B70" s="14" t="s">
        <v>228</v>
      </c>
      <c r="C70" s="16" t="s">
        <v>930</v>
      </c>
      <c r="D70" s="67" t="s">
        <v>28</v>
      </c>
      <c r="E70" s="16" t="s">
        <v>678</v>
      </c>
      <c r="F70" s="16" t="s">
        <v>678</v>
      </c>
      <c r="G70" s="67" t="s">
        <v>70</v>
      </c>
      <c r="H70" s="67" t="s">
        <v>654</v>
      </c>
      <c r="I70" s="8"/>
      <c r="J70" s="9" t="s">
        <v>706</v>
      </c>
      <c r="K70" s="105">
        <f>ROUND(Tableau13[[#This Row],[LEN]]*7.27,0)</f>
        <v>465</v>
      </c>
      <c r="L70" s="105">
        <v>15</v>
      </c>
      <c r="M70" s="123" t="str">
        <f t="shared" si="0"/>
        <v>new</v>
      </c>
      <c r="N70" s="105">
        <f>LEN(Tableau13[[#This Row],[LABEL]])</f>
        <v>64</v>
      </c>
      <c r="O70" s="105">
        <v>15</v>
      </c>
      <c r="P70" s="105" t="e">
        <f>ROUND(Tableau13[[#This Row],[LEN]]*#REF!+#REF!,0)</f>
        <v>#REF!</v>
      </c>
    </row>
    <row r="71" spans="1:16" s="92" customFormat="1" ht="15.75" thickBot="1" x14ac:dyDescent="0.3">
      <c r="A71" s="252" t="s">
        <v>229</v>
      </c>
      <c r="B71" s="253" t="s">
        <v>204</v>
      </c>
      <c r="C71" s="254" t="s">
        <v>15</v>
      </c>
      <c r="D71" s="255" t="s">
        <v>28</v>
      </c>
      <c r="E71" s="254" t="s">
        <v>679</v>
      </c>
      <c r="F71" s="254" t="s">
        <v>679</v>
      </c>
      <c r="G71" s="255" t="s">
        <v>70</v>
      </c>
      <c r="H71" s="255" t="str">
        <f>IFERROR(IF(SEARCH(".00.00.00.00.00",Tableau13[[#This Row],[name]],1)=7,"Division",""),"")</f>
        <v>Division</v>
      </c>
      <c r="I71" s="254"/>
      <c r="J71" s="256" t="s">
        <v>725</v>
      </c>
      <c r="K71" s="257">
        <f>ROUND(Tableau13[[#This Row],[LEN]]*7.27,0)</f>
        <v>174</v>
      </c>
      <c r="L71" s="257">
        <v>15</v>
      </c>
      <c r="M71" s="258" t="str">
        <f t="shared" si="0"/>
        <v>new</v>
      </c>
      <c r="N71" s="257">
        <f>LEN(Tableau13[[#This Row],[LABEL]])</f>
        <v>24</v>
      </c>
      <c r="O71" s="257">
        <v>15</v>
      </c>
      <c r="P71" s="257" t="e">
        <f>ROUND(Tableau13[[#This Row],[LEN]]*#REF!+#REF!,0)</f>
        <v>#REF!</v>
      </c>
    </row>
    <row r="72" spans="1:16" ht="15.75" thickTop="1" x14ac:dyDescent="0.25">
      <c r="A72" s="156" t="s">
        <v>200</v>
      </c>
      <c r="B72" s="156" t="s">
        <v>198</v>
      </c>
      <c r="C72" s="157" t="s">
        <v>1159</v>
      </c>
      <c r="D72" s="157" t="s">
        <v>181</v>
      </c>
      <c r="E72" s="158" t="s">
        <v>58</v>
      </c>
      <c r="F72" s="157" t="s">
        <v>665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ROUND(Tableau13[[#This Row],[LEN]]*7.27,0)</f>
        <v>95</v>
      </c>
      <c r="L72" s="160">
        <v>15</v>
      </c>
      <c r="M72" s="161" t="str">
        <f t="shared" si="0"/>
        <v>new</v>
      </c>
      <c r="N72" s="160">
        <f>LEN(Tableau13[[#This Row],[LABEL]])</f>
        <v>13</v>
      </c>
      <c r="O72" s="162">
        <v>15</v>
      </c>
      <c r="P72" s="162" t="e">
        <f>ROUND(Tableau13[[#This Row],[LEN]]*#REF!+#REF!,0)</f>
        <v>#REF!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58</v>
      </c>
      <c r="F73" s="165"/>
      <c r="G73" s="164" t="s">
        <v>167</v>
      </c>
      <c r="H73" s="164" t="s">
        <v>616</v>
      </c>
      <c r="I73" s="165"/>
      <c r="J73" s="166" t="s">
        <v>708</v>
      </c>
      <c r="K73" s="167">
        <f>ROUND(Tableau13[[#This Row],[LEN]]*7.27,0)</f>
        <v>58</v>
      </c>
      <c r="L73" s="167">
        <v>15</v>
      </c>
      <c r="M73" s="168" t="str">
        <f t="shared" si="0"/>
        <v>none</v>
      </c>
      <c r="N73" s="167">
        <f>LEN(Tableau13[[#This Row],[LABEL]])</f>
        <v>8</v>
      </c>
      <c r="O73" s="169">
        <v>15</v>
      </c>
      <c r="P73" s="169" t="e">
        <f>ROUND(Tableau13[[#This Row],[LEN]]*#REF!+#REF!,0)</f>
        <v>#REF!</v>
      </c>
    </row>
    <row r="74" spans="1:16" s="92" customFormat="1" ht="15.75" thickTop="1" x14ac:dyDescent="0.25">
      <c r="A74" s="259" t="s">
        <v>230</v>
      </c>
      <c r="B74" s="260" t="s">
        <v>205</v>
      </c>
      <c r="C74" s="261" t="s">
        <v>1</v>
      </c>
      <c r="D74" s="262" t="s">
        <v>28</v>
      </c>
      <c r="E74" s="261" t="s">
        <v>664</v>
      </c>
      <c r="F74" s="261" t="s">
        <v>664</v>
      </c>
      <c r="G74" s="262" t="s">
        <v>167</v>
      </c>
      <c r="H74" s="262" t="str">
        <f>IFERROR(IF(SEARCH(".00.00.00.00.00",Tableau13[[#This Row],[name]],1)=7,"Division",""),"")</f>
        <v>Division</v>
      </c>
      <c r="I74" s="261"/>
      <c r="J74" s="263" t="s">
        <v>708</v>
      </c>
      <c r="K74" s="264">
        <f>ROUND(Tableau13[[#This Row],[LEN]]*7.27,0)</f>
        <v>182</v>
      </c>
      <c r="L74" s="264">
        <v>15</v>
      </c>
      <c r="M74" s="265" t="str">
        <f t="shared" si="0"/>
        <v>none</v>
      </c>
      <c r="N74" s="264">
        <f>LEN(Tableau13[[#This Row],[LABEL]])</f>
        <v>25</v>
      </c>
      <c r="O74" s="264">
        <v>15</v>
      </c>
      <c r="P74" s="264" t="e">
        <f>ROUND(Tableau13[[#This Row],[LEN]]*#REF!+#REF!,0)</f>
        <v>#REF!</v>
      </c>
    </row>
    <row r="75" spans="1:16" s="92" customFormat="1" x14ac:dyDescent="0.25">
      <c r="A75" s="266" t="s">
        <v>231</v>
      </c>
      <c r="B75" s="267" t="s">
        <v>205</v>
      </c>
      <c r="C75" s="268" t="s">
        <v>57</v>
      </c>
      <c r="D75" s="269" t="s">
        <v>28</v>
      </c>
      <c r="E75" s="268" t="s">
        <v>663</v>
      </c>
      <c r="F75" s="268" t="s">
        <v>663</v>
      </c>
      <c r="G75" s="269" t="s">
        <v>167</v>
      </c>
      <c r="H75" s="269" t="str">
        <f>IFERROR(IF(SEARCH(".00.00.00.00.00",Tableau13[[#This Row],[name]],1)=7,"Division",""),"")</f>
        <v>Division</v>
      </c>
      <c r="I75" s="268"/>
      <c r="J75" s="270" t="s">
        <v>709</v>
      </c>
      <c r="K75" s="271">
        <f>ROUND(Tableau13[[#This Row],[LEN]]*7.27,0)</f>
        <v>102</v>
      </c>
      <c r="L75" s="271">
        <v>15</v>
      </c>
      <c r="M75" s="272" t="str">
        <f t="shared" si="0"/>
        <v>new</v>
      </c>
      <c r="N75" s="271">
        <f>LEN(Tableau13[[#This Row],[LABEL]])</f>
        <v>14</v>
      </c>
      <c r="O75" s="271">
        <v>15</v>
      </c>
      <c r="P75" s="271" t="e">
        <f>ROUND(Tableau13[[#This Row],[LEN]]*#REF!+#REF!,0)</f>
        <v>#REF!</v>
      </c>
    </row>
    <row r="76" spans="1:16" s="97" customFormat="1" x14ac:dyDescent="0.25">
      <c r="A76" s="17" t="s">
        <v>749</v>
      </c>
      <c r="B76" s="18" t="s">
        <v>231</v>
      </c>
      <c r="C76" s="19" t="s">
        <v>755</v>
      </c>
      <c r="D76" s="68" t="s">
        <v>28</v>
      </c>
      <c r="E76" s="19" t="s">
        <v>663</v>
      </c>
      <c r="F76" s="19" t="s">
        <v>663</v>
      </c>
      <c r="G76" s="68" t="s">
        <v>167</v>
      </c>
      <c r="H76" s="68" t="s">
        <v>570</v>
      </c>
      <c r="I76" s="19"/>
      <c r="J76" s="20" t="s">
        <v>708</v>
      </c>
      <c r="K76" s="107">
        <f>ROUND(Tableau13[[#This Row],[LEN]]*7.27,0)</f>
        <v>254</v>
      </c>
      <c r="L76" s="107">
        <v>15</v>
      </c>
      <c r="M76" s="125" t="str">
        <f t="shared" si="0"/>
        <v>none</v>
      </c>
      <c r="N76" s="107">
        <f>LEN(Tableau13[[#This Row],[LABEL]])</f>
        <v>35</v>
      </c>
      <c r="O76" s="107">
        <v>15</v>
      </c>
      <c r="P76" s="107" t="e">
        <f>ROUND(Tableau13[[#This Row],[LEN]]*#REF!+#REF!,0)</f>
        <v>#REF!</v>
      </c>
    </row>
    <row r="77" spans="1:16" s="97" customFormat="1" x14ac:dyDescent="0.25">
      <c r="A77" s="17" t="s">
        <v>750</v>
      </c>
      <c r="B77" s="18" t="s">
        <v>231</v>
      </c>
      <c r="C77" s="19" t="s">
        <v>756</v>
      </c>
      <c r="D77" s="68" t="s">
        <v>28</v>
      </c>
      <c r="E77" s="19" t="s">
        <v>663</v>
      </c>
      <c r="F77" s="19" t="s">
        <v>663</v>
      </c>
      <c r="G77" s="68" t="s">
        <v>167</v>
      </c>
      <c r="H77" s="68" t="s">
        <v>654</v>
      </c>
      <c r="I77" s="19"/>
      <c r="J77" s="20" t="s">
        <v>708</v>
      </c>
      <c r="K77" s="107">
        <f>ROUND(Tableau13[[#This Row],[LEN]]*7.27,0)</f>
        <v>131</v>
      </c>
      <c r="L77" s="107">
        <v>15</v>
      </c>
      <c r="M77" s="125" t="str">
        <f t="shared" si="0"/>
        <v>none</v>
      </c>
      <c r="N77" s="107">
        <f>LEN(Tableau13[[#This Row],[LABEL]])</f>
        <v>18</v>
      </c>
      <c r="O77" s="107">
        <v>15</v>
      </c>
      <c r="P77" s="107" t="e">
        <f>ROUND(Tableau13[[#This Row],[LEN]]*#REF!+#REF!,0)</f>
        <v>#REF!</v>
      </c>
    </row>
    <row r="78" spans="1:16" s="97" customFormat="1" x14ac:dyDescent="0.25">
      <c r="A78" s="17" t="s">
        <v>751</v>
      </c>
      <c r="B78" s="18" t="s">
        <v>231</v>
      </c>
      <c r="C78" s="19" t="s">
        <v>757</v>
      </c>
      <c r="D78" s="68" t="s">
        <v>28</v>
      </c>
      <c r="E78" s="19" t="s">
        <v>663</v>
      </c>
      <c r="F78" s="19" t="s">
        <v>663</v>
      </c>
      <c r="G78" s="68" t="s">
        <v>167</v>
      </c>
      <c r="H78" s="68" t="s">
        <v>656</v>
      </c>
      <c r="I78" s="19"/>
      <c r="J78" s="20" t="s">
        <v>708</v>
      </c>
      <c r="K78" s="107">
        <f>ROUND(Tableau13[[#This Row],[LEN]]*7.27,0)</f>
        <v>298</v>
      </c>
      <c r="L78" s="107">
        <v>15</v>
      </c>
      <c r="M78" s="125" t="str">
        <f t="shared" si="0"/>
        <v>none</v>
      </c>
      <c r="N78" s="107">
        <f>LEN(Tableau13[[#This Row],[LABEL]])</f>
        <v>41</v>
      </c>
      <c r="O78" s="107">
        <v>15</v>
      </c>
      <c r="P78" s="107" t="e">
        <f>ROUND(Tableau13[[#This Row],[LEN]]*#REF!+#REF!,0)</f>
        <v>#REF!</v>
      </c>
    </row>
    <row r="79" spans="1:16" s="97" customFormat="1" x14ac:dyDescent="0.25">
      <c r="A79" s="17" t="s">
        <v>752</v>
      </c>
      <c r="B79" s="18" t="s">
        <v>231</v>
      </c>
      <c r="C79" s="19" t="s">
        <v>758</v>
      </c>
      <c r="D79" s="68" t="s">
        <v>28</v>
      </c>
      <c r="E79" s="19" t="s">
        <v>663</v>
      </c>
      <c r="F79" s="19" t="s">
        <v>663</v>
      </c>
      <c r="G79" s="68" t="s">
        <v>167</v>
      </c>
      <c r="H79" s="68" t="s">
        <v>656</v>
      </c>
      <c r="I79" s="19"/>
      <c r="J79" s="20" t="s">
        <v>708</v>
      </c>
      <c r="K79" s="107">
        <f>ROUND(Tableau13[[#This Row],[LEN]]*7.27,0)</f>
        <v>254</v>
      </c>
      <c r="L79" s="107">
        <v>15</v>
      </c>
      <c r="M79" s="125" t="str">
        <f t="shared" si="0"/>
        <v>none</v>
      </c>
      <c r="N79" s="107">
        <f>LEN(Tableau13[[#This Row],[LABEL]])</f>
        <v>35</v>
      </c>
      <c r="O79" s="107">
        <v>15</v>
      </c>
      <c r="P79" s="107" t="e">
        <f>ROUND(Tableau13[[#This Row],[LEN]]*#REF!+#REF!,0)</f>
        <v>#REF!</v>
      </c>
    </row>
    <row r="80" spans="1:16" s="97" customFormat="1" x14ac:dyDescent="0.25">
      <c r="A80" s="17" t="s">
        <v>753</v>
      </c>
      <c r="B80" s="18" t="s">
        <v>231</v>
      </c>
      <c r="C80" s="19" t="s">
        <v>759</v>
      </c>
      <c r="D80" s="68" t="s">
        <v>28</v>
      </c>
      <c r="E80" s="19" t="s">
        <v>663</v>
      </c>
      <c r="F80" s="19" t="s">
        <v>663</v>
      </c>
      <c r="G80" s="68" t="s">
        <v>167</v>
      </c>
      <c r="H80" s="68" t="s">
        <v>654</v>
      </c>
      <c r="I80" s="19"/>
      <c r="J80" s="20" t="s">
        <v>708</v>
      </c>
      <c r="K80" s="107">
        <f>ROUND(Tableau13[[#This Row],[LEN]]*7.27,0)</f>
        <v>298</v>
      </c>
      <c r="L80" s="107">
        <v>15</v>
      </c>
      <c r="M80" s="125" t="str">
        <f t="shared" si="0"/>
        <v>none</v>
      </c>
      <c r="N80" s="107">
        <f>LEN(Tableau13[[#This Row],[LABEL]])</f>
        <v>41</v>
      </c>
      <c r="O80" s="107">
        <v>15</v>
      </c>
      <c r="P80" s="107" t="e">
        <f>ROUND(Tableau13[[#This Row],[LEN]]*#REF!+#REF!,0)</f>
        <v>#REF!</v>
      </c>
    </row>
    <row r="81" spans="1:16" s="97" customFormat="1" x14ac:dyDescent="0.25">
      <c r="A81" s="17" t="s">
        <v>754</v>
      </c>
      <c r="B81" s="18" t="s">
        <v>231</v>
      </c>
      <c r="C81" s="19" t="s">
        <v>110</v>
      </c>
      <c r="D81" s="68" t="s">
        <v>28</v>
      </c>
      <c r="E81" s="19" t="s">
        <v>1177</v>
      </c>
      <c r="F81" s="19" t="s">
        <v>1084</v>
      </c>
      <c r="G81" s="68" t="s">
        <v>167</v>
      </c>
      <c r="H81" s="68" t="s">
        <v>1131</v>
      </c>
      <c r="I81" s="19"/>
      <c r="J81" s="20" t="s">
        <v>708</v>
      </c>
      <c r="K81" s="107">
        <f>ROUND(Tableau13[[#This Row],[LEN]]*7.27,0)</f>
        <v>102</v>
      </c>
      <c r="L81" s="107">
        <v>15</v>
      </c>
      <c r="M81" s="125" t="str">
        <f t="shared" si="0"/>
        <v>none</v>
      </c>
      <c r="N81" s="107">
        <f>LEN(Tableau13[[#This Row],[LABEL]])</f>
        <v>14</v>
      </c>
      <c r="O81" s="107">
        <v>15</v>
      </c>
      <c r="P81" s="107" t="e">
        <f>ROUND(Tableau13[[#This Row],[LEN]]*#REF!+#REF!,0)</f>
        <v>#REF!</v>
      </c>
    </row>
    <row r="82" spans="1:16" s="92" customFormat="1" x14ac:dyDescent="0.25">
      <c r="A82" s="266" t="s">
        <v>232</v>
      </c>
      <c r="B82" s="267" t="s">
        <v>205</v>
      </c>
      <c r="C82" s="268" t="s">
        <v>2</v>
      </c>
      <c r="D82" s="269" t="s">
        <v>28</v>
      </c>
      <c r="E82" s="268" t="s">
        <v>662</v>
      </c>
      <c r="F82" s="268" t="s">
        <v>662</v>
      </c>
      <c r="G82" s="269" t="s">
        <v>167</v>
      </c>
      <c r="H82" s="269" t="str">
        <f>IFERROR(IF(SEARCH(".00.00.00.00.00",Tableau13[[#This Row],[name]],1)=7,"Division",""),"")</f>
        <v>Division</v>
      </c>
      <c r="I82" s="268"/>
      <c r="J82" s="270" t="s">
        <v>710</v>
      </c>
      <c r="K82" s="271">
        <f>ROUND(Tableau13[[#This Row],[LEN]]*7.27,0)</f>
        <v>65</v>
      </c>
      <c r="L82" s="271">
        <v>15</v>
      </c>
      <c r="M82" s="272" t="str">
        <f t="shared" si="0"/>
        <v>new</v>
      </c>
      <c r="N82" s="271">
        <f>LEN(Tableau13[[#This Row],[LABEL]])</f>
        <v>9</v>
      </c>
      <c r="O82" s="271">
        <v>15</v>
      </c>
      <c r="P82" s="271" t="e">
        <f>ROUND(Tableau13[[#This Row],[LEN]]*#REF!+#REF!,0)</f>
        <v>#REF!</v>
      </c>
    </row>
    <row r="83" spans="1:16" s="273" customFormat="1" x14ac:dyDescent="0.25">
      <c r="A83" s="266" t="s">
        <v>233</v>
      </c>
      <c r="B83" s="267" t="s">
        <v>205</v>
      </c>
      <c r="C83" s="268" t="s">
        <v>3</v>
      </c>
      <c r="D83" s="269" t="s">
        <v>28</v>
      </c>
      <c r="E83" s="268" t="s">
        <v>661</v>
      </c>
      <c r="F83" s="268" t="s">
        <v>661</v>
      </c>
      <c r="G83" s="269" t="s">
        <v>167</v>
      </c>
      <c r="H83" s="269" t="str">
        <f>IFERROR(IF(SEARCH(".00.00.00.00.00",Tableau13[[#This Row],[name]],1)=7,"Division",""),"")</f>
        <v>Division</v>
      </c>
      <c r="I83" s="268"/>
      <c r="J83" s="270" t="s">
        <v>711</v>
      </c>
      <c r="K83" s="271">
        <f>ROUND(Tableau13[[#This Row],[LEN]]*7.27,0)</f>
        <v>73</v>
      </c>
      <c r="L83" s="271">
        <v>15</v>
      </c>
      <c r="M83" s="272" t="str">
        <f t="shared" si="0"/>
        <v>new</v>
      </c>
      <c r="N83" s="271">
        <f>LEN(Tableau13[[#This Row],[LABEL]])</f>
        <v>10</v>
      </c>
      <c r="O83" s="271">
        <v>15</v>
      </c>
      <c r="P83" s="271" t="e">
        <f>ROUND(Tableau13[[#This Row],[LEN]]*#REF!+#REF!,0)</f>
        <v>#REF!</v>
      </c>
    </row>
    <row r="84" spans="1:16" s="97" customFormat="1" x14ac:dyDescent="0.25">
      <c r="A84" s="17" t="s">
        <v>368</v>
      </c>
      <c r="B84" s="18" t="s">
        <v>233</v>
      </c>
      <c r="C84" s="19" t="s">
        <v>81</v>
      </c>
      <c r="D84" s="68" t="s">
        <v>28</v>
      </c>
      <c r="E84" s="19" t="s">
        <v>667</v>
      </c>
      <c r="F84" s="19" t="s">
        <v>702</v>
      </c>
      <c r="G84" s="68" t="s">
        <v>167</v>
      </c>
      <c r="H84" s="68" t="s">
        <v>655</v>
      </c>
      <c r="I84" s="19"/>
      <c r="J84" s="20" t="s">
        <v>708</v>
      </c>
      <c r="K84" s="107">
        <f>ROUND(Tableau13[[#This Row],[LEN]]*7.27,0)</f>
        <v>73</v>
      </c>
      <c r="L84" s="107">
        <v>15</v>
      </c>
      <c r="M84" s="125" t="str">
        <f t="shared" si="0"/>
        <v>none</v>
      </c>
      <c r="N84" s="107">
        <f>LEN(Tableau13[[#This Row],[LABEL]])</f>
        <v>10</v>
      </c>
      <c r="O84" s="107">
        <v>15</v>
      </c>
      <c r="P84" s="107" t="e">
        <f>ROUND(Tableau13[[#This Row],[LEN]]*#REF!+#REF!,0)</f>
        <v>#REF!</v>
      </c>
    </row>
    <row r="85" spans="1:16" s="97" customFormat="1" x14ac:dyDescent="0.25">
      <c r="A85" s="21" t="s">
        <v>373</v>
      </c>
      <c r="B85" s="22" t="s">
        <v>368</v>
      </c>
      <c r="C85" s="23" t="s">
        <v>103</v>
      </c>
      <c r="D85" s="69" t="s">
        <v>28</v>
      </c>
      <c r="E85" s="23" t="s">
        <v>667</v>
      </c>
      <c r="F85" s="23" t="s">
        <v>702</v>
      </c>
      <c r="G85" s="69" t="s">
        <v>167</v>
      </c>
      <c r="H85" s="69" t="s">
        <v>570</v>
      </c>
      <c r="I85" s="23"/>
      <c r="J85" s="24" t="s">
        <v>708</v>
      </c>
      <c r="K85" s="108">
        <f>ROUND(Tableau13[[#This Row],[LEN]]*7.27,0)</f>
        <v>138</v>
      </c>
      <c r="L85" s="108">
        <v>15</v>
      </c>
      <c r="M85" s="126" t="str">
        <f t="shared" si="0"/>
        <v>none</v>
      </c>
      <c r="N85" s="108">
        <f>LEN(Tableau13[[#This Row],[LABEL]])</f>
        <v>19</v>
      </c>
      <c r="O85" s="108">
        <v>15</v>
      </c>
      <c r="P85" s="108" t="e">
        <f>ROUND(Tableau13[[#This Row],[LEN]]*#REF!+#REF!,0)</f>
        <v>#REF!</v>
      </c>
    </row>
    <row r="86" spans="1:16" s="97" customFormat="1" x14ac:dyDescent="0.25">
      <c r="A86" s="21" t="s">
        <v>374</v>
      </c>
      <c r="B86" s="22" t="s">
        <v>368</v>
      </c>
      <c r="C86" s="23" t="s">
        <v>104</v>
      </c>
      <c r="D86" s="69" t="s">
        <v>28</v>
      </c>
      <c r="E86" s="23" t="s">
        <v>667</v>
      </c>
      <c r="F86" s="23" t="s">
        <v>702</v>
      </c>
      <c r="G86" s="69" t="s">
        <v>167</v>
      </c>
      <c r="H86" s="69" t="s">
        <v>570</v>
      </c>
      <c r="I86" s="23"/>
      <c r="J86" s="24" t="s">
        <v>708</v>
      </c>
      <c r="K86" s="108">
        <f>ROUND(Tableau13[[#This Row],[LEN]]*7.27,0)</f>
        <v>145</v>
      </c>
      <c r="L86" s="108">
        <v>15</v>
      </c>
      <c r="M86" s="126" t="str">
        <f t="shared" si="0"/>
        <v>none</v>
      </c>
      <c r="N86" s="108">
        <f>LEN(Tableau13[[#This Row],[LABEL]])</f>
        <v>20</v>
      </c>
      <c r="O86" s="108">
        <v>15</v>
      </c>
      <c r="P86" s="108" t="e">
        <f>ROUND(Tableau13[[#This Row],[LEN]]*#REF!+#REF!,0)</f>
        <v>#REF!</v>
      </c>
    </row>
    <row r="87" spans="1:16" s="97" customFormat="1" x14ac:dyDescent="0.25">
      <c r="A87" s="21" t="s">
        <v>375</v>
      </c>
      <c r="B87" s="22" t="s">
        <v>368</v>
      </c>
      <c r="C87" s="23" t="s">
        <v>105</v>
      </c>
      <c r="D87" s="69" t="s">
        <v>28</v>
      </c>
      <c r="E87" s="23" t="s">
        <v>667</v>
      </c>
      <c r="F87" s="23" t="s">
        <v>702</v>
      </c>
      <c r="G87" s="69" t="s">
        <v>167</v>
      </c>
      <c r="H87" s="69" t="s">
        <v>570</v>
      </c>
      <c r="I87" s="23"/>
      <c r="J87" s="24" t="s">
        <v>708</v>
      </c>
      <c r="K87" s="108">
        <f>ROUND(Tableau13[[#This Row],[LEN]]*7.27,0)</f>
        <v>138</v>
      </c>
      <c r="L87" s="108">
        <v>15</v>
      </c>
      <c r="M87" s="126" t="str">
        <f t="shared" si="0"/>
        <v>none</v>
      </c>
      <c r="N87" s="108">
        <f>LEN(Tableau13[[#This Row],[LABEL]])</f>
        <v>19</v>
      </c>
      <c r="O87" s="108">
        <v>15</v>
      </c>
      <c r="P87" s="108" t="e">
        <f>ROUND(Tableau13[[#This Row],[LEN]]*#REF!+#REF!,0)</f>
        <v>#REF!</v>
      </c>
    </row>
    <row r="88" spans="1:16" s="97" customFormat="1" x14ac:dyDescent="0.25">
      <c r="A88" s="21" t="s">
        <v>376</v>
      </c>
      <c r="B88" s="22" t="s">
        <v>368</v>
      </c>
      <c r="C88" s="23" t="s">
        <v>106</v>
      </c>
      <c r="D88" s="69" t="s">
        <v>28</v>
      </c>
      <c r="E88" s="23" t="s">
        <v>667</v>
      </c>
      <c r="F88" s="23" t="s">
        <v>702</v>
      </c>
      <c r="G88" s="69" t="s">
        <v>167</v>
      </c>
      <c r="H88" s="69" t="s">
        <v>570</v>
      </c>
      <c r="I88" s="23"/>
      <c r="J88" s="24" t="s">
        <v>708</v>
      </c>
      <c r="K88" s="108">
        <f>ROUND(Tableau13[[#This Row],[LEN]]*7.27,0)</f>
        <v>36</v>
      </c>
      <c r="L88" s="108">
        <v>15</v>
      </c>
      <c r="M88" s="126" t="str">
        <f t="shared" si="0"/>
        <v>none</v>
      </c>
      <c r="N88" s="108">
        <f>LEN(Tableau13[[#This Row],[LABEL]])</f>
        <v>5</v>
      </c>
      <c r="O88" s="108">
        <v>15</v>
      </c>
      <c r="P88" s="108" t="e">
        <f>ROUND(Tableau13[[#This Row],[LEN]]*#REF!+#REF!,0)</f>
        <v>#REF!</v>
      </c>
    </row>
    <row r="89" spans="1:16" s="97" customFormat="1" x14ac:dyDescent="0.25">
      <c r="A89" s="21" t="s">
        <v>377</v>
      </c>
      <c r="B89" s="22" t="s">
        <v>368</v>
      </c>
      <c r="C89" s="23" t="s">
        <v>107</v>
      </c>
      <c r="D89" s="69" t="s">
        <v>28</v>
      </c>
      <c r="E89" s="23" t="s">
        <v>667</v>
      </c>
      <c r="F89" s="23" t="s">
        <v>702</v>
      </c>
      <c r="G89" s="69" t="s">
        <v>167</v>
      </c>
      <c r="H89" s="69" t="s">
        <v>570</v>
      </c>
      <c r="I89" s="23"/>
      <c r="J89" s="24" t="s">
        <v>708</v>
      </c>
      <c r="K89" s="108">
        <f>ROUND(Tableau13[[#This Row],[LEN]]*7.27,0)</f>
        <v>160</v>
      </c>
      <c r="L89" s="108">
        <v>15</v>
      </c>
      <c r="M89" s="126" t="str">
        <f t="shared" si="0"/>
        <v>none</v>
      </c>
      <c r="N89" s="108">
        <f>LEN(Tableau13[[#This Row],[LABEL]])</f>
        <v>22</v>
      </c>
      <c r="O89" s="108">
        <v>15</v>
      </c>
      <c r="P89" s="108" t="e">
        <f>ROUND(Tableau13[[#This Row],[LEN]]*#REF!+#REF!,0)</f>
        <v>#REF!</v>
      </c>
    </row>
    <row r="90" spans="1:16" s="97" customFormat="1" x14ac:dyDescent="0.25">
      <c r="A90" s="21" t="s">
        <v>378</v>
      </c>
      <c r="B90" s="22" t="s">
        <v>368</v>
      </c>
      <c r="C90" s="23" t="s">
        <v>108</v>
      </c>
      <c r="D90" s="69" t="s">
        <v>28</v>
      </c>
      <c r="E90" s="23" t="s">
        <v>667</v>
      </c>
      <c r="F90" s="23" t="s">
        <v>702</v>
      </c>
      <c r="G90" s="69" t="s">
        <v>167</v>
      </c>
      <c r="H90" s="69" t="s">
        <v>570</v>
      </c>
      <c r="I90" s="23"/>
      <c r="J90" s="24" t="s">
        <v>708</v>
      </c>
      <c r="K90" s="108">
        <f>ROUND(Tableau13[[#This Row],[LEN]]*7.27,0)</f>
        <v>182</v>
      </c>
      <c r="L90" s="108">
        <v>15</v>
      </c>
      <c r="M90" s="126" t="str">
        <f t="shared" si="0"/>
        <v>none</v>
      </c>
      <c r="N90" s="108">
        <f>LEN(Tableau13[[#This Row],[LABEL]])</f>
        <v>25</v>
      </c>
      <c r="O90" s="108">
        <v>15</v>
      </c>
      <c r="P90" s="108" t="e">
        <f>ROUND(Tableau13[[#This Row],[LEN]]*#REF!+#REF!,0)</f>
        <v>#REF!</v>
      </c>
    </row>
    <row r="91" spans="1:16" s="97" customFormat="1" x14ac:dyDescent="0.25">
      <c r="A91" s="17" t="s">
        <v>369</v>
      </c>
      <c r="B91" s="18" t="s">
        <v>233</v>
      </c>
      <c r="C91" s="19" t="s">
        <v>82</v>
      </c>
      <c r="D91" s="68" t="s">
        <v>28</v>
      </c>
      <c r="E91" s="19" t="s">
        <v>684</v>
      </c>
      <c r="F91" s="19" t="s">
        <v>684</v>
      </c>
      <c r="G91" s="68" t="s">
        <v>167</v>
      </c>
      <c r="H91" s="68" t="s">
        <v>655</v>
      </c>
      <c r="I91" s="19"/>
      <c r="J91" s="20" t="s">
        <v>708</v>
      </c>
      <c r="K91" s="107">
        <f>ROUND(Tableau13[[#This Row],[LEN]]*7.27,0)</f>
        <v>269</v>
      </c>
      <c r="L91" s="107">
        <v>15</v>
      </c>
      <c r="M91" s="125" t="str">
        <f t="shared" si="0"/>
        <v>none</v>
      </c>
      <c r="N91" s="107">
        <f>LEN(Tableau13[[#This Row],[LABEL]])</f>
        <v>37</v>
      </c>
      <c r="O91" s="107">
        <v>15</v>
      </c>
      <c r="P91" s="107" t="e">
        <f>ROUND(Tableau13[[#This Row],[LEN]]*#REF!+#REF!,0)</f>
        <v>#REF!</v>
      </c>
    </row>
    <row r="92" spans="1:16" s="97" customFormat="1" x14ac:dyDescent="0.25">
      <c r="A92" s="21" t="s">
        <v>379</v>
      </c>
      <c r="B92" s="22" t="s">
        <v>369</v>
      </c>
      <c r="C92" s="23" t="s">
        <v>83</v>
      </c>
      <c r="D92" s="69" t="s">
        <v>28</v>
      </c>
      <c r="E92" s="23" t="s">
        <v>684</v>
      </c>
      <c r="F92" s="23" t="s">
        <v>684</v>
      </c>
      <c r="G92" s="69" t="s">
        <v>167</v>
      </c>
      <c r="H92" s="69" t="s">
        <v>18</v>
      </c>
      <c r="I92" s="23"/>
      <c r="J92" s="24" t="s">
        <v>708</v>
      </c>
      <c r="K92" s="108">
        <f>ROUND(Tableau13[[#This Row],[LEN]]*7.27,0)</f>
        <v>269</v>
      </c>
      <c r="L92" s="108">
        <v>15</v>
      </c>
      <c r="M92" s="126" t="str">
        <f t="shared" si="0"/>
        <v>none</v>
      </c>
      <c r="N92" s="108">
        <f>LEN(Tableau13[[#This Row],[LABEL]])</f>
        <v>37</v>
      </c>
      <c r="O92" s="108">
        <v>15</v>
      </c>
      <c r="P92" s="108" t="e">
        <f>ROUND(Tableau13[[#This Row],[LEN]]*#REF!+#REF!,0)</f>
        <v>#REF!</v>
      </c>
    </row>
    <row r="93" spans="1:16" s="97" customFormat="1" x14ac:dyDescent="0.25">
      <c r="A93" s="21" t="s">
        <v>380</v>
      </c>
      <c r="B93" s="22" t="s">
        <v>369</v>
      </c>
      <c r="C93" s="23" t="s">
        <v>84</v>
      </c>
      <c r="D93" s="69" t="s">
        <v>28</v>
      </c>
      <c r="E93" s="23" t="s">
        <v>684</v>
      </c>
      <c r="F93" s="23" t="s">
        <v>684</v>
      </c>
      <c r="G93" s="69" t="s">
        <v>167</v>
      </c>
      <c r="H93" s="69" t="s">
        <v>18</v>
      </c>
      <c r="I93" s="23"/>
      <c r="J93" s="24" t="s">
        <v>708</v>
      </c>
      <c r="K93" s="108">
        <f>ROUND(Tableau13[[#This Row],[LEN]]*7.27,0)</f>
        <v>313</v>
      </c>
      <c r="L93" s="108">
        <v>15</v>
      </c>
      <c r="M93" s="126" t="str">
        <f t="shared" si="0"/>
        <v>none</v>
      </c>
      <c r="N93" s="108">
        <f>LEN(Tableau13[[#This Row],[LABEL]])</f>
        <v>43</v>
      </c>
      <c r="O93" s="108">
        <v>15</v>
      </c>
      <c r="P93" s="108" t="e">
        <f>ROUND(Tableau13[[#This Row],[LEN]]*#REF!+#REF!,0)</f>
        <v>#REF!</v>
      </c>
    </row>
    <row r="94" spans="1:16" s="97" customFormat="1" x14ac:dyDescent="0.25">
      <c r="A94" s="21" t="s">
        <v>381</v>
      </c>
      <c r="B94" s="22" t="s">
        <v>369</v>
      </c>
      <c r="C94" s="23" t="s">
        <v>85</v>
      </c>
      <c r="D94" s="69" t="s">
        <v>28</v>
      </c>
      <c r="E94" s="23" t="s">
        <v>684</v>
      </c>
      <c r="F94" s="23" t="s">
        <v>684</v>
      </c>
      <c r="G94" s="69" t="s">
        <v>167</v>
      </c>
      <c r="H94" s="69" t="s">
        <v>18</v>
      </c>
      <c r="I94" s="23"/>
      <c r="J94" s="24" t="s">
        <v>708</v>
      </c>
      <c r="K94" s="108">
        <f>ROUND(Tableau13[[#This Row],[LEN]]*7.27,0)</f>
        <v>218</v>
      </c>
      <c r="L94" s="108">
        <v>15</v>
      </c>
      <c r="M94" s="126" t="str">
        <f t="shared" ref="M94:M224" si="1">IF(J94="javascript:void(0)","none","new")</f>
        <v>none</v>
      </c>
      <c r="N94" s="108">
        <f>LEN(Tableau13[[#This Row],[LABEL]])</f>
        <v>30</v>
      </c>
      <c r="O94" s="108">
        <v>15</v>
      </c>
      <c r="P94" s="108" t="e">
        <f>ROUND(Tableau13[[#This Row],[LEN]]*#REF!+#REF!,0)</f>
        <v>#REF!</v>
      </c>
    </row>
    <row r="95" spans="1:16" s="97" customFormat="1" x14ac:dyDescent="0.25">
      <c r="A95" s="17" t="s">
        <v>370</v>
      </c>
      <c r="B95" s="18" t="s">
        <v>233</v>
      </c>
      <c r="C95" s="19" t="s">
        <v>109</v>
      </c>
      <c r="D95" s="68" t="s">
        <v>28</v>
      </c>
      <c r="E95" s="19" t="s">
        <v>684</v>
      </c>
      <c r="F95" s="19" t="s">
        <v>684</v>
      </c>
      <c r="G95" s="68" t="s">
        <v>167</v>
      </c>
      <c r="H95" s="68" t="s">
        <v>656</v>
      </c>
      <c r="I95" s="19"/>
      <c r="J95" s="20" t="s">
        <v>708</v>
      </c>
      <c r="K95" s="107">
        <f>ROUND(Tableau13[[#This Row],[LEN]]*7.27,0)</f>
        <v>131</v>
      </c>
      <c r="L95" s="107">
        <v>15</v>
      </c>
      <c r="M95" s="125" t="str">
        <f t="shared" si="1"/>
        <v>none</v>
      </c>
      <c r="N95" s="107">
        <f>LEN(Tableau13[[#This Row],[LABEL]])</f>
        <v>18</v>
      </c>
      <c r="O95" s="107">
        <v>15</v>
      </c>
      <c r="P95" s="107" t="e">
        <f>ROUND(Tableau13[[#This Row],[LEN]]*#REF!+#REF!,0)</f>
        <v>#REF!</v>
      </c>
    </row>
    <row r="96" spans="1:16" s="97" customFormat="1" x14ac:dyDescent="0.25">
      <c r="A96" s="17" t="s">
        <v>371</v>
      </c>
      <c r="B96" s="18" t="s">
        <v>233</v>
      </c>
      <c r="C96" s="19" t="s">
        <v>110</v>
      </c>
      <c r="D96" s="68" t="s">
        <v>28</v>
      </c>
      <c r="E96" s="19" t="s">
        <v>1177</v>
      </c>
      <c r="F96" s="19" t="s">
        <v>1084</v>
      </c>
      <c r="G96" s="68" t="s">
        <v>167</v>
      </c>
      <c r="H96" s="68" t="s">
        <v>1131</v>
      </c>
      <c r="I96" s="19"/>
      <c r="J96" s="20" t="s">
        <v>708</v>
      </c>
      <c r="K96" s="107">
        <f>ROUND(Tableau13[[#This Row],[LEN]]*7.27,0)</f>
        <v>102</v>
      </c>
      <c r="L96" s="107">
        <v>15</v>
      </c>
      <c r="M96" s="125" t="str">
        <f t="shared" si="1"/>
        <v>none</v>
      </c>
      <c r="N96" s="107">
        <f>LEN(Tableau13[[#This Row],[LABEL]])</f>
        <v>14</v>
      </c>
      <c r="O96" s="107">
        <v>15</v>
      </c>
      <c r="P96" s="107" t="e">
        <f>ROUND(Tableau13[[#This Row],[LEN]]*#REF!+#REF!,0)</f>
        <v>#REF!</v>
      </c>
    </row>
    <row r="97" spans="1:16" s="273" customFormat="1" x14ac:dyDescent="0.25">
      <c r="A97" s="266" t="s">
        <v>234</v>
      </c>
      <c r="B97" s="267" t="s">
        <v>205</v>
      </c>
      <c r="C97" s="268" t="s">
        <v>4</v>
      </c>
      <c r="D97" s="269" t="s">
        <v>28</v>
      </c>
      <c r="E97" s="268" t="s">
        <v>666</v>
      </c>
      <c r="F97" s="268" t="s">
        <v>666</v>
      </c>
      <c r="G97" s="269" t="s">
        <v>167</v>
      </c>
      <c r="H97" s="269" t="str">
        <f>IFERROR(IF(SEARCH(".00.00.00.00.00",Tableau13[[#This Row],[name]],1)=7,"Division",""),"")</f>
        <v>Division</v>
      </c>
      <c r="I97" s="268"/>
      <c r="J97" s="270" t="s">
        <v>712</v>
      </c>
      <c r="K97" s="271">
        <f>ROUND(Tableau13[[#This Row],[LEN]]*7.27,0)</f>
        <v>36</v>
      </c>
      <c r="L97" s="271">
        <v>15</v>
      </c>
      <c r="M97" s="272" t="str">
        <f t="shared" si="1"/>
        <v>new</v>
      </c>
      <c r="N97" s="271">
        <f>LEN(Tableau13[[#This Row],[LABEL]])</f>
        <v>5</v>
      </c>
      <c r="O97" s="271">
        <v>15</v>
      </c>
      <c r="P97" s="271" t="e">
        <f>ROUND(Tableau13[[#This Row],[LEN]]*#REF!+#REF!,0)</f>
        <v>#REF!</v>
      </c>
    </row>
    <row r="98" spans="1:16" s="97" customFormat="1" x14ac:dyDescent="0.25">
      <c r="A98" s="17" t="s">
        <v>957</v>
      </c>
      <c r="B98" s="18" t="s">
        <v>234</v>
      </c>
      <c r="C98" s="19" t="s">
        <v>961</v>
      </c>
      <c r="D98" s="68" t="s">
        <v>28</v>
      </c>
      <c r="E98" s="19" t="s">
        <v>970</v>
      </c>
      <c r="F98" s="19" t="s">
        <v>970</v>
      </c>
      <c r="G98" s="68" t="s">
        <v>167</v>
      </c>
      <c r="H98" s="68" t="s">
        <v>656</v>
      </c>
      <c r="I98" s="19"/>
      <c r="J98" s="20" t="s">
        <v>708</v>
      </c>
      <c r="K98" s="107">
        <f>ROUND(Tableau13[[#This Row],[LEN]]*7.27,0)</f>
        <v>305</v>
      </c>
      <c r="L98" s="107">
        <v>15</v>
      </c>
      <c r="M98" s="125" t="str">
        <f t="shared" si="1"/>
        <v>none</v>
      </c>
      <c r="N98" s="107">
        <f>LEN(Tableau13[[#This Row],[LABEL]])</f>
        <v>42</v>
      </c>
      <c r="O98" s="107">
        <v>15</v>
      </c>
      <c r="P98" s="107" t="e">
        <f>ROUND(Tableau13[[#This Row],[LEN]]*#REF!+#REF!,0)</f>
        <v>#REF!</v>
      </c>
    </row>
    <row r="99" spans="1:16" s="97" customFormat="1" x14ac:dyDescent="0.25">
      <c r="A99" s="17" t="s">
        <v>958</v>
      </c>
      <c r="B99" s="18" t="s">
        <v>234</v>
      </c>
      <c r="C99" s="19" t="s">
        <v>82</v>
      </c>
      <c r="D99" s="68" t="s">
        <v>28</v>
      </c>
      <c r="E99" s="19" t="s">
        <v>684</v>
      </c>
      <c r="F99" s="19" t="s">
        <v>684</v>
      </c>
      <c r="G99" s="68" t="s">
        <v>167</v>
      </c>
      <c r="H99" s="68" t="s">
        <v>655</v>
      </c>
      <c r="I99" s="19"/>
      <c r="J99" s="20" t="s">
        <v>708</v>
      </c>
      <c r="K99" s="107">
        <f>ROUND(Tableau13[[#This Row],[LEN]]*7.27,0)</f>
        <v>269</v>
      </c>
      <c r="L99" s="107">
        <v>15</v>
      </c>
      <c r="M99" s="125" t="str">
        <f t="shared" si="1"/>
        <v>none</v>
      </c>
      <c r="N99" s="107">
        <f>LEN(Tableau13[[#This Row],[LABEL]])</f>
        <v>37</v>
      </c>
      <c r="O99" s="107">
        <v>15</v>
      </c>
      <c r="P99" s="107" t="e">
        <f>ROUND(Tableau13[[#This Row],[LEN]]*#REF!+#REF!,0)</f>
        <v>#REF!</v>
      </c>
    </row>
    <row r="100" spans="1:16" s="97" customFormat="1" x14ac:dyDescent="0.25">
      <c r="A100" s="21" t="s">
        <v>962</v>
      </c>
      <c r="B100" s="22" t="s">
        <v>958</v>
      </c>
      <c r="C100" s="23" t="s">
        <v>83</v>
      </c>
      <c r="D100" s="69" t="s">
        <v>28</v>
      </c>
      <c r="E100" s="23" t="s">
        <v>684</v>
      </c>
      <c r="F100" s="23" t="s">
        <v>684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ROUND(Tableau13[[#This Row],[LEN]]*7.27,0)</f>
        <v>269</v>
      </c>
      <c r="L100" s="108">
        <v>15</v>
      </c>
      <c r="M100" s="126" t="str">
        <f t="shared" si="1"/>
        <v>none</v>
      </c>
      <c r="N100" s="108">
        <f>LEN(Tableau13[[#This Row],[LABEL]])</f>
        <v>37</v>
      </c>
      <c r="O100" s="108">
        <v>15</v>
      </c>
      <c r="P100" s="108" t="e">
        <f>ROUND(Tableau13[[#This Row],[LEN]]*#REF!+#REF!,0)</f>
        <v>#REF!</v>
      </c>
    </row>
    <row r="101" spans="1:16" s="97" customFormat="1" x14ac:dyDescent="0.25">
      <c r="A101" s="21" t="s">
        <v>963</v>
      </c>
      <c r="B101" s="22" t="s">
        <v>958</v>
      </c>
      <c r="C101" s="23" t="s">
        <v>84</v>
      </c>
      <c r="D101" s="69" t="s">
        <v>28</v>
      </c>
      <c r="E101" s="23" t="s">
        <v>684</v>
      </c>
      <c r="F101" s="23" t="s">
        <v>684</v>
      </c>
      <c r="G101" s="69" t="s">
        <v>167</v>
      </c>
      <c r="H101" s="69" t="s">
        <v>18</v>
      </c>
      <c r="I101" s="23"/>
      <c r="J101" s="24" t="s">
        <v>708</v>
      </c>
      <c r="K101" s="108">
        <f>ROUND(Tableau13[[#This Row],[LEN]]*7.27,0)</f>
        <v>313</v>
      </c>
      <c r="L101" s="108">
        <v>15</v>
      </c>
      <c r="M101" s="126" t="str">
        <f t="shared" si="1"/>
        <v>none</v>
      </c>
      <c r="N101" s="108">
        <f>LEN(Tableau13[[#This Row],[LABEL]])</f>
        <v>43</v>
      </c>
      <c r="O101" s="108">
        <v>15</v>
      </c>
      <c r="P101" s="108" t="e">
        <f>ROUND(Tableau13[[#This Row],[LEN]]*#REF!+#REF!,0)</f>
        <v>#REF!</v>
      </c>
    </row>
    <row r="102" spans="1:16" s="97" customFormat="1" x14ac:dyDescent="0.25">
      <c r="A102" s="21" t="s">
        <v>964</v>
      </c>
      <c r="B102" s="22" t="s">
        <v>958</v>
      </c>
      <c r="C102" s="23" t="s">
        <v>85</v>
      </c>
      <c r="D102" s="69" t="s">
        <v>28</v>
      </c>
      <c r="E102" s="23" t="s">
        <v>684</v>
      </c>
      <c r="F102" s="23" t="s">
        <v>684</v>
      </c>
      <c r="G102" s="69" t="s">
        <v>167</v>
      </c>
      <c r="H102" s="69" t="s">
        <v>18</v>
      </c>
      <c r="I102" s="23"/>
      <c r="J102" s="24" t="s">
        <v>708</v>
      </c>
      <c r="K102" s="108">
        <f>ROUND(Tableau13[[#This Row],[LEN]]*7.27,0)</f>
        <v>218</v>
      </c>
      <c r="L102" s="108">
        <v>15</v>
      </c>
      <c r="M102" s="126" t="str">
        <f t="shared" si="1"/>
        <v>none</v>
      </c>
      <c r="N102" s="108">
        <f>LEN(Tableau13[[#This Row],[LABEL]])</f>
        <v>30</v>
      </c>
      <c r="O102" s="108">
        <v>15</v>
      </c>
      <c r="P102" s="108" t="e">
        <f>ROUND(Tableau13[[#This Row],[LEN]]*#REF!+#REF!,0)</f>
        <v>#REF!</v>
      </c>
    </row>
    <row r="103" spans="1:16" s="97" customFormat="1" x14ac:dyDescent="0.25">
      <c r="A103" s="17" t="s">
        <v>959</v>
      </c>
      <c r="B103" s="18" t="s">
        <v>234</v>
      </c>
      <c r="C103" s="19" t="s">
        <v>109</v>
      </c>
      <c r="D103" s="68" t="s">
        <v>28</v>
      </c>
      <c r="E103" s="19" t="s">
        <v>684</v>
      </c>
      <c r="F103" s="19" t="s">
        <v>684</v>
      </c>
      <c r="G103" s="68" t="s">
        <v>167</v>
      </c>
      <c r="H103" s="68" t="s">
        <v>656</v>
      </c>
      <c r="I103" s="19"/>
      <c r="J103" s="20" t="s">
        <v>708</v>
      </c>
      <c r="K103" s="107">
        <f>ROUND(Tableau13[[#This Row],[LEN]]*7.27,0)</f>
        <v>131</v>
      </c>
      <c r="L103" s="107">
        <v>15</v>
      </c>
      <c r="M103" s="125" t="str">
        <f t="shared" si="1"/>
        <v>none</v>
      </c>
      <c r="N103" s="107">
        <f>LEN(Tableau13[[#This Row],[LABEL]])</f>
        <v>18</v>
      </c>
      <c r="O103" s="107">
        <v>15</v>
      </c>
      <c r="P103" s="107" t="e">
        <f>ROUND(Tableau13[[#This Row],[LEN]]*#REF!+#REF!,0)</f>
        <v>#REF!</v>
      </c>
    </row>
    <row r="104" spans="1:16" s="97" customFormat="1" x14ac:dyDescent="0.25">
      <c r="A104" s="17" t="s">
        <v>960</v>
      </c>
      <c r="B104" s="18" t="s">
        <v>234</v>
      </c>
      <c r="C104" s="19" t="s">
        <v>110</v>
      </c>
      <c r="D104" s="68" t="s">
        <v>28</v>
      </c>
      <c r="E104" s="19" t="s">
        <v>1177</v>
      </c>
      <c r="F104" s="19" t="s">
        <v>1084</v>
      </c>
      <c r="G104" s="68" t="s">
        <v>167</v>
      </c>
      <c r="H104" s="68" t="s">
        <v>1131</v>
      </c>
      <c r="I104" s="19"/>
      <c r="J104" s="20" t="s">
        <v>708</v>
      </c>
      <c r="K104" s="107">
        <f>ROUND(Tableau13[[#This Row],[LEN]]*7.27,0)</f>
        <v>102</v>
      </c>
      <c r="L104" s="107">
        <v>15</v>
      </c>
      <c r="M104" s="125" t="str">
        <f t="shared" si="1"/>
        <v>none</v>
      </c>
      <c r="N104" s="107">
        <f>LEN(Tableau13[[#This Row],[LABEL]])</f>
        <v>14</v>
      </c>
      <c r="O104" s="107">
        <v>15</v>
      </c>
      <c r="P104" s="107" t="e">
        <f>ROUND(Tableau13[[#This Row],[LEN]]*#REF!+#REF!,0)</f>
        <v>#REF!</v>
      </c>
    </row>
    <row r="105" spans="1:16" s="273" customFormat="1" x14ac:dyDescent="0.25">
      <c r="A105" s="266" t="s">
        <v>235</v>
      </c>
      <c r="B105" s="267" t="s">
        <v>205</v>
      </c>
      <c r="C105" s="268" t="s">
        <v>80</v>
      </c>
      <c r="D105" s="269" t="s">
        <v>28</v>
      </c>
      <c r="E105" s="268" t="s">
        <v>667</v>
      </c>
      <c r="F105" s="268" t="s">
        <v>667</v>
      </c>
      <c r="G105" s="269" t="s">
        <v>167</v>
      </c>
      <c r="H105" s="269" t="str">
        <f>IFERROR(IF(SEARCH(".00.00.00.00.00",Tableau13[[#This Row],[name]],1)=7,"Division",""),"")</f>
        <v>Division</v>
      </c>
      <c r="I105" s="268"/>
      <c r="J105" s="270" t="s">
        <v>713</v>
      </c>
      <c r="K105" s="271">
        <f>ROUND(Tableau13[[#This Row],[LEN]]*7.27,0)</f>
        <v>116</v>
      </c>
      <c r="L105" s="271">
        <v>15</v>
      </c>
      <c r="M105" s="272" t="str">
        <f t="shared" si="1"/>
        <v>new</v>
      </c>
      <c r="N105" s="271">
        <f>LEN(Tableau13[[#This Row],[LABEL]])</f>
        <v>16</v>
      </c>
      <c r="O105" s="271">
        <v>15</v>
      </c>
      <c r="P105" s="271" t="e">
        <f>ROUND(Tableau13[[#This Row],[LEN]]*#REF!+#REF!,0)</f>
        <v>#REF!</v>
      </c>
    </row>
    <row r="106" spans="1:16" s="97" customFormat="1" x14ac:dyDescent="0.25">
      <c r="A106" s="17" t="s">
        <v>965</v>
      </c>
      <c r="B106" s="18" t="s">
        <v>235</v>
      </c>
      <c r="C106" s="19" t="s">
        <v>81</v>
      </c>
      <c r="D106" s="68" t="s">
        <v>28</v>
      </c>
      <c r="E106" s="19" t="s">
        <v>667</v>
      </c>
      <c r="F106" s="19" t="s">
        <v>703</v>
      </c>
      <c r="G106" s="68" t="s">
        <v>167</v>
      </c>
      <c r="H106" s="68" t="s">
        <v>655</v>
      </c>
      <c r="I106" s="19"/>
      <c r="J106" s="20" t="s">
        <v>708</v>
      </c>
      <c r="K106" s="107">
        <f>ROUND(Tableau13[[#This Row],[LEN]]*7.27,0)</f>
        <v>73</v>
      </c>
      <c r="L106" s="107">
        <v>15</v>
      </c>
      <c r="M106" s="125" t="str">
        <f t="shared" si="1"/>
        <v>none</v>
      </c>
      <c r="N106" s="107">
        <f>LEN(Tableau13[[#This Row],[LABEL]])</f>
        <v>10</v>
      </c>
      <c r="O106" s="107">
        <v>15</v>
      </c>
      <c r="P106" s="107" t="e">
        <f>ROUND(Tableau13[[#This Row],[LEN]]*#REF!+#REF!,0)</f>
        <v>#REF!</v>
      </c>
    </row>
    <row r="107" spans="1:16" s="97" customFormat="1" x14ac:dyDescent="0.25">
      <c r="A107" s="21" t="s">
        <v>974</v>
      </c>
      <c r="B107" s="22" t="s">
        <v>965</v>
      </c>
      <c r="C107" s="23" t="s">
        <v>978</v>
      </c>
      <c r="D107" s="69" t="s">
        <v>28</v>
      </c>
      <c r="E107" s="23" t="s">
        <v>667</v>
      </c>
      <c r="F107" s="23" t="s">
        <v>703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ROUND(Tableau13[[#This Row],[LEN]]*7.27,0)</f>
        <v>87</v>
      </c>
      <c r="L107" s="108">
        <v>15</v>
      </c>
      <c r="M107" s="126" t="str">
        <f t="shared" si="1"/>
        <v>none</v>
      </c>
      <c r="N107" s="108">
        <f>LEN(Tableau13[[#This Row],[LABEL]])</f>
        <v>12</v>
      </c>
      <c r="O107" s="108">
        <v>15</v>
      </c>
      <c r="P107" s="108" t="e">
        <f>ROUND(Tableau13[[#This Row],[LEN]]*#REF!+#REF!,0)</f>
        <v>#REF!</v>
      </c>
    </row>
    <row r="108" spans="1:16" s="97" customFormat="1" x14ac:dyDescent="0.25">
      <c r="A108" s="21" t="s">
        <v>975</v>
      </c>
      <c r="B108" s="22" t="s">
        <v>965</v>
      </c>
      <c r="C108" s="23" t="s">
        <v>979</v>
      </c>
      <c r="D108" s="69" t="s">
        <v>28</v>
      </c>
      <c r="E108" s="23" t="s">
        <v>667</v>
      </c>
      <c r="F108" s="23" t="s">
        <v>703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ROUND(Tableau13[[#This Row],[LEN]]*7.27,0)</f>
        <v>211</v>
      </c>
      <c r="L108" s="108">
        <v>15</v>
      </c>
      <c r="M108" s="126" t="str">
        <f t="shared" si="1"/>
        <v>none</v>
      </c>
      <c r="N108" s="108">
        <f>LEN(Tableau13[[#This Row],[LABEL]])</f>
        <v>29</v>
      </c>
      <c r="O108" s="108">
        <v>15</v>
      </c>
      <c r="P108" s="108" t="e">
        <f>ROUND(Tableau13[[#This Row],[LEN]]*#REF!+#REF!,0)</f>
        <v>#REF!</v>
      </c>
    </row>
    <row r="109" spans="1:16" s="97" customFormat="1" x14ac:dyDescent="0.25">
      <c r="A109" s="21" t="s">
        <v>976</v>
      </c>
      <c r="B109" s="22" t="s">
        <v>965</v>
      </c>
      <c r="C109" s="23" t="s">
        <v>980</v>
      </c>
      <c r="D109" s="69" t="s">
        <v>28</v>
      </c>
      <c r="E109" s="23" t="s">
        <v>667</v>
      </c>
      <c r="F109" s="23" t="s">
        <v>703</v>
      </c>
      <c r="G109" s="69" t="s">
        <v>167</v>
      </c>
      <c r="H109" s="69" t="s">
        <v>570</v>
      </c>
      <c r="I109" s="23"/>
      <c r="J109" s="24" t="s">
        <v>708</v>
      </c>
      <c r="K109" s="108">
        <f>ROUND(Tableau13[[#This Row],[LEN]]*7.27,0)</f>
        <v>182</v>
      </c>
      <c r="L109" s="108">
        <v>15</v>
      </c>
      <c r="M109" s="126" t="str">
        <f t="shared" si="1"/>
        <v>none</v>
      </c>
      <c r="N109" s="108">
        <f>LEN(Tableau13[[#This Row],[LABEL]])</f>
        <v>25</v>
      </c>
      <c r="O109" s="108">
        <v>15</v>
      </c>
      <c r="P109" s="108" t="e">
        <f>ROUND(Tableau13[[#This Row],[LEN]]*#REF!+#REF!,0)</f>
        <v>#REF!</v>
      </c>
    </row>
    <row r="110" spans="1:16" s="97" customFormat="1" x14ac:dyDescent="0.25">
      <c r="A110" s="21" t="s">
        <v>977</v>
      </c>
      <c r="B110" s="22" t="s">
        <v>965</v>
      </c>
      <c r="C110" s="23" t="s">
        <v>981</v>
      </c>
      <c r="D110" s="69" t="s">
        <v>28</v>
      </c>
      <c r="E110" s="23" t="s">
        <v>667</v>
      </c>
      <c r="F110" s="23" t="s">
        <v>703</v>
      </c>
      <c r="G110" s="69" t="s">
        <v>167</v>
      </c>
      <c r="H110" s="69" t="s">
        <v>570</v>
      </c>
      <c r="I110" s="23"/>
      <c r="J110" s="24" t="s">
        <v>708</v>
      </c>
      <c r="K110" s="108">
        <f>ROUND(Tableau13[[#This Row],[LEN]]*7.27,0)</f>
        <v>305</v>
      </c>
      <c r="L110" s="108">
        <v>15</v>
      </c>
      <c r="M110" s="126" t="str">
        <f t="shared" si="1"/>
        <v>none</v>
      </c>
      <c r="N110" s="108">
        <f>LEN(Tableau13[[#This Row],[LABEL]])</f>
        <v>42</v>
      </c>
      <c r="O110" s="108">
        <v>15</v>
      </c>
      <c r="P110" s="108" t="e">
        <f>ROUND(Tableau13[[#This Row],[LEN]]*#REF!+#REF!,0)</f>
        <v>#REF!</v>
      </c>
    </row>
    <row r="111" spans="1:16" s="97" customFormat="1" x14ac:dyDescent="0.25">
      <c r="A111" s="17" t="s">
        <v>966</v>
      </c>
      <c r="B111" s="18" t="s">
        <v>235</v>
      </c>
      <c r="C111" s="19" t="s">
        <v>961</v>
      </c>
      <c r="D111" s="68" t="s">
        <v>28</v>
      </c>
      <c r="E111" s="19" t="s">
        <v>970</v>
      </c>
      <c r="F111" s="19" t="s">
        <v>970</v>
      </c>
      <c r="G111" s="68" t="s">
        <v>167</v>
      </c>
      <c r="H111" s="68" t="s">
        <v>656</v>
      </c>
      <c r="I111" s="19"/>
      <c r="J111" s="20" t="s">
        <v>708</v>
      </c>
      <c r="K111" s="107">
        <f>ROUND(Tableau13[[#This Row],[LEN]]*7.27,0)</f>
        <v>305</v>
      </c>
      <c r="L111" s="107">
        <v>15</v>
      </c>
      <c r="M111" s="125" t="str">
        <f t="shared" si="1"/>
        <v>none</v>
      </c>
      <c r="N111" s="107">
        <f>LEN(Tableau13[[#This Row],[LABEL]])</f>
        <v>42</v>
      </c>
      <c r="O111" s="107">
        <v>15</v>
      </c>
      <c r="P111" s="107" t="e">
        <f>ROUND(Tableau13[[#This Row],[LEN]]*#REF!+#REF!,0)</f>
        <v>#REF!</v>
      </c>
    </row>
    <row r="112" spans="1:16" s="97" customFormat="1" x14ac:dyDescent="0.25">
      <c r="A112" s="17" t="s">
        <v>967</v>
      </c>
      <c r="B112" s="18" t="s">
        <v>235</v>
      </c>
      <c r="C112" s="19" t="s">
        <v>971</v>
      </c>
      <c r="D112" s="68" t="s">
        <v>28</v>
      </c>
      <c r="E112" s="19" t="s">
        <v>667</v>
      </c>
      <c r="F112" s="19" t="s">
        <v>973</v>
      </c>
      <c r="G112" s="68" t="s">
        <v>167</v>
      </c>
      <c r="H112" s="68" t="s">
        <v>570</v>
      </c>
      <c r="I112" s="19"/>
      <c r="J112" s="20" t="s">
        <v>708</v>
      </c>
      <c r="K112" s="107">
        <f>ROUND(Tableau13[[#This Row],[LEN]]*7.27,0)</f>
        <v>385</v>
      </c>
      <c r="L112" s="107">
        <v>15</v>
      </c>
      <c r="M112" s="125" t="str">
        <f t="shared" si="1"/>
        <v>none</v>
      </c>
      <c r="N112" s="107">
        <f>LEN(Tableau13[[#This Row],[LABEL]])</f>
        <v>53</v>
      </c>
      <c r="O112" s="107">
        <v>15</v>
      </c>
      <c r="P112" s="107" t="e">
        <f>ROUND(Tableau13[[#This Row],[LEN]]*#REF!+#REF!,0)</f>
        <v>#REF!</v>
      </c>
    </row>
    <row r="113" spans="1:16" s="97" customFormat="1" x14ac:dyDescent="0.25">
      <c r="A113" s="17" t="s">
        <v>968</v>
      </c>
      <c r="B113" s="18" t="s">
        <v>235</v>
      </c>
      <c r="C113" s="19" t="s">
        <v>972</v>
      </c>
      <c r="D113" s="68" t="s">
        <v>28</v>
      </c>
      <c r="E113" s="19" t="s">
        <v>667</v>
      </c>
      <c r="F113" s="19" t="s">
        <v>667</v>
      </c>
      <c r="G113" s="68" t="s">
        <v>167</v>
      </c>
      <c r="H113" s="68" t="s">
        <v>18</v>
      </c>
      <c r="I113" s="19"/>
      <c r="J113" s="20" t="s">
        <v>708</v>
      </c>
      <c r="K113" s="107">
        <f>ROUND(Tableau13[[#This Row],[LEN]]*7.27,0)</f>
        <v>182</v>
      </c>
      <c r="L113" s="107">
        <v>15</v>
      </c>
      <c r="M113" s="125" t="str">
        <f t="shared" si="1"/>
        <v>none</v>
      </c>
      <c r="N113" s="107">
        <f>LEN(Tableau13[[#This Row],[LABEL]])</f>
        <v>25</v>
      </c>
      <c r="O113" s="107">
        <v>15</v>
      </c>
      <c r="P113" s="107" t="e">
        <f>ROUND(Tableau13[[#This Row],[LEN]]*#REF!+#REF!,0)</f>
        <v>#REF!</v>
      </c>
    </row>
    <row r="114" spans="1:16" s="97" customFormat="1" x14ac:dyDescent="0.25">
      <c r="A114" s="17" t="s">
        <v>969</v>
      </c>
      <c r="B114" s="18" t="s">
        <v>235</v>
      </c>
      <c r="C114" s="19" t="s">
        <v>110</v>
      </c>
      <c r="D114" s="68" t="s">
        <v>28</v>
      </c>
      <c r="E114" s="19" t="s">
        <v>1177</v>
      </c>
      <c r="F114" s="19" t="s">
        <v>1084</v>
      </c>
      <c r="G114" s="68" t="s">
        <v>167</v>
      </c>
      <c r="H114" s="68" t="s">
        <v>1131</v>
      </c>
      <c r="I114" s="19"/>
      <c r="J114" s="20" t="s">
        <v>708</v>
      </c>
      <c r="K114" s="107">
        <f>ROUND(Tableau13[[#This Row],[LEN]]*7.27,0)</f>
        <v>102</v>
      </c>
      <c r="L114" s="107">
        <v>15</v>
      </c>
      <c r="M114" s="125" t="str">
        <f t="shared" si="1"/>
        <v>none</v>
      </c>
      <c r="N114" s="107">
        <f>LEN(Tableau13[[#This Row],[LABEL]])</f>
        <v>14</v>
      </c>
      <c r="O114" s="107">
        <v>15</v>
      </c>
      <c r="P114" s="107" t="e">
        <f>ROUND(Tableau13[[#This Row],[LEN]]*#REF!+#REF!,0)</f>
        <v>#REF!</v>
      </c>
    </row>
    <row r="115" spans="1:16" s="273" customFormat="1" x14ac:dyDescent="0.25">
      <c r="A115" s="266" t="s">
        <v>236</v>
      </c>
      <c r="B115" s="267" t="s">
        <v>205</v>
      </c>
      <c r="C115" s="268" t="s">
        <v>5</v>
      </c>
      <c r="D115" s="269" t="s">
        <v>28</v>
      </c>
      <c r="E115" s="268" t="s">
        <v>668</v>
      </c>
      <c r="F115" s="268" t="s">
        <v>668</v>
      </c>
      <c r="G115" s="269" t="s">
        <v>167</v>
      </c>
      <c r="H115" s="269" t="str">
        <f>IFERROR(IF(SEARCH(".00.00.00.00.00",Tableau13[[#This Row],[name]],1)=7,"Division",""),"")</f>
        <v>Division</v>
      </c>
      <c r="I115" s="268"/>
      <c r="J115" s="270" t="s">
        <v>714</v>
      </c>
      <c r="K115" s="271">
        <f>ROUND(Tableau13[[#This Row],[LEN]]*7.27,0)</f>
        <v>73</v>
      </c>
      <c r="L115" s="271">
        <v>15</v>
      </c>
      <c r="M115" s="272" t="str">
        <f t="shared" si="1"/>
        <v>new</v>
      </c>
      <c r="N115" s="271">
        <f>LEN(Tableau13[[#This Row],[LABEL]])</f>
        <v>10</v>
      </c>
      <c r="O115" s="271">
        <v>15</v>
      </c>
      <c r="P115" s="271" t="e">
        <f>ROUND(Tableau13[[#This Row],[LEN]]*#REF!+#REF!,0)</f>
        <v>#REF!</v>
      </c>
    </row>
    <row r="116" spans="1:16" s="97" customFormat="1" x14ac:dyDescent="0.25">
      <c r="A116" s="17" t="s">
        <v>982</v>
      </c>
      <c r="B116" s="18" t="s">
        <v>236</v>
      </c>
      <c r="C116" s="19" t="s">
        <v>983</v>
      </c>
      <c r="D116" s="68" t="s">
        <v>28</v>
      </c>
      <c r="E116" s="19" t="s">
        <v>668</v>
      </c>
      <c r="F116" s="19" t="s">
        <v>668</v>
      </c>
      <c r="G116" s="68" t="s">
        <v>167</v>
      </c>
      <c r="H116" s="68" t="s">
        <v>18</v>
      </c>
      <c r="I116" s="19"/>
      <c r="J116" s="20" t="s">
        <v>708</v>
      </c>
      <c r="K116" s="107">
        <f>ROUND(Tableau13[[#This Row],[LEN]]*7.27,0)</f>
        <v>371</v>
      </c>
      <c r="L116" s="107">
        <v>15</v>
      </c>
      <c r="M116" s="125" t="str">
        <f t="shared" si="1"/>
        <v>none</v>
      </c>
      <c r="N116" s="107">
        <f>LEN(Tableau13[[#This Row],[LABEL]])</f>
        <v>51</v>
      </c>
      <c r="O116" s="107">
        <v>15</v>
      </c>
      <c r="P116" s="107" t="e">
        <f>ROUND(Tableau13[[#This Row],[LEN]]*#REF!+#REF!,0)</f>
        <v>#REF!</v>
      </c>
    </row>
    <row r="117" spans="1:16" s="273" customFormat="1" x14ac:dyDescent="0.25">
      <c r="A117" s="266" t="s">
        <v>237</v>
      </c>
      <c r="B117" s="267" t="s">
        <v>205</v>
      </c>
      <c r="C117" s="268" t="s">
        <v>6</v>
      </c>
      <c r="D117" s="269" t="s">
        <v>28</v>
      </c>
      <c r="E117" s="268" t="s">
        <v>669</v>
      </c>
      <c r="F117" s="268" t="s">
        <v>669</v>
      </c>
      <c r="G117" s="269" t="s">
        <v>167</v>
      </c>
      <c r="H117" s="269" t="str">
        <f>IFERROR(IF(SEARCH(".00.00.00.00.00",Tableau13[[#This Row],[name]],1)=7,"Division",""),"")</f>
        <v>Division</v>
      </c>
      <c r="I117" s="268"/>
      <c r="J117" s="270" t="s">
        <v>715</v>
      </c>
      <c r="K117" s="271">
        <f>ROUND(Tableau13[[#This Row],[LEN]]*7.27,0)</f>
        <v>196</v>
      </c>
      <c r="L117" s="271">
        <v>15</v>
      </c>
      <c r="M117" s="272" t="str">
        <f t="shared" si="1"/>
        <v>new</v>
      </c>
      <c r="N117" s="271">
        <f>LEN(Tableau13[[#This Row],[LABEL]])</f>
        <v>27</v>
      </c>
      <c r="O117" s="271">
        <v>15</v>
      </c>
      <c r="P117" s="271" t="e">
        <f>ROUND(Tableau13[[#This Row],[LEN]]*#REF!+#REF!,0)</f>
        <v>#REF!</v>
      </c>
    </row>
    <row r="118" spans="1:16" s="97" customFormat="1" x14ac:dyDescent="0.25">
      <c r="A118" s="17" t="s">
        <v>382</v>
      </c>
      <c r="B118" s="18" t="s">
        <v>237</v>
      </c>
      <c r="C118" s="19" t="s">
        <v>81</v>
      </c>
      <c r="D118" s="68" t="s">
        <v>28</v>
      </c>
      <c r="E118" s="19" t="s">
        <v>667</v>
      </c>
      <c r="F118" s="19" t="s">
        <v>703</v>
      </c>
      <c r="G118" s="68" t="s">
        <v>167</v>
      </c>
      <c r="H118" s="68" t="s">
        <v>654</v>
      </c>
      <c r="I118" s="19"/>
      <c r="J118" s="20" t="s">
        <v>708</v>
      </c>
      <c r="K118" s="107">
        <f>ROUND(Tableau13[[#This Row],[LEN]]*7.27,0)</f>
        <v>73</v>
      </c>
      <c r="L118" s="107">
        <v>15</v>
      </c>
      <c r="M118" s="125" t="str">
        <f t="shared" si="1"/>
        <v>none</v>
      </c>
      <c r="N118" s="107">
        <f>LEN(Tableau13[[#This Row],[LABEL]])</f>
        <v>10</v>
      </c>
      <c r="O118" s="107">
        <v>15</v>
      </c>
      <c r="P118" s="107" t="e">
        <f>ROUND(Tableau13[[#This Row],[LEN]]*#REF!+#REF!,0)</f>
        <v>#REF!</v>
      </c>
    </row>
    <row r="119" spans="1:16" s="97" customFormat="1" x14ac:dyDescent="0.25">
      <c r="A119" s="17" t="s">
        <v>383</v>
      </c>
      <c r="B119" s="18" t="s">
        <v>237</v>
      </c>
      <c r="C119" s="19" t="s">
        <v>136</v>
      </c>
      <c r="D119" s="68" t="s">
        <v>28</v>
      </c>
      <c r="E119" s="19" t="s">
        <v>669</v>
      </c>
      <c r="F119" s="19" t="s">
        <v>704</v>
      </c>
      <c r="G119" s="68" t="s">
        <v>167</v>
      </c>
      <c r="H119" s="68" t="s">
        <v>656</v>
      </c>
      <c r="I119" s="19"/>
      <c r="J119" s="20" t="s">
        <v>708</v>
      </c>
      <c r="K119" s="107">
        <f>ROUND(Tableau13[[#This Row],[LEN]]*7.27,0)</f>
        <v>174</v>
      </c>
      <c r="L119" s="107">
        <v>15</v>
      </c>
      <c r="M119" s="125" t="str">
        <f t="shared" si="1"/>
        <v>none</v>
      </c>
      <c r="N119" s="107">
        <f>LEN(Tableau13[[#This Row],[LABEL]])</f>
        <v>24</v>
      </c>
      <c r="O119" s="107">
        <v>15</v>
      </c>
      <c r="P119" s="107" t="e">
        <f>ROUND(Tableau13[[#This Row],[LEN]]*#REF!+#REF!,0)</f>
        <v>#REF!</v>
      </c>
    </row>
    <row r="120" spans="1:16" s="97" customFormat="1" x14ac:dyDescent="0.25">
      <c r="A120" s="17" t="s">
        <v>384</v>
      </c>
      <c r="B120" s="18" t="s">
        <v>237</v>
      </c>
      <c r="C120" s="19" t="s">
        <v>110</v>
      </c>
      <c r="D120" s="68" t="s">
        <v>28</v>
      </c>
      <c r="E120" s="19" t="s">
        <v>1177</v>
      </c>
      <c r="F120" s="19" t="s">
        <v>1084</v>
      </c>
      <c r="G120" s="68" t="s">
        <v>167</v>
      </c>
      <c r="H120" s="68" t="s">
        <v>1131</v>
      </c>
      <c r="I120" s="19"/>
      <c r="J120" s="20" t="s">
        <v>708</v>
      </c>
      <c r="K120" s="107">
        <f>ROUND(Tableau13[[#This Row],[LEN]]*7.27,0)</f>
        <v>102</v>
      </c>
      <c r="L120" s="107">
        <v>15</v>
      </c>
      <c r="M120" s="125" t="str">
        <f t="shared" si="1"/>
        <v>none</v>
      </c>
      <c r="N120" s="107">
        <f>LEN(Tableau13[[#This Row],[LABEL]])</f>
        <v>14</v>
      </c>
      <c r="O120" s="107">
        <v>15</v>
      </c>
      <c r="P120" s="107" t="e">
        <f>ROUND(Tableau13[[#This Row],[LEN]]*#REF!+#REF!,0)</f>
        <v>#REF!</v>
      </c>
    </row>
    <row r="121" spans="1:16" s="273" customFormat="1" x14ac:dyDescent="0.25">
      <c r="A121" s="266" t="s">
        <v>238</v>
      </c>
      <c r="B121" s="267" t="s">
        <v>205</v>
      </c>
      <c r="C121" s="268" t="s">
        <v>7</v>
      </c>
      <c r="D121" s="269" t="s">
        <v>28</v>
      </c>
      <c r="E121" s="268" t="s">
        <v>670</v>
      </c>
      <c r="F121" s="268" t="s">
        <v>670</v>
      </c>
      <c r="G121" s="269" t="s">
        <v>167</v>
      </c>
      <c r="H121" s="269" t="str">
        <f>IFERROR(IF(SEARCH(".00.00.00.00.00",Tableau13[[#This Row],[name]],1)=7,"Division",""),"")</f>
        <v>Division</v>
      </c>
      <c r="I121" s="268"/>
      <c r="J121" s="270" t="s">
        <v>716</v>
      </c>
      <c r="K121" s="271">
        <f>ROUND(Tableau13[[#This Row],[LEN]]*7.27,0)</f>
        <v>189</v>
      </c>
      <c r="L121" s="271">
        <v>15</v>
      </c>
      <c r="M121" s="272" t="str">
        <f t="shared" si="1"/>
        <v>new</v>
      </c>
      <c r="N121" s="271">
        <f>LEN(Tableau13[[#This Row],[LABEL]])</f>
        <v>26</v>
      </c>
      <c r="O121" s="271">
        <v>15</v>
      </c>
      <c r="P121" s="271" t="e">
        <f>ROUND(Tableau13[[#This Row],[LEN]]*#REF!+#REF!,0)</f>
        <v>#REF!</v>
      </c>
    </row>
    <row r="122" spans="1:16" s="273" customFormat="1" x14ac:dyDescent="0.25">
      <c r="A122" s="266" t="s">
        <v>239</v>
      </c>
      <c r="B122" s="267" t="s">
        <v>205</v>
      </c>
      <c r="C122" s="268" t="s">
        <v>8</v>
      </c>
      <c r="D122" s="269" t="s">
        <v>28</v>
      </c>
      <c r="E122" s="268" t="s">
        <v>671</v>
      </c>
      <c r="F122" s="268" t="s">
        <v>671</v>
      </c>
      <c r="G122" s="269" t="s">
        <v>167</v>
      </c>
      <c r="H122" s="269" t="str">
        <f>IFERROR(IF(SEARCH(".00.00.00.00.00",Tableau13[[#This Row],[name]],1)=7,"Division",""),"")</f>
        <v>Division</v>
      </c>
      <c r="I122" s="268"/>
      <c r="J122" s="270" t="s">
        <v>717</v>
      </c>
      <c r="K122" s="271">
        <f>ROUND(Tableau13[[#This Row],[LEN]]*7.27,0)</f>
        <v>116</v>
      </c>
      <c r="L122" s="271">
        <v>15</v>
      </c>
      <c r="M122" s="272" t="str">
        <f t="shared" si="1"/>
        <v>new</v>
      </c>
      <c r="N122" s="271">
        <f>LEN(Tableau13[[#This Row],[LABEL]])</f>
        <v>16</v>
      </c>
      <c r="O122" s="271">
        <v>15</v>
      </c>
      <c r="P122" s="271" t="e">
        <f>ROUND(Tableau13[[#This Row],[LEN]]*#REF!+#REF!,0)</f>
        <v>#REF!</v>
      </c>
    </row>
    <row r="123" spans="1:16" s="273" customFormat="1" x14ac:dyDescent="0.25">
      <c r="A123" s="266" t="s">
        <v>240</v>
      </c>
      <c r="B123" s="267" t="s">
        <v>205</v>
      </c>
      <c r="C123" s="268" t="s">
        <v>9</v>
      </c>
      <c r="D123" s="269" t="s">
        <v>28</v>
      </c>
      <c r="E123" s="268" t="s">
        <v>672</v>
      </c>
      <c r="F123" s="268" t="s">
        <v>672</v>
      </c>
      <c r="G123" s="269" t="s">
        <v>167</v>
      </c>
      <c r="H123" s="269" t="str">
        <f>IFERROR(IF(SEARCH(".00.00.00.00.00",Tableau13[[#This Row],[name]],1)=7,"Division",""),"")</f>
        <v>Division</v>
      </c>
      <c r="I123" s="268"/>
      <c r="J123" s="270" t="s">
        <v>718</v>
      </c>
      <c r="K123" s="271">
        <f>ROUND(Tableau13[[#This Row],[LEN]]*7.27,0)</f>
        <v>80</v>
      </c>
      <c r="L123" s="271">
        <v>15</v>
      </c>
      <c r="M123" s="272" t="str">
        <f t="shared" si="1"/>
        <v>new</v>
      </c>
      <c r="N123" s="271">
        <f>LEN(Tableau13[[#This Row],[LABEL]])</f>
        <v>11</v>
      </c>
      <c r="O123" s="271">
        <v>15</v>
      </c>
      <c r="P123" s="271" t="e">
        <f>ROUND(Tableau13[[#This Row],[LEN]]*#REF!+#REF!,0)</f>
        <v>#REF!</v>
      </c>
    </row>
    <row r="124" spans="1:16" s="97" customFormat="1" x14ac:dyDescent="0.25">
      <c r="A124" s="17" t="s">
        <v>372</v>
      </c>
      <c r="B124" s="18" t="s">
        <v>240</v>
      </c>
      <c r="C124" s="19" t="s">
        <v>81</v>
      </c>
      <c r="D124" s="68" t="s">
        <v>28</v>
      </c>
      <c r="E124" s="19" t="s">
        <v>672</v>
      </c>
      <c r="F124" s="19" t="s">
        <v>702</v>
      </c>
      <c r="G124" s="68" t="s">
        <v>167</v>
      </c>
      <c r="H124" s="68" t="s">
        <v>655</v>
      </c>
      <c r="I124" s="19"/>
      <c r="J124" s="20" t="s">
        <v>708</v>
      </c>
      <c r="K124" s="107">
        <f>ROUND(Tableau13[[#This Row],[LEN]]*7.27,0)</f>
        <v>73</v>
      </c>
      <c r="L124" s="107">
        <v>15</v>
      </c>
      <c r="M124" s="125" t="str">
        <f t="shared" si="1"/>
        <v>none</v>
      </c>
      <c r="N124" s="107">
        <f>LEN(Tableau13[[#This Row],[LABEL]])</f>
        <v>10</v>
      </c>
      <c r="O124" s="107">
        <v>15</v>
      </c>
      <c r="P124" s="107" t="e">
        <f>ROUND(Tableau13[[#This Row],[LEN]]*#REF!+#REF!,0)</f>
        <v>#REF!</v>
      </c>
    </row>
    <row r="125" spans="1:16" s="97" customFormat="1" x14ac:dyDescent="0.25">
      <c r="A125" s="21" t="s">
        <v>385</v>
      </c>
      <c r="B125" s="22" t="s">
        <v>372</v>
      </c>
      <c r="C125" s="23" t="s">
        <v>187</v>
      </c>
      <c r="D125" s="69" t="s">
        <v>28</v>
      </c>
      <c r="E125" s="23" t="s">
        <v>672</v>
      </c>
      <c r="F125" s="23" t="s">
        <v>702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ROUND(Tableau13[[#This Row],[LEN]]*7.27,0)</f>
        <v>305</v>
      </c>
      <c r="L125" s="108">
        <v>15</v>
      </c>
      <c r="M125" s="126" t="str">
        <f t="shared" si="1"/>
        <v>none</v>
      </c>
      <c r="N125" s="108">
        <f>LEN(Tableau13[[#This Row],[LABEL]])</f>
        <v>42</v>
      </c>
      <c r="O125" s="108">
        <v>15</v>
      </c>
      <c r="P125" s="108" t="e">
        <f>ROUND(Tableau13[[#This Row],[LEN]]*#REF!+#REF!,0)</f>
        <v>#REF!</v>
      </c>
    </row>
    <row r="126" spans="1:16" s="97" customFormat="1" x14ac:dyDescent="0.25">
      <c r="A126" s="21" t="s">
        <v>386</v>
      </c>
      <c r="B126" s="22" t="s">
        <v>372</v>
      </c>
      <c r="C126" s="23" t="s">
        <v>188</v>
      </c>
      <c r="D126" s="69" t="s">
        <v>28</v>
      </c>
      <c r="E126" s="23" t="s">
        <v>672</v>
      </c>
      <c r="F126" s="23" t="s">
        <v>702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ROUND(Tableau13[[#This Row],[LEN]]*7.27,0)</f>
        <v>196</v>
      </c>
      <c r="L126" s="108">
        <v>15</v>
      </c>
      <c r="M126" s="126" t="str">
        <f t="shared" si="1"/>
        <v>none</v>
      </c>
      <c r="N126" s="108">
        <f>LEN(Tableau13[[#This Row],[LABEL]])</f>
        <v>27</v>
      </c>
      <c r="O126" s="108">
        <v>15</v>
      </c>
      <c r="P126" s="108" t="e">
        <f>ROUND(Tableau13[[#This Row],[LEN]]*#REF!+#REF!,0)</f>
        <v>#REF!</v>
      </c>
    </row>
    <row r="127" spans="1:16" s="97" customFormat="1" x14ac:dyDescent="0.25">
      <c r="A127" s="21" t="s">
        <v>387</v>
      </c>
      <c r="B127" s="22" t="s">
        <v>372</v>
      </c>
      <c r="C127" s="23" t="s">
        <v>189</v>
      </c>
      <c r="D127" s="69" t="s">
        <v>28</v>
      </c>
      <c r="E127" s="23" t="s">
        <v>672</v>
      </c>
      <c r="F127" s="23" t="s">
        <v>702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ROUND(Tableau13[[#This Row],[LEN]]*7.27,0)</f>
        <v>291</v>
      </c>
      <c r="L127" s="108">
        <v>15</v>
      </c>
      <c r="M127" s="126" t="str">
        <f t="shared" si="1"/>
        <v>none</v>
      </c>
      <c r="N127" s="108">
        <f>LEN(Tableau13[[#This Row],[LABEL]])</f>
        <v>40</v>
      </c>
      <c r="O127" s="108">
        <v>15</v>
      </c>
      <c r="P127" s="108" t="e">
        <f>ROUND(Tableau13[[#This Row],[LEN]]*#REF!+#REF!,0)</f>
        <v>#REF!</v>
      </c>
    </row>
    <row r="128" spans="1:16" s="97" customFormat="1" x14ac:dyDescent="0.25">
      <c r="A128" s="21" t="s">
        <v>388</v>
      </c>
      <c r="B128" s="22" t="s">
        <v>372</v>
      </c>
      <c r="C128" s="23" t="s">
        <v>190</v>
      </c>
      <c r="D128" s="69" t="s">
        <v>28</v>
      </c>
      <c r="E128" s="23" t="s">
        <v>672</v>
      </c>
      <c r="F128" s="23" t="s">
        <v>702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ROUND(Tableau13[[#This Row],[LEN]]*7.27,0)</f>
        <v>240</v>
      </c>
      <c r="L128" s="108">
        <v>15</v>
      </c>
      <c r="M128" s="126" t="str">
        <f t="shared" si="1"/>
        <v>none</v>
      </c>
      <c r="N128" s="108">
        <f>LEN(Tableau13[[#This Row],[LABEL]])</f>
        <v>33</v>
      </c>
      <c r="O128" s="108">
        <v>15</v>
      </c>
      <c r="P128" s="108" t="e">
        <f>ROUND(Tableau13[[#This Row],[LEN]]*#REF!+#REF!,0)</f>
        <v>#REF!</v>
      </c>
    </row>
    <row r="129" spans="1:16" s="97" customFormat="1" x14ac:dyDescent="0.25">
      <c r="A129" s="21" t="s">
        <v>389</v>
      </c>
      <c r="B129" s="22" t="s">
        <v>372</v>
      </c>
      <c r="C129" s="23" t="s">
        <v>191</v>
      </c>
      <c r="D129" s="69" t="s">
        <v>28</v>
      </c>
      <c r="E129" s="23" t="s">
        <v>672</v>
      </c>
      <c r="F129" s="23" t="s">
        <v>702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ROUND(Tableau13[[#This Row],[LEN]]*7.27,0)</f>
        <v>233</v>
      </c>
      <c r="L129" s="108">
        <v>15</v>
      </c>
      <c r="M129" s="126" t="str">
        <f t="shared" si="1"/>
        <v>none</v>
      </c>
      <c r="N129" s="108">
        <f>LEN(Tableau13[[#This Row],[LABEL]])</f>
        <v>32</v>
      </c>
      <c r="O129" s="108">
        <v>15</v>
      </c>
      <c r="P129" s="108" t="e">
        <f>ROUND(Tableau13[[#This Row],[LEN]]*#REF!+#REF!,0)</f>
        <v>#REF!</v>
      </c>
    </row>
    <row r="130" spans="1:16" s="97" customFormat="1" x14ac:dyDescent="0.25">
      <c r="A130" s="21" t="s">
        <v>390</v>
      </c>
      <c r="B130" s="22" t="s">
        <v>372</v>
      </c>
      <c r="C130" s="23" t="s">
        <v>192</v>
      </c>
      <c r="D130" s="69" t="s">
        <v>28</v>
      </c>
      <c r="E130" s="23" t="s">
        <v>672</v>
      </c>
      <c r="F130" s="23" t="s">
        <v>702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ROUND(Tableau13[[#This Row],[LEN]]*7.27,0)</f>
        <v>225</v>
      </c>
      <c r="L130" s="108">
        <v>15</v>
      </c>
      <c r="M130" s="126" t="str">
        <f t="shared" si="1"/>
        <v>none</v>
      </c>
      <c r="N130" s="108">
        <f>LEN(Tableau13[[#This Row],[LABEL]])</f>
        <v>31</v>
      </c>
      <c r="O130" s="108">
        <v>15</v>
      </c>
      <c r="P130" s="108" t="e">
        <f>ROUND(Tableau13[[#This Row],[LEN]]*#REF!+#REF!,0)</f>
        <v>#REF!</v>
      </c>
    </row>
    <row r="131" spans="1:16" s="97" customFormat="1" x14ac:dyDescent="0.25">
      <c r="A131" s="21" t="s">
        <v>391</v>
      </c>
      <c r="B131" s="22" t="s">
        <v>372</v>
      </c>
      <c r="C131" s="23" t="s">
        <v>193</v>
      </c>
      <c r="D131" s="69" t="s">
        <v>28</v>
      </c>
      <c r="E131" s="23" t="s">
        <v>672</v>
      </c>
      <c r="F131" s="23" t="s">
        <v>702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ROUND(Tableau13[[#This Row],[LEN]]*7.27,0)</f>
        <v>196</v>
      </c>
      <c r="L131" s="108">
        <v>15</v>
      </c>
      <c r="M131" s="126" t="str">
        <f t="shared" si="1"/>
        <v>none</v>
      </c>
      <c r="N131" s="108">
        <f>LEN(Tableau13[[#This Row],[LABEL]])</f>
        <v>27</v>
      </c>
      <c r="O131" s="108">
        <v>15</v>
      </c>
      <c r="P131" s="108" t="e">
        <f>ROUND(Tableau13[[#This Row],[LEN]]*#REF!+#REF!,0)</f>
        <v>#REF!</v>
      </c>
    </row>
    <row r="132" spans="1:16" s="97" customFormat="1" x14ac:dyDescent="0.25">
      <c r="A132" s="21" t="s">
        <v>392</v>
      </c>
      <c r="B132" s="22" t="s">
        <v>372</v>
      </c>
      <c r="C132" s="23" t="s">
        <v>194</v>
      </c>
      <c r="D132" s="69" t="s">
        <v>28</v>
      </c>
      <c r="E132" s="23" t="s">
        <v>672</v>
      </c>
      <c r="F132" s="23" t="s">
        <v>702</v>
      </c>
      <c r="G132" s="69" t="s">
        <v>167</v>
      </c>
      <c r="H132" s="69" t="s">
        <v>570</v>
      </c>
      <c r="I132" s="23"/>
      <c r="J132" s="24" t="s">
        <v>708</v>
      </c>
      <c r="K132" s="108">
        <f>ROUND(Tableau13[[#This Row],[LEN]]*7.27,0)</f>
        <v>109</v>
      </c>
      <c r="L132" s="108">
        <v>15</v>
      </c>
      <c r="M132" s="126" t="str">
        <f t="shared" si="1"/>
        <v>none</v>
      </c>
      <c r="N132" s="108">
        <f>LEN(Tableau13[[#This Row],[LABEL]])</f>
        <v>15</v>
      </c>
      <c r="O132" s="108">
        <v>15</v>
      </c>
      <c r="P132" s="108" t="e">
        <f>ROUND(Tableau13[[#This Row],[LEN]]*#REF!+#REF!,0)</f>
        <v>#REF!</v>
      </c>
    </row>
    <row r="133" spans="1:16" s="97" customFormat="1" x14ac:dyDescent="0.25">
      <c r="A133" s="21" t="s">
        <v>393</v>
      </c>
      <c r="B133" s="22" t="s">
        <v>372</v>
      </c>
      <c r="C133" s="23" t="s">
        <v>195</v>
      </c>
      <c r="D133" s="69" t="s">
        <v>28</v>
      </c>
      <c r="E133" s="23" t="s">
        <v>672</v>
      </c>
      <c r="F133" s="23" t="s">
        <v>702</v>
      </c>
      <c r="G133" s="69" t="s">
        <v>167</v>
      </c>
      <c r="H133" s="69" t="s">
        <v>570</v>
      </c>
      <c r="I133" s="23"/>
      <c r="J133" s="24" t="s">
        <v>708</v>
      </c>
      <c r="K133" s="108">
        <f>ROUND(Tableau13[[#This Row],[LEN]]*7.27,0)</f>
        <v>240</v>
      </c>
      <c r="L133" s="108">
        <v>15</v>
      </c>
      <c r="M133" s="126" t="str">
        <f t="shared" si="1"/>
        <v>none</v>
      </c>
      <c r="N133" s="108">
        <f>LEN(Tableau13[[#This Row],[LABEL]])</f>
        <v>33</v>
      </c>
      <c r="O133" s="108">
        <v>15</v>
      </c>
      <c r="P133" s="108" t="e">
        <f>ROUND(Tableau13[[#This Row],[LEN]]*#REF!+#REF!,0)</f>
        <v>#REF!</v>
      </c>
    </row>
    <row r="134" spans="1:16" s="97" customFormat="1" x14ac:dyDescent="0.25">
      <c r="A134" s="21" t="s">
        <v>394</v>
      </c>
      <c r="B134" s="22" t="s">
        <v>372</v>
      </c>
      <c r="C134" s="23" t="s">
        <v>196</v>
      </c>
      <c r="D134" s="69" t="s">
        <v>28</v>
      </c>
      <c r="E134" s="23" t="s">
        <v>672</v>
      </c>
      <c r="F134" s="23" t="s">
        <v>702</v>
      </c>
      <c r="G134" s="69" t="s">
        <v>167</v>
      </c>
      <c r="H134" s="69" t="s">
        <v>570</v>
      </c>
      <c r="I134" s="23"/>
      <c r="J134" s="24" t="s">
        <v>708</v>
      </c>
      <c r="K134" s="108">
        <f>ROUND(Tableau13[[#This Row],[LEN]]*7.27,0)</f>
        <v>269</v>
      </c>
      <c r="L134" s="108">
        <v>15</v>
      </c>
      <c r="M134" s="126" t="str">
        <f t="shared" si="1"/>
        <v>none</v>
      </c>
      <c r="N134" s="108">
        <f>LEN(Tableau13[[#This Row],[LABEL]])</f>
        <v>37</v>
      </c>
      <c r="O134" s="108">
        <v>15</v>
      </c>
      <c r="P134" s="108" t="e">
        <f>ROUND(Tableau13[[#This Row],[LEN]]*#REF!+#REF!,0)</f>
        <v>#REF!</v>
      </c>
    </row>
    <row r="135" spans="1:16" s="97" customFormat="1" x14ac:dyDescent="0.25">
      <c r="A135" s="21" t="s">
        <v>395</v>
      </c>
      <c r="B135" s="22" t="s">
        <v>372</v>
      </c>
      <c r="C135" s="23" t="s">
        <v>197</v>
      </c>
      <c r="D135" s="69" t="s">
        <v>28</v>
      </c>
      <c r="E135" s="23" t="s">
        <v>672</v>
      </c>
      <c r="F135" s="23" t="s">
        <v>702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ROUND(Tableau13[[#This Row],[LEN]]*7.27,0)</f>
        <v>196</v>
      </c>
      <c r="L135" s="108">
        <v>15</v>
      </c>
      <c r="M135" s="126" t="str">
        <f t="shared" si="1"/>
        <v>none</v>
      </c>
      <c r="N135" s="108">
        <f>LEN(Tableau13[[#This Row],[LABEL]])</f>
        <v>27</v>
      </c>
      <c r="O135" s="108">
        <v>15</v>
      </c>
      <c r="P135" s="108" t="e">
        <f>ROUND(Tableau13[[#This Row],[LEN]]*#REF!+#REF!,0)</f>
        <v>#REF!</v>
      </c>
    </row>
    <row r="136" spans="1:16" s="97" customFormat="1" x14ac:dyDescent="0.25">
      <c r="A136" s="17" t="s">
        <v>470</v>
      </c>
      <c r="B136" s="18" t="s">
        <v>240</v>
      </c>
      <c r="C136" s="19" t="s">
        <v>110</v>
      </c>
      <c r="D136" s="68" t="s">
        <v>28</v>
      </c>
      <c r="E136" s="19" t="s">
        <v>1177</v>
      </c>
      <c r="F136" s="19" t="s">
        <v>1084</v>
      </c>
      <c r="G136" s="68" t="s">
        <v>167</v>
      </c>
      <c r="H136" s="68" t="s">
        <v>1131</v>
      </c>
      <c r="I136" s="19"/>
      <c r="J136" s="20" t="s">
        <v>708</v>
      </c>
      <c r="K136" s="107">
        <f>ROUND(Tableau13[[#This Row],[LEN]]*7.27,0)</f>
        <v>102</v>
      </c>
      <c r="L136" s="107">
        <v>15</v>
      </c>
      <c r="M136" s="125" t="str">
        <f t="shared" si="1"/>
        <v>none</v>
      </c>
      <c r="N136" s="107">
        <f>LEN(Tableau13[[#This Row],[LABEL]])</f>
        <v>14</v>
      </c>
      <c r="O136" s="107">
        <v>15</v>
      </c>
      <c r="P136" s="107" t="e">
        <f>ROUND(Tableau13[[#This Row],[LEN]]*#REF!+#REF!,0)</f>
        <v>#REF!</v>
      </c>
    </row>
    <row r="137" spans="1:16" s="273" customFormat="1" x14ac:dyDescent="0.25">
      <c r="A137" s="266" t="s">
        <v>241</v>
      </c>
      <c r="B137" s="267" t="s">
        <v>205</v>
      </c>
      <c r="C137" s="268" t="s">
        <v>10</v>
      </c>
      <c r="D137" s="269" t="s">
        <v>28</v>
      </c>
      <c r="E137" s="268" t="s">
        <v>673</v>
      </c>
      <c r="F137" s="268" t="s">
        <v>673</v>
      </c>
      <c r="G137" s="269" t="s">
        <v>167</v>
      </c>
      <c r="H137" s="269" t="str">
        <f>IFERROR(IF(SEARCH(".00.00.00.00.00",Tableau13[[#This Row],[name]],1)=7,"Division",""),"")</f>
        <v>Division</v>
      </c>
      <c r="I137" s="268"/>
      <c r="J137" s="270" t="s">
        <v>719</v>
      </c>
      <c r="K137" s="271">
        <f>ROUND(Tableau13[[#This Row],[LEN]]*7.27,0)</f>
        <v>109</v>
      </c>
      <c r="L137" s="271">
        <v>15</v>
      </c>
      <c r="M137" s="272" t="str">
        <f t="shared" si="1"/>
        <v>new</v>
      </c>
      <c r="N137" s="271">
        <f>LEN(Tableau13[[#This Row],[LABEL]])</f>
        <v>15</v>
      </c>
      <c r="O137" s="271">
        <v>15</v>
      </c>
      <c r="P137" s="271" t="e">
        <f>ROUND(Tableau13[[#This Row],[LEN]]*#REF!+#REF!,0)</f>
        <v>#REF!</v>
      </c>
    </row>
    <row r="138" spans="1:16" s="97" customFormat="1" x14ac:dyDescent="0.25">
      <c r="A138" s="17" t="s">
        <v>984</v>
      </c>
      <c r="B138" s="18" t="s">
        <v>241</v>
      </c>
      <c r="C138" s="19" t="s">
        <v>81</v>
      </c>
      <c r="D138" s="68" t="s">
        <v>28</v>
      </c>
      <c r="E138" s="19" t="s">
        <v>667</v>
      </c>
      <c r="F138" s="19" t="s">
        <v>986</v>
      </c>
      <c r="G138" s="68" t="s">
        <v>167</v>
      </c>
      <c r="H138" s="68" t="s">
        <v>655</v>
      </c>
      <c r="I138" s="19"/>
      <c r="J138" s="20" t="s">
        <v>708</v>
      </c>
      <c r="K138" s="107">
        <f>ROUND(Tableau13[[#This Row],[LEN]]*7.27,0)</f>
        <v>73</v>
      </c>
      <c r="L138" s="107">
        <v>15</v>
      </c>
      <c r="M138" s="125" t="str">
        <f t="shared" si="1"/>
        <v>none</v>
      </c>
      <c r="N138" s="107">
        <f>LEN(Tableau13[[#This Row],[LABEL]])</f>
        <v>10</v>
      </c>
      <c r="O138" s="107">
        <v>15</v>
      </c>
      <c r="P138" s="107" t="e">
        <f>ROUND(Tableau13[[#This Row],[LEN]]*#REF!+#REF!,0)</f>
        <v>#REF!</v>
      </c>
    </row>
    <row r="139" spans="1:16" s="97" customFormat="1" x14ac:dyDescent="0.25">
      <c r="A139" s="21" t="s">
        <v>987</v>
      </c>
      <c r="B139" s="22" t="s">
        <v>984</v>
      </c>
      <c r="C139" s="23" t="s">
        <v>992</v>
      </c>
      <c r="D139" s="69" t="s">
        <v>28</v>
      </c>
      <c r="E139" s="23" t="s">
        <v>667</v>
      </c>
      <c r="F139" s="23" t="s">
        <v>986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ROUND(Tableau13[[#This Row],[LEN]]*7.27,0)</f>
        <v>138</v>
      </c>
      <c r="L139" s="108">
        <v>15</v>
      </c>
      <c r="M139" s="126" t="str">
        <f t="shared" si="1"/>
        <v>none</v>
      </c>
      <c r="N139" s="108">
        <f>LEN(Tableau13[[#This Row],[LABEL]])</f>
        <v>19</v>
      </c>
      <c r="O139" s="108">
        <v>15</v>
      </c>
      <c r="P139" s="108" t="e">
        <f>ROUND(Tableau13[[#This Row],[LEN]]*#REF!+#REF!,0)</f>
        <v>#REF!</v>
      </c>
    </row>
    <row r="140" spans="1:16" s="97" customFormat="1" x14ac:dyDescent="0.25">
      <c r="A140" s="21" t="s">
        <v>988</v>
      </c>
      <c r="B140" s="22" t="s">
        <v>984</v>
      </c>
      <c r="C140" s="23" t="s">
        <v>993</v>
      </c>
      <c r="D140" s="69" t="s">
        <v>28</v>
      </c>
      <c r="E140" s="23" t="s">
        <v>667</v>
      </c>
      <c r="F140" s="23" t="s">
        <v>986</v>
      </c>
      <c r="G140" s="69" t="s">
        <v>167</v>
      </c>
      <c r="H140" s="69" t="s">
        <v>570</v>
      </c>
      <c r="I140" s="23"/>
      <c r="J140" s="24" t="s">
        <v>708</v>
      </c>
      <c r="K140" s="108">
        <f>ROUND(Tableau13[[#This Row],[LEN]]*7.27,0)</f>
        <v>225</v>
      </c>
      <c r="L140" s="108">
        <v>15</v>
      </c>
      <c r="M140" s="126" t="str">
        <f t="shared" si="1"/>
        <v>none</v>
      </c>
      <c r="N140" s="108">
        <f>LEN(Tableau13[[#This Row],[LABEL]])</f>
        <v>31</v>
      </c>
      <c r="O140" s="108">
        <v>15</v>
      </c>
      <c r="P140" s="108" t="e">
        <f>ROUND(Tableau13[[#This Row],[LEN]]*#REF!+#REF!,0)</f>
        <v>#REF!</v>
      </c>
    </row>
    <row r="141" spans="1:16" s="97" customFormat="1" x14ac:dyDescent="0.25">
      <c r="A141" s="21" t="s">
        <v>989</v>
      </c>
      <c r="B141" s="22" t="s">
        <v>984</v>
      </c>
      <c r="C141" s="23" t="s">
        <v>994</v>
      </c>
      <c r="D141" s="69" t="s">
        <v>28</v>
      </c>
      <c r="E141" s="23" t="s">
        <v>667</v>
      </c>
      <c r="F141" s="23" t="s">
        <v>986</v>
      </c>
      <c r="G141" s="69" t="s">
        <v>167</v>
      </c>
      <c r="H141" s="69" t="s">
        <v>570</v>
      </c>
      <c r="I141" s="23"/>
      <c r="J141" s="24" t="s">
        <v>708</v>
      </c>
      <c r="K141" s="108">
        <f>ROUND(Tableau13[[#This Row],[LEN]]*7.27,0)</f>
        <v>153</v>
      </c>
      <c r="L141" s="108">
        <v>15</v>
      </c>
      <c r="M141" s="126" t="str">
        <f t="shared" si="1"/>
        <v>none</v>
      </c>
      <c r="N141" s="108">
        <f>LEN(Tableau13[[#This Row],[LABEL]])</f>
        <v>21</v>
      </c>
      <c r="O141" s="108">
        <v>15</v>
      </c>
      <c r="P141" s="108" t="e">
        <f>ROUND(Tableau13[[#This Row],[LEN]]*#REF!+#REF!,0)</f>
        <v>#REF!</v>
      </c>
    </row>
    <row r="142" spans="1:16" s="97" customFormat="1" x14ac:dyDescent="0.25">
      <c r="A142" s="21" t="s">
        <v>990</v>
      </c>
      <c r="B142" s="22" t="s">
        <v>984</v>
      </c>
      <c r="C142" s="23" t="s">
        <v>995</v>
      </c>
      <c r="D142" s="69" t="s">
        <v>28</v>
      </c>
      <c r="E142" s="23" t="s">
        <v>667</v>
      </c>
      <c r="F142" s="23" t="s">
        <v>986</v>
      </c>
      <c r="G142" s="69" t="s">
        <v>167</v>
      </c>
      <c r="H142" s="69" t="s">
        <v>570</v>
      </c>
      <c r="I142" s="23"/>
      <c r="J142" s="24" t="s">
        <v>708</v>
      </c>
      <c r="K142" s="108">
        <f>ROUND(Tableau13[[#This Row],[LEN]]*7.27,0)</f>
        <v>327</v>
      </c>
      <c r="L142" s="108">
        <v>15</v>
      </c>
      <c r="M142" s="126" t="str">
        <f t="shared" si="1"/>
        <v>none</v>
      </c>
      <c r="N142" s="108">
        <f>LEN(Tableau13[[#This Row],[LABEL]])</f>
        <v>45</v>
      </c>
      <c r="O142" s="108">
        <v>15</v>
      </c>
      <c r="P142" s="108" t="e">
        <f>ROUND(Tableau13[[#This Row],[LEN]]*#REF!+#REF!,0)</f>
        <v>#REF!</v>
      </c>
    </row>
    <row r="143" spans="1:16" s="97" customFormat="1" x14ac:dyDescent="0.25">
      <c r="A143" s="21" t="s">
        <v>991</v>
      </c>
      <c r="B143" s="22" t="s">
        <v>984</v>
      </c>
      <c r="C143" s="23" t="s">
        <v>996</v>
      </c>
      <c r="D143" s="69" t="s">
        <v>28</v>
      </c>
      <c r="E143" s="23" t="s">
        <v>667</v>
      </c>
      <c r="F143" s="23" t="s">
        <v>986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ROUND(Tableau13[[#This Row],[LEN]]*7.27,0)</f>
        <v>211</v>
      </c>
      <c r="L143" s="108">
        <v>15</v>
      </c>
      <c r="M143" s="126" t="str">
        <f t="shared" si="1"/>
        <v>none</v>
      </c>
      <c r="N143" s="108">
        <f>LEN(Tableau13[[#This Row],[LABEL]])</f>
        <v>29</v>
      </c>
      <c r="O143" s="108">
        <v>15</v>
      </c>
      <c r="P143" s="108" t="e">
        <f>ROUND(Tableau13[[#This Row],[LEN]]*#REF!+#REF!,0)</f>
        <v>#REF!</v>
      </c>
    </row>
    <row r="144" spans="1:16" s="97" customFormat="1" x14ac:dyDescent="0.25">
      <c r="A144" s="17" t="s">
        <v>985</v>
      </c>
      <c r="B144" s="18" t="s">
        <v>241</v>
      </c>
      <c r="C144" s="19" t="s">
        <v>110</v>
      </c>
      <c r="D144" s="68" t="s">
        <v>28</v>
      </c>
      <c r="E144" s="19" t="s">
        <v>1177</v>
      </c>
      <c r="F144" s="19" t="s">
        <v>1084</v>
      </c>
      <c r="G144" s="68" t="s">
        <v>167</v>
      </c>
      <c r="H144" s="68" t="s">
        <v>1131</v>
      </c>
      <c r="I144" s="19"/>
      <c r="J144" s="20" t="s">
        <v>708</v>
      </c>
      <c r="K144" s="107">
        <f>ROUND(Tableau13[[#This Row],[LEN]]*7.27,0)</f>
        <v>102</v>
      </c>
      <c r="L144" s="107">
        <v>15</v>
      </c>
      <c r="M144" s="125" t="str">
        <f t="shared" si="1"/>
        <v>none</v>
      </c>
      <c r="N144" s="107">
        <f>LEN(Tableau13[[#This Row],[LABEL]])</f>
        <v>14</v>
      </c>
      <c r="O144" s="107">
        <v>15</v>
      </c>
      <c r="P144" s="107" t="e">
        <f>ROUND(Tableau13[[#This Row],[LEN]]*#REF!+#REF!,0)</f>
        <v>#REF!</v>
      </c>
    </row>
    <row r="145" spans="1:16" s="273" customFormat="1" x14ac:dyDescent="0.25">
      <c r="A145" s="266" t="s">
        <v>242</v>
      </c>
      <c r="B145" s="267" t="s">
        <v>205</v>
      </c>
      <c r="C145" s="268" t="s">
        <v>11</v>
      </c>
      <c r="D145" s="269" t="s">
        <v>28</v>
      </c>
      <c r="E145" s="268" t="s">
        <v>674</v>
      </c>
      <c r="F145" s="268" t="s">
        <v>674</v>
      </c>
      <c r="G145" s="269" t="s">
        <v>167</v>
      </c>
      <c r="H145" s="269" t="str">
        <f>IFERROR(IF(SEARCH(".00.00.00.00.00",Tableau13[[#This Row],[name]],1)=7,"Division",""),"")</f>
        <v>Division</v>
      </c>
      <c r="I145" s="268"/>
      <c r="J145" s="270" t="s">
        <v>720</v>
      </c>
      <c r="K145" s="271">
        <f>ROUND(Tableau13[[#This Row],[LEN]]*7.27,0)</f>
        <v>51</v>
      </c>
      <c r="L145" s="271">
        <v>15</v>
      </c>
      <c r="M145" s="272" t="str">
        <f t="shared" si="1"/>
        <v>new</v>
      </c>
      <c r="N145" s="271">
        <f>LEN(Tableau13[[#This Row],[LABEL]])</f>
        <v>7</v>
      </c>
      <c r="O145" s="271">
        <v>15</v>
      </c>
      <c r="P145" s="271" t="e">
        <f>ROUND(Tableau13[[#This Row],[LEN]]*#REF!+#REF!,0)</f>
        <v>#REF!</v>
      </c>
    </row>
    <row r="146" spans="1:16" s="97" customFormat="1" x14ac:dyDescent="0.25">
      <c r="A146" s="17" t="s">
        <v>997</v>
      </c>
      <c r="B146" s="18" t="s">
        <v>242</v>
      </c>
      <c r="C146" s="19" t="s">
        <v>81</v>
      </c>
      <c r="D146" s="68" t="s">
        <v>28</v>
      </c>
      <c r="E146" s="19" t="s">
        <v>667</v>
      </c>
      <c r="F146" s="19" t="s">
        <v>999</v>
      </c>
      <c r="G146" s="68" t="s">
        <v>167</v>
      </c>
      <c r="H146" s="68" t="s">
        <v>655</v>
      </c>
      <c r="I146" s="19"/>
      <c r="J146" s="20" t="s">
        <v>708</v>
      </c>
      <c r="K146" s="107">
        <f>ROUND(Tableau13[[#This Row],[LEN]]*7.27,0)</f>
        <v>73</v>
      </c>
      <c r="L146" s="107">
        <v>15</v>
      </c>
      <c r="M146" s="125" t="str">
        <f t="shared" si="1"/>
        <v>none</v>
      </c>
      <c r="N146" s="107">
        <f>LEN(Tableau13[[#This Row],[LABEL]])</f>
        <v>10</v>
      </c>
      <c r="O146" s="107">
        <v>15</v>
      </c>
      <c r="P146" s="107" t="e">
        <f>ROUND(Tableau13[[#This Row],[LEN]]*#REF!+#REF!,0)</f>
        <v>#REF!</v>
      </c>
    </row>
    <row r="147" spans="1:16" s="97" customFormat="1" x14ac:dyDescent="0.25">
      <c r="A147" s="21" t="s">
        <v>1002</v>
      </c>
      <c r="B147" s="22" t="s">
        <v>997</v>
      </c>
      <c r="C147" s="23" t="s">
        <v>1000</v>
      </c>
      <c r="D147" s="69" t="s">
        <v>28</v>
      </c>
      <c r="E147" s="23" t="s">
        <v>667</v>
      </c>
      <c r="F147" s="23" t="s">
        <v>999</v>
      </c>
      <c r="G147" s="69" t="s">
        <v>167</v>
      </c>
      <c r="H147" s="69" t="s">
        <v>570</v>
      </c>
      <c r="I147" s="23"/>
      <c r="J147" s="24" t="s">
        <v>708</v>
      </c>
      <c r="K147" s="108">
        <f>ROUND(Tableau13[[#This Row],[LEN]]*7.27,0)</f>
        <v>196</v>
      </c>
      <c r="L147" s="108">
        <v>15</v>
      </c>
      <c r="M147" s="126" t="str">
        <f t="shared" si="1"/>
        <v>none</v>
      </c>
      <c r="N147" s="108">
        <f>LEN(Tableau13[[#This Row],[LABEL]])</f>
        <v>27</v>
      </c>
      <c r="O147" s="108">
        <v>15</v>
      </c>
      <c r="P147" s="108" t="e">
        <f>ROUND(Tableau13[[#This Row],[LEN]]*#REF!+#REF!,0)</f>
        <v>#REF!</v>
      </c>
    </row>
    <row r="148" spans="1:16" s="97" customFormat="1" x14ac:dyDescent="0.25">
      <c r="A148" s="21" t="s">
        <v>1003</v>
      </c>
      <c r="B148" s="22" t="s">
        <v>997</v>
      </c>
      <c r="C148" s="23" t="s">
        <v>1001</v>
      </c>
      <c r="D148" s="69" t="s">
        <v>28</v>
      </c>
      <c r="E148" s="23" t="s">
        <v>667</v>
      </c>
      <c r="F148" s="23" t="s">
        <v>999</v>
      </c>
      <c r="G148" s="69" t="s">
        <v>167</v>
      </c>
      <c r="H148" s="69" t="s">
        <v>570</v>
      </c>
      <c r="I148" s="23"/>
      <c r="J148" s="24" t="s">
        <v>708</v>
      </c>
      <c r="K148" s="108">
        <f>ROUND(Tableau13[[#This Row],[LEN]]*7.27,0)</f>
        <v>174</v>
      </c>
      <c r="L148" s="108">
        <v>15</v>
      </c>
      <c r="M148" s="126" t="str">
        <f t="shared" si="1"/>
        <v>none</v>
      </c>
      <c r="N148" s="108">
        <f>LEN(Tableau13[[#This Row],[LABEL]])</f>
        <v>24</v>
      </c>
      <c r="O148" s="108">
        <v>15</v>
      </c>
      <c r="P148" s="108" t="e">
        <f>ROUND(Tableau13[[#This Row],[LEN]]*#REF!+#REF!,0)</f>
        <v>#REF!</v>
      </c>
    </row>
    <row r="149" spans="1:16" s="97" customFormat="1" x14ac:dyDescent="0.25">
      <c r="A149" s="17" t="s">
        <v>998</v>
      </c>
      <c r="B149" s="18" t="s">
        <v>242</v>
      </c>
      <c r="C149" s="19" t="s">
        <v>110</v>
      </c>
      <c r="D149" s="68" t="s">
        <v>28</v>
      </c>
      <c r="E149" s="19" t="s">
        <v>1177</v>
      </c>
      <c r="F149" s="19" t="s">
        <v>1084</v>
      </c>
      <c r="G149" s="68" t="s">
        <v>167</v>
      </c>
      <c r="H149" s="68" t="s">
        <v>1131</v>
      </c>
      <c r="I149" s="19"/>
      <c r="J149" s="20" t="s">
        <v>708</v>
      </c>
      <c r="K149" s="107">
        <f>ROUND(Tableau13[[#This Row],[LEN]]*7.27,0)</f>
        <v>102</v>
      </c>
      <c r="L149" s="107">
        <v>15</v>
      </c>
      <c r="M149" s="125" t="str">
        <f t="shared" si="1"/>
        <v>none</v>
      </c>
      <c r="N149" s="107">
        <f>LEN(Tableau13[[#This Row],[LABEL]])</f>
        <v>14</v>
      </c>
      <c r="O149" s="107">
        <v>15</v>
      </c>
      <c r="P149" s="107" t="e">
        <f>ROUND(Tableau13[[#This Row],[LEN]]*#REF!+#REF!,0)</f>
        <v>#REF!</v>
      </c>
    </row>
    <row r="150" spans="1:16" s="273" customFormat="1" x14ac:dyDescent="0.25">
      <c r="A150" s="266" t="s">
        <v>243</v>
      </c>
      <c r="B150" s="267" t="s">
        <v>205</v>
      </c>
      <c r="C150" s="268" t="s">
        <v>12</v>
      </c>
      <c r="D150" s="269" t="s">
        <v>28</v>
      </c>
      <c r="E150" s="268" t="s">
        <v>675</v>
      </c>
      <c r="F150" s="268" t="s">
        <v>675</v>
      </c>
      <c r="G150" s="269" t="s">
        <v>167</v>
      </c>
      <c r="H150" s="269" t="str">
        <f>IFERROR(IF(SEARCH(".00.00.00.00.00",Tableau13[[#This Row],[name]],1)=7,"Division",""),"")</f>
        <v>Division</v>
      </c>
      <c r="I150" s="268"/>
      <c r="J150" s="270" t="s">
        <v>721</v>
      </c>
      <c r="K150" s="271">
        <f>ROUND(Tableau13[[#This Row],[LEN]]*7.27,0)</f>
        <v>15</v>
      </c>
      <c r="L150" s="271">
        <v>15</v>
      </c>
      <c r="M150" s="272" t="str">
        <f t="shared" si="1"/>
        <v>new</v>
      </c>
      <c r="N150" s="271">
        <f>LEN(Tableau13[[#This Row],[LABEL]])</f>
        <v>2</v>
      </c>
      <c r="O150" s="271">
        <v>15</v>
      </c>
      <c r="P150" s="271" t="e">
        <f>ROUND(Tableau13[[#This Row],[LEN]]*#REF!+#REF!,0)</f>
        <v>#REF!</v>
      </c>
    </row>
    <row r="151" spans="1:16" s="97" customFormat="1" x14ac:dyDescent="0.25">
      <c r="A151" s="17" t="s">
        <v>1004</v>
      </c>
      <c r="B151" s="18" t="s">
        <v>243</v>
      </c>
      <c r="C151" s="19" t="s">
        <v>1007</v>
      </c>
      <c r="D151" s="68" t="s">
        <v>28</v>
      </c>
      <c r="E151" s="19" t="s">
        <v>675</v>
      </c>
      <c r="F151" s="19" t="s">
        <v>675</v>
      </c>
      <c r="G151" s="68" t="s">
        <v>167</v>
      </c>
      <c r="H151" s="68" t="s">
        <v>655</v>
      </c>
      <c r="I151" s="19"/>
      <c r="J151" s="20" t="s">
        <v>708</v>
      </c>
      <c r="K151" s="107">
        <f>ROUND(Tableau13[[#This Row],[LEN]]*7.27,0)</f>
        <v>305</v>
      </c>
      <c r="L151" s="107">
        <v>15</v>
      </c>
      <c r="M151" s="125" t="str">
        <f t="shared" si="1"/>
        <v>none</v>
      </c>
      <c r="N151" s="107">
        <f>LEN(Tableau13[[#This Row],[LABEL]])</f>
        <v>42</v>
      </c>
      <c r="O151" s="107">
        <v>15</v>
      </c>
      <c r="P151" s="107" t="e">
        <f>ROUND(Tableau13[[#This Row],[LEN]]*#REF!+#REF!,0)</f>
        <v>#REF!</v>
      </c>
    </row>
    <row r="152" spans="1:16" s="97" customFormat="1" x14ac:dyDescent="0.25">
      <c r="A152" s="21" t="s">
        <v>1009</v>
      </c>
      <c r="B152" s="22" t="s">
        <v>1004</v>
      </c>
      <c r="C152" s="23" t="s">
        <v>1012</v>
      </c>
      <c r="D152" s="69" t="s">
        <v>28</v>
      </c>
      <c r="E152" s="23" t="s">
        <v>675</v>
      </c>
      <c r="F152" s="23" t="s">
        <v>675</v>
      </c>
      <c r="G152" s="69" t="s">
        <v>167</v>
      </c>
      <c r="H152" s="69" t="s">
        <v>656</v>
      </c>
      <c r="I152" s="23"/>
      <c r="J152" s="24" t="s">
        <v>708</v>
      </c>
      <c r="K152" s="108">
        <f>ROUND(Tableau13[[#This Row],[LEN]]*7.27,0)</f>
        <v>276</v>
      </c>
      <c r="L152" s="108">
        <v>15</v>
      </c>
      <c r="M152" s="126" t="str">
        <f t="shared" si="1"/>
        <v>none</v>
      </c>
      <c r="N152" s="108">
        <f>LEN(Tableau13[[#This Row],[LABEL]])</f>
        <v>38</v>
      </c>
      <c r="O152" s="108">
        <v>15</v>
      </c>
      <c r="P152" s="108" t="e">
        <f>ROUND(Tableau13[[#This Row],[LEN]]*#REF!+#REF!,0)</f>
        <v>#REF!</v>
      </c>
    </row>
    <row r="153" spans="1:16" s="97" customFormat="1" x14ac:dyDescent="0.25">
      <c r="A153" s="21" t="s">
        <v>1010</v>
      </c>
      <c r="B153" s="22" t="s">
        <v>1004</v>
      </c>
      <c r="C153" s="23" t="s">
        <v>1013</v>
      </c>
      <c r="D153" s="69" t="s">
        <v>28</v>
      </c>
      <c r="E153" s="23" t="s">
        <v>675</v>
      </c>
      <c r="F153" s="23" t="s">
        <v>675</v>
      </c>
      <c r="G153" s="69" t="s">
        <v>167</v>
      </c>
      <c r="H153" s="69" t="s">
        <v>656</v>
      </c>
      <c r="I153" s="23"/>
      <c r="J153" s="24" t="s">
        <v>708</v>
      </c>
      <c r="K153" s="108">
        <f>ROUND(Tableau13[[#This Row],[LEN]]*7.27,0)</f>
        <v>284</v>
      </c>
      <c r="L153" s="108">
        <v>15</v>
      </c>
      <c r="M153" s="126" t="str">
        <f t="shared" si="1"/>
        <v>none</v>
      </c>
      <c r="N153" s="108">
        <f>LEN(Tableau13[[#This Row],[LABEL]])</f>
        <v>39</v>
      </c>
      <c r="O153" s="108">
        <v>15</v>
      </c>
      <c r="P153" s="108" t="e">
        <f>ROUND(Tableau13[[#This Row],[LEN]]*#REF!+#REF!,0)</f>
        <v>#REF!</v>
      </c>
    </row>
    <row r="154" spans="1:16" s="97" customFormat="1" x14ac:dyDescent="0.25">
      <c r="A154" s="21" t="s">
        <v>1011</v>
      </c>
      <c r="B154" s="22" t="s">
        <v>1004</v>
      </c>
      <c r="C154" s="23" t="s">
        <v>1014</v>
      </c>
      <c r="D154" s="69" t="s">
        <v>28</v>
      </c>
      <c r="E154" s="23" t="s">
        <v>675</v>
      </c>
      <c r="F154" s="23" t="s">
        <v>675</v>
      </c>
      <c r="G154" s="69" t="s">
        <v>167</v>
      </c>
      <c r="H154" s="69" t="s">
        <v>656</v>
      </c>
      <c r="I154" s="23"/>
      <c r="J154" s="24" t="s">
        <v>708</v>
      </c>
      <c r="K154" s="108">
        <f>ROUND(Tableau13[[#This Row],[LEN]]*7.27,0)</f>
        <v>327</v>
      </c>
      <c r="L154" s="108">
        <v>15</v>
      </c>
      <c r="M154" s="126" t="str">
        <f t="shared" si="1"/>
        <v>none</v>
      </c>
      <c r="N154" s="108">
        <f>LEN(Tableau13[[#This Row],[LABEL]])</f>
        <v>45</v>
      </c>
      <c r="O154" s="108">
        <v>15</v>
      </c>
      <c r="P154" s="108" t="e">
        <f>ROUND(Tableau13[[#This Row],[LEN]]*#REF!+#REF!,0)</f>
        <v>#REF!</v>
      </c>
    </row>
    <row r="155" spans="1:16" s="97" customFormat="1" x14ac:dyDescent="0.25">
      <c r="A155" s="17" t="s">
        <v>1005</v>
      </c>
      <c r="B155" s="18" t="s">
        <v>243</v>
      </c>
      <c r="C155" s="19" t="s">
        <v>1008</v>
      </c>
      <c r="D155" s="68" t="s">
        <v>28</v>
      </c>
      <c r="E155" s="19" t="s">
        <v>675</v>
      </c>
      <c r="F155" s="19" t="s">
        <v>675</v>
      </c>
      <c r="G155" s="68" t="s">
        <v>167</v>
      </c>
      <c r="H155" s="68" t="s">
        <v>654</v>
      </c>
      <c r="I155" s="19"/>
      <c r="J155" s="20" t="s">
        <v>708</v>
      </c>
      <c r="K155" s="107">
        <f>ROUND(Tableau13[[#This Row],[LEN]]*7.27,0)</f>
        <v>305</v>
      </c>
      <c r="L155" s="107">
        <v>15</v>
      </c>
      <c r="M155" s="125" t="str">
        <f t="shared" si="1"/>
        <v>none</v>
      </c>
      <c r="N155" s="107">
        <f>LEN(Tableau13[[#This Row],[LABEL]])</f>
        <v>42</v>
      </c>
      <c r="O155" s="107">
        <v>15</v>
      </c>
      <c r="P155" s="107" t="e">
        <f>ROUND(Tableau13[[#This Row],[LEN]]*#REF!+#REF!,0)</f>
        <v>#REF!</v>
      </c>
    </row>
    <row r="156" spans="1:16" s="97" customFormat="1" x14ac:dyDescent="0.25">
      <c r="A156" s="17" t="s">
        <v>1006</v>
      </c>
      <c r="B156" s="18" t="s">
        <v>243</v>
      </c>
      <c r="C156" s="19" t="s">
        <v>110</v>
      </c>
      <c r="D156" s="68" t="s">
        <v>28</v>
      </c>
      <c r="E156" s="19" t="s">
        <v>1177</v>
      </c>
      <c r="F156" s="19" t="s">
        <v>1084</v>
      </c>
      <c r="G156" s="68" t="s">
        <v>167</v>
      </c>
      <c r="H156" s="68" t="s">
        <v>1131</v>
      </c>
      <c r="I156" s="19"/>
      <c r="J156" s="20" t="s">
        <v>708</v>
      </c>
      <c r="K156" s="107">
        <f>ROUND(Tableau13[[#This Row],[LEN]]*7.27,0)</f>
        <v>102</v>
      </c>
      <c r="L156" s="107">
        <v>15</v>
      </c>
      <c r="M156" s="125" t="str">
        <f t="shared" si="1"/>
        <v>none</v>
      </c>
      <c r="N156" s="107">
        <f>LEN(Tableau13[[#This Row],[LABEL]])</f>
        <v>14</v>
      </c>
      <c r="O156" s="107">
        <v>15</v>
      </c>
      <c r="P156" s="107" t="e">
        <f>ROUND(Tableau13[[#This Row],[LEN]]*#REF!+#REF!,0)</f>
        <v>#REF!</v>
      </c>
    </row>
    <row r="157" spans="1:16" s="273" customFormat="1" x14ac:dyDescent="0.25">
      <c r="A157" s="266" t="s">
        <v>244</v>
      </c>
      <c r="B157" s="267" t="s">
        <v>205</v>
      </c>
      <c r="C157" s="268" t="s">
        <v>71</v>
      </c>
      <c r="D157" s="269" t="s">
        <v>28</v>
      </c>
      <c r="E157" s="268" t="s">
        <v>676</v>
      </c>
      <c r="F157" s="268" t="s">
        <v>676</v>
      </c>
      <c r="G157" s="269" t="s">
        <v>167</v>
      </c>
      <c r="H157" s="269" t="str">
        <f>IFERROR(IF(SEARCH(".00.00.00.00.00",Tableau13[[#This Row],[name]],1)=7,"Division",""),"")</f>
        <v>Division</v>
      </c>
      <c r="I157" s="268"/>
      <c r="J157" s="270" t="s">
        <v>722</v>
      </c>
      <c r="K157" s="271">
        <f>ROUND(Tableau13[[#This Row],[LEN]]*7.27,0)</f>
        <v>29</v>
      </c>
      <c r="L157" s="271">
        <v>15</v>
      </c>
      <c r="M157" s="272" t="str">
        <f t="shared" si="1"/>
        <v>new</v>
      </c>
      <c r="N157" s="271">
        <f>LEN(Tableau13[[#This Row],[LABEL]])</f>
        <v>4</v>
      </c>
      <c r="O157" s="271">
        <v>15</v>
      </c>
      <c r="P157" s="271" t="e">
        <f>ROUND(Tableau13[[#This Row],[LEN]]*#REF!+#REF!,0)</f>
        <v>#REF!</v>
      </c>
    </row>
    <row r="158" spans="1:16" s="97" customFormat="1" x14ac:dyDescent="0.25">
      <c r="A158" s="17" t="s">
        <v>1017</v>
      </c>
      <c r="B158" s="18" t="s">
        <v>244</v>
      </c>
      <c r="C158" s="19" t="s">
        <v>1016</v>
      </c>
      <c r="D158" s="68" t="s">
        <v>28</v>
      </c>
      <c r="E158" s="19" t="s">
        <v>676</v>
      </c>
      <c r="F158" s="19" t="s">
        <v>676</v>
      </c>
      <c r="G158" s="68" t="s">
        <v>167</v>
      </c>
      <c r="H158" s="68" t="s">
        <v>656</v>
      </c>
      <c r="I158" s="19"/>
      <c r="J158" s="20" t="s">
        <v>722</v>
      </c>
      <c r="K158" s="107">
        <f>ROUND(Tableau13[[#This Row],[LEN]]*7.27,0)</f>
        <v>342</v>
      </c>
      <c r="L158" s="107">
        <v>15</v>
      </c>
      <c r="M158" s="125" t="str">
        <f t="shared" si="1"/>
        <v>new</v>
      </c>
      <c r="N158" s="107">
        <f>LEN(Tableau13[[#This Row],[LABEL]])</f>
        <v>47</v>
      </c>
      <c r="O158" s="107">
        <v>15</v>
      </c>
      <c r="P158" s="107" t="e">
        <f>ROUND(Tableau13[[#This Row],[LEN]]*#REF!+#REF!,0)</f>
        <v>#REF!</v>
      </c>
    </row>
    <row r="159" spans="1:16" s="97" customFormat="1" x14ac:dyDescent="0.25">
      <c r="A159" s="17" t="s">
        <v>1018</v>
      </c>
      <c r="B159" s="18" t="s">
        <v>244</v>
      </c>
      <c r="C159" s="19" t="s">
        <v>1015</v>
      </c>
      <c r="D159" s="68" t="s">
        <v>28</v>
      </c>
      <c r="E159" s="19" t="s">
        <v>676</v>
      </c>
      <c r="F159" s="19" t="s">
        <v>676</v>
      </c>
      <c r="G159" s="68" t="s">
        <v>167</v>
      </c>
      <c r="H159" s="68" t="s">
        <v>656</v>
      </c>
      <c r="I159" s="19"/>
      <c r="J159" s="20" t="s">
        <v>722</v>
      </c>
      <c r="K159" s="107">
        <f>ROUND(Tableau13[[#This Row],[LEN]]*7.27,0)</f>
        <v>269</v>
      </c>
      <c r="L159" s="107">
        <v>15</v>
      </c>
      <c r="M159" s="125" t="str">
        <f t="shared" si="1"/>
        <v>new</v>
      </c>
      <c r="N159" s="107">
        <f>LEN(Tableau13[[#This Row],[LABEL]])</f>
        <v>37</v>
      </c>
      <c r="O159" s="107">
        <v>15</v>
      </c>
      <c r="P159" s="107" t="e">
        <f>ROUND(Tableau13[[#This Row],[LEN]]*#REF!+#REF!,0)</f>
        <v>#REF!</v>
      </c>
    </row>
    <row r="160" spans="1:16" s="97" customFormat="1" x14ac:dyDescent="0.25">
      <c r="A160" s="17" t="s">
        <v>1019</v>
      </c>
      <c r="B160" s="18" t="s">
        <v>244</v>
      </c>
      <c r="C160" s="19" t="s">
        <v>110</v>
      </c>
      <c r="D160" s="68" t="s">
        <v>28</v>
      </c>
      <c r="E160" s="19" t="s">
        <v>1177</v>
      </c>
      <c r="F160" s="19" t="s">
        <v>1084</v>
      </c>
      <c r="G160" s="68" t="s">
        <v>167</v>
      </c>
      <c r="H160" s="68" t="s">
        <v>1131</v>
      </c>
      <c r="I160" s="19"/>
      <c r="J160" s="20" t="s">
        <v>708</v>
      </c>
      <c r="K160" s="107">
        <f>ROUND(Tableau13[[#This Row],[LEN]]*7.27,0)</f>
        <v>102</v>
      </c>
      <c r="L160" s="107">
        <v>15</v>
      </c>
      <c r="M160" s="125" t="str">
        <f t="shared" si="1"/>
        <v>none</v>
      </c>
      <c r="N160" s="107">
        <f>LEN(Tableau13[[#This Row],[LABEL]])</f>
        <v>14</v>
      </c>
      <c r="O160" s="107">
        <v>15</v>
      </c>
      <c r="P160" s="107" t="e">
        <f>ROUND(Tableau13[[#This Row],[LEN]]*#REF!+#REF!,0)</f>
        <v>#REF!</v>
      </c>
    </row>
    <row r="161" spans="1:16" s="273" customFormat="1" x14ac:dyDescent="0.25">
      <c r="A161" s="266" t="s">
        <v>245</v>
      </c>
      <c r="B161" s="267" t="s">
        <v>205</v>
      </c>
      <c r="C161" s="268" t="s">
        <v>13</v>
      </c>
      <c r="D161" s="269" t="s">
        <v>28</v>
      </c>
      <c r="E161" s="268" t="s">
        <v>677</v>
      </c>
      <c r="F161" s="268" t="s">
        <v>677</v>
      </c>
      <c r="G161" s="269" t="s">
        <v>167</v>
      </c>
      <c r="H161" s="269" t="str">
        <f>IFERROR(IF(SEARCH(".00.00.00.00.00",Tableau13[[#This Row],[name]],1)=7,"Division",""),"")</f>
        <v>Division</v>
      </c>
      <c r="I161" s="268"/>
      <c r="J161" s="270" t="s">
        <v>723</v>
      </c>
      <c r="K161" s="271">
        <f>ROUND(Tableau13[[#This Row],[LEN]]*7.27,0)</f>
        <v>80</v>
      </c>
      <c r="L161" s="271">
        <v>15</v>
      </c>
      <c r="M161" s="272" t="str">
        <f t="shared" si="1"/>
        <v>new</v>
      </c>
      <c r="N161" s="271">
        <f>LEN(Tableau13[[#This Row],[LABEL]])</f>
        <v>11</v>
      </c>
      <c r="O161" s="271">
        <v>15</v>
      </c>
      <c r="P161" s="271" t="e">
        <f>ROUND(Tableau13[[#This Row],[LEN]]*#REF!+#REF!,0)</f>
        <v>#REF!</v>
      </c>
    </row>
    <row r="162" spans="1:16" s="97" customFormat="1" x14ac:dyDescent="0.25">
      <c r="A162" s="17" t="s">
        <v>1020</v>
      </c>
      <c r="B162" s="18" t="s">
        <v>245</v>
      </c>
      <c r="C162" s="19" t="s">
        <v>81</v>
      </c>
      <c r="D162" s="68" t="s">
        <v>28</v>
      </c>
      <c r="E162" s="19" t="s">
        <v>667</v>
      </c>
      <c r="F162" s="19" t="s">
        <v>703</v>
      </c>
      <c r="G162" s="68" t="s">
        <v>167</v>
      </c>
      <c r="H162" s="68" t="s">
        <v>655</v>
      </c>
      <c r="I162" s="19"/>
      <c r="J162" s="20" t="s">
        <v>708</v>
      </c>
      <c r="K162" s="107">
        <f>ROUND(Tableau13[[#This Row],[LEN]]*7.27,0)</f>
        <v>73</v>
      </c>
      <c r="L162" s="107">
        <v>15</v>
      </c>
      <c r="M162" s="125" t="str">
        <f t="shared" si="1"/>
        <v>none</v>
      </c>
      <c r="N162" s="107">
        <f>LEN(Tableau13[[#This Row],[LABEL]])</f>
        <v>10</v>
      </c>
      <c r="O162" s="107">
        <v>15</v>
      </c>
      <c r="P162" s="107" t="e">
        <f>ROUND(Tableau13[[#This Row],[LEN]]*#REF!+#REF!,0)</f>
        <v>#REF!</v>
      </c>
    </row>
    <row r="163" spans="1:16" s="97" customFormat="1" x14ac:dyDescent="0.25">
      <c r="A163" s="21" t="s">
        <v>1024</v>
      </c>
      <c r="B163" s="22" t="s">
        <v>1020</v>
      </c>
      <c r="C163" s="23" t="s">
        <v>1031</v>
      </c>
      <c r="D163" s="69" t="s">
        <v>28</v>
      </c>
      <c r="E163" s="23" t="s">
        <v>667</v>
      </c>
      <c r="F163" s="23" t="s">
        <v>703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ROUND(Tableau13[[#This Row],[LEN]]*7.27,0)</f>
        <v>167</v>
      </c>
      <c r="L163" s="108">
        <v>15</v>
      </c>
      <c r="M163" s="126" t="str">
        <f t="shared" si="1"/>
        <v>none</v>
      </c>
      <c r="N163" s="108">
        <f>LEN(Tableau13[[#This Row],[LABEL]])</f>
        <v>23</v>
      </c>
      <c r="O163" s="108">
        <v>15</v>
      </c>
      <c r="P163" s="108" t="e">
        <f>ROUND(Tableau13[[#This Row],[LEN]]*#REF!+#REF!,0)</f>
        <v>#REF!</v>
      </c>
    </row>
    <row r="164" spans="1:16" s="97" customFormat="1" x14ac:dyDescent="0.25">
      <c r="A164" s="21" t="s">
        <v>1025</v>
      </c>
      <c r="B164" s="22" t="s">
        <v>1020</v>
      </c>
      <c r="C164" s="23" t="s">
        <v>1032</v>
      </c>
      <c r="D164" s="69" t="s">
        <v>28</v>
      </c>
      <c r="E164" s="23" t="s">
        <v>667</v>
      </c>
      <c r="F164" s="23" t="s">
        <v>703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ROUND(Tableau13[[#This Row],[LEN]]*7.27,0)</f>
        <v>153</v>
      </c>
      <c r="L164" s="108">
        <v>15</v>
      </c>
      <c r="M164" s="126" t="str">
        <f t="shared" si="1"/>
        <v>none</v>
      </c>
      <c r="N164" s="108">
        <f>LEN(Tableau13[[#This Row],[LABEL]])</f>
        <v>21</v>
      </c>
      <c r="O164" s="108">
        <v>15</v>
      </c>
      <c r="P164" s="108" t="e">
        <f>ROUND(Tableau13[[#This Row],[LEN]]*#REF!+#REF!,0)</f>
        <v>#REF!</v>
      </c>
    </row>
    <row r="165" spans="1:16" s="97" customFormat="1" x14ac:dyDescent="0.25">
      <c r="A165" s="21" t="s">
        <v>1026</v>
      </c>
      <c r="B165" s="22" t="s">
        <v>1020</v>
      </c>
      <c r="C165" s="23" t="s">
        <v>1033</v>
      </c>
      <c r="D165" s="69" t="s">
        <v>28</v>
      </c>
      <c r="E165" s="23" t="s">
        <v>667</v>
      </c>
      <c r="F165" s="23" t="s">
        <v>703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ROUND(Tableau13[[#This Row],[LEN]]*7.27,0)</f>
        <v>334</v>
      </c>
      <c r="L165" s="108">
        <v>15</v>
      </c>
      <c r="M165" s="126" t="str">
        <f t="shared" si="1"/>
        <v>none</v>
      </c>
      <c r="N165" s="108">
        <f>LEN(Tableau13[[#This Row],[LABEL]])</f>
        <v>46</v>
      </c>
      <c r="O165" s="108">
        <v>15</v>
      </c>
      <c r="P165" s="108" t="e">
        <f>ROUND(Tableau13[[#This Row],[LEN]]*#REF!+#REF!,0)</f>
        <v>#REF!</v>
      </c>
    </row>
    <row r="166" spans="1:16" s="97" customFormat="1" x14ac:dyDescent="0.25">
      <c r="A166" s="21" t="s">
        <v>1027</v>
      </c>
      <c r="B166" s="22" t="s">
        <v>1020</v>
      </c>
      <c r="C166" s="23" t="s">
        <v>1034</v>
      </c>
      <c r="D166" s="69" t="s">
        <v>28</v>
      </c>
      <c r="E166" s="23" t="s">
        <v>667</v>
      </c>
      <c r="F166" s="23" t="s">
        <v>703</v>
      </c>
      <c r="G166" s="69" t="s">
        <v>167</v>
      </c>
      <c r="H166" s="69" t="s">
        <v>570</v>
      </c>
      <c r="I166" s="23"/>
      <c r="J166" s="24" t="s">
        <v>708</v>
      </c>
      <c r="K166" s="108">
        <f>ROUND(Tableau13[[#This Row],[LEN]]*7.27,0)</f>
        <v>393</v>
      </c>
      <c r="L166" s="108">
        <v>15</v>
      </c>
      <c r="M166" s="126" t="str">
        <f t="shared" si="1"/>
        <v>none</v>
      </c>
      <c r="N166" s="108">
        <f>LEN(Tableau13[[#This Row],[LABEL]])</f>
        <v>54</v>
      </c>
      <c r="O166" s="108">
        <v>15</v>
      </c>
      <c r="P166" s="108" t="e">
        <f>ROUND(Tableau13[[#This Row],[LEN]]*#REF!+#REF!,0)</f>
        <v>#REF!</v>
      </c>
    </row>
    <row r="167" spans="1:16" s="97" customFormat="1" x14ac:dyDescent="0.25">
      <c r="A167" s="21" t="s">
        <v>1028</v>
      </c>
      <c r="B167" s="22" t="s">
        <v>1020</v>
      </c>
      <c r="C167" s="23" t="s">
        <v>1035</v>
      </c>
      <c r="D167" s="69" t="s">
        <v>28</v>
      </c>
      <c r="E167" s="23" t="s">
        <v>667</v>
      </c>
      <c r="F167" s="23" t="s">
        <v>703</v>
      </c>
      <c r="G167" s="69" t="s">
        <v>167</v>
      </c>
      <c r="H167" s="69" t="s">
        <v>570</v>
      </c>
      <c r="I167" s="23"/>
      <c r="J167" s="24" t="s">
        <v>708</v>
      </c>
      <c r="K167" s="108">
        <f>ROUND(Tableau13[[#This Row],[LEN]]*7.27,0)</f>
        <v>320</v>
      </c>
      <c r="L167" s="108">
        <v>15</v>
      </c>
      <c r="M167" s="126" t="str">
        <f t="shared" si="1"/>
        <v>none</v>
      </c>
      <c r="N167" s="108">
        <f>LEN(Tableau13[[#This Row],[LABEL]])</f>
        <v>44</v>
      </c>
      <c r="O167" s="108">
        <v>15</v>
      </c>
      <c r="P167" s="108" t="e">
        <f>ROUND(Tableau13[[#This Row],[LEN]]*#REF!+#REF!,0)</f>
        <v>#REF!</v>
      </c>
    </row>
    <row r="168" spans="1:16" s="97" customFormat="1" x14ac:dyDescent="0.25">
      <c r="A168" s="21" t="s">
        <v>1029</v>
      </c>
      <c r="B168" s="22" t="s">
        <v>1020</v>
      </c>
      <c r="C168" s="23" t="s">
        <v>1036</v>
      </c>
      <c r="D168" s="69" t="s">
        <v>28</v>
      </c>
      <c r="E168" s="23" t="s">
        <v>667</v>
      </c>
      <c r="F168" s="23" t="s">
        <v>703</v>
      </c>
      <c r="G168" s="69" t="s">
        <v>167</v>
      </c>
      <c r="H168" s="69" t="s">
        <v>570</v>
      </c>
      <c r="I168" s="23"/>
      <c r="J168" s="24" t="s">
        <v>708</v>
      </c>
      <c r="K168" s="108">
        <f>ROUND(Tableau13[[#This Row],[LEN]]*7.27,0)</f>
        <v>95</v>
      </c>
      <c r="L168" s="108">
        <v>15</v>
      </c>
      <c r="M168" s="126" t="str">
        <f t="shared" si="1"/>
        <v>none</v>
      </c>
      <c r="N168" s="108">
        <f>LEN(Tableau13[[#This Row],[LABEL]])</f>
        <v>13</v>
      </c>
      <c r="O168" s="108">
        <v>15</v>
      </c>
      <c r="P168" s="108" t="e">
        <f>ROUND(Tableau13[[#This Row],[LEN]]*#REF!+#REF!,0)</f>
        <v>#REF!</v>
      </c>
    </row>
    <row r="169" spans="1:16" s="97" customFormat="1" x14ac:dyDescent="0.25">
      <c r="A169" s="21" t="s">
        <v>1030</v>
      </c>
      <c r="B169" s="22" t="s">
        <v>1020</v>
      </c>
      <c r="C169" s="23" t="s">
        <v>1037</v>
      </c>
      <c r="D169" s="69" t="s">
        <v>28</v>
      </c>
      <c r="E169" s="23" t="s">
        <v>667</v>
      </c>
      <c r="F169" s="23" t="s">
        <v>703</v>
      </c>
      <c r="G169" s="69" t="s">
        <v>167</v>
      </c>
      <c r="H169" s="69" t="s">
        <v>570</v>
      </c>
      <c r="I169" s="23"/>
      <c r="J169" s="24" t="s">
        <v>708</v>
      </c>
      <c r="K169" s="108">
        <f>ROUND(Tableau13[[#This Row],[LEN]]*7.27,0)</f>
        <v>124</v>
      </c>
      <c r="L169" s="108">
        <v>15</v>
      </c>
      <c r="M169" s="126" t="str">
        <f t="shared" si="1"/>
        <v>none</v>
      </c>
      <c r="N169" s="108">
        <f>LEN(Tableau13[[#This Row],[LABEL]])</f>
        <v>17</v>
      </c>
      <c r="O169" s="108">
        <v>15</v>
      </c>
      <c r="P169" s="108" t="e">
        <f>ROUND(Tableau13[[#This Row],[LEN]]*#REF!+#REF!,0)</f>
        <v>#REF!</v>
      </c>
    </row>
    <row r="170" spans="1:16" s="97" customFormat="1" x14ac:dyDescent="0.25">
      <c r="A170" s="17" t="s">
        <v>1021</v>
      </c>
      <c r="B170" s="18" t="s">
        <v>245</v>
      </c>
      <c r="C170" s="19" t="s">
        <v>1023</v>
      </c>
      <c r="D170" s="68" t="s">
        <v>28</v>
      </c>
      <c r="E170" s="19" t="s">
        <v>677</v>
      </c>
      <c r="F170" s="19" t="s">
        <v>677</v>
      </c>
      <c r="G170" s="68" t="s">
        <v>167</v>
      </c>
      <c r="H170" s="68" t="s">
        <v>654</v>
      </c>
      <c r="I170" s="19"/>
      <c r="J170" s="20" t="s">
        <v>708</v>
      </c>
      <c r="K170" s="107">
        <f>ROUND(Tableau13[[#This Row],[LEN]]*7.27,0)</f>
        <v>196</v>
      </c>
      <c r="L170" s="107">
        <v>15</v>
      </c>
      <c r="M170" s="125" t="str">
        <f t="shared" si="1"/>
        <v>none</v>
      </c>
      <c r="N170" s="107">
        <f>LEN(Tableau13[[#This Row],[LABEL]])</f>
        <v>27</v>
      </c>
      <c r="O170" s="107">
        <v>15</v>
      </c>
      <c r="P170" s="107" t="e">
        <f>ROUND(Tableau13[[#This Row],[LEN]]*#REF!+#REF!,0)</f>
        <v>#REF!</v>
      </c>
    </row>
    <row r="171" spans="1:16" s="97" customFormat="1" x14ac:dyDescent="0.25">
      <c r="A171" s="17" t="s">
        <v>1022</v>
      </c>
      <c r="B171" s="18" t="s">
        <v>245</v>
      </c>
      <c r="C171" s="19" t="s">
        <v>110</v>
      </c>
      <c r="D171" s="68" t="s">
        <v>28</v>
      </c>
      <c r="E171" s="19" t="s">
        <v>1177</v>
      </c>
      <c r="F171" s="19" t="s">
        <v>1084</v>
      </c>
      <c r="G171" s="68" t="s">
        <v>167</v>
      </c>
      <c r="H171" s="68" t="s">
        <v>1131</v>
      </c>
      <c r="I171" s="19"/>
      <c r="J171" s="20" t="s">
        <v>708</v>
      </c>
      <c r="K171" s="107">
        <f>ROUND(Tableau13[[#This Row],[LEN]]*7.27,0)</f>
        <v>102</v>
      </c>
      <c r="L171" s="107">
        <v>15</v>
      </c>
      <c r="M171" s="125" t="str">
        <f t="shared" si="1"/>
        <v>none</v>
      </c>
      <c r="N171" s="107">
        <f>LEN(Tableau13[[#This Row],[LABEL]])</f>
        <v>14</v>
      </c>
      <c r="O171" s="107">
        <v>15</v>
      </c>
      <c r="P171" s="107" t="e">
        <f>ROUND(Tableau13[[#This Row],[LEN]]*#REF!+#REF!,0)</f>
        <v>#REF!</v>
      </c>
    </row>
    <row r="172" spans="1:16" s="273" customFormat="1" x14ac:dyDescent="0.25">
      <c r="A172" s="266" t="s">
        <v>246</v>
      </c>
      <c r="B172" s="267" t="s">
        <v>205</v>
      </c>
      <c r="C172" s="268" t="s">
        <v>14</v>
      </c>
      <c r="D172" s="269" t="s">
        <v>28</v>
      </c>
      <c r="E172" s="268" t="s">
        <v>678</v>
      </c>
      <c r="F172" s="268" t="s">
        <v>678</v>
      </c>
      <c r="G172" s="269" t="s">
        <v>167</v>
      </c>
      <c r="H172" s="269" t="str">
        <f>IFERROR(IF(SEARCH(".00.00.00.00.00",Tableau13[[#This Row],[name]],1)=7,"Division",""),"")</f>
        <v>Division</v>
      </c>
      <c r="I172" s="268"/>
      <c r="J172" s="270" t="s">
        <v>724</v>
      </c>
      <c r="K172" s="271">
        <f>ROUND(Tableau13[[#This Row],[LEN]]*7.27,0)</f>
        <v>240</v>
      </c>
      <c r="L172" s="271">
        <v>15</v>
      </c>
      <c r="M172" s="272" t="str">
        <f t="shared" si="1"/>
        <v>new</v>
      </c>
      <c r="N172" s="271">
        <f>LEN(Tableau13[[#This Row],[LABEL]])</f>
        <v>33</v>
      </c>
      <c r="O172" s="271">
        <v>15</v>
      </c>
      <c r="P172" s="271" t="e">
        <f>ROUND(Tableau13[[#This Row],[LEN]]*#REF!+#REF!,0)</f>
        <v>#REF!</v>
      </c>
    </row>
    <row r="173" spans="1:16" s="97" customFormat="1" x14ac:dyDescent="0.25">
      <c r="A173" s="17" t="s">
        <v>1038</v>
      </c>
      <c r="B173" s="18" t="s">
        <v>246</v>
      </c>
      <c r="C173" s="19" t="s">
        <v>81</v>
      </c>
      <c r="D173" s="68" t="s">
        <v>28</v>
      </c>
      <c r="E173" s="19" t="s">
        <v>667</v>
      </c>
      <c r="F173" s="19" t="s">
        <v>703</v>
      </c>
      <c r="G173" s="68" t="s">
        <v>167</v>
      </c>
      <c r="H173" s="68" t="s">
        <v>655</v>
      </c>
      <c r="I173" s="19"/>
      <c r="J173" s="20" t="s">
        <v>708</v>
      </c>
      <c r="K173" s="107">
        <f>ROUND(Tableau13[[#This Row],[LEN]]*7.27,0)</f>
        <v>73</v>
      </c>
      <c r="L173" s="107">
        <v>15</v>
      </c>
      <c r="M173" s="125" t="str">
        <f t="shared" si="1"/>
        <v>none</v>
      </c>
      <c r="N173" s="107">
        <f>LEN(Tableau13[[#This Row],[LABEL]])</f>
        <v>10</v>
      </c>
      <c r="O173" s="107">
        <v>15</v>
      </c>
      <c r="P173" s="107" t="e">
        <f>ROUND(Tableau13[[#This Row],[LEN]]*#REF!+#REF!,0)</f>
        <v>#REF!</v>
      </c>
    </row>
    <row r="174" spans="1:16" s="97" customFormat="1" x14ac:dyDescent="0.25">
      <c r="A174" s="21" t="s">
        <v>1042</v>
      </c>
      <c r="B174" s="22" t="s">
        <v>1038</v>
      </c>
      <c r="C174" s="23" t="s">
        <v>1031</v>
      </c>
      <c r="D174" s="69" t="s">
        <v>28</v>
      </c>
      <c r="E174" s="23" t="s">
        <v>667</v>
      </c>
      <c r="F174" s="23" t="s">
        <v>703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ROUND(Tableau13[[#This Row],[LEN]]*7.27,0)</f>
        <v>167</v>
      </c>
      <c r="L174" s="108">
        <v>15</v>
      </c>
      <c r="M174" s="126" t="str">
        <f t="shared" si="1"/>
        <v>none</v>
      </c>
      <c r="N174" s="108">
        <f>LEN(Tableau13[[#This Row],[LABEL]])</f>
        <v>23</v>
      </c>
      <c r="O174" s="108">
        <v>15</v>
      </c>
      <c r="P174" s="108" t="e">
        <f>ROUND(Tableau13[[#This Row],[LEN]]*#REF!+#REF!,0)</f>
        <v>#REF!</v>
      </c>
    </row>
    <row r="175" spans="1:16" s="97" customFormat="1" x14ac:dyDescent="0.25">
      <c r="A175" s="21" t="s">
        <v>1043</v>
      </c>
      <c r="B175" s="22" t="s">
        <v>1038</v>
      </c>
      <c r="C175" s="23" t="s">
        <v>1032</v>
      </c>
      <c r="D175" s="69" t="s">
        <v>28</v>
      </c>
      <c r="E175" s="23" t="s">
        <v>667</v>
      </c>
      <c r="F175" s="23" t="s">
        <v>703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ROUND(Tableau13[[#This Row],[LEN]]*7.27,0)</f>
        <v>153</v>
      </c>
      <c r="L175" s="108">
        <v>15</v>
      </c>
      <c r="M175" s="126" t="str">
        <f t="shared" si="1"/>
        <v>none</v>
      </c>
      <c r="N175" s="108">
        <f>LEN(Tableau13[[#This Row],[LABEL]])</f>
        <v>21</v>
      </c>
      <c r="O175" s="108">
        <v>15</v>
      </c>
      <c r="P175" s="108" t="e">
        <f>ROUND(Tableau13[[#This Row],[LEN]]*#REF!+#REF!,0)</f>
        <v>#REF!</v>
      </c>
    </row>
    <row r="176" spans="1:16" s="97" customFormat="1" x14ac:dyDescent="0.25">
      <c r="A176" s="21" t="s">
        <v>1044</v>
      </c>
      <c r="B176" s="22" t="s">
        <v>1038</v>
      </c>
      <c r="C176" s="23" t="s">
        <v>1033</v>
      </c>
      <c r="D176" s="69" t="s">
        <v>28</v>
      </c>
      <c r="E176" s="23" t="s">
        <v>667</v>
      </c>
      <c r="F176" s="23" t="s">
        <v>703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ROUND(Tableau13[[#This Row],[LEN]]*7.27,0)</f>
        <v>334</v>
      </c>
      <c r="L176" s="108">
        <v>15</v>
      </c>
      <c r="M176" s="126" t="str">
        <f t="shared" si="1"/>
        <v>none</v>
      </c>
      <c r="N176" s="108">
        <f>LEN(Tableau13[[#This Row],[LABEL]])</f>
        <v>46</v>
      </c>
      <c r="O176" s="108">
        <v>15</v>
      </c>
      <c r="P176" s="108" t="e">
        <f>ROUND(Tableau13[[#This Row],[LEN]]*#REF!+#REF!,0)</f>
        <v>#REF!</v>
      </c>
    </row>
    <row r="177" spans="1:16" s="97" customFormat="1" x14ac:dyDescent="0.25">
      <c r="A177" s="21" t="s">
        <v>1045</v>
      </c>
      <c r="B177" s="22" t="s">
        <v>1038</v>
      </c>
      <c r="C177" s="23" t="s">
        <v>1034</v>
      </c>
      <c r="D177" s="69" t="s">
        <v>28</v>
      </c>
      <c r="E177" s="23" t="s">
        <v>667</v>
      </c>
      <c r="F177" s="23" t="s">
        <v>703</v>
      </c>
      <c r="G177" s="69" t="s">
        <v>167</v>
      </c>
      <c r="H177" s="69" t="s">
        <v>570</v>
      </c>
      <c r="I177" s="23"/>
      <c r="J177" s="24" t="s">
        <v>708</v>
      </c>
      <c r="K177" s="108">
        <f>ROUND(Tableau13[[#This Row],[LEN]]*7.27,0)</f>
        <v>393</v>
      </c>
      <c r="L177" s="108">
        <v>15</v>
      </c>
      <c r="M177" s="126" t="str">
        <f t="shared" si="1"/>
        <v>none</v>
      </c>
      <c r="N177" s="108">
        <f>LEN(Tableau13[[#This Row],[LABEL]])</f>
        <v>54</v>
      </c>
      <c r="O177" s="108">
        <v>15</v>
      </c>
      <c r="P177" s="108" t="e">
        <f>ROUND(Tableau13[[#This Row],[LEN]]*#REF!+#REF!,0)</f>
        <v>#REF!</v>
      </c>
    </row>
    <row r="178" spans="1:16" s="97" customFormat="1" x14ac:dyDescent="0.25">
      <c r="A178" s="21" t="s">
        <v>1046</v>
      </c>
      <c r="B178" s="22" t="s">
        <v>1038</v>
      </c>
      <c r="C178" s="23" t="s">
        <v>1035</v>
      </c>
      <c r="D178" s="69" t="s">
        <v>28</v>
      </c>
      <c r="E178" s="23" t="s">
        <v>667</v>
      </c>
      <c r="F178" s="23" t="s">
        <v>703</v>
      </c>
      <c r="G178" s="69" t="s">
        <v>167</v>
      </c>
      <c r="H178" s="69" t="s">
        <v>570</v>
      </c>
      <c r="I178" s="23"/>
      <c r="J178" s="24" t="s">
        <v>708</v>
      </c>
      <c r="K178" s="108">
        <f>ROUND(Tableau13[[#This Row],[LEN]]*7.27,0)</f>
        <v>320</v>
      </c>
      <c r="L178" s="108">
        <v>15</v>
      </c>
      <c r="M178" s="126" t="str">
        <f t="shared" si="1"/>
        <v>none</v>
      </c>
      <c r="N178" s="108">
        <f>LEN(Tableau13[[#This Row],[LABEL]])</f>
        <v>44</v>
      </c>
      <c r="O178" s="108">
        <v>15</v>
      </c>
      <c r="P178" s="108" t="e">
        <f>ROUND(Tableau13[[#This Row],[LEN]]*#REF!+#REF!,0)</f>
        <v>#REF!</v>
      </c>
    </row>
    <row r="179" spans="1:16" s="97" customFormat="1" x14ac:dyDescent="0.25">
      <c r="A179" s="21" t="s">
        <v>1047</v>
      </c>
      <c r="B179" s="22" t="s">
        <v>1038</v>
      </c>
      <c r="C179" s="23" t="s">
        <v>1036</v>
      </c>
      <c r="D179" s="69" t="s">
        <v>28</v>
      </c>
      <c r="E179" s="23" t="s">
        <v>667</v>
      </c>
      <c r="F179" s="23" t="s">
        <v>703</v>
      </c>
      <c r="G179" s="69" t="s">
        <v>167</v>
      </c>
      <c r="H179" s="69" t="s">
        <v>570</v>
      </c>
      <c r="I179" s="23"/>
      <c r="J179" s="24" t="s">
        <v>708</v>
      </c>
      <c r="K179" s="108">
        <f>ROUND(Tableau13[[#This Row],[LEN]]*7.27,0)</f>
        <v>95</v>
      </c>
      <c r="L179" s="108">
        <v>15</v>
      </c>
      <c r="M179" s="126" t="str">
        <f t="shared" si="1"/>
        <v>none</v>
      </c>
      <c r="N179" s="108">
        <f>LEN(Tableau13[[#This Row],[LABEL]])</f>
        <v>13</v>
      </c>
      <c r="O179" s="108">
        <v>15</v>
      </c>
      <c r="P179" s="108" t="e">
        <f>ROUND(Tableau13[[#This Row],[LEN]]*#REF!+#REF!,0)</f>
        <v>#REF!</v>
      </c>
    </row>
    <row r="180" spans="1:16" s="97" customFormat="1" x14ac:dyDescent="0.25">
      <c r="A180" s="21" t="s">
        <v>1048</v>
      </c>
      <c r="B180" s="22" t="s">
        <v>1038</v>
      </c>
      <c r="C180" s="23" t="s">
        <v>1037</v>
      </c>
      <c r="D180" s="69" t="s">
        <v>28</v>
      </c>
      <c r="E180" s="23" t="s">
        <v>667</v>
      </c>
      <c r="F180" s="23" t="s">
        <v>703</v>
      </c>
      <c r="G180" s="69" t="s">
        <v>167</v>
      </c>
      <c r="H180" s="69" t="s">
        <v>570</v>
      </c>
      <c r="I180" s="23"/>
      <c r="J180" s="24" t="s">
        <v>708</v>
      </c>
      <c r="K180" s="108">
        <f>ROUND(Tableau13[[#This Row],[LEN]]*7.27,0)</f>
        <v>124</v>
      </c>
      <c r="L180" s="108">
        <v>15</v>
      </c>
      <c r="M180" s="126" t="str">
        <f t="shared" si="1"/>
        <v>none</v>
      </c>
      <c r="N180" s="108">
        <f>LEN(Tableau13[[#This Row],[LABEL]])</f>
        <v>17</v>
      </c>
      <c r="O180" s="108">
        <v>15</v>
      </c>
      <c r="P180" s="108" t="e">
        <f>ROUND(Tableau13[[#This Row],[LEN]]*#REF!+#REF!,0)</f>
        <v>#REF!</v>
      </c>
    </row>
    <row r="181" spans="1:16" s="97" customFormat="1" x14ac:dyDescent="0.25">
      <c r="A181" s="17" t="s">
        <v>1039</v>
      </c>
      <c r="B181" s="18" t="s">
        <v>246</v>
      </c>
      <c r="C181" s="19" t="s">
        <v>136</v>
      </c>
      <c r="D181" s="68" t="s">
        <v>28</v>
      </c>
      <c r="E181" s="19" t="s">
        <v>669</v>
      </c>
      <c r="F181" s="19" t="s">
        <v>704</v>
      </c>
      <c r="G181" s="68" t="s">
        <v>167</v>
      </c>
      <c r="H181" s="68" t="s">
        <v>656</v>
      </c>
      <c r="I181" s="19"/>
      <c r="J181" s="20" t="s">
        <v>708</v>
      </c>
      <c r="K181" s="107">
        <f>ROUND(Tableau13[[#This Row],[LEN]]*7.27,0)</f>
        <v>174</v>
      </c>
      <c r="L181" s="107">
        <v>15</v>
      </c>
      <c r="M181" s="125" t="str">
        <f t="shared" si="1"/>
        <v>none</v>
      </c>
      <c r="N181" s="107">
        <f>LEN(Tableau13[[#This Row],[LABEL]])</f>
        <v>24</v>
      </c>
      <c r="O181" s="107">
        <v>15</v>
      </c>
      <c r="P181" s="107" t="e">
        <f>ROUND(Tableau13[[#This Row],[LEN]]*#REF!+#REF!,0)</f>
        <v>#REF!</v>
      </c>
    </row>
    <row r="182" spans="1:16" s="97" customFormat="1" x14ac:dyDescent="0.25">
      <c r="A182" s="17" t="s">
        <v>1040</v>
      </c>
      <c r="B182" s="18" t="s">
        <v>246</v>
      </c>
      <c r="C182" s="19" t="s">
        <v>971</v>
      </c>
      <c r="D182" s="68" t="s">
        <v>28</v>
      </c>
      <c r="E182" s="19" t="s">
        <v>667</v>
      </c>
      <c r="F182" s="19" t="s">
        <v>973</v>
      </c>
      <c r="G182" s="68" t="s">
        <v>167</v>
      </c>
      <c r="H182" s="68" t="s">
        <v>570</v>
      </c>
      <c r="I182" s="19"/>
      <c r="J182" s="20" t="s">
        <v>708</v>
      </c>
      <c r="K182" s="107">
        <f>ROUND(Tableau13[[#This Row],[LEN]]*7.27,0)</f>
        <v>385</v>
      </c>
      <c r="L182" s="107">
        <v>15</v>
      </c>
      <c r="M182" s="125" t="str">
        <f t="shared" si="1"/>
        <v>none</v>
      </c>
      <c r="N182" s="107">
        <f>LEN(Tableau13[[#This Row],[LABEL]])</f>
        <v>53</v>
      </c>
      <c r="O182" s="107">
        <v>15</v>
      </c>
      <c r="P182" s="107" t="e">
        <f>ROUND(Tableau13[[#This Row],[LEN]]*#REF!+#REF!,0)</f>
        <v>#REF!</v>
      </c>
    </row>
    <row r="183" spans="1:16" s="97" customFormat="1" x14ac:dyDescent="0.25">
      <c r="A183" s="17" t="s">
        <v>1041</v>
      </c>
      <c r="B183" s="18" t="s">
        <v>246</v>
      </c>
      <c r="C183" s="19" t="s">
        <v>110</v>
      </c>
      <c r="D183" s="68" t="s">
        <v>28</v>
      </c>
      <c r="E183" s="19" t="s">
        <v>1177</v>
      </c>
      <c r="F183" s="19" t="s">
        <v>1084</v>
      </c>
      <c r="G183" s="68" t="s">
        <v>167</v>
      </c>
      <c r="H183" s="68" t="s">
        <v>1131</v>
      </c>
      <c r="I183" s="19"/>
      <c r="J183" s="20" t="s">
        <v>708</v>
      </c>
      <c r="K183" s="107">
        <f>ROUND(Tableau13[[#This Row],[LEN]]*7.27,0)</f>
        <v>102</v>
      </c>
      <c r="L183" s="107">
        <v>15</v>
      </c>
      <c r="M183" s="125" t="str">
        <f t="shared" si="1"/>
        <v>none</v>
      </c>
      <c r="N183" s="107">
        <f>LEN(Tableau13[[#This Row],[LABEL]])</f>
        <v>14</v>
      </c>
      <c r="O183" s="107">
        <v>15</v>
      </c>
      <c r="P183" s="107" t="e">
        <f>ROUND(Tableau13[[#This Row],[LEN]]*#REF!+#REF!,0)</f>
        <v>#REF!</v>
      </c>
    </row>
    <row r="184" spans="1:16" s="273" customFormat="1" x14ac:dyDescent="0.25">
      <c r="A184" s="274" t="s">
        <v>247</v>
      </c>
      <c r="B184" s="275" t="s">
        <v>205</v>
      </c>
      <c r="C184" s="276" t="s">
        <v>15</v>
      </c>
      <c r="D184" s="277" t="s">
        <v>28</v>
      </c>
      <c r="E184" s="276" t="s">
        <v>679</v>
      </c>
      <c r="F184" s="276" t="s">
        <v>679</v>
      </c>
      <c r="G184" s="277" t="s">
        <v>167</v>
      </c>
      <c r="H184" s="277" t="str">
        <f>IFERROR(IF(SEARCH(".00.00.00.00.00",Tableau13[[#This Row],[name]],1)=7,"Division",""),"")</f>
        <v>Division</v>
      </c>
      <c r="I184" s="276"/>
      <c r="J184" s="278" t="s">
        <v>725</v>
      </c>
      <c r="K184" s="279">
        <f>ROUND(Tableau13[[#This Row],[LEN]]*7.27,0)</f>
        <v>174</v>
      </c>
      <c r="L184" s="279">
        <v>15</v>
      </c>
      <c r="M184" s="280" t="str">
        <f t="shared" si="1"/>
        <v>new</v>
      </c>
      <c r="N184" s="279">
        <f>LEN(Tableau13[[#This Row],[LABEL]])</f>
        <v>24</v>
      </c>
      <c r="O184" s="279">
        <v>15</v>
      </c>
      <c r="P184" s="279" t="e">
        <f>ROUND(Tableau13[[#This Row],[LEN]]*#REF!+#REF!,0)</f>
        <v>#REF!</v>
      </c>
    </row>
    <row r="185" spans="1:16" s="97" customFormat="1" x14ac:dyDescent="0.25">
      <c r="A185" s="17" t="s">
        <v>1049</v>
      </c>
      <c r="B185" s="18" t="s">
        <v>247</v>
      </c>
      <c r="C185" s="19" t="s">
        <v>81</v>
      </c>
      <c r="D185" s="68" t="s">
        <v>28</v>
      </c>
      <c r="E185" s="19" t="s">
        <v>667</v>
      </c>
      <c r="F185" s="19" t="s">
        <v>703</v>
      </c>
      <c r="G185" s="68" t="s">
        <v>167</v>
      </c>
      <c r="H185" s="68" t="s">
        <v>655</v>
      </c>
      <c r="I185" s="19"/>
      <c r="J185" s="20" t="s">
        <v>708</v>
      </c>
      <c r="K185" s="107">
        <f>ROUND(Tableau13[[#This Row],[LEN]]*7.27,0)</f>
        <v>73</v>
      </c>
      <c r="L185" s="107">
        <v>15</v>
      </c>
      <c r="M185" s="125" t="str">
        <f t="shared" si="1"/>
        <v>none</v>
      </c>
      <c r="N185" s="107">
        <f>LEN(Tableau13[[#This Row],[LABEL]])</f>
        <v>10</v>
      </c>
      <c r="O185" s="107">
        <v>15</v>
      </c>
      <c r="P185" s="107" t="e">
        <f>ROUND(Tableau13[[#This Row],[LEN]]*#REF!+#REF!,0)</f>
        <v>#REF!</v>
      </c>
    </row>
    <row r="186" spans="1:16" s="97" customFormat="1" x14ac:dyDescent="0.25">
      <c r="A186" s="21" t="s">
        <v>1051</v>
      </c>
      <c r="B186" s="22" t="s">
        <v>1049</v>
      </c>
      <c r="C186" s="23" t="s">
        <v>1031</v>
      </c>
      <c r="D186" s="69" t="s">
        <v>28</v>
      </c>
      <c r="E186" s="23" t="s">
        <v>667</v>
      </c>
      <c r="F186" s="23" t="s">
        <v>703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ROUND(Tableau13[[#This Row],[LEN]]*7.27,0)</f>
        <v>167</v>
      </c>
      <c r="L186" s="108">
        <v>15</v>
      </c>
      <c r="M186" s="126" t="str">
        <f t="shared" si="1"/>
        <v>none</v>
      </c>
      <c r="N186" s="108">
        <f>LEN(Tableau13[[#This Row],[LABEL]])</f>
        <v>23</v>
      </c>
      <c r="O186" s="108">
        <v>15</v>
      </c>
      <c r="P186" s="108" t="e">
        <f>ROUND(Tableau13[[#This Row],[LEN]]*#REF!+#REF!,0)</f>
        <v>#REF!</v>
      </c>
    </row>
    <row r="187" spans="1:16" s="97" customFormat="1" x14ac:dyDescent="0.25">
      <c r="A187" s="21" t="s">
        <v>1052</v>
      </c>
      <c r="B187" s="22" t="s">
        <v>1049</v>
      </c>
      <c r="C187" s="23" t="s">
        <v>1032</v>
      </c>
      <c r="D187" s="69" t="s">
        <v>28</v>
      </c>
      <c r="E187" s="23" t="s">
        <v>667</v>
      </c>
      <c r="F187" s="23" t="s">
        <v>703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ROUND(Tableau13[[#This Row],[LEN]]*7.27,0)</f>
        <v>153</v>
      </c>
      <c r="L187" s="108">
        <v>15</v>
      </c>
      <c r="M187" s="126" t="str">
        <f t="shared" si="1"/>
        <v>none</v>
      </c>
      <c r="N187" s="108">
        <f>LEN(Tableau13[[#This Row],[LABEL]])</f>
        <v>21</v>
      </c>
      <c r="O187" s="108">
        <v>15</v>
      </c>
      <c r="P187" s="108" t="e">
        <f>ROUND(Tableau13[[#This Row],[LEN]]*#REF!+#REF!,0)</f>
        <v>#REF!</v>
      </c>
    </row>
    <row r="188" spans="1:16" s="97" customFormat="1" x14ac:dyDescent="0.25">
      <c r="A188" s="21" t="s">
        <v>1053</v>
      </c>
      <c r="B188" s="22" t="s">
        <v>1049</v>
      </c>
      <c r="C188" s="23" t="s">
        <v>1033</v>
      </c>
      <c r="D188" s="69" t="s">
        <v>28</v>
      </c>
      <c r="E188" s="23" t="s">
        <v>667</v>
      </c>
      <c r="F188" s="23" t="s">
        <v>703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ROUND(Tableau13[[#This Row],[LEN]]*7.27,0)</f>
        <v>334</v>
      </c>
      <c r="L188" s="108">
        <v>15</v>
      </c>
      <c r="M188" s="126" t="str">
        <f t="shared" si="1"/>
        <v>none</v>
      </c>
      <c r="N188" s="108">
        <f>LEN(Tableau13[[#This Row],[LABEL]])</f>
        <v>46</v>
      </c>
      <c r="O188" s="108">
        <v>15</v>
      </c>
      <c r="P188" s="108" t="e">
        <f>ROUND(Tableau13[[#This Row],[LEN]]*#REF!+#REF!,0)</f>
        <v>#REF!</v>
      </c>
    </row>
    <row r="189" spans="1:16" s="97" customFormat="1" x14ac:dyDescent="0.25">
      <c r="A189" s="21" t="s">
        <v>1054</v>
      </c>
      <c r="B189" s="22" t="s">
        <v>1049</v>
      </c>
      <c r="C189" s="23" t="s">
        <v>1034</v>
      </c>
      <c r="D189" s="69" t="s">
        <v>28</v>
      </c>
      <c r="E189" s="23" t="s">
        <v>667</v>
      </c>
      <c r="F189" s="23" t="s">
        <v>703</v>
      </c>
      <c r="G189" s="69" t="s">
        <v>167</v>
      </c>
      <c r="H189" s="69" t="s">
        <v>570</v>
      </c>
      <c r="I189" s="23"/>
      <c r="J189" s="24" t="s">
        <v>708</v>
      </c>
      <c r="K189" s="108">
        <f>ROUND(Tableau13[[#This Row],[LEN]]*7.27,0)</f>
        <v>393</v>
      </c>
      <c r="L189" s="108">
        <v>15</v>
      </c>
      <c r="M189" s="126" t="str">
        <f t="shared" si="1"/>
        <v>none</v>
      </c>
      <c r="N189" s="108">
        <f>LEN(Tableau13[[#This Row],[LABEL]])</f>
        <v>54</v>
      </c>
      <c r="O189" s="108">
        <v>15</v>
      </c>
      <c r="P189" s="108" t="e">
        <f>ROUND(Tableau13[[#This Row],[LEN]]*#REF!+#REF!,0)</f>
        <v>#REF!</v>
      </c>
    </row>
    <row r="190" spans="1:16" s="97" customFormat="1" x14ac:dyDescent="0.25">
      <c r="A190" s="21" t="s">
        <v>1055</v>
      </c>
      <c r="B190" s="22" t="s">
        <v>1049</v>
      </c>
      <c r="C190" s="23" t="s">
        <v>1035</v>
      </c>
      <c r="D190" s="69" t="s">
        <v>28</v>
      </c>
      <c r="E190" s="23" t="s">
        <v>667</v>
      </c>
      <c r="F190" s="23" t="s">
        <v>703</v>
      </c>
      <c r="G190" s="69" t="s">
        <v>167</v>
      </c>
      <c r="H190" s="69" t="s">
        <v>570</v>
      </c>
      <c r="I190" s="23"/>
      <c r="J190" s="24" t="s">
        <v>708</v>
      </c>
      <c r="K190" s="108">
        <f>ROUND(Tableau13[[#This Row],[LEN]]*7.27,0)</f>
        <v>320</v>
      </c>
      <c r="L190" s="108">
        <v>15</v>
      </c>
      <c r="M190" s="126" t="str">
        <f t="shared" si="1"/>
        <v>none</v>
      </c>
      <c r="N190" s="108">
        <f>LEN(Tableau13[[#This Row],[LABEL]])</f>
        <v>44</v>
      </c>
      <c r="O190" s="108">
        <v>15</v>
      </c>
      <c r="P190" s="108" t="e">
        <f>ROUND(Tableau13[[#This Row],[LEN]]*#REF!+#REF!,0)</f>
        <v>#REF!</v>
      </c>
    </row>
    <row r="191" spans="1:16" s="97" customFormat="1" x14ac:dyDescent="0.25">
      <c r="A191" s="21" t="s">
        <v>1056</v>
      </c>
      <c r="B191" s="22" t="s">
        <v>1049</v>
      </c>
      <c r="C191" s="23" t="s">
        <v>1036</v>
      </c>
      <c r="D191" s="69" t="s">
        <v>28</v>
      </c>
      <c r="E191" s="23" t="s">
        <v>667</v>
      </c>
      <c r="F191" s="23" t="s">
        <v>703</v>
      </c>
      <c r="G191" s="69" t="s">
        <v>167</v>
      </c>
      <c r="H191" s="69" t="s">
        <v>570</v>
      </c>
      <c r="I191" s="23"/>
      <c r="J191" s="24" t="s">
        <v>708</v>
      </c>
      <c r="K191" s="108">
        <f>ROUND(Tableau13[[#This Row],[LEN]]*7.27,0)</f>
        <v>95</v>
      </c>
      <c r="L191" s="108">
        <v>15</v>
      </c>
      <c r="M191" s="126" t="str">
        <f t="shared" si="1"/>
        <v>none</v>
      </c>
      <c r="N191" s="108">
        <f>LEN(Tableau13[[#This Row],[LABEL]])</f>
        <v>13</v>
      </c>
      <c r="O191" s="108">
        <v>15</v>
      </c>
      <c r="P191" s="108" t="e">
        <f>ROUND(Tableau13[[#This Row],[LEN]]*#REF!+#REF!,0)</f>
        <v>#REF!</v>
      </c>
    </row>
    <row r="192" spans="1:16" s="97" customFormat="1" x14ac:dyDescent="0.25">
      <c r="A192" s="21" t="s">
        <v>1057</v>
      </c>
      <c r="B192" s="22" t="s">
        <v>1049</v>
      </c>
      <c r="C192" s="23" t="s">
        <v>1037</v>
      </c>
      <c r="D192" s="69" t="s">
        <v>28</v>
      </c>
      <c r="E192" s="23" t="s">
        <v>667</v>
      </c>
      <c r="F192" s="23" t="s">
        <v>703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ROUND(Tableau13[[#This Row],[LEN]]*7.27,0)</f>
        <v>124</v>
      </c>
      <c r="L192" s="108">
        <v>15</v>
      </c>
      <c r="M192" s="126" t="str">
        <f t="shared" si="1"/>
        <v>none</v>
      </c>
      <c r="N192" s="108">
        <f>LEN(Tableau13[[#This Row],[LABEL]])</f>
        <v>17</v>
      </c>
      <c r="O192" s="108">
        <v>15</v>
      </c>
      <c r="P192" s="108" t="e">
        <f>ROUND(Tableau13[[#This Row],[LEN]]*#REF!+#REF!,0)</f>
        <v>#REF!</v>
      </c>
    </row>
    <row r="193" spans="1:16" s="97" customFormat="1" ht="15.75" thickBot="1" x14ac:dyDescent="0.3">
      <c r="A193" s="17" t="s">
        <v>1050</v>
      </c>
      <c r="B193" s="18" t="s">
        <v>247</v>
      </c>
      <c r="C193" s="19" t="s">
        <v>110</v>
      </c>
      <c r="D193" s="68" t="s">
        <v>28</v>
      </c>
      <c r="E193" s="19" t="s">
        <v>1177</v>
      </c>
      <c r="F193" s="19" t="s">
        <v>1084</v>
      </c>
      <c r="G193" s="68" t="s">
        <v>167</v>
      </c>
      <c r="H193" s="68" t="s">
        <v>1131</v>
      </c>
      <c r="I193" s="19"/>
      <c r="J193" s="20" t="s">
        <v>708</v>
      </c>
      <c r="K193" s="107">
        <f>ROUND(Tableau13[[#This Row],[LEN]]*7.27,0)</f>
        <v>102</v>
      </c>
      <c r="L193" s="107">
        <v>15</v>
      </c>
      <c r="M193" s="125" t="str">
        <f t="shared" si="1"/>
        <v>none</v>
      </c>
      <c r="N193" s="107">
        <f>LEN(Tableau13[[#This Row],[LABEL]])</f>
        <v>14</v>
      </c>
      <c r="O193" s="107">
        <v>15</v>
      </c>
      <c r="P193" s="107" t="e">
        <f>ROUND(Tableau13[[#This Row],[LEN]]*#REF!+#REF!,0)</f>
        <v>#REF!</v>
      </c>
    </row>
    <row r="194" spans="1:16" s="97" customFormat="1" ht="15.75" thickTop="1" x14ac:dyDescent="0.25">
      <c r="A194" s="156" t="s">
        <v>201</v>
      </c>
      <c r="B194" s="156" t="s">
        <v>198</v>
      </c>
      <c r="C194" s="157" t="s">
        <v>1160</v>
      </c>
      <c r="D194" s="157" t="s">
        <v>182</v>
      </c>
      <c r="E194" s="158" t="s">
        <v>58</v>
      </c>
      <c r="F194" s="157" t="s">
        <v>665</v>
      </c>
      <c r="G194" s="158" t="s">
        <v>171</v>
      </c>
      <c r="H194" s="158" t="s">
        <v>615</v>
      </c>
      <c r="I194" s="157"/>
      <c r="J194" s="159" t="s">
        <v>707</v>
      </c>
      <c r="K194" s="160">
        <f>ROUND(Tableau13[[#This Row],[LEN]]*7.27,0)</f>
        <v>58</v>
      </c>
      <c r="L194" s="160">
        <v>15</v>
      </c>
      <c r="M194" s="161" t="str">
        <f t="shared" si="1"/>
        <v>new</v>
      </c>
      <c r="N194" s="160">
        <f>LEN(Tableau13[[#This Row],[LABEL]])</f>
        <v>8</v>
      </c>
      <c r="O194" s="162">
        <v>15</v>
      </c>
      <c r="P194" s="162" t="e">
        <f>ROUND(Tableau13[[#This Row],[LEN]]*#REF!+#REF!,0)</f>
        <v>#REF!</v>
      </c>
    </row>
    <row r="195" spans="1:16" s="97" customFormat="1" ht="15.75" thickBot="1" x14ac:dyDescent="0.3">
      <c r="A195" s="170" t="s">
        <v>206</v>
      </c>
      <c r="B195" s="170" t="s">
        <v>201</v>
      </c>
      <c r="C195" s="171" t="s">
        <v>174</v>
      </c>
      <c r="D195" s="172" t="s">
        <v>186</v>
      </c>
      <c r="E195" s="171" t="s">
        <v>58</v>
      </c>
      <c r="F195" s="172"/>
      <c r="G195" s="171" t="s">
        <v>166</v>
      </c>
      <c r="H195" s="171" t="s">
        <v>616</v>
      </c>
      <c r="I195" s="172"/>
      <c r="J195" s="173" t="s">
        <v>708</v>
      </c>
      <c r="K195" s="174">
        <f>ROUND(Tableau13[[#This Row],[LEN]]*7.27,0)</f>
        <v>65</v>
      </c>
      <c r="L195" s="174">
        <v>15</v>
      </c>
      <c r="M195" s="175" t="str">
        <f t="shared" si="1"/>
        <v>none</v>
      </c>
      <c r="N195" s="174">
        <f>LEN(Tableau13[[#This Row],[LABEL]])</f>
        <v>9</v>
      </c>
      <c r="O195" s="176">
        <v>15</v>
      </c>
      <c r="P195" s="176" t="e">
        <f>ROUND(Tableau13[[#This Row],[LEN]]*#REF!+#REF!,0)</f>
        <v>#REF!</v>
      </c>
    </row>
    <row r="196" spans="1:16" s="273" customFormat="1" ht="15.75" thickTop="1" x14ac:dyDescent="0.25">
      <c r="A196" s="281" t="s">
        <v>248</v>
      </c>
      <c r="B196" s="282" t="s">
        <v>206</v>
      </c>
      <c r="C196" s="283" t="s">
        <v>1</v>
      </c>
      <c r="D196" s="284" t="s">
        <v>28</v>
      </c>
      <c r="E196" s="283" t="s">
        <v>664</v>
      </c>
      <c r="F196" s="283" t="s">
        <v>664</v>
      </c>
      <c r="G196" s="284" t="s">
        <v>166</v>
      </c>
      <c r="H196" s="284" t="str">
        <f>IFERROR(IF(SEARCH(".00.00.00.00.00",Tableau13[[#This Row],[name]],1)=7,"Division",""),"")</f>
        <v>Division</v>
      </c>
      <c r="I196" s="283"/>
      <c r="J196" s="285" t="s">
        <v>708</v>
      </c>
      <c r="K196" s="286">
        <f>ROUND(Tableau13[[#This Row],[LEN]]*7.27,0)</f>
        <v>182</v>
      </c>
      <c r="L196" s="286">
        <v>15</v>
      </c>
      <c r="M196" s="287" t="str">
        <f t="shared" si="1"/>
        <v>none</v>
      </c>
      <c r="N196" s="286">
        <f>LEN(Tableau13[[#This Row],[LABEL]])</f>
        <v>25</v>
      </c>
      <c r="O196" s="286">
        <v>15</v>
      </c>
      <c r="P196" s="286" t="e">
        <f>ROUND(Tableau13[[#This Row],[LEN]]*#REF!+#REF!,0)</f>
        <v>#REF!</v>
      </c>
    </row>
    <row r="197" spans="1:16" s="92" customFormat="1" x14ac:dyDescent="0.25">
      <c r="A197" s="288" t="s">
        <v>249</v>
      </c>
      <c r="B197" s="289" t="s">
        <v>206</v>
      </c>
      <c r="C197" s="290" t="s">
        <v>57</v>
      </c>
      <c r="D197" s="291" t="s">
        <v>28</v>
      </c>
      <c r="E197" s="290" t="s">
        <v>663</v>
      </c>
      <c r="F197" s="290" t="s">
        <v>663</v>
      </c>
      <c r="G197" s="291" t="s">
        <v>166</v>
      </c>
      <c r="H197" s="291" t="str">
        <f>IFERROR(IF(SEARCH(".00.00.00.00.00",Tableau13[[#This Row],[name]],1)=7,"Division",""),"")</f>
        <v>Division</v>
      </c>
      <c r="I197" s="290"/>
      <c r="J197" s="292" t="s">
        <v>709</v>
      </c>
      <c r="K197" s="293">
        <f>ROUND(Tableau13[[#This Row],[LEN]]*7.27,0)</f>
        <v>102</v>
      </c>
      <c r="L197" s="293">
        <v>15</v>
      </c>
      <c r="M197" s="294" t="str">
        <f t="shared" si="1"/>
        <v>new</v>
      </c>
      <c r="N197" s="293">
        <f>LEN(Tableau13[[#This Row],[LABEL]])</f>
        <v>14</v>
      </c>
      <c r="O197" s="293">
        <v>15</v>
      </c>
      <c r="P197" s="293" t="e">
        <f>ROUND(Tableau13[[#This Row],[LEN]]*#REF!+#REF!,0)</f>
        <v>#REF!</v>
      </c>
    </row>
    <row r="198" spans="1:16" s="97" customFormat="1" x14ac:dyDescent="0.25">
      <c r="A198" s="25" t="s">
        <v>760</v>
      </c>
      <c r="B198" s="26" t="s">
        <v>249</v>
      </c>
      <c r="C198" s="27" t="s">
        <v>774</v>
      </c>
      <c r="D198" s="70" t="s">
        <v>28</v>
      </c>
      <c r="E198" s="27" t="s">
        <v>663</v>
      </c>
      <c r="F198" s="27" t="s">
        <v>663</v>
      </c>
      <c r="G198" s="70" t="s">
        <v>166</v>
      </c>
      <c r="H198" s="70" t="s">
        <v>656</v>
      </c>
      <c r="I198" s="27"/>
      <c r="J198" s="28" t="s">
        <v>708</v>
      </c>
      <c r="K198" s="109">
        <f>ROUND(Tableau13[[#This Row],[LEN]]*7.27,0)</f>
        <v>393</v>
      </c>
      <c r="L198" s="109">
        <v>15</v>
      </c>
      <c r="M198" s="127" t="str">
        <f t="shared" si="1"/>
        <v>none</v>
      </c>
      <c r="N198" s="109">
        <f>LEN(Tableau13[[#This Row],[LABEL]])</f>
        <v>54</v>
      </c>
      <c r="O198" s="109">
        <v>15</v>
      </c>
      <c r="P198" s="109" t="e">
        <f>ROUND(Tableau13[[#This Row],[LEN]]*#REF!+#REF!,0)</f>
        <v>#REF!</v>
      </c>
    </row>
    <row r="199" spans="1:16" s="97" customFormat="1" x14ac:dyDescent="0.25">
      <c r="A199" s="25" t="s">
        <v>761</v>
      </c>
      <c r="B199" s="26" t="s">
        <v>249</v>
      </c>
      <c r="C199" s="27" t="s">
        <v>781</v>
      </c>
      <c r="D199" s="70" t="s">
        <v>28</v>
      </c>
      <c r="E199" s="27" t="s">
        <v>663</v>
      </c>
      <c r="F199" s="27" t="s">
        <v>663</v>
      </c>
      <c r="G199" s="70" t="s">
        <v>166</v>
      </c>
      <c r="H199" s="70" t="s">
        <v>655</v>
      </c>
      <c r="I199" s="27"/>
      <c r="J199" s="28" t="s">
        <v>708</v>
      </c>
      <c r="K199" s="109">
        <f>ROUND(Tableau13[[#This Row],[LEN]]*7.27,0)</f>
        <v>218</v>
      </c>
      <c r="L199" s="109">
        <v>15</v>
      </c>
      <c r="M199" s="127" t="str">
        <f t="shared" si="1"/>
        <v>none</v>
      </c>
      <c r="N199" s="109">
        <f>LEN(Tableau13[[#This Row],[LABEL]])</f>
        <v>30</v>
      </c>
      <c r="O199" s="109">
        <v>15</v>
      </c>
      <c r="P199" s="109" t="e">
        <f>ROUND(Tableau13[[#This Row],[LEN]]*#REF!+#REF!,0)</f>
        <v>#REF!</v>
      </c>
    </row>
    <row r="200" spans="1:16" s="97" customFormat="1" x14ac:dyDescent="0.25">
      <c r="A200" s="29" t="s">
        <v>787</v>
      </c>
      <c r="B200" s="30" t="s">
        <v>761</v>
      </c>
      <c r="C200" s="31" t="s">
        <v>789</v>
      </c>
      <c r="D200" s="71" t="s">
        <v>28</v>
      </c>
      <c r="E200" s="31" t="s">
        <v>663</v>
      </c>
      <c r="F200" s="31" t="s">
        <v>663</v>
      </c>
      <c r="G200" s="71" t="s">
        <v>166</v>
      </c>
      <c r="H200" s="85" t="s">
        <v>654</v>
      </c>
      <c r="I200" s="31"/>
      <c r="J200" s="103" t="s">
        <v>708</v>
      </c>
      <c r="K200" s="110">
        <f>ROUND(Tableau13[[#This Row],[LEN]]*7.27,0)</f>
        <v>189</v>
      </c>
      <c r="L200" s="110">
        <v>15</v>
      </c>
      <c r="M200" s="128" t="str">
        <f t="shared" si="1"/>
        <v>none</v>
      </c>
      <c r="N200" s="111">
        <f>LEN(Tableau13[[#This Row],[LABEL]])</f>
        <v>26</v>
      </c>
      <c r="O200" s="111">
        <v>15</v>
      </c>
      <c r="P200" s="111" t="e">
        <f>ROUND(Tableau13[[#This Row],[LEN]]*#REF!+#REF!,0)</f>
        <v>#REF!</v>
      </c>
    </row>
    <row r="201" spans="1:16" s="97" customFormat="1" x14ac:dyDescent="0.25">
      <c r="A201" s="29" t="s">
        <v>788</v>
      </c>
      <c r="B201" s="30" t="s">
        <v>761</v>
      </c>
      <c r="C201" s="31" t="s">
        <v>790</v>
      </c>
      <c r="D201" s="71" t="s">
        <v>28</v>
      </c>
      <c r="E201" s="31" t="s">
        <v>663</v>
      </c>
      <c r="F201" s="31" t="s">
        <v>663</v>
      </c>
      <c r="G201" s="71" t="s">
        <v>166</v>
      </c>
      <c r="H201" s="85" t="s">
        <v>654</v>
      </c>
      <c r="I201" s="31"/>
      <c r="J201" s="103" t="s">
        <v>708</v>
      </c>
      <c r="K201" s="110">
        <f>ROUND(Tableau13[[#This Row],[LEN]]*7.27,0)</f>
        <v>349</v>
      </c>
      <c r="L201" s="110">
        <v>15</v>
      </c>
      <c r="M201" s="128" t="str">
        <f t="shared" si="1"/>
        <v>none</v>
      </c>
      <c r="N201" s="111">
        <f>LEN(Tableau13[[#This Row],[LABEL]])</f>
        <v>48</v>
      </c>
      <c r="O201" s="111">
        <v>15</v>
      </c>
      <c r="P201" s="111" t="e">
        <f>ROUND(Tableau13[[#This Row],[LEN]]*#REF!+#REF!,0)</f>
        <v>#REF!</v>
      </c>
    </row>
    <row r="202" spans="1:16" s="97" customFormat="1" x14ac:dyDescent="0.25">
      <c r="A202" s="25" t="s">
        <v>762</v>
      </c>
      <c r="B202" s="26" t="s">
        <v>249</v>
      </c>
      <c r="C202" s="27" t="s">
        <v>775</v>
      </c>
      <c r="D202" s="70" t="s">
        <v>28</v>
      </c>
      <c r="E202" s="27" t="s">
        <v>663</v>
      </c>
      <c r="F202" s="27" t="s">
        <v>663</v>
      </c>
      <c r="G202" s="70" t="s">
        <v>166</v>
      </c>
      <c r="H202" s="70" t="s">
        <v>654</v>
      </c>
      <c r="I202" s="27"/>
      <c r="J202" s="28" t="s">
        <v>708</v>
      </c>
      <c r="K202" s="109">
        <f>ROUND(Tableau13[[#This Row],[LEN]]*7.27,0)</f>
        <v>378</v>
      </c>
      <c r="L202" s="109">
        <v>15</v>
      </c>
      <c r="M202" s="127" t="str">
        <f t="shared" si="1"/>
        <v>none</v>
      </c>
      <c r="N202" s="109">
        <f>LEN(Tableau13[[#This Row],[LABEL]])</f>
        <v>52</v>
      </c>
      <c r="O202" s="109">
        <v>15</v>
      </c>
      <c r="P202" s="109" t="e">
        <f>ROUND(Tableau13[[#This Row],[LEN]]*#REF!+#REF!,0)</f>
        <v>#REF!</v>
      </c>
    </row>
    <row r="203" spans="1:16" s="97" customFormat="1" x14ac:dyDescent="0.25">
      <c r="A203" s="25" t="s">
        <v>763</v>
      </c>
      <c r="B203" s="26" t="s">
        <v>249</v>
      </c>
      <c r="C203" s="27" t="s">
        <v>88</v>
      </c>
      <c r="D203" s="70" t="s">
        <v>28</v>
      </c>
      <c r="E203" s="27" t="s">
        <v>667</v>
      </c>
      <c r="F203" s="27" t="s">
        <v>1218</v>
      </c>
      <c r="G203" s="70" t="s">
        <v>166</v>
      </c>
      <c r="H203" s="70" t="s">
        <v>570</v>
      </c>
      <c r="I203" s="27"/>
      <c r="J203" s="28" t="s">
        <v>708</v>
      </c>
      <c r="K203" s="109">
        <f>ROUND(Tableau13[[#This Row],[LEN]]*7.27,0)</f>
        <v>342</v>
      </c>
      <c r="L203" s="109">
        <v>15</v>
      </c>
      <c r="M203" s="127" t="str">
        <f t="shared" si="1"/>
        <v>none</v>
      </c>
      <c r="N203" s="109">
        <f>LEN(Tableau13[[#This Row],[LABEL]])</f>
        <v>47</v>
      </c>
      <c r="O203" s="109">
        <v>15</v>
      </c>
      <c r="P203" s="109" t="e">
        <f>ROUND(Tableau13[[#This Row],[LEN]]*#REF!+#REF!,0)</f>
        <v>#REF!</v>
      </c>
    </row>
    <row r="204" spans="1:16" s="97" customFormat="1" x14ac:dyDescent="0.25">
      <c r="A204" s="25" t="s">
        <v>764</v>
      </c>
      <c r="B204" s="26" t="s">
        <v>249</v>
      </c>
      <c r="C204" s="27" t="s">
        <v>776</v>
      </c>
      <c r="D204" s="70" t="s">
        <v>28</v>
      </c>
      <c r="E204" s="27" t="s">
        <v>663</v>
      </c>
      <c r="F204" s="27" t="s">
        <v>784</v>
      </c>
      <c r="G204" s="70" t="s">
        <v>166</v>
      </c>
      <c r="H204" s="70" t="s">
        <v>655</v>
      </c>
      <c r="I204" s="27"/>
      <c r="J204" s="28" t="s">
        <v>708</v>
      </c>
      <c r="K204" s="109">
        <f>ROUND(Tableau13[[#This Row],[LEN]]*7.27,0)</f>
        <v>44</v>
      </c>
      <c r="L204" s="109">
        <v>15</v>
      </c>
      <c r="M204" s="127" t="str">
        <f t="shared" si="1"/>
        <v>none</v>
      </c>
      <c r="N204" s="109">
        <f>LEN(Tableau13[[#This Row],[LABEL]])</f>
        <v>6</v>
      </c>
      <c r="O204" s="109">
        <v>15</v>
      </c>
      <c r="P204" s="109" t="e">
        <f>ROUND(Tableau13[[#This Row],[LEN]]*#REF!+#REF!,0)</f>
        <v>#REF!</v>
      </c>
    </row>
    <row r="205" spans="1:16" s="97" customFormat="1" x14ac:dyDescent="0.25">
      <c r="A205" s="29" t="s">
        <v>791</v>
      </c>
      <c r="B205" s="30" t="s">
        <v>764</v>
      </c>
      <c r="C205" s="31" t="s">
        <v>794</v>
      </c>
      <c r="D205" s="71" t="s">
        <v>28</v>
      </c>
      <c r="E205" s="31" t="s">
        <v>663</v>
      </c>
      <c r="F205" s="31" t="s">
        <v>784</v>
      </c>
      <c r="G205" s="71" t="s">
        <v>166</v>
      </c>
      <c r="H205" s="85" t="s">
        <v>18</v>
      </c>
      <c r="I205" s="31"/>
      <c r="J205" s="103" t="s">
        <v>708</v>
      </c>
      <c r="K205" s="110">
        <f>ROUND(Tableau13[[#This Row],[LEN]]*7.27,0)</f>
        <v>65</v>
      </c>
      <c r="L205" s="110">
        <v>15</v>
      </c>
      <c r="M205" s="128" t="str">
        <f t="shared" si="1"/>
        <v>none</v>
      </c>
      <c r="N205" s="111">
        <f>LEN(Tableau13[[#This Row],[LABEL]])</f>
        <v>9</v>
      </c>
      <c r="O205" s="111">
        <v>15</v>
      </c>
      <c r="P205" s="111" t="e">
        <f>ROUND(Tableau13[[#This Row],[LEN]]*#REF!+#REF!,0)</f>
        <v>#REF!</v>
      </c>
    </row>
    <row r="206" spans="1:16" s="97" customFormat="1" x14ac:dyDescent="0.25">
      <c r="A206" s="29" t="s">
        <v>792</v>
      </c>
      <c r="B206" s="30" t="s">
        <v>764</v>
      </c>
      <c r="C206" s="31" t="s">
        <v>795</v>
      </c>
      <c r="D206" s="71" t="s">
        <v>28</v>
      </c>
      <c r="E206" s="31" t="s">
        <v>663</v>
      </c>
      <c r="F206" s="31" t="s">
        <v>784</v>
      </c>
      <c r="G206" s="71" t="s">
        <v>166</v>
      </c>
      <c r="H206" s="85" t="s">
        <v>18</v>
      </c>
      <c r="I206" s="31"/>
      <c r="J206" s="103" t="s">
        <v>708</v>
      </c>
      <c r="K206" s="110">
        <f>ROUND(Tableau13[[#This Row],[LEN]]*7.27,0)</f>
        <v>65</v>
      </c>
      <c r="L206" s="110">
        <v>15</v>
      </c>
      <c r="M206" s="128" t="str">
        <f t="shared" si="1"/>
        <v>none</v>
      </c>
      <c r="N206" s="111">
        <f>LEN(Tableau13[[#This Row],[LABEL]])</f>
        <v>9</v>
      </c>
      <c r="O206" s="111">
        <v>15</v>
      </c>
      <c r="P206" s="111" t="e">
        <f>ROUND(Tableau13[[#This Row],[LEN]]*#REF!+#REF!,0)</f>
        <v>#REF!</v>
      </c>
    </row>
    <row r="207" spans="1:16" s="97" customFormat="1" x14ac:dyDescent="0.25">
      <c r="A207" s="29" t="s">
        <v>793</v>
      </c>
      <c r="B207" s="30" t="s">
        <v>764</v>
      </c>
      <c r="C207" s="31" t="s">
        <v>796</v>
      </c>
      <c r="D207" s="71" t="s">
        <v>28</v>
      </c>
      <c r="E207" s="31" t="s">
        <v>663</v>
      </c>
      <c r="F207" s="31" t="s">
        <v>784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ROUND(Tableau13[[#This Row],[LEN]]*7.27,0)</f>
        <v>73</v>
      </c>
      <c r="L207" s="110">
        <v>15</v>
      </c>
      <c r="M207" s="128" t="str">
        <f t="shared" si="1"/>
        <v>none</v>
      </c>
      <c r="N207" s="111">
        <f>LEN(Tableau13[[#This Row],[LABEL]])</f>
        <v>10</v>
      </c>
      <c r="O207" s="111">
        <v>15</v>
      </c>
      <c r="P207" s="111" t="e">
        <f>ROUND(Tableau13[[#This Row],[LEN]]*#REF!+#REF!,0)</f>
        <v>#REF!</v>
      </c>
    </row>
    <row r="208" spans="1:16" s="97" customFormat="1" x14ac:dyDescent="0.25">
      <c r="A208" s="29" t="s">
        <v>797</v>
      </c>
      <c r="B208" s="30" t="s">
        <v>764</v>
      </c>
      <c r="C208" s="31" t="s">
        <v>801</v>
      </c>
      <c r="D208" s="71" t="s">
        <v>28</v>
      </c>
      <c r="E208" s="31" t="s">
        <v>663</v>
      </c>
      <c r="F208" s="31" t="s">
        <v>784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ROUND(Tableau13[[#This Row],[LEN]]*7.27,0)</f>
        <v>73</v>
      </c>
      <c r="L208" s="110">
        <v>15</v>
      </c>
      <c r="M208" s="128" t="str">
        <f t="shared" si="1"/>
        <v>none</v>
      </c>
      <c r="N208" s="111">
        <f>LEN(Tableau13[[#This Row],[LABEL]])</f>
        <v>10</v>
      </c>
      <c r="O208" s="111">
        <v>15</v>
      </c>
      <c r="P208" s="111" t="e">
        <f>ROUND(Tableau13[[#This Row],[LEN]]*#REF!+#REF!,0)</f>
        <v>#REF!</v>
      </c>
    </row>
    <row r="209" spans="1:16" s="97" customFormat="1" x14ac:dyDescent="0.25">
      <c r="A209" s="29" t="s">
        <v>798</v>
      </c>
      <c r="B209" s="30" t="s">
        <v>764</v>
      </c>
      <c r="C209" s="31" t="s">
        <v>806</v>
      </c>
      <c r="D209" s="71" t="s">
        <v>28</v>
      </c>
      <c r="E209" s="31" t="s">
        <v>663</v>
      </c>
      <c r="F209" s="31" t="s">
        <v>784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ROUND(Tableau13[[#This Row],[LEN]]*7.27,0)</f>
        <v>174</v>
      </c>
      <c r="L209" s="110">
        <v>15</v>
      </c>
      <c r="M209" s="128" t="str">
        <f t="shared" si="1"/>
        <v>none</v>
      </c>
      <c r="N209" s="111">
        <f>LEN(Tableau13[[#This Row],[LABEL]])</f>
        <v>24</v>
      </c>
      <c r="O209" s="111">
        <v>15</v>
      </c>
      <c r="P209" s="111" t="e">
        <f>ROUND(Tableau13[[#This Row],[LEN]]*#REF!+#REF!,0)</f>
        <v>#REF!</v>
      </c>
    </row>
    <row r="210" spans="1:16" s="97" customFormat="1" x14ac:dyDescent="0.25">
      <c r="A210" s="29" t="s">
        <v>799</v>
      </c>
      <c r="B210" s="30" t="s">
        <v>764</v>
      </c>
      <c r="C210" s="31" t="s">
        <v>807</v>
      </c>
      <c r="D210" s="71" t="s">
        <v>28</v>
      </c>
      <c r="E210" s="31" t="s">
        <v>663</v>
      </c>
      <c r="F210" s="31" t="s">
        <v>784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ROUND(Tableau13[[#This Row],[LEN]]*7.27,0)</f>
        <v>218</v>
      </c>
      <c r="L210" s="110">
        <v>15</v>
      </c>
      <c r="M210" s="128" t="str">
        <f t="shared" si="1"/>
        <v>none</v>
      </c>
      <c r="N210" s="111">
        <f>LEN(Tableau13[[#This Row],[LABEL]])</f>
        <v>30</v>
      </c>
      <c r="O210" s="111">
        <v>15</v>
      </c>
      <c r="P210" s="111" t="e">
        <f>ROUND(Tableau13[[#This Row],[LEN]]*#REF!+#REF!,0)</f>
        <v>#REF!</v>
      </c>
    </row>
    <row r="211" spans="1:16" s="97" customFormat="1" x14ac:dyDescent="0.25">
      <c r="A211" s="29" t="s">
        <v>800</v>
      </c>
      <c r="B211" s="30" t="s">
        <v>764</v>
      </c>
      <c r="C211" s="31" t="s">
        <v>808</v>
      </c>
      <c r="D211" s="71" t="s">
        <v>28</v>
      </c>
      <c r="E211" s="31" t="s">
        <v>663</v>
      </c>
      <c r="F211" s="31" t="s">
        <v>784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ROUND(Tableau13[[#This Row],[LEN]]*7.27,0)</f>
        <v>15</v>
      </c>
      <c r="L211" s="110">
        <v>15</v>
      </c>
      <c r="M211" s="128" t="str">
        <f t="shared" si="1"/>
        <v>none</v>
      </c>
      <c r="N211" s="111">
        <f>LEN(Tableau13[[#This Row],[LABEL]])</f>
        <v>2</v>
      </c>
      <c r="O211" s="111">
        <v>15</v>
      </c>
      <c r="P211" s="111" t="e">
        <f>ROUND(Tableau13[[#This Row],[LEN]]*#REF!+#REF!,0)</f>
        <v>#REF!</v>
      </c>
    </row>
    <row r="212" spans="1:16" s="97" customFormat="1" x14ac:dyDescent="0.25">
      <c r="A212" s="29" t="s">
        <v>802</v>
      </c>
      <c r="B212" s="30" t="s">
        <v>764</v>
      </c>
      <c r="C212" s="31" t="s">
        <v>809</v>
      </c>
      <c r="D212" s="71" t="s">
        <v>28</v>
      </c>
      <c r="E212" s="31" t="s">
        <v>663</v>
      </c>
      <c r="F212" s="31" t="s">
        <v>784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ROUND(Tableau13[[#This Row],[LEN]]*7.27,0)</f>
        <v>65</v>
      </c>
      <c r="L212" s="110">
        <v>15</v>
      </c>
      <c r="M212" s="128" t="str">
        <f t="shared" si="1"/>
        <v>none</v>
      </c>
      <c r="N212" s="111">
        <f>LEN(Tableau13[[#This Row],[LABEL]])</f>
        <v>9</v>
      </c>
      <c r="O212" s="111">
        <v>15</v>
      </c>
      <c r="P212" s="111" t="e">
        <f>ROUND(Tableau13[[#This Row],[LEN]]*#REF!+#REF!,0)</f>
        <v>#REF!</v>
      </c>
    </row>
    <row r="213" spans="1:16" s="97" customFormat="1" x14ac:dyDescent="0.25">
      <c r="A213" s="29" t="s">
        <v>803</v>
      </c>
      <c r="B213" s="30" t="s">
        <v>764</v>
      </c>
      <c r="C213" s="31" t="s">
        <v>810</v>
      </c>
      <c r="D213" s="71" t="s">
        <v>28</v>
      </c>
      <c r="E213" s="31" t="s">
        <v>663</v>
      </c>
      <c r="F213" s="31" t="s">
        <v>784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ROUND(Tableau13[[#This Row],[LEN]]*7.27,0)</f>
        <v>225</v>
      </c>
      <c r="L213" s="110">
        <v>15</v>
      </c>
      <c r="M213" s="128" t="str">
        <f t="shared" si="1"/>
        <v>none</v>
      </c>
      <c r="N213" s="111">
        <f>LEN(Tableau13[[#This Row],[LABEL]])</f>
        <v>31</v>
      </c>
      <c r="O213" s="111">
        <v>15</v>
      </c>
      <c r="P213" s="111" t="e">
        <f>ROUND(Tableau13[[#This Row],[LEN]]*#REF!+#REF!,0)</f>
        <v>#REF!</v>
      </c>
    </row>
    <row r="214" spans="1:16" s="97" customFormat="1" x14ac:dyDescent="0.25">
      <c r="A214" s="29" t="s">
        <v>804</v>
      </c>
      <c r="B214" s="30" t="s">
        <v>764</v>
      </c>
      <c r="C214" s="31" t="s">
        <v>811</v>
      </c>
      <c r="D214" s="71" t="s">
        <v>28</v>
      </c>
      <c r="E214" s="31" t="s">
        <v>663</v>
      </c>
      <c r="F214" s="31" t="s">
        <v>784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ROUND(Tableau13[[#This Row],[LEN]]*7.27,0)</f>
        <v>160</v>
      </c>
      <c r="L214" s="110">
        <v>15</v>
      </c>
      <c r="M214" s="128" t="str">
        <f t="shared" si="1"/>
        <v>none</v>
      </c>
      <c r="N214" s="111">
        <f>LEN(Tableau13[[#This Row],[LABEL]])</f>
        <v>22</v>
      </c>
      <c r="O214" s="111">
        <v>15</v>
      </c>
      <c r="P214" s="111" t="e">
        <f>ROUND(Tableau13[[#This Row],[LEN]]*#REF!+#REF!,0)</f>
        <v>#REF!</v>
      </c>
    </row>
    <row r="215" spans="1:16" s="97" customFormat="1" x14ac:dyDescent="0.25">
      <c r="A215" s="29" t="s">
        <v>805</v>
      </c>
      <c r="B215" s="30" t="s">
        <v>764</v>
      </c>
      <c r="C215" s="31" t="s">
        <v>812</v>
      </c>
      <c r="D215" s="71" t="s">
        <v>28</v>
      </c>
      <c r="E215" s="31" t="s">
        <v>663</v>
      </c>
      <c r="F215" s="31" t="s">
        <v>784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ROUND(Tableau13[[#This Row],[LEN]]*7.27,0)</f>
        <v>131</v>
      </c>
      <c r="L215" s="110">
        <v>15</v>
      </c>
      <c r="M215" s="128" t="str">
        <f t="shared" si="1"/>
        <v>none</v>
      </c>
      <c r="N215" s="111">
        <f>LEN(Tableau13[[#This Row],[LABEL]])</f>
        <v>18</v>
      </c>
      <c r="O215" s="111">
        <v>15</v>
      </c>
      <c r="P215" s="111" t="e">
        <f>ROUND(Tableau13[[#This Row],[LEN]]*#REF!+#REF!,0)</f>
        <v>#REF!</v>
      </c>
    </row>
    <row r="216" spans="1:16" s="97" customFormat="1" x14ac:dyDescent="0.25">
      <c r="A216" s="25" t="s">
        <v>765</v>
      </c>
      <c r="B216" s="26" t="s">
        <v>249</v>
      </c>
      <c r="C216" s="27" t="s">
        <v>783</v>
      </c>
      <c r="D216" s="70" t="s">
        <v>28</v>
      </c>
      <c r="E216" s="27" t="s">
        <v>663</v>
      </c>
      <c r="F216" s="27" t="s">
        <v>663</v>
      </c>
      <c r="G216" s="70" t="s">
        <v>166</v>
      </c>
      <c r="H216" s="70" t="s">
        <v>655</v>
      </c>
      <c r="I216" s="27"/>
      <c r="J216" s="28" t="s">
        <v>708</v>
      </c>
      <c r="K216" s="109">
        <f>ROUND(Tableau13[[#This Row],[LEN]]*7.27,0)</f>
        <v>138</v>
      </c>
      <c r="L216" s="109">
        <v>15</v>
      </c>
      <c r="M216" s="127" t="str">
        <f t="shared" si="1"/>
        <v>none</v>
      </c>
      <c r="N216" s="109">
        <f>LEN(Tableau13[[#This Row],[LABEL]])</f>
        <v>19</v>
      </c>
      <c r="O216" s="109">
        <v>15</v>
      </c>
      <c r="P216" s="109" t="e">
        <f>ROUND(Tableau13[[#This Row],[LEN]]*#REF!+#REF!,0)</f>
        <v>#REF!</v>
      </c>
    </row>
    <row r="217" spans="1:16" s="97" customFormat="1" x14ac:dyDescent="0.25">
      <c r="A217" s="29" t="s">
        <v>813</v>
      </c>
      <c r="B217" s="30" t="s">
        <v>765</v>
      </c>
      <c r="C217" s="31" t="s">
        <v>817</v>
      </c>
      <c r="D217" s="71" t="s">
        <v>28</v>
      </c>
      <c r="E217" s="31" t="s">
        <v>663</v>
      </c>
      <c r="F217" s="31" t="s">
        <v>663</v>
      </c>
      <c r="G217" s="71" t="s">
        <v>166</v>
      </c>
      <c r="H217" s="85" t="s">
        <v>656</v>
      </c>
      <c r="I217" s="31"/>
      <c r="J217" s="103" t="s">
        <v>708</v>
      </c>
      <c r="K217" s="110">
        <f>ROUND(Tableau13[[#This Row],[LEN]]*7.27,0)</f>
        <v>313</v>
      </c>
      <c r="L217" s="110">
        <v>15</v>
      </c>
      <c r="M217" s="128" t="str">
        <f t="shared" si="1"/>
        <v>none</v>
      </c>
      <c r="N217" s="111">
        <f>LEN(Tableau13[[#This Row],[LABEL]])</f>
        <v>43</v>
      </c>
      <c r="O217" s="111">
        <v>15</v>
      </c>
      <c r="P217" s="111" t="e">
        <f>ROUND(Tableau13[[#This Row],[LEN]]*#REF!+#REF!,0)</f>
        <v>#REF!</v>
      </c>
    </row>
    <row r="218" spans="1:16" s="97" customFormat="1" x14ac:dyDescent="0.25">
      <c r="A218" s="29" t="s">
        <v>814</v>
      </c>
      <c r="B218" s="30" t="s">
        <v>765</v>
      </c>
      <c r="C218" s="31" t="s">
        <v>818</v>
      </c>
      <c r="D218" s="71" t="s">
        <v>28</v>
      </c>
      <c r="E218" s="31" t="s">
        <v>663</v>
      </c>
      <c r="F218" s="31" t="s">
        <v>663</v>
      </c>
      <c r="G218" s="71" t="s">
        <v>166</v>
      </c>
      <c r="H218" s="85" t="s">
        <v>656</v>
      </c>
      <c r="I218" s="31"/>
      <c r="J218" s="103" t="s">
        <v>708</v>
      </c>
      <c r="K218" s="110">
        <f>ROUND(Tableau13[[#This Row],[LEN]]*7.27,0)</f>
        <v>349</v>
      </c>
      <c r="L218" s="110">
        <v>15</v>
      </c>
      <c r="M218" s="128" t="str">
        <f t="shared" si="1"/>
        <v>none</v>
      </c>
      <c r="N218" s="111">
        <f>LEN(Tableau13[[#This Row],[LABEL]])</f>
        <v>48</v>
      </c>
      <c r="O218" s="111">
        <v>15</v>
      </c>
      <c r="P218" s="111" t="e">
        <f>ROUND(Tableau13[[#This Row],[LEN]]*#REF!+#REF!,0)</f>
        <v>#REF!</v>
      </c>
    </row>
    <row r="219" spans="1:16" s="97" customFormat="1" x14ac:dyDescent="0.25">
      <c r="A219" s="29" t="s">
        <v>815</v>
      </c>
      <c r="B219" s="30" t="s">
        <v>765</v>
      </c>
      <c r="C219" s="31" t="s">
        <v>819</v>
      </c>
      <c r="D219" s="71" t="s">
        <v>28</v>
      </c>
      <c r="E219" s="31" t="s">
        <v>663</v>
      </c>
      <c r="F219" s="31" t="s">
        <v>663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ROUND(Tableau13[[#This Row],[LEN]]*7.27,0)</f>
        <v>189</v>
      </c>
      <c r="L219" s="110">
        <v>15</v>
      </c>
      <c r="M219" s="128" t="str">
        <f t="shared" si="1"/>
        <v>none</v>
      </c>
      <c r="N219" s="111">
        <f>LEN(Tableau13[[#This Row],[LABEL]])</f>
        <v>26</v>
      </c>
      <c r="O219" s="111">
        <v>15</v>
      </c>
      <c r="P219" s="111" t="e">
        <f>ROUND(Tableau13[[#This Row],[LEN]]*#REF!+#REF!,0)</f>
        <v>#REF!</v>
      </c>
    </row>
    <row r="220" spans="1:16" s="97" customFormat="1" x14ac:dyDescent="0.25">
      <c r="A220" s="29" t="s">
        <v>816</v>
      </c>
      <c r="B220" s="30" t="s">
        <v>765</v>
      </c>
      <c r="C220" s="31" t="s">
        <v>820</v>
      </c>
      <c r="D220" s="71" t="s">
        <v>28</v>
      </c>
      <c r="E220" s="31" t="s">
        <v>663</v>
      </c>
      <c r="F220" s="31" t="s">
        <v>663</v>
      </c>
      <c r="G220" s="71" t="s">
        <v>166</v>
      </c>
      <c r="H220" s="85" t="s">
        <v>18</v>
      </c>
      <c r="I220" s="31"/>
      <c r="J220" s="103" t="s">
        <v>708</v>
      </c>
      <c r="K220" s="110">
        <f>ROUND(Tableau13[[#This Row],[LEN]]*7.27,0)</f>
        <v>124</v>
      </c>
      <c r="L220" s="110">
        <v>15</v>
      </c>
      <c r="M220" s="128" t="str">
        <f t="shared" si="1"/>
        <v>none</v>
      </c>
      <c r="N220" s="111">
        <f>LEN(Tableau13[[#This Row],[LABEL]])</f>
        <v>17</v>
      </c>
      <c r="O220" s="111">
        <v>15</v>
      </c>
      <c r="P220" s="111" t="e">
        <f>ROUND(Tableau13[[#This Row],[LEN]]*#REF!+#REF!,0)</f>
        <v>#REF!</v>
      </c>
    </row>
    <row r="221" spans="1:16" s="97" customFormat="1" x14ac:dyDescent="0.25">
      <c r="A221" s="25" t="s">
        <v>766</v>
      </c>
      <c r="B221" s="26" t="s">
        <v>249</v>
      </c>
      <c r="C221" s="27" t="s">
        <v>1165</v>
      </c>
      <c r="D221" s="70" t="s">
        <v>28</v>
      </c>
      <c r="E221" s="27" t="s">
        <v>663</v>
      </c>
      <c r="F221" s="27" t="s">
        <v>663</v>
      </c>
      <c r="G221" s="70" t="s">
        <v>166</v>
      </c>
      <c r="H221" s="70" t="s">
        <v>654</v>
      </c>
      <c r="I221" s="27"/>
      <c r="J221" s="28" t="s">
        <v>708</v>
      </c>
      <c r="K221" s="109">
        <f>ROUND(Tableau13[[#This Row],[LEN]]*7.27,0)</f>
        <v>211</v>
      </c>
      <c r="L221" s="109">
        <v>15</v>
      </c>
      <c r="M221" s="127" t="str">
        <f t="shared" si="1"/>
        <v>none</v>
      </c>
      <c r="N221" s="109">
        <f>LEN(Tableau13[[#This Row],[LABEL]])</f>
        <v>29</v>
      </c>
      <c r="O221" s="109">
        <v>15</v>
      </c>
      <c r="P221" s="109" t="e">
        <f>ROUND(Tableau13[[#This Row],[LEN]]*#REF!+#REF!,0)</f>
        <v>#REF!</v>
      </c>
    </row>
    <row r="222" spans="1:16" s="97" customFormat="1" x14ac:dyDescent="0.25">
      <c r="A222" s="25" t="s">
        <v>767</v>
      </c>
      <c r="B222" s="26" t="s">
        <v>249</v>
      </c>
      <c r="C222" s="27" t="s">
        <v>777</v>
      </c>
      <c r="D222" s="70" t="s">
        <v>28</v>
      </c>
      <c r="E222" s="27" t="s">
        <v>663</v>
      </c>
      <c r="F222" s="27" t="s">
        <v>663</v>
      </c>
      <c r="G222" s="70" t="s">
        <v>166</v>
      </c>
      <c r="H222" s="70" t="s">
        <v>656</v>
      </c>
      <c r="I222" s="27"/>
      <c r="J222" s="28" t="s">
        <v>708</v>
      </c>
      <c r="K222" s="109">
        <f>ROUND(Tableau13[[#This Row],[LEN]]*7.27,0)</f>
        <v>378</v>
      </c>
      <c r="L222" s="109">
        <v>15</v>
      </c>
      <c r="M222" s="127" t="str">
        <f t="shared" si="1"/>
        <v>none</v>
      </c>
      <c r="N222" s="109">
        <f>LEN(Tableau13[[#This Row],[LABEL]])</f>
        <v>52</v>
      </c>
      <c r="O222" s="109">
        <v>15</v>
      </c>
      <c r="P222" s="109" t="e">
        <f>ROUND(Tableau13[[#This Row],[LEN]]*#REF!+#REF!,0)</f>
        <v>#REF!</v>
      </c>
    </row>
    <row r="223" spans="1:16" s="97" customFormat="1" x14ac:dyDescent="0.25">
      <c r="A223" s="25" t="s">
        <v>768</v>
      </c>
      <c r="B223" s="26" t="s">
        <v>249</v>
      </c>
      <c r="C223" s="27" t="s">
        <v>778</v>
      </c>
      <c r="D223" s="70" t="s">
        <v>28</v>
      </c>
      <c r="E223" s="27" t="s">
        <v>673</v>
      </c>
      <c r="F223" s="27" t="s">
        <v>785</v>
      </c>
      <c r="G223" s="70" t="s">
        <v>166</v>
      </c>
      <c r="H223" s="70" t="s">
        <v>17</v>
      </c>
      <c r="I223" s="27"/>
      <c r="J223" s="28" t="s">
        <v>708</v>
      </c>
      <c r="K223" s="109">
        <f>ROUND(Tableau13[[#This Row],[LEN]]*7.27,0)</f>
        <v>211</v>
      </c>
      <c r="L223" s="109">
        <v>15</v>
      </c>
      <c r="M223" s="127" t="str">
        <f t="shared" si="1"/>
        <v>none</v>
      </c>
      <c r="N223" s="109">
        <f>LEN(Tableau13[[#This Row],[LABEL]])</f>
        <v>29</v>
      </c>
      <c r="O223" s="109">
        <v>15</v>
      </c>
      <c r="P223" s="109" t="e">
        <f>ROUND(Tableau13[[#This Row],[LEN]]*#REF!+#REF!,0)</f>
        <v>#REF!</v>
      </c>
    </row>
    <row r="224" spans="1:16" s="97" customFormat="1" x14ac:dyDescent="0.25">
      <c r="A224" s="25" t="s">
        <v>769</v>
      </c>
      <c r="B224" s="26" t="s">
        <v>249</v>
      </c>
      <c r="C224" s="27" t="s">
        <v>92</v>
      </c>
      <c r="D224" s="70" t="s">
        <v>28</v>
      </c>
      <c r="E224" s="27" t="s">
        <v>663</v>
      </c>
      <c r="F224" s="27" t="s">
        <v>786</v>
      </c>
      <c r="G224" s="70" t="s">
        <v>166</v>
      </c>
      <c r="H224" s="70" t="s">
        <v>655</v>
      </c>
      <c r="I224" s="27"/>
      <c r="J224" s="28" t="s">
        <v>708</v>
      </c>
      <c r="K224" s="109">
        <f>ROUND(Tableau13[[#This Row],[LEN]]*7.27,0)</f>
        <v>262</v>
      </c>
      <c r="L224" s="109">
        <v>15</v>
      </c>
      <c r="M224" s="127" t="str">
        <f t="shared" si="1"/>
        <v>none</v>
      </c>
      <c r="N224" s="109">
        <f>LEN(Tableau13[[#This Row],[LABEL]])</f>
        <v>36</v>
      </c>
      <c r="O224" s="109">
        <v>15</v>
      </c>
      <c r="P224" s="109" t="e">
        <f>ROUND(Tableau13[[#This Row],[LEN]]*#REF!+#REF!,0)</f>
        <v>#REF!</v>
      </c>
    </row>
    <row r="225" spans="1:16" s="97" customFormat="1" x14ac:dyDescent="0.25">
      <c r="A225" s="29" t="s">
        <v>821</v>
      </c>
      <c r="B225" s="30" t="s">
        <v>769</v>
      </c>
      <c r="C225" s="31" t="s">
        <v>95</v>
      </c>
      <c r="D225" s="71" t="s">
        <v>28</v>
      </c>
      <c r="E225" s="31" t="s">
        <v>663</v>
      </c>
      <c r="F225" s="31" t="s">
        <v>786</v>
      </c>
      <c r="G225" s="71" t="s">
        <v>166</v>
      </c>
      <c r="H225" s="85" t="s">
        <v>17</v>
      </c>
      <c r="I225" s="31"/>
      <c r="J225" s="103" t="s">
        <v>708</v>
      </c>
      <c r="K225" s="110">
        <f>ROUND(Tableau13[[#This Row],[LEN]]*7.27,0)</f>
        <v>254</v>
      </c>
      <c r="L225" s="110">
        <v>15</v>
      </c>
      <c r="M225" s="128" t="str">
        <f t="shared" ref="M225:M380" si="2">IF(J225="javascript:void(0)","none","new")</f>
        <v>none</v>
      </c>
      <c r="N225" s="111">
        <f>LEN(Tableau13[[#This Row],[LABEL]])</f>
        <v>35</v>
      </c>
      <c r="O225" s="111">
        <v>15</v>
      </c>
      <c r="P225" s="111" t="e">
        <f>ROUND(Tableau13[[#This Row],[LEN]]*#REF!+#REF!,0)</f>
        <v>#REF!</v>
      </c>
    </row>
    <row r="226" spans="1:16" s="97" customFormat="1" x14ac:dyDescent="0.25">
      <c r="A226" s="29" t="s">
        <v>822</v>
      </c>
      <c r="B226" s="30" t="s">
        <v>769</v>
      </c>
      <c r="C226" s="31" t="s">
        <v>96</v>
      </c>
      <c r="D226" s="71" t="s">
        <v>28</v>
      </c>
      <c r="E226" s="31" t="s">
        <v>663</v>
      </c>
      <c r="F226" s="31" t="s">
        <v>786</v>
      </c>
      <c r="G226" s="71" t="s">
        <v>166</v>
      </c>
      <c r="H226" s="85" t="s">
        <v>570</v>
      </c>
      <c r="I226" s="31"/>
      <c r="J226" s="103" t="s">
        <v>708</v>
      </c>
      <c r="K226" s="110">
        <f>ROUND(Tableau13[[#This Row],[LEN]]*7.27,0)</f>
        <v>233</v>
      </c>
      <c r="L226" s="110">
        <v>15</v>
      </c>
      <c r="M226" s="128" t="str">
        <f t="shared" si="2"/>
        <v>none</v>
      </c>
      <c r="N226" s="111">
        <f>LEN(Tableau13[[#This Row],[LABEL]])</f>
        <v>32</v>
      </c>
      <c r="O226" s="111">
        <v>15</v>
      </c>
      <c r="P226" s="111" t="e">
        <f>ROUND(Tableau13[[#This Row],[LEN]]*#REF!+#REF!,0)</f>
        <v>#REF!</v>
      </c>
    </row>
    <row r="227" spans="1:16" s="97" customFormat="1" x14ac:dyDescent="0.25">
      <c r="A227" s="29" t="s">
        <v>823</v>
      </c>
      <c r="B227" s="30" t="s">
        <v>769</v>
      </c>
      <c r="C227" s="31" t="s">
        <v>97</v>
      </c>
      <c r="D227" s="71" t="s">
        <v>28</v>
      </c>
      <c r="E227" s="31" t="s">
        <v>663</v>
      </c>
      <c r="F227" s="31" t="s">
        <v>786</v>
      </c>
      <c r="G227" s="71" t="s">
        <v>166</v>
      </c>
      <c r="H227" s="85" t="s">
        <v>656</v>
      </c>
      <c r="I227" s="31"/>
      <c r="J227" s="103" t="s">
        <v>708</v>
      </c>
      <c r="K227" s="110">
        <f>ROUND(Tableau13[[#This Row],[LEN]]*7.27,0)</f>
        <v>145</v>
      </c>
      <c r="L227" s="110">
        <v>15</v>
      </c>
      <c r="M227" s="128" t="str">
        <f t="shared" si="2"/>
        <v>none</v>
      </c>
      <c r="N227" s="111">
        <f>LEN(Tableau13[[#This Row],[LABEL]])</f>
        <v>20</v>
      </c>
      <c r="O227" s="111">
        <v>15</v>
      </c>
      <c r="P227" s="111" t="e">
        <f>ROUND(Tableau13[[#This Row],[LEN]]*#REF!+#REF!,0)</f>
        <v>#REF!</v>
      </c>
    </row>
    <row r="228" spans="1:16" s="97" customFormat="1" x14ac:dyDescent="0.25">
      <c r="A228" s="25" t="s">
        <v>770</v>
      </c>
      <c r="B228" s="26" t="s">
        <v>249</v>
      </c>
      <c r="C228" s="27" t="s">
        <v>782</v>
      </c>
      <c r="D228" s="70" t="s">
        <v>28</v>
      </c>
      <c r="E228" s="27" t="s">
        <v>667</v>
      </c>
      <c r="F228" s="27" t="s">
        <v>828</v>
      </c>
      <c r="G228" s="70" t="s">
        <v>166</v>
      </c>
      <c r="H228" s="70" t="s">
        <v>655</v>
      </c>
      <c r="I228" s="27"/>
      <c r="J228" s="28" t="s">
        <v>708</v>
      </c>
      <c r="K228" s="109">
        <f>ROUND(Tableau13[[#This Row],[LEN]]*7.27,0)</f>
        <v>182</v>
      </c>
      <c r="L228" s="109">
        <v>15</v>
      </c>
      <c r="M228" s="127" t="str">
        <f t="shared" si="2"/>
        <v>none</v>
      </c>
      <c r="N228" s="109">
        <f>LEN(Tableau13[[#This Row],[LABEL]])</f>
        <v>25</v>
      </c>
      <c r="O228" s="109">
        <v>15</v>
      </c>
      <c r="P228" s="109" t="e">
        <f>ROUND(Tableau13[[#This Row],[LEN]]*#REF!+#REF!,0)</f>
        <v>#REF!</v>
      </c>
    </row>
    <row r="229" spans="1:16" s="97" customFormat="1" x14ac:dyDescent="0.25">
      <c r="A229" s="29" t="s">
        <v>824</v>
      </c>
      <c r="B229" s="30" t="s">
        <v>770</v>
      </c>
      <c r="C229" s="31" t="s">
        <v>826</v>
      </c>
      <c r="D229" s="71" t="s">
        <v>28</v>
      </c>
      <c r="E229" s="31" t="s">
        <v>667</v>
      </c>
      <c r="F229" s="31" t="s">
        <v>828</v>
      </c>
      <c r="G229" s="71" t="s">
        <v>166</v>
      </c>
      <c r="H229" s="85" t="s">
        <v>18</v>
      </c>
      <c r="I229" s="31"/>
      <c r="J229" s="103" t="s">
        <v>101</v>
      </c>
      <c r="K229" s="110">
        <f>ROUND(Tableau13[[#This Row],[LEN]]*7.27,0)</f>
        <v>174</v>
      </c>
      <c r="L229" s="110">
        <v>15</v>
      </c>
      <c r="M229" s="128" t="str">
        <f t="shared" si="2"/>
        <v>new</v>
      </c>
      <c r="N229" s="111">
        <f>LEN(Tableau13[[#This Row],[LABEL]])</f>
        <v>24</v>
      </c>
      <c r="O229" s="111">
        <v>15</v>
      </c>
      <c r="P229" s="111" t="e">
        <f>ROUND(Tableau13[[#This Row],[LEN]]*#REF!+#REF!,0)</f>
        <v>#REF!</v>
      </c>
    </row>
    <row r="230" spans="1:16" s="97" customFormat="1" x14ac:dyDescent="0.25">
      <c r="A230" s="29" t="s">
        <v>825</v>
      </c>
      <c r="B230" s="30" t="s">
        <v>770</v>
      </c>
      <c r="C230" s="31" t="s">
        <v>827</v>
      </c>
      <c r="D230" s="71" t="s">
        <v>28</v>
      </c>
      <c r="E230" s="31" t="s">
        <v>667</v>
      </c>
      <c r="F230" s="31" t="s">
        <v>828</v>
      </c>
      <c r="G230" s="71" t="s">
        <v>166</v>
      </c>
      <c r="H230" s="85" t="s">
        <v>654</v>
      </c>
      <c r="I230" s="31"/>
      <c r="J230" s="103" t="s">
        <v>101</v>
      </c>
      <c r="K230" s="110">
        <f>ROUND(Tableau13[[#This Row],[LEN]]*7.27,0)</f>
        <v>262</v>
      </c>
      <c r="L230" s="110">
        <v>15</v>
      </c>
      <c r="M230" s="128" t="str">
        <f t="shared" si="2"/>
        <v>new</v>
      </c>
      <c r="N230" s="111">
        <f>LEN(Tableau13[[#This Row],[LABEL]])</f>
        <v>36</v>
      </c>
      <c r="O230" s="111">
        <v>15</v>
      </c>
      <c r="P230" s="111" t="e">
        <f>ROUND(Tableau13[[#This Row],[LEN]]*#REF!+#REF!,0)</f>
        <v>#REF!</v>
      </c>
    </row>
    <row r="231" spans="1:16" s="97" customFormat="1" x14ac:dyDescent="0.25">
      <c r="A231" s="25" t="s">
        <v>771</v>
      </c>
      <c r="B231" s="26" t="s">
        <v>249</v>
      </c>
      <c r="C231" s="27" t="s">
        <v>779</v>
      </c>
      <c r="D231" s="70" t="s">
        <v>28</v>
      </c>
      <c r="E231" s="27" t="s">
        <v>663</v>
      </c>
      <c r="F231" s="27" t="s">
        <v>663</v>
      </c>
      <c r="G231" s="70" t="s">
        <v>166</v>
      </c>
      <c r="H231" s="70" t="s">
        <v>655</v>
      </c>
      <c r="I231" s="27"/>
      <c r="J231" s="28" t="s">
        <v>708</v>
      </c>
      <c r="K231" s="109">
        <f>ROUND(Tableau13[[#This Row],[LEN]]*7.27,0)</f>
        <v>22</v>
      </c>
      <c r="L231" s="109">
        <v>15</v>
      </c>
      <c r="M231" s="127" t="str">
        <f t="shared" si="2"/>
        <v>none</v>
      </c>
      <c r="N231" s="109">
        <f>LEN(Tableau13[[#This Row],[LABEL]])</f>
        <v>3</v>
      </c>
      <c r="O231" s="109">
        <v>15</v>
      </c>
      <c r="P231" s="109" t="e">
        <f>ROUND(Tableau13[[#This Row],[LEN]]*#REF!+#REF!,0)</f>
        <v>#REF!</v>
      </c>
    </row>
    <row r="232" spans="1:16" s="97" customFormat="1" x14ac:dyDescent="0.25">
      <c r="A232" s="29" t="s">
        <v>832</v>
      </c>
      <c r="B232" s="30" t="s">
        <v>771</v>
      </c>
      <c r="C232" s="31" t="s">
        <v>836</v>
      </c>
      <c r="D232" s="71" t="s">
        <v>28</v>
      </c>
      <c r="E232" s="31" t="s">
        <v>663</v>
      </c>
      <c r="F232" s="31" t="s">
        <v>663</v>
      </c>
      <c r="G232" s="71" t="s">
        <v>166</v>
      </c>
      <c r="H232" s="85" t="s">
        <v>654</v>
      </c>
      <c r="I232" s="31"/>
      <c r="J232" s="103" t="s">
        <v>708</v>
      </c>
      <c r="K232" s="110">
        <f>ROUND(Tableau13[[#This Row],[LEN]]*7.27,0)</f>
        <v>131</v>
      </c>
      <c r="L232" s="110">
        <v>15</v>
      </c>
      <c r="M232" s="128" t="str">
        <f t="shared" si="2"/>
        <v>none</v>
      </c>
      <c r="N232" s="111">
        <f>LEN(Tableau13[[#This Row],[LABEL]])</f>
        <v>18</v>
      </c>
      <c r="O232" s="111">
        <v>15</v>
      </c>
      <c r="P232" s="111" t="e">
        <f>ROUND(Tableau13[[#This Row],[LEN]]*#REF!+#REF!,0)</f>
        <v>#REF!</v>
      </c>
    </row>
    <row r="233" spans="1:16" s="97" customFormat="1" x14ac:dyDescent="0.25">
      <c r="A233" s="29" t="s">
        <v>833</v>
      </c>
      <c r="B233" s="30" t="s">
        <v>771</v>
      </c>
      <c r="C233" s="31" t="s">
        <v>837</v>
      </c>
      <c r="D233" s="71" t="s">
        <v>28</v>
      </c>
      <c r="E233" s="31" t="s">
        <v>663</v>
      </c>
      <c r="F233" s="31" t="s">
        <v>663</v>
      </c>
      <c r="G233" s="71" t="s">
        <v>166</v>
      </c>
      <c r="H233" s="85" t="s">
        <v>654</v>
      </c>
      <c r="I233" s="31"/>
      <c r="J233" s="103" t="s">
        <v>708</v>
      </c>
      <c r="K233" s="110">
        <f>ROUND(Tableau13[[#This Row],[LEN]]*7.27,0)</f>
        <v>174</v>
      </c>
      <c r="L233" s="110">
        <v>15</v>
      </c>
      <c r="M233" s="128" t="str">
        <f t="shared" si="2"/>
        <v>none</v>
      </c>
      <c r="N233" s="111">
        <f>LEN(Tableau13[[#This Row],[LABEL]])</f>
        <v>24</v>
      </c>
      <c r="O233" s="111">
        <v>15</v>
      </c>
      <c r="P233" s="111" t="e">
        <f>ROUND(Tableau13[[#This Row],[LEN]]*#REF!+#REF!,0)</f>
        <v>#REF!</v>
      </c>
    </row>
    <row r="234" spans="1:16" s="97" customFormat="1" x14ac:dyDescent="0.25">
      <c r="A234" s="29" t="s">
        <v>834</v>
      </c>
      <c r="B234" s="30" t="s">
        <v>771</v>
      </c>
      <c r="C234" s="31" t="s">
        <v>838</v>
      </c>
      <c r="D234" s="71" t="s">
        <v>28</v>
      </c>
      <c r="E234" s="31" t="s">
        <v>663</v>
      </c>
      <c r="F234" s="31" t="s">
        <v>663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ROUND(Tableau13[[#This Row],[LEN]]*7.27,0)</f>
        <v>167</v>
      </c>
      <c r="L234" s="110">
        <v>15</v>
      </c>
      <c r="M234" s="128" t="str">
        <f>IF(J234="javascript:void(0)","none","new")</f>
        <v>none</v>
      </c>
      <c r="N234" s="111">
        <f>LEN(Tableau13[[#This Row],[LABEL]])</f>
        <v>23</v>
      </c>
      <c r="O234" s="111">
        <v>15</v>
      </c>
      <c r="P234" s="111" t="e">
        <f>ROUND(Tableau13[[#This Row],[LEN]]*#REF!+#REF!,0)</f>
        <v>#REF!</v>
      </c>
    </row>
    <row r="235" spans="1:16" s="97" customFormat="1" x14ac:dyDescent="0.25">
      <c r="A235" s="29" t="s">
        <v>835</v>
      </c>
      <c r="B235" s="30" t="s">
        <v>771</v>
      </c>
      <c r="C235" s="31" t="s">
        <v>839</v>
      </c>
      <c r="D235" s="71" t="s">
        <v>28</v>
      </c>
      <c r="E235" s="31" t="s">
        <v>663</v>
      </c>
      <c r="F235" s="31" t="s">
        <v>663</v>
      </c>
      <c r="G235" s="71" t="s">
        <v>166</v>
      </c>
      <c r="H235" s="85" t="s">
        <v>656</v>
      </c>
      <c r="I235" s="31"/>
      <c r="J235" s="103" t="s">
        <v>708</v>
      </c>
      <c r="K235" s="110">
        <f>ROUND(Tableau13[[#This Row],[LEN]]*7.27,0)</f>
        <v>138</v>
      </c>
      <c r="L235" s="110">
        <v>15</v>
      </c>
      <c r="M235" s="128" t="str">
        <f>IF(J235="javascript:void(0)","none","new")</f>
        <v>none</v>
      </c>
      <c r="N235" s="111">
        <f>LEN(Tableau13[[#This Row],[LABEL]])</f>
        <v>19</v>
      </c>
      <c r="O235" s="111">
        <v>15</v>
      </c>
      <c r="P235" s="111" t="e">
        <f>ROUND(Tableau13[[#This Row],[LEN]]*#REF!+#REF!,0)</f>
        <v>#REF!</v>
      </c>
    </row>
    <row r="236" spans="1:16" s="97" customFormat="1" x14ac:dyDescent="0.25">
      <c r="A236" s="25" t="s">
        <v>772</v>
      </c>
      <c r="B236" s="26" t="s">
        <v>249</v>
      </c>
      <c r="C236" s="27" t="s">
        <v>780</v>
      </c>
      <c r="D236" s="70" t="s">
        <v>28</v>
      </c>
      <c r="E236" s="27" t="s">
        <v>663</v>
      </c>
      <c r="F236" s="27" t="s">
        <v>663</v>
      </c>
      <c r="G236" s="70" t="s">
        <v>166</v>
      </c>
      <c r="H236" s="70" t="s">
        <v>656</v>
      </c>
      <c r="I236" s="27"/>
      <c r="J236" s="28" t="s">
        <v>708</v>
      </c>
      <c r="K236" s="109">
        <f>ROUND(Tableau13[[#This Row],[LEN]]*7.27,0)</f>
        <v>385</v>
      </c>
      <c r="L236" s="109">
        <v>15</v>
      </c>
      <c r="M236" s="127" t="str">
        <f t="shared" si="2"/>
        <v>none</v>
      </c>
      <c r="N236" s="109">
        <f>LEN(Tableau13[[#This Row],[LABEL]])</f>
        <v>53</v>
      </c>
      <c r="O236" s="109">
        <v>15</v>
      </c>
      <c r="P236" s="109" t="e">
        <f>ROUND(Tableau13[[#This Row],[LEN]]*#REF!+#REF!,0)</f>
        <v>#REF!</v>
      </c>
    </row>
    <row r="237" spans="1:16" s="97" customFormat="1" x14ac:dyDescent="0.25">
      <c r="A237" s="25" t="s">
        <v>773</v>
      </c>
      <c r="B237" s="26" t="s">
        <v>249</v>
      </c>
      <c r="C237" s="27" t="s">
        <v>1167</v>
      </c>
      <c r="D237" s="70" t="s">
        <v>486</v>
      </c>
      <c r="E237" s="27" t="s">
        <v>1085</v>
      </c>
      <c r="F237" s="27" t="s">
        <v>1084</v>
      </c>
      <c r="G237" s="70" t="s">
        <v>166</v>
      </c>
      <c r="H237" s="70" t="s">
        <v>1131</v>
      </c>
      <c r="I237" s="27"/>
      <c r="J237" s="28" t="s">
        <v>708</v>
      </c>
      <c r="K237" s="109">
        <f>ROUND(Tableau13[[#This Row],[LEN]]*7.27,0)</f>
        <v>196</v>
      </c>
      <c r="L237" s="109">
        <v>15</v>
      </c>
      <c r="M237" s="127" t="str">
        <f t="shared" si="2"/>
        <v>none</v>
      </c>
      <c r="N237" s="109">
        <f>LEN(Tableau13[[#This Row],[LABEL]])</f>
        <v>27</v>
      </c>
      <c r="O237" s="109">
        <v>15</v>
      </c>
      <c r="P237" s="109" t="e">
        <f>ROUND(Tableau13[[#This Row],[LEN]]*#REF!+#REF!,0)</f>
        <v>#REF!</v>
      </c>
    </row>
    <row r="238" spans="1:16" s="97" customFormat="1" x14ac:dyDescent="0.25">
      <c r="A238" s="29" t="s">
        <v>1201</v>
      </c>
      <c r="B238" s="30" t="s">
        <v>773</v>
      </c>
      <c r="C238" s="31" t="s">
        <v>93</v>
      </c>
      <c r="D238" s="71" t="s">
        <v>28</v>
      </c>
      <c r="E238" s="31" t="s">
        <v>1085</v>
      </c>
      <c r="F238" s="31" t="s">
        <v>1084</v>
      </c>
      <c r="G238" s="71" t="s">
        <v>166</v>
      </c>
      <c r="H238" s="85" t="s">
        <v>18</v>
      </c>
      <c r="I238" s="31"/>
      <c r="J238" s="103" t="s">
        <v>101</v>
      </c>
      <c r="K238" s="110">
        <f>ROUND(Tableau13[[#This Row],[LEN]]*7.27,0)</f>
        <v>109</v>
      </c>
      <c r="L238" s="110">
        <v>15</v>
      </c>
      <c r="M238" s="128" t="str">
        <f t="shared" si="2"/>
        <v>new</v>
      </c>
      <c r="N238" s="111">
        <f>LEN(Tableau13[[#This Row],[LABEL]])</f>
        <v>15</v>
      </c>
      <c r="O238" s="111">
        <v>15</v>
      </c>
      <c r="P238" s="111" t="e">
        <f>ROUND(Tableau13[[#This Row],[LEN]]*#REF!+#REF!,0)</f>
        <v>#REF!</v>
      </c>
    </row>
    <row r="239" spans="1:16" s="97" customFormat="1" x14ac:dyDescent="0.25">
      <c r="A239" s="29" t="s">
        <v>1202</v>
      </c>
      <c r="B239" s="30" t="s">
        <v>773</v>
      </c>
      <c r="C239" s="31" t="s">
        <v>94</v>
      </c>
      <c r="D239" s="71" t="s">
        <v>28</v>
      </c>
      <c r="E239" s="31" t="s">
        <v>1085</v>
      </c>
      <c r="F239" s="31" t="s">
        <v>1084</v>
      </c>
      <c r="G239" s="71" t="s">
        <v>166</v>
      </c>
      <c r="H239" s="85" t="s">
        <v>18</v>
      </c>
      <c r="I239" s="31"/>
      <c r="J239" s="103" t="s">
        <v>102</v>
      </c>
      <c r="K239" s="110">
        <f>ROUND(Tableau13[[#This Row],[LEN]]*7.27,0)</f>
        <v>58</v>
      </c>
      <c r="L239" s="110">
        <v>15</v>
      </c>
      <c r="M239" s="128" t="str">
        <f t="shared" si="2"/>
        <v>new</v>
      </c>
      <c r="N239" s="111">
        <f>LEN(Tableau13[[#This Row],[LABEL]])</f>
        <v>8</v>
      </c>
      <c r="O239" s="111">
        <v>15</v>
      </c>
      <c r="P239" s="111" t="e">
        <f>ROUND(Tableau13[[#This Row],[LEN]]*#REF!+#REF!,0)</f>
        <v>#REF!</v>
      </c>
    </row>
    <row r="240" spans="1:16" s="273" customFormat="1" x14ac:dyDescent="0.25">
      <c r="A240" s="288" t="s">
        <v>250</v>
      </c>
      <c r="B240" s="289" t="s">
        <v>206</v>
      </c>
      <c r="C240" s="290" t="s">
        <v>2</v>
      </c>
      <c r="D240" s="291" t="s">
        <v>28</v>
      </c>
      <c r="E240" s="290" t="s">
        <v>662</v>
      </c>
      <c r="F240" s="290" t="s">
        <v>662</v>
      </c>
      <c r="G240" s="291" t="s">
        <v>166</v>
      </c>
      <c r="H240" s="291" t="str">
        <f>IFERROR(IF(SEARCH(".00.00.00.00.00",Tableau13[[#This Row],[name]],1)=7,"Division",""),"")</f>
        <v>Division</v>
      </c>
      <c r="I240" s="290"/>
      <c r="J240" s="292" t="s">
        <v>710</v>
      </c>
      <c r="K240" s="293">
        <f>ROUND(Tableau13[[#This Row],[LEN]]*7.27,0)</f>
        <v>65</v>
      </c>
      <c r="L240" s="293">
        <v>15</v>
      </c>
      <c r="M240" s="294" t="str">
        <f t="shared" si="2"/>
        <v>new</v>
      </c>
      <c r="N240" s="293">
        <f>LEN(Tableau13[[#This Row],[LABEL]])</f>
        <v>9</v>
      </c>
      <c r="O240" s="293">
        <v>15</v>
      </c>
      <c r="P240" s="293" t="e">
        <f>ROUND(Tableau13[[#This Row],[LEN]]*#REF!+#REF!,0)</f>
        <v>#REF!</v>
      </c>
    </row>
    <row r="241" spans="1:16" s="273" customFormat="1" x14ac:dyDescent="0.25">
      <c r="A241" s="288" t="s">
        <v>251</v>
      </c>
      <c r="B241" s="289" t="s">
        <v>206</v>
      </c>
      <c r="C241" s="290" t="s">
        <v>3</v>
      </c>
      <c r="D241" s="291" t="s">
        <v>28</v>
      </c>
      <c r="E241" s="290" t="s">
        <v>661</v>
      </c>
      <c r="F241" s="290" t="s">
        <v>661</v>
      </c>
      <c r="G241" s="291" t="s">
        <v>166</v>
      </c>
      <c r="H241" s="291" t="str">
        <f>IFERROR(IF(SEARCH(".00.00.00.00.00",Tableau13[[#This Row],[name]],1)=7,"Division",""),"")</f>
        <v>Division</v>
      </c>
      <c r="I241" s="290"/>
      <c r="J241" s="292" t="s">
        <v>711</v>
      </c>
      <c r="K241" s="293">
        <f>ROUND(Tableau13[[#This Row],[LEN]]*7.27,0)</f>
        <v>73</v>
      </c>
      <c r="L241" s="293">
        <v>15</v>
      </c>
      <c r="M241" s="294" t="str">
        <f t="shared" si="2"/>
        <v>new</v>
      </c>
      <c r="N241" s="293">
        <f>LEN(Tableau13[[#This Row],[LABEL]])</f>
        <v>10</v>
      </c>
      <c r="O241" s="293">
        <v>15</v>
      </c>
      <c r="P241" s="293" t="e">
        <f>ROUND(Tableau13[[#This Row],[LEN]]*#REF!+#REF!,0)</f>
        <v>#REF!</v>
      </c>
    </row>
    <row r="242" spans="1:16" s="97" customFormat="1" x14ac:dyDescent="0.25">
      <c r="A242" s="25" t="s">
        <v>396</v>
      </c>
      <c r="B242" s="26" t="s">
        <v>251</v>
      </c>
      <c r="C242" s="27" t="s">
        <v>86</v>
      </c>
      <c r="D242" s="70" t="s">
        <v>28</v>
      </c>
      <c r="E242" s="27" t="s">
        <v>661</v>
      </c>
      <c r="F242" s="27" t="s">
        <v>1068</v>
      </c>
      <c r="G242" s="70" t="s">
        <v>166</v>
      </c>
      <c r="H242" s="70" t="s">
        <v>570</v>
      </c>
      <c r="I242" s="27"/>
      <c r="J242" s="28" t="s">
        <v>708</v>
      </c>
      <c r="K242" s="109">
        <f>ROUND(Tableau13[[#This Row],[LEN]]*7.27,0)</f>
        <v>269</v>
      </c>
      <c r="L242" s="109">
        <v>15</v>
      </c>
      <c r="M242" s="127" t="str">
        <f t="shared" si="2"/>
        <v>none</v>
      </c>
      <c r="N242" s="109">
        <f>LEN(Tableau13[[#This Row],[LABEL]])</f>
        <v>37</v>
      </c>
      <c r="O242" s="109">
        <v>15</v>
      </c>
      <c r="P242" s="109" t="e">
        <f>ROUND(Tableau13[[#This Row],[LEN]]*#REF!+#REF!,0)</f>
        <v>#REF!</v>
      </c>
    </row>
    <row r="243" spans="1:16" s="97" customFormat="1" x14ac:dyDescent="0.25">
      <c r="A243" s="25" t="s">
        <v>397</v>
      </c>
      <c r="B243" s="26" t="s">
        <v>251</v>
      </c>
      <c r="C243" s="27" t="s">
        <v>87</v>
      </c>
      <c r="D243" s="70" t="s">
        <v>28</v>
      </c>
      <c r="E243" s="27" t="s">
        <v>661</v>
      </c>
      <c r="F243" s="27" t="s">
        <v>661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ROUND(Tableau13[[#This Row],[LEN]]*7.27,0)</f>
        <v>182</v>
      </c>
      <c r="L243" s="109">
        <v>15</v>
      </c>
      <c r="M243" s="127" t="str">
        <f t="shared" si="2"/>
        <v>none</v>
      </c>
      <c r="N243" s="109">
        <f>LEN(Tableau13[[#This Row],[LABEL]])</f>
        <v>25</v>
      </c>
      <c r="O243" s="109">
        <v>15</v>
      </c>
      <c r="P243" s="109" t="e">
        <f>ROUND(Tableau13[[#This Row],[LEN]]*#REF!+#REF!,0)</f>
        <v>#REF!</v>
      </c>
    </row>
    <row r="244" spans="1:16" s="97" customFormat="1" x14ac:dyDescent="0.25">
      <c r="A244" s="25" t="s">
        <v>398</v>
      </c>
      <c r="B244" s="26" t="s">
        <v>251</v>
      </c>
      <c r="C244" s="27" t="s">
        <v>88</v>
      </c>
      <c r="D244" s="70" t="s">
        <v>28</v>
      </c>
      <c r="E244" s="27" t="s">
        <v>667</v>
      </c>
      <c r="F244" s="27" t="s">
        <v>1218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ROUND(Tableau13[[#This Row],[LEN]]*7.27,0)</f>
        <v>342</v>
      </c>
      <c r="L244" s="109">
        <v>15</v>
      </c>
      <c r="M244" s="127" t="str">
        <f t="shared" si="2"/>
        <v>none</v>
      </c>
      <c r="N244" s="109">
        <f>LEN(Tableau13[[#This Row],[LABEL]])</f>
        <v>47</v>
      </c>
      <c r="O244" s="109">
        <v>15</v>
      </c>
      <c r="P244" s="109" t="e">
        <f>ROUND(Tableau13[[#This Row],[LEN]]*#REF!+#REF!,0)</f>
        <v>#REF!</v>
      </c>
    </row>
    <row r="245" spans="1:16" s="97" customFormat="1" x14ac:dyDescent="0.25">
      <c r="A245" s="25" t="s">
        <v>399</v>
      </c>
      <c r="B245" s="26" t="s">
        <v>251</v>
      </c>
      <c r="C245" s="27" t="s">
        <v>89</v>
      </c>
      <c r="D245" s="70" t="s">
        <v>28</v>
      </c>
      <c r="E245" s="27" t="s">
        <v>661</v>
      </c>
      <c r="F245" s="27" t="s">
        <v>661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ROUND(Tableau13[[#This Row],[LEN]]*7.27,0)</f>
        <v>262</v>
      </c>
      <c r="L245" s="109">
        <v>15</v>
      </c>
      <c r="M245" s="127" t="str">
        <f t="shared" si="2"/>
        <v>none</v>
      </c>
      <c r="N245" s="109">
        <f>LEN(Tableau13[[#This Row],[LABEL]])</f>
        <v>36</v>
      </c>
      <c r="O245" s="109">
        <v>15</v>
      </c>
      <c r="P245" s="109" t="e">
        <f>ROUND(Tableau13[[#This Row],[LEN]]*#REF!+#REF!,0)</f>
        <v>#REF!</v>
      </c>
    </row>
    <row r="246" spans="1:16" s="97" customFormat="1" x14ac:dyDescent="0.25">
      <c r="A246" s="25" t="s">
        <v>400</v>
      </c>
      <c r="B246" s="26" t="s">
        <v>251</v>
      </c>
      <c r="C246" s="27" t="s">
        <v>1167</v>
      </c>
      <c r="D246" s="70" t="s">
        <v>486</v>
      </c>
      <c r="E246" s="27" t="s">
        <v>1085</v>
      </c>
      <c r="F246" s="27" t="s">
        <v>1084</v>
      </c>
      <c r="G246" s="70" t="s">
        <v>166</v>
      </c>
      <c r="H246" s="70" t="s">
        <v>1131</v>
      </c>
      <c r="I246" s="27"/>
      <c r="J246" s="28" t="s">
        <v>708</v>
      </c>
      <c r="K246" s="109">
        <f>ROUND(Tableau13[[#This Row],[LEN]]*7.27,0)</f>
        <v>196</v>
      </c>
      <c r="L246" s="109">
        <v>15</v>
      </c>
      <c r="M246" s="127" t="str">
        <f t="shared" si="2"/>
        <v>none</v>
      </c>
      <c r="N246" s="109">
        <f>LEN(Tableau13[[#This Row],[LABEL]])</f>
        <v>27</v>
      </c>
      <c r="O246" s="109">
        <v>15</v>
      </c>
      <c r="P246" s="109" t="e">
        <f>ROUND(Tableau13[[#This Row],[LEN]]*#REF!+#REF!,0)</f>
        <v>#REF!</v>
      </c>
    </row>
    <row r="247" spans="1:16" s="97" customFormat="1" x14ac:dyDescent="0.25">
      <c r="A247" s="29" t="s">
        <v>412</v>
      </c>
      <c r="B247" s="30" t="s">
        <v>400</v>
      </c>
      <c r="C247" s="31" t="s">
        <v>93</v>
      </c>
      <c r="D247" s="71" t="s">
        <v>28</v>
      </c>
      <c r="E247" s="31" t="s">
        <v>661</v>
      </c>
      <c r="F247" s="31" t="s">
        <v>661</v>
      </c>
      <c r="G247" s="71" t="s">
        <v>166</v>
      </c>
      <c r="H247" s="71" t="s">
        <v>18</v>
      </c>
      <c r="I247" s="31"/>
      <c r="J247" s="32" t="s">
        <v>101</v>
      </c>
      <c r="K247" s="111">
        <f>ROUND(Tableau13[[#This Row],[LEN]]*7.27,0)</f>
        <v>109</v>
      </c>
      <c r="L247" s="111">
        <v>15</v>
      </c>
      <c r="M247" s="128" t="str">
        <f t="shared" si="2"/>
        <v>new</v>
      </c>
      <c r="N247" s="111">
        <f>LEN(Tableau13[[#This Row],[LABEL]])</f>
        <v>15</v>
      </c>
      <c r="O247" s="111">
        <v>15</v>
      </c>
      <c r="P247" s="111" t="e">
        <f>ROUND(Tableau13[[#This Row],[LEN]]*#REF!+#REF!,0)</f>
        <v>#REF!</v>
      </c>
    </row>
    <row r="248" spans="1:16" s="97" customFormat="1" x14ac:dyDescent="0.25">
      <c r="A248" s="29" t="s">
        <v>413</v>
      </c>
      <c r="B248" s="30" t="s">
        <v>400</v>
      </c>
      <c r="C248" s="31" t="s">
        <v>94</v>
      </c>
      <c r="D248" s="71" t="s">
        <v>28</v>
      </c>
      <c r="E248" s="31" t="s">
        <v>661</v>
      </c>
      <c r="F248" s="31" t="s">
        <v>661</v>
      </c>
      <c r="G248" s="71" t="s">
        <v>166</v>
      </c>
      <c r="H248" s="71" t="s">
        <v>18</v>
      </c>
      <c r="I248" s="31"/>
      <c r="J248" s="32" t="s">
        <v>102</v>
      </c>
      <c r="K248" s="111">
        <f>ROUND(Tableau13[[#This Row],[LEN]]*7.27,0)</f>
        <v>58</v>
      </c>
      <c r="L248" s="111">
        <v>15</v>
      </c>
      <c r="M248" s="128" t="str">
        <f t="shared" si="2"/>
        <v>new</v>
      </c>
      <c r="N248" s="111">
        <f>LEN(Tableau13[[#This Row],[LABEL]])</f>
        <v>8</v>
      </c>
      <c r="O248" s="111">
        <v>15</v>
      </c>
      <c r="P248" s="111" t="e">
        <f>ROUND(Tableau13[[#This Row],[LEN]]*#REF!+#REF!,0)</f>
        <v>#REF!</v>
      </c>
    </row>
    <row r="249" spans="1:16" s="97" customFormat="1" x14ac:dyDescent="0.25">
      <c r="A249" s="25" t="s">
        <v>401</v>
      </c>
      <c r="B249" s="26" t="s">
        <v>251</v>
      </c>
      <c r="C249" s="27" t="s">
        <v>90</v>
      </c>
      <c r="D249" s="70" t="s">
        <v>28</v>
      </c>
      <c r="E249" s="27" t="s">
        <v>661</v>
      </c>
      <c r="F249" s="27" t="s">
        <v>661</v>
      </c>
      <c r="G249" s="70" t="s">
        <v>166</v>
      </c>
      <c r="H249" s="70" t="s">
        <v>654</v>
      </c>
      <c r="I249" s="27"/>
      <c r="J249" s="28" t="s">
        <v>708</v>
      </c>
      <c r="K249" s="109">
        <f>ROUND(Tableau13[[#This Row],[LEN]]*7.27,0)</f>
        <v>284</v>
      </c>
      <c r="L249" s="109">
        <v>15</v>
      </c>
      <c r="M249" s="127" t="str">
        <f t="shared" si="2"/>
        <v>none</v>
      </c>
      <c r="N249" s="109">
        <f>LEN(Tableau13[[#This Row],[LABEL]])</f>
        <v>39</v>
      </c>
      <c r="O249" s="109">
        <v>15</v>
      </c>
      <c r="P249" s="109" t="e">
        <f>ROUND(Tableau13[[#This Row],[LEN]]*#REF!+#REF!,0)</f>
        <v>#REF!</v>
      </c>
    </row>
    <row r="250" spans="1:16" s="97" customFormat="1" x14ac:dyDescent="0.25">
      <c r="A250" s="25" t="s">
        <v>402</v>
      </c>
      <c r="B250" s="26" t="s">
        <v>251</v>
      </c>
      <c r="C250" s="27" t="s">
        <v>778</v>
      </c>
      <c r="D250" s="70" t="s">
        <v>28</v>
      </c>
      <c r="E250" s="27" t="s">
        <v>673</v>
      </c>
      <c r="F250" s="27" t="s">
        <v>785</v>
      </c>
      <c r="G250" s="70" t="s">
        <v>166</v>
      </c>
      <c r="H250" s="70" t="s">
        <v>17</v>
      </c>
      <c r="I250" s="27"/>
      <c r="J250" s="28" t="s">
        <v>708</v>
      </c>
      <c r="K250" s="109">
        <f>ROUND(Tableau13[[#This Row],[LEN]]*7.27,0)</f>
        <v>211</v>
      </c>
      <c r="L250" s="109">
        <v>15</v>
      </c>
      <c r="M250" s="127" t="str">
        <f t="shared" si="2"/>
        <v>none</v>
      </c>
      <c r="N250" s="109">
        <f>LEN(Tableau13[[#This Row],[LABEL]])</f>
        <v>29</v>
      </c>
      <c r="O250" s="109">
        <v>15</v>
      </c>
      <c r="P250" s="109" t="e">
        <f>ROUND(Tableau13[[#This Row],[LEN]]*#REF!+#REF!,0)</f>
        <v>#REF!</v>
      </c>
    </row>
    <row r="251" spans="1:16" s="97" customFormat="1" x14ac:dyDescent="0.25">
      <c r="A251" s="25" t="s">
        <v>403</v>
      </c>
      <c r="B251" s="26" t="s">
        <v>251</v>
      </c>
      <c r="C251" s="27" t="s">
        <v>92</v>
      </c>
      <c r="D251" s="70" t="s">
        <v>28</v>
      </c>
      <c r="E251" s="27" t="s">
        <v>663</v>
      </c>
      <c r="F251" s="27" t="s">
        <v>786</v>
      </c>
      <c r="G251" s="70" t="s">
        <v>166</v>
      </c>
      <c r="H251" s="70" t="s">
        <v>655</v>
      </c>
      <c r="I251" s="27"/>
      <c r="J251" s="28" t="s">
        <v>708</v>
      </c>
      <c r="K251" s="109">
        <f>ROUND(Tableau13[[#This Row],[LEN]]*7.27,0)</f>
        <v>262</v>
      </c>
      <c r="L251" s="109">
        <v>15</v>
      </c>
      <c r="M251" s="127" t="str">
        <f t="shared" si="2"/>
        <v>none</v>
      </c>
      <c r="N251" s="109">
        <f>LEN(Tableau13[[#This Row],[LABEL]])</f>
        <v>36</v>
      </c>
      <c r="O251" s="109">
        <v>15</v>
      </c>
      <c r="P251" s="109" t="e">
        <f>ROUND(Tableau13[[#This Row],[LEN]]*#REF!+#REF!,0)</f>
        <v>#REF!</v>
      </c>
    </row>
    <row r="252" spans="1:16" s="97" customFormat="1" x14ac:dyDescent="0.25">
      <c r="A252" s="29" t="s">
        <v>414</v>
      </c>
      <c r="B252" s="30" t="s">
        <v>403</v>
      </c>
      <c r="C252" s="31" t="s">
        <v>95</v>
      </c>
      <c r="D252" s="71" t="s">
        <v>28</v>
      </c>
      <c r="E252" s="31" t="s">
        <v>663</v>
      </c>
      <c r="F252" s="31" t="s">
        <v>786</v>
      </c>
      <c r="G252" s="71" t="s">
        <v>166</v>
      </c>
      <c r="H252" s="71" t="s">
        <v>17</v>
      </c>
      <c r="I252" s="31"/>
      <c r="J252" s="32" t="s">
        <v>708</v>
      </c>
      <c r="K252" s="111">
        <f>ROUND(Tableau13[[#This Row],[LEN]]*7.27,0)</f>
        <v>254</v>
      </c>
      <c r="L252" s="111">
        <v>15</v>
      </c>
      <c r="M252" s="128" t="str">
        <f t="shared" si="2"/>
        <v>none</v>
      </c>
      <c r="N252" s="111">
        <f>LEN(Tableau13[[#This Row],[LABEL]])</f>
        <v>35</v>
      </c>
      <c r="O252" s="111">
        <v>15</v>
      </c>
      <c r="P252" s="111" t="e">
        <f>ROUND(Tableau13[[#This Row],[LEN]]*#REF!+#REF!,0)</f>
        <v>#REF!</v>
      </c>
    </row>
    <row r="253" spans="1:16" s="97" customFormat="1" x14ac:dyDescent="0.25">
      <c r="A253" s="29" t="s">
        <v>415</v>
      </c>
      <c r="B253" s="30" t="s">
        <v>403</v>
      </c>
      <c r="C253" s="31" t="s">
        <v>96</v>
      </c>
      <c r="D253" s="71" t="s">
        <v>28</v>
      </c>
      <c r="E253" s="31" t="s">
        <v>663</v>
      </c>
      <c r="F253" s="31" t="s">
        <v>786</v>
      </c>
      <c r="G253" s="71" t="s">
        <v>166</v>
      </c>
      <c r="H253" s="71" t="s">
        <v>570</v>
      </c>
      <c r="I253" s="31"/>
      <c r="J253" s="32" t="s">
        <v>708</v>
      </c>
      <c r="K253" s="111">
        <f>ROUND(Tableau13[[#This Row],[LEN]]*7.27,0)</f>
        <v>233</v>
      </c>
      <c r="L253" s="111">
        <v>15</v>
      </c>
      <c r="M253" s="128" t="str">
        <f t="shared" si="2"/>
        <v>none</v>
      </c>
      <c r="N253" s="111">
        <f>LEN(Tableau13[[#This Row],[LABEL]])</f>
        <v>32</v>
      </c>
      <c r="O253" s="111">
        <v>15</v>
      </c>
      <c r="P253" s="111" t="e">
        <f>ROUND(Tableau13[[#This Row],[LEN]]*#REF!+#REF!,0)</f>
        <v>#REF!</v>
      </c>
    </row>
    <row r="254" spans="1:16" s="97" customFormat="1" x14ac:dyDescent="0.25">
      <c r="A254" s="29" t="s">
        <v>416</v>
      </c>
      <c r="B254" s="30" t="s">
        <v>403</v>
      </c>
      <c r="C254" s="31" t="s">
        <v>97</v>
      </c>
      <c r="D254" s="71" t="s">
        <v>28</v>
      </c>
      <c r="E254" s="31" t="s">
        <v>663</v>
      </c>
      <c r="F254" s="31" t="s">
        <v>786</v>
      </c>
      <c r="G254" s="71" t="s">
        <v>166</v>
      </c>
      <c r="H254" s="71" t="s">
        <v>656</v>
      </c>
      <c r="I254" s="31"/>
      <c r="J254" s="32" t="s">
        <v>708</v>
      </c>
      <c r="K254" s="111">
        <f>ROUND(Tableau13[[#This Row],[LEN]]*7.27,0)</f>
        <v>145</v>
      </c>
      <c r="L254" s="111">
        <v>15</v>
      </c>
      <c r="M254" s="128" t="str">
        <f t="shared" si="2"/>
        <v>none</v>
      </c>
      <c r="N254" s="111">
        <f>LEN(Tableau13[[#This Row],[LABEL]])</f>
        <v>20</v>
      </c>
      <c r="O254" s="111">
        <v>15</v>
      </c>
      <c r="P254" s="111" t="e">
        <f>ROUND(Tableau13[[#This Row],[LEN]]*#REF!+#REF!,0)</f>
        <v>#REF!</v>
      </c>
    </row>
    <row r="255" spans="1:16" s="97" customFormat="1" x14ac:dyDescent="0.25">
      <c r="A255" s="25" t="s">
        <v>404</v>
      </c>
      <c r="B255" s="26" t="s">
        <v>251</v>
      </c>
      <c r="C255" s="27" t="s">
        <v>91</v>
      </c>
      <c r="D255" s="70" t="s">
        <v>28</v>
      </c>
      <c r="E255" s="27" t="s">
        <v>663</v>
      </c>
      <c r="F255" s="27" t="s">
        <v>786</v>
      </c>
      <c r="G255" s="70" t="s">
        <v>166</v>
      </c>
      <c r="H255" s="70" t="s">
        <v>655</v>
      </c>
      <c r="I255" s="27"/>
      <c r="J255" s="28" t="s">
        <v>708</v>
      </c>
      <c r="K255" s="109">
        <f>ROUND(Tableau13[[#This Row],[LEN]]*7.27,0)</f>
        <v>269</v>
      </c>
      <c r="L255" s="109">
        <v>15</v>
      </c>
      <c r="M255" s="127" t="str">
        <f t="shared" si="2"/>
        <v>none</v>
      </c>
      <c r="N255" s="109">
        <f>LEN(Tableau13[[#This Row],[LABEL]])</f>
        <v>37</v>
      </c>
      <c r="O255" s="109">
        <v>15</v>
      </c>
      <c r="P255" s="109" t="e">
        <f>ROUND(Tableau13[[#This Row],[LEN]]*#REF!+#REF!,0)</f>
        <v>#REF!</v>
      </c>
    </row>
    <row r="256" spans="1:16" s="97" customFormat="1" x14ac:dyDescent="0.25">
      <c r="A256" s="29" t="s">
        <v>417</v>
      </c>
      <c r="B256" s="30" t="s">
        <v>404</v>
      </c>
      <c r="C256" s="31" t="s">
        <v>98</v>
      </c>
      <c r="D256" s="71" t="s">
        <v>28</v>
      </c>
      <c r="E256" s="31" t="s">
        <v>663</v>
      </c>
      <c r="F256" s="31" t="s">
        <v>1358</v>
      </c>
      <c r="G256" s="71" t="s">
        <v>166</v>
      </c>
      <c r="H256" s="71" t="s">
        <v>18</v>
      </c>
      <c r="I256" s="31"/>
      <c r="J256" s="32" t="s">
        <v>708</v>
      </c>
      <c r="K256" s="111">
        <f>ROUND(Tableau13[[#This Row],[LEN]]*7.27,0)</f>
        <v>109</v>
      </c>
      <c r="L256" s="111">
        <v>15</v>
      </c>
      <c r="M256" s="128" t="str">
        <f t="shared" si="2"/>
        <v>none</v>
      </c>
      <c r="N256" s="111">
        <f>LEN(Tableau13[[#This Row],[LABEL]])</f>
        <v>15</v>
      </c>
      <c r="O256" s="111">
        <v>15</v>
      </c>
      <c r="P256" s="111" t="e">
        <f>ROUND(Tableau13[[#This Row],[LEN]]*#REF!+#REF!,0)</f>
        <v>#REF!</v>
      </c>
    </row>
    <row r="257" spans="1:16" s="97" customFormat="1" x14ac:dyDescent="0.25">
      <c r="A257" s="29" t="s">
        <v>418</v>
      </c>
      <c r="B257" s="30" t="s">
        <v>404</v>
      </c>
      <c r="C257" s="31" t="s">
        <v>99</v>
      </c>
      <c r="D257" s="71" t="s">
        <v>28</v>
      </c>
      <c r="E257" s="31" t="s">
        <v>663</v>
      </c>
      <c r="F257" s="31" t="s">
        <v>1358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ROUND(Tableau13[[#This Row],[LEN]]*7.27,0)</f>
        <v>80</v>
      </c>
      <c r="L257" s="111">
        <v>15</v>
      </c>
      <c r="M257" s="128" t="str">
        <f t="shared" si="2"/>
        <v>none</v>
      </c>
      <c r="N257" s="111">
        <f>LEN(Tableau13[[#This Row],[LABEL]])</f>
        <v>11</v>
      </c>
      <c r="O257" s="111">
        <v>15</v>
      </c>
      <c r="P257" s="111" t="e">
        <f>ROUND(Tableau13[[#This Row],[LEN]]*#REF!+#REF!,0)</f>
        <v>#REF!</v>
      </c>
    </row>
    <row r="258" spans="1:16" s="97" customFormat="1" x14ac:dyDescent="0.25">
      <c r="A258" s="25" t="s">
        <v>405</v>
      </c>
      <c r="B258" s="26" t="s">
        <v>251</v>
      </c>
      <c r="C258" s="27" t="s">
        <v>1167</v>
      </c>
      <c r="D258" s="70" t="s">
        <v>486</v>
      </c>
      <c r="E258" s="27" t="s">
        <v>1085</v>
      </c>
      <c r="F258" s="27" t="s">
        <v>1084</v>
      </c>
      <c r="G258" s="70" t="s">
        <v>166</v>
      </c>
      <c r="H258" s="70" t="s">
        <v>1131</v>
      </c>
      <c r="I258" s="27"/>
      <c r="J258" s="28" t="s">
        <v>708</v>
      </c>
      <c r="K258" s="109">
        <f>ROUND(Tableau13[[#This Row],[LEN]]*7.27,0)</f>
        <v>196</v>
      </c>
      <c r="L258" s="109">
        <v>15</v>
      </c>
      <c r="M258" s="127" t="str">
        <f t="shared" si="2"/>
        <v>none</v>
      </c>
      <c r="N258" s="109">
        <f>LEN(Tableau13[[#This Row],[LABEL]])</f>
        <v>27</v>
      </c>
      <c r="O258" s="109">
        <v>15</v>
      </c>
      <c r="P258" s="109" t="e">
        <f>ROUND(Tableau13[[#This Row],[LEN]]*#REF!+#REF!,0)</f>
        <v>#REF!</v>
      </c>
    </row>
    <row r="259" spans="1:16" s="97" customFormat="1" x14ac:dyDescent="0.25">
      <c r="A259" s="29" t="s">
        <v>1203</v>
      </c>
      <c r="B259" s="30" t="s">
        <v>405</v>
      </c>
      <c r="C259" s="31" t="s">
        <v>93</v>
      </c>
      <c r="D259" s="71" t="s">
        <v>28</v>
      </c>
      <c r="E259" s="31" t="s">
        <v>1085</v>
      </c>
      <c r="F259" s="31" t="s">
        <v>1084</v>
      </c>
      <c r="G259" s="71" t="s">
        <v>166</v>
      </c>
      <c r="H259" s="71" t="s">
        <v>18</v>
      </c>
      <c r="I259" s="31"/>
      <c r="J259" s="32" t="s">
        <v>101</v>
      </c>
      <c r="K259" s="111">
        <f>ROUND(Tableau13[[#This Row],[LEN]]*7.27,0)</f>
        <v>109</v>
      </c>
      <c r="L259" s="111">
        <v>15</v>
      </c>
      <c r="M259" s="128" t="str">
        <f t="shared" si="2"/>
        <v>new</v>
      </c>
      <c r="N259" s="111">
        <f>LEN(Tableau13[[#This Row],[LABEL]])</f>
        <v>15</v>
      </c>
      <c r="O259" s="111">
        <v>15</v>
      </c>
      <c r="P259" s="111" t="e">
        <f>ROUND(Tableau13[[#This Row],[LEN]]*#REF!+#REF!,0)</f>
        <v>#REF!</v>
      </c>
    </row>
    <row r="260" spans="1:16" s="97" customFormat="1" x14ac:dyDescent="0.25">
      <c r="A260" s="29" t="s">
        <v>1204</v>
      </c>
      <c r="B260" s="30" t="s">
        <v>405</v>
      </c>
      <c r="C260" s="31" t="s">
        <v>94</v>
      </c>
      <c r="D260" s="71" t="s">
        <v>28</v>
      </c>
      <c r="E260" s="31" t="s">
        <v>1085</v>
      </c>
      <c r="F260" s="31" t="s">
        <v>1084</v>
      </c>
      <c r="G260" s="71" t="s">
        <v>166</v>
      </c>
      <c r="H260" s="71" t="s">
        <v>18</v>
      </c>
      <c r="I260" s="31"/>
      <c r="J260" s="32" t="s">
        <v>102</v>
      </c>
      <c r="K260" s="111">
        <f>ROUND(Tableau13[[#This Row],[LEN]]*7.27,0)</f>
        <v>58</v>
      </c>
      <c r="L260" s="111">
        <v>15</v>
      </c>
      <c r="M260" s="128" t="str">
        <f t="shared" si="2"/>
        <v>new</v>
      </c>
      <c r="N260" s="111">
        <f>LEN(Tableau13[[#This Row],[LABEL]])</f>
        <v>8</v>
      </c>
      <c r="O260" s="111">
        <v>15</v>
      </c>
      <c r="P260" s="111" t="e">
        <f>ROUND(Tableau13[[#This Row],[LEN]]*#REF!+#REF!,0)</f>
        <v>#REF!</v>
      </c>
    </row>
    <row r="261" spans="1:16" s="273" customFormat="1" x14ac:dyDescent="0.25">
      <c r="A261" s="288" t="s">
        <v>252</v>
      </c>
      <c r="B261" s="289" t="s">
        <v>206</v>
      </c>
      <c r="C261" s="290" t="s">
        <v>4</v>
      </c>
      <c r="D261" s="291" t="s">
        <v>28</v>
      </c>
      <c r="E261" s="290" t="s">
        <v>666</v>
      </c>
      <c r="F261" s="290" t="s">
        <v>666</v>
      </c>
      <c r="G261" s="291" t="s">
        <v>166</v>
      </c>
      <c r="H261" s="291" t="str">
        <f>IFERROR(IF(SEARCH(".00.00.00.00.00",Tableau13[[#This Row],[name]],1)=7,"Division",""),"")</f>
        <v>Division</v>
      </c>
      <c r="I261" s="290"/>
      <c r="J261" s="292" t="s">
        <v>712</v>
      </c>
      <c r="K261" s="293">
        <f>ROUND(Tableau13[[#This Row],[LEN]]*7.27,0)</f>
        <v>36</v>
      </c>
      <c r="L261" s="293">
        <v>15</v>
      </c>
      <c r="M261" s="294" t="str">
        <f t="shared" si="2"/>
        <v>new</v>
      </c>
      <c r="N261" s="293">
        <f>LEN(Tableau13[[#This Row],[LABEL]])</f>
        <v>5</v>
      </c>
      <c r="O261" s="293">
        <v>15</v>
      </c>
      <c r="P261" s="293" t="e">
        <f>ROUND(Tableau13[[#This Row],[LEN]]*#REF!+#REF!,0)</f>
        <v>#REF!</v>
      </c>
    </row>
    <row r="262" spans="1:16" s="97" customFormat="1" x14ac:dyDescent="0.25">
      <c r="A262" s="25" t="s">
        <v>1058</v>
      </c>
      <c r="B262" s="26" t="s">
        <v>252</v>
      </c>
      <c r="C262" s="27" t="s">
        <v>86</v>
      </c>
      <c r="D262" s="70" t="s">
        <v>28</v>
      </c>
      <c r="E262" s="27" t="s">
        <v>666</v>
      </c>
      <c r="F262" s="27" t="s">
        <v>1069</v>
      </c>
      <c r="G262" s="70" t="s">
        <v>166</v>
      </c>
      <c r="H262" s="70" t="s">
        <v>570</v>
      </c>
      <c r="I262" s="27"/>
      <c r="J262" s="28" t="s">
        <v>708</v>
      </c>
      <c r="K262" s="109">
        <f>ROUND(Tableau13[[#This Row],[LEN]]*7.27,0)</f>
        <v>269</v>
      </c>
      <c r="L262" s="109">
        <v>15</v>
      </c>
      <c r="M262" s="127" t="str">
        <f t="shared" si="2"/>
        <v>none</v>
      </c>
      <c r="N262" s="109">
        <f>LEN(Tableau13[[#This Row],[LABEL]])</f>
        <v>37</v>
      </c>
      <c r="O262" s="109">
        <v>15</v>
      </c>
      <c r="P262" s="109" t="e">
        <f>ROUND(Tableau13[[#This Row],[LEN]]*#REF!+#REF!,0)</f>
        <v>#REF!</v>
      </c>
    </row>
    <row r="263" spans="1:16" s="97" customFormat="1" x14ac:dyDescent="0.25">
      <c r="A263" s="25" t="s">
        <v>1059</v>
      </c>
      <c r="B263" s="26" t="s">
        <v>252</v>
      </c>
      <c r="C263" s="27" t="s">
        <v>87</v>
      </c>
      <c r="D263" s="70" t="s">
        <v>28</v>
      </c>
      <c r="E263" s="27" t="s">
        <v>663</v>
      </c>
      <c r="F263" s="27" t="s">
        <v>681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ROUND(Tableau13[[#This Row],[LEN]]*7.27,0)</f>
        <v>182</v>
      </c>
      <c r="L263" s="109">
        <v>15</v>
      </c>
      <c r="M263" s="127" t="str">
        <f t="shared" si="2"/>
        <v>none</v>
      </c>
      <c r="N263" s="109">
        <f>LEN(Tableau13[[#This Row],[LABEL]])</f>
        <v>25</v>
      </c>
      <c r="O263" s="109">
        <v>15</v>
      </c>
      <c r="P263" s="109" t="e">
        <f>ROUND(Tableau13[[#This Row],[LEN]]*#REF!+#REF!,0)</f>
        <v>#REF!</v>
      </c>
    </row>
    <row r="264" spans="1:16" s="97" customFormat="1" x14ac:dyDescent="0.25">
      <c r="A264" s="25" t="s">
        <v>1060</v>
      </c>
      <c r="B264" s="26" t="s">
        <v>252</v>
      </c>
      <c r="C264" s="27" t="s">
        <v>88</v>
      </c>
      <c r="D264" s="70" t="s">
        <v>28</v>
      </c>
      <c r="E264" s="27" t="s">
        <v>667</v>
      </c>
      <c r="F264" s="27" t="s">
        <v>1218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ROUND(Tableau13[[#This Row],[LEN]]*7.27,0)</f>
        <v>342</v>
      </c>
      <c r="L264" s="109">
        <v>15</v>
      </c>
      <c r="M264" s="127" t="str">
        <f t="shared" si="2"/>
        <v>none</v>
      </c>
      <c r="N264" s="109">
        <f>LEN(Tableau13[[#This Row],[LABEL]])</f>
        <v>47</v>
      </c>
      <c r="O264" s="109">
        <v>15</v>
      </c>
      <c r="P264" s="109" t="e">
        <f>ROUND(Tableau13[[#This Row],[LEN]]*#REF!+#REF!,0)</f>
        <v>#REF!</v>
      </c>
    </row>
    <row r="265" spans="1:16" s="97" customFormat="1" x14ac:dyDescent="0.25">
      <c r="A265" s="25" t="s">
        <v>1061</v>
      </c>
      <c r="B265" s="26" t="s">
        <v>252</v>
      </c>
      <c r="C265" s="27" t="s">
        <v>1071</v>
      </c>
      <c r="D265" s="70" t="s">
        <v>28</v>
      </c>
      <c r="E265" s="27" t="s">
        <v>666</v>
      </c>
      <c r="F265" s="27" t="s">
        <v>784</v>
      </c>
      <c r="G265" s="70" t="s">
        <v>166</v>
      </c>
      <c r="H265" s="70" t="s">
        <v>655</v>
      </c>
      <c r="I265" s="27"/>
      <c r="J265" s="28" t="s">
        <v>708</v>
      </c>
      <c r="K265" s="109">
        <f>ROUND(Tableau13[[#This Row],[LEN]]*7.27,0)</f>
        <v>247</v>
      </c>
      <c r="L265" s="109">
        <v>15</v>
      </c>
      <c r="M265" s="127" t="str">
        <f t="shared" si="2"/>
        <v>none</v>
      </c>
      <c r="N265" s="109">
        <f>LEN(Tableau13[[#This Row],[LABEL]])</f>
        <v>34</v>
      </c>
      <c r="O265" s="109">
        <v>15</v>
      </c>
      <c r="P265" s="109" t="e">
        <f>ROUND(Tableau13[[#This Row],[LEN]]*#REF!+#REF!,0)</f>
        <v>#REF!</v>
      </c>
    </row>
    <row r="266" spans="1:16" s="97" customFormat="1" x14ac:dyDescent="0.25">
      <c r="A266" s="29" t="s">
        <v>1074</v>
      </c>
      <c r="B266" s="30" t="s">
        <v>1061</v>
      </c>
      <c r="C266" s="31" t="s">
        <v>1086</v>
      </c>
      <c r="D266" s="71" t="s">
        <v>28</v>
      </c>
      <c r="E266" s="31" t="s">
        <v>666</v>
      </c>
      <c r="F266" s="31" t="s">
        <v>784</v>
      </c>
      <c r="G266" s="71" t="s">
        <v>166</v>
      </c>
      <c r="H266" s="71" t="s">
        <v>655</v>
      </c>
      <c r="I266" s="31"/>
      <c r="J266" s="32" t="s">
        <v>708</v>
      </c>
      <c r="K266" s="111">
        <f>ROUND(Tableau13[[#This Row],[LEN]]*7.27,0)</f>
        <v>87</v>
      </c>
      <c r="L266" s="111">
        <v>15</v>
      </c>
      <c r="M266" s="128" t="str">
        <f t="shared" si="2"/>
        <v>none</v>
      </c>
      <c r="N266" s="111">
        <f>LEN(Tableau13[[#This Row],[LABEL]])</f>
        <v>12</v>
      </c>
      <c r="O266" s="111">
        <v>15</v>
      </c>
      <c r="P266" s="111" t="e">
        <f>ROUND(Tableau13[[#This Row],[LEN]]*#REF!+#REF!,0)</f>
        <v>#REF!</v>
      </c>
    </row>
    <row r="267" spans="1:16" s="97" customFormat="1" x14ac:dyDescent="0.25">
      <c r="A267" s="86" t="s">
        <v>1094</v>
      </c>
      <c r="B267" s="87" t="s">
        <v>1074</v>
      </c>
      <c r="C267" s="88" t="s">
        <v>1088</v>
      </c>
      <c r="D267" s="89" t="s">
        <v>28</v>
      </c>
      <c r="E267" s="88" t="s">
        <v>666</v>
      </c>
      <c r="F267" s="88" t="s">
        <v>784</v>
      </c>
      <c r="G267" s="89" t="s">
        <v>166</v>
      </c>
      <c r="H267" s="90" t="s">
        <v>18</v>
      </c>
      <c r="I267" s="88"/>
      <c r="J267" s="91" t="s">
        <v>708</v>
      </c>
      <c r="K267" s="112">
        <f>ROUND(Tableau13[[#This Row],[LEN]]*7.27,0)</f>
        <v>196</v>
      </c>
      <c r="L267" s="112">
        <v>15</v>
      </c>
      <c r="M267" s="129" t="str">
        <f t="shared" si="2"/>
        <v>none</v>
      </c>
      <c r="N267" s="112">
        <f>LEN(Tableau13[[#This Row],[LABEL]])</f>
        <v>27</v>
      </c>
      <c r="O267" s="112">
        <v>15</v>
      </c>
      <c r="P267" s="112" t="e">
        <f>ROUND(Tableau13[[#This Row],[LEN]]*#REF!+#REF!,0)</f>
        <v>#REF!</v>
      </c>
    </row>
    <row r="268" spans="1:16" s="97" customFormat="1" x14ac:dyDescent="0.25">
      <c r="A268" s="86" t="s">
        <v>1095</v>
      </c>
      <c r="B268" s="87" t="s">
        <v>1074</v>
      </c>
      <c r="C268" s="88" t="s">
        <v>1089</v>
      </c>
      <c r="D268" s="89" t="s">
        <v>28</v>
      </c>
      <c r="E268" s="88" t="s">
        <v>666</v>
      </c>
      <c r="F268" s="88" t="s">
        <v>784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ROUND(Tableau13[[#This Row],[LEN]]*7.27,0)</f>
        <v>36</v>
      </c>
      <c r="L268" s="112">
        <v>15</v>
      </c>
      <c r="M268" s="129" t="str">
        <f t="shared" si="2"/>
        <v>none</v>
      </c>
      <c r="N268" s="112">
        <f>LEN(Tableau13[[#This Row],[LABEL]])</f>
        <v>5</v>
      </c>
      <c r="O268" s="112">
        <v>15</v>
      </c>
      <c r="P268" s="112" t="e">
        <f>ROUND(Tableau13[[#This Row],[LEN]]*#REF!+#REF!,0)</f>
        <v>#REF!</v>
      </c>
    </row>
    <row r="269" spans="1:16" s="97" customFormat="1" x14ac:dyDescent="0.25">
      <c r="A269" s="86" t="s">
        <v>1096</v>
      </c>
      <c r="B269" s="87" t="s">
        <v>1074</v>
      </c>
      <c r="C269" s="88" t="s">
        <v>1090</v>
      </c>
      <c r="D269" s="89" t="s">
        <v>28</v>
      </c>
      <c r="E269" s="88" t="s">
        <v>666</v>
      </c>
      <c r="F269" s="88" t="s">
        <v>784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ROUND(Tableau13[[#This Row],[LEN]]*7.27,0)</f>
        <v>29</v>
      </c>
      <c r="L269" s="112">
        <v>15</v>
      </c>
      <c r="M269" s="129" t="str">
        <f t="shared" si="2"/>
        <v>none</v>
      </c>
      <c r="N269" s="112">
        <f>LEN(Tableau13[[#This Row],[LABEL]])</f>
        <v>4</v>
      </c>
      <c r="O269" s="112">
        <v>15</v>
      </c>
      <c r="P269" s="112" t="e">
        <f>ROUND(Tableau13[[#This Row],[LEN]]*#REF!+#REF!,0)</f>
        <v>#REF!</v>
      </c>
    </row>
    <row r="270" spans="1:16" s="97" customFormat="1" x14ac:dyDescent="0.25">
      <c r="A270" s="86" t="s">
        <v>1097</v>
      </c>
      <c r="B270" s="87" t="s">
        <v>1074</v>
      </c>
      <c r="C270" s="88" t="s">
        <v>1091</v>
      </c>
      <c r="D270" s="89" t="s">
        <v>28</v>
      </c>
      <c r="E270" s="88" t="s">
        <v>666</v>
      </c>
      <c r="F270" s="88" t="s">
        <v>784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ROUND(Tableau13[[#This Row],[LEN]]*7.27,0)</f>
        <v>102</v>
      </c>
      <c r="L270" s="112">
        <v>15</v>
      </c>
      <c r="M270" s="129" t="str">
        <f t="shared" si="2"/>
        <v>none</v>
      </c>
      <c r="N270" s="112">
        <f>LEN(Tableau13[[#This Row],[LABEL]])</f>
        <v>14</v>
      </c>
      <c r="O270" s="112">
        <v>15</v>
      </c>
      <c r="P270" s="112" t="e">
        <f>ROUND(Tableau13[[#This Row],[LEN]]*#REF!+#REF!,0)</f>
        <v>#REF!</v>
      </c>
    </row>
    <row r="271" spans="1:16" s="97" customFormat="1" x14ac:dyDescent="0.25">
      <c r="A271" s="86" t="s">
        <v>1098</v>
      </c>
      <c r="B271" s="212" t="s">
        <v>1074</v>
      </c>
      <c r="C271" s="88" t="s">
        <v>1092</v>
      </c>
      <c r="D271" s="89" t="s">
        <v>28</v>
      </c>
      <c r="E271" s="88" t="s">
        <v>666</v>
      </c>
      <c r="F271" s="88" t="s">
        <v>784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ROUND(Tableau13[[#This Row],[LEN]]*7.27,0)</f>
        <v>153</v>
      </c>
      <c r="L271" s="112">
        <v>15</v>
      </c>
      <c r="M271" s="129" t="str">
        <f t="shared" si="2"/>
        <v>none</v>
      </c>
      <c r="N271" s="112">
        <f>LEN(Tableau13[[#This Row],[LABEL]])</f>
        <v>21</v>
      </c>
      <c r="O271" s="112">
        <v>15</v>
      </c>
      <c r="P271" s="112" t="e">
        <f>ROUND(Tableau13[[#This Row],[LEN]]*#REF!+#REF!,0)</f>
        <v>#REF!</v>
      </c>
    </row>
    <row r="272" spans="1:16" s="97" customFormat="1" x14ac:dyDescent="0.25">
      <c r="A272" s="86" t="s">
        <v>1099</v>
      </c>
      <c r="B272" s="212" t="s">
        <v>1074</v>
      </c>
      <c r="C272" s="88" t="s">
        <v>1093</v>
      </c>
      <c r="D272" s="89" t="s">
        <v>28</v>
      </c>
      <c r="E272" s="88" t="s">
        <v>666</v>
      </c>
      <c r="F272" s="88" t="s">
        <v>784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ROUND(Tableau13[[#This Row],[LEN]]*7.27,0)</f>
        <v>269</v>
      </c>
      <c r="L272" s="112">
        <v>15</v>
      </c>
      <c r="M272" s="129" t="str">
        <f t="shared" si="2"/>
        <v>none</v>
      </c>
      <c r="N272" s="112">
        <f>LEN(Tableau13[[#This Row],[LABEL]])</f>
        <v>37</v>
      </c>
      <c r="O272" s="112">
        <v>15</v>
      </c>
      <c r="P272" s="112" t="e">
        <f>ROUND(Tableau13[[#This Row],[LEN]]*#REF!+#REF!,0)</f>
        <v>#REF!</v>
      </c>
    </row>
    <row r="273" spans="1:16" s="97" customFormat="1" x14ac:dyDescent="0.25">
      <c r="A273" s="29" t="s">
        <v>1075</v>
      </c>
      <c r="B273" s="30" t="s">
        <v>1061</v>
      </c>
      <c r="C273" s="31" t="s">
        <v>1087</v>
      </c>
      <c r="D273" s="71" t="s">
        <v>28</v>
      </c>
      <c r="E273" s="31" t="s">
        <v>666</v>
      </c>
      <c r="F273" s="31" t="s">
        <v>784</v>
      </c>
      <c r="G273" s="71" t="s">
        <v>166</v>
      </c>
      <c r="H273" s="71" t="s">
        <v>655</v>
      </c>
      <c r="I273" s="31"/>
      <c r="J273" s="32" t="s">
        <v>708</v>
      </c>
      <c r="K273" s="111">
        <f>ROUND(Tableau13[[#This Row],[LEN]]*7.27,0)</f>
        <v>109</v>
      </c>
      <c r="L273" s="111">
        <v>15</v>
      </c>
      <c r="M273" s="128" t="str">
        <f t="shared" si="2"/>
        <v>none</v>
      </c>
      <c r="N273" s="111">
        <f>LEN(Tableau13[[#This Row],[LABEL]])</f>
        <v>15</v>
      </c>
      <c r="O273" s="111">
        <v>15</v>
      </c>
      <c r="P273" s="111" t="e">
        <f>ROUND(Tableau13[[#This Row],[LEN]]*#REF!+#REF!,0)</f>
        <v>#REF!</v>
      </c>
    </row>
    <row r="274" spans="1:16" s="97" customFormat="1" x14ac:dyDescent="0.25">
      <c r="A274" s="86" t="s">
        <v>1102</v>
      </c>
      <c r="B274" s="87" t="s">
        <v>1075</v>
      </c>
      <c r="C274" s="88" t="s">
        <v>1100</v>
      </c>
      <c r="D274" s="89" t="s">
        <v>28</v>
      </c>
      <c r="E274" s="88" t="s">
        <v>666</v>
      </c>
      <c r="F274" s="88" t="s">
        <v>784</v>
      </c>
      <c r="G274" s="89" t="s">
        <v>166</v>
      </c>
      <c r="H274" s="90" t="s">
        <v>18</v>
      </c>
      <c r="I274" s="88"/>
      <c r="J274" s="91" t="s">
        <v>708</v>
      </c>
      <c r="K274" s="112">
        <f>ROUND(Tableau13[[#This Row],[LEN]]*7.27,0)</f>
        <v>22</v>
      </c>
      <c r="L274" s="112">
        <v>15</v>
      </c>
      <c r="M274" s="129" t="str">
        <f t="shared" si="2"/>
        <v>none</v>
      </c>
      <c r="N274" s="112">
        <f>LEN(Tableau13[[#This Row],[LABEL]])</f>
        <v>3</v>
      </c>
      <c r="O274" s="112">
        <v>15</v>
      </c>
      <c r="P274" s="112" t="e">
        <f>ROUND(Tableau13[[#This Row],[LEN]]*#REF!+#REF!,0)</f>
        <v>#REF!</v>
      </c>
    </row>
    <row r="275" spans="1:16" s="97" customFormat="1" x14ac:dyDescent="0.25">
      <c r="A275" s="86" t="s">
        <v>1103</v>
      </c>
      <c r="B275" s="87" t="s">
        <v>1075</v>
      </c>
      <c r="C275" s="88" t="s">
        <v>1101</v>
      </c>
      <c r="D275" s="89" t="s">
        <v>28</v>
      </c>
      <c r="E275" s="88" t="s">
        <v>666</v>
      </c>
      <c r="F275" s="88" t="s">
        <v>784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ROUND(Tableau13[[#This Row],[LEN]]*7.27,0)</f>
        <v>36</v>
      </c>
      <c r="L275" s="112">
        <v>15</v>
      </c>
      <c r="M275" s="129" t="str">
        <f t="shared" si="2"/>
        <v>none</v>
      </c>
      <c r="N275" s="112">
        <f>LEN(Tableau13[[#This Row],[LABEL]])</f>
        <v>5</v>
      </c>
      <c r="O275" s="112">
        <v>15</v>
      </c>
      <c r="P275" s="112" t="e">
        <f>ROUND(Tableau13[[#This Row],[LEN]]*#REF!+#REF!,0)</f>
        <v>#REF!</v>
      </c>
    </row>
    <row r="276" spans="1:16" s="97" customFormat="1" x14ac:dyDescent="0.25">
      <c r="A276" s="86" t="s">
        <v>1104</v>
      </c>
      <c r="B276" s="87" t="s">
        <v>1075</v>
      </c>
      <c r="C276" s="88" t="s">
        <v>812</v>
      </c>
      <c r="D276" s="89" t="s">
        <v>28</v>
      </c>
      <c r="E276" s="88" t="s">
        <v>666</v>
      </c>
      <c r="F276" s="88" t="s">
        <v>784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ROUND(Tableau13[[#This Row],[LEN]]*7.27,0)</f>
        <v>131</v>
      </c>
      <c r="L276" s="112">
        <v>15</v>
      </c>
      <c r="M276" s="129" t="str">
        <f t="shared" si="2"/>
        <v>none</v>
      </c>
      <c r="N276" s="112">
        <f>LEN(Tableau13[[#This Row],[LABEL]])</f>
        <v>18</v>
      </c>
      <c r="O276" s="112">
        <v>15</v>
      </c>
      <c r="P276" s="112" t="e">
        <f>ROUND(Tableau13[[#This Row],[LEN]]*#REF!+#REF!,0)</f>
        <v>#REF!</v>
      </c>
    </row>
    <row r="277" spans="1:16" s="97" customFormat="1" x14ac:dyDescent="0.25">
      <c r="A277" s="29" t="s">
        <v>1076</v>
      </c>
      <c r="B277" s="30" t="s">
        <v>1061</v>
      </c>
      <c r="C277" s="31" t="s">
        <v>15</v>
      </c>
      <c r="D277" s="71" t="s">
        <v>28</v>
      </c>
      <c r="E277" s="31" t="s">
        <v>666</v>
      </c>
      <c r="F277" s="31" t="s">
        <v>784</v>
      </c>
      <c r="G277" s="71" t="s">
        <v>166</v>
      </c>
      <c r="H277" s="71" t="s">
        <v>655</v>
      </c>
      <c r="I277" s="31"/>
      <c r="J277" s="32" t="s">
        <v>708</v>
      </c>
      <c r="K277" s="111">
        <f>ROUND(Tableau13[[#This Row],[LEN]]*7.27,0)</f>
        <v>174</v>
      </c>
      <c r="L277" s="111">
        <v>15</v>
      </c>
      <c r="M277" s="128" t="str">
        <f t="shared" si="2"/>
        <v>none</v>
      </c>
      <c r="N277" s="111">
        <f>LEN(Tableau13[[#This Row],[LABEL]])</f>
        <v>24</v>
      </c>
      <c r="O277" s="111">
        <v>15</v>
      </c>
      <c r="P277" s="111" t="e">
        <f>ROUND(Tableau13[[#This Row],[LEN]]*#REF!+#REF!,0)</f>
        <v>#REF!</v>
      </c>
    </row>
    <row r="278" spans="1:16" s="97" customFormat="1" x14ac:dyDescent="0.25">
      <c r="A278" s="86" t="s">
        <v>1105</v>
      </c>
      <c r="B278" s="87" t="s">
        <v>1076</v>
      </c>
      <c r="C278" s="88" t="s">
        <v>1100</v>
      </c>
      <c r="D278" s="89" t="s">
        <v>28</v>
      </c>
      <c r="E278" s="88" t="s">
        <v>666</v>
      </c>
      <c r="F278" s="88" t="s">
        <v>784</v>
      </c>
      <c r="G278" s="89" t="s">
        <v>166</v>
      </c>
      <c r="H278" s="90" t="s">
        <v>18</v>
      </c>
      <c r="I278" s="88"/>
      <c r="J278" s="91" t="s">
        <v>708</v>
      </c>
      <c r="K278" s="112">
        <f>ROUND(Tableau13[[#This Row],[LEN]]*7.27,0)</f>
        <v>22</v>
      </c>
      <c r="L278" s="112">
        <v>15</v>
      </c>
      <c r="M278" s="129" t="str">
        <f t="shared" si="2"/>
        <v>none</v>
      </c>
      <c r="N278" s="112">
        <f>LEN(Tableau13[[#This Row],[LABEL]])</f>
        <v>3</v>
      </c>
      <c r="O278" s="112">
        <v>15</v>
      </c>
      <c r="P278" s="112" t="e">
        <f>ROUND(Tableau13[[#This Row],[LEN]]*#REF!+#REF!,0)</f>
        <v>#REF!</v>
      </c>
    </row>
    <row r="279" spans="1:16" s="97" customFormat="1" x14ac:dyDescent="0.25">
      <c r="A279" s="86" t="s">
        <v>1106</v>
      </c>
      <c r="B279" s="87" t="s">
        <v>1076</v>
      </c>
      <c r="C279" s="88" t="s">
        <v>807</v>
      </c>
      <c r="D279" s="89" t="s">
        <v>28</v>
      </c>
      <c r="E279" s="88" t="s">
        <v>666</v>
      </c>
      <c r="F279" s="88" t="s">
        <v>784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ROUND(Tableau13[[#This Row],[LEN]]*7.27,0)</f>
        <v>218</v>
      </c>
      <c r="L279" s="112">
        <v>15</v>
      </c>
      <c r="M279" s="129" t="str">
        <f t="shared" si="2"/>
        <v>none</v>
      </c>
      <c r="N279" s="112">
        <f>LEN(Tableau13[[#This Row],[LABEL]])</f>
        <v>30</v>
      </c>
      <c r="O279" s="112">
        <v>15</v>
      </c>
      <c r="P279" s="112" t="e">
        <f>ROUND(Tableau13[[#This Row],[LEN]]*#REF!+#REF!,0)</f>
        <v>#REF!</v>
      </c>
    </row>
    <row r="280" spans="1:16" s="97" customFormat="1" x14ac:dyDescent="0.25">
      <c r="A280" s="86" t="s">
        <v>1107</v>
      </c>
      <c r="B280" s="87" t="s">
        <v>1076</v>
      </c>
      <c r="C280" s="88" t="s">
        <v>1112</v>
      </c>
      <c r="D280" s="89" t="s">
        <v>28</v>
      </c>
      <c r="E280" s="88" t="s">
        <v>666</v>
      </c>
      <c r="F280" s="88" t="s">
        <v>784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ROUND(Tableau13[[#This Row],[LEN]]*7.27,0)</f>
        <v>240</v>
      </c>
      <c r="L280" s="112">
        <v>15</v>
      </c>
      <c r="M280" s="129" t="str">
        <f t="shared" si="2"/>
        <v>none</v>
      </c>
      <c r="N280" s="112">
        <f>LEN(Tableau13[[#This Row],[LABEL]])</f>
        <v>33</v>
      </c>
      <c r="O280" s="112">
        <v>15</v>
      </c>
      <c r="P280" s="112" t="e">
        <f>ROUND(Tableau13[[#This Row],[LEN]]*#REF!+#REF!,0)</f>
        <v>#REF!</v>
      </c>
    </row>
    <row r="281" spans="1:16" s="97" customFormat="1" x14ac:dyDescent="0.25">
      <c r="A281" s="86" t="s">
        <v>1108</v>
      </c>
      <c r="B281" s="87" t="s">
        <v>1076</v>
      </c>
      <c r="C281" s="88" t="s">
        <v>1113</v>
      </c>
      <c r="D281" s="89" t="s">
        <v>28</v>
      </c>
      <c r="E281" s="88" t="s">
        <v>666</v>
      </c>
      <c r="F281" s="88" t="s">
        <v>784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ROUND(Tableau13[[#This Row],[LEN]]*7.27,0)</f>
        <v>116</v>
      </c>
      <c r="L281" s="112">
        <v>15</v>
      </c>
      <c r="M281" s="129" t="str">
        <f t="shared" si="2"/>
        <v>none</v>
      </c>
      <c r="N281" s="112">
        <f>LEN(Tableau13[[#This Row],[LABEL]])</f>
        <v>16</v>
      </c>
      <c r="O281" s="112">
        <v>15</v>
      </c>
      <c r="P281" s="112" t="e">
        <f>ROUND(Tableau13[[#This Row],[LEN]]*#REF!+#REF!,0)</f>
        <v>#REF!</v>
      </c>
    </row>
    <row r="282" spans="1:16" s="97" customFormat="1" x14ac:dyDescent="0.25">
      <c r="A282" s="86" t="s">
        <v>1109</v>
      </c>
      <c r="B282" s="87" t="s">
        <v>1076</v>
      </c>
      <c r="C282" s="88" t="s">
        <v>1114</v>
      </c>
      <c r="D282" s="89" t="s">
        <v>28</v>
      </c>
      <c r="E282" s="88" t="s">
        <v>666</v>
      </c>
      <c r="F282" s="88" t="s">
        <v>784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ROUND(Tableau13[[#This Row],[LEN]]*7.27,0)</f>
        <v>116</v>
      </c>
      <c r="L282" s="112">
        <v>15</v>
      </c>
      <c r="M282" s="129" t="str">
        <f t="shared" si="2"/>
        <v>none</v>
      </c>
      <c r="N282" s="112">
        <f>LEN(Tableau13[[#This Row],[LABEL]])</f>
        <v>16</v>
      </c>
      <c r="O282" s="112">
        <v>15</v>
      </c>
      <c r="P282" s="112" t="e">
        <f>ROUND(Tableau13[[#This Row],[LEN]]*#REF!+#REF!,0)</f>
        <v>#REF!</v>
      </c>
    </row>
    <row r="283" spans="1:16" s="97" customFormat="1" x14ac:dyDescent="0.25">
      <c r="A283" s="86" t="s">
        <v>1110</v>
      </c>
      <c r="B283" s="87" t="s">
        <v>1076</v>
      </c>
      <c r="C283" s="88" t="s">
        <v>806</v>
      </c>
      <c r="D283" s="89" t="s">
        <v>28</v>
      </c>
      <c r="E283" s="88" t="s">
        <v>666</v>
      </c>
      <c r="F283" s="88" t="s">
        <v>784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ROUND(Tableau13[[#This Row],[LEN]]*7.27,0)</f>
        <v>174</v>
      </c>
      <c r="L283" s="112">
        <v>15</v>
      </c>
      <c r="M283" s="129" t="str">
        <f t="shared" si="2"/>
        <v>none</v>
      </c>
      <c r="N283" s="112">
        <f>LEN(Tableau13[[#This Row],[LABEL]])</f>
        <v>24</v>
      </c>
      <c r="O283" s="112">
        <v>15</v>
      </c>
      <c r="P283" s="112" t="e">
        <f>ROUND(Tableau13[[#This Row],[LEN]]*#REF!+#REF!,0)</f>
        <v>#REF!</v>
      </c>
    </row>
    <row r="284" spans="1:16" s="97" customFormat="1" x14ac:dyDescent="0.25">
      <c r="A284" s="86" t="s">
        <v>1111</v>
      </c>
      <c r="B284" s="87" t="s">
        <v>1076</v>
      </c>
      <c r="C284" s="88" t="s">
        <v>812</v>
      </c>
      <c r="D284" s="89" t="s">
        <v>28</v>
      </c>
      <c r="E284" s="88" t="s">
        <v>666</v>
      </c>
      <c r="F284" s="88" t="s">
        <v>784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ROUND(Tableau13[[#This Row],[LEN]]*7.27,0)</f>
        <v>131</v>
      </c>
      <c r="L284" s="112">
        <v>15</v>
      </c>
      <c r="M284" s="129" t="str">
        <f t="shared" si="2"/>
        <v>none</v>
      </c>
      <c r="N284" s="112">
        <f>LEN(Tableau13[[#This Row],[LABEL]])</f>
        <v>18</v>
      </c>
      <c r="O284" s="112">
        <v>15</v>
      </c>
      <c r="P284" s="112" t="e">
        <f>ROUND(Tableau13[[#This Row],[LEN]]*#REF!+#REF!,0)</f>
        <v>#REF!</v>
      </c>
    </row>
    <row r="285" spans="1:16" s="97" customFormat="1" x14ac:dyDescent="0.25">
      <c r="A285" s="25" t="s">
        <v>1062</v>
      </c>
      <c r="B285" s="26" t="s">
        <v>252</v>
      </c>
      <c r="C285" s="27" t="s">
        <v>1070</v>
      </c>
      <c r="D285" s="70" t="s">
        <v>28</v>
      </c>
      <c r="E285" s="27" t="s">
        <v>666</v>
      </c>
      <c r="F285" s="27" t="s">
        <v>666</v>
      </c>
      <c r="G285" s="70" t="s">
        <v>166</v>
      </c>
      <c r="H285" s="70" t="s">
        <v>656</v>
      </c>
      <c r="I285" s="27"/>
      <c r="J285" s="28" t="s">
        <v>708</v>
      </c>
      <c r="K285" s="109">
        <f>ROUND(Tableau13[[#This Row],[LEN]]*7.27,0)</f>
        <v>371</v>
      </c>
      <c r="L285" s="109">
        <v>15</v>
      </c>
      <c r="M285" s="127" t="str">
        <f t="shared" si="2"/>
        <v>none</v>
      </c>
      <c r="N285" s="109">
        <f>LEN(Tableau13[[#This Row],[LABEL]])</f>
        <v>51</v>
      </c>
      <c r="O285" s="109">
        <v>15</v>
      </c>
      <c r="P285" s="109" t="e">
        <f>ROUND(Tableau13[[#This Row],[LEN]]*#REF!+#REF!,0)</f>
        <v>#REF!</v>
      </c>
    </row>
    <row r="286" spans="1:16" s="97" customFormat="1" x14ac:dyDescent="0.25">
      <c r="A286" s="25" t="s">
        <v>1063</v>
      </c>
      <c r="B286" s="26" t="s">
        <v>252</v>
      </c>
      <c r="C286" s="27" t="s">
        <v>778</v>
      </c>
      <c r="D286" s="70" t="s">
        <v>28</v>
      </c>
      <c r="E286" s="27" t="s">
        <v>673</v>
      </c>
      <c r="F286" s="27" t="s">
        <v>785</v>
      </c>
      <c r="G286" s="70" t="s">
        <v>166</v>
      </c>
      <c r="H286" s="70" t="s">
        <v>17</v>
      </c>
      <c r="I286" s="27"/>
      <c r="J286" s="28" t="s">
        <v>708</v>
      </c>
      <c r="K286" s="109">
        <f>ROUND(Tableau13[[#This Row],[LEN]]*7.27,0)</f>
        <v>211</v>
      </c>
      <c r="L286" s="109">
        <v>15</v>
      </c>
      <c r="M286" s="127" t="str">
        <f t="shared" si="2"/>
        <v>none</v>
      </c>
      <c r="N286" s="109">
        <f>LEN(Tableau13[[#This Row],[LABEL]])</f>
        <v>29</v>
      </c>
      <c r="O286" s="109">
        <v>15</v>
      </c>
      <c r="P286" s="109" t="e">
        <f>ROUND(Tableau13[[#This Row],[LEN]]*#REF!+#REF!,0)</f>
        <v>#REF!</v>
      </c>
    </row>
    <row r="287" spans="1:16" s="97" customFormat="1" x14ac:dyDescent="0.25">
      <c r="A287" s="25" t="s">
        <v>1064</v>
      </c>
      <c r="B287" s="26" t="s">
        <v>252</v>
      </c>
      <c r="C287" s="27" t="s">
        <v>92</v>
      </c>
      <c r="D287" s="70" t="s">
        <v>28</v>
      </c>
      <c r="E287" s="27" t="s">
        <v>663</v>
      </c>
      <c r="F287" s="27" t="s">
        <v>786</v>
      </c>
      <c r="G287" s="70" t="s">
        <v>166</v>
      </c>
      <c r="H287" s="70" t="s">
        <v>655</v>
      </c>
      <c r="I287" s="27"/>
      <c r="J287" s="28" t="s">
        <v>708</v>
      </c>
      <c r="K287" s="109">
        <f>ROUND(Tableau13[[#This Row],[LEN]]*7.27,0)</f>
        <v>262</v>
      </c>
      <c r="L287" s="109">
        <v>15</v>
      </c>
      <c r="M287" s="127" t="str">
        <f t="shared" si="2"/>
        <v>none</v>
      </c>
      <c r="N287" s="109">
        <f>LEN(Tableau13[[#This Row],[LABEL]])</f>
        <v>36</v>
      </c>
      <c r="O287" s="109">
        <v>15</v>
      </c>
      <c r="P287" s="109" t="e">
        <f>ROUND(Tableau13[[#This Row],[LEN]]*#REF!+#REF!,0)</f>
        <v>#REF!</v>
      </c>
    </row>
    <row r="288" spans="1:16" s="97" customFormat="1" x14ac:dyDescent="0.25">
      <c r="A288" s="29" t="s">
        <v>1077</v>
      </c>
      <c r="B288" s="30" t="s">
        <v>1064</v>
      </c>
      <c r="C288" s="31" t="s">
        <v>95</v>
      </c>
      <c r="D288" s="71" t="s">
        <v>28</v>
      </c>
      <c r="E288" s="31" t="s">
        <v>663</v>
      </c>
      <c r="F288" s="31" t="s">
        <v>786</v>
      </c>
      <c r="G288" s="71" t="s">
        <v>166</v>
      </c>
      <c r="H288" s="71" t="s">
        <v>17</v>
      </c>
      <c r="I288" s="31"/>
      <c r="J288" s="32" t="s">
        <v>708</v>
      </c>
      <c r="K288" s="111">
        <f>ROUND(Tableau13[[#This Row],[LEN]]*7.27,0)</f>
        <v>254</v>
      </c>
      <c r="L288" s="111">
        <v>15</v>
      </c>
      <c r="M288" s="128" t="str">
        <f t="shared" si="2"/>
        <v>none</v>
      </c>
      <c r="N288" s="111">
        <f>LEN(Tableau13[[#This Row],[LABEL]])</f>
        <v>35</v>
      </c>
      <c r="O288" s="111">
        <v>15</v>
      </c>
      <c r="P288" s="111" t="e">
        <f>ROUND(Tableau13[[#This Row],[LEN]]*#REF!+#REF!,0)</f>
        <v>#REF!</v>
      </c>
    </row>
    <row r="289" spans="1:16" s="97" customFormat="1" x14ac:dyDescent="0.25">
      <c r="A289" s="29" t="s">
        <v>1078</v>
      </c>
      <c r="B289" s="30" t="s">
        <v>1064</v>
      </c>
      <c r="C289" s="31" t="s">
        <v>96</v>
      </c>
      <c r="D289" s="71" t="s">
        <v>28</v>
      </c>
      <c r="E289" s="31" t="s">
        <v>663</v>
      </c>
      <c r="F289" s="31" t="s">
        <v>786</v>
      </c>
      <c r="G289" s="71" t="s">
        <v>166</v>
      </c>
      <c r="H289" s="71" t="s">
        <v>654</v>
      </c>
      <c r="I289" s="31"/>
      <c r="J289" s="32" t="s">
        <v>708</v>
      </c>
      <c r="K289" s="111">
        <f>ROUND(Tableau13[[#This Row],[LEN]]*7.27,0)</f>
        <v>233</v>
      </c>
      <c r="L289" s="111">
        <v>15</v>
      </c>
      <c r="M289" s="128" t="str">
        <f t="shared" si="2"/>
        <v>none</v>
      </c>
      <c r="N289" s="111">
        <f>LEN(Tableau13[[#This Row],[LABEL]])</f>
        <v>32</v>
      </c>
      <c r="O289" s="111">
        <v>15</v>
      </c>
      <c r="P289" s="111" t="e">
        <f>ROUND(Tableau13[[#This Row],[LEN]]*#REF!+#REF!,0)</f>
        <v>#REF!</v>
      </c>
    </row>
    <row r="290" spans="1:16" s="97" customFormat="1" x14ac:dyDescent="0.25">
      <c r="A290" s="29" t="s">
        <v>1079</v>
      </c>
      <c r="B290" s="30" t="s">
        <v>1064</v>
      </c>
      <c r="C290" s="31" t="s">
        <v>97</v>
      </c>
      <c r="D290" s="71" t="s">
        <v>28</v>
      </c>
      <c r="E290" s="31" t="s">
        <v>663</v>
      </c>
      <c r="F290" s="31" t="s">
        <v>786</v>
      </c>
      <c r="G290" s="71" t="s">
        <v>166</v>
      </c>
      <c r="H290" s="71" t="s">
        <v>656</v>
      </c>
      <c r="I290" s="31"/>
      <c r="J290" s="32" t="s">
        <v>708</v>
      </c>
      <c r="K290" s="111">
        <f>ROUND(Tableau13[[#This Row],[LEN]]*7.27,0)</f>
        <v>145</v>
      </c>
      <c r="L290" s="111">
        <v>15</v>
      </c>
      <c r="M290" s="128" t="str">
        <f t="shared" si="2"/>
        <v>none</v>
      </c>
      <c r="N290" s="111">
        <f>LEN(Tableau13[[#This Row],[LABEL]])</f>
        <v>20</v>
      </c>
      <c r="O290" s="111">
        <v>15</v>
      </c>
      <c r="P290" s="111" t="e">
        <f>ROUND(Tableau13[[#This Row],[LEN]]*#REF!+#REF!,0)</f>
        <v>#REF!</v>
      </c>
    </row>
    <row r="291" spans="1:16" s="97" customFormat="1" x14ac:dyDescent="0.25">
      <c r="A291" s="25" t="s">
        <v>1065</v>
      </c>
      <c r="B291" s="26" t="s">
        <v>252</v>
      </c>
      <c r="C291" s="27" t="s">
        <v>1072</v>
      </c>
      <c r="D291" s="70" t="s">
        <v>28</v>
      </c>
      <c r="E291" s="27" t="s">
        <v>666</v>
      </c>
      <c r="F291" s="27" t="s">
        <v>970</v>
      </c>
      <c r="G291" s="70" t="s">
        <v>166</v>
      </c>
      <c r="H291" s="70" t="s">
        <v>18</v>
      </c>
      <c r="I291" s="27"/>
      <c r="J291" s="28" t="s">
        <v>708</v>
      </c>
      <c r="K291" s="109">
        <f>ROUND(Tableau13[[#This Row],[LEN]]*7.27,0)</f>
        <v>422</v>
      </c>
      <c r="L291" s="109">
        <v>15</v>
      </c>
      <c r="M291" s="127" t="str">
        <f t="shared" si="2"/>
        <v>none</v>
      </c>
      <c r="N291" s="109">
        <f>LEN(Tableau13[[#This Row],[LABEL]])</f>
        <v>58</v>
      </c>
      <c r="O291" s="109">
        <v>15</v>
      </c>
      <c r="P291" s="109" t="e">
        <f>ROUND(Tableau13[[#This Row],[LEN]]*#REF!+#REF!,0)</f>
        <v>#REF!</v>
      </c>
    </row>
    <row r="292" spans="1:16" s="97" customFormat="1" x14ac:dyDescent="0.25">
      <c r="A292" s="25" t="s">
        <v>1066</v>
      </c>
      <c r="B292" s="26" t="s">
        <v>252</v>
      </c>
      <c r="C292" s="27" t="s">
        <v>1073</v>
      </c>
      <c r="D292" s="70" t="s">
        <v>28</v>
      </c>
      <c r="E292" s="27" t="s">
        <v>666</v>
      </c>
      <c r="F292" s="27" t="s">
        <v>1083</v>
      </c>
      <c r="G292" s="70" t="s">
        <v>166</v>
      </c>
      <c r="H292" s="70" t="s">
        <v>656</v>
      </c>
      <c r="I292" s="27"/>
      <c r="J292" s="28" t="s">
        <v>708</v>
      </c>
      <c r="K292" s="109">
        <f>ROUND(Tableau13[[#This Row],[LEN]]*7.27,0)</f>
        <v>393</v>
      </c>
      <c r="L292" s="109">
        <v>15</v>
      </c>
      <c r="M292" s="127" t="str">
        <f t="shared" si="2"/>
        <v>none</v>
      </c>
      <c r="N292" s="109">
        <f>LEN(Tableau13[[#This Row],[LABEL]])</f>
        <v>54</v>
      </c>
      <c r="O292" s="109">
        <v>15</v>
      </c>
      <c r="P292" s="109" t="e">
        <f>ROUND(Tableau13[[#This Row],[LEN]]*#REF!+#REF!,0)</f>
        <v>#REF!</v>
      </c>
    </row>
    <row r="293" spans="1:16" s="97" customFormat="1" x14ac:dyDescent="0.25">
      <c r="A293" s="25" t="s">
        <v>1067</v>
      </c>
      <c r="B293" s="26" t="s">
        <v>252</v>
      </c>
      <c r="C293" s="27" t="s">
        <v>1167</v>
      </c>
      <c r="D293" s="70" t="s">
        <v>486</v>
      </c>
      <c r="E293" s="27" t="s">
        <v>1085</v>
      </c>
      <c r="F293" s="27" t="s">
        <v>1084</v>
      </c>
      <c r="G293" s="70" t="s">
        <v>166</v>
      </c>
      <c r="H293" s="70" t="s">
        <v>1131</v>
      </c>
      <c r="I293" s="27"/>
      <c r="J293" s="28" t="s">
        <v>708</v>
      </c>
      <c r="K293" s="109">
        <f>ROUND(Tableau13[[#This Row],[LEN]]*7.27,0)</f>
        <v>196</v>
      </c>
      <c r="L293" s="109">
        <v>15</v>
      </c>
      <c r="M293" s="127" t="str">
        <f t="shared" si="2"/>
        <v>none</v>
      </c>
      <c r="N293" s="109">
        <f>LEN(Tableau13[[#This Row],[LABEL]])</f>
        <v>27</v>
      </c>
      <c r="O293" s="109">
        <v>15</v>
      </c>
      <c r="P293" s="109" t="e">
        <f>ROUND(Tableau13[[#This Row],[LEN]]*#REF!+#REF!,0)</f>
        <v>#REF!</v>
      </c>
    </row>
    <row r="294" spans="1:16" s="97" customFormat="1" x14ac:dyDescent="0.25">
      <c r="A294" s="29" t="s">
        <v>1080</v>
      </c>
      <c r="B294" s="30" t="s">
        <v>1067</v>
      </c>
      <c r="C294" s="31" t="s">
        <v>93</v>
      </c>
      <c r="D294" s="71" t="s">
        <v>28</v>
      </c>
      <c r="E294" s="31" t="s">
        <v>1085</v>
      </c>
      <c r="F294" s="31" t="s">
        <v>1084</v>
      </c>
      <c r="G294" s="71" t="s">
        <v>166</v>
      </c>
      <c r="H294" s="71" t="s">
        <v>18</v>
      </c>
      <c r="I294" s="31"/>
      <c r="J294" s="32" t="s">
        <v>101</v>
      </c>
      <c r="K294" s="111">
        <f>ROUND(Tableau13[[#This Row],[LEN]]*7.27,0)</f>
        <v>109</v>
      </c>
      <c r="L294" s="111">
        <v>15</v>
      </c>
      <c r="M294" s="128" t="str">
        <f t="shared" si="2"/>
        <v>new</v>
      </c>
      <c r="N294" s="111">
        <f>LEN(Tableau13[[#This Row],[LABEL]])</f>
        <v>15</v>
      </c>
      <c r="O294" s="111">
        <v>15</v>
      </c>
      <c r="P294" s="111" t="e">
        <f>ROUND(Tableau13[[#This Row],[LEN]]*#REF!+#REF!,0)</f>
        <v>#REF!</v>
      </c>
    </row>
    <row r="295" spans="1:16" s="97" customFormat="1" x14ac:dyDescent="0.25">
      <c r="A295" s="29" t="s">
        <v>1081</v>
      </c>
      <c r="B295" s="30" t="s">
        <v>1067</v>
      </c>
      <c r="C295" s="31" t="s">
        <v>94</v>
      </c>
      <c r="D295" s="71" t="s">
        <v>28</v>
      </c>
      <c r="E295" s="31" t="s">
        <v>1085</v>
      </c>
      <c r="F295" s="31" t="s">
        <v>1084</v>
      </c>
      <c r="G295" s="71" t="s">
        <v>166</v>
      </c>
      <c r="H295" s="71" t="s">
        <v>18</v>
      </c>
      <c r="I295" s="31"/>
      <c r="J295" s="32" t="s">
        <v>102</v>
      </c>
      <c r="K295" s="111">
        <f>ROUND(Tableau13[[#This Row],[LEN]]*7.27,0)</f>
        <v>58</v>
      </c>
      <c r="L295" s="111">
        <v>15</v>
      </c>
      <c r="M295" s="128" t="str">
        <f t="shared" si="2"/>
        <v>new</v>
      </c>
      <c r="N295" s="111">
        <f>LEN(Tableau13[[#This Row],[LABEL]])</f>
        <v>8</v>
      </c>
      <c r="O295" s="111">
        <v>15</v>
      </c>
      <c r="P295" s="111" t="e">
        <f>ROUND(Tableau13[[#This Row],[LEN]]*#REF!+#REF!,0)</f>
        <v>#REF!</v>
      </c>
    </row>
    <row r="296" spans="1:16" s="273" customFormat="1" x14ac:dyDescent="0.25">
      <c r="A296" s="288" t="s">
        <v>253</v>
      </c>
      <c r="B296" s="289" t="s">
        <v>206</v>
      </c>
      <c r="C296" s="290" t="s">
        <v>80</v>
      </c>
      <c r="D296" s="291" t="s">
        <v>28</v>
      </c>
      <c r="E296" s="290" t="s">
        <v>667</v>
      </c>
      <c r="F296" s="290" t="s">
        <v>667</v>
      </c>
      <c r="G296" s="291" t="s">
        <v>166</v>
      </c>
      <c r="H296" s="291" t="str">
        <f>IFERROR(IF(SEARCH(".00.00.00.00.00",Tableau13[[#This Row],[name]],1)=7,"Division",""),"")</f>
        <v>Division</v>
      </c>
      <c r="I296" s="290"/>
      <c r="J296" s="292" t="s">
        <v>713</v>
      </c>
      <c r="K296" s="293">
        <f>ROUND(Tableau13[[#This Row],[LEN]]*7.27,0)</f>
        <v>116</v>
      </c>
      <c r="L296" s="293">
        <v>15</v>
      </c>
      <c r="M296" s="294" t="str">
        <f t="shared" si="2"/>
        <v>new</v>
      </c>
      <c r="N296" s="293">
        <f>LEN(Tableau13[[#This Row],[LABEL]])</f>
        <v>16</v>
      </c>
      <c r="O296" s="293">
        <v>15</v>
      </c>
      <c r="P296" s="293" t="e">
        <f>ROUND(Tableau13[[#This Row],[LEN]]*#REF!+#REF!,0)</f>
        <v>#REF!</v>
      </c>
    </row>
    <row r="297" spans="1:16" s="97" customFormat="1" x14ac:dyDescent="0.25">
      <c r="A297" s="25" t="s">
        <v>1115</v>
      </c>
      <c r="B297" s="26" t="s">
        <v>253</v>
      </c>
      <c r="C297" s="27" t="s">
        <v>1126</v>
      </c>
      <c r="D297" s="70" t="s">
        <v>28</v>
      </c>
      <c r="E297" s="27" t="s">
        <v>666</v>
      </c>
      <c r="F297" s="27" t="s">
        <v>684</v>
      </c>
      <c r="G297" s="70" t="s">
        <v>166</v>
      </c>
      <c r="H297" s="70" t="s">
        <v>570</v>
      </c>
      <c r="I297" s="27"/>
      <c r="J297" s="28" t="s">
        <v>708</v>
      </c>
      <c r="K297" s="109">
        <f>ROUND(Tableau13[[#This Row],[LEN]]*7.27,0)</f>
        <v>284</v>
      </c>
      <c r="L297" s="109">
        <v>15</v>
      </c>
      <c r="M297" s="127" t="str">
        <f t="shared" si="2"/>
        <v>none</v>
      </c>
      <c r="N297" s="109">
        <f>LEN(Tableau13[[#This Row],[LABEL]])</f>
        <v>39</v>
      </c>
      <c r="O297" s="109">
        <v>15</v>
      </c>
      <c r="P297" s="109" t="e">
        <f>ROUND(Tableau13[[#This Row],[LEN]]*#REF!+#REF!,0)</f>
        <v>#REF!</v>
      </c>
    </row>
    <row r="298" spans="1:16" s="97" customFormat="1" x14ac:dyDescent="0.25">
      <c r="A298" s="25" t="s">
        <v>1116</v>
      </c>
      <c r="B298" s="26" t="s">
        <v>253</v>
      </c>
      <c r="C298" s="27" t="s">
        <v>88</v>
      </c>
      <c r="D298" s="70" t="s">
        <v>28</v>
      </c>
      <c r="E298" s="27" t="s">
        <v>667</v>
      </c>
      <c r="F298" s="27" t="s">
        <v>1218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ROUND(Tableau13[[#This Row],[LEN]]*7.27,0)</f>
        <v>342</v>
      </c>
      <c r="L298" s="109">
        <v>15</v>
      </c>
      <c r="M298" s="127" t="str">
        <f t="shared" si="2"/>
        <v>none</v>
      </c>
      <c r="N298" s="109">
        <f>LEN(Tableau13[[#This Row],[LABEL]])</f>
        <v>47</v>
      </c>
      <c r="O298" s="109">
        <v>15</v>
      </c>
      <c r="P298" s="109" t="e">
        <f>ROUND(Tableau13[[#This Row],[LEN]]*#REF!+#REF!,0)</f>
        <v>#REF!</v>
      </c>
    </row>
    <row r="299" spans="1:16" s="97" customFormat="1" x14ac:dyDescent="0.25">
      <c r="A299" s="25" t="s">
        <v>1117</v>
      </c>
      <c r="B299" s="26" t="s">
        <v>253</v>
      </c>
      <c r="C299" s="27" t="s">
        <v>1071</v>
      </c>
      <c r="D299" s="70" t="s">
        <v>28</v>
      </c>
      <c r="E299" s="27" t="s">
        <v>666</v>
      </c>
      <c r="F299" s="27" t="s">
        <v>1082</v>
      </c>
      <c r="G299" s="70" t="s">
        <v>166</v>
      </c>
      <c r="H299" s="70" t="s">
        <v>655</v>
      </c>
      <c r="I299" s="27"/>
      <c r="J299" s="28" t="s">
        <v>708</v>
      </c>
      <c r="K299" s="109">
        <f>ROUND(Tableau13[[#This Row],[LEN]]*7.27,0)</f>
        <v>247</v>
      </c>
      <c r="L299" s="109">
        <v>15</v>
      </c>
      <c r="M299" s="127" t="str">
        <f t="shared" si="2"/>
        <v>none</v>
      </c>
      <c r="N299" s="109">
        <f>LEN(Tableau13[[#This Row],[LABEL]])</f>
        <v>34</v>
      </c>
      <c r="O299" s="109">
        <v>15</v>
      </c>
      <c r="P299" s="109" t="e">
        <f>ROUND(Tableau13[[#This Row],[LEN]]*#REF!+#REF!,0)</f>
        <v>#REF!</v>
      </c>
    </row>
    <row r="300" spans="1:16" s="97" customFormat="1" x14ac:dyDescent="0.25">
      <c r="A300" s="29" t="s">
        <v>1135</v>
      </c>
      <c r="B300" s="30" t="s">
        <v>1117</v>
      </c>
      <c r="C300" s="31" t="s">
        <v>1086</v>
      </c>
      <c r="D300" s="71" t="s">
        <v>28</v>
      </c>
      <c r="E300" s="31" t="s">
        <v>666</v>
      </c>
      <c r="F300" s="31" t="s">
        <v>784</v>
      </c>
      <c r="G300" s="71" t="s">
        <v>166</v>
      </c>
      <c r="H300" s="71" t="s">
        <v>655</v>
      </c>
      <c r="I300" s="31"/>
      <c r="J300" s="32" t="s">
        <v>708</v>
      </c>
      <c r="K300" s="111">
        <f>ROUND(Tableau13[[#This Row],[LEN]]*7.27,0)</f>
        <v>87</v>
      </c>
      <c r="L300" s="111">
        <v>15</v>
      </c>
      <c r="M300" s="128" t="str">
        <f t="shared" si="2"/>
        <v>none</v>
      </c>
      <c r="N300" s="111">
        <f>LEN(Tableau13[[#This Row],[LABEL]])</f>
        <v>12</v>
      </c>
      <c r="O300" s="111">
        <v>15</v>
      </c>
      <c r="P300" s="111" t="e">
        <f>ROUND(Tableau13[[#This Row],[LEN]]*#REF!+#REF!,0)</f>
        <v>#REF!</v>
      </c>
    </row>
    <row r="301" spans="1:16" s="97" customFormat="1" x14ac:dyDescent="0.25">
      <c r="A301" s="86" t="s">
        <v>1138</v>
      </c>
      <c r="B301" s="87" t="s">
        <v>1135</v>
      </c>
      <c r="C301" s="88" t="s">
        <v>1088</v>
      </c>
      <c r="D301" s="89" t="s">
        <v>28</v>
      </c>
      <c r="E301" s="88" t="s">
        <v>666</v>
      </c>
      <c r="F301" s="88" t="s">
        <v>784</v>
      </c>
      <c r="G301" s="89" t="s">
        <v>166</v>
      </c>
      <c r="H301" s="90" t="s">
        <v>18</v>
      </c>
      <c r="I301" s="88"/>
      <c r="J301" s="91" t="s">
        <v>708</v>
      </c>
      <c r="K301" s="112">
        <f>ROUND(Tableau13[[#This Row],[LEN]]*7.27,0)</f>
        <v>196</v>
      </c>
      <c r="L301" s="112">
        <v>15</v>
      </c>
      <c r="M301" s="129" t="str">
        <f t="shared" si="2"/>
        <v>none</v>
      </c>
      <c r="N301" s="112">
        <f>LEN(Tableau13[[#This Row],[LABEL]])</f>
        <v>27</v>
      </c>
      <c r="O301" s="112">
        <v>15</v>
      </c>
      <c r="P301" s="112" t="e">
        <f>ROUND(Tableau13[[#This Row],[LEN]]*#REF!+#REF!,0)</f>
        <v>#REF!</v>
      </c>
    </row>
    <row r="302" spans="1:16" s="97" customFormat="1" x14ac:dyDescent="0.25">
      <c r="A302" s="86" t="s">
        <v>1139</v>
      </c>
      <c r="B302" s="87" t="s">
        <v>1135</v>
      </c>
      <c r="C302" s="88" t="s">
        <v>1089</v>
      </c>
      <c r="D302" s="89" t="s">
        <v>28</v>
      </c>
      <c r="E302" s="88" t="s">
        <v>666</v>
      </c>
      <c r="F302" s="88" t="s">
        <v>784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ROUND(Tableau13[[#This Row],[LEN]]*7.27,0)</f>
        <v>36</v>
      </c>
      <c r="L302" s="112">
        <v>15</v>
      </c>
      <c r="M302" s="129" t="str">
        <f t="shared" si="2"/>
        <v>none</v>
      </c>
      <c r="N302" s="112">
        <f>LEN(Tableau13[[#This Row],[LABEL]])</f>
        <v>5</v>
      </c>
      <c r="O302" s="112">
        <v>15</v>
      </c>
      <c r="P302" s="112" t="e">
        <f>ROUND(Tableau13[[#This Row],[LEN]]*#REF!+#REF!,0)</f>
        <v>#REF!</v>
      </c>
    </row>
    <row r="303" spans="1:16" s="97" customFormat="1" x14ac:dyDescent="0.25">
      <c r="A303" s="86" t="s">
        <v>1140</v>
      </c>
      <c r="B303" s="87" t="s">
        <v>1135</v>
      </c>
      <c r="C303" s="88" t="s">
        <v>1090</v>
      </c>
      <c r="D303" s="89" t="s">
        <v>28</v>
      </c>
      <c r="E303" s="88" t="s">
        <v>666</v>
      </c>
      <c r="F303" s="88" t="s">
        <v>784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ROUND(Tableau13[[#This Row],[LEN]]*7.27,0)</f>
        <v>29</v>
      </c>
      <c r="L303" s="112">
        <v>15</v>
      </c>
      <c r="M303" s="129" t="str">
        <f t="shared" si="2"/>
        <v>none</v>
      </c>
      <c r="N303" s="112">
        <f>LEN(Tableau13[[#This Row],[LABEL]])</f>
        <v>4</v>
      </c>
      <c r="O303" s="112">
        <v>15</v>
      </c>
      <c r="P303" s="112" t="e">
        <f>ROUND(Tableau13[[#This Row],[LEN]]*#REF!+#REF!,0)</f>
        <v>#REF!</v>
      </c>
    </row>
    <row r="304" spans="1:16" s="97" customFormat="1" x14ac:dyDescent="0.25">
      <c r="A304" s="86" t="s">
        <v>1141</v>
      </c>
      <c r="B304" s="87" t="s">
        <v>1135</v>
      </c>
      <c r="C304" s="88" t="s">
        <v>1091</v>
      </c>
      <c r="D304" s="89" t="s">
        <v>28</v>
      </c>
      <c r="E304" s="88" t="s">
        <v>666</v>
      </c>
      <c r="F304" s="88" t="s">
        <v>784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ROUND(Tableau13[[#This Row],[LEN]]*7.27,0)</f>
        <v>102</v>
      </c>
      <c r="L304" s="112">
        <v>15</v>
      </c>
      <c r="M304" s="129" t="str">
        <f t="shared" si="2"/>
        <v>none</v>
      </c>
      <c r="N304" s="112">
        <f>LEN(Tableau13[[#This Row],[LABEL]])</f>
        <v>14</v>
      </c>
      <c r="O304" s="112">
        <v>15</v>
      </c>
      <c r="P304" s="112" t="e">
        <f>ROUND(Tableau13[[#This Row],[LEN]]*#REF!+#REF!,0)</f>
        <v>#REF!</v>
      </c>
    </row>
    <row r="305" spans="1:16" s="97" customFormat="1" x14ac:dyDescent="0.25">
      <c r="A305" s="86" t="s">
        <v>1142</v>
      </c>
      <c r="B305" s="212" t="s">
        <v>1135</v>
      </c>
      <c r="C305" s="88" t="s">
        <v>1092</v>
      </c>
      <c r="D305" s="89" t="s">
        <v>28</v>
      </c>
      <c r="E305" s="88" t="s">
        <v>666</v>
      </c>
      <c r="F305" s="88" t="s">
        <v>784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ROUND(Tableau13[[#This Row],[LEN]]*7.27,0)</f>
        <v>153</v>
      </c>
      <c r="L305" s="112">
        <v>15</v>
      </c>
      <c r="M305" s="129" t="str">
        <f t="shared" si="2"/>
        <v>none</v>
      </c>
      <c r="N305" s="112">
        <f>LEN(Tableau13[[#This Row],[LABEL]])</f>
        <v>21</v>
      </c>
      <c r="O305" s="112">
        <v>15</v>
      </c>
      <c r="P305" s="112" t="e">
        <f>ROUND(Tableau13[[#This Row],[LEN]]*#REF!+#REF!,0)</f>
        <v>#REF!</v>
      </c>
    </row>
    <row r="306" spans="1:16" s="97" customFormat="1" x14ac:dyDescent="0.25">
      <c r="A306" s="86" t="s">
        <v>1143</v>
      </c>
      <c r="B306" s="212" t="s">
        <v>1135</v>
      </c>
      <c r="C306" s="88" t="s">
        <v>1093</v>
      </c>
      <c r="D306" s="89" t="s">
        <v>28</v>
      </c>
      <c r="E306" s="88" t="s">
        <v>666</v>
      </c>
      <c r="F306" s="88" t="s">
        <v>784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ROUND(Tableau13[[#This Row],[LEN]]*7.27,0)</f>
        <v>269</v>
      </c>
      <c r="L306" s="112">
        <v>15</v>
      </c>
      <c r="M306" s="129" t="str">
        <f t="shared" si="2"/>
        <v>none</v>
      </c>
      <c r="N306" s="112">
        <f>LEN(Tableau13[[#This Row],[LABEL]])</f>
        <v>37</v>
      </c>
      <c r="O306" s="112">
        <v>15</v>
      </c>
      <c r="P306" s="112" t="e">
        <f>ROUND(Tableau13[[#This Row],[LEN]]*#REF!+#REF!,0)</f>
        <v>#REF!</v>
      </c>
    </row>
    <row r="307" spans="1:16" s="97" customFormat="1" x14ac:dyDescent="0.25">
      <c r="A307" s="29" t="s">
        <v>1136</v>
      </c>
      <c r="B307" s="30" t="s">
        <v>1117</v>
      </c>
      <c r="C307" s="31" t="s">
        <v>1087</v>
      </c>
      <c r="D307" s="71" t="s">
        <v>28</v>
      </c>
      <c r="E307" s="31" t="s">
        <v>666</v>
      </c>
      <c r="F307" s="31" t="s">
        <v>784</v>
      </c>
      <c r="G307" s="71" t="s">
        <v>166</v>
      </c>
      <c r="H307" s="71" t="s">
        <v>655</v>
      </c>
      <c r="I307" s="31"/>
      <c r="J307" s="32" t="s">
        <v>708</v>
      </c>
      <c r="K307" s="111">
        <f>ROUND(Tableau13[[#This Row],[LEN]]*7.27,0)</f>
        <v>109</v>
      </c>
      <c r="L307" s="111">
        <v>15</v>
      </c>
      <c r="M307" s="128" t="str">
        <f t="shared" si="2"/>
        <v>none</v>
      </c>
      <c r="N307" s="111">
        <f>LEN(Tableau13[[#This Row],[LABEL]])</f>
        <v>15</v>
      </c>
      <c r="O307" s="111">
        <v>15</v>
      </c>
      <c r="P307" s="111" t="e">
        <f>ROUND(Tableau13[[#This Row],[LEN]]*#REF!+#REF!,0)</f>
        <v>#REF!</v>
      </c>
    </row>
    <row r="308" spans="1:16" s="97" customFormat="1" x14ac:dyDescent="0.25">
      <c r="A308" s="86" t="s">
        <v>1144</v>
      </c>
      <c r="B308" s="87" t="s">
        <v>1136</v>
      </c>
      <c r="C308" s="88" t="s">
        <v>1100</v>
      </c>
      <c r="D308" s="89" t="s">
        <v>28</v>
      </c>
      <c r="E308" s="88" t="s">
        <v>666</v>
      </c>
      <c r="F308" s="88" t="s">
        <v>784</v>
      </c>
      <c r="G308" s="89" t="s">
        <v>166</v>
      </c>
      <c r="H308" s="90" t="s">
        <v>18</v>
      </c>
      <c r="I308" s="88"/>
      <c r="J308" s="91" t="s">
        <v>708</v>
      </c>
      <c r="K308" s="112">
        <f>ROUND(Tableau13[[#This Row],[LEN]]*7.27,0)</f>
        <v>22</v>
      </c>
      <c r="L308" s="112">
        <v>15</v>
      </c>
      <c r="M308" s="129" t="str">
        <f t="shared" si="2"/>
        <v>none</v>
      </c>
      <c r="N308" s="112">
        <f>LEN(Tableau13[[#This Row],[LABEL]])</f>
        <v>3</v>
      </c>
      <c r="O308" s="112">
        <v>15</v>
      </c>
      <c r="P308" s="112" t="e">
        <f>ROUND(Tableau13[[#This Row],[LEN]]*#REF!+#REF!,0)</f>
        <v>#REF!</v>
      </c>
    </row>
    <row r="309" spans="1:16" s="97" customFormat="1" x14ac:dyDescent="0.25">
      <c r="A309" s="86" t="s">
        <v>1145</v>
      </c>
      <c r="B309" s="87" t="s">
        <v>1136</v>
      </c>
      <c r="C309" s="88" t="s">
        <v>1101</v>
      </c>
      <c r="D309" s="89" t="s">
        <v>28</v>
      </c>
      <c r="E309" s="88" t="s">
        <v>666</v>
      </c>
      <c r="F309" s="88" t="s">
        <v>784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ROUND(Tableau13[[#This Row],[LEN]]*7.27,0)</f>
        <v>36</v>
      </c>
      <c r="L309" s="112">
        <v>15</v>
      </c>
      <c r="M309" s="129" t="str">
        <f t="shared" si="2"/>
        <v>none</v>
      </c>
      <c r="N309" s="112">
        <f>LEN(Tableau13[[#This Row],[LABEL]])</f>
        <v>5</v>
      </c>
      <c r="O309" s="112">
        <v>15</v>
      </c>
      <c r="P309" s="112" t="e">
        <f>ROUND(Tableau13[[#This Row],[LEN]]*#REF!+#REF!,0)</f>
        <v>#REF!</v>
      </c>
    </row>
    <row r="310" spans="1:16" s="97" customFormat="1" x14ac:dyDescent="0.25">
      <c r="A310" s="86" t="s">
        <v>1146</v>
      </c>
      <c r="B310" s="87" t="s">
        <v>1136</v>
      </c>
      <c r="C310" s="88" t="s">
        <v>812</v>
      </c>
      <c r="D310" s="89" t="s">
        <v>28</v>
      </c>
      <c r="E310" s="88" t="s">
        <v>666</v>
      </c>
      <c r="F310" s="88" t="s">
        <v>784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ROUND(Tableau13[[#This Row],[LEN]]*7.27,0)</f>
        <v>131</v>
      </c>
      <c r="L310" s="112">
        <v>15</v>
      </c>
      <c r="M310" s="129" t="str">
        <f t="shared" si="2"/>
        <v>none</v>
      </c>
      <c r="N310" s="112">
        <f>LEN(Tableau13[[#This Row],[LABEL]])</f>
        <v>18</v>
      </c>
      <c r="O310" s="112">
        <v>15</v>
      </c>
      <c r="P310" s="112" t="e">
        <f>ROUND(Tableau13[[#This Row],[LEN]]*#REF!+#REF!,0)</f>
        <v>#REF!</v>
      </c>
    </row>
    <row r="311" spans="1:16" s="97" customFormat="1" x14ac:dyDescent="0.25">
      <c r="A311" s="29" t="s">
        <v>1137</v>
      </c>
      <c r="B311" s="30" t="s">
        <v>1117</v>
      </c>
      <c r="C311" s="31" t="s">
        <v>15</v>
      </c>
      <c r="D311" s="71" t="s">
        <v>28</v>
      </c>
      <c r="E311" s="31" t="s">
        <v>666</v>
      </c>
      <c r="F311" s="31" t="s">
        <v>784</v>
      </c>
      <c r="G311" s="71" t="s">
        <v>166</v>
      </c>
      <c r="H311" s="71" t="s">
        <v>655</v>
      </c>
      <c r="I311" s="31"/>
      <c r="J311" s="32" t="s">
        <v>708</v>
      </c>
      <c r="K311" s="111">
        <f>ROUND(Tableau13[[#This Row],[LEN]]*7.27,0)</f>
        <v>174</v>
      </c>
      <c r="L311" s="111">
        <v>15</v>
      </c>
      <c r="M311" s="128" t="str">
        <f t="shared" si="2"/>
        <v>none</v>
      </c>
      <c r="N311" s="111">
        <f>LEN(Tableau13[[#This Row],[LABEL]])</f>
        <v>24</v>
      </c>
      <c r="O311" s="111">
        <v>15</v>
      </c>
      <c r="P311" s="111" t="e">
        <f>ROUND(Tableau13[[#This Row],[LEN]]*#REF!+#REF!,0)</f>
        <v>#REF!</v>
      </c>
    </row>
    <row r="312" spans="1:16" s="97" customFormat="1" x14ac:dyDescent="0.25">
      <c r="A312" s="86" t="s">
        <v>1147</v>
      </c>
      <c r="B312" s="87" t="s">
        <v>1137</v>
      </c>
      <c r="C312" s="88" t="s">
        <v>1100</v>
      </c>
      <c r="D312" s="89" t="s">
        <v>28</v>
      </c>
      <c r="E312" s="88" t="s">
        <v>666</v>
      </c>
      <c r="F312" s="88" t="s">
        <v>784</v>
      </c>
      <c r="G312" s="89" t="s">
        <v>166</v>
      </c>
      <c r="H312" s="90" t="s">
        <v>18</v>
      </c>
      <c r="I312" s="88"/>
      <c r="J312" s="91" t="s">
        <v>708</v>
      </c>
      <c r="K312" s="112">
        <f>ROUND(Tableau13[[#This Row],[LEN]]*7.27,0)</f>
        <v>22</v>
      </c>
      <c r="L312" s="112">
        <v>15</v>
      </c>
      <c r="M312" s="129" t="str">
        <f t="shared" si="2"/>
        <v>none</v>
      </c>
      <c r="N312" s="112">
        <f>LEN(Tableau13[[#This Row],[LABEL]])</f>
        <v>3</v>
      </c>
      <c r="O312" s="112">
        <v>15</v>
      </c>
      <c r="P312" s="112" t="e">
        <f>ROUND(Tableau13[[#This Row],[LEN]]*#REF!+#REF!,0)</f>
        <v>#REF!</v>
      </c>
    </row>
    <row r="313" spans="1:16" s="97" customFormat="1" x14ac:dyDescent="0.25">
      <c r="A313" s="86" t="s">
        <v>1148</v>
      </c>
      <c r="B313" s="87" t="s">
        <v>1137</v>
      </c>
      <c r="C313" s="88" t="s">
        <v>807</v>
      </c>
      <c r="D313" s="89" t="s">
        <v>28</v>
      </c>
      <c r="E313" s="88" t="s">
        <v>666</v>
      </c>
      <c r="F313" s="88" t="s">
        <v>784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ROUND(Tableau13[[#This Row],[LEN]]*7.27,0)</f>
        <v>218</v>
      </c>
      <c r="L313" s="112">
        <v>15</v>
      </c>
      <c r="M313" s="129" t="str">
        <f t="shared" si="2"/>
        <v>none</v>
      </c>
      <c r="N313" s="112">
        <f>LEN(Tableau13[[#This Row],[LABEL]])</f>
        <v>30</v>
      </c>
      <c r="O313" s="112">
        <v>15</v>
      </c>
      <c r="P313" s="112" t="e">
        <f>ROUND(Tableau13[[#This Row],[LEN]]*#REF!+#REF!,0)</f>
        <v>#REF!</v>
      </c>
    </row>
    <row r="314" spans="1:16" s="97" customFormat="1" x14ac:dyDescent="0.25">
      <c r="A314" s="86" t="s">
        <v>1149</v>
      </c>
      <c r="B314" s="87" t="s">
        <v>1137</v>
      </c>
      <c r="C314" s="88" t="s">
        <v>1112</v>
      </c>
      <c r="D314" s="89" t="s">
        <v>28</v>
      </c>
      <c r="E314" s="88" t="s">
        <v>666</v>
      </c>
      <c r="F314" s="88" t="s">
        <v>784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ROUND(Tableau13[[#This Row],[LEN]]*7.27,0)</f>
        <v>240</v>
      </c>
      <c r="L314" s="112">
        <v>15</v>
      </c>
      <c r="M314" s="129" t="str">
        <f t="shared" si="2"/>
        <v>none</v>
      </c>
      <c r="N314" s="112">
        <f>LEN(Tableau13[[#This Row],[LABEL]])</f>
        <v>33</v>
      </c>
      <c r="O314" s="112">
        <v>15</v>
      </c>
      <c r="P314" s="112" t="e">
        <f>ROUND(Tableau13[[#This Row],[LEN]]*#REF!+#REF!,0)</f>
        <v>#REF!</v>
      </c>
    </row>
    <row r="315" spans="1:16" s="97" customFormat="1" x14ac:dyDescent="0.25">
      <c r="A315" s="86" t="s">
        <v>1150</v>
      </c>
      <c r="B315" s="87" t="s">
        <v>1137</v>
      </c>
      <c r="C315" s="88" t="s">
        <v>1113</v>
      </c>
      <c r="D315" s="89" t="s">
        <v>28</v>
      </c>
      <c r="E315" s="88" t="s">
        <v>666</v>
      </c>
      <c r="F315" s="88" t="s">
        <v>784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ROUND(Tableau13[[#This Row],[LEN]]*7.27,0)</f>
        <v>116</v>
      </c>
      <c r="L315" s="112">
        <v>15</v>
      </c>
      <c r="M315" s="129" t="str">
        <f t="shared" si="2"/>
        <v>none</v>
      </c>
      <c r="N315" s="112">
        <f>LEN(Tableau13[[#This Row],[LABEL]])</f>
        <v>16</v>
      </c>
      <c r="O315" s="112">
        <v>15</v>
      </c>
      <c r="P315" s="112" t="e">
        <f>ROUND(Tableau13[[#This Row],[LEN]]*#REF!+#REF!,0)</f>
        <v>#REF!</v>
      </c>
    </row>
    <row r="316" spans="1:16" s="97" customFormat="1" x14ac:dyDescent="0.25">
      <c r="A316" s="86" t="s">
        <v>1151</v>
      </c>
      <c r="B316" s="87" t="s">
        <v>1137</v>
      </c>
      <c r="C316" s="88" t="s">
        <v>1114</v>
      </c>
      <c r="D316" s="89" t="s">
        <v>28</v>
      </c>
      <c r="E316" s="88" t="s">
        <v>666</v>
      </c>
      <c r="F316" s="88" t="s">
        <v>784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ROUND(Tableau13[[#This Row],[LEN]]*7.27,0)</f>
        <v>116</v>
      </c>
      <c r="L316" s="112">
        <v>15</v>
      </c>
      <c r="M316" s="129" t="str">
        <f t="shared" si="2"/>
        <v>none</v>
      </c>
      <c r="N316" s="112">
        <f>LEN(Tableau13[[#This Row],[LABEL]])</f>
        <v>16</v>
      </c>
      <c r="O316" s="112">
        <v>15</v>
      </c>
      <c r="P316" s="112" t="e">
        <f>ROUND(Tableau13[[#This Row],[LEN]]*#REF!+#REF!,0)</f>
        <v>#REF!</v>
      </c>
    </row>
    <row r="317" spans="1:16" s="97" customFormat="1" x14ac:dyDescent="0.25">
      <c r="A317" s="86" t="s">
        <v>1152</v>
      </c>
      <c r="B317" s="87" t="s">
        <v>1137</v>
      </c>
      <c r="C317" s="88" t="s">
        <v>806</v>
      </c>
      <c r="D317" s="89" t="s">
        <v>28</v>
      </c>
      <c r="E317" s="88" t="s">
        <v>666</v>
      </c>
      <c r="F317" s="88" t="s">
        <v>784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ROUND(Tableau13[[#This Row],[LEN]]*7.27,0)</f>
        <v>174</v>
      </c>
      <c r="L317" s="112">
        <v>15</v>
      </c>
      <c r="M317" s="129" t="str">
        <f t="shared" si="2"/>
        <v>none</v>
      </c>
      <c r="N317" s="112">
        <f>LEN(Tableau13[[#This Row],[LABEL]])</f>
        <v>24</v>
      </c>
      <c r="O317" s="112">
        <v>15</v>
      </c>
      <c r="P317" s="112" t="e">
        <f>ROUND(Tableau13[[#This Row],[LEN]]*#REF!+#REF!,0)</f>
        <v>#REF!</v>
      </c>
    </row>
    <row r="318" spans="1:16" s="97" customFormat="1" x14ac:dyDescent="0.25">
      <c r="A318" s="86" t="s">
        <v>1153</v>
      </c>
      <c r="B318" s="87" t="s">
        <v>1137</v>
      </c>
      <c r="C318" s="88" t="s">
        <v>812</v>
      </c>
      <c r="D318" s="89" t="s">
        <v>28</v>
      </c>
      <c r="E318" s="88" t="s">
        <v>666</v>
      </c>
      <c r="F318" s="88" t="s">
        <v>784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ROUND(Tableau13[[#This Row],[LEN]]*7.27,0)</f>
        <v>131</v>
      </c>
      <c r="L318" s="112">
        <v>15</v>
      </c>
      <c r="M318" s="129" t="str">
        <f t="shared" si="2"/>
        <v>none</v>
      </c>
      <c r="N318" s="112">
        <f>LEN(Tableau13[[#This Row],[LABEL]])</f>
        <v>18</v>
      </c>
      <c r="O318" s="112">
        <v>15</v>
      </c>
      <c r="P318" s="112" t="e">
        <f>ROUND(Tableau13[[#This Row],[LEN]]*#REF!+#REF!,0)</f>
        <v>#REF!</v>
      </c>
    </row>
    <row r="319" spans="1:16" s="97" customFormat="1" x14ac:dyDescent="0.25">
      <c r="A319" s="25" t="s">
        <v>1118</v>
      </c>
      <c r="B319" s="26" t="s">
        <v>253</v>
      </c>
      <c r="C319" s="27" t="s">
        <v>1127</v>
      </c>
      <c r="D319" s="70" t="s">
        <v>28</v>
      </c>
      <c r="E319" s="27" t="s">
        <v>667</v>
      </c>
      <c r="F319" s="27" t="s">
        <v>1132</v>
      </c>
      <c r="G319" s="70" t="s">
        <v>166</v>
      </c>
      <c r="H319" s="70" t="s">
        <v>654</v>
      </c>
      <c r="I319" s="27"/>
      <c r="J319" s="28" t="s">
        <v>708</v>
      </c>
      <c r="K319" s="109">
        <f>ROUND(Tableau13[[#This Row],[LEN]]*7.27,0)</f>
        <v>291</v>
      </c>
      <c r="L319" s="109">
        <v>15</v>
      </c>
      <c r="M319" s="127" t="str">
        <f t="shared" si="2"/>
        <v>none</v>
      </c>
      <c r="N319" s="109">
        <f>LEN(Tableau13[[#This Row],[LABEL]])</f>
        <v>40</v>
      </c>
      <c r="O319" s="109">
        <v>15</v>
      </c>
      <c r="P319" s="109" t="e">
        <f>ROUND(Tableau13[[#This Row],[LEN]]*#REF!+#REF!,0)</f>
        <v>#REF!</v>
      </c>
    </row>
    <row r="320" spans="1:16" s="97" customFormat="1" x14ac:dyDescent="0.25">
      <c r="A320" s="25" t="s">
        <v>1119</v>
      </c>
      <c r="B320" s="26" t="s">
        <v>253</v>
      </c>
      <c r="C320" s="27" t="s">
        <v>1128</v>
      </c>
      <c r="D320" s="70" t="s">
        <v>28</v>
      </c>
      <c r="E320" s="27" t="s">
        <v>667</v>
      </c>
      <c r="F320" s="27" t="s">
        <v>667</v>
      </c>
      <c r="G320" s="70" t="s">
        <v>166</v>
      </c>
      <c r="H320" s="70" t="s">
        <v>656</v>
      </c>
      <c r="I320" s="27"/>
      <c r="J320" s="28" t="s">
        <v>708</v>
      </c>
      <c r="K320" s="109">
        <f>ROUND(Tableau13[[#This Row],[LEN]]*7.27,0)</f>
        <v>422</v>
      </c>
      <c r="L320" s="109">
        <v>15</v>
      </c>
      <c r="M320" s="127" t="str">
        <f t="shared" si="2"/>
        <v>none</v>
      </c>
      <c r="N320" s="109">
        <f>LEN(Tableau13[[#This Row],[LABEL]])</f>
        <v>58</v>
      </c>
      <c r="O320" s="109">
        <v>15</v>
      </c>
      <c r="P320" s="109" t="e">
        <f>ROUND(Tableau13[[#This Row],[LEN]]*#REF!+#REF!,0)</f>
        <v>#REF!</v>
      </c>
    </row>
    <row r="321" spans="1:16" s="97" customFormat="1" x14ac:dyDescent="0.25">
      <c r="A321" s="25" t="s">
        <v>1120</v>
      </c>
      <c r="B321" s="26" t="s">
        <v>253</v>
      </c>
      <c r="C321" s="27" t="s">
        <v>1154</v>
      </c>
      <c r="D321" s="70" t="s">
        <v>28</v>
      </c>
      <c r="E321" s="27" t="s">
        <v>667</v>
      </c>
      <c r="F321" s="27" t="s">
        <v>1133</v>
      </c>
      <c r="G321" s="70" t="s">
        <v>166</v>
      </c>
      <c r="H321" s="70" t="s">
        <v>18</v>
      </c>
      <c r="I321" s="27"/>
      <c r="J321" s="28" t="s">
        <v>102</v>
      </c>
      <c r="K321" s="109">
        <f>ROUND(Tableau13[[#This Row],[LEN]]*7.27,0)</f>
        <v>443</v>
      </c>
      <c r="L321" s="109">
        <v>15</v>
      </c>
      <c r="M321" s="127" t="str">
        <f t="shared" si="2"/>
        <v>new</v>
      </c>
      <c r="N321" s="109">
        <f>LEN(Tableau13[[#This Row],[LABEL]])</f>
        <v>61</v>
      </c>
      <c r="O321" s="109">
        <v>15</v>
      </c>
      <c r="P321" s="109" t="e">
        <f>ROUND(Tableau13[[#This Row],[LEN]]*#REF!+#REF!,0)</f>
        <v>#REF!</v>
      </c>
    </row>
    <row r="322" spans="1:16" s="97" customFormat="1" x14ac:dyDescent="0.25">
      <c r="A322" s="25" t="s">
        <v>1121</v>
      </c>
      <c r="B322" s="26" t="s">
        <v>253</v>
      </c>
      <c r="C322" s="27" t="s">
        <v>778</v>
      </c>
      <c r="D322" s="70" t="s">
        <v>28</v>
      </c>
      <c r="E322" s="27" t="s">
        <v>673</v>
      </c>
      <c r="F322" s="27" t="s">
        <v>785</v>
      </c>
      <c r="G322" s="70" t="s">
        <v>166</v>
      </c>
      <c r="H322" s="70" t="s">
        <v>17</v>
      </c>
      <c r="I322" s="27"/>
      <c r="J322" s="28" t="s">
        <v>708</v>
      </c>
      <c r="K322" s="109">
        <f>ROUND(Tableau13[[#This Row],[LEN]]*7.27,0)</f>
        <v>211</v>
      </c>
      <c r="L322" s="109">
        <v>15</v>
      </c>
      <c r="M322" s="127" t="str">
        <f t="shared" si="2"/>
        <v>none</v>
      </c>
      <c r="N322" s="109">
        <f>LEN(Tableau13[[#This Row],[LABEL]])</f>
        <v>29</v>
      </c>
      <c r="O322" s="109">
        <v>15</v>
      </c>
      <c r="P322" s="109" t="e">
        <f>ROUND(Tableau13[[#This Row],[LEN]]*#REF!+#REF!,0)</f>
        <v>#REF!</v>
      </c>
    </row>
    <row r="323" spans="1:16" s="97" customFormat="1" x14ac:dyDescent="0.25">
      <c r="A323" s="25" t="s">
        <v>1122</v>
      </c>
      <c r="B323" s="26" t="s">
        <v>253</v>
      </c>
      <c r="C323" s="27" t="s">
        <v>92</v>
      </c>
      <c r="D323" s="70" t="s">
        <v>28</v>
      </c>
      <c r="E323" s="27" t="s">
        <v>663</v>
      </c>
      <c r="F323" s="27" t="s">
        <v>786</v>
      </c>
      <c r="G323" s="70" t="s">
        <v>166</v>
      </c>
      <c r="H323" s="70" t="s">
        <v>655</v>
      </c>
      <c r="I323" s="27"/>
      <c r="J323" s="28" t="s">
        <v>708</v>
      </c>
      <c r="K323" s="109">
        <f>ROUND(Tableau13[[#This Row],[LEN]]*7.27,0)</f>
        <v>262</v>
      </c>
      <c r="L323" s="109">
        <v>15</v>
      </c>
      <c r="M323" s="127" t="str">
        <f t="shared" si="2"/>
        <v>none</v>
      </c>
      <c r="N323" s="109">
        <f>LEN(Tableau13[[#This Row],[LABEL]])</f>
        <v>36</v>
      </c>
      <c r="O323" s="109">
        <v>15</v>
      </c>
      <c r="P323" s="109" t="e">
        <f>ROUND(Tableau13[[#This Row],[LEN]]*#REF!+#REF!,0)</f>
        <v>#REF!</v>
      </c>
    </row>
    <row r="324" spans="1:16" s="97" customFormat="1" x14ac:dyDescent="0.25">
      <c r="A324" s="29" t="s">
        <v>1155</v>
      </c>
      <c r="B324" s="30" t="s">
        <v>1122</v>
      </c>
      <c r="C324" s="31" t="s">
        <v>95</v>
      </c>
      <c r="D324" s="71" t="s">
        <v>28</v>
      </c>
      <c r="E324" s="31" t="s">
        <v>663</v>
      </c>
      <c r="F324" s="31" t="s">
        <v>786</v>
      </c>
      <c r="G324" s="71" t="s">
        <v>166</v>
      </c>
      <c r="H324" s="71" t="s">
        <v>17</v>
      </c>
      <c r="I324" s="31"/>
      <c r="J324" s="32" t="s">
        <v>708</v>
      </c>
      <c r="K324" s="111">
        <f>ROUND(Tableau13[[#This Row],[LEN]]*7.27,0)</f>
        <v>254</v>
      </c>
      <c r="L324" s="111">
        <v>15</v>
      </c>
      <c r="M324" s="128" t="str">
        <f t="shared" si="2"/>
        <v>none</v>
      </c>
      <c r="N324" s="111">
        <f>LEN(Tableau13[[#This Row],[LABEL]])</f>
        <v>35</v>
      </c>
      <c r="O324" s="111">
        <v>15</v>
      </c>
      <c r="P324" s="111" t="e">
        <f>ROUND(Tableau13[[#This Row],[LEN]]*#REF!+#REF!,0)</f>
        <v>#REF!</v>
      </c>
    </row>
    <row r="325" spans="1:16" s="97" customFormat="1" x14ac:dyDescent="0.25">
      <c r="A325" s="29" t="s">
        <v>1156</v>
      </c>
      <c r="B325" s="30" t="s">
        <v>1122</v>
      </c>
      <c r="C325" s="31" t="s">
        <v>96</v>
      </c>
      <c r="D325" s="71" t="s">
        <v>28</v>
      </c>
      <c r="E325" s="31" t="s">
        <v>663</v>
      </c>
      <c r="F325" s="31" t="s">
        <v>786</v>
      </c>
      <c r="G325" s="71" t="s">
        <v>166</v>
      </c>
      <c r="H325" s="71" t="s">
        <v>654</v>
      </c>
      <c r="I325" s="31"/>
      <c r="J325" s="32" t="s">
        <v>708</v>
      </c>
      <c r="K325" s="111">
        <f>ROUND(Tableau13[[#This Row],[LEN]]*7.27,0)</f>
        <v>233</v>
      </c>
      <c r="L325" s="111">
        <v>15</v>
      </c>
      <c r="M325" s="128" t="str">
        <f t="shared" si="2"/>
        <v>none</v>
      </c>
      <c r="N325" s="111">
        <f>LEN(Tableau13[[#This Row],[LABEL]])</f>
        <v>32</v>
      </c>
      <c r="O325" s="111">
        <v>15</v>
      </c>
      <c r="P325" s="111" t="e">
        <f>ROUND(Tableau13[[#This Row],[LEN]]*#REF!+#REF!,0)</f>
        <v>#REF!</v>
      </c>
    </row>
    <row r="326" spans="1:16" s="97" customFormat="1" x14ac:dyDescent="0.25">
      <c r="A326" s="29" t="s">
        <v>1157</v>
      </c>
      <c r="B326" s="30" t="s">
        <v>1122</v>
      </c>
      <c r="C326" s="31" t="s">
        <v>97</v>
      </c>
      <c r="D326" s="71" t="s">
        <v>28</v>
      </c>
      <c r="E326" s="31" t="s">
        <v>663</v>
      </c>
      <c r="F326" s="31" t="s">
        <v>786</v>
      </c>
      <c r="G326" s="71" t="s">
        <v>166</v>
      </c>
      <c r="H326" s="71" t="s">
        <v>656</v>
      </c>
      <c r="I326" s="31"/>
      <c r="J326" s="32" t="s">
        <v>708</v>
      </c>
      <c r="K326" s="111">
        <f>ROUND(Tableau13[[#This Row],[LEN]]*7.27,0)</f>
        <v>145</v>
      </c>
      <c r="L326" s="111">
        <v>15</v>
      </c>
      <c r="M326" s="128" t="str">
        <f t="shared" si="2"/>
        <v>none</v>
      </c>
      <c r="N326" s="111">
        <f>LEN(Tableau13[[#This Row],[LABEL]])</f>
        <v>20</v>
      </c>
      <c r="O326" s="111">
        <v>15</v>
      </c>
      <c r="P326" s="111" t="e">
        <f>ROUND(Tableau13[[#This Row],[LEN]]*#REF!+#REF!,0)</f>
        <v>#REF!</v>
      </c>
    </row>
    <row r="327" spans="1:16" s="97" customFormat="1" x14ac:dyDescent="0.25">
      <c r="A327" s="25" t="s">
        <v>1123</v>
      </c>
      <c r="B327" s="26" t="s">
        <v>253</v>
      </c>
      <c r="C327" s="27" t="s">
        <v>1129</v>
      </c>
      <c r="D327" s="70" t="s">
        <v>28</v>
      </c>
      <c r="E327" s="27" t="s">
        <v>667</v>
      </c>
      <c r="F327" s="27" t="s">
        <v>1134</v>
      </c>
      <c r="G327" s="70" t="s">
        <v>166</v>
      </c>
      <c r="H327" s="70" t="s">
        <v>18</v>
      </c>
      <c r="I327" s="27"/>
      <c r="J327" s="28" t="s">
        <v>101</v>
      </c>
      <c r="K327" s="109">
        <f>ROUND(Tableau13[[#This Row],[LEN]]*7.27,0)</f>
        <v>436</v>
      </c>
      <c r="L327" s="109">
        <v>15</v>
      </c>
      <c r="M327" s="127" t="str">
        <f t="shared" si="2"/>
        <v>new</v>
      </c>
      <c r="N327" s="109">
        <f>LEN(Tableau13[[#This Row],[LABEL]])</f>
        <v>60</v>
      </c>
      <c r="O327" s="109">
        <v>15</v>
      </c>
      <c r="P327" s="109" t="e">
        <f>ROUND(Tableau13[[#This Row],[LEN]]*#REF!+#REF!,0)</f>
        <v>#REF!</v>
      </c>
    </row>
    <row r="328" spans="1:16" s="97" customFormat="1" x14ac:dyDescent="0.25">
      <c r="A328" s="25" t="s">
        <v>1124</v>
      </c>
      <c r="B328" s="26" t="s">
        <v>253</v>
      </c>
      <c r="C328" s="27" t="s">
        <v>1130</v>
      </c>
      <c r="D328" s="70" t="s">
        <v>28</v>
      </c>
      <c r="E328" s="27" t="s">
        <v>667</v>
      </c>
      <c r="F328" s="27" t="s">
        <v>1134</v>
      </c>
      <c r="G328" s="70" t="s">
        <v>166</v>
      </c>
      <c r="H328" s="70" t="s">
        <v>18</v>
      </c>
      <c r="I328" s="27"/>
      <c r="J328" s="28" t="s">
        <v>708</v>
      </c>
      <c r="K328" s="109">
        <f>ROUND(Tableau13[[#This Row],[LEN]]*7.27,0)</f>
        <v>291</v>
      </c>
      <c r="L328" s="109">
        <v>15</v>
      </c>
      <c r="M328" s="127" t="str">
        <f t="shared" si="2"/>
        <v>none</v>
      </c>
      <c r="N328" s="109">
        <f>LEN(Tableau13[[#This Row],[LABEL]])</f>
        <v>40</v>
      </c>
      <c r="O328" s="109">
        <v>15</v>
      </c>
      <c r="P328" s="109" t="e">
        <f>ROUND(Tableau13[[#This Row],[LEN]]*#REF!+#REF!,0)</f>
        <v>#REF!</v>
      </c>
    </row>
    <row r="329" spans="1:16" s="97" customFormat="1" x14ac:dyDescent="0.25">
      <c r="A329" s="25" t="s">
        <v>1125</v>
      </c>
      <c r="B329" s="26" t="s">
        <v>253</v>
      </c>
      <c r="C329" s="27" t="s">
        <v>1167</v>
      </c>
      <c r="D329" s="70" t="s">
        <v>486</v>
      </c>
      <c r="E329" s="27" t="s">
        <v>1085</v>
      </c>
      <c r="F329" s="27" t="s">
        <v>1084</v>
      </c>
      <c r="G329" s="70" t="s">
        <v>166</v>
      </c>
      <c r="H329" s="70" t="s">
        <v>1131</v>
      </c>
      <c r="I329" s="27"/>
      <c r="J329" s="28" t="s">
        <v>708</v>
      </c>
      <c r="K329" s="109">
        <f>ROUND(Tableau13[[#This Row],[LEN]]*7.27,0)</f>
        <v>196</v>
      </c>
      <c r="L329" s="109">
        <v>15</v>
      </c>
      <c r="M329" s="127" t="str">
        <f t="shared" si="2"/>
        <v>none</v>
      </c>
      <c r="N329" s="109">
        <f>LEN(Tableau13[[#This Row],[LABEL]])</f>
        <v>27</v>
      </c>
      <c r="O329" s="109">
        <v>15</v>
      </c>
      <c r="P329" s="109" t="e">
        <f>ROUND(Tableau13[[#This Row],[LEN]]*#REF!+#REF!,0)</f>
        <v>#REF!</v>
      </c>
    </row>
    <row r="330" spans="1:16" s="97" customFormat="1" x14ac:dyDescent="0.25">
      <c r="A330" s="29" t="s">
        <v>1163</v>
      </c>
      <c r="B330" s="30" t="s">
        <v>1125</v>
      </c>
      <c r="C330" s="31" t="s">
        <v>93</v>
      </c>
      <c r="D330" s="71" t="s">
        <v>28</v>
      </c>
      <c r="E330" s="31" t="s">
        <v>1085</v>
      </c>
      <c r="F330" s="31" t="s">
        <v>1084</v>
      </c>
      <c r="G330" s="71" t="s">
        <v>166</v>
      </c>
      <c r="H330" s="71" t="s">
        <v>18</v>
      </c>
      <c r="I330" s="31"/>
      <c r="J330" s="32" t="s">
        <v>101</v>
      </c>
      <c r="K330" s="111">
        <f>ROUND(Tableau13[[#This Row],[LEN]]*7.27,0)</f>
        <v>109</v>
      </c>
      <c r="L330" s="111">
        <v>15</v>
      </c>
      <c r="M330" s="128" t="str">
        <f t="shared" si="2"/>
        <v>new</v>
      </c>
      <c r="N330" s="111">
        <f>LEN(Tableau13[[#This Row],[LABEL]])</f>
        <v>15</v>
      </c>
      <c r="O330" s="111">
        <v>15</v>
      </c>
      <c r="P330" s="111" t="e">
        <f>ROUND(Tableau13[[#This Row],[LEN]]*#REF!+#REF!,0)</f>
        <v>#REF!</v>
      </c>
    </row>
    <row r="331" spans="1:16" s="97" customFormat="1" x14ac:dyDescent="0.25">
      <c r="A331" s="29" t="s">
        <v>1164</v>
      </c>
      <c r="B331" s="30" t="s">
        <v>1125</v>
      </c>
      <c r="C331" s="31" t="s">
        <v>94</v>
      </c>
      <c r="D331" s="71" t="s">
        <v>28</v>
      </c>
      <c r="E331" s="31" t="s">
        <v>1085</v>
      </c>
      <c r="F331" s="31" t="s">
        <v>1084</v>
      </c>
      <c r="G331" s="71" t="s">
        <v>166</v>
      </c>
      <c r="H331" s="71" t="s">
        <v>18</v>
      </c>
      <c r="I331" s="31"/>
      <c r="J331" s="32" t="s">
        <v>102</v>
      </c>
      <c r="K331" s="111">
        <f>ROUND(Tableau13[[#This Row],[LEN]]*7.27,0)</f>
        <v>58</v>
      </c>
      <c r="L331" s="111">
        <v>15</v>
      </c>
      <c r="M331" s="128" t="str">
        <f t="shared" si="2"/>
        <v>new</v>
      </c>
      <c r="N331" s="111">
        <f>LEN(Tableau13[[#This Row],[LABEL]])</f>
        <v>8</v>
      </c>
      <c r="O331" s="111">
        <v>15</v>
      </c>
      <c r="P331" s="111" t="e">
        <f>ROUND(Tableau13[[#This Row],[LEN]]*#REF!+#REF!,0)</f>
        <v>#REF!</v>
      </c>
    </row>
    <row r="332" spans="1:16" s="273" customFormat="1" x14ac:dyDescent="0.25">
      <c r="A332" s="288" t="s">
        <v>254</v>
      </c>
      <c r="B332" s="289" t="s">
        <v>206</v>
      </c>
      <c r="C332" s="290" t="s">
        <v>5</v>
      </c>
      <c r="D332" s="291" t="s">
        <v>28</v>
      </c>
      <c r="E332" s="290" t="s">
        <v>668</v>
      </c>
      <c r="F332" s="290" t="s">
        <v>668</v>
      </c>
      <c r="G332" s="291" t="s">
        <v>166</v>
      </c>
      <c r="H332" s="291" t="str">
        <f>IFERROR(IF(SEARCH(".00.00.00.00.00",Tableau13[[#This Row],[name]],1)=7,"Division",""),"")</f>
        <v>Division</v>
      </c>
      <c r="I332" s="290"/>
      <c r="J332" s="292" t="s">
        <v>714</v>
      </c>
      <c r="K332" s="293">
        <f>ROUND(Tableau13[[#This Row],[LEN]]*7.27,0)</f>
        <v>73</v>
      </c>
      <c r="L332" s="293">
        <v>15</v>
      </c>
      <c r="M332" s="294" t="str">
        <f t="shared" si="2"/>
        <v>new</v>
      </c>
      <c r="N332" s="293">
        <f>LEN(Tableau13[[#This Row],[LABEL]])</f>
        <v>10</v>
      </c>
      <c r="O332" s="293">
        <v>15</v>
      </c>
      <c r="P332" s="293" t="e">
        <f>ROUND(Tableau13[[#This Row],[LEN]]*#REF!+#REF!,0)</f>
        <v>#REF!</v>
      </c>
    </row>
    <row r="333" spans="1:16" s="97" customFormat="1" x14ac:dyDescent="0.25">
      <c r="A333" s="25" t="s">
        <v>1171</v>
      </c>
      <c r="B333" s="26" t="s">
        <v>254</v>
      </c>
      <c r="C333" s="27" t="s">
        <v>1168</v>
      </c>
      <c r="D333" s="70" t="s">
        <v>28</v>
      </c>
      <c r="E333" s="27" t="s">
        <v>668</v>
      </c>
      <c r="F333" s="27" t="s">
        <v>1178</v>
      </c>
      <c r="G333" s="70" t="s">
        <v>166</v>
      </c>
      <c r="H333" s="70" t="s">
        <v>654</v>
      </c>
      <c r="I333" s="27"/>
      <c r="J333" s="28" t="s">
        <v>708</v>
      </c>
      <c r="K333" s="109">
        <f>ROUND(Tableau13[[#This Row],[LEN]]*7.27,0)</f>
        <v>262</v>
      </c>
      <c r="L333" s="109">
        <v>15</v>
      </c>
      <c r="M333" s="127" t="str">
        <f t="shared" si="2"/>
        <v>none</v>
      </c>
      <c r="N333" s="109">
        <f>LEN(Tableau13[[#This Row],[LABEL]])</f>
        <v>36</v>
      </c>
      <c r="O333" s="109">
        <v>15</v>
      </c>
      <c r="P333" s="109" t="e">
        <f>ROUND(Tableau13[[#This Row],[LEN]]*#REF!+#REF!,0)</f>
        <v>#REF!</v>
      </c>
    </row>
    <row r="334" spans="1:16" s="97" customFormat="1" x14ac:dyDescent="0.25">
      <c r="A334" s="25" t="s">
        <v>1172</v>
      </c>
      <c r="B334" s="26" t="s">
        <v>254</v>
      </c>
      <c r="C334" s="27" t="s">
        <v>1170</v>
      </c>
      <c r="D334" s="70" t="s">
        <v>28</v>
      </c>
      <c r="E334" s="27" t="s">
        <v>667</v>
      </c>
      <c r="F334" s="27" t="s">
        <v>1179</v>
      </c>
      <c r="G334" s="70" t="s">
        <v>166</v>
      </c>
      <c r="H334" s="70" t="s">
        <v>655</v>
      </c>
      <c r="I334" s="27"/>
      <c r="J334" s="28" t="s">
        <v>708</v>
      </c>
      <c r="K334" s="109">
        <f>ROUND(Tableau13[[#This Row],[LEN]]*7.27,0)</f>
        <v>138</v>
      </c>
      <c r="L334" s="109">
        <v>15</v>
      </c>
      <c r="M334" s="127" t="str">
        <f t="shared" si="2"/>
        <v>none</v>
      </c>
      <c r="N334" s="109">
        <f>LEN(Tableau13[[#This Row],[LABEL]])</f>
        <v>19</v>
      </c>
      <c r="O334" s="109">
        <v>15</v>
      </c>
      <c r="P334" s="109" t="e">
        <f>ROUND(Tableau13[[#This Row],[LEN]]*#REF!+#REF!,0)</f>
        <v>#REF!</v>
      </c>
    </row>
    <row r="335" spans="1:16" s="97" customFormat="1" x14ac:dyDescent="0.25">
      <c r="A335" s="29" t="s">
        <v>1180</v>
      </c>
      <c r="B335" s="30" t="s">
        <v>1172</v>
      </c>
      <c r="C335" s="31" t="s">
        <v>1184</v>
      </c>
      <c r="D335" s="71" t="s">
        <v>28</v>
      </c>
      <c r="E335" s="31" t="s">
        <v>667</v>
      </c>
      <c r="F335" s="31" t="s">
        <v>1179</v>
      </c>
      <c r="G335" s="71" t="s">
        <v>166</v>
      </c>
      <c r="H335" s="71" t="s">
        <v>18</v>
      </c>
      <c r="I335" s="31"/>
      <c r="J335" s="32" t="s">
        <v>708</v>
      </c>
      <c r="K335" s="111">
        <f>ROUND(Tableau13[[#This Row],[LEN]]*7.27,0)</f>
        <v>211</v>
      </c>
      <c r="L335" s="111">
        <v>15</v>
      </c>
      <c r="M335" s="128" t="str">
        <f t="shared" si="2"/>
        <v>none</v>
      </c>
      <c r="N335" s="111">
        <f>LEN(Tableau13[[#This Row],[LABEL]])</f>
        <v>29</v>
      </c>
      <c r="O335" s="111">
        <v>15</v>
      </c>
      <c r="P335" s="111" t="e">
        <f>ROUND(Tableau13[[#This Row],[LEN]]*#REF!+#REF!,0)</f>
        <v>#REF!</v>
      </c>
    </row>
    <row r="336" spans="1:16" s="97" customFormat="1" x14ac:dyDescent="0.25">
      <c r="A336" s="29" t="s">
        <v>1181</v>
      </c>
      <c r="B336" s="30" t="s">
        <v>1172</v>
      </c>
      <c r="C336" s="31" t="s">
        <v>1185</v>
      </c>
      <c r="D336" s="71" t="s">
        <v>28</v>
      </c>
      <c r="E336" s="31" t="s">
        <v>667</v>
      </c>
      <c r="F336" s="31" t="s">
        <v>1179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ROUND(Tableau13[[#This Row],[LEN]]*7.27,0)</f>
        <v>291</v>
      </c>
      <c r="L336" s="111">
        <v>15</v>
      </c>
      <c r="M336" s="128" t="str">
        <f t="shared" si="2"/>
        <v>none</v>
      </c>
      <c r="N336" s="111">
        <f>LEN(Tableau13[[#This Row],[LABEL]])</f>
        <v>40</v>
      </c>
      <c r="O336" s="111">
        <v>15</v>
      </c>
      <c r="P336" s="111" t="e">
        <f>ROUND(Tableau13[[#This Row],[LEN]]*#REF!+#REF!,0)</f>
        <v>#REF!</v>
      </c>
    </row>
    <row r="337" spans="1:16" s="97" customFormat="1" x14ac:dyDescent="0.25">
      <c r="A337" s="29" t="s">
        <v>1182</v>
      </c>
      <c r="B337" s="30" t="s">
        <v>1172</v>
      </c>
      <c r="C337" s="31" t="s">
        <v>1186</v>
      </c>
      <c r="D337" s="71" t="s">
        <v>28</v>
      </c>
      <c r="E337" s="31" t="s">
        <v>667</v>
      </c>
      <c r="F337" s="31" t="s">
        <v>1179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ROUND(Tableau13[[#This Row],[LEN]]*7.27,0)</f>
        <v>240</v>
      </c>
      <c r="L337" s="111">
        <v>15</v>
      </c>
      <c r="M337" s="128" t="str">
        <f t="shared" si="2"/>
        <v>none</v>
      </c>
      <c r="N337" s="111">
        <f>LEN(Tableau13[[#This Row],[LABEL]])</f>
        <v>33</v>
      </c>
      <c r="O337" s="111">
        <v>15</v>
      </c>
      <c r="P337" s="111" t="e">
        <f>ROUND(Tableau13[[#This Row],[LEN]]*#REF!+#REF!,0)</f>
        <v>#REF!</v>
      </c>
    </row>
    <row r="338" spans="1:16" s="97" customFormat="1" x14ac:dyDescent="0.25">
      <c r="A338" s="29" t="s">
        <v>1183</v>
      </c>
      <c r="B338" s="30" t="s">
        <v>1172</v>
      </c>
      <c r="C338" s="31" t="s">
        <v>1187</v>
      </c>
      <c r="D338" s="71" t="s">
        <v>28</v>
      </c>
      <c r="E338" s="31" t="s">
        <v>667</v>
      </c>
      <c r="F338" s="31" t="s">
        <v>1179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ROUND(Tableau13[[#This Row],[LEN]]*7.27,0)</f>
        <v>356</v>
      </c>
      <c r="L338" s="111">
        <v>15</v>
      </c>
      <c r="M338" s="128" t="str">
        <f t="shared" si="2"/>
        <v>none</v>
      </c>
      <c r="N338" s="111">
        <f>LEN(Tableau13[[#This Row],[LABEL]])</f>
        <v>49</v>
      </c>
      <c r="O338" s="111">
        <v>15</v>
      </c>
      <c r="P338" s="111" t="e">
        <f>ROUND(Tableau13[[#This Row],[LEN]]*#REF!+#REF!,0)</f>
        <v>#REF!</v>
      </c>
    </row>
    <row r="339" spans="1:16" s="97" customFormat="1" x14ac:dyDescent="0.25">
      <c r="A339" s="25" t="s">
        <v>1173</v>
      </c>
      <c r="B339" s="26" t="s">
        <v>254</v>
      </c>
      <c r="C339" s="27" t="s">
        <v>778</v>
      </c>
      <c r="D339" s="70" t="s">
        <v>28</v>
      </c>
      <c r="E339" s="27" t="s">
        <v>673</v>
      </c>
      <c r="F339" s="27" t="s">
        <v>785</v>
      </c>
      <c r="G339" s="70" t="s">
        <v>166</v>
      </c>
      <c r="H339" s="70" t="s">
        <v>17</v>
      </c>
      <c r="I339" s="27"/>
      <c r="J339" s="28" t="s">
        <v>708</v>
      </c>
      <c r="K339" s="109">
        <f>ROUND(Tableau13[[#This Row],[LEN]]*7.27,0)</f>
        <v>211</v>
      </c>
      <c r="L339" s="109">
        <v>15</v>
      </c>
      <c r="M339" s="127" t="str">
        <f t="shared" si="2"/>
        <v>none</v>
      </c>
      <c r="N339" s="109">
        <f>LEN(Tableau13[[#This Row],[LABEL]])</f>
        <v>29</v>
      </c>
      <c r="O339" s="109">
        <v>15</v>
      </c>
      <c r="P339" s="109" t="e">
        <f>ROUND(Tableau13[[#This Row],[LEN]]*#REF!+#REF!,0)</f>
        <v>#REF!</v>
      </c>
    </row>
    <row r="340" spans="1:16" s="97" customFormat="1" x14ac:dyDescent="0.25">
      <c r="A340" s="25" t="s">
        <v>1174</v>
      </c>
      <c r="B340" s="26" t="s">
        <v>254</v>
      </c>
      <c r="C340" s="27" t="s">
        <v>92</v>
      </c>
      <c r="D340" s="70" t="s">
        <v>28</v>
      </c>
      <c r="E340" s="27" t="s">
        <v>663</v>
      </c>
      <c r="F340" s="27" t="s">
        <v>786</v>
      </c>
      <c r="G340" s="70" t="s">
        <v>166</v>
      </c>
      <c r="H340" s="70" t="s">
        <v>655</v>
      </c>
      <c r="I340" s="27"/>
      <c r="J340" s="28" t="s">
        <v>708</v>
      </c>
      <c r="K340" s="109">
        <f>ROUND(Tableau13[[#This Row],[LEN]]*7.27,0)</f>
        <v>262</v>
      </c>
      <c r="L340" s="109">
        <v>15</v>
      </c>
      <c r="M340" s="127" t="str">
        <f t="shared" si="2"/>
        <v>none</v>
      </c>
      <c r="N340" s="109">
        <f>LEN(Tableau13[[#This Row],[LABEL]])</f>
        <v>36</v>
      </c>
      <c r="O340" s="109">
        <v>15</v>
      </c>
      <c r="P340" s="109" t="e">
        <f>ROUND(Tableau13[[#This Row],[LEN]]*#REF!+#REF!,0)</f>
        <v>#REF!</v>
      </c>
    </row>
    <row r="341" spans="1:16" s="97" customFormat="1" x14ac:dyDescent="0.25">
      <c r="A341" s="29" t="s">
        <v>1188</v>
      </c>
      <c r="B341" s="30" t="s">
        <v>1174</v>
      </c>
      <c r="C341" s="31" t="s">
        <v>95</v>
      </c>
      <c r="D341" s="71" t="s">
        <v>28</v>
      </c>
      <c r="E341" s="31" t="s">
        <v>663</v>
      </c>
      <c r="F341" s="31" t="s">
        <v>786</v>
      </c>
      <c r="G341" s="71" t="s">
        <v>166</v>
      </c>
      <c r="H341" s="71" t="s">
        <v>17</v>
      </c>
      <c r="I341" s="31"/>
      <c r="J341" s="32" t="s">
        <v>708</v>
      </c>
      <c r="K341" s="111">
        <f>ROUND(Tableau13[[#This Row],[LEN]]*7.27,0)</f>
        <v>254</v>
      </c>
      <c r="L341" s="111">
        <v>15</v>
      </c>
      <c r="M341" s="128" t="str">
        <f t="shared" si="2"/>
        <v>none</v>
      </c>
      <c r="N341" s="111">
        <f>LEN(Tableau13[[#This Row],[LABEL]])</f>
        <v>35</v>
      </c>
      <c r="O341" s="111">
        <v>15</v>
      </c>
      <c r="P341" s="111" t="e">
        <f>ROUND(Tableau13[[#This Row],[LEN]]*#REF!+#REF!,0)</f>
        <v>#REF!</v>
      </c>
    </row>
    <row r="342" spans="1:16" s="97" customFormat="1" x14ac:dyDescent="0.25">
      <c r="A342" s="29" t="s">
        <v>1189</v>
      </c>
      <c r="B342" s="30" t="s">
        <v>1174</v>
      </c>
      <c r="C342" s="31" t="s">
        <v>96</v>
      </c>
      <c r="D342" s="71" t="s">
        <v>28</v>
      </c>
      <c r="E342" s="31" t="s">
        <v>663</v>
      </c>
      <c r="F342" s="31" t="s">
        <v>786</v>
      </c>
      <c r="G342" s="71" t="s">
        <v>166</v>
      </c>
      <c r="H342" s="71" t="s">
        <v>654</v>
      </c>
      <c r="I342" s="31"/>
      <c r="J342" s="32" t="s">
        <v>708</v>
      </c>
      <c r="K342" s="111">
        <f>ROUND(Tableau13[[#This Row],[LEN]]*7.27,0)</f>
        <v>233</v>
      </c>
      <c r="L342" s="111">
        <v>15</v>
      </c>
      <c r="M342" s="128" t="str">
        <f t="shared" si="2"/>
        <v>none</v>
      </c>
      <c r="N342" s="111">
        <f>LEN(Tableau13[[#This Row],[LABEL]])</f>
        <v>32</v>
      </c>
      <c r="O342" s="111">
        <v>15</v>
      </c>
      <c r="P342" s="111" t="e">
        <f>ROUND(Tableau13[[#This Row],[LEN]]*#REF!+#REF!,0)</f>
        <v>#REF!</v>
      </c>
    </row>
    <row r="343" spans="1:16" s="97" customFormat="1" x14ac:dyDescent="0.25">
      <c r="A343" s="29" t="s">
        <v>1190</v>
      </c>
      <c r="B343" s="30" t="s">
        <v>1174</v>
      </c>
      <c r="C343" s="31" t="s">
        <v>97</v>
      </c>
      <c r="D343" s="71" t="s">
        <v>28</v>
      </c>
      <c r="E343" s="31" t="s">
        <v>663</v>
      </c>
      <c r="F343" s="31" t="s">
        <v>786</v>
      </c>
      <c r="G343" s="71" t="s">
        <v>166</v>
      </c>
      <c r="H343" s="71" t="s">
        <v>656</v>
      </c>
      <c r="I343" s="31"/>
      <c r="J343" s="32" t="s">
        <v>708</v>
      </c>
      <c r="K343" s="111">
        <f>ROUND(Tableau13[[#This Row],[LEN]]*7.27,0)</f>
        <v>145</v>
      </c>
      <c r="L343" s="111">
        <v>15</v>
      </c>
      <c r="M343" s="128" t="str">
        <f t="shared" si="2"/>
        <v>none</v>
      </c>
      <c r="N343" s="111">
        <f>LEN(Tableau13[[#This Row],[LABEL]])</f>
        <v>20</v>
      </c>
      <c r="O343" s="111">
        <v>15</v>
      </c>
      <c r="P343" s="111" t="e">
        <f>ROUND(Tableau13[[#This Row],[LEN]]*#REF!+#REF!,0)</f>
        <v>#REF!</v>
      </c>
    </row>
    <row r="344" spans="1:16" s="97" customFormat="1" x14ac:dyDescent="0.25">
      <c r="A344" s="25" t="s">
        <v>1175</v>
      </c>
      <c r="B344" s="26" t="s">
        <v>254</v>
      </c>
      <c r="C344" s="27" t="s">
        <v>1169</v>
      </c>
      <c r="D344" s="70" t="s">
        <v>28</v>
      </c>
      <c r="E344" s="27" t="s">
        <v>667</v>
      </c>
      <c r="F344" s="27" t="s">
        <v>673</v>
      </c>
      <c r="G344" s="70" t="s">
        <v>166</v>
      </c>
      <c r="H344" s="70" t="s">
        <v>656</v>
      </c>
      <c r="I344" s="27"/>
      <c r="J344" s="28" t="s">
        <v>708</v>
      </c>
      <c r="K344" s="109">
        <f>ROUND(Tableau13[[#This Row],[LEN]]*7.27,0)</f>
        <v>334</v>
      </c>
      <c r="L344" s="109">
        <v>15</v>
      </c>
      <c r="M344" s="127" t="str">
        <f t="shared" si="2"/>
        <v>none</v>
      </c>
      <c r="N344" s="109">
        <f>LEN(Tableau13[[#This Row],[LABEL]])</f>
        <v>46</v>
      </c>
      <c r="O344" s="109">
        <v>15</v>
      </c>
      <c r="P344" s="109" t="e">
        <f>ROUND(Tableau13[[#This Row],[LEN]]*#REF!+#REF!,0)</f>
        <v>#REF!</v>
      </c>
    </row>
    <row r="345" spans="1:16" s="97" customFormat="1" x14ac:dyDescent="0.25">
      <c r="A345" s="25" t="s">
        <v>1176</v>
      </c>
      <c r="B345" s="26" t="s">
        <v>254</v>
      </c>
      <c r="C345" s="27" t="s">
        <v>1167</v>
      </c>
      <c r="D345" s="70" t="s">
        <v>486</v>
      </c>
      <c r="E345" s="27" t="s">
        <v>1177</v>
      </c>
      <c r="F345" s="27" t="s">
        <v>1084</v>
      </c>
      <c r="G345" s="70" t="s">
        <v>166</v>
      </c>
      <c r="H345" s="70" t="s">
        <v>1131</v>
      </c>
      <c r="I345" s="27"/>
      <c r="J345" s="28" t="s">
        <v>708</v>
      </c>
      <c r="K345" s="109">
        <f>ROUND(Tableau13[[#This Row],[LEN]]*7.27,0)</f>
        <v>196</v>
      </c>
      <c r="L345" s="109">
        <v>15</v>
      </c>
      <c r="M345" s="127" t="str">
        <f t="shared" si="2"/>
        <v>none</v>
      </c>
      <c r="N345" s="109">
        <f>LEN(Tableau13[[#This Row],[LABEL]])</f>
        <v>27</v>
      </c>
      <c r="O345" s="109">
        <v>15</v>
      </c>
      <c r="P345" s="109" t="e">
        <f>ROUND(Tableau13[[#This Row],[LEN]]*#REF!+#REF!,0)</f>
        <v>#REF!</v>
      </c>
    </row>
    <row r="346" spans="1:16" s="97" customFormat="1" x14ac:dyDescent="0.25">
      <c r="A346" s="29" t="s">
        <v>1191</v>
      </c>
      <c r="B346" s="30" t="s">
        <v>1176</v>
      </c>
      <c r="C346" s="31" t="s">
        <v>93</v>
      </c>
      <c r="D346" s="71" t="s">
        <v>28</v>
      </c>
      <c r="E346" s="31" t="s">
        <v>1085</v>
      </c>
      <c r="F346" s="31" t="s">
        <v>1084</v>
      </c>
      <c r="G346" s="71" t="s">
        <v>166</v>
      </c>
      <c r="H346" s="71" t="s">
        <v>18</v>
      </c>
      <c r="I346" s="31"/>
      <c r="J346" s="32" t="s">
        <v>101</v>
      </c>
      <c r="K346" s="111">
        <f>ROUND(Tableau13[[#This Row],[LEN]]*7.27,0)</f>
        <v>109</v>
      </c>
      <c r="L346" s="111">
        <v>15</v>
      </c>
      <c r="M346" s="128" t="str">
        <f t="shared" si="2"/>
        <v>new</v>
      </c>
      <c r="N346" s="111">
        <f>LEN(Tableau13[[#This Row],[LABEL]])</f>
        <v>15</v>
      </c>
      <c r="O346" s="111">
        <v>15</v>
      </c>
      <c r="P346" s="111" t="e">
        <f>ROUND(Tableau13[[#This Row],[LEN]]*#REF!+#REF!,0)</f>
        <v>#REF!</v>
      </c>
    </row>
    <row r="347" spans="1:16" s="97" customFormat="1" x14ac:dyDescent="0.25">
      <c r="A347" s="29" t="s">
        <v>1192</v>
      </c>
      <c r="B347" s="30" t="s">
        <v>1176</v>
      </c>
      <c r="C347" s="31" t="s">
        <v>94</v>
      </c>
      <c r="D347" s="71" t="s">
        <v>28</v>
      </c>
      <c r="E347" s="31" t="s">
        <v>1085</v>
      </c>
      <c r="F347" s="31" t="s">
        <v>1084</v>
      </c>
      <c r="G347" s="71" t="s">
        <v>166</v>
      </c>
      <c r="H347" s="71" t="s">
        <v>18</v>
      </c>
      <c r="I347" s="31"/>
      <c r="J347" s="32" t="s">
        <v>102</v>
      </c>
      <c r="K347" s="111">
        <f>ROUND(Tableau13[[#This Row],[LEN]]*7.27,0)</f>
        <v>58</v>
      </c>
      <c r="L347" s="111">
        <v>15</v>
      </c>
      <c r="M347" s="128" t="str">
        <f t="shared" si="2"/>
        <v>new</v>
      </c>
      <c r="N347" s="111">
        <f>LEN(Tableau13[[#This Row],[LABEL]])</f>
        <v>8</v>
      </c>
      <c r="O347" s="111">
        <v>15</v>
      </c>
      <c r="P347" s="111" t="e">
        <f>ROUND(Tableau13[[#This Row],[LEN]]*#REF!+#REF!,0)</f>
        <v>#REF!</v>
      </c>
    </row>
    <row r="348" spans="1:16" s="273" customFormat="1" x14ac:dyDescent="0.25">
      <c r="A348" s="288" t="s">
        <v>255</v>
      </c>
      <c r="B348" s="289" t="s">
        <v>206</v>
      </c>
      <c r="C348" s="290" t="s">
        <v>6</v>
      </c>
      <c r="D348" s="291" t="s">
        <v>28</v>
      </c>
      <c r="E348" s="290" t="s">
        <v>669</v>
      </c>
      <c r="F348" s="290" t="s">
        <v>669</v>
      </c>
      <c r="G348" s="291" t="s">
        <v>166</v>
      </c>
      <c r="H348" s="291" t="str">
        <f>IFERROR(IF(SEARCH(".00.00.00.00.00",Tableau13[[#This Row],[name]],1)=7,"Division",""),"")</f>
        <v>Division</v>
      </c>
      <c r="I348" s="290"/>
      <c r="J348" s="292" t="s">
        <v>715</v>
      </c>
      <c r="K348" s="293">
        <f>ROUND(Tableau13[[#This Row],[LEN]]*7.27,0)</f>
        <v>196</v>
      </c>
      <c r="L348" s="293">
        <v>15</v>
      </c>
      <c r="M348" s="294" t="str">
        <f t="shared" si="2"/>
        <v>new</v>
      </c>
      <c r="N348" s="293">
        <f>LEN(Tableau13[[#This Row],[LABEL]])</f>
        <v>27</v>
      </c>
      <c r="O348" s="293">
        <v>15</v>
      </c>
      <c r="P348" s="293" t="e">
        <f>ROUND(Tableau13[[#This Row],[LEN]]*#REF!+#REF!,0)</f>
        <v>#REF!</v>
      </c>
    </row>
    <row r="349" spans="1:16" s="97" customFormat="1" x14ac:dyDescent="0.25">
      <c r="A349" s="25" t="s">
        <v>436</v>
      </c>
      <c r="B349" s="26" t="s">
        <v>255</v>
      </c>
      <c r="C349" s="27" t="s">
        <v>137</v>
      </c>
      <c r="D349" s="70" t="s">
        <v>28</v>
      </c>
      <c r="E349" s="27" t="s">
        <v>669</v>
      </c>
      <c r="F349" s="27" t="s">
        <v>669</v>
      </c>
      <c r="G349" s="70" t="s">
        <v>166</v>
      </c>
      <c r="H349" s="70" t="s">
        <v>654</v>
      </c>
      <c r="I349" s="27"/>
      <c r="J349" s="28" t="s">
        <v>726</v>
      </c>
      <c r="K349" s="109">
        <f>ROUND(Tableau13[[#This Row],[LEN]]*7.27,0)</f>
        <v>269</v>
      </c>
      <c r="L349" s="109">
        <v>15</v>
      </c>
      <c r="M349" s="127" t="str">
        <f t="shared" si="2"/>
        <v>new</v>
      </c>
      <c r="N349" s="109">
        <f>LEN(Tableau13[[#This Row],[LABEL]])</f>
        <v>37</v>
      </c>
      <c r="O349" s="109">
        <v>15</v>
      </c>
      <c r="P349" s="109" t="e">
        <f>ROUND(Tableau13[[#This Row],[LEN]]*#REF!+#REF!,0)</f>
        <v>#REF!</v>
      </c>
    </row>
    <row r="350" spans="1:16" s="97" customFormat="1" x14ac:dyDescent="0.25">
      <c r="A350" s="25" t="s">
        <v>437</v>
      </c>
      <c r="B350" s="26" t="s">
        <v>255</v>
      </c>
      <c r="C350" s="27" t="s">
        <v>138</v>
      </c>
      <c r="D350" s="70" t="s">
        <v>28</v>
      </c>
      <c r="E350" s="27" t="s">
        <v>669</v>
      </c>
      <c r="F350" s="27" t="s">
        <v>678</v>
      </c>
      <c r="G350" s="70" t="s">
        <v>166</v>
      </c>
      <c r="H350" s="70" t="s">
        <v>655</v>
      </c>
      <c r="I350" s="27"/>
      <c r="J350" s="28" t="s">
        <v>708</v>
      </c>
      <c r="K350" s="109">
        <f>ROUND(Tableau13[[#This Row],[LEN]]*7.27,0)</f>
        <v>225</v>
      </c>
      <c r="L350" s="109">
        <v>15</v>
      </c>
      <c r="M350" s="127" t="str">
        <f t="shared" si="2"/>
        <v>none</v>
      </c>
      <c r="N350" s="109">
        <f>LEN(Tableau13[[#This Row],[LABEL]])</f>
        <v>31</v>
      </c>
      <c r="O350" s="109">
        <v>15</v>
      </c>
      <c r="P350" s="109" t="e">
        <f>ROUND(Tableau13[[#This Row],[LEN]]*#REF!+#REF!,0)</f>
        <v>#REF!</v>
      </c>
    </row>
    <row r="351" spans="1:16" s="97" customFormat="1" x14ac:dyDescent="0.25">
      <c r="A351" s="29" t="s">
        <v>438</v>
      </c>
      <c r="B351" s="30" t="s">
        <v>437</v>
      </c>
      <c r="C351" s="31" t="s">
        <v>139</v>
      </c>
      <c r="D351" s="71" t="s">
        <v>28</v>
      </c>
      <c r="E351" s="31" t="s">
        <v>669</v>
      </c>
      <c r="F351" s="31" t="s">
        <v>678</v>
      </c>
      <c r="G351" s="71" t="s">
        <v>166</v>
      </c>
      <c r="H351" s="71" t="s">
        <v>654</v>
      </c>
      <c r="I351" s="31"/>
      <c r="J351" s="32" t="s">
        <v>708</v>
      </c>
      <c r="K351" s="111">
        <f>ROUND(Tableau13[[#This Row],[LEN]]*7.27,0)</f>
        <v>327</v>
      </c>
      <c r="L351" s="111">
        <v>15</v>
      </c>
      <c r="M351" s="128" t="str">
        <f t="shared" si="2"/>
        <v>none</v>
      </c>
      <c r="N351" s="111">
        <f>LEN(Tableau13[[#This Row],[LABEL]])</f>
        <v>45</v>
      </c>
      <c r="O351" s="111">
        <v>15</v>
      </c>
      <c r="P351" s="111" t="e">
        <f>ROUND(Tableau13[[#This Row],[LEN]]*#REF!+#REF!,0)</f>
        <v>#REF!</v>
      </c>
    </row>
    <row r="352" spans="1:16" s="97" customFormat="1" x14ac:dyDescent="0.25">
      <c r="A352" s="29" t="s">
        <v>439</v>
      </c>
      <c r="B352" s="30" t="s">
        <v>437</v>
      </c>
      <c r="C352" s="31" t="s">
        <v>140</v>
      </c>
      <c r="D352" s="71" t="s">
        <v>28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ROUND(Tableau13[[#This Row],[LEN]]*7.27,0)</f>
        <v>385</v>
      </c>
      <c r="L352" s="111">
        <v>15</v>
      </c>
      <c r="M352" s="128" t="str">
        <f t="shared" si="2"/>
        <v>none</v>
      </c>
      <c r="N352" s="111">
        <f>LEN(Tableau13[[#This Row],[LABEL]])</f>
        <v>53</v>
      </c>
      <c r="O352" s="111">
        <v>15</v>
      </c>
      <c r="P352" s="111" t="e">
        <f>ROUND(Tableau13[[#This Row],[LEN]]*#REF!+#REF!,0)</f>
        <v>#REF!</v>
      </c>
    </row>
    <row r="353" spans="1:16" s="97" customFormat="1" x14ac:dyDescent="0.25">
      <c r="A353" s="29" t="s">
        <v>440</v>
      </c>
      <c r="B353" s="30" t="s">
        <v>437</v>
      </c>
      <c r="C353" s="31" t="s">
        <v>141</v>
      </c>
      <c r="D353" s="71" t="s">
        <v>28</v>
      </c>
      <c r="E353" s="31" t="s">
        <v>669</v>
      </c>
      <c r="F353" s="31" t="s">
        <v>678</v>
      </c>
      <c r="G353" s="71" t="s">
        <v>166</v>
      </c>
      <c r="H353" s="71" t="s">
        <v>17</v>
      </c>
      <c r="I353" s="31"/>
      <c r="J353" s="32" t="s">
        <v>708</v>
      </c>
      <c r="K353" s="111">
        <f>ROUND(Tableau13[[#This Row],[LEN]]*7.27,0)</f>
        <v>313</v>
      </c>
      <c r="L353" s="111">
        <v>15</v>
      </c>
      <c r="M353" s="128" t="str">
        <f t="shared" si="2"/>
        <v>none</v>
      </c>
      <c r="N353" s="111">
        <f>LEN(Tableau13[[#This Row],[LABEL]])</f>
        <v>43</v>
      </c>
      <c r="O353" s="111">
        <v>15</v>
      </c>
      <c r="P353" s="111" t="e">
        <f>ROUND(Tableau13[[#This Row],[LEN]]*#REF!+#REF!,0)</f>
        <v>#REF!</v>
      </c>
    </row>
    <row r="354" spans="1:16" s="97" customFormat="1" x14ac:dyDescent="0.25">
      <c r="A354" s="25" t="s">
        <v>441</v>
      </c>
      <c r="B354" s="26" t="s">
        <v>255</v>
      </c>
      <c r="C354" s="27" t="s">
        <v>88</v>
      </c>
      <c r="D354" s="70" t="s">
        <v>28</v>
      </c>
      <c r="E354" s="27" t="s">
        <v>667</v>
      </c>
      <c r="F354" s="27" t="s">
        <v>1218</v>
      </c>
      <c r="G354" s="70" t="s">
        <v>166</v>
      </c>
      <c r="H354" s="70" t="s">
        <v>570</v>
      </c>
      <c r="I354" s="27"/>
      <c r="J354" s="28" t="s">
        <v>708</v>
      </c>
      <c r="K354" s="109">
        <f>ROUND(Tableau13[[#This Row],[LEN]]*7.27,0)</f>
        <v>342</v>
      </c>
      <c r="L354" s="109">
        <v>15</v>
      </c>
      <c r="M354" s="127" t="str">
        <f t="shared" si="2"/>
        <v>none</v>
      </c>
      <c r="N354" s="109">
        <f>LEN(Tableau13[[#This Row],[LABEL]])</f>
        <v>47</v>
      </c>
      <c r="O354" s="109">
        <v>15</v>
      </c>
      <c r="P354" s="109" t="e">
        <f>ROUND(Tableau13[[#This Row],[LEN]]*#REF!+#REF!,0)</f>
        <v>#REF!</v>
      </c>
    </row>
    <row r="355" spans="1:16" s="97" customFormat="1" x14ac:dyDescent="0.25">
      <c r="A355" s="25" t="s">
        <v>442</v>
      </c>
      <c r="B355" s="26" t="s">
        <v>255</v>
      </c>
      <c r="C355" s="27" t="s">
        <v>142</v>
      </c>
      <c r="D355" s="70" t="s">
        <v>28</v>
      </c>
      <c r="E355" s="27" t="s">
        <v>669</v>
      </c>
      <c r="F355" s="27" t="s">
        <v>1356</v>
      </c>
      <c r="G355" s="70" t="s">
        <v>166</v>
      </c>
      <c r="H355" s="70" t="s">
        <v>655</v>
      </c>
      <c r="I355" s="27"/>
      <c r="J355" s="28" t="s">
        <v>708</v>
      </c>
      <c r="K355" s="109">
        <f>ROUND(Tableau13[[#This Row],[LEN]]*7.27,0)</f>
        <v>109</v>
      </c>
      <c r="L355" s="109">
        <v>15</v>
      </c>
      <c r="M355" s="127" t="str">
        <f t="shared" si="2"/>
        <v>none</v>
      </c>
      <c r="N355" s="109">
        <f>LEN(Tableau13[[#This Row],[LABEL]])</f>
        <v>15</v>
      </c>
      <c r="O355" s="109">
        <v>15</v>
      </c>
      <c r="P355" s="109" t="e">
        <f>ROUND(Tableau13[[#This Row],[LEN]]*#REF!+#REF!,0)</f>
        <v>#REF!</v>
      </c>
    </row>
    <row r="356" spans="1:16" s="97" customFormat="1" x14ac:dyDescent="0.25">
      <c r="A356" s="25" t="s">
        <v>487</v>
      </c>
      <c r="B356" s="26" t="s">
        <v>255</v>
      </c>
      <c r="C356" s="27" t="s">
        <v>143</v>
      </c>
      <c r="D356" s="70" t="s">
        <v>28</v>
      </c>
      <c r="E356" s="27" t="s">
        <v>669</v>
      </c>
      <c r="F356" s="27" t="s">
        <v>669</v>
      </c>
      <c r="G356" s="70" t="s">
        <v>166</v>
      </c>
      <c r="H356" s="70" t="s">
        <v>656</v>
      </c>
      <c r="I356" s="27"/>
      <c r="J356" s="28" t="s">
        <v>727</v>
      </c>
      <c r="K356" s="109">
        <f>ROUND(Tableau13[[#This Row],[LEN]]*7.27,0)</f>
        <v>436</v>
      </c>
      <c r="L356" s="109">
        <v>15</v>
      </c>
      <c r="M356" s="127" t="str">
        <f t="shared" si="2"/>
        <v>new</v>
      </c>
      <c r="N356" s="109">
        <f>LEN(Tableau13[[#This Row],[LABEL]])</f>
        <v>60</v>
      </c>
      <c r="O356" s="109">
        <v>15</v>
      </c>
      <c r="P356" s="109" t="e">
        <f>ROUND(Tableau13[[#This Row],[LEN]]*#REF!+#REF!,0)</f>
        <v>#REF!</v>
      </c>
    </row>
    <row r="357" spans="1:16" s="97" customFormat="1" x14ac:dyDescent="0.25">
      <c r="A357" s="25" t="s">
        <v>488</v>
      </c>
      <c r="B357" s="26" t="s">
        <v>255</v>
      </c>
      <c r="C357" s="27" t="s">
        <v>144</v>
      </c>
      <c r="D357" s="70" t="s">
        <v>28</v>
      </c>
      <c r="E357" s="27" t="s">
        <v>669</v>
      </c>
      <c r="F357" s="27" t="s">
        <v>669</v>
      </c>
      <c r="G357" s="70" t="s">
        <v>166</v>
      </c>
      <c r="H357" s="70" t="s">
        <v>655</v>
      </c>
      <c r="I357" s="27"/>
      <c r="J357" s="28" t="s">
        <v>708</v>
      </c>
      <c r="K357" s="109">
        <f>ROUND(Tableau13[[#This Row],[LEN]]*7.27,0)</f>
        <v>44</v>
      </c>
      <c r="L357" s="109">
        <v>15</v>
      </c>
      <c r="M357" s="127" t="str">
        <f t="shared" si="2"/>
        <v>none</v>
      </c>
      <c r="N357" s="109">
        <f>LEN(Tableau13[[#This Row],[LABEL]])</f>
        <v>6</v>
      </c>
      <c r="O357" s="109">
        <v>15</v>
      </c>
      <c r="P357" s="109" t="e">
        <f>ROUND(Tableau13[[#This Row],[LEN]]*#REF!+#REF!,0)</f>
        <v>#REF!</v>
      </c>
    </row>
    <row r="358" spans="1:16" s="97" customFormat="1" x14ac:dyDescent="0.25">
      <c r="A358" s="29" t="s">
        <v>658</v>
      </c>
      <c r="B358" s="30" t="s">
        <v>488</v>
      </c>
      <c r="C358" s="31" t="s">
        <v>685</v>
      </c>
      <c r="D358" s="71" t="s">
        <v>28</v>
      </c>
      <c r="E358" s="31" t="s">
        <v>669</v>
      </c>
      <c r="F358" s="31" t="s">
        <v>669</v>
      </c>
      <c r="G358" s="71" t="s">
        <v>166</v>
      </c>
      <c r="H358" s="71" t="s">
        <v>655</v>
      </c>
      <c r="I358" s="31"/>
      <c r="J358" s="32" t="s">
        <v>708</v>
      </c>
      <c r="K358" s="111">
        <f>ROUND(Tableau13[[#This Row],[LEN]]*7.27,0)</f>
        <v>58</v>
      </c>
      <c r="L358" s="111">
        <v>15</v>
      </c>
      <c r="M358" s="128" t="str">
        <f t="shared" si="2"/>
        <v>none</v>
      </c>
      <c r="N358" s="111">
        <f>LEN(Tableau13[[#This Row],[LABEL]])</f>
        <v>8</v>
      </c>
      <c r="O358" s="111">
        <v>15</v>
      </c>
      <c r="P358" s="111" t="e">
        <f>ROUND(Tableau13[[#This Row],[LEN]]*#REF!+#REF!,0)</f>
        <v>#REF!</v>
      </c>
    </row>
    <row r="359" spans="1:16" s="97" customFormat="1" x14ac:dyDescent="0.25">
      <c r="A359" s="86" t="s">
        <v>688</v>
      </c>
      <c r="B359" s="87" t="s">
        <v>658</v>
      </c>
      <c r="C359" s="88" t="s">
        <v>145</v>
      </c>
      <c r="D359" s="89" t="s">
        <v>28</v>
      </c>
      <c r="E359" s="88" t="s">
        <v>669</v>
      </c>
      <c r="F359" s="88" t="s">
        <v>669</v>
      </c>
      <c r="G359" s="89" t="s">
        <v>166</v>
      </c>
      <c r="H359" s="90" t="s">
        <v>654</v>
      </c>
      <c r="I359" s="88"/>
      <c r="J359" s="91" t="s">
        <v>708</v>
      </c>
      <c r="K359" s="112">
        <f>ROUND(Tableau13[[#This Row],[LEN]]*7.27,0)</f>
        <v>342</v>
      </c>
      <c r="L359" s="112">
        <v>15</v>
      </c>
      <c r="M359" s="129" t="str">
        <f t="shared" si="2"/>
        <v>none</v>
      </c>
      <c r="N359" s="112">
        <f>LEN(Tableau13[[#This Row],[LABEL]])</f>
        <v>47</v>
      </c>
      <c r="O359" s="112">
        <v>15</v>
      </c>
      <c r="P359" s="112" t="e">
        <f>ROUND(Tableau13[[#This Row],[LEN]]*#REF!+#REF!,0)</f>
        <v>#REF!</v>
      </c>
    </row>
    <row r="360" spans="1:16" s="97" customFormat="1" x14ac:dyDescent="0.25">
      <c r="A360" s="86" t="s">
        <v>689</v>
      </c>
      <c r="B360" s="87" t="s">
        <v>658</v>
      </c>
      <c r="C360" s="88" t="s">
        <v>146</v>
      </c>
      <c r="D360" s="89" t="s">
        <v>28</v>
      </c>
      <c r="E360" s="88" t="s">
        <v>669</v>
      </c>
      <c r="F360" s="88" t="s">
        <v>669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ROUND(Tableau13[[#This Row],[LEN]]*7.27,0)</f>
        <v>291</v>
      </c>
      <c r="L360" s="112">
        <v>15</v>
      </c>
      <c r="M360" s="129" t="str">
        <f t="shared" si="2"/>
        <v>none</v>
      </c>
      <c r="N360" s="112">
        <f>LEN(Tableau13[[#This Row],[LABEL]])</f>
        <v>40</v>
      </c>
      <c r="O360" s="112">
        <v>15</v>
      </c>
      <c r="P360" s="112" t="e">
        <f>ROUND(Tableau13[[#This Row],[LEN]]*#REF!+#REF!,0)</f>
        <v>#REF!</v>
      </c>
    </row>
    <row r="361" spans="1:16" s="97" customFormat="1" x14ac:dyDescent="0.25">
      <c r="A361" s="86" t="s">
        <v>690</v>
      </c>
      <c r="B361" s="87" t="s">
        <v>658</v>
      </c>
      <c r="C361" s="88" t="s">
        <v>147</v>
      </c>
      <c r="D361" s="89" t="s">
        <v>28</v>
      </c>
      <c r="E361" s="88" t="s">
        <v>669</v>
      </c>
      <c r="F361" s="88" t="s">
        <v>669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ROUND(Tableau13[[#This Row],[LEN]]*7.27,0)</f>
        <v>174</v>
      </c>
      <c r="L361" s="112">
        <v>15</v>
      </c>
      <c r="M361" s="129" t="str">
        <f t="shared" si="2"/>
        <v>none</v>
      </c>
      <c r="N361" s="112">
        <f>LEN(Tableau13[[#This Row],[LABEL]])</f>
        <v>24</v>
      </c>
      <c r="O361" s="112">
        <v>15</v>
      </c>
      <c r="P361" s="112" t="e">
        <f>ROUND(Tableau13[[#This Row],[LEN]]*#REF!+#REF!,0)</f>
        <v>#REF!</v>
      </c>
    </row>
    <row r="362" spans="1:16" s="97" customFormat="1" x14ac:dyDescent="0.25">
      <c r="A362" s="86" t="s">
        <v>691</v>
      </c>
      <c r="B362" s="87" t="s">
        <v>658</v>
      </c>
      <c r="C362" s="88" t="s">
        <v>148</v>
      </c>
      <c r="D362" s="89" t="s">
        <v>28</v>
      </c>
      <c r="E362" s="88" t="s">
        <v>669</v>
      </c>
      <c r="F362" s="88" t="s">
        <v>669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ROUND(Tableau13[[#This Row],[LEN]]*7.27,0)</f>
        <v>225</v>
      </c>
      <c r="L362" s="112">
        <v>15</v>
      </c>
      <c r="M362" s="129" t="str">
        <f t="shared" si="2"/>
        <v>none</v>
      </c>
      <c r="N362" s="112">
        <f>LEN(Tableau13[[#This Row],[LABEL]])</f>
        <v>31</v>
      </c>
      <c r="O362" s="112">
        <v>15</v>
      </c>
      <c r="P362" s="112" t="e">
        <f>ROUND(Tableau13[[#This Row],[LEN]]*#REF!+#REF!,0)</f>
        <v>#REF!</v>
      </c>
    </row>
    <row r="363" spans="1:16" s="97" customFormat="1" x14ac:dyDescent="0.25">
      <c r="A363" s="29" t="s">
        <v>659</v>
      </c>
      <c r="B363" s="30" t="s">
        <v>488</v>
      </c>
      <c r="C363" s="31" t="s">
        <v>686</v>
      </c>
      <c r="D363" s="71" t="s">
        <v>28</v>
      </c>
      <c r="E363" s="31" t="s">
        <v>669</v>
      </c>
      <c r="F363" s="31" t="s">
        <v>669</v>
      </c>
      <c r="G363" s="71" t="s">
        <v>166</v>
      </c>
      <c r="H363" s="71" t="s">
        <v>655</v>
      </c>
      <c r="I363" s="31"/>
      <c r="J363" s="32" t="s">
        <v>708</v>
      </c>
      <c r="K363" s="111">
        <f>ROUND(Tableau13[[#This Row],[LEN]]*7.27,0)</f>
        <v>29</v>
      </c>
      <c r="L363" s="111">
        <v>15</v>
      </c>
      <c r="M363" s="128" t="str">
        <f t="shared" si="2"/>
        <v>none</v>
      </c>
      <c r="N363" s="111">
        <f>LEN(Tableau13[[#This Row],[LABEL]])</f>
        <v>4</v>
      </c>
      <c r="O363" s="111">
        <v>15</v>
      </c>
      <c r="P363" s="111" t="e">
        <f>ROUND(Tableau13[[#This Row],[LEN]]*#REF!+#REF!,0)</f>
        <v>#REF!</v>
      </c>
    </row>
    <row r="364" spans="1:16" s="97" customFormat="1" x14ac:dyDescent="0.25">
      <c r="A364" s="86" t="s">
        <v>692</v>
      </c>
      <c r="B364" s="87" t="s">
        <v>659</v>
      </c>
      <c r="C364" s="88" t="s">
        <v>149</v>
      </c>
      <c r="D364" s="89" t="s">
        <v>28</v>
      </c>
      <c r="E364" s="88" t="s">
        <v>669</v>
      </c>
      <c r="F364" s="88" t="s">
        <v>669</v>
      </c>
      <c r="G364" s="89" t="s">
        <v>166</v>
      </c>
      <c r="H364" s="90" t="s">
        <v>654</v>
      </c>
      <c r="I364" s="88"/>
      <c r="J364" s="91" t="s">
        <v>708</v>
      </c>
      <c r="K364" s="112">
        <f>ROUND(Tableau13[[#This Row],[LEN]]*7.27,0)</f>
        <v>167</v>
      </c>
      <c r="L364" s="112">
        <v>15</v>
      </c>
      <c r="M364" s="129" t="str">
        <f t="shared" si="2"/>
        <v>none</v>
      </c>
      <c r="N364" s="112">
        <f>LEN(Tableau13[[#This Row],[LABEL]])</f>
        <v>23</v>
      </c>
      <c r="O364" s="112">
        <v>15</v>
      </c>
      <c r="P364" s="112" t="e">
        <f>ROUND(Tableau13[[#This Row],[LEN]]*#REF!+#REF!,0)</f>
        <v>#REF!</v>
      </c>
    </row>
    <row r="365" spans="1:16" s="97" customFormat="1" x14ac:dyDescent="0.25">
      <c r="A365" s="86" t="s">
        <v>693</v>
      </c>
      <c r="B365" s="87" t="s">
        <v>659</v>
      </c>
      <c r="C365" s="88" t="s">
        <v>150</v>
      </c>
      <c r="D365" s="89" t="s">
        <v>28</v>
      </c>
      <c r="E365" s="88" t="s">
        <v>669</v>
      </c>
      <c r="F365" s="88" t="s">
        <v>669</v>
      </c>
      <c r="G365" s="89" t="s">
        <v>166</v>
      </c>
      <c r="H365" s="90" t="s">
        <v>570</v>
      </c>
      <c r="I365" s="88"/>
      <c r="J365" s="91" t="s">
        <v>708</v>
      </c>
      <c r="K365" s="112">
        <f>ROUND(Tableau13[[#This Row],[LEN]]*7.27,0)</f>
        <v>247</v>
      </c>
      <c r="L365" s="112">
        <v>15</v>
      </c>
      <c r="M365" s="129" t="str">
        <f t="shared" si="2"/>
        <v>none</v>
      </c>
      <c r="N365" s="112">
        <f>LEN(Tableau13[[#This Row],[LABEL]])</f>
        <v>34</v>
      </c>
      <c r="O365" s="112">
        <v>15</v>
      </c>
      <c r="P365" s="112" t="e">
        <f>ROUND(Tableau13[[#This Row],[LEN]]*#REF!+#REF!,0)</f>
        <v>#REF!</v>
      </c>
    </row>
    <row r="366" spans="1:16" s="97" customFormat="1" x14ac:dyDescent="0.25">
      <c r="A366" s="86" t="s">
        <v>694</v>
      </c>
      <c r="B366" s="87" t="s">
        <v>659</v>
      </c>
      <c r="C366" s="88" t="s">
        <v>151</v>
      </c>
      <c r="D366" s="89" t="s">
        <v>28</v>
      </c>
      <c r="E366" s="88" t="s">
        <v>669</v>
      </c>
      <c r="F366" s="88" t="s">
        <v>669</v>
      </c>
      <c r="G366" s="89" t="s">
        <v>166</v>
      </c>
      <c r="H366" s="90" t="s">
        <v>654</v>
      </c>
      <c r="I366" s="88"/>
      <c r="J366" s="91" t="s">
        <v>708</v>
      </c>
      <c r="K366" s="112">
        <f>ROUND(Tableau13[[#This Row],[LEN]]*7.27,0)</f>
        <v>233</v>
      </c>
      <c r="L366" s="112">
        <v>15</v>
      </c>
      <c r="M366" s="129" t="str">
        <f t="shared" si="2"/>
        <v>none</v>
      </c>
      <c r="N366" s="112">
        <f>LEN(Tableau13[[#This Row],[LABEL]])</f>
        <v>32</v>
      </c>
      <c r="O366" s="112">
        <v>15</v>
      </c>
      <c r="P366" s="112" t="e">
        <f>ROUND(Tableau13[[#This Row],[LEN]]*#REF!+#REF!,0)</f>
        <v>#REF!</v>
      </c>
    </row>
    <row r="367" spans="1:16" s="97" customFormat="1" x14ac:dyDescent="0.25">
      <c r="A367" s="86" t="s">
        <v>695</v>
      </c>
      <c r="B367" s="87" t="s">
        <v>659</v>
      </c>
      <c r="C367" s="88" t="s">
        <v>152</v>
      </c>
      <c r="D367" s="89" t="s">
        <v>28</v>
      </c>
      <c r="E367" s="88" t="s">
        <v>669</v>
      </c>
      <c r="F367" s="88" t="s">
        <v>669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ROUND(Tableau13[[#This Row],[LEN]]*7.27,0)</f>
        <v>174</v>
      </c>
      <c r="L367" s="112">
        <v>15</v>
      </c>
      <c r="M367" s="129" t="str">
        <f t="shared" si="2"/>
        <v>none</v>
      </c>
      <c r="N367" s="112">
        <f>LEN(Tableau13[[#This Row],[LABEL]])</f>
        <v>24</v>
      </c>
      <c r="O367" s="112">
        <v>15</v>
      </c>
      <c r="P367" s="112" t="e">
        <f>ROUND(Tableau13[[#This Row],[LEN]]*#REF!+#REF!,0)</f>
        <v>#REF!</v>
      </c>
    </row>
    <row r="368" spans="1:16" s="97" customFormat="1" x14ac:dyDescent="0.25">
      <c r="A368" s="29" t="s">
        <v>660</v>
      </c>
      <c r="B368" s="30" t="s">
        <v>488</v>
      </c>
      <c r="C368" s="31" t="s">
        <v>687</v>
      </c>
      <c r="D368" s="71" t="s">
        <v>28</v>
      </c>
      <c r="E368" s="31" t="s">
        <v>669</v>
      </c>
      <c r="F368" s="31" t="s">
        <v>669</v>
      </c>
      <c r="G368" s="71" t="s">
        <v>166</v>
      </c>
      <c r="H368" s="71" t="s">
        <v>655</v>
      </c>
      <c r="I368" s="31"/>
      <c r="J368" s="32" t="s">
        <v>708</v>
      </c>
      <c r="K368" s="111">
        <f>ROUND(Tableau13[[#This Row],[LEN]]*7.27,0)</f>
        <v>51</v>
      </c>
      <c r="L368" s="111">
        <v>15</v>
      </c>
      <c r="M368" s="128" t="str">
        <f t="shared" si="2"/>
        <v>none</v>
      </c>
      <c r="N368" s="111">
        <f>LEN(Tableau13[[#This Row],[LABEL]])</f>
        <v>7</v>
      </c>
      <c r="O368" s="111">
        <v>15</v>
      </c>
      <c r="P368" s="111" t="e">
        <f>ROUND(Tableau13[[#This Row],[LEN]]*#REF!+#REF!,0)</f>
        <v>#REF!</v>
      </c>
    </row>
    <row r="369" spans="1:16" s="97" customFormat="1" x14ac:dyDescent="0.25">
      <c r="A369" s="86" t="s">
        <v>696</v>
      </c>
      <c r="B369" s="87" t="s">
        <v>660</v>
      </c>
      <c r="C369" s="88" t="s">
        <v>153</v>
      </c>
      <c r="D369" s="89" t="s">
        <v>28</v>
      </c>
      <c r="E369" s="88" t="s">
        <v>669</v>
      </c>
      <c r="F369" s="88" t="s">
        <v>669</v>
      </c>
      <c r="G369" s="89" t="s">
        <v>166</v>
      </c>
      <c r="H369" s="90" t="s">
        <v>654</v>
      </c>
      <c r="I369" s="88"/>
      <c r="J369" s="91" t="s">
        <v>728</v>
      </c>
      <c r="K369" s="112">
        <f>ROUND(Tableau13[[#This Row],[LEN]]*7.27,0)</f>
        <v>276</v>
      </c>
      <c r="L369" s="112">
        <v>15</v>
      </c>
      <c r="M369" s="129" t="str">
        <f t="shared" si="2"/>
        <v>new</v>
      </c>
      <c r="N369" s="112">
        <f>LEN(Tableau13[[#This Row],[LABEL]])</f>
        <v>38</v>
      </c>
      <c r="O369" s="112">
        <v>15</v>
      </c>
      <c r="P369" s="112" t="e">
        <f>ROUND(Tableau13[[#This Row],[LEN]]*#REF!+#REF!,0)</f>
        <v>#REF!</v>
      </c>
    </row>
    <row r="370" spans="1:16" s="97" customFormat="1" x14ac:dyDescent="0.25">
      <c r="A370" s="86" t="s">
        <v>697</v>
      </c>
      <c r="B370" s="87" t="s">
        <v>660</v>
      </c>
      <c r="C370" s="88" t="s">
        <v>154</v>
      </c>
      <c r="D370" s="89" t="s">
        <v>28</v>
      </c>
      <c r="E370" s="88" t="s">
        <v>669</v>
      </c>
      <c r="F370" s="88" t="s">
        <v>669</v>
      </c>
      <c r="G370" s="89" t="s">
        <v>166</v>
      </c>
      <c r="H370" s="90" t="s">
        <v>654</v>
      </c>
      <c r="I370" s="88"/>
      <c r="J370" s="91" t="s">
        <v>708</v>
      </c>
      <c r="K370" s="112">
        <f>ROUND(Tableau13[[#This Row],[LEN]]*7.27,0)</f>
        <v>262</v>
      </c>
      <c r="L370" s="112">
        <v>15</v>
      </c>
      <c r="M370" s="129" t="str">
        <f t="shared" si="2"/>
        <v>none</v>
      </c>
      <c r="N370" s="112">
        <f>LEN(Tableau13[[#This Row],[LABEL]])</f>
        <v>36</v>
      </c>
      <c r="O370" s="112">
        <v>15</v>
      </c>
      <c r="P370" s="112" t="e">
        <f>ROUND(Tableau13[[#This Row],[LEN]]*#REF!+#REF!,0)</f>
        <v>#REF!</v>
      </c>
    </row>
    <row r="371" spans="1:16" s="97" customFormat="1" x14ac:dyDescent="0.25">
      <c r="A371" s="86" t="s">
        <v>698</v>
      </c>
      <c r="B371" s="87" t="s">
        <v>660</v>
      </c>
      <c r="C371" s="88" t="s">
        <v>155</v>
      </c>
      <c r="D371" s="89" t="s">
        <v>28</v>
      </c>
      <c r="E371" s="88" t="s">
        <v>669</v>
      </c>
      <c r="F371" s="88" t="s">
        <v>669</v>
      </c>
      <c r="G371" s="89" t="s">
        <v>166</v>
      </c>
      <c r="H371" s="90" t="s">
        <v>570</v>
      </c>
      <c r="I371" s="88"/>
      <c r="J371" s="91" t="s">
        <v>708</v>
      </c>
      <c r="K371" s="112">
        <f>ROUND(Tableau13[[#This Row],[LEN]]*7.27,0)</f>
        <v>218</v>
      </c>
      <c r="L371" s="112">
        <v>15</v>
      </c>
      <c r="M371" s="129" t="str">
        <f t="shared" si="2"/>
        <v>none</v>
      </c>
      <c r="N371" s="112">
        <f>LEN(Tableau13[[#This Row],[LABEL]])</f>
        <v>30</v>
      </c>
      <c r="O371" s="112">
        <v>15</v>
      </c>
      <c r="P371" s="112" t="e">
        <f>ROUND(Tableau13[[#This Row],[LEN]]*#REF!+#REF!,0)</f>
        <v>#REF!</v>
      </c>
    </row>
    <row r="372" spans="1:16" s="97" customFormat="1" x14ac:dyDescent="0.25">
      <c r="A372" s="25" t="s">
        <v>489</v>
      </c>
      <c r="B372" s="26" t="s">
        <v>255</v>
      </c>
      <c r="C372" s="27" t="s">
        <v>778</v>
      </c>
      <c r="D372" s="70" t="s">
        <v>28</v>
      </c>
      <c r="E372" s="27" t="s">
        <v>673</v>
      </c>
      <c r="F372" s="27" t="s">
        <v>785</v>
      </c>
      <c r="G372" s="70" t="s">
        <v>166</v>
      </c>
      <c r="H372" s="70" t="s">
        <v>17</v>
      </c>
      <c r="I372" s="27"/>
      <c r="J372" s="28" t="s">
        <v>708</v>
      </c>
      <c r="K372" s="109">
        <f>ROUND(Tableau13[[#This Row],[LEN]]*7.27,0)</f>
        <v>211</v>
      </c>
      <c r="L372" s="109">
        <v>15</v>
      </c>
      <c r="M372" s="127" t="str">
        <f t="shared" si="2"/>
        <v>none</v>
      </c>
      <c r="N372" s="109">
        <f>LEN(Tableau13[[#This Row],[LABEL]])</f>
        <v>29</v>
      </c>
      <c r="O372" s="109">
        <v>15</v>
      </c>
      <c r="P372" s="109" t="e">
        <f>ROUND(Tableau13[[#This Row],[LEN]]*#REF!+#REF!,0)</f>
        <v>#REF!</v>
      </c>
    </row>
    <row r="373" spans="1:16" s="97" customFormat="1" x14ac:dyDescent="0.25">
      <c r="A373" s="25" t="s">
        <v>490</v>
      </c>
      <c r="B373" s="26" t="s">
        <v>255</v>
      </c>
      <c r="C373" s="27" t="s">
        <v>92</v>
      </c>
      <c r="D373" s="70" t="s">
        <v>28</v>
      </c>
      <c r="E373" s="27" t="s">
        <v>663</v>
      </c>
      <c r="F373" s="27" t="s">
        <v>786</v>
      </c>
      <c r="G373" s="70" t="s">
        <v>166</v>
      </c>
      <c r="H373" s="70" t="s">
        <v>655</v>
      </c>
      <c r="I373" s="27"/>
      <c r="J373" s="28" t="s">
        <v>708</v>
      </c>
      <c r="K373" s="109">
        <f>ROUND(Tableau13[[#This Row],[LEN]]*7.27,0)</f>
        <v>262</v>
      </c>
      <c r="L373" s="109">
        <v>15</v>
      </c>
      <c r="M373" s="127" t="str">
        <f t="shared" si="2"/>
        <v>none</v>
      </c>
      <c r="N373" s="109">
        <f>LEN(Tableau13[[#This Row],[LABEL]])</f>
        <v>36</v>
      </c>
      <c r="O373" s="109">
        <v>15</v>
      </c>
      <c r="P373" s="109" t="e">
        <f>ROUND(Tableau13[[#This Row],[LEN]]*#REF!+#REF!,0)</f>
        <v>#REF!</v>
      </c>
    </row>
    <row r="374" spans="1:16" s="97" customFormat="1" x14ac:dyDescent="0.25">
      <c r="A374" s="29" t="s">
        <v>699</v>
      </c>
      <c r="B374" s="30" t="s">
        <v>490</v>
      </c>
      <c r="C374" s="31" t="s">
        <v>95</v>
      </c>
      <c r="D374" s="71" t="s">
        <v>28</v>
      </c>
      <c r="E374" s="31" t="s">
        <v>663</v>
      </c>
      <c r="F374" s="31" t="s">
        <v>786</v>
      </c>
      <c r="G374" s="71" t="s">
        <v>166</v>
      </c>
      <c r="H374" s="71" t="s">
        <v>18</v>
      </c>
      <c r="I374" s="31"/>
      <c r="J374" s="32" t="s">
        <v>708</v>
      </c>
      <c r="K374" s="111">
        <f>ROUND(Tableau13[[#This Row],[LEN]]*7.27,0)</f>
        <v>254</v>
      </c>
      <c r="L374" s="111">
        <v>15</v>
      </c>
      <c r="M374" s="128" t="str">
        <f t="shared" si="2"/>
        <v>none</v>
      </c>
      <c r="N374" s="111">
        <f>LEN(Tableau13[[#This Row],[LABEL]])</f>
        <v>35</v>
      </c>
      <c r="O374" s="111">
        <v>15</v>
      </c>
      <c r="P374" s="111" t="e">
        <f>ROUND(Tableau13[[#This Row],[LEN]]*#REF!+#REF!,0)</f>
        <v>#REF!</v>
      </c>
    </row>
    <row r="375" spans="1:16" s="97" customFormat="1" x14ac:dyDescent="0.25">
      <c r="A375" s="29" t="s">
        <v>700</v>
      </c>
      <c r="B375" s="30" t="s">
        <v>490</v>
      </c>
      <c r="C375" s="31" t="s">
        <v>96</v>
      </c>
      <c r="D375" s="71" t="s">
        <v>28</v>
      </c>
      <c r="E375" s="31" t="s">
        <v>663</v>
      </c>
      <c r="F375" s="31" t="s">
        <v>786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ROUND(Tableau13[[#This Row],[LEN]]*7.27,0)</f>
        <v>233</v>
      </c>
      <c r="L375" s="111">
        <v>15</v>
      </c>
      <c r="M375" s="128" t="str">
        <f t="shared" si="2"/>
        <v>none</v>
      </c>
      <c r="N375" s="111">
        <f>LEN(Tableau13[[#This Row],[LABEL]])</f>
        <v>32</v>
      </c>
      <c r="O375" s="111">
        <v>15</v>
      </c>
      <c r="P375" s="111" t="e">
        <f>ROUND(Tableau13[[#This Row],[LEN]]*#REF!+#REF!,0)</f>
        <v>#REF!</v>
      </c>
    </row>
    <row r="376" spans="1:16" s="97" customFormat="1" x14ac:dyDescent="0.25">
      <c r="A376" s="29" t="s">
        <v>1391</v>
      </c>
      <c r="B376" s="30" t="s">
        <v>490</v>
      </c>
      <c r="C376" s="31" t="s">
        <v>97</v>
      </c>
      <c r="D376" s="71" t="s">
        <v>28</v>
      </c>
      <c r="E376" s="31" t="s">
        <v>663</v>
      </c>
      <c r="F376" s="31" t="s">
        <v>786</v>
      </c>
      <c r="G376" s="71" t="s">
        <v>166</v>
      </c>
      <c r="H376" s="71" t="s">
        <v>656</v>
      </c>
      <c r="I376" s="31"/>
      <c r="J376" s="32" t="s">
        <v>708</v>
      </c>
      <c r="K376" s="111">
        <f>ROUND(Tableau13[[#This Row],[LEN]]*7.27,0)</f>
        <v>145</v>
      </c>
      <c r="L376" s="111">
        <v>15</v>
      </c>
      <c r="M376" s="128" t="str">
        <f t="shared" si="2"/>
        <v>none</v>
      </c>
      <c r="N376" s="111">
        <f>LEN(Tableau13[[#This Row],[LABEL]])</f>
        <v>20</v>
      </c>
      <c r="O376" s="111">
        <v>15</v>
      </c>
      <c r="P376" s="111" t="e">
        <f>ROUND(Tableau13[[#This Row],[LEN]]*#REF!+#REF!,0)</f>
        <v>#REF!</v>
      </c>
    </row>
    <row r="377" spans="1:16" s="97" customFormat="1" x14ac:dyDescent="0.25">
      <c r="A377" s="25" t="s">
        <v>491</v>
      </c>
      <c r="B377" s="26" t="s">
        <v>255</v>
      </c>
      <c r="C377" s="27" t="s">
        <v>1167</v>
      </c>
      <c r="D377" s="70" t="s">
        <v>486</v>
      </c>
      <c r="E377" s="27" t="s">
        <v>1085</v>
      </c>
      <c r="F377" s="27" t="s">
        <v>1084</v>
      </c>
      <c r="G377" s="70" t="s">
        <v>166</v>
      </c>
      <c r="H377" s="70" t="s">
        <v>1131</v>
      </c>
      <c r="I377" s="27"/>
      <c r="J377" s="28" t="s">
        <v>708</v>
      </c>
      <c r="K377" s="109">
        <f>ROUND(Tableau13[[#This Row],[LEN]]*7.27,0)</f>
        <v>196</v>
      </c>
      <c r="L377" s="109">
        <v>15</v>
      </c>
      <c r="M377" s="127" t="str">
        <f t="shared" si="2"/>
        <v>none</v>
      </c>
      <c r="N377" s="109">
        <f>LEN(Tableau13[[#This Row],[LABEL]])</f>
        <v>27</v>
      </c>
      <c r="O377" s="109">
        <v>15</v>
      </c>
      <c r="P377" s="109" t="e">
        <f>ROUND(Tableau13[[#This Row],[LEN]]*#REF!+#REF!,0)</f>
        <v>#REF!</v>
      </c>
    </row>
    <row r="378" spans="1:16" s="97" customFormat="1" x14ac:dyDescent="0.25">
      <c r="A378" s="29" t="s">
        <v>1205</v>
      </c>
      <c r="B378" s="30" t="s">
        <v>491</v>
      </c>
      <c r="C378" s="31" t="s">
        <v>93</v>
      </c>
      <c r="D378" s="71" t="s">
        <v>28</v>
      </c>
      <c r="E378" s="31" t="s">
        <v>1085</v>
      </c>
      <c r="F378" s="31" t="s">
        <v>1084</v>
      </c>
      <c r="G378" s="71" t="s">
        <v>166</v>
      </c>
      <c r="H378" s="71" t="s">
        <v>18</v>
      </c>
      <c r="I378" s="31"/>
      <c r="J378" s="32" t="s">
        <v>101</v>
      </c>
      <c r="K378" s="111">
        <f>ROUND(Tableau13[[#This Row],[LEN]]*7.27,0)</f>
        <v>109</v>
      </c>
      <c r="L378" s="111">
        <v>15</v>
      </c>
      <c r="M378" s="128" t="str">
        <f t="shared" si="2"/>
        <v>new</v>
      </c>
      <c r="N378" s="111">
        <f>LEN(Tableau13[[#This Row],[LABEL]])</f>
        <v>15</v>
      </c>
      <c r="O378" s="111">
        <v>15</v>
      </c>
      <c r="P378" s="111" t="e">
        <f>ROUND(Tableau13[[#This Row],[LEN]]*#REF!+#REF!,0)</f>
        <v>#REF!</v>
      </c>
    </row>
    <row r="379" spans="1:16" s="97" customFormat="1" x14ac:dyDescent="0.25">
      <c r="A379" s="29" t="s">
        <v>1206</v>
      </c>
      <c r="B379" s="30" t="s">
        <v>491</v>
      </c>
      <c r="C379" s="31" t="s">
        <v>94</v>
      </c>
      <c r="D379" s="71" t="s">
        <v>28</v>
      </c>
      <c r="E379" s="31" t="s">
        <v>1085</v>
      </c>
      <c r="F379" s="31" t="s">
        <v>1084</v>
      </c>
      <c r="G379" s="71" t="s">
        <v>166</v>
      </c>
      <c r="H379" s="71" t="s">
        <v>18</v>
      </c>
      <c r="I379" s="31"/>
      <c r="J379" s="32" t="s">
        <v>102</v>
      </c>
      <c r="K379" s="111">
        <f>ROUND(Tableau13[[#This Row],[LEN]]*7.27,0)</f>
        <v>58</v>
      </c>
      <c r="L379" s="111">
        <v>15</v>
      </c>
      <c r="M379" s="128" t="str">
        <f t="shared" si="2"/>
        <v>new</v>
      </c>
      <c r="N379" s="111">
        <f>LEN(Tableau13[[#This Row],[LABEL]])</f>
        <v>8</v>
      </c>
      <c r="O379" s="111">
        <v>15</v>
      </c>
      <c r="P379" s="111" t="e">
        <f>ROUND(Tableau13[[#This Row],[LEN]]*#REF!+#REF!,0)</f>
        <v>#REF!</v>
      </c>
    </row>
    <row r="380" spans="1:16" s="273" customFormat="1" x14ac:dyDescent="0.25">
      <c r="A380" s="288" t="s">
        <v>256</v>
      </c>
      <c r="B380" s="289" t="s">
        <v>206</v>
      </c>
      <c r="C380" s="290" t="s">
        <v>7</v>
      </c>
      <c r="D380" s="291" t="s">
        <v>28</v>
      </c>
      <c r="E380" s="290" t="s">
        <v>663</v>
      </c>
      <c r="F380" s="290" t="s">
        <v>670</v>
      </c>
      <c r="G380" s="291" t="s">
        <v>166</v>
      </c>
      <c r="H380" s="291" t="str">
        <f>IFERROR(IF(SEARCH(".00.00.00.00.00",Tableau13[[#This Row],[name]],1)=7,"Division",""),"")</f>
        <v>Division</v>
      </c>
      <c r="I380" s="290"/>
      <c r="J380" s="292" t="s">
        <v>716</v>
      </c>
      <c r="K380" s="293">
        <f>ROUND(Tableau13[[#This Row],[LEN]]*7.27,0)</f>
        <v>189</v>
      </c>
      <c r="L380" s="293">
        <v>15</v>
      </c>
      <c r="M380" s="294" t="str">
        <f t="shared" si="2"/>
        <v>new</v>
      </c>
      <c r="N380" s="293">
        <f>LEN(Tableau13[[#This Row],[LABEL]])</f>
        <v>26</v>
      </c>
      <c r="O380" s="293">
        <v>15</v>
      </c>
      <c r="P380" s="293" t="e">
        <f>ROUND(Tableau13[[#This Row],[LEN]]*#REF!+#REF!,0)</f>
        <v>#REF!</v>
      </c>
    </row>
    <row r="381" spans="1:16" s="97" customFormat="1" x14ac:dyDescent="0.25">
      <c r="A381" s="25" t="s">
        <v>1193</v>
      </c>
      <c r="B381" s="26" t="s">
        <v>256</v>
      </c>
      <c r="C381" s="27" t="s">
        <v>1198</v>
      </c>
      <c r="D381" s="70" t="s">
        <v>28</v>
      </c>
      <c r="E381" s="27" t="s">
        <v>670</v>
      </c>
      <c r="F381" s="27" t="s">
        <v>678</v>
      </c>
      <c r="G381" s="70" t="s">
        <v>166</v>
      </c>
      <c r="H381" s="70" t="s">
        <v>656</v>
      </c>
      <c r="I381" s="27"/>
      <c r="J381" s="28" t="s">
        <v>708</v>
      </c>
      <c r="K381" s="109">
        <f>ROUND(Tableau13[[#This Row],[LEN]]*7.27,0)</f>
        <v>204</v>
      </c>
      <c r="L381" s="109">
        <v>15</v>
      </c>
      <c r="M381" s="127" t="str">
        <f t="shared" ref="M381:M444" si="3">IF(J381="javascript:void(0)","none","new")</f>
        <v>none</v>
      </c>
      <c r="N381" s="109">
        <f>LEN(Tableau13[[#This Row],[LABEL]])</f>
        <v>28</v>
      </c>
      <c r="O381" s="109">
        <v>15</v>
      </c>
      <c r="P381" s="109" t="e">
        <f>ROUND(Tableau13[[#This Row],[LEN]]*#REF!+#REF!,0)</f>
        <v>#REF!</v>
      </c>
    </row>
    <row r="382" spans="1:16" s="97" customFormat="1" x14ac:dyDescent="0.25">
      <c r="A382" s="25" t="s">
        <v>1194</v>
      </c>
      <c r="B382" s="26" t="s">
        <v>256</v>
      </c>
      <c r="C382" s="27" t="s">
        <v>1199</v>
      </c>
      <c r="D382" s="70" t="s">
        <v>28</v>
      </c>
      <c r="E382" s="27" t="s">
        <v>670</v>
      </c>
      <c r="F382" s="27" t="s">
        <v>670</v>
      </c>
      <c r="G382" s="70" t="s">
        <v>166</v>
      </c>
      <c r="H382" s="70" t="s">
        <v>17</v>
      </c>
      <c r="I382" s="27"/>
      <c r="J382" s="28" t="s">
        <v>708</v>
      </c>
      <c r="K382" s="109">
        <f>ROUND(Tableau13[[#This Row],[LEN]]*7.27,0)</f>
        <v>305</v>
      </c>
      <c r="L382" s="109">
        <v>15</v>
      </c>
      <c r="M382" s="127" t="str">
        <f t="shared" si="3"/>
        <v>none</v>
      </c>
      <c r="N382" s="109">
        <f>LEN(Tableau13[[#This Row],[LABEL]])</f>
        <v>42</v>
      </c>
      <c r="O382" s="109">
        <v>15</v>
      </c>
      <c r="P382" s="109" t="e">
        <f>ROUND(Tableau13[[#This Row],[LEN]]*#REF!+#REF!,0)</f>
        <v>#REF!</v>
      </c>
    </row>
    <row r="383" spans="1:16" s="97" customFormat="1" x14ac:dyDescent="0.25">
      <c r="A383" s="25" t="s">
        <v>1195</v>
      </c>
      <c r="B383" s="26" t="s">
        <v>256</v>
      </c>
      <c r="C383" s="27" t="s">
        <v>88</v>
      </c>
      <c r="D383" s="70" t="s">
        <v>28</v>
      </c>
      <c r="E383" s="27" t="s">
        <v>667</v>
      </c>
      <c r="F383" s="27" t="s">
        <v>1218</v>
      </c>
      <c r="G383" s="70" t="s">
        <v>166</v>
      </c>
      <c r="H383" s="70" t="s">
        <v>570</v>
      </c>
      <c r="I383" s="27"/>
      <c r="J383" s="28" t="s">
        <v>708</v>
      </c>
      <c r="K383" s="109">
        <f>ROUND(Tableau13[[#This Row],[LEN]]*7.27,0)</f>
        <v>342</v>
      </c>
      <c r="L383" s="109">
        <v>15</v>
      </c>
      <c r="M383" s="127" t="str">
        <f t="shared" si="3"/>
        <v>none</v>
      </c>
      <c r="N383" s="109">
        <f>LEN(Tableau13[[#This Row],[LABEL]])</f>
        <v>47</v>
      </c>
      <c r="O383" s="109">
        <v>15</v>
      </c>
      <c r="P383" s="109" t="e">
        <f>ROUND(Tableau13[[#This Row],[LEN]]*#REF!+#REF!,0)</f>
        <v>#REF!</v>
      </c>
    </row>
    <row r="384" spans="1:16" s="97" customFormat="1" x14ac:dyDescent="0.25">
      <c r="A384" s="25" t="s">
        <v>1196</v>
      </c>
      <c r="B384" s="26" t="s">
        <v>256</v>
      </c>
      <c r="C384" s="27" t="s">
        <v>1200</v>
      </c>
      <c r="D384" s="70" t="s">
        <v>28</v>
      </c>
      <c r="E384" s="27" t="s">
        <v>670</v>
      </c>
      <c r="F384" s="27" t="s">
        <v>670</v>
      </c>
      <c r="G384" s="70" t="s">
        <v>166</v>
      </c>
      <c r="H384" s="70" t="s">
        <v>655</v>
      </c>
      <c r="I384" s="27"/>
      <c r="J384" s="28" t="s">
        <v>708</v>
      </c>
      <c r="K384" s="109">
        <f>ROUND(Tableau13[[#This Row],[LEN]]*7.27,0)</f>
        <v>298</v>
      </c>
      <c r="L384" s="109">
        <v>15</v>
      </c>
      <c r="M384" s="127" t="str">
        <f t="shared" si="3"/>
        <v>none</v>
      </c>
      <c r="N384" s="109">
        <f>LEN(Tableau13[[#This Row],[LABEL]])</f>
        <v>41</v>
      </c>
      <c r="O384" s="109">
        <v>15</v>
      </c>
      <c r="P384" s="109" t="e">
        <f>ROUND(Tableau13[[#This Row],[LEN]]*#REF!+#REF!,0)</f>
        <v>#REF!</v>
      </c>
    </row>
    <row r="385" spans="1:16" s="97" customFormat="1" x14ac:dyDescent="0.25">
      <c r="A385" s="29" t="s">
        <v>1214</v>
      </c>
      <c r="B385" s="30" t="s">
        <v>1196</v>
      </c>
      <c r="C385" s="31" t="s">
        <v>1211</v>
      </c>
      <c r="D385" s="71" t="s">
        <v>28</v>
      </c>
      <c r="E385" s="31" t="s">
        <v>670</v>
      </c>
      <c r="F385" s="31" t="s">
        <v>670</v>
      </c>
      <c r="G385" s="71" t="s">
        <v>166</v>
      </c>
      <c r="H385" s="71" t="s">
        <v>654</v>
      </c>
      <c r="I385" s="31"/>
      <c r="J385" s="32" t="s">
        <v>708</v>
      </c>
      <c r="K385" s="111">
        <f>ROUND(Tableau13[[#This Row],[LEN]]*7.27,0)</f>
        <v>240</v>
      </c>
      <c r="L385" s="111">
        <v>15</v>
      </c>
      <c r="M385" s="128" t="str">
        <f t="shared" si="3"/>
        <v>none</v>
      </c>
      <c r="N385" s="111">
        <f>LEN(Tableau13[[#This Row],[LABEL]])</f>
        <v>33</v>
      </c>
      <c r="O385" s="111">
        <v>15</v>
      </c>
      <c r="P385" s="111" t="e">
        <f>ROUND(Tableau13[[#This Row],[LEN]]*#REF!+#REF!,0)</f>
        <v>#REF!</v>
      </c>
    </row>
    <row r="386" spans="1:16" s="97" customFormat="1" x14ac:dyDescent="0.25">
      <c r="A386" s="29" t="s">
        <v>1215</v>
      </c>
      <c r="B386" s="30" t="s">
        <v>1196</v>
      </c>
      <c r="C386" s="31" t="s">
        <v>1212</v>
      </c>
      <c r="D386" s="71" t="s">
        <v>28</v>
      </c>
      <c r="E386" s="31" t="s">
        <v>670</v>
      </c>
      <c r="F386" s="31" t="s">
        <v>670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ROUND(Tableau13[[#This Row],[LEN]]*7.27,0)</f>
        <v>327</v>
      </c>
      <c r="L386" s="111">
        <v>15</v>
      </c>
      <c r="M386" s="128" t="str">
        <f t="shared" si="3"/>
        <v>none</v>
      </c>
      <c r="N386" s="111">
        <f>LEN(Tableau13[[#This Row],[LABEL]])</f>
        <v>45</v>
      </c>
      <c r="O386" s="111">
        <v>15</v>
      </c>
      <c r="P386" s="111" t="e">
        <f>ROUND(Tableau13[[#This Row],[LEN]]*#REF!+#REF!,0)</f>
        <v>#REF!</v>
      </c>
    </row>
    <row r="387" spans="1:16" s="97" customFormat="1" x14ac:dyDescent="0.25">
      <c r="A387" s="29" t="s">
        <v>1216</v>
      </c>
      <c r="B387" s="30" t="s">
        <v>1196</v>
      </c>
      <c r="C387" s="31" t="s">
        <v>1213</v>
      </c>
      <c r="D387" s="71" t="s">
        <v>28</v>
      </c>
      <c r="E387" s="31" t="s">
        <v>670</v>
      </c>
      <c r="F387" s="31" t="s">
        <v>670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ROUND(Tableau13[[#This Row],[LEN]]*7.27,0)</f>
        <v>334</v>
      </c>
      <c r="L387" s="111">
        <v>15</v>
      </c>
      <c r="M387" s="128" t="str">
        <f t="shared" si="3"/>
        <v>none</v>
      </c>
      <c r="N387" s="111">
        <f>LEN(Tableau13[[#This Row],[LABEL]])</f>
        <v>46</v>
      </c>
      <c r="O387" s="111">
        <v>15</v>
      </c>
      <c r="P387" s="111" t="e">
        <f>ROUND(Tableau13[[#This Row],[LEN]]*#REF!+#REF!,0)</f>
        <v>#REF!</v>
      </c>
    </row>
    <row r="388" spans="1:16" s="97" customFormat="1" x14ac:dyDescent="0.25">
      <c r="A388" s="25" t="s">
        <v>1197</v>
      </c>
      <c r="B388" s="26" t="s">
        <v>256</v>
      </c>
      <c r="C388" s="27" t="s">
        <v>1167</v>
      </c>
      <c r="D388" s="70" t="s">
        <v>486</v>
      </c>
      <c r="E388" s="27" t="s">
        <v>1085</v>
      </c>
      <c r="F388" s="27" t="s">
        <v>1084</v>
      </c>
      <c r="G388" s="70" t="s">
        <v>166</v>
      </c>
      <c r="H388" s="70" t="s">
        <v>1131</v>
      </c>
      <c r="I388" s="27"/>
      <c r="J388" s="28" t="s">
        <v>708</v>
      </c>
      <c r="K388" s="109">
        <f>ROUND(Tableau13[[#This Row],[LEN]]*7.27,0)</f>
        <v>196</v>
      </c>
      <c r="L388" s="109">
        <v>15</v>
      </c>
      <c r="M388" s="127" t="str">
        <f t="shared" si="3"/>
        <v>none</v>
      </c>
      <c r="N388" s="109">
        <f>LEN(Tableau13[[#This Row],[LABEL]])</f>
        <v>27</v>
      </c>
      <c r="O388" s="109">
        <v>15</v>
      </c>
      <c r="P388" s="109" t="e">
        <f>ROUND(Tableau13[[#This Row],[LEN]]*#REF!+#REF!,0)</f>
        <v>#REF!</v>
      </c>
    </row>
    <row r="389" spans="1:16" s="97" customFormat="1" x14ac:dyDescent="0.25">
      <c r="A389" s="29" t="s">
        <v>1207</v>
      </c>
      <c r="B389" s="30" t="s">
        <v>1197</v>
      </c>
      <c r="C389" s="31" t="s">
        <v>93</v>
      </c>
      <c r="D389" s="71" t="s">
        <v>28</v>
      </c>
      <c r="E389" s="31" t="s">
        <v>1085</v>
      </c>
      <c r="F389" s="31" t="s">
        <v>1084</v>
      </c>
      <c r="G389" s="71" t="s">
        <v>166</v>
      </c>
      <c r="H389" s="71" t="s">
        <v>18</v>
      </c>
      <c r="I389" s="31"/>
      <c r="J389" s="32" t="s">
        <v>101</v>
      </c>
      <c r="K389" s="111">
        <f>ROUND(Tableau13[[#This Row],[LEN]]*7.27,0)</f>
        <v>109</v>
      </c>
      <c r="L389" s="111">
        <v>15</v>
      </c>
      <c r="M389" s="128" t="str">
        <f t="shared" si="3"/>
        <v>new</v>
      </c>
      <c r="N389" s="111">
        <f>LEN(Tableau13[[#This Row],[LABEL]])</f>
        <v>15</v>
      </c>
      <c r="O389" s="111">
        <v>15</v>
      </c>
      <c r="P389" s="111" t="e">
        <f>ROUND(Tableau13[[#This Row],[LEN]]*#REF!+#REF!,0)</f>
        <v>#REF!</v>
      </c>
    </row>
    <row r="390" spans="1:16" s="97" customFormat="1" x14ac:dyDescent="0.25">
      <c r="A390" s="29" t="s">
        <v>1208</v>
      </c>
      <c r="B390" s="30" t="s">
        <v>1197</v>
      </c>
      <c r="C390" s="31" t="s">
        <v>94</v>
      </c>
      <c r="D390" s="71" t="s">
        <v>28</v>
      </c>
      <c r="E390" s="31" t="s">
        <v>1085</v>
      </c>
      <c r="F390" s="31" t="s">
        <v>1084</v>
      </c>
      <c r="G390" s="71" t="s">
        <v>166</v>
      </c>
      <c r="H390" s="71" t="s">
        <v>18</v>
      </c>
      <c r="I390" s="31"/>
      <c r="J390" s="32" t="s">
        <v>102</v>
      </c>
      <c r="K390" s="111">
        <f>ROUND(Tableau13[[#This Row],[LEN]]*7.27,0)</f>
        <v>58</v>
      </c>
      <c r="L390" s="111">
        <v>15</v>
      </c>
      <c r="M390" s="128" t="str">
        <f t="shared" si="3"/>
        <v>new</v>
      </c>
      <c r="N390" s="111">
        <f>LEN(Tableau13[[#This Row],[LABEL]])</f>
        <v>8</v>
      </c>
      <c r="O390" s="111">
        <v>15</v>
      </c>
      <c r="P390" s="111" t="e">
        <f>ROUND(Tableau13[[#This Row],[LEN]]*#REF!+#REF!,0)</f>
        <v>#REF!</v>
      </c>
    </row>
    <row r="391" spans="1:16" s="273" customFormat="1" x14ac:dyDescent="0.25">
      <c r="A391" s="288" t="s">
        <v>257</v>
      </c>
      <c r="B391" s="289" t="s">
        <v>206</v>
      </c>
      <c r="C391" s="290" t="s">
        <v>8</v>
      </c>
      <c r="D391" s="291" t="s">
        <v>28</v>
      </c>
      <c r="E391" s="290" t="s">
        <v>671</v>
      </c>
      <c r="F391" s="290" t="s">
        <v>671</v>
      </c>
      <c r="G391" s="291" t="s">
        <v>166</v>
      </c>
      <c r="H391" s="291" t="str">
        <f>IFERROR(IF(SEARCH(".00.00.00.00.00",Tableau13[[#This Row],[name]],1)=7,"Division",""),"")</f>
        <v>Division</v>
      </c>
      <c r="I391" s="290"/>
      <c r="J391" s="292" t="s">
        <v>717</v>
      </c>
      <c r="K391" s="293">
        <f>ROUND(Tableau13[[#This Row],[LEN]]*7.27,0)</f>
        <v>116</v>
      </c>
      <c r="L391" s="293">
        <v>15</v>
      </c>
      <c r="M391" s="294" t="str">
        <f t="shared" si="3"/>
        <v>new</v>
      </c>
      <c r="N391" s="293">
        <f>LEN(Tableau13[[#This Row],[LABEL]])</f>
        <v>16</v>
      </c>
      <c r="O391" s="293">
        <v>15</v>
      </c>
      <c r="P391" s="293" t="e">
        <f>ROUND(Tableau13[[#This Row],[LEN]]*#REF!+#REF!,0)</f>
        <v>#REF!</v>
      </c>
    </row>
    <row r="392" spans="1:16" s="97" customFormat="1" x14ac:dyDescent="0.25">
      <c r="A392" s="25" t="s">
        <v>1220</v>
      </c>
      <c r="B392" s="26" t="s">
        <v>257</v>
      </c>
      <c r="C392" s="27" t="s">
        <v>1217</v>
      </c>
      <c r="D392" s="70" t="s">
        <v>28</v>
      </c>
      <c r="E392" s="27" t="s">
        <v>671</v>
      </c>
      <c r="F392" s="27" t="s">
        <v>678</v>
      </c>
      <c r="G392" s="70" t="s">
        <v>166</v>
      </c>
      <c r="H392" s="70" t="s">
        <v>654</v>
      </c>
      <c r="I392" s="27"/>
      <c r="J392" s="28" t="s">
        <v>708</v>
      </c>
      <c r="K392" s="109">
        <f>ROUND(Tableau13[[#This Row],[LEN]]*7.27,0)</f>
        <v>160</v>
      </c>
      <c r="L392" s="109">
        <v>15</v>
      </c>
      <c r="M392" s="127" t="str">
        <f t="shared" si="3"/>
        <v>none</v>
      </c>
      <c r="N392" s="109">
        <f>LEN(Tableau13[[#This Row],[LABEL]])</f>
        <v>22</v>
      </c>
      <c r="O392" s="109">
        <v>15</v>
      </c>
      <c r="P392" s="109" t="e">
        <f>ROUND(Tableau13[[#This Row],[LEN]]*#REF!+#REF!,0)</f>
        <v>#REF!</v>
      </c>
    </row>
    <row r="393" spans="1:16" s="97" customFormat="1" x14ac:dyDescent="0.25">
      <c r="A393" s="25" t="s">
        <v>1221</v>
      </c>
      <c r="B393" s="26" t="s">
        <v>257</v>
      </c>
      <c r="C393" s="27" t="s">
        <v>88</v>
      </c>
      <c r="D393" s="70" t="s">
        <v>28</v>
      </c>
      <c r="E393" s="27" t="s">
        <v>667</v>
      </c>
      <c r="F393" s="27" t="s">
        <v>1218</v>
      </c>
      <c r="G393" s="70" t="s">
        <v>166</v>
      </c>
      <c r="H393" s="70" t="s">
        <v>570</v>
      </c>
      <c r="I393" s="27"/>
      <c r="J393" s="28" t="s">
        <v>708</v>
      </c>
      <c r="K393" s="109">
        <f>ROUND(Tableau13[[#This Row],[LEN]]*7.27,0)</f>
        <v>342</v>
      </c>
      <c r="L393" s="109">
        <v>15</v>
      </c>
      <c r="M393" s="127" t="str">
        <f t="shared" si="3"/>
        <v>none</v>
      </c>
      <c r="N393" s="109">
        <f>LEN(Tableau13[[#This Row],[LABEL]])</f>
        <v>47</v>
      </c>
      <c r="O393" s="109">
        <v>15</v>
      </c>
      <c r="P393" s="109" t="e">
        <f>ROUND(Tableau13[[#This Row],[LEN]]*#REF!+#REF!,0)</f>
        <v>#REF!</v>
      </c>
    </row>
    <row r="394" spans="1:16" s="97" customFormat="1" x14ac:dyDescent="0.25">
      <c r="A394" s="25" t="s">
        <v>1222</v>
      </c>
      <c r="B394" s="26" t="s">
        <v>257</v>
      </c>
      <c r="C394" s="27" t="s">
        <v>1219</v>
      </c>
      <c r="D394" s="70" t="s">
        <v>28</v>
      </c>
      <c r="E394" s="27" t="s">
        <v>671</v>
      </c>
      <c r="F394" s="27" t="s">
        <v>678</v>
      </c>
      <c r="G394" s="70" t="s">
        <v>166</v>
      </c>
      <c r="H394" s="70" t="s">
        <v>656</v>
      </c>
      <c r="I394" s="27"/>
      <c r="J394" s="28" t="s">
        <v>708</v>
      </c>
      <c r="K394" s="109">
        <f>ROUND(Tableau13[[#This Row],[LEN]]*7.27,0)</f>
        <v>240</v>
      </c>
      <c r="L394" s="109">
        <v>15</v>
      </c>
      <c r="M394" s="127" t="str">
        <f t="shared" si="3"/>
        <v>none</v>
      </c>
      <c r="N394" s="109">
        <f>LEN(Tableau13[[#This Row],[LABEL]])</f>
        <v>33</v>
      </c>
      <c r="O394" s="109">
        <v>15</v>
      </c>
      <c r="P394" s="109" t="e">
        <f>ROUND(Tableau13[[#This Row],[LEN]]*#REF!+#REF!,0)</f>
        <v>#REF!</v>
      </c>
    </row>
    <row r="395" spans="1:16" s="97" customFormat="1" x14ac:dyDescent="0.25">
      <c r="A395" s="25" t="s">
        <v>1223</v>
      </c>
      <c r="B395" s="26" t="s">
        <v>257</v>
      </c>
      <c r="C395" s="27" t="s">
        <v>1167</v>
      </c>
      <c r="D395" s="70" t="s">
        <v>486</v>
      </c>
      <c r="E395" s="27" t="s">
        <v>1085</v>
      </c>
      <c r="F395" s="27" t="s">
        <v>1084</v>
      </c>
      <c r="G395" s="70" t="s">
        <v>166</v>
      </c>
      <c r="H395" s="70" t="s">
        <v>1131</v>
      </c>
      <c r="I395" s="27"/>
      <c r="J395" s="28" t="s">
        <v>708</v>
      </c>
      <c r="K395" s="109">
        <f>ROUND(Tableau13[[#This Row],[LEN]]*7.27,0)</f>
        <v>196</v>
      </c>
      <c r="L395" s="109">
        <v>15</v>
      </c>
      <c r="M395" s="127" t="str">
        <f t="shared" si="3"/>
        <v>none</v>
      </c>
      <c r="N395" s="109">
        <f>LEN(Tableau13[[#This Row],[LABEL]])</f>
        <v>27</v>
      </c>
      <c r="O395" s="109">
        <v>15</v>
      </c>
      <c r="P395" s="109" t="e">
        <f>ROUND(Tableau13[[#This Row],[LEN]]*#REF!+#REF!,0)</f>
        <v>#REF!</v>
      </c>
    </row>
    <row r="396" spans="1:16" s="97" customFormat="1" x14ac:dyDescent="0.25">
      <c r="A396" s="29" t="s">
        <v>1224</v>
      </c>
      <c r="B396" s="30" t="s">
        <v>1223</v>
      </c>
      <c r="C396" s="31" t="s">
        <v>93</v>
      </c>
      <c r="D396" s="71" t="s">
        <v>28</v>
      </c>
      <c r="E396" s="31" t="s">
        <v>1085</v>
      </c>
      <c r="F396" s="31" t="s">
        <v>1084</v>
      </c>
      <c r="G396" s="71" t="s">
        <v>166</v>
      </c>
      <c r="H396" s="71" t="s">
        <v>18</v>
      </c>
      <c r="I396" s="31"/>
      <c r="J396" s="32" t="s">
        <v>101</v>
      </c>
      <c r="K396" s="111">
        <f>ROUND(Tableau13[[#This Row],[LEN]]*7.27,0)</f>
        <v>109</v>
      </c>
      <c r="L396" s="111">
        <v>15</v>
      </c>
      <c r="M396" s="128" t="str">
        <f t="shared" si="3"/>
        <v>new</v>
      </c>
      <c r="N396" s="111">
        <f>LEN(Tableau13[[#This Row],[LABEL]])</f>
        <v>15</v>
      </c>
      <c r="O396" s="111">
        <v>15</v>
      </c>
      <c r="P396" s="111" t="e">
        <f>ROUND(Tableau13[[#This Row],[LEN]]*#REF!+#REF!,0)</f>
        <v>#REF!</v>
      </c>
    </row>
    <row r="397" spans="1:16" s="97" customFormat="1" x14ac:dyDescent="0.25">
      <c r="A397" s="29" t="s">
        <v>1225</v>
      </c>
      <c r="B397" s="30" t="s">
        <v>1223</v>
      </c>
      <c r="C397" s="31" t="s">
        <v>94</v>
      </c>
      <c r="D397" s="71" t="s">
        <v>28</v>
      </c>
      <c r="E397" s="31" t="s">
        <v>1085</v>
      </c>
      <c r="F397" s="31" t="s">
        <v>1084</v>
      </c>
      <c r="G397" s="71" t="s">
        <v>166</v>
      </c>
      <c r="H397" s="71" t="s">
        <v>18</v>
      </c>
      <c r="I397" s="31"/>
      <c r="J397" s="32" t="s">
        <v>102</v>
      </c>
      <c r="K397" s="111">
        <f>ROUND(Tableau13[[#This Row],[LEN]]*7.27,0)</f>
        <v>58</v>
      </c>
      <c r="L397" s="111">
        <v>15</v>
      </c>
      <c r="M397" s="128" t="str">
        <f t="shared" si="3"/>
        <v>new</v>
      </c>
      <c r="N397" s="111">
        <f>LEN(Tableau13[[#This Row],[LABEL]])</f>
        <v>8</v>
      </c>
      <c r="O397" s="111">
        <v>15</v>
      </c>
      <c r="P397" s="111" t="e">
        <f>ROUND(Tableau13[[#This Row],[LEN]]*#REF!+#REF!,0)</f>
        <v>#REF!</v>
      </c>
    </row>
    <row r="398" spans="1:16" s="273" customFormat="1" x14ac:dyDescent="0.25">
      <c r="A398" s="288" t="s">
        <v>258</v>
      </c>
      <c r="B398" s="289" t="s">
        <v>206</v>
      </c>
      <c r="C398" s="290" t="s">
        <v>9</v>
      </c>
      <c r="D398" s="291" t="s">
        <v>28</v>
      </c>
      <c r="E398" s="290" t="s">
        <v>672</v>
      </c>
      <c r="F398" s="290" t="s">
        <v>672</v>
      </c>
      <c r="G398" s="291" t="s">
        <v>166</v>
      </c>
      <c r="H398" s="291" t="str">
        <f>IFERROR(IF(SEARCH(".00.00.00.00.00",Tableau13[[#This Row],[name]],1)=7,"Division",""),"")</f>
        <v>Division</v>
      </c>
      <c r="I398" s="290"/>
      <c r="J398" s="292" t="s">
        <v>718</v>
      </c>
      <c r="K398" s="293">
        <f>ROUND(Tableau13[[#This Row],[LEN]]*7.27,0)</f>
        <v>80</v>
      </c>
      <c r="L398" s="293">
        <v>15</v>
      </c>
      <c r="M398" s="294" t="str">
        <f t="shared" si="3"/>
        <v>new</v>
      </c>
      <c r="N398" s="293">
        <f>LEN(Tableau13[[#This Row],[LABEL]])</f>
        <v>11</v>
      </c>
      <c r="O398" s="293">
        <v>15</v>
      </c>
      <c r="P398" s="293" t="e">
        <f>ROUND(Tableau13[[#This Row],[LEN]]*#REF!+#REF!,0)</f>
        <v>#REF!</v>
      </c>
    </row>
    <row r="399" spans="1:16" s="97" customFormat="1" x14ac:dyDescent="0.25">
      <c r="A399" s="25" t="s">
        <v>476</v>
      </c>
      <c r="B399" s="26" t="s">
        <v>258</v>
      </c>
      <c r="C399" s="27" t="s">
        <v>483</v>
      </c>
      <c r="D399" s="70" t="s">
        <v>28</v>
      </c>
      <c r="E399" s="27" t="s">
        <v>672</v>
      </c>
      <c r="F399" s="27" t="s">
        <v>1395</v>
      </c>
      <c r="G399" s="70" t="s">
        <v>166</v>
      </c>
      <c r="H399" s="70" t="s">
        <v>655</v>
      </c>
      <c r="I399" s="27"/>
      <c r="J399" s="28" t="s">
        <v>708</v>
      </c>
      <c r="K399" s="109">
        <f>ROUND(Tableau13[[#This Row],[LEN]]*7.27,0)</f>
        <v>247</v>
      </c>
      <c r="L399" s="109">
        <v>15</v>
      </c>
      <c r="M399" s="127" t="str">
        <f t="shared" si="3"/>
        <v>none</v>
      </c>
      <c r="N399" s="109">
        <f>LEN(Tableau13[[#This Row],[LABEL]])</f>
        <v>34</v>
      </c>
      <c r="O399" s="109">
        <v>15</v>
      </c>
      <c r="P399" s="109" t="e">
        <f>ROUND(Tableau13[[#This Row],[LEN]]*#REF!+#REF!,0)</f>
        <v>#REF!</v>
      </c>
    </row>
    <row r="400" spans="1:16" s="97" customFormat="1" x14ac:dyDescent="0.25">
      <c r="A400" s="29" t="s">
        <v>492</v>
      </c>
      <c r="B400" s="30" t="s">
        <v>476</v>
      </c>
      <c r="C400" s="31" t="s">
        <v>498</v>
      </c>
      <c r="D400" s="71" t="s">
        <v>28</v>
      </c>
      <c r="E400" s="31" t="s">
        <v>672</v>
      </c>
      <c r="F400" s="31" t="s">
        <v>1395</v>
      </c>
      <c r="G400" s="71" t="s">
        <v>166</v>
      </c>
      <c r="H400" s="71" t="s">
        <v>656</v>
      </c>
      <c r="I400" s="31"/>
      <c r="J400" s="32" t="s">
        <v>708</v>
      </c>
      <c r="K400" s="111">
        <f>ROUND(Tableau13[[#This Row],[LEN]]*7.27,0)</f>
        <v>349</v>
      </c>
      <c r="L400" s="111">
        <v>15</v>
      </c>
      <c r="M400" s="128" t="str">
        <f t="shared" si="3"/>
        <v>none</v>
      </c>
      <c r="N400" s="111">
        <f>LEN(Tableau13[[#This Row],[LABEL]])</f>
        <v>48</v>
      </c>
      <c r="O400" s="111">
        <v>15</v>
      </c>
      <c r="P400" s="111" t="e">
        <f>ROUND(Tableau13[[#This Row],[LEN]]*#REF!+#REF!,0)</f>
        <v>#REF!</v>
      </c>
    </row>
    <row r="401" spans="1:16" s="97" customFormat="1" x14ac:dyDescent="0.25">
      <c r="A401" s="29" t="s">
        <v>493</v>
      </c>
      <c r="B401" s="30" t="s">
        <v>476</v>
      </c>
      <c r="C401" s="31" t="s">
        <v>499</v>
      </c>
      <c r="D401" s="71" t="s">
        <v>28</v>
      </c>
      <c r="E401" s="31" t="s">
        <v>672</v>
      </c>
      <c r="F401" s="31" t="s">
        <v>1395</v>
      </c>
      <c r="G401" s="71" t="s">
        <v>166</v>
      </c>
      <c r="H401" s="71" t="s">
        <v>570</v>
      </c>
      <c r="I401" s="31"/>
      <c r="J401" s="32" t="s">
        <v>708</v>
      </c>
      <c r="K401" s="111">
        <f>ROUND(Tableau13[[#This Row],[LEN]]*7.27,0)</f>
        <v>225</v>
      </c>
      <c r="L401" s="111">
        <v>15</v>
      </c>
      <c r="M401" s="128" t="str">
        <f t="shared" si="3"/>
        <v>none</v>
      </c>
      <c r="N401" s="111">
        <f>LEN(Tableau13[[#This Row],[LABEL]])</f>
        <v>31</v>
      </c>
      <c r="O401" s="111">
        <v>15</v>
      </c>
      <c r="P401" s="111" t="e">
        <f>ROUND(Tableau13[[#This Row],[LEN]]*#REF!+#REF!,0)</f>
        <v>#REF!</v>
      </c>
    </row>
    <row r="402" spans="1:16" s="97" customFormat="1" x14ac:dyDescent="0.25">
      <c r="A402" s="29" t="s">
        <v>494</v>
      </c>
      <c r="B402" s="30" t="s">
        <v>476</v>
      </c>
      <c r="C402" s="31" t="s">
        <v>500</v>
      </c>
      <c r="D402" s="71" t="s">
        <v>28</v>
      </c>
      <c r="E402" s="31" t="s">
        <v>672</v>
      </c>
      <c r="F402" s="31" t="s">
        <v>1395</v>
      </c>
      <c r="G402" s="71" t="s">
        <v>166</v>
      </c>
      <c r="H402" s="71" t="s">
        <v>656</v>
      </c>
      <c r="I402" s="31"/>
      <c r="J402" s="32" t="s">
        <v>708</v>
      </c>
      <c r="K402" s="111">
        <f>ROUND(Tableau13[[#This Row],[LEN]]*7.27,0)</f>
        <v>254</v>
      </c>
      <c r="L402" s="111">
        <v>15</v>
      </c>
      <c r="M402" s="128" t="str">
        <f t="shared" si="3"/>
        <v>none</v>
      </c>
      <c r="N402" s="111">
        <f>LEN(Tableau13[[#This Row],[LABEL]])</f>
        <v>35</v>
      </c>
      <c r="O402" s="111">
        <v>15</v>
      </c>
      <c r="P402" s="111" t="e">
        <f>ROUND(Tableau13[[#This Row],[LEN]]*#REF!+#REF!,0)</f>
        <v>#REF!</v>
      </c>
    </row>
    <row r="403" spans="1:16" s="97" customFormat="1" x14ac:dyDescent="0.25">
      <c r="A403" s="29" t="s">
        <v>495</v>
      </c>
      <c r="B403" s="30" t="s">
        <v>476</v>
      </c>
      <c r="C403" s="31" t="s">
        <v>501</v>
      </c>
      <c r="D403" s="71" t="s">
        <v>28</v>
      </c>
      <c r="E403" s="31" t="s">
        <v>672</v>
      </c>
      <c r="F403" s="31" t="s">
        <v>1395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ROUND(Tableau13[[#This Row],[LEN]]*7.27,0)</f>
        <v>313</v>
      </c>
      <c r="L403" s="111">
        <v>15</v>
      </c>
      <c r="M403" s="128" t="str">
        <f t="shared" si="3"/>
        <v>none</v>
      </c>
      <c r="N403" s="111">
        <f>LEN(Tableau13[[#This Row],[LABEL]])</f>
        <v>43</v>
      </c>
      <c r="O403" s="111">
        <v>15</v>
      </c>
      <c r="P403" s="111" t="e">
        <f>ROUND(Tableau13[[#This Row],[LEN]]*#REF!+#REF!,0)</f>
        <v>#REF!</v>
      </c>
    </row>
    <row r="404" spans="1:16" s="97" customFormat="1" x14ac:dyDescent="0.25">
      <c r="A404" s="29" t="s">
        <v>496</v>
      </c>
      <c r="B404" s="30" t="s">
        <v>476</v>
      </c>
      <c r="C404" s="31" t="s">
        <v>502</v>
      </c>
      <c r="D404" s="71" t="s">
        <v>28</v>
      </c>
      <c r="E404" s="31" t="s">
        <v>672</v>
      </c>
      <c r="F404" s="31" t="s">
        <v>1395</v>
      </c>
      <c r="G404" s="71" t="s">
        <v>166</v>
      </c>
      <c r="H404" s="71" t="s">
        <v>654</v>
      </c>
      <c r="I404" s="31"/>
      <c r="J404" s="32" t="s">
        <v>708</v>
      </c>
      <c r="K404" s="111">
        <f>ROUND(Tableau13[[#This Row],[LEN]]*7.27,0)</f>
        <v>247</v>
      </c>
      <c r="L404" s="111">
        <v>15</v>
      </c>
      <c r="M404" s="128" t="str">
        <f t="shared" si="3"/>
        <v>none</v>
      </c>
      <c r="N404" s="111">
        <f>LEN(Tableau13[[#This Row],[LABEL]])</f>
        <v>34</v>
      </c>
      <c r="O404" s="111">
        <v>15</v>
      </c>
      <c r="P404" s="111" t="e">
        <f>ROUND(Tableau13[[#This Row],[LEN]]*#REF!+#REF!,0)</f>
        <v>#REF!</v>
      </c>
    </row>
    <row r="405" spans="1:16" s="97" customFormat="1" x14ac:dyDescent="0.25">
      <c r="A405" s="29" t="s">
        <v>497</v>
      </c>
      <c r="B405" s="30" t="s">
        <v>476</v>
      </c>
      <c r="C405" s="31" t="s">
        <v>503</v>
      </c>
      <c r="D405" s="71" t="s">
        <v>28</v>
      </c>
      <c r="E405" s="31" t="s">
        <v>672</v>
      </c>
      <c r="F405" s="31" t="s">
        <v>1395</v>
      </c>
      <c r="G405" s="71" t="s">
        <v>166</v>
      </c>
      <c r="H405" s="71" t="s">
        <v>656</v>
      </c>
      <c r="I405" s="31"/>
      <c r="J405" s="32" t="s">
        <v>708</v>
      </c>
      <c r="K405" s="111">
        <f>ROUND(Tableau13[[#This Row],[LEN]]*7.27,0)</f>
        <v>371</v>
      </c>
      <c r="L405" s="111">
        <v>15</v>
      </c>
      <c r="M405" s="128" t="str">
        <f t="shared" si="3"/>
        <v>none</v>
      </c>
      <c r="N405" s="111">
        <f>LEN(Tableau13[[#This Row],[LABEL]])</f>
        <v>51</v>
      </c>
      <c r="O405" s="111">
        <v>15</v>
      </c>
      <c r="P405" s="111" t="e">
        <f>ROUND(Tableau13[[#This Row],[LEN]]*#REF!+#REF!,0)</f>
        <v>#REF!</v>
      </c>
    </row>
    <row r="406" spans="1:16" s="97" customFormat="1" x14ac:dyDescent="0.25">
      <c r="A406" s="25" t="s">
        <v>477</v>
      </c>
      <c r="B406" s="26" t="s">
        <v>258</v>
      </c>
      <c r="C406" s="27" t="s">
        <v>88</v>
      </c>
      <c r="D406" s="70" t="s">
        <v>28</v>
      </c>
      <c r="E406" s="27" t="s">
        <v>667</v>
      </c>
      <c r="F406" s="27" t="s">
        <v>1218</v>
      </c>
      <c r="G406" s="70" t="s">
        <v>166</v>
      </c>
      <c r="H406" s="70" t="s">
        <v>570</v>
      </c>
      <c r="I406" s="27"/>
      <c r="J406" s="28" t="s">
        <v>708</v>
      </c>
      <c r="K406" s="109">
        <f>ROUND(Tableau13[[#This Row],[LEN]]*7.27,0)</f>
        <v>342</v>
      </c>
      <c r="L406" s="109">
        <v>15</v>
      </c>
      <c r="M406" s="127" t="str">
        <f t="shared" si="3"/>
        <v>none</v>
      </c>
      <c r="N406" s="109">
        <f>LEN(Tableau13[[#This Row],[LABEL]])</f>
        <v>47</v>
      </c>
      <c r="O406" s="109">
        <v>15</v>
      </c>
      <c r="P406" s="109" t="e">
        <f>ROUND(Tableau13[[#This Row],[LEN]]*#REF!+#REF!,0)</f>
        <v>#REF!</v>
      </c>
    </row>
    <row r="407" spans="1:16" s="97" customFormat="1" x14ac:dyDescent="0.25">
      <c r="A407" s="25" t="s">
        <v>478</v>
      </c>
      <c r="B407" s="26" t="s">
        <v>258</v>
      </c>
      <c r="C407" s="27" t="s">
        <v>484</v>
      </c>
      <c r="D407" s="70" t="s">
        <v>28</v>
      </c>
      <c r="E407" s="27" t="s">
        <v>672</v>
      </c>
      <c r="F407" s="27" t="s">
        <v>1285</v>
      </c>
      <c r="G407" s="70" t="s">
        <v>166</v>
      </c>
      <c r="H407" s="70" t="s">
        <v>655</v>
      </c>
      <c r="I407" s="27"/>
      <c r="J407" s="28" t="s">
        <v>727</v>
      </c>
      <c r="K407" s="109">
        <f>ROUND(Tableau13[[#This Row],[LEN]]*7.27,0)</f>
        <v>80</v>
      </c>
      <c r="L407" s="109">
        <v>15</v>
      </c>
      <c r="M407" s="127" t="str">
        <f t="shared" si="3"/>
        <v>new</v>
      </c>
      <c r="N407" s="109">
        <f>LEN(Tableau13[[#This Row],[LABEL]])</f>
        <v>11</v>
      </c>
      <c r="O407" s="109">
        <v>15</v>
      </c>
      <c r="P407" s="109" t="e">
        <f>ROUND(Tableau13[[#This Row],[LEN]]*#REF!+#REF!,0)</f>
        <v>#REF!</v>
      </c>
    </row>
    <row r="408" spans="1:16" s="97" customFormat="1" x14ac:dyDescent="0.25">
      <c r="A408" s="29" t="s">
        <v>504</v>
      </c>
      <c r="B408" s="30" t="s">
        <v>478</v>
      </c>
      <c r="C408" s="31" t="s">
        <v>505</v>
      </c>
      <c r="D408" s="71" t="s">
        <v>28</v>
      </c>
      <c r="E408" s="31" t="s">
        <v>672</v>
      </c>
      <c r="F408" s="31" t="s">
        <v>1285</v>
      </c>
      <c r="G408" s="71" t="s">
        <v>166</v>
      </c>
      <c r="H408" s="71" t="s">
        <v>18</v>
      </c>
      <c r="I408" s="31"/>
      <c r="J408" s="32" t="s">
        <v>705</v>
      </c>
      <c r="K408" s="111">
        <f>ROUND(Tableau13[[#This Row],[LEN]]*7.27,0)</f>
        <v>73</v>
      </c>
      <c r="L408" s="111">
        <v>15</v>
      </c>
      <c r="M408" s="128" t="str">
        <f t="shared" si="3"/>
        <v>new</v>
      </c>
      <c r="N408" s="111">
        <f>LEN(Tableau13[[#This Row],[LABEL]])</f>
        <v>10</v>
      </c>
      <c r="O408" s="111">
        <v>15</v>
      </c>
      <c r="P408" s="111" t="e">
        <f>ROUND(Tableau13[[#This Row],[LEN]]*#REF!+#REF!,0)</f>
        <v>#REF!</v>
      </c>
    </row>
    <row r="409" spans="1:16" s="97" customFormat="1" x14ac:dyDescent="0.25">
      <c r="A409" s="29" t="s">
        <v>504</v>
      </c>
      <c r="B409" s="30" t="s">
        <v>478</v>
      </c>
      <c r="C409" s="31" t="s">
        <v>1284</v>
      </c>
      <c r="D409" s="71" t="s">
        <v>28</v>
      </c>
      <c r="E409" s="31" t="s">
        <v>672</v>
      </c>
      <c r="F409" s="31" t="s">
        <v>1285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ROUND(Tableau13[[#This Row],[LEN]]*7.27,0)</f>
        <v>153</v>
      </c>
      <c r="L409" s="111">
        <v>15</v>
      </c>
      <c r="M409" s="128" t="str">
        <f t="shared" si="3"/>
        <v>new</v>
      </c>
      <c r="N409" s="111">
        <f>LEN(Tableau13[[#This Row],[LABEL]])</f>
        <v>21</v>
      </c>
      <c r="O409" s="111">
        <v>15</v>
      </c>
      <c r="P409" s="111" t="e">
        <f>ROUND(Tableau13[[#This Row],[LEN]]*#REF!+#REF!,0)</f>
        <v>#REF!</v>
      </c>
    </row>
    <row r="410" spans="1:16" s="97" customFormat="1" x14ac:dyDescent="0.25">
      <c r="A410" s="25" t="s">
        <v>479</v>
      </c>
      <c r="B410" s="26" t="s">
        <v>258</v>
      </c>
      <c r="C410" s="27" t="s">
        <v>485</v>
      </c>
      <c r="D410" s="70" t="s">
        <v>28</v>
      </c>
      <c r="E410" s="27" t="s">
        <v>672</v>
      </c>
      <c r="F410" s="27" t="s">
        <v>672</v>
      </c>
      <c r="G410" s="70" t="s">
        <v>166</v>
      </c>
      <c r="H410" s="70" t="s">
        <v>654</v>
      </c>
      <c r="I410" s="27"/>
      <c r="J410" s="28" t="s">
        <v>708</v>
      </c>
      <c r="K410" s="109">
        <f>ROUND(Tableau13[[#This Row],[LEN]]*7.27,0)</f>
        <v>87</v>
      </c>
      <c r="L410" s="109">
        <v>15</v>
      </c>
      <c r="M410" s="127" t="str">
        <f t="shared" si="3"/>
        <v>none</v>
      </c>
      <c r="N410" s="109">
        <f>LEN(Tableau13[[#This Row],[LABEL]])</f>
        <v>12</v>
      </c>
      <c r="O410" s="109">
        <v>15</v>
      </c>
      <c r="P410" s="109" t="e">
        <f>ROUND(Tableau13[[#This Row],[LEN]]*#REF!+#REF!,0)</f>
        <v>#REF!</v>
      </c>
    </row>
    <row r="411" spans="1:16" s="97" customFormat="1" x14ac:dyDescent="0.25">
      <c r="A411" s="25" t="s">
        <v>480</v>
      </c>
      <c r="B411" s="26" t="s">
        <v>258</v>
      </c>
      <c r="C411" s="27" t="s">
        <v>778</v>
      </c>
      <c r="D411" s="70" t="s">
        <v>28</v>
      </c>
      <c r="E411" s="27" t="s">
        <v>673</v>
      </c>
      <c r="F411" s="27" t="s">
        <v>785</v>
      </c>
      <c r="G411" s="70" t="s">
        <v>166</v>
      </c>
      <c r="H411" s="70" t="s">
        <v>17</v>
      </c>
      <c r="I411" s="27"/>
      <c r="J411" s="28" t="s">
        <v>708</v>
      </c>
      <c r="K411" s="109">
        <f>ROUND(Tableau13[[#This Row],[LEN]]*7.27,0)</f>
        <v>211</v>
      </c>
      <c r="L411" s="109">
        <v>15</v>
      </c>
      <c r="M411" s="127" t="str">
        <f t="shared" si="3"/>
        <v>none</v>
      </c>
      <c r="N411" s="109">
        <f>LEN(Tableau13[[#This Row],[LABEL]])</f>
        <v>29</v>
      </c>
      <c r="O411" s="109">
        <v>15</v>
      </c>
      <c r="P411" s="109" t="e">
        <f>ROUND(Tableau13[[#This Row],[LEN]]*#REF!+#REF!,0)</f>
        <v>#REF!</v>
      </c>
    </row>
    <row r="412" spans="1:16" s="97" customFormat="1" x14ac:dyDescent="0.25">
      <c r="A412" s="25" t="s">
        <v>481</v>
      </c>
      <c r="B412" s="26" t="s">
        <v>258</v>
      </c>
      <c r="C412" s="27" t="s">
        <v>92</v>
      </c>
      <c r="D412" s="70" t="s">
        <v>28</v>
      </c>
      <c r="E412" s="27" t="s">
        <v>663</v>
      </c>
      <c r="F412" s="27" t="s">
        <v>786</v>
      </c>
      <c r="G412" s="70" t="s">
        <v>166</v>
      </c>
      <c r="H412" s="70" t="s">
        <v>655</v>
      </c>
      <c r="I412" s="27"/>
      <c r="J412" s="28" t="s">
        <v>708</v>
      </c>
      <c r="K412" s="109">
        <f>ROUND(Tableau13[[#This Row],[LEN]]*7.27,0)</f>
        <v>262</v>
      </c>
      <c r="L412" s="109">
        <v>15</v>
      </c>
      <c r="M412" s="127" t="str">
        <f t="shared" si="3"/>
        <v>none</v>
      </c>
      <c r="N412" s="109">
        <f>LEN(Tableau13[[#This Row],[LABEL]])</f>
        <v>36</v>
      </c>
      <c r="O412" s="109">
        <v>15</v>
      </c>
      <c r="P412" s="109" t="e">
        <f>ROUND(Tableau13[[#This Row],[LEN]]*#REF!+#REF!,0)</f>
        <v>#REF!</v>
      </c>
    </row>
    <row r="413" spans="1:16" s="97" customFormat="1" x14ac:dyDescent="0.25">
      <c r="A413" s="29" t="s">
        <v>506</v>
      </c>
      <c r="B413" s="30" t="s">
        <v>481</v>
      </c>
      <c r="C413" s="31" t="s">
        <v>95</v>
      </c>
      <c r="D413" s="71" t="s">
        <v>28</v>
      </c>
      <c r="E413" s="31" t="s">
        <v>663</v>
      </c>
      <c r="F413" s="31" t="s">
        <v>786</v>
      </c>
      <c r="G413" s="71" t="s">
        <v>166</v>
      </c>
      <c r="H413" s="71" t="s">
        <v>18</v>
      </c>
      <c r="I413" s="31"/>
      <c r="J413" s="32" t="s">
        <v>708</v>
      </c>
      <c r="K413" s="111">
        <f>ROUND(Tableau13[[#This Row],[LEN]]*7.27,0)</f>
        <v>254</v>
      </c>
      <c r="L413" s="111">
        <v>15</v>
      </c>
      <c r="M413" s="128" t="str">
        <f t="shared" si="3"/>
        <v>none</v>
      </c>
      <c r="N413" s="111">
        <f>LEN(Tableau13[[#This Row],[LABEL]])</f>
        <v>35</v>
      </c>
      <c r="O413" s="111">
        <v>15</v>
      </c>
      <c r="P413" s="111" t="e">
        <f>ROUND(Tableau13[[#This Row],[LEN]]*#REF!+#REF!,0)</f>
        <v>#REF!</v>
      </c>
    </row>
    <row r="414" spans="1:16" s="97" customFormat="1" x14ac:dyDescent="0.25">
      <c r="A414" s="29" t="s">
        <v>507</v>
      </c>
      <c r="B414" s="30" t="s">
        <v>481</v>
      </c>
      <c r="C414" s="31" t="s">
        <v>96</v>
      </c>
      <c r="D414" s="71" t="s">
        <v>28</v>
      </c>
      <c r="E414" s="31" t="s">
        <v>663</v>
      </c>
      <c r="F414" s="31" t="s">
        <v>786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ROUND(Tableau13[[#This Row],[LEN]]*7.27,0)</f>
        <v>233</v>
      </c>
      <c r="L414" s="111">
        <v>15</v>
      </c>
      <c r="M414" s="128" t="str">
        <f t="shared" si="3"/>
        <v>none</v>
      </c>
      <c r="N414" s="111">
        <f>LEN(Tableau13[[#This Row],[LABEL]])</f>
        <v>32</v>
      </c>
      <c r="O414" s="111">
        <v>15</v>
      </c>
      <c r="P414" s="111" t="e">
        <f>ROUND(Tableau13[[#This Row],[LEN]]*#REF!+#REF!,0)</f>
        <v>#REF!</v>
      </c>
    </row>
    <row r="415" spans="1:16" s="97" customFormat="1" x14ac:dyDescent="0.25">
      <c r="A415" s="29" t="s">
        <v>508</v>
      </c>
      <c r="B415" s="30" t="s">
        <v>481</v>
      </c>
      <c r="C415" s="31" t="s">
        <v>97</v>
      </c>
      <c r="D415" s="71" t="s">
        <v>28</v>
      </c>
      <c r="E415" s="31" t="s">
        <v>663</v>
      </c>
      <c r="F415" s="31" t="s">
        <v>786</v>
      </c>
      <c r="G415" s="71" t="s">
        <v>166</v>
      </c>
      <c r="H415" s="71" t="s">
        <v>656</v>
      </c>
      <c r="I415" s="31"/>
      <c r="J415" s="32" t="s">
        <v>708</v>
      </c>
      <c r="K415" s="111">
        <f>ROUND(Tableau13[[#This Row],[LEN]]*7.27,0)</f>
        <v>145</v>
      </c>
      <c r="L415" s="111">
        <v>15</v>
      </c>
      <c r="M415" s="128" t="str">
        <f t="shared" si="3"/>
        <v>none</v>
      </c>
      <c r="N415" s="111">
        <f>LEN(Tableau13[[#This Row],[LABEL]])</f>
        <v>20</v>
      </c>
      <c r="O415" s="111">
        <v>15</v>
      </c>
      <c r="P415" s="111" t="e">
        <f>ROUND(Tableau13[[#This Row],[LEN]]*#REF!+#REF!,0)</f>
        <v>#REF!</v>
      </c>
    </row>
    <row r="416" spans="1:16" s="97" customFormat="1" x14ac:dyDescent="0.25">
      <c r="A416" s="25" t="s">
        <v>482</v>
      </c>
      <c r="B416" s="26" t="s">
        <v>258</v>
      </c>
      <c r="C416" s="27" t="s">
        <v>1167</v>
      </c>
      <c r="D416" s="70" t="s">
        <v>486</v>
      </c>
      <c r="E416" s="27" t="s">
        <v>1085</v>
      </c>
      <c r="F416" s="27" t="s">
        <v>1084</v>
      </c>
      <c r="G416" s="70" t="s">
        <v>166</v>
      </c>
      <c r="H416" s="70" t="s">
        <v>1131</v>
      </c>
      <c r="I416" s="27"/>
      <c r="J416" s="28" t="s">
        <v>708</v>
      </c>
      <c r="K416" s="109">
        <f>ROUND(Tableau13[[#This Row],[LEN]]*7.27,0)</f>
        <v>196</v>
      </c>
      <c r="L416" s="109">
        <v>15</v>
      </c>
      <c r="M416" s="127" t="str">
        <f t="shared" si="3"/>
        <v>none</v>
      </c>
      <c r="N416" s="109">
        <f>LEN(Tableau13[[#This Row],[LABEL]])</f>
        <v>27</v>
      </c>
      <c r="O416" s="109">
        <v>15</v>
      </c>
      <c r="P416" s="109" t="e">
        <f>ROUND(Tableau13[[#This Row],[LEN]]*#REF!+#REF!,0)</f>
        <v>#REF!</v>
      </c>
    </row>
    <row r="417" spans="1:16" s="97" customFormat="1" x14ac:dyDescent="0.25">
      <c r="A417" s="29" t="s">
        <v>1209</v>
      </c>
      <c r="B417" s="30" t="s">
        <v>482</v>
      </c>
      <c r="C417" s="31" t="s">
        <v>93</v>
      </c>
      <c r="D417" s="71" t="s">
        <v>28</v>
      </c>
      <c r="E417" s="31" t="s">
        <v>1085</v>
      </c>
      <c r="F417" s="31" t="s">
        <v>1084</v>
      </c>
      <c r="G417" s="71" t="s">
        <v>166</v>
      </c>
      <c r="H417" s="71" t="s">
        <v>18</v>
      </c>
      <c r="I417" s="31"/>
      <c r="J417" s="32" t="s">
        <v>101</v>
      </c>
      <c r="K417" s="111">
        <f>ROUND(Tableau13[[#This Row],[LEN]]*7.27,0)</f>
        <v>109</v>
      </c>
      <c r="L417" s="111">
        <v>15</v>
      </c>
      <c r="M417" s="128" t="str">
        <f t="shared" si="3"/>
        <v>new</v>
      </c>
      <c r="N417" s="111">
        <f>LEN(Tableau13[[#This Row],[LABEL]])</f>
        <v>15</v>
      </c>
      <c r="O417" s="111">
        <v>15</v>
      </c>
      <c r="P417" s="111" t="e">
        <f>ROUND(Tableau13[[#This Row],[LEN]]*#REF!+#REF!,0)</f>
        <v>#REF!</v>
      </c>
    </row>
    <row r="418" spans="1:16" s="97" customFormat="1" x14ac:dyDescent="0.25">
      <c r="A418" s="29" t="s">
        <v>1210</v>
      </c>
      <c r="B418" s="30" t="s">
        <v>482</v>
      </c>
      <c r="C418" s="31" t="s">
        <v>94</v>
      </c>
      <c r="D418" s="71" t="s">
        <v>28</v>
      </c>
      <c r="E418" s="31" t="s">
        <v>1085</v>
      </c>
      <c r="F418" s="31" t="s">
        <v>1084</v>
      </c>
      <c r="G418" s="71" t="s">
        <v>166</v>
      </c>
      <c r="H418" s="71" t="s">
        <v>18</v>
      </c>
      <c r="I418" s="31"/>
      <c r="J418" s="32" t="s">
        <v>102</v>
      </c>
      <c r="K418" s="111">
        <f>ROUND(Tableau13[[#This Row],[LEN]]*7.27,0)</f>
        <v>58</v>
      </c>
      <c r="L418" s="111">
        <v>15</v>
      </c>
      <c r="M418" s="128" t="str">
        <f t="shared" si="3"/>
        <v>new</v>
      </c>
      <c r="N418" s="111">
        <f>LEN(Tableau13[[#This Row],[LABEL]])</f>
        <v>8</v>
      </c>
      <c r="O418" s="111">
        <v>15</v>
      </c>
      <c r="P418" s="111" t="e">
        <f>ROUND(Tableau13[[#This Row],[LEN]]*#REF!+#REF!,0)</f>
        <v>#REF!</v>
      </c>
    </row>
    <row r="419" spans="1:16" s="273" customFormat="1" x14ac:dyDescent="0.25">
      <c r="A419" s="288" t="s">
        <v>259</v>
      </c>
      <c r="B419" s="289" t="s">
        <v>206</v>
      </c>
      <c r="C419" s="290" t="s">
        <v>10</v>
      </c>
      <c r="D419" s="291" t="s">
        <v>28</v>
      </c>
      <c r="E419" s="290" t="s">
        <v>673</v>
      </c>
      <c r="F419" s="290" t="s">
        <v>673</v>
      </c>
      <c r="G419" s="291" t="s">
        <v>166</v>
      </c>
      <c r="H419" s="291" t="str">
        <f>IFERROR(IF(SEARCH(".00.00.00.00.00",Tableau13[[#This Row],[name]],1)=7,"Division",""),"")</f>
        <v>Division</v>
      </c>
      <c r="I419" s="290"/>
      <c r="J419" s="292" t="s">
        <v>719</v>
      </c>
      <c r="K419" s="293">
        <f>ROUND(Tableau13[[#This Row],[LEN]]*7.27,0)</f>
        <v>109</v>
      </c>
      <c r="L419" s="293">
        <v>15</v>
      </c>
      <c r="M419" s="294" t="str">
        <f t="shared" si="3"/>
        <v>new</v>
      </c>
      <c r="N419" s="293">
        <f>LEN(Tableau13[[#This Row],[LABEL]])</f>
        <v>15</v>
      </c>
      <c r="O419" s="293">
        <v>15</v>
      </c>
      <c r="P419" s="293" t="e">
        <f>ROUND(Tableau13[[#This Row],[LEN]]*#REF!+#REF!,0)</f>
        <v>#REF!</v>
      </c>
    </row>
    <row r="420" spans="1:16" s="97" customFormat="1" x14ac:dyDescent="0.25">
      <c r="A420" s="25" t="s">
        <v>1226</v>
      </c>
      <c r="B420" s="26" t="s">
        <v>259</v>
      </c>
      <c r="C420" s="27" t="s">
        <v>1238</v>
      </c>
      <c r="D420" s="70" t="s">
        <v>28</v>
      </c>
      <c r="E420" s="27" t="s">
        <v>673</v>
      </c>
      <c r="F420" s="27" t="s">
        <v>1177</v>
      </c>
      <c r="G420" s="70" t="s">
        <v>166</v>
      </c>
      <c r="H420" s="70" t="s">
        <v>655</v>
      </c>
      <c r="I420" s="27"/>
      <c r="J420" s="28" t="s">
        <v>708</v>
      </c>
      <c r="K420" s="109">
        <f>ROUND(Tableau13[[#This Row],[LEN]]*7.27,0)</f>
        <v>196</v>
      </c>
      <c r="L420" s="109">
        <v>15</v>
      </c>
      <c r="M420" s="127" t="str">
        <f t="shared" si="3"/>
        <v>none</v>
      </c>
      <c r="N420" s="109">
        <f>LEN(Tableau13[[#This Row],[LABEL]])</f>
        <v>27</v>
      </c>
      <c r="O420" s="109">
        <v>15</v>
      </c>
      <c r="P420" s="109" t="e">
        <f>ROUND(Tableau13[[#This Row],[LEN]]*#REF!+#REF!,0)</f>
        <v>#REF!</v>
      </c>
    </row>
    <row r="421" spans="1:16" s="97" customFormat="1" x14ac:dyDescent="0.25">
      <c r="A421" s="29" t="s">
        <v>1251</v>
      </c>
      <c r="B421" s="30" t="s">
        <v>1226</v>
      </c>
      <c r="C421" s="31" t="s">
        <v>1255</v>
      </c>
      <c r="D421" s="71" t="s">
        <v>28</v>
      </c>
      <c r="E421" s="31" t="s">
        <v>673</v>
      </c>
      <c r="F421" s="31" t="s">
        <v>1177</v>
      </c>
      <c r="G421" s="71" t="s">
        <v>166</v>
      </c>
      <c r="H421" s="71" t="s">
        <v>654</v>
      </c>
      <c r="I421" s="31"/>
      <c r="J421" s="32" t="s">
        <v>708</v>
      </c>
      <c r="K421" s="111">
        <f>ROUND(Tableau13[[#This Row],[LEN]]*7.27,0)</f>
        <v>356</v>
      </c>
      <c r="L421" s="111">
        <v>15</v>
      </c>
      <c r="M421" s="128" t="str">
        <f t="shared" si="3"/>
        <v>none</v>
      </c>
      <c r="N421" s="111">
        <f>LEN(Tableau13[[#This Row],[LABEL]])</f>
        <v>49</v>
      </c>
      <c r="O421" s="111">
        <v>15</v>
      </c>
      <c r="P421" s="111" t="e">
        <f>ROUND(Tableau13[[#This Row],[LEN]]*#REF!+#REF!,0)</f>
        <v>#REF!</v>
      </c>
    </row>
    <row r="422" spans="1:16" s="97" customFormat="1" x14ac:dyDescent="0.25">
      <c r="A422" s="29" t="s">
        <v>1252</v>
      </c>
      <c r="B422" s="30" t="s">
        <v>1226</v>
      </c>
      <c r="C422" s="31" t="s">
        <v>1256</v>
      </c>
      <c r="D422" s="71" t="s">
        <v>28</v>
      </c>
      <c r="E422" s="31" t="s">
        <v>673</v>
      </c>
      <c r="F422" s="31" t="s">
        <v>1177</v>
      </c>
      <c r="G422" s="71" t="s">
        <v>166</v>
      </c>
      <c r="H422" s="71" t="s">
        <v>656</v>
      </c>
      <c r="I422" s="31"/>
      <c r="J422" s="32" t="s">
        <v>708</v>
      </c>
      <c r="K422" s="111">
        <f>ROUND(Tableau13[[#This Row],[LEN]]*7.27,0)</f>
        <v>291</v>
      </c>
      <c r="L422" s="111">
        <v>15</v>
      </c>
      <c r="M422" s="128" t="str">
        <f t="shared" si="3"/>
        <v>none</v>
      </c>
      <c r="N422" s="111">
        <f>LEN(Tableau13[[#This Row],[LABEL]])</f>
        <v>40</v>
      </c>
      <c r="O422" s="111">
        <v>15</v>
      </c>
      <c r="P422" s="111" t="e">
        <f>ROUND(Tableau13[[#This Row],[LEN]]*#REF!+#REF!,0)</f>
        <v>#REF!</v>
      </c>
    </row>
    <row r="423" spans="1:16" s="97" customFormat="1" x14ac:dyDescent="0.25">
      <c r="A423" s="29" t="s">
        <v>1253</v>
      </c>
      <c r="B423" s="30" t="s">
        <v>1226</v>
      </c>
      <c r="C423" s="31" t="s">
        <v>1257</v>
      </c>
      <c r="D423" s="71" t="s">
        <v>28</v>
      </c>
      <c r="E423" s="31" t="s">
        <v>673</v>
      </c>
      <c r="F423" s="31" t="s">
        <v>1177</v>
      </c>
      <c r="G423" s="71" t="s">
        <v>166</v>
      </c>
      <c r="H423" s="71" t="s">
        <v>654</v>
      </c>
      <c r="I423" s="31"/>
      <c r="J423" s="32" t="s">
        <v>708</v>
      </c>
      <c r="K423" s="111">
        <f>ROUND(Tableau13[[#This Row],[LEN]]*7.27,0)</f>
        <v>211</v>
      </c>
      <c r="L423" s="111">
        <v>15</v>
      </c>
      <c r="M423" s="128" t="str">
        <f t="shared" si="3"/>
        <v>none</v>
      </c>
      <c r="N423" s="111">
        <f>LEN(Tableau13[[#This Row],[LABEL]])</f>
        <v>29</v>
      </c>
      <c r="O423" s="111">
        <v>15</v>
      </c>
      <c r="P423" s="111" t="e">
        <f>ROUND(Tableau13[[#This Row],[LEN]]*#REF!+#REF!,0)</f>
        <v>#REF!</v>
      </c>
    </row>
    <row r="424" spans="1:16" s="97" customFormat="1" x14ac:dyDescent="0.25">
      <c r="A424" s="29" t="s">
        <v>1254</v>
      </c>
      <c r="B424" s="30" t="s">
        <v>1226</v>
      </c>
      <c r="C424" s="31" t="s">
        <v>1258</v>
      </c>
      <c r="D424" s="71" t="s">
        <v>28</v>
      </c>
      <c r="E424" s="31" t="s">
        <v>673</v>
      </c>
      <c r="F424" s="31" t="s">
        <v>1177</v>
      </c>
      <c r="G424" s="71" t="s">
        <v>166</v>
      </c>
      <c r="H424" s="71" t="s">
        <v>18</v>
      </c>
      <c r="I424" s="31"/>
      <c r="J424" s="32" t="s">
        <v>102</v>
      </c>
      <c r="K424" s="111">
        <f>ROUND(Tableau13[[#This Row],[LEN]]*7.27,0)</f>
        <v>327</v>
      </c>
      <c r="L424" s="111">
        <v>15</v>
      </c>
      <c r="M424" s="128" t="str">
        <f t="shared" si="3"/>
        <v>new</v>
      </c>
      <c r="N424" s="111">
        <f>LEN(Tableau13[[#This Row],[LABEL]])</f>
        <v>45</v>
      </c>
      <c r="O424" s="111">
        <v>15</v>
      </c>
      <c r="P424" s="111" t="e">
        <f>ROUND(Tableau13[[#This Row],[LEN]]*#REF!+#REF!,0)</f>
        <v>#REF!</v>
      </c>
    </row>
    <row r="425" spans="1:16" s="97" customFormat="1" x14ac:dyDescent="0.25">
      <c r="A425" s="25" t="s">
        <v>1227</v>
      </c>
      <c r="B425" s="26" t="s">
        <v>259</v>
      </c>
      <c r="C425" s="27" t="s">
        <v>1239</v>
      </c>
      <c r="D425" s="70" t="s">
        <v>28</v>
      </c>
      <c r="E425" s="27" t="s">
        <v>673</v>
      </c>
      <c r="F425" s="27" t="s">
        <v>1177</v>
      </c>
      <c r="G425" s="70" t="s">
        <v>166</v>
      </c>
      <c r="H425" s="70" t="s">
        <v>570</v>
      </c>
      <c r="I425" s="27"/>
      <c r="J425" s="28" t="s">
        <v>1240</v>
      </c>
      <c r="K425" s="109">
        <f>ROUND(Tableau13[[#This Row],[LEN]]*7.27,0)</f>
        <v>276</v>
      </c>
      <c r="L425" s="109">
        <v>15</v>
      </c>
      <c r="M425" s="127" t="str">
        <f t="shared" si="3"/>
        <v>new</v>
      </c>
      <c r="N425" s="109">
        <f>LEN(Tableau13[[#This Row],[LABEL]])</f>
        <v>38</v>
      </c>
      <c r="O425" s="109">
        <v>15</v>
      </c>
      <c r="P425" s="109" t="e">
        <f>ROUND(Tableau13[[#This Row],[LEN]]*#REF!+#REF!,0)</f>
        <v>#REF!</v>
      </c>
    </row>
    <row r="426" spans="1:16" s="97" customFormat="1" x14ac:dyDescent="0.25">
      <c r="A426" s="25" t="s">
        <v>1228</v>
      </c>
      <c r="B426" s="26" t="s">
        <v>259</v>
      </c>
      <c r="C426" s="27" t="s">
        <v>88</v>
      </c>
      <c r="D426" s="70" t="s">
        <v>28</v>
      </c>
      <c r="E426" s="27" t="s">
        <v>667</v>
      </c>
      <c r="F426" s="27" t="s">
        <v>1218</v>
      </c>
      <c r="G426" s="70" t="s">
        <v>166</v>
      </c>
      <c r="H426" s="70" t="s">
        <v>570</v>
      </c>
      <c r="I426" s="27"/>
      <c r="J426" s="28" t="s">
        <v>708</v>
      </c>
      <c r="K426" s="109">
        <f>ROUND(Tableau13[[#This Row],[LEN]]*7.27,0)</f>
        <v>342</v>
      </c>
      <c r="L426" s="109">
        <v>15</v>
      </c>
      <c r="M426" s="127" t="str">
        <f t="shared" si="3"/>
        <v>none</v>
      </c>
      <c r="N426" s="109">
        <f>LEN(Tableau13[[#This Row],[LABEL]])</f>
        <v>47</v>
      </c>
      <c r="O426" s="109">
        <v>15</v>
      </c>
      <c r="P426" s="109" t="e">
        <f>ROUND(Tableau13[[#This Row],[LEN]]*#REF!+#REF!,0)</f>
        <v>#REF!</v>
      </c>
    </row>
    <row r="427" spans="1:16" s="97" customFormat="1" x14ac:dyDescent="0.25">
      <c r="A427" s="25" t="s">
        <v>1229</v>
      </c>
      <c r="B427" s="26" t="s">
        <v>259</v>
      </c>
      <c r="C427" s="27" t="s">
        <v>1241</v>
      </c>
      <c r="D427" s="70" t="s">
        <v>28</v>
      </c>
      <c r="E427" s="27" t="s">
        <v>1242</v>
      </c>
      <c r="F427" s="27" t="s">
        <v>1248</v>
      </c>
      <c r="G427" s="70" t="s">
        <v>166</v>
      </c>
      <c r="H427" s="70" t="s">
        <v>656</v>
      </c>
      <c r="I427" s="27"/>
      <c r="J427" s="28" t="s">
        <v>708</v>
      </c>
      <c r="K427" s="109">
        <f>ROUND(Tableau13[[#This Row],[LEN]]*7.27,0)</f>
        <v>131</v>
      </c>
      <c r="L427" s="109">
        <v>15</v>
      </c>
      <c r="M427" s="127" t="str">
        <f t="shared" si="3"/>
        <v>none</v>
      </c>
      <c r="N427" s="109">
        <f>LEN(Tableau13[[#This Row],[LABEL]])</f>
        <v>18</v>
      </c>
      <c r="O427" s="109">
        <v>15</v>
      </c>
      <c r="P427" s="109" t="e">
        <f>ROUND(Tableau13[[#This Row],[LEN]]*#REF!+#REF!,0)</f>
        <v>#REF!</v>
      </c>
    </row>
    <row r="428" spans="1:16" s="97" customFormat="1" x14ac:dyDescent="0.25">
      <c r="A428" s="25" t="s">
        <v>1230</v>
      </c>
      <c r="B428" s="26" t="s">
        <v>259</v>
      </c>
      <c r="C428" s="27" t="s">
        <v>1243</v>
      </c>
      <c r="D428" s="70" t="s">
        <v>28</v>
      </c>
      <c r="E428" s="27" t="s">
        <v>673</v>
      </c>
      <c r="F428" s="27" t="s">
        <v>1177</v>
      </c>
      <c r="G428" s="70" t="s">
        <v>166</v>
      </c>
      <c r="H428" s="70" t="s">
        <v>655</v>
      </c>
      <c r="I428" s="27"/>
      <c r="J428" s="28" t="s">
        <v>708</v>
      </c>
      <c r="K428" s="109">
        <f>ROUND(Tableau13[[#This Row],[LEN]]*7.27,0)</f>
        <v>218</v>
      </c>
      <c r="L428" s="109">
        <v>15</v>
      </c>
      <c r="M428" s="127" t="str">
        <f t="shared" si="3"/>
        <v>none</v>
      </c>
      <c r="N428" s="109">
        <f>LEN(Tableau13[[#This Row],[LABEL]])</f>
        <v>30</v>
      </c>
      <c r="O428" s="109">
        <v>15</v>
      </c>
      <c r="P428" s="109" t="e">
        <f>ROUND(Tableau13[[#This Row],[LEN]]*#REF!+#REF!,0)</f>
        <v>#REF!</v>
      </c>
    </row>
    <row r="429" spans="1:16" s="97" customFormat="1" x14ac:dyDescent="0.25">
      <c r="A429" s="29" t="s">
        <v>1259</v>
      </c>
      <c r="B429" s="30" t="s">
        <v>1230</v>
      </c>
      <c r="C429" s="31" t="s">
        <v>1263</v>
      </c>
      <c r="D429" s="71" t="s">
        <v>28</v>
      </c>
      <c r="E429" s="31" t="s">
        <v>673</v>
      </c>
      <c r="F429" s="31" t="s">
        <v>1177</v>
      </c>
      <c r="G429" s="71" t="s">
        <v>166</v>
      </c>
      <c r="H429" s="71" t="s">
        <v>656</v>
      </c>
      <c r="I429" s="31"/>
      <c r="J429" s="32" t="s">
        <v>719</v>
      </c>
      <c r="K429" s="111">
        <f>ROUND(Tableau13[[#This Row],[LEN]]*7.27,0)</f>
        <v>327</v>
      </c>
      <c r="L429" s="111">
        <v>15</v>
      </c>
      <c r="M429" s="128" t="str">
        <f t="shared" si="3"/>
        <v>new</v>
      </c>
      <c r="N429" s="111">
        <f>LEN(Tableau13[[#This Row],[LABEL]])</f>
        <v>45</v>
      </c>
      <c r="O429" s="111">
        <v>15</v>
      </c>
      <c r="P429" s="111" t="e">
        <f>ROUND(Tableau13[[#This Row],[LEN]]*#REF!+#REF!,0)</f>
        <v>#REF!</v>
      </c>
    </row>
    <row r="430" spans="1:16" s="97" customFormat="1" x14ac:dyDescent="0.25">
      <c r="A430" s="29" t="s">
        <v>1260</v>
      </c>
      <c r="B430" s="30" t="s">
        <v>1230</v>
      </c>
      <c r="C430" s="31" t="s">
        <v>1264</v>
      </c>
      <c r="D430" s="71" t="s">
        <v>28</v>
      </c>
      <c r="E430" s="31" t="s">
        <v>673</v>
      </c>
      <c r="F430" s="31" t="s">
        <v>1177</v>
      </c>
      <c r="G430" s="71" t="s">
        <v>166</v>
      </c>
      <c r="H430" s="71" t="s">
        <v>18</v>
      </c>
      <c r="I430" s="31"/>
      <c r="J430" s="32" t="s">
        <v>708</v>
      </c>
      <c r="K430" s="111">
        <f>ROUND(Tableau13[[#This Row],[LEN]]*7.27,0)</f>
        <v>262</v>
      </c>
      <c r="L430" s="111">
        <v>15</v>
      </c>
      <c r="M430" s="128" t="str">
        <f t="shared" si="3"/>
        <v>none</v>
      </c>
      <c r="N430" s="111">
        <f>LEN(Tableau13[[#This Row],[LABEL]])</f>
        <v>36</v>
      </c>
      <c r="O430" s="111">
        <v>15</v>
      </c>
      <c r="P430" s="111" t="e">
        <f>ROUND(Tableau13[[#This Row],[LEN]]*#REF!+#REF!,0)</f>
        <v>#REF!</v>
      </c>
    </row>
    <row r="431" spans="1:16" s="97" customFormat="1" x14ac:dyDescent="0.25">
      <c r="A431" s="29" t="s">
        <v>1261</v>
      </c>
      <c r="B431" s="30" t="s">
        <v>1230</v>
      </c>
      <c r="C431" s="31" t="s">
        <v>1265</v>
      </c>
      <c r="D431" s="71" t="s">
        <v>28</v>
      </c>
      <c r="E431" s="31" t="s">
        <v>673</v>
      </c>
      <c r="F431" s="31" t="s">
        <v>1177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ROUND(Tableau13[[#This Row],[LEN]]*7.27,0)</f>
        <v>218</v>
      </c>
      <c r="L431" s="111">
        <v>15</v>
      </c>
      <c r="M431" s="128" t="str">
        <f t="shared" si="3"/>
        <v>none</v>
      </c>
      <c r="N431" s="111">
        <f>LEN(Tableau13[[#This Row],[LABEL]])</f>
        <v>30</v>
      </c>
      <c r="O431" s="111">
        <v>15</v>
      </c>
      <c r="P431" s="111" t="e">
        <f>ROUND(Tableau13[[#This Row],[LEN]]*#REF!+#REF!,0)</f>
        <v>#REF!</v>
      </c>
    </row>
    <row r="432" spans="1:16" s="97" customFormat="1" x14ac:dyDescent="0.25">
      <c r="A432" s="29" t="s">
        <v>1262</v>
      </c>
      <c r="B432" s="30" t="s">
        <v>1230</v>
      </c>
      <c r="C432" s="31" t="s">
        <v>1266</v>
      </c>
      <c r="D432" s="71" t="s">
        <v>28</v>
      </c>
      <c r="E432" s="31" t="s">
        <v>673</v>
      </c>
      <c r="F432" s="31" t="s">
        <v>1177</v>
      </c>
      <c r="G432" s="71" t="s">
        <v>166</v>
      </c>
      <c r="H432" s="71" t="s">
        <v>654</v>
      </c>
      <c r="I432" s="31"/>
      <c r="J432" s="32" t="s">
        <v>708</v>
      </c>
      <c r="K432" s="111">
        <f>ROUND(Tableau13[[#This Row],[LEN]]*7.27,0)</f>
        <v>291</v>
      </c>
      <c r="L432" s="111">
        <v>15</v>
      </c>
      <c r="M432" s="128" t="str">
        <f t="shared" si="3"/>
        <v>none</v>
      </c>
      <c r="N432" s="111">
        <f>LEN(Tableau13[[#This Row],[LABEL]])</f>
        <v>40</v>
      </c>
      <c r="O432" s="111">
        <v>15</v>
      </c>
      <c r="P432" s="111" t="e">
        <f>ROUND(Tableau13[[#This Row],[LEN]]*#REF!+#REF!,0)</f>
        <v>#REF!</v>
      </c>
    </row>
    <row r="433" spans="1:16" s="97" customFormat="1" x14ac:dyDescent="0.25">
      <c r="A433" s="25" t="s">
        <v>1231</v>
      </c>
      <c r="B433" s="26" t="s">
        <v>259</v>
      </c>
      <c r="C433" s="27" t="s">
        <v>1267</v>
      </c>
      <c r="D433" s="70" t="s">
        <v>28</v>
      </c>
      <c r="E433" s="27" t="s">
        <v>673</v>
      </c>
      <c r="F433" s="27" t="s">
        <v>1249</v>
      </c>
      <c r="G433" s="70" t="s">
        <v>166</v>
      </c>
      <c r="H433" s="70" t="s">
        <v>655</v>
      </c>
      <c r="I433" s="27"/>
      <c r="J433" s="28" t="s">
        <v>708</v>
      </c>
      <c r="K433" s="109">
        <f>ROUND(Tableau13[[#This Row],[LEN]]*7.27,0)</f>
        <v>305</v>
      </c>
      <c r="L433" s="109">
        <v>15</v>
      </c>
      <c r="M433" s="127" t="str">
        <f t="shared" si="3"/>
        <v>none</v>
      </c>
      <c r="N433" s="109">
        <f>LEN(Tableau13[[#This Row],[LABEL]])</f>
        <v>42</v>
      </c>
      <c r="O433" s="109">
        <v>15</v>
      </c>
      <c r="P433" s="109" t="e">
        <f>ROUND(Tableau13[[#This Row],[LEN]]*#REF!+#REF!,0)</f>
        <v>#REF!</v>
      </c>
    </row>
    <row r="434" spans="1:16" s="97" customFormat="1" x14ac:dyDescent="0.25">
      <c r="A434" s="29" t="s">
        <v>1268</v>
      </c>
      <c r="B434" s="30" t="s">
        <v>1231</v>
      </c>
      <c r="C434" s="31" t="s">
        <v>1271</v>
      </c>
      <c r="D434" s="71" t="s">
        <v>28</v>
      </c>
      <c r="E434" s="31" t="s">
        <v>673</v>
      </c>
      <c r="F434" s="31" t="s">
        <v>1249</v>
      </c>
      <c r="G434" s="71" t="s">
        <v>166</v>
      </c>
      <c r="H434" s="71" t="s">
        <v>570</v>
      </c>
      <c r="I434" s="31"/>
      <c r="J434" s="32" t="s">
        <v>708</v>
      </c>
      <c r="K434" s="111">
        <f>ROUND(Tableau13[[#This Row],[LEN]]*7.27,0)</f>
        <v>145</v>
      </c>
      <c r="L434" s="111">
        <v>15</v>
      </c>
      <c r="M434" s="128" t="str">
        <f t="shared" si="3"/>
        <v>none</v>
      </c>
      <c r="N434" s="111">
        <f>LEN(Tableau13[[#This Row],[LABEL]])</f>
        <v>20</v>
      </c>
      <c r="O434" s="111">
        <v>15</v>
      </c>
      <c r="P434" s="111" t="e">
        <f>ROUND(Tableau13[[#This Row],[LEN]]*#REF!+#REF!,0)</f>
        <v>#REF!</v>
      </c>
    </row>
    <row r="435" spans="1:16" s="97" customFormat="1" x14ac:dyDescent="0.25">
      <c r="A435" s="29" t="s">
        <v>1269</v>
      </c>
      <c r="B435" s="30" t="s">
        <v>1231</v>
      </c>
      <c r="C435" s="31" t="s">
        <v>1272</v>
      </c>
      <c r="D435" s="71" t="s">
        <v>28</v>
      </c>
      <c r="E435" s="31" t="s">
        <v>673</v>
      </c>
      <c r="F435" s="31" t="s">
        <v>1249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ROUND(Tableau13[[#This Row],[LEN]]*7.27,0)</f>
        <v>305</v>
      </c>
      <c r="L435" s="111">
        <v>15</v>
      </c>
      <c r="M435" s="128" t="str">
        <f t="shared" si="3"/>
        <v>none</v>
      </c>
      <c r="N435" s="111">
        <f>LEN(Tableau13[[#This Row],[LABEL]])</f>
        <v>42</v>
      </c>
      <c r="O435" s="111">
        <v>15</v>
      </c>
      <c r="P435" s="111" t="e">
        <f>ROUND(Tableau13[[#This Row],[LEN]]*#REF!+#REF!,0)</f>
        <v>#REF!</v>
      </c>
    </row>
    <row r="436" spans="1:16" s="97" customFormat="1" x14ac:dyDescent="0.25">
      <c r="A436" s="29" t="s">
        <v>1270</v>
      </c>
      <c r="B436" s="30" t="s">
        <v>1231</v>
      </c>
      <c r="C436" s="31" t="s">
        <v>1273</v>
      </c>
      <c r="D436" s="71" t="s">
        <v>28</v>
      </c>
      <c r="E436" s="31" t="s">
        <v>673</v>
      </c>
      <c r="F436" s="31" t="s">
        <v>1249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ROUND(Tableau13[[#This Row],[LEN]]*7.27,0)</f>
        <v>87</v>
      </c>
      <c r="L436" s="111">
        <v>15</v>
      </c>
      <c r="M436" s="128" t="str">
        <f t="shared" si="3"/>
        <v>none</v>
      </c>
      <c r="N436" s="111">
        <f>LEN(Tableau13[[#This Row],[LABEL]])</f>
        <v>12</v>
      </c>
      <c r="O436" s="111">
        <v>15</v>
      </c>
      <c r="P436" s="111" t="e">
        <f>ROUND(Tableau13[[#This Row],[LEN]]*#REF!+#REF!,0)</f>
        <v>#REF!</v>
      </c>
    </row>
    <row r="437" spans="1:16" s="97" customFormat="1" x14ac:dyDescent="0.25">
      <c r="A437" s="25" t="s">
        <v>1232</v>
      </c>
      <c r="B437" s="26" t="s">
        <v>259</v>
      </c>
      <c r="C437" s="27" t="s">
        <v>1244</v>
      </c>
      <c r="D437" s="70" t="s">
        <v>28</v>
      </c>
      <c r="E437" s="27" t="s">
        <v>673</v>
      </c>
      <c r="F437" s="27" t="s">
        <v>1177</v>
      </c>
      <c r="G437" s="70" t="s">
        <v>166</v>
      </c>
      <c r="H437" s="70" t="s">
        <v>18</v>
      </c>
      <c r="I437" s="27"/>
      <c r="J437" s="28" t="s">
        <v>708</v>
      </c>
      <c r="K437" s="109">
        <f>ROUND(Tableau13[[#This Row],[LEN]]*7.27,0)</f>
        <v>247</v>
      </c>
      <c r="L437" s="109">
        <v>15</v>
      </c>
      <c r="M437" s="127" t="str">
        <f t="shared" si="3"/>
        <v>none</v>
      </c>
      <c r="N437" s="109">
        <f>LEN(Tableau13[[#This Row],[LABEL]])</f>
        <v>34</v>
      </c>
      <c r="O437" s="109">
        <v>15</v>
      </c>
      <c r="P437" s="109" t="e">
        <f>ROUND(Tableau13[[#This Row],[LEN]]*#REF!+#REF!,0)</f>
        <v>#REF!</v>
      </c>
    </row>
    <row r="438" spans="1:16" s="97" customFormat="1" x14ac:dyDescent="0.25">
      <c r="A438" s="25" t="s">
        <v>1233</v>
      </c>
      <c r="B438" s="26" t="s">
        <v>259</v>
      </c>
      <c r="C438" s="27" t="s">
        <v>1245</v>
      </c>
      <c r="D438" s="70" t="s">
        <v>28</v>
      </c>
      <c r="E438" s="27" t="s">
        <v>673</v>
      </c>
      <c r="F438" s="27" t="s">
        <v>1177</v>
      </c>
      <c r="G438" s="70" t="s">
        <v>166</v>
      </c>
      <c r="H438" s="70" t="s">
        <v>570</v>
      </c>
      <c r="I438" s="27"/>
      <c r="J438" s="28" t="s">
        <v>708</v>
      </c>
      <c r="K438" s="109">
        <f>ROUND(Tableau13[[#This Row],[LEN]]*7.27,0)</f>
        <v>364</v>
      </c>
      <c r="L438" s="109">
        <v>15</v>
      </c>
      <c r="M438" s="127" t="str">
        <f t="shared" si="3"/>
        <v>none</v>
      </c>
      <c r="N438" s="109">
        <f>LEN(Tableau13[[#This Row],[LABEL]])</f>
        <v>50</v>
      </c>
      <c r="O438" s="109">
        <v>15</v>
      </c>
      <c r="P438" s="109" t="e">
        <f>ROUND(Tableau13[[#This Row],[LEN]]*#REF!+#REF!,0)</f>
        <v>#REF!</v>
      </c>
    </row>
    <row r="439" spans="1:16" s="97" customFormat="1" x14ac:dyDescent="0.25">
      <c r="A439" s="25" t="s">
        <v>1234</v>
      </c>
      <c r="B439" s="26" t="s">
        <v>259</v>
      </c>
      <c r="C439" s="27" t="s">
        <v>778</v>
      </c>
      <c r="D439" s="70" t="s">
        <v>28</v>
      </c>
      <c r="E439" s="27" t="s">
        <v>673</v>
      </c>
      <c r="F439" s="27" t="s">
        <v>785</v>
      </c>
      <c r="G439" s="70" t="s">
        <v>166</v>
      </c>
      <c r="H439" s="70" t="s">
        <v>17</v>
      </c>
      <c r="I439" s="27"/>
      <c r="J439" s="28" t="s">
        <v>708</v>
      </c>
      <c r="K439" s="109">
        <f>ROUND(Tableau13[[#This Row],[LEN]]*7.27,0)</f>
        <v>211</v>
      </c>
      <c r="L439" s="109">
        <v>15</v>
      </c>
      <c r="M439" s="127" t="str">
        <f t="shared" si="3"/>
        <v>none</v>
      </c>
      <c r="N439" s="109">
        <f>LEN(Tableau13[[#This Row],[LABEL]])</f>
        <v>29</v>
      </c>
      <c r="O439" s="109">
        <v>15</v>
      </c>
      <c r="P439" s="109" t="e">
        <f>ROUND(Tableau13[[#This Row],[LEN]]*#REF!+#REF!,0)</f>
        <v>#REF!</v>
      </c>
    </row>
    <row r="440" spans="1:16" s="97" customFormat="1" x14ac:dyDescent="0.25">
      <c r="A440" s="25" t="s">
        <v>1235</v>
      </c>
      <c r="B440" s="26" t="s">
        <v>259</v>
      </c>
      <c r="C440" s="27" t="s">
        <v>1246</v>
      </c>
      <c r="D440" s="70" t="s">
        <v>28</v>
      </c>
      <c r="E440" s="27" t="s">
        <v>673</v>
      </c>
      <c r="F440" s="27" t="s">
        <v>667</v>
      </c>
      <c r="G440" s="70" t="s">
        <v>166</v>
      </c>
      <c r="H440" s="70" t="s">
        <v>655</v>
      </c>
      <c r="I440" s="27"/>
      <c r="J440" s="28" t="s">
        <v>708</v>
      </c>
      <c r="K440" s="109">
        <f>ROUND(Tableau13[[#This Row],[LEN]]*7.27,0)</f>
        <v>153</v>
      </c>
      <c r="L440" s="109">
        <v>15</v>
      </c>
      <c r="M440" s="127" t="str">
        <f t="shared" si="3"/>
        <v>none</v>
      </c>
      <c r="N440" s="109">
        <f>LEN(Tableau13[[#This Row],[LABEL]])</f>
        <v>21</v>
      </c>
      <c r="O440" s="109">
        <v>15</v>
      </c>
      <c r="P440" s="109" t="e">
        <f>ROUND(Tableau13[[#This Row],[LEN]]*#REF!+#REF!,0)</f>
        <v>#REF!</v>
      </c>
    </row>
    <row r="441" spans="1:16" s="97" customFormat="1" x14ac:dyDescent="0.25">
      <c r="A441" s="29" t="s">
        <v>1274</v>
      </c>
      <c r="B441" s="30" t="s">
        <v>1235</v>
      </c>
      <c r="C441" s="31" t="s">
        <v>1276</v>
      </c>
      <c r="D441" s="71" t="s">
        <v>28</v>
      </c>
      <c r="E441" s="31" t="s">
        <v>673</v>
      </c>
      <c r="F441" s="31" t="s">
        <v>667</v>
      </c>
      <c r="G441" s="71" t="s">
        <v>166</v>
      </c>
      <c r="H441" s="71" t="s">
        <v>18</v>
      </c>
      <c r="I441" s="31"/>
      <c r="J441" s="32" t="s">
        <v>708</v>
      </c>
      <c r="K441" s="111">
        <f>ROUND(Tableau13[[#This Row],[LEN]]*7.27,0)</f>
        <v>131</v>
      </c>
      <c r="L441" s="111">
        <v>15</v>
      </c>
      <c r="M441" s="128" t="str">
        <f t="shared" si="3"/>
        <v>none</v>
      </c>
      <c r="N441" s="111">
        <f>LEN(Tableau13[[#This Row],[LABEL]])</f>
        <v>18</v>
      </c>
      <c r="O441" s="111">
        <v>15</v>
      </c>
      <c r="P441" s="111" t="e">
        <f>ROUND(Tableau13[[#This Row],[LEN]]*#REF!+#REF!,0)</f>
        <v>#REF!</v>
      </c>
    </row>
    <row r="442" spans="1:16" s="97" customFormat="1" x14ac:dyDescent="0.25">
      <c r="A442" s="29" t="s">
        <v>1275</v>
      </c>
      <c r="B442" s="30" t="s">
        <v>1235</v>
      </c>
      <c r="C442" s="31" t="s">
        <v>1277</v>
      </c>
      <c r="D442" s="71" t="s">
        <v>28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ROUND(Tableau13[[#This Row],[LEN]]*7.27,0)</f>
        <v>422</v>
      </c>
      <c r="L442" s="111">
        <v>15</v>
      </c>
      <c r="M442" s="128" t="str">
        <f t="shared" si="3"/>
        <v>none</v>
      </c>
      <c r="N442" s="111">
        <f>LEN(Tableau13[[#This Row],[LABEL]])</f>
        <v>58</v>
      </c>
      <c r="O442" s="111">
        <v>15</v>
      </c>
      <c r="P442" s="111" t="e">
        <f>ROUND(Tableau13[[#This Row],[LEN]]*#REF!+#REF!,0)</f>
        <v>#REF!</v>
      </c>
    </row>
    <row r="443" spans="1:16" s="97" customFormat="1" x14ac:dyDescent="0.25">
      <c r="A443" s="25" t="s">
        <v>1236</v>
      </c>
      <c r="B443" s="26" t="s">
        <v>259</v>
      </c>
      <c r="C443" s="27" t="s">
        <v>1247</v>
      </c>
      <c r="D443" s="70" t="s">
        <v>1250</v>
      </c>
      <c r="E443" s="27" t="s">
        <v>673</v>
      </c>
      <c r="F443" s="27" t="s">
        <v>667</v>
      </c>
      <c r="G443" s="70" t="s">
        <v>166</v>
      </c>
      <c r="H443" s="70" t="s">
        <v>656</v>
      </c>
      <c r="I443" s="27"/>
      <c r="J443" s="28" t="s">
        <v>708</v>
      </c>
      <c r="K443" s="109">
        <f>ROUND(Tableau13[[#This Row],[LEN]]*7.27,0)</f>
        <v>160</v>
      </c>
      <c r="L443" s="109">
        <v>15</v>
      </c>
      <c r="M443" s="127" t="str">
        <f t="shared" si="3"/>
        <v>none</v>
      </c>
      <c r="N443" s="109">
        <f>LEN(Tableau13[[#This Row],[LABEL]])</f>
        <v>22</v>
      </c>
      <c r="O443" s="109">
        <v>15</v>
      </c>
      <c r="P443" s="109" t="e">
        <f>ROUND(Tableau13[[#This Row],[LEN]]*#REF!+#REF!,0)</f>
        <v>#REF!</v>
      </c>
    </row>
    <row r="444" spans="1:16" s="97" customFormat="1" x14ac:dyDescent="0.25">
      <c r="A444" s="25" t="s">
        <v>1237</v>
      </c>
      <c r="B444" s="26" t="s">
        <v>259</v>
      </c>
      <c r="C444" s="27" t="s">
        <v>1167</v>
      </c>
      <c r="D444" s="70" t="s">
        <v>486</v>
      </c>
      <c r="E444" s="27" t="s">
        <v>1085</v>
      </c>
      <c r="F444" s="27" t="s">
        <v>1084</v>
      </c>
      <c r="G444" s="70" t="s">
        <v>166</v>
      </c>
      <c r="H444" s="70" t="s">
        <v>1131</v>
      </c>
      <c r="I444" s="27"/>
      <c r="J444" s="28" t="s">
        <v>708</v>
      </c>
      <c r="K444" s="109">
        <f>ROUND(Tableau13[[#This Row],[LEN]]*7.27,0)</f>
        <v>196</v>
      </c>
      <c r="L444" s="109">
        <v>15</v>
      </c>
      <c r="M444" s="127" t="str">
        <f t="shared" si="3"/>
        <v>none</v>
      </c>
      <c r="N444" s="109">
        <f>LEN(Tableau13[[#This Row],[LABEL]])</f>
        <v>27</v>
      </c>
      <c r="O444" s="109">
        <v>15</v>
      </c>
      <c r="P444" s="109" t="e">
        <f>ROUND(Tableau13[[#This Row],[LEN]]*#REF!+#REF!,0)</f>
        <v>#REF!</v>
      </c>
    </row>
    <row r="445" spans="1:16" s="273" customFormat="1" x14ac:dyDescent="0.25">
      <c r="A445" s="288" t="s">
        <v>260</v>
      </c>
      <c r="B445" s="289" t="s">
        <v>206</v>
      </c>
      <c r="C445" s="290" t="s">
        <v>11</v>
      </c>
      <c r="D445" s="291" t="s">
        <v>28</v>
      </c>
      <c r="E445" s="290" t="s">
        <v>674</v>
      </c>
      <c r="F445" s="290" t="s">
        <v>674</v>
      </c>
      <c r="G445" s="291" t="s">
        <v>166</v>
      </c>
      <c r="H445" s="291" t="str">
        <f>IFERROR(IF(SEARCH(".00.00.00.00.00",Tableau13[[#This Row],[name]],1)=7,"Division",""),"")</f>
        <v>Division</v>
      </c>
      <c r="I445" s="290"/>
      <c r="J445" s="292" t="s">
        <v>720</v>
      </c>
      <c r="K445" s="293">
        <f>ROUND(Tableau13[[#This Row],[LEN]]*7.27,0)</f>
        <v>51</v>
      </c>
      <c r="L445" s="293">
        <v>15</v>
      </c>
      <c r="M445" s="294" t="str">
        <f t="shared" ref="M445:M695" si="4">IF(J445="javascript:void(0)","none","new")</f>
        <v>new</v>
      </c>
      <c r="N445" s="293">
        <f>LEN(Tableau13[[#This Row],[LABEL]])</f>
        <v>7</v>
      </c>
      <c r="O445" s="293">
        <v>15</v>
      </c>
      <c r="P445" s="293" t="e">
        <f>ROUND(Tableau13[[#This Row],[LEN]]*#REF!+#REF!,0)</f>
        <v>#REF!</v>
      </c>
    </row>
    <row r="446" spans="1:16" s="97" customFormat="1" x14ac:dyDescent="0.25">
      <c r="A446" s="25" t="s">
        <v>1278</v>
      </c>
      <c r="B446" s="26" t="s">
        <v>260</v>
      </c>
      <c r="C446" s="27" t="s">
        <v>88</v>
      </c>
      <c r="D446" s="70" t="s">
        <v>28</v>
      </c>
      <c r="E446" s="27" t="s">
        <v>667</v>
      </c>
      <c r="F446" s="27" t="s">
        <v>1218</v>
      </c>
      <c r="G446" s="70" t="s">
        <v>166</v>
      </c>
      <c r="H446" s="70" t="s">
        <v>570</v>
      </c>
      <c r="I446" s="27"/>
      <c r="J446" s="28" t="s">
        <v>708</v>
      </c>
      <c r="K446" s="109">
        <f>ROUND(Tableau13[[#This Row],[LEN]]*7.27,0)</f>
        <v>342</v>
      </c>
      <c r="L446" s="109">
        <v>15</v>
      </c>
      <c r="M446" s="127" t="str">
        <f t="shared" si="4"/>
        <v>none</v>
      </c>
      <c r="N446" s="109">
        <f>LEN(Tableau13[[#This Row],[LABEL]])</f>
        <v>47</v>
      </c>
      <c r="O446" s="109">
        <v>15</v>
      </c>
      <c r="P446" s="109" t="e">
        <f>ROUND(Tableau13[[#This Row],[LEN]]*#REF!+#REF!,0)</f>
        <v>#REF!</v>
      </c>
    </row>
    <row r="447" spans="1:16" s="97" customFormat="1" x14ac:dyDescent="0.25">
      <c r="A447" s="25" t="s">
        <v>1279</v>
      </c>
      <c r="B447" s="26" t="s">
        <v>260</v>
      </c>
      <c r="C447" s="27" t="s">
        <v>484</v>
      </c>
      <c r="D447" s="70" t="s">
        <v>28</v>
      </c>
      <c r="E447" s="27" t="s">
        <v>672</v>
      </c>
      <c r="F447" s="27" t="s">
        <v>1285</v>
      </c>
      <c r="G447" s="70" t="s">
        <v>166</v>
      </c>
      <c r="H447" s="70" t="s">
        <v>655</v>
      </c>
      <c r="I447" s="27"/>
      <c r="J447" s="28" t="s">
        <v>727</v>
      </c>
      <c r="K447" s="109">
        <f>ROUND(Tableau13[[#This Row],[LEN]]*7.27,0)</f>
        <v>80</v>
      </c>
      <c r="L447" s="109">
        <v>15</v>
      </c>
      <c r="M447" s="127" t="str">
        <f t="shared" si="4"/>
        <v>new</v>
      </c>
      <c r="N447" s="109">
        <f>LEN(Tableau13[[#This Row],[LABEL]])</f>
        <v>11</v>
      </c>
      <c r="O447" s="109">
        <v>15</v>
      </c>
      <c r="P447" s="109" t="e">
        <f>ROUND(Tableau13[[#This Row],[LEN]]*#REF!+#REF!,0)</f>
        <v>#REF!</v>
      </c>
    </row>
    <row r="448" spans="1:16" s="97" customFormat="1" x14ac:dyDescent="0.25">
      <c r="A448" s="29" t="s">
        <v>1288</v>
      </c>
      <c r="B448" s="30" t="s">
        <v>1279</v>
      </c>
      <c r="C448" s="31" t="s">
        <v>505</v>
      </c>
      <c r="D448" s="71" t="s">
        <v>28</v>
      </c>
      <c r="E448" s="31" t="s">
        <v>672</v>
      </c>
      <c r="F448" s="31" t="s">
        <v>1285</v>
      </c>
      <c r="G448" s="71" t="s">
        <v>166</v>
      </c>
      <c r="H448" s="71" t="s">
        <v>18</v>
      </c>
      <c r="I448" s="31"/>
      <c r="J448" s="32" t="s">
        <v>705</v>
      </c>
      <c r="K448" s="111">
        <f>ROUND(Tableau13[[#This Row],[LEN]]*7.27,0)</f>
        <v>73</v>
      </c>
      <c r="L448" s="111">
        <v>15</v>
      </c>
      <c r="M448" s="128" t="str">
        <f t="shared" si="4"/>
        <v>new</v>
      </c>
      <c r="N448" s="111">
        <f>LEN(Tableau13[[#This Row],[LABEL]])</f>
        <v>10</v>
      </c>
      <c r="O448" s="111">
        <v>15</v>
      </c>
      <c r="P448" s="111" t="e">
        <f>ROUND(Tableau13[[#This Row],[LEN]]*#REF!+#REF!,0)</f>
        <v>#REF!</v>
      </c>
    </row>
    <row r="449" spans="1:16" s="97" customFormat="1" x14ac:dyDescent="0.25">
      <c r="A449" s="29" t="s">
        <v>1289</v>
      </c>
      <c r="B449" s="30" t="s">
        <v>1279</v>
      </c>
      <c r="C449" s="31" t="s">
        <v>1284</v>
      </c>
      <c r="D449" s="71" t="s">
        <v>28</v>
      </c>
      <c r="E449" s="31" t="s">
        <v>672</v>
      </c>
      <c r="F449" s="31" t="s">
        <v>1285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ROUND(Tableau13[[#This Row],[LEN]]*7.27,0)</f>
        <v>153</v>
      </c>
      <c r="L449" s="111">
        <v>15</v>
      </c>
      <c r="M449" s="128" t="str">
        <f t="shared" si="4"/>
        <v>new</v>
      </c>
      <c r="N449" s="111">
        <f>LEN(Tableau13[[#This Row],[LABEL]])</f>
        <v>21</v>
      </c>
      <c r="O449" s="111">
        <v>15</v>
      </c>
      <c r="P449" s="111" t="e">
        <f>ROUND(Tableau13[[#This Row],[LEN]]*#REF!+#REF!,0)</f>
        <v>#REF!</v>
      </c>
    </row>
    <row r="450" spans="1:16" s="97" customFormat="1" x14ac:dyDescent="0.25">
      <c r="A450" s="25" t="s">
        <v>1280</v>
      </c>
      <c r="B450" s="26" t="s">
        <v>260</v>
      </c>
      <c r="C450" s="27" t="s">
        <v>1286</v>
      </c>
      <c r="D450" s="70" t="s">
        <v>28</v>
      </c>
      <c r="E450" s="27" t="s">
        <v>674</v>
      </c>
      <c r="F450" s="27" t="s">
        <v>1177</v>
      </c>
      <c r="G450" s="70" t="s">
        <v>166</v>
      </c>
      <c r="H450" s="70" t="s">
        <v>655</v>
      </c>
      <c r="I450" s="27"/>
      <c r="J450" s="28" t="s">
        <v>708</v>
      </c>
      <c r="K450" s="109">
        <f>ROUND(Tableau13[[#This Row],[LEN]]*7.27,0)</f>
        <v>429</v>
      </c>
      <c r="L450" s="109">
        <v>15</v>
      </c>
      <c r="M450" s="127" t="str">
        <f t="shared" si="4"/>
        <v>none</v>
      </c>
      <c r="N450" s="109">
        <f>LEN(Tableau13[[#This Row],[LABEL]])</f>
        <v>59</v>
      </c>
      <c r="O450" s="109">
        <v>15</v>
      </c>
      <c r="P450" s="109" t="e">
        <f>ROUND(Tableau13[[#This Row],[LEN]]*#REF!+#REF!,0)</f>
        <v>#REF!</v>
      </c>
    </row>
    <row r="451" spans="1:16" s="97" customFormat="1" x14ac:dyDescent="0.25">
      <c r="A451" s="29" t="s">
        <v>1290</v>
      </c>
      <c r="B451" s="30" t="s">
        <v>1280</v>
      </c>
      <c r="C451" s="31" t="s">
        <v>1293</v>
      </c>
      <c r="D451" s="71" t="s">
        <v>28</v>
      </c>
      <c r="E451" s="31" t="s">
        <v>674</v>
      </c>
      <c r="F451" s="31" t="s">
        <v>1177</v>
      </c>
      <c r="G451" s="71" t="s">
        <v>166</v>
      </c>
      <c r="H451" s="71" t="s">
        <v>654</v>
      </c>
      <c r="I451" s="31"/>
      <c r="J451" s="32" t="s">
        <v>708</v>
      </c>
      <c r="K451" s="111">
        <f>ROUND(Tableau13[[#This Row],[LEN]]*7.27,0)</f>
        <v>116</v>
      </c>
      <c r="L451" s="111">
        <v>15</v>
      </c>
      <c r="M451" s="128" t="str">
        <f t="shared" si="4"/>
        <v>none</v>
      </c>
      <c r="N451" s="111">
        <f>LEN(Tableau13[[#This Row],[LABEL]])</f>
        <v>16</v>
      </c>
      <c r="O451" s="111">
        <v>15</v>
      </c>
      <c r="P451" s="111" t="e">
        <f>ROUND(Tableau13[[#This Row],[LEN]]*#REF!+#REF!,0)</f>
        <v>#REF!</v>
      </c>
    </row>
    <row r="452" spans="1:16" s="97" customFormat="1" x14ac:dyDescent="0.25">
      <c r="A452" s="29" t="s">
        <v>1291</v>
      </c>
      <c r="B452" s="30" t="s">
        <v>1280</v>
      </c>
      <c r="C452" s="31" t="s">
        <v>1294</v>
      </c>
      <c r="D452" s="71" t="s">
        <v>28</v>
      </c>
      <c r="E452" s="31" t="s">
        <v>674</v>
      </c>
      <c r="F452" s="31" t="s">
        <v>1177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ROUND(Tableau13[[#This Row],[LEN]]*7.27,0)</f>
        <v>87</v>
      </c>
      <c r="L452" s="111">
        <v>15</v>
      </c>
      <c r="M452" s="128" t="str">
        <f t="shared" si="4"/>
        <v>none</v>
      </c>
      <c r="N452" s="111">
        <f>LEN(Tableau13[[#This Row],[LABEL]])</f>
        <v>12</v>
      </c>
      <c r="O452" s="111">
        <v>15</v>
      </c>
      <c r="P452" s="111" t="e">
        <f>ROUND(Tableau13[[#This Row],[LEN]]*#REF!+#REF!,0)</f>
        <v>#REF!</v>
      </c>
    </row>
    <row r="453" spans="1:16" s="97" customFormat="1" x14ac:dyDescent="0.25">
      <c r="A453" s="29" t="s">
        <v>1292</v>
      </c>
      <c r="B453" s="30" t="s">
        <v>1280</v>
      </c>
      <c r="C453" s="31" t="s">
        <v>1295</v>
      </c>
      <c r="D453" s="71" t="s">
        <v>28</v>
      </c>
      <c r="E453" s="31" t="s">
        <v>674</v>
      </c>
      <c r="F453" s="31" t="s">
        <v>1177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ROUND(Tableau13[[#This Row],[LEN]]*7.27,0)</f>
        <v>145</v>
      </c>
      <c r="L453" s="111">
        <v>15</v>
      </c>
      <c r="M453" s="128" t="str">
        <f t="shared" si="4"/>
        <v>none</v>
      </c>
      <c r="N453" s="111">
        <f>LEN(Tableau13[[#This Row],[LABEL]])</f>
        <v>20</v>
      </c>
      <c r="O453" s="111">
        <v>15</v>
      </c>
      <c r="P453" s="111" t="e">
        <f>ROUND(Tableau13[[#This Row],[LEN]]*#REF!+#REF!,0)</f>
        <v>#REF!</v>
      </c>
    </row>
    <row r="454" spans="1:16" s="97" customFormat="1" x14ac:dyDescent="0.25">
      <c r="A454" s="25" t="s">
        <v>1281</v>
      </c>
      <c r="B454" s="26" t="s">
        <v>260</v>
      </c>
      <c r="C454" s="27" t="s">
        <v>1287</v>
      </c>
      <c r="D454" s="70" t="s">
        <v>28</v>
      </c>
      <c r="E454" s="27" t="s">
        <v>674</v>
      </c>
      <c r="F454" s="27" t="s">
        <v>678</v>
      </c>
      <c r="G454" s="70" t="s">
        <v>166</v>
      </c>
      <c r="H454" s="70" t="s">
        <v>655</v>
      </c>
      <c r="I454" s="27"/>
      <c r="J454" s="28" t="s">
        <v>708</v>
      </c>
      <c r="K454" s="109">
        <f>ROUND(Tableau13[[#This Row],[LEN]]*7.27,0)</f>
        <v>320</v>
      </c>
      <c r="L454" s="109">
        <v>15</v>
      </c>
      <c r="M454" s="127" t="str">
        <f t="shared" si="4"/>
        <v>none</v>
      </c>
      <c r="N454" s="109">
        <f>LEN(Tableau13[[#This Row],[LABEL]])</f>
        <v>44</v>
      </c>
      <c r="O454" s="109">
        <v>15</v>
      </c>
      <c r="P454" s="109" t="e">
        <f>ROUND(Tableau13[[#This Row],[LEN]]*#REF!+#REF!,0)</f>
        <v>#REF!</v>
      </c>
    </row>
    <row r="455" spans="1:16" s="97" customFormat="1" x14ac:dyDescent="0.25">
      <c r="A455" s="29" t="s">
        <v>1296</v>
      </c>
      <c r="B455" s="30" t="s">
        <v>1281</v>
      </c>
      <c r="C455" s="31" t="s">
        <v>1298</v>
      </c>
      <c r="D455" s="71" t="s">
        <v>28</v>
      </c>
      <c r="E455" s="31" t="s">
        <v>674</v>
      </c>
      <c r="F455" s="31" t="s">
        <v>678</v>
      </c>
      <c r="G455" s="71" t="s">
        <v>166</v>
      </c>
      <c r="H455" s="71" t="s">
        <v>654</v>
      </c>
      <c r="I455" s="31"/>
      <c r="J455" s="32" t="s">
        <v>708</v>
      </c>
      <c r="K455" s="111">
        <f>ROUND(Tableau13[[#This Row],[LEN]]*7.27,0)</f>
        <v>284</v>
      </c>
      <c r="L455" s="111">
        <v>15</v>
      </c>
      <c r="M455" s="128" t="str">
        <f t="shared" si="4"/>
        <v>none</v>
      </c>
      <c r="N455" s="111">
        <f>LEN(Tableau13[[#This Row],[LABEL]])</f>
        <v>39</v>
      </c>
      <c r="O455" s="111">
        <v>15</v>
      </c>
      <c r="P455" s="111" t="e">
        <f>ROUND(Tableau13[[#This Row],[LEN]]*#REF!+#REF!,0)</f>
        <v>#REF!</v>
      </c>
    </row>
    <row r="456" spans="1:16" s="97" customFormat="1" x14ac:dyDescent="0.25">
      <c r="A456" s="29" t="s">
        <v>1297</v>
      </c>
      <c r="B456" s="30" t="s">
        <v>1281</v>
      </c>
      <c r="C456" s="31" t="s">
        <v>1299</v>
      </c>
      <c r="D456" s="71" t="s">
        <v>28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ROUND(Tableau13[[#This Row],[LEN]]*7.27,0)</f>
        <v>124</v>
      </c>
      <c r="L456" s="111">
        <v>15</v>
      </c>
      <c r="M456" s="128" t="str">
        <f t="shared" si="4"/>
        <v>none</v>
      </c>
      <c r="N456" s="111">
        <f>LEN(Tableau13[[#This Row],[LABEL]])</f>
        <v>17</v>
      </c>
      <c r="O456" s="111">
        <v>15</v>
      </c>
      <c r="P456" s="111" t="e">
        <f>ROUND(Tableau13[[#This Row],[LEN]]*#REF!+#REF!,0)</f>
        <v>#REF!</v>
      </c>
    </row>
    <row r="457" spans="1:16" s="97" customFormat="1" x14ac:dyDescent="0.25">
      <c r="A457" s="25" t="s">
        <v>1282</v>
      </c>
      <c r="B457" s="26" t="s">
        <v>260</v>
      </c>
      <c r="C457" s="27" t="s">
        <v>1154</v>
      </c>
      <c r="D457" s="70" t="s">
        <v>28</v>
      </c>
      <c r="E457" s="27" t="s">
        <v>667</v>
      </c>
      <c r="F457" s="27" t="s">
        <v>1133</v>
      </c>
      <c r="G457" s="70" t="s">
        <v>166</v>
      </c>
      <c r="H457" s="70" t="s">
        <v>18</v>
      </c>
      <c r="I457" s="27"/>
      <c r="J457" s="28" t="s">
        <v>102</v>
      </c>
      <c r="K457" s="109">
        <f>ROUND(Tableau13[[#This Row],[LEN]]*7.27,0)</f>
        <v>443</v>
      </c>
      <c r="L457" s="109">
        <v>15</v>
      </c>
      <c r="M457" s="127" t="str">
        <f t="shared" si="4"/>
        <v>new</v>
      </c>
      <c r="N457" s="109">
        <f>LEN(Tableau13[[#This Row],[LABEL]])</f>
        <v>61</v>
      </c>
      <c r="O457" s="109">
        <v>15</v>
      </c>
      <c r="P457" s="109" t="e">
        <f>ROUND(Tableau13[[#This Row],[LEN]]*#REF!+#REF!,0)</f>
        <v>#REF!</v>
      </c>
    </row>
    <row r="458" spans="1:16" s="97" customFormat="1" x14ac:dyDescent="0.25">
      <c r="A458" s="25" t="s">
        <v>1283</v>
      </c>
      <c r="B458" s="26" t="s">
        <v>260</v>
      </c>
      <c r="C458" s="27" t="s">
        <v>1167</v>
      </c>
      <c r="D458" s="70" t="s">
        <v>486</v>
      </c>
      <c r="E458" s="27" t="s">
        <v>1085</v>
      </c>
      <c r="F458" s="27" t="s">
        <v>1084</v>
      </c>
      <c r="G458" s="70" t="s">
        <v>166</v>
      </c>
      <c r="H458" s="70" t="s">
        <v>1131</v>
      </c>
      <c r="I458" s="27"/>
      <c r="J458" s="28" t="s">
        <v>708</v>
      </c>
      <c r="K458" s="109">
        <f>ROUND(Tableau13[[#This Row],[LEN]]*7.27,0)</f>
        <v>196</v>
      </c>
      <c r="L458" s="109">
        <v>15</v>
      </c>
      <c r="M458" s="127" t="str">
        <f t="shared" si="4"/>
        <v>none</v>
      </c>
      <c r="N458" s="109">
        <f>LEN(Tableau13[[#This Row],[LABEL]])</f>
        <v>27</v>
      </c>
      <c r="O458" s="109">
        <v>15</v>
      </c>
      <c r="P458" s="109" t="e">
        <f>ROUND(Tableau13[[#This Row],[LEN]]*#REF!+#REF!,0)</f>
        <v>#REF!</v>
      </c>
    </row>
    <row r="459" spans="1:16" s="97" customFormat="1" x14ac:dyDescent="0.25">
      <c r="A459" s="29" t="s">
        <v>1300</v>
      </c>
      <c r="B459" s="30" t="s">
        <v>1283</v>
      </c>
      <c r="C459" s="31" t="s">
        <v>93</v>
      </c>
      <c r="D459" s="71" t="s">
        <v>28</v>
      </c>
      <c r="E459" s="31" t="s">
        <v>1085</v>
      </c>
      <c r="F459" s="31" t="s">
        <v>1084</v>
      </c>
      <c r="G459" s="71" t="s">
        <v>166</v>
      </c>
      <c r="H459" s="71" t="s">
        <v>18</v>
      </c>
      <c r="I459" s="31"/>
      <c r="J459" s="32" t="s">
        <v>101</v>
      </c>
      <c r="K459" s="111">
        <f>ROUND(Tableau13[[#This Row],[LEN]]*7.27,0)</f>
        <v>109</v>
      </c>
      <c r="L459" s="111">
        <v>15</v>
      </c>
      <c r="M459" s="128" t="str">
        <f t="shared" si="4"/>
        <v>new</v>
      </c>
      <c r="N459" s="111">
        <f>LEN(Tableau13[[#This Row],[LABEL]])</f>
        <v>15</v>
      </c>
      <c r="O459" s="111">
        <v>15</v>
      </c>
      <c r="P459" s="111" t="e">
        <f>ROUND(Tableau13[[#This Row],[LEN]]*#REF!+#REF!,0)</f>
        <v>#REF!</v>
      </c>
    </row>
    <row r="460" spans="1:16" s="97" customFormat="1" x14ac:dyDescent="0.25">
      <c r="A460" s="29" t="s">
        <v>1301</v>
      </c>
      <c r="B460" s="30" t="s">
        <v>1283</v>
      </c>
      <c r="C460" s="31" t="s">
        <v>94</v>
      </c>
      <c r="D460" s="71" t="s">
        <v>28</v>
      </c>
      <c r="E460" s="31" t="s">
        <v>1085</v>
      </c>
      <c r="F460" s="31" t="s">
        <v>1084</v>
      </c>
      <c r="G460" s="71" t="s">
        <v>166</v>
      </c>
      <c r="H460" s="71" t="s">
        <v>18</v>
      </c>
      <c r="I460" s="31"/>
      <c r="J460" s="32" t="s">
        <v>102</v>
      </c>
      <c r="K460" s="111">
        <f>ROUND(Tableau13[[#This Row],[LEN]]*7.27,0)</f>
        <v>58</v>
      </c>
      <c r="L460" s="111">
        <v>15</v>
      </c>
      <c r="M460" s="128" t="str">
        <f t="shared" si="4"/>
        <v>new</v>
      </c>
      <c r="N460" s="111">
        <f>LEN(Tableau13[[#This Row],[LABEL]])</f>
        <v>8</v>
      </c>
      <c r="O460" s="111">
        <v>15</v>
      </c>
      <c r="P460" s="111" t="e">
        <f>ROUND(Tableau13[[#This Row],[LEN]]*#REF!+#REF!,0)</f>
        <v>#REF!</v>
      </c>
    </row>
    <row r="461" spans="1:16" s="273" customFormat="1" x14ac:dyDescent="0.25">
      <c r="A461" s="288" t="s">
        <v>261</v>
      </c>
      <c r="B461" s="289" t="s">
        <v>206</v>
      </c>
      <c r="C461" s="290" t="s">
        <v>12</v>
      </c>
      <c r="D461" s="291" t="s">
        <v>28</v>
      </c>
      <c r="E461" s="290" t="s">
        <v>675</v>
      </c>
      <c r="F461" s="290" t="s">
        <v>675</v>
      </c>
      <c r="G461" s="291" t="s">
        <v>166</v>
      </c>
      <c r="H461" s="291" t="str">
        <f>IFERROR(IF(SEARCH(".00.00.00.00.00",Tableau13[[#This Row],[name]],1)=7,"Division",""),"")</f>
        <v>Division</v>
      </c>
      <c r="I461" s="290"/>
      <c r="J461" s="292" t="s">
        <v>721</v>
      </c>
      <c r="K461" s="293">
        <f>ROUND(Tableau13[[#This Row],[LEN]]*7.27,0)</f>
        <v>15</v>
      </c>
      <c r="L461" s="293">
        <v>15</v>
      </c>
      <c r="M461" s="294" t="str">
        <f t="shared" si="4"/>
        <v>new</v>
      </c>
      <c r="N461" s="293">
        <f>LEN(Tableau13[[#This Row],[LABEL]])</f>
        <v>2</v>
      </c>
      <c r="O461" s="293">
        <v>15</v>
      </c>
      <c r="P461" s="293" t="e">
        <f>ROUND(Tableau13[[#This Row],[LEN]]*#REF!+#REF!,0)</f>
        <v>#REF!</v>
      </c>
    </row>
    <row r="462" spans="1:16" s="97" customFormat="1" x14ac:dyDescent="0.25">
      <c r="A462" s="25" t="s">
        <v>1302</v>
      </c>
      <c r="B462" s="26" t="s">
        <v>261</v>
      </c>
      <c r="C462" s="27" t="s">
        <v>88</v>
      </c>
      <c r="D462" s="70" t="s">
        <v>28</v>
      </c>
      <c r="E462" s="27" t="s">
        <v>667</v>
      </c>
      <c r="F462" s="27" t="s">
        <v>1218</v>
      </c>
      <c r="G462" s="70" t="s">
        <v>166</v>
      </c>
      <c r="H462" s="70" t="s">
        <v>570</v>
      </c>
      <c r="I462" s="27"/>
      <c r="J462" s="28" t="s">
        <v>708</v>
      </c>
      <c r="K462" s="109">
        <f>ROUND(Tableau13[[#This Row],[LEN]]*7.27,0)</f>
        <v>342</v>
      </c>
      <c r="L462" s="109">
        <v>15</v>
      </c>
      <c r="M462" s="127" t="str">
        <f t="shared" si="4"/>
        <v>none</v>
      </c>
      <c r="N462" s="109">
        <f>LEN(Tableau13[[#This Row],[LABEL]])</f>
        <v>47</v>
      </c>
      <c r="O462" s="109">
        <v>15</v>
      </c>
      <c r="P462" s="109" t="e">
        <f>ROUND(Tableau13[[#This Row],[LEN]]*#REF!+#REF!,0)</f>
        <v>#REF!</v>
      </c>
    </row>
    <row r="463" spans="1:16" s="97" customFormat="1" x14ac:dyDescent="0.25">
      <c r="A463" s="213" t="s">
        <v>1303</v>
      </c>
      <c r="B463" s="214" t="s">
        <v>261</v>
      </c>
      <c r="C463" s="215" t="s">
        <v>1310</v>
      </c>
      <c r="D463" s="70" t="s">
        <v>28</v>
      </c>
      <c r="E463" s="229" t="s">
        <v>675</v>
      </c>
      <c r="F463" s="215" t="s">
        <v>678</v>
      </c>
      <c r="G463" s="70" t="s">
        <v>166</v>
      </c>
      <c r="H463" s="216" t="s">
        <v>655</v>
      </c>
      <c r="I463" s="215"/>
      <c r="J463" s="217" t="s">
        <v>708</v>
      </c>
      <c r="K463" s="218">
        <f>ROUND(Tableau13[[#This Row],[LEN]]*7.27,0)</f>
        <v>233</v>
      </c>
      <c r="L463" s="218">
        <v>15</v>
      </c>
      <c r="M463" s="219" t="str">
        <f t="shared" si="4"/>
        <v>none</v>
      </c>
      <c r="N463" s="218">
        <f>LEN(Tableau13[[#This Row],[LABEL]])</f>
        <v>32</v>
      </c>
      <c r="O463" s="218">
        <v>15</v>
      </c>
      <c r="P463" s="218" t="e">
        <f>ROUND(Tableau13[[#This Row],[LEN]]*#REF!+#REF!,0)</f>
        <v>#REF!</v>
      </c>
    </row>
    <row r="464" spans="1:16" s="97" customFormat="1" x14ac:dyDescent="0.25">
      <c r="A464" s="29" t="s">
        <v>1312</v>
      </c>
      <c r="B464" s="30" t="s">
        <v>1303</v>
      </c>
      <c r="C464" s="31" t="s">
        <v>1321</v>
      </c>
      <c r="D464" s="71" t="s">
        <v>28</v>
      </c>
      <c r="E464" s="31" t="s">
        <v>675</v>
      </c>
      <c r="F464" s="31" t="s">
        <v>678</v>
      </c>
      <c r="G464" s="71" t="s">
        <v>166</v>
      </c>
      <c r="H464" s="71" t="s">
        <v>654</v>
      </c>
      <c r="I464" s="31"/>
      <c r="J464" s="32" t="s">
        <v>708</v>
      </c>
      <c r="K464" s="111">
        <f>ROUND(Tableau13[[#This Row],[LEN]]*7.27,0)</f>
        <v>349</v>
      </c>
      <c r="L464" s="111">
        <v>15</v>
      </c>
      <c r="M464" s="128" t="str">
        <f t="shared" si="4"/>
        <v>none</v>
      </c>
      <c r="N464" s="111">
        <f>LEN(Tableau13[[#This Row],[LABEL]])</f>
        <v>48</v>
      </c>
      <c r="O464" s="111">
        <v>15</v>
      </c>
      <c r="P464" s="111" t="e">
        <f>ROUND(Tableau13[[#This Row],[LEN]]*#REF!+#REF!,0)</f>
        <v>#REF!</v>
      </c>
    </row>
    <row r="465" spans="1:16" s="97" customFormat="1" x14ac:dyDescent="0.25">
      <c r="A465" s="29" t="s">
        <v>1313</v>
      </c>
      <c r="B465" s="30" t="s">
        <v>1303</v>
      </c>
      <c r="C465" s="31" t="s">
        <v>1322</v>
      </c>
      <c r="D465" s="71" t="s">
        <v>28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ROUND(Tableau13[[#This Row],[LEN]]*7.27,0)</f>
        <v>254</v>
      </c>
      <c r="L465" s="111">
        <v>15</v>
      </c>
      <c r="M465" s="128" t="str">
        <f t="shared" si="4"/>
        <v>none</v>
      </c>
      <c r="N465" s="111">
        <f>LEN(Tableau13[[#This Row],[LABEL]])</f>
        <v>35</v>
      </c>
      <c r="O465" s="111">
        <v>15</v>
      </c>
      <c r="P465" s="111" t="e">
        <f>ROUND(Tableau13[[#This Row],[LEN]]*#REF!+#REF!,0)</f>
        <v>#REF!</v>
      </c>
    </row>
    <row r="466" spans="1:16" s="97" customFormat="1" x14ac:dyDescent="0.25">
      <c r="A466" s="29" t="s">
        <v>1314</v>
      </c>
      <c r="B466" s="30" t="s">
        <v>1303</v>
      </c>
      <c r="C466" s="31" t="s">
        <v>1323</v>
      </c>
      <c r="D466" s="71" t="s">
        <v>28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ROUND(Tableau13[[#This Row],[LEN]]*7.27,0)</f>
        <v>320</v>
      </c>
      <c r="L466" s="111">
        <v>15</v>
      </c>
      <c r="M466" s="128" t="str">
        <f t="shared" si="4"/>
        <v>none</v>
      </c>
      <c r="N466" s="111">
        <f>LEN(Tableau13[[#This Row],[LABEL]])</f>
        <v>44</v>
      </c>
      <c r="O466" s="111">
        <v>15</v>
      </c>
      <c r="P466" s="111" t="e">
        <f>ROUND(Tableau13[[#This Row],[LEN]]*#REF!+#REF!,0)</f>
        <v>#REF!</v>
      </c>
    </row>
    <row r="467" spans="1:16" s="97" customFormat="1" x14ac:dyDescent="0.25">
      <c r="A467" s="235" t="s">
        <v>1304</v>
      </c>
      <c r="B467" s="237" t="s">
        <v>261</v>
      </c>
      <c r="C467" s="236" t="s">
        <v>1007</v>
      </c>
      <c r="D467" s="70" t="s">
        <v>28</v>
      </c>
      <c r="E467" s="229" t="s">
        <v>675</v>
      </c>
      <c r="F467" s="215" t="s">
        <v>1177</v>
      </c>
      <c r="G467" s="70" t="s">
        <v>166</v>
      </c>
      <c r="H467" s="230" t="s">
        <v>655</v>
      </c>
      <c r="I467" s="229"/>
      <c r="J467" s="231" t="s">
        <v>708</v>
      </c>
      <c r="K467" s="232">
        <f>ROUND(Tableau13[[#This Row],[LEN]]*7.27,0)</f>
        <v>305</v>
      </c>
      <c r="L467" s="232">
        <v>15</v>
      </c>
      <c r="M467" s="233" t="str">
        <f t="shared" si="4"/>
        <v>none</v>
      </c>
      <c r="N467" s="232">
        <f>LEN(Tableau13[[#This Row],[LABEL]])</f>
        <v>42</v>
      </c>
      <c r="O467" s="232">
        <v>15</v>
      </c>
      <c r="P467" s="234" t="e">
        <f>ROUND(Tableau13[[#This Row],[LEN]]*#REF!+#REF!,0)</f>
        <v>#REF!</v>
      </c>
    </row>
    <row r="468" spans="1:16" s="97" customFormat="1" x14ac:dyDescent="0.25">
      <c r="A468" s="29" t="s">
        <v>1315</v>
      </c>
      <c r="B468" s="30" t="s">
        <v>1304</v>
      </c>
      <c r="C468" s="31" t="s">
        <v>1324</v>
      </c>
      <c r="D468" s="71" t="s">
        <v>28</v>
      </c>
      <c r="E468" s="31" t="s">
        <v>675</v>
      </c>
      <c r="F468" s="31" t="s">
        <v>1177</v>
      </c>
      <c r="G468" s="71" t="s">
        <v>166</v>
      </c>
      <c r="H468" s="71" t="s">
        <v>654</v>
      </c>
      <c r="I468" s="31"/>
      <c r="J468" s="32" t="s">
        <v>708</v>
      </c>
      <c r="K468" s="111">
        <f>ROUND(Tableau13[[#This Row],[LEN]]*7.27,0)</f>
        <v>218</v>
      </c>
      <c r="L468" s="111">
        <v>15</v>
      </c>
      <c r="M468" s="128" t="str">
        <f t="shared" si="4"/>
        <v>none</v>
      </c>
      <c r="N468" s="111">
        <f>LEN(Tableau13[[#This Row],[LABEL]])</f>
        <v>30</v>
      </c>
      <c r="O468" s="111">
        <v>15</v>
      </c>
      <c r="P468" s="111" t="e">
        <f>ROUND(Tableau13[[#This Row],[LEN]]*#REF!+#REF!,0)</f>
        <v>#REF!</v>
      </c>
    </row>
    <row r="469" spans="1:16" s="97" customFormat="1" x14ac:dyDescent="0.25">
      <c r="A469" s="29" t="s">
        <v>1316</v>
      </c>
      <c r="B469" s="30" t="s">
        <v>1304</v>
      </c>
      <c r="C469" s="31" t="s">
        <v>1013</v>
      </c>
      <c r="D469" s="71" t="s">
        <v>28</v>
      </c>
      <c r="E469" s="31" t="s">
        <v>675</v>
      </c>
      <c r="F469" s="31" t="s">
        <v>1177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ROUND(Tableau13[[#This Row],[LEN]]*7.27,0)</f>
        <v>284</v>
      </c>
      <c r="L469" s="111">
        <v>15</v>
      </c>
      <c r="M469" s="128" t="str">
        <f t="shared" si="4"/>
        <v>none</v>
      </c>
      <c r="N469" s="111">
        <f>LEN(Tableau13[[#This Row],[LABEL]])</f>
        <v>39</v>
      </c>
      <c r="O469" s="111">
        <v>15</v>
      </c>
      <c r="P469" s="111" t="e">
        <f>ROUND(Tableau13[[#This Row],[LEN]]*#REF!+#REF!,0)</f>
        <v>#REF!</v>
      </c>
    </row>
    <row r="470" spans="1:16" s="97" customFormat="1" x14ac:dyDescent="0.25">
      <c r="A470" s="29" t="s">
        <v>1317</v>
      </c>
      <c r="B470" s="30" t="s">
        <v>1304</v>
      </c>
      <c r="C470" s="31" t="s">
        <v>1014</v>
      </c>
      <c r="D470" s="71" t="s">
        <v>28</v>
      </c>
      <c r="E470" s="31" t="s">
        <v>675</v>
      </c>
      <c r="F470" s="31" t="s">
        <v>1177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ROUND(Tableau13[[#This Row],[LEN]]*7.27,0)</f>
        <v>327</v>
      </c>
      <c r="L470" s="111">
        <v>15</v>
      </c>
      <c r="M470" s="128" t="str">
        <f t="shared" si="4"/>
        <v>none</v>
      </c>
      <c r="N470" s="111">
        <f>LEN(Tableau13[[#This Row],[LABEL]])</f>
        <v>45</v>
      </c>
      <c r="O470" s="111">
        <v>15</v>
      </c>
      <c r="P470" s="111" t="e">
        <f>ROUND(Tableau13[[#This Row],[LEN]]*#REF!+#REF!,0)</f>
        <v>#REF!</v>
      </c>
    </row>
    <row r="471" spans="1:16" s="97" customFormat="1" x14ac:dyDescent="0.25">
      <c r="A471" s="29" t="s">
        <v>1318</v>
      </c>
      <c r="B471" s="30" t="s">
        <v>1304</v>
      </c>
      <c r="C471" s="31" t="s">
        <v>1325</v>
      </c>
      <c r="D471" s="71" t="s">
        <v>28</v>
      </c>
      <c r="E471" s="31" t="s">
        <v>675</v>
      </c>
      <c r="F471" s="31" t="s">
        <v>1177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ROUND(Tableau13[[#This Row],[LEN]]*7.27,0)</f>
        <v>327</v>
      </c>
      <c r="L471" s="111">
        <v>15</v>
      </c>
      <c r="M471" s="128" t="str">
        <f t="shared" si="4"/>
        <v>none</v>
      </c>
      <c r="N471" s="111">
        <f>LEN(Tableau13[[#This Row],[LABEL]])</f>
        <v>45</v>
      </c>
      <c r="O471" s="111">
        <v>15</v>
      </c>
      <c r="P471" s="111" t="e">
        <f>ROUND(Tableau13[[#This Row],[LEN]]*#REF!+#REF!,0)</f>
        <v>#REF!</v>
      </c>
    </row>
    <row r="472" spans="1:16" s="97" customFormat="1" x14ac:dyDescent="0.25">
      <c r="A472" s="227" t="s">
        <v>1305</v>
      </c>
      <c r="B472" s="228" t="s">
        <v>261</v>
      </c>
      <c r="C472" s="229" t="s">
        <v>1311</v>
      </c>
      <c r="D472" s="70" t="s">
        <v>28</v>
      </c>
      <c r="E472" s="229" t="s">
        <v>675</v>
      </c>
      <c r="F472" s="215" t="s">
        <v>1177</v>
      </c>
      <c r="G472" s="70" t="s">
        <v>166</v>
      </c>
      <c r="H472" s="230" t="s">
        <v>655</v>
      </c>
      <c r="I472" s="229"/>
      <c r="J472" s="231" t="s">
        <v>708</v>
      </c>
      <c r="K472" s="232">
        <f>ROUND(Tableau13[[#This Row],[LEN]]*7.27,0)</f>
        <v>211</v>
      </c>
      <c r="L472" s="232">
        <v>15</v>
      </c>
      <c r="M472" s="233" t="str">
        <f t="shared" si="4"/>
        <v>none</v>
      </c>
      <c r="N472" s="232">
        <f>LEN(Tableau13[[#This Row],[LABEL]])</f>
        <v>29</v>
      </c>
      <c r="O472" s="232">
        <v>15</v>
      </c>
      <c r="P472" s="234" t="e">
        <f>ROUND(Tableau13[[#This Row],[LEN]]*#REF!+#REF!,0)</f>
        <v>#REF!</v>
      </c>
    </row>
    <row r="473" spans="1:16" s="97" customFormat="1" x14ac:dyDescent="0.25">
      <c r="A473" s="29" t="s">
        <v>1319</v>
      </c>
      <c r="B473" s="30" t="s">
        <v>1305</v>
      </c>
      <c r="C473" s="31" t="s">
        <v>1326</v>
      </c>
      <c r="D473" s="71" t="s">
        <v>28</v>
      </c>
      <c r="E473" s="31" t="s">
        <v>675</v>
      </c>
      <c r="F473" s="31" t="s">
        <v>1177</v>
      </c>
      <c r="G473" s="71" t="s">
        <v>166</v>
      </c>
      <c r="H473" s="71" t="s">
        <v>654</v>
      </c>
      <c r="I473" s="31"/>
      <c r="J473" s="32" t="s">
        <v>708</v>
      </c>
      <c r="K473" s="111">
        <f>ROUND(Tableau13[[#This Row],[LEN]]*7.27,0)</f>
        <v>480</v>
      </c>
      <c r="L473" s="111">
        <v>15</v>
      </c>
      <c r="M473" s="128" t="str">
        <f t="shared" si="4"/>
        <v>none</v>
      </c>
      <c r="N473" s="111">
        <f>LEN(Tableau13[[#This Row],[LABEL]])</f>
        <v>66</v>
      </c>
      <c r="O473" s="111">
        <v>15</v>
      </c>
      <c r="P473" s="111" t="e">
        <f>ROUND(Tableau13[[#This Row],[LEN]]*#REF!+#REF!,0)</f>
        <v>#REF!</v>
      </c>
    </row>
    <row r="474" spans="1:16" s="97" customFormat="1" x14ac:dyDescent="0.25">
      <c r="A474" s="29" t="s">
        <v>1320</v>
      </c>
      <c r="B474" s="30" t="s">
        <v>1305</v>
      </c>
      <c r="C474" s="31" t="s">
        <v>1327</v>
      </c>
      <c r="D474" s="71" t="s">
        <v>1328</v>
      </c>
      <c r="E474" s="31" t="s">
        <v>675</v>
      </c>
      <c r="F474" s="31" t="s">
        <v>1177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ROUND(Tableau13[[#This Row],[LEN]]*7.27,0)</f>
        <v>254</v>
      </c>
      <c r="L474" s="111">
        <v>15</v>
      </c>
      <c r="M474" s="128" t="str">
        <f t="shared" si="4"/>
        <v>none</v>
      </c>
      <c r="N474" s="111">
        <f>LEN(Tableau13[[#This Row],[LABEL]])</f>
        <v>35</v>
      </c>
      <c r="O474" s="111">
        <v>15</v>
      </c>
      <c r="P474" s="111" t="e">
        <f>ROUND(Tableau13[[#This Row],[LEN]]*#REF!+#REF!,0)</f>
        <v>#REF!</v>
      </c>
    </row>
    <row r="475" spans="1:16" s="97" customFormat="1" x14ac:dyDescent="0.25">
      <c r="A475" s="220" t="s">
        <v>1306</v>
      </c>
      <c r="B475" s="221" t="s">
        <v>261</v>
      </c>
      <c r="C475" s="222" t="s">
        <v>1405</v>
      </c>
      <c r="D475" s="70" t="s">
        <v>28</v>
      </c>
      <c r="E475" s="229" t="s">
        <v>675</v>
      </c>
      <c r="F475" s="215" t="s">
        <v>678</v>
      </c>
      <c r="G475" s="70" t="s">
        <v>166</v>
      </c>
      <c r="H475" s="223" t="s">
        <v>656</v>
      </c>
      <c r="I475" s="222"/>
      <c r="J475" s="224" t="s">
        <v>708</v>
      </c>
      <c r="K475" s="225">
        <f>ROUND(Tableau13[[#This Row],[LEN]]*7.27,0)</f>
        <v>443</v>
      </c>
      <c r="L475" s="225">
        <v>15</v>
      </c>
      <c r="M475" s="226" t="str">
        <f t="shared" si="4"/>
        <v>none</v>
      </c>
      <c r="N475" s="225">
        <f>LEN(Tableau13[[#This Row],[LABEL]])</f>
        <v>61</v>
      </c>
      <c r="O475" s="225">
        <v>15</v>
      </c>
      <c r="P475" s="225" t="e">
        <f>ROUND(Tableau13[[#This Row],[LEN]]*#REF!+#REF!,0)</f>
        <v>#REF!</v>
      </c>
    </row>
    <row r="476" spans="1:16" s="97" customFormat="1" x14ac:dyDescent="0.25">
      <c r="A476" s="25" t="s">
        <v>1307</v>
      </c>
      <c r="B476" s="26" t="s">
        <v>261</v>
      </c>
      <c r="C476" s="27" t="s">
        <v>1167</v>
      </c>
      <c r="D476" s="70" t="s">
        <v>486</v>
      </c>
      <c r="E476" s="27" t="s">
        <v>1085</v>
      </c>
      <c r="F476" s="27" t="s">
        <v>1084</v>
      </c>
      <c r="G476" s="70" t="s">
        <v>166</v>
      </c>
      <c r="H476" s="70" t="s">
        <v>1131</v>
      </c>
      <c r="I476" s="27"/>
      <c r="J476" s="28" t="s">
        <v>708</v>
      </c>
      <c r="K476" s="109">
        <f>ROUND(Tableau13[[#This Row],[LEN]]*7.27,0)</f>
        <v>196</v>
      </c>
      <c r="L476" s="109">
        <v>15</v>
      </c>
      <c r="M476" s="127" t="str">
        <f t="shared" si="4"/>
        <v>none</v>
      </c>
      <c r="N476" s="109">
        <f>LEN(Tableau13[[#This Row],[LABEL]])</f>
        <v>27</v>
      </c>
      <c r="O476" s="109">
        <v>15</v>
      </c>
      <c r="P476" s="109" t="e">
        <f>ROUND(Tableau13[[#This Row],[LEN]]*#REF!+#REF!,0)</f>
        <v>#REF!</v>
      </c>
    </row>
    <row r="477" spans="1:16" s="97" customFormat="1" x14ac:dyDescent="0.25">
      <c r="A477" s="29" t="s">
        <v>1308</v>
      </c>
      <c r="B477" s="30" t="s">
        <v>1307</v>
      </c>
      <c r="C477" s="31" t="s">
        <v>93</v>
      </c>
      <c r="D477" s="71" t="s">
        <v>28</v>
      </c>
      <c r="E477" s="31" t="s">
        <v>1085</v>
      </c>
      <c r="F477" s="31" t="s">
        <v>1084</v>
      </c>
      <c r="G477" s="71" t="s">
        <v>166</v>
      </c>
      <c r="H477" s="71" t="s">
        <v>18</v>
      </c>
      <c r="I477" s="31"/>
      <c r="J477" s="32" t="s">
        <v>101</v>
      </c>
      <c r="K477" s="111">
        <f>ROUND(Tableau13[[#This Row],[LEN]]*7.27,0)</f>
        <v>109</v>
      </c>
      <c r="L477" s="111">
        <v>15</v>
      </c>
      <c r="M477" s="128" t="str">
        <f t="shared" si="4"/>
        <v>new</v>
      </c>
      <c r="N477" s="111">
        <f>LEN(Tableau13[[#This Row],[LABEL]])</f>
        <v>15</v>
      </c>
      <c r="O477" s="111">
        <v>15</v>
      </c>
      <c r="P477" s="111" t="e">
        <f>ROUND(Tableau13[[#This Row],[LEN]]*#REF!+#REF!,0)</f>
        <v>#REF!</v>
      </c>
    </row>
    <row r="478" spans="1:16" s="97" customFormat="1" x14ac:dyDescent="0.25">
      <c r="A478" s="29" t="s">
        <v>1309</v>
      </c>
      <c r="B478" s="30" t="s">
        <v>1307</v>
      </c>
      <c r="C478" s="31" t="s">
        <v>94</v>
      </c>
      <c r="D478" s="71" t="s">
        <v>28</v>
      </c>
      <c r="E478" s="31" t="s">
        <v>1085</v>
      </c>
      <c r="F478" s="31" t="s">
        <v>1084</v>
      </c>
      <c r="G478" s="71" t="s">
        <v>166</v>
      </c>
      <c r="H478" s="71" t="s">
        <v>18</v>
      </c>
      <c r="I478" s="31"/>
      <c r="J478" s="32" t="s">
        <v>102</v>
      </c>
      <c r="K478" s="111">
        <f>ROUND(Tableau13[[#This Row],[LEN]]*7.27,0)</f>
        <v>58</v>
      </c>
      <c r="L478" s="111">
        <v>15</v>
      </c>
      <c r="M478" s="128" t="str">
        <f t="shared" si="4"/>
        <v>new</v>
      </c>
      <c r="N478" s="111">
        <f>LEN(Tableau13[[#This Row],[LABEL]])</f>
        <v>8</v>
      </c>
      <c r="O478" s="111">
        <v>15</v>
      </c>
      <c r="P478" s="111" t="e">
        <f>ROUND(Tableau13[[#This Row],[LEN]]*#REF!+#REF!,0)</f>
        <v>#REF!</v>
      </c>
    </row>
    <row r="479" spans="1:16" s="273" customFormat="1" x14ac:dyDescent="0.25">
      <c r="A479" s="288" t="s">
        <v>262</v>
      </c>
      <c r="B479" s="289" t="s">
        <v>206</v>
      </c>
      <c r="C479" s="290" t="s">
        <v>71</v>
      </c>
      <c r="D479" s="291" t="s">
        <v>28</v>
      </c>
      <c r="E479" s="290" t="s">
        <v>676</v>
      </c>
      <c r="F479" s="290" t="s">
        <v>676</v>
      </c>
      <c r="G479" s="291" t="s">
        <v>166</v>
      </c>
      <c r="H479" s="291" t="str">
        <f>IFERROR(IF(SEARCH(".00.00.00.00.00",Tableau13[[#This Row],[name]],1)=7,"Division",""),"")</f>
        <v>Division</v>
      </c>
      <c r="I479" s="290"/>
      <c r="J479" s="292" t="s">
        <v>722</v>
      </c>
      <c r="K479" s="293">
        <f>ROUND(Tableau13[[#This Row],[LEN]]*7.27,0)</f>
        <v>29</v>
      </c>
      <c r="L479" s="293">
        <v>15</v>
      </c>
      <c r="M479" s="294" t="str">
        <f t="shared" si="4"/>
        <v>new</v>
      </c>
      <c r="N479" s="293">
        <f>LEN(Tableau13[[#This Row],[LABEL]])</f>
        <v>4</v>
      </c>
      <c r="O479" s="293">
        <v>15</v>
      </c>
      <c r="P479" s="293" t="e">
        <f>ROUND(Tableau13[[#This Row],[LEN]]*#REF!+#REF!,0)</f>
        <v>#REF!</v>
      </c>
    </row>
    <row r="480" spans="1:16" s="97" customFormat="1" x14ac:dyDescent="0.25">
      <c r="A480" s="220" t="s">
        <v>1329</v>
      </c>
      <c r="B480" s="221" t="s">
        <v>262</v>
      </c>
      <c r="C480" s="222" t="s">
        <v>1337</v>
      </c>
      <c r="D480" s="70" t="s">
        <v>1338</v>
      </c>
      <c r="E480" s="229" t="s">
        <v>676</v>
      </c>
      <c r="F480" s="215" t="s">
        <v>1339</v>
      </c>
      <c r="G480" s="70" t="s">
        <v>166</v>
      </c>
      <c r="H480" s="223" t="s">
        <v>656</v>
      </c>
      <c r="I480" s="222"/>
      <c r="J480" s="224" t="s">
        <v>708</v>
      </c>
      <c r="K480" s="225">
        <f>ROUND(Tableau13[[#This Row],[LEN]]*7.27,0)</f>
        <v>378</v>
      </c>
      <c r="L480" s="225">
        <v>15</v>
      </c>
      <c r="M480" s="226" t="str">
        <f t="shared" si="4"/>
        <v>none</v>
      </c>
      <c r="N480" s="225">
        <f>LEN(Tableau13[[#This Row],[LABEL]])</f>
        <v>52</v>
      </c>
      <c r="O480" s="225">
        <v>15</v>
      </c>
      <c r="P480" s="225" t="e">
        <f>ROUND(Tableau13[[#This Row],[LEN]]*#REF!+#REF!,0)</f>
        <v>#REF!</v>
      </c>
    </row>
    <row r="481" spans="1:16" s="97" customFormat="1" x14ac:dyDescent="0.25">
      <c r="A481" s="220" t="s">
        <v>1330</v>
      </c>
      <c r="B481" s="221" t="s">
        <v>262</v>
      </c>
      <c r="C481" s="222" t="s">
        <v>88</v>
      </c>
      <c r="D481" s="70" t="s">
        <v>28</v>
      </c>
      <c r="E481" s="229" t="s">
        <v>667</v>
      </c>
      <c r="F481" s="215" t="s">
        <v>1218</v>
      </c>
      <c r="G481" s="70" t="s">
        <v>166</v>
      </c>
      <c r="H481" s="223" t="s">
        <v>570</v>
      </c>
      <c r="I481" s="222"/>
      <c r="J481" s="224" t="s">
        <v>708</v>
      </c>
      <c r="K481" s="225">
        <f>ROUND(Tableau13[[#This Row],[LEN]]*7.27,0)</f>
        <v>342</v>
      </c>
      <c r="L481" s="225">
        <v>15</v>
      </c>
      <c r="M481" s="226" t="str">
        <f t="shared" si="4"/>
        <v>none</v>
      </c>
      <c r="N481" s="225">
        <f>LEN(Tableau13[[#This Row],[LABEL]])</f>
        <v>47</v>
      </c>
      <c r="O481" s="225">
        <v>15</v>
      </c>
      <c r="P481" s="225" t="e">
        <f>ROUND(Tableau13[[#This Row],[LEN]]*#REF!+#REF!,0)</f>
        <v>#REF!</v>
      </c>
    </row>
    <row r="482" spans="1:16" s="97" customFormat="1" x14ac:dyDescent="0.25">
      <c r="A482" s="220" t="s">
        <v>1331</v>
      </c>
      <c r="B482" s="221" t="s">
        <v>262</v>
      </c>
      <c r="C482" s="222" t="s">
        <v>484</v>
      </c>
      <c r="D482" s="70" t="s">
        <v>28</v>
      </c>
      <c r="E482" s="229" t="s">
        <v>672</v>
      </c>
      <c r="F482" s="215" t="s">
        <v>1285</v>
      </c>
      <c r="G482" s="70" t="s">
        <v>166</v>
      </c>
      <c r="H482" s="223" t="s">
        <v>655</v>
      </c>
      <c r="I482" s="222"/>
      <c r="J482" s="224" t="s">
        <v>727</v>
      </c>
      <c r="K482" s="225">
        <f>ROUND(Tableau13[[#This Row],[LEN]]*7.27,0)</f>
        <v>80</v>
      </c>
      <c r="L482" s="225">
        <v>15</v>
      </c>
      <c r="M482" s="226" t="str">
        <f t="shared" si="4"/>
        <v>new</v>
      </c>
      <c r="N482" s="225">
        <f>LEN(Tableau13[[#This Row],[LABEL]])</f>
        <v>11</v>
      </c>
      <c r="O482" s="225">
        <v>15</v>
      </c>
      <c r="P482" s="225" t="e">
        <f>ROUND(Tableau13[[#This Row],[LEN]]*#REF!+#REF!,0)</f>
        <v>#REF!</v>
      </c>
    </row>
    <row r="483" spans="1:16" s="97" customFormat="1" x14ac:dyDescent="0.25">
      <c r="A483" s="29" t="s">
        <v>1340</v>
      </c>
      <c r="B483" s="30" t="s">
        <v>1331</v>
      </c>
      <c r="C483" s="31" t="s">
        <v>505</v>
      </c>
      <c r="D483" s="71" t="s">
        <v>28</v>
      </c>
      <c r="E483" s="31" t="s">
        <v>672</v>
      </c>
      <c r="F483" s="31" t="s">
        <v>1285</v>
      </c>
      <c r="G483" s="71" t="s">
        <v>166</v>
      </c>
      <c r="H483" s="71" t="s">
        <v>18</v>
      </c>
      <c r="I483" s="31"/>
      <c r="J483" s="32" t="s">
        <v>705</v>
      </c>
      <c r="K483" s="111">
        <f>ROUND(Tableau13[[#This Row],[LEN]]*7.27,0)</f>
        <v>73</v>
      </c>
      <c r="L483" s="111">
        <v>15</v>
      </c>
      <c r="M483" s="128" t="str">
        <f t="shared" si="4"/>
        <v>new</v>
      </c>
      <c r="N483" s="111">
        <f>LEN(Tableau13[[#This Row],[LABEL]])</f>
        <v>10</v>
      </c>
      <c r="O483" s="111">
        <v>15</v>
      </c>
      <c r="P483" s="111" t="e">
        <f>ROUND(Tableau13[[#This Row],[LEN]]*#REF!+#REF!,0)</f>
        <v>#REF!</v>
      </c>
    </row>
    <row r="484" spans="1:16" s="97" customFormat="1" x14ac:dyDescent="0.25">
      <c r="A484" s="29" t="s">
        <v>1341</v>
      </c>
      <c r="B484" s="30" t="s">
        <v>1331</v>
      </c>
      <c r="C484" s="31" t="s">
        <v>1284</v>
      </c>
      <c r="D484" s="71" t="s">
        <v>28</v>
      </c>
      <c r="E484" s="31" t="s">
        <v>672</v>
      </c>
      <c r="F484" s="31" t="s">
        <v>1285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ROUND(Tableau13[[#This Row],[LEN]]*7.27,0)</f>
        <v>153</v>
      </c>
      <c r="L484" s="111">
        <v>15</v>
      </c>
      <c r="M484" s="128" t="str">
        <f t="shared" si="4"/>
        <v>new</v>
      </c>
      <c r="N484" s="111">
        <f>LEN(Tableau13[[#This Row],[LABEL]])</f>
        <v>21</v>
      </c>
      <c r="O484" s="111">
        <v>15</v>
      </c>
      <c r="P484" s="111" t="e">
        <f>ROUND(Tableau13[[#This Row],[LEN]]*#REF!+#REF!,0)</f>
        <v>#REF!</v>
      </c>
    </row>
    <row r="485" spans="1:16" s="97" customFormat="1" x14ac:dyDescent="0.25">
      <c r="A485" s="220" t="s">
        <v>1332</v>
      </c>
      <c r="B485" s="221" t="s">
        <v>262</v>
      </c>
      <c r="C485" s="222" t="s">
        <v>1342</v>
      </c>
      <c r="D485" s="70" t="s">
        <v>28</v>
      </c>
      <c r="E485" s="229" t="s">
        <v>676</v>
      </c>
      <c r="F485" s="215" t="s">
        <v>1177</v>
      </c>
      <c r="G485" s="70" t="s">
        <v>166</v>
      </c>
      <c r="H485" s="223" t="s">
        <v>656</v>
      </c>
      <c r="I485" s="222"/>
      <c r="J485" s="224" t="s">
        <v>708</v>
      </c>
      <c r="K485" s="225">
        <f>ROUND(Tableau13[[#This Row],[LEN]]*7.27,0)</f>
        <v>473</v>
      </c>
      <c r="L485" s="225">
        <v>15</v>
      </c>
      <c r="M485" s="226" t="str">
        <f t="shared" si="4"/>
        <v>none</v>
      </c>
      <c r="N485" s="225">
        <f>LEN(Tableau13[[#This Row],[LABEL]])</f>
        <v>65</v>
      </c>
      <c r="O485" s="225">
        <v>15</v>
      </c>
      <c r="P485" s="225" t="e">
        <f>ROUND(Tableau13[[#This Row],[LEN]]*#REF!+#REF!,0)</f>
        <v>#REF!</v>
      </c>
    </row>
    <row r="486" spans="1:16" s="97" customFormat="1" x14ac:dyDescent="0.25">
      <c r="A486" s="220" t="s">
        <v>1333</v>
      </c>
      <c r="B486" s="221" t="s">
        <v>262</v>
      </c>
      <c r="C486" s="222" t="s">
        <v>1343</v>
      </c>
      <c r="D486" s="70" t="s">
        <v>28</v>
      </c>
      <c r="E486" s="229" t="s">
        <v>676</v>
      </c>
      <c r="F486" s="215" t="s">
        <v>1339</v>
      </c>
      <c r="G486" s="70" t="s">
        <v>166</v>
      </c>
      <c r="H486" s="223" t="s">
        <v>654</v>
      </c>
      <c r="I486" s="222"/>
      <c r="J486" s="224" t="s">
        <v>708</v>
      </c>
      <c r="K486" s="225">
        <f>ROUND(Tableau13[[#This Row],[LEN]]*7.27,0)</f>
        <v>269</v>
      </c>
      <c r="L486" s="225">
        <v>15</v>
      </c>
      <c r="M486" s="226" t="str">
        <f t="shared" si="4"/>
        <v>none</v>
      </c>
      <c r="N486" s="225">
        <f>LEN(Tableau13[[#This Row],[LABEL]])</f>
        <v>37</v>
      </c>
      <c r="O486" s="225">
        <v>15</v>
      </c>
      <c r="P486" s="225" t="e">
        <f>ROUND(Tableau13[[#This Row],[LEN]]*#REF!+#REF!,0)</f>
        <v>#REF!</v>
      </c>
    </row>
    <row r="487" spans="1:16" s="97" customFormat="1" x14ac:dyDescent="0.25">
      <c r="A487" s="220" t="s">
        <v>1334</v>
      </c>
      <c r="B487" s="221" t="s">
        <v>262</v>
      </c>
      <c r="C487" s="222" t="s">
        <v>1154</v>
      </c>
      <c r="D487" s="70" t="s">
        <v>28</v>
      </c>
      <c r="E487" s="229" t="s">
        <v>667</v>
      </c>
      <c r="F487" s="215" t="s">
        <v>1133</v>
      </c>
      <c r="G487" s="70" t="s">
        <v>166</v>
      </c>
      <c r="H487" s="223" t="s">
        <v>18</v>
      </c>
      <c r="I487" s="222"/>
      <c r="J487" s="224" t="s">
        <v>102</v>
      </c>
      <c r="K487" s="225">
        <f>ROUND(Tableau13[[#This Row],[LEN]]*7.27,0)</f>
        <v>443</v>
      </c>
      <c r="L487" s="225">
        <v>15</v>
      </c>
      <c r="M487" s="226" t="str">
        <f t="shared" si="4"/>
        <v>new</v>
      </c>
      <c r="N487" s="225">
        <f>LEN(Tableau13[[#This Row],[LABEL]])</f>
        <v>61</v>
      </c>
      <c r="O487" s="225">
        <v>15</v>
      </c>
      <c r="P487" s="225" t="e">
        <f>ROUND(Tableau13[[#This Row],[LEN]]*#REF!+#REF!,0)</f>
        <v>#REF!</v>
      </c>
    </row>
    <row r="488" spans="1:16" s="97" customFormat="1" x14ac:dyDescent="0.25">
      <c r="A488" s="220" t="s">
        <v>1335</v>
      </c>
      <c r="B488" s="221" t="s">
        <v>262</v>
      </c>
      <c r="C488" s="222" t="s">
        <v>778</v>
      </c>
      <c r="D488" s="70" t="s">
        <v>28</v>
      </c>
      <c r="E488" s="229" t="s">
        <v>673</v>
      </c>
      <c r="F488" s="215" t="s">
        <v>785</v>
      </c>
      <c r="G488" s="70" t="s">
        <v>166</v>
      </c>
      <c r="H488" s="223" t="s">
        <v>17</v>
      </c>
      <c r="I488" s="222"/>
      <c r="J488" s="224" t="s">
        <v>708</v>
      </c>
      <c r="K488" s="225">
        <f>ROUND(Tableau13[[#This Row],[LEN]]*7.27,0)</f>
        <v>211</v>
      </c>
      <c r="L488" s="225">
        <v>15</v>
      </c>
      <c r="M488" s="226" t="str">
        <f t="shared" si="4"/>
        <v>none</v>
      </c>
      <c r="N488" s="225">
        <f>LEN(Tableau13[[#This Row],[LABEL]])</f>
        <v>29</v>
      </c>
      <c r="O488" s="225">
        <v>15</v>
      </c>
      <c r="P488" s="225" t="e">
        <f>ROUND(Tableau13[[#This Row],[LEN]]*#REF!+#REF!,0)</f>
        <v>#REF!</v>
      </c>
    </row>
    <row r="489" spans="1:16" s="97" customFormat="1" x14ac:dyDescent="0.25">
      <c r="A489" s="220" t="s">
        <v>1336</v>
      </c>
      <c r="B489" s="221" t="s">
        <v>262</v>
      </c>
      <c r="C489" s="222" t="s">
        <v>1167</v>
      </c>
      <c r="D489" s="70" t="s">
        <v>486</v>
      </c>
      <c r="E489" s="229" t="s">
        <v>1085</v>
      </c>
      <c r="F489" s="215" t="s">
        <v>1084</v>
      </c>
      <c r="G489" s="70" t="s">
        <v>166</v>
      </c>
      <c r="H489" s="223" t="s">
        <v>1131</v>
      </c>
      <c r="I489" s="222"/>
      <c r="J489" s="224" t="s">
        <v>708</v>
      </c>
      <c r="K489" s="225">
        <f>ROUND(Tableau13[[#This Row],[LEN]]*7.27,0)</f>
        <v>196</v>
      </c>
      <c r="L489" s="225">
        <v>15</v>
      </c>
      <c r="M489" s="226" t="str">
        <f t="shared" si="4"/>
        <v>none</v>
      </c>
      <c r="N489" s="225">
        <f>LEN(Tableau13[[#This Row],[LABEL]])</f>
        <v>27</v>
      </c>
      <c r="O489" s="225">
        <v>15</v>
      </c>
      <c r="P489" s="225" t="e">
        <f>ROUND(Tableau13[[#This Row],[LEN]]*#REF!+#REF!,0)</f>
        <v>#REF!</v>
      </c>
    </row>
    <row r="490" spans="1:16" s="97" customFormat="1" x14ac:dyDescent="0.25">
      <c r="A490" s="29" t="s">
        <v>1344</v>
      </c>
      <c r="B490" s="30" t="s">
        <v>1336</v>
      </c>
      <c r="C490" s="31" t="s">
        <v>93</v>
      </c>
      <c r="D490" s="71" t="s">
        <v>28</v>
      </c>
      <c r="E490" s="31" t="s">
        <v>1085</v>
      </c>
      <c r="F490" s="31" t="s">
        <v>1084</v>
      </c>
      <c r="G490" s="71" t="s">
        <v>166</v>
      </c>
      <c r="H490" s="71" t="s">
        <v>18</v>
      </c>
      <c r="I490" s="31"/>
      <c r="J490" s="32" t="s">
        <v>101</v>
      </c>
      <c r="K490" s="111">
        <f>ROUND(Tableau13[[#This Row],[LEN]]*7.27,0)</f>
        <v>109</v>
      </c>
      <c r="L490" s="111">
        <v>15</v>
      </c>
      <c r="M490" s="128" t="str">
        <f t="shared" si="4"/>
        <v>new</v>
      </c>
      <c r="N490" s="111">
        <f>LEN(Tableau13[[#This Row],[LABEL]])</f>
        <v>15</v>
      </c>
      <c r="O490" s="111">
        <v>15</v>
      </c>
      <c r="P490" s="111" t="e">
        <f>ROUND(Tableau13[[#This Row],[LEN]]*#REF!+#REF!,0)</f>
        <v>#REF!</v>
      </c>
    </row>
    <row r="491" spans="1:16" s="97" customFormat="1" x14ac:dyDescent="0.25">
      <c r="A491" s="29" t="s">
        <v>1345</v>
      </c>
      <c r="B491" s="30" t="s">
        <v>1336</v>
      </c>
      <c r="C491" s="31" t="s">
        <v>94</v>
      </c>
      <c r="D491" s="71" t="s">
        <v>28</v>
      </c>
      <c r="E491" s="31" t="s">
        <v>1085</v>
      </c>
      <c r="F491" s="31" t="s">
        <v>1084</v>
      </c>
      <c r="G491" s="71" t="s">
        <v>166</v>
      </c>
      <c r="H491" s="71" t="s">
        <v>18</v>
      </c>
      <c r="I491" s="31"/>
      <c r="J491" s="32" t="s">
        <v>102</v>
      </c>
      <c r="K491" s="111">
        <f>ROUND(Tableau13[[#This Row],[LEN]]*7.27,0)</f>
        <v>58</v>
      </c>
      <c r="L491" s="111">
        <v>15</v>
      </c>
      <c r="M491" s="128" t="str">
        <f t="shared" si="4"/>
        <v>new</v>
      </c>
      <c r="N491" s="111">
        <f>LEN(Tableau13[[#This Row],[LABEL]])</f>
        <v>8</v>
      </c>
      <c r="O491" s="111">
        <v>15</v>
      </c>
      <c r="P491" s="111" t="e">
        <f>ROUND(Tableau13[[#This Row],[LEN]]*#REF!+#REF!,0)</f>
        <v>#REF!</v>
      </c>
    </row>
    <row r="492" spans="1:16" s="273" customFormat="1" x14ac:dyDescent="0.25">
      <c r="A492" s="288" t="s">
        <v>263</v>
      </c>
      <c r="B492" s="289" t="s">
        <v>206</v>
      </c>
      <c r="C492" s="290" t="s">
        <v>13</v>
      </c>
      <c r="D492" s="291" t="s">
        <v>28</v>
      </c>
      <c r="E492" s="290" t="s">
        <v>677</v>
      </c>
      <c r="F492" s="290" t="s">
        <v>677</v>
      </c>
      <c r="G492" s="291" t="s">
        <v>166</v>
      </c>
      <c r="H492" s="291" t="str">
        <f>IFERROR(IF(SEARCH(".00.00.00.00.00",Tableau13[[#This Row],[name]],1)=7,"Division",""),"")</f>
        <v>Division</v>
      </c>
      <c r="I492" s="290"/>
      <c r="J492" s="292" t="s">
        <v>723</v>
      </c>
      <c r="K492" s="293">
        <f>ROUND(Tableau13[[#This Row],[LEN]]*7.27,0)</f>
        <v>80</v>
      </c>
      <c r="L492" s="293">
        <v>15</v>
      </c>
      <c r="M492" s="294" t="str">
        <f t="shared" si="4"/>
        <v>new</v>
      </c>
      <c r="N492" s="293">
        <f>LEN(Tableau13[[#This Row],[LABEL]])</f>
        <v>11</v>
      </c>
      <c r="O492" s="293">
        <v>15</v>
      </c>
      <c r="P492" s="293" t="e">
        <f>ROUND(Tableau13[[#This Row],[LEN]]*#REF!+#REF!,0)</f>
        <v>#REF!</v>
      </c>
    </row>
    <row r="493" spans="1:16" s="97" customFormat="1" x14ac:dyDescent="0.25">
      <c r="A493" s="220" t="s">
        <v>1346</v>
      </c>
      <c r="B493" s="221" t="s">
        <v>263</v>
      </c>
      <c r="C493" s="222" t="s">
        <v>1355</v>
      </c>
      <c r="D493" s="70" t="s">
        <v>28</v>
      </c>
      <c r="E493" s="229" t="s">
        <v>677</v>
      </c>
      <c r="F493" s="215" t="s">
        <v>1177</v>
      </c>
      <c r="G493" s="70" t="s">
        <v>166</v>
      </c>
      <c r="H493" s="223" t="s">
        <v>655</v>
      </c>
      <c r="I493" s="222"/>
      <c r="J493" s="224" t="s">
        <v>708</v>
      </c>
      <c r="K493" s="225">
        <f>ROUND(Tableau13[[#This Row],[LEN]]*7.27,0)</f>
        <v>233</v>
      </c>
      <c r="L493" s="225">
        <v>15</v>
      </c>
      <c r="M493" s="226" t="str">
        <f t="shared" si="4"/>
        <v>none</v>
      </c>
      <c r="N493" s="225">
        <f>LEN(Tableau13[[#This Row],[LABEL]])</f>
        <v>32</v>
      </c>
      <c r="O493" s="225">
        <v>15</v>
      </c>
      <c r="P493" s="225" t="e">
        <f>ROUND(Tableau13[[#This Row],[LEN]]*#REF!+#REF!,0)</f>
        <v>#REF!</v>
      </c>
    </row>
    <row r="494" spans="1:16" s="97" customFormat="1" x14ac:dyDescent="0.25">
      <c r="A494" s="29" t="s">
        <v>1363</v>
      </c>
      <c r="B494" s="30" t="s">
        <v>1346</v>
      </c>
      <c r="C494" s="31" t="s">
        <v>1368</v>
      </c>
      <c r="D494" s="71" t="s">
        <v>28</v>
      </c>
      <c r="E494" s="31" t="s">
        <v>677</v>
      </c>
      <c r="F494" s="31" t="s">
        <v>1177</v>
      </c>
      <c r="G494" s="71" t="s">
        <v>166</v>
      </c>
      <c r="H494" s="71" t="s">
        <v>654</v>
      </c>
      <c r="I494" s="31"/>
      <c r="J494" s="32" t="s">
        <v>708</v>
      </c>
      <c r="K494" s="111">
        <f>ROUND(Tableau13[[#This Row],[LEN]]*7.27,0)</f>
        <v>109</v>
      </c>
      <c r="L494" s="111">
        <v>15</v>
      </c>
      <c r="M494" s="128" t="str">
        <f t="shared" si="4"/>
        <v>none</v>
      </c>
      <c r="N494" s="111">
        <f>LEN(Tableau13[[#This Row],[LABEL]])</f>
        <v>15</v>
      </c>
      <c r="O494" s="111">
        <v>15</v>
      </c>
      <c r="P494" s="111" t="e">
        <f>ROUND(Tableau13[[#This Row],[LEN]]*#REF!+#REF!,0)</f>
        <v>#REF!</v>
      </c>
    </row>
    <row r="495" spans="1:16" s="97" customFormat="1" x14ac:dyDescent="0.25">
      <c r="A495" s="29" t="s">
        <v>1364</v>
      </c>
      <c r="B495" s="30" t="s">
        <v>1346</v>
      </c>
      <c r="C495" s="31" t="s">
        <v>1369</v>
      </c>
      <c r="D495" s="71" t="s">
        <v>28</v>
      </c>
      <c r="E495" s="31" t="s">
        <v>677</v>
      </c>
      <c r="F495" s="31" t="s">
        <v>1177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ROUND(Tableau13[[#This Row],[LEN]]*7.27,0)</f>
        <v>153</v>
      </c>
      <c r="L495" s="111">
        <v>15</v>
      </c>
      <c r="M495" s="128" t="str">
        <f t="shared" si="4"/>
        <v>none</v>
      </c>
      <c r="N495" s="111">
        <f>LEN(Tableau13[[#This Row],[LABEL]])</f>
        <v>21</v>
      </c>
      <c r="O495" s="111">
        <v>15</v>
      </c>
      <c r="P495" s="111" t="e">
        <f>ROUND(Tableau13[[#This Row],[LEN]]*#REF!+#REF!,0)</f>
        <v>#REF!</v>
      </c>
    </row>
    <row r="496" spans="1:16" s="97" customFormat="1" x14ac:dyDescent="0.25">
      <c r="A496" s="29" t="s">
        <v>1365</v>
      </c>
      <c r="B496" s="30" t="s">
        <v>1346</v>
      </c>
      <c r="C496" s="31" t="s">
        <v>1370</v>
      </c>
      <c r="D496" s="71" t="s">
        <v>28</v>
      </c>
      <c r="E496" s="31" t="s">
        <v>677</v>
      </c>
      <c r="F496" s="31" t="s">
        <v>1177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ROUND(Tableau13[[#This Row],[LEN]]*7.27,0)</f>
        <v>51</v>
      </c>
      <c r="L496" s="111">
        <v>15</v>
      </c>
      <c r="M496" s="128" t="str">
        <f t="shared" si="4"/>
        <v>none</v>
      </c>
      <c r="N496" s="111">
        <f>LEN(Tableau13[[#This Row],[LABEL]])</f>
        <v>7</v>
      </c>
      <c r="O496" s="111">
        <v>15</v>
      </c>
      <c r="P496" s="111" t="e">
        <f>ROUND(Tableau13[[#This Row],[LEN]]*#REF!+#REF!,0)</f>
        <v>#REF!</v>
      </c>
    </row>
    <row r="497" spans="1:16" s="97" customFormat="1" x14ac:dyDescent="0.25">
      <c r="A497" s="29" t="s">
        <v>1366</v>
      </c>
      <c r="B497" s="30" t="s">
        <v>1346</v>
      </c>
      <c r="C497" s="31" t="s">
        <v>1371</v>
      </c>
      <c r="D497" s="71" t="s">
        <v>28</v>
      </c>
      <c r="E497" s="31" t="s">
        <v>677</v>
      </c>
      <c r="F497" s="31" t="s">
        <v>1177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ROUND(Tableau13[[#This Row],[LEN]]*7.27,0)</f>
        <v>131</v>
      </c>
      <c r="L497" s="111">
        <v>15</v>
      </c>
      <c r="M497" s="128" t="str">
        <f t="shared" si="4"/>
        <v>none</v>
      </c>
      <c r="N497" s="111">
        <f>LEN(Tableau13[[#This Row],[LABEL]])</f>
        <v>18</v>
      </c>
      <c r="O497" s="111">
        <v>15</v>
      </c>
      <c r="P497" s="111" t="e">
        <f>ROUND(Tableau13[[#This Row],[LEN]]*#REF!+#REF!,0)</f>
        <v>#REF!</v>
      </c>
    </row>
    <row r="498" spans="1:16" s="97" customFormat="1" x14ac:dyDescent="0.25">
      <c r="A498" s="29" t="s">
        <v>1367</v>
      </c>
      <c r="B498" s="30" t="s">
        <v>1346</v>
      </c>
      <c r="C498" s="31" t="s">
        <v>1372</v>
      </c>
      <c r="D498" s="71" t="s">
        <v>28</v>
      </c>
      <c r="E498" s="31" t="s">
        <v>677</v>
      </c>
      <c r="F498" s="31" t="s">
        <v>1177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ROUND(Tableau13[[#This Row],[LEN]]*7.27,0)</f>
        <v>80</v>
      </c>
      <c r="L498" s="111">
        <v>15</v>
      </c>
      <c r="M498" s="128" t="str">
        <f t="shared" si="4"/>
        <v>none</v>
      </c>
      <c r="N498" s="111">
        <f>LEN(Tableau13[[#This Row],[LABEL]])</f>
        <v>11</v>
      </c>
      <c r="O498" s="111">
        <v>15</v>
      </c>
      <c r="P498" s="111" t="e">
        <f>ROUND(Tableau13[[#This Row],[LEN]]*#REF!+#REF!,0)</f>
        <v>#REF!</v>
      </c>
    </row>
    <row r="499" spans="1:16" s="97" customFormat="1" x14ac:dyDescent="0.25">
      <c r="A499" s="220" t="s">
        <v>1347</v>
      </c>
      <c r="B499" s="221" t="s">
        <v>263</v>
      </c>
      <c r="C499" s="222" t="s">
        <v>1337</v>
      </c>
      <c r="D499" s="70" t="s">
        <v>1338</v>
      </c>
      <c r="E499" s="229" t="s">
        <v>676</v>
      </c>
      <c r="F499" s="215" t="s">
        <v>1339</v>
      </c>
      <c r="G499" s="70" t="s">
        <v>166</v>
      </c>
      <c r="H499" s="223" t="s">
        <v>656</v>
      </c>
      <c r="I499" s="222"/>
      <c r="J499" s="224" t="s">
        <v>708</v>
      </c>
      <c r="K499" s="225">
        <f>ROUND(Tableau13[[#This Row],[LEN]]*7.27,0)</f>
        <v>378</v>
      </c>
      <c r="L499" s="225">
        <v>15</v>
      </c>
      <c r="M499" s="226" t="str">
        <f t="shared" si="4"/>
        <v>none</v>
      </c>
      <c r="N499" s="225">
        <f>LEN(Tableau13[[#This Row],[LABEL]])</f>
        <v>52</v>
      </c>
      <c r="O499" s="225">
        <v>15</v>
      </c>
      <c r="P499" s="225" t="e">
        <f>ROUND(Tableau13[[#This Row],[LEN]]*#REF!+#REF!,0)</f>
        <v>#REF!</v>
      </c>
    </row>
    <row r="500" spans="1:16" s="97" customFormat="1" x14ac:dyDescent="0.25">
      <c r="A500" s="220" t="s">
        <v>1348</v>
      </c>
      <c r="B500" s="221" t="s">
        <v>263</v>
      </c>
      <c r="C500" s="222" t="s">
        <v>88</v>
      </c>
      <c r="D500" s="70" t="s">
        <v>28</v>
      </c>
      <c r="E500" s="229" t="s">
        <v>667</v>
      </c>
      <c r="F500" s="215" t="s">
        <v>1218</v>
      </c>
      <c r="G500" s="70" t="s">
        <v>166</v>
      </c>
      <c r="H500" s="223" t="s">
        <v>570</v>
      </c>
      <c r="I500" s="222"/>
      <c r="J500" s="224" t="s">
        <v>708</v>
      </c>
      <c r="K500" s="225">
        <f>ROUND(Tableau13[[#This Row],[LEN]]*7.27,0)</f>
        <v>342</v>
      </c>
      <c r="L500" s="225">
        <v>15</v>
      </c>
      <c r="M500" s="226" t="str">
        <f t="shared" si="4"/>
        <v>none</v>
      </c>
      <c r="N500" s="225">
        <f>LEN(Tableau13[[#This Row],[LABEL]])</f>
        <v>47</v>
      </c>
      <c r="O500" s="225">
        <v>15</v>
      </c>
      <c r="P500" s="225" t="e">
        <f>ROUND(Tableau13[[#This Row],[LEN]]*#REF!+#REF!,0)</f>
        <v>#REF!</v>
      </c>
    </row>
    <row r="501" spans="1:16" s="97" customFormat="1" x14ac:dyDescent="0.25">
      <c r="A501" s="220" t="s">
        <v>1349</v>
      </c>
      <c r="B501" s="221" t="s">
        <v>263</v>
      </c>
      <c r="C501" s="222" t="s">
        <v>142</v>
      </c>
      <c r="D501" s="70" t="s">
        <v>28</v>
      </c>
      <c r="E501" s="229" t="s">
        <v>669</v>
      </c>
      <c r="F501" s="215" t="s">
        <v>1356</v>
      </c>
      <c r="G501" s="70" t="s">
        <v>166</v>
      </c>
      <c r="H501" s="223" t="s">
        <v>655</v>
      </c>
      <c r="I501" s="222"/>
      <c r="J501" s="224" t="s">
        <v>708</v>
      </c>
      <c r="K501" s="225">
        <f>ROUND(Tableau13[[#This Row],[LEN]]*7.27,0)</f>
        <v>109</v>
      </c>
      <c r="L501" s="225">
        <v>15</v>
      </c>
      <c r="M501" s="226" t="str">
        <f t="shared" si="4"/>
        <v>none</v>
      </c>
      <c r="N501" s="225">
        <f>LEN(Tableau13[[#This Row],[LABEL]])</f>
        <v>15</v>
      </c>
      <c r="O501" s="225">
        <v>15</v>
      </c>
      <c r="P501" s="225" t="e">
        <f>ROUND(Tableau13[[#This Row],[LEN]]*#REF!+#REF!,0)</f>
        <v>#REF!</v>
      </c>
    </row>
    <row r="502" spans="1:16" s="97" customFormat="1" x14ac:dyDescent="0.25">
      <c r="A502" s="220" t="s">
        <v>1350</v>
      </c>
      <c r="B502" s="221" t="s">
        <v>263</v>
      </c>
      <c r="C502" s="222" t="s">
        <v>1357</v>
      </c>
      <c r="D502" s="70" t="s">
        <v>28</v>
      </c>
      <c r="E502" s="229" t="s">
        <v>673</v>
      </c>
      <c r="F502" s="215" t="s">
        <v>1249</v>
      </c>
      <c r="G502" s="70" t="s">
        <v>166</v>
      </c>
      <c r="H502" s="223" t="s">
        <v>655</v>
      </c>
      <c r="I502" s="222"/>
      <c r="J502" s="224" t="s">
        <v>708</v>
      </c>
      <c r="K502" s="225">
        <f>ROUND(Tableau13[[#This Row],[LEN]]*7.27,0)</f>
        <v>298</v>
      </c>
      <c r="L502" s="225">
        <v>15</v>
      </c>
      <c r="M502" s="226" t="str">
        <f t="shared" si="4"/>
        <v>none</v>
      </c>
      <c r="N502" s="225">
        <f>LEN(Tableau13[[#This Row],[LABEL]])</f>
        <v>41</v>
      </c>
      <c r="O502" s="225">
        <v>15</v>
      </c>
      <c r="P502" s="225" t="e">
        <f>ROUND(Tableau13[[#This Row],[LEN]]*#REF!+#REF!,0)</f>
        <v>#REF!</v>
      </c>
    </row>
    <row r="503" spans="1:16" s="97" customFormat="1" x14ac:dyDescent="0.25">
      <c r="A503" s="220" t="s">
        <v>1351</v>
      </c>
      <c r="B503" s="221" t="s">
        <v>263</v>
      </c>
      <c r="C503" s="222" t="s">
        <v>1343</v>
      </c>
      <c r="D503" s="70" t="s">
        <v>28</v>
      </c>
      <c r="E503" s="229" t="s">
        <v>676</v>
      </c>
      <c r="F503" s="215" t="s">
        <v>677</v>
      </c>
      <c r="G503" s="70" t="s">
        <v>166</v>
      </c>
      <c r="H503" s="223" t="s">
        <v>654</v>
      </c>
      <c r="I503" s="222"/>
      <c r="J503" s="224" t="s">
        <v>708</v>
      </c>
      <c r="K503" s="225">
        <f>ROUND(Tableau13[[#This Row],[LEN]]*7.27,0)</f>
        <v>269</v>
      </c>
      <c r="L503" s="225">
        <v>15</v>
      </c>
      <c r="M503" s="226" t="str">
        <f t="shared" si="4"/>
        <v>none</v>
      </c>
      <c r="N503" s="225">
        <f>LEN(Tableau13[[#This Row],[LABEL]])</f>
        <v>37</v>
      </c>
      <c r="O503" s="225">
        <v>15</v>
      </c>
      <c r="P503" s="225" t="e">
        <f>ROUND(Tableau13[[#This Row],[LEN]]*#REF!+#REF!,0)</f>
        <v>#REF!</v>
      </c>
    </row>
    <row r="504" spans="1:16" s="97" customFormat="1" x14ac:dyDescent="0.25">
      <c r="A504" s="220" t="s">
        <v>1352</v>
      </c>
      <c r="B504" s="221" t="s">
        <v>263</v>
      </c>
      <c r="C504" s="222" t="s">
        <v>778</v>
      </c>
      <c r="D504" s="70" t="s">
        <v>28</v>
      </c>
      <c r="E504" s="229" t="s">
        <v>673</v>
      </c>
      <c r="F504" s="215" t="s">
        <v>785</v>
      </c>
      <c r="G504" s="70" t="s">
        <v>166</v>
      </c>
      <c r="H504" s="223" t="s">
        <v>17</v>
      </c>
      <c r="I504" s="222"/>
      <c r="J504" s="224" t="s">
        <v>708</v>
      </c>
      <c r="K504" s="225">
        <f>ROUND(Tableau13[[#This Row],[LEN]]*7.27,0)</f>
        <v>211</v>
      </c>
      <c r="L504" s="225">
        <v>15</v>
      </c>
      <c r="M504" s="226" t="str">
        <f t="shared" si="4"/>
        <v>none</v>
      </c>
      <c r="N504" s="225">
        <f>LEN(Tableau13[[#This Row],[LABEL]])</f>
        <v>29</v>
      </c>
      <c r="O504" s="225">
        <v>15</v>
      </c>
      <c r="P504" s="225" t="e">
        <f>ROUND(Tableau13[[#This Row],[LEN]]*#REF!+#REF!,0)</f>
        <v>#REF!</v>
      </c>
    </row>
    <row r="505" spans="1:16" s="97" customFormat="1" x14ac:dyDescent="0.25">
      <c r="A505" s="220" t="s">
        <v>1353</v>
      </c>
      <c r="B505" s="221" t="s">
        <v>263</v>
      </c>
      <c r="C505" s="222" t="s">
        <v>91</v>
      </c>
      <c r="D505" s="70" t="s">
        <v>28</v>
      </c>
      <c r="E505" s="229" t="s">
        <v>663</v>
      </c>
      <c r="F505" s="215" t="s">
        <v>786</v>
      </c>
      <c r="G505" s="70" t="s">
        <v>166</v>
      </c>
      <c r="H505" s="223" t="s">
        <v>655</v>
      </c>
      <c r="I505" s="222"/>
      <c r="J505" s="224" t="s">
        <v>708</v>
      </c>
      <c r="K505" s="225">
        <f>ROUND(Tableau13[[#This Row],[LEN]]*7.27,0)</f>
        <v>269</v>
      </c>
      <c r="L505" s="225">
        <v>15</v>
      </c>
      <c r="M505" s="226" t="str">
        <f t="shared" si="4"/>
        <v>none</v>
      </c>
      <c r="N505" s="225">
        <f>LEN(Tableau13[[#This Row],[LABEL]])</f>
        <v>37</v>
      </c>
      <c r="O505" s="225">
        <v>15</v>
      </c>
      <c r="P505" s="225" t="e">
        <f>ROUND(Tableau13[[#This Row],[LEN]]*#REF!+#REF!,0)</f>
        <v>#REF!</v>
      </c>
    </row>
    <row r="506" spans="1:16" s="97" customFormat="1" x14ac:dyDescent="0.25">
      <c r="A506" s="29" t="s">
        <v>1359</v>
      </c>
      <c r="B506" s="30" t="s">
        <v>1353</v>
      </c>
      <c r="C506" s="31" t="s">
        <v>98</v>
      </c>
      <c r="D506" s="71" t="s">
        <v>28</v>
      </c>
      <c r="E506" s="31" t="s">
        <v>663</v>
      </c>
      <c r="F506" s="31" t="s">
        <v>1358</v>
      </c>
      <c r="G506" s="71" t="s">
        <v>166</v>
      </c>
      <c r="H506" s="71" t="s">
        <v>18</v>
      </c>
      <c r="I506" s="31"/>
      <c r="J506" s="32" t="s">
        <v>708</v>
      </c>
      <c r="K506" s="111">
        <f>ROUND(Tableau13[[#This Row],[LEN]]*7.27,0)</f>
        <v>109</v>
      </c>
      <c r="L506" s="111">
        <v>15</v>
      </c>
      <c r="M506" s="128" t="str">
        <f t="shared" si="4"/>
        <v>none</v>
      </c>
      <c r="N506" s="111">
        <f>LEN(Tableau13[[#This Row],[LABEL]])</f>
        <v>15</v>
      </c>
      <c r="O506" s="111">
        <v>15</v>
      </c>
      <c r="P506" s="111" t="e">
        <f>ROUND(Tableau13[[#This Row],[LEN]]*#REF!+#REF!,0)</f>
        <v>#REF!</v>
      </c>
    </row>
    <row r="507" spans="1:16" s="97" customFormat="1" x14ac:dyDescent="0.25">
      <c r="A507" s="29" t="s">
        <v>1360</v>
      </c>
      <c r="B507" s="30" t="s">
        <v>1353</v>
      </c>
      <c r="C507" s="31" t="s">
        <v>99</v>
      </c>
      <c r="D507" s="71" t="s">
        <v>28</v>
      </c>
      <c r="E507" s="31" t="s">
        <v>663</v>
      </c>
      <c r="F507" s="31" t="s">
        <v>1358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ROUND(Tableau13[[#This Row],[LEN]]*7.27,0)</f>
        <v>80</v>
      </c>
      <c r="L507" s="111">
        <v>15</v>
      </c>
      <c r="M507" s="128" t="str">
        <f t="shared" si="4"/>
        <v>none</v>
      </c>
      <c r="N507" s="111">
        <f>LEN(Tableau13[[#This Row],[LABEL]])</f>
        <v>11</v>
      </c>
      <c r="O507" s="111">
        <v>15</v>
      </c>
      <c r="P507" s="111" t="e">
        <f>ROUND(Tableau13[[#This Row],[LEN]]*#REF!+#REF!,0)</f>
        <v>#REF!</v>
      </c>
    </row>
    <row r="508" spans="1:16" s="97" customFormat="1" x14ac:dyDescent="0.25">
      <c r="A508" s="220" t="s">
        <v>1354</v>
      </c>
      <c r="B508" s="221" t="s">
        <v>263</v>
      </c>
      <c r="C508" s="222" t="s">
        <v>1167</v>
      </c>
      <c r="D508" s="70" t="s">
        <v>486</v>
      </c>
      <c r="E508" s="229" t="s">
        <v>1085</v>
      </c>
      <c r="F508" s="215" t="s">
        <v>1084</v>
      </c>
      <c r="G508" s="70" t="s">
        <v>166</v>
      </c>
      <c r="H508" s="223" t="s">
        <v>1131</v>
      </c>
      <c r="I508" s="222"/>
      <c r="J508" s="224" t="s">
        <v>708</v>
      </c>
      <c r="K508" s="225">
        <f>ROUND(Tableau13[[#This Row],[LEN]]*7.27,0)</f>
        <v>196</v>
      </c>
      <c r="L508" s="225">
        <v>15</v>
      </c>
      <c r="M508" s="226" t="str">
        <f t="shared" si="4"/>
        <v>none</v>
      </c>
      <c r="N508" s="225">
        <f>LEN(Tableau13[[#This Row],[LABEL]])</f>
        <v>27</v>
      </c>
      <c r="O508" s="225">
        <v>15</v>
      </c>
      <c r="P508" s="225" t="e">
        <f>ROUND(Tableau13[[#This Row],[LEN]]*#REF!+#REF!,0)</f>
        <v>#REF!</v>
      </c>
    </row>
    <row r="509" spans="1:16" s="97" customFormat="1" x14ac:dyDescent="0.25">
      <c r="A509" s="29" t="s">
        <v>1361</v>
      </c>
      <c r="B509" s="30" t="s">
        <v>1354</v>
      </c>
      <c r="C509" s="31" t="s">
        <v>93</v>
      </c>
      <c r="D509" s="71" t="s">
        <v>28</v>
      </c>
      <c r="E509" s="31" t="s">
        <v>1085</v>
      </c>
      <c r="F509" s="31" t="s">
        <v>1084</v>
      </c>
      <c r="G509" s="71" t="s">
        <v>166</v>
      </c>
      <c r="H509" s="71" t="s">
        <v>18</v>
      </c>
      <c r="I509" s="31"/>
      <c r="J509" s="32" t="s">
        <v>101</v>
      </c>
      <c r="K509" s="111">
        <f>ROUND(Tableau13[[#This Row],[LEN]]*7.27,0)</f>
        <v>109</v>
      </c>
      <c r="L509" s="111">
        <v>15</v>
      </c>
      <c r="M509" s="128" t="str">
        <f t="shared" si="4"/>
        <v>new</v>
      </c>
      <c r="N509" s="111">
        <f>LEN(Tableau13[[#This Row],[LABEL]])</f>
        <v>15</v>
      </c>
      <c r="O509" s="111">
        <v>15</v>
      </c>
      <c r="P509" s="111" t="e">
        <f>ROUND(Tableau13[[#This Row],[LEN]]*#REF!+#REF!,0)</f>
        <v>#REF!</v>
      </c>
    </row>
    <row r="510" spans="1:16" s="97" customFormat="1" x14ac:dyDescent="0.25">
      <c r="A510" s="29" t="s">
        <v>1362</v>
      </c>
      <c r="B510" s="30" t="s">
        <v>1354</v>
      </c>
      <c r="C510" s="31" t="s">
        <v>94</v>
      </c>
      <c r="D510" s="71" t="s">
        <v>28</v>
      </c>
      <c r="E510" s="31" t="s">
        <v>1085</v>
      </c>
      <c r="F510" s="31" t="s">
        <v>1084</v>
      </c>
      <c r="G510" s="71" t="s">
        <v>166</v>
      </c>
      <c r="H510" s="71" t="s">
        <v>18</v>
      </c>
      <c r="I510" s="31"/>
      <c r="J510" s="32" t="s">
        <v>102</v>
      </c>
      <c r="K510" s="111">
        <f>ROUND(Tableau13[[#This Row],[LEN]]*7.27,0)</f>
        <v>58</v>
      </c>
      <c r="L510" s="111">
        <v>15</v>
      </c>
      <c r="M510" s="128" t="str">
        <f t="shared" si="4"/>
        <v>new</v>
      </c>
      <c r="N510" s="111">
        <f>LEN(Tableau13[[#This Row],[LABEL]])</f>
        <v>8</v>
      </c>
      <c r="O510" s="111">
        <v>15</v>
      </c>
      <c r="P510" s="111" t="e">
        <f>ROUND(Tableau13[[#This Row],[LEN]]*#REF!+#REF!,0)</f>
        <v>#REF!</v>
      </c>
    </row>
    <row r="511" spans="1:16" s="273" customFormat="1" x14ac:dyDescent="0.25">
      <c r="A511" s="288" t="s">
        <v>264</v>
      </c>
      <c r="B511" s="289" t="s">
        <v>206</v>
      </c>
      <c r="C511" s="290" t="s">
        <v>14</v>
      </c>
      <c r="D511" s="291" t="s">
        <v>28</v>
      </c>
      <c r="E511" s="290" t="s">
        <v>678</v>
      </c>
      <c r="F511" s="290" t="s">
        <v>678</v>
      </c>
      <c r="G511" s="291" t="s">
        <v>166</v>
      </c>
      <c r="H511" s="291" t="str">
        <f>IFERROR(IF(SEARCH(".00.00.00.00.00",Tableau13[[#This Row],[name]],1)=7,"Division",""),"")</f>
        <v>Division</v>
      </c>
      <c r="I511" s="290"/>
      <c r="J511" s="292" t="s">
        <v>724</v>
      </c>
      <c r="K511" s="293">
        <f>ROUND(Tableau13[[#This Row],[LEN]]*7.27,0)</f>
        <v>240</v>
      </c>
      <c r="L511" s="293">
        <v>15</v>
      </c>
      <c r="M511" s="294" t="str">
        <f t="shared" si="4"/>
        <v>new</v>
      </c>
      <c r="N511" s="293">
        <f>LEN(Tableau13[[#This Row],[LABEL]])</f>
        <v>33</v>
      </c>
      <c r="O511" s="293">
        <v>15</v>
      </c>
      <c r="P511" s="293" t="e">
        <f>ROUND(Tableau13[[#This Row],[LEN]]*#REF!+#REF!,0)</f>
        <v>#REF!</v>
      </c>
    </row>
    <row r="512" spans="1:16" s="97" customFormat="1" x14ac:dyDescent="0.25">
      <c r="A512" s="220" t="s">
        <v>1373</v>
      </c>
      <c r="B512" s="221" t="s">
        <v>264</v>
      </c>
      <c r="C512" s="222" t="s">
        <v>1168</v>
      </c>
      <c r="D512" s="70" t="s">
        <v>28</v>
      </c>
      <c r="E512" s="229" t="s">
        <v>668</v>
      </c>
      <c r="F512" s="215" t="s">
        <v>1178</v>
      </c>
      <c r="G512" s="70" t="s">
        <v>166</v>
      </c>
      <c r="H512" s="223" t="s">
        <v>654</v>
      </c>
      <c r="I512" s="222"/>
      <c r="J512" s="224" t="s">
        <v>708</v>
      </c>
      <c r="K512" s="225">
        <f>ROUND(Tableau13[[#This Row],[LEN]]*7.27,0)</f>
        <v>262</v>
      </c>
      <c r="L512" s="225">
        <v>15</v>
      </c>
      <c r="M512" s="226" t="str">
        <f t="shared" si="4"/>
        <v>none</v>
      </c>
      <c r="N512" s="225">
        <f>LEN(Tableau13[[#This Row],[LABEL]])</f>
        <v>36</v>
      </c>
      <c r="O512" s="225">
        <v>15</v>
      </c>
      <c r="P512" s="225" t="e">
        <f>ROUND(Tableau13[[#This Row],[LEN]]*#REF!+#REF!,0)</f>
        <v>#REF!</v>
      </c>
    </row>
    <row r="513" spans="1:16" s="97" customFormat="1" x14ac:dyDescent="0.25">
      <c r="A513" s="220" t="s">
        <v>1374</v>
      </c>
      <c r="B513" s="221" t="s">
        <v>264</v>
      </c>
      <c r="C513" s="222" t="s">
        <v>1337</v>
      </c>
      <c r="D513" s="70" t="s">
        <v>1338</v>
      </c>
      <c r="E513" s="229" t="s">
        <v>676</v>
      </c>
      <c r="F513" s="215" t="s">
        <v>1339</v>
      </c>
      <c r="G513" s="70" t="s">
        <v>166</v>
      </c>
      <c r="H513" s="223" t="s">
        <v>656</v>
      </c>
      <c r="I513" s="222"/>
      <c r="J513" s="224" t="s">
        <v>708</v>
      </c>
      <c r="K513" s="225">
        <f>ROUND(Tableau13[[#This Row],[LEN]]*7.27,0)</f>
        <v>378</v>
      </c>
      <c r="L513" s="225">
        <v>15</v>
      </c>
      <c r="M513" s="226" t="str">
        <f t="shared" si="4"/>
        <v>none</v>
      </c>
      <c r="N513" s="225">
        <f>LEN(Tableau13[[#This Row],[LABEL]])</f>
        <v>52</v>
      </c>
      <c r="O513" s="225">
        <v>15</v>
      </c>
      <c r="P513" s="225" t="e">
        <f>ROUND(Tableau13[[#This Row],[LEN]]*#REF!+#REF!,0)</f>
        <v>#REF!</v>
      </c>
    </row>
    <row r="514" spans="1:16" s="97" customFormat="1" x14ac:dyDescent="0.25">
      <c r="A514" s="220" t="s">
        <v>1375</v>
      </c>
      <c r="B514" s="221" t="s">
        <v>264</v>
      </c>
      <c r="C514" s="222" t="s">
        <v>138</v>
      </c>
      <c r="D514" s="70" t="s">
        <v>28</v>
      </c>
      <c r="E514" s="229" t="s">
        <v>669</v>
      </c>
      <c r="F514" s="215" t="s">
        <v>678</v>
      </c>
      <c r="G514" s="70" t="s">
        <v>166</v>
      </c>
      <c r="H514" s="223" t="s">
        <v>655</v>
      </c>
      <c r="I514" s="222"/>
      <c r="J514" s="224" t="s">
        <v>708</v>
      </c>
      <c r="K514" s="225">
        <f>ROUND(Tableau13[[#This Row],[LEN]]*7.27,0)</f>
        <v>225</v>
      </c>
      <c r="L514" s="225">
        <v>15</v>
      </c>
      <c r="M514" s="226" t="str">
        <f t="shared" si="4"/>
        <v>none</v>
      </c>
      <c r="N514" s="225">
        <f>LEN(Tableau13[[#This Row],[LABEL]])</f>
        <v>31</v>
      </c>
      <c r="O514" s="225">
        <v>15</v>
      </c>
      <c r="P514" s="225" t="e">
        <f>ROUND(Tableau13[[#This Row],[LEN]]*#REF!+#REF!,0)</f>
        <v>#REF!</v>
      </c>
    </row>
    <row r="515" spans="1:16" s="97" customFormat="1" x14ac:dyDescent="0.25">
      <c r="A515" s="29" t="s">
        <v>1392</v>
      </c>
      <c r="B515" s="30" t="s">
        <v>1375</v>
      </c>
      <c r="C515" s="31" t="s">
        <v>139</v>
      </c>
      <c r="D515" s="71" t="s">
        <v>28</v>
      </c>
      <c r="E515" s="31" t="s">
        <v>669</v>
      </c>
      <c r="F515" s="31" t="s">
        <v>678</v>
      </c>
      <c r="G515" s="71" t="s">
        <v>166</v>
      </c>
      <c r="H515" s="71" t="s">
        <v>654</v>
      </c>
      <c r="I515" s="31"/>
      <c r="J515" s="32" t="s">
        <v>708</v>
      </c>
      <c r="K515" s="111">
        <f>ROUND(Tableau13[[#This Row],[LEN]]*7.27,0)</f>
        <v>327</v>
      </c>
      <c r="L515" s="111">
        <v>15</v>
      </c>
      <c r="M515" s="128" t="str">
        <f t="shared" si="4"/>
        <v>none</v>
      </c>
      <c r="N515" s="111">
        <f>LEN(Tableau13[[#This Row],[LABEL]])</f>
        <v>45</v>
      </c>
      <c r="O515" s="111">
        <v>15</v>
      </c>
      <c r="P515" s="111" t="e">
        <f>ROUND(Tableau13[[#This Row],[LEN]]*#REF!+#REF!,0)</f>
        <v>#REF!</v>
      </c>
    </row>
    <row r="516" spans="1:16" s="97" customFormat="1" x14ac:dyDescent="0.25">
      <c r="A516" s="29" t="s">
        <v>1393</v>
      </c>
      <c r="B516" s="30" t="s">
        <v>1375</v>
      </c>
      <c r="C516" s="31" t="s">
        <v>140</v>
      </c>
      <c r="D516" s="71" t="s">
        <v>28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ROUND(Tableau13[[#This Row],[LEN]]*7.27,0)</f>
        <v>385</v>
      </c>
      <c r="L516" s="111">
        <v>15</v>
      </c>
      <c r="M516" s="128" t="str">
        <f t="shared" si="4"/>
        <v>none</v>
      </c>
      <c r="N516" s="111">
        <f>LEN(Tableau13[[#This Row],[LABEL]])</f>
        <v>53</v>
      </c>
      <c r="O516" s="111">
        <v>15</v>
      </c>
      <c r="P516" s="111" t="e">
        <f>ROUND(Tableau13[[#This Row],[LEN]]*#REF!+#REF!,0)</f>
        <v>#REF!</v>
      </c>
    </row>
    <row r="517" spans="1:16" s="97" customFormat="1" x14ac:dyDescent="0.25">
      <c r="A517" s="29" t="s">
        <v>1394</v>
      </c>
      <c r="B517" s="30" t="s">
        <v>1375</v>
      </c>
      <c r="C517" s="31" t="s">
        <v>141</v>
      </c>
      <c r="D517" s="71" t="s">
        <v>28</v>
      </c>
      <c r="E517" s="31" t="s">
        <v>669</v>
      </c>
      <c r="F517" s="31" t="s">
        <v>678</v>
      </c>
      <c r="G517" s="71" t="s">
        <v>166</v>
      </c>
      <c r="H517" s="71" t="s">
        <v>17</v>
      </c>
      <c r="I517" s="31"/>
      <c r="J517" s="32" t="s">
        <v>708</v>
      </c>
      <c r="K517" s="111">
        <f>ROUND(Tableau13[[#This Row],[LEN]]*7.27,0)</f>
        <v>313</v>
      </c>
      <c r="L517" s="111">
        <v>15</v>
      </c>
      <c r="M517" s="128" t="str">
        <f t="shared" si="4"/>
        <v>none</v>
      </c>
      <c r="N517" s="111">
        <f>LEN(Tableau13[[#This Row],[LABEL]])</f>
        <v>43</v>
      </c>
      <c r="O517" s="111">
        <v>15</v>
      </c>
      <c r="P517" s="111" t="e">
        <f>ROUND(Tableau13[[#This Row],[LEN]]*#REF!+#REF!,0)</f>
        <v>#REF!</v>
      </c>
    </row>
    <row r="518" spans="1:16" s="97" customFormat="1" x14ac:dyDescent="0.25">
      <c r="A518" s="220" t="s">
        <v>1376</v>
      </c>
      <c r="B518" s="221" t="s">
        <v>264</v>
      </c>
      <c r="C518" s="222" t="s">
        <v>483</v>
      </c>
      <c r="D518" s="70" t="s">
        <v>28</v>
      </c>
      <c r="E518" s="229" t="s">
        <v>672</v>
      </c>
      <c r="F518" s="215" t="s">
        <v>1395</v>
      </c>
      <c r="G518" s="70" t="s">
        <v>166</v>
      </c>
      <c r="H518" s="223" t="s">
        <v>655</v>
      </c>
      <c r="I518" s="222"/>
      <c r="J518" s="224" t="s">
        <v>708</v>
      </c>
      <c r="K518" s="225">
        <f>ROUND(Tableau13[[#This Row],[LEN]]*7.27,0)</f>
        <v>247</v>
      </c>
      <c r="L518" s="225">
        <v>15</v>
      </c>
      <c r="M518" s="226" t="str">
        <f t="shared" si="4"/>
        <v>none</v>
      </c>
      <c r="N518" s="225">
        <f>LEN(Tableau13[[#This Row],[LABEL]])</f>
        <v>34</v>
      </c>
      <c r="O518" s="225">
        <v>15</v>
      </c>
      <c r="P518" s="225" t="e">
        <f>ROUND(Tableau13[[#This Row],[LEN]]*#REF!+#REF!,0)</f>
        <v>#REF!</v>
      </c>
    </row>
    <row r="519" spans="1:16" s="97" customFormat="1" x14ac:dyDescent="0.25">
      <c r="A519" s="29" t="s">
        <v>1396</v>
      </c>
      <c r="B519" s="30" t="s">
        <v>1376</v>
      </c>
      <c r="C519" s="31" t="s">
        <v>498</v>
      </c>
      <c r="D519" s="71" t="s">
        <v>28</v>
      </c>
      <c r="E519" s="31" t="s">
        <v>672</v>
      </c>
      <c r="F519" s="31" t="s">
        <v>1395</v>
      </c>
      <c r="G519" s="71" t="s">
        <v>166</v>
      </c>
      <c r="H519" s="71" t="s">
        <v>656</v>
      </c>
      <c r="I519" s="31"/>
      <c r="J519" s="32" t="s">
        <v>708</v>
      </c>
      <c r="K519" s="111">
        <f>ROUND(Tableau13[[#This Row],[LEN]]*7.27,0)</f>
        <v>349</v>
      </c>
      <c r="L519" s="111">
        <v>15</v>
      </c>
      <c r="M519" s="128" t="str">
        <f t="shared" si="4"/>
        <v>none</v>
      </c>
      <c r="N519" s="111">
        <f>LEN(Tableau13[[#This Row],[LABEL]])</f>
        <v>48</v>
      </c>
      <c r="O519" s="111">
        <v>15</v>
      </c>
      <c r="P519" s="111" t="e">
        <f>ROUND(Tableau13[[#This Row],[LEN]]*#REF!+#REF!,0)</f>
        <v>#REF!</v>
      </c>
    </row>
    <row r="520" spans="1:16" s="97" customFormat="1" x14ac:dyDescent="0.25">
      <c r="A520" s="29" t="s">
        <v>1397</v>
      </c>
      <c r="B520" s="30" t="s">
        <v>1376</v>
      </c>
      <c r="C520" s="31" t="s">
        <v>499</v>
      </c>
      <c r="D520" s="71" t="s">
        <v>28</v>
      </c>
      <c r="E520" s="31" t="s">
        <v>672</v>
      </c>
      <c r="F520" s="31" t="s">
        <v>1395</v>
      </c>
      <c r="G520" s="71" t="s">
        <v>166</v>
      </c>
      <c r="H520" s="71" t="s">
        <v>570</v>
      </c>
      <c r="I520" s="31"/>
      <c r="J520" s="32" t="s">
        <v>708</v>
      </c>
      <c r="K520" s="111">
        <f>ROUND(Tableau13[[#This Row],[LEN]]*7.27,0)</f>
        <v>225</v>
      </c>
      <c r="L520" s="111">
        <v>15</v>
      </c>
      <c r="M520" s="128" t="str">
        <f t="shared" si="4"/>
        <v>none</v>
      </c>
      <c r="N520" s="111">
        <f>LEN(Tableau13[[#This Row],[LABEL]])</f>
        <v>31</v>
      </c>
      <c r="O520" s="111">
        <v>15</v>
      </c>
      <c r="P520" s="111" t="e">
        <f>ROUND(Tableau13[[#This Row],[LEN]]*#REF!+#REF!,0)</f>
        <v>#REF!</v>
      </c>
    </row>
    <row r="521" spans="1:16" s="97" customFormat="1" x14ac:dyDescent="0.25">
      <c r="A521" s="29" t="s">
        <v>1398</v>
      </c>
      <c r="B521" s="30" t="s">
        <v>1376</v>
      </c>
      <c r="C521" s="31" t="s">
        <v>500</v>
      </c>
      <c r="D521" s="71" t="s">
        <v>28</v>
      </c>
      <c r="E521" s="31" t="s">
        <v>672</v>
      </c>
      <c r="F521" s="31" t="s">
        <v>1395</v>
      </c>
      <c r="G521" s="71" t="s">
        <v>166</v>
      </c>
      <c r="H521" s="71" t="s">
        <v>656</v>
      </c>
      <c r="I521" s="31"/>
      <c r="J521" s="32" t="s">
        <v>708</v>
      </c>
      <c r="K521" s="111">
        <f>ROUND(Tableau13[[#This Row],[LEN]]*7.27,0)</f>
        <v>254</v>
      </c>
      <c r="L521" s="111">
        <v>15</v>
      </c>
      <c r="M521" s="128" t="str">
        <f t="shared" si="4"/>
        <v>none</v>
      </c>
      <c r="N521" s="111">
        <f>LEN(Tableau13[[#This Row],[LABEL]])</f>
        <v>35</v>
      </c>
      <c r="O521" s="111">
        <v>15</v>
      </c>
      <c r="P521" s="111" t="e">
        <f>ROUND(Tableau13[[#This Row],[LEN]]*#REF!+#REF!,0)</f>
        <v>#REF!</v>
      </c>
    </row>
    <row r="522" spans="1:16" s="97" customFormat="1" x14ac:dyDescent="0.25">
      <c r="A522" s="29" t="s">
        <v>1399</v>
      </c>
      <c r="B522" s="30" t="s">
        <v>1376</v>
      </c>
      <c r="C522" s="31" t="s">
        <v>501</v>
      </c>
      <c r="D522" s="71" t="s">
        <v>28</v>
      </c>
      <c r="E522" s="31" t="s">
        <v>672</v>
      </c>
      <c r="F522" s="31" t="s">
        <v>1395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ROUND(Tableau13[[#This Row],[LEN]]*7.27,0)</f>
        <v>313</v>
      </c>
      <c r="L522" s="111">
        <v>15</v>
      </c>
      <c r="M522" s="128" t="str">
        <f t="shared" si="4"/>
        <v>none</v>
      </c>
      <c r="N522" s="111">
        <f>LEN(Tableau13[[#This Row],[LABEL]])</f>
        <v>43</v>
      </c>
      <c r="O522" s="111">
        <v>15</v>
      </c>
      <c r="P522" s="111" t="e">
        <f>ROUND(Tableau13[[#This Row],[LEN]]*#REF!+#REF!,0)</f>
        <v>#REF!</v>
      </c>
    </row>
    <row r="523" spans="1:16" s="97" customFormat="1" x14ac:dyDescent="0.25">
      <c r="A523" s="29" t="s">
        <v>1400</v>
      </c>
      <c r="B523" s="30" t="s">
        <v>1376</v>
      </c>
      <c r="C523" s="31" t="s">
        <v>502</v>
      </c>
      <c r="D523" s="71" t="s">
        <v>28</v>
      </c>
      <c r="E523" s="31" t="s">
        <v>672</v>
      </c>
      <c r="F523" s="31" t="s">
        <v>1395</v>
      </c>
      <c r="G523" s="71" t="s">
        <v>166</v>
      </c>
      <c r="H523" s="71" t="s">
        <v>654</v>
      </c>
      <c r="I523" s="31"/>
      <c r="J523" s="32" t="s">
        <v>708</v>
      </c>
      <c r="K523" s="111">
        <f>ROUND(Tableau13[[#This Row],[LEN]]*7.27,0)</f>
        <v>247</v>
      </c>
      <c r="L523" s="111">
        <v>15</v>
      </c>
      <c r="M523" s="128" t="str">
        <f t="shared" si="4"/>
        <v>none</v>
      </c>
      <c r="N523" s="111">
        <f>LEN(Tableau13[[#This Row],[LABEL]])</f>
        <v>34</v>
      </c>
      <c r="O523" s="111">
        <v>15</v>
      </c>
      <c r="P523" s="111" t="e">
        <f>ROUND(Tableau13[[#This Row],[LEN]]*#REF!+#REF!,0)</f>
        <v>#REF!</v>
      </c>
    </row>
    <row r="524" spans="1:16" s="97" customFormat="1" x14ac:dyDescent="0.25">
      <c r="A524" s="29" t="s">
        <v>1401</v>
      </c>
      <c r="B524" s="30" t="s">
        <v>1376</v>
      </c>
      <c r="C524" s="31" t="s">
        <v>503</v>
      </c>
      <c r="D524" s="71" t="s">
        <v>28</v>
      </c>
      <c r="E524" s="31" t="s">
        <v>672</v>
      </c>
      <c r="F524" s="31" t="s">
        <v>1395</v>
      </c>
      <c r="G524" s="71" t="s">
        <v>166</v>
      </c>
      <c r="H524" s="71" t="s">
        <v>656</v>
      </c>
      <c r="I524" s="31"/>
      <c r="J524" s="32" t="s">
        <v>708</v>
      </c>
      <c r="K524" s="111">
        <f>ROUND(Tableau13[[#This Row],[LEN]]*7.27,0)</f>
        <v>371</v>
      </c>
      <c r="L524" s="111">
        <v>15</v>
      </c>
      <c r="M524" s="128" t="str">
        <f t="shared" si="4"/>
        <v>none</v>
      </c>
      <c r="N524" s="111">
        <f>LEN(Tableau13[[#This Row],[LABEL]])</f>
        <v>51</v>
      </c>
      <c r="O524" s="111">
        <v>15</v>
      </c>
      <c r="P524" s="111" t="e">
        <f>ROUND(Tableau13[[#This Row],[LEN]]*#REF!+#REF!,0)</f>
        <v>#REF!</v>
      </c>
    </row>
    <row r="525" spans="1:16" s="97" customFormat="1" x14ac:dyDescent="0.25">
      <c r="A525" s="220" t="s">
        <v>1377</v>
      </c>
      <c r="B525" s="221" t="s">
        <v>264</v>
      </c>
      <c r="C525" s="222" t="s">
        <v>88</v>
      </c>
      <c r="D525" s="70" t="s">
        <v>28</v>
      </c>
      <c r="E525" s="229" t="s">
        <v>667</v>
      </c>
      <c r="F525" s="215" t="s">
        <v>1218</v>
      </c>
      <c r="G525" s="70" t="s">
        <v>166</v>
      </c>
      <c r="H525" s="223" t="s">
        <v>570</v>
      </c>
      <c r="I525" s="222"/>
      <c r="J525" s="224" t="s">
        <v>708</v>
      </c>
      <c r="K525" s="225">
        <f>ROUND(Tableau13[[#This Row],[LEN]]*7.27,0)</f>
        <v>342</v>
      </c>
      <c r="L525" s="225">
        <v>15</v>
      </c>
      <c r="M525" s="226" t="str">
        <f t="shared" si="4"/>
        <v>none</v>
      </c>
      <c r="N525" s="225">
        <f>LEN(Tableau13[[#This Row],[LABEL]])</f>
        <v>47</v>
      </c>
      <c r="O525" s="225">
        <v>15</v>
      </c>
      <c r="P525" s="225" t="e">
        <f>ROUND(Tableau13[[#This Row],[LEN]]*#REF!+#REF!,0)</f>
        <v>#REF!</v>
      </c>
    </row>
    <row r="526" spans="1:16" s="97" customFormat="1" x14ac:dyDescent="0.25">
      <c r="A526" s="220" t="s">
        <v>1378</v>
      </c>
      <c r="B526" s="221" t="s">
        <v>264</v>
      </c>
      <c r="C526" s="222" t="s">
        <v>484</v>
      </c>
      <c r="D526" s="70" t="s">
        <v>28</v>
      </c>
      <c r="E526" s="229" t="s">
        <v>672</v>
      </c>
      <c r="F526" s="215" t="s">
        <v>1285</v>
      </c>
      <c r="G526" s="70" t="s">
        <v>166</v>
      </c>
      <c r="H526" s="223" t="s">
        <v>655</v>
      </c>
      <c r="I526" s="222"/>
      <c r="J526" s="224" t="s">
        <v>727</v>
      </c>
      <c r="K526" s="225">
        <f>ROUND(Tableau13[[#This Row],[LEN]]*7.27,0)</f>
        <v>80</v>
      </c>
      <c r="L526" s="225">
        <v>15</v>
      </c>
      <c r="M526" s="226" t="str">
        <f t="shared" si="4"/>
        <v>new</v>
      </c>
      <c r="N526" s="225">
        <f>LEN(Tableau13[[#This Row],[LABEL]])</f>
        <v>11</v>
      </c>
      <c r="O526" s="225">
        <v>15</v>
      </c>
      <c r="P526" s="225" t="e">
        <f>ROUND(Tableau13[[#This Row],[LEN]]*#REF!+#REF!,0)</f>
        <v>#REF!</v>
      </c>
    </row>
    <row r="527" spans="1:16" s="97" customFormat="1" x14ac:dyDescent="0.25">
      <c r="A527" s="29" t="s">
        <v>1402</v>
      </c>
      <c r="B527" s="30" t="s">
        <v>1378</v>
      </c>
      <c r="C527" s="31" t="s">
        <v>505</v>
      </c>
      <c r="D527" s="71" t="s">
        <v>28</v>
      </c>
      <c r="E527" s="31" t="s">
        <v>672</v>
      </c>
      <c r="F527" s="31" t="s">
        <v>1285</v>
      </c>
      <c r="G527" s="71" t="s">
        <v>166</v>
      </c>
      <c r="H527" s="71" t="s">
        <v>18</v>
      </c>
      <c r="I527" s="31"/>
      <c r="J527" s="32" t="s">
        <v>705</v>
      </c>
      <c r="K527" s="111">
        <f>ROUND(Tableau13[[#This Row],[LEN]]*7.27,0)</f>
        <v>73</v>
      </c>
      <c r="L527" s="111">
        <v>15</v>
      </c>
      <c r="M527" s="128" t="str">
        <f t="shared" si="4"/>
        <v>new</v>
      </c>
      <c r="N527" s="111">
        <f>LEN(Tableau13[[#This Row],[LABEL]])</f>
        <v>10</v>
      </c>
      <c r="O527" s="111">
        <v>15</v>
      </c>
      <c r="P527" s="111" t="e">
        <f>ROUND(Tableau13[[#This Row],[LEN]]*#REF!+#REF!,0)</f>
        <v>#REF!</v>
      </c>
    </row>
    <row r="528" spans="1:16" s="97" customFormat="1" x14ac:dyDescent="0.25">
      <c r="A528" s="29" t="s">
        <v>1403</v>
      </c>
      <c r="B528" s="30" t="s">
        <v>1378</v>
      </c>
      <c r="C528" s="31" t="s">
        <v>1284</v>
      </c>
      <c r="D528" s="71" t="s">
        <v>28</v>
      </c>
      <c r="E528" s="31" t="s">
        <v>672</v>
      </c>
      <c r="F528" s="31" t="s">
        <v>1285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ROUND(Tableau13[[#This Row],[LEN]]*7.27,0)</f>
        <v>153</v>
      </c>
      <c r="L528" s="111">
        <v>15</v>
      </c>
      <c r="M528" s="128" t="str">
        <f t="shared" si="4"/>
        <v>new</v>
      </c>
      <c r="N528" s="111">
        <f>LEN(Tableau13[[#This Row],[LABEL]])</f>
        <v>21</v>
      </c>
      <c r="O528" s="111">
        <v>15</v>
      </c>
      <c r="P528" s="111" t="e">
        <f>ROUND(Tableau13[[#This Row],[LEN]]*#REF!+#REF!,0)</f>
        <v>#REF!</v>
      </c>
    </row>
    <row r="529" spans="1:16" s="97" customFormat="1" x14ac:dyDescent="0.25">
      <c r="A529" s="220" t="s">
        <v>1379</v>
      </c>
      <c r="B529" s="221" t="s">
        <v>264</v>
      </c>
      <c r="C529" s="222" t="s">
        <v>1357</v>
      </c>
      <c r="D529" s="70" t="s">
        <v>28</v>
      </c>
      <c r="E529" s="229" t="s">
        <v>673</v>
      </c>
      <c r="F529" s="215" t="s">
        <v>1249</v>
      </c>
      <c r="G529" s="70" t="s">
        <v>166</v>
      </c>
      <c r="H529" s="223" t="s">
        <v>655</v>
      </c>
      <c r="I529" s="222"/>
      <c r="J529" s="224" t="s">
        <v>708</v>
      </c>
      <c r="K529" s="225">
        <f>ROUND(Tableau13[[#This Row],[LEN]]*7.27,0)</f>
        <v>298</v>
      </c>
      <c r="L529" s="225">
        <v>15</v>
      </c>
      <c r="M529" s="226" t="str">
        <f t="shared" si="4"/>
        <v>none</v>
      </c>
      <c r="N529" s="225">
        <f>LEN(Tableau13[[#This Row],[LABEL]])</f>
        <v>41</v>
      </c>
      <c r="O529" s="225">
        <v>15</v>
      </c>
      <c r="P529" s="225" t="e">
        <f>ROUND(Tableau13[[#This Row],[LEN]]*#REF!+#REF!,0)</f>
        <v>#REF!</v>
      </c>
    </row>
    <row r="530" spans="1:16" s="97" customFormat="1" x14ac:dyDescent="0.25">
      <c r="A530" s="220" t="s">
        <v>1380</v>
      </c>
      <c r="B530" s="221" t="s">
        <v>264</v>
      </c>
      <c r="C530" s="222" t="s">
        <v>1404</v>
      </c>
      <c r="D530" s="70" t="s">
        <v>28</v>
      </c>
      <c r="E530" s="229" t="s">
        <v>678</v>
      </c>
      <c r="F530" s="215" t="s">
        <v>1177</v>
      </c>
      <c r="G530" s="70" t="s">
        <v>166</v>
      </c>
      <c r="H530" s="223" t="s">
        <v>656</v>
      </c>
      <c r="I530" s="222"/>
      <c r="J530" s="224" t="s">
        <v>708</v>
      </c>
      <c r="K530" s="225">
        <f>ROUND(Tableau13[[#This Row],[LEN]]*7.27,0)</f>
        <v>371</v>
      </c>
      <c r="L530" s="225">
        <v>15</v>
      </c>
      <c r="M530" s="226" t="str">
        <f t="shared" si="4"/>
        <v>none</v>
      </c>
      <c r="N530" s="225">
        <f>LEN(Tableau13[[#This Row],[LABEL]])</f>
        <v>51</v>
      </c>
      <c r="O530" s="225">
        <v>15</v>
      </c>
      <c r="P530" s="225" t="e">
        <f>ROUND(Tableau13[[#This Row],[LEN]]*#REF!+#REF!,0)</f>
        <v>#REF!</v>
      </c>
    </row>
    <row r="531" spans="1:16" s="97" customFormat="1" x14ac:dyDescent="0.25">
      <c r="A531" s="220" t="s">
        <v>1381</v>
      </c>
      <c r="B531" s="221" t="s">
        <v>264</v>
      </c>
      <c r="C531" s="222" t="s">
        <v>1310</v>
      </c>
      <c r="D531" s="70" t="s">
        <v>28</v>
      </c>
      <c r="E531" s="229" t="s">
        <v>675</v>
      </c>
      <c r="F531" s="215" t="s">
        <v>678</v>
      </c>
      <c r="G531" s="70" t="s">
        <v>166</v>
      </c>
      <c r="H531" s="223" t="s">
        <v>655</v>
      </c>
      <c r="I531" s="222"/>
      <c r="J531" s="224" t="s">
        <v>708</v>
      </c>
      <c r="K531" s="225">
        <f>ROUND(Tableau13[[#This Row],[LEN]]*7.27,0)</f>
        <v>233</v>
      </c>
      <c r="L531" s="225">
        <v>15</v>
      </c>
      <c r="M531" s="226" t="str">
        <f t="shared" si="4"/>
        <v>none</v>
      </c>
      <c r="N531" s="225">
        <f>LEN(Tableau13[[#This Row],[LABEL]])</f>
        <v>32</v>
      </c>
      <c r="O531" s="225">
        <v>15</v>
      </c>
      <c r="P531" s="225" t="e">
        <f>ROUND(Tableau13[[#This Row],[LEN]]*#REF!+#REF!,0)</f>
        <v>#REF!</v>
      </c>
    </row>
    <row r="532" spans="1:16" s="97" customFormat="1" x14ac:dyDescent="0.25">
      <c r="A532" s="220" t="s">
        <v>1382</v>
      </c>
      <c r="B532" s="221" t="s">
        <v>264</v>
      </c>
      <c r="C532" s="222" t="s">
        <v>1405</v>
      </c>
      <c r="D532" s="70" t="s">
        <v>28</v>
      </c>
      <c r="E532" s="229" t="s">
        <v>675</v>
      </c>
      <c r="F532" s="215" t="s">
        <v>678</v>
      </c>
      <c r="G532" s="70" t="s">
        <v>166</v>
      </c>
      <c r="H532" s="223" t="s">
        <v>656</v>
      </c>
      <c r="I532" s="222"/>
      <c r="J532" s="224" t="s">
        <v>708</v>
      </c>
      <c r="K532" s="225">
        <f>ROUND(Tableau13[[#This Row],[LEN]]*7.27,0)</f>
        <v>443</v>
      </c>
      <c r="L532" s="225">
        <v>15</v>
      </c>
      <c r="M532" s="226" t="str">
        <f t="shared" si="4"/>
        <v>none</v>
      </c>
      <c r="N532" s="225">
        <f>LEN(Tableau13[[#This Row],[LABEL]])</f>
        <v>61</v>
      </c>
      <c r="O532" s="225">
        <v>15</v>
      </c>
      <c r="P532" s="225" t="e">
        <f>ROUND(Tableau13[[#This Row],[LEN]]*#REF!+#REF!,0)</f>
        <v>#REF!</v>
      </c>
    </row>
    <row r="533" spans="1:16" s="97" customFormat="1" x14ac:dyDescent="0.25">
      <c r="A533" s="220" t="s">
        <v>1383</v>
      </c>
      <c r="B533" s="221" t="s">
        <v>264</v>
      </c>
      <c r="C533" s="222" t="s">
        <v>1343</v>
      </c>
      <c r="D533" s="70" t="s">
        <v>28</v>
      </c>
      <c r="E533" s="229" t="s">
        <v>676</v>
      </c>
      <c r="F533" s="215" t="s">
        <v>1339</v>
      </c>
      <c r="G533" s="70" t="s">
        <v>166</v>
      </c>
      <c r="H533" s="223" t="s">
        <v>654</v>
      </c>
      <c r="I533" s="222"/>
      <c r="J533" s="224" t="s">
        <v>708</v>
      </c>
      <c r="K533" s="225">
        <f>ROUND(Tableau13[[#This Row],[LEN]]*7.27,0)</f>
        <v>269</v>
      </c>
      <c r="L533" s="225">
        <v>15</v>
      </c>
      <c r="M533" s="226" t="str">
        <f t="shared" si="4"/>
        <v>none</v>
      </c>
      <c r="N533" s="225">
        <f>LEN(Tableau13[[#This Row],[LABEL]])</f>
        <v>37</v>
      </c>
      <c r="O533" s="225">
        <v>15</v>
      </c>
      <c r="P533" s="225" t="e">
        <f>ROUND(Tableau13[[#This Row],[LEN]]*#REF!+#REF!,0)</f>
        <v>#REF!</v>
      </c>
    </row>
    <row r="534" spans="1:16" s="97" customFormat="1" x14ac:dyDescent="0.25">
      <c r="A534" s="220" t="s">
        <v>1384</v>
      </c>
      <c r="B534" s="221" t="s">
        <v>264</v>
      </c>
      <c r="C534" s="222" t="s">
        <v>1154</v>
      </c>
      <c r="D534" s="70" t="s">
        <v>28</v>
      </c>
      <c r="E534" s="229" t="s">
        <v>667</v>
      </c>
      <c r="F534" s="215" t="s">
        <v>1133</v>
      </c>
      <c r="G534" s="70" t="s">
        <v>166</v>
      </c>
      <c r="H534" s="223" t="s">
        <v>18</v>
      </c>
      <c r="I534" s="222"/>
      <c r="J534" s="224" t="s">
        <v>102</v>
      </c>
      <c r="K534" s="225">
        <f>ROUND(Tableau13[[#This Row],[LEN]]*7.27,0)</f>
        <v>443</v>
      </c>
      <c r="L534" s="225">
        <v>15</v>
      </c>
      <c r="M534" s="226" t="str">
        <f t="shared" si="4"/>
        <v>new</v>
      </c>
      <c r="N534" s="225">
        <f>LEN(Tableau13[[#This Row],[LABEL]])</f>
        <v>61</v>
      </c>
      <c r="O534" s="225">
        <v>15</v>
      </c>
      <c r="P534" s="225" t="e">
        <f>ROUND(Tableau13[[#This Row],[LEN]]*#REF!+#REF!,0)</f>
        <v>#REF!</v>
      </c>
    </row>
    <row r="535" spans="1:16" s="97" customFormat="1" x14ac:dyDescent="0.25">
      <c r="A535" s="220" t="s">
        <v>1385</v>
      </c>
      <c r="B535" s="221" t="s">
        <v>264</v>
      </c>
      <c r="C535" s="222" t="s">
        <v>778</v>
      </c>
      <c r="D535" s="70" t="s">
        <v>28</v>
      </c>
      <c r="E535" s="229" t="s">
        <v>673</v>
      </c>
      <c r="F535" s="215" t="s">
        <v>785</v>
      </c>
      <c r="G535" s="70" t="s">
        <v>166</v>
      </c>
      <c r="H535" s="223" t="s">
        <v>17</v>
      </c>
      <c r="I535" s="222"/>
      <c r="J535" s="224" t="s">
        <v>708</v>
      </c>
      <c r="K535" s="225">
        <f>ROUND(Tableau13[[#This Row],[LEN]]*7.27,0)</f>
        <v>211</v>
      </c>
      <c r="L535" s="225">
        <v>15</v>
      </c>
      <c r="M535" s="226" t="str">
        <f t="shared" si="4"/>
        <v>none</v>
      </c>
      <c r="N535" s="225">
        <f>LEN(Tableau13[[#This Row],[LABEL]])</f>
        <v>29</v>
      </c>
      <c r="O535" s="225">
        <v>15</v>
      </c>
      <c r="P535" s="225" t="e">
        <f>ROUND(Tableau13[[#This Row],[LEN]]*#REF!+#REF!,0)</f>
        <v>#REF!</v>
      </c>
    </row>
    <row r="536" spans="1:16" s="97" customFormat="1" x14ac:dyDescent="0.25">
      <c r="A536" s="220" t="s">
        <v>1386</v>
      </c>
      <c r="B536" s="221" t="s">
        <v>264</v>
      </c>
      <c r="C536" s="222" t="s">
        <v>91</v>
      </c>
      <c r="D536" s="70" t="s">
        <v>28</v>
      </c>
      <c r="E536" s="229" t="s">
        <v>663</v>
      </c>
      <c r="F536" s="215" t="s">
        <v>786</v>
      </c>
      <c r="G536" s="70" t="s">
        <v>166</v>
      </c>
      <c r="H536" s="223" t="s">
        <v>655</v>
      </c>
      <c r="I536" s="222"/>
      <c r="J536" s="224" t="s">
        <v>708</v>
      </c>
      <c r="K536" s="225">
        <f>ROUND(Tableau13[[#This Row],[LEN]]*7.27,0)</f>
        <v>269</v>
      </c>
      <c r="L536" s="225">
        <v>15</v>
      </c>
      <c r="M536" s="226" t="str">
        <f t="shared" si="4"/>
        <v>none</v>
      </c>
      <c r="N536" s="225">
        <f>LEN(Tableau13[[#This Row],[LABEL]])</f>
        <v>37</v>
      </c>
      <c r="O536" s="225">
        <v>15</v>
      </c>
      <c r="P536" s="225" t="e">
        <f>ROUND(Tableau13[[#This Row],[LEN]]*#REF!+#REF!,0)</f>
        <v>#REF!</v>
      </c>
    </row>
    <row r="537" spans="1:16" s="97" customFormat="1" x14ac:dyDescent="0.25">
      <c r="A537" s="29" t="s">
        <v>1406</v>
      </c>
      <c r="B537" s="30" t="s">
        <v>1386</v>
      </c>
      <c r="C537" s="31" t="s">
        <v>98</v>
      </c>
      <c r="D537" s="71" t="s">
        <v>28</v>
      </c>
      <c r="E537" s="31" t="s">
        <v>663</v>
      </c>
      <c r="F537" s="31" t="s">
        <v>786</v>
      </c>
      <c r="G537" s="71" t="s">
        <v>166</v>
      </c>
      <c r="H537" s="71" t="s">
        <v>18</v>
      </c>
      <c r="I537" s="31"/>
      <c r="J537" s="32" t="s">
        <v>708</v>
      </c>
      <c r="K537" s="111">
        <f>ROUND(Tableau13[[#This Row],[LEN]]*7.27,0)</f>
        <v>109</v>
      </c>
      <c r="L537" s="111">
        <v>15</v>
      </c>
      <c r="M537" s="128" t="str">
        <f t="shared" si="4"/>
        <v>none</v>
      </c>
      <c r="N537" s="111">
        <f>LEN(Tableau13[[#This Row],[LABEL]])</f>
        <v>15</v>
      </c>
      <c r="O537" s="111">
        <v>15</v>
      </c>
      <c r="P537" s="111" t="e">
        <f>ROUND(Tableau13[[#This Row],[LEN]]*#REF!+#REF!,0)</f>
        <v>#REF!</v>
      </c>
    </row>
    <row r="538" spans="1:16" s="97" customFormat="1" x14ac:dyDescent="0.25">
      <c r="A538" s="29" t="s">
        <v>1407</v>
      </c>
      <c r="B538" s="30" t="s">
        <v>1386</v>
      </c>
      <c r="C538" s="31" t="s">
        <v>99</v>
      </c>
      <c r="D538" s="71" t="s">
        <v>28</v>
      </c>
      <c r="E538" s="31" t="s">
        <v>663</v>
      </c>
      <c r="F538" s="31" t="s">
        <v>786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ROUND(Tableau13[[#This Row],[LEN]]*7.27,0)</f>
        <v>80</v>
      </c>
      <c r="L538" s="111">
        <v>15</v>
      </c>
      <c r="M538" s="128" t="str">
        <f t="shared" si="4"/>
        <v>none</v>
      </c>
      <c r="N538" s="111">
        <f>LEN(Tableau13[[#This Row],[LABEL]])</f>
        <v>11</v>
      </c>
      <c r="O538" s="111">
        <v>15</v>
      </c>
      <c r="P538" s="111" t="e">
        <f>ROUND(Tableau13[[#This Row],[LEN]]*#REF!+#REF!,0)</f>
        <v>#REF!</v>
      </c>
    </row>
    <row r="539" spans="1:16" s="97" customFormat="1" x14ac:dyDescent="0.25">
      <c r="A539" s="220" t="s">
        <v>1387</v>
      </c>
      <c r="B539" s="221" t="s">
        <v>264</v>
      </c>
      <c r="C539" s="222" t="s">
        <v>1408</v>
      </c>
      <c r="D539" s="70" t="s">
        <v>1409</v>
      </c>
      <c r="E539" s="229" t="s">
        <v>678</v>
      </c>
      <c r="F539" s="215" t="s">
        <v>671</v>
      </c>
      <c r="G539" s="70" t="s">
        <v>166</v>
      </c>
      <c r="H539" s="223" t="s">
        <v>18</v>
      </c>
      <c r="I539" s="222"/>
      <c r="J539" s="224" t="s">
        <v>708</v>
      </c>
      <c r="K539" s="225">
        <f>ROUND(Tableau13[[#This Row],[LEN]]*7.27,0)</f>
        <v>364</v>
      </c>
      <c r="L539" s="225">
        <v>15</v>
      </c>
      <c r="M539" s="226" t="str">
        <f t="shared" si="4"/>
        <v>none</v>
      </c>
      <c r="N539" s="225">
        <f>LEN(Tableau13[[#This Row],[LABEL]])</f>
        <v>50</v>
      </c>
      <c r="O539" s="225">
        <v>15</v>
      </c>
      <c r="P539" s="225" t="e">
        <f>ROUND(Tableau13[[#This Row],[LEN]]*#REF!+#REF!,0)</f>
        <v>#REF!</v>
      </c>
    </row>
    <row r="540" spans="1:16" s="97" customFormat="1" x14ac:dyDescent="0.25">
      <c r="A540" s="220" t="s">
        <v>1388</v>
      </c>
      <c r="B540" s="221" t="s">
        <v>264</v>
      </c>
      <c r="C540" s="222" t="s">
        <v>1410</v>
      </c>
      <c r="D540" s="70" t="s">
        <v>28</v>
      </c>
      <c r="E540" s="229" t="s">
        <v>678</v>
      </c>
      <c r="F540" s="215" t="s">
        <v>1177</v>
      </c>
      <c r="G540" s="70" t="s">
        <v>166</v>
      </c>
      <c r="H540" s="223" t="s">
        <v>570</v>
      </c>
      <c r="I540" s="222"/>
      <c r="J540" s="224" t="s">
        <v>708</v>
      </c>
      <c r="K540" s="225">
        <f>ROUND(Tableau13[[#This Row],[LEN]]*7.27,0)</f>
        <v>291</v>
      </c>
      <c r="L540" s="225">
        <v>15</v>
      </c>
      <c r="M540" s="226" t="str">
        <f t="shared" si="4"/>
        <v>none</v>
      </c>
      <c r="N540" s="225">
        <f>LEN(Tableau13[[#This Row],[LABEL]])</f>
        <v>40</v>
      </c>
      <c r="O540" s="225">
        <v>15</v>
      </c>
      <c r="P540" s="225" t="e">
        <f>ROUND(Tableau13[[#This Row],[LEN]]*#REF!+#REF!,0)</f>
        <v>#REF!</v>
      </c>
    </row>
    <row r="541" spans="1:16" s="97" customFormat="1" x14ac:dyDescent="0.25">
      <c r="A541" s="220" t="s">
        <v>1389</v>
      </c>
      <c r="B541" s="221" t="s">
        <v>264</v>
      </c>
      <c r="C541" s="222" t="s">
        <v>1411</v>
      </c>
      <c r="D541" s="70" t="s">
        <v>28</v>
      </c>
      <c r="E541" s="229" t="s">
        <v>678</v>
      </c>
      <c r="F541" s="215" t="s">
        <v>1177</v>
      </c>
      <c r="G541" s="70" t="s">
        <v>166</v>
      </c>
      <c r="H541" s="223" t="s">
        <v>656</v>
      </c>
      <c r="I541" s="222"/>
      <c r="J541" s="224" t="s">
        <v>708</v>
      </c>
      <c r="K541" s="225">
        <f>ROUND(Tableau13[[#This Row],[LEN]]*7.27,0)</f>
        <v>473</v>
      </c>
      <c r="L541" s="225">
        <v>15</v>
      </c>
      <c r="M541" s="226" t="str">
        <f t="shared" si="4"/>
        <v>none</v>
      </c>
      <c r="N541" s="225">
        <f>LEN(Tableau13[[#This Row],[LABEL]])</f>
        <v>65</v>
      </c>
      <c r="O541" s="225">
        <v>15</v>
      </c>
      <c r="P541" s="225" t="e">
        <f>ROUND(Tableau13[[#This Row],[LEN]]*#REF!+#REF!,0)</f>
        <v>#REF!</v>
      </c>
    </row>
    <row r="542" spans="1:16" s="97" customFormat="1" x14ac:dyDescent="0.25">
      <c r="A542" s="220" t="s">
        <v>1390</v>
      </c>
      <c r="B542" s="221" t="s">
        <v>264</v>
      </c>
      <c r="C542" s="222" t="s">
        <v>1167</v>
      </c>
      <c r="D542" s="70" t="s">
        <v>486</v>
      </c>
      <c r="E542" s="229" t="s">
        <v>1085</v>
      </c>
      <c r="F542" s="215" t="s">
        <v>1084</v>
      </c>
      <c r="G542" s="70" t="s">
        <v>166</v>
      </c>
      <c r="H542" s="223" t="s">
        <v>1131</v>
      </c>
      <c r="I542" s="222"/>
      <c r="J542" s="224" t="s">
        <v>708</v>
      </c>
      <c r="K542" s="225">
        <f>ROUND(Tableau13[[#This Row],[LEN]]*7.27,0)</f>
        <v>196</v>
      </c>
      <c r="L542" s="225">
        <v>15</v>
      </c>
      <c r="M542" s="226" t="str">
        <f t="shared" si="4"/>
        <v>none</v>
      </c>
      <c r="N542" s="225">
        <f>LEN(Tableau13[[#This Row],[LABEL]])</f>
        <v>27</v>
      </c>
      <c r="O542" s="225">
        <v>15</v>
      </c>
      <c r="P542" s="225" t="e">
        <f>ROUND(Tableau13[[#This Row],[LEN]]*#REF!+#REF!,0)</f>
        <v>#REF!</v>
      </c>
    </row>
    <row r="543" spans="1:16" s="97" customFormat="1" x14ac:dyDescent="0.25">
      <c r="A543" s="29" t="s">
        <v>1412</v>
      </c>
      <c r="B543" s="30" t="s">
        <v>1390</v>
      </c>
      <c r="C543" s="31" t="s">
        <v>93</v>
      </c>
      <c r="D543" s="71" t="s">
        <v>28</v>
      </c>
      <c r="E543" s="31" t="s">
        <v>1085</v>
      </c>
      <c r="F543" s="31" t="s">
        <v>1084</v>
      </c>
      <c r="G543" s="71" t="s">
        <v>166</v>
      </c>
      <c r="H543" s="71" t="s">
        <v>18</v>
      </c>
      <c r="I543" s="31"/>
      <c r="J543" s="32" t="s">
        <v>101</v>
      </c>
      <c r="K543" s="111">
        <f>ROUND(Tableau13[[#This Row],[LEN]]*7.27,0)</f>
        <v>109</v>
      </c>
      <c r="L543" s="111">
        <v>15</v>
      </c>
      <c r="M543" s="128" t="str">
        <f t="shared" si="4"/>
        <v>new</v>
      </c>
      <c r="N543" s="111">
        <f>LEN(Tableau13[[#This Row],[LABEL]])</f>
        <v>15</v>
      </c>
      <c r="O543" s="111">
        <v>15</v>
      </c>
      <c r="P543" s="111" t="e">
        <f>ROUND(Tableau13[[#This Row],[LEN]]*#REF!+#REF!,0)</f>
        <v>#REF!</v>
      </c>
    </row>
    <row r="544" spans="1:16" s="97" customFormat="1" x14ac:dyDescent="0.25">
      <c r="A544" s="29" t="s">
        <v>1413</v>
      </c>
      <c r="B544" s="30" t="s">
        <v>1390</v>
      </c>
      <c r="C544" s="31" t="s">
        <v>94</v>
      </c>
      <c r="D544" s="71" t="s">
        <v>28</v>
      </c>
      <c r="E544" s="31" t="s">
        <v>1085</v>
      </c>
      <c r="F544" s="31" t="s">
        <v>1084</v>
      </c>
      <c r="G544" s="71" t="s">
        <v>166</v>
      </c>
      <c r="H544" s="71" t="s">
        <v>18</v>
      </c>
      <c r="I544" s="31"/>
      <c r="J544" s="32" t="s">
        <v>102</v>
      </c>
      <c r="K544" s="111">
        <f>ROUND(Tableau13[[#This Row],[LEN]]*7.27,0)</f>
        <v>58</v>
      </c>
      <c r="L544" s="111">
        <v>15</v>
      </c>
      <c r="M544" s="128" t="str">
        <f t="shared" si="4"/>
        <v>new</v>
      </c>
      <c r="N544" s="111">
        <f>LEN(Tableau13[[#This Row],[LABEL]])</f>
        <v>8</v>
      </c>
      <c r="O544" s="111">
        <v>15</v>
      </c>
      <c r="P544" s="111" t="e">
        <f>ROUND(Tableau13[[#This Row],[LEN]]*#REF!+#REF!,0)</f>
        <v>#REF!</v>
      </c>
    </row>
    <row r="545" spans="1:16" s="273" customFormat="1" x14ac:dyDescent="0.25">
      <c r="A545" s="295" t="s">
        <v>265</v>
      </c>
      <c r="B545" s="296" t="s">
        <v>206</v>
      </c>
      <c r="C545" s="297" t="s">
        <v>15</v>
      </c>
      <c r="D545" s="298" t="s">
        <v>28</v>
      </c>
      <c r="E545" s="297" t="s">
        <v>679</v>
      </c>
      <c r="F545" s="297" t="s">
        <v>679</v>
      </c>
      <c r="G545" s="298" t="s">
        <v>166</v>
      </c>
      <c r="H545" s="298" t="str">
        <f>IFERROR(IF(SEARCH(".00.00.00.00.00",Tableau13[[#This Row],[name]],1)=7,"Division",""),"")</f>
        <v>Division</v>
      </c>
      <c r="I545" s="297"/>
      <c r="J545" s="299" t="s">
        <v>725</v>
      </c>
      <c r="K545" s="300">
        <f>ROUND(Tableau13[[#This Row],[LEN]]*7.27,0)</f>
        <v>174</v>
      </c>
      <c r="L545" s="300">
        <v>15</v>
      </c>
      <c r="M545" s="301" t="str">
        <f t="shared" si="4"/>
        <v>new</v>
      </c>
      <c r="N545" s="300">
        <f>LEN(Tableau13[[#This Row],[LABEL]])</f>
        <v>24</v>
      </c>
      <c r="O545" s="300">
        <v>15</v>
      </c>
      <c r="P545" s="300" t="e">
        <f>ROUND(Tableau13[[#This Row],[LEN]]*#REF!+#REF!,0)</f>
        <v>#REF!</v>
      </c>
    </row>
    <row r="546" spans="1:16" s="97" customFormat="1" x14ac:dyDescent="0.25">
      <c r="A546" s="220" t="s">
        <v>1414</v>
      </c>
      <c r="B546" s="221" t="s">
        <v>265</v>
      </c>
      <c r="C546" s="222" t="s">
        <v>88</v>
      </c>
      <c r="D546" s="70" t="s">
        <v>28</v>
      </c>
      <c r="E546" s="229" t="s">
        <v>667</v>
      </c>
      <c r="F546" s="215" t="s">
        <v>1218</v>
      </c>
      <c r="G546" s="70" t="s">
        <v>166</v>
      </c>
      <c r="H546" s="223" t="s">
        <v>570</v>
      </c>
      <c r="I546" s="222"/>
      <c r="J546" s="224" t="s">
        <v>708</v>
      </c>
      <c r="K546" s="225">
        <f>ROUND(Tableau13[[#This Row],[LEN]]*7.27,0)</f>
        <v>342</v>
      </c>
      <c r="L546" s="225">
        <v>15</v>
      </c>
      <c r="M546" s="226" t="str">
        <f t="shared" si="4"/>
        <v>none</v>
      </c>
      <c r="N546" s="225">
        <f>LEN(Tableau13[[#This Row],[LABEL]])</f>
        <v>47</v>
      </c>
      <c r="O546" s="225">
        <v>15</v>
      </c>
      <c r="P546" s="225" t="e">
        <f>ROUND(Tableau13[[#This Row],[LEN]]*#REF!+#REF!,0)</f>
        <v>#REF!</v>
      </c>
    </row>
    <row r="547" spans="1:16" s="97" customFormat="1" x14ac:dyDescent="0.25">
      <c r="A547" s="220" t="s">
        <v>1415</v>
      </c>
      <c r="B547" s="221" t="s">
        <v>265</v>
      </c>
      <c r="C547" s="222" t="s">
        <v>1357</v>
      </c>
      <c r="D547" s="70" t="s">
        <v>28</v>
      </c>
      <c r="E547" s="229" t="s">
        <v>673</v>
      </c>
      <c r="F547" s="215" t="s">
        <v>1249</v>
      </c>
      <c r="G547" s="70" t="s">
        <v>166</v>
      </c>
      <c r="H547" s="223" t="s">
        <v>655</v>
      </c>
      <c r="I547" s="222"/>
      <c r="J547" s="224" t="s">
        <v>708</v>
      </c>
      <c r="K547" s="225">
        <f>ROUND(Tableau13[[#This Row],[LEN]]*7.27,0)</f>
        <v>298</v>
      </c>
      <c r="L547" s="225">
        <v>15</v>
      </c>
      <c r="M547" s="226" t="str">
        <f t="shared" si="4"/>
        <v>none</v>
      </c>
      <c r="N547" s="225">
        <f>LEN(Tableau13[[#This Row],[LABEL]])</f>
        <v>41</v>
      </c>
      <c r="O547" s="225">
        <v>15</v>
      </c>
      <c r="P547" s="225" t="e">
        <f>ROUND(Tableau13[[#This Row],[LEN]]*#REF!+#REF!,0)</f>
        <v>#REF!</v>
      </c>
    </row>
    <row r="548" spans="1:16" s="97" customFormat="1" x14ac:dyDescent="0.25">
      <c r="A548" s="220" t="s">
        <v>1416</v>
      </c>
      <c r="B548" s="221" t="s">
        <v>265</v>
      </c>
      <c r="C548" s="222" t="s">
        <v>778</v>
      </c>
      <c r="D548" s="70" t="s">
        <v>28</v>
      </c>
      <c r="E548" s="229" t="s">
        <v>673</v>
      </c>
      <c r="F548" s="215" t="s">
        <v>785</v>
      </c>
      <c r="G548" s="70" t="s">
        <v>166</v>
      </c>
      <c r="H548" s="223" t="s">
        <v>17</v>
      </c>
      <c r="I548" s="222"/>
      <c r="J548" s="224" t="s">
        <v>708</v>
      </c>
      <c r="K548" s="225">
        <f>ROUND(Tableau13[[#This Row],[LEN]]*7.27,0)</f>
        <v>211</v>
      </c>
      <c r="L548" s="225">
        <v>15</v>
      </c>
      <c r="M548" s="226" t="str">
        <f t="shared" si="4"/>
        <v>none</v>
      </c>
      <c r="N548" s="225">
        <f>LEN(Tableau13[[#This Row],[LABEL]])</f>
        <v>29</v>
      </c>
      <c r="O548" s="225">
        <v>15</v>
      </c>
      <c r="P548" s="225" t="e">
        <f>ROUND(Tableau13[[#This Row],[LEN]]*#REF!+#REF!,0)</f>
        <v>#REF!</v>
      </c>
    </row>
    <row r="549" spans="1:16" s="97" customFormat="1" x14ac:dyDescent="0.25">
      <c r="A549" s="220" t="s">
        <v>1417</v>
      </c>
      <c r="B549" s="221" t="s">
        <v>265</v>
      </c>
      <c r="C549" s="222" t="s">
        <v>91</v>
      </c>
      <c r="D549" s="70" t="s">
        <v>28</v>
      </c>
      <c r="E549" s="229" t="s">
        <v>663</v>
      </c>
      <c r="F549" s="215" t="s">
        <v>786</v>
      </c>
      <c r="G549" s="70" t="s">
        <v>166</v>
      </c>
      <c r="H549" s="223" t="s">
        <v>655</v>
      </c>
      <c r="I549" s="222"/>
      <c r="J549" s="224" t="s">
        <v>708</v>
      </c>
      <c r="K549" s="225">
        <f>ROUND(Tableau13[[#This Row],[LEN]]*7.27,0)</f>
        <v>269</v>
      </c>
      <c r="L549" s="225">
        <v>15</v>
      </c>
      <c r="M549" s="226" t="str">
        <f t="shared" si="4"/>
        <v>none</v>
      </c>
      <c r="N549" s="225">
        <f>LEN(Tableau13[[#This Row],[LABEL]])</f>
        <v>37</v>
      </c>
      <c r="O549" s="225">
        <v>15</v>
      </c>
      <c r="P549" s="225" t="e">
        <f>ROUND(Tableau13[[#This Row],[LEN]]*#REF!+#REF!,0)</f>
        <v>#REF!</v>
      </c>
    </row>
    <row r="550" spans="1:16" s="97" customFormat="1" x14ac:dyDescent="0.25">
      <c r="A550" s="29" t="s">
        <v>1421</v>
      </c>
      <c r="B550" s="30" t="s">
        <v>1417</v>
      </c>
      <c r="C550" s="31" t="s">
        <v>98</v>
      </c>
      <c r="D550" s="71" t="s">
        <v>28</v>
      </c>
      <c r="E550" s="31" t="s">
        <v>663</v>
      </c>
      <c r="F550" s="31" t="s">
        <v>786</v>
      </c>
      <c r="G550" s="71" t="s">
        <v>166</v>
      </c>
      <c r="H550" s="71" t="s">
        <v>18</v>
      </c>
      <c r="I550" s="31"/>
      <c r="J550" s="32" t="s">
        <v>708</v>
      </c>
      <c r="K550" s="111">
        <f>ROUND(Tableau13[[#This Row],[LEN]]*7.27,0)</f>
        <v>109</v>
      </c>
      <c r="L550" s="111">
        <v>15</v>
      </c>
      <c r="M550" s="128" t="str">
        <f t="shared" si="4"/>
        <v>none</v>
      </c>
      <c r="N550" s="111">
        <f>LEN(Tableau13[[#This Row],[LABEL]])</f>
        <v>15</v>
      </c>
      <c r="O550" s="111">
        <v>15</v>
      </c>
      <c r="P550" s="111" t="e">
        <f>ROUND(Tableau13[[#This Row],[LEN]]*#REF!+#REF!,0)</f>
        <v>#REF!</v>
      </c>
    </row>
    <row r="551" spans="1:16" s="97" customFormat="1" x14ac:dyDescent="0.25">
      <c r="A551" s="29" t="s">
        <v>1422</v>
      </c>
      <c r="B551" s="30" t="s">
        <v>1417</v>
      </c>
      <c r="C551" s="31" t="s">
        <v>99</v>
      </c>
      <c r="D551" s="71" t="s">
        <v>28</v>
      </c>
      <c r="E551" s="31" t="s">
        <v>663</v>
      </c>
      <c r="F551" s="31" t="s">
        <v>786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ROUND(Tableau13[[#This Row],[LEN]]*7.27,0)</f>
        <v>80</v>
      </c>
      <c r="L551" s="111">
        <v>15</v>
      </c>
      <c r="M551" s="128" t="str">
        <f t="shared" si="4"/>
        <v>none</v>
      </c>
      <c r="N551" s="111">
        <f>LEN(Tableau13[[#This Row],[LABEL]])</f>
        <v>11</v>
      </c>
      <c r="O551" s="111">
        <v>15</v>
      </c>
      <c r="P551" s="111" t="e">
        <f>ROUND(Tableau13[[#This Row],[LEN]]*#REF!+#REF!,0)</f>
        <v>#REF!</v>
      </c>
    </row>
    <row r="552" spans="1:16" s="97" customFormat="1" x14ac:dyDescent="0.25">
      <c r="A552" s="220" t="s">
        <v>1418</v>
      </c>
      <c r="B552" s="221" t="s">
        <v>265</v>
      </c>
      <c r="C552" s="222" t="s">
        <v>1423</v>
      </c>
      <c r="D552" s="70" t="s">
        <v>28</v>
      </c>
      <c r="E552" s="229" t="s">
        <v>679</v>
      </c>
      <c r="F552" s="215" t="s">
        <v>1177</v>
      </c>
      <c r="G552" s="70" t="s">
        <v>166</v>
      </c>
      <c r="H552" s="223" t="s">
        <v>656</v>
      </c>
      <c r="I552" s="222"/>
      <c r="J552" s="224" t="s">
        <v>708</v>
      </c>
      <c r="K552" s="225">
        <f>ROUND(Tableau13[[#This Row],[LEN]]*7.27,0)</f>
        <v>87</v>
      </c>
      <c r="L552" s="225">
        <v>15</v>
      </c>
      <c r="M552" s="226" t="str">
        <f t="shared" si="4"/>
        <v>none</v>
      </c>
      <c r="N552" s="225">
        <f>LEN(Tableau13[[#This Row],[LABEL]])</f>
        <v>12</v>
      </c>
      <c r="O552" s="225">
        <v>15</v>
      </c>
      <c r="P552" s="225" t="e">
        <f>ROUND(Tableau13[[#This Row],[LEN]]*#REF!+#REF!,0)</f>
        <v>#REF!</v>
      </c>
    </row>
    <row r="553" spans="1:16" s="97" customFormat="1" x14ac:dyDescent="0.25">
      <c r="A553" s="220" t="s">
        <v>1419</v>
      </c>
      <c r="B553" s="221" t="s">
        <v>265</v>
      </c>
      <c r="C553" s="222" t="s">
        <v>1424</v>
      </c>
      <c r="D553" s="70" t="s">
        <v>28</v>
      </c>
      <c r="E553" s="229" t="s">
        <v>679</v>
      </c>
      <c r="F553" s="215" t="s">
        <v>1177</v>
      </c>
      <c r="G553" s="70" t="s">
        <v>166</v>
      </c>
      <c r="H553" s="223" t="s">
        <v>18</v>
      </c>
      <c r="I553" s="222"/>
      <c r="J553" s="224" t="s">
        <v>708</v>
      </c>
      <c r="K553" s="225">
        <f>ROUND(Tableau13[[#This Row],[LEN]]*7.27,0)</f>
        <v>320</v>
      </c>
      <c r="L553" s="225">
        <v>15</v>
      </c>
      <c r="M553" s="226" t="str">
        <f t="shared" si="4"/>
        <v>none</v>
      </c>
      <c r="N553" s="225">
        <f>LEN(Tableau13[[#This Row],[LABEL]])</f>
        <v>44</v>
      </c>
      <c r="O553" s="225">
        <v>15</v>
      </c>
      <c r="P553" s="225" t="e">
        <f>ROUND(Tableau13[[#This Row],[LEN]]*#REF!+#REF!,0)</f>
        <v>#REF!</v>
      </c>
    </row>
    <row r="554" spans="1:16" s="97" customFormat="1" x14ac:dyDescent="0.25">
      <c r="A554" s="220" t="s">
        <v>1420</v>
      </c>
      <c r="B554" s="221" t="s">
        <v>265</v>
      </c>
      <c r="C554" s="222" t="s">
        <v>1167</v>
      </c>
      <c r="D554" s="70" t="s">
        <v>486</v>
      </c>
      <c r="E554" s="229" t="s">
        <v>1085</v>
      </c>
      <c r="F554" s="215" t="s">
        <v>1084</v>
      </c>
      <c r="G554" s="70" t="s">
        <v>166</v>
      </c>
      <c r="H554" s="223" t="s">
        <v>1131</v>
      </c>
      <c r="I554" s="222"/>
      <c r="J554" s="224" t="s">
        <v>708</v>
      </c>
      <c r="K554" s="225">
        <f>ROUND(Tableau13[[#This Row],[LEN]]*7.27,0)</f>
        <v>196</v>
      </c>
      <c r="L554" s="225">
        <v>15</v>
      </c>
      <c r="M554" s="226" t="str">
        <f t="shared" si="4"/>
        <v>none</v>
      </c>
      <c r="N554" s="225">
        <f>LEN(Tableau13[[#This Row],[LABEL]])</f>
        <v>27</v>
      </c>
      <c r="O554" s="225">
        <v>15</v>
      </c>
      <c r="P554" s="225" t="e">
        <f>ROUND(Tableau13[[#This Row],[LEN]]*#REF!+#REF!,0)</f>
        <v>#REF!</v>
      </c>
    </row>
    <row r="555" spans="1:16" s="97" customFormat="1" x14ac:dyDescent="0.25">
      <c r="A555" s="29" t="s">
        <v>1425</v>
      </c>
      <c r="B555" s="30" t="s">
        <v>1420</v>
      </c>
      <c r="C555" s="31" t="s">
        <v>93</v>
      </c>
      <c r="D555" s="71" t="s">
        <v>28</v>
      </c>
      <c r="E555" s="31" t="s">
        <v>1085</v>
      </c>
      <c r="F555" s="31" t="s">
        <v>1084</v>
      </c>
      <c r="G555" s="71" t="s">
        <v>166</v>
      </c>
      <c r="H555" s="71" t="s">
        <v>18</v>
      </c>
      <c r="I555" s="31"/>
      <c r="J555" s="32" t="s">
        <v>101</v>
      </c>
      <c r="K555" s="111">
        <f>ROUND(Tableau13[[#This Row],[LEN]]*7.27,0)</f>
        <v>109</v>
      </c>
      <c r="L555" s="111">
        <v>15</v>
      </c>
      <c r="M555" s="128" t="str">
        <f t="shared" si="4"/>
        <v>new</v>
      </c>
      <c r="N555" s="111">
        <f>LEN(Tableau13[[#This Row],[LABEL]])</f>
        <v>15</v>
      </c>
      <c r="O555" s="111">
        <v>15</v>
      </c>
      <c r="P555" s="111" t="e">
        <f>ROUND(Tableau13[[#This Row],[LEN]]*#REF!+#REF!,0)</f>
        <v>#REF!</v>
      </c>
    </row>
    <row r="556" spans="1:16" s="97" customFormat="1" ht="15.75" thickBot="1" x14ac:dyDescent="0.3">
      <c r="A556" s="29" t="s">
        <v>1426</v>
      </c>
      <c r="B556" s="30" t="s">
        <v>1420</v>
      </c>
      <c r="C556" s="31" t="s">
        <v>94</v>
      </c>
      <c r="D556" s="71" t="s">
        <v>28</v>
      </c>
      <c r="E556" s="31" t="s">
        <v>1085</v>
      </c>
      <c r="F556" s="31" t="s">
        <v>1084</v>
      </c>
      <c r="G556" s="71" t="s">
        <v>166</v>
      </c>
      <c r="H556" s="71" t="s">
        <v>18</v>
      </c>
      <c r="I556" s="31"/>
      <c r="J556" s="32" t="s">
        <v>102</v>
      </c>
      <c r="K556" s="111">
        <f>ROUND(Tableau13[[#This Row],[LEN]]*7.27,0)</f>
        <v>58</v>
      </c>
      <c r="L556" s="111">
        <v>15</v>
      </c>
      <c r="M556" s="128" t="str">
        <f t="shared" si="4"/>
        <v>new</v>
      </c>
      <c r="N556" s="111">
        <f>LEN(Tableau13[[#This Row],[LABEL]])</f>
        <v>8</v>
      </c>
      <c r="O556" s="111">
        <v>15</v>
      </c>
      <c r="P556" s="111" t="e">
        <f>ROUND(Tableau13[[#This Row],[LEN]]*#REF!+#REF!,0)</f>
        <v>#REF!</v>
      </c>
    </row>
    <row r="557" spans="1:16" s="97" customFormat="1" ht="16.5" thickTop="1" thickBot="1" x14ac:dyDescent="0.3">
      <c r="A557" s="177" t="s">
        <v>207</v>
      </c>
      <c r="B557" s="177" t="s">
        <v>201</v>
      </c>
      <c r="C557" s="178" t="s">
        <v>175</v>
      </c>
      <c r="D557" s="179" t="s">
        <v>472</v>
      </c>
      <c r="E557" s="178" t="s">
        <v>58</v>
      </c>
      <c r="F557" s="179"/>
      <c r="G557" s="178" t="s">
        <v>168</v>
      </c>
      <c r="H557" s="178" t="s">
        <v>616</v>
      </c>
      <c r="I557" s="179"/>
      <c r="J557" s="180" t="s">
        <v>708</v>
      </c>
      <c r="K557" s="181">
        <f>ROUND(Tableau13[[#This Row],[LEN]]*7.27,0)</f>
        <v>160</v>
      </c>
      <c r="L557" s="181">
        <v>15</v>
      </c>
      <c r="M557" s="182" t="str">
        <f t="shared" si="4"/>
        <v>none</v>
      </c>
      <c r="N557" s="181">
        <f>LEN(Tableau13[[#This Row],[LABEL]])</f>
        <v>22</v>
      </c>
      <c r="O557" s="183">
        <v>15</v>
      </c>
      <c r="P557" s="183" t="e">
        <f>ROUND(Tableau13[[#This Row],[LEN]]*#REF!+#REF!,0)</f>
        <v>#REF!</v>
      </c>
    </row>
    <row r="558" spans="1:16" s="273" customFormat="1" ht="15.75" thickTop="1" x14ac:dyDescent="0.25">
      <c r="A558" s="302" t="s">
        <v>266</v>
      </c>
      <c r="B558" s="303" t="s">
        <v>207</v>
      </c>
      <c r="C558" s="304" t="s">
        <v>1</v>
      </c>
      <c r="D558" s="305" t="s">
        <v>28</v>
      </c>
      <c r="E558" s="304" t="s">
        <v>663</v>
      </c>
      <c r="F558" s="304" t="s">
        <v>664</v>
      </c>
      <c r="G558" s="305" t="s">
        <v>168</v>
      </c>
      <c r="H558" s="305" t="str">
        <f>IFERROR(IF(SEARCH(".00.00.00.00.00",Tableau13[[#This Row],[name]],1)=7,"Division",""),"")</f>
        <v>Division</v>
      </c>
      <c r="I558" s="304"/>
      <c r="J558" s="306" t="s">
        <v>708</v>
      </c>
      <c r="K558" s="307">
        <f>ROUND(Tableau13[[#This Row],[LEN]]*7.27,0)</f>
        <v>182</v>
      </c>
      <c r="L558" s="307">
        <v>15</v>
      </c>
      <c r="M558" s="308" t="str">
        <f t="shared" si="4"/>
        <v>none</v>
      </c>
      <c r="N558" s="307">
        <f>LEN(Tableau13[[#This Row],[LABEL]])</f>
        <v>25</v>
      </c>
      <c r="O558" s="307">
        <v>15</v>
      </c>
      <c r="P558" s="307" t="e">
        <f>ROUND(Tableau13[[#This Row],[LEN]]*#REF!+#REF!,0)</f>
        <v>#REF!</v>
      </c>
    </row>
    <row r="559" spans="1:16" s="92" customFormat="1" x14ac:dyDescent="0.25">
      <c r="A559" s="309" t="s">
        <v>267</v>
      </c>
      <c r="B559" s="310" t="s">
        <v>207</v>
      </c>
      <c r="C559" s="311" t="s">
        <v>57</v>
      </c>
      <c r="D559" s="312" t="s">
        <v>28</v>
      </c>
      <c r="E559" s="311" t="s">
        <v>663</v>
      </c>
      <c r="F559" s="311" t="s">
        <v>663</v>
      </c>
      <c r="G559" s="312" t="s">
        <v>168</v>
      </c>
      <c r="H559" s="312" t="str">
        <f>IFERROR(IF(SEARCH(".00.00.00.00.00",Tableau13[[#This Row],[name]],1)=7,"Division",""),"")</f>
        <v>Division</v>
      </c>
      <c r="I559" s="311"/>
      <c r="J559" s="313" t="s">
        <v>709</v>
      </c>
      <c r="K559" s="314">
        <f>ROUND(Tableau13[[#This Row],[LEN]]*7.27,0)</f>
        <v>102</v>
      </c>
      <c r="L559" s="314">
        <v>15</v>
      </c>
      <c r="M559" s="315" t="str">
        <f t="shared" si="4"/>
        <v>new</v>
      </c>
      <c r="N559" s="314">
        <f>LEN(Tableau13[[#This Row],[LABEL]])</f>
        <v>14</v>
      </c>
      <c r="O559" s="314">
        <v>15</v>
      </c>
      <c r="P559" s="314" t="e">
        <f>ROUND(Tableau13[[#This Row],[LEN]]*#REF!+#REF!,0)</f>
        <v>#REF!</v>
      </c>
    </row>
    <row r="560" spans="1:16" s="97" customFormat="1" x14ac:dyDescent="0.25">
      <c r="A560" s="33" t="s">
        <v>841</v>
      </c>
      <c r="B560" s="34" t="s">
        <v>267</v>
      </c>
      <c r="C560" s="35" t="s">
        <v>111</v>
      </c>
      <c r="D560" s="72" t="s">
        <v>28</v>
      </c>
      <c r="E560" s="35" t="s">
        <v>667</v>
      </c>
      <c r="F560" s="35" t="s">
        <v>840</v>
      </c>
      <c r="G560" s="72" t="s">
        <v>168</v>
      </c>
      <c r="H560" s="72" t="s">
        <v>655</v>
      </c>
      <c r="I560" s="35"/>
      <c r="J560" s="36" t="s">
        <v>708</v>
      </c>
      <c r="K560" s="113">
        <f>ROUND(Tableau13[[#This Row],[LEN]]*7.27,0)</f>
        <v>167</v>
      </c>
      <c r="L560" s="113">
        <v>15</v>
      </c>
      <c r="M560" s="130" t="str">
        <f t="shared" si="4"/>
        <v>none</v>
      </c>
      <c r="N560" s="113">
        <f>LEN(Tableau13[[#This Row],[LABEL]])</f>
        <v>23</v>
      </c>
      <c r="O560" s="113">
        <v>15</v>
      </c>
      <c r="P560" s="113" t="e">
        <f>ROUND(Tableau13[[#This Row],[LEN]]*#REF!+#REF!,0)</f>
        <v>#REF!</v>
      </c>
    </row>
    <row r="561" spans="1:16" s="97" customFormat="1" x14ac:dyDescent="0.25">
      <c r="A561" s="37" t="s">
        <v>842</v>
      </c>
      <c r="B561" s="38" t="s">
        <v>841</v>
      </c>
      <c r="C561" s="39" t="s">
        <v>112</v>
      </c>
      <c r="D561" s="73" t="s">
        <v>28</v>
      </c>
      <c r="E561" s="39" t="s">
        <v>667</v>
      </c>
      <c r="F561" s="39" t="s">
        <v>840</v>
      </c>
      <c r="G561" s="73" t="s">
        <v>168</v>
      </c>
      <c r="H561" s="73" t="s">
        <v>654</v>
      </c>
      <c r="I561" s="39"/>
      <c r="J561" s="40" t="s">
        <v>708</v>
      </c>
      <c r="K561" s="114">
        <f>ROUND(Tableau13[[#This Row],[LEN]]*7.27,0)</f>
        <v>167</v>
      </c>
      <c r="L561" s="114">
        <v>15</v>
      </c>
      <c r="M561" s="131" t="str">
        <f t="shared" si="4"/>
        <v>none</v>
      </c>
      <c r="N561" s="114">
        <f>LEN(Tableau13[[#This Row],[LABEL]])</f>
        <v>23</v>
      </c>
      <c r="O561" s="114">
        <v>15</v>
      </c>
      <c r="P561" s="114" t="e">
        <f>ROUND(Tableau13[[#This Row],[LEN]]*#REF!+#REF!,0)</f>
        <v>#REF!</v>
      </c>
    </row>
    <row r="562" spans="1:16" s="97" customFormat="1" x14ac:dyDescent="0.25">
      <c r="A562" s="37" t="s">
        <v>843</v>
      </c>
      <c r="B562" s="38" t="s">
        <v>841</v>
      </c>
      <c r="C562" s="39" t="s">
        <v>113</v>
      </c>
      <c r="D562" s="73" t="s">
        <v>28</v>
      </c>
      <c r="E562" s="39" t="s">
        <v>667</v>
      </c>
      <c r="F562" s="39" t="s">
        <v>840</v>
      </c>
      <c r="G562" s="73" t="s">
        <v>168</v>
      </c>
      <c r="H562" s="73" t="s">
        <v>654</v>
      </c>
      <c r="I562" s="39"/>
      <c r="J562" s="40" t="s">
        <v>708</v>
      </c>
      <c r="K562" s="114">
        <f>ROUND(Tableau13[[#This Row],[LEN]]*7.27,0)</f>
        <v>233</v>
      </c>
      <c r="L562" s="114">
        <v>15</v>
      </c>
      <c r="M562" s="131" t="str">
        <f t="shared" si="4"/>
        <v>none</v>
      </c>
      <c r="N562" s="114">
        <f>LEN(Tableau13[[#This Row],[LABEL]])</f>
        <v>32</v>
      </c>
      <c r="O562" s="114">
        <v>15</v>
      </c>
      <c r="P562" s="114" t="e">
        <f>ROUND(Tableau13[[#This Row],[LEN]]*#REF!+#REF!,0)</f>
        <v>#REF!</v>
      </c>
    </row>
    <row r="563" spans="1:16" s="273" customFormat="1" x14ac:dyDescent="0.25">
      <c r="A563" s="309" t="s">
        <v>268</v>
      </c>
      <c r="B563" s="310" t="s">
        <v>207</v>
      </c>
      <c r="C563" s="311" t="s">
        <v>2</v>
      </c>
      <c r="D563" s="312" t="s">
        <v>28</v>
      </c>
      <c r="E563" s="311" t="s">
        <v>662</v>
      </c>
      <c r="F563" s="311" t="s">
        <v>662</v>
      </c>
      <c r="G563" s="312" t="s">
        <v>168</v>
      </c>
      <c r="H563" s="312" t="str">
        <f>IFERROR(IF(SEARCH(".00.00.00.00.00",Tableau13[[#This Row],[name]],1)=7,"Division",""),"")</f>
        <v>Division</v>
      </c>
      <c r="I563" s="311"/>
      <c r="J563" s="313" t="s">
        <v>710</v>
      </c>
      <c r="K563" s="314">
        <f>ROUND(Tableau13[[#This Row],[LEN]]*7.27,0)</f>
        <v>65</v>
      </c>
      <c r="L563" s="314">
        <v>15</v>
      </c>
      <c r="M563" s="315" t="str">
        <f t="shared" si="4"/>
        <v>new</v>
      </c>
      <c r="N563" s="314">
        <f>LEN(Tableau13[[#This Row],[LABEL]])</f>
        <v>9</v>
      </c>
      <c r="O563" s="314">
        <v>15</v>
      </c>
      <c r="P563" s="314" t="e">
        <f>ROUND(Tableau13[[#This Row],[LEN]]*#REF!+#REF!,0)</f>
        <v>#REF!</v>
      </c>
    </row>
    <row r="564" spans="1:16" s="273" customFormat="1" x14ac:dyDescent="0.25">
      <c r="A564" s="309" t="s">
        <v>269</v>
      </c>
      <c r="B564" s="310" t="s">
        <v>207</v>
      </c>
      <c r="C564" s="311" t="s">
        <v>3</v>
      </c>
      <c r="D564" s="312" t="s">
        <v>28</v>
      </c>
      <c r="E564" s="311" t="s">
        <v>661</v>
      </c>
      <c r="F564" s="311" t="s">
        <v>661</v>
      </c>
      <c r="G564" s="312" t="s">
        <v>168</v>
      </c>
      <c r="H564" s="312" t="str">
        <f>IFERROR(IF(SEARCH(".00.00.00.00.00",Tableau13[[#This Row],[name]],1)=7,"Division",""),"")</f>
        <v>Division</v>
      </c>
      <c r="I564" s="311"/>
      <c r="J564" s="313" t="s">
        <v>711</v>
      </c>
      <c r="K564" s="314">
        <f>ROUND(Tableau13[[#This Row],[LEN]]*7.27,0)</f>
        <v>73</v>
      </c>
      <c r="L564" s="314">
        <v>15</v>
      </c>
      <c r="M564" s="315" t="str">
        <f t="shared" si="4"/>
        <v>new</v>
      </c>
      <c r="N564" s="314">
        <f>LEN(Tableau13[[#This Row],[LABEL]])</f>
        <v>10</v>
      </c>
      <c r="O564" s="314">
        <v>15</v>
      </c>
      <c r="P564" s="314" t="e">
        <f>ROUND(Tableau13[[#This Row],[LEN]]*#REF!+#REF!,0)</f>
        <v>#REF!</v>
      </c>
    </row>
    <row r="565" spans="1:16" s="97" customFormat="1" x14ac:dyDescent="0.25">
      <c r="A565" s="33" t="s">
        <v>419</v>
      </c>
      <c r="B565" s="34" t="s">
        <v>269</v>
      </c>
      <c r="C565" s="35" t="s">
        <v>111</v>
      </c>
      <c r="D565" s="72" t="s">
        <v>28</v>
      </c>
      <c r="E565" s="35" t="s">
        <v>667</v>
      </c>
      <c r="F565" s="35" t="s">
        <v>661</v>
      </c>
      <c r="G565" s="72" t="s">
        <v>168</v>
      </c>
      <c r="H565" s="72" t="s">
        <v>655</v>
      </c>
      <c r="I565" s="35"/>
      <c r="J565" s="36" t="s">
        <v>708</v>
      </c>
      <c r="K565" s="113">
        <f>ROUND(Tableau13[[#This Row],[LEN]]*7.27,0)</f>
        <v>167</v>
      </c>
      <c r="L565" s="113">
        <v>15</v>
      </c>
      <c r="M565" s="130" t="str">
        <f t="shared" si="4"/>
        <v>none</v>
      </c>
      <c r="N565" s="113">
        <f>LEN(Tableau13[[#This Row],[LABEL]])</f>
        <v>23</v>
      </c>
      <c r="O565" s="113">
        <v>15</v>
      </c>
      <c r="P565" s="113" t="e">
        <f>ROUND(Tableau13[[#This Row],[LEN]]*#REF!+#REF!,0)</f>
        <v>#REF!</v>
      </c>
    </row>
    <row r="566" spans="1:16" s="97" customFormat="1" x14ac:dyDescent="0.25">
      <c r="A566" s="37" t="s">
        <v>420</v>
      </c>
      <c r="B566" s="38" t="s">
        <v>419</v>
      </c>
      <c r="C566" s="39" t="s">
        <v>112</v>
      </c>
      <c r="D566" s="73" t="s">
        <v>28</v>
      </c>
      <c r="E566" s="39" t="s">
        <v>667</v>
      </c>
      <c r="F566" s="39" t="s">
        <v>661</v>
      </c>
      <c r="G566" s="73" t="s">
        <v>168</v>
      </c>
      <c r="H566" s="73" t="s">
        <v>654</v>
      </c>
      <c r="I566" s="39"/>
      <c r="J566" s="40" t="s">
        <v>708</v>
      </c>
      <c r="K566" s="114">
        <f>ROUND(Tableau13[[#This Row],[LEN]]*7.27,0)</f>
        <v>167</v>
      </c>
      <c r="L566" s="114">
        <v>15</v>
      </c>
      <c r="M566" s="131" t="str">
        <f t="shared" si="4"/>
        <v>none</v>
      </c>
      <c r="N566" s="114">
        <f>LEN(Tableau13[[#This Row],[LABEL]])</f>
        <v>23</v>
      </c>
      <c r="O566" s="114">
        <v>15</v>
      </c>
      <c r="P566" s="114" t="e">
        <f>ROUND(Tableau13[[#This Row],[LEN]]*#REF!+#REF!,0)</f>
        <v>#REF!</v>
      </c>
    </row>
    <row r="567" spans="1:16" s="97" customFormat="1" x14ac:dyDescent="0.25">
      <c r="A567" s="37" t="s">
        <v>421</v>
      </c>
      <c r="B567" s="38" t="s">
        <v>419</v>
      </c>
      <c r="C567" s="39" t="s">
        <v>113</v>
      </c>
      <c r="D567" s="73" t="s">
        <v>28</v>
      </c>
      <c r="E567" s="39" t="s">
        <v>667</v>
      </c>
      <c r="F567" s="39" t="s">
        <v>661</v>
      </c>
      <c r="G567" s="73" t="s">
        <v>168</v>
      </c>
      <c r="H567" s="73" t="s">
        <v>654</v>
      </c>
      <c r="I567" s="39"/>
      <c r="J567" s="40" t="s">
        <v>708</v>
      </c>
      <c r="K567" s="114">
        <f>ROUND(Tableau13[[#This Row],[LEN]]*7.27,0)</f>
        <v>233</v>
      </c>
      <c r="L567" s="114">
        <v>15</v>
      </c>
      <c r="M567" s="131" t="str">
        <f t="shared" si="4"/>
        <v>none</v>
      </c>
      <c r="N567" s="114">
        <f>LEN(Tableau13[[#This Row],[LABEL]])</f>
        <v>32</v>
      </c>
      <c r="O567" s="114">
        <v>15</v>
      </c>
      <c r="P567" s="114" t="e">
        <f>ROUND(Tableau13[[#This Row],[LEN]]*#REF!+#REF!,0)</f>
        <v>#REF!</v>
      </c>
    </row>
    <row r="568" spans="1:16" s="97" customFormat="1" x14ac:dyDescent="0.25">
      <c r="A568" s="33" t="s">
        <v>422</v>
      </c>
      <c r="B568" s="34" t="s">
        <v>269</v>
      </c>
      <c r="C568" s="35" t="s">
        <v>114</v>
      </c>
      <c r="D568" s="72" t="s">
        <v>28</v>
      </c>
      <c r="E568" s="35" t="s">
        <v>661</v>
      </c>
      <c r="F568" s="35" t="s">
        <v>1445</v>
      </c>
      <c r="G568" s="72" t="s">
        <v>168</v>
      </c>
      <c r="H568" s="72" t="s">
        <v>654</v>
      </c>
      <c r="I568" s="35"/>
      <c r="J568" s="36" t="s">
        <v>708</v>
      </c>
      <c r="K568" s="113">
        <f>ROUND(Tableau13[[#This Row],[LEN]]*7.27,0)</f>
        <v>153</v>
      </c>
      <c r="L568" s="113">
        <v>15</v>
      </c>
      <c r="M568" s="130" t="str">
        <f t="shared" si="4"/>
        <v>none</v>
      </c>
      <c r="N568" s="113">
        <f>LEN(Tableau13[[#This Row],[LABEL]])</f>
        <v>21</v>
      </c>
      <c r="O568" s="113">
        <v>15</v>
      </c>
      <c r="P568" s="113" t="e">
        <f>ROUND(Tableau13[[#This Row],[LEN]]*#REF!+#REF!,0)</f>
        <v>#REF!</v>
      </c>
    </row>
    <row r="569" spans="1:16" s="273" customFormat="1" x14ac:dyDescent="0.25">
      <c r="A569" s="309" t="s">
        <v>270</v>
      </c>
      <c r="B569" s="310" t="s">
        <v>207</v>
      </c>
      <c r="C569" s="311" t="s">
        <v>4</v>
      </c>
      <c r="D569" s="312" t="s">
        <v>28</v>
      </c>
      <c r="E569" s="311" t="s">
        <v>666</v>
      </c>
      <c r="F569" s="311" t="s">
        <v>666</v>
      </c>
      <c r="G569" s="312" t="s">
        <v>168</v>
      </c>
      <c r="H569" s="312" t="str">
        <f>IFERROR(IF(SEARCH(".00.00.00.00.00",Tableau13[[#This Row],[name]],1)=7,"Division",""),"")</f>
        <v>Division</v>
      </c>
      <c r="I569" s="311"/>
      <c r="J569" s="313" t="s">
        <v>712</v>
      </c>
      <c r="K569" s="314">
        <f>ROUND(Tableau13[[#This Row],[LEN]]*7.27,0)</f>
        <v>36</v>
      </c>
      <c r="L569" s="314">
        <v>15</v>
      </c>
      <c r="M569" s="315" t="str">
        <f t="shared" si="4"/>
        <v>new</v>
      </c>
      <c r="N569" s="314">
        <f>LEN(Tableau13[[#This Row],[LABEL]])</f>
        <v>5</v>
      </c>
      <c r="O569" s="314">
        <v>15</v>
      </c>
      <c r="P569" s="314" t="e">
        <f>ROUND(Tableau13[[#This Row],[LEN]]*#REF!+#REF!,0)</f>
        <v>#REF!</v>
      </c>
    </row>
    <row r="570" spans="1:16" s="97" customFormat="1" x14ac:dyDescent="0.25">
      <c r="A570" s="33" t="s">
        <v>1427</v>
      </c>
      <c r="B570" s="34" t="s">
        <v>270</v>
      </c>
      <c r="C570" s="35" t="s">
        <v>111</v>
      </c>
      <c r="D570" s="72" t="s">
        <v>28</v>
      </c>
      <c r="E570" s="35" t="s">
        <v>667</v>
      </c>
      <c r="F570" s="35" t="s">
        <v>840</v>
      </c>
      <c r="G570" s="72" t="s">
        <v>168</v>
      </c>
      <c r="H570" s="72" t="s">
        <v>655</v>
      </c>
      <c r="I570" s="35"/>
      <c r="J570" s="36" t="s">
        <v>708</v>
      </c>
      <c r="K570" s="113">
        <f>ROUND(Tableau13[[#This Row],[LEN]]*7.27,0)</f>
        <v>167</v>
      </c>
      <c r="L570" s="113">
        <v>15</v>
      </c>
      <c r="M570" s="130" t="str">
        <f t="shared" si="4"/>
        <v>none</v>
      </c>
      <c r="N570" s="113">
        <f>LEN(Tableau13[[#This Row],[LABEL]])</f>
        <v>23</v>
      </c>
      <c r="O570" s="113">
        <v>15</v>
      </c>
      <c r="P570" s="113" t="e">
        <f>ROUND(Tableau13[[#This Row],[LEN]]*#REF!+#REF!,0)</f>
        <v>#REF!</v>
      </c>
    </row>
    <row r="571" spans="1:16" s="97" customFormat="1" x14ac:dyDescent="0.25">
      <c r="A571" s="37" t="s">
        <v>1428</v>
      </c>
      <c r="B571" s="38" t="s">
        <v>1427</v>
      </c>
      <c r="C571" s="39" t="s">
        <v>112</v>
      </c>
      <c r="D571" s="73" t="s">
        <v>28</v>
      </c>
      <c r="E571" s="39" t="s">
        <v>667</v>
      </c>
      <c r="F571" s="39" t="s">
        <v>840</v>
      </c>
      <c r="G571" s="73" t="s">
        <v>168</v>
      </c>
      <c r="H571" s="73" t="s">
        <v>654</v>
      </c>
      <c r="I571" s="39"/>
      <c r="J571" s="40" t="s">
        <v>708</v>
      </c>
      <c r="K571" s="114">
        <f>ROUND(Tableau13[[#This Row],[LEN]]*7.27,0)</f>
        <v>167</v>
      </c>
      <c r="L571" s="114">
        <v>15</v>
      </c>
      <c r="M571" s="131" t="str">
        <f t="shared" si="4"/>
        <v>none</v>
      </c>
      <c r="N571" s="114">
        <f>LEN(Tableau13[[#This Row],[LABEL]])</f>
        <v>23</v>
      </c>
      <c r="O571" s="114">
        <v>15</v>
      </c>
      <c r="P571" s="114" t="e">
        <f>ROUND(Tableau13[[#This Row],[LEN]]*#REF!+#REF!,0)</f>
        <v>#REF!</v>
      </c>
    </row>
    <row r="572" spans="1:16" s="97" customFormat="1" x14ac:dyDescent="0.25">
      <c r="A572" s="37" t="s">
        <v>1429</v>
      </c>
      <c r="B572" s="38" t="s">
        <v>1427</v>
      </c>
      <c r="C572" s="39" t="s">
        <v>113</v>
      </c>
      <c r="D572" s="73" t="s">
        <v>28</v>
      </c>
      <c r="E572" s="39" t="s">
        <v>667</v>
      </c>
      <c r="F572" s="39" t="s">
        <v>840</v>
      </c>
      <c r="G572" s="73" t="s">
        <v>168</v>
      </c>
      <c r="H572" s="73" t="s">
        <v>654</v>
      </c>
      <c r="I572" s="39"/>
      <c r="J572" s="40" t="s">
        <v>708</v>
      </c>
      <c r="K572" s="114">
        <f>ROUND(Tableau13[[#This Row],[LEN]]*7.27,0)</f>
        <v>233</v>
      </c>
      <c r="L572" s="114">
        <v>15</v>
      </c>
      <c r="M572" s="131" t="str">
        <f t="shared" si="4"/>
        <v>none</v>
      </c>
      <c r="N572" s="114">
        <f>LEN(Tableau13[[#This Row],[LABEL]])</f>
        <v>32</v>
      </c>
      <c r="O572" s="114">
        <v>15</v>
      </c>
      <c r="P572" s="114" t="e">
        <f>ROUND(Tableau13[[#This Row],[LEN]]*#REF!+#REF!,0)</f>
        <v>#REF!</v>
      </c>
    </row>
    <row r="573" spans="1:16" s="273" customFormat="1" x14ac:dyDescent="0.25">
      <c r="A573" s="309" t="s">
        <v>271</v>
      </c>
      <c r="B573" s="310" t="s">
        <v>207</v>
      </c>
      <c r="C573" s="311" t="s">
        <v>80</v>
      </c>
      <c r="D573" s="312" t="s">
        <v>28</v>
      </c>
      <c r="E573" s="311" t="s">
        <v>667</v>
      </c>
      <c r="F573" s="311" t="s">
        <v>667</v>
      </c>
      <c r="G573" s="312" t="s">
        <v>168</v>
      </c>
      <c r="H573" s="312" t="str">
        <f>IFERROR(IF(SEARCH(".00.00.00.00.00",Tableau13[[#This Row],[name]],1)=7,"Division",""),"")</f>
        <v>Division</v>
      </c>
      <c r="I573" s="311"/>
      <c r="J573" s="313" t="s">
        <v>713</v>
      </c>
      <c r="K573" s="314">
        <f>ROUND(Tableau13[[#This Row],[LEN]]*7.27,0)</f>
        <v>116</v>
      </c>
      <c r="L573" s="314">
        <v>15</v>
      </c>
      <c r="M573" s="315" t="str">
        <f t="shared" si="4"/>
        <v>new</v>
      </c>
      <c r="N573" s="314">
        <f>LEN(Tableau13[[#This Row],[LABEL]])</f>
        <v>16</v>
      </c>
      <c r="O573" s="314">
        <v>15</v>
      </c>
      <c r="P573" s="314" t="e">
        <f>ROUND(Tableau13[[#This Row],[LEN]]*#REF!+#REF!,0)</f>
        <v>#REF!</v>
      </c>
    </row>
    <row r="574" spans="1:16" s="97" customFormat="1" x14ac:dyDescent="0.25">
      <c r="A574" s="33" t="s">
        <v>1430</v>
      </c>
      <c r="B574" s="34" t="s">
        <v>271</v>
      </c>
      <c r="C574" s="35" t="s">
        <v>111</v>
      </c>
      <c r="D574" s="72" t="s">
        <v>28</v>
      </c>
      <c r="E574" s="35" t="s">
        <v>667</v>
      </c>
      <c r="F574" s="35" t="s">
        <v>840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ROUND(Tableau13[[#This Row],[LEN]]*7.27,0)</f>
        <v>167</v>
      </c>
      <c r="L574" s="113">
        <v>15</v>
      </c>
      <c r="M574" s="130" t="str">
        <f t="shared" si="4"/>
        <v>none</v>
      </c>
      <c r="N574" s="113">
        <f>LEN(Tableau13[[#This Row],[LABEL]])</f>
        <v>23</v>
      </c>
      <c r="O574" s="113">
        <v>15</v>
      </c>
      <c r="P574" s="113" t="e">
        <f>ROUND(Tableau13[[#This Row],[LEN]]*#REF!+#REF!,0)</f>
        <v>#REF!</v>
      </c>
    </row>
    <row r="575" spans="1:16" s="97" customFormat="1" x14ac:dyDescent="0.25">
      <c r="A575" s="37" t="s">
        <v>1431</v>
      </c>
      <c r="B575" s="38" t="s">
        <v>1430</v>
      </c>
      <c r="C575" s="39" t="s">
        <v>112</v>
      </c>
      <c r="D575" s="73" t="s">
        <v>28</v>
      </c>
      <c r="E575" s="39" t="s">
        <v>667</v>
      </c>
      <c r="F575" s="39" t="s">
        <v>840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ROUND(Tableau13[[#This Row],[LEN]]*7.27,0)</f>
        <v>167</v>
      </c>
      <c r="L575" s="114">
        <v>15</v>
      </c>
      <c r="M575" s="131" t="str">
        <f t="shared" si="4"/>
        <v>none</v>
      </c>
      <c r="N575" s="114">
        <f>LEN(Tableau13[[#This Row],[LABEL]])</f>
        <v>23</v>
      </c>
      <c r="O575" s="114">
        <v>15</v>
      </c>
      <c r="P575" s="114" t="e">
        <f>ROUND(Tableau13[[#This Row],[LEN]]*#REF!+#REF!,0)</f>
        <v>#REF!</v>
      </c>
    </row>
    <row r="576" spans="1:16" s="97" customFormat="1" x14ac:dyDescent="0.25">
      <c r="A576" s="37" t="s">
        <v>1432</v>
      </c>
      <c r="B576" s="38" t="s">
        <v>1430</v>
      </c>
      <c r="C576" s="39" t="s">
        <v>113</v>
      </c>
      <c r="D576" s="73" t="s">
        <v>28</v>
      </c>
      <c r="E576" s="39" t="s">
        <v>667</v>
      </c>
      <c r="F576" s="39" t="s">
        <v>840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ROUND(Tableau13[[#This Row],[LEN]]*7.27,0)</f>
        <v>233</v>
      </c>
      <c r="L576" s="114">
        <v>15</v>
      </c>
      <c r="M576" s="131" t="str">
        <f t="shared" si="4"/>
        <v>none</v>
      </c>
      <c r="N576" s="114">
        <f>LEN(Tableau13[[#This Row],[LABEL]])</f>
        <v>32</v>
      </c>
      <c r="O576" s="114">
        <v>15</v>
      </c>
      <c r="P576" s="114" t="e">
        <f>ROUND(Tableau13[[#This Row],[LEN]]*#REF!+#REF!,0)</f>
        <v>#REF!</v>
      </c>
    </row>
    <row r="577" spans="1:16" s="273" customFormat="1" x14ac:dyDescent="0.25">
      <c r="A577" s="309" t="s">
        <v>272</v>
      </c>
      <c r="B577" s="310" t="s">
        <v>207</v>
      </c>
      <c r="C577" s="311" t="s">
        <v>5</v>
      </c>
      <c r="D577" s="312" t="s">
        <v>28</v>
      </c>
      <c r="E577" s="311" t="s">
        <v>668</v>
      </c>
      <c r="F577" s="311" t="s">
        <v>668</v>
      </c>
      <c r="G577" s="312" t="s">
        <v>168</v>
      </c>
      <c r="H577" s="312" t="str">
        <f>IFERROR(IF(SEARCH(".00.00.00.00.00",Tableau13[[#This Row],[name]],1)=7,"Division",""),"")</f>
        <v>Division</v>
      </c>
      <c r="I577" s="311"/>
      <c r="J577" s="313" t="s">
        <v>714</v>
      </c>
      <c r="K577" s="314">
        <f>ROUND(Tableau13[[#This Row],[LEN]]*7.27,0)</f>
        <v>73</v>
      </c>
      <c r="L577" s="314">
        <v>15</v>
      </c>
      <c r="M577" s="315" t="str">
        <f t="shared" si="4"/>
        <v>new</v>
      </c>
      <c r="N577" s="314">
        <f>LEN(Tableau13[[#This Row],[LABEL]])</f>
        <v>10</v>
      </c>
      <c r="O577" s="314">
        <v>15</v>
      </c>
      <c r="P577" s="314" t="e">
        <f>ROUND(Tableau13[[#This Row],[LEN]]*#REF!+#REF!,0)</f>
        <v>#REF!</v>
      </c>
    </row>
    <row r="578" spans="1:16" s="97" customFormat="1" x14ac:dyDescent="0.25">
      <c r="A578" s="33" t="s">
        <v>1433</v>
      </c>
      <c r="B578" s="34" t="s">
        <v>272</v>
      </c>
      <c r="C578" s="35" t="s">
        <v>111</v>
      </c>
      <c r="D578" s="72" t="s">
        <v>28</v>
      </c>
      <c r="E578" s="35" t="s">
        <v>667</v>
      </c>
      <c r="F578" s="35" t="s">
        <v>840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ROUND(Tableau13[[#This Row],[LEN]]*7.27,0)</f>
        <v>167</v>
      </c>
      <c r="L578" s="113">
        <v>15</v>
      </c>
      <c r="M578" s="130" t="str">
        <f t="shared" si="4"/>
        <v>none</v>
      </c>
      <c r="N578" s="113">
        <f>LEN(Tableau13[[#This Row],[LABEL]])</f>
        <v>23</v>
      </c>
      <c r="O578" s="113">
        <v>15</v>
      </c>
      <c r="P578" s="113" t="e">
        <f>ROUND(Tableau13[[#This Row],[LEN]]*#REF!+#REF!,0)</f>
        <v>#REF!</v>
      </c>
    </row>
    <row r="579" spans="1:16" s="97" customFormat="1" x14ac:dyDescent="0.25">
      <c r="A579" s="37" t="s">
        <v>1434</v>
      </c>
      <c r="B579" s="38" t="s">
        <v>1433</v>
      </c>
      <c r="C579" s="39" t="s">
        <v>112</v>
      </c>
      <c r="D579" s="73" t="s">
        <v>28</v>
      </c>
      <c r="E579" s="39" t="s">
        <v>667</v>
      </c>
      <c r="F579" s="39" t="s">
        <v>840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ROUND(Tableau13[[#This Row],[LEN]]*7.27,0)</f>
        <v>167</v>
      </c>
      <c r="L579" s="114">
        <v>15</v>
      </c>
      <c r="M579" s="131" t="str">
        <f t="shared" si="4"/>
        <v>none</v>
      </c>
      <c r="N579" s="114">
        <f>LEN(Tableau13[[#This Row],[LABEL]])</f>
        <v>23</v>
      </c>
      <c r="O579" s="114">
        <v>15</v>
      </c>
      <c r="P579" s="114" t="e">
        <f>ROUND(Tableau13[[#This Row],[LEN]]*#REF!+#REF!,0)</f>
        <v>#REF!</v>
      </c>
    </row>
    <row r="580" spans="1:16" s="97" customFormat="1" x14ac:dyDescent="0.25">
      <c r="A580" s="37" t="s">
        <v>1435</v>
      </c>
      <c r="B580" s="38" t="s">
        <v>1433</v>
      </c>
      <c r="C580" s="39" t="s">
        <v>113</v>
      </c>
      <c r="D580" s="73" t="s">
        <v>28</v>
      </c>
      <c r="E580" s="39" t="s">
        <v>667</v>
      </c>
      <c r="F580" s="39" t="s">
        <v>840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ROUND(Tableau13[[#This Row],[LEN]]*7.27,0)</f>
        <v>233</v>
      </c>
      <c r="L580" s="114">
        <v>15</v>
      </c>
      <c r="M580" s="131" t="str">
        <f t="shared" si="4"/>
        <v>none</v>
      </c>
      <c r="N580" s="114">
        <f>LEN(Tableau13[[#This Row],[LABEL]])</f>
        <v>32</v>
      </c>
      <c r="O580" s="114">
        <v>15</v>
      </c>
      <c r="P580" s="114" t="e">
        <f>ROUND(Tableau13[[#This Row],[LEN]]*#REF!+#REF!,0)</f>
        <v>#REF!</v>
      </c>
    </row>
    <row r="581" spans="1:16" s="273" customFormat="1" x14ac:dyDescent="0.25">
      <c r="A581" s="309" t="s">
        <v>273</v>
      </c>
      <c r="B581" s="310" t="s">
        <v>207</v>
      </c>
      <c r="C581" s="311" t="s">
        <v>6</v>
      </c>
      <c r="D581" s="312" t="s">
        <v>28</v>
      </c>
      <c r="E581" s="311" t="s">
        <v>669</v>
      </c>
      <c r="F581" s="311" t="s">
        <v>669</v>
      </c>
      <c r="G581" s="312" t="s">
        <v>168</v>
      </c>
      <c r="H581" s="312" t="str">
        <f>IFERROR(IF(SEARCH(".00.00.00.00.00",Tableau13[[#This Row],[name]],1)=7,"Division",""),"")</f>
        <v>Division</v>
      </c>
      <c r="I581" s="311"/>
      <c r="J581" s="313" t="s">
        <v>715</v>
      </c>
      <c r="K581" s="314">
        <f>ROUND(Tableau13[[#This Row],[LEN]]*7.27,0)</f>
        <v>196</v>
      </c>
      <c r="L581" s="314">
        <v>15</v>
      </c>
      <c r="M581" s="315" t="str">
        <f t="shared" si="4"/>
        <v>new</v>
      </c>
      <c r="N581" s="314">
        <f>LEN(Tableau13[[#This Row],[LABEL]])</f>
        <v>27</v>
      </c>
      <c r="O581" s="314">
        <v>15</v>
      </c>
      <c r="P581" s="314" t="e">
        <f>ROUND(Tableau13[[#This Row],[LEN]]*#REF!+#REF!,0)</f>
        <v>#REF!</v>
      </c>
    </row>
    <row r="582" spans="1:16" s="97" customFormat="1" x14ac:dyDescent="0.25">
      <c r="A582" s="33" t="s">
        <v>423</v>
      </c>
      <c r="B582" s="34" t="s">
        <v>273</v>
      </c>
      <c r="C582" s="35" t="s">
        <v>111</v>
      </c>
      <c r="D582" s="72" t="s">
        <v>28</v>
      </c>
      <c r="E582" s="35" t="s">
        <v>667</v>
      </c>
      <c r="F582" s="35" t="s">
        <v>669</v>
      </c>
      <c r="G582" s="72" t="s">
        <v>168</v>
      </c>
      <c r="H582" s="72" t="s">
        <v>655</v>
      </c>
      <c r="I582" s="35"/>
      <c r="J582" s="36" t="s">
        <v>708</v>
      </c>
      <c r="K582" s="113">
        <f>ROUND(Tableau13[[#This Row],[LEN]]*7.27,0)</f>
        <v>167</v>
      </c>
      <c r="L582" s="113">
        <v>15</v>
      </c>
      <c r="M582" s="130" t="str">
        <f t="shared" si="4"/>
        <v>none</v>
      </c>
      <c r="N582" s="113">
        <f>LEN(Tableau13[[#This Row],[LABEL]])</f>
        <v>23</v>
      </c>
      <c r="O582" s="113">
        <v>15</v>
      </c>
      <c r="P582" s="113" t="e">
        <f>ROUND(Tableau13[[#This Row],[LEN]]*#REF!+#REF!,0)</f>
        <v>#REF!</v>
      </c>
    </row>
    <row r="583" spans="1:16" s="97" customFormat="1" x14ac:dyDescent="0.25">
      <c r="A583" s="37" t="s">
        <v>426</v>
      </c>
      <c r="B583" s="38" t="s">
        <v>423</v>
      </c>
      <c r="C583" s="39" t="s">
        <v>112</v>
      </c>
      <c r="D583" s="73" t="s">
        <v>28</v>
      </c>
      <c r="E583" s="39" t="s">
        <v>667</v>
      </c>
      <c r="F583" s="39" t="s">
        <v>669</v>
      </c>
      <c r="G583" s="73" t="s">
        <v>168</v>
      </c>
      <c r="H583" s="73" t="s">
        <v>654</v>
      </c>
      <c r="I583" s="39"/>
      <c r="J583" s="40" t="s">
        <v>708</v>
      </c>
      <c r="K583" s="114">
        <f>ROUND(Tableau13[[#This Row],[LEN]]*7.27,0)</f>
        <v>167</v>
      </c>
      <c r="L583" s="114">
        <v>15</v>
      </c>
      <c r="M583" s="131" t="str">
        <f t="shared" si="4"/>
        <v>none</v>
      </c>
      <c r="N583" s="114">
        <f>LEN(Tableau13[[#This Row],[LABEL]])</f>
        <v>23</v>
      </c>
      <c r="O583" s="114">
        <v>15</v>
      </c>
      <c r="P583" s="114" t="e">
        <f>ROUND(Tableau13[[#This Row],[LEN]]*#REF!+#REF!,0)</f>
        <v>#REF!</v>
      </c>
    </row>
    <row r="584" spans="1:16" s="97" customFormat="1" x14ac:dyDescent="0.25">
      <c r="A584" s="37" t="s">
        <v>427</v>
      </c>
      <c r="B584" s="38" t="s">
        <v>423</v>
      </c>
      <c r="C584" s="39" t="s">
        <v>113</v>
      </c>
      <c r="D584" s="73" t="s">
        <v>28</v>
      </c>
      <c r="E584" s="39" t="s">
        <v>667</v>
      </c>
      <c r="F584" s="39" t="s">
        <v>669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ROUND(Tableau13[[#This Row],[LEN]]*7.27,0)</f>
        <v>233</v>
      </c>
      <c r="L584" s="114">
        <v>15</v>
      </c>
      <c r="M584" s="131" t="str">
        <f t="shared" si="4"/>
        <v>none</v>
      </c>
      <c r="N584" s="114">
        <f>LEN(Tableau13[[#This Row],[LABEL]])</f>
        <v>32</v>
      </c>
      <c r="O584" s="114">
        <v>15</v>
      </c>
      <c r="P584" s="114" t="e">
        <f>ROUND(Tableau13[[#This Row],[LEN]]*#REF!+#REF!,0)</f>
        <v>#REF!</v>
      </c>
    </row>
    <row r="585" spans="1:16" s="97" customFormat="1" x14ac:dyDescent="0.25">
      <c r="A585" s="33" t="s">
        <v>424</v>
      </c>
      <c r="B585" s="34" t="s">
        <v>273</v>
      </c>
      <c r="C585" s="35" t="s">
        <v>156</v>
      </c>
      <c r="D585" s="72" t="s">
        <v>28</v>
      </c>
      <c r="E585" s="35" t="s">
        <v>669</v>
      </c>
      <c r="F585" s="35" t="s">
        <v>669</v>
      </c>
      <c r="G585" s="72" t="s">
        <v>168</v>
      </c>
      <c r="H585" s="72" t="s">
        <v>655</v>
      </c>
      <c r="I585" s="35"/>
      <c r="J585" s="36" t="s">
        <v>708</v>
      </c>
      <c r="K585" s="113">
        <f>ROUND(Tableau13[[#This Row],[LEN]]*7.27,0)</f>
        <v>131</v>
      </c>
      <c r="L585" s="113">
        <v>15</v>
      </c>
      <c r="M585" s="130" t="str">
        <f t="shared" si="4"/>
        <v>none</v>
      </c>
      <c r="N585" s="113">
        <f>LEN(Tableau13[[#This Row],[LABEL]])</f>
        <v>18</v>
      </c>
      <c r="O585" s="113">
        <v>15</v>
      </c>
      <c r="P585" s="113" t="e">
        <f>ROUND(Tableau13[[#This Row],[LEN]]*#REF!+#REF!,0)</f>
        <v>#REF!</v>
      </c>
    </row>
    <row r="586" spans="1:16" s="97" customFormat="1" x14ac:dyDescent="0.25">
      <c r="A586" s="37" t="s">
        <v>428</v>
      </c>
      <c r="B586" s="38" t="s">
        <v>424</v>
      </c>
      <c r="C586" s="39" t="s">
        <v>137</v>
      </c>
      <c r="D586" s="73" t="s">
        <v>28</v>
      </c>
      <c r="E586" s="39" t="s">
        <v>669</v>
      </c>
      <c r="F586" s="39" t="s">
        <v>669</v>
      </c>
      <c r="G586" s="73" t="s">
        <v>168</v>
      </c>
      <c r="H586" s="73" t="s">
        <v>654</v>
      </c>
      <c r="I586" s="39"/>
      <c r="J586" s="40" t="s">
        <v>726</v>
      </c>
      <c r="K586" s="114">
        <f>ROUND(Tableau13[[#This Row],[LEN]]*7.27,0)</f>
        <v>269</v>
      </c>
      <c r="L586" s="114">
        <v>15</v>
      </c>
      <c r="M586" s="131" t="str">
        <f t="shared" si="4"/>
        <v>new</v>
      </c>
      <c r="N586" s="114">
        <f>LEN(Tableau13[[#This Row],[LABEL]])</f>
        <v>37</v>
      </c>
      <c r="O586" s="114">
        <v>15</v>
      </c>
      <c r="P586" s="114" t="e">
        <f>ROUND(Tableau13[[#This Row],[LEN]]*#REF!+#REF!,0)</f>
        <v>#REF!</v>
      </c>
    </row>
    <row r="587" spans="1:16" s="97" customFormat="1" x14ac:dyDescent="0.25">
      <c r="A587" s="37" t="s">
        <v>429</v>
      </c>
      <c r="B587" s="38" t="s">
        <v>424</v>
      </c>
      <c r="C587" s="39" t="s">
        <v>157</v>
      </c>
      <c r="D587" s="73" t="s">
        <v>28</v>
      </c>
      <c r="E587" s="39" t="s">
        <v>669</v>
      </c>
      <c r="F587" s="39" t="s">
        <v>669</v>
      </c>
      <c r="G587" s="73" t="s">
        <v>168</v>
      </c>
      <c r="H587" s="73" t="s">
        <v>656</v>
      </c>
      <c r="I587" s="39"/>
      <c r="J587" s="40" t="s">
        <v>708</v>
      </c>
      <c r="K587" s="114">
        <f>ROUND(Tableau13[[#This Row],[LEN]]*7.27,0)</f>
        <v>538</v>
      </c>
      <c r="L587" s="114">
        <v>15</v>
      </c>
      <c r="M587" s="131" t="str">
        <f t="shared" si="4"/>
        <v>none</v>
      </c>
      <c r="N587" s="114">
        <f>LEN(Tableau13[[#This Row],[LABEL]])</f>
        <v>74</v>
      </c>
      <c r="O587" s="114">
        <v>15</v>
      </c>
      <c r="P587" s="114" t="e">
        <f>ROUND(Tableau13[[#This Row],[LEN]]*#REF!+#REF!,0)</f>
        <v>#REF!</v>
      </c>
    </row>
    <row r="588" spans="1:16" s="97" customFormat="1" x14ac:dyDescent="0.25">
      <c r="A588" s="37" t="s">
        <v>430</v>
      </c>
      <c r="B588" s="38" t="s">
        <v>424</v>
      </c>
      <c r="C588" s="39" t="s">
        <v>158</v>
      </c>
      <c r="D588" s="73" t="s">
        <v>28</v>
      </c>
      <c r="E588" s="39" t="s">
        <v>669</v>
      </c>
      <c r="F588" s="39" t="s">
        <v>669</v>
      </c>
      <c r="G588" s="73" t="s">
        <v>168</v>
      </c>
      <c r="H588" s="73" t="s">
        <v>656</v>
      </c>
      <c r="I588" s="39"/>
      <c r="J588" s="40" t="s">
        <v>708</v>
      </c>
      <c r="K588" s="114">
        <f>ROUND(Tableau13[[#This Row],[LEN]]*7.27,0)</f>
        <v>320</v>
      </c>
      <c r="L588" s="114">
        <v>15</v>
      </c>
      <c r="M588" s="131" t="str">
        <f t="shared" si="4"/>
        <v>none</v>
      </c>
      <c r="N588" s="114">
        <f>LEN(Tableau13[[#This Row],[LABEL]])</f>
        <v>44</v>
      </c>
      <c r="O588" s="114">
        <v>15</v>
      </c>
      <c r="P588" s="114" t="e">
        <f>ROUND(Tableau13[[#This Row],[LEN]]*#REF!+#REF!,0)</f>
        <v>#REF!</v>
      </c>
    </row>
    <row r="589" spans="1:16" s="97" customFormat="1" x14ac:dyDescent="0.25">
      <c r="A589" s="37" t="s">
        <v>431</v>
      </c>
      <c r="B589" s="38" t="s">
        <v>424</v>
      </c>
      <c r="C589" s="39" t="s">
        <v>159</v>
      </c>
      <c r="D589" s="73" t="s">
        <v>28</v>
      </c>
      <c r="E589" s="39" t="s">
        <v>669</v>
      </c>
      <c r="F589" s="39" t="s">
        <v>669</v>
      </c>
      <c r="G589" s="73" t="s">
        <v>168</v>
      </c>
      <c r="H589" s="73" t="s">
        <v>18</v>
      </c>
      <c r="I589" s="39"/>
      <c r="J589" s="40" t="s">
        <v>708</v>
      </c>
      <c r="K589" s="114">
        <f>ROUND(Tableau13[[#This Row],[LEN]]*7.27,0)</f>
        <v>407</v>
      </c>
      <c r="L589" s="114">
        <v>15</v>
      </c>
      <c r="M589" s="131" t="str">
        <f t="shared" si="4"/>
        <v>none</v>
      </c>
      <c r="N589" s="114">
        <f>LEN(Tableau13[[#This Row],[LABEL]])</f>
        <v>56</v>
      </c>
      <c r="O589" s="114">
        <v>15</v>
      </c>
      <c r="P589" s="114" t="e">
        <f>ROUND(Tableau13[[#This Row],[LEN]]*#REF!+#REF!,0)</f>
        <v>#REF!</v>
      </c>
    </row>
    <row r="590" spans="1:16" s="97" customFormat="1" x14ac:dyDescent="0.25">
      <c r="A590" s="37" t="s">
        <v>432</v>
      </c>
      <c r="B590" s="38" t="s">
        <v>424</v>
      </c>
      <c r="C590" s="39" t="s">
        <v>160</v>
      </c>
      <c r="D590" s="73" t="s">
        <v>28</v>
      </c>
      <c r="E590" s="39" t="s">
        <v>669</v>
      </c>
      <c r="F590" s="39" t="s">
        <v>669</v>
      </c>
      <c r="G590" s="73" t="s">
        <v>168</v>
      </c>
      <c r="H590" s="73" t="s">
        <v>18</v>
      </c>
      <c r="I590" s="39"/>
      <c r="J590" s="40" t="s">
        <v>708</v>
      </c>
      <c r="K590" s="114">
        <f>ROUND(Tableau13[[#This Row],[LEN]]*7.27,0)</f>
        <v>371</v>
      </c>
      <c r="L590" s="114">
        <v>15</v>
      </c>
      <c r="M590" s="131" t="str">
        <f t="shared" si="4"/>
        <v>none</v>
      </c>
      <c r="N590" s="114">
        <f>LEN(Tableau13[[#This Row],[LABEL]])</f>
        <v>51</v>
      </c>
      <c r="O590" s="114">
        <v>15</v>
      </c>
      <c r="P590" s="114" t="e">
        <f>ROUND(Tableau13[[#This Row],[LEN]]*#REF!+#REF!,0)</f>
        <v>#REF!</v>
      </c>
    </row>
    <row r="591" spans="1:16" s="97" customFormat="1" x14ac:dyDescent="0.25">
      <c r="A591" s="37" t="s">
        <v>433</v>
      </c>
      <c r="B591" s="38" t="s">
        <v>424</v>
      </c>
      <c r="C591" s="39" t="s">
        <v>161</v>
      </c>
      <c r="D591" s="73" t="s">
        <v>28</v>
      </c>
      <c r="E591" s="39" t="s">
        <v>669</v>
      </c>
      <c r="F591" s="39" t="s">
        <v>669</v>
      </c>
      <c r="G591" s="73" t="s">
        <v>168</v>
      </c>
      <c r="H591" s="73" t="s">
        <v>656</v>
      </c>
      <c r="I591" s="39"/>
      <c r="J591" s="40" t="s">
        <v>708</v>
      </c>
      <c r="K591" s="114">
        <f>ROUND(Tableau13[[#This Row],[LEN]]*7.27,0)</f>
        <v>276</v>
      </c>
      <c r="L591" s="114">
        <v>15</v>
      </c>
      <c r="M591" s="131" t="str">
        <f t="shared" si="4"/>
        <v>none</v>
      </c>
      <c r="N591" s="114">
        <f>LEN(Tableau13[[#This Row],[LABEL]])</f>
        <v>38</v>
      </c>
      <c r="O591" s="114">
        <v>15</v>
      </c>
      <c r="P591" s="114" t="e">
        <f>ROUND(Tableau13[[#This Row],[LEN]]*#REF!+#REF!,0)</f>
        <v>#REF!</v>
      </c>
    </row>
    <row r="592" spans="1:16" s="97" customFormat="1" x14ac:dyDescent="0.25">
      <c r="A592" s="37" t="s">
        <v>434</v>
      </c>
      <c r="B592" s="38" t="s">
        <v>424</v>
      </c>
      <c r="C592" s="39" t="s">
        <v>162</v>
      </c>
      <c r="D592" s="73" t="s">
        <v>28</v>
      </c>
      <c r="E592" s="39" t="s">
        <v>669</v>
      </c>
      <c r="F592" s="39" t="s">
        <v>669</v>
      </c>
      <c r="G592" s="73" t="s">
        <v>168</v>
      </c>
      <c r="H592" s="73" t="s">
        <v>656</v>
      </c>
      <c r="I592" s="39"/>
      <c r="J592" s="40" t="s">
        <v>708</v>
      </c>
      <c r="K592" s="114">
        <f>ROUND(Tableau13[[#This Row],[LEN]]*7.27,0)</f>
        <v>393</v>
      </c>
      <c r="L592" s="114">
        <v>15</v>
      </c>
      <c r="M592" s="131" t="str">
        <f t="shared" si="4"/>
        <v>none</v>
      </c>
      <c r="N592" s="114">
        <f>LEN(Tableau13[[#This Row],[LABEL]])</f>
        <v>54</v>
      </c>
      <c r="O592" s="114">
        <v>15</v>
      </c>
      <c r="P592" s="114" t="e">
        <f>ROUND(Tableau13[[#This Row],[LEN]]*#REF!+#REF!,0)</f>
        <v>#REF!</v>
      </c>
    </row>
    <row r="593" spans="1:16" s="97" customFormat="1" x14ac:dyDescent="0.25">
      <c r="A593" s="37" t="s">
        <v>435</v>
      </c>
      <c r="B593" s="38" t="s">
        <v>424</v>
      </c>
      <c r="C593" s="39" t="s">
        <v>163</v>
      </c>
      <c r="D593" s="73" t="s">
        <v>28</v>
      </c>
      <c r="E593" s="39" t="s">
        <v>669</v>
      </c>
      <c r="F593" s="39" t="s">
        <v>669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ROUND(Tableau13[[#This Row],[LEN]]*7.27,0)</f>
        <v>153</v>
      </c>
      <c r="L593" s="114">
        <v>15</v>
      </c>
      <c r="M593" s="131" t="str">
        <f t="shared" si="4"/>
        <v>none</v>
      </c>
      <c r="N593" s="114">
        <f>LEN(Tableau13[[#This Row],[LABEL]])</f>
        <v>21</v>
      </c>
      <c r="O593" s="114">
        <v>15</v>
      </c>
      <c r="P593" s="114" t="e">
        <f>ROUND(Tableau13[[#This Row],[LEN]]*#REF!+#REF!,0)</f>
        <v>#REF!</v>
      </c>
    </row>
    <row r="594" spans="1:16" s="97" customFormat="1" x14ac:dyDescent="0.25">
      <c r="A594" s="33" t="s">
        <v>425</v>
      </c>
      <c r="B594" s="34" t="s">
        <v>273</v>
      </c>
      <c r="C594" s="35" t="s">
        <v>114</v>
      </c>
      <c r="D594" s="72" t="s">
        <v>28</v>
      </c>
      <c r="E594" s="35" t="s">
        <v>661</v>
      </c>
      <c r="F594" s="35" t="s">
        <v>1445</v>
      </c>
      <c r="G594" s="72" t="s">
        <v>168</v>
      </c>
      <c r="H594" s="72" t="s">
        <v>654</v>
      </c>
      <c r="I594" s="35"/>
      <c r="J594" s="36" t="s">
        <v>708</v>
      </c>
      <c r="K594" s="113">
        <f>ROUND(Tableau13[[#This Row],[LEN]]*7.27,0)</f>
        <v>153</v>
      </c>
      <c r="L594" s="113">
        <v>15</v>
      </c>
      <c r="M594" s="130" t="str">
        <f t="shared" si="4"/>
        <v>none</v>
      </c>
      <c r="N594" s="113">
        <f>LEN(Tableau13[[#This Row],[LABEL]])</f>
        <v>21</v>
      </c>
      <c r="O594" s="113">
        <v>15</v>
      </c>
      <c r="P594" s="113" t="e">
        <f>ROUND(Tableau13[[#This Row],[LEN]]*#REF!+#REF!,0)</f>
        <v>#REF!</v>
      </c>
    </row>
    <row r="595" spans="1:16" s="273" customFormat="1" x14ac:dyDescent="0.25">
      <c r="A595" s="309" t="s">
        <v>274</v>
      </c>
      <c r="B595" s="310" t="s">
        <v>207</v>
      </c>
      <c r="C595" s="311" t="s">
        <v>7</v>
      </c>
      <c r="D595" s="312" t="s">
        <v>28</v>
      </c>
      <c r="E595" s="311" t="s">
        <v>670</v>
      </c>
      <c r="F595" s="311" t="s">
        <v>670</v>
      </c>
      <c r="G595" s="312" t="s">
        <v>168</v>
      </c>
      <c r="H595" s="312" t="str">
        <f>IFERROR(IF(SEARCH(".00.00.00.00.00",Tableau13[[#This Row],[name]],1)=7,"Division",""),"")</f>
        <v>Division</v>
      </c>
      <c r="I595" s="311"/>
      <c r="J595" s="313" t="s">
        <v>716</v>
      </c>
      <c r="K595" s="314">
        <f>ROUND(Tableau13[[#This Row],[LEN]]*7.27,0)</f>
        <v>189</v>
      </c>
      <c r="L595" s="314">
        <v>15</v>
      </c>
      <c r="M595" s="315" t="str">
        <f t="shared" si="4"/>
        <v>new</v>
      </c>
      <c r="N595" s="314">
        <f>LEN(Tableau13[[#This Row],[LABEL]])</f>
        <v>26</v>
      </c>
      <c r="O595" s="314">
        <v>15</v>
      </c>
      <c r="P595" s="314" t="e">
        <f>ROUND(Tableau13[[#This Row],[LEN]]*#REF!+#REF!,0)</f>
        <v>#REF!</v>
      </c>
    </row>
    <row r="596" spans="1:16" s="97" customFormat="1" x14ac:dyDescent="0.25">
      <c r="A596" s="33" t="s">
        <v>1436</v>
      </c>
      <c r="B596" s="34" t="s">
        <v>274</v>
      </c>
      <c r="C596" s="35" t="s">
        <v>1440</v>
      </c>
      <c r="D596" s="72" t="s">
        <v>28</v>
      </c>
      <c r="E596" s="35" t="s">
        <v>670</v>
      </c>
      <c r="F596" s="35" t="s">
        <v>1177</v>
      </c>
      <c r="G596" s="72" t="s">
        <v>168</v>
      </c>
      <c r="H596" s="72" t="s">
        <v>656</v>
      </c>
      <c r="I596" s="35"/>
      <c r="J596" s="36" t="s">
        <v>708</v>
      </c>
      <c r="K596" s="113">
        <f>ROUND(Tableau13[[#This Row],[LEN]]*7.27,0)</f>
        <v>342</v>
      </c>
      <c r="L596" s="113">
        <v>15</v>
      </c>
      <c r="M596" s="130" t="str">
        <f t="shared" si="4"/>
        <v>none</v>
      </c>
      <c r="N596" s="113">
        <f>LEN(Tableau13[[#This Row],[LABEL]])</f>
        <v>47</v>
      </c>
      <c r="O596" s="113">
        <v>15</v>
      </c>
      <c r="P596" s="113" t="e">
        <f>ROUND(Tableau13[[#This Row],[LEN]]*#REF!+#REF!,0)</f>
        <v>#REF!</v>
      </c>
    </row>
    <row r="597" spans="1:16" s="97" customFormat="1" x14ac:dyDescent="0.25">
      <c r="A597" s="33" t="s">
        <v>1437</v>
      </c>
      <c r="B597" s="34" t="s">
        <v>274</v>
      </c>
      <c r="C597" s="35" t="s">
        <v>1441</v>
      </c>
      <c r="D597" s="72" t="s">
        <v>28</v>
      </c>
      <c r="E597" s="35" t="s">
        <v>670</v>
      </c>
      <c r="F597" s="35" t="s">
        <v>1177</v>
      </c>
      <c r="G597" s="72" t="s">
        <v>168</v>
      </c>
      <c r="H597" s="72" t="s">
        <v>656</v>
      </c>
      <c r="I597" s="35"/>
      <c r="J597" s="36" t="s">
        <v>708</v>
      </c>
      <c r="K597" s="113">
        <f>ROUND(Tableau13[[#This Row],[LEN]]*7.27,0)</f>
        <v>305</v>
      </c>
      <c r="L597" s="113">
        <v>15</v>
      </c>
      <c r="M597" s="130" t="str">
        <f t="shared" si="4"/>
        <v>none</v>
      </c>
      <c r="N597" s="113">
        <f>LEN(Tableau13[[#This Row],[LABEL]])</f>
        <v>42</v>
      </c>
      <c r="O597" s="113">
        <v>15</v>
      </c>
      <c r="P597" s="113" t="e">
        <f>ROUND(Tableau13[[#This Row],[LEN]]*#REF!+#REF!,0)</f>
        <v>#REF!</v>
      </c>
    </row>
    <row r="598" spans="1:16" s="97" customFormat="1" x14ac:dyDescent="0.25">
      <c r="A598" s="33" t="s">
        <v>1438</v>
      </c>
      <c r="B598" s="34" t="s">
        <v>274</v>
      </c>
      <c r="C598" s="35" t="s">
        <v>1442</v>
      </c>
      <c r="D598" s="72" t="s">
        <v>28</v>
      </c>
      <c r="E598" s="35" t="s">
        <v>670</v>
      </c>
      <c r="F598" s="35" t="s">
        <v>1177</v>
      </c>
      <c r="G598" s="72" t="s">
        <v>168</v>
      </c>
      <c r="H598" s="72" t="s">
        <v>656</v>
      </c>
      <c r="I598" s="35"/>
      <c r="J598" s="36" t="s">
        <v>708</v>
      </c>
      <c r="K598" s="113">
        <f>ROUND(Tableau13[[#This Row],[LEN]]*7.27,0)</f>
        <v>167</v>
      </c>
      <c r="L598" s="113">
        <v>15</v>
      </c>
      <c r="M598" s="130" t="str">
        <f t="shared" si="4"/>
        <v>none</v>
      </c>
      <c r="N598" s="113">
        <f>LEN(Tableau13[[#This Row],[LABEL]])</f>
        <v>23</v>
      </c>
      <c r="O598" s="113">
        <v>15</v>
      </c>
      <c r="P598" s="113" t="e">
        <f>ROUND(Tableau13[[#This Row],[LEN]]*#REF!+#REF!,0)</f>
        <v>#REF!</v>
      </c>
    </row>
    <row r="599" spans="1:16" s="97" customFormat="1" x14ac:dyDescent="0.25">
      <c r="A599" s="33" t="s">
        <v>1439</v>
      </c>
      <c r="B599" s="34" t="s">
        <v>274</v>
      </c>
      <c r="C599" s="35" t="s">
        <v>1443</v>
      </c>
      <c r="D599" s="72" t="s">
        <v>28</v>
      </c>
      <c r="E599" s="35" t="s">
        <v>670</v>
      </c>
      <c r="F599" s="35" t="s">
        <v>1177</v>
      </c>
      <c r="G599" s="72" t="s">
        <v>168</v>
      </c>
      <c r="H599" s="72" t="s">
        <v>656</v>
      </c>
      <c r="I599" s="35"/>
      <c r="J599" s="36" t="s">
        <v>708</v>
      </c>
      <c r="K599" s="113">
        <f>ROUND(Tableau13[[#This Row],[LEN]]*7.27,0)</f>
        <v>385</v>
      </c>
      <c r="L599" s="113">
        <v>15</v>
      </c>
      <c r="M599" s="130" t="str">
        <f t="shared" si="4"/>
        <v>none</v>
      </c>
      <c r="N599" s="113">
        <f>LEN(Tableau13[[#This Row],[LABEL]])</f>
        <v>53</v>
      </c>
      <c r="O599" s="113">
        <v>15</v>
      </c>
      <c r="P599" s="113" t="e">
        <f>ROUND(Tableau13[[#This Row],[LEN]]*#REF!+#REF!,0)</f>
        <v>#REF!</v>
      </c>
    </row>
    <row r="600" spans="1:16" s="273" customFormat="1" x14ac:dyDescent="0.25">
      <c r="A600" s="309" t="s">
        <v>275</v>
      </c>
      <c r="B600" s="310" t="s">
        <v>207</v>
      </c>
      <c r="C600" s="311" t="s">
        <v>8</v>
      </c>
      <c r="D600" s="312" t="s">
        <v>28</v>
      </c>
      <c r="E600" s="311" t="s">
        <v>671</v>
      </c>
      <c r="F600" s="311" t="s">
        <v>671</v>
      </c>
      <c r="G600" s="312" t="s">
        <v>168</v>
      </c>
      <c r="H600" s="312" t="str">
        <f>IFERROR(IF(SEARCH(".00.00.00.00.00",Tableau13[[#This Row],[name]],1)=7,"Division",""),"")</f>
        <v>Division</v>
      </c>
      <c r="I600" s="311"/>
      <c r="J600" s="313" t="s">
        <v>717</v>
      </c>
      <c r="K600" s="314">
        <f>ROUND(Tableau13[[#This Row],[LEN]]*7.27,0)</f>
        <v>116</v>
      </c>
      <c r="L600" s="314">
        <v>15</v>
      </c>
      <c r="M600" s="315" t="str">
        <f t="shared" si="4"/>
        <v>new</v>
      </c>
      <c r="N600" s="314">
        <f>LEN(Tableau13[[#This Row],[LABEL]])</f>
        <v>16</v>
      </c>
      <c r="O600" s="314">
        <v>15</v>
      </c>
      <c r="P600" s="314" t="e">
        <f>ROUND(Tableau13[[#This Row],[LEN]]*#REF!+#REF!,0)</f>
        <v>#REF!</v>
      </c>
    </row>
    <row r="601" spans="1:16" s="273" customFormat="1" x14ac:dyDescent="0.25">
      <c r="A601" s="309" t="s">
        <v>276</v>
      </c>
      <c r="B601" s="310" t="s">
        <v>207</v>
      </c>
      <c r="C601" s="311" t="s">
        <v>9</v>
      </c>
      <c r="D601" s="312" t="s">
        <v>28</v>
      </c>
      <c r="E601" s="311" t="s">
        <v>672</v>
      </c>
      <c r="F601" s="311" t="s">
        <v>672</v>
      </c>
      <c r="G601" s="312" t="s">
        <v>168</v>
      </c>
      <c r="H601" s="312" t="str">
        <f>IFERROR(IF(SEARCH(".00.00.00.00.00",Tableau13[[#This Row],[name]],1)=7,"Division",""),"")</f>
        <v>Division</v>
      </c>
      <c r="I601" s="311"/>
      <c r="J601" s="313" t="s">
        <v>718</v>
      </c>
      <c r="K601" s="314">
        <f>ROUND(Tableau13[[#This Row],[LEN]]*7.27,0)</f>
        <v>80</v>
      </c>
      <c r="L601" s="314">
        <v>15</v>
      </c>
      <c r="M601" s="315" t="str">
        <f t="shared" si="4"/>
        <v>new</v>
      </c>
      <c r="N601" s="314">
        <f>LEN(Tableau13[[#This Row],[LABEL]])</f>
        <v>11</v>
      </c>
      <c r="O601" s="314">
        <v>15</v>
      </c>
      <c r="P601" s="314" t="e">
        <f>ROUND(Tableau13[[#This Row],[LEN]]*#REF!+#REF!,0)</f>
        <v>#REF!</v>
      </c>
    </row>
    <row r="602" spans="1:16" s="97" customFormat="1" x14ac:dyDescent="0.25">
      <c r="A602" s="33" t="s">
        <v>1444</v>
      </c>
      <c r="B602" s="34" t="s">
        <v>276</v>
      </c>
      <c r="C602" s="35" t="s">
        <v>111</v>
      </c>
      <c r="D602" s="72" t="s">
        <v>28</v>
      </c>
      <c r="E602" s="35" t="s">
        <v>667</v>
      </c>
      <c r="F602" s="35" t="s">
        <v>840</v>
      </c>
      <c r="G602" s="72" t="s">
        <v>168</v>
      </c>
      <c r="H602" s="72" t="s">
        <v>655</v>
      </c>
      <c r="I602" s="35"/>
      <c r="J602" s="36" t="s">
        <v>708</v>
      </c>
      <c r="K602" s="113">
        <f>ROUND(Tableau13[[#This Row],[LEN]]*7.27,0)</f>
        <v>167</v>
      </c>
      <c r="L602" s="113">
        <v>15</v>
      </c>
      <c r="M602" s="130" t="str">
        <f t="shared" si="4"/>
        <v>none</v>
      </c>
      <c r="N602" s="113">
        <f>LEN(Tableau13[[#This Row],[LABEL]])</f>
        <v>23</v>
      </c>
      <c r="O602" s="113">
        <v>15</v>
      </c>
      <c r="P602" s="113" t="e">
        <f>ROUND(Tableau13[[#This Row],[LEN]]*#REF!+#REF!,0)</f>
        <v>#REF!</v>
      </c>
    </row>
    <row r="603" spans="1:16" s="97" customFormat="1" x14ac:dyDescent="0.25">
      <c r="A603" s="37" t="s">
        <v>509</v>
      </c>
      <c r="B603" s="38" t="s">
        <v>1444</v>
      </c>
      <c r="C603" s="39" t="s">
        <v>112</v>
      </c>
      <c r="D603" s="73" t="s">
        <v>28</v>
      </c>
      <c r="E603" s="39" t="s">
        <v>667</v>
      </c>
      <c r="F603" s="39" t="s">
        <v>840</v>
      </c>
      <c r="G603" s="73" t="s">
        <v>168</v>
      </c>
      <c r="H603" s="73" t="s">
        <v>654</v>
      </c>
      <c r="I603" s="39"/>
      <c r="J603" s="40" t="s">
        <v>708</v>
      </c>
      <c r="K603" s="114">
        <f>ROUND(Tableau13[[#This Row],[LEN]]*7.27,0)</f>
        <v>167</v>
      </c>
      <c r="L603" s="114">
        <v>15</v>
      </c>
      <c r="M603" s="131" t="str">
        <f t="shared" si="4"/>
        <v>none</v>
      </c>
      <c r="N603" s="114">
        <f>LEN(Tableau13[[#This Row],[LABEL]])</f>
        <v>23</v>
      </c>
      <c r="O603" s="114">
        <v>15</v>
      </c>
      <c r="P603" s="114" t="e">
        <f>ROUND(Tableau13[[#This Row],[LEN]]*#REF!+#REF!,0)</f>
        <v>#REF!</v>
      </c>
    </row>
    <row r="604" spans="1:16" s="97" customFormat="1" x14ac:dyDescent="0.25">
      <c r="A604" s="37" t="s">
        <v>510</v>
      </c>
      <c r="B604" s="38" t="s">
        <v>1444</v>
      </c>
      <c r="C604" s="39" t="s">
        <v>113</v>
      </c>
      <c r="D604" s="73" t="s">
        <v>28</v>
      </c>
      <c r="E604" s="39" t="s">
        <v>667</v>
      </c>
      <c r="F604" s="39" t="s">
        <v>840</v>
      </c>
      <c r="G604" s="73" t="s">
        <v>168</v>
      </c>
      <c r="H604" s="73" t="s">
        <v>654</v>
      </c>
      <c r="I604" s="39"/>
      <c r="J604" s="40" t="s">
        <v>708</v>
      </c>
      <c r="K604" s="114">
        <f>ROUND(Tableau13[[#This Row],[LEN]]*7.27,0)</f>
        <v>233</v>
      </c>
      <c r="L604" s="114">
        <v>15</v>
      </c>
      <c r="M604" s="131" t="str">
        <f t="shared" si="4"/>
        <v>none</v>
      </c>
      <c r="N604" s="114">
        <f>LEN(Tableau13[[#This Row],[LABEL]])</f>
        <v>32</v>
      </c>
      <c r="O604" s="114">
        <v>15</v>
      </c>
      <c r="P604" s="114" t="e">
        <f>ROUND(Tableau13[[#This Row],[LEN]]*#REF!+#REF!,0)</f>
        <v>#REF!</v>
      </c>
    </row>
    <row r="605" spans="1:16" s="273" customFormat="1" x14ac:dyDescent="0.25">
      <c r="A605" s="309" t="s">
        <v>277</v>
      </c>
      <c r="B605" s="310" t="s">
        <v>207</v>
      </c>
      <c r="C605" s="311" t="s">
        <v>10</v>
      </c>
      <c r="D605" s="312" t="s">
        <v>28</v>
      </c>
      <c r="E605" s="311" t="s">
        <v>673</v>
      </c>
      <c r="F605" s="311" t="s">
        <v>673</v>
      </c>
      <c r="G605" s="312" t="s">
        <v>168</v>
      </c>
      <c r="H605" s="312" t="str">
        <f>IFERROR(IF(SEARCH(".00.00.00.00.00",Tableau13[[#This Row],[name]],1)=7,"Division",""),"")</f>
        <v>Division</v>
      </c>
      <c r="I605" s="311"/>
      <c r="J605" s="313" t="s">
        <v>719</v>
      </c>
      <c r="K605" s="314">
        <f>ROUND(Tableau13[[#This Row],[LEN]]*7.27,0)</f>
        <v>109</v>
      </c>
      <c r="L605" s="314">
        <v>15</v>
      </c>
      <c r="M605" s="315" t="str">
        <f t="shared" si="4"/>
        <v>new</v>
      </c>
      <c r="N605" s="314">
        <f>LEN(Tableau13[[#This Row],[LABEL]])</f>
        <v>15</v>
      </c>
      <c r="O605" s="314">
        <v>15</v>
      </c>
      <c r="P605" s="314" t="e">
        <f>ROUND(Tableau13[[#This Row],[LEN]]*#REF!+#REF!,0)</f>
        <v>#REF!</v>
      </c>
    </row>
    <row r="606" spans="1:16" s="97" customFormat="1" x14ac:dyDescent="0.25">
      <c r="A606" s="33" t="s">
        <v>1446</v>
      </c>
      <c r="B606" s="34" t="s">
        <v>277</v>
      </c>
      <c r="C606" s="35" t="s">
        <v>111</v>
      </c>
      <c r="D606" s="72" t="s">
        <v>28</v>
      </c>
      <c r="E606" s="35" t="s">
        <v>667</v>
      </c>
      <c r="F606" s="35" t="s">
        <v>840</v>
      </c>
      <c r="G606" s="72" t="s">
        <v>168</v>
      </c>
      <c r="H606" s="72" t="s">
        <v>655</v>
      </c>
      <c r="I606" s="35"/>
      <c r="J606" s="36" t="s">
        <v>708</v>
      </c>
      <c r="K606" s="113">
        <f>ROUND(Tableau13[[#This Row],[LEN]]*7.27,0)</f>
        <v>167</v>
      </c>
      <c r="L606" s="113">
        <v>15</v>
      </c>
      <c r="M606" s="130" t="str">
        <f t="shared" si="4"/>
        <v>none</v>
      </c>
      <c r="N606" s="113">
        <f>LEN(Tableau13[[#This Row],[LABEL]])</f>
        <v>23</v>
      </c>
      <c r="O606" s="113">
        <v>15</v>
      </c>
      <c r="P606" s="113" t="e">
        <f>ROUND(Tableau13[[#This Row],[LEN]]*#REF!+#REF!,0)</f>
        <v>#REF!</v>
      </c>
    </row>
    <row r="607" spans="1:16" s="97" customFormat="1" x14ac:dyDescent="0.25">
      <c r="A607" s="37" t="s">
        <v>1448</v>
      </c>
      <c r="B607" s="38" t="s">
        <v>1446</v>
      </c>
      <c r="C607" s="39" t="s">
        <v>112</v>
      </c>
      <c r="D607" s="73" t="s">
        <v>28</v>
      </c>
      <c r="E607" s="39" t="s">
        <v>667</v>
      </c>
      <c r="F607" s="39" t="s">
        <v>840</v>
      </c>
      <c r="G607" s="73" t="s">
        <v>168</v>
      </c>
      <c r="H607" s="73" t="s">
        <v>654</v>
      </c>
      <c r="I607" s="39"/>
      <c r="J607" s="40" t="s">
        <v>708</v>
      </c>
      <c r="K607" s="114">
        <f>ROUND(Tableau13[[#This Row],[LEN]]*7.27,0)</f>
        <v>167</v>
      </c>
      <c r="L607" s="114">
        <v>15</v>
      </c>
      <c r="M607" s="131" t="str">
        <f t="shared" si="4"/>
        <v>none</v>
      </c>
      <c r="N607" s="114">
        <f>LEN(Tableau13[[#This Row],[LABEL]])</f>
        <v>23</v>
      </c>
      <c r="O607" s="114">
        <v>15</v>
      </c>
      <c r="P607" s="114" t="e">
        <f>ROUND(Tableau13[[#This Row],[LEN]]*#REF!+#REF!,0)</f>
        <v>#REF!</v>
      </c>
    </row>
    <row r="608" spans="1:16" s="97" customFormat="1" x14ac:dyDescent="0.25">
      <c r="A608" s="37" t="s">
        <v>1449</v>
      </c>
      <c r="B608" s="38" t="s">
        <v>1446</v>
      </c>
      <c r="C608" s="39" t="s">
        <v>113</v>
      </c>
      <c r="D608" s="73" t="s">
        <v>28</v>
      </c>
      <c r="E608" s="39" t="s">
        <v>667</v>
      </c>
      <c r="F608" s="39" t="s">
        <v>840</v>
      </c>
      <c r="G608" s="73" t="s">
        <v>168</v>
      </c>
      <c r="H608" s="73" t="s">
        <v>654</v>
      </c>
      <c r="I608" s="39"/>
      <c r="J608" s="40" t="s">
        <v>708</v>
      </c>
      <c r="K608" s="114">
        <f>ROUND(Tableau13[[#This Row],[LEN]]*7.27,0)</f>
        <v>233</v>
      </c>
      <c r="L608" s="114">
        <v>15</v>
      </c>
      <c r="M608" s="131" t="str">
        <f t="shared" si="4"/>
        <v>none</v>
      </c>
      <c r="N608" s="114">
        <f>LEN(Tableau13[[#This Row],[LABEL]])</f>
        <v>32</v>
      </c>
      <c r="O608" s="114">
        <v>15</v>
      </c>
      <c r="P608" s="114" t="e">
        <f>ROUND(Tableau13[[#This Row],[LEN]]*#REF!+#REF!,0)</f>
        <v>#REF!</v>
      </c>
    </row>
    <row r="609" spans="1:16" s="97" customFormat="1" x14ac:dyDescent="0.25">
      <c r="A609" s="33" t="s">
        <v>1447</v>
      </c>
      <c r="B609" s="34" t="s">
        <v>277</v>
      </c>
      <c r="C609" s="35" t="s">
        <v>114</v>
      </c>
      <c r="D609" s="72" t="s">
        <v>28</v>
      </c>
      <c r="E609" s="35" t="s">
        <v>661</v>
      </c>
      <c r="F609" s="35" t="s">
        <v>1445</v>
      </c>
      <c r="G609" s="72" t="s">
        <v>168</v>
      </c>
      <c r="H609" s="72" t="s">
        <v>654</v>
      </c>
      <c r="I609" s="35"/>
      <c r="J609" s="36" t="s">
        <v>708</v>
      </c>
      <c r="K609" s="113">
        <f>ROUND(Tableau13[[#This Row],[LEN]]*7.27,0)</f>
        <v>153</v>
      </c>
      <c r="L609" s="113">
        <v>15</v>
      </c>
      <c r="M609" s="130" t="str">
        <f t="shared" si="4"/>
        <v>none</v>
      </c>
      <c r="N609" s="113">
        <f>LEN(Tableau13[[#This Row],[LABEL]])</f>
        <v>21</v>
      </c>
      <c r="O609" s="113">
        <v>15</v>
      </c>
      <c r="P609" s="113" t="e">
        <f>ROUND(Tableau13[[#This Row],[LEN]]*#REF!+#REF!,0)</f>
        <v>#REF!</v>
      </c>
    </row>
    <row r="610" spans="1:16" s="273" customFormat="1" x14ac:dyDescent="0.25">
      <c r="A610" s="309" t="s">
        <v>278</v>
      </c>
      <c r="B610" s="310" t="s">
        <v>207</v>
      </c>
      <c r="C610" s="311" t="s">
        <v>11</v>
      </c>
      <c r="D610" s="312" t="s">
        <v>28</v>
      </c>
      <c r="E610" s="311" t="s">
        <v>674</v>
      </c>
      <c r="F610" s="311" t="s">
        <v>674</v>
      </c>
      <c r="G610" s="312" t="s">
        <v>168</v>
      </c>
      <c r="H610" s="312" t="str">
        <f>IFERROR(IF(SEARCH(".00.00.00.00.00",Tableau13[[#This Row],[name]],1)=7,"Division",""),"")</f>
        <v>Division</v>
      </c>
      <c r="I610" s="311"/>
      <c r="J610" s="313" t="s">
        <v>720</v>
      </c>
      <c r="K610" s="314">
        <f>ROUND(Tableau13[[#This Row],[LEN]]*7.27,0)</f>
        <v>51</v>
      </c>
      <c r="L610" s="314">
        <v>15</v>
      </c>
      <c r="M610" s="315" t="str">
        <f t="shared" si="4"/>
        <v>new</v>
      </c>
      <c r="N610" s="314">
        <f>LEN(Tableau13[[#This Row],[LABEL]])</f>
        <v>7</v>
      </c>
      <c r="O610" s="314">
        <v>15</v>
      </c>
      <c r="P610" s="314" t="e">
        <f>ROUND(Tableau13[[#This Row],[LEN]]*#REF!+#REF!,0)</f>
        <v>#REF!</v>
      </c>
    </row>
    <row r="611" spans="1:16" s="97" customFormat="1" x14ac:dyDescent="0.25">
      <c r="A611" s="33" t="s">
        <v>1450</v>
      </c>
      <c r="B611" s="34" t="s">
        <v>278</v>
      </c>
      <c r="C611" s="35" t="s">
        <v>111</v>
      </c>
      <c r="D611" s="72" t="s">
        <v>28</v>
      </c>
      <c r="E611" s="35" t="s">
        <v>667</v>
      </c>
      <c r="F611" s="35" t="s">
        <v>840</v>
      </c>
      <c r="G611" s="72" t="s">
        <v>168</v>
      </c>
      <c r="H611" s="72" t="s">
        <v>655</v>
      </c>
      <c r="I611" s="35"/>
      <c r="J611" s="36" t="s">
        <v>708</v>
      </c>
      <c r="K611" s="113">
        <f>ROUND(Tableau13[[#This Row],[LEN]]*7.27,0)</f>
        <v>167</v>
      </c>
      <c r="L611" s="113">
        <v>15</v>
      </c>
      <c r="M611" s="130" t="str">
        <f t="shared" si="4"/>
        <v>none</v>
      </c>
      <c r="N611" s="113">
        <f>LEN(Tableau13[[#This Row],[LABEL]])</f>
        <v>23</v>
      </c>
      <c r="O611" s="113">
        <v>15</v>
      </c>
      <c r="P611" s="113" t="e">
        <f>ROUND(Tableau13[[#This Row],[LEN]]*#REF!+#REF!,0)</f>
        <v>#REF!</v>
      </c>
    </row>
    <row r="612" spans="1:16" s="97" customFormat="1" x14ac:dyDescent="0.25">
      <c r="A612" s="37" t="s">
        <v>1451</v>
      </c>
      <c r="B612" s="38" t="s">
        <v>1450</v>
      </c>
      <c r="C612" s="39" t="s">
        <v>112</v>
      </c>
      <c r="D612" s="73" t="s">
        <v>28</v>
      </c>
      <c r="E612" s="39" t="s">
        <v>667</v>
      </c>
      <c r="F612" s="39" t="s">
        <v>840</v>
      </c>
      <c r="G612" s="73" t="s">
        <v>168</v>
      </c>
      <c r="H612" s="73" t="s">
        <v>654</v>
      </c>
      <c r="I612" s="39"/>
      <c r="J612" s="40" t="s">
        <v>708</v>
      </c>
      <c r="K612" s="114">
        <f>ROUND(Tableau13[[#This Row],[LEN]]*7.27,0)</f>
        <v>167</v>
      </c>
      <c r="L612" s="114">
        <v>15</v>
      </c>
      <c r="M612" s="131" t="str">
        <f t="shared" si="4"/>
        <v>none</v>
      </c>
      <c r="N612" s="114">
        <f>LEN(Tableau13[[#This Row],[LABEL]])</f>
        <v>23</v>
      </c>
      <c r="O612" s="114">
        <v>15</v>
      </c>
      <c r="P612" s="114" t="e">
        <f>ROUND(Tableau13[[#This Row],[LEN]]*#REF!+#REF!,0)</f>
        <v>#REF!</v>
      </c>
    </row>
    <row r="613" spans="1:16" s="97" customFormat="1" x14ac:dyDescent="0.25">
      <c r="A613" s="37" t="s">
        <v>1452</v>
      </c>
      <c r="B613" s="38" t="s">
        <v>1450</v>
      </c>
      <c r="C613" s="39" t="s">
        <v>113</v>
      </c>
      <c r="D613" s="73" t="s">
        <v>28</v>
      </c>
      <c r="E613" s="39" t="s">
        <v>667</v>
      </c>
      <c r="F613" s="39" t="s">
        <v>840</v>
      </c>
      <c r="G613" s="73" t="s">
        <v>168</v>
      </c>
      <c r="H613" s="73" t="s">
        <v>654</v>
      </c>
      <c r="I613" s="39"/>
      <c r="J613" s="40" t="s">
        <v>708</v>
      </c>
      <c r="K613" s="114">
        <f>ROUND(Tableau13[[#This Row],[LEN]]*7.27,0)</f>
        <v>233</v>
      </c>
      <c r="L613" s="114">
        <v>15</v>
      </c>
      <c r="M613" s="131" t="str">
        <f t="shared" si="4"/>
        <v>none</v>
      </c>
      <c r="N613" s="114">
        <f>LEN(Tableau13[[#This Row],[LABEL]])</f>
        <v>32</v>
      </c>
      <c r="O613" s="114">
        <v>15</v>
      </c>
      <c r="P613" s="114" t="e">
        <f>ROUND(Tableau13[[#This Row],[LEN]]*#REF!+#REF!,0)</f>
        <v>#REF!</v>
      </c>
    </row>
    <row r="614" spans="1:16" s="97" customFormat="1" x14ac:dyDescent="0.25">
      <c r="A614" s="33" t="s">
        <v>1450</v>
      </c>
      <c r="B614" s="34" t="s">
        <v>278</v>
      </c>
      <c r="C614" s="35" t="s">
        <v>1456</v>
      </c>
      <c r="D614" s="72" t="s">
        <v>28</v>
      </c>
      <c r="E614" s="35" t="s">
        <v>674</v>
      </c>
      <c r="F614" s="35" t="s">
        <v>1177</v>
      </c>
      <c r="G614" s="72" t="s">
        <v>168</v>
      </c>
      <c r="H614" s="72" t="s">
        <v>656</v>
      </c>
      <c r="I614" s="35"/>
      <c r="J614" s="36" t="s">
        <v>708</v>
      </c>
      <c r="K614" s="113">
        <f>ROUND(Tableau13[[#This Row],[LEN]]*7.27,0)</f>
        <v>342</v>
      </c>
      <c r="L614" s="113">
        <v>15</v>
      </c>
      <c r="M614" s="130" t="str">
        <f t="shared" si="4"/>
        <v>none</v>
      </c>
      <c r="N614" s="113">
        <f>LEN(Tableau13[[#This Row],[LABEL]])</f>
        <v>47</v>
      </c>
      <c r="O614" s="113">
        <v>15</v>
      </c>
      <c r="P614" s="113" t="e">
        <f>ROUND(Tableau13[[#This Row],[LEN]]*#REF!+#REF!,0)</f>
        <v>#REF!</v>
      </c>
    </row>
    <row r="615" spans="1:16" s="97" customFormat="1" x14ac:dyDescent="0.25">
      <c r="A615" s="33" t="s">
        <v>1453</v>
      </c>
      <c r="B615" s="34" t="s">
        <v>278</v>
      </c>
      <c r="C615" s="35" t="s">
        <v>1457</v>
      </c>
      <c r="D615" s="72" t="s">
        <v>28</v>
      </c>
      <c r="E615" s="35" t="s">
        <v>674</v>
      </c>
      <c r="F615" s="35" t="s">
        <v>1177</v>
      </c>
      <c r="G615" s="72" t="s">
        <v>168</v>
      </c>
      <c r="H615" s="72" t="s">
        <v>656</v>
      </c>
      <c r="I615" s="35"/>
      <c r="J615" s="36" t="s">
        <v>708</v>
      </c>
      <c r="K615" s="113">
        <f>ROUND(Tableau13[[#This Row],[LEN]]*7.27,0)</f>
        <v>414</v>
      </c>
      <c r="L615" s="113">
        <v>15</v>
      </c>
      <c r="M615" s="130" t="str">
        <f t="shared" si="4"/>
        <v>none</v>
      </c>
      <c r="N615" s="113">
        <f>LEN(Tableau13[[#This Row],[LABEL]])</f>
        <v>57</v>
      </c>
      <c r="O615" s="113">
        <v>15</v>
      </c>
      <c r="P615" s="113" t="e">
        <f>ROUND(Tableau13[[#This Row],[LEN]]*#REF!+#REF!,0)</f>
        <v>#REF!</v>
      </c>
    </row>
    <row r="616" spans="1:16" s="97" customFormat="1" x14ac:dyDescent="0.25">
      <c r="A616" s="33" t="s">
        <v>1454</v>
      </c>
      <c r="B616" s="34" t="s">
        <v>278</v>
      </c>
      <c r="C616" s="35" t="s">
        <v>1455</v>
      </c>
      <c r="D616" s="72" t="s">
        <v>28</v>
      </c>
      <c r="E616" s="35" t="s">
        <v>674</v>
      </c>
      <c r="F616" s="35" t="s">
        <v>1177</v>
      </c>
      <c r="G616" s="72" t="s">
        <v>168</v>
      </c>
      <c r="H616" s="72" t="s">
        <v>656</v>
      </c>
      <c r="I616" s="35"/>
      <c r="J616" s="36" t="s">
        <v>708</v>
      </c>
      <c r="K616" s="113">
        <f>ROUND(Tableau13[[#This Row],[LEN]]*7.27,0)</f>
        <v>160</v>
      </c>
      <c r="L616" s="113">
        <v>15</v>
      </c>
      <c r="M616" s="130" t="str">
        <f t="shared" si="4"/>
        <v>none</v>
      </c>
      <c r="N616" s="113">
        <f>LEN(Tableau13[[#This Row],[LABEL]])</f>
        <v>22</v>
      </c>
      <c r="O616" s="113">
        <v>15</v>
      </c>
      <c r="P616" s="113" t="e">
        <f>ROUND(Tableau13[[#This Row],[LEN]]*#REF!+#REF!,0)</f>
        <v>#REF!</v>
      </c>
    </row>
    <row r="617" spans="1:16" s="97" customFormat="1" x14ac:dyDescent="0.25">
      <c r="A617" s="33" t="s">
        <v>1450</v>
      </c>
      <c r="B617" s="34" t="s">
        <v>278</v>
      </c>
      <c r="C617" s="35" t="s">
        <v>114</v>
      </c>
      <c r="D617" s="72" t="s">
        <v>28</v>
      </c>
      <c r="E617" s="35" t="s">
        <v>661</v>
      </c>
      <c r="F617" s="35" t="s">
        <v>1445</v>
      </c>
      <c r="G617" s="72" t="s">
        <v>168</v>
      </c>
      <c r="H617" s="72" t="s">
        <v>655</v>
      </c>
      <c r="I617" s="35"/>
      <c r="J617" s="36" t="s">
        <v>708</v>
      </c>
      <c r="K617" s="113">
        <f>ROUND(Tableau13[[#This Row],[LEN]]*7.27,0)</f>
        <v>153</v>
      </c>
      <c r="L617" s="113">
        <v>15</v>
      </c>
      <c r="M617" s="130" t="str">
        <f t="shared" si="4"/>
        <v>none</v>
      </c>
      <c r="N617" s="113">
        <f>LEN(Tableau13[[#This Row],[LABEL]])</f>
        <v>21</v>
      </c>
      <c r="O617" s="113">
        <v>15</v>
      </c>
      <c r="P617" s="113" t="e">
        <f>ROUND(Tableau13[[#This Row],[LEN]]*#REF!+#REF!,0)</f>
        <v>#REF!</v>
      </c>
    </row>
    <row r="618" spans="1:16" s="97" customFormat="1" x14ac:dyDescent="0.25">
      <c r="A618" s="37" t="s">
        <v>1451</v>
      </c>
      <c r="B618" s="38" t="s">
        <v>1450</v>
      </c>
      <c r="C618" s="39" t="s">
        <v>1458</v>
      </c>
      <c r="D618" s="73" t="s">
        <v>28</v>
      </c>
      <c r="E618" s="39" t="s">
        <v>661</v>
      </c>
      <c r="F618" s="39" t="s">
        <v>1445</v>
      </c>
      <c r="G618" s="73" t="s">
        <v>168</v>
      </c>
      <c r="H618" s="73" t="s">
        <v>654</v>
      </c>
      <c r="I618" s="39"/>
      <c r="J618" s="40" t="s">
        <v>708</v>
      </c>
      <c r="K618" s="114">
        <f>ROUND(Tableau13[[#This Row],[LEN]]*7.27,0)</f>
        <v>189</v>
      </c>
      <c r="L618" s="114">
        <v>15</v>
      </c>
      <c r="M618" s="131" t="str">
        <f t="shared" si="4"/>
        <v>none</v>
      </c>
      <c r="N618" s="114">
        <f>LEN(Tableau13[[#This Row],[LABEL]])</f>
        <v>26</v>
      </c>
      <c r="O618" s="114">
        <v>15</v>
      </c>
      <c r="P618" s="114" t="e">
        <f>ROUND(Tableau13[[#This Row],[LEN]]*#REF!+#REF!,0)</f>
        <v>#REF!</v>
      </c>
    </row>
    <row r="619" spans="1:16" s="97" customFormat="1" x14ac:dyDescent="0.25">
      <c r="A619" s="37" t="s">
        <v>1452</v>
      </c>
      <c r="B619" s="38" t="s">
        <v>1450</v>
      </c>
      <c r="C619" s="39" t="s">
        <v>1459</v>
      </c>
      <c r="D619" s="73" t="s">
        <v>28</v>
      </c>
      <c r="E619" s="39" t="s">
        <v>661</v>
      </c>
      <c r="F619" s="39" t="s">
        <v>1445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ROUND(Tableau13[[#This Row],[LEN]]*7.27,0)</f>
        <v>204</v>
      </c>
      <c r="L619" s="114">
        <v>15</v>
      </c>
      <c r="M619" s="131" t="str">
        <f t="shared" si="4"/>
        <v>none</v>
      </c>
      <c r="N619" s="114">
        <f>LEN(Tableau13[[#This Row],[LABEL]])</f>
        <v>28</v>
      </c>
      <c r="O619" s="114">
        <v>15</v>
      </c>
      <c r="P619" s="114" t="e">
        <f>ROUND(Tableau13[[#This Row],[LEN]]*#REF!+#REF!,0)</f>
        <v>#REF!</v>
      </c>
    </row>
    <row r="620" spans="1:16" s="273" customFormat="1" x14ac:dyDescent="0.25">
      <c r="A620" s="309" t="s">
        <v>279</v>
      </c>
      <c r="B620" s="310" t="s">
        <v>207</v>
      </c>
      <c r="C620" s="311" t="s">
        <v>12</v>
      </c>
      <c r="D620" s="312" t="s">
        <v>28</v>
      </c>
      <c r="E620" s="311" t="s">
        <v>675</v>
      </c>
      <c r="F620" s="311" t="s">
        <v>675</v>
      </c>
      <c r="G620" s="312" t="s">
        <v>168</v>
      </c>
      <c r="H620" s="312" t="str">
        <f>IFERROR(IF(SEARCH(".00.00.00.00.00",Tableau13[[#This Row],[name]],1)=7,"Division",""),"")</f>
        <v>Division</v>
      </c>
      <c r="I620" s="311"/>
      <c r="J620" s="313" t="s">
        <v>721</v>
      </c>
      <c r="K620" s="314">
        <f>ROUND(Tableau13[[#This Row],[LEN]]*7.27,0)</f>
        <v>15</v>
      </c>
      <c r="L620" s="314">
        <v>15</v>
      </c>
      <c r="M620" s="315" t="str">
        <f t="shared" si="4"/>
        <v>new</v>
      </c>
      <c r="N620" s="314">
        <f>LEN(Tableau13[[#This Row],[LABEL]])</f>
        <v>2</v>
      </c>
      <c r="O620" s="314">
        <v>15</v>
      </c>
      <c r="P620" s="314" t="e">
        <f>ROUND(Tableau13[[#This Row],[LEN]]*#REF!+#REF!,0)</f>
        <v>#REF!</v>
      </c>
    </row>
    <row r="621" spans="1:16" s="97" customFormat="1" x14ac:dyDescent="0.25">
      <c r="A621" s="33" t="s">
        <v>1460</v>
      </c>
      <c r="B621" s="34" t="s">
        <v>279</v>
      </c>
      <c r="C621" s="35" t="s">
        <v>111</v>
      </c>
      <c r="D621" s="72" t="s">
        <v>28</v>
      </c>
      <c r="E621" s="35" t="s">
        <v>675</v>
      </c>
      <c r="F621" s="35" t="s">
        <v>1177</v>
      </c>
      <c r="G621" s="72" t="s">
        <v>168</v>
      </c>
      <c r="H621" s="72" t="s">
        <v>655</v>
      </c>
      <c r="I621" s="35"/>
      <c r="J621" s="36" t="s">
        <v>708</v>
      </c>
      <c r="K621" s="113">
        <f>ROUND(Tableau13[[#This Row],[LEN]]*7.27,0)</f>
        <v>167</v>
      </c>
      <c r="L621" s="113">
        <v>15</v>
      </c>
      <c r="M621" s="130" t="str">
        <f t="shared" si="4"/>
        <v>none</v>
      </c>
      <c r="N621" s="113">
        <f>LEN(Tableau13[[#This Row],[LABEL]])</f>
        <v>23</v>
      </c>
      <c r="O621" s="113">
        <v>15</v>
      </c>
      <c r="P621" s="113" t="e">
        <f>ROUND(Tableau13[[#This Row],[LEN]]*#REF!+#REF!,0)</f>
        <v>#REF!</v>
      </c>
    </row>
    <row r="622" spans="1:16" s="97" customFormat="1" x14ac:dyDescent="0.25">
      <c r="A622" s="37" t="s">
        <v>1463</v>
      </c>
      <c r="B622" s="38" t="s">
        <v>1460</v>
      </c>
      <c r="C622" s="39" t="s">
        <v>112</v>
      </c>
      <c r="D622" s="73" t="s">
        <v>28</v>
      </c>
      <c r="E622" s="39" t="s">
        <v>667</v>
      </c>
      <c r="F622" s="39" t="s">
        <v>840</v>
      </c>
      <c r="G622" s="73" t="s">
        <v>168</v>
      </c>
      <c r="H622" s="73" t="s">
        <v>654</v>
      </c>
      <c r="I622" s="39"/>
      <c r="J622" s="40" t="s">
        <v>708</v>
      </c>
      <c r="K622" s="114">
        <f>ROUND(Tableau13[[#This Row],[LEN]]*7.27,0)</f>
        <v>167</v>
      </c>
      <c r="L622" s="114">
        <v>15</v>
      </c>
      <c r="M622" s="131" t="str">
        <f t="shared" si="4"/>
        <v>none</v>
      </c>
      <c r="N622" s="114">
        <f>LEN(Tableau13[[#This Row],[LABEL]])</f>
        <v>23</v>
      </c>
      <c r="O622" s="114">
        <v>15</v>
      </c>
      <c r="P622" s="114" t="e">
        <f>ROUND(Tableau13[[#This Row],[LEN]]*#REF!+#REF!,0)</f>
        <v>#REF!</v>
      </c>
    </row>
    <row r="623" spans="1:16" s="97" customFormat="1" x14ac:dyDescent="0.25">
      <c r="A623" s="37" t="s">
        <v>1464</v>
      </c>
      <c r="B623" s="38" t="s">
        <v>1460</v>
      </c>
      <c r="C623" s="39" t="s">
        <v>113</v>
      </c>
      <c r="D623" s="73" t="s">
        <v>28</v>
      </c>
      <c r="E623" s="39" t="s">
        <v>667</v>
      </c>
      <c r="F623" s="39" t="s">
        <v>840</v>
      </c>
      <c r="G623" s="73" t="s">
        <v>168</v>
      </c>
      <c r="H623" s="73" t="s">
        <v>654</v>
      </c>
      <c r="I623" s="39"/>
      <c r="J623" s="40" t="s">
        <v>708</v>
      </c>
      <c r="K623" s="114">
        <f>ROUND(Tableau13[[#This Row],[LEN]]*7.27,0)</f>
        <v>233</v>
      </c>
      <c r="L623" s="114">
        <v>15</v>
      </c>
      <c r="M623" s="131" t="str">
        <f t="shared" si="4"/>
        <v>none</v>
      </c>
      <c r="N623" s="114">
        <f>LEN(Tableau13[[#This Row],[LABEL]])</f>
        <v>32</v>
      </c>
      <c r="O623" s="114">
        <v>15</v>
      </c>
      <c r="P623" s="114" t="e">
        <f>ROUND(Tableau13[[#This Row],[LEN]]*#REF!+#REF!,0)</f>
        <v>#REF!</v>
      </c>
    </row>
    <row r="624" spans="1:16" s="97" customFormat="1" x14ac:dyDescent="0.25">
      <c r="A624" s="33" t="s">
        <v>1461</v>
      </c>
      <c r="B624" s="34" t="s">
        <v>279</v>
      </c>
      <c r="C624" s="35" t="s">
        <v>1483</v>
      </c>
      <c r="D624" s="72" t="s">
        <v>28</v>
      </c>
      <c r="E624" s="35" t="s">
        <v>661</v>
      </c>
      <c r="F624" s="35" t="s">
        <v>1445</v>
      </c>
      <c r="G624" s="72" t="s">
        <v>168</v>
      </c>
      <c r="H624" s="72" t="s">
        <v>655</v>
      </c>
      <c r="I624" s="35"/>
      <c r="J624" s="36" t="s">
        <v>708</v>
      </c>
      <c r="K624" s="113">
        <f>ROUND(Tableau13[[#This Row],[LEN]]*7.27,0)</f>
        <v>240</v>
      </c>
      <c r="L624" s="113">
        <v>15</v>
      </c>
      <c r="M624" s="130" t="str">
        <f t="shared" si="4"/>
        <v>none</v>
      </c>
      <c r="N624" s="113">
        <f>LEN(Tableau13[[#This Row],[LABEL]])</f>
        <v>33</v>
      </c>
      <c r="O624" s="113">
        <v>15</v>
      </c>
      <c r="P624" s="113" t="e">
        <f>ROUND(Tableau13[[#This Row],[LEN]]*#REF!+#REF!,0)</f>
        <v>#REF!</v>
      </c>
    </row>
    <row r="625" spans="1:16" s="97" customFormat="1" x14ac:dyDescent="0.25">
      <c r="A625" s="37" t="s">
        <v>1465</v>
      </c>
      <c r="B625" s="38" t="s">
        <v>1461</v>
      </c>
      <c r="C625" s="39" t="s">
        <v>1458</v>
      </c>
      <c r="D625" s="73" t="s">
        <v>28</v>
      </c>
      <c r="E625" s="39" t="s">
        <v>661</v>
      </c>
      <c r="F625" s="39" t="s">
        <v>1445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ROUND(Tableau13[[#This Row],[LEN]]*7.27,0)</f>
        <v>189</v>
      </c>
      <c r="L625" s="114">
        <v>15</v>
      </c>
      <c r="M625" s="131" t="str">
        <f t="shared" si="4"/>
        <v>none</v>
      </c>
      <c r="N625" s="114">
        <f>LEN(Tableau13[[#This Row],[LABEL]])</f>
        <v>26</v>
      </c>
      <c r="O625" s="114">
        <v>15</v>
      </c>
      <c r="P625" s="114" t="e">
        <f>ROUND(Tableau13[[#This Row],[LEN]]*#REF!+#REF!,0)</f>
        <v>#REF!</v>
      </c>
    </row>
    <row r="626" spans="1:16" s="97" customFormat="1" x14ac:dyDescent="0.25">
      <c r="A626" s="37" t="s">
        <v>1466</v>
      </c>
      <c r="B626" s="38" t="s">
        <v>1461</v>
      </c>
      <c r="C626" s="39" t="s">
        <v>1459</v>
      </c>
      <c r="D626" s="73" t="s">
        <v>28</v>
      </c>
      <c r="E626" s="39" t="s">
        <v>661</v>
      </c>
      <c r="F626" s="39" t="s">
        <v>1445</v>
      </c>
      <c r="G626" s="73" t="s">
        <v>168</v>
      </c>
      <c r="H626" s="73" t="s">
        <v>654</v>
      </c>
      <c r="I626" s="39"/>
      <c r="J626" s="40" t="s">
        <v>708</v>
      </c>
      <c r="K626" s="114">
        <f>ROUND(Tableau13[[#This Row],[LEN]]*7.27,0)</f>
        <v>204</v>
      </c>
      <c r="L626" s="114">
        <v>15</v>
      </c>
      <c r="M626" s="131" t="str">
        <f t="shared" si="4"/>
        <v>none</v>
      </c>
      <c r="N626" s="114">
        <f>LEN(Tableau13[[#This Row],[LABEL]])</f>
        <v>28</v>
      </c>
      <c r="O626" s="114">
        <v>15</v>
      </c>
      <c r="P626" s="114" t="e">
        <f>ROUND(Tableau13[[#This Row],[LEN]]*#REF!+#REF!,0)</f>
        <v>#REF!</v>
      </c>
    </row>
    <row r="627" spans="1:16" s="273" customFormat="1" x14ac:dyDescent="0.25">
      <c r="A627" s="309" t="s">
        <v>280</v>
      </c>
      <c r="B627" s="310" t="s">
        <v>207</v>
      </c>
      <c r="C627" s="311" t="s">
        <v>71</v>
      </c>
      <c r="D627" s="312" t="s">
        <v>28</v>
      </c>
      <c r="E627" s="311" t="s">
        <v>676</v>
      </c>
      <c r="F627" s="311" t="s">
        <v>676</v>
      </c>
      <c r="G627" s="312" t="s">
        <v>168</v>
      </c>
      <c r="H627" s="312" t="str">
        <f>IFERROR(IF(SEARCH(".00.00.00.00.00",Tableau13[[#This Row],[name]],1)=7,"Division",""),"")</f>
        <v>Division</v>
      </c>
      <c r="I627" s="311"/>
      <c r="J627" s="313" t="s">
        <v>722</v>
      </c>
      <c r="K627" s="314">
        <f>ROUND(Tableau13[[#This Row],[LEN]]*7.27,0)</f>
        <v>29</v>
      </c>
      <c r="L627" s="314">
        <v>15</v>
      </c>
      <c r="M627" s="315" t="str">
        <f t="shared" si="4"/>
        <v>new</v>
      </c>
      <c r="N627" s="314">
        <f>LEN(Tableau13[[#This Row],[LABEL]])</f>
        <v>4</v>
      </c>
      <c r="O627" s="314">
        <v>15</v>
      </c>
      <c r="P627" s="314" t="e">
        <f>ROUND(Tableau13[[#This Row],[LEN]]*#REF!+#REF!,0)</f>
        <v>#REF!</v>
      </c>
    </row>
    <row r="628" spans="1:16" s="97" customFormat="1" x14ac:dyDescent="0.25">
      <c r="A628" s="33" t="s">
        <v>1471</v>
      </c>
      <c r="B628" s="34" t="s">
        <v>280</v>
      </c>
      <c r="C628" s="35" t="s">
        <v>111</v>
      </c>
      <c r="D628" s="72" t="s">
        <v>28</v>
      </c>
      <c r="E628" s="35" t="s">
        <v>667</v>
      </c>
      <c r="F628" s="35" t="s">
        <v>840</v>
      </c>
      <c r="G628" s="72" t="s">
        <v>168</v>
      </c>
      <c r="H628" s="72" t="s">
        <v>654</v>
      </c>
      <c r="I628" s="35"/>
      <c r="J628" s="36" t="s">
        <v>708</v>
      </c>
      <c r="K628" s="113">
        <f>ROUND(Tableau13[[#This Row],[LEN]]*7.27,0)</f>
        <v>167</v>
      </c>
      <c r="L628" s="113">
        <v>15</v>
      </c>
      <c r="M628" s="130" t="str">
        <f t="shared" si="4"/>
        <v>none</v>
      </c>
      <c r="N628" s="113">
        <f>LEN(Tableau13[[#This Row],[LABEL]])</f>
        <v>23</v>
      </c>
      <c r="O628" s="113">
        <v>15</v>
      </c>
      <c r="P628" s="113" t="e">
        <f>ROUND(Tableau13[[#This Row],[LEN]]*#REF!+#REF!,0)</f>
        <v>#REF!</v>
      </c>
    </row>
    <row r="629" spans="1:16" s="97" customFormat="1" x14ac:dyDescent="0.25">
      <c r="A629" s="37" t="s">
        <v>1472</v>
      </c>
      <c r="B629" s="38" t="s">
        <v>1471</v>
      </c>
      <c r="C629" s="39" t="s">
        <v>112</v>
      </c>
      <c r="D629" s="73" t="s">
        <v>28</v>
      </c>
      <c r="E629" s="39" t="s">
        <v>667</v>
      </c>
      <c r="F629" s="39" t="s">
        <v>840</v>
      </c>
      <c r="G629" s="73" t="s">
        <v>168</v>
      </c>
      <c r="H629" s="73" t="s">
        <v>654</v>
      </c>
      <c r="I629" s="39"/>
      <c r="J629" s="40" t="s">
        <v>708</v>
      </c>
      <c r="K629" s="114">
        <f>ROUND(Tableau13[[#This Row],[LEN]]*7.27,0)</f>
        <v>167</v>
      </c>
      <c r="L629" s="114">
        <v>15</v>
      </c>
      <c r="M629" s="131" t="str">
        <f t="shared" si="4"/>
        <v>none</v>
      </c>
      <c r="N629" s="114">
        <f>LEN(Tableau13[[#This Row],[LABEL]])</f>
        <v>23</v>
      </c>
      <c r="O629" s="114">
        <v>15</v>
      </c>
      <c r="P629" s="114" t="e">
        <f>ROUND(Tableau13[[#This Row],[LEN]]*#REF!+#REF!,0)</f>
        <v>#REF!</v>
      </c>
    </row>
    <row r="630" spans="1:16" s="97" customFormat="1" x14ac:dyDescent="0.25">
      <c r="A630" s="37" t="s">
        <v>1473</v>
      </c>
      <c r="B630" s="38" t="s">
        <v>1471</v>
      </c>
      <c r="C630" s="39" t="s">
        <v>113</v>
      </c>
      <c r="D630" s="73" t="s">
        <v>28</v>
      </c>
      <c r="E630" s="39" t="s">
        <v>667</v>
      </c>
      <c r="F630" s="39" t="s">
        <v>840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ROUND(Tableau13[[#This Row],[LEN]]*7.27,0)</f>
        <v>233</v>
      </c>
      <c r="L630" s="114">
        <v>15</v>
      </c>
      <c r="M630" s="131" t="str">
        <f t="shared" si="4"/>
        <v>none</v>
      </c>
      <c r="N630" s="114">
        <f>LEN(Tableau13[[#This Row],[LABEL]])</f>
        <v>32</v>
      </c>
      <c r="O630" s="114">
        <v>15</v>
      </c>
      <c r="P630" s="114" t="e">
        <f>ROUND(Tableau13[[#This Row],[LEN]]*#REF!+#REF!,0)</f>
        <v>#REF!</v>
      </c>
    </row>
    <row r="631" spans="1:16" s="97" customFormat="1" x14ac:dyDescent="0.25">
      <c r="A631" s="33" t="s">
        <v>1474</v>
      </c>
      <c r="B631" s="34" t="s">
        <v>280</v>
      </c>
      <c r="C631" s="35" t="s">
        <v>1586</v>
      </c>
      <c r="D631" s="72" t="s">
        <v>1477</v>
      </c>
      <c r="E631" s="35" t="s">
        <v>676</v>
      </c>
      <c r="F631" s="35" t="s">
        <v>1177</v>
      </c>
      <c r="G631" s="72" t="s">
        <v>168</v>
      </c>
      <c r="H631" s="72" t="s">
        <v>654</v>
      </c>
      <c r="I631" s="35"/>
      <c r="J631" s="36" t="s">
        <v>708</v>
      </c>
      <c r="K631" s="113">
        <f>ROUND(Tableau13[[#This Row],[LEN]]*7.27,0)</f>
        <v>414</v>
      </c>
      <c r="L631" s="113">
        <v>15</v>
      </c>
      <c r="M631" s="130" t="str">
        <f t="shared" si="4"/>
        <v>none</v>
      </c>
      <c r="N631" s="113">
        <f>LEN(Tableau13[[#This Row],[LABEL]])</f>
        <v>57</v>
      </c>
      <c r="O631" s="113">
        <v>15</v>
      </c>
      <c r="P631" s="113" t="e">
        <f>ROUND(Tableau13[[#This Row],[LEN]]*#REF!+#REF!,0)</f>
        <v>#REF!</v>
      </c>
    </row>
    <row r="632" spans="1:16" s="97" customFormat="1" x14ac:dyDescent="0.25">
      <c r="A632" s="33" t="s">
        <v>1475</v>
      </c>
      <c r="B632" s="34" t="s">
        <v>280</v>
      </c>
      <c r="C632" s="35" t="s">
        <v>1478</v>
      </c>
      <c r="D632" s="72" t="s">
        <v>28</v>
      </c>
      <c r="E632" s="35" t="s">
        <v>676</v>
      </c>
      <c r="F632" s="35" t="s">
        <v>678</v>
      </c>
      <c r="G632" s="72" t="s">
        <v>168</v>
      </c>
      <c r="H632" s="72" t="s">
        <v>654</v>
      </c>
      <c r="I632" s="35"/>
      <c r="J632" s="36" t="s">
        <v>708</v>
      </c>
      <c r="K632" s="113">
        <f>ROUND(Tableau13[[#This Row],[LEN]]*7.27,0)</f>
        <v>327</v>
      </c>
      <c r="L632" s="113">
        <v>15</v>
      </c>
      <c r="M632" s="130" t="str">
        <f t="shared" si="4"/>
        <v>none</v>
      </c>
      <c r="N632" s="113">
        <f>LEN(Tableau13[[#This Row],[LABEL]])</f>
        <v>45</v>
      </c>
      <c r="O632" s="113">
        <v>15</v>
      </c>
      <c r="P632" s="113" t="e">
        <f>ROUND(Tableau13[[#This Row],[LEN]]*#REF!+#REF!,0)</f>
        <v>#REF!</v>
      </c>
    </row>
    <row r="633" spans="1:16" s="273" customFormat="1" x14ac:dyDescent="0.25">
      <c r="A633" s="309" t="s">
        <v>281</v>
      </c>
      <c r="B633" s="310" t="s">
        <v>207</v>
      </c>
      <c r="C633" s="311" t="s">
        <v>13</v>
      </c>
      <c r="D633" s="312" t="s">
        <v>28</v>
      </c>
      <c r="E633" s="311" t="s">
        <v>677</v>
      </c>
      <c r="F633" s="311" t="s">
        <v>677</v>
      </c>
      <c r="G633" s="312" t="s">
        <v>168</v>
      </c>
      <c r="H633" s="312" t="str">
        <f>IFERROR(IF(SEARCH(".00.00.00.00.00",Tableau13[[#This Row],[name]],1)=7,"Division",""),"")</f>
        <v>Division</v>
      </c>
      <c r="I633" s="311"/>
      <c r="J633" s="313" t="s">
        <v>723</v>
      </c>
      <c r="K633" s="314">
        <f>ROUND(Tableau13[[#This Row],[LEN]]*7.27,0)</f>
        <v>80</v>
      </c>
      <c r="L633" s="314">
        <v>15</v>
      </c>
      <c r="M633" s="315" t="str">
        <f t="shared" si="4"/>
        <v>new</v>
      </c>
      <c r="N633" s="314">
        <f>LEN(Tableau13[[#This Row],[LABEL]])</f>
        <v>11</v>
      </c>
      <c r="O633" s="314">
        <v>15</v>
      </c>
      <c r="P633" s="314" t="e">
        <f>ROUND(Tableau13[[#This Row],[LEN]]*#REF!+#REF!,0)</f>
        <v>#REF!</v>
      </c>
    </row>
    <row r="634" spans="1:16" s="97" customFormat="1" x14ac:dyDescent="0.25">
      <c r="A634" s="33" t="s">
        <v>1479</v>
      </c>
      <c r="B634" s="34" t="s">
        <v>281</v>
      </c>
      <c r="C634" s="35" t="s">
        <v>111</v>
      </c>
      <c r="D634" s="72" t="s">
        <v>28</v>
      </c>
      <c r="E634" s="35" t="s">
        <v>667</v>
      </c>
      <c r="F634" s="35" t="s">
        <v>840</v>
      </c>
      <c r="G634" s="72" t="s">
        <v>168</v>
      </c>
      <c r="H634" s="72" t="s">
        <v>655</v>
      </c>
      <c r="I634" s="35"/>
      <c r="J634" s="36" t="s">
        <v>708</v>
      </c>
      <c r="K634" s="113">
        <f>ROUND(Tableau13[[#This Row],[LEN]]*7.27,0)</f>
        <v>167</v>
      </c>
      <c r="L634" s="113">
        <v>15</v>
      </c>
      <c r="M634" s="130" t="str">
        <f t="shared" si="4"/>
        <v>none</v>
      </c>
      <c r="N634" s="113">
        <f>LEN(Tableau13[[#This Row],[LABEL]])</f>
        <v>23</v>
      </c>
      <c r="O634" s="113">
        <v>15</v>
      </c>
      <c r="P634" s="113" t="e">
        <f>ROUND(Tableau13[[#This Row],[LEN]]*#REF!+#REF!,0)</f>
        <v>#REF!</v>
      </c>
    </row>
    <row r="635" spans="1:16" s="97" customFormat="1" x14ac:dyDescent="0.25">
      <c r="A635" s="37" t="s">
        <v>1484</v>
      </c>
      <c r="B635" s="38" t="s">
        <v>1479</v>
      </c>
      <c r="C635" s="39" t="s">
        <v>112</v>
      </c>
      <c r="D635" s="73" t="s">
        <v>28</v>
      </c>
      <c r="E635" s="39" t="s">
        <v>667</v>
      </c>
      <c r="F635" s="39" t="s">
        <v>840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ROUND(Tableau13[[#This Row],[LEN]]*7.27,0)</f>
        <v>167</v>
      </c>
      <c r="L635" s="114">
        <v>15</v>
      </c>
      <c r="M635" s="131" t="str">
        <f t="shared" si="4"/>
        <v>none</v>
      </c>
      <c r="N635" s="114">
        <f>LEN(Tableau13[[#This Row],[LABEL]])</f>
        <v>23</v>
      </c>
      <c r="O635" s="114">
        <v>15</v>
      </c>
      <c r="P635" s="114" t="e">
        <f>ROUND(Tableau13[[#This Row],[LEN]]*#REF!+#REF!,0)</f>
        <v>#REF!</v>
      </c>
    </row>
    <row r="636" spans="1:16" s="97" customFormat="1" x14ac:dyDescent="0.25">
      <c r="A636" s="37" t="s">
        <v>1485</v>
      </c>
      <c r="B636" s="38" t="s">
        <v>1479</v>
      </c>
      <c r="C636" s="39" t="s">
        <v>113</v>
      </c>
      <c r="D636" s="73" t="s">
        <v>28</v>
      </c>
      <c r="E636" s="39" t="s">
        <v>667</v>
      </c>
      <c r="F636" s="39" t="s">
        <v>840</v>
      </c>
      <c r="G636" s="73" t="s">
        <v>168</v>
      </c>
      <c r="H636" s="73" t="s">
        <v>654</v>
      </c>
      <c r="I636" s="39"/>
      <c r="J636" s="40" t="s">
        <v>708</v>
      </c>
      <c r="K636" s="114">
        <f>ROUND(Tableau13[[#This Row],[LEN]]*7.27,0)</f>
        <v>233</v>
      </c>
      <c r="L636" s="114">
        <v>15</v>
      </c>
      <c r="M636" s="131" t="str">
        <f t="shared" si="4"/>
        <v>none</v>
      </c>
      <c r="N636" s="114">
        <f>LEN(Tableau13[[#This Row],[LABEL]])</f>
        <v>32</v>
      </c>
      <c r="O636" s="114">
        <v>15</v>
      </c>
      <c r="P636" s="114" t="e">
        <f>ROUND(Tableau13[[#This Row],[LEN]]*#REF!+#REF!,0)</f>
        <v>#REF!</v>
      </c>
    </row>
    <row r="637" spans="1:16" s="97" customFormat="1" x14ac:dyDescent="0.25">
      <c r="A637" s="33" t="s">
        <v>1480</v>
      </c>
      <c r="B637" s="34" t="s">
        <v>281</v>
      </c>
      <c r="C637" s="35" t="s">
        <v>1483</v>
      </c>
      <c r="D637" s="72" t="s">
        <v>28</v>
      </c>
      <c r="E637" s="35" t="s">
        <v>661</v>
      </c>
      <c r="F637" s="35" t="s">
        <v>1445</v>
      </c>
      <c r="G637" s="72" t="s">
        <v>168</v>
      </c>
      <c r="H637" s="72" t="s">
        <v>655</v>
      </c>
      <c r="I637" s="35"/>
      <c r="J637" s="36" t="s">
        <v>708</v>
      </c>
      <c r="K637" s="113">
        <f>ROUND(Tableau13[[#This Row],[LEN]]*7.27,0)</f>
        <v>240</v>
      </c>
      <c r="L637" s="113">
        <v>15</v>
      </c>
      <c r="M637" s="130" t="str">
        <f t="shared" si="4"/>
        <v>none</v>
      </c>
      <c r="N637" s="113">
        <f>LEN(Tableau13[[#This Row],[LABEL]])</f>
        <v>33</v>
      </c>
      <c r="O637" s="113">
        <v>15</v>
      </c>
      <c r="P637" s="113" t="e">
        <f>ROUND(Tableau13[[#This Row],[LEN]]*#REF!+#REF!,0)</f>
        <v>#REF!</v>
      </c>
    </row>
    <row r="638" spans="1:16" s="97" customFormat="1" x14ac:dyDescent="0.25">
      <c r="A638" s="37" t="s">
        <v>1486</v>
      </c>
      <c r="B638" s="38" t="s">
        <v>1480</v>
      </c>
      <c r="C638" s="39" t="s">
        <v>1458</v>
      </c>
      <c r="D638" s="73" t="s">
        <v>28</v>
      </c>
      <c r="E638" s="39" t="s">
        <v>661</v>
      </c>
      <c r="F638" s="39" t="s">
        <v>1445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ROUND(Tableau13[[#This Row],[LEN]]*7.27,0)</f>
        <v>189</v>
      </c>
      <c r="L638" s="114">
        <v>15</v>
      </c>
      <c r="M638" s="131" t="str">
        <f t="shared" si="4"/>
        <v>none</v>
      </c>
      <c r="N638" s="114">
        <f>LEN(Tableau13[[#This Row],[LABEL]])</f>
        <v>26</v>
      </c>
      <c r="O638" s="114">
        <v>15</v>
      </c>
      <c r="P638" s="114" t="e">
        <f>ROUND(Tableau13[[#This Row],[LEN]]*#REF!+#REF!,0)</f>
        <v>#REF!</v>
      </c>
    </row>
    <row r="639" spans="1:16" s="97" customFormat="1" x14ac:dyDescent="0.25">
      <c r="A639" s="37" t="s">
        <v>1486</v>
      </c>
      <c r="B639" s="38" t="s">
        <v>1480</v>
      </c>
      <c r="C639" s="39" t="s">
        <v>1459</v>
      </c>
      <c r="D639" s="73" t="s">
        <v>28</v>
      </c>
      <c r="E639" s="39" t="s">
        <v>661</v>
      </c>
      <c r="F639" s="39" t="s">
        <v>1445</v>
      </c>
      <c r="G639" s="73" t="s">
        <v>168</v>
      </c>
      <c r="H639" s="73" t="s">
        <v>654</v>
      </c>
      <c r="I639" s="39"/>
      <c r="J639" s="40" t="s">
        <v>708</v>
      </c>
      <c r="K639" s="114">
        <f>ROUND(Tableau13[[#This Row],[LEN]]*7.27,0)</f>
        <v>204</v>
      </c>
      <c r="L639" s="114">
        <v>15</v>
      </c>
      <c r="M639" s="131" t="str">
        <f t="shared" si="4"/>
        <v>none</v>
      </c>
      <c r="N639" s="114">
        <f>LEN(Tableau13[[#This Row],[LABEL]])</f>
        <v>28</v>
      </c>
      <c r="O639" s="114">
        <v>15</v>
      </c>
      <c r="P639" s="114" t="e">
        <f>ROUND(Tableau13[[#This Row],[LEN]]*#REF!+#REF!,0)</f>
        <v>#REF!</v>
      </c>
    </row>
    <row r="640" spans="1:16" s="97" customFormat="1" x14ac:dyDescent="0.25">
      <c r="A640" s="33" t="s">
        <v>1481</v>
      </c>
      <c r="B640" s="34" t="s">
        <v>281</v>
      </c>
      <c r="C640" s="35" t="s">
        <v>1482</v>
      </c>
      <c r="D640" s="72" t="s">
        <v>28</v>
      </c>
      <c r="E640" s="35" t="s">
        <v>677</v>
      </c>
      <c r="F640" s="35" t="s">
        <v>1177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ROUND(Tableau13[[#This Row],[LEN]]*7.27,0)</f>
        <v>131</v>
      </c>
      <c r="L640" s="113">
        <v>15</v>
      </c>
      <c r="M640" s="130" t="str">
        <f t="shared" si="4"/>
        <v>none</v>
      </c>
      <c r="N640" s="113">
        <f>LEN(Tableau13[[#This Row],[LABEL]])</f>
        <v>18</v>
      </c>
      <c r="O640" s="113">
        <v>15</v>
      </c>
      <c r="P640" s="113" t="e">
        <f>ROUND(Tableau13[[#This Row],[LEN]]*#REF!+#REF!,0)</f>
        <v>#REF!</v>
      </c>
    </row>
    <row r="641" spans="1:16" s="273" customFormat="1" x14ac:dyDescent="0.25">
      <c r="A641" s="309" t="s">
        <v>282</v>
      </c>
      <c r="B641" s="310" t="s">
        <v>207</v>
      </c>
      <c r="C641" s="311" t="s">
        <v>14</v>
      </c>
      <c r="D641" s="312" t="s">
        <v>28</v>
      </c>
      <c r="E641" s="311" t="s">
        <v>678</v>
      </c>
      <c r="F641" s="311" t="s">
        <v>678</v>
      </c>
      <c r="G641" s="312" t="s">
        <v>168</v>
      </c>
      <c r="H641" s="312" t="str">
        <f>IFERROR(IF(SEARCH(".00.00.00.00.00",Tableau13[[#This Row],[name]],1)=7,"Division",""),"")</f>
        <v>Division</v>
      </c>
      <c r="I641" s="311"/>
      <c r="J641" s="313" t="s">
        <v>724</v>
      </c>
      <c r="K641" s="314">
        <f>ROUND(Tableau13[[#This Row],[LEN]]*7.27,0)</f>
        <v>240</v>
      </c>
      <c r="L641" s="314">
        <v>15</v>
      </c>
      <c r="M641" s="315" t="str">
        <f t="shared" si="4"/>
        <v>new</v>
      </c>
      <c r="N641" s="314">
        <f>LEN(Tableau13[[#This Row],[LABEL]])</f>
        <v>33</v>
      </c>
      <c r="O641" s="314">
        <v>15</v>
      </c>
      <c r="P641" s="314" t="e">
        <f>ROUND(Tableau13[[#This Row],[LEN]]*#REF!+#REF!,0)</f>
        <v>#REF!</v>
      </c>
    </row>
    <row r="642" spans="1:16" s="97" customFormat="1" x14ac:dyDescent="0.25">
      <c r="A642" s="33" t="s">
        <v>1487</v>
      </c>
      <c r="B642" s="34" t="s">
        <v>282</v>
      </c>
      <c r="C642" s="35" t="s">
        <v>111</v>
      </c>
      <c r="D642" s="72" t="s">
        <v>28</v>
      </c>
      <c r="E642" s="35" t="s">
        <v>667</v>
      </c>
      <c r="F642" s="35" t="s">
        <v>840</v>
      </c>
      <c r="G642" s="72" t="s">
        <v>168</v>
      </c>
      <c r="H642" s="72" t="s">
        <v>655</v>
      </c>
      <c r="I642" s="35"/>
      <c r="J642" s="36" t="s">
        <v>708</v>
      </c>
      <c r="K642" s="113">
        <f>ROUND(Tableau13[[#This Row],[LEN]]*7.27,0)</f>
        <v>167</v>
      </c>
      <c r="L642" s="113">
        <v>15</v>
      </c>
      <c r="M642" s="130" t="str">
        <f t="shared" si="4"/>
        <v>none</v>
      </c>
      <c r="N642" s="113">
        <f>LEN(Tableau13[[#This Row],[LABEL]])</f>
        <v>23</v>
      </c>
      <c r="O642" s="113">
        <v>15</v>
      </c>
      <c r="P642" s="113" t="e">
        <f>ROUND(Tableau13[[#This Row],[LEN]]*#REF!+#REF!,0)</f>
        <v>#REF!</v>
      </c>
    </row>
    <row r="643" spans="1:16" s="97" customFormat="1" x14ac:dyDescent="0.25">
      <c r="A643" s="37" t="s">
        <v>1492</v>
      </c>
      <c r="B643" s="38" t="s">
        <v>1487</v>
      </c>
      <c r="C643" s="39" t="s">
        <v>112</v>
      </c>
      <c r="D643" s="73" t="s">
        <v>28</v>
      </c>
      <c r="E643" s="39" t="s">
        <v>667</v>
      </c>
      <c r="F643" s="39" t="s">
        <v>840</v>
      </c>
      <c r="G643" s="73" t="s">
        <v>168</v>
      </c>
      <c r="H643" s="73" t="s">
        <v>654</v>
      </c>
      <c r="I643" s="39"/>
      <c r="J643" s="40" t="s">
        <v>708</v>
      </c>
      <c r="K643" s="114">
        <f>ROUND(Tableau13[[#This Row],[LEN]]*7.27,0)</f>
        <v>167</v>
      </c>
      <c r="L643" s="114">
        <v>15</v>
      </c>
      <c r="M643" s="131" t="str">
        <f t="shared" si="4"/>
        <v>none</v>
      </c>
      <c r="N643" s="114">
        <f>LEN(Tableau13[[#This Row],[LABEL]])</f>
        <v>23</v>
      </c>
      <c r="O643" s="114">
        <v>15</v>
      </c>
      <c r="P643" s="114" t="e">
        <f>ROUND(Tableau13[[#This Row],[LEN]]*#REF!+#REF!,0)</f>
        <v>#REF!</v>
      </c>
    </row>
    <row r="644" spans="1:16" s="97" customFormat="1" x14ac:dyDescent="0.25">
      <c r="A644" s="37" t="s">
        <v>1493</v>
      </c>
      <c r="B644" s="38" t="s">
        <v>1487</v>
      </c>
      <c r="C644" s="39" t="s">
        <v>113</v>
      </c>
      <c r="D644" s="73" t="s">
        <v>28</v>
      </c>
      <c r="E644" s="39" t="s">
        <v>667</v>
      </c>
      <c r="F644" s="39" t="s">
        <v>840</v>
      </c>
      <c r="G644" s="73" t="s">
        <v>168</v>
      </c>
      <c r="H644" s="73" t="s">
        <v>654</v>
      </c>
      <c r="I644" s="39"/>
      <c r="J644" s="40" t="s">
        <v>708</v>
      </c>
      <c r="K644" s="114">
        <f>ROUND(Tableau13[[#This Row],[LEN]]*7.27,0)</f>
        <v>233</v>
      </c>
      <c r="L644" s="114">
        <v>15</v>
      </c>
      <c r="M644" s="131" t="str">
        <f t="shared" si="4"/>
        <v>none</v>
      </c>
      <c r="N644" s="114">
        <f>LEN(Tableau13[[#This Row],[LABEL]])</f>
        <v>32</v>
      </c>
      <c r="O644" s="114">
        <v>15</v>
      </c>
      <c r="P644" s="114" t="e">
        <f>ROUND(Tableau13[[#This Row],[LEN]]*#REF!+#REF!,0)</f>
        <v>#REF!</v>
      </c>
    </row>
    <row r="645" spans="1:16" s="97" customFormat="1" x14ac:dyDescent="0.25">
      <c r="A645" s="33" t="s">
        <v>1488</v>
      </c>
      <c r="B645" s="34" t="s">
        <v>282</v>
      </c>
      <c r="C645" s="35" t="s">
        <v>1478</v>
      </c>
      <c r="D645" s="72" t="s">
        <v>28</v>
      </c>
      <c r="E645" s="35" t="s">
        <v>676</v>
      </c>
      <c r="F645" s="35" t="s">
        <v>678</v>
      </c>
      <c r="G645" s="72" t="s">
        <v>168</v>
      </c>
      <c r="H645" s="72" t="s">
        <v>654</v>
      </c>
      <c r="I645" s="35"/>
      <c r="J645" s="36" t="s">
        <v>708</v>
      </c>
      <c r="K645" s="113">
        <f>ROUND(Tableau13[[#This Row],[LEN]]*7.27,0)</f>
        <v>327</v>
      </c>
      <c r="L645" s="113">
        <v>15</v>
      </c>
      <c r="M645" s="130" t="str">
        <f t="shared" si="4"/>
        <v>none</v>
      </c>
      <c r="N645" s="113">
        <f>LEN(Tableau13[[#This Row],[LABEL]])</f>
        <v>45</v>
      </c>
      <c r="O645" s="113">
        <v>15</v>
      </c>
      <c r="P645" s="113" t="e">
        <f>ROUND(Tableau13[[#This Row],[LEN]]*#REF!+#REF!,0)</f>
        <v>#REF!</v>
      </c>
    </row>
    <row r="646" spans="1:16" s="97" customFormat="1" x14ac:dyDescent="0.25">
      <c r="A646" s="33" t="s">
        <v>1489</v>
      </c>
      <c r="B646" s="34" t="s">
        <v>282</v>
      </c>
      <c r="C646" s="35" t="s">
        <v>1483</v>
      </c>
      <c r="D646" s="72" t="s">
        <v>28</v>
      </c>
      <c r="E646" s="35" t="s">
        <v>661</v>
      </c>
      <c r="F646" s="35" t="s">
        <v>1445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ROUND(Tableau13[[#This Row],[LEN]]*7.27,0)</f>
        <v>240</v>
      </c>
      <c r="L646" s="113">
        <v>15</v>
      </c>
      <c r="M646" s="130" t="str">
        <f t="shared" si="4"/>
        <v>none</v>
      </c>
      <c r="N646" s="113">
        <f>LEN(Tableau13[[#This Row],[LABEL]])</f>
        <v>33</v>
      </c>
      <c r="O646" s="113">
        <v>15</v>
      </c>
      <c r="P646" s="113" t="e">
        <f>ROUND(Tableau13[[#This Row],[LEN]]*#REF!+#REF!,0)</f>
        <v>#REF!</v>
      </c>
    </row>
    <row r="647" spans="1:16" s="97" customFormat="1" x14ac:dyDescent="0.25">
      <c r="A647" s="37" t="s">
        <v>1494</v>
      </c>
      <c r="B647" s="38" t="s">
        <v>1489</v>
      </c>
      <c r="C647" s="39" t="s">
        <v>1458</v>
      </c>
      <c r="D647" s="73" t="s">
        <v>28</v>
      </c>
      <c r="E647" s="39" t="s">
        <v>661</v>
      </c>
      <c r="F647" s="39" t="s">
        <v>1445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ROUND(Tableau13[[#This Row],[LEN]]*7.27,0)</f>
        <v>189</v>
      </c>
      <c r="L647" s="114">
        <v>15</v>
      </c>
      <c r="M647" s="131" t="str">
        <f t="shared" si="4"/>
        <v>none</v>
      </c>
      <c r="N647" s="114">
        <f>LEN(Tableau13[[#This Row],[LABEL]])</f>
        <v>26</v>
      </c>
      <c r="O647" s="114">
        <v>15</v>
      </c>
      <c r="P647" s="114" t="e">
        <f>ROUND(Tableau13[[#This Row],[LEN]]*#REF!+#REF!,0)</f>
        <v>#REF!</v>
      </c>
    </row>
    <row r="648" spans="1:16" s="97" customFormat="1" x14ac:dyDescent="0.25">
      <c r="A648" s="37" t="s">
        <v>1495</v>
      </c>
      <c r="B648" s="38" t="s">
        <v>1489</v>
      </c>
      <c r="C648" s="39" t="s">
        <v>1459</v>
      </c>
      <c r="D648" s="73" t="s">
        <v>28</v>
      </c>
      <c r="E648" s="39" t="s">
        <v>661</v>
      </c>
      <c r="F648" s="39" t="s">
        <v>1445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ROUND(Tableau13[[#This Row],[LEN]]*7.27,0)</f>
        <v>204</v>
      </c>
      <c r="L648" s="114">
        <v>15</v>
      </c>
      <c r="M648" s="131" t="str">
        <f t="shared" si="4"/>
        <v>none</v>
      </c>
      <c r="N648" s="114">
        <f>LEN(Tableau13[[#This Row],[LABEL]])</f>
        <v>28</v>
      </c>
      <c r="O648" s="114">
        <v>15</v>
      </c>
      <c r="P648" s="114" t="e">
        <f>ROUND(Tableau13[[#This Row],[LEN]]*#REF!+#REF!,0)</f>
        <v>#REF!</v>
      </c>
    </row>
    <row r="649" spans="1:16" s="97" customFormat="1" x14ac:dyDescent="0.25">
      <c r="A649" s="33" t="s">
        <v>1490</v>
      </c>
      <c r="B649" s="34" t="s">
        <v>282</v>
      </c>
      <c r="C649" s="35" t="s">
        <v>1491</v>
      </c>
      <c r="D649" s="72" t="s">
        <v>28</v>
      </c>
      <c r="E649" s="35" t="s">
        <v>678</v>
      </c>
      <c r="F649" s="35" t="s">
        <v>1177</v>
      </c>
      <c r="G649" s="72" t="s">
        <v>168</v>
      </c>
      <c r="H649" s="72" t="s">
        <v>656</v>
      </c>
      <c r="I649" s="35"/>
      <c r="J649" s="36" t="s">
        <v>708</v>
      </c>
      <c r="K649" s="113">
        <f>ROUND(Tableau13[[#This Row],[LEN]]*7.27,0)</f>
        <v>247</v>
      </c>
      <c r="L649" s="113">
        <v>16</v>
      </c>
      <c r="M649" s="130" t="str">
        <f t="shared" si="4"/>
        <v>none</v>
      </c>
      <c r="N649" s="113">
        <f>LEN(Tableau13[[#This Row],[LABEL]])</f>
        <v>34</v>
      </c>
      <c r="O649" s="113">
        <v>16</v>
      </c>
      <c r="P649" s="113" t="e">
        <f>ROUND(Tableau13[[#This Row],[LEN]]*#REF!+#REF!,0)</f>
        <v>#REF!</v>
      </c>
    </row>
    <row r="650" spans="1:16" s="273" customFormat="1" x14ac:dyDescent="0.25">
      <c r="A650" s="316" t="s">
        <v>283</v>
      </c>
      <c r="B650" s="317" t="s">
        <v>207</v>
      </c>
      <c r="C650" s="318" t="s">
        <v>15</v>
      </c>
      <c r="D650" s="319" t="s">
        <v>28</v>
      </c>
      <c r="E650" s="318" t="s">
        <v>679</v>
      </c>
      <c r="F650" s="318" t="s">
        <v>679</v>
      </c>
      <c r="G650" s="319" t="s">
        <v>168</v>
      </c>
      <c r="H650" s="319" t="str">
        <f>IFERROR(IF(SEARCH(".00.00.00.00.00",Tableau13[[#This Row],[name]],1)=7,"Division",""),"")</f>
        <v>Division</v>
      </c>
      <c r="I650" s="318"/>
      <c r="J650" s="320" t="s">
        <v>725</v>
      </c>
      <c r="K650" s="321">
        <f>ROUND(Tableau13[[#This Row],[LEN]]*7.27,0)</f>
        <v>174</v>
      </c>
      <c r="L650" s="321">
        <v>15</v>
      </c>
      <c r="M650" s="322" t="str">
        <f t="shared" si="4"/>
        <v>new</v>
      </c>
      <c r="N650" s="321">
        <f>LEN(Tableau13[[#This Row],[LABEL]])</f>
        <v>24</v>
      </c>
      <c r="O650" s="321">
        <v>15</v>
      </c>
      <c r="P650" s="321" t="e">
        <f>ROUND(Tableau13[[#This Row],[LEN]]*#REF!+#REF!,0)</f>
        <v>#REF!</v>
      </c>
    </row>
    <row r="651" spans="1:16" s="97" customFormat="1" x14ac:dyDescent="0.25">
      <c r="A651" s="33" t="s">
        <v>1496</v>
      </c>
      <c r="B651" s="34" t="s">
        <v>283</v>
      </c>
      <c r="C651" s="35" t="s">
        <v>111</v>
      </c>
      <c r="D651" s="72" t="s">
        <v>28</v>
      </c>
      <c r="E651" s="35" t="s">
        <v>667</v>
      </c>
      <c r="F651" s="35" t="s">
        <v>840</v>
      </c>
      <c r="G651" s="72" t="s">
        <v>168</v>
      </c>
      <c r="H651" s="72" t="s">
        <v>655</v>
      </c>
      <c r="I651" s="35"/>
      <c r="J651" s="36" t="s">
        <v>708</v>
      </c>
      <c r="K651" s="113">
        <f>ROUND(Tableau13[[#This Row],[LEN]]*7.27,0)</f>
        <v>167</v>
      </c>
      <c r="L651" s="113">
        <v>15</v>
      </c>
      <c r="M651" s="130" t="str">
        <f t="shared" si="4"/>
        <v>none</v>
      </c>
      <c r="N651" s="113">
        <f>LEN(Tableau13[[#This Row],[LABEL]])</f>
        <v>23</v>
      </c>
      <c r="O651" s="113">
        <v>15</v>
      </c>
      <c r="P651" s="113" t="e">
        <f>ROUND(Tableau13[[#This Row],[LEN]]*#REF!+#REF!,0)</f>
        <v>#REF!</v>
      </c>
    </row>
    <row r="652" spans="1:16" s="97" customFormat="1" x14ac:dyDescent="0.25">
      <c r="A652" s="37" t="s">
        <v>1498</v>
      </c>
      <c r="B652" s="38" t="s">
        <v>1496</v>
      </c>
      <c r="C652" s="39" t="s">
        <v>112</v>
      </c>
      <c r="D652" s="73" t="s">
        <v>28</v>
      </c>
      <c r="E652" s="39" t="s">
        <v>667</v>
      </c>
      <c r="F652" s="39" t="s">
        <v>840</v>
      </c>
      <c r="G652" s="73" t="s">
        <v>168</v>
      </c>
      <c r="H652" s="73" t="s">
        <v>654</v>
      </c>
      <c r="I652" s="39"/>
      <c r="J652" s="40" t="s">
        <v>708</v>
      </c>
      <c r="K652" s="114">
        <f>ROUND(Tableau13[[#This Row],[LEN]]*7.27,0)</f>
        <v>167</v>
      </c>
      <c r="L652" s="114">
        <v>15</v>
      </c>
      <c r="M652" s="131" t="str">
        <f t="shared" si="4"/>
        <v>none</v>
      </c>
      <c r="N652" s="114">
        <f>LEN(Tableau13[[#This Row],[LABEL]])</f>
        <v>23</v>
      </c>
      <c r="O652" s="114">
        <v>15</v>
      </c>
      <c r="P652" s="114" t="e">
        <f>ROUND(Tableau13[[#This Row],[LEN]]*#REF!+#REF!,0)</f>
        <v>#REF!</v>
      </c>
    </row>
    <row r="653" spans="1:16" s="97" customFormat="1" x14ac:dyDescent="0.25">
      <c r="A653" s="37" t="s">
        <v>1499</v>
      </c>
      <c r="B653" s="38" t="s">
        <v>1496</v>
      </c>
      <c r="C653" s="39" t="s">
        <v>113</v>
      </c>
      <c r="D653" s="73" t="s">
        <v>28</v>
      </c>
      <c r="E653" s="39" t="s">
        <v>667</v>
      </c>
      <c r="F653" s="39" t="s">
        <v>840</v>
      </c>
      <c r="G653" s="73" t="s">
        <v>168</v>
      </c>
      <c r="H653" s="73" t="s">
        <v>654</v>
      </c>
      <c r="I653" s="39"/>
      <c r="J653" s="40" t="s">
        <v>708</v>
      </c>
      <c r="K653" s="114">
        <f>ROUND(Tableau13[[#This Row],[LEN]]*7.27,0)</f>
        <v>233</v>
      </c>
      <c r="L653" s="114">
        <v>15</v>
      </c>
      <c r="M653" s="131" t="str">
        <f t="shared" si="4"/>
        <v>none</v>
      </c>
      <c r="N653" s="114">
        <f>LEN(Tableau13[[#This Row],[LABEL]])</f>
        <v>32</v>
      </c>
      <c r="O653" s="114">
        <v>15</v>
      </c>
      <c r="P653" s="114" t="e">
        <f>ROUND(Tableau13[[#This Row],[LEN]]*#REF!+#REF!,0)</f>
        <v>#REF!</v>
      </c>
    </row>
    <row r="654" spans="1:16" s="97" customFormat="1" x14ac:dyDescent="0.25">
      <c r="A654" s="33" t="s">
        <v>1497</v>
      </c>
      <c r="B654" s="34" t="s">
        <v>283</v>
      </c>
      <c r="C654" s="35" t="s">
        <v>1483</v>
      </c>
      <c r="D654" s="72" t="s">
        <v>28</v>
      </c>
      <c r="E654" s="35" t="s">
        <v>661</v>
      </c>
      <c r="F654" s="35" t="s">
        <v>1445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ROUND(Tableau13[[#This Row],[LEN]]*7.27,0)</f>
        <v>240</v>
      </c>
      <c r="L654" s="113">
        <v>15</v>
      </c>
      <c r="M654" s="130" t="str">
        <f t="shared" si="4"/>
        <v>none</v>
      </c>
      <c r="N654" s="113">
        <f>LEN(Tableau13[[#This Row],[LABEL]])</f>
        <v>33</v>
      </c>
      <c r="O654" s="113">
        <v>15</v>
      </c>
      <c r="P654" s="113" t="e">
        <f>ROUND(Tableau13[[#This Row],[LEN]]*#REF!+#REF!,0)</f>
        <v>#REF!</v>
      </c>
    </row>
    <row r="655" spans="1:16" s="97" customFormat="1" x14ac:dyDescent="0.25">
      <c r="A655" s="37" t="s">
        <v>1500</v>
      </c>
      <c r="B655" s="38" t="s">
        <v>1497</v>
      </c>
      <c r="C655" s="39" t="s">
        <v>1458</v>
      </c>
      <c r="D655" s="73" t="s">
        <v>28</v>
      </c>
      <c r="E655" s="39" t="s">
        <v>661</v>
      </c>
      <c r="F655" s="39" t="s">
        <v>1445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ROUND(Tableau13[[#This Row],[LEN]]*7.27,0)</f>
        <v>189</v>
      </c>
      <c r="L655" s="114">
        <v>15</v>
      </c>
      <c r="M655" s="131" t="str">
        <f t="shared" si="4"/>
        <v>none</v>
      </c>
      <c r="N655" s="114">
        <f>LEN(Tableau13[[#This Row],[LABEL]])</f>
        <v>26</v>
      </c>
      <c r="O655" s="114">
        <v>15</v>
      </c>
      <c r="P655" s="114" t="e">
        <f>ROUND(Tableau13[[#This Row],[LEN]]*#REF!+#REF!,0)</f>
        <v>#REF!</v>
      </c>
    </row>
    <row r="656" spans="1:16" s="97" customFormat="1" ht="15.75" thickBot="1" x14ac:dyDescent="0.3">
      <c r="A656" s="37" t="s">
        <v>1501</v>
      </c>
      <c r="B656" s="38" t="s">
        <v>1497</v>
      </c>
      <c r="C656" s="39" t="s">
        <v>1459</v>
      </c>
      <c r="D656" s="73" t="s">
        <v>28</v>
      </c>
      <c r="E656" s="39" t="s">
        <v>661</v>
      </c>
      <c r="F656" s="39" t="s">
        <v>1445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ROUND(Tableau13[[#This Row],[LEN]]*7.27,0)</f>
        <v>204</v>
      </c>
      <c r="L656" s="114">
        <v>15</v>
      </c>
      <c r="M656" s="131" t="str">
        <f t="shared" si="4"/>
        <v>none</v>
      </c>
      <c r="N656" s="114">
        <f>LEN(Tableau13[[#This Row],[LABEL]])</f>
        <v>28</v>
      </c>
      <c r="O656" s="114">
        <v>15</v>
      </c>
      <c r="P656" s="114" t="e">
        <f>ROUND(Tableau13[[#This Row],[LEN]]*#REF!+#REF!,0)</f>
        <v>#REF!</v>
      </c>
    </row>
    <row r="657" spans="1:16" s="97" customFormat="1" ht="15.75" thickTop="1" x14ac:dyDescent="0.25">
      <c r="A657" s="156" t="s">
        <v>202</v>
      </c>
      <c r="B657" s="156" t="s">
        <v>198</v>
      </c>
      <c r="C657" s="157" t="s">
        <v>1161</v>
      </c>
      <c r="D657" s="157" t="s">
        <v>183</v>
      </c>
      <c r="E657" s="158" t="s">
        <v>58</v>
      </c>
      <c r="F657" s="157" t="s">
        <v>665</v>
      </c>
      <c r="G657" s="158" t="s">
        <v>171</v>
      </c>
      <c r="H657" s="158" t="s">
        <v>615</v>
      </c>
      <c r="I657" s="157"/>
      <c r="J657" s="159" t="s">
        <v>707</v>
      </c>
      <c r="K657" s="160">
        <f>ROUND(Tableau13[[#This Row],[LEN]]*7.27,0)</f>
        <v>131</v>
      </c>
      <c r="L657" s="160">
        <v>15</v>
      </c>
      <c r="M657" s="161" t="str">
        <f t="shared" si="4"/>
        <v>new</v>
      </c>
      <c r="N657" s="160">
        <f>LEN(Tableau13[[#This Row],[LABEL]])</f>
        <v>18</v>
      </c>
      <c r="O657" s="162">
        <v>15</v>
      </c>
      <c r="P657" s="162" t="e">
        <f>ROUND(Tableau13[[#This Row],[LEN]]*#REF!+#REF!,0)</f>
        <v>#REF!</v>
      </c>
    </row>
    <row r="658" spans="1:16" s="97" customFormat="1" ht="15.75" thickBot="1" x14ac:dyDescent="0.3">
      <c r="A658" s="184" t="s">
        <v>208</v>
      </c>
      <c r="B658" s="184" t="s">
        <v>202</v>
      </c>
      <c r="C658" s="185" t="s">
        <v>176</v>
      </c>
      <c r="D658" s="186" t="s">
        <v>473</v>
      </c>
      <c r="E658" s="185" t="s">
        <v>58</v>
      </c>
      <c r="F658" s="186"/>
      <c r="G658" s="185" t="s">
        <v>68</v>
      </c>
      <c r="H658" s="185" t="s">
        <v>616</v>
      </c>
      <c r="I658" s="186"/>
      <c r="J658" s="187" t="s">
        <v>708</v>
      </c>
      <c r="K658" s="188">
        <f>ROUND(Tableau13[[#This Row],[LEN]]*7.27,0)</f>
        <v>160</v>
      </c>
      <c r="L658" s="188">
        <v>15</v>
      </c>
      <c r="M658" s="189" t="str">
        <f t="shared" si="4"/>
        <v>none</v>
      </c>
      <c r="N658" s="188">
        <f>LEN(Tableau13[[#This Row],[LABEL]])</f>
        <v>22</v>
      </c>
      <c r="O658" s="190">
        <v>15</v>
      </c>
      <c r="P658" s="190" t="e">
        <f>ROUND(Tableau13[[#This Row],[LEN]]*#REF!+#REF!,0)</f>
        <v>#REF!</v>
      </c>
    </row>
    <row r="659" spans="1:16" s="92" customFormat="1" ht="15.75" thickTop="1" x14ac:dyDescent="0.25">
      <c r="A659" s="323" t="s">
        <v>284</v>
      </c>
      <c r="B659" s="324" t="s">
        <v>208</v>
      </c>
      <c r="C659" s="325" t="s">
        <v>1</v>
      </c>
      <c r="D659" s="326" t="s">
        <v>28</v>
      </c>
      <c r="E659" s="325" t="s">
        <v>664</v>
      </c>
      <c r="F659" s="325" t="s">
        <v>664</v>
      </c>
      <c r="G659" s="326" t="s">
        <v>68</v>
      </c>
      <c r="H659" s="326" t="str">
        <f>IFERROR(IF(SEARCH(".00.00.00.00.00",Tableau13[[#This Row],[name]],1)=7,"Division",""),"")</f>
        <v>Division</v>
      </c>
      <c r="I659" s="325"/>
      <c r="J659" s="327" t="s">
        <v>708</v>
      </c>
      <c r="K659" s="328">
        <f>ROUND(Tableau13[[#This Row],[LEN]]*7.27,0)</f>
        <v>182</v>
      </c>
      <c r="L659" s="328">
        <v>15</v>
      </c>
      <c r="M659" s="329" t="str">
        <f t="shared" si="4"/>
        <v>none</v>
      </c>
      <c r="N659" s="328">
        <f>LEN(Tableau13[[#This Row],[LABEL]])</f>
        <v>25</v>
      </c>
      <c r="O659" s="328">
        <v>15</v>
      </c>
      <c r="P659" s="328" t="e">
        <f>ROUND(Tableau13[[#This Row],[LEN]]*#REF!+#REF!,0)</f>
        <v>#REF!</v>
      </c>
    </row>
    <row r="660" spans="1:16" s="273" customFormat="1" x14ac:dyDescent="0.25">
      <c r="A660" s="330" t="s">
        <v>285</v>
      </c>
      <c r="B660" s="331" t="s">
        <v>208</v>
      </c>
      <c r="C660" s="332" t="s">
        <v>57</v>
      </c>
      <c r="D660" s="333" t="s">
        <v>28</v>
      </c>
      <c r="E660" s="332" t="s">
        <v>663</v>
      </c>
      <c r="F660" s="332" t="s">
        <v>663</v>
      </c>
      <c r="G660" s="333" t="s">
        <v>68</v>
      </c>
      <c r="H660" s="333" t="str">
        <f>IFERROR(IF(SEARCH(".00.00.00.00.00",Tableau13[[#This Row],[name]],1)=7,"Division",""),"")</f>
        <v>Division</v>
      </c>
      <c r="I660" s="332"/>
      <c r="J660" s="334" t="s">
        <v>709</v>
      </c>
      <c r="K660" s="335">
        <f>ROUND(Tableau13[[#This Row],[LEN]]*7.27,0)</f>
        <v>102</v>
      </c>
      <c r="L660" s="335">
        <v>15</v>
      </c>
      <c r="M660" s="336" t="str">
        <f t="shared" si="4"/>
        <v>new</v>
      </c>
      <c r="N660" s="335">
        <f>LEN(Tableau13[[#This Row],[LABEL]])</f>
        <v>14</v>
      </c>
      <c r="O660" s="335">
        <v>15</v>
      </c>
      <c r="P660" s="335" t="e">
        <f>ROUND(Tableau13[[#This Row],[LEN]]*#REF!+#REF!,0)</f>
        <v>#REF!</v>
      </c>
    </row>
    <row r="661" spans="1:16" s="97" customFormat="1" x14ac:dyDescent="0.25">
      <c r="A661" s="41" t="s">
        <v>844</v>
      </c>
      <c r="B661" s="42" t="s">
        <v>285</v>
      </c>
      <c r="C661" s="43" t="s">
        <v>848</v>
      </c>
      <c r="D661" s="74" t="s">
        <v>28</v>
      </c>
      <c r="E661" s="43" t="s">
        <v>663</v>
      </c>
      <c r="F661" s="43" t="s">
        <v>681</v>
      </c>
      <c r="G661" s="74" t="s">
        <v>68</v>
      </c>
      <c r="H661" s="74" t="s">
        <v>655</v>
      </c>
      <c r="I661" s="43"/>
      <c r="J661" s="44" t="s">
        <v>708</v>
      </c>
      <c r="K661" s="115">
        <f>ROUND(Tableau13[[#This Row],[LEN]]*7.27,0)</f>
        <v>153</v>
      </c>
      <c r="L661" s="115">
        <v>15</v>
      </c>
      <c r="M661" s="132" t="str">
        <f t="shared" si="4"/>
        <v>none</v>
      </c>
      <c r="N661" s="115">
        <f>LEN(Tableau13[[#This Row],[LABEL]])</f>
        <v>21</v>
      </c>
      <c r="O661" s="115">
        <v>15</v>
      </c>
      <c r="P661" s="115" t="e">
        <f>ROUND(Tableau13[[#This Row],[LEN]]*#REF!+#REF!,0)</f>
        <v>#REF!</v>
      </c>
    </row>
    <row r="662" spans="1:16" s="97" customFormat="1" x14ac:dyDescent="0.25">
      <c r="A662" s="45" t="s">
        <v>852</v>
      </c>
      <c r="B662" s="46" t="s">
        <v>844</v>
      </c>
      <c r="C662" s="47" t="s">
        <v>864</v>
      </c>
      <c r="D662" s="75" t="s">
        <v>28</v>
      </c>
      <c r="E662" s="47" t="s">
        <v>663</v>
      </c>
      <c r="F662" s="47" t="s">
        <v>681</v>
      </c>
      <c r="G662" s="75" t="s">
        <v>68</v>
      </c>
      <c r="H662" s="75" t="s">
        <v>656</v>
      </c>
      <c r="I662" s="47"/>
      <c r="J662" s="48" t="s">
        <v>708</v>
      </c>
      <c r="K662" s="116">
        <f>ROUND(Tableau13[[#This Row],[LEN]]*7.27,0)</f>
        <v>102</v>
      </c>
      <c r="L662" s="116">
        <v>15</v>
      </c>
      <c r="M662" s="133" t="str">
        <f t="shared" si="4"/>
        <v>none</v>
      </c>
      <c r="N662" s="116">
        <f>LEN(Tableau13[[#This Row],[LABEL]])</f>
        <v>14</v>
      </c>
      <c r="O662" s="116">
        <v>15</v>
      </c>
      <c r="P662" s="116" t="e">
        <f>ROUND(Tableau13[[#This Row],[LEN]]*#REF!+#REF!,0)</f>
        <v>#REF!</v>
      </c>
    </row>
    <row r="663" spans="1:16" s="97" customFormat="1" x14ac:dyDescent="0.25">
      <c r="A663" s="45" t="s">
        <v>853</v>
      </c>
      <c r="B663" s="46" t="s">
        <v>844</v>
      </c>
      <c r="C663" s="47" t="s">
        <v>865</v>
      </c>
      <c r="D663" s="75" t="s">
        <v>28</v>
      </c>
      <c r="E663" s="47" t="s">
        <v>663</v>
      </c>
      <c r="F663" s="47" t="s">
        <v>681</v>
      </c>
      <c r="G663" s="75" t="s">
        <v>68</v>
      </c>
      <c r="H663" s="75" t="s">
        <v>656</v>
      </c>
      <c r="I663" s="47"/>
      <c r="J663" s="48" t="s">
        <v>708</v>
      </c>
      <c r="K663" s="116">
        <f>ROUND(Tableau13[[#This Row],[LEN]]*7.27,0)</f>
        <v>211</v>
      </c>
      <c r="L663" s="116">
        <v>15</v>
      </c>
      <c r="M663" s="133" t="str">
        <f t="shared" si="4"/>
        <v>none</v>
      </c>
      <c r="N663" s="116">
        <f>LEN(Tableau13[[#This Row],[LABEL]])</f>
        <v>29</v>
      </c>
      <c r="O663" s="116">
        <v>15</v>
      </c>
      <c r="P663" s="116" t="e">
        <f>ROUND(Tableau13[[#This Row],[LEN]]*#REF!+#REF!,0)</f>
        <v>#REF!</v>
      </c>
    </row>
    <row r="664" spans="1:16" s="97" customFormat="1" x14ac:dyDescent="0.25">
      <c r="A664" s="41" t="s">
        <v>845</v>
      </c>
      <c r="B664" s="42" t="s">
        <v>285</v>
      </c>
      <c r="C664" s="43" t="s">
        <v>849</v>
      </c>
      <c r="D664" s="74" t="s">
        <v>28</v>
      </c>
      <c r="E664" s="43" t="s">
        <v>667</v>
      </c>
      <c r="F664" s="43" t="s">
        <v>840</v>
      </c>
      <c r="G664" s="74" t="s">
        <v>68</v>
      </c>
      <c r="H664" s="74" t="s">
        <v>655</v>
      </c>
      <c r="I664" s="43"/>
      <c r="J664" s="44" t="s">
        <v>708</v>
      </c>
      <c r="K664" s="115">
        <f>ROUND(Tableau13[[#This Row],[LEN]]*7.27,0)</f>
        <v>80</v>
      </c>
      <c r="L664" s="115">
        <v>15</v>
      </c>
      <c r="M664" s="132" t="str">
        <f t="shared" si="4"/>
        <v>none</v>
      </c>
      <c r="N664" s="115">
        <f>LEN(Tableau13[[#This Row],[LABEL]])</f>
        <v>11</v>
      </c>
      <c r="O664" s="115">
        <v>15</v>
      </c>
      <c r="P664" s="115" t="e">
        <f>ROUND(Tableau13[[#This Row],[LEN]]*#REF!+#REF!,0)</f>
        <v>#REF!</v>
      </c>
    </row>
    <row r="665" spans="1:16" s="97" customFormat="1" x14ac:dyDescent="0.25">
      <c r="A665" s="45" t="s">
        <v>854</v>
      </c>
      <c r="B665" s="46" t="s">
        <v>845</v>
      </c>
      <c r="C665" s="47" t="s">
        <v>112</v>
      </c>
      <c r="D665" s="75" t="s">
        <v>28</v>
      </c>
      <c r="E665" s="47" t="s">
        <v>667</v>
      </c>
      <c r="F665" s="47" t="s">
        <v>840</v>
      </c>
      <c r="G665" s="75" t="s">
        <v>68</v>
      </c>
      <c r="H665" s="75" t="s">
        <v>654</v>
      </c>
      <c r="I665" s="47"/>
      <c r="J665" s="48" t="s">
        <v>708</v>
      </c>
      <c r="K665" s="116">
        <f>ROUND(Tableau13[[#This Row],[LEN]]*7.27,0)</f>
        <v>167</v>
      </c>
      <c r="L665" s="116">
        <v>15</v>
      </c>
      <c r="M665" s="133" t="str">
        <f t="shared" si="4"/>
        <v>none</v>
      </c>
      <c r="N665" s="116">
        <f>LEN(Tableau13[[#This Row],[LABEL]])</f>
        <v>23</v>
      </c>
      <c r="O665" s="116">
        <v>15</v>
      </c>
      <c r="P665" s="116" t="e">
        <f>ROUND(Tableau13[[#This Row],[LEN]]*#REF!+#REF!,0)</f>
        <v>#REF!</v>
      </c>
    </row>
    <row r="666" spans="1:16" s="97" customFormat="1" x14ac:dyDescent="0.25">
      <c r="A666" s="45" t="s">
        <v>855</v>
      </c>
      <c r="B666" s="46" t="s">
        <v>845</v>
      </c>
      <c r="C666" s="47" t="s">
        <v>113</v>
      </c>
      <c r="D666" s="75" t="s">
        <v>28</v>
      </c>
      <c r="E666" s="47" t="s">
        <v>667</v>
      </c>
      <c r="F666" s="47" t="s">
        <v>840</v>
      </c>
      <c r="G666" s="75" t="s">
        <v>68</v>
      </c>
      <c r="H666" s="75" t="s">
        <v>654</v>
      </c>
      <c r="I666" s="47"/>
      <c r="J666" s="48" t="s">
        <v>708</v>
      </c>
      <c r="K666" s="116">
        <f>ROUND(Tableau13[[#This Row],[LEN]]*7.27,0)</f>
        <v>233</v>
      </c>
      <c r="L666" s="116">
        <v>15</v>
      </c>
      <c r="M666" s="133" t="str">
        <f t="shared" si="4"/>
        <v>none</v>
      </c>
      <c r="N666" s="116">
        <f>LEN(Tableau13[[#This Row],[LABEL]])</f>
        <v>32</v>
      </c>
      <c r="O666" s="116">
        <v>15</v>
      </c>
      <c r="P666" s="116" t="e">
        <f>ROUND(Tableau13[[#This Row],[LEN]]*#REF!+#REF!,0)</f>
        <v>#REF!</v>
      </c>
    </row>
    <row r="667" spans="1:16" s="97" customFormat="1" x14ac:dyDescent="0.25">
      <c r="A667" s="41" t="s">
        <v>846</v>
      </c>
      <c r="B667" s="42" t="s">
        <v>285</v>
      </c>
      <c r="C667" s="43" t="s">
        <v>850</v>
      </c>
      <c r="D667" s="74" t="s">
        <v>28</v>
      </c>
      <c r="E667" s="43" t="s">
        <v>663</v>
      </c>
      <c r="F667" s="43" t="s">
        <v>663</v>
      </c>
      <c r="G667" s="74" t="s">
        <v>68</v>
      </c>
      <c r="H667" s="74" t="s">
        <v>655</v>
      </c>
      <c r="I667" s="43"/>
      <c r="J667" s="44" t="s">
        <v>708</v>
      </c>
      <c r="K667" s="115">
        <f>ROUND(Tableau13[[#This Row],[LEN]]*7.27,0)</f>
        <v>109</v>
      </c>
      <c r="L667" s="115">
        <v>15</v>
      </c>
      <c r="M667" s="132" t="str">
        <f t="shared" si="4"/>
        <v>none</v>
      </c>
      <c r="N667" s="115">
        <f>LEN(Tableau13[[#This Row],[LABEL]])</f>
        <v>15</v>
      </c>
      <c r="O667" s="115">
        <v>15</v>
      </c>
      <c r="P667" s="115" t="e">
        <f>ROUND(Tableau13[[#This Row],[LEN]]*#REF!+#REF!,0)</f>
        <v>#REF!</v>
      </c>
    </row>
    <row r="668" spans="1:16" s="97" customFormat="1" x14ac:dyDescent="0.25">
      <c r="A668" s="45" t="s">
        <v>856</v>
      </c>
      <c r="B668" s="46" t="s">
        <v>846</v>
      </c>
      <c r="C668" s="47" t="s">
        <v>866</v>
      </c>
      <c r="D668" s="75" t="s">
        <v>28</v>
      </c>
      <c r="E668" s="47" t="s">
        <v>663</v>
      </c>
      <c r="F668" s="47" t="s">
        <v>663</v>
      </c>
      <c r="G668" s="75" t="s">
        <v>68</v>
      </c>
      <c r="H668" s="75" t="s">
        <v>18</v>
      </c>
      <c r="I668" s="47"/>
      <c r="J668" s="48" t="s">
        <v>708</v>
      </c>
      <c r="K668" s="116">
        <f>ROUND(Tableau13[[#This Row],[LEN]]*7.27,0)</f>
        <v>145</v>
      </c>
      <c r="L668" s="116">
        <v>15</v>
      </c>
      <c r="M668" s="133" t="str">
        <f t="shared" si="4"/>
        <v>none</v>
      </c>
      <c r="N668" s="116">
        <f>LEN(Tableau13[[#This Row],[LABEL]])</f>
        <v>20</v>
      </c>
      <c r="O668" s="116">
        <v>15</v>
      </c>
      <c r="P668" s="116" t="e">
        <f>ROUND(Tableau13[[#This Row],[LEN]]*#REF!+#REF!,0)</f>
        <v>#REF!</v>
      </c>
    </row>
    <row r="669" spans="1:16" s="97" customFormat="1" x14ac:dyDescent="0.25">
      <c r="A669" s="45" t="s">
        <v>857</v>
      </c>
      <c r="B669" s="46" t="s">
        <v>846</v>
      </c>
      <c r="C669" s="47" t="s">
        <v>867</v>
      </c>
      <c r="D669" s="75" t="s">
        <v>28</v>
      </c>
      <c r="E669" s="47" t="s">
        <v>663</v>
      </c>
      <c r="F669" s="47" t="s">
        <v>663</v>
      </c>
      <c r="G669" s="75" t="s">
        <v>68</v>
      </c>
      <c r="H669" s="75" t="s">
        <v>18</v>
      </c>
      <c r="I669" s="47"/>
      <c r="J669" s="48" t="s">
        <v>708</v>
      </c>
      <c r="K669" s="116">
        <f>ROUND(Tableau13[[#This Row],[LEN]]*7.27,0)</f>
        <v>153</v>
      </c>
      <c r="L669" s="116">
        <v>15</v>
      </c>
      <c r="M669" s="133" t="str">
        <f t="shared" si="4"/>
        <v>none</v>
      </c>
      <c r="N669" s="116">
        <f>LEN(Tableau13[[#This Row],[LABEL]])</f>
        <v>21</v>
      </c>
      <c r="O669" s="116">
        <v>15</v>
      </c>
      <c r="P669" s="116" t="e">
        <f>ROUND(Tableau13[[#This Row],[LEN]]*#REF!+#REF!,0)</f>
        <v>#REF!</v>
      </c>
    </row>
    <row r="670" spans="1:16" s="97" customFormat="1" x14ac:dyDescent="0.25">
      <c r="A670" s="45" t="s">
        <v>858</v>
      </c>
      <c r="B670" s="46" t="s">
        <v>846</v>
      </c>
      <c r="C670" s="47" t="s">
        <v>868</v>
      </c>
      <c r="D670" s="75" t="s">
        <v>28</v>
      </c>
      <c r="E670" s="47" t="s">
        <v>663</v>
      </c>
      <c r="F670" s="47" t="s">
        <v>663</v>
      </c>
      <c r="G670" s="75" t="s">
        <v>68</v>
      </c>
      <c r="H670" s="75" t="s">
        <v>18</v>
      </c>
      <c r="I670" s="47"/>
      <c r="J670" s="48" t="s">
        <v>708</v>
      </c>
      <c r="K670" s="116">
        <f>ROUND(Tableau13[[#This Row],[LEN]]*7.27,0)</f>
        <v>87</v>
      </c>
      <c r="L670" s="116">
        <v>15</v>
      </c>
      <c r="M670" s="133" t="str">
        <f t="shared" si="4"/>
        <v>none</v>
      </c>
      <c r="N670" s="116">
        <f>LEN(Tableau13[[#This Row],[LABEL]])</f>
        <v>12</v>
      </c>
      <c r="O670" s="116">
        <v>15</v>
      </c>
      <c r="P670" s="116" t="e">
        <f>ROUND(Tableau13[[#This Row],[LEN]]*#REF!+#REF!,0)</f>
        <v>#REF!</v>
      </c>
    </row>
    <row r="671" spans="1:16" s="97" customFormat="1" x14ac:dyDescent="0.25">
      <c r="A671" s="45" t="s">
        <v>859</v>
      </c>
      <c r="B671" s="46" t="s">
        <v>846</v>
      </c>
      <c r="C671" s="47" t="s">
        <v>869</v>
      </c>
      <c r="D671" s="75" t="s">
        <v>28</v>
      </c>
      <c r="E671" s="47" t="s">
        <v>663</v>
      </c>
      <c r="F671" s="47" t="s">
        <v>663</v>
      </c>
      <c r="G671" s="75" t="s">
        <v>68</v>
      </c>
      <c r="H671" s="75" t="s">
        <v>18</v>
      </c>
      <c r="I671" s="47"/>
      <c r="J671" s="48" t="s">
        <v>708</v>
      </c>
      <c r="K671" s="116">
        <f>ROUND(Tableau13[[#This Row],[LEN]]*7.27,0)</f>
        <v>145</v>
      </c>
      <c r="L671" s="116">
        <v>15</v>
      </c>
      <c r="M671" s="133" t="str">
        <f t="shared" si="4"/>
        <v>none</v>
      </c>
      <c r="N671" s="116">
        <f>LEN(Tableau13[[#This Row],[LABEL]])</f>
        <v>20</v>
      </c>
      <c r="O671" s="116">
        <v>15</v>
      </c>
      <c r="P671" s="116" t="e">
        <f>ROUND(Tableau13[[#This Row],[LEN]]*#REF!+#REF!,0)</f>
        <v>#REF!</v>
      </c>
    </row>
    <row r="672" spans="1:16" s="97" customFormat="1" x14ac:dyDescent="0.25">
      <c r="A672" s="41" t="s">
        <v>847</v>
      </c>
      <c r="B672" s="42" t="s">
        <v>285</v>
      </c>
      <c r="C672" s="43" t="s">
        <v>851</v>
      </c>
      <c r="D672" s="74" t="s">
        <v>28</v>
      </c>
      <c r="E672" s="43" t="s">
        <v>663</v>
      </c>
      <c r="F672" s="43" t="s">
        <v>663</v>
      </c>
      <c r="G672" s="74" t="s">
        <v>68</v>
      </c>
      <c r="H672" s="74" t="s">
        <v>655</v>
      </c>
      <c r="I672" s="43"/>
      <c r="J672" s="44" t="s">
        <v>708</v>
      </c>
      <c r="K672" s="115">
        <f>ROUND(Tableau13[[#This Row],[LEN]]*7.27,0)</f>
        <v>124</v>
      </c>
      <c r="L672" s="115">
        <v>15</v>
      </c>
      <c r="M672" s="132" t="str">
        <f t="shared" si="4"/>
        <v>none</v>
      </c>
      <c r="N672" s="115">
        <f>LEN(Tableau13[[#This Row],[LABEL]])</f>
        <v>17</v>
      </c>
      <c r="O672" s="115">
        <v>15</v>
      </c>
      <c r="P672" s="115" t="e">
        <f>ROUND(Tableau13[[#This Row],[LEN]]*#REF!+#REF!,0)</f>
        <v>#REF!</v>
      </c>
    </row>
    <row r="673" spans="1:16" s="97" customFormat="1" x14ac:dyDescent="0.25">
      <c r="A673" s="45" t="s">
        <v>860</v>
      </c>
      <c r="B673" s="46" t="s">
        <v>847</v>
      </c>
      <c r="C673" s="47" t="s">
        <v>870</v>
      </c>
      <c r="D673" s="75" t="s">
        <v>28</v>
      </c>
      <c r="E673" s="47" t="s">
        <v>663</v>
      </c>
      <c r="F673" s="47" t="s">
        <v>663</v>
      </c>
      <c r="G673" s="75" t="s">
        <v>68</v>
      </c>
      <c r="H673" s="75" t="s">
        <v>18</v>
      </c>
      <c r="I673" s="47"/>
      <c r="J673" s="48" t="s">
        <v>708</v>
      </c>
      <c r="K673" s="116">
        <f>ROUND(Tableau13[[#This Row],[LEN]]*7.27,0)</f>
        <v>65</v>
      </c>
      <c r="L673" s="116">
        <v>15</v>
      </c>
      <c r="M673" s="133" t="str">
        <f t="shared" si="4"/>
        <v>none</v>
      </c>
      <c r="N673" s="116">
        <f>LEN(Tableau13[[#This Row],[LABEL]])</f>
        <v>9</v>
      </c>
      <c r="O673" s="116">
        <v>15</v>
      </c>
      <c r="P673" s="116" t="e">
        <f>ROUND(Tableau13[[#This Row],[LEN]]*#REF!+#REF!,0)</f>
        <v>#REF!</v>
      </c>
    </row>
    <row r="674" spans="1:16" s="97" customFormat="1" x14ac:dyDescent="0.25">
      <c r="A674" s="45" t="s">
        <v>861</v>
      </c>
      <c r="B674" s="46" t="s">
        <v>847</v>
      </c>
      <c r="C674" s="47" t="s">
        <v>871</v>
      </c>
      <c r="D674" s="75" t="s">
        <v>28</v>
      </c>
      <c r="E674" s="47" t="s">
        <v>663</v>
      </c>
      <c r="F674" s="47" t="s">
        <v>663</v>
      </c>
      <c r="G674" s="75" t="s">
        <v>68</v>
      </c>
      <c r="H674" s="75" t="s">
        <v>18</v>
      </c>
      <c r="I674" s="47"/>
      <c r="J674" s="48" t="s">
        <v>708</v>
      </c>
      <c r="K674" s="116">
        <f>ROUND(Tableau13[[#This Row],[LEN]]*7.27,0)</f>
        <v>116</v>
      </c>
      <c r="L674" s="116">
        <v>15</v>
      </c>
      <c r="M674" s="133" t="str">
        <f t="shared" si="4"/>
        <v>none</v>
      </c>
      <c r="N674" s="116">
        <f>LEN(Tableau13[[#This Row],[LABEL]])</f>
        <v>16</v>
      </c>
      <c r="O674" s="116">
        <v>15</v>
      </c>
      <c r="P674" s="116" t="e">
        <f>ROUND(Tableau13[[#This Row],[LEN]]*#REF!+#REF!,0)</f>
        <v>#REF!</v>
      </c>
    </row>
    <row r="675" spans="1:16" s="97" customFormat="1" x14ac:dyDescent="0.25">
      <c r="A675" s="45" t="s">
        <v>862</v>
      </c>
      <c r="B675" s="46" t="s">
        <v>847</v>
      </c>
      <c r="C675" s="47" t="s">
        <v>872</v>
      </c>
      <c r="D675" s="75" t="s">
        <v>28</v>
      </c>
      <c r="E675" s="47" t="s">
        <v>663</v>
      </c>
      <c r="F675" s="47" t="s">
        <v>663</v>
      </c>
      <c r="G675" s="75" t="s">
        <v>68</v>
      </c>
      <c r="H675" s="75" t="s">
        <v>18</v>
      </c>
      <c r="I675" s="47"/>
      <c r="J675" s="48" t="s">
        <v>708</v>
      </c>
      <c r="K675" s="116">
        <f>ROUND(Tableau13[[#This Row],[LEN]]*7.27,0)</f>
        <v>145</v>
      </c>
      <c r="L675" s="116">
        <v>15</v>
      </c>
      <c r="M675" s="133" t="str">
        <f t="shared" si="4"/>
        <v>none</v>
      </c>
      <c r="N675" s="116">
        <f>LEN(Tableau13[[#This Row],[LABEL]])</f>
        <v>20</v>
      </c>
      <c r="O675" s="116">
        <v>15</v>
      </c>
      <c r="P675" s="116" t="e">
        <f>ROUND(Tableau13[[#This Row],[LEN]]*#REF!+#REF!,0)</f>
        <v>#REF!</v>
      </c>
    </row>
    <row r="676" spans="1:16" s="97" customFormat="1" x14ac:dyDescent="0.25">
      <c r="A676" s="45" t="s">
        <v>863</v>
      </c>
      <c r="B676" s="46" t="s">
        <v>847</v>
      </c>
      <c r="C676" s="47" t="s">
        <v>873</v>
      </c>
      <c r="D676" s="75" t="s">
        <v>28</v>
      </c>
      <c r="E676" s="47" t="s">
        <v>663</v>
      </c>
      <c r="F676" s="47" t="s">
        <v>663</v>
      </c>
      <c r="G676" s="75" t="s">
        <v>68</v>
      </c>
      <c r="H676" s="75" t="s">
        <v>18</v>
      </c>
      <c r="I676" s="47"/>
      <c r="J676" s="48" t="s">
        <v>708</v>
      </c>
      <c r="K676" s="116">
        <f>ROUND(Tableau13[[#This Row],[LEN]]*7.27,0)</f>
        <v>116</v>
      </c>
      <c r="L676" s="116">
        <v>15</v>
      </c>
      <c r="M676" s="133" t="str">
        <f t="shared" si="4"/>
        <v>none</v>
      </c>
      <c r="N676" s="116">
        <f>LEN(Tableau13[[#This Row],[LABEL]])</f>
        <v>16</v>
      </c>
      <c r="O676" s="116">
        <v>15</v>
      </c>
      <c r="P676" s="116" t="e">
        <f>ROUND(Tableau13[[#This Row],[LEN]]*#REF!+#REF!,0)</f>
        <v>#REF!</v>
      </c>
    </row>
    <row r="677" spans="1:16" s="273" customFormat="1" x14ac:dyDescent="0.25">
      <c r="A677" s="330" t="s">
        <v>286</v>
      </c>
      <c r="B677" s="331" t="s">
        <v>208</v>
      </c>
      <c r="C677" s="332" t="s">
        <v>2</v>
      </c>
      <c r="D677" s="333" t="s">
        <v>28</v>
      </c>
      <c r="E677" s="332" t="s">
        <v>662</v>
      </c>
      <c r="F677" s="332" t="s">
        <v>662</v>
      </c>
      <c r="G677" s="333" t="s">
        <v>68</v>
      </c>
      <c r="H677" s="333" t="str">
        <f>IFERROR(IF(SEARCH(".00.00.00.00.00",Tableau13[[#This Row],[name]],1)=7,"Division",""),"")</f>
        <v>Division</v>
      </c>
      <c r="I677" s="332"/>
      <c r="J677" s="334" t="s">
        <v>710</v>
      </c>
      <c r="K677" s="335">
        <f>ROUND(Tableau13[[#This Row],[LEN]]*7.27,0)</f>
        <v>65</v>
      </c>
      <c r="L677" s="335">
        <v>15</v>
      </c>
      <c r="M677" s="336" t="str">
        <f t="shared" si="4"/>
        <v>new</v>
      </c>
      <c r="N677" s="335">
        <f>LEN(Tableau13[[#This Row],[LABEL]])</f>
        <v>9</v>
      </c>
      <c r="O677" s="335">
        <v>15</v>
      </c>
      <c r="P677" s="335" t="e">
        <f>ROUND(Tableau13[[#This Row],[LEN]]*#REF!+#REF!,0)</f>
        <v>#REF!</v>
      </c>
    </row>
    <row r="678" spans="1:16" s="97" customFormat="1" x14ac:dyDescent="0.25">
      <c r="A678" s="41" t="s">
        <v>737</v>
      </c>
      <c r="B678" s="42" t="s">
        <v>286</v>
      </c>
      <c r="C678" s="43" t="s">
        <v>738</v>
      </c>
      <c r="D678" s="74" t="s">
        <v>28</v>
      </c>
      <c r="E678" s="43" t="s">
        <v>662</v>
      </c>
      <c r="F678" s="43" t="s">
        <v>739</v>
      </c>
      <c r="G678" s="74" t="s">
        <v>68</v>
      </c>
      <c r="H678" s="74" t="s">
        <v>56</v>
      </c>
      <c r="I678" s="43"/>
      <c r="J678" s="44" t="s">
        <v>708</v>
      </c>
      <c r="K678" s="115">
        <f>ROUND(Tableau13[[#This Row],[LEN]]*7.27,0)</f>
        <v>247</v>
      </c>
      <c r="L678" s="115">
        <v>15</v>
      </c>
      <c r="M678" s="132" t="str">
        <f t="shared" si="4"/>
        <v>none</v>
      </c>
      <c r="N678" s="115">
        <f>LEN(Tableau13[[#This Row],[LABEL]])</f>
        <v>34</v>
      </c>
      <c r="O678" s="115">
        <v>15</v>
      </c>
      <c r="P678" s="115" t="e">
        <f>ROUND(Tableau13[[#This Row],[LEN]]*#REF!+#REF!,0)</f>
        <v>#REF!</v>
      </c>
    </row>
    <row r="679" spans="1:16" s="273" customFormat="1" x14ac:dyDescent="0.25">
      <c r="A679" s="330" t="s">
        <v>287</v>
      </c>
      <c r="B679" s="331" t="s">
        <v>208</v>
      </c>
      <c r="C679" s="332" t="s">
        <v>3</v>
      </c>
      <c r="D679" s="333" t="s">
        <v>28</v>
      </c>
      <c r="E679" s="332" t="s">
        <v>661</v>
      </c>
      <c r="F679" s="332" t="s">
        <v>661</v>
      </c>
      <c r="G679" s="333" t="s">
        <v>68</v>
      </c>
      <c r="H679" s="333" t="str">
        <f>IFERROR(IF(SEARCH(".00.00.00.00.00",Tableau13[[#This Row],[name]],1)=7,"Division",""),"")</f>
        <v>Division</v>
      </c>
      <c r="I679" s="332"/>
      <c r="J679" s="334" t="s">
        <v>711</v>
      </c>
      <c r="K679" s="335">
        <f>ROUND(Tableau13[[#This Row],[LEN]]*7.27,0)</f>
        <v>73</v>
      </c>
      <c r="L679" s="335">
        <v>15</v>
      </c>
      <c r="M679" s="336" t="str">
        <f t="shared" si="4"/>
        <v>new</v>
      </c>
      <c r="N679" s="335">
        <f>LEN(Tableau13[[#This Row],[LABEL]])</f>
        <v>10</v>
      </c>
      <c r="O679" s="335">
        <v>15</v>
      </c>
      <c r="P679" s="335" t="e">
        <f>ROUND(Tableau13[[#This Row],[LEN]]*#REF!+#REF!,0)</f>
        <v>#REF!</v>
      </c>
    </row>
    <row r="680" spans="1:16" s="97" customFormat="1" x14ac:dyDescent="0.25">
      <c r="A680" s="41" t="s">
        <v>443</v>
      </c>
      <c r="B680" s="42" t="s">
        <v>287</v>
      </c>
      <c r="C680" s="43" t="s">
        <v>75</v>
      </c>
      <c r="D680" s="74" t="s">
        <v>28</v>
      </c>
      <c r="E680" s="43" t="s">
        <v>661</v>
      </c>
      <c r="F680" s="43" t="s">
        <v>684</v>
      </c>
      <c r="G680" s="74" t="s">
        <v>68</v>
      </c>
      <c r="H680" s="74" t="s">
        <v>655</v>
      </c>
      <c r="I680" s="43"/>
      <c r="J680" s="44" t="s">
        <v>708</v>
      </c>
      <c r="K680" s="115">
        <f>ROUND(Tableau13[[#This Row],[LEN]]*7.27,0)</f>
        <v>262</v>
      </c>
      <c r="L680" s="115">
        <v>15</v>
      </c>
      <c r="M680" s="132" t="str">
        <f t="shared" si="4"/>
        <v>none</v>
      </c>
      <c r="N680" s="115">
        <f>LEN(Tableau13[[#This Row],[LABEL]])</f>
        <v>36</v>
      </c>
      <c r="O680" s="115">
        <v>15</v>
      </c>
      <c r="P680" s="115" t="e">
        <f>ROUND(Tableau13[[#This Row],[LEN]]*#REF!+#REF!,0)</f>
        <v>#REF!</v>
      </c>
    </row>
    <row r="681" spans="1:16" s="97" customFormat="1" x14ac:dyDescent="0.25">
      <c r="A681" s="45" t="s">
        <v>453</v>
      </c>
      <c r="B681" s="46" t="s">
        <v>443</v>
      </c>
      <c r="C681" s="47" t="s">
        <v>115</v>
      </c>
      <c r="D681" s="75" t="s">
        <v>28</v>
      </c>
      <c r="E681" s="47" t="s">
        <v>661</v>
      </c>
      <c r="F681" s="47" t="s">
        <v>684</v>
      </c>
      <c r="G681" s="75" t="s">
        <v>68</v>
      </c>
      <c r="H681" s="75" t="s">
        <v>656</v>
      </c>
      <c r="I681" s="47"/>
      <c r="J681" s="48" t="s">
        <v>708</v>
      </c>
      <c r="K681" s="116">
        <f>ROUND(Tableau13[[#This Row],[LEN]]*7.27,0)</f>
        <v>291</v>
      </c>
      <c r="L681" s="116">
        <v>15</v>
      </c>
      <c r="M681" s="133" t="str">
        <f t="shared" si="4"/>
        <v>none</v>
      </c>
      <c r="N681" s="116">
        <f>LEN(Tableau13[[#This Row],[LABEL]])</f>
        <v>40</v>
      </c>
      <c r="O681" s="116">
        <v>15</v>
      </c>
      <c r="P681" s="116" t="e">
        <f>ROUND(Tableau13[[#This Row],[LEN]]*#REF!+#REF!,0)</f>
        <v>#REF!</v>
      </c>
    </row>
    <row r="682" spans="1:16" s="97" customFormat="1" x14ac:dyDescent="0.25">
      <c r="A682" s="45" t="s">
        <v>454</v>
      </c>
      <c r="B682" s="46" t="s">
        <v>443</v>
      </c>
      <c r="C682" s="47" t="s">
        <v>116</v>
      </c>
      <c r="D682" s="75" t="s">
        <v>28</v>
      </c>
      <c r="E682" s="47" t="s">
        <v>661</v>
      </c>
      <c r="F682" s="47" t="s">
        <v>684</v>
      </c>
      <c r="G682" s="75" t="s">
        <v>68</v>
      </c>
      <c r="H682" s="75" t="s">
        <v>656</v>
      </c>
      <c r="I682" s="47"/>
      <c r="J682" s="48" t="s">
        <v>708</v>
      </c>
      <c r="K682" s="116">
        <f>ROUND(Tableau13[[#This Row],[LEN]]*7.27,0)</f>
        <v>313</v>
      </c>
      <c r="L682" s="116">
        <v>15</v>
      </c>
      <c r="M682" s="133" t="str">
        <f t="shared" si="4"/>
        <v>none</v>
      </c>
      <c r="N682" s="116">
        <f>LEN(Tableau13[[#This Row],[LABEL]])</f>
        <v>43</v>
      </c>
      <c r="O682" s="116">
        <v>15</v>
      </c>
      <c r="P682" s="116" t="e">
        <f>ROUND(Tableau13[[#This Row],[LEN]]*#REF!+#REF!,0)</f>
        <v>#REF!</v>
      </c>
    </row>
    <row r="683" spans="1:16" s="97" customFormat="1" x14ac:dyDescent="0.25">
      <c r="A683" s="45" t="s">
        <v>455</v>
      </c>
      <c r="B683" s="46" t="s">
        <v>443</v>
      </c>
      <c r="C683" s="47" t="s">
        <v>117</v>
      </c>
      <c r="D683" s="75" t="s">
        <v>28</v>
      </c>
      <c r="E683" s="47" t="s">
        <v>661</v>
      </c>
      <c r="F683" s="47" t="s">
        <v>684</v>
      </c>
      <c r="G683" s="75" t="s">
        <v>68</v>
      </c>
      <c r="H683" s="75" t="s">
        <v>656</v>
      </c>
      <c r="I683" s="47"/>
      <c r="J683" s="48" t="s">
        <v>708</v>
      </c>
      <c r="K683" s="116">
        <f>ROUND(Tableau13[[#This Row],[LEN]]*7.27,0)</f>
        <v>225</v>
      </c>
      <c r="L683" s="116">
        <v>15</v>
      </c>
      <c r="M683" s="133" t="str">
        <f t="shared" si="4"/>
        <v>none</v>
      </c>
      <c r="N683" s="116">
        <f>LEN(Tableau13[[#This Row],[LABEL]])</f>
        <v>31</v>
      </c>
      <c r="O683" s="116">
        <v>15</v>
      </c>
      <c r="P683" s="116" t="e">
        <f>ROUND(Tableau13[[#This Row],[LEN]]*#REF!+#REF!,0)</f>
        <v>#REF!</v>
      </c>
    </row>
    <row r="684" spans="1:16" s="97" customFormat="1" x14ac:dyDescent="0.25">
      <c r="A684" s="41" t="s">
        <v>444</v>
      </c>
      <c r="B684" s="42" t="s">
        <v>287</v>
      </c>
      <c r="C684" s="43" t="s">
        <v>512</v>
      </c>
      <c r="D684" s="74" t="s">
        <v>28</v>
      </c>
      <c r="E684" s="43" t="s">
        <v>667</v>
      </c>
      <c r="F684" s="43" t="s">
        <v>661</v>
      </c>
      <c r="G684" s="74" t="s">
        <v>68</v>
      </c>
      <c r="H684" s="74" t="s">
        <v>655</v>
      </c>
      <c r="I684" s="43"/>
      <c r="J684" s="44" t="s">
        <v>708</v>
      </c>
      <c r="K684" s="115">
        <f>ROUND(Tableau13[[#This Row],[LEN]]*7.27,0)</f>
        <v>80</v>
      </c>
      <c r="L684" s="115">
        <v>15</v>
      </c>
      <c r="M684" s="132" t="str">
        <f t="shared" si="4"/>
        <v>none</v>
      </c>
      <c r="N684" s="115">
        <f>LEN(Tableau13[[#This Row],[LABEL]])</f>
        <v>11</v>
      </c>
      <c r="O684" s="115">
        <v>15</v>
      </c>
      <c r="P684" s="115" t="e">
        <f>ROUND(Tableau13[[#This Row],[LEN]]*#REF!+#REF!,0)</f>
        <v>#REF!</v>
      </c>
    </row>
    <row r="685" spans="1:16" s="97" customFormat="1" x14ac:dyDescent="0.25">
      <c r="A685" s="45" t="s">
        <v>456</v>
      </c>
      <c r="B685" s="46" t="s">
        <v>444</v>
      </c>
      <c r="C685" s="47" t="s">
        <v>112</v>
      </c>
      <c r="D685" s="75" t="s">
        <v>28</v>
      </c>
      <c r="E685" s="47" t="s">
        <v>667</v>
      </c>
      <c r="F685" s="47" t="s">
        <v>661</v>
      </c>
      <c r="G685" s="75" t="s">
        <v>68</v>
      </c>
      <c r="H685" s="75" t="s">
        <v>654</v>
      </c>
      <c r="I685" s="47"/>
      <c r="J685" s="48" t="s">
        <v>708</v>
      </c>
      <c r="K685" s="116">
        <f>ROUND(Tableau13[[#This Row],[LEN]]*7.27,0)</f>
        <v>167</v>
      </c>
      <c r="L685" s="116">
        <v>15</v>
      </c>
      <c r="M685" s="133" t="str">
        <f t="shared" si="4"/>
        <v>none</v>
      </c>
      <c r="N685" s="116">
        <f>LEN(Tableau13[[#This Row],[LABEL]])</f>
        <v>23</v>
      </c>
      <c r="O685" s="116">
        <v>15</v>
      </c>
      <c r="P685" s="116" t="e">
        <f>ROUND(Tableau13[[#This Row],[LEN]]*#REF!+#REF!,0)</f>
        <v>#REF!</v>
      </c>
    </row>
    <row r="686" spans="1:16" s="97" customFormat="1" x14ac:dyDescent="0.25">
      <c r="A686" s="45" t="s">
        <v>457</v>
      </c>
      <c r="B686" s="46" t="s">
        <v>444</v>
      </c>
      <c r="C686" s="47" t="s">
        <v>113</v>
      </c>
      <c r="D686" s="75" t="s">
        <v>28</v>
      </c>
      <c r="E686" s="47" t="s">
        <v>667</v>
      </c>
      <c r="F686" s="47" t="s">
        <v>661</v>
      </c>
      <c r="G686" s="75" t="s">
        <v>68</v>
      </c>
      <c r="H686" s="75" t="s">
        <v>654</v>
      </c>
      <c r="I686" s="47"/>
      <c r="J686" s="48" t="s">
        <v>708</v>
      </c>
      <c r="K686" s="116">
        <f>ROUND(Tableau13[[#This Row],[LEN]]*7.27,0)</f>
        <v>233</v>
      </c>
      <c r="L686" s="116">
        <v>15</v>
      </c>
      <c r="M686" s="133" t="str">
        <f t="shared" si="4"/>
        <v>none</v>
      </c>
      <c r="N686" s="116">
        <f>LEN(Tableau13[[#This Row],[LABEL]])</f>
        <v>32</v>
      </c>
      <c r="O686" s="116">
        <v>15</v>
      </c>
      <c r="P686" s="116" t="e">
        <f>ROUND(Tableau13[[#This Row],[LEN]]*#REF!+#REF!,0)</f>
        <v>#REF!</v>
      </c>
    </row>
    <row r="687" spans="1:16" s="97" customFormat="1" x14ac:dyDescent="0.25">
      <c r="A687" s="41" t="s">
        <v>445</v>
      </c>
      <c r="B687" s="42" t="s">
        <v>287</v>
      </c>
      <c r="C687" s="43" t="s">
        <v>849</v>
      </c>
      <c r="D687" s="74" t="s">
        <v>28</v>
      </c>
      <c r="E687" s="43" t="s">
        <v>667</v>
      </c>
      <c r="F687" s="43" t="s">
        <v>840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ROUND(Tableau13[[#This Row],[LEN]]*7.27,0)</f>
        <v>80</v>
      </c>
      <c r="L687" s="115">
        <v>15</v>
      </c>
      <c r="M687" s="132" t="str">
        <f t="shared" si="4"/>
        <v>none</v>
      </c>
      <c r="N687" s="115">
        <f>LEN(Tableau13[[#This Row],[LABEL]])</f>
        <v>11</v>
      </c>
      <c r="O687" s="115">
        <v>15</v>
      </c>
      <c r="P687" s="115" t="e">
        <f>ROUND(Tableau13[[#This Row],[LEN]]*#REF!+#REF!,0)</f>
        <v>#REF!</v>
      </c>
    </row>
    <row r="688" spans="1:16" s="97" customFormat="1" x14ac:dyDescent="0.25">
      <c r="A688" s="41" t="s">
        <v>446</v>
      </c>
      <c r="B688" s="42" t="s">
        <v>287</v>
      </c>
      <c r="C688" s="43" t="s">
        <v>1516</v>
      </c>
      <c r="D688" s="74" t="s">
        <v>28</v>
      </c>
      <c r="E688" s="43" t="s">
        <v>661</v>
      </c>
      <c r="F688" s="43" t="s">
        <v>684</v>
      </c>
      <c r="G688" s="74" t="s">
        <v>68</v>
      </c>
      <c r="H688" s="74" t="s">
        <v>655</v>
      </c>
      <c r="I688" s="43"/>
      <c r="J688" s="44" t="s">
        <v>708</v>
      </c>
      <c r="K688" s="115">
        <f>ROUND(Tableau13[[#This Row],[LEN]]*7.27,0)</f>
        <v>305</v>
      </c>
      <c r="L688" s="115">
        <v>15</v>
      </c>
      <c r="M688" s="132" t="str">
        <f t="shared" si="4"/>
        <v>none</v>
      </c>
      <c r="N688" s="115">
        <f>LEN(Tableau13[[#This Row],[LABEL]])</f>
        <v>42</v>
      </c>
      <c r="O688" s="115">
        <v>15</v>
      </c>
      <c r="P688" s="115" t="e">
        <f>ROUND(Tableau13[[#This Row],[LEN]]*#REF!+#REF!,0)</f>
        <v>#REF!</v>
      </c>
    </row>
    <row r="689" spans="1:16" s="97" customFormat="1" x14ac:dyDescent="0.25">
      <c r="A689" s="45" t="s">
        <v>458</v>
      </c>
      <c r="B689" s="46" t="s">
        <v>446</v>
      </c>
      <c r="C689" s="47" t="s">
        <v>118</v>
      </c>
      <c r="D689" s="75" t="s">
        <v>28</v>
      </c>
      <c r="E689" s="47" t="s">
        <v>661</v>
      </c>
      <c r="F689" s="47" t="s">
        <v>684</v>
      </c>
      <c r="G689" s="75" t="s">
        <v>68</v>
      </c>
      <c r="H689" s="75" t="s">
        <v>18</v>
      </c>
      <c r="I689" s="47"/>
      <c r="J689" s="48" t="s">
        <v>708</v>
      </c>
      <c r="K689" s="116">
        <f>ROUND(Tableau13[[#This Row],[LEN]]*7.27,0)</f>
        <v>204</v>
      </c>
      <c r="L689" s="116">
        <v>15</v>
      </c>
      <c r="M689" s="133" t="str">
        <f t="shared" si="4"/>
        <v>none</v>
      </c>
      <c r="N689" s="116">
        <f>LEN(Tableau13[[#This Row],[LABEL]])</f>
        <v>28</v>
      </c>
      <c r="O689" s="116">
        <v>15</v>
      </c>
      <c r="P689" s="116" t="e">
        <f>ROUND(Tableau13[[#This Row],[LEN]]*#REF!+#REF!,0)</f>
        <v>#REF!</v>
      </c>
    </row>
    <row r="690" spans="1:16" s="97" customFormat="1" x14ac:dyDescent="0.25">
      <c r="A690" s="45" t="s">
        <v>459</v>
      </c>
      <c r="B690" s="46" t="s">
        <v>446</v>
      </c>
      <c r="C690" s="47" t="s">
        <v>119</v>
      </c>
      <c r="D690" s="75" t="s">
        <v>28</v>
      </c>
      <c r="E690" s="47" t="s">
        <v>661</v>
      </c>
      <c r="F690" s="47" t="s">
        <v>684</v>
      </c>
      <c r="G690" s="75" t="s">
        <v>68</v>
      </c>
      <c r="H690" s="75" t="s">
        <v>18</v>
      </c>
      <c r="I690" s="47"/>
      <c r="J690" s="48" t="s">
        <v>708</v>
      </c>
      <c r="K690" s="116">
        <f>ROUND(Tableau13[[#This Row],[LEN]]*7.27,0)</f>
        <v>218</v>
      </c>
      <c r="L690" s="116">
        <v>15</v>
      </c>
      <c r="M690" s="133" t="str">
        <f t="shared" si="4"/>
        <v>none</v>
      </c>
      <c r="N690" s="116">
        <f>LEN(Tableau13[[#This Row],[LABEL]])</f>
        <v>30</v>
      </c>
      <c r="O690" s="116">
        <v>15</v>
      </c>
      <c r="P690" s="116" t="e">
        <f>ROUND(Tableau13[[#This Row],[LEN]]*#REF!+#REF!,0)</f>
        <v>#REF!</v>
      </c>
    </row>
    <row r="691" spans="1:16" s="97" customFormat="1" x14ac:dyDescent="0.25">
      <c r="A691" s="45" t="s">
        <v>460</v>
      </c>
      <c r="B691" s="46" t="s">
        <v>446</v>
      </c>
      <c r="C691" s="47" t="s">
        <v>120</v>
      </c>
      <c r="D691" s="75" t="s">
        <v>28</v>
      </c>
      <c r="E691" s="47" t="s">
        <v>661</v>
      </c>
      <c r="F691" s="47" t="s">
        <v>684</v>
      </c>
      <c r="G691" s="75" t="s">
        <v>68</v>
      </c>
      <c r="H691" s="75" t="s">
        <v>18</v>
      </c>
      <c r="I691" s="47"/>
      <c r="J691" s="48" t="s">
        <v>708</v>
      </c>
      <c r="K691" s="116">
        <f>ROUND(Tableau13[[#This Row],[LEN]]*7.27,0)</f>
        <v>131</v>
      </c>
      <c r="L691" s="116">
        <v>15</v>
      </c>
      <c r="M691" s="133" t="str">
        <f t="shared" si="4"/>
        <v>none</v>
      </c>
      <c r="N691" s="116">
        <f>LEN(Tableau13[[#This Row],[LABEL]])</f>
        <v>18</v>
      </c>
      <c r="O691" s="116">
        <v>15</v>
      </c>
      <c r="P691" s="116" t="e">
        <f>ROUND(Tableau13[[#This Row],[LEN]]*#REF!+#REF!,0)</f>
        <v>#REF!</v>
      </c>
    </row>
    <row r="692" spans="1:16" s="97" customFormat="1" x14ac:dyDescent="0.25">
      <c r="A692" s="45" t="s">
        <v>461</v>
      </c>
      <c r="B692" s="46" t="s">
        <v>446</v>
      </c>
      <c r="C692" s="47" t="s">
        <v>121</v>
      </c>
      <c r="D692" s="75" t="s">
        <v>28</v>
      </c>
      <c r="E692" s="47" t="s">
        <v>661</v>
      </c>
      <c r="F692" s="47" t="s">
        <v>684</v>
      </c>
      <c r="G692" s="75" t="s">
        <v>68</v>
      </c>
      <c r="H692" s="75" t="s">
        <v>18</v>
      </c>
      <c r="I692" s="47"/>
      <c r="J692" s="48" t="s">
        <v>708</v>
      </c>
      <c r="K692" s="116">
        <f>ROUND(Tableau13[[#This Row],[LEN]]*7.27,0)</f>
        <v>174</v>
      </c>
      <c r="L692" s="116">
        <v>15</v>
      </c>
      <c r="M692" s="133" t="str">
        <f t="shared" si="4"/>
        <v>none</v>
      </c>
      <c r="N692" s="116">
        <f>LEN(Tableau13[[#This Row],[LABEL]])</f>
        <v>24</v>
      </c>
      <c r="O692" s="116">
        <v>15</v>
      </c>
      <c r="P692" s="116" t="e">
        <f>ROUND(Tableau13[[#This Row],[LEN]]*#REF!+#REF!,0)</f>
        <v>#REF!</v>
      </c>
    </row>
    <row r="693" spans="1:16" s="97" customFormat="1" x14ac:dyDescent="0.25">
      <c r="A693" s="41" t="s">
        <v>447</v>
      </c>
      <c r="B693" s="42" t="s">
        <v>287</v>
      </c>
      <c r="C693" s="43" t="s">
        <v>122</v>
      </c>
      <c r="D693" s="74" t="s">
        <v>1514</v>
      </c>
      <c r="E693" s="43" t="s">
        <v>667</v>
      </c>
      <c r="F693" s="43" t="s">
        <v>1515</v>
      </c>
      <c r="G693" s="74" t="s">
        <v>68</v>
      </c>
      <c r="H693" s="74" t="s">
        <v>656</v>
      </c>
      <c r="I693" s="43"/>
      <c r="J693" s="44" t="s">
        <v>708</v>
      </c>
      <c r="K693" s="115">
        <f>ROUND(Tableau13[[#This Row],[LEN]]*7.27,0)</f>
        <v>145</v>
      </c>
      <c r="L693" s="115">
        <v>15</v>
      </c>
      <c r="M693" s="132" t="str">
        <f t="shared" si="4"/>
        <v>none</v>
      </c>
      <c r="N693" s="115">
        <f>LEN(Tableau13[[#This Row],[LABEL]])</f>
        <v>20</v>
      </c>
      <c r="O693" s="115">
        <v>15</v>
      </c>
      <c r="P693" s="115" t="e">
        <f>ROUND(Tableau13[[#This Row],[LEN]]*#REF!+#REF!,0)</f>
        <v>#REF!</v>
      </c>
    </row>
    <row r="694" spans="1:16" s="97" customFormat="1" x14ac:dyDescent="0.25">
      <c r="A694" s="41" t="s">
        <v>448</v>
      </c>
      <c r="B694" s="42" t="s">
        <v>287</v>
      </c>
      <c r="C694" s="43" t="s">
        <v>538</v>
      </c>
      <c r="D694" s="74" t="s">
        <v>28</v>
      </c>
      <c r="E694" s="43" t="s">
        <v>684</v>
      </c>
      <c r="F694" s="43" t="s">
        <v>684</v>
      </c>
      <c r="G694" s="74" t="s">
        <v>68</v>
      </c>
      <c r="H694" s="74" t="s">
        <v>655</v>
      </c>
      <c r="I694" s="43"/>
      <c r="J694" s="44" t="s">
        <v>708</v>
      </c>
      <c r="K694" s="115">
        <f>ROUND(Tableau13[[#This Row],[LEN]]*7.27,0)</f>
        <v>305</v>
      </c>
      <c r="L694" s="115">
        <v>15</v>
      </c>
      <c r="M694" s="132" t="str">
        <f t="shared" si="4"/>
        <v>none</v>
      </c>
      <c r="N694" s="115">
        <f>LEN(Tableau13[[#This Row],[LABEL]])</f>
        <v>42</v>
      </c>
      <c r="O694" s="115">
        <v>15</v>
      </c>
      <c r="P694" s="115" t="e">
        <f>ROUND(Tableau13[[#This Row],[LEN]]*#REF!+#REF!,0)</f>
        <v>#REF!</v>
      </c>
    </row>
    <row r="695" spans="1:16" s="97" customFormat="1" x14ac:dyDescent="0.25">
      <c r="A695" s="45" t="s">
        <v>462</v>
      </c>
      <c r="B695" s="46" t="s">
        <v>448</v>
      </c>
      <c r="C695" s="47" t="s">
        <v>123</v>
      </c>
      <c r="D695" s="75" t="s">
        <v>28</v>
      </c>
      <c r="E695" s="47" t="s">
        <v>684</v>
      </c>
      <c r="F695" s="47" t="s">
        <v>684</v>
      </c>
      <c r="G695" s="75" t="s">
        <v>68</v>
      </c>
      <c r="H695" s="75" t="s">
        <v>18</v>
      </c>
      <c r="I695" s="47"/>
      <c r="J695" s="48" t="s">
        <v>708</v>
      </c>
      <c r="K695" s="116">
        <f>ROUND(Tableau13[[#This Row],[LEN]]*7.27,0)</f>
        <v>182</v>
      </c>
      <c r="L695" s="116">
        <v>15</v>
      </c>
      <c r="M695" s="133" t="str">
        <f t="shared" si="4"/>
        <v>none</v>
      </c>
      <c r="N695" s="116">
        <f>LEN(Tableau13[[#This Row],[LABEL]])</f>
        <v>25</v>
      </c>
      <c r="O695" s="116">
        <v>15</v>
      </c>
      <c r="P695" s="116" t="e">
        <f>ROUND(Tableau13[[#This Row],[LEN]]*#REF!+#REF!,0)</f>
        <v>#REF!</v>
      </c>
    </row>
    <row r="696" spans="1:16" s="97" customFormat="1" x14ac:dyDescent="0.25">
      <c r="A696" s="45" t="s">
        <v>463</v>
      </c>
      <c r="B696" s="46" t="s">
        <v>448</v>
      </c>
      <c r="C696" s="47" t="s">
        <v>124</v>
      </c>
      <c r="D696" s="75" t="s">
        <v>28</v>
      </c>
      <c r="E696" s="47" t="s">
        <v>684</v>
      </c>
      <c r="F696" s="47" t="s">
        <v>684</v>
      </c>
      <c r="G696" s="75" t="s">
        <v>68</v>
      </c>
      <c r="H696" s="75" t="s">
        <v>18</v>
      </c>
      <c r="I696" s="47"/>
      <c r="J696" s="48" t="s">
        <v>708</v>
      </c>
      <c r="K696" s="116">
        <f>ROUND(Tableau13[[#This Row],[LEN]]*7.27,0)</f>
        <v>116</v>
      </c>
      <c r="L696" s="116">
        <v>15</v>
      </c>
      <c r="M696" s="133" t="str">
        <f t="shared" ref="M696:M876" si="5">IF(J696="javascript:void(0)","none","new")</f>
        <v>none</v>
      </c>
      <c r="N696" s="116">
        <f>LEN(Tableau13[[#This Row],[LABEL]])</f>
        <v>16</v>
      </c>
      <c r="O696" s="116">
        <v>15</v>
      </c>
      <c r="P696" s="116" t="e">
        <f>ROUND(Tableau13[[#This Row],[LEN]]*#REF!+#REF!,0)</f>
        <v>#REF!</v>
      </c>
    </row>
    <row r="697" spans="1:16" s="97" customFormat="1" x14ac:dyDescent="0.25">
      <c r="A697" s="45" t="s">
        <v>464</v>
      </c>
      <c r="B697" s="46" t="s">
        <v>448</v>
      </c>
      <c r="C697" s="47" t="s">
        <v>125</v>
      </c>
      <c r="D697" s="75" t="s">
        <v>28</v>
      </c>
      <c r="E697" s="47" t="s">
        <v>684</v>
      </c>
      <c r="F697" s="47" t="s">
        <v>684</v>
      </c>
      <c r="G697" s="75" t="s">
        <v>68</v>
      </c>
      <c r="H697" s="75" t="s">
        <v>18</v>
      </c>
      <c r="I697" s="47"/>
      <c r="J697" s="48" t="s">
        <v>708</v>
      </c>
      <c r="K697" s="116">
        <f>ROUND(Tableau13[[#This Row],[LEN]]*7.27,0)</f>
        <v>116</v>
      </c>
      <c r="L697" s="116">
        <v>15</v>
      </c>
      <c r="M697" s="133" t="str">
        <f t="shared" si="5"/>
        <v>none</v>
      </c>
      <c r="N697" s="116">
        <f>LEN(Tableau13[[#This Row],[LABEL]])</f>
        <v>16</v>
      </c>
      <c r="O697" s="116">
        <v>15</v>
      </c>
      <c r="P697" s="116" t="e">
        <f>ROUND(Tableau13[[#This Row],[LEN]]*#REF!+#REF!,0)</f>
        <v>#REF!</v>
      </c>
    </row>
    <row r="698" spans="1:16" s="97" customFormat="1" x14ac:dyDescent="0.25">
      <c r="A698" s="45" t="s">
        <v>465</v>
      </c>
      <c r="B698" s="46" t="s">
        <v>448</v>
      </c>
      <c r="C698" s="47" t="s">
        <v>126</v>
      </c>
      <c r="D698" s="75" t="s">
        <v>28</v>
      </c>
      <c r="E698" s="47" t="s">
        <v>684</v>
      </c>
      <c r="F698" s="47" t="s">
        <v>684</v>
      </c>
      <c r="G698" s="75" t="s">
        <v>68</v>
      </c>
      <c r="H698" s="75" t="s">
        <v>18</v>
      </c>
      <c r="I698" s="47"/>
      <c r="J698" s="48" t="s">
        <v>708</v>
      </c>
      <c r="K698" s="116">
        <f>ROUND(Tableau13[[#This Row],[LEN]]*7.27,0)</f>
        <v>80</v>
      </c>
      <c r="L698" s="116">
        <v>15</v>
      </c>
      <c r="M698" s="133" t="str">
        <f t="shared" si="5"/>
        <v>none</v>
      </c>
      <c r="N698" s="116">
        <f>LEN(Tableau13[[#This Row],[LABEL]])</f>
        <v>11</v>
      </c>
      <c r="O698" s="116">
        <v>15</v>
      </c>
      <c r="P698" s="116" t="e">
        <f>ROUND(Tableau13[[#This Row],[LEN]]*#REF!+#REF!,0)</f>
        <v>#REF!</v>
      </c>
    </row>
    <row r="699" spans="1:16" s="97" customFormat="1" x14ac:dyDescent="0.25">
      <c r="A699" s="45" t="s">
        <v>466</v>
      </c>
      <c r="B699" s="46" t="s">
        <v>448</v>
      </c>
      <c r="C699" s="47" t="s">
        <v>127</v>
      </c>
      <c r="D699" s="75" t="s">
        <v>28</v>
      </c>
      <c r="E699" s="47" t="s">
        <v>684</v>
      </c>
      <c r="F699" s="47" t="s">
        <v>684</v>
      </c>
      <c r="G699" s="75" t="s">
        <v>68</v>
      </c>
      <c r="H699" s="75" t="s">
        <v>18</v>
      </c>
      <c r="I699" s="47"/>
      <c r="J699" s="48" t="s">
        <v>708</v>
      </c>
      <c r="K699" s="116">
        <f>ROUND(Tableau13[[#This Row],[LEN]]*7.27,0)</f>
        <v>95</v>
      </c>
      <c r="L699" s="116">
        <v>15</v>
      </c>
      <c r="M699" s="133" t="str">
        <f t="shared" si="5"/>
        <v>none</v>
      </c>
      <c r="N699" s="116">
        <f>LEN(Tableau13[[#This Row],[LABEL]])</f>
        <v>13</v>
      </c>
      <c r="O699" s="116">
        <v>15</v>
      </c>
      <c r="P699" s="116" t="e">
        <f>ROUND(Tableau13[[#This Row],[LEN]]*#REF!+#REF!,0)</f>
        <v>#REF!</v>
      </c>
    </row>
    <row r="700" spans="1:16" s="97" customFormat="1" x14ac:dyDescent="0.25">
      <c r="A700" s="45" t="s">
        <v>467</v>
      </c>
      <c r="B700" s="46" t="s">
        <v>448</v>
      </c>
      <c r="C700" s="47" t="s">
        <v>1527</v>
      </c>
      <c r="D700" s="75" t="s">
        <v>28</v>
      </c>
      <c r="E700" s="47" t="s">
        <v>684</v>
      </c>
      <c r="F700" s="47" t="s">
        <v>684</v>
      </c>
      <c r="G700" s="75" t="s">
        <v>68</v>
      </c>
      <c r="H700" s="75" t="s">
        <v>18</v>
      </c>
      <c r="I700" s="47"/>
      <c r="J700" s="48" t="s">
        <v>708</v>
      </c>
      <c r="K700" s="116">
        <f>ROUND(Tableau13[[#This Row],[LEN]]*7.27,0)</f>
        <v>233</v>
      </c>
      <c r="L700" s="116">
        <v>15</v>
      </c>
      <c r="M700" s="133" t="str">
        <f t="shared" si="5"/>
        <v>none</v>
      </c>
      <c r="N700" s="116">
        <f>LEN(Tableau13[[#This Row],[LABEL]])</f>
        <v>32</v>
      </c>
      <c r="O700" s="116">
        <v>15</v>
      </c>
      <c r="P700" s="116" t="e">
        <f>ROUND(Tableau13[[#This Row],[LEN]]*#REF!+#REF!,0)</f>
        <v>#REF!</v>
      </c>
    </row>
    <row r="701" spans="1:16" s="273" customFormat="1" x14ac:dyDescent="0.25">
      <c r="A701" s="330" t="s">
        <v>288</v>
      </c>
      <c r="B701" s="331" t="s">
        <v>208</v>
      </c>
      <c r="C701" s="332" t="s">
        <v>4</v>
      </c>
      <c r="D701" s="333" t="s">
        <v>28</v>
      </c>
      <c r="E701" s="332" t="s">
        <v>666</v>
      </c>
      <c r="F701" s="332" t="s">
        <v>666</v>
      </c>
      <c r="G701" s="333" t="s">
        <v>68</v>
      </c>
      <c r="H701" s="333" t="str">
        <f>IFERROR(IF(SEARCH(".00.00.00.00.00",Tableau13[[#This Row],[name]],1)=7,"Division",""),"")</f>
        <v>Division</v>
      </c>
      <c r="I701" s="332"/>
      <c r="J701" s="334" t="s">
        <v>712</v>
      </c>
      <c r="K701" s="335">
        <f>ROUND(Tableau13[[#This Row],[LEN]]*7.27,0)</f>
        <v>36</v>
      </c>
      <c r="L701" s="335">
        <v>15</v>
      </c>
      <c r="M701" s="336" t="str">
        <f t="shared" si="5"/>
        <v>new</v>
      </c>
      <c r="N701" s="335">
        <f>LEN(Tableau13[[#This Row],[LABEL]])</f>
        <v>5</v>
      </c>
      <c r="O701" s="335">
        <v>15</v>
      </c>
      <c r="P701" s="335" t="e">
        <f>ROUND(Tableau13[[#This Row],[LEN]]*#REF!+#REF!,0)</f>
        <v>#REF!</v>
      </c>
    </row>
    <row r="702" spans="1:16" s="97" customFormat="1" x14ac:dyDescent="0.25">
      <c r="A702" s="41" t="s">
        <v>1502</v>
      </c>
      <c r="B702" s="42" t="s">
        <v>288</v>
      </c>
      <c r="C702" s="43" t="s">
        <v>75</v>
      </c>
      <c r="D702" s="74" t="s">
        <v>28</v>
      </c>
      <c r="E702" s="43" t="s">
        <v>661</v>
      </c>
      <c r="F702" s="43" t="s">
        <v>684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ROUND(Tableau13[[#This Row],[LEN]]*7.27,0)</f>
        <v>262</v>
      </c>
      <c r="L702" s="115">
        <v>15</v>
      </c>
      <c r="M702" s="132" t="str">
        <f t="shared" si="5"/>
        <v>none</v>
      </c>
      <c r="N702" s="115">
        <f>LEN(Tableau13[[#This Row],[LABEL]])</f>
        <v>36</v>
      </c>
      <c r="O702" s="115">
        <v>15</v>
      </c>
      <c r="P702" s="115" t="e">
        <f>ROUND(Tableau13[[#This Row],[LEN]]*#REF!+#REF!,0)</f>
        <v>#REF!</v>
      </c>
    </row>
    <row r="703" spans="1:16" s="97" customFormat="1" x14ac:dyDescent="0.25">
      <c r="A703" s="45" t="s">
        <v>1509</v>
      </c>
      <c r="B703" s="46" t="s">
        <v>1502</v>
      </c>
      <c r="C703" s="47" t="s">
        <v>115</v>
      </c>
      <c r="D703" s="75" t="s">
        <v>28</v>
      </c>
      <c r="E703" s="47" t="s">
        <v>661</v>
      </c>
      <c r="F703" s="47" t="s">
        <v>684</v>
      </c>
      <c r="G703" s="75" t="s">
        <v>68</v>
      </c>
      <c r="H703" s="75" t="s">
        <v>656</v>
      </c>
      <c r="I703" s="47"/>
      <c r="J703" s="48" t="s">
        <v>708</v>
      </c>
      <c r="K703" s="116">
        <f>ROUND(Tableau13[[#This Row],[LEN]]*7.27,0)</f>
        <v>291</v>
      </c>
      <c r="L703" s="116">
        <v>15</v>
      </c>
      <c r="M703" s="133" t="str">
        <f t="shared" si="5"/>
        <v>none</v>
      </c>
      <c r="N703" s="116">
        <f>LEN(Tableau13[[#This Row],[LABEL]])</f>
        <v>40</v>
      </c>
      <c r="O703" s="116">
        <v>15</v>
      </c>
      <c r="P703" s="116" t="e">
        <f>ROUND(Tableau13[[#This Row],[LEN]]*#REF!+#REF!,0)</f>
        <v>#REF!</v>
      </c>
    </row>
    <row r="704" spans="1:16" s="97" customFormat="1" x14ac:dyDescent="0.25">
      <c r="A704" s="45" t="s">
        <v>1510</v>
      </c>
      <c r="B704" s="46" t="s">
        <v>1502</v>
      </c>
      <c r="C704" s="47" t="s">
        <v>116</v>
      </c>
      <c r="D704" s="75" t="s">
        <v>28</v>
      </c>
      <c r="E704" s="47" t="s">
        <v>661</v>
      </c>
      <c r="F704" s="47" t="s">
        <v>684</v>
      </c>
      <c r="G704" s="75" t="s">
        <v>68</v>
      </c>
      <c r="H704" s="75" t="s">
        <v>656</v>
      </c>
      <c r="I704" s="47"/>
      <c r="J704" s="48" t="s">
        <v>708</v>
      </c>
      <c r="K704" s="116">
        <f>ROUND(Tableau13[[#This Row],[LEN]]*7.27,0)</f>
        <v>313</v>
      </c>
      <c r="L704" s="116">
        <v>15</v>
      </c>
      <c r="M704" s="133" t="str">
        <f t="shared" si="5"/>
        <v>none</v>
      </c>
      <c r="N704" s="116">
        <f>LEN(Tableau13[[#This Row],[LABEL]])</f>
        <v>43</v>
      </c>
      <c r="O704" s="116">
        <v>15</v>
      </c>
      <c r="P704" s="116" t="e">
        <f>ROUND(Tableau13[[#This Row],[LEN]]*#REF!+#REF!,0)</f>
        <v>#REF!</v>
      </c>
    </row>
    <row r="705" spans="1:16" s="97" customFormat="1" x14ac:dyDescent="0.25">
      <c r="A705" s="45" t="s">
        <v>1511</v>
      </c>
      <c r="B705" s="46" t="s">
        <v>1502</v>
      </c>
      <c r="C705" s="47" t="s">
        <v>117</v>
      </c>
      <c r="D705" s="75" t="s">
        <v>28</v>
      </c>
      <c r="E705" s="47" t="s">
        <v>661</v>
      </c>
      <c r="F705" s="47" t="s">
        <v>684</v>
      </c>
      <c r="G705" s="75" t="s">
        <v>68</v>
      </c>
      <c r="H705" s="75" t="s">
        <v>656</v>
      </c>
      <c r="I705" s="47"/>
      <c r="J705" s="48" t="s">
        <v>708</v>
      </c>
      <c r="K705" s="116">
        <f>ROUND(Tableau13[[#This Row],[LEN]]*7.27,0)</f>
        <v>225</v>
      </c>
      <c r="L705" s="116">
        <v>15</v>
      </c>
      <c r="M705" s="133" t="str">
        <f t="shared" si="5"/>
        <v>none</v>
      </c>
      <c r="N705" s="116">
        <f>LEN(Tableau13[[#This Row],[LABEL]])</f>
        <v>31</v>
      </c>
      <c r="O705" s="116">
        <v>15</v>
      </c>
      <c r="P705" s="116" t="e">
        <f>ROUND(Tableau13[[#This Row],[LEN]]*#REF!+#REF!,0)</f>
        <v>#REF!</v>
      </c>
    </row>
    <row r="706" spans="1:16" s="97" customFormat="1" x14ac:dyDescent="0.25">
      <c r="A706" s="41" t="s">
        <v>1503</v>
      </c>
      <c r="B706" s="42" t="s">
        <v>288</v>
      </c>
      <c r="C706" s="43" t="s">
        <v>849</v>
      </c>
      <c r="D706" s="74" t="s">
        <v>28</v>
      </c>
      <c r="E706" s="43" t="s">
        <v>667</v>
      </c>
      <c r="F706" s="43" t="s">
        <v>840</v>
      </c>
      <c r="G706" s="74" t="s">
        <v>68</v>
      </c>
      <c r="H706" s="74" t="s">
        <v>655</v>
      </c>
      <c r="I706" s="43"/>
      <c r="J706" s="44" t="s">
        <v>708</v>
      </c>
      <c r="K706" s="115">
        <f>ROUND(Tableau13[[#This Row],[LEN]]*7.27,0)</f>
        <v>80</v>
      </c>
      <c r="L706" s="115">
        <v>15</v>
      </c>
      <c r="M706" s="132" t="str">
        <f t="shared" si="5"/>
        <v>none</v>
      </c>
      <c r="N706" s="115">
        <f>LEN(Tableau13[[#This Row],[LABEL]])</f>
        <v>11</v>
      </c>
      <c r="O706" s="115">
        <v>15</v>
      </c>
      <c r="P706" s="115" t="e">
        <f>ROUND(Tableau13[[#This Row],[LEN]]*#REF!+#REF!,0)</f>
        <v>#REF!</v>
      </c>
    </row>
    <row r="707" spans="1:16" s="97" customFormat="1" x14ac:dyDescent="0.25">
      <c r="A707" s="45" t="s">
        <v>1512</v>
      </c>
      <c r="B707" s="46" t="s">
        <v>1503</v>
      </c>
      <c r="C707" s="47" t="s">
        <v>112</v>
      </c>
      <c r="D707" s="75" t="s">
        <v>28</v>
      </c>
      <c r="E707" s="47" t="s">
        <v>667</v>
      </c>
      <c r="F707" s="47" t="s">
        <v>840</v>
      </c>
      <c r="G707" s="75" t="s">
        <v>68</v>
      </c>
      <c r="H707" s="75" t="s">
        <v>654</v>
      </c>
      <c r="I707" s="47"/>
      <c r="J707" s="48" t="s">
        <v>708</v>
      </c>
      <c r="K707" s="116">
        <f>ROUND(Tableau13[[#This Row],[LEN]]*7.27,0)</f>
        <v>167</v>
      </c>
      <c r="L707" s="116">
        <v>15</v>
      </c>
      <c r="M707" s="133" t="str">
        <f t="shared" si="5"/>
        <v>none</v>
      </c>
      <c r="N707" s="116">
        <f>LEN(Tableau13[[#This Row],[LABEL]])</f>
        <v>23</v>
      </c>
      <c r="O707" s="116">
        <v>15</v>
      </c>
      <c r="P707" s="116" t="e">
        <f>ROUND(Tableau13[[#This Row],[LEN]]*#REF!+#REF!,0)</f>
        <v>#REF!</v>
      </c>
    </row>
    <row r="708" spans="1:16" s="97" customFormat="1" x14ac:dyDescent="0.25">
      <c r="A708" s="45" t="s">
        <v>1513</v>
      </c>
      <c r="B708" s="46" t="s">
        <v>1503</v>
      </c>
      <c r="C708" s="47" t="s">
        <v>113</v>
      </c>
      <c r="D708" s="75" t="s">
        <v>28</v>
      </c>
      <c r="E708" s="47" t="s">
        <v>667</v>
      </c>
      <c r="F708" s="47" t="s">
        <v>840</v>
      </c>
      <c r="G708" s="75" t="s">
        <v>68</v>
      </c>
      <c r="H708" s="75" t="s">
        <v>654</v>
      </c>
      <c r="I708" s="47"/>
      <c r="J708" s="48" t="s">
        <v>708</v>
      </c>
      <c r="K708" s="116">
        <f>ROUND(Tableau13[[#This Row],[LEN]]*7.27,0)</f>
        <v>233</v>
      </c>
      <c r="L708" s="116">
        <v>15</v>
      </c>
      <c r="M708" s="133" t="str">
        <f t="shared" si="5"/>
        <v>none</v>
      </c>
      <c r="N708" s="116">
        <f>LEN(Tableau13[[#This Row],[LABEL]])</f>
        <v>32</v>
      </c>
      <c r="O708" s="116">
        <v>15</v>
      </c>
      <c r="P708" s="116" t="e">
        <f>ROUND(Tableau13[[#This Row],[LEN]]*#REF!+#REF!,0)</f>
        <v>#REF!</v>
      </c>
    </row>
    <row r="709" spans="1:16" s="97" customFormat="1" x14ac:dyDescent="0.25">
      <c r="A709" s="41" t="s">
        <v>1504</v>
      </c>
      <c r="B709" s="42" t="s">
        <v>288</v>
      </c>
      <c r="C709" s="43" t="s">
        <v>122</v>
      </c>
      <c r="D709" s="74" t="s">
        <v>1514</v>
      </c>
      <c r="E709" s="43" t="s">
        <v>667</v>
      </c>
      <c r="F709" s="43" t="s">
        <v>1515</v>
      </c>
      <c r="G709" s="74" t="s">
        <v>68</v>
      </c>
      <c r="H709" s="74" t="s">
        <v>656</v>
      </c>
      <c r="I709" s="43"/>
      <c r="J709" s="44" t="s">
        <v>708</v>
      </c>
      <c r="K709" s="115">
        <f>ROUND(Tableau13[[#This Row],[LEN]]*7.27,0)</f>
        <v>145</v>
      </c>
      <c r="L709" s="115">
        <v>15</v>
      </c>
      <c r="M709" s="132" t="str">
        <f t="shared" si="5"/>
        <v>none</v>
      </c>
      <c r="N709" s="115">
        <f>LEN(Tableau13[[#This Row],[LABEL]])</f>
        <v>20</v>
      </c>
      <c r="O709" s="115">
        <v>15</v>
      </c>
      <c r="P709" s="115" t="e">
        <f>ROUND(Tableau13[[#This Row],[LEN]]*#REF!+#REF!,0)</f>
        <v>#REF!</v>
      </c>
    </row>
    <row r="710" spans="1:16" s="97" customFormat="1" x14ac:dyDescent="0.25">
      <c r="A710" s="41" t="s">
        <v>1505</v>
      </c>
      <c r="B710" s="42" t="s">
        <v>288</v>
      </c>
      <c r="C710" s="43" t="s">
        <v>1516</v>
      </c>
      <c r="D710" s="74" t="s">
        <v>28</v>
      </c>
      <c r="E710" s="43" t="s">
        <v>661</v>
      </c>
      <c r="F710" s="43" t="s">
        <v>684</v>
      </c>
      <c r="G710" s="74" t="s">
        <v>68</v>
      </c>
      <c r="H710" s="74" t="s">
        <v>655</v>
      </c>
      <c r="I710" s="43"/>
      <c r="J710" s="44" t="s">
        <v>708</v>
      </c>
      <c r="K710" s="115">
        <f>ROUND(Tableau13[[#This Row],[LEN]]*7.27,0)</f>
        <v>305</v>
      </c>
      <c r="L710" s="115">
        <v>15</v>
      </c>
      <c r="M710" s="132" t="str">
        <f t="shared" si="5"/>
        <v>none</v>
      </c>
      <c r="N710" s="115">
        <f>LEN(Tableau13[[#This Row],[LABEL]])</f>
        <v>42</v>
      </c>
      <c r="O710" s="115">
        <v>15</v>
      </c>
      <c r="P710" s="115" t="e">
        <f>ROUND(Tableau13[[#This Row],[LEN]]*#REF!+#REF!,0)</f>
        <v>#REF!</v>
      </c>
    </row>
    <row r="711" spans="1:16" s="97" customFormat="1" x14ac:dyDescent="0.25">
      <c r="A711" s="45" t="s">
        <v>1517</v>
      </c>
      <c r="B711" s="46" t="s">
        <v>1505</v>
      </c>
      <c r="C711" s="47" t="s">
        <v>118</v>
      </c>
      <c r="D711" s="75" t="s">
        <v>28</v>
      </c>
      <c r="E711" s="47" t="s">
        <v>661</v>
      </c>
      <c r="F711" s="47" t="s">
        <v>684</v>
      </c>
      <c r="G711" s="75" t="s">
        <v>68</v>
      </c>
      <c r="H711" s="75" t="s">
        <v>18</v>
      </c>
      <c r="I711" s="47"/>
      <c r="J711" s="48" t="s">
        <v>708</v>
      </c>
      <c r="K711" s="116">
        <f>ROUND(Tableau13[[#This Row],[LEN]]*7.27,0)</f>
        <v>204</v>
      </c>
      <c r="L711" s="116">
        <v>15</v>
      </c>
      <c r="M711" s="133" t="str">
        <f t="shared" si="5"/>
        <v>none</v>
      </c>
      <c r="N711" s="116">
        <f>LEN(Tableau13[[#This Row],[LABEL]])</f>
        <v>28</v>
      </c>
      <c r="O711" s="116">
        <v>15</v>
      </c>
      <c r="P711" s="116" t="e">
        <f>ROUND(Tableau13[[#This Row],[LEN]]*#REF!+#REF!,0)</f>
        <v>#REF!</v>
      </c>
    </row>
    <row r="712" spans="1:16" s="97" customFormat="1" x14ac:dyDescent="0.25">
      <c r="A712" s="45" t="s">
        <v>1518</v>
      </c>
      <c r="B712" s="46" t="s">
        <v>1505</v>
      </c>
      <c r="C712" s="47" t="s">
        <v>119</v>
      </c>
      <c r="D712" s="75" t="s">
        <v>28</v>
      </c>
      <c r="E712" s="47" t="s">
        <v>661</v>
      </c>
      <c r="F712" s="47" t="s">
        <v>684</v>
      </c>
      <c r="G712" s="75" t="s">
        <v>68</v>
      </c>
      <c r="H712" s="75" t="s">
        <v>18</v>
      </c>
      <c r="I712" s="47"/>
      <c r="J712" s="48" t="s">
        <v>708</v>
      </c>
      <c r="K712" s="116">
        <f>ROUND(Tableau13[[#This Row],[LEN]]*7.27,0)</f>
        <v>218</v>
      </c>
      <c r="L712" s="116">
        <v>15</v>
      </c>
      <c r="M712" s="133" t="str">
        <f t="shared" si="5"/>
        <v>none</v>
      </c>
      <c r="N712" s="116">
        <f>LEN(Tableau13[[#This Row],[LABEL]])</f>
        <v>30</v>
      </c>
      <c r="O712" s="116">
        <v>15</v>
      </c>
      <c r="P712" s="116" t="e">
        <f>ROUND(Tableau13[[#This Row],[LEN]]*#REF!+#REF!,0)</f>
        <v>#REF!</v>
      </c>
    </row>
    <row r="713" spans="1:16" s="97" customFormat="1" x14ac:dyDescent="0.25">
      <c r="A713" s="45" t="s">
        <v>1519</v>
      </c>
      <c r="B713" s="46" t="s">
        <v>1505</v>
      </c>
      <c r="C713" s="47" t="s">
        <v>120</v>
      </c>
      <c r="D713" s="75" t="s">
        <v>28</v>
      </c>
      <c r="E713" s="47" t="s">
        <v>661</v>
      </c>
      <c r="F713" s="47" t="s">
        <v>684</v>
      </c>
      <c r="G713" s="75" t="s">
        <v>68</v>
      </c>
      <c r="H713" s="75" t="s">
        <v>18</v>
      </c>
      <c r="I713" s="47"/>
      <c r="J713" s="48" t="s">
        <v>708</v>
      </c>
      <c r="K713" s="116">
        <f>ROUND(Tableau13[[#This Row],[LEN]]*7.27,0)</f>
        <v>131</v>
      </c>
      <c r="L713" s="116">
        <v>15</v>
      </c>
      <c r="M713" s="133" t="str">
        <f t="shared" si="5"/>
        <v>none</v>
      </c>
      <c r="N713" s="116">
        <f>LEN(Tableau13[[#This Row],[LABEL]])</f>
        <v>18</v>
      </c>
      <c r="O713" s="116">
        <v>15</v>
      </c>
      <c r="P713" s="116" t="e">
        <f>ROUND(Tableau13[[#This Row],[LEN]]*#REF!+#REF!,0)</f>
        <v>#REF!</v>
      </c>
    </row>
    <row r="714" spans="1:16" s="97" customFormat="1" x14ac:dyDescent="0.25">
      <c r="A714" s="45" t="s">
        <v>1520</v>
      </c>
      <c r="B714" s="46" t="s">
        <v>1505</v>
      </c>
      <c r="C714" s="47" t="s">
        <v>121</v>
      </c>
      <c r="D714" s="75" t="s">
        <v>28</v>
      </c>
      <c r="E714" s="47" t="s">
        <v>661</v>
      </c>
      <c r="F714" s="47" t="s">
        <v>684</v>
      </c>
      <c r="G714" s="75" t="s">
        <v>68</v>
      </c>
      <c r="H714" s="75" t="s">
        <v>18</v>
      </c>
      <c r="I714" s="47"/>
      <c r="J714" s="48" t="s">
        <v>708</v>
      </c>
      <c r="K714" s="116">
        <f>ROUND(Tableau13[[#This Row],[LEN]]*7.27,0)</f>
        <v>174</v>
      </c>
      <c r="L714" s="116">
        <v>15</v>
      </c>
      <c r="M714" s="133" t="str">
        <f t="shared" si="5"/>
        <v>none</v>
      </c>
      <c r="N714" s="116">
        <f>LEN(Tableau13[[#This Row],[LABEL]])</f>
        <v>24</v>
      </c>
      <c r="O714" s="116">
        <v>15</v>
      </c>
      <c r="P714" s="116" t="e">
        <f>ROUND(Tableau13[[#This Row],[LEN]]*#REF!+#REF!,0)</f>
        <v>#REF!</v>
      </c>
    </row>
    <row r="715" spans="1:16" s="97" customFormat="1" x14ac:dyDescent="0.25">
      <c r="A715" s="41" t="s">
        <v>1506</v>
      </c>
      <c r="B715" s="42" t="s">
        <v>288</v>
      </c>
      <c r="C715" s="43" t="s">
        <v>538</v>
      </c>
      <c r="D715" s="74" t="s">
        <v>28</v>
      </c>
      <c r="E715" s="43" t="s">
        <v>684</v>
      </c>
      <c r="F715" s="43" t="s">
        <v>684</v>
      </c>
      <c r="G715" s="74" t="s">
        <v>68</v>
      </c>
      <c r="H715" s="74" t="s">
        <v>655</v>
      </c>
      <c r="I715" s="43"/>
      <c r="J715" s="44" t="s">
        <v>708</v>
      </c>
      <c r="K715" s="115">
        <f>ROUND(Tableau13[[#This Row],[LEN]]*7.27,0)</f>
        <v>305</v>
      </c>
      <c r="L715" s="115">
        <v>15</v>
      </c>
      <c r="M715" s="132" t="str">
        <f t="shared" si="5"/>
        <v>none</v>
      </c>
      <c r="N715" s="115">
        <f>LEN(Tableau13[[#This Row],[LABEL]])</f>
        <v>42</v>
      </c>
      <c r="O715" s="115">
        <v>15</v>
      </c>
      <c r="P715" s="115" t="e">
        <f>ROUND(Tableau13[[#This Row],[LEN]]*#REF!+#REF!,0)</f>
        <v>#REF!</v>
      </c>
    </row>
    <row r="716" spans="1:16" s="97" customFormat="1" x14ac:dyDescent="0.25">
      <c r="A716" s="45" t="s">
        <v>1521</v>
      </c>
      <c r="B716" s="46" t="s">
        <v>1506</v>
      </c>
      <c r="C716" s="47" t="s">
        <v>123</v>
      </c>
      <c r="D716" s="75" t="s">
        <v>28</v>
      </c>
      <c r="E716" s="47" t="s">
        <v>684</v>
      </c>
      <c r="F716" s="47" t="s">
        <v>684</v>
      </c>
      <c r="G716" s="75" t="s">
        <v>68</v>
      </c>
      <c r="H716" s="75" t="s">
        <v>18</v>
      </c>
      <c r="I716" s="47"/>
      <c r="J716" s="48" t="s">
        <v>708</v>
      </c>
      <c r="K716" s="116">
        <f>ROUND(Tableau13[[#This Row],[LEN]]*7.27,0)</f>
        <v>182</v>
      </c>
      <c r="L716" s="116">
        <v>15</v>
      </c>
      <c r="M716" s="133" t="str">
        <f t="shared" si="5"/>
        <v>none</v>
      </c>
      <c r="N716" s="116">
        <f>LEN(Tableau13[[#This Row],[LABEL]])</f>
        <v>25</v>
      </c>
      <c r="O716" s="116">
        <v>15</v>
      </c>
      <c r="P716" s="116" t="e">
        <f>ROUND(Tableau13[[#This Row],[LEN]]*#REF!+#REF!,0)</f>
        <v>#REF!</v>
      </c>
    </row>
    <row r="717" spans="1:16" s="97" customFormat="1" x14ac:dyDescent="0.25">
      <c r="A717" s="45" t="s">
        <v>1522</v>
      </c>
      <c r="B717" s="46" t="s">
        <v>1506</v>
      </c>
      <c r="C717" s="47" t="s">
        <v>124</v>
      </c>
      <c r="D717" s="75" t="s">
        <v>28</v>
      </c>
      <c r="E717" s="47" t="s">
        <v>684</v>
      </c>
      <c r="F717" s="47" t="s">
        <v>684</v>
      </c>
      <c r="G717" s="75" t="s">
        <v>68</v>
      </c>
      <c r="H717" s="75" t="s">
        <v>18</v>
      </c>
      <c r="I717" s="47"/>
      <c r="J717" s="48" t="s">
        <v>708</v>
      </c>
      <c r="K717" s="116">
        <f>ROUND(Tableau13[[#This Row],[LEN]]*7.27,0)</f>
        <v>116</v>
      </c>
      <c r="L717" s="116">
        <v>15</v>
      </c>
      <c r="M717" s="133" t="str">
        <f t="shared" si="5"/>
        <v>none</v>
      </c>
      <c r="N717" s="116">
        <f>LEN(Tableau13[[#This Row],[LABEL]])</f>
        <v>16</v>
      </c>
      <c r="O717" s="116">
        <v>15</v>
      </c>
      <c r="P717" s="116" t="e">
        <f>ROUND(Tableau13[[#This Row],[LEN]]*#REF!+#REF!,0)</f>
        <v>#REF!</v>
      </c>
    </row>
    <row r="718" spans="1:16" s="97" customFormat="1" x14ac:dyDescent="0.25">
      <c r="A718" s="45" t="s">
        <v>1523</v>
      </c>
      <c r="B718" s="46" t="s">
        <v>1506</v>
      </c>
      <c r="C718" s="47" t="s">
        <v>125</v>
      </c>
      <c r="D718" s="75" t="s">
        <v>28</v>
      </c>
      <c r="E718" s="47" t="s">
        <v>684</v>
      </c>
      <c r="F718" s="47" t="s">
        <v>684</v>
      </c>
      <c r="G718" s="75" t="s">
        <v>68</v>
      </c>
      <c r="H718" s="75" t="s">
        <v>18</v>
      </c>
      <c r="I718" s="47"/>
      <c r="J718" s="48" t="s">
        <v>708</v>
      </c>
      <c r="K718" s="116">
        <f>ROUND(Tableau13[[#This Row],[LEN]]*7.27,0)</f>
        <v>116</v>
      </c>
      <c r="L718" s="116">
        <v>15</v>
      </c>
      <c r="M718" s="133" t="str">
        <f t="shared" si="5"/>
        <v>none</v>
      </c>
      <c r="N718" s="116">
        <f>LEN(Tableau13[[#This Row],[LABEL]])</f>
        <v>16</v>
      </c>
      <c r="O718" s="116">
        <v>15</v>
      </c>
      <c r="P718" s="116" t="e">
        <f>ROUND(Tableau13[[#This Row],[LEN]]*#REF!+#REF!,0)</f>
        <v>#REF!</v>
      </c>
    </row>
    <row r="719" spans="1:16" s="97" customFormat="1" x14ac:dyDescent="0.25">
      <c r="A719" s="45" t="s">
        <v>1524</v>
      </c>
      <c r="B719" s="46" t="s">
        <v>1506</v>
      </c>
      <c r="C719" s="47" t="s">
        <v>126</v>
      </c>
      <c r="D719" s="75" t="s">
        <v>28</v>
      </c>
      <c r="E719" s="47" t="s">
        <v>684</v>
      </c>
      <c r="F719" s="47" t="s">
        <v>684</v>
      </c>
      <c r="G719" s="75" t="s">
        <v>68</v>
      </c>
      <c r="H719" s="75" t="s">
        <v>18</v>
      </c>
      <c r="I719" s="47"/>
      <c r="J719" s="48" t="s">
        <v>708</v>
      </c>
      <c r="K719" s="116">
        <f>ROUND(Tableau13[[#This Row],[LEN]]*7.27,0)</f>
        <v>80</v>
      </c>
      <c r="L719" s="116">
        <v>15</v>
      </c>
      <c r="M719" s="133" t="str">
        <f t="shared" si="5"/>
        <v>none</v>
      </c>
      <c r="N719" s="116">
        <f>LEN(Tableau13[[#This Row],[LABEL]])</f>
        <v>11</v>
      </c>
      <c r="O719" s="116">
        <v>15</v>
      </c>
      <c r="P719" s="116" t="e">
        <f>ROUND(Tableau13[[#This Row],[LEN]]*#REF!+#REF!,0)</f>
        <v>#REF!</v>
      </c>
    </row>
    <row r="720" spans="1:16" s="97" customFormat="1" x14ac:dyDescent="0.25">
      <c r="A720" s="45" t="s">
        <v>1525</v>
      </c>
      <c r="B720" s="46" t="s">
        <v>1506</v>
      </c>
      <c r="C720" s="47" t="s">
        <v>127</v>
      </c>
      <c r="D720" s="75" t="s">
        <v>28</v>
      </c>
      <c r="E720" s="47" t="s">
        <v>684</v>
      </c>
      <c r="F720" s="47" t="s">
        <v>684</v>
      </c>
      <c r="G720" s="75" t="s">
        <v>68</v>
      </c>
      <c r="H720" s="75" t="s">
        <v>18</v>
      </c>
      <c r="I720" s="47"/>
      <c r="J720" s="48" t="s">
        <v>708</v>
      </c>
      <c r="K720" s="116">
        <f>ROUND(Tableau13[[#This Row],[LEN]]*7.27,0)</f>
        <v>95</v>
      </c>
      <c r="L720" s="116">
        <v>15</v>
      </c>
      <c r="M720" s="133" t="str">
        <f t="shared" si="5"/>
        <v>none</v>
      </c>
      <c r="N720" s="116">
        <f>LEN(Tableau13[[#This Row],[LABEL]])</f>
        <v>13</v>
      </c>
      <c r="O720" s="116">
        <v>15</v>
      </c>
      <c r="P720" s="116" t="e">
        <f>ROUND(Tableau13[[#This Row],[LEN]]*#REF!+#REF!,0)</f>
        <v>#REF!</v>
      </c>
    </row>
    <row r="721" spans="1:16" s="97" customFormat="1" x14ac:dyDescent="0.25">
      <c r="A721" s="45" t="s">
        <v>1526</v>
      </c>
      <c r="B721" s="46" t="s">
        <v>1506</v>
      </c>
      <c r="C721" s="47" t="s">
        <v>1527</v>
      </c>
      <c r="D721" s="75" t="s">
        <v>28</v>
      </c>
      <c r="E721" s="47" t="s">
        <v>684</v>
      </c>
      <c r="F721" s="47" t="s">
        <v>684</v>
      </c>
      <c r="G721" s="75" t="s">
        <v>68</v>
      </c>
      <c r="H721" s="75" t="s">
        <v>18</v>
      </c>
      <c r="I721" s="47"/>
      <c r="J721" s="48" t="s">
        <v>708</v>
      </c>
      <c r="K721" s="116">
        <f>ROUND(Tableau13[[#This Row],[LEN]]*7.27,0)</f>
        <v>233</v>
      </c>
      <c r="L721" s="116">
        <v>15</v>
      </c>
      <c r="M721" s="133" t="str">
        <f t="shared" si="5"/>
        <v>none</v>
      </c>
      <c r="N721" s="116">
        <f>LEN(Tableau13[[#This Row],[LABEL]])</f>
        <v>32</v>
      </c>
      <c r="O721" s="116">
        <v>15</v>
      </c>
      <c r="P721" s="116" t="e">
        <f>ROUND(Tableau13[[#This Row],[LEN]]*#REF!+#REF!,0)</f>
        <v>#REF!</v>
      </c>
    </row>
    <row r="722" spans="1:16" s="97" customFormat="1" x14ac:dyDescent="0.25">
      <c r="A722" s="41" t="s">
        <v>1507</v>
      </c>
      <c r="B722" s="42" t="s">
        <v>288</v>
      </c>
      <c r="C722" s="43" t="s">
        <v>1528</v>
      </c>
      <c r="D722" s="74" t="s">
        <v>28</v>
      </c>
      <c r="E722" s="43" t="s">
        <v>667</v>
      </c>
      <c r="F722" s="43" t="s">
        <v>1084</v>
      </c>
      <c r="G722" s="74" t="s">
        <v>68</v>
      </c>
      <c r="H722" s="74" t="s">
        <v>1131</v>
      </c>
      <c r="I722" s="43"/>
      <c r="J722" s="44" t="s">
        <v>708</v>
      </c>
      <c r="K722" s="115">
        <f>ROUND(Tableau13[[#This Row],[LEN]]*7.27,0)</f>
        <v>174</v>
      </c>
      <c r="L722" s="115">
        <v>15</v>
      </c>
      <c r="M722" s="132" t="str">
        <f t="shared" si="5"/>
        <v>none</v>
      </c>
      <c r="N722" s="115">
        <f>LEN(Tableau13[[#This Row],[LABEL]])</f>
        <v>24</v>
      </c>
      <c r="O722" s="115">
        <v>15</v>
      </c>
      <c r="P722" s="115" t="e">
        <f>ROUND(Tableau13[[#This Row],[LEN]]*#REF!+#REF!,0)</f>
        <v>#REF!</v>
      </c>
    </row>
    <row r="723" spans="1:16" s="97" customFormat="1" x14ac:dyDescent="0.25">
      <c r="A723" s="41" t="s">
        <v>1508</v>
      </c>
      <c r="B723" s="42" t="s">
        <v>288</v>
      </c>
      <c r="C723" s="43" t="s">
        <v>1529</v>
      </c>
      <c r="D723" s="74" t="s">
        <v>28</v>
      </c>
      <c r="E723" s="43" t="s">
        <v>672</v>
      </c>
      <c r="F723" s="43" t="s">
        <v>1530</v>
      </c>
      <c r="G723" s="74" t="s">
        <v>68</v>
      </c>
      <c r="H723" s="74" t="s">
        <v>656</v>
      </c>
      <c r="I723" s="43"/>
      <c r="J723" s="44" t="s">
        <v>708</v>
      </c>
      <c r="K723" s="115">
        <f>ROUND(Tableau13[[#This Row],[LEN]]*7.27,0)</f>
        <v>218</v>
      </c>
      <c r="L723" s="115">
        <v>15</v>
      </c>
      <c r="M723" s="132" t="str">
        <f t="shared" si="5"/>
        <v>none</v>
      </c>
      <c r="N723" s="115">
        <f>LEN(Tableau13[[#This Row],[LABEL]])</f>
        <v>30</v>
      </c>
      <c r="O723" s="115">
        <v>15</v>
      </c>
      <c r="P723" s="115" t="e">
        <f>ROUND(Tableau13[[#This Row],[LEN]]*#REF!+#REF!,0)</f>
        <v>#REF!</v>
      </c>
    </row>
    <row r="724" spans="1:16" s="273" customFormat="1" x14ac:dyDescent="0.25">
      <c r="A724" s="330" t="s">
        <v>289</v>
      </c>
      <c r="B724" s="331" t="s">
        <v>208</v>
      </c>
      <c r="C724" s="332" t="s">
        <v>80</v>
      </c>
      <c r="D724" s="333" t="s">
        <v>28</v>
      </c>
      <c r="E724" s="332" t="s">
        <v>667</v>
      </c>
      <c r="F724" s="332" t="s">
        <v>667</v>
      </c>
      <c r="G724" s="333" t="s">
        <v>68</v>
      </c>
      <c r="H724" s="333" t="str">
        <f>IFERROR(IF(SEARCH(".00.00.00.00.00",Tableau13[[#This Row],[name]],1)=7,"Division",""),"")</f>
        <v>Division</v>
      </c>
      <c r="I724" s="332"/>
      <c r="J724" s="334" t="s">
        <v>713</v>
      </c>
      <c r="K724" s="335">
        <f>ROUND(Tableau13[[#This Row],[LEN]]*7.27,0)</f>
        <v>116</v>
      </c>
      <c r="L724" s="335">
        <v>15</v>
      </c>
      <c r="M724" s="336" t="str">
        <f t="shared" si="5"/>
        <v>new</v>
      </c>
      <c r="N724" s="335">
        <f>LEN(Tableau13[[#This Row],[LABEL]])</f>
        <v>16</v>
      </c>
      <c r="O724" s="335">
        <v>15</v>
      </c>
      <c r="P724" s="335" t="e">
        <f>ROUND(Tableau13[[#This Row],[LEN]]*#REF!+#REF!,0)</f>
        <v>#REF!</v>
      </c>
    </row>
    <row r="725" spans="1:16" s="97" customFormat="1" x14ac:dyDescent="0.25">
      <c r="A725" s="41" t="s">
        <v>1531</v>
      </c>
      <c r="B725" s="42" t="s">
        <v>289</v>
      </c>
      <c r="C725" s="43" t="s">
        <v>738</v>
      </c>
      <c r="D725" s="74" t="s">
        <v>28</v>
      </c>
      <c r="E725" s="43" t="s">
        <v>662</v>
      </c>
      <c r="F725" s="43" t="s">
        <v>1543</v>
      </c>
      <c r="G725" s="74" t="s">
        <v>68</v>
      </c>
      <c r="H725" s="74" t="s">
        <v>56</v>
      </c>
      <c r="I725" s="43"/>
      <c r="J725" s="44" t="s">
        <v>708</v>
      </c>
      <c r="K725" s="115">
        <f>ROUND(Tableau13[[#This Row],[LEN]]*7.27,0)</f>
        <v>247</v>
      </c>
      <c r="L725" s="115">
        <v>15</v>
      </c>
      <c r="M725" s="132" t="str">
        <f t="shared" si="5"/>
        <v>none</v>
      </c>
      <c r="N725" s="115">
        <f>LEN(Tableau13[[#This Row],[LABEL]])</f>
        <v>34</v>
      </c>
      <c r="O725" s="115">
        <v>15</v>
      </c>
      <c r="P725" s="115" t="e">
        <f>ROUND(Tableau13[[#This Row],[LEN]]*#REF!+#REF!,0)</f>
        <v>#REF!</v>
      </c>
    </row>
    <row r="726" spans="1:16" s="97" customFormat="1" x14ac:dyDescent="0.25">
      <c r="A726" s="41" t="s">
        <v>1532</v>
      </c>
      <c r="B726" s="42" t="s">
        <v>289</v>
      </c>
      <c r="C726" s="43" t="s">
        <v>849</v>
      </c>
      <c r="D726" s="74" t="s">
        <v>28</v>
      </c>
      <c r="E726" s="43" t="s">
        <v>667</v>
      </c>
      <c r="F726" s="43" t="s">
        <v>840</v>
      </c>
      <c r="G726" s="74" t="s">
        <v>68</v>
      </c>
      <c r="H726" s="74" t="s">
        <v>655</v>
      </c>
      <c r="I726" s="43"/>
      <c r="J726" s="44" t="s">
        <v>708</v>
      </c>
      <c r="K726" s="115">
        <f>ROUND(Tableau13[[#This Row],[LEN]]*7.27,0)</f>
        <v>80</v>
      </c>
      <c r="L726" s="115">
        <v>15</v>
      </c>
      <c r="M726" s="132" t="str">
        <f t="shared" si="5"/>
        <v>none</v>
      </c>
      <c r="N726" s="115">
        <f>LEN(Tableau13[[#This Row],[LABEL]])</f>
        <v>11</v>
      </c>
      <c r="O726" s="115">
        <v>15</v>
      </c>
      <c r="P726" s="115" t="e">
        <f>ROUND(Tableau13[[#This Row],[LEN]]*#REF!+#REF!,0)</f>
        <v>#REF!</v>
      </c>
    </row>
    <row r="727" spans="1:16" s="97" customFormat="1" x14ac:dyDescent="0.25">
      <c r="A727" s="45" t="s">
        <v>1536</v>
      </c>
      <c r="B727" s="46" t="s">
        <v>1532</v>
      </c>
      <c r="C727" s="47" t="s">
        <v>112</v>
      </c>
      <c r="D727" s="75" t="s">
        <v>28</v>
      </c>
      <c r="E727" s="47" t="s">
        <v>667</v>
      </c>
      <c r="F727" s="47" t="s">
        <v>840</v>
      </c>
      <c r="G727" s="75" t="s">
        <v>68</v>
      </c>
      <c r="H727" s="75" t="s">
        <v>654</v>
      </c>
      <c r="I727" s="47"/>
      <c r="J727" s="48" t="s">
        <v>708</v>
      </c>
      <c r="K727" s="116">
        <f>ROUND(Tableau13[[#This Row],[LEN]]*7.27,0)</f>
        <v>167</v>
      </c>
      <c r="L727" s="116">
        <v>15</v>
      </c>
      <c r="M727" s="133" t="str">
        <f t="shared" si="5"/>
        <v>none</v>
      </c>
      <c r="N727" s="116">
        <f>LEN(Tableau13[[#This Row],[LABEL]])</f>
        <v>23</v>
      </c>
      <c r="O727" s="116">
        <v>15</v>
      </c>
      <c r="P727" s="116" t="e">
        <f>ROUND(Tableau13[[#This Row],[LEN]]*#REF!+#REF!,0)</f>
        <v>#REF!</v>
      </c>
    </row>
    <row r="728" spans="1:16" s="97" customFormat="1" x14ac:dyDescent="0.25">
      <c r="A728" s="45" t="s">
        <v>1537</v>
      </c>
      <c r="B728" s="46" t="s">
        <v>1532</v>
      </c>
      <c r="C728" s="47" t="s">
        <v>113</v>
      </c>
      <c r="D728" s="75" t="s">
        <v>28</v>
      </c>
      <c r="E728" s="47" t="s">
        <v>667</v>
      </c>
      <c r="F728" s="47" t="s">
        <v>840</v>
      </c>
      <c r="G728" s="75" t="s">
        <v>68</v>
      </c>
      <c r="H728" s="75" t="s">
        <v>654</v>
      </c>
      <c r="I728" s="47"/>
      <c r="J728" s="48" t="s">
        <v>708</v>
      </c>
      <c r="K728" s="116">
        <f>ROUND(Tableau13[[#This Row],[LEN]]*7.27,0)</f>
        <v>233</v>
      </c>
      <c r="L728" s="116">
        <v>15</v>
      </c>
      <c r="M728" s="133" t="str">
        <f t="shared" si="5"/>
        <v>none</v>
      </c>
      <c r="N728" s="116">
        <f>LEN(Tableau13[[#This Row],[LABEL]])</f>
        <v>32</v>
      </c>
      <c r="O728" s="116">
        <v>15</v>
      </c>
      <c r="P728" s="116" t="e">
        <f>ROUND(Tableau13[[#This Row],[LEN]]*#REF!+#REF!,0)</f>
        <v>#REF!</v>
      </c>
    </row>
    <row r="729" spans="1:16" s="97" customFormat="1" x14ac:dyDescent="0.25">
      <c r="A729" s="41" t="s">
        <v>1533</v>
      </c>
      <c r="B729" s="42" t="s">
        <v>289</v>
      </c>
      <c r="C729" s="43" t="s">
        <v>122</v>
      </c>
      <c r="D729" s="74" t="s">
        <v>1514</v>
      </c>
      <c r="E729" s="43" t="s">
        <v>667</v>
      </c>
      <c r="F729" s="43" t="s">
        <v>1515</v>
      </c>
      <c r="G729" s="74" t="s">
        <v>68</v>
      </c>
      <c r="H729" s="74" t="s">
        <v>656</v>
      </c>
      <c r="I729" s="43"/>
      <c r="J729" s="44" t="s">
        <v>708</v>
      </c>
      <c r="K729" s="115">
        <f>ROUND(Tableau13[[#This Row],[LEN]]*7.27,0)</f>
        <v>145</v>
      </c>
      <c r="L729" s="115">
        <v>15</v>
      </c>
      <c r="M729" s="132" t="str">
        <f t="shared" si="5"/>
        <v>none</v>
      </c>
      <c r="N729" s="115">
        <f>LEN(Tableau13[[#This Row],[LABEL]])</f>
        <v>20</v>
      </c>
      <c r="O729" s="115">
        <v>15</v>
      </c>
      <c r="P729" s="115" t="e">
        <f>ROUND(Tableau13[[#This Row],[LEN]]*#REF!+#REF!,0)</f>
        <v>#REF!</v>
      </c>
    </row>
    <row r="730" spans="1:16" s="97" customFormat="1" x14ac:dyDescent="0.25">
      <c r="A730" s="41" t="s">
        <v>1534</v>
      </c>
      <c r="B730" s="42" t="s">
        <v>289</v>
      </c>
      <c r="C730" s="43" t="s">
        <v>1538</v>
      </c>
      <c r="D730" s="74" t="s">
        <v>1539</v>
      </c>
      <c r="E730" s="43" t="s">
        <v>1177</v>
      </c>
      <c r="F730" s="43" t="s">
        <v>1084</v>
      </c>
      <c r="G730" s="74" t="s">
        <v>68</v>
      </c>
      <c r="H730" s="74" t="s">
        <v>1131</v>
      </c>
      <c r="I730" s="43"/>
      <c r="J730" s="44" t="s">
        <v>708</v>
      </c>
      <c r="K730" s="115">
        <f>ROUND(Tableau13[[#This Row],[LEN]]*7.27,0)</f>
        <v>240</v>
      </c>
      <c r="L730" s="115">
        <v>15</v>
      </c>
      <c r="M730" s="132" t="str">
        <f t="shared" si="5"/>
        <v>none</v>
      </c>
      <c r="N730" s="115">
        <f>LEN(Tableau13[[#This Row],[LABEL]])</f>
        <v>33</v>
      </c>
      <c r="O730" s="115">
        <v>15</v>
      </c>
      <c r="P730" s="115" t="e">
        <f>ROUND(Tableau13[[#This Row],[LEN]]*#REF!+#REF!,0)</f>
        <v>#REF!</v>
      </c>
    </row>
    <row r="731" spans="1:16" s="97" customFormat="1" x14ac:dyDescent="0.25">
      <c r="A731" s="41" t="s">
        <v>1535</v>
      </c>
      <c r="B731" s="42" t="s">
        <v>289</v>
      </c>
      <c r="C731" s="43" t="s">
        <v>1540</v>
      </c>
      <c r="D731" s="74" t="s">
        <v>28</v>
      </c>
      <c r="E731" s="43" t="s">
        <v>667</v>
      </c>
      <c r="F731" s="43" t="s">
        <v>684</v>
      </c>
      <c r="G731" s="74" t="s">
        <v>68</v>
      </c>
      <c r="H731" s="74" t="s">
        <v>656</v>
      </c>
      <c r="I731" s="43"/>
      <c r="J731" s="44" t="s">
        <v>708</v>
      </c>
      <c r="K731" s="115">
        <f>ROUND(Tableau13[[#This Row],[LEN]]*7.27,0)</f>
        <v>407</v>
      </c>
      <c r="L731" s="115">
        <v>15</v>
      </c>
      <c r="M731" s="132" t="str">
        <f t="shared" si="5"/>
        <v>none</v>
      </c>
      <c r="N731" s="115">
        <f>LEN(Tableau13[[#This Row],[LABEL]])</f>
        <v>56</v>
      </c>
      <c r="O731" s="115">
        <v>15</v>
      </c>
      <c r="P731" s="115" t="e">
        <f>ROUND(Tableau13[[#This Row],[LEN]]*#REF!+#REF!,0)</f>
        <v>#REF!</v>
      </c>
    </row>
    <row r="732" spans="1:16" s="273" customFormat="1" x14ac:dyDescent="0.25">
      <c r="A732" s="330" t="s">
        <v>290</v>
      </c>
      <c r="B732" s="331" t="s">
        <v>208</v>
      </c>
      <c r="C732" s="332" t="s">
        <v>5</v>
      </c>
      <c r="D732" s="333" t="s">
        <v>28</v>
      </c>
      <c r="E732" s="332" t="s">
        <v>668</v>
      </c>
      <c r="F732" s="332" t="s">
        <v>668</v>
      </c>
      <c r="G732" s="333" t="s">
        <v>68</v>
      </c>
      <c r="H732" s="333" t="str">
        <f>IFERROR(IF(SEARCH(".00.00.00.00.00",Tableau13[[#This Row],[name]],1)=7,"Division",""),"")</f>
        <v>Division</v>
      </c>
      <c r="I732" s="332"/>
      <c r="J732" s="334" t="s">
        <v>714</v>
      </c>
      <c r="K732" s="335">
        <f>ROUND(Tableau13[[#This Row],[LEN]]*7.27,0)</f>
        <v>73</v>
      </c>
      <c r="L732" s="335">
        <v>15</v>
      </c>
      <c r="M732" s="336" t="str">
        <f t="shared" si="5"/>
        <v>new</v>
      </c>
      <c r="N732" s="335">
        <f>LEN(Tableau13[[#This Row],[LABEL]])</f>
        <v>10</v>
      </c>
      <c r="O732" s="335">
        <v>15</v>
      </c>
      <c r="P732" s="335" t="e">
        <f>ROUND(Tableau13[[#This Row],[LEN]]*#REF!+#REF!,0)</f>
        <v>#REF!</v>
      </c>
    </row>
    <row r="733" spans="1:16" s="97" customFormat="1" x14ac:dyDescent="0.25">
      <c r="A733" s="41" t="s">
        <v>1541</v>
      </c>
      <c r="B733" s="42" t="s">
        <v>290</v>
      </c>
      <c r="C733" s="43" t="s">
        <v>738</v>
      </c>
      <c r="D733" s="74" t="s">
        <v>28</v>
      </c>
      <c r="E733" s="43" t="s">
        <v>662</v>
      </c>
      <c r="F733" s="43" t="s">
        <v>1543</v>
      </c>
      <c r="G733" s="74" t="s">
        <v>68</v>
      </c>
      <c r="H733" s="74" t="s">
        <v>56</v>
      </c>
      <c r="I733" s="43"/>
      <c r="J733" s="44" t="s">
        <v>708</v>
      </c>
      <c r="K733" s="115">
        <f>ROUND(Tableau13[[#This Row],[LEN]]*7.27,0)</f>
        <v>247</v>
      </c>
      <c r="L733" s="115">
        <v>15</v>
      </c>
      <c r="M733" s="132" t="str">
        <f t="shared" si="5"/>
        <v>none</v>
      </c>
      <c r="N733" s="115">
        <f>LEN(Tableau13[[#This Row],[LABEL]])</f>
        <v>34</v>
      </c>
      <c r="O733" s="115">
        <v>15</v>
      </c>
      <c r="P733" s="115" t="e">
        <f>ROUND(Tableau13[[#This Row],[LEN]]*#REF!+#REF!,0)</f>
        <v>#REF!</v>
      </c>
    </row>
    <row r="734" spans="1:16" s="97" customFormat="1" x14ac:dyDescent="0.25">
      <c r="A734" s="41" t="s">
        <v>1542</v>
      </c>
      <c r="B734" s="42" t="s">
        <v>290</v>
      </c>
      <c r="C734" s="43" t="s">
        <v>122</v>
      </c>
      <c r="D734" s="74" t="s">
        <v>1514</v>
      </c>
      <c r="E734" s="43" t="s">
        <v>667</v>
      </c>
      <c r="F734" s="43" t="s">
        <v>1515</v>
      </c>
      <c r="G734" s="74" t="s">
        <v>68</v>
      </c>
      <c r="H734" s="74" t="s">
        <v>656</v>
      </c>
      <c r="I734" s="43"/>
      <c r="J734" s="44" t="s">
        <v>708</v>
      </c>
      <c r="K734" s="115">
        <f>ROUND(Tableau13[[#This Row],[LEN]]*7.27,0)</f>
        <v>145</v>
      </c>
      <c r="L734" s="115">
        <v>15</v>
      </c>
      <c r="M734" s="132" t="str">
        <f t="shared" si="5"/>
        <v>none</v>
      </c>
      <c r="N734" s="115">
        <f>LEN(Tableau13[[#This Row],[LABEL]])</f>
        <v>20</v>
      </c>
      <c r="O734" s="115">
        <v>15</v>
      </c>
      <c r="P734" s="115" t="e">
        <f>ROUND(Tableau13[[#This Row],[LEN]]*#REF!+#REF!,0)</f>
        <v>#REF!</v>
      </c>
    </row>
    <row r="735" spans="1:16" s="273" customFormat="1" x14ac:dyDescent="0.25">
      <c r="A735" s="330" t="s">
        <v>291</v>
      </c>
      <c r="B735" s="331" t="s">
        <v>208</v>
      </c>
      <c r="C735" s="332" t="s">
        <v>6</v>
      </c>
      <c r="D735" s="333" t="s">
        <v>28</v>
      </c>
      <c r="E735" s="332" t="s">
        <v>669</v>
      </c>
      <c r="F735" s="332" t="s">
        <v>669</v>
      </c>
      <c r="G735" s="333" t="s">
        <v>68</v>
      </c>
      <c r="H735" s="333" t="str">
        <f>IFERROR(IF(SEARCH(".00.00.00.00.00",Tableau13[[#This Row],[name]],1)=7,"Division",""),"")</f>
        <v>Division</v>
      </c>
      <c r="I735" s="332"/>
      <c r="J735" s="334" t="s">
        <v>715</v>
      </c>
      <c r="K735" s="335">
        <f>ROUND(Tableau13[[#This Row],[LEN]]*7.27,0)</f>
        <v>196</v>
      </c>
      <c r="L735" s="335">
        <v>15</v>
      </c>
      <c r="M735" s="336" t="str">
        <f t="shared" si="5"/>
        <v>new</v>
      </c>
      <c r="N735" s="335">
        <f>LEN(Tableau13[[#This Row],[LABEL]])</f>
        <v>27</v>
      </c>
      <c r="O735" s="335">
        <v>15</v>
      </c>
      <c r="P735" s="335" t="e">
        <f>ROUND(Tableau13[[#This Row],[LEN]]*#REF!+#REF!,0)</f>
        <v>#REF!</v>
      </c>
    </row>
    <row r="736" spans="1:16" s="97" customFormat="1" x14ac:dyDescent="0.25">
      <c r="A736" s="41" t="s">
        <v>449</v>
      </c>
      <c r="B736" s="42" t="s">
        <v>291</v>
      </c>
      <c r="C736" s="43" t="s">
        <v>164</v>
      </c>
      <c r="D736" s="74" t="s">
        <v>28</v>
      </c>
      <c r="E736" s="43" t="s">
        <v>669</v>
      </c>
      <c r="F736" s="43" t="s">
        <v>669</v>
      </c>
      <c r="G736" s="74" t="s">
        <v>68</v>
      </c>
      <c r="H736" s="74" t="s">
        <v>18</v>
      </c>
      <c r="I736" s="43"/>
      <c r="J736" s="44" t="s">
        <v>708</v>
      </c>
      <c r="K736" s="115">
        <f>ROUND(Tableau13[[#This Row],[LEN]]*7.27,0)</f>
        <v>131</v>
      </c>
      <c r="L736" s="115">
        <v>15</v>
      </c>
      <c r="M736" s="132" t="str">
        <f t="shared" si="5"/>
        <v>none</v>
      </c>
      <c r="N736" s="115">
        <f>LEN(Tableau13[[#This Row],[LABEL]])</f>
        <v>18</v>
      </c>
      <c r="O736" s="115">
        <v>15</v>
      </c>
      <c r="P736" s="115" t="e">
        <f>ROUND(Tableau13[[#This Row],[LEN]]*#REF!+#REF!,0)</f>
        <v>#REF!</v>
      </c>
    </row>
    <row r="737" spans="1:16" s="97" customFormat="1" x14ac:dyDescent="0.25">
      <c r="A737" s="41" t="s">
        <v>450</v>
      </c>
      <c r="B737" s="42" t="s">
        <v>291</v>
      </c>
      <c r="C737" s="43" t="s">
        <v>849</v>
      </c>
      <c r="D737" s="74" t="s">
        <v>28</v>
      </c>
      <c r="E737" s="43" t="s">
        <v>667</v>
      </c>
      <c r="F737" s="43" t="s">
        <v>840</v>
      </c>
      <c r="G737" s="74" t="s">
        <v>68</v>
      </c>
      <c r="H737" s="74" t="s">
        <v>655</v>
      </c>
      <c r="I737" s="43"/>
      <c r="J737" s="44" t="s">
        <v>708</v>
      </c>
      <c r="K737" s="115">
        <f>ROUND(Tableau13[[#This Row],[LEN]]*7.27,0)</f>
        <v>80</v>
      </c>
      <c r="L737" s="115">
        <v>15</v>
      </c>
      <c r="M737" s="132" t="str">
        <f t="shared" si="5"/>
        <v>none</v>
      </c>
      <c r="N737" s="115">
        <f>LEN(Tableau13[[#This Row],[LABEL]])</f>
        <v>11</v>
      </c>
      <c r="O737" s="115">
        <v>15</v>
      </c>
      <c r="P737" s="115" t="e">
        <f>ROUND(Tableau13[[#This Row],[LEN]]*#REF!+#REF!,0)</f>
        <v>#REF!</v>
      </c>
    </row>
    <row r="738" spans="1:16" s="97" customFormat="1" x14ac:dyDescent="0.25">
      <c r="A738" s="45" t="s">
        <v>468</v>
      </c>
      <c r="B738" s="46" t="s">
        <v>450</v>
      </c>
      <c r="C738" s="47" t="s">
        <v>112</v>
      </c>
      <c r="D738" s="75" t="s">
        <v>28</v>
      </c>
      <c r="E738" s="47" t="s">
        <v>667</v>
      </c>
      <c r="F738" s="47" t="s">
        <v>669</v>
      </c>
      <c r="G738" s="75" t="s">
        <v>68</v>
      </c>
      <c r="H738" s="75" t="s">
        <v>654</v>
      </c>
      <c r="I738" s="47"/>
      <c r="J738" s="48" t="s">
        <v>708</v>
      </c>
      <c r="K738" s="116">
        <f>ROUND(Tableau13[[#This Row],[LEN]]*7.27,0)</f>
        <v>167</v>
      </c>
      <c r="L738" s="116">
        <v>15</v>
      </c>
      <c r="M738" s="133" t="str">
        <f t="shared" si="5"/>
        <v>none</v>
      </c>
      <c r="N738" s="116">
        <f>LEN(Tableau13[[#This Row],[LABEL]])</f>
        <v>23</v>
      </c>
      <c r="O738" s="116">
        <v>15</v>
      </c>
      <c r="P738" s="116" t="e">
        <f>ROUND(Tableau13[[#This Row],[LEN]]*#REF!+#REF!,0)</f>
        <v>#REF!</v>
      </c>
    </row>
    <row r="739" spans="1:16" s="97" customFormat="1" x14ac:dyDescent="0.25">
      <c r="A739" s="45" t="s">
        <v>469</v>
      </c>
      <c r="B739" s="46" t="s">
        <v>450</v>
      </c>
      <c r="C739" s="47" t="s">
        <v>113</v>
      </c>
      <c r="D739" s="75" t="s">
        <v>28</v>
      </c>
      <c r="E739" s="47" t="s">
        <v>667</v>
      </c>
      <c r="F739" s="47" t="s">
        <v>669</v>
      </c>
      <c r="G739" s="75" t="s">
        <v>68</v>
      </c>
      <c r="H739" s="75" t="s">
        <v>654</v>
      </c>
      <c r="I739" s="47"/>
      <c r="J739" s="48" t="s">
        <v>708</v>
      </c>
      <c r="K739" s="116">
        <f>ROUND(Tableau13[[#This Row],[LEN]]*7.27,0)</f>
        <v>233</v>
      </c>
      <c r="L739" s="116">
        <v>15</v>
      </c>
      <c r="M739" s="133" t="str">
        <f t="shared" si="5"/>
        <v>none</v>
      </c>
      <c r="N739" s="116">
        <f>LEN(Tableau13[[#This Row],[LABEL]])</f>
        <v>32</v>
      </c>
      <c r="O739" s="116">
        <v>15</v>
      </c>
      <c r="P739" s="116" t="e">
        <f>ROUND(Tableau13[[#This Row],[LEN]]*#REF!+#REF!,0)</f>
        <v>#REF!</v>
      </c>
    </row>
    <row r="740" spans="1:16" s="97" customFormat="1" x14ac:dyDescent="0.25">
      <c r="A740" s="41" t="s">
        <v>451</v>
      </c>
      <c r="B740" s="42" t="s">
        <v>291</v>
      </c>
      <c r="C740" s="43" t="s">
        <v>122</v>
      </c>
      <c r="D740" s="74" t="s">
        <v>1514</v>
      </c>
      <c r="E740" s="43" t="s">
        <v>667</v>
      </c>
      <c r="F740" s="43" t="s">
        <v>1515</v>
      </c>
      <c r="G740" s="74" t="s">
        <v>68</v>
      </c>
      <c r="H740" s="74" t="s">
        <v>656</v>
      </c>
      <c r="I740" s="43"/>
      <c r="J740" s="44" t="s">
        <v>708</v>
      </c>
      <c r="K740" s="115">
        <f>ROUND(Tableau13[[#This Row],[LEN]]*7.27,0)</f>
        <v>145</v>
      </c>
      <c r="L740" s="115">
        <v>15</v>
      </c>
      <c r="M740" s="132" t="str">
        <f t="shared" si="5"/>
        <v>none</v>
      </c>
      <c r="N740" s="115">
        <f>LEN(Tableau13[[#This Row],[LABEL]])</f>
        <v>20</v>
      </c>
      <c r="O740" s="115">
        <v>15</v>
      </c>
      <c r="P740" s="115" t="e">
        <f>ROUND(Tableau13[[#This Row],[LEN]]*#REF!+#REF!,0)</f>
        <v>#REF!</v>
      </c>
    </row>
    <row r="741" spans="1:16" s="97" customFormat="1" x14ac:dyDescent="0.25">
      <c r="A741" s="41" t="s">
        <v>452</v>
      </c>
      <c r="B741" s="42" t="s">
        <v>291</v>
      </c>
      <c r="C741" s="43" t="s">
        <v>165</v>
      </c>
      <c r="D741" s="74" t="s">
        <v>28</v>
      </c>
      <c r="E741" s="43" t="s">
        <v>669</v>
      </c>
      <c r="F741" s="43" t="s">
        <v>669</v>
      </c>
      <c r="G741" s="74" t="s">
        <v>68</v>
      </c>
      <c r="H741" s="74" t="s">
        <v>656</v>
      </c>
      <c r="I741" s="43"/>
      <c r="J741" s="44" t="s">
        <v>708</v>
      </c>
      <c r="K741" s="115">
        <f>ROUND(Tableau13[[#This Row],[LEN]]*7.27,0)</f>
        <v>189</v>
      </c>
      <c r="L741" s="115">
        <v>15</v>
      </c>
      <c r="M741" s="132" t="str">
        <f t="shared" si="5"/>
        <v>none</v>
      </c>
      <c r="N741" s="115">
        <f>LEN(Tableau13[[#This Row],[LABEL]])</f>
        <v>26</v>
      </c>
      <c r="O741" s="115">
        <v>15</v>
      </c>
      <c r="P741" s="115" t="e">
        <f>ROUND(Tableau13[[#This Row],[LEN]]*#REF!+#REF!,0)</f>
        <v>#REF!</v>
      </c>
    </row>
    <row r="742" spans="1:16" s="97" customFormat="1" x14ac:dyDescent="0.25">
      <c r="A742" s="41" t="s">
        <v>1619</v>
      </c>
      <c r="B742" s="42" t="s">
        <v>291</v>
      </c>
      <c r="C742" s="43" t="s">
        <v>1618</v>
      </c>
      <c r="D742" s="74" t="s">
        <v>28</v>
      </c>
      <c r="E742" s="43" t="s">
        <v>669</v>
      </c>
      <c r="F742" s="43" t="s">
        <v>678</v>
      </c>
      <c r="G742" s="74" t="s">
        <v>68</v>
      </c>
      <c r="H742" s="74" t="s">
        <v>656</v>
      </c>
      <c r="I742" s="43"/>
      <c r="J742" s="44" t="s">
        <v>708</v>
      </c>
      <c r="K742" s="115">
        <f>ROUND(Tableau13[[#This Row],[LEN]]*7.27,0)</f>
        <v>225</v>
      </c>
      <c r="L742" s="115">
        <v>15</v>
      </c>
      <c r="M742" s="132" t="str">
        <f t="shared" si="5"/>
        <v>none</v>
      </c>
      <c r="N742" s="115">
        <f>LEN(Tableau13[[#This Row],[LABEL]])</f>
        <v>31</v>
      </c>
      <c r="O742" s="115">
        <v>15</v>
      </c>
      <c r="P742" s="115" t="e">
        <f>ROUND(Tableau13[[#This Row],[LEN]]*#REF!+#REF!,0)</f>
        <v>#REF!</v>
      </c>
    </row>
    <row r="743" spans="1:16" s="273" customFormat="1" x14ac:dyDescent="0.25">
      <c r="A743" s="330" t="s">
        <v>292</v>
      </c>
      <c r="B743" s="331" t="s">
        <v>208</v>
      </c>
      <c r="C743" s="332" t="s">
        <v>7</v>
      </c>
      <c r="D743" s="333" t="s">
        <v>28</v>
      </c>
      <c r="E743" s="332" t="s">
        <v>670</v>
      </c>
      <c r="F743" s="332" t="s">
        <v>670</v>
      </c>
      <c r="G743" s="333" t="s">
        <v>68</v>
      </c>
      <c r="H743" s="333" t="str">
        <f>IFERROR(IF(SEARCH(".00.00.00.00.00",Tableau13[[#This Row],[name]],1)=7,"Division",""),"")</f>
        <v>Division</v>
      </c>
      <c r="I743" s="332"/>
      <c r="J743" s="334" t="s">
        <v>716</v>
      </c>
      <c r="K743" s="335">
        <f>ROUND(Tableau13[[#This Row],[LEN]]*7.27,0)</f>
        <v>189</v>
      </c>
      <c r="L743" s="335">
        <v>15</v>
      </c>
      <c r="M743" s="336" t="str">
        <f t="shared" si="5"/>
        <v>new</v>
      </c>
      <c r="N743" s="335">
        <f>LEN(Tableau13[[#This Row],[LABEL]])</f>
        <v>26</v>
      </c>
      <c r="O743" s="335">
        <v>15</v>
      </c>
      <c r="P743" s="335" t="e">
        <f>ROUND(Tableau13[[#This Row],[LEN]]*#REF!+#REF!,0)</f>
        <v>#REF!</v>
      </c>
    </row>
    <row r="744" spans="1:16" s="97" customFormat="1" x14ac:dyDescent="0.25">
      <c r="A744" s="41" t="s">
        <v>1544</v>
      </c>
      <c r="B744" s="42" t="s">
        <v>292</v>
      </c>
      <c r="C744" s="43" t="s">
        <v>1547</v>
      </c>
      <c r="D744" s="74" t="s">
        <v>28</v>
      </c>
      <c r="E744" s="43" t="s">
        <v>670</v>
      </c>
      <c r="F744" s="43" t="s">
        <v>670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ROUND(Tableau13[[#This Row],[LEN]]*7.27,0)</f>
        <v>436</v>
      </c>
      <c r="L744" s="115">
        <v>13</v>
      </c>
      <c r="M744" s="132" t="str">
        <f t="shared" si="5"/>
        <v>none</v>
      </c>
      <c r="N744" s="115">
        <f>LEN(Tableau13[[#This Row],[LABEL]])</f>
        <v>60</v>
      </c>
      <c r="O744" s="115">
        <v>13</v>
      </c>
      <c r="P744" s="115" t="e">
        <f>ROUND(Tableau13[[#This Row],[LEN]]*#REF!+#REF!,0)</f>
        <v>#REF!</v>
      </c>
    </row>
    <row r="745" spans="1:16" s="97" customFormat="1" x14ac:dyDescent="0.25">
      <c r="A745" s="41" t="s">
        <v>1545</v>
      </c>
      <c r="B745" s="42" t="s">
        <v>292</v>
      </c>
      <c r="C745" s="43" t="s">
        <v>1548</v>
      </c>
      <c r="D745" s="74" t="s">
        <v>28</v>
      </c>
      <c r="E745" s="43" t="s">
        <v>670</v>
      </c>
      <c r="F745" s="43" t="s">
        <v>670</v>
      </c>
      <c r="G745" s="74" t="s">
        <v>68</v>
      </c>
      <c r="H745" s="74" t="s">
        <v>656</v>
      </c>
      <c r="I745" s="43"/>
      <c r="J745" s="44" t="s">
        <v>708</v>
      </c>
      <c r="K745" s="115">
        <f>ROUND(Tableau13[[#This Row],[LEN]]*7.27,0)</f>
        <v>414</v>
      </c>
      <c r="L745" s="115">
        <v>14</v>
      </c>
      <c r="M745" s="132" t="str">
        <f t="shared" si="5"/>
        <v>none</v>
      </c>
      <c r="N745" s="115">
        <f>LEN(Tableau13[[#This Row],[LABEL]])</f>
        <v>57</v>
      </c>
      <c r="O745" s="115">
        <v>14</v>
      </c>
      <c r="P745" s="115" t="e">
        <f>ROUND(Tableau13[[#This Row],[LEN]]*#REF!+#REF!,0)</f>
        <v>#REF!</v>
      </c>
    </row>
    <row r="746" spans="1:16" s="97" customFormat="1" x14ac:dyDescent="0.25">
      <c r="A746" s="41" t="s">
        <v>1546</v>
      </c>
      <c r="B746" s="42" t="s">
        <v>292</v>
      </c>
      <c r="C746" s="43" t="s">
        <v>122</v>
      </c>
      <c r="D746" s="74" t="s">
        <v>1514</v>
      </c>
      <c r="E746" s="43" t="s">
        <v>667</v>
      </c>
      <c r="F746" s="43" t="s">
        <v>1515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ROUND(Tableau13[[#This Row],[LEN]]*7.27,0)</f>
        <v>145</v>
      </c>
      <c r="L746" s="115">
        <v>15</v>
      </c>
      <c r="M746" s="132" t="str">
        <f t="shared" si="5"/>
        <v>none</v>
      </c>
      <c r="N746" s="115">
        <f>LEN(Tableau13[[#This Row],[LABEL]])</f>
        <v>20</v>
      </c>
      <c r="O746" s="115">
        <v>15</v>
      </c>
      <c r="P746" s="115" t="e">
        <f>ROUND(Tableau13[[#This Row],[LEN]]*#REF!+#REF!,0)</f>
        <v>#REF!</v>
      </c>
    </row>
    <row r="747" spans="1:16" s="273" customFormat="1" x14ac:dyDescent="0.25">
      <c r="A747" s="330" t="s">
        <v>293</v>
      </c>
      <c r="B747" s="331" t="s">
        <v>208</v>
      </c>
      <c r="C747" s="332" t="s">
        <v>8</v>
      </c>
      <c r="D747" s="333" t="s">
        <v>28</v>
      </c>
      <c r="E747" s="332" t="s">
        <v>671</v>
      </c>
      <c r="F747" s="332" t="s">
        <v>671</v>
      </c>
      <c r="G747" s="333" t="s">
        <v>68</v>
      </c>
      <c r="H747" s="333" t="str">
        <f>IFERROR(IF(SEARCH(".00.00.00.00.00",Tableau13[[#This Row],[name]],1)=7,"Division",""),"")</f>
        <v>Division</v>
      </c>
      <c r="I747" s="332"/>
      <c r="J747" s="334" t="s">
        <v>717</v>
      </c>
      <c r="K747" s="335">
        <f>ROUND(Tableau13[[#This Row],[LEN]]*7.27,0)</f>
        <v>116</v>
      </c>
      <c r="L747" s="335">
        <v>15</v>
      </c>
      <c r="M747" s="336" t="str">
        <f t="shared" si="5"/>
        <v>new</v>
      </c>
      <c r="N747" s="335">
        <f>LEN(Tableau13[[#This Row],[LABEL]])</f>
        <v>16</v>
      </c>
      <c r="O747" s="335">
        <v>15</v>
      </c>
      <c r="P747" s="335" t="e">
        <f>ROUND(Tableau13[[#This Row],[LEN]]*#REF!+#REF!,0)</f>
        <v>#REF!</v>
      </c>
    </row>
    <row r="748" spans="1:16" s="97" customFormat="1" x14ac:dyDescent="0.25">
      <c r="A748" s="41" t="s">
        <v>1549</v>
      </c>
      <c r="B748" s="42" t="s">
        <v>293</v>
      </c>
      <c r="C748" s="43" t="s">
        <v>1552</v>
      </c>
      <c r="D748" s="74" t="s">
        <v>28</v>
      </c>
      <c r="E748" s="43" t="s">
        <v>671</v>
      </c>
      <c r="F748" s="43" t="s">
        <v>1177</v>
      </c>
      <c r="G748" s="74" t="s">
        <v>68</v>
      </c>
      <c r="H748" s="74" t="s">
        <v>654</v>
      </c>
      <c r="I748" s="43"/>
      <c r="J748" s="44" t="s">
        <v>708</v>
      </c>
      <c r="K748" s="115">
        <f>ROUND(Tableau13[[#This Row],[LEN]]*7.27,0)</f>
        <v>291</v>
      </c>
      <c r="L748" s="115">
        <v>13</v>
      </c>
      <c r="M748" s="132" t="str">
        <f t="shared" si="5"/>
        <v>none</v>
      </c>
      <c r="N748" s="115">
        <f>LEN(Tableau13[[#This Row],[LABEL]])</f>
        <v>40</v>
      </c>
      <c r="O748" s="115">
        <v>13</v>
      </c>
      <c r="P748" s="115" t="e">
        <f>ROUND(Tableau13[[#This Row],[LEN]]*#REF!+#REF!,0)</f>
        <v>#REF!</v>
      </c>
    </row>
    <row r="749" spans="1:16" s="97" customFormat="1" x14ac:dyDescent="0.25">
      <c r="A749" s="41" t="s">
        <v>1550</v>
      </c>
      <c r="B749" s="42" t="s">
        <v>293</v>
      </c>
      <c r="C749" s="43" t="s">
        <v>1553</v>
      </c>
      <c r="D749" s="74" t="s">
        <v>28</v>
      </c>
      <c r="E749" s="43" t="s">
        <v>671</v>
      </c>
      <c r="F749" s="43" t="s">
        <v>1177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ROUND(Tableau13[[#This Row],[LEN]]*7.27,0)</f>
        <v>305</v>
      </c>
      <c r="L749" s="115">
        <v>14</v>
      </c>
      <c r="M749" s="132" t="str">
        <f t="shared" si="5"/>
        <v>none</v>
      </c>
      <c r="N749" s="115">
        <f>LEN(Tableau13[[#This Row],[LABEL]])</f>
        <v>42</v>
      </c>
      <c r="O749" s="115">
        <v>14</v>
      </c>
      <c r="P749" s="115" t="e">
        <f>ROUND(Tableau13[[#This Row],[LEN]]*#REF!+#REF!,0)</f>
        <v>#REF!</v>
      </c>
    </row>
    <row r="750" spans="1:16" s="97" customFormat="1" x14ac:dyDescent="0.25">
      <c r="A750" s="41" t="s">
        <v>1551</v>
      </c>
      <c r="B750" s="42" t="s">
        <v>293</v>
      </c>
      <c r="C750" s="43" t="s">
        <v>122</v>
      </c>
      <c r="D750" s="74" t="s">
        <v>1514</v>
      </c>
      <c r="E750" s="43" t="s">
        <v>667</v>
      </c>
      <c r="F750" s="43" t="s">
        <v>1515</v>
      </c>
      <c r="G750" s="74" t="s">
        <v>68</v>
      </c>
      <c r="H750" s="74" t="s">
        <v>656</v>
      </c>
      <c r="I750" s="43"/>
      <c r="J750" s="44" t="s">
        <v>708</v>
      </c>
      <c r="K750" s="115">
        <f>ROUND(Tableau13[[#This Row],[LEN]]*7.27,0)</f>
        <v>145</v>
      </c>
      <c r="L750" s="115">
        <v>15</v>
      </c>
      <c r="M750" s="132" t="str">
        <f t="shared" si="5"/>
        <v>none</v>
      </c>
      <c r="N750" s="115">
        <f>LEN(Tableau13[[#This Row],[LABEL]])</f>
        <v>20</v>
      </c>
      <c r="O750" s="115">
        <v>15</v>
      </c>
      <c r="P750" s="115" t="e">
        <f>ROUND(Tableau13[[#This Row],[LEN]]*#REF!+#REF!,0)</f>
        <v>#REF!</v>
      </c>
    </row>
    <row r="751" spans="1:16" s="273" customFormat="1" x14ac:dyDescent="0.25">
      <c r="A751" s="330" t="s">
        <v>294</v>
      </c>
      <c r="B751" s="331" t="s">
        <v>208</v>
      </c>
      <c r="C751" s="332" t="s">
        <v>9</v>
      </c>
      <c r="D751" s="333" t="s">
        <v>28</v>
      </c>
      <c r="E751" s="332" t="s">
        <v>672</v>
      </c>
      <c r="F751" s="332" t="s">
        <v>672</v>
      </c>
      <c r="G751" s="333" t="s">
        <v>68</v>
      </c>
      <c r="H751" s="333" t="str">
        <f>IFERROR(IF(SEARCH(".00.00.00.00.00",Tableau13[[#This Row],[name]],1)=7,"Division",""),"")</f>
        <v>Division</v>
      </c>
      <c r="I751" s="332"/>
      <c r="J751" s="334" t="s">
        <v>718</v>
      </c>
      <c r="K751" s="335">
        <f>ROUND(Tableau13[[#This Row],[LEN]]*7.27,0)</f>
        <v>80</v>
      </c>
      <c r="L751" s="335">
        <v>15</v>
      </c>
      <c r="M751" s="336" t="str">
        <f t="shared" si="5"/>
        <v>new</v>
      </c>
      <c r="N751" s="335">
        <f>LEN(Tableau13[[#This Row],[LABEL]])</f>
        <v>11</v>
      </c>
      <c r="O751" s="335">
        <v>15</v>
      </c>
      <c r="P751" s="335" t="e">
        <f>ROUND(Tableau13[[#This Row],[LEN]]*#REF!+#REF!,0)</f>
        <v>#REF!</v>
      </c>
    </row>
    <row r="752" spans="1:16" s="97" customFormat="1" x14ac:dyDescent="0.25">
      <c r="A752" s="41" t="s">
        <v>515</v>
      </c>
      <c r="B752" s="42" t="s">
        <v>294</v>
      </c>
      <c r="C752" s="43" t="s">
        <v>511</v>
      </c>
      <c r="D752" s="74" t="s">
        <v>28</v>
      </c>
      <c r="E752" s="43" t="s">
        <v>672</v>
      </c>
      <c r="F752" s="43" t="s">
        <v>672</v>
      </c>
      <c r="G752" s="74" t="s">
        <v>68</v>
      </c>
      <c r="H752" s="74" t="s">
        <v>654</v>
      </c>
      <c r="I752" s="43"/>
      <c r="J752" s="44" t="s">
        <v>708</v>
      </c>
      <c r="K752" s="115">
        <f>ROUND(Tableau13[[#This Row],[LEN]]*7.27,0)</f>
        <v>305</v>
      </c>
      <c r="L752" s="115">
        <v>15</v>
      </c>
      <c r="M752" s="132" t="str">
        <f t="shared" si="5"/>
        <v>none</v>
      </c>
      <c r="N752" s="115">
        <f>LEN(Tableau13[[#This Row],[LABEL]])</f>
        <v>42</v>
      </c>
      <c r="O752" s="115">
        <v>15</v>
      </c>
      <c r="P752" s="115" t="e">
        <f>ROUND(Tableau13[[#This Row],[LEN]]*#REF!+#REF!,0)</f>
        <v>#REF!</v>
      </c>
    </row>
    <row r="753" spans="1:16" s="97" customFormat="1" x14ac:dyDescent="0.25">
      <c r="A753" s="41" t="s">
        <v>516</v>
      </c>
      <c r="B753" s="42" t="s">
        <v>294</v>
      </c>
      <c r="C753" s="43" t="s">
        <v>521</v>
      </c>
      <c r="D753" s="74" t="s">
        <v>28</v>
      </c>
      <c r="E753" s="43" t="s">
        <v>672</v>
      </c>
      <c r="F753" s="43" t="s">
        <v>672</v>
      </c>
      <c r="G753" s="74" t="s">
        <v>68</v>
      </c>
      <c r="H753" s="74" t="s">
        <v>655</v>
      </c>
      <c r="I753" s="43"/>
      <c r="J753" s="44" t="s">
        <v>708</v>
      </c>
      <c r="K753" s="115">
        <f>ROUND(Tableau13[[#This Row],[LEN]]*7.27,0)</f>
        <v>138</v>
      </c>
      <c r="L753" s="115">
        <v>15</v>
      </c>
      <c r="M753" s="132" t="str">
        <f t="shared" si="5"/>
        <v>none</v>
      </c>
      <c r="N753" s="115">
        <f>LEN(Tableau13[[#This Row],[LABEL]])</f>
        <v>19</v>
      </c>
      <c r="O753" s="115">
        <v>15</v>
      </c>
      <c r="P753" s="115" t="e">
        <f>ROUND(Tableau13[[#This Row],[LEN]]*#REF!+#REF!,0)</f>
        <v>#REF!</v>
      </c>
    </row>
    <row r="754" spans="1:16" s="97" customFormat="1" x14ac:dyDescent="0.25">
      <c r="A754" s="45" t="s">
        <v>522</v>
      </c>
      <c r="B754" s="46" t="s">
        <v>516</v>
      </c>
      <c r="C754" s="47" t="s">
        <v>536</v>
      </c>
      <c r="D754" s="75" t="s">
        <v>28</v>
      </c>
      <c r="E754" s="47" t="s">
        <v>672</v>
      </c>
      <c r="F754" s="47" t="s">
        <v>672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ROUND(Tableau13[[#This Row],[LEN]]*7.27,0)</f>
        <v>174</v>
      </c>
      <c r="L754" s="116">
        <v>15</v>
      </c>
      <c r="M754" s="133" t="str">
        <f t="shared" si="5"/>
        <v>none</v>
      </c>
      <c r="N754" s="116">
        <f>LEN(Tableau13[[#This Row],[LABEL]])</f>
        <v>24</v>
      </c>
      <c r="O754" s="116">
        <v>15</v>
      </c>
      <c r="P754" s="116" t="e">
        <f>ROUND(Tableau13[[#This Row],[LEN]]*#REF!+#REF!,0)</f>
        <v>#REF!</v>
      </c>
    </row>
    <row r="755" spans="1:16" s="97" customFormat="1" x14ac:dyDescent="0.25">
      <c r="A755" s="45" t="s">
        <v>523</v>
      </c>
      <c r="B755" s="46" t="s">
        <v>516</v>
      </c>
      <c r="C755" s="47" t="s">
        <v>535</v>
      </c>
      <c r="D755" s="75" t="s">
        <v>28</v>
      </c>
      <c r="E755" s="47" t="s">
        <v>672</v>
      </c>
      <c r="F755" s="47" t="s">
        <v>672</v>
      </c>
      <c r="G755" s="75" t="s">
        <v>68</v>
      </c>
      <c r="H755" s="75" t="s">
        <v>654</v>
      </c>
      <c r="I755" s="47"/>
      <c r="J755" s="48" t="s">
        <v>708</v>
      </c>
      <c r="K755" s="116">
        <f>ROUND(Tableau13[[#This Row],[LEN]]*7.27,0)</f>
        <v>218</v>
      </c>
      <c r="L755" s="116">
        <v>15</v>
      </c>
      <c r="M755" s="133" t="str">
        <f t="shared" si="5"/>
        <v>none</v>
      </c>
      <c r="N755" s="116">
        <f>LEN(Tableau13[[#This Row],[LABEL]])</f>
        <v>30</v>
      </c>
      <c r="O755" s="116">
        <v>15</v>
      </c>
      <c r="P755" s="116" t="e">
        <f>ROUND(Tableau13[[#This Row],[LEN]]*#REF!+#REF!,0)</f>
        <v>#REF!</v>
      </c>
    </row>
    <row r="756" spans="1:16" s="97" customFormat="1" x14ac:dyDescent="0.25">
      <c r="A756" s="45" t="s">
        <v>524</v>
      </c>
      <c r="B756" s="46" t="s">
        <v>516</v>
      </c>
      <c r="C756" s="47" t="s">
        <v>530</v>
      </c>
      <c r="D756" s="75" t="s">
        <v>28</v>
      </c>
      <c r="E756" s="47" t="s">
        <v>672</v>
      </c>
      <c r="F756" s="47" t="s">
        <v>672</v>
      </c>
      <c r="G756" s="75" t="s">
        <v>68</v>
      </c>
      <c r="H756" s="75" t="s">
        <v>656</v>
      </c>
      <c r="I756" s="47"/>
      <c r="J756" s="48" t="s">
        <v>708</v>
      </c>
      <c r="K756" s="116">
        <f>ROUND(Tableau13[[#This Row],[LEN]]*7.27,0)</f>
        <v>327</v>
      </c>
      <c r="L756" s="116">
        <v>15</v>
      </c>
      <c r="M756" s="133" t="str">
        <f t="shared" si="5"/>
        <v>none</v>
      </c>
      <c r="N756" s="116">
        <f>LEN(Tableau13[[#This Row],[LABEL]])</f>
        <v>45</v>
      </c>
      <c r="O756" s="116">
        <v>15</v>
      </c>
      <c r="P756" s="116" t="e">
        <f>ROUND(Tableau13[[#This Row],[LEN]]*#REF!+#REF!,0)</f>
        <v>#REF!</v>
      </c>
    </row>
    <row r="757" spans="1:16" s="97" customFormat="1" x14ac:dyDescent="0.25">
      <c r="A757" s="45" t="s">
        <v>525</v>
      </c>
      <c r="B757" s="46" t="s">
        <v>516</v>
      </c>
      <c r="C757" s="47" t="s">
        <v>531</v>
      </c>
      <c r="D757" s="75" t="s">
        <v>28</v>
      </c>
      <c r="E757" s="47" t="s">
        <v>672</v>
      </c>
      <c r="F757" s="47" t="s">
        <v>672</v>
      </c>
      <c r="G757" s="75" t="s">
        <v>68</v>
      </c>
      <c r="H757" s="75" t="s">
        <v>654</v>
      </c>
      <c r="I757" s="47"/>
      <c r="J757" s="48" t="s">
        <v>708</v>
      </c>
      <c r="K757" s="116">
        <f>ROUND(Tableau13[[#This Row],[LEN]]*7.27,0)</f>
        <v>400</v>
      </c>
      <c r="L757" s="116">
        <v>15</v>
      </c>
      <c r="M757" s="133" t="str">
        <f t="shared" si="5"/>
        <v>none</v>
      </c>
      <c r="N757" s="116">
        <f>LEN(Tableau13[[#This Row],[LABEL]])</f>
        <v>55</v>
      </c>
      <c r="O757" s="116">
        <v>15</v>
      </c>
      <c r="P757" s="116" t="e">
        <f>ROUND(Tableau13[[#This Row],[LEN]]*#REF!+#REF!,0)</f>
        <v>#REF!</v>
      </c>
    </row>
    <row r="758" spans="1:16" s="97" customFormat="1" x14ac:dyDescent="0.25">
      <c r="A758" s="45" t="s">
        <v>526</v>
      </c>
      <c r="B758" s="46" t="s">
        <v>516</v>
      </c>
      <c r="C758" s="47" t="s">
        <v>532</v>
      </c>
      <c r="D758" s="75" t="s">
        <v>28</v>
      </c>
      <c r="E758" s="47" t="s">
        <v>672</v>
      </c>
      <c r="F758" s="47" t="s">
        <v>672</v>
      </c>
      <c r="G758" s="75" t="s">
        <v>68</v>
      </c>
      <c r="H758" s="75" t="s">
        <v>18</v>
      </c>
      <c r="I758" s="47"/>
      <c r="J758" s="48" t="s">
        <v>708</v>
      </c>
      <c r="K758" s="116">
        <f>ROUND(Tableau13[[#This Row],[LEN]]*7.27,0)</f>
        <v>589</v>
      </c>
      <c r="L758" s="116">
        <v>15</v>
      </c>
      <c r="M758" s="133" t="str">
        <f t="shared" si="5"/>
        <v>none</v>
      </c>
      <c r="N758" s="116">
        <f>LEN(Tableau13[[#This Row],[LABEL]])</f>
        <v>81</v>
      </c>
      <c r="O758" s="116">
        <v>15</v>
      </c>
      <c r="P758" s="116" t="e">
        <f>ROUND(Tableau13[[#This Row],[LEN]]*#REF!+#REF!,0)</f>
        <v>#REF!</v>
      </c>
    </row>
    <row r="759" spans="1:16" s="97" customFormat="1" x14ac:dyDescent="0.25">
      <c r="A759" s="45" t="s">
        <v>527</v>
      </c>
      <c r="B759" s="46" t="s">
        <v>516</v>
      </c>
      <c r="C759" s="47" t="s">
        <v>533</v>
      </c>
      <c r="D759" s="75" t="s">
        <v>28</v>
      </c>
      <c r="E759" s="47" t="s">
        <v>672</v>
      </c>
      <c r="F759" s="47" t="s">
        <v>672</v>
      </c>
      <c r="G759" s="75" t="s">
        <v>68</v>
      </c>
      <c r="H759" s="75" t="s">
        <v>654</v>
      </c>
      <c r="I759" s="47"/>
      <c r="J759" s="48" t="s">
        <v>708</v>
      </c>
      <c r="K759" s="116">
        <f>ROUND(Tableau13[[#This Row],[LEN]]*7.27,0)</f>
        <v>400</v>
      </c>
      <c r="L759" s="116">
        <v>15</v>
      </c>
      <c r="M759" s="133" t="str">
        <f t="shared" si="5"/>
        <v>none</v>
      </c>
      <c r="N759" s="116">
        <f>LEN(Tableau13[[#This Row],[LABEL]])</f>
        <v>55</v>
      </c>
      <c r="O759" s="116">
        <v>15</v>
      </c>
      <c r="P759" s="116" t="e">
        <f>ROUND(Tableau13[[#This Row],[LEN]]*#REF!+#REF!,0)</f>
        <v>#REF!</v>
      </c>
    </row>
    <row r="760" spans="1:16" s="97" customFormat="1" x14ac:dyDescent="0.25">
      <c r="A760" s="45" t="s">
        <v>528</v>
      </c>
      <c r="B760" s="46" t="s">
        <v>516</v>
      </c>
      <c r="C760" s="47" t="s">
        <v>534</v>
      </c>
      <c r="D760" s="75" t="s">
        <v>28</v>
      </c>
      <c r="E760" s="47" t="s">
        <v>672</v>
      </c>
      <c r="F760" s="47" t="s">
        <v>672</v>
      </c>
      <c r="G760" s="75" t="s">
        <v>68</v>
      </c>
      <c r="H760" s="75" t="s">
        <v>656</v>
      </c>
      <c r="I760" s="47"/>
      <c r="J760" s="48" t="s">
        <v>708</v>
      </c>
      <c r="K760" s="116">
        <f>ROUND(Tableau13[[#This Row],[LEN]]*7.27,0)</f>
        <v>356</v>
      </c>
      <c r="L760" s="116">
        <v>15</v>
      </c>
      <c r="M760" s="133" t="str">
        <f t="shared" si="5"/>
        <v>none</v>
      </c>
      <c r="N760" s="116">
        <f>LEN(Tableau13[[#This Row],[LABEL]])</f>
        <v>49</v>
      </c>
      <c r="O760" s="116">
        <v>15</v>
      </c>
      <c r="P760" s="116" t="e">
        <f>ROUND(Tableau13[[#This Row],[LEN]]*#REF!+#REF!,0)</f>
        <v>#REF!</v>
      </c>
    </row>
    <row r="761" spans="1:16" s="97" customFormat="1" x14ac:dyDescent="0.25">
      <c r="A761" s="45" t="s">
        <v>529</v>
      </c>
      <c r="B761" s="46" t="s">
        <v>516</v>
      </c>
      <c r="C761" s="47" t="s">
        <v>537</v>
      </c>
      <c r="D761" s="75" t="s">
        <v>28</v>
      </c>
      <c r="E761" s="47" t="s">
        <v>672</v>
      </c>
      <c r="F761" s="47" t="s">
        <v>672</v>
      </c>
      <c r="G761" s="75" t="s">
        <v>68</v>
      </c>
      <c r="H761" s="75" t="s">
        <v>654</v>
      </c>
      <c r="I761" s="47"/>
      <c r="J761" s="48" t="s">
        <v>708</v>
      </c>
      <c r="K761" s="116">
        <f>ROUND(Tableau13[[#This Row],[LEN]]*7.27,0)</f>
        <v>225</v>
      </c>
      <c r="L761" s="116">
        <v>15</v>
      </c>
      <c r="M761" s="133" t="str">
        <f t="shared" si="5"/>
        <v>none</v>
      </c>
      <c r="N761" s="116">
        <f>LEN(Tableau13[[#This Row],[LABEL]])</f>
        <v>31</v>
      </c>
      <c r="O761" s="116">
        <v>15</v>
      </c>
      <c r="P761" s="116" t="e">
        <f>ROUND(Tableau13[[#This Row],[LEN]]*#REF!+#REF!,0)</f>
        <v>#REF!</v>
      </c>
    </row>
    <row r="762" spans="1:16" s="97" customFormat="1" x14ac:dyDescent="0.25">
      <c r="A762" s="41" t="s">
        <v>517</v>
      </c>
      <c r="B762" s="42" t="s">
        <v>294</v>
      </c>
      <c r="C762" s="43" t="s">
        <v>512</v>
      </c>
      <c r="D762" s="74" t="s">
        <v>28</v>
      </c>
      <c r="E762" s="43" t="s">
        <v>667</v>
      </c>
      <c r="F762" s="43" t="s">
        <v>672</v>
      </c>
      <c r="G762" s="74" t="s">
        <v>68</v>
      </c>
      <c r="H762" s="74" t="s">
        <v>654</v>
      </c>
      <c r="I762" s="43"/>
      <c r="J762" s="44" t="s">
        <v>708</v>
      </c>
      <c r="K762" s="115">
        <f>ROUND(Tableau13[[#This Row],[LEN]]*7.27,0)</f>
        <v>80</v>
      </c>
      <c r="L762" s="115">
        <v>15</v>
      </c>
      <c r="M762" s="132" t="str">
        <f t="shared" si="5"/>
        <v>none</v>
      </c>
      <c r="N762" s="115">
        <f>LEN(Tableau13[[#This Row],[LABEL]])</f>
        <v>11</v>
      </c>
      <c r="O762" s="115">
        <v>15</v>
      </c>
      <c r="P762" s="115" t="e">
        <f>ROUND(Tableau13[[#This Row],[LEN]]*#REF!+#REF!,0)</f>
        <v>#REF!</v>
      </c>
    </row>
    <row r="763" spans="1:16" s="97" customFormat="1" x14ac:dyDescent="0.25">
      <c r="A763" s="41" t="s">
        <v>518</v>
      </c>
      <c r="B763" s="42" t="s">
        <v>294</v>
      </c>
      <c r="C763" s="43" t="s">
        <v>513</v>
      </c>
      <c r="D763" s="74" t="s">
        <v>28</v>
      </c>
      <c r="E763" s="43" t="s">
        <v>672</v>
      </c>
      <c r="F763" s="43" t="s">
        <v>672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ROUND(Tableau13[[#This Row],[LEN]]*7.27,0)</f>
        <v>378</v>
      </c>
      <c r="L763" s="115">
        <v>15</v>
      </c>
      <c r="M763" s="132" t="str">
        <f t="shared" si="5"/>
        <v>none</v>
      </c>
      <c r="N763" s="115">
        <f>LEN(Tableau13[[#This Row],[LABEL]])</f>
        <v>52</v>
      </c>
      <c r="O763" s="115">
        <v>15</v>
      </c>
      <c r="P763" s="115" t="e">
        <f>ROUND(Tableau13[[#This Row],[LEN]]*#REF!+#REF!,0)</f>
        <v>#REF!</v>
      </c>
    </row>
    <row r="764" spans="1:16" s="97" customFormat="1" x14ac:dyDescent="0.25">
      <c r="A764" s="41" t="s">
        <v>519</v>
      </c>
      <c r="B764" s="42" t="s">
        <v>294</v>
      </c>
      <c r="C764" s="43" t="s">
        <v>514</v>
      </c>
      <c r="D764" s="74" t="s">
        <v>28</v>
      </c>
      <c r="E764" s="43" t="s">
        <v>672</v>
      </c>
      <c r="F764" s="43" t="s">
        <v>672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ROUND(Tableau13[[#This Row],[LEN]]*7.27,0)</f>
        <v>334</v>
      </c>
      <c r="L764" s="115">
        <v>15</v>
      </c>
      <c r="M764" s="132" t="str">
        <f t="shared" si="5"/>
        <v>none</v>
      </c>
      <c r="N764" s="115">
        <f>LEN(Tableau13[[#This Row],[LABEL]])</f>
        <v>46</v>
      </c>
      <c r="O764" s="115">
        <v>15</v>
      </c>
      <c r="P764" s="115" t="e">
        <f>ROUND(Tableau13[[#This Row],[LEN]]*#REF!+#REF!,0)</f>
        <v>#REF!</v>
      </c>
    </row>
    <row r="765" spans="1:16" s="97" customFormat="1" x14ac:dyDescent="0.25">
      <c r="A765" s="41" t="s">
        <v>520</v>
      </c>
      <c r="B765" s="42" t="s">
        <v>294</v>
      </c>
      <c r="C765" s="43" t="s">
        <v>1529</v>
      </c>
      <c r="D765" s="74" t="s">
        <v>28</v>
      </c>
      <c r="E765" s="43" t="s">
        <v>672</v>
      </c>
      <c r="F765" s="43" t="s">
        <v>1530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ROUND(Tableau13[[#This Row],[LEN]]*7.27,0)</f>
        <v>218</v>
      </c>
      <c r="L765" s="115">
        <v>15</v>
      </c>
      <c r="M765" s="132" t="str">
        <f t="shared" si="5"/>
        <v>none</v>
      </c>
      <c r="N765" s="115">
        <f>LEN(Tableau13[[#This Row],[LABEL]])</f>
        <v>30</v>
      </c>
      <c r="O765" s="115">
        <v>15</v>
      </c>
      <c r="P765" s="115" t="e">
        <f>ROUND(Tableau13[[#This Row],[LEN]]*#REF!+#REF!,0)</f>
        <v>#REF!</v>
      </c>
    </row>
    <row r="766" spans="1:16" s="273" customFormat="1" x14ac:dyDescent="0.25">
      <c r="A766" s="330" t="s">
        <v>295</v>
      </c>
      <c r="B766" s="331" t="s">
        <v>208</v>
      </c>
      <c r="C766" s="332" t="s">
        <v>10</v>
      </c>
      <c r="D766" s="333" t="s">
        <v>28</v>
      </c>
      <c r="E766" s="332" t="s">
        <v>673</v>
      </c>
      <c r="F766" s="332" t="s">
        <v>673</v>
      </c>
      <c r="G766" s="333" t="s">
        <v>68</v>
      </c>
      <c r="H766" s="333" t="str">
        <f>IFERROR(IF(SEARCH(".00.00.00.00.00",Tableau13[[#This Row],[name]],1)=7,"Division",""),"")</f>
        <v>Division</v>
      </c>
      <c r="I766" s="332"/>
      <c r="J766" s="334" t="s">
        <v>719</v>
      </c>
      <c r="K766" s="335">
        <f>ROUND(Tableau13[[#This Row],[LEN]]*7.27,0)</f>
        <v>109</v>
      </c>
      <c r="L766" s="335">
        <v>15</v>
      </c>
      <c r="M766" s="336" t="str">
        <f t="shared" si="5"/>
        <v>new</v>
      </c>
      <c r="N766" s="335">
        <f>LEN(Tableau13[[#This Row],[LABEL]])</f>
        <v>15</v>
      </c>
      <c r="O766" s="335">
        <v>15</v>
      </c>
      <c r="P766" s="335" t="e">
        <f>ROUND(Tableau13[[#This Row],[LEN]]*#REF!+#REF!,0)</f>
        <v>#REF!</v>
      </c>
    </row>
    <row r="767" spans="1:16" s="97" customFormat="1" x14ac:dyDescent="0.25">
      <c r="A767" s="41" t="s">
        <v>1554</v>
      </c>
      <c r="B767" s="42" t="s">
        <v>295</v>
      </c>
      <c r="C767" s="43" t="s">
        <v>849</v>
      </c>
      <c r="D767" s="74" t="s">
        <v>28</v>
      </c>
      <c r="E767" s="43" t="s">
        <v>667</v>
      </c>
      <c r="F767" s="43" t="s">
        <v>840</v>
      </c>
      <c r="G767" s="74" t="s">
        <v>68</v>
      </c>
      <c r="H767" s="74" t="s">
        <v>655</v>
      </c>
      <c r="I767" s="43"/>
      <c r="J767" s="44" t="s">
        <v>708</v>
      </c>
      <c r="K767" s="115">
        <f>ROUND(Tableau13[[#This Row],[LEN]]*7.27,0)</f>
        <v>80</v>
      </c>
      <c r="L767" s="115">
        <v>15</v>
      </c>
      <c r="M767" s="132" t="str">
        <f t="shared" si="5"/>
        <v>none</v>
      </c>
      <c r="N767" s="115">
        <f>LEN(Tableau13[[#This Row],[LABEL]])</f>
        <v>11</v>
      </c>
      <c r="O767" s="115">
        <v>15</v>
      </c>
      <c r="P767" s="115" t="e">
        <f>ROUND(Tableau13[[#This Row],[LEN]]*#REF!+#REF!,0)</f>
        <v>#REF!</v>
      </c>
    </row>
    <row r="768" spans="1:16" s="97" customFormat="1" x14ac:dyDescent="0.25">
      <c r="A768" s="45" t="s">
        <v>1557</v>
      </c>
      <c r="B768" s="46" t="s">
        <v>1554</v>
      </c>
      <c r="C768" s="47" t="s">
        <v>112</v>
      </c>
      <c r="D768" s="75" t="s">
        <v>28</v>
      </c>
      <c r="E768" s="47" t="s">
        <v>667</v>
      </c>
      <c r="F768" s="47" t="s">
        <v>669</v>
      </c>
      <c r="G768" s="75" t="s">
        <v>68</v>
      </c>
      <c r="H768" s="75" t="s">
        <v>654</v>
      </c>
      <c r="I768" s="47"/>
      <c r="J768" s="48" t="s">
        <v>708</v>
      </c>
      <c r="K768" s="116">
        <f>ROUND(Tableau13[[#This Row],[LEN]]*7.27,0)</f>
        <v>167</v>
      </c>
      <c r="L768" s="116">
        <v>15</v>
      </c>
      <c r="M768" s="133" t="str">
        <f t="shared" si="5"/>
        <v>none</v>
      </c>
      <c r="N768" s="116">
        <f>LEN(Tableau13[[#This Row],[LABEL]])</f>
        <v>23</v>
      </c>
      <c r="O768" s="116">
        <v>15</v>
      </c>
      <c r="P768" s="116" t="e">
        <f>ROUND(Tableau13[[#This Row],[LEN]]*#REF!+#REF!,0)</f>
        <v>#REF!</v>
      </c>
    </row>
    <row r="769" spans="1:16" s="97" customFormat="1" x14ac:dyDescent="0.25">
      <c r="A769" s="45" t="s">
        <v>1558</v>
      </c>
      <c r="B769" s="46" t="s">
        <v>1554</v>
      </c>
      <c r="C769" s="47" t="s">
        <v>113</v>
      </c>
      <c r="D769" s="75" t="s">
        <v>28</v>
      </c>
      <c r="E769" s="47" t="s">
        <v>667</v>
      </c>
      <c r="F769" s="47" t="s">
        <v>669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ROUND(Tableau13[[#This Row],[LEN]]*7.27,0)</f>
        <v>233</v>
      </c>
      <c r="L769" s="116">
        <v>15</v>
      </c>
      <c r="M769" s="133" t="str">
        <f t="shared" si="5"/>
        <v>none</v>
      </c>
      <c r="N769" s="116">
        <f>LEN(Tableau13[[#This Row],[LABEL]])</f>
        <v>32</v>
      </c>
      <c r="O769" s="116">
        <v>15</v>
      </c>
      <c r="P769" s="116" t="e">
        <f>ROUND(Tableau13[[#This Row],[LEN]]*#REF!+#REF!,0)</f>
        <v>#REF!</v>
      </c>
    </row>
    <row r="770" spans="1:16" s="97" customFormat="1" x14ac:dyDescent="0.25">
      <c r="A770" s="41" t="s">
        <v>1555</v>
      </c>
      <c r="B770" s="42" t="s">
        <v>295</v>
      </c>
      <c r="C770" s="43" t="s">
        <v>1559</v>
      </c>
      <c r="D770" s="74" t="s">
        <v>28</v>
      </c>
      <c r="E770" s="43" t="s">
        <v>673</v>
      </c>
      <c r="F770" s="43" t="s">
        <v>1177</v>
      </c>
      <c r="G770" s="74" t="s">
        <v>68</v>
      </c>
      <c r="H770" s="74" t="s">
        <v>654</v>
      </c>
      <c r="I770" s="43"/>
      <c r="J770" s="44" t="s">
        <v>708</v>
      </c>
      <c r="K770" s="115">
        <f>ROUND(Tableau13[[#This Row],[LEN]]*7.27,0)</f>
        <v>473</v>
      </c>
      <c r="L770" s="115">
        <v>15</v>
      </c>
      <c r="M770" s="132" t="str">
        <f t="shared" si="5"/>
        <v>none</v>
      </c>
      <c r="N770" s="115">
        <f>LEN(Tableau13[[#This Row],[LABEL]])</f>
        <v>65</v>
      </c>
      <c r="O770" s="115">
        <v>15</v>
      </c>
      <c r="P770" s="115" t="e">
        <f>ROUND(Tableau13[[#This Row],[LEN]]*#REF!+#REF!,0)</f>
        <v>#REF!</v>
      </c>
    </row>
    <row r="771" spans="1:16" s="97" customFormat="1" x14ac:dyDescent="0.25">
      <c r="A771" s="41" t="s">
        <v>1556</v>
      </c>
      <c r="B771" s="42" t="s">
        <v>295</v>
      </c>
      <c r="C771" s="43" t="s">
        <v>1560</v>
      </c>
      <c r="D771" s="74" t="s">
        <v>28</v>
      </c>
      <c r="E771" s="43" t="s">
        <v>673</v>
      </c>
      <c r="F771" s="43" t="s">
        <v>1177</v>
      </c>
      <c r="G771" s="74" t="s">
        <v>68</v>
      </c>
      <c r="H771" s="74" t="s">
        <v>654</v>
      </c>
      <c r="I771" s="43"/>
      <c r="J771" s="44" t="s">
        <v>708</v>
      </c>
      <c r="K771" s="115">
        <f>ROUND(Tableau13[[#This Row],[LEN]]*7.27,0)</f>
        <v>225</v>
      </c>
      <c r="L771" s="115">
        <v>15</v>
      </c>
      <c r="M771" s="132" t="str">
        <f t="shared" si="5"/>
        <v>none</v>
      </c>
      <c r="N771" s="115">
        <f>LEN(Tableau13[[#This Row],[LABEL]])</f>
        <v>31</v>
      </c>
      <c r="O771" s="115">
        <v>15</v>
      </c>
      <c r="P771" s="115" t="e">
        <f>ROUND(Tableau13[[#This Row],[LEN]]*#REF!+#REF!,0)</f>
        <v>#REF!</v>
      </c>
    </row>
    <row r="772" spans="1:16" s="273" customFormat="1" x14ac:dyDescent="0.25">
      <c r="A772" s="330" t="s">
        <v>296</v>
      </c>
      <c r="B772" s="331" t="s">
        <v>208</v>
      </c>
      <c r="C772" s="332" t="s">
        <v>11</v>
      </c>
      <c r="D772" s="333" t="s">
        <v>28</v>
      </c>
      <c r="E772" s="332" t="s">
        <v>674</v>
      </c>
      <c r="F772" s="332" t="s">
        <v>674</v>
      </c>
      <c r="G772" s="333" t="s">
        <v>68</v>
      </c>
      <c r="H772" s="333" t="str">
        <f>IFERROR(IF(SEARCH(".00.00.00.00.00",Tableau13[[#This Row],[name]],1)=7,"Division",""),"")</f>
        <v>Division</v>
      </c>
      <c r="I772" s="332"/>
      <c r="J772" s="334" t="s">
        <v>720</v>
      </c>
      <c r="K772" s="335">
        <f>ROUND(Tableau13[[#This Row],[LEN]]*7.27,0)</f>
        <v>51</v>
      </c>
      <c r="L772" s="335">
        <v>15</v>
      </c>
      <c r="M772" s="336" t="str">
        <f t="shared" si="5"/>
        <v>new</v>
      </c>
      <c r="N772" s="335">
        <f>LEN(Tableau13[[#This Row],[LABEL]])</f>
        <v>7</v>
      </c>
      <c r="O772" s="335">
        <v>15</v>
      </c>
      <c r="P772" s="335" t="e">
        <f>ROUND(Tableau13[[#This Row],[LEN]]*#REF!+#REF!,0)</f>
        <v>#REF!</v>
      </c>
    </row>
    <row r="773" spans="1:16" s="97" customFormat="1" x14ac:dyDescent="0.25">
      <c r="A773" s="41" t="s">
        <v>1561</v>
      </c>
      <c r="B773" s="42" t="s">
        <v>296</v>
      </c>
      <c r="C773" s="43" t="s">
        <v>1564</v>
      </c>
      <c r="D773" s="74" t="s">
        <v>28</v>
      </c>
      <c r="E773" s="43" t="s">
        <v>674</v>
      </c>
      <c r="F773" s="43" t="s">
        <v>1177</v>
      </c>
      <c r="G773" s="74" t="s">
        <v>68</v>
      </c>
      <c r="H773" s="74" t="s">
        <v>656</v>
      </c>
      <c r="I773" s="43"/>
      <c r="J773" s="44" t="s">
        <v>708</v>
      </c>
      <c r="K773" s="115">
        <f>ROUND(Tableau13[[#This Row],[LEN]]*7.27,0)</f>
        <v>218</v>
      </c>
      <c r="L773" s="115">
        <v>15</v>
      </c>
      <c r="M773" s="132" t="str">
        <f t="shared" si="5"/>
        <v>none</v>
      </c>
      <c r="N773" s="115">
        <f>LEN(Tableau13[[#This Row],[LABEL]])</f>
        <v>30</v>
      </c>
      <c r="O773" s="115">
        <v>15</v>
      </c>
      <c r="P773" s="115" t="e">
        <f>ROUND(Tableau13[[#This Row],[LEN]]*#REF!+#REF!,0)</f>
        <v>#REF!</v>
      </c>
    </row>
    <row r="774" spans="1:16" s="97" customFormat="1" x14ac:dyDescent="0.25">
      <c r="A774" s="41" t="s">
        <v>1562</v>
      </c>
      <c r="B774" s="42" t="s">
        <v>296</v>
      </c>
      <c r="C774" s="43" t="s">
        <v>1565</v>
      </c>
      <c r="D774" s="74" t="s">
        <v>1566</v>
      </c>
      <c r="E774" s="43" t="s">
        <v>674</v>
      </c>
      <c r="F774" s="43" t="s">
        <v>1177</v>
      </c>
      <c r="G774" s="74" t="s">
        <v>68</v>
      </c>
      <c r="H774" s="74" t="s">
        <v>656</v>
      </c>
      <c r="I774" s="43"/>
      <c r="J774" s="44" t="s">
        <v>708</v>
      </c>
      <c r="K774" s="115">
        <f>ROUND(Tableau13[[#This Row],[LEN]]*7.27,0)</f>
        <v>211</v>
      </c>
      <c r="L774" s="115">
        <v>15</v>
      </c>
      <c r="M774" s="132" t="str">
        <f t="shared" si="5"/>
        <v>none</v>
      </c>
      <c r="N774" s="115">
        <f>LEN(Tableau13[[#This Row],[LABEL]])</f>
        <v>29</v>
      </c>
      <c r="O774" s="115">
        <v>15</v>
      </c>
      <c r="P774" s="115" t="e">
        <f>ROUND(Tableau13[[#This Row],[LEN]]*#REF!+#REF!,0)</f>
        <v>#REF!</v>
      </c>
    </row>
    <row r="775" spans="1:16" s="97" customFormat="1" x14ac:dyDescent="0.25">
      <c r="A775" s="41" t="s">
        <v>1563</v>
      </c>
      <c r="B775" s="42" t="s">
        <v>296</v>
      </c>
      <c r="C775" s="43" t="s">
        <v>849</v>
      </c>
      <c r="D775" s="74" t="s">
        <v>28</v>
      </c>
      <c r="E775" s="43" t="s">
        <v>667</v>
      </c>
      <c r="F775" s="43" t="s">
        <v>840</v>
      </c>
      <c r="G775" s="74" t="s">
        <v>68</v>
      </c>
      <c r="H775" s="74" t="s">
        <v>655</v>
      </c>
      <c r="I775" s="43"/>
      <c r="J775" s="44" t="s">
        <v>708</v>
      </c>
      <c r="K775" s="115">
        <f>ROUND(Tableau13[[#This Row],[LEN]]*7.27,0)</f>
        <v>80</v>
      </c>
      <c r="L775" s="115">
        <v>15</v>
      </c>
      <c r="M775" s="132" t="str">
        <f t="shared" si="5"/>
        <v>none</v>
      </c>
      <c r="N775" s="115">
        <f>LEN(Tableau13[[#This Row],[LABEL]])</f>
        <v>11</v>
      </c>
      <c r="O775" s="115">
        <v>15</v>
      </c>
      <c r="P775" s="115" t="e">
        <f>ROUND(Tableau13[[#This Row],[LEN]]*#REF!+#REF!,0)</f>
        <v>#REF!</v>
      </c>
    </row>
    <row r="776" spans="1:16" s="97" customFormat="1" x14ac:dyDescent="0.25">
      <c r="A776" s="45" t="s">
        <v>1567</v>
      </c>
      <c r="B776" s="46" t="s">
        <v>1563</v>
      </c>
      <c r="C776" s="47" t="s">
        <v>112</v>
      </c>
      <c r="D776" s="75" t="s">
        <v>28</v>
      </c>
      <c r="E776" s="47" t="s">
        <v>667</v>
      </c>
      <c r="F776" s="47" t="s">
        <v>669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ROUND(Tableau13[[#This Row],[LEN]]*7.27,0)</f>
        <v>167</v>
      </c>
      <c r="L776" s="116">
        <v>15</v>
      </c>
      <c r="M776" s="133" t="str">
        <f t="shared" si="5"/>
        <v>none</v>
      </c>
      <c r="N776" s="116">
        <f>LEN(Tableau13[[#This Row],[LABEL]])</f>
        <v>23</v>
      </c>
      <c r="O776" s="116">
        <v>15</v>
      </c>
      <c r="P776" s="116" t="e">
        <f>ROUND(Tableau13[[#This Row],[LEN]]*#REF!+#REF!,0)</f>
        <v>#REF!</v>
      </c>
    </row>
    <row r="777" spans="1:16" s="97" customFormat="1" x14ac:dyDescent="0.25">
      <c r="A777" s="45" t="s">
        <v>1568</v>
      </c>
      <c r="B777" s="46" t="s">
        <v>1563</v>
      </c>
      <c r="C777" s="47" t="s">
        <v>113</v>
      </c>
      <c r="D777" s="75" t="s">
        <v>28</v>
      </c>
      <c r="E777" s="47" t="s">
        <v>667</v>
      </c>
      <c r="F777" s="47" t="s">
        <v>669</v>
      </c>
      <c r="G777" s="75" t="s">
        <v>68</v>
      </c>
      <c r="H777" s="75" t="s">
        <v>654</v>
      </c>
      <c r="I777" s="47"/>
      <c r="J777" s="48" t="s">
        <v>708</v>
      </c>
      <c r="K777" s="116">
        <f>ROUND(Tableau13[[#This Row],[LEN]]*7.27,0)</f>
        <v>233</v>
      </c>
      <c r="L777" s="116">
        <v>15</v>
      </c>
      <c r="M777" s="133" t="str">
        <f t="shared" si="5"/>
        <v>none</v>
      </c>
      <c r="N777" s="116">
        <f>LEN(Tableau13[[#This Row],[LABEL]])</f>
        <v>32</v>
      </c>
      <c r="O777" s="116">
        <v>15</v>
      </c>
      <c r="P777" s="116" t="e">
        <f>ROUND(Tableau13[[#This Row],[LEN]]*#REF!+#REF!,0)</f>
        <v>#REF!</v>
      </c>
    </row>
    <row r="778" spans="1:16" s="273" customFormat="1" x14ac:dyDescent="0.25">
      <c r="A778" s="330" t="s">
        <v>297</v>
      </c>
      <c r="B778" s="331" t="s">
        <v>208</v>
      </c>
      <c r="C778" s="332" t="s">
        <v>12</v>
      </c>
      <c r="D778" s="333" t="s">
        <v>28</v>
      </c>
      <c r="E778" s="332" t="s">
        <v>675</v>
      </c>
      <c r="F778" s="332" t="s">
        <v>675</v>
      </c>
      <c r="G778" s="333" t="s">
        <v>68</v>
      </c>
      <c r="H778" s="333" t="str">
        <f>IFERROR(IF(SEARCH(".00.00.00.00.00",Tableau13[[#This Row],[name]],1)=7,"Division",""),"")</f>
        <v>Division</v>
      </c>
      <c r="I778" s="332"/>
      <c r="J778" s="334" t="s">
        <v>721</v>
      </c>
      <c r="K778" s="335">
        <f>ROUND(Tableau13[[#This Row],[LEN]]*7.27,0)</f>
        <v>15</v>
      </c>
      <c r="L778" s="335">
        <v>15</v>
      </c>
      <c r="M778" s="336" t="str">
        <f t="shared" si="5"/>
        <v>new</v>
      </c>
      <c r="N778" s="335">
        <f>LEN(Tableau13[[#This Row],[LABEL]])</f>
        <v>2</v>
      </c>
      <c r="O778" s="335">
        <v>15</v>
      </c>
      <c r="P778" s="335" t="e">
        <f>ROUND(Tableau13[[#This Row],[LEN]]*#REF!+#REF!,0)</f>
        <v>#REF!</v>
      </c>
    </row>
    <row r="779" spans="1:16" s="97" customFormat="1" x14ac:dyDescent="0.25">
      <c r="A779" s="41" t="s">
        <v>1569</v>
      </c>
      <c r="B779" s="42" t="s">
        <v>297</v>
      </c>
      <c r="C779" s="43" t="s">
        <v>1620</v>
      </c>
      <c r="D779" s="74" t="s">
        <v>28</v>
      </c>
      <c r="E779" s="43" t="s">
        <v>675</v>
      </c>
      <c r="F779" s="43" t="s">
        <v>678</v>
      </c>
      <c r="G779" s="74" t="s">
        <v>68</v>
      </c>
      <c r="H779" s="74" t="s">
        <v>655</v>
      </c>
      <c r="I779" s="43"/>
      <c r="J779" s="44" t="s">
        <v>708</v>
      </c>
      <c r="K779" s="115">
        <f>ROUND(Tableau13[[#This Row],[LEN]]*7.27,0)</f>
        <v>262</v>
      </c>
      <c r="L779" s="115">
        <v>15</v>
      </c>
      <c r="M779" s="132" t="str">
        <f t="shared" si="5"/>
        <v>none</v>
      </c>
      <c r="N779" s="115">
        <f>LEN(Tableau13[[#This Row],[LABEL]])</f>
        <v>36</v>
      </c>
      <c r="O779" s="115">
        <v>15</v>
      </c>
      <c r="P779" s="115" t="e">
        <f>ROUND(Tableau13[[#This Row],[LEN]]*#REF!+#REF!,0)</f>
        <v>#REF!</v>
      </c>
    </row>
    <row r="780" spans="1:16" s="97" customFormat="1" x14ac:dyDescent="0.25">
      <c r="A780" s="45" t="s">
        <v>1574</v>
      </c>
      <c r="B780" s="46" t="s">
        <v>1569</v>
      </c>
      <c r="C780" s="47" t="s">
        <v>1467</v>
      </c>
      <c r="D780" s="75" t="s">
        <v>28</v>
      </c>
      <c r="E780" s="47" t="s">
        <v>675</v>
      </c>
      <c r="F780" s="47" t="s">
        <v>678</v>
      </c>
      <c r="G780" s="75" t="s">
        <v>68</v>
      </c>
      <c r="H780" s="75" t="s">
        <v>656</v>
      </c>
      <c r="I780" s="47"/>
      <c r="J780" s="48" t="s">
        <v>708</v>
      </c>
      <c r="K780" s="116">
        <f>ROUND(Tableau13[[#This Row],[LEN]]*7.27,0)</f>
        <v>102</v>
      </c>
      <c r="L780" s="116">
        <v>15</v>
      </c>
      <c r="M780" s="133" t="str">
        <f t="shared" si="5"/>
        <v>none</v>
      </c>
      <c r="N780" s="116">
        <f>LEN(Tableau13[[#This Row],[LABEL]])</f>
        <v>14</v>
      </c>
      <c r="O780" s="116">
        <v>15</v>
      </c>
      <c r="P780" s="116" t="e">
        <f>ROUND(Tableau13[[#This Row],[LEN]]*#REF!+#REF!,0)</f>
        <v>#REF!</v>
      </c>
    </row>
    <row r="781" spans="1:16" s="97" customFormat="1" x14ac:dyDescent="0.25">
      <c r="A781" s="45" t="s">
        <v>1575</v>
      </c>
      <c r="B781" s="46" t="s">
        <v>1569</v>
      </c>
      <c r="C781" s="47" t="s">
        <v>1573</v>
      </c>
      <c r="D781" s="75" t="s">
        <v>28</v>
      </c>
      <c r="E781" s="47" t="s">
        <v>675</v>
      </c>
      <c r="F781" s="47" t="s">
        <v>678</v>
      </c>
      <c r="G781" s="75" t="s">
        <v>68</v>
      </c>
      <c r="H781" s="75" t="s">
        <v>656</v>
      </c>
      <c r="I781" s="47"/>
      <c r="J781" s="48" t="s">
        <v>708</v>
      </c>
      <c r="K781" s="116">
        <f>ROUND(Tableau13[[#This Row],[LEN]]*7.27,0)</f>
        <v>422</v>
      </c>
      <c r="L781" s="116">
        <v>15</v>
      </c>
      <c r="M781" s="133" t="str">
        <f t="shared" si="5"/>
        <v>none</v>
      </c>
      <c r="N781" s="116">
        <f>LEN(Tableau13[[#This Row],[LABEL]])</f>
        <v>58</v>
      </c>
      <c r="O781" s="116">
        <v>15</v>
      </c>
      <c r="P781" s="116" t="e">
        <f>ROUND(Tableau13[[#This Row],[LEN]]*#REF!+#REF!,0)</f>
        <v>#REF!</v>
      </c>
    </row>
    <row r="782" spans="1:16" s="97" customFormat="1" x14ac:dyDescent="0.25">
      <c r="A782" s="45" t="s">
        <v>1576</v>
      </c>
      <c r="B782" s="46" t="s">
        <v>1569</v>
      </c>
      <c r="C782" s="47" t="s">
        <v>1468</v>
      </c>
      <c r="D782" s="75" t="s">
        <v>28</v>
      </c>
      <c r="E782" s="47" t="s">
        <v>675</v>
      </c>
      <c r="F782" s="47" t="s">
        <v>678</v>
      </c>
      <c r="G782" s="75" t="s">
        <v>68</v>
      </c>
      <c r="H782" s="75" t="s">
        <v>656</v>
      </c>
      <c r="I782" s="47"/>
      <c r="J782" s="48" t="s">
        <v>708</v>
      </c>
      <c r="K782" s="116">
        <f>ROUND(Tableau13[[#This Row],[LEN]]*7.27,0)</f>
        <v>167</v>
      </c>
      <c r="L782" s="116">
        <v>15</v>
      </c>
      <c r="M782" s="133" t="str">
        <f t="shared" si="5"/>
        <v>none</v>
      </c>
      <c r="N782" s="116">
        <f>LEN(Tableau13[[#This Row],[LABEL]])</f>
        <v>23</v>
      </c>
      <c r="O782" s="116">
        <v>15</v>
      </c>
      <c r="P782" s="116" t="e">
        <f>ROUND(Tableau13[[#This Row],[LEN]]*#REF!+#REF!,0)</f>
        <v>#REF!</v>
      </c>
    </row>
    <row r="783" spans="1:16" s="97" customFormat="1" x14ac:dyDescent="0.25">
      <c r="A783" s="41" t="s">
        <v>1570</v>
      </c>
      <c r="B783" s="42" t="s">
        <v>297</v>
      </c>
      <c r="C783" s="43" t="s">
        <v>849</v>
      </c>
      <c r="D783" s="74" t="s">
        <v>28</v>
      </c>
      <c r="E783" s="43" t="s">
        <v>667</v>
      </c>
      <c r="F783" s="43" t="s">
        <v>840</v>
      </c>
      <c r="G783" s="74" t="s">
        <v>68</v>
      </c>
      <c r="H783" s="74" t="s">
        <v>655</v>
      </c>
      <c r="I783" s="43"/>
      <c r="J783" s="44" t="s">
        <v>708</v>
      </c>
      <c r="K783" s="115">
        <f>ROUND(Tableau13[[#This Row],[LEN]]*7.27,0)</f>
        <v>80</v>
      </c>
      <c r="L783" s="115">
        <v>15</v>
      </c>
      <c r="M783" s="132" t="str">
        <f t="shared" si="5"/>
        <v>none</v>
      </c>
      <c r="N783" s="115">
        <f>LEN(Tableau13[[#This Row],[LABEL]])</f>
        <v>11</v>
      </c>
      <c r="O783" s="115">
        <v>15</v>
      </c>
      <c r="P783" s="115" t="e">
        <f>ROUND(Tableau13[[#This Row],[LEN]]*#REF!+#REF!,0)</f>
        <v>#REF!</v>
      </c>
    </row>
    <row r="784" spans="1:16" s="97" customFormat="1" x14ac:dyDescent="0.25">
      <c r="A784" s="45" t="s">
        <v>1577</v>
      </c>
      <c r="B784" s="46" t="s">
        <v>1570</v>
      </c>
      <c r="C784" s="47" t="s">
        <v>112</v>
      </c>
      <c r="D784" s="75" t="s">
        <v>28</v>
      </c>
      <c r="E784" s="47" t="s">
        <v>667</v>
      </c>
      <c r="F784" s="47" t="s">
        <v>669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ROUND(Tableau13[[#This Row],[LEN]]*7.27,0)</f>
        <v>167</v>
      </c>
      <c r="L784" s="116">
        <v>15</v>
      </c>
      <c r="M784" s="133" t="str">
        <f t="shared" si="5"/>
        <v>none</v>
      </c>
      <c r="N784" s="116">
        <f>LEN(Tableau13[[#This Row],[LABEL]])</f>
        <v>23</v>
      </c>
      <c r="O784" s="116">
        <v>15</v>
      </c>
      <c r="P784" s="116" t="e">
        <f>ROUND(Tableau13[[#This Row],[LEN]]*#REF!+#REF!,0)</f>
        <v>#REF!</v>
      </c>
    </row>
    <row r="785" spans="1:16" s="97" customFormat="1" x14ac:dyDescent="0.25">
      <c r="A785" s="45" t="s">
        <v>1578</v>
      </c>
      <c r="B785" s="46" t="s">
        <v>1570</v>
      </c>
      <c r="C785" s="47" t="s">
        <v>113</v>
      </c>
      <c r="D785" s="75" t="s">
        <v>28</v>
      </c>
      <c r="E785" s="47" t="s">
        <v>667</v>
      </c>
      <c r="F785" s="47" t="s">
        <v>669</v>
      </c>
      <c r="G785" s="75" t="s">
        <v>68</v>
      </c>
      <c r="H785" s="75" t="s">
        <v>654</v>
      </c>
      <c r="I785" s="47"/>
      <c r="J785" s="48" t="s">
        <v>708</v>
      </c>
      <c r="K785" s="116">
        <f>ROUND(Tableau13[[#This Row],[LEN]]*7.27,0)</f>
        <v>233</v>
      </c>
      <c r="L785" s="116">
        <v>15</v>
      </c>
      <c r="M785" s="133" t="str">
        <f t="shared" si="5"/>
        <v>none</v>
      </c>
      <c r="N785" s="116">
        <f>LEN(Tableau13[[#This Row],[LABEL]])</f>
        <v>32</v>
      </c>
      <c r="O785" s="116">
        <v>15</v>
      </c>
      <c r="P785" s="116" t="e">
        <f>ROUND(Tableau13[[#This Row],[LEN]]*#REF!+#REF!,0)</f>
        <v>#REF!</v>
      </c>
    </row>
    <row r="786" spans="1:16" s="97" customFormat="1" x14ac:dyDescent="0.25">
      <c r="A786" s="41" t="s">
        <v>1571</v>
      </c>
      <c r="B786" s="42" t="s">
        <v>297</v>
      </c>
      <c r="C786" s="43" t="s">
        <v>1621</v>
      </c>
      <c r="D786" s="74" t="s">
        <v>28</v>
      </c>
      <c r="E786" s="43" t="s">
        <v>675</v>
      </c>
      <c r="F786" s="43" t="s">
        <v>678</v>
      </c>
      <c r="G786" s="74" t="s">
        <v>68</v>
      </c>
      <c r="H786" s="74" t="s">
        <v>655</v>
      </c>
      <c r="I786" s="43"/>
      <c r="J786" s="44" t="s">
        <v>708</v>
      </c>
      <c r="K786" s="115">
        <f>ROUND(Tableau13[[#This Row],[LEN]]*7.27,0)</f>
        <v>262</v>
      </c>
      <c r="L786" s="115">
        <v>15</v>
      </c>
      <c r="M786" s="132" t="str">
        <f t="shared" si="5"/>
        <v>none</v>
      </c>
      <c r="N786" s="115">
        <f>LEN(Tableau13[[#This Row],[LABEL]])</f>
        <v>36</v>
      </c>
      <c r="O786" s="115">
        <v>15</v>
      </c>
      <c r="P786" s="115" t="e">
        <f>ROUND(Tableau13[[#This Row],[LEN]]*#REF!+#REF!,0)</f>
        <v>#REF!</v>
      </c>
    </row>
    <row r="787" spans="1:16" s="97" customFormat="1" x14ac:dyDescent="0.25">
      <c r="A787" s="45" t="s">
        <v>1579</v>
      </c>
      <c r="B787" s="46" t="s">
        <v>1571</v>
      </c>
      <c r="C787" s="47" t="s">
        <v>1469</v>
      </c>
      <c r="D787" s="75" t="s">
        <v>28</v>
      </c>
      <c r="E787" s="47" t="s">
        <v>675</v>
      </c>
      <c r="F787" s="47" t="s">
        <v>678</v>
      </c>
      <c r="G787" s="75" t="s">
        <v>68</v>
      </c>
      <c r="H787" s="75" t="s">
        <v>654</v>
      </c>
      <c r="I787" s="47"/>
      <c r="J787" s="48" t="s">
        <v>708</v>
      </c>
      <c r="K787" s="116">
        <f>ROUND(Tableau13[[#This Row],[LEN]]*7.27,0)</f>
        <v>291</v>
      </c>
      <c r="L787" s="116">
        <v>15</v>
      </c>
      <c r="M787" s="133" t="str">
        <f t="shared" si="5"/>
        <v>none</v>
      </c>
      <c r="N787" s="116">
        <f>LEN(Tableau13[[#This Row],[LABEL]])</f>
        <v>40</v>
      </c>
      <c r="O787" s="116">
        <v>15</v>
      </c>
      <c r="P787" s="116" t="e">
        <f>ROUND(Tableau13[[#This Row],[LEN]]*#REF!+#REF!,0)</f>
        <v>#REF!</v>
      </c>
    </row>
    <row r="788" spans="1:16" s="97" customFormat="1" x14ac:dyDescent="0.25">
      <c r="A788" s="45" t="s">
        <v>1580</v>
      </c>
      <c r="B788" s="46" t="s">
        <v>1571</v>
      </c>
      <c r="C788" s="47" t="s">
        <v>1470</v>
      </c>
      <c r="D788" s="75" t="s">
        <v>28</v>
      </c>
      <c r="E788" s="47" t="s">
        <v>675</v>
      </c>
      <c r="F788" s="47" t="s">
        <v>678</v>
      </c>
      <c r="G788" s="75" t="s">
        <v>68</v>
      </c>
      <c r="H788" s="75" t="s">
        <v>656</v>
      </c>
      <c r="I788" s="47"/>
      <c r="J788" s="48" t="s">
        <v>708</v>
      </c>
      <c r="K788" s="116">
        <f>ROUND(Tableau13[[#This Row],[LEN]]*7.27,0)</f>
        <v>313</v>
      </c>
      <c r="L788" s="116">
        <v>15</v>
      </c>
      <c r="M788" s="133" t="str">
        <f t="shared" si="5"/>
        <v>none</v>
      </c>
      <c r="N788" s="116">
        <f>LEN(Tableau13[[#This Row],[LABEL]])</f>
        <v>43</v>
      </c>
      <c r="O788" s="116">
        <v>15</v>
      </c>
      <c r="P788" s="116" t="e">
        <f>ROUND(Tableau13[[#This Row],[LEN]]*#REF!+#REF!,0)</f>
        <v>#REF!</v>
      </c>
    </row>
    <row r="789" spans="1:16" s="97" customFormat="1" x14ac:dyDescent="0.25">
      <c r="A789" s="41" t="s">
        <v>1572</v>
      </c>
      <c r="B789" s="42" t="s">
        <v>297</v>
      </c>
      <c r="C789" s="43" t="s">
        <v>1462</v>
      </c>
      <c r="D789" s="74" t="s">
        <v>28</v>
      </c>
      <c r="E789" s="43" t="s">
        <v>675</v>
      </c>
      <c r="F789" s="43" t="s">
        <v>679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ROUND(Tableau13[[#This Row],[LEN]]*7.27,0)</f>
        <v>218</v>
      </c>
      <c r="L789" s="115">
        <v>15</v>
      </c>
      <c r="M789" s="132" t="str">
        <f t="shared" si="5"/>
        <v>none</v>
      </c>
      <c r="N789" s="115">
        <f>LEN(Tableau13[[#This Row],[LABEL]])</f>
        <v>30</v>
      </c>
      <c r="O789" s="115">
        <v>15</v>
      </c>
      <c r="P789" s="115" t="e">
        <f>ROUND(Tableau13[[#This Row],[LEN]]*#REF!+#REF!,0)</f>
        <v>#REF!</v>
      </c>
    </row>
    <row r="790" spans="1:16" s="273" customFormat="1" x14ac:dyDescent="0.25">
      <c r="A790" s="330" t="s">
        <v>298</v>
      </c>
      <c r="B790" s="331" t="s">
        <v>208</v>
      </c>
      <c r="C790" s="332" t="s">
        <v>71</v>
      </c>
      <c r="D790" s="333" t="s">
        <v>28</v>
      </c>
      <c r="E790" s="332" t="s">
        <v>676</v>
      </c>
      <c r="F790" s="332" t="s">
        <v>676</v>
      </c>
      <c r="G790" s="333" t="s">
        <v>68</v>
      </c>
      <c r="H790" s="333" t="str">
        <f>IFERROR(IF(SEARCH(".00.00.00.00.00",Tableau13[[#This Row],[name]],1)=7,"Division",""),"")</f>
        <v>Division</v>
      </c>
      <c r="I790" s="332"/>
      <c r="J790" s="334" t="s">
        <v>722</v>
      </c>
      <c r="K790" s="335">
        <f>ROUND(Tableau13[[#This Row],[LEN]]*7.27,0)</f>
        <v>29</v>
      </c>
      <c r="L790" s="335">
        <v>15</v>
      </c>
      <c r="M790" s="336" t="str">
        <f t="shared" si="5"/>
        <v>new</v>
      </c>
      <c r="N790" s="335">
        <f>LEN(Tableau13[[#This Row],[LABEL]])</f>
        <v>4</v>
      </c>
      <c r="O790" s="335">
        <v>15</v>
      </c>
      <c r="P790" s="335" t="e">
        <f>ROUND(Tableau13[[#This Row],[LEN]]*#REF!+#REF!,0)</f>
        <v>#REF!</v>
      </c>
    </row>
    <row r="791" spans="1:16" s="97" customFormat="1" x14ac:dyDescent="0.25">
      <c r="A791" s="41" t="s">
        <v>1581</v>
      </c>
      <c r="B791" s="42" t="s">
        <v>298</v>
      </c>
      <c r="C791" s="43" t="s">
        <v>1476</v>
      </c>
      <c r="D791" s="74" t="s">
        <v>1477</v>
      </c>
      <c r="E791" s="43" t="s">
        <v>676</v>
      </c>
      <c r="F791" s="43" t="s">
        <v>1177</v>
      </c>
      <c r="G791" s="74" t="s">
        <v>68</v>
      </c>
      <c r="H791" s="74" t="s">
        <v>656</v>
      </c>
      <c r="I791" s="43"/>
      <c r="J791" s="44" t="s">
        <v>708</v>
      </c>
      <c r="K791" s="115">
        <f>ROUND(Tableau13[[#This Row],[LEN]]*7.27,0)</f>
        <v>371</v>
      </c>
      <c r="L791" s="115">
        <v>15</v>
      </c>
      <c r="M791" s="132" t="str">
        <f t="shared" si="5"/>
        <v>none</v>
      </c>
      <c r="N791" s="115">
        <f>LEN(Tableau13[[#This Row],[LABEL]])</f>
        <v>51</v>
      </c>
      <c r="O791" s="115">
        <v>15</v>
      </c>
      <c r="P791" s="115" t="e">
        <f>ROUND(Tableau13[[#This Row],[LEN]]*#REF!+#REF!,0)</f>
        <v>#REF!</v>
      </c>
    </row>
    <row r="792" spans="1:16" s="97" customFormat="1" x14ac:dyDescent="0.25">
      <c r="A792" s="41" t="s">
        <v>1582</v>
      </c>
      <c r="B792" s="42" t="s">
        <v>298</v>
      </c>
      <c r="C792" s="43" t="s">
        <v>849</v>
      </c>
      <c r="D792" s="74" t="s">
        <v>28</v>
      </c>
      <c r="E792" s="43" t="s">
        <v>667</v>
      </c>
      <c r="F792" s="43" t="s">
        <v>840</v>
      </c>
      <c r="G792" s="74" t="s">
        <v>68</v>
      </c>
      <c r="H792" s="74" t="s">
        <v>655</v>
      </c>
      <c r="I792" s="43"/>
      <c r="J792" s="44" t="s">
        <v>708</v>
      </c>
      <c r="K792" s="115">
        <f>ROUND(Tableau13[[#This Row],[LEN]]*7.27,0)</f>
        <v>80</v>
      </c>
      <c r="L792" s="115">
        <v>15</v>
      </c>
      <c r="M792" s="132" t="str">
        <f t="shared" si="5"/>
        <v>none</v>
      </c>
      <c r="N792" s="115">
        <f>LEN(Tableau13[[#This Row],[LABEL]])</f>
        <v>11</v>
      </c>
      <c r="O792" s="115">
        <v>15</v>
      </c>
      <c r="P792" s="115" t="e">
        <f>ROUND(Tableau13[[#This Row],[LEN]]*#REF!+#REF!,0)</f>
        <v>#REF!</v>
      </c>
    </row>
    <row r="793" spans="1:16" s="97" customFormat="1" x14ac:dyDescent="0.25">
      <c r="A793" s="45" t="s">
        <v>1587</v>
      </c>
      <c r="B793" s="46" t="s">
        <v>1582</v>
      </c>
      <c r="C793" s="47" t="s">
        <v>112</v>
      </c>
      <c r="D793" s="75" t="s">
        <v>28</v>
      </c>
      <c r="E793" s="47" t="s">
        <v>667</v>
      </c>
      <c r="F793" s="47" t="s">
        <v>669</v>
      </c>
      <c r="G793" s="75" t="s">
        <v>68</v>
      </c>
      <c r="H793" s="75" t="s">
        <v>654</v>
      </c>
      <c r="I793" s="47"/>
      <c r="J793" s="48" t="s">
        <v>708</v>
      </c>
      <c r="K793" s="116">
        <f>ROUND(Tableau13[[#This Row],[LEN]]*7.27,0)</f>
        <v>167</v>
      </c>
      <c r="L793" s="116">
        <v>15</v>
      </c>
      <c r="M793" s="133" t="str">
        <f t="shared" si="5"/>
        <v>none</v>
      </c>
      <c r="N793" s="116">
        <f>LEN(Tableau13[[#This Row],[LABEL]])</f>
        <v>23</v>
      </c>
      <c r="O793" s="116">
        <v>15</v>
      </c>
      <c r="P793" s="116" t="e">
        <f>ROUND(Tableau13[[#This Row],[LEN]]*#REF!+#REF!,0)</f>
        <v>#REF!</v>
      </c>
    </row>
    <row r="794" spans="1:16" s="97" customFormat="1" x14ac:dyDescent="0.25">
      <c r="A794" s="45" t="s">
        <v>1588</v>
      </c>
      <c r="B794" s="46" t="s">
        <v>1582</v>
      </c>
      <c r="C794" s="47" t="s">
        <v>113</v>
      </c>
      <c r="D794" s="75" t="s">
        <v>28</v>
      </c>
      <c r="E794" s="47" t="s">
        <v>667</v>
      </c>
      <c r="F794" s="47" t="s">
        <v>669</v>
      </c>
      <c r="G794" s="75" t="s">
        <v>68</v>
      </c>
      <c r="H794" s="75" t="s">
        <v>654</v>
      </c>
      <c r="I794" s="47"/>
      <c r="J794" s="48" t="s">
        <v>708</v>
      </c>
      <c r="K794" s="116">
        <f>ROUND(Tableau13[[#This Row],[LEN]]*7.27,0)</f>
        <v>233</v>
      </c>
      <c r="L794" s="116">
        <v>15</v>
      </c>
      <c r="M794" s="133" t="str">
        <f t="shared" si="5"/>
        <v>none</v>
      </c>
      <c r="N794" s="116">
        <f>LEN(Tableau13[[#This Row],[LABEL]])</f>
        <v>32</v>
      </c>
      <c r="O794" s="116">
        <v>15</v>
      </c>
      <c r="P794" s="116" t="e">
        <f>ROUND(Tableau13[[#This Row],[LEN]]*#REF!+#REF!,0)</f>
        <v>#REF!</v>
      </c>
    </row>
    <row r="795" spans="1:16" s="97" customFormat="1" x14ac:dyDescent="0.25">
      <c r="A795" s="41" t="s">
        <v>1583</v>
      </c>
      <c r="B795" s="42" t="s">
        <v>298</v>
      </c>
      <c r="C795" s="43" t="s">
        <v>1589</v>
      </c>
      <c r="D795" s="74" t="s">
        <v>28</v>
      </c>
      <c r="E795" s="43" t="s">
        <v>676</v>
      </c>
      <c r="F795" s="43" t="s">
        <v>1177</v>
      </c>
      <c r="G795" s="74" t="s">
        <v>68</v>
      </c>
      <c r="H795" s="74" t="s">
        <v>656</v>
      </c>
      <c r="I795" s="43"/>
      <c r="J795" s="44" t="s">
        <v>708</v>
      </c>
      <c r="K795" s="115">
        <f>ROUND(Tableau13[[#This Row],[LEN]]*7.27,0)</f>
        <v>487</v>
      </c>
      <c r="L795" s="115">
        <v>15</v>
      </c>
      <c r="M795" s="132" t="str">
        <f t="shared" si="5"/>
        <v>none</v>
      </c>
      <c r="N795" s="115">
        <f>LEN(Tableau13[[#This Row],[LABEL]])</f>
        <v>67</v>
      </c>
      <c r="O795" s="115">
        <v>15</v>
      </c>
      <c r="P795" s="115" t="e">
        <f>ROUND(Tableau13[[#This Row],[LEN]]*#REF!+#REF!,0)</f>
        <v>#REF!</v>
      </c>
    </row>
    <row r="796" spans="1:16" s="97" customFormat="1" x14ac:dyDescent="0.25">
      <c r="A796" s="41" t="s">
        <v>1584</v>
      </c>
      <c r="B796" s="42" t="s">
        <v>298</v>
      </c>
      <c r="C796" s="43" t="s">
        <v>1590</v>
      </c>
      <c r="D796" s="74" t="s">
        <v>28</v>
      </c>
      <c r="E796" s="43" t="s">
        <v>676</v>
      </c>
      <c r="F796" s="43" t="s">
        <v>1177</v>
      </c>
      <c r="G796" s="74" t="s">
        <v>68</v>
      </c>
      <c r="H796" s="74" t="s">
        <v>656</v>
      </c>
      <c r="I796" s="43"/>
      <c r="J796" s="44" t="s">
        <v>708</v>
      </c>
      <c r="K796" s="115">
        <f>ROUND(Tableau13[[#This Row],[LEN]]*7.27,0)</f>
        <v>364</v>
      </c>
      <c r="L796" s="115">
        <v>15</v>
      </c>
      <c r="M796" s="132" t="str">
        <f t="shared" si="5"/>
        <v>none</v>
      </c>
      <c r="N796" s="115">
        <f>LEN(Tableau13[[#This Row],[LABEL]])</f>
        <v>50</v>
      </c>
      <c r="O796" s="115">
        <v>15</v>
      </c>
      <c r="P796" s="115" t="e">
        <f>ROUND(Tableau13[[#This Row],[LEN]]*#REF!+#REF!,0)</f>
        <v>#REF!</v>
      </c>
    </row>
    <row r="797" spans="1:16" s="97" customFormat="1" x14ac:dyDescent="0.25">
      <c r="A797" s="41" t="s">
        <v>1585</v>
      </c>
      <c r="B797" s="42" t="s">
        <v>298</v>
      </c>
      <c r="C797" s="43" t="s">
        <v>1591</v>
      </c>
      <c r="D797" s="74" t="s">
        <v>28</v>
      </c>
      <c r="E797" s="43" t="s">
        <v>676</v>
      </c>
      <c r="F797" s="43" t="s">
        <v>1177</v>
      </c>
      <c r="G797" s="74" t="s">
        <v>68</v>
      </c>
      <c r="H797" s="74" t="s">
        <v>656</v>
      </c>
      <c r="I797" s="43"/>
      <c r="J797" s="44" t="s">
        <v>708</v>
      </c>
      <c r="K797" s="115">
        <f>ROUND(Tableau13[[#This Row],[LEN]]*7.27,0)</f>
        <v>407</v>
      </c>
      <c r="L797" s="115">
        <v>15</v>
      </c>
      <c r="M797" s="132" t="str">
        <f t="shared" si="5"/>
        <v>none</v>
      </c>
      <c r="N797" s="115">
        <f>LEN(Tableau13[[#This Row],[LABEL]])</f>
        <v>56</v>
      </c>
      <c r="O797" s="115">
        <v>15</v>
      </c>
      <c r="P797" s="115" t="e">
        <f>ROUND(Tableau13[[#This Row],[LEN]]*#REF!+#REF!,0)</f>
        <v>#REF!</v>
      </c>
    </row>
    <row r="798" spans="1:16" s="273" customFormat="1" x14ac:dyDescent="0.25">
      <c r="A798" s="330" t="s">
        <v>299</v>
      </c>
      <c r="B798" s="331" t="s">
        <v>208</v>
      </c>
      <c r="C798" s="332" t="s">
        <v>13</v>
      </c>
      <c r="D798" s="333" t="s">
        <v>28</v>
      </c>
      <c r="E798" s="332" t="s">
        <v>677</v>
      </c>
      <c r="F798" s="332" t="s">
        <v>677</v>
      </c>
      <c r="G798" s="333" t="s">
        <v>68</v>
      </c>
      <c r="H798" s="333" t="str">
        <f>IFERROR(IF(SEARCH(".00.00.00.00.00",Tableau13[[#This Row],[name]],1)=7,"Division",""),"")</f>
        <v>Division</v>
      </c>
      <c r="I798" s="332"/>
      <c r="J798" s="334" t="s">
        <v>723</v>
      </c>
      <c r="K798" s="335">
        <f>ROUND(Tableau13[[#This Row],[LEN]]*7.27,0)</f>
        <v>80</v>
      </c>
      <c r="L798" s="335">
        <v>15</v>
      </c>
      <c r="M798" s="336" t="str">
        <f t="shared" si="5"/>
        <v>new</v>
      </c>
      <c r="N798" s="335">
        <f>LEN(Tableau13[[#This Row],[LABEL]])</f>
        <v>11</v>
      </c>
      <c r="O798" s="335">
        <v>15</v>
      </c>
      <c r="P798" s="335" t="e">
        <f>ROUND(Tableau13[[#This Row],[LEN]]*#REF!+#REF!,0)</f>
        <v>#REF!</v>
      </c>
    </row>
    <row r="799" spans="1:16" s="97" customFormat="1" x14ac:dyDescent="0.25">
      <c r="A799" s="41" t="s">
        <v>1592</v>
      </c>
      <c r="B799" s="42" t="s">
        <v>299</v>
      </c>
      <c r="C799" s="43" t="s">
        <v>1595</v>
      </c>
      <c r="D799" s="74" t="s">
        <v>28</v>
      </c>
      <c r="E799" s="43" t="s">
        <v>677</v>
      </c>
      <c r="F799" s="43" t="s">
        <v>1177</v>
      </c>
      <c r="G799" s="74" t="s">
        <v>68</v>
      </c>
      <c r="H799" s="74" t="s">
        <v>654</v>
      </c>
      <c r="I799" s="43"/>
      <c r="J799" s="44" t="s">
        <v>708</v>
      </c>
      <c r="K799" s="115">
        <f>ROUND(Tableau13[[#This Row],[LEN]]*7.27,0)</f>
        <v>400</v>
      </c>
      <c r="L799" s="115">
        <v>15</v>
      </c>
      <c r="M799" s="132" t="str">
        <f t="shared" si="5"/>
        <v>none</v>
      </c>
      <c r="N799" s="115">
        <f>LEN(Tableau13[[#This Row],[LABEL]])</f>
        <v>55</v>
      </c>
      <c r="O799" s="115">
        <v>15</v>
      </c>
      <c r="P799" s="115" t="e">
        <f>ROUND(Tableau13[[#This Row],[LEN]]*#REF!+#REF!,0)</f>
        <v>#REF!</v>
      </c>
    </row>
    <row r="800" spans="1:16" s="97" customFormat="1" x14ac:dyDescent="0.25">
      <c r="A800" s="41" t="s">
        <v>1593</v>
      </c>
      <c r="B800" s="42" t="s">
        <v>299</v>
      </c>
      <c r="C800" s="43" t="s">
        <v>849</v>
      </c>
      <c r="D800" s="74" t="s">
        <v>28</v>
      </c>
      <c r="E800" s="43" t="s">
        <v>667</v>
      </c>
      <c r="F800" s="43" t="s">
        <v>840</v>
      </c>
      <c r="G800" s="74" t="s">
        <v>68</v>
      </c>
      <c r="H800" s="74" t="s">
        <v>655</v>
      </c>
      <c r="I800" s="43"/>
      <c r="J800" s="44" t="s">
        <v>708</v>
      </c>
      <c r="K800" s="115">
        <f>ROUND(Tableau13[[#This Row],[LEN]]*7.27,0)</f>
        <v>80</v>
      </c>
      <c r="L800" s="115">
        <v>15</v>
      </c>
      <c r="M800" s="132" t="str">
        <f t="shared" si="5"/>
        <v>none</v>
      </c>
      <c r="N800" s="115">
        <f>LEN(Tableau13[[#This Row],[LABEL]])</f>
        <v>11</v>
      </c>
      <c r="O800" s="115">
        <v>15</v>
      </c>
      <c r="P800" s="115" t="e">
        <f>ROUND(Tableau13[[#This Row],[LEN]]*#REF!+#REF!,0)</f>
        <v>#REF!</v>
      </c>
    </row>
    <row r="801" spans="1:16" s="97" customFormat="1" x14ac:dyDescent="0.25">
      <c r="A801" s="45" t="s">
        <v>1597</v>
      </c>
      <c r="B801" s="46" t="s">
        <v>1593</v>
      </c>
      <c r="C801" s="47" t="s">
        <v>112</v>
      </c>
      <c r="D801" s="75" t="s">
        <v>28</v>
      </c>
      <c r="E801" s="47" t="s">
        <v>667</v>
      </c>
      <c r="F801" s="47" t="s">
        <v>669</v>
      </c>
      <c r="G801" s="75" t="s">
        <v>68</v>
      </c>
      <c r="H801" s="75" t="s">
        <v>654</v>
      </c>
      <c r="I801" s="47"/>
      <c r="J801" s="48" t="s">
        <v>708</v>
      </c>
      <c r="K801" s="116">
        <f>ROUND(Tableau13[[#This Row],[LEN]]*7.27,0)</f>
        <v>167</v>
      </c>
      <c r="L801" s="116">
        <v>15</v>
      </c>
      <c r="M801" s="133" t="str">
        <f t="shared" si="5"/>
        <v>none</v>
      </c>
      <c r="N801" s="116">
        <f>LEN(Tableau13[[#This Row],[LABEL]])</f>
        <v>23</v>
      </c>
      <c r="O801" s="116">
        <v>15</v>
      </c>
      <c r="P801" s="116" t="e">
        <f>ROUND(Tableau13[[#This Row],[LEN]]*#REF!+#REF!,0)</f>
        <v>#REF!</v>
      </c>
    </row>
    <row r="802" spans="1:16" s="97" customFormat="1" x14ac:dyDescent="0.25">
      <c r="A802" s="45" t="s">
        <v>1598</v>
      </c>
      <c r="B802" s="46" t="s">
        <v>1593</v>
      </c>
      <c r="C802" s="47" t="s">
        <v>113</v>
      </c>
      <c r="D802" s="75" t="s">
        <v>28</v>
      </c>
      <c r="E802" s="47" t="s">
        <v>667</v>
      </c>
      <c r="F802" s="47" t="s">
        <v>669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ROUND(Tableau13[[#This Row],[LEN]]*7.27,0)</f>
        <v>233</v>
      </c>
      <c r="L802" s="116">
        <v>15</v>
      </c>
      <c r="M802" s="133" t="str">
        <f t="shared" si="5"/>
        <v>none</v>
      </c>
      <c r="N802" s="116">
        <f>LEN(Tableau13[[#This Row],[LABEL]])</f>
        <v>32</v>
      </c>
      <c r="O802" s="116">
        <v>15</v>
      </c>
      <c r="P802" s="116" t="e">
        <f>ROUND(Tableau13[[#This Row],[LEN]]*#REF!+#REF!,0)</f>
        <v>#REF!</v>
      </c>
    </row>
    <row r="803" spans="1:16" s="97" customFormat="1" x14ac:dyDescent="0.25">
      <c r="A803" s="41" t="s">
        <v>1594</v>
      </c>
      <c r="B803" s="42" t="s">
        <v>299</v>
      </c>
      <c r="C803" s="43" t="s">
        <v>1596</v>
      </c>
      <c r="D803" s="74" t="s">
        <v>28</v>
      </c>
      <c r="E803" s="43" t="s">
        <v>672</v>
      </c>
      <c r="F803" s="43" t="s">
        <v>677</v>
      </c>
      <c r="G803" s="74" t="s">
        <v>68</v>
      </c>
      <c r="H803" s="74" t="s">
        <v>654</v>
      </c>
      <c r="I803" s="43"/>
      <c r="J803" s="44" t="s">
        <v>708</v>
      </c>
      <c r="K803" s="115">
        <f>ROUND(Tableau13[[#This Row],[LEN]]*7.27,0)</f>
        <v>342</v>
      </c>
      <c r="L803" s="115">
        <v>15</v>
      </c>
      <c r="M803" s="132" t="str">
        <f t="shared" si="5"/>
        <v>none</v>
      </c>
      <c r="N803" s="115">
        <f>LEN(Tableau13[[#This Row],[LABEL]])</f>
        <v>47</v>
      </c>
      <c r="O803" s="115">
        <v>15</v>
      </c>
      <c r="P803" s="115" t="e">
        <f>ROUND(Tableau13[[#This Row],[LEN]]*#REF!+#REF!,0)</f>
        <v>#REF!</v>
      </c>
    </row>
    <row r="804" spans="1:16" s="273" customFormat="1" x14ac:dyDescent="0.25">
      <c r="A804" s="330" t="s">
        <v>300</v>
      </c>
      <c r="B804" s="331" t="s">
        <v>208</v>
      </c>
      <c r="C804" s="332" t="s">
        <v>14</v>
      </c>
      <c r="D804" s="333" t="s">
        <v>28</v>
      </c>
      <c r="E804" s="332" t="s">
        <v>678</v>
      </c>
      <c r="F804" s="332" t="s">
        <v>678</v>
      </c>
      <c r="G804" s="333" t="s">
        <v>68</v>
      </c>
      <c r="H804" s="333" t="str">
        <f>IFERROR(IF(SEARCH(".00.00.00.00.00",Tableau13[[#This Row],[name]],1)=7,"Division",""),"")</f>
        <v>Division</v>
      </c>
      <c r="I804" s="332"/>
      <c r="J804" s="334" t="s">
        <v>724</v>
      </c>
      <c r="K804" s="335">
        <f>ROUND(Tableau13[[#This Row],[LEN]]*7.27,0)</f>
        <v>240</v>
      </c>
      <c r="L804" s="335">
        <v>15</v>
      </c>
      <c r="M804" s="336" t="str">
        <f t="shared" si="5"/>
        <v>new</v>
      </c>
      <c r="N804" s="335">
        <f>LEN(Tableau13[[#This Row],[LABEL]])</f>
        <v>33</v>
      </c>
      <c r="O804" s="335">
        <v>15</v>
      </c>
      <c r="P804" s="335" t="e">
        <f>ROUND(Tableau13[[#This Row],[LEN]]*#REF!+#REF!,0)</f>
        <v>#REF!</v>
      </c>
    </row>
    <row r="805" spans="1:16" s="97" customFormat="1" x14ac:dyDescent="0.25">
      <c r="A805" s="41" t="s">
        <v>1599</v>
      </c>
      <c r="B805" s="42" t="s">
        <v>300</v>
      </c>
      <c r="C805" s="43" t="s">
        <v>1611</v>
      </c>
      <c r="D805" s="74" t="s">
        <v>28</v>
      </c>
      <c r="E805" s="43" t="s">
        <v>678</v>
      </c>
      <c r="F805" s="43" t="s">
        <v>1177</v>
      </c>
      <c r="G805" s="74" t="s">
        <v>68</v>
      </c>
      <c r="H805" s="74" t="s">
        <v>656</v>
      </c>
      <c r="I805" s="43"/>
      <c r="J805" s="44" t="s">
        <v>708</v>
      </c>
      <c r="K805" s="115">
        <f>ROUND(Tableau13[[#This Row],[LEN]]*7.27,0)</f>
        <v>334</v>
      </c>
      <c r="L805" s="115">
        <v>15</v>
      </c>
      <c r="M805" s="132" t="str">
        <f t="shared" si="5"/>
        <v>none</v>
      </c>
      <c r="N805" s="115">
        <f>LEN(Tableau13[[#This Row],[LABEL]])</f>
        <v>46</v>
      </c>
      <c r="O805" s="115">
        <v>15</v>
      </c>
      <c r="P805" s="115" t="e">
        <f>ROUND(Tableau13[[#This Row],[LEN]]*#REF!+#REF!,0)</f>
        <v>#REF!</v>
      </c>
    </row>
    <row r="806" spans="1:16" s="97" customFormat="1" x14ac:dyDescent="0.25">
      <c r="A806" s="41" t="s">
        <v>1600</v>
      </c>
      <c r="B806" s="42" t="s">
        <v>300</v>
      </c>
      <c r="C806" s="43" t="s">
        <v>1612</v>
      </c>
      <c r="D806" s="74" t="s">
        <v>28</v>
      </c>
      <c r="E806" s="43" t="s">
        <v>678</v>
      </c>
      <c r="F806" s="43" t="s">
        <v>1177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ROUND(Tableau13[[#This Row],[LEN]]*7.27,0)</f>
        <v>174</v>
      </c>
      <c r="L806" s="115">
        <v>15</v>
      </c>
      <c r="M806" s="132" t="str">
        <f t="shared" si="5"/>
        <v>none</v>
      </c>
      <c r="N806" s="115">
        <f>LEN(Tableau13[[#This Row],[LABEL]])</f>
        <v>24</v>
      </c>
      <c r="O806" s="115">
        <v>15</v>
      </c>
      <c r="P806" s="115" t="e">
        <f>ROUND(Tableau13[[#This Row],[LEN]]*#REF!+#REF!,0)</f>
        <v>#REF!</v>
      </c>
    </row>
    <row r="807" spans="1:16" s="97" customFormat="1" x14ac:dyDescent="0.25">
      <c r="A807" s="41" t="s">
        <v>1601</v>
      </c>
      <c r="B807" s="42" t="s">
        <v>300</v>
      </c>
      <c r="C807" s="43" t="s">
        <v>1613</v>
      </c>
      <c r="D807" s="74" t="s">
        <v>28</v>
      </c>
      <c r="E807" s="43" t="s">
        <v>678</v>
      </c>
      <c r="F807" s="43" t="s">
        <v>1177</v>
      </c>
      <c r="G807" s="74" t="s">
        <v>68</v>
      </c>
      <c r="H807" s="74" t="s">
        <v>656</v>
      </c>
      <c r="I807" s="43"/>
      <c r="J807" s="44" t="s">
        <v>708</v>
      </c>
      <c r="K807" s="115">
        <f>ROUND(Tableau13[[#This Row],[LEN]]*7.27,0)</f>
        <v>160</v>
      </c>
      <c r="L807" s="115">
        <v>15</v>
      </c>
      <c r="M807" s="132" t="str">
        <f t="shared" si="5"/>
        <v>none</v>
      </c>
      <c r="N807" s="115">
        <f>LEN(Tableau13[[#This Row],[LABEL]])</f>
        <v>22</v>
      </c>
      <c r="O807" s="115">
        <v>15</v>
      </c>
      <c r="P807" s="115" t="e">
        <f>ROUND(Tableau13[[#This Row],[LEN]]*#REF!+#REF!,0)</f>
        <v>#REF!</v>
      </c>
    </row>
    <row r="808" spans="1:16" s="97" customFormat="1" x14ac:dyDescent="0.25">
      <c r="A808" s="41" t="s">
        <v>1602</v>
      </c>
      <c r="B808" s="42" t="s">
        <v>300</v>
      </c>
      <c r="C808" s="43" t="s">
        <v>1614</v>
      </c>
      <c r="D808" s="74" t="s">
        <v>28</v>
      </c>
      <c r="E808" s="43" t="s">
        <v>678</v>
      </c>
      <c r="F808" s="43" t="s">
        <v>1177</v>
      </c>
      <c r="G808" s="74" t="s">
        <v>68</v>
      </c>
      <c r="H808" s="74" t="s">
        <v>656</v>
      </c>
      <c r="I808" s="43"/>
      <c r="J808" s="44" t="s">
        <v>708</v>
      </c>
      <c r="K808" s="115">
        <f>ROUND(Tableau13[[#This Row],[LEN]]*7.27,0)</f>
        <v>465</v>
      </c>
      <c r="L808" s="115">
        <v>15</v>
      </c>
      <c r="M808" s="132" t="str">
        <f t="shared" si="5"/>
        <v>none</v>
      </c>
      <c r="N808" s="115">
        <f>LEN(Tableau13[[#This Row],[LABEL]])</f>
        <v>64</v>
      </c>
      <c r="O808" s="115">
        <v>15</v>
      </c>
      <c r="P808" s="115" t="e">
        <f>ROUND(Tableau13[[#This Row],[LEN]]*#REF!+#REF!,0)</f>
        <v>#REF!</v>
      </c>
    </row>
    <row r="809" spans="1:16" s="97" customFormat="1" x14ac:dyDescent="0.25">
      <c r="A809" s="41" t="s">
        <v>1603</v>
      </c>
      <c r="B809" s="42" t="s">
        <v>300</v>
      </c>
      <c r="C809" s="43" t="s">
        <v>1615</v>
      </c>
      <c r="D809" s="74" t="s">
        <v>28</v>
      </c>
      <c r="E809" s="43" t="s">
        <v>678</v>
      </c>
      <c r="F809" s="43" t="s">
        <v>1177</v>
      </c>
      <c r="G809" s="74" t="s">
        <v>68</v>
      </c>
      <c r="H809" s="74" t="s">
        <v>656</v>
      </c>
      <c r="I809" s="43"/>
      <c r="J809" s="44" t="s">
        <v>708</v>
      </c>
      <c r="K809" s="115">
        <f>ROUND(Tableau13[[#This Row],[LEN]]*7.27,0)</f>
        <v>291</v>
      </c>
      <c r="L809" s="115">
        <v>15</v>
      </c>
      <c r="M809" s="132" t="str">
        <f t="shared" si="5"/>
        <v>none</v>
      </c>
      <c r="N809" s="115">
        <f>LEN(Tableau13[[#This Row],[LABEL]])</f>
        <v>40</v>
      </c>
      <c r="O809" s="115">
        <v>15</v>
      </c>
      <c r="P809" s="115" t="e">
        <f>ROUND(Tableau13[[#This Row],[LEN]]*#REF!+#REF!,0)</f>
        <v>#REF!</v>
      </c>
    </row>
    <row r="810" spans="1:16" s="97" customFormat="1" x14ac:dyDescent="0.25">
      <c r="A810" s="41" t="s">
        <v>1604</v>
      </c>
      <c r="B810" s="42" t="s">
        <v>300</v>
      </c>
      <c r="C810" s="43" t="s">
        <v>849</v>
      </c>
      <c r="D810" s="74" t="s">
        <v>28</v>
      </c>
      <c r="E810" s="43" t="s">
        <v>667</v>
      </c>
      <c r="F810" s="43" t="s">
        <v>840</v>
      </c>
      <c r="G810" s="74" t="s">
        <v>68</v>
      </c>
      <c r="H810" s="74" t="s">
        <v>655</v>
      </c>
      <c r="I810" s="43"/>
      <c r="J810" s="44" t="s">
        <v>708</v>
      </c>
      <c r="K810" s="115">
        <f>ROUND(Tableau13[[#This Row],[LEN]]*7.27,0)</f>
        <v>80</v>
      </c>
      <c r="L810" s="115">
        <v>15</v>
      </c>
      <c r="M810" s="132" t="str">
        <f t="shared" si="5"/>
        <v>none</v>
      </c>
      <c r="N810" s="115">
        <f>LEN(Tableau13[[#This Row],[LABEL]])</f>
        <v>11</v>
      </c>
      <c r="O810" s="115">
        <v>15</v>
      </c>
      <c r="P810" s="115" t="e">
        <f>ROUND(Tableau13[[#This Row],[LEN]]*#REF!+#REF!,0)</f>
        <v>#REF!</v>
      </c>
    </row>
    <row r="811" spans="1:16" s="97" customFormat="1" x14ac:dyDescent="0.25">
      <c r="A811" s="45" t="s">
        <v>1616</v>
      </c>
      <c r="B811" s="46" t="s">
        <v>1604</v>
      </c>
      <c r="C811" s="47" t="s">
        <v>112</v>
      </c>
      <c r="D811" s="75" t="s">
        <v>28</v>
      </c>
      <c r="E811" s="47" t="s">
        <v>667</v>
      </c>
      <c r="F811" s="47" t="s">
        <v>669</v>
      </c>
      <c r="G811" s="75" t="s">
        <v>68</v>
      </c>
      <c r="H811" s="75" t="s">
        <v>654</v>
      </c>
      <c r="I811" s="47"/>
      <c r="J811" s="48" t="s">
        <v>708</v>
      </c>
      <c r="K811" s="116">
        <f>ROUND(Tableau13[[#This Row],[LEN]]*7.27,0)</f>
        <v>167</v>
      </c>
      <c r="L811" s="116">
        <v>15</v>
      </c>
      <c r="M811" s="133" t="str">
        <f t="shared" si="5"/>
        <v>none</v>
      </c>
      <c r="N811" s="116">
        <f>LEN(Tableau13[[#This Row],[LABEL]])</f>
        <v>23</v>
      </c>
      <c r="O811" s="116">
        <v>15</v>
      </c>
      <c r="P811" s="116" t="e">
        <f>ROUND(Tableau13[[#This Row],[LEN]]*#REF!+#REF!,0)</f>
        <v>#REF!</v>
      </c>
    </row>
    <row r="812" spans="1:16" s="97" customFormat="1" x14ac:dyDescent="0.25">
      <c r="A812" s="45" t="s">
        <v>1617</v>
      </c>
      <c r="B812" s="46" t="s">
        <v>1604</v>
      </c>
      <c r="C812" s="47" t="s">
        <v>113</v>
      </c>
      <c r="D812" s="75" t="s">
        <v>28</v>
      </c>
      <c r="E812" s="47" t="s">
        <v>667</v>
      </c>
      <c r="F812" s="47" t="s">
        <v>669</v>
      </c>
      <c r="G812" s="75" t="s">
        <v>68</v>
      </c>
      <c r="H812" s="75" t="s">
        <v>654</v>
      </c>
      <c r="I812" s="47"/>
      <c r="J812" s="48" t="s">
        <v>708</v>
      </c>
      <c r="K812" s="116">
        <f>ROUND(Tableau13[[#This Row],[LEN]]*7.27,0)</f>
        <v>233</v>
      </c>
      <c r="L812" s="116">
        <v>15</v>
      </c>
      <c r="M812" s="133" t="str">
        <f t="shared" si="5"/>
        <v>none</v>
      </c>
      <c r="N812" s="116">
        <f>LEN(Tableau13[[#This Row],[LABEL]])</f>
        <v>32</v>
      </c>
      <c r="O812" s="116">
        <v>15</v>
      </c>
      <c r="P812" s="116" t="e">
        <f>ROUND(Tableau13[[#This Row],[LEN]]*#REF!+#REF!,0)</f>
        <v>#REF!</v>
      </c>
    </row>
    <row r="813" spans="1:16" s="97" customFormat="1" x14ac:dyDescent="0.25">
      <c r="A813" s="41" t="s">
        <v>1605</v>
      </c>
      <c r="B813" s="42" t="s">
        <v>300</v>
      </c>
      <c r="C813" s="43" t="s">
        <v>1618</v>
      </c>
      <c r="D813" s="74" t="s">
        <v>28</v>
      </c>
      <c r="E813" s="43" t="s">
        <v>669</v>
      </c>
      <c r="F813" s="43" t="s">
        <v>678</v>
      </c>
      <c r="G813" s="74" t="s">
        <v>68</v>
      </c>
      <c r="H813" s="74" t="s">
        <v>656</v>
      </c>
      <c r="I813" s="43"/>
      <c r="J813" s="44" t="s">
        <v>708</v>
      </c>
      <c r="K813" s="115">
        <f>ROUND(Tableau13[[#This Row],[LEN]]*7.27,0)</f>
        <v>225</v>
      </c>
      <c r="L813" s="115">
        <v>15</v>
      </c>
      <c r="M813" s="132" t="str">
        <f t="shared" si="5"/>
        <v>none</v>
      </c>
      <c r="N813" s="115">
        <f>LEN(Tableau13[[#This Row],[LABEL]])</f>
        <v>31</v>
      </c>
      <c r="O813" s="115">
        <v>15</v>
      </c>
      <c r="P813" s="115" t="e">
        <f>ROUND(Tableau13[[#This Row],[LEN]]*#REF!+#REF!,0)</f>
        <v>#REF!</v>
      </c>
    </row>
    <row r="814" spans="1:16" s="97" customFormat="1" x14ac:dyDescent="0.25">
      <c r="A814" s="41" t="s">
        <v>1606</v>
      </c>
      <c r="B814" s="42" t="s">
        <v>300</v>
      </c>
      <c r="C814" s="43" t="s">
        <v>1620</v>
      </c>
      <c r="D814" s="74" t="s">
        <v>28</v>
      </c>
      <c r="E814" s="43" t="s">
        <v>675</v>
      </c>
      <c r="F814" s="43" t="s">
        <v>678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ROUND(Tableau13[[#This Row],[LEN]]*7.27,0)</f>
        <v>262</v>
      </c>
      <c r="L814" s="115">
        <v>15</v>
      </c>
      <c r="M814" s="132" t="str">
        <f t="shared" si="5"/>
        <v>none</v>
      </c>
      <c r="N814" s="115">
        <f>LEN(Tableau13[[#This Row],[LABEL]])</f>
        <v>36</v>
      </c>
      <c r="O814" s="115">
        <v>15</v>
      </c>
      <c r="P814" s="115" t="e">
        <f>ROUND(Tableau13[[#This Row],[LEN]]*#REF!+#REF!,0)</f>
        <v>#REF!</v>
      </c>
    </row>
    <row r="815" spans="1:16" s="97" customFormat="1" x14ac:dyDescent="0.25">
      <c r="A815" s="41" t="s">
        <v>1607</v>
      </c>
      <c r="B815" s="42" t="s">
        <v>300</v>
      </c>
      <c r="C815" s="43" t="s">
        <v>1622</v>
      </c>
      <c r="D815" s="74" t="s">
        <v>28</v>
      </c>
      <c r="E815" s="43" t="s">
        <v>678</v>
      </c>
      <c r="F815" s="43" t="s">
        <v>1177</v>
      </c>
      <c r="G815" s="74" t="s">
        <v>68</v>
      </c>
      <c r="H815" s="74" t="s">
        <v>654</v>
      </c>
      <c r="I815" s="43"/>
      <c r="J815" s="44" t="s">
        <v>708</v>
      </c>
      <c r="K815" s="115">
        <f>ROUND(Tableau13[[#This Row],[LEN]]*7.27,0)</f>
        <v>465</v>
      </c>
      <c r="L815" s="115">
        <v>15</v>
      </c>
      <c r="M815" s="132" t="str">
        <f t="shared" si="5"/>
        <v>none</v>
      </c>
      <c r="N815" s="115">
        <f>LEN(Tableau13[[#This Row],[LABEL]])</f>
        <v>64</v>
      </c>
      <c r="O815" s="115">
        <v>15</v>
      </c>
      <c r="P815" s="115" t="e">
        <f>ROUND(Tableau13[[#This Row],[LEN]]*#REF!+#REF!,0)</f>
        <v>#REF!</v>
      </c>
    </row>
    <row r="816" spans="1:16" s="97" customFormat="1" x14ac:dyDescent="0.25">
      <c r="A816" s="41" t="s">
        <v>1608</v>
      </c>
      <c r="B816" s="42" t="s">
        <v>300</v>
      </c>
      <c r="C816" s="43" t="s">
        <v>1372</v>
      </c>
      <c r="D816" s="74" t="s">
        <v>28</v>
      </c>
      <c r="E816" s="43" t="s">
        <v>678</v>
      </c>
      <c r="F816" s="43" t="s">
        <v>1177</v>
      </c>
      <c r="G816" s="74" t="s">
        <v>68</v>
      </c>
      <c r="H816" s="74" t="s">
        <v>655</v>
      </c>
      <c r="I816" s="43"/>
      <c r="J816" s="44" t="s">
        <v>708</v>
      </c>
      <c r="K816" s="115">
        <f>ROUND(Tableau13[[#This Row],[LEN]]*7.27,0)</f>
        <v>80</v>
      </c>
      <c r="L816" s="115">
        <v>15</v>
      </c>
      <c r="M816" s="132" t="str">
        <f t="shared" si="5"/>
        <v>none</v>
      </c>
      <c r="N816" s="115">
        <f>LEN(Tableau13[[#This Row],[LABEL]])</f>
        <v>11</v>
      </c>
      <c r="O816" s="115">
        <v>15</v>
      </c>
      <c r="P816" s="115" t="e">
        <f>ROUND(Tableau13[[#This Row],[LEN]]*#REF!+#REF!,0)</f>
        <v>#REF!</v>
      </c>
    </row>
    <row r="817" spans="1:16" s="97" customFormat="1" x14ac:dyDescent="0.25">
      <c r="A817" s="45" t="s">
        <v>1623</v>
      </c>
      <c r="B817" s="46" t="s">
        <v>1608</v>
      </c>
      <c r="C817" s="47" t="s">
        <v>1625</v>
      </c>
      <c r="D817" s="75" t="s">
        <v>28</v>
      </c>
      <c r="E817" s="47" t="s">
        <v>678</v>
      </c>
      <c r="F817" s="47" t="s">
        <v>1177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ROUND(Tableau13[[#This Row],[LEN]]*7.27,0)</f>
        <v>109</v>
      </c>
      <c r="L817" s="116">
        <v>15</v>
      </c>
      <c r="M817" s="133" t="str">
        <f t="shared" si="5"/>
        <v>none</v>
      </c>
      <c r="N817" s="116">
        <f>LEN(Tableau13[[#This Row],[LABEL]])</f>
        <v>15</v>
      </c>
      <c r="O817" s="116">
        <v>15</v>
      </c>
      <c r="P817" s="116" t="e">
        <f>ROUND(Tableau13[[#This Row],[LEN]]*#REF!+#REF!,0)</f>
        <v>#REF!</v>
      </c>
    </row>
    <row r="818" spans="1:16" s="97" customFormat="1" x14ac:dyDescent="0.25">
      <c r="A818" s="45" t="s">
        <v>1624</v>
      </c>
      <c r="B818" s="46" t="s">
        <v>1608</v>
      </c>
      <c r="C818" s="47" t="s">
        <v>1626</v>
      </c>
      <c r="D818" s="75" t="s">
        <v>28</v>
      </c>
      <c r="E818" s="47" t="s">
        <v>678</v>
      </c>
      <c r="F818" s="47" t="s">
        <v>1177</v>
      </c>
      <c r="G818" s="75" t="s">
        <v>68</v>
      </c>
      <c r="H818" s="75" t="s">
        <v>654</v>
      </c>
      <c r="I818" s="47"/>
      <c r="J818" s="48" t="s">
        <v>708</v>
      </c>
      <c r="K818" s="116">
        <f>ROUND(Tableau13[[#This Row],[LEN]]*7.27,0)</f>
        <v>124</v>
      </c>
      <c r="L818" s="116">
        <v>15</v>
      </c>
      <c r="M818" s="133" t="str">
        <f t="shared" si="5"/>
        <v>none</v>
      </c>
      <c r="N818" s="116">
        <f>LEN(Tableau13[[#This Row],[LABEL]])</f>
        <v>17</v>
      </c>
      <c r="O818" s="116">
        <v>15</v>
      </c>
      <c r="P818" s="116" t="e">
        <f>ROUND(Tableau13[[#This Row],[LEN]]*#REF!+#REF!,0)</f>
        <v>#REF!</v>
      </c>
    </row>
    <row r="819" spans="1:16" s="97" customFormat="1" x14ac:dyDescent="0.25">
      <c r="A819" s="41" t="s">
        <v>1609</v>
      </c>
      <c r="B819" s="42" t="s">
        <v>300</v>
      </c>
      <c r="C819" s="43" t="s">
        <v>1627</v>
      </c>
      <c r="D819" s="74" t="s">
        <v>28</v>
      </c>
      <c r="E819" s="43" t="s">
        <v>678</v>
      </c>
      <c r="F819" s="43" t="s">
        <v>1177</v>
      </c>
      <c r="G819" s="74" t="s">
        <v>68</v>
      </c>
      <c r="H819" s="74" t="s">
        <v>654</v>
      </c>
      <c r="I819" s="43"/>
      <c r="J819" s="44" t="s">
        <v>708</v>
      </c>
      <c r="K819" s="115">
        <f>ROUND(Tableau13[[#This Row],[LEN]]*7.27,0)</f>
        <v>334</v>
      </c>
      <c r="L819" s="115">
        <v>15</v>
      </c>
      <c r="M819" s="132" t="str">
        <f t="shared" si="5"/>
        <v>none</v>
      </c>
      <c r="N819" s="115">
        <f>LEN(Tableau13[[#This Row],[LABEL]])</f>
        <v>46</v>
      </c>
      <c r="O819" s="115">
        <v>15</v>
      </c>
      <c r="P819" s="115" t="e">
        <f>ROUND(Tableau13[[#This Row],[LEN]]*#REF!+#REF!,0)</f>
        <v>#REF!</v>
      </c>
    </row>
    <row r="820" spans="1:16" s="97" customFormat="1" x14ac:dyDescent="0.25">
      <c r="A820" s="41" t="s">
        <v>1610</v>
      </c>
      <c r="B820" s="42" t="s">
        <v>300</v>
      </c>
      <c r="C820" s="43" t="s">
        <v>1628</v>
      </c>
      <c r="D820" s="74" t="s">
        <v>28</v>
      </c>
      <c r="E820" s="43" t="s">
        <v>678</v>
      </c>
      <c r="F820" s="43" t="s">
        <v>1177</v>
      </c>
      <c r="G820" s="74" t="s">
        <v>68</v>
      </c>
      <c r="H820" s="74" t="s">
        <v>655</v>
      </c>
      <c r="I820" s="43"/>
      <c r="J820" s="44" t="s">
        <v>708</v>
      </c>
      <c r="K820" s="115">
        <f>ROUND(Tableau13[[#This Row],[LEN]]*7.27,0)</f>
        <v>225</v>
      </c>
      <c r="L820" s="115">
        <v>15</v>
      </c>
      <c r="M820" s="132" t="str">
        <f t="shared" si="5"/>
        <v>none</v>
      </c>
      <c r="N820" s="115">
        <f>LEN(Tableau13[[#This Row],[LABEL]])</f>
        <v>31</v>
      </c>
      <c r="O820" s="115">
        <v>15</v>
      </c>
      <c r="P820" s="115" t="e">
        <f>ROUND(Tableau13[[#This Row],[LEN]]*#REF!+#REF!,0)</f>
        <v>#REF!</v>
      </c>
    </row>
    <row r="821" spans="1:16" s="97" customFormat="1" x14ac:dyDescent="0.25">
      <c r="A821" s="45" t="s">
        <v>1629</v>
      </c>
      <c r="B821" s="46" t="s">
        <v>1610</v>
      </c>
      <c r="C821" s="47" t="s">
        <v>1633</v>
      </c>
      <c r="D821" s="75" t="s">
        <v>28</v>
      </c>
      <c r="E821" s="47" t="s">
        <v>678</v>
      </c>
      <c r="F821" s="47" t="s">
        <v>1177</v>
      </c>
      <c r="G821" s="75" t="s">
        <v>68</v>
      </c>
      <c r="H821" s="75" t="s">
        <v>656</v>
      </c>
      <c r="I821" s="47"/>
      <c r="J821" s="48" t="s">
        <v>708</v>
      </c>
      <c r="K821" s="116">
        <f>ROUND(Tableau13[[#This Row],[LEN]]*7.27,0)</f>
        <v>22</v>
      </c>
      <c r="L821" s="116">
        <v>15</v>
      </c>
      <c r="M821" s="133" t="str">
        <f t="shared" si="5"/>
        <v>none</v>
      </c>
      <c r="N821" s="116">
        <f>LEN(Tableau13[[#This Row],[LABEL]])</f>
        <v>3</v>
      </c>
      <c r="O821" s="116">
        <v>15</v>
      </c>
      <c r="P821" s="116" t="e">
        <f>ROUND(Tableau13[[#This Row],[LEN]]*#REF!+#REF!,0)</f>
        <v>#REF!</v>
      </c>
    </row>
    <row r="822" spans="1:16" s="97" customFormat="1" x14ac:dyDescent="0.25">
      <c r="A822" s="45" t="s">
        <v>1630</v>
      </c>
      <c r="B822" s="46" t="s">
        <v>1610</v>
      </c>
      <c r="C822" s="47" t="s">
        <v>1634</v>
      </c>
      <c r="D822" s="75" t="s">
        <v>28</v>
      </c>
      <c r="E822" s="47" t="s">
        <v>678</v>
      </c>
      <c r="F822" s="47" t="s">
        <v>1177</v>
      </c>
      <c r="G822" s="75" t="s">
        <v>68</v>
      </c>
      <c r="H822" s="75" t="s">
        <v>656</v>
      </c>
      <c r="I822" s="47"/>
      <c r="J822" s="48" t="s">
        <v>708</v>
      </c>
      <c r="K822" s="116">
        <f>ROUND(Tableau13[[#This Row],[LEN]]*7.27,0)</f>
        <v>80</v>
      </c>
      <c r="L822" s="116">
        <v>15</v>
      </c>
      <c r="M822" s="133" t="str">
        <f t="shared" si="5"/>
        <v>none</v>
      </c>
      <c r="N822" s="116">
        <f>LEN(Tableau13[[#This Row],[LABEL]])</f>
        <v>11</v>
      </c>
      <c r="O822" s="116">
        <v>15</v>
      </c>
      <c r="P822" s="116" t="e">
        <f>ROUND(Tableau13[[#This Row],[LEN]]*#REF!+#REF!,0)</f>
        <v>#REF!</v>
      </c>
    </row>
    <row r="823" spans="1:16" s="97" customFormat="1" x14ac:dyDescent="0.25">
      <c r="A823" s="45" t="s">
        <v>1631</v>
      </c>
      <c r="B823" s="46" t="s">
        <v>1610</v>
      </c>
      <c r="C823" s="47" t="s">
        <v>1635</v>
      </c>
      <c r="D823" s="75" t="s">
        <v>28</v>
      </c>
      <c r="E823" s="47" t="s">
        <v>678</v>
      </c>
      <c r="F823" s="47" t="s">
        <v>1177</v>
      </c>
      <c r="G823" s="75" t="s">
        <v>68</v>
      </c>
      <c r="H823" s="75" t="s">
        <v>656</v>
      </c>
      <c r="I823" s="47"/>
      <c r="J823" s="48" t="s">
        <v>708</v>
      </c>
      <c r="K823" s="116">
        <f>ROUND(Tableau13[[#This Row],[LEN]]*7.27,0)</f>
        <v>131</v>
      </c>
      <c r="L823" s="116">
        <v>15</v>
      </c>
      <c r="M823" s="133" t="str">
        <f t="shared" si="5"/>
        <v>none</v>
      </c>
      <c r="N823" s="116">
        <f>LEN(Tableau13[[#This Row],[LABEL]])</f>
        <v>18</v>
      </c>
      <c r="O823" s="116">
        <v>15</v>
      </c>
      <c r="P823" s="116" t="e">
        <f>ROUND(Tableau13[[#This Row],[LEN]]*#REF!+#REF!,0)</f>
        <v>#REF!</v>
      </c>
    </row>
    <row r="824" spans="1:16" s="97" customFormat="1" x14ac:dyDescent="0.25">
      <c r="A824" s="45" t="s">
        <v>1632</v>
      </c>
      <c r="B824" s="46" t="s">
        <v>1610</v>
      </c>
      <c r="C824" s="47" t="s">
        <v>1636</v>
      </c>
      <c r="D824" s="75" t="s">
        <v>28</v>
      </c>
      <c r="E824" s="47" t="s">
        <v>678</v>
      </c>
      <c r="F824" s="47" t="s">
        <v>1177</v>
      </c>
      <c r="G824" s="75" t="s">
        <v>68</v>
      </c>
      <c r="H824" s="75" t="s">
        <v>656</v>
      </c>
      <c r="I824" s="47"/>
      <c r="J824" s="48" t="s">
        <v>708</v>
      </c>
      <c r="K824" s="116">
        <f>ROUND(Tableau13[[#This Row],[LEN]]*7.27,0)</f>
        <v>95</v>
      </c>
      <c r="L824" s="116">
        <v>15</v>
      </c>
      <c r="M824" s="133" t="str">
        <f t="shared" si="5"/>
        <v>none</v>
      </c>
      <c r="N824" s="116">
        <f>LEN(Tableau13[[#This Row],[LABEL]])</f>
        <v>13</v>
      </c>
      <c r="O824" s="116">
        <v>15</v>
      </c>
      <c r="P824" s="116" t="e">
        <f>ROUND(Tableau13[[#This Row],[LEN]]*#REF!+#REF!,0)</f>
        <v>#REF!</v>
      </c>
    </row>
    <row r="825" spans="1:16" s="273" customFormat="1" x14ac:dyDescent="0.25">
      <c r="A825" s="337" t="s">
        <v>301</v>
      </c>
      <c r="B825" s="338" t="s">
        <v>208</v>
      </c>
      <c r="C825" s="339" t="s">
        <v>15</v>
      </c>
      <c r="D825" s="340" t="s">
        <v>28</v>
      </c>
      <c r="E825" s="339" t="s">
        <v>679</v>
      </c>
      <c r="F825" s="339" t="s">
        <v>679</v>
      </c>
      <c r="G825" s="340" t="s">
        <v>68</v>
      </c>
      <c r="H825" s="340" t="str">
        <f>IFERROR(IF(SEARCH(".00.00.00.00.00",Tableau13[[#This Row],[name]],1)=7,"Division",""),"")</f>
        <v>Division</v>
      </c>
      <c r="I825" s="339"/>
      <c r="J825" s="341" t="s">
        <v>725</v>
      </c>
      <c r="K825" s="342">
        <f>ROUND(Tableau13[[#This Row],[LEN]]*7.27,0)</f>
        <v>174</v>
      </c>
      <c r="L825" s="342">
        <v>15</v>
      </c>
      <c r="M825" s="343" t="str">
        <f t="shared" si="5"/>
        <v>new</v>
      </c>
      <c r="N825" s="342">
        <f>LEN(Tableau13[[#This Row],[LABEL]])</f>
        <v>24</v>
      </c>
      <c r="O825" s="342">
        <v>15</v>
      </c>
      <c r="P825" s="342" t="e">
        <f>ROUND(Tableau13[[#This Row],[LEN]]*#REF!+#REF!,0)</f>
        <v>#REF!</v>
      </c>
    </row>
    <row r="826" spans="1:16" s="97" customFormat="1" x14ac:dyDescent="0.25">
      <c r="A826" s="41" t="s">
        <v>1637</v>
      </c>
      <c r="B826" s="42" t="s">
        <v>301</v>
      </c>
      <c r="C826" s="43" t="s">
        <v>849</v>
      </c>
      <c r="D826" s="74" t="s">
        <v>28</v>
      </c>
      <c r="E826" s="43" t="s">
        <v>667</v>
      </c>
      <c r="F826" s="43" t="s">
        <v>840</v>
      </c>
      <c r="G826" s="74" t="s">
        <v>68</v>
      </c>
      <c r="H826" s="74" t="s">
        <v>655</v>
      </c>
      <c r="I826" s="43"/>
      <c r="J826" s="44" t="s">
        <v>708</v>
      </c>
      <c r="K826" s="115">
        <f>ROUND(Tableau13[[#This Row],[LEN]]*7.27,0)</f>
        <v>80</v>
      </c>
      <c r="L826" s="115">
        <v>15</v>
      </c>
      <c r="M826" s="132" t="str">
        <f t="shared" si="5"/>
        <v>none</v>
      </c>
      <c r="N826" s="115">
        <f>LEN(Tableau13[[#This Row],[LABEL]])</f>
        <v>11</v>
      </c>
      <c r="O826" s="115">
        <v>15</v>
      </c>
      <c r="P826" s="115" t="e">
        <f>ROUND(Tableau13[[#This Row],[LEN]]*#REF!+#REF!,0)</f>
        <v>#REF!</v>
      </c>
    </row>
    <row r="827" spans="1:16" s="97" customFormat="1" x14ac:dyDescent="0.25">
      <c r="A827" s="45" t="s">
        <v>1640</v>
      </c>
      <c r="B827" s="46" t="s">
        <v>1637</v>
      </c>
      <c r="C827" s="47" t="s">
        <v>112</v>
      </c>
      <c r="D827" s="75" t="s">
        <v>28</v>
      </c>
      <c r="E827" s="47" t="s">
        <v>667</v>
      </c>
      <c r="F827" s="47" t="s">
        <v>669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ROUND(Tableau13[[#This Row],[LEN]]*7.27,0)</f>
        <v>167</v>
      </c>
      <c r="L827" s="116">
        <v>15</v>
      </c>
      <c r="M827" s="133" t="str">
        <f t="shared" si="5"/>
        <v>none</v>
      </c>
      <c r="N827" s="116">
        <f>LEN(Tableau13[[#This Row],[LABEL]])</f>
        <v>23</v>
      </c>
      <c r="O827" s="116">
        <v>15</v>
      </c>
      <c r="P827" s="116" t="e">
        <f>ROUND(Tableau13[[#This Row],[LEN]]*#REF!+#REF!,0)</f>
        <v>#REF!</v>
      </c>
    </row>
    <row r="828" spans="1:16" s="97" customFormat="1" x14ac:dyDescent="0.25">
      <c r="A828" s="45" t="s">
        <v>1641</v>
      </c>
      <c r="B828" s="46" t="s">
        <v>1637</v>
      </c>
      <c r="C828" s="47" t="s">
        <v>113</v>
      </c>
      <c r="D828" s="75" t="s">
        <v>28</v>
      </c>
      <c r="E828" s="47" t="s">
        <v>667</v>
      </c>
      <c r="F828" s="47" t="s">
        <v>669</v>
      </c>
      <c r="G828" s="75" t="s">
        <v>68</v>
      </c>
      <c r="H828" s="75" t="s">
        <v>654</v>
      </c>
      <c r="I828" s="47"/>
      <c r="J828" s="48" t="s">
        <v>708</v>
      </c>
      <c r="K828" s="116">
        <f>ROUND(Tableau13[[#This Row],[LEN]]*7.27,0)</f>
        <v>233</v>
      </c>
      <c r="L828" s="116">
        <v>15</v>
      </c>
      <c r="M828" s="133" t="str">
        <f t="shared" si="5"/>
        <v>none</v>
      </c>
      <c r="N828" s="116">
        <f>LEN(Tableau13[[#This Row],[LABEL]])</f>
        <v>32</v>
      </c>
      <c r="O828" s="116">
        <v>15</v>
      </c>
      <c r="P828" s="116" t="e">
        <f>ROUND(Tableau13[[#This Row],[LEN]]*#REF!+#REF!,0)</f>
        <v>#REF!</v>
      </c>
    </row>
    <row r="829" spans="1:16" s="97" customFormat="1" ht="15.75" thickBot="1" x14ac:dyDescent="0.3">
      <c r="A829" s="41" t="s">
        <v>1638</v>
      </c>
      <c r="B829" s="42" t="s">
        <v>301</v>
      </c>
      <c r="C829" s="43" t="s">
        <v>1639</v>
      </c>
      <c r="D829" s="74" t="s">
        <v>28</v>
      </c>
      <c r="E829" s="43" t="s">
        <v>679</v>
      </c>
      <c r="F829" s="43" t="s">
        <v>675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ROUND(Tableau13[[#This Row],[LEN]]*7.27,0)</f>
        <v>247</v>
      </c>
      <c r="L829" s="115">
        <v>15</v>
      </c>
      <c r="M829" s="132" t="str">
        <f t="shared" si="5"/>
        <v>none</v>
      </c>
      <c r="N829" s="115">
        <f>LEN(Tableau13[[#This Row],[LABEL]])</f>
        <v>34</v>
      </c>
      <c r="O829" s="115">
        <v>15</v>
      </c>
      <c r="P829" s="115" t="e">
        <f>ROUND(Tableau13[[#This Row],[LEN]]*#REF!+#REF!,0)</f>
        <v>#REF!</v>
      </c>
    </row>
    <row r="830" spans="1:16" s="97" customFormat="1" ht="15.75" thickTop="1" x14ac:dyDescent="0.25">
      <c r="A830" s="156" t="s">
        <v>203</v>
      </c>
      <c r="B830" s="156" t="s">
        <v>198</v>
      </c>
      <c r="C830" s="157" t="s">
        <v>1162</v>
      </c>
      <c r="D830" s="158" t="s">
        <v>471</v>
      </c>
      <c r="E830" s="158" t="s">
        <v>58</v>
      </c>
      <c r="F830" s="157" t="s">
        <v>665</v>
      </c>
      <c r="G830" s="158" t="s">
        <v>171</v>
      </c>
      <c r="H830" s="158" t="s">
        <v>615</v>
      </c>
      <c r="I830" s="157"/>
      <c r="J830" s="159" t="s">
        <v>707</v>
      </c>
      <c r="K830" s="160">
        <f>ROUND(Tableau13[[#This Row],[LEN]]*7.27,0)</f>
        <v>124</v>
      </c>
      <c r="L830" s="160">
        <v>15</v>
      </c>
      <c r="M830" s="161" t="str">
        <f t="shared" si="5"/>
        <v>new</v>
      </c>
      <c r="N830" s="160">
        <f>LEN(Tableau13[[#This Row],[LABEL]])</f>
        <v>17</v>
      </c>
      <c r="O830" s="162">
        <v>15</v>
      </c>
      <c r="P830" s="162" t="e">
        <f>ROUND(Tableau13[[#This Row],[LEN]]*#REF!+#REF!,0)</f>
        <v>#REF!</v>
      </c>
    </row>
    <row r="831" spans="1:16" s="92" customFormat="1" ht="15.75" thickBot="1" x14ac:dyDescent="0.3">
      <c r="A831" s="191" t="s">
        <v>209</v>
      </c>
      <c r="B831" s="191" t="s">
        <v>203</v>
      </c>
      <c r="C831" s="192" t="s">
        <v>177</v>
      </c>
      <c r="D831" s="193" t="s">
        <v>0</v>
      </c>
      <c r="E831" s="192" t="s">
        <v>58</v>
      </c>
      <c r="F831" s="193"/>
      <c r="G831" s="192" t="s">
        <v>169</v>
      </c>
      <c r="H831" s="192" t="s">
        <v>616</v>
      </c>
      <c r="I831" s="193"/>
      <c r="J831" s="194" t="s">
        <v>708</v>
      </c>
      <c r="K831" s="195">
        <f>ROUND(Tableau13[[#This Row],[LEN]]*7.27,0)</f>
        <v>153</v>
      </c>
      <c r="L831" s="195">
        <v>15</v>
      </c>
      <c r="M831" s="196" t="str">
        <f t="shared" si="5"/>
        <v>none</v>
      </c>
      <c r="N831" s="195">
        <f>LEN(Tableau13[[#This Row],[LABEL]])</f>
        <v>21</v>
      </c>
      <c r="O831" s="197">
        <v>15</v>
      </c>
      <c r="P831" s="197" t="e">
        <f>ROUND(Tableau13[[#This Row],[LEN]]*#REF!+#REF!,0)</f>
        <v>#REF!</v>
      </c>
    </row>
    <row r="832" spans="1:16" s="273" customFormat="1" ht="15.75" thickTop="1" x14ac:dyDescent="0.25">
      <c r="A832" s="344" t="s">
        <v>302</v>
      </c>
      <c r="B832" s="345" t="s">
        <v>209</v>
      </c>
      <c r="C832" s="346" t="s">
        <v>1</v>
      </c>
      <c r="D832" s="347" t="s">
        <v>28</v>
      </c>
      <c r="E832" s="346" t="s">
        <v>664</v>
      </c>
      <c r="F832" s="346" t="s">
        <v>664</v>
      </c>
      <c r="G832" s="347" t="s">
        <v>169</v>
      </c>
      <c r="H832" s="347" t="str">
        <f>IFERROR(IF(SEARCH(".00.00.00.00.00",Tableau13[[#This Row],[name]],1)=7,"Division",""),"")</f>
        <v>Division</v>
      </c>
      <c r="I832" s="346"/>
      <c r="J832" s="348" t="s">
        <v>708</v>
      </c>
      <c r="K832" s="349">
        <f>ROUND(Tableau13[[#This Row],[LEN]]*7.27,0)</f>
        <v>182</v>
      </c>
      <c r="L832" s="349">
        <v>15</v>
      </c>
      <c r="M832" s="350" t="str">
        <f t="shared" si="5"/>
        <v>none</v>
      </c>
      <c r="N832" s="349">
        <f>LEN(Tableau13[[#This Row],[LABEL]])</f>
        <v>25</v>
      </c>
      <c r="O832" s="349">
        <v>15</v>
      </c>
      <c r="P832" s="349" t="e">
        <f>ROUND(Tableau13[[#This Row],[LEN]]*#REF!+#REF!,0)</f>
        <v>#REF!</v>
      </c>
    </row>
    <row r="833" spans="1:16" s="273" customFormat="1" x14ac:dyDescent="0.25">
      <c r="A833" s="351" t="s">
        <v>303</v>
      </c>
      <c r="B833" s="352" t="s">
        <v>209</v>
      </c>
      <c r="C833" s="353" t="s">
        <v>57</v>
      </c>
      <c r="D833" s="354" t="s">
        <v>28</v>
      </c>
      <c r="E833" s="353" t="s">
        <v>663</v>
      </c>
      <c r="F833" s="353" t="s">
        <v>663</v>
      </c>
      <c r="G833" s="354" t="s">
        <v>169</v>
      </c>
      <c r="H833" s="354" t="str">
        <f>IFERROR(IF(SEARCH(".00.00.00.00.00",Tableau13[[#This Row],[name]],1)=7,"Division",""),"")</f>
        <v>Division</v>
      </c>
      <c r="I833" s="353"/>
      <c r="J833" s="355" t="s">
        <v>709</v>
      </c>
      <c r="K833" s="356">
        <f>ROUND(Tableau13[[#This Row],[LEN]]*7.27,0)</f>
        <v>102</v>
      </c>
      <c r="L833" s="356">
        <v>15</v>
      </c>
      <c r="M833" s="357" t="str">
        <f t="shared" si="5"/>
        <v>new</v>
      </c>
      <c r="N833" s="356">
        <f>LEN(Tableau13[[#This Row],[LABEL]])</f>
        <v>14</v>
      </c>
      <c r="O833" s="356">
        <v>15</v>
      </c>
      <c r="P833" s="356" t="e">
        <f>ROUND(Tableau13[[#This Row],[LEN]]*#REF!+#REF!,0)</f>
        <v>#REF!</v>
      </c>
    </row>
    <row r="834" spans="1:16" s="97" customFormat="1" x14ac:dyDescent="0.25">
      <c r="A834" s="49" t="s">
        <v>876</v>
      </c>
      <c r="B834" s="50" t="s">
        <v>303</v>
      </c>
      <c r="C834" s="51" t="s">
        <v>891</v>
      </c>
      <c r="D834" s="76" t="s">
        <v>28</v>
      </c>
      <c r="E834" s="51" t="s">
        <v>663</v>
      </c>
      <c r="F834" s="51" t="s">
        <v>663</v>
      </c>
      <c r="G834" s="76" t="s">
        <v>169</v>
      </c>
      <c r="H834" s="76" t="s">
        <v>655</v>
      </c>
      <c r="I834" s="51"/>
      <c r="J834" s="52" t="s">
        <v>708</v>
      </c>
      <c r="K834" s="117">
        <f>ROUND(Tableau13[[#This Row],[LEN]]*7.27,0)</f>
        <v>124</v>
      </c>
      <c r="L834" s="117">
        <v>15</v>
      </c>
      <c r="M834" s="134" t="str">
        <f t="shared" si="5"/>
        <v>none</v>
      </c>
      <c r="N834" s="117">
        <f>LEN(Tableau13[[#This Row],[LABEL]])</f>
        <v>17</v>
      </c>
      <c r="O834" s="117">
        <v>15</v>
      </c>
      <c r="P834" s="117" t="e">
        <f>ROUND(Tableau13[[#This Row],[LEN]]*#REF!+#REF!,0)</f>
        <v>#REF!</v>
      </c>
    </row>
    <row r="835" spans="1:16" s="97" customFormat="1" x14ac:dyDescent="0.25">
      <c r="A835" s="53" t="s">
        <v>884</v>
      </c>
      <c r="B835" s="54" t="s">
        <v>876</v>
      </c>
      <c r="C835" s="55" t="s">
        <v>890</v>
      </c>
      <c r="D835" s="77" t="s">
        <v>28</v>
      </c>
      <c r="E835" s="55" t="s">
        <v>663</v>
      </c>
      <c r="F835" s="55" t="s">
        <v>663</v>
      </c>
      <c r="G835" s="77" t="s">
        <v>169</v>
      </c>
      <c r="H835" s="77" t="s">
        <v>654</v>
      </c>
      <c r="I835" s="55"/>
      <c r="J835" s="56" t="s">
        <v>708</v>
      </c>
      <c r="K835" s="118">
        <f>ROUND(Tableau13[[#This Row],[LEN]]*7.27,0)</f>
        <v>138</v>
      </c>
      <c r="L835" s="118">
        <v>15</v>
      </c>
      <c r="M835" s="135" t="str">
        <f t="shared" si="5"/>
        <v>none</v>
      </c>
      <c r="N835" s="118">
        <f>LEN(Tableau13[[#This Row],[LABEL]])</f>
        <v>19</v>
      </c>
      <c r="O835" s="118">
        <v>15</v>
      </c>
      <c r="P835" s="118" t="e">
        <f>ROUND(Tableau13[[#This Row],[LEN]]*#REF!+#REF!,0)</f>
        <v>#REF!</v>
      </c>
    </row>
    <row r="836" spans="1:16" s="97" customFormat="1" x14ac:dyDescent="0.25">
      <c r="A836" s="53" t="s">
        <v>885</v>
      </c>
      <c r="B836" s="54" t="s">
        <v>876</v>
      </c>
      <c r="C836" s="55" t="s">
        <v>893</v>
      </c>
      <c r="D836" s="77" t="s">
        <v>28</v>
      </c>
      <c r="E836" s="55" t="s">
        <v>663</v>
      </c>
      <c r="F836" s="55" t="s">
        <v>663</v>
      </c>
      <c r="G836" s="77" t="s">
        <v>169</v>
      </c>
      <c r="H836" s="77" t="s">
        <v>656</v>
      </c>
      <c r="I836" s="55"/>
      <c r="J836" s="56" t="s">
        <v>708</v>
      </c>
      <c r="K836" s="118">
        <f>ROUND(Tableau13[[#This Row],[LEN]]*7.27,0)</f>
        <v>182</v>
      </c>
      <c r="L836" s="118">
        <v>15</v>
      </c>
      <c r="M836" s="135" t="str">
        <f t="shared" si="5"/>
        <v>none</v>
      </c>
      <c r="N836" s="118">
        <f>LEN(Tableau13[[#This Row],[LABEL]])</f>
        <v>25</v>
      </c>
      <c r="O836" s="118">
        <v>15</v>
      </c>
      <c r="P836" s="118" t="e">
        <f>ROUND(Tableau13[[#This Row],[LEN]]*#REF!+#REF!,0)</f>
        <v>#REF!</v>
      </c>
    </row>
    <row r="837" spans="1:16" s="97" customFormat="1" x14ac:dyDescent="0.25">
      <c r="A837" s="53" t="s">
        <v>886</v>
      </c>
      <c r="B837" s="54" t="s">
        <v>876</v>
      </c>
      <c r="C837" s="55" t="s">
        <v>894</v>
      </c>
      <c r="D837" s="77" t="s">
        <v>28</v>
      </c>
      <c r="E837" s="55" t="s">
        <v>663</v>
      </c>
      <c r="F837" s="55" t="s">
        <v>663</v>
      </c>
      <c r="G837" s="77" t="s">
        <v>169</v>
      </c>
      <c r="H837" s="77" t="s">
        <v>655</v>
      </c>
      <c r="I837" s="55"/>
      <c r="J837" s="56" t="s">
        <v>708</v>
      </c>
      <c r="K837" s="118">
        <f>ROUND(Tableau13[[#This Row],[LEN]]*7.27,0)</f>
        <v>153</v>
      </c>
      <c r="L837" s="118">
        <v>15</v>
      </c>
      <c r="M837" s="135" t="str">
        <f t="shared" si="5"/>
        <v>none</v>
      </c>
      <c r="N837" s="118">
        <f>LEN(Tableau13[[#This Row],[LABEL]])</f>
        <v>21</v>
      </c>
      <c r="O837" s="118">
        <v>15</v>
      </c>
      <c r="P837" s="118" t="e">
        <f>ROUND(Tableau13[[#This Row],[LEN]]*#REF!+#REF!,0)</f>
        <v>#REF!</v>
      </c>
    </row>
    <row r="838" spans="1:16" s="97" customFormat="1" x14ac:dyDescent="0.25">
      <c r="A838" s="57" t="s">
        <v>896</v>
      </c>
      <c r="B838" s="58" t="s">
        <v>886</v>
      </c>
      <c r="C838" s="59" t="s">
        <v>898</v>
      </c>
      <c r="D838" s="78" t="s">
        <v>28</v>
      </c>
      <c r="E838" s="59" t="s">
        <v>663</v>
      </c>
      <c r="F838" s="59" t="s">
        <v>663</v>
      </c>
      <c r="G838" s="78" t="s">
        <v>169</v>
      </c>
      <c r="H838" s="78" t="s">
        <v>656</v>
      </c>
      <c r="I838" s="59"/>
      <c r="J838" s="60" t="s">
        <v>708</v>
      </c>
      <c r="K838" s="119">
        <f>ROUND(Tableau13[[#This Row],[LEN]]*7.27,0)</f>
        <v>160</v>
      </c>
      <c r="L838" s="119">
        <v>15</v>
      </c>
      <c r="M838" s="136" t="str">
        <f t="shared" si="5"/>
        <v>none</v>
      </c>
      <c r="N838" s="119">
        <f>LEN(Tableau13[[#This Row],[LABEL]])</f>
        <v>22</v>
      </c>
      <c r="O838" s="119">
        <v>15</v>
      </c>
      <c r="P838" s="119" t="e">
        <f>ROUND(Tableau13[[#This Row],[LEN]]*#REF!+#REF!,0)</f>
        <v>#REF!</v>
      </c>
    </row>
    <row r="839" spans="1:16" s="97" customFormat="1" x14ac:dyDescent="0.25">
      <c r="A839" s="57" t="s">
        <v>897</v>
      </c>
      <c r="B839" s="58" t="s">
        <v>886</v>
      </c>
      <c r="C839" s="59" t="s">
        <v>899</v>
      </c>
      <c r="D839" s="78" t="s">
        <v>28</v>
      </c>
      <c r="E839" s="59" t="s">
        <v>663</v>
      </c>
      <c r="F839" s="59" t="s">
        <v>663</v>
      </c>
      <c r="G839" s="78" t="s">
        <v>169</v>
      </c>
      <c r="H839" s="78" t="s">
        <v>656</v>
      </c>
      <c r="I839" s="59"/>
      <c r="J839" s="60" t="s">
        <v>708</v>
      </c>
      <c r="K839" s="119">
        <f>ROUND(Tableau13[[#This Row],[LEN]]*7.27,0)</f>
        <v>204</v>
      </c>
      <c r="L839" s="119">
        <v>15</v>
      </c>
      <c r="M839" s="136" t="str">
        <f t="shared" si="5"/>
        <v>none</v>
      </c>
      <c r="N839" s="119">
        <f>LEN(Tableau13[[#This Row],[LABEL]])</f>
        <v>28</v>
      </c>
      <c r="O839" s="119">
        <v>15</v>
      </c>
      <c r="P839" s="119" t="e">
        <f>ROUND(Tableau13[[#This Row],[LEN]]*#REF!+#REF!,0)</f>
        <v>#REF!</v>
      </c>
    </row>
    <row r="840" spans="1:16" s="97" customFormat="1" x14ac:dyDescent="0.25">
      <c r="A840" s="53" t="s">
        <v>887</v>
      </c>
      <c r="B840" s="54" t="s">
        <v>876</v>
      </c>
      <c r="C840" s="55" t="s">
        <v>895</v>
      </c>
      <c r="D840" s="77" t="s">
        <v>28</v>
      </c>
      <c r="E840" s="55" t="s">
        <v>663</v>
      </c>
      <c r="F840" s="55" t="s">
        <v>663</v>
      </c>
      <c r="G840" s="77" t="s">
        <v>169</v>
      </c>
      <c r="H840" s="77" t="s">
        <v>654</v>
      </c>
      <c r="I840" s="55"/>
      <c r="J840" s="56" t="s">
        <v>708</v>
      </c>
      <c r="K840" s="118">
        <f>ROUND(Tableau13[[#This Row],[LEN]]*7.27,0)</f>
        <v>153</v>
      </c>
      <c r="L840" s="118">
        <v>15</v>
      </c>
      <c r="M840" s="135" t="str">
        <f t="shared" si="5"/>
        <v>none</v>
      </c>
      <c r="N840" s="118">
        <f>LEN(Tableau13[[#This Row],[LABEL]])</f>
        <v>21</v>
      </c>
      <c r="O840" s="118">
        <v>15</v>
      </c>
      <c r="P840" s="118" t="e">
        <f>ROUND(Tableau13[[#This Row],[LEN]]*#REF!+#REF!,0)</f>
        <v>#REF!</v>
      </c>
    </row>
    <row r="841" spans="1:16" s="97" customFormat="1" x14ac:dyDescent="0.25">
      <c r="A841" s="49" t="s">
        <v>877</v>
      </c>
      <c r="B841" s="50" t="s">
        <v>303</v>
      </c>
      <c r="C841" s="51" t="s">
        <v>881</v>
      </c>
      <c r="D841" s="76" t="s">
        <v>28</v>
      </c>
      <c r="E841" s="51" t="s">
        <v>663</v>
      </c>
      <c r="F841" s="51" t="s">
        <v>663</v>
      </c>
      <c r="G841" s="76" t="s">
        <v>169</v>
      </c>
      <c r="H841" s="76" t="s">
        <v>654</v>
      </c>
      <c r="I841" s="51"/>
      <c r="J841" s="52" t="s">
        <v>708</v>
      </c>
      <c r="K841" s="117">
        <f>ROUND(Tableau13[[#This Row],[LEN]]*7.27,0)</f>
        <v>189</v>
      </c>
      <c r="L841" s="117">
        <v>15</v>
      </c>
      <c r="M841" s="134" t="str">
        <f t="shared" si="5"/>
        <v>none</v>
      </c>
      <c r="N841" s="117">
        <f>LEN(Tableau13[[#This Row],[LABEL]])</f>
        <v>26</v>
      </c>
      <c r="O841" s="117">
        <v>15</v>
      </c>
      <c r="P841" s="117" t="e">
        <f>ROUND(Tableau13[[#This Row],[LEN]]*#REF!+#REF!,0)</f>
        <v>#REF!</v>
      </c>
    </row>
    <row r="842" spans="1:16" s="97" customFormat="1" x14ac:dyDescent="0.25">
      <c r="A842" s="49" t="s">
        <v>878</v>
      </c>
      <c r="B842" s="50" t="s">
        <v>303</v>
      </c>
      <c r="C842" s="51" t="s">
        <v>882</v>
      </c>
      <c r="D842" s="76" t="s">
        <v>28</v>
      </c>
      <c r="E842" s="51" t="s">
        <v>663</v>
      </c>
      <c r="F842" s="51" t="s">
        <v>663</v>
      </c>
      <c r="G842" s="76" t="s">
        <v>169</v>
      </c>
      <c r="H842" s="76" t="s">
        <v>654</v>
      </c>
      <c r="I842" s="51"/>
      <c r="J842" s="52" t="s">
        <v>708</v>
      </c>
      <c r="K842" s="117">
        <f>ROUND(Tableau13[[#This Row],[LEN]]*7.27,0)</f>
        <v>240</v>
      </c>
      <c r="L842" s="117">
        <v>15</v>
      </c>
      <c r="M842" s="134" t="str">
        <f t="shared" si="5"/>
        <v>none</v>
      </c>
      <c r="N842" s="117">
        <f>LEN(Tableau13[[#This Row],[LABEL]])</f>
        <v>33</v>
      </c>
      <c r="O842" s="117">
        <v>15</v>
      </c>
      <c r="P842" s="117" t="e">
        <f>ROUND(Tableau13[[#This Row],[LEN]]*#REF!+#REF!,0)</f>
        <v>#REF!</v>
      </c>
    </row>
    <row r="843" spans="1:16" s="97" customFormat="1" x14ac:dyDescent="0.25">
      <c r="A843" s="49" t="s">
        <v>879</v>
      </c>
      <c r="B843" s="50" t="s">
        <v>303</v>
      </c>
      <c r="C843" s="51" t="s">
        <v>883</v>
      </c>
      <c r="D843" s="76" t="s">
        <v>28</v>
      </c>
      <c r="E843" s="51" t="s">
        <v>663</v>
      </c>
      <c r="F843" s="51" t="s">
        <v>663</v>
      </c>
      <c r="G843" s="76" t="s">
        <v>169</v>
      </c>
      <c r="H843" s="76" t="s">
        <v>17</v>
      </c>
      <c r="I843" s="51"/>
      <c r="J843" s="52" t="s">
        <v>708</v>
      </c>
      <c r="K843" s="117">
        <f>ROUND(Tableau13[[#This Row],[LEN]]*7.27,0)</f>
        <v>276</v>
      </c>
      <c r="L843" s="117">
        <v>15</v>
      </c>
      <c r="M843" s="134" t="str">
        <f t="shared" si="5"/>
        <v>none</v>
      </c>
      <c r="N843" s="117">
        <f>LEN(Tableau13[[#This Row],[LABEL]])</f>
        <v>38</v>
      </c>
      <c r="O843" s="117">
        <v>15</v>
      </c>
      <c r="P843" s="117" t="e">
        <f>ROUND(Tableau13[[#This Row],[LEN]]*#REF!+#REF!,0)</f>
        <v>#REF!</v>
      </c>
    </row>
    <row r="844" spans="1:16" s="97" customFormat="1" x14ac:dyDescent="0.25">
      <c r="A844" s="49" t="s">
        <v>880</v>
      </c>
      <c r="B844" s="50" t="s">
        <v>303</v>
      </c>
      <c r="C844" s="51" t="s">
        <v>892</v>
      </c>
      <c r="D844" s="76" t="s">
        <v>28</v>
      </c>
      <c r="E844" s="51" t="s">
        <v>663</v>
      </c>
      <c r="F844" s="51" t="s">
        <v>663</v>
      </c>
      <c r="G844" s="76" t="s">
        <v>169</v>
      </c>
      <c r="H844" s="76" t="s">
        <v>655</v>
      </c>
      <c r="I844" s="51"/>
      <c r="J844" s="52" t="s">
        <v>708</v>
      </c>
      <c r="K844" s="117">
        <f>ROUND(Tableau13[[#This Row],[LEN]]*7.27,0)</f>
        <v>131</v>
      </c>
      <c r="L844" s="117">
        <v>15</v>
      </c>
      <c r="M844" s="134" t="str">
        <f t="shared" si="5"/>
        <v>none</v>
      </c>
      <c r="N844" s="117">
        <f>LEN(Tableau13[[#This Row],[LABEL]])</f>
        <v>18</v>
      </c>
      <c r="O844" s="117">
        <v>15</v>
      </c>
      <c r="P844" s="117" t="e">
        <f>ROUND(Tableau13[[#This Row],[LEN]]*#REF!+#REF!,0)</f>
        <v>#REF!</v>
      </c>
    </row>
    <row r="845" spans="1:16" s="97" customFormat="1" x14ac:dyDescent="0.25">
      <c r="A845" s="53" t="s">
        <v>888</v>
      </c>
      <c r="B845" s="54" t="s">
        <v>880</v>
      </c>
      <c r="C845" s="55" t="s">
        <v>900</v>
      </c>
      <c r="D845" s="77" t="s">
        <v>28</v>
      </c>
      <c r="E845" s="55" t="s">
        <v>663</v>
      </c>
      <c r="F845" s="55" t="s">
        <v>663</v>
      </c>
      <c r="G845" s="77" t="s">
        <v>169</v>
      </c>
      <c r="H845" s="77" t="s">
        <v>570</v>
      </c>
      <c r="I845" s="55"/>
      <c r="J845" s="56" t="s">
        <v>708</v>
      </c>
      <c r="K845" s="118">
        <f>ROUND(Tableau13[[#This Row],[LEN]]*7.27,0)</f>
        <v>73</v>
      </c>
      <c r="L845" s="118">
        <v>15</v>
      </c>
      <c r="M845" s="135" t="str">
        <f t="shared" si="5"/>
        <v>none</v>
      </c>
      <c r="N845" s="118">
        <f>LEN(Tableau13[[#This Row],[LABEL]])</f>
        <v>10</v>
      </c>
      <c r="O845" s="118">
        <v>15</v>
      </c>
      <c r="P845" s="118" t="e">
        <f>ROUND(Tableau13[[#This Row],[LEN]]*#REF!+#REF!,0)</f>
        <v>#REF!</v>
      </c>
    </row>
    <row r="846" spans="1:16" s="97" customFormat="1" x14ac:dyDescent="0.25">
      <c r="A846" s="53" t="s">
        <v>889</v>
      </c>
      <c r="B846" s="54" t="s">
        <v>880</v>
      </c>
      <c r="C846" s="55" t="s">
        <v>901</v>
      </c>
      <c r="D846" s="77" t="s">
        <v>28</v>
      </c>
      <c r="E846" s="55" t="s">
        <v>663</v>
      </c>
      <c r="F846" s="55" t="s">
        <v>663</v>
      </c>
      <c r="G846" s="77" t="s">
        <v>169</v>
      </c>
      <c r="H846" s="77" t="s">
        <v>654</v>
      </c>
      <c r="I846" s="55"/>
      <c r="J846" s="56" t="s">
        <v>708</v>
      </c>
      <c r="K846" s="118">
        <f>ROUND(Tableau13[[#This Row],[LEN]]*7.27,0)</f>
        <v>116</v>
      </c>
      <c r="L846" s="118">
        <v>15</v>
      </c>
      <c r="M846" s="135" t="str">
        <f t="shared" si="5"/>
        <v>none</v>
      </c>
      <c r="N846" s="118">
        <f>LEN(Tableau13[[#This Row],[LABEL]])</f>
        <v>16</v>
      </c>
      <c r="O846" s="118">
        <v>15</v>
      </c>
      <c r="P846" s="118" t="e">
        <f>ROUND(Tableau13[[#This Row],[LEN]]*#REF!+#REF!,0)</f>
        <v>#REF!</v>
      </c>
    </row>
    <row r="847" spans="1:16" s="273" customFormat="1" x14ac:dyDescent="0.25">
      <c r="A847" s="351" t="s">
        <v>304</v>
      </c>
      <c r="B847" s="352" t="s">
        <v>209</v>
      </c>
      <c r="C847" s="353" t="s">
        <v>2</v>
      </c>
      <c r="D847" s="354" t="s">
        <v>28</v>
      </c>
      <c r="E847" s="353" t="s">
        <v>662</v>
      </c>
      <c r="F847" s="353" t="s">
        <v>662</v>
      </c>
      <c r="G847" s="354" t="s">
        <v>169</v>
      </c>
      <c r="H847" s="354" t="str">
        <f>IFERROR(IF(SEARCH(".00.00.00.00.00",Tableau13[[#This Row],[name]],1)=7,"Division",""),"")</f>
        <v>Division</v>
      </c>
      <c r="I847" s="353"/>
      <c r="J847" s="355" t="s">
        <v>710</v>
      </c>
      <c r="K847" s="356">
        <f>ROUND(Tableau13[[#This Row],[LEN]]*7.27,0)</f>
        <v>65</v>
      </c>
      <c r="L847" s="356">
        <v>15</v>
      </c>
      <c r="M847" s="357" t="str">
        <f t="shared" si="5"/>
        <v>new</v>
      </c>
      <c r="N847" s="356">
        <f>LEN(Tableau13[[#This Row],[LABEL]])</f>
        <v>9</v>
      </c>
      <c r="O847" s="356">
        <v>15</v>
      </c>
      <c r="P847" s="356" t="e">
        <f>ROUND(Tableau13[[#This Row],[LEN]]*#REF!+#REF!,0)</f>
        <v>#REF!</v>
      </c>
    </row>
    <row r="848" spans="1:16" s="273" customFormat="1" x14ac:dyDescent="0.25">
      <c r="A848" s="351" t="s">
        <v>305</v>
      </c>
      <c r="B848" s="352" t="s">
        <v>209</v>
      </c>
      <c r="C848" s="353" t="s">
        <v>3</v>
      </c>
      <c r="D848" s="354" t="s">
        <v>28</v>
      </c>
      <c r="E848" s="353" t="s">
        <v>661</v>
      </c>
      <c r="F848" s="353" t="s">
        <v>661</v>
      </c>
      <c r="G848" s="354" t="s">
        <v>169</v>
      </c>
      <c r="H848" s="354" t="str">
        <f>IFERROR(IF(SEARCH(".00.00.00.00.00",Tableau13[[#This Row],[name]],1)=7,"Division",""),"")</f>
        <v>Division</v>
      </c>
      <c r="I848" s="353"/>
      <c r="J848" s="355" t="s">
        <v>711</v>
      </c>
      <c r="K848" s="356">
        <f>ROUND(Tableau13[[#This Row],[LEN]]*7.27,0)</f>
        <v>73</v>
      </c>
      <c r="L848" s="356">
        <v>15</v>
      </c>
      <c r="M848" s="357" t="str">
        <f t="shared" si="5"/>
        <v>new</v>
      </c>
      <c r="N848" s="356">
        <f>LEN(Tableau13[[#This Row],[LABEL]])</f>
        <v>10</v>
      </c>
      <c r="O848" s="356">
        <v>15</v>
      </c>
      <c r="P848" s="356" t="e">
        <f>ROUND(Tableau13[[#This Row],[LEN]]*#REF!+#REF!,0)</f>
        <v>#REF!</v>
      </c>
    </row>
    <row r="849" spans="1:16" s="97" customFormat="1" x14ac:dyDescent="0.25">
      <c r="A849" s="49" t="s">
        <v>406</v>
      </c>
      <c r="B849" s="50" t="s">
        <v>305</v>
      </c>
      <c r="C849" s="51" t="s">
        <v>128</v>
      </c>
      <c r="D849" s="76" t="s">
        <v>28</v>
      </c>
      <c r="E849" s="51" t="s">
        <v>669</v>
      </c>
      <c r="F849" s="51" t="s">
        <v>1674</v>
      </c>
      <c r="G849" s="76" t="s">
        <v>169</v>
      </c>
      <c r="H849" s="76" t="s">
        <v>570</v>
      </c>
      <c r="I849" s="51"/>
      <c r="J849" s="52" t="s">
        <v>708</v>
      </c>
      <c r="K849" s="117">
        <f>ROUND(Tableau13[[#This Row],[LEN]]*7.27,0)</f>
        <v>182</v>
      </c>
      <c r="L849" s="117">
        <v>15</v>
      </c>
      <c r="M849" s="134" t="str">
        <f t="shared" si="5"/>
        <v>none</v>
      </c>
      <c r="N849" s="117">
        <f>LEN(Tableau13[[#This Row],[LABEL]])</f>
        <v>25</v>
      </c>
      <c r="O849" s="117">
        <v>15</v>
      </c>
      <c r="P849" s="117" t="e">
        <f>ROUND(Tableau13[[#This Row],[LEN]]*#REF!+#REF!,0)</f>
        <v>#REF!</v>
      </c>
    </row>
    <row r="850" spans="1:16" s="97" customFormat="1" x14ac:dyDescent="0.25">
      <c r="A850" s="49" t="s">
        <v>406</v>
      </c>
      <c r="B850" s="50" t="s">
        <v>305</v>
      </c>
      <c r="C850" s="51" t="s">
        <v>130</v>
      </c>
      <c r="D850" s="76" t="s">
        <v>28</v>
      </c>
      <c r="E850" s="51" t="s">
        <v>661</v>
      </c>
      <c r="F850" s="51" t="s">
        <v>661</v>
      </c>
      <c r="G850" s="76" t="s">
        <v>169</v>
      </c>
      <c r="H850" s="76" t="s">
        <v>655</v>
      </c>
      <c r="I850" s="51"/>
      <c r="J850" s="52" t="s">
        <v>708</v>
      </c>
      <c r="K850" s="117">
        <f>ROUND(Tableau13[[#This Row],[LEN]]*7.27,0)</f>
        <v>131</v>
      </c>
      <c r="L850" s="117">
        <v>15</v>
      </c>
      <c r="M850" s="134" t="str">
        <f t="shared" si="5"/>
        <v>none</v>
      </c>
      <c r="N850" s="117">
        <f>LEN(Tableau13[[#This Row],[LABEL]])</f>
        <v>18</v>
      </c>
      <c r="O850" s="117">
        <v>15</v>
      </c>
      <c r="P850" s="117" t="e">
        <f>ROUND(Tableau13[[#This Row],[LEN]]*#REF!+#REF!,0)</f>
        <v>#REF!</v>
      </c>
    </row>
    <row r="851" spans="1:16" s="97" customFormat="1" x14ac:dyDescent="0.25">
      <c r="A851" s="53" t="s">
        <v>410</v>
      </c>
      <c r="B851" s="54" t="s">
        <v>406</v>
      </c>
      <c r="C851" s="55" t="s">
        <v>133</v>
      </c>
      <c r="D851" s="77" t="s">
        <v>28</v>
      </c>
      <c r="E851" s="55" t="s">
        <v>661</v>
      </c>
      <c r="F851" s="55" t="s">
        <v>661</v>
      </c>
      <c r="G851" s="77" t="s">
        <v>169</v>
      </c>
      <c r="H851" s="77" t="s">
        <v>654</v>
      </c>
      <c r="I851" s="55"/>
      <c r="J851" s="56" t="s">
        <v>708</v>
      </c>
      <c r="K851" s="118">
        <f>ROUND(Tableau13[[#This Row],[LEN]]*7.27,0)</f>
        <v>124</v>
      </c>
      <c r="L851" s="118">
        <v>15</v>
      </c>
      <c r="M851" s="135" t="str">
        <f t="shared" si="5"/>
        <v>none</v>
      </c>
      <c r="N851" s="118">
        <f>LEN(Tableau13[[#This Row],[LABEL]])</f>
        <v>17</v>
      </c>
      <c r="O851" s="118">
        <v>15</v>
      </c>
      <c r="P851" s="118" t="e">
        <f>ROUND(Tableau13[[#This Row],[LEN]]*#REF!+#REF!,0)</f>
        <v>#REF!</v>
      </c>
    </row>
    <row r="852" spans="1:16" s="97" customFormat="1" x14ac:dyDescent="0.25">
      <c r="A852" s="53" t="s">
        <v>411</v>
      </c>
      <c r="B852" s="54" t="s">
        <v>406</v>
      </c>
      <c r="C852" s="55" t="s">
        <v>134</v>
      </c>
      <c r="D852" s="77" t="s">
        <v>28</v>
      </c>
      <c r="E852" s="55" t="s">
        <v>661</v>
      </c>
      <c r="F852" s="55" t="s">
        <v>661</v>
      </c>
      <c r="G852" s="77" t="s">
        <v>169</v>
      </c>
      <c r="H852" s="77" t="s">
        <v>654</v>
      </c>
      <c r="I852" s="55"/>
      <c r="J852" s="56" t="s">
        <v>708</v>
      </c>
      <c r="K852" s="118">
        <f>ROUND(Tableau13[[#This Row],[LEN]]*7.27,0)</f>
        <v>124</v>
      </c>
      <c r="L852" s="118">
        <v>15</v>
      </c>
      <c r="M852" s="135" t="str">
        <f t="shared" si="5"/>
        <v>none</v>
      </c>
      <c r="N852" s="118">
        <f>LEN(Tableau13[[#This Row],[LABEL]])</f>
        <v>17</v>
      </c>
      <c r="O852" s="118">
        <v>15</v>
      </c>
      <c r="P852" s="118" t="e">
        <f>ROUND(Tableau13[[#This Row],[LEN]]*#REF!+#REF!,0)</f>
        <v>#REF!</v>
      </c>
    </row>
    <row r="853" spans="1:16" s="97" customFormat="1" x14ac:dyDescent="0.25">
      <c r="A853" s="49" t="s">
        <v>407</v>
      </c>
      <c r="B853" s="50" t="s">
        <v>305</v>
      </c>
      <c r="C853" s="51" t="s">
        <v>129</v>
      </c>
      <c r="D853" s="76" t="s">
        <v>28</v>
      </c>
      <c r="E853" s="51" t="s">
        <v>673</v>
      </c>
      <c r="F853" s="51" t="s">
        <v>1646</v>
      </c>
      <c r="G853" s="76" t="s">
        <v>169</v>
      </c>
      <c r="H853" s="76" t="s">
        <v>655</v>
      </c>
      <c r="I853" s="51"/>
      <c r="J853" s="52" t="s">
        <v>708</v>
      </c>
      <c r="K853" s="117">
        <f>ROUND(Tableau13[[#This Row],[LEN]]*7.27,0)</f>
        <v>87</v>
      </c>
      <c r="L853" s="117">
        <v>15</v>
      </c>
      <c r="M853" s="134" t="str">
        <f t="shared" si="5"/>
        <v>none</v>
      </c>
      <c r="N853" s="117">
        <f>LEN(Tableau13[[#This Row],[LABEL]])</f>
        <v>12</v>
      </c>
      <c r="O853" s="117">
        <v>15</v>
      </c>
      <c r="P853" s="117" t="e">
        <f>ROUND(Tableau13[[#This Row],[LEN]]*#REF!+#REF!,0)</f>
        <v>#REF!</v>
      </c>
    </row>
    <row r="854" spans="1:16" s="97" customFormat="1" x14ac:dyDescent="0.25">
      <c r="A854" s="53" t="s">
        <v>408</v>
      </c>
      <c r="B854" s="54" t="s">
        <v>407</v>
      </c>
      <c r="C854" s="55" t="s">
        <v>131</v>
      </c>
      <c r="D854" s="77" t="s">
        <v>28</v>
      </c>
      <c r="E854" s="55" t="s">
        <v>673</v>
      </c>
      <c r="F854" s="55" t="s">
        <v>1646</v>
      </c>
      <c r="G854" s="77" t="s">
        <v>169</v>
      </c>
      <c r="H854" s="77" t="s">
        <v>570</v>
      </c>
      <c r="I854" s="55"/>
      <c r="J854" s="56" t="s">
        <v>708</v>
      </c>
      <c r="K854" s="118">
        <f>ROUND(Tableau13[[#This Row],[LEN]]*7.27,0)</f>
        <v>262</v>
      </c>
      <c r="L854" s="118">
        <v>15</v>
      </c>
      <c r="M854" s="135" t="str">
        <f t="shared" si="5"/>
        <v>none</v>
      </c>
      <c r="N854" s="118">
        <f>LEN(Tableau13[[#This Row],[LABEL]])</f>
        <v>36</v>
      </c>
      <c r="O854" s="118">
        <v>15</v>
      </c>
      <c r="P854" s="118" t="e">
        <f>ROUND(Tableau13[[#This Row],[LEN]]*#REF!+#REF!,0)</f>
        <v>#REF!</v>
      </c>
    </row>
    <row r="855" spans="1:16" s="97" customFormat="1" x14ac:dyDescent="0.25">
      <c r="A855" s="53" t="s">
        <v>409</v>
      </c>
      <c r="B855" s="54" t="s">
        <v>407</v>
      </c>
      <c r="C855" s="55" t="s">
        <v>132</v>
      </c>
      <c r="D855" s="77" t="s">
        <v>28</v>
      </c>
      <c r="E855" s="55" t="s">
        <v>673</v>
      </c>
      <c r="F855" s="55" t="s">
        <v>1646</v>
      </c>
      <c r="G855" s="77" t="s">
        <v>169</v>
      </c>
      <c r="H855" s="77" t="s">
        <v>570</v>
      </c>
      <c r="I855" s="55"/>
      <c r="J855" s="56" t="s">
        <v>708</v>
      </c>
      <c r="K855" s="118">
        <f>ROUND(Tableau13[[#This Row],[LEN]]*7.27,0)</f>
        <v>298</v>
      </c>
      <c r="L855" s="118">
        <v>15</v>
      </c>
      <c r="M855" s="135" t="str">
        <f t="shared" si="5"/>
        <v>none</v>
      </c>
      <c r="N855" s="118">
        <f>LEN(Tableau13[[#This Row],[LABEL]])</f>
        <v>41</v>
      </c>
      <c r="O855" s="118">
        <v>15</v>
      </c>
      <c r="P855" s="118" t="e">
        <f>ROUND(Tableau13[[#This Row],[LEN]]*#REF!+#REF!,0)</f>
        <v>#REF!</v>
      </c>
    </row>
    <row r="856" spans="1:16" s="273" customFormat="1" x14ac:dyDescent="0.25">
      <c r="A856" s="351" t="s">
        <v>306</v>
      </c>
      <c r="B856" s="352" t="s">
        <v>209</v>
      </c>
      <c r="C856" s="353" t="s">
        <v>4</v>
      </c>
      <c r="D856" s="354" t="s">
        <v>28</v>
      </c>
      <c r="E856" s="353" t="s">
        <v>666</v>
      </c>
      <c r="F856" s="353" t="s">
        <v>666</v>
      </c>
      <c r="G856" s="354" t="s">
        <v>169</v>
      </c>
      <c r="H856" s="354" t="str">
        <f>IFERROR(IF(SEARCH(".00.00.00.00.00",Tableau13[[#This Row],[name]],1)=7,"Division",""),"")</f>
        <v>Division</v>
      </c>
      <c r="I856" s="353"/>
      <c r="J856" s="355" t="s">
        <v>712</v>
      </c>
      <c r="K856" s="356">
        <f>ROUND(Tableau13[[#This Row],[LEN]]*7.27,0)</f>
        <v>36</v>
      </c>
      <c r="L856" s="356">
        <v>15</v>
      </c>
      <c r="M856" s="357" t="str">
        <f t="shared" si="5"/>
        <v>new</v>
      </c>
      <c r="N856" s="356">
        <f>LEN(Tableau13[[#This Row],[LABEL]])</f>
        <v>5</v>
      </c>
      <c r="O856" s="356">
        <v>15</v>
      </c>
      <c r="P856" s="356" t="e">
        <f>ROUND(Tableau13[[#This Row],[LEN]]*#REF!+#REF!,0)</f>
        <v>#REF!</v>
      </c>
    </row>
    <row r="857" spans="1:16" s="97" customFormat="1" x14ac:dyDescent="0.25">
      <c r="A857" s="49" t="s">
        <v>1642</v>
      </c>
      <c r="B857" s="50" t="s">
        <v>306</v>
      </c>
      <c r="C857" s="51" t="s">
        <v>129</v>
      </c>
      <c r="D857" s="76" t="s">
        <v>28</v>
      </c>
      <c r="E857" s="51" t="s">
        <v>673</v>
      </c>
      <c r="F857" s="51" t="s">
        <v>1646</v>
      </c>
      <c r="G857" s="76" t="s">
        <v>169</v>
      </c>
      <c r="H857" s="76" t="s">
        <v>655</v>
      </c>
      <c r="I857" s="51"/>
      <c r="J857" s="52" t="s">
        <v>708</v>
      </c>
      <c r="K857" s="117">
        <f>ROUND(Tableau13[[#This Row],[LEN]]*7.27,0)</f>
        <v>87</v>
      </c>
      <c r="L857" s="117">
        <v>15</v>
      </c>
      <c r="M857" s="134" t="str">
        <f t="shared" si="5"/>
        <v>none</v>
      </c>
      <c r="N857" s="117">
        <f>LEN(Tableau13[[#This Row],[LABEL]])</f>
        <v>12</v>
      </c>
      <c r="O857" s="117">
        <v>15</v>
      </c>
      <c r="P857" s="117" t="e">
        <f>ROUND(Tableau13[[#This Row],[LEN]]*#REF!+#REF!,0)</f>
        <v>#REF!</v>
      </c>
    </row>
    <row r="858" spans="1:16" s="97" customFormat="1" x14ac:dyDescent="0.25">
      <c r="A858" s="53" t="s">
        <v>1647</v>
      </c>
      <c r="B858" s="54" t="s">
        <v>1642</v>
      </c>
      <c r="C858" s="55" t="s">
        <v>131</v>
      </c>
      <c r="D858" s="77" t="s">
        <v>28</v>
      </c>
      <c r="E858" s="55" t="s">
        <v>673</v>
      </c>
      <c r="F858" s="55" t="s">
        <v>1646</v>
      </c>
      <c r="G858" s="77" t="s">
        <v>169</v>
      </c>
      <c r="H858" s="77" t="s">
        <v>570</v>
      </c>
      <c r="I858" s="55"/>
      <c r="J858" s="56" t="s">
        <v>708</v>
      </c>
      <c r="K858" s="118">
        <f>ROUND(Tableau13[[#This Row],[LEN]]*7.27,0)</f>
        <v>262</v>
      </c>
      <c r="L858" s="118">
        <v>15</v>
      </c>
      <c r="M858" s="135" t="str">
        <f t="shared" si="5"/>
        <v>none</v>
      </c>
      <c r="N858" s="118">
        <f>LEN(Tableau13[[#This Row],[LABEL]])</f>
        <v>36</v>
      </c>
      <c r="O858" s="118">
        <v>15</v>
      </c>
      <c r="P858" s="118" t="e">
        <f>ROUND(Tableau13[[#This Row],[LEN]]*#REF!+#REF!,0)</f>
        <v>#REF!</v>
      </c>
    </row>
    <row r="859" spans="1:16" s="97" customFormat="1" x14ac:dyDescent="0.25">
      <c r="A859" s="53" t="s">
        <v>1648</v>
      </c>
      <c r="B859" s="54" t="s">
        <v>1642</v>
      </c>
      <c r="C859" s="55" t="s">
        <v>132</v>
      </c>
      <c r="D859" s="77" t="s">
        <v>28</v>
      </c>
      <c r="E859" s="55" t="s">
        <v>673</v>
      </c>
      <c r="F859" s="55" t="s">
        <v>1646</v>
      </c>
      <c r="G859" s="77" t="s">
        <v>169</v>
      </c>
      <c r="H859" s="77" t="s">
        <v>570</v>
      </c>
      <c r="I859" s="55"/>
      <c r="J859" s="56" t="s">
        <v>708</v>
      </c>
      <c r="K859" s="118">
        <f>ROUND(Tableau13[[#This Row],[LEN]]*7.27,0)</f>
        <v>298</v>
      </c>
      <c r="L859" s="118">
        <v>15</v>
      </c>
      <c r="M859" s="135" t="str">
        <f t="shared" si="5"/>
        <v>none</v>
      </c>
      <c r="N859" s="118">
        <f>LEN(Tableau13[[#This Row],[LABEL]])</f>
        <v>41</v>
      </c>
      <c r="O859" s="118">
        <v>15</v>
      </c>
      <c r="P859" s="118" t="e">
        <f>ROUND(Tableau13[[#This Row],[LEN]]*#REF!+#REF!,0)</f>
        <v>#REF!</v>
      </c>
    </row>
    <row r="860" spans="1:16" s="97" customFormat="1" x14ac:dyDescent="0.25">
      <c r="A860" s="49" t="s">
        <v>1643</v>
      </c>
      <c r="B860" s="50" t="s">
        <v>306</v>
      </c>
      <c r="C860" s="51" t="s">
        <v>1649</v>
      </c>
      <c r="D860" s="76" t="s">
        <v>28</v>
      </c>
      <c r="E860" s="51" t="s">
        <v>666</v>
      </c>
      <c r="F860" s="51" t="s">
        <v>1177</v>
      </c>
      <c r="G860" s="76" t="s">
        <v>169</v>
      </c>
      <c r="H860" s="76" t="s">
        <v>655</v>
      </c>
      <c r="I860" s="51"/>
      <c r="J860" s="52" t="s">
        <v>708</v>
      </c>
      <c r="K860" s="117">
        <f>ROUND(Tableau13[[#This Row],[LEN]]*7.27,0)</f>
        <v>145</v>
      </c>
      <c r="L860" s="117">
        <v>15</v>
      </c>
      <c r="M860" s="134" t="str">
        <f t="shared" si="5"/>
        <v>none</v>
      </c>
      <c r="N860" s="117">
        <f>LEN(Tableau13[[#This Row],[LABEL]])</f>
        <v>20</v>
      </c>
      <c r="O860" s="117">
        <v>15</v>
      </c>
      <c r="P860" s="117" t="e">
        <f>ROUND(Tableau13[[#This Row],[LEN]]*#REF!+#REF!,0)</f>
        <v>#REF!</v>
      </c>
    </row>
    <row r="861" spans="1:16" s="97" customFormat="1" x14ac:dyDescent="0.25">
      <c r="A861" s="53" t="s">
        <v>1650</v>
      </c>
      <c r="B861" s="54" t="s">
        <v>1643</v>
      </c>
      <c r="C861" s="55" t="s">
        <v>1657</v>
      </c>
      <c r="D861" s="77" t="s">
        <v>28</v>
      </c>
      <c r="E861" s="55" t="s">
        <v>666</v>
      </c>
      <c r="F861" s="55" t="s">
        <v>1177</v>
      </c>
      <c r="G861" s="77" t="s">
        <v>169</v>
      </c>
      <c r="H861" s="77" t="s">
        <v>654</v>
      </c>
      <c r="I861" s="55"/>
      <c r="J861" s="56" t="s">
        <v>708</v>
      </c>
      <c r="K861" s="118">
        <f>ROUND(Tableau13[[#This Row],[LEN]]*7.27,0)</f>
        <v>364</v>
      </c>
      <c r="L861" s="118">
        <v>15</v>
      </c>
      <c r="M861" s="135" t="str">
        <f t="shared" si="5"/>
        <v>none</v>
      </c>
      <c r="N861" s="118">
        <f>LEN(Tableau13[[#This Row],[LABEL]])</f>
        <v>50</v>
      </c>
      <c r="O861" s="118">
        <v>15</v>
      </c>
      <c r="P861" s="118" t="e">
        <f>ROUND(Tableau13[[#This Row],[LEN]]*#REF!+#REF!,0)</f>
        <v>#REF!</v>
      </c>
    </row>
    <row r="862" spans="1:16" s="97" customFormat="1" x14ac:dyDescent="0.25">
      <c r="A862" s="53" t="s">
        <v>1651</v>
      </c>
      <c r="B862" s="54" t="s">
        <v>1643</v>
      </c>
      <c r="C862" s="55" t="s">
        <v>1658</v>
      </c>
      <c r="D862" s="77" t="s">
        <v>28</v>
      </c>
      <c r="E862" s="55" t="s">
        <v>666</v>
      </c>
      <c r="F862" s="55" t="s">
        <v>1177</v>
      </c>
      <c r="G862" s="77" t="s">
        <v>169</v>
      </c>
      <c r="H862" s="77" t="s">
        <v>654</v>
      </c>
      <c r="I862" s="55"/>
      <c r="J862" s="56" t="s">
        <v>708</v>
      </c>
      <c r="K862" s="118">
        <f>ROUND(Tableau13[[#This Row],[LEN]]*7.27,0)</f>
        <v>131</v>
      </c>
      <c r="L862" s="118">
        <v>15</v>
      </c>
      <c r="M862" s="135" t="str">
        <f t="shared" si="5"/>
        <v>none</v>
      </c>
      <c r="N862" s="118">
        <f>LEN(Tableau13[[#This Row],[LABEL]])</f>
        <v>18</v>
      </c>
      <c r="O862" s="118">
        <v>15</v>
      </c>
      <c r="P862" s="118" t="e">
        <f>ROUND(Tableau13[[#This Row],[LEN]]*#REF!+#REF!,0)</f>
        <v>#REF!</v>
      </c>
    </row>
    <row r="863" spans="1:16" s="97" customFormat="1" x14ac:dyDescent="0.25">
      <c r="A863" s="53" t="s">
        <v>1652</v>
      </c>
      <c r="B863" s="54" t="s">
        <v>1643</v>
      </c>
      <c r="C863" s="55" t="s">
        <v>1659</v>
      </c>
      <c r="D863" s="77" t="s">
        <v>28</v>
      </c>
      <c r="E863" s="55" t="s">
        <v>666</v>
      </c>
      <c r="F863" s="55" t="s">
        <v>1177</v>
      </c>
      <c r="G863" s="77" t="s">
        <v>169</v>
      </c>
      <c r="H863" s="77" t="s">
        <v>654</v>
      </c>
      <c r="I863" s="55"/>
      <c r="J863" s="56" t="s">
        <v>708</v>
      </c>
      <c r="K863" s="118">
        <f>ROUND(Tableau13[[#This Row],[LEN]]*7.27,0)</f>
        <v>109</v>
      </c>
      <c r="L863" s="118">
        <v>15</v>
      </c>
      <c r="M863" s="135" t="str">
        <f t="shared" si="5"/>
        <v>none</v>
      </c>
      <c r="N863" s="118">
        <f>LEN(Tableau13[[#This Row],[LABEL]])</f>
        <v>15</v>
      </c>
      <c r="O863" s="118">
        <v>15</v>
      </c>
      <c r="P863" s="118" t="e">
        <f>ROUND(Tableau13[[#This Row],[LEN]]*#REF!+#REF!,0)</f>
        <v>#REF!</v>
      </c>
    </row>
    <row r="864" spans="1:16" s="97" customFormat="1" x14ac:dyDescent="0.25">
      <c r="A864" s="53" t="s">
        <v>1653</v>
      </c>
      <c r="B864" s="54" t="s">
        <v>1643</v>
      </c>
      <c r="C864" s="55" t="s">
        <v>134</v>
      </c>
      <c r="D864" s="77" t="s">
        <v>28</v>
      </c>
      <c r="E864" s="55" t="s">
        <v>666</v>
      </c>
      <c r="F864" s="55" t="s">
        <v>1177</v>
      </c>
      <c r="G864" s="77" t="s">
        <v>169</v>
      </c>
      <c r="H864" s="77" t="s">
        <v>654</v>
      </c>
      <c r="I864" s="55"/>
      <c r="J864" s="56" t="s">
        <v>708</v>
      </c>
      <c r="K864" s="118">
        <f>ROUND(Tableau13[[#This Row],[LEN]]*7.27,0)</f>
        <v>124</v>
      </c>
      <c r="L864" s="118">
        <v>15</v>
      </c>
      <c r="M864" s="135" t="str">
        <f t="shared" si="5"/>
        <v>none</v>
      </c>
      <c r="N864" s="118">
        <f>LEN(Tableau13[[#This Row],[LABEL]])</f>
        <v>17</v>
      </c>
      <c r="O864" s="118">
        <v>15</v>
      </c>
      <c r="P864" s="118" t="e">
        <f>ROUND(Tableau13[[#This Row],[LEN]]*#REF!+#REF!,0)</f>
        <v>#REF!</v>
      </c>
    </row>
    <row r="865" spans="1:16" s="97" customFormat="1" x14ac:dyDescent="0.25">
      <c r="A865" s="49" t="s">
        <v>1644</v>
      </c>
      <c r="B865" s="50" t="s">
        <v>306</v>
      </c>
      <c r="C865" s="51" t="s">
        <v>1654</v>
      </c>
      <c r="D865" s="76" t="s">
        <v>28</v>
      </c>
      <c r="E865" s="51" t="s">
        <v>666</v>
      </c>
      <c r="F865" s="51" t="s">
        <v>661</v>
      </c>
      <c r="G865" s="76" t="s">
        <v>169</v>
      </c>
      <c r="H865" s="76" t="s">
        <v>654</v>
      </c>
      <c r="I865" s="51"/>
      <c r="J865" s="52" t="s">
        <v>708</v>
      </c>
      <c r="K865" s="117">
        <f>ROUND(Tableau13[[#This Row],[LEN]]*7.27,0)</f>
        <v>160</v>
      </c>
      <c r="L865" s="117">
        <v>15</v>
      </c>
      <c r="M865" s="134" t="str">
        <f t="shared" si="5"/>
        <v>none</v>
      </c>
      <c r="N865" s="117">
        <f>LEN(Tableau13[[#This Row],[LABEL]])</f>
        <v>22</v>
      </c>
      <c r="O865" s="117">
        <v>15</v>
      </c>
      <c r="P865" s="117" t="e">
        <f>ROUND(Tableau13[[#This Row],[LEN]]*#REF!+#REF!,0)</f>
        <v>#REF!</v>
      </c>
    </row>
    <row r="866" spans="1:16" s="97" customFormat="1" x14ac:dyDescent="0.25">
      <c r="A866" s="49" t="s">
        <v>1645</v>
      </c>
      <c r="B866" s="50" t="s">
        <v>306</v>
      </c>
      <c r="C866" s="51" t="s">
        <v>1655</v>
      </c>
      <c r="D866" s="76" t="s">
        <v>1656</v>
      </c>
      <c r="E866" s="51" t="s">
        <v>673</v>
      </c>
      <c r="F866" s="51" t="s">
        <v>1660</v>
      </c>
      <c r="G866" s="76" t="s">
        <v>169</v>
      </c>
      <c r="H866" s="76" t="s">
        <v>654</v>
      </c>
      <c r="I866" s="51"/>
      <c r="J866" s="52" t="s">
        <v>708</v>
      </c>
      <c r="K866" s="117">
        <f>ROUND(Tableau13[[#This Row],[LEN]]*7.27,0)</f>
        <v>291</v>
      </c>
      <c r="L866" s="117">
        <v>15</v>
      </c>
      <c r="M866" s="134" t="str">
        <f t="shared" si="5"/>
        <v>none</v>
      </c>
      <c r="N866" s="117">
        <f>LEN(Tableau13[[#This Row],[LABEL]])</f>
        <v>40</v>
      </c>
      <c r="O866" s="117">
        <v>15</v>
      </c>
      <c r="P866" s="117" t="e">
        <f>ROUND(Tableau13[[#This Row],[LEN]]*#REF!+#REF!,0)</f>
        <v>#REF!</v>
      </c>
    </row>
    <row r="867" spans="1:16" s="273" customFormat="1" x14ac:dyDescent="0.25">
      <c r="A867" s="351" t="s">
        <v>307</v>
      </c>
      <c r="B867" s="352" t="s">
        <v>209</v>
      </c>
      <c r="C867" s="353" t="s">
        <v>80</v>
      </c>
      <c r="D867" s="354" t="s">
        <v>28</v>
      </c>
      <c r="E867" s="353" t="s">
        <v>667</v>
      </c>
      <c r="F867" s="353" t="s">
        <v>667</v>
      </c>
      <c r="G867" s="354" t="s">
        <v>169</v>
      </c>
      <c r="H867" s="354" t="str">
        <f>IFERROR(IF(SEARCH(".00.00.00.00.00",Tableau13[[#This Row],[name]],1)=7,"Division",""),"")</f>
        <v>Division</v>
      </c>
      <c r="I867" s="353"/>
      <c r="J867" s="355" t="s">
        <v>713</v>
      </c>
      <c r="K867" s="356">
        <f>ROUND(Tableau13[[#This Row],[LEN]]*7.27,0)</f>
        <v>116</v>
      </c>
      <c r="L867" s="356">
        <v>15</v>
      </c>
      <c r="M867" s="357" t="str">
        <f t="shared" si="5"/>
        <v>new</v>
      </c>
      <c r="N867" s="356">
        <f>LEN(Tableau13[[#This Row],[LABEL]])</f>
        <v>16</v>
      </c>
      <c r="O867" s="356">
        <v>15</v>
      </c>
      <c r="P867" s="356" t="e">
        <f>ROUND(Tableau13[[#This Row],[LEN]]*#REF!+#REF!,0)</f>
        <v>#REF!</v>
      </c>
    </row>
    <row r="868" spans="1:16" s="273" customFormat="1" x14ac:dyDescent="0.25">
      <c r="A868" s="351" t="s">
        <v>308</v>
      </c>
      <c r="B868" s="352" t="s">
        <v>209</v>
      </c>
      <c r="C868" s="353" t="s">
        <v>5</v>
      </c>
      <c r="D868" s="354" t="s">
        <v>28</v>
      </c>
      <c r="E868" s="353" t="s">
        <v>668</v>
      </c>
      <c r="F868" s="353" t="s">
        <v>668</v>
      </c>
      <c r="G868" s="354" t="s">
        <v>169</v>
      </c>
      <c r="H868" s="354" t="str">
        <f>IFERROR(IF(SEARCH(".00.00.00.00.00",Tableau13[[#This Row],[name]],1)=7,"Division",""),"")</f>
        <v>Division</v>
      </c>
      <c r="I868" s="353"/>
      <c r="J868" s="355" t="s">
        <v>714</v>
      </c>
      <c r="K868" s="356">
        <f>ROUND(Tableau13[[#This Row],[LEN]]*7.27,0)</f>
        <v>73</v>
      </c>
      <c r="L868" s="356">
        <v>15</v>
      </c>
      <c r="M868" s="357" t="str">
        <f t="shared" si="5"/>
        <v>new</v>
      </c>
      <c r="N868" s="356">
        <f>LEN(Tableau13[[#This Row],[LABEL]])</f>
        <v>10</v>
      </c>
      <c r="O868" s="356">
        <v>15</v>
      </c>
      <c r="P868" s="356" t="e">
        <f>ROUND(Tableau13[[#This Row],[LEN]]*#REF!+#REF!,0)</f>
        <v>#REF!</v>
      </c>
    </row>
    <row r="869" spans="1:16" s="97" customFormat="1" x14ac:dyDescent="0.25">
      <c r="A869" s="49" t="s">
        <v>1661</v>
      </c>
      <c r="B869" s="50" t="s">
        <v>308</v>
      </c>
      <c r="C869" s="51" t="s">
        <v>1662</v>
      </c>
      <c r="D869" s="76" t="s">
        <v>28</v>
      </c>
      <c r="E869" s="51" t="s">
        <v>668</v>
      </c>
      <c r="F869" s="51" t="s">
        <v>1339</v>
      </c>
      <c r="G869" s="76" t="s">
        <v>169</v>
      </c>
      <c r="H869" s="76" t="s">
        <v>56</v>
      </c>
      <c r="I869" s="51"/>
      <c r="J869" s="52" t="s">
        <v>708</v>
      </c>
      <c r="K869" s="117">
        <f>ROUND(Tableau13[[#This Row],[LEN]]*7.27,0)</f>
        <v>218</v>
      </c>
      <c r="L869" s="117">
        <v>15</v>
      </c>
      <c r="M869" s="134" t="str">
        <f t="shared" si="5"/>
        <v>none</v>
      </c>
      <c r="N869" s="117">
        <f>LEN(Tableau13[[#This Row],[LABEL]])</f>
        <v>30</v>
      </c>
      <c r="O869" s="117">
        <v>15</v>
      </c>
      <c r="P869" s="117" t="e">
        <f>ROUND(Tableau13[[#This Row],[LEN]]*#REF!+#REF!,0)</f>
        <v>#REF!</v>
      </c>
    </row>
    <row r="870" spans="1:16" s="273" customFormat="1" x14ac:dyDescent="0.25">
      <c r="A870" s="351" t="s">
        <v>309</v>
      </c>
      <c r="B870" s="352" t="s">
        <v>209</v>
      </c>
      <c r="C870" s="353" t="s">
        <v>6</v>
      </c>
      <c r="D870" s="354" t="s">
        <v>28</v>
      </c>
      <c r="E870" s="353" t="s">
        <v>669</v>
      </c>
      <c r="F870" s="353" t="s">
        <v>669</v>
      </c>
      <c r="G870" s="354" t="s">
        <v>169</v>
      </c>
      <c r="H870" s="354" t="str">
        <f>IFERROR(IF(SEARCH(".00.00.00.00.00",Tableau13[[#This Row],[name]],1)=7,"Division",""),"")</f>
        <v>Division</v>
      </c>
      <c r="I870" s="353"/>
      <c r="J870" s="355" t="s">
        <v>715</v>
      </c>
      <c r="K870" s="356">
        <f>ROUND(Tableau13[[#This Row],[LEN]]*7.27,0)</f>
        <v>196</v>
      </c>
      <c r="L870" s="356">
        <v>15</v>
      </c>
      <c r="M870" s="357" t="str">
        <f t="shared" si="5"/>
        <v>new</v>
      </c>
      <c r="N870" s="356">
        <f>LEN(Tableau13[[#This Row],[LABEL]])</f>
        <v>27</v>
      </c>
      <c r="O870" s="356">
        <v>15</v>
      </c>
      <c r="P870" s="356" t="e">
        <f>ROUND(Tableau13[[#This Row],[LEN]]*#REF!+#REF!,0)</f>
        <v>#REF!</v>
      </c>
    </row>
    <row r="871" spans="1:16" s="97" customFormat="1" x14ac:dyDescent="0.25">
      <c r="A871" s="49" t="s">
        <v>1663</v>
      </c>
      <c r="B871" s="50" t="s">
        <v>309</v>
      </c>
      <c r="C871" s="51" t="s">
        <v>128</v>
      </c>
      <c r="D871" s="76" t="s">
        <v>28</v>
      </c>
      <c r="E871" s="51" t="s">
        <v>669</v>
      </c>
      <c r="F871" s="51" t="s">
        <v>1674</v>
      </c>
      <c r="G871" s="76" t="s">
        <v>169</v>
      </c>
      <c r="H871" s="76" t="s">
        <v>570</v>
      </c>
      <c r="I871" s="51"/>
      <c r="J871" s="52" t="s">
        <v>708</v>
      </c>
      <c r="K871" s="117">
        <f>ROUND(Tableau13[[#This Row],[LEN]]*7.27,0)</f>
        <v>182</v>
      </c>
      <c r="L871" s="117">
        <v>15</v>
      </c>
      <c r="M871" s="134" t="str">
        <f t="shared" si="5"/>
        <v>none</v>
      </c>
      <c r="N871" s="117">
        <f>LEN(Tableau13[[#This Row],[LABEL]])</f>
        <v>25</v>
      </c>
      <c r="O871" s="117">
        <v>15</v>
      </c>
      <c r="P871" s="117" t="e">
        <f>ROUND(Tableau13[[#This Row],[LEN]]*#REF!+#REF!,0)</f>
        <v>#REF!</v>
      </c>
    </row>
    <row r="872" spans="1:16" s="97" customFormat="1" x14ac:dyDescent="0.25">
      <c r="A872" s="49" t="s">
        <v>1664</v>
      </c>
      <c r="B872" s="50" t="s">
        <v>309</v>
      </c>
      <c r="C872" s="51" t="s">
        <v>129</v>
      </c>
      <c r="D872" s="76" t="s">
        <v>28</v>
      </c>
      <c r="E872" s="51" t="s">
        <v>673</v>
      </c>
      <c r="F872" s="51" t="s">
        <v>1646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ROUND(Tableau13[[#This Row],[LEN]]*7.27,0)</f>
        <v>87</v>
      </c>
      <c r="L872" s="117">
        <v>15</v>
      </c>
      <c r="M872" s="134" t="str">
        <f t="shared" si="5"/>
        <v>none</v>
      </c>
      <c r="N872" s="117">
        <f>LEN(Tableau13[[#This Row],[LABEL]])</f>
        <v>12</v>
      </c>
      <c r="O872" s="117">
        <v>15</v>
      </c>
      <c r="P872" s="117" t="e">
        <f>ROUND(Tableau13[[#This Row],[LEN]]*#REF!+#REF!,0)</f>
        <v>#REF!</v>
      </c>
    </row>
    <row r="873" spans="1:16" s="97" customFormat="1" x14ac:dyDescent="0.25">
      <c r="A873" s="53" t="s">
        <v>1675</v>
      </c>
      <c r="B873" s="54" t="s">
        <v>1664</v>
      </c>
      <c r="C873" s="55" t="s">
        <v>131</v>
      </c>
      <c r="D873" s="77" t="s">
        <v>28</v>
      </c>
      <c r="E873" s="55" t="s">
        <v>673</v>
      </c>
      <c r="F873" s="55" t="s">
        <v>1646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ROUND(Tableau13[[#This Row],[LEN]]*7.27,0)</f>
        <v>262</v>
      </c>
      <c r="L873" s="118">
        <v>15</v>
      </c>
      <c r="M873" s="135" t="str">
        <f t="shared" si="5"/>
        <v>none</v>
      </c>
      <c r="N873" s="118">
        <f>LEN(Tableau13[[#This Row],[LABEL]])</f>
        <v>36</v>
      </c>
      <c r="O873" s="118">
        <v>15</v>
      </c>
      <c r="P873" s="118" t="e">
        <f>ROUND(Tableau13[[#This Row],[LEN]]*#REF!+#REF!,0)</f>
        <v>#REF!</v>
      </c>
    </row>
    <row r="874" spans="1:16" s="97" customFormat="1" x14ac:dyDescent="0.25">
      <c r="A874" s="53" t="s">
        <v>1676</v>
      </c>
      <c r="B874" s="54" t="s">
        <v>1664</v>
      </c>
      <c r="C874" s="55" t="s">
        <v>132</v>
      </c>
      <c r="D874" s="77" t="s">
        <v>28</v>
      </c>
      <c r="E874" s="55" t="s">
        <v>673</v>
      </c>
      <c r="F874" s="55" t="s">
        <v>1646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ROUND(Tableau13[[#This Row],[LEN]]*7.27,0)</f>
        <v>298</v>
      </c>
      <c r="L874" s="118">
        <v>15</v>
      </c>
      <c r="M874" s="135" t="str">
        <f t="shared" si="5"/>
        <v>none</v>
      </c>
      <c r="N874" s="118">
        <f>LEN(Tableau13[[#This Row],[LABEL]])</f>
        <v>41</v>
      </c>
      <c r="O874" s="118">
        <v>15</v>
      </c>
      <c r="P874" s="118" t="e">
        <f>ROUND(Tableau13[[#This Row],[LEN]]*#REF!+#REF!,0)</f>
        <v>#REF!</v>
      </c>
    </row>
    <row r="875" spans="1:16" s="97" customFormat="1" x14ac:dyDescent="0.25">
      <c r="A875" s="49" t="s">
        <v>1665</v>
      </c>
      <c r="B875" s="50" t="s">
        <v>309</v>
      </c>
      <c r="C875" s="51" t="s">
        <v>1677</v>
      </c>
      <c r="D875" s="76" t="s">
        <v>28</v>
      </c>
      <c r="E875" s="51" t="s">
        <v>669</v>
      </c>
      <c r="F875" s="51" t="s">
        <v>1177</v>
      </c>
      <c r="G875" s="76" t="s">
        <v>169</v>
      </c>
      <c r="H875" s="76" t="s">
        <v>654</v>
      </c>
      <c r="I875" s="51"/>
      <c r="J875" s="52" t="s">
        <v>708</v>
      </c>
      <c r="K875" s="117">
        <f>ROUND(Tableau13[[#This Row],[LEN]]*7.27,0)</f>
        <v>109</v>
      </c>
      <c r="L875" s="117">
        <v>15</v>
      </c>
      <c r="M875" s="134" t="str">
        <f t="shared" si="5"/>
        <v>none</v>
      </c>
      <c r="N875" s="117">
        <f>LEN(Tableau13[[#This Row],[LABEL]])</f>
        <v>15</v>
      </c>
      <c r="O875" s="117">
        <v>15</v>
      </c>
      <c r="P875" s="117" t="e">
        <f>ROUND(Tableau13[[#This Row],[LEN]]*#REF!+#REF!,0)</f>
        <v>#REF!</v>
      </c>
    </row>
    <row r="876" spans="1:16" s="97" customFormat="1" x14ac:dyDescent="0.25">
      <c r="A876" s="49" t="s">
        <v>1666</v>
      </c>
      <c r="B876" s="50" t="s">
        <v>309</v>
      </c>
      <c r="C876" s="51" t="s">
        <v>1678</v>
      </c>
      <c r="D876" s="76" t="s">
        <v>28</v>
      </c>
      <c r="E876" s="51" t="s">
        <v>669</v>
      </c>
      <c r="F876" s="51" t="s">
        <v>1177</v>
      </c>
      <c r="G876" s="76" t="s">
        <v>169</v>
      </c>
      <c r="H876" s="76" t="s">
        <v>654</v>
      </c>
      <c r="I876" s="51"/>
      <c r="J876" s="52" t="s">
        <v>708</v>
      </c>
      <c r="K876" s="117">
        <f>ROUND(Tableau13[[#This Row],[LEN]]*7.27,0)</f>
        <v>196</v>
      </c>
      <c r="L876" s="117">
        <v>15</v>
      </c>
      <c r="M876" s="134" t="str">
        <f t="shared" si="5"/>
        <v>none</v>
      </c>
      <c r="N876" s="117">
        <f>LEN(Tableau13[[#This Row],[LABEL]])</f>
        <v>27</v>
      </c>
      <c r="O876" s="117">
        <v>15</v>
      </c>
      <c r="P876" s="117" t="e">
        <f>ROUND(Tableau13[[#This Row],[LEN]]*#REF!+#REF!,0)</f>
        <v>#REF!</v>
      </c>
    </row>
    <row r="877" spans="1:16" s="97" customFormat="1" x14ac:dyDescent="0.25">
      <c r="A877" s="49" t="s">
        <v>1667</v>
      </c>
      <c r="B877" s="50" t="s">
        <v>309</v>
      </c>
      <c r="C877" s="51" t="s">
        <v>1679</v>
      </c>
      <c r="D877" s="76" t="s">
        <v>28</v>
      </c>
      <c r="E877" s="51" t="s">
        <v>669</v>
      </c>
      <c r="F877" s="51" t="s">
        <v>1177</v>
      </c>
      <c r="G877" s="76" t="s">
        <v>169</v>
      </c>
      <c r="H877" s="76" t="s">
        <v>654</v>
      </c>
      <c r="I877" s="51"/>
      <c r="J877" s="52" t="s">
        <v>708</v>
      </c>
      <c r="K877" s="117">
        <f>ROUND(Tableau13[[#This Row],[LEN]]*7.27,0)</f>
        <v>254</v>
      </c>
      <c r="L877" s="117">
        <v>15</v>
      </c>
      <c r="M877" s="134" t="str">
        <f t="shared" ref="M877:M940" si="6">IF(J877="javascript:void(0)","none","new")</f>
        <v>none</v>
      </c>
      <c r="N877" s="117">
        <f>LEN(Tableau13[[#This Row],[LABEL]])</f>
        <v>35</v>
      </c>
      <c r="O877" s="117">
        <v>15</v>
      </c>
      <c r="P877" s="117" t="e">
        <f>ROUND(Tableau13[[#This Row],[LEN]]*#REF!+#REF!,0)</f>
        <v>#REF!</v>
      </c>
    </row>
    <row r="878" spans="1:16" s="97" customFormat="1" x14ac:dyDescent="0.25">
      <c r="A878" s="49" t="s">
        <v>1668</v>
      </c>
      <c r="B878" s="50" t="s">
        <v>309</v>
      </c>
      <c r="C878" s="51" t="s">
        <v>1680</v>
      </c>
      <c r="D878" s="76" t="s">
        <v>28</v>
      </c>
      <c r="E878" s="51" t="s">
        <v>669</v>
      </c>
      <c r="F878" s="51" t="s">
        <v>1177</v>
      </c>
      <c r="G878" s="76" t="s">
        <v>169</v>
      </c>
      <c r="H878" s="76" t="s">
        <v>654</v>
      </c>
      <c r="I878" s="51"/>
      <c r="J878" s="52" t="s">
        <v>708</v>
      </c>
      <c r="K878" s="117">
        <f>ROUND(Tableau13[[#This Row],[LEN]]*7.27,0)</f>
        <v>269</v>
      </c>
      <c r="L878" s="117">
        <v>15</v>
      </c>
      <c r="M878" s="134" t="str">
        <f t="shared" si="6"/>
        <v>none</v>
      </c>
      <c r="N878" s="117">
        <f>LEN(Tableau13[[#This Row],[LABEL]])</f>
        <v>37</v>
      </c>
      <c r="O878" s="117">
        <v>15</v>
      </c>
      <c r="P878" s="117" t="e">
        <f>ROUND(Tableau13[[#This Row],[LEN]]*#REF!+#REF!,0)</f>
        <v>#REF!</v>
      </c>
    </row>
    <row r="879" spans="1:16" s="97" customFormat="1" x14ac:dyDescent="0.25">
      <c r="A879" s="49" t="s">
        <v>1669</v>
      </c>
      <c r="B879" s="50" t="s">
        <v>309</v>
      </c>
      <c r="C879" s="51" t="s">
        <v>1681</v>
      </c>
      <c r="D879" s="76" t="s">
        <v>28</v>
      </c>
      <c r="E879" s="51" t="s">
        <v>669</v>
      </c>
      <c r="F879" s="51" t="s">
        <v>1177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ROUND(Tableau13[[#This Row],[LEN]]*7.27,0)</f>
        <v>305</v>
      </c>
      <c r="L879" s="117">
        <v>15</v>
      </c>
      <c r="M879" s="134" t="str">
        <f t="shared" si="6"/>
        <v>none</v>
      </c>
      <c r="N879" s="117">
        <f>LEN(Tableau13[[#This Row],[LABEL]])</f>
        <v>42</v>
      </c>
      <c r="O879" s="117">
        <v>15</v>
      </c>
      <c r="P879" s="117" t="e">
        <f>ROUND(Tableau13[[#This Row],[LEN]]*#REF!+#REF!,0)</f>
        <v>#REF!</v>
      </c>
    </row>
    <row r="880" spans="1:16" s="97" customFormat="1" x14ac:dyDescent="0.25">
      <c r="A880" s="53" t="s">
        <v>1682</v>
      </c>
      <c r="B880" s="54" t="s">
        <v>1669</v>
      </c>
      <c r="C880" s="55" t="s">
        <v>1688</v>
      </c>
      <c r="D880" s="77" t="s">
        <v>1687</v>
      </c>
      <c r="E880" s="55" t="s">
        <v>669</v>
      </c>
      <c r="F880" s="55" t="s">
        <v>1177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ROUND(Tableau13[[#This Row],[LEN]]*7.27,0)</f>
        <v>465</v>
      </c>
      <c r="L880" s="118">
        <v>15</v>
      </c>
      <c r="M880" s="135" t="str">
        <f t="shared" si="6"/>
        <v>none</v>
      </c>
      <c r="N880" s="118">
        <f>LEN(Tableau13[[#This Row],[LABEL]])</f>
        <v>64</v>
      </c>
      <c r="O880" s="118">
        <v>15</v>
      </c>
      <c r="P880" s="118" t="e">
        <f>ROUND(Tableau13[[#This Row],[LEN]]*#REF!+#REF!,0)</f>
        <v>#REF!</v>
      </c>
    </row>
    <row r="881" spans="1:16" s="97" customFormat="1" x14ac:dyDescent="0.25">
      <c r="A881" s="53" t="s">
        <v>1683</v>
      </c>
      <c r="B881" s="54" t="s">
        <v>1669</v>
      </c>
      <c r="C881" s="55" t="s">
        <v>1689</v>
      </c>
      <c r="D881" s="77" t="s">
        <v>28</v>
      </c>
      <c r="E881" s="55" t="s">
        <v>669</v>
      </c>
      <c r="F881" s="55" t="s">
        <v>1177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ROUND(Tableau13[[#This Row],[LEN]]*7.27,0)</f>
        <v>422</v>
      </c>
      <c r="L881" s="118">
        <v>15</v>
      </c>
      <c r="M881" s="135" t="str">
        <f t="shared" si="6"/>
        <v>none</v>
      </c>
      <c r="N881" s="118">
        <f>LEN(Tableau13[[#This Row],[LABEL]])</f>
        <v>58</v>
      </c>
      <c r="O881" s="118">
        <v>15</v>
      </c>
      <c r="P881" s="118" t="e">
        <f>ROUND(Tableau13[[#This Row],[LEN]]*#REF!+#REF!,0)</f>
        <v>#REF!</v>
      </c>
    </row>
    <row r="882" spans="1:16" s="97" customFormat="1" x14ac:dyDescent="0.25">
      <c r="A882" s="53" t="s">
        <v>1684</v>
      </c>
      <c r="B882" s="54" t="s">
        <v>1669</v>
      </c>
      <c r="C882" s="55" t="s">
        <v>1690</v>
      </c>
      <c r="D882" s="77" t="s">
        <v>28</v>
      </c>
      <c r="E882" s="55" t="s">
        <v>669</v>
      </c>
      <c r="F882" s="55" t="s">
        <v>1177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ROUND(Tableau13[[#This Row],[LEN]]*7.27,0)</f>
        <v>313</v>
      </c>
      <c r="L882" s="118">
        <v>15</v>
      </c>
      <c r="M882" s="135" t="str">
        <f t="shared" si="6"/>
        <v>none</v>
      </c>
      <c r="N882" s="118">
        <f>LEN(Tableau13[[#This Row],[LABEL]])</f>
        <v>43</v>
      </c>
      <c r="O882" s="118">
        <v>15</v>
      </c>
      <c r="P882" s="118" t="e">
        <f>ROUND(Tableau13[[#This Row],[LEN]]*#REF!+#REF!,0)</f>
        <v>#REF!</v>
      </c>
    </row>
    <row r="883" spans="1:16" s="97" customFormat="1" x14ac:dyDescent="0.25">
      <c r="A883" s="53" t="s">
        <v>1685</v>
      </c>
      <c r="B883" s="54" t="s">
        <v>1669</v>
      </c>
      <c r="C883" s="55" t="s">
        <v>1691</v>
      </c>
      <c r="D883" s="77" t="s">
        <v>1701</v>
      </c>
      <c r="E883" s="55" t="s">
        <v>669</v>
      </c>
      <c r="F883" s="55" t="s">
        <v>1177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ROUND(Tableau13[[#This Row],[LEN]]*7.27,0)</f>
        <v>523</v>
      </c>
      <c r="L883" s="118">
        <v>15</v>
      </c>
      <c r="M883" s="135" t="str">
        <f t="shared" si="6"/>
        <v>none</v>
      </c>
      <c r="N883" s="118">
        <f>LEN(Tableau13[[#This Row],[LABEL]])</f>
        <v>72</v>
      </c>
      <c r="O883" s="118">
        <v>15</v>
      </c>
      <c r="P883" s="118" t="e">
        <f>ROUND(Tableau13[[#This Row],[LEN]]*#REF!+#REF!,0)</f>
        <v>#REF!</v>
      </c>
    </row>
    <row r="884" spans="1:16" s="97" customFormat="1" x14ac:dyDescent="0.25">
      <c r="A884" s="53" t="s">
        <v>1686</v>
      </c>
      <c r="B884" s="54" t="s">
        <v>1669</v>
      </c>
      <c r="C884" s="55" t="s">
        <v>1692</v>
      </c>
      <c r="D884" s="77" t="s">
        <v>28</v>
      </c>
      <c r="E884" s="55" t="s">
        <v>669</v>
      </c>
      <c r="F884" s="55" t="s">
        <v>1177</v>
      </c>
      <c r="G884" s="77" t="s">
        <v>169</v>
      </c>
      <c r="H884" s="77" t="s">
        <v>655</v>
      </c>
      <c r="I884" s="55"/>
      <c r="J884" s="56" t="s">
        <v>708</v>
      </c>
      <c r="K884" s="118">
        <f>ROUND(Tableau13[[#This Row],[LEN]]*7.27,0)</f>
        <v>233</v>
      </c>
      <c r="L884" s="118">
        <v>15</v>
      </c>
      <c r="M884" s="135" t="str">
        <f t="shared" si="6"/>
        <v>none</v>
      </c>
      <c r="N884" s="118">
        <f>LEN(Tableau13[[#This Row],[LABEL]])</f>
        <v>32</v>
      </c>
      <c r="O884" s="118">
        <v>15</v>
      </c>
      <c r="P884" s="118" t="e">
        <f>ROUND(Tableau13[[#This Row],[LEN]]*#REF!+#REF!,0)</f>
        <v>#REF!</v>
      </c>
    </row>
    <row r="885" spans="1:16" s="97" customFormat="1" x14ac:dyDescent="0.25">
      <c r="A885" s="410" t="s">
        <v>1693</v>
      </c>
      <c r="B885" s="411" t="s">
        <v>1686</v>
      </c>
      <c r="C885" s="412" t="s">
        <v>1697</v>
      </c>
      <c r="D885" s="413" t="s">
        <v>28</v>
      </c>
      <c r="E885" s="412" t="s">
        <v>669</v>
      </c>
      <c r="F885" s="412" t="s">
        <v>1177</v>
      </c>
      <c r="G885" s="413" t="s">
        <v>169</v>
      </c>
      <c r="H885" s="414" t="s">
        <v>654</v>
      </c>
      <c r="I885" s="412"/>
      <c r="J885" s="415" t="s">
        <v>708</v>
      </c>
      <c r="K885" s="416">
        <f>ROUND(Tableau13[[#This Row],[LEN]]*7.27,0)</f>
        <v>145</v>
      </c>
      <c r="L885" s="416">
        <v>15</v>
      </c>
      <c r="M885" s="417" t="str">
        <f t="shared" si="6"/>
        <v>none</v>
      </c>
      <c r="N885" s="416">
        <f>LEN(Tableau13[[#This Row],[LABEL]])</f>
        <v>20</v>
      </c>
      <c r="O885" s="416">
        <v>15</v>
      </c>
      <c r="P885" s="416" t="e">
        <f>ROUND(Tableau13[[#This Row],[LEN]]*#REF!+#REF!,0)</f>
        <v>#REF!</v>
      </c>
    </row>
    <row r="886" spans="1:16" s="97" customFormat="1" x14ac:dyDescent="0.25">
      <c r="A886" s="410" t="s">
        <v>1694</v>
      </c>
      <c r="B886" s="411" t="s">
        <v>1686</v>
      </c>
      <c r="C886" s="412" t="s">
        <v>1698</v>
      </c>
      <c r="D886" s="413" t="s">
        <v>28</v>
      </c>
      <c r="E886" s="412" t="s">
        <v>669</v>
      </c>
      <c r="F886" s="412" t="s">
        <v>1177</v>
      </c>
      <c r="G886" s="413" t="s">
        <v>169</v>
      </c>
      <c r="H886" s="414" t="s">
        <v>654</v>
      </c>
      <c r="I886" s="412"/>
      <c r="J886" s="415" t="s">
        <v>708</v>
      </c>
      <c r="K886" s="416">
        <f>ROUND(Tableau13[[#This Row],[LEN]]*7.27,0)</f>
        <v>174</v>
      </c>
      <c r="L886" s="416">
        <v>15</v>
      </c>
      <c r="M886" s="417" t="str">
        <f t="shared" si="6"/>
        <v>none</v>
      </c>
      <c r="N886" s="416">
        <f>LEN(Tableau13[[#This Row],[LABEL]])</f>
        <v>24</v>
      </c>
      <c r="O886" s="416">
        <v>15</v>
      </c>
      <c r="P886" s="416" t="e">
        <f>ROUND(Tableau13[[#This Row],[LEN]]*#REF!+#REF!,0)</f>
        <v>#REF!</v>
      </c>
    </row>
    <row r="887" spans="1:16" s="97" customFormat="1" x14ac:dyDescent="0.25">
      <c r="A887" s="410" t="s">
        <v>1695</v>
      </c>
      <c r="B887" s="411" t="s">
        <v>1686</v>
      </c>
      <c r="C887" s="412" t="s">
        <v>1699</v>
      </c>
      <c r="D887" s="413" t="s">
        <v>28</v>
      </c>
      <c r="E887" s="412" t="s">
        <v>669</v>
      </c>
      <c r="F887" s="412" t="s">
        <v>1177</v>
      </c>
      <c r="G887" s="413" t="s">
        <v>169</v>
      </c>
      <c r="H887" s="414" t="s">
        <v>654</v>
      </c>
      <c r="I887" s="412"/>
      <c r="J887" s="415" t="s">
        <v>708</v>
      </c>
      <c r="K887" s="416">
        <f>ROUND(Tableau13[[#This Row],[LEN]]*7.27,0)</f>
        <v>138</v>
      </c>
      <c r="L887" s="416">
        <v>15</v>
      </c>
      <c r="M887" s="417" t="str">
        <f t="shared" si="6"/>
        <v>none</v>
      </c>
      <c r="N887" s="416">
        <f>LEN(Tableau13[[#This Row],[LABEL]])</f>
        <v>19</v>
      </c>
      <c r="O887" s="416">
        <v>15</v>
      </c>
      <c r="P887" s="416" t="e">
        <f>ROUND(Tableau13[[#This Row],[LEN]]*#REF!+#REF!,0)</f>
        <v>#REF!</v>
      </c>
    </row>
    <row r="888" spans="1:16" s="97" customFormat="1" x14ac:dyDescent="0.25">
      <c r="A888" s="410" t="s">
        <v>1696</v>
      </c>
      <c r="B888" s="411" t="s">
        <v>1686</v>
      </c>
      <c r="C888" s="412" t="s">
        <v>1700</v>
      </c>
      <c r="D888" s="413" t="s">
        <v>28</v>
      </c>
      <c r="E888" s="412" t="s">
        <v>669</v>
      </c>
      <c r="F888" s="412" t="s">
        <v>1177</v>
      </c>
      <c r="G888" s="413" t="s">
        <v>169</v>
      </c>
      <c r="H888" s="414" t="s">
        <v>654</v>
      </c>
      <c r="I888" s="412"/>
      <c r="J888" s="415" t="s">
        <v>708</v>
      </c>
      <c r="K888" s="416">
        <f>ROUND(Tableau13[[#This Row],[LEN]]*7.27,0)</f>
        <v>131</v>
      </c>
      <c r="L888" s="416">
        <v>15</v>
      </c>
      <c r="M888" s="417" t="str">
        <f t="shared" si="6"/>
        <v>none</v>
      </c>
      <c r="N888" s="416">
        <f>LEN(Tableau13[[#This Row],[LABEL]])</f>
        <v>18</v>
      </c>
      <c r="O888" s="416">
        <v>15</v>
      </c>
      <c r="P888" s="416" t="e">
        <f>ROUND(Tableau13[[#This Row],[LEN]]*#REF!+#REF!,0)</f>
        <v>#REF!</v>
      </c>
    </row>
    <row r="889" spans="1:16" s="97" customFormat="1" x14ac:dyDescent="0.25">
      <c r="A889" s="49" t="s">
        <v>1670</v>
      </c>
      <c r="B889" s="50" t="s">
        <v>309</v>
      </c>
      <c r="C889" s="51" t="s">
        <v>1702</v>
      </c>
      <c r="D889" s="76" t="s">
        <v>1703</v>
      </c>
      <c r="E889" s="51" t="s">
        <v>669</v>
      </c>
      <c r="F889" s="51" t="s">
        <v>661</v>
      </c>
      <c r="G889" s="76" t="s">
        <v>169</v>
      </c>
      <c r="H889" s="76" t="s">
        <v>654</v>
      </c>
      <c r="I889" s="51"/>
      <c r="J889" s="52" t="s">
        <v>708</v>
      </c>
      <c r="K889" s="117">
        <f>ROUND(Tableau13[[#This Row],[LEN]]*7.27,0)</f>
        <v>247</v>
      </c>
      <c r="L889" s="117">
        <v>15</v>
      </c>
      <c r="M889" s="134" t="str">
        <f t="shared" si="6"/>
        <v>none</v>
      </c>
      <c r="N889" s="117">
        <f>LEN(Tableau13[[#This Row],[LABEL]])</f>
        <v>34</v>
      </c>
      <c r="O889" s="117">
        <v>15</v>
      </c>
      <c r="P889" s="117" t="e">
        <f>ROUND(Tableau13[[#This Row],[LEN]]*#REF!+#REF!,0)</f>
        <v>#REF!</v>
      </c>
    </row>
    <row r="890" spans="1:16" s="97" customFormat="1" x14ac:dyDescent="0.25">
      <c r="A890" s="49" t="s">
        <v>1671</v>
      </c>
      <c r="B890" s="50" t="s">
        <v>309</v>
      </c>
      <c r="C890" s="51" t="s">
        <v>549</v>
      </c>
      <c r="D890" s="76" t="s">
        <v>28</v>
      </c>
      <c r="E890" s="51" t="s">
        <v>673</v>
      </c>
      <c r="F890" s="51" t="s">
        <v>1704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ROUND(Tableau13[[#This Row],[LEN]]*7.27,0)</f>
        <v>145</v>
      </c>
      <c r="L890" s="117">
        <v>15</v>
      </c>
      <c r="M890" s="134" t="str">
        <f t="shared" si="6"/>
        <v>none</v>
      </c>
      <c r="N890" s="117">
        <f>LEN(Tableau13[[#This Row],[LABEL]])</f>
        <v>20</v>
      </c>
      <c r="O890" s="117">
        <v>15</v>
      </c>
      <c r="P890" s="117" t="e">
        <f>ROUND(Tableau13[[#This Row],[LEN]]*#REF!+#REF!,0)</f>
        <v>#REF!</v>
      </c>
    </row>
    <row r="891" spans="1:16" s="97" customFormat="1" x14ac:dyDescent="0.25">
      <c r="A891" s="53" t="s">
        <v>1705</v>
      </c>
      <c r="B891" s="54" t="s">
        <v>1671</v>
      </c>
      <c r="C891" s="55" t="s">
        <v>590</v>
      </c>
      <c r="D891" s="77" t="s">
        <v>28</v>
      </c>
      <c r="E891" s="55" t="s">
        <v>673</v>
      </c>
      <c r="F891" s="55" t="s">
        <v>1704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ROUND(Tableau13[[#This Row],[LEN]]*7.27,0)</f>
        <v>102</v>
      </c>
      <c r="L891" s="118">
        <v>15</v>
      </c>
      <c r="M891" s="135" t="str">
        <f t="shared" si="6"/>
        <v>none</v>
      </c>
      <c r="N891" s="118">
        <f>LEN(Tableau13[[#This Row],[LABEL]])</f>
        <v>14</v>
      </c>
      <c r="O891" s="118">
        <v>15</v>
      </c>
      <c r="P891" s="118" t="e">
        <f>ROUND(Tableau13[[#This Row],[LEN]]*#REF!+#REF!,0)</f>
        <v>#REF!</v>
      </c>
    </row>
    <row r="892" spans="1:16" s="97" customFormat="1" x14ac:dyDescent="0.25">
      <c r="A892" s="53" t="s">
        <v>1706</v>
      </c>
      <c r="B892" s="54" t="s">
        <v>1671</v>
      </c>
      <c r="C892" s="55" t="s">
        <v>591</v>
      </c>
      <c r="D892" s="77" t="s">
        <v>28</v>
      </c>
      <c r="E892" s="55" t="s">
        <v>673</v>
      </c>
      <c r="F892" s="55" t="s">
        <v>1704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ROUND(Tableau13[[#This Row],[LEN]]*7.27,0)</f>
        <v>262</v>
      </c>
      <c r="L892" s="118">
        <v>15</v>
      </c>
      <c r="M892" s="135" t="str">
        <f t="shared" si="6"/>
        <v>none</v>
      </c>
      <c r="N892" s="118">
        <f>LEN(Tableau13[[#This Row],[LABEL]])</f>
        <v>36</v>
      </c>
      <c r="O892" s="118">
        <v>15</v>
      </c>
      <c r="P892" s="118" t="e">
        <f>ROUND(Tableau13[[#This Row],[LEN]]*#REF!+#REF!,0)</f>
        <v>#REF!</v>
      </c>
    </row>
    <row r="893" spans="1:16" s="97" customFormat="1" x14ac:dyDescent="0.25">
      <c r="A893" s="53" t="s">
        <v>1707</v>
      </c>
      <c r="B893" s="54" t="s">
        <v>1671</v>
      </c>
      <c r="C893" s="55" t="s">
        <v>592</v>
      </c>
      <c r="D893" s="77" t="s">
        <v>28</v>
      </c>
      <c r="E893" s="55" t="s">
        <v>673</v>
      </c>
      <c r="F893" s="55" t="s">
        <v>1704</v>
      </c>
      <c r="G893" s="77" t="s">
        <v>169</v>
      </c>
      <c r="H893" s="77" t="s">
        <v>570</v>
      </c>
      <c r="I893" s="55"/>
      <c r="J893" s="56" t="s">
        <v>708</v>
      </c>
      <c r="K893" s="118">
        <f>ROUND(Tableau13[[#This Row],[LEN]]*7.27,0)</f>
        <v>189</v>
      </c>
      <c r="L893" s="118">
        <v>15</v>
      </c>
      <c r="M893" s="135" t="str">
        <f t="shared" si="6"/>
        <v>none</v>
      </c>
      <c r="N893" s="118">
        <f>LEN(Tableau13[[#This Row],[LABEL]])</f>
        <v>26</v>
      </c>
      <c r="O893" s="118">
        <v>15</v>
      </c>
      <c r="P893" s="118" t="e">
        <f>ROUND(Tableau13[[#This Row],[LEN]]*#REF!+#REF!,0)</f>
        <v>#REF!</v>
      </c>
    </row>
    <row r="894" spans="1:16" s="97" customFormat="1" x14ac:dyDescent="0.25">
      <c r="A894" s="53" t="s">
        <v>1708</v>
      </c>
      <c r="B894" s="54" t="s">
        <v>1671</v>
      </c>
      <c r="C894" s="55" t="s">
        <v>597</v>
      </c>
      <c r="D894" s="77" t="s">
        <v>28</v>
      </c>
      <c r="E894" s="55" t="s">
        <v>673</v>
      </c>
      <c r="F894" s="55" t="s">
        <v>1704</v>
      </c>
      <c r="G894" s="77" t="s">
        <v>169</v>
      </c>
      <c r="H894" s="77" t="s">
        <v>570</v>
      </c>
      <c r="I894" s="55"/>
      <c r="J894" s="56" t="s">
        <v>708</v>
      </c>
      <c r="K894" s="118">
        <f>ROUND(Tableau13[[#This Row],[LEN]]*7.27,0)</f>
        <v>465</v>
      </c>
      <c r="L894" s="118">
        <v>15</v>
      </c>
      <c r="M894" s="135" t="str">
        <f t="shared" si="6"/>
        <v>none</v>
      </c>
      <c r="N894" s="118">
        <f>LEN(Tableau13[[#This Row],[LABEL]])</f>
        <v>64</v>
      </c>
      <c r="O894" s="118">
        <v>15</v>
      </c>
      <c r="P894" s="118" t="e">
        <f>ROUND(Tableau13[[#This Row],[LEN]]*#REF!+#REF!,0)</f>
        <v>#REF!</v>
      </c>
    </row>
    <row r="895" spans="1:16" s="97" customFormat="1" x14ac:dyDescent="0.25">
      <c r="A895" s="49" t="s">
        <v>1672</v>
      </c>
      <c r="B895" s="50" t="s">
        <v>309</v>
      </c>
      <c r="C895" s="51" t="s">
        <v>1709</v>
      </c>
      <c r="D895" s="76" t="s">
        <v>28</v>
      </c>
      <c r="E895" s="51" t="s">
        <v>669</v>
      </c>
      <c r="F895" s="51" t="s">
        <v>1177</v>
      </c>
      <c r="G895" s="76" t="s">
        <v>169</v>
      </c>
      <c r="H895" s="76" t="s">
        <v>655</v>
      </c>
      <c r="I895" s="51"/>
      <c r="J895" s="52" t="s">
        <v>708</v>
      </c>
      <c r="K895" s="117">
        <f>ROUND(Tableau13[[#This Row],[LEN]]*7.27,0)</f>
        <v>138</v>
      </c>
      <c r="L895" s="117">
        <v>15</v>
      </c>
      <c r="M895" s="134" t="str">
        <f t="shared" si="6"/>
        <v>none</v>
      </c>
      <c r="N895" s="117">
        <f>LEN(Tableau13[[#This Row],[LABEL]])</f>
        <v>19</v>
      </c>
      <c r="O895" s="117">
        <v>15</v>
      </c>
      <c r="P895" s="117" t="e">
        <f>ROUND(Tableau13[[#This Row],[LEN]]*#REF!+#REF!,0)</f>
        <v>#REF!</v>
      </c>
    </row>
    <row r="896" spans="1:16" s="97" customFormat="1" x14ac:dyDescent="0.25">
      <c r="A896" s="53" t="s">
        <v>1710</v>
      </c>
      <c r="B896" s="54" t="s">
        <v>1672</v>
      </c>
      <c r="C896" s="55" t="s">
        <v>1713</v>
      </c>
      <c r="D896" s="77" t="s">
        <v>28</v>
      </c>
      <c r="E896" s="55" t="s">
        <v>669</v>
      </c>
      <c r="F896" s="55" t="s">
        <v>1177</v>
      </c>
      <c r="G896" s="77" t="s">
        <v>169</v>
      </c>
      <c r="H896" s="77" t="s">
        <v>654</v>
      </c>
      <c r="I896" s="55"/>
      <c r="J896" s="56" t="s">
        <v>708</v>
      </c>
      <c r="K896" s="118">
        <f>ROUND(Tableau13[[#This Row],[LEN]]*7.27,0)</f>
        <v>422</v>
      </c>
      <c r="L896" s="118">
        <v>15</v>
      </c>
      <c r="M896" s="135" t="str">
        <f t="shared" si="6"/>
        <v>none</v>
      </c>
      <c r="N896" s="118">
        <f>LEN(Tableau13[[#This Row],[LABEL]])</f>
        <v>58</v>
      </c>
      <c r="O896" s="118">
        <v>15</v>
      </c>
      <c r="P896" s="118" t="e">
        <f>ROUND(Tableau13[[#This Row],[LEN]]*#REF!+#REF!,0)</f>
        <v>#REF!</v>
      </c>
    </row>
    <row r="897" spans="1:16" s="97" customFormat="1" x14ac:dyDescent="0.25">
      <c r="A897" s="53" t="s">
        <v>1711</v>
      </c>
      <c r="B897" s="54" t="s">
        <v>1672</v>
      </c>
      <c r="C897" s="55" t="s">
        <v>1714</v>
      </c>
      <c r="D897" s="77" t="s">
        <v>28</v>
      </c>
      <c r="E897" s="55" t="s">
        <v>669</v>
      </c>
      <c r="F897" s="55" t="s">
        <v>1177</v>
      </c>
      <c r="G897" s="77" t="s">
        <v>169</v>
      </c>
      <c r="H897" s="77" t="s">
        <v>654</v>
      </c>
      <c r="I897" s="55"/>
      <c r="J897" s="56" t="s">
        <v>708</v>
      </c>
      <c r="K897" s="118">
        <f>ROUND(Tableau13[[#This Row],[LEN]]*7.27,0)</f>
        <v>174</v>
      </c>
      <c r="L897" s="118">
        <v>15</v>
      </c>
      <c r="M897" s="135" t="str">
        <f t="shared" si="6"/>
        <v>none</v>
      </c>
      <c r="N897" s="118">
        <f>LEN(Tableau13[[#This Row],[LABEL]])</f>
        <v>24</v>
      </c>
      <c r="O897" s="118">
        <v>15</v>
      </c>
      <c r="P897" s="118" t="e">
        <f>ROUND(Tableau13[[#This Row],[LEN]]*#REF!+#REF!,0)</f>
        <v>#REF!</v>
      </c>
    </row>
    <row r="898" spans="1:16" s="97" customFormat="1" x14ac:dyDescent="0.25">
      <c r="A898" s="53" t="s">
        <v>1712</v>
      </c>
      <c r="B898" s="54" t="s">
        <v>1672</v>
      </c>
      <c r="C898" s="55" t="s">
        <v>1715</v>
      </c>
      <c r="D898" s="77" t="s">
        <v>28</v>
      </c>
      <c r="E898" s="55" t="s">
        <v>669</v>
      </c>
      <c r="F898" s="55" t="s">
        <v>1177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ROUND(Tableau13[[#This Row],[LEN]]*7.27,0)</f>
        <v>145</v>
      </c>
      <c r="L898" s="118">
        <v>15</v>
      </c>
      <c r="M898" s="135" t="str">
        <f t="shared" si="6"/>
        <v>none</v>
      </c>
      <c r="N898" s="118">
        <f>LEN(Tableau13[[#This Row],[LABEL]])</f>
        <v>20</v>
      </c>
      <c r="O898" s="118">
        <v>15</v>
      </c>
      <c r="P898" s="118" t="e">
        <f>ROUND(Tableau13[[#This Row],[LEN]]*#REF!+#REF!,0)</f>
        <v>#REF!</v>
      </c>
    </row>
    <row r="899" spans="1:16" s="97" customFormat="1" x14ac:dyDescent="0.25">
      <c r="A899" s="49" t="s">
        <v>1673</v>
      </c>
      <c r="B899" s="50" t="s">
        <v>309</v>
      </c>
      <c r="C899" s="51" t="s">
        <v>598</v>
      </c>
      <c r="D899" s="76" t="s">
        <v>28</v>
      </c>
      <c r="E899" s="51" t="s">
        <v>673</v>
      </c>
      <c r="F899" s="51" t="s">
        <v>1646</v>
      </c>
      <c r="G899" s="76" t="s">
        <v>169</v>
      </c>
      <c r="H899" s="76" t="s">
        <v>654</v>
      </c>
      <c r="I899" s="51"/>
      <c r="J899" s="52" t="s">
        <v>708</v>
      </c>
      <c r="K899" s="117">
        <f>ROUND(Tableau13[[#This Row],[LEN]]*7.27,0)</f>
        <v>553</v>
      </c>
      <c r="L899" s="117">
        <v>15</v>
      </c>
      <c r="M899" s="134" t="str">
        <f t="shared" si="6"/>
        <v>none</v>
      </c>
      <c r="N899" s="117">
        <f>LEN(Tableau13[[#This Row],[LABEL]])</f>
        <v>76</v>
      </c>
      <c r="O899" s="117">
        <v>15</v>
      </c>
      <c r="P899" s="117" t="e">
        <f>ROUND(Tableau13[[#This Row],[LEN]]*#REF!+#REF!,0)</f>
        <v>#REF!</v>
      </c>
    </row>
    <row r="900" spans="1:16" s="273" customFormat="1" x14ac:dyDescent="0.25">
      <c r="A900" s="351" t="s">
        <v>310</v>
      </c>
      <c r="B900" s="352" t="s">
        <v>209</v>
      </c>
      <c r="C900" s="353" t="s">
        <v>7</v>
      </c>
      <c r="D900" s="354" t="s">
        <v>28</v>
      </c>
      <c r="E900" s="353" t="s">
        <v>670</v>
      </c>
      <c r="F900" s="353" t="s">
        <v>670</v>
      </c>
      <c r="G900" s="354" t="s">
        <v>169</v>
      </c>
      <c r="H900" s="354" t="str">
        <f>IFERROR(IF(SEARCH(".00.00.00.00.00",Tableau13[[#This Row],[name]],1)=7,"Division",""),"")</f>
        <v>Division</v>
      </c>
      <c r="I900" s="353"/>
      <c r="J900" s="355" t="s">
        <v>716</v>
      </c>
      <c r="K900" s="356">
        <f>ROUND(Tableau13[[#This Row],[LEN]]*7.27,0)</f>
        <v>189</v>
      </c>
      <c r="L900" s="356">
        <v>15</v>
      </c>
      <c r="M900" s="357" t="str">
        <f t="shared" si="6"/>
        <v>new</v>
      </c>
      <c r="N900" s="356">
        <f>LEN(Tableau13[[#This Row],[LABEL]])</f>
        <v>26</v>
      </c>
      <c r="O900" s="356">
        <v>15</v>
      </c>
      <c r="P900" s="356" t="e">
        <f>ROUND(Tableau13[[#This Row],[LEN]]*#REF!+#REF!,0)</f>
        <v>#REF!</v>
      </c>
    </row>
    <row r="901" spans="1:16" s="97" customFormat="1" x14ac:dyDescent="0.25">
      <c r="A901" s="49" t="s">
        <v>1716</v>
      </c>
      <c r="B901" s="50" t="s">
        <v>310</v>
      </c>
      <c r="C901" s="51" t="s">
        <v>1717</v>
      </c>
      <c r="D901" s="76" t="s">
        <v>28</v>
      </c>
      <c r="E901" s="51" t="s">
        <v>670</v>
      </c>
      <c r="F901" s="51" t="s">
        <v>1177</v>
      </c>
      <c r="G901" s="76" t="s">
        <v>169</v>
      </c>
      <c r="H901" s="76" t="s">
        <v>656</v>
      </c>
      <c r="I901" s="51"/>
      <c r="J901" s="52" t="s">
        <v>708</v>
      </c>
      <c r="K901" s="117">
        <f>ROUND(Tableau13[[#This Row],[LEN]]*7.27,0)</f>
        <v>422</v>
      </c>
      <c r="L901" s="117">
        <v>15</v>
      </c>
      <c r="M901" s="134" t="str">
        <f t="shared" si="6"/>
        <v>none</v>
      </c>
      <c r="N901" s="117">
        <f>LEN(Tableau13[[#This Row],[LABEL]])</f>
        <v>58</v>
      </c>
      <c r="O901" s="117">
        <v>15</v>
      </c>
      <c r="P901" s="117" t="e">
        <f>ROUND(Tableau13[[#This Row],[LEN]]*#REF!+#REF!,0)</f>
        <v>#REF!</v>
      </c>
    </row>
    <row r="902" spans="1:16" s="273" customFormat="1" x14ac:dyDescent="0.25">
      <c r="A902" s="351" t="s">
        <v>311</v>
      </c>
      <c r="B902" s="352" t="s">
        <v>209</v>
      </c>
      <c r="C902" s="353" t="s">
        <v>8</v>
      </c>
      <c r="D902" s="354" t="s">
        <v>28</v>
      </c>
      <c r="E902" s="353" t="s">
        <v>671</v>
      </c>
      <c r="F902" s="353" t="s">
        <v>671</v>
      </c>
      <c r="G902" s="354" t="s">
        <v>169</v>
      </c>
      <c r="H902" s="354" t="str">
        <f>IFERROR(IF(SEARCH(".00.00.00.00.00",Tableau13[[#This Row],[name]],1)=7,"Division",""),"")</f>
        <v>Division</v>
      </c>
      <c r="I902" s="353"/>
      <c r="J902" s="355" t="s">
        <v>717</v>
      </c>
      <c r="K902" s="356">
        <f>ROUND(Tableau13[[#This Row],[LEN]]*7.27,0)</f>
        <v>116</v>
      </c>
      <c r="L902" s="356">
        <v>15</v>
      </c>
      <c r="M902" s="357" t="str">
        <f t="shared" si="6"/>
        <v>new</v>
      </c>
      <c r="N902" s="356">
        <f>LEN(Tableau13[[#This Row],[LABEL]])</f>
        <v>16</v>
      </c>
      <c r="O902" s="356">
        <v>15</v>
      </c>
      <c r="P902" s="356" t="e">
        <f>ROUND(Tableau13[[#This Row],[LEN]]*#REF!+#REF!,0)</f>
        <v>#REF!</v>
      </c>
    </row>
    <row r="903" spans="1:16" s="97" customFormat="1" x14ac:dyDescent="0.25">
      <c r="A903" s="49" t="s">
        <v>1718</v>
      </c>
      <c r="B903" s="50" t="s">
        <v>311</v>
      </c>
      <c r="C903" s="51" t="s">
        <v>1720</v>
      </c>
      <c r="D903" s="76" t="s">
        <v>28</v>
      </c>
      <c r="E903" s="51" t="s">
        <v>671</v>
      </c>
      <c r="F903" s="51" t="s">
        <v>1177</v>
      </c>
      <c r="G903" s="76" t="s">
        <v>169</v>
      </c>
      <c r="H903" s="76" t="s">
        <v>656</v>
      </c>
      <c r="I903" s="51"/>
      <c r="J903" s="52" t="s">
        <v>708</v>
      </c>
      <c r="K903" s="117">
        <f>ROUND(Tableau13[[#This Row],[LEN]]*7.27,0)</f>
        <v>487</v>
      </c>
      <c r="L903" s="117">
        <v>15</v>
      </c>
      <c r="M903" s="134" t="str">
        <f t="shared" si="6"/>
        <v>none</v>
      </c>
      <c r="N903" s="117">
        <f>LEN(Tableau13[[#This Row],[LABEL]])</f>
        <v>67</v>
      </c>
      <c r="O903" s="117">
        <v>15</v>
      </c>
      <c r="P903" s="117" t="e">
        <f>ROUND(Tableau13[[#This Row],[LEN]]*#REF!+#REF!,0)</f>
        <v>#REF!</v>
      </c>
    </row>
    <row r="904" spans="1:16" s="97" customFormat="1" x14ac:dyDescent="0.25">
      <c r="A904" s="49" t="s">
        <v>1719</v>
      </c>
      <c r="B904" s="50" t="s">
        <v>311</v>
      </c>
      <c r="C904" s="51" t="s">
        <v>1721</v>
      </c>
      <c r="D904" s="76" t="s">
        <v>28</v>
      </c>
      <c r="E904" s="51" t="s">
        <v>671</v>
      </c>
      <c r="F904" s="51" t="s">
        <v>1177</v>
      </c>
      <c r="G904" s="76" t="s">
        <v>169</v>
      </c>
      <c r="H904" s="76" t="s">
        <v>654</v>
      </c>
      <c r="I904" s="51"/>
      <c r="J904" s="52" t="s">
        <v>708</v>
      </c>
      <c r="K904" s="117">
        <f>ROUND(Tableau13[[#This Row],[LEN]]*7.27,0)</f>
        <v>320</v>
      </c>
      <c r="L904" s="117">
        <v>15</v>
      </c>
      <c r="M904" s="134" t="str">
        <f t="shared" si="6"/>
        <v>none</v>
      </c>
      <c r="N904" s="117">
        <f>LEN(Tableau13[[#This Row],[LABEL]])</f>
        <v>44</v>
      </c>
      <c r="O904" s="117">
        <v>15</v>
      </c>
      <c r="P904" s="117" t="e">
        <f>ROUND(Tableau13[[#This Row],[LEN]]*#REF!+#REF!,0)</f>
        <v>#REF!</v>
      </c>
    </row>
    <row r="905" spans="1:16" s="273" customFormat="1" x14ac:dyDescent="0.25">
      <c r="A905" s="351" t="s">
        <v>312</v>
      </c>
      <c r="B905" s="352" t="s">
        <v>209</v>
      </c>
      <c r="C905" s="353" t="s">
        <v>9</v>
      </c>
      <c r="D905" s="354" t="s">
        <v>28</v>
      </c>
      <c r="E905" s="353" t="s">
        <v>672</v>
      </c>
      <c r="F905" s="353" t="s">
        <v>672</v>
      </c>
      <c r="G905" s="354" t="s">
        <v>169</v>
      </c>
      <c r="H905" s="354" t="str">
        <f>IFERROR(IF(SEARCH(".00.00.00.00.00",Tableau13[[#This Row],[name]],1)=7,"Division",""),"")</f>
        <v>Division</v>
      </c>
      <c r="I905" s="353"/>
      <c r="J905" s="355" t="s">
        <v>718</v>
      </c>
      <c r="K905" s="356">
        <f>ROUND(Tableau13[[#This Row],[LEN]]*7.27,0)</f>
        <v>80</v>
      </c>
      <c r="L905" s="356">
        <v>15</v>
      </c>
      <c r="M905" s="357" t="str">
        <f t="shared" si="6"/>
        <v>new</v>
      </c>
      <c r="N905" s="356">
        <f>LEN(Tableau13[[#This Row],[LABEL]])</f>
        <v>11</v>
      </c>
      <c r="O905" s="356">
        <v>15</v>
      </c>
      <c r="P905" s="356" t="e">
        <f>ROUND(Tableau13[[#This Row],[LEN]]*#REF!+#REF!,0)</f>
        <v>#REF!</v>
      </c>
    </row>
    <row r="906" spans="1:16" s="97" customFormat="1" x14ac:dyDescent="0.25">
      <c r="A906" s="49" t="s">
        <v>539</v>
      </c>
      <c r="B906" s="50" t="s">
        <v>312</v>
      </c>
      <c r="C906" s="51" t="s">
        <v>128</v>
      </c>
      <c r="D906" s="76" t="s">
        <v>28</v>
      </c>
      <c r="E906" s="51" t="s">
        <v>669</v>
      </c>
      <c r="F906" s="51" t="s">
        <v>672</v>
      </c>
      <c r="G906" s="76" t="s">
        <v>169</v>
      </c>
      <c r="H906" s="76" t="s">
        <v>570</v>
      </c>
      <c r="I906" s="51"/>
      <c r="J906" s="52" t="s">
        <v>708</v>
      </c>
      <c r="K906" s="117">
        <f>ROUND(Tableau13[[#This Row],[LEN]]*7.27,0)</f>
        <v>182</v>
      </c>
      <c r="L906" s="117">
        <v>15</v>
      </c>
      <c r="M906" s="134" t="str">
        <f t="shared" si="6"/>
        <v>none</v>
      </c>
      <c r="N906" s="117">
        <f>LEN(Tableau13[[#This Row],[LABEL]])</f>
        <v>25</v>
      </c>
      <c r="O906" s="117">
        <v>15</v>
      </c>
      <c r="P906" s="117" t="e">
        <f>ROUND(Tableau13[[#This Row],[LEN]]*#REF!+#REF!,0)</f>
        <v>#REF!</v>
      </c>
    </row>
    <row r="907" spans="1:16" s="97" customFormat="1" x14ac:dyDescent="0.25">
      <c r="A907" s="49" t="s">
        <v>540</v>
      </c>
      <c r="B907" s="50" t="s">
        <v>312</v>
      </c>
      <c r="C907" s="51" t="s">
        <v>129</v>
      </c>
      <c r="D907" s="76" t="s">
        <v>28</v>
      </c>
      <c r="E907" s="51" t="s">
        <v>673</v>
      </c>
      <c r="F907" s="51" t="s">
        <v>1646</v>
      </c>
      <c r="G907" s="76" t="s">
        <v>169</v>
      </c>
      <c r="H907" s="76" t="s">
        <v>655</v>
      </c>
      <c r="I907" s="51"/>
      <c r="J907" s="52" t="s">
        <v>708</v>
      </c>
      <c r="K907" s="117">
        <f>ROUND(Tableau13[[#This Row],[LEN]]*7.27,0)</f>
        <v>87</v>
      </c>
      <c r="L907" s="117">
        <v>15</v>
      </c>
      <c r="M907" s="134" t="str">
        <f t="shared" si="6"/>
        <v>none</v>
      </c>
      <c r="N907" s="117">
        <f>LEN(Tableau13[[#This Row],[LABEL]])</f>
        <v>12</v>
      </c>
      <c r="O907" s="117">
        <v>15</v>
      </c>
      <c r="P907" s="117" t="e">
        <f>ROUND(Tableau13[[#This Row],[LEN]]*#REF!+#REF!,0)</f>
        <v>#REF!</v>
      </c>
    </row>
    <row r="908" spans="1:16" s="97" customFormat="1" x14ac:dyDescent="0.25">
      <c r="A908" s="53" t="s">
        <v>550</v>
      </c>
      <c r="B908" s="54" t="s">
        <v>540</v>
      </c>
      <c r="C908" s="55" t="s">
        <v>131</v>
      </c>
      <c r="D908" s="77" t="s">
        <v>28</v>
      </c>
      <c r="E908" s="55" t="s">
        <v>673</v>
      </c>
      <c r="F908" s="55" t="s">
        <v>1646</v>
      </c>
      <c r="G908" s="77" t="s">
        <v>169</v>
      </c>
      <c r="H908" s="77" t="s">
        <v>570</v>
      </c>
      <c r="I908" s="55"/>
      <c r="J908" s="56" t="s">
        <v>708</v>
      </c>
      <c r="K908" s="118">
        <f>ROUND(Tableau13[[#This Row],[LEN]]*7.27,0)</f>
        <v>262</v>
      </c>
      <c r="L908" s="118">
        <v>15</v>
      </c>
      <c r="M908" s="135" t="str">
        <f t="shared" si="6"/>
        <v>none</v>
      </c>
      <c r="N908" s="118">
        <f>LEN(Tableau13[[#This Row],[LABEL]])</f>
        <v>36</v>
      </c>
      <c r="O908" s="118">
        <v>15</v>
      </c>
      <c r="P908" s="118" t="e">
        <f>ROUND(Tableau13[[#This Row],[LEN]]*#REF!+#REF!,0)</f>
        <v>#REF!</v>
      </c>
    </row>
    <row r="909" spans="1:16" s="97" customFormat="1" x14ac:dyDescent="0.25">
      <c r="A909" s="53" t="s">
        <v>551</v>
      </c>
      <c r="B909" s="54" t="s">
        <v>540</v>
      </c>
      <c r="C909" s="55" t="s">
        <v>132</v>
      </c>
      <c r="D909" s="77" t="s">
        <v>28</v>
      </c>
      <c r="E909" s="55" t="s">
        <v>673</v>
      </c>
      <c r="F909" s="55" t="s">
        <v>1646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ROUND(Tableau13[[#This Row],[LEN]]*7.27,0)</f>
        <v>298</v>
      </c>
      <c r="L909" s="118">
        <v>15</v>
      </c>
      <c r="M909" s="135" t="str">
        <f t="shared" si="6"/>
        <v>none</v>
      </c>
      <c r="N909" s="118">
        <f>LEN(Tableau13[[#This Row],[LABEL]])</f>
        <v>41</v>
      </c>
      <c r="O909" s="118">
        <v>15</v>
      </c>
      <c r="P909" s="118" t="e">
        <f>ROUND(Tableau13[[#This Row],[LEN]]*#REF!+#REF!,0)</f>
        <v>#REF!</v>
      </c>
    </row>
    <row r="910" spans="1:16" s="97" customFormat="1" x14ac:dyDescent="0.25">
      <c r="A910" s="49" t="s">
        <v>541</v>
      </c>
      <c r="B910" s="50" t="s">
        <v>312</v>
      </c>
      <c r="C910" s="51" t="s">
        <v>546</v>
      </c>
      <c r="D910" s="76" t="s">
        <v>28</v>
      </c>
      <c r="E910" s="51" t="s">
        <v>672</v>
      </c>
      <c r="F910" s="51" t="s">
        <v>672</v>
      </c>
      <c r="G910" s="76" t="s">
        <v>169</v>
      </c>
      <c r="H910" s="76" t="s">
        <v>655</v>
      </c>
      <c r="I910" s="51"/>
      <c r="J910" s="52" t="s">
        <v>708</v>
      </c>
      <c r="K910" s="117">
        <f>ROUND(Tableau13[[#This Row],[LEN]]*7.27,0)</f>
        <v>167</v>
      </c>
      <c r="L910" s="117">
        <v>15</v>
      </c>
      <c r="M910" s="134" t="str">
        <f t="shared" si="6"/>
        <v>none</v>
      </c>
      <c r="N910" s="117">
        <f>LEN(Tableau13[[#This Row],[LABEL]])</f>
        <v>23</v>
      </c>
      <c r="O910" s="117">
        <v>15</v>
      </c>
      <c r="P910" s="117" t="e">
        <f>ROUND(Tableau13[[#This Row],[LEN]]*#REF!+#REF!,0)</f>
        <v>#REF!</v>
      </c>
    </row>
    <row r="911" spans="1:16" s="97" customFormat="1" x14ac:dyDescent="0.25">
      <c r="A911" s="53" t="s">
        <v>552</v>
      </c>
      <c r="B911" s="54" t="s">
        <v>541</v>
      </c>
      <c r="C911" s="55" t="s">
        <v>555</v>
      </c>
      <c r="D911" s="77" t="s">
        <v>28</v>
      </c>
      <c r="E911" s="55" t="s">
        <v>672</v>
      </c>
      <c r="F911" s="55" t="s">
        <v>672</v>
      </c>
      <c r="G911" s="77" t="s">
        <v>169</v>
      </c>
      <c r="H911" s="77" t="s">
        <v>656</v>
      </c>
      <c r="I911" s="55"/>
      <c r="J911" s="56" t="s">
        <v>708</v>
      </c>
      <c r="K911" s="118">
        <f>ROUND(Tableau13[[#This Row],[LEN]]*7.27,0)</f>
        <v>356</v>
      </c>
      <c r="L911" s="118">
        <v>15</v>
      </c>
      <c r="M911" s="135" t="str">
        <f t="shared" si="6"/>
        <v>none</v>
      </c>
      <c r="N911" s="118">
        <f>LEN(Tableau13[[#This Row],[LABEL]])</f>
        <v>49</v>
      </c>
      <c r="O911" s="118">
        <v>15</v>
      </c>
      <c r="P911" s="118" t="e">
        <f>ROUND(Tableau13[[#This Row],[LEN]]*#REF!+#REF!,0)</f>
        <v>#REF!</v>
      </c>
    </row>
    <row r="912" spans="1:16" s="97" customFormat="1" x14ac:dyDescent="0.25">
      <c r="A912" s="53" t="s">
        <v>553</v>
      </c>
      <c r="B912" s="54" t="s">
        <v>541</v>
      </c>
      <c r="C912" s="55" t="s">
        <v>556</v>
      </c>
      <c r="D912" s="77" t="s">
        <v>28</v>
      </c>
      <c r="E912" s="55" t="s">
        <v>672</v>
      </c>
      <c r="F912" s="55" t="s">
        <v>672</v>
      </c>
      <c r="G912" s="77" t="s">
        <v>169</v>
      </c>
      <c r="H912" s="77" t="s">
        <v>654</v>
      </c>
      <c r="I912" s="55"/>
      <c r="J912" s="56" t="s">
        <v>708</v>
      </c>
      <c r="K912" s="118">
        <f>ROUND(Tableau13[[#This Row],[LEN]]*7.27,0)</f>
        <v>451</v>
      </c>
      <c r="L912" s="118">
        <v>15</v>
      </c>
      <c r="M912" s="135" t="str">
        <f t="shared" si="6"/>
        <v>none</v>
      </c>
      <c r="N912" s="118">
        <f>LEN(Tableau13[[#This Row],[LABEL]])</f>
        <v>62</v>
      </c>
      <c r="O912" s="118">
        <v>15</v>
      </c>
      <c r="P912" s="118" t="e">
        <f>ROUND(Tableau13[[#This Row],[LEN]]*#REF!+#REF!,0)</f>
        <v>#REF!</v>
      </c>
    </row>
    <row r="913" spans="1:16" s="97" customFormat="1" x14ac:dyDescent="0.25">
      <c r="A913" s="53" t="s">
        <v>554</v>
      </c>
      <c r="B913" s="54" t="s">
        <v>541</v>
      </c>
      <c r="C913" s="55" t="s">
        <v>557</v>
      </c>
      <c r="D913" s="77" t="s">
        <v>28</v>
      </c>
      <c r="E913" s="55" t="s">
        <v>672</v>
      </c>
      <c r="F913" s="55" t="s">
        <v>672</v>
      </c>
      <c r="G913" s="77" t="s">
        <v>169</v>
      </c>
      <c r="H913" s="77" t="s">
        <v>656</v>
      </c>
      <c r="I913" s="55"/>
      <c r="J913" s="56" t="s">
        <v>708</v>
      </c>
      <c r="K913" s="118">
        <f>ROUND(Tableau13[[#This Row],[LEN]]*7.27,0)</f>
        <v>240</v>
      </c>
      <c r="L913" s="118">
        <v>15</v>
      </c>
      <c r="M913" s="135" t="str">
        <f t="shared" si="6"/>
        <v>none</v>
      </c>
      <c r="N913" s="118">
        <f>LEN(Tableau13[[#This Row],[LABEL]])</f>
        <v>33</v>
      </c>
      <c r="O913" s="118">
        <v>15</v>
      </c>
      <c r="P913" s="118" t="e">
        <f>ROUND(Tableau13[[#This Row],[LEN]]*#REF!+#REF!,0)</f>
        <v>#REF!</v>
      </c>
    </row>
    <row r="914" spans="1:16" s="97" customFormat="1" x14ac:dyDescent="0.25">
      <c r="A914" s="49" t="s">
        <v>542</v>
      </c>
      <c r="B914" s="50" t="s">
        <v>312</v>
      </c>
      <c r="C914" s="51" t="s">
        <v>547</v>
      </c>
      <c r="D914" s="76" t="s">
        <v>28</v>
      </c>
      <c r="E914" s="51" t="s">
        <v>672</v>
      </c>
      <c r="F914" s="51" t="s">
        <v>672</v>
      </c>
      <c r="G914" s="76" t="s">
        <v>169</v>
      </c>
      <c r="H914" s="76" t="s">
        <v>655</v>
      </c>
      <c r="I914" s="51"/>
      <c r="J914" s="52" t="s">
        <v>708</v>
      </c>
      <c r="K914" s="117">
        <f>ROUND(Tableau13[[#This Row],[LEN]]*7.27,0)</f>
        <v>95</v>
      </c>
      <c r="L914" s="117">
        <v>15</v>
      </c>
      <c r="M914" s="134" t="str">
        <f t="shared" si="6"/>
        <v>none</v>
      </c>
      <c r="N914" s="117">
        <f>LEN(Tableau13[[#This Row],[LABEL]])</f>
        <v>13</v>
      </c>
      <c r="O914" s="117">
        <v>15</v>
      </c>
      <c r="P914" s="117" t="e">
        <f>ROUND(Tableau13[[#This Row],[LEN]]*#REF!+#REF!,0)</f>
        <v>#REF!</v>
      </c>
    </row>
    <row r="915" spans="1:16" s="97" customFormat="1" x14ac:dyDescent="0.25">
      <c r="A915" s="53" t="s">
        <v>558</v>
      </c>
      <c r="B915" s="54" t="s">
        <v>542</v>
      </c>
      <c r="C915" s="55" t="s">
        <v>562</v>
      </c>
      <c r="D915" s="77" t="s">
        <v>28</v>
      </c>
      <c r="E915" s="55" t="s">
        <v>672</v>
      </c>
      <c r="F915" s="55" t="s">
        <v>672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ROUND(Tableau13[[#This Row],[LEN]]*7.27,0)</f>
        <v>58</v>
      </c>
      <c r="L915" s="118">
        <v>15</v>
      </c>
      <c r="M915" s="135" t="str">
        <f t="shared" si="6"/>
        <v>none</v>
      </c>
      <c r="N915" s="118">
        <f>LEN(Tableau13[[#This Row],[LABEL]])</f>
        <v>8</v>
      </c>
      <c r="O915" s="118">
        <v>15</v>
      </c>
      <c r="P915" s="118" t="e">
        <f>ROUND(Tableau13[[#This Row],[LEN]]*#REF!+#REF!,0)</f>
        <v>#REF!</v>
      </c>
    </row>
    <row r="916" spans="1:16" s="97" customFormat="1" x14ac:dyDescent="0.25">
      <c r="A916" s="53" t="s">
        <v>559</v>
      </c>
      <c r="B916" s="54" t="s">
        <v>542</v>
      </c>
      <c r="C916" s="55" t="s">
        <v>563</v>
      </c>
      <c r="D916" s="77" t="s">
        <v>28</v>
      </c>
      <c r="E916" s="55" t="s">
        <v>672</v>
      </c>
      <c r="F916" s="55" t="s">
        <v>672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ROUND(Tableau13[[#This Row],[LEN]]*7.27,0)</f>
        <v>58</v>
      </c>
      <c r="L916" s="118">
        <v>15</v>
      </c>
      <c r="M916" s="135" t="str">
        <f t="shared" si="6"/>
        <v>none</v>
      </c>
      <c r="N916" s="118">
        <f>LEN(Tableau13[[#This Row],[LABEL]])</f>
        <v>8</v>
      </c>
      <c r="O916" s="118">
        <v>15</v>
      </c>
      <c r="P916" s="118" t="e">
        <f>ROUND(Tableau13[[#This Row],[LEN]]*#REF!+#REF!,0)</f>
        <v>#REF!</v>
      </c>
    </row>
    <row r="917" spans="1:16" s="97" customFormat="1" x14ac:dyDescent="0.25">
      <c r="A917" s="53" t="s">
        <v>560</v>
      </c>
      <c r="B917" s="54" t="s">
        <v>542</v>
      </c>
      <c r="C917" s="55" t="s">
        <v>564</v>
      </c>
      <c r="D917" s="77" t="s">
        <v>28</v>
      </c>
      <c r="E917" s="55" t="s">
        <v>672</v>
      </c>
      <c r="F917" s="55" t="s">
        <v>672</v>
      </c>
      <c r="G917" s="77" t="s">
        <v>169</v>
      </c>
      <c r="H917" s="77" t="s">
        <v>654</v>
      </c>
      <c r="I917" s="55"/>
      <c r="J917" s="56" t="s">
        <v>708</v>
      </c>
      <c r="K917" s="118">
        <f>ROUND(Tableau13[[#This Row],[LEN]]*7.27,0)</f>
        <v>58</v>
      </c>
      <c r="L917" s="118">
        <v>15</v>
      </c>
      <c r="M917" s="135" t="str">
        <f t="shared" si="6"/>
        <v>none</v>
      </c>
      <c r="N917" s="118">
        <f>LEN(Tableau13[[#This Row],[LABEL]])</f>
        <v>8</v>
      </c>
      <c r="O917" s="118">
        <v>15</v>
      </c>
      <c r="P917" s="118" t="e">
        <f>ROUND(Tableau13[[#This Row],[LEN]]*#REF!+#REF!,0)</f>
        <v>#REF!</v>
      </c>
    </row>
    <row r="918" spans="1:16" s="97" customFormat="1" x14ac:dyDescent="0.25">
      <c r="A918" s="53" t="s">
        <v>561</v>
      </c>
      <c r="B918" s="54" t="s">
        <v>542</v>
      </c>
      <c r="C918" s="55" t="s">
        <v>565</v>
      </c>
      <c r="D918" s="77" t="s">
        <v>28</v>
      </c>
      <c r="E918" s="55" t="s">
        <v>672</v>
      </c>
      <c r="F918" s="55" t="s">
        <v>672</v>
      </c>
      <c r="G918" s="77" t="s">
        <v>169</v>
      </c>
      <c r="H918" s="77" t="s">
        <v>654</v>
      </c>
      <c r="I918" s="55"/>
      <c r="J918" s="56" t="s">
        <v>708</v>
      </c>
      <c r="K918" s="118">
        <f>ROUND(Tableau13[[#This Row],[LEN]]*7.27,0)</f>
        <v>51</v>
      </c>
      <c r="L918" s="118">
        <v>15</v>
      </c>
      <c r="M918" s="135" t="str">
        <f t="shared" si="6"/>
        <v>none</v>
      </c>
      <c r="N918" s="118">
        <f>LEN(Tableau13[[#This Row],[LABEL]])</f>
        <v>7</v>
      </c>
      <c r="O918" s="118">
        <v>15</v>
      </c>
      <c r="P918" s="118" t="e">
        <f>ROUND(Tableau13[[#This Row],[LEN]]*#REF!+#REF!,0)</f>
        <v>#REF!</v>
      </c>
    </row>
    <row r="919" spans="1:16" s="97" customFormat="1" x14ac:dyDescent="0.25">
      <c r="A919" s="53" t="s">
        <v>566</v>
      </c>
      <c r="B919" s="54" t="s">
        <v>542</v>
      </c>
      <c r="C919" s="55" t="s">
        <v>570</v>
      </c>
      <c r="D919" s="77" t="s">
        <v>28</v>
      </c>
      <c r="E919" s="55" t="s">
        <v>672</v>
      </c>
      <c r="F919" s="55" t="s">
        <v>672</v>
      </c>
      <c r="G919" s="77" t="s">
        <v>169</v>
      </c>
      <c r="H919" s="77" t="s">
        <v>654</v>
      </c>
      <c r="I919" s="55"/>
      <c r="J919" s="56" t="s">
        <v>708</v>
      </c>
      <c r="K919" s="118">
        <f>ROUND(Tableau13[[#This Row],[LEN]]*7.27,0)</f>
        <v>44</v>
      </c>
      <c r="L919" s="118">
        <v>15</v>
      </c>
      <c r="M919" s="135" t="str">
        <f t="shared" si="6"/>
        <v>none</v>
      </c>
      <c r="N919" s="118">
        <f>LEN(Tableau13[[#This Row],[LABEL]])</f>
        <v>6</v>
      </c>
      <c r="O919" s="118">
        <v>15</v>
      </c>
      <c r="P919" s="118" t="e">
        <f>ROUND(Tableau13[[#This Row],[LEN]]*#REF!+#REF!,0)</f>
        <v>#REF!</v>
      </c>
    </row>
    <row r="920" spans="1:16" s="97" customFormat="1" x14ac:dyDescent="0.25">
      <c r="A920" s="53" t="s">
        <v>567</v>
      </c>
      <c r="B920" s="54" t="s">
        <v>542</v>
      </c>
      <c r="C920" s="55" t="s">
        <v>571</v>
      </c>
      <c r="D920" s="77" t="s">
        <v>28</v>
      </c>
      <c r="E920" s="55" t="s">
        <v>672</v>
      </c>
      <c r="F920" s="55" t="s">
        <v>672</v>
      </c>
      <c r="G920" s="77" t="s">
        <v>169</v>
      </c>
      <c r="H920" s="77" t="s">
        <v>654</v>
      </c>
      <c r="I920" s="55"/>
      <c r="J920" s="56" t="s">
        <v>708</v>
      </c>
      <c r="K920" s="118">
        <f>ROUND(Tableau13[[#This Row],[LEN]]*7.27,0)</f>
        <v>44</v>
      </c>
      <c r="L920" s="118">
        <v>15</v>
      </c>
      <c r="M920" s="135" t="str">
        <f t="shared" si="6"/>
        <v>none</v>
      </c>
      <c r="N920" s="118">
        <f>LEN(Tableau13[[#This Row],[LABEL]])</f>
        <v>6</v>
      </c>
      <c r="O920" s="118">
        <v>15</v>
      </c>
      <c r="P920" s="118" t="e">
        <f>ROUND(Tableau13[[#This Row],[LEN]]*#REF!+#REF!,0)</f>
        <v>#REF!</v>
      </c>
    </row>
    <row r="921" spans="1:16" s="97" customFormat="1" x14ac:dyDescent="0.25">
      <c r="A921" s="53" t="s">
        <v>568</v>
      </c>
      <c r="B921" s="54" t="s">
        <v>542</v>
      </c>
      <c r="C921" s="55" t="s">
        <v>572</v>
      </c>
      <c r="D921" s="77" t="s">
        <v>28</v>
      </c>
      <c r="E921" s="55" t="s">
        <v>672</v>
      </c>
      <c r="F921" s="55" t="s">
        <v>672</v>
      </c>
      <c r="G921" s="77" t="s">
        <v>169</v>
      </c>
      <c r="H921" s="77" t="s">
        <v>654</v>
      </c>
      <c r="I921" s="55"/>
      <c r="J921" s="56" t="s">
        <v>708</v>
      </c>
      <c r="K921" s="118">
        <f>ROUND(Tableau13[[#This Row],[LEN]]*7.27,0)</f>
        <v>95</v>
      </c>
      <c r="L921" s="118">
        <v>15</v>
      </c>
      <c r="M921" s="135" t="str">
        <f t="shared" si="6"/>
        <v>none</v>
      </c>
      <c r="N921" s="118">
        <f>LEN(Tableau13[[#This Row],[LABEL]])</f>
        <v>13</v>
      </c>
      <c r="O921" s="118">
        <v>15</v>
      </c>
      <c r="P921" s="118" t="e">
        <f>ROUND(Tableau13[[#This Row],[LEN]]*#REF!+#REF!,0)</f>
        <v>#REF!</v>
      </c>
    </row>
    <row r="922" spans="1:16" s="97" customFormat="1" x14ac:dyDescent="0.25">
      <c r="A922" s="53" t="s">
        <v>569</v>
      </c>
      <c r="B922" s="54" t="s">
        <v>542</v>
      </c>
      <c r="C922" s="55" t="s">
        <v>573</v>
      </c>
      <c r="D922" s="77" t="s">
        <v>28</v>
      </c>
      <c r="E922" s="55" t="s">
        <v>672</v>
      </c>
      <c r="F922" s="55" t="s">
        <v>672</v>
      </c>
      <c r="G922" s="77" t="s">
        <v>169</v>
      </c>
      <c r="H922" s="77" t="s">
        <v>654</v>
      </c>
      <c r="I922" s="55"/>
      <c r="J922" s="56" t="s">
        <v>708</v>
      </c>
      <c r="K922" s="118">
        <f>ROUND(Tableau13[[#This Row],[LEN]]*7.27,0)</f>
        <v>109</v>
      </c>
      <c r="L922" s="118">
        <v>15</v>
      </c>
      <c r="M922" s="135" t="str">
        <f t="shared" si="6"/>
        <v>none</v>
      </c>
      <c r="N922" s="118">
        <f>LEN(Tableau13[[#This Row],[LABEL]])</f>
        <v>15</v>
      </c>
      <c r="O922" s="118">
        <v>15</v>
      </c>
      <c r="P922" s="118" t="e">
        <f>ROUND(Tableau13[[#This Row],[LEN]]*#REF!+#REF!,0)</f>
        <v>#REF!</v>
      </c>
    </row>
    <row r="923" spans="1:16" s="97" customFormat="1" x14ac:dyDescent="0.25">
      <c r="A923" s="49" t="s">
        <v>543</v>
      </c>
      <c r="B923" s="50" t="s">
        <v>312</v>
      </c>
      <c r="C923" s="51" t="s">
        <v>548</v>
      </c>
      <c r="D923" s="76" t="s">
        <v>28</v>
      </c>
      <c r="E923" s="51" t="s">
        <v>672</v>
      </c>
      <c r="F923" s="51" t="s">
        <v>672</v>
      </c>
      <c r="G923" s="76" t="s">
        <v>169</v>
      </c>
      <c r="H923" s="76" t="s">
        <v>655</v>
      </c>
      <c r="I923" s="51"/>
      <c r="J923" s="52" t="s">
        <v>708</v>
      </c>
      <c r="K923" s="117">
        <f>ROUND(Tableau13[[#This Row],[LEN]]*7.27,0)</f>
        <v>218</v>
      </c>
      <c r="L923" s="117">
        <v>15</v>
      </c>
      <c r="M923" s="134" t="str">
        <f t="shared" si="6"/>
        <v>none</v>
      </c>
      <c r="N923" s="117">
        <f>LEN(Tableau13[[#This Row],[LABEL]])</f>
        <v>30</v>
      </c>
      <c r="O923" s="117">
        <v>15</v>
      </c>
      <c r="P923" s="117" t="e">
        <f>ROUND(Tableau13[[#This Row],[LEN]]*#REF!+#REF!,0)</f>
        <v>#REF!</v>
      </c>
    </row>
    <row r="924" spans="1:16" s="97" customFormat="1" x14ac:dyDescent="0.25">
      <c r="A924" s="53" t="s">
        <v>574</v>
      </c>
      <c r="B924" s="54" t="s">
        <v>543</v>
      </c>
      <c r="C924" s="55" t="s">
        <v>576</v>
      </c>
      <c r="D924" s="77" t="s">
        <v>28</v>
      </c>
      <c r="E924" s="55" t="s">
        <v>672</v>
      </c>
      <c r="F924" s="55" t="s">
        <v>672</v>
      </c>
      <c r="G924" s="77" t="s">
        <v>169</v>
      </c>
      <c r="H924" s="77" t="s">
        <v>655</v>
      </c>
      <c r="I924" s="55"/>
      <c r="J924" s="56" t="s">
        <v>708</v>
      </c>
      <c r="K924" s="118">
        <f>ROUND(Tableau13[[#This Row],[LEN]]*7.27,0)</f>
        <v>65</v>
      </c>
      <c r="L924" s="118">
        <v>15</v>
      </c>
      <c r="M924" s="135" t="str">
        <f t="shared" si="6"/>
        <v>none</v>
      </c>
      <c r="N924" s="118">
        <f>LEN(Tableau13[[#This Row],[LABEL]])</f>
        <v>9</v>
      </c>
      <c r="O924" s="118">
        <v>15</v>
      </c>
      <c r="P924" s="118" t="e">
        <f>ROUND(Tableau13[[#This Row],[LEN]]*#REF!+#REF!,0)</f>
        <v>#REF!</v>
      </c>
    </row>
    <row r="925" spans="1:16" s="97" customFormat="1" x14ac:dyDescent="0.25">
      <c r="A925" s="57" t="s">
        <v>580</v>
      </c>
      <c r="B925" s="58" t="s">
        <v>574</v>
      </c>
      <c r="C925" s="59" t="s">
        <v>578</v>
      </c>
      <c r="D925" s="78" t="s">
        <v>28</v>
      </c>
      <c r="E925" s="59" t="s">
        <v>672</v>
      </c>
      <c r="F925" s="59" t="s">
        <v>672</v>
      </c>
      <c r="G925" s="78" t="s">
        <v>169</v>
      </c>
      <c r="H925" s="78" t="s">
        <v>654</v>
      </c>
      <c r="I925" s="59"/>
      <c r="J925" s="60" t="s">
        <v>708</v>
      </c>
      <c r="K925" s="119">
        <f>ROUND(Tableau13[[#This Row],[LEN]]*7.27,0)</f>
        <v>73</v>
      </c>
      <c r="L925" s="119">
        <v>15</v>
      </c>
      <c r="M925" s="136" t="str">
        <f t="shared" si="6"/>
        <v>none</v>
      </c>
      <c r="N925" s="119">
        <f>LEN(Tableau13[[#This Row],[LABEL]])</f>
        <v>10</v>
      </c>
      <c r="O925" s="119">
        <v>15</v>
      </c>
      <c r="P925" s="119" t="e">
        <f>ROUND(Tableau13[[#This Row],[LEN]]*#REF!+#REF!,0)</f>
        <v>#REF!</v>
      </c>
    </row>
    <row r="926" spans="1:16" s="97" customFormat="1" x14ac:dyDescent="0.25">
      <c r="A926" s="57" t="s">
        <v>581</v>
      </c>
      <c r="B926" s="58" t="s">
        <v>574</v>
      </c>
      <c r="C926" s="59" t="s">
        <v>579</v>
      </c>
      <c r="D926" s="78" t="s">
        <v>28</v>
      </c>
      <c r="E926" s="59" t="s">
        <v>672</v>
      </c>
      <c r="F926" s="59" t="s">
        <v>672</v>
      </c>
      <c r="G926" s="78" t="s">
        <v>169</v>
      </c>
      <c r="H926" s="78" t="s">
        <v>654</v>
      </c>
      <c r="I926" s="59"/>
      <c r="J926" s="60" t="s">
        <v>708</v>
      </c>
      <c r="K926" s="119">
        <f>ROUND(Tableau13[[#This Row],[LEN]]*7.27,0)</f>
        <v>153</v>
      </c>
      <c r="L926" s="119">
        <v>15</v>
      </c>
      <c r="M926" s="136" t="str">
        <f t="shared" si="6"/>
        <v>none</v>
      </c>
      <c r="N926" s="119">
        <f>LEN(Tableau13[[#This Row],[LABEL]])</f>
        <v>21</v>
      </c>
      <c r="O926" s="119">
        <v>15</v>
      </c>
      <c r="P926" s="119" t="e">
        <f>ROUND(Tableau13[[#This Row],[LEN]]*#REF!+#REF!,0)</f>
        <v>#REF!</v>
      </c>
    </row>
    <row r="927" spans="1:16" s="97" customFormat="1" x14ac:dyDescent="0.25">
      <c r="A927" s="53" t="s">
        <v>575</v>
      </c>
      <c r="B927" s="54" t="s">
        <v>543</v>
      </c>
      <c r="C927" s="55" t="s">
        <v>577</v>
      </c>
      <c r="D927" s="77" t="s">
        <v>28</v>
      </c>
      <c r="E927" s="55" t="s">
        <v>672</v>
      </c>
      <c r="F927" s="55" t="s">
        <v>672</v>
      </c>
      <c r="G927" s="77" t="s">
        <v>169</v>
      </c>
      <c r="H927" s="77" t="s">
        <v>655</v>
      </c>
      <c r="I927" s="55"/>
      <c r="J927" s="56" t="s">
        <v>708</v>
      </c>
      <c r="K927" s="118">
        <f>ROUND(Tableau13[[#This Row],[LEN]]*7.27,0)</f>
        <v>73</v>
      </c>
      <c r="L927" s="118">
        <v>15</v>
      </c>
      <c r="M927" s="135" t="str">
        <f t="shared" si="6"/>
        <v>none</v>
      </c>
      <c r="N927" s="118">
        <f>LEN(Tableau13[[#This Row],[LABEL]])</f>
        <v>10</v>
      </c>
      <c r="O927" s="118">
        <v>15</v>
      </c>
      <c r="P927" s="118" t="e">
        <f>ROUND(Tableau13[[#This Row],[LEN]]*#REF!+#REF!,0)</f>
        <v>#REF!</v>
      </c>
    </row>
    <row r="928" spans="1:16" s="97" customFormat="1" x14ac:dyDescent="0.25">
      <c r="A928" s="57" t="s">
        <v>582</v>
      </c>
      <c r="B928" s="58" t="s">
        <v>575</v>
      </c>
      <c r="C928" s="59" t="s">
        <v>586</v>
      </c>
      <c r="D928" s="78" t="s">
        <v>28</v>
      </c>
      <c r="E928" s="59" t="s">
        <v>672</v>
      </c>
      <c r="F928" s="59" t="s">
        <v>672</v>
      </c>
      <c r="G928" s="78" t="s">
        <v>169</v>
      </c>
      <c r="H928" s="78" t="s">
        <v>654</v>
      </c>
      <c r="I928" s="59"/>
      <c r="J928" s="60" t="s">
        <v>708</v>
      </c>
      <c r="K928" s="119">
        <f>ROUND(Tableau13[[#This Row],[LEN]]*7.27,0)</f>
        <v>189</v>
      </c>
      <c r="L928" s="119">
        <v>15</v>
      </c>
      <c r="M928" s="136" t="str">
        <f t="shared" si="6"/>
        <v>none</v>
      </c>
      <c r="N928" s="119">
        <f>LEN(Tableau13[[#This Row],[LABEL]])</f>
        <v>26</v>
      </c>
      <c r="O928" s="119">
        <v>15</v>
      </c>
      <c r="P928" s="119" t="e">
        <f>ROUND(Tableau13[[#This Row],[LEN]]*#REF!+#REF!,0)</f>
        <v>#REF!</v>
      </c>
    </row>
    <row r="929" spans="1:16" s="97" customFormat="1" x14ac:dyDescent="0.25">
      <c r="A929" s="57" t="s">
        <v>583</v>
      </c>
      <c r="B929" s="58" t="s">
        <v>575</v>
      </c>
      <c r="C929" s="59" t="s">
        <v>587</v>
      </c>
      <c r="D929" s="78" t="s">
        <v>28</v>
      </c>
      <c r="E929" s="59" t="s">
        <v>672</v>
      </c>
      <c r="F929" s="59" t="s">
        <v>672</v>
      </c>
      <c r="G929" s="78" t="s">
        <v>169</v>
      </c>
      <c r="H929" s="78" t="s">
        <v>654</v>
      </c>
      <c r="I929" s="59"/>
      <c r="J929" s="60" t="s">
        <v>708</v>
      </c>
      <c r="K929" s="119">
        <f>ROUND(Tableau13[[#This Row],[LEN]]*7.27,0)</f>
        <v>73</v>
      </c>
      <c r="L929" s="119">
        <v>15</v>
      </c>
      <c r="M929" s="136" t="str">
        <f t="shared" si="6"/>
        <v>none</v>
      </c>
      <c r="N929" s="119">
        <f>LEN(Tableau13[[#This Row],[LABEL]])</f>
        <v>10</v>
      </c>
      <c r="O929" s="119">
        <v>15</v>
      </c>
      <c r="P929" s="119" t="e">
        <f>ROUND(Tableau13[[#This Row],[LEN]]*#REF!+#REF!,0)</f>
        <v>#REF!</v>
      </c>
    </row>
    <row r="930" spans="1:16" s="97" customFormat="1" x14ac:dyDescent="0.25">
      <c r="A930" s="57" t="s">
        <v>584</v>
      </c>
      <c r="B930" s="58" t="s">
        <v>575</v>
      </c>
      <c r="C930" s="59" t="s">
        <v>588</v>
      </c>
      <c r="D930" s="78" t="s">
        <v>28</v>
      </c>
      <c r="E930" s="59" t="s">
        <v>672</v>
      </c>
      <c r="F930" s="59" t="s">
        <v>672</v>
      </c>
      <c r="G930" s="78" t="s">
        <v>169</v>
      </c>
      <c r="H930" s="78" t="s">
        <v>654</v>
      </c>
      <c r="I930" s="59"/>
      <c r="J930" s="60" t="s">
        <v>708</v>
      </c>
      <c r="K930" s="119">
        <f>ROUND(Tableau13[[#This Row],[LEN]]*7.27,0)</f>
        <v>65</v>
      </c>
      <c r="L930" s="119">
        <v>15</v>
      </c>
      <c r="M930" s="136" t="str">
        <f t="shared" si="6"/>
        <v>none</v>
      </c>
      <c r="N930" s="119">
        <f>LEN(Tableau13[[#This Row],[LABEL]])</f>
        <v>9</v>
      </c>
      <c r="O930" s="119">
        <v>15</v>
      </c>
      <c r="P930" s="119" t="e">
        <f>ROUND(Tableau13[[#This Row],[LEN]]*#REF!+#REF!,0)</f>
        <v>#REF!</v>
      </c>
    </row>
    <row r="931" spans="1:16" s="97" customFormat="1" x14ac:dyDescent="0.25">
      <c r="A931" s="57" t="s">
        <v>585</v>
      </c>
      <c r="B931" s="58" t="s">
        <v>575</v>
      </c>
      <c r="C931" s="59" t="s">
        <v>589</v>
      </c>
      <c r="D931" s="78" t="s">
        <v>28</v>
      </c>
      <c r="E931" s="59" t="s">
        <v>672</v>
      </c>
      <c r="F931" s="59" t="s">
        <v>672</v>
      </c>
      <c r="G931" s="78" t="s">
        <v>169</v>
      </c>
      <c r="H931" s="78" t="s">
        <v>654</v>
      </c>
      <c r="I931" s="59"/>
      <c r="J931" s="60" t="s">
        <v>708</v>
      </c>
      <c r="K931" s="119">
        <f>ROUND(Tableau13[[#This Row],[LEN]]*7.27,0)</f>
        <v>145</v>
      </c>
      <c r="L931" s="119">
        <v>15</v>
      </c>
      <c r="M931" s="136" t="str">
        <f t="shared" si="6"/>
        <v>none</v>
      </c>
      <c r="N931" s="119">
        <f>LEN(Tableau13[[#This Row],[LABEL]])</f>
        <v>20</v>
      </c>
      <c r="O931" s="119">
        <v>15</v>
      </c>
      <c r="P931" s="119" t="e">
        <f>ROUND(Tableau13[[#This Row],[LEN]]*#REF!+#REF!,0)</f>
        <v>#REF!</v>
      </c>
    </row>
    <row r="932" spans="1:16" s="97" customFormat="1" x14ac:dyDescent="0.25">
      <c r="A932" s="49" t="s">
        <v>544</v>
      </c>
      <c r="B932" s="50" t="s">
        <v>312</v>
      </c>
      <c r="C932" s="51" t="s">
        <v>549</v>
      </c>
      <c r="D932" s="76" t="s">
        <v>28</v>
      </c>
      <c r="E932" s="51" t="s">
        <v>673</v>
      </c>
      <c r="F932" s="51" t="s">
        <v>1704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ROUND(Tableau13[[#This Row],[LEN]]*7.27,0)</f>
        <v>145</v>
      </c>
      <c r="L932" s="117">
        <v>15</v>
      </c>
      <c r="M932" s="134" t="str">
        <f t="shared" si="6"/>
        <v>none</v>
      </c>
      <c r="N932" s="117">
        <f>LEN(Tableau13[[#This Row],[LABEL]])</f>
        <v>20</v>
      </c>
      <c r="O932" s="117">
        <v>15</v>
      </c>
      <c r="P932" s="117" t="e">
        <f>ROUND(Tableau13[[#This Row],[LEN]]*#REF!+#REF!,0)</f>
        <v>#REF!</v>
      </c>
    </row>
    <row r="933" spans="1:16" s="97" customFormat="1" x14ac:dyDescent="0.25">
      <c r="A933" s="53" t="s">
        <v>593</v>
      </c>
      <c r="B933" s="54" t="s">
        <v>544</v>
      </c>
      <c r="C933" s="55" t="s">
        <v>590</v>
      </c>
      <c r="D933" s="77" t="s">
        <v>28</v>
      </c>
      <c r="E933" s="55" t="s">
        <v>673</v>
      </c>
      <c r="F933" s="55" t="s">
        <v>1704</v>
      </c>
      <c r="G933" s="77" t="s">
        <v>169</v>
      </c>
      <c r="H933" s="77" t="s">
        <v>570</v>
      </c>
      <c r="I933" s="55"/>
      <c r="J933" s="56" t="s">
        <v>708</v>
      </c>
      <c r="K933" s="118">
        <f>ROUND(Tableau13[[#This Row],[LEN]]*7.27,0)</f>
        <v>102</v>
      </c>
      <c r="L933" s="118">
        <v>15</v>
      </c>
      <c r="M933" s="135" t="str">
        <f t="shared" si="6"/>
        <v>none</v>
      </c>
      <c r="N933" s="118">
        <f>LEN(Tableau13[[#This Row],[LABEL]])</f>
        <v>14</v>
      </c>
      <c r="O933" s="118">
        <v>15</v>
      </c>
      <c r="P933" s="118" t="e">
        <f>ROUND(Tableau13[[#This Row],[LEN]]*#REF!+#REF!,0)</f>
        <v>#REF!</v>
      </c>
    </row>
    <row r="934" spans="1:16" s="97" customFormat="1" x14ac:dyDescent="0.25">
      <c r="A934" s="53" t="s">
        <v>594</v>
      </c>
      <c r="B934" s="54" t="s">
        <v>544</v>
      </c>
      <c r="C934" s="55" t="s">
        <v>591</v>
      </c>
      <c r="D934" s="77" t="s">
        <v>28</v>
      </c>
      <c r="E934" s="55" t="s">
        <v>673</v>
      </c>
      <c r="F934" s="55" t="s">
        <v>1704</v>
      </c>
      <c r="G934" s="77" t="s">
        <v>169</v>
      </c>
      <c r="H934" s="77" t="s">
        <v>570</v>
      </c>
      <c r="I934" s="55"/>
      <c r="J934" s="56" t="s">
        <v>708</v>
      </c>
      <c r="K934" s="118">
        <f>ROUND(Tableau13[[#This Row],[LEN]]*7.27,0)</f>
        <v>262</v>
      </c>
      <c r="L934" s="118">
        <v>15</v>
      </c>
      <c r="M934" s="135" t="str">
        <f t="shared" si="6"/>
        <v>none</v>
      </c>
      <c r="N934" s="118">
        <f>LEN(Tableau13[[#This Row],[LABEL]])</f>
        <v>36</v>
      </c>
      <c r="O934" s="118">
        <v>15</v>
      </c>
      <c r="P934" s="118" t="e">
        <f>ROUND(Tableau13[[#This Row],[LEN]]*#REF!+#REF!,0)</f>
        <v>#REF!</v>
      </c>
    </row>
    <row r="935" spans="1:16" s="97" customFormat="1" x14ac:dyDescent="0.25">
      <c r="A935" s="53" t="s">
        <v>595</v>
      </c>
      <c r="B935" s="54" t="s">
        <v>544</v>
      </c>
      <c r="C935" s="55" t="s">
        <v>592</v>
      </c>
      <c r="D935" s="77" t="s">
        <v>28</v>
      </c>
      <c r="E935" s="55" t="s">
        <v>673</v>
      </c>
      <c r="F935" s="55" t="s">
        <v>1704</v>
      </c>
      <c r="G935" s="77" t="s">
        <v>169</v>
      </c>
      <c r="H935" s="77" t="s">
        <v>570</v>
      </c>
      <c r="I935" s="55"/>
      <c r="J935" s="56" t="s">
        <v>708</v>
      </c>
      <c r="K935" s="118">
        <f>ROUND(Tableau13[[#This Row],[LEN]]*7.27,0)</f>
        <v>189</v>
      </c>
      <c r="L935" s="118">
        <v>15</v>
      </c>
      <c r="M935" s="135" t="str">
        <f t="shared" si="6"/>
        <v>none</v>
      </c>
      <c r="N935" s="118">
        <f>LEN(Tableau13[[#This Row],[LABEL]])</f>
        <v>26</v>
      </c>
      <c r="O935" s="118">
        <v>15</v>
      </c>
      <c r="P935" s="118" t="e">
        <f>ROUND(Tableau13[[#This Row],[LEN]]*#REF!+#REF!,0)</f>
        <v>#REF!</v>
      </c>
    </row>
    <row r="936" spans="1:16" s="97" customFormat="1" x14ac:dyDescent="0.25">
      <c r="A936" s="53" t="s">
        <v>596</v>
      </c>
      <c r="B936" s="54" t="s">
        <v>544</v>
      </c>
      <c r="C936" s="55" t="s">
        <v>597</v>
      </c>
      <c r="D936" s="77" t="s">
        <v>28</v>
      </c>
      <c r="E936" s="55" t="s">
        <v>673</v>
      </c>
      <c r="F936" s="55" t="s">
        <v>1704</v>
      </c>
      <c r="G936" s="77" t="s">
        <v>169</v>
      </c>
      <c r="H936" s="77" t="s">
        <v>570</v>
      </c>
      <c r="I936" s="55"/>
      <c r="J936" s="56" t="s">
        <v>708</v>
      </c>
      <c r="K936" s="118">
        <f>ROUND(Tableau13[[#This Row],[LEN]]*7.27,0)</f>
        <v>465</v>
      </c>
      <c r="L936" s="118">
        <v>15</v>
      </c>
      <c r="M936" s="135" t="str">
        <f t="shared" si="6"/>
        <v>none</v>
      </c>
      <c r="N936" s="118">
        <f>LEN(Tableau13[[#This Row],[LABEL]])</f>
        <v>64</v>
      </c>
      <c r="O936" s="118">
        <v>15</v>
      </c>
      <c r="P936" s="118" t="e">
        <f>ROUND(Tableau13[[#This Row],[LEN]]*#REF!+#REF!,0)</f>
        <v>#REF!</v>
      </c>
    </row>
    <row r="937" spans="1:16" s="97" customFormat="1" x14ac:dyDescent="0.25">
      <c r="A937" s="49" t="s">
        <v>545</v>
      </c>
      <c r="B937" s="50" t="s">
        <v>312</v>
      </c>
      <c r="C937" s="51" t="s">
        <v>598</v>
      </c>
      <c r="D937" s="76" t="s">
        <v>28</v>
      </c>
      <c r="E937" s="51" t="s">
        <v>673</v>
      </c>
      <c r="F937" s="51" t="s">
        <v>1646</v>
      </c>
      <c r="G937" s="76" t="s">
        <v>169</v>
      </c>
      <c r="H937" s="76" t="s">
        <v>654</v>
      </c>
      <c r="I937" s="51"/>
      <c r="J937" s="52" t="s">
        <v>708</v>
      </c>
      <c r="K937" s="117">
        <f>ROUND(Tableau13[[#This Row],[LEN]]*7.27,0)</f>
        <v>553</v>
      </c>
      <c r="L937" s="117">
        <v>15</v>
      </c>
      <c r="M937" s="134" t="str">
        <f t="shared" si="6"/>
        <v>none</v>
      </c>
      <c r="N937" s="117">
        <f>LEN(Tableau13[[#This Row],[LABEL]])</f>
        <v>76</v>
      </c>
      <c r="O937" s="117">
        <v>15</v>
      </c>
      <c r="P937" s="117" t="e">
        <f>ROUND(Tableau13[[#This Row],[LEN]]*#REF!+#REF!,0)</f>
        <v>#REF!</v>
      </c>
    </row>
    <row r="938" spans="1:16" s="273" customFormat="1" x14ac:dyDescent="0.25">
      <c r="A938" s="351" t="s">
        <v>313</v>
      </c>
      <c r="B938" s="352" t="s">
        <v>209</v>
      </c>
      <c r="C938" s="353" t="s">
        <v>10</v>
      </c>
      <c r="D938" s="354" t="s">
        <v>28</v>
      </c>
      <c r="E938" s="353" t="s">
        <v>673</v>
      </c>
      <c r="F938" s="353" t="s">
        <v>673</v>
      </c>
      <c r="G938" s="354" t="s">
        <v>169</v>
      </c>
      <c r="H938" s="354" t="str">
        <f>IFERROR(IF(SEARCH(".00.00.00.00.00",Tableau13[[#This Row],[name]],1)=7,"Division",""),"")</f>
        <v>Division</v>
      </c>
      <c r="I938" s="353"/>
      <c r="J938" s="355" t="s">
        <v>719</v>
      </c>
      <c r="K938" s="356">
        <f>ROUND(Tableau13[[#This Row],[LEN]]*7.27,0)</f>
        <v>109</v>
      </c>
      <c r="L938" s="356">
        <v>15</v>
      </c>
      <c r="M938" s="357" t="str">
        <f t="shared" si="6"/>
        <v>new</v>
      </c>
      <c r="N938" s="356">
        <f>LEN(Tableau13[[#This Row],[LABEL]])</f>
        <v>15</v>
      </c>
      <c r="O938" s="356">
        <v>15</v>
      </c>
      <c r="P938" s="356" t="e">
        <f>ROUND(Tableau13[[#This Row],[LEN]]*#REF!+#REF!,0)</f>
        <v>#REF!</v>
      </c>
    </row>
    <row r="939" spans="1:16" s="97" customFormat="1" x14ac:dyDescent="0.25">
      <c r="A939" s="49" t="s">
        <v>1722</v>
      </c>
      <c r="B939" s="50" t="s">
        <v>313</v>
      </c>
      <c r="C939" s="51" t="s">
        <v>128</v>
      </c>
      <c r="D939" s="76" t="s">
        <v>28</v>
      </c>
      <c r="E939" s="51" t="s">
        <v>669</v>
      </c>
      <c r="F939" s="51" t="s">
        <v>1674</v>
      </c>
      <c r="G939" s="76" t="s">
        <v>169</v>
      </c>
      <c r="H939" s="76" t="s">
        <v>570</v>
      </c>
      <c r="I939" s="51"/>
      <c r="J939" s="52" t="s">
        <v>708</v>
      </c>
      <c r="K939" s="117">
        <f>ROUND(Tableau13[[#This Row],[LEN]]*7.27,0)</f>
        <v>182</v>
      </c>
      <c r="L939" s="117">
        <v>15</v>
      </c>
      <c r="M939" s="134" t="str">
        <f t="shared" si="6"/>
        <v>none</v>
      </c>
      <c r="N939" s="117">
        <f>LEN(Tableau13[[#This Row],[LABEL]])</f>
        <v>25</v>
      </c>
      <c r="O939" s="117">
        <v>15</v>
      </c>
      <c r="P939" s="117" t="e">
        <f>ROUND(Tableau13[[#This Row],[LEN]]*#REF!+#REF!,0)</f>
        <v>#REF!</v>
      </c>
    </row>
    <row r="940" spans="1:16" s="97" customFormat="1" x14ac:dyDescent="0.25">
      <c r="A940" s="49" t="s">
        <v>1723</v>
      </c>
      <c r="B940" s="50" t="s">
        <v>313</v>
      </c>
      <c r="C940" s="51" t="s">
        <v>129</v>
      </c>
      <c r="D940" s="76" t="s">
        <v>28</v>
      </c>
      <c r="E940" s="51" t="s">
        <v>673</v>
      </c>
      <c r="F940" s="51" t="s">
        <v>1646</v>
      </c>
      <c r="G940" s="76" t="s">
        <v>169</v>
      </c>
      <c r="H940" s="76" t="s">
        <v>655</v>
      </c>
      <c r="I940" s="51"/>
      <c r="J940" s="52" t="s">
        <v>708</v>
      </c>
      <c r="K940" s="117">
        <f>ROUND(Tableau13[[#This Row],[LEN]]*7.27,0)</f>
        <v>87</v>
      </c>
      <c r="L940" s="117">
        <v>15</v>
      </c>
      <c r="M940" s="134" t="str">
        <f t="shared" si="6"/>
        <v>none</v>
      </c>
      <c r="N940" s="117">
        <f>LEN(Tableau13[[#This Row],[LABEL]])</f>
        <v>12</v>
      </c>
      <c r="O940" s="117">
        <v>15</v>
      </c>
      <c r="P940" s="117" t="e">
        <f>ROUND(Tableau13[[#This Row],[LEN]]*#REF!+#REF!,0)</f>
        <v>#REF!</v>
      </c>
    </row>
    <row r="941" spans="1:16" s="97" customFormat="1" x14ac:dyDescent="0.25">
      <c r="A941" s="53" t="s">
        <v>1728</v>
      </c>
      <c r="B941" s="54" t="s">
        <v>1723</v>
      </c>
      <c r="C941" s="55" t="s">
        <v>131</v>
      </c>
      <c r="D941" s="77" t="s">
        <v>28</v>
      </c>
      <c r="E941" s="55" t="s">
        <v>673</v>
      </c>
      <c r="F941" s="55" t="s">
        <v>1646</v>
      </c>
      <c r="G941" s="77" t="s">
        <v>169</v>
      </c>
      <c r="H941" s="77" t="s">
        <v>570</v>
      </c>
      <c r="I941" s="55"/>
      <c r="J941" s="56" t="s">
        <v>708</v>
      </c>
      <c r="K941" s="118">
        <f>ROUND(Tableau13[[#This Row],[LEN]]*7.27,0)</f>
        <v>262</v>
      </c>
      <c r="L941" s="118">
        <v>15</v>
      </c>
      <c r="M941" s="135" t="str">
        <f t="shared" ref="M941:M1156" si="7">IF(J941="javascript:void(0)","none","new")</f>
        <v>none</v>
      </c>
      <c r="N941" s="118">
        <f>LEN(Tableau13[[#This Row],[LABEL]])</f>
        <v>36</v>
      </c>
      <c r="O941" s="118">
        <v>15</v>
      </c>
      <c r="P941" s="118" t="e">
        <f>ROUND(Tableau13[[#This Row],[LEN]]*#REF!+#REF!,0)</f>
        <v>#REF!</v>
      </c>
    </row>
    <row r="942" spans="1:16" s="97" customFormat="1" x14ac:dyDescent="0.25">
      <c r="A942" s="53" t="s">
        <v>1729</v>
      </c>
      <c r="B942" s="54" t="s">
        <v>1723</v>
      </c>
      <c r="C942" s="55" t="s">
        <v>132</v>
      </c>
      <c r="D942" s="77" t="s">
        <v>28</v>
      </c>
      <c r="E942" s="55" t="s">
        <v>673</v>
      </c>
      <c r="F942" s="55" t="s">
        <v>1646</v>
      </c>
      <c r="G942" s="77" t="s">
        <v>169</v>
      </c>
      <c r="H942" s="77" t="s">
        <v>570</v>
      </c>
      <c r="I942" s="55"/>
      <c r="J942" s="56" t="s">
        <v>708</v>
      </c>
      <c r="K942" s="118">
        <f>ROUND(Tableau13[[#This Row],[LEN]]*7.27,0)</f>
        <v>298</v>
      </c>
      <c r="L942" s="118">
        <v>15</v>
      </c>
      <c r="M942" s="135" t="str">
        <f t="shared" si="7"/>
        <v>none</v>
      </c>
      <c r="N942" s="118">
        <f>LEN(Tableau13[[#This Row],[LABEL]])</f>
        <v>41</v>
      </c>
      <c r="O942" s="118">
        <v>15</v>
      </c>
      <c r="P942" s="118" t="e">
        <f>ROUND(Tableau13[[#This Row],[LEN]]*#REF!+#REF!,0)</f>
        <v>#REF!</v>
      </c>
    </row>
    <row r="943" spans="1:16" s="97" customFormat="1" x14ac:dyDescent="0.25">
      <c r="A943" s="49" t="s">
        <v>1724</v>
      </c>
      <c r="B943" s="50" t="s">
        <v>313</v>
      </c>
      <c r="C943" s="51" t="s">
        <v>10</v>
      </c>
      <c r="D943" s="76" t="s">
        <v>28</v>
      </c>
      <c r="E943" s="51" t="s">
        <v>673</v>
      </c>
      <c r="F943" s="51" t="s">
        <v>1177</v>
      </c>
      <c r="G943" s="76" t="s">
        <v>169</v>
      </c>
      <c r="H943" s="76" t="s">
        <v>655</v>
      </c>
      <c r="I943" s="51"/>
      <c r="J943" s="52" t="s">
        <v>708</v>
      </c>
      <c r="K943" s="117">
        <f>ROUND(Tableau13[[#This Row],[LEN]]*7.27,0)</f>
        <v>109</v>
      </c>
      <c r="L943" s="117">
        <v>15</v>
      </c>
      <c r="M943" s="134" t="str">
        <f t="shared" si="7"/>
        <v>none</v>
      </c>
      <c r="N943" s="117">
        <f>LEN(Tableau13[[#This Row],[LABEL]])</f>
        <v>15</v>
      </c>
      <c r="O943" s="117">
        <v>15</v>
      </c>
      <c r="P943" s="117" t="e">
        <f>ROUND(Tableau13[[#This Row],[LEN]]*#REF!+#REF!,0)</f>
        <v>#REF!</v>
      </c>
    </row>
    <row r="944" spans="1:16" s="97" customFormat="1" x14ac:dyDescent="0.25">
      <c r="A944" s="53" t="s">
        <v>1730</v>
      </c>
      <c r="B944" s="54" t="s">
        <v>1724</v>
      </c>
      <c r="C944" s="55" t="s">
        <v>1733</v>
      </c>
      <c r="D944" s="77" t="s">
        <v>28</v>
      </c>
      <c r="E944" s="55" t="s">
        <v>673</v>
      </c>
      <c r="F944" s="55" t="s">
        <v>1177</v>
      </c>
      <c r="G944" s="77" t="s">
        <v>169</v>
      </c>
      <c r="H944" s="77" t="s">
        <v>654</v>
      </c>
      <c r="I944" s="55"/>
      <c r="J944" s="56" t="s">
        <v>708</v>
      </c>
      <c r="K944" s="118">
        <f>ROUND(Tableau13[[#This Row],[LEN]]*7.27,0)</f>
        <v>276</v>
      </c>
      <c r="L944" s="118">
        <v>15</v>
      </c>
      <c r="M944" s="135" t="str">
        <f t="shared" si="7"/>
        <v>none</v>
      </c>
      <c r="N944" s="118">
        <f>LEN(Tableau13[[#This Row],[LABEL]])</f>
        <v>38</v>
      </c>
      <c r="O944" s="118">
        <v>15</v>
      </c>
      <c r="P944" s="118" t="e">
        <f>ROUND(Tableau13[[#This Row],[LEN]]*#REF!+#REF!,0)</f>
        <v>#REF!</v>
      </c>
    </row>
    <row r="945" spans="1:16" s="97" customFormat="1" x14ac:dyDescent="0.25">
      <c r="A945" s="53" t="s">
        <v>1731</v>
      </c>
      <c r="B945" s="54" t="s">
        <v>1724</v>
      </c>
      <c r="C945" s="55" t="s">
        <v>1734</v>
      </c>
      <c r="D945" s="77" t="s">
        <v>28</v>
      </c>
      <c r="E945" s="55" t="s">
        <v>673</v>
      </c>
      <c r="F945" s="55" t="s">
        <v>1177</v>
      </c>
      <c r="G945" s="77" t="s">
        <v>169</v>
      </c>
      <c r="H945" s="77" t="s">
        <v>654</v>
      </c>
      <c r="I945" s="55"/>
      <c r="J945" s="56" t="s">
        <v>708</v>
      </c>
      <c r="K945" s="118">
        <f>ROUND(Tableau13[[#This Row],[LEN]]*7.27,0)</f>
        <v>320</v>
      </c>
      <c r="L945" s="118">
        <v>15</v>
      </c>
      <c r="M945" s="135" t="str">
        <f t="shared" si="7"/>
        <v>none</v>
      </c>
      <c r="N945" s="118">
        <f>LEN(Tableau13[[#This Row],[LABEL]])</f>
        <v>44</v>
      </c>
      <c r="O945" s="118">
        <v>15</v>
      </c>
      <c r="P945" s="118" t="e">
        <f>ROUND(Tableau13[[#This Row],[LEN]]*#REF!+#REF!,0)</f>
        <v>#REF!</v>
      </c>
    </row>
    <row r="946" spans="1:16" s="97" customFormat="1" x14ac:dyDescent="0.25">
      <c r="A946" s="53" t="s">
        <v>1732</v>
      </c>
      <c r="B946" s="54" t="s">
        <v>1724</v>
      </c>
      <c r="C946" s="55" t="s">
        <v>1735</v>
      </c>
      <c r="D946" s="77" t="s">
        <v>28</v>
      </c>
      <c r="E946" s="55" t="s">
        <v>673</v>
      </c>
      <c r="F946" s="55" t="s">
        <v>1177</v>
      </c>
      <c r="G946" s="77" t="s">
        <v>169</v>
      </c>
      <c r="H946" s="77" t="s">
        <v>654</v>
      </c>
      <c r="I946" s="55"/>
      <c r="J946" s="56" t="s">
        <v>708</v>
      </c>
      <c r="K946" s="118">
        <f>ROUND(Tableau13[[#This Row],[LEN]]*7.27,0)</f>
        <v>473</v>
      </c>
      <c r="L946" s="118">
        <v>15</v>
      </c>
      <c r="M946" s="135" t="str">
        <f t="shared" si="7"/>
        <v>none</v>
      </c>
      <c r="N946" s="118">
        <f>LEN(Tableau13[[#This Row],[LABEL]])</f>
        <v>65</v>
      </c>
      <c r="O946" s="118">
        <v>15</v>
      </c>
      <c r="P946" s="118" t="e">
        <f>ROUND(Tableau13[[#This Row],[LEN]]*#REF!+#REF!,0)</f>
        <v>#REF!</v>
      </c>
    </row>
    <row r="947" spans="1:16" s="97" customFormat="1" x14ac:dyDescent="0.25">
      <c r="A947" s="49" t="s">
        <v>1725</v>
      </c>
      <c r="B947" s="50" t="s">
        <v>313</v>
      </c>
      <c r="C947" s="51" t="s">
        <v>1736</v>
      </c>
      <c r="D947" s="76" t="s">
        <v>28</v>
      </c>
      <c r="E947" s="51" t="s">
        <v>673</v>
      </c>
      <c r="F947" s="51" t="s">
        <v>1177</v>
      </c>
      <c r="G947" s="76" t="s">
        <v>169</v>
      </c>
      <c r="H947" s="76" t="s">
        <v>656</v>
      </c>
      <c r="I947" s="51"/>
      <c r="J947" s="52" t="s">
        <v>1737</v>
      </c>
      <c r="K947" s="117">
        <f>ROUND(Tableau13[[#This Row],[LEN]]*7.27,0)</f>
        <v>233</v>
      </c>
      <c r="L947" s="117">
        <v>15</v>
      </c>
      <c r="M947" s="134" t="str">
        <f t="shared" si="7"/>
        <v>new</v>
      </c>
      <c r="N947" s="117">
        <f>LEN(Tableau13[[#This Row],[LABEL]])</f>
        <v>32</v>
      </c>
      <c r="O947" s="117">
        <v>15</v>
      </c>
      <c r="P947" s="117" t="e">
        <f>ROUND(Tableau13[[#This Row],[LEN]]*#REF!+#REF!,0)</f>
        <v>#REF!</v>
      </c>
    </row>
    <row r="948" spans="1:16" s="97" customFormat="1" x14ac:dyDescent="0.25">
      <c r="A948" s="49" t="s">
        <v>1726</v>
      </c>
      <c r="B948" s="50" t="s">
        <v>313</v>
      </c>
      <c r="C948" s="51" t="s">
        <v>549</v>
      </c>
      <c r="D948" s="76" t="s">
        <v>28</v>
      </c>
      <c r="E948" s="51" t="s">
        <v>673</v>
      </c>
      <c r="F948" s="51" t="s">
        <v>1704</v>
      </c>
      <c r="G948" s="76" t="s">
        <v>169</v>
      </c>
      <c r="H948" s="76" t="s">
        <v>655</v>
      </c>
      <c r="I948" s="51"/>
      <c r="J948" s="52" t="s">
        <v>708</v>
      </c>
      <c r="K948" s="117">
        <f>ROUND(Tableau13[[#This Row],[LEN]]*7.27,0)</f>
        <v>145</v>
      </c>
      <c r="L948" s="117">
        <v>15</v>
      </c>
      <c r="M948" s="134" t="str">
        <f t="shared" si="7"/>
        <v>none</v>
      </c>
      <c r="N948" s="117">
        <f>LEN(Tableau13[[#This Row],[LABEL]])</f>
        <v>20</v>
      </c>
      <c r="O948" s="117">
        <v>15</v>
      </c>
      <c r="P948" s="117" t="e">
        <f>ROUND(Tableau13[[#This Row],[LEN]]*#REF!+#REF!,0)</f>
        <v>#REF!</v>
      </c>
    </row>
    <row r="949" spans="1:16" s="97" customFormat="1" x14ac:dyDescent="0.25">
      <c r="A949" s="53" t="s">
        <v>1738</v>
      </c>
      <c r="B949" s="54" t="s">
        <v>1726</v>
      </c>
      <c r="C949" s="55" t="s">
        <v>590</v>
      </c>
      <c r="D949" s="77" t="s">
        <v>28</v>
      </c>
      <c r="E949" s="55" t="s">
        <v>673</v>
      </c>
      <c r="F949" s="55" t="s">
        <v>1704</v>
      </c>
      <c r="G949" s="77" t="s">
        <v>169</v>
      </c>
      <c r="H949" s="77" t="s">
        <v>570</v>
      </c>
      <c r="I949" s="55"/>
      <c r="J949" s="56" t="s">
        <v>708</v>
      </c>
      <c r="K949" s="118">
        <f>ROUND(Tableau13[[#This Row],[LEN]]*7.27,0)</f>
        <v>102</v>
      </c>
      <c r="L949" s="118">
        <v>15</v>
      </c>
      <c r="M949" s="135" t="str">
        <f t="shared" si="7"/>
        <v>none</v>
      </c>
      <c r="N949" s="118">
        <f>LEN(Tableau13[[#This Row],[LABEL]])</f>
        <v>14</v>
      </c>
      <c r="O949" s="118">
        <v>15</v>
      </c>
      <c r="P949" s="118" t="e">
        <f>ROUND(Tableau13[[#This Row],[LEN]]*#REF!+#REF!,0)</f>
        <v>#REF!</v>
      </c>
    </row>
    <row r="950" spans="1:16" s="97" customFormat="1" x14ac:dyDescent="0.25">
      <c r="A950" s="53" t="s">
        <v>1739</v>
      </c>
      <c r="B950" s="54" t="s">
        <v>1726</v>
      </c>
      <c r="C950" s="55" t="s">
        <v>591</v>
      </c>
      <c r="D950" s="77" t="s">
        <v>28</v>
      </c>
      <c r="E950" s="55" t="s">
        <v>673</v>
      </c>
      <c r="F950" s="55" t="s">
        <v>1704</v>
      </c>
      <c r="G950" s="77" t="s">
        <v>169</v>
      </c>
      <c r="H950" s="77" t="s">
        <v>570</v>
      </c>
      <c r="I950" s="55"/>
      <c r="J950" s="56" t="s">
        <v>708</v>
      </c>
      <c r="K950" s="118">
        <f>ROUND(Tableau13[[#This Row],[LEN]]*7.27,0)</f>
        <v>262</v>
      </c>
      <c r="L950" s="118">
        <v>15</v>
      </c>
      <c r="M950" s="135" t="str">
        <f t="shared" si="7"/>
        <v>none</v>
      </c>
      <c r="N950" s="118">
        <f>LEN(Tableau13[[#This Row],[LABEL]])</f>
        <v>36</v>
      </c>
      <c r="O950" s="118">
        <v>15</v>
      </c>
      <c r="P950" s="118" t="e">
        <f>ROUND(Tableau13[[#This Row],[LEN]]*#REF!+#REF!,0)</f>
        <v>#REF!</v>
      </c>
    </row>
    <row r="951" spans="1:16" s="97" customFormat="1" x14ac:dyDescent="0.25">
      <c r="A951" s="53" t="s">
        <v>1740</v>
      </c>
      <c r="B951" s="54" t="s">
        <v>1726</v>
      </c>
      <c r="C951" s="55" t="s">
        <v>592</v>
      </c>
      <c r="D951" s="77" t="s">
        <v>28</v>
      </c>
      <c r="E951" s="55" t="s">
        <v>673</v>
      </c>
      <c r="F951" s="55" t="s">
        <v>1704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ROUND(Tableau13[[#This Row],[LEN]]*7.27,0)</f>
        <v>189</v>
      </c>
      <c r="L951" s="118">
        <v>15</v>
      </c>
      <c r="M951" s="135" t="str">
        <f t="shared" si="7"/>
        <v>none</v>
      </c>
      <c r="N951" s="118">
        <f>LEN(Tableau13[[#This Row],[LABEL]])</f>
        <v>26</v>
      </c>
      <c r="O951" s="118">
        <v>15</v>
      </c>
      <c r="P951" s="118" t="e">
        <f>ROUND(Tableau13[[#This Row],[LEN]]*#REF!+#REF!,0)</f>
        <v>#REF!</v>
      </c>
    </row>
    <row r="952" spans="1:16" s="97" customFormat="1" x14ac:dyDescent="0.25">
      <c r="A952" s="53" t="s">
        <v>1741</v>
      </c>
      <c r="B952" s="54" t="s">
        <v>1726</v>
      </c>
      <c r="C952" s="55" t="s">
        <v>597</v>
      </c>
      <c r="D952" s="77" t="s">
        <v>28</v>
      </c>
      <c r="E952" s="55" t="s">
        <v>673</v>
      </c>
      <c r="F952" s="55" t="s">
        <v>1704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ROUND(Tableau13[[#This Row],[LEN]]*7.27,0)</f>
        <v>465</v>
      </c>
      <c r="L952" s="118">
        <v>15</v>
      </c>
      <c r="M952" s="135" t="str">
        <f t="shared" si="7"/>
        <v>none</v>
      </c>
      <c r="N952" s="118">
        <f>LEN(Tableau13[[#This Row],[LABEL]])</f>
        <v>64</v>
      </c>
      <c r="O952" s="118">
        <v>15</v>
      </c>
      <c r="P952" s="118" t="e">
        <f>ROUND(Tableau13[[#This Row],[LEN]]*#REF!+#REF!,0)</f>
        <v>#REF!</v>
      </c>
    </row>
    <row r="953" spans="1:16" s="97" customFormat="1" x14ac:dyDescent="0.25">
      <c r="A953" s="49" t="s">
        <v>1727</v>
      </c>
      <c r="B953" s="50" t="s">
        <v>313</v>
      </c>
      <c r="C953" s="51" t="s">
        <v>598</v>
      </c>
      <c r="D953" s="76" t="s">
        <v>28</v>
      </c>
      <c r="E953" s="51" t="s">
        <v>673</v>
      </c>
      <c r="F953" s="51" t="s">
        <v>1646</v>
      </c>
      <c r="G953" s="76" t="s">
        <v>169</v>
      </c>
      <c r="H953" s="76" t="s">
        <v>654</v>
      </c>
      <c r="I953" s="51"/>
      <c r="J953" s="52" t="s">
        <v>708</v>
      </c>
      <c r="K953" s="117">
        <f>ROUND(Tableau13[[#This Row],[LEN]]*7.27,0)</f>
        <v>553</v>
      </c>
      <c r="L953" s="117">
        <v>15</v>
      </c>
      <c r="M953" s="134" t="str">
        <f t="shared" si="7"/>
        <v>none</v>
      </c>
      <c r="N953" s="117">
        <f>LEN(Tableau13[[#This Row],[LABEL]])</f>
        <v>76</v>
      </c>
      <c r="O953" s="117">
        <v>15</v>
      </c>
      <c r="P953" s="117" t="e">
        <f>ROUND(Tableau13[[#This Row],[LEN]]*#REF!+#REF!,0)</f>
        <v>#REF!</v>
      </c>
    </row>
    <row r="954" spans="1:16" s="273" customFormat="1" x14ac:dyDescent="0.25">
      <c r="A954" s="351" t="s">
        <v>314</v>
      </c>
      <c r="B954" s="352" t="s">
        <v>209</v>
      </c>
      <c r="C954" s="353" t="s">
        <v>11</v>
      </c>
      <c r="D954" s="354" t="s">
        <v>28</v>
      </c>
      <c r="E954" s="353" t="s">
        <v>674</v>
      </c>
      <c r="F954" s="353" t="s">
        <v>674</v>
      </c>
      <c r="G954" s="354" t="s">
        <v>169</v>
      </c>
      <c r="H954" s="354" t="str">
        <f>IFERROR(IF(SEARCH(".00.00.00.00.00",Tableau13[[#This Row],[name]],1)=7,"Division",""),"")</f>
        <v>Division</v>
      </c>
      <c r="I954" s="353"/>
      <c r="J954" s="355" t="s">
        <v>720</v>
      </c>
      <c r="K954" s="356">
        <f>ROUND(Tableau13[[#This Row],[LEN]]*7.27,0)</f>
        <v>51</v>
      </c>
      <c r="L954" s="356">
        <v>15</v>
      </c>
      <c r="M954" s="357" t="str">
        <f t="shared" si="7"/>
        <v>new</v>
      </c>
      <c r="N954" s="356">
        <f>LEN(Tableau13[[#This Row],[LABEL]])</f>
        <v>7</v>
      </c>
      <c r="O954" s="356">
        <v>15</v>
      </c>
      <c r="P954" s="356" t="e">
        <f>ROUND(Tableau13[[#This Row],[LEN]]*#REF!+#REF!,0)</f>
        <v>#REF!</v>
      </c>
    </row>
    <row r="955" spans="1:16" s="97" customFormat="1" x14ac:dyDescent="0.25">
      <c r="A955" s="49" t="s">
        <v>1742</v>
      </c>
      <c r="B955" s="50" t="s">
        <v>314</v>
      </c>
      <c r="C955" s="51" t="s">
        <v>129</v>
      </c>
      <c r="D955" s="76" t="s">
        <v>28</v>
      </c>
      <c r="E955" s="51" t="s">
        <v>673</v>
      </c>
      <c r="F955" s="51" t="s">
        <v>1646</v>
      </c>
      <c r="G955" s="76" t="s">
        <v>169</v>
      </c>
      <c r="H955" s="76" t="s">
        <v>655</v>
      </c>
      <c r="I955" s="51"/>
      <c r="J955" s="52" t="s">
        <v>708</v>
      </c>
      <c r="K955" s="117">
        <f>ROUND(Tableau13[[#This Row],[LEN]]*7.27,0)</f>
        <v>87</v>
      </c>
      <c r="L955" s="117">
        <v>15</v>
      </c>
      <c r="M955" s="134" t="str">
        <f t="shared" si="7"/>
        <v>none</v>
      </c>
      <c r="N955" s="117">
        <f>LEN(Tableau13[[#This Row],[LABEL]])</f>
        <v>12</v>
      </c>
      <c r="O955" s="117">
        <v>15</v>
      </c>
      <c r="P955" s="117" t="e">
        <f>ROUND(Tableau13[[#This Row],[LEN]]*#REF!+#REF!,0)</f>
        <v>#REF!</v>
      </c>
    </row>
    <row r="956" spans="1:16" s="97" customFormat="1" x14ac:dyDescent="0.25">
      <c r="A956" s="53" t="s">
        <v>1747</v>
      </c>
      <c r="B956" s="54" t="s">
        <v>1742</v>
      </c>
      <c r="C956" s="55" t="s">
        <v>131</v>
      </c>
      <c r="D956" s="77" t="s">
        <v>28</v>
      </c>
      <c r="E956" s="55" t="s">
        <v>673</v>
      </c>
      <c r="F956" s="55" t="s">
        <v>1646</v>
      </c>
      <c r="G956" s="77" t="s">
        <v>169</v>
      </c>
      <c r="H956" s="77" t="s">
        <v>570</v>
      </c>
      <c r="I956" s="55"/>
      <c r="J956" s="56" t="s">
        <v>708</v>
      </c>
      <c r="K956" s="118">
        <f>ROUND(Tableau13[[#This Row],[LEN]]*7.27,0)</f>
        <v>262</v>
      </c>
      <c r="L956" s="118">
        <v>15</v>
      </c>
      <c r="M956" s="135" t="str">
        <f t="shared" si="7"/>
        <v>none</v>
      </c>
      <c r="N956" s="118">
        <f>LEN(Tableau13[[#This Row],[LABEL]])</f>
        <v>36</v>
      </c>
      <c r="O956" s="118">
        <v>15</v>
      </c>
      <c r="P956" s="118" t="e">
        <f>ROUND(Tableau13[[#This Row],[LEN]]*#REF!+#REF!,0)</f>
        <v>#REF!</v>
      </c>
    </row>
    <row r="957" spans="1:16" s="97" customFormat="1" x14ac:dyDescent="0.25">
      <c r="A957" s="53" t="s">
        <v>1748</v>
      </c>
      <c r="B957" s="54" t="s">
        <v>1742</v>
      </c>
      <c r="C957" s="55" t="s">
        <v>132</v>
      </c>
      <c r="D957" s="77" t="s">
        <v>28</v>
      </c>
      <c r="E957" s="55" t="s">
        <v>673</v>
      </c>
      <c r="F957" s="55" t="s">
        <v>1646</v>
      </c>
      <c r="G957" s="77" t="s">
        <v>169</v>
      </c>
      <c r="H957" s="77" t="s">
        <v>570</v>
      </c>
      <c r="I957" s="55"/>
      <c r="J957" s="56" t="s">
        <v>708</v>
      </c>
      <c r="K957" s="118">
        <f>ROUND(Tableau13[[#This Row],[LEN]]*7.27,0)</f>
        <v>298</v>
      </c>
      <c r="L957" s="118">
        <v>15</v>
      </c>
      <c r="M957" s="135" t="str">
        <f t="shared" si="7"/>
        <v>none</v>
      </c>
      <c r="N957" s="118">
        <f>LEN(Tableau13[[#This Row],[LABEL]])</f>
        <v>41</v>
      </c>
      <c r="O957" s="118">
        <v>15</v>
      </c>
      <c r="P957" s="118" t="e">
        <f>ROUND(Tableau13[[#This Row],[LEN]]*#REF!+#REF!,0)</f>
        <v>#REF!</v>
      </c>
    </row>
    <row r="958" spans="1:16" s="97" customFormat="1" x14ac:dyDescent="0.25">
      <c r="A958" s="49" t="s">
        <v>1743</v>
      </c>
      <c r="B958" s="50" t="s">
        <v>314</v>
      </c>
      <c r="C958" s="51" t="s">
        <v>1749</v>
      </c>
      <c r="D958" s="76" t="s">
        <v>28</v>
      </c>
      <c r="E958" s="51" t="s">
        <v>674</v>
      </c>
      <c r="F958" s="51" t="s">
        <v>1177</v>
      </c>
      <c r="G958" s="76" t="s">
        <v>169</v>
      </c>
      <c r="H958" s="76" t="s">
        <v>656</v>
      </c>
      <c r="I958" s="51"/>
      <c r="J958" s="52" t="s">
        <v>708</v>
      </c>
      <c r="K958" s="117">
        <f>ROUND(Tableau13[[#This Row],[LEN]]*7.27,0)</f>
        <v>196</v>
      </c>
      <c r="L958" s="117">
        <v>15</v>
      </c>
      <c r="M958" s="134" t="str">
        <f t="shared" si="7"/>
        <v>none</v>
      </c>
      <c r="N958" s="117">
        <f>LEN(Tableau13[[#This Row],[LABEL]])</f>
        <v>27</v>
      </c>
      <c r="O958" s="117">
        <v>15</v>
      </c>
      <c r="P958" s="117" t="e">
        <f>ROUND(Tableau13[[#This Row],[LEN]]*#REF!+#REF!,0)</f>
        <v>#REF!</v>
      </c>
    </row>
    <row r="959" spans="1:16" s="97" customFormat="1" x14ac:dyDescent="0.25">
      <c r="A959" s="49" t="s">
        <v>1744</v>
      </c>
      <c r="B959" s="50" t="s">
        <v>314</v>
      </c>
      <c r="C959" s="51" t="s">
        <v>549</v>
      </c>
      <c r="D959" s="76" t="s">
        <v>28</v>
      </c>
      <c r="E959" s="51" t="s">
        <v>673</v>
      </c>
      <c r="F959" s="51" t="s">
        <v>1704</v>
      </c>
      <c r="G959" s="76" t="s">
        <v>169</v>
      </c>
      <c r="H959" s="76" t="s">
        <v>655</v>
      </c>
      <c r="I959" s="51"/>
      <c r="J959" s="52" t="s">
        <v>708</v>
      </c>
      <c r="K959" s="117">
        <f>ROUND(Tableau13[[#This Row],[LEN]]*7.27,0)</f>
        <v>145</v>
      </c>
      <c r="L959" s="117">
        <v>15</v>
      </c>
      <c r="M959" s="134" t="str">
        <f t="shared" si="7"/>
        <v>none</v>
      </c>
      <c r="N959" s="117">
        <f>LEN(Tableau13[[#This Row],[LABEL]])</f>
        <v>20</v>
      </c>
      <c r="O959" s="117">
        <v>15</v>
      </c>
      <c r="P959" s="117" t="e">
        <f>ROUND(Tableau13[[#This Row],[LEN]]*#REF!+#REF!,0)</f>
        <v>#REF!</v>
      </c>
    </row>
    <row r="960" spans="1:16" s="97" customFormat="1" x14ac:dyDescent="0.25">
      <c r="A960" s="53" t="s">
        <v>1750</v>
      </c>
      <c r="B960" s="54" t="s">
        <v>1744</v>
      </c>
      <c r="C960" s="55" t="s">
        <v>590</v>
      </c>
      <c r="D960" s="77" t="s">
        <v>28</v>
      </c>
      <c r="E960" s="55" t="s">
        <v>673</v>
      </c>
      <c r="F960" s="55" t="s">
        <v>1704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ROUND(Tableau13[[#This Row],[LEN]]*7.27,0)</f>
        <v>102</v>
      </c>
      <c r="L960" s="118">
        <v>15</v>
      </c>
      <c r="M960" s="135" t="str">
        <f t="shared" si="7"/>
        <v>none</v>
      </c>
      <c r="N960" s="118">
        <f>LEN(Tableau13[[#This Row],[LABEL]])</f>
        <v>14</v>
      </c>
      <c r="O960" s="118">
        <v>15</v>
      </c>
      <c r="P960" s="118" t="e">
        <f>ROUND(Tableau13[[#This Row],[LEN]]*#REF!+#REF!,0)</f>
        <v>#REF!</v>
      </c>
    </row>
    <row r="961" spans="1:16" s="97" customFormat="1" x14ac:dyDescent="0.25">
      <c r="A961" s="53" t="s">
        <v>1751</v>
      </c>
      <c r="B961" s="54" t="s">
        <v>1744</v>
      </c>
      <c r="C961" s="55" t="s">
        <v>591</v>
      </c>
      <c r="D961" s="77" t="s">
        <v>28</v>
      </c>
      <c r="E961" s="55" t="s">
        <v>673</v>
      </c>
      <c r="F961" s="55" t="s">
        <v>1704</v>
      </c>
      <c r="G961" s="77" t="s">
        <v>169</v>
      </c>
      <c r="H961" s="77" t="s">
        <v>570</v>
      </c>
      <c r="I961" s="55"/>
      <c r="J961" s="56" t="s">
        <v>708</v>
      </c>
      <c r="K961" s="118">
        <f>ROUND(Tableau13[[#This Row],[LEN]]*7.27,0)</f>
        <v>262</v>
      </c>
      <c r="L961" s="118">
        <v>15</v>
      </c>
      <c r="M961" s="135" t="str">
        <f t="shared" si="7"/>
        <v>none</v>
      </c>
      <c r="N961" s="118">
        <f>LEN(Tableau13[[#This Row],[LABEL]])</f>
        <v>36</v>
      </c>
      <c r="O961" s="118">
        <v>15</v>
      </c>
      <c r="P961" s="118" t="e">
        <f>ROUND(Tableau13[[#This Row],[LEN]]*#REF!+#REF!,0)</f>
        <v>#REF!</v>
      </c>
    </row>
    <row r="962" spans="1:16" s="97" customFormat="1" x14ac:dyDescent="0.25">
      <c r="A962" s="53" t="s">
        <v>1752</v>
      </c>
      <c r="B962" s="54" t="s">
        <v>1744</v>
      </c>
      <c r="C962" s="55" t="s">
        <v>592</v>
      </c>
      <c r="D962" s="77" t="s">
        <v>28</v>
      </c>
      <c r="E962" s="55" t="s">
        <v>673</v>
      </c>
      <c r="F962" s="55" t="s">
        <v>1704</v>
      </c>
      <c r="G962" s="77" t="s">
        <v>169</v>
      </c>
      <c r="H962" s="77" t="s">
        <v>570</v>
      </c>
      <c r="I962" s="55"/>
      <c r="J962" s="56" t="s">
        <v>708</v>
      </c>
      <c r="K962" s="118">
        <f>ROUND(Tableau13[[#This Row],[LEN]]*7.27,0)</f>
        <v>189</v>
      </c>
      <c r="L962" s="118">
        <v>15</v>
      </c>
      <c r="M962" s="135" t="str">
        <f t="shared" si="7"/>
        <v>none</v>
      </c>
      <c r="N962" s="118">
        <f>LEN(Tableau13[[#This Row],[LABEL]])</f>
        <v>26</v>
      </c>
      <c r="O962" s="118">
        <v>15</v>
      </c>
      <c r="P962" s="118" t="e">
        <f>ROUND(Tableau13[[#This Row],[LEN]]*#REF!+#REF!,0)</f>
        <v>#REF!</v>
      </c>
    </row>
    <row r="963" spans="1:16" s="97" customFormat="1" x14ac:dyDescent="0.25">
      <c r="A963" s="53" t="s">
        <v>1753</v>
      </c>
      <c r="B963" s="54" t="s">
        <v>1744</v>
      </c>
      <c r="C963" s="55" t="s">
        <v>597</v>
      </c>
      <c r="D963" s="77" t="s">
        <v>28</v>
      </c>
      <c r="E963" s="55" t="s">
        <v>673</v>
      </c>
      <c r="F963" s="55" t="s">
        <v>1704</v>
      </c>
      <c r="G963" s="77" t="s">
        <v>169</v>
      </c>
      <c r="H963" s="77" t="s">
        <v>570</v>
      </c>
      <c r="I963" s="55"/>
      <c r="J963" s="56" t="s">
        <v>708</v>
      </c>
      <c r="K963" s="118">
        <f>ROUND(Tableau13[[#This Row],[LEN]]*7.27,0)</f>
        <v>465</v>
      </c>
      <c r="L963" s="118">
        <v>15</v>
      </c>
      <c r="M963" s="135" t="str">
        <f t="shared" si="7"/>
        <v>none</v>
      </c>
      <c r="N963" s="118">
        <f>LEN(Tableau13[[#This Row],[LABEL]])</f>
        <v>64</v>
      </c>
      <c r="O963" s="118">
        <v>15</v>
      </c>
      <c r="P963" s="118" t="e">
        <f>ROUND(Tableau13[[#This Row],[LEN]]*#REF!+#REF!,0)</f>
        <v>#REF!</v>
      </c>
    </row>
    <row r="964" spans="1:16" s="97" customFormat="1" x14ac:dyDescent="0.25">
      <c r="A964" s="49" t="s">
        <v>1745</v>
      </c>
      <c r="B964" s="50" t="s">
        <v>314</v>
      </c>
      <c r="C964" s="51" t="s">
        <v>1754</v>
      </c>
      <c r="D964" s="76" t="s">
        <v>1755</v>
      </c>
      <c r="E964" s="51" t="s">
        <v>674</v>
      </c>
      <c r="F964" s="51" t="s">
        <v>679</v>
      </c>
      <c r="G964" s="76" t="s">
        <v>169</v>
      </c>
      <c r="H964" s="76" t="s">
        <v>656</v>
      </c>
      <c r="I964" s="51"/>
      <c r="J964" s="52" t="s">
        <v>708</v>
      </c>
      <c r="K964" s="117">
        <f>ROUND(Tableau13[[#This Row],[LEN]]*7.27,0)</f>
        <v>327</v>
      </c>
      <c r="L964" s="117">
        <v>15</v>
      </c>
      <c r="M964" s="134" t="str">
        <f t="shared" si="7"/>
        <v>none</v>
      </c>
      <c r="N964" s="117">
        <f>LEN(Tableau13[[#This Row],[LABEL]])</f>
        <v>45</v>
      </c>
      <c r="O964" s="117">
        <v>15</v>
      </c>
      <c r="P964" s="117" t="e">
        <f>ROUND(Tableau13[[#This Row],[LEN]]*#REF!+#REF!,0)</f>
        <v>#REF!</v>
      </c>
    </row>
    <row r="965" spans="1:16" s="97" customFormat="1" x14ac:dyDescent="0.25">
      <c r="A965" s="49" t="s">
        <v>1746</v>
      </c>
      <c r="B965" s="50" t="s">
        <v>314</v>
      </c>
      <c r="C965" s="51" t="s">
        <v>598</v>
      </c>
      <c r="D965" s="76" t="s">
        <v>28</v>
      </c>
      <c r="E965" s="51" t="s">
        <v>673</v>
      </c>
      <c r="F965" s="51" t="s">
        <v>1646</v>
      </c>
      <c r="G965" s="76" t="s">
        <v>169</v>
      </c>
      <c r="H965" s="76" t="s">
        <v>654</v>
      </c>
      <c r="I965" s="51"/>
      <c r="J965" s="52" t="s">
        <v>708</v>
      </c>
      <c r="K965" s="117">
        <f>ROUND(Tableau13[[#This Row],[LEN]]*7.27,0)</f>
        <v>553</v>
      </c>
      <c r="L965" s="117">
        <v>15</v>
      </c>
      <c r="M965" s="134" t="str">
        <f t="shared" si="7"/>
        <v>none</v>
      </c>
      <c r="N965" s="117">
        <f>LEN(Tableau13[[#This Row],[LABEL]])</f>
        <v>76</v>
      </c>
      <c r="O965" s="117">
        <v>15</v>
      </c>
      <c r="P965" s="117" t="e">
        <f>ROUND(Tableau13[[#This Row],[LEN]]*#REF!+#REF!,0)</f>
        <v>#REF!</v>
      </c>
    </row>
    <row r="966" spans="1:16" s="273" customFormat="1" x14ac:dyDescent="0.25">
      <c r="A966" s="351" t="s">
        <v>315</v>
      </c>
      <c r="B966" s="352" t="s">
        <v>209</v>
      </c>
      <c r="C966" s="353" t="s">
        <v>12</v>
      </c>
      <c r="D966" s="354" t="s">
        <v>28</v>
      </c>
      <c r="E966" s="353" t="s">
        <v>675</v>
      </c>
      <c r="F966" s="353" t="s">
        <v>675</v>
      </c>
      <c r="G966" s="354" t="s">
        <v>169</v>
      </c>
      <c r="H966" s="354" t="str">
        <f>IFERROR(IF(SEARCH(".00.00.00.00.00",Tableau13[[#This Row],[name]],1)=7,"Division",""),"")</f>
        <v>Division</v>
      </c>
      <c r="I966" s="353"/>
      <c r="J966" s="355" t="s">
        <v>721</v>
      </c>
      <c r="K966" s="356">
        <f>ROUND(Tableau13[[#This Row],[LEN]]*7.27,0)</f>
        <v>15</v>
      </c>
      <c r="L966" s="356">
        <v>15</v>
      </c>
      <c r="M966" s="357" t="str">
        <f t="shared" si="7"/>
        <v>new</v>
      </c>
      <c r="N966" s="356">
        <f>LEN(Tableau13[[#This Row],[LABEL]])</f>
        <v>2</v>
      </c>
      <c r="O966" s="356">
        <v>15</v>
      </c>
      <c r="P966" s="356" t="e">
        <f>ROUND(Tableau13[[#This Row],[LEN]]*#REF!+#REF!,0)</f>
        <v>#REF!</v>
      </c>
    </row>
    <row r="967" spans="1:16" s="97" customFormat="1" x14ac:dyDescent="0.25">
      <c r="A967" s="49" t="s">
        <v>1756</v>
      </c>
      <c r="B967" s="50" t="s">
        <v>315</v>
      </c>
      <c r="C967" s="51" t="s">
        <v>129</v>
      </c>
      <c r="D967" s="76" t="s">
        <v>28</v>
      </c>
      <c r="E967" s="51" t="s">
        <v>673</v>
      </c>
      <c r="F967" s="51" t="s">
        <v>1646</v>
      </c>
      <c r="G967" s="76" t="s">
        <v>169</v>
      </c>
      <c r="H967" s="76" t="s">
        <v>655</v>
      </c>
      <c r="I967" s="51"/>
      <c r="J967" s="52" t="s">
        <v>708</v>
      </c>
      <c r="K967" s="117">
        <f>ROUND(Tableau13[[#This Row],[LEN]]*7.27,0)</f>
        <v>87</v>
      </c>
      <c r="L967" s="117">
        <v>15</v>
      </c>
      <c r="M967" s="134" t="str">
        <f t="shared" si="7"/>
        <v>none</v>
      </c>
      <c r="N967" s="117">
        <f>LEN(Tableau13[[#This Row],[LABEL]])</f>
        <v>12</v>
      </c>
      <c r="O967" s="117">
        <v>15</v>
      </c>
      <c r="P967" s="117" t="e">
        <f>ROUND(Tableau13[[#This Row],[LEN]]*#REF!+#REF!,0)</f>
        <v>#REF!</v>
      </c>
    </row>
    <row r="968" spans="1:16" s="97" customFormat="1" x14ac:dyDescent="0.25">
      <c r="A968" s="53" t="s">
        <v>1764</v>
      </c>
      <c r="B968" s="54" t="s">
        <v>1756</v>
      </c>
      <c r="C968" s="55" t="s">
        <v>131</v>
      </c>
      <c r="D968" s="77" t="s">
        <v>28</v>
      </c>
      <c r="E968" s="55" t="s">
        <v>673</v>
      </c>
      <c r="F968" s="55" t="s">
        <v>1646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ROUND(Tableau13[[#This Row],[LEN]]*7.27,0)</f>
        <v>262</v>
      </c>
      <c r="L968" s="118">
        <v>15</v>
      </c>
      <c r="M968" s="135" t="str">
        <f t="shared" si="7"/>
        <v>none</v>
      </c>
      <c r="N968" s="118">
        <f>LEN(Tableau13[[#This Row],[LABEL]])</f>
        <v>36</v>
      </c>
      <c r="O968" s="118">
        <v>15</v>
      </c>
      <c r="P968" s="118" t="e">
        <f>ROUND(Tableau13[[#This Row],[LEN]]*#REF!+#REF!,0)</f>
        <v>#REF!</v>
      </c>
    </row>
    <row r="969" spans="1:16" s="97" customFormat="1" x14ac:dyDescent="0.25">
      <c r="A969" s="53" t="s">
        <v>1765</v>
      </c>
      <c r="B969" s="54" t="s">
        <v>1756</v>
      </c>
      <c r="C969" s="55" t="s">
        <v>132</v>
      </c>
      <c r="D969" s="77" t="s">
        <v>28</v>
      </c>
      <c r="E969" s="55" t="s">
        <v>673</v>
      </c>
      <c r="F969" s="55" t="s">
        <v>1646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ROUND(Tableau13[[#This Row],[LEN]]*7.27,0)</f>
        <v>298</v>
      </c>
      <c r="L969" s="118">
        <v>15</v>
      </c>
      <c r="M969" s="135" t="str">
        <f t="shared" si="7"/>
        <v>none</v>
      </c>
      <c r="N969" s="118">
        <f>LEN(Tableau13[[#This Row],[LABEL]])</f>
        <v>41</v>
      </c>
      <c r="O969" s="118">
        <v>15</v>
      </c>
      <c r="P969" s="118" t="e">
        <f>ROUND(Tableau13[[#This Row],[LEN]]*#REF!+#REF!,0)</f>
        <v>#REF!</v>
      </c>
    </row>
    <row r="970" spans="1:16" s="97" customFormat="1" x14ac:dyDescent="0.25">
      <c r="A970" s="49" t="s">
        <v>1757</v>
      </c>
      <c r="B970" s="50" t="s">
        <v>315</v>
      </c>
      <c r="C970" s="51" t="s">
        <v>1772</v>
      </c>
      <c r="D970" s="76" t="s">
        <v>28</v>
      </c>
      <c r="E970" s="51" t="s">
        <v>675</v>
      </c>
      <c r="F970" s="51" t="s">
        <v>679</v>
      </c>
      <c r="G970" s="76" t="s">
        <v>169</v>
      </c>
      <c r="H970" s="76" t="s">
        <v>655</v>
      </c>
      <c r="I970" s="51"/>
      <c r="J970" s="52" t="s">
        <v>708</v>
      </c>
      <c r="K970" s="117">
        <f>ROUND(Tableau13[[#This Row],[LEN]]*7.27,0)</f>
        <v>182</v>
      </c>
      <c r="L970" s="117">
        <v>15</v>
      </c>
      <c r="M970" s="134" t="str">
        <f t="shared" si="7"/>
        <v>none</v>
      </c>
      <c r="N970" s="117">
        <f>LEN(Tableau13[[#This Row],[LABEL]])</f>
        <v>25</v>
      </c>
      <c r="O970" s="117">
        <v>15</v>
      </c>
      <c r="P970" s="117" t="e">
        <f>ROUND(Tableau13[[#This Row],[LEN]]*#REF!+#REF!,0)</f>
        <v>#REF!</v>
      </c>
    </row>
    <row r="971" spans="1:16" s="97" customFormat="1" x14ac:dyDescent="0.25">
      <c r="A971" s="53" t="s">
        <v>1766</v>
      </c>
      <c r="B971" s="54" t="s">
        <v>1757</v>
      </c>
      <c r="C971" s="55" t="s">
        <v>1467</v>
      </c>
      <c r="D971" s="77" t="s">
        <v>28</v>
      </c>
      <c r="E971" s="55" t="s">
        <v>675</v>
      </c>
      <c r="F971" s="55" t="s">
        <v>679</v>
      </c>
      <c r="G971" s="77" t="s">
        <v>169</v>
      </c>
      <c r="H971" s="77" t="s">
        <v>654</v>
      </c>
      <c r="I971" s="55"/>
      <c r="J971" s="56" t="s">
        <v>708</v>
      </c>
      <c r="K971" s="118">
        <f>ROUND(Tableau13[[#This Row],[LEN]]*7.27,0)</f>
        <v>102</v>
      </c>
      <c r="L971" s="118">
        <v>15</v>
      </c>
      <c r="M971" s="135" t="str">
        <f t="shared" si="7"/>
        <v>none</v>
      </c>
      <c r="N971" s="118">
        <f>LEN(Tableau13[[#This Row],[LABEL]])</f>
        <v>14</v>
      </c>
      <c r="O971" s="118">
        <v>15</v>
      </c>
      <c r="P971" s="118" t="e">
        <f>ROUND(Tableau13[[#This Row],[LEN]]*#REF!+#REF!,0)</f>
        <v>#REF!</v>
      </c>
    </row>
    <row r="972" spans="1:16" s="97" customFormat="1" x14ac:dyDescent="0.25">
      <c r="A972" s="53" t="s">
        <v>1767</v>
      </c>
      <c r="B972" s="54" t="s">
        <v>1757</v>
      </c>
      <c r="C972" s="55" t="s">
        <v>1769</v>
      </c>
      <c r="D972" s="77" t="s">
        <v>28</v>
      </c>
      <c r="E972" s="55" t="s">
        <v>675</v>
      </c>
      <c r="F972" s="55" t="s">
        <v>679</v>
      </c>
      <c r="G972" s="77" t="s">
        <v>169</v>
      </c>
      <c r="H972" s="77" t="s">
        <v>654</v>
      </c>
      <c r="I972" s="55"/>
      <c r="J972" s="56" t="s">
        <v>708</v>
      </c>
      <c r="K972" s="118">
        <f>ROUND(Tableau13[[#This Row],[LEN]]*7.27,0)</f>
        <v>211</v>
      </c>
      <c r="L972" s="118">
        <v>15</v>
      </c>
      <c r="M972" s="135" t="str">
        <f t="shared" si="7"/>
        <v>none</v>
      </c>
      <c r="N972" s="118">
        <f>LEN(Tableau13[[#This Row],[LABEL]])</f>
        <v>29</v>
      </c>
      <c r="O972" s="118">
        <v>15</v>
      </c>
      <c r="P972" s="118" t="e">
        <f>ROUND(Tableau13[[#This Row],[LEN]]*#REF!+#REF!,0)</f>
        <v>#REF!</v>
      </c>
    </row>
    <row r="973" spans="1:16" s="97" customFormat="1" x14ac:dyDescent="0.25">
      <c r="A973" s="53" t="s">
        <v>1768</v>
      </c>
      <c r="B973" s="54" t="s">
        <v>1757</v>
      </c>
      <c r="C973" s="55" t="s">
        <v>1468</v>
      </c>
      <c r="D973" s="77" t="s">
        <v>28</v>
      </c>
      <c r="E973" s="55" t="s">
        <v>675</v>
      </c>
      <c r="F973" s="55" t="s">
        <v>679</v>
      </c>
      <c r="G973" s="77" t="s">
        <v>169</v>
      </c>
      <c r="H973" s="77" t="s">
        <v>654</v>
      </c>
      <c r="I973" s="55"/>
      <c r="J973" s="56" t="s">
        <v>708</v>
      </c>
      <c r="K973" s="118">
        <f>ROUND(Tableau13[[#This Row],[LEN]]*7.27,0)</f>
        <v>167</v>
      </c>
      <c r="L973" s="118">
        <v>15</v>
      </c>
      <c r="M973" s="135" t="str">
        <f t="shared" si="7"/>
        <v>none</v>
      </c>
      <c r="N973" s="118">
        <f>LEN(Tableau13[[#This Row],[LABEL]])</f>
        <v>23</v>
      </c>
      <c r="O973" s="118">
        <v>15</v>
      </c>
      <c r="P973" s="118" t="e">
        <f>ROUND(Tableau13[[#This Row],[LEN]]*#REF!+#REF!,0)</f>
        <v>#REF!</v>
      </c>
    </row>
    <row r="974" spans="1:16" s="97" customFormat="1" x14ac:dyDescent="0.25">
      <c r="A974" s="49" t="s">
        <v>1758</v>
      </c>
      <c r="B974" s="50" t="s">
        <v>315</v>
      </c>
      <c r="C974" s="51" t="s">
        <v>1770</v>
      </c>
      <c r="D974" s="76" t="s">
        <v>1771</v>
      </c>
      <c r="E974" s="51" t="s">
        <v>675</v>
      </c>
      <c r="F974" s="51" t="s">
        <v>1177</v>
      </c>
      <c r="G974" s="76" t="s">
        <v>169</v>
      </c>
      <c r="H974" s="76" t="s">
        <v>654</v>
      </c>
      <c r="I974" s="51"/>
      <c r="J974" s="52" t="s">
        <v>708</v>
      </c>
      <c r="K974" s="117">
        <f>ROUND(Tableau13[[#This Row],[LEN]]*7.27,0)</f>
        <v>487</v>
      </c>
      <c r="L974" s="117">
        <v>15</v>
      </c>
      <c r="M974" s="134" t="str">
        <f t="shared" si="7"/>
        <v>none</v>
      </c>
      <c r="N974" s="117">
        <f>LEN(Tableau13[[#This Row],[LABEL]])</f>
        <v>67</v>
      </c>
      <c r="O974" s="117">
        <v>15</v>
      </c>
      <c r="P974" s="117" t="e">
        <f>ROUND(Tableau13[[#This Row],[LEN]]*#REF!+#REF!,0)</f>
        <v>#REF!</v>
      </c>
    </row>
    <row r="975" spans="1:16" s="97" customFormat="1" x14ac:dyDescent="0.25">
      <c r="A975" s="49" t="s">
        <v>1759</v>
      </c>
      <c r="B975" s="50" t="s">
        <v>315</v>
      </c>
      <c r="C975" s="51" t="s">
        <v>1773</v>
      </c>
      <c r="D975" s="76" t="s">
        <v>28</v>
      </c>
      <c r="E975" s="51" t="s">
        <v>675</v>
      </c>
      <c r="F975" s="51" t="s">
        <v>1177</v>
      </c>
      <c r="G975" s="76" t="s">
        <v>169</v>
      </c>
      <c r="H975" s="76" t="s">
        <v>655</v>
      </c>
      <c r="I975" s="51"/>
      <c r="J975" s="52" t="s">
        <v>708</v>
      </c>
      <c r="K975" s="117">
        <f>ROUND(Tableau13[[#This Row],[LEN]]*7.27,0)</f>
        <v>153</v>
      </c>
      <c r="L975" s="117">
        <v>15</v>
      </c>
      <c r="M975" s="134" t="str">
        <f t="shared" si="7"/>
        <v>none</v>
      </c>
      <c r="N975" s="117">
        <f>LEN(Tableau13[[#This Row],[LABEL]])</f>
        <v>21</v>
      </c>
      <c r="O975" s="117">
        <v>15</v>
      </c>
      <c r="P975" s="117" t="e">
        <f>ROUND(Tableau13[[#This Row],[LEN]]*#REF!+#REF!,0)</f>
        <v>#REF!</v>
      </c>
    </row>
    <row r="976" spans="1:16" s="97" customFormat="1" x14ac:dyDescent="0.25">
      <c r="A976" s="53" t="s">
        <v>1774</v>
      </c>
      <c r="B976" s="54" t="s">
        <v>1759</v>
      </c>
      <c r="C976" s="55" t="s">
        <v>1778</v>
      </c>
      <c r="D976" s="77" t="s">
        <v>28</v>
      </c>
      <c r="E976" s="55" t="s">
        <v>675</v>
      </c>
      <c r="F976" s="55" t="s">
        <v>1177</v>
      </c>
      <c r="G976" s="77" t="s">
        <v>169</v>
      </c>
      <c r="H976" s="77" t="s">
        <v>654</v>
      </c>
      <c r="I976" s="55"/>
      <c r="J976" s="56" t="s">
        <v>708</v>
      </c>
      <c r="K976" s="118">
        <f>ROUND(Tableau13[[#This Row],[LEN]]*7.27,0)</f>
        <v>225</v>
      </c>
      <c r="L976" s="118">
        <v>15</v>
      </c>
      <c r="M976" s="135" t="str">
        <f t="shared" si="7"/>
        <v>none</v>
      </c>
      <c r="N976" s="118">
        <f>LEN(Tableau13[[#This Row],[LABEL]])</f>
        <v>31</v>
      </c>
      <c r="O976" s="118">
        <v>15</v>
      </c>
      <c r="P976" s="118" t="e">
        <f>ROUND(Tableau13[[#This Row],[LEN]]*#REF!+#REF!,0)</f>
        <v>#REF!</v>
      </c>
    </row>
    <row r="977" spans="1:16" s="97" customFormat="1" x14ac:dyDescent="0.25">
      <c r="A977" s="53" t="s">
        <v>1775</v>
      </c>
      <c r="B977" s="54" t="s">
        <v>1759</v>
      </c>
      <c r="C977" s="55" t="s">
        <v>1779</v>
      </c>
      <c r="D977" s="77" t="s">
        <v>28</v>
      </c>
      <c r="E977" s="55" t="s">
        <v>675</v>
      </c>
      <c r="F977" s="55" t="s">
        <v>1177</v>
      </c>
      <c r="G977" s="77" t="s">
        <v>169</v>
      </c>
      <c r="H977" s="77" t="s">
        <v>654</v>
      </c>
      <c r="I977" s="55"/>
      <c r="J977" s="56" t="s">
        <v>708</v>
      </c>
      <c r="K977" s="118">
        <f>ROUND(Tableau13[[#This Row],[LEN]]*7.27,0)</f>
        <v>124</v>
      </c>
      <c r="L977" s="118">
        <v>15</v>
      </c>
      <c r="M977" s="135" t="str">
        <f t="shared" si="7"/>
        <v>none</v>
      </c>
      <c r="N977" s="118">
        <f>LEN(Tableau13[[#This Row],[LABEL]])</f>
        <v>17</v>
      </c>
      <c r="O977" s="118">
        <v>15</v>
      </c>
      <c r="P977" s="118" t="e">
        <f>ROUND(Tableau13[[#This Row],[LEN]]*#REF!+#REF!,0)</f>
        <v>#REF!</v>
      </c>
    </row>
    <row r="978" spans="1:16" s="97" customFormat="1" x14ac:dyDescent="0.25">
      <c r="A978" s="53" t="s">
        <v>1776</v>
      </c>
      <c r="B978" s="54" t="s">
        <v>1759</v>
      </c>
      <c r="C978" s="55" t="s">
        <v>1780</v>
      </c>
      <c r="D978" s="77" t="s">
        <v>28</v>
      </c>
      <c r="E978" s="55" t="s">
        <v>675</v>
      </c>
      <c r="F978" s="55" t="s">
        <v>1177</v>
      </c>
      <c r="G978" s="77" t="s">
        <v>169</v>
      </c>
      <c r="H978" s="77" t="s">
        <v>654</v>
      </c>
      <c r="I978" s="55"/>
      <c r="J978" s="56" t="s">
        <v>708</v>
      </c>
      <c r="K978" s="118">
        <f>ROUND(Tableau13[[#This Row],[LEN]]*7.27,0)</f>
        <v>160</v>
      </c>
      <c r="L978" s="118">
        <v>15</v>
      </c>
      <c r="M978" s="135" t="str">
        <f t="shared" si="7"/>
        <v>none</v>
      </c>
      <c r="N978" s="118">
        <f>LEN(Tableau13[[#This Row],[LABEL]])</f>
        <v>22</v>
      </c>
      <c r="O978" s="118">
        <v>15</v>
      </c>
      <c r="P978" s="118" t="e">
        <f>ROUND(Tableau13[[#This Row],[LEN]]*#REF!+#REF!,0)</f>
        <v>#REF!</v>
      </c>
    </row>
    <row r="979" spans="1:16" s="97" customFormat="1" x14ac:dyDescent="0.25">
      <c r="A979" s="53" t="s">
        <v>1777</v>
      </c>
      <c r="B979" s="54" t="s">
        <v>1759</v>
      </c>
      <c r="C979" s="55" t="s">
        <v>1781</v>
      </c>
      <c r="D979" s="77" t="s">
        <v>28</v>
      </c>
      <c r="E979" s="55" t="s">
        <v>675</v>
      </c>
      <c r="F979" s="55" t="s">
        <v>1177</v>
      </c>
      <c r="G979" s="77" t="s">
        <v>169</v>
      </c>
      <c r="H979" s="77" t="s">
        <v>654</v>
      </c>
      <c r="I979" s="55"/>
      <c r="J979" s="56" t="s">
        <v>708</v>
      </c>
      <c r="K979" s="118">
        <f>ROUND(Tableau13[[#This Row],[LEN]]*7.27,0)</f>
        <v>145</v>
      </c>
      <c r="L979" s="118">
        <v>15</v>
      </c>
      <c r="M979" s="135" t="str">
        <f t="shared" si="7"/>
        <v>none</v>
      </c>
      <c r="N979" s="118">
        <f>LEN(Tableau13[[#This Row],[LABEL]])</f>
        <v>20</v>
      </c>
      <c r="O979" s="118">
        <v>15</v>
      </c>
      <c r="P979" s="118" t="e">
        <f>ROUND(Tableau13[[#This Row],[LEN]]*#REF!+#REF!,0)</f>
        <v>#REF!</v>
      </c>
    </row>
    <row r="980" spans="1:16" s="97" customFormat="1" x14ac:dyDescent="0.25">
      <c r="A980" s="49" t="s">
        <v>1760</v>
      </c>
      <c r="B980" s="50" t="s">
        <v>315</v>
      </c>
      <c r="C980" s="51" t="s">
        <v>1782</v>
      </c>
      <c r="D980" s="76" t="s">
        <v>28</v>
      </c>
      <c r="E980" s="51" t="s">
        <v>675</v>
      </c>
      <c r="F980" s="51" t="s">
        <v>679</v>
      </c>
      <c r="G980" s="76" t="s">
        <v>169</v>
      </c>
      <c r="H980" s="76" t="s">
        <v>655</v>
      </c>
      <c r="I980" s="51"/>
      <c r="J980" s="52" t="s">
        <v>708</v>
      </c>
      <c r="K980" s="117">
        <f>ROUND(Tableau13[[#This Row],[LEN]]*7.27,0)</f>
        <v>182</v>
      </c>
      <c r="L980" s="117">
        <v>15</v>
      </c>
      <c r="M980" s="134" t="str">
        <f t="shared" si="7"/>
        <v>none</v>
      </c>
      <c r="N980" s="117">
        <f>LEN(Tableau13[[#This Row],[LABEL]])</f>
        <v>25</v>
      </c>
      <c r="O980" s="117">
        <v>15</v>
      </c>
      <c r="P980" s="117" t="e">
        <f>ROUND(Tableau13[[#This Row],[LEN]]*#REF!+#REF!,0)</f>
        <v>#REF!</v>
      </c>
    </row>
    <row r="981" spans="1:16" s="97" customFormat="1" x14ac:dyDescent="0.25">
      <c r="A981" s="53" t="s">
        <v>1783</v>
      </c>
      <c r="B981" s="54" t="s">
        <v>1760</v>
      </c>
      <c r="C981" s="55" t="s">
        <v>1785</v>
      </c>
      <c r="D981" s="77" t="s">
        <v>28</v>
      </c>
      <c r="E981" s="55" t="s">
        <v>675</v>
      </c>
      <c r="F981" s="55" t="s">
        <v>679</v>
      </c>
      <c r="G981" s="77" t="s">
        <v>169</v>
      </c>
      <c r="H981" s="77" t="s">
        <v>656</v>
      </c>
      <c r="I981" s="55"/>
      <c r="J981" s="56" t="s">
        <v>708</v>
      </c>
      <c r="K981" s="118">
        <f>ROUND(Tableau13[[#This Row],[LEN]]*7.27,0)</f>
        <v>167</v>
      </c>
      <c r="L981" s="118">
        <v>15</v>
      </c>
      <c r="M981" s="135" t="str">
        <f t="shared" si="7"/>
        <v>none</v>
      </c>
      <c r="N981" s="118">
        <f>LEN(Tableau13[[#This Row],[LABEL]])</f>
        <v>23</v>
      </c>
      <c r="O981" s="118">
        <v>15</v>
      </c>
      <c r="P981" s="118" t="e">
        <f>ROUND(Tableau13[[#This Row],[LEN]]*#REF!+#REF!,0)</f>
        <v>#REF!</v>
      </c>
    </row>
    <row r="982" spans="1:16" s="97" customFormat="1" x14ac:dyDescent="0.25">
      <c r="A982" s="53" t="s">
        <v>1784</v>
      </c>
      <c r="B982" s="54" t="s">
        <v>1760</v>
      </c>
      <c r="C982" s="55" t="s">
        <v>1470</v>
      </c>
      <c r="D982" s="77" t="s">
        <v>28</v>
      </c>
      <c r="E982" s="55" t="s">
        <v>675</v>
      </c>
      <c r="F982" s="55" t="s">
        <v>679</v>
      </c>
      <c r="G982" s="77" t="s">
        <v>169</v>
      </c>
      <c r="H982" s="77" t="s">
        <v>656</v>
      </c>
      <c r="I982" s="55"/>
      <c r="J982" s="56" t="s">
        <v>708</v>
      </c>
      <c r="K982" s="118">
        <f>ROUND(Tableau13[[#This Row],[LEN]]*7.27,0)</f>
        <v>313</v>
      </c>
      <c r="L982" s="118">
        <v>15</v>
      </c>
      <c r="M982" s="135" t="str">
        <f t="shared" si="7"/>
        <v>none</v>
      </c>
      <c r="N982" s="118">
        <f>LEN(Tableau13[[#This Row],[LABEL]])</f>
        <v>43</v>
      </c>
      <c r="O982" s="118">
        <v>15</v>
      </c>
      <c r="P982" s="118" t="e">
        <f>ROUND(Tableau13[[#This Row],[LEN]]*#REF!+#REF!,0)</f>
        <v>#REF!</v>
      </c>
    </row>
    <row r="983" spans="1:16" s="97" customFormat="1" x14ac:dyDescent="0.25">
      <c r="A983" s="49" t="s">
        <v>1761</v>
      </c>
      <c r="B983" s="50" t="s">
        <v>315</v>
      </c>
      <c r="C983" s="51" t="s">
        <v>1786</v>
      </c>
      <c r="D983" s="76" t="s">
        <v>28</v>
      </c>
      <c r="E983" s="51" t="s">
        <v>675</v>
      </c>
      <c r="F983" s="51" t="s">
        <v>679</v>
      </c>
      <c r="G983" s="76" t="s">
        <v>169</v>
      </c>
      <c r="H983" s="76" t="s">
        <v>655</v>
      </c>
      <c r="I983" s="51"/>
      <c r="J983" s="52" t="s">
        <v>708</v>
      </c>
      <c r="K983" s="117">
        <f>ROUND(Tableau13[[#This Row],[LEN]]*7.27,0)</f>
        <v>262</v>
      </c>
      <c r="L983" s="117">
        <v>15</v>
      </c>
      <c r="M983" s="134" t="str">
        <f t="shared" si="7"/>
        <v>none</v>
      </c>
      <c r="N983" s="117">
        <f>LEN(Tableau13[[#This Row],[LABEL]])</f>
        <v>36</v>
      </c>
      <c r="O983" s="117">
        <v>15</v>
      </c>
      <c r="P983" s="117" t="e">
        <f>ROUND(Tableau13[[#This Row],[LEN]]*#REF!+#REF!,0)</f>
        <v>#REF!</v>
      </c>
    </row>
    <row r="984" spans="1:16" s="97" customFormat="1" x14ac:dyDescent="0.25">
      <c r="A984" s="53" t="s">
        <v>1787</v>
      </c>
      <c r="B984" s="54" t="s">
        <v>1761</v>
      </c>
      <c r="C984" s="55" t="s">
        <v>1789</v>
      </c>
      <c r="D984" s="77" t="s">
        <v>28</v>
      </c>
      <c r="E984" s="55" t="s">
        <v>675</v>
      </c>
      <c r="F984" s="55" t="s">
        <v>679</v>
      </c>
      <c r="G984" s="77" t="s">
        <v>169</v>
      </c>
      <c r="H984" s="77" t="s">
        <v>654</v>
      </c>
      <c r="I984" s="55"/>
      <c r="J984" s="56" t="s">
        <v>708</v>
      </c>
      <c r="K984" s="118">
        <f>ROUND(Tableau13[[#This Row],[LEN]]*7.27,0)</f>
        <v>487</v>
      </c>
      <c r="L984" s="118">
        <v>15</v>
      </c>
      <c r="M984" s="135" t="str">
        <f t="shared" si="7"/>
        <v>none</v>
      </c>
      <c r="N984" s="118">
        <f>LEN(Tableau13[[#This Row],[LABEL]])</f>
        <v>67</v>
      </c>
      <c r="O984" s="118">
        <v>15</v>
      </c>
      <c r="P984" s="118" t="e">
        <f>ROUND(Tableau13[[#This Row],[LEN]]*#REF!+#REF!,0)</f>
        <v>#REF!</v>
      </c>
    </row>
    <row r="985" spans="1:16" s="97" customFormat="1" x14ac:dyDescent="0.25">
      <c r="A985" s="53" t="s">
        <v>1788</v>
      </c>
      <c r="B985" s="54" t="s">
        <v>1761</v>
      </c>
      <c r="C985" s="55" t="s">
        <v>1790</v>
      </c>
      <c r="D985" s="77" t="s">
        <v>28</v>
      </c>
      <c r="E985" s="55" t="s">
        <v>675</v>
      </c>
      <c r="F985" s="55" t="s">
        <v>679</v>
      </c>
      <c r="G985" s="77" t="s">
        <v>169</v>
      </c>
      <c r="H985" s="77" t="s">
        <v>654</v>
      </c>
      <c r="I985" s="55"/>
      <c r="J985" s="56" t="s">
        <v>708</v>
      </c>
      <c r="K985" s="118">
        <f>ROUND(Tableau13[[#This Row],[LEN]]*7.27,0)</f>
        <v>313</v>
      </c>
      <c r="L985" s="118">
        <v>15</v>
      </c>
      <c r="M985" s="135" t="str">
        <f t="shared" si="7"/>
        <v>none</v>
      </c>
      <c r="N985" s="118">
        <f>LEN(Tableau13[[#This Row],[LABEL]])</f>
        <v>43</v>
      </c>
      <c r="O985" s="118">
        <v>15</v>
      </c>
      <c r="P985" s="118" t="e">
        <f>ROUND(Tableau13[[#This Row],[LEN]]*#REF!+#REF!,0)</f>
        <v>#REF!</v>
      </c>
    </row>
    <row r="986" spans="1:16" s="97" customFormat="1" x14ac:dyDescent="0.25">
      <c r="A986" s="49" t="s">
        <v>1762</v>
      </c>
      <c r="B986" s="50" t="s">
        <v>315</v>
      </c>
      <c r="C986" s="51" t="s">
        <v>1791</v>
      </c>
      <c r="D986" s="76" t="s">
        <v>28</v>
      </c>
      <c r="E986" s="51" t="s">
        <v>675</v>
      </c>
      <c r="F986" s="51" t="s">
        <v>679</v>
      </c>
      <c r="G986" s="76" t="s">
        <v>169</v>
      </c>
      <c r="H986" s="76" t="s">
        <v>655</v>
      </c>
      <c r="I986" s="51"/>
      <c r="J986" s="52" t="s">
        <v>708</v>
      </c>
      <c r="K986" s="117">
        <f>ROUND(Tableau13[[#This Row],[LEN]]*7.27,0)</f>
        <v>153</v>
      </c>
      <c r="L986" s="117">
        <v>15</v>
      </c>
      <c r="M986" s="134" t="str">
        <f t="shared" si="7"/>
        <v>none</v>
      </c>
      <c r="N986" s="117">
        <f>LEN(Tableau13[[#This Row],[LABEL]])</f>
        <v>21</v>
      </c>
      <c r="O986" s="117">
        <v>15</v>
      </c>
      <c r="P986" s="117" t="e">
        <f>ROUND(Tableau13[[#This Row],[LEN]]*#REF!+#REF!,0)</f>
        <v>#REF!</v>
      </c>
    </row>
    <row r="987" spans="1:16" s="97" customFormat="1" x14ac:dyDescent="0.25">
      <c r="A987" s="53" t="s">
        <v>1792</v>
      </c>
      <c r="B987" s="54" t="s">
        <v>1762</v>
      </c>
      <c r="C987" s="55" t="s">
        <v>1778</v>
      </c>
      <c r="D987" s="77" t="s">
        <v>28</v>
      </c>
      <c r="E987" s="55" t="s">
        <v>675</v>
      </c>
      <c r="F987" s="55" t="s">
        <v>679</v>
      </c>
      <c r="G987" s="77" t="s">
        <v>169</v>
      </c>
      <c r="H987" s="77" t="s">
        <v>654</v>
      </c>
      <c r="I987" s="55"/>
      <c r="J987" s="56" t="s">
        <v>708</v>
      </c>
      <c r="K987" s="118">
        <f>ROUND(Tableau13[[#This Row],[LEN]]*7.27,0)</f>
        <v>225</v>
      </c>
      <c r="L987" s="118">
        <v>15</v>
      </c>
      <c r="M987" s="135" t="str">
        <f t="shared" si="7"/>
        <v>none</v>
      </c>
      <c r="N987" s="118">
        <f>LEN(Tableau13[[#This Row],[LABEL]])</f>
        <v>31</v>
      </c>
      <c r="O987" s="118">
        <v>15</v>
      </c>
      <c r="P987" s="118" t="e">
        <f>ROUND(Tableau13[[#This Row],[LEN]]*#REF!+#REF!,0)</f>
        <v>#REF!</v>
      </c>
    </row>
    <row r="988" spans="1:16" s="97" customFormat="1" x14ac:dyDescent="0.25">
      <c r="A988" s="53" t="s">
        <v>1793</v>
      </c>
      <c r="B988" s="54" t="s">
        <v>1762</v>
      </c>
      <c r="C988" s="55" t="s">
        <v>1779</v>
      </c>
      <c r="D988" s="77" t="s">
        <v>28</v>
      </c>
      <c r="E988" s="55" t="s">
        <v>675</v>
      </c>
      <c r="F988" s="55" t="s">
        <v>679</v>
      </c>
      <c r="G988" s="77" t="s">
        <v>169</v>
      </c>
      <c r="H988" s="77" t="s">
        <v>654</v>
      </c>
      <c r="I988" s="55"/>
      <c r="J988" s="56" t="s">
        <v>708</v>
      </c>
      <c r="K988" s="118">
        <f>ROUND(Tableau13[[#This Row],[LEN]]*7.27,0)</f>
        <v>124</v>
      </c>
      <c r="L988" s="118">
        <v>15</v>
      </c>
      <c r="M988" s="135" t="str">
        <f t="shared" si="7"/>
        <v>none</v>
      </c>
      <c r="N988" s="118">
        <f>LEN(Tableau13[[#This Row],[LABEL]])</f>
        <v>17</v>
      </c>
      <c r="O988" s="118">
        <v>15</v>
      </c>
      <c r="P988" s="118" t="e">
        <f>ROUND(Tableau13[[#This Row],[LEN]]*#REF!+#REF!,0)</f>
        <v>#REF!</v>
      </c>
    </row>
    <row r="989" spans="1:16" s="97" customFormat="1" x14ac:dyDescent="0.25">
      <c r="A989" s="53" t="s">
        <v>1794</v>
      </c>
      <c r="B989" s="54" t="s">
        <v>1762</v>
      </c>
      <c r="C989" s="55" t="s">
        <v>1780</v>
      </c>
      <c r="D989" s="77" t="s">
        <v>28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ROUND(Tableau13[[#This Row],[LEN]]*7.27,0)</f>
        <v>160</v>
      </c>
      <c r="L989" s="118">
        <v>15</v>
      </c>
      <c r="M989" s="135" t="str">
        <f t="shared" si="7"/>
        <v>none</v>
      </c>
      <c r="N989" s="118">
        <f>LEN(Tableau13[[#This Row],[LABEL]])</f>
        <v>22</v>
      </c>
      <c r="O989" s="118">
        <v>15</v>
      </c>
      <c r="P989" s="118" t="e">
        <f>ROUND(Tableau13[[#This Row],[LEN]]*#REF!+#REF!,0)</f>
        <v>#REF!</v>
      </c>
    </row>
    <row r="990" spans="1:16" s="97" customFormat="1" x14ac:dyDescent="0.25">
      <c r="A990" s="53" t="s">
        <v>1795</v>
      </c>
      <c r="B990" s="54" t="s">
        <v>1762</v>
      </c>
      <c r="C990" s="55" t="s">
        <v>1781</v>
      </c>
      <c r="D990" s="77" t="s">
        <v>28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ROUND(Tableau13[[#This Row],[LEN]]*7.27,0)</f>
        <v>145</v>
      </c>
      <c r="L990" s="118">
        <v>15</v>
      </c>
      <c r="M990" s="135" t="str">
        <f t="shared" si="7"/>
        <v>none</v>
      </c>
      <c r="N990" s="118">
        <f>LEN(Tableau13[[#This Row],[LABEL]])</f>
        <v>20</v>
      </c>
      <c r="O990" s="118">
        <v>15</v>
      </c>
      <c r="P990" s="118" t="e">
        <f>ROUND(Tableau13[[#This Row],[LEN]]*#REF!+#REF!,0)</f>
        <v>#REF!</v>
      </c>
    </row>
    <row r="991" spans="1:16" s="97" customFormat="1" x14ac:dyDescent="0.25">
      <c r="A991" s="49" t="s">
        <v>1763</v>
      </c>
      <c r="B991" s="50" t="s">
        <v>315</v>
      </c>
      <c r="C991" s="51" t="s">
        <v>598</v>
      </c>
      <c r="D991" s="76" t="s">
        <v>28</v>
      </c>
      <c r="E991" s="51" t="s">
        <v>673</v>
      </c>
      <c r="F991" s="51" t="s">
        <v>1646</v>
      </c>
      <c r="G991" s="76" t="s">
        <v>169</v>
      </c>
      <c r="H991" s="76" t="s">
        <v>654</v>
      </c>
      <c r="I991" s="51"/>
      <c r="J991" s="52" t="s">
        <v>708</v>
      </c>
      <c r="K991" s="117">
        <f>ROUND(Tableau13[[#This Row],[LEN]]*7.27,0)</f>
        <v>553</v>
      </c>
      <c r="L991" s="117">
        <v>15</v>
      </c>
      <c r="M991" s="134" t="str">
        <f t="shared" si="7"/>
        <v>none</v>
      </c>
      <c r="N991" s="117">
        <f>LEN(Tableau13[[#This Row],[LABEL]])</f>
        <v>76</v>
      </c>
      <c r="O991" s="117">
        <v>15</v>
      </c>
      <c r="P991" s="117" t="e">
        <f>ROUND(Tableau13[[#This Row],[LEN]]*#REF!+#REF!,0)</f>
        <v>#REF!</v>
      </c>
    </row>
    <row r="992" spans="1:16" s="273" customFormat="1" x14ac:dyDescent="0.25">
      <c r="A992" s="351" t="s">
        <v>316</v>
      </c>
      <c r="B992" s="352" t="s">
        <v>209</v>
      </c>
      <c r="C992" s="353" t="s">
        <v>71</v>
      </c>
      <c r="D992" s="354" t="s">
        <v>28</v>
      </c>
      <c r="E992" s="353" t="s">
        <v>676</v>
      </c>
      <c r="F992" s="353" t="s">
        <v>676</v>
      </c>
      <c r="G992" s="354" t="s">
        <v>169</v>
      </c>
      <c r="H992" s="354" t="str">
        <f>IFERROR(IF(SEARCH(".00.00.00.00.00",Tableau13[[#This Row],[name]],1)=7,"Division",""),"")</f>
        <v>Division</v>
      </c>
      <c r="I992" s="353"/>
      <c r="J992" s="355" t="s">
        <v>722</v>
      </c>
      <c r="K992" s="356">
        <f>ROUND(Tableau13[[#This Row],[LEN]]*7.27,0)</f>
        <v>29</v>
      </c>
      <c r="L992" s="356">
        <v>15</v>
      </c>
      <c r="M992" s="357" t="str">
        <f t="shared" si="7"/>
        <v>new</v>
      </c>
      <c r="N992" s="356">
        <f>LEN(Tableau13[[#This Row],[LABEL]])</f>
        <v>4</v>
      </c>
      <c r="O992" s="356">
        <v>15</v>
      </c>
      <c r="P992" s="356" t="e">
        <f>ROUND(Tableau13[[#This Row],[LEN]]*#REF!+#REF!,0)</f>
        <v>#REF!</v>
      </c>
    </row>
    <row r="993" spans="1:16" s="97" customFormat="1" x14ac:dyDescent="0.25">
      <c r="A993" s="49" t="s">
        <v>1796</v>
      </c>
      <c r="B993" s="50" t="s">
        <v>316</v>
      </c>
      <c r="C993" s="51" t="s">
        <v>129</v>
      </c>
      <c r="D993" s="76" t="s">
        <v>28</v>
      </c>
      <c r="E993" s="51" t="s">
        <v>673</v>
      </c>
      <c r="F993" s="51" t="s">
        <v>1646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ROUND(Tableau13[[#This Row],[LEN]]*7.27,0)</f>
        <v>87</v>
      </c>
      <c r="L993" s="117">
        <v>15</v>
      </c>
      <c r="M993" s="134" t="str">
        <f t="shared" si="7"/>
        <v>none</v>
      </c>
      <c r="N993" s="117">
        <f>LEN(Tableau13[[#This Row],[LABEL]])</f>
        <v>12</v>
      </c>
      <c r="O993" s="117">
        <v>15</v>
      </c>
      <c r="P993" s="117" t="e">
        <f>ROUND(Tableau13[[#This Row],[LEN]]*#REF!+#REF!,0)</f>
        <v>#REF!</v>
      </c>
    </row>
    <row r="994" spans="1:16" s="97" customFormat="1" x14ac:dyDescent="0.25">
      <c r="A994" s="53" t="s">
        <v>1802</v>
      </c>
      <c r="B994" s="54" t="s">
        <v>1796</v>
      </c>
      <c r="C994" s="55" t="s">
        <v>131</v>
      </c>
      <c r="D994" s="77" t="s">
        <v>28</v>
      </c>
      <c r="E994" s="55" t="s">
        <v>673</v>
      </c>
      <c r="F994" s="55" t="s">
        <v>1646</v>
      </c>
      <c r="G994" s="77" t="s">
        <v>169</v>
      </c>
      <c r="H994" s="77" t="s">
        <v>570</v>
      </c>
      <c r="I994" s="55"/>
      <c r="J994" s="56" t="s">
        <v>708</v>
      </c>
      <c r="K994" s="118">
        <f>ROUND(Tableau13[[#This Row],[LEN]]*7.27,0)</f>
        <v>262</v>
      </c>
      <c r="L994" s="118">
        <v>15</v>
      </c>
      <c r="M994" s="135" t="str">
        <f t="shared" si="7"/>
        <v>none</v>
      </c>
      <c r="N994" s="118">
        <f>LEN(Tableau13[[#This Row],[LABEL]])</f>
        <v>36</v>
      </c>
      <c r="O994" s="118">
        <v>15</v>
      </c>
      <c r="P994" s="118" t="e">
        <f>ROUND(Tableau13[[#This Row],[LEN]]*#REF!+#REF!,0)</f>
        <v>#REF!</v>
      </c>
    </row>
    <row r="995" spans="1:16" s="97" customFormat="1" x14ac:dyDescent="0.25">
      <c r="A995" s="53" t="s">
        <v>1803</v>
      </c>
      <c r="B995" s="54" t="s">
        <v>1796</v>
      </c>
      <c r="C995" s="55" t="s">
        <v>132</v>
      </c>
      <c r="D995" s="77" t="s">
        <v>28</v>
      </c>
      <c r="E995" s="55" t="s">
        <v>673</v>
      </c>
      <c r="F995" s="55" t="s">
        <v>1646</v>
      </c>
      <c r="G995" s="77" t="s">
        <v>169</v>
      </c>
      <c r="H995" s="77" t="s">
        <v>570</v>
      </c>
      <c r="I995" s="55"/>
      <c r="J995" s="56" t="s">
        <v>708</v>
      </c>
      <c r="K995" s="118">
        <f>ROUND(Tableau13[[#This Row],[LEN]]*7.27,0)</f>
        <v>298</v>
      </c>
      <c r="L995" s="118">
        <v>15</v>
      </c>
      <c r="M995" s="135" t="str">
        <f t="shared" si="7"/>
        <v>none</v>
      </c>
      <c r="N995" s="118">
        <f>LEN(Tableau13[[#This Row],[LABEL]])</f>
        <v>41</v>
      </c>
      <c r="O995" s="118">
        <v>15</v>
      </c>
      <c r="P995" s="118" t="e">
        <f>ROUND(Tableau13[[#This Row],[LEN]]*#REF!+#REF!,0)</f>
        <v>#REF!</v>
      </c>
    </row>
    <row r="996" spans="1:16" s="97" customFormat="1" x14ac:dyDescent="0.25">
      <c r="A996" s="49" t="s">
        <v>1797</v>
      </c>
      <c r="B996" s="50" t="s">
        <v>316</v>
      </c>
      <c r="C996" s="51" t="s">
        <v>1808</v>
      </c>
      <c r="D996" s="76" t="s">
        <v>28</v>
      </c>
      <c r="E996" s="51" t="s">
        <v>676</v>
      </c>
      <c r="F996" s="51" t="s">
        <v>1177</v>
      </c>
      <c r="G996" s="76" t="s">
        <v>169</v>
      </c>
      <c r="H996" s="76" t="s">
        <v>654</v>
      </c>
      <c r="I996" s="51"/>
      <c r="J996" s="52" t="s">
        <v>708</v>
      </c>
      <c r="K996" s="117">
        <f>ROUND(Tableau13[[#This Row],[LEN]]*7.27,0)</f>
        <v>364</v>
      </c>
      <c r="L996" s="117">
        <v>15</v>
      </c>
      <c r="M996" s="134" t="str">
        <f t="shared" si="7"/>
        <v>none</v>
      </c>
      <c r="N996" s="117">
        <f>LEN(Tableau13[[#This Row],[LABEL]])</f>
        <v>50</v>
      </c>
      <c r="O996" s="117">
        <v>15</v>
      </c>
      <c r="P996" s="117" t="e">
        <f>ROUND(Tableau13[[#This Row],[LEN]]*#REF!+#REF!,0)</f>
        <v>#REF!</v>
      </c>
    </row>
    <row r="997" spans="1:16" s="97" customFormat="1" x14ac:dyDescent="0.25">
      <c r="A997" s="49" t="s">
        <v>1798</v>
      </c>
      <c r="B997" s="50" t="s">
        <v>316</v>
      </c>
      <c r="C997" s="51" t="s">
        <v>1810</v>
      </c>
      <c r="D997" s="76" t="s">
        <v>28</v>
      </c>
      <c r="E997" s="51" t="s">
        <v>676</v>
      </c>
      <c r="F997" s="51" t="s">
        <v>1177</v>
      </c>
      <c r="G997" s="76" t="s">
        <v>169</v>
      </c>
      <c r="H997" s="76" t="s">
        <v>656</v>
      </c>
      <c r="I997" s="51"/>
      <c r="J997" s="52" t="s">
        <v>708</v>
      </c>
      <c r="K997" s="117">
        <f>ROUND(Tableau13[[#This Row],[LEN]]*7.27,0)</f>
        <v>124</v>
      </c>
      <c r="L997" s="117">
        <v>15</v>
      </c>
      <c r="M997" s="134" t="str">
        <f t="shared" si="7"/>
        <v>none</v>
      </c>
      <c r="N997" s="117">
        <f>LEN(Tableau13[[#This Row],[LABEL]])</f>
        <v>17</v>
      </c>
      <c r="O997" s="117">
        <v>15</v>
      </c>
      <c r="P997" s="117" t="e">
        <f>ROUND(Tableau13[[#This Row],[LEN]]*#REF!+#REF!,0)</f>
        <v>#REF!</v>
      </c>
    </row>
    <row r="998" spans="1:16" s="97" customFormat="1" x14ac:dyDescent="0.25">
      <c r="A998" s="49" t="s">
        <v>1799</v>
      </c>
      <c r="B998" s="50" t="s">
        <v>316</v>
      </c>
      <c r="C998" s="51" t="s">
        <v>1809</v>
      </c>
      <c r="D998" s="76" t="s">
        <v>28</v>
      </c>
      <c r="E998" s="51" t="s">
        <v>676</v>
      </c>
      <c r="F998" s="51" t="s">
        <v>1177</v>
      </c>
      <c r="G998" s="76" t="s">
        <v>169</v>
      </c>
      <c r="H998" s="76" t="s">
        <v>656</v>
      </c>
      <c r="I998" s="51"/>
      <c r="J998" s="52" t="s">
        <v>708</v>
      </c>
      <c r="K998" s="117">
        <f>ROUND(Tableau13[[#This Row],[LEN]]*7.27,0)</f>
        <v>189</v>
      </c>
      <c r="L998" s="117">
        <v>15</v>
      </c>
      <c r="M998" s="134" t="str">
        <f t="shared" si="7"/>
        <v>none</v>
      </c>
      <c r="N998" s="117">
        <f>LEN(Tableau13[[#This Row],[LABEL]])</f>
        <v>26</v>
      </c>
      <c r="O998" s="117">
        <v>15</v>
      </c>
      <c r="P998" s="117" t="e">
        <f>ROUND(Tableau13[[#This Row],[LEN]]*#REF!+#REF!,0)</f>
        <v>#REF!</v>
      </c>
    </row>
    <row r="999" spans="1:16" s="97" customFormat="1" x14ac:dyDescent="0.25">
      <c r="A999" s="49" t="s">
        <v>1800</v>
      </c>
      <c r="B999" s="50" t="s">
        <v>316</v>
      </c>
      <c r="C999" s="51" t="s">
        <v>549</v>
      </c>
      <c r="D999" s="76" t="s">
        <v>28</v>
      </c>
      <c r="E999" s="51" t="s">
        <v>673</v>
      </c>
      <c r="F999" s="51" t="s">
        <v>1704</v>
      </c>
      <c r="G999" s="76" t="s">
        <v>169</v>
      </c>
      <c r="H999" s="76" t="s">
        <v>655</v>
      </c>
      <c r="I999" s="51"/>
      <c r="J999" s="52" t="s">
        <v>708</v>
      </c>
      <c r="K999" s="117">
        <f>ROUND(Tableau13[[#This Row],[LEN]]*7.27,0)</f>
        <v>145</v>
      </c>
      <c r="L999" s="117">
        <v>15</v>
      </c>
      <c r="M999" s="134" t="str">
        <f t="shared" si="7"/>
        <v>none</v>
      </c>
      <c r="N999" s="117">
        <f>LEN(Tableau13[[#This Row],[LABEL]])</f>
        <v>20</v>
      </c>
      <c r="O999" s="117">
        <v>15</v>
      </c>
      <c r="P999" s="117" t="e">
        <f>ROUND(Tableau13[[#This Row],[LEN]]*#REF!+#REF!,0)</f>
        <v>#REF!</v>
      </c>
    </row>
    <row r="1000" spans="1:16" s="97" customFormat="1" x14ac:dyDescent="0.25">
      <c r="A1000" s="53" t="s">
        <v>1804</v>
      </c>
      <c r="B1000" s="54" t="s">
        <v>1800</v>
      </c>
      <c r="C1000" s="55" t="s">
        <v>590</v>
      </c>
      <c r="D1000" s="77" t="s">
        <v>28</v>
      </c>
      <c r="E1000" s="55" t="s">
        <v>673</v>
      </c>
      <c r="F1000" s="55" t="s">
        <v>1704</v>
      </c>
      <c r="G1000" s="77" t="s">
        <v>169</v>
      </c>
      <c r="H1000" s="77" t="s">
        <v>570</v>
      </c>
      <c r="I1000" s="55"/>
      <c r="J1000" s="56" t="s">
        <v>708</v>
      </c>
      <c r="K1000" s="118">
        <f>ROUND(Tableau13[[#This Row],[LEN]]*7.27,0)</f>
        <v>102</v>
      </c>
      <c r="L1000" s="118">
        <v>15</v>
      </c>
      <c r="M1000" s="135" t="str">
        <f t="shared" si="7"/>
        <v>none</v>
      </c>
      <c r="N1000" s="118">
        <f>LEN(Tableau13[[#This Row],[LABEL]])</f>
        <v>14</v>
      </c>
      <c r="O1000" s="118">
        <v>15</v>
      </c>
      <c r="P1000" s="118" t="e">
        <f>ROUND(Tableau13[[#This Row],[LEN]]*#REF!+#REF!,0)</f>
        <v>#REF!</v>
      </c>
    </row>
    <row r="1001" spans="1:16" s="97" customFormat="1" x14ac:dyDescent="0.25">
      <c r="A1001" s="53" t="s">
        <v>1805</v>
      </c>
      <c r="B1001" s="54" t="s">
        <v>1800</v>
      </c>
      <c r="C1001" s="55" t="s">
        <v>591</v>
      </c>
      <c r="D1001" s="77" t="s">
        <v>28</v>
      </c>
      <c r="E1001" s="55" t="s">
        <v>673</v>
      </c>
      <c r="F1001" s="55" t="s">
        <v>1704</v>
      </c>
      <c r="G1001" s="77" t="s">
        <v>169</v>
      </c>
      <c r="H1001" s="77" t="s">
        <v>570</v>
      </c>
      <c r="I1001" s="55"/>
      <c r="J1001" s="56" t="s">
        <v>708</v>
      </c>
      <c r="K1001" s="118">
        <f>ROUND(Tableau13[[#This Row],[LEN]]*7.27,0)</f>
        <v>262</v>
      </c>
      <c r="L1001" s="118">
        <v>15</v>
      </c>
      <c r="M1001" s="135" t="str">
        <f t="shared" si="7"/>
        <v>none</v>
      </c>
      <c r="N1001" s="118">
        <f>LEN(Tableau13[[#This Row],[LABEL]])</f>
        <v>36</v>
      </c>
      <c r="O1001" s="118">
        <v>15</v>
      </c>
      <c r="P1001" s="118" t="e">
        <f>ROUND(Tableau13[[#This Row],[LEN]]*#REF!+#REF!,0)</f>
        <v>#REF!</v>
      </c>
    </row>
    <row r="1002" spans="1:16" s="97" customFormat="1" x14ac:dyDescent="0.25">
      <c r="A1002" s="53" t="s">
        <v>1806</v>
      </c>
      <c r="B1002" s="54" t="s">
        <v>1800</v>
      </c>
      <c r="C1002" s="55" t="s">
        <v>592</v>
      </c>
      <c r="D1002" s="77" t="s">
        <v>28</v>
      </c>
      <c r="E1002" s="55" t="s">
        <v>673</v>
      </c>
      <c r="F1002" s="55" t="s">
        <v>1704</v>
      </c>
      <c r="G1002" s="77" t="s">
        <v>169</v>
      </c>
      <c r="H1002" s="77" t="s">
        <v>570</v>
      </c>
      <c r="I1002" s="55"/>
      <c r="J1002" s="56" t="s">
        <v>708</v>
      </c>
      <c r="K1002" s="118">
        <f>ROUND(Tableau13[[#This Row],[LEN]]*7.27,0)</f>
        <v>189</v>
      </c>
      <c r="L1002" s="118">
        <v>15</v>
      </c>
      <c r="M1002" s="135" t="str">
        <f t="shared" si="7"/>
        <v>none</v>
      </c>
      <c r="N1002" s="118">
        <f>LEN(Tableau13[[#This Row],[LABEL]])</f>
        <v>26</v>
      </c>
      <c r="O1002" s="118">
        <v>15</v>
      </c>
      <c r="P1002" s="118" t="e">
        <f>ROUND(Tableau13[[#This Row],[LEN]]*#REF!+#REF!,0)</f>
        <v>#REF!</v>
      </c>
    </row>
    <row r="1003" spans="1:16" s="97" customFormat="1" x14ac:dyDescent="0.25">
      <c r="A1003" s="53" t="s">
        <v>1807</v>
      </c>
      <c r="B1003" s="54" t="s">
        <v>1800</v>
      </c>
      <c r="C1003" s="55" t="s">
        <v>597</v>
      </c>
      <c r="D1003" s="77" t="s">
        <v>28</v>
      </c>
      <c r="E1003" s="55" t="s">
        <v>673</v>
      </c>
      <c r="F1003" s="55" t="s">
        <v>1704</v>
      </c>
      <c r="G1003" s="77" t="s">
        <v>169</v>
      </c>
      <c r="H1003" s="77" t="s">
        <v>570</v>
      </c>
      <c r="I1003" s="55"/>
      <c r="J1003" s="56" t="s">
        <v>708</v>
      </c>
      <c r="K1003" s="118">
        <f>ROUND(Tableau13[[#This Row],[LEN]]*7.27,0)</f>
        <v>465</v>
      </c>
      <c r="L1003" s="118">
        <v>15</v>
      </c>
      <c r="M1003" s="135" t="str">
        <f t="shared" si="7"/>
        <v>none</v>
      </c>
      <c r="N1003" s="118">
        <f>LEN(Tableau13[[#This Row],[LABEL]])</f>
        <v>64</v>
      </c>
      <c r="O1003" s="118">
        <v>15</v>
      </c>
      <c r="P1003" s="118" t="e">
        <f>ROUND(Tableau13[[#This Row],[LEN]]*#REF!+#REF!,0)</f>
        <v>#REF!</v>
      </c>
    </row>
    <row r="1004" spans="1:16" s="97" customFormat="1" x14ac:dyDescent="0.25">
      <c r="A1004" s="49" t="s">
        <v>1801</v>
      </c>
      <c r="B1004" s="50" t="s">
        <v>316</v>
      </c>
      <c r="C1004" s="51" t="s">
        <v>598</v>
      </c>
      <c r="D1004" s="76" t="s">
        <v>28</v>
      </c>
      <c r="E1004" s="51" t="s">
        <v>673</v>
      </c>
      <c r="F1004" s="51" t="s">
        <v>1646</v>
      </c>
      <c r="G1004" s="76" t="s">
        <v>169</v>
      </c>
      <c r="H1004" s="76" t="s">
        <v>654</v>
      </c>
      <c r="I1004" s="51"/>
      <c r="J1004" s="52" t="s">
        <v>708</v>
      </c>
      <c r="K1004" s="117">
        <f>ROUND(Tableau13[[#This Row],[LEN]]*7.27,0)</f>
        <v>553</v>
      </c>
      <c r="L1004" s="117">
        <v>15</v>
      </c>
      <c r="M1004" s="134" t="str">
        <f t="shared" si="7"/>
        <v>none</v>
      </c>
      <c r="N1004" s="117">
        <f>LEN(Tableau13[[#This Row],[LABEL]])</f>
        <v>76</v>
      </c>
      <c r="O1004" s="117">
        <v>15</v>
      </c>
      <c r="P1004" s="117" t="e">
        <f>ROUND(Tableau13[[#This Row],[LEN]]*#REF!+#REF!,0)</f>
        <v>#REF!</v>
      </c>
    </row>
    <row r="1005" spans="1:16" s="273" customFormat="1" x14ac:dyDescent="0.25">
      <c r="A1005" s="351" t="s">
        <v>317</v>
      </c>
      <c r="B1005" s="352" t="s">
        <v>209</v>
      </c>
      <c r="C1005" s="353" t="s">
        <v>13</v>
      </c>
      <c r="D1005" s="354" t="s">
        <v>28</v>
      </c>
      <c r="E1005" s="353" t="s">
        <v>677</v>
      </c>
      <c r="F1005" s="353" t="s">
        <v>677</v>
      </c>
      <c r="G1005" s="354" t="s">
        <v>169</v>
      </c>
      <c r="H1005" s="354" t="str">
        <f>IFERROR(IF(SEARCH(".00.00.00.00.00",Tableau13[[#This Row],[name]],1)=7,"Division",""),"")</f>
        <v>Division</v>
      </c>
      <c r="I1005" s="353"/>
      <c r="J1005" s="355" t="s">
        <v>723</v>
      </c>
      <c r="K1005" s="356">
        <f>ROUND(Tableau13[[#This Row],[LEN]]*7.27,0)</f>
        <v>80</v>
      </c>
      <c r="L1005" s="356">
        <v>15</v>
      </c>
      <c r="M1005" s="357" t="str">
        <f t="shared" si="7"/>
        <v>new</v>
      </c>
      <c r="N1005" s="356">
        <f>LEN(Tableau13[[#This Row],[LABEL]])</f>
        <v>11</v>
      </c>
      <c r="O1005" s="356">
        <v>15</v>
      </c>
      <c r="P1005" s="356" t="e">
        <f>ROUND(Tableau13[[#This Row],[LEN]]*#REF!+#REF!,0)</f>
        <v>#REF!</v>
      </c>
    </row>
    <row r="1006" spans="1:16" s="97" customFormat="1" x14ac:dyDescent="0.25">
      <c r="A1006" s="49" t="s">
        <v>1811</v>
      </c>
      <c r="B1006" s="50" t="s">
        <v>317</v>
      </c>
      <c r="C1006" s="51" t="s">
        <v>129</v>
      </c>
      <c r="D1006" s="76" t="s">
        <v>28</v>
      </c>
      <c r="E1006" s="51" t="s">
        <v>673</v>
      </c>
      <c r="F1006" s="51" t="s">
        <v>1646</v>
      </c>
      <c r="G1006" s="76" t="s">
        <v>169</v>
      </c>
      <c r="H1006" s="76" t="s">
        <v>655</v>
      </c>
      <c r="I1006" s="51"/>
      <c r="J1006" s="52" t="s">
        <v>708</v>
      </c>
      <c r="K1006" s="117">
        <f>ROUND(Tableau13[[#This Row],[LEN]]*7.27,0)</f>
        <v>87</v>
      </c>
      <c r="L1006" s="117">
        <v>15</v>
      </c>
      <c r="M1006" s="134" t="str">
        <f t="shared" si="7"/>
        <v>none</v>
      </c>
      <c r="N1006" s="117">
        <f>LEN(Tableau13[[#This Row],[LABEL]])</f>
        <v>12</v>
      </c>
      <c r="O1006" s="117">
        <v>15</v>
      </c>
      <c r="P1006" s="117" t="e">
        <f>ROUND(Tableau13[[#This Row],[LEN]]*#REF!+#REF!,0)</f>
        <v>#REF!</v>
      </c>
    </row>
    <row r="1007" spans="1:16" s="97" customFormat="1" x14ac:dyDescent="0.25">
      <c r="A1007" s="53" t="s">
        <v>1818</v>
      </c>
      <c r="B1007" s="54" t="s">
        <v>1811</v>
      </c>
      <c r="C1007" s="55" t="s">
        <v>131</v>
      </c>
      <c r="D1007" s="77" t="s">
        <v>28</v>
      </c>
      <c r="E1007" s="55" t="s">
        <v>673</v>
      </c>
      <c r="F1007" s="55" t="s">
        <v>1646</v>
      </c>
      <c r="G1007" s="77" t="s">
        <v>169</v>
      </c>
      <c r="H1007" s="77" t="s">
        <v>570</v>
      </c>
      <c r="I1007" s="55"/>
      <c r="J1007" s="56" t="s">
        <v>708</v>
      </c>
      <c r="K1007" s="118">
        <f>ROUND(Tableau13[[#This Row],[LEN]]*7.27,0)</f>
        <v>262</v>
      </c>
      <c r="L1007" s="118">
        <v>15</v>
      </c>
      <c r="M1007" s="135" t="str">
        <f t="shared" si="7"/>
        <v>none</v>
      </c>
      <c r="N1007" s="118">
        <f>LEN(Tableau13[[#This Row],[LABEL]])</f>
        <v>36</v>
      </c>
      <c r="O1007" s="118">
        <v>15</v>
      </c>
      <c r="P1007" s="118" t="e">
        <f>ROUND(Tableau13[[#This Row],[LEN]]*#REF!+#REF!,0)</f>
        <v>#REF!</v>
      </c>
    </row>
    <row r="1008" spans="1:16" s="97" customFormat="1" x14ac:dyDescent="0.25">
      <c r="A1008" s="53" t="s">
        <v>1819</v>
      </c>
      <c r="B1008" s="54" t="s">
        <v>1811</v>
      </c>
      <c r="C1008" s="55" t="s">
        <v>132</v>
      </c>
      <c r="D1008" s="77" t="s">
        <v>28</v>
      </c>
      <c r="E1008" s="55" t="s">
        <v>673</v>
      </c>
      <c r="F1008" s="55" t="s">
        <v>1646</v>
      </c>
      <c r="G1008" s="77" t="s">
        <v>169</v>
      </c>
      <c r="H1008" s="77" t="s">
        <v>570</v>
      </c>
      <c r="I1008" s="55"/>
      <c r="J1008" s="56" t="s">
        <v>708</v>
      </c>
      <c r="K1008" s="118">
        <f>ROUND(Tableau13[[#This Row],[LEN]]*7.27,0)</f>
        <v>298</v>
      </c>
      <c r="L1008" s="118">
        <v>15</v>
      </c>
      <c r="M1008" s="135" t="str">
        <f t="shared" si="7"/>
        <v>none</v>
      </c>
      <c r="N1008" s="118">
        <f>LEN(Tableau13[[#This Row],[LABEL]])</f>
        <v>41</v>
      </c>
      <c r="O1008" s="118">
        <v>15</v>
      </c>
      <c r="P1008" s="118" t="e">
        <f>ROUND(Tableau13[[#This Row],[LEN]]*#REF!+#REF!,0)</f>
        <v>#REF!</v>
      </c>
    </row>
    <row r="1009" spans="1:16" s="97" customFormat="1" x14ac:dyDescent="0.25">
      <c r="A1009" s="49" t="s">
        <v>1812</v>
      </c>
      <c r="B1009" s="50" t="s">
        <v>317</v>
      </c>
      <c r="C1009" s="51" t="s">
        <v>1825</v>
      </c>
      <c r="D1009" s="76" t="s">
        <v>28</v>
      </c>
      <c r="E1009" s="51" t="s">
        <v>677</v>
      </c>
      <c r="F1009" s="51" t="s">
        <v>1847</v>
      </c>
      <c r="G1009" s="76" t="s">
        <v>169</v>
      </c>
      <c r="H1009" s="76" t="s">
        <v>656</v>
      </c>
      <c r="I1009" s="51"/>
      <c r="J1009" s="52" t="s">
        <v>708</v>
      </c>
      <c r="K1009" s="117">
        <f>ROUND(Tableau13[[#This Row],[LEN]]*7.27,0)</f>
        <v>320</v>
      </c>
      <c r="L1009" s="117">
        <v>15</v>
      </c>
      <c r="M1009" s="134" t="str">
        <f t="shared" si="7"/>
        <v>none</v>
      </c>
      <c r="N1009" s="117">
        <f>LEN(Tableau13[[#This Row],[LABEL]])</f>
        <v>44</v>
      </c>
      <c r="O1009" s="117">
        <v>15</v>
      </c>
      <c r="P1009" s="117" t="e">
        <f>ROUND(Tableau13[[#This Row],[LEN]]*#REF!+#REF!,0)</f>
        <v>#REF!</v>
      </c>
    </row>
    <row r="1010" spans="1:16" s="97" customFormat="1" x14ac:dyDescent="0.25">
      <c r="A1010" s="49" t="s">
        <v>1813</v>
      </c>
      <c r="B1010" s="50" t="s">
        <v>317</v>
      </c>
      <c r="C1010" s="51" t="s">
        <v>1826</v>
      </c>
      <c r="D1010" s="76" t="s">
        <v>28</v>
      </c>
      <c r="E1010" s="51" t="s">
        <v>677</v>
      </c>
      <c r="F1010" s="51" t="s">
        <v>1177</v>
      </c>
      <c r="G1010" s="76" t="s">
        <v>169</v>
      </c>
      <c r="H1010" s="76" t="s">
        <v>656</v>
      </c>
      <c r="I1010" s="51"/>
      <c r="J1010" s="52" t="s">
        <v>708</v>
      </c>
      <c r="K1010" s="117">
        <f>ROUND(Tableau13[[#This Row],[LEN]]*7.27,0)</f>
        <v>320</v>
      </c>
      <c r="L1010" s="117">
        <v>15</v>
      </c>
      <c r="M1010" s="134" t="str">
        <f t="shared" si="7"/>
        <v>none</v>
      </c>
      <c r="N1010" s="117">
        <f>LEN(Tableau13[[#This Row],[LABEL]])</f>
        <v>44</v>
      </c>
      <c r="O1010" s="117">
        <v>15</v>
      </c>
      <c r="P1010" s="117" t="e">
        <f>ROUND(Tableau13[[#This Row],[LEN]]*#REF!+#REF!,0)</f>
        <v>#REF!</v>
      </c>
    </row>
    <row r="1011" spans="1:16" s="97" customFormat="1" x14ac:dyDescent="0.25">
      <c r="A1011" s="49" t="s">
        <v>1814</v>
      </c>
      <c r="B1011" s="50" t="s">
        <v>317</v>
      </c>
      <c r="C1011" s="51" t="s">
        <v>1827</v>
      </c>
      <c r="D1011" s="76" t="s">
        <v>28</v>
      </c>
      <c r="E1011" s="51" t="s">
        <v>677</v>
      </c>
      <c r="F1011" s="51" t="s">
        <v>1177</v>
      </c>
      <c r="G1011" s="76" t="s">
        <v>169</v>
      </c>
      <c r="H1011" s="76" t="s">
        <v>656</v>
      </c>
      <c r="I1011" s="51"/>
      <c r="J1011" s="52" t="s">
        <v>708</v>
      </c>
      <c r="K1011" s="117">
        <f>ROUND(Tableau13[[#This Row],[LEN]]*7.27,0)</f>
        <v>145</v>
      </c>
      <c r="L1011" s="117">
        <v>15</v>
      </c>
      <c r="M1011" s="134" t="str">
        <f t="shared" si="7"/>
        <v>none</v>
      </c>
      <c r="N1011" s="117">
        <f>LEN(Tableau13[[#This Row],[LABEL]])</f>
        <v>20</v>
      </c>
      <c r="O1011" s="117">
        <v>15</v>
      </c>
      <c r="P1011" s="117" t="e">
        <f>ROUND(Tableau13[[#This Row],[LEN]]*#REF!+#REF!,0)</f>
        <v>#REF!</v>
      </c>
    </row>
    <row r="1012" spans="1:16" s="97" customFormat="1" x14ac:dyDescent="0.25">
      <c r="A1012" s="49" t="s">
        <v>1815</v>
      </c>
      <c r="B1012" s="50" t="s">
        <v>317</v>
      </c>
      <c r="C1012" s="51" t="s">
        <v>549</v>
      </c>
      <c r="D1012" s="76" t="s">
        <v>28</v>
      </c>
      <c r="E1012" s="51" t="s">
        <v>673</v>
      </c>
      <c r="F1012" s="51" t="s">
        <v>1704</v>
      </c>
      <c r="G1012" s="76" t="s">
        <v>169</v>
      </c>
      <c r="H1012" s="76" t="s">
        <v>655</v>
      </c>
      <c r="I1012" s="51"/>
      <c r="J1012" s="52" t="s">
        <v>708</v>
      </c>
      <c r="K1012" s="117">
        <f>ROUND(Tableau13[[#This Row],[LEN]]*7.27,0)</f>
        <v>145</v>
      </c>
      <c r="L1012" s="117">
        <v>15</v>
      </c>
      <c r="M1012" s="134" t="str">
        <f t="shared" si="7"/>
        <v>none</v>
      </c>
      <c r="N1012" s="117">
        <f>LEN(Tableau13[[#This Row],[LABEL]])</f>
        <v>20</v>
      </c>
      <c r="O1012" s="117">
        <v>15</v>
      </c>
      <c r="P1012" s="117" t="e">
        <f>ROUND(Tableau13[[#This Row],[LEN]]*#REF!+#REF!,0)</f>
        <v>#REF!</v>
      </c>
    </row>
    <row r="1013" spans="1:16" s="97" customFormat="1" x14ac:dyDescent="0.25">
      <c r="A1013" s="53" t="s">
        <v>1820</v>
      </c>
      <c r="B1013" s="54" t="s">
        <v>1815</v>
      </c>
      <c r="C1013" s="55" t="s">
        <v>590</v>
      </c>
      <c r="D1013" s="77" t="s">
        <v>28</v>
      </c>
      <c r="E1013" s="55" t="s">
        <v>673</v>
      </c>
      <c r="F1013" s="55" t="s">
        <v>1704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ROUND(Tableau13[[#This Row],[LEN]]*7.27,0)</f>
        <v>102</v>
      </c>
      <c r="L1013" s="118">
        <v>15</v>
      </c>
      <c r="M1013" s="135" t="str">
        <f t="shared" si="7"/>
        <v>none</v>
      </c>
      <c r="N1013" s="118">
        <f>LEN(Tableau13[[#This Row],[LABEL]])</f>
        <v>14</v>
      </c>
      <c r="O1013" s="118">
        <v>15</v>
      </c>
      <c r="P1013" s="118" t="e">
        <f>ROUND(Tableau13[[#This Row],[LEN]]*#REF!+#REF!,0)</f>
        <v>#REF!</v>
      </c>
    </row>
    <row r="1014" spans="1:16" s="97" customFormat="1" x14ac:dyDescent="0.25">
      <c r="A1014" s="53" t="s">
        <v>1821</v>
      </c>
      <c r="B1014" s="54" t="s">
        <v>1815</v>
      </c>
      <c r="C1014" s="55" t="s">
        <v>591</v>
      </c>
      <c r="D1014" s="77" t="s">
        <v>28</v>
      </c>
      <c r="E1014" s="55" t="s">
        <v>673</v>
      </c>
      <c r="F1014" s="55" t="s">
        <v>1704</v>
      </c>
      <c r="G1014" s="77" t="s">
        <v>169</v>
      </c>
      <c r="H1014" s="77" t="s">
        <v>570</v>
      </c>
      <c r="I1014" s="55"/>
      <c r="J1014" s="56" t="s">
        <v>708</v>
      </c>
      <c r="K1014" s="118">
        <f>ROUND(Tableau13[[#This Row],[LEN]]*7.27,0)</f>
        <v>262</v>
      </c>
      <c r="L1014" s="118">
        <v>15</v>
      </c>
      <c r="M1014" s="135" t="str">
        <f t="shared" si="7"/>
        <v>none</v>
      </c>
      <c r="N1014" s="118">
        <f>LEN(Tableau13[[#This Row],[LABEL]])</f>
        <v>36</v>
      </c>
      <c r="O1014" s="118">
        <v>15</v>
      </c>
      <c r="P1014" s="118" t="e">
        <f>ROUND(Tableau13[[#This Row],[LEN]]*#REF!+#REF!,0)</f>
        <v>#REF!</v>
      </c>
    </row>
    <row r="1015" spans="1:16" s="97" customFormat="1" x14ac:dyDescent="0.25">
      <c r="A1015" s="53" t="s">
        <v>1822</v>
      </c>
      <c r="B1015" s="54" t="s">
        <v>1815</v>
      </c>
      <c r="C1015" s="55" t="s">
        <v>592</v>
      </c>
      <c r="D1015" s="77" t="s">
        <v>28</v>
      </c>
      <c r="E1015" s="55" t="s">
        <v>673</v>
      </c>
      <c r="F1015" s="55" t="s">
        <v>1704</v>
      </c>
      <c r="G1015" s="77" t="s">
        <v>169</v>
      </c>
      <c r="H1015" s="77" t="s">
        <v>570</v>
      </c>
      <c r="I1015" s="55"/>
      <c r="J1015" s="56" t="s">
        <v>708</v>
      </c>
      <c r="K1015" s="118">
        <f>ROUND(Tableau13[[#This Row],[LEN]]*7.27,0)</f>
        <v>189</v>
      </c>
      <c r="L1015" s="118">
        <v>15</v>
      </c>
      <c r="M1015" s="135" t="str">
        <f t="shared" si="7"/>
        <v>none</v>
      </c>
      <c r="N1015" s="118">
        <f>LEN(Tableau13[[#This Row],[LABEL]])</f>
        <v>26</v>
      </c>
      <c r="O1015" s="118">
        <v>15</v>
      </c>
      <c r="P1015" s="118" t="e">
        <f>ROUND(Tableau13[[#This Row],[LEN]]*#REF!+#REF!,0)</f>
        <v>#REF!</v>
      </c>
    </row>
    <row r="1016" spans="1:16" s="97" customFormat="1" x14ac:dyDescent="0.25">
      <c r="A1016" s="53" t="s">
        <v>1823</v>
      </c>
      <c r="B1016" s="54" t="s">
        <v>1815</v>
      </c>
      <c r="C1016" s="55" t="s">
        <v>597</v>
      </c>
      <c r="D1016" s="77" t="s">
        <v>28</v>
      </c>
      <c r="E1016" s="55" t="s">
        <v>673</v>
      </c>
      <c r="F1016" s="55" t="s">
        <v>1704</v>
      </c>
      <c r="G1016" s="77" t="s">
        <v>169</v>
      </c>
      <c r="H1016" s="77" t="s">
        <v>570</v>
      </c>
      <c r="I1016" s="55"/>
      <c r="J1016" s="56" t="s">
        <v>708</v>
      </c>
      <c r="K1016" s="118">
        <f>ROUND(Tableau13[[#This Row],[LEN]]*7.27,0)</f>
        <v>465</v>
      </c>
      <c r="L1016" s="118">
        <v>15</v>
      </c>
      <c r="M1016" s="135" t="str">
        <f t="shared" si="7"/>
        <v>none</v>
      </c>
      <c r="N1016" s="118">
        <f>LEN(Tableau13[[#This Row],[LABEL]])</f>
        <v>64</v>
      </c>
      <c r="O1016" s="118">
        <v>15</v>
      </c>
      <c r="P1016" s="118" t="e">
        <f>ROUND(Tableau13[[#This Row],[LEN]]*#REF!+#REF!,0)</f>
        <v>#REF!</v>
      </c>
    </row>
    <row r="1017" spans="1:16" s="97" customFormat="1" x14ac:dyDescent="0.25">
      <c r="A1017" s="49" t="s">
        <v>1816</v>
      </c>
      <c r="B1017" s="50" t="s">
        <v>317</v>
      </c>
      <c r="C1017" s="51" t="s">
        <v>1824</v>
      </c>
      <c r="D1017" s="76" t="s">
        <v>28</v>
      </c>
      <c r="E1017" s="51" t="s">
        <v>677</v>
      </c>
      <c r="F1017" s="51" t="s">
        <v>1842</v>
      </c>
      <c r="G1017" s="76" t="s">
        <v>169</v>
      </c>
      <c r="H1017" s="76" t="s">
        <v>570</v>
      </c>
      <c r="I1017" s="51"/>
      <c r="J1017" s="52" t="s">
        <v>708</v>
      </c>
      <c r="K1017" s="117">
        <f>ROUND(Tableau13[[#This Row],[LEN]]*7.27,0)</f>
        <v>95</v>
      </c>
      <c r="L1017" s="117">
        <v>15</v>
      </c>
      <c r="M1017" s="134" t="str">
        <f t="shared" si="7"/>
        <v>none</v>
      </c>
      <c r="N1017" s="117">
        <f>LEN(Tableau13[[#This Row],[LABEL]])</f>
        <v>13</v>
      </c>
      <c r="O1017" s="117">
        <v>15</v>
      </c>
      <c r="P1017" s="117" t="e">
        <f>ROUND(Tableau13[[#This Row],[LEN]]*#REF!+#REF!,0)</f>
        <v>#REF!</v>
      </c>
    </row>
    <row r="1018" spans="1:16" s="97" customFormat="1" x14ac:dyDescent="0.25">
      <c r="A1018" s="49" t="s">
        <v>1817</v>
      </c>
      <c r="B1018" s="50" t="s">
        <v>317</v>
      </c>
      <c r="C1018" s="51" t="s">
        <v>598</v>
      </c>
      <c r="D1018" s="76" t="s">
        <v>28</v>
      </c>
      <c r="E1018" s="51" t="s">
        <v>673</v>
      </c>
      <c r="F1018" s="51" t="s">
        <v>1646</v>
      </c>
      <c r="G1018" s="76" t="s">
        <v>169</v>
      </c>
      <c r="H1018" s="76" t="s">
        <v>654</v>
      </c>
      <c r="I1018" s="51"/>
      <c r="J1018" s="52" t="s">
        <v>708</v>
      </c>
      <c r="K1018" s="117">
        <f>ROUND(Tableau13[[#This Row],[LEN]]*7.27,0)</f>
        <v>553</v>
      </c>
      <c r="L1018" s="117">
        <v>15</v>
      </c>
      <c r="M1018" s="134" t="str">
        <f t="shared" si="7"/>
        <v>none</v>
      </c>
      <c r="N1018" s="117">
        <f>LEN(Tableau13[[#This Row],[LABEL]])</f>
        <v>76</v>
      </c>
      <c r="O1018" s="117">
        <v>15</v>
      </c>
      <c r="P1018" s="117" t="e">
        <f>ROUND(Tableau13[[#This Row],[LEN]]*#REF!+#REF!,0)</f>
        <v>#REF!</v>
      </c>
    </row>
    <row r="1019" spans="1:16" s="273" customFormat="1" x14ac:dyDescent="0.25">
      <c r="A1019" s="351" t="s">
        <v>318</v>
      </c>
      <c r="B1019" s="352" t="s">
        <v>209</v>
      </c>
      <c r="C1019" s="353" t="s">
        <v>14</v>
      </c>
      <c r="D1019" s="354" t="s">
        <v>28</v>
      </c>
      <c r="E1019" s="353" t="s">
        <v>678</v>
      </c>
      <c r="F1019" s="353" t="s">
        <v>678</v>
      </c>
      <c r="G1019" s="354" t="s">
        <v>169</v>
      </c>
      <c r="H1019" s="354" t="str">
        <f>IFERROR(IF(SEARCH(".00.00.00.00.00",Tableau13[[#This Row],[name]],1)=7,"Division",""),"")</f>
        <v>Division</v>
      </c>
      <c r="I1019" s="353"/>
      <c r="J1019" s="355" t="s">
        <v>724</v>
      </c>
      <c r="K1019" s="356">
        <f>ROUND(Tableau13[[#This Row],[LEN]]*7.27,0)</f>
        <v>240</v>
      </c>
      <c r="L1019" s="356">
        <v>15</v>
      </c>
      <c r="M1019" s="357" t="str">
        <f t="shared" si="7"/>
        <v>new</v>
      </c>
      <c r="N1019" s="356">
        <f>LEN(Tableau13[[#This Row],[LABEL]])</f>
        <v>33</v>
      </c>
      <c r="O1019" s="356">
        <v>15</v>
      </c>
      <c r="P1019" s="356" t="e">
        <f>ROUND(Tableau13[[#This Row],[LEN]]*#REF!+#REF!,0)</f>
        <v>#REF!</v>
      </c>
    </row>
    <row r="1020" spans="1:16" s="97" customFormat="1" x14ac:dyDescent="0.25">
      <c r="A1020" s="49" t="s">
        <v>1828</v>
      </c>
      <c r="B1020" s="50" t="s">
        <v>318</v>
      </c>
      <c r="C1020" s="51" t="s">
        <v>1848</v>
      </c>
      <c r="D1020" s="76" t="s">
        <v>28</v>
      </c>
      <c r="E1020" s="51" t="s">
        <v>678</v>
      </c>
      <c r="F1020" s="51" t="s">
        <v>1177</v>
      </c>
      <c r="G1020" s="76" t="s">
        <v>169</v>
      </c>
      <c r="H1020" s="76" t="s">
        <v>654</v>
      </c>
      <c r="I1020" s="51"/>
      <c r="J1020" s="52" t="s">
        <v>708</v>
      </c>
      <c r="K1020" s="117">
        <f>ROUND(Tableau13[[#This Row],[LEN]]*7.27,0)</f>
        <v>364</v>
      </c>
      <c r="L1020" s="117">
        <v>15</v>
      </c>
      <c r="M1020" s="134" t="str">
        <f t="shared" si="7"/>
        <v>none</v>
      </c>
      <c r="N1020" s="117">
        <f>LEN(Tableau13[[#This Row],[LABEL]])</f>
        <v>50</v>
      </c>
      <c r="O1020" s="117">
        <v>15</v>
      </c>
      <c r="P1020" s="117" t="e">
        <f>ROUND(Tableau13[[#This Row],[LEN]]*#REF!+#REF!,0)</f>
        <v>#REF!</v>
      </c>
    </row>
    <row r="1021" spans="1:16" s="97" customFormat="1" x14ac:dyDescent="0.25">
      <c r="A1021" s="49" t="s">
        <v>1829</v>
      </c>
      <c r="B1021" s="50" t="s">
        <v>318</v>
      </c>
      <c r="C1021" s="51" t="s">
        <v>1849</v>
      </c>
      <c r="D1021" s="76" t="s">
        <v>28</v>
      </c>
      <c r="E1021" s="51" t="s">
        <v>678</v>
      </c>
      <c r="F1021" s="51" t="s">
        <v>1177</v>
      </c>
      <c r="G1021" s="76" t="s">
        <v>169</v>
      </c>
      <c r="H1021" s="76" t="s">
        <v>654</v>
      </c>
      <c r="I1021" s="51"/>
      <c r="J1021" s="52" t="s">
        <v>708</v>
      </c>
      <c r="K1021" s="117">
        <f>ROUND(Tableau13[[#This Row],[LEN]]*7.27,0)</f>
        <v>269</v>
      </c>
      <c r="L1021" s="117">
        <v>15</v>
      </c>
      <c r="M1021" s="134" t="str">
        <f t="shared" si="7"/>
        <v>none</v>
      </c>
      <c r="N1021" s="117">
        <f>LEN(Tableau13[[#This Row],[LABEL]])</f>
        <v>37</v>
      </c>
      <c r="O1021" s="117">
        <v>15</v>
      </c>
      <c r="P1021" s="117" t="e">
        <f>ROUND(Tableau13[[#This Row],[LEN]]*#REF!+#REF!,0)</f>
        <v>#REF!</v>
      </c>
    </row>
    <row r="1022" spans="1:16" s="97" customFormat="1" x14ac:dyDescent="0.25">
      <c r="A1022" s="49" t="s">
        <v>1830</v>
      </c>
      <c r="B1022" s="50" t="s">
        <v>318</v>
      </c>
      <c r="C1022" s="51" t="s">
        <v>1850</v>
      </c>
      <c r="D1022" s="76" t="s">
        <v>28</v>
      </c>
      <c r="E1022" s="51" t="s">
        <v>678</v>
      </c>
      <c r="F1022" s="51" t="s">
        <v>1177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ROUND(Tableau13[[#This Row],[LEN]]*7.27,0)</f>
        <v>305</v>
      </c>
      <c r="L1022" s="117">
        <v>15</v>
      </c>
      <c r="M1022" s="134" t="str">
        <f t="shared" si="7"/>
        <v>none</v>
      </c>
      <c r="N1022" s="117">
        <f>LEN(Tableau13[[#This Row],[LABEL]])</f>
        <v>42</v>
      </c>
      <c r="O1022" s="117">
        <v>15</v>
      </c>
      <c r="P1022" s="117" t="e">
        <f>ROUND(Tableau13[[#This Row],[LEN]]*#REF!+#REF!,0)</f>
        <v>#REF!</v>
      </c>
    </row>
    <row r="1023" spans="1:16" s="97" customFormat="1" x14ac:dyDescent="0.25">
      <c r="A1023" s="49" t="s">
        <v>1831</v>
      </c>
      <c r="B1023" s="50" t="s">
        <v>318</v>
      </c>
      <c r="C1023" s="51" t="s">
        <v>128</v>
      </c>
      <c r="D1023" s="76" t="s">
        <v>28</v>
      </c>
      <c r="E1023" s="51" t="s">
        <v>669</v>
      </c>
      <c r="F1023" s="51" t="s">
        <v>1674</v>
      </c>
      <c r="G1023" s="76" t="s">
        <v>169</v>
      </c>
      <c r="H1023" s="76" t="s">
        <v>570</v>
      </c>
      <c r="I1023" s="51"/>
      <c r="J1023" s="52" t="s">
        <v>708</v>
      </c>
      <c r="K1023" s="117">
        <f>ROUND(Tableau13[[#This Row],[LEN]]*7.27,0)</f>
        <v>182</v>
      </c>
      <c r="L1023" s="117">
        <v>15</v>
      </c>
      <c r="M1023" s="134" t="str">
        <f t="shared" si="7"/>
        <v>none</v>
      </c>
      <c r="N1023" s="117">
        <f>LEN(Tableau13[[#This Row],[LABEL]])</f>
        <v>25</v>
      </c>
      <c r="O1023" s="117">
        <v>15</v>
      </c>
      <c r="P1023" s="117" t="e">
        <f>ROUND(Tableau13[[#This Row],[LEN]]*#REF!+#REF!,0)</f>
        <v>#REF!</v>
      </c>
    </row>
    <row r="1024" spans="1:16" s="97" customFormat="1" x14ac:dyDescent="0.25">
      <c r="A1024" s="49" t="s">
        <v>1832</v>
      </c>
      <c r="B1024" s="50" t="s">
        <v>318</v>
      </c>
      <c r="C1024" s="51" t="s">
        <v>129</v>
      </c>
      <c r="D1024" s="76" t="s">
        <v>28</v>
      </c>
      <c r="E1024" s="51" t="s">
        <v>673</v>
      </c>
      <c r="F1024" s="51" t="s">
        <v>1646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ROUND(Tableau13[[#This Row],[LEN]]*7.27,0)</f>
        <v>87</v>
      </c>
      <c r="L1024" s="117">
        <v>15</v>
      </c>
      <c r="M1024" s="134" t="str">
        <f t="shared" si="7"/>
        <v>none</v>
      </c>
      <c r="N1024" s="117">
        <f>LEN(Tableau13[[#This Row],[LABEL]])</f>
        <v>12</v>
      </c>
      <c r="O1024" s="117">
        <v>15</v>
      </c>
      <c r="P1024" s="117" t="e">
        <f>ROUND(Tableau13[[#This Row],[LEN]]*#REF!+#REF!,0)</f>
        <v>#REF!</v>
      </c>
    </row>
    <row r="1025" spans="1:16" s="97" customFormat="1" x14ac:dyDescent="0.25">
      <c r="A1025" s="53" t="s">
        <v>1851</v>
      </c>
      <c r="B1025" s="54" t="s">
        <v>1832</v>
      </c>
      <c r="C1025" s="55" t="s">
        <v>131</v>
      </c>
      <c r="D1025" s="77" t="s">
        <v>28</v>
      </c>
      <c r="E1025" s="55" t="s">
        <v>673</v>
      </c>
      <c r="F1025" s="55" t="s">
        <v>1646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ROUND(Tableau13[[#This Row],[LEN]]*7.27,0)</f>
        <v>262</v>
      </c>
      <c r="L1025" s="118">
        <v>15</v>
      </c>
      <c r="M1025" s="135" t="str">
        <f t="shared" si="7"/>
        <v>none</v>
      </c>
      <c r="N1025" s="118">
        <f>LEN(Tableau13[[#This Row],[LABEL]])</f>
        <v>36</v>
      </c>
      <c r="O1025" s="118">
        <v>15</v>
      </c>
      <c r="P1025" s="118" t="e">
        <f>ROUND(Tableau13[[#This Row],[LEN]]*#REF!+#REF!,0)</f>
        <v>#REF!</v>
      </c>
    </row>
    <row r="1026" spans="1:16" s="97" customFormat="1" x14ac:dyDescent="0.25">
      <c r="A1026" s="53" t="s">
        <v>1852</v>
      </c>
      <c r="B1026" s="54" t="s">
        <v>1832</v>
      </c>
      <c r="C1026" s="55" t="s">
        <v>132</v>
      </c>
      <c r="D1026" s="77" t="s">
        <v>28</v>
      </c>
      <c r="E1026" s="55" t="s">
        <v>673</v>
      </c>
      <c r="F1026" s="55" t="s">
        <v>1646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ROUND(Tableau13[[#This Row],[LEN]]*7.27,0)</f>
        <v>298</v>
      </c>
      <c r="L1026" s="118">
        <v>15</v>
      </c>
      <c r="M1026" s="135" t="str">
        <f t="shared" si="7"/>
        <v>none</v>
      </c>
      <c r="N1026" s="118">
        <f>LEN(Tableau13[[#This Row],[LABEL]])</f>
        <v>41</v>
      </c>
      <c r="O1026" s="118">
        <v>15</v>
      </c>
      <c r="P1026" s="118" t="e">
        <f>ROUND(Tableau13[[#This Row],[LEN]]*#REF!+#REF!,0)</f>
        <v>#REF!</v>
      </c>
    </row>
    <row r="1027" spans="1:16" s="97" customFormat="1" x14ac:dyDescent="0.25">
      <c r="A1027" s="49" t="s">
        <v>1833</v>
      </c>
      <c r="B1027" s="50" t="s">
        <v>318</v>
      </c>
      <c r="C1027" s="51" t="s">
        <v>1825</v>
      </c>
      <c r="D1027" s="76" t="s">
        <v>28</v>
      </c>
      <c r="E1027" s="51" t="s">
        <v>677</v>
      </c>
      <c r="F1027" s="51" t="s">
        <v>1847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ROUND(Tableau13[[#This Row],[LEN]]*7.27,0)</f>
        <v>320</v>
      </c>
      <c r="L1027" s="117">
        <v>15</v>
      </c>
      <c r="M1027" s="134" t="str">
        <f t="shared" si="7"/>
        <v>none</v>
      </c>
      <c r="N1027" s="117">
        <f>LEN(Tableau13[[#This Row],[LABEL]])</f>
        <v>44</v>
      </c>
      <c r="O1027" s="117">
        <v>15</v>
      </c>
      <c r="P1027" s="117" t="e">
        <f>ROUND(Tableau13[[#This Row],[LEN]]*#REF!+#REF!,0)</f>
        <v>#REF!</v>
      </c>
    </row>
    <row r="1028" spans="1:16" s="97" customFormat="1" x14ac:dyDescent="0.25">
      <c r="A1028" s="49" t="s">
        <v>1834</v>
      </c>
      <c r="B1028" s="50" t="s">
        <v>318</v>
      </c>
      <c r="C1028" s="51" t="s">
        <v>1853</v>
      </c>
      <c r="D1028" s="76" t="s">
        <v>28</v>
      </c>
      <c r="E1028" s="51" t="s">
        <v>678</v>
      </c>
      <c r="F1028" s="51" t="s">
        <v>1177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ROUND(Tableau13[[#This Row],[LEN]]*7.27,0)</f>
        <v>400</v>
      </c>
      <c r="L1028" s="117">
        <v>15</v>
      </c>
      <c r="M1028" s="134" t="str">
        <f t="shared" si="7"/>
        <v>none</v>
      </c>
      <c r="N1028" s="117">
        <f>LEN(Tableau13[[#This Row],[LABEL]])</f>
        <v>55</v>
      </c>
      <c r="O1028" s="117">
        <v>15</v>
      </c>
      <c r="P1028" s="117" t="e">
        <f>ROUND(Tableau13[[#This Row],[LEN]]*#REF!+#REF!,0)</f>
        <v>#REF!</v>
      </c>
    </row>
    <row r="1029" spans="1:16" s="97" customFormat="1" x14ac:dyDescent="0.25">
      <c r="A1029" s="49" t="s">
        <v>1835</v>
      </c>
      <c r="B1029" s="50" t="s">
        <v>318</v>
      </c>
      <c r="C1029" s="51" t="s">
        <v>1854</v>
      </c>
      <c r="D1029" s="76" t="s">
        <v>28</v>
      </c>
      <c r="E1029" s="51" t="s">
        <v>678</v>
      </c>
      <c r="F1029" s="51" t="s">
        <v>1177</v>
      </c>
      <c r="G1029" s="76" t="s">
        <v>169</v>
      </c>
      <c r="H1029" s="76" t="s">
        <v>654</v>
      </c>
      <c r="I1029" s="51"/>
      <c r="J1029" s="52" t="s">
        <v>708</v>
      </c>
      <c r="K1029" s="117">
        <f>ROUND(Tableau13[[#This Row],[LEN]]*7.27,0)</f>
        <v>225</v>
      </c>
      <c r="L1029" s="117">
        <v>15</v>
      </c>
      <c r="M1029" s="134" t="str">
        <f t="shared" si="7"/>
        <v>none</v>
      </c>
      <c r="N1029" s="117">
        <f>LEN(Tableau13[[#This Row],[LABEL]])</f>
        <v>31</v>
      </c>
      <c r="O1029" s="117">
        <v>15</v>
      </c>
      <c r="P1029" s="117" t="e">
        <f>ROUND(Tableau13[[#This Row],[LEN]]*#REF!+#REF!,0)</f>
        <v>#REF!</v>
      </c>
    </row>
    <row r="1030" spans="1:16" s="97" customFormat="1" x14ac:dyDescent="0.25">
      <c r="A1030" s="49" t="s">
        <v>1836</v>
      </c>
      <c r="B1030" s="50" t="s">
        <v>318</v>
      </c>
      <c r="C1030" s="51" t="s">
        <v>1855</v>
      </c>
      <c r="D1030" s="76" t="s">
        <v>28</v>
      </c>
      <c r="E1030" s="51" t="s">
        <v>678</v>
      </c>
      <c r="F1030" s="51" t="s">
        <v>1177</v>
      </c>
      <c r="G1030" s="76" t="s">
        <v>169</v>
      </c>
      <c r="H1030" s="76" t="s">
        <v>654</v>
      </c>
      <c r="I1030" s="51"/>
      <c r="J1030" s="52" t="s">
        <v>708</v>
      </c>
      <c r="K1030" s="117">
        <f>ROUND(Tableau13[[#This Row],[LEN]]*7.27,0)</f>
        <v>320</v>
      </c>
      <c r="L1030" s="117">
        <v>15</v>
      </c>
      <c r="M1030" s="134" t="str">
        <f t="shared" si="7"/>
        <v>none</v>
      </c>
      <c r="N1030" s="117">
        <f>LEN(Tableau13[[#This Row],[LABEL]])</f>
        <v>44</v>
      </c>
      <c r="O1030" s="117">
        <v>15</v>
      </c>
      <c r="P1030" s="117" t="e">
        <f>ROUND(Tableau13[[#This Row],[LEN]]*#REF!+#REF!,0)</f>
        <v>#REF!</v>
      </c>
    </row>
    <row r="1031" spans="1:16" s="97" customFormat="1" x14ac:dyDescent="0.25">
      <c r="A1031" s="49" t="s">
        <v>1837</v>
      </c>
      <c r="B1031" s="50" t="s">
        <v>318</v>
      </c>
      <c r="C1031" s="51" t="s">
        <v>901</v>
      </c>
      <c r="D1031" s="76" t="s">
        <v>28</v>
      </c>
      <c r="E1031" s="51" t="s">
        <v>678</v>
      </c>
      <c r="F1031" s="51" t="s">
        <v>1177</v>
      </c>
      <c r="G1031" s="76" t="s">
        <v>169</v>
      </c>
      <c r="H1031" s="76" t="s">
        <v>654</v>
      </c>
      <c r="I1031" s="51"/>
      <c r="J1031" s="52" t="s">
        <v>708</v>
      </c>
      <c r="K1031" s="117">
        <f>ROUND(Tableau13[[#This Row],[LEN]]*7.27,0)</f>
        <v>116</v>
      </c>
      <c r="L1031" s="117">
        <v>15</v>
      </c>
      <c r="M1031" s="134" t="str">
        <f t="shared" si="7"/>
        <v>none</v>
      </c>
      <c r="N1031" s="117">
        <f>LEN(Tableau13[[#This Row],[LABEL]])</f>
        <v>16</v>
      </c>
      <c r="O1031" s="117">
        <v>15</v>
      </c>
      <c r="P1031" s="117" t="e">
        <f>ROUND(Tableau13[[#This Row],[LEN]]*#REF!+#REF!,0)</f>
        <v>#REF!</v>
      </c>
    </row>
    <row r="1032" spans="1:16" s="97" customFormat="1" x14ac:dyDescent="0.25">
      <c r="A1032" s="49" t="s">
        <v>1838</v>
      </c>
      <c r="B1032" s="50" t="s">
        <v>318</v>
      </c>
      <c r="C1032" s="51" t="s">
        <v>1856</v>
      </c>
      <c r="D1032" s="76" t="s">
        <v>28</v>
      </c>
      <c r="E1032" s="51" t="s">
        <v>678</v>
      </c>
      <c r="F1032" s="51" t="s">
        <v>1177</v>
      </c>
      <c r="G1032" s="76" t="s">
        <v>169</v>
      </c>
      <c r="H1032" s="76" t="s">
        <v>654</v>
      </c>
      <c r="I1032" s="51"/>
      <c r="J1032" s="52" t="s">
        <v>708</v>
      </c>
      <c r="K1032" s="117">
        <f>ROUND(Tableau13[[#This Row],[LEN]]*7.27,0)</f>
        <v>131</v>
      </c>
      <c r="L1032" s="117">
        <v>15</v>
      </c>
      <c r="M1032" s="134" t="str">
        <f t="shared" si="7"/>
        <v>none</v>
      </c>
      <c r="N1032" s="117">
        <f>LEN(Tableau13[[#This Row],[LABEL]])</f>
        <v>18</v>
      </c>
      <c r="O1032" s="117">
        <v>15</v>
      </c>
      <c r="P1032" s="117" t="e">
        <f>ROUND(Tableau13[[#This Row],[LEN]]*#REF!+#REF!,0)</f>
        <v>#REF!</v>
      </c>
    </row>
    <row r="1033" spans="1:16" s="97" customFormat="1" x14ac:dyDescent="0.25">
      <c r="A1033" s="49" t="s">
        <v>1839</v>
      </c>
      <c r="B1033" s="50" t="s">
        <v>318</v>
      </c>
      <c r="C1033" s="51" t="s">
        <v>549</v>
      </c>
      <c r="D1033" s="76" t="s">
        <v>28</v>
      </c>
      <c r="E1033" s="51" t="s">
        <v>673</v>
      </c>
      <c r="F1033" s="51" t="s">
        <v>1704</v>
      </c>
      <c r="G1033" s="76" t="s">
        <v>169</v>
      </c>
      <c r="H1033" s="76" t="s">
        <v>655</v>
      </c>
      <c r="I1033" s="51"/>
      <c r="J1033" s="52" t="s">
        <v>708</v>
      </c>
      <c r="K1033" s="117">
        <f>ROUND(Tableau13[[#This Row],[LEN]]*7.27,0)</f>
        <v>145</v>
      </c>
      <c r="L1033" s="117">
        <v>15</v>
      </c>
      <c r="M1033" s="134" t="str">
        <f t="shared" si="7"/>
        <v>none</v>
      </c>
      <c r="N1033" s="117">
        <f>LEN(Tableau13[[#This Row],[LABEL]])</f>
        <v>20</v>
      </c>
      <c r="O1033" s="117">
        <v>15</v>
      </c>
      <c r="P1033" s="117" t="e">
        <f>ROUND(Tableau13[[#This Row],[LEN]]*#REF!+#REF!,0)</f>
        <v>#REF!</v>
      </c>
    </row>
    <row r="1034" spans="1:16" s="97" customFormat="1" x14ac:dyDescent="0.25">
      <c r="A1034" s="53" t="s">
        <v>1843</v>
      </c>
      <c r="B1034" s="54" t="s">
        <v>1839</v>
      </c>
      <c r="C1034" s="55" t="s">
        <v>590</v>
      </c>
      <c r="D1034" s="77" t="s">
        <v>28</v>
      </c>
      <c r="E1034" s="55" t="s">
        <v>673</v>
      </c>
      <c r="F1034" s="55" t="s">
        <v>1704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ROUND(Tableau13[[#This Row],[LEN]]*7.27,0)</f>
        <v>102</v>
      </c>
      <c r="L1034" s="118">
        <v>15</v>
      </c>
      <c r="M1034" s="135" t="str">
        <f t="shared" si="7"/>
        <v>none</v>
      </c>
      <c r="N1034" s="118">
        <f>LEN(Tableau13[[#This Row],[LABEL]])</f>
        <v>14</v>
      </c>
      <c r="O1034" s="118">
        <v>15</v>
      </c>
      <c r="P1034" s="118" t="e">
        <f>ROUND(Tableau13[[#This Row],[LEN]]*#REF!+#REF!,0)</f>
        <v>#REF!</v>
      </c>
    </row>
    <row r="1035" spans="1:16" s="97" customFormat="1" x14ac:dyDescent="0.25">
      <c r="A1035" s="53" t="s">
        <v>1844</v>
      </c>
      <c r="B1035" s="54" t="s">
        <v>1839</v>
      </c>
      <c r="C1035" s="55" t="s">
        <v>591</v>
      </c>
      <c r="D1035" s="77" t="s">
        <v>28</v>
      </c>
      <c r="E1035" s="55" t="s">
        <v>673</v>
      </c>
      <c r="F1035" s="55" t="s">
        <v>1704</v>
      </c>
      <c r="G1035" s="77" t="s">
        <v>169</v>
      </c>
      <c r="H1035" s="77" t="s">
        <v>570</v>
      </c>
      <c r="I1035" s="55"/>
      <c r="J1035" s="56" t="s">
        <v>708</v>
      </c>
      <c r="K1035" s="118">
        <f>ROUND(Tableau13[[#This Row],[LEN]]*7.27,0)</f>
        <v>262</v>
      </c>
      <c r="L1035" s="118">
        <v>15</v>
      </c>
      <c r="M1035" s="135" t="str">
        <f t="shared" si="7"/>
        <v>none</v>
      </c>
      <c r="N1035" s="118">
        <f>LEN(Tableau13[[#This Row],[LABEL]])</f>
        <v>36</v>
      </c>
      <c r="O1035" s="118">
        <v>15</v>
      </c>
      <c r="P1035" s="118" t="e">
        <f>ROUND(Tableau13[[#This Row],[LEN]]*#REF!+#REF!,0)</f>
        <v>#REF!</v>
      </c>
    </row>
    <row r="1036" spans="1:16" s="97" customFormat="1" x14ac:dyDescent="0.25">
      <c r="A1036" s="53" t="s">
        <v>1845</v>
      </c>
      <c r="B1036" s="54" t="s">
        <v>1839</v>
      </c>
      <c r="C1036" s="55" t="s">
        <v>592</v>
      </c>
      <c r="D1036" s="77" t="s">
        <v>28</v>
      </c>
      <c r="E1036" s="55" t="s">
        <v>673</v>
      </c>
      <c r="F1036" s="55" t="s">
        <v>1704</v>
      </c>
      <c r="G1036" s="77" t="s">
        <v>169</v>
      </c>
      <c r="H1036" s="77" t="s">
        <v>570</v>
      </c>
      <c r="I1036" s="55"/>
      <c r="J1036" s="56" t="s">
        <v>708</v>
      </c>
      <c r="K1036" s="118">
        <f>ROUND(Tableau13[[#This Row],[LEN]]*7.27,0)</f>
        <v>189</v>
      </c>
      <c r="L1036" s="118">
        <v>15</v>
      </c>
      <c r="M1036" s="135" t="str">
        <f t="shared" si="7"/>
        <v>none</v>
      </c>
      <c r="N1036" s="118">
        <f>LEN(Tableau13[[#This Row],[LABEL]])</f>
        <v>26</v>
      </c>
      <c r="O1036" s="118">
        <v>15</v>
      </c>
      <c r="P1036" s="118" t="e">
        <f>ROUND(Tableau13[[#This Row],[LEN]]*#REF!+#REF!,0)</f>
        <v>#REF!</v>
      </c>
    </row>
    <row r="1037" spans="1:16" s="97" customFormat="1" x14ac:dyDescent="0.25">
      <c r="A1037" s="53" t="s">
        <v>1846</v>
      </c>
      <c r="B1037" s="54" t="s">
        <v>1839</v>
      </c>
      <c r="C1037" s="55" t="s">
        <v>597</v>
      </c>
      <c r="D1037" s="77" t="s">
        <v>28</v>
      </c>
      <c r="E1037" s="55" t="s">
        <v>673</v>
      </c>
      <c r="F1037" s="55" t="s">
        <v>1704</v>
      </c>
      <c r="G1037" s="77" t="s">
        <v>169</v>
      </c>
      <c r="H1037" s="77" t="s">
        <v>570</v>
      </c>
      <c r="I1037" s="55"/>
      <c r="J1037" s="56" t="s">
        <v>708</v>
      </c>
      <c r="K1037" s="118">
        <f>ROUND(Tableau13[[#This Row],[LEN]]*7.27,0)</f>
        <v>465</v>
      </c>
      <c r="L1037" s="118">
        <v>15</v>
      </c>
      <c r="M1037" s="135" t="str">
        <f t="shared" si="7"/>
        <v>none</v>
      </c>
      <c r="N1037" s="118">
        <f>LEN(Tableau13[[#This Row],[LABEL]])</f>
        <v>64</v>
      </c>
      <c r="O1037" s="118">
        <v>15</v>
      </c>
      <c r="P1037" s="118" t="e">
        <f>ROUND(Tableau13[[#This Row],[LEN]]*#REF!+#REF!,0)</f>
        <v>#REF!</v>
      </c>
    </row>
    <row r="1038" spans="1:16" s="97" customFormat="1" x14ac:dyDescent="0.25">
      <c r="A1038" s="49" t="s">
        <v>1840</v>
      </c>
      <c r="B1038" s="50" t="s">
        <v>318</v>
      </c>
      <c r="C1038" s="51" t="s">
        <v>1824</v>
      </c>
      <c r="D1038" s="76" t="s">
        <v>28</v>
      </c>
      <c r="E1038" s="51" t="s">
        <v>677</v>
      </c>
      <c r="F1038" s="51" t="s">
        <v>1842</v>
      </c>
      <c r="G1038" s="76" t="s">
        <v>169</v>
      </c>
      <c r="H1038" s="76" t="s">
        <v>570</v>
      </c>
      <c r="I1038" s="51"/>
      <c r="J1038" s="52" t="s">
        <v>708</v>
      </c>
      <c r="K1038" s="117">
        <f>ROUND(Tableau13[[#This Row],[LEN]]*7.27,0)</f>
        <v>95</v>
      </c>
      <c r="L1038" s="117">
        <v>15</v>
      </c>
      <c r="M1038" s="134" t="str">
        <f t="shared" si="7"/>
        <v>none</v>
      </c>
      <c r="N1038" s="117">
        <f>LEN(Tableau13[[#This Row],[LABEL]])</f>
        <v>13</v>
      </c>
      <c r="O1038" s="117">
        <v>15</v>
      </c>
      <c r="P1038" s="117" t="e">
        <f>ROUND(Tableau13[[#This Row],[LEN]]*#REF!+#REF!,0)</f>
        <v>#REF!</v>
      </c>
    </row>
    <row r="1039" spans="1:16" s="97" customFormat="1" x14ac:dyDescent="0.25">
      <c r="A1039" s="49" t="s">
        <v>1841</v>
      </c>
      <c r="B1039" s="50" t="s">
        <v>318</v>
      </c>
      <c r="C1039" s="51" t="s">
        <v>598</v>
      </c>
      <c r="D1039" s="76" t="s">
        <v>28</v>
      </c>
      <c r="E1039" s="51" t="s">
        <v>673</v>
      </c>
      <c r="F1039" s="51" t="s">
        <v>1646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ROUND(Tableau13[[#This Row],[LEN]]*7.27,0)</f>
        <v>553</v>
      </c>
      <c r="L1039" s="117">
        <v>15</v>
      </c>
      <c r="M1039" s="134" t="str">
        <f t="shared" si="7"/>
        <v>none</v>
      </c>
      <c r="N1039" s="117">
        <f>LEN(Tableau13[[#This Row],[LABEL]])</f>
        <v>76</v>
      </c>
      <c r="O1039" s="117">
        <v>15</v>
      </c>
      <c r="P1039" s="117" t="e">
        <f>ROUND(Tableau13[[#This Row],[LEN]]*#REF!+#REF!,0)</f>
        <v>#REF!</v>
      </c>
    </row>
    <row r="1040" spans="1:16" s="273" customFormat="1" x14ac:dyDescent="0.25">
      <c r="A1040" s="358" t="s">
        <v>319</v>
      </c>
      <c r="B1040" s="359" t="s">
        <v>209</v>
      </c>
      <c r="C1040" s="360" t="s">
        <v>15</v>
      </c>
      <c r="D1040" s="361" t="s">
        <v>28</v>
      </c>
      <c r="E1040" s="360" t="s">
        <v>679</v>
      </c>
      <c r="F1040" s="360" t="s">
        <v>679</v>
      </c>
      <c r="G1040" s="361" t="s">
        <v>169</v>
      </c>
      <c r="H1040" s="361" t="str">
        <f>IFERROR(IF(SEARCH(".00.00.00.00.00",Tableau13[[#This Row],[name]],1)=7,"Division",""),"")</f>
        <v>Division</v>
      </c>
      <c r="I1040" s="360"/>
      <c r="J1040" s="362" t="s">
        <v>725</v>
      </c>
      <c r="K1040" s="363">
        <f>ROUND(Tableau13[[#This Row],[LEN]]*7.27,0)</f>
        <v>174</v>
      </c>
      <c r="L1040" s="363">
        <v>15</v>
      </c>
      <c r="M1040" s="364" t="str">
        <f t="shared" si="7"/>
        <v>new</v>
      </c>
      <c r="N1040" s="363">
        <f>LEN(Tableau13[[#This Row],[LABEL]])</f>
        <v>24</v>
      </c>
      <c r="O1040" s="363">
        <v>15</v>
      </c>
      <c r="P1040" s="363" t="e">
        <f>ROUND(Tableau13[[#This Row],[LEN]]*#REF!+#REF!,0)</f>
        <v>#REF!</v>
      </c>
    </row>
    <row r="1041" spans="1:16" s="97" customFormat="1" x14ac:dyDescent="0.25">
      <c r="A1041" s="49" t="s">
        <v>1857</v>
      </c>
      <c r="B1041" s="50" t="s">
        <v>319</v>
      </c>
      <c r="C1041" s="51" t="s">
        <v>1862</v>
      </c>
      <c r="D1041" s="76" t="s">
        <v>1863</v>
      </c>
      <c r="E1041" s="51" t="s">
        <v>679</v>
      </c>
      <c r="F1041" s="51" t="s">
        <v>1177</v>
      </c>
      <c r="G1041" s="76" t="s">
        <v>169</v>
      </c>
      <c r="H1041" s="76" t="s">
        <v>654</v>
      </c>
      <c r="I1041" s="51"/>
      <c r="J1041" s="52" t="s">
        <v>708</v>
      </c>
      <c r="K1041" s="117">
        <f>ROUND(Tableau13[[#This Row],[LEN]]*7.27,0)</f>
        <v>124</v>
      </c>
      <c r="L1041" s="117">
        <v>15</v>
      </c>
      <c r="M1041" s="134" t="str">
        <f t="shared" si="7"/>
        <v>none</v>
      </c>
      <c r="N1041" s="117">
        <f>LEN(Tableau13[[#This Row],[LABEL]])</f>
        <v>17</v>
      </c>
      <c r="O1041" s="117">
        <v>15</v>
      </c>
      <c r="P1041" s="117" t="e">
        <f>ROUND(Tableau13[[#This Row],[LEN]]*#REF!+#REF!,0)</f>
        <v>#REF!</v>
      </c>
    </row>
    <row r="1042" spans="1:16" s="97" customFormat="1" x14ac:dyDescent="0.25">
      <c r="A1042" s="49" t="s">
        <v>1858</v>
      </c>
      <c r="B1042" s="50" t="s">
        <v>319</v>
      </c>
      <c r="C1042" s="51" t="s">
        <v>1772</v>
      </c>
      <c r="D1042" s="76" t="s">
        <v>28</v>
      </c>
      <c r="E1042" s="51" t="s">
        <v>675</v>
      </c>
      <c r="F1042" s="51" t="s">
        <v>679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ROUND(Tableau13[[#This Row],[LEN]]*7.27,0)</f>
        <v>182</v>
      </c>
      <c r="L1042" s="117">
        <v>15</v>
      </c>
      <c r="M1042" s="134" t="str">
        <f t="shared" si="7"/>
        <v>none</v>
      </c>
      <c r="N1042" s="117">
        <f>LEN(Tableau13[[#This Row],[LABEL]])</f>
        <v>25</v>
      </c>
      <c r="O1042" s="117">
        <v>15</v>
      </c>
      <c r="P1042" s="117" t="e">
        <f>ROUND(Tableau13[[#This Row],[LEN]]*#REF!+#REF!,0)</f>
        <v>#REF!</v>
      </c>
    </row>
    <row r="1043" spans="1:16" s="97" customFormat="1" x14ac:dyDescent="0.25">
      <c r="A1043" s="53" t="s">
        <v>1864</v>
      </c>
      <c r="B1043" s="54" t="s">
        <v>1858</v>
      </c>
      <c r="C1043" s="55" t="s">
        <v>1467</v>
      </c>
      <c r="D1043" s="77" t="s">
        <v>28</v>
      </c>
      <c r="E1043" s="55" t="s">
        <v>675</v>
      </c>
      <c r="F1043" s="55" t="s">
        <v>679</v>
      </c>
      <c r="G1043" s="77" t="s">
        <v>169</v>
      </c>
      <c r="H1043" s="77" t="s">
        <v>654</v>
      </c>
      <c r="I1043" s="55"/>
      <c r="J1043" s="56" t="s">
        <v>708</v>
      </c>
      <c r="K1043" s="118">
        <f>ROUND(Tableau13[[#This Row],[LEN]]*7.27,0)</f>
        <v>102</v>
      </c>
      <c r="L1043" s="118">
        <v>15</v>
      </c>
      <c r="M1043" s="135" t="str">
        <f t="shared" si="7"/>
        <v>none</v>
      </c>
      <c r="N1043" s="118">
        <f>LEN(Tableau13[[#This Row],[LABEL]])</f>
        <v>14</v>
      </c>
      <c r="O1043" s="118">
        <v>15</v>
      </c>
      <c r="P1043" s="118" t="e">
        <f>ROUND(Tableau13[[#This Row],[LEN]]*#REF!+#REF!,0)</f>
        <v>#REF!</v>
      </c>
    </row>
    <row r="1044" spans="1:16" s="97" customFormat="1" x14ac:dyDescent="0.25">
      <c r="A1044" s="53" t="s">
        <v>1865</v>
      </c>
      <c r="B1044" s="54" t="s">
        <v>1858</v>
      </c>
      <c r="C1044" s="55" t="s">
        <v>1769</v>
      </c>
      <c r="D1044" s="77" t="s">
        <v>28</v>
      </c>
      <c r="E1044" s="55" t="s">
        <v>675</v>
      </c>
      <c r="F1044" s="55" t="s">
        <v>679</v>
      </c>
      <c r="G1044" s="77" t="s">
        <v>169</v>
      </c>
      <c r="H1044" s="77" t="s">
        <v>654</v>
      </c>
      <c r="I1044" s="55"/>
      <c r="J1044" s="56" t="s">
        <v>708</v>
      </c>
      <c r="K1044" s="118">
        <f>ROUND(Tableau13[[#This Row],[LEN]]*7.27,0)</f>
        <v>211</v>
      </c>
      <c r="L1044" s="118">
        <v>15</v>
      </c>
      <c r="M1044" s="135" t="str">
        <f t="shared" si="7"/>
        <v>none</v>
      </c>
      <c r="N1044" s="118">
        <f>LEN(Tableau13[[#This Row],[LABEL]])</f>
        <v>29</v>
      </c>
      <c r="O1044" s="118">
        <v>15</v>
      </c>
      <c r="P1044" s="118" t="e">
        <f>ROUND(Tableau13[[#This Row],[LEN]]*#REF!+#REF!,0)</f>
        <v>#REF!</v>
      </c>
    </row>
    <row r="1045" spans="1:16" s="97" customFormat="1" x14ac:dyDescent="0.25">
      <c r="A1045" s="53" t="s">
        <v>1866</v>
      </c>
      <c r="B1045" s="54" t="s">
        <v>1858</v>
      </c>
      <c r="C1045" s="55" t="s">
        <v>1468</v>
      </c>
      <c r="D1045" s="77" t="s">
        <v>28</v>
      </c>
      <c r="E1045" s="55" t="s">
        <v>675</v>
      </c>
      <c r="F1045" s="55" t="s">
        <v>679</v>
      </c>
      <c r="G1045" s="77" t="s">
        <v>169</v>
      </c>
      <c r="H1045" s="77" t="s">
        <v>654</v>
      </c>
      <c r="I1045" s="55"/>
      <c r="J1045" s="56" t="s">
        <v>708</v>
      </c>
      <c r="K1045" s="118">
        <f>ROUND(Tableau13[[#This Row],[LEN]]*7.27,0)</f>
        <v>167</v>
      </c>
      <c r="L1045" s="118">
        <v>15</v>
      </c>
      <c r="M1045" s="135" t="str">
        <f t="shared" si="7"/>
        <v>none</v>
      </c>
      <c r="N1045" s="118">
        <f>LEN(Tableau13[[#This Row],[LABEL]])</f>
        <v>23</v>
      </c>
      <c r="O1045" s="118">
        <v>15</v>
      </c>
      <c r="P1045" s="118" t="e">
        <f>ROUND(Tableau13[[#This Row],[LEN]]*#REF!+#REF!,0)</f>
        <v>#REF!</v>
      </c>
    </row>
    <row r="1046" spans="1:16" s="97" customFormat="1" x14ac:dyDescent="0.25">
      <c r="A1046" s="49" t="s">
        <v>1859</v>
      </c>
      <c r="B1046" s="50" t="s">
        <v>319</v>
      </c>
      <c r="C1046" s="51" t="s">
        <v>1824</v>
      </c>
      <c r="D1046" s="76" t="s">
        <v>28</v>
      </c>
      <c r="E1046" s="51" t="s">
        <v>677</v>
      </c>
      <c r="F1046" s="51" t="s">
        <v>1842</v>
      </c>
      <c r="G1046" s="76" t="s">
        <v>169</v>
      </c>
      <c r="H1046" s="76" t="s">
        <v>570</v>
      </c>
      <c r="I1046" s="51"/>
      <c r="J1046" s="52" t="s">
        <v>708</v>
      </c>
      <c r="K1046" s="117">
        <f>ROUND(Tableau13[[#This Row],[LEN]]*7.27,0)</f>
        <v>95</v>
      </c>
      <c r="L1046" s="117">
        <v>15</v>
      </c>
      <c r="M1046" s="134" t="str">
        <f t="shared" si="7"/>
        <v>none</v>
      </c>
      <c r="N1046" s="117">
        <f>LEN(Tableau13[[#This Row],[LABEL]])</f>
        <v>13</v>
      </c>
      <c r="O1046" s="117">
        <v>15</v>
      </c>
      <c r="P1046" s="117" t="e">
        <f>ROUND(Tableau13[[#This Row],[LEN]]*#REF!+#REF!,0)</f>
        <v>#REF!</v>
      </c>
    </row>
    <row r="1047" spans="1:16" s="97" customFormat="1" x14ac:dyDescent="0.25">
      <c r="A1047" s="49" t="s">
        <v>1860</v>
      </c>
      <c r="B1047" s="50" t="s">
        <v>319</v>
      </c>
      <c r="C1047" s="51" t="s">
        <v>1867</v>
      </c>
      <c r="D1047" s="76" t="s">
        <v>28</v>
      </c>
      <c r="E1047" s="51" t="s">
        <v>679</v>
      </c>
      <c r="F1047" s="51" t="s">
        <v>1177</v>
      </c>
      <c r="G1047" s="76" t="s">
        <v>169</v>
      </c>
      <c r="H1047" s="76" t="s">
        <v>570</v>
      </c>
      <c r="I1047" s="51"/>
      <c r="J1047" s="52" t="s">
        <v>708</v>
      </c>
      <c r="K1047" s="117">
        <f>ROUND(Tableau13[[#This Row],[LEN]]*7.27,0)</f>
        <v>313</v>
      </c>
      <c r="L1047" s="117">
        <v>15</v>
      </c>
      <c r="M1047" s="134" t="str">
        <f t="shared" si="7"/>
        <v>none</v>
      </c>
      <c r="N1047" s="117">
        <f>LEN(Tableau13[[#This Row],[LABEL]])</f>
        <v>43</v>
      </c>
      <c r="O1047" s="117">
        <v>15</v>
      </c>
      <c r="P1047" s="117" t="e">
        <f>ROUND(Tableau13[[#This Row],[LEN]]*#REF!+#REF!,0)</f>
        <v>#REF!</v>
      </c>
    </row>
    <row r="1048" spans="1:16" s="97" customFormat="1" ht="15.75" thickBot="1" x14ac:dyDescent="0.3">
      <c r="A1048" s="49" t="s">
        <v>1861</v>
      </c>
      <c r="B1048" s="50" t="s">
        <v>319</v>
      </c>
      <c r="C1048" s="51" t="s">
        <v>1868</v>
      </c>
      <c r="D1048" s="76" t="s">
        <v>28</v>
      </c>
      <c r="E1048" s="51" t="s">
        <v>679</v>
      </c>
      <c r="F1048" s="51" t="s">
        <v>1177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ROUND(Tableau13[[#This Row],[LEN]]*7.27,0)</f>
        <v>189</v>
      </c>
      <c r="L1048" s="117">
        <v>15</v>
      </c>
      <c r="M1048" s="134" t="str">
        <f t="shared" si="7"/>
        <v>none</v>
      </c>
      <c r="N1048" s="117">
        <f>LEN(Tableau13[[#This Row],[LABEL]])</f>
        <v>26</v>
      </c>
      <c r="O1048" s="117">
        <v>15</v>
      </c>
      <c r="P1048" s="117" t="e">
        <f>ROUND(Tableau13[[#This Row],[LEN]]*#REF!+#REF!,0)</f>
        <v>#REF!</v>
      </c>
    </row>
    <row r="1049" spans="1:16" s="92" customFormat="1" ht="16.5" thickTop="1" thickBot="1" x14ac:dyDescent="0.3">
      <c r="A1049" s="198" t="s">
        <v>210</v>
      </c>
      <c r="B1049" s="198" t="s">
        <v>203</v>
      </c>
      <c r="C1049" s="199" t="s">
        <v>178</v>
      </c>
      <c r="D1049" s="200" t="s">
        <v>474</v>
      </c>
      <c r="E1049" s="199" t="s">
        <v>58</v>
      </c>
      <c r="F1049" s="200" t="s">
        <v>665</v>
      </c>
      <c r="G1049" s="199" t="s">
        <v>170</v>
      </c>
      <c r="H1049" s="199" t="s">
        <v>616</v>
      </c>
      <c r="I1049" s="200"/>
      <c r="J1049" s="201" t="s">
        <v>708</v>
      </c>
      <c r="K1049" s="202">
        <f>ROUND(Tableau13[[#This Row],[LEN]]*7.27,0)</f>
        <v>102</v>
      </c>
      <c r="L1049" s="202">
        <v>15</v>
      </c>
      <c r="M1049" s="203" t="str">
        <f t="shared" si="7"/>
        <v>none</v>
      </c>
      <c r="N1049" s="202">
        <f>LEN(Tableau13[[#This Row],[LABEL]])</f>
        <v>14</v>
      </c>
      <c r="O1049" s="204">
        <v>15</v>
      </c>
      <c r="P1049" s="204" t="e">
        <f>ROUND(Tableau13[[#This Row],[LEN]]*#REF!+#REF!,0)</f>
        <v>#REF!</v>
      </c>
    </row>
    <row r="1050" spans="1:16" s="273" customFormat="1" ht="15.75" thickTop="1" x14ac:dyDescent="0.25">
      <c r="A1050" s="365" t="s">
        <v>320</v>
      </c>
      <c r="B1050" s="366" t="s">
        <v>210</v>
      </c>
      <c r="C1050" s="367" t="s">
        <v>1</v>
      </c>
      <c r="D1050" s="368" t="s">
        <v>28</v>
      </c>
      <c r="E1050" s="367" t="s">
        <v>664</v>
      </c>
      <c r="F1050" s="367" t="s">
        <v>664</v>
      </c>
      <c r="G1050" s="368" t="s">
        <v>170</v>
      </c>
      <c r="H1050" s="368" t="str">
        <f>IFERROR(IF(SEARCH(".00.00.00.00.00",Tableau13[[#This Row],[name]],1)=7,"Division",""),"")</f>
        <v>Division</v>
      </c>
      <c r="I1050" s="367"/>
      <c r="J1050" s="369" t="s">
        <v>708</v>
      </c>
      <c r="K1050" s="370">
        <f>ROUND(Tableau13[[#This Row],[LEN]]*7.27,0)</f>
        <v>182</v>
      </c>
      <c r="L1050" s="370">
        <v>15</v>
      </c>
      <c r="M1050" s="371" t="str">
        <f t="shared" si="7"/>
        <v>none</v>
      </c>
      <c r="N1050" s="370">
        <f>LEN(Tableau13[[#This Row],[LABEL]])</f>
        <v>25</v>
      </c>
      <c r="O1050" s="370">
        <v>15</v>
      </c>
      <c r="P1050" s="370" t="e">
        <f>ROUND(Tableau13[[#This Row],[LEN]]*#REF!+#REF!,0)</f>
        <v>#REF!</v>
      </c>
    </row>
    <row r="1051" spans="1:16" s="273" customFormat="1" x14ac:dyDescent="0.25">
      <c r="A1051" s="372" t="s">
        <v>321</v>
      </c>
      <c r="B1051" s="373" t="s">
        <v>210</v>
      </c>
      <c r="C1051" s="374" t="s">
        <v>57</v>
      </c>
      <c r="D1051" s="375" t="s">
        <v>28</v>
      </c>
      <c r="E1051" s="374" t="s">
        <v>663</v>
      </c>
      <c r="F1051" s="374" t="s">
        <v>663</v>
      </c>
      <c r="G1051" s="375" t="s">
        <v>170</v>
      </c>
      <c r="H1051" s="375" t="str">
        <f>IFERROR(IF(SEARCH(".00.00.00.00.00",Tableau13[[#This Row],[name]],1)=7,"Division",""),"")</f>
        <v>Division</v>
      </c>
      <c r="I1051" s="374"/>
      <c r="J1051" s="376" t="s">
        <v>709</v>
      </c>
      <c r="K1051" s="377">
        <f>ROUND(Tableau13[[#This Row],[LEN]]*7.27,0)</f>
        <v>102</v>
      </c>
      <c r="L1051" s="377">
        <v>15</v>
      </c>
      <c r="M1051" s="378" t="str">
        <f t="shared" si="7"/>
        <v>new</v>
      </c>
      <c r="N1051" s="377">
        <f>LEN(Tableau13[[#This Row],[LABEL]])</f>
        <v>14</v>
      </c>
      <c r="O1051" s="377">
        <v>15</v>
      </c>
      <c r="P1051" s="377" t="e">
        <f>ROUND(Tableau13[[#This Row],[LEN]]*#REF!+#REF!,0)</f>
        <v>#REF!</v>
      </c>
    </row>
    <row r="1052" spans="1:16" s="97" customFormat="1" x14ac:dyDescent="0.25">
      <c r="A1052" s="61" t="s">
        <v>906</v>
      </c>
      <c r="B1052" s="62" t="s">
        <v>321</v>
      </c>
      <c r="C1052" s="63" t="s">
        <v>1875</v>
      </c>
      <c r="D1052" s="79" t="s">
        <v>28</v>
      </c>
      <c r="E1052" s="63" t="s">
        <v>684</v>
      </c>
      <c r="F1052" s="63" t="s">
        <v>902</v>
      </c>
      <c r="G1052" s="79" t="s">
        <v>170</v>
      </c>
      <c r="H1052" s="79" t="s">
        <v>656</v>
      </c>
      <c r="I1052" s="63"/>
      <c r="J1052" s="64" t="s">
        <v>708</v>
      </c>
      <c r="K1052" s="120">
        <f>ROUND(Tableau13[[#This Row],[LEN]]*7.27,0)</f>
        <v>291</v>
      </c>
      <c r="L1052" s="120">
        <v>15</v>
      </c>
      <c r="M1052" s="137" t="str">
        <f t="shared" si="7"/>
        <v>none</v>
      </c>
      <c r="N1052" s="120">
        <f>LEN(Tableau13[[#This Row],[LABEL]])</f>
        <v>40</v>
      </c>
      <c r="O1052" s="120">
        <v>15</v>
      </c>
      <c r="P1052" s="120" t="e">
        <f>ROUND(Tableau13[[#This Row],[LEN]]*#REF!+#REF!,0)</f>
        <v>#REF!</v>
      </c>
    </row>
    <row r="1053" spans="1:16" s="97" customFormat="1" x14ac:dyDescent="0.25">
      <c r="A1053" s="61" t="s">
        <v>907</v>
      </c>
      <c r="B1053" s="62" t="s">
        <v>321</v>
      </c>
      <c r="C1053" s="63" t="s">
        <v>903</v>
      </c>
      <c r="D1053" s="79" t="s">
        <v>28</v>
      </c>
      <c r="E1053" s="63" t="s">
        <v>663</v>
      </c>
      <c r="F1053" s="63" t="s">
        <v>663</v>
      </c>
      <c r="G1053" s="79" t="s">
        <v>170</v>
      </c>
      <c r="H1053" s="79" t="s">
        <v>654</v>
      </c>
      <c r="I1053" s="63"/>
      <c r="J1053" s="64" t="s">
        <v>708</v>
      </c>
      <c r="K1053" s="120">
        <f>ROUND(Tableau13[[#This Row],[LEN]]*7.27,0)</f>
        <v>225</v>
      </c>
      <c r="L1053" s="120">
        <v>15</v>
      </c>
      <c r="M1053" s="137" t="str">
        <f t="shared" si="7"/>
        <v>none</v>
      </c>
      <c r="N1053" s="120">
        <f>LEN(Tableau13[[#This Row],[LABEL]])</f>
        <v>31</v>
      </c>
      <c r="O1053" s="120">
        <v>15</v>
      </c>
      <c r="P1053" s="120" t="e">
        <f>ROUND(Tableau13[[#This Row],[LEN]]*#REF!+#REF!,0)</f>
        <v>#REF!</v>
      </c>
    </row>
    <row r="1054" spans="1:16" s="97" customFormat="1" x14ac:dyDescent="0.25">
      <c r="A1054" s="61" t="s">
        <v>908</v>
      </c>
      <c r="B1054" s="62" t="s">
        <v>321</v>
      </c>
      <c r="C1054" s="63" t="s">
        <v>904</v>
      </c>
      <c r="D1054" s="79" t="s">
        <v>28</v>
      </c>
      <c r="E1054" s="63" t="s">
        <v>663</v>
      </c>
      <c r="F1054" s="63" t="s">
        <v>663</v>
      </c>
      <c r="G1054" s="79" t="s">
        <v>170</v>
      </c>
      <c r="H1054" s="79" t="s">
        <v>654</v>
      </c>
      <c r="I1054" s="63"/>
      <c r="J1054" s="64" t="s">
        <v>708</v>
      </c>
      <c r="K1054" s="120">
        <f>ROUND(Tableau13[[#This Row],[LEN]]*7.27,0)</f>
        <v>247</v>
      </c>
      <c r="L1054" s="120">
        <v>15</v>
      </c>
      <c r="M1054" s="137" t="str">
        <f t="shared" si="7"/>
        <v>none</v>
      </c>
      <c r="N1054" s="120">
        <f>LEN(Tableau13[[#This Row],[LABEL]])</f>
        <v>34</v>
      </c>
      <c r="O1054" s="120">
        <v>15</v>
      </c>
      <c r="P1054" s="120" t="e">
        <f>ROUND(Tableau13[[#This Row],[LEN]]*#REF!+#REF!,0)</f>
        <v>#REF!</v>
      </c>
    </row>
    <row r="1055" spans="1:16" s="97" customFormat="1" x14ac:dyDescent="0.25">
      <c r="A1055" s="61" t="s">
        <v>909</v>
      </c>
      <c r="B1055" s="62" t="s">
        <v>321</v>
      </c>
      <c r="C1055" s="63" t="s">
        <v>905</v>
      </c>
      <c r="D1055" s="79" t="s">
        <v>28</v>
      </c>
      <c r="E1055" s="63" t="s">
        <v>663</v>
      </c>
      <c r="F1055" s="63" t="s">
        <v>663</v>
      </c>
      <c r="G1055" s="79" t="s">
        <v>170</v>
      </c>
      <c r="H1055" s="79" t="s">
        <v>654</v>
      </c>
      <c r="I1055" s="63"/>
      <c r="J1055" s="64" t="s">
        <v>708</v>
      </c>
      <c r="K1055" s="120">
        <f>ROUND(Tableau13[[#This Row],[LEN]]*7.27,0)</f>
        <v>124</v>
      </c>
      <c r="L1055" s="120">
        <v>15</v>
      </c>
      <c r="M1055" s="137" t="str">
        <f t="shared" si="7"/>
        <v>none</v>
      </c>
      <c r="N1055" s="120">
        <f>LEN(Tableau13[[#This Row],[LABEL]])</f>
        <v>17</v>
      </c>
      <c r="O1055" s="120">
        <v>15</v>
      </c>
      <c r="P1055" s="120" t="e">
        <f>ROUND(Tableau13[[#This Row],[LEN]]*#REF!+#REF!,0)</f>
        <v>#REF!</v>
      </c>
    </row>
    <row r="1056" spans="1:16" s="97" customFormat="1" x14ac:dyDescent="0.25">
      <c r="A1056" s="61" t="s">
        <v>910</v>
      </c>
      <c r="B1056" s="62" t="s">
        <v>321</v>
      </c>
      <c r="C1056" s="63" t="s">
        <v>602</v>
      </c>
      <c r="D1056" s="79" t="s">
        <v>28</v>
      </c>
      <c r="E1056" s="63" t="s">
        <v>661</v>
      </c>
      <c r="F1056" s="63" t="s">
        <v>1874</v>
      </c>
      <c r="G1056" s="79" t="s">
        <v>170</v>
      </c>
      <c r="H1056" s="79" t="s">
        <v>656</v>
      </c>
      <c r="I1056" s="63"/>
      <c r="J1056" s="64" t="s">
        <v>708</v>
      </c>
      <c r="K1056" s="120">
        <f>ROUND(Tableau13[[#This Row],[LEN]]*7.27,0)</f>
        <v>553</v>
      </c>
      <c r="L1056" s="120">
        <v>15</v>
      </c>
      <c r="M1056" s="137" t="str">
        <f t="shared" si="7"/>
        <v>none</v>
      </c>
      <c r="N1056" s="120">
        <f>LEN(Tableau13[[#This Row],[LABEL]])</f>
        <v>76</v>
      </c>
      <c r="O1056" s="120">
        <v>15</v>
      </c>
      <c r="P1056" s="120" t="e">
        <f>ROUND(Tableau13[[#This Row],[LEN]]*#REF!+#REF!,0)</f>
        <v>#REF!</v>
      </c>
    </row>
    <row r="1057" spans="1:16" s="97" customFormat="1" x14ac:dyDescent="0.25">
      <c r="A1057" s="61" t="s">
        <v>911</v>
      </c>
      <c r="B1057" s="62" t="s">
        <v>321</v>
      </c>
      <c r="C1057" s="63" t="s">
        <v>50</v>
      </c>
      <c r="D1057" s="79" t="s">
        <v>28</v>
      </c>
      <c r="E1057" s="63" t="s">
        <v>1177</v>
      </c>
      <c r="F1057" s="63" t="s">
        <v>1084</v>
      </c>
      <c r="G1057" s="79" t="s">
        <v>170</v>
      </c>
      <c r="H1057" s="79" t="s">
        <v>1131</v>
      </c>
      <c r="I1057" s="63"/>
      <c r="J1057" s="64" t="s">
        <v>708</v>
      </c>
      <c r="K1057" s="120">
        <f>ROUND(Tableau13[[#This Row],[LEN]]*7.27,0)</f>
        <v>87</v>
      </c>
      <c r="L1057" s="120">
        <v>15</v>
      </c>
      <c r="M1057" s="137" t="str">
        <f t="shared" si="7"/>
        <v>none</v>
      </c>
      <c r="N1057" s="120">
        <f>LEN(Tableau13[[#This Row],[LABEL]])</f>
        <v>12</v>
      </c>
      <c r="O1057" s="120">
        <v>15</v>
      </c>
      <c r="P1057" s="120" t="e">
        <f>ROUND(Tableau13[[#This Row],[LEN]]*#REF!+#REF!,0)</f>
        <v>#REF!</v>
      </c>
    </row>
    <row r="1058" spans="1:16" s="97" customFormat="1" x14ac:dyDescent="0.25">
      <c r="A1058" s="61" t="s">
        <v>912</v>
      </c>
      <c r="B1058" s="62" t="s">
        <v>321</v>
      </c>
      <c r="C1058" s="63" t="s">
        <v>603</v>
      </c>
      <c r="D1058" s="79" t="s">
        <v>28</v>
      </c>
      <c r="E1058" s="63" t="s">
        <v>1177</v>
      </c>
      <c r="F1058" s="63" t="s">
        <v>1084</v>
      </c>
      <c r="G1058" s="79" t="s">
        <v>170</v>
      </c>
      <c r="H1058" s="79" t="s">
        <v>1131</v>
      </c>
      <c r="I1058" s="63"/>
      <c r="J1058" s="64" t="s">
        <v>708</v>
      </c>
      <c r="K1058" s="120">
        <f>ROUND(Tableau13[[#This Row],[LEN]]*7.27,0)</f>
        <v>247</v>
      </c>
      <c r="L1058" s="120">
        <v>15</v>
      </c>
      <c r="M1058" s="137" t="str">
        <f t="shared" si="7"/>
        <v>none</v>
      </c>
      <c r="N1058" s="120">
        <f>LEN(Tableau13[[#This Row],[LABEL]])</f>
        <v>34</v>
      </c>
      <c r="O1058" s="120">
        <v>15</v>
      </c>
      <c r="P1058" s="120" t="e">
        <f>ROUND(Tableau13[[#This Row],[LEN]]*#REF!+#REF!,0)</f>
        <v>#REF!</v>
      </c>
    </row>
    <row r="1059" spans="1:16" s="273" customFormat="1" x14ac:dyDescent="0.25">
      <c r="A1059" s="372" t="s">
        <v>322</v>
      </c>
      <c r="B1059" s="373" t="s">
        <v>210</v>
      </c>
      <c r="C1059" s="374" t="s">
        <v>2</v>
      </c>
      <c r="D1059" s="375" t="s">
        <v>28</v>
      </c>
      <c r="E1059" s="374" t="s">
        <v>662</v>
      </c>
      <c r="F1059" s="374" t="s">
        <v>662</v>
      </c>
      <c r="G1059" s="375" t="s">
        <v>170</v>
      </c>
      <c r="H1059" s="375" t="str">
        <f>IFERROR(IF(SEARCH(".00.00.00.00.00",Tableau13[[#This Row],[name]],1)=7,"Division",""),"")</f>
        <v>Division</v>
      </c>
      <c r="I1059" s="374"/>
      <c r="J1059" s="376" t="s">
        <v>710</v>
      </c>
      <c r="K1059" s="377">
        <f>ROUND(Tableau13[[#This Row],[LEN]]*7.27,0)</f>
        <v>65</v>
      </c>
      <c r="L1059" s="377">
        <v>15</v>
      </c>
      <c r="M1059" s="378" t="str">
        <f t="shared" si="7"/>
        <v>new</v>
      </c>
      <c r="N1059" s="377">
        <f>LEN(Tableau13[[#This Row],[LABEL]])</f>
        <v>9</v>
      </c>
      <c r="O1059" s="377">
        <v>15</v>
      </c>
      <c r="P1059" s="377" t="e">
        <f>ROUND(Tableau13[[#This Row],[LEN]]*#REF!+#REF!,0)</f>
        <v>#REF!</v>
      </c>
    </row>
    <row r="1060" spans="1:16" s="273" customFormat="1" x14ac:dyDescent="0.25">
      <c r="A1060" s="372" t="s">
        <v>323</v>
      </c>
      <c r="B1060" s="373" t="s">
        <v>210</v>
      </c>
      <c r="C1060" s="374" t="s">
        <v>3</v>
      </c>
      <c r="D1060" s="375" t="s">
        <v>28</v>
      </c>
      <c r="E1060" s="374" t="s">
        <v>661</v>
      </c>
      <c r="F1060" s="374" t="s">
        <v>661</v>
      </c>
      <c r="G1060" s="375" t="s">
        <v>170</v>
      </c>
      <c r="H1060" s="375" t="str">
        <f>IFERROR(IF(SEARCH(".00.00.00.00.00",Tableau13[[#This Row],[name]],1)=7,"Division",""),"")</f>
        <v>Division</v>
      </c>
      <c r="I1060" s="374"/>
      <c r="J1060" s="376" t="s">
        <v>711</v>
      </c>
      <c r="K1060" s="377">
        <f>ROUND(Tableau13[[#This Row],[LEN]]*7.27,0)</f>
        <v>73</v>
      </c>
      <c r="L1060" s="377">
        <v>15</v>
      </c>
      <c r="M1060" s="378" t="str">
        <f t="shared" si="7"/>
        <v>new</v>
      </c>
      <c r="N1060" s="377">
        <f>LEN(Tableau13[[#This Row],[LABEL]])</f>
        <v>10</v>
      </c>
      <c r="O1060" s="377">
        <v>15</v>
      </c>
      <c r="P1060" s="377" t="e">
        <f>ROUND(Tableau13[[#This Row],[LEN]]*#REF!+#REF!,0)</f>
        <v>#REF!</v>
      </c>
    </row>
    <row r="1061" spans="1:16" s="97" customFormat="1" x14ac:dyDescent="0.25">
      <c r="A1061" s="61" t="s">
        <v>604</v>
      </c>
      <c r="B1061" s="62" t="s">
        <v>323</v>
      </c>
      <c r="C1061" s="63" t="s">
        <v>1875</v>
      </c>
      <c r="D1061" s="79" t="s">
        <v>28</v>
      </c>
      <c r="E1061" s="63" t="s">
        <v>684</v>
      </c>
      <c r="F1061" s="63" t="s">
        <v>902</v>
      </c>
      <c r="G1061" s="79" t="s">
        <v>170</v>
      </c>
      <c r="H1061" s="79" t="s">
        <v>656</v>
      </c>
      <c r="I1061" s="63"/>
      <c r="J1061" s="64" t="s">
        <v>708</v>
      </c>
      <c r="K1061" s="120">
        <f>ROUND(Tableau13[[#This Row],[LEN]]*7.27,0)</f>
        <v>291</v>
      </c>
      <c r="L1061" s="120">
        <v>15</v>
      </c>
      <c r="M1061" s="137" t="str">
        <f t="shared" si="7"/>
        <v>none</v>
      </c>
      <c r="N1061" s="120">
        <f>LEN(Tableau13[[#This Row],[LABEL]])</f>
        <v>40</v>
      </c>
      <c r="O1061" s="120">
        <v>15</v>
      </c>
      <c r="P1061" s="120" t="e">
        <f>ROUND(Tableau13[[#This Row],[LEN]]*#REF!+#REF!,0)</f>
        <v>#REF!</v>
      </c>
    </row>
    <row r="1062" spans="1:16" s="97" customFormat="1" x14ac:dyDescent="0.25">
      <c r="A1062" s="61" t="s">
        <v>605</v>
      </c>
      <c r="B1062" s="62" t="s">
        <v>323</v>
      </c>
      <c r="C1062" s="63" t="s">
        <v>135</v>
      </c>
      <c r="D1062" s="79" t="s">
        <v>28</v>
      </c>
      <c r="E1062" s="63" t="s">
        <v>665</v>
      </c>
      <c r="F1062" s="63" t="s">
        <v>661</v>
      </c>
      <c r="G1062" s="79" t="s">
        <v>170</v>
      </c>
      <c r="H1062" s="79" t="s">
        <v>18</v>
      </c>
      <c r="I1062" s="63"/>
      <c r="J1062" s="64" t="s">
        <v>708</v>
      </c>
      <c r="K1062" s="120">
        <f>ROUND(Tableau13[[#This Row],[LEN]]*7.27,0)</f>
        <v>211</v>
      </c>
      <c r="L1062" s="120">
        <v>15</v>
      </c>
      <c r="M1062" s="137" t="str">
        <f t="shared" si="7"/>
        <v>none</v>
      </c>
      <c r="N1062" s="120">
        <f>LEN(Tableau13[[#This Row],[LABEL]])</f>
        <v>29</v>
      </c>
      <c r="O1062" s="120">
        <v>15</v>
      </c>
      <c r="P1062" s="120" t="e">
        <f>ROUND(Tableau13[[#This Row],[LEN]]*#REF!+#REF!,0)</f>
        <v>#REF!</v>
      </c>
    </row>
    <row r="1063" spans="1:16" s="97" customFormat="1" x14ac:dyDescent="0.25">
      <c r="A1063" s="61" t="s">
        <v>606</v>
      </c>
      <c r="B1063" s="62" t="s">
        <v>323</v>
      </c>
      <c r="C1063" s="63" t="s">
        <v>602</v>
      </c>
      <c r="D1063" s="79" t="s">
        <v>28</v>
      </c>
      <c r="E1063" s="63" t="s">
        <v>661</v>
      </c>
      <c r="F1063" s="63" t="s">
        <v>1874</v>
      </c>
      <c r="G1063" s="79" t="s">
        <v>170</v>
      </c>
      <c r="H1063" s="79" t="s">
        <v>656</v>
      </c>
      <c r="I1063" s="63"/>
      <c r="J1063" s="64" t="s">
        <v>708</v>
      </c>
      <c r="K1063" s="120">
        <f>ROUND(Tableau13[[#This Row],[LEN]]*7.27,0)</f>
        <v>553</v>
      </c>
      <c r="L1063" s="120">
        <v>15</v>
      </c>
      <c r="M1063" s="137" t="str">
        <f t="shared" si="7"/>
        <v>none</v>
      </c>
      <c r="N1063" s="120">
        <f>LEN(Tableau13[[#This Row],[LABEL]])</f>
        <v>76</v>
      </c>
      <c r="O1063" s="120">
        <v>15</v>
      </c>
      <c r="P1063" s="120" t="e">
        <f>ROUND(Tableau13[[#This Row],[LEN]]*#REF!+#REF!,0)</f>
        <v>#REF!</v>
      </c>
    </row>
    <row r="1064" spans="1:16" s="97" customFormat="1" x14ac:dyDescent="0.25">
      <c r="A1064" s="61" t="s">
        <v>607</v>
      </c>
      <c r="B1064" s="62" t="s">
        <v>323</v>
      </c>
      <c r="C1064" s="63" t="s">
        <v>50</v>
      </c>
      <c r="D1064" s="79" t="s">
        <v>28</v>
      </c>
      <c r="E1064" s="63" t="s">
        <v>1177</v>
      </c>
      <c r="F1064" s="63" t="s">
        <v>1084</v>
      </c>
      <c r="G1064" s="79" t="s">
        <v>170</v>
      </c>
      <c r="H1064" s="79" t="s">
        <v>1131</v>
      </c>
      <c r="I1064" s="63"/>
      <c r="J1064" s="64" t="s">
        <v>708</v>
      </c>
      <c r="K1064" s="120">
        <f>ROUND(Tableau13[[#This Row],[LEN]]*7.27,0)</f>
        <v>87</v>
      </c>
      <c r="L1064" s="120">
        <v>15</v>
      </c>
      <c r="M1064" s="137" t="str">
        <f t="shared" si="7"/>
        <v>none</v>
      </c>
      <c r="N1064" s="120">
        <f>LEN(Tableau13[[#This Row],[LABEL]])</f>
        <v>12</v>
      </c>
      <c r="O1064" s="120">
        <v>15</v>
      </c>
      <c r="P1064" s="120" t="e">
        <f>ROUND(Tableau13[[#This Row],[LEN]]*#REF!+#REF!,0)</f>
        <v>#REF!</v>
      </c>
    </row>
    <row r="1065" spans="1:16" s="97" customFormat="1" x14ac:dyDescent="0.25">
      <c r="A1065" s="61" t="s">
        <v>608</v>
      </c>
      <c r="B1065" s="62" t="s">
        <v>323</v>
      </c>
      <c r="C1065" s="63" t="s">
        <v>603</v>
      </c>
      <c r="D1065" s="79" t="s">
        <v>28</v>
      </c>
      <c r="E1065" s="63" t="s">
        <v>1177</v>
      </c>
      <c r="F1065" s="63" t="s">
        <v>1084</v>
      </c>
      <c r="G1065" s="79" t="s">
        <v>170</v>
      </c>
      <c r="H1065" s="79" t="s">
        <v>1131</v>
      </c>
      <c r="I1065" s="63"/>
      <c r="J1065" s="64" t="s">
        <v>708</v>
      </c>
      <c r="K1065" s="120">
        <f>ROUND(Tableau13[[#This Row],[LEN]]*7.27,0)</f>
        <v>247</v>
      </c>
      <c r="L1065" s="120">
        <v>15</v>
      </c>
      <c r="M1065" s="137" t="str">
        <f t="shared" si="7"/>
        <v>none</v>
      </c>
      <c r="N1065" s="120">
        <f>LEN(Tableau13[[#This Row],[LABEL]])</f>
        <v>34</v>
      </c>
      <c r="O1065" s="120">
        <v>15</v>
      </c>
      <c r="P1065" s="120" t="e">
        <f>ROUND(Tableau13[[#This Row],[LEN]]*#REF!+#REF!,0)</f>
        <v>#REF!</v>
      </c>
    </row>
    <row r="1066" spans="1:16" s="273" customFormat="1" x14ac:dyDescent="0.25">
      <c r="A1066" s="372" t="s">
        <v>324</v>
      </c>
      <c r="B1066" s="373" t="s">
        <v>210</v>
      </c>
      <c r="C1066" s="374" t="s">
        <v>4</v>
      </c>
      <c r="D1066" s="375" t="s">
        <v>28</v>
      </c>
      <c r="E1066" s="374" t="s">
        <v>666</v>
      </c>
      <c r="F1066" s="374" t="s">
        <v>666</v>
      </c>
      <c r="G1066" s="375" t="s">
        <v>170</v>
      </c>
      <c r="H1066" s="375" t="str">
        <f>IFERROR(IF(SEARCH(".00.00.00.00.00",Tableau13[[#This Row],[name]],1)=7,"Division",""),"")</f>
        <v>Division</v>
      </c>
      <c r="I1066" s="374"/>
      <c r="J1066" s="376" t="s">
        <v>712</v>
      </c>
      <c r="K1066" s="377">
        <f>ROUND(Tableau13[[#This Row],[LEN]]*7.27,0)</f>
        <v>36</v>
      </c>
      <c r="L1066" s="377">
        <v>15</v>
      </c>
      <c r="M1066" s="378" t="str">
        <f t="shared" si="7"/>
        <v>new</v>
      </c>
      <c r="N1066" s="377">
        <f>LEN(Tableau13[[#This Row],[LABEL]])</f>
        <v>5</v>
      </c>
      <c r="O1066" s="377">
        <v>15</v>
      </c>
      <c r="P1066" s="377" t="e">
        <f>ROUND(Tableau13[[#This Row],[LEN]]*#REF!+#REF!,0)</f>
        <v>#REF!</v>
      </c>
    </row>
    <row r="1067" spans="1:16" s="97" customFormat="1" x14ac:dyDescent="0.25">
      <c r="A1067" s="61" t="s">
        <v>1869</v>
      </c>
      <c r="B1067" s="62" t="s">
        <v>324</v>
      </c>
      <c r="C1067" s="63" t="s">
        <v>1876</v>
      </c>
      <c r="D1067" s="79" t="s">
        <v>28</v>
      </c>
      <c r="E1067" s="63" t="s">
        <v>666</v>
      </c>
      <c r="F1067" s="63" t="s">
        <v>1177</v>
      </c>
      <c r="G1067" s="79" t="s">
        <v>170</v>
      </c>
      <c r="H1067" s="79" t="s">
        <v>654</v>
      </c>
      <c r="I1067" s="63"/>
      <c r="J1067" s="64" t="s">
        <v>708</v>
      </c>
      <c r="K1067" s="120">
        <f>ROUND(Tableau13[[#This Row],[LEN]]*7.27,0)</f>
        <v>342</v>
      </c>
      <c r="L1067" s="120">
        <v>15</v>
      </c>
      <c r="M1067" s="137" t="str">
        <f t="shared" si="7"/>
        <v>none</v>
      </c>
      <c r="N1067" s="120">
        <f>LEN(Tableau13[[#This Row],[LABEL]])</f>
        <v>47</v>
      </c>
      <c r="O1067" s="120">
        <v>15</v>
      </c>
      <c r="P1067" s="120" t="e">
        <f>ROUND(Tableau13[[#This Row],[LEN]]*#REF!+#REF!,0)</f>
        <v>#REF!</v>
      </c>
    </row>
    <row r="1068" spans="1:16" s="97" customFormat="1" x14ac:dyDescent="0.25">
      <c r="A1068" s="61" t="s">
        <v>1870</v>
      </c>
      <c r="B1068" s="62" t="s">
        <v>324</v>
      </c>
      <c r="C1068" s="63" t="s">
        <v>1875</v>
      </c>
      <c r="D1068" s="79" t="s">
        <v>28</v>
      </c>
      <c r="E1068" s="63" t="s">
        <v>684</v>
      </c>
      <c r="F1068" s="63" t="s">
        <v>902</v>
      </c>
      <c r="G1068" s="79" t="s">
        <v>170</v>
      </c>
      <c r="H1068" s="79" t="s">
        <v>656</v>
      </c>
      <c r="I1068" s="63"/>
      <c r="J1068" s="64" t="s">
        <v>708</v>
      </c>
      <c r="K1068" s="120">
        <f>ROUND(Tableau13[[#This Row],[LEN]]*7.27,0)</f>
        <v>291</v>
      </c>
      <c r="L1068" s="120">
        <v>15</v>
      </c>
      <c r="M1068" s="137" t="str">
        <f t="shared" si="7"/>
        <v>none</v>
      </c>
      <c r="N1068" s="120">
        <f>LEN(Tableau13[[#This Row],[LABEL]])</f>
        <v>40</v>
      </c>
      <c r="O1068" s="120">
        <v>15</v>
      </c>
      <c r="P1068" s="120" t="e">
        <f>ROUND(Tableau13[[#This Row],[LEN]]*#REF!+#REF!,0)</f>
        <v>#REF!</v>
      </c>
    </row>
    <row r="1069" spans="1:16" s="97" customFormat="1" x14ac:dyDescent="0.25">
      <c r="A1069" s="61" t="s">
        <v>1871</v>
      </c>
      <c r="B1069" s="62" t="s">
        <v>324</v>
      </c>
      <c r="C1069" s="63" t="s">
        <v>602</v>
      </c>
      <c r="D1069" s="79" t="s">
        <v>28</v>
      </c>
      <c r="E1069" s="63" t="s">
        <v>661</v>
      </c>
      <c r="F1069" s="63" t="s">
        <v>1874</v>
      </c>
      <c r="G1069" s="79" t="s">
        <v>170</v>
      </c>
      <c r="H1069" s="79" t="s">
        <v>656</v>
      </c>
      <c r="I1069" s="63"/>
      <c r="J1069" s="64" t="s">
        <v>708</v>
      </c>
      <c r="K1069" s="120">
        <f>ROUND(Tableau13[[#This Row],[LEN]]*7.27,0)</f>
        <v>553</v>
      </c>
      <c r="L1069" s="120">
        <v>15</v>
      </c>
      <c r="M1069" s="137" t="str">
        <f t="shared" si="7"/>
        <v>none</v>
      </c>
      <c r="N1069" s="120">
        <f>LEN(Tableau13[[#This Row],[LABEL]])</f>
        <v>76</v>
      </c>
      <c r="O1069" s="120">
        <v>15</v>
      </c>
      <c r="P1069" s="120" t="e">
        <f>ROUND(Tableau13[[#This Row],[LEN]]*#REF!+#REF!,0)</f>
        <v>#REF!</v>
      </c>
    </row>
    <row r="1070" spans="1:16" s="97" customFormat="1" x14ac:dyDescent="0.25">
      <c r="A1070" s="61" t="s">
        <v>1872</v>
      </c>
      <c r="B1070" s="62" t="s">
        <v>324</v>
      </c>
      <c r="C1070" s="63" t="s">
        <v>50</v>
      </c>
      <c r="D1070" s="79" t="s">
        <v>28</v>
      </c>
      <c r="E1070" s="63" t="s">
        <v>1177</v>
      </c>
      <c r="F1070" s="63" t="s">
        <v>1084</v>
      </c>
      <c r="G1070" s="79" t="s">
        <v>170</v>
      </c>
      <c r="H1070" s="79" t="s">
        <v>1131</v>
      </c>
      <c r="I1070" s="63"/>
      <c r="J1070" s="64" t="s">
        <v>708</v>
      </c>
      <c r="K1070" s="120">
        <f>ROUND(Tableau13[[#This Row],[LEN]]*7.27,0)</f>
        <v>87</v>
      </c>
      <c r="L1070" s="120">
        <v>15</v>
      </c>
      <c r="M1070" s="137" t="str">
        <f t="shared" si="7"/>
        <v>none</v>
      </c>
      <c r="N1070" s="120">
        <f>LEN(Tableau13[[#This Row],[LABEL]])</f>
        <v>12</v>
      </c>
      <c r="O1070" s="120">
        <v>15</v>
      </c>
      <c r="P1070" s="120" t="e">
        <f>ROUND(Tableau13[[#This Row],[LEN]]*#REF!+#REF!,0)</f>
        <v>#REF!</v>
      </c>
    </row>
    <row r="1071" spans="1:16" s="97" customFormat="1" x14ac:dyDescent="0.25">
      <c r="A1071" s="61" t="s">
        <v>1873</v>
      </c>
      <c r="B1071" s="62" t="s">
        <v>324</v>
      </c>
      <c r="C1071" s="63" t="s">
        <v>603</v>
      </c>
      <c r="D1071" s="79" t="s">
        <v>28</v>
      </c>
      <c r="E1071" s="63" t="s">
        <v>1177</v>
      </c>
      <c r="F1071" s="63" t="s">
        <v>1084</v>
      </c>
      <c r="G1071" s="79" t="s">
        <v>170</v>
      </c>
      <c r="H1071" s="79" t="s">
        <v>1131</v>
      </c>
      <c r="I1071" s="63"/>
      <c r="J1071" s="64" t="s">
        <v>708</v>
      </c>
      <c r="K1071" s="120">
        <f>ROUND(Tableau13[[#This Row],[LEN]]*7.27,0)</f>
        <v>247</v>
      </c>
      <c r="L1071" s="120">
        <v>15</v>
      </c>
      <c r="M1071" s="137" t="str">
        <f t="shared" si="7"/>
        <v>none</v>
      </c>
      <c r="N1071" s="120">
        <f>LEN(Tableau13[[#This Row],[LABEL]])</f>
        <v>34</v>
      </c>
      <c r="O1071" s="120">
        <v>15</v>
      </c>
      <c r="P1071" s="120" t="e">
        <f>ROUND(Tableau13[[#This Row],[LEN]]*#REF!+#REF!,0)</f>
        <v>#REF!</v>
      </c>
    </row>
    <row r="1072" spans="1:16" s="273" customFormat="1" x14ac:dyDescent="0.25">
      <c r="A1072" s="372" t="s">
        <v>325</v>
      </c>
      <c r="B1072" s="373" t="s">
        <v>210</v>
      </c>
      <c r="C1072" s="374" t="s">
        <v>80</v>
      </c>
      <c r="D1072" s="375" t="s">
        <v>28</v>
      </c>
      <c r="E1072" s="374" t="s">
        <v>667</v>
      </c>
      <c r="F1072" s="374" t="s">
        <v>667</v>
      </c>
      <c r="G1072" s="375" t="s">
        <v>170</v>
      </c>
      <c r="H1072" s="375" t="str">
        <f>IFERROR(IF(SEARCH(".00.00.00.00.00",Tableau13[[#This Row],[name]],1)=7,"Division",""),"")</f>
        <v>Division</v>
      </c>
      <c r="I1072" s="374"/>
      <c r="J1072" s="376" t="s">
        <v>713</v>
      </c>
      <c r="K1072" s="377">
        <f>ROUND(Tableau13[[#This Row],[LEN]]*7.27,0)</f>
        <v>116</v>
      </c>
      <c r="L1072" s="377">
        <v>15</v>
      </c>
      <c r="M1072" s="378" t="str">
        <f t="shared" si="7"/>
        <v>new</v>
      </c>
      <c r="N1072" s="377">
        <f>LEN(Tableau13[[#This Row],[LABEL]])</f>
        <v>16</v>
      </c>
      <c r="O1072" s="377">
        <v>15</v>
      </c>
      <c r="P1072" s="377" t="e">
        <f>ROUND(Tableau13[[#This Row],[LEN]]*#REF!+#REF!,0)</f>
        <v>#REF!</v>
      </c>
    </row>
    <row r="1073" spans="1:16" s="273" customFormat="1" x14ac:dyDescent="0.25">
      <c r="A1073" s="372" t="s">
        <v>326</v>
      </c>
      <c r="B1073" s="373" t="s">
        <v>210</v>
      </c>
      <c r="C1073" s="374" t="s">
        <v>5</v>
      </c>
      <c r="D1073" s="375" t="s">
        <v>28</v>
      </c>
      <c r="E1073" s="374" t="s">
        <v>668</v>
      </c>
      <c r="F1073" s="374" t="s">
        <v>668</v>
      </c>
      <c r="G1073" s="375" t="s">
        <v>170</v>
      </c>
      <c r="H1073" s="375" t="str">
        <f>IFERROR(IF(SEARCH(".00.00.00.00.00",Tableau13[[#This Row],[name]],1)=7,"Division",""),"")</f>
        <v>Division</v>
      </c>
      <c r="I1073" s="374"/>
      <c r="J1073" s="376" t="s">
        <v>714</v>
      </c>
      <c r="K1073" s="377">
        <f>ROUND(Tableau13[[#This Row],[LEN]]*7.27,0)</f>
        <v>73</v>
      </c>
      <c r="L1073" s="377">
        <v>15</v>
      </c>
      <c r="M1073" s="378" t="str">
        <f t="shared" si="7"/>
        <v>new</v>
      </c>
      <c r="N1073" s="377">
        <f>LEN(Tableau13[[#This Row],[LABEL]])</f>
        <v>10</v>
      </c>
      <c r="O1073" s="377">
        <v>15</v>
      </c>
      <c r="P1073" s="377" t="e">
        <f>ROUND(Tableau13[[#This Row],[LEN]]*#REF!+#REF!,0)</f>
        <v>#REF!</v>
      </c>
    </row>
    <row r="1074" spans="1:16" s="97" customFormat="1" x14ac:dyDescent="0.25">
      <c r="A1074" s="61" t="s">
        <v>1877</v>
      </c>
      <c r="B1074" s="62" t="s">
        <v>326</v>
      </c>
      <c r="C1074" s="63" t="s">
        <v>602</v>
      </c>
      <c r="D1074" s="79" t="s">
        <v>28</v>
      </c>
      <c r="E1074" s="63" t="s">
        <v>661</v>
      </c>
      <c r="F1074" s="63" t="s">
        <v>1874</v>
      </c>
      <c r="G1074" s="79" t="s">
        <v>170</v>
      </c>
      <c r="H1074" s="79" t="s">
        <v>656</v>
      </c>
      <c r="I1074" s="63"/>
      <c r="J1074" s="64" t="s">
        <v>708</v>
      </c>
      <c r="K1074" s="120">
        <f>ROUND(Tableau13[[#This Row],[LEN]]*7.27,0)</f>
        <v>553</v>
      </c>
      <c r="L1074" s="120">
        <v>15</v>
      </c>
      <c r="M1074" s="137" t="str">
        <f t="shared" si="7"/>
        <v>none</v>
      </c>
      <c r="N1074" s="120">
        <f>LEN(Tableau13[[#This Row],[LABEL]])</f>
        <v>76</v>
      </c>
      <c r="O1074" s="120">
        <v>15</v>
      </c>
      <c r="P1074" s="120" t="e">
        <f>ROUND(Tableau13[[#This Row],[LEN]]*#REF!+#REF!,0)</f>
        <v>#REF!</v>
      </c>
    </row>
    <row r="1075" spans="1:16" s="273" customFormat="1" x14ac:dyDescent="0.25">
      <c r="A1075" s="372" t="s">
        <v>327</v>
      </c>
      <c r="B1075" s="373" t="s">
        <v>210</v>
      </c>
      <c r="C1075" s="374" t="s">
        <v>6</v>
      </c>
      <c r="D1075" s="375" t="s">
        <v>28</v>
      </c>
      <c r="E1075" s="374" t="s">
        <v>669</v>
      </c>
      <c r="F1075" s="374" t="s">
        <v>669</v>
      </c>
      <c r="G1075" s="375" t="s">
        <v>170</v>
      </c>
      <c r="H1075" s="375" t="str">
        <f>IFERROR(IF(SEARCH(".00.00.00.00.00",Tableau13[[#This Row],[name]],1)=7,"Division",""),"")</f>
        <v>Division</v>
      </c>
      <c r="I1075" s="374"/>
      <c r="J1075" s="376" t="s">
        <v>715</v>
      </c>
      <c r="K1075" s="377">
        <f>ROUND(Tableau13[[#This Row],[LEN]]*7.27,0)</f>
        <v>196</v>
      </c>
      <c r="L1075" s="377">
        <v>15</v>
      </c>
      <c r="M1075" s="378" t="str">
        <f t="shared" si="7"/>
        <v>new</v>
      </c>
      <c r="N1075" s="377">
        <f>LEN(Tableau13[[#This Row],[LABEL]])</f>
        <v>27</v>
      </c>
      <c r="O1075" s="377">
        <v>15</v>
      </c>
      <c r="P1075" s="377" t="e">
        <f>ROUND(Tableau13[[#This Row],[LEN]]*#REF!+#REF!,0)</f>
        <v>#REF!</v>
      </c>
    </row>
    <row r="1076" spans="1:16" s="97" customFormat="1" x14ac:dyDescent="0.25">
      <c r="A1076" s="61" t="s">
        <v>1886</v>
      </c>
      <c r="B1076" s="62" t="s">
        <v>327</v>
      </c>
      <c r="C1076" s="63" t="s">
        <v>1890</v>
      </c>
      <c r="D1076" s="79" t="s">
        <v>1891</v>
      </c>
      <c r="E1076" s="63" t="s">
        <v>669</v>
      </c>
      <c r="F1076" s="63" t="s">
        <v>1177</v>
      </c>
      <c r="G1076" s="79" t="s">
        <v>170</v>
      </c>
      <c r="H1076" s="79" t="s">
        <v>570</v>
      </c>
      <c r="I1076" s="63"/>
      <c r="J1076" s="64" t="s">
        <v>708</v>
      </c>
      <c r="K1076" s="120">
        <f>ROUND(Tableau13[[#This Row],[LEN]]*7.27,0)</f>
        <v>327</v>
      </c>
      <c r="L1076" s="120">
        <v>15</v>
      </c>
      <c r="M1076" s="137" t="str">
        <f t="shared" si="7"/>
        <v>none</v>
      </c>
      <c r="N1076" s="120">
        <f>LEN(Tableau13[[#This Row],[LABEL]])</f>
        <v>45</v>
      </c>
      <c r="O1076" s="120">
        <v>15</v>
      </c>
      <c r="P1076" s="120" t="e">
        <f>ROUND(Tableau13[[#This Row],[LEN]]*#REF!+#REF!,0)</f>
        <v>#REF!</v>
      </c>
    </row>
    <row r="1077" spans="1:16" s="97" customFormat="1" x14ac:dyDescent="0.25">
      <c r="A1077" s="61" t="s">
        <v>1887</v>
      </c>
      <c r="B1077" s="62" t="s">
        <v>327</v>
      </c>
      <c r="C1077" s="63" t="s">
        <v>602</v>
      </c>
      <c r="D1077" s="79" t="s">
        <v>28</v>
      </c>
      <c r="E1077" s="63" t="s">
        <v>661</v>
      </c>
      <c r="F1077" s="63" t="s">
        <v>1874</v>
      </c>
      <c r="G1077" s="79" t="s">
        <v>170</v>
      </c>
      <c r="H1077" s="79" t="s">
        <v>656</v>
      </c>
      <c r="I1077" s="63"/>
      <c r="J1077" s="64" t="s">
        <v>708</v>
      </c>
      <c r="K1077" s="120">
        <f>ROUND(Tableau13[[#This Row],[LEN]]*7.27,0)</f>
        <v>553</v>
      </c>
      <c r="L1077" s="120">
        <v>15</v>
      </c>
      <c r="M1077" s="137" t="str">
        <f t="shared" si="7"/>
        <v>none</v>
      </c>
      <c r="N1077" s="120">
        <f>LEN(Tableau13[[#This Row],[LABEL]])</f>
        <v>76</v>
      </c>
      <c r="O1077" s="120">
        <v>15</v>
      </c>
      <c r="P1077" s="120" t="e">
        <f>ROUND(Tableau13[[#This Row],[LEN]]*#REF!+#REF!,0)</f>
        <v>#REF!</v>
      </c>
    </row>
    <row r="1078" spans="1:16" s="97" customFormat="1" x14ac:dyDescent="0.25">
      <c r="A1078" s="61" t="s">
        <v>1888</v>
      </c>
      <c r="B1078" s="62" t="s">
        <v>327</v>
      </c>
      <c r="C1078" s="63" t="s">
        <v>50</v>
      </c>
      <c r="D1078" s="79" t="s">
        <v>28</v>
      </c>
      <c r="E1078" s="63" t="s">
        <v>1177</v>
      </c>
      <c r="F1078" s="63" t="s">
        <v>1084</v>
      </c>
      <c r="G1078" s="79" t="s">
        <v>170</v>
      </c>
      <c r="H1078" s="79" t="s">
        <v>1131</v>
      </c>
      <c r="I1078" s="63"/>
      <c r="J1078" s="64" t="s">
        <v>708</v>
      </c>
      <c r="K1078" s="120">
        <f>ROUND(Tableau13[[#This Row],[LEN]]*7.27,0)</f>
        <v>87</v>
      </c>
      <c r="L1078" s="120">
        <v>15</v>
      </c>
      <c r="M1078" s="137" t="str">
        <f t="shared" si="7"/>
        <v>none</v>
      </c>
      <c r="N1078" s="120">
        <f>LEN(Tableau13[[#This Row],[LABEL]])</f>
        <v>12</v>
      </c>
      <c r="O1078" s="120">
        <v>15</v>
      </c>
      <c r="P1078" s="120" t="e">
        <f>ROUND(Tableau13[[#This Row],[LEN]]*#REF!+#REF!,0)</f>
        <v>#REF!</v>
      </c>
    </row>
    <row r="1079" spans="1:16" s="97" customFormat="1" x14ac:dyDescent="0.25">
      <c r="A1079" s="61" t="s">
        <v>1889</v>
      </c>
      <c r="B1079" s="62" t="s">
        <v>327</v>
      </c>
      <c r="C1079" s="63" t="s">
        <v>603</v>
      </c>
      <c r="D1079" s="79" t="s">
        <v>28</v>
      </c>
      <c r="E1079" s="63" t="s">
        <v>1177</v>
      </c>
      <c r="F1079" s="63" t="s">
        <v>1084</v>
      </c>
      <c r="G1079" s="79" t="s">
        <v>170</v>
      </c>
      <c r="H1079" s="79" t="s">
        <v>1131</v>
      </c>
      <c r="I1079" s="63"/>
      <c r="J1079" s="64" t="s">
        <v>708</v>
      </c>
      <c r="K1079" s="120">
        <f>ROUND(Tableau13[[#This Row],[LEN]]*7.27,0)</f>
        <v>247</v>
      </c>
      <c r="L1079" s="120">
        <v>15</v>
      </c>
      <c r="M1079" s="137" t="str">
        <f t="shared" si="7"/>
        <v>none</v>
      </c>
      <c r="N1079" s="120">
        <f>LEN(Tableau13[[#This Row],[LABEL]])</f>
        <v>34</v>
      </c>
      <c r="O1079" s="120">
        <v>15</v>
      </c>
      <c r="P1079" s="120" t="e">
        <f>ROUND(Tableau13[[#This Row],[LEN]]*#REF!+#REF!,0)</f>
        <v>#REF!</v>
      </c>
    </row>
    <row r="1080" spans="1:16" s="273" customFormat="1" x14ac:dyDescent="0.25">
      <c r="A1080" s="372" t="s">
        <v>328</v>
      </c>
      <c r="B1080" s="373" t="s">
        <v>210</v>
      </c>
      <c r="C1080" s="374" t="s">
        <v>7</v>
      </c>
      <c r="D1080" s="375" t="s">
        <v>28</v>
      </c>
      <c r="E1080" s="374" t="s">
        <v>670</v>
      </c>
      <c r="F1080" s="374" t="s">
        <v>670</v>
      </c>
      <c r="G1080" s="375" t="s">
        <v>170</v>
      </c>
      <c r="H1080" s="375" t="str">
        <f>IFERROR(IF(SEARCH(".00.00.00.00.00",Tableau13[[#This Row],[name]],1)=7,"Division",""),"")</f>
        <v>Division</v>
      </c>
      <c r="I1080" s="374"/>
      <c r="J1080" s="376" t="s">
        <v>716</v>
      </c>
      <c r="K1080" s="377">
        <f>ROUND(Tableau13[[#This Row],[LEN]]*7.27,0)</f>
        <v>189</v>
      </c>
      <c r="L1080" s="377">
        <v>15</v>
      </c>
      <c r="M1080" s="378" t="str">
        <f t="shared" si="7"/>
        <v>new</v>
      </c>
      <c r="N1080" s="377">
        <f>LEN(Tableau13[[#This Row],[LABEL]])</f>
        <v>26</v>
      </c>
      <c r="O1080" s="377">
        <v>15</v>
      </c>
      <c r="P1080" s="377" t="e">
        <f>ROUND(Tableau13[[#This Row],[LEN]]*#REF!+#REF!,0)</f>
        <v>#REF!</v>
      </c>
    </row>
    <row r="1081" spans="1:16" s="273" customFormat="1" x14ac:dyDescent="0.25">
      <c r="A1081" s="372" t="s">
        <v>329</v>
      </c>
      <c r="B1081" s="373" t="s">
        <v>210</v>
      </c>
      <c r="C1081" s="374" t="s">
        <v>8</v>
      </c>
      <c r="D1081" s="375" t="s">
        <v>28</v>
      </c>
      <c r="E1081" s="374" t="s">
        <v>671</v>
      </c>
      <c r="F1081" s="374" t="s">
        <v>671</v>
      </c>
      <c r="G1081" s="375" t="s">
        <v>170</v>
      </c>
      <c r="H1081" s="375" t="str">
        <f>IFERROR(IF(SEARCH(".00.00.00.00.00",Tableau13[[#This Row],[name]],1)=7,"Division",""),"")</f>
        <v>Division</v>
      </c>
      <c r="I1081" s="374"/>
      <c r="J1081" s="376" t="s">
        <v>717</v>
      </c>
      <c r="K1081" s="377">
        <f>ROUND(Tableau13[[#This Row],[LEN]]*7.27,0)</f>
        <v>116</v>
      </c>
      <c r="L1081" s="377">
        <v>15</v>
      </c>
      <c r="M1081" s="378" t="str">
        <f t="shared" si="7"/>
        <v>new</v>
      </c>
      <c r="N1081" s="377">
        <f>LEN(Tableau13[[#This Row],[LABEL]])</f>
        <v>16</v>
      </c>
      <c r="O1081" s="377">
        <v>15</v>
      </c>
      <c r="P1081" s="377" t="e">
        <f>ROUND(Tableau13[[#This Row],[LEN]]*#REF!+#REF!,0)</f>
        <v>#REF!</v>
      </c>
    </row>
    <row r="1082" spans="1:16" s="97" customFormat="1" x14ac:dyDescent="0.25">
      <c r="A1082" s="61" t="s">
        <v>1893</v>
      </c>
      <c r="B1082" s="62" t="s">
        <v>329</v>
      </c>
      <c r="C1082" s="63" t="s">
        <v>1892</v>
      </c>
      <c r="D1082" s="79" t="s">
        <v>28</v>
      </c>
      <c r="E1082" s="63" t="s">
        <v>679</v>
      </c>
      <c r="F1082" s="63" t="s">
        <v>902</v>
      </c>
      <c r="G1082" s="79" t="s">
        <v>170</v>
      </c>
      <c r="H1082" s="79" t="s">
        <v>656</v>
      </c>
      <c r="I1082" s="63"/>
      <c r="J1082" s="64" t="s">
        <v>708</v>
      </c>
      <c r="K1082" s="120">
        <f>ROUND(Tableau13[[#This Row],[LEN]]*7.27,0)</f>
        <v>204</v>
      </c>
      <c r="L1082" s="120">
        <v>15</v>
      </c>
      <c r="M1082" s="137" t="str">
        <f t="shared" si="7"/>
        <v>none</v>
      </c>
      <c r="N1082" s="120">
        <f>LEN(Tableau13[[#This Row],[LABEL]])</f>
        <v>28</v>
      </c>
      <c r="O1082" s="120">
        <v>15</v>
      </c>
      <c r="P1082" s="120" t="e">
        <f>ROUND(Tableau13[[#This Row],[LEN]]*#REF!+#REF!,0)</f>
        <v>#REF!</v>
      </c>
    </row>
    <row r="1083" spans="1:16" s="97" customFormat="1" x14ac:dyDescent="0.25">
      <c r="A1083" s="61" t="s">
        <v>1894</v>
      </c>
      <c r="B1083" s="62" t="s">
        <v>329</v>
      </c>
      <c r="C1083" s="63" t="s">
        <v>602</v>
      </c>
      <c r="D1083" s="79" t="s">
        <v>28</v>
      </c>
      <c r="E1083" s="63" t="s">
        <v>661</v>
      </c>
      <c r="F1083" s="63" t="s">
        <v>1874</v>
      </c>
      <c r="G1083" s="79" t="s">
        <v>170</v>
      </c>
      <c r="H1083" s="79" t="s">
        <v>656</v>
      </c>
      <c r="I1083" s="63"/>
      <c r="J1083" s="64" t="s">
        <v>708</v>
      </c>
      <c r="K1083" s="120">
        <f>ROUND(Tableau13[[#This Row],[LEN]]*7.27,0)</f>
        <v>553</v>
      </c>
      <c r="L1083" s="120">
        <v>15</v>
      </c>
      <c r="M1083" s="137" t="str">
        <f t="shared" si="7"/>
        <v>none</v>
      </c>
      <c r="N1083" s="120">
        <f>LEN(Tableau13[[#This Row],[LABEL]])</f>
        <v>76</v>
      </c>
      <c r="O1083" s="120">
        <v>15</v>
      </c>
      <c r="P1083" s="120" t="e">
        <f>ROUND(Tableau13[[#This Row],[LEN]]*#REF!+#REF!,0)</f>
        <v>#REF!</v>
      </c>
    </row>
    <row r="1084" spans="1:16" s="97" customFormat="1" x14ac:dyDescent="0.25">
      <c r="A1084" s="61" t="s">
        <v>1895</v>
      </c>
      <c r="B1084" s="62" t="s">
        <v>329</v>
      </c>
      <c r="C1084" s="63" t="s">
        <v>50</v>
      </c>
      <c r="D1084" s="79" t="s">
        <v>28</v>
      </c>
      <c r="E1084" s="63" t="s">
        <v>1177</v>
      </c>
      <c r="F1084" s="63" t="s">
        <v>1084</v>
      </c>
      <c r="G1084" s="79" t="s">
        <v>170</v>
      </c>
      <c r="H1084" s="79" t="s">
        <v>1131</v>
      </c>
      <c r="I1084" s="63"/>
      <c r="J1084" s="64" t="s">
        <v>708</v>
      </c>
      <c r="K1084" s="120">
        <f>ROUND(Tableau13[[#This Row],[LEN]]*7.27,0)</f>
        <v>87</v>
      </c>
      <c r="L1084" s="120">
        <v>15</v>
      </c>
      <c r="M1084" s="137" t="str">
        <f t="shared" si="7"/>
        <v>none</v>
      </c>
      <c r="N1084" s="120">
        <f>LEN(Tableau13[[#This Row],[LABEL]])</f>
        <v>12</v>
      </c>
      <c r="O1084" s="120">
        <v>15</v>
      </c>
      <c r="P1084" s="120" t="e">
        <f>ROUND(Tableau13[[#This Row],[LEN]]*#REF!+#REF!,0)</f>
        <v>#REF!</v>
      </c>
    </row>
    <row r="1085" spans="1:16" s="97" customFormat="1" x14ac:dyDescent="0.25">
      <c r="A1085" s="61" t="s">
        <v>1896</v>
      </c>
      <c r="B1085" s="62" t="s">
        <v>329</v>
      </c>
      <c r="C1085" s="63" t="s">
        <v>603</v>
      </c>
      <c r="D1085" s="79" t="s">
        <v>28</v>
      </c>
      <c r="E1085" s="63" t="s">
        <v>1177</v>
      </c>
      <c r="F1085" s="63" t="s">
        <v>1084</v>
      </c>
      <c r="G1085" s="79" t="s">
        <v>170</v>
      </c>
      <c r="H1085" s="79" t="s">
        <v>1131</v>
      </c>
      <c r="I1085" s="63"/>
      <c r="J1085" s="64" t="s">
        <v>708</v>
      </c>
      <c r="K1085" s="120">
        <f>ROUND(Tableau13[[#This Row],[LEN]]*7.27,0)</f>
        <v>247</v>
      </c>
      <c r="L1085" s="120">
        <v>15</v>
      </c>
      <c r="M1085" s="137" t="str">
        <f t="shared" si="7"/>
        <v>none</v>
      </c>
      <c r="N1085" s="120">
        <f>LEN(Tableau13[[#This Row],[LABEL]])</f>
        <v>34</v>
      </c>
      <c r="O1085" s="120">
        <v>15</v>
      </c>
      <c r="P1085" s="120" t="e">
        <f>ROUND(Tableau13[[#This Row],[LEN]]*#REF!+#REF!,0)</f>
        <v>#REF!</v>
      </c>
    </row>
    <row r="1086" spans="1:16" s="273" customFormat="1" x14ac:dyDescent="0.25">
      <c r="A1086" s="372" t="s">
        <v>330</v>
      </c>
      <c r="B1086" s="373" t="s">
        <v>210</v>
      </c>
      <c r="C1086" s="374" t="s">
        <v>9</v>
      </c>
      <c r="D1086" s="375" t="s">
        <v>28</v>
      </c>
      <c r="E1086" s="374" t="s">
        <v>672</v>
      </c>
      <c r="F1086" s="374" t="s">
        <v>672</v>
      </c>
      <c r="G1086" s="375" t="s">
        <v>170</v>
      </c>
      <c r="H1086" s="375" t="str">
        <f>IFERROR(IF(SEARCH(".00.00.00.00.00",Tableau13[[#This Row],[name]],1)=7,"Division",""),"")</f>
        <v>Division</v>
      </c>
      <c r="I1086" s="374"/>
      <c r="J1086" s="376" t="s">
        <v>718</v>
      </c>
      <c r="K1086" s="377">
        <f>ROUND(Tableau13[[#This Row],[LEN]]*7.27,0)</f>
        <v>80</v>
      </c>
      <c r="L1086" s="377">
        <v>15</v>
      </c>
      <c r="M1086" s="378" t="str">
        <f t="shared" si="7"/>
        <v>new</v>
      </c>
      <c r="N1086" s="377">
        <f>LEN(Tableau13[[#This Row],[LABEL]])</f>
        <v>11</v>
      </c>
      <c r="O1086" s="377">
        <v>15</v>
      </c>
      <c r="P1086" s="377" t="e">
        <f>ROUND(Tableau13[[#This Row],[LEN]]*#REF!+#REF!,0)</f>
        <v>#REF!</v>
      </c>
    </row>
    <row r="1087" spans="1:16" s="97" customFormat="1" x14ac:dyDescent="0.25">
      <c r="A1087" s="61" t="s">
        <v>599</v>
      </c>
      <c r="B1087" s="62" t="s">
        <v>330</v>
      </c>
      <c r="C1087" s="63" t="s">
        <v>602</v>
      </c>
      <c r="D1087" s="79" t="s">
        <v>28</v>
      </c>
      <c r="E1087" s="63" t="s">
        <v>661</v>
      </c>
      <c r="F1087" s="63" t="s">
        <v>1874</v>
      </c>
      <c r="G1087" s="79" t="s">
        <v>170</v>
      </c>
      <c r="H1087" s="79" t="s">
        <v>656</v>
      </c>
      <c r="I1087" s="63"/>
      <c r="J1087" s="64" t="s">
        <v>708</v>
      </c>
      <c r="K1087" s="120">
        <f>ROUND(Tableau13[[#This Row],[LEN]]*7.27,0)</f>
        <v>553</v>
      </c>
      <c r="L1087" s="120">
        <v>15</v>
      </c>
      <c r="M1087" s="137" t="str">
        <f t="shared" si="7"/>
        <v>none</v>
      </c>
      <c r="N1087" s="120">
        <f>LEN(Tableau13[[#This Row],[LABEL]])</f>
        <v>76</v>
      </c>
      <c r="O1087" s="120">
        <v>15</v>
      </c>
      <c r="P1087" s="120" t="e">
        <f>ROUND(Tableau13[[#This Row],[LEN]]*#REF!+#REF!,0)</f>
        <v>#REF!</v>
      </c>
    </row>
    <row r="1088" spans="1:16" s="97" customFormat="1" x14ac:dyDescent="0.25">
      <c r="A1088" s="61" t="s">
        <v>600</v>
      </c>
      <c r="B1088" s="62" t="s">
        <v>330</v>
      </c>
      <c r="C1088" s="63" t="s">
        <v>50</v>
      </c>
      <c r="D1088" s="79" t="s">
        <v>28</v>
      </c>
      <c r="E1088" s="63" t="s">
        <v>1177</v>
      </c>
      <c r="F1088" s="63" t="s">
        <v>1084</v>
      </c>
      <c r="G1088" s="79" t="s">
        <v>170</v>
      </c>
      <c r="H1088" s="79" t="s">
        <v>1131</v>
      </c>
      <c r="I1088" s="63"/>
      <c r="J1088" s="64" t="s">
        <v>708</v>
      </c>
      <c r="K1088" s="120">
        <f>ROUND(Tableau13[[#This Row],[LEN]]*7.27,0)</f>
        <v>87</v>
      </c>
      <c r="L1088" s="120">
        <v>15</v>
      </c>
      <c r="M1088" s="137" t="str">
        <f t="shared" si="7"/>
        <v>none</v>
      </c>
      <c r="N1088" s="120">
        <f>LEN(Tableau13[[#This Row],[LABEL]])</f>
        <v>12</v>
      </c>
      <c r="O1088" s="120">
        <v>15</v>
      </c>
      <c r="P1088" s="120" t="e">
        <f>ROUND(Tableau13[[#This Row],[LEN]]*#REF!+#REF!,0)</f>
        <v>#REF!</v>
      </c>
    </row>
    <row r="1089" spans="1:16" s="97" customFormat="1" x14ac:dyDescent="0.25">
      <c r="A1089" s="61" t="s">
        <v>601</v>
      </c>
      <c r="B1089" s="62" t="s">
        <v>330</v>
      </c>
      <c r="C1089" s="63" t="s">
        <v>603</v>
      </c>
      <c r="D1089" s="79" t="s">
        <v>28</v>
      </c>
      <c r="E1089" s="63" t="s">
        <v>1177</v>
      </c>
      <c r="F1089" s="63" t="s">
        <v>1084</v>
      </c>
      <c r="G1089" s="79" t="s">
        <v>170</v>
      </c>
      <c r="H1089" s="79" t="s">
        <v>1131</v>
      </c>
      <c r="I1089" s="63"/>
      <c r="J1089" s="64" t="s">
        <v>708</v>
      </c>
      <c r="K1089" s="120">
        <f>ROUND(Tableau13[[#This Row],[LEN]]*7.27,0)</f>
        <v>247</v>
      </c>
      <c r="L1089" s="120">
        <v>15</v>
      </c>
      <c r="M1089" s="137" t="str">
        <f t="shared" si="7"/>
        <v>none</v>
      </c>
      <c r="N1089" s="120">
        <f>LEN(Tableau13[[#This Row],[LABEL]])</f>
        <v>34</v>
      </c>
      <c r="O1089" s="120">
        <v>15</v>
      </c>
      <c r="P1089" s="120" t="e">
        <f>ROUND(Tableau13[[#This Row],[LEN]]*#REF!+#REF!,0)</f>
        <v>#REF!</v>
      </c>
    </row>
    <row r="1090" spans="1:16" s="273" customFormat="1" x14ac:dyDescent="0.25">
      <c r="A1090" s="372" t="s">
        <v>331</v>
      </c>
      <c r="B1090" s="373" t="s">
        <v>210</v>
      </c>
      <c r="C1090" s="374" t="s">
        <v>10</v>
      </c>
      <c r="D1090" s="375" t="s">
        <v>28</v>
      </c>
      <c r="E1090" s="374" t="s">
        <v>673</v>
      </c>
      <c r="F1090" s="374" t="s">
        <v>673</v>
      </c>
      <c r="G1090" s="375" t="s">
        <v>170</v>
      </c>
      <c r="H1090" s="375" t="str">
        <f>IFERROR(IF(SEARCH(".00.00.00.00.00",Tableau13[[#This Row],[name]],1)=7,"Division",""),"")</f>
        <v>Division</v>
      </c>
      <c r="I1090" s="374"/>
      <c r="J1090" s="376" t="s">
        <v>719</v>
      </c>
      <c r="K1090" s="377">
        <f>ROUND(Tableau13[[#This Row],[LEN]]*7.27,0)</f>
        <v>109</v>
      </c>
      <c r="L1090" s="377">
        <v>15</v>
      </c>
      <c r="M1090" s="378" t="str">
        <f t="shared" si="7"/>
        <v>new</v>
      </c>
      <c r="N1090" s="377">
        <f>LEN(Tableau13[[#This Row],[LABEL]])</f>
        <v>15</v>
      </c>
      <c r="O1090" s="377">
        <v>15</v>
      </c>
      <c r="P1090" s="377" t="e">
        <f>ROUND(Tableau13[[#This Row],[LEN]]*#REF!+#REF!,0)</f>
        <v>#REF!</v>
      </c>
    </row>
    <row r="1091" spans="1:16" s="97" customFormat="1" x14ac:dyDescent="0.25">
      <c r="A1091" s="61" t="s">
        <v>1878</v>
      </c>
      <c r="B1091" s="62" t="s">
        <v>331</v>
      </c>
      <c r="C1091" s="63" t="s">
        <v>1882</v>
      </c>
      <c r="D1091" s="79" t="s">
        <v>28</v>
      </c>
      <c r="E1091" s="63" t="s">
        <v>673</v>
      </c>
      <c r="F1091" s="63" t="s">
        <v>902</v>
      </c>
      <c r="G1091" s="79" t="s">
        <v>170</v>
      </c>
      <c r="H1091" s="79" t="s">
        <v>656</v>
      </c>
      <c r="I1091" s="63"/>
      <c r="J1091" s="64" t="s">
        <v>708</v>
      </c>
      <c r="K1091" s="120">
        <f>ROUND(Tableau13[[#This Row],[LEN]]*7.27,0)</f>
        <v>233</v>
      </c>
      <c r="L1091" s="120">
        <v>15</v>
      </c>
      <c r="M1091" s="137" t="str">
        <f t="shared" si="7"/>
        <v>none</v>
      </c>
      <c r="N1091" s="120">
        <f>LEN(Tableau13[[#This Row],[LABEL]])</f>
        <v>32</v>
      </c>
      <c r="O1091" s="120">
        <v>15</v>
      </c>
      <c r="P1091" s="120" t="e">
        <f>ROUND(Tableau13[[#This Row],[LEN]]*#REF!+#REF!,0)</f>
        <v>#REF!</v>
      </c>
    </row>
    <row r="1092" spans="1:16" s="97" customFormat="1" x14ac:dyDescent="0.25">
      <c r="A1092" s="61" t="s">
        <v>1879</v>
      </c>
      <c r="B1092" s="62" t="s">
        <v>331</v>
      </c>
      <c r="C1092" s="63" t="s">
        <v>602</v>
      </c>
      <c r="D1092" s="79" t="s">
        <v>28</v>
      </c>
      <c r="E1092" s="63" t="s">
        <v>661</v>
      </c>
      <c r="F1092" s="63" t="s">
        <v>1874</v>
      </c>
      <c r="G1092" s="79" t="s">
        <v>170</v>
      </c>
      <c r="H1092" s="79" t="s">
        <v>656</v>
      </c>
      <c r="I1092" s="63"/>
      <c r="J1092" s="64" t="s">
        <v>708</v>
      </c>
      <c r="K1092" s="120">
        <f>ROUND(Tableau13[[#This Row],[LEN]]*7.27,0)</f>
        <v>553</v>
      </c>
      <c r="L1092" s="120">
        <v>15</v>
      </c>
      <c r="M1092" s="137" t="str">
        <f t="shared" si="7"/>
        <v>none</v>
      </c>
      <c r="N1092" s="120">
        <f>LEN(Tableau13[[#This Row],[LABEL]])</f>
        <v>76</v>
      </c>
      <c r="O1092" s="120">
        <v>15</v>
      </c>
      <c r="P1092" s="120" t="e">
        <f>ROUND(Tableau13[[#This Row],[LEN]]*#REF!+#REF!,0)</f>
        <v>#REF!</v>
      </c>
    </row>
    <row r="1093" spans="1:16" s="97" customFormat="1" x14ac:dyDescent="0.25">
      <c r="A1093" s="61" t="s">
        <v>1880</v>
      </c>
      <c r="B1093" s="62" t="s">
        <v>331</v>
      </c>
      <c r="C1093" s="63" t="s">
        <v>50</v>
      </c>
      <c r="D1093" s="79" t="s">
        <v>28</v>
      </c>
      <c r="E1093" s="63" t="s">
        <v>1177</v>
      </c>
      <c r="F1093" s="63" t="s">
        <v>1084</v>
      </c>
      <c r="G1093" s="79" t="s">
        <v>170</v>
      </c>
      <c r="H1093" s="79" t="s">
        <v>1131</v>
      </c>
      <c r="I1093" s="63"/>
      <c r="J1093" s="64" t="s">
        <v>708</v>
      </c>
      <c r="K1093" s="120">
        <f>ROUND(Tableau13[[#This Row],[LEN]]*7.27,0)</f>
        <v>87</v>
      </c>
      <c r="L1093" s="120">
        <v>15</v>
      </c>
      <c r="M1093" s="137" t="str">
        <f t="shared" si="7"/>
        <v>none</v>
      </c>
      <c r="N1093" s="120">
        <f>LEN(Tableau13[[#This Row],[LABEL]])</f>
        <v>12</v>
      </c>
      <c r="O1093" s="120">
        <v>15</v>
      </c>
      <c r="P1093" s="120" t="e">
        <f>ROUND(Tableau13[[#This Row],[LEN]]*#REF!+#REF!,0)</f>
        <v>#REF!</v>
      </c>
    </row>
    <row r="1094" spans="1:16" s="97" customFormat="1" x14ac:dyDescent="0.25">
      <c r="A1094" s="61" t="s">
        <v>1881</v>
      </c>
      <c r="B1094" s="62" t="s">
        <v>331</v>
      </c>
      <c r="C1094" s="63" t="s">
        <v>603</v>
      </c>
      <c r="D1094" s="79" t="s">
        <v>28</v>
      </c>
      <c r="E1094" s="63" t="s">
        <v>1177</v>
      </c>
      <c r="F1094" s="63" t="s">
        <v>1084</v>
      </c>
      <c r="G1094" s="79" t="s">
        <v>170</v>
      </c>
      <c r="H1094" s="79" t="s">
        <v>1131</v>
      </c>
      <c r="I1094" s="63"/>
      <c r="J1094" s="64" t="s">
        <v>708</v>
      </c>
      <c r="K1094" s="120">
        <f>ROUND(Tableau13[[#This Row],[LEN]]*7.27,0)</f>
        <v>247</v>
      </c>
      <c r="L1094" s="120">
        <v>15</v>
      </c>
      <c r="M1094" s="137" t="str">
        <f t="shared" si="7"/>
        <v>none</v>
      </c>
      <c r="N1094" s="120">
        <f>LEN(Tableau13[[#This Row],[LABEL]])</f>
        <v>34</v>
      </c>
      <c r="O1094" s="120">
        <v>15</v>
      </c>
      <c r="P1094" s="120" t="e">
        <f>ROUND(Tableau13[[#This Row],[LEN]]*#REF!+#REF!,0)</f>
        <v>#REF!</v>
      </c>
    </row>
    <row r="1095" spans="1:16" s="273" customFormat="1" x14ac:dyDescent="0.25">
      <c r="A1095" s="372" t="s">
        <v>332</v>
      </c>
      <c r="B1095" s="373" t="s">
        <v>210</v>
      </c>
      <c r="C1095" s="374" t="s">
        <v>11</v>
      </c>
      <c r="D1095" s="375" t="s">
        <v>28</v>
      </c>
      <c r="E1095" s="374" t="s">
        <v>674</v>
      </c>
      <c r="F1095" s="374" t="s">
        <v>674</v>
      </c>
      <c r="G1095" s="375" t="s">
        <v>170</v>
      </c>
      <c r="H1095" s="375" t="str">
        <f>IFERROR(IF(SEARCH(".00.00.00.00.00",Tableau13[[#This Row],[name]],1)=7,"Division",""),"")</f>
        <v>Division</v>
      </c>
      <c r="I1095" s="374"/>
      <c r="J1095" s="376" t="s">
        <v>720</v>
      </c>
      <c r="K1095" s="377">
        <f>ROUND(Tableau13[[#This Row],[LEN]]*7.27,0)</f>
        <v>51</v>
      </c>
      <c r="L1095" s="377">
        <v>15</v>
      </c>
      <c r="M1095" s="378" t="str">
        <f t="shared" si="7"/>
        <v>new</v>
      </c>
      <c r="N1095" s="377">
        <f>LEN(Tableau13[[#This Row],[LABEL]])</f>
        <v>7</v>
      </c>
      <c r="O1095" s="377">
        <v>15</v>
      </c>
      <c r="P1095" s="377" t="e">
        <f>ROUND(Tableau13[[#This Row],[LEN]]*#REF!+#REF!,0)</f>
        <v>#REF!</v>
      </c>
    </row>
    <row r="1096" spans="1:16" s="97" customFormat="1" x14ac:dyDescent="0.25">
      <c r="A1096" s="61" t="s">
        <v>1883</v>
      </c>
      <c r="B1096" s="62" t="s">
        <v>332</v>
      </c>
      <c r="C1096" s="63" t="s">
        <v>602</v>
      </c>
      <c r="D1096" s="79" t="s">
        <v>28</v>
      </c>
      <c r="E1096" s="63" t="s">
        <v>661</v>
      </c>
      <c r="F1096" s="63" t="s">
        <v>1874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ROUND(Tableau13[[#This Row],[LEN]]*7.27,0)</f>
        <v>553</v>
      </c>
      <c r="L1096" s="120">
        <v>15</v>
      </c>
      <c r="M1096" s="137" t="str">
        <f t="shared" si="7"/>
        <v>none</v>
      </c>
      <c r="N1096" s="120">
        <f>LEN(Tableau13[[#This Row],[LABEL]])</f>
        <v>76</v>
      </c>
      <c r="O1096" s="120">
        <v>15</v>
      </c>
      <c r="P1096" s="120" t="e">
        <f>ROUND(Tableau13[[#This Row],[LEN]]*#REF!+#REF!,0)</f>
        <v>#REF!</v>
      </c>
    </row>
    <row r="1097" spans="1:16" s="97" customFormat="1" x14ac:dyDescent="0.25">
      <c r="A1097" s="61" t="s">
        <v>1884</v>
      </c>
      <c r="B1097" s="62" t="s">
        <v>332</v>
      </c>
      <c r="C1097" s="63" t="s">
        <v>50</v>
      </c>
      <c r="D1097" s="79" t="s">
        <v>28</v>
      </c>
      <c r="E1097" s="63" t="s">
        <v>1177</v>
      </c>
      <c r="F1097" s="63" t="s">
        <v>1084</v>
      </c>
      <c r="G1097" s="79" t="s">
        <v>170</v>
      </c>
      <c r="H1097" s="79" t="s">
        <v>1131</v>
      </c>
      <c r="I1097" s="63"/>
      <c r="J1097" s="64" t="s">
        <v>708</v>
      </c>
      <c r="K1097" s="120">
        <f>ROUND(Tableau13[[#This Row],[LEN]]*7.27,0)</f>
        <v>87</v>
      </c>
      <c r="L1097" s="120">
        <v>15</v>
      </c>
      <c r="M1097" s="137" t="str">
        <f t="shared" si="7"/>
        <v>none</v>
      </c>
      <c r="N1097" s="120">
        <f>LEN(Tableau13[[#This Row],[LABEL]])</f>
        <v>12</v>
      </c>
      <c r="O1097" s="120">
        <v>15</v>
      </c>
      <c r="P1097" s="120" t="e">
        <f>ROUND(Tableau13[[#This Row],[LEN]]*#REF!+#REF!,0)</f>
        <v>#REF!</v>
      </c>
    </row>
    <row r="1098" spans="1:16" s="97" customFormat="1" x14ac:dyDescent="0.25">
      <c r="A1098" s="61" t="s">
        <v>1885</v>
      </c>
      <c r="B1098" s="62" t="s">
        <v>332</v>
      </c>
      <c r="C1098" s="63" t="s">
        <v>603</v>
      </c>
      <c r="D1098" s="79" t="s">
        <v>28</v>
      </c>
      <c r="E1098" s="63" t="s">
        <v>1177</v>
      </c>
      <c r="F1098" s="63" t="s">
        <v>1084</v>
      </c>
      <c r="G1098" s="79" t="s">
        <v>170</v>
      </c>
      <c r="H1098" s="79" t="s">
        <v>1131</v>
      </c>
      <c r="I1098" s="63"/>
      <c r="J1098" s="64" t="s">
        <v>708</v>
      </c>
      <c r="K1098" s="120">
        <f>ROUND(Tableau13[[#This Row],[LEN]]*7.27,0)</f>
        <v>247</v>
      </c>
      <c r="L1098" s="120">
        <v>15</v>
      </c>
      <c r="M1098" s="137" t="str">
        <f t="shared" si="7"/>
        <v>none</v>
      </c>
      <c r="N1098" s="120">
        <f>LEN(Tableau13[[#This Row],[LABEL]])</f>
        <v>34</v>
      </c>
      <c r="O1098" s="120">
        <v>15</v>
      </c>
      <c r="P1098" s="120" t="e">
        <f>ROUND(Tableau13[[#This Row],[LEN]]*#REF!+#REF!,0)</f>
        <v>#REF!</v>
      </c>
    </row>
    <row r="1099" spans="1:16" s="273" customFormat="1" x14ac:dyDescent="0.25">
      <c r="A1099" s="372" t="s">
        <v>333</v>
      </c>
      <c r="B1099" s="373" t="s">
        <v>210</v>
      </c>
      <c r="C1099" s="374" t="s">
        <v>12</v>
      </c>
      <c r="D1099" s="375" t="s">
        <v>28</v>
      </c>
      <c r="E1099" s="374" t="s">
        <v>675</v>
      </c>
      <c r="F1099" s="374" t="s">
        <v>675</v>
      </c>
      <c r="G1099" s="375" t="s">
        <v>170</v>
      </c>
      <c r="H1099" s="375" t="str">
        <f>IFERROR(IF(SEARCH(".00.00.00.00.00",Tableau13[[#This Row],[name]],1)=7,"Division",""),"")</f>
        <v>Division</v>
      </c>
      <c r="I1099" s="374"/>
      <c r="J1099" s="376" t="s">
        <v>721</v>
      </c>
      <c r="K1099" s="377">
        <f>ROUND(Tableau13[[#This Row],[LEN]]*7.27,0)</f>
        <v>15</v>
      </c>
      <c r="L1099" s="377">
        <v>15</v>
      </c>
      <c r="M1099" s="378" t="str">
        <f t="shared" si="7"/>
        <v>new</v>
      </c>
      <c r="N1099" s="377">
        <f>LEN(Tableau13[[#This Row],[LABEL]])</f>
        <v>2</v>
      </c>
      <c r="O1099" s="377">
        <v>15</v>
      </c>
      <c r="P1099" s="377" t="e">
        <f>ROUND(Tableau13[[#This Row],[LEN]]*#REF!+#REF!,0)</f>
        <v>#REF!</v>
      </c>
    </row>
    <row r="1100" spans="1:16" s="97" customFormat="1" x14ac:dyDescent="0.25">
      <c r="A1100" s="61" t="s">
        <v>1898</v>
      </c>
      <c r="B1100" s="62" t="s">
        <v>333</v>
      </c>
      <c r="C1100" s="63" t="s">
        <v>1897</v>
      </c>
      <c r="D1100" s="79" t="s">
        <v>28</v>
      </c>
      <c r="E1100" s="63" t="s">
        <v>675</v>
      </c>
      <c r="F1100" s="63" t="s">
        <v>1177</v>
      </c>
      <c r="G1100" s="79" t="s">
        <v>170</v>
      </c>
      <c r="H1100" s="79" t="s">
        <v>656</v>
      </c>
      <c r="I1100" s="63"/>
      <c r="J1100" s="64" t="s">
        <v>708</v>
      </c>
      <c r="K1100" s="120">
        <f>ROUND(Tableau13[[#This Row],[LEN]]*7.27,0)</f>
        <v>465</v>
      </c>
      <c r="L1100" s="120">
        <v>15</v>
      </c>
      <c r="M1100" s="137" t="str">
        <f t="shared" si="7"/>
        <v>none</v>
      </c>
      <c r="N1100" s="120">
        <f>LEN(Tableau13[[#This Row],[LABEL]])</f>
        <v>64</v>
      </c>
      <c r="O1100" s="120">
        <v>15</v>
      </c>
      <c r="P1100" s="120" t="e">
        <f>ROUND(Tableau13[[#This Row],[LEN]]*#REF!+#REF!,0)</f>
        <v>#REF!</v>
      </c>
    </row>
    <row r="1101" spans="1:16" s="97" customFormat="1" x14ac:dyDescent="0.25">
      <c r="A1101" s="61" t="s">
        <v>1899</v>
      </c>
      <c r="B1101" s="62" t="s">
        <v>333</v>
      </c>
      <c r="C1101" s="63" t="s">
        <v>602</v>
      </c>
      <c r="D1101" s="79" t="s">
        <v>28</v>
      </c>
      <c r="E1101" s="63" t="s">
        <v>661</v>
      </c>
      <c r="F1101" s="63" t="s">
        <v>1874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ROUND(Tableau13[[#This Row],[LEN]]*7.27,0)</f>
        <v>553</v>
      </c>
      <c r="L1101" s="120">
        <v>15</v>
      </c>
      <c r="M1101" s="137" t="str">
        <f t="shared" si="7"/>
        <v>none</v>
      </c>
      <c r="N1101" s="120">
        <f>LEN(Tableau13[[#This Row],[LABEL]])</f>
        <v>76</v>
      </c>
      <c r="O1101" s="120">
        <v>15</v>
      </c>
      <c r="P1101" s="120" t="e">
        <f>ROUND(Tableau13[[#This Row],[LEN]]*#REF!+#REF!,0)</f>
        <v>#REF!</v>
      </c>
    </row>
    <row r="1102" spans="1:16" s="97" customFormat="1" x14ac:dyDescent="0.25">
      <c r="A1102" s="61" t="s">
        <v>1900</v>
      </c>
      <c r="B1102" s="62" t="s">
        <v>333</v>
      </c>
      <c r="C1102" s="63" t="s">
        <v>50</v>
      </c>
      <c r="D1102" s="79" t="s">
        <v>28</v>
      </c>
      <c r="E1102" s="63" t="s">
        <v>1177</v>
      </c>
      <c r="F1102" s="63" t="s">
        <v>1084</v>
      </c>
      <c r="G1102" s="79" t="s">
        <v>170</v>
      </c>
      <c r="H1102" s="79" t="s">
        <v>1131</v>
      </c>
      <c r="I1102" s="63"/>
      <c r="J1102" s="64" t="s">
        <v>708</v>
      </c>
      <c r="K1102" s="120">
        <f>ROUND(Tableau13[[#This Row],[LEN]]*7.27,0)</f>
        <v>87</v>
      </c>
      <c r="L1102" s="120">
        <v>15</v>
      </c>
      <c r="M1102" s="137" t="str">
        <f t="shared" si="7"/>
        <v>none</v>
      </c>
      <c r="N1102" s="120">
        <f>LEN(Tableau13[[#This Row],[LABEL]])</f>
        <v>12</v>
      </c>
      <c r="O1102" s="120">
        <v>15</v>
      </c>
      <c r="P1102" s="120" t="e">
        <f>ROUND(Tableau13[[#This Row],[LEN]]*#REF!+#REF!,0)</f>
        <v>#REF!</v>
      </c>
    </row>
    <row r="1103" spans="1:16" s="97" customFormat="1" x14ac:dyDescent="0.25">
      <c r="A1103" s="61" t="s">
        <v>1901</v>
      </c>
      <c r="B1103" s="62" t="s">
        <v>333</v>
      </c>
      <c r="C1103" s="63" t="s">
        <v>603</v>
      </c>
      <c r="D1103" s="79" t="s">
        <v>28</v>
      </c>
      <c r="E1103" s="63" t="s">
        <v>1177</v>
      </c>
      <c r="F1103" s="63" t="s">
        <v>1084</v>
      </c>
      <c r="G1103" s="79" t="s">
        <v>170</v>
      </c>
      <c r="H1103" s="79" t="s">
        <v>1131</v>
      </c>
      <c r="I1103" s="63"/>
      <c r="J1103" s="64" t="s">
        <v>708</v>
      </c>
      <c r="K1103" s="120">
        <f>ROUND(Tableau13[[#This Row],[LEN]]*7.27,0)</f>
        <v>247</v>
      </c>
      <c r="L1103" s="120">
        <v>15</v>
      </c>
      <c r="M1103" s="137" t="str">
        <f t="shared" si="7"/>
        <v>none</v>
      </c>
      <c r="N1103" s="120">
        <f>LEN(Tableau13[[#This Row],[LABEL]])</f>
        <v>34</v>
      </c>
      <c r="O1103" s="120">
        <v>15</v>
      </c>
      <c r="P1103" s="120" t="e">
        <f>ROUND(Tableau13[[#This Row],[LEN]]*#REF!+#REF!,0)</f>
        <v>#REF!</v>
      </c>
    </row>
    <row r="1104" spans="1:16" s="273" customFormat="1" x14ac:dyDescent="0.25">
      <c r="A1104" s="372" t="s">
        <v>334</v>
      </c>
      <c r="B1104" s="373" t="s">
        <v>210</v>
      </c>
      <c r="C1104" s="374" t="s">
        <v>71</v>
      </c>
      <c r="D1104" s="375" t="s">
        <v>28</v>
      </c>
      <c r="E1104" s="374" t="s">
        <v>676</v>
      </c>
      <c r="F1104" s="374" t="s">
        <v>676</v>
      </c>
      <c r="G1104" s="375" t="s">
        <v>170</v>
      </c>
      <c r="H1104" s="375" t="str">
        <f>IFERROR(IF(SEARCH(".00.00.00.00.00",Tableau13[[#This Row],[name]],1)=7,"Division",""),"")</f>
        <v>Division</v>
      </c>
      <c r="I1104" s="374"/>
      <c r="J1104" s="376" t="s">
        <v>722</v>
      </c>
      <c r="K1104" s="377">
        <f>ROUND(Tableau13[[#This Row],[LEN]]*7.27,0)</f>
        <v>29</v>
      </c>
      <c r="L1104" s="377">
        <v>15</v>
      </c>
      <c r="M1104" s="378" t="str">
        <f t="shared" si="7"/>
        <v>new</v>
      </c>
      <c r="N1104" s="377">
        <f>LEN(Tableau13[[#This Row],[LABEL]])</f>
        <v>4</v>
      </c>
      <c r="O1104" s="377">
        <v>15</v>
      </c>
      <c r="P1104" s="377" t="e">
        <f>ROUND(Tableau13[[#This Row],[LEN]]*#REF!+#REF!,0)</f>
        <v>#REF!</v>
      </c>
    </row>
    <row r="1105" spans="1:16" s="97" customFormat="1" x14ac:dyDescent="0.25">
      <c r="A1105" s="61" t="s">
        <v>1902</v>
      </c>
      <c r="B1105" s="62" t="s">
        <v>334</v>
      </c>
      <c r="C1105" s="63" t="s">
        <v>1906</v>
      </c>
      <c r="D1105" s="79" t="s">
        <v>1908</v>
      </c>
      <c r="E1105" s="63" t="s">
        <v>676</v>
      </c>
      <c r="F1105" s="63" t="s">
        <v>1907</v>
      </c>
      <c r="G1105" s="79" t="s">
        <v>170</v>
      </c>
      <c r="H1105" s="79" t="s">
        <v>656</v>
      </c>
      <c r="I1105" s="63"/>
      <c r="J1105" s="64" t="s">
        <v>708</v>
      </c>
      <c r="K1105" s="120">
        <f>ROUND(Tableau13[[#This Row],[LEN]]*7.27,0)</f>
        <v>240</v>
      </c>
      <c r="L1105" s="120">
        <v>15</v>
      </c>
      <c r="M1105" s="137" t="str">
        <f t="shared" si="7"/>
        <v>none</v>
      </c>
      <c r="N1105" s="120">
        <f>LEN(Tableau13[[#This Row],[LABEL]])</f>
        <v>33</v>
      </c>
      <c r="O1105" s="120">
        <v>15</v>
      </c>
      <c r="P1105" s="120" t="e">
        <f>ROUND(Tableau13[[#This Row],[LEN]]*#REF!+#REF!,0)</f>
        <v>#REF!</v>
      </c>
    </row>
    <row r="1106" spans="1:16" s="97" customFormat="1" x14ac:dyDescent="0.25">
      <c r="A1106" s="61" t="s">
        <v>1903</v>
      </c>
      <c r="B1106" s="62" t="s">
        <v>334</v>
      </c>
      <c r="C1106" s="63" t="s">
        <v>602</v>
      </c>
      <c r="D1106" s="79" t="s">
        <v>28</v>
      </c>
      <c r="E1106" s="63" t="s">
        <v>661</v>
      </c>
      <c r="F1106" s="63" t="s">
        <v>1874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ROUND(Tableau13[[#This Row],[LEN]]*7.27,0)</f>
        <v>553</v>
      </c>
      <c r="L1106" s="120">
        <v>15</v>
      </c>
      <c r="M1106" s="137" t="str">
        <f t="shared" si="7"/>
        <v>none</v>
      </c>
      <c r="N1106" s="120">
        <f>LEN(Tableau13[[#This Row],[LABEL]])</f>
        <v>76</v>
      </c>
      <c r="O1106" s="120">
        <v>15</v>
      </c>
      <c r="P1106" s="120" t="e">
        <f>ROUND(Tableau13[[#This Row],[LEN]]*#REF!+#REF!,0)</f>
        <v>#REF!</v>
      </c>
    </row>
    <row r="1107" spans="1:16" s="97" customFormat="1" x14ac:dyDescent="0.25">
      <c r="A1107" s="61" t="s">
        <v>1904</v>
      </c>
      <c r="B1107" s="62" t="s">
        <v>334</v>
      </c>
      <c r="C1107" s="63" t="s">
        <v>50</v>
      </c>
      <c r="D1107" s="79" t="s">
        <v>28</v>
      </c>
      <c r="E1107" s="63" t="s">
        <v>1177</v>
      </c>
      <c r="F1107" s="63" t="s">
        <v>1084</v>
      </c>
      <c r="G1107" s="79" t="s">
        <v>170</v>
      </c>
      <c r="H1107" s="79" t="s">
        <v>1131</v>
      </c>
      <c r="I1107" s="63"/>
      <c r="J1107" s="64" t="s">
        <v>708</v>
      </c>
      <c r="K1107" s="120">
        <f>ROUND(Tableau13[[#This Row],[LEN]]*7.27,0)</f>
        <v>87</v>
      </c>
      <c r="L1107" s="120">
        <v>15</v>
      </c>
      <c r="M1107" s="137" t="str">
        <f t="shared" si="7"/>
        <v>none</v>
      </c>
      <c r="N1107" s="120">
        <f>LEN(Tableau13[[#This Row],[LABEL]])</f>
        <v>12</v>
      </c>
      <c r="O1107" s="120">
        <v>15</v>
      </c>
      <c r="P1107" s="120" t="e">
        <f>ROUND(Tableau13[[#This Row],[LEN]]*#REF!+#REF!,0)</f>
        <v>#REF!</v>
      </c>
    </row>
    <row r="1108" spans="1:16" s="97" customFormat="1" x14ac:dyDescent="0.25">
      <c r="A1108" s="61" t="s">
        <v>1905</v>
      </c>
      <c r="B1108" s="62" t="s">
        <v>334</v>
      </c>
      <c r="C1108" s="63" t="s">
        <v>603</v>
      </c>
      <c r="D1108" s="79" t="s">
        <v>28</v>
      </c>
      <c r="E1108" s="63" t="s">
        <v>1177</v>
      </c>
      <c r="F1108" s="63" t="s">
        <v>1084</v>
      </c>
      <c r="G1108" s="79" t="s">
        <v>170</v>
      </c>
      <c r="H1108" s="79" t="s">
        <v>1131</v>
      </c>
      <c r="I1108" s="63"/>
      <c r="J1108" s="64" t="s">
        <v>708</v>
      </c>
      <c r="K1108" s="120">
        <f>ROUND(Tableau13[[#This Row],[LEN]]*7.27,0)</f>
        <v>247</v>
      </c>
      <c r="L1108" s="120">
        <v>15</v>
      </c>
      <c r="M1108" s="137" t="str">
        <f t="shared" si="7"/>
        <v>none</v>
      </c>
      <c r="N1108" s="120">
        <f>LEN(Tableau13[[#This Row],[LABEL]])</f>
        <v>34</v>
      </c>
      <c r="O1108" s="120">
        <v>15</v>
      </c>
      <c r="P1108" s="120" t="e">
        <f>ROUND(Tableau13[[#This Row],[LEN]]*#REF!+#REF!,0)</f>
        <v>#REF!</v>
      </c>
    </row>
    <row r="1109" spans="1:16" s="273" customFormat="1" x14ac:dyDescent="0.25">
      <c r="A1109" s="372" t="s">
        <v>335</v>
      </c>
      <c r="B1109" s="373" t="s">
        <v>210</v>
      </c>
      <c r="C1109" s="374" t="s">
        <v>13</v>
      </c>
      <c r="D1109" s="375" t="s">
        <v>28</v>
      </c>
      <c r="E1109" s="374" t="s">
        <v>677</v>
      </c>
      <c r="F1109" s="374" t="s">
        <v>677</v>
      </c>
      <c r="G1109" s="375" t="s">
        <v>170</v>
      </c>
      <c r="H1109" s="375" t="str">
        <f>IFERROR(IF(SEARCH(".00.00.00.00.00",Tableau13[[#This Row],[name]],1)=7,"Division",""),"")</f>
        <v>Division</v>
      </c>
      <c r="I1109" s="374"/>
      <c r="J1109" s="376" t="s">
        <v>723</v>
      </c>
      <c r="K1109" s="377">
        <f>ROUND(Tableau13[[#This Row],[LEN]]*7.27,0)</f>
        <v>80</v>
      </c>
      <c r="L1109" s="377">
        <v>15</v>
      </c>
      <c r="M1109" s="378" t="str">
        <f t="shared" si="7"/>
        <v>new</v>
      </c>
      <c r="N1109" s="377">
        <f>LEN(Tableau13[[#This Row],[LABEL]])</f>
        <v>11</v>
      </c>
      <c r="O1109" s="377">
        <v>15</v>
      </c>
      <c r="P1109" s="377" t="e">
        <f>ROUND(Tableau13[[#This Row],[LEN]]*#REF!+#REF!,0)</f>
        <v>#REF!</v>
      </c>
    </row>
    <row r="1110" spans="1:16" s="97" customFormat="1" x14ac:dyDescent="0.25">
      <c r="A1110" s="61" t="s">
        <v>1909</v>
      </c>
      <c r="B1110" s="62" t="s">
        <v>335</v>
      </c>
      <c r="C1110" s="63" t="s">
        <v>602</v>
      </c>
      <c r="D1110" s="79" t="s">
        <v>28</v>
      </c>
      <c r="E1110" s="63" t="s">
        <v>661</v>
      </c>
      <c r="F1110" s="63" t="s">
        <v>1874</v>
      </c>
      <c r="G1110" s="79" t="s">
        <v>170</v>
      </c>
      <c r="H1110" s="79" t="s">
        <v>656</v>
      </c>
      <c r="I1110" s="63"/>
      <c r="J1110" s="64" t="s">
        <v>708</v>
      </c>
      <c r="K1110" s="120">
        <f>ROUND(Tableau13[[#This Row],[LEN]]*7.27,0)</f>
        <v>553</v>
      </c>
      <c r="L1110" s="120">
        <v>15</v>
      </c>
      <c r="M1110" s="137" t="str">
        <f t="shared" si="7"/>
        <v>none</v>
      </c>
      <c r="N1110" s="120">
        <f>LEN(Tableau13[[#This Row],[LABEL]])</f>
        <v>76</v>
      </c>
      <c r="O1110" s="120">
        <v>15</v>
      </c>
      <c r="P1110" s="120" t="e">
        <f>ROUND(Tableau13[[#This Row],[LEN]]*#REF!+#REF!,0)</f>
        <v>#REF!</v>
      </c>
    </row>
    <row r="1111" spans="1:16" s="97" customFormat="1" x14ac:dyDescent="0.25">
      <c r="A1111" s="61" t="s">
        <v>1910</v>
      </c>
      <c r="B1111" s="62" t="s">
        <v>335</v>
      </c>
      <c r="C1111" s="63" t="s">
        <v>50</v>
      </c>
      <c r="D1111" s="79" t="s">
        <v>28</v>
      </c>
      <c r="E1111" s="63" t="s">
        <v>1177</v>
      </c>
      <c r="F1111" s="63" t="s">
        <v>1084</v>
      </c>
      <c r="G1111" s="79" t="s">
        <v>170</v>
      </c>
      <c r="H1111" s="79" t="s">
        <v>1131</v>
      </c>
      <c r="I1111" s="63"/>
      <c r="J1111" s="64" t="s">
        <v>708</v>
      </c>
      <c r="K1111" s="120">
        <f>ROUND(Tableau13[[#This Row],[LEN]]*7.27,0)</f>
        <v>87</v>
      </c>
      <c r="L1111" s="120">
        <v>15</v>
      </c>
      <c r="M1111" s="137" t="str">
        <f t="shared" si="7"/>
        <v>none</v>
      </c>
      <c r="N1111" s="120">
        <f>LEN(Tableau13[[#This Row],[LABEL]])</f>
        <v>12</v>
      </c>
      <c r="O1111" s="120">
        <v>15</v>
      </c>
      <c r="P1111" s="120" t="e">
        <f>ROUND(Tableau13[[#This Row],[LEN]]*#REF!+#REF!,0)</f>
        <v>#REF!</v>
      </c>
    </row>
    <row r="1112" spans="1:16" s="97" customFormat="1" x14ac:dyDescent="0.25">
      <c r="A1112" s="61" t="s">
        <v>1911</v>
      </c>
      <c r="B1112" s="62" t="s">
        <v>335</v>
      </c>
      <c r="C1112" s="63" t="s">
        <v>603</v>
      </c>
      <c r="D1112" s="79" t="s">
        <v>28</v>
      </c>
      <c r="E1112" s="63" t="s">
        <v>1177</v>
      </c>
      <c r="F1112" s="63" t="s">
        <v>1084</v>
      </c>
      <c r="G1112" s="79" t="s">
        <v>170</v>
      </c>
      <c r="H1112" s="79" t="s">
        <v>1131</v>
      </c>
      <c r="I1112" s="63"/>
      <c r="J1112" s="64" t="s">
        <v>708</v>
      </c>
      <c r="K1112" s="120">
        <f>ROUND(Tableau13[[#This Row],[LEN]]*7.27,0)</f>
        <v>247</v>
      </c>
      <c r="L1112" s="120">
        <v>15</v>
      </c>
      <c r="M1112" s="137" t="str">
        <f t="shared" si="7"/>
        <v>none</v>
      </c>
      <c r="N1112" s="120">
        <f>LEN(Tableau13[[#This Row],[LABEL]])</f>
        <v>34</v>
      </c>
      <c r="O1112" s="120">
        <v>15</v>
      </c>
      <c r="P1112" s="120" t="e">
        <f>ROUND(Tableau13[[#This Row],[LEN]]*#REF!+#REF!,0)</f>
        <v>#REF!</v>
      </c>
    </row>
    <row r="1113" spans="1:16" s="273" customFormat="1" x14ac:dyDescent="0.25">
      <c r="A1113" s="372" t="s">
        <v>336</v>
      </c>
      <c r="B1113" s="373" t="s">
        <v>210</v>
      </c>
      <c r="C1113" s="374" t="s">
        <v>14</v>
      </c>
      <c r="D1113" s="375" t="s">
        <v>28</v>
      </c>
      <c r="E1113" s="374" t="s">
        <v>678</v>
      </c>
      <c r="F1113" s="374" t="s">
        <v>678</v>
      </c>
      <c r="G1113" s="375" t="s">
        <v>170</v>
      </c>
      <c r="H1113" s="375" t="str">
        <f>IFERROR(IF(SEARCH(".00.00.00.00.00",Tableau13[[#This Row],[name]],1)=7,"Division",""),"")</f>
        <v>Division</v>
      </c>
      <c r="I1113" s="374"/>
      <c r="J1113" s="376" t="s">
        <v>724</v>
      </c>
      <c r="K1113" s="377">
        <f>ROUND(Tableau13[[#This Row],[LEN]]*7.27,0)</f>
        <v>240</v>
      </c>
      <c r="L1113" s="377">
        <v>15</v>
      </c>
      <c r="M1113" s="378" t="str">
        <f t="shared" si="7"/>
        <v>new</v>
      </c>
      <c r="N1113" s="377">
        <f>LEN(Tableau13[[#This Row],[LABEL]])</f>
        <v>33</v>
      </c>
      <c r="O1113" s="377">
        <v>15</v>
      </c>
      <c r="P1113" s="377" t="e">
        <f>ROUND(Tableau13[[#This Row],[LEN]]*#REF!+#REF!,0)</f>
        <v>#REF!</v>
      </c>
    </row>
    <row r="1114" spans="1:16" s="97" customFormat="1" x14ac:dyDescent="0.25">
      <c r="A1114" s="61" t="s">
        <v>1912</v>
      </c>
      <c r="B1114" s="62" t="s">
        <v>336</v>
      </c>
      <c r="C1114" s="63" t="s">
        <v>1917</v>
      </c>
      <c r="D1114" s="79" t="s">
        <v>28</v>
      </c>
      <c r="E1114" s="63" t="s">
        <v>678</v>
      </c>
      <c r="F1114" s="63" t="s">
        <v>1177</v>
      </c>
      <c r="G1114" s="79" t="s">
        <v>170</v>
      </c>
      <c r="H1114" s="79" t="s">
        <v>654</v>
      </c>
      <c r="I1114" s="63"/>
      <c r="J1114" s="64" t="s">
        <v>708</v>
      </c>
      <c r="K1114" s="120">
        <f>ROUND(Tableau13[[#This Row],[LEN]]*7.27,0)</f>
        <v>211</v>
      </c>
      <c r="L1114" s="120">
        <v>15</v>
      </c>
      <c r="M1114" s="137" t="str">
        <f t="shared" si="7"/>
        <v>none</v>
      </c>
      <c r="N1114" s="120">
        <f>LEN(Tableau13[[#This Row],[LABEL]])</f>
        <v>29</v>
      </c>
      <c r="O1114" s="120">
        <v>15</v>
      </c>
      <c r="P1114" s="120" t="e">
        <f>ROUND(Tableau13[[#This Row],[LEN]]*#REF!+#REF!,0)</f>
        <v>#REF!</v>
      </c>
    </row>
    <row r="1115" spans="1:16" s="97" customFormat="1" x14ac:dyDescent="0.25">
      <c r="A1115" s="61" t="s">
        <v>1913</v>
      </c>
      <c r="B1115" s="62" t="s">
        <v>336</v>
      </c>
      <c r="C1115" s="63" t="s">
        <v>1918</v>
      </c>
      <c r="D1115" s="79" t="s">
        <v>28</v>
      </c>
      <c r="E1115" s="63" t="s">
        <v>678</v>
      </c>
      <c r="F1115" s="63" t="s">
        <v>1177</v>
      </c>
      <c r="G1115" s="79" t="s">
        <v>170</v>
      </c>
      <c r="H1115" s="79" t="s">
        <v>654</v>
      </c>
      <c r="I1115" s="63"/>
      <c r="J1115" s="64" t="s">
        <v>708</v>
      </c>
      <c r="K1115" s="120">
        <f>ROUND(Tableau13[[#This Row],[LEN]]*7.27,0)</f>
        <v>189</v>
      </c>
      <c r="L1115" s="120">
        <v>15</v>
      </c>
      <c r="M1115" s="137" t="str">
        <f t="shared" si="7"/>
        <v>none</v>
      </c>
      <c r="N1115" s="120">
        <f>LEN(Tableau13[[#This Row],[LABEL]])</f>
        <v>26</v>
      </c>
      <c r="O1115" s="120">
        <v>15</v>
      </c>
      <c r="P1115" s="120" t="e">
        <f>ROUND(Tableau13[[#This Row],[LEN]]*#REF!+#REF!,0)</f>
        <v>#REF!</v>
      </c>
    </row>
    <row r="1116" spans="1:16" s="97" customFormat="1" x14ac:dyDescent="0.25">
      <c r="A1116" s="61" t="s">
        <v>1914</v>
      </c>
      <c r="B1116" s="62" t="s">
        <v>336</v>
      </c>
      <c r="C1116" s="63" t="s">
        <v>602</v>
      </c>
      <c r="D1116" s="79" t="s">
        <v>28</v>
      </c>
      <c r="E1116" s="63" t="s">
        <v>661</v>
      </c>
      <c r="F1116" s="63" t="s">
        <v>1874</v>
      </c>
      <c r="G1116" s="79" t="s">
        <v>170</v>
      </c>
      <c r="H1116" s="79" t="s">
        <v>656</v>
      </c>
      <c r="I1116" s="63"/>
      <c r="J1116" s="64" t="s">
        <v>708</v>
      </c>
      <c r="K1116" s="120">
        <f>ROUND(Tableau13[[#This Row],[LEN]]*7.27,0)</f>
        <v>553</v>
      </c>
      <c r="L1116" s="120">
        <v>15</v>
      </c>
      <c r="M1116" s="137" t="str">
        <f t="shared" si="7"/>
        <v>none</v>
      </c>
      <c r="N1116" s="120">
        <f>LEN(Tableau13[[#This Row],[LABEL]])</f>
        <v>76</v>
      </c>
      <c r="O1116" s="120">
        <v>15</v>
      </c>
      <c r="P1116" s="120" t="e">
        <f>ROUND(Tableau13[[#This Row],[LEN]]*#REF!+#REF!,0)</f>
        <v>#REF!</v>
      </c>
    </row>
    <row r="1117" spans="1:16" s="97" customFormat="1" x14ac:dyDescent="0.25">
      <c r="A1117" s="61" t="s">
        <v>1915</v>
      </c>
      <c r="B1117" s="62" t="s">
        <v>336</v>
      </c>
      <c r="C1117" s="63" t="s">
        <v>50</v>
      </c>
      <c r="D1117" s="79" t="s">
        <v>28</v>
      </c>
      <c r="E1117" s="63" t="s">
        <v>1177</v>
      </c>
      <c r="F1117" s="63" t="s">
        <v>1084</v>
      </c>
      <c r="G1117" s="79" t="s">
        <v>170</v>
      </c>
      <c r="H1117" s="79" t="s">
        <v>1131</v>
      </c>
      <c r="I1117" s="63"/>
      <c r="J1117" s="64" t="s">
        <v>708</v>
      </c>
      <c r="K1117" s="120">
        <f>ROUND(Tableau13[[#This Row],[LEN]]*7.27,0)</f>
        <v>87</v>
      </c>
      <c r="L1117" s="120">
        <v>15</v>
      </c>
      <c r="M1117" s="137" t="str">
        <f t="shared" si="7"/>
        <v>none</v>
      </c>
      <c r="N1117" s="120">
        <f>LEN(Tableau13[[#This Row],[LABEL]])</f>
        <v>12</v>
      </c>
      <c r="O1117" s="120">
        <v>15</v>
      </c>
      <c r="P1117" s="120" t="e">
        <f>ROUND(Tableau13[[#This Row],[LEN]]*#REF!+#REF!,0)</f>
        <v>#REF!</v>
      </c>
    </row>
    <row r="1118" spans="1:16" s="97" customFormat="1" x14ac:dyDescent="0.25">
      <c r="A1118" s="61" t="s">
        <v>1916</v>
      </c>
      <c r="B1118" s="62" t="s">
        <v>336</v>
      </c>
      <c r="C1118" s="63" t="s">
        <v>603</v>
      </c>
      <c r="D1118" s="79" t="s">
        <v>28</v>
      </c>
      <c r="E1118" s="63" t="s">
        <v>1177</v>
      </c>
      <c r="F1118" s="63" t="s">
        <v>1084</v>
      </c>
      <c r="G1118" s="79" t="s">
        <v>170</v>
      </c>
      <c r="H1118" s="79" t="s">
        <v>1131</v>
      </c>
      <c r="I1118" s="63"/>
      <c r="J1118" s="64" t="s">
        <v>708</v>
      </c>
      <c r="K1118" s="120">
        <f>ROUND(Tableau13[[#This Row],[LEN]]*7.27,0)</f>
        <v>247</v>
      </c>
      <c r="L1118" s="120">
        <v>15</v>
      </c>
      <c r="M1118" s="137" t="str">
        <f t="shared" si="7"/>
        <v>none</v>
      </c>
      <c r="N1118" s="120">
        <f>LEN(Tableau13[[#This Row],[LABEL]])</f>
        <v>34</v>
      </c>
      <c r="O1118" s="120">
        <v>15</v>
      </c>
      <c r="P1118" s="120" t="e">
        <f>ROUND(Tableau13[[#This Row],[LEN]]*#REF!+#REF!,0)</f>
        <v>#REF!</v>
      </c>
    </row>
    <row r="1119" spans="1:16" s="273" customFormat="1" x14ac:dyDescent="0.25">
      <c r="A1119" s="379" t="s">
        <v>337</v>
      </c>
      <c r="B1119" s="380" t="s">
        <v>210</v>
      </c>
      <c r="C1119" s="381" t="s">
        <v>15</v>
      </c>
      <c r="D1119" s="382" t="s">
        <v>28</v>
      </c>
      <c r="E1119" s="381" t="s">
        <v>679</v>
      </c>
      <c r="F1119" s="381" t="s">
        <v>679</v>
      </c>
      <c r="G1119" s="382" t="s">
        <v>170</v>
      </c>
      <c r="H1119" s="382" t="str">
        <f>IFERROR(IF(SEARCH(".00.00.00.00.00",Tableau13[[#This Row],[name]],1)=7,"Division",""),"")</f>
        <v>Division</v>
      </c>
      <c r="I1119" s="381"/>
      <c r="J1119" s="383" t="s">
        <v>725</v>
      </c>
      <c r="K1119" s="384">
        <f>ROUND(Tableau13[[#This Row],[LEN]]*7.27,0)</f>
        <v>174</v>
      </c>
      <c r="L1119" s="384">
        <v>15</v>
      </c>
      <c r="M1119" s="385" t="str">
        <f t="shared" si="7"/>
        <v>new</v>
      </c>
      <c r="N1119" s="384">
        <f>LEN(Tableau13[[#This Row],[LABEL]])</f>
        <v>24</v>
      </c>
      <c r="O1119" s="384">
        <v>15</v>
      </c>
      <c r="P1119" s="384" t="e">
        <f>ROUND(Tableau13[[#This Row],[LEN]]*#REF!+#REF!,0)</f>
        <v>#REF!</v>
      </c>
    </row>
    <row r="1120" spans="1:16" s="97" customFormat="1" x14ac:dyDescent="0.25">
      <c r="A1120" s="61" t="s">
        <v>1921</v>
      </c>
      <c r="B1120" s="62" t="s">
        <v>337</v>
      </c>
      <c r="C1120" s="63" t="s">
        <v>1919</v>
      </c>
      <c r="D1120" s="79" t="s">
        <v>28</v>
      </c>
      <c r="E1120" s="63" t="s">
        <v>679</v>
      </c>
      <c r="F1120" s="63" t="s">
        <v>1920</v>
      </c>
      <c r="G1120" s="79" t="s">
        <v>170</v>
      </c>
      <c r="H1120" s="79" t="s">
        <v>656</v>
      </c>
      <c r="I1120" s="63"/>
      <c r="J1120" s="64" t="s">
        <v>708</v>
      </c>
      <c r="K1120" s="120">
        <f>ROUND(Tableau13[[#This Row],[LEN]]*7.27,0)</f>
        <v>225</v>
      </c>
      <c r="L1120" s="120">
        <v>15</v>
      </c>
      <c r="M1120" s="137" t="str">
        <f t="shared" si="7"/>
        <v>none</v>
      </c>
      <c r="N1120" s="120">
        <f>LEN(Tableau13[[#This Row],[LABEL]])</f>
        <v>31</v>
      </c>
      <c r="O1120" s="120">
        <v>15</v>
      </c>
      <c r="P1120" s="120" t="e">
        <f>ROUND(Tableau13[[#This Row],[LEN]]*#REF!+#REF!,0)</f>
        <v>#REF!</v>
      </c>
    </row>
    <row r="1121" spans="1:16" s="97" customFormat="1" x14ac:dyDescent="0.25">
      <c r="A1121" s="61" t="s">
        <v>1922</v>
      </c>
      <c r="B1121" s="62" t="s">
        <v>337</v>
      </c>
      <c r="C1121" s="63" t="s">
        <v>602</v>
      </c>
      <c r="D1121" s="79" t="s">
        <v>28</v>
      </c>
      <c r="E1121" s="63" t="s">
        <v>661</v>
      </c>
      <c r="F1121" s="63" t="s">
        <v>1874</v>
      </c>
      <c r="G1121" s="79" t="s">
        <v>170</v>
      </c>
      <c r="H1121" s="79" t="s">
        <v>656</v>
      </c>
      <c r="I1121" s="63"/>
      <c r="J1121" s="64" t="s">
        <v>708</v>
      </c>
      <c r="K1121" s="120">
        <f>ROUND(Tableau13[[#This Row],[LEN]]*7.27,0)</f>
        <v>553</v>
      </c>
      <c r="L1121" s="120">
        <v>15</v>
      </c>
      <c r="M1121" s="137" t="str">
        <f t="shared" si="7"/>
        <v>none</v>
      </c>
      <c r="N1121" s="120">
        <f>LEN(Tableau13[[#This Row],[LABEL]])</f>
        <v>76</v>
      </c>
      <c r="O1121" s="120">
        <v>15</v>
      </c>
      <c r="P1121" s="120" t="e">
        <f>ROUND(Tableau13[[#This Row],[LEN]]*#REF!+#REF!,0)</f>
        <v>#REF!</v>
      </c>
    </row>
    <row r="1122" spans="1:16" s="97" customFormat="1" x14ac:dyDescent="0.25">
      <c r="A1122" s="61" t="s">
        <v>1923</v>
      </c>
      <c r="B1122" s="62" t="s">
        <v>337</v>
      </c>
      <c r="C1122" s="63" t="s">
        <v>50</v>
      </c>
      <c r="D1122" s="79" t="s">
        <v>28</v>
      </c>
      <c r="E1122" s="63" t="s">
        <v>1177</v>
      </c>
      <c r="F1122" s="63" t="s">
        <v>1084</v>
      </c>
      <c r="G1122" s="79" t="s">
        <v>170</v>
      </c>
      <c r="H1122" s="79" t="s">
        <v>1131</v>
      </c>
      <c r="I1122" s="63"/>
      <c r="J1122" s="64" t="s">
        <v>708</v>
      </c>
      <c r="K1122" s="120">
        <f>ROUND(Tableau13[[#This Row],[LEN]]*7.27,0)</f>
        <v>87</v>
      </c>
      <c r="L1122" s="120">
        <v>15</v>
      </c>
      <c r="M1122" s="137" t="str">
        <f t="shared" si="7"/>
        <v>none</v>
      </c>
      <c r="N1122" s="120">
        <f>LEN(Tableau13[[#This Row],[LABEL]])</f>
        <v>12</v>
      </c>
      <c r="O1122" s="120">
        <v>15</v>
      </c>
      <c r="P1122" s="120" t="e">
        <f>ROUND(Tableau13[[#This Row],[LEN]]*#REF!+#REF!,0)</f>
        <v>#REF!</v>
      </c>
    </row>
    <row r="1123" spans="1:16" s="97" customFormat="1" ht="15.75" thickBot="1" x14ac:dyDescent="0.3">
      <c r="A1123" s="61" t="s">
        <v>1924</v>
      </c>
      <c r="B1123" s="62" t="s">
        <v>337</v>
      </c>
      <c r="C1123" s="63" t="s">
        <v>603</v>
      </c>
      <c r="D1123" s="79" t="s">
        <v>28</v>
      </c>
      <c r="E1123" s="63" t="s">
        <v>1177</v>
      </c>
      <c r="F1123" s="63" t="s">
        <v>1084</v>
      </c>
      <c r="G1123" s="79" t="s">
        <v>170</v>
      </c>
      <c r="H1123" s="79" t="s">
        <v>1131</v>
      </c>
      <c r="I1123" s="63"/>
      <c r="J1123" s="64" t="s">
        <v>708</v>
      </c>
      <c r="K1123" s="120">
        <f>ROUND(Tableau13[[#This Row],[LEN]]*7.27,0)</f>
        <v>247</v>
      </c>
      <c r="L1123" s="120">
        <v>15</v>
      </c>
      <c r="M1123" s="137" t="str">
        <f t="shared" si="7"/>
        <v>none</v>
      </c>
      <c r="N1123" s="120">
        <f>LEN(Tableau13[[#This Row],[LABEL]])</f>
        <v>34</v>
      </c>
      <c r="O1123" s="120">
        <v>15</v>
      </c>
      <c r="P1123" s="120" t="e">
        <f>ROUND(Tableau13[[#This Row],[LEN]]*#REF!+#REF!,0)</f>
        <v>#REF!</v>
      </c>
    </row>
    <row r="1124" spans="1:16" s="92" customFormat="1" ht="16.5" thickTop="1" thickBot="1" x14ac:dyDescent="0.3">
      <c r="A1124" s="205" t="s">
        <v>211</v>
      </c>
      <c r="B1124" s="205" t="s">
        <v>203</v>
      </c>
      <c r="C1124" s="206" t="s">
        <v>179</v>
      </c>
      <c r="D1124" s="207" t="s">
        <v>475</v>
      </c>
      <c r="E1124" s="206" t="s">
        <v>58</v>
      </c>
      <c r="F1124" s="207"/>
      <c r="G1124" s="206" t="s">
        <v>171</v>
      </c>
      <c r="H1124" s="206" t="s">
        <v>616</v>
      </c>
      <c r="I1124" s="207"/>
      <c r="J1124" s="208" t="s">
        <v>708</v>
      </c>
      <c r="K1124" s="209">
        <f>ROUND(Tableau13[[#This Row],[LEN]]*7.27,0)</f>
        <v>116</v>
      </c>
      <c r="L1124" s="209">
        <v>15</v>
      </c>
      <c r="M1124" s="210" t="str">
        <f t="shared" si="7"/>
        <v>none</v>
      </c>
      <c r="N1124" s="209">
        <f>LEN(Tableau13[[#This Row],[LABEL]])</f>
        <v>16</v>
      </c>
      <c r="O1124" s="211">
        <v>15</v>
      </c>
      <c r="P1124" s="211" t="e">
        <f>ROUND(Tableau13[[#This Row],[LEN]]*#REF!+#REF!,0)</f>
        <v>#REF!</v>
      </c>
    </row>
    <row r="1125" spans="1:16" s="92" customFormat="1" ht="15.75" thickTop="1" x14ac:dyDescent="0.25">
      <c r="A1125" s="386" t="s">
        <v>338</v>
      </c>
      <c r="B1125" s="387" t="s">
        <v>211</v>
      </c>
      <c r="C1125" s="388" t="s">
        <v>1</v>
      </c>
      <c r="D1125" s="389" t="s">
        <v>28</v>
      </c>
      <c r="E1125" s="390" t="s">
        <v>664</v>
      </c>
      <c r="F1125" s="388" t="s">
        <v>664</v>
      </c>
      <c r="G1125" s="389" t="s">
        <v>171</v>
      </c>
      <c r="H1125" s="389" t="str">
        <f>IFERROR(IF(SEARCH(".00.00.00.00.00",Tableau13[[#This Row],[name]],1)=7,"Division",""),"")</f>
        <v>Division</v>
      </c>
      <c r="I1125" s="388"/>
      <c r="J1125" s="391" t="s">
        <v>708</v>
      </c>
      <c r="K1125" s="392">
        <f>ROUND(Tableau13[[#This Row],[LEN]]*7.27,0)</f>
        <v>182</v>
      </c>
      <c r="L1125" s="392">
        <v>15</v>
      </c>
      <c r="M1125" s="393" t="str">
        <f t="shared" si="7"/>
        <v>none</v>
      </c>
      <c r="N1125" s="392">
        <f>LEN(Tableau13[[#This Row],[LABEL]])</f>
        <v>25</v>
      </c>
      <c r="O1125" s="392">
        <v>15</v>
      </c>
      <c r="P1125" s="392" t="e">
        <f>ROUND(Tableau13[[#This Row],[LEN]]*#REF!+#REF!,0)</f>
        <v>#REF!</v>
      </c>
    </row>
    <row r="1126" spans="1:16" s="92" customFormat="1" x14ac:dyDescent="0.25">
      <c r="A1126" s="394" t="s">
        <v>339</v>
      </c>
      <c r="B1126" s="395" t="s">
        <v>211</v>
      </c>
      <c r="C1126" s="396" t="s">
        <v>57</v>
      </c>
      <c r="D1126" s="397" t="s">
        <v>28</v>
      </c>
      <c r="E1126" s="398" t="s">
        <v>663</v>
      </c>
      <c r="F1126" s="396" t="s">
        <v>663</v>
      </c>
      <c r="G1126" s="397" t="s">
        <v>171</v>
      </c>
      <c r="H1126" s="397" t="str">
        <f>IFERROR(IF(SEARCH(".00.00.00.00.00",Tableau13[[#This Row],[name]],1)=7,"Division",""),"")</f>
        <v>Division</v>
      </c>
      <c r="I1126" s="396"/>
      <c r="J1126" s="399" t="s">
        <v>709</v>
      </c>
      <c r="K1126" s="400">
        <f>ROUND(Tableau13[[#This Row],[LEN]]*7.27,0)</f>
        <v>102</v>
      </c>
      <c r="L1126" s="400">
        <v>15</v>
      </c>
      <c r="M1126" s="401" t="str">
        <f t="shared" si="7"/>
        <v>new</v>
      </c>
      <c r="N1126" s="400">
        <f>LEN(Tableau13[[#This Row],[LABEL]])</f>
        <v>14</v>
      </c>
      <c r="O1126" s="400">
        <v>15</v>
      </c>
      <c r="P1126" s="400" t="e">
        <f>ROUND(Tableau13[[#This Row],[LEN]]*#REF!+#REF!,0)</f>
        <v>#REF!</v>
      </c>
    </row>
    <row r="1127" spans="1:16" x14ac:dyDescent="0.25">
      <c r="A1127" s="98" t="s">
        <v>913</v>
      </c>
      <c r="B1127" s="99" t="s">
        <v>339</v>
      </c>
      <c r="C1127" s="100" t="s">
        <v>914</v>
      </c>
      <c r="D1127" s="80" t="s">
        <v>28</v>
      </c>
      <c r="E1127" s="82" t="s">
        <v>663</v>
      </c>
      <c r="F1127" s="100" t="s">
        <v>663</v>
      </c>
      <c r="G1127" s="80" t="s">
        <v>171</v>
      </c>
      <c r="H1127" s="80" t="s">
        <v>56</v>
      </c>
      <c r="I1127" s="100"/>
      <c r="J1127" s="101" t="s">
        <v>708</v>
      </c>
      <c r="K1127" s="121">
        <f>ROUND(Tableau13[[#This Row],[LEN]]*7.27,0)</f>
        <v>313</v>
      </c>
      <c r="L1127" s="121">
        <v>15</v>
      </c>
      <c r="M1127" s="138" t="str">
        <f t="shared" si="7"/>
        <v>none</v>
      </c>
      <c r="N1127" s="121">
        <f>LEN(Tableau13[[#This Row],[LABEL]])</f>
        <v>43</v>
      </c>
      <c r="O1127" s="121">
        <v>15</v>
      </c>
      <c r="P1127" s="121" t="e">
        <f>ROUND(Tableau13[[#This Row],[LEN]]*#REF!+#REF!,0)</f>
        <v>#REF!</v>
      </c>
    </row>
    <row r="1128" spans="1:16" s="92" customFormat="1" x14ac:dyDescent="0.25">
      <c r="A1128" s="394" t="s">
        <v>340</v>
      </c>
      <c r="B1128" s="395" t="s">
        <v>211</v>
      </c>
      <c r="C1128" s="396" t="s">
        <v>2</v>
      </c>
      <c r="D1128" s="397" t="s">
        <v>28</v>
      </c>
      <c r="E1128" s="398" t="s">
        <v>662</v>
      </c>
      <c r="F1128" s="396" t="s">
        <v>662</v>
      </c>
      <c r="G1128" s="397" t="s">
        <v>171</v>
      </c>
      <c r="H1128" s="397" t="str">
        <f>IFERROR(IF(SEARCH(".00.00.00.00.00",Tableau13[[#This Row],[name]],1)=7,"Division",""),"")</f>
        <v>Division</v>
      </c>
      <c r="I1128" s="396"/>
      <c r="J1128" s="399" t="s">
        <v>710</v>
      </c>
      <c r="K1128" s="400">
        <f>ROUND(Tableau13[[#This Row],[LEN]]*7.27,0)</f>
        <v>65</v>
      </c>
      <c r="L1128" s="400">
        <v>15</v>
      </c>
      <c r="M1128" s="401" t="str">
        <f t="shared" si="7"/>
        <v>new</v>
      </c>
      <c r="N1128" s="400">
        <f>LEN(Tableau13[[#This Row],[LABEL]])</f>
        <v>9</v>
      </c>
      <c r="O1128" s="400">
        <v>15</v>
      </c>
      <c r="P1128" s="400" t="e">
        <f>ROUND(Tableau13[[#This Row],[LEN]]*#REF!+#REF!,0)</f>
        <v>#REF!</v>
      </c>
    </row>
    <row r="1129" spans="1:16" s="92" customFormat="1" x14ac:dyDescent="0.25">
      <c r="A1129" s="394" t="s">
        <v>341</v>
      </c>
      <c r="B1129" s="395" t="s">
        <v>211</v>
      </c>
      <c r="C1129" s="396" t="s">
        <v>3</v>
      </c>
      <c r="D1129" s="397" t="s">
        <v>28</v>
      </c>
      <c r="E1129" s="398" t="s">
        <v>661</v>
      </c>
      <c r="F1129" s="396" t="s">
        <v>661</v>
      </c>
      <c r="G1129" s="397" t="s">
        <v>171</v>
      </c>
      <c r="H1129" s="397" t="str">
        <f>IFERROR(IF(SEARCH(".00.00.00.00.00",Tableau13[[#This Row],[name]],1)=7,"Division",""),"")</f>
        <v>Division</v>
      </c>
      <c r="I1129" s="396"/>
      <c r="J1129" s="399" t="s">
        <v>711</v>
      </c>
      <c r="K1129" s="400">
        <f>ROUND(Tableau13[[#This Row],[LEN]]*7.27,0)</f>
        <v>73</v>
      </c>
      <c r="L1129" s="400">
        <v>15</v>
      </c>
      <c r="M1129" s="401" t="str">
        <f t="shared" si="7"/>
        <v>new</v>
      </c>
      <c r="N1129" s="400">
        <f>LEN(Tableau13[[#This Row],[LABEL]])</f>
        <v>10</v>
      </c>
      <c r="O1129" s="400">
        <v>15</v>
      </c>
      <c r="P1129" s="400" t="e">
        <f>ROUND(Tableau13[[#This Row],[LEN]]*#REF!+#REF!,0)</f>
        <v>#REF!</v>
      </c>
    </row>
    <row r="1130" spans="1:16" s="92" customFormat="1" x14ac:dyDescent="0.25">
      <c r="A1130" s="394" t="s">
        <v>342</v>
      </c>
      <c r="B1130" s="395" t="s">
        <v>211</v>
      </c>
      <c r="C1130" s="396" t="s">
        <v>4</v>
      </c>
      <c r="D1130" s="397" t="s">
        <v>28</v>
      </c>
      <c r="E1130" s="398" t="s">
        <v>666</v>
      </c>
      <c r="F1130" s="396" t="s">
        <v>666</v>
      </c>
      <c r="G1130" s="397" t="s">
        <v>171</v>
      </c>
      <c r="H1130" s="397" t="str">
        <f>IFERROR(IF(SEARCH(".00.00.00.00.00",Tableau13[[#This Row],[name]],1)=7,"Division",""),"")</f>
        <v>Division</v>
      </c>
      <c r="I1130" s="396"/>
      <c r="J1130" s="399" t="s">
        <v>712</v>
      </c>
      <c r="K1130" s="400">
        <f>ROUND(Tableau13[[#This Row],[LEN]]*7.27,0)</f>
        <v>36</v>
      </c>
      <c r="L1130" s="400">
        <v>15</v>
      </c>
      <c r="M1130" s="401" t="str">
        <f t="shared" si="7"/>
        <v>new</v>
      </c>
      <c r="N1130" s="400">
        <f>LEN(Tableau13[[#This Row],[LABEL]])</f>
        <v>5</v>
      </c>
      <c r="O1130" s="400">
        <v>15</v>
      </c>
      <c r="P1130" s="400" t="e">
        <f>ROUND(Tableau13[[#This Row],[LEN]]*#REF!+#REF!,0)</f>
        <v>#REF!</v>
      </c>
    </row>
    <row r="1131" spans="1:16" s="92" customFormat="1" x14ac:dyDescent="0.25">
      <c r="A1131" s="394" t="s">
        <v>343</v>
      </c>
      <c r="B1131" s="395" t="s">
        <v>211</v>
      </c>
      <c r="C1131" s="396" t="s">
        <v>80</v>
      </c>
      <c r="D1131" s="397" t="s">
        <v>28</v>
      </c>
      <c r="E1131" s="398" t="s">
        <v>667</v>
      </c>
      <c r="F1131" s="396" t="s">
        <v>667</v>
      </c>
      <c r="G1131" s="397" t="s">
        <v>171</v>
      </c>
      <c r="H1131" s="397" t="str">
        <f>IFERROR(IF(SEARCH(".00.00.00.00.00",Tableau13[[#This Row],[name]],1)=7,"Division",""),"")</f>
        <v>Division</v>
      </c>
      <c r="I1131" s="396"/>
      <c r="J1131" s="399" t="s">
        <v>713</v>
      </c>
      <c r="K1131" s="400">
        <f>ROUND(Tableau13[[#This Row],[LEN]]*7.27,0)</f>
        <v>116</v>
      </c>
      <c r="L1131" s="400">
        <v>15</v>
      </c>
      <c r="M1131" s="401" t="str">
        <f t="shared" si="7"/>
        <v>new</v>
      </c>
      <c r="N1131" s="400">
        <f>LEN(Tableau13[[#This Row],[LABEL]])</f>
        <v>16</v>
      </c>
      <c r="O1131" s="400">
        <v>15</v>
      </c>
      <c r="P1131" s="400" t="e">
        <f>ROUND(Tableau13[[#This Row],[LEN]]*#REF!+#REF!,0)</f>
        <v>#REF!</v>
      </c>
    </row>
    <row r="1132" spans="1:16" s="92" customFormat="1" x14ac:dyDescent="0.25">
      <c r="A1132" s="394" t="s">
        <v>344</v>
      </c>
      <c r="B1132" s="395" t="s">
        <v>211</v>
      </c>
      <c r="C1132" s="396" t="s">
        <v>5</v>
      </c>
      <c r="D1132" s="397" t="s">
        <v>28</v>
      </c>
      <c r="E1132" s="398" t="s">
        <v>668</v>
      </c>
      <c r="F1132" s="396" t="s">
        <v>668</v>
      </c>
      <c r="G1132" s="397" t="s">
        <v>171</v>
      </c>
      <c r="H1132" s="397" t="str">
        <f>IFERROR(IF(SEARCH(".00.00.00.00.00",Tableau13[[#This Row],[name]],1)=7,"Division",""),"")</f>
        <v>Division</v>
      </c>
      <c r="I1132" s="396"/>
      <c r="J1132" s="399" t="s">
        <v>714</v>
      </c>
      <c r="K1132" s="400">
        <f>ROUND(Tableau13[[#This Row],[LEN]]*7.27,0)</f>
        <v>73</v>
      </c>
      <c r="L1132" s="400">
        <v>15</v>
      </c>
      <c r="M1132" s="401" t="str">
        <f t="shared" si="7"/>
        <v>new</v>
      </c>
      <c r="N1132" s="400">
        <f>LEN(Tableau13[[#This Row],[LABEL]])</f>
        <v>10</v>
      </c>
      <c r="O1132" s="400">
        <v>15</v>
      </c>
      <c r="P1132" s="400" t="e">
        <f>ROUND(Tableau13[[#This Row],[LEN]]*#REF!+#REF!,0)</f>
        <v>#REF!</v>
      </c>
    </row>
    <row r="1133" spans="1:16" s="92" customFormat="1" x14ac:dyDescent="0.25">
      <c r="A1133" s="394" t="s">
        <v>345</v>
      </c>
      <c r="B1133" s="395" t="s">
        <v>211</v>
      </c>
      <c r="C1133" s="396" t="s">
        <v>6</v>
      </c>
      <c r="D1133" s="397" t="s">
        <v>28</v>
      </c>
      <c r="E1133" s="398" t="s">
        <v>669</v>
      </c>
      <c r="F1133" s="396" t="s">
        <v>669</v>
      </c>
      <c r="G1133" s="397" t="s">
        <v>171</v>
      </c>
      <c r="H1133" s="397" t="str">
        <f>IFERROR(IF(SEARCH(".00.00.00.00.00",Tableau13[[#This Row],[name]],1)=7,"Division",""),"")</f>
        <v>Division</v>
      </c>
      <c r="I1133" s="396"/>
      <c r="J1133" s="399" t="s">
        <v>715</v>
      </c>
      <c r="K1133" s="400">
        <f>ROUND(Tableau13[[#This Row],[LEN]]*7.27,0)</f>
        <v>196</v>
      </c>
      <c r="L1133" s="400">
        <v>15</v>
      </c>
      <c r="M1133" s="401" t="str">
        <f t="shared" si="7"/>
        <v>new</v>
      </c>
      <c r="N1133" s="400">
        <f>LEN(Tableau13[[#This Row],[LABEL]])</f>
        <v>27</v>
      </c>
      <c r="O1133" s="400">
        <v>15</v>
      </c>
      <c r="P1133" s="400" t="e">
        <f>ROUND(Tableau13[[#This Row],[LEN]]*#REF!+#REF!,0)</f>
        <v>#REF!</v>
      </c>
    </row>
    <row r="1134" spans="1:16" x14ac:dyDescent="0.25">
      <c r="A1134" s="98" t="s">
        <v>1925</v>
      </c>
      <c r="B1134" s="99" t="s">
        <v>345</v>
      </c>
      <c r="C1134" s="100" t="s">
        <v>1930</v>
      </c>
      <c r="D1134" s="80" t="s">
        <v>28</v>
      </c>
      <c r="E1134" s="82" t="s">
        <v>669</v>
      </c>
      <c r="F1134" s="100" t="s">
        <v>1177</v>
      </c>
      <c r="G1134" s="80" t="s">
        <v>171</v>
      </c>
      <c r="H1134" s="80" t="s">
        <v>656</v>
      </c>
      <c r="I1134" s="100"/>
      <c r="J1134" s="101" t="s">
        <v>708</v>
      </c>
      <c r="K1134" s="121">
        <f>ROUND(Tableau13[[#This Row],[LEN]]*7.27,0)</f>
        <v>436</v>
      </c>
      <c r="L1134" s="121">
        <v>15</v>
      </c>
      <c r="M1134" s="138" t="str">
        <f t="shared" si="7"/>
        <v>none</v>
      </c>
      <c r="N1134" s="121">
        <f>LEN(Tableau13[[#This Row],[LABEL]])</f>
        <v>60</v>
      </c>
      <c r="O1134" s="121">
        <v>15</v>
      </c>
      <c r="P1134" s="121" t="e">
        <f>ROUND(Tableau13[[#This Row],[LEN]]*#REF!+#REF!,0)</f>
        <v>#REF!</v>
      </c>
    </row>
    <row r="1135" spans="1:16" x14ac:dyDescent="0.25">
      <c r="A1135" s="98" t="s">
        <v>1928</v>
      </c>
      <c r="B1135" s="99" t="s">
        <v>1926</v>
      </c>
      <c r="C1135" s="100" t="s">
        <v>1931</v>
      </c>
      <c r="D1135" s="80" t="s">
        <v>28</v>
      </c>
      <c r="E1135" s="82" t="s">
        <v>669</v>
      </c>
      <c r="F1135" s="100" t="s">
        <v>1177</v>
      </c>
      <c r="G1135" s="80" t="s">
        <v>171</v>
      </c>
      <c r="H1135" s="80" t="s">
        <v>656</v>
      </c>
      <c r="I1135" s="100"/>
      <c r="J1135" s="101" t="s">
        <v>708</v>
      </c>
      <c r="K1135" s="121">
        <f>ROUND(Tableau13[[#This Row],[LEN]]*7.27,0)</f>
        <v>211</v>
      </c>
      <c r="L1135" s="121">
        <v>15</v>
      </c>
      <c r="M1135" s="138" t="str">
        <f t="shared" si="7"/>
        <v>none</v>
      </c>
      <c r="N1135" s="121">
        <f>LEN(Tableau13[[#This Row],[LABEL]])</f>
        <v>29</v>
      </c>
      <c r="O1135" s="121">
        <v>15</v>
      </c>
      <c r="P1135" s="121" t="e">
        <f>ROUND(Tableau13[[#This Row],[LEN]]*#REF!+#REF!,0)</f>
        <v>#REF!</v>
      </c>
    </row>
    <row r="1136" spans="1:16" x14ac:dyDescent="0.25">
      <c r="A1136" s="98" t="s">
        <v>1929</v>
      </c>
      <c r="B1136" s="99" t="s">
        <v>1927</v>
      </c>
      <c r="C1136" s="100" t="s">
        <v>1932</v>
      </c>
      <c r="D1136" s="80" t="s">
        <v>28</v>
      </c>
      <c r="E1136" s="82" t="s">
        <v>669</v>
      </c>
      <c r="F1136" s="100" t="s">
        <v>1177</v>
      </c>
      <c r="G1136" s="80" t="s">
        <v>171</v>
      </c>
      <c r="H1136" s="80" t="s">
        <v>656</v>
      </c>
      <c r="I1136" s="100"/>
      <c r="J1136" s="101" t="s">
        <v>708</v>
      </c>
      <c r="K1136" s="121">
        <f>ROUND(Tableau13[[#This Row],[LEN]]*7.27,0)</f>
        <v>124</v>
      </c>
      <c r="L1136" s="121">
        <v>15</v>
      </c>
      <c r="M1136" s="138" t="str">
        <f t="shared" si="7"/>
        <v>none</v>
      </c>
      <c r="N1136" s="121">
        <f>LEN(Tableau13[[#This Row],[LABEL]])</f>
        <v>17</v>
      </c>
      <c r="O1136" s="121">
        <v>15</v>
      </c>
      <c r="P1136" s="121" t="e">
        <f>ROUND(Tableau13[[#This Row],[LEN]]*#REF!+#REF!,0)</f>
        <v>#REF!</v>
      </c>
    </row>
    <row r="1137" spans="1:16" s="92" customFormat="1" x14ac:dyDescent="0.25">
      <c r="A1137" s="394" t="s">
        <v>346</v>
      </c>
      <c r="B1137" s="395" t="s">
        <v>211</v>
      </c>
      <c r="C1137" s="396" t="s">
        <v>7</v>
      </c>
      <c r="D1137" s="397" t="s">
        <v>28</v>
      </c>
      <c r="E1137" s="398" t="s">
        <v>670</v>
      </c>
      <c r="F1137" s="396" t="s">
        <v>670</v>
      </c>
      <c r="G1137" s="397" t="s">
        <v>171</v>
      </c>
      <c r="H1137" s="397" t="str">
        <f>IFERROR(IF(SEARCH(".00.00.00.00.00",Tableau13[[#This Row],[name]],1)=7,"Division",""),"")</f>
        <v>Division</v>
      </c>
      <c r="I1137" s="396"/>
      <c r="J1137" s="399" t="s">
        <v>716</v>
      </c>
      <c r="K1137" s="400">
        <f>ROUND(Tableau13[[#This Row],[LEN]]*7.27,0)</f>
        <v>189</v>
      </c>
      <c r="L1137" s="400">
        <v>15</v>
      </c>
      <c r="M1137" s="401" t="str">
        <f t="shared" si="7"/>
        <v>new</v>
      </c>
      <c r="N1137" s="400">
        <f>LEN(Tableau13[[#This Row],[LABEL]])</f>
        <v>26</v>
      </c>
      <c r="O1137" s="400">
        <v>15</v>
      </c>
      <c r="P1137" s="400" t="e">
        <f>ROUND(Tableau13[[#This Row],[LEN]]*#REF!+#REF!,0)</f>
        <v>#REF!</v>
      </c>
    </row>
    <row r="1138" spans="1:16" x14ac:dyDescent="0.25">
      <c r="A1138" s="98" t="s">
        <v>1933</v>
      </c>
      <c r="B1138" s="99" t="s">
        <v>346</v>
      </c>
      <c r="C1138" s="100" t="s">
        <v>1934</v>
      </c>
      <c r="D1138" s="80" t="s">
        <v>28</v>
      </c>
      <c r="E1138" s="82" t="s">
        <v>670</v>
      </c>
      <c r="F1138" s="100" t="s">
        <v>1177</v>
      </c>
      <c r="G1138" s="80" t="s">
        <v>171</v>
      </c>
      <c r="H1138" s="80" t="s">
        <v>656</v>
      </c>
      <c r="I1138" s="100"/>
      <c r="J1138" s="101" t="s">
        <v>708</v>
      </c>
      <c r="K1138" s="121">
        <f>ROUND(Tableau13[[#This Row],[LEN]]*7.27,0)</f>
        <v>138</v>
      </c>
      <c r="L1138" s="121">
        <v>15</v>
      </c>
      <c r="M1138" s="138" t="str">
        <f t="shared" si="7"/>
        <v>none</v>
      </c>
      <c r="N1138" s="121">
        <f>LEN(Tableau13[[#This Row],[LABEL]])</f>
        <v>19</v>
      </c>
      <c r="O1138" s="121">
        <v>15</v>
      </c>
      <c r="P1138" s="121" t="e">
        <f>ROUND(Tableau13[[#This Row],[LEN]]*#REF!+#REF!,0)</f>
        <v>#REF!</v>
      </c>
    </row>
    <row r="1139" spans="1:16" s="92" customFormat="1" x14ac:dyDescent="0.25">
      <c r="A1139" s="394" t="s">
        <v>347</v>
      </c>
      <c r="B1139" s="395" t="s">
        <v>211</v>
      </c>
      <c r="C1139" s="396" t="s">
        <v>8</v>
      </c>
      <c r="D1139" s="397" t="s">
        <v>28</v>
      </c>
      <c r="E1139" s="398" t="s">
        <v>671</v>
      </c>
      <c r="F1139" s="396" t="s">
        <v>671</v>
      </c>
      <c r="G1139" s="397" t="s">
        <v>171</v>
      </c>
      <c r="H1139" s="397" t="str">
        <f>IFERROR(IF(SEARCH(".00.00.00.00.00",Tableau13[[#This Row],[name]],1)=7,"Division",""),"")</f>
        <v>Division</v>
      </c>
      <c r="I1139" s="396"/>
      <c r="J1139" s="399" t="s">
        <v>717</v>
      </c>
      <c r="K1139" s="400">
        <f>ROUND(Tableau13[[#This Row],[LEN]]*7.27,0)</f>
        <v>116</v>
      </c>
      <c r="L1139" s="400">
        <v>15</v>
      </c>
      <c r="M1139" s="401" t="str">
        <f t="shared" si="7"/>
        <v>new</v>
      </c>
      <c r="N1139" s="400">
        <f>LEN(Tableau13[[#This Row],[LABEL]])</f>
        <v>16</v>
      </c>
      <c r="O1139" s="400">
        <v>15</v>
      </c>
      <c r="P1139" s="400" t="e">
        <f>ROUND(Tableau13[[#This Row],[LEN]]*#REF!+#REF!,0)</f>
        <v>#REF!</v>
      </c>
    </row>
    <row r="1140" spans="1:16" s="92" customFormat="1" x14ac:dyDescent="0.25">
      <c r="A1140" s="394" t="s">
        <v>348</v>
      </c>
      <c r="B1140" s="395" t="s">
        <v>211</v>
      </c>
      <c r="C1140" s="396" t="s">
        <v>9</v>
      </c>
      <c r="D1140" s="397" t="s">
        <v>28</v>
      </c>
      <c r="E1140" s="398" t="s">
        <v>672</v>
      </c>
      <c r="F1140" s="396" t="s">
        <v>672</v>
      </c>
      <c r="G1140" s="397" t="s">
        <v>171</v>
      </c>
      <c r="H1140" s="397" t="str">
        <f>IFERROR(IF(SEARCH(".00.00.00.00.00",Tableau13[[#This Row],[name]],1)=7,"Division",""),"")</f>
        <v>Division</v>
      </c>
      <c r="I1140" s="396"/>
      <c r="J1140" s="399" t="s">
        <v>718</v>
      </c>
      <c r="K1140" s="400">
        <f>ROUND(Tableau13[[#This Row],[LEN]]*7.27,0)</f>
        <v>80</v>
      </c>
      <c r="L1140" s="400">
        <v>15</v>
      </c>
      <c r="M1140" s="401" t="str">
        <f t="shared" si="7"/>
        <v>new</v>
      </c>
      <c r="N1140" s="400">
        <f>LEN(Tableau13[[#This Row],[LABEL]])</f>
        <v>11</v>
      </c>
      <c r="O1140" s="400">
        <v>15</v>
      </c>
      <c r="P1140" s="400" t="e">
        <f>ROUND(Tableau13[[#This Row],[LEN]]*#REF!+#REF!,0)</f>
        <v>#REF!</v>
      </c>
    </row>
    <row r="1141" spans="1:16" x14ac:dyDescent="0.25">
      <c r="A1141" s="98" t="s">
        <v>609</v>
      </c>
      <c r="B1141" s="99" t="s">
        <v>348</v>
      </c>
      <c r="C1141" s="100" t="s">
        <v>611</v>
      </c>
      <c r="D1141" s="80" t="s">
        <v>28</v>
      </c>
      <c r="E1141" s="82" t="s">
        <v>672</v>
      </c>
      <c r="F1141" s="100" t="s">
        <v>672</v>
      </c>
      <c r="G1141" s="80" t="s">
        <v>171</v>
      </c>
      <c r="H1141" s="80" t="s">
        <v>656</v>
      </c>
      <c r="I1141" s="100"/>
      <c r="J1141" s="101" t="s">
        <v>708</v>
      </c>
      <c r="K1141" s="121">
        <f>ROUND(Tableau13[[#This Row],[LEN]]*7.27,0)</f>
        <v>233</v>
      </c>
      <c r="L1141" s="121">
        <v>15</v>
      </c>
      <c r="M1141" s="138" t="str">
        <f t="shared" si="7"/>
        <v>none</v>
      </c>
      <c r="N1141" s="121">
        <f>LEN(Tableau13[[#This Row],[LABEL]])</f>
        <v>32</v>
      </c>
      <c r="O1141" s="121">
        <v>15</v>
      </c>
      <c r="P1141" s="121" t="e">
        <f>ROUND(Tableau13[[#This Row],[LEN]]*#REF!+#REF!,0)</f>
        <v>#REF!</v>
      </c>
    </row>
    <row r="1142" spans="1:16" x14ac:dyDescent="0.25">
      <c r="A1142" s="98" t="s">
        <v>610</v>
      </c>
      <c r="B1142" s="99" t="s">
        <v>348</v>
      </c>
      <c r="C1142" s="100" t="s">
        <v>612</v>
      </c>
      <c r="D1142" s="80" t="s">
        <v>28</v>
      </c>
      <c r="E1142" s="82" t="s">
        <v>672</v>
      </c>
      <c r="F1142" s="100" t="s">
        <v>672</v>
      </c>
      <c r="G1142" s="80" t="s">
        <v>171</v>
      </c>
      <c r="H1142" s="80" t="s">
        <v>656</v>
      </c>
      <c r="I1142" s="100"/>
      <c r="J1142" s="101" t="s">
        <v>708</v>
      </c>
      <c r="K1142" s="121">
        <f>ROUND(Tableau13[[#This Row],[LEN]]*7.27,0)</f>
        <v>182</v>
      </c>
      <c r="L1142" s="121">
        <v>15</v>
      </c>
      <c r="M1142" s="138" t="str">
        <f t="shared" si="7"/>
        <v>none</v>
      </c>
      <c r="N1142" s="121">
        <f>LEN(Tableau13[[#This Row],[LABEL]])</f>
        <v>25</v>
      </c>
      <c r="O1142" s="121">
        <v>15</v>
      </c>
      <c r="P1142" s="121" t="e">
        <f>ROUND(Tableau13[[#This Row],[LEN]]*#REF!+#REF!,0)</f>
        <v>#REF!</v>
      </c>
    </row>
    <row r="1143" spans="1:16" x14ac:dyDescent="0.25">
      <c r="A1143" s="98" t="s">
        <v>613</v>
      </c>
      <c r="B1143" s="99" t="s">
        <v>348</v>
      </c>
      <c r="C1143" s="100" t="s">
        <v>614</v>
      </c>
      <c r="D1143" s="80" t="s">
        <v>28</v>
      </c>
      <c r="E1143" s="82" t="s">
        <v>672</v>
      </c>
      <c r="F1143" s="100" t="s">
        <v>672</v>
      </c>
      <c r="G1143" s="80" t="s">
        <v>171</v>
      </c>
      <c r="H1143" s="80" t="s">
        <v>654</v>
      </c>
      <c r="I1143" s="100"/>
      <c r="J1143" s="101" t="s">
        <v>708</v>
      </c>
      <c r="K1143" s="121">
        <f>ROUND(Tableau13[[#This Row],[LEN]]*7.27,0)</f>
        <v>153</v>
      </c>
      <c r="L1143" s="121">
        <v>15</v>
      </c>
      <c r="M1143" s="138" t="str">
        <f t="shared" si="7"/>
        <v>none</v>
      </c>
      <c r="N1143" s="121">
        <f>LEN(Tableau13[[#This Row],[LABEL]])</f>
        <v>21</v>
      </c>
      <c r="O1143" s="121">
        <v>15</v>
      </c>
      <c r="P1143" s="121" t="e">
        <f>ROUND(Tableau13[[#This Row],[LEN]]*#REF!+#REF!,0)</f>
        <v>#REF!</v>
      </c>
    </row>
    <row r="1144" spans="1:16" s="92" customFormat="1" x14ac:dyDescent="0.25">
      <c r="A1144" s="394" t="s">
        <v>349</v>
      </c>
      <c r="B1144" s="395" t="s">
        <v>211</v>
      </c>
      <c r="C1144" s="396" t="s">
        <v>10</v>
      </c>
      <c r="D1144" s="397" t="s">
        <v>28</v>
      </c>
      <c r="E1144" s="398" t="s">
        <v>673</v>
      </c>
      <c r="F1144" s="396" t="s">
        <v>673</v>
      </c>
      <c r="G1144" s="397" t="s">
        <v>171</v>
      </c>
      <c r="H1144" s="397" t="str">
        <f>IFERROR(IF(SEARCH(".00.00.00.00.00",Tableau13[[#This Row],[name]],1)=7,"Division",""),"")</f>
        <v>Division</v>
      </c>
      <c r="I1144" s="396"/>
      <c r="J1144" s="399" t="s">
        <v>719</v>
      </c>
      <c r="K1144" s="400">
        <f>ROUND(Tableau13[[#This Row],[LEN]]*7.27,0)</f>
        <v>109</v>
      </c>
      <c r="L1144" s="400">
        <v>15</v>
      </c>
      <c r="M1144" s="401" t="str">
        <f t="shared" si="7"/>
        <v>new</v>
      </c>
      <c r="N1144" s="400">
        <f>LEN(Tableau13[[#This Row],[LABEL]])</f>
        <v>15</v>
      </c>
      <c r="O1144" s="400">
        <v>15</v>
      </c>
      <c r="P1144" s="400" t="e">
        <f>ROUND(Tableau13[[#This Row],[LEN]]*#REF!+#REF!,0)</f>
        <v>#REF!</v>
      </c>
    </row>
    <row r="1145" spans="1:16" x14ac:dyDescent="0.25">
      <c r="A1145" s="98" t="s">
        <v>1935</v>
      </c>
      <c r="B1145" s="99" t="s">
        <v>349</v>
      </c>
      <c r="C1145" s="100" t="s">
        <v>1936</v>
      </c>
      <c r="D1145" s="80" t="s">
        <v>28</v>
      </c>
      <c r="E1145" s="82" t="s">
        <v>673</v>
      </c>
      <c r="F1145" s="100" t="s">
        <v>1177</v>
      </c>
      <c r="G1145" s="80" t="s">
        <v>171</v>
      </c>
      <c r="H1145" s="80" t="s">
        <v>656</v>
      </c>
      <c r="I1145" s="100"/>
      <c r="J1145" s="101" t="s">
        <v>708</v>
      </c>
      <c r="K1145" s="121">
        <f>ROUND(Tableau13[[#This Row],[LEN]]*7.27,0)</f>
        <v>356</v>
      </c>
      <c r="L1145" s="121">
        <v>15</v>
      </c>
      <c r="M1145" s="138" t="str">
        <f t="shared" si="7"/>
        <v>none</v>
      </c>
      <c r="N1145" s="121">
        <f>LEN(Tableau13[[#This Row],[LABEL]])</f>
        <v>49</v>
      </c>
      <c r="O1145" s="121">
        <v>15</v>
      </c>
      <c r="P1145" s="121" t="e">
        <f>ROUND(Tableau13[[#This Row],[LEN]]*#REF!+#REF!,0)</f>
        <v>#REF!</v>
      </c>
    </row>
    <row r="1146" spans="1:16" s="92" customFormat="1" x14ac:dyDescent="0.25">
      <c r="A1146" s="394" t="s">
        <v>350</v>
      </c>
      <c r="B1146" s="395" t="s">
        <v>211</v>
      </c>
      <c r="C1146" s="396" t="s">
        <v>11</v>
      </c>
      <c r="D1146" s="397" t="s">
        <v>28</v>
      </c>
      <c r="E1146" s="398" t="s">
        <v>674</v>
      </c>
      <c r="F1146" s="396" t="s">
        <v>674</v>
      </c>
      <c r="G1146" s="397" t="s">
        <v>171</v>
      </c>
      <c r="H1146" s="397" t="str">
        <f>IFERROR(IF(SEARCH(".00.00.00.00.00",Tableau13[[#This Row],[name]],1)=7,"Division",""),"")</f>
        <v>Division</v>
      </c>
      <c r="I1146" s="396"/>
      <c r="J1146" s="399" t="s">
        <v>720</v>
      </c>
      <c r="K1146" s="400">
        <f>ROUND(Tableau13[[#This Row],[LEN]]*7.27,0)</f>
        <v>51</v>
      </c>
      <c r="L1146" s="400">
        <v>15</v>
      </c>
      <c r="M1146" s="401" t="str">
        <f t="shared" si="7"/>
        <v>new</v>
      </c>
      <c r="N1146" s="400">
        <f>LEN(Tableau13[[#This Row],[LABEL]])</f>
        <v>7</v>
      </c>
      <c r="O1146" s="400">
        <v>15</v>
      </c>
      <c r="P1146" s="400" t="e">
        <f>ROUND(Tableau13[[#This Row],[LEN]]*#REF!+#REF!,0)</f>
        <v>#REF!</v>
      </c>
    </row>
    <row r="1147" spans="1:16" s="92" customFormat="1" x14ac:dyDescent="0.25">
      <c r="A1147" s="394" t="s">
        <v>351</v>
      </c>
      <c r="B1147" s="395" t="s">
        <v>211</v>
      </c>
      <c r="C1147" s="396" t="s">
        <v>12</v>
      </c>
      <c r="D1147" s="397" t="s">
        <v>28</v>
      </c>
      <c r="E1147" s="398" t="s">
        <v>675</v>
      </c>
      <c r="F1147" s="396" t="s">
        <v>675</v>
      </c>
      <c r="G1147" s="397" t="s">
        <v>171</v>
      </c>
      <c r="H1147" s="397" t="str">
        <f>IFERROR(IF(SEARCH(".00.00.00.00.00",Tableau13[[#This Row],[name]],1)=7,"Division",""),"")</f>
        <v>Division</v>
      </c>
      <c r="I1147" s="396"/>
      <c r="J1147" s="399" t="s">
        <v>721</v>
      </c>
      <c r="K1147" s="400">
        <f>ROUND(Tableau13[[#This Row],[LEN]]*7.27,0)</f>
        <v>15</v>
      </c>
      <c r="L1147" s="400">
        <v>15</v>
      </c>
      <c r="M1147" s="401" t="str">
        <f t="shared" si="7"/>
        <v>new</v>
      </c>
      <c r="N1147" s="400">
        <f>LEN(Tableau13[[#This Row],[LABEL]])</f>
        <v>2</v>
      </c>
      <c r="O1147" s="400">
        <v>15</v>
      </c>
      <c r="P1147" s="400" t="e">
        <f>ROUND(Tableau13[[#This Row],[LEN]]*#REF!+#REF!,0)</f>
        <v>#REF!</v>
      </c>
    </row>
    <row r="1148" spans="1:16" x14ac:dyDescent="0.25">
      <c r="A1148" s="98" t="s">
        <v>1937</v>
      </c>
      <c r="B1148" s="99" t="s">
        <v>351</v>
      </c>
      <c r="C1148" s="100" t="s">
        <v>1938</v>
      </c>
      <c r="D1148" s="80" t="s">
        <v>1939</v>
      </c>
      <c r="E1148" s="82" t="s">
        <v>675</v>
      </c>
      <c r="F1148" s="100" t="s">
        <v>1177</v>
      </c>
      <c r="G1148" s="80" t="s">
        <v>171</v>
      </c>
      <c r="H1148" s="80" t="s">
        <v>656</v>
      </c>
      <c r="I1148" s="100"/>
      <c r="J1148" s="101" t="s">
        <v>708</v>
      </c>
      <c r="K1148" s="121">
        <f>ROUND(Tableau13[[#This Row],[LEN]]*7.27,0)</f>
        <v>269</v>
      </c>
      <c r="L1148" s="121">
        <v>15</v>
      </c>
      <c r="M1148" s="138" t="str">
        <f t="shared" si="7"/>
        <v>none</v>
      </c>
      <c r="N1148" s="121">
        <f>LEN(Tableau13[[#This Row],[LABEL]])</f>
        <v>37</v>
      </c>
      <c r="O1148" s="121">
        <v>15</v>
      </c>
      <c r="P1148" s="121" t="e">
        <f>ROUND(Tableau13[[#This Row],[LEN]]*#REF!+#REF!,0)</f>
        <v>#REF!</v>
      </c>
    </row>
    <row r="1149" spans="1:16" s="92" customFormat="1" x14ac:dyDescent="0.25">
      <c r="A1149" s="394" t="s">
        <v>352</v>
      </c>
      <c r="B1149" s="395" t="s">
        <v>211</v>
      </c>
      <c r="C1149" s="396" t="s">
        <v>71</v>
      </c>
      <c r="D1149" s="397" t="s">
        <v>28</v>
      </c>
      <c r="E1149" s="398" t="s">
        <v>676</v>
      </c>
      <c r="F1149" s="396" t="s">
        <v>676</v>
      </c>
      <c r="G1149" s="397" t="s">
        <v>171</v>
      </c>
      <c r="H1149" s="397" t="str">
        <f>IFERROR(IF(SEARCH(".00.00.00.00.00",Tableau13[[#This Row],[name]],1)=7,"Division",""),"")</f>
        <v>Division</v>
      </c>
      <c r="I1149" s="396"/>
      <c r="J1149" s="399" t="s">
        <v>722</v>
      </c>
      <c r="K1149" s="400">
        <f>ROUND(Tableau13[[#This Row],[LEN]]*7.27,0)</f>
        <v>29</v>
      </c>
      <c r="L1149" s="400">
        <v>15</v>
      </c>
      <c r="M1149" s="401" t="str">
        <f t="shared" si="7"/>
        <v>new</v>
      </c>
      <c r="N1149" s="400">
        <f>LEN(Tableau13[[#This Row],[LABEL]])</f>
        <v>4</v>
      </c>
      <c r="O1149" s="400">
        <v>15</v>
      </c>
      <c r="P1149" s="400" t="e">
        <f>ROUND(Tableau13[[#This Row],[LEN]]*#REF!+#REF!,0)</f>
        <v>#REF!</v>
      </c>
    </row>
    <row r="1150" spans="1:16" s="92" customFormat="1" x14ac:dyDescent="0.25">
      <c r="A1150" s="394" t="s">
        <v>353</v>
      </c>
      <c r="B1150" s="395" t="s">
        <v>211</v>
      </c>
      <c r="C1150" s="396" t="s">
        <v>13</v>
      </c>
      <c r="D1150" s="397" t="s">
        <v>28</v>
      </c>
      <c r="E1150" s="398" t="s">
        <v>677</v>
      </c>
      <c r="F1150" s="396" t="s">
        <v>677</v>
      </c>
      <c r="G1150" s="397" t="s">
        <v>171</v>
      </c>
      <c r="H1150" s="397" t="str">
        <f>IFERROR(IF(SEARCH(".00.00.00.00.00",Tableau13[[#This Row],[name]],1)=7,"Division",""),"")</f>
        <v>Division</v>
      </c>
      <c r="I1150" s="396"/>
      <c r="J1150" s="399" t="s">
        <v>723</v>
      </c>
      <c r="K1150" s="400">
        <f>ROUND(Tableau13[[#This Row],[LEN]]*7.27,0)</f>
        <v>80</v>
      </c>
      <c r="L1150" s="400">
        <v>15</v>
      </c>
      <c r="M1150" s="401" t="str">
        <f t="shared" si="7"/>
        <v>new</v>
      </c>
      <c r="N1150" s="400">
        <f>LEN(Tableau13[[#This Row],[LABEL]])</f>
        <v>11</v>
      </c>
      <c r="O1150" s="400">
        <v>15</v>
      </c>
      <c r="P1150" s="400" t="e">
        <f>ROUND(Tableau13[[#This Row],[LEN]]*#REF!+#REF!,0)</f>
        <v>#REF!</v>
      </c>
    </row>
    <row r="1151" spans="1:16" x14ac:dyDescent="0.25">
      <c r="A1151" s="98" t="s">
        <v>1940</v>
      </c>
      <c r="B1151" s="99" t="s">
        <v>353</v>
      </c>
      <c r="C1151" s="100" t="s">
        <v>1941</v>
      </c>
      <c r="D1151" s="80" t="s">
        <v>28</v>
      </c>
      <c r="E1151" s="82" t="s">
        <v>677</v>
      </c>
      <c r="F1151" s="100" t="s">
        <v>1177</v>
      </c>
      <c r="G1151" s="80" t="s">
        <v>171</v>
      </c>
      <c r="H1151" s="80" t="s">
        <v>656</v>
      </c>
      <c r="I1151" s="100"/>
      <c r="J1151" s="101" t="s">
        <v>708</v>
      </c>
      <c r="K1151" s="121">
        <f>ROUND(Tableau13[[#This Row],[LEN]]*7.27,0)</f>
        <v>356</v>
      </c>
      <c r="L1151" s="121">
        <v>15</v>
      </c>
      <c r="M1151" s="138" t="str">
        <f t="shared" si="7"/>
        <v>none</v>
      </c>
      <c r="N1151" s="121">
        <f>LEN(Tableau13[[#This Row],[LABEL]])</f>
        <v>49</v>
      </c>
      <c r="O1151" s="121">
        <v>15</v>
      </c>
      <c r="P1151" s="121" t="e">
        <f>ROUND(Tableau13[[#This Row],[LEN]]*#REF!+#REF!,0)</f>
        <v>#REF!</v>
      </c>
    </row>
    <row r="1152" spans="1:16" s="92" customFormat="1" x14ac:dyDescent="0.25">
      <c r="A1152" s="394" t="s">
        <v>354</v>
      </c>
      <c r="B1152" s="395" t="s">
        <v>211</v>
      </c>
      <c r="C1152" s="396" t="s">
        <v>14</v>
      </c>
      <c r="D1152" s="397" t="s">
        <v>28</v>
      </c>
      <c r="E1152" s="398" t="s">
        <v>678</v>
      </c>
      <c r="F1152" s="396" t="s">
        <v>678</v>
      </c>
      <c r="G1152" s="397" t="s">
        <v>171</v>
      </c>
      <c r="H1152" s="397" t="str">
        <f>IFERROR(IF(SEARCH(".00.00.00.00.00",Tableau13[[#This Row],[name]],1)=7,"Division",""),"")</f>
        <v>Division</v>
      </c>
      <c r="I1152" s="396"/>
      <c r="J1152" s="399" t="s">
        <v>724</v>
      </c>
      <c r="K1152" s="400">
        <f>ROUND(Tableau13[[#This Row],[LEN]]*7.27,0)</f>
        <v>240</v>
      </c>
      <c r="L1152" s="400">
        <v>15</v>
      </c>
      <c r="M1152" s="401" t="str">
        <f t="shared" si="7"/>
        <v>new</v>
      </c>
      <c r="N1152" s="400">
        <f>LEN(Tableau13[[#This Row],[LABEL]])</f>
        <v>33</v>
      </c>
      <c r="O1152" s="400">
        <v>15</v>
      </c>
      <c r="P1152" s="400" t="e">
        <f>ROUND(Tableau13[[#This Row],[LEN]]*#REF!+#REF!,0)</f>
        <v>#REF!</v>
      </c>
    </row>
    <row r="1153" spans="1:16" x14ac:dyDescent="0.25">
      <c r="A1153" s="98" t="s">
        <v>1942</v>
      </c>
      <c r="B1153" s="99" t="s">
        <v>354</v>
      </c>
      <c r="C1153" s="100" t="s">
        <v>1943</v>
      </c>
      <c r="D1153" s="80" t="s">
        <v>28</v>
      </c>
      <c r="E1153" s="82" t="s">
        <v>678</v>
      </c>
      <c r="F1153" s="100" t="s">
        <v>1177</v>
      </c>
      <c r="G1153" s="80" t="s">
        <v>171</v>
      </c>
      <c r="H1153" s="80" t="s">
        <v>656</v>
      </c>
      <c r="I1153" s="100"/>
      <c r="J1153" s="101" t="s">
        <v>708</v>
      </c>
      <c r="K1153" s="121">
        <f>ROUND(Tableau13[[#This Row],[LEN]]*7.27,0)</f>
        <v>196</v>
      </c>
      <c r="L1153" s="121">
        <v>15</v>
      </c>
      <c r="M1153" s="138" t="str">
        <f t="shared" si="7"/>
        <v>none</v>
      </c>
      <c r="N1153" s="121">
        <f>LEN(Tableau13[[#This Row],[LABEL]])</f>
        <v>27</v>
      </c>
      <c r="O1153" s="121">
        <v>15</v>
      </c>
      <c r="P1153" s="121" t="e">
        <f>ROUND(Tableau13[[#This Row],[LEN]]*#REF!+#REF!,0)</f>
        <v>#REF!</v>
      </c>
    </row>
    <row r="1154" spans="1:16" s="92" customFormat="1" x14ac:dyDescent="0.25">
      <c r="A1154" s="402" t="s">
        <v>355</v>
      </c>
      <c r="B1154" s="403" t="s">
        <v>211</v>
      </c>
      <c r="C1154" s="404" t="s">
        <v>15</v>
      </c>
      <c r="D1154" s="405" t="s">
        <v>28</v>
      </c>
      <c r="E1154" s="406" t="s">
        <v>679</v>
      </c>
      <c r="F1154" s="404" t="s">
        <v>679</v>
      </c>
      <c r="G1154" s="405" t="s">
        <v>171</v>
      </c>
      <c r="H1154" s="405" t="str">
        <f>IFERROR(IF(SEARCH(".00.00.00.00.00",Tableau13[[#This Row],[name]],1)=7,"Division",""),"")</f>
        <v>Division</v>
      </c>
      <c r="I1154" s="404"/>
      <c r="J1154" s="407" t="s">
        <v>725</v>
      </c>
      <c r="K1154" s="408">
        <f>ROUND(Tableau13[[#This Row],[LEN]]*7.27,0)</f>
        <v>174</v>
      </c>
      <c r="L1154" s="408">
        <v>15</v>
      </c>
      <c r="M1154" s="409" t="str">
        <f t="shared" si="7"/>
        <v>new</v>
      </c>
      <c r="N1154" s="408">
        <f>LEN(Tableau13[[#This Row],[LABEL]])</f>
        <v>24</v>
      </c>
      <c r="O1154" s="408">
        <v>15</v>
      </c>
      <c r="P1154" s="408" t="e">
        <f>ROUND(Tableau13[[#This Row],[LEN]]*#REF!+#REF!,0)</f>
        <v>#REF!</v>
      </c>
    </row>
    <row r="1155" spans="1:16" x14ac:dyDescent="0.25">
      <c r="A1155" s="98" t="s">
        <v>1944</v>
      </c>
      <c r="B1155" s="99" t="s">
        <v>355</v>
      </c>
      <c r="C1155" s="100" t="s">
        <v>1946</v>
      </c>
      <c r="D1155" s="80" t="s">
        <v>28</v>
      </c>
      <c r="E1155" s="82" t="s">
        <v>679</v>
      </c>
      <c r="F1155" s="100" t="s">
        <v>1177</v>
      </c>
      <c r="G1155" s="80" t="s">
        <v>171</v>
      </c>
      <c r="H1155" s="80" t="s">
        <v>656</v>
      </c>
      <c r="I1155" s="100"/>
      <c r="J1155" s="101" t="s">
        <v>708</v>
      </c>
      <c r="K1155" s="121">
        <f>ROUND(Tableau13[[#This Row],[LEN]]*7.27,0)</f>
        <v>313</v>
      </c>
      <c r="L1155" s="121">
        <v>15</v>
      </c>
      <c r="M1155" s="138" t="str">
        <f t="shared" si="7"/>
        <v>none</v>
      </c>
      <c r="N1155" s="121">
        <f>LEN(Tableau13[[#This Row],[LABEL]])</f>
        <v>43</v>
      </c>
      <c r="O1155" s="121">
        <v>15</v>
      </c>
      <c r="P1155" s="121" t="e">
        <f>ROUND(Tableau13[[#This Row],[LEN]]*#REF!+#REF!,0)</f>
        <v>#REF!</v>
      </c>
    </row>
    <row r="1156" spans="1:16" x14ac:dyDescent="0.25">
      <c r="A1156" s="98" t="s">
        <v>1945</v>
      </c>
      <c r="B1156" s="99" t="s">
        <v>355</v>
      </c>
      <c r="C1156" s="100" t="s">
        <v>1947</v>
      </c>
      <c r="D1156" s="80" t="s">
        <v>1948</v>
      </c>
      <c r="E1156" s="82" t="s">
        <v>679</v>
      </c>
      <c r="F1156" s="100" t="s">
        <v>1177</v>
      </c>
      <c r="G1156" s="80" t="s">
        <v>171</v>
      </c>
      <c r="H1156" s="80" t="s">
        <v>656</v>
      </c>
      <c r="I1156" s="100"/>
      <c r="J1156" s="101" t="s">
        <v>708</v>
      </c>
      <c r="K1156" s="121">
        <f>ROUND(Tableau13[[#This Row],[LEN]]*7.27,0)</f>
        <v>262</v>
      </c>
      <c r="L1156" s="121">
        <v>15</v>
      </c>
      <c r="M1156" s="138" t="str">
        <f t="shared" si="7"/>
        <v>none</v>
      </c>
      <c r="N1156" s="121">
        <f>LEN(Tableau13[[#This Row],[LABEL]])</f>
        <v>36</v>
      </c>
      <c r="O1156" s="121">
        <v>15</v>
      </c>
      <c r="P1156" s="121" t="e">
        <f>ROUND(Tableau13[[#This Row],[LEN]]*#REF!+#REF!,0)</f>
        <v>#REF!</v>
      </c>
    </row>
  </sheetData>
  <dataValidations count="1">
    <dataValidation type="list" allowBlank="1" showInputMessage="1" showErrorMessage="1" sqref="H2:H1156">
      <formula1>listType</formula1>
    </dataValidation>
  </dataValidations>
  <hyperlinks>
    <hyperlink ref="J424" r:id="rId1"/>
    <hyperlink ref="J94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P1193"/>
  <sheetViews>
    <sheetView zoomScale="85" zoomScaleNormal="85" workbookViewId="0">
      <pane xSplit="3" ySplit="1" topLeftCell="D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28</v>
      </c>
      <c r="E2" s="142" t="s">
        <v>58</v>
      </c>
      <c r="F2" s="143" t="s">
        <v>665</v>
      </c>
      <c r="G2" s="142" t="s">
        <v>69</v>
      </c>
      <c r="H2" s="142" t="s">
        <v>657</v>
      </c>
      <c r="I2" s="143"/>
      <c r="J2" s="144" t="s">
        <v>708</v>
      </c>
      <c r="K2" s="145">
        <f>ROUND(Tableau14[[#This Row],[LEN]]*7.27,0)</f>
        <v>44</v>
      </c>
      <c r="L2" s="145">
        <v>15</v>
      </c>
      <c r="M2" s="146" t="str">
        <f t="shared" ref="M2:M91" si="0">IF(J2="javascript:void(0)","none","new")</f>
        <v>none</v>
      </c>
      <c r="N2" s="145">
        <f>LEN(Tableau14[[#This Row],[LABEL]])</f>
        <v>6</v>
      </c>
      <c r="O2" s="147">
        <v>15</v>
      </c>
      <c r="P2" s="147" t="e">
        <f>ROUND(Tableau14[[#This Row],[LEN]]*#REF!+#REF!,0)</f>
        <v>#REF!</v>
      </c>
    </row>
    <row r="3" spans="1:16" x14ac:dyDescent="0.25">
      <c r="A3" s="93" t="s">
        <v>199</v>
      </c>
      <c r="B3" s="93" t="s">
        <v>198</v>
      </c>
      <c r="C3" s="81" t="s">
        <v>1158</v>
      </c>
      <c r="D3" s="83" t="s">
        <v>180</v>
      </c>
      <c r="E3" s="83" t="s">
        <v>58</v>
      </c>
      <c r="F3" s="94" t="s">
        <v>665</v>
      </c>
      <c r="G3" s="83" t="s">
        <v>171</v>
      </c>
      <c r="H3" s="83" t="s">
        <v>615</v>
      </c>
      <c r="I3" s="94"/>
      <c r="J3" s="95" t="s">
        <v>707</v>
      </c>
      <c r="K3" s="104">
        <f>ROUND(Tableau14[[#This Row],[LEN]]*7.27,0)</f>
        <v>102</v>
      </c>
      <c r="L3" s="104">
        <v>15</v>
      </c>
      <c r="M3" s="122" t="str">
        <f t="shared" si="0"/>
        <v>new</v>
      </c>
      <c r="N3" s="104">
        <f>LEN(Tableau14[[#This Row],[LABEL]])</f>
        <v>14</v>
      </c>
      <c r="O3" s="148">
        <v>15</v>
      </c>
      <c r="P3" s="148" t="e">
        <f>ROUND(Tableau14[[#This Row],[LEN]]*#REF!+#REF!,0)</f>
        <v>#REF!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58</v>
      </c>
      <c r="F4" s="151"/>
      <c r="G4" s="150" t="s">
        <v>70</v>
      </c>
      <c r="H4" s="150" t="s">
        <v>616</v>
      </c>
      <c r="I4" s="151"/>
      <c r="J4" s="152" t="s">
        <v>708</v>
      </c>
      <c r="K4" s="153">
        <f>ROUND(Tableau14[[#This Row],[LEN]]*7.27,0)</f>
        <v>80</v>
      </c>
      <c r="L4" s="153">
        <v>15</v>
      </c>
      <c r="M4" s="154" t="str">
        <f t="shared" si="0"/>
        <v>none</v>
      </c>
      <c r="N4" s="153">
        <f>LEN(Tableau14[[#This Row],[LABEL]])</f>
        <v>11</v>
      </c>
      <c r="O4" s="155">
        <v>15</v>
      </c>
      <c r="P4" s="155" t="e">
        <f>ROUND(Tableau14[[#This Row],[LEN]]*#REF!+#REF!,0)</f>
        <v>#REF!</v>
      </c>
    </row>
    <row r="5" spans="1:16" s="92" customFormat="1" ht="15.75" thickTop="1" x14ac:dyDescent="0.25">
      <c r="A5" s="245" t="s">
        <v>213</v>
      </c>
      <c r="B5" s="246" t="s">
        <v>204</v>
      </c>
      <c r="C5" s="247" t="s">
        <v>57</v>
      </c>
      <c r="D5" s="248" t="s">
        <v>28</v>
      </c>
      <c r="E5" s="247" t="s">
        <v>663</v>
      </c>
      <c r="F5" s="247" t="s">
        <v>663</v>
      </c>
      <c r="G5" s="248" t="s">
        <v>70</v>
      </c>
      <c r="H5" s="248" t="str">
        <f>IFERROR(IF(SEARCH(".00.00.00.00.00",Tableau14[[#This Row],[name]],1)=7,"Division",""),"")</f>
        <v>Division</v>
      </c>
      <c r="I5" s="247"/>
      <c r="J5" s="249" t="s">
        <v>709</v>
      </c>
      <c r="K5" s="250">
        <f>ROUND(Tableau14[[#This Row],[LEN]]*7.27,0)</f>
        <v>102</v>
      </c>
      <c r="L5" s="250">
        <v>15</v>
      </c>
      <c r="M5" s="251" t="str">
        <f t="shared" si="0"/>
        <v>new</v>
      </c>
      <c r="N5" s="250">
        <f>LEN(Tableau14[[#This Row],[LABEL]])</f>
        <v>14</v>
      </c>
      <c r="O5" s="250">
        <v>15</v>
      </c>
      <c r="P5" s="250" t="e">
        <f>ROUND(Tableau14[[#This Row],[LEN]]*#REF!+#REF!,0)</f>
        <v>#REF!</v>
      </c>
    </row>
    <row r="6" spans="1:16" x14ac:dyDescent="0.25">
      <c r="A6" s="6" t="s">
        <v>740</v>
      </c>
      <c r="B6" s="7" t="s">
        <v>213</v>
      </c>
      <c r="C6" s="8" t="s">
        <v>746</v>
      </c>
      <c r="D6" s="65" t="s">
        <v>28</v>
      </c>
      <c r="E6" s="8" t="s">
        <v>663</v>
      </c>
      <c r="F6" s="8" t="s">
        <v>663</v>
      </c>
      <c r="G6" s="65" t="s">
        <v>70</v>
      </c>
      <c r="H6" s="65" t="s">
        <v>654</v>
      </c>
      <c r="I6" s="8"/>
      <c r="J6" s="9" t="s">
        <v>708</v>
      </c>
      <c r="K6" s="105">
        <f>ROUND(Tableau14[[#This Row],[LEN]]*7.27,0)</f>
        <v>233</v>
      </c>
      <c r="L6" s="105">
        <v>15</v>
      </c>
      <c r="M6" s="123" t="str">
        <f t="shared" si="0"/>
        <v>none</v>
      </c>
      <c r="N6" s="105">
        <f>LEN(Tableau14[[#This Row],[LABEL]])</f>
        <v>32</v>
      </c>
      <c r="O6" s="105">
        <v>15</v>
      </c>
      <c r="P6" s="105" t="e">
        <f>ROUND(Tableau14[[#This Row],[LEN]]*#REF!+#REF!,0)</f>
        <v>#REF!</v>
      </c>
    </row>
    <row r="7" spans="1:16" x14ac:dyDescent="0.25">
      <c r="A7" s="6" t="s">
        <v>741</v>
      </c>
      <c r="B7" s="7" t="s">
        <v>213</v>
      </c>
      <c r="C7" s="8" t="s">
        <v>64</v>
      </c>
      <c r="D7" s="65" t="s">
        <v>28</v>
      </c>
      <c r="E7" s="8" t="s">
        <v>662</v>
      </c>
      <c r="F7" s="8" t="s">
        <v>1956</v>
      </c>
      <c r="G7" s="65" t="s">
        <v>70</v>
      </c>
      <c r="H7" s="65" t="s">
        <v>17</v>
      </c>
      <c r="I7" s="8"/>
      <c r="J7" s="9" t="s">
        <v>708</v>
      </c>
      <c r="K7" s="105">
        <f>ROUND(Tableau14[[#This Row],[LEN]]*7.27,0)</f>
        <v>291</v>
      </c>
      <c r="L7" s="105">
        <v>15</v>
      </c>
      <c r="M7" s="123" t="str">
        <f t="shared" si="0"/>
        <v>none</v>
      </c>
      <c r="N7" s="105">
        <f>LEN(Tableau14[[#This Row],[LABEL]])</f>
        <v>40</v>
      </c>
      <c r="O7" s="105">
        <v>15</v>
      </c>
      <c r="P7" s="105" t="e">
        <f>ROUND(Tableau14[[#This Row],[LEN]]*#REF!+#REF!,0)</f>
        <v>#REF!</v>
      </c>
    </row>
    <row r="8" spans="1:16" x14ac:dyDescent="0.25">
      <c r="A8" s="6" t="s">
        <v>742</v>
      </c>
      <c r="B8" s="7" t="s">
        <v>213</v>
      </c>
      <c r="C8" s="8" t="s">
        <v>747</v>
      </c>
      <c r="D8" s="65" t="s">
        <v>28</v>
      </c>
      <c r="E8" s="8" t="s">
        <v>663</v>
      </c>
      <c r="F8" s="8" t="s">
        <v>663</v>
      </c>
      <c r="G8" s="65" t="s">
        <v>70</v>
      </c>
      <c r="H8" s="65" t="s">
        <v>656</v>
      </c>
      <c r="I8" s="8"/>
      <c r="J8" s="9" t="s">
        <v>708</v>
      </c>
      <c r="K8" s="105">
        <f>ROUND(Tableau14[[#This Row],[LEN]]*7.27,0)</f>
        <v>451</v>
      </c>
      <c r="L8" s="105">
        <v>15</v>
      </c>
      <c r="M8" s="123" t="str">
        <f t="shared" si="0"/>
        <v>none</v>
      </c>
      <c r="N8" s="105">
        <f>LEN(Tableau14[[#This Row],[LABEL]])</f>
        <v>62</v>
      </c>
      <c r="O8" s="105">
        <v>15</v>
      </c>
      <c r="P8" s="105" t="e">
        <f>ROUND(Tableau14[[#This Row],[LEN]]*#REF!+#REF!,0)</f>
        <v>#REF!</v>
      </c>
    </row>
    <row r="9" spans="1:16" x14ac:dyDescent="0.25">
      <c r="A9" s="6" t="s">
        <v>743</v>
      </c>
      <c r="B9" s="7" t="s">
        <v>213</v>
      </c>
      <c r="C9" s="8" t="s">
        <v>65</v>
      </c>
      <c r="D9" s="65" t="s">
        <v>28</v>
      </c>
      <c r="E9" s="8" t="s">
        <v>662</v>
      </c>
      <c r="F9" s="8" t="s">
        <v>1957</v>
      </c>
      <c r="G9" s="65" t="s">
        <v>70</v>
      </c>
      <c r="H9" s="65" t="s">
        <v>17</v>
      </c>
      <c r="I9" s="8"/>
      <c r="J9" s="9" t="s">
        <v>708</v>
      </c>
      <c r="K9" s="105">
        <f>ROUND(Tableau14[[#This Row],[LEN]]*7.27,0)</f>
        <v>291</v>
      </c>
      <c r="L9" s="105">
        <v>15</v>
      </c>
      <c r="M9" s="123" t="str">
        <f t="shared" si="0"/>
        <v>none</v>
      </c>
      <c r="N9" s="105">
        <f>LEN(Tableau14[[#This Row],[LABEL]])</f>
        <v>40</v>
      </c>
      <c r="O9" s="105">
        <v>15</v>
      </c>
      <c r="P9" s="105" t="e">
        <f>ROUND(Tableau14[[#This Row],[LEN]]*#REF!+#REF!,0)</f>
        <v>#REF!</v>
      </c>
    </row>
    <row r="10" spans="1:16" x14ac:dyDescent="0.25">
      <c r="A10" s="6" t="s">
        <v>744</v>
      </c>
      <c r="B10" s="7" t="s">
        <v>213</v>
      </c>
      <c r="C10" s="8" t="s">
        <v>748</v>
      </c>
      <c r="D10" s="65" t="s">
        <v>28</v>
      </c>
      <c r="E10" s="8" t="s">
        <v>663</v>
      </c>
      <c r="F10" s="8" t="s">
        <v>663</v>
      </c>
      <c r="G10" s="65" t="s">
        <v>70</v>
      </c>
      <c r="H10" s="65" t="s">
        <v>656</v>
      </c>
      <c r="I10" s="8"/>
      <c r="J10" s="9" t="s">
        <v>708</v>
      </c>
      <c r="K10" s="105">
        <f>ROUND(Tableau14[[#This Row],[LEN]]*7.27,0)</f>
        <v>247</v>
      </c>
      <c r="L10" s="105">
        <v>15</v>
      </c>
      <c r="M10" s="123" t="str">
        <f t="shared" si="0"/>
        <v>none</v>
      </c>
      <c r="N10" s="105">
        <f>LEN(Tableau14[[#This Row],[LABEL]])</f>
        <v>34</v>
      </c>
      <c r="O10" s="105">
        <v>15</v>
      </c>
      <c r="P10" s="105" t="e">
        <f>ROUND(Tableau14[[#This Row],[LEN]]*#REF!+#REF!,0)</f>
        <v>#REF!</v>
      </c>
    </row>
    <row r="11" spans="1:16" x14ac:dyDescent="0.25">
      <c r="A11" s="6" t="s">
        <v>745</v>
      </c>
      <c r="B11" s="7" t="s">
        <v>213</v>
      </c>
      <c r="C11" s="8" t="s">
        <v>1166</v>
      </c>
      <c r="D11" s="65" t="s">
        <v>28</v>
      </c>
      <c r="E11" s="8" t="s">
        <v>663</v>
      </c>
      <c r="F11" s="8" t="s">
        <v>663</v>
      </c>
      <c r="G11" s="65" t="s">
        <v>70</v>
      </c>
      <c r="H11" s="65" t="s">
        <v>656</v>
      </c>
      <c r="I11" s="8"/>
      <c r="J11" s="9" t="s">
        <v>708</v>
      </c>
      <c r="K11" s="105">
        <f>ROUND(Tableau14[[#This Row],[LEN]]*7.27,0)</f>
        <v>364</v>
      </c>
      <c r="L11" s="105">
        <v>15</v>
      </c>
      <c r="M11" s="123" t="str">
        <f t="shared" si="0"/>
        <v>none</v>
      </c>
      <c r="N11" s="105">
        <f>LEN(Tableau14[[#This Row],[LABEL]])</f>
        <v>50</v>
      </c>
      <c r="O11" s="105">
        <v>15</v>
      </c>
      <c r="P11" s="105" t="e">
        <f>ROUND(Tableau14[[#This Row],[LEN]]*#REF!+#REF!,0)</f>
        <v>#REF!</v>
      </c>
    </row>
    <row r="12" spans="1:16" s="92" customFormat="1" x14ac:dyDescent="0.25">
      <c r="A12" s="245" t="s">
        <v>214</v>
      </c>
      <c r="B12" s="246" t="s">
        <v>204</v>
      </c>
      <c r="C12" s="247" t="s">
        <v>2</v>
      </c>
      <c r="D12" s="248" t="s">
        <v>28</v>
      </c>
      <c r="E12" s="247" t="s">
        <v>662</v>
      </c>
      <c r="F12" s="247" t="s">
        <v>662</v>
      </c>
      <c r="G12" s="248" t="s">
        <v>70</v>
      </c>
      <c r="H12" s="248" t="str">
        <f>IFERROR(IF(SEARCH(".00.00.00.00.00",Tableau14[[#This Row],[name]],1)=7,"Division",""),"")</f>
        <v>Division</v>
      </c>
      <c r="I12" s="247"/>
      <c r="J12" s="249" t="s">
        <v>710</v>
      </c>
      <c r="K12" s="250">
        <f>ROUND(Tableau14[[#This Row],[LEN]]*7.27,0)</f>
        <v>65</v>
      </c>
      <c r="L12" s="250">
        <v>15</v>
      </c>
      <c r="M12" s="251" t="str">
        <f t="shared" si="0"/>
        <v>new</v>
      </c>
      <c r="N12" s="250">
        <f>LEN(Tableau14[[#This Row],[LABEL]])</f>
        <v>9</v>
      </c>
      <c r="O12" s="250">
        <v>15</v>
      </c>
      <c r="P12" s="250" t="e">
        <f>ROUND(Tableau14[[#This Row],[LEN]]*#REF!+#REF!,0)</f>
        <v>#REF!</v>
      </c>
    </row>
    <row r="13" spans="1:16" x14ac:dyDescent="0.25">
      <c r="A13" s="6" t="s">
        <v>734</v>
      </c>
      <c r="B13" s="7" t="s">
        <v>214</v>
      </c>
      <c r="C13" s="8" t="s">
        <v>64</v>
      </c>
      <c r="D13" s="65" t="s">
        <v>28</v>
      </c>
      <c r="E13" s="8" t="s">
        <v>662</v>
      </c>
      <c r="F13" s="8" t="s">
        <v>1956</v>
      </c>
      <c r="G13" s="65" t="s">
        <v>70</v>
      </c>
      <c r="H13" s="65" t="s">
        <v>17</v>
      </c>
      <c r="I13" s="8"/>
      <c r="J13" s="9" t="s">
        <v>708</v>
      </c>
      <c r="K13" s="105">
        <f>ROUND(Tableau14[[#This Row],[LEN]]*7.27,0)</f>
        <v>291</v>
      </c>
      <c r="L13" s="105">
        <v>15</v>
      </c>
      <c r="M13" s="123" t="str">
        <f t="shared" si="0"/>
        <v>none</v>
      </c>
      <c r="N13" s="105">
        <f>LEN(Tableau14[[#This Row],[LABEL]])</f>
        <v>40</v>
      </c>
      <c r="O13" s="105">
        <v>15</v>
      </c>
      <c r="P13" s="105" t="e">
        <f>ROUND(Tableau14[[#This Row],[LEN]]*#REF!+#REF!,0)</f>
        <v>#REF!</v>
      </c>
    </row>
    <row r="14" spans="1:16" x14ac:dyDescent="0.25">
      <c r="A14" s="6" t="s">
        <v>735</v>
      </c>
      <c r="B14" s="7" t="s">
        <v>214</v>
      </c>
      <c r="C14" s="8" t="s">
        <v>65</v>
      </c>
      <c r="D14" s="65" t="s">
        <v>28</v>
      </c>
      <c r="E14" s="8" t="s">
        <v>662</v>
      </c>
      <c r="F14" s="8" t="s">
        <v>1957</v>
      </c>
      <c r="G14" s="65" t="s">
        <v>70</v>
      </c>
      <c r="H14" s="65" t="s">
        <v>17</v>
      </c>
      <c r="I14" s="8"/>
      <c r="J14" s="9" t="s">
        <v>708</v>
      </c>
      <c r="K14" s="105">
        <f>ROUND(Tableau14[[#This Row],[LEN]]*7.27,0)</f>
        <v>291</v>
      </c>
      <c r="L14" s="105">
        <v>15</v>
      </c>
      <c r="M14" s="123" t="str">
        <f t="shared" si="0"/>
        <v>none</v>
      </c>
      <c r="N14" s="105">
        <f>LEN(Tableau14[[#This Row],[LABEL]])</f>
        <v>40</v>
      </c>
      <c r="O14" s="105">
        <v>15</v>
      </c>
      <c r="P14" s="105" t="e">
        <f>ROUND(Tableau14[[#This Row],[LEN]]*#REF!+#REF!,0)</f>
        <v>#REF!</v>
      </c>
    </row>
    <row r="15" spans="1:16" x14ac:dyDescent="0.25">
      <c r="A15" s="6" t="s">
        <v>736</v>
      </c>
      <c r="B15" s="7" t="s">
        <v>214</v>
      </c>
      <c r="C15" s="8" t="s">
        <v>72</v>
      </c>
      <c r="D15" s="65" t="s">
        <v>28</v>
      </c>
      <c r="E15" s="8" t="s">
        <v>662</v>
      </c>
      <c r="F15" s="8" t="s">
        <v>1959</v>
      </c>
      <c r="G15" s="65" t="s">
        <v>70</v>
      </c>
      <c r="H15" s="65" t="s">
        <v>654</v>
      </c>
      <c r="I15" s="8"/>
      <c r="J15" s="9" t="s">
        <v>708</v>
      </c>
      <c r="K15" s="105">
        <f>ROUND(Tableau14[[#This Row],[LEN]]*7.27,0)</f>
        <v>400</v>
      </c>
      <c r="L15" s="105">
        <v>15</v>
      </c>
      <c r="M15" s="123" t="str">
        <f t="shared" si="0"/>
        <v>none</v>
      </c>
      <c r="N15" s="105">
        <f>LEN(Tableau14[[#This Row],[LABEL]])</f>
        <v>55</v>
      </c>
      <c r="O15" s="105">
        <v>15</v>
      </c>
      <c r="P15" s="105" t="e">
        <f>ROUND(Tableau14[[#This Row],[LEN]]*#REF!+#REF!,0)</f>
        <v>#REF!</v>
      </c>
    </row>
    <row r="16" spans="1:16" s="92" customFormat="1" x14ac:dyDescent="0.25">
      <c r="A16" s="245" t="s">
        <v>215</v>
      </c>
      <c r="B16" s="246" t="s">
        <v>204</v>
      </c>
      <c r="C16" s="247" t="s">
        <v>3</v>
      </c>
      <c r="D16" s="248" t="s">
        <v>28</v>
      </c>
      <c r="E16" s="247" t="s">
        <v>661</v>
      </c>
      <c r="F16" s="247" t="s">
        <v>661</v>
      </c>
      <c r="G16" s="248" t="s">
        <v>70</v>
      </c>
      <c r="H16" s="248" t="str">
        <f>IFERROR(IF(SEARCH(".00.00.00.00.00",Tableau14[[#This Row],[name]],1)=7,"Division",""),"")</f>
        <v>Division</v>
      </c>
      <c r="I16" s="247"/>
      <c r="J16" s="249" t="s">
        <v>711</v>
      </c>
      <c r="K16" s="250">
        <f>ROUND(Tableau14[[#This Row],[LEN]]*7.27,0)</f>
        <v>73</v>
      </c>
      <c r="L16" s="250">
        <v>15</v>
      </c>
      <c r="M16" s="251" t="str">
        <f t="shared" si="0"/>
        <v>new</v>
      </c>
      <c r="N16" s="250">
        <f>LEN(Tableau14[[#This Row],[LABEL]])</f>
        <v>10</v>
      </c>
      <c r="O16" s="250">
        <v>15</v>
      </c>
      <c r="P16" s="250" t="e">
        <f>ROUND(Tableau14[[#This Row],[LEN]]*#REF!+#REF!,0)</f>
        <v>#REF!</v>
      </c>
    </row>
    <row r="17" spans="1:16" x14ac:dyDescent="0.25">
      <c r="A17" s="6" t="s">
        <v>356</v>
      </c>
      <c r="B17" s="7" t="s">
        <v>215</v>
      </c>
      <c r="C17" s="8" t="s">
        <v>64</v>
      </c>
      <c r="D17" s="65" t="s">
        <v>28</v>
      </c>
      <c r="E17" s="8" t="s">
        <v>662</v>
      </c>
      <c r="F17" s="8" t="s">
        <v>1956</v>
      </c>
      <c r="G17" s="65" t="s">
        <v>70</v>
      </c>
      <c r="H17" s="65" t="s">
        <v>17</v>
      </c>
      <c r="I17" s="8"/>
      <c r="J17" s="9" t="s">
        <v>708</v>
      </c>
      <c r="K17" s="105">
        <f>ROUND(Tableau14[[#This Row],[LEN]]*7.27,0)</f>
        <v>291</v>
      </c>
      <c r="L17" s="105">
        <v>15</v>
      </c>
      <c r="M17" s="123" t="str">
        <f t="shared" si="0"/>
        <v>none</v>
      </c>
      <c r="N17" s="105">
        <f>LEN(Tableau14[[#This Row],[LABEL]])</f>
        <v>40</v>
      </c>
      <c r="O17" s="105">
        <v>15</v>
      </c>
      <c r="P17" s="105" t="e">
        <f>ROUND(Tableau14[[#This Row],[LEN]]*#REF!+#REF!,0)</f>
        <v>#REF!</v>
      </c>
    </row>
    <row r="18" spans="1:16" x14ac:dyDescent="0.25">
      <c r="A18" s="6" t="s">
        <v>357</v>
      </c>
      <c r="B18" s="7" t="s">
        <v>215</v>
      </c>
      <c r="C18" s="8" t="s">
        <v>75</v>
      </c>
      <c r="D18" s="65" t="s">
        <v>28</v>
      </c>
      <c r="E18" s="8" t="s">
        <v>684</v>
      </c>
      <c r="F18" s="8" t="s">
        <v>681</v>
      </c>
      <c r="G18" s="65" t="s">
        <v>70</v>
      </c>
      <c r="H18" s="65" t="s">
        <v>655</v>
      </c>
      <c r="I18" s="8"/>
      <c r="J18" s="9" t="s">
        <v>708</v>
      </c>
      <c r="K18" s="105">
        <f>ROUND(Tableau14[[#This Row],[LEN]]*7.27,0)</f>
        <v>262</v>
      </c>
      <c r="L18" s="105">
        <v>15</v>
      </c>
      <c r="M18" s="123" t="str">
        <f t="shared" si="0"/>
        <v>none</v>
      </c>
      <c r="N18" s="105">
        <f>LEN(Tableau14[[#This Row],[LABEL]])</f>
        <v>36</v>
      </c>
      <c r="O18" s="105">
        <v>15</v>
      </c>
      <c r="P18" s="105" t="e">
        <f>ROUND(Tableau14[[#This Row],[LEN]]*#REF!+#REF!,0)</f>
        <v>#REF!</v>
      </c>
    </row>
    <row r="19" spans="1:16" x14ac:dyDescent="0.25">
      <c r="A19" s="10" t="s">
        <v>365</v>
      </c>
      <c r="B19" s="11" t="s">
        <v>357</v>
      </c>
      <c r="C19" s="12" t="s">
        <v>76</v>
      </c>
      <c r="D19" s="66" t="s">
        <v>28</v>
      </c>
      <c r="E19" s="12" t="s">
        <v>684</v>
      </c>
      <c r="F19" s="12" t="s">
        <v>681</v>
      </c>
      <c r="G19" s="66" t="s">
        <v>70</v>
      </c>
      <c r="H19" s="66" t="s">
        <v>18</v>
      </c>
      <c r="I19" s="12"/>
      <c r="J19" s="13" t="s">
        <v>708</v>
      </c>
      <c r="K19" s="106">
        <f>ROUND(Tableau14[[#This Row],[LEN]]*7.27,0)</f>
        <v>443</v>
      </c>
      <c r="L19" s="106">
        <v>15</v>
      </c>
      <c r="M19" s="124" t="str">
        <f t="shared" si="0"/>
        <v>none</v>
      </c>
      <c r="N19" s="106">
        <f>LEN(Tableau14[[#This Row],[LABEL]])</f>
        <v>61</v>
      </c>
      <c r="O19" s="106">
        <v>15</v>
      </c>
      <c r="P19" s="106" t="e">
        <f>ROUND(Tableau14[[#This Row],[LEN]]*#REF!+#REF!,0)</f>
        <v>#REF!</v>
      </c>
    </row>
    <row r="20" spans="1:16" x14ac:dyDescent="0.25">
      <c r="A20" s="10" t="s">
        <v>366</v>
      </c>
      <c r="B20" s="11" t="s">
        <v>357</v>
      </c>
      <c r="C20" s="12" t="s">
        <v>77</v>
      </c>
      <c r="D20" s="66" t="s">
        <v>28</v>
      </c>
      <c r="E20" s="12" t="s">
        <v>684</v>
      </c>
      <c r="F20" s="12" t="s">
        <v>681</v>
      </c>
      <c r="G20" s="66" t="s">
        <v>70</v>
      </c>
      <c r="H20" s="66" t="s">
        <v>18</v>
      </c>
      <c r="I20" s="12"/>
      <c r="J20" s="13" t="s">
        <v>708</v>
      </c>
      <c r="K20" s="106">
        <f>ROUND(Tableau14[[#This Row],[LEN]]*7.27,0)</f>
        <v>473</v>
      </c>
      <c r="L20" s="106">
        <v>15</v>
      </c>
      <c r="M20" s="124" t="str">
        <f t="shared" si="0"/>
        <v>none</v>
      </c>
      <c r="N20" s="106">
        <f>LEN(Tableau14[[#This Row],[LABEL]])</f>
        <v>65</v>
      </c>
      <c r="O20" s="106">
        <v>15</v>
      </c>
      <c r="P20" s="106" t="e">
        <f>ROUND(Tableau14[[#This Row],[LEN]]*#REF!+#REF!,0)</f>
        <v>#REF!</v>
      </c>
    </row>
    <row r="21" spans="1:16" x14ac:dyDescent="0.25">
      <c r="A21" s="10" t="s">
        <v>367</v>
      </c>
      <c r="B21" s="11" t="s">
        <v>357</v>
      </c>
      <c r="C21" s="12" t="s">
        <v>78</v>
      </c>
      <c r="D21" s="66" t="s">
        <v>28</v>
      </c>
      <c r="E21" s="12" t="s">
        <v>684</v>
      </c>
      <c r="F21" s="12" t="s">
        <v>681</v>
      </c>
      <c r="G21" s="66" t="s">
        <v>70</v>
      </c>
      <c r="H21" s="66" t="s">
        <v>18</v>
      </c>
      <c r="I21" s="12"/>
      <c r="J21" s="13" t="s">
        <v>708</v>
      </c>
      <c r="K21" s="106">
        <f>ROUND(Tableau14[[#This Row],[LEN]]*7.27,0)</f>
        <v>385</v>
      </c>
      <c r="L21" s="106">
        <v>15</v>
      </c>
      <c r="M21" s="124" t="str">
        <f t="shared" si="0"/>
        <v>none</v>
      </c>
      <c r="N21" s="106">
        <f>LEN(Tableau14[[#This Row],[LABEL]])</f>
        <v>53</v>
      </c>
      <c r="O21" s="106">
        <v>15</v>
      </c>
      <c r="P21" s="106" t="e">
        <f>ROUND(Tableau14[[#This Row],[LEN]]*#REF!+#REF!,0)</f>
        <v>#REF!</v>
      </c>
    </row>
    <row r="22" spans="1:16" x14ac:dyDescent="0.25">
      <c r="A22" s="6" t="s">
        <v>358</v>
      </c>
      <c r="B22" s="7" t="s">
        <v>215</v>
      </c>
      <c r="C22" s="8" t="s">
        <v>65</v>
      </c>
      <c r="D22" s="65" t="s">
        <v>28</v>
      </c>
      <c r="E22" s="8" t="s">
        <v>662</v>
      </c>
      <c r="F22" s="8" t="s">
        <v>1957</v>
      </c>
      <c r="G22" s="65" t="s">
        <v>70</v>
      </c>
      <c r="H22" s="65" t="s">
        <v>17</v>
      </c>
      <c r="I22" s="8"/>
      <c r="J22" s="9" t="s">
        <v>708</v>
      </c>
      <c r="K22" s="105">
        <f>ROUND(Tableau14[[#This Row],[LEN]]*7.27,0)</f>
        <v>291</v>
      </c>
      <c r="L22" s="105">
        <v>15</v>
      </c>
      <c r="M22" s="123" t="str">
        <f t="shared" si="0"/>
        <v>none</v>
      </c>
      <c r="N22" s="105">
        <f>LEN(Tableau14[[#This Row],[LABEL]])</f>
        <v>40</v>
      </c>
      <c r="O22" s="105">
        <v>15</v>
      </c>
      <c r="P22" s="105" t="e">
        <f>ROUND(Tableau14[[#This Row],[LEN]]*#REF!+#REF!,0)</f>
        <v>#REF!</v>
      </c>
    </row>
    <row r="23" spans="1:16" x14ac:dyDescent="0.25">
      <c r="A23" s="6" t="s">
        <v>359</v>
      </c>
      <c r="B23" s="7" t="s">
        <v>215</v>
      </c>
      <c r="C23" s="8" t="s">
        <v>72</v>
      </c>
      <c r="D23" s="65" t="s">
        <v>28</v>
      </c>
      <c r="E23" s="8" t="s">
        <v>662</v>
      </c>
      <c r="F23" s="8" t="s">
        <v>1959</v>
      </c>
      <c r="G23" s="65" t="s">
        <v>70</v>
      </c>
      <c r="H23" s="65" t="s">
        <v>654</v>
      </c>
      <c r="I23" s="8"/>
      <c r="J23" s="9" t="s">
        <v>708</v>
      </c>
      <c r="K23" s="105">
        <f>ROUND(Tableau14[[#This Row],[LEN]]*7.27,0)</f>
        <v>400</v>
      </c>
      <c r="L23" s="105">
        <v>15</v>
      </c>
      <c r="M23" s="123" t="str">
        <f t="shared" si="0"/>
        <v>none</v>
      </c>
      <c r="N23" s="105">
        <f>LEN(Tableau14[[#This Row],[LABEL]])</f>
        <v>55</v>
      </c>
      <c r="O23" s="105">
        <v>15</v>
      </c>
      <c r="P23" s="105" t="e">
        <f>ROUND(Tableau14[[#This Row],[LEN]]*#REF!+#REF!,0)</f>
        <v>#REF!</v>
      </c>
    </row>
    <row r="24" spans="1:16" x14ac:dyDescent="0.25">
      <c r="A24" s="6" t="s">
        <v>360</v>
      </c>
      <c r="B24" s="7" t="s">
        <v>215</v>
      </c>
      <c r="C24" s="8" t="s">
        <v>79</v>
      </c>
      <c r="D24" s="65" t="s">
        <v>28</v>
      </c>
      <c r="E24" s="8" t="s">
        <v>661</v>
      </c>
      <c r="F24" s="8" t="s">
        <v>684</v>
      </c>
      <c r="G24" s="65" t="s">
        <v>70</v>
      </c>
      <c r="H24" s="65" t="s">
        <v>18</v>
      </c>
      <c r="I24" s="8"/>
      <c r="J24" s="9" t="s">
        <v>708</v>
      </c>
      <c r="K24" s="105">
        <f>ROUND(Tableau14[[#This Row],[LEN]]*7.27,0)</f>
        <v>218</v>
      </c>
      <c r="L24" s="105">
        <v>15</v>
      </c>
      <c r="M24" s="123" t="str">
        <f t="shared" si="0"/>
        <v>none</v>
      </c>
      <c r="N24" s="105">
        <f>LEN(Tableau14[[#This Row],[LABEL]])</f>
        <v>30</v>
      </c>
      <c r="O24" s="105">
        <v>15</v>
      </c>
      <c r="P24" s="105" t="e">
        <f>ROUND(Tableau14[[#This Row],[LEN]]*#REF!+#REF!,0)</f>
        <v>#REF!</v>
      </c>
    </row>
    <row r="25" spans="1:16" s="92" customFormat="1" x14ac:dyDescent="0.25">
      <c r="A25" s="245" t="s">
        <v>216</v>
      </c>
      <c r="B25" s="246" t="s">
        <v>204</v>
      </c>
      <c r="C25" s="247" t="s">
        <v>4</v>
      </c>
      <c r="D25" s="248" t="s">
        <v>28</v>
      </c>
      <c r="E25" s="247" t="s">
        <v>666</v>
      </c>
      <c r="F25" s="247" t="s">
        <v>666</v>
      </c>
      <c r="G25" s="248" t="s">
        <v>70</v>
      </c>
      <c r="H25" s="248" t="str">
        <f>IFERROR(IF(SEARCH(".00.00.00.00.00",Tableau14[[#This Row],[name]],1)=7,"Division",""),"")</f>
        <v>Division</v>
      </c>
      <c r="I25" s="247"/>
      <c r="J25" s="249" t="s">
        <v>712</v>
      </c>
      <c r="K25" s="250">
        <f>ROUND(Tableau14[[#This Row],[LEN]]*7.27,0)</f>
        <v>36</v>
      </c>
      <c r="L25" s="250">
        <v>15</v>
      </c>
      <c r="M25" s="251" t="str">
        <f t="shared" si="0"/>
        <v>new</v>
      </c>
      <c r="N25" s="250">
        <f>LEN(Tableau14[[#This Row],[LABEL]])</f>
        <v>5</v>
      </c>
      <c r="O25" s="250">
        <v>15</v>
      </c>
      <c r="P25" s="250" t="e">
        <f>ROUND(Tableau14[[#This Row],[LEN]]*#REF!+#REF!,0)</f>
        <v>#REF!</v>
      </c>
    </row>
    <row r="26" spans="1:16" x14ac:dyDescent="0.25">
      <c r="A26" s="6" t="s">
        <v>918</v>
      </c>
      <c r="B26" s="7" t="s">
        <v>216</v>
      </c>
      <c r="C26" s="8" t="s">
        <v>64</v>
      </c>
      <c r="D26" s="65" t="s">
        <v>28</v>
      </c>
      <c r="E26" s="8" t="s">
        <v>662</v>
      </c>
      <c r="F26" s="8" t="s">
        <v>1956</v>
      </c>
      <c r="G26" s="65" t="s">
        <v>70</v>
      </c>
      <c r="H26" s="65" t="s">
        <v>17</v>
      </c>
      <c r="I26" s="8"/>
      <c r="J26" s="9" t="s">
        <v>708</v>
      </c>
      <c r="K26" s="105">
        <f>ROUND(Tableau14[[#This Row],[LEN]]*7.27,0)</f>
        <v>291</v>
      </c>
      <c r="L26" s="105">
        <v>15</v>
      </c>
      <c r="M26" s="123" t="str">
        <f t="shared" si="0"/>
        <v>none</v>
      </c>
      <c r="N26" s="105">
        <f>LEN(Tableau14[[#This Row],[LABEL]])</f>
        <v>40</v>
      </c>
      <c r="O26" s="105">
        <v>15</v>
      </c>
      <c r="P26" s="105" t="e">
        <f>ROUND(Tableau14[[#This Row],[LEN]]*#REF!+#REF!,0)</f>
        <v>#REF!</v>
      </c>
    </row>
    <row r="27" spans="1:16" x14ac:dyDescent="0.25">
      <c r="A27" s="6" t="s">
        <v>919</v>
      </c>
      <c r="B27" s="7" t="s">
        <v>216</v>
      </c>
      <c r="C27" s="8" t="s">
        <v>75</v>
      </c>
      <c r="D27" s="65" t="s">
        <v>28</v>
      </c>
      <c r="E27" s="8" t="s">
        <v>684</v>
      </c>
      <c r="F27" s="8" t="s">
        <v>681</v>
      </c>
      <c r="G27" s="65" t="s">
        <v>70</v>
      </c>
      <c r="H27" s="65" t="s">
        <v>655</v>
      </c>
      <c r="I27" s="8"/>
      <c r="J27" s="9" t="s">
        <v>708</v>
      </c>
      <c r="K27" s="105">
        <f>ROUND(Tableau14[[#This Row],[LEN]]*7.27,0)</f>
        <v>262</v>
      </c>
      <c r="L27" s="105">
        <v>15</v>
      </c>
      <c r="M27" s="123" t="str">
        <f t="shared" si="0"/>
        <v>none</v>
      </c>
      <c r="N27" s="105">
        <f>LEN(Tableau14[[#This Row],[LABEL]])</f>
        <v>36</v>
      </c>
      <c r="O27" s="105">
        <v>15</v>
      </c>
      <c r="P27" s="105" t="e">
        <f>ROUND(Tableau14[[#This Row],[LEN]]*#REF!+#REF!,0)</f>
        <v>#REF!</v>
      </c>
    </row>
    <row r="28" spans="1:16" x14ac:dyDescent="0.25">
      <c r="A28" s="12" t="s">
        <v>924</v>
      </c>
      <c r="B28" s="12" t="s">
        <v>919</v>
      </c>
      <c r="C28" s="12" t="s">
        <v>76</v>
      </c>
      <c r="D28" s="66" t="s">
        <v>28</v>
      </c>
      <c r="E28" s="12" t="s">
        <v>684</v>
      </c>
      <c r="F28" s="12" t="s">
        <v>681</v>
      </c>
      <c r="G28" s="66" t="s">
        <v>70</v>
      </c>
      <c r="H28" s="66" t="s">
        <v>18</v>
      </c>
      <c r="I28" s="12"/>
      <c r="J28" s="13" t="s">
        <v>708</v>
      </c>
      <c r="K28" s="106">
        <f>ROUND(Tableau14[[#This Row],[LEN]]*7.27,0)</f>
        <v>443</v>
      </c>
      <c r="L28" s="106">
        <v>15</v>
      </c>
      <c r="M28" s="124" t="str">
        <f t="shared" si="0"/>
        <v>none</v>
      </c>
      <c r="N28" s="106">
        <f>LEN(Tableau14[[#This Row],[LABEL]])</f>
        <v>61</v>
      </c>
      <c r="O28" s="106">
        <v>15</v>
      </c>
      <c r="P28" s="106" t="e">
        <f>ROUND(Tableau14[[#This Row],[LEN]]*#REF!+#REF!,0)</f>
        <v>#REF!</v>
      </c>
    </row>
    <row r="29" spans="1:16" x14ac:dyDescent="0.25">
      <c r="A29" s="12" t="s">
        <v>925</v>
      </c>
      <c r="B29" s="12" t="s">
        <v>919</v>
      </c>
      <c r="C29" s="12" t="s">
        <v>77</v>
      </c>
      <c r="D29" s="66" t="s">
        <v>28</v>
      </c>
      <c r="E29" s="12" t="s">
        <v>684</v>
      </c>
      <c r="F29" s="12" t="s">
        <v>681</v>
      </c>
      <c r="G29" s="66" t="s">
        <v>70</v>
      </c>
      <c r="H29" s="66" t="s">
        <v>18</v>
      </c>
      <c r="I29" s="12"/>
      <c r="J29" s="13" t="s">
        <v>708</v>
      </c>
      <c r="K29" s="106">
        <f>ROUND(Tableau14[[#This Row],[LEN]]*7.27,0)</f>
        <v>473</v>
      </c>
      <c r="L29" s="106">
        <v>15</v>
      </c>
      <c r="M29" s="124" t="str">
        <f t="shared" si="0"/>
        <v>none</v>
      </c>
      <c r="N29" s="106">
        <f>LEN(Tableau14[[#This Row],[LABEL]])</f>
        <v>65</v>
      </c>
      <c r="O29" s="106">
        <v>15</v>
      </c>
      <c r="P29" s="106" t="e">
        <f>ROUND(Tableau14[[#This Row],[LEN]]*#REF!+#REF!,0)</f>
        <v>#REF!</v>
      </c>
    </row>
    <row r="30" spans="1:16" x14ac:dyDescent="0.25">
      <c r="A30" s="12" t="s">
        <v>926</v>
      </c>
      <c r="B30" s="12" t="s">
        <v>919</v>
      </c>
      <c r="C30" s="12" t="s">
        <v>78</v>
      </c>
      <c r="D30" s="66" t="s">
        <v>28</v>
      </c>
      <c r="E30" s="12" t="s">
        <v>684</v>
      </c>
      <c r="F30" s="12" t="s">
        <v>681</v>
      </c>
      <c r="G30" s="66" t="s">
        <v>70</v>
      </c>
      <c r="H30" s="66" t="s">
        <v>18</v>
      </c>
      <c r="I30" s="12"/>
      <c r="J30" s="13" t="s">
        <v>708</v>
      </c>
      <c r="K30" s="106">
        <f>ROUND(Tableau14[[#This Row],[LEN]]*7.27,0)</f>
        <v>385</v>
      </c>
      <c r="L30" s="106">
        <v>15</v>
      </c>
      <c r="M30" s="124" t="str">
        <f t="shared" si="0"/>
        <v>none</v>
      </c>
      <c r="N30" s="106">
        <f>LEN(Tableau14[[#This Row],[LABEL]])</f>
        <v>53</v>
      </c>
      <c r="O30" s="106">
        <v>15</v>
      </c>
      <c r="P30" s="106" t="e">
        <f>ROUND(Tableau14[[#This Row],[LEN]]*#REF!+#REF!,0)</f>
        <v>#REF!</v>
      </c>
    </row>
    <row r="31" spans="1:16" x14ac:dyDescent="0.25">
      <c r="A31" s="6" t="s">
        <v>920</v>
      </c>
      <c r="B31" s="7" t="s">
        <v>216</v>
      </c>
      <c r="C31" s="8" t="s">
        <v>65</v>
      </c>
      <c r="D31" s="65" t="s">
        <v>28</v>
      </c>
      <c r="E31" s="8" t="s">
        <v>662</v>
      </c>
      <c r="F31" s="8" t="s">
        <v>1957</v>
      </c>
      <c r="G31" s="65" t="s">
        <v>70</v>
      </c>
      <c r="H31" s="65" t="s">
        <v>17</v>
      </c>
      <c r="I31" s="8"/>
      <c r="J31" s="9" t="s">
        <v>708</v>
      </c>
      <c r="K31" s="105">
        <f>ROUND(Tableau14[[#This Row],[LEN]]*7.27,0)</f>
        <v>291</v>
      </c>
      <c r="L31" s="105">
        <v>15</v>
      </c>
      <c r="M31" s="123" t="str">
        <f t="shared" si="0"/>
        <v>none</v>
      </c>
      <c r="N31" s="105">
        <f>LEN(Tableau14[[#This Row],[LABEL]])</f>
        <v>40</v>
      </c>
      <c r="O31" s="105">
        <v>15</v>
      </c>
      <c r="P31" s="105" t="e">
        <f>ROUND(Tableau14[[#This Row],[LEN]]*#REF!+#REF!,0)</f>
        <v>#REF!</v>
      </c>
    </row>
    <row r="32" spans="1:16" x14ac:dyDescent="0.25">
      <c r="A32" s="6" t="s">
        <v>921</v>
      </c>
      <c r="B32" s="7" t="s">
        <v>216</v>
      </c>
      <c r="C32" s="8" t="s">
        <v>915</v>
      </c>
      <c r="D32" s="65" t="s">
        <v>28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105">
        <f>ROUND(Tableau14[[#This Row],[LEN]]*7.27,0)</f>
        <v>225</v>
      </c>
      <c r="L32" s="105">
        <v>15</v>
      </c>
      <c r="M32" s="123" t="str">
        <f t="shared" si="0"/>
        <v>none</v>
      </c>
      <c r="N32" s="105">
        <f>LEN(Tableau14[[#This Row],[LABEL]])</f>
        <v>31</v>
      </c>
      <c r="O32" s="105">
        <v>15</v>
      </c>
      <c r="P32" s="105" t="e">
        <f>ROUND(Tableau14[[#This Row],[LEN]]*#REF!+#REF!,0)</f>
        <v>#REF!</v>
      </c>
    </row>
    <row r="33" spans="1:16" x14ac:dyDescent="0.25">
      <c r="A33" s="6" t="s">
        <v>922</v>
      </c>
      <c r="B33" s="7" t="s">
        <v>216</v>
      </c>
      <c r="C33" s="8" t="s">
        <v>917</v>
      </c>
      <c r="D33" s="65" t="s">
        <v>28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105">
        <f>ROUND(Tableau14[[#This Row],[LEN]]*7.27,0)</f>
        <v>225</v>
      </c>
      <c r="L33" s="105">
        <v>15</v>
      </c>
      <c r="M33" s="123" t="str">
        <f t="shared" si="0"/>
        <v>none</v>
      </c>
      <c r="N33" s="105">
        <f>LEN(Tableau14[[#This Row],[LABEL]])</f>
        <v>31</v>
      </c>
      <c r="O33" s="105">
        <v>15</v>
      </c>
      <c r="P33" s="105" t="e">
        <f>ROUND(Tableau14[[#This Row],[LEN]]*#REF!+#REF!,0)</f>
        <v>#REF!</v>
      </c>
    </row>
    <row r="34" spans="1:16" x14ac:dyDescent="0.25">
      <c r="A34" s="6" t="s">
        <v>923</v>
      </c>
      <c r="B34" s="7" t="s">
        <v>216</v>
      </c>
      <c r="C34" s="8" t="s">
        <v>916</v>
      </c>
      <c r="D34" s="65" t="s">
        <v>28</v>
      </c>
      <c r="E34" s="8" t="s">
        <v>666</v>
      </c>
      <c r="F34" s="8" t="s">
        <v>684</v>
      </c>
      <c r="G34" s="65" t="s">
        <v>70</v>
      </c>
      <c r="H34" s="65" t="s">
        <v>18</v>
      </c>
      <c r="I34" s="8"/>
      <c r="J34" s="9" t="s">
        <v>708</v>
      </c>
      <c r="K34" s="105">
        <f>ROUND(Tableau14[[#This Row],[LEN]]*7.27,0)</f>
        <v>109</v>
      </c>
      <c r="L34" s="105">
        <v>15</v>
      </c>
      <c r="M34" s="123" t="str">
        <f t="shared" si="0"/>
        <v>none</v>
      </c>
      <c r="N34" s="105">
        <f>LEN(Tableau14[[#This Row],[LABEL]])</f>
        <v>15</v>
      </c>
      <c r="O34" s="105">
        <v>15</v>
      </c>
      <c r="P34" s="105" t="e">
        <f>ROUND(Tableau14[[#This Row],[LEN]]*#REF!+#REF!,0)</f>
        <v>#REF!</v>
      </c>
    </row>
    <row r="35" spans="1:16" s="92" customFormat="1" x14ac:dyDescent="0.25">
      <c r="A35" s="245" t="s">
        <v>217</v>
      </c>
      <c r="B35" s="246" t="s">
        <v>204</v>
      </c>
      <c r="C35" s="247" t="s">
        <v>80</v>
      </c>
      <c r="D35" s="248" t="s">
        <v>28</v>
      </c>
      <c r="E35" s="247" t="s">
        <v>667</v>
      </c>
      <c r="F35" s="247" t="s">
        <v>667</v>
      </c>
      <c r="G35" s="248" t="s">
        <v>70</v>
      </c>
      <c r="H35" s="248" t="str">
        <f>IFERROR(IF(SEARCH(".00.00.00.00.00",Tableau14[[#This Row],[name]],1)=7,"Division",""),"")</f>
        <v>Division</v>
      </c>
      <c r="I35" s="247"/>
      <c r="J35" s="249" t="s">
        <v>713</v>
      </c>
      <c r="K35" s="250">
        <f>ROUND(Tableau14[[#This Row],[LEN]]*7.27,0)</f>
        <v>116</v>
      </c>
      <c r="L35" s="250">
        <v>15</v>
      </c>
      <c r="M35" s="251" t="str">
        <f t="shared" si="0"/>
        <v>new</v>
      </c>
      <c r="N35" s="250">
        <f>LEN(Tableau14[[#This Row],[LABEL]])</f>
        <v>16</v>
      </c>
      <c r="O35" s="250">
        <v>15</v>
      </c>
      <c r="P35" s="250" t="e">
        <f>ROUND(Tableau14[[#This Row],[LEN]]*#REF!+#REF!,0)</f>
        <v>#REF!</v>
      </c>
    </row>
    <row r="36" spans="1:16" x14ac:dyDescent="0.25">
      <c r="A36" s="6" t="s">
        <v>933</v>
      </c>
      <c r="B36" s="7" t="s">
        <v>217</v>
      </c>
      <c r="C36" s="8" t="s">
        <v>64</v>
      </c>
      <c r="D36" s="65" t="s">
        <v>28</v>
      </c>
      <c r="E36" s="8" t="s">
        <v>662</v>
      </c>
      <c r="F36" s="8" t="s">
        <v>1956</v>
      </c>
      <c r="G36" s="65" t="s">
        <v>70</v>
      </c>
      <c r="H36" s="65" t="s">
        <v>17</v>
      </c>
      <c r="I36" s="8"/>
      <c r="J36" s="9" t="s">
        <v>708</v>
      </c>
      <c r="K36" s="105">
        <f>ROUND(Tableau14[[#This Row],[LEN]]*7.27,0)</f>
        <v>291</v>
      </c>
      <c r="L36" s="105">
        <v>15</v>
      </c>
      <c r="M36" s="123" t="str">
        <f t="shared" si="0"/>
        <v>none</v>
      </c>
      <c r="N36" s="105">
        <f>LEN(Tableau14[[#This Row],[LABEL]])</f>
        <v>40</v>
      </c>
      <c r="O36" s="105">
        <v>15</v>
      </c>
      <c r="P36" s="105" t="e">
        <f>ROUND(Tableau14[[#This Row],[LEN]]*#REF!+#REF!,0)</f>
        <v>#REF!</v>
      </c>
    </row>
    <row r="37" spans="1:16" x14ac:dyDescent="0.25">
      <c r="A37" s="6" t="s">
        <v>934</v>
      </c>
      <c r="B37" s="7" t="s">
        <v>217</v>
      </c>
      <c r="C37" s="8" t="s">
        <v>927</v>
      </c>
      <c r="D37" s="65" t="s">
        <v>28</v>
      </c>
      <c r="E37" s="8" t="s">
        <v>667</v>
      </c>
      <c r="F37" s="8" t="s">
        <v>931</v>
      </c>
      <c r="G37" s="65" t="s">
        <v>70</v>
      </c>
      <c r="H37" s="65" t="s">
        <v>656</v>
      </c>
      <c r="I37" s="8"/>
      <c r="J37" s="9" t="s">
        <v>708</v>
      </c>
      <c r="K37" s="105">
        <f>ROUND(Tableau14[[#This Row],[LEN]]*7.27,0)</f>
        <v>298</v>
      </c>
      <c r="L37" s="105">
        <v>15</v>
      </c>
      <c r="M37" s="123" t="str">
        <f t="shared" si="0"/>
        <v>none</v>
      </c>
      <c r="N37" s="105">
        <f>LEN(Tableau14[[#This Row],[LABEL]])</f>
        <v>41</v>
      </c>
      <c r="O37" s="105">
        <v>15</v>
      </c>
      <c r="P37" s="105" t="e">
        <f>ROUND(Tableau14[[#This Row],[LEN]]*#REF!+#REF!,0)</f>
        <v>#REF!</v>
      </c>
    </row>
    <row r="38" spans="1:16" x14ac:dyDescent="0.25">
      <c r="A38" s="6" t="s">
        <v>935</v>
      </c>
      <c r="B38" s="7" t="s">
        <v>217</v>
      </c>
      <c r="C38" s="8" t="s">
        <v>65</v>
      </c>
      <c r="D38" s="65" t="s">
        <v>28</v>
      </c>
      <c r="E38" s="8" t="s">
        <v>662</v>
      </c>
      <c r="F38" s="8" t="s">
        <v>1957</v>
      </c>
      <c r="G38" s="65" t="s">
        <v>70</v>
      </c>
      <c r="H38" s="65" t="s">
        <v>17</v>
      </c>
      <c r="I38" s="8"/>
      <c r="J38" s="9" t="s">
        <v>708</v>
      </c>
      <c r="K38" s="105">
        <f>ROUND(Tableau14[[#This Row],[LEN]]*7.27,0)</f>
        <v>291</v>
      </c>
      <c r="L38" s="105">
        <v>15</v>
      </c>
      <c r="M38" s="123" t="str">
        <f t="shared" si="0"/>
        <v>none</v>
      </c>
      <c r="N38" s="105">
        <f>LEN(Tableau14[[#This Row],[LABEL]])</f>
        <v>40</v>
      </c>
      <c r="O38" s="105">
        <v>15</v>
      </c>
      <c r="P38" s="105" t="e">
        <f>ROUND(Tableau14[[#This Row],[LEN]]*#REF!+#REF!,0)</f>
        <v>#REF!</v>
      </c>
    </row>
    <row r="39" spans="1:16" x14ac:dyDescent="0.25">
      <c r="A39" s="6" t="s">
        <v>936</v>
      </c>
      <c r="B39" s="7" t="s">
        <v>217</v>
      </c>
      <c r="C39" s="8" t="s">
        <v>928</v>
      </c>
      <c r="D39" s="65" t="s">
        <v>28</v>
      </c>
      <c r="E39" s="8" t="s">
        <v>667</v>
      </c>
      <c r="F39" s="8" t="s">
        <v>932</v>
      </c>
      <c r="G39" s="65" t="s">
        <v>70</v>
      </c>
      <c r="H39" s="65" t="s">
        <v>18</v>
      </c>
      <c r="I39" s="8"/>
      <c r="J39" s="9" t="s">
        <v>708</v>
      </c>
      <c r="K39" s="105">
        <f>ROUND(Tableau14[[#This Row],[LEN]]*7.27,0)</f>
        <v>284</v>
      </c>
      <c r="L39" s="105">
        <v>15</v>
      </c>
      <c r="M39" s="123" t="str">
        <f t="shared" si="0"/>
        <v>none</v>
      </c>
      <c r="N39" s="105">
        <f>LEN(Tableau14[[#This Row],[LABEL]])</f>
        <v>39</v>
      </c>
      <c r="O39" s="105">
        <v>15</v>
      </c>
      <c r="P39" s="105" t="e">
        <f>ROUND(Tableau14[[#This Row],[LEN]]*#REF!+#REF!,0)</f>
        <v>#REF!</v>
      </c>
    </row>
    <row r="40" spans="1:16" x14ac:dyDescent="0.25">
      <c r="A40" s="6" t="s">
        <v>937</v>
      </c>
      <c r="B40" s="7" t="s">
        <v>217</v>
      </c>
      <c r="C40" s="8" t="s">
        <v>929</v>
      </c>
      <c r="D40" s="65" t="s">
        <v>28</v>
      </c>
      <c r="E40" s="8" t="s">
        <v>667</v>
      </c>
      <c r="F40" s="8" t="s">
        <v>667</v>
      </c>
      <c r="G40" s="65" t="s">
        <v>70</v>
      </c>
      <c r="H40" s="65" t="s">
        <v>656</v>
      </c>
      <c r="I40" s="8"/>
      <c r="J40" s="9" t="s">
        <v>708</v>
      </c>
      <c r="K40" s="105">
        <f>ROUND(Tableau14[[#This Row],[LEN]]*7.27,0)</f>
        <v>276</v>
      </c>
      <c r="L40" s="105">
        <v>15</v>
      </c>
      <c r="M40" s="123" t="str">
        <f t="shared" si="0"/>
        <v>none</v>
      </c>
      <c r="N40" s="105">
        <f>LEN(Tableau14[[#This Row],[LABEL]])</f>
        <v>38</v>
      </c>
      <c r="O40" s="105">
        <v>15</v>
      </c>
      <c r="P40" s="105" t="e">
        <f>ROUND(Tableau14[[#This Row],[LEN]]*#REF!+#REF!,0)</f>
        <v>#REF!</v>
      </c>
    </row>
    <row r="41" spans="1:16" x14ac:dyDescent="0.25">
      <c r="A41" s="6" t="s">
        <v>938</v>
      </c>
      <c r="B41" s="7" t="s">
        <v>217</v>
      </c>
      <c r="C41" s="8" t="s">
        <v>930</v>
      </c>
      <c r="D41" s="65" t="s">
        <v>28</v>
      </c>
      <c r="E41" s="8" t="s">
        <v>667</v>
      </c>
      <c r="F41" s="8" t="s">
        <v>667</v>
      </c>
      <c r="G41" s="65" t="s">
        <v>70</v>
      </c>
      <c r="H41" s="65" t="s">
        <v>654</v>
      </c>
      <c r="I41" s="8"/>
      <c r="J41" s="9" t="s">
        <v>706</v>
      </c>
      <c r="K41" s="105">
        <f>ROUND(Tableau14[[#This Row],[LEN]]*7.27,0)</f>
        <v>465</v>
      </c>
      <c r="L41" s="105">
        <v>15</v>
      </c>
      <c r="M41" s="123" t="str">
        <f t="shared" si="0"/>
        <v>new</v>
      </c>
      <c r="N41" s="105">
        <f>LEN(Tableau14[[#This Row],[LABEL]])</f>
        <v>64</v>
      </c>
      <c r="O41" s="105">
        <v>15</v>
      </c>
      <c r="P41" s="105" t="e">
        <f>ROUND(Tableau14[[#This Row],[LEN]]*#REF!+#REF!,0)</f>
        <v>#REF!</v>
      </c>
    </row>
    <row r="42" spans="1:16" s="92" customFormat="1" x14ac:dyDescent="0.25">
      <c r="A42" s="245" t="s">
        <v>219</v>
      </c>
      <c r="B42" s="246" t="s">
        <v>204</v>
      </c>
      <c r="C42" s="247" t="s">
        <v>6</v>
      </c>
      <c r="D42" s="248" t="s">
        <v>28</v>
      </c>
      <c r="E42" s="247" t="s">
        <v>669</v>
      </c>
      <c r="F42" s="247" t="s">
        <v>669</v>
      </c>
      <c r="G42" s="248" t="s">
        <v>70</v>
      </c>
      <c r="H42" s="248" t="str">
        <f>IFERROR(IF(SEARCH(".00.00.00.00.00",Tableau14[[#This Row],[name]],1)=7,"Division",""),"")</f>
        <v>Division</v>
      </c>
      <c r="I42" s="247"/>
      <c r="J42" s="249" t="s">
        <v>715</v>
      </c>
      <c r="K42" s="250">
        <f>ROUND(Tableau14[[#This Row],[LEN]]*7.27,0)</f>
        <v>196</v>
      </c>
      <c r="L42" s="250">
        <v>15</v>
      </c>
      <c r="M42" s="251" t="str">
        <f t="shared" si="0"/>
        <v>new</v>
      </c>
      <c r="N42" s="250">
        <f>LEN(Tableau14[[#This Row],[LABEL]])</f>
        <v>27</v>
      </c>
      <c r="O42" s="250">
        <v>15</v>
      </c>
      <c r="P42" s="250" t="e">
        <f>ROUND(Tableau14[[#This Row],[LEN]]*#REF!+#REF!,0)</f>
        <v>#REF!</v>
      </c>
    </row>
    <row r="43" spans="1:16" x14ac:dyDescent="0.25">
      <c r="A43" s="14" t="s">
        <v>361</v>
      </c>
      <c r="B43" s="15" t="s">
        <v>219</v>
      </c>
      <c r="C43" s="8" t="s">
        <v>64</v>
      </c>
      <c r="D43" s="67" t="s">
        <v>28</v>
      </c>
      <c r="E43" s="16" t="s">
        <v>662</v>
      </c>
      <c r="F43" s="8" t="s">
        <v>1956</v>
      </c>
      <c r="G43" s="67" t="s">
        <v>70</v>
      </c>
      <c r="H43" s="67" t="s">
        <v>17</v>
      </c>
      <c r="I43" s="8"/>
      <c r="J43" s="9" t="s">
        <v>708</v>
      </c>
      <c r="K43" s="105">
        <f>ROUND(Tableau14[[#This Row],[LEN]]*7.27,0)</f>
        <v>291</v>
      </c>
      <c r="L43" s="105">
        <v>15</v>
      </c>
      <c r="M43" s="123" t="str">
        <f t="shared" si="0"/>
        <v>none</v>
      </c>
      <c r="N43" s="105">
        <f>LEN(Tableau14[[#This Row],[LABEL]])</f>
        <v>40</v>
      </c>
      <c r="O43" s="105">
        <v>15</v>
      </c>
      <c r="P43" s="105" t="e">
        <f>ROUND(Tableau14[[#This Row],[LEN]]*#REF!+#REF!,0)</f>
        <v>#REF!</v>
      </c>
    </row>
    <row r="44" spans="1:16" x14ac:dyDescent="0.25">
      <c r="A44" s="14" t="s">
        <v>362</v>
      </c>
      <c r="B44" s="15" t="s">
        <v>219</v>
      </c>
      <c r="C44" s="8" t="s">
        <v>65</v>
      </c>
      <c r="D44" s="67" t="s">
        <v>28</v>
      </c>
      <c r="E44" s="16" t="s">
        <v>662</v>
      </c>
      <c r="F44" s="8" t="s">
        <v>1957</v>
      </c>
      <c r="G44" s="67" t="s">
        <v>70</v>
      </c>
      <c r="H44" s="67" t="s">
        <v>17</v>
      </c>
      <c r="I44" s="8"/>
      <c r="J44" s="9" t="s">
        <v>708</v>
      </c>
      <c r="K44" s="105">
        <f>ROUND(Tableau14[[#This Row],[LEN]]*7.27,0)</f>
        <v>291</v>
      </c>
      <c r="L44" s="105">
        <v>15</v>
      </c>
      <c r="M44" s="123" t="str">
        <f t="shared" si="0"/>
        <v>none</v>
      </c>
      <c r="N44" s="105">
        <f>LEN(Tableau14[[#This Row],[LABEL]])</f>
        <v>40</v>
      </c>
      <c r="O44" s="105">
        <v>15</v>
      </c>
      <c r="P44" s="105" t="e">
        <f>ROUND(Tableau14[[#This Row],[LEN]]*#REF!+#REF!,0)</f>
        <v>#REF!</v>
      </c>
    </row>
    <row r="45" spans="1:16" s="92" customFormat="1" x14ac:dyDescent="0.25">
      <c r="A45" s="245" t="s">
        <v>220</v>
      </c>
      <c r="B45" s="246" t="s">
        <v>204</v>
      </c>
      <c r="C45" s="247" t="s">
        <v>7</v>
      </c>
      <c r="D45" s="248" t="s">
        <v>28</v>
      </c>
      <c r="E45" s="247" t="s">
        <v>670</v>
      </c>
      <c r="F45" s="247" t="s">
        <v>670</v>
      </c>
      <c r="G45" s="248" t="s">
        <v>70</v>
      </c>
      <c r="H45" s="248" t="str">
        <f>IFERROR(IF(SEARCH(".00.00.00.00.00",Tableau14[[#This Row],[name]],1)=7,"Division",""),"")</f>
        <v>Division</v>
      </c>
      <c r="I45" s="247"/>
      <c r="J45" s="249" t="s">
        <v>716</v>
      </c>
      <c r="K45" s="250">
        <f>ROUND(Tableau14[[#This Row],[LEN]]*7.27,0)</f>
        <v>189</v>
      </c>
      <c r="L45" s="250">
        <v>15</v>
      </c>
      <c r="M45" s="251" t="str">
        <f t="shared" si="0"/>
        <v>new</v>
      </c>
      <c r="N45" s="250">
        <f>LEN(Tableau14[[#This Row],[LABEL]])</f>
        <v>26</v>
      </c>
      <c r="O45" s="250">
        <v>15</v>
      </c>
      <c r="P45" s="250" t="e">
        <f>ROUND(Tableau14[[#This Row],[LEN]]*#REF!+#REF!,0)</f>
        <v>#REF!</v>
      </c>
    </row>
    <row r="46" spans="1:16" x14ac:dyDescent="0.25">
      <c r="A46" s="14" t="s">
        <v>942</v>
      </c>
      <c r="B46" s="15" t="s">
        <v>220</v>
      </c>
      <c r="C46" s="16" t="s">
        <v>939</v>
      </c>
      <c r="D46" s="67" t="s">
        <v>28</v>
      </c>
      <c r="E46" s="16" t="s">
        <v>670</v>
      </c>
      <c r="F46" s="16" t="s">
        <v>941</v>
      </c>
      <c r="G46" s="67" t="s">
        <v>70</v>
      </c>
      <c r="H46" s="67" t="s">
        <v>656</v>
      </c>
      <c r="I46" s="8"/>
      <c r="J46" s="9" t="s">
        <v>708</v>
      </c>
      <c r="K46" s="105">
        <f>ROUND(Tableau14[[#This Row],[LEN]]*7.27,0)</f>
        <v>182</v>
      </c>
      <c r="L46" s="105">
        <v>15</v>
      </c>
      <c r="M46" s="123" t="str">
        <f t="shared" si="0"/>
        <v>none</v>
      </c>
      <c r="N46" s="105">
        <f>LEN(Tableau14[[#This Row],[LABEL]])</f>
        <v>25</v>
      </c>
      <c r="O46" s="105">
        <v>15</v>
      </c>
      <c r="P46" s="105" t="e">
        <f>ROUND(Tableau14[[#This Row],[LEN]]*#REF!+#REF!,0)</f>
        <v>#REF!</v>
      </c>
    </row>
    <row r="47" spans="1:16" x14ac:dyDescent="0.25">
      <c r="A47" s="14" t="s">
        <v>943</v>
      </c>
      <c r="B47" s="15" t="s">
        <v>220</v>
      </c>
      <c r="C47" s="16" t="s">
        <v>940</v>
      </c>
      <c r="D47" s="67" t="s">
        <v>28</v>
      </c>
      <c r="E47" s="16" t="s">
        <v>670</v>
      </c>
      <c r="F47" s="16" t="s">
        <v>941</v>
      </c>
      <c r="G47" s="67" t="s">
        <v>70</v>
      </c>
      <c r="H47" s="67" t="s">
        <v>656</v>
      </c>
      <c r="I47" s="8"/>
      <c r="J47" s="9" t="s">
        <v>708</v>
      </c>
      <c r="K47" s="105">
        <f>ROUND(Tableau14[[#This Row],[LEN]]*7.27,0)</f>
        <v>182</v>
      </c>
      <c r="L47" s="105">
        <v>15</v>
      </c>
      <c r="M47" s="123" t="str">
        <f t="shared" si="0"/>
        <v>none</v>
      </c>
      <c r="N47" s="105">
        <f>LEN(Tableau14[[#This Row],[LABEL]])</f>
        <v>25</v>
      </c>
      <c r="O47" s="105">
        <v>15</v>
      </c>
      <c r="P47" s="105" t="e">
        <f>ROUND(Tableau14[[#This Row],[LEN]]*#REF!+#REF!,0)</f>
        <v>#REF!</v>
      </c>
    </row>
    <row r="48" spans="1:16" s="92" customFormat="1" x14ac:dyDescent="0.25">
      <c r="A48" s="245" t="s">
        <v>221</v>
      </c>
      <c r="B48" s="246" t="s">
        <v>204</v>
      </c>
      <c r="C48" s="247" t="s">
        <v>8</v>
      </c>
      <c r="D48" s="248" t="s">
        <v>28</v>
      </c>
      <c r="E48" s="247" t="s">
        <v>671</v>
      </c>
      <c r="F48" s="247" t="s">
        <v>671</v>
      </c>
      <c r="G48" s="248" t="s">
        <v>70</v>
      </c>
      <c r="H48" s="248" t="str">
        <f>IFERROR(IF(SEARCH(".00.00.00.00.00",Tableau14[[#This Row],[name]],1)=7,"Division",""),"")</f>
        <v>Division</v>
      </c>
      <c r="I48" s="247"/>
      <c r="J48" s="249" t="s">
        <v>717</v>
      </c>
      <c r="K48" s="250">
        <f>ROUND(Tableau14[[#This Row],[LEN]]*7.27,0)</f>
        <v>116</v>
      </c>
      <c r="L48" s="250">
        <v>15</v>
      </c>
      <c r="M48" s="251" t="str">
        <f t="shared" si="0"/>
        <v>new</v>
      </c>
      <c r="N48" s="250">
        <f>LEN(Tableau14[[#This Row],[LABEL]])</f>
        <v>16</v>
      </c>
      <c r="O48" s="250">
        <v>15</v>
      </c>
      <c r="P48" s="250" t="e">
        <f>ROUND(Tableau14[[#This Row],[LEN]]*#REF!+#REF!,0)</f>
        <v>#REF!</v>
      </c>
    </row>
    <row r="49" spans="1:16" x14ac:dyDescent="0.25">
      <c r="A49" s="14" t="s">
        <v>944</v>
      </c>
      <c r="B49" s="15" t="s">
        <v>221</v>
      </c>
      <c r="C49" s="16" t="s">
        <v>945</v>
      </c>
      <c r="D49" s="67" t="s">
        <v>28</v>
      </c>
      <c r="E49" s="16" t="s">
        <v>671</v>
      </c>
      <c r="F49" s="16" t="s">
        <v>941</v>
      </c>
      <c r="G49" s="67" t="s">
        <v>70</v>
      </c>
      <c r="H49" s="67" t="s">
        <v>654</v>
      </c>
      <c r="I49" s="8"/>
      <c r="J49" s="9" t="s">
        <v>708</v>
      </c>
      <c r="K49" s="105">
        <f>ROUND(Tableau14[[#This Row],[LEN]]*7.27,0)</f>
        <v>371</v>
      </c>
      <c r="L49" s="105">
        <v>15</v>
      </c>
      <c r="M49" s="123" t="str">
        <f t="shared" si="0"/>
        <v>none</v>
      </c>
      <c r="N49" s="105">
        <f>LEN(Tableau14[[#This Row],[LABEL]])</f>
        <v>51</v>
      </c>
      <c r="O49" s="105">
        <v>15</v>
      </c>
      <c r="P49" s="105" t="e">
        <f>ROUND(Tableau14[[#This Row],[LEN]]*#REF!+#REF!,0)</f>
        <v>#REF!</v>
      </c>
    </row>
    <row r="50" spans="1:16" s="92" customFormat="1" x14ac:dyDescent="0.25">
      <c r="A50" s="245" t="s">
        <v>222</v>
      </c>
      <c r="B50" s="246" t="s">
        <v>204</v>
      </c>
      <c r="C50" s="247" t="s">
        <v>9</v>
      </c>
      <c r="D50" s="248" t="s">
        <v>28</v>
      </c>
      <c r="E50" s="247" t="s">
        <v>672</v>
      </c>
      <c r="F50" s="247" t="s">
        <v>672</v>
      </c>
      <c r="G50" s="248" t="s">
        <v>70</v>
      </c>
      <c r="H50" s="248" t="str">
        <f>IFERROR(IF(SEARCH(".00.00.00.00.00",Tableau14[[#This Row],[name]],1)=7,"Division",""),"")</f>
        <v>Division</v>
      </c>
      <c r="I50" s="247"/>
      <c r="J50" s="249" t="s">
        <v>718</v>
      </c>
      <c r="K50" s="250">
        <f>ROUND(Tableau14[[#This Row],[LEN]]*7.27,0)</f>
        <v>80</v>
      </c>
      <c r="L50" s="250">
        <v>15</v>
      </c>
      <c r="M50" s="251" t="str">
        <f t="shared" si="0"/>
        <v>new</v>
      </c>
      <c r="N50" s="250">
        <f>LEN(Tableau14[[#This Row],[LABEL]])</f>
        <v>11</v>
      </c>
      <c r="O50" s="250">
        <v>15</v>
      </c>
      <c r="P50" s="250" t="e">
        <f>ROUND(Tableau14[[#This Row],[LEN]]*#REF!+#REF!,0)</f>
        <v>#REF!</v>
      </c>
    </row>
    <row r="51" spans="1:16" x14ac:dyDescent="0.25">
      <c r="A51" s="14" t="s">
        <v>363</v>
      </c>
      <c r="B51" s="15" t="s">
        <v>222</v>
      </c>
      <c r="C51" s="8" t="s">
        <v>64</v>
      </c>
      <c r="D51" s="67" t="s">
        <v>28</v>
      </c>
      <c r="E51" s="16" t="s">
        <v>662</v>
      </c>
      <c r="F51" s="8" t="s">
        <v>1956</v>
      </c>
      <c r="G51" s="67" t="s">
        <v>70</v>
      </c>
      <c r="H51" s="67" t="s">
        <v>17</v>
      </c>
      <c r="I51" s="8"/>
      <c r="J51" s="9" t="s">
        <v>708</v>
      </c>
      <c r="K51" s="105">
        <f>ROUND(Tableau14[[#This Row],[LEN]]*7.27,0)</f>
        <v>291</v>
      </c>
      <c r="L51" s="105">
        <v>15</v>
      </c>
      <c r="M51" s="123" t="str">
        <f t="shared" si="0"/>
        <v>none</v>
      </c>
      <c r="N51" s="105">
        <f>LEN(Tableau14[[#This Row],[LABEL]])</f>
        <v>40</v>
      </c>
      <c r="O51" s="105">
        <v>15</v>
      </c>
      <c r="P51" s="105" t="e">
        <f>ROUND(Tableau14[[#This Row],[LEN]]*#REF!+#REF!,0)</f>
        <v>#REF!</v>
      </c>
    </row>
    <row r="52" spans="1:16" x14ac:dyDescent="0.25">
      <c r="A52" s="14" t="s">
        <v>364</v>
      </c>
      <c r="B52" s="15" t="s">
        <v>222</v>
      </c>
      <c r="C52" s="8" t="s">
        <v>65</v>
      </c>
      <c r="D52" s="67" t="s">
        <v>28</v>
      </c>
      <c r="E52" s="16" t="s">
        <v>662</v>
      </c>
      <c r="F52" s="8" t="s">
        <v>1957</v>
      </c>
      <c r="G52" s="67" t="s">
        <v>70</v>
      </c>
      <c r="H52" s="67" t="s">
        <v>17</v>
      </c>
      <c r="I52" s="8"/>
      <c r="J52" s="9" t="s">
        <v>708</v>
      </c>
      <c r="K52" s="105">
        <f>ROUND(Tableau14[[#This Row],[LEN]]*7.27,0)</f>
        <v>291</v>
      </c>
      <c r="L52" s="105">
        <v>15</v>
      </c>
      <c r="M52" s="123" t="str">
        <f t="shared" si="0"/>
        <v>none</v>
      </c>
      <c r="N52" s="105">
        <f>LEN(Tableau14[[#This Row],[LABEL]])</f>
        <v>40</v>
      </c>
      <c r="O52" s="105">
        <v>15</v>
      </c>
      <c r="P52" s="105" t="e">
        <f>ROUND(Tableau14[[#This Row],[LEN]]*#REF!+#REF!,0)</f>
        <v>#REF!</v>
      </c>
    </row>
    <row r="53" spans="1:16" s="92" customFormat="1" x14ac:dyDescent="0.25">
      <c r="A53" s="245" t="s">
        <v>223</v>
      </c>
      <c r="B53" s="246" t="s">
        <v>204</v>
      </c>
      <c r="C53" s="247" t="s">
        <v>10</v>
      </c>
      <c r="D53" s="248" t="s">
        <v>28</v>
      </c>
      <c r="E53" s="247" t="s">
        <v>673</v>
      </c>
      <c r="F53" s="247" t="s">
        <v>673</v>
      </c>
      <c r="G53" s="248" t="s">
        <v>70</v>
      </c>
      <c r="H53" s="248" t="str">
        <f>IFERROR(IF(SEARCH(".00.00.00.00.00",Tableau14[[#This Row],[name]],1)=7,"Division",""),"")</f>
        <v>Division</v>
      </c>
      <c r="I53" s="247"/>
      <c r="J53" s="249" t="s">
        <v>719</v>
      </c>
      <c r="K53" s="250">
        <f>ROUND(Tableau14[[#This Row],[LEN]]*7.27,0)</f>
        <v>109</v>
      </c>
      <c r="L53" s="250">
        <v>15</v>
      </c>
      <c r="M53" s="251" t="str">
        <f t="shared" si="0"/>
        <v>new</v>
      </c>
      <c r="N53" s="250">
        <f>LEN(Tableau14[[#This Row],[LABEL]])</f>
        <v>15</v>
      </c>
      <c r="O53" s="250">
        <v>15</v>
      </c>
      <c r="P53" s="250" t="e">
        <f>ROUND(Tableau14[[#This Row],[LEN]]*#REF!+#REF!,0)</f>
        <v>#REF!</v>
      </c>
    </row>
    <row r="54" spans="1:16" x14ac:dyDescent="0.25">
      <c r="A54" s="14" t="s">
        <v>946</v>
      </c>
      <c r="B54" s="15" t="s">
        <v>223</v>
      </c>
      <c r="C54" s="8" t="s">
        <v>64</v>
      </c>
      <c r="D54" s="67" t="s">
        <v>28</v>
      </c>
      <c r="E54" s="16" t="s">
        <v>662</v>
      </c>
      <c r="F54" s="8" t="s">
        <v>1956</v>
      </c>
      <c r="G54" s="67" t="s">
        <v>70</v>
      </c>
      <c r="H54" s="67" t="s">
        <v>17</v>
      </c>
      <c r="I54" s="8"/>
      <c r="J54" s="9" t="s">
        <v>708</v>
      </c>
      <c r="K54" s="105">
        <f>ROUND(Tableau14[[#This Row],[LEN]]*7.27,0)</f>
        <v>291</v>
      </c>
      <c r="L54" s="105">
        <v>15</v>
      </c>
      <c r="M54" s="123" t="str">
        <f t="shared" si="0"/>
        <v>none</v>
      </c>
      <c r="N54" s="105">
        <f>LEN(Tableau14[[#This Row],[LABEL]])</f>
        <v>40</v>
      </c>
      <c r="O54" s="105">
        <v>15</v>
      </c>
      <c r="P54" s="105" t="e">
        <f>ROUND(Tableau14[[#This Row],[LEN]]*#REF!+#REF!,0)</f>
        <v>#REF!</v>
      </c>
    </row>
    <row r="55" spans="1:16" x14ac:dyDescent="0.25">
      <c r="A55" s="14" t="s">
        <v>947</v>
      </c>
      <c r="B55" s="15" t="s">
        <v>223</v>
      </c>
      <c r="C55" s="8" t="s">
        <v>65</v>
      </c>
      <c r="D55" s="67" t="s">
        <v>28</v>
      </c>
      <c r="E55" s="16" t="s">
        <v>662</v>
      </c>
      <c r="F55" s="8" t="s">
        <v>1957</v>
      </c>
      <c r="G55" s="67" t="s">
        <v>70</v>
      </c>
      <c r="H55" s="67" t="s">
        <v>17</v>
      </c>
      <c r="I55" s="8"/>
      <c r="J55" s="9" t="s">
        <v>708</v>
      </c>
      <c r="K55" s="105">
        <f>ROUND(Tableau14[[#This Row],[LEN]]*7.27,0)</f>
        <v>291</v>
      </c>
      <c r="L55" s="105">
        <v>15</v>
      </c>
      <c r="M55" s="123" t="str">
        <f t="shared" si="0"/>
        <v>none</v>
      </c>
      <c r="N55" s="105">
        <f>LEN(Tableau14[[#This Row],[LABEL]])</f>
        <v>40</v>
      </c>
      <c r="O55" s="105">
        <v>15</v>
      </c>
      <c r="P55" s="105" t="e">
        <f>ROUND(Tableau14[[#This Row],[LEN]]*#REF!+#REF!,0)</f>
        <v>#REF!</v>
      </c>
    </row>
    <row r="56" spans="1:16" s="92" customFormat="1" x14ac:dyDescent="0.25">
      <c r="A56" s="245" t="s">
        <v>224</v>
      </c>
      <c r="B56" s="246" t="s">
        <v>204</v>
      </c>
      <c r="C56" s="247" t="s">
        <v>11</v>
      </c>
      <c r="D56" s="248" t="s">
        <v>28</v>
      </c>
      <c r="E56" s="247" t="s">
        <v>674</v>
      </c>
      <c r="F56" s="247" t="s">
        <v>674</v>
      </c>
      <c r="G56" s="248" t="s">
        <v>70</v>
      </c>
      <c r="H56" s="248" t="str">
        <f>IFERROR(IF(SEARCH(".00.00.00.00.00",Tableau14[[#This Row],[name]],1)=7,"Division",""),"")</f>
        <v>Division</v>
      </c>
      <c r="I56" s="247"/>
      <c r="J56" s="249" t="s">
        <v>720</v>
      </c>
      <c r="K56" s="250">
        <f>ROUND(Tableau14[[#This Row],[LEN]]*7.27,0)</f>
        <v>51</v>
      </c>
      <c r="L56" s="250">
        <v>15</v>
      </c>
      <c r="M56" s="251" t="str">
        <f t="shared" si="0"/>
        <v>new</v>
      </c>
      <c r="N56" s="250">
        <f>LEN(Tableau14[[#This Row],[LABEL]])</f>
        <v>7</v>
      </c>
      <c r="O56" s="250">
        <v>15</v>
      </c>
      <c r="P56" s="250" t="e">
        <f>ROUND(Tableau14[[#This Row],[LEN]]*#REF!+#REF!,0)</f>
        <v>#REF!</v>
      </c>
    </row>
    <row r="57" spans="1:16" x14ac:dyDescent="0.25">
      <c r="A57" s="14" t="s">
        <v>949</v>
      </c>
      <c r="B57" s="15" t="s">
        <v>224</v>
      </c>
      <c r="C57" s="16" t="s">
        <v>948</v>
      </c>
      <c r="D57" s="67" t="s">
        <v>28</v>
      </c>
      <c r="E57" s="16" t="s">
        <v>667</v>
      </c>
      <c r="F57" s="16" t="s">
        <v>667</v>
      </c>
      <c r="G57" s="67" t="s">
        <v>70</v>
      </c>
      <c r="H57" s="67" t="s">
        <v>17</v>
      </c>
      <c r="I57" s="8"/>
      <c r="J57" s="9" t="s">
        <v>708</v>
      </c>
      <c r="K57" s="105">
        <f>ROUND(Tableau14[[#This Row],[LEN]]*7.27,0)</f>
        <v>276</v>
      </c>
      <c r="L57" s="105">
        <v>15</v>
      </c>
      <c r="M57" s="123" t="str">
        <f t="shared" si="0"/>
        <v>none</v>
      </c>
      <c r="N57" s="105">
        <f>LEN(Tableau14[[#This Row],[LABEL]])</f>
        <v>38</v>
      </c>
      <c r="O57" s="105">
        <v>15</v>
      </c>
      <c r="P57" s="105" t="e">
        <f>ROUND(Tableau14[[#This Row],[LEN]]*#REF!+#REF!,0)</f>
        <v>#REF!</v>
      </c>
    </row>
    <row r="58" spans="1:16" s="92" customFormat="1" x14ac:dyDescent="0.25">
      <c r="A58" s="245" t="s">
        <v>225</v>
      </c>
      <c r="B58" s="246" t="s">
        <v>204</v>
      </c>
      <c r="C58" s="247" t="s">
        <v>12</v>
      </c>
      <c r="D58" s="248" t="s">
        <v>28</v>
      </c>
      <c r="E58" s="247" t="s">
        <v>675</v>
      </c>
      <c r="F58" s="247" t="s">
        <v>675</v>
      </c>
      <c r="G58" s="248" t="s">
        <v>70</v>
      </c>
      <c r="H58" s="248" t="str">
        <f>IFERROR(IF(SEARCH(".00.00.00.00.00",Tableau14[[#This Row],[name]],1)=7,"Division",""),"")</f>
        <v>Division</v>
      </c>
      <c r="I58" s="247"/>
      <c r="J58" s="249" t="s">
        <v>721</v>
      </c>
      <c r="K58" s="250">
        <f>ROUND(Tableau14[[#This Row],[LEN]]*7.27,0)</f>
        <v>15</v>
      </c>
      <c r="L58" s="250">
        <v>15</v>
      </c>
      <c r="M58" s="251" t="str">
        <f t="shared" si="0"/>
        <v>new</v>
      </c>
      <c r="N58" s="250">
        <f>LEN(Tableau14[[#This Row],[LABEL]])</f>
        <v>2</v>
      </c>
      <c r="O58" s="250">
        <v>15</v>
      </c>
      <c r="P58" s="250" t="e">
        <f>ROUND(Tableau14[[#This Row],[LEN]]*#REF!+#REF!,0)</f>
        <v>#REF!</v>
      </c>
    </row>
    <row r="59" spans="1:16" x14ac:dyDescent="0.25">
      <c r="A59" s="14" t="s">
        <v>950</v>
      </c>
      <c r="B59" s="14" t="s">
        <v>225</v>
      </c>
      <c r="C59" s="8" t="s">
        <v>65</v>
      </c>
      <c r="D59" s="67" t="s">
        <v>28</v>
      </c>
      <c r="E59" s="16" t="s">
        <v>662</v>
      </c>
      <c r="F59" s="8" t="s">
        <v>1957</v>
      </c>
      <c r="G59" s="67" t="s">
        <v>70</v>
      </c>
      <c r="H59" s="67" t="s">
        <v>17</v>
      </c>
      <c r="I59" s="8"/>
      <c r="J59" s="9" t="s">
        <v>708</v>
      </c>
      <c r="K59" s="105">
        <f>ROUND(Tableau14[[#This Row],[LEN]]*7.27,0)</f>
        <v>291</v>
      </c>
      <c r="L59" s="105">
        <v>15</v>
      </c>
      <c r="M59" s="123" t="str">
        <f t="shared" si="0"/>
        <v>none</v>
      </c>
      <c r="N59" s="105">
        <f>LEN(Tableau14[[#This Row],[LABEL]])</f>
        <v>40</v>
      </c>
      <c r="O59" s="105">
        <v>15</v>
      </c>
      <c r="P59" s="105" t="e">
        <f>ROUND(Tableau14[[#This Row],[LEN]]*#REF!+#REF!,0)</f>
        <v>#REF!</v>
      </c>
    </row>
    <row r="60" spans="1:16" x14ac:dyDescent="0.25">
      <c r="A60" s="14" t="s">
        <v>951</v>
      </c>
      <c r="B60" s="14" t="s">
        <v>225</v>
      </c>
      <c r="C60" s="16" t="s">
        <v>72</v>
      </c>
      <c r="D60" s="67" t="s">
        <v>28</v>
      </c>
      <c r="E60" s="16" t="s">
        <v>662</v>
      </c>
      <c r="F60" s="8" t="s">
        <v>1959</v>
      </c>
      <c r="G60" s="67" t="s">
        <v>70</v>
      </c>
      <c r="H60" s="67" t="s">
        <v>654</v>
      </c>
      <c r="I60" s="8"/>
      <c r="J60" s="9" t="s">
        <v>708</v>
      </c>
      <c r="K60" s="105">
        <f>ROUND(Tableau14[[#This Row],[LEN]]*7.27,0)</f>
        <v>400</v>
      </c>
      <c r="L60" s="105">
        <v>15</v>
      </c>
      <c r="M60" s="123" t="str">
        <f t="shared" si="0"/>
        <v>none</v>
      </c>
      <c r="N60" s="105">
        <f>LEN(Tableau14[[#This Row],[LABEL]])</f>
        <v>55</v>
      </c>
      <c r="O60" s="105">
        <v>15</v>
      </c>
      <c r="P60" s="105" t="e">
        <f>ROUND(Tableau14[[#This Row],[LEN]]*#REF!+#REF!,0)</f>
        <v>#REF!</v>
      </c>
    </row>
    <row r="61" spans="1:16" s="92" customFormat="1" x14ac:dyDescent="0.25">
      <c r="A61" s="245" t="s">
        <v>228</v>
      </c>
      <c r="B61" s="246" t="s">
        <v>204</v>
      </c>
      <c r="C61" s="247" t="s">
        <v>14</v>
      </c>
      <c r="D61" s="248" t="s">
        <v>28</v>
      </c>
      <c r="E61" s="247" t="s">
        <v>678</v>
      </c>
      <c r="F61" s="247" t="s">
        <v>678</v>
      </c>
      <c r="G61" s="248" t="s">
        <v>70</v>
      </c>
      <c r="H61" s="248" t="str">
        <f>IFERROR(IF(SEARCH(".00.00.00.00.00",Tableau14[[#This Row],[name]],1)=7,"Division",""),"")</f>
        <v>Division</v>
      </c>
      <c r="I61" s="247"/>
      <c r="J61" s="249" t="s">
        <v>724</v>
      </c>
      <c r="K61" s="250">
        <f>ROUND(Tableau14[[#This Row],[LEN]]*7.27,0)</f>
        <v>240</v>
      </c>
      <c r="L61" s="250">
        <v>15</v>
      </c>
      <c r="M61" s="251" t="str">
        <f t="shared" si="0"/>
        <v>new</v>
      </c>
      <c r="N61" s="250">
        <f>LEN(Tableau14[[#This Row],[LABEL]])</f>
        <v>33</v>
      </c>
      <c r="O61" s="250">
        <v>15</v>
      </c>
      <c r="P61" s="250" t="e">
        <f>ROUND(Tableau14[[#This Row],[LEN]]*#REF!+#REF!,0)</f>
        <v>#REF!</v>
      </c>
    </row>
    <row r="62" spans="1:16" x14ac:dyDescent="0.25">
      <c r="A62" s="14" t="s">
        <v>952</v>
      </c>
      <c r="B62" s="14" t="s">
        <v>228</v>
      </c>
      <c r="C62" s="8" t="s">
        <v>64</v>
      </c>
      <c r="D62" s="67" t="s">
        <v>28</v>
      </c>
      <c r="E62" s="16" t="s">
        <v>662</v>
      </c>
      <c r="F62" s="8" t="s">
        <v>1956</v>
      </c>
      <c r="G62" s="67" t="s">
        <v>70</v>
      </c>
      <c r="H62" s="67" t="s">
        <v>17</v>
      </c>
      <c r="I62" s="8"/>
      <c r="J62" s="9" t="s">
        <v>708</v>
      </c>
      <c r="K62" s="105">
        <f>ROUND(Tableau14[[#This Row],[LEN]]*7.27,0)</f>
        <v>291</v>
      </c>
      <c r="L62" s="105">
        <v>15</v>
      </c>
      <c r="M62" s="123" t="str">
        <f t="shared" si="0"/>
        <v>none</v>
      </c>
      <c r="N62" s="105">
        <f>LEN(Tableau14[[#This Row],[LABEL]])</f>
        <v>40</v>
      </c>
      <c r="O62" s="105">
        <v>15</v>
      </c>
      <c r="P62" s="105" t="e">
        <f>ROUND(Tableau14[[#This Row],[LEN]]*#REF!+#REF!,0)</f>
        <v>#REF!</v>
      </c>
    </row>
    <row r="63" spans="1:16" x14ac:dyDescent="0.25">
      <c r="A63" s="14" t="s">
        <v>953</v>
      </c>
      <c r="B63" s="14" t="s">
        <v>228</v>
      </c>
      <c r="C63" s="16" t="s">
        <v>927</v>
      </c>
      <c r="D63" s="67" t="s">
        <v>28</v>
      </c>
      <c r="E63" s="16" t="s">
        <v>667</v>
      </c>
      <c r="F63" s="16" t="s">
        <v>931</v>
      </c>
      <c r="G63" s="67" t="s">
        <v>70</v>
      </c>
      <c r="H63" s="67" t="s">
        <v>656</v>
      </c>
      <c r="I63" s="8"/>
      <c r="J63" s="9" t="s">
        <v>708</v>
      </c>
      <c r="K63" s="105">
        <f>ROUND(Tableau14[[#This Row],[LEN]]*7.27,0)</f>
        <v>298</v>
      </c>
      <c r="L63" s="105">
        <v>15</v>
      </c>
      <c r="M63" s="123" t="str">
        <f t="shared" si="0"/>
        <v>none</v>
      </c>
      <c r="N63" s="105">
        <f>LEN(Tableau14[[#This Row],[LABEL]])</f>
        <v>41</v>
      </c>
      <c r="O63" s="105">
        <v>15</v>
      </c>
      <c r="P63" s="105" t="e">
        <f>ROUND(Tableau14[[#This Row],[LEN]]*#REF!+#REF!,0)</f>
        <v>#REF!</v>
      </c>
    </row>
    <row r="64" spans="1:16" x14ac:dyDescent="0.25">
      <c r="A64" s="14" t="s">
        <v>954</v>
      </c>
      <c r="B64" s="14" t="s">
        <v>228</v>
      </c>
      <c r="C64" s="8" t="s">
        <v>65</v>
      </c>
      <c r="D64" s="67" t="s">
        <v>28</v>
      </c>
      <c r="E64" s="16" t="s">
        <v>662</v>
      </c>
      <c r="F64" s="8" t="s">
        <v>1957</v>
      </c>
      <c r="G64" s="67" t="s">
        <v>70</v>
      </c>
      <c r="H64" s="67" t="s">
        <v>17</v>
      </c>
      <c r="I64" s="8"/>
      <c r="J64" s="9" t="s">
        <v>708</v>
      </c>
      <c r="K64" s="105">
        <f>ROUND(Tableau14[[#This Row],[LEN]]*7.27,0)</f>
        <v>291</v>
      </c>
      <c r="L64" s="105">
        <v>15</v>
      </c>
      <c r="M64" s="123" t="str">
        <f t="shared" si="0"/>
        <v>none</v>
      </c>
      <c r="N64" s="105">
        <f>LEN(Tableau14[[#This Row],[LABEL]])</f>
        <v>40</v>
      </c>
      <c r="O64" s="105">
        <v>15</v>
      </c>
      <c r="P64" s="105" t="e">
        <f>ROUND(Tableau14[[#This Row],[LEN]]*#REF!+#REF!,0)</f>
        <v>#REF!</v>
      </c>
    </row>
    <row r="65" spans="1:16" x14ac:dyDescent="0.25">
      <c r="A65" s="14" t="s">
        <v>955</v>
      </c>
      <c r="B65" s="14" t="s">
        <v>228</v>
      </c>
      <c r="C65" s="16" t="s">
        <v>72</v>
      </c>
      <c r="D65" s="67" t="s">
        <v>28</v>
      </c>
      <c r="E65" s="16" t="s">
        <v>662</v>
      </c>
      <c r="F65" s="8" t="s">
        <v>1959</v>
      </c>
      <c r="G65" s="67" t="s">
        <v>70</v>
      </c>
      <c r="H65" s="67" t="s">
        <v>654</v>
      </c>
      <c r="I65" s="8"/>
      <c r="J65" s="9" t="s">
        <v>708</v>
      </c>
      <c r="K65" s="105">
        <f>ROUND(Tableau14[[#This Row],[LEN]]*7.27,0)</f>
        <v>400</v>
      </c>
      <c r="L65" s="105">
        <v>15</v>
      </c>
      <c r="M65" s="123" t="str">
        <f t="shared" si="0"/>
        <v>none</v>
      </c>
      <c r="N65" s="105">
        <f>LEN(Tableau14[[#This Row],[LABEL]])</f>
        <v>55</v>
      </c>
      <c r="O65" s="105">
        <v>15</v>
      </c>
      <c r="P65" s="105" t="e">
        <f>ROUND(Tableau14[[#This Row],[LEN]]*#REF!+#REF!,0)</f>
        <v>#REF!</v>
      </c>
    </row>
    <row r="66" spans="1:16" x14ac:dyDescent="0.25">
      <c r="A66" s="14" t="s">
        <v>956</v>
      </c>
      <c r="B66" s="14" t="s">
        <v>228</v>
      </c>
      <c r="C66" s="16" t="s">
        <v>930</v>
      </c>
      <c r="D66" s="67" t="s">
        <v>28</v>
      </c>
      <c r="E66" s="16" t="s">
        <v>678</v>
      </c>
      <c r="F66" s="16" t="s">
        <v>678</v>
      </c>
      <c r="G66" s="67" t="s">
        <v>70</v>
      </c>
      <c r="H66" s="67" t="s">
        <v>654</v>
      </c>
      <c r="I66" s="8"/>
      <c r="J66" s="9" t="s">
        <v>706</v>
      </c>
      <c r="K66" s="105">
        <f>ROUND(Tableau14[[#This Row],[LEN]]*7.27,0)</f>
        <v>465</v>
      </c>
      <c r="L66" s="105">
        <v>15</v>
      </c>
      <c r="M66" s="123" t="str">
        <f t="shared" si="0"/>
        <v>new</v>
      </c>
      <c r="N66" s="105">
        <f>LEN(Tableau14[[#This Row],[LABEL]])</f>
        <v>64</v>
      </c>
      <c r="O66" s="105">
        <v>15</v>
      </c>
      <c r="P66" s="105" t="e">
        <f>ROUND(Tableau14[[#This Row],[LEN]]*#REF!+#REF!,0)</f>
        <v>#REF!</v>
      </c>
    </row>
    <row r="67" spans="1:16" s="92" customFormat="1" x14ac:dyDescent="0.25">
      <c r="A67" s="245" t="s">
        <v>229</v>
      </c>
      <c r="B67" s="246" t="s">
        <v>204</v>
      </c>
      <c r="C67" s="247" t="s">
        <v>1950</v>
      </c>
      <c r="D67" s="248" t="s">
        <v>28</v>
      </c>
      <c r="E67" s="247" t="s">
        <v>1951</v>
      </c>
      <c r="F67" s="247" t="s">
        <v>1951</v>
      </c>
      <c r="G67" s="248" t="s">
        <v>70</v>
      </c>
      <c r="H67" s="248" t="s">
        <v>56</v>
      </c>
      <c r="I67" s="247"/>
      <c r="J67" s="249" t="s">
        <v>708</v>
      </c>
      <c r="K67" s="250">
        <f>ROUND(Tableau14[[#This Row],[LEN]]*7.27,0)</f>
        <v>51</v>
      </c>
      <c r="L67" s="250">
        <v>15</v>
      </c>
      <c r="M67" s="251" t="str">
        <f t="shared" si="0"/>
        <v>none</v>
      </c>
      <c r="N67" s="250">
        <f>LEN(Tableau14[[#This Row],[LABEL]])</f>
        <v>7</v>
      </c>
      <c r="O67" s="250">
        <v>15</v>
      </c>
      <c r="P67" s="250" t="e">
        <f>ROUND(Tableau14[[#This Row],[LEN]]*#REF!+#REF!,0)</f>
        <v>#REF!</v>
      </c>
    </row>
    <row r="68" spans="1:16" x14ac:dyDescent="0.25">
      <c r="A68" s="14" t="s">
        <v>1952</v>
      </c>
      <c r="B68" s="14" t="s">
        <v>229</v>
      </c>
      <c r="C68" s="8" t="s">
        <v>64</v>
      </c>
      <c r="D68" s="67" t="s">
        <v>28</v>
      </c>
      <c r="E68" s="16" t="s">
        <v>662</v>
      </c>
      <c r="F68" s="8" t="s">
        <v>1956</v>
      </c>
      <c r="G68" s="67" t="s">
        <v>70</v>
      </c>
      <c r="H68" s="67" t="s">
        <v>17</v>
      </c>
      <c r="I68" s="8"/>
      <c r="J68" s="9" t="s">
        <v>708</v>
      </c>
      <c r="K68" s="105">
        <f>ROUND(Tableau14[[#This Row],[LEN]]*7.27,0)</f>
        <v>291</v>
      </c>
      <c r="L68" s="105">
        <v>15</v>
      </c>
      <c r="M68" s="123" t="str">
        <f t="shared" si="0"/>
        <v>none</v>
      </c>
      <c r="N68" s="105">
        <f>LEN(Tableau14[[#This Row],[LABEL]])</f>
        <v>40</v>
      </c>
      <c r="O68" s="105">
        <v>15</v>
      </c>
      <c r="P68" s="105" t="e">
        <f>ROUND(Tableau14[[#This Row],[LEN]]*#REF!+#REF!,0)</f>
        <v>#REF!</v>
      </c>
    </row>
    <row r="69" spans="1:16" x14ac:dyDescent="0.25">
      <c r="A69" s="14" t="s">
        <v>1953</v>
      </c>
      <c r="B69" s="14" t="s">
        <v>229</v>
      </c>
      <c r="C69" s="8" t="s">
        <v>65</v>
      </c>
      <c r="D69" s="67" t="s">
        <v>28</v>
      </c>
      <c r="E69" s="16" t="s">
        <v>662</v>
      </c>
      <c r="F69" s="8" t="s">
        <v>1957</v>
      </c>
      <c r="G69" s="67" t="s">
        <v>70</v>
      </c>
      <c r="H69" s="67" t="s">
        <v>17</v>
      </c>
      <c r="I69" s="8"/>
      <c r="J69" s="9" t="s">
        <v>708</v>
      </c>
      <c r="K69" s="105">
        <f>ROUND(Tableau14[[#This Row],[LEN]]*7.27,0)</f>
        <v>291</v>
      </c>
      <c r="L69" s="105">
        <v>15</v>
      </c>
      <c r="M69" s="123" t="str">
        <f t="shared" si="0"/>
        <v>none</v>
      </c>
      <c r="N69" s="105">
        <f>LEN(Tableau14[[#This Row],[LABEL]])</f>
        <v>40</v>
      </c>
      <c r="O69" s="105">
        <v>15</v>
      </c>
      <c r="P69" s="105" t="e">
        <f>ROUND(Tableau14[[#This Row],[LEN]]*#REF!+#REF!,0)</f>
        <v>#REF!</v>
      </c>
    </row>
    <row r="70" spans="1:16" x14ac:dyDescent="0.25">
      <c r="A70" s="14" t="s">
        <v>1954</v>
      </c>
      <c r="B70" s="14" t="s">
        <v>229</v>
      </c>
      <c r="C70" s="16" t="s">
        <v>1958</v>
      </c>
      <c r="D70" s="67" t="s">
        <v>28</v>
      </c>
      <c r="E70" s="16" t="s">
        <v>1951</v>
      </c>
      <c r="F70" s="16" t="s">
        <v>1177</v>
      </c>
      <c r="G70" s="67" t="s">
        <v>70</v>
      </c>
      <c r="H70" s="67" t="s">
        <v>570</v>
      </c>
      <c r="I70" s="8"/>
      <c r="J70" s="9" t="s">
        <v>708</v>
      </c>
      <c r="K70" s="105">
        <f>ROUND(Tableau14[[#This Row],[LEN]]*7.27,0)</f>
        <v>320</v>
      </c>
      <c r="L70" s="105">
        <v>15</v>
      </c>
      <c r="M70" s="123" t="str">
        <f t="shared" si="0"/>
        <v>none</v>
      </c>
      <c r="N70" s="105">
        <f>LEN(Tableau14[[#This Row],[LABEL]])</f>
        <v>44</v>
      </c>
      <c r="O70" s="105">
        <v>15</v>
      </c>
      <c r="P70" s="105" t="e">
        <f>ROUND(Tableau14[[#This Row],[LEN]]*#REF!+#REF!,0)</f>
        <v>#REF!</v>
      </c>
    </row>
    <row r="71" spans="1:16" ht="15.75" thickBot="1" x14ac:dyDescent="0.3">
      <c r="A71" s="14" t="s">
        <v>1955</v>
      </c>
      <c r="B71" s="14" t="s">
        <v>229</v>
      </c>
      <c r="C71" s="16" t="s">
        <v>72</v>
      </c>
      <c r="D71" s="67" t="s">
        <v>28</v>
      </c>
      <c r="E71" s="16" t="s">
        <v>662</v>
      </c>
      <c r="F71" s="8" t="s">
        <v>1959</v>
      </c>
      <c r="G71" s="67" t="s">
        <v>70</v>
      </c>
      <c r="H71" s="67" t="s">
        <v>654</v>
      </c>
      <c r="I71" s="8"/>
      <c r="J71" s="9" t="s">
        <v>708</v>
      </c>
      <c r="K71" s="105">
        <f>ROUND(Tableau14[[#This Row],[LEN]]*7.27,0)</f>
        <v>400</v>
      </c>
      <c r="L71" s="105">
        <v>15</v>
      </c>
      <c r="M71" s="123" t="str">
        <f t="shared" si="0"/>
        <v>none</v>
      </c>
      <c r="N71" s="105">
        <f>LEN(Tableau14[[#This Row],[LABEL]])</f>
        <v>55</v>
      </c>
      <c r="O71" s="105">
        <v>15</v>
      </c>
      <c r="P71" s="105" t="e">
        <f>ROUND(Tableau14[[#This Row],[LEN]]*#REF!+#REF!,0)</f>
        <v>#REF!</v>
      </c>
    </row>
    <row r="72" spans="1:16" ht="15.75" thickTop="1" x14ac:dyDescent="0.25">
      <c r="A72" s="156" t="s">
        <v>200</v>
      </c>
      <c r="B72" s="156" t="s">
        <v>198</v>
      </c>
      <c r="C72" s="157" t="s">
        <v>1159</v>
      </c>
      <c r="D72" s="157" t="s">
        <v>181</v>
      </c>
      <c r="E72" s="158" t="s">
        <v>58</v>
      </c>
      <c r="F72" s="157" t="s">
        <v>665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ROUND(Tableau14[[#This Row],[LEN]]*7.27,0)</f>
        <v>95</v>
      </c>
      <c r="L72" s="160">
        <v>15</v>
      </c>
      <c r="M72" s="161" t="str">
        <f t="shared" si="0"/>
        <v>new</v>
      </c>
      <c r="N72" s="160">
        <f>LEN(Tableau14[[#This Row],[LABEL]])</f>
        <v>13</v>
      </c>
      <c r="O72" s="162">
        <v>15</v>
      </c>
      <c r="P72" s="162" t="e">
        <f>ROUND(Tableau14[[#This Row],[LEN]]*#REF!+#REF!,0)</f>
        <v>#REF!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58</v>
      </c>
      <c r="F73" s="165"/>
      <c r="G73" s="164" t="s">
        <v>167</v>
      </c>
      <c r="H73" s="164" t="s">
        <v>616</v>
      </c>
      <c r="I73" s="165"/>
      <c r="J73" s="166" t="s">
        <v>708</v>
      </c>
      <c r="K73" s="167">
        <f>ROUND(Tableau14[[#This Row],[LEN]]*7.27,0)</f>
        <v>58</v>
      </c>
      <c r="L73" s="167">
        <v>15</v>
      </c>
      <c r="M73" s="168" t="str">
        <f t="shared" si="0"/>
        <v>none</v>
      </c>
      <c r="N73" s="167">
        <f>LEN(Tableau14[[#This Row],[LABEL]])</f>
        <v>8</v>
      </c>
      <c r="O73" s="169">
        <v>15</v>
      </c>
      <c r="P73" s="169" t="e">
        <f>ROUND(Tableau14[[#This Row],[LEN]]*#REF!+#REF!,0)</f>
        <v>#REF!</v>
      </c>
    </row>
    <row r="74" spans="1:16" s="92" customFormat="1" ht="15.75" thickTop="1" x14ac:dyDescent="0.25">
      <c r="A74" s="266" t="s">
        <v>231</v>
      </c>
      <c r="B74" s="267" t="s">
        <v>205</v>
      </c>
      <c r="C74" s="268" t="s">
        <v>57</v>
      </c>
      <c r="D74" s="269" t="s">
        <v>28</v>
      </c>
      <c r="E74" s="268" t="s">
        <v>663</v>
      </c>
      <c r="F74" s="268" t="s">
        <v>663</v>
      </c>
      <c r="G74" s="269" t="s">
        <v>167</v>
      </c>
      <c r="H74" s="269" t="str">
        <f>IFERROR(IF(SEARCH(".00.00.00.00.00",Tableau14[[#This Row],[name]],1)=7,"Division",""),"")</f>
        <v>Division</v>
      </c>
      <c r="I74" s="268"/>
      <c r="J74" s="270" t="s">
        <v>709</v>
      </c>
      <c r="K74" s="271">
        <f>ROUND(Tableau14[[#This Row],[LEN]]*7.27,0)</f>
        <v>102</v>
      </c>
      <c r="L74" s="271">
        <v>15</v>
      </c>
      <c r="M74" s="272" t="str">
        <f t="shared" si="0"/>
        <v>new</v>
      </c>
      <c r="N74" s="271">
        <f>LEN(Tableau14[[#This Row],[LABEL]])</f>
        <v>14</v>
      </c>
      <c r="O74" s="271">
        <v>15</v>
      </c>
      <c r="P74" s="271" t="e">
        <f>ROUND(Tableau14[[#This Row],[LEN]]*#REF!+#REF!,0)</f>
        <v>#REF!</v>
      </c>
    </row>
    <row r="75" spans="1:16" s="97" customFormat="1" x14ac:dyDescent="0.25">
      <c r="A75" s="17" t="s">
        <v>749</v>
      </c>
      <c r="B75" s="18" t="s">
        <v>231</v>
      </c>
      <c r="C75" s="19" t="s">
        <v>755</v>
      </c>
      <c r="D75" s="68" t="s">
        <v>28</v>
      </c>
      <c r="E75" s="19" t="s">
        <v>663</v>
      </c>
      <c r="F75" s="19" t="s">
        <v>663</v>
      </c>
      <c r="G75" s="68" t="s">
        <v>167</v>
      </c>
      <c r="H75" s="68" t="s">
        <v>570</v>
      </c>
      <c r="I75" s="19"/>
      <c r="J75" s="20" t="s">
        <v>708</v>
      </c>
      <c r="K75" s="107">
        <f>ROUND(Tableau14[[#This Row],[LEN]]*7.27,0)</f>
        <v>254</v>
      </c>
      <c r="L75" s="107">
        <v>15</v>
      </c>
      <c r="M75" s="125" t="str">
        <f t="shared" si="0"/>
        <v>none</v>
      </c>
      <c r="N75" s="107">
        <f>LEN(Tableau14[[#This Row],[LABEL]])</f>
        <v>35</v>
      </c>
      <c r="O75" s="107">
        <v>15</v>
      </c>
      <c r="P75" s="107" t="e">
        <f>ROUND(Tableau14[[#This Row],[LEN]]*#REF!+#REF!,0)</f>
        <v>#REF!</v>
      </c>
    </row>
    <row r="76" spans="1:16" s="97" customFormat="1" x14ac:dyDescent="0.25">
      <c r="A76" s="17" t="s">
        <v>750</v>
      </c>
      <c r="B76" s="18" t="s">
        <v>231</v>
      </c>
      <c r="C76" s="19" t="s">
        <v>756</v>
      </c>
      <c r="D76" s="68" t="s">
        <v>28</v>
      </c>
      <c r="E76" s="19" t="s">
        <v>663</v>
      </c>
      <c r="F76" s="19" t="s">
        <v>663</v>
      </c>
      <c r="G76" s="68" t="s">
        <v>167</v>
      </c>
      <c r="H76" s="68" t="s">
        <v>654</v>
      </c>
      <c r="I76" s="19"/>
      <c r="J76" s="20" t="s">
        <v>708</v>
      </c>
      <c r="K76" s="107">
        <f>ROUND(Tableau14[[#This Row],[LEN]]*7.27,0)</f>
        <v>131</v>
      </c>
      <c r="L76" s="107">
        <v>15</v>
      </c>
      <c r="M76" s="125" t="str">
        <f t="shared" si="0"/>
        <v>none</v>
      </c>
      <c r="N76" s="107">
        <f>LEN(Tableau14[[#This Row],[LABEL]])</f>
        <v>18</v>
      </c>
      <c r="O76" s="107">
        <v>15</v>
      </c>
      <c r="P76" s="107" t="e">
        <f>ROUND(Tableau14[[#This Row],[LEN]]*#REF!+#REF!,0)</f>
        <v>#REF!</v>
      </c>
    </row>
    <row r="77" spans="1:16" s="97" customFormat="1" x14ac:dyDescent="0.25">
      <c r="A77" s="17" t="s">
        <v>751</v>
      </c>
      <c r="B77" s="18" t="s">
        <v>231</v>
      </c>
      <c r="C77" s="19" t="s">
        <v>757</v>
      </c>
      <c r="D77" s="68" t="s">
        <v>28</v>
      </c>
      <c r="E77" s="19" t="s">
        <v>663</v>
      </c>
      <c r="F77" s="19" t="s">
        <v>663</v>
      </c>
      <c r="G77" s="68" t="s">
        <v>167</v>
      </c>
      <c r="H77" s="68" t="s">
        <v>656</v>
      </c>
      <c r="I77" s="19"/>
      <c r="J77" s="20" t="s">
        <v>708</v>
      </c>
      <c r="K77" s="107">
        <f>ROUND(Tableau14[[#This Row],[LEN]]*7.27,0)</f>
        <v>298</v>
      </c>
      <c r="L77" s="107">
        <v>15</v>
      </c>
      <c r="M77" s="125" t="str">
        <f t="shared" si="0"/>
        <v>none</v>
      </c>
      <c r="N77" s="107">
        <f>LEN(Tableau14[[#This Row],[LABEL]])</f>
        <v>41</v>
      </c>
      <c r="O77" s="107">
        <v>15</v>
      </c>
      <c r="P77" s="107" t="e">
        <f>ROUND(Tableau14[[#This Row],[LEN]]*#REF!+#REF!,0)</f>
        <v>#REF!</v>
      </c>
    </row>
    <row r="78" spans="1:16" s="97" customFormat="1" x14ac:dyDescent="0.25">
      <c r="A78" s="17" t="s">
        <v>752</v>
      </c>
      <c r="B78" s="18" t="s">
        <v>231</v>
      </c>
      <c r="C78" s="19" t="s">
        <v>758</v>
      </c>
      <c r="D78" s="68" t="s">
        <v>28</v>
      </c>
      <c r="E78" s="19" t="s">
        <v>663</v>
      </c>
      <c r="F78" s="19" t="s">
        <v>663</v>
      </c>
      <c r="G78" s="68" t="s">
        <v>167</v>
      </c>
      <c r="H78" s="68" t="s">
        <v>656</v>
      </c>
      <c r="I78" s="19"/>
      <c r="J78" s="20" t="s">
        <v>708</v>
      </c>
      <c r="K78" s="107">
        <f>ROUND(Tableau14[[#This Row],[LEN]]*7.27,0)</f>
        <v>254</v>
      </c>
      <c r="L78" s="107">
        <v>15</v>
      </c>
      <c r="M78" s="125" t="str">
        <f t="shared" si="0"/>
        <v>none</v>
      </c>
      <c r="N78" s="107">
        <f>LEN(Tableau14[[#This Row],[LABEL]])</f>
        <v>35</v>
      </c>
      <c r="O78" s="107">
        <v>15</v>
      </c>
      <c r="P78" s="107" t="e">
        <f>ROUND(Tableau14[[#This Row],[LEN]]*#REF!+#REF!,0)</f>
        <v>#REF!</v>
      </c>
    </row>
    <row r="79" spans="1:16" s="97" customFormat="1" x14ac:dyDescent="0.25">
      <c r="A79" s="17" t="s">
        <v>753</v>
      </c>
      <c r="B79" s="18" t="s">
        <v>231</v>
      </c>
      <c r="C79" s="19" t="s">
        <v>759</v>
      </c>
      <c r="D79" s="68" t="s">
        <v>28</v>
      </c>
      <c r="E79" s="19" t="s">
        <v>663</v>
      </c>
      <c r="F79" s="19" t="s">
        <v>663</v>
      </c>
      <c r="G79" s="68" t="s">
        <v>167</v>
      </c>
      <c r="H79" s="68" t="s">
        <v>654</v>
      </c>
      <c r="I79" s="19"/>
      <c r="J79" s="20" t="s">
        <v>708</v>
      </c>
      <c r="K79" s="107">
        <f>ROUND(Tableau14[[#This Row],[LEN]]*7.27,0)</f>
        <v>298</v>
      </c>
      <c r="L79" s="107">
        <v>15</v>
      </c>
      <c r="M79" s="125" t="str">
        <f t="shared" si="0"/>
        <v>none</v>
      </c>
      <c r="N79" s="107">
        <f>LEN(Tableau14[[#This Row],[LABEL]])</f>
        <v>41</v>
      </c>
      <c r="O79" s="107">
        <v>15</v>
      </c>
      <c r="P79" s="107" t="e">
        <f>ROUND(Tableau14[[#This Row],[LEN]]*#REF!+#REF!,0)</f>
        <v>#REF!</v>
      </c>
    </row>
    <row r="80" spans="1:16" s="97" customFormat="1" x14ac:dyDescent="0.25">
      <c r="A80" s="17" t="s">
        <v>754</v>
      </c>
      <c r="B80" s="18" t="s">
        <v>231</v>
      </c>
      <c r="C80" s="19" t="s">
        <v>110</v>
      </c>
      <c r="D80" s="68" t="s">
        <v>28</v>
      </c>
      <c r="E80" s="19" t="s">
        <v>1177</v>
      </c>
      <c r="F80" s="19" t="s">
        <v>1084</v>
      </c>
      <c r="G80" s="68" t="s">
        <v>1977</v>
      </c>
      <c r="H80" s="68" t="s">
        <v>1131</v>
      </c>
      <c r="I80" s="19"/>
      <c r="J80" s="20" t="s">
        <v>708</v>
      </c>
      <c r="K80" s="107">
        <f>ROUND(Tableau14[[#This Row],[LEN]]*7.27,0)</f>
        <v>102</v>
      </c>
      <c r="L80" s="107">
        <v>15</v>
      </c>
      <c r="M80" s="125" t="str">
        <f t="shared" si="0"/>
        <v>none</v>
      </c>
      <c r="N80" s="107">
        <f>LEN(Tableau14[[#This Row],[LABEL]])</f>
        <v>14</v>
      </c>
      <c r="O80" s="107">
        <v>15</v>
      </c>
      <c r="P80" s="107" t="e">
        <f>ROUND(Tableau14[[#This Row],[LEN]]*#REF!+#REF!,0)</f>
        <v>#REF!</v>
      </c>
    </row>
    <row r="81" spans="1:16" s="273" customFormat="1" x14ac:dyDescent="0.25">
      <c r="A81" s="266" t="s">
        <v>233</v>
      </c>
      <c r="B81" s="267" t="s">
        <v>205</v>
      </c>
      <c r="C81" s="268" t="s">
        <v>3</v>
      </c>
      <c r="D81" s="269" t="s">
        <v>28</v>
      </c>
      <c r="E81" s="268" t="s">
        <v>661</v>
      </c>
      <c r="F81" s="268" t="s">
        <v>661</v>
      </c>
      <c r="G81" s="269" t="s">
        <v>167</v>
      </c>
      <c r="H81" s="269" t="str">
        <f>IFERROR(IF(SEARCH(".00.00.00.00.00",Tableau14[[#This Row],[name]],1)=7,"Division",""),"")</f>
        <v>Division</v>
      </c>
      <c r="I81" s="268"/>
      <c r="J81" s="270" t="s">
        <v>711</v>
      </c>
      <c r="K81" s="271">
        <f>ROUND(Tableau14[[#This Row],[LEN]]*7.27,0)</f>
        <v>73</v>
      </c>
      <c r="L81" s="271">
        <v>15</v>
      </c>
      <c r="M81" s="272" t="str">
        <f t="shared" si="0"/>
        <v>new</v>
      </c>
      <c r="N81" s="271">
        <f>LEN(Tableau14[[#This Row],[LABEL]])</f>
        <v>10</v>
      </c>
      <c r="O81" s="271">
        <v>15</v>
      </c>
      <c r="P81" s="271" t="e">
        <f>ROUND(Tableau14[[#This Row],[LEN]]*#REF!+#REF!,0)</f>
        <v>#REF!</v>
      </c>
    </row>
    <row r="82" spans="1:16" s="97" customFormat="1" x14ac:dyDescent="0.25">
      <c r="A82" s="17" t="s">
        <v>368</v>
      </c>
      <c r="B82" s="18" t="s">
        <v>233</v>
      </c>
      <c r="C82" s="19" t="s">
        <v>81</v>
      </c>
      <c r="D82" s="68" t="s">
        <v>28</v>
      </c>
      <c r="E82" s="19" t="s">
        <v>667</v>
      </c>
      <c r="F82" s="19" t="s">
        <v>1963</v>
      </c>
      <c r="G82" s="68" t="s">
        <v>167</v>
      </c>
      <c r="H82" s="68" t="s">
        <v>655</v>
      </c>
      <c r="I82" s="19"/>
      <c r="J82" s="20" t="s">
        <v>708</v>
      </c>
      <c r="K82" s="107">
        <f>ROUND(Tableau14[[#This Row],[LEN]]*7.27,0)</f>
        <v>73</v>
      </c>
      <c r="L82" s="107">
        <v>15</v>
      </c>
      <c r="M82" s="125" t="str">
        <f t="shared" si="0"/>
        <v>none</v>
      </c>
      <c r="N82" s="107">
        <f>LEN(Tableau14[[#This Row],[LABEL]])</f>
        <v>10</v>
      </c>
      <c r="O82" s="107">
        <v>15</v>
      </c>
      <c r="P82" s="107" t="e">
        <f>ROUND(Tableau14[[#This Row],[LEN]]*#REF!+#REF!,0)</f>
        <v>#REF!</v>
      </c>
    </row>
    <row r="83" spans="1:16" s="97" customFormat="1" x14ac:dyDescent="0.25">
      <c r="A83" s="21" t="s">
        <v>373</v>
      </c>
      <c r="B83" s="22" t="s">
        <v>368</v>
      </c>
      <c r="C83" s="23" t="s">
        <v>103</v>
      </c>
      <c r="D83" s="69" t="s">
        <v>28</v>
      </c>
      <c r="E83" s="23" t="s">
        <v>667</v>
      </c>
      <c r="F83" s="23" t="s">
        <v>1963</v>
      </c>
      <c r="G83" s="69" t="s">
        <v>167</v>
      </c>
      <c r="H83" s="69" t="s">
        <v>570</v>
      </c>
      <c r="I83" s="23"/>
      <c r="J83" s="24" t="s">
        <v>708</v>
      </c>
      <c r="K83" s="108">
        <f>ROUND(Tableau14[[#This Row],[LEN]]*7.27,0)</f>
        <v>138</v>
      </c>
      <c r="L83" s="108">
        <v>15</v>
      </c>
      <c r="M83" s="126" t="str">
        <f t="shared" si="0"/>
        <v>none</v>
      </c>
      <c r="N83" s="108">
        <f>LEN(Tableau14[[#This Row],[LABEL]])</f>
        <v>19</v>
      </c>
      <c r="O83" s="108">
        <v>15</v>
      </c>
      <c r="P83" s="108" t="e">
        <f>ROUND(Tableau14[[#This Row],[LEN]]*#REF!+#REF!,0)</f>
        <v>#REF!</v>
      </c>
    </row>
    <row r="84" spans="1:16" s="97" customFormat="1" x14ac:dyDescent="0.25">
      <c r="A84" s="21" t="s">
        <v>374</v>
      </c>
      <c r="B84" s="22" t="s">
        <v>368</v>
      </c>
      <c r="C84" s="23" t="s">
        <v>104</v>
      </c>
      <c r="D84" s="69" t="s">
        <v>28</v>
      </c>
      <c r="E84" s="23" t="s">
        <v>667</v>
      </c>
      <c r="F84" s="23" t="s">
        <v>1963</v>
      </c>
      <c r="G84" s="69" t="s">
        <v>167</v>
      </c>
      <c r="H84" s="69" t="s">
        <v>570</v>
      </c>
      <c r="I84" s="23"/>
      <c r="J84" s="24" t="s">
        <v>708</v>
      </c>
      <c r="K84" s="108">
        <f>ROUND(Tableau14[[#This Row],[LEN]]*7.27,0)</f>
        <v>145</v>
      </c>
      <c r="L84" s="108">
        <v>15</v>
      </c>
      <c r="M84" s="126" t="str">
        <f t="shared" si="0"/>
        <v>none</v>
      </c>
      <c r="N84" s="108">
        <f>LEN(Tableau14[[#This Row],[LABEL]])</f>
        <v>20</v>
      </c>
      <c r="O84" s="108">
        <v>15</v>
      </c>
      <c r="P84" s="108" t="e">
        <f>ROUND(Tableau14[[#This Row],[LEN]]*#REF!+#REF!,0)</f>
        <v>#REF!</v>
      </c>
    </row>
    <row r="85" spans="1:16" s="97" customFormat="1" x14ac:dyDescent="0.25">
      <c r="A85" s="21" t="s">
        <v>375</v>
      </c>
      <c r="B85" s="22" t="s">
        <v>368</v>
      </c>
      <c r="C85" s="23" t="s">
        <v>105</v>
      </c>
      <c r="D85" s="69" t="s">
        <v>28</v>
      </c>
      <c r="E85" s="23" t="s">
        <v>667</v>
      </c>
      <c r="F85" s="23" t="s">
        <v>1963</v>
      </c>
      <c r="G85" s="69" t="s">
        <v>167</v>
      </c>
      <c r="H85" s="69" t="s">
        <v>570</v>
      </c>
      <c r="I85" s="23"/>
      <c r="J85" s="24" t="s">
        <v>708</v>
      </c>
      <c r="K85" s="108">
        <f>ROUND(Tableau14[[#This Row],[LEN]]*7.27,0)</f>
        <v>138</v>
      </c>
      <c r="L85" s="108">
        <v>15</v>
      </c>
      <c r="M85" s="126" t="str">
        <f t="shared" si="0"/>
        <v>none</v>
      </c>
      <c r="N85" s="108">
        <f>LEN(Tableau14[[#This Row],[LABEL]])</f>
        <v>19</v>
      </c>
      <c r="O85" s="108">
        <v>15</v>
      </c>
      <c r="P85" s="108" t="e">
        <f>ROUND(Tableau14[[#This Row],[LEN]]*#REF!+#REF!,0)</f>
        <v>#REF!</v>
      </c>
    </row>
    <row r="86" spans="1:16" s="97" customFormat="1" x14ac:dyDescent="0.25">
      <c r="A86" s="21" t="s">
        <v>376</v>
      </c>
      <c r="B86" s="22" t="s">
        <v>368</v>
      </c>
      <c r="C86" s="23" t="s">
        <v>106</v>
      </c>
      <c r="D86" s="69" t="s">
        <v>28</v>
      </c>
      <c r="E86" s="23" t="s">
        <v>667</v>
      </c>
      <c r="F86" s="23" t="s">
        <v>1963</v>
      </c>
      <c r="G86" s="69" t="s">
        <v>167</v>
      </c>
      <c r="H86" s="69" t="s">
        <v>570</v>
      </c>
      <c r="I86" s="23"/>
      <c r="J86" s="24" t="s">
        <v>708</v>
      </c>
      <c r="K86" s="108">
        <f>ROUND(Tableau14[[#This Row],[LEN]]*7.27,0)</f>
        <v>36</v>
      </c>
      <c r="L86" s="108">
        <v>15</v>
      </c>
      <c r="M86" s="126" t="str">
        <f t="shared" si="0"/>
        <v>none</v>
      </c>
      <c r="N86" s="108">
        <f>LEN(Tableau14[[#This Row],[LABEL]])</f>
        <v>5</v>
      </c>
      <c r="O86" s="108">
        <v>15</v>
      </c>
      <c r="P86" s="108" t="e">
        <f>ROUND(Tableau14[[#This Row],[LEN]]*#REF!+#REF!,0)</f>
        <v>#REF!</v>
      </c>
    </row>
    <row r="87" spans="1:16" s="97" customFormat="1" x14ac:dyDescent="0.25">
      <c r="A87" s="21" t="s">
        <v>377</v>
      </c>
      <c r="B87" s="22" t="s">
        <v>368</v>
      </c>
      <c r="C87" s="23" t="s">
        <v>107</v>
      </c>
      <c r="D87" s="69" t="s">
        <v>28</v>
      </c>
      <c r="E87" s="23" t="s">
        <v>667</v>
      </c>
      <c r="F87" s="23" t="s">
        <v>1963</v>
      </c>
      <c r="G87" s="69" t="s">
        <v>167</v>
      </c>
      <c r="H87" s="69" t="s">
        <v>570</v>
      </c>
      <c r="I87" s="23"/>
      <c r="J87" s="24" t="s">
        <v>708</v>
      </c>
      <c r="K87" s="108">
        <f>ROUND(Tableau14[[#This Row],[LEN]]*7.27,0)</f>
        <v>160</v>
      </c>
      <c r="L87" s="108">
        <v>15</v>
      </c>
      <c r="M87" s="126" t="str">
        <f t="shared" si="0"/>
        <v>none</v>
      </c>
      <c r="N87" s="108">
        <f>LEN(Tableau14[[#This Row],[LABEL]])</f>
        <v>22</v>
      </c>
      <c r="O87" s="108">
        <v>15</v>
      </c>
      <c r="P87" s="108" t="e">
        <f>ROUND(Tableau14[[#This Row],[LEN]]*#REF!+#REF!,0)</f>
        <v>#REF!</v>
      </c>
    </row>
    <row r="88" spans="1:16" s="97" customFormat="1" x14ac:dyDescent="0.25">
      <c r="A88" s="21" t="s">
        <v>378</v>
      </c>
      <c r="B88" s="22" t="s">
        <v>368</v>
      </c>
      <c r="C88" s="23" t="s">
        <v>108</v>
      </c>
      <c r="D88" s="69" t="s">
        <v>28</v>
      </c>
      <c r="E88" s="23" t="s">
        <v>667</v>
      </c>
      <c r="F88" s="23" t="s">
        <v>1963</v>
      </c>
      <c r="G88" s="69" t="s">
        <v>167</v>
      </c>
      <c r="H88" s="69" t="s">
        <v>570</v>
      </c>
      <c r="I88" s="23"/>
      <c r="J88" s="24" t="s">
        <v>708</v>
      </c>
      <c r="K88" s="108">
        <f>ROUND(Tableau14[[#This Row],[LEN]]*7.27,0)</f>
        <v>182</v>
      </c>
      <c r="L88" s="108">
        <v>15</v>
      </c>
      <c r="M88" s="126" t="str">
        <f t="shared" si="0"/>
        <v>none</v>
      </c>
      <c r="N88" s="108">
        <f>LEN(Tableau14[[#This Row],[LABEL]])</f>
        <v>25</v>
      </c>
      <c r="O88" s="108">
        <v>15</v>
      </c>
      <c r="P88" s="108" t="e">
        <f>ROUND(Tableau14[[#This Row],[LEN]]*#REF!+#REF!,0)</f>
        <v>#REF!</v>
      </c>
    </row>
    <row r="89" spans="1:16" s="97" customFormat="1" x14ac:dyDescent="0.25">
      <c r="A89" s="17" t="s">
        <v>369</v>
      </c>
      <c r="B89" s="18" t="s">
        <v>233</v>
      </c>
      <c r="C89" s="19" t="s">
        <v>82</v>
      </c>
      <c r="D89" s="68" t="s">
        <v>28</v>
      </c>
      <c r="E89" s="19" t="s">
        <v>684</v>
      </c>
      <c r="F89" s="19" t="s">
        <v>684</v>
      </c>
      <c r="G89" s="68" t="s">
        <v>167</v>
      </c>
      <c r="H89" s="68" t="s">
        <v>655</v>
      </c>
      <c r="I89" s="19"/>
      <c r="J89" s="20" t="s">
        <v>708</v>
      </c>
      <c r="K89" s="107">
        <f>ROUND(Tableau14[[#This Row],[LEN]]*7.27,0)</f>
        <v>269</v>
      </c>
      <c r="L89" s="107">
        <v>15</v>
      </c>
      <c r="M89" s="125" t="str">
        <f t="shared" si="0"/>
        <v>none</v>
      </c>
      <c r="N89" s="107">
        <f>LEN(Tableau14[[#This Row],[LABEL]])</f>
        <v>37</v>
      </c>
      <c r="O89" s="107">
        <v>15</v>
      </c>
      <c r="P89" s="107" t="e">
        <f>ROUND(Tableau14[[#This Row],[LEN]]*#REF!+#REF!,0)</f>
        <v>#REF!</v>
      </c>
    </row>
    <row r="90" spans="1:16" s="97" customFormat="1" x14ac:dyDescent="0.25">
      <c r="A90" s="21" t="s">
        <v>379</v>
      </c>
      <c r="B90" s="22" t="s">
        <v>369</v>
      </c>
      <c r="C90" s="23" t="s">
        <v>83</v>
      </c>
      <c r="D90" s="69" t="s">
        <v>28</v>
      </c>
      <c r="E90" s="23" t="s">
        <v>684</v>
      </c>
      <c r="F90" s="23" t="s">
        <v>684</v>
      </c>
      <c r="G90" s="69" t="s">
        <v>167</v>
      </c>
      <c r="H90" s="69" t="s">
        <v>18</v>
      </c>
      <c r="I90" s="23"/>
      <c r="J90" s="24" t="s">
        <v>708</v>
      </c>
      <c r="K90" s="108">
        <f>ROUND(Tableau14[[#This Row],[LEN]]*7.27,0)</f>
        <v>269</v>
      </c>
      <c r="L90" s="108">
        <v>15</v>
      </c>
      <c r="M90" s="126" t="str">
        <f t="shared" si="0"/>
        <v>none</v>
      </c>
      <c r="N90" s="108">
        <f>LEN(Tableau14[[#This Row],[LABEL]])</f>
        <v>37</v>
      </c>
      <c r="O90" s="108">
        <v>15</v>
      </c>
      <c r="P90" s="108" t="e">
        <f>ROUND(Tableau14[[#This Row],[LEN]]*#REF!+#REF!,0)</f>
        <v>#REF!</v>
      </c>
    </row>
    <row r="91" spans="1:16" s="97" customFormat="1" x14ac:dyDescent="0.25">
      <c r="A91" s="21" t="s">
        <v>380</v>
      </c>
      <c r="B91" s="22" t="s">
        <v>369</v>
      </c>
      <c r="C91" s="23" t="s">
        <v>84</v>
      </c>
      <c r="D91" s="69" t="s">
        <v>28</v>
      </c>
      <c r="E91" s="23" t="s">
        <v>684</v>
      </c>
      <c r="F91" s="23" t="s">
        <v>684</v>
      </c>
      <c r="G91" s="69" t="s">
        <v>167</v>
      </c>
      <c r="H91" s="69" t="s">
        <v>18</v>
      </c>
      <c r="I91" s="23"/>
      <c r="J91" s="24" t="s">
        <v>708</v>
      </c>
      <c r="K91" s="108">
        <f>ROUND(Tableau14[[#This Row],[LEN]]*7.27,0)</f>
        <v>313</v>
      </c>
      <c r="L91" s="108">
        <v>15</v>
      </c>
      <c r="M91" s="126" t="str">
        <f t="shared" si="0"/>
        <v>none</v>
      </c>
      <c r="N91" s="108">
        <f>LEN(Tableau14[[#This Row],[LABEL]])</f>
        <v>43</v>
      </c>
      <c r="O91" s="108">
        <v>15</v>
      </c>
      <c r="P91" s="108" t="e">
        <f>ROUND(Tableau14[[#This Row],[LEN]]*#REF!+#REF!,0)</f>
        <v>#REF!</v>
      </c>
    </row>
    <row r="92" spans="1:16" s="97" customFormat="1" x14ac:dyDescent="0.25">
      <c r="A92" s="21" t="s">
        <v>381</v>
      </c>
      <c r="B92" s="22" t="s">
        <v>369</v>
      </c>
      <c r="C92" s="23" t="s">
        <v>85</v>
      </c>
      <c r="D92" s="69" t="s">
        <v>28</v>
      </c>
      <c r="E92" s="23" t="s">
        <v>684</v>
      </c>
      <c r="F92" s="23" t="s">
        <v>684</v>
      </c>
      <c r="G92" s="69" t="s">
        <v>167</v>
      </c>
      <c r="H92" s="69" t="s">
        <v>18</v>
      </c>
      <c r="I92" s="23"/>
      <c r="J92" s="24" t="s">
        <v>708</v>
      </c>
      <c r="K92" s="108">
        <f>ROUND(Tableau14[[#This Row],[LEN]]*7.27,0)</f>
        <v>218</v>
      </c>
      <c r="L92" s="108">
        <v>15</v>
      </c>
      <c r="M92" s="126" t="str">
        <f t="shared" ref="M92:M226" si="1">IF(J92="javascript:void(0)","none","new")</f>
        <v>none</v>
      </c>
      <c r="N92" s="108">
        <f>LEN(Tableau14[[#This Row],[LABEL]])</f>
        <v>30</v>
      </c>
      <c r="O92" s="108">
        <v>15</v>
      </c>
      <c r="P92" s="108" t="e">
        <f>ROUND(Tableau14[[#This Row],[LEN]]*#REF!+#REF!,0)</f>
        <v>#REF!</v>
      </c>
    </row>
    <row r="93" spans="1:16" s="97" customFormat="1" x14ac:dyDescent="0.25">
      <c r="A93" s="17" t="s">
        <v>370</v>
      </c>
      <c r="B93" s="18" t="s">
        <v>233</v>
      </c>
      <c r="C93" s="19" t="s">
        <v>109</v>
      </c>
      <c r="D93" s="68" t="s">
        <v>28</v>
      </c>
      <c r="E93" s="19" t="s">
        <v>684</v>
      </c>
      <c r="F93" s="19" t="s">
        <v>684</v>
      </c>
      <c r="G93" s="68" t="s">
        <v>167</v>
      </c>
      <c r="H93" s="68" t="s">
        <v>656</v>
      </c>
      <c r="I93" s="19"/>
      <c r="J93" s="20" t="s">
        <v>708</v>
      </c>
      <c r="K93" s="107">
        <f>ROUND(Tableau14[[#This Row],[LEN]]*7.27,0)</f>
        <v>131</v>
      </c>
      <c r="L93" s="107">
        <v>15</v>
      </c>
      <c r="M93" s="125" t="str">
        <f t="shared" si="1"/>
        <v>none</v>
      </c>
      <c r="N93" s="107">
        <f>LEN(Tableau14[[#This Row],[LABEL]])</f>
        <v>18</v>
      </c>
      <c r="O93" s="107">
        <v>15</v>
      </c>
      <c r="P93" s="107" t="e">
        <f>ROUND(Tableau14[[#This Row],[LEN]]*#REF!+#REF!,0)</f>
        <v>#REF!</v>
      </c>
    </row>
    <row r="94" spans="1:16" s="97" customFormat="1" x14ac:dyDescent="0.25">
      <c r="A94" s="17" t="s">
        <v>371</v>
      </c>
      <c r="B94" s="18" t="s">
        <v>233</v>
      </c>
      <c r="C94" s="19" t="s">
        <v>110</v>
      </c>
      <c r="D94" s="68" t="s">
        <v>28</v>
      </c>
      <c r="E94" s="19" t="s">
        <v>1177</v>
      </c>
      <c r="F94" s="19" t="s">
        <v>1084</v>
      </c>
      <c r="G94" s="68" t="s">
        <v>1977</v>
      </c>
      <c r="H94" s="68" t="s">
        <v>1131</v>
      </c>
      <c r="I94" s="19"/>
      <c r="J94" s="20" t="s">
        <v>708</v>
      </c>
      <c r="K94" s="107">
        <f>ROUND(Tableau14[[#This Row],[LEN]]*7.27,0)</f>
        <v>102</v>
      </c>
      <c r="L94" s="107">
        <v>15</v>
      </c>
      <c r="M94" s="125" t="str">
        <f t="shared" si="1"/>
        <v>none</v>
      </c>
      <c r="N94" s="107">
        <f>LEN(Tableau14[[#This Row],[LABEL]])</f>
        <v>14</v>
      </c>
      <c r="O94" s="107">
        <v>15</v>
      </c>
      <c r="P94" s="107" t="e">
        <f>ROUND(Tableau14[[#This Row],[LEN]]*#REF!+#REF!,0)</f>
        <v>#REF!</v>
      </c>
    </row>
    <row r="95" spans="1:16" s="273" customFormat="1" x14ac:dyDescent="0.25">
      <c r="A95" s="266" t="s">
        <v>234</v>
      </c>
      <c r="B95" s="267" t="s">
        <v>205</v>
      </c>
      <c r="C95" s="268" t="s">
        <v>4</v>
      </c>
      <c r="D95" s="269" t="s">
        <v>28</v>
      </c>
      <c r="E95" s="268" t="s">
        <v>666</v>
      </c>
      <c r="F95" s="268" t="s">
        <v>666</v>
      </c>
      <c r="G95" s="269" t="s">
        <v>167</v>
      </c>
      <c r="H95" s="269" t="str">
        <f>IFERROR(IF(SEARCH(".00.00.00.00.00",Tableau14[[#This Row],[name]],1)=7,"Division",""),"")</f>
        <v>Division</v>
      </c>
      <c r="I95" s="268"/>
      <c r="J95" s="270" t="s">
        <v>712</v>
      </c>
      <c r="K95" s="271">
        <f>ROUND(Tableau14[[#This Row],[LEN]]*7.27,0)</f>
        <v>36</v>
      </c>
      <c r="L95" s="271">
        <v>15</v>
      </c>
      <c r="M95" s="272" t="str">
        <f t="shared" si="1"/>
        <v>new</v>
      </c>
      <c r="N95" s="271">
        <f>LEN(Tableau14[[#This Row],[LABEL]])</f>
        <v>5</v>
      </c>
      <c r="O95" s="271">
        <v>15</v>
      </c>
      <c r="P95" s="271" t="e">
        <f>ROUND(Tableau14[[#This Row],[LEN]]*#REF!+#REF!,0)</f>
        <v>#REF!</v>
      </c>
    </row>
    <row r="96" spans="1:16" s="97" customFormat="1" x14ac:dyDescent="0.25">
      <c r="A96" s="17" t="s">
        <v>957</v>
      </c>
      <c r="B96" s="18" t="s">
        <v>234</v>
      </c>
      <c r="C96" s="19" t="s">
        <v>961</v>
      </c>
      <c r="D96" s="68" t="s">
        <v>28</v>
      </c>
      <c r="E96" s="19" t="s">
        <v>970</v>
      </c>
      <c r="F96" s="19" t="s">
        <v>970</v>
      </c>
      <c r="G96" s="68" t="s">
        <v>167</v>
      </c>
      <c r="H96" s="68" t="s">
        <v>656</v>
      </c>
      <c r="I96" s="19"/>
      <c r="J96" s="20" t="s">
        <v>708</v>
      </c>
      <c r="K96" s="107">
        <f>ROUND(Tableau14[[#This Row],[LEN]]*7.27,0)</f>
        <v>305</v>
      </c>
      <c r="L96" s="107">
        <v>15</v>
      </c>
      <c r="M96" s="125" t="str">
        <f t="shared" si="1"/>
        <v>none</v>
      </c>
      <c r="N96" s="107">
        <f>LEN(Tableau14[[#This Row],[LABEL]])</f>
        <v>42</v>
      </c>
      <c r="O96" s="107">
        <v>15</v>
      </c>
      <c r="P96" s="107" t="e">
        <f>ROUND(Tableau14[[#This Row],[LEN]]*#REF!+#REF!,0)</f>
        <v>#REF!</v>
      </c>
    </row>
    <row r="97" spans="1:16" s="97" customFormat="1" x14ac:dyDescent="0.25">
      <c r="A97" s="17" t="s">
        <v>958</v>
      </c>
      <c r="B97" s="18" t="s">
        <v>234</v>
      </c>
      <c r="C97" s="19" t="s">
        <v>82</v>
      </c>
      <c r="D97" s="68" t="s">
        <v>28</v>
      </c>
      <c r="E97" s="19" t="s">
        <v>684</v>
      </c>
      <c r="F97" s="19" t="s">
        <v>684</v>
      </c>
      <c r="G97" s="68" t="s">
        <v>167</v>
      </c>
      <c r="H97" s="68" t="s">
        <v>655</v>
      </c>
      <c r="I97" s="19"/>
      <c r="J97" s="20" t="s">
        <v>708</v>
      </c>
      <c r="K97" s="107">
        <f>ROUND(Tableau14[[#This Row],[LEN]]*7.27,0)</f>
        <v>269</v>
      </c>
      <c r="L97" s="107">
        <v>15</v>
      </c>
      <c r="M97" s="125" t="str">
        <f t="shared" si="1"/>
        <v>none</v>
      </c>
      <c r="N97" s="107">
        <f>LEN(Tableau14[[#This Row],[LABEL]])</f>
        <v>37</v>
      </c>
      <c r="O97" s="107">
        <v>15</v>
      </c>
      <c r="P97" s="107" t="e">
        <f>ROUND(Tableau14[[#This Row],[LEN]]*#REF!+#REF!,0)</f>
        <v>#REF!</v>
      </c>
    </row>
    <row r="98" spans="1:16" s="97" customFormat="1" x14ac:dyDescent="0.25">
      <c r="A98" s="21" t="s">
        <v>962</v>
      </c>
      <c r="B98" s="22" t="s">
        <v>958</v>
      </c>
      <c r="C98" s="23" t="s">
        <v>83</v>
      </c>
      <c r="D98" s="69" t="s">
        <v>28</v>
      </c>
      <c r="E98" s="23" t="s">
        <v>684</v>
      </c>
      <c r="F98" s="23" t="s">
        <v>684</v>
      </c>
      <c r="G98" s="69" t="s">
        <v>167</v>
      </c>
      <c r="H98" s="69" t="s">
        <v>18</v>
      </c>
      <c r="I98" s="23"/>
      <c r="J98" s="24" t="s">
        <v>708</v>
      </c>
      <c r="K98" s="108">
        <f>ROUND(Tableau14[[#This Row],[LEN]]*7.27,0)</f>
        <v>269</v>
      </c>
      <c r="L98" s="108">
        <v>15</v>
      </c>
      <c r="M98" s="126" t="str">
        <f t="shared" si="1"/>
        <v>none</v>
      </c>
      <c r="N98" s="108">
        <f>LEN(Tableau14[[#This Row],[LABEL]])</f>
        <v>37</v>
      </c>
      <c r="O98" s="108">
        <v>15</v>
      </c>
      <c r="P98" s="108" t="e">
        <f>ROUND(Tableau14[[#This Row],[LEN]]*#REF!+#REF!,0)</f>
        <v>#REF!</v>
      </c>
    </row>
    <row r="99" spans="1:16" s="97" customFormat="1" x14ac:dyDescent="0.25">
      <c r="A99" s="21" t="s">
        <v>963</v>
      </c>
      <c r="B99" s="22" t="s">
        <v>958</v>
      </c>
      <c r="C99" s="23" t="s">
        <v>84</v>
      </c>
      <c r="D99" s="69" t="s">
        <v>28</v>
      </c>
      <c r="E99" s="23" t="s">
        <v>684</v>
      </c>
      <c r="F99" s="23" t="s">
        <v>684</v>
      </c>
      <c r="G99" s="69" t="s">
        <v>167</v>
      </c>
      <c r="H99" s="69" t="s">
        <v>18</v>
      </c>
      <c r="I99" s="23"/>
      <c r="J99" s="24" t="s">
        <v>708</v>
      </c>
      <c r="K99" s="108">
        <f>ROUND(Tableau14[[#This Row],[LEN]]*7.27,0)</f>
        <v>313</v>
      </c>
      <c r="L99" s="108">
        <v>15</v>
      </c>
      <c r="M99" s="126" t="str">
        <f t="shared" si="1"/>
        <v>none</v>
      </c>
      <c r="N99" s="108">
        <f>LEN(Tableau14[[#This Row],[LABEL]])</f>
        <v>43</v>
      </c>
      <c r="O99" s="108">
        <v>15</v>
      </c>
      <c r="P99" s="108" t="e">
        <f>ROUND(Tableau14[[#This Row],[LEN]]*#REF!+#REF!,0)</f>
        <v>#REF!</v>
      </c>
    </row>
    <row r="100" spans="1:16" s="97" customFormat="1" x14ac:dyDescent="0.25">
      <c r="A100" s="21" t="s">
        <v>964</v>
      </c>
      <c r="B100" s="22" t="s">
        <v>958</v>
      </c>
      <c r="C100" s="23" t="s">
        <v>85</v>
      </c>
      <c r="D100" s="69" t="s">
        <v>28</v>
      </c>
      <c r="E100" s="23" t="s">
        <v>684</v>
      </c>
      <c r="F100" s="23" t="s">
        <v>684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ROUND(Tableau14[[#This Row],[LEN]]*7.27,0)</f>
        <v>218</v>
      </c>
      <c r="L100" s="108">
        <v>15</v>
      </c>
      <c r="M100" s="126" t="str">
        <f t="shared" si="1"/>
        <v>none</v>
      </c>
      <c r="N100" s="108">
        <f>LEN(Tableau14[[#This Row],[LABEL]])</f>
        <v>30</v>
      </c>
      <c r="O100" s="108">
        <v>15</v>
      </c>
      <c r="P100" s="108" t="e">
        <f>ROUND(Tableau14[[#This Row],[LEN]]*#REF!+#REF!,0)</f>
        <v>#REF!</v>
      </c>
    </row>
    <row r="101" spans="1:16" s="97" customFormat="1" x14ac:dyDescent="0.25">
      <c r="A101" s="17" t="s">
        <v>959</v>
      </c>
      <c r="B101" s="18" t="s">
        <v>234</v>
      </c>
      <c r="C101" s="19" t="s">
        <v>109</v>
      </c>
      <c r="D101" s="68" t="s">
        <v>28</v>
      </c>
      <c r="E101" s="19" t="s">
        <v>684</v>
      </c>
      <c r="F101" s="19" t="s">
        <v>684</v>
      </c>
      <c r="G101" s="68" t="s">
        <v>167</v>
      </c>
      <c r="H101" s="68" t="s">
        <v>656</v>
      </c>
      <c r="I101" s="19"/>
      <c r="J101" s="20" t="s">
        <v>708</v>
      </c>
      <c r="K101" s="107">
        <f>ROUND(Tableau14[[#This Row],[LEN]]*7.27,0)</f>
        <v>131</v>
      </c>
      <c r="L101" s="107">
        <v>15</v>
      </c>
      <c r="M101" s="125" t="str">
        <f t="shared" si="1"/>
        <v>none</v>
      </c>
      <c r="N101" s="107">
        <f>LEN(Tableau14[[#This Row],[LABEL]])</f>
        <v>18</v>
      </c>
      <c r="O101" s="107">
        <v>15</v>
      </c>
      <c r="P101" s="107" t="e">
        <f>ROUND(Tableau14[[#This Row],[LEN]]*#REF!+#REF!,0)</f>
        <v>#REF!</v>
      </c>
    </row>
    <row r="102" spans="1:16" s="97" customFormat="1" x14ac:dyDescent="0.25">
      <c r="A102" s="17" t="s">
        <v>960</v>
      </c>
      <c r="B102" s="18" t="s">
        <v>234</v>
      </c>
      <c r="C102" s="19" t="s">
        <v>110</v>
      </c>
      <c r="D102" s="68" t="s">
        <v>28</v>
      </c>
      <c r="E102" s="19" t="s">
        <v>1177</v>
      </c>
      <c r="F102" s="19" t="s">
        <v>1084</v>
      </c>
      <c r="G102" s="68" t="s">
        <v>1977</v>
      </c>
      <c r="H102" s="68" t="s">
        <v>1131</v>
      </c>
      <c r="I102" s="19"/>
      <c r="J102" s="20" t="s">
        <v>708</v>
      </c>
      <c r="K102" s="107">
        <f>ROUND(Tableau14[[#This Row],[LEN]]*7.27,0)</f>
        <v>102</v>
      </c>
      <c r="L102" s="107">
        <v>15</v>
      </c>
      <c r="M102" s="125" t="str">
        <f t="shared" si="1"/>
        <v>none</v>
      </c>
      <c r="N102" s="107">
        <f>LEN(Tableau14[[#This Row],[LABEL]])</f>
        <v>14</v>
      </c>
      <c r="O102" s="107">
        <v>15</v>
      </c>
      <c r="P102" s="107" t="e">
        <f>ROUND(Tableau14[[#This Row],[LEN]]*#REF!+#REF!,0)</f>
        <v>#REF!</v>
      </c>
    </row>
    <row r="103" spans="1:16" s="273" customFormat="1" x14ac:dyDescent="0.25">
      <c r="A103" s="266" t="s">
        <v>235</v>
      </c>
      <c r="B103" s="267" t="s">
        <v>205</v>
      </c>
      <c r="C103" s="268" t="s">
        <v>80</v>
      </c>
      <c r="D103" s="269" t="s">
        <v>28</v>
      </c>
      <c r="E103" s="268" t="s">
        <v>667</v>
      </c>
      <c r="F103" s="268" t="s">
        <v>667</v>
      </c>
      <c r="G103" s="269" t="s">
        <v>167</v>
      </c>
      <c r="H103" s="269" t="str">
        <f>IFERROR(IF(SEARCH(".00.00.00.00.00",Tableau14[[#This Row],[name]],1)=7,"Division",""),"")</f>
        <v>Division</v>
      </c>
      <c r="I103" s="268"/>
      <c r="J103" s="270" t="s">
        <v>713</v>
      </c>
      <c r="K103" s="271">
        <f>ROUND(Tableau14[[#This Row],[LEN]]*7.27,0)</f>
        <v>116</v>
      </c>
      <c r="L103" s="271">
        <v>15</v>
      </c>
      <c r="M103" s="272" t="str">
        <f t="shared" si="1"/>
        <v>new</v>
      </c>
      <c r="N103" s="271">
        <f>LEN(Tableau14[[#This Row],[LABEL]])</f>
        <v>16</v>
      </c>
      <c r="O103" s="271">
        <v>15</v>
      </c>
      <c r="P103" s="271" t="e">
        <f>ROUND(Tableau14[[#This Row],[LEN]]*#REF!+#REF!,0)</f>
        <v>#REF!</v>
      </c>
    </row>
    <row r="104" spans="1:16" s="97" customFormat="1" x14ac:dyDescent="0.25">
      <c r="A104" s="17" t="s">
        <v>965</v>
      </c>
      <c r="B104" s="18" t="s">
        <v>235</v>
      </c>
      <c r="C104" s="19" t="s">
        <v>81</v>
      </c>
      <c r="D104" s="68" t="s">
        <v>28</v>
      </c>
      <c r="E104" s="19" t="s">
        <v>667</v>
      </c>
      <c r="F104" s="19" t="s">
        <v>1964</v>
      </c>
      <c r="G104" s="68" t="s">
        <v>167</v>
      </c>
      <c r="H104" s="68" t="s">
        <v>655</v>
      </c>
      <c r="I104" s="19"/>
      <c r="J104" s="20" t="s">
        <v>708</v>
      </c>
      <c r="K104" s="107">
        <f>ROUND(Tableau14[[#This Row],[LEN]]*7.27,0)</f>
        <v>73</v>
      </c>
      <c r="L104" s="107">
        <v>15</v>
      </c>
      <c r="M104" s="125" t="str">
        <f t="shared" si="1"/>
        <v>none</v>
      </c>
      <c r="N104" s="107">
        <f>LEN(Tableau14[[#This Row],[LABEL]])</f>
        <v>10</v>
      </c>
      <c r="O104" s="107">
        <v>15</v>
      </c>
      <c r="P104" s="107" t="e">
        <f>ROUND(Tableau14[[#This Row],[LEN]]*#REF!+#REF!,0)</f>
        <v>#REF!</v>
      </c>
    </row>
    <row r="105" spans="1:16" s="97" customFormat="1" x14ac:dyDescent="0.25">
      <c r="A105" s="21" t="s">
        <v>974</v>
      </c>
      <c r="B105" s="22" t="s">
        <v>965</v>
      </c>
      <c r="C105" s="23" t="s">
        <v>978</v>
      </c>
      <c r="D105" s="69" t="s">
        <v>28</v>
      </c>
      <c r="E105" s="23" t="s">
        <v>667</v>
      </c>
      <c r="F105" s="23" t="s">
        <v>1964</v>
      </c>
      <c r="G105" s="69" t="s">
        <v>167</v>
      </c>
      <c r="H105" s="69" t="s">
        <v>570</v>
      </c>
      <c r="I105" s="23"/>
      <c r="J105" s="24" t="s">
        <v>708</v>
      </c>
      <c r="K105" s="108">
        <f>ROUND(Tableau14[[#This Row],[LEN]]*7.27,0)</f>
        <v>87</v>
      </c>
      <c r="L105" s="108">
        <v>15</v>
      </c>
      <c r="M105" s="126" t="str">
        <f t="shared" si="1"/>
        <v>none</v>
      </c>
      <c r="N105" s="108">
        <f>LEN(Tableau14[[#This Row],[LABEL]])</f>
        <v>12</v>
      </c>
      <c r="O105" s="108">
        <v>15</v>
      </c>
      <c r="P105" s="108" t="e">
        <f>ROUND(Tableau14[[#This Row],[LEN]]*#REF!+#REF!,0)</f>
        <v>#REF!</v>
      </c>
    </row>
    <row r="106" spans="1:16" s="97" customFormat="1" x14ac:dyDescent="0.25">
      <c r="A106" s="21" t="s">
        <v>975</v>
      </c>
      <c r="B106" s="22" t="s">
        <v>965</v>
      </c>
      <c r="C106" s="23" t="s">
        <v>979</v>
      </c>
      <c r="D106" s="69" t="s">
        <v>28</v>
      </c>
      <c r="E106" s="23" t="s">
        <v>667</v>
      </c>
      <c r="F106" s="23" t="s">
        <v>1964</v>
      </c>
      <c r="G106" s="69" t="s">
        <v>167</v>
      </c>
      <c r="H106" s="69" t="s">
        <v>570</v>
      </c>
      <c r="I106" s="23"/>
      <c r="J106" s="24" t="s">
        <v>708</v>
      </c>
      <c r="K106" s="108">
        <f>ROUND(Tableau14[[#This Row],[LEN]]*7.27,0)</f>
        <v>211</v>
      </c>
      <c r="L106" s="108">
        <v>15</v>
      </c>
      <c r="M106" s="126" t="str">
        <f t="shared" si="1"/>
        <v>none</v>
      </c>
      <c r="N106" s="108">
        <f>LEN(Tableau14[[#This Row],[LABEL]])</f>
        <v>29</v>
      </c>
      <c r="O106" s="108">
        <v>15</v>
      </c>
      <c r="P106" s="108" t="e">
        <f>ROUND(Tableau14[[#This Row],[LEN]]*#REF!+#REF!,0)</f>
        <v>#REF!</v>
      </c>
    </row>
    <row r="107" spans="1:16" s="97" customFormat="1" x14ac:dyDescent="0.25">
      <c r="A107" s="21" t="s">
        <v>976</v>
      </c>
      <c r="B107" s="22" t="s">
        <v>965</v>
      </c>
      <c r="C107" s="23" t="s">
        <v>980</v>
      </c>
      <c r="D107" s="69" t="s">
        <v>28</v>
      </c>
      <c r="E107" s="23" t="s">
        <v>667</v>
      </c>
      <c r="F107" s="23" t="s">
        <v>1964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ROUND(Tableau14[[#This Row],[LEN]]*7.27,0)</f>
        <v>182</v>
      </c>
      <c r="L107" s="108">
        <v>15</v>
      </c>
      <c r="M107" s="126" t="str">
        <f t="shared" si="1"/>
        <v>none</v>
      </c>
      <c r="N107" s="108">
        <f>LEN(Tableau14[[#This Row],[LABEL]])</f>
        <v>25</v>
      </c>
      <c r="O107" s="108">
        <v>15</v>
      </c>
      <c r="P107" s="108" t="e">
        <f>ROUND(Tableau14[[#This Row],[LEN]]*#REF!+#REF!,0)</f>
        <v>#REF!</v>
      </c>
    </row>
    <row r="108" spans="1:16" s="97" customFormat="1" x14ac:dyDescent="0.25">
      <c r="A108" s="21" t="s">
        <v>977</v>
      </c>
      <c r="B108" s="22" t="s">
        <v>965</v>
      </c>
      <c r="C108" s="23" t="s">
        <v>981</v>
      </c>
      <c r="D108" s="69" t="s">
        <v>28</v>
      </c>
      <c r="E108" s="23" t="s">
        <v>667</v>
      </c>
      <c r="F108" s="23" t="s">
        <v>1964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ROUND(Tableau14[[#This Row],[LEN]]*7.27,0)</f>
        <v>305</v>
      </c>
      <c r="L108" s="108">
        <v>15</v>
      </c>
      <c r="M108" s="126" t="str">
        <f t="shared" si="1"/>
        <v>none</v>
      </c>
      <c r="N108" s="108">
        <f>LEN(Tableau14[[#This Row],[LABEL]])</f>
        <v>42</v>
      </c>
      <c r="O108" s="108">
        <v>15</v>
      </c>
      <c r="P108" s="108" t="e">
        <f>ROUND(Tableau14[[#This Row],[LEN]]*#REF!+#REF!,0)</f>
        <v>#REF!</v>
      </c>
    </row>
    <row r="109" spans="1:16" s="97" customFormat="1" x14ac:dyDescent="0.25">
      <c r="A109" s="17" t="s">
        <v>966</v>
      </c>
      <c r="B109" s="18" t="s">
        <v>235</v>
      </c>
      <c r="C109" s="19" t="s">
        <v>961</v>
      </c>
      <c r="D109" s="68" t="s">
        <v>28</v>
      </c>
      <c r="E109" s="19" t="s">
        <v>970</v>
      </c>
      <c r="F109" s="19" t="s">
        <v>970</v>
      </c>
      <c r="G109" s="68" t="s">
        <v>167</v>
      </c>
      <c r="H109" s="68" t="s">
        <v>656</v>
      </c>
      <c r="I109" s="19"/>
      <c r="J109" s="20" t="s">
        <v>708</v>
      </c>
      <c r="K109" s="107">
        <f>ROUND(Tableau14[[#This Row],[LEN]]*7.27,0)</f>
        <v>305</v>
      </c>
      <c r="L109" s="107">
        <v>15</v>
      </c>
      <c r="M109" s="125" t="str">
        <f t="shared" si="1"/>
        <v>none</v>
      </c>
      <c r="N109" s="107">
        <f>LEN(Tableau14[[#This Row],[LABEL]])</f>
        <v>42</v>
      </c>
      <c r="O109" s="107">
        <v>15</v>
      </c>
      <c r="P109" s="107" t="e">
        <f>ROUND(Tableau14[[#This Row],[LEN]]*#REF!+#REF!,0)</f>
        <v>#REF!</v>
      </c>
    </row>
    <row r="110" spans="1:16" s="97" customFormat="1" x14ac:dyDescent="0.25">
      <c r="A110" s="17" t="s">
        <v>967</v>
      </c>
      <c r="B110" s="18" t="s">
        <v>235</v>
      </c>
      <c r="C110" s="19" t="s">
        <v>971</v>
      </c>
      <c r="D110" s="68" t="s">
        <v>28</v>
      </c>
      <c r="E110" s="19" t="s">
        <v>667</v>
      </c>
      <c r="F110" s="19" t="s">
        <v>973</v>
      </c>
      <c r="G110" s="68" t="s">
        <v>167</v>
      </c>
      <c r="H110" s="68" t="s">
        <v>570</v>
      </c>
      <c r="I110" s="19"/>
      <c r="J110" s="20" t="s">
        <v>708</v>
      </c>
      <c r="K110" s="107">
        <f>ROUND(Tableau14[[#This Row],[LEN]]*7.27,0)</f>
        <v>385</v>
      </c>
      <c r="L110" s="107">
        <v>15</v>
      </c>
      <c r="M110" s="125" t="str">
        <f t="shared" si="1"/>
        <v>none</v>
      </c>
      <c r="N110" s="107">
        <f>LEN(Tableau14[[#This Row],[LABEL]])</f>
        <v>53</v>
      </c>
      <c r="O110" s="107">
        <v>15</v>
      </c>
      <c r="P110" s="107" t="e">
        <f>ROUND(Tableau14[[#This Row],[LEN]]*#REF!+#REF!,0)</f>
        <v>#REF!</v>
      </c>
    </row>
    <row r="111" spans="1:16" s="97" customFormat="1" x14ac:dyDescent="0.25">
      <c r="A111" s="17" t="s">
        <v>968</v>
      </c>
      <c r="B111" s="18" t="s">
        <v>235</v>
      </c>
      <c r="C111" s="19" t="s">
        <v>972</v>
      </c>
      <c r="D111" s="68" t="s">
        <v>28</v>
      </c>
      <c r="E111" s="19" t="s">
        <v>667</v>
      </c>
      <c r="F111" s="19" t="s">
        <v>667</v>
      </c>
      <c r="G111" s="68" t="s">
        <v>167</v>
      </c>
      <c r="H111" s="68" t="s">
        <v>18</v>
      </c>
      <c r="I111" s="19"/>
      <c r="J111" s="20" t="s">
        <v>708</v>
      </c>
      <c r="K111" s="107">
        <f>ROUND(Tableau14[[#This Row],[LEN]]*7.27,0)</f>
        <v>182</v>
      </c>
      <c r="L111" s="107">
        <v>15</v>
      </c>
      <c r="M111" s="125" t="str">
        <f t="shared" si="1"/>
        <v>none</v>
      </c>
      <c r="N111" s="107">
        <f>LEN(Tableau14[[#This Row],[LABEL]])</f>
        <v>25</v>
      </c>
      <c r="O111" s="107">
        <v>15</v>
      </c>
      <c r="P111" s="107" t="e">
        <f>ROUND(Tableau14[[#This Row],[LEN]]*#REF!+#REF!,0)</f>
        <v>#REF!</v>
      </c>
    </row>
    <row r="112" spans="1:16" s="97" customFormat="1" x14ac:dyDescent="0.25">
      <c r="A112" s="17" t="s">
        <v>969</v>
      </c>
      <c r="B112" s="18" t="s">
        <v>235</v>
      </c>
      <c r="C112" s="19" t="s">
        <v>110</v>
      </c>
      <c r="D112" s="68" t="s">
        <v>28</v>
      </c>
      <c r="E112" s="19" t="s">
        <v>1177</v>
      </c>
      <c r="F112" s="19" t="s">
        <v>1084</v>
      </c>
      <c r="G112" s="68" t="s">
        <v>1977</v>
      </c>
      <c r="H112" s="68" t="s">
        <v>1131</v>
      </c>
      <c r="I112" s="19"/>
      <c r="J112" s="20" t="s">
        <v>708</v>
      </c>
      <c r="K112" s="107">
        <f>ROUND(Tableau14[[#This Row],[LEN]]*7.27,0)</f>
        <v>102</v>
      </c>
      <c r="L112" s="107">
        <v>15</v>
      </c>
      <c r="M112" s="125" t="str">
        <f t="shared" si="1"/>
        <v>none</v>
      </c>
      <c r="N112" s="107">
        <f>LEN(Tableau14[[#This Row],[LABEL]])</f>
        <v>14</v>
      </c>
      <c r="O112" s="107">
        <v>15</v>
      </c>
      <c r="P112" s="107" t="e">
        <f>ROUND(Tableau14[[#This Row],[LEN]]*#REF!+#REF!,0)</f>
        <v>#REF!</v>
      </c>
    </row>
    <row r="113" spans="1:16" s="273" customFormat="1" x14ac:dyDescent="0.25">
      <c r="A113" s="266" t="s">
        <v>236</v>
      </c>
      <c r="B113" s="267" t="s">
        <v>205</v>
      </c>
      <c r="C113" s="268" t="s">
        <v>5</v>
      </c>
      <c r="D113" s="269" t="s">
        <v>28</v>
      </c>
      <c r="E113" s="268" t="s">
        <v>668</v>
      </c>
      <c r="F113" s="268" t="s">
        <v>668</v>
      </c>
      <c r="G113" s="269" t="s">
        <v>167</v>
      </c>
      <c r="H113" s="269" t="str">
        <f>IFERROR(IF(SEARCH(".00.00.00.00.00",Tableau14[[#This Row],[name]],1)=7,"Division",""),"")</f>
        <v>Division</v>
      </c>
      <c r="I113" s="268"/>
      <c r="J113" s="270" t="s">
        <v>714</v>
      </c>
      <c r="K113" s="271">
        <f>ROUND(Tableau14[[#This Row],[LEN]]*7.27,0)</f>
        <v>73</v>
      </c>
      <c r="L113" s="271">
        <v>15</v>
      </c>
      <c r="M113" s="272" t="str">
        <f t="shared" si="1"/>
        <v>new</v>
      </c>
      <c r="N113" s="271">
        <f>LEN(Tableau14[[#This Row],[LABEL]])</f>
        <v>10</v>
      </c>
      <c r="O113" s="271">
        <v>15</v>
      </c>
      <c r="P113" s="271" t="e">
        <f>ROUND(Tableau14[[#This Row],[LEN]]*#REF!+#REF!,0)</f>
        <v>#REF!</v>
      </c>
    </row>
    <row r="114" spans="1:16" s="97" customFormat="1" x14ac:dyDescent="0.25">
      <c r="A114" s="17" t="s">
        <v>982</v>
      </c>
      <c r="B114" s="18" t="s">
        <v>236</v>
      </c>
      <c r="C114" s="19" t="s">
        <v>983</v>
      </c>
      <c r="D114" s="68" t="s">
        <v>28</v>
      </c>
      <c r="E114" s="19" t="s">
        <v>668</v>
      </c>
      <c r="F114" s="19" t="s">
        <v>668</v>
      </c>
      <c r="G114" s="68" t="s">
        <v>167</v>
      </c>
      <c r="H114" s="68" t="s">
        <v>18</v>
      </c>
      <c r="I114" s="19"/>
      <c r="J114" s="20" t="s">
        <v>708</v>
      </c>
      <c r="K114" s="107">
        <f>ROUND(Tableau14[[#This Row],[LEN]]*7.27,0)</f>
        <v>371</v>
      </c>
      <c r="L114" s="107">
        <v>15</v>
      </c>
      <c r="M114" s="125" t="str">
        <f t="shared" si="1"/>
        <v>none</v>
      </c>
      <c r="N114" s="107">
        <f>LEN(Tableau14[[#This Row],[LABEL]])</f>
        <v>51</v>
      </c>
      <c r="O114" s="107">
        <v>15</v>
      </c>
      <c r="P114" s="107" t="e">
        <f>ROUND(Tableau14[[#This Row],[LEN]]*#REF!+#REF!,0)</f>
        <v>#REF!</v>
      </c>
    </row>
    <row r="115" spans="1:16" s="273" customFormat="1" x14ac:dyDescent="0.25">
      <c r="A115" s="266" t="s">
        <v>237</v>
      </c>
      <c r="B115" s="267" t="s">
        <v>205</v>
      </c>
      <c r="C115" s="268" t="s">
        <v>6</v>
      </c>
      <c r="D115" s="269" t="s">
        <v>28</v>
      </c>
      <c r="E115" s="268" t="s">
        <v>669</v>
      </c>
      <c r="F115" s="268" t="s">
        <v>669</v>
      </c>
      <c r="G115" s="269" t="s">
        <v>167</v>
      </c>
      <c r="H115" s="269" t="str">
        <f>IFERROR(IF(SEARCH(".00.00.00.00.00",Tableau14[[#This Row],[name]],1)=7,"Division",""),"")</f>
        <v>Division</v>
      </c>
      <c r="I115" s="268"/>
      <c r="J115" s="270" t="s">
        <v>715</v>
      </c>
      <c r="K115" s="271">
        <f>ROUND(Tableau14[[#This Row],[LEN]]*7.27,0)</f>
        <v>196</v>
      </c>
      <c r="L115" s="271">
        <v>15</v>
      </c>
      <c r="M115" s="272" t="str">
        <f t="shared" si="1"/>
        <v>new</v>
      </c>
      <c r="N115" s="271">
        <f>LEN(Tableau14[[#This Row],[LABEL]])</f>
        <v>27</v>
      </c>
      <c r="O115" s="271">
        <v>15</v>
      </c>
      <c r="P115" s="271" t="e">
        <f>ROUND(Tableau14[[#This Row],[LEN]]*#REF!+#REF!,0)</f>
        <v>#REF!</v>
      </c>
    </row>
    <row r="116" spans="1:16" s="97" customFormat="1" x14ac:dyDescent="0.25">
      <c r="A116" s="17" t="s">
        <v>382</v>
      </c>
      <c r="B116" s="18" t="s">
        <v>237</v>
      </c>
      <c r="C116" s="19" t="s">
        <v>81</v>
      </c>
      <c r="D116" s="68" t="s">
        <v>28</v>
      </c>
      <c r="E116" s="19" t="s">
        <v>667</v>
      </c>
      <c r="F116" s="19" t="s">
        <v>703</v>
      </c>
      <c r="G116" s="68" t="s">
        <v>167</v>
      </c>
      <c r="H116" s="68" t="s">
        <v>654</v>
      </c>
      <c r="I116" s="19"/>
      <c r="J116" s="20" t="s">
        <v>708</v>
      </c>
      <c r="K116" s="107">
        <f>ROUND(Tableau14[[#This Row],[LEN]]*7.27,0)</f>
        <v>73</v>
      </c>
      <c r="L116" s="107">
        <v>15</v>
      </c>
      <c r="M116" s="125" t="str">
        <f t="shared" si="1"/>
        <v>none</v>
      </c>
      <c r="N116" s="107">
        <f>LEN(Tableau14[[#This Row],[LABEL]])</f>
        <v>10</v>
      </c>
      <c r="O116" s="107">
        <v>15</v>
      </c>
      <c r="P116" s="107" t="e">
        <f>ROUND(Tableau14[[#This Row],[LEN]]*#REF!+#REF!,0)</f>
        <v>#REF!</v>
      </c>
    </row>
    <row r="117" spans="1:16" s="97" customFormat="1" x14ac:dyDescent="0.25">
      <c r="A117" s="17" t="s">
        <v>383</v>
      </c>
      <c r="B117" s="18" t="s">
        <v>237</v>
      </c>
      <c r="C117" s="19" t="s">
        <v>136</v>
      </c>
      <c r="D117" s="68" t="s">
        <v>28</v>
      </c>
      <c r="E117" s="19" t="s">
        <v>669</v>
      </c>
      <c r="F117" s="19" t="s">
        <v>704</v>
      </c>
      <c r="G117" s="68" t="s">
        <v>167</v>
      </c>
      <c r="H117" s="68" t="s">
        <v>656</v>
      </c>
      <c r="I117" s="19"/>
      <c r="J117" s="20" t="s">
        <v>708</v>
      </c>
      <c r="K117" s="107">
        <f>ROUND(Tableau14[[#This Row],[LEN]]*7.27,0)</f>
        <v>174</v>
      </c>
      <c r="L117" s="107">
        <v>15</v>
      </c>
      <c r="M117" s="125" t="str">
        <f t="shared" si="1"/>
        <v>none</v>
      </c>
      <c r="N117" s="107">
        <f>LEN(Tableau14[[#This Row],[LABEL]])</f>
        <v>24</v>
      </c>
      <c r="O117" s="107">
        <v>15</v>
      </c>
      <c r="P117" s="107" t="e">
        <f>ROUND(Tableau14[[#This Row],[LEN]]*#REF!+#REF!,0)</f>
        <v>#REF!</v>
      </c>
    </row>
    <row r="118" spans="1:16" s="97" customFormat="1" x14ac:dyDescent="0.25">
      <c r="A118" s="17" t="s">
        <v>384</v>
      </c>
      <c r="B118" s="18" t="s">
        <v>237</v>
      </c>
      <c r="C118" s="19" t="s">
        <v>110</v>
      </c>
      <c r="D118" s="68" t="s">
        <v>28</v>
      </c>
      <c r="E118" s="19" t="s">
        <v>1177</v>
      </c>
      <c r="F118" s="19" t="s">
        <v>1084</v>
      </c>
      <c r="G118" s="68" t="s">
        <v>1977</v>
      </c>
      <c r="H118" s="68" t="s">
        <v>1131</v>
      </c>
      <c r="I118" s="19"/>
      <c r="J118" s="20" t="s">
        <v>708</v>
      </c>
      <c r="K118" s="107">
        <f>ROUND(Tableau14[[#This Row],[LEN]]*7.27,0)</f>
        <v>102</v>
      </c>
      <c r="L118" s="107">
        <v>15</v>
      </c>
      <c r="M118" s="125" t="str">
        <f t="shared" si="1"/>
        <v>none</v>
      </c>
      <c r="N118" s="107">
        <f>LEN(Tableau14[[#This Row],[LABEL]])</f>
        <v>14</v>
      </c>
      <c r="O118" s="107">
        <v>15</v>
      </c>
      <c r="P118" s="107" t="e">
        <f>ROUND(Tableau14[[#This Row],[LEN]]*#REF!+#REF!,0)</f>
        <v>#REF!</v>
      </c>
    </row>
    <row r="119" spans="1:16" s="273" customFormat="1" x14ac:dyDescent="0.25">
      <c r="A119" s="266" t="s">
        <v>240</v>
      </c>
      <c r="B119" s="267" t="s">
        <v>205</v>
      </c>
      <c r="C119" s="268" t="s">
        <v>9</v>
      </c>
      <c r="D119" s="269" t="s">
        <v>28</v>
      </c>
      <c r="E119" s="268" t="s">
        <v>672</v>
      </c>
      <c r="F119" s="268" t="s">
        <v>672</v>
      </c>
      <c r="G119" s="269" t="s">
        <v>167</v>
      </c>
      <c r="H119" s="269" t="str">
        <f>IFERROR(IF(SEARCH(".00.00.00.00.00",Tableau14[[#This Row],[name]],1)=7,"Division",""),"")</f>
        <v>Division</v>
      </c>
      <c r="I119" s="268"/>
      <c r="J119" s="270" t="s">
        <v>718</v>
      </c>
      <c r="K119" s="271">
        <f>ROUND(Tableau14[[#This Row],[LEN]]*7.27,0)</f>
        <v>80</v>
      </c>
      <c r="L119" s="271">
        <v>15</v>
      </c>
      <c r="M119" s="272" t="str">
        <f t="shared" si="1"/>
        <v>new</v>
      </c>
      <c r="N119" s="271">
        <f>LEN(Tableau14[[#This Row],[LABEL]])</f>
        <v>11</v>
      </c>
      <c r="O119" s="271">
        <v>15</v>
      </c>
      <c r="P119" s="271" t="e">
        <f>ROUND(Tableau14[[#This Row],[LEN]]*#REF!+#REF!,0)</f>
        <v>#REF!</v>
      </c>
    </row>
    <row r="120" spans="1:16" s="97" customFormat="1" x14ac:dyDescent="0.25">
      <c r="A120" s="17" t="s">
        <v>372</v>
      </c>
      <c r="B120" s="18" t="s">
        <v>240</v>
      </c>
      <c r="C120" s="19" t="s">
        <v>81</v>
      </c>
      <c r="D120" s="68" t="s">
        <v>28</v>
      </c>
      <c r="E120" s="19" t="s">
        <v>672</v>
      </c>
      <c r="F120" s="19" t="s">
        <v>1963</v>
      </c>
      <c r="G120" s="68" t="s">
        <v>167</v>
      </c>
      <c r="H120" s="68" t="s">
        <v>655</v>
      </c>
      <c r="I120" s="19"/>
      <c r="J120" s="20" t="s">
        <v>708</v>
      </c>
      <c r="K120" s="107">
        <f>ROUND(Tableau14[[#This Row],[LEN]]*7.27,0)</f>
        <v>73</v>
      </c>
      <c r="L120" s="107">
        <v>15</v>
      </c>
      <c r="M120" s="125" t="str">
        <f t="shared" si="1"/>
        <v>none</v>
      </c>
      <c r="N120" s="107">
        <f>LEN(Tableau14[[#This Row],[LABEL]])</f>
        <v>10</v>
      </c>
      <c r="O120" s="107">
        <v>15</v>
      </c>
      <c r="P120" s="107" t="e">
        <f>ROUND(Tableau14[[#This Row],[LEN]]*#REF!+#REF!,0)</f>
        <v>#REF!</v>
      </c>
    </row>
    <row r="121" spans="1:16" s="97" customFormat="1" x14ac:dyDescent="0.25">
      <c r="A121" s="21" t="s">
        <v>385</v>
      </c>
      <c r="B121" s="22" t="s">
        <v>372</v>
      </c>
      <c r="C121" s="23" t="s">
        <v>187</v>
      </c>
      <c r="D121" s="69" t="s">
        <v>28</v>
      </c>
      <c r="E121" s="23" t="s">
        <v>672</v>
      </c>
      <c r="F121" s="23" t="s">
        <v>1963</v>
      </c>
      <c r="G121" s="69" t="s">
        <v>167</v>
      </c>
      <c r="H121" s="69" t="s">
        <v>570</v>
      </c>
      <c r="I121" s="23"/>
      <c r="J121" s="24" t="s">
        <v>708</v>
      </c>
      <c r="K121" s="108">
        <f>ROUND(Tableau14[[#This Row],[LEN]]*7.27,0)</f>
        <v>305</v>
      </c>
      <c r="L121" s="108">
        <v>15</v>
      </c>
      <c r="M121" s="126" t="str">
        <f t="shared" si="1"/>
        <v>none</v>
      </c>
      <c r="N121" s="108">
        <f>LEN(Tableau14[[#This Row],[LABEL]])</f>
        <v>42</v>
      </c>
      <c r="O121" s="108">
        <v>15</v>
      </c>
      <c r="P121" s="108" t="e">
        <f>ROUND(Tableau14[[#This Row],[LEN]]*#REF!+#REF!,0)</f>
        <v>#REF!</v>
      </c>
    </row>
    <row r="122" spans="1:16" s="97" customFormat="1" x14ac:dyDescent="0.25">
      <c r="A122" s="21" t="s">
        <v>386</v>
      </c>
      <c r="B122" s="22" t="s">
        <v>372</v>
      </c>
      <c r="C122" s="23" t="s">
        <v>188</v>
      </c>
      <c r="D122" s="69" t="s">
        <v>28</v>
      </c>
      <c r="E122" s="23" t="s">
        <v>672</v>
      </c>
      <c r="F122" s="23" t="s">
        <v>1963</v>
      </c>
      <c r="G122" s="69" t="s">
        <v>167</v>
      </c>
      <c r="H122" s="69" t="s">
        <v>570</v>
      </c>
      <c r="I122" s="23"/>
      <c r="J122" s="24" t="s">
        <v>708</v>
      </c>
      <c r="K122" s="108">
        <f>ROUND(Tableau14[[#This Row],[LEN]]*7.27,0)</f>
        <v>196</v>
      </c>
      <c r="L122" s="108">
        <v>15</v>
      </c>
      <c r="M122" s="126" t="str">
        <f t="shared" si="1"/>
        <v>none</v>
      </c>
      <c r="N122" s="108">
        <f>LEN(Tableau14[[#This Row],[LABEL]])</f>
        <v>27</v>
      </c>
      <c r="O122" s="108">
        <v>15</v>
      </c>
      <c r="P122" s="108" t="e">
        <f>ROUND(Tableau14[[#This Row],[LEN]]*#REF!+#REF!,0)</f>
        <v>#REF!</v>
      </c>
    </row>
    <row r="123" spans="1:16" s="97" customFormat="1" x14ac:dyDescent="0.25">
      <c r="A123" s="21" t="s">
        <v>387</v>
      </c>
      <c r="B123" s="22" t="s">
        <v>372</v>
      </c>
      <c r="C123" s="23" t="s">
        <v>189</v>
      </c>
      <c r="D123" s="69" t="s">
        <v>28</v>
      </c>
      <c r="E123" s="23" t="s">
        <v>672</v>
      </c>
      <c r="F123" s="23" t="s">
        <v>1963</v>
      </c>
      <c r="G123" s="69" t="s">
        <v>167</v>
      </c>
      <c r="H123" s="69" t="s">
        <v>570</v>
      </c>
      <c r="I123" s="23"/>
      <c r="J123" s="24" t="s">
        <v>708</v>
      </c>
      <c r="K123" s="108">
        <f>ROUND(Tableau14[[#This Row],[LEN]]*7.27,0)</f>
        <v>291</v>
      </c>
      <c r="L123" s="108">
        <v>15</v>
      </c>
      <c r="M123" s="126" t="str">
        <f t="shared" si="1"/>
        <v>none</v>
      </c>
      <c r="N123" s="108">
        <f>LEN(Tableau14[[#This Row],[LABEL]])</f>
        <v>40</v>
      </c>
      <c r="O123" s="108">
        <v>15</v>
      </c>
      <c r="P123" s="108" t="e">
        <f>ROUND(Tableau14[[#This Row],[LEN]]*#REF!+#REF!,0)</f>
        <v>#REF!</v>
      </c>
    </row>
    <row r="124" spans="1:16" s="97" customFormat="1" x14ac:dyDescent="0.25">
      <c r="A124" s="21" t="s">
        <v>388</v>
      </c>
      <c r="B124" s="22" t="s">
        <v>372</v>
      </c>
      <c r="C124" s="23" t="s">
        <v>190</v>
      </c>
      <c r="D124" s="69" t="s">
        <v>28</v>
      </c>
      <c r="E124" s="23" t="s">
        <v>672</v>
      </c>
      <c r="F124" s="23" t="s">
        <v>1963</v>
      </c>
      <c r="G124" s="69" t="s">
        <v>167</v>
      </c>
      <c r="H124" s="69" t="s">
        <v>570</v>
      </c>
      <c r="I124" s="23"/>
      <c r="J124" s="24" t="s">
        <v>708</v>
      </c>
      <c r="K124" s="108">
        <f>ROUND(Tableau14[[#This Row],[LEN]]*7.27,0)</f>
        <v>240</v>
      </c>
      <c r="L124" s="108">
        <v>15</v>
      </c>
      <c r="M124" s="126" t="str">
        <f t="shared" si="1"/>
        <v>none</v>
      </c>
      <c r="N124" s="108">
        <f>LEN(Tableau14[[#This Row],[LABEL]])</f>
        <v>33</v>
      </c>
      <c r="O124" s="108">
        <v>15</v>
      </c>
      <c r="P124" s="108" t="e">
        <f>ROUND(Tableau14[[#This Row],[LEN]]*#REF!+#REF!,0)</f>
        <v>#REF!</v>
      </c>
    </row>
    <row r="125" spans="1:16" s="97" customFormat="1" x14ac:dyDescent="0.25">
      <c r="A125" s="21" t="s">
        <v>389</v>
      </c>
      <c r="B125" s="22" t="s">
        <v>372</v>
      </c>
      <c r="C125" s="23" t="s">
        <v>191</v>
      </c>
      <c r="D125" s="69" t="s">
        <v>28</v>
      </c>
      <c r="E125" s="23" t="s">
        <v>672</v>
      </c>
      <c r="F125" s="23" t="s">
        <v>1963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ROUND(Tableau14[[#This Row],[LEN]]*7.27,0)</f>
        <v>233</v>
      </c>
      <c r="L125" s="108">
        <v>15</v>
      </c>
      <c r="M125" s="126" t="str">
        <f t="shared" si="1"/>
        <v>none</v>
      </c>
      <c r="N125" s="108">
        <f>LEN(Tableau14[[#This Row],[LABEL]])</f>
        <v>32</v>
      </c>
      <c r="O125" s="108">
        <v>15</v>
      </c>
      <c r="P125" s="108" t="e">
        <f>ROUND(Tableau14[[#This Row],[LEN]]*#REF!+#REF!,0)</f>
        <v>#REF!</v>
      </c>
    </row>
    <row r="126" spans="1:16" s="97" customFormat="1" x14ac:dyDescent="0.25">
      <c r="A126" s="21" t="s">
        <v>390</v>
      </c>
      <c r="B126" s="22" t="s">
        <v>372</v>
      </c>
      <c r="C126" s="23" t="s">
        <v>192</v>
      </c>
      <c r="D126" s="69" t="s">
        <v>28</v>
      </c>
      <c r="E126" s="23" t="s">
        <v>672</v>
      </c>
      <c r="F126" s="23" t="s">
        <v>1963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ROUND(Tableau14[[#This Row],[LEN]]*7.27,0)</f>
        <v>225</v>
      </c>
      <c r="L126" s="108">
        <v>15</v>
      </c>
      <c r="M126" s="126" t="str">
        <f t="shared" si="1"/>
        <v>none</v>
      </c>
      <c r="N126" s="108">
        <f>LEN(Tableau14[[#This Row],[LABEL]])</f>
        <v>31</v>
      </c>
      <c r="O126" s="108">
        <v>15</v>
      </c>
      <c r="P126" s="108" t="e">
        <f>ROUND(Tableau14[[#This Row],[LEN]]*#REF!+#REF!,0)</f>
        <v>#REF!</v>
      </c>
    </row>
    <row r="127" spans="1:16" s="97" customFormat="1" x14ac:dyDescent="0.25">
      <c r="A127" s="21" t="s">
        <v>391</v>
      </c>
      <c r="B127" s="22" t="s">
        <v>372</v>
      </c>
      <c r="C127" s="23" t="s">
        <v>193</v>
      </c>
      <c r="D127" s="69" t="s">
        <v>28</v>
      </c>
      <c r="E127" s="23" t="s">
        <v>672</v>
      </c>
      <c r="F127" s="23" t="s">
        <v>1963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ROUND(Tableau14[[#This Row],[LEN]]*7.27,0)</f>
        <v>196</v>
      </c>
      <c r="L127" s="108">
        <v>15</v>
      </c>
      <c r="M127" s="126" t="str">
        <f t="shared" si="1"/>
        <v>none</v>
      </c>
      <c r="N127" s="108">
        <f>LEN(Tableau14[[#This Row],[LABEL]])</f>
        <v>27</v>
      </c>
      <c r="O127" s="108">
        <v>15</v>
      </c>
      <c r="P127" s="108" t="e">
        <f>ROUND(Tableau14[[#This Row],[LEN]]*#REF!+#REF!,0)</f>
        <v>#REF!</v>
      </c>
    </row>
    <row r="128" spans="1:16" s="97" customFormat="1" x14ac:dyDescent="0.25">
      <c r="A128" s="21" t="s">
        <v>392</v>
      </c>
      <c r="B128" s="22" t="s">
        <v>372</v>
      </c>
      <c r="C128" s="23" t="s">
        <v>194</v>
      </c>
      <c r="D128" s="69" t="s">
        <v>28</v>
      </c>
      <c r="E128" s="23" t="s">
        <v>672</v>
      </c>
      <c r="F128" s="23" t="s">
        <v>1963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ROUND(Tableau14[[#This Row],[LEN]]*7.27,0)</f>
        <v>109</v>
      </c>
      <c r="L128" s="108">
        <v>15</v>
      </c>
      <c r="M128" s="126" t="str">
        <f t="shared" si="1"/>
        <v>none</v>
      </c>
      <c r="N128" s="108">
        <f>LEN(Tableau14[[#This Row],[LABEL]])</f>
        <v>15</v>
      </c>
      <c r="O128" s="108">
        <v>15</v>
      </c>
      <c r="P128" s="108" t="e">
        <f>ROUND(Tableau14[[#This Row],[LEN]]*#REF!+#REF!,0)</f>
        <v>#REF!</v>
      </c>
    </row>
    <row r="129" spans="1:16" s="97" customFormat="1" x14ac:dyDescent="0.25">
      <c r="A129" s="21" t="s">
        <v>393</v>
      </c>
      <c r="B129" s="22" t="s">
        <v>372</v>
      </c>
      <c r="C129" s="23" t="s">
        <v>195</v>
      </c>
      <c r="D129" s="69" t="s">
        <v>28</v>
      </c>
      <c r="E129" s="23" t="s">
        <v>672</v>
      </c>
      <c r="F129" s="23" t="s">
        <v>1963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ROUND(Tableau14[[#This Row],[LEN]]*7.27,0)</f>
        <v>240</v>
      </c>
      <c r="L129" s="108">
        <v>15</v>
      </c>
      <c r="M129" s="126" t="str">
        <f t="shared" si="1"/>
        <v>none</v>
      </c>
      <c r="N129" s="108">
        <f>LEN(Tableau14[[#This Row],[LABEL]])</f>
        <v>33</v>
      </c>
      <c r="O129" s="108">
        <v>15</v>
      </c>
      <c r="P129" s="108" t="e">
        <f>ROUND(Tableau14[[#This Row],[LEN]]*#REF!+#REF!,0)</f>
        <v>#REF!</v>
      </c>
    </row>
    <row r="130" spans="1:16" s="97" customFormat="1" x14ac:dyDescent="0.25">
      <c r="A130" s="21" t="s">
        <v>394</v>
      </c>
      <c r="B130" s="22" t="s">
        <v>372</v>
      </c>
      <c r="C130" s="23" t="s">
        <v>196</v>
      </c>
      <c r="D130" s="69" t="s">
        <v>28</v>
      </c>
      <c r="E130" s="23" t="s">
        <v>672</v>
      </c>
      <c r="F130" s="23" t="s">
        <v>1963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ROUND(Tableau14[[#This Row],[LEN]]*7.27,0)</f>
        <v>269</v>
      </c>
      <c r="L130" s="108">
        <v>15</v>
      </c>
      <c r="M130" s="126" t="str">
        <f t="shared" si="1"/>
        <v>none</v>
      </c>
      <c r="N130" s="108">
        <f>LEN(Tableau14[[#This Row],[LABEL]])</f>
        <v>37</v>
      </c>
      <c r="O130" s="108">
        <v>15</v>
      </c>
      <c r="P130" s="108" t="e">
        <f>ROUND(Tableau14[[#This Row],[LEN]]*#REF!+#REF!,0)</f>
        <v>#REF!</v>
      </c>
    </row>
    <row r="131" spans="1:16" s="97" customFormat="1" x14ac:dyDescent="0.25">
      <c r="A131" s="21" t="s">
        <v>395</v>
      </c>
      <c r="B131" s="22" t="s">
        <v>372</v>
      </c>
      <c r="C131" s="23" t="s">
        <v>197</v>
      </c>
      <c r="D131" s="69" t="s">
        <v>28</v>
      </c>
      <c r="E131" s="23" t="s">
        <v>672</v>
      </c>
      <c r="F131" s="23" t="s">
        <v>1963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ROUND(Tableau14[[#This Row],[LEN]]*7.27,0)</f>
        <v>196</v>
      </c>
      <c r="L131" s="108">
        <v>15</v>
      </c>
      <c r="M131" s="126" t="str">
        <f t="shared" si="1"/>
        <v>none</v>
      </c>
      <c r="N131" s="108">
        <f>LEN(Tableau14[[#This Row],[LABEL]])</f>
        <v>27</v>
      </c>
      <c r="O131" s="108">
        <v>15</v>
      </c>
      <c r="P131" s="108" t="e">
        <f>ROUND(Tableau14[[#This Row],[LEN]]*#REF!+#REF!,0)</f>
        <v>#REF!</v>
      </c>
    </row>
    <row r="132" spans="1:16" s="97" customFormat="1" x14ac:dyDescent="0.25">
      <c r="A132" s="17" t="s">
        <v>470</v>
      </c>
      <c r="B132" s="18" t="s">
        <v>240</v>
      </c>
      <c r="C132" s="19" t="s">
        <v>110</v>
      </c>
      <c r="D132" s="68" t="s">
        <v>28</v>
      </c>
      <c r="E132" s="19" t="s">
        <v>1177</v>
      </c>
      <c r="F132" s="19" t="s">
        <v>1084</v>
      </c>
      <c r="G132" s="68" t="s">
        <v>1977</v>
      </c>
      <c r="H132" s="68" t="s">
        <v>1131</v>
      </c>
      <c r="I132" s="19"/>
      <c r="J132" s="20" t="s">
        <v>708</v>
      </c>
      <c r="K132" s="107">
        <f>ROUND(Tableau14[[#This Row],[LEN]]*7.27,0)</f>
        <v>102</v>
      </c>
      <c r="L132" s="107">
        <v>15</v>
      </c>
      <c r="M132" s="125" t="str">
        <f t="shared" si="1"/>
        <v>none</v>
      </c>
      <c r="N132" s="107">
        <f>LEN(Tableau14[[#This Row],[LABEL]])</f>
        <v>14</v>
      </c>
      <c r="O132" s="107">
        <v>15</v>
      </c>
      <c r="P132" s="107" t="e">
        <f>ROUND(Tableau14[[#This Row],[LEN]]*#REF!+#REF!,0)</f>
        <v>#REF!</v>
      </c>
    </row>
    <row r="133" spans="1:16" s="273" customFormat="1" x14ac:dyDescent="0.25">
      <c r="A133" s="266" t="s">
        <v>241</v>
      </c>
      <c r="B133" s="267" t="s">
        <v>205</v>
      </c>
      <c r="C133" s="268" t="s">
        <v>10</v>
      </c>
      <c r="D133" s="269" t="s">
        <v>28</v>
      </c>
      <c r="E133" s="268" t="s">
        <v>673</v>
      </c>
      <c r="F133" s="268" t="s">
        <v>673</v>
      </c>
      <c r="G133" s="269" t="s">
        <v>167</v>
      </c>
      <c r="H133" s="269" t="str">
        <f>IFERROR(IF(SEARCH(".00.00.00.00.00",Tableau14[[#This Row],[name]],1)=7,"Division",""),"")</f>
        <v>Division</v>
      </c>
      <c r="I133" s="268"/>
      <c r="J133" s="270" t="s">
        <v>719</v>
      </c>
      <c r="K133" s="271">
        <f>ROUND(Tableau14[[#This Row],[LEN]]*7.27,0)</f>
        <v>109</v>
      </c>
      <c r="L133" s="271">
        <v>15</v>
      </c>
      <c r="M133" s="272" t="str">
        <f t="shared" si="1"/>
        <v>new</v>
      </c>
      <c r="N133" s="271">
        <f>LEN(Tableau14[[#This Row],[LABEL]])</f>
        <v>15</v>
      </c>
      <c r="O133" s="271">
        <v>15</v>
      </c>
      <c r="P133" s="271" t="e">
        <f>ROUND(Tableau14[[#This Row],[LEN]]*#REF!+#REF!,0)</f>
        <v>#REF!</v>
      </c>
    </row>
    <row r="134" spans="1:16" s="97" customFormat="1" x14ac:dyDescent="0.25">
      <c r="A134" s="17" t="s">
        <v>984</v>
      </c>
      <c r="B134" s="18" t="s">
        <v>241</v>
      </c>
      <c r="C134" s="19" t="s">
        <v>81</v>
      </c>
      <c r="D134" s="68" t="s">
        <v>28</v>
      </c>
      <c r="E134" s="19" t="s">
        <v>667</v>
      </c>
      <c r="F134" s="19" t="s">
        <v>1965</v>
      </c>
      <c r="G134" s="68" t="s">
        <v>167</v>
      </c>
      <c r="H134" s="68" t="s">
        <v>655</v>
      </c>
      <c r="I134" s="19"/>
      <c r="J134" s="20" t="s">
        <v>708</v>
      </c>
      <c r="K134" s="107">
        <f>ROUND(Tableau14[[#This Row],[LEN]]*7.27,0)</f>
        <v>73</v>
      </c>
      <c r="L134" s="107">
        <v>15</v>
      </c>
      <c r="M134" s="125" t="str">
        <f t="shared" si="1"/>
        <v>none</v>
      </c>
      <c r="N134" s="107">
        <f>LEN(Tableau14[[#This Row],[LABEL]])</f>
        <v>10</v>
      </c>
      <c r="O134" s="107">
        <v>15</v>
      </c>
      <c r="P134" s="107" t="e">
        <f>ROUND(Tableau14[[#This Row],[LEN]]*#REF!+#REF!,0)</f>
        <v>#REF!</v>
      </c>
    </row>
    <row r="135" spans="1:16" s="97" customFormat="1" x14ac:dyDescent="0.25">
      <c r="A135" s="21" t="s">
        <v>987</v>
      </c>
      <c r="B135" s="22" t="s">
        <v>984</v>
      </c>
      <c r="C135" s="23" t="s">
        <v>992</v>
      </c>
      <c r="D135" s="69" t="s">
        <v>28</v>
      </c>
      <c r="E135" s="23" t="s">
        <v>667</v>
      </c>
      <c r="F135" s="23" t="s">
        <v>1965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ROUND(Tableau14[[#This Row],[LEN]]*7.27,0)</f>
        <v>138</v>
      </c>
      <c r="L135" s="108">
        <v>15</v>
      </c>
      <c r="M135" s="126" t="str">
        <f t="shared" si="1"/>
        <v>none</v>
      </c>
      <c r="N135" s="108">
        <f>LEN(Tableau14[[#This Row],[LABEL]])</f>
        <v>19</v>
      </c>
      <c r="O135" s="108">
        <v>15</v>
      </c>
      <c r="P135" s="108" t="e">
        <f>ROUND(Tableau14[[#This Row],[LEN]]*#REF!+#REF!,0)</f>
        <v>#REF!</v>
      </c>
    </row>
    <row r="136" spans="1:16" s="97" customFormat="1" x14ac:dyDescent="0.25">
      <c r="A136" s="21" t="s">
        <v>988</v>
      </c>
      <c r="B136" s="22" t="s">
        <v>984</v>
      </c>
      <c r="C136" s="23" t="s">
        <v>993</v>
      </c>
      <c r="D136" s="69" t="s">
        <v>28</v>
      </c>
      <c r="E136" s="23" t="s">
        <v>667</v>
      </c>
      <c r="F136" s="23" t="s">
        <v>1965</v>
      </c>
      <c r="G136" s="69" t="s">
        <v>167</v>
      </c>
      <c r="H136" s="69" t="s">
        <v>570</v>
      </c>
      <c r="I136" s="23"/>
      <c r="J136" s="24" t="s">
        <v>708</v>
      </c>
      <c r="K136" s="108">
        <f>ROUND(Tableau14[[#This Row],[LEN]]*7.27,0)</f>
        <v>225</v>
      </c>
      <c r="L136" s="108">
        <v>15</v>
      </c>
      <c r="M136" s="126" t="str">
        <f t="shared" si="1"/>
        <v>none</v>
      </c>
      <c r="N136" s="108">
        <f>LEN(Tableau14[[#This Row],[LABEL]])</f>
        <v>31</v>
      </c>
      <c r="O136" s="108">
        <v>15</v>
      </c>
      <c r="P136" s="108" t="e">
        <f>ROUND(Tableau14[[#This Row],[LEN]]*#REF!+#REF!,0)</f>
        <v>#REF!</v>
      </c>
    </row>
    <row r="137" spans="1:16" s="97" customFormat="1" x14ac:dyDescent="0.25">
      <c r="A137" s="21" t="s">
        <v>989</v>
      </c>
      <c r="B137" s="22" t="s">
        <v>984</v>
      </c>
      <c r="C137" s="23" t="s">
        <v>994</v>
      </c>
      <c r="D137" s="69" t="s">
        <v>28</v>
      </c>
      <c r="E137" s="23" t="s">
        <v>667</v>
      </c>
      <c r="F137" s="23" t="s">
        <v>1965</v>
      </c>
      <c r="G137" s="69" t="s">
        <v>167</v>
      </c>
      <c r="H137" s="69" t="s">
        <v>570</v>
      </c>
      <c r="I137" s="23"/>
      <c r="J137" s="24" t="s">
        <v>708</v>
      </c>
      <c r="K137" s="108">
        <f>ROUND(Tableau14[[#This Row],[LEN]]*7.27,0)</f>
        <v>153</v>
      </c>
      <c r="L137" s="108">
        <v>15</v>
      </c>
      <c r="M137" s="126" t="str">
        <f t="shared" si="1"/>
        <v>none</v>
      </c>
      <c r="N137" s="108">
        <f>LEN(Tableau14[[#This Row],[LABEL]])</f>
        <v>21</v>
      </c>
      <c r="O137" s="108">
        <v>15</v>
      </c>
      <c r="P137" s="108" t="e">
        <f>ROUND(Tableau14[[#This Row],[LEN]]*#REF!+#REF!,0)</f>
        <v>#REF!</v>
      </c>
    </row>
    <row r="138" spans="1:16" s="97" customFormat="1" x14ac:dyDescent="0.25">
      <c r="A138" s="21" t="s">
        <v>990</v>
      </c>
      <c r="B138" s="22" t="s">
        <v>984</v>
      </c>
      <c r="C138" s="23" t="s">
        <v>995</v>
      </c>
      <c r="D138" s="69" t="s">
        <v>28</v>
      </c>
      <c r="E138" s="23" t="s">
        <v>667</v>
      </c>
      <c r="F138" s="23" t="s">
        <v>1965</v>
      </c>
      <c r="G138" s="69" t="s">
        <v>167</v>
      </c>
      <c r="H138" s="69" t="s">
        <v>570</v>
      </c>
      <c r="I138" s="23"/>
      <c r="J138" s="24" t="s">
        <v>708</v>
      </c>
      <c r="K138" s="108">
        <f>ROUND(Tableau14[[#This Row],[LEN]]*7.27,0)</f>
        <v>327</v>
      </c>
      <c r="L138" s="108">
        <v>15</v>
      </c>
      <c r="M138" s="126" t="str">
        <f t="shared" si="1"/>
        <v>none</v>
      </c>
      <c r="N138" s="108">
        <f>LEN(Tableau14[[#This Row],[LABEL]])</f>
        <v>45</v>
      </c>
      <c r="O138" s="108">
        <v>15</v>
      </c>
      <c r="P138" s="108" t="e">
        <f>ROUND(Tableau14[[#This Row],[LEN]]*#REF!+#REF!,0)</f>
        <v>#REF!</v>
      </c>
    </row>
    <row r="139" spans="1:16" s="97" customFormat="1" x14ac:dyDescent="0.25">
      <c r="A139" s="21" t="s">
        <v>991</v>
      </c>
      <c r="B139" s="22" t="s">
        <v>984</v>
      </c>
      <c r="C139" s="23" t="s">
        <v>996</v>
      </c>
      <c r="D139" s="69" t="s">
        <v>28</v>
      </c>
      <c r="E139" s="23" t="s">
        <v>667</v>
      </c>
      <c r="F139" s="23" t="s">
        <v>1965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ROUND(Tableau14[[#This Row],[LEN]]*7.27,0)</f>
        <v>211</v>
      </c>
      <c r="L139" s="108">
        <v>15</v>
      </c>
      <c r="M139" s="126" t="str">
        <f t="shared" si="1"/>
        <v>none</v>
      </c>
      <c r="N139" s="108">
        <f>LEN(Tableau14[[#This Row],[LABEL]])</f>
        <v>29</v>
      </c>
      <c r="O139" s="108">
        <v>15</v>
      </c>
      <c r="P139" s="108" t="e">
        <f>ROUND(Tableau14[[#This Row],[LEN]]*#REF!+#REF!,0)</f>
        <v>#REF!</v>
      </c>
    </row>
    <row r="140" spans="1:16" s="97" customFormat="1" x14ac:dyDescent="0.25">
      <c r="A140" s="17" t="s">
        <v>985</v>
      </c>
      <c r="B140" s="18" t="s">
        <v>241</v>
      </c>
      <c r="C140" s="19" t="s">
        <v>110</v>
      </c>
      <c r="D140" s="68" t="s">
        <v>28</v>
      </c>
      <c r="E140" s="19" t="s">
        <v>1177</v>
      </c>
      <c r="F140" s="19" t="s">
        <v>1084</v>
      </c>
      <c r="G140" s="68" t="s">
        <v>1977</v>
      </c>
      <c r="H140" s="68" t="s">
        <v>1131</v>
      </c>
      <c r="I140" s="19"/>
      <c r="J140" s="20" t="s">
        <v>708</v>
      </c>
      <c r="K140" s="107">
        <f>ROUND(Tableau14[[#This Row],[LEN]]*7.27,0)</f>
        <v>102</v>
      </c>
      <c r="L140" s="107">
        <v>15</v>
      </c>
      <c r="M140" s="125" t="str">
        <f t="shared" si="1"/>
        <v>none</v>
      </c>
      <c r="N140" s="107">
        <f>LEN(Tableau14[[#This Row],[LABEL]])</f>
        <v>14</v>
      </c>
      <c r="O140" s="107">
        <v>15</v>
      </c>
      <c r="P140" s="107" t="e">
        <f>ROUND(Tableau14[[#This Row],[LEN]]*#REF!+#REF!,0)</f>
        <v>#REF!</v>
      </c>
    </row>
    <row r="141" spans="1:16" s="273" customFormat="1" x14ac:dyDescent="0.25">
      <c r="A141" s="266" t="s">
        <v>242</v>
      </c>
      <c r="B141" s="267" t="s">
        <v>205</v>
      </c>
      <c r="C141" s="268" t="s">
        <v>11</v>
      </c>
      <c r="D141" s="269" t="s">
        <v>28</v>
      </c>
      <c r="E141" s="268" t="s">
        <v>674</v>
      </c>
      <c r="F141" s="268" t="s">
        <v>674</v>
      </c>
      <c r="G141" s="269" t="s">
        <v>167</v>
      </c>
      <c r="H141" s="269" t="str">
        <f>IFERROR(IF(SEARCH(".00.00.00.00.00",Tableau14[[#This Row],[name]],1)=7,"Division",""),"")</f>
        <v>Division</v>
      </c>
      <c r="I141" s="268"/>
      <c r="J141" s="270" t="s">
        <v>720</v>
      </c>
      <c r="K141" s="271">
        <f>ROUND(Tableau14[[#This Row],[LEN]]*7.27,0)</f>
        <v>51</v>
      </c>
      <c r="L141" s="271">
        <v>15</v>
      </c>
      <c r="M141" s="272" t="str">
        <f t="shared" si="1"/>
        <v>new</v>
      </c>
      <c r="N141" s="271">
        <f>LEN(Tableau14[[#This Row],[LABEL]])</f>
        <v>7</v>
      </c>
      <c r="O141" s="271">
        <v>15</v>
      </c>
      <c r="P141" s="271" t="e">
        <f>ROUND(Tableau14[[#This Row],[LEN]]*#REF!+#REF!,0)</f>
        <v>#REF!</v>
      </c>
    </row>
    <row r="142" spans="1:16" s="97" customFormat="1" x14ac:dyDescent="0.25">
      <c r="A142" s="17" t="s">
        <v>997</v>
      </c>
      <c r="B142" s="18" t="s">
        <v>242</v>
      </c>
      <c r="C142" s="19" t="s">
        <v>81</v>
      </c>
      <c r="D142" s="68" t="s">
        <v>28</v>
      </c>
      <c r="E142" s="19" t="s">
        <v>667</v>
      </c>
      <c r="F142" s="19" t="s">
        <v>1966</v>
      </c>
      <c r="G142" s="68" t="s">
        <v>167</v>
      </c>
      <c r="H142" s="68" t="s">
        <v>655</v>
      </c>
      <c r="I142" s="19"/>
      <c r="J142" s="20" t="s">
        <v>708</v>
      </c>
      <c r="K142" s="107">
        <f>ROUND(Tableau14[[#This Row],[LEN]]*7.27,0)</f>
        <v>73</v>
      </c>
      <c r="L142" s="107">
        <v>15</v>
      </c>
      <c r="M142" s="125" t="str">
        <f t="shared" si="1"/>
        <v>none</v>
      </c>
      <c r="N142" s="107">
        <f>LEN(Tableau14[[#This Row],[LABEL]])</f>
        <v>10</v>
      </c>
      <c r="O142" s="107">
        <v>15</v>
      </c>
      <c r="P142" s="107" t="e">
        <f>ROUND(Tableau14[[#This Row],[LEN]]*#REF!+#REF!,0)</f>
        <v>#REF!</v>
      </c>
    </row>
    <row r="143" spans="1:16" s="97" customFormat="1" x14ac:dyDescent="0.25">
      <c r="A143" s="21" t="s">
        <v>1002</v>
      </c>
      <c r="B143" s="22" t="s">
        <v>997</v>
      </c>
      <c r="C143" s="23" t="s">
        <v>1000</v>
      </c>
      <c r="D143" s="69" t="s">
        <v>28</v>
      </c>
      <c r="E143" s="23" t="s">
        <v>667</v>
      </c>
      <c r="F143" s="23" t="s">
        <v>1966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ROUND(Tableau14[[#This Row],[LEN]]*7.27,0)</f>
        <v>196</v>
      </c>
      <c r="L143" s="108">
        <v>15</v>
      </c>
      <c r="M143" s="126" t="str">
        <f t="shared" si="1"/>
        <v>none</v>
      </c>
      <c r="N143" s="108">
        <f>LEN(Tableau14[[#This Row],[LABEL]])</f>
        <v>27</v>
      </c>
      <c r="O143" s="108">
        <v>15</v>
      </c>
      <c r="P143" s="108" t="e">
        <f>ROUND(Tableau14[[#This Row],[LEN]]*#REF!+#REF!,0)</f>
        <v>#REF!</v>
      </c>
    </row>
    <row r="144" spans="1:16" s="97" customFormat="1" x14ac:dyDescent="0.25">
      <c r="A144" s="21" t="s">
        <v>1003</v>
      </c>
      <c r="B144" s="22" t="s">
        <v>997</v>
      </c>
      <c r="C144" s="23" t="s">
        <v>1001</v>
      </c>
      <c r="D144" s="69" t="s">
        <v>28</v>
      </c>
      <c r="E144" s="23" t="s">
        <v>667</v>
      </c>
      <c r="F144" s="23" t="s">
        <v>1966</v>
      </c>
      <c r="G144" s="69" t="s">
        <v>167</v>
      </c>
      <c r="H144" s="69" t="s">
        <v>570</v>
      </c>
      <c r="I144" s="23"/>
      <c r="J144" s="24" t="s">
        <v>708</v>
      </c>
      <c r="K144" s="108">
        <f>ROUND(Tableau14[[#This Row],[LEN]]*7.27,0)</f>
        <v>174</v>
      </c>
      <c r="L144" s="108">
        <v>15</v>
      </c>
      <c r="M144" s="126" t="str">
        <f t="shared" si="1"/>
        <v>none</v>
      </c>
      <c r="N144" s="108">
        <f>LEN(Tableau14[[#This Row],[LABEL]])</f>
        <v>24</v>
      </c>
      <c r="O144" s="108">
        <v>15</v>
      </c>
      <c r="P144" s="108" t="e">
        <f>ROUND(Tableau14[[#This Row],[LEN]]*#REF!+#REF!,0)</f>
        <v>#REF!</v>
      </c>
    </row>
    <row r="145" spans="1:16" s="97" customFormat="1" x14ac:dyDescent="0.25">
      <c r="A145" s="17" t="s">
        <v>998</v>
      </c>
      <c r="B145" s="18" t="s">
        <v>242</v>
      </c>
      <c r="C145" s="19" t="s">
        <v>110</v>
      </c>
      <c r="D145" s="68" t="s">
        <v>28</v>
      </c>
      <c r="E145" s="19" t="s">
        <v>1177</v>
      </c>
      <c r="F145" s="19" t="s">
        <v>1084</v>
      </c>
      <c r="G145" s="68" t="s">
        <v>1977</v>
      </c>
      <c r="H145" s="68" t="s">
        <v>1131</v>
      </c>
      <c r="I145" s="19"/>
      <c r="J145" s="20" t="s">
        <v>708</v>
      </c>
      <c r="K145" s="107">
        <f>ROUND(Tableau14[[#This Row],[LEN]]*7.27,0)</f>
        <v>102</v>
      </c>
      <c r="L145" s="107">
        <v>15</v>
      </c>
      <c r="M145" s="125" t="str">
        <f t="shared" si="1"/>
        <v>none</v>
      </c>
      <c r="N145" s="107">
        <f>LEN(Tableau14[[#This Row],[LABEL]])</f>
        <v>14</v>
      </c>
      <c r="O145" s="107">
        <v>15</v>
      </c>
      <c r="P145" s="107" t="e">
        <f>ROUND(Tableau14[[#This Row],[LEN]]*#REF!+#REF!,0)</f>
        <v>#REF!</v>
      </c>
    </row>
    <row r="146" spans="1:16" s="273" customFormat="1" x14ac:dyDescent="0.25">
      <c r="A146" s="266" t="s">
        <v>243</v>
      </c>
      <c r="B146" s="267" t="s">
        <v>205</v>
      </c>
      <c r="C146" s="268" t="s">
        <v>12</v>
      </c>
      <c r="D146" s="269" t="s">
        <v>28</v>
      </c>
      <c r="E146" s="268" t="s">
        <v>675</v>
      </c>
      <c r="F146" s="268" t="s">
        <v>675</v>
      </c>
      <c r="G146" s="269" t="s">
        <v>167</v>
      </c>
      <c r="H146" s="269" t="str">
        <f>IFERROR(IF(SEARCH(".00.00.00.00.00",Tableau14[[#This Row],[name]],1)=7,"Division",""),"")</f>
        <v>Division</v>
      </c>
      <c r="I146" s="268"/>
      <c r="J146" s="270" t="s">
        <v>721</v>
      </c>
      <c r="K146" s="271">
        <f>ROUND(Tableau14[[#This Row],[LEN]]*7.27,0)</f>
        <v>15</v>
      </c>
      <c r="L146" s="271">
        <v>15</v>
      </c>
      <c r="M146" s="272" t="str">
        <f t="shared" si="1"/>
        <v>new</v>
      </c>
      <c r="N146" s="271">
        <f>LEN(Tableau14[[#This Row],[LABEL]])</f>
        <v>2</v>
      </c>
      <c r="O146" s="271">
        <v>15</v>
      </c>
      <c r="P146" s="271" t="e">
        <f>ROUND(Tableau14[[#This Row],[LEN]]*#REF!+#REF!,0)</f>
        <v>#REF!</v>
      </c>
    </row>
    <row r="147" spans="1:16" s="97" customFormat="1" x14ac:dyDescent="0.25">
      <c r="A147" s="17" t="s">
        <v>1004</v>
      </c>
      <c r="B147" s="18" t="s">
        <v>243</v>
      </c>
      <c r="C147" s="19" t="s">
        <v>1007</v>
      </c>
      <c r="D147" s="68" t="s">
        <v>28</v>
      </c>
      <c r="E147" s="19" t="s">
        <v>675</v>
      </c>
      <c r="F147" s="19" t="s">
        <v>675</v>
      </c>
      <c r="G147" s="68" t="s">
        <v>167</v>
      </c>
      <c r="H147" s="68" t="s">
        <v>655</v>
      </c>
      <c r="I147" s="19"/>
      <c r="J147" s="20" t="s">
        <v>708</v>
      </c>
      <c r="K147" s="107">
        <f>ROUND(Tableau14[[#This Row],[LEN]]*7.27,0)</f>
        <v>305</v>
      </c>
      <c r="L147" s="107">
        <v>15</v>
      </c>
      <c r="M147" s="125" t="str">
        <f t="shared" si="1"/>
        <v>none</v>
      </c>
      <c r="N147" s="107">
        <f>LEN(Tableau14[[#This Row],[LABEL]])</f>
        <v>42</v>
      </c>
      <c r="O147" s="107">
        <v>15</v>
      </c>
      <c r="P147" s="107" t="e">
        <f>ROUND(Tableau14[[#This Row],[LEN]]*#REF!+#REF!,0)</f>
        <v>#REF!</v>
      </c>
    </row>
    <row r="148" spans="1:16" s="97" customFormat="1" x14ac:dyDescent="0.25">
      <c r="A148" s="21" t="s">
        <v>1009</v>
      </c>
      <c r="B148" s="22" t="s">
        <v>1004</v>
      </c>
      <c r="C148" s="23" t="s">
        <v>1012</v>
      </c>
      <c r="D148" s="69" t="s">
        <v>28</v>
      </c>
      <c r="E148" s="23" t="s">
        <v>675</v>
      </c>
      <c r="F148" s="23" t="s">
        <v>675</v>
      </c>
      <c r="G148" s="69" t="s">
        <v>167</v>
      </c>
      <c r="H148" s="69" t="s">
        <v>656</v>
      </c>
      <c r="I148" s="23"/>
      <c r="J148" s="24" t="s">
        <v>708</v>
      </c>
      <c r="K148" s="108">
        <f>ROUND(Tableau14[[#This Row],[LEN]]*7.27,0)</f>
        <v>276</v>
      </c>
      <c r="L148" s="108">
        <v>15</v>
      </c>
      <c r="M148" s="126" t="str">
        <f t="shared" si="1"/>
        <v>none</v>
      </c>
      <c r="N148" s="108">
        <f>LEN(Tableau14[[#This Row],[LABEL]])</f>
        <v>38</v>
      </c>
      <c r="O148" s="108">
        <v>15</v>
      </c>
      <c r="P148" s="108" t="e">
        <f>ROUND(Tableau14[[#This Row],[LEN]]*#REF!+#REF!,0)</f>
        <v>#REF!</v>
      </c>
    </row>
    <row r="149" spans="1:16" s="97" customFormat="1" x14ac:dyDescent="0.25">
      <c r="A149" s="21" t="s">
        <v>1010</v>
      </c>
      <c r="B149" s="22" t="s">
        <v>1004</v>
      </c>
      <c r="C149" s="23" t="s">
        <v>1013</v>
      </c>
      <c r="D149" s="69" t="s">
        <v>28</v>
      </c>
      <c r="E149" s="23" t="s">
        <v>675</v>
      </c>
      <c r="F149" s="23" t="s">
        <v>675</v>
      </c>
      <c r="G149" s="69" t="s">
        <v>167</v>
      </c>
      <c r="H149" s="69" t="s">
        <v>656</v>
      </c>
      <c r="I149" s="23"/>
      <c r="J149" s="24" t="s">
        <v>708</v>
      </c>
      <c r="K149" s="108">
        <f>ROUND(Tableau14[[#This Row],[LEN]]*7.27,0)</f>
        <v>284</v>
      </c>
      <c r="L149" s="108">
        <v>15</v>
      </c>
      <c r="M149" s="126" t="str">
        <f t="shared" si="1"/>
        <v>none</v>
      </c>
      <c r="N149" s="108">
        <f>LEN(Tableau14[[#This Row],[LABEL]])</f>
        <v>39</v>
      </c>
      <c r="O149" s="108">
        <v>15</v>
      </c>
      <c r="P149" s="108" t="e">
        <f>ROUND(Tableau14[[#This Row],[LEN]]*#REF!+#REF!,0)</f>
        <v>#REF!</v>
      </c>
    </row>
    <row r="150" spans="1:16" s="97" customFormat="1" x14ac:dyDescent="0.25">
      <c r="A150" s="21" t="s">
        <v>1011</v>
      </c>
      <c r="B150" s="22" t="s">
        <v>1004</v>
      </c>
      <c r="C150" s="23" t="s">
        <v>1014</v>
      </c>
      <c r="D150" s="69" t="s">
        <v>28</v>
      </c>
      <c r="E150" s="23" t="s">
        <v>675</v>
      </c>
      <c r="F150" s="23" t="s">
        <v>675</v>
      </c>
      <c r="G150" s="69" t="s">
        <v>167</v>
      </c>
      <c r="H150" s="69" t="s">
        <v>656</v>
      </c>
      <c r="I150" s="23"/>
      <c r="J150" s="24" t="s">
        <v>708</v>
      </c>
      <c r="K150" s="108">
        <f>ROUND(Tableau14[[#This Row],[LEN]]*7.27,0)</f>
        <v>327</v>
      </c>
      <c r="L150" s="108">
        <v>15</v>
      </c>
      <c r="M150" s="126" t="str">
        <f t="shared" si="1"/>
        <v>none</v>
      </c>
      <c r="N150" s="108">
        <f>LEN(Tableau14[[#This Row],[LABEL]])</f>
        <v>45</v>
      </c>
      <c r="O150" s="108">
        <v>15</v>
      </c>
      <c r="P150" s="108" t="e">
        <f>ROUND(Tableau14[[#This Row],[LEN]]*#REF!+#REF!,0)</f>
        <v>#REF!</v>
      </c>
    </row>
    <row r="151" spans="1:16" s="97" customFormat="1" x14ac:dyDescent="0.25">
      <c r="A151" s="17" t="s">
        <v>1005</v>
      </c>
      <c r="B151" s="18" t="s">
        <v>243</v>
      </c>
      <c r="C151" s="19" t="s">
        <v>1008</v>
      </c>
      <c r="D151" s="68" t="s">
        <v>28</v>
      </c>
      <c r="E151" s="19" t="s">
        <v>675</v>
      </c>
      <c r="F151" s="19" t="s">
        <v>675</v>
      </c>
      <c r="G151" s="68" t="s">
        <v>167</v>
      </c>
      <c r="H151" s="68" t="s">
        <v>654</v>
      </c>
      <c r="I151" s="19"/>
      <c r="J151" s="20" t="s">
        <v>708</v>
      </c>
      <c r="K151" s="107">
        <f>ROUND(Tableau14[[#This Row],[LEN]]*7.27,0)</f>
        <v>305</v>
      </c>
      <c r="L151" s="107">
        <v>15</v>
      </c>
      <c r="M151" s="125" t="str">
        <f t="shared" si="1"/>
        <v>none</v>
      </c>
      <c r="N151" s="107">
        <f>LEN(Tableau14[[#This Row],[LABEL]])</f>
        <v>42</v>
      </c>
      <c r="O151" s="107">
        <v>15</v>
      </c>
      <c r="P151" s="107" t="e">
        <f>ROUND(Tableau14[[#This Row],[LEN]]*#REF!+#REF!,0)</f>
        <v>#REF!</v>
      </c>
    </row>
    <row r="152" spans="1:16" s="97" customFormat="1" x14ac:dyDescent="0.25">
      <c r="A152" s="17" t="s">
        <v>1006</v>
      </c>
      <c r="B152" s="18" t="s">
        <v>243</v>
      </c>
      <c r="C152" s="19" t="s">
        <v>110</v>
      </c>
      <c r="D152" s="68" t="s">
        <v>28</v>
      </c>
      <c r="E152" s="19" t="s">
        <v>1177</v>
      </c>
      <c r="F152" s="19" t="s">
        <v>1084</v>
      </c>
      <c r="G152" s="68" t="s">
        <v>1977</v>
      </c>
      <c r="H152" s="68" t="s">
        <v>1131</v>
      </c>
      <c r="I152" s="19"/>
      <c r="J152" s="20" t="s">
        <v>708</v>
      </c>
      <c r="K152" s="107">
        <f>ROUND(Tableau14[[#This Row],[LEN]]*7.27,0)</f>
        <v>102</v>
      </c>
      <c r="L152" s="107">
        <v>15</v>
      </c>
      <c r="M152" s="125" t="str">
        <f t="shared" si="1"/>
        <v>none</v>
      </c>
      <c r="N152" s="107">
        <f>LEN(Tableau14[[#This Row],[LABEL]])</f>
        <v>14</v>
      </c>
      <c r="O152" s="107">
        <v>15</v>
      </c>
      <c r="P152" s="107" t="e">
        <f>ROUND(Tableau14[[#This Row],[LEN]]*#REF!+#REF!,0)</f>
        <v>#REF!</v>
      </c>
    </row>
    <row r="153" spans="1:16" s="273" customFormat="1" x14ac:dyDescent="0.25">
      <c r="A153" s="266" t="s">
        <v>244</v>
      </c>
      <c r="B153" s="267" t="s">
        <v>205</v>
      </c>
      <c r="C153" s="268" t="s">
        <v>71</v>
      </c>
      <c r="D153" s="269" t="s">
        <v>28</v>
      </c>
      <c r="E153" s="268" t="s">
        <v>676</v>
      </c>
      <c r="F153" s="268" t="s">
        <v>676</v>
      </c>
      <c r="G153" s="269" t="s">
        <v>167</v>
      </c>
      <c r="H153" s="269" t="str">
        <f>IFERROR(IF(SEARCH(".00.00.00.00.00",Tableau14[[#This Row],[name]],1)=7,"Division",""),"")</f>
        <v>Division</v>
      </c>
      <c r="I153" s="268"/>
      <c r="J153" s="270" t="s">
        <v>722</v>
      </c>
      <c r="K153" s="271">
        <f>ROUND(Tableau14[[#This Row],[LEN]]*7.27,0)</f>
        <v>29</v>
      </c>
      <c r="L153" s="271">
        <v>15</v>
      </c>
      <c r="M153" s="272" t="str">
        <f t="shared" si="1"/>
        <v>new</v>
      </c>
      <c r="N153" s="271">
        <f>LEN(Tableau14[[#This Row],[LABEL]])</f>
        <v>4</v>
      </c>
      <c r="O153" s="271">
        <v>15</v>
      </c>
      <c r="P153" s="271" t="e">
        <f>ROUND(Tableau14[[#This Row],[LEN]]*#REF!+#REF!,0)</f>
        <v>#REF!</v>
      </c>
    </row>
    <row r="154" spans="1:16" s="97" customFormat="1" x14ac:dyDescent="0.25">
      <c r="A154" s="17" t="s">
        <v>1017</v>
      </c>
      <c r="B154" s="18" t="s">
        <v>244</v>
      </c>
      <c r="C154" s="19" t="s">
        <v>1016</v>
      </c>
      <c r="D154" s="68" t="s">
        <v>28</v>
      </c>
      <c r="E154" s="19" t="s">
        <v>676</v>
      </c>
      <c r="F154" s="19" t="s">
        <v>676</v>
      </c>
      <c r="G154" s="68" t="s">
        <v>167</v>
      </c>
      <c r="H154" s="68" t="s">
        <v>656</v>
      </c>
      <c r="I154" s="19"/>
      <c r="J154" s="20" t="s">
        <v>722</v>
      </c>
      <c r="K154" s="107">
        <f>ROUND(Tableau14[[#This Row],[LEN]]*7.27,0)</f>
        <v>342</v>
      </c>
      <c r="L154" s="107">
        <v>15</v>
      </c>
      <c r="M154" s="125" t="str">
        <f t="shared" si="1"/>
        <v>new</v>
      </c>
      <c r="N154" s="107">
        <f>LEN(Tableau14[[#This Row],[LABEL]])</f>
        <v>47</v>
      </c>
      <c r="O154" s="107">
        <v>15</v>
      </c>
      <c r="P154" s="107" t="e">
        <f>ROUND(Tableau14[[#This Row],[LEN]]*#REF!+#REF!,0)</f>
        <v>#REF!</v>
      </c>
    </row>
    <row r="155" spans="1:16" s="97" customFormat="1" x14ac:dyDescent="0.25">
      <c r="A155" s="17" t="s">
        <v>1018</v>
      </c>
      <c r="B155" s="18" t="s">
        <v>244</v>
      </c>
      <c r="C155" s="19" t="s">
        <v>1015</v>
      </c>
      <c r="D155" s="68" t="s">
        <v>28</v>
      </c>
      <c r="E155" s="19" t="s">
        <v>676</v>
      </c>
      <c r="F155" s="19" t="s">
        <v>676</v>
      </c>
      <c r="G155" s="68" t="s">
        <v>167</v>
      </c>
      <c r="H155" s="68" t="s">
        <v>656</v>
      </c>
      <c r="I155" s="19"/>
      <c r="J155" s="20" t="s">
        <v>722</v>
      </c>
      <c r="K155" s="107">
        <f>ROUND(Tableau14[[#This Row],[LEN]]*7.27,0)</f>
        <v>269</v>
      </c>
      <c r="L155" s="107">
        <v>15</v>
      </c>
      <c r="M155" s="125" t="str">
        <f t="shared" si="1"/>
        <v>new</v>
      </c>
      <c r="N155" s="107">
        <f>LEN(Tableau14[[#This Row],[LABEL]])</f>
        <v>37</v>
      </c>
      <c r="O155" s="107">
        <v>15</v>
      </c>
      <c r="P155" s="107" t="e">
        <f>ROUND(Tableau14[[#This Row],[LEN]]*#REF!+#REF!,0)</f>
        <v>#REF!</v>
      </c>
    </row>
    <row r="156" spans="1:16" s="97" customFormat="1" x14ac:dyDescent="0.25">
      <c r="A156" s="17" t="s">
        <v>1019</v>
      </c>
      <c r="B156" s="18" t="s">
        <v>244</v>
      </c>
      <c r="C156" s="19" t="s">
        <v>110</v>
      </c>
      <c r="D156" s="68" t="s">
        <v>28</v>
      </c>
      <c r="E156" s="19" t="s">
        <v>1177</v>
      </c>
      <c r="F156" s="19" t="s">
        <v>1084</v>
      </c>
      <c r="G156" s="68" t="s">
        <v>1977</v>
      </c>
      <c r="H156" s="68" t="s">
        <v>1131</v>
      </c>
      <c r="I156" s="19"/>
      <c r="J156" s="20" t="s">
        <v>708</v>
      </c>
      <c r="K156" s="107">
        <f>ROUND(Tableau14[[#This Row],[LEN]]*7.27,0)</f>
        <v>102</v>
      </c>
      <c r="L156" s="107">
        <v>15</v>
      </c>
      <c r="M156" s="125" t="str">
        <f t="shared" si="1"/>
        <v>none</v>
      </c>
      <c r="N156" s="107">
        <f>LEN(Tableau14[[#This Row],[LABEL]])</f>
        <v>14</v>
      </c>
      <c r="O156" s="107">
        <v>15</v>
      </c>
      <c r="P156" s="107" t="e">
        <f>ROUND(Tableau14[[#This Row],[LEN]]*#REF!+#REF!,0)</f>
        <v>#REF!</v>
      </c>
    </row>
    <row r="157" spans="1:16" s="273" customFormat="1" x14ac:dyDescent="0.25">
      <c r="A157" s="266" t="s">
        <v>245</v>
      </c>
      <c r="B157" s="267" t="s">
        <v>205</v>
      </c>
      <c r="C157" s="268" t="s">
        <v>13</v>
      </c>
      <c r="D157" s="269" t="s">
        <v>28</v>
      </c>
      <c r="E157" s="268" t="s">
        <v>677</v>
      </c>
      <c r="F157" s="268" t="s">
        <v>677</v>
      </c>
      <c r="G157" s="269" t="s">
        <v>167</v>
      </c>
      <c r="H157" s="269" t="str">
        <f>IFERROR(IF(SEARCH(".00.00.00.00.00",Tableau14[[#This Row],[name]],1)=7,"Division",""),"")</f>
        <v>Division</v>
      </c>
      <c r="I157" s="268"/>
      <c r="J157" s="270" t="s">
        <v>723</v>
      </c>
      <c r="K157" s="271">
        <f>ROUND(Tableau14[[#This Row],[LEN]]*7.27,0)</f>
        <v>80</v>
      </c>
      <c r="L157" s="271">
        <v>15</v>
      </c>
      <c r="M157" s="272" t="str">
        <f t="shared" si="1"/>
        <v>new</v>
      </c>
      <c r="N157" s="271">
        <f>LEN(Tableau14[[#This Row],[LABEL]])</f>
        <v>11</v>
      </c>
      <c r="O157" s="271">
        <v>15</v>
      </c>
      <c r="P157" s="271" t="e">
        <f>ROUND(Tableau14[[#This Row],[LEN]]*#REF!+#REF!,0)</f>
        <v>#REF!</v>
      </c>
    </row>
    <row r="158" spans="1:16" s="97" customFormat="1" x14ac:dyDescent="0.25">
      <c r="A158" s="17" t="s">
        <v>1020</v>
      </c>
      <c r="B158" s="18" t="s">
        <v>245</v>
      </c>
      <c r="C158" s="19" t="s">
        <v>81</v>
      </c>
      <c r="D158" s="68" t="s">
        <v>28</v>
      </c>
      <c r="E158" s="19" t="s">
        <v>667</v>
      </c>
      <c r="F158" s="19" t="s">
        <v>1964</v>
      </c>
      <c r="G158" s="68" t="s">
        <v>167</v>
      </c>
      <c r="H158" s="68" t="s">
        <v>655</v>
      </c>
      <c r="I158" s="19"/>
      <c r="J158" s="20" t="s">
        <v>708</v>
      </c>
      <c r="K158" s="107">
        <f>ROUND(Tableau14[[#This Row],[LEN]]*7.27,0)</f>
        <v>73</v>
      </c>
      <c r="L158" s="107">
        <v>15</v>
      </c>
      <c r="M158" s="125" t="str">
        <f t="shared" si="1"/>
        <v>none</v>
      </c>
      <c r="N158" s="107">
        <f>LEN(Tableau14[[#This Row],[LABEL]])</f>
        <v>10</v>
      </c>
      <c r="O158" s="107">
        <v>15</v>
      </c>
      <c r="P158" s="107" t="e">
        <f>ROUND(Tableau14[[#This Row],[LEN]]*#REF!+#REF!,0)</f>
        <v>#REF!</v>
      </c>
    </row>
    <row r="159" spans="1:16" s="97" customFormat="1" x14ac:dyDescent="0.25">
      <c r="A159" s="21" t="s">
        <v>1024</v>
      </c>
      <c r="B159" s="22" t="s">
        <v>1020</v>
      </c>
      <c r="C159" s="23" t="s">
        <v>1031</v>
      </c>
      <c r="D159" s="69" t="s">
        <v>28</v>
      </c>
      <c r="E159" s="23" t="s">
        <v>667</v>
      </c>
      <c r="F159" s="23" t="s">
        <v>1964</v>
      </c>
      <c r="G159" s="69" t="s">
        <v>167</v>
      </c>
      <c r="H159" s="69" t="s">
        <v>570</v>
      </c>
      <c r="I159" s="23"/>
      <c r="J159" s="24" t="s">
        <v>708</v>
      </c>
      <c r="K159" s="108">
        <f>ROUND(Tableau14[[#This Row],[LEN]]*7.27,0)</f>
        <v>167</v>
      </c>
      <c r="L159" s="108">
        <v>15</v>
      </c>
      <c r="M159" s="126" t="str">
        <f t="shared" si="1"/>
        <v>none</v>
      </c>
      <c r="N159" s="108">
        <f>LEN(Tableau14[[#This Row],[LABEL]])</f>
        <v>23</v>
      </c>
      <c r="O159" s="108">
        <v>15</v>
      </c>
      <c r="P159" s="108" t="e">
        <f>ROUND(Tableau14[[#This Row],[LEN]]*#REF!+#REF!,0)</f>
        <v>#REF!</v>
      </c>
    </row>
    <row r="160" spans="1:16" s="97" customFormat="1" x14ac:dyDescent="0.25">
      <c r="A160" s="21" t="s">
        <v>1025</v>
      </c>
      <c r="B160" s="22" t="s">
        <v>1020</v>
      </c>
      <c r="C160" s="23" t="s">
        <v>1032</v>
      </c>
      <c r="D160" s="69" t="s">
        <v>28</v>
      </c>
      <c r="E160" s="23" t="s">
        <v>667</v>
      </c>
      <c r="F160" s="23" t="s">
        <v>1964</v>
      </c>
      <c r="G160" s="69" t="s">
        <v>167</v>
      </c>
      <c r="H160" s="69" t="s">
        <v>570</v>
      </c>
      <c r="I160" s="23"/>
      <c r="J160" s="24" t="s">
        <v>708</v>
      </c>
      <c r="K160" s="108">
        <f>ROUND(Tableau14[[#This Row],[LEN]]*7.27,0)</f>
        <v>153</v>
      </c>
      <c r="L160" s="108">
        <v>15</v>
      </c>
      <c r="M160" s="126" t="str">
        <f t="shared" si="1"/>
        <v>none</v>
      </c>
      <c r="N160" s="108">
        <f>LEN(Tableau14[[#This Row],[LABEL]])</f>
        <v>21</v>
      </c>
      <c r="O160" s="108">
        <v>15</v>
      </c>
      <c r="P160" s="108" t="e">
        <f>ROUND(Tableau14[[#This Row],[LEN]]*#REF!+#REF!,0)</f>
        <v>#REF!</v>
      </c>
    </row>
    <row r="161" spans="1:16" s="97" customFormat="1" x14ac:dyDescent="0.25">
      <c r="A161" s="21" t="s">
        <v>1026</v>
      </c>
      <c r="B161" s="22" t="s">
        <v>1020</v>
      </c>
      <c r="C161" s="23" t="s">
        <v>1033</v>
      </c>
      <c r="D161" s="69" t="s">
        <v>28</v>
      </c>
      <c r="E161" s="23" t="s">
        <v>667</v>
      </c>
      <c r="F161" s="23" t="s">
        <v>1964</v>
      </c>
      <c r="G161" s="69" t="s">
        <v>167</v>
      </c>
      <c r="H161" s="69" t="s">
        <v>570</v>
      </c>
      <c r="I161" s="23"/>
      <c r="J161" s="24" t="s">
        <v>708</v>
      </c>
      <c r="K161" s="108">
        <f>ROUND(Tableau14[[#This Row],[LEN]]*7.27,0)</f>
        <v>334</v>
      </c>
      <c r="L161" s="108">
        <v>15</v>
      </c>
      <c r="M161" s="126" t="str">
        <f t="shared" si="1"/>
        <v>none</v>
      </c>
      <c r="N161" s="108">
        <f>LEN(Tableau14[[#This Row],[LABEL]])</f>
        <v>46</v>
      </c>
      <c r="O161" s="108">
        <v>15</v>
      </c>
      <c r="P161" s="108" t="e">
        <f>ROUND(Tableau14[[#This Row],[LEN]]*#REF!+#REF!,0)</f>
        <v>#REF!</v>
      </c>
    </row>
    <row r="162" spans="1:16" s="97" customFormat="1" x14ac:dyDescent="0.25">
      <c r="A162" s="21" t="s">
        <v>1027</v>
      </c>
      <c r="B162" s="22" t="s">
        <v>1020</v>
      </c>
      <c r="C162" s="23" t="s">
        <v>1034</v>
      </c>
      <c r="D162" s="69" t="s">
        <v>28</v>
      </c>
      <c r="E162" s="23" t="s">
        <v>667</v>
      </c>
      <c r="F162" s="23" t="s">
        <v>1964</v>
      </c>
      <c r="G162" s="69" t="s">
        <v>167</v>
      </c>
      <c r="H162" s="69" t="s">
        <v>570</v>
      </c>
      <c r="I162" s="23"/>
      <c r="J162" s="24" t="s">
        <v>708</v>
      </c>
      <c r="K162" s="108">
        <f>ROUND(Tableau14[[#This Row],[LEN]]*7.27,0)</f>
        <v>393</v>
      </c>
      <c r="L162" s="108">
        <v>15</v>
      </c>
      <c r="M162" s="126" t="str">
        <f t="shared" si="1"/>
        <v>none</v>
      </c>
      <c r="N162" s="108">
        <f>LEN(Tableau14[[#This Row],[LABEL]])</f>
        <v>54</v>
      </c>
      <c r="O162" s="108">
        <v>15</v>
      </c>
      <c r="P162" s="108" t="e">
        <f>ROUND(Tableau14[[#This Row],[LEN]]*#REF!+#REF!,0)</f>
        <v>#REF!</v>
      </c>
    </row>
    <row r="163" spans="1:16" s="97" customFormat="1" x14ac:dyDescent="0.25">
      <c r="A163" s="21" t="s">
        <v>1028</v>
      </c>
      <c r="B163" s="22" t="s">
        <v>1020</v>
      </c>
      <c r="C163" s="23" t="s">
        <v>1035</v>
      </c>
      <c r="D163" s="69" t="s">
        <v>28</v>
      </c>
      <c r="E163" s="23" t="s">
        <v>667</v>
      </c>
      <c r="F163" s="23" t="s">
        <v>1964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ROUND(Tableau14[[#This Row],[LEN]]*7.27,0)</f>
        <v>320</v>
      </c>
      <c r="L163" s="108">
        <v>15</v>
      </c>
      <c r="M163" s="126" t="str">
        <f t="shared" si="1"/>
        <v>none</v>
      </c>
      <c r="N163" s="108">
        <f>LEN(Tableau14[[#This Row],[LABEL]])</f>
        <v>44</v>
      </c>
      <c r="O163" s="108">
        <v>15</v>
      </c>
      <c r="P163" s="108" t="e">
        <f>ROUND(Tableau14[[#This Row],[LEN]]*#REF!+#REF!,0)</f>
        <v>#REF!</v>
      </c>
    </row>
    <row r="164" spans="1:16" s="97" customFormat="1" x14ac:dyDescent="0.25">
      <c r="A164" s="21" t="s">
        <v>1029</v>
      </c>
      <c r="B164" s="22" t="s">
        <v>1020</v>
      </c>
      <c r="C164" s="23" t="s">
        <v>1036</v>
      </c>
      <c r="D164" s="69" t="s">
        <v>28</v>
      </c>
      <c r="E164" s="23" t="s">
        <v>667</v>
      </c>
      <c r="F164" s="23" t="s">
        <v>1964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ROUND(Tableau14[[#This Row],[LEN]]*7.27,0)</f>
        <v>95</v>
      </c>
      <c r="L164" s="108">
        <v>15</v>
      </c>
      <c r="M164" s="126" t="str">
        <f t="shared" si="1"/>
        <v>none</v>
      </c>
      <c r="N164" s="108">
        <f>LEN(Tableau14[[#This Row],[LABEL]])</f>
        <v>13</v>
      </c>
      <c r="O164" s="108">
        <v>15</v>
      </c>
      <c r="P164" s="108" t="e">
        <f>ROUND(Tableau14[[#This Row],[LEN]]*#REF!+#REF!,0)</f>
        <v>#REF!</v>
      </c>
    </row>
    <row r="165" spans="1:16" s="97" customFormat="1" x14ac:dyDescent="0.25">
      <c r="A165" s="21" t="s">
        <v>1030</v>
      </c>
      <c r="B165" s="22" t="s">
        <v>1020</v>
      </c>
      <c r="C165" s="23" t="s">
        <v>1037</v>
      </c>
      <c r="D165" s="69" t="s">
        <v>28</v>
      </c>
      <c r="E165" s="23" t="s">
        <v>667</v>
      </c>
      <c r="F165" s="23" t="s">
        <v>1964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ROUND(Tableau14[[#This Row],[LEN]]*7.27,0)</f>
        <v>124</v>
      </c>
      <c r="L165" s="108">
        <v>15</v>
      </c>
      <c r="M165" s="126" t="str">
        <f t="shared" si="1"/>
        <v>none</v>
      </c>
      <c r="N165" s="108">
        <f>LEN(Tableau14[[#This Row],[LABEL]])</f>
        <v>17</v>
      </c>
      <c r="O165" s="108">
        <v>15</v>
      </c>
      <c r="P165" s="108" t="e">
        <f>ROUND(Tableau14[[#This Row],[LEN]]*#REF!+#REF!,0)</f>
        <v>#REF!</v>
      </c>
    </row>
    <row r="166" spans="1:16" s="97" customFormat="1" x14ac:dyDescent="0.25">
      <c r="A166" s="17" t="s">
        <v>1021</v>
      </c>
      <c r="B166" s="18" t="s">
        <v>245</v>
      </c>
      <c r="C166" s="19" t="s">
        <v>1023</v>
      </c>
      <c r="D166" s="68" t="s">
        <v>28</v>
      </c>
      <c r="E166" s="19" t="s">
        <v>677</v>
      </c>
      <c r="F166" s="19" t="s">
        <v>677</v>
      </c>
      <c r="G166" s="68" t="s">
        <v>167</v>
      </c>
      <c r="H166" s="68" t="s">
        <v>654</v>
      </c>
      <c r="I166" s="19"/>
      <c r="J166" s="20" t="s">
        <v>708</v>
      </c>
      <c r="K166" s="107">
        <f>ROUND(Tableau14[[#This Row],[LEN]]*7.27,0)</f>
        <v>196</v>
      </c>
      <c r="L166" s="107">
        <v>15</v>
      </c>
      <c r="M166" s="125" t="str">
        <f t="shared" si="1"/>
        <v>none</v>
      </c>
      <c r="N166" s="107">
        <f>LEN(Tableau14[[#This Row],[LABEL]])</f>
        <v>27</v>
      </c>
      <c r="O166" s="107">
        <v>15</v>
      </c>
      <c r="P166" s="107" t="e">
        <f>ROUND(Tableau14[[#This Row],[LEN]]*#REF!+#REF!,0)</f>
        <v>#REF!</v>
      </c>
    </row>
    <row r="167" spans="1:16" s="97" customFormat="1" x14ac:dyDescent="0.25">
      <c r="A167" s="17" t="s">
        <v>1022</v>
      </c>
      <c r="B167" s="18" t="s">
        <v>245</v>
      </c>
      <c r="C167" s="19" t="s">
        <v>110</v>
      </c>
      <c r="D167" s="68" t="s">
        <v>28</v>
      </c>
      <c r="E167" s="19" t="s">
        <v>1177</v>
      </c>
      <c r="F167" s="19" t="s">
        <v>1084</v>
      </c>
      <c r="G167" s="68" t="s">
        <v>1977</v>
      </c>
      <c r="H167" s="68" t="s">
        <v>1131</v>
      </c>
      <c r="I167" s="19"/>
      <c r="J167" s="20" t="s">
        <v>708</v>
      </c>
      <c r="K167" s="107">
        <f>ROUND(Tableau14[[#This Row],[LEN]]*7.27,0)</f>
        <v>102</v>
      </c>
      <c r="L167" s="107">
        <v>15</v>
      </c>
      <c r="M167" s="125" t="str">
        <f t="shared" si="1"/>
        <v>none</v>
      </c>
      <c r="N167" s="107">
        <f>LEN(Tableau14[[#This Row],[LABEL]])</f>
        <v>14</v>
      </c>
      <c r="O167" s="107">
        <v>15</v>
      </c>
      <c r="P167" s="107" t="e">
        <f>ROUND(Tableau14[[#This Row],[LEN]]*#REF!+#REF!,0)</f>
        <v>#REF!</v>
      </c>
    </row>
    <row r="168" spans="1:16" s="273" customFormat="1" x14ac:dyDescent="0.25">
      <c r="A168" s="266" t="s">
        <v>246</v>
      </c>
      <c r="B168" s="267" t="s">
        <v>205</v>
      </c>
      <c r="C168" s="268" t="s">
        <v>14</v>
      </c>
      <c r="D168" s="269" t="s">
        <v>28</v>
      </c>
      <c r="E168" s="268" t="s">
        <v>678</v>
      </c>
      <c r="F168" s="268" t="s">
        <v>678</v>
      </c>
      <c r="G168" s="269" t="s">
        <v>167</v>
      </c>
      <c r="H168" s="269" t="str">
        <f>IFERROR(IF(SEARCH(".00.00.00.00.00",Tableau14[[#This Row],[name]],1)=7,"Division",""),"")</f>
        <v>Division</v>
      </c>
      <c r="I168" s="268"/>
      <c r="J168" s="270" t="s">
        <v>724</v>
      </c>
      <c r="K168" s="271">
        <f>ROUND(Tableau14[[#This Row],[LEN]]*7.27,0)</f>
        <v>240</v>
      </c>
      <c r="L168" s="271">
        <v>15</v>
      </c>
      <c r="M168" s="272" t="str">
        <f t="shared" si="1"/>
        <v>new</v>
      </c>
      <c r="N168" s="271">
        <f>LEN(Tableau14[[#This Row],[LABEL]])</f>
        <v>33</v>
      </c>
      <c r="O168" s="271">
        <v>15</v>
      </c>
      <c r="P168" s="271" t="e">
        <f>ROUND(Tableau14[[#This Row],[LEN]]*#REF!+#REF!,0)</f>
        <v>#REF!</v>
      </c>
    </row>
    <row r="169" spans="1:16" s="97" customFormat="1" x14ac:dyDescent="0.25">
      <c r="A169" s="17" t="s">
        <v>1038</v>
      </c>
      <c r="B169" s="18" t="s">
        <v>246</v>
      </c>
      <c r="C169" s="19" t="s">
        <v>81</v>
      </c>
      <c r="D169" s="68" t="s">
        <v>28</v>
      </c>
      <c r="E169" s="19" t="s">
        <v>667</v>
      </c>
      <c r="F169" s="19" t="s">
        <v>1964</v>
      </c>
      <c r="G169" s="68" t="s">
        <v>167</v>
      </c>
      <c r="H169" s="68" t="s">
        <v>655</v>
      </c>
      <c r="I169" s="19"/>
      <c r="J169" s="20" t="s">
        <v>708</v>
      </c>
      <c r="K169" s="107">
        <f>ROUND(Tableau14[[#This Row],[LEN]]*7.27,0)</f>
        <v>73</v>
      </c>
      <c r="L169" s="107">
        <v>15</v>
      </c>
      <c r="M169" s="125" t="str">
        <f t="shared" si="1"/>
        <v>none</v>
      </c>
      <c r="N169" s="107">
        <f>LEN(Tableau14[[#This Row],[LABEL]])</f>
        <v>10</v>
      </c>
      <c r="O169" s="107">
        <v>15</v>
      </c>
      <c r="P169" s="107" t="e">
        <f>ROUND(Tableau14[[#This Row],[LEN]]*#REF!+#REF!,0)</f>
        <v>#REF!</v>
      </c>
    </row>
    <row r="170" spans="1:16" s="97" customFormat="1" x14ac:dyDescent="0.25">
      <c r="A170" s="21" t="s">
        <v>1042</v>
      </c>
      <c r="B170" s="22" t="s">
        <v>1038</v>
      </c>
      <c r="C170" s="23" t="s">
        <v>1031</v>
      </c>
      <c r="D170" s="69" t="s">
        <v>28</v>
      </c>
      <c r="E170" s="23" t="s">
        <v>667</v>
      </c>
      <c r="F170" s="23" t="s">
        <v>1964</v>
      </c>
      <c r="G170" s="69" t="s">
        <v>167</v>
      </c>
      <c r="H170" s="69" t="s">
        <v>570</v>
      </c>
      <c r="I170" s="23"/>
      <c r="J170" s="24" t="s">
        <v>708</v>
      </c>
      <c r="K170" s="108">
        <f>ROUND(Tableau14[[#This Row],[LEN]]*7.27,0)</f>
        <v>167</v>
      </c>
      <c r="L170" s="108">
        <v>15</v>
      </c>
      <c r="M170" s="126" t="str">
        <f t="shared" si="1"/>
        <v>none</v>
      </c>
      <c r="N170" s="108">
        <f>LEN(Tableau14[[#This Row],[LABEL]])</f>
        <v>23</v>
      </c>
      <c r="O170" s="108">
        <v>15</v>
      </c>
      <c r="P170" s="108" t="e">
        <f>ROUND(Tableau14[[#This Row],[LEN]]*#REF!+#REF!,0)</f>
        <v>#REF!</v>
      </c>
    </row>
    <row r="171" spans="1:16" s="97" customFormat="1" x14ac:dyDescent="0.25">
      <c r="A171" s="21" t="s">
        <v>1043</v>
      </c>
      <c r="B171" s="22" t="s">
        <v>1038</v>
      </c>
      <c r="C171" s="23" t="s">
        <v>1032</v>
      </c>
      <c r="D171" s="69" t="s">
        <v>28</v>
      </c>
      <c r="E171" s="23" t="s">
        <v>667</v>
      </c>
      <c r="F171" s="23" t="s">
        <v>1964</v>
      </c>
      <c r="G171" s="69" t="s">
        <v>167</v>
      </c>
      <c r="H171" s="69" t="s">
        <v>570</v>
      </c>
      <c r="I171" s="23"/>
      <c r="J171" s="24" t="s">
        <v>708</v>
      </c>
      <c r="K171" s="108">
        <f>ROUND(Tableau14[[#This Row],[LEN]]*7.27,0)</f>
        <v>153</v>
      </c>
      <c r="L171" s="108">
        <v>15</v>
      </c>
      <c r="M171" s="126" t="str">
        <f t="shared" si="1"/>
        <v>none</v>
      </c>
      <c r="N171" s="108">
        <f>LEN(Tableau14[[#This Row],[LABEL]])</f>
        <v>21</v>
      </c>
      <c r="O171" s="108">
        <v>15</v>
      </c>
      <c r="P171" s="108" t="e">
        <f>ROUND(Tableau14[[#This Row],[LEN]]*#REF!+#REF!,0)</f>
        <v>#REF!</v>
      </c>
    </row>
    <row r="172" spans="1:16" s="97" customFormat="1" x14ac:dyDescent="0.25">
      <c r="A172" s="21" t="s">
        <v>1044</v>
      </c>
      <c r="B172" s="22" t="s">
        <v>1038</v>
      </c>
      <c r="C172" s="23" t="s">
        <v>1033</v>
      </c>
      <c r="D172" s="69" t="s">
        <v>28</v>
      </c>
      <c r="E172" s="23" t="s">
        <v>667</v>
      </c>
      <c r="F172" s="23" t="s">
        <v>1964</v>
      </c>
      <c r="G172" s="69" t="s">
        <v>167</v>
      </c>
      <c r="H172" s="69" t="s">
        <v>570</v>
      </c>
      <c r="I172" s="23"/>
      <c r="J172" s="24" t="s">
        <v>708</v>
      </c>
      <c r="K172" s="108">
        <f>ROUND(Tableau14[[#This Row],[LEN]]*7.27,0)</f>
        <v>334</v>
      </c>
      <c r="L172" s="108">
        <v>15</v>
      </c>
      <c r="M172" s="126" t="str">
        <f t="shared" si="1"/>
        <v>none</v>
      </c>
      <c r="N172" s="108">
        <f>LEN(Tableau14[[#This Row],[LABEL]])</f>
        <v>46</v>
      </c>
      <c r="O172" s="108">
        <v>15</v>
      </c>
      <c r="P172" s="108" t="e">
        <f>ROUND(Tableau14[[#This Row],[LEN]]*#REF!+#REF!,0)</f>
        <v>#REF!</v>
      </c>
    </row>
    <row r="173" spans="1:16" s="97" customFormat="1" x14ac:dyDescent="0.25">
      <c r="A173" s="21" t="s">
        <v>1045</v>
      </c>
      <c r="B173" s="22" t="s">
        <v>1038</v>
      </c>
      <c r="C173" s="23" t="s">
        <v>1034</v>
      </c>
      <c r="D173" s="69" t="s">
        <v>28</v>
      </c>
      <c r="E173" s="23" t="s">
        <v>667</v>
      </c>
      <c r="F173" s="23" t="s">
        <v>1964</v>
      </c>
      <c r="G173" s="69" t="s">
        <v>167</v>
      </c>
      <c r="H173" s="69" t="s">
        <v>570</v>
      </c>
      <c r="I173" s="23"/>
      <c r="J173" s="24" t="s">
        <v>708</v>
      </c>
      <c r="K173" s="108">
        <f>ROUND(Tableau14[[#This Row],[LEN]]*7.27,0)</f>
        <v>393</v>
      </c>
      <c r="L173" s="108">
        <v>15</v>
      </c>
      <c r="M173" s="126" t="str">
        <f t="shared" si="1"/>
        <v>none</v>
      </c>
      <c r="N173" s="108">
        <f>LEN(Tableau14[[#This Row],[LABEL]])</f>
        <v>54</v>
      </c>
      <c r="O173" s="108">
        <v>15</v>
      </c>
      <c r="P173" s="108" t="e">
        <f>ROUND(Tableau14[[#This Row],[LEN]]*#REF!+#REF!,0)</f>
        <v>#REF!</v>
      </c>
    </row>
    <row r="174" spans="1:16" s="97" customFormat="1" x14ac:dyDescent="0.25">
      <c r="A174" s="21" t="s">
        <v>1046</v>
      </c>
      <c r="B174" s="22" t="s">
        <v>1038</v>
      </c>
      <c r="C174" s="23" t="s">
        <v>1035</v>
      </c>
      <c r="D174" s="69" t="s">
        <v>28</v>
      </c>
      <c r="E174" s="23" t="s">
        <v>667</v>
      </c>
      <c r="F174" s="23" t="s">
        <v>1964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ROUND(Tableau14[[#This Row],[LEN]]*7.27,0)</f>
        <v>320</v>
      </c>
      <c r="L174" s="108">
        <v>15</v>
      </c>
      <c r="M174" s="126" t="str">
        <f t="shared" si="1"/>
        <v>none</v>
      </c>
      <c r="N174" s="108">
        <f>LEN(Tableau14[[#This Row],[LABEL]])</f>
        <v>44</v>
      </c>
      <c r="O174" s="108">
        <v>15</v>
      </c>
      <c r="P174" s="108" t="e">
        <f>ROUND(Tableau14[[#This Row],[LEN]]*#REF!+#REF!,0)</f>
        <v>#REF!</v>
      </c>
    </row>
    <row r="175" spans="1:16" s="97" customFormat="1" x14ac:dyDescent="0.25">
      <c r="A175" s="21" t="s">
        <v>1047</v>
      </c>
      <c r="B175" s="22" t="s">
        <v>1038</v>
      </c>
      <c r="C175" s="23" t="s">
        <v>1036</v>
      </c>
      <c r="D175" s="69" t="s">
        <v>28</v>
      </c>
      <c r="E175" s="23" t="s">
        <v>667</v>
      </c>
      <c r="F175" s="23" t="s">
        <v>1964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ROUND(Tableau14[[#This Row],[LEN]]*7.27,0)</f>
        <v>95</v>
      </c>
      <c r="L175" s="108">
        <v>15</v>
      </c>
      <c r="M175" s="126" t="str">
        <f t="shared" si="1"/>
        <v>none</v>
      </c>
      <c r="N175" s="108">
        <f>LEN(Tableau14[[#This Row],[LABEL]])</f>
        <v>13</v>
      </c>
      <c r="O175" s="108">
        <v>15</v>
      </c>
      <c r="P175" s="108" t="e">
        <f>ROUND(Tableau14[[#This Row],[LEN]]*#REF!+#REF!,0)</f>
        <v>#REF!</v>
      </c>
    </row>
    <row r="176" spans="1:16" s="97" customFormat="1" x14ac:dyDescent="0.25">
      <c r="A176" s="21" t="s">
        <v>1048</v>
      </c>
      <c r="B176" s="22" t="s">
        <v>1038</v>
      </c>
      <c r="C176" s="23" t="s">
        <v>1037</v>
      </c>
      <c r="D176" s="69" t="s">
        <v>28</v>
      </c>
      <c r="E176" s="23" t="s">
        <v>667</v>
      </c>
      <c r="F176" s="23" t="s">
        <v>1964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ROUND(Tableau14[[#This Row],[LEN]]*7.27,0)</f>
        <v>124</v>
      </c>
      <c r="L176" s="108">
        <v>15</v>
      </c>
      <c r="M176" s="126" t="str">
        <f t="shared" si="1"/>
        <v>none</v>
      </c>
      <c r="N176" s="108">
        <f>LEN(Tableau14[[#This Row],[LABEL]])</f>
        <v>17</v>
      </c>
      <c r="O176" s="108">
        <v>15</v>
      </c>
      <c r="P176" s="108" t="e">
        <f>ROUND(Tableau14[[#This Row],[LEN]]*#REF!+#REF!,0)</f>
        <v>#REF!</v>
      </c>
    </row>
    <row r="177" spans="1:16" s="97" customFormat="1" x14ac:dyDescent="0.25">
      <c r="A177" s="17" t="s">
        <v>1039</v>
      </c>
      <c r="B177" s="18" t="s">
        <v>246</v>
      </c>
      <c r="C177" s="19" t="s">
        <v>136</v>
      </c>
      <c r="D177" s="68" t="s">
        <v>28</v>
      </c>
      <c r="E177" s="19" t="s">
        <v>669</v>
      </c>
      <c r="F177" s="19" t="s">
        <v>704</v>
      </c>
      <c r="G177" s="68" t="s">
        <v>167</v>
      </c>
      <c r="H177" s="68" t="s">
        <v>656</v>
      </c>
      <c r="I177" s="19"/>
      <c r="J177" s="20" t="s">
        <v>708</v>
      </c>
      <c r="K177" s="107">
        <f>ROUND(Tableau14[[#This Row],[LEN]]*7.27,0)</f>
        <v>174</v>
      </c>
      <c r="L177" s="107">
        <v>15</v>
      </c>
      <c r="M177" s="125" t="str">
        <f t="shared" si="1"/>
        <v>none</v>
      </c>
      <c r="N177" s="107">
        <f>LEN(Tableau14[[#This Row],[LABEL]])</f>
        <v>24</v>
      </c>
      <c r="O177" s="107">
        <v>15</v>
      </c>
      <c r="P177" s="107" t="e">
        <f>ROUND(Tableau14[[#This Row],[LEN]]*#REF!+#REF!,0)</f>
        <v>#REF!</v>
      </c>
    </row>
    <row r="178" spans="1:16" s="97" customFormat="1" x14ac:dyDescent="0.25">
      <c r="A178" s="17" t="s">
        <v>1040</v>
      </c>
      <c r="B178" s="18" t="s">
        <v>246</v>
      </c>
      <c r="C178" s="19" t="s">
        <v>971</v>
      </c>
      <c r="D178" s="68" t="s">
        <v>28</v>
      </c>
      <c r="E178" s="19" t="s">
        <v>667</v>
      </c>
      <c r="F178" s="19" t="s">
        <v>973</v>
      </c>
      <c r="G178" s="68" t="s">
        <v>167</v>
      </c>
      <c r="H178" s="68" t="s">
        <v>570</v>
      </c>
      <c r="I178" s="19"/>
      <c r="J178" s="20" t="s">
        <v>708</v>
      </c>
      <c r="K178" s="107">
        <f>ROUND(Tableau14[[#This Row],[LEN]]*7.27,0)</f>
        <v>385</v>
      </c>
      <c r="L178" s="107">
        <v>15</v>
      </c>
      <c r="M178" s="125" t="str">
        <f t="shared" si="1"/>
        <v>none</v>
      </c>
      <c r="N178" s="107">
        <f>LEN(Tableau14[[#This Row],[LABEL]])</f>
        <v>53</v>
      </c>
      <c r="O178" s="107">
        <v>15</v>
      </c>
      <c r="P178" s="107" t="e">
        <f>ROUND(Tableau14[[#This Row],[LEN]]*#REF!+#REF!,0)</f>
        <v>#REF!</v>
      </c>
    </row>
    <row r="179" spans="1:16" s="97" customFormat="1" x14ac:dyDescent="0.25">
      <c r="A179" s="17" t="s">
        <v>1041</v>
      </c>
      <c r="B179" s="18" t="s">
        <v>246</v>
      </c>
      <c r="C179" s="19" t="s">
        <v>110</v>
      </c>
      <c r="D179" s="68" t="s">
        <v>28</v>
      </c>
      <c r="E179" s="19" t="s">
        <v>1177</v>
      </c>
      <c r="F179" s="19" t="s">
        <v>1084</v>
      </c>
      <c r="G179" s="68" t="s">
        <v>1977</v>
      </c>
      <c r="H179" s="68" t="s">
        <v>1131</v>
      </c>
      <c r="I179" s="19"/>
      <c r="J179" s="20" t="s">
        <v>708</v>
      </c>
      <c r="K179" s="107">
        <f>ROUND(Tableau14[[#This Row],[LEN]]*7.27,0)</f>
        <v>102</v>
      </c>
      <c r="L179" s="107">
        <v>15</v>
      </c>
      <c r="M179" s="125" t="str">
        <f t="shared" si="1"/>
        <v>none</v>
      </c>
      <c r="N179" s="107">
        <f>LEN(Tableau14[[#This Row],[LABEL]])</f>
        <v>14</v>
      </c>
      <c r="O179" s="107">
        <v>15</v>
      </c>
      <c r="P179" s="107" t="e">
        <f>ROUND(Tableau14[[#This Row],[LEN]]*#REF!+#REF!,0)</f>
        <v>#REF!</v>
      </c>
    </row>
    <row r="180" spans="1:16" s="273" customFormat="1" x14ac:dyDescent="0.25">
      <c r="A180" s="274" t="s">
        <v>247</v>
      </c>
      <c r="B180" s="275" t="s">
        <v>205</v>
      </c>
      <c r="C180" s="276" t="s">
        <v>15</v>
      </c>
      <c r="D180" s="277" t="s">
        <v>28</v>
      </c>
      <c r="E180" s="276" t="s">
        <v>679</v>
      </c>
      <c r="F180" s="276" t="s">
        <v>679</v>
      </c>
      <c r="G180" s="277" t="s">
        <v>167</v>
      </c>
      <c r="H180" s="277" t="str">
        <f>IFERROR(IF(SEARCH(".00.00.00.00.00",Tableau14[[#This Row],[name]],1)=7,"Division",""),"")</f>
        <v>Division</v>
      </c>
      <c r="I180" s="276"/>
      <c r="J180" s="278" t="s">
        <v>725</v>
      </c>
      <c r="K180" s="279">
        <f>ROUND(Tableau14[[#This Row],[LEN]]*7.27,0)</f>
        <v>174</v>
      </c>
      <c r="L180" s="279">
        <v>15</v>
      </c>
      <c r="M180" s="280" t="str">
        <f t="shared" si="1"/>
        <v>new</v>
      </c>
      <c r="N180" s="279">
        <f>LEN(Tableau14[[#This Row],[LABEL]])</f>
        <v>24</v>
      </c>
      <c r="O180" s="279">
        <v>15</v>
      </c>
      <c r="P180" s="279" t="e">
        <f>ROUND(Tableau14[[#This Row],[LEN]]*#REF!+#REF!,0)</f>
        <v>#REF!</v>
      </c>
    </row>
    <row r="181" spans="1:16" s="97" customFormat="1" x14ac:dyDescent="0.25">
      <c r="A181" s="17" t="s">
        <v>1049</v>
      </c>
      <c r="B181" s="18" t="s">
        <v>247</v>
      </c>
      <c r="C181" s="19" t="s">
        <v>81</v>
      </c>
      <c r="D181" s="68" t="s">
        <v>28</v>
      </c>
      <c r="E181" s="19" t="s">
        <v>667</v>
      </c>
      <c r="F181" s="19" t="s">
        <v>1964</v>
      </c>
      <c r="G181" s="68" t="s">
        <v>167</v>
      </c>
      <c r="H181" s="68" t="s">
        <v>655</v>
      </c>
      <c r="I181" s="19"/>
      <c r="J181" s="20" t="s">
        <v>708</v>
      </c>
      <c r="K181" s="107">
        <f>ROUND(Tableau14[[#This Row],[LEN]]*7.27,0)</f>
        <v>73</v>
      </c>
      <c r="L181" s="107">
        <v>15</v>
      </c>
      <c r="M181" s="125" t="str">
        <f t="shared" si="1"/>
        <v>none</v>
      </c>
      <c r="N181" s="107">
        <f>LEN(Tableau14[[#This Row],[LABEL]])</f>
        <v>10</v>
      </c>
      <c r="O181" s="107">
        <v>15</v>
      </c>
      <c r="P181" s="107" t="e">
        <f>ROUND(Tableau14[[#This Row],[LEN]]*#REF!+#REF!,0)</f>
        <v>#REF!</v>
      </c>
    </row>
    <row r="182" spans="1:16" s="97" customFormat="1" x14ac:dyDescent="0.25">
      <c r="A182" s="21" t="s">
        <v>1051</v>
      </c>
      <c r="B182" s="22" t="s">
        <v>1049</v>
      </c>
      <c r="C182" s="23" t="s">
        <v>1031</v>
      </c>
      <c r="D182" s="69" t="s">
        <v>28</v>
      </c>
      <c r="E182" s="23" t="s">
        <v>667</v>
      </c>
      <c r="F182" s="23" t="s">
        <v>1964</v>
      </c>
      <c r="G182" s="69" t="s">
        <v>167</v>
      </c>
      <c r="H182" s="69" t="s">
        <v>570</v>
      </c>
      <c r="I182" s="23"/>
      <c r="J182" s="24" t="s">
        <v>708</v>
      </c>
      <c r="K182" s="108">
        <f>ROUND(Tableau14[[#This Row],[LEN]]*7.27,0)</f>
        <v>167</v>
      </c>
      <c r="L182" s="108">
        <v>15</v>
      </c>
      <c r="M182" s="126" t="str">
        <f t="shared" si="1"/>
        <v>none</v>
      </c>
      <c r="N182" s="108">
        <f>LEN(Tableau14[[#This Row],[LABEL]])</f>
        <v>23</v>
      </c>
      <c r="O182" s="108">
        <v>15</v>
      </c>
      <c r="P182" s="108" t="e">
        <f>ROUND(Tableau14[[#This Row],[LEN]]*#REF!+#REF!,0)</f>
        <v>#REF!</v>
      </c>
    </row>
    <row r="183" spans="1:16" s="97" customFormat="1" x14ac:dyDescent="0.25">
      <c r="A183" s="21" t="s">
        <v>1052</v>
      </c>
      <c r="B183" s="22" t="s">
        <v>1049</v>
      </c>
      <c r="C183" s="23" t="s">
        <v>1032</v>
      </c>
      <c r="D183" s="69" t="s">
        <v>28</v>
      </c>
      <c r="E183" s="23" t="s">
        <v>667</v>
      </c>
      <c r="F183" s="23" t="s">
        <v>1964</v>
      </c>
      <c r="G183" s="69" t="s">
        <v>167</v>
      </c>
      <c r="H183" s="69" t="s">
        <v>570</v>
      </c>
      <c r="I183" s="23"/>
      <c r="J183" s="24" t="s">
        <v>708</v>
      </c>
      <c r="K183" s="108">
        <f>ROUND(Tableau14[[#This Row],[LEN]]*7.27,0)</f>
        <v>153</v>
      </c>
      <c r="L183" s="108">
        <v>15</v>
      </c>
      <c r="M183" s="126" t="str">
        <f t="shared" si="1"/>
        <v>none</v>
      </c>
      <c r="N183" s="108">
        <f>LEN(Tableau14[[#This Row],[LABEL]])</f>
        <v>21</v>
      </c>
      <c r="O183" s="108">
        <v>15</v>
      </c>
      <c r="P183" s="108" t="e">
        <f>ROUND(Tableau14[[#This Row],[LEN]]*#REF!+#REF!,0)</f>
        <v>#REF!</v>
      </c>
    </row>
    <row r="184" spans="1:16" s="97" customFormat="1" x14ac:dyDescent="0.25">
      <c r="A184" s="21" t="s">
        <v>1053</v>
      </c>
      <c r="B184" s="22" t="s">
        <v>1049</v>
      </c>
      <c r="C184" s="23" t="s">
        <v>1033</v>
      </c>
      <c r="D184" s="69" t="s">
        <v>28</v>
      </c>
      <c r="E184" s="23" t="s">
        <v>667</v>
      </c>
      <c r="F184" s="23" t="s">
        <v>1964</v>
      </c>
      <c r="G184" s="69" t="s">
        <v>167</v>
      </c>
      <c r="H184" s="69" t="s">
        <v>570</v>
      </c>
      <c r="I184" s="23"/>
      <c r="J184" s="24" t="s">
        <v>708</v>
      </c>
      <c r="K184" s="108">
        <f>ROUND(Tableau14[[#This Row],[LEN]]*7.27,0)</f>
        <v>334</v>
      </c>
      <c r="L184" s="108">
        <v>15</v>
      </c>
      <c r="M184" s="126" t="str">
        <f t="shared" si="1"/>
        <v>none</v>
      </c>
      <c r="N184" s="108">
        <f>LEN(Tableau14[[#This Row],[LABEL]])</f>
        <v>46</v>
      </c>
      <c r="O184" s="108">
        <v>15</v>
      </c>
      <c r="P184" s="108" t="e">
        <f>ROUND(Tableau14[[#This Row],[LEN]]*#REF!+#REF!,0)</f>
        <v>#REF!</v>
      </c>
    </row>
    <row r="185" spans="1:16" s="97" customFormat="1" x14ac:dyDescent="0.25">
      <c r="A185" s="21" t="s">
        <v>1054</v>
      </c>
      <c r="B185" s="22" t="s">
        <v>1049</v>
      </c>
      <c r="C185" s="23" t="s">
        <v>1034</v>
      </c>
      <c r="D185" s="69" t="s">
        <v>28</v>
      </c>
      <c r="E185" s="23" t="s">
        <v>667</v>
      </c>
      <c r="F185" s="23" t="s">
        <v>1964</v>
      </c>
      <c r="G185" s="69" t="s">
        <v>167</v>
      </c>
      <c r="H185" s="69" t="s">
        <v>570</v>
      </c>
      <c r="I185" s="23"/>
      <c r="J185" s="24" t="s">
        <v>708</v>
      </c>
      <c r="K185" s="108">
        <f>ROUND(Tableau14[[#This Row],[LEN]]*7.27,0)</f>
        <v>393</v>
      </c>
      <c r="L185" s="108">
        <v>15</v>
      </c>
      <c r="M185" s="126" t="str">
        <f t="shared" si="1"/>
        <v>none</v>
      </c>
      <c r="N185" s="108">
        <f>LEN(Tableau14[[#This Row],[LABEL]])</f>
        <v>54</v>
      </c>
      <c r="O185" s="108">
        <v>15</v>
      </c>
      <c r="P185" s="108" t="e">
        <f>ROUND(Tableau14[[#This Row],[LEN]]*#REF!+#REF!,0)</f>
        <v>#REF!</v>
      </c>
    </row>
    <row r="186" spans="1:16" s="97" customFormat="1" x14ac:dyDescent="0.25">
      <c r="A186" s="21" t="s">
        <v>1055</v>
      </c>
      <c r="B186" s="22" t="s">
        <v>1049</v>
      </c>
      <c r="C186" s="23" t="s">
        <v>1035</v>
      </c>
      <c r="D186" s="69" t="s">
        <v>28</v>
      </c>
      <c r="E186" s="23" t="s">
        <v>667</v>
      </c>
      <c r="F186" s="23" t="s">
        <v>1964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ROUND(Tableau14[[#This Row],[LEN]]*7.27,0)</f>
        <v>320</v>
      </c>
      <c r="L186" s="108">
        <v>15</v>
      </c>
      <c r="M186" s="126" t="str">
        <f t="shared" si="1"/>
        <v>none</v>
      </c>
      <c r="N186" s="108">
        <f>LEN(Tableau14[[#This Row],[LABEL]])</f>
        <v>44</v>
      </c>
      <c r="O186" s="108">
        <v>15</v>
      </c>
      <c r="P186" s="108" t="e">
        <f>ROUND(Tableau14[[#This Row],[LEN]]*#REF!+#REF!,0)</f>
        <v>#REF!</v>
      </c>
    </row>
    <row r="187" spans="1:16" s="97" customFormat="1" x14ac:dyDescent="0.25">
      <c r="A187" s="21" t="s">
        <v>1056</v>
      </c>
      <c r="B187" s="22" t="s">
        <v>1049</v>
      </c>
      <c r="C187" s="23" t="s">
        <v>1036</v>
      </c>
      <c r="D187" s="69" t="s">
        <v>28</v>
      </c>
      <c r="E187" s="23" t="s">
        <v>667</v>
      </c>
      <c r="F187" s="23" t="s">
        <v>1964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ROUND(Tableau14[[#This Row],[LEN]]*7.27,0)</f>
        <v>95</v>
      </c>
      <c r="L187" s="108">
        <v>15</v>
      </c>
      <c r="M187" s="126" t="str">
        <f t="shared" si="1"/>
        <v>none</v>
      </c>
      <c r="N187" s="108">
        <f>LEN(Tableau14[[#This Row],[LABEL]])</f>
        <v>13</v>
      </c>
      <c r="O187" s="108">
        <v>15</v>
      </c>
      <c r="P187" s="108" t="e">
        <f>ROUND(Tableau14[[#This Row],[LEN]]*#REF!+#REF!,0)</f>
        <v>#REF!</v>
      </c>
    </row>
    <row r="188" spans="1:16" s="97" customFormat="1" x14ac:dyDescent="0.25">
      <c r="A188" s="21" t="s">
        <v>1057</v>
      </c>
      <c r="B188" s="22" t="s">
        <v>1049</v>
      </c>
      <c r="C188" s="23" t="s">
        <v>1037</v>
      </c>
      <c r="D188" s="69" t="s">
        <v>28</v>
      </c>
      <c r="E188" s="23" t="s">
        <v>667</v>
      </c>
      <c r="F188" s="23" t="s">
        <v>1964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ROUND(Tableau14[[#This Row],[LEN]]*7.27,0)</f>
        <v>124</v>
      </c>
      <c r="L188" s="108">
        <v>15</v>
      </c>
      <c r="M188" s="126" t="str">
        <f t="shared" si="1"/>
        <v>none</v>
      </c>
      <c r="N188" s="108">
        <f>LEN(Tableau14[[#This Row],[LABEL]])</f>
        <v>17</v>
      </c>
      <c r="O188" s="108">
        <v>15</v>
      </c>
      <c r="P188" s="108" t="e">
        <f>ROUND(Tableau14[[#This Row],[LEN]]*#REF!+#REF!,0)</f>
        <v>#REF!</v>
      </c>
    </row>
    <row r="189" spans="1:16" s="97" customFormat="1" x14ac:dyDescent="0.25">
      <c r="A189" s="17" t="s">
        <v>1050</v>
      </c>
      <c r="B189" s="18" t="s">
        <v>247</v>
      </c>
      <c r="C189" s="19" t="s">
        <v>110</v>
      </c>
      <c r="D189" s="68" t="s">
        <v>28</v>
      </c>
      <c r="E189" s="19" t="s">
        <v>1177</v>
      </c>
      <c r="F189" s="19" t="s">
        <v>1084</v>
      </c>
      <c r="G189" s="68" t="s">
        <v>1977</v>
      </c>
      <c r="H189" s="68" t="s">
        <v>1131</v>
      </c>
      <c r="I189" s="19"/>
      <c r="J189" s="20" t="s">
        <v>708</v>
      </c>
      <c r="K189" s="107">
        <f>ROUND(Tableau14[[#This Row],[LEN]]*7.27,0)</f>
        <v>102</v>
      </c>
      <c r="L189" s="107">
        <v>15</v>
      </c>
      <c r="M189" s="125" t="str">
        <f t="shared" si="1"/>
        <v>none</v>
      </c>
      <c r="N189" s="107">
        <f>LEN(Tableau14[[#This Row],[LABEL]])</f>
        <v>14</v>
      </c>
      <c r="O189" s="107">
        <v>15</v>
      </c>
      <c r="P189" s="107" t="e">
        <f>ROUND(Tableau14[[#This Row],[LEN]]*#REF!+#REF!,0)</f>
        <v>#REF!</v>
      </c>
    </row>
    <row r="190" spans="1:16" s="273" customFormat="1" x14ac:dyDescent="0.25">
      <c r="A190" s="274" t="s">
        <v>1960</v>
      </c>
      <c r="B190" s="275" t="s">
        <v>205</v>
      </c>
      <c r="C190" s="276" t="s">
        <v>1950</v>
      </c>
      <c r="D190" s="277"/>
      <c r="E190" s="276" t="s">
        <v>1951</v>
      </c>
      <c r="F190" s="276" t="s">
        <v>1951</v>
      </c>
      <c r="G190" s="277" t="s">
        <v>167</v>
      </c>
      <c r="H190" s="277" t="s">
        <v>56</v>
      </c>
      <c r="I190" s="276"/>
      <c r="J190" s="278" t="s">
        <v>708</v>
      </c>
      <c r="K190" s="279">
        <f>ROUND(Tableau14[[#This Row],[LEN]]*7.27,0)</f>
        <v>51</v>
      </c>
      <c r="L190" s="279">
        <v>15</v>
      </c>
      <c r="M190" s="280" t="str">
        <f t="shared" si="1"/>
        <v>none</v>
      </c>
      <c r="N190" s="279">
        <f>LEN(Tableau14[[#This Row],[LABEL]])</f>
        <v>7</v>
      </c>
      <c r="O190" s="279">
        <v>15</v>
      </c>
      <c r="P190" s="279" t="e">
        <f>ROUND(Tableau14[[#This Row],[LEN]]*#REF!+#REF!,0)</f>
        <v>#REF!</v>
      </c>
    </row>
    <row r="191" spans="1:16" s="97" customFormat="1" x14ac:dyDescent="0.25">
      <c r="A191" s="17" t="s">
        <v>1961</v>
      </c>
      <c r="B191" s="18" t="s">
        <v>1960</v>
      </c>
      <c r="C191" s="19" t="s">
        <v>81</v>
      </c>
      <c r="D191" s="68" t="s">
        <v>28</v>
      </c>
      <c r="E191" s="19" t="s">
        <v>667</v>
      </c>
      <c r="F191" s="19" t="s">
        <v>1964</v>
      </c>
      <c r="G191" s="68" t="s">
        <v>167</v>
      </c>
      <c r="H191" s="68" t="s">
        <v>655</v>
      </c>
      <c r="I191" s="19"/>
      <c r="J191" s="20" t="s">
        <v>708</v>
      </c>
      <c r="K191" s="107">
        <f>ROUND(Tableau14[[#This Row],[LEN]]*7.27,0)</f>
        <v>73</v>
      </c>
      <c r="L191" s="107">
        <v>15</v>
      </c>
      <c r="M191" s="125" t="str">
        <f t="shared" si="1"/>
        <v>none</v>
      </c>
      <c r="N191" s="107">
        <f>LEN(Tableau14[[#This Row],[LABEL]])</f>
        <v>10</v>
      </c>
      <c r="O191" s="107">
        <v>15</v>
      </c>
      <c r="P191" s="107" t="e">
        <f>ROUND(Tableau14[[#This Row],[LEN]]*#REF!+#REF!,0)</f>
        <v>#REF!</v>
      </c>
    </row>
    <row r="192" spans="1:16" s="97" customFormat="1" x14ac:dyDescent="0.25">
      <c r="A192" s="21" t="s">
        <v>1970</v>
      </c>
      <c r="B192" s="22" t="s">
        <v>1961</v>
      </c>
      <c r="C192" s="23" t="s">
        <v>1967</v>
      </c>
      <c r="D192" s="69" t="s">
        <v>28</v>
      </c>
      <c r="E192" s="23" t="s">
        <v>667</v>
      </c>
      <c r="F192" s="23" t="s">
        <v>1964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ROUND(Tableau14[[#This Row],[LEN]]*7.27,0)</f>
        <v>334</v>
      </c>
      <c r="L192" s="108">
        <v>15</v>
      </c>
      <c r="M192" s="126" t="str">
        <f t="shared" si="1"/>
        <v>none</v>
      </c>
      <c r="N192" s="108">
        <f>LEN(Tableau14[[#This Row],[LABEL]])</f>
        <v>46</v>
      </c>
      <c r="O192" s="108">
        <v>15</v>
      </c>
      <c r="P192" s="108" t="e">
        <f>ROUND(Tableau14[[#This Row],[LEN]]*#REF!+#REF!,0)</f>
        <v>#REF!</v>
      </c>
    </row>
    <row r="193" spans="1:16" s="97" customFormat="1" x14ac:dyDescent="0.25">
      <c r="A193" s="21" t="s">
        <v>1971</v>
      </c>
      <c r="B193" s="22" t="s">
        <v>1961</v>
      </c>
      <c r="C193" s="23" t="s">
        <v>1974</v>
      </c>
      <c r="D193" s="69" t="s">
        <v>1969</v>
      </c>
      <c r="E193" s="23" t="s">
        <v>667</v>
      </c>
      <c r="F193" s="23" t="s">
        <v>1964</v>
      </c>
      <c r="G193" s="69" t="s">
        <v>167</v>
      </c>
      <c r="H193" s="69" t="s">
        <v>570</v>
      </c>
      <c r="I193" s="23"/>
      <c r="J193" s="24" t="s">
        <v>708</v>
      </c>
      <c r="K193" s="108">
        <f>ROUND(Tableau14[[#This Row],[LEN]]*7.27,0)</f>
        <v>262</v>
      </c>
      <c r="L193" s="108">
        <v>15</v>
      </c>
      <c r="M193" s="126" t="str">
        <f t="shared" si="1"/>
        <v>none</v>
      </c>
      <c r="N193" s="108">
        <f>LEN(Tableau14[[#This Row],[LABEL]])</f>
        <v>36</v>
      </c>
      <c r="O193" s="108">
        <v>15</v>
      </c>
      <c r="P193" s="108" t="e">
        <f>ROUND(Tableau14[[#This Row],[LEN]]*#REF!+#REF!,0)</f>
        <v>#REF!</v>
      </c>
    </row>
    <row r="194" spans="1:16" s="97" customFormat="1" x14ac:dyDescent="0.25">
      <c r="A194" s="21" t="s">
        <v>1972</v>
      </c>
      <c r="B194" s="22" t="s">
        <v>1961</v>
      </c>
      <c r="C194" s="23" t="s">
        <v>1976</v>
      </c>
      <c r="D194" s="69" t="s">
        <v>28</v>
      </c>
      <c r="E194" s="23" t="s">
        <v>667</v>
      </c>
      <c r="F194" s="23" t="s">
        <v>1964</v>
      </c>
      <c r="G194" s="69" t="s">
        <v>167</v>
      </c>
      <c r="H194" s="69" t="s">
        <v>570</v>
      </c>
      <c r="I194" s="23"/>
      <c r="J194" s="24" t="s">
        <v>708</v>
      </c>
      <c r="K194" s="108">
        <f>ROUND(Tableau14[[#This Row],[LEN]]*7.27,0)</f>
        <v>443</v>
      </c>
      <c r="L194" s="108">
        <v>15</v>
      </c>
      <c r="M194" s="126" t="str">
        <f t="shared" si="1"/>
        <v>none</v>
      </c>
      <c r="N194" s="108">
        <f>LEN(Tableau14[[#This Row],[LABEL]])</f>
        <v>61</v>
      </c>
      <c r="O194" s="108">
        <v>15</v>
      </c>
      <c r="P194" s="108" t="e">
        <f>ROUND(Tableau14[[#This Row],[LEN]]*#REF!+#REF!,0)</f>
        <v>#REF!</v>
      </c>
    </row>
    <row r="195" spans="1:16" s="97" customFormat="1" x14ac:dyDescent="0.25">
      <c r="A195" s="21" t="s">
        <v>1973</v>
      </c>
      <c r="B195" s="22" t="s">
        <v>1961</v>
      </c>
      <c r="C195" s="23" t="s">
        <v>1975</v>
      </c>
      <c r="D195" s="69" t="s">
        <v>1968</v>
      </c>
      <c r="E195" s="23" t="s">
        <v>667</v>
      </c>
      <c r="F195" s="23" t="s">
        <v>1964</v>
      </c>
      <c r="G195" s="69" t="s">
        <v>167</v>
      </c>
      <c r="H195" s="69" t="s">
        <v>570</v>
      </c>
      <c r="I195" s="23"/>
      <c r="J195" s="24" t="s">
        <v>708</v>
      </c>
      <c r="K195" s="108">
        <f>ROUND(Tableau14[[#This Row],[LEN]]*7.27,0)</f>
        <v>167</v>
      </c>
      <c r="L195" s="108">
        <v>15</v>
      </c>
      <c r="M195" s="126" t="str">
        <f t="shared" si="1"/>
        <v>none</v>
      </c>
      <c r="N195" s="108">
        <f>LEN(Tableau14[[#This Row],[LABEL]])</f>
        <v>23</v>
      </c>
      <c r="O195" s="108">
        <v>15</v>
      </c>
      <c r="P195" s="108" t="e">
        <f>ROUND(Tableau14[[#This Row],[LEN]]*#REF!+#REF!,0)</f>
        <v>#REF!</v>
      </c>
    </row>
    <row r="196" spans="1:16" s="97" customFormat="1" ht="15.75" thickBot="1" x14ac:dyDescent="0.3">
      <c r="A196" s="17" t="s">
        <v>1962</v>
      </c>
      <c r="B196" s="18" t="s">
        <v>1960</v>
      </c>
      <c r="C196" s="19" t="s">
        <v>110</v>
      </c>
      <c r="D196" s="68" t="s">
        <v>28</v>
      </c>
      <c r="E196" s="19" t="s">
        <v>1177</v>
      </c>
      <c r="F196" s="19" t="s">
        <v>1084</v>
      </c>
      <c r="G196" s="68" t="s">
        <v>1977</v>
      </c>
      <c r="H196" s="68" t="s">
        <v>1131</v>
      </c>
      <c r="I196" s="19"/>
      <c r="J196" s="20" t="s">
        <v>708</v>
      </c>
      <c r="K196" s="107">
        <f>ROUND(Tableau14[[#This Row],[LEN]]*7.27,0)</f>
        <v>102</v>
      </c>
      <c r="L196" s="107">
        <v>15</v>
      </c>
      <c r="M196" s="125" t="str">
        <f t="shared" si="1"/>
        <v>none</v>
      </c>
      <c r="N196" s="107">
        <f>LEN(Tableau14[[#This Row],[LABEL]])</f>
        <v>14</v>
      </c>
      <c r="O196" s="107">
        <v>15</v>
      </c>
      <c r="P196" s="107" t="e">
        <f>ROUND(Tableau14[[#This Row],[LEN]]*#REF!+#REF!,0)</f>
        <v>#REF!</v>
      </c>
    </row>
    <row r="197" spans="1:16" s="97" customFormat="1" ht="15.75" thickTop="1" x14ac:dyDescent="0.25">
      <c r="A197" s="156" t="s">
        <v>201</v>
      </c>
      <c r="B197" s="156" t="s">
        <v>198</v>
      </c>
      <c r="C197" s="157" t="s">
        <v>1160</v>
      </c>
      <c r="D197" s="157" t="s">
        <v>182</v>
      </c>
      <c r="E197" s="158" t="s">
        <v>58</v>
      </c>
      <c r="F197" s="157" t="s">
        <v>665</v>
      </c>
      <c r="G197" s="158" t="s">
        <v>171</v>
      </c>
      <c r="H197" s="158" t="s">
        <v>615</v>
      </c>
      <c r="I197" s="157"/>
      <c r="J197" s="159" t="s">
        <v>707</v>
      </c>
      <c r="K197" s="160">
        <f>ROUND(Tableau14[[#This Row],[LEN]]*7.27,0)</f>
        <v>58</v>
      </c>
      <c r="L197" s="160">
        <v>15</v>
      </c>
      <c r="M197" s="161" t="str">
        <f t="shared" si="1"/>
        <v>new</v>
      </c>
      <c r="N197" s="160">
        <f>LEN(Tableau14[[#This Row],[LABEL]])</f>
        <v>8</v>
      </c>
      <c r="O197" s="162">
        <v>15</v>
      </c>
      <c r="P197" s="162" t="e">
        <f>ROUND(Tableau14[[#This Row],[LEN]]*#REF!+#REF!,0)</f>
        <v>#REF!</v>
      </c>
    </row>
    <row r="198" spans="1:16" s="97" customFormat="1" ht="15.75" thickBot="1" x14ac:dyDescent="0.3">
      <c r="A198" s="170" t="s">
        <v>206</v>
      </c>
      <c r="B198" s="170" t="s">
        <v>201</v>
      </c>
      <c r="C198" s="171" t="s">
        <v>174</v>
      </c>
      <c r="D198" s="172" t="s">
        <v>186</v>
      </c>
      <c r="E198" s="171" t="s">
        <v>58</v>
      </c>
      <c r="F198" s="172"/>
      <c r="G198" s="171" t="s">
        <v>166</v>
      </c>
      <c r="H198" s="171" t="s">
        <v>616</v>
      </c>
      <c r="I198" s="172"/>
      <c r="J198" s="173" t="s">
        <v>708</v>
      </c>
      <c r="K198" s="174">
        <f>ROUND(Tableau14[[#This Row],[LEN]]*7.27,0)</f>
        <v>65</v>
      </c>
      <c r="L198" s="174">
        <v>15</v>
      </c>
      <c r="M198" s="175" t="str">
        <f t="shared" si="1"/>
        <v>none</v>
      </c>
      <c r="N198" s="174">
        <f>LEN(Tableau14[[#This Row],[LABEL]])</f>
        <v>9</v>
      </c>
      <c r="O198" s="176">
        <v>15</v>
      </c>
      <c r="P198" s="176" t="e">
        <f>ROUND(Tableau14[[#This Row],[LEN]]*#REF!+#REF!,0)</f>
        <v>#REF!</v>
      </c>
    </row>
    <row r="199" spans="1:16" s="92" customFormat="1" ht="15.75" thickTop="1" x14ac:dyDescent="0.25">
      <c r="A199" s="288" t="s">
        <v>249</v>
      </c>
      <c r="B199" s="289" t="s">
        <v>206</v>
      </c>
      <c r="C199" s="290" t="s">
        <v>57</v>
      </c>
      <c r="D199" s="291" t="s">
        <v>28</v>
      </c>
      <c r="E199" s="290" t="s">
        <v>663</v>
      </c>
      <c r="F199" s="290" t="s">
        <v>663</v>
      </c>
      <c r="G199" s="291" t="s">
        <v>166</v>
      </c>
      <c r="H199" s="291" t="str">
        <f>IFERROR(IF(SEARCH(".00.00.00.00.00",Tableau14[[#This Row],[name]],1)=7,"Division",""),"")</f>
        <v>Division</v>
      </c>
      <c r="I199" s="290"/>
      <c r="J199" s="292" t="s">
        <v>709</v>
      </c>
      <c r="K199" s="293">
        <f>ROUND(Tableau14[[#This Row],[LEN]]*7.27,0)</f>
        <v>102</v>
      </c>
      <c r="L199" s="293">
        <v>15</v>
      </c>
      <c r="M199" s="294" t="str">
        <f t="shared" si="1"/>
        <v>new</v>
      </c>
      <c r="N199" s="293">
        <f>LEN(Tableau14[[#This Row],[LABEL]])</f>
        <v>14</v>
      </c>
      <c r="O199" s="293">
        <v>15</v>
      </c>
      <c r="P199" s="293" t="e">
        <f>ROUND(Tableau14[[#This Row],[LEN]]*#REF!+#REF!,0)</f>
        <v>#REF!</v>
      </c>
    </row>
    <row r="200" spans="1:16" s="97" customFormat="1" x14ac:dyDescent="0.25">
      <c r="A200" s="25" t="s">
        <v>760</v>
      </c>
      <c r="B200" s="26" t="s">
        <v>249</v>
      </c>
      <c r="C200" s="27" t="s">
        <v>774</v>
      </c>
      <c r="D200" s="70" t="s">
        <v>28</v>
      </c>
      <c r="E200" s="27" t="s">
        <v>663</v>
      </c>
      <c r="F200" s="27" t="s">
        <v>663</v>
      </c>
      <c r="G200" s="70" t="s">
        <v>166</v>
      </c>
      <c r="H200" s="70" t="s">
        <v>656</v>
      </c>
      <c r="I200" s="27"/>
      <c r="J200" s="28" t="s">
        <v>708</v>
      </c>
      <c r="K200" s="109">
        <f>ROUND(Tableau14[[#This Row],[LEN]]*7.27,0)</f>
        <v>393</v>
      </c>
      <c r="L200" s="109">
        <v>15</v>
      </c>
      <c r="M200" s="127" t="str">
        <f t="shared" si="1"/>
        <v>none</v>
      </c>
      <c r="N200" s="109">
        <f>LEN(Tableau14[[#This Row],[LABEL]])</f>
        <v>54</v>
      </c>
      <c r="O200" s="109">
        <v>15</v>
      </c>
      <c r="P200" s="109" t="e">
        <f>ROUND(Tableau14[[#This Row],[LEN]]*#REF!+#REF!,0)</f>
        <v>#REF!</v>
      </c>
    </row>
    <row r="201" spans="1:16" s="97" customFormat="1" x14ac:dyDescent="0.25">
      <c r="A201" s="25" t="s">
        <v>761</v>
      </c>
      <c r="B201" s="26" t="s">
        <v>249</v>
      </c>
      <c r="C201" s="27" t="s">
        <v>781</v>
      </c>
      <c r="D201" s="70" t="s">
        <v>28</v>
      </c>
      <c r="E201" s="27" t="s">
        <v>663</v>
      </c>
      <c r="F201" s="27" t="s">
        <v>663</v>
      </c>
      <c r="G201" s="70" t="s">
        <v>166</v>
      </c>
      <c r="H201" s="70" t="s">
        <v>655</v>
      </c>
      <c r="I201" s="27"/>
      <c r="J201" s="28" t="s">
        <v>708</v>
      </c>
      <c r="K201" s="109">
        <f>ROUND(Tableau14[[#This Row],[LEN]]*7.27,0)</f>
        <v>218</v>
      </c>
      <c r="L201" s="109">
        <v>15</v>
      </c>
      <c r="M201" s="127" t="str">
        <f t="shared" si="1"/>
        <v>none</v>
      </c>
      <c r="N201" s="109">
        <f>LEN(Tableau14[[#This Row],[LABEL]])</f>
        <v>30</v>
      </c>
      <c r="O201" s="109">
        <v>15</v>
      </c>
      <c r="P201" s="109" t="e">
        <f>ROUND(Tableau14[[#This Row],[LEN]]*#REF!+#REF!,0)</f>
        <v>#REF!</v>
      </c>
    </row>
    <row r="202" spans="1:16" s="97" customFormat="1" x14ac:dyDescent="0.25">
      <c r="A202" s="29" t="s">
        <v>787</v>
      </c>
      <c r="B202" s="30" t="s">
        <v>761</v>
      </c>
      <c r="C202" s="31" t="s">
        <v>789</v>
      </c>
      <c r="D202" s="71" t="s">
        <v>28</v>
      </c>
      <c r="E202" s="31" t="s">
        <v>663</v>
      </c>
      <c r="F202" s="31" t="s">
        <v>663</v>
      </c>
      <c r="G202" s="71" t="s">
        <v>166</v>
      </c>
      <c r="H202" s="85" t="s">
        <v>654</v>
      </c>
      <c r="I202" s="31"/>
      <c r="J202" s="103" t="s">
        <v>708</v>
      </c>
      <c r="K202" s="110">
        <f>ROUND(Tableau14[[#This Row],[LEN]]*7.27,0)</f>
        <v>189</v>
      </c>
      <c r="L202" s="110">
        <v>15</v>
      </c>
      <c r="M202" s="128" t="str">
        <f t="shared" si="1"/>
        <v>none</v>
      </c>
      <c r="N202" s="111">
        <f>LEN(Tableau14[[#This Row],[LABEL]])</f>
        <v>26</v>
      </c>
      <c r="O202" s="111">
        <v>15</v>
      </c>
      <c r="P202" s="111" t="e">
        <f>ROUND(Tableau14[[#This Row],[LEN]]*#REF!+#REF!,0)</f>
        <v>#REF!</v>
      </c>
    </row>
    <row r="203" spans="1:16" s="97" customFormat="1" x14ac:dyDescent="0.25">
      <c r="A203" s="29" t="s">
        <v>788</v>
      </c>
      <c r="B203" s="30" t="s">
        <v>761</v>
      </c>
      <c r="C203" s="31" t="s">
        <v>790</v>
      </c>
      <c r="D203" s="71" t="s">
        <v>28</v>
      </c>
      <c r="E203" s="31" t="s">
        <v>663</v>
      </c>
      <c r="F203" s="31" t="s">
        <v>663</v>
      </c>
      <c r="G203" s="71" t="s">
        <v>166</v>
      </c>
      <c r="H203" s="85" t="s">
        <v>654</v>
      </c>
      <c r="I203" s="31"/>
      <c r="J203" s="103" t="s">
        <v>708</v>
      </c>
      <c r="K203" s="110">
        <f>ROUND(Tableau14[[#This Row],[LEN]]*7.27,0)</f>
        <v>349</v>
      </c>
      <c r="L203" s="110">
        <v>15</v>
      </c>
      <c r="M203" s="128" t="str">
        <f t="shared" si="1"/>
        <v>none</v>
      </c>
      <c r="N203" s="111">
        <f>LEN(Tableau14[[#This Row],[LABEL]])</f>
        <v>48</v>
      </c>
      <c r="O203" s="111">
        <v>15</v>
      </c>
      <c r="P203" s="111" t="e">
        <f>ROUND(Tableau14[[#This Row],[LEN]]*#REF!+#REF!,0)</f>
        <v>#REF!</v>
      </c>
    </row>
    <row r="204" spans="1:16" s="97" customFormat="1" x14ac:dyDescent="0.25">
      <c r="A204" s="25" t="s">
        <v>762</v>
      </c>
      <c r="B204" s="26" t="s">
        <v>249</v>
      </c>
      <c r="C204" s="27" t="s">
        <v>775</v>
      </c>
      <c r="D204" s="70" t="s">
        <v>28</v>
      </c>
      <c r="E204" s="27" t="s">
        <v>663</v>
      </c>
      <c r="F204" s="27" t="s">
        <v>663</v>
      </c>
      <c r="G204" s="70" t="s">
        <v>166</v>
      </c>
      <c r="H204" s="70" t="s">
        <v>654</v>
      </c>
      <c r="I204" s="27"/>
      <c r="J204" s="28" t="s">
        <v>708</v>
      </c>
      <c r="K204" s="109">
        <f>ROUND(Tableau14[[#This Row],[LEN]]*7.27,0)</f>
        <v>378</v>
      </c>
      <c r="L204" s="109">
        <v>15</v>
      </c>
      <c r="M204" s="127" t="str">
        <f t="shared" si="1"/>
        <v>none</v>
      </c>
      <c r="N204" s="109">
        <f>LEN(Tableau14[[#This Row],[LABEL]])</f>
        <v>52</v>
      </c>
      <c r="O204" s="109">
        <v>15</v>
      </c>
      <c r="P204" s="109" t="e">
        <f>ROUND(Tableau14[[#This Row],[LEN]]*#REF!+#REF!,0)</f>
        <v>#REF!</v>
      </c>
    </row>
    <row r="205" spans="1:16" s="97" customFormat="1" x14ac:dyDescent="0.25">
      <c r="A205" s="25" t="s">
        <v>763</v>
      </c>
      <c r="B205" s="26" t="s">
        <v>249</v>
      </c>
      <c r="C205" s="27" t="s">
        <v>88</v>
      </c>
      <c r="D205" s="70" t="s">
        <v>28</v>
      </c>
      <c r="E205" s="27" t="s">
        <v>667</v>
      </c>
      <c r="F205" s="27" t="s">
        <v>1218</v>
      </c>
      <c r="G205" s="70" t="s">
        <v>166</v>
      </c>
      <c r="H205" s="70" t="s">
        <v>570</v>
      </c>
      <c r="I205" s="27"/>
      <c r="J205" s="28" t="s">
        <v>708</v>
      </c>
      <c r="K205" s="109">
        <f>ROUND(Tableau14[[#This Row],[LEN]]*7.27,0)</f>
        <v>342</v>
      </c>
      <c r="L205" s="109">
        <v>15</v>
      </c>
      <c r="M205" s="127" t="str">
        <f t="shared" si="1"/>
        <v>none</v>
      </c>
      <c r="N205" s="109">
        <f>LEN(Tableau14[[#This Row],[LABEL]])</f>
        <v>47</v>
      </c>
      <c r="O205" s="109">
        <v>15</v>
      </c>
      <c r="P205" s="109" t="e">
        <f>ROUND(Tableau14[[#This Row],[LEN]]*#REF!+#REF!,0)</f>
        <v>#REF!</v>
      </c>
    </row>
    <row r="206" spans="1:16" s="97" customFormat="1" x14ac:dyDescent="0.25">
      <c r="A206" s="25" t="s">
        <v>764</v>
      </c>
      <c r="B206" s="26" t="s">
        <v>249</v>
      </c>
      <c r="C206" s="27" t="s">
        <v>776</v>
      </c>
      <c r="D206" s="70" t="s">
        <v>28</v>
      </c>
      <c r="E206" s="27" t="s">
        <v>663</v>
      </c>
      <c r="F206" s="27" t="s">
        <v>784</v>
      </c>
      <c r="G206" s="70" t="s">
        <v>166</v>
      </c>
      <c r="H206" s="70" t="s">
        <v>655</v>
      </c>
      <c r="I206" s="27"/>
      <c r="J206" s="28" t="s">
        <v>708</v>
      </c>
      <c r="K206" s="109">
        <f>ROUND(Tableau14[[#This Row],[LEN]]*7.27,0)</f>
        <v>44</v>
      </c>
      <c r="L206" s="109">
        <v>15</v>
      </c>
      <c r="M206" s="127" t="str">
        <f t="shared" si="1"/>
        <v>none</v>
      </c>
      <c r="N206" s="109">
        <f>LEN(Tableau14[[#This Row],[LABEL]])</f>
        <v>6</v>
      </c>
      <c r="O206" s="109">
        <v>15</v>
      </c>
      <c r="P206" s="109" t="e">
        <f>ROUND(Tableau14[[#This Row],[LEN]]*#REF!+#REF!,0)</f>
        <v>#REF!</v>
      </c>
    </row>
    <row r="207" spans="1:16" s="97" customFormat="1" x14ac:dyDescent="0.25">
      <c r="A207" s="29" t="s">
        <v>791</v>
      </c>
      <c r="B207" s="30" t="s">
        <v>764</v>
      </c>
      <c r="C207" s="31" t="s">
        <v>794</v>
      </c>
      <c r="D207" s="71" t="s">
        <v>28</v>
      </c>
      <c r="E207" s="31" t="s">
        <v>663</v>
      </c>
      <c r="F207" s="31" t="s">
        <v>784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ROUND(Tableau14[[#This Row],[LEN]]*7.27,0)</f>
        <v>65</v>
      </c>
      <c r="L207" s="110">
        <v>15</v>
      </c>
      <c r="M207" s="128" t="str">
        <f t="shared" si="1"/>
        <v>none</v>
      </c>
      <c r="N207" s="111">
        <f>LEN(Tableau14[[#This Row],[LABEL]])</f>
        <v>9</v>
      </c>
      <c r="O207" s="111">
        <v>15</v>
      </c>
      <c r="P207" s="111" t="e">
        <f>ROUND(Tableau14[[#This Row],[LEN]]*#REF!+#REF!,0)</f>
        <v>#REF!</v>
      </c>
    </row>
    <row r="208" spans="1:16" s="97" customFormat="1" x14ac:dyDescent="0.25">
      <c r="A208" s="29" t="s">
        <v>792</v>
      </c>
      <c r="B208" s="30" t="s">
        <v>764</v>
      </c>
      <c r="C208" s="31" t="s">
        <v>795</v>
      </c>
      <c r="D208" s="71" t="s">
        <v>28</v>
      </c>
      <c r="E208" s="31" t="s">
        <v>663</v>
      </c>
      <c r="F208" s="31" t="s">
        <v>784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ROUND(Tableau14[[#This Row],[LEN]]*7.27,0)</f>
        <v>65</v>
      </c>
      <c r="L208" s="110">
        <v>15</v>
      </c>
      <c r="M208" s="128" t="str">
        <f t="shared" si="1"/>
        <v>none</v>
      </c>
      <c r="N208" s="111">
        <f>LEN(Tableau14[[#This Row],[LABEL]])</f>
        <v>9</v>
      </c>
      <c r="O208" s="111">
        <v>15</v>
      </c>
      <c r="P208" s="111" t="e">
        <f>ROUND(Tableau14[[#This Row],[LEN]]*#REF!+#REF!,0)</f>
        <v>#REF!</v>
      </c>
    </row>
    <row r="209" spans="1:16" s="97" customFormat="1" x14ac:dyDescent="0.25">
      <c r="A209" s="29" t="s">
        <v>793</v>
      </c>
      <c r="B209" s="30" t="s">
        <v>764</v>
      </c>
      <c r="C209" s="31" t="s">
        <v>796</v>
      </c>
      <c r="D209" s="71" t="s">
        <v>28</v>
      </c>
      <c r="E209" s="31" t="s">
        <v>663</v>
      </c>
      <c r="F209" s="31" t="s">
        <v>784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ROUND(Tableau14[[#This Row],[LEN]]*7.27,0)</f>
        <v>73</v>
      </c>
      <c r="L209" s="110">
        <v>15</v>
      </c>
      <c r="M209" s="128" t="str">
        <f t="shared" si="1"/>
        <v>none</v>
      </c>
      <c r="N209" s="111">
        <f>LEN(Tableau14[[#This Row],[LABEL]])</f>
        <v>10</v>
      </c>
      <c r="O209" s="111">
        <v>15</v>
      </c>
      <c r="P209" s="111" t="e">
        <f>ROUND(Tableau14[[#This Row],[LEN]]*#REF!+#REF!,0)</f>
        <v>#REF!</v>
      </c>
    </row>
    <row r="210" spans="1:16" s="97" customFormat="1" x14ac:dyDescent="0.25">
      <c r="A210" s="29" t="s">
        <v>797</v>
      </c>
      <c r="B210" s="30" t="s">
        <v>764</v>
      </c>
      <c r="C210" s="31" t="s">
        <v>801</v>
      </c>
      <c r="D210" s="71" t="s">
        <v>28</v>
      </c>
      <c r="E210" s="31" t="s">
        <v>663</v>
      </c>
      <c r="F210" s="31" t="s">
        <v>784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ROUND(Tableau14[[#This Row],[LEN]]*7.27,0)</f>
        <v>73</v>
      </c>
      <c r="L210" s="110">
        <v>15</v>
      </c>
      <c r="M210" s="128" t="str">
        <f t="shared" si="1"/>
        <v>none</v>
      </c>
      <c r="N210" s="111">
        <f>LEN(Tableau14[[#This Row],[LABEL]])</f>
        <v>10</v>
      </c>
      <c r="O210" s="111">
        <v>15</v>
      </c>
      <c r="P210" s="111" t="e">
        <f>ROUND(Tableau14[[#This Row],[LEN]]*#REF!+#REF!,0)</f>
        <v>#REF!</v>
      </c>
    </row>
    <row r="211" spans="1:16" s="97" customFormat="1" x14ac:dyDescent="0.25">
      <c r="A211" s="29" t="s">
        <v>798</v>
      </c>
      <c r="B211" s="30" t="s">
        <v>764</v>
      </c>
      <c r="C211" s="31" t="s">
        <v>806</v>
      </c>
      <c r="D211" s="71" t="s">
        <v>28</v>
      </c>
      <c r="E211" s="31" t="s">
        <v>663</v>
      </c>
      <c r="F211" s="31" t="s">
        <v>784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ROUND(Tableau14[[#This Row],[LEN]]*7.27,0)</f>
        <v>174</v>
      </c>
      <c r="L211" s="110">
        <v>15</v>
      </c>
      <c r="M211" s="128" t="str">
        <f t="shared" si="1"/>
        <v>none</v>
      </c>
      <c r="N211" s="111">
        <f>LEN(Tableau14[[#This Row],[LABEL]])</f>
        <v>24</v>
      </c>
      <c r="O211" s="111">
        <v>15</v>
      </c>
      <c r="P211" s="111" t="e">
        <f>ROUND(Tableau14[[#This Row],[LEN]]*#REF!+#REF!,0)</f>
        <v>#REF!</v>
      </c>
    </row>
    <row r="212" spans="1:16" s="97" customFormat="1" x14ac:dyDescent="0.25">
      <c r="A212" s="29" t="s">
        <v>799</v>
      </c>
      <c r="B212" s="30" t="s">
        <v>764</v>
      </c>
      <c r="C212" s="31" t="s">
        <v>807</v>
      </c>
      <c r="D212" s="71" t="s">
        <v>28</v>
      </c>
      <c r="E212" s="31" t="s">
        <v>663</v>
      </c>
      <c r="F212" s="31" t="s">
        <v>784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ROUND(Tableau14[[#This Row],[LEN]]*7.27,0)</f>
        <v>218</v>
      </c>
      <c r="L212" s="110">
        <v>15</v>
      </c>
      <c r="M212" s="128" t="str">
        <f t="shared" si="1"/>
        <v>none</v>
      </c>
      <c r="N212" s="111">
        <f>LEN(Tableau14[[#This Row],[LABEL]])</f>
        <v>30</v>
      </c>
      <c r="O212" s="111">
        <v>15</v>
      </c>
      <c r="P212" s="111" t="e">
        <f>ROUND(Tableau14[[#This Row],[LEN]]*#REF!+#REF!,0)</f>
        <v>#REF!</v>
      </c>
    </row>
    <row r="213" spans="1:16" s="97" customFormat="1" x14ac:dyDescent="0.25">
      <c r="A213" s="29" t="s">
        <v>800</v>
      </c>
      <c r="B213" s="30" t="s">
        <v>764</v>
      </c>
      <c r="C213" s="31" t="s">
        <v>808</v>
      </c>
      <c r="D213" s="71" t="s">
        <v>28</v>
      </c>
      <c r="E213" s="31" t="s">
        <v>663</v>
      </c>
      <c r="F213" s="31" t="s">
        <v>784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ROUND(Tableau14[[#This Row],[LEN]]*7.27,0)</f>
        <v>15</v>
      </c>
      <c r="L213" s="110">
        <v>15</v>
      </c>
      <c r="M213" s="128" t="str">
        <f t="shared" si="1"/>
        <v>none</v>
      </c>
      <c r="N213" s="111">
        <f>LEN(Tableau14[[#This Row],[LABEL]])</f>
        <v>2</v>
      </c>
      <c r="O213" s="111">
        <v>15</v>
      </c>
      <c r="P213" s="111" t="e">
        <f>ROUND(Tableau14[[#This Row],[LEN]]*#REF!+#REF!,0)</f>
        <v>#REF!</v>
      </c>
    </row>
    <row r="214" spans="1:16" s="97" customFormat="1" x14ac:dyDescent="0.25">
      <c r="A214" s="29" t="s">
        <v>802</v>
      </c>
      <c r="B214" s="30" t="s">
        <v>764</v>
      </c>
      <c r="C214" s="31" t="s">
        <v>809</v>
      </c>
      <c r="D214" s="71" t="s">
        <v>28</v>
      </c>
      <c r="E214" s="31" t="s">
        <v>663</v>
      </c>
      <c r="F214" s="31" t="s">
        <v>784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ROUND(Tableau14[[#This Row],[LEN]]*7.27,0)</f>
        <v>65</v>
      </c>
      <c r="L214" s="110">
        <v>15</v>
      </c>
      <c r="M214" s="128" t="str">
        <f t="shared" si="1"/>
        <v>none</v>
      </c>
      <c r="N214" s="111">
        <f>LEN(Tableau14[[#This Row],[LABEL]])</f>
        <v>9</v>
      </c>
      <c r="O214" s="111">
        <v>15</v>
      </c>
      <c r="P214" s="111" t="e">
        <f>ROUND(Tableau14[[#This Row],[LEN]]*#REF!+#REF!,0)</f>
        <v>#REF!</v>
      </c>
    </row>
    <row r="215" spans="1:16" s="97" customFormat="1" x14ac:dyDescent="0.25">
      <c r="A215" s="29" t="s">
        <v>803</v>
      </c>
      <c r="B215" s="30" t="s">
        <v>764</v>
      </c>
      <c r="C215" s="31" t="s">
        <v>810</v>
      </c>
      <c r="D215" s="71" t="s">
        <v>28</v>
      </c>
      <c r="E215" s="31" t="s">
        <v>663</v>
      </c>
      <c r="F215" s="31" t="s">
        <v>784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ROUND(Tableau14[[#This Row],[LEN]]*7.27,0)</f>
        <v>225</v>
      </c>
      <c r="L215" s="110">
        <v>15</v>
      </c>
      <c r="M215" s="128" t="str">
        <f t="shared" si="1"/>
        <v>none</v>
      </c>
      <c r="N215" s="111">
        <f>LEN(Tableau14[[#This Row],[LABEL]])</f>
        <v>31</v>
      </c>
      <c r="O215" s="111">
        <v>15</v>
      </c>
      <c r="P215" s="111" t="e">
        <f>ROUND(Tableau14[[#This Row],[LEN]]*#REF!+#REF!,0)</f>
        <v>#REF!</v>
      </c>
    </row>
    <row r="216" spans="1:16" s="97" customFormat="1" x14ac:dyDescent="0.25">
      <c r="A216" s="29" t="s">
        <v>804</v>
      </c>
      <c r="B216" s="30" t="s">
        <v>764</v>
      </c>
      <c r="C216" s="31" t="s">
        <v>811</v>
      </c>
      <c r="D216" s="71" t="s">
        <v>28</v>
      </c>
      <c r="E216" s="31" t="s">
        <v>663</v>
      </c>
      <c r="F216" s="31" t="s">
        <v>784</v>
      </c>
      <c r="G216" s="71" t="s">
        <v>166</v>
      </c>
      <c r="H216" s="85" t="s">
        <v>18</v>
      </c>
      <c r="I216" s="31"/>
      <c r="J216" s="103" t="s">
        <v>708</v>
      </c>
      <c r="K216" s="110">
        <f>ROUND(Tableau14[[#This Row],[LEN]]*7.27,0)</f>
        <v>160</v>
      </c>
      <c r="L216" s="110">
        <v>15</v>
      </c>
      <c r="M216" s="128" t="str">
        <f t="shared" si="1"/>
        <v>none</v>
      </c>
      <c r="N216" s="111">
        <f>LEN(Tableau14[[#This Row],[LABEL]])</f>
        <v>22</v>
      </c>
      <c r="O216" s="111">
        <v>15</v>
      </c>
      <c r="P216" s="111" t="e">
        <f>ROUND(Tableau14[[#This Row],[LEN]]*#REF!+#REF!,0)</f>
        <v>#REF!</v>
      </c>
    </row>
    <row r="217" spans="1:16" s="97" customFormat="1" x14ac:dyDescent="0.25">
      <c r="A217" s="29" t="s">
        <v>805</v>
      </c>
      <c r="B217" s="30" t="s">
        <v>764</v>
      </c>
      <c r="C217" s="31" t="s">
        <v>812</v>
      </c>
      <c r="D217" s="71" t="s">
        <v>28</v>
      </c>
      <c r="E217" s="31" t="s">
        <v>663</v>
      </c>
      <c r="F217" s="31" t="s">
        <v>784</v>
      </c>
      <c r="G217" s="71" t="s">
        <v>166</v>
      </c>
      <c r="H217" s="85" t="s">
        <v>18</v>
      </c>
      <c r="I217" s="31"/>
      <c r="J217" s="103" t="s">
        <v>708</v>
      </c>
      <c r="K217" s="110">
        <f>ROUND(Tableau14[[#This Row],[LEN]]*7.27,0)</f>
        <v>131</v>
      </c>
      <c r="L217" s="110">
        <v>15</v>
      </c>
      <c r="M217" s="128" t="str">
        <f t="shared" si="1"/>
        <v>none</v>
      </c>
      <c r="N217" s="111">
        <f>LEN(Tableau14[[#This Row],[LABEL]])</f>
        <v>18</v>
      </c>
      <c r="O217" s="111">
        <v>15</v>
      </c>
      <c r="P217" s="111" t="e">
        <f>ROUND(Tableau14[[#This Row],[LEN]]*#REF!+#REF!,0)</f>
        <v>#REF!</v>
      </c>
    </row>
    <row r="218" spans="1:16" s="97" customFormat="1" x14ac:dyDescent="0.25">
      <c r="A218" s="25" t="s">
        <v>765</v>
      </c>
      <c r="B218" s="26" t="s">
        <v>249</v>
      </c>
      <c r="C218" s="27" t="s">
        <v>783</v>
      </c>
      <c r="D218" s="70" t="s">
        <v>28</v>
      </c>
      <c r="E218" s="27" t="s">
        <v>663</v>
      </c>
      <c r="F218" s="27" t="s">
        <v>663</v>
      </c>
      <c r="G218" s="70" t="s">
        <v>166</v>
      </c>
      <c r="H218" s="70" t="s">
        <v>655</v>
      </c>
      <c r="I218" s="27"/>
      <c r="J218" s="28" t="s">
        <v>708</v>
      </c>
      <c r="K218" s="109">
        <f>ROUND(Tableau14[[#This Row],[LEN]]*7.27,0)</f>
        <v>138</v>
      </c>
      <c r="L218" s="109">
        <v>15</v>
      </c>
      <c r="M218" s="127" t="str">
        <f t="shared" si="1"/>
        <v>none</v>
      </c>
      <c r="N218" s="109">
        <f>LEN(Tableau14[[#This Row],[LABEL]])</f>
        <v>19</v>
      </c>
      <c r="O218" s="109">
        <v>15</v>
      </c>
      <c r="P218" s="109" t="e">
        <f>ROUND(Tableau14[[#This Row],[LEN]]*#REF!+#REF!,0)</f>
        <v>#REF!</v>
      </c>
    </row>
    <row r="219" spans="1:16" s="97" customFormat="1" x14ac:dyDescent="0.25">
      <c r="A219" s="29" t="s">
        <v>813</v>
      </c>
      <c r="B219" s="30" t="s">
        <v>765</v>
      </c>
      <c r="C219" s="31" t="s">
        <v>817</v>
      </c>
      <c r="D219" s="71" t="s">
        <v>28</v>
      </c>
      <c r="E219" s="31" t="s">
        <v>663</v>
      </c>
      <c r="F219" s="31" t="s">
        <v>663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ROUND(Tableau14[[#This Row],[LEN]]*7.27,0)</f>
        <v>313</v>
      </c>
      <c r="L219" s="110">
        <v>15</v>
      </c>
      <c r="M219" s="128" t="str">
        <f t="shared" si="1"/>
        <v>none</v>
      </c>
      <c r="N219" s="111">
        <f>LEN(Tableau14[[#This Row],[LABEL]])</f>
        <v>43</v>
      </c>
      <c r="O219" s="111">
        <v>15</v>
      </c>
      <c r="P219" s="111" t="e">
        <f>ROUND(Tableau14[[#This Row],[LEN]]*#REF!+#REF!,0)</f>
        <v>#REF!</v>
      </c>
    </row>
    <row r="220" spans="1:16" s="97" customFormat="1" x14ac:dyDescent="0.25">
      <c r="A220" s="29" t="s">
        <v>814</v>
      </c>
      <c r="B220" s="30" t="s">
        <v>765</v>
      </c>
      <c r="C220" s="31" t="s">
        <v>818</v>
      </c>
      <c r="D220" s="71" t="s">
        <v>28</v>
      </c>
      <c r="E220" s="31" t="s">
        <v>663</v>
      </c>
      <c r="F220" s="31" t="s">
        <v>663</v>
      </c>
      <c r="G220" s="71" t="s">
        <v>166</v>
      </c>
      <c r="H220" s="85" t="s">
        <v>656</v>
      </c>
      <c r="I220" s="31"/>
      <c r="J220" s="103" t="s">
        <v>708</v>
      </c>
      <c r="K220" s="110">
        <f>ROUND(Tableau14[[#This Row],[LEN]]*7.27,0)</f>
        <v>349</v>
      </c>
      <c r="L220" s="110">
        <v>15</v>
      </c>
      <c r="M220" s="128" t="str">
        <f t="shared" si="1"/>
        <v>none</v>
      </c>
      <c r="N220" s="111">
        <f>LEN(Tableau14[[#This Row],[LABEL]])</f>
        <v>48</v>
      </c>
      <c r="O220" s="111">
        <v>15</v>
      </c>
      <c r="P220" s="111" t="e">
        <f>ROUND(Tableau14[[#This Row],[LEN]]*#REF!+#REF!,0)</f>
        <v>#REF!</v>
      </c>
    </row>
    <row r="221" spans="1:16" s="97" customFormat="1" x14ac:dyDescent="0.25">
      <c r="A221" s="29" t="s">
        <v>815</v>
      </c>
      <c r="B221" s="30" t="s">
        <v>765</v>
      </c>
      <c r="C221" s="31" t="s">
        <v>819</v>
      </c>
      <c r="D221" s="71" t="s">
        <v>28</v>
      </c>
      <c r="E221" s="31" t="s">
        <v>663</v>
      </c>
      <c r="F221" s="31" t="s">
        <v>663</v>
      </c>
      <c r="G221" s="71" t="s">
        <v>166</v>
      </c>
      <c r="H221" s="85" t="s">
        <v>656</v>
      </c>
      <c r="I221" s="31"/>
      <c r="J221" s="103" t="s">
        <v>708</v>
      </c>
      <c r="K221" s="110">
        <f>ROUND(Tableau14[[#This Row],[LEN]]*7.27,0)</f>
        <v>189</v>
      </c>
      <c r="L221" s="110">
        <v>15</v>
      </c>
      <c r="M221" s="128" t="str">
        <f t="shared" si="1"/>
        <v>none</v>
      </c>
      <c r="N221" s="111">
        <f>LEN(Tableau14[[#This Row],[LABEL]])</f>
        <v>26</v>
      </c>
      <c r="O221" s="111">
        <v>15</v>
      </c>
      <c r="P221" s="111" t="e">
        <f>ROUND(Tableau14[[#This Row],[LEN]]*#REF!+#REF!,0)</f>
        <v>#REF!</v>
      </c>
    </row>
    <row r="222" spans="1:16" s="97" customFormat="1" x14ac:dyDescent="0.25">
      <c r="A222" s="29" t="s">
        <v>816</v>
      </c>
      <c r="B222" s="30" t="s">
        <v>765</v>
      </c>
      <c r="C222" s="31" t="s">
        <v>820</v>
      </c>
      <c r="D222" s="71" t="s">
        <v>28</v>
      </c>
      <c r="E222" s="31" t="s">
        <v>663</v>
      </c>
      <c r="F222" s="31" t="s">
        <v>663</v>
      </c>
      <c r="G222" s="71" t="s">
        <v>166</v>
      </c>
      <c r="H222" s="85" t="s">
        <v>18</v>
      </c>
      <c r="I222" s="31"/>
      <c r="J222" s="103" t="s">
        <v>708</v>
      </c>
      <c r="K222" s="110">
        <f>ROUND(Tableau14[[#This Row],[LEN]]*7.27,0)</f>
        <v>124</v>
      </c>
      <c r="L222" s="110">
        <v>15</v>
      </c>
      <c r="M222" s="128" t="str">
        <f t="shared" si="1"/>
        <v>none</v>
      </c>
      <c r="N222" s="111">
        <f>LEN(Tableau14[[#This Row],[LABEL]])</f>
        <v>17</v>
      </c>
      <c r="O222" s="111">
        <v>15</v>
      </c>
      <c r="P222" s="111" t="e">
        <f>ROUND(Tableau14[[#This Row],[LEN]]*#REF!+#REF!,0)</f>
        <v>#REF!</v>
      </c>
    </row>
    <row r="223" spans="1:16" s="97" customFormat="1" x14ac:dyDescent="0.25">
      <c r="A223" s="25" t="s">
        <v>766</v>
      </c>
      <c r="B223" s="26" t="s">
        <v>249</v>
      </c>
      <c r="C223" s="27" t="s">
        <v>1165</v>
      </c>
      <c r="D223" s="70" t="s">
        <v>28</v>
      </c>
      <c r="E223" s="27" t="s">
        <v>663</v>
      </c>
      <c r="F223" s="27" t="s">
        <v>663</v>
      </c>
      <c r="G223" s="70" t="s">
        <v>166</v>
      </c>
      <c r="H223" s="70" t="s">
        <v>654</v>
      </c>
      <c r="I223" s="27"/>
      <c r="J223" s="28" t="s">
        <v>708</v>
      </c>
      <c r="K223" s="109">
        <f>ROUND(Tableau14[[#This Row],[LEN]]*7.27,0)</f>
        <v>211</v>
      </c>
      <c r="L223" s="109">
        <v>15</v>
      </c>
      <c r="M223" s="127" t="str">
        <f t="shared" si="1"/>
        <v>none</v>
      </c>
      <c r="N223" s="109">
        <f>LEN(Tableau14[[#This Row],[LABEL]])</f>
        <v>29</v>
      </c>
      <c r="O223" s="109">
        <v>15</v>
      </c>
      <c r="P223" s="109" t="e">
        <f>ROUND(Tableau14[[#This Row],[LEN]]*#REF!+#REF!,0)</f>
        <v>#REF!</v>
      </c>
    </row>
    <row r="224" spans="1:16" s="97" customFormat="1" x14ac:dyDescent="0.25">
      <c r="A224" s="25" t="s">
        <v>767</v>
      </c>
      <c r="B224" s="26" t="s">
        <v>249</v>
      </c>
      <c r="C224" s="27" t="s">
        <v>777</v>
      </c>
      <c r="D224" s="70" t="s">
        <v>28</v>
      </c>
      <c r="E224" s="27" t="s">
        <v>663</v>
      </c>
      <c r="F224" s="27" t="s">
        <v>663</v>
      </c>
      <c r="G224" s="70" t="s">
        <v>166</v>
      </c>
      <c r="H224" s="70" t="s">
        <v>656</v>
      </c>
      <c r="I224" s="27"/>
      <c r="J224" s="28" t="s">
        <v>708</v>
      </c>
      <c r="K224" s="109">
        <f>ROUND(Tableau14[[#This Row],[LEN]]*7.27,0)</f>
        <v>378</v>
      </c>
      <c r="L224" s="109">
        <v>15</v>
      </c>
      <c r="M224" s="127" t="str">
        <f t="shared" si="1"/>
        <v>none</v>
      </c>
      <c r="N224" s="109">
        <f>LEN(Tableau14[[#This Row],[LABEL]])</f>
        <v>52</v>
      </c>
      <c r="O224" s="109">
        <v>15</v>
      </c>
      <c r="P224" s="109" t="e">
        <f>ROUND(Tableau14[[#This Row],[LEN]]*#REF!+#REF!,0)</f>
        <v>#REF!</v>
      </c>
    </row>
    <row r="225" spans="1:16" s="97" customFormat="1" x14ac:dyDescent="0.25">
      <c r="A225" s="25" t="s">
        <v>768</v>
      </c>
      <c r="B225" s="26" t="s">
        <v>249</v>
      </c>
      <c r="C225" s="27" t="s">
        <v>778</v>
      </c>
      <c r="D225" s="70" t="s">
        <v>28</v>
      </c>
      <c r="E225" s="27" t="s">
        <v>673</v>
      </c>
      <c r="F225" s="27" t="s">
        <v>2000</v>
      </c>
      <c r="G225" s="70" t="s">
        <v>166</v>
      </c>
      <c r="H225" s="70" t="s">
        <v>17</v>
      </c>
      <c r="I225" s="27"/>
      <c r="J225" s="28" t="s">
        <v>708</v>
      </c>
      <c r="K225" s="109">
        <f>ROUND(Tableau14[[#This Row],[LEN]]*7.27,0)</f>
        <v>211</v>
      </c>
      <c r="L225" s="109">
        <v>15</v>
      </c>
      <c r="M225" s="127" t="str">
        <f t="shared" si="1"/>
        <v>none</v>
      </c>
      <c r="N225" s="109">
        <f>LEN(Tableau14[[#This Row],[LABEL]])</f>
        <v>29</v>
      </c>
      <c r="O225" s="109">
        <v>15</v>
      </c>
      <c r="P225" s="109" t="e">
        <f>ROUND(Tableau14[[#This Row],[LEN]]*#REF!+#REF!,0)</f>
        <v>#REF!</v>
      </c>
    </row>
    <row r="226" spans="1:16" s="97" customFormat="1" x14ac:dyDescent="0.25">
      <c r="A226" s="25" t="s">
        <v>769</v>
      </c>
      <c r="B226" s="26" t="s">
        <v>249</v>
      </c>
      <c r="C226" s="27" t="s">
        <v>92</v>
      </c>
      <c r="D226" s="70" t="s">
        <v>28</v>
      </c>
      <c r="E226" s="27" t="s">
        <v>663</v>
      </c>
      <c r="F226" s="27" t="s">
        <v>786</v>
      </c>
      <c r="G226" s="70" t="s">
        <v>166</v>
      </c>
      <c r="H226" s="70" t="s">
        <v>655</v>
      </c>
      <c r="I226" s="27"/>
      <c r="J226" s="28" t="s">
        <v>708</v>
      </c>
      <c r="K226" s="109">
        <f>ROUND(Tableau14[[#This Row],[LEN]]*7.27,0)</f>
        <v>262</v>
      </c>
      <c r="L226" s="109">
        <v>15</v>
      </c>
      <c r="M226" s="127" t="str">
        <f t="shared" si="1"/>
        <v>none</v>
      </c>
      <c r="N226" s="109">
        <f>LEN(Tableau14[[#This Row],[LABEL]])</f>
        <v>36</v>
      </c>
      <c r="O226" s="109">
        <v>15</v>
      </c>
      <c r="P226" s="109" t="e">
        <f>ROUND(Tableau14[[#This Row],[LEN]]*#REF!+#REF!,0)</f>
        <v>#REF!</v>
      </c>
    </row>
    <row r="227" spans="1:16" s="97" customFormat="1" x14ac:dyDescent="0.25">
      <c r="A227" s="29" t="s">
        <v>821</v>
      </c>
      <c r="B227" s="30" t="s">
        <v>769</v>
      </c>
      <c r="C227" s="31" t="s">
        <v>95</v>
      </c>
      <c r="D227" s="71" t="s">
        <v>28</v>
      </c>
      <c r="E227" s="31" t="s">
        <v>663</v>
      </c>
      <c r="F227" s="31" t="s">
        <v>786</v>
      </c>
      <c r="G227" s="71" t="s">
        <v>166</v>
      </c>
      <c r="H227" s="85" t="s">
        <v>17</v>
      </c>
      <c r="I227" s="31"/>
      <c r="J227" s="103" t="s">
        <v>708</v>
      </c>
      <c r="K227" s="110">
        <f>ROUND(Tableau14[[#This Row],[LEN]]*7.27,0)</f>
        <v>254</v>
      </c>
      <c r="L227" s="110">
        <v>15</v>
      </c>
      <c r="M227" s="128" t="str">
        <f t="shared" ref="M227:M381" si="2">IF(J227="javascript:void(0)","none","new")</f>
        <v>none</v>
      </c>
      <c r="N227" s="111">
        <f>LEN(Tableau14[[#This Row],[LABEL]])</f>
        <v>35</v>
      </c>
      <c r="O227" s="111">
        <v>15</v>
      </c>
      <c r="P227" s="111" t="e">
        <f>ROUND(Tableau14[[#This Row],[LEN]]*#REF!+#REF!,0)</f>
        <v>#REF!</v>
      </c>
    </row>
    <row r="228" spans="1:16" s="97" customFormat="1" x14ac:dyDescent="0.25">
      <c r="A228" s="29" t="s">
        <v>822</v>
      </c>
      <c r="B228" s="30" t="s">
        <v>769</v>
      </c>
      <c r="C228" s="31" t="s">
        <v>96</v>
      </c>
      <c r="D228" s="71" t="s">
        <v>28</v>
      </c>
      <c r="E228" s="31" t="s">
        <v>663</v>
      </c>
      <c r="F228" s="31" t="s">
        <v>786</v>
      </c>
      <c r="G228" s="71" t="s">
        <v>166</v>
      </c>
      <c r="H228" s="85" t="s">
        <v>570</v>
      </c>
      <c r="I228" s="31"/>
      <c r="J228" s="103" t="s">
        <v>708</v>
      </c>
      <c r="K228" s="110">
        <f>ROUND(Tableau14[[#This Row],[LEN]]*7.27,0)</f>
        <v>233</v>
      </c>
      <c r="L228" s="110">
        <v>15</v>
      </c>
      <c r="M228" s="128" t="str">
        <f t="shared" si="2"/>
        <v>none</v>
      </c>
      <c r="N228" s="111">
        <f>LEN(Tableau14[[#This Row],[LABEL]])</f>
        <v>32</v>
      </c>
      <c r="O228" s="111">
        <v>15</v>
      </c>
      <c r="P228" s="111" t="e">
        <f>ROUND(Tableau14[[#This Row],[LEN]]*#REF!+#REF!,0)</f>
        <v>#REF!</v>
      </c>
    </row>
    <row r="229" spans="1:16" s="97" customFormat="1" x14ac:dyDescent="0.25">
      <c r="A229" s="29" t="s">
        <v>823</v>
      </c>
      <c r="B229" s="30" t="s">
        <v>769</v>
      </c>
      <c r="C229" s="31" t="s">
        <v>97</v>
      </c>
      <c r="D229" s="71" t="s">
        <v>28</v>
      </c>
      <c r="E229" s="31" t="s">
        <v>663</v>
      </c>
      <c r="F229" s="31" t="s">
        <v>786</v>
      </c>
      <c r="G229" s="71" t="s">
        <v>166</v>
      </c>
      <c r="H229" s="85" t="s">
        <v>656</v>
      </c>
      <c r="I229" s="31"/>
      <c r="J229" s="103" t="s">
        <v>708</v>
      </c>
      <c r="K229" s="110">
        <f>ROUND(Tableau14[[#This Row],[LEN]]*7.27,0)</f>
        <v>145</v>
      </c>
      <c r="L229" s="110">
        <v>15</v>
      </c>
      <c r="M229" s="128" t="str">
        <f t="shared" si="2"/>
        <v>none</v>
      </c>
      <c r="N229" s="111">
        <f>LEN(Tableau14[[#This Row],[LABEL]])</f>
        <v>20</v>
      </c>
      <c r="O229" s="111">
        <v>15</v>
      </c>
      <c r="P229" s="111" t="e">
        <f>ROUND(Tableau14[[#This Row],[LEN]]*#REF!+#REF!,0)</f>
        <v>#REF!</v>
      </c>
    </row>
    <row r="230" spans="1:16" s="97" customFormat="1" x14ac:dyDescent="0.25">
      <c r="A230" s="25" t="s">
        <v>770</v>
      </c>
      <c r="B230" s="26" t="s">
        <v>249</v>
      </c>
      <c r="C230" s="27" t="s">
        <v>782</v>
      </c>
      <c r="D230" s="70" t="s">
        <v>28</v>
      </c>
      <c r="E230" s="27" t="s">
        <v>667</v>
      </c>
      <c r="F230" s="27" t="s">
        <v>828</v>
      </c>
      <c r="G230" s="70" t="s">
        <v>166</v>
      </c>
      <c r="H230" s="70" t="s">
        <v>655</v>
      </c>
      <c r="I230" s="27"/>
      <c r="J230" s="28" t="s">
        <v>708</v>
      </c>
      <c r="K230" s="109">
        <f>ROUND(Tableau14[[#This Row],[LEN]]*7.27,0)</f>
        <v>182</v>
      </c>
      <c r="L230" s="109">
        <v>15</v>
      </c>
      <c r="M230" s="127" t="str">
        <f t="shared" si="2"/>
        <v>none</v>
      </c>
      <c r="N230" s="109">
        <f>LEN(Tableau14[[#This Row],[LABEL]])</f>
        <v>25</v>
      </c>
      <c r="O230" s="109">
        <v>15</v>
      </c>
      <c r="P230" s="109" t="e">
        <f>ROUND(Tableau14[[#This Row],[LEN]]*#REF!+#REF!,0)</f>
        <v>#REF!</v>
      </c>
    </row>
    <row r="231" spans="1:16" s="97" customFormat="1" x14ac:dyDescent="0.25">
      <c r="A231" s="29" t="s">
        <v>824</v>
      </c>
      <c r="B231" s="30" t="s">
        <v>770</v>
      </c>
      <c r="C231" s="31" t="s">
        <v>826</v>
      </c>
      <c r="D231" s="71" t="s">
        <v>28</v>
      </c>
      <c r="E231" s="31" t="s">
        <v>667</v>
      </c>
      <c r="F231" s="31" t="s">
        <v>828</v>
      </c>
      <c r="G231" s="71" t="s">
        <v>166</v>
      </c>
      <c r="H231" s="85" t="s">
        <v>18</v>
      </c>
      <c r="I231" s="31"/>
      <c r="J231" s="103" t="s">
        <v>101</v>
      </c>
      <c r="K231" s="110">
        <f>ROUND(Tableau14[[#This Row],[LEN]]*7.27,0)</f>
        <v>174</v>
      </c>
      <c r="L231" s="110">
        <v>15</v>
      </c>
      <c r="M231" s="128" t="str">
        <f t="shared" si="2"/>
        <v>new</v>
      </c>
      <c r="N231" s="111">
        <f>LEN(Tableau14[[#This Row],[LABEL]])</f>
        <v>24</v>
      </c>
      <c r="O231" s="111">
        <v>15</v>
      </c>
      <c r="P231" s="111" t="e">
        <f>ROUND(Tableau14[[#This Row],[LEN]]*#REF!+#REF!,0)</f>
        <v>#REF!</v>
      </c>
    </row>
    <row r="232" spans="1:16" s="97" customFormat="1" x14ac:dyDescent="0.25">
      <c r="A232" s="29" t="s">
        <v>825</v>
      </c>
      <c r="B232" s="30" t="s">
        <v>770</v>
      </c>
      <c r="C232" s="31" t="s">
        <v>827</v>
      </c>
      <c r="D232" s="71" t="s">
        <v>28</v>
      </c>
      <c r="E232" s="31" t="s">
        <v>667</v>
      </c>
      <c r="F232" s="31" t="s">
        <v>828</v>
      </c>
      <c r="G232" s="71" t="s">
        <v>166</v>
      </c>
      <c r="H232" s="85" t="s">
        <v>654</v>
      </c>
      <c r="I232" s="31"/>
      <c r="J232" s="103" t="s">
        <v>101</v>
      </c>
      <c r="K232" s="110">
        <f>ROUND(Tableau14[[#This Row],[LEN]]*7.27,0)</f>
        <v>262</v>
      </c>
      <c r="L232" s="110">
        <v>15</v>
      </c>
      <c r="M232" s="128" t="str">
        <f t="shared" si="2"/>
        <v>new</v>
      </c>
      <c r="N232" s="111">
        <f>LEN(Tableau14[[#This Row],[LABEL]])</f>
        <v>36</v>
      </c>
      <c r="O232" s="111">
        <v>15</v>
      </c>
      <c r="P232" s="111" t="e">
        <f>ROUND(Tableau14[[#This Row],[LEN]]*#REF!+#REF!,0)</f>
        <v>#REF!</v>
      </c>
    </row>
    <row r="233" spans="1:16" s="97" customFormat="1" x14ac:dyDescent="0.25">
      <c r="A233" s="25" t="s">
        <v>771</v>
      </c>
      <c r="B233" s="26" t="s">
        <v>249</v>
      </c>
      <c r="C233" s="27" t="s">
        <v>779</v>
      </c>
      <c r="D233" s="70" t="s">
        <v>28</v>
      </c>
      <c r="E233" s="27" t="s">
        <v>663</v>
      </c>
      <c r="F233" s="27" t="s">
        <v>663</v>
      </c>
      <c r="G233" s="70" t="s">
        <v>166</v>
      </c>
      <c r="H233" s="70" t="s">
        <v>655</v>
      </c>
      <c r="I233" s="27"/>
      <c r="J233" s="28" t="s">
        <v>708</v>
      </c>
      <c r="K233" s="109">
        <f>ROUND(Tableau14[[#This Row],[LEN]]*7.27,0)</f>
        <v>22</v>
      </c>
      <c r="L233" s="109">
        <v>15</v>
      </c>
      <c r="M233" s="127" t="str">
        <f t="shared" si="2"/>
        <v>none</v>
      </c>
      <c r="N233" s="109">
        <f>LEN(Tableau14[[#This Row],[LABEL]])</f>
        <v>3</v>
      </c>
      <c r="O233" s="109">
        <v>15</v>
      </c>
      <c r="P233" s="109" t="e">
        <f>ROUND(Tableau14[[#This Row],[LEN]]*#REF!+#REF!,0)</f>
        <v>#REF!</v>
      </c>
    </row>
    <row r="234" spans="1:16" s="97" customFormat="1" x14ac:dyDescent="0.25">
      <c r="A234" s="29" t="s">
        <v>832</v>
      </c>
      <c r="B234" s="30" t="s">
        <v>771</v>
      </c>
      <c r="C234" s="31" t="s">
        <v>836</v>
      </c>
      <c r="D234" s="71" t="s">
        <v>28</v>
      </c>
      <c r="E234" s="31" t="s">
        <v>663</v>
      </c>
      <c r="F234" s="31" t="s">
        <v>663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ROUND(Tableau14[[#This Row],[LEN]]*7.27,0)</f>
        <v>131</v>
      </c>
      <c r="L234" s="110">
        <v>15</v>
      </c>
      <c r="M234" s="128" t="str">
        <f t="shared" si="2"/>
        <v>none</v>
      </c>
      <c r="N234" s="111">
        <f>LEN(Tableau14[[#This Row],[LABEL]])</f>
        <v>18</v>
      </c>
      <c r="O234" s="111">
        <v>15</v>
      </c>
      <c r="P234" s="111" t="e">
        <f>ROUND(Tableau14[[#This Row],[LEN]]*#REF!+#REF!,0)</f>
        <v>#REF!</v>
      </c>
    </row>
    <row r="235" spans="1:16" s="97" customFormat="1" x14ac:dyDescent="0.25">
      <c r="A235" s="29" t="s">
        <v>833</v>
      </c>
      <c r="B235" s="30" t="s">
        <v>771</v>
      </c>
      <c r="C235" s="31" t="s">
        <v>837</v>
      </c>
      <c r="D235" s="71" t="s">
        <v>28</v>
      </c>
      <c r="E235" s="31" t="s">
        <v>663</v>
      </c>
      <c r="F235" s="31" t="s">
        <v>663</v>
      </c>
      <c r="G235" s="71" t="s">
        <v>166</v>
      </c>
      <c r="H235" s="85" t="s">
        <v>654</v>
      </c>
      <c r="I235" s="31"/>
      <c r="J235" s="103" t="s">
        <v>708</v>
      </c>
      <c r="K235" s="110">
        <f>ROUND(Tableau14[[#This Row],[LEN]]*7.27,0)</f>
        <v>174</v>
      </c>
      <c r="L235" s="110">
        <v>15</v>
      </c>
      <c r="M235" s="128" t="str">
        <f t="shared" si="2"/>
        <v>none</v>
      </c>
      <c r="N235" s="111">
        <f>LEN(Tableau14[[#This Row],[LABEL]])</f>
        <v>24</v>
      </c>
      <c r="O235" s="111">
        <v>15</v>
      </c>
      <c r="P235" s="111" t="e">
        <f>ROUND(Tableau14[[#This Row],[LEN]]*#REF!+#REF!,0)</f>
        <v>#REF!</v>
      </c>
    </row>
    <row r="236" spans="1:16" s="97" customFormat="1" x14ac:dyDescent="0.25">
      <c r="A236" s="29" t="s">
        <v>834</v>
      </c>
      <c r="B236" s="30" t="s">
        <v>771</v>
      </c>
      <c r="C236" s="31" t="s">
        <v>838</v>
      </c>
      <c r="D236" s="71" t="s">
        <v>28</v>
      </c>
      <c r="E236" s="31" t="s">
        <v>663</v>
      </c>
      <c r="F236" s="31" t="s">
        <v>663</v>
      </c>
      <c r="G236" s="71" t="s">
        <v>166</v>
      </c>
      <c r="H236" s="85" t="s">
        <v>654</v>
      </c>
      <c r="I236" s="31"/>
      <c r="J236" s="103" t="s">
        <v>708</v>
      </c>
      <c r="K236" s="110">
        <f>ROUND(Tableau14[[#This Row],[LEN]]*7.27,0)</f>
        <v>167</v>
      </c>
      <c r="L236" s="110">
        <v>15</v>
      </c>
      <c r="M236" s="128" t="str">
        <f>IF(J236="javascript:void(0)","none","new")</f>
        <v>none</v>
      </c>
      <c r="N236" s="111">
        <f>LEN(Tableau14[[#This Row],[LABEL]])</f>
        <v>23</v>
      </c>
      <c r="O236" s="111">
        <v>15</v>
      </c>
      <c r="P236" s="111" t="e">
        <f>ROUND(Tableau14[[#This Row],[LEN]]*#REF!+#REF!,0)</f>
        <v>#REF!</v>
      </c>
    </row>
    <row r="237" spans="1:16" s="97" customFormat="1" x14ac:dyDescent="0.25">
      <c r="A237" s="29" t="s">
        <v>835</v>
      </c>
      <c r="B237" s="30" t="s">
        <v>771</v>
      </c>
      <c r="C237" s="31" t="s">
        <v>839</v>
      </c>
      <c r="D237" s="71" t="s">
        <v>28</v>
      </c>
      <c r="E237" s="31" t="s">
        <v>663</v>
      </c>
      <c r="F237" s="31" t="s">
        <v>663</v>
      </c>
      <c r="G237" s="71" t="s">
        <v>166</v>
      </c>
      <c r="H237" s="85" t="s">
        <v>656</v>
      </c>
      <c r="I237" s="31"/>
      <c r="J237" s="103" t="s">
        <v>708</v>
      </c>
      <c r="K237" s="110">
        <f>ROUND(Tableau14[[#This Row],[LEN]]*7.27,0)</f>
        <v>138</v>
      </c>
      <c r="L237" s="110">
        <v>15</v>
      </c>
      <c r="M237" s="128" t="str">
        <f>IF(J237="javascript:void(0)","none","new")</f>
        <v>none</v>
      </c>
      <c r="N237" s="111">
        <f>LEN(Tableau14[[#This Row],[LABEL]])</f>
        <v>19</v>
      </c>
      <c r="O237" s="111">
        <v>15</v>
      </c>
      <c r="P237" s="111" t="e">
        <f>ROUND(Tableau14[[#This Row],[LEN]]*#REF!+#REF!,0)</f>
        <v>#REF!</v>
      </c>
    </row>
    <row r="238" spans="1:16" s="97" customFormat="1" x14ac:dyDescent="0.25">
      <c r="A238" s="25" t="s">
        <v>772</v>
      </c>
      <c r="B238" s="26" t="s">
        <v>249</v>
      </c>
      <c r="C238" s="27" t="s">
        <v>780</v>
      </c>
      <c r="D238" s="70" t="s">
        <v>28</v>
      </c>
      <c r="E238" s="27" t="s">
        <v>663</v>
      </c>
      <c r="F238" s="27" t="s">
        <v>663</v>
      </c>
      <c r="G238" s="70" t="s">
        <v>166</v>
      </c>
      <c r="H238" s="70" t="s">
        <v>656</v>
      </c>
      <c r="I238" s="27"/>
      <c r="J238" s="28" t="s">
        <v>708</v>
      </c>
      <c r="K238" s="109">
        <f>ROUND(Tableau14[[#This Row],[LEN]]*7.27,0)</f>
        <v>385</v>
      </c>
      <c r="L238" s="109">
        <v>15</v>
      </c>
      <c r="M238" s="127" t="str">
        <f t="shared" si="2"/>
        <v>none</v>
      </c>
      <c r="N238" s="109">
        <f>LEN(Tableau14[[#This Row],[LABEL]])</f>
        <v>53</v>
      </c>
      <c r="O238" s="109">
        <v>15</v>
      </c>
      <c r="P238" s="109" t="e">
        <f>ROUND(Tableau14[[#This Row],[LEN]]*#REF!+#REF!,0)</f>
        <v>#REF!</v>
      </c>
    </row>
    <row r="239" spans="1:16" s="97" customFormat="1" x14ac:dyDescent="0.25">
      <c r="A239" s="25" t="s">
        <v>773</v>
      </c>
      <c r="B239" s="26" t="s">
        <v>249</v>
      </c>
      <c r="C239" s="27" t="s">
        <v>1167</v>
      </c>
      <c r="D239" s="70" t="s">
        <v>486</v>
      </c>
      <c r="E239" s="27" t="s">
        <v>1085</v>
      </c>
      <c r="F239" s="27" t="s">
        <v>1084</v>
      </c>
      <c r="G239" s="70" t="s">
        <v>1977</v>
      </c>
      <c r="H239" s="70" t="s">
        <v>1131</v>
      </c>
      <c r="I239" s="27"/>
      <c r="J239" s="28" t="s">
        <v>708</v>
      </c>
      <c r="K239" s="109">
        <f>ROUND(Tableau14[[#This Row],[LEN]]*7.27,0)</f>
        <v>196</v>
      </c>
      <c r="L239" s="109">
        <v>15</v>
      </c>
      <c r="M239" s="127" t="str">
        <f t="shared" si="2"/>
        <v>none</v>
      </c>
      <c r="N239" s="109">
        <f>LEN(Tableau14[[#This Row],[LABEL]])</f>
        <v>27</v>
      </c>
      <c r="O239" s="109">
        <v>15</v>
      </c>
      <c r="P239" s="109" t="e">
        <f>ROUND(Tableau14[[#This Row],[LEN]]*#REF!+#REF!,0)</f>
        <v>#REF!</v>
      </c>
    </row>
    <row r="240" spans="1:16" s="97" customFormat="1" x14ac:dyDescent="0.25">
      <c r="A240" s="29" t="s">
        <v>1201</v>
      </c>
      <c r="B240" s="30" t="s">
        <v>773</v>
      </c>
      <c r="C240" s="31" t="s">
        <v>93</v>
      </c>
      <c r="D240" s="71" t="s">
        <v>28</v>
      </c>
      <c r="E240" s="31" t="s">
        <v>1085</v>
      </c>
      <c r="F240" s="31" t="s">
        <v>1084</v>
      </c>
      <c r="G240" s="71" t="s">
        <v>166</v>
      </c>
      <c r="H240" s="85" t="s">
        <v>18</v>
      </c>
      <c r="I240" s="31"/>
      <c r="J240" s="103" t="s">
        <v>101</v>
      </c>
      <c r="K240" s="110">
        <f>ROUND(Tableau14[[#This Row],[LEN]]*7.27,0)</f>
        <v>109</v>
      </c>
      <c r="L240" s="110">
        <v>15</v>
      </c>
      <c r="M240" s="128" t="str">
        <f t="shared" si="2"/>
        <v>new</v>
      </c>
      <c r="N240" s="111">
        <f>LEN(Tableau14[[#This Row],[LABEL]])</f>
        <v>15</v>
      </c>
      <c r="O240" s="111">
        <v>15</v>
      </c>
      <c r="P240" s="111" t="e">
        <f>ROUND(Tableau14[[#This Row],[LEN]]*#REF!+#REF!,0)</f>
        <v>#REF!</v>
      </c>
    </row>
    <row r="241" spans="1:16" s="97" customFormat="1" x14ac:dyDescent="0.25">
      <c r="A241" s="29" t="s">
        <v>1202</v>
      </c>
      <c r="B241" s="30" t="s">
        <v>773</v>
      </c>
      <c r="C241" s="31" t="s">
        <v>94</v>
      </c>
      <c r="D241" s="71" t="s">
        <v>28</v>
      </c>
      <c r="E241" s="31" t="s">
        <v>1085</v>
      </c>
      <c r="F241" s="31" t="s">
        <v>1084</v>
      </c>
      <c r="G241" s="71" t="s">
        <v>166</v>
      </c>
      <c r="H241" s="85" t="s">
        <v>18</v>
      </c>
      <c r="I241" s="31"/>
      <c r="J241" s="103" t="s">
        <v>102</v>
      </c>
      <c r="K241" s="110">
        <f>ROUND(Tableau14[[#This Row],[LEN]]*7.27,0)</f>
        <v>58</v>
      </c>
      <c r="L241" s="110">
        <v>15</v>
      </c>
      <c r="M241" s="128" t="str">
        <f t="shared" si="2"/>
        <v>new</v>
      </c>
      <c r="N241" s="111">
        <f>LEN(Tableau14[[#This Row],[LABEL]])</f>
        <v>8</v>
      </c>
      <c r="O241" s="111">
        <v>15</v>
      </c>
      <c r="P241" s="111" t="e">
        <f>ROUND(Tableau14[[#This Row],[LEN]]*#REF!+#REF!,0)</f>
        <v>#REF!</v>
      </c>
    </row>
    <row r="242" spans="1:16" s="273" customFormat="1" x14ac:dyDescent="0.25">
      <c r="A242" s="288" t="s">
        <v>251</v>
      </c>
      <c r="B242" s="289" t="s">
        <v>206</v>
      </c>
      <c r="C242" s="290" t="s">
        <v>3</v>
      </c>
      <c r="D242" s="291" t="s">
        <v>28</v>
      </c>
      <c r="E242" s="290" t="s">
        <v>661</v>
      </c>
      <c r="F242" s="290" t="s">
        <v>661</v>
      </c>
      <c r="G242" s="291" t="s">
        <v>166</v>
      </c>
      <c r="H242" s="291" t="str">
        <f>IFERROR(IF(SEARCH(".00.00.00.00.00",Tableau14[[#This Row],[name]],1)=7,"Division",""),"")</f>
        <v>Division</v>
      </c>
      <c r="I242" s="290"/>
      <c r="J242" s="292" t="s">
        <v>711</v>
      </c>
      <c r="K242" s="293">
        <f>ROUND(Tableau14[[#This Row],[LEN]]*7.27,0)</f>
        <v>73</v>
      </c>
      <c r="L242" s="293">
        <v>15</v>
      </c>
      <c r="M242" s="294" t="str">
        <f t="shared" si="2"/>
        <v>new</v>
      </c>
      <c r="N242" s="293">
        <f>LEN(Tableau14[[#This Row],[LABEL]])</f>
        <v>10</v>
      </c>
      <c r="O242" s="293">
        <v>15</v>
      </c>
      <c r="P242" s="293" t="e">
        <f>ROUND(Tableau14[[#This Row],[LEN]]*#REF!+#REF!,0)</f>
        <v>#REF!</v>
      </c>
    </row>
    <row r="243" spans="1:16" s="97" customFormat="1" x14ac:dyDescent="0.25">
      <c r="A243" s="25" t="s">
        <v>396</v>
      </c>
      <c r="B243" s="26" t="s">
        <v>251</v>
      </c>
      <c r="C243" s="27" t="s">
        <v>86</v>
      </c>
      <c r="D243" s="70" t="s">
        <v>28</v>
      </c>
      <c r="E243" s="27" t="s">
        <v>661</v>
      </c>
      <c r="F243" s="27" t="s">
        <v>1068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ROUND(Tableau14[[#This Row],[LEN]]*7.27,0)</f>
        <v>269</v>
      </c>
      <c r="L243" s="109">
        <v>15</v>
      </c>
      <c r="M243" s="127" t="str">
        <f t="shared" si="2"/>
        <v>none</v>
      </c>
      <c r="N243" s="109">
        <f>LEN(Tableau14[[#This Row],[LABEL]])</f>
        <v>37</v>
      </c>
      <c r="O243" s="109">
        <v>15</v>
      </c>
      <c r="P243" s="109" t="e">
        <f>ROUND(Tableau14[[#This Row],[LEN]]*#REF!+#REF!,0)</f>
        <v>#REF!</v>
      </c>
    </row>
    <row r="244" spans="1:16" s="97" customFormat="1" x14ac:dyDescent="0.25">
      <c r="A244" s="25" t="s">
        <v>397</v>
      </c>
      <c r="B244" s="26" t="s">
        <v>251</v>
      </c>
      <c r="C244" s="27" t="s">
        <v>87</v>
      </c>
      <c r="D244" s="70" t="s">
        <v>28</v>
      </c>
      <c r="E244" s="27" t="s">
        <v>661</v>
      </c>
      <c r="F244" s="27" t="s">
        <v>661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ROUND(Tableau14[[#This Row],[LEN]]*7.27,0)</f>
        <v>182</v>
      </c>
      <c r="L244" s="109">
        <v>15</v>
      </c>
      <c r="M244" s="127" t="str">
        <f t="shared" si="2"/>
        <v>none</v>
      </c>
      <c r="N244" s="109">
        <f>LEN(Tableau14[[#This Row],[LABEL]])</f>
        <v>25</v>
      </c>
      <c r="O244" s="109">
        <v>15</v>
      </c>
      <c r="P244" s="109" t="e">
        <f>ROUND(Tableau14[[#This Row],[LEN]]*#REF!+#REF!,0)</f>
        <v>#REF!</v>
      </c>
    </row>
    <row r="245" spans="1:16" s="97" customFormat="1" x14ac:dyDescent="0.25">
      <c r="A245" s="25" t="s">
        <v>398</v>
      </c>
      <c r="B245" s="26" t="s">
        <v>251</v>
      </c>
      <c r="C245" s="27" t="s">
        <v>88</v>
      </c>
      <c r="D245" s="70" t="s">
        <v>28</v>
      </c>
      <c r="E245" s="27" t="s">
        <v>667</v>
      </c>
      <c r="F245" s="27" t="s">
        <v>1218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ROUND(Tableau14[[#This Row],[LEN]]*7.27,0)</f>
        <v>342</v>
      </c>
      <c r="L245" s="109">
        <v>15</v>
      </c>
      <c r="M245" s="127" t="str">
        <f t="shared" si="2"/>
        <v>none</v>
      </c>
      <c r="N245" s="109">
        <f>LEN(Tableau14[[#This Row],[LABEL]])</f>
        <v>47</v>
      </c>
      <c r="O245" s="109">
        <v>15</v>
      </c>
      <c r="P245" s="109" t="e">
        <f>ROUND(Tableau14[[#This Row],[LEN]]*#REF!+#REF!,0)</f>
        <v>#REF!</v>
      </c>
    </row>
    <row r="246" spans="1:16" s="97" customFormat="1" x14ac:dyDescent="0.25">
      <c r="A246" s="25" t="s">
        <v>399</v>
      </c>
      <c r="B246" s="26" t="s">
        <v>251</v>
      </c>
      <c r="C246" s="27" t="s">
        <v>89</v>
      </c>
      <c r="D246" s="70" t="s">
        <v>28</v>
      </c>
      <c r="E246" s="27" t="s">
        <v>661</v>
      </c>
      <c r="F246" s="27" t="s">
        <v>661</v>
      </c>
      <c r="G246" s="70" t="s">
        <v>166</v>
      </c>
      <c r="H246" s="70" t="s">
        <v>570</v>
      </c>
      <c r="I246" s="27"/>
      <c r="J246" s="28" t="s">
        <v>708</v>
      </c>
      <c r="K246" s="109">
        <f>ROUND(Tableau14[[#This Row],[LEN]]*7.27,0)</f>
        <v>262</v>
      </c>
      <c r="L246" s="109">
        <v>15</v>
      </c>
      <c r="M246" s="127" t="str">
        <f t="shared" si="2"/>
        <v>none</v>
      </c>
      <c r="N246" s="109">
        <f>LEN(Tableau14[[#This Row],[LABEL]])</f>
        <v>36</v>
      </c>
      <c r="O246" s="109">
        <v>15</v>
      </c>
      <c r="P246" s="109" t="e">
        <f>ROUND(Tableau14[[#This Row],[LEN]]*#REF!+#REF!,0)</f>
        <v>#REF!</v>
      </c>
    </row>
    <row r="247" spans="1:16" s="97" customFormat="1" x14ac:dyDescent="0.25">
      <c r="A247" s="25" t="s">
        <v>400</v>
      </c>
      <c r="B247" s="26" t="s">
        <v>251</v>
      </c>
      <c r="C247" s="27" t="s">
        <v>1167</v>
      </c>
      <c r="D247" s="70" t="s">
        <v>486</v>
      </c>
      <c r="E247" s="27" t="s">
        <v>1085</v>
      </c>
      <c r="F247" s="27" t="s">
        <v>1084</v>
      </c>
      <c r="G247" s="70" t="s">
        <v>1977</v>
      </c>
      <c r="H247" s="70" t="s">
        <v>1131</v>
      </c>
      <c r="I247" s="27"/>
      <c r="J247" s="28" t="s">
        <v>708</v>
      </c>
      <c r="K247" s="109">
        <f>ROUND(Tableau14[[#This Row],[LEN]]*7.27,0)</f>
        <v>196</v>
      </c>
      <c r="L247" s="109">
        <v>15</v>
      </c>
      <c r="M247" s="127" t="str">
        <f t="shared" si="2"/>
        <v>none</v>
      </c>
      <c r="N247" s="109">
        <f>LEN(Tableau14[[#This Row],[LABEL]])</f>
        <v>27</v>
      </c>
      <c r="O247" s="109">
        <v>15</v>
      </c>
      <c r="P247" s="109" t="e">
        <f>ROUND(Tableau14[[#This Row],[LEN]]*#REF!+#REF!,0)</f>
        <v>#REF!</v>
      </c>
    </row>
    <row r="248" spans="1:16" s="97" customFormat="1" x14ac:dyDescent="0.25">
      <c r="A248" s="29" t="s">
        <v>412</v>
      </c>
      <c r="B248" s="30" t="s">
        <v>400</v>
      </c>
      <c r="C248" s="31" t="s">
        <v>93</v>
      </c>
      <c r="D248" s="71" t="s">
        <v>28</v>
      </c>
      <c r="E248" s="31" t="s">
        <v>661</v>
      </c>
      <c r="F248" s="31" t="s">
        <v>661</v>
      </c>
      <c r="G248" s="71" t="s">
        <v>166</v>
      </c>
      <c r="H248" s="71" t="s">
        <v>18</v>
      </c>
      <c r="I248" s="31"/>
      <c r="J248" s="32" t="s">
        <v>101</v>
      </c>
      <c r="K248" s="111">
        <f>ROUND(Tableau14[[#This Row],[LEN]]*7.27,0)</f>
        <v>109</v>
      </c>
      <c r="L248" s="111">
        <v>15</v>
      </c>
      <c r="M248" s="128" t="str">
        <f t="shared" si="2"/>
        <v>new</v>
      </c>
      <c r="N248" s="111">
        <f>LEN(Tableau14[[#This Row],[LABEL]])</f>
        <v>15</v>
      </c>
      <c r="O248" s="111">
        <v>15</v>
      </c>
      <c r="P248" s="111" t="e">
        <f>ROUND(Tableau14[[#This Row],[LEN]]*#REF!+#REF!,0)</f>
        <v>#REF!</v>
      </c>
    </row>
    <row r="249" spans="1:16" s="97" customFormat="1" x14ac:dyDescent="0.25">
      <c r="A249" s="29" t="s">
        <v>413</v>
      </c>
      <c r="B249" s="30" t="s">
        <v>400</v>
      </c>
      <c r="C249" s="31" t="s">
        <v>94</v>
      </c>
      <c r="D249" s="71" t="s">
        <v>28</v>
      </c>
      <c r="E249" s="31" t="s">
        <v>661</v>
      </c>
      <c r="F249" s="31" t="s">
        <v>661</v>
      </c>
      <c r="G249" s="71" t="s">
        <v>166</v>
      </c>
      <c r="H249" s="71" t="s">
        <v>18</v>
      </c>
      <c r="I249" s="31"/>
      <c r="J249" s="32" t="s">
        <v>102</v>
      </c>
      <c r="K249" s="111">
        <f>ROUND(Tableau14[[#This Row],[LEN]]*7.27,0)</f>
        <v>58</v>
      </c>
      <c r="L249" s="111">
        <v>15</v>
      </c>
      <c r="M249" s="128" t="str">
        <f t="shared" si="2"/>
        <v>new</v>
      </c>
      <c r="N249" s="111">
        <f>LEN(Tableau14[[#This Row],[LABEL]])</f>
        <v>8</v>
      </c>
      <c r="O249" s="111">
        <v>15</v>
      </c>
      <c r="P249" s="111" t="e">
        <f>ROUND(Tableau14[[#This Row],[LEN]]*#REF!+#REF!,0)</f>
        <v>#REF!</v>
      </c>
    </row>
    <row r="250" spans="1:16" s="97" customFormat="1" x14ac:dyDescent="0.25">
      <c r="A250" s="25" t="s">
        <v>401</v>
      </c>
      <c r="B250" s="26" t="s">
        <v>251</v>
      </c>
      <c r="C250" s="27" t="s">
        <v>90</v>
      </c>
      <c r="D250" s="70" t="s">
        <v>28</v>
      </c>
      <c r="E250" s="27" t="s">
        <v>661</v>
      </c>
      <c r="F250" s="27" t="s">
        <v>661</v>
      </c>
      <c r="G250" s="70" t="s">
        <v>166</v>
      </c>
      <c r="H250" s="70" t="s">
        <v>654</v>
      </c>
      <c r="I250" s="27"/>
      <c r="J250" s="28" t="s">
        <v>708</v>
      </c>
      <c r="K250" s="109">
        <f>ROUND(Tableau14[[#This Row],[LEN]]*7.27,0)</f>
        <v>284</v>
      </c>
      <c r="L250" s="109">
        <v>15</v>
      </c>
      <c r="M250" s="127" t="str">
        <f t="shared" si="2"/>
        <v>none</v>
      </c>
      <c r="N250" s="109">
        <f>LEN(Tableau14[[#This Row],[LABEL]])</f>
        <v>39</v>
      </c>
      <c r="O250" s="109">
        <v>15</v>
      </c>
      <c r="P250" s="109" t="e">
        <f>ROUND(Tableau14[[#This Row],[LEN]]*#REF!+#REF!,0)</f>
        <v>#REF!</v>
      </c>
    </row>
    <row r="251" spans="1:16" s="97" customFormat="1" x14ac:dyDescent="0.25">
      <c r="A251" s="25" t="s">
        <v>402</v>
      </c>
      <c r="B251" s="26" t="s">
        <v>251</v>
      </c>
      <c r="C251" s="27" t="s">
        <v>778</v>
      </c>
      <c r="D251" s="70" t="s">
        <v>28</v>
      </c>
      <c r="E251" s="27" t="s">
        <v>673</v>
      </c>
      <c r="F251" s="27" t="s">
        <v>2000</v>
      </c>
      <c r="G251" s="70" t="s">
        <v>166</v>
      </c>
      <c r="H251" s="70" t="s">
        <v>17</v>
      </c>
      <c r="I251" s="27"/>
      <c r="J251" s="28" t="s">
        <v>708</v>
      </c>
      <c r="K251" s="109">
        <f>ROUND(Tableau14[[#This Row],[LEN]]*7.27,0)</f>
        <v>211</v>
      </c>
      <c r="L251" s="109">
        <v>15</v>
      </c>
      <c r="M251" s="127" t="str">
        <f t="shared" si="2"/>
        <v>none</v>
      </c>
      <c r="N251" s="109">
        <f>LEN(Tableau14[[#This Row],[LABEL]])</f>
        <v>29</v>
      </c>
      <c r="O251" s="109">
        <v>15</v>
      </c>
      <c r="P251" s="109" t="e">
        <f>ROUND(Tableau14[[#This Row],[LEN]]*#REF!+#REF!,0)</f>
        <v>#REF!</v>
      </c>
    </row>
    <row r="252" spans="1:16" s="97" customFormat="1" x14ac:dyDescent="0.25">
      <c r="A252" s="25" t="s">
        <v>403</v>
      </c>
      <c r="B252" s="26" t="s">
        <v>251</v>
      </c>
      <c r="C252" s="27" t="s">
        <v>92</v>
      </c>
      <c r="D252" s="70" t="s">
        <v>28</v>
      </c>
      <c r="E252" s="27" t="s">
        <v>663</v>
      </c>
      <c r="F252" s="27" t="s">
        <v>786</v>
      </c>
      <c r="G252" s="70" t="s">
        <v>166</v>
      </c>
      <c r="H252" s="70" t="s">
        <v>655</v>
      </c>
      <c r="I252" s="27"/>
      <c r="J252" s="28" t="s">
        <v>708</v>
      </c>
      <c r="K252" s="109">
        <f>ROUND(Tableau14[[#This Row],[LEN]]*7.27,0)</f>
        <v>262</v>
      </c>
      <c r="L252" s="109">
        <v>15</v>
      </c>
      <c r="M252" s="127" t="str">
        <f t="shared" si="2"/>
        <v>none</v>
      </c>
      <c r="N252" s="109">
        <f>LEN(Tableau14[[#This Row],[LABEL]])</f>
        <v>36</v>
      </c>
      <c r="O252" s="109">
        <v>15</v>
      </c>
      <c r="P252" s="109" t="e">
        <f>ROUND(Tableau14[[#This Row],[LEN]]*#REF!+#REF!,0)</f>
        <v>#REF!</v>
      </c>
    </row>
    <row r="253" spans="1:16" s="97" customFormat="1" x14ac:dyDescent="0.25">
      <c r="A253" s="29" t="s">
        <v>414</v>
      </c>
      <c r="B253" s="30" t="s">
        <v>403</v>
      </c>
      <c r="C253" s="31" t="s">
        <v>95</v>
      </c>
      <c r="D253" s="71" t="s">
        <v>28</v>
      </c>
      <c r="E253" s="31" t="s">
        <v>663</v>
      </c>
      <c r="F253" s="31" t="s">
        <v>786</v>
      </c>
      <c r="G253" s="71" t="s">
        <v>166</v>
      </c>
      <c r="H253" s="71" t="s">
        <v>17</v>
      </c>
      <c r="I253" s="31"/>
      <c r="J253" s="32" t="s">
        <v>708</v>
      </c>
      <c r="K253" s="111">
        <f>ROUND(Tableau14[[#This Row],[LEN]]*7.27,0)</f>
        <v>254</v>
      </c>
      <c r="L253" s="111">
        <v>15</v>
      </c>
      <c r="M253" s="128" t="str">
        <f t="shared" si="2"/>
        <v>none</v>
      </c>
      <c r="N253" s="111">
        <f>LEN(Tableau14[[#This Row],[LABEL]])</f>
        <v>35</v>
      </c>
      <c r="O253" s="111">
        <v>15</v>
      </c>
      <c r="P253" s="111" t="e">
        <f>ROUND(Tableau14[[#This Row],[LEN]]*#REF!+#REF!,0)</f>
        <v>#REF!</v>
      </c>
    </row>
    <row r="254" spans="1:16" s="97" customFormat="1" x14ac:dyDescent="0.25">
      <c r="A254" s="29" t="s">
        <v>415</v>
      </c>
      <c r="B254" s="30" t="s">
        <v>403</v>
      </c>
      <c r="C254" s="31" t="s">
        <v>96</v>
      </c>
      <c r="D254" s="71" t="s">
        <v>28</v>
      </c>
      <c r="E254" s="31" t="s">
        <v>663</v>
      </c>
      <c r="F254" s="31" t="s">
        <v>786</v>
      </c>
      <c r="G254" s="71" t="s">
        <v>166</v>
      </c>
      <c r="H254" s="71" t="s">
        <v>570</v>
      </c>
      <c r="I254" s="31"/>
      <c r="J254" s="32" t="s">
        <v>708</v>
      </c>
      <c r="K254" s="111">
        <f>ROUND(Tableau14[[#This Row],[LEN]]*7.27,0)</f>
        <v>233</v>
      </c>
      <c r="L254" s="111">
        <v>15</v>
      </c>
      <c r="M254" s="128" t="str">
        <f t="shared" si="2"/>
        <v>none</v>
      </c>
      <c r="N254" s="111">
        <f>LEN(Tableau14[[#This Row],[LABEL]])</f>
        <v>32</v>
      </c>
      <c r="O254" s="111">
        <v>15</v>
      </c>
      <c r="P254" s="111" t="e">
        <f>ROUND(Tableau14[[#This Row],[LEN]]*#REF!+#REF!,0)</f>
        <v>#REF!</v>
      </c>
    </row>
    <row r="255" spans="1:16" s="97" customFormat="1" x14ac:dyDescent="0.25">
      <c r="A255" s="29" t="s">
        <v>416</v>
      </c>
      <c r="B255" s="30" t="s">
        <v>403</v>
      </c>
      <c r="C255" s="31" t="s">
        <v>97</v>
      </c>
      <c r="D255" s="71" t="s">
        <v>28</v>
      </c>
      <c r="E255" s="31" t="s">
        <v>663</v>
      </c>
      <c r="F255" s="31" t="s">
        <v>786</v>
      </c>
      <c r="G255" s="71" t="s">
        <v>166</v>
      </c>
      <c r="H255" s="71" t="s">
        <v>656</v>
      </c>
      <c r="I255" s="31"/>
      <c r="J255" s="32" t="s">
        <v>708</v>
      </c>
      <c r="K255" s="111">
        <f>ROUND(Tableau14[[#This Row],[LEN]]*7.27,0)</f>
        <v>145</v>
      </c>
      <c r="L255" s="111">
        <v>15</v>
      </c>
      <c r="M255" s="128" t="str">
        <f t="shared" si="2"/>
        <v>none</v>
      </c>
      <c r="N255" s="111">
        <f>LEN(Tableau14[[#This Row],[LABEL]])</f>
        <v>20</v>
      </c>
      <c r="O255" s="111">
        <v>15</v>
      </c>
      <c r="P255" s="111" t="e">
        <f>ROUND(Tableau14[[#This Row],[LEN]]*#REF!+#REF!,0)</f>
        <v>#REF!</v>
      </c>
    </row>
    <row r="256" spans="1:16" s="97" customFormat="1" x14ac:dyDescent="0.25">
      <c r="A256" s="25" t="s">
        <v>404</v>
      </c>
      <c r="B256" s="26" t="s">
        <v>251</v>
      </c>
      <c r="C256" s="27" t="s">
        <v>91</v>
      </c>
      <c r="D256" s="70" t="s">
        <v>28</v>
      </c>
      <c r="E256" s="27" t="s">
        <v>663</v>
      </c>
      <c r="F256" s="27" t="s">
        <v>786</v>
      </c>
      <c r="G256" s="70" t="s">
        <v>166</v>
      </c>
      <c r="H256" s="70" t="s">
        <v>655</v>
      </c>
      <c r="I256" s="27"/>
      <c r="J256" s="28" t="s">
        <v>708</v>
      </c>
      <c r="K256" s="109">
        <f>ROUND(Tableau14[[#This Row],[LEN]]*7.27,0)</f>
        <v>269</v>
      </c>
      <c r="L256" s="109">
        <v>15</v>
      </c>
      <c r="M256" s="127" t="str">
        <f t="shared" si="2"/>
        <v>none</v>
      </c>
      <c r="N256" s="109">
        <f>LEN(Tableau14[[#This Row],[LABEL]])</f>
        <v>37</v>
      </c>
      <c r="O256" s="109">
        <v>15</v>
      </c>
      <c r="P256" s="109" t="e">
        <f>ROUND(Tableau14[[#This Row],[LEN]]*#REF!+#REF!,0)</f>
        <v>#REF!</v>
      </c>
    </row>
    <row r="257" spans="1:16" s="97" customFormat="1" x14ac:dyDescent="0.25">
      <c r="A257" s="29" t="s">
        <v>417</v>
      </c>
      <c r="B257" s="30" t="s">
        <v>404</v>
      </c>
      <c r="C257" s="31" t="s">
        <v>98</v>
      </c>
      <c r="D257" s="71" t="s">
        <v>28</v>
      </c>
      <c r="E257" s="31" t="s">
        <v>663</v>
      </c>
      <c r="F257" s="31" t="s">
        <v>1358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ROUND(Tableau14[[#This Row],[LEN]]*7.27,0)</f>
        <v>109</v>
      </c>
      <c r="L257" s="111">
        <v>15</v>
      </c>
      <c r="M257" s="128" t="str">
        <f t="shared" si="2"/>
        <v>none</v>
      </c>
      <c r="N257" s="111">
        <f>LEN(Tableau14[[#This Row],[LABEL]])</f>
        <v>15</v>
      </c>
      <c r="O257" s="111">
        <v>15</v>
      </c>
      <c r="P257" s="111" t="e">
        <f>ROUND(Tableau14[[#This Row],[LEN]]*#REF!+#REF!,0)</f>
        <v>#REF!</v>
      </c>
    </row>
    <row r="258" spans="1:16" s="97" customFormat="1" x14ac:dyDescent="0.25">
      <c r="A258" s="29" t="s">
        <v>418</v>
      </c>
      <c r="B258" s="30" t="s">
        <v>404</v>
      </c>
      <c r="C258" s="31" t="s">
        <v>99</v>
      </c>
      <c r="D258" s="71" t="s">
        <v>28</v>
      </c>
      <c r="E258" s="31" t="s">
        <v>663</v>
      </c>
      <c r="F258" s="31" t="s">
        <v>1358</v>
      </c>
      <c r="G258" s="71" t="s">
        <v>166</v>
      </c>
      <c r="H258" s="71" t="s">
        <v>18</v>
      </c>
      <c r="I258" s="31"/>
      <c r="J258" s="32" t="s">
        <v>708</v>
      </c>
      <c r="K258" s="111">
        <f>ROUND(Tableau14[[#This Row],[LEN]]*7.27,0)</f>
        <v>80</v>
      </c>
      <c r="L258" s="111">
        <v>15</v>
      </c>
      <c r="M258" s="128" t="str">
        <f t="shared" si="2"/>
        <v>none</v>
      </c>
      <c r="N258" s="111">
        <f>LEN(Tableau14[[#This Row],[LABEL]])</f>
        <v>11</v>
      </c>
      <c r="O258" s="111">
        <v>15</v>
      </c>
      <c r="P258" s="111" t="e">
        <f>ROUND(Tableau14[[#This Row],[LEN]]*#REF!+#REF!,0)</f>
        <v>#REF!</v>
      </c>
    </row>
    <row r="259" spans="1:16" s="97" customFormat="1" x14ac:dyDescent="0.25">
      <c r="A259" s="25" t="s">
        <v>405</v>
      </c>
      <c r="B259" s="26" t="s">
        <v>251</v>
      </c>
      <c r="C259" s="27" t="s">
        <v>1167</v>
      </c>
      <c r="D259" s="70" t="s">
        <v>486</v>
      </c>
      <c r="E259" s="27" t="s">
        <v>1085</v>
      </c>
      <c r="F259" s="27" t="s">
        <v>1084</v>
      </c>
      <c r="G259" s="70" t="s">
        <v>1977</v>
      </c>
      <c r="H259" s="70" t="s">
        <v>1131</v>
      </c>
      <c r="I259" s="27"/>
      <c r="J259" s="28" t="s">
        <v>708</v>
      </c>
      <c r="K259" s="109">
        <f>ROUND(Tableau14[[#This Row],[LEN]]*7.27,0)</f>
        <v>196</v>
      </c>
      <c r="L259" s="109">
        <v>15</v>
      </c>
      <c r="M259" s="127" t="str">
        <f t="shared" si="2"/>
        <v>none</v>
      </c>
      <c r="N259" s="109">
        <f>LEN(Tableau14[[#This Row],[LABEL]])</f>
        <v>27</v>
      </c>
      <c r="O259" s="109">
        <v>15</v>
      </c>
      <c r="P259" s="109" t="e">
        <f>ROUND(Tableau14[[#This Row],[LEN]]*#REF!+#REF!,0)</f>
        <v>#REF!</v>
      </c>
    </row>
    <row r="260" spans="1:16" s="97" customFormat="1" x14ac:dyDescent="0.25">
      <c r="A260" s="29" t="s">
        <v>1203</v>
      </c>
      <c r="B260" s="30" t="s">
        <v>405</v>
      </c>
      <c r="C260" s="31" t="s">
        <v>93</v>
      </c>
      <c r="D260" s="71" t="s">
        <v>28</v>
      </c>
      <c r="E260" s="31" t="s">
        <v>1085</v>
      </c>
      <c r="F260" s="31" t="s">
        <v>1084</v>
      </c>
      <c r="G260" s="71" t="s">
        <v>166</v>
      </c>
      <c r="H260" s="71" t="s">
        <v>18</v>
      </c>
      <c r="I260" s="31"/>
      <c r="J260" s="32" t="s">
        <v>101</v>
      </c>
      <c r="K260" s="111">
        <f>ROUND(Tableau14[[#This Row],[LEN]]*7.27,0)</f>
        <v>109</v>
      </c>
      <c r="L260" s="111">
        <v>15</v>
      </c>
      <c r="M260" s="128" t="str">
        <f t="shared" si="2"/>
        <v>new</v>
      </c>
      <c r="N260" s="111">
        <f>LEN(Tableau14[[#This Row],[LABEL]])</f>
        <v>15</v>
      </c>
      <c r="O260" s="111">
        <v>15</v>
      </c>
      <c r="P260" s="111" t="e">
        <f>ROUND(Tableau14[[#This Row],[LEN]]*#REF!+#REF!,0)</f>
        <v>#REF!</v>
      </c>
    </row>
    <row r="261" spans="1:16" s="97" customFormat="1" x14ac:dyDescent="0.25">
      <c r="A261" s="29" t="s">
        <v>1204</v>
      </c>
      <c r="B261" s="30" t="s">
        <v>405</v>
      </c>
      <c r="C261" s="31" t="s">
        <v>94</v>
      </c>
      <c r="D261" s="71" t="s">
        <v>28</v>
      </c>
      <c r="E261" s="31" t="s">
        <v>1085</v>
      </c>
      <c r="F261" s="31" t="s">
        <v>1084</v>
      </c>
      <c r="G261" s="71" t="s">
        <v>166</v>
      </c>
      <c r="H261" s="71" t="s">
        <v>18</v>
      </c>
      <c r="I261" s="31"/>
      <c r="J261" s="32" t="s">
        <v>102</v>
      </c>
      <c r="K261" s="111">
        <f>ROUND(Tableau14[[#This Row],[LEN]]*7.27,0)</f>
        <v>58</v>
      </c>
      <c r="L261" s="111">
        <v>15</v>
      </c>
      <c r="M261" s="128" t="str">
        <f t="shared" si="2"/>
        <v>new</v>
      </c>
      <c r="N261" s="111">
        <f>LEN(Tableau14[[#This Row],[LABEL]])</f>
        <v>8</v>
      </c>
      <c r="O261" s="111">
        <v>15</v>
      </c>
      <c r="P261" s="111" t="e">
        <f>ROUND(Tableau14[[#This Row],[LEN]]*#REF!+#REF!,0)</f>
        <v>#REF!</v>
      </c>
    </row>
    <row r="262" spans="1:16" s="273" customFormat="1" x14ac:dyDescent="0.25">
      <c r="A262" s="288" t="s">
        <v>252</v>
      </c>
      <c r="B262" s="289" t="s">
        <v>206</v>
      </c>
      <c r="C262" s="290" t="s">
        <v>4</v>
      </c>
      <c r="D262" s="291" t="s">
        <v>28</v>
      </c>
      <c r="E262" s="290" t="s">
        <v>666</v>
      </c>
      <c r="F262" s="290" t="s">
        <v>666</v>
      </c>
      <c r="G262" s="291" t="s">
        <v>166</v>
      </c>
      <c r="H262" s="291" t="str">
        <f>IFERROR(IF(SEARCH(".00.00.00.00.00",Tableau14[[#This Row],[name]],1)=7,"Division",""),"")</f>
        <v>Division</v>
      </c>
      <c r="I262" s="290"/>
      <c r="J262" s="292" t="s">
        <v>712</v>
      </c>
      <c r="K262" s="293">
        <f>ROUND(Tableau14[[#This Row],[LEN]]*7.27,0)</f>
        <v>36</v>
      </c>
      <c r="L262" s="293">
        <v>15</v>
      </c>
      <c r="M262" s="294" t="str">
        <f t="shared" si="2"/>
        <v>new</v>
      </c>
      <c r="N262" s="293">
        <f>LEN(Tableau14[[#This Row],[LABEL]])</f>
        <v>5</v>
      </c>
      <c r="O262" s="293">
        <v>15</v>
      </c>
      <c r="P262" s="293" t="e">
        <f>ROUND(Tableau14[[#This Row],[LEN]]*#REF!+#REF!,0)</f>
        <v>#REF!</v>
      </c>
    </row>
    <row r="263" spans="1:16" s="97" customFormat="1" x14ac:dyDescent="0.25">
      <c r="A263" s="25" t="s">
        <v>1058</v>
      </c>
      <c r="B263" s="26" t="s">
        <v>252</v>
      </c>
      <c r="C263" s="27" t="s">
        <v>86</v>
      </c>
      <c r="D263" s="70" t="s">
        <v>28</v>
      </c>
      <c r="E263" s="27" t="s">
        <v>666</v>
      </c>
      <c r="F263" s="27" t="s">
        <v>1069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ROUND(Tableau14[[#This Row],[LEN]]*7.27,0)</f>
        <v>269</v>
      </c>
      <c r="L263" s="109">
        <v>15</v>
      </c>
      <c r="M263" s="127" t="str">
        <f t="shared" si="2"/>
        <v>none</v>
      </c>
      <c r="N263" s="109">
        <f>LEN(Tableau14[[#This Row],[LABEL]])</f>
        <v>37</v>
      </c>
      <c r="O263" s="109">
        <v>15</v>
      </c>
      <c r="P263" s="109" t="e">
        <f>ROUND(Tableau14[[#This Row],[LEN]]*#REF!+#REF!,0)</f>
        <v>#REF!</v>
      </c>
    </row>
    <row r="264" spans="1:16" s="97" customFormat="1" x14ac:dyDescent="0.25">
      <c r="A264" s="25" t="s">
        <v>1059</v>
      </c>
      <c r="B264" s="26" t="s">
        <v>252</v>
      </c>
      <c r="C264" s="27" t="s">
        <v>87</v>
      </c>
      <c r="D264" s="70" t="s">
        <v>28</v>
      </c>
      <c r="E264" s="27" t="s">
        <v>663</v>
      </c>
      <c r="F264" s="27" t="s">
        <v>681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ROUND(Tableau14[[#This Row],[LEN]]*7.27,0)</f>
        <v>182</v>
      </c>
      <c r="L264" s="109">
        <v>15</v>
      </c>
      <c r="M264" s="127" t="str">
        <f t="shared" si="2"/>
        <v>none</v>
      </c>
      <c r="N264" s="109">
        <f>LEN(Tableau14[[#This Row],[LABEL]])</f>
        <v>25</v>
      </c>
      <c r="O264" s="109">
        <v>15</v>
      </c>
      <c r="P264" s="109" t="e">
        <f>ROUND(Tableau14[[#This Row],[LEN]]*#REF!+#REF!,0)</f>
        <v>#REF!</v>
      </c>
    </row>
    <row r="265" spans="1:16" s="97" customFormat="1" x14ac:dyDescent="0.25">
      <c r="A265" s="25" t="s">
        <v>1060</v>
      </c>
      <c r="B265" s="26" t="s">
        <v>252</v>
      </c>
      <c r="C265" s="27" t="s">
        <v>88</v>
      </c>
      <c r="D265" s="70" t="s">
        <v>28</v>
      </c>
      <c r="E265" s="27" t="s">
        <v>667</v>
      </c>
      <c r="F265" s="27" t="s">
        <v>1218</v>
      </c>
      <c r="G265" s="70" t="s">
        <v>166</v>
      </c>
      <c r="H265" s="70" t="s">
        <v>570</v>
      </c>
      <c r="I265" s="27"/>
      <c r="J265" s="28" t="s">
        <v>708</v>
      </c>
      <c r="K265" s="109">
        <f>ROUND(Tableau14[[#This Row],[LEN]]*7.27,0)</f>
        <v>342</v>
      </c>
      <c r="L265" s="109">
        <v>15</v>
      </c>
      <c r="M265" s="127" t="str">
        <f t="shared" si="2"/>
        <v>none</v>
      </c>
      <c r="N265" s="109">
        <f>LEN(Tableau14[[#This Row],[LABEL]])</f>
        <v>47</v>
      </c>
      <c r="O265" s="109">
        <v>15</v>
      </c>
      <c r="P265" s="109" t="e">
        <f>ROUND(Tableau14[[#This Row],[LEN]]*#REF!+#REF!,0)</f>
        <v>#REF!</v>
      </c>
    </row>
    <row r="266" spans="1:16" s="97" customFormat="1" x14ac:dyDescent="0.25">
      <c r="A266" s="25" t="s">
        <v>1061</v>
      </c>
      <c r="B266" s="26" t="s">
        <v>252</v>
      </c>
      <c r="C266" s="27" t="s">
        <v>1071</v>
      </c>
      <c r="D266" s="70" t="s">
        <v>28</v>
      </c>
      <c r="E266" s="27" t="s">
        <v>666</v>
      </c>
      <c r="F266" s="27" t="s">
        <v>784</v>
      </c>
      <c r="G266" s="70" t="s">
        <v>166</v>
      </c>
      <c r="H266" s="70" t="s">
        <v>655</v>
      </c>
      <c r="I266" s="27"/>
      <c r="J266" s="28" t="s">
        <v>708</v>
      </c>
      <c r="K266" s="109">
        <f>ROUND(Tableau14[[#This Row],[LEN]]*7.27,0)</f>
        <v>247</v>
      </c>
      <c r="L266" s="109">
        <v>15</v>
      </c>
      <c r="M266" s="127" t="str">
        <f t="shared" si="2"/>
        <v>none</v>
      </c>
      <c r="N266" s="109">
        <f>LEN(Tableau14[[#This Row],[LABEL]])</f>
        <v>34</v>
      </c>
      <c r="O266" s="109">
        <v>15</v>
      </c>
      <c r="P266" s="109" t="e">
        <f>ROUND(Tableau14[[#This Row],[LEN]]*#REF!+#REF!,0)</f>
        <v>#REF!</v>
      </c>
    </row>
    <row r="267" spans="1:16" s="97" customFormat="1" x14ac:dyDescent="0.25">
      <c r="A267" s="29" t="s">
        <v>1074</v>
      </c>
      <c r="B267" s="30" t="s">
        <v>1061</v>
      </c>
      <c r="C267" s="31" t="s">
        <v>1086</v>
      </c>
      <c r="D267" s="71" t="s">
        <v>28</v>
      </c>
      <c r="E267" s="31" t="s">
        <v>666</v>
      </c>
      <c r="F267" s="31" t="s">
        <v>784</v>
      </c>
      <c r="G267" s="71" t="s">
        <v>166</v>
      </c>
      <c r="H267" s="71" t="s">
        <v>655</v>
      </c>
      <c r="I267" s="31"/>
      <c r="J267" s="32" t="s">
        <v>708</v>
      </c>
      <c r="K267" s="111">
        <f>ROUND(Tableau14[[#This Row],[LEN]]*7.27,0)</f>
        <v>87</v>
      </c>
      <c r="L267" s="111">
        <v>15</v>
      </c>
      <c r="M267" s="128" t="str">
        <f t="shared" si="2"/>
        <v>none</v>
      </c>
      <c r="N267" s="111">
        <f>LEN(Tableau14[[#This Row],[LABEL]])</f>
        <v>12</v>
      </c>
      <c r="O267" s="111">
        <v>15</v>
      </c>
      <c r="P267" s="111" t="e">
        <f>ROUND(Tableau14[[#This Row],[LEN]]*#REF!+#REF!,0)</f>
        <v>#REF!</v>
      </c>
    </row>
    <row r="268" spans="1:16" s="97" customFormat="1" x14ac:dyDescent="0.25">
      <c r="A268" s="86" t="s">
        <v>1094</v>
      </c>
      <c r="B268" s="87" t="s">
        <v>1074</v>
      </c>
      <c r="C268" s="88" t="s">
        <v>1088</v>
      </c>
      <c r="D268" s="89" t="s">
        <v>28</v>
      </c>
      <c r="E268" s="88" t="s">
        <v>666</v>
      </c>
      <c r="F268" s="88" t="s">
        <v>784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ROUND(Tableau14[[#This Row],[LEN]]*7.27,0)</f>
        <v>196</v>
      </c>
      <c r="L268" s="112">
        <v>15</v>
      </c>
      <c r="M268" s="129" t="str">
        <f t="shared" si="2"/>
        <v>none</v>
      </c>
      <c r="N268" s="112">
        <f>LEN(Tableau14[[#This Row],[LABEL]])</f>
        <v>27</v>
      </c>
      <c r="O268" s="112">
        <v>15</v>
      </c>
      <c r="P268" s="112" t="e">
        <f>ROUND(Tableau14[[#This Row],[LEN]]*#REF!+#REF!,0)</f>
        <v>#REF!</v>
      </c>
    </row>
    <row r="269" spans="1:16" s="97" customFormat="1" x14ac:dyDescent="0.25">
      <c r="A269" s="86" t="s">
        <v>1095</v>
      </c>
      <c r="B269" s="87" t="s">
        <v>1074</v>
      </c>
      <c r="C269" s="88" t="s">
        <v>1089</v>
      </c>
      <c r="D269" s="89" t="s">
        <v>28</v>
      </c>
      <c r="E269" s="88" t="s">
        <v>666</v>
      </c>
      <c r="F269" s="88" t="s">
        <v>784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ROUND(Tableau14[[#This Row],[LEN]]*7.27,0)</f>
        <v>36</v>
      </c>
      <c r="L269" s="112">
        <v>15</v>
      </c>
      <c r="M269" s="129" t="str">
        <f t="shared" si="2"/>
        <v>none</v>
      </c>
      <c r="N269" s="112">
        <f>LEN(Tableau14[[#This Row],[LABEL]])</f>
        <v>5</v>
      </c>
      <c r="O269" s="112">
        <v>15</v>
      </c>
      <c r="P269" s="112" t="e">
        <f>ROUND(Tableau14[[#This Row],[LEN]]*#REF!+#REF!,0)</f>
        <v>#REF!</v>
      </c>
    </row>
    <row r="270" spans="1:16" s="97" customFormat="1" x14ac:dyDescent="0.25">
      <c r="A270" s="86" t="s">
        <v>1096</v>
      </c>
      <c r="B270" s="87" t="s">
        <v>1074</v>
      </c>
      <c r="C270" s="88" t="s">
        <v>1090</v>
      </c>
      <c r="D270" s="89" t="s">
        <v>28</v>
      </c>
      <c r="E270" s="88" t="s">
        <v>666</v>
      </c>
      <c r="F270" s="88" t="s">
        <v>784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ROUND(Tableau14[[#This Row],[LEN]]*7.27,0)</f>
        <v>29</v>
      </c>
      <c r="L270" s="112">
        <v>15</v>
      </c>
      <c r="M270" s="129" t="str">
        <f t="shared" si="2"/>
        <v>none</v>
      </c>
      <c r="N270" s="112">
        <f>LEN(Tableau14[[#This Row],[LABEL]])</f>
        <v>4</v>
      </c>
      <c r="O270" s="112">
        <v>15</v>
      </c>
      <c r="P270" s="112" t="e">
        <f>ROUND(Tableau14[[#This Row],[LEN]]*#REF!+#REF!,0)</f>
        <v>#REF!</v>
      </c>
    </row>
    <row r="271" spans="1:16" s="97" customFormat="1" x14ac:dyDescent="0.25">
      <c r="A271" s="86" t="s">
        <v>1097</v>
      </c>
      <c r="B271" s="87" t="s">
        <v>1074</v>
      </c>
      <c r="C271" s="88" t="s">
        <v>1091</v>
      </c>
      <c r="D271" s="89" t="s">
        <v>28</v>
      </c>
      <c r="E271" s="88" t="s">
        <v>666</v>
      </c>
      <c r="F271" s="88" t="s">
        <v>784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ROUND(Tableau14[[#This Row],[LEN]]*7.27,0)</f>
        <v>102</v>
      </c>
      <c r="L271" s="112">
        <v>15</v>
      </c>
      <c r="M271" s="129" t="str">
        <f t="shared" si="2"/>
        <v>none</v>
      </c>
      <c r="N271" s="112">
        <f>LEN(Tableau14[[#This Row],[LABEL]])</f>
        <v>14</v>
      </c>
      <c r="O271" s="112">
        <v>15</v>
      </c>
      <c r="P271" s="112" t="e">
        <f>ROUND(Tableau14[[#This Row],[LEN]]*#REF!+#REF!,0)</f>
        <v>#REF!</v>
      </c>
    </row>
    <row r="272" spans="1:16" s="97" customFormat="1" x14ac:dyDescent="0.25">
      <c r="A272" s="86" t="s">
        <v>1098</v>
      </c>
      <c r="B272" s="212" t="s">
        <v>1074</v>
      </c>
      <c r="C272" s="88" t="s">
        <v>1092</v>
      </c>
      <c r="D272" s="89" t="s">
        <v>28</v>
      </c>
      <c r="E272" s="88" t="s">
        <v>666</v>
      </c>
      <c r="F272" s="88" t="s">
        <v>784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ROUND(Tableau14[[#This Row],[LEN]]*7.27,0)</f>
        <v>153</v>
      </c>
      <c r="L272" s="112">
        <v>15</v>
      </c>
      <c r="M272" s="129" t="str">
        <f t="shared" si="2"/>
        <v>none</v>
      </c>
      <c r="N272" s="112">
        <f>LEN(Tableau14[[#This Row],[LABEL]])</f>
        <v>21</v>
      </c>
      <c r="O272" s="112">
        <v>15</v>
      </c>
      <c r="P272" s="112" t="e">
        <f>ROUND(Tableau14[[#This Row],[LEN]]*#REF!+#REF!,0)</f>
        <v>#REF!</v>
      </c>
    </row>
    <row r="273" spans="1:16" s="97" customFormat="1" x14ac:dyDescent="0.25">
      <c r="A273" s="86" t="s">
        <v>1099</v>
      </c>
      <c r="B273" s="212" t="s">
        <v>1074</v>
      </c>
      <c r="C273" s="88" t="s">
        <v>1093</v>
      </c>
      <c r="D273" s="89" t="s">
        <v>28</v>
      </c>
      <c r="E273" s="88" t="s">
        <v>666</v>
      </c>
      <c r="F273" s="88" t="s">
        <v>784</v>
      </c>
      <c r="G273" s="89" t="s">
        <v>166</v>
      </c>
      <c r="H273" s="90" t="s">
        <v>18</v>
      </c>
      <c r="I273" s="88"/>
      <c r="J273" s="91" t="s">
        <v>708</v>
      </c>
      <c r="K273" s="112">
        <f>ROUND(Tableau14[[#This Row],[LEN]]*7.27,0)</f>
        <v>269</v>
      </c>
      <c r="L273" s="112">
        <v>15</v>
      </c>
      <c r="M273" s="129" t="str">
        <f t="shared" si="2"/>
        <v>none</v>
      </c>
      <c r="N273" s="112">
        <f>LEN(Tableau14[[#This Row],[LABEL]])</f>
        <v>37</v>
      </c>
      <c r="O273" s="112">
        <v>15</v>
      </c>
      <c r="P273" s="112" t="e">
        <f>ROUND(Tableau14[[#This Row],[LEN]]*#REF!+#REF!,0)</f>
        <v>#REF!</v>
      </c>
    </row>
    <row r="274" spans="1:16" s="97" customFormat="1" x14ac:dyDescent="0.25">
      <c r="A274" s="29" t="s">
        <v>1075</v>
      </c>
      <c r="B274" s="30" t="s">
        <v>1061</v>
      </c>
      <c r="C274" s="31" t="s">
        <v>1087</v>
      </c>
      <c r="D274" s="71" t="s">
        <v>28</v>
      </c>
      <c r="E274" s="31" t="s">
        <v>666</v>
      </c>
      <c r="F274" s="31" t="s">
        <v>784</v>
      </c>
      <c r="G274" s="71" t="s">
        <v>166</v>
      </c>
      <c r="H274" s="71" t="s">
        <v>655</v>
      </c>
      <c r="I274" s="31"/>
      <c r="J274" s="32" t="s">
        <v>708</v>
      </c>
      <c r="K274" s="111">
        <f>ROUND(Tableau14[[#This Row],[LEN]]*7.27,0)</f>
        <v>109</v>
      </c>
      <c r="L274" s="111">
        <v>15</v>
      </c>
      <c r="M274" s="128" t="str">
        <f t="shared" si="2"/>
        <v>none</v>
      </c>
      <c r="N274" s="111">
        <f>LEN(Tableau14[[#This Row],[LABEL]])</f>
        <v>15</v>
      </c>
      <c r="O274" s="111">
        <v>15</v>
      </c>
      <c r="P274" s="111" t="e">
        <f>ROUND(Tableau14[[#This Row],[LEN]]*#REF!+#REF!,0)</f>
        <v>#REF!</v>
      </c>
    </row>
    <row r="275" spans="1:16" s="97" customFormat="1" x14ac:dyDescent="0.25">
      <c r="A275" s="86" t="s">
        <v>1102</v>
      </c>
      <c r="B275" s="87" t="s">
        <v>1075</v>
      </c>
      <c r="C275" s="88" t="s">
        <v>1100</v>
      </c>
      <c r="D275" s="89" t="s">
        <v>28</v>
      </c>
      <c r="E275" s="88" t="s">
        <v>666</v>
      </c>
      <c r="F275" s="88" t="s">
        <v>784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ROUND(Tableau14[[#This Row],[LEN]]*7.27,0)</f>
        <v>22</v>
      </c>
      <c r="L275" s="112">
        <v>15</v>
      </c>
      <c r="M275" s="129" t="str">
        <f t="shared" si="2"/>
        <v>none</v>
      </c>
      <c r="N275" s="112">
        <f>LEN(Tableau14[[#This Row],[LABEL]])</f>
        <v>3</v>
      </c>
      <c r="O275" s="112">
        <v>15</v>
      </c>
      <c r="P275" s="112" t="e">
        <f>ROUND(Tableau14[[#This Row],[LEN]]*#REF!+#REF!,0)</f>
        <v>#REF!</v>
      </c>
    </row>
    <row r="276" spans="1:16" s="97" customFormat="1" x14ac:dyDescent="0.25">
      <c r="A276" s="86" t="s">
        <v>1103</v>
      </c>
      <c r="B276" s="87" t="s">
        <v>1075</v>
      </c>
      <c r="C276" s="88" t="s">
        <v>1101</v>
      </c>
      <c r="D276" s="89" t="s">
        <v>28</v>
      </c>
      <c r="E276" s="88" t="s">
        <v>666</v>
      </c>
      <c r="F276" s="88" t="s">
        <v>784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ROUND(Tableau14[[#This Row],[LEN]]*7.27,0)</f>
        <v>36</v>
      </c>
      <c r="L276" s="112">
        <v>15</v>
      </c>
      <c r="M276" s="129" t="str">
        <f t="shared" si="2"/>
        <v>none</v>
      </c>
      <c r="N276" s="112">
        <f>LEN(Tableau14[[#This Row],[LABEL]])</f>
        <v>5</v>
      </c>
      <c r="O276" s="112">
        <v>15</v>
      </c>
      <c r="P276" s="112" t="e">
        <f>ROUND(Tableau14[[#This Row],[LEN]]*#REF!+#REF!,0)</f>
        <v>#REF!</v>
      </c>
    </row>
    <row r="277" spans="1:16" s="97" customFormat="1" x14ac:dyDescent="0.25">
      <c r="A277" s="86" t="s">
        <v>1104</v>
      </c>
      <c r="B277" s="87" t="s">
        <v>1075</v>
      </c>
      <c r="C277" s="88" t="s">
        <v>812</v>
      </c>
      <c r="D277" s="89" t="s">
        <v>28</v>
      </c>
      <c r="E277" s="88" t="s">
        <v>666</v>
      </c>
      <c r="F277" s="88" t="s">
        <v>784</v>
      </c>
      <c r="G277" s="89" t="s">
        <v>166</v>
      </c>
      <c r="H277" s="90" t="s">
        <v>18</v>
      </c>
      <c r="I277" s="88"/>
      <c r="J277" s="91" t="s">
        <v>708</v>
      </c>
      <c r="K277" s="112">
        <f>ROUND(Tableau14[[#This Row],[LEN]]*7.27,0)</f>
        <v>131</v>
      </c>
      <c r="L277" s="112">
        <v>15</v>
      </c>
      <c r="M277" s="129" t="str">
        <f t="shared" si="2"/>
        <v>none</v>
      </c>
      <c r="N277" s="112">
        <f>LEN(Tableau14[[#This Row],[LABEL]])</f>
        <v>18</v>
      </c>
      <c r="O277" s="112">
        <v>15</v>
      </c>
      <c r="P277" s="112" t="e">
        <f>ROUND(Tableau14[[#This Row],[LEN]]*#REF!+#REF!,0)</f>
        <v>#REF!</v>
      </c>
    </row>
    <row r="278" spans="1:16" s="97" customFormat="1" x14ac:dyDescent="0.25">
      <c r="A278" s="29" t="s">
        <v>1076</v>
      </c>
      <c r="B278" s="30" t="s">
        <v>1061</v>
      </c>
      <c r="C278" s="31" t="s">
        <v>15</v>
      </c>
      <c r="D278" s="71" t="s">
        <v>28</v>
      </c>
      <c r="E278" s="31" t="s">
        <v>666</v>
      </c>
      <c r="F278" s="31" t="s">
        <v>784</v>
      </c>
      <c r="G278" s="71" t="s">
        <v>166</v>
      </c>
      <c r="H278" s="71" t="s">
        <v>655</v>
      </c>
      <c r="I278" s="31"/>
      <c r="J278" s="32" t="s">
        <v>708</v>
      </c>
      <c r="K278" s="111">
        <f>ROUND(Tableau14[[#This Row],[LEN]]*7.27,0)</f>
        <v>174</v>
      </c>
      <c r="L278" s="111">
        <v>15</v>
      </c>
      <c r="M278" s="128" t="str">
        <f t="shared" si="2"/>
        <v>none</v>
      </c>
      <c r="N278" s="111">
        <f>LEN(Tableau14[[#This Row],[LABEL]])</f>
        <v>24</v>
      </c>
      <c r="O278" s="111">
        <v>15</v>
      </c>
      <c r="P278" s="111" t="e">
        <f>ROUND(Tableau14[[#This Row],[LEN]]*#REF!+#REF!,0)</f>
        <v>#REF!</v>
      </c>
    </row>
    <row r="279" spans="1:16" s="97" customFormat="1" x14ac:dyDescent="0.25">
      <c r="A279" s="86" t="s">
        <v>1105</v>
      </c>
      <c r="B279" s="87" t="s">
        <v>1076</v>
      </c>
      <c r="C279" s="88" t="s">
        <v>1100</v>
      </c>
      <c r="D279" s="89" t="s">
        <v>28</v>
      </c>
      <c r="E279" s="88" t="s">
        <v>666</v>
      </c>
      <c r="F279" s="88" t="s">
        <v>784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ROUND(Tableau14[[#This Row],[LEN]]*7.27,0)</f>
        <v>22</v>
      </c>
      <c r="L279" s="112">
        <v>15</v>
      </c>
      <c r="M279" s="129" t="str">
        <f t="shared" si="2"/>
        <v>none</v>
      </c>
      <c r="N279" s="112">
        <f>LEN(Tableau14[[#This Row],[LABEL]])</f>
        <v>3</v>
      </c>
      <c r="O279" s="112">
        <v>15</v>
      </c>
      <c r="P279" s="112" t="e">
        <f>ROUND(Tableau14[[#This Row],[LEN]]*#REF!+#REF!,0)</f>
        <v>#REF!</v>
      </c>
    </row>
    <row r="280" spans="1:16" s="97" customFormat="1" x14ac:dyDescent="0.25">
      <c r="A280" s="86" t="s">
        <v>1106</v>
      </c>
      <c r="B280" s="87" t="s">
        <v>1076</v>
      </c>
      <c r="C280" s="88" t="s">
        <v>807</v>
      </c>
      <c r="D280" s="89" t="s">
        <v>28</v>
      </c>
      <c r="E280" s="88" t="s">
        <v>666</v>
      </c>
      <c r="F280" s="88" t="s">
        <v>784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ROUND(Tableau14[[#This Row],[LEN]]*7.27,0)</f>
        <v>218</v>
      </c>
      <c r="L280" s="112">
        <v>15</v>
      </c>
      <c r="M280" s="129" t="str">
        <f t="shared" si="2"/>
        <v>none</v>
      </c>
      <c r="N280" s="112">
        <f>LEN(Tableau14[[#This Row],[LABEL]])</f>
        <v>30</v>
      </c>
      <c r="O280" s="112">
        <v>15</v>
      </c>
      <c r="P280" s="112" t="e">
        <f>ROUND(Tableau14[[#This Row],[LEN]]*#REF!+#REF!,0)</f>
        <v>#REF!</v>
      </c>
    </row>
    <row r="281" spans="1:16" s="97" customFormat="1" x14ac:dyDescent="0.25">
      <c r="A281" s="86" t="s">
        <v>1107</v>
      </c>
      <c r="B281" s="87" t="s">
        <v>1076</v>
      </c>
      <c r="C281" s="88" t="s">
        <v>1112</v>
      </c>
      <c r="D281" s="89" t="s">
        <v>28</v>
      </c>
      <c r="E281" s="88" t="s">
        <v>666</v>
      </c>
      <c r="F281" s="88" t="s">
        <v>784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ROUND(Tableau14[[#This Row],[LEN]]*7.27,0)</f>
        <v>240</v>
      </c>
      <c r="L281" s="112">
        <v>15</v>
      </c>
      <c r="M281" s="129" t="str">
        <f t="shared" si="2"/>
        <v>none</v>
      </c>
      <c r="N281" s="112">
        <f>LEN(Tableau14[[#This Row],[LABEL]])</f>
        <v>33</v>
      </c>
      <c r="O281" s="112">
        <v>15</v>
      </c>
      <c r="P281" s="112" t="e">
        <f>ROUND(Tableau14[[#This Row],[LEN]]*#REF!+#REF!,0)</f>
        <v>#REF!</v>
      </c>
    </row>
    <row r="282" spans="1:16" s="97" customFormat="1" x14ac:dyDescent="0.25">
      <c r="A282" s="86" t="s">
        <v>1108</v>
      </c>
      <c r="B282" s="87" t="s">
        <v>1076</v>
      </c>
      <c r="C282" s="88" t="s">
        <v>1113</v>
      </c>
      <c r="D282" s="89" t="s">
        <v>28</v>
      </c>
      <c r="E282" s="88" t="s">
        <v>666</v>
      </c>
      <c r="F282" s="88" t="s">
        <v>784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ROUND(Tableau14[[#This Row],[LEN]]*7.27,0)</f>
        <v>116</v>
      </c>
      <c r="L282" s="112">
        <v>15</v>
      </c>
      <c r="M282" s="129" t="str">
        <f t="shared" si="2"/>
        <v>none</v>
      </c>
      <c r="N282" s="112">
        <f>LEN(Tableau14[[#This Row],[LABEL]])</f>
        <v>16</v>
      </c>
      <c r="O282" s="112">
        <v>15</v>
      </c>
      <c r="P282" s="112" t="e">
        <f>ROUND(Tableau14[[#This Row],[LEN]]*#REF!+#REF!,0)</f>
        <v>#REF!</v>
      </c>
    </row>
    <row r="283" spans="1:16" s="97" customFormat="1" x14ac:dyDescent="0.25">
      <c r="A283" s="86" t="s">
        <v>1109</v>
      </c>
      <c r="B283" s="87" t="s">
        <v>1076</v>
      </c>
      <c r="C283" s="88" t="s">
        <v>1114</v>
      </c>
      <c r="D283" s="89" t="s">
        <v>28</v>
      </c>
      <c r="E283" s="88" t="s">
        <v>666</v>
      </c>
      <c r="F283" s="88" t="s">
        <v>784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ROUND(Tableau14[[#This Row],[LEN]]*7.27,0)</f>
        <v>116</v>
      </c>
      <c r="L283" s="112">
        <v>15</v>
      </c>
      <c r="M283" s="129" t="str">
        <f t="shared" si="2"/>
        <v>none</v>
      </c>
      <c r="N283" s="112">
        <f>LEN(Tableau14[[#This Row],[LABEL]])</f>
        <v>16</v>
      </c>
      <c r="O283" s="112">
        <v>15</v>
      </c>
      <c r="P283" s="112" t="e">
        <f>ROUND(Tableau14[[#This Row],[LEN]]*#REF!+#REF!,0)</f>
        <v>#REF!</v>
      </c>
    </row>
    <row r="284" spans="1:16" s="97" customFormat="1" x14ac:dyDescent="0.25">
      <c r="A284" s="86" t="s">
        <v>1110</v>
      </c>
      <c r="B284" s="87" t="s">
        <v>1076</v>
      </c>
      <c r="C284" s="88" t="s">
        <v>806</v>
      </c>
      <c r="D284" s="89" t="s">
        <v>28</v>
      </c>
      <c r="E284" s="88" t="s">
        <v>666</v>
      </c>
      <c r="F284" s="88" t="s">
        <v>784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ROUND(Tableau14[[#This Row],[LEN]]*7.27,0)</f>
        <v>174</v>
      </c>
      <c r="L284" s="112">
        <v>15</v>
      </c>
      <c r="M284" s="129" t="str">
        <f t="shared" si="2"/>
        <v>none</v>
      </c>
      <c r="N284" s="112">
        <f>LEN(Tableau14[[#This Row],[LABEL]])</f>
        <v>24</v>
      </c>
      <c r="O284" s="112">
        <v>15</v>
      </c>
      <c r="P284" s="112" t="e">
        <f>ROUND(Tableau14[[#This Row],[LEN]]*#REF!+#REF!,0)</f>
        <v>#REF!</v>
      </c>
    </row>
    <row r="285" spans="1:16" s="97" customFormat="1" x14ac:dyDescent="0.25">
      <c r="A285" s="86" t="s">
        <v>1111</v>
      </c>
      <c r="B285" s="87" t="s">
        <v>1076</v>
      </c>
      <c r="C285" s="88" t="s">
        <v>812</v>
      </c>
      <c r="D285" s="89" t="s">
        <v>28</v>
      </c>
      <c r="E285" s="88" t="s">
        <v>666</v>
      </c>
      <c r="F285" s="88" t="s">
        <v>784</v>
      </c>
      <c r="G285" s="89" t="s">
        <v>166</v>
      </c>
      <c r="H285" s="90" t="s">
        <v>18</v>
      </c>
      <c r="I285" s="88"/>
      <c r="J285" s="91" t="s">
        <v>708</v>
      </c>
      <c r="K285" s="112">
        <f>ROUND(Tableau14[[#This Row],[LEN]]*7.27,0)</f>
        <v>131</v>
      </c>
      <c r="L285" s="112">
        <v>15</v>
      </c>
      <c r="M285" s="129" t="str">
        <f t="shared" si="2"/>
        <v>none</v>
      </c>
      <c r="N285" s="112">
        <f>LEN(Tableau14[[#This Row],[LABEL]])</f>
        <v>18</v>
      </c>
      <c r="O285" s="112">
        <v>15</v>
      </c>
      <c r="P285" s="112" t="e">
        <f>ROUND(Tableau14[[#This Row],[LEN]]*#REF!+#REF!,0)</f>
        <v>#REF!</v>
      </c>
    </row>
    <row r="286" spans="1:16" s="97" customFormat="1" x14ac:dyDescent="0.25">
      <c r="A286" s="25" t="s">
        <v>1062</v>
      </c>
      <c r="B286" s="26" t="s">
        <v>252</v>
      </c>
      <c r="C286" s="27" t="s">
        <v>1070</v>
      </c>
      <c r="D286" s="70" t="s">
        <v>28</v>
      </c>
      <c r="E286" s="27" t="s">
        <v>666</v>
      </c>
      <c r="F286" s="27" t="s">
        <v>666</v>
      </c>
      <c r="G286" s="70" t="s">
        <v>166</v>
      </c>
      <c r="H286" s="70" t="s">
        <v>656</v>
      </c>
      <c r="I286" s="27"/>
      <c r="J286" s="28" t="s">
        <v>708</v>
      </c>
      <c r="K286" s="109">
        <f>ROUND(Tableau14[[#This Row],[LEN]]*7.27,0)</f>
        <v>371</v>
      </c>
      <c r="L286" s="109">
        <v>15</v>
      </c>
      <c r="M286" s="127" t="str">
        <f t="shared" si="2"/>
        <v>none</v>
      </c>
      <c r="N286" s="109">
        <f>LEN(Tableau14[[#This Row],[LABEL]])</f>
        <v>51</v>
      </c>
      <c r="O286" s="109">
        <v>15</v>
      </c>
      <c r="P286" s="109" t="e">
        <f>ROUND(Tableau14[[#This Row],[LEN]]*#REF!+#REF!,0)</f>
        <v>#REF!</v>
      </c>
    </row>
    <row r="287" spans="1:16" s="97" customFormat="1" x14ac:dyDescent="0.25">
      <c r="A287" s="25" t="s">
        <v>1063</v>
      </c>
      <c r="B287" s="26" t="s">
        <v>252</v>
      </c>
      <c r="C287" s="27" t="s">
        <v>778</v>
      </c>
      <c r="D287" s="70" t="s">
        <v>28</v>
      </c>
      <c r="E287" s="27" t="s">
        <v>673</v>
      </c>
      <c r="F287" s="27" t="s">
        <v>2000</v>
      </c>
      <c r="G287" s="70" t="s">
        <v>166</v>
      </c>
      <c r="H287" s="70" t="s">
        <v>17</v>
      </c>
      <c r="I287" s="27"/>
      <c r="J287" s="28" t="s">
        <v>708</v>
      </c>
      <c r="K287" s="109">
        <f>ROUND(Tableau14[[#This Row],[LEN]]*7.27,0)</f>
        <v>211</v>
      </c>
      <c r="L287" s="109">
        <v>15</v>
      </c>
      <c r="M287" s="127" t="str">
        <f t="shared" si="2"/>
        <v>none</v>
      </c>
      <c r="N287" s="109">
        <f>LEN(Tableau14[[#This Row],[LABEL]])</f>
        <v>29</v>
      </c>
      <c r="O287" s="109">
        <v>15</v>
      </c>
      <c r="P287" s="109" t="e">
        <f>ROUND(Tableau14[[#This Row],[LEN]]*#REF!+#REF!,0)</f>
        <v>#REF!</v>
      </c>
    </row>
    <row r="288" spans="1:16" s="97" customFormat="1" x14ac:dyDescent="0.25">
      <c r="A288" s="25" t="s">
        <v>1064</v>
      </c>
      <c r="B288" s="26" t="s">
        <v>252</v>
      </c>
      <c r="C288" s="27" t="s">
        <v>92</v>
      </c>
      <c r="D288" s="70" t="s">
        <v>28</v>
      </c>
      <c r="E288" s="27" t="s">
        <v>663</v>
      </c>
      <c r="F288" s="27" t="s">
        <v>786</v>
      </c>
      <c r="G288" s="70" t="s">
        <v>166</v>
      </c>
      <c r="H288" s="70" t="s">
        <v>655</v>
      </c>
      <c r="I288" s="27"/>
      <c r="J288" s="28" t="s">
        <v>708</v>
      </c>
      <c r="K288" s="109">
        <f>ROUND(Tableau14[[#This Row],[LEN]]*7.27,0)</f>
        <v>262</v>
      </c>
      <c r="L288" s="109">
        <v>15</v>
      </c>
      <c r="M288" s="127" t="str">
        <f t="shared" si="2"/>
        <v>none</v>
      </c>
      <c r="N288" s="109">
        <f>LEN(Tableau14[[#This Row],[LABEL]])</f>
        <v>36</v>
      </c>
      <c r="O288" s="109">
        <v>15</v>
      </c>
      <c r="P288" s="109" t="e">
        <f>ROUND(Tableau14[[#This Row],[LEN]]*#REF!+#REF!,0)</f>
        <v>#REF!</v>
      </c>
    </row>
    <row r="289" spans="1:16" s="97" customFormat="1" x14ac:dyDescent="0.25">
      <c r="A289" s="29" t="s">
        <v>1077</v>
      </c>
      <c r="B289" s="30" t="s">
        <v>1064</v>
      </c>
      <c r="C289" s="31" t="s">
        <v>95</v>
      </c>
      <c r="D289" s="71" t="s">
        <v>28</v>
      </c>
      <c r="E289" s="31" t="s">
        <v>663</v>
      </c>
      <c r="F289" s="31" t="s">
        <v>786</v>
      </c>
      <c r="G289" s="71" t="s">
        <v>166</v>
      </c>
      <c r="H289" s="71" t="s">
        <v>17</v>
      </c>
      <c r="I289" s="31"/>
      <c r="J289" s="32" t="s">
        <v>708</v>
      </c>
      <c r="K289" s="111">
        <f>ROUND(Tableau14[[#This Row],[LEN]]*7.27,0)</f>
        <v>254</v>
      </c>
      <c r="L289" s="111">
        <v>15</v>
      </c>
      <c r="M289" s="128" t="str">
        <f t="shared" si="2"/>
        <v>none</v>
      </c>
      <c r="N289" s="111">
        <f>LEN(Tableau14[[#This Row],[LABEL]])</f>
        <v>35</v>
      </c>
      <c r="O289" s="111">
        <v>15</v>
      </c>
      <c r="P289" s="111" t="e">
        <f>ROUND(Tableau14[[#This Row],[LEN]]*#REF!+#REF!,0)</f>
        <v>#REF!</v>
      </c>
    </row>
    <row r="290" spans="1:16" s="97" customFormat="1" x14ac:dyDescent="0.25">
      <c r="A290" s="29" t="s">
        <v>1078</v>
      </c>
      <c r="B290" s="30" t="s">
        <v>1064</v>
      </c>
      <c r="C290" s="31" t="s">
        <v>96</v>
      </c>
      <c r="D290" s="71" t="s">
        <v>28</v>
      </c>
      <c r="E290" s="31" t="s">
        <v>663</v>
      </c>
      <c r="F290" s="31" t="s">
        <v>786</v>
      </c>
      <c r="G290" s="71" t="s">
        <v>166</v>
      </c>
      <c r="H290" s="71" t="s">
        <v>654</v>
      </c>
      <c r="I290" s="31"/>
      <c r="J290" s="32" t="s">
        <v>708</v>
      </c>
      <c r="K290" s="111">
        <f>ROUND(Tableau14[[#This Row],[LEN]]*7.27,0)</f>
        <v>233</v>
      </c>
      <c r="L290" s="111">
        <v>15</v>
      </c>
      <c r="M290" s="128" t="str">
        <f t="shared" si="2"/>
        <v>none</v>
      </c>
      <c r="N290" s="111">
        <f>LEN(Tableau14[[#This Row],[LABEL]])</f>
        <v>32</v>
      </c>
      <c r="O290" s="111">
        <v>15</v>
      </c>
      <c r="P290" s="111" t="e">
        <f>ROUND(Tableau14[[#This Row],[LEN]]*#REF!+#REF!,0)</f>
        <v>#REF!</v>
      </c>
    </row>
    <row r="291" spans="1:16" s="97" customFormat="1" x14ac:dyDescent="0.25">
      <c r="A291" s="29" t="s">
        <v>1079</v>
      </c>
      <c r="B291" s="30" t="s">
        <v>1064</v>
      </c>
      <c r="C291" s="31" t="s">
        <v>97</v>
      </c>
      <c r="D291" s="71" t="s">
        <v>28</v>
      </c>
      <c r="E291" s="31" t="s">
        <v>663</v>
      </c>
      <c r="F291" s="31" t="s">
        <v>786</v>
      </c>
      <c r="G291" s="71" t="s">
        <v>166</v>
      </c>
      <c r="H291" s="71" t="s">
        <v>656</v>
      </c>
      <c r="I291" s="31"/>
      <c r="J291" s="32" t="s">
        <v>708</v>
      </c>
      <c r="K291" s="111">
        <f>ROUND(Tableau14[[#This Row],[LEN]]*7.27,0)</f>
        <v>145</v>
      </c>
      <c r="L291" s="111">
        <v>15</v>
      </c>
      <c r="M291" s="128" t="str">
        <f t="shared" si="2"/>
        <v>none</v>
      </c>
      <c r="N291" s="111">
        <f>LEN(Tableau14[[#This Row],[LABEL]])</f>
        <v>20</v>
      </c>
      <c r="O291" s="111">
        <v>15</v>
      </c>
      <c r="P291" s="111" t="e">
        <f>ROUND(Tableau14[[#This Row],[LEN]]*#REF!+#REF!,0)</f>
        <v>#REF!</v>
      </c>
    </row>
    <row r="292" spans="1:16" s="97" customFormat="1" x14ac:dyDescent="0.25">
      <c r="A292" s="25" t="s">
        <v>1065</v>
      </c>
      <c r="B292" s="26" t="s">
        <v>252</v>
      </c>
      <c r="C292" s="27" t="s">
        <v>1072</v>
      </c>
      <c r="D292" s="70" t="s">
        <v>28</v>
      </c>
      <c r="E292" s="27" t="s">
        <v>666</v>
      </c>
      <c r="F292" s="27" t="s">
        <v>970</v>
      </c>
      <c r="G292" s="70" t="s">
        <v>166</v>
      </c>
      <c r="H292" s="70" t="s">
        <v>18</v>
      </c>
      <c r="I292" s="27"/>
      <c r="J292" s="28" t="s">
        <v>708</v>
      </c>
      <c r="K292" s="109">
        <f>ROUND(Tableau14[[#This Row],[LEN]]*7.27,0)</f>
        <v>422</v>
      </c>
      <c r="L292" s="109">
        <v>15</v>
      </c>
      <c r="M292" s="127" t="str">
        <f t="shared" si="2"/>
        <v>none</v>
      </c>
      <c r="N292" s="109">
        <f>LEN(Tableau14[[#This Row],[LABEL]])</f>
        <v>58</v>
      </c>
      <c r="O292" s="109">
        <v>15</v>
      </c>
      <c r="P292" s="109" t="e">
        <f>ROUND(Tableau14[[#This Row],[LEN]]*#REF!+#REF!,0)</f>
        <v>#REF!</v>
      </c>
    </row>
    <row r="293" spans="1:16" s="97" customFormat="1" x14ac:dyDescent="0.25">
      <c r="A293" s="25" t="s">
        <v>1066</v>
      </c>
      <c r="B293" s="26" t="s">
        <v>252</v>
      </c>
      <c r="C293" s="27" t="s">
        <v>1073</v>
      </c>
      <c r="D293" s="70" t="s">
        <v>28</v>
      </c>
      <c r="E293" s="27" t="s">
        <v>666</v>
      </c>
      <c r="F293" s="27" t="s">
        <v>1083</v>
      </c>
      <c r="G293" s="70" t="s">
        <v>166</v>
      </c>
      <c r="H293" s="70" t="s">
        <v>656</v>
      </c>
      <c r="I293" s="27"/>
      <c r="J293" s="28" t="s">
        <v>708</v>
      </c>
      <c r="K293" s="109">
        <f>ROUND(Tableau14[[#This Row],[LEN]]*7.27,0)</f>
        <v>393</v>
      </c>
      <c r="L293" s="109">
        <v>15</v>
      </c>
      <c r="M293" s="127" t="str">
        <f t="shared" si="2"/>
        <v>none</v>
      </c>
      <c r="N293" s="109">
        <f>LEN(Tableau14[[#This Row],[LABEL]])</f>
        <v>54</v>
      </c>
      <c r="O293" s="109">
        <v>15</v>
      </c>
      <c r="P293" s="109" t="e">
        <f>ROUND(Tableau14[[#This Row],[LEN]]*#REF!+#REF!,0)</f>
        <v>#REF!</v>
      </c>
    </row>
    <row r="294" spans="1:16" s="97" customFormat="1" x14ac:dyDescent="0.25">
      <c r="A294" s="25" t="s">
        <v>1067</v>
      </c>
      <c r="B294" s="26" t="s">
        <v>252</v>
      </c>
      <c r="C294" s="27" t="s">
        <v>1167</v>
      </c>
      <c r="D294" s="70" t="s">
        <v>486</v>
      </c>
      <c r="E294" s="27" t="s">
        <v>1085</v>
      </c>
      <c r="F294" s="27" t="s">
        <v>1084</v>
      </c>
      <c r="G294" s="70" t="s">
        <v>1977</v>
      </c>
      <c r="H294" s="70" t="s">
        <v>1131</v>
      </c>
      <c r="I294" s="27"/>
      <c r="J294" s="28" t="s">
        <v>708</v>
      </c>
      <c r="K294" s="109">
        <f>ROUND(Tableau14[[#This Row],[LEN]]*7.27,0)</f>
        <v>196</v>
      </c>
      <c r="L294" s="109">
        <v>15</v>
      </c>
      <c r="M294" s="127" t="str">
        <f t="shared" si="2"/>
        <v>none</v>
      </c>
      <c r="N294" s="109">
        <f>LEN(Tableau14[[#This Row],[LABEL]])</f>
        <v>27</v>
      </c>
      <c r="O294" s="109">
        <v>15</v>
      </c>
      <c r="P294" s="109" t="e">
        <f>ROUND(Tableau14[[#This Row],[LEN]]*#REF!+#REF!,0)</f>
        <v>#REF!</v>
      </c>
    </row>
    <row r="295" spans="1:16" s="97" customFormat="1" x14ac:dyDescent="0.25">
      <c r="A295" s="29" t="s">
        <v>1080</v>
      </c>
      <c r="B295" s="30" t="s">
        <v>1067</v>
      </c>
      <c r="C295" s="31" t="s">
        <v>93</v>
      </c>
      <c r="D295" s="71" t="s">
        <v>28</v>
      </c>
      <c r="E295" s="31" t="s">
        <v>1085</v>
      </c>
      <c r="F295" s="31" t="s">
        <v>1084</v>
      </c>
      <c r="G295" s="71" t="s">
        <v>166</v>
      </c>
      <c r="H295" s="71" t="s">
        <v>18</v>
      </c>
      <c r="I295" s="31"/>
      <c r="J295" s="32" t="s">
        <v>101</v>
      </c>
      <c r="K295" s="111">
        <f>ROUND(Tableau14[[#This Row],[LEN]]*7.27,0)</f>
        <v>109</v>
      </c>
      <c r="L295" s="111">
        <v>15</v>
      </c>
      <c r="M295" s="128" t="str">
        <f t="shared" si="2"/>
        <v>new</v>
      </c>
      <c r="N295" s="111">
        <f>LEN(Tableau14[[#This Row],[LABEL]])</f>
        <v>15</v>
      </c>
      <c r="O295" s="111">
        <v>15</v>
      </c>
      <c r="P295" s="111" t="e">
        <f>ROUND(Tableau14[[#This Row],[LEN]]*#REF!+#REF!,0)</f>
        <v>#REF!</v>
      </c>
    </row>
    <row r="296" spans="1:16" s="97" customFormat="1" x14ac:dyDescent="0.25">
      <c r="A296" s="29" t="s">
        <v>1081</v>
      </c>
      <c r="B296" s="30" t="s">
        <v>1067</v>
      </c>
      <c r="C296" s="31" t="s">
        <v>94</v>
      </c>
      <c r="D296" s="71" t="s">
        <v>28</v>
      </c>
      <c r="E296" s="31" t="s">
        <v>1085</v>
      </c>
      <c r="F296" s="31" t="s">
        <v>1084</v>
      </c>
      <c r="G296" s="71" t="s">
        <v>166</v>
      </c>
      <c r="H296" s="71" t="s">
        <v>18</v>
      </c>
      <c r="I296" s="31"/>
      <c r="J296" s="32" t="s">
        <v>102</v>
      </c>
      <c r="K296" s="111">
        <f>ROUND(Tableau14[[#This Row],[LEN]]*7.27,0)</f>
        <v>58</v>
      </c>
      <c r="L296" s="111">
        <v>15</v>
      </c>
      <c r="M296" s="128" t="str">
        <f t="shared" si="2"/>
        <v>new</v>
      </c>
      <c r="N296" s="111">
        <f>LEN(Tableau14[[#This Row],[LABEL]])</f>
        <v>8</v>
      </c>
      <c r="O296" s="111">
        <v>15</v>
      </c>
      <c r="P296" s="111" t="e">
        <f>ROUND(Tableau14[[#This Row],[LEN]]*#REF!+#REF!,0)</f>
        <v>#REF!</v>
      </c>
    </row>
    <row r="297" spans="1:16" s="273" customFormat="1" x14ac:dyDescent="0.25">
      <c r="A297" s="288" t="s">
        <v>253</v>
      </c>
      <c r="B297" s="289" t="s">
        <v>206</v>
      </c>
      <c r="C297" s="290" t="s">
        <v>80</v>
      </c>
      <c r="D297" s="291" t="s">
        <v>28</v>
      </c>
      <c r="E297" s="290" t="s">
        <v>667</v>
      </c>
      <c r="F297" s="290" t="s">
        <v>667</v>
      </c>
      <c r="G297" s="291" t="s">
        <v>166</v>
      </c>
      <c r="H297" s="291" t="str">
        <f>IFERROR(IF(SEARCH(".00.00.00.00.00",Tableau14[[#This Row],[name]],1)=7,"Division",""),"")</f>
        <v>Division</v>
      </c>
      <c r="I297" s="290"/>
      <c r="J297" s="292" t="s">
        <v>713</v>
      </c>
      <c r="K297" s="293">
        <f>ROUND(Tableau14[[#This Row],[LEN]]*7.27,0)</f>
        <v>116</v>
      </c>
      <c r="L297" s="293">
        <v>15</v>
      </c>
      <c r="M297" s="294" t="str">
        <f t="shared" si="2"/>
        <v>new</v>
      </c>
      <c r="N297" s="293">
        <f>LEN(Tableau14[[#This Row],[LABEL]])</f>
        <v>16</v>
      </c>
      <c r="O297" s="293">
        <v>15</v>
      </c>
      <c r="P297" s="293" t="e">
        <f>ROUND(Tableau14[[#This Row],[LEN]]*#REF!+#REF!,0)</f>
        <v>#REF!</v>
      </c>
    </row>
    <row r="298" spans="1:16" s="97" customFormat="1" x14ac:dyDescent="0.25">
      <c r="A298" s="25" t="s">
        <v>1115</v>
      </c>
      <c r="B298" s="26" t="s">
        <v>253</v>
      </c>
      <c r="C298" s="27" t="s">
        <v>1126</v>
      </c>
      <c r="D298" s="70" t="s">
        <v>28</v>
      </c>
      <c r="E298" s="27" t="s">
        <v>666</v>
      </c>
      <c r="F298" s="27" t="s">
        <v>684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ROUND(Tableau14[[#This Row],[LEN]]*7.27,0)</f>
        <v>284</v>
      </c>
      <c r="L298" s="109">
        <v>15</v>
      </c>
      <c r="M298" s="127" t="str">
        <f t="shared" si="2"/>
        <v>none</v>
      </c>
      <c r="N298" s="109">
        <f>LEN(Tableau14[[#This Row],[LABEL]])</f>
        <v>39</v>
      </c>
      <c r="O298" s="109">
        <v>15</v>
      </c>
      <c r="P298" s="109" t="e">
        <f>ROUND(Tableau14[[#This Row],[LEN]]*#REF!+#REF!,0)</f>
        <v>#REF!</v>
      </c>
    </row>
    <row r="299" spans="1:16" s="97" customFormat="1" x14ac:dyDescent="0.25">
      <c r="A299" s="25" t="s">
        <v>1116</v>
      </c>
      <c r="B299" s="26" t="s">
        <v>253</v>
      </c>
      <c r="C299" s="27" t="s">
        <v>88</v>
      </c>
      <c r="D299" s="70" t="s">
        <v>28</v>
      </c>
      <c r="E299" s="27" t="s">
        <v>667</v>
      </c>
      <c r="F299" s="27" t="s">
        <v>1218</v>
      </c>
      <c r="G299" s="70" t="s">
        <v>166</v>
      </c>
      <c r="H299" s="70" t="s">
        <v>570</v>
      </c>
      <c r="I299" s="27"/>
      <c r="J299" s="28" t="s">
        <v>708</v>
      </c>
      <c r="K299" s="109">
        <f>ROUND(Tableau14[[#This Row],[LEN]]*7.27,0)</f>
        <v>342</v>
      </c>
      <c r="L299" s="109">
        <v>15</v>
      </c>
      <c r="M299" s="127" t="str">
        <f t="shared" si="2"/>
        <v>none</v>
      </c>
      <c r="N299" s="109">
        <f>LEN(Tableau14[[#This Row],[LABEL]])</f>
        <v>47</v>
      </c>
      <c r="O299" s="109">
        <v>15</v>
      </c>
      <c r="P299" s="109" t="e">
        <f>ROUND(Tableau14[[#This Row],[LEN]]*#REF!+#REF!,0)</f>
        <v>#REF!</v>
      </c>
    </row>
    <row r="300" spans="1:16" s="97" customFormat="1" x14ac:dyDescent="0.25">
      <c r="A300" s="25" t="s">
        <v>1117</v>
      </c>
      <c r="B300" s="26" t="s">
        <v>253</v>
      </c>
      <c r="C300" s="27" t="s">
        <v>1071</v>
      </c>
      <c r="D300" s="70" t="s">
        <v>28</v>
      </c>
      <c r="E300" s="27" t="s">
        <v>666</v>
      </c>
      <c r="F300" s="27" t="s">
        <v>1082</v>
      </c>
      <c r="G300" s="70" t="s">
        <v>166</v>
      </c>
      <c r="H300" s="70" t="s">
        <v>655</v>
      </c>
      <c r="I300" s="27"/>
      <c r="J300" s="28" t="s">
        <v>708</v>
      </c>
      <c r="K300" s="109">
        <f>ROUND(Tableau14[[#This Row],[LEN]]*7.27,0)</f>
        <v>247</v>
      </c>
      <c r="L300" s="109">
        <v>15</v>
      </c>
      <c r="M300" s="127" t="str">
        <f t="shared" si="2"/>
        <v>none</v>
      </c>
      <c r="N300" s="109">
        <f>LEN(Tableau14[[#This Row],[LABEL]])</f>
        <v>34</v>
      </c>
      <c r="O300" s="109">
        <v>15</v>
      </c>
      <c r="P300" s="109" t="e">
        <f>ROUND(Tableau14[[#This Row],[LEN]]*#REF!+#REF!,0)</f>
        <v>#REF!</v>
      </c>
    </row>
    <row r="301" spans="1:16" s="97" customFormat="1" x14ac:dyDescent="0.25">
      <c r="A301" s="29" t="s">
        <v>1135</v>
      </c>
      <c r="B301" s="30" t="s">
        <v>1117</v>
      </c>
      <c r="C301" s="31" t="s">
        <v>1086</v>
      </c>
      <c r="D301" s="71" t="s">
        <v>28</v>
      </c>
      <c r="E301" s="31" t="s">
        <v>666</v>
      </c>
      <c r="F301" s="31" t="s">
        <v>784</v>
      </c>
      <c r="G301" s="71" t="s">
        <v>166</v>
      </c>
      <c r="H301" s="71" t="s">
        <v>655</v>
      </c>
      <c r="I301" s="31"/>
      <c r="J301" s="32" t="s">
        <v>708</v>
      </c>
      <c r="K301" s="111">
        <f>ROUND(Tableau14[[#This Row],[LEN]]*7.27,0)</f>
        <v>87</v>
      </c>
      <c r="L301" s="111">
        <v>15</v>
      </c>
      <c r="M301" s="128" t="str">
        <f t="shared" si="2"/>
        <v>none</v>
      </c>
      <c r="N301" s="111">
        <f>LEN(Tableau14[[#This Row],[LABEL]])</f>
        <v>12</v>
      </c>
      <c r="O301" s="111">
        <v>15</v>
      </c>
      <c r="P301" s="111" t="e">
        <f>ROUND(Tableau14[[#This Row],[LEN]]*#REF!+#REF!,0)</f>
        <v>#REF!</v>
      </c>
    </row>
    <row r="302" spans="1:16" s="97" customFormat="1" x14ac:dyDescent="0.25">
      <c r="A302" s="86" t="s">
        <v>1138</v>
      </c>
      <c r="B302" s="87" t="s">
        <v>1135</v>
      </c>
      <c r="C302" s="88" t="s">
        <v>1088</v>
      </c>
      <c r="D302" s="89" t="s">
        <v>28</v>
      </c>
      <c r="E302" s="88" t="s">
        <v>666</v>
      </c>
      <c r="F302" s="88" t="s">
        <v>784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ROUND(Tableau14[[#This Row],[LEN]]*7.27,0)</f>
        <v>196</v>
      </c>
      <c r="L302" s="112">
        <v>15</v>
      </c>
      <c r="M302" s="129" t="str">
        <f t="shared" si="2"/>
        <v>none</v>
      </c>
      <c r="N302" s="112">
        <f>LEN(Tableau14[[#This Row],[LABEL]])</f>
        <v>27</v>
      </c>
      <c r="O302" s="112">
        <v>15</v>
      </c>
      <c r="P302" s="112" t="e">
        <f>ROUND(Tableau14[[#This Row],[LEN]]*#REF!+#REF!,0)</f>
        <v>#REF!</v>
      </c>
    </row>
    <row r="303" spans="1:16" s="97" customFormat="1" x14ac:dyDescent="0.25">
      <c r="A303" s="86" t="s">
        <v>1139</v>
      </c>
      <c r="B303" s="87" t="s">
        <v>1135</v>
      </c>
      <c r="C303" s="88" t="s">
        <v>1089</v>
      </c>
      <c r="D303" s="89" t="s">
        <v>28</v>
      </c>
      <c r="E303" s="88" t="s">
        <v>666</v>
      </c>
      <c r="F303" s="88" t="s">
        <v>784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ROUND(Tableau14[[#This Row],[LEN]]*7.27,0)</f>
        <v>36</v>
      </c>
      <c r="L303" s="112">
        <v>15</v>
      </c>
      <c r="M303" s="129" t="str">
        <f t="shared" si="2"/>
        <v>none</v>
      </c>
      <c r="N303" s="112">
        <f>LEN(Tableau14[[#This Row],[LABEL]])</f>
        <v>5</v>
      </c>
      <c r="O303" s="112">
        <v>15</v>
      </c>
      <c r="P303" s="112" t="e">
        <f>ROUND(Tableau14[[#This Row],[LEN]]*#REF!+#REF!,0)</f>
        <v>#REF!</v>
      </c>
    </row>
    <row r="304" spans="1:16" s="97" customFormat="1" x14ac:dyDescent="0.25">
      <c r="A304" s="86" t="s">
        <v>1140</v>
      </c>
      <c r="B304" s="87" t="s">
        <v>1135</v>
      </c>
      <c r="C304" s="88" t="s">
        <v>1090</v>
      </c>
      <c r="D304" s="89" t="s">
        <v>28</v>
      </c>
      <c r="E304" s="88" t="s">
        <v>666</v>
      </c>
      <c r="F304" s="88" t="s">
        <v>784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ROUND(Tableau14[[#This Row],[LEN]]*7.27,0)</f>
        <v>29</v>
      </c>
      <c r="L304" s="112">
        <v>15</v>
      </c>
      <c r="M304" s="129" t="str">
        <f t="shared" si="2"/>
        <v>none</v>
      </c>
      <c r="N304" s="112">
        <f>LEN(Tableau14[[#This Row],[LABEL]])</f>
        <v>4</v>
      </c>
      <c r="O304" s="112">
        <v>15</v>
      </c>
      <c r="P304" s="112" t="e">
        <f>ROUND(Tableau14[[#This Row],[LEN]]*#REF!+#REF!,0)</f>
        <v>#REF!</v>
      </c>
    </row>
    <row r="305" spans="1:16" s="97" customFormat="1" x14ac:dyDescent="0.25">
      <c r="A305" s="86" t="s">
        <v>1141</v>
      </c>
      <c r="B305" s="87" t="s">
        <v>1135</v>
      </c>
      <c r="C305" s="88" t="s">
        <v>1091</v>
      </c>
      <c r="D305" s="89" t="s">
        <v>28</v>
      </c>
      <c r="E305" s="88" t="s">
        <v>666</v>
      </c>
      <c r="F305" s="88" t="s">
        <v>784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ROUND(Tableau14[[#This Row],[LEN]]*7.27,0)</f>
        <v>102</v>
      </c>
      <c r="L305" s="112">
        <v>15</v>
      </c>
      <c r="M305" s="129" t="str">
        <f t="shared" si="2"/>
        <v>none</v>
      </c>
      <c r="N305" s="112">
        <f>LEN(Tableau14[[#This Row],[LABEL]])</f>
        <v>14</v>
      </c>
      <c r="O305" s="112">
        <v>15</v>
      </c>
      <c r="P305" s="112" t="e">
        <f>ROUND(Tableau14[[#This Row],[LEN]]*#REF!+#REF!,0)</f>
        <v>#REF!</v>
      </c>
    </row>
    <row r="306" spans="1:16" s="97" customFormat="1" x14ac:dyDescent="0.25">
      <c r="A306" s="86" t="s">
        <v>1142</v>
      </c>
      <c r="B306" s="212" t="s">
        <v>1135</v>
      </c>
      <c r="C306" s="88" t="s">
        <v>1092</v>
      </c>
      <c r="D306" s="89" t="s">
        <v>28</v>
      </c>
      <c r="E306" s="88" t="s">
        <v>666</v>
      </c>
      <c r="F306" s="88" t="s">
        <v>784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ROUND(Tableau14[[#This Row],[LEN]]*7.27,0)</f>
        <v>153</v>
      </c>
      <c r="L306" s="112">
        <v>15</v>
      </c>
      <c r="M306" s="129" t="str">
        <f t="shared" si="2"/>
        <v>none</v>
      </c>
      <c r="N306" s="112">
        <f>LEN(Tableau14[[#This Row],[LABEL]])</f>
        <v>21</v>
      </c>
      <c r="O306" s="112">
        <v>15</v>
      </c>
      <c r="P306" s="112" t="e">
        <f>ROUND(Tableau14[[#This Row],[LEN]]*#REF!+#REF!,0)</f>
        <v>#REF!</v>
      </c>
    </row>
    <row r="307" spans="1:16" s="97" customFormat="1" x14ac:dyDescent="0.25">
      <c r="A307" s="86" t="s">
        <v>1143</v>
      </c>
      <c r="B307" s="212" t="s">
        <v>1135</v>
      </c>
      <c r="C307" s="88" t="s">
        <v>1093</v>
      </c>
      <c r="D307" s="89" t="s">
        <v>28</v>
      </c>
      <c r="E307" s="88" t="s">
        <v>666</v>
      </c>
      <c r="F307" s="88" t="s">
        <v>784</v>
      </c>
      <c r="G307" s="89" t="s">
        <v>166</v>
      </c>
      <c r="H307" s="90" t="s">
        <v>18</v>
      </c>
      <c r="I307" s="88"/>
      <c r="J307" s="91" t="s">
        <v>708</v>
      </c>
      <c r="K307" s="112">
        <f>ROUND(Tableau14[[#This Row],[LEN]]*7.27,0)</f>
        <v>269</v>
      </c>
      <c r="L307" s="112">
        <v>15</v>
      </c>
      <c r="M307" s="129" t="str">
        <f t="shared" si="2"/>
        <v>none</v>
      </c>
      <c r="N307" s="112">
        <f>LEN(Tableau14[[#This Row],[LABEL]])</f>
        <v>37</v>
      </c>
      <c r="O307" s="112">
        <v>15</v>
      </c>
      <c r="P307" s="112" t="e">
        <f>ROUND(Tableau14[[#This Row],[LEN]]*#REF!+#REF!,0)</f>
        <v>#REF!</v>
      </c>
    </row>
    <row r="308" spans="1:16" s="97" customFormat="1" x14ac:dyDescent="0.25">
      <c r="A308" s="29" t="s">
        <v>1136</v>
      </c>
      <c r="B308" s="30" t="s">
        <v>1117</v>
      </c>
      <c r="C308" s="31" t="s">
        <v>1087</v>
      </c>
      <c r="D308" s="71" t="s">
        <v>28</v>
      </c>
      <c r="E308" s="31" t="s">
        <v>666</v>
      </c>
      <c r="F308" s="31" t="s">
        <v>784</v>
      </c>
      <c r="G308" s="71" t="s">
        <v>166</v>
      </c>
      <c r="H308" s="71" t="s">
        <v>655</v>
      </c>
      <c r="I308" s="31"/>
      <c r="J308" s="32" t="s">
        <v>708</v>
      </c>
      <c r="K308" s="111">
        <f>ROUND(Tableau14[[#This Row],[LEN]]*7.27,0)</f>
        <v>109</v>
      </c>
      <c r="L308" s="111">
        <v>15</v>
      </c>
      <c r="M308" s="128" t="str">
        <f t="shared" si="2"/>
        <v>none</v>
      </c>
      <c r="N308" s="111">
        <f>LEN(Tableau14[[#This Row],[LABEL]])</f>
        <v>15</v>
      </c>
      <c r="O308" s="111">
        <v>15</v>
      </c>
      <c r="P308" s="111" t="e">
        <f>ROUND(Tableau14[[#This Row],[LEN]]*#REF!+#REF!,0)</f>
        <v>#REF!</v>
      </c>
    </row>
    <row r="309" spans="1:16" s="97" customFormat="1" x14ac:dyDescent="0.25">
      <c r="A309" s="86" t="s">
        <v>1144</v>
      </c>
      <c r="B309" s="87" t="s">
        <v>1136</v>
      </c>
      <c r="C309" s="88" t="s">
        <v>1100</v>
      </c>
      <c r="D309" s="89" t="s">
        <v>28</v>
      </c>
      <c r="E309" s="88" t="s">
        <v>666</v>
      </c>
      <c r="F309" s="88" t="s">
        <v>784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ROUND(Tableau14[[#This Row],[LEN]]*7.27,0)</f>
        <v>22</v>
      </c>
      <c r="L309" s="112">
        <v>15</v>
      </c>
      <c r="M309" s="129" t="str">
        <f t="shared" si="2"/>
        <v>none</v>
      </c>
      <c r="N309" s="112">
        <f>LEN(Tableau14[[#This Row],[LABEL]])</f>
        <v>3</v>
      </c>
      <c r="O309" s="112">
        <v>15</v>
      </c>
      <c r="P309" s="112" t="e">
        <f>ROUND(Tableau14[[#This Row],[LEN]]*#REF!+#REF!,0)</f>
        <v>#REF!</v>
      </c>
    </row>
    <row r="310" spans="1:16" s="97" customFormat="1" x14ac:dyDescent="0.25">
      <c r="A310" s="86" t="s">
        <v>1145</v>
      </c>
      <c r="B310" s="87" t="s">
        <v>1136</v>
      </c>
      <c r="C310" s="88" t="s">
        <v>1101</v>
      </c>
      <c r="D310" s="89" t="s">
        <v>28</v>
      </c>
      <c r="E310" s="88" t="s">
        <v>666</v>
      </c>
      <c r="F310" s="88" t="s">
        <v>784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ROUND(Tableau14[[#This Row],[LEN]]*7.27,0)</f>
        <v>36</v>
      </c>
      <c r="L310" s="112">
        <v>15</v>
      </c>
      <c r="M310" s="129" t="str">
        <f t="shared" si="2"/>
        <v>none</v>
      </c>
      <c r="N310" s="112">
        <f>LEN(Tableau14[[#This Row],[LABEL]])</f>
        <v>5</v>
      </c>
      <c r="O310" s="112">
        <v>15</v>
      </c>
      <c r="P310" s="112" t="e">
        <f>ROUND(Tableau14[[#This Row],[LEN]]*#REF!+#REF!,0)</f>
        <v>#REF!</v>
      </c>
    </row>
    <row r="311" spans="1:16" s="97" customFormat="1" x14ac:dyDescent="0.25">
      <c r="A311" s="86" t="s">
        <v>1146</v>
      </c>
      <c r="B311" s="87" t="s">
        <v>1136</v>
      </c>
      <c r="C311" s="88" t="s">
        <v>812</v>
      </c>
      <c r="D311" s="89" t="s">
        <v>28</v>
      </c>
      <c r="E311" s="88" t="s">
        <v>666</v>
      </c>
      <c r="F311" s="88" t="s">
        <v>784</v>
      </c>
      <c r="G311" s="89" t="s">
        <v>166</v>
      </c>
      <c r="H311" s="90" t="s">
        <v>18</v>
      </c>
      <c r="I311" s="88"/>
      <c r="J311" s="91" t="s">
        <v>708</v>
      </c>
      <c r="K311" s="112">
        <f>ROUND(Tableau14[[#This Row],[LEN]]*7.27,0)</f>
        <v>131</v>
      </c>
      <c r="L311" s="112">
        <v>15</v>
      </c>
      <c r="M311" s="129" t="str">
        <f t="shared" si="2"/>
        <v>none</v>
      </c>
      <c r="N311" s="112">
        <f>LEN(Tableau14[[#This Row],[LABEL]])</f>
        <v>18</v>
      </c>
      <c r="O311" s="112">
        <v>15</v>
      </c>
      <c r="P311" s="112" t="e">
        <f>ROUND(Tableau14[[#This Row],[LEN]]*#REF!+#REF!,0)</f>
        <v>#REF!</v>
      </c>
    </row>
    <row r="312" spans="1:16" s="97" customFormat="1" x14ac:dyDescent="0.25">
      <c r="A312" s="29" t="s">
        <v>1137</v>
      </c>
      <c r="B312" s="30" t="s">
        <v>1117</v>
      </c>
      <c r="C312" s="31" t="s">
        <v>15</v>
      </c>
      <c r="D312" s="71" t="s">
        <v>28</v>
      </c>
      <c r="E312" s="31" t="s">
        <v>666</v>
      </c>
      <c r="F312" s="31" t="s">
        <v>784</v>
      </c>
      <c r="G312" s="71" t="s">
        <v>166</v>
      </c>
      <c r="H312" s="71" t="s">
        <v>655</v>
      </c>
      <c r="I312" s="31"/>
      <c r="J312" s="32" t="s">
        <v>708</v>
      </c>
      <c r="K312" s="111">
        <f>ROUND(Tableau14[[#This Row],[LEN]]*7.27,0)</f>
        <v>174</v>
      </c>
      <c r="L312" s="111">
        <v>15</v>
      </c>
      <c r="M312" s="128" t="str">
        <f t="shared" si="2"/>
        <v>none</v>
      </c>
      <c r="N312" s="111">
        <f>LEN(Tableau14[[#This Row],[LABEL]])</f>
        <v>24</v>
      </c>
      <c r="O312" s="111">
        <v>15</v>
      </c>
      <c r="P312" s="111" t="e">
        <f>ROUND(Tableau14[[#This Row],[LEN]]*#REF!+#REF!,0)</f>
        <v>#REF!</v>
      </c>
    </row>
    <row r="313" spans="1:16" s="97" customFormat="1" x14ac:dyDescent="0.25">
      <c r="A313" s="86" t="s">
        <v>1147</v>
      </c>
      <c r="B313" s="87" t="s">
        <v>1137</v>
      </c>
      <c r="C313" s="88" t="s">
        <v>1100</v>
      </c>
      <c r="D313" s="89" t="s">
        <v>28</v>
      </c>
      <c r="E313" s="88" t="s">
        <v>666</v>
      </c>
      <c r="F313" s="88" t="s">
        <v>784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ROUND(Tableau14[[#This Row],[LEN]]*7.27,0)</f>
        <v>22</v>
      </c>
      <c r="L313" s="112">
        <v>15</v>
      </c>
      <c r="M313" s="129" t="str">
        <f t="shared" si="2"/>
        <v>none</v>
      </c>
      <c r="N313" s="112">
        <f>LEN(Tableau14[[#This Row],[LABEL]])</f>
        <v>3</v>
      </c>
      <c r="O313" s="112">
        <v>15</v>
      </c>
      <c r="P313" s="112" t="e">
        <f>ROUND(Tableau14[[#This Row],[LEN]]*#REF!+#REF!,0)</f>
        <v>#REF!</v>
      </c>
    </row>
    <row r="314" spans="1:16" s="97" customFormat="1" x14ac:dyDescent="0.25">
      <c r="A314" s="86" t="s">
        <v>1148</v>
      </c>
      <c r="B314" s="87" t="s">
        <v>1137</v>
      </c>
      <c r="C314" s="88" t="s">
        <v>807</v>
      </c>
      <c r="D314" s="89" t="s">
        <v>28</v>
      </c>
      <c r="E314" s="88" t="s">
        <v>666</v>
      </c>
      <c r="F314" s="88" t="s">
        <v>784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ROUND(Tableau14[[#This Row],[LEN]]*7.27,0)</f>
        <v>218</v>
      </c>
      <c r="L314" s="112">
        <v>15</v>
      </c>
      <c r="M314" s="129" t="str">
        <f t="shared" si="2"/>
        <v>none</v>
      </c>
      <c r="N314" s="112">
        <f>LEN(Tableau14[[#This Row],[LABEL]])</f>
        <v>30</v>
      </c>
      <c r="O314" s="112">
        <v>15</v>
      </c>
      <c r="P314" s="112" t="e">
        <f>ROUND(Tableau14[[#This Row],[LEN]]*#REF!+#REF!,0)</f>
        <v>#REF!</v>
      </c>
    </row>
    <row r="315" spans="1:16" s="97" customFormat="1" x14ac:dyDescent="0.25">
      <c r="A315" s="86" t="s">
        <v>1149</v>
      </c>
      <c r="B315" s="87" t="s">
        <v>1137</v>
      </c>
      <c r="C315" s="88" t="s">
        <v>1112</v>
      </c>
      <c r="D315" s="89" t="s">
        <v>28</v>
      </c>
      <c r="E315" s="88" t="s">
        <v>666</v>
      </c>
      <c r="F315" s="88" t="s">
        <v>784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ROUND(Tableau14[[#This Row],[LEN]]*7.27,0)</f>
        <v>240</v>
      </c>
      <c r="L315" s="112">
        <v>15</v>
      </c>
      <c r="M315" s="129" t="str">
        <f t="shared" si="2"/>
        <v>none</v>
      </c>
      <c r="N315" s="112">
        <f>LEN(Tableau14[[#This Row],[LABEL]])</f>
        <v>33</v>
      </c>
      <c r="O315" s="112">
        <v>15</v>
      </c>
      <c r="P315" s="112" t="e">
        <f>ROUND(Tableau14[[#This Row],[LEN]]*#REF!+#REF!,0)</f>
        <v>#REF!</v>
      </c>
    </row>
    <row r="316" spans="1:16" s="97" customFormat="1" x14ac:dyDescent="0.25">
      <c r="A316" s="86" t="s">
        <v>1150</v>
      </c>
      <c r="B316" s="87" t="s">
        <v>1137</v>
      </c>
      <c r="C316" s="88" t="s">
        <v>1113</v>
      </c>
      <c r="D316" s="89" t="s">
        <v>28</v>
      </c>
      <c r="E316" s="88" t="s">
        <v>666</v>
      </c>
      <c r="F316" s="88" t="s">
        <v>784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ROUND(Tableau14[[#This Row],[LEN]]*7.27,0)</f>
        <v>116</v>
      </c>
      <c r="L316" s="112">
        <v>15</v>
      </c>
      <c r="M316" s="129" t="str">
        <f t="shared" si="2"/>
        <v>none</v>
      </c>
      <c r="N316" s="112">
        <f>LEN(Tableau14[[#This Row],[LABEL]])</f>
        <v>16</v>
      </c>
      <c r="O316" s="112">
        <v>15</v>
      </c>
      <c r="P316" s="112" t="e">
        <f>ROUND(Tableau14[[#This Row],[LEN]]*#REF!+#REF!,0)</f>
        <v>#REF!</v>
      </c>
    </row>
    <row r="317" spans="1:16" s="97" customFormat="1" x14ac:dyDescent="0.25">
      <c r="A317" s="86" t="s">
        <v>1151</v>
      </c>
      <c r="B317" s="87" t="s">
        <v>1137</v>
      </c>
      <c r="C317" s="88" t="s">
        <v>1114</v>
      </c>
      <c r="D317" s="89" t="s">
        <v>28</v>
      </c>
      <c r="E317" s="88" t="s">
        <v>666</v>
      </c>
      <c r="F317" s="88" t="s">
        <v>784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ROUND(Tableau14[[#This Row],[LEN]]*7.27,0)</f>
        <v>116</v>
      </c>
      <c r="L317" s="112">
        <v>15</v>
      </c>
      <c r="M317" s="129" t="str">
        <f t="shared" si="2"/>
        <v>none</v>
      </c>
      <c r="N317" s="112">
        <f>LEN(Tableau14[[#This Row],[LABEL]])</f>
        <v>16</v>
      </c>
      <c r="O317" s="112">
        <v>15</v>
      </c>
      <c r="P317" s="112" t="e">
        <f>ROUND(Tableau14[[#This Row],[LEN]]*#REF!+#REF!,0)</f>
        <v>#REF!</v>
      </c>
    </row>
    <row r="318" spans="1:16" s="97" customFormat="1" x14ac:dyDescent="0.25">
      <c r="A318" s="86" t="s">
        <v>1152</v>
      </c>
      <c r="B318" s="87" t="s">
        <v>1137</v>
      </c>
      <c r="C318" s="88" t="s">
        <v>806</v>
      </c>
      <c r="D318" s="89" t="s">
        <v>28</v>
      </c>
      <c r="E318" s="88" t="s">
        <v>666</v>
      </c>
      <c r="F318" s="88" t="s">
        <v>784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ROUND(Tableau14[[#This Row],[LEN]]*7.27,0)</f>
        <v>174</v>
      </c>
      <c r="L318" s="112">
        <v>15</v>
      </c>
      <c r="M318" s="129" t="str">
        <f t="shared" si="2"/>
        <v>none</v>
      </c>
      <c r="N318" s="112">
        <f>LEN(Tableau14[[#This Row],[LABEL]])</f>
        <v>24</v>
      </c>
      <c r="O318" s="112">
        <v>15</v>
      </c>
      <c r="P318" s="112" t="e">
        <f>ROUND(Tableau14[[#This Row],[LEN]]*#REF!+#REF!,0)</f>
        <v>#REF!</v>
      </c>
    </row>
    <row r="319" spans="1:16" s="97" customFormat="1" x14ac:dyDescent="0.25">
      <c r="A319" s="86" t="s">
        <v>1153</v>
      </c>
      <c r="B319" s="87" t="s">
        <v>1137</v>
      </c>
      <c r="C319" s="88" t="s">
        <v>812</v>
      </c>
      <c r="D319" s="89" t="s">
        <v>28</v>
      </c>
      <c r="E319" s="88" t="s">
        <v>666</v>
      </c>
      <c r="F319" s="88" t="s">
        <v>784</v>
      </c>
      <c r="G319" s="89" t="s">
        <v>166</v>
      </c>
      <c r="H319" s="90" t="s">
        <v>18</v>
      </c>
      <c r="I319" s="88"/>
      <c r="J319" s="91" t="s">
        <v>708</v>
      </c>
      <c r="K319" s="112">
        <f>ROUND(Tableau14[[#This Row],[LEN]]*7.27,0)</f>
        <v>131</v>
      </c>
      <c r="L319" s="112">
        <v>15</v>
      </c>
      <c r="M319" s="129" t="str">
        <f t="shared" si="2"/>
        <v>none</v>
      </c>
      <c r="N319" s="112">
        <f>LEN(Tableau14[[#This Row],[LABEL]])</f>
        <v>18</v>
      </c>
      <c r="O319" s="112">
        <v>15</v>
      </c>
      <c r="P319" s="112" t="e">
        <f>ROUND(Tableau14[[#This Row],[LEN]]*#REF!+#REF!,0)</f>
        <v>#REF!</v>
      </c>
    </row>
    <row r="320" spans="1:16" s="97" customFormat="1" x14ac:dyDescent="0.25">
      <c r="A320" s="25" t="s">
        <v>1118</v>
      </c>
      <c r="B320" s="26" t="s">
        <v>253</v>
      </c>
      <c r="C320" s="27" t="s">
        <v>1127</v>
      </c>
      <c r="D320" s="70" t="s">
        <v>28</v>
      </c>
      <c r="E320" s="27" t="s">
        <v>667</v>
      </c>
      <c r="F320" s="27" t="s">
        <v>1132</v>
      </c>
      <c r="G320" s="70" t="s">
        <v>166</v>
      </c>
      <c r="H320" s="70" t="s">
        <v>654</v>
      </c>
      <c r="I320" s="27"/>
      <c r="J320" s="28" t="s">
        <v>708</v>
      </c>
      <c r="K320" s="109">
        <f>ROUND(Tableau14[[#This Row],[LEN]]*7.27,0)</f>
        <v>291</v>
      </c>
      <c r="L320" s="109">
        <v>15</v>
      </c>
      <c r="M320" s="127" t="str">
        <f t="shared" si="2"/>
        <v>none</v>
      </c>
      <c r="N320" s="109">
        <f>LEN(Tableau14[[#This Row],[LABEL]])</f>
        <v>40</v>
      </c>
      <c r="O320" s="109">
        <v>15</v>
      </c>
      <c r="P320" s="109" t="e">
        <f>ROUND(Tableau14[[#This Row],[LEN]]*#REF!+#REF!,0)</f>
        <v>#REF!</v>
      </c>
    </row>
    <row r="321" spans="1:16" s="97" customFormat="1" x14ac:dyDescent="0.25">
      <c r="A321" s="25" t="s">
        <v>1119</v>
      </c>
      <c r="B321" s="26" t="s">
        <v>253</v>
      </c>
      <c r="C321" s="27" t="s">
        <v>1128</v>
      </c>
      <c r="D321" s="70" t="s">
        <v>28</v>
      </c>
      <c r="E321" s="27" t="s">
        <v>667</v>
      </c>
      <c r="F321" s="27" t="s">
        <v>667</v>
      </c>
      <c r="G321" s="70" t="s">
        <v>166</v>
      </c>
      <c r="H321" s="70" t="s">
        <v>656</v>
      </c>
      <c r="I321" s="27"/>
      <c r="J321" s="28" t="s">
        <v>708</v>
      </c>
      <c r="K321" s="109">
        <f>ROUND(Tableau14[[#This Row],[LEN]]*7.27,0)</f>
        <v>422</v>
      </c>
      <c r="L321" s="109">
        <v>15</v>
      </c>
      <c r="M321" s="127" t="str">
        <f t="shared" si="2"/>
        <v>none</v>
      </c>
      <c r="N321" s="109">
        <f>LEN(Tableau14[[#This Row],[LABEL]])</f>
        <v>58</v>
      </c>
      <c r="O321" s="109">
        <v>15</v>
      </c>
      <c r="P321" s="109" t="e">
        <f>ROUND(Tableau14[[#This Row],[LEN]]*#REF!+#REF!,0)</f>
        <v>#REF!</v>
      </c>
    </row>
    <row r="322" spans="1:16" s="97" customFormat="1" x14ac:dyDescent="0.25">
      <c r="A322" s="25" t="s">
        <v>1120</v>
      </c>
      <c r="B322" s="26" t="s">
        <v>253</v>
      </c>
      <c r="C322" s="27" t="s">
        <v>1154</v>
      </c>
      <c r="D322" s="70" t="s">
        <v>28</v>
      </c>
      <c r="E322" s="27" t="s">
        <v>667</v>
      </c>
      <c r="F322" s="27" t="s">
        <v>1133</v>
      </c>
      <c r="G322" s="70" t="s">
        <v>166</v>
      </c>
      <c r="H322" s="70" t="s">
        <v>18</v>
      </c>
      <c r="I322" s="27"/>
      <c r="J322" s="28" t="s">
        <v>102</v>
      </c>
      <c r="K322" s="109">
        <f>ROUND(Tableau14[[#This Row],[LEN]]*7.27,0)</f>
        <v>443</v>
      </c>
      <c r="L322" s="109">
        <v>15</v>
      </c>
      <c r="M322" s="127" t="str">
        <f t="shared" si="2"/>
        <v>new</v>
      </c>
      <c r="N322" s="109">
        <f>LEN(Tableau14[[#This Row],[LABEL]])</f>
        <v>61</v>
      </c>
      <c r="O322" s="109">
        <v>15</v>
      </c>
      <c r="P322" s="109" t="e">
        <f>ROUND(Tableau14[[#This Row],[LEN]]*#REF!+#REF!,0)</f>
        <v>#REF!</v>
      </c>
    </row>
    <row r="323" spans="1:16" s="97" customFormat="1" x14ac:dyDescent="0.25">
      <c r="A323" s="25" t="s">
        <v>1121</v>
      </c>
      <c r="B323" s="26" t="s">
        <v>253</v>
      </c>
      <c r="C323" s="27" t="s">
        <v>778</v>
      </c>
      <c r="D323" s="70" t="s">
        <v>28</v>
      </c>
      <c r="E323" s="27" t="s">
        <v>673</v>
      </c>
      <c r="F323" s="27" t="s">
        <v>2000</v>
      </c>
      <c r="G323" s="70" t="s">
        <v>166</v>
      </c>
      <c r="H323" s="70" t="s">
        <v>17</v>
      </c>
      <c r="I323" s="27"/>
      <c r="J323" s="28" t="s">
        <v>708</v>
      </c>
      <c r="K323" s="109">
        <f>ROUND(Tableau14[[#This Row],[LEN]]*7.27,0)</f>
        <v>211</v>
      </c>
      <c r="L323" s="109">
        <v>15</v>
      </c>
      <c r="M323" s="127" t="str">
        <f t="shared" si="2"/>
        <v>none</v>
      </c>
      <c r="N323" s="109">
        <f>LEN(Tableau14[[#This Row],[LABEL]])</f>
        <v>29</v>
      </c>
      <c r="O323" s="109">
        <v>15</v>
      </c>
      <c r="P323" s="109" t="e">
        <f>ROUND(Tableau14[[#This Row],[LEN]]*#REF!+#REF!,0)</f>
        <v>#REF!</v>
      </c>
    </row>
    <row r="324" spans="1:16" s="97" customFormat="1" x14ac:dyDescent="0.25">
      <c r="A324" s="25" t="s">
        <v>1122</v>
      </c>
      <c r="B324" s="26" t="s">
        <v>253</v>
      </c>
      <c r="C324" s="27" t="s">
        <v>92</v>
      </c>
      <c r="D324" s="70" t="s">
        <v>28</v>
      </c>
      <c r="E324" s="27" t="s">
        <v>663</v>
      </c>
      <c r="F324" s="27" t="s">
        <v>786</v>
      </c>
      <c r="G324" s="70" t="s">
        <v>166</v>
      </c>
      <c r="H324" s="70" t="s">
        <v>655</v>
      </c>
      <c r="I324" s="27"/>
      <c r="J324" s="28" t="s">
        <v>708</v>
      </c>
      <c r="K324" s="109">
        <f>ROUND(Tableau14[[#This Row],[LEN]]*7.27,0)</f>
        <v>262</v>
      </c>
      <c r="L324" s="109">
        <v>15</v>
      </c>
      <c r="M324" s="127" t="str">
        <f t="shared" si="2"/>
        <v>none</v>
      </c>
      <c r="N324" s="109">
        <f>LEN(Tableau14[[#This Row],[LABEL]])</f>
        <v>36</v>
      </c>
      <c r="O324" s="109">
        <v>15</v>
      </c>
      <c r="P324" s="109" t="e">
        <f>ROUND(Tableau14[[#This Row],[LEN]]*#REF!+#REF!,0)</f>
        <v>#REF!</v>
      </c>
    </row>
    <row r="325" spans="1:16" s="97" customFormat="1" x14ac:dyDescent="0.25">
      <c r="A325" s="29" t="s">
        <v>1155</v>
      </c>
      <c r="B325" s="30" t="s">
        <v>1122</v>
      </c>
      <c r="C325" s="31" t="s">
        <v>95</v>
      </c>
      <c r="D325" s="71" t="s">
        <v>28</v>
      </c>
      <c r="E325" s="31" t="s">
        <v>663</v>
      </c>
      <c r="F325" s="31" t="s">
        <v>786</v>
      </c>
      <c r="G325" s="71" t="s">
        <v>166</v>
      </c>
      <c r="H325" s="71" t="s">
        <v>17</v>
      </c>
      <c r="I325" s="31"/>
      <c r="J325" s="32" t="s">
        <v>708</v>
      </c>
      <c r="K325" s="111">
        <f>ROUND(Tableau14[[#This Row],[LEN]]*7.27,0)</f>
        <v>254</v>
      </c>
      <c r="L325" s="111">
        <v>15</v>
      </c>
      <c r="M325" s="128" t="str">
        <f t="shared" si="2"/>
        <v>none</v>
      </c>
      <c r="N325" s="111">
        <f>LEN(Tableau14[[#This Row],[LABEL]])</f>
        <v>35</v>
      </c>
      <c r="O325" s="111">
        <v>15</v>
      </c>
      <c r="P325" s="111" t="e">
        <f>ROUND(Tableau14[[#This Row],[LEN]]*#REF!+#REF!,0)</f>
        <v>#REF!</v>
      </c>
    </row>
    <row r="326" spans="1:16" s="97" customFormat="1" x14ac:dyDescent="0.25">
      <c r="A326" s="29" t="s">
        <v>1156</v>
      </c>
      <c r="B326" s="30" t="s">
        <v>1122</v>
      </c>
      <c r="C326" s="31" t="s">
        <v>96</v>
      </c>
      <c r="D326" s="71" t="s">
        <v>28</v>
      </c>
      <c r="E326" s="31" t="s">
        <v>663</v>
      </c>
      <c r="F326" s="31" t="s">
        <v>786</v>
      </c>
      <c r="G326" s="71" t="s">
        <v>166</v>
      </c>
      <c r="H326" s="71" t="s">
        <v>654</v>
      </c>
      <c r="I326" s="31"/>
      <c r="J326" s="32" t="s">
        <v>708</v>
      </c>
      <c r="K326" s="111">
        <f>ROUND(Tableau14[[#This Row],[LEN]]*7.27,0)</f>
        <v>233</v>
      </c>
      <c r="L326" s="111">
        <v>15</v>
      </c>
      <c r="M326" s="128" t="str">
        <f t="shared" si="2"/>
        <v>none</v>
      </c>
      <c r="N326" s="111">
        <f>LEN(Tableau14[[#This Row],[LABEL]])</f>
        <v>32</v>
      </c>
      <c r="O326" s="111">
        <v>15</v>
      </c>
      <c r="P326" s="111" t="e">
        <f>ROUND(Tableau14[[#This Row],[LEN]]*#REF!+#REF!,0)</f>
        <v>#REF!</v>
      </c>
    </row>
    <row r="327" spans="1:16" s="97" customFormat="1" x14ac:dyDescent="0.25">
      <c r="A327" s="29" t="s">
        <v>1157</v>
      </c>
      <c r="B327" s="30" t="s">
        <v>1122</v>
      </c>
      <c r="C327" s="31" t="s">
        <v>97</v>
      </c>
      <c r="D327" s="71" t="s">
        <v>28</v>
      </c>
      <c r="E327" s="31" t="s">
        <v>663</v>
      </c>
      <c r="F327" s="31" t="s">
        <v>786</v>
      </c>
      <c r="G327" s="71" t="s">
        <v>166</v>
      </c>
      <c r="H327" s="71" t="s">
        <v>656</v>
      </c>
      <c r="I327" s="31"/>
      <c r="J327" s="32" t="s">
        <v>708</v>
      </c>
      <c r="K327" s="111">
        <f>ROUND(Tableau14[[#This Row],[LEN]]*7.27,0)</f>
        <v>145</v>
      </c>
      <c r="L327" s="111">
        <v>15</v>
      </c>
      <c r="M327" s="128" t="str">
        <f t="shared" si="2"/>
        <v>none</v>
      </c>
      <c r="N327" s="111">
        <f>LEN(Tableau14[[#This Row],[LABEL]])</f>
        <v>20</v>
      </c>
      <c r="O327" s="111">
        <v>15</v>
      </c>
      <c r="P327" s="111" t="e">
        <f>ROUND(Tableau14[[#This Row],[LEN]]*#REF!+#REF!,0)</f>
        <v>#REF!</v>
      </c>
    </row>
    <row r="328" spans="1:16" s="97" customFormat="1" x14ac:dyDescent="0.25">
      <c r="A328" s="25" t="s">
        <v>1123</v>
      </c>
      <c r="B328" s="26" t="s">
        <v>253</v>
      </c>
      <c r="C328" s="27" t="s">
        <v>1129</v>
      </c>
      <c r="D328" s="70" t="s">
        <v>28</v>
      </c>
      <c r="E328" s="27" t="s">
        <v>667</v>
      </c>
      <c r="F328" s="27" t="s">
        <v>1134</v>
      </c>
      <c r="G328" s="70" t="s">
        <v>166</v>
      </c>
      <c r="H328" s="70" t="s">
        <v>18</v>
      </c>
      <c r="I328" s="27"/>
      <c r="J328" s="28" t="s">
        <v>101</v>
      </c>
      <c r="K328" s="109">
        <f>ROUND(Tableau14[[#This Row],[LEN]]*7.27,0)</f>
        <v>436</v>
      </c>
      <c r="L328" s="109">
        <v>15</v>
      </c>
      <c r="M328" s="127" t="str">
        <f t="shared" si="2"/>
        <v>new</v>
      </c>
      <c r="N328" s="109">
        <f>LEN(Tableau14[[#This Row],[LABEL]])</f>
        <v>60</v>
      </c>
      <c r="O328" s="109">
        <v>15</v>
      </c>
      <c r="P328" s="109" t="e">
        <f>ROUND(Tableau14[[#This Row],[LEN]]*#REF!+#REF!,0)</f>
        <v>#REF!</v>
      </c>
    </row>
    <row r="329" spans="1:16" s="97" customFormat="1" x14ac:dyDescent="0.25">
      <c r="A329" s="25" t="s">
        <v>1124</v>
      </c>
      <c r="B329" s="26" t="s">
        <v>253</v>
      </c>
      <c r="C329" s="27" t="s">
        <v>1130</v>
      </c>
      <c r="D329" s="70" t="s">
        <v>28</v>
      </c>
      <c r="E329" s="27" t="s">
        <v>667</v>
      </c>
      <c r="F329" s="27" t="s">
        <v>1134</v>
      </c>
      <c r="G329" s="70" t="s">
        <v>166</v>
      </c>
      <c r="H329" s="70" t="s">
        <v>18</v>
      </c>
      <c r="I329" s="27"/>
      <c r="J329" s="28" t="s">
        <v>708</v>
      </c>
      <c r="K329" s="109">
        <f>ROUND(Tableau14[[#This Row],[LEN]]*7.27,0)</f>
        <v>291</v>
      </c>
      <c r="L329" s="109">
        <v>15</v>
      </c>
      <c r="M329" s="127" t="str">
        <f t="shared" si="2"/>
        <v>none</v>
      </c>
      <c r="N329" s="109">
        <f>LEN(Tableau14[[#This Row],[LABEL]])</f>
        <v>40</v>
      </c>
      <c r="O329" s="109">
        <v>15</v>
      </c>
      <c r="P329" s="109" t="e">
        <f>ROUND(Tableau14[[#This Row],[LEN]]*#REF!+#REF!,0)</f>
        <v>#REF!</v>
      </c>
    </row>
    <row r="330" spans="1:16" s="97" customFormat="1" x14ac:dyDescent="0.25">
      <c r="A330" s="25" t="s">
        <v>1125</v>
      </c>
      <c r="B330" s="26" t="s">
        <v>253</v>
      </c>
      <c r="C330" s="27" t="s">
        <v>1167</v>
      </c>
      <c r="D330" s="70" t="s">
        <v>486</v>
      </c>
      <c r="E330" s="27" t="s">
        <v>1085</v>
      </c>
      <c r="F330" s="27" t="s">
        <v>1084</v>
      </c>
      <c r="G330" s="70" t="s">
        <v>1977</v>
      </c>
      <c r="H330" s="70" t="s">
        <v>1131</v>
      </c>
      <c r="I330" s="27"/>
      <c r="J330" s="28" t="s">
        <v>708</v>
      </c>
      <c r="K330" s="109">
        <f>ROUND(Tableau14[[#This Row],[LEN]]*7.27,0)</f>
        <v>196</v>
      </c>
      <c r="L330" s="109">
        <v>15</v>
      </c>
      <c r="M330" s="127" t="str">
        <f t="shared" si="2"/>
        <v>none</v>
      </c>
      <c r="N330" s="109">
        <f>LEN(Tableau14[[#This Row],[LABEL]])</f>
        <v>27</v>
      </c>
      <c r="O330" s="109">
        <v>15</v>
      </c>
      <c r="P330" s="109" t="e">
        <f>ROUND(Tableau14[[#This Row],[LEN]]*#REF!+#REF!,0)</f>
        <v>#REF!</v>
      </c>
    </row>
    <row r="331" spans="1:16" s="97" customFormat="1" x14ac:dyDescent="0.25">
      <c r="A331" s="29" t="s">
        <v>1163</v>
      </c>
      <c r="B331" s="30" t="s">
        <v>1125</v>
      </c>
      <c r="C331" s="31" t="s">
        <v>93</v>
      </c>
      <c r="D331" s="71" t="s">
        <v>28</v>
      </c>
      <c r="E331" s="31" t="s">
        <v>1085</v>
      </c>
      <c r="F331" s="31" t="s">
        <v>1084</v>
      </c>
      <c r="G331" s="71" t="s">
        <v>166</v>
      </c>
      <c r="H331" s="71" t="s">
        <v>18</v>
      </c>
      <c r="I331" s="31"/>
      <c r="J331" s="32" t="s">
        <v>101</v>
      </c>
      <c r="K331" s="111">
        <f>ROUND(Tableau14[[#This Row],[LEN]]*7.27,0)</f>
        <v>109</v>
      </c>
      <c r="L331" s="111">
        <v>15</v>
      </c>
      <c r="M331" s="128" t="str">
        <f t="shared" si="2"/>
        <v>new</v>
      </c>
      <c r="N331" s="111">
        <f>LEN(Tableau14[[#This Row],[LABEL]])</f>
        <v>15</v>
      </c>
      <c r="O331" s="111">
        <v>15</v>
      </c>
      <c r="P331" s="111" t="e">
        <f>ROUND(Tableau14[[#This Row],[LEN]]*#REF!+#REF!,0)</f>
        <v>#REF!</v>
      </c>
    </row>
    <row r="332" spans="1:16" s="97" customFormat="1" x14ac:dyDescent="0.25">
      <c r="A332" s="29" t="s">
        <v>1164</v>
      </c>
      <c r="B332" s="30" t="s">
        <v>1125</v>
      </c>
      <c r="C332" s="31" t="s">
        <v>94</v>
      </c>
      <c r="D332" s="71" t="s">
        <v>28</v>
      </c>
      <c r="E332" s="31" t="s">
        <v>1085</v>
      </c>
      <c r="F332" s="31" t="s">
        <v>1084</v>
      </c>
      <c r="G332" s="71" t="s">
        <v>166</v>
      </c>
      <c r="H332" s="71" t="s">
        <v>18</v>
      </c>
      <c r="I332" s="31"/>
      <c r="J332" s="32" t="s">
        <v>102</v>
      </c>
      <c r="K332" s="111">
        <f>ROUND(Tableau14[[#This Row],[LEN]]*7.27,0)</f>
        <v>58</v>
      </c>
      <c r="L332" s="111">
        <v>15</v>
      </c>
      <c r="M332" s="128" t="str">
        <f t="shared" si="2"/>
        <v>new</v>
      </c>
      <c r="N332" s="111">
        <f>LEN(Tableau14[[#This Row],[LABEL]])</f>
        <v>8</v>
      </c>
      <c r="O332" s="111">
        <v>15</v>
      </c>
      <c r="P332" s="111" t="e">
        <f>ROUND(Tableau14[[#This Row],[LEN]]*#REF!+#REF!,0)</f>
        <v>#REF!</v>
      </c>
    </row>
    <row r="333" spans="1:16" s="273" customFormat="1" x14ac:dyDescent="0.25">
      <c r="A333" s="288" t="s">
        <v>254</v>
      </c>
      <c r="B333" s="289" t="s">
        <v>206</v>
      </c>
      <c r="C333" s="290" t="s">
        <v>5</v>
      </c>
      <c r="D333" s="291" t="s">
        <v>28</v>
      </c>
      <c r="E333" s="290" t="s">
        <v>668</v>
      </c>
      <c r="F333" s="290" t="s">
        <v>668</v>
      </c>
      <c r="G333" s="291" t="s">
        <v>166</v>
      </c>
      <c r="H333" s="291" t="str">
        <f>IFERROR(IF(SEARCH(".00.00.00.00.00",Tableau14[[#This Row],[name]],1)=7,"Division",""),"")</f>
        <v>Division</v>
      </c>
      <c r="I333" s="290"/>
      <c r="J333" s="292" t="s">
        <v>714</v>
      </c>
      <c r="K333" s="293">
        <f>ROUND(Tableau14[[#This Row],[LEN]]*7.27,0)</f>
        <v>73</v>
      </c>
      <c r="L333" s="293">
        <v>15</v>
      </c>
      <c r="M333" s="294" t="str">
        <f t="shared" si="2"/>
        <v>new</v>
      </c>
      <c r="N333" s="293">
        <f>LEN(Tableau14[[#This Row],[LABEL]])</f>
        <v>10</v>
      </c>
      <c r="O333" s="293">
        <v>15</v>
      </c>
      <c r="P333" s="293" t="e">
        <f>ROUND(Tableau14[[#This Row],[LEN]]*#REF!+#REF!,0)</f>
        <v>#REF!</v>
      </c>
    </row>
    <row r="334" spans="1:16" s="97" customFormat="1" x14ac:dyDescent="0.25">
      <c r="A334" s="25" t="s">
        <v>1171</v>
      </c>
      <c r="B334" s="26" t="s">
        <v>254</v>
      </c>
      <c r="C334" s="27" t="s">
        <v>1168</v>
      </c>
      <c r="D334" s="70" t="s">
        <v>28</v>
      </c>
      <c r="E334" s="27" t="s">
        <v>668</v>
      </c>
      <c r="F334" s="27" t="s">
        <v>1178</v>
      </c>
      <c r="G334" s="70" t="s">
        <v>166</v>
      </c>
      <c r="H334" s="70" t="s">
        <v>654</v>
      </c>
      <c r="I334" s="27"/>
      <c r="J334" s="28" t="s">
        <v>708</v>
      </c>
      <c r="K334" s="109">
        <f>ROUND(Tableau14[[#This Row],[LEN]]*7.27,0)</f>
        <v>262</v>
      </c>
      <c r="L334" s="109">
        <v>15</v>
      </c>
      <c r="M334" s="127" t="str">
        <f t="shared" si="2"/>
        <v>none</v>
      </c>
      <c r="N334" s="109">
        <f>LEN(Tableau14[[#This Row],[LABEL]])</f>
        <v>36</v>
      </c>
      <c r="O334" s="109">
        <v>15</v>
      </c>
      <c r="P334" s="109" t="e">
        <f>ROUND(Tableau14[[#This Row],[LEN]]*#REF!+#REF!,0)</f>
        <v>#REF!</v>
      </c>
    </row>
    <row r="335" spans="1:16" s="97" customFormat="1" x14ac:dyDescent="0.25">
      <c r="A335" s="25" t="s">
        <v>1172</v>
      </c>
      <c r="B335" s="26" t="s">
        <v>254</v>
      </c>
      <c r="C335" s="27" t="s">
        <v>1170</v>
      </c>
      <c r="D335" s="70" t="s">
        <v>28</v>
      </c>
      <c r="E335" s="27" t="s">
        <v>667</v>
      </c>
      <c r="F335" s="27" t="s">
        <v>1179</v>
      </c>
      <c r="G335" s="70" t="s">
        <v>166</v>
      </c>
      <c r="H335" s="70" t="s">
        <v>655</v>
      </c>
      <c r="I335" s="27"/>
      <c r="J335" s="28" t="s">
        <v>708</v>
      </c>
      <c r="K335" s="109">
        <f>ROUND(Tableau14[[#This Row],[LEN]]*7.27,0)</f>
        <v>138</v>
      </c>
      <c r="L335" s="109">
        <v>15</v>
      </c>
      <c r="M335" s="127" t="str">
        <f t="shared" si="2"/>
        <v>none</v>
      </c>
      <c r="N335" s="109">
        <f>LEN(Tableau14[[#This Row],[LABEL]])</f>
        <v>19</v>
      </c>
      <c r="O335" s="109">
        <v>15</v>
      </c>
      <c r="P335" s="109" t="e">
        <f>ROUND(Tableau14[[#This Row],[LEN]]*#REF!+#REF!,0)</f>
        <v>#REF!</v>
      </c>
    </row>
    <row r="336" spans="1:16" s="97" customFormat="1" x14ac:dyDescent="0.25">
      <c r="A336" s="29" t="s">
        <v>1180</v>
      </c>
      <c r="B336" s="30" t="s">
        <v>1172</v>
      </c>
      <c r="C336" s="31" t="s">
        <v>1184</v>
      </c>
      <c r="D336" s="71" t="s">
        <v>28</v>
      </c>
      <c r="E336" s="31" t="s">
        <v>667</v>
      </c>
      <c r="F336" s="31" t="s">
        <v>1179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ROUND(Tableau14[[#This Row],[LEN]]*7.27,0)</f>
        <v>211</v>
      </c>
      <c r="L336" s="111">
        <v>15</v>
      </c>
      <c r="M336" s="128" t="str">
        <f t="shared" si="2"/>
        <v>none</v>
      </c>
      <c r="N336" s="111">
        <f>LEN(Tableau14[[#This Row],[LABEL]])</f>
        <v>29</v>
      </c>
      <c r="O336" s="111">
        <v>15</v>
      </c>
      <c r="P336" s="111" t="e">
        <f>ROUND(Tableau14[[#This Row],[LEN]]*#REF!+#REF!,0)</f>
        <v>#REF!</v>
      </c>
    </row>
    <row r="337" spans="1:16" s="97" customFormat="1" x14ac:dyDescent="0.25">
      <c r="A337" s="29" t="s">
        <v>1181</v>
      </c>
      <c r="B337" s="30" t="s">
        <v>1172</v>
      </c>
      <c r="C337" s="31" t="s">
        <v>1185</v>
      </c>
      <c r="D337" s="71" t="s">
        <v>28</v>
      </c>
      <c r="E337" s="31" t="s">
        <v>667</v>
      </c>
      <c r="F337" s="31" t="s">
        <v>1179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ROUND(Tableau14[[#This Row],[LEN]]*7.27,0)</f>
        <v>291</v>
      </c>
      <c r="L337" s="111">
        <v>15</v>
      </c>
      <c r="M337" s="128" t="str">
        <f t="shared" si="2"/>
        <v>none</v>
      </c>
      <c r="N337" s="111">
        <f>LEN(Tableau14[[#This Row],[LABEL]])</f>
        <v>40</v>
      </c>
      <c r="O337" s="111">
        <v>15</v>
      </c>
      <c r="P337" s="111" t="e">
        <f>ROUND(Tableau14[[#This Row],[LEN]]*#REF!+#REF!,0)</f>
        <v>#REF!</v>
      </c>
    </row>
    <row r="338" spans="1:16" s="97" customFormat="1" x14ac:dyDescent="0.25">
      <c r="A338" s="29" t="s">
        <v>1182</v>
      </c>
      <c r="B338" s="30" t="s">
        <v>1172</v>
      </c>
      <c r="C338" s="31" t="s">
        <v>1186</v>
      </c>
      <c r="D338" s="71" t="s">
        <v>28</v>
      </c>
      <c r="E338" s="31" t="s">
        <v>667</v>
      </c>
      <c r="F338" s="31" t="s">
        <v>1179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ROUND(Tableau14[[#This Row],[LEN]]*7.27,0)</f>
        <v>240</v>
      </c>
      <c r="L338" s="111">
        <v>15</v>
      </c>
      <c r="M338" s="128" t="str">
        <f t="shared" si="2"/>
        <v>none</v>
      </c>
      <c r="N338" s="111">
        <f>LEN(Tableau14[[#This Row],[LABEL]])</f>
        <v>33</v>
      </c>
      <c r="O338" s="111">
        <v>15</v>
      </c>
      <c r="P338" s="111" t="e">
        <f>ROUND(Tableau14[[#This Row],[LEN]]*#REF!+#REF!,0)</f>
        <v>#REF!</v>
      </c>
    </row>
    <row r="339" spans="1:16" s="97" customFormat="1" x14ac:dyDescent="0.25">
      <c r="A339" s="29" t="s">
        <v>1183</v>
      </c>
      <c r="B339" s="30" t="s">
        <v>1172</v>
      </c>
      <c r="C339" s="31" t="s">
        <v>1187</v>
      </c>
      <c r="D339" s="71" t="s">
        <v>28</v>
      </c>
      <c r="E339" s="31" t="s">
        <v>667</v>
      </c>
      <c r="F339" s="31" t="s">
        <v>1179</v>
      </c>
      <c r="G339" s="71" t="s">
        <v>166</v>
      </c>
      <c r="H339" s="71" t="s">
        <v>18</v>
      </c>
      <c r="I339" s="31"/>
      <c r="J339" s="32" t="s">
        <v>708</v>
      </c>
      <c r="K339" s="111">
        <f>ROUND(Tableau14[[#This Row],[LEN]]*7.27,0)</f>
        <v>356</v>
      </c>
      <c r="L339" s="111">
        <v>15</v>
      </c>
      <c r="M339" s="128" t="str">
        <f t="shared" si="2"/>
        <v>none</v>
      </c>
      <c r="N339" s="111">
        <f>LEN(Tableau14[[#This Row],[LABEL]])</f>
        <v>49</v>
      </c>
      <c r="O339" s="111">
        <v>15</v>
      </c>
      <c r="P339" s="111" t="e">
        <f>ROUND(Tableau14[[#This Row],[LEN]]*#REF!+#REF!,0)</f>
        <v>#REF!</v>
      </c>
    </row>
    <row r="340" spans="1:16" s="97" customFormat="1" x14ac:dyDescent="0.25">
      <c r="A340" s="25" t="s">
        <v>1173</v>
      </c>
      <c r="B340" s="26" t="s">
        <v>254</v>
      </c>
      <c r="C340" s="27" t="s">
        <v>778</v>
      </c>
      <c r="D340" s="70" t="s">
        <v>28</v>
      </c>
      <c r="E340" s="27" t="s">
        <v>673</v>
      </c>
      <c r="F340" s="27" t="s">
        <v>2000</v>
      </c>
      <c r="G340" s="70" t="s">
        <v>166</v>
      </c>
      <c r="H340" s="70" t="s">
        <v>17</v>
      </c>
      <c r="I340" s="27"/>
      <c r="J340" s="28" t="s">
        <v>708</v>
      </c>
      <c r="K340" s="109">
        <f>ROUND(Tableau14[[#This Row],[LEN]]*7.27,0)</f>
        <v>211</v>
      </c>
      <c r="L340" s="109">
        <v>15</v>
      </c>
      <c r="M340" s="127" t="str">
        <f t="shared" si="2"/>
        <v>none</v>
      </c>
      <c r="N340" s="109">
        <f>LEN(Tableau14[[#This Row],[LABEL]])</f>
        <v>29</v>
      </c>
      <c r="O340" s="109">
        <v>15</v>
      </c>
      <c r="P340" s="109" t="e">
        <f>ROUND(Tableau14[[#This Row],[LEN]]*#REF!+#REF!,0)</f>
        <v>#REF!</v>
      </c>
    </row>
    <row r="341" spans="1:16" s="97" customFormat="1" x14ac:dyDescent="0.25">
      <c r="A341" s="25" t="s">
        <v>1174</v>
      </c>
      <c r="B341" s="26" t="s">
        <v>254</v>
      </c>
      <c r="C341" s="27" t="s">
        <v>92</v>
      </c>
      <c r="D341" s="70" t="s">
        <v>28</v>
      </c>
      <c r="E341" s="27" t="s">
        <v>663</v>
      </c>
      <c r="F341" s="27" t="s">
        <v>786</v>
      </c>
      <c r="G341" s="70" t="s">
        <v>166</v>
      </c>
      <c r="H341" s="70" t="s">
        <v>655</v>
      </c>
      <c r="I341" s="27"/>
      <c r="J341" s="28" t="s">
        <v>708</v>
      </c>
      <c r="K341" s="109">
        <f>ROUND(Tableau14[[#This Row],[LEN]]*7.27,0)</f>
        <v>262</v>
      </c>
      <c r="L341" s="109">
        <v>15</v>
      </c>
      <c r="M341" s="127" t="str">
        <f t="shared" si="2"/>
        <v>none</v>
      </c>
      <c r="N341" s="109">
        <f>LEN(Tableau14[[#This Row],[LABEL]])</f>
        <v>36</v>
      </c>
      <c r="O341" s="109">
        <v>15</v>
      </c>
      <c r="P341" s="109" t="e">
        <f>ROUND(Tableau14[[#This Row],[LEN]]*#REF!+#REF!,0)</f>
        <v>#REF!</v>
      </c>
    </row>
    <row r="342" spans="1:16" s="97" customFormat="1" x14ac:dyDescent="0.25">
      <c r="A342" s="29" t="s">
        <v>1188</v>
      </c>
      <c r="B342" s="30" t="s">
        <v>1174</v>
      </c>
      <c r="C342" s="31" t="s">
        <v>95</v>
      </c>
      <c r="D342" s="71" t="s">
        <v>28</v>
      </c>
      <c r="E342" s="31" t="s">
        <v>663</v>
      </c>
      <c r="F342" s="31" t="s">
        <v>786</v>
      </c>
      <c r="G342" s="71" t="s">
        <v>166</v>
      </c>
      <c r="H342" s="71" t="s">
        <v>17</v>
      </c>
      <c r="I342" s="31"/>
      <c r="J342" s="32" t="s">
        <v>708</v>
      </c>
      <c r="K342" s="111">
        <f>ROUND(Tableau14[[#This Row],[LEN]]*7.27,0)</f>
        <v>254</v>
      </c>
      <c r="L342" s="111">
        <v>15</v>
      </c>
      <c r="M342" s="128" t="str">
        <f t="shared" si="2"/>
        <v>none</v>
      </c>
      <c r="N342" s="111">
        <f>LEN(Tableau14[[#This Row],[LABEL]])</f>
        <v>35</v>
      </c>
      <c r="O342" s="111">
        <v>15</v>
      </c>
      <c r="P342" s="111" t="e">
        <f>ROUND(Tableau14[[#This Row],[LEN]]*#REF!+#REF!,0)</f>
        <v>#REF!</v>
      </c>
    </row>
    <row r="343" spans="1:16" s="97" customFormat="1" x14ac:dyDescent="0.25">
      <c r="A343" s="29" t="s">
        <v>1189</v>
      </c>
      <c r="B343" s="30" t="s">
        <v>1174</v>
      </c>
      <c r="C343" s="31" t="s">
        <v>96</v>
      </c>
      <c r="D343" s="71" t="s">
        <v>28</v>
      </c>
      <c r="E343" s="31" t="s">
        <v>663</v>
      </c>
      <c r="F343" s="31" t="s">
        <v>786</v>
      </c>
      <c r="G343" s="71" t="s">
        <v>166</v>
      </c>
      <c r="H343" s="71" t="s">
        <v>654</v>
      </c>
      <c r="I343" s="31"/>
      <c r="J343" s="32" t="s">
        <v>708</v>
      </c>
      <c r="K343" s="111">
        <f>ROUND(Tableau14[[#This Row],[LEN]]*7.27,0)</f>
        <v>233</v>
      </c>
      <c r="L343" s="111">
        <v>15</v>
      </c>
      <c r="M343" s="128" t="str">
        <f t="shared" si="2"/>
        <v>none</v>
      </c>
      <c r="N343" s="111">
        <f>LEN(Tableau14[[#This Row],[LABEL]])</f>
        <v>32</v>
      </c>
      <c r="O343" s="111">
        <v>15</v>
      </c>
      <c r="P343" s="111" t="e">
        <f>ROUND(Tableau14[[#This Row],[LEN]]*#REF!+#REF!,0)</f>
        <v>#REF!</v>
      </c>
    </row>
    <row r="344" spans="1:16" s="97" customFormat="1" x14ac:dyDescent="0.25">
      <c r="A344" s="29" t="s">
        <v>1190</v>
      </c>
      <c r="B344" s="30" t="s">
        <v>1174</v>
      </c>
      <c r="C344" s="31" t="s">
        <v>97</v>
      </c>
      <c r="D344" s="71" t="s">
        <v>28</v>
      </c>
      <c r="E344" s="31" t="s">
        <v>663</v>
      </c>
      <c r="F344" s="31" t="s">
        <v>786</v>
      </c>
      <c r="G344" s="71" t="s">
        <v>166</v>
      </c>
      <c r="H344" s="71" t="s">
        <v>656</v>
      </c>
      <c r="I344" s="31"/>
      <c r="J344" s="32" t="s">
        <v>708</v>
      </c>
      <c r="K344" s="111">
        <f>ROUND(Tableau14[[#This Row],[LEN]]*7.27,0)</f>
        <v>145</v>
      </c>
      <c r="L344" s="111">
        <v>15</v>
      </c>
      <c r="M344" s="128" t="str">
        <f t="shared" si="2"/>
        <v>none</v>
      </c>
      <c r="N344" s="111">
        <f>LEN(Tableau14[[#This Row],[LABEL]])</f>
        <v>20</v>
      </c>
      <c r="O344" s="111">
        <v>15</v>
      </c>
      <c r="P344" s="111" t="e">
        <f>ROUND(Tableau14[[#This Row],[LEN]]*#REF!+#REF!,0)</f>
        <v>#REF!</v>
      </c>
    </row>
    <row r="345" spans="1:16" s="97" customFormat="1" x14ac:dyDescent="0.25">
      <c r="A345" s="25" t="s">
        <v>1175</v>
      </c>
      <c r="B345" s="26" t="s">
        <v>254</v>
      </c>
      <c r="C345" s="27" t="s">
        <v>1169</v>
      </c>
      <c r="D345" s="70" t="s">
        <v>28</v>
      </c>
      <c r="E345" s="27" t="s">
        <v>667</v>
      </c>
      <c r="F345" s="27" t="s">
        <v>673</v>
      </c>
      <c r="G345" s="70" t="s">
        <v>166</v>
      </c>
      <c r="H345" s="70" t="s">
        <v>656</v>
      </c>
      <c r="I345" s="27"/>
      <c r="J345" s="28" t="s">
        <v>708</v>
      </c>
      <c r="K345" s="109">
        <f>ROUND(Tableau14[[#This Row],[LEN]]*7.27,0)</f>
        <v>334</v>
      </c>
      <c r="L345" s="109">
        <v>15</v>
      </c>
      <c r="M345" s="127" t="str">
        <f t="shared" si="2"/>
        <v>none</v>
      </c>
      <c r="N345" s="109">
        <f>LEN(Tableau14[[#This Row],[LABEL]])</f>
        <v>46</v>
      </c>
      <c r="O345" s="109">
        <v>15</v>
      </c>
      <c r="P345" s="109" t="e">
        <f>ROUND(Tableau14[[#This Row],[LEN]]*#REF!+#REF!,0)</f>
        <v>#REF!</v>
      </c>
    </row>
    <row r="346" spans="1:16" s="97" customFormat="1" x14ac:dyDescent="0.25">
      <c r="A346" s="25" t="s">
        <v>1176</v>
      </c>
      <c r="B346" s="26" t="s">
        <v>254</v>
      </c>
      <c r="C346" s="27" t="s">
        <v>1167</v>
      </c>
      <c r="D346" s="70" t="s">
        <v>486</v>
      </c>
      <c r="E346" s="27" t="s">
        <v>1177</v>
      </c>
      <c r="F346" s="27" t="s">
        <v>1084</v>
      </c>
      <c r="G346" s="70" t="s">
        <v>1977</v>
      </c>
      <c r="H346" s="70" t="s">
        <v>1131</v>
      </c>
      <c r="I346" s="27"/>
      <c r="J346" s="28" t="s">
        <v>708</v>
      </c>
      <c r="K346" s="109">
        <f>ROUND(Tableau14[[#This Row],[LEN]]*7.27,0)</f>
        <v>196</v>
      </c>
      <c r="L346" s="109">
        <v>15</v>
      </c>
      <c r="M346" s="127" t="str">
        <f t="shared" si="2"/>
        <v>none</v>
      </c>
      <c r="N346" s="109">
        <f>LEN(Tableau14[[#This Row],[LABEL]])</f>
        <v>27</v>
      </c>
      <c r="O346" s="109">
        <v>15</v>
      </c>
      <c r="P346" s="109" t="e">
        <f>ROUND(Tableau14[[#This Row],[LEN]]*#REF!+#REF!,0)</f>
        <v>#REF!</v>
      </c>
    </row>
    <row r="347" spans="1:16" s="97" customFormat="1" x14ac:dyDescent="0.25">
      <c r="A347" s="29" t="s">
        <v>1191</v>
      </c>
      <c r="B347" s="30" t="s">
        <v>1176</v>
      </c>
      <c r="C347" s="31" t="s">
        <v>93</v>
      </c>
      <c r="D347" s="71" t="s">
        <v>28</v>
      </c>
      <c r="E347" s="31" t="s">
        <v>1085</v>
      </c>
      <c r="F347" s="31" t="s">
        <v>1084</v>
      </c>
      <c r="G347" s="71" t="s">
        <v>166</v>
      </c>
      <c r="H347" s="71" t="s">
        <v>18</v>
      </c>
      <c r="I347" s="31"/>
      <c r="J347" s="32" t="s">
        <v>101</v>
      </c>
      <c r="K347" s="111">
        <f>ROUND(Tableau14[[#This Row],[LEN]]*7.27,0)</f>
        <v>109</v>
      </c>
      <c r="L347" s="111">
        <v>15</v>
      </c>
      <c r="M347" s="128" t="str">
        <f t="shared" si="2"/>
        <v>new</v>
      </c>
      <c r="N347" s="111">
        <f>LEN(Tableau14[[#This Row],[LABEL]])</f>
        <v>15</v>
      </c>
      <c r="O347" s="111">
        <v>15</v>
      </c>
      <c r="P347" s="111" t="e">
        <f>ROUND(Tableau14[[#This Row],[LEN]]*#REF!+#REF!,0)</f>
        <v>#REF!</v>
      </c>
    </row>
    <row r="348" spans="1:16" s="97" customFormat="1" x14ac:dyDescent="0.25">
      <c r="A348" s="29" t="s">
        <v>1192</v>
      </c>
      <c r="B348" s="30" t="s">
        <v>1176</v>
      </c>
      <c r="C348" s="31" t="s">
        <v>94</v>
      </c>
      <c r="D348" s="71" t="s">
        <v>28</v>
      </c>
      <c r="E348" s="31" t="s">
        <v>1085</v>
      </c>
      <c r="F348" s="31" t="s">
        <v>1084</v>
      </c>
      <c r="G348" s="71" t="s">
        <v>166</v>
      </c>
      <c r="H348" s="71" t="s">
        <v>18</v>
      </c>
      <c r="I348" s="31"/>
      <c r="J348" s="32" t="s">
        <v>102</v>
      </c>
      <c r="K348" s="111">
        <f>ROUND(Tableau14[[#This Row],[LEN]]*7.27,0)</f>
        <v>58</v>
      </c>
      <c r="L348" s="111">
        <v>15</v>
      </c>
      <c r="M348" s="128" t="str">
        <f t="shared" si="2"/>
        <v>new</v>
      </c>
      <c r="N348" s="111">
        <f>LEN(Tableau14[[#This Row],[LABEL]])</f>
        <v>8</v>
      </c>
      <c r="O348" s="111">
        <v>15</v>
      </c>
      <c r="P348" s="111" t="e">
        <f>ROUND(Tableau14[[#This Row],[LEN]]*#REF!+#REF!,0)</f>
        <v>#REF!</v>
      </c>
    </row>
    <row r="349" spans="1:16" s="273" customFormat="1" x14ac:dyDescent="0.25">
      <c r="A349" s="288" t="s">
        <v>255</v>
      </c>
      <c r="B349" s="289" t="s">
        <v>206</v>
      </c>
      <c r="C349" s="290" t="s">
        <v>6</v>
      </c>
      <c r="D349" s="291" t="s">
        <v>28</v>
      </c>
      <c r="E349" s="290" t="s">
        <v>669</v>
      </c>
      <c r="F349" s="290" t="s">
        <v>669</v>
      </c>
      <c r="G349" s="291" t="s">
        <v>166</v>
      </c>
      <c r="H349" s="291" t="str">
        <f>IFERROR(IF(SEARCH(".00.00.00.00.00",Tableau14[[#This Row],[name]],1)=7,"Division",""),"")</f>
        <v>Division</v>
      </c>
      <c r="I349" s="290"/>
      <c r="J349" s="292" t="s">
        <v>715</v>
      </c>
      <c r="K349" s="293">
        <f>ROUND(Tableau14[[#This Row],[LEN]]*7.27,0)</f>
        <v>196</v>
      </c>
      <c r="L349" s="293">
        <v>15</v>
      </c>
      <c r="M349" s="294" t="str">
        <f t="shared" si="2"/>
        <v>new</v>
      </c>
      <c r="N349" s="293">
        <f>LEN(Tableau14[[#This Row],[LABEL]])</f>
        <v>27</v>
      </c>
      <c r="O349" s="293">
        <v>15</v>
      </c>
      <c r="P349" s="293" t="e">
        <f>ROUND(Tableau14[[#This Row],[LEN]]*#REF!+#REF!,0)</f>
        <v>#REF!</v>
      </c>
    </row>
    <row r="350" spans="1:16" s="97" customFormat="1" x14ac:dyDescent="0.25">
      <c r="A350" s="25" t="s">
        <v>436</v>
      </c>
      <c r="B350" s="26" t="s">
        <v>255</v>
      </c>
      <c r="C350" s="27" t="s">
        <v>137</v>
      </c>
      <c r="D350" s="70" t="s">
        <v>28</v>
      </c>
      <c r="E350" s="27" t="s">
        <v>669</v>
      </c>
      <c r="F350" s="27" t="s">
        <v>669</v>
      </c>
      <c r="G350" s="70" t="s">
        <v>166</v>
      </c>
      <c r="H350" s="70" t="s">
        <v>654</v>
      </c>
      <c r="I350" s="27"/>
      <c r="J350" s="28" t="s">
        <v>726</v>
      </c>
      <c r="K350" s="109">
        <f>ROUND(Tableau14[[#This Row],[LEN]]*7.27,0)</f>
        <v>269</v>
      </c>
      <c r="L350" s="109">
        <v>15</v>
      </c>
      <c r="M350" s="127" t="str">
        <f t="shared" si="2"/>
        <v>new</v>
      </c>
      <c r="N350" s="109">
        <f>LEN(Tableau14[[#This Row],[LABEL]])</f>
        <v>37</v>
      </c>
      <c r="O350" s="109">
        <v>15</v>
      </c>
      <c r="P350" s="109" t="e">
        <f>ROUND(Tableau14[[#This Row],[LEN]]*#REF!+#REF!,0)</f>
        <v>#REF!</v>
      </c>
    </row>
    <row r="351" spans="1:16" s="97" customFormat="1" x14ac:dyDescent="0.25">
      <c r="A351" s="25" t="s">
        <v>437</v>
      </c>
      <c r="B351" s="26" t="s">
        <v>255</v>
      </c>
      <c r="C351" s="27" t="s">
        <v>138</v>
      </c>
      <c r="D351" s="70" t="s">
        <v>28</v>
      </c>
      <c r="E351" s="27" t="s">
        <v>669</v>
      </c>
      <c r="F351" s="27" t="s">
        <v>678</v>
      </c>
      <c r="G351" s="70" t="s">
        <v>166</v>
      </c>
      <c r="H351" s="70" t="s">
        <v>655</v>
      </c>
      <c r="I351" s="27"/>
      <c r="J351" s="28" t="s">
        <v>708</v>
      </c>
      <c r="K351" s="109">
        <f>ROUND(Tableau14[[#This Row],[LEN]]*7.27,0)</f>
        <v>225</v>
      </c>
      <c r="L351" s="109">
        <v>15</v>
      </c>
      <c r="M351" s="127" t="str">
        <f t="shared" si="2"/>
        <v>none</v>
      </c>
      <c r="N351" s="109">
        <f>LEN(Tableau14[[#This Row],[LABEL]])</f>
        <v>31</v>
      </c>
      <c r="O351" s="109">
        <v>15</v>
      </c>
      <c r="P351" s="109" t="e">
        <f>ROUND(Tableau14[[#This Row],[LEN]]*#REF!+#REF!,0)</f>
        <v>#REF!</v>
      </c>
    </row>
    <row r="352" spans="1:16" s="97" customFormat="1" x14ac:dyDescent="0.25">
      <c r="A352" s="29" t="s">
        <v>438</v>
      </c>
      <c r="B352" s="30" t="s">
        <v>437</v>
      </c>
      <c r="C352" s="31" t="s">
        <v>139</v>
      </c>
      <c r="D352" s="71" t="s">
        <v>28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ROUND(Tableau14[[#This Row],[LEN]]*7.27,0)</f>
        <v>327</v>
      </c>
      <c r="L352" s="111">
        <v>15</v>
      </c>
      <c r="M352" s="128" t="str">
        <f t="shared" si="2"/>
        <v>none</v>
      </c>
      <c r="N352" s="111">
        <f>LEN(Tableau14[[#This Row],[LABEL]])</f>
        <v>45</v>
      </c>
      <c r="O352" s="111">
        <v>15</v>
      </c>
      <c r="P352" s="111" t="e">
        <f>ROUND(Tableau14[[#This Row],[LEN]]*#REF!+#REF!,0)</f>
        <v>#REF!</v>
      </c>
    </row>
    <row r="353" spans="1:16" s="97" customFormat="1" x14ac:dyDescent="0.25">
      <c r="A353" s="29" t="s">
        <v>439</v>
      </c>
      <c r="B353" s="30" t="s">
        <v>437</v>
      </c>
      <c r="C353" s="31" t="s">
        <v>140</v>
      </c>
      <c r="D353" s="71" t="s">
        <v>28</v>
      </c>
      <c r="E353" s="31" t="s">
        <v>669</v>
      </c>
      <c r="F353" s="31" t="s">
        <v>678</v>
      </c>
      <c r="G353" s="71" t="s">
        <v>166</v>
      </c>
      <c r="H353" s="71" t="s">
        <v>654</v>
      </c>
      <c r="I353" s="31"/>
      <c r="J353" s="32" t="s">
        <v>708</v>
      </c>
      <c r="K353" s="111">
        <f>ROUND(Tableau14[[#This Row],[LEN]]*7.27,0)</f>
        <v>385</v>
      </c>
      <c r="L353" s="111">
        <v>15</v>
      </c>
      <c r="M353" s="128" t="str">
        <f t="shared" si="2"/>
        <v>none</v>
      </c>
      <c r="N353" s="111">
        <f>LEN(Tableau14[[#This Row],[LABEL]])</f>
        <v>53</v>
      </c>
      <c r="O353" s="111">
        <v>15</v>
      </c>
      <c r="P353" s="111" t="e">
        <f>ROUND(Tableau14[[#This Row],[LEN]]*#REF!+#REF!,0)</f>
        <v>#REF!</v>
      </c>
    </row>
    <row r="354" spans="1:16" s="97" customFormat="1" x14ac:dyDescent="0.25">
      <c r="A354" s="29" t="s">
        <v>440</v>
      </c>
      <c r="B354" s="30" t="s">
        <v>437</v>
      </c>
      <c r="C354" s="31" t="s">
        <v>141</v>
      </c>
      <c r="D354" s="71" t="s">
        <v>28</v>
      </c>
      <c r="E354" s="31" t="s">
        <v>669</v>
      </c>
      <c r="F354" s="31" t="s">
        <v>678</v>
      </c>
      <c r="G354" s="71" t="s">
        <v>166</v>
      </c>
      <c r="H354" s="71" t="s">
        <v>17</v>
      </c>
      <c r="I354" s="31"/>
      <c r="J354" s="32" t="s">
        <v>708</v>
      </c>
      <c r="K354" s="111">
        <f>ROUND(Tableau14[[#This Row],[LEN]]*7.27,0)</f>
        <v>313</v>
      </c>
      <c r="L354" s="111">
        <v>15</v>
      </c>
      <c r="M354" s="128" t="str">
        <f t="shared" si="2"/>
        <v>none</v>
      </c>
      <c r="N354" s="111">
        <f>LEN(Tableau14[[#This Row],[LABEL]])</f>
        <v>43</v>
      </c>
      <c r="O354" s="111">
        <v>15</v>
      </c>
      <c r="P354" s="111" t="e">
        <f>ROUND(Tableau14[[#This Row],[LEN]]*#REF!+#REF!,0)</f>
        <v>#REF!</v>
      </c>
    </row>
    <row r="355" spans="1:16" s="97" customFormat="1" x14ac:dyDescent="0.25">
      <c r="A355" s="25" t="s">
        <v>441</v>
      </c>
      <c r="B355" s="26" t="s">
        <v>255</v>
      </c>
      <c r="C355" s="27" t="s">
        <v>88</v>
      </c>
      <c r="D355" s="70" t="s">
        <v>28</v>
      </c>
      <c r="E355" s="27" t="s">
        <v>667</v>
      </c>
      <c r="F355" s="27" t="s">
        <v>1218</v>
      </c>
      <c r="G355" s="70" t="s">
        <v>166</v>
      </c>
      <c r="H355" s="70" t="s">
        <v>570</v>
      </c>
      <c r="I355" s="27"/>
      <c r="J355" s="28" t="s">
        <v>708</v>
      </c>
      <c r="K355" s="109">
        <f>ROUND(Tableau14[[#This Row],[LEN]]*7.27,0)</f>
        <v>342</v>
      </c>
      <c r="L355" s="109">
        <v>15</v>
      </c>
      <c r="M355" s="127" t="str">
        <f t="shared" si="2"/>
        <v>none</v>
      </c>
      <c r="N355" s="109">
        <f>LEN(Tableau14[[#This Row],[LABEL]])</f>
        <v>47</v>
      </c>
      <c r="O355" s="109">
        <v>15</v>
      </c>
      <c r="P355" s="109" t="e">
        <f>ROUND(Tableau14[[#This Row],[LEN]]*#REF!+#REF!,0)</f>
        <v>#REF!</v>
      </c>
    </row>
    <row r="356" spans="1:16" s="97" customFormat="1" x14ac:dyDescent="0.25">
      <c r="A356" s="25" t="s">
        <v>442</v>
      </c>
      <c r="B356" s="26" t="s">
        <v>255</v>
      </c>
      <c r="C356" s="27" t="s">
        <v>142</v>
      </c>
      <c r="D356" s="70" t="s">
        <v>28</v>
      </c>
      <c r="E356" s="27" t="s">
        <v>669</v>
      </c>
      <c r="F356" s="27" t="s">
        <v>1356</v>
      </c>
      <c r="G356" s="70" t="s">
        <v>166</v>
      </c>
      <c r="H356" s="70" t="s">
        <v>655</v>
      </c>
      <c r="I356" s="27"/>
      <c r="J356" s="28" t="s">
        <v>708</v>
      </c>
      <c r="K356" s="109">
        <f>ROUND(Tableau14[[#This Row],[LEN]]*7.27,0)</f>
        <v>109</v>
      </c>
      <c r="L356" s="109">
        <v>15</v>
      </c>
      <c r="M356" s="127" t="str">
        <f t="shared" si="2"/>
        <v>none</v>
      </c>
      <c r="N356" s="109">
        <f>LEN(Tableau14[[#This Row],[LABEL]])</f>
        <v>15</v>
      </c>
      <c r="O356" s="109">
        <v>15</v>
      </c>
      <c r="P356" s="109" t="e">
        <f>ROUND(Tableau14[[#This Row],[LEN]]*#REF!+#REF!,0)</f>
        <v>#REF!</v>
      </c>
    </row>
    <row r="357" spans="1:16" s="97" customFormat="1" x14ac:dyDescent="0.25">
      <c r="A357" s="25" t="s">
        <v>487</v>
      </c>
      <c r="B357" s="26" t="s">
        <v>255</v>
      </c>
      <c r="C357" s="27" t="s">
        <v>143</v>
      </c>
      <c r="D357" s="70" t="s">
        <v>28</v>
      </c>
      <c r="E357" s="27" t="s">
        <v>669</v>
      </c>
      <c r="F357" s="27" t="s">
        <v>669</v>
      </c>
      <c r="G357" s="70" t="s">
        <v>166</v>
      </c>
      <c r="H357" s="70" t="s">
        <v>656</v>
      </c>
      <c r="I357" s="27"/>
      <c r="J357" s="28" t="s">
        <v>727</v>
      </c>
      <c r="K357" s="109">
        <f>ROUND(Tableau14[[#This Row],[LEN]]*7.27,0)</f>
        <v>436</v>
      </c>
      <c r="L357" s="109">
        <v>15</v>
      </c>
      <c r="M357" s="127" t="str">
        <f t="shared" si="2"/>
        <v>new</v>
      </c>
      <c r="N357" s="109">
        <f>LEN(Tableau14[[#This Row],[LABEL]])</f>
        <v>60</v>
      </c>
      <c r="O357" s="109">
        <v>15</v>
      </c>
      <c r="P357" s="109" t="e">
        <f>ROUND(Tableau14[[#This Row],[LEN]]*#REF!+#REF!,0)</f>
        <v>#REF!</v>
      </c>
    </row>
    <row r="358" spans="1:16" s="97" customFormat="1" x14ac:dyDescent="0.25">
      <c r="A358" s="25" t="s">
        <v>488</v>
      </c>
      <c r="B358" s="26" t="s">
        <v>255</v>
      </c>
      <c r="C358" s="27" t="s">
        <v>144</v>
      </c>
      <c r="D358" s="70" t="s">
        <v>28</v>
      </c>
      <c r="E358" s="27" t="s">
        <v>669</v>
      </c>
      <c r="F358" s="27" t="s">
        <v>669</v>
      </c>
      <c r="G358" s="70" t="s">
        <v>166</v>
      </c>
      <c r="H358" s="70" t="s">
        <v>655</v>
      </c>
      <c r="I358" s="27"/>
      <c r="J358" s="28" t="s">
        <v>708</v>
      </c>
      <c r="K358" s="109">
        <f>ROUND(Tableau14[[#This Row],[LEN]]*7.27,0)</f>
        <v>44</v>
      </c>
      <c r="L358" s="109">
        <v>15</v>
      </c>
      <c r="M358" s="127" t="str">
        <f t="shared" si="2"/>
        <v>none</v>
      </c>
      <c r="N358" s="109">
        <f>LEN(Tableau14[[#This Row],[LABEL]])</f>
        <v>6</v>
      </c>
      <c r="O358" s="109">
        <v>15</v>
      </c>
      <c r="P358" s="109" t="e">
        <f>ROUND(Tableau14[[#This Row],[LEN]]*#REF!+#REF!,0)</f>
        <v>#REF!</v>
      </c>
    </row>
    <row r="359" spans="1:16" s="97" customFormat="1" x14ac:dyDescent="0.25">
      <c r="A359" s="29" t="s">
        <v>658</v>
      </c>
      <c r="B359" s="30" t="s">
        <v>488</v>
      </c>
      <c r="C359" s="31" t="s">
        <v>685</v>
      </c>
      <c r="D359" s="71" t="s">
        <v>28</v>
      </c>
      <c r="E359" s="31" t="s">
        <v>669</v>
      </c>
      <c r="F359" s="31" t="s">
        <v>669</v>
      </c>
      <c r="G359" s="71" t="s">
        <v>166</v>
      </c>
      <c r="H359" s="71" t="s">
        <v>655</v>
      </c>
      <c r="I359" s="31"/>
      <c r="J359" s="32" t="s">
        <v>708</v>
      </c>
      <c r="K359" s="111">
        <f>ROUND(Tableau14[[#This Row],[LEN]]*7.27,0)</f>
        <v>58</v>
      </c>
      <c r="L359" s="111">
        <v>15</v>
      </c>
      <c r="M359" s="128" t="str">
        <f t="shared" si="2"/>
        <v>none</v>
      </c>
      <c r="N359" s="111">
        <f>LEN(Tableau14[[#This Row],[LABEL]])</f>
        <v>8</v>
      </c>
      <c r="O359" s="111">
        <v>15</v>
      </c>
      <c r="P359" s="111" t="e">
        <f>ROUND(Tableau14[[#This Row],[LEN]]*#REF!+#REF!,0)</f>
        <v>#REF!</v>
      </c>
    </row>
    <row r="360" spans="1:16" s="97" customFormat="1" x14ac:dyDescent="0.25">
      <c r="A360" s="86" t="s">
        <v>688</v>
      </c>
      <c r="B360" s="87" t="s">
        <v>658</v>
      </c>
      <c r="C360" s="88" t="s">
        <v>145</v>
      </c>
      <c r="D360" s="89" t="s">
        <v>28</v>
      </c>
      <c r="E360" s="88" t="s">
        <v>669</v>
      </c>
      <c r="F360" s="88" t="s">
        <v>669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ROUND(Tableau14[[#This Row],[LEN]]*7.27,0)</f>
        <v>342</v>
      </c>
      <c r="L360" s="112">
        <v>15</v>
      </c>
      <c r="M360" s="129" t="str">
        <f t="shared" si="2"/>
        <v>none</v>
      </c>
      <c r="N360" s="112">
        <f>LEN(Tableau14[[#This Row],[LABEL]])</f>
        <v>47</v>
      </c>
      <c r="O360" s="112">
        <v>15</v>
      </c>
      <c r="P360" s="112" t="e">
        <f>ROUND(Tableau14[[#This Row],[LEN]]*#REF!+#REF!,0)</f>
        <v>#REF!</v>
      </c>
    </row>
    <row r="361" spans="1:16" s="97" customFormat="1" x14ac:dyDescent="0.25">
      <c r="A361" s="86" t="s">
        <v>689</v>
      </c>
      <c r="B361" s="87" t="s">
        <v>658</v>
      </c>
      <c r="C361" s="88" t="s">
        <v>146</v>
      </c>
      <c r="D361" s="89" t="s">
        <v>28</v>
      </c>
      <c r="E361" s="88" t="s">
        <v>669</v>
      </c>
      <c r="F361" s="88" t="s">
        <v>669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ROUND(Tableau14[[#This Row],[LEN]]*7.27,0)</f>
        <v>291</v>
      </c>
      <c r="L361" s="112">
        <v>15</v>
      </c>
      <c r="M361" s="129" t="str">
        <f t="shared" si="2"/>
        <v>none</v>
      </c>
      <c r="N361" s="112">
        <f>LEN(Tableau14[[#This Row],[LABEL]])</f>
        <v>40</v>
      </c>
      <c r="O361" s="112">
        <v>15</v>
      </c>
      <c r="P361" s="112" t="e">
        <f>ROUND(Tableau14[[#This Row],[LEN]]*#REF!+#REF!,0)</f>
        <v>#REF!</v>
      </c>
    </row>
    <row r="362" spans="1:16" s="97" customFormat="1" x14ac:dyDescent="0.25">
      <c r="A362" s="86" t="s">
        <v>690</v>
      </c>
      <c r="B362" s="87" t="s">
        <v>658</v>
      </c>
      <c r="C362" s="88" t="s">
        <v>147</v>
      </c>
      <c r="D362" s="89" t="s">
        <v>28</v>
      </c>
      <c r="E362" s="88" t="s">
        <v>669</v>
      </c>
      <c r="F362" s="88" t="s">
        <v>669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ROUND(Tableau14[[#This Row],[LEN]]*7.27,0)</f>
        <v>174</v>
      </c>
      <c r="L362" s="112">
        <v>15</v>
      </c>
      <c r="M362" s="129" t="str">
        <f t="shared" si="2"/>
        <v>none</v>
      </c>
      <c r="N362" s="112">
        <f>LEN(Tableau14[[#This Row],[LABEL]])</f>
        <v>24</v>
      </c>
      <c r="O362" s="112">
        <v>15</v>
      </c>
      <c r="P362" s="112" t="e">
        <f>ROUND(Tableau14[[#This Row],[LEN]]*#REF!+#REF!,0)</f>
        <v>#REF!</v>
      </c>
    </row>
    <row r="363" spans="1:16" s="97" customFormat="1" x14ac:dyDescent="0.25">
      <c r="A363" s="86" t="s">
        <v>691</v>
      </c>
      <c r="B363" s="87" t="s">
        <v>658</v>
      </c>
      <c r="C363" s="88" t="s">
        <v>148</v>
      </c>
      <c r="D363" s="89" t="s">
        <v>28</v>
      </c>
      <c r="E363" s="88" t="s">
        <v>669</v>
      </c>
      <c r="F363" s="88" t="s">
        <v>669</v>
      </c>
      <c r="G363" s="89" t="s">
        <v>166</v>
      </c>
      <c r="H363" s="90" t="s">
        <v>654</v>
      </c>
      <c r="I363" s="88"/>
      <c r="J363" s="91" t="s">
        <v>708</v>
      </c>
      <c r="K363" s="112">
        <f>ROUND(Tableau14[[#This Row],[LEN]]*7.27,0)</f>
        <v>225</v>
      </c>
      <c r="L363" s="112">
        <v>15</v>
      </c>
      <c r="M363" s="129" t="str">
        <f t="shared" si="2"/>
        <v>none</v>
      </c>
      <c r="N363" s="112">
        <f>LEN(Tableau14[[#This Row],[LABEL]])</f>
        <v>31</v>
      </c>
      <c r="O363" s="112">
        <v>15</v>
      </c>
      <c r="P363" s="112" t="e">
        <f>ROUND(Tableau14[[#This Row],[LEN]]*#REF!+#REF!,0)</f>
        <v>#REF!</v>
      </c>
    </row>
    <row r="364" spans="1:16" s="97" customFormat="1" x14ac:dyDescent="0.25">
      <c r="A364" s="29" t="s">
        <v>659</v>
      </c>
      <c r="B364" s="30" t="s">
        <v>488</v>
      </c>
      <c r="C364" s="31" t="s">
        <v>686</v>
      </c>
      <c r="D364" s="71" t="s">
        <v>28</v>
      </c>
      <c r="E364" s="31" t="s">
        <v>669</v>
      </c>
      <c r="F364" s="31" t="s">
        <v>669</v>
      </c>
      <c r="G364" s="71" t="s">
        <v>166</v>
      </c>
      <c r="H364" s="71" t="s">
        <v>655</v>
      </c>
      <c r="I364" s="31"/>
      <c r="J364" s="32" t="s">
        <v>708</v>
      </c>
      <c r="K364" s="111">
        <f>ROUND(Tableau14[[#This Row],[LEN]]*7.27,0)</f>
        <v>29</v>
      </c>
      <c r="L364" s="111">
        <v>15</v>
      </c>
      <c r="M364" s="128" t="str">
        <f t="shared" si="2"/>
        <v>none</v>
      </c>
      <c r="N364" s="111">
        <f>LEN(Tableau14[[#This Row],[LABEL]])</f>
        <v>4</v>
      </c>
      <c r="O364" s="111">
        <v>15</v>
      </c>
      <c r="P364" s="111" t="e">
        <f>ROUND(Tableau14[[#This Row],[LEN]]*#REF!+#REF!,0)</f>
        <v>#REF!</v>
      </c>
    </row>
    <row r="365" spans="1:16" s="97" customFormat="1" x14ac:dyDescent="0.25">
      <c r="A365" s="86" t="s">
        <v>692</v>
      </c>
      <c r="B365" s="87" t="s">
        <v>659</v>
      </c>
      <c r="C365" s="88" t="s">
        <v>149</v>
      </c>
      <c r="D365" s="89" t="s">
        <v>28</v>
      </c>
      <c r="E365" s="88" t="s">
        <v>669</v>
      </c>
      <c r="F365" s="88" t="s">
        <v>669</v>
      </c>
      <c r="G365" s="89" t="s">
        <v>166</v>
      </c>
      <c r="H365" s="90" t="s">
        <v>654</v>
      </c>
      <c r="I365" s="88"/>
      <c r="J365" s="91" t="s">
        <v>708</v>
      </c>
      <c r="K365" s="112">
        <f>ROUND(Tableau14[[#This Row],[LEN]]*7.27,0)</f>
        <v>167</v>
      </c>
      <c r="L365" s="112">
        <v>15</v>
      </c>
      <c r="M365" s="129" t="str">
        <f t="shared" si="2"/>
        <v>none</v>
      </c>
      <c r="N365" s="112">
        <f>LEN(Tableau14[[#This Row],[LABEL]])</f>
        <v>23</v>
      </c>
      <c r="O365" s="112">
        <v>15</v>
      </c>
      <c r="P365" s="112" t="e">
        <f>ROUND(Tableau14[[#This Row],[LEN]]*#REF!+#REF!,0)</f>
        <v>#REF!</v>
      </c>
    </row>
    <row r="366" spans="1:16" s="97" customFormat="1" x14ac:dyDescent="0.25">
      <c r="A366" s="86" t="s">
        <v>693</v>
      </c>
      <c r="B366" s="87" t="s">
        <v>659</v>
      </c>
      <c r="C366" s="88" t="s">
        <v>150</v>
      </c>
      <c r="D366" s="89" t="s">
        <v>28</v>
      </c>
      <c r="E366" s="88" t="s">
        <v>669</v>
      </c>
      <c r="F366" s="88" t="s">
        <v>669</v>
      </c>
      <c r="G366" s="89" t="s">
        <v>166</v>
      </c>
      <c r="H366" s="90" t="s">
        <v>570</v>
      </c>
      <c r="I366" s="88"/>
      <c r="J366" s="91" t="s">
        <v>708</v>
      </c>
      <c r="K366" s="112">
        <f>ROUND(Tableau14[[#This Row],[LEN]]*7.27,0)</f>
        <v>247</v>
      </c>
      <c r="L366" s="112">
        <v>15</v>
      </c>
      <c r="M366" s="129" t="str">
        <f t="shared" si="2"/>
        <v>none</v>
      </c>
      <c r="N366" s="112">
        <f>LEN(Tableau14[[#This Row],[LABEL]])</f>
        <v>34</v>
      </c>
      <c r="O366" s="112">
        <v>15</v>
      </c>
      <c r="P366" s="112" t="e">
        <f>ROUND(Tableau14[[#This Row],[LEN]]*#REF!+#REF!,0)</f>
        <v>#REF!</v>
      </c>
    </row>
    <row r="367" spans="1:16" s="97" customFormat="1" x14ac:dyDescent="0.25">
      <c r="A367" s="86" t="s">
        <v>694</v>
      </c>
      <c r="B367" s="87" t="s">
        <v>659</v>
      </c>
      <c r="C367" s="88" t="s">
        <v>151</v>
      </c>
      <c r="D367" s="89" t="s">
        <v>28</v>
      </c>
      <c r="E367" s="88" t="s">
        <v>669</v>
      </c>
      <c r="F367" s="88" t="s">
        <v>669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ROUND(Tableau14[[#This Row],[LEN]]*7.27,0)</f>
        <v>233</v>
      </c>
      <c r="L367" s="112">
        <v>15</v>
      </c>
      <c r="M367" s="129" t="str">
        <f t="shared" si="2"/>
        <v>none</v>
      </c>
      <c r="N367" s="112">
        <f>LEN(Tableau14[[#This Row],[LABEL]])</f>
        <v>32</v>
      </c>
      <c r="O367" s="112">
        <v>15</v>
      </c>
      <c r="P367" s="112" t="e">
        <f>ROUND(Tableau14[[#This Row],[LEN]]*#REF!+#REF!,0)</f>
        <v>#REF!</v>
      </c>
    </row>
    <row r="368" spans="1:16" s="97" customFormat="1" x14ac:dyDescent="0.25">
      <c r="A368" s="86" t="s">
        <v>695</v>
      </c>
      <c r="B368" s="87" t="s">
        <v>659</v>
      </c>
      <c r="C368" s="88" t="s">
        <v>152</v>
      </c>
      <c r="D368" s="89" t="s">
        <v>28</v>
      </c>
      <c r="E368" s="88" t="s">
        <v>669</v>
      </c>
      <c r="F368" s="88" t="s">
        <v>669</v>
      </c>
      <c r="G368" s="89" t="s">
        <v>166</v>
      </c>
      <c r="H368" s="90" t="s">
        <v>654</v>
      </c>
      <c r="I368" s="88"/>
      <c r="J368" s="91" t="s">
        <v>708</v>
      </c>
      <c r="K368" s="112">
        <f>ROUND(Tableau14[[#This Row],[LEN]]*7.27,0)</f>
        <v>174</v>
      </c>
      <c r="L368" s="112">
        <v>15</v>
      </c>
      <c r="M368" s="129" t="str">
        <f t="shared" si="2"/>
        <v>none</v>
      </c>
      <c r="N368" s="112">
        <f>LEN(Tableau14[[#This Row],[LABEL]])</f>
        <v>24</v>
      </c>
      <c r="O368" s="112">
        <v>15</v>
      </c>
      <c r="P368" s="112" t="e">
        <f>ROUND(Tableau14[[#This Row],[LEN]]*#REF!+#REF!,0)</f>
        <v>#REF!</v>
      </c>
    </row>
    <row r="369" spans="1:16" s="97" customFormat="1" x14ac:dyDescent="0.25">
      <c r="A369" s="29" t="s">
        <v>660</v>
      </c>
      <c r="B369" s="30" t="s">
        <v>488</v>
      </c>
      <c r="C369" s="31" t="s">
        <v>687</v>
      </c>
      <c r="D369" s="71" t="s">
        <v>28</v>
      </c>
      <c r="E369" s="31" t="s">
        <v>669</v>
      </c>
      <c r="F369" s="31" t="s">
        <v>669</v>
      </c>
      <c r="G369" s="71" t="s">
        <v>166</v>
      </c>
      <c r="H369" s="71" t="s">
        <v>655</v>
      </c>
      <c r="I369" s="31"/>
      <c r="J369" s="32" t="s">
        <v>708</v>
      </c>
      <c r="K369" s="111">
        <f>ROUND(Tableau14[[#This Row],[LEN]]*7.27,0)</f>
        <v>51</v>
      </c>
      <c r="L369" s="111">
        <v>15</v>
      </c>
      <c r="M369" s="128" t="str">
        <f t="shared" si="2"/>
        <v>none</v>
      </c>
      <c r="N369" s="111">
        <f>LEN(Tableau14[[#This Row],[LABEL]])</f>
        <v>7</v>
      </c>
      <c r="O369" s="111">
        <v>15</v>
      </c>
      <c r="P369" s="111" t="e">
        <f>ROUND(Tableau14[[#This Row],[LEN]]*#REF!+#REF!,0)</f>
        <v>#REF!</v>
      </c>
    </row>
    <row r="370" spans="1:16" s="97" customFormat="1" x14ac:dyDescent="0.25">
      <c r="A370" s="86" t="s">
        <v>696</v>
      </c>
      <c r="B370" s="87" t="s">
        <v>660</v>
      </c>
      <c r="C370" s="88" t="s">
        <v>153</v>
      </c>
      <c r="D370" s="89" t="s">
        <v>28</v>
      </c>
      <c r="E370" s="88" t="s">
        <v>669</v>
      </c>
      <c r="F370" s="88" t="s">
        <v>669</v>
      </c>
      <c r="G370" s="89" t="s">
        <v>166</v>
      </c>
      <c r="H370" s="90" t="s">
        <v>654</v>
      </c>
      <c r="I370" s="88"/>
      <c r="J370" s="91" t="s">
        <v>728</v>
      </c>
      <c r="K370" s="112">
        <f>ROUND(Tableau14[[#This Row],[LEN]]*7.27,0)</f>
        <v>276</v>
      </c>
      <c r="L370" s="112">
        <v>15</v>
      </c>
      <c r="M370" s="129" t="str">
        <f t="shared" si="2"/>
        <v>new</v>
      </c>
      <c r="N370" s="112">
        <f>LEN(Tableau14[[#This Row],[LABEL]])</f>
        <v>38</v>
      </c>
      <c r="O370" s="112">
        <v>15</v>
      </c>
      <c r="P370" s="112" t="e">
        <f>ROUND(Tableau14[[#This Row],[LEN]]*#REF!+#REF!,0)</f>
        <v>#REF!</v>
      </c>
    </row>
    <row r="371" spans="1:16" s="97" customFormat="1" x14ac:dyDescent="0.25">
      <c r="A371" s="86" t="s">
        <v>697</v>
      </c>
      <c r="B371" s="87" t="s">
        <v>660</v>
      </c>
      <c r="C371" s="88" t="s">
        <v>154</v>
      </c>
      <c r="D371" s="89" t="s">
        <v>28</v>
      </c>
      <c r="E371" s="88" t="s">
        <v>669</v>
      </c>
      <c r="F371" s="88" t="s">
        <v>669</v>
      </c>
      <c r="G371" s="89" t="s">
        <v>166</v>
      </c>
      <c r="H371" s="90" t="s">
        <v>654</v>
      </c>
      <c r="I371" s="88"/>
      <c r="J371" s="91" t="s">
        <v>708</v>
      </c>
      <c r="K371" s="112">
        <f>ROUND(Tableau14[[#This Row],[LEN]]*7.27,0)</f>
        <v>262</v>
      </c>
      <c r="L371" s="112">
        <v>15</v>
      </c>
      <c r="M371" s="129" t="str">
        <f t="shared" si="2"/>
        <v>none</v>
      </c>
      <c r="N371" s="112">
        <f>LEN(Tableau14[[#This Row],[LABEL]])</f>
        <v>36</v>
      </c>
      <c r="O371" s="112">
        <v>15</v>
      </c>
      <c r="P371" s="112" t="e">
        <f>ROUND(Tableau14[[#This Row],[LEN]]*#REF!+#REF!,0)</f>
        <v>#REF!</v>
      </c>
    </row>
    <row r="372" spans="1:16" s="97" customFormat="1" x14ac:dyDescent="0.25">
      <c r="A372" s="86" t="s">
        <v>698</v>
      </c>
      <c r="B372" s="87" t="s">
        <v>660</v>
      </c>
      <c r="C372" s="88" t="s">
        <v>155</v>
      </c>
      <c r="D372" s="89" t="s">
        <v>28</v>
      </c>
      <c r="E372" s="88" t="s">
        <v>669</v>
      </c>
      <c r="F372" s="88" t="s">
        <v>669</v>
      </c>
      <c r="G372" s="89" t="s">
        <v>166</v>
      </c>
      <c r="H372" s="90" t="s">
        <v>570</v>
      </c>
      <c r="I372" s="88"/>
      <c r="J372" s="91" t="s">
        <v>708</v>
      </c>
      <c r="K372" s="112">
        <f>ROUND(Tableau14[[#This Row],[LEN]]*7.27,0)</f>
        <v>218</v>
      </c>
      <c r="L372" s="112">
        <v>15</v>
      </c>
      <c r="M372" s="129" t="str">
        <f t="shared" si="2"/>
        <v>none</v>
      </c>
      <c r="N372" s="112">
        <f>LEN(Tableau14[[#This Row],[LABEL]])</f>
        <v>30</v>
      </c>
      <c r="O372" s="112">
        <v>15</v>
      </c>
      <c r="P372" s="112" t="e">
        <f>ROUND(Tableau14[[#This Row],[LEN]]*#REF!+#REF!,0)</f>
        <v>#REF!</v>
      </c>
    </row>
    <row r="373" spans="1:16" s="97" customFormat="1" x14ac:dyDescent="0.25">
      <c r="A373" s="25" t="s">
        <v>489</v>
      </c>
      <c r="B373" s="26" t="s">
        <v>255</v>
      </c>
      <c r="C373" s="27" t="s">
        <v>778</v>
      </c>
      <c r="D373" s="70" t="s">
        <v>28</v>
      </c>
      <c r="E373" s="27" t="s">
        <v>673</v>
      </c>
      <c r="F373" s="27" t="s">
        <v>2000</v>
      </c>
      <c r="G373" s="70" t="s">
        <v>166</v>
      </c>
      <c r="H373" s="70" t="s">
        <v>17</v>
      </c>
      <c r="I373" s="27"/>
      <c r="J373" s="28" t="s">
        <v>708</v>
      </c>
      <c r="K373" s="109">
        <f>ROUND(Tableau14[[#This Row],[LEN]]*7.27,0)</f>
        <v>211</v>
      </c>
      <c r="L373" s="109">
        <v>15</v>
      </c>
      <c r="M373" s="127" t="str">
        <f t="shared" si="2"/>
        <v>none</v>
      </c>
      <c r="N373" s="109">
        <f>LEN(Tableau14[[#This Row],[LABEL]])</f>
        <v>29</v>
      </c>
      <c r="O373" s="109">
        <v>15</v>
      </c>
      <c r="P373" s="109" t="e">
        <f>ROUND(Tableau14[[#This Row],[LEN]]*#REF!+#REF!,0)</f>
        <v>#REF!</v>
      </c>
    </row>
    <row r="374" spans="1:16" s="97" customFormat="1" x14ac:dyDescent="0.25">
      <c r="A374" s="25" t="s">
        <v>490</v>
      </c>
      <c r="B374" s="26" t="s">
        <v>255</v>
      </c>
      <c r="C374" s="27" t="s">
        <v>92</v>
      </c>
      <c r="D374" s="70" t="s">
        <v>28</v>
      </c>
      <c r="E374" s="27" t="s">
        <v>663</v>
      </c>
      <c r="F374" s="27" t="s">
        <v>786</v>
      </c>
      <c r="G374" s="70" t="s">
        <v>166</v>
      </c>
      <c r="H374" s="70" t="s">
        <v>655</v>
      </c>
      <c r="I374" s="27"/>
      <c r="J374" s="28" t="s">
        <v>708</v>
      </c>
      <c r="K374" s="109">
        <f>ROUND(Tableau14[[#This Row],[LEN]]*7.27,0)</f>
        <v>262</v>
      </c>
      <c r="L374" s="109">
        <v>15</v>
      </c>
      <c r="M374" s="127" t="str">
        <f t="shared" si="2"/>
        <v>none</v>
      </c>
      <c r="N374" s="109">
        <f>LEN(Tableau14[[#This Row],[LABEL]])</f>
        <v>36</v>
      </c>
      <c r="O374" s="109">
        <v>15</v>
      </c>
      <c r="P374" s="109" t="e">
        <f>ROUND(Tableau14[[#This Row],[LEN]]*#REF!+#REF!,0)</f>
        <v>#REF!</v>
      </c>
    </row>
    <row r="375" spans="1:16" s="97" customFormat="1" x14ac:dyDescent="0.25">
      <c r="A375" s="29" t="s">
        <v>699</v>
      </c>
      <c r="B375" s="30" t="s">
        <v>490</v>
      </c>
      <c r="C375" s="31" t="s">
        <v>95</v>
      </c>
      <c r="D375" s="71" t="s">
        <v>28</v>
      </c>
      <c r="E375" s="31" t="s">
        <v>663</v>
      </c>
      <c r="F375" s="31" t="s">
        <v>786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ROUND(Tableau14[[#This Row],[LEN]]*7.27,0)</f>
        <v>254</v>
      </c>
      <c r="L375" s="111">
        <v>15</v>
      </c>
      <c r="M375" s="128" t="str">
        <f t="shared" si="2"/>
        <v>none</v>
      </c>
      <c r="N375" s="111">
        <f>LEN(Tableau14[[#This Row],[LABEL]])</f>
        <v>35</v>
      </c>
      <c r="O375" s="111">
        <v>15</v>
      </c>
      <c r="P375" s="111" t="e">
        <f>ROUND(Tableau14[[#This Row],[LEN]]*#REF!+#REF!,0)</f>
        <v>#REF!</v>
      </c>
    </row>
    <row r="376" spans="1:16" s="97" customFormat="1" x14ac:dyDescent="0.25">
      <c r="A376" s="29" t="s">
        <v>700</v>
      </c>
      <c r="B376" s="30" t="s">
        <v>490</v>
      </c>
      <c r="C376" s="31" t="s">
        <v>96</v>
      </c>
      <c r="D376" s="71" t="s">
        <v>28</v>
      </c>
      <c r="E376" s="31" t="s">
        <v>663</v>
      </c>
      <c r="F376" s="31" t="s">
        <v>786</v>
      </c>
      <c r="G376" s="71" t="s">
        <v>166</v>
      </c>
      <c r="H376" s="71" t="s">
        <v>18</v>
      </c>
      <c r="I376" s="31"/>
      <c r="J376" s="32" t="s">
        <v>708</v>
      </c>
      <c r="K376" s="111">
        <f>ROUND(Tableau14[[#This Row],[LEN]]*7.27,0)</f>
        <v>233</v>
      </c>
      <c r="L376" s="111">
        <v>15</v>
      </c>
      <c r="M376" s="128" t="str">
        <f t="shared" si="2"/>
        <v>none</v>
      </c>
      <c r="N376" s="111">
        <f>LEN(Tableau14[[#This Row],[LABEL]])</f>
        <v>32</v>
      </c>
      <c r="O376" s="111">
        <v>15</v>
      </c>
      <c r="P376" s="111" t="e">
        <f>ROUND(Tableau14[[#This Row],[LEN]]*#REF!+#REF!,0)</f>
        <v>#REF!</v>
      </c>
    </row>
    <row r="377" spans="1:16" s="97" customFormat="1" x14ac:dyDescent="0.25">
      <c r="A377" s="29" t="s">
        <v>1391</v>
      </c>
      <c r="B377" s="30" t="s">
        <v>490</v>
      </c>
      <c r="C377" s="31" t="s">
        <v>97</v>
      </c>
      <c r="D377" s="71" t="s">
        <v>28</v>
      </c>
      <c r="E377" s="31" t="s">
        <v>663</v>
      </c>
      <c r="F377" s="31" t="s">
        <v>786</v>
      </c>
      <c r="G377" s="71" t="s">
        <v>166</v>
      </c>
      <c r="H377" s="71" t="s">
        <v>656</v>
      </c>
      <c r="I377" s="31"/>
      <c r="J377" s="32" t="s">
        <v>708</v>
      </c>
      <c r="K377" s="111">
        <f>ROUND(Tableau14[[#This Row],[LEN]]*7.27,0)</f>
        <v>145</v>
      </c>
      <c r="L377" s="111">
        <v>15</v>
      </c>
      <c r="M377" s="128" t="str">
        <f t="shared" si="2"/>
        <v>none</v>
      </c>
      <c r="N377" s="111">
        <f>LEN(Tableau14[[#This Row],[LABEL]])</f>
        <v>20</v>
      </c>
      <c r="O377" s="111">
        <v>15</v>
      </c>
      <c r="P377" s="111" t="e">
        <f>ROUND(Tableau14[[#This Row],[LEN]]*#REF!+#REF!,0)</f>
        <v>#REF!</v>
      </c>
    </row>
    <row r="378" spans="1:16" s="97" customFormat="1" x14ac:dyDescent="0.25">
      <c r="A378" s="25" t="s">
        <v>491</v>
      </c>
      <c r="B378" s="26" t="s">
        <v>255</v>
      </c>
      <c r="C378" s="27" t="s">
        <v>1167</v>
      </c>
      <c r="D378" s="70" t="s">
        <v>486</v>
      </c>
      <c r="E378" s="27" t="s">
        <v>1085</v>
      </c>
      <c r="F378" s="27" t="s">
        <v>1084</v>
      </c>
      <c r="G378" s="70" t="s">
        <v>1977</v>
      </c>
      <c r="H378" s="70" t="s">
        <v>1131</v>
      </c>
      <c r="I378" s="27"/>
      <c r="J378" s="28" t="s">
        <v>708</v>
      </c>
      <c r="K378" s="109">
        <f>ROUND(Tableau14[[#This Row],[LEN]]*7.27,0)</f>
        <v>196</v>
      </c>
      <c r="L378" s="109">
        <v>15</v>
      </c>
      <c r="M378" s="127" t="str">
        <f t="shared" si="2"/>
        <v>none</v>
      </c>
      <c r="N378" s="109">
        <f>LEN(Tableau14[[#This Row],[LABEL]])</f>
        <v>27</v>
      </c>
      <c r="O378" s="109">
        <v>15</v>
      </c>
      <c r="P378" s="109" t="e">
        <f>ROUND(Tableau14[[#This Row],[LEN]]*#REF!+#REF!,0)</f>
        <v>#REF!</v>
      </c>
    </row>
    <row r="379" spans="1:16" s="97" customFormat="1" x14ac:dyDescent="0.25">
      <c r="A379" s="29" t="s">
        <v>1205</v>
      </c>
      <c r="B379" s="30" t="s">
        <v>491</v>
      </c>
      <c r="C379" s="31" t="s">
        <v>93</v>
      </c>
      <c r="D379" s="71" t="s">
        <v>28</v>
      </c>
      <c r="E379" s="31" t="s">
        <v>1085</v>
      </c>
      <c r="F379" s="31" t="s">
        <v>1084</v>
      </c>
      <c r="G379" s="71" t="s">
        <v>166</v>
      </c>
      <c r="H379" s="71" t="s">
        <v>18</v>
      </c>
      <c r="I379" s="31"/>
      <c r="J379" s="32" t="s">
        <v>101</v>
      </c>
      <c r="K379" s="111">
        <f>ROUND(Tableau14[[#This Row],[LEN]]*7.27,0)</f>
        <v>109</v>
      </c>
      <c r="L379" s="111">
        <v>15</v>
      </c>
      <c r="M379" s="128" t="str">
        <f t="shared" si="2"/>
        <v>new</v>
      </c>
      <c r="N379" s="111">
        <f>LEN(Tableau14[[#This Row],[LABEL]])</f>
        <v>15</v>
      </c>
      <c r="O379" s="111">
        <v>15</v>
      </c>
      <c r="P379" s="111" t="e">
        <f>ROUND(Tableau14[[#This Row],[LEN]]*#REF!+#REF!,0)</f>
        <v>#REF!</v>
      </c>
    </row>
    <row r="380" spans="1:16" s="97" customFormat="1" x14ac:dyDescent="0.25">
      <c r="A380" s="29" t="s">
        <v>1206</v>
      </c>
      <c r="B380" s="30" t="s">
        <v>491</v>
      </c>
      <c r="C380" s="31" t="s">
        <v>94</v>
      </c>
      <c r="D380" s="71" t="s">
        <v>28</v>
      </c>
      <c r="E380" s="31" t="s">
        <v>1085</v>
      </c>
      <c r="F380" s="31" t="s">
        <v>1084</v>
      </c>
      <c r="G380" s="71" t="s">
        <v>166</v>
      </c>
      <c r="H380" s="71" t="s">
        <v>18</v>
      </c>
      <c r="I380" s="31"/>
      <c r="J380" s="32" t="s">
        <v>102</v>
      </c>
      <c r="K380" s="111">
        <f>ROUND(Tableau14[[#This Row],[LEN]]*7.27,0)</f>
        <v>58</v>
      </c>
      <c r="L380" s="111">
        <v>15</v>
      </c>
      <c r="M380" s="128" t="str">
        <f t="shared" si="2"/>
        <v>new</v>
      </c>
      <c r="N380" s="111">
        <f>LEN(Tableau14[[#This Row],[LABEL]])</f>
        <v>8</v>
      </c>
      <c r="O380" s="111">
        <v>15</v>
      </c>
      <c r="P380" s="111" t="e">
        <f>ROUND(Tableau14[[#This Row],[LEN]]*#REF!+#REF!,0)</f>
        <v>#REF!</v>
      </c>
    </row>
    <row r="381" spans="1:16" s="273" customFormat="1" x14ac:dyDescent="0.25">
      <c r="A381" s="288" t="s">
        <v>256</v>
      </c>
      <c r="B381" s="289" t="s">
        <v>206</v>
      </c>
      <c r="C381" s="290" t="s">
        <v>7</v>
      </c>
      <c r="D381" s="291" t="s">
        <v>28</v>
      </c>
      <c r="E381" s="290" t="s">
        <v>663</v>
      </c>
      <c r="F381" s="290" t="s">
        <v>670</v>
      </c>
      <c r="G381" s="291" t="s">
        <v>166</v>
      </c>
      <c r="H381" s="291" t="str">
        <f>IFERROR(IF(SEARCH(".00.00.00.00.00",Tableau14[[#This Row],[name]],1)=7,"Division",""),"")</f>
        <v>Division</v>
      </c>
      <c r="I381" s="290"/>
      <c r="J381" s="292" t="s">
        <v>716</v>
      </c>
      <c r="K381" s="293">
        <f>ROUND(Tableau14[[#This Row],[LEN]]*7.27,0)</f>
        <v>189</v>
      </c>
      <c r="L381" s="293">
        <v>15</v>
      </c>
      <c r="M381" s="294" t="str">
        <f t="shared" si="2"/>
        <v>new</v>
      </c>
      <c r="N381" s="293">
        <f>LEN(Tableau14[[#This Row],[LABEL]])</f>
        <v>26</v>
      </c>
      <c r="O381" s="293">
        <v>15</v>
      </c>
      <c r="P381" s="293" t="e">
        <f>ROUND(Tableau14[[#This Row],[LEN]]*#REF!+#REF!,0)</f>
        <v>#REF!</v>
      </c>
    </row>
    <row r="382" spans="1:16" s="97" customFormat="1" x14ac:dyDescent="0.25">
      <c r="A382" s="25" t="s">
        <v>1193</v>
      </c>
      <c r="B382" s="26" t="s">
        <v>256</v>
      </c>
      <c r="C382" s="27" t="s">
        <v>1198</v>
      </c>
      <c r="D382" s="70" t="s">
        <v>28</v>
      </c>
      <c r="E382" s="27" t="s">
        <v>670</v>
      </c>
      <c r="F382" s="27" t="s">
        <v>678</v>
      </c>
      <c r="G382" s="70" t="s">
        <v>166</v>
      </c>
      <c r="H382" s="70" t="s">
        <v>656</v>
      </c>
      <c r="I382" s="27"/>
      <c r="J382" s="28" t="s">
        <v>708</v>
      </c>
      <c r="K382" s="109">
        <f>ROUND(Tableau14[[#This Row],[LEN]]*7.27,0)</f>
        <v>204</v>
      </c>
      <c r="L382" s="109">
        <v>15</v>
      </c>
      <c r="M382" s="127" t="str">
        <f t="shared" ref="M382:M445" si="3">IF(J382="javascript:void(0)","none","new")</f>
        <v>none</v>
      </c>
      <c r="N382" s="109">
        <f>LEN(Tableau14[[#This Row],[LABEL]])</f>
        <v>28</v>
      </c>
      <c r="O382" s="109">
        <v>15</v>
      </c>
      <c r="P382" s="109" t="e">
        <f>ROUND(Tableau14[[#This Row],[LEN]]*#REF!+#REF!,0)</f>
        <v>#REF!</v>
      </c>
    </row>
    <row r="383" spans="1:16" s="97" customFormat="1" x14ac:dyDescent="0.25">
      <c r="A383" s="25" t="s">
        <v>1194</v>
      </c>
      <c r="B383" s="26" t="s">
        <v>256</v>
      </c>
      <c r="C383" s="27" t="s">
        <v>1199</v>
      </c>
      <c r="D383" s="70" t="s">
        <v>28</v>
      </c>
      <c r="E383" s="27" t="s">
        <v>670</v>
      </c>
      <c r="F383" s="27" t="s">
        <v>670</v>
      </c>
      <c r="G383" s="70" t="s">
        <v>166</v>
      </c>
      <c r="H383" s="70" t="s">
        <v>17</v>
      </c>
      <c r="I383" s="27"/>
      <c r="J383" s="28" t="s">
        <v>708</v>
      </c>
      <c r="K383" s="109">
        <f>ROUND(Tableau14[[#This Row],[LEN]]*7.27,0)</f>
        <v>305</v>
      </c>
      <c r="L383" s="109">
        <v>15</v>
      </c>
      <c r="M383" s="127" t="str">
        <f t="shared" si="3"/>
        <v>none</v>
      </c>
      <c r="N383" s="109">
        <f>LEN(Tableau14[[#This Row],[LABEL]])</f>
        <v>42</v>
      </c>
      <c r="O383" s="109">
        <v>15</v>
      </c>
      <c r="P383" s="109" t="e">
        <f>ROUND(Tableau14[[#This Row],[LEN]]*#REF!+#REF!,0)</f>
        <v>#REF!</v>
      </c>
    </row>
    <row r="384" spans="1:16" s="97" customFormat="1" x14ac:dyDescent="0.25">
      <c r="A384" s="25" t="s">
        <v>1195</v>
      </c>
      <c r="B384" s="26" t="s">
        <v>256</v>
      </c>
      <c r="C384" s="27" t="s">
        <v>88</v>
      </c>
      <c r="D384" s="70" t="s">
        <v>28</v>
      </c>
      <c r="E384" s="27" t="s">
        <v>667</v>
      </c>
      <c r="F384" s="27" t="s">
        <v>1218</v>
      </c>
      <c r="G384" s="70" t="s">
        <v>166</v>
      </c>
      <c r="H384" s="70" t="s">
        <v>570</v>
      </c>
      <c r="I384" s="27"/>
      <c r="J384" s="28" t="s">
        <v>708</v>
      </c>
      <c r="K384" s="109">
        <f>ROUND(Tableau14[[#This Row],[LEN]]*7.27,0)</f>
        <v>342</v>
      </c>
      <c r="L384" s="109">
        <v>15</v>
      </c>
      <c r="M384" s="127" t="str">
        <f t="shared" si="3"/>
        <v>none</v>
      </c>
      <c r="N384" s="109">
        <f>LEN(Tableau14[[#This Row],[LABEL]])</f>
        <v>47</v>
      </c>
      <c r="O384" s="109">
        <v>15</v>
      </c>
      <c r="P384" s="109" t="e">
        <f>ROUND(Tableau14[[#This Row],[LEN]]*#REF!+#REF!,0)</f>
        <v>#REF!</v>
      </c>
    </row>
    <row r="385" spans="1:16" s="97" customFormat="1" x14ac:dyDescent="0.25">
      <c r="A385" s="25" t="s">
        <v>1196</v>
      </c>
      <c r="B385" s="26" t="s">
        <v>256</v>
      </c>
      <c r="C385" s="27" t="s">
        <v>1200</v>
      </c>
      <c r="D385" s="70" t="s">
        <v>28</v>
      </c>
      <c r="E385" s="27" t="s">
        <v>670</v>
      </c>
      <c r="F385" s="27" t="s">
        <v>670</v>
      </c>
      <c r="G385" s="70" t="s">
        <v>166</v>
      </c>
      <c r="H385" s="70" t="s">
        <v>655</v>
      </c>
      <c r="I385" s="27"/>
      <c r="J385" s="28" t="s">
        <v>708</v>
      </c>
      <c r="K385" s="109">
        <f>ROUND(Tableau14[[#This Row],[LEN]]*7.27,0)</f>
        <v>298</v>
      </c>
      <c r="L385" s="109">
        <v>15</v>
      </c>
      <c r="M385" s="127" t="str">
        <f t="shared" si="3"/>
        <v>none</v>
      </c>
      <c r="N385" s="109">
        <f>LEN(Tableau14[[#This Row],[LABEL]])</f>
        <v>41</v>
      </c>
      <c r="O385" s="109">
        <v>15</v>
      </c>
      <c r="P385" s="109" t="e">
        <f>ROUND(Tableau14[[#This Row],[LEN]]*#REF!+#REF!,0)</f>
        <v>#REF!</v>
      </c>
    </row>
    <row r="386" spans="1:16" s="97" customFormat="1" x14ac:dyDescent="0.25">
      <c r="A386" s="29" t="s">
        <v>1214</v>
      </c>
      <c r="B386" s="30" t="s">
        <v>1196</v>
      </c>
      <c r="C386" s="31" t="s">
        <v>1211</v>
      </c>
      <c r="D386" s="71" t="s">
        <v>28</v>
      </c>
      <c r="E386" s="31" t="s">
        <v>670</v>
      </c>
      <c r="F386" s="31" t="s">
        <v>670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ROUND(Tableau14[[#This Row],[LEN]]*7.27,0)</f>
        <v>240</v>
      </c>
      <c r="L386" s="111">
        <v>15</v>
      </c>
      <c r="M386" s="128" t="str">
        <f t="shared" si="3"/>
        <v>none</v>
      </c>
      <c r="N386" s="111">
        <f>LEN(Tableau14[[#This Row],[LABEL]])</f>
        <v>33</v>
      </c>
      <c r="O386" s="111">
        <v>15</v>
      </c>
      <c r="P386" s="111" t="e">
        <f>ROUND(Tableau14[[#This Row],[LEN]]*#REF!+#REF!,0)</f>
        <v>#REF!</v>
      </c>
    </row>
    <row r="387" spans="1:16" s="97" customFormat="1" x14ac:dyDescent="0.25">
      <c r="A387" s="29" t="s">
        <v>1215</v>
      </c>
      <c r="B387" s="30" t="s">
        <v>1196</v>
      </c>
      <c r="C387" s="31" t="s">
        <v>1212</v>
      </c>
      <c r="D387" s="71" t="s">
        <v>28</v>
      </c>
      <c r="E387" s="31" t="s">
        <v>670</v>
      </c>
      <c r="F387" s="31" t="s">
        <v>670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ROUND(Tableau14[[#This Row],[LEN]]*7.27,0)</f>
        <v>327</v>
      </c>
      <c r="L387" s="111">
        <v>15</v>
      </c>
      <c r="M387" s="128" t="str">
        <f t="shared" si="3"/>
        <v>none</v>
      </c>
      <c r="N387" s="111">
        <f>LEN(Tableau14[[#This Row],[LABEL]])</f>
        <v>45</v>
      </c>
      <c r="O387" s="111">
        <v>15</v>
      </c>
      <c r="P387" s="111" t="e">
        <f>ROUND(Tableau14[[#This Row],[LEN]]*#REF!+#REF!,0)</f>
        <v>#REF!</v>
      </c>
    </row>
    <row r="388" spans="1:16" s="97" customFormat="1" x14ac:dyDescent="0.25">
      <c r="A388" s="29" t="s">
        <v>1216</v>
      </c>
      <c r="B388" s="30" t="s">
        <v>1196</v>
      </c>
      <c r="C388" s="31" t="s">
        <v>1213</v>
      </c>
      <c r="D388" s="71" t="s">
        <v>28</v>
      </c>
      <c r="E388" s="31" t="s">
        <v>670</v>
      </c>
      <c r="F388" s="31" t="s">
        <v>670</v>
      </c>
      <c r="G388" s="71" t="s">
        <v>166</v>
      </c>
      <c r="H388" s="71" t="s">
        <v>654</v>
      </c>
      <c r="I388" s="31"/>
      <c r="J388" s="32" t="s">
        <v>708</v>
      </c>
      <c r="K388" s="111">
        <f>ROUND(Tableau14[[#This Row],[LEN]]*7.27,0)</f>
        <v>334</v>
      </c>
      <c r="L388" s="111">
        <v>15</v>
      </c>
      <c r="M388" s="128" t="str">
        <f t="shared" si="3"/>
        <v>none</v>
      </c>
      <c r="N388" s="111">
        <f>LEN(Tableau14[[#This Row],[LABEL]])</f>
        <v>46</v>
      </c>
      <c r="O388" s="111">
        <v>15</v>
      </c>
      <c r="P388" s="111" t="e">
        <f>ROUND(Tableau14[[#This Row],[LEN]]*#REF!+#REF!,0)</f>
        <v>#REF!</v>
      </c>
    </row>
    <row r="389" spans="1:16" s="97" customFormat="1" x14ac:dyDescent="0.25">
      <c r="A389" s="25" t="s">
        <v>1197</v>
      </c>
      <c r="B389" s="26" t="s">
        <v>256</v>
      </c>
      <c r="C389" s="27" t="s">
        <v>1167</v>
      </c>
      <c r="D389" s="70" t="s">
        <v>486</v>
      </c>
      <c r="E389" s="27" t="s">
        <v>1085</v>
      </c>
      <c r="F389" s="27" t="s">
        <v>1084</v>
      </c>
      <c r="G389" s="70" t="s">
        <v>1977</v>
      </c>
      <c r="H389" s="70" t="s">
        <v>1131</v>
      </c>
      <c r="I389" s="27"/>
      <c r="J389" s="28" t="s">
        <v>708</v>
      </c>
      <c r="K389" s="109">
        <f>ROUND(Tableau14[[#This Row],[LEN]]*7.27,0)</f>
        <v>196</v>
      </c>
      <c r="L389" s="109">
        <v>15</v>
      </c>
      <c r="M389" s="127" t="str">
        <f t="shared" si="3"/>
        <v>none</v>
      </c>
      <c r="N389" s="109">
        <f>LEN(Tableau14[[#This Row],[LABEL]])</f>
        <v>27</v>
      </c>
      <c r="O389" s="109">
        <v>15</v>
      </c>
      <c r="P389" s="109" t="e">
        <f>ROUND(Tableau14[[#This Row],[LEN]]*#REF!+#REF!,0)</f>
        <v>#REF!</v>
      </c>
    </row>
    <row r="390" spans="1:16" s="97" customFormat="1" x14ac:dyDescent="0.25">
      <c r="A390" s="29" t="s">
        <v>1207</v>
      </c>
      <c r="B390" s="30" t="s">
        <v>1197</v>
      </c>
      <c r="C390" s="31" t="s">
        <v>93</v>
      </c>
      <c r="D390" s="71" t="s">
        <v>28</v>
      </c>
      <c r="E390" s="31" t="s">
        <v>1085</v>
      </c>
      <c r="F390" s="31" t="s">
        <v>1084</v>
      </c>
      <c r="G390" s="71" t="s">
        <v>166</v>
      </c>
      <c r="H390" s="71" t="s">
        <v>18</v>
      </c>
      <c r="I390" s="31"/>
      <c r="J390" s="32" t="s">
        <v>101</v>
      </c>
      <c r="K390" s="111">
        <f>ROUND(Tableau14[[#This Row],[LEN]]*7.27,0)</f>
        <v>109</v>
      </c>
      <c r="L390" s="111">
        <v>15</v>
      </c>
      <c r="M390" s="128" t="str">
        <f t="shared" si="3"/>
        <v>new</v>
      </c>
      <c r="N390" s="111">
        <f>LEN(Tableau14[[#This Row],[LABEL]])</f>
        <v>15</v>
      </c>
      <c r="O390" s="111">
        <v>15</v>
      </c>
      <c r="P390" s="111" t="e">
        <f>ROUND(Tableau14[[#This Row],[LEN]]*#REF!+#REF!,0)</f>
        <v>#REF!</v>
      </c>
    </row>
    <row r="391" spans="1:16" s="97" customFormat="1" x14ac:dyDescent="0.25">
      <c r="A391" s="29" t="s">
        <v>1208</v>
      </c>
      <c r="B391" s="30" t="s">
        <v>1197</v>
      </c>
      <c r="C391" s="31" t="s">
        <v>94</v>
      </c>
      <c r="D391" s="71" t="s">
        <v>28</v>
      </c>
      <c r="E391" s="31" t="s">
        <v>1085</v>
      </c>
      <c r="F391" s="31" t="s">
        <v>1084</v>
      </c>
      <c r="G391" s="71" t="s">
        <v>166</v>
      </c>
      <c r="H391" s="71" t="s">
        <v>18</v>
      </c>
      <c r="I391" s="31"/>
      <c r="J391" s="32" t="s">
        <v>102</v>
      </c>
      <c r="K391" s="111">
        <f>ROUND(Tableau14[[#This Row],[LEN]]*7.27,0)</f>
        <v>58</v>
      </c>
      <c r="L391" s="111">
        <v>15</v>
      </c>
      <c r="M391" s="128" t="str">
        <f t="shared" si="3"/>
        <v>new</v>
      </c>
      <c r="N391" s="111">
        <f>LEN(Tableau14[[#This Row],[LABEL]])</f>
        <v>8</v>
      </c>
      <c r="O391" s="111">
        <v>15</v>
      </c>
      <c r="P391" s="111" t="e">
        <f>ROUND(Tableau14[[#This Row],[LEN]]*#REF!+#REF!,0)</f>
        <v>#REF!</v>
      </c>
    </row>
    <row r="392" spans="1:16" s="273" customFormat="1" x14ac:dyDescent="0.25">
      <c r="A392" s="288" t="s">
        <v>257</v>
      </c>
      <c r="B392" s="289" t="s">
        <v>206</v>
      </c>
      <c r="C392" s="290" t="s">
        <v>8</v>
      </c>
      <c r="D392" s="291" t="s">
        <v>28</v>
      </c>
      <c r="E392" s="290" t="s">
        <v>671</v>
      </c>
      <c r="F392" s="290" t="s">
        <v>671</v>
      </c>
      <c r="G392" s="291" t="s">
        <v>166</v>
      </c>
      <c r="H392" s="291" t="str">
        <f>IFERROR(IF(SEARCH(".00.00.00.00.00",Tableau14[[#This Row],[name]],1)=7,"Division",""),"")</f>
        <v>Division</v>
      </c>
      <c r="I392" s="290"/>
      <c r="J392" s="292" t="s">
        <v>717</v>
      </c>
      <c r="K392" s="293">
        <f>ROUND(Tableau14[[#This Row],[LEN]]*7.27,0)</f>
        <v>116</v>
      </c>
      <c r="L392" s="293">
        <v>15</v>
      </c>
      <c r="M392" s="294" t="str">
        <f t="shared" si="3"/>
        <v>new</v>
      </c>
      <c r="N392" s="293">
        <f>LEN(Tableau14[[#This Row],[LABEL]])</f>
        <v>16</v>
      </c>
      <c r="O392" s="293">
        <v>15</v>
      </c>
      <c r="P392" s="293" t="e">
        <f>ROUND(Tableau14[[#This Row],[LEN]]*#REF!+#REF!,0)</f>
        <v>#REF!</v>
      </c>
    </row>
    <row r="393" spans="1:16" s="97" customFormat="1" x14ac:dyDescent="0.25">
      <c r="A393" s="25" t="s">
        <v>1220</v>
      </c>
      <c r="B393" s="26" t="s">
        <v>257</v>
      </c>
      <c r="C393" s="27" t="s">
        <v>1217</v>
      </c>
      <c r="D393" s="70" t="s">
        <v>28</v>
      </c>
      <c r="E393" s="27" t="s">
        <v>671</v>
      </c>
      <c r="F393" s="27" t="s">
        <v>678</v>
      </c>
      <c r="G393" s="70" t="s">
        <v>166</v>
      </c>
      <c r="H393" s="70" t="s">
        <v>654</v>
      </c>
      <c r="I393" s="27"/>
      <c r="J393" s="28" t="s">
        <v>708</v>
      </c>
      <c r="K393" s="109">
        <f>ROUND(Tableau14[[#This Row],[LEN]]*7.27,0)</f>
        <v>160</v>
      </c>
      <c r="L393" s="109">
        <v>15</v>
      </c>
      <c r="M393" s="127" t="str">
        <f t="shared" si="3"/>
        <v>none</v>
      </c>
      <c r="N393" s="109">
        <f>LEN(Tableau14[[#This Row],[LABEL]])</f>
        <v>22</v>
      </c>
      <c r="O393" s="109">
        <v>15</v>
      </c>
      <c r="P393" s="109" t="e">
        <f>ROUND(Tableau14[[#This Row],[LEN]]*#REF!+#REF!,0)</f>
        <v>#REF!</v>
      </c>
    </row>
    <row r="394" spans="1:16" s="97" customFormat="1" x14ac:dyDescent="0.25">
      <c r="A394" s="25" t="s">
        <v>1221</v>
      </c>
      <c r="B394" s="26" t="s">
        <v>257</v>
      </c>
      <c r="C394" s="27" t="s">
        <v>88</v>
      </c>
      <c r="D394" s="70" t="s">
        <v>28</v>
      </c>
      <c r="E394" s="27" t="s">
        <v>667</v>
      </c>
      <c r="F394" s="27" t="s">
        <v>1218</v>
      </c>
      <c r="G394" s="70" t="s">
        <v>166</v>
      </c>
      <c r="H394" s="70" t="s">
        <v>570</v>
      </c>
      <c r="I394" s="27"/>
      <c r="J394" s="28" t="s">
        <v>708</v>
      </c>
      <c r="K394" s="109">
        <f>ROUND(Tableau14[[#This Row],[LEN]]*7.27,0)</f>
        <v>342</v>
      </c>
      <c r="L394" s="109">
        <v>15</v>
      </c>
      <c r="M394" s="127" t="str">
        <f t="shared" si="3"/>
        <v>none</v>
      </c>
      <c r="N394" s="109">
        <f>LEN(Tableau14[[#This Row],[LABEL]])</f>
        <v>47</v>
      </c>
      <c r="O394" s="109">
        <v>15</v>
      </c>
      <c r="P394" s="109" t="e">
        <f>ROUND(Tableau14[[#This Row],[LEN]]*#REF!+#REF!,0)</f>
        <v>#REF!</v>
      </c>
    </row>
    <row r="395" spans="1:16" s="97" customFormat="1" x14ac:dyDescent="0.25">
      <c r="A395" s="25" t="s">
        <v>1222</v>
      </c>
      <c r="B395" s="26" t="s">
        <v>257</v>
      </c>
      <c r="C395" s="27" t="s">
        <v>1219</v>
      </c>
      <c r="D395" s="70" t="s">
        <v>28</v>
      </c>
      <c r="E395" s="27" t="s">
        <v>671</v>
      </c>
      <c r="F395" s="27" t="s">
        <v>678</v>
      </c>
      <c r="G395" s="70" t="s">
        <v>166</v>
      </c>
      <c r="H395" s="70" t="s">
        <v>656</v>
      </c>
      <c r="I395" s="27"/>
      <c r="J395" s="28" t="s">
        <v>708</v>
      </c>
      <c r="K395" s="109">
        <f>ROUND(Tableau14[[#This Row],[LEN]]*7.27,0)</f>
        <v>240</v>
      </c>
      <c r="L395" s="109">
        <v>15</v>
      </c>
      <c r="M395" s="127" t="str">
        <f t="shared" si="3"/>
        <v>none</v>
      </c>
      <c r="N395" s="109">
        <f>LEN(Tableau14[[#This Row],[LABEL]])</f>
        <v>33</v>
      </c>
      <c r="O395" s="109">
        <v>15</v>
      </c>
      <c r="P395" s="109" t="e">
        <f>ROUND(Tableau14[[#This Row],[LEN]]*#REF!+#REF!,0)</f>
        <v>#REF!</v>
      </c>
    </row>
    <row r="396" spans="1:16" s="97" customFormat="1" x14ac:dyDescent="0.25">
      <c r="A396" s="25" t="s">
        <v>1223</v>
      </c>
      <c r="B396" s="26" t="s">
        <v>257</v>
      </c>
      <c r="C396" s="27" t="s">
        <v>1167</v>
      </c>
      <c r="D396" s="70" t="s">
        <v>486</v>
      </c>
      <c r="E396" s="27" t="s">
        <v>1085</v>
      </c>
      <c r="F396" s="27" t="s">
        <v>1084</v>
      </c>
      <c r="G396" s="70" t="s">
        <v>1977</v>
      </c>
      <c r="H396" s="70" t="s">
        <v>1131</v>
      </c>
      <c r="I396" s="27"/>
      <c r="J396" s="28" t="s">
        <v>708</v>
      </c>
      <c r="K396" s="109">
        <f>ROUND(Tableau14[[#This Row],[LEN]]*7.27,0)</f>
        <v>196</v>
      </c>
      <c r="L396" s="109">
        <v>15</v>
      </c>
      <c r="M396" s="127" t="str">
        <f t="shared" si="3"/>
        <v>none</v>
      </c>
      <c r="N396" s="109">
        <f>LEN(Tableau14[[#This Row],[LABEL]])</f>
        <v>27</v>
      </c>
      <c r="O396" s="109">
        <v>15</v>
      </c>
      <c r="P396" s="109" t="e">
        <f>ROUND(Tableau14[[#This Row],[LEN]]*#REF!+#REF!,0)</f>
        <v>#REF!</v>
      </c>
    </row>
    <row r="397" spans="1:16" s="97" customFormat="1" x14ac:dyDescent="0.25">
      <c r="A397" s="29" t="s">
        <v>1224</v>
      </c>
      <c r="B397" s="30" t="s">
        <v>1223</v>
      </c>
      <c r="C397" s="31" t="s">
        <v>93</v>
      </c>
      <c r="D397" s="71" t="s">
        <v>28</v>
      </c>
      <c r="E397" s="31" t="s">
        <v>1085</v>
      </c>
      <c r="F397" s="31" t="s">
        <v>1084</v>
      </c>
      <c r="G397" s="71" t="s">
        <v>166</v>
      </c>
      <c r="H397" s="71" t="s">
        <v>18</v>
      </c>
      <c r="I397" s="31"/>
      <c r="J397" s="32" t="s">
        <v>101</v>
      </c>
      <c r="K397" s="111">
        <f>ROUND(Tableau14[[#This Row],[LEN]]*7.27,0)</f>
        <v>109</v>
      </c>
      <c r="L397" s="111">
        <v>15</v>
      </c>
      <c r="M397" s="128" t="str">
        <f t="shared" si="3"/>
        <v>new</v>
      </c>
      <c r="N397" s="111">
        <f>LEN(Tableau14[[#This Row],[LABEL]])</f>
        <v>15</v>
      </c>
      <c r="O397" s="111">
        <v>15</v>
      </c>
      <c r="P397" s="111" t="e">
        <f>ROUND(Tableau14[[#This Row],[LEN]]*#REF!+#REF!,0)</f>
        <v>#REF!</v>
      </c>
    </row>
    <row r="398" spans="1:16" s="97" customFormat="1" x14ac:dyDescent="0.25">
      <c r="A398" s="29" t="s">
        <v>1225</v>
      </c>
      <c r="B398" s="30" t="s">
        <v>1223</v>
      </c>
      <c r="C398" s="31" t="s">
        <v>94</v>
      </c>
      <c r="D398" s="71" t="s">
        <v>28</v>
      </c>
      <c r="E398" s="31" t="s">
        <v>1085</v>
      </c>
      <c r="F398" s="31" t="s">
        <v>1084</v>
      </c>
      <c r="G398" s="71" t="s">
        <v>166</v>
      </c>
      <c r="H398" s="71" t="s">
        <v>18</v>
      </c>
      <c r="I398" s="31"/>
      <c r="J398" s="32" t="s">
        <v>102</v>
      </c>
      <c r="K398" s="111">
        <f>ROUND(Tableau14[[#This Row],[LEN]]*7.27,0)</f>
        <v>58</v>
      </c>
      <c r="L398" s="111">
        <v>15</v>
      </c>
      <c r="M398" s="128" t="str">
        <f t="shared" si="3"/>
        <v>new</v>
      </c>
      <c r="N398" s="111">
        <f>LEN(Tableau14[[#This Row],[LABEL]])</f>
        <v>8</v>
      </c>
      <c r="O398" s="111">
        <v>15</v>
      </c>
      <c r="P398" s="111" t="e">
        <f>ROUND(Tableau14[[#This Row],[LEN]]*#REF!+#REF!,0)</f>
        <v>#REF!</v>
      </c>
    </row>
    <row r="399" spans="1:16" s="273" customFormat="1" x14ac:dyDescent="0.25">
      <c r="A399" s="288" t="s">
        <v>258</v>
      </c>
      <c r="B399" s="289" t="s">
        <v>206</v>
      </c>
      <c r="C399" s="290" t="s">
        <v>9</v>
      </c>
      <c r="D399" s="291" t="s">
        <v>28</v>
      </c>
      <c r="E399" s="290" t="s">
        <v>672</v>
      </c>
      <c r="F399" s="290" t="s">
        <v>672</v>
      </c>
      <c r="G399" s="291" t="s">
        <v>166</v>
      </c>
      <c r="H399" s="291" t="str">
        <f>IFERROR(IF(SEARCH(".00.00.00.00.00",Tableau14[[#This Row],[name]],1)=7,"Division",""),"")</f>
        <v>Division</v>
      </c>
      <c r="I399" s="290"/>
      <c r="J399" s="292" t="s">
        <v>718</v>
      </c>
      <c r="K399" s="293">
        <f>ROUND(Tableau14[[#This Row],[LEN]]*7.27,0)</f>
        <v>80</v>
      </c>
      <c r="L399" s="293">
        <v>15</v>
      </c>
      <c r="M399" s="294" t="str">
        <f t="shared" si="3"/>
        <v>new</v>
      </c>
      <c r="N399" s="293">
        <f>LEN(Tableau14[[#This Row],[LABEL]])</f>
        <v>11</v>
      </c>
      <c r="O399" s="293">
        <v>15</v>
      </c>
      <c r="P399" s="293" t="e">
        <f>ROUND(Tableau14[[#This Row],[LEN]]*#REF!+#REF!,0)</f>
        <v>#REF!</v>
      </c>
    </row>
    <row r="400" spans="1:16" s="97" customFormat="1" x14ac:dyDescent="0.25">
      <c r="A400" s="25" t="s">
        <v>476</v>
      </c>
      <c r="B400" s="26" t="s">
        <v>258</v>
      </c>
      <c r="C400" s="27" t="s">
        <v>483</v>
      </c>
      <c r="D400" s="70" t="s">
        <v>28</v>
      </c>
      <c r="E400" s="27" t="s">
        <v>672</v>
      </c>
      <c r="F400" s="27" t="s">
        <v>1395</v>
      </c>
      <c r="G400" s="70" t="s">
        <v>166</v>
      </c>
      <c r="H400" s="70" t="s">
        <v>655</v>
      </c>
      <c r="I400" s="27"/>
      <c r="J400" s="28" t="s">
        <v>708</v>
      </c>
      <c r="K400" s="109">
        <f>ROUND(Tableau14[[#This Row],[LEN]]*7.27,0)</f>
        <v>247</v>
      </c>
      <c r="L400" s="109">
        <v>15</v>
      </c>
      <c r="M400" s="127" t="str">
        <f t="shared" si="3"/>
        <v>none</v>
      </c>
      <c r="N400" s="109">
        <f>LEN(Tableau14[[#This Row],[LABEL]])</f>
        <v>34</v>
      </c>
      <c r="O400" s="109">
        <v>15</v>
      </c>
      <c r="P400" s="109" t="e">
        <f>ROUND(Tableau14[[#This Row],[LEN]]*#REF!+#REF!,0)</f>
        <v>#REF!</v>
      </c>
    </row>
    <row r="401" spans="1:16" s="97" customFormat="1" x14ac:dyDescent="0.25">
      <c r="A401" s="29" t="s">
        <v>492</v>
      </c>
      <c r="B401" s="30" t="s">
        <v>476</v>
      </c>
      <c r="C401" s="31" t="s">
        <v>498</v>
      </c>
      <c r="D401" s="71" t="s">
        <v>28</v>
      </c>
      <c r="E401" s="31" t="s">
        <v>672</v>
      </c>
      <c r="F401" s="31" t="s">
        <v>1395</v>
      </c>
      <c r="G401" s="71" t="s">
        <v>166</v>
      </c>
      <c r="H401" s="71" t="s">
        <v>656</v>
      </c>
      <c r="I401" s="31"/>
      <c r="J401" s="32" t="s">
        <v>708</v>
      </c>
      <c r="K401" s="111">
        <f>ROUND(Tableau14[[#This Row],[LEN]]*7.27,0)</f>
        <v>349</v>
      </c>
      <c r="L401" s="111">
        <v>15</v>
      </c>
      <c r="M401" s="128" t="str">
        <f t="shared" si="3"/>
        <v>none</v>
      </c>
      <c r="N401" s="111">
        <f>LEN(Tableau14[[#This Row],[LABEL]])</f>
        <v>48</v>
      </c>
      <c r="O401" s="111">
        <v>15</v>
      </c>
      <c r="P401" s="111" t="e">
        <f>ROUND(Tableau14[[#This Row],[LEN]]*#REF!+#REF!,0)</f>
        <v>#REF!</v>
      </c>
    </row>
    <row r="402" spans="1:16" s="97" customFormat="1" x14ac:dyDescent="0.25">
      <c r="A402" s="29" t="s">
        <v>493</v>
      </c>
      <c r="B402" s="30" t="s">
        <v>476</v>
      </c>
      <c r="C402" s="31" t="s">
        <v>499</v>
      </c>
      <c r="D402" s="71" t="s">
        <v>28</v>
      </c>
      <c r="E402" s="31" t="s">
        <v>672</v>
      </c>
      <c r="F402" s="31" t="s">
        <v>1395</v>
      </c>
      <c r="G402" s="71" t="s">
        <v>166</v>
      </c>
      <c r="H402" s="71" t="s">
        <v>570</v>
      </c>
      <c r="I402" s="31"/>
      <c r="J402" s="32" t="s">
        <v>708</v>
      </c>
      <c r="K402" s="111">
        <f>ROUND(Tableau14[[#This Row],[LEN]]*7.27,0)</f>
        <v>225</v>
      </c>
      <c r="L402" s="111">
        <v>15</v>
      </c>
      <c r="M402" s="128" t="str">
        <f t="shared" si="3"/>
        <v>none</v>
      </c>
      <c r="N402" s="111">
        <f>LEN(Tableau14[[#This Row],[LABEL]])</f>
        <v>31</v>
      </c>
      <c r="O402" s="111">
        <v>15</v>
      </c>
      <c r="P402" s="111" t="e">
        <f>ROUND(Tableau14[[#This Row],[LEN]]*#REF!+#REF!,0)</f>
        <v>#REF!</v>
      </c>
    </row>
    <row r="403" spans="1:16" s="97" customFormat="1" x14ac:dyDescent="0.25">
      <c r="A403" s="29" t="s">
        <v>494</v>
      </c>
      <c r="B403" s="30" t="s">
        <v>476</v>
      </c>
      <c r="C403" s="31" t="s">
        <v>500</v>
      </c>
      <c r="D403" s="71" t="s">
        <v>28</v>
      </c>
      <c r="E403" s="31" t="s">
        <v>672</v>
      </c>
      <c r="F403" s="31" t="s">
        <v>1395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ROUND(Tableau14[[#This Row],[LEN]]*7.27,0)</f>
        <v>254</v>
      </c>
      <c r="L403" s="111">
        <v>15</v>
      </c>
      <c r="M403" s="128" t="str">
        <f t="shared" si="3"/>
        <v>none</v>
      </c>
      <c r="N403" s="111">
        <f>LEN(Tableau14[[#This Row],[LABEL]])</f>
        <v>35</v>
      </c>
      <c r="O403" s="111">
        <v>15</v>
      </c>
      <c r="P403" s="111" t="e">
        <f>ROUND(Tableau14[[#This Row],[LEN]]*#REF!+#REF!,0)</f>
        <v>#REF!</v>
      </c>
    </row>
    <row r="404" spans="1:16" s="97" customFormat="1" x14ac:dyDescent="0.25">
      <c r="A404" s="29" t="s">
        <v>495</v>
      </c>
      <c r="B404" s="30" t="s">
        <v>476</v>
      </c>
      <c r="C404" s="31" t="s">
        <v>501</v>
      </c>
      <c r="D404" s="71" t="s">
        <v>28</v>
      </c>
      <c r="E404" s="31" t="s">
        <v>672</v>
      </c>
      <c r="F404" s="31" t="s">
        <v>1395</v>
      </c>
      <c r="G404" s="71" t="s">
        <v>166</v>
      </c>
      <c r="H404" s="71" t="s">
        <v>656</v>
      </c>
      <c r="I404" s="31"/>
      <c r="J404" s="32" t="s">
        <v>708</v>
      </c>
      <c r="K404" s="111">
        <f>ROUND(Tableau14[[#This Row],[LEN]]*7.27,0)</f>
        <v>313</v>
      </c>
      <c r="L404" s="111">
        <v>15</v>
      </c>
      <c r="M404" s="128" t="str">
        <f t="shared" si="3"/>
        <v>none</v>
      </c>
      <c r="N404" s="111">
        <f>LEN(Tableau14[[#This Row],[LABEL]])</f>
        <v>43</v>
      </c>
      <c r="O404" s="111">
        <v>15</v>
      </c>
      <c r="P404" s="111" t="e">
        <f>ROUND(Tableau14[[#This Row],[LEN]]*#REF!+#REF!,0)</f>
        <v>#REF!</v>
      </c>
    </row>
    <row r="405" spans="1:16" s="97" customFormat="1" x14ac:dyDescent="0.25">
      <c r="A405" s="29" t="s">
        <v>496</v>
      </c>
      <c r="B405" s="30" t="s">
        <v>476</v>
      </c>
      <c r="C405" s="31" t="s">
        <v>502</v>
      </c>
      <c r="D405" s="71" t="s">
        <v>28</v>
      </c>
      <c r="E405" s="31" t="s">
        <v>672</v>
      </c>
      <c r="F405" s="31" t="s">
        <v>1395</v>
      </c>
      <c r="G405" s="71" t="s">
        <v>166</v>
      </c>
      <c r="H405" s="71" t="s">
        <v>654</v>
      </c>
      <c r="I405" s="31"/>
      <c r="J405" s="32" t="s">
        <v>708</v>
      </c>
      <c r="K405" s="111">
        <f>ROUND(Tableau14[[#This Row],[LEN]]*7.27,0)</f>
        <v>247</v>
      </c>
      <c r="L405" s="111">
        <v>15</v>
      </c>
      <c r="M405" s="128" t="str">
        <f t="shared" si="3"/>
        <v>none</v>
      </c>
      <c r="N405" s="111">
        <f>LEN(Tableau14[[#This Row],[LABEL]])</f>
        <v>34</v>
      </c>
      <c r="O405" s="111">
        <v>15</v>
      </c>
      <c r="P405" s="111" t="e">
        <f>ROUND(Tableau14[[#This Row],[LEN]]*#REF!+#REF!,0)</f>
        <v>#REF!</v>
      </c>
    </row>
    <row r="406" spans="1:16" s="97" customFormat="1" x14ac:dyDescent="0.25">
      <c r="A406" s="29" t="s">
        <v>497</v>
      </c>
      <c r="B406" s="30" t="s">
        <v>476</v>
      </c>
      <c r="C406" s="31" t="s">
        <v>503</v>
      </c>
      <c r="D406" s="71" t="s">
        <v>28</v>
      </c>
      <c r="E406" s="31" t="s">
        <v>672</v>
      </c>
      <c r="F406" s="31" t="s">
        <v>1395</v>
      </c>
      <c r="G406" s="71" t="s">
        <v>166</v>
      </c>
      <c r="H406" s="71" t="s">
        <v>656</v>
      </c>
      <c r="I406" s="31"/>
      <c r="J406" s="32" t="s">
        <v>708</v>
      </c>
      <c r="K406" s="111">
        <f>ROUND(Tableau14[[#This Row],[LEN]]*7.27,0)</f>
        <v>371</v>
      </c>
      <c r="L406" s="111">
        <v>15</v>
      </c>
      <c r="M406" s="128" t="str">
        <f t="shared" si="3"/>
        <v>none</v>
      </c>
      <c r="N406" s="111">
        <f>LEN(Tableau14[[#This Row],[LABEL]])</f>
        <v>51</v>
      </c>
      <c r="O406" s="111">
        <v>15</v>
      </c>
      <c r="P406" s="111" t="e">
        <f>ROUND(Tableau14[[#This Row],[LEN]]*#REF!+#REF!,0)</f>
        <v>#REF!</v>
      </c>
    </row>
    <row r="407" spans="1:16" s="97" customFormat="1" x14ac:dyDescent="0.25">
      <c r="A407" s="25" t="s">
        <v>477</v>
      </c>
      <c r="B407" s="26" t="s">
        <v>258</v>
      </c>
      <c r="C407" s="27" t="s">
        <v>88</v>
      </c>
      <c r="D407" s="70" t="s">
        <v>28</v>
      </c>
      <c r="E407" s="27" t="s">
        <v>667</v>
      </c>
      <c r="F407" s="27" t="s">
        <v>1218</v>
      </c>
      <c r="G407" s="70" t="s">
        <v>166</v>
      </c>
      <c r="H407" s="70" t="s">
        <v>570</v>
      </c>
      <c r="I407" s="27"/>
      <c r="J407" s="28" t="s">
        <v>708</v>
      </c>
      <c r="K407" s="109">
        <f>ROUND(Tableau14[[#This Row],[LEN]]*7.27,0)</f>
        <v>342</v>
      </c>
      <c r="L407" s="109">
        <v>15</v>
      </c>
      <c r="M407" s="127" t="str">
        <f t="shared" si="3"/>
        <v>none</v>
      </c>
      <c r="N407" s="109">
        <f>LEN(Tableau14[[#This Row],[LABEL]])</f>
        <v>47</v>
      </c>
      <c r="O407" s="109">
        <v>15</v>
      </c>
      <c r="P407" s="109" t="e">
        <f>ROUND(Tableau14[[#This Row],[LEN]]*#REF!+#REF!,0)</f>
        <v>#REF!</v>
      </c>
    </row>
    <row r="408" spans="1:16" s="97" customFormat="1" x14ac:dyDescent="0.25">
      <c r="A408" s="25" t="s">
        <v>478</v>
      </c>
      <c r="B408" s="26" t="s">
        <v>258</v>
      </c>
      <c r="C408" s="27" t="s">
        <v>484</v>
      </c>
      <c r="D408" s="70" t="s">
        <v>28</v>
      </c>
      <c r="E408" s="27" t="s">
        <v>672</v>
      </c>
      <c r="F408" s="27" t="s">
        <v>1285</v>
      </c>
      <c r="G408" s="70" t="s">
        <v>166</v>
      </c>
      <c r="H408" s="70" t="s">
        <v>655</v>
      </c>
      <c r="I408" s="27"/>
      <c r="J408" s="28" t="s">
        <v>727</v>
      </c>
      <c r="K408" s="109">
        <f>ROUND(Tableau14[[#This Row],[LEN]]*7.27,0)</f>
        <v>80</v>
      </c>
      <c r="L408" s="109">
        <v>15</v>
      </c>
      <c r="M408" s="127" t="str">
        <f t="shared" si="3"/>
        <v>new</v>
      </c>
      <c r="N408" s="109">
        <f>LEN(Tableau14[[#This Row],[LABEL]])</f>
        <v>11</v>
      </c>
      <c r="O408" s="109">
        <v>15</v>
      </c>
      <c r="P408" s="109" t="e">
        <f>ROUND(Tableau14[[#This Row],[LEN]]*#REF!+#REF!,0)</f>
        <v>#REF!</v>
      </c>
    </row>
    <row r="409" spans="1:16" s="97" customFormat="1" x14ac:dyDescent="0.25">
      <c r="A409" s="29" t="s">
        <v>504</v>
      </c>
      <c r="B409" s="30" t="s">
        <v>478</v>
      </c>
      <c r="C409" s="31" t="s">
        <v>505</v>
      </c>
      <c r="D409" s="71" t="s">
        <v>28</v>
      </c>
      <c r="E409" s="31" t="s">
        <v>672</v>
      </c>
      <c r="F409" s="31" t="s">
        <v>1285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ROUND(Tableau14[[#This Row],[LEN]]*7.27,0)</f>
        <v>73</v>
      </c>
      <c r="L409" s="111">
        <v>15</v>
      </c>
      <c r="M409" s="128" t="str">
        <f t="shared" si="3"/>
        <v>new</v>
      </c>
      <c r="N409" s="111">
        <f>LEN(Tableau14[[#This Row],[LABEL]])</f>
        <v>10</v>
      </c>
      <c r="O409" s="111">
        <v>15</v>
      </c>
      <c r="P409" s="111" t="e">
        <f>ROUND(Tableau14[[#This Row],[LEN]]*#REF!+#REF!,0)</f>
        <v>#REF!</v>
      </c>
    </row>
    <row r="410" spans="1:16" s="97" customFormat="1" x14ac:dyDescent="0.25">
      <c r="A410" s="29" t="s">
        <v>504</v>
      </c>
      <c r="B410" s="30" t="s">
        <v>478</v>
      </c>
      <c r="C410" s="31" t="s">
        <v>1284</v>
      </c>
      <c r="D410" s="71" t="s">
        <v>28</v>
      </c>
      <c r="E410" s="31" t="s">
        <v>672</v>
      </c>
      <c r="F410" s="31" t="s">
        <v>1285</v>
      </c>
      <c r="G410" s="71" t="s">
        <v>166</v>
      </c>
      <c r="H410" s="71" t="s">
        <v>18</v>
      </c>
      <c r="I410" s="31"/>
      <c r="J410" s="32" t="s">
        <v>705</v>
      </c>
      <c r="K410" s="111">
        <f>ROUND(Tableau14[[#This Row],[LEN]]*7.27,0)</f>
        <v>153</v>
      </c>
      <c r="L410" s="111">
        <v>15</v>
      </c>
      <c r="M410" s="128" t="str">
        <f t="shared" si="3"/>
        <v>new</v>
      </c>
      <c r="N410" s="111">
        <f>LEN(Tableau14[[#This Row],[LABEL]])</f>
        <v>21</v>
      </c>
      <c r="O410" s="111">
        <v>15</v>
      </c>
      <c r="P410" s="111" t="e">
        <f>ROUND(Tableau14[[#This Row],[LEN]]*#REF!+#REF!,0)</f>
        <v>#REF!</v>
      </c>
    </row>
    <row r="411" spans="1:16" s="97" customFormat="1" x14ac:dyDescent="0.25">
      <c r="A411" s="25" t="s">
        <v>479</v>
      </c>
      <c r="B411" s="26" t="s">
        <v>258</v>
      </c>
      <c r="C411" s="27" t="s">
        <v>485</v>
      </c>
      <c r="D411" s="70" t="s">
        <v>28</v>
      </c>
      <c r="E411" s="27" t="s">
        <v>672</v>
      </c>
      <c r="F411" s="27" t="s">
        <v>672</v>
      </c>
      <c r="G411" s="70" t="s">
        <v>166</v>
      </c>
      <c r="H411" s="70" t="s">
        <v>654</v>
      </c>
      <c r="I411" s="27"/>
      <c r="J411" s="28" t="s">
        <v>708</v>
      </c>
      <c r="K411" s="109">
        <f>ROUND(Tableau14[[#This Row],[LEN]]*7.27,0)</f>
        <v>87</v>
      </c>
      <c r="L411" s="109">
        <v>15</v>
      </c>
      <c r="M411" s="127" t="str">
        <f t="shared" si="3"/>
        <v>none</v>
      </c>
      <c r="N411" s="109">
        <f>LEN(Tableau14[[#This Row],[LABEL]])</f>
        <v>12</v>
      </c>
      <c r="O411" s="109">
        <v>15</v>
      </c>
      <c r="P411" s="109" t="e">
        <f>ROUND(Tableau14[[#This Row],[LEN]]*#REF!+#REF!,0)</f>
        <v>#REF!</v>
      </c>
    </row>
    <row r="412" spans="1:16" s="97" customFormat="1" x14ac:dyDescent="0.25">
      <c r="A412" s="25" t="s">
        <v>480</v>
      </c>
      <c r="B412" s="26" t="s">
        <v>258</v>
      </c>
      <c r="C412" s="27" t="s">
        <v>778</v>
      </c>
      <c r="D412" s="70" t="s">
        <v>28</v>
      </c>
      <c r="E412" s="27" t="s">
        <v>673</v>
      </c>
      <c r="F412" s="27" t="s">
        <v>2000</v>
      </c>
      <c r="G412" s="70" t="s">
        <v>166</v>
      </c>
      <c r="H412" s="70" t="s">
        <v>17</v>
      </c>
      <c r="I412" s="27"/>
      <c r="J412" s="28" t="s">
        <v>708</v>
      </c>
      <c r="K412" s="109">
        <f>ROUND(Tableau14[[#This Row],[LEN]]*7.27,0)</f>
        <v>211</v>
      </c>
      <c r="L412" s="109">
        <v>15</v>
      </c>
      <c r="M412" s="127" t="str">
        <f t="shared" si="3"/>
        <v>none</v>
      </c>
      <c r="N412" s="109">
        <f>LEN(Tableau14[[#This Row],[LABEL]])</f>
        <v>29</v>
      </c>
      <c r="O412" s="109">
        <v>15</v>
      </c>
      <c r="P412" s="109" t="e">
        <f>ROUND(Tableau14[[#This Row],[LEN]]*#REF!+#REF!,0)</f>
        <v>#REF!</v>
      </c>
    </row>
    <row r="413" spans="1:16" s="97" customFormat="1" x14ac:dyDescent="0.25">
      <c r="A413" s="25" t="s">
        <v>481</v>
      </c>
      <c r="B413" s="26" t="s">
        <v>258</v>
      </c>
      <c r="C413" s="27" t="s">
        <v>92</v>
      </c>
      <c r="D413" s="70" t="s">
        <v>28</v>
      </c>
      <c r="E413" s="27" t="s">
        <v>663</v>
      </c>
      <c r="F413" s="27" t="s">
        <v>786</v>
      </c>
      <c r="G413" s="70" t="s">
        <v>166</v>
      </c>
      <c r="H413" s="70" t="s">
        <v>655</v>
      </c>
      <c r="I413" s="27"/>
      <c r="J413" s="28" t="s">
        <v>708</v>
      </c>
      <c r="K413" s="109">
        <f>ROUND(Tableau14[[#This Row],[LEN]]*7.27,0)</f>
        <v>262</v>
      </c>
      <c r="L413" s="109">
        <v>15</v>
      </c>
      <c r="M413" s="127" t="str">
        <f t="shared" si="3"/>
        <v>none</v>
      </c>
      <c r="N413" s="109">
        <f>LEN(Tableau14[[#This Row],[LABEL]])</f>
        <v>36</v>
      </c>
      <c r="O413" s="109">
        <v>15</v>
      </c>
      <c r="P413" s="109" t="e">
        <f>ROUND(Tableau14[[#This Row],[LEN]]*#REF!+#REF!,0)</f>
        <v>#REF!</v>
      </c>
    </row>
    <row r="414" spans="1:16" s="97" customFormat="1" x14ac:dyDescent="0.25">
      <c r="A414" s="29" t="s">
        <v>506</v>
      </c>
      <c r="B414" s="30" t="s">
        <v>481</v>
      </c>
      <c r="C414" s="31" t="s">
        <v>95</v>
      </c>
      <c r="D414" s="71" t="s">
        <v>28</v>
      </c>
      <c r="E414" s="31" t="s">
        <v>663</v>
      </c>
      <c r="F414" s="31" t="s">
        <v>786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ROUND(Tableau14[[#This Row],[LEN]]*7.27,0)</f>
        <v>254</v>
      </c>
      <c r="L414" s="111">
        <v>15</v>
      </c>
      <c r="M414" s="128" t="str">
        <f t="shared" si="3"/>
        <v>none</v>
      </c>
      <c r="N414" s="111">
        <f>LEN(Tableau14[[#This Row],[LABEL]])</f>
        <v>35</v>
      </c>
      <c r="O414" s="111">
        <v>15</v>
      </c>
      <c r="P414" s="111" t="e">
        <f>ROUND(Tableau14[[#This Row],[LEN]]*#REF!+#REF!,0)</f>
        <v>#REF!</v>
      </c>
    </row>
    <row r="415" spans="1:16" s="97" customFormat="1" x14ac:dyDescent="0.25">
      <c r="A415" s="29" t="s">
        <v>507</v>
      </c>
      <c r="B415" s="30" t="s">
        <v>481</v>
      </c>
      <c r="C415" s="31" t="s">
        <v>96</v>
      </c>
      <c r="D415" s="71" t="s">
        <v>28</v>
      </c>
      <c r="E415" s="31" t="s">
        <v>663</v>
      </c>
      <c r="F415" s="31" t="s">
        <v>786</v>
      </c>
      <c r="G415" s="71" t="s">
        <v>166</v>
      </c>
      <c r="H415" s="71" t="s">
        <v>18</v>
      </c>
      <c r="I415" s="31"/>
      <c r="J415" s="32" t="s">
        <v>708</v>
      </c>
      <c r="K415" s="111">
        <f>ROUND(Tableau14[[#This Row],[LEN]]*7.27,0)</f>
        <v>233</v>
      </c>
      <c r="L415" s="111">
        <v>15</v>
      </c>
      <c r="M415" s="128" t="str">
        <f t="shared" si="3"/>
        <v>none</v>
      </c>
      <c r="N415" s="111">
        <f>LEN(Tableau14[[#This Row],[LABEL]])</f>
        <v>32</v>
      </c>
      <c r="O415" s="111">
        <v>15</v>
      </c>
      <c r="P415" s="111" t="e">
        <f>ROUND(Tableau14[[#This Row],[LEN]]*#REF!+#REF!,0)</f>
        <v>#REF!</v>
      </c>
    </row>
    <row r="416" spans="1:16" s="97" customFormat="1" x14ac:dyDescent="0.25">
      <c r="A416" s="29" t="s">
        <v>508</v>
      </c>
      <c r="B416" s="30" t="s">
        <v>481</v>
      </c>
      <c r="C416" s="31" t="s">
        <v>97</v>
      </c>
      <c r="D416" s="71" t="s">
        <v>28</v>
      </c>
      <c r="E416" s="31" t="s">
        <v>663</v>
      </c>
      <c r="F416" s="31" t="s">
        <v>786</v>
      </c>
      <c r="G416" s="71" t="s">
        <v>166</v>
      </c>
      <c r="H416" s="71" t="s">
        <v>656</v>
      </c>
      <c r="I416" s="31"/>
      <c r="J416" s="32" t="s">
        <v>708</v>
      </c>
      <c r="K416" s="111">
        <f>ROUND(Tableau14[[#This Row],[LEN]]*7.27,0)</f>
        <v>145</v>
      </c>
      <c r="L416" s="111">
        <v>15</v>
      </c>
      <c r="M416" s="128" t="str">
        <f t="shared" si="3"/>
        <v>none</v>
      </c>
      <c r="N416" s="111">
        <f>LEN(Tableau14[[#This Row],[LABEL]])</f>
        <v>20</v>
      </c>
      <c r="O416" s="111">
        <v>15</v>
      </c>
      <c r="P416" s="111" t="e">
        <f>ROUND(Tableau14[[#This Row],[LEN]]*#REF!+#REF!,0)</f>
        <v>#REF!</v>
      </c>
    </row>
    <row r="417" spans="1:16" s="97" customFormat="1" x14ac:dyDescent="0.25">
      <c r="A417" s="25" t="s">
        <v>482</v>
      </c>
      <c r="B417" s="26" t="s">
        <v>258</v>
      </c>
      <c r="C417" s="27" t="s">
        <v>1167</v>
      </c>
      <c r="D417" s="70" t="s">
        <v>486</v>
      </c>
      <c r="E417" s="27" t="s">
        <v>1085</v>
      </c>
      <c r="F417" s="27" t="s">
        <v>1084</v>
      </c>
      <c r="G417" s="70" t="s">
        <v>1977</v>
      </c>
      <c r="H417" s="70" t="s">
        <v>1131</v>
      </c>
      <c r="I417" s="27"/>
      <c r="J417" s="28" t="s">
        <v>708</v>
      </c>
      <c r="K417" s="109">
        <f>ROUND(Tableau14[[#This Row],[LEN]]*7.27,0)</f>
        <v>196</v>
      </c>
      <c r="L417" s="109">
        <v>15</v>
      </c>
      <c r="M417" s="127" t="str">
        <f t="shared" si="3"/>
        <v>none</v>
      </c>
      <c r="N417" s="109">
        <f>LEN(Tableau14[[#This Row],[LABEL]])</f>
        <v>27</v>
      </c>
      <c r="O417" s="109">
        <v>15</v>
      </c>
      <c r="P417" s="109" t="e">
        <f>ROUND(Tableau14[[#This Row],[LEN]]*#REF!+#REF!,0)</f>
        <v>#REF!</v>
      </c>
    </row>
    <row r="418" spans="1:16" s="97" customFormat="1" x14ac:dyDescent="0.25">
      <c r="A418" s="29" t="s">
        <v>1209</v>
      </c>
      <c r="B418" s="30" t="s">
        <v>482</v>
      </c>
      <c r="C418" s="31" t="s">
        <v>93</v>
      </c>
      <c r="D418" s="71" t="s">
        <v>28</v>
      </c>
      <c r="E418" s="31" t="s">
        <v>1085</v>
      </c>
      <c r="F418" s="31" t="s">
        <v>1084</v>
      </c>
      <c r="G418" s="71" t="s">
        <v>166</v>
      </c>
      <c r="H418" s="71" t="s">
        <v>18</v>
      </c>
      <c r="I418" s="31"/>
      <c r="J418" s="32" t="s">
        <v>101</v>
      </c>
      <c r="K418" s="111">
        <f>ROUND(Tableau14[[#This Row],[LEN]]*7.27,0)</f>
        <v>109</v>
      </c>
      <c r="L418" s="111">
        <v>15</v>
      </c>
      <c r="M418" s="128" t="str">
        <f t="shared" si="3"/>
        <v>new</v>
      </c>
      <c r="N418" s="111">
        <f>LEN(Tableau14[[#This Row],[LABEL]])</f>
        <v>15</v>
      </c>
      <c r="O418" s="111">
        <v>15</v>
      </c>
      <c r="P418" s="111" t="e">
        <f>ROUND(Tableau14[[#This Row],[LEN]]*#REF!+#REF!,0)</f>
        <v>#REF!</v>
      </c>
    </row>
    <row r="419" spans="1:16" s="97" customFormat="1" x14ac:dyDescent="0.25">
      <c r="A419" s="29" t="s">
        <v>1210</v>
      </c>
      <c r="B419" s="30" t="s">
        <v>482</v>
      </c>
      <c r="C419" s="31" t="s">
        <v>94</v>
      </c>
      <c r="D419" s="71" t="s">
        <v>28</v>
      </c>
      <c r="E419" s="31" t="s">
        <v>1085</v>
      </c>
      <c r="F419" s="31" t="s">
        <v>1084</v>
      </c>
      <c r="G419" s="71" t="s">
        <v>166</v>
      </c>
      <c r="H419" s="71" t="s">
        <v>18</v>
      </c>
      <c r="I419" s="31"/>
      <c r="J419" s="32" t="s">
        <v>102</v>
      </c>
      <c r="K419" s="111">
        <f>ROUND(Tableau14[[#This Row],[LEN]]*7.27,0)</f>
        <v>58</v>
      </c>
      <c r="L419" s="111">
        <v>15</v>
      </c>
      <c r="M419" s="128" t="str">
        <f t="shared" si="3"/>
        <v>new</v>
      </c>
      <c r="N419" s="111">
        <f>LEN(Tableau14[[#This Row],[LABEL]])</f>
        <v>8</v>
      </c>
      <c r="O419" s="111">
        <v>15</v>
      </c>
      <c r="P419" s="111" t="e">
        <f>ROUND(Tableau14[[#This Row],[LEN]]*#REF!+#REF!,0)</f>
        <v>#REF!</v>
      </c>
    </row>
    <row r="420" spans="1:16" s="273" customFormat="1" x14ac:dyDescent="0.25">
      <c r="A420" s="288" t="s">
        <v>259</v>
      </c>
      <c r="B420" s="289" t="s">
        <v>206</v>
      </c>
      <c r="C420" s="290" t="s">
        <v>10</v>
      </c>
      <c r="D420" s="291" t="s">
        <v>28</v>
      </c>
      <c r="E420" s="290" t="s">
        <v>673</v>
      </c>
      <c r="F420" s="290" t="s">
        <v>673</v>
      </c>
      <c r="G420" s="291" t="s">
        <v>166</v>
      </c>
      <c r="H420" s="291" t="str">
        <f>IFERROR(IF(SEARCH(".00.00.00.00.00",Tableau14[[#This Row],[name]],1)=7,"Division",""),"")</f>
        <v>Division</v>
      </c>
      <c r="I420" s="290"/>
      <c r="J420" s="292" t="s">
        <v>719</v>
      </c>
      <c r="K420" s="293">
        <f>ROUND(Tableau14[[#This Row],[LEN]]*7.27,0)</f>
        <v>109</v>
      </c>
      <c r="L420" s="293">
        <v>15</v>
      </c>
      <c r="M420" s="294" t="str">
        <f t="shared" si="3"/>
        <v>new</v>
      </c>
      <c r="N420" s="293">
        <f>LEN(Tableau14[[#This Row],[LABEL]])</f>
        <v>15</v>
      </c>
      <c r="O420" s="293">
        <v>15</v>
      </c>
      <c r="P420" s="293" t="e">
        <f>ROUND(Tableau14[[#This Row],[LEN]]*#REF!+#REF!,0)</f>
        <v>#REF!</v>
      </c>
    </row>
    <row r="421" spans="1:16" s="97" customFormat="1" x14ac:dyDescent="0.25">
      <c r="A421" s="25" t="s">
        <v>1226</v>
      </c>
      <c r="B421" s="26" t="s">
        <v>259</v>
      </c>
      <c r="C421" s="27" t="s">
        <v>1238</v>
      </c>
      <c r="D421" s="70" t="s">
        <v>28</v>
      </c>
      <c r="E421" s="27" t="s">
        <v>673</v>
      </c>
      <c r="F421" s="27" t="s">
        <v>1177</v>
      </c>
      <c r="G421" s="70" t="s">
        <v>166</v>
      </c>
      <c r="H421" s="70" t="s">
        <v>655</v>
      </c>
      <c r="I421" s="27"/>
      <c r="J421" s="28" t="s">
        <v>708</v>
      </c>
      <c r="K421" s="109">
        <f>ROUND(Tableau14[[#This Row],[LEN]]*7.27,0)</f>
        <v>196</v>
      </c>
      <c r="L421" s="109">
        <v>15</v>
      </c>
      <c r="M421" s="127" t="str">
        <f t="shared" si="3"/>
        <v>none</v>
      </c>
      <c r="N421" s="109">
        <f>LEN(Tableau14[[#This Row],[LABEL]])</f>
        <v>27</v>
      </c>
      <c r="O421" s="109">
        <v>15</v>
      </c>
      <c r="P421" s="109" t="e">
        <f>ROUND(Tableau14[[#This Row],[LEN]]*#REF!+#REF!,0)</f>
        <v>#REF!</v>
      </c>
    </row>
    <row r="422" spans="1:16" s="97" customFormat="1" x14ac:dyDescent="0.25">
      <c r="A422" s="29" t="s">
        <v>1251</v>
      </c>
      <c r="B422" s="30" t="s">
        <v>1226</v>
      </c>
      <c r="C422" s="31" t="s">
        <v>1255</v>
      </c>
      <c r="D422" s="71" t="s">
        <v>28</v>
      </c>
      <c r="E422" s="31" t="s">
        <v>673</v>
      </c>
      <c r="F422" s="31" t="s">
        <v>1177</v>
      </c>
      <c r="G422" s="71" t="s">
        <v>166</v>
      </c>
      <c r="H422" s="71" t="s">
        <v>654</v>
      </c>
      <c r="I422" s="31"/>
      <c r="J422" s="32" t="s">
        <v>708</v>
      </c>
      <c r="K422" s="111">
        <f>ROUND(Tableau14[[#This Row],[LEN]]*7.27,0)</f>
        <v>356</v>
      </c>
      <c r="L422" s="111">
        <v>15</v>
      </c>
      <c r="M422" s="128" t="str">
        <f t="shared" si="3"/>
        <v>none</v>
      </c>
      <c r="N422" s="111">
        <f>LEN(Tableau14[[#This Row],[LABEL]])</f>
        <v>49</v>
      </c>
      <c r="O422" s="111">
        <v>15</v>
      </c>
      <c r="P422" s="111" t="e">
        <f>ROUND(Tableau14[[#This Row],[LEN]]*#REF!+#REF!,0)</f>
        <v>#REF!</v>
      </c>
    </row>
    <row r="423" spans="1:16" s="97" customFormat="1" x14ac:dyDescent="0.25">
      <c r="A423" s="29" t="s">
        <v>1252</v>
      </c>
      <c r="B423" s="30" t="s">
        <v>1226</v>
      </c>
      <c r="C423" s="31" t="s">
        <v>1256</v>
      </c>
      <c r="D423" s="71" t="s">
        <v>28</v>
      </c>
      <c r="E423" s="31" t="s">
        <v>673</v>
      </c>
      <c r="F423" s="31" t="s">
        <v>1177</v>
      </c>
      <c r="G423" s="71" t="s">
        <v>166</v>
      </c>
      <c r="H423" s="71" t="s">
        <v>656</v>
      </c>
      <c r="I423" s="31"/>
      <c r="J423" s="32" t="s">
        <v>708</v>
      </c>
      <c r="K423" s="111">
        <f>ROUND(Tableau14[[#This Row],[LEN]]*7.27,0)</f>
        <v>291</v>
      </c>
      <c r="L423" s="111">
        <v>15</v>
      </c>
      <c r="M423" s="128" t="str">
        <f t="shared" si="3"/>
        <v>none</v>
      </c>
      <c r="N423" s="111">
        <f>LEN(Tableau14[[#This Row],[LABEL]])</f>
        <v>40</v>
      </c>
      <c r="O423" s="111">
        <v>15</v>
      </c>
      <c r="P423" s="111" t="e">
        <f>ROUND(Tableau14[[#This Row],[LEN]]*#REF!+#REF!,0)</f>
        <v>#REF!</v>
      </c>
    </row>
    <row r="424" spans="1:16" s="97" customFormat="1" x14ac:dyDescent="0.25">
      <c r="A424" s="29" t="s">
        <v>1253</v>
      </c>
      <c r="B424" s="30" t="s">
        <v>1226</v>
      </c>
      <c r="C424" s="31" t="s">
        <v>1257</v>
      </c>
      <c r="D424" s="71" t="s">
        <v>28</v>
      </c>
      <c r="E424" s="31" t="s">
        <v>673</v>
      </c>
      <c r="F424" s="31" t="s">
        <v>1177</v>
      </c>
      <c r="G424" s="71" t="s">
        <v>166</v>
      </c>
      <c r="H424" s="71" t="s">
        <v>654</v>
      </c>
      <c r="I424" s="31"/>
      <c r="J424" s="32" t="s">
        <v>708</v>
      </c>
      <c r="K424" s="111">
        <f>ROUND(Tableau14[[#This Row],[LEN]]*7.27,0)</f>
        <v>211</v>
      </c>
      <c r="L424" s="111">
        <v>15</v>
      </c>
      <c r="M424" s="128" t="str">
        <f t="shared" si="3"/>
        <v>none</v>
      </c>
      <c r="N424" s="111">
        <f>LEN(Tableau14[[#This Row],[LABEL]])</f>
        <v>29</v>
      </c>
      <c r="O424" s="111">
        <v>15</v>
      </c>
      <c r="P424" s="111" t="e">
        <f>ROUND(Tableau14[[#This Row],[LEN]]*#REF!+#REF!,0)</f>
        <v>#REF!</v>
      </c>
    </row>
    <row r="425" spans="1:16" s="97" customFormat="1" x14ac:dyDescent="0.25">
      <c r="A425" s="29" t="s">
        <v>1254</v>
      </c>
      <c r="B425" s="30" t="s">
        <v>1226</v>
      </c>
      <c r="C425" s="31" t="s">
        <v>1258</v>
      </c>
      <c r="D425" s="71" t="s">
        <v>28</v>
      </c>
      <c r="E425" s="31" t="s">
        <v>673</v>
      </c>
      <c r="F425" s="31" t="s">
        <v>1177</v>
      </c>
      <c r="G425" s="71" t="s">
        <v>166</v>
      </c>
      <c r="H425" s="71" t="s">
        <v>18</v>
      </c>
      <c r="I425" s="31"/>
      <c r="J425" s="32" t="s">
        <v>102</v>
      </c>
      <c r="K425" s="111">
        <f>ROUND(Tableau14[[#This Row],[LEN]]*7.27,0)</f>
        <v>327</v>
      </c>
      <c r="L425" s="111">
        <v>15</v>
      </c>
      <c r="M425" s="128" t="str">
        <f t="shared" si="3"/>
        <v>new</v>
      </c>
      <c r="N425" s="111">
        <f>LEN(Tableau14[[#This Row],[LABEL]])</f>
        <v>45</v>
      </c>
      <c r="O425" s="111">
        <v>15</v>
      </c>
      <c r="P425" s="111" t="e">
        <f>ROUND(Tableau14[[#This Row],[LEN]]*#REF!+#REF!,0)</f>
        <v>#REF!</v>
      </c>
    </row>
    <row r="426" spans="1:16" s="97" customFormat="1" x14ac:dyDescent="0.25">
      <c r="A426" s="25" t="s">
        <v>1227</v>
      </c>
      <c r="B426" s="26" t="s">
        <v>259</v>
      </c>
      <c r="C426" s="27" t="s">
        <v>1239</v>
      </c>
      <c r="D426" s="70" t="s">
        <v>28</v>
      </c>
      <c r="E426" s="27" t="s">
        <v>673</v>
      </c>
      <c r="F426" s="27" t="s">
        <v>1177</v>
      </c>
      <c r="G426" s="70" t="s">
        <v>166</v>
      </c>
      <c r="H426" s="70" t="s">
        <v>570</v>
      </c>
      <c r="I426" s="27"/>
      <c r="J426" s="28" t="s">
        <v>1240</v>
      </c>
      <c r="K426" s="109">
        <f>ROUND(Tableau14[[#This Row],[LEN]]*7.27,0)</f>
        <v>276</v>
      </c>
      <c r="L426" s="109">
        <v>15</v>
      </c>
      <c r="M426" s="127" t="str">
        <f t="shared" si="3"/>
        <v>new</v>
      </c>
      <c r="N426" s="109">
        <f>LEN(Tableau14[[#This Row],[LABEL]])</f>
        <v>38</v>
      </c>
      <c r="O426" s="109">
        <v>15</v>
      </c>
      <c r="P426" s="109" t="e">
        <f>ROUND(Tableau14[[#This Row],[LEN]]*#REF!+#REF!,0)</f>
        <v>#REF!</v>
      </c>
    </row>
    <row r="427" spans="1:16" s="97" customFormat="1" x14ac:dyDescent="0.25">
      <c r="A427" s="25" t="s">
        <v>1228</v>
      </c>
      <c r="B427" s="26" t="s">
        <v>259</v>
      </c>
      <c r="C427" s="27" t="s">
        <v>88</v>
      </c>
      <c r="D427" s="70" t="s">
        <v>28</v>
      </c>
      <c r="E427" s="27" t="s">
        <v>667</v>
      </c>
      <c r="F427" s="27" t="s">
        <v>1218</v>
      </c>
      <c r="G427" s="70" t="s">
        <v>166</v>
      </c>
      <c r="H427" s="70" t="s">
        <v>570</v>
      </c>
      <c r="I427" s="27"/>
      <c r="J427" s="28" t="s">
        <v>708</v>
      </c>
      <c r="K427" s="109">
        <f>ROUND(Tableau14[[#This Row],[LEN]]*7.27,0)</f>
        <v>342</v>
      </c>
      <c r="L427" s="109">
        <v>15</v>
      </c>
      <c r="M427" s="127" t="str">
        <f t="shared" si="3"/>
        <v>none</v>
      </c>
      <c r="N427" s="109">
        <f>LEN(Tableau14[[#This Row],[LABEL]])</f>
        <v>47</v>
      </c>
      <c r="O427" s="109">
        <v>15</v>
      </c>
      <c r="P427" s="109" t="e">
        <f>ROUND(Tableau14[[#This Row],[LEN]]*#REF!+#REF!,0)</f>
        <v>#REF!</v>
      </c>
    </row>
    <row r="428" spans="1:16" s="97" customFormat="1" x14ac:dyDescent="0.25">
      <c r="A428" s="25" t="s">
        <v>1229</v>
      </c>
      <c r="B428" s="26" t="s">
        <v>259</v>
      </c>
      <c r="C428" s="27" t="s">
        <v>1241</v>
      </c>
      <c r="D428" s="70" t="s">
        <v>28</v>
      </c>
      <c r="E428" s="27" t="s">
        <v>1242</v>
      </c>
      <c r="F428" s="27" t="s">
        <v>1248</v>
      </c>
      <c r="G428" s="70" t="s">
        <v>166</v>
      </c>
      <c r="H428" s="70" t="s">
        <v>656</v>
      </c>
      <c r="I428" s="27"/>
      <c r="J428" s="28" t="s">
        <v>708</v>
      </c>
      <c r="K428" s="109">
        <f>ROUND(Tableau14[[#This Row],[LEN]]*7.27,0)</f>
        <v>131</v>
      </c>
      <c r="L428" s="109">
        <v>15</v>
      </c>
      <c r="M428" s="127" t="str">
        <f t="shared" si="3"/>
        <v>none</v>
      </c>
      <c r="N428" s="109">
        <f>LEN(Tableau14[[#This Row],[LABEL]])</f>
        <v>18</v>
      </c>
      <c r="O428" s="109">
        <v>15</v>
      </c>
      <c r="P428" s="109" t="e">
        <f>ROUND(Tableau14[[#This Row],[LEN]]*#REF!+#REF!,0)</f>
        <v>#REF!</v>
      </c>
    </row>
    <row r="429" spans="1:16" s="97" customFormat="1" x14ac:dyDescent="0.25">
      <c r="A429" s="25" t="s">
        <v>1230</v>
      </c>
      <c r="B429" s="26" t="s">
        <v>259</v>
      </c>
      <c r="C429" s="27" t="s">
        <v>1243</v>
      </c>
      <c r="D429" s="70" t="s">
        <v>28</v>
      </c>
      <c r="E429" s="27" t="s">
        <v>673</v>
      </c>
      <c r="F429" s="27" t="s">
        <v>1177</v>
      </c>
      <c r="G429" s="70" t="s">
        <v>166</v>
      </c>
      <c r="H429" s="70" t="s">
        <v>655</v>
      </c>
      <c r="I429" s="27"/>
      <c r="J429" s="28" t="s">
        <v>708</v>
      </c>
      <c r="K429" s="109">
        <f>ROUND(Tableau14[[#This Row],[LEN]]*7.27,0)</f>
        <v>218</v>
      </c>
      <c r="L429" s="109">
        <v>15</v>
      </c>
      <c r="M429" s="127" t="str">
        <f t="shared" si="3"/>
        <v>none</v>
      </c>
      <c r="N429" s="109">
        <f>LEN(Tableau14[[#This Row],[LABEL]])</f>
        <v>30</v>
      </c>
      <c r="O429" s="109">
        <v>15</v>
      </c>
      <c r="P429" s="109" t="e">
        <f>ROUND(Tableau14[[#This Row],[LEN]]*#REF!+#REF!,0)</f>
        <v>#REF!</v>
      </c>
    </row>
    <row r="430" spans="1:16" s="97" customFormat="1" x14ac:dyDescent="0.25">
      <c r="A430" s="29" t="s">
        <v>1259</v>
      </c>
      <c r="B430" s="30" t="s">
        <v>1230</v>
      </c>
      <c r="C430" s="31" t="s">
        <v>1263</v>
      </c>
      <c r="D430" s="71" t="s">
        <v>28</v>
      </c>
      <c r="E430" s="31" t="s">
        <v>673</v>
      </c>
      <c r="F430" s="31" t="s">
        <v>1177</v>
      </c>
      <c r="G430" s="71" t="s">
        <v>166</v>
      </c>
      <c r="H430" s="71" t="s">
        <v>656</v>
      </c>
      <c r="I430" s="31"/>
      <c r="J430" s="32" t="s">
        <v>719</v>
      </c>
      <c r="K430" s="111">
        <f>ROUND(Tableau14[[#This Row],[LEN]]*7.27,0)</f>
        <v>327</v>
      </c>
      <c r="L430" s="111">
        <v>15</v>
      </c>
      <c r="M430" s="128" t="str">
        <f t="shared" si="3"/>
        <v>new</v>
      </c>
      <c r="N430" s="111">
        <f>LEN(Tableau14[[#This Row],[LABEL]])</f>
        <v>45</v>
      </c>
      <c r="O430" s="111">
        <v>15</v>
      </c>
      <c r="P430" s="111" t="e">
        <f>ROUND(Tableau14[[#This Row],[LEN]]*#REF!+#REF!,0)</f>
        <v>#REF!</v>
      </c>
    </row>
    <row r="431" spans="1:16" s="97" customFormat="1" x14ac:dyDescent="0.25">
      <c r="A431" s="29" t="s">
        <v>1260</v>
      </c>
      <c r="B431" s="30" t="s">
        <v>1230</v>
      </c>
      <c r="C431" s="31" t="s">
        <v>1264</v>
      </c>
      <c r="D431" s="71" t="s">
        <v>28</v>
      </c>
      <c r="E431" s="31" t="s">
        <v>673</v>
      </c>
      <c r="F431" s="31" t="s">
        <v>1177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ROUND(Tableau14[[#This Row],[LEN]]*7.27,0)</f>
        <v>262</v>
      </c>
      <c r="L431" s="111">
        <v>15</v>
      </c>
      <c r="M431" s="128" t="str">
        <f t="shared" si="3"/>
        <v>none</v>
      </c>
      <c r="N431" s="111">
        <f>LEN(Tableau14[[#This Row],[LABEL]])</f>
        <v>36</v>
      </c>
      <c r="O431" s="111">
        <v>15</v>
      </c>
      <c r="P431" s="111" t="e">
        <f>ROUND(Tableau14[[#This Row],[LEN]]*#REF!+#REF!,0)</f>
        <v>#REF!</v>
      </c>
    </row>
    <row r="432" spans="1:16" s="97" customFormat="1" x14ac:dyDescent="0.25">
      <c r="A432" s="29" t="s">
        <v>1261</v>
      </c>
      <c r="B432" s="30" t="s">
        <v>1230</v>
      </c>
      <c r="C432" s="31" t="s">
        <v>1265</v>
      </c>
      <c r="D432" s="71" t="s">
        <v>28</v>
      </c>
      <c r="E432" s="31" t="s">
        <v>673</v>
      </c>
      <c r="F432" s="31" t="s">
        <v>1177</v>
      </c>
      <c r="G432" s="71" t="s">
        <v>166</v>
      </c>
      <c r="H432" s="71" t="s">
        <v>18</v>
      </c>
      <c r="I432" s="31"/>
      <c r="J432" s="32" t="s">
        <v>708</v>
      </c>
      <c r="K432" s="111">
        <f>ROUND(Tableau14[[#This Row],[LEN]]*7.27,0)</f>
        <v>218</v>
      </c>
      <c r="L432" s="111">
        <v>15</v>
      </c>
      <c r="M432" s="128" t="str">
        <f t="shared" si="3"/>
        <v>none</v>
      </c>
      <c r="N432" s="111">
        <f>LEN(Tableau14[[#This Row],[LABEL]])</f>
        <v>30</v>
      </c>
      <c r="O432" s="111">
        <v>15</v>
      </c>
      <c r="P432" s="111" t="e">
        <f>ROUND(Tableau14[[#This Row],[LEN]]*#REF!+#REF!,0)</f>
        <v>#REF!</v>
      </c>
    </row>
    <row r="433" spans="1:16" s="97" customFormat="1" x14ac:dyDescent="0.25">
      <c r="A433" s="29" t="s">
        <v>1262</v>
      </c>
      <c r="B433" s="30" t="s">
        <v>1230</v>
      </c>
      <c r="C433" s="31" t="s">
        <v>1266</v>
      </c>
      <c r="D433" s="71" t="s">
        <v>28</v>
      </c>
      <c r="E433" s="31" t="s">
        <v>673</v>
      </c>
      <c r="F433" s="31" t="s">
        <v>1177</v>
      </c>
      <c r="G433" s="71" t="s">
        <v>166</v>
      </c>
      <c r="H433" s="71" t="s">
        <v>654</v>
      </c>
      <c r="I433" s="31"/>
      <c r="J433" s="32" t="s">
        <v>708</v>
      </c>
      <c r="K433" s="111">
        <f>ROUND(Tableau14[[#This Row],[LEN]]*7.27,0)</f>
        <v>291</v>
      </c>
      <c r="L433" s="111">
        <v>15</v>
      </c>
      <c r="M433" s="128" t="str">
        <f t="shared" si="3"/>
        <v>none</v>
      </c>
      <c r="N433" s="111">
        <f>LEN(Tableau14[[#This Row],[LABEL]])</f>
        <v>40</v>
      </c>
      <c r="O433" s="111">
        <v>15</v>
      </c>
      <c r="P433" s="111" t="e">
        <f>ROUND(Tableau14[[#This Row],[LEN]]*#REF!+#REF!,0)</f>
        <v>#REF!</v>
      </c>
    </row>
    <row r="434" spans="1:16" s="97" customFormat="1" x14ac:dyDescent="0.25">
      <c r="A434" s="25" t="s">
        <v>1231</v>
      </c>
      <c r="B434" s="26" t="s">
        <v>259</v>
      </c>
      <c r="C434" s="27" t="s">
        <v>1267</v>
      </c>
      <c r="D434" s="70" t="s">
        <v>28</v>
      </c>
      <c r="E434" s="27" t="s">
        <v>673</v>
      </c>
      <c r="F434" s="27" t="s">
        <v>1249</v>
      </c>
      <c r="G434" s="70" t="s">
        <v>166</v>
      </c>
      <c r="H434" s="70" t="s">
        <v>655</v>
      </c>
      <c r="I434" s="27"/>
      <c r="J434" s="28" t="s">
        <v>708</v>
      </c>
      <c r="K434" s="109">
        <f>ROUND(Tableau14[[#This Row],[LEN]]*7.27,0)</f>
        <v>305</v>
      </c>
      <c r="L434" s="109">
        <v>15</v>
      </c>
      <c r="M434" s="127" t="str">
        <f t="shared" si="3"/>
        <v>none</v>
      </c>
      <c r="N434" s="109">
        <f>LEN(Tableau14[[#This Row],[LABEL]])</f>
        <v>42</v>
      </c>
      <c r="O434" s="109">
        <v>15</v>
      </c>
      <c r="P434" s="109" t="e">
        <f>ROUND(Tableau14[[#This Row],[LEN]]*#REF!+#REF!,0)</f>
        <v>#REF!</v>
      </c>
    </row>
    <row r="435" spans="1:16" s="97" customFormat="1" x14ac:dyDescent="0.25">
      <c r="A435" s="29" t="s">
        <v>1268</v>
      </c>
      <c r="B435" s="30" t="s">
        <v>1231</v>
      </c>
      <c r="C435" s="31" t="s">
        <v>1271</v>
      </c>
      <c r="D435" s="71" t="s">
        <v>28</v>
      </c>
      <c r="E435" s="31" t="s">
        <v>673</v>
      </c>
      <c r="F435" s="31" t="s">
        <v>1249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ROUND(Tableau14[[#This Row],[LEN]]*7.27,0)</f>
        <v>145</v>
      </c>
      <c r="L435" s="111">
        <v>15</v>
      </c>
      <c r="M435" s="128" t="str">
        <f t="shared" si="3"/>
        <v>none</v>
      </c>
      <c r="N435" s="111">
        <f>LEN(Tableau14[[#This Row],[LABEL]])</f>
        <v>20</v>
      </c>
      <c r="O435" s="111">
        <v>15</v>
      </c>
      <c r="P435" s="111" t="e">
        <f>ROUND(Tableau14[[#This Row],[LEN]]*#REF!+#REF!,0)</f>
        <v>#REF!</v>
      </c>
    </row>
    <row r="436" spans="1:16" s="97" customFormat="1" x14ac:dyDescent="0.25">
      <c r="A436" s="29" t="s">
        <v>1269</v>
      </c>
      <c r="B436" s="30" t="s">
        <v>1231</v>
      </c>
      <c r="C436" s="31" t="s">
        <v>1272</v>
      </c>
      <c r="D436" s="71" t="s">
        <v>28</v>
      </c>
      <c r="E436" s="31" t="s">
        <v>673</v>
      </c>
      <c r="F436" s="31" t="s">
        <v>1249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ROUND(Tableau14[[#This Row],[LEN]]*7.27,0)</f>
        <v>305</v>
      </c>
      <c r="L436" s="111">
        <v>15</v>
      </c>
      <c r="M436" s="128" t="str">
        <f t="shared" si="3"/>
        <v>none</v>
      </c>
      <c r="N436" s="111">
        <f>LEN(Tableau14[[#This Row],[LABEL]])</f>
        <v>42</v>
      </c>
      <c r="O436" s="111">
        <v>15</v>
      </c>
      <c r="P436" s="111" t="e">
        <f>ROUND(Tableau14[[#This Row],[LEN]]*#REF!+#REF!,0)</f>
        <v>#REF!</v>
      </c>
    </row>
    <row r="437" spans="1:16" s="97" customFormat="1" x14ac:dyDescent="0.25">
      <c r="A437" s="29" t="s">
        <v>1270</v>
      </c>
      <c r="B437" s="30" t="s">
        <v>1231</v>
      </c>
      <c r="C437" s="31" t="s">
        <v>1273</v>
      </c>
      <c r="D437" s="71" t="s">
        <v>28</v>
      </c>
      <c r="E437" s="31" t="s">
        <v>673</v>
      </c>
      <c r="F437" s="31" t="s">
        <v>1249</v>
      </c>
      <c r="G437" s="71" t="s">
        <v>166</v>
      </c>
      <c r="H437" s="71" t="s">
        <v>570</v>
      </c>
      <c r="I437" s="31"/>
      <c r="J437" s="32" t="s">
        <v>708</v>
      </c>
      <c r="K437" s="111">
        <f>ROUND(Tableau14[[#This Row],[LEN]]*7.27,0)</f>
        <v>87</v>
      </c>
      <c r="L437" s="111">
        <v>15</v>
      </c>
      <c r="M437" s="128" t="str">
        <f t="shared" si="3"/>
        <v>none</v>
      </c>
      <c r="N437" s="111">
        <f>LEN(Tableau14[[#This Row],[LABEL]])</f>
        <v>12</v>
      </c>
      <c r="O437" s="111">
        <v>15</v>
      </c>
      <c r="P437" s="111" t="e">
        <f>ROUND(Tableau14[[#This Row],[LEN]]*#REF!+#REF!,0)</f>
        <v>#REF!</v>
      </c>
    </row>
    <row r="438" spans="1:16" s="97" customFormat="1" x14ac:dyDescent="0.25">
      <c r="A438" s="25" t="s">
        <v>1232</v>
      </c>
      <c r="B438" s="26" t="s">
        <v>259</v>
      </c>
      <c r="C438" s="27" t="s">
        <v>1244</v>
      </c>
      <c r="D438" s="70" t="s">
        <v>28</v>
      </c>
      <c r="E438" s="27" t="s">
        <v>673</v>
      </c>
      <c r="F438" s="27" t="s">
        <v>1177</v>
      </c>
      <c r="G438" s="70" t="s">
        <v>166</v>
      </c>
      <c r="H438" s="70" t="s">
        <v>18</v>
      </c>
      <c r="I438" s="27"/>
      <c r="J438" s="28" t="s">
        <v>708</v>
      </c>
      <c r="K438" s="109">
        <f>ROUND(Tableau14[[#This Row],[LEN]]*7.27,0)</f>
        <v>247</v>
      </c>
      <c r="L438" s="109">
        <v>15</v>
      </c>
      <c r="M438" s="127" t="str">
        <f t="shared" si="3"/>
        <v>none</v>
      </c>
      <c r="N438" s="109">
        <f>LEN(Tableau14[[#This Row],[LABEL]])</f>
        <v>34</v>
      </c>
      <c r="O438" s="109">
        <v>15</v>
      </c>
      <c r="P438" s="109" t="e">
        <f>ROUND(Tableau14[[#This Row],[LEN]]*#REF!+#REF!,0)</f>
        <v>#REF!</v>
      </c>
    </row>
    <row r="439" spans="1:16" s="97" customFormat="1" x14ac:dyDescent="0.25">
      <c r="A439" s="25" t="s">
        <v>1233</v>
      </c>
      <c r="B439" s="26" t="s">
        <v>259</v>
      </c>
      <c r="C439" s="27" t="s">
        <v>1245</v>
      </c>
      <c r="D439" s="70" t="s">
        <v>28</v>
      </c>
      <c r="E439" s="27" t="s">
        <v>673</v>
      </c>
      <c r="F439" s="27" t="s">
        <v>1177</v>
      </c>
      <c r="G439" s="70" t="s">
        <v>166</v>
      </c>
      <c r="H439" s="70" t="s">
        <v>570</v>
      </c>
      <c r="I439" s="27"/>
      <c r="J439" s="28" t="s">
        <v>708</v>
      </c>
      <c r="K439" s="109">
        <f>ROUND(Tableau14[[#This Row],[LEN]]*7.27,0)</f>
        <v>364</v>
      </c>
      <c r="L439" s="109">
        <v>15</v>
      </c>
      <c r="M439" s="127" t="str">
        <f t="shared" si="3"/>
        <v>none</v>
      </c>
      <c r="N439" s="109">
        <f>LEN(Tableau14[[#This Row],[LABEL]])</f>
        <v>50</v>
      </c>
      <c r="O439" s="109">
        <v>15</v>
      </c>
      <c r="P439" s="109" t="e">
        <f>ROUND(Tableau14[[#This Row],[LEN]]*#REF!+#REF!,0)</f>
        <v>#REF!</v>
      </c>
    </row>
    <row r="440" spans="1:16" s="97" customFormat="1" x14ac:dyDescent="0.25">
      <c r="A440" s="25" t="s">
        <v>1234</v>
      </c>
      <c r="B440" s="26" t="s">
        <v>259</v>
      </c>
      <c r="C440" s="27" t="s">
        <v>778</v>
      </c>
      <c r="D440" s="70" t="s">
        <v>28</v>
      </c>
      <c r="E440" s="27" t="s">
        <v>673</v>
      </c>
      <c r="F440" s="27" t="s">
        <v>2000</v>
      </c>
      <c r="G440" s="70" t="s">
        <v>166</v>
      </c>
      <c r="H440" s="70" t="s">
        <v>17</v>
      </c>
      <c r="I440" s="27"/>
      <c r="J440" s="28" t="s">
        <v>708</v>
      </c>
      <c r="K440" s="109">
        <f>ROUND(Tableau14[[#This Row],[LEN]]*7.27,0)</f>
        <v>211</v>
      </c>
      <c r="L440" s="109">
        <v>15</v>
      </c>
      <c r="M440" s="127" t="str">
        <f t="shared" si="3"/>
        <v>none</v>
      </c>
      <c r="N440" s="109">
        <f>LEN(Tableau14[[#This Row],[LABEL]])</f>
        <v>29</v>
      </c>
      <c r="O440" s="109">
        <v>15</v>
      </c>
      <c r="P440" s="109" t="e">
        <f>ROUND(Tableau14[[#This Row],[LEN]]*#REF!+#REF!,0)</f>
        <v>#REF!</v>
      </c>
    </row>
    <row r="441" spans="1:16" s="97" customFormat="1" x14ac:dyDescent="0.25">
      <c r="A441" s="25" t="s">
        <v>1235</v>
      </c>
      <c r="B441" s="26" t="s">
        <v>259</v>
      </c>
      <c r="C441" s="27" t="s">
        <v>1246</v>
      </c>
      <c r="D441" s="70" t="s">
        <v>28</v>
      </c>
      <c r="E441" s="27" t="s">
        <v>673</v>
      </c>
      <c r="F441" s="27" t="s">
        <v>667</v>
      </c>
      <c r="G441" s="70" t="s">
        <v>166</v>
      </c>
      <c r="H441" s="70" t="s">
        <v>655</v>
      </c>
      <c r="I441" s="27"/>
      <c r="J441" s="28" t="s">
        <v>708</v>
      </c>
      <c r="K441" s="109">
        <f>ROUND(Tableau14[[#This Row],[LEN]]*7.27,0)</f>
        <v>153</v>
      </c>
      <c r="L441" s="109">
        <v>15</v>
      </c>
      <c r="M441" s="127" t="str">
        <f t="shared" si="3"/>
        <v>none</v>
      </c>
      <c r="N441" s="109">
        <f>LEN(Tableau14[[#This Row],[LABEL]])</f>
        <v>21</v>
      </c>
      <c r="O441" s="109">
        <v>15</v>
      </c>
      <c r="P441" s="109" t="e">
        <f>ROUND(Tableau14[[#This Row],[LEN]]*#REF!+#REF!,0)</f>
        <v>#REF!</v>
      </c>
    </row>
    <row r="442" spans="1:16" s="97" customFormat="1" x14ac:dyDescent="0.25">
      <c r="A442" s="29" t="s">
        <v>1274</v>
      </c>
      <c r="B442" s="30" t="s">
        <v>1235</v>
      </c>
      <c r="C442" s="31" t="s">
        <v>1276</v>
      </c>
      <c r="D442" s="71" t="s">
        <v>28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ROUND(Tableau14[[#This Row],[LEN]]*7.27,0)</f>
        <v>131</v>
      </c>
      <c r="L442" s="111">
        <v>15</v>
      </c>
      <c r="M442" s="128" t="str">
        <f t="shared" si="3"/>
        <v>none</v>
      </c>
      <c r="N442" s="111">
        <f>LEN(Tableau14[[#This Row],[LABEL]])</f>
        <v>18</v>
      </c>
      <c r="O442" s="111">
        <v>15</v>
      </c>
      <c r="P442" s="111" t="e">
        <f>ROUND(Tableau14[[#This Row],[LEN]]*#REF!+#REF!,0)</f>
        <v>#REF!</v>
      </c>
    </row>
    <row r="443" spans="1:16" s="97" customFormat="1" x14ac:dyDescent="0.25">
      <c r="A443" s="29" t="s">
        <v>1275</v>
      </c>
      <c r="B443" s="30" t="s">
        <v>1235</v>
      </c>
      <c r="C443" s="31" t="s">
        <v>1277</v>
      </c>
      <c r="D443" s="71" t="s">
        <v>28</v>
      </c>
      <c r="E443" s="31" t="s">
        <v>673</v>
      </c>
      <c r="F443" s="31" t="s">
        <v>667</v>
      </c>
      <c r="G443" s="71" t="s">
        <v>166</v>
      </c>
      <c r="H443" s="71" t="s">
        <v>18</v>
      </c>
      <c r="I443" s="31"/>
      <c r="J443" s="32" t="s">
        <v>708</v>
      </c>
      <c r="K443" s="111">
        <f>ROUND(Tableau14[[#This Row],[LEN]]*7.27,0)</f>
        <v>422</v>
      </c>
      <c r="L443" s="111">
        <v>15</v>
      </c>
      <c r="M443" s="128" t="str">
        <f t="shared" si="3"/>
        <v>none</v>
      </c>
      <c r="N443" s="111">
        <f>LEN(Tableau14[[#This Row],[LABEL]])</f>
        <v>58</v>
      </c>
      <c r="O443" s="111">
        <v>15</v>
      </c>
      <c r="P443" s="111" t="e">
        <f>ROUND(Tableau14[[#This Row],[LEN]]*#REF!+#REF!,0)</f>
        <v>#REF!</v>
      </c>
    </row>
    <row r="444" spans="1:16" s="97" customFormat="1" x14ac:dyDescent="0.25">
      <c r="A444" s="25" t="s">
        <v>1236</v>
      </c>
      <c r="B444" s="26" t="s">
        <v>259</v>
      </c>
      <c r="C444" s="27" t="s">
        <v>1247</v>
      </c>
      <c r="D444" s="70" t="s">
        <v>1250</v>
      </c>
      <c r="E444" s="27" t="s">
        <v>673</v>
      </c>
      <c r="F444" s="27" t="s">
        <v>667</v>
      </c>
      <c r="G444" s="70" t="s">
        <v>166</v>
      </c>
      <c r="H444" s="70" t="s">
        <v>656</v>
      </c>
      <c r="I444" s="27"/>
      <c r="J444" s="28" t="s">
        <v>708</v>
      </c>
      <c r="K444" s="109">
        <f>ROUND(Tableau14[[#This Row],[LEN]]*7.27,0)</f>
        <v>160</v>
      </c>
      <c r="L444" s="109">
        <v>15</v>
      </c>
      <c r="M444" s="127" t="str">
        <f t="shared" si="3"/>
        <v>none</v>
      </c>
      <c r="N444" s="109">
        <f>LEN(Tableau14[[#This Row],[LABEL]])</f>
        <v>22</v>
      </c>
      <c r="O444" s="109">
        <v>15</v>
      </c>
      <c r="P444" s="109" t="e">
        <f>ROUND(Tableau14[[#This Row],[LEN]]*#REF!+#REF!,0)</f>
        <v>#REF!</v>
      </c>
    </row>
    <row r="445" spans="1:16" s="97" customFormat="1" x14ac:dyDescent="0.25">
      <c r="A445" s="25" t="s">
        <v>1237</v>
      </c>
      <c r="B445" s="26" t="s">
        <v>259</v>
      </c>
      <c r="C445" s="27" t="s">
        <v>1167</v>
      </c>
      <c r="D445" s="70" t="s">
        <v>486</v>
      </c>
      <c r="E445" s="27" t="s">
        <v>1085</v>
      </c>
      <c r="F445" s="27" t="s">
        <v>1084</v>
      </c>
      <c r="G445" s="70" t="s">
        <v>1977</v>
      </c>
      <c r="H445" s="70" t="s">
        <v>1131</v>
      </c>
      <c r="I445" s="27"/>
      <c r="J445" s="28" t="s">
        <v>708</v>
      </c>
      <c r="K445" s="109">
        <f>ROUND(Tableau14[[#This Row],[LEN]]*7.27,0)</f>
        <v>196</v>
      </c>
      <c r="L445" s="109">
        <v>15</v>
      </c>
      <c r="M445" s="127" t="str">
        <f t="shared" si="3"/>
        <v>none</v>
      </c>
      <c r="N445" s="109">
        <f>LEN(Tableau14[[#This Row],[LABEL]])</f>
        <v>27</v>
      </c>
      <c r="O445" s="109">
        <v>15</v>
      </c>
      <c r="P445" s="109" t="e">
        <f>ROUND(Tableau14[[#This Row],[LEN]]*#REF!+#REF!,0)</f>
        <v>#REF!</v>
      </c>
    </row>
    <row r="446" spans="1:16" s="273" customFormat="1" x14ac:dyDescent="0.25">
      <c r="A446" s="288" t="s">
        <v>260</v>
      </c>
      <c r="B446" s="289" t="s">
        <v>206</v>
      </c>
      <c r="C446" s="290" t="s">
        <v>11</v>
      </c>
      <c r="D446" s="291" t="s">
        <v>28</v>
      </c>
      <c r="E446" s="290" t="s">
        <v>674</v>
      </c>
      <c r="F446" s="290" t="s">
        <v>674</v>
      </c>
      <c r="G446" s="291" t="s">
        <v>166</v>
      </c>
      <c r="H446" s="291" t="str">
        <f>IFERROR(IF(SEARCH(".00.00.00.00.00",Tableau14[[#This Row],[name]],1)=7,"Division",""),"")</f>
        <v>Division</v>
      </c>
      <c r="I446" s="290"/>
      <c r="J446" s="292" t="s">
        <v>720</v>
      </c>
      <c r="K446" s="293">
        <f>ROUND(Tableau14[[#This Row],[LEN]]*7.27,0)</f>
        <v>51</v>
      </c>
      <c r="L446" s="293">
        <v>15</v>
      </c>
      <c r="M446" s="294" t="str">
        <f t="shared" ref="M446:M700" si="4">IF(J446="javascript:void(0)","none","new")</f>
        <v>new</v>
      </c>
      <c r="N446" s="293">
        <f>LEN(Tableau14[[#This Row],[LABEL]])</f>
        <v>7</v>
      </c>
      <c r="O446" s="293">
        <v>15</v>
      </c>
      <c r="P446" s="293" t="e">
        <f>ROUND(Tableau14[[#This Row],[LEN]]*#REF!+#REF!,0)</f>
        <v>#REF!</v>
      </c>
    </row>
    <row r="447" spans="1:16" s="97" customFormat="1" x14ac:dyDescent="0.25">
      <c r="A447" s="25" t="s">
        <v>1278</v>
      </c>
      <c r="B447" s="26" t="s">
        <v>260</v>
      </c>
      <c r="C447" s="27" t="s">
        <v>88</v>
      </c>
      <c r="D447" s="70" t="s">
        <v>28</v>
      </c>
      <c r="E447" s="27" t="s">
        <v>667</v>
      </c>
      <c r="F447" s="27" t="s">
        <v>1218</v>
      </c>
      <c r="G447" s="70" t="s">
        <v>166</v>
      </c>
      <c r="H447" s="70" t="s">
        <v>570</v>
      </c>
      <c r="I447" s="27"/>
      <c r="J447" s="28" t="s">
        <v>708</v>
      </c>
      <c r="K447" s="109">
        <f>ROUND(Tableau14[[#This Row],[LEN]]*7.27,0)</f>
        <v>342</v>
      </c>
      <c r="L447" s="109">
        <v>15</v>
      </c>
      <c r="M447" s="127" t="str">
        <f t="shared" si="4"/>
        <v>none</v>
      </c>
      <c r="N447" s="109">
        <f>LEN(Tableau14[[#This Row],[LABEL]])</f>
        <v>47</v>
      </c>
      <c r="O447" s="109">
        <v>15</v>
      </c>
      <c r="P447" s="109" t="e">
        <f>ROUND(Tableau14[[#This Row],[LEN]]*#REF!+#REF!,0)</f>
        <v>#REF!</v>
      </c>
    </row>
    <row r="448" spans="1:16" s="97" customFormat="1" x14ac:dyDescent="0.25">
      <c r="A448" s="25" t="s">
        <v>1279</v>
      </c>
      <c r="B448" s="26" t="s">
        <v>260</v>
      </c>
      <c r="C448" s="27" t="s">
        <v>484</v>
      </c>
      <c r="D448" s="70" t="s">
        <v>28</v>
      </c>
      <c r="E448" s="27" t="s">
        <v>672</v>
      </c>
      <c r="F448" s="27" t="s">
        <v>1285</v>
      </c>
      <c r="G448" s="70" t="s">
        <v>166</v>
      </c>
      <c r="H448" s="70" t="s">
        <v>655</v>
      </c>
      <c r="I448" s="27"/>
      <c r="J448" s="28" t="s">
        <v>727</v>
      </c>
      <c r="K448" s="109">
        <f>ROUND(Tableau14[[#This Row],[LEN]]*7.27,0)</f>
        <v>80</v>
      </c>
      <c r="L448" s="109">
        <v>15</v>
      </c>
      <c r="M448" s="127" t="str">
        <f t="shared" si="4"/>
        <v>new</v>
      </c>
      <c r="N448" s="109">
        <f>LEN(Tableau14[[#This Row],[LABEL]])</f>
        <v>11</v>
      </c>
      <c r="O448" s="109">
        <v>15</v>
      </c>
      <c r="P448" s="109" t="e">
        <f>ROUND(Tableau14[[#This Row],[LEN]]*#REF!+#REF!,0)</f>
        <v>#REF!</v>
      </c>
    </row>
    <row r="449" spans="1:16" s="97" customFormat="1" x14ac:dyDescent="0.25">
      <c r="A449" s="29" t="s">
        <v>1288</v>
      </c>
      <c r="B449" s="30" t="s">
        <v>1279</v>
      </c>
      <c r="C449" s="31" t="s">
        <v>505</v>
      </c>
      <c r="D449" s="71" t="s">
        <v>28</v>
      </c>
      <c r="E449" s="31" t="s">
        <v>672</v>
      </c>
      <c r="F449" s="31" t="s">
        <v>1285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ROUND(Tableau14[[#This Row],[LEN]]*7.27,0)</f>
        <v>73</v>
      </c>
      <c r="L449" s="111">
        <v>15</v>
      </c>
      <c r="M449" s="128" t="str">
        <f t="shared" si="4"/>
        <v>new</v>
      </c>
      <c r="N449" s="111">
        <f>LEN(Tableau14[[#This Row],[LABEL]])</f>
        <v>10</v>
      </c>
      <c r="O449" s="111">
        <v>15</v>
      </c>
      <c r="P449" s="111" t="e">
        <f>ROUND(Tableau14[[#This Row],[LEN]]*#REF!+#REF!,0)</f>
        <v>#REF!</v>
      </c>
    </row>
    <row r="450" spans="1:16" s="97" customFormat="1" x14ac:dyDescent="0.25">
      <c r="A450" s="29" t="s">
        <v>1289</v>
      </c>
      <c r="B450" s="30" t="s">
        <v>1279</v>
      </c>
      <c r="C450" s="31" t="s">
        <v>1284</v>
      </c>
      <c r="D450" s="71" t="s">
        <v>28</v>
      </c>
      <c r="E450" s="31" t="s">
        <v>672</v>
      </c>
      <c r="F450" s="31" t="s">
        <v>1285</v>
      </c>
      <c r="G450" s="71" t="s">
        <v>166</v>
      </c>
      <c r="H450" s="71" t="s">
        <v>18</v>
      </c>
      <c r="I450" s="31"/>
      <c r="J450" s="32" t="s">
        <v>705</v>
      </c>
      <c r="K450" s="111">
        <f>ROUND(Tableau14[[#This Row],[LEN]]*7.27,0)</f>
        <v>153</v>
      </c>
      <c r="L450" s="111">
        <v>15</v>
      </c>
      <c r="M450" s="128" t="str">
        <f t="shared" si="4"/>
        <v>new</v>
      </c>
      <c r="N450" s="111">
        <f>LEN(Tableau14[[#This Row],[LABEL]])</f>
        <v>21</v>
      </c>
      <c r="O450" s="111">
        <v>15</v>
      </c>
      <c r="P450" s="111" t="e">
        <f>ROUND(Tableau14[[#This Row],[LEN]]*#REF!+#REF!,0)</f>
        <v>#REF!</v>
      </c>
    </row>
    <row r="451" spans="1:16" s="97" customFormat="1" x14ac:dyDescent="0.25">
      <c r="A451" s="25" t="s">
        <v>1280</v>
      </c>
      <c r="B451" s="26" t="s">
        <v>260</v>
      </c>
      <c r="C451" s="27" t="s">
        <v>1286</v>
      </c>
      <c r="D451" s="70" t="s">
        <v>28</v>
      </c>
      <c r="E451" s="27" t="s">
        <v>674</v>
      </c>
      <c r="F451" s="27" t="s">
        <v>1177</v>
      </c>
      <c r="G451" s="70" t="s">
        <v>166</v>
      </c>
      <c r="H451" s="70" t="s">
        <v>655</v>
      </c>
      <c r="I451" s="27"/>
      <c r="J451" s="28" t="s">
        <v>708</v>
      </c>
      <c r="K451" s="109">
        <f>ROUND(Tableau14[[#This Row],[LEN]]*7.27,0)</f>
        <v>429</v>
      </c>
      <c r="L451" s="109">
        <v>15</v>
      </c>
      <c r="M451" s="127" t="str">
        <f t="shared" si="4"/>
        <v>none</v>
      </c>
      <c r="N451" s="109">
        <f>LEN(Tableau14[[#This Row],[LABEL]])</f>
        <v>59</v>
      </c>
      <c r="O451" s="109">
        <v>15</v>
      </c>
      <c r="P451" s="109" t="e">
        <f>ROUND(Tableau14[[#This Row],[LEN]]*#REF!+#REF!,0)</f>
        <v>#REF!</v>
      </c>
    </row>
    <row r="452" spans="1:16" s="97" customFormat="1" x14ac:dyDescent="0.25">
      <c r="A452" s="29" t="s">
        <v>1290</v>
      </c>
      <c r="B452" s="30" t="s">
        <v>1280</v>
      </c>
      <c r="C452" s="31" t="s">
        <v>1293</v>
      </c>
      <c r="D452" s="71" t="s">
        <v>28</v>
      </c>
      <c r="E452" s="31" t="s">
        <v>674</v>
      </c>
      <c r="F452" s="31" t="s">
        <v>1177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ROUND(Tableau14[[#This Row],[LEN]]*7.27,0)</f>
        <v>116</v>
      </c>
      <c r="L452" s="111">
        <v>15</v>
      </c>
      <c r="M452" s="128" t="str">
        <f t="shared" si="4"/>
        <v>none</v>
      </c>
      <c r="N452" s="111">
        <f>LEN(Tableau14[[#This Row],[LABEL]])</f>
        <v>16</v>
      </c>
      <c r="O452" s="111">
        <v>15</v>
      </c>
      <c r="P452" s="111" t="e">
        <f>ROUND(Tableau14[[#This Row],[LEN]]*#REF!+#REF!,0)</f>
        <v>#REF!</v>
      </c>
    </row>
    <row r="453" spans="1:16" s="97" customFormat="1" x14ac:dyDescent="0.25">
      <c r="A453" s="29" t="s">
        <v>1291</v>
      </c>
      <c r="B453" s="30" t="s">
        <v>1280</v>
      </c>
      <c r="C453" s="31" t="s">
        <v>1294</v>
      </c>
      <c r="D453" s="71" t="s">
        <v>28</v>
      </c>
      <c r="E453" s="31" t="s">
        <v>674</v>
      </c>
      <c r="F453" s="31" t="s">
        <v>1177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ROUND(Tableau14[[#This Row],[LEN]]*7.27,0)</f>
        <v>87</v>
      </c>
      <c r="L453" s="111">
        <v>15</v>
      </c>
      <c r="M453" s="128" t="str">
        <f t="shared" si="4"/>
        <v>none</v>
      </c>
      <c r="N453" s="111">
        <f>LEN(Tableau14[[#This Row],[LABEL]])</f>
        <v>12</v>
      </c>
      <c r="O453" s="111">
        <v>15</v>
      </c>
      <c r="P453" s="111" t="e">
        <f>ROUND(Tableau14[[#This Row],[LEN]]*#REF!+#REF!,0)</f>
        <v>#REF!</v>
      </c>
    </row>
    <row r="454" spans="1:16" s="97" customFormat="1" x14ac:dyDescent="0.25">
      <c r="A454" s="29" t="s">
        <v>1292</v>
      </c>
      <c r="B454" s="30" t="s">
        <v>1280</v>
      </c>
      <c r="C454" s="31" t="s">
        <v>1295</v>
      </c>
      <c r="D454" s="71" t="s">
        <v>28</v>
      </c>
      <c r="E454" s="31" t="s">
        <v>674</v>
      </c>
      <c r="F454" s="31" t="s">
        <v>1177</v>
      </c>
      <c r="G454" s="71" t="s">
        <v>166</v>
      </c>
      <c r="H454" s="71" t="s">
        <v>654</v>
      </c>
      <c r="I454" s="31"/>
      <c r="J454" s="32" t="s">
        <v>708</v>
      </c>
      <c r="K454" s="111">
        <f>ROUND(Tableau14[[#This Row],[LEN]]*7.27,0)</f>
        <v>145</v>
      </c>
      <c r="L454" s="111">
        <v>15</v>
      </c>
      <c r="M454" s="128" t="str">
        <f t="shared" si="4"/>
        <v>none</v>
      </c>
      <c r="N454" s="111">
        <f>LEN(Tableau14[[#This Row],[LABEL]])</f>
        <v>20</v>
      </c>
      <c r="O454" s="111">
        <v>15</v>
      </c>
      <c r="P454" s="111" t="e">
        <f>ROUND(Tableau14[[#This Row],[LEN]]*#REF!+#REF!,0)</f>
        <v>#REF!</v>
      </c>
    </row>
    <row r="455" spans="1:16" s="97" customFormat="1" x14ac:dyDescent="0.25">
      <c r="A455" s="25" t="s">
        <v>1281</v>
      </c>
      <c r="B455" s="26" t="s">
        <v>260</v>
      </c>
      <c r="C455" s="27" t="s">
        <v>1287</v>
      </c>
      <c r="D455" s="70" t="s">
        <v>28</v>
      </c>
      <c r="E455" s="27" t="s">
        <v>674</v>
      </c>
      <c r="F455" s="27" t="s">
        <v>678</v>
      </c>
      <c r="G455" s="70" t="s">
        <v>166</v>
      </c>
      <c r="H455" s="70" t="s">
        <v>655</v>
      </c>
      <c r="I455" s="27"/>
      <c r="J455" s="28" t="s">
        <v>708</v>
      </c>
      <c r="K455" s="109">
        <f>ROUND(Tableau14[[#This Row],[LEN]]*7.27,0)</f>
        <v>320</v>
      </c>
      <c r="L455" s="109">
        <v>15</v>
      </c>
      <c r="M455" s="127" t="str">
        <f t="shared" si="4"/>
        <v>none</v>
      </c>
      <c r="N455" s="109">
        <f>LEN(Tableau14[[#This Row],[LABEL]])</f>
        <v>44</v>
      </c>
      <c r="O455" s="109">
        <v>15</v>
      </c>
      <c r="P455" s="109" t="e">
        <f>ROUND(Tableau14[[#This Row],[LEN]]*#REF!+#REF!,0)</f>
        <v>#REF!</v>
      </c>
    </row>
    <row r="456" spans="1:16" s="97" customFormat="1" x14ac:dyDescent="0.25">
      <c r="A456" s="29" t="s">
        <v>1296</v>
      </c>
      <c r="B456" s="30" t="s">
        <v>1281</v>
      </c>
      <c r="C456" s="31" t="s">
        <v>1298</v>
      </c>
      <c r="D456" s="71" t="s">
        <v>28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ROUND(Tableau14[[#This Row],[LEN]]*7.27,0)</f>
        <v>284</v>
      </c>
      <c r="L456" s="111">
        <v>15</v>
      </c>
      <c r="M456" s="128" t="str">
        <f t="shared" si="4"/>
        <v>none</v>
      </c>
      <c r="N456" s="111">
        <f>LEN(Tableau14[[#This Row],[LABEL]])</f>
        <v>39</v>
      </c>
      <c r="O456" s="111">
        <v>15</v>
      </c>
      <c r="P456" s="111" t="e">
        <f>ROUND(Tableau14[[#This Row],[LEN]]*#REF!+#REF!,0)</f>
        <v>#REF!</v>
      </c>
    </row>
    <row r="457" spans="1:16" s="97" customFormat="1" x14ac:dyDescent="0.25">
      <c r="A457" s="29" t="s">
        <v>1297</v>
      </c>
      <c r="B457" s="30" t="s">
        <v>1281</v>
      </c>
      <c r="C457" s="31" t="s">
        <v>1299</v>
      </c>
      <c r="D457" s="71" t="s">
        <v>28</v>
      </c>
      <c r="E457" s="31" t="s">
        <v>674</v>
      </c>
      <c r="F457" s="31" t="s">
        <v>678</v>
      </c>
      <c r="G457" s="71" t="s">
        <v>166</v>
      </c>
      <c r="H457" s="71" t="s">
        <v>654</v>
      </c>
      <c r="I457" s="31"/>
      <c r="J457" s="32" t="s">
        <v>708</v>
      </c>
      <c r="K457" s="111">
        <f>ROUND(Tableau14[[#This Row],[LEN]]*7.27,0)</f>
        <v>124</v>
      </c>
      <c r="L457" s="111">
        <v>15</v>
      </c>
      <c r="M457" s="128" t="str">
        <f t="shared" si="4"/>
        <v>none</v>
      </c>
      <c r="N457" s="111">
        <f>LEN(Tableau14[[#This Row],[LABEL]])</f>
        <v>17</v>
      </c>
      <c r="O457" s="111">
        <v>15</v>
      </c>
      <c r="P457" s="111" t="e">
        <f>ROUND(Tableau14[[#This Row],[LEN]]*#REF!+#REF!,0)</f>
        <v>#REF!</v>
      </c>
    </row>
    <row r="458" spans="1:16" s="97" customFormat="1" x14ac:dyDescent="0.25">
      <c r="A458" s="25" t="s">
        <v>1282</v>
      </c>
      <c r="B458" s="26" t="s">
        <v>260</v>
      </c>
      <c r="C458" s="27" t="s">
        <v>1154</v>
      </c>
      <c r="D458" s="70" t="s">
        <v>28</v>
      </c>
      <c r="E458" s="27" t="s">
        <v>667</v>
      </c>
      <c r="F458" s="27" t="s">
        <v>1133</v>
      </c>
      <c r="G458" s="70" t="s">
        <v>166</v>
      </c>
      <c r="H458" s="70" t="s">
        <v>18</v>
      </c>
      <c r="I458" s="27"/>
      <c r="J458" s="28" t="s">
        <v>102</v>
      </c>
      <c r="K458" s="109">
        <f>ROUND(Tableau14[[#This Row],[LEN]]*7.27,0)</f>
        <v>443</v>
      </c>
      <c r="L458" s="109">
        <v>15</v>
      </c>
      <c r="M458" s="127" t="str">
        <f t="shared" si="4"/>
        <v>new</v>
      </c>
      <c r="N458" s="109">
        <f>LEN(Tableau14[[#This Row],[LABEL]])</f>
        <v>61</v>
      </c>
      <c r="O458" s="109">
        <v>15</v>
      </c>
      <c r="P458" s="109" t="e">
        <f>ROUND(Tableau14[[#This Row],[LEN]]*#REF!+#REF!,0)</f>
        <v>#REF!</v>
      </c>
    </row>
    <row r="459" spans="1:16" s="97" customFormat="1" x14ac:dyDescent="0.25">
      <c r="A459" s="25" t="s">
        <v>1283</v>
      </c>
      <c r="B459" s="26" t="s">
        <v>260</v>
      </c>
      <c r="C459" s="27" t="s">
        <v>1167</v>
      </c>
      <c r="D459" s="70" t="s">
        <v>486</v>
      </c>
      <c r="E459" s="27" t="s">
        <v>1085</v>
      </c>
      <c r="F459" s="27" t="s">
        <v>1084</v>
      </c>
      <c r="G459" s="70" t="s">
        <v>1977</v>
      </c>
      <c r="H459" s="70" t="s">
        <v>1131</v>
      </c>
      <c r="I459" s="27"/>
      <c r="J459" s="28" t="s">
        <v>708</v>
      </c>
      <c r="K459" s="109">
        <f>ROUND(Tableau14[[#This Row],[LEN]]*7.27,0)</f>
        <v>196</v>
      </c>
      <c r="L459" s="109">
        <v>15</v>
      </c>
      <c r="M459" s="127" t="str">
        <f t="shared" si="4"/>
        <v>none</v>
      </c>
      <c r="N459" s="109">
        <f>LEN(Tableau14[[#This Row],[LABEL]])</f>
        <v>27</v>
      </c>
      <c r="O459" s="109">
        <v>15</v>
      </c>
      <c r="P459" s="109" t="e">
        <f>ROUND(Tableau14[[#This Row],[LEN]]*#REF!+#REF!,0)</f>
        <v>#REF!</v>
      </c>
    </row>
    <row r="460" spans="1:16" s="97" customFormat="1" x14ac:dyDescent="0.25">
      <c r="A460" s="29" t="s">
        <v>1300</v>
      </c>
      <c r="B460" s="30" t="s">
        <v>1283</v>
      </c>
      <c r="C460" s="31" t="s">
        <v>93</v>
      </c>
      <c r="D460" s="71" t="s">
        <v>28</v>
      </c>
      <c r="E460" s="31" t="s">
        <v>1085</v>
      </c>
      <c r="F460" s="31" t="s">
        <v>1084</v>
      </c>
      <c r="G460" s="71" t="s">
        <v>166</v>
      </c>
      <c r="H460" s="71" t="s">
        <v>18</v>
      </c>
      <c r="I460" s="31"/>
      <c r="J460" s="32" t="s">
        <v>101</v>
      </c>
      <c r="K460" s="111">
        <f>ROUND(Tableau14[[#This Row],[LEN]]*7.27,0)</f>
        <v>109</v>
      </c>
      <c r="L460" s="111">
        <v>15</v>
      </c>
      <c r="M460" s="128" t="str">
        <f t="shared" si="4"/>
        <v>new</v>
      </c>
      <c r="N460" s="111">
        <f>LEN(Tableau14[[#This Row],[LABEL]])</f>
        <v>15</v>
      </c>
      <c r="O460" s="111">
        <v>15</v>
      </c>
      <c r="P460" s="111" t="e">
        <f>ROUND(Tableau14[[#This Row],[LEN]]*#REF!+#REF!,0)</f>
        <v>#REF!</v>
      </c>
    </row>
    <row r="461" spans="1:16" s="97" customFormat="1" x14ac:dyDescent="0.25">
      <c r="A461" s="29" t="s">
        <v>1301</v>
      </c>
      <c r="B461" s="30" t="s">
        <v>1283</v>
      </c>
      <c r="C461" s="31" t="s">
        <v>94</v>
      </c>
      <c r="D461" s="71" t="s">
        <v>28</v>
      </c>
      <c r="E461" s="31" t="s">
        <v>1085</v>
      </c>
      <c r="F461" s="31" t="s">
        <v>1084</v>
      </c>
      <c r="G461" s="71" t="s">
        <v>166</v>
      </c>
      <c r="H461" s="71" t="s">
        <v>18</v>
      </c>
      <c r="I461" s="31"/>
      <c r="J461" s="32" t="s">
        <v>102</v>
      </c>
      <c r="K461" s="111">
        <f>ROUND(Tableau14[[#This Row],[LEN]]*7.27,0)</f>
        <v>58</v>
      </c>
      <c r="L461" s="111">
        <v>15</v>
      </c>
      <c r="M461" s="128" t="str">
        <f t="shared" si="4"/>
        <v>new</v>
      </c>
      <c r="N461" s="111">
        <f>LEN(Tableau14[[#This Row],[LABEL]])</f>
        <v>8</v>
      </c>
      <c r="O461" s="111">
        <v>15</v>
      </c>
      <c r="P461" s="111" t="e">
        <f>ROUND(Tableau14[[#This Row],[LEN]]*#REF!+#REF!,0)</f>
        <v>#REF!</v>
      </c>
    </row>
    <row r="462" spans="1:16" s="273" customFormat="1" x14ac:dyDescent="0.25">
      <c r="A462" s="288" t="s">
        <v>261</v>
      </c>
      <c r="B462" s="289" t="s">
        <v>206</v>
      </c>
      <c r="C462" s="290" t="s">
        <v>12</v>
      </c>
      <c r="D462" s="291" t="s">
        <v>28</v>
      </c>
      <c r="E462" s="290" t="s">
        <v>675</v>
      </c>
      <c r="F462" s="290" t="s">
        <v>675</v>
      </c>
      <c r="G462" s="291" t="s">
        <v>166</v>
      </c>
      <c r="H462" s="291" t="str">
        <f>IFERROR(IF(SEARCH(".00.00.00.00.00",Tableau14[[#This Row],[name]],1)=7,"Division",""),"")</f>
        <v>Division</v>
      </c>
      <c r="I462" s="290"/>
      <c r="J462" s="292" t="s">
        <v>721</v>
      </c>
      <c r="K462" s="293">
        <f>ROUND(Tableau14[[#This Row],[LEN]]*7.27,0)</f>
        <v>15</v>
      </c>
      <c r="L462" s="293">
        <v>15</v>
      </c>
      <c r="M462" s="294" t="str">
        <f t="shared" si="4"/>
        <v>new</v>
      </c>
      <c r="N462" s="293">
        <f>LEN(Tableau14[[#This Row],[LABEL]])</f>
        <v>2</v>
      </c>
      <c r="O462" s="293">
        <v>15</v>
      </c>
      <c r="P462" s="293" t="e">
        <f>ROUND(Tableau14[[#This Row],[LEN]]*#REF!+#REF!,0)</f>
        <v>#REF!</v>
      </c>
    </row>
    <row r="463" spans="1:16" s="97" customFormat="1" x14ac:dyDescent="0.25">
      <c r="A463" s="25" t="s">
        <v>1302</v>
      </c>
      <c r="B463" s="26" t="s">
        <v>261</v>
      </c>
      <c r="C463" s="27" t="s">
        <v>88</v>
      </c>
      <c r="D463" s="70" t="s">
        <v>28</v>
      </c>
      <c r="E463" s="27" t="s">
        <v>667</v>
      </c>
      <c r="F463" s="27" t="s">
        <v>1218</v>
      </c>
      <c r="G463" s="70" t="s">
        <v>166</v>
      </c>
      <c r="H463" s="70" t="s">
        <v>570</v>
      </c>
      <c r="I463" s="27"/>
      <c r="J463" s="28" t="s">
        <v>708</v>
      </c>
      <c r="K463" s="109">
        <f>ROUND(Tableau14[[#This Row],[LEN]]*7.27,0)</f>
        <v>342</v>
      </c>
      <c r="L463" s="109">
        <v>15</v>
      </c>
      <c r="M463" s="127" t="str">
        <f t="shared" si="4"/>
        <v>none</v>
      </c>
      <c r="N463" s="109">
        <f>LEN(Tableau14[[#This Row],[LABEL]])</f>
        <v>47</v>
      </c>
      <c r="O463" s="109">
        <v>15</v>
      </c>
      <c r="P463" s="109" t="e">
        <f>ROUND(Tableau14[[#This Row],[LEN]]*#REF!+#REF!,0)</f>
        <v>#REF!</v>
      </c>
    </row>
    <row r="464" spans="1:16" s="97" customFormat="1" x14ac:dyDescent="0.25">
      <c r="A464" s="213" t="s">
        <v>1303</v>
      </c>
      <c r="B464" s="214" t="s">
        <v>261</v>
      </c>
      <c r="C464" s="215" t="s">
        <v>1310</v>
      </c>
      <c r="D464" s="70" t="s">
        <v>28</v>
      </c>
      <c r="E464" s="229" t="s">
        <v>675</v>
      </c>
      <c r="F464" s="215" t="s">
        <v>678</v>
      </c>
      <c r="G464" s="70" t="s">
        <v>166</v>
      </c>
      <c r="H464" s="216" t="s">
        <v>655</v>
      </c>
      <c r="I464" s="215"/>
      <c r="J464" s="217" t="s">
        <v>708</v>
      </c>
      <c r="K464" s="218">
        <f>ROUND(Tableau14[[#This Row],[LEN]]*7.27,0)</f>
        <v>233</v>
      </c>
      <c r="L464" s="218">
        <v>15</v>
      </c>
      <c r="M464" s="219" t="str">
        <f t="shared" si="4"/>
        <v>none</v>
      </c>
      <c r="N464" s="218">
        <f>LEN(Tableau14[[#This Row],[LABEL]])</f>
        <v>32</v>
      </c>
      <c r="O464" s="218">
        <v>15</v>
      </c>
      <c r="P464" s="218" t="e">
        <f>ROUND(Tableau14[[#This Row],[LEN]]*#REF!+#REF!,0)</f>
        <v>#REF!</v>
      </c>
    </row>
    <row r="465" spans="1:16" s="97" customFormat="1" x14ac:dyDescent="0.25">
      <c r="A465" s="29" t="s">
        <v>1312</v>
      </c>
      <c r="B465" s="30" t="s">
        <v>1303</v>
      </c>
      <c r="C465" s="31" t="s">
        <v>1321</v>
      </c>
      <c r="D465" s="71" t="s">
        <v>28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ROUND(Tableau14[[#This Row],[LEN]]*7.27,0)</f>
        <v>349</v>
      </c>
      <c r="L465" s="111">
        <v>15</v>
      </c>
      <c r="M465" s="128" t="str">
        <f t="shared" si="4"/>
        <v>none</v>
      </c>
      <c r="N465" s="111">
        <f>LEN(Tableau14[[#This Row],[LABEL]])</f>
        <v>48</v>
      </c>
      <c r="O465" s="111">
        <v>15</v>
      </c>
      <c r="P465" s="111" t="e">
        <f>ROUND(Tableau14[[#This Row],[LEN]]*#REF!+#REF!,0)</f>
        <v>#REF!</v>
      </c>
    </row>
    <row r="466" spans="1:16" s="97" customFormat="1" x14ac:dyDescent="0.25">
      <c r="A466" s="29" t="s">
        <v>1313</v>
      </c>
      <c r="B466" s="30" t="s">
        <v>1303</v>
      </c>
      <c r="C466" s="31" t="s">
        <v>1322</v>
      </c>
      <c r="D466" s="71" t="s">
        <v>28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ROUND(Tableau14[[#This Row],[LEN]]*7.27,0)</f>
        <v>254</v>
      </c>
      <c r="L466" s="111">
        <v>15</v>
      </c>
      <c r="M466" s="128" t="str">
        <f t="shared" si="4"/>
        <v>none</v>
      </c>
      <c r="N466" s="111">
        <f>LEN(Tableau14[[#This Row],[LABEL]])</f>
        <v>35</v>
      </c>
      <c r="O466" s="111">
        <v>15</v>
      </c>
      <c r="P466" s="111" t="e">
        <f>ROUND(Tableau14[[#This Row],[LEN]]*#REF!+#REF!,0)</f>
        <v>#REF!</v>
      </c>
    </row>
    <row r="467" spans="1:16" s="97" customFormat="1" x14ac:dyDescent="0.25">
      <c r="A467" s="29" t="s">
        <v>1314</v>
      </c>
      <c r="B467" s="30" t="s">
        <v>1303</v>
      </c>
      <c r="C467" s="31" t="s">
        <v>1323</v>
      </c>
      <c r="D467" s="71" t="s">
        <v>28</v>
      </c>
      <c r="E467" s="31" t="s">
        <v>675</v>
      </c>
      <c r="F467" s="31" t="s">
        <v>678</v>
      </c>
      <c r="G467" s="71" t="s">
        <v>166</v>
      </c>
      <c r="H467" s="71" t="s">
        <v>654</v>
      </c>
      <c r="I467" s="31"/>
      <c r="J467" s="32" t="s">
        <v>708</v>
      </c>
      <c r="K467" s="111">
        <f>ROUND(Tableau14[[#This Row],[LEN]]*7.27,0)</f>
        <v>320</v>
      </c>
      <c r="L467" s="111">
        <v>15</v>
      </c>
      <c r="M467" s="128" t="str">
        <f t="shared" si="4"/>
        <v>none</v>
      </c>
      <c r="N467" s="111">
        <f>LEN(Tableau14[[#This Row],[LABEL]])</f>
        <v>44</v>
      </c>
      <c r="O467" s="111">
        <v>15</v>
      </c>
      <c r="P467" s="111" t="e">
        <f>ROUND(Tableau14[[#This Row],[LEN]]*#REF!+#REF!,0)</f>
        <v>#REF!</v>
      </c>
    </row>
    <row r="468" spans="1:16" s="97" customFormat="1" x14ac:dyDescent="0.25">
      <c r="A468" s="235" t="s">
        <v>1304</v>
      </c>
      <c r="B468" s="237" t="s">
        <v>261</v>
      </c>
      <c r="C468" s="236" t="s">
        <v>1007</v>
      </c>
      <c r="D468" s="70" t="s">
        <v>28</v>
      </c>
      <c r="E468" s="229" t="s">
        <v>675</v>
      </c>
      <c r="F468" s="215" t="s">
        <v>1177</v>
      </c>
      <c r="G468" s="70" t="s">
        <v>166</v>
      </c>
      <c r="H468" s="230" t="s">
        <v>655</v>
      </c>
      <c r="I468" s="229"/>
      <c r="J468" s="231" t="s">
        <v>708</v>
      </c>
      <c r="K468" s="232">
        <f>ROUND(Tableau14[[#This Row],[LEN]]*7.27,0)</f>
        <v>305</v>
      </c>
      <c r="L468" s="232">
        <v>15</v>
      </c>
      <c r="M468" s="233" t="str">
        <f t="shared" si="4"/>
        <v>none</v>
      </c>
      <c r="N468" s="232">
        <f>LEN(Tableau14[[#This Row],[LABEL]])</f>
        <v>42</v>
      </c>
      <c r="O468" s="232">
        <v>15</v>
      </c>
      <c r="P468" s="234" t="e">
        <f>ROUND(Tableau14[[#This Row],[LEN]]*#REF!+#REF!,0)</f>
        <v>#REF!</v>
      </c>
    </row>
    <row r="469" spans="1:16" s="97" customFormat="1" x14ac:dyDescent="0.25">
      <c r="A469" s="29" t="s">
        <v>1315</v>
      </c>
      <c r="B469" s="30" t="s">
        <v>1304</v>
      </c>
      <c r="C469" s="31" t="s">
        <v>1324</v>
      </c>
      <c r="D469" s="71" t="s">
        <v>28</v>
      </c>
      <c r="E469" s="31" t="s">
        <v>675</v>
      </c>
      <c r="F469" s="31" t="s">
        <v>1177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ROUND(Tableau14[[#This Row],[LEN]]*7.27,0)</f>
        <v>218</v>
      </c>
      <c r="L469" s="111">
        <v>15</v>
      </c>
      <c r="M469" s="128" t="str">
        <f t="shared" si="4"/>
        <v>none</v>
      </c>
      <c r="N469" s="111">
        <f>LEN(Tableau14[[#This Row],[LABEL]])</f>
        <v>30</v>
      </c>
      <c r="O469" s="111">
        <v>15</v>
      </c>
      <c r="P469" s="111" t="e">
        <f>ROUND(Tableau14[[#This Row],[LEN]]*#REF!+#REF!,0)</f>
        <v>#REF!</v>
      </c>
    </row>
    <row r="470" spans="1:16" s="97" customFormat="1" x14ac:dyDescent="0.25">
      <c r="A470" s="29" t="s">
        <v>1316</v>
      </c>
      <c r="B470" s="30" t="s">
        <v>1304</v>
      </c>
      <c r="C470" s="31" t="s">
        <v>1013</v>
      </c>
      <c r="D470" s="71" t="s">
        <v>28</v>
      </c>
      <c r="E470" s="31" t="s">
        <v>675</v>
      </c>
      <c r="F470" s="31" t="s">
        <v>1177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ROUND(Tableau14[[#This Row],[LEN]]*7.27,0)</f>
        <v>284</v>
      </c>
      <c r="L470" s="111">
        <v>15</v>
      </c>
      <c r="M470" s="128" t="str">
        <f t="shared" si="4"/>
        <v>none</v>
      </c>
      <c r="N470" s="111">
        <f>LEN(Tableau14[[#This Row],[LABEL]])</f>
        <v>39</v>
      </c>
      <c r="O470" s="111">
        <v>15</v>
      </c>
      <c r="P470" s="111" t="e">
        <f>ROUND(Tableau14[[#This Row],[LEN]]*#REF!+#REF!,0)</f>
        <v>#REF!</v>
      </c>
    </row>
    <row r="471" spans="1:16" s="97" customFormat="1" x14ac:dyDescent="0.25">
      <c r="A471" s="29" t="s">
        <v>1317</v>
      </c>
      <c r="B471" s="30" t="s">
        <v>1304</v>
      </c>
      <c r="C471" s="31" t="s">
        <v>1014</v>
      </c>
      <c r="D471" s="71" t="s">
        <v>28</v>
      </c>
      <c r="E471" s="31" t="s">
        <v>675</v>
      </c>
      <c r="F471" s="31" t="s">
        <v>1177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ROUND(Tableau14[[#This Row],[LEN]]*7.27,0)</f>
        <v>327</v>
      </c>
      <c r="L471" s="111">
        <v>15</v>
      </c>
      <c r="M471" s="128" t="str">
        <f t="shared" si="4"/>
        <v>none</v>
      </c>
      <c r="N471" s="111">
        <f>LEN(Tableau14[[#This Row],[LABEL]])</f>
        <v>45</v>
      </c>
      <c r="O471" s="111">
        <v>15</v>
      </c>
      <c r="P471" s="111" t="e">
        <f>ROUND(Tableau14[[#This Row],[LEN]]*#REF!+#REF!,0)</f>
        <v>#REF!</v>
      </c>
    </row>
    <row r="472" spans="1:16" s="97" customFormat="1" x14ac:dyDescent="0.25">
      <c r="A472" s="29" t="s">
        <v>1318</v>
      </c>
      <c r="B472" s="30" t="s">
        <v>1304</v>
      </c>
      <c r="C472" s="31" t="s">
        <v>1325</v>
      </c>
      <c r="D472" s="71" t="s">
        <v>28</v>
      </c>
      <c r="E472" s="31" t="s">
        <v>675</v>
      </c>
      <c r="F472" s="31" t="s">
        <v>1177</v>
      </c>
      <c r="G472" s="71" t="s">
        <v>166</v>
      </c>
      <c r="H472" s="71" t="s">
        <v>654</v>
      </c>
      <c r="I472" s="31"/>
      <c r="J472" s="32" t="s">
        <v>708</v>
      </c>
      <c r="K472" s="111">
        <f>ROUND(Tableau14[[#This Row],[LEN]]*7.27,0)</f>
        <v>327</v>
      </c>
      <c r="L472" s="111">
        <v>15</v>
      </c>
      <c r="M472" s="128" t="str">
        <f t="shared" si="4"/>
        <v>none</v>
      </c>
      <c r="N472" s="111">
        <f>LEN(Tableau14[[#This Row],[LABEL]])</f>
        <v>45</v>
      </c>
      <c r="O472" s="111">
        <v>15</v>
      </c>
      <c r="P472" s="111" t="e">
        <f>ROUND(Tableau14[[#This Row],[LEN]]*#REF!+#REF!,0)</f>
        <v>#REF!</v>
      </c>
    </row>
    <row r="473" spans="1:16" s="97" customFormat="1" x14ac:dyDescent="0.25">
      <c r="A473" s="227" t="s">
        <v>1305</v>
      </c>
      <c r="B473" s="228" t="s">
        <v>261</v>
      </c>
      <c r="C473" s="229" t="s">
        <v>1311</v>
      </c>
      <c r="D473" s="70" t="s">
        <v>28</v>
      </c>
      <c r="E473" s="229" t="s">
        <v>675</v>
      </c>
      <c r="F473" s="215" t="s">
        <v>1177</v>
      </c>
      <c r="G473" s="70" t="s">
        <v>166</v>
      </c>
      <c r="H473" s="230" t="s">
        <v>655</v>
      </c>
      <c r="I473" s="229"/>
      <c r="J473" s="231" t="s">
        <v>708</v>
      </c>
      <c r="K473" s="232">
        <f>ROUND(Tableau14[[#This Row],[LEN]]*7.27,0)</f>
        <v>211</v>
      </c>
      <c r="L473" s="232">
        <v>15</v>
      </c>
      <c r="M473" s="233" t="str">
        <f t="shared" si="4"/>
        <v>none</v>
      </c>
      <c r="N473" s="232">
        <f>LEN(Tableau14[[#This Row],[LABEL]])</f>
        <v>29</v>
      </c>
      <c r="O473" s="232">
        <v>15</v>
      </c>
      <c r="P473" s="234" t="e">
        <f>ROUND(Tableau14[[#This Row],[LEN]]*#REF!+#REF!,0)</f>
        <v>#REF!</v>
      </c>
    </row>
    <row r="474" spans="1:16" s="97" customFormat="1" x14ac:dyDescent="0.25">
      <c r="A474" s="29" t="s">
        <v>1319</v>
      </c>
      <c r="B474" s="30" t="s">
        <v>1305</v>
      </c>
      <c r="C474" s="31" t="s">
        <v>1326</v>
      </c>
      <c r="D474" s="71" t="s">
        <v>28</v>
      </c>
      <c r="E474" s="31" t="s">
        <v>675</v>
      </c>
      <c r="F474" s="31" t="s">
        <v>1177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ROUND(Tableau14[[#This Row],[LEN]]*7.27,0)</f>
        <v>480</v>
      </c>
      <c r="L474" s="111">
        <v>15</v>
      </c>
      <c r="M474" s="128" t="str">
        <f t="shared" si="4"/>
        <v>none</v>
      </c>
      <c r="N474" s="111">
        <f>LEN(Tableau14[[#This Row],[LABEL]])</f>
        <v>66</v>
      </c>
      <c r="O474" s="111">
        <v>15</v>
      </c>
      <c r="P474" s="111" t="e">
        <f>ROUND(Tableau14[[#This Row],[LEN]]*#REF!+#REF!,0)</f>
        <v>#REF!</v>
      </c>
    </row>
    <row r="475" spans="1:16" s="97" customFormat="1" x14ac:dyDescent="0.25">
      <c r="A475" s="29" t="s">
        <v>1320</v>
      </c>
      <c r="B475" s="30" t="s">
        <v>1305</v>
      </c>
      <c r="C475" s="31" t="s">
        <v>1327</v>
      </c>
      <c r="D475" s="71" t="s">
        <v>1328</v>
      </c>
      <c r="E475" s="31" t="s">
        <v>675</v>
      </c>
      <c r="F475" s="31" t="s">
        <v>1177</v>
      </c>
      <c r="G475" s="71" t="s">
        <v>166</v>
      </c>
      <c r="H475" s="71" t="s">
        <v>654</v>
      </c>
      <c r="I475" s="31"/>
      <c r="J475" s="32" t="s">
        <v>708</v>
      </c>
      <c r="K475" s="111">
        <f>ROUND(Tableau14[[#This Row],[LEN]]*7.27,0)</f>
        <v>254</v>
      </c>
      <c r="L475" s="111">
        <v>15</v>
      </c>
      <c r="M475" s="128" t="str">
        <f t="shared" si="4"/>
        <v>none</v>
      </c>
      <c r="N475" s="111">
        <f>LEN(Tableau14[[#This Row],[LABEL]])</f>
        <v>35</v>
      </c>
      <c r="O475" s="111">
        <v>15</v>
      </c>
      <c r="P475" s="111" t="e">
        <f>ROUND(Tableau14[[#This Row],[LEN]]*#REF!+#REF!,0)</f>
        <v>#REF!</v>
      </c>
    </row>
    <row r="476" spans="1:16" s="97" customFormat="1" x14ac:dyDescent="0.25">
      <c r="A476" s="220" t="s">
        <v>1306</v>
      </c>
      <c r="B476" s="221" t="s">
        <v>261</v>
      </c>
      <c r="C476" s="222" t="s">
        <v>1405</v>
      </c>
      <c r="D476" s="70" t="s">
        <v>28</v>
      </c>
      <c r="E476" s="229" t="s">
        <v>675</v>
      </c>
      <c r="F476" s="215" t="s">
        <v>678</v>
      </c>
      <c r="G476" s="70" t="s">
        <v>166</v>
      </c>
      <c r="H476" s="223" t="s">
        <v>656</v>
      </c>
      <c r="I476" s="222"/>
      <c r="J476" s="224" t="s">
        <v>708</v>
      </c>
      <c r="K476" s="225">
        <f>ROUND(Tableau14[[#This Row],[LEN]]*7.27,0)</f>
        <v>443</v>
      </c>
      <c r="L476" s="225">
        <v>15</v>
      </c>
      <c r="M476" s="226" t="str">
        <f t="shared" si="4"/>
        <v>none</v>
      </c>
      <c r="N476" s="225">
        <f>LEN(Tableau14[[#This Row],[LABEL]])</f>
        <v>61</v>
      </c>
      <c r="O476" s="225">
        <v>15</v>
      </c>
      <c r="P476" s="225" t="e">
        <f>ROUND(Tableau14[[#This Row],[LEN]]*#REF!+#REF!,0)</f>
        <v>#REF!</v>
      </c>
    </row>
    <row r="477" spans="1:16" s="97" customFormat="1" x14ac:dyDescent="0.25">
      <c r="A477" s="25" t="s">
        <v>1307</v>
      </c>
      <c r="B477" s="26" t="s">
        <v>261</v>
      </c>
      <c r="C477" s="27" t="s">
        <v>1167</v>
      </c>
      <c r="D477" s="70" t="s">
        <v>486</v>
      </c>
      <c r="E477" s="27" t="s">
        <v>1085</v>
      </c>
      <c r="F477" s="27" t="s">
        <v>1084</v>
      </c>
      <c r="G477" s="70" t="s">
        <v>1977</v>
      </c>
      <c r="H477" s="70" t="s">
        <v>1131</v>
      </c>
      <c r="I477" s="27"/>
      <c r="J477" s="28" t="s">
        <v>708</v>
      </c>
      <c r="K477" s="109">
        <f>ROUND(Tableau14[[#This Row],[LEN]]*7.27,0)</f>
        <v>196</v>
      </c>
      <c r="L477" s="109">
        <v>15</v>
      </c>
      <c r="M477" s="127" t="str">
        <f t="shared" si="4"/>
        <v>none</v>
      </c>
      <c r="N477" s="109">
        <f>LEN(Tableau14[[#This Row],[LABEL]])</f>
        <v>27</v>
      </c>
      <c r="O477" s="109">
        <v>15</v>
      </c>
      <c r="P477" s="109" t="e">
        <f>ROUND(Tableau14[[#This Row],[LEN]]*#REF!+#REF!,0)</f>
        <v>#REF!</v>
      </c>
    </row>
    <row r="478" spans="1:16" s="97" customFormat="1" x14ac:dyDescent="0.25">
      <c r="A478" s="29" t="s">
        <v>1308</v>
      </c>
      <c r="B478" s="30" t="s">
        <v>1307</v>
      </c>
      <c r="C478" s="31" t="s">
        <v>93</v>
      </c>
      <c r="D478" s="71" t="s">
        <v>28</v>
      </c>
      <c r="E478" s="31" t="s">
        <v>1085</v>
      </c>
      <c r="F478" s="31" t="s">
        <v>1084</v>
      </c>
      <c r="G478" s="71" t="s">
        <v>166</v>
      </c>
      <c r="H478" s="71" t="s">
        <v>18</v>
      </c>
      <c r="I478" s="31"/>
      <c r="J478" s="32" t="s">
        <v>101</v>
      </c>
      <c r="K478" s="111">
        <f>ROUND(Tableau14[[#This Row],[LEN]]*7.27,0)</f>
        <v>109</v>
      </c>
      <c r="L478" s="111">
        <v>15</v>
      </c>
      <c r="M478" s="128" t="str">
        <f t="shared" si="4"/>
        <v>new</v>
      </c>
      <c r="N478" s="111">
        <f>LEN(Tableau14[[#This Row],[LABEL]])</f>
        <v>15</v>
      </c>
      <c r="O478" s="111">
        <v>15</v>
      </c>
      <c r="P478" s="111" t="e">
        <f>ROUND(Tableau14[[#This Row],[LEN]]*#REF!+#REF!,0)</f>
        <v>#REF!</v>
      </c>
    </row>
    <row r="479" spans="1:16" s="97" customFormat="1" x14ac:dyDescent="0.25">
      <c r="A479" s="29" t="s">
        <v>1309</v>
      </c>
      <c r="B479" s="30" t="s">
        <v>1307</v>
      </c>
      <c r="C479" s="31" t="s">
        <v>94</v>
      </c>
      <c r="D479" s="71" t="s">
        <v>28</v>
      </c>
      <c r="E479" s="31" t="s">
        <v>1085</v>
      </c>
      <c r="F479" s="31" t="s">
        <v>1084</v>
      </c>
      <c r="G479" s="71" t="s">
        <v>166</v>
      </c>
      <c r="H479" s="71" t="s">
        <v>18</v>
      </c>
      <c r="I479" s="31"/>
      <c r="J479" s="32" t="s">
        <v>102</v>
      </c>
      <c r="K479" s="111">
        <f>ROUND(Tableau14[[#This Row],[LEN]]*7.27,0)</f>
        <v>58</v>
      </c>
      <c r="L479" s="111">
        <v>15</v>
      </c>
      <c r="M479" s="128" t="str">
        <f t="shared" si="4"/>
        <v>new</v>
      </c>
      <c r="N479" s="111">
        <f>LEN(Tableau14[[#This Row],[LABEL]])</f>
        <v>8</v>
      </c>
      <c r="O479" s="111">
        <v>15</v>
      </c>
      <c r="P479" s="111" t="e">
        <f>ROUND(Tableau14[[#This Row],[LEN]]*#REF!+#REF!,0)</f>
        <v>#REF!</v>
      </c>
    </row>
    <row r="480" spans="1:16" s="273" customFormat="1" x14ac:dyDescent="0.25">
      <c r="A480" s="288" t="s">
        <v>262</v>
      </c>
      <c r="B480" s="289" t="s">
        <v>206</v>
      </c>
      <c r="C480" s="290" t="s">
        <v>71</v>
      </c>
      <c r="D480" s="291" t="s">
        <v>28</v>
      </c>
      <c r="E480" s="290" t="s">
        <v>676</v>
      </c>
      <c r="F480" s="290" t="s">
        <v>676</v>
      </c>
      <c r="G480" s="291" t="s">
        <v>166</v>
      </c>
      <c r="H480" s="291" t="str">
        <f>IFERROR(IF(SEARCH(".00.00.00.00.00",Tableau14[[#This Row],[name]],1)=7,"Division",""),"")</f>
        <v>Division</v>
      </c>
      <c r="I480" s="290"/>
      <c r="J480" s="292" t="s">
        <v>722</v>
      </c>
      <c r="K480" s="293">
        <f>ROUND(Tableau14[[#This Row],[LEN]]*7.27,0)</f>
        <v>29</v>
      </c>
      <c r="L480" s="293">
        <v>15</v>
      </c>
      <c r="M480" s="294" t="str">
        <f t="shared" si="4"/>
        <v>new</v>
      </c>
      <c r="N480" s="293">
        <f>LEN(Tableau14[[#This Row],[LABEL]])</f>
        <v>4</v>
      </c>
      <c r="O480" s="293">
        <v>15</v>
      </c>
      <c r="P480" s="293" t="e">
        <f>ROUND(Tableau14[[#This Row],[LEN]]*#REF!+#REF!,0)</f>
        <v>#REF!</v>
      </c>
    </row>
    <row r="481" spans="1:16" s="97" customFormat="1" x14ac:dyDescent="0.25">
      <c r="A481" s="220" t="s">
        <v>1329</v>
      </c>
      <c r="B481" s="221" t="s">
        <v>262</v>
      </c>
      <c r="C481" s="222" t="s">
        <v>1337</v>
      </c>
      <c r="D481" s="70" t="s">
        <v>1338</v>
      </c>
      <c r="E481" s="229" t="s">
        <v>676</v>
      </c>
      <c r="F481" s="215" t="s">
        <v>1339</v>
      </c>
      <c r="G481" s="70" t="s">
        <v>166</v>
      </c>
      <c r="H481" s="223" t="s">
        <v>656</v>
      </c>
      <c r="I481" s="222"/>
      <c r="J481" s="224" t="s">
        <v>708</v>
      </c>
      <c r="K481" s="225">
        <f>ROUND(Tableau14[[#This Row],[LEN]]*7.27,0)</f>
        <v>378</v>
      </c>
      <c r="L481" s="225">
        <v>15</v>
      </c>
      <c r="M481" s="226" t="str">
        <f t="shared" si="4"/>
        <v>none</v>
      </c>
      <c r="N481" s="225">
        <f>LEN(Tableau14[[#This Row],[LABEL]])</f>
        <v>52</v>
      </c>
      <c r="O481" s="225">
        <v>15</v>
      </c>
      <c r="P481" s="225" t="e">
        <f>ROUND(Tableau14[[#This Row],[LEN]]*#REF!+#REF!,0)</f>
        <v>#REF!</v>
      </c>
    </row>
    <row r="482" spans="1:16" s="97" customFormat="1" x14ac:dyDescent="0.25">
      <c r="A482" s="220" t="s">
        <v>1330</v>
      </c>
      <c r="B482" s="221" t="s">
        <v>262</v>
      </c>
      <c r="C482" s="222" t="s">
        <v>88</v>
      </c>
      <c r="D482" s="70" t="s">
        <v>28</v>
      </c>
      <c r="E482" s="229" t="s">
        <v>667</v>
      </c>
      <c r="F482" s="215" t="s">
        <v>1218</v>
      </c>
      <c r="G482" s="70" t="s">
        <v>166</v>
      </c>
      <c r="H482" s="223" t="s">
        <v>570</v>
      </c>
      <c r="I482" s="222"/>
      <c r="J482" s="224" t="s">
        <v>708</v>
      </c>
      <c r="K482" s="225">
        <f>ROUND(Tableau14[[#This Row],[LEN]]*7.27,0)</f>
        <v>342</v>
      </c>
      <c r="L482" s="225">
        <v>15</v>
      </c>
      <c r="M482" s="226" t="str">
        <f t="shared" si="4"/>
        <v>none</v>
      </c>
      <c r="N482" s="225">
        <f>LEN(Tableau14[[#This Row],[LABEL]])</f>
        <v>47</v>
      </c>
      <c r="O482" s="225">
        <v>15</v>
      </c>
      <c r="P482" s="225" t="e">
        <f>ROUND(Tableau14[[#This Row],[LEN]]*#REF!+#REF!,0)</f>
        <v>#REF!</v>
      </c>
    </row>
    <row r="483" spans="1:16" s="97" customFormat="1" x14ac:dyDescent="0.25">
      <c r="A483" s="220" t="s">
        <v>1331</v>
      </c>
      <c r="B483" s="221" t="s">
        <v>262</v>
      </c>
      <c r="C483" s="222" t="s">
        <v>484</v>
      </c>
      <c r="D483" s="70" t="s">
        <v>28</v>
      </c>
      <c r="E483" s="229" t="s">
        <v>672</v>
      </c>
      <c r="F483" s="215" t="s">
        <v>1285</v>
      </c>
      <c r="G483" s="70" t="s">
        <v>166</v>
      </c>
      <c r="H483" s="223" t="s">
        <v>655</v>
      </c>
      <c r="I483" s="222"/>
      <c r="J483" s="224" t="s">
        <v>727</v>
      </c>
      <c r="K483" s="225">
        <f>ROUND(Tableau14[[#This Row],[LEN]]*7.27,0)</f>
        <v>80</v>
      </c>
      <c r="L483" s="225">
        <v>15</v>
      </c>
      <c r="M483" s="226" t="str">
        <f t="shared" si="4"/>
        <v>new</v>
      </c>
      <c r="N483" s="225">
        <f>LEN(Tableau14[[#This Row],[LABEL]])</f>
        <v>11</v>
      </c>
      <c r="O483" s="225">
        <v>15</v>
      </c>
      <c r="P483" s="225" t="e">
        <f>ROUND(Tableau14[[#This Row],[LEN]]*#REF!+#REF!,0)</f>
        <v>#REF!</v>
      </c>
    </row>
    <row r="484" spans="1:16" s="97" customFormat="1" x14ac:dyDescent="0.25">
      <c r="A484" s="29" t="s">
        <v>1340</v>
      </c>
      <c r="B484" s="30" t="s">
        <v>1331</v>
      </c>
      <c r="C484" s="31" t="s">
        <v>505</v>
      </c>
      <c r="D484" s="71" t="s">
        <v>28</v>
      </c>
      <c r="E484" s="31" t="s">
        <v>672</v>
      </c>
      <c r="F484" s="31" t="s">
        <v>1285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ROUND(Tableau14[[#This Row],[LEN]]*7.27,0)</f>
        <v>73</v>
      </c>
      <c r="L484" s="111">
        <v>15</v>
      </c>
      <c r="M484" s="128" t="str">
        <f t="shared" si="4"/>
        <v>new</v>
      </c>
      <c r="N484" s="111">
        <f>LEN(Tableau14[[#This Row],[LABEL]])</f>
        <v>10</v>
      </c>
      <c r="O484" s="111">
        <v>15</v>
      </c>
      <c r="P484" s="111" t="e">
        <f>ROUND(Tableau14[[#This Row],[LEN]]*#REF!+#REF!,0)</f>
        <v>#REF!</v>
      </c>
    </row>
    <row r="485" spans="1:16" s="97" customFormat="1" x14ac:dyDescent="0.25">
      <c r="A485" s="29" t="s">
        <v>1341</v>
      </c>
      <c r="B485" s="30" t="s">
        <v>1331</v>
      </c>
      <c r="C485" s="31" t="s">
        <v>1284</v>
      </c>
      <c r="D485" s="71" t="s">
        <v>28</v>
      </c>
      <c r="E485" s="31" t="s">
        <v>672</v>
      </c>
      <c r="F485" s="31" t="s">
        <v>1285</v>
      </c>
      <c r="G485" s="71" t="s">
        <v>166</v>
      </c>
      <c r="H485" s="71" t="s">
        <v>18</v>
      </c>
      <c r="I485" s="31"/>
      <c r="J485" s="32" t="s">
        <v>705</v>
      </c>
      <c r="K485" s="111">
        <f>ROUND(Tableau14[[#This Row],[LEN]]*7.27,0)</f>
        <v>153</v>
      </c>
      <c r="L485" s="111">
        <v>15</v>
      </c>
      <c r="M485" s="128" t="str">
        <f t="shared" si="4"/>
        <v>new</v>
      </c>
      <c r="N485" s="111">
        <f>LEN(Tableau14[[#This Row],[LABEL]])</f>
        <v>21</v>
      </c>
      <c r="O485" s="111">
        <v>15</v>
      </c>
      <c r="P485" s="111" t="e">
        <f>ROUND(Tableau14[[#This Row],[LEN]]*#REF!+#REF!,0)</f>
        <v>#REF!</v>
      </c>
    </row>
    <row r="486" spans="1:16" s="97" customFormat="1" x14ac:dyDescent="0.25">
      <c r="A486" s="220" t="s">
        <v>1332</v>
      </c>
      <c r="B486" s="221" t="s">
        <v>262</v>
      </c>
      <c r="C486" s="222" t="s">
        <v>1342</v>
      </c>
      <c r="D486" s="70" t="s">
        <v>28</v>
      </c>
      <c r="E486" s="229" t="s">
        <v>676</v>
      </c>
      <c r="F486" s="215" t="s">
        <v>1177</v>
      </c>
      <c r="G486" s="70" t="s">
        <v>166</v>
      </c>
      <c r="H486" s="223" t="s">
        <v>656</v>
      </c>
      <c r="I486" s="222"/>
      <c r="J486" s="224" t="s">
        <v>708</v>
      </c>
      <c r="K486" s="225">
        <f>ROUND(Tableau14[[#This Row],[LEN]]*7.27,0)</f>
        <v>473</v>
      </c>
      <c r="L486" s="225">
        <v>15</v>
      </c>
      <c r="M486" s="226" t="str">
        <f t="shared" si="4"/>
        <v>none</v>
      </c>
      <c r="N486" s="225">
        <f>LEN(Tableau14[[#This Row],[LABEL]])</f>
        <v>65</v>
      </c>
      <c r="O486" s="225">
        <v>15</v>
      </c>
      <c r="P486" s="225" t="e">
        <f>ROUND(Tableau14[[#This Row],[LEN]]*#REF!+#REF!,0)</f>
        <v>#REF!</v>
      </c>
    </row>
    <row r="487" spans="1:16" s="97" customFormat="1" x14ac:dyDescent="0.25">
      <c r="A487" s="220" t="s">
        <v>1333</v>
      </c>
      <c r="B487" s="221" t="s">
        <v>262</v>
      </c>
      <c r="C487" s="222" t="s">
        <v>1343</v>
      </c>
      <c r="D487" s="70" t="s">
        <v>28</v>
      </c>
      <c r="E487" s="229" t="s">
        <v>676</v>
      </c>
      <c r="F487" s="215" t="s">
        <v>1339</v>
      </c>
      <c r="G487" s="70" t="s">
        <v>166</v>
      </c>
      <c r="H487" s="223" t="s">
        <v>654</v>
      </c>
      <c r="I487" s="222"/>
      <c r="J487" s="224" t="s">
        <v>708</v>
      </c>
      <c r="K487" s="225">
        <f>ROUND(Tableau14[[#This Row],[LEN]]*7.27,0)</f>
        <v>269</v>
      </c>
      <c r="L487" s="225">
        <v>15</v>
      </c>
      <c r="M487" s="226" t="str">
        <f t="shared" si="4"/>
        <v>none</v>
      </c>
      <c r="N487" s="225">
        <f>LEN(Tableau14[[#This Row],[LABEL]])</f>
        <v>37</v>
      </c>
      <c r="O487" s="225">
        <v>15</v>
      </c>
      <c r="P487" s="225" t="e">
        <f>ROUND(Tableau14[[#This Row],[LEN]]*#REF!+#REF!,0)</f>
        <v>#REF!</v>
      </c>
    </row>
    <row r="488" spans="1:16" s="97" customFormat="1" x14ac:dyDescent="0.25">
      <c r="A488" s="220" t="s">
        <v>1334</v>
      </c>
      <c r="B488" s="221" t="s">
        <v>262</v>
      </c>
      <c r="C488" s="222" t="s">
        <v>1154</v>
      </c>
      <c r="D488" s="70" t="s">
        <v>28</v>
      </c>
      <c r="E488" s="229" t="s">
        <v>667</v>
      </c>
      <c r="F488" s="215" t="s">
        <v>1133</v>
      </c>
      <c r="G488" s="70" t="s">
        <v>166</v>
      </c>
      <c r="H488" s="223" t="s">
        <v>18</v>
      </c>
      <c r="I488" s="222"/>
      <c r="J488" s="224" t="s">
        <v>102</v>
      </c>
      <c r="K488" s="225">
        <f>ROUND(Tableau14[[#This Row],[LEN]]*7.27,0)</f>
        <v>443</v>
      </c>
      <c r="L488" s="225">
        <v>15</v>
      </c>
      <c r="M488" s="226" t="str">
        <f t="shared" si="4"/>
        <v>new</v>
      </c>
      <c r="N488" s="225">
        <f>LEN(Tableau14[[#This Row],[LABEL]])</f>
        <v>61</v>
      </c>
      <c r="O488" s="225">
        <v>15</v>
      </c>
      <c r="P488" s="225" t="e">
        <f>ROUND(Tableau14[[#This Row],[LEN]]*#REF!+#REF!,0)</f>
        <v>#REF!</v>
      </c>
    </row>
    <row r="489" spans="1:16" s="97" customFormat="1" x14ac:dyDescent="0.25">
      <c r="A489" s="220" t="s">
        <v>1335</v>
      </c>
      <c r="B489" s="221" t="s">
        <v>262</v>
      </c>
      <c r="C489" s="222" t="s">
        <v>778</v>
      </c>
      <c r="D489" s="70" t="s">
        <v>28</v>
      </c>
      <c r="E489" s="229" t="s">
        <v>673</v>
      </c>
      <c r="F489" s="27" t="s">
        <v>2000</v>
      </c>
      <c r="G489" s="70" t="s">
        <v>166</v>
      </c>
      <c r="H489" s="223" t="s">
        <v>17</v>
      </c>
      <c r="I489" s="222"/>
      <c r="J489" s="224" t="s">
        <v>708</v>
      </c>
      <c r="K489" s="225">
        <f>ROUND(Tableau14[[#This Row],[LEN]]*7.27,0)</f>
        <v>211</v>
      </c>
      <c r="L489" s="225">
        <v>15</v>
      </c>
      <c r="M489" s="226" t="str">
        <f t="shared" si="4"/>
        <v>none</v>
      </c>
      <c r="N489" s="225">
        <f>LEN(Tableau14[[#This Row],[LABEL]])</f>
        <v>29</v>
      </c>
      <c r="O489" s="225">
        <v>15</v>
      </c>
      <c r="P489" s="225" t="e">
        <f>ROUND(Tableau14[[#This Row],[LEN]]*#REF!+#REF!,0)</f>
        <v>#REF!</v>
      </c>
    </row>
    <row r="490" spans="1:16" s="97" customFormat="1" x14ac:dyDescent="0.25">
      <c r="A490" s="220" t="s">
        <v>1336</v>
      </c>
      <c r="B490" s="221" t="s">
        <v>262</v>
      </c>
      <c r="C490" s="222" t="s">
        <v>1167</v>
      </c>
      <c r="D490" s="70" t="s">
        <v>486</v>
      </c>
      <c r="E490" s="229" t="s">
        <v>1085</v>
      </c>
      <c r="F490" s="215" t="s">
        <v>1084</v>
      </c>
      <c r="G490" s="70" t="s">
        <v>1977</v>
      </c>
      <c r="H490" s="223" t="s">
        <v>1131</v>
      </c>
      <c r="I490" s="222"/>
      <c r="J490" s="224" t="s">
        <v>708</v>
      </c>
      <c r="K490" s="225">
        <f>ROUND(Tableau14[[#This Row],[LEN]]*7.27,0)</f>
        <v>196</v>
      </c>
      <c r="L490" s="225">
        <v>15</v>
      </c>
      <c r="M490" s="226" t="str">
        <f t="shared" si="4"/>
        <v>none</v>
      </c>
      <c r="N490" s="225">
        <f>LEN(Tableau14[[#This Row],[LABEL]])</f>
        <v>27</v>
      </c>
      <c r="O490" s="225">
        <v>15</v>
      </c>
      <c r="P490" s="225" t="e">
        <f>ROUND(Tableau14[[#This Row],[LEN]]*#REF!+#REF!,0)</f>
        <v>#REF!</v>
      </c>
    </row>
    <row r="491" spans="1:16" s="97" customFormat="1" x14ac:dyDescent="0.25">
      <c r="A491" s="29" t="s">
        <v>1344</v>
      </c>
      <c r="B491" s="30" t="s">
        <v>1336</v>
      </c>
      <c r="C491" s="31" t="s">
        <v>93</v>
      </c>
      <c r="D491" s="71" t="s">
        <v>28</v>
      </c>
      <c r="E491" s="31" t="s">
        <v>1085</v>
      </c>
      <c r="F491" s="31" t="s">
        <v>1084</v>
      </c>
      <c r="G491" s="71" t="s">
        <v>166</v>
      </c>
      <c r="H491" s="71" t="s">
        <v>18</v>
      </c>
      <c r="I491" s="31"/>
      <c r="J491" s="32" t="s">
        <v>101</v>
      </c>
      <c r="K491" s="111">
        <f>ROUND(Tableau14[[#This Row],[LEN]]*7.27,0)</f>
        <v>109</v>
      </c>
      <c r="L491" s="111">
        <v>15</v>
      </c>
      <c r="M491" s="128" t="str">
        <f t="shared" si="4"/>
        <v>new</v>
      </c>
      <c r="N491" s="111">
        <f>LEN(Tableau14[[#This Row],[LABEL]])</f>
        <v>15</v>
      </c>
      <c r="O491" s="111">
        <v>15</v>
      </c>
      <c r="P491" s="111" t="e">
        <f>ROUND(Tableau14[[#This Row],[LEN]]*#REF!+#REF!,0)</f>
        <v>#REF!</v>
      </c>
    </row>
    <row r="492" spans="1:16" s="97" customFormat="1" x14ac:dyDescent="0.25">
      <c r="A492" s="29" t="s">
        <v>1345</v>
      </c>
      <c r="B492" s="30" t="s">
        <v>1336</v>
      </c>
      <c r="C492" s="31" t="s">
        <v>94</v>
      </c>
      <c r="D492" s="71" t="s">
        <v>28</v>
      </c>
      <c r="E492" s="31" t="s">
        <v>1085</v>
      </c>
      <c r="F492" s="31" t="s">
        <v>1084</v>
      </c>
      <c r="G492" s="71" t="s">
        <v>166</v>
      </c>
      <c r="H492" s="71" t="s">
        <v>18</v>
      </c>
      <c r="I492" s="31"/>
      <c r="J492" s="32" t="s">
        <v>102</v>
      </c>
      <c r="K492" s="111">
        <f>ROUND(Tableau14[[#This Row],[LEN]]*7.27,0)</f>
        <v>58</v>
      </c>
      <c r="L492" s="111">
        <v>15</v>
      </c>
      <c r="M492" s="128" t="str">
        <f t="shared" si="4"/>
        <v>new</v>
      </c>
      <c r="N492" s="111">
        <f>LEN(Tableau14[[#This Row],[LABEL]])</f>
        <v>8</v>
      </c>
      <c r="O492" s="111">
        <v>15</v>
      </c>
      <c r="P492" s="111" t="e">
        <f>ROUND(Tableau14[[#This Row],[LEN]]*#REF!+#REF!,0)</f>
        <v>#REF!</v>
      </c>
    </row>
    <row r="493" spans="1:16" s="273" customFormat="1" x14ac:dyDescent="0.25">
      <c r="A493" s="288" t="s">
        <v>263</v>
      </c>
      <c r="B493" s="289" t="s">
        <v>206</v>
      </c>
      <c r="C493" s="290" t="s">
        <v>13</v>
      </c>
      <c r="D493" s="291" t="s">
        <v>28</v>
      </c>
      <c r="E493" s="290" t="s">
        <v>677</v>
      </c>
      <c r="F493" s="290" t="s">
        <v>677</v>
      </c>
      <c r="G493" s="291" t="s">
        <v>166</v>
      </c>
      <c r="H493" s="291" t="str">
        <f>IFERROR(IF(SEARCH(".00.00.00.00.00",Tableau14[[#This Row],[name]],1)=7,"Division",""),"")</f>
        <v>Division</v>
      </c>
      <c r="I493" s="290"/>
      <c r="J493" s="292" t="s">
        <v>723</v>
      </c>
      <c r="K493" s="293">
        <f>ROUND(Tableau14[[#This Row],[LEN]]*7.27,0)</f>
        <v>80</v>
      </c>
      <c r="L493" s="293">
        <v>15</v>
      </c>
      <c r="M493" s="294" t="str">
        <f t="shared" si="4"/>
        <v>new</v>
      </c>
      <c r="N493" s="293">
        <f>LEN(Tableau14[[#This Row],[LABEL]])</f>
        <v>11</v>
      </c>
      <c r="O493" s="293">
        <v>15</v>
      </c>
      <c r="P493" s="293" t="e">
        <f>ROUND(Tableau14[[#This Row],[LEN]]*#REF!+#REF!,0)</f>
        <v>#REF!</v>
      </c>
    </row>
    <row r="494" spans="1:16" s="97" customFormat="1" x14ac:dyDescent="0.25">
      <c r="A494" s="220" t="s">
        <v>1346</v>
      </c>
      <c r="B494" s="221" t="s">
        <v>263</v>
      </c>
      <c r="C494" s="222" t="s">
        <v>1355</v>
      </c>
      <c r="D494" s="70" t="s">
        <v>28</v>
      </c>
      <c r="E494" s="229" t="s">
        <v>677</v>
      </c>
      <c r="F494" s="215" t="s">
        <v>1177</v>
      </c>
      <c r="G494" s="70" t="s">
        <v>166</v>
      </c>
      <c r="H494" s="223" t="s">
        <v>655</v>
      </c>
      <c r="I494" s="222"/>
      <c r="J494" s="224" t="s">
        <v>708</v>
      </c>
      <c r="K494" s="225">
        <f>ROUND(Tableau14[[#This Row],[LEN]]*7.27,0)</f>
        <v>233</v>
      </c>
      <c r="L494" s="225">
        <v>15</v>
      </c>
      <c r="M494" s="226" t="str">
        <f t="shared" si="4"/>
        <v>none</v>
      </c>
      <c r="N494" s="225">
        <f>LEN(Tableau14[[#This Row],[LABEL]])</f>
        <v>32</v>
      </c>
      <c r="O494" s="225">
        <v>15</v>
      </c>
      <c r="P494" s="225" t="e">
        <f>ROUND(Tableau14[[#This Row],[LEN]]*#REF!+#REF!,0)</f>
        <v>#REF!</v>
      </c>
    </row>
    <row r="495" spans="1:16" s="97" customFormat="1" x14ac:dyDescent="0.25">
      <c r="A495" s="29" t="s">
        <v>1363</v>
      </c>
      <c r="B495" s="30" t="s">
        <v>1346</v>
      </c>
      <c r="C495" s="31" t="s">
        <v>1368</v>
      </c>
      <c r="D495" s="71" t="s">
        <v>28</v>
      </c>
      <c r="E495" s="31" t="s">
        <v>677</v>
      </c>
      <c r="F495" s="31" t="s">
        <v>1177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ROUND(Tableau14[[#This Row],[LEN]]*7.27,0)</f>
        <v>109</v>
      </c>
      <c r="L495" s="111">
        <v>15</v>
      </c>
      <c r="M495" s="128" t="str">
        <f t="shared" si="4"/>
        <v>none</v>
      </c>
      <c r="N495" s="111">
        <f>LEN(Tableau14[[#This Row],[LABEL]])</f>
        <v>15</v>
      </c>
      <c r="O495" s="111">
        <v>15</v>
      </c>
      <c r="P495" s="111" t="e">
        <f>ROUND(Tableau14[[#This Row],[LEN]]*#REF!+#REF!,0)</f>
        <v>#REF!</v>
      </c>
    </row>
    <row r="496" spans="1:16" s="97" customFormat="1" x14ac:dyDescent="0.25">
      <c r="A496" s="29" t="s">
        <v>1364</v>
      </c>
      <c r="B496" s="30" t="s">
        <v>1346</v>
      </c>
      <c r="C496" s="31" t="s">
        <v>1369</v>
      </c>
      <c r="D496" s="71" t="s">
        <v>28</v>
      </c>
      <c r="E496" s="31" t="s">
        <v>677</v>
      </c>
      <c r="F496" s="31" t="s">
        <v>1177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ROUND(Tableau14[[#This Row],[LEN]]*7.27,0)</f>
        <v>153</v>
      </c>
      <c r="L496" s="111">
        <v>15</v>
      </c>
      <c r="M496" s="128" t="str">
        <f t="shared" si="4"/>
        <v>none</v>
      </c>
      <c r="N496" s="111">
        <f>LEN(Tableau14[[#This Row],[LABEL]])</f>
        <v>21</v>
      </c>
      <c r="O496" s="111">
        <v>15</v>
      </c>
      <c r="P496" s="111" t="e">
        <f>ROUND(Tableau14[[#This Row],[LEN]]*#REF!+#REF!,0)</f>
        <v>#REF!</v>
      </c>
    </row>
    <row r="497" spans="1:16" s="97" customFormat="1" x14ac:dyDescent="0.25">
      <c r="A497" s="29" t="s">
        <v>1365</v>
      </c>
      <c r="B497" s="30" t="s">
        <v>1346</v>
      </c>
      <c r="C497" s="31" t="s">
        <v>1370</v>
      </c>
      <c r="D497" s="71" t="s">
        <v>28</v>
      </c>
      <c r="E497" s="31" t="s">
        <v>677</v>
      </c>
      <c r="F497" s="31" t="s">
        <v>1177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ROUND(Tableau14[[#This Row],[LEN]]*7.27,0)</f>
        <v>51</v>
      </c>
      <c r="L497" s="111">
        <v>15</v>
      </c>
      <c r="M497" s="128" t="str">
        <f t="shared" si="4"/>
        <v>none</v>
      </c>
      <c r="N497" s="111">
        <f>LEN(Tableau14[[#This Row],[LABEL]])</f>
        <v>7</v>
      </c>
      <c r="O497" s="111">
        <v>15</v>
      </c>
      <c r="P497" s="111" t="e">
        <f>ROUND(Tableau14[[#This Row],[LEN]]*#REF!+#REF!,0)</f>
        <v>#REF!</v>
      </c>
    </row>
    <row r="498" spans="1:16" s="97" customFormat="1" x14ac:dyDescent="0.25">
      <c r="A498" s="29" t="s">
        <v>1366</v>
      </c>
      <c r="B498" s="30" t="s">
        <v>1346</v>
      </c>
      <c r="C498" s="31" t="s">
        <v>1371</v>
      </c>
      <c r="D498" s="71" t="s">
        <v>28</v>
      </c>
      <c r="E498" s="31" t="s">
        <v>677</v>
      </c>
      <c r="F498" s="31" t="s">
        <v>1177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ROUND(Tableau14[[#This Row],[LEN]]*7.27,0)</f>
        <v>131</v>
      </c>
      <c r="L498" s="111">
        <v>15</v>
      </c>
      <c r="M498" s="128" t="str">
        <f t="shared" si="4"/>
        <v>none</v>
      </c>
      <c r="N498" s="111">
        <f>LEN(Tableau14[[#This Row],[LABEL]])</f>
        <v>18</v>
      </c>
      <c r="O498" s="111">
        <v>15</v>
      </c>
      <c r="P498" s="111" t="e">
        <f>ROUND(Tableau14[[#This Row],[LEN]]*#REF!+#REF!,0)</f>
        <v>#REF!</v>
      </c>
    </row>
    <row r="499" spans="1:16" s="97" customFormat="1" x14ac:dyDescent="0.25">
      <c r="A499" s="29" t="s">
        <v>1367</v>
      </c>
      <c r="B499" s="30" t="s">
        <v>1346</v>
      </c>
      <c r="C499" s="31" t="s">
        <v>1372</v>
      </c>
      <c r="D499" s="71" t="s">
        <v>28</v>
      </c>
      <c r="E499" s="31" t="s">
        <v>677</v>
      </c>
      <c r="F499" s="31" t="s">
        <v>1177</v>
      </c>
      <c r="G499" s="71" t="s">
        <v>166</v>
      </c>
      <c r="H499" s="71" t="s">
        <v>654</v>
      </c>
      <c r="I499" s="31"/>
      <c r="J499" s="32" t="s">
        <v>708</v>
      </c>
      <c r="K499" s="111">
        <f>ROUND(Tableau14[[#This Row],[LEN]]*7.27,0)</f>
        <v>80</v>
      </c>
      <c r="L499" s="111">
        <v>15</v>
      </c>
      <c r="M499" s="128" t="str">
        <f t="shared" si="4"/>
        <v>none</v>
      </c>
      <c r="N499" s="111">
        <f>LEN(Tableau14[[#This Row],[LABEL]])</f>
        <v>11</v>
      </c>
      <c r="O499" s="111">
        <v>15</v>
      </c>
      <c r="P499" s="111" t="e">
        <f>ROUND(Tableau14[[#This Row],[LEN]]*#REF!+#REF!,0)</f>
        <v>#REF!</v>
      </c>
    </row>
    <row r="500" spans="1:16" s="97" customFormat="1" x14ac:dyDescent="0.25">
      <c r="A500" s="220" t="s">
        <v>1347</v>
      </c>
      <c r="B500" s="221" t="s">
        <v>263</v>
      </c>
      <c r="C500" s="222" t="s">
        <v>1337</v>
      </c>
      <c r="D500" s="70" t="s">
        <v>1338</v>
      </c>
      <c r="E500" s="229" t="s">
        <v>676</v>
      </c>
      <c r="F500" s="215" t="s">
        <v>1339</v>
      </c>
      <c r="G500" s="70" t="s">
        <v>166</v>
      </c>
      <c r="H500" s="223" t="s">
        <v>656</v>
      </c>
      <c r="I500" s="222"/>
      <c r="J500" s="224" t="s">
        <v>708</v>
      </c>
      <c r="K500" s="225">
        <f>ROUND(Tableau14[[#This Row],[LEN]]*7.27,0)</f>
        <v>378</v>
      </c>
      <c r="L500" s="225">
        <v>15</v>
      </c>
      <c r="M500" s="226" t="str">
        <f t="shared" si="4"/>
        <v>none</v>
      </c>
      <c r="N500" s="225">
        <f>LEN(Tableau14[[#This Row],[LABEL]])</f>
        <v>52</v>
      </c>
      <c r="O500" s="225">
        <v>15</v>
      </c>
      <c r="P500" s="225" t="e">
        <f>ROUND(Tableau14[[#This Row],[LEN]]*#REF!+#REF!,0)</f>
        <v>#REF!</v>
      </c>
    </row>
    <row r="501" spans="1:16" s="97" customFormat="1" x14ac:dyDescent="0.25">
      <c r="A501" s="220" t="s">
        <v>1348</v>
      </c>
      <c r="B501" s="221" t="s">
        <v>263</v>
      </c>
      <c r="C501" s="222" t="s">
        <v>88</v>
      </c>
      <c r="D501" s="70" t="s">
        <v>28</v>
      </c>
      <c r="E501" s="229" t="s">
        <v>667</v>
      </c>
      <c r="F501" s="215" t="s">
        <v>1218</v>
      </c>
      <c r="G501" s="70" t="s">
        <v>166</v>
      </c>
      <c r="H501" s="223" t="s">
        <v>570</v>
      </c>
      <c r="I501" s="222"/>
      <c r="J501" s="224" t="s">
        <v>708</v>
      </c>
      <c r="K501" s="225">
        <f>ROUND(Tableau14[[#This Row],[LEN]]*7.27,0)</f>
        <v>342</v>
      </c>
      <c r="L501" s="225">
        <v>15</v>
      </c>
      <c r="M501" s="226" t="str">
        <f t="shared" si="4"/>
        <v>none</v>
      </c>
      <c r="N501" s="225">
        <f>LEN(Tableau14[[#This Row],[LABEL]])</f>
        <v>47</v>
      </c>
      <c r="O501" s="225">
        <v>15</v>
      </c>
      <c r="P501" s="225" t="e">
        <f>ROUND(Tableau14[[#This Row],[LEN]]*#REF!+#REF!,0)</f>
        <v>#REF!</v>
      </c>
    </row>
    <row r="502" spans="1:16" s="97" customFormat="1" x14ac:dyDescent="0.25">
      <c r="A502" s="220" t="s">
        <v>1349</v>
      </c>
      <c r="B502" s="221" t="s">
        <v>263</v>
      </c>
      <c r="C502" s="222" t="s">
        <v>142</v>
      </c>
      <c r="D502" s="70" t="s">
        <v>28</v>
      </c>
      <c r="E502" s="229" t="s">
        <v>669</v>
      </c>
      <c r="F502" s="215" t="s">
        <v>1356</v>
      </c>
      <c r="G502" s="70" t="s">
        <v>166</v>
      </c>
      <c r="H502" s="223" t="s">
        <v>655</v>
      </c>
      <c r="I502" s="222"/>
      <c r="J502" s="224" t="s">
        <v>708</v>
      </c>
      <c r="K502" s="225">
        <f>ROUND(Tableau14[[#This Row],[LEN]]*7.27,0)</f>
        <v>109</v>
      </c>
      <c r="L502" s="225">
        <v>15</v>
      </c>
      <c r="M502" s="226" t="str">
        <f t="shared" si="4"/>
        <v>none</v>
      </c>
      <c r="N502" s="225">
        <f>LEN(Tableau14[[#This Row],[LABEL]])</f>
        <v>15</v>
      </c>
      <c r="O502" s="225">
        <v>15</v>
      </c>
      <c r="P502" s="225" t="e">
        <f>ROUND(Tableau14[[#This Row],[LEN]]*#REF!+#REF!,0)</f>
        <v>#REF!</v>
      </c>
    </row>
    <row r="503" spans="1:16" s="97" customFormat="1" x14ac:dyDescent="0.25">
      <c r="A503" s="220" t="s">
        <v>1350</v>
      </c>
      <c r="B503" s="221" t="s">
        <v>263</v>
      </c>
      <c r="C503" s="222" t="s">
        <v>1357</v>
      </c>
      <c r="D503" s="70" t="s">
        <v>28</v>
      </c>
      <c r="E503" s="229" t="s">
        <v>673</v>
      </c>
      <c r="F503" s="215" t="s">
        <v>1249</v>
      </c>
      <c r="G503" s="70" t="s">
        <v>166</v>
      </c>
      <c r="H503" s="223" t="s">
        <v>655</v>
      </c>
      <c r="I503" s="222"/>
      <c r="J503" s="224" t="s">
        <v>708</v>
      </c>
      <c r="K503" s="225">
        <f>ROUND(Tableau14[[#This Row],[LEN]]*7.27,0)</f>
        <v>298</v>
      </c>
      <c r="L503" s="225">
        <v>15</v>
      </c>
      <c r="M503" s="226" t="str">
        <f t="shared" si="4"/>
        <v>none</v>
      </c>
      <c r="N503" s="225">
        <f>LEN(Tableau14[[#This Row],[LABEL]])</f>
        <v>41</v>
      </c>
      <c r="O503" s="225">
        <v>15</v>
      </c>
      <c r="P503" s="225" t="e">
        <f>ROUND(Tableau14[[#This Row],[LEN]]*#REF!+#REF!,0)</f>
        <v>#REF!</v>
      </c>
    </row>
    <row r="504" spans="1:16" s="97" customFormat="1" x14ac:dyDescent="0.25">
      <c r="A504" s="220" t="s">
        <v>1351</v>
      </c>
      <c r="B504" s="221" t="s">
        <v>263</v>
      </c>
      <c r="C504" s="222" t="s">
        <v>1343</v>
      </c>
      <c r="D504" s="70" t="s">
        <v>28</v>
      </c>
      <c r="E504" s="229" t="s">
        <v>676</v>
      </c>
      <c r="F504" s="215" t="s">
        <v>677</v>
      </c>
      <c r="G504" s="70" t="s">
        <v>166</v>
      </c>
      <c r="H504" s="223" t="s">
        <v>654</v>
      </c>
      <c r="I504" s="222"/>
      <c r="J504" s="224" t="s">
        <v>708</v>
      </c>
      <c r="K504" s="225">
        <f>ROUND(Tableau14[[#This Row],[LEN]]*7.27,0)</f>
        <v>269</v>
      </c>
      <c r="L504" s="225">
        <v>15</v>
      </c>
      <c r="M504" s="226" t="str">
        <f t="shared" si="4"/>
        <v>none</v>
      </c>
      <c r="N504" s="225">
        <f>LEN(Tableau14[[#This Row],[LABEL]])</f>
        <v>37</v>
      </c>
      <c r="O504" s="225">
        <v>15</v>
      </c>
      <c r="P504" s="225" t="e">
        <f>ROUND(Tableau14[[#This Row],[LEN]]*#REF!+#REF!,0)</f>
        <v>#REF!</v>
      </c>
    </row>
    <row r="505" spans="1:16" s="97" customFormat="1" x14ac:dyDescent="0.25">
      <c r="A505" s="220" t="s">
        <v>1352</v>
      </c>
      <c r="B505" s="221" t="s">
        <v>263</v>
      </c>
      <c r="C505" s="222" t="s">
        <v>778</v>
      </c>
      <c r="D505" s="70" t="s">
        <v>28</v>
      </c>
      <c r="E505" s="229" t="s">
        <v>673</v>
      </c>
      <c r="F505" s="27" t="s">
        <v>2000</v>
      </c>
      <c r="G505" s="70" t="s">
        <v>166</v>
      </c>
      <c r="H505" s="223" t="s">
        <v>17</v>
      </c>
      <c r="I505" s="222"/>
      <c r="J505" s="224" t="s">
        <v>708</v>
      </c>
      <c r="K505" s="225">
        <f>ROUND(Tableau14[[#This Row],[LEN]]*7.27,0)</f>
        <v>211</v>
      </c>
      <c r="L505" s="225">
        <v>15</v>
      </c>
      <c r="M505" s="226" t="str">
        <f t="shared" si="4"/>
        <v>none</v>
      </c>
      <c r="N505" s="225">
        <f>LEN(Tableau14[[#This Row],[LABEL]])</f>
        <v>29</v>
      </c>
      <c r="O505" s="225">
        <v>15</v>
      </c>
      <c r="P505" s="225" t="e">
        <f>ROUND(Tableau14[[#This Row],[LEN]]*#REF!+#REF!,0)</f>
        <v>#REF!</v>
      </c>
    </row>
    <row r="506" spans="1:16" s="97" customFormat="1" x14ac:dyDescent="0.25">
      <c r="A506" s="220" t="s">
        <v>1353</v>
      </c>
      <c r="B506" s="221" t="s">
        <v>263</v>
      </c>
      <c r="C506" s="222" t="s">
        <v>91</v>
      </c>
      <c r="D506" s="70" t="s">
        <v>28</v>
      </c>
      <c r="E506" s="229" t="s">
        <v>663</v>
      </c>
      <c r="F506" s="215" t="s">
        <v>786</v>
      </c>
      <c r="G506" s="70" t="s">
        <v>166</v>
      </c>
      <c r="H506" s="223" t="s">
        <v>655</v>
      </c>
      <c r="I506" s="222"/>
      <c r="J506" s="224" t="s">
        <v>708</v>
      </c>
      <c r="K506" s="225">
        <f>ROUND(Tableau14[[#This Row],[LEN]]*7.27,0)</f>
        <v>269</v>
      </c>
      <c r="L506" s="225">
        <v>15</v>
      </c>
      <c r="M506" s="226" t="str">
        <f t="shared" si="4"/>
        <v>none</v>
      </c>
      <c r="N506" s="225">
        <f>LEN(Tableau14[[#This Row],[LABEL]])</f>
        <v>37</v>
      </c>
      <c r="O506" s="225">
        <v>15</v>
      </c>
      <c r="P506" s="225" t="e">
        <f>ROUND(Tableau14[[#This Row],[LEN]]*#REF!+#REF!,0)</f>
        <v>#REF!</v>
      </c>
    </row>
    <row r="507" spans="1:16" s="97" customFormat="1" x14ac:dyDescent="0.25">
      <c r="A507" s="29" t="s">
        <v>1359</v>
      </c>
      <c r="B507" s="30" t="s">
        <v>1353</v>
      </c>
      <c r="C507" s="31" t="s">
        <v>98</v>
      </c>
      <c r="D507" s="71" t="s">
        <v>28</v>
      </c>
      <c r="E507" s="31" t="s">
        <v>663</v>
      </c>
      <c r="F507" s="31" t="s">
        <v>1358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ROUND(Tableau14[[#This Row],[LEN]]*7.27,0)</f>
        <v>109</v>
      </c>
      <c r="L507" s="111">
        <v>15</v>
      </c>
      <c r="M507" s="128" t="str">
        <f t="shared" si="4"/>
        <v>none</v>
      </c>
      <c r="N507" s="111">
        <f>LEN(Tableau14[[#This Row],[LABEL]])</f>
        <v>15</v>
      </c>
      <c r="O507" s="111">
        <v>15</v>
      </c>
      <c r="P507" s="111" t="e">
        <f>ROUND(Tableau14[[#This Row],[LEN]]*#REF!+#REF!,0)</f>
        <v>#REF!</v>
      </c>
    </row>
    <row r="508" spans="1:16" s="97" customFormat="1" x14ac:dyDescent="0.25">
      <c r="A508" s="29" t="s">
        <v>1360</v>
      </c>
      <c r="B508" s="30" t="s">
        <v>1353</v>
      </c>
      <c r="C508" s="31" t="s">
        <v>99</v>
      </c>
      <c r="D508" s="71" t="s">
        <v>28</v>
      </c>
      <c r="E508" s="31" t="s">
        <v>663</v>
      </c>
      <c r="F508" s="31" t="s">
        <v>1358</v>
      </c>
      <c r="G508" s="71" t="s">
        <v>166</v>
      </c>
      <c r="H508" s="71" t="s">
        <v>18</v>
      </c>
      <c r="I508" s="31"/>
      <c r="J508" s="32" t="s">
        <v>708</v>
      </c>
      <c r="K508" s="111">
        <f>ROUND(Tableau14[[#This Row],[LEN]]*7.27,0)</f>
        <v>80</v>
      </c>
      <c r="L508" s="111">
        <v>15</v>
      </c>
      <c r="M508" s="128" t="str">
        <f t="shared" si="4"/>
        <v>none</v>
      </c>
      <c r="N508" s="111">
        <f>LEN(Tableau14[[#This Row],[LABEL]])</f>
        <v>11</v>
      </c>
      <c r="O508" s="111">
        <v>15</v>
      </c>
      <c r="P508" s="111" t="e">
        <f>ROUND(Tableau14[[#This Row],[LEN]]*#REF!+#REF!,0)</f>
        <v>#REF!</v>
      </c>
    </row>
    <row r="509" spans="1:16" s="97" customFormat="1" x14ac:dyDescent="0.25">
      <c r="A509" s="220" t="s">
        <v>1354</v>
      </c>
      <c r="B509" s="221" t="s">
        <v>263</v>
      </c>
      <c r="C509" s="222" t="s">
        <v>1167</v>
      </c>
      <c r="D509" s="70" t="s">
        <v>486</v>
      </c>
      <c r="E509" s="229" t="s">
        <v>1085</v>
      </c>
      <c r="F509" s="215" t="s">
        <v>1084</v>
      </c>
      <c r="G509" s="70" t="s">
        <v>1977</v>
      </c>
      <c r="H509" s="223" t="s">
        <v>1131</v>
      </c>
      <c r="I509" s="222"/>
      <c r="J509" s="224" t="s">
        <v>708</v>
      </c>
      <c r="K509" s="225">
        <f>ROUND(Tableau14[[#This Row],[LEN]]*7.27,0)</f>
        <v>196</v>
      </c>
      <c r="L509" s="225">
        <v>15</v>
      </c>
      <c r="M509" s="226" t="str">
        <f t="shared" si="4"/>
        <v>none</v>
      </c>
      <c r="N509" s="225">
        <f>LEN(Tableau14[[#This Row],[LABEL]])</f>
        <v>27</v>
      </c>
      <c r="O509" s="225">
        <v>15</v>
      </c>
      <c r="P509" s="225" t="e">
        <f>ROUND(Tableau14[[#This Row],[LEN]]*#REF!+#REF!,0)</f>
        <v>#REF!</v>
      </c>
    </row>
    <row r="510" spans="1:16" s="97" customFormat="1" x14ac:dyDescent="0.25">
      <c r="A510" s="29" t="s">
        <v>1361</v>
      </c>
      <c r="B510" s="30" t="s">
        <v>1354</v>
      </c>
      <c r="C510" s="31" t="s">
        <v>93</v>
      </c>
      <c r="D510" s="71" t="s">
        <v>28</v>
      </c>
      <c r="E510" s="31" t="s">
        <v>1085</v>
      </c>
      <c r="F510" s="31" t="s">
        <v>1084</v>
      </c>
      <c r="G510" s="71" t="s">
        <v>166</v>
      </c>
      <c r="H510" s="71" t="s">
        <v>18</v>
      </c>
      <c r="I510" s="31"/>
      <c r="J510" s="32" t="s">
        <v>101</v>
      </c>
      <c r="K510" s="111">
        <f>ROUND(Tableau14[[#This Row],[LEN]]*7.27,0)</f>
        <v>109</v>
      </c>
      <c r="L510" s="111">
        <v>15</v>
      </c>
      <c r="M510" s="128" t="str">
        <f t="shared" si="4"/>
        <v>new</v>
      </c>
      <c r="N510" s="111">
        <f>LEN(Tableau14[[#This Row],[LABEL]])</f>
        <v>15</v>
      </c>
      <c r="O510" s="111">
        <v>15</v>
      </c>
      <c r="P510" s="111" t="e">
        <f>ROUND(Tableau14[[#This Row],[LEN]]*#REF!+#REF!,0)</f>
        <v>#REF!</v>
      </c>
    </row>
    <row r="511" spans="1:16" s="97" customFormat="1" x14ac:dyDescent="0.25">
      <c r="A511" s="29" t="s">
        <v>1362</v>
      </c>
      <c r="B511" s="30" t="s">
        <v>1354</v>
      </c>
      <c r="C511" s="31" t="s">
        <v>94</v>
      </c>
      <c r="D511" s="71" t="s">
        <v>28</v>
      </c>
      <c r="E511" s="31" t="s">
        <v>1085</v>
      </c>
      <c r="F511" s="31" t="s">
        <v>1084</v>
      </c>
      <c r="G511" s="71" t="s">
        <v>166</v>
      </c>
      <c r="H511" s="71" t="s">
        <v>18</v>
      </c>
      <c r="I511" s="31"/>
      <c r="J511" s="32" t="s">
        <v>102</v>
      </c>
      <c r="K511" s="111">
        <f>ROUND(Tableau14[[#This Row],[LEN]]*7.27,0)</f>
        <v>58</v>
      </c>
      <c r="L511" s="111">
        <v>15</v>
      </c>
      <c r="M511" s="128" t="str">
        <f t="shared" si="4"/>
        <v>new</v>
      </c>
      <c r="N511" s="111">
        <f>LEN(Tableau14[[#This Row],[LABEL]])</f>
        <v>8</v>
      </c>
      <c r="O511" s="111">
        <v>15</v>
      </c>
      <c r="P511" s="111" t="e">
        <f>ROUND(Tableau14[[#This Row],[LEN]]*#REF!+#REF!,0)</f>
        <v>#REF!</v>
      </c>
    </row>
    <row r="512" spans="1:16" s="273" customFormat="1" x14ac:dyDescent="0.25">
      <c r="A512" s="288" t="s">
        <v>264</v>
      </c>
      <c r="B512" s="289" t="s">
        <v>206</v>
      </c>
      <c r="C512" s="290" t="s">
        <v>14</v>
      </c>
      <c r="D512" s="291" t="s">
        <v>28</v>
      </c>
      <c r="E512" s="290" t="s">
        <v>678</v>
      </c>
      <c r="F512" s="290" t="s">
        <v>678</v>
      </c>
      <c r="G512" s="291" t="s">
        <v>166</v>
      </c>
      <c r="H512" s="291" t="str">
        <f>IFERROR(IF(SEARCH(".00.00.00.00.00",Tableau14[[#This Row],[name]],1)=7,"Division",""),"")</f>
        <v>Division</v>
      </c>
      <c r="I512" s="290"/>
      <c r="J512" s="292" t="s">
        <v>724</v>
      </c>
      <c r="K512" s="293">
        <f>ROUND(Tableau14[[#This Row],[LEN]]*7.27,0)</f>
        <v>240</v>
      </c>
      <c r="L512" s="293">
        <v>15</v>
      </c>
      <c r="M512" s="294" t="str">
        <f t="shared" si="4"/>
        <v>new</v>
      </c>
      <c r="N512" s="293">
        <f>LEN(Tableau14[[#This Row],[LABEL]])</f>
        <v>33</v>
      </c>
      <c r="O512" s="293">
        <v>15</v>
      </c>
      <c r="P512" s="293" t="e">
        <f>ROUND(Tableau14[[#This Row],[LEN]]*#REF!+#REF!,0)</f>
        <v>#REF!</v>
      </c>
    </row>
    <row r="513" spans="1:16" s="97" customFormat="1" x14ac:dyDescent="0.25">
      <c r="A513" s="220" t="s">
        <v>1373</v>
      </c>
      <c r="B513" s="221" t="s">
        <v>264</v>
      </c>
      <c r="C513" s="222" t="s">
        <v>1168</v>
      </c>
      <c r="D513" s="70" t="s">
        <v>28</v>
      </c>
      <c r="E513" s="229" t="s">
        <v>668</v>
      </c>
      <c r="F513" s="215" t="s">
        <v>1178</v>
      </c>
      <c r="G513" s="70" t="s">
        <v>166</v>
      </c>
      <c r="H513" s="223" t="s">
        <v>654</v>
      </c>
      <c r="I513" s="222"/>
      <c r="J513" s="224" t="s">
        <v>708</v>
      </c>
      <c r="K513" s="225">
        <f>ROUND(Tableau14[[#This Row],[LEN]]*7.27,0)</f>
        <v>262</v>
      </c>
      <c r="L513" s="225">
        <v>15</v>
      </c>
      <c r="M513" s="226" t="str">
        <f t="shared" si="4"/>
        <v>none</v>
      </c>
      <c r="N513" s="225">
        <f>LEN(Tableau14[[#This Row],[LABEL]])</f>
        <v>36</v>
      </c>
      <c r="O513" s="225">
        <v>15</v>
      </c>
      <c r="P513" s="225" t="e">
        <f>ROUND(Tableau14[[#This Row],[LEN]]*#REF!+#REF!,0)</f>
        <v>#REF!</v>
      </c>
    </row>
    <row r="514" spans="1:16" s="97" customFormat="1" x14ac:dyDescent="0.25">
      <c r="A514" s="220" t="s">
        <v>1374</v>
      </c>
      <c r="B514" s="221" t="s">
        <v>264</v>
      </c>
      <c r="C514" s="222" t="s">
        <v>1337</v>
      </c>
      <c r="D514" s="70" t="s">
        <v>1338</v>
      </c>
      <c r="E514" s="229" t="s">
        <v>676</v>
      </c>
      <c r="F514" s="215" t="s">
        <v>1339</v>
      </c>
      <c r="G514" s="70" t="s">
        <v>166</v>
      </c>
      <c r="H514" s="223" t="s">
        <v>656</v>
      </c>
      <c r="I514" s="222"/>
      <c r="J514" s="224" t="s">
        <v>708</v>
      </c>
      <c r="K514" s="225">
        <f>ROUND(Tableau14[[#This Row],[LEN]]*7.27,0)</f>
        <v>378</v>
      </c>
      <c r="L514" s="225">
        <v>15</v>
      </c>
      <c r="M514" s="226" t="str">
        <f t="shared" si="4"/>
        <v>none</v>
      </c>
      <c r="N514" s="225">
        <f>LEN(Tableau14[[#This Row],[LABEL]])</f>
        <v>52</v>
      </c>
      <c r="O514" s="225">
        <v>15</v>
      </c>
      <c r="P514" s="225" t="e">
        <f>ROUND(Tableau14[[#This Row],[LEN]]*#REF!+#REF!,0)</f>
        <v>#REF!</v>
      </c>
    </row>
    <row r="515" spans="1:16" s="97" customFormat="1" x14ac:dyDescent="0.25">
      <c r="A515" s="220" t="s">
        <v>1375</v>
      </c>
      <c r="B515" s="221" t="s">
        <v>264</v>
      </c>
      <c r="C515" s="222" t="s">
        <v>138</v>
      </c>
      <c r="D515" s="70" t="s">
        <v>28</v>
      </c>
      <c r="E515" s="229" t="s">
        <v>669</v>
      </c>
      <c r="F515" s="215" t="s">
        <v>678</v>
      </c>
      <c r="G515" s="70" t="s">
        <v>166</v>
      </c>
      <c r="H515" s="223" t="s">
        <v>655</v>
      </c>
      <c r="I515" s="222"/>
      <c r="J515" s="224" t="s">
        <v>708</v>
      </c>
      <c r="K515" s="225">
        <f>ROUND(Tableau14[[#This Row],[LEN]]*7.27,0)</f>
        <v>225</v>
      </c>
      <c r="L515" s="225">
        <v>15</v>
      </c>
      <c r="M515" s="226" t="str">
        <f t="shared" si="4"/>
        <v>none</v>
      </c>
      <c r="N515" s="225">
        <f>LEN(Tableau14[[#This Row],[LABEL]])</f>
        <v>31</v>
      </c>
      <c r="O515" s="225">
        <v>15</v>
      </c>
      <c r="P515" s="225" t="e">
        <f>ROUND(Tableau14[[#This Row],[LEN]]*#REF!+#REF!,0)</f>
        <v>#REF!</v>
      </c>
    </row>
    <row r="516" spans="1:16" s="97" customFormat="1" x14ac:dyDescent="0.25">
      <c r="A516" s="29" t="s">
        <v>1392</v>
      </c>
      <c r="B516" s="30" t="s">
        <v>1375</v>
      </c>
      <c r="C516" s="31" t="s">
        <v>139</v>
      </c>
      <c r="D516" s="71" t="s">
        <v>28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ROUND(Tableau14[[#This Row],[LEN]]*7.27,0)</f>
        <v>327</v>
      </c>
      <c r="L516" s="111">
        <v>15</v>
      </c>
      <c r="M516" s="128" t="str">
        <f t="shared" si="4"/>
        <v>none</v>
      </c>
      <c r="N516" s="111">
        <f>LEN(Tableau14[[#This Row],[LABEL]])</f>
        <v>45</v>
      </c>
      <c r="O516" s="111">
        <v>15</v>
      </c>
      <c r="P516" s="111" t="e">
        <f>ROUND(Tableau14[[#This Row],[LEN]]*#REF!+#REF!,0)</f>
        <v>#REF!</v>
      </c>
    </row>
    <row r="517" spans="1:16" s="97" customFormat="1" x14ac:dyDescent="0.25">
      <c r="A517" s="29" t="s">
        <v>1393</v>
      </c>
      <c r="B517" s="30" t="s">
        <v>1375</v>
      </c>
      <c r="C517" s="31" t="s">
        <v>140</v>
      </c>
      <c r="D517" s="71" t="s">
        <v>28</v>
      </c>
      <c r="E517" s="31" t="s">
        <v>669</v>
      </c>
      <c r="F517" s="31" t="s">
        <v>678</v>
      </c>
      <c r="G517" s="71" t="s">
        <v>166</v>
      </c>
      <c r="H517" s="71" t="s">
        <v>654</v>
      </c>
      <c r="I517" s="31"/>
      <c r="J517" s="32" t="s">
        <v>708</v>
      </c>
      <c r="K517" s="111">
        <f>ROUND(Tableau14[[#This Row],[LEN]]*7.27,0)</f>
        <v>385</v>
      </c>
      <c r="L517" s="111">
        <v>15</v>
      </c>
      <c r="M517" s="128" t="str">
        <f t="shared" si="4"/>
        <v>none</v>
      </c>
      <c r="N517" s="111">
        <f>LEN(Tableau14[[#This Row],[LABEL]])</f>
        <v>53</v>
      </c>
      <c r="O517" s="111">
        <v>15</v>
      </c>
      <c r="P517" s="111" t="e">
        <f>ROUND(Tableau14[[#This Row],[LEN]]*#REF!+#REF!,0)</f>
        <v>#REF!</v>
      </c>
    </row>
    <row r="518" spans="1:16" s="97" customFormat="1" x14ac:dyDescent="0.25">
      <c r="A518" s="29" t="s">
        <v>1394</v>
      </c>
      <c r="B518" s="30" t="s">
        <v>1375</v>
      </c>
      <c r="C518" s="31" t="s">
        <v>141</v>
      </c>
      <c r="D518" s="71" t="s">
        <v>28</v>
      </c>
      <c r="E518" s="31" t="s">
        <v>669</v>
      </c>
      <c r="F518" s="31" t="s">
        <v>678</v>
      </c>
      <c r="G518" s="71" t="s">
        <v>166</v>
      </c>
      <c r="H518" s="71" t="s">
        <v>17</v>
      </c>
      <c r="I518" s="31"/>
      <c r="J518" s="32" t="s">
        <v>708</v>
      </c>
      <c r="K518" s="111">
        <f>ROUND(Tableau14[[#This Row],[LEN]]*7.27,0)</f>
        <v>313</v>
      </c>
      <c r="L518" s="111">
        <v>15</v>
      </c>
      <c r="M518" s="128" t="str">
        <f t="shared" si="4"/>
        <v>none</v>
      </c>
      <c r="N518" s="111">
        <f>LEN(Tableau14[[#This Row],[LABEL]])</f>
        <v>43</v>
      </c>
      <c r="O518" s="111">
        <v>15</v>
      </c>
      <c r="P518" s="111" t="e">
        <f>ROUND(Tableau14[[#This Row],[LEN]]*#REF!+#REF!,0)</f>
        <v>#REF!</v>
      </c>
    </row>
    <row r="519" spans="1:16" s="97" customFormat="1" x14ac:dyDescent="0.25">
      <c r="A519" s="220" t="s">
        <v>1376</v>
      </c>
      <c r="B519" s="221" t="s">
        <v>264</v>
      </c>
      <c r="C519" s="222" t="s">
        <v>483</v>
      </c>
      <c r="D519" s="70" t="s">
        <v>28</v>
      </c>
      <c r="E519" s="229" t="s">
        <v>672</v>
      </c>
      <c r="F519" s="215" t="s">
        <v>1395</v>
      </c>
      <c r="G519" s="70" t="s">
        <v>166</v>
      </c>
      <c r="H519" s="223" t="s">
        <v>655</v>
      </c>
      <c r="I519" s="222"/>
      <c r="J519" s="224" t="s">
        <v>708</v>
      </c>
      <c r="K519" s="225">
        <f>ROUND(Tableau14[[#This Row],[LEN]]*7.27,0)</f>
        <v>247</v>
      </c>
      <c r="L519" s="225">
        <v>15</v>
      </c>
      <c r="M519" s="226" t="str">
        <f t="shared" si="4"/>
        <v>none</v>
      </c>
      <c r="N519" s="225">
        <f>LEN(Tableau14[[#This Row],[LABEL]])</f>
        <v>34</v>
      </c>
      <c r="O519" s="225">
        <v>15</v>
      </c>
      <c r="P519" s="225" t="e">
        <f>ROUND(Tableau14[[#This Row],[LEN]]*#REF!+#REF!,0)</f>
        <v>#REF!</v>
      </c>
    </row>
    <row r="520" spans="1:16" s="97" customFormat="1" x14ac:dyDescent="0.25">
      <c r="A520" s="29" t="s">
        <v>1396</v>
      </c>
      <c r="B520" s="30" t="s">
        <v>1376</v>
      </c>
      <c r="C520" s="31" t="s">
        <v>498</v>
      </c>
      <c r="D520" s="71" t="s">
        <v>28</v>
      </c>
      <c r="E520" s="31" t="s">
        <v>672</v>
      </c>
      <c r="F520" s="31" t="s">
        <v>1395</v>
      </c>
      <c r="G520" s="71" t="s">
        <v>166</v>
      </c>
      <c r="H520" s="71" t="s">
        <v>656</v>
      </c>
      <c r="I520" s="31"/>
      <c r="J520" s="32" t="s">
        <v>708</v>
      </c>
      <c r="K520" s="111">
        <f>ROUND(Tableau14[[#This Row],[LEN]]*7.27,0)</f>
        <v>349</v>
      </c>
      <c r="L520" s="111">
        <v>15</v>
      </c>
      <c r="M520" s="128" t="str">
        <f t="shared" si="4"/>
        <v>none</v>
      </c>
      <c r="N520" s="111">
        <f>LEN(Tableau14[[#This Row],[LABEL]])</f>
        <v>48</v>
      </c>
      <c r="O520" s="111">
        <v>15</v>
      </c>
      <c r="P520" s="111" t="e">
        <f>ROUND(Tableau14[[#This Row],[LEN]]*#REF!+#REF!,0)</f>
        <v>#REF!</v>
      </c>
    </row>
    <row r="521" spans="1:16" s="97" customFormat="1" x14ac:dyDescent="0.25">
      <c r="A521" s="29" t="s">
        <v>1397</v>
      </c>
      <c r="B521" s="30" t="s">
        <v>1376</v>
      </c>
      <c r="C521" s="31" t="s">
        <v>499</v>
      </c>
      <c r="D521" s="71" t="s">
        <v>28</v>
      </c>
      <c r="E521" s="31" t="s">
        <v>672</v>
      </c>
      <c r="F521" s="31" t="s">
        <v>1395</v>
      </c>
      <c r="G521" s="71" t="s">
        <v>166</v>
      </c>
      <c r="H521" s="71" t="s">
        <v>570</v>
      </c>
      <c r="I521" s="31"/>
      <c r="J521" s="32" t="s">
        <v>708</v>
      </c>
      <c r="K521" s="111">
        <f>ROUND(Tableau14[[#This Row],[LEN]]*7.27,0)</f>
        <v>225</v>
      </c>
      <c r="L521" s="111">
        <v>15</v>
      </c>
      <c r="M521" s="128" t="str">
        <f t="shared" si="4"/>
        <v>none</v>
      </c>
      <c r="N521" s="111">
        <f>LEN(Tableau14[[#This Row],[LABEL]])</f>
        <v>31</v>
      </c>
      <c r="O521" s="111">
        <v>15</v>
      </c>
      <c r="P521" s="111" t="e">
        <f>ROUND(Tableau14[[#This Row],[LEN]]*#REF!+#REF!,0)</f>
        <v>#REF!</v>
      </c>
    </row>
    <row r="522" spans="1:16" s="97" customFormat="1" x14ac:dyDescent="0.25">
      <c r="A522" s="29" t="s">
        <v>1398</v>
      </c>
      <c r="B522" s="30" t="s">
        <v>1376</v>
      </c>
      <c r="C522" s="31" t="s">
        <v>500</v>
      </c>
      <c r="D522" s="71" t="s">
        <v>28</v>
      </c>
      <c r="E522" s="31" t="s">
        <v>672</v>
      </c>
      <c r="F522" s="31" t="s">
        <v>1395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ROUND(Tableau14[[#This Row],[LEN]]*7.27,0)</f>
        <v>254</v>
      </c>
      <c r="L522" s="111">
        <v>15</v>
      </c>
      <c r="M522" s="128" t="str">
        <f t="shared" si="4"/>
        <v>none</v>
      </c>
      <c r="N522" s="111">
        <f>LEN(Tableau14[[#This Row],[LABEL]])</f>
        <v>35</v>
      </c>
      <c r="O522" s="111">
        <v>15</v>
      </c>
      <c r="P522" s="111" t="e">
        <f>ROUND(Tableau14[[#This Row],[LEN]]*#REF!+#REF!,0)</f>
        <v>#REF!</v>
      </c>
    </row>
    <row r="523" spans="1:16" s="97" customFormat="1" x14ac:dyDescent="0.25">
      <c r="A523" s="29" t="s">
        <v>1399</v>
      </c>
      <c r="B523" s="30" t="s">
        <v>1376</v>
      </c>
      <c r="C523" s="31" t="s">
        <v>501</v>
      </c>
      <c r="D523" s="71" t="s">
        <v>28</v>
      </c>
      <c r="E523" s="31" t="s">
        <v>672</v>
      </c>
      <c r="F523" s="31" t="s">
        <v>1395</v>
      </c>
      <c r="G523" s="71" t="s">
        <v>166</v>
      </c>
      <c r="H523" s="71" t="s">
        <v>656</v>
      </c>
      <c r="I523" s="31"/>
      <c r="J523" s="32" t="s">
        <v>708</v>
      </c>
      <c r="K523" s="111">
        <f>ROUND(Tableau14[[#This Row],[LEN]]*7.27,0)</f>
        <v>313</v>
      </c>
      <c r="L523" s="111">
        <v>15</v>
      </c>
      <c r="M523" s="128" t="str">
        <f t="shared" si="4"/>
        <v>none</v>
      </c>
      <c r="N523" s="111">
        <f>LEN(Tableau14[[#This Row],[LABEL]])</f>
        <v>43</v>
      </c>
      <c r="O523" s="111">
        <v>15</v>
      </c>
      <c r="P523" s="111" t="e">
        <f>ROUND(Tableau14[[#This Row],[LEN]]*#REF!+#REF!,0)</f>
        <v>#REF!</v>
      </c>
    </row>
    <row r="524" spans="1:16" s="97" customFormat="1" x14ac:dyDescent="0.25">
      <c r="A524" s="29" t="s">
        <v>1400</v>
      </c>
      <c r="B524" s="30" t="s">
        <v>1376</v>
      </c>
      <c r="C524" s="31" t="s">
        <v>502</v>
      </c>
      <c r="D524" s="71" t="s">
        <v>28</v>
      </c>
      <c r="E524" s="31" t="s">
        <v>672</v>
      </c>
      <c r="F524" s="31" t="s">
        <v>1395</v>
      </c>
      <c r="G524" s="71" t="s">
        <v>166</v>
      </c>
      <c r="H524" s="71" t="s">
        <v>654</v>
      </c>
      <c r="I524" s="31"/>
      <c r="J524" s="32" t="s">
        <v>708</v>
      </c>
      <c r="K524" s="111">
        <f>ROUND(Tableau14[[#This Row],[LEN]]*7.27,0)</f>
        <v>247</v>
      </c>
      <c r="L524" s="111">
        <v>15</v>
      </c>
      <c r="M524" s="128" t="str">
        <f t="shared" si="4"/>
        <v>none</v>
      </c>
      <c r="N524" s="111">
        <f>LEN(Tableau14[[#This Row],[LABEL]])</f>
        <v>34</v>
      </c>
      <c r="O524" s="111">
        <v>15</v>
      </c>
      <c r="P524" s="111" t="e">
        <f>ROUND(Tableau14[[#This Row],[LEN]]*#REF!+#REF!,0)</f>
        <v>#REF!</v>
      </c>
    </row>
    <row r="525" spans="1:16" s="97" customFormat="1" x14ac:dyDescent="0.25">
      <c r="A525" s="29" t="s">
        <v>1401</v>
      </c>
      <c r="B525" s="30" t="s">
        <v>1376</v>
      </c>
      <c r="C525" s="31" t="s">
        <v>503</v>
      </c>
      <c r="D525" s="71" t="s">
        <v>28</v>
      </c>
      <c r="E525" s="31" t="s">
        <v>672</v>
      </c>
      <c r="F525" s="31" t="s">
        <v>1395</v>
      </c>
      <c r="G525" s="71" t="s">
        <v>166</v>
      </c>
      <c r="H525" s="71" t="s">
        <v>656</v>
      </c>
      <c r="I525" s="31"/>
      <c r="J525" s="32" t="s">
        <v>708</v>
      </c>
      <c r="K525" s="111">
        <f>ROUND(Tableau14[[#This Row],[LEN]]*7.27,0)</f>
        <v>371</v>
      </c>
      <c r="L525" s="111">
        <v>15</v>
      </c>
      <c r="M525" s="128" t="str">
        <f t="shared" si="4"/>
        <v>none</v>
      </c>
      <c r="N525" s="111">
        <f>LEN(Tableau14[[#This Row],[LABEL]])</f>
        <v>51</v>
      </c>
      <c r="O525" s="111">
        <v>15</v>
      </c>
      <c r="P525" s="111" t="e">
        <f>ROUND(Tableau14[[#This Row],[LEN]]*#REF!+#REF!,0)</f>
        <v>#REF!</v>
      </c>
    </row>
    <row r="526" spans="1:16" s="97" customFormat="1" x14ac:dyDescent="0.25">
      <c r="A526" s="220" t="s">
        <v>1377</v>
      </c>
      <c r="B526" s="221" t="s">
        <v>264</v>
      </c>
      <c r="C526" s="222" t="s">
        <v>88</v>
      </c>
      <c r="D526" s="70" t="s">
        <v>28</v>
      </c>
      <c r="E526" s="229" t="s">
        <v>667</v>
      </c>
      <c r="F526" s="215" t="s">
        <v>1218</v>
      </c>
      <c r="G526" s="70" t="s">
        <v>166</v>
      </c>
      <c r="H526" s="223" t="s">
        <v>570</v>
      </c>
      <c r="I526" s="222"/>
      <c r="J526" s="224" t="s">
        <v>708</v>
      </c>
      <c r="K526" s="225">
        <f>ROUND(Tableau14[[#This Row],[LEN]]*7.27,0)</f>
        <v>342</v>
      </c>
      <c r="L526" s="225">
        <v>15</v>
      </c>
      <c r="M526" s="226" t="str">
        <f t="shared" si="4"/>
        <v>none</v>
      </c>
      <c r="N526" s="225">
        <f>LEN(Tableau14[[#This Row],[LABEL]])</f>
        <v>47</v>
      </c>
      <c r="O526" s="225">
        <v>15</v>
      </c>
      <c r="P526" s="225" t="e">
        <f>ROUND(Tableau14[[#This Row],[LEN]]*#REF!+#REF!,0)</f>
        <v>#REF!</v>
      </c>
    </row>
    <row r="527" spans="1:16" s="97" customFormat="1" x14ac:dyDescent="0.25">
      <c r="A527" s="220" t="s">
        <v>1378</v>
      </c>
      <c r="B527" s="221" t="s">
        <v>264</v>
      </c>
      <c r="C527" s="222" t="s">
        <v>484</v>
      </c>
      <c r="D527" s="70" t="s">
        <v>28</v>
      </c>
      <c r="E527" s="229" t="s">
        <v>672</v>
      </c>
      <c r="F527" s="215" t="s">
        <v>1285</v>
      </c>
      <c r="G527" s="70" t="s">
        <v>166</v>
      </c>
      <c r="H527" s="223" t="s">
        <v>655</v>
      </c>
      <c r="I527" s="222"/>
      <c r="J527" s="224" t="s">
        <v>727</v>
      </c>
      <c r="K527" s="225">
        <f>ROUND(Tableau14[[#This Row],[LEN]]*7.27,0)</f>
        <v>80</v>
      </c>
      <c r="L527" s="225">
        <v>15</v>
      </c>
      <c r="M527" s="226" t="str">
        <f t="shared" si="4"/>
        <v>new</v>
      </c>
      <c r="N527" s="225">
        <f>LEN(Tableau14[[#This Row],[LABEL]])</f>
        <v>11</v>
      </c>
      <c r="O527" s="225">
        <v>15</v>
      </c>
      <c r="P527" s="225" t="e">
        <f>ROUND(Tableau14[[#This Row],[LEN]]*#REF!+#REF!,0)</f>
        <v>#REF!</v>
      </c>
    </row>
    <row r="528" spans="1:16" s="97" customFormat="1" x14ac:dyDescent="0.25">
      <c r="A528" s="29" t="s">
        <v>1402</v>
      </c>
      <c r="B528" s="30" t="s">
        <v>1378</v>
      </c>
      <c r="C528" s="31" t="s">
        <v>505</v>
      </c>
      <c r="D528" s="71" t="s">
        <v>28</v>
      </c>
      <c r="E528" s="31" t="s">
        <v>672</v>
      </c>
      <c r="F528" s="31" t="s">
        <v>1285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ROUND(Tableau14[[#This Row],[LEN]]*7.27,0)</f>
        <v>73</v>
      </c>
      <c r="L528" s="111">
        <v>15</v>
      </c>
      <c r="M528" s="128" t="str">
        <f t="shared" si="4"/>
        <v>new</v>
      </c>
      <c r="N528" s="111">
        <f>LEN(Tableau14[[#This Row],[LABEL]])</f>
        <v>10</v>
      </c>
      <c r="O528" s="111">
        <v>15</v>
      </c>
      <c r="P528" s="111" t="e">
        <f>ROUND(Tableau14[[#This Row],[LEN]]*#REF!+#REF!,0)</f>
        <v>#REF!</v>
      </c>
    </row>
    <row r="529" spans="1:16" s="97" customFormat="1" x14ac:dyDescent="0.25">
      <c r="A529" s="29" t="s">
        <v>1403</v>
      </c>
      <c r="B529" s="30" t="s">
        <v>1378</v>
      </c>
      <c r="C529" s="31" t="s">
        <v>1284</v>
      </c>
      <c r="D529" s="71" t="s">
        <v>28</v>
      </c>
      <c r="E529" s="31" t="s">
        <v>672</v>
      </c>
      <c r="F529" s="31" t="s">
        <v>1285</v>
      </c>
      <c r="G529" s="71" t="s">
        <v>166</v>
      </c>
      <c r="H529" s="71" t="s">
        <v>18</v>
      </c>
      <c r="I529" s="31"/>
      <c r="J529" s="32" t="s">
        <v>705</v>
      </c>
      <c r="K529" s="111">
        <f>ROUND(Tableau14[[#This Row],[LEN]]*7.27,0)</f>
        <v>153</v>
      </c>
      <c r="L529" s="111">
        <v>15</v>
      </c>
      <c r="M529" s="128" t="str">
        <f t="shared" si="4"/>
        <v>new</v>
      </c>
      <c r="N529" s="111">
        <f>LEN(Tableau14[[#This Row],[LABEL]])</f>
        <v>21</v>
      </c>
      <c r="O529" s="111">
        <v>15</v>
      </c>
      <c r="P529" s="111" t="e">
        <f>ROUND(Tableau14[[#This Row],[LEN]]*#REF!+#REF!,0)</f>
        <v>#REF!</v>
      </c>
    </row>
    <row r="530" spans="1:16" s="97" customFormat="1" x14ac:dyDescent="0.25">
      <c r="A530" s="220" t="s">
        <v>1379</v>
      </c>
      <c r="B530" s="221" t="s">
        <v>264</v>
      </c>
      <c r="C530" s="222" t="s">
        <v>1357</v>
      </c>
      <c r="D530" s="70" t="s">
        <v>28</v>
      </c>
      <c r="E530" s="229" t="s">
        <v>673</v>
      </c>
      <c r="F530" s="215" t="s">
        <v>1249</v>
      </c>
      <c r="G530" s="70" t="s">
        <v>166</v>
      </c>
      <c r="H530" s="223" t="s">
        <v>655</v>
      </c>
      <c r="I530" s="222"/>
      <c r="J530" s="224" t="s">
        <v>708</v>
      </c>
      <c r="K530" s="225">
        <f>ROUND(Tableau14[[#This Row],[LEN]]*7.27,0)</f>
        <v>298</v>
      </c>
      <c r="L530" s="225">
        <v>15</v>
      </c>
      <c r="M530" s="226" t="str">
        <f t="shared" si="4"/>
        <v>none</v>
      </c>
      <c r="N530" s="225">
        <f>LEN(Tableau14[[#This Row],[LABEL]])</f>
        <v>41</v>
      </c>
      <c r="O530" s="225">
        <v>15</v>
      </c>
      <c r="P530" s="225" t="e">
        <f>ROUND(Tableau14[[#This Row],[LEN]]*#REF!+#REF!,0)</f>
        <v>#REF!</v>
      </c>
    </row>
    <row r="531" spans="1:16" s="97" customFormat="1" x14ac:dyDescent="0.25">
      <c r="A531" s="220" t="s">
        <v>1380</v>
      </c>
      <c r="B531" s="221" t="s">
        <v>264</v>
      </c>
      <c r="C531" s="222" t="s">
        <v>1404</v>
      </c>
      <c r="D531" s="70" t="s">
        <v>28</v>
      </c>
      <c r="E531" s="229" t="s">
        <v>678</v>
      </c>
      <c r="F531" s="215" t="s">
        <v>1177</v>
      </c>
      <c r="G531" s="70" t="s">
        <v>166</v>
      </c>
      <c r="H531" s="223" t="s">
        <v>656</v>
      </c>
      <c r="I531" s="222"/>
      <c r="J531" s="224" t="s">
        <v>708</v>
      </c>
      <c r="K531" s="225">
        <f>ROUND(Tableau14[[#This Row],[LEN]]*7.27,0)</f>
        <v>371</v>
      </c>
      <c r="L531" s="225">
        <v>15</v>
      </c>
      <c r="M531" s="226" t="str">
        <f t="shared" si="4"/>
        <v>none</v>
      </c>
      <c r="N531" s="225">
        <f>LEN(Tableau14[[#This Row],[LABEL]])</f>
        <v>51</v>
      </c>
      <c r="O531" s="225">
        <v>15</v>
      </c>
      <c r="P531" s="225" t="e">
        <f>ROUND(Tableau14[[#This Row],[LEN]]*#REF!+#REF!,0)</f>
        <v>#REF!</v>
      </c>
    </row>
    <row r="532" spans="1:16" s="97" customFormat="1" x14ac:dyDescent="0.25">
      <c r="A532" s="220" t="s">
        <v>1381</v>
      </c>
      <c r="B532" s="221" t="s">
        <v>264</v>
      </c>
      <c r="C532" s="222" t="s">
        <v>1310</v>
      </c>
      <c r="D532" s="70" t="s">
        <v>28</v>
      </c>
      <c r="E532" s="229" t="s">
        <v>675</v>
      </c>
      <c r="F532" s="215" t="s">
        <v>678</v>
      </c>
      <c r="G532" s="70" t="s">
        <v>166</v>
      </c>
      <c r="H532" s="223" t="s">
        <v>655</v>
      </c>
      <c r="I532" s="222"/>
      <c r="J532" s="224" t="s">
        <v>708</v>
      </c>
      <c r="K532" s="225">
        <f>ROUND(Tableau14[[#This Row],[LEN]]*7.27,0)</f>
        <v>233</v>
      </c>
      <c r="L532" s="225">
        <v>15</v>
      </c>
      <c r="M532" s="226" t="str">
        <f t="shared" si="4"/>
        <v>none</v>
      </c>
      <c r="N532" s="225">
        <f>LEN(Tableau14[[#This Row],[LABEL]])</f>
        <v>32</v>
      </c>
      <c r="O532" s="225">
        <v>15</v>
      </c>
      <c r="P532" s="225" t="e">
        <f>ROUND(Tableau14[[#This Row],[LEN]]*#REF!+#REF!,0)</f>
        <v>#REF!</v>
      </c>
    </row>
    <row r="533" spans="1:16" s="97" customFormat="1" x14ac:dyDescent="0.25">
      <c r="A533" s="220" t="s">
        <v>1382</v>
      </c>
      <c r="B533" s="221" t="s">
        <v>264</v>
      </c>
      <c r="C533" s="222" t="s">
        <v>1405</v>
      </c>
      <c r="D533" s="70" t="s">
        <v>28</v>
      </c>
      <c r="E533" s="229" t="s">
        <v>675</v>
      </c>
      <c r="F533" s="215" t="s">
        <v>678</v>
      </c>
      <c r="G533" s="70" t="s">
        <v>166</v>
      </c>
      <c r="H533" s="223" t="s">
        <v>656</v>
      </c>
      <c r="I533" s="222"/>
      <c r="J533" s="224" t="s">
        <v>708</v>
      </c>
      <c r="K533" s="225">
        <f>ROUND(Tableau14[[#This Row],[LEN]]*7.27,0)</f>
        <v>443</v>
      </c>
      <c r="L533" s="225">
        <v>15</v>
      </c>
      <c r="M533" s="226" t="str">
        <f t="shared" si="4"/>
        <v>none</v>
      </c>
      <c r="N533" s="225">
        <f>LEN(Tableau14[[#This Row],[LABEL]])</f>
        <v>61</v>
      </c>
      <c r="O533" s="225">
        <v>15</v>
      </c>
      <c r="P533" s="225" t="e">
        <f>ROUND(Tableau14[[#This Row],[LEN]]*#REF!+#REF!,0)</f>
        <v>#REF!</v>
      </c>
    </row>
    <row r="534" spans="1:16" s="97" customFormat="1" x14ac:dyDescent="0.25">
      <c r="A534" s="220" t="s">
        <v>1383</v>
      </c>
      <c r="B534" s="221" t="s">
        <v>264</v>
      </c>
      <c r="C534" s="222" t="s">
        <v>1343</v>
      </c>
      <c r="D534" s="70" t="s">
        <v>28</v>
      </c>
      <c r="E534" s="229" t="s">
        <v>676</v>
      </c>
      <c r="F534" s="215" t="s">
        <v>1339</v>
      </c>
      <c r="G534" s="70" t="s">
        <v>166</v>
      </c>
      <c r="H534" s="223" t="s">
        <v>654</v>
      </c>
      <c r="I534" s="222"/>
      <c r="J534" s="224" t="s">
        <v>708</v>
      </c>
      <c r="K534" s="225">
        <f>ROUND(Tableau14[[#This Row],[LEN]]*7.27,0)</f>
        <v>269</v>
      </c>
      <c r="L534" s="225">
        <v>15</v>
      </c>
      <c r="M534" s="226" t="str">
        <f t="shared" si="4"/>
        <v>none</v>
      </c>
      <c r="N534" s="225">
        <f>LEN(Tableau14[[#This Row],[LABEL]])</f>
        <v>37</v>
      </c>
      <c r="O534" s="225">
        <v>15</v>
      </c>
      <c r="P534" s="225" t="e">
        <f>ROUND(Tableau14[[#This Row],[LEN]]*#REF!+#REF!,0)</f>
        <v>#REF!</v>
      </c>
    </row>
    <row r="535" spans="1:16" s="97" customFormat="1" x14ac:dyDescent="0.25">
      <c r="A535" s="220" t="s">
        <v>1384</v>
      </c>
      <c r="B535" s="221" t="s">
        <v>264</v>
      </c>
      <c r="C535" s="222" t="s">
        <v>1154</v>
      </c>
      <c r="D535" s="70" t="s">
        <v>28</v>
      </c>
      <c r="E535" s="229" t="s">
        <v>667</v>
      </c>
      <c r="F535" s="215" t="s">
        <v>1133</v>
      </c>
      <c r="G535" s="70" t="s">
        <v>166</v>
      </c>
      <c r="H535" s="223" t="s">
        <v>18</v>
      </c>
      <c r="I535" s="222"/>
      <c r="J535" s="224" t="s">
        <v>102</v>
      </c>
      <c r="K535" s="225">
        <f>ROUND(Tableau14[[#This Row],[LEN]]*7.27,0)</f>
        <v>443</v>
      </c>
      <c r="L535" s="225">
        <v>15</v>
      </c>
      <c r="M535" s="226" t="str">
        <f t="shared" si="4"/>
        <v>new</v>
      </c>
      <c r="N535" s="225">
        <f>LEN(Tableau14[[#This Row],[LABEL]])</f>
        <v>61</v>
      </c>
      <c r="O535" s="225">
        <v>15</v>
      </c>
      <c r="P535" s="225" t="e">
        <f>ROUND(Tableau14[[#This Row],[LEN]]*#REF!+#REF!,0)</f>
        <v>#REF!</v>
      </c>
    </row>
    <row r="536" spans="1:16" s="97" customFormat="1" x14ac:dyDescent="0.25">
      <c r="A536" s="220" t="s">
        <v>1385</v>
      </c>
      <c r="B536" s="221" t="s">
        <v>264</v>
      </c>
      <c r="C536" s="222" t="s">
        <v>778</v>
      </c>
      <c r="D536" s="70" t="s">
        <v>28</v>
      </c>
      <c r="E536" s="229" t="s">
        <v>673</v>
      </c>
      <c r="F536" s="27" t="s">
        <v>2000</v>
      </c>
      <c r="G536" s="70" t="s">
        <v>166</v>
      </c>
      <c r="H536" s="223" t="s">
        <v>17</v>
      </c>
      <c r="I536" s="222"/>
      <c r="J536" s="224" t="s">
        <v>708</v>
      </c>
      <c r="K536" s="225">
        <f>ROUND(Tableau14[[#This Row],[LEN]]*7.27,0)</f>
        <v>211</v>
      </c>
      <c r="L536" s="225">
        <v>15</v>
      </c>
      <c r="M536" s="226" t="str">
        <f t="shared" si="4"/>
        <v>none</v>
      </c>
      <c r="N536" s="225">
        <f>LEN(Tableau14[[#This Row],[LABEL]])</f>
        <v>29</v>
      </c>
      <c r="O536" s="225">
        <v>15</v>
      </c>
      <c r="P536" s="225" t="e">
        <f>ROUND(Tableau14[[#This Row],[LEN]]*#REF!+#REF!,0)</f>
        <v>#REF!</v>
      </c>
    </row>
    <row r="537" spans="1:16" s="97" customFormat="1" x14ac:dyDescent="0.25">
      <c r="A537" s="220" t="s">
        <v>1386</v>
      </c>
      <c r="B537" s="221" t="s">
        <v>264</v>
      </c>
      <c r="C537" s="222" t="s">
        <v>91</v>
      </c>
      <c r="D537" s="70" t="s">
        <v>28</v>
      </c>
      <c r="E537" s="229" t="s">
        <v>663</v>
      </c>
      <c r="F537" s="215" t="s">
        <v>786</v>
      </c>
      <c r="G537" s="70" t="s">
        <v>166</v>
      </c>
      <c r="H537" s="223" t="s">
        <v>655</v>
      </c>
      <c r="I537" s="222"/>
      <c r="J537" s="224" t="s">
        <v>708</v>
      </c>
      <c r="K537" s="225">
        <f>ROUND(Tableau14[[#This Row],[LEN]]*7.27,0)</f>
        <v>269</v>
      </c>
      <c r="L537" s="225">
        <v>15</v>
      </c>
      <c r="M537" s="226" t="str">
        <f t="shared" si="4"/>
        <v>none</v>
      </c>
      <c r="N537" s="225">
        <f>LEN(Tableau14[[#This Row],[LABEL]])</f>
        <v>37</v>
      </c>
      <c r="O537" s="225">
        <v>15</v>
      </c>
      <c r="P537" s="225" t="e">
        <f>ROUND(Tableau14[[#This Row],[LEN]]*#REF!+#REF!,0)</f>
        <v>#REF!</v>
      </c>
    </row>
    <row r="538" spans="1:16" s="97" customFormat="1" x14ac:dyDescent="0.25">
      <c r="A538" s="29" t="s">
        <v>1406</v>
      </c>
      <c r="B538" s="30" t="s">
        <v>1386</v>
      </c>
      <c r="C538" s="31" t="s">
        <v>98</v>
      </c>
      <c r="D538" s="71" t="s">
        <v>28</v>
      </c>
      <c r="E538" s="31" t="s">
        <v>663</v>
      </c>
      <c r="F538" s="31" t="s">
        <v>786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ROUND(Tableau14[[#This Row],[LEN]]*7.27,0)</f>
        <v>109</v>
      </c>
      <c r="L538" s="111">
        <v>15</v>
      </c>
      <c r="M538" s="128" t="str">
        <f t="shared" si="4"/>
        <v>none</v>
      </c>
      <c r="N538" s="111">
        <f>LEN(Tableau14[[#This Row],[LABEL]])</f>
        <v>15</v>
      </c>
      <c r="O538" s="111">
        <v>15</v>
      </c>
      <c r="P538" s="111" t="e">
        <f>ROUND(Tableau14[[#This Row],[LEN]]*#REF!+#REF!,0)</f>
        <v>#REF!</v>
      </c>
    </row>
    <row r="539" spans="1:16" s="97" customFormat="1" x14ac:dyDescent="0.25">
      <c r="A539" s="29" t="s">
        <v>1407</v>
      </c>
      <c r="B539" s="30" t="s">
        <v>1386</v>
      </c>
      <c r="C539" s="31" t="s">
        <v>99</v>
      </c>
      <c r="D539" s="71" t="s">
        <v>28</v>
      </c>
      <c r="E539" s="31" t="s">
        <v>663</v>
      </c>
      <c r="F539" s="31" t="s">
        <v>786</v>
      </c>
      <c r="G539" s="71" t="s">
        <v>166</v>
      </c>
      <c r="H539" s="71" t="s">
        <v>18</v>
      </c>
      <c r="I539" s="31"/>
      <c r="J539" s="32" t="s">
        <v>708</v>
      </c>
      <c r="K539" s="111">
        <f>ROUND(Tableau14[[#This Row],[LEN]]*7.27,0)</f>
        <v>80</v>
      </c>
      <c r="L539" s="111">
        <v>15</v>
      </c>
      <c r="M539" s="128" t="str">
        <f t="shared" si="4"/>
        <v>none</v>
      </c>
      <c r="N539" s="111">
        <f>LEN(Tableau14[[#This Row],[LABEL]])</f>
        <v>11</v>
      </c>
      <c r="O539" s="111">
        <v>15</v>
      </c>
      <c r="P539" s="111" t="e">
        <f>ROUND(Tableau14[[#This Row],[LEN]]*#REF!+#REF!,0)</f>
        <v>#REF!</v>
      </c>
    </row>
    <row r="540" spans="1:16" s="97" customFormat="1" x14ac:dyDescent="0.25">
      <c r="A540" s="220" t="s">
        <v>1387</v>
      </c>
      <c r="B540" s="221" t="s">
        <v>264</v>
      </c>
      <c r="C540" s="222" t="s">
        <v>1408</v>
      </c>
      <c r="D540" s="70" t="s">
        <v>1409</v>
      </c>
      <c r="E540" s="229" t="s">
        <v>678</v>
      </c>
      <c r="F540" s="215" t="s">
        <v>671</v>
      </c>
      <c r="G540" s="70" t="s">
        <v>166</v>
      </c>
      <c r="H540" s="223" t="s">
        <v>18</v>
      </c>
      <c r="I540" s="222"/>
      <c r="J540" s="224" t="s">
        <v>708</v>
      </c>
      <c r="K540" s="225">
        <f>ROUND(Tableau14[[#This Row],[LEN]]*7.27,0)</f>
        <v>364</v>
      </c>
      <c r="L540" s="225">
        <v>15</v>
      </c>
      <c r="M540" s="226" t="str">
        <f t="shared" si="4"/>
        <v>none</v>
      </c>
      <c r="N540" s="225">
        <f>LEN(Tableau14[[#This Row],[LABEL]])</f>
        <v>50</v>
      </c>
      <c r="O540" s="225">
        <v>15</v>
      </c>
      <c r="P540" s="225" t="e">
        <f>ROUND(Tableau14[[#This Row],[LEN]]*#REF!+#REF!,0)</f>
        <v>#REF!</v>
      </c>
    </row>
    <row r="541" spans="1:16" s="97" customFormat="1" x14ac:dyDescent="0.25">
      <c r="A541" s="220" t="s">
        <v>1388</v>
      </c>
      <c r="B541" s="221" t="s">
        <v>264</v>
      </c>
      <c r="C541" s="222" t="s">
        <v>1410</v>
      </c>
      <c r="D541" s="70" t="s">
        <v>28</v>
      </c>
      <c r="E541" s="229" t="s">
        <v>678</v>
      </c>
      <c r="F541" s="215" t="s">
        <v>1177</v>
      </c>
      <c r="G541" s="70" t="s">
        <v>166</v>
      </c>
      <c r="H541" s="223" t="s">
        <v>570</v>
      </c>
      <c r="I541" s="222"/>
      <c r="J541" s="224" t="s">
        <v>708</v>
      </c>
      <c r="K541" s="225">
        <f>ROUND(Tableau14[[#This Row],[LEN]]*7.27,0)</f>
        <v>291</v>
      </c>
      <c r="L541" s="225">
        <v>15</v>
      </c>
      <c r="M541" s="226" t="str">
        <f t="shared" si="4"/>
        <v>none</v>
      </c>
      <c r="N541" s="225">
        <f>LEN(Tableau14[[#This Row],[LABEL]])</f>
        <v>40</v>
      </c>
      <c r="O541" s="225">
        <v>15</v>
      </c>
      <c r="P541" s="225" t="e">
        <f>ROUND(Tableau14[[#This Row],[LEN]]*#REF!+#REF!,0)</f>
        <v>#REF!</v>
      </c>
    </row>
    <row r="542" spans="1:16" s="97" customFormat="1" x14ac:dyDescent="0.25">
      <c r="A542" s="220" t="s">
        <v>1389</v>
      </c>
      <c r="B542" s="221" t="s">
        <v>264</v>
      </c>
      <c r="C542" s="222" t="s">
        <v>1411</v>
      </c>
      <c r="D542" s="70" t="s">
        <v>28</v>
      </c>
      <c r="E542" s="229" t="s">
        <v>678</v>
      </c>
      <c r="F542" s="215" t="s">
        <v>1177</v>
      </c>
      <c r="G542" s="70" t="s">
        <v>166</v>
      </c>
      <c r="H542" s="223" t="s">
        <v>656</v>
      </c>
      <c r="I542" s="222"/>
      <c r="J542" s="224" t="s">
        <v>708</v>
      </c>
      <c r="K542" s="225">
        <f>ROUND(Tableau14[[#This Row],[LEN]]*7.27,0)</f>
        <v>473</v>
      </c>
      <c r="L542" s="225">
        <v>15</v>
      </c>
      <c r="M542" s="226" t="str">
        <f t="shared" si="4"/>
        <v>none</v>
      </c>
      <c r="N542" s="225">
        <f>LEN(Tableau14[[#This Row],[LABEL]])</f>
        <v>65</v>
      </c>
      <c r="O542" s="225">
        <v>15</v>
      </c>
      <c r="P542" s="225" t="e">
        <f>ROUND(Tableau14[[#This Row],[LEN]]*#REF!+#REF!,0)</f>
        <v>#REF!</v>
      </c>
    </row>
    <row r="543" spans="1:16" s="97" customFormat="1" x14ac:dyDescent="0.25">
      <c r="A543" s="220" t="s">
        <v>1390</v>
      </c>
      <c r="B543" s="221" t="s">
        <v>264</v>
      </c>
      <c r="C543" s="222" t="s">
        <v>1167</v>
      </c>
      <c r="D543" s="70" t="s">
        <v>486</v>
      </c>
      <c r="E543" s="229" t="s">
        <v>1085</v>
      </c>
      <c r="F543" s="215" t="s">
        <v>1084</v>
      </c>
      <c r="G543" s="70" t="s">
        <v>1977</v>
      </c>
      <c r="H543" s="223" t="s">
        <v>1131</v>
      </c>
      <c r="I543" s="222"/>
      <c r="J543" s="224" t="s">
        <v>708</v>
      </c>
      <c r="K543" s="225">
        <f>ROUND(Tableau14[[#This Row],[LEN]]*7.27,0)</f>
        <v>196</v>
      </c>
      <c r="L543" s="225">
        <v>15</v>
      </c>
      <c r="M543" s="226" t="str">
        <f t="shared" si="4"/>
        <v>none</v>
      </c>
      <c r="N543" s="225">
        <f>LEN(Tableau14[[#This Row],[LABEL]])</f>
        <v>27</v>
      </c>
      <c r="O543" s="225">
        <v>15</v>
      </c>
      <c r="P543" s="225" t="e">
        <f>ROUND(Tableau14[[#This Row],[LEN]]*#REF!+#REF!,0)</f>
        <v>#REF!</v>
      </c>
    </row>
    <row r="544" spans="1:16" s="97" customFormat="1" x14ac:dyDescent="0.25">
      <c r="A544" s="29" t="s">
        <v>1412</v>
      </c>
      <c r="B544" s="30" t="s">
        <v>1390</v>
      </c>
      <c r="C544" s="31" t="s">
        <v>93</v>
      </c>
      <c r="D544" s="71" t="s">
        <v>28</v>
      </c>
      <c r="E544" s="31" t="s">
        <v>1085</v>
      </c>
      <c r="F544" s="31" t="s">
        <v>1084</v>
      </c>
      <c r="G544" s="71" t="s">
        <v>166</v>
      </c>
      <c r="H544" s="71" t="s">
        <v>18</v>
      </c>
      <c r="I544" s="31"/>
      <c r="J544" s="32" t="s">
        <v>101</v>
      </c>
      <c r="K544" s="111">
        <f>ROUND(Tableau14[[#This Row],[LEN]]*7.27,0)</f>
        <v>109</v>
      </c>
      <c r="L544" s="111">
        <v>15</v>
      </c>
      <c r="M544" s="128" t="str">
        <f t="shared" si="4"/>
        <v>new</v>
      </c>
      <c r="N544" s="111">
        <f>LEN(Tableau14[[#This Row],[LABEL]])</f>
        <v>15</v>
      </c>
      <c r="O544" s="111">
        <v>15</v>
      </c>
      <c r="P544" s="111" t="e">
        <f>ROUND(Tableau14[[#This Row],[LEN]]*#REF!+#REF!,0)</f>
        <v>#REF!</v>
      </c>
    </row>
    <row r="545" spans="1:16" s="97" customFormat="1" x14ac:dyDescent="0.25">
      <c r="A545" s="29" t="s">
        <v>1413</v>
      </c>
      <c r="B545" s="30" t="s">
        <v>1390</v>
      </c>
      <c r="C545" s="31" t="s">
        <v>94</v>
      </c>
      <c r="D545" s="71" t="s">
        <v>28</v>
      </c>
      <c r="E545" s="31" t="s">
        <v>1085</v>
      </c>
      <c r="F545" s="31" t="s">
        <v>1084</v>
      </c>
      <c r="G545" s="71" t="s">
        <v>166</v>
      </c>
      <c r="H545" s="71" t="s">
        <v>18</v>
      </c>
      <c r="I545" s="31"/>
      <c r="J545" s="32" t="s">
        <v>102</v>
      </c>
      <c r="K545" s="111">
        <f>ROUND(Tableau14[[#This Row],[LEN]]*7.27,0)</f>
        <v>58</v>
      </c>
      <c r="L545" s="111">
        <v>15</v>
      </c>
      <c r="M545" s="128" t="str">
        <f t="shared" si="4"/>
        <v>new</v>
      </c>
      <c r="N545" s="111">
        <f>LEN(Tableau14[[#This Row],[LABEL]])</f>
        <v>8</v>
      </c>
      <c r="O545" s="111">
        <v>15</v>
      </c>
      <c r="P545" s="111" t="e">
        <f>ROUND(Tableau14[[#This Row],[LEN]]*#REF!+#REF!,0)</f>
        <v>#REF!</v>
      </c>
    </row>
    <row r="546" spans="1:16" s="273" customFormat="1" x14ac:dyDescent="0.25">
      <c r="A546" s="288" t="s">
        <v>265</v>
      </c>
      <c r="B546" s="289" t="s">
        <v>206</v>
      </c>
      <c r="C546" s="290" t="s">
        <v>15</v>
      </c>
      <c r="D546" s="291" t="s">
        <v>28</v>
      </c>
      <c r="E546" s="290" t="s">
        <v>679</v>
      </c>
      <c r="F546" s="290" t="s">
        <v>679</v>
      </c>
      <c r="G546" s="291" t="s">
        <v>166</v>
      </c>
      <c r="H546" s="291" t="str">
        <f>IFERROR(IF(SEARCH(".00.00.00.00.00",Tableau14[[#This Row],[name]],1)=7,"Division",""),"")</f>
        <v>Division</v>
      </c>
      <c r="I546" s="290"/>
      <c r="J546" s="292" t="s">
        <v>725</v>
      </c>
      <c r="K546" s="293">
        <f>ROUND(Tableau14[[#This Row],[LEN]]*7.27,0)</f>
        <v>174</v>
      </c>
      <c r="L546" s="293">
        <v>15</v>
      </c>
      <c r="M546" s="294" t="str">
        <f t="shared" si="4"/>
        <v>new</v>
      </c>
      <c r="N546" s="293">
        <f>LEN(Tableau14[[#This Row],[LABEL]])</f>
        <v>24</v>
      </c>
      <c r="O546" s="293">
        <v>15</v>
      </c>
      <c r="P546" s="293" t="e">
        <f>ROUND(Tableau14[[#This Row],[LEN]]*#REF!+#REF!,0)</f>
        <v>#REF!</v>
      </c>
    </row>
    <row r="547" spans="1:16" s="97" customFormat="1" x14ac:dyDescent="0.25">
      <c r="A547" s="220" t="s">
        <v>1414</v>
      </c>
      <c r="B547" s="221" t="s">
        <v>265</v>
      </c>
      <c r="C547" s="222" t="s">
        <v>88</v>
      </c>
      <c r="D547" s="70" t="s">
        <v>28</v>
      </c>
      <c r="E547" s="229" t="s">
        <v>667</v>
      </c>
      <c r="F547" s="215" t="s">
        <v>1218</v>
      </c>
      <c r="G547" s="70" t="s">
        <v>166</v>
      </c>
      <c r="H547" s="223" t="s">
        <v>570</v>
      </c>
      <c r="I547" s="222"/>
      <c r="J547" s="224" t="s">
        <v>708</v>
      </c>
      <c r="K547" s="225">
        <f>ROUND(Tableau14[[#This Row],[LEN]]*7.27,0)</f>
        <v>342</v>
      </c>
      <c r="L547" s="225">
        <v>15</v>
      </c>
      <c r="M547" s="226" t="str">
        <f t="shared" si="4"/>
        <v>none</v>
      </c>
      <c r="N547" s="225">
        <f>LEN(Tableau14[[#This Row],[LABEL]])</f>
        <v>47</v>
      </c>
      <c r="O547" s="225">
        <v>15</v>
      </c>
      <c r="P547" s="225" t="e">
        <f>ROUND(Tableau14[[#This Row],[LEN]]*#REF!+#REF!,0)</f>
        <v>#REF!</v>
      </c>
    </row>
    <row r="548" spans="1:16" s="97" customFormat="1" x14ac:dyDescent="0.25">
      <c r="A548" s="220" t="s">
        <v>1415</v>
      </c>
      <c r="B548" s="221" t="s">
        <v>265</v>
      </c>
      <c r="C548" s="222" t="s">
        <v>1357</v>
      </c>
      <c r="D548" s="70" t="s">
        <v>28</v>
      </c>
      <c r="E548" s="229" t="s">
        <v>673</v>
      </c>
      <c r="F548" s="215" t="s">
        <v>1249</v>
      </c>
      <c r="G548" s="70" t="s">
        <v>166</v>
      </c>
      <c r="H548" s="223" t="s">
        <v>655</v>
      </c>
      <c r="I548" s="222"/>
      <c r="J548" s="224" t="s">
        <v>708</v>
      </c>
      <c r="K548" s="225">
        <f>ROUND(Tableau14[[#This Row],[LEN]]*7.27,0)</f>
        <v>298</v>
      </c>
      <c r="L548" s="225">
        <v>15</v>
      </c>
      <c r="M548" s="226" t="str">
        <f t="shared" si="4"/>
        <v>none</v>
      </c>
      <c r="N548" s="225">
        <f>LEN(Tableau14[[#This Row],[LABEL]])</f>
        <v>41</v>
      </c>
      <c r="O548" s="225">
        <v>15</v>
      </c>
      <c r="P548" s="225" t="e">
        <f>ROUND(Tableau14[[#This Row],[LEN]]*#REF!+#REF!,0)</f>
        <v>#REF!</v>
      </c>
    </row>
    <row r="549" spans="1:16" s="97" customFormat="1" x14ac:dyDescent="0.25">
      <c r="A549" s="220" t="s">
        <v>1416</v>
      </c>
      <c r="B549" s="221" t="s">
        <v>265</v>
      </c>
      <c r="C549" s="222" t="s">
        <v>778</v>
      </c>
      <c r="D549" s="70" t="s">
        <v>28</v>
      </c>
      <c r="E549" s="229" t="s">
        <v>673</v>
      </c>
      <c r="F549" s="27" t="s">
        <v>2000</v>
      </c>
      <c r="G549" s="70" t="s">
        <v>166</v>
      </c>
      <c r="H549" s="223" t="s">
        <v>17</v>
      </c>
      <c r="I549" s="222"/>
      <c r="J549" s="224" t="s">
        <v>708</v>
      </c>
      <c r="K549" s="225">
        <f>ROUND(Tableau14[[#This Row],[LEN]]*7.27,0)</f>
        <v>211</v>
      </c>
      <c r="L549" s="225">
        <v>15</v>
      </c>
      <c r="M549" s="226" t="str">
        <f t="shared" si="4"/>
        <v>none</v>
      </c>
      <c r="N549" s="225">
        <f>LEN(Tableau14[[#This Row],[LABEL]])</f>
        <v>29</v>
      </c>
      <c r="O549" s="225">
        <v>15</v>
      </c>
      <c r="P549" s="225" t="e">
        <f>ROUND(Tableau14[[#This Row],[LEN]]*#REF!+#REF!,0)</f>
        <v>#REF!</v>
      </c>
    </row>
    <row r="550" spans="1:16" s="97" customFormat="1" x14ac:dyDescent="0.25">
      <c r="A550" s="220" t="s">
        <v>1417</v>
      </c>
      <c r="B550" s="221" t="s">
        <v>265</v>
      </c>
      <c r="C550" s="222" t="s">
        <v>91</v>
      </c>
      <c r="D550" s="70" t="s">
        <v>28</v>
      </c>
      <c r="E550" s="229" t="s">
        <v>663</v>
      </c>
      <c r="F550" s="215" t="s">
        <v>786</v>
      </c>
      <c r="G550" s="70" t="s">
        <v>166</v>
      </c>
      <c r="H550" s="223" t="s">
        <v>655</v>
      </c>
      <c r="I550" s="222"/>
      <c r="J550" s="224" t="s">
        <v>708</v>
      </c>
      <c r="K550" s="225">
        <f>ROUND(Tableau14[[#This Row],[LEN]]*7.27,0)</f>
        <v>269</v>
      </c>
      <c r="L550" s="225">
        <v>15</v>
      </c>
      <c r="M550" s="226" t="str">
        <f t="shared" si="4"/>
        <v>none</v>
      </c>
      <c r="N550" s="225">
        <f>LEN(Tableau14[[#This Row],[LABEL]])</f>
        <v>37</v>
      </c>
      <c r="O550" s="225">
        <v>15</v>
      </c>
      <c r="P550" s="225" t="e">
        <f>ROUND(Tableau14[[#This Row],[LEN]]*#REF!+#REF!,0)</f>
        <v>#REF!</v>
      </c>
    </row>
    <row r="551" spans="1:16" s="97" customFormat="1" x14ac:dyDescent="0.25">
      <c r="A551" s="29" t="s">
        <v>1421</v>
      </c>
      <c r="B551" s="30" t="s">
        <v>1417</v>
      </c>
      <c r="C551" s="31" t="s">
        <v>98</v>
      </c>
      <c r="D551" s="71" t="s">
        <v>28</v>
      </c>
      <c r="E551" s="31" t="s">
        <v>663</v>
      </c>
      <c r="F551" s="31" t="s">
        <v>786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ROUND(Tableau14[[#This Row],[LEN]]*7.27,0)</f>
        <v>109</v>
      </c>
      <c r="L551" s="111">
        <v>15</v>
      </c>
      <c r="M551" s="128" t="str">
        <f t="shared" si="4"/>
        <v>none</v>
      </c>
      <c r="N551" s="111">
        <f>LEN(Tableau14[[#This Row],[LABEL]])</f>
        <v>15</v>
      </c>
      <c r="O551" s="111">
        <v>15</v>
      </c>
      <c r="P551" s="111" t="e">
        <f>ROUND(Tableau14[[#This Row],[LEN]]*#REF!+#REF!,0)</f>
        <v>#REF!</v>
      </c>
    </row>
    <row r="552" spans="1:16" s="97" customFormat="1" x14ac:dyDescent="0.25">
      <c r="A552" s="29" t="s">
        <v>1422</v>
      </c>
      <c r="B552" s="30" t="s">
        <v>1417</v>
      </c>
      <c r="C552" s="31" t="s">
        <v>99</v>
      </c>
      <c r="D552" s="71" t="s">
        <v>28</v>
      </c>
      <c r="E552" s="31" t="s">
        <v>663</v>
      </c>
      <c r="F552" s="31" t="s">
        <v>786</v>
      </c>
      <c r="G552" s="71" t="s">
        <v>166</v>
      </c>
      <c r="H552" s="71" t="s">
        <v>18</v>
      </c>
      <c r="I552" s="31"/>
      <c r="J552" s="32" t="s">
        <v>708</v>
      </c>
      <c r="K552" s="111">
        <f>ROUND(Tableau14[[#This Row],[LEN]]*7.27,0)</f>
        <v>80</v>
      </c>
      <c r="L552" s="111">
        <v>15</v>
      </c>
      <c r="M552" s="128" t="str">
        <f t="shared" si="4"/>
        <v>none</v>
      </c>
      <c r="N552" s="111">
        <f>LEN(Tableau14[[#This Row],[LABEL]])</f>
        <v>11</v>
      </c>
      <c r="O552" s="111">
        <v>15</v>
      </c>
      <c r="P552" s="111" t="e">
        <f>ROUND(Tableau14[[#This Row],[LEN]]*#REF!+#REF!,0)</f>
        <v>#REF!</v>
      </c>
    </row>
    <row r="553" spans="1:16" s="97" customFormat="1" x14ac:dyDescent="0.25">
      <c r="A553" s="220" t="s">
        <v>1418</v>
      </c>
      <c r="B553" s="221" t="s">
        <v>265</v>
      </c>
      <c r="C553" s="222" t="s">
        <v>1423</v>
      </c>
      <c r="D553" s="70" t="s">
        <v>28</v>
      </c>
      <c r="E553" s="229" t="s">
        <v>679</v>
      </c>
      <c r="F553" s="215" t="s">
        <v>1177</v>
      </c>
      <c r="G553" s="70" t="s">
        <v>166</v>
      </c>
      <c r="H553" s="223" t="s">
        <v>656</v>
      </c>
      <c r="I553" s="222"/>
      <c r="J553" s="224" t="s">
        <v>708</v>
      </c>
      <c r="K553" s="225">
        <f>ROUND(Tableau14[[#This Row],[LEN]]*7.27,0)</f>
        <v>87</v>
      </c>
      <c r="L553" s="225">
        <v>15</v>
      </c>
      <c r="M553" s="226" t="str">
        <f t="shared" si="4"/>
        <v>none</v>
      </c>
      <c r="N553" s="225">
        <f>LEN(Tableau14[[#This Row],[LABEL]])</f>
        <v>12</v>
      </c>
      <c r="O553" s="225">
        <v>15</v>
      </c>
      <c r="P553" s="225" t="e">
        <f>ROUND(Tableau14[[#This Row],[LEN]]*#REF!+#REF!,0)</f>
        <v>#REF!</v>
      </c>
    </row>
    <row r="554" spans="1:16" s="97" customFormat="1" x14ac:dyDescent="0.25">
      <c r="A554" s="220" t="s">
        <v>1419</v>
      </c>
      <c r="B554" s="221" t="s">
        <v>265</v>
      </c>
      <c r="C554" s="222" t="s">
        <v>1424</v>
      </c>
      <c r="D554" s="70" t="s">
        <v>28</v>
      </c>
      <c r="E554" s="229" t="s">
        <v>679</v>
      </c>
      <c r="F554" s="215" t="s">
        <v>1177</v>
      </c>
      <c r="G554" s="70" t="s">
        <v>166</v>
      </c>
      <c r="H554" s="223" t="s">
        <v>18</v>
      </c>
      <c r="I554" s="222"/>
      <c r="J554" s="224" t="s">
        <v>708</v>
      </c>
      <c r="K554" s="225">
        <f>ROUND(Tableau14[[#This Row],[LEN]]*7.27,0)</f>
        <v>320</v>
      </c>
      <c r="L554" s="225">
        <v>15</v>
      </c>
      <c r="M554" s="226" t="str">
        <f t="shared" si="4"/>
        <v>none</v>
      </c>
      <c r="N554" s="225">
        <f>LEN(Tableau14[[#This Row],[LABEL]])</f>
        <v>44</v>
      </c>
      <c r="O554" s="225">
        <v>15</v>
      </c>
      <c r="P554" s="225" t="e">
        <f>ROUND(Tableau14[[#This Row],[LEN]]*#REF!+#REF!,0)</f>
        <v>#REF!</v>
      </c>
    </row>
    <row r="555" spans="1:16" s="97" customFormat="1" x14ac:dyDescent="0.25">
      <c r="A555" s="220" t="s">
        <v>1420</v>
      </c>
      <c r="B555" s="221" t="s">
        <v>265</v>
      </c>
      <c r="C555" s="222" t="s">
        <v>1167</v>
      </c>
      <c r="D555" s="70" t="s">
        <v>486</v>
      </c>
      <c r="E555" s="229" t="s">
        <v>1085</v>
      </c>
      <c r="F555" s="215" t="s">
        <v>1084</v>
      </c>
      <c r="G555" s="70" t="s">
        <v>1977</v>
      </c>
      <c r="H555" s="223" t="s">
        <v>1131</v>
      </c>
      <c r="I555" s="222"/>
      <c r="J555" s="224" t="s">
        <v>708</v>
      </c>
      <c r="K555" s="225">
        <f>ROUND(Tableau14[[#This Row],[LEN]]*7.27,0)</f>
        <v>196</v>
      </c>
      <c r="L555" s="225">
        <v>15</v>
      </c>
      <c r="M555" s="226" t="str">
        <f t="shared" si="4"/>
        <v>none</v>
      </c>
      <c r="N555" s="225">
        <f>LEN(Tableau14[[#This Row],[LABEL]])</f>
        <v>27</v>
      </c>
      <c r="O555" s="225">
        <v>15</v>
      </c>
      <c r="P555" s="225" t="e">
        <f>ROUND(Tableau14[[#This Row],[LEN]]*#REF!+#REF!,0)</f>
        <v>#REF!</v>
      </c>
    </row>
    <row r="556" spans="1:16" s="97" customFormat="1" x14ac:dyDescent="0.25">
      <c r="A556" s="29" t="s">
        <v>1425</v>
      </c>
      <c r="B556" s="30" t="s">
        <v>1420</v>
      </c>
      <c r="C556" s="31" t="s">
        <v>93</v>
      </c>
      <c r="D556" s="71" t="s">
        <v>28</v>
      </c>
      <c r="E556" s="31" t="s">
        <v>1085</v>
      </c>
      <c r="F556" s="31" t="s">
        <v>1084</v>
      </c>
      <c r="G556" s="71" t="s">
        <v>166</v>
      </c>
      <c r="H556" s="71" t="s">
        <v>18</v>
      </c>
      <c r="I556" s="31"/>
      <c r="J556" s="32" t="s">
        <v>101</v>
      </c>
      <c r="K556" s="111">
        <f>ROUND(Tableau14[[#This Row],[LEN]]*7.27,0)</f>
        <v>109</v>
      </c>
      <c r="L556" s="111">
        <v>15</v>
      </c>
      <c r="M556" s="128" t="str">
        <f t="shared" si="4"/>
        <v>new</v>
      </c>
      <c r="N556" s="111">
        <f>LEN(Tableau14[[#This Row],[LABEL]])</f>
        <v>15</v>
      </c>
      <c r="O556" s="111">
        <v>15</v>
      </c>
      <c r="P556" s="111" t="e">
        <f>ROUND(Tableau14[[#This Row],[LEN]]*#REF!+#REF!,0)</f>
        <v>#REF!</v>
      </c>
    </row>
    <row r="557" spans="1:16" s="97" customFormat="1" x14ac:dyDescent="0.25">
      <c r="A557" s="29" t="s">
        <v>1426</v>
      </c>
      <c r="B557" s="30" t="s">
        <v>1420</v>
      </c>
      <c r="C557" s="31" t="s">
        <v>94</v>
      </c>
      <c r="D557" s="71" t="s">
        <v>28</v>
      </c>
      <c r="E557" s="31" t="s">
        <v>1085</v>
      </c>
      <c r="F557" s="31" t="s">
        <v>1084</v>
      </c>
      <c r="G557" s="71" t="s">
        <v>166</v>
      </c>
      <c r="H557" s="71" t="s">
        <v>18</v>
      </c>
      <c r="I557" s="31"/>
      <c r="J557" s="32" t="s">
        <v>102</v>
      </c>
      <c r="K557" s="111">
        <f>ROUND(Tableau14[[#This Row],[LEN]]*7.27,0)</f>
        <v>58</v>
      </c>
      <c r="L557" s="111">
        <v>15</v>
      </c>
      <c r="M557" s="128" t="str">
        <f t="shared" si="4"/>
        <v>new</v>
      </c>
      <c r="N557" s="111">
        <f>LEN(Tableau14[[#This Row],[LABEL]])</f>
        <v>8</v>
      </c>
      <c r="O557" s="111">
        <v>15</v>
      </c>
      <c r="P557" s="111" t="e">
        <f>ROUND(Tableau14[[#This Row],[LEN]]*#REF!+#REF!,0)</f>
        <v>#REF!</v>
      </c>
    </row>
    <row r="558" spans="1:16" s="273" customFormat="1" x14ac:dyDescent="0.25">
      <c r="A558" s="288" t="s">
        <v>1979</v>
      </c>
      <c r="B558" s="289" t="s">
        <v>206</v>
      </c>
      <c r="C558" s="290" t="s">
        <v>1950</v>
      </c>
      <c r="D558" s="291" t="s">
        <v>28</v>
      </c>
      <c r="E558" s="290" t="s">
        <v>1951</v>
      </c>
      <c r="F558" s="290" t="s">
        <v>1951</v>
      </c>
      <c r="G558" s="291" t="s">
        <v>166</v>
      </c>
      <c r="H558" s="291" t="s">
        <v>56</v>
      </c>
      <c r="I558" s="290"/>
      <c r="J558" s="292" t="s">
        <v>708</v>
      </c>
      <c r="K558" s="293">
        <f>ROUND(Tableau14[[#This Row],[LEN]]*7.27,0)</f>
        <v>51</v>
      </c>
      <c r="L558" s="293">
        <v>15</v>
      </c>
      <c r="M558" s="294" t="str">
        <f t="shared" si="4"/>
        <v>none</v>
      </c>
      <c r="N558" s="293">
        <f>LEN(Tableau14[[#This Row],[LABEL]])</f>
        <v>7</v>
      </c>
      <c r="O558" s="293">
        <v>15</v>
      </c>
      <c r="P558" s="293" t="e">
        <f>ROUND(Tableau14[[#This Row],[LEN]]*#REF!+#REF!,0)</f>
        <v>#REF!</v>
      </c>
    </row>
    <row r="559" spans="1:16" s="97" customFormat="1" x14ac:dyDescent="0.25">
      <c r="A559" s="220" t="s">
        <v>1980</v>
      </c>
      <c r="B559" s="221" t="s">
        <v>1979</v>
      </c>
      <c r="C559" s="222" t="s">
        <v>2001</v>
      </c>
      <c r="D559" s="70" t="s">
        <v>1990</v>
      </c>
      <c r="E559" s="229" t="s">
        <v>1951</v>
      </c>
      <c r="F559" s="215" t="s">
        <v>1177</v>
      </c>
      <c r="G559" s="70" t="s">
        <v>166</v>
      </c>
      <c r="H559" s="223" t="s">
        <v>570</v>
      </c>
      <c r="I559" s="222"/>
      <c r="J559" s="224" t="s">
        <v>708</v>
      </c>
      <c r="K559" s="225">
        <f>ROUND(Tableau14[[#This Row],[LEN]]*7.27,0)</f>
        <v>80</v>
      </c>
      <c r="L559" s="225">
        <v>15</v>
      </c>
      <c r="M559" s="226" t="str">
        <f t="shared" si="4"/>
        <v>none</v>
      </c>
      <c r="N559" s="225">
        <f>LEN(Tableau14[[#This Row],[LABEL]])</f>
        <v>11</v>
      </c>
      <c r="O559" s="225">
        <v>15</v>
      </c>
      <c r="P559" s="225" t="e">
        <f>ROUND(Tableau14[[#This Row],[LEN]]*#REF!+#REF!,0)</f>
        <v>#REF!</v>
      </c>
    </row>
    <row r="560" spans="1:16" s="97" customFormat="1" x14ac:dyDescent="0.25">
      <c r="A560" s="220" t="s">
        <v>1981</v>
      </c>
      <c r="B560" s="221" t="s">
        <v>1979</v>
      </c>
      <c r="C560" s="222" t="s">
        <v>1991</v>
      </c>
      <c r="D560" s="70" t="s">
        <v>28</v>
      </c>
      <c r="E560" s="229" t="s">
        <v>1951</v>
      </c>
      <c r="F560" s="215" t="s">
        <v>1177</v>
      </c>
      <c r="G560" s="70" t="s">
        <v>166</v>
      </c>
      <c r="H560" s="223" t="s">
        <v>570</v>
      </c>
      <c r="I560" s="222"/>
      <c r="J560" s="224" t="s">
        <v>708</v>
      </c>
      <c r="K560" s="225">
        <f>ROUND(Tableau14[[#This Row],[LEN]]*7.27,0)</f>
        <v>458</v>
      </c>
      <c r="L560" s="225">
        <v>15</v>
      </c>
      <c r="M560" s="226" t="str">
        <f t="shared" si="4"/>
        <v>none</v>
      </c>
      <c r="N560" s="225">
        <f>LEN(Tableau14[[#This Row],[LABEL]])</f>
        <v>63</v>
      </c>
      <c r="O560" s="225">
        <v>15</v>
      </c>
      <c r="P560" s="225" t="e">
        <f>ROUND(Tableau14[[#This Row],[LEN]]*#REF!+#REF!,0)</f>
        <v>#REF!</v>
      </c>
    </row>
    <row r="561" spans="1:16" s="97" customFormat="1" x14ac:dyDescent="0.25">
      <c r="A561" s="220" t="s">
        <v>1982</v>
      </c>
      <c r="B561" s="221" t="s">
        <v>1979</v>
      </c>
      <c r="C561" s="222" t="s">
        <v>1992</v>
      </c>
      <c r="D561" s="70" t="s">
        <v>28</v>
      </c>
      <c r="E561" s="229" t="s">
        <v>1951</v>
      </c>
      <c r="F561" s="215" t="s">
        <v>1177</v>
      </c>
      <c r="G561" s="70" t="s">
        <v>166</v>
      </c>
      <c r="H561" s="223" t="s">
        <v>570</v>
      </c>
      <c r="I561" s="222"/>
      <c r="J561" s="224" t="s">
        <v>708</v>
      </c>
      <c r="K561" s="225">
        <f>ROUND(Tableau14[[#This Row],[LEN]]*7.27,0)</f>
        <v>305</v>
      </c>
      <c r="L561" s="225">
        <v>15</v>
      </c>
      <c r="M561" s="226" t="str">
        <f t="shared" si="4"/>
        <v>none</v>
      </c>
      <c r="N561" s="225">
        <f>LEN(Tableau14[[#This Row],[LABEL]])</f>
        <v>42</v>
      </c>
      <c r="O561" s="225">
        <v>15</v>
      </c>
      <c r="P561" s="225" t="e">
        <f>ROUND(Tableau14[[#This Row],[LEN]]*#REF!+#REF!,0)</f>
        <v>#REF!</v>
      </c>
    </row>
    <row r="562" spans="1:16" s="97" customFormat="1" x14ac:dyDescent="0.25">
      <c r="A562" s="220" t="s">
        <v>1983</v>
      </c>
      <c r="B562" s="221" t="s">
        <v>1979</v>
      </c>
      <c r="C562" s="222" t="s">
        <v>1993</v>
      </c>
      <c r="D562" s="70" t="s">
        <v>28</v>
      </c>
      <c r="E562" s="229" t="s">
        <v>1951</v>
      </c>
      <c r="F562" s="215" t="s">
        <v>1177</v>
      </c>
      <c r="G562" s="70" t="s">
        <v>166</v>
      </c>
      <c r="H562" s="223" t="s">
        <v>570</v>
      </c>
      <c r="I562" s="222"/>
      <c r="J562" s="224" t="s">
        <v>708</v>
      </c>
      <c r="K562" s="225">
        <f>ROUND(Tableau14[[#This Row],[LEN]]*7.27,0)</f>
        <v>385</v>
      </c>
      <c r="L562" s="225">
        <v>15</v>
      </c>
      <c r="M562" s="226" t="str">
        <f t="shared" si="4"/>
        <v>none</v>
      </c>
      <c r="N562" s="225">
        <f>LEN(Tableau14[[#This Row],[LABEL]])</f>
        <v>53</v>
      </c>
      <c r="O562" s="225">
        <v>15</v>
      </c>
      <c r="P562" s="225" t="e">
        <f>ROUND(Tableau14[[#This Row],[LEN]]*#REF!+#REF!,0)</f>
        <v>#REF!</v>
      </c>
    </row>
    <row r="563" spans="1:16" s="97" customFormat="1" x14ac:dyDescent="0.25">
      <c r="A563" s="220" t="s">
        <v>1984</v>
      </c>
      <c r="B563" s="221" t="s">
        <v>1979</v>
      </c>
      <c r="C563" s="222" t="s">
        <v>2002</v>
      </c>
      <c r="D563" s="70" t="s">
        <v>1994</v>
      </c>
      <c r="E563" s="229" t="s">
        <v>1951</v>
      </c>
      <c r="F563" s="215" t="s">
        <v>1177</v>
      </c>
      <c r="G563" s="70" t="s">
        <v>166</v>
      </c>
      <c r="H563" s="223" t="s">
        <v>18</v>
      </c>
      <c r="I563" s="222"/>
      <c r="J563" s="224" t="s">
        <v>708</v>
      </c>
      <c r="K563" s="225">
        <f>ROUND(Tableau14[[#This Row],[LEN]]*7.27,0)</f>
        <v>516</v>
      </c>
      <c r="L563" s="225">
        <v>15</v>
      </c>
      <c r="M563" s="226" t="str">
        <f t="shared" si="4"/>
        <v>none</v>
      </c>
      <c r="N563" s="225">
        <f>LEN(Tableau14[[#This Row],[LABEL]])</f>
        <v>71</v>
      </c>
      <c r="O563" s="225">
        <v>15</v>
      </c>
      <c r="P563" s="225" t="e">
        <f>ROUND(Tableau14[[#This Row],[LEN]]*#REF!+#REF!,0)</f>
        <v>#REF!</v>
      </c>
    </row>
    <row r="564" spans="1:16" s="97" customFormat="1" x14ac:dyDescent="0.25">
      <c r="A564" s="220" t="s">
        <v>1985</v>
      </c>
      <c r="B564" s="221" t="s">
        <v>1979</v>
      </c>
      <c r="C564" s="222" t="s">
        <v>1995</v>
      </c>
      <c r="D564" s="70" t="s">
        <v>28</v>
      </c>
      <c r="E564" s="229" t="s">
        <v>1951</v>
      </c>
      <c r="F564" s="215" t="s">
        <v>1177</v>
      </c>
      <c r="G564" s="70" t="s">
        <v>166</v>
      </c>
      <c r="H564" s="223" t="s">
        <v>570</v>
      </c>
      <c r="I564" s="222"/>
      <c r="J564" s="224" t="s">
        <v>708</v>
      </c>
      <c r="K564" s="225">
        <f>ROUND(Tableau14[[#This Row],[LEN]]*7.27,0)</f>
        <v>196</v>
      </c>
      <c r="L564" s="225">
        <v>15</v>
      </c>
      <c r="M564" s="226" t="str">
        <f t="shared" si="4"/>
        <v>none</v>
      </c>
      <c r="N564" s="225">
        <f>LEN(Tableau14[[#This Row],[LABEL]])</f>
        <v>27</v>
      </c>
      <c r="O564" s="225">
        <v>15</v>
      </c>
      <c r="P564" s="225" t="e">
        <f>ROUND(Tableau14[[#This Row],[LEN]]*#REF!+#REF!,0)</f>
        <v>#REF!</v>
      </c>
    </row>
    <row r="565" spans="1:16" s="97" customFormat="1" x14ac:dyDescent="0.25">
      <c r="A565" s="220" t="s">
        <v>1986</v>
      </c>
      <c r="B565" s="221" t="s">
        <v>1979</v>
      </c>
      <c r="C565" s="222" t="s">
        <v>1996</v>
      </c>
      <c r="D565" s="70" t="s">
        <v>28</v>
      </c>
      <c r="E565" s="229" t="s">
        <v>1951</v>
      </c>
      <c r="F565" s="215" t="s">
        <v>1177</v>
      </c>
      <c r="G565" s="70" t="s">
        <v>166</v>
      </c>
      <c r="H565" s="223" t="s">
        <v>570</v>
      </c>
      <c r="I565" s="222"/>
      <c r="J565" s="224" t="s">
        <v>708</v>
      </c>
      <c r="K565" s="225">
        <f>ROUND(Tableau14[[#This Row],[LEN]]*7.27,0)</f>
        <v>276</v>
      </c>
      <c r="L565" s="225">
        <v>15</v>
      </c>
      <c r="M565" s="226" t="str">
        <f t="shared" si="4"/>
        <v>none</v>
      </c>
      <c r="N565" s="225">
        <f>LEN(Tableau14[[#This Row],[LABEL]])</f>
        <v>38</v>
      </c>
      <c r="O565" s="225">
        <v>15</v>
      </c>
      <c r="P565" s="225" t="e">
        <f>ROUND(Tableau14[[#This Row],[LEN]]*#REF!+#REF!,0)</f>
        <v>#REF!</v>
      </c>
    </row>
    <row r="566" spans="1:16" s="97" customFormat="1" x14ac:dyDescent="0.25">
      <c r="A566" s="220" t="s">
        <v>1987</v>
      </c>
      <c r="B566" s="221" t="s">
        <v>1979</v>
      </c>
      <c r="C566" s="222" t="s">
        <v>778</v>
      </c>
      <c r="D566" s="70" t="s">
        <v>28</v>
      </c>
      <c r="E566" s="229" t="s">
        <v>673</v>
      </c>
      <c r="F566" s="27" t="s">
        <v>2000</v>
      </c>
      <c r="G566" s="70" t="s">
        <v>166</v>
      </c>
      <c r="H566" s="223" t="s">
        <v>17</v>
      </c>
      <c r="I566" s="222"/>
      <c r="J566" s="224" t="s">
        <v>708</v>
      </c>
      <c r="K566" s="225">
        <f>ROUND(Tableau14[[#This Row],[LEN]]*7.27,0)</f>
        <v>211</v>
      </c>
      <c r="L566" s="225">
        <v>15</v>
      </c>
      <c r="M566" s="226" t="str">
        <f t="shared" si="4"/>
        <v>none</v>
      </c>
      <c r="N566" s="225">
        <f>LEN(Tableau14[[#This Row],[LABEL]])</f>
        <v>29</v>
      </c>
      <c r="O566" s="225">
        <v>15</v>
      </c>
      <c r="P566" s="225" t="e">
        <f>ROUND(Tableau14[[#This Row],[LEN]]*#REF!+#REF!,0)</f>
        <v>#REF!</v>
      </c>
    </row>
    <row r="567" spans="1:16" s="97" customFormat="1" x14ac:dyDescent="0.25">
      <c r="A567" s="220" t="s">
        <v>1988</v>
      </c>
      <c r="B567" s="221" t="s">
        <v>1979</v>
      </c>
      <c r="C567" s="222" t="s">
        <v>1997</v>
      </c>
      <c r="D567" s="70" t="s">
        <v>28</v>
      </c>
      <c r="E567" s="229" t="s">
        <v>1951</v>
      </c>
      <c r="F567" s="215" t="s">
        <v>1177</v>
      </c>
      <c r="G567" s="70" t="s">
        <v>166</v>
      </c>
      <c r="H567" s="223" t="s">
        <v>570</v>
      </c>
      <c r="I567" s="222"/>
      <c r="J567" s="224" t="s">
        <v>708</v>
      </c>
      <c r="K567" s="225">
        <f>ROUND(Tableau14[[#This Row],[LEN]]*7.27,0)</f>
        <v>298</v>
      </c>
      <c r="L567" s="225">
        <v>15</v>
      </c>
      <c r="M567" s="226" t="str">
        <f t="shared" si="4"/>
        <v>none</v>
      </c>
      <c r="N567" s="225">
        <f>LEN(Tableau14[[#This Row],[LABEL]])</f>
        <v>41</v>
      </c>
      <c r="O567" s="225">
        <v>15</v>
      </c>
      <c r="P567" s="225" t="e">
        <f>ROUND(Tableau14[[#This Row],[LEN]]*#REF!+#REF!,0)</f>
        <v>#REF!</v>
      </c>
    </row>
    <row r="568" spans="1:16" s="97" customFormat="1" x14ac:dyDescent="0.25">
      <c r="A568" s="220" t="s">
        <v>1989</v>
      </c>
      <c r="B568" s="221" t="s">
        <v>1979</v>
      </c>
      <c r="C568" s="222" t="s">
        <v>2003</v>
      </c>
      <c r="D568" s="70" t="s">
        <v>1998</v>
      </c>
      <c r="E568" s="229" t="s">
        <v>1951</v>
      </c>
      <c r="F568" s="215" t="s">
        <v>1177</v>
      </c>
      <c r="G568" s="70" t="s">
        <v>166</v>
      </c>
      <c r="H568" s="223" t="s">
        <v>570</v>
      </c>
      <c r="I568" s="222"/>
      <c r="J568" s="224" t="s">
        <v>708</v>
      </c>
      <c r="K568" s="225">
        <f>ROUND(Tableau14[[#This Row],[LEN]]*7.27,0)</f>
        <v>131</v>
      </c>
      <c r="L568" s="225">
        <v>15</v>
      </c>
      <c r="M568" s="226" t="str">
        <f t="shared" si="4"/>
        <v>none</v>
      </c>
      <c r="N568" s="225">
        <f>LEN(Tableau14[[#This Row],[LABEL]])</f>
        <v>18</v>
      </c>
      <c r="O568" s="225">
        <v>15</v>
      </c>
      <c r="P568" s="225" t="e">
        <f>ROUND(Tableau14[[#This Row],[LEN]]*#REF!+#REF!,0)</f>
        <v>#REF!</v>
      </c>
    </row>
    <row r="569" spans="1:16" s="97" customFormat="1" x14ac:dyDescent="0.25">
      <c r="A569" s="220" t="s">
        <v>1999</v>
      </c>
      <c r="B569" s="221" t="s">
        <v>1979</v>
      </c>
      <c r="C569" s="222" t="s">
        <v>1167</v>
      </c>
      <c r="D569" s="70" t="s">
        <v>486</v>
      </c>
      <c r="E569" s="229" t="s">
        <v>1085</v>
      </c>
      <c r="F569" s="215" t="s">
        <v>1084</v>
      </c>
      <c r="G569" s="70" t="s">
        <v>1977</v>
      </c>
      <c r="H569" s="223" t="s">
        <v>1131</v>
      </c>
      <c r="I569" s="222"/>
      <c r="J569" s="224" t="s">
        <v>708</v>
      </c>
      <c r="K569" s="225">
        <f>ROUND(Tableau14[[#This Row],[LEN]]*7.27,0)</f>
        <v>196</v>
      </c>
      <c r="L569" s="225">
        <v>15</v>
      </c>
      <c r="M569" s="226" t="str">
        <f t="shared" si="4"/>
        <v>none</v>
      </c>
      <c r="N569" s="225">
        <f>LEN(Tableau14[[#This Row],[LABEL]])</f>
        <v>27</v>
      </c>
      <c r="O569" s="225">
        <v>15</v>
      </c>
      <c r="P569" s="225" t="e">
        <f>ROUND(Tableau14[[#This Row],[LEN]]*#REF!+#REF!,0)</f>
        <v>#REF!</v>
      </c>
    </row>
    <row r="570" spans="1:16" s="97" customFormat="1" x14ac:dyDescent="0.25">
      <c r="A570" s="29" t="s">
        <v>2004</v>
      </c>
      <c r="B570" s="30" t="s">
        <v>1999</v>
      </c>
      <c r="C570" s="31" t="s">
        <v>93</v>
      </c>
      <c r="D570" s="71" t="s">
        <v>28</v>
      </c>
      <c r="E570" s="31" t="s">
        <v>1085</v>
      </c>
      <c r="F570" s="31" t="s">
        <v>1084</v>
      </c>
      <c r="G570" s="71" t="s">
        <v>166</v>
      </c>
      <c r="H570" s="71" t="s">
        <v>18</v>
      </c>
      <c r="I570" s="31"/>
      <c r="J570" s="32" t="s">
        <v>101</v>
      </c>
      <c r="K570" s="111">
        <f>ROUND(Tableau14[[#This Row],[LEN]]*7.27,0)</f>
        <v>109</v>
      </c>
      <c r="L570" s="111">
        <v>15</v>
      </c>
      <c r="M570" s="128" t="str">
        <f t="shared" si="4"/>
        <v>new</v>
      </c>
      <c r="N570" s="111">
        <f>LEN(Tableau14[[#This Row],[LABEL]])</f>
        <v>15</v>
      </c>
      <c r="O570" s="111">
        <v>15</v>
      </c>
      <c r="P570" s="111" t="e">
        <f>ROUND(Tableau14[[#This Row],[LEN]]*#REF!+#REF!,0)</f>
        <v>#REF!</v>
      </c>
    </row>
    <row r="571" spans="1:16" s="97" customFormat="1" ht="15.75" thickBot="1" x14ac:dyDescent="0.3">
      <c r="A571" s="29" t="s">
        <v>2005</v>
      </c>
      <c r="B571" s="30" t="s">
        <v>1999</v>
      </c>
      <c r="C571" s="31" t="s">
        <v>94</v>
      </c>
      <c r="D571" s="71" t="s">
        <v>28</v>
      </c>
      <c r="E571" s="31" t="s">
        <v>1085</v>
      </c>
      <c r="F571" s="31" t="s">
        <v>1084</v>
      </c>
      <c r="G571" s="71" t="s">
        <v>166</v>
      </c>
      <c r="H571" s="71" t="s">
        <v>18</v>
      </c>
      <c r="I571" s="31"/>
      <c r="J571" s="32" t="s">
        <v>102</v>
      </c>
      <c r="K571" s="111">
        <f>ROUND(Tableau14[[#This Row],[LEN]]*7.27,0)</f>
        <v>58</v>
      </c>
      <c r="L571" s="111">
        <v>15</v>
      </c>
      <c r="M571" s="128" t="str">
        <f t="shared" si="4"/>
        <v>new</v>
      </c>
      <c r="N571" s="111">
        <f>LEN(Tableau14[[#This Row],[LABEL]])</f>
        <v>8</v>
      </c>
      <c r="O571" s="111">
        <v>15</v>
      </c>
      <c r="P571" s="111" t="e">
        <f>ROUND(Tableau14[[#This Row],[LEN]]*#REF!+#REF!,0)</f>
        <v>#REF!</v>
      </c>
    </row>
    <row r="572" spans="1:16" s="97" customFormat="1" ht="16.5" thickTop="1" thickBot="1" x14ac:dyDescent="0.3">
      <c r="A572" s="177" t="s">
        <v>207</v>
      </c>
      <c r="B572" s="177" t="s">
        <v>201</v>
      </c>
      <c r="C572" s="178" t="s">
        <v>175</v>
      </c>
      <c r="D572" s="179" t="s">
        <v>472</v>
      </c>
      <c r="E572" s="178" t="s">
        <v>58</v>
      </c>
      <c r="F572" s="179"/>
      <c r="G572" s="178" t="s">
        <v>168</v>
      </c>
      <c r="H572" s="178" t="s">
        <v>616</v>
      </c>
      <c r="I572" s="179"/>
      <c r="J572" s="180" t="s">
        <v>708</v>
      </c>
      <c r="K572" s="181">
        <f>ROUND(Tableau14[[#This Row],[LEN]]*7.27,0)</f>
        <v>160</v>
      </c>
      <c r="L572" s="181">
        <v>15</v>
      </c>
      <c r="M572" s="182" t="str">
        <f t="shared" si="4"/>
        <v>none</v>
      </c>
      <c r="N572" s="181">
        <f>LEN(Tableau14[[#This Row],[LABEL]])</f>
        <v>22</v>
      </c>
      <c r="O572" s="183">
        <v>15</v>
      </c>
      <c r="P572" s="183" t="e">
        <f>ROUND(Tableau14[[#This Row],[LEN]]*#REF!+#REF!,0)</f>
        <v>#REF!</v>
      </c>
    </row>
    <row r="573" spans="1:16" s="92" customFormat="1" ht="15.75" thickTop="1" x14ac:dyDescent="0.25">
      <c r="A573" s="309" t="s">
        <v>267</v>
      </c>
      <c r="B573" s="310" t="s">
        <v>207</v>
      </c>
      <c r="C573" s="311" t="s">
        <v>57</v>
      </c>
      <c r="D573" s="312" t="s">
        <v>28</v>
      </c>
      <c r="E573" s="311" t="s">
        <v>663</v>
      </c>
      <c r="F573" s="311" t="s">
        <v>663</v>
      </c>
      <c r="G573" s="312" t="s">
        <v>168</v>
      </c>
      <c r="H573" s="312" t="str">
        <f>IFERROR(IF(SEARCH(".00.00.00.00.00",Tableau14[[#This Row],[name]],1)=7,"Division",""),"")</f>
        <v>Division</v>
      </c>
      <c r="I573" s="311"/>
      <c r="J573" s="313" t="s">
        <v>709</v>
      </c>
      <c r="K573" s="314">
        <f>ROUND(Tableau14[[#This Row],[LEN]]*7.27,0)</f>
        <v>102</v>
      </c>
      <c r="L573" s="314">
        <v>15</v>
      </c>
      <c r="M573" s="315" t="str">
        <f t="shared" si="4"/>
        <v>new</v>
      </c>
      <c r="N573" s="314">
        <f>LEN(Tableau14[[#This Row],[LABEL]])</f>
        <v>14</v>
      </c>
      <c r="O573" s="314">
        <v>15</v>
      </c>
      <c r="P573" s="314" t="e">
        <f>ROUND(Tableau14[[#This Row],[LEN]]*#REF!+#REF!,0)</f>
        <v>#REF!</v>
      </c>
    </row>
    <row r="574" spans="1:16" s="97" customFormat="1" x14ac:dyDescent="0.25">
      <c r="A574" s="33" t="s">
        <v>841</v>
      </c>
      <c r="B574" s="34" t="s">
        <v>267</v>
      </c>
      <c r="C574" s="35" t="s">
        <v>111</v>
      </c>
      <c r="D574" s="72" t="s">
        <v>28</v>
      </c>
      <c r="E574" s="35" t="s">
        <v>667</v>
      </c>
      <c r="F574" s="35" t="s">
        <v>2006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ROUND(Tableau14[[#This Row],[LEN]]*7.27,0)</f>
        <v>167</v>
      </c>
      <c r="L574" s="113">
        <v>15</v>
      </c>
      <c r="M574" s="130" t="str">
        <f t="shared" si="4"/>
        <v>none</v>
      </c>
      <c r="N574" s="113">
        <f>LEN(Tableau14[[#This Row],[LABEL]])</f>
        <v>23</v>
      </c>
      <c r="O574" s="113">
        <v>15</v>
      </c>
      <c r="P574" s="113" t="e">
        <f>ROUND(Tableau14[[#This Row],[LEN]]*#REF!+#REF!,0)</f>
        <v>#REF!</v>
      </c>
    </row>
    <row r="575" spans="1:16" s="97" customFormat="1" x14ac:dyDescent="0.25">
      <c r="A575" s="37" t="s">
        <v>842</v>
      </c>
      <c r="B575" s="38" t="s">
        <v>841</v>
      </c>
      <c r="C575" s="39" t="s">
        <v>112</v>
      </c>
      <c r="D575" s="73" t="s">
        <v>28</v>
      </c>
      <c r="E575" s="39" t="s">
        <v>667</v>
      </c>
      <c r="F575" s="39" t="s">
        <v>2006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ROUND(Tableau14[[#This Row],[LEN]]*7.27,0)</f>
        <v>167</v>
      </c>
      <c r="L575" s="114">
        <v>15</v>
      </c>
      <c r="M575" s="131" t="str">
        <f t="shared" si="4"/>
        <v>none</v>
      </c>
      <c r="N575" s="114">
        <f>LEN(Tableau14[[#This Row],[LABEL]])</f>
        <v>23</v>
      </c>
      <c r="O575" s="114">
        <v>15</v>
      </c>
      <c r="P575" s="114" t="e">
        <f>ROUND(Tableau14[[#This Row],[LEN]]*#REF!+#REF!,0)</f>
        <v>#REF!</v>
      </c>
    </row>
    <row r="576" spans="1:16" s="97" customFormat="1" x14ac:dyDescent="0.25">
      <c r="A576" s="37" t="s">
        <v>843</v>
      </c>
      <c r="B576" s="38" t="s">
        <v>841</v>
      </c>
      <c r="C576" s="39" t="s">
        <v>113</v>
      </c>
      <c r="D576" s="73" t="s">
        <v>28</v>
      </c>
      <c r="E576" s="39" t="s">
        <v>667</v>
      </c>
      <c r="F576" s="39" t="s">
        <v>2006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ROUND(Tableau14[[#This Row],[LEN]]*7.27,0)</f>
        <v>233</v>
      </c>
      <c r="L576" s="114">
        <v>15</v>
      </c>
      <c r="M576" s="131" t="str">
        <f t="shared" si="4"/>
        <v>none</v>
      </c>
      <c r="N576" s="114">
        <f>LEN(Tableau14[[#This Row],[LABEL]])</f>
        <v>32</v>
      </c>
      <c r="O576" s="114">
        <v>15</v>
      </c>
      <c r="P576" s="114" t="e">
        <f>ROUND(Tableau14[[#This Row],[LEN]]*#REF!+#REF!,0)</f>
        <v>#REF!</v>
      </c>
    </row>
    <row r="577" spans="1:16" s="273" customFormat="1" x14ac:dyDescent="0.25">
      <c r="A577" s="309" t="s">
        <v>269</v>
      </c>
      <c r="B577" s="310" t="s">
        <v>207</v>
      </c>
      <c r="C577" s="311" t="s">
        <v>3</v>
      </c>
      <c r="D577" s="312" t="s">
        <v>28</v>
      </c>
      <c r="E577" s="311" t="s">
        <v>661</v>
      </c>
      <c r="F577" s="311" t="s">
        <v>661</v>
      </c>
      <c r="G577" s="312" t="s">
        <v>168</v>
      </c>
      <c r="H577" s="312" t="str">
        <f>IFERROR(IF(SEARCH(".00.00.00.00.00",Tableau14[[#This Row],[name]],1)=7,"Division",""),"")</f>
        <v>Division</v>
      </c>
      <c r="I577" s="311"/>
      <c r="J577" s="313" t="s">
        <v>711</v>
      </c>
      <c r="K577" s="314">
        <f>ROUND(Tableau14[[#This Row],[LEN]]*7.27,0)</f>
        <v>73</v>
      </c>
      <c r="L577" s="314">
        <v>15</v>
      </c>
      <c r="M577" s="315" t="str">
        <f t="shared" si="4"/>
        <v>new</v>
      </c>
      <c r="N577" s="314">
        <f>LEN(Tableau14[[#This Row],[LABEL]])</f>
        <v>10</v>
      </c>
      <c r="O577" s="314">
        <v>15</v>
      </c>
      <c r="P577" s="314" t="e">
        <f>ROUND(Tableau14[[#This Row],[LEN]]*#REF!+#REF!,0)</f>
        <v>#REF!</v>
      </c>
    </row>
    <row r="578" spans="1:16" s="97" customFormat="1" x14ac:dyDescent="0.25">
      <c r="A578" s="33" t="s">
        <v>419</v>
      </c>
      <c r="B578" s="34" t="s">
        <v>269</v>
      </c>
      <c r="C578" s="35" t="s">
        <v>111</v>
      </c>
      <c r="D578" s="72" t="s">
        <v>28</v>
      </c>
      <c r="E578" s="35" t="s">
        <v>667</v>
      </c>
      <c r="F578" s="35" t="s">
        <v>2006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ROUND(Tableau14[[#This Row],[LEN]]*7.27,0)</f>
        <v>167</v>
      </c>
      <c r="L578" s="113">
        <v>15</v>
      </c>
      <c r="M578" s="130" t="str">
        <f t="shared" si="4"/>
        <v>none</v>
      </c>
      <c r="N578" s="113">
        <f>LEN(Tableau14[[#This Row],[LABEL]])</f>
        <v>23</v>
      </c>
      <c r="O578" s="113">
        <v>15</v>
      </c>
      <c r="P578" s="113" t="e">
        <f>ROUND(Tableau14[[#This Row],[LEN]]*#REF!+#REF!,0)</f>
        <v>#REF!</v>
      </c>
    </row>
    <row r="579" spans="1:16" s="97" customFormat="1" x14ac:dyDescent="0.25">
      <c r="A579" s="37" t="s">
        <v>420</v>
      </c>
      <c r="B579" s="38" t="s">
        <v>419</v>
      </c>
      <c r="C579" s="39" t="s">
        <v>112</v>
      </c>
      <c r="D579" s="73" t="s">
        <v>28</v>
      </c>
      <c r="E579" s="39" t="s">
        <v>667</v>
      </c>
      <c r="F579" s="39" t="s">
        <v>2006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ROUND(Tableau14[[#This Row],[LEN]]*7.27,0)</f>
        <v>167</v>
      </c>
      <c r="L579" s="114">
        <v>15</v>
      </c>
      <c r="M579" s="131" t="str">
        <f t="shared" si="4"/>
        <v>none</v>
      </c>
      <c r="N579" s="114">
        <f>LEN(Tableau14[[#This Row],[LABEL]])</f>
        <v>23</v>
      </c>
      <c r="O579" s="114">
        <v>15</v>
      </c>
      <c r="P579" s="114" t="e">
        <f>ROUND(Tableau14[[#This Row],[LEN]]*#REF!+#REF!,0)</f>
        <v>#REF!</v>
      </c>
    </row>
    <row r="580" spans="1:16" s="97" customFormat="1" x14ac:dyDescent="0.25">
      <c r="A580" s="37" t="s">
        <v>421</v>
      </c>
      <c r="B580" s="38" t="s">
        <v>419</v>
      </c>
      <c r="C580" s="39" t="s">
        <v>113</v>
      </c>
      <c r="D580" s="73" t="s">
        <v>28</v>
      </c>
      <c r="E580" s="39" t="s">
        <v>667</v>
      </c>
      <c r="F580" s="39" t="s">
        <v>2006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ROUND(Tableau14[[#This Row],[LEN]]*7.27,0)</f>
        <v>233</v>
      </c>
      <c r="L580" s="114">
        <v>15</v>
      </c>
      <c r="M580" s="131" t="str">
        <f t="shared" si="4"/>
        <v>none</v>
      </c>
      <c r="N580" s="114">
        <f>LEN(Tableau14[[#This Row],[LABEL]])</f>
        <v>32</v>
      </c>
      <c r="O580" s="114">
        <v>15</v>
      </c>
      <c r="P580" s="114" t="e">
        <f>ROUND(Tableau14[[#This Row],[LEN]]*#REF!+#REF!,0)</f>
        <v>#REF!</v>
      </c>
    </row>
    <row r="581" spans="1:16" s="97" customFormat="1" x14ac:dyDescent="0.25">
      <c r="A581" s="33" t="s">
        <v>422</v>
      </c>
      <c r="B581" s="34" t="s">
        <v>269</v>
      </c>
      <c r="C581" s="35" t="s">
        <v>114</v>
      </c>
      <c r="D581" s="72" t="s">
        <v>28</v>
      </c>
      <c r="E581" s="35" t="s">
        <v>661</v>
      </c>
      <c r="F581" s="35" t="s">
        <v>1445</v>
      </c>
      <c r="G581" s="72" t="s">
        <v>168</v>
      </c>
      <c r="H581" s="72" t="s">
        <v>654</v>
      </c>
      <c r="I581" s="35"/>
      <c r="J581" s="36" t="s">
        <v>708</v>
      </c>
      <c r="K581" s="113">
        <f>ROUND(Tableau14[[#This Row],[LEN]]*7.27,0)</f>
        <v>153</v>
      </c>
      <c r="L581" s="113">
        <v>15</v>
      </c>
      <c r="M581" s="130" t="str">
        <f t="shared" si="4"/>
        <v>none</v>
      </c>
      <c r="N581" s="113">
        <f>LEN(Tableau14[[#This Row],[LABEL]])</f>
        <v>21</v>
      </c>
      <c r="O581" s="113">
        <v>15</v>
      </c>
      <c r="P581" s="113" t="e">
        <f>ROUND(Tableau14[[#This Row],[LEN]]*#REF!+#REF!,0)</f>
        <v>#REF!</v>
      </c>
    </row>
    <row r="582" spans="1:16" s="273" customFormat="1" x14ac:dyDescent="0.25">
      <c r="A582" s="309" t="s">
        <v>270</v>
      </c>
      <c r="B582" s="310" t="s">
        <v>207</v>
      </c>
      <c r="C582" s="311" t="s">
        <v>4</v>
      </c>
      <c r="D582" s="312" t="s">
        <v>28</v>
      </c>
      <c r="E582" s="311" t="s">
        <v>666</v>
      </c>
      <c r="F582" s="311" t="s">
        <v>666</v>
      </c>
      <c r="G582" s="312" t="s">
        <v>168</v>
      </c>
      <c r="H582" s="312" t="str">
        <f>IFERROR(IF(SEARCH(".00.00.00.00.00",Tableau14[[#This Row],[name]],1)=7,"Division",""),"")</f>
        <v>Division</v>
      </c>
      <c r="I582" s="311"/>
      <c r="J582" s="313" t="s">
        <v>712</v>
      </c>
      <c r="K582" s="314">
        <f>ROUND(Tableau14[[#This Row],[LEN]]*7.27,0)</f>
        <v>36</v>
      </c>
      <c r="L582" s="314">
        <v>15</v>
      </c>
      <c r="M582" s="315" t="str">
        <f t="shared" si="4"/>
        <v>new</v>
      </c>
      <c r="N582" s="314">
        <f>LEN(Tableau14[[#This Row],[LABEL]])</f>
        <v>5</v>
      </c>
      <c r="O582" s="314">
        <v>15</v>
      </c>
      <c r="P582" s="314" t="e">
        <f>ROUND(Tableau14[[#This Row],[LEN]]*#REF!+#REF!,0)</f>
        <v>#REF!</v>
      </c>
    </row>
    <row r="583" spans="1:16" s="97" customFormat="1" x14ac:dyDescent="0.25">
      <c r="A583" s="33" t="s">
        <v>1427</v>
      </c>
      <c r="B583" s="34" t="s">
        <v>270</v>
      </c>
      <c r="C583" s="35" t="s">
        <v>111</v>
      </c>
      <c r="D583" s="72" t="s">
        <v>28</v>
      </c>
      <c r="E583" s="35" t="s">
        <v>667</v>
      </c>
      <c r="F583" s="35" t="s">
        <v>2006</v>
      </c>
      <c r="G583" s="72" t="s">
        <v>168</v>
      </c>
      <c r="H583" s="72" t="s">
        <v>655</v>
      </c>
      <c r="I583" s="35"/>
      <c r="J583" s="36" t="s">
        <v>708</v>
      </c>
      <c r="K583" s="113">
        <f>ROUND(Tableau14[[#This Row],[LEN]]*7.27,0)</f>
        <v>167</v>
      </c>
      <c r="L583" s="113">
        <v>15</v>
      </c>
      <c r="M583" s="130" t="str">
        <f t="shared" si="4"/>
        <v>none</v>
      </c>
      <c r="N583" s="113">
        <f>LEN(Tableau14[[#This Row],[LABEL]])</f>
        <v>23</v>
      </c>
      <c r="O583" s="113">
        <v>15</v>
      </c>
      <c r="P583" s="113" t="e">
        <f>ROUND(Tableau14[[#This Row],[LEN]]*#REF!+#REF!,0)</f>
        <v>#REF!</v>
      </c>
    </row>
    <row r="584" spans="1:16" s="97" customFormat="1" x14ac:dyDescent="0.25">
      <c r="A584" s="37" t="s">
        <v>1428</v>
      </c>
      <c r="B584" s="38" t="s">
        <v>1427</v>
      </c>
      <c r="C584" s="39" t="s">
        <v>112</v>
      </c>
      <c r="D584" s="73" t="s">
        <v>28</v>
      </c>
      <c r="E584" s="39" t="s">
        <v>667</v>
      </c>
      <c r="F584" s="39" t="s">
        <v>2006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ROUND(Tableau14[[#This Row],[LEN]]*7.27,0)</f>
        <v>167</v>
      </c>
      <c r="L584" s="114">
        <v>15</v>
      </c>
      <c r="M584" s="131" t="str">
        <f t="shared" si="4"/>
        <v>none</v>
      </c>
      <c r="N584" s="114">
        <f>LEN(Tableau14[[#This Row],[LABEL]])</f>
        <v>23</v>
      </c>
      <c r="O584" s="114">
        <v>15</v>
      </c>
      <c r="P584" s="114" t="e">
        <f>ROUND(Tableau14[[#This Row],[LEN]]*#REF!+#REF!,0)</f>
        <v>#REF!</v>
      </c>
    </row>
    <row r="585" spans="1:16" s="97" customFormat="1" x14ac:dyDescent="0.25">
      <c r="A585" s="37" t="s">
        <v>1429</v>
      </c>
      <c r="B585" s="38" t="s">
        <v>1427</v>
      </c>
      <c r="C585" s="39" t="s">
        <v>113</v>
      </c>
      <c r="D585" s="73" t="s">
        <v>28</v>
      </c>
      <c r="E585" s="39" t="s">
        <v>667</v>
      </c>
      <c r="F585" s="39" t="s">
        <v>2006</v>
      </c>
      <c r="G585" s="73" t="s">
        <v>168</v>
      </c>
      <c r="H585" s="73" t="s">
        <v>654</v>
      </c>
      <c r="I585" s="39"/>
      <c r="J585" s="40" t="s">
        <v>708</v>
      </c>
      <c r="K585" s="114">
        <f>ROUND(Tableau14[[#This Row],[LEN]]*7.27,0)</f>
        <v>233</v>
      </c>
      <c r="L585" s="114">
        <v>15</v>
      </c>
      <c r="M585" s="131" t="str">
        <f t="shared" si="4"/>
        <v>none</v>
      </c>
      <c r="N585" s="114">
        <f>LEN(Tableau14[[#This Row],[LABEL]])</f>
        <v>32</v>
      </c>
      <c r="O585" s="114">
        <v>15</v>
      </c>
      <c r="P585" s="114" t="e">
        <f>ROUND(Tableau14[[#This Row],[LEN]]*#REF!+#REF!,0)</f>
        <v>#REF!</v>
      </c>
    </row>
    <row r="586" spans="1:16" s="273" customFormat="1" x14ac:dyDescent="0.25">
      <c r="A586" s="309" t="s">
        <v>271</v>
      </c>
      <c r="B586" s="310" t="s">
        <v>207</v>
      </c>
      <c r="C586" s="311" t="s">
        <v>80</v>
      </c>
      <c r="D586" s="312" t="s">
        <v>28</v>
      </c>
      <c r="E586" s="311" t="s">
        <v>667</v>
      </c>
      <c r="F586" s="311" t="s">
        <v>667</v>
      </c>
      <c r="G586" s="312" t="s">
        <v>168</v>
      </c>
      <c r="H586" s="312" t="str">
        <f>IFERROR(IF(SEARCH(".00.00.00.00.00",Tableau14[[#This Row],[name]],1)=7,"Division",""),"")</f>
        <v>Division</v>
      </c>
      <c r="I586" s="311"/>
      <c r="J586" s="313" t="s">
        <v>713</v>
      </c>
      <c r="K586" s="314">
        <f>ROUND(Tableau14[[#This Row],[LEN]]*7.27,0)</f>
        <v>116</v>
      </c>
      <c r="L586" s="314">
        <v>15</v>
      </c>
      <c r="M586" s="315" t="str">
        <f t="shared" si="4"/>
        <v>new</v>
      </c>
      <c r="N586" s="314">
        <f>LEN(Tableau14[[#This Row],[LABEL]])</f>
        <v>16</v>
      </c>
      <c r="O586" s="314">
        <v>15</v>
      </c>
      <c r="P586" s="314" t="e">
        <f>ROUND(Tableau14[[#This Row],[LEN]]*#REF!+#REF!,0)</f>
        <v>#REF!</v>
      </c>
    </row>
    <row r="587" spans="1:16" s="97" customFormat="1" x14ac:dyDescent="0.25">
      <c r="A587" s="33" t="s">
        <v>1430</v>
      </c>
      <c r="B587" s="34" t="s">
        <v>271</v>
      </c>
      <c r="C587" s="35" t="s">
        <v>111</v>
      </c>
      <c r="D587" s="72" t="s">
        <v>28</v>
      </c>
      <c r="E587" s="35" t="s">
        <v>667</v>
      </c>
      <c r="F587" s="35" t="s">
        <v>2006</v>
      </c>
      <c r="G587" s="72" t="s">
        <v>168</v>
      </c>
      <c r="H587" s="72" t="s">
        <v>655</v>
      </c>
      <c r="I587" s="35"/>
      <c r="J587" s="36" t="s">
        <v>708</v>
      </c>
      <c r="K587" s="113">
        <f>ROUND(Tableau14[[#This Row],[LEN]]*7.27,0)</f>
        <v>167</v>
      </c>
      <c r="L587" s="113">
        <v>15</v>
      </c>
      <c r="M587" s="130" t="str">
        <f t="shared" si="4"/>
        <v>none</v>
      </c>
      <c r="N587" s="113">
        <f>LEN(Tableau14[[#This Row],[LABEL]])</f>
        <v>23</v>
      </c>
      <c r="O587" s="113">
        <v>15</v>
      </c>
      <c r="P587" s="113" t="e">
        <f>ROUND(Tableau14[[#This Row],[LEN]]*#REF!+#REF!,0)</f>
        <v>#REF!</v>
      </c>
    </row>
    <row r="588" spans="1:16" s="97" customFormat="1" x14ac:dyDescent="0.25">
      <c r="A588" s="37" t="s">
        <v>1431</v>
      </c>
      <c r="B588" s="38" t="s">
        <v>1430</v>
      </c>
      <c r="C588" s="39" t="s">
        <v>112</v>
      </c>
      <c r="D588" s="73" t="s">
        <v>28</v>
      </c>
      <c r="E588" s="39" t="s">
        <v>667</v>
      </c>
      <c r="F588" s="39" t="s">
        <v>2006</v>
      </c>
      <c r="G588" s="73" t="s">
        <v>168</v>
      </c>
      <c r="H588" s="73" t="s">
        <v>654</v>
      </c>
      <c r="I588" s="39"/>
      <c r="J588" s="40" t="s">
        <v>708</v>
      </c>
      <c r="K588" s="114">
        <f>ROUND(Tableau14[[#This Row],[LEN]]*7.27,0)</f>
        <v>167</v>
      </c>
      <c r="L588" s="114">
        <v>15</v>
      </c>
      <c r="M588" s="131" t="str">
        <f t="shared" si="4"/>
        <v>none</v>
      </c>
      <c r="N588" s="114">
        <f>LEN(Tableau14[[#This Row],[LABEL]])</f>
        <v>23</v>
      </c>
      <c r="O588" s="114">
        <v>15</v>
      </c>
      <c r="P588" s="114" t="e">
        <f>ROUND(Tableau14[[#This Row],[LEN]]*#REF!+#REF!,0)</f>
        <v>#REF!</v>
      </c>
    </row>
    <row r="589" spans="1:16" s="97" customFormat="1" x14ac:dyDescent="0.25">
      <c r="A589" s="37" t="s">
        <v>1432</v>
      </c>
      <c r="B589" s="38" t="s">
        <v>1430</v>
      </c>
      <c r="C589" s="39" t="s">
        <v>113</v>
      </c>
      <c r="D589" s="73" t="s">
        <v>28</v>
      </c>
      <c r="E589" s="39" t="s">
        <v>667</v>
      </c>
      <c r="F589" s="39" t="s">
        <v>2006</v>
      </c>
      <c r="G589" s="73" t="s">
        <v>168</v>
      </c>
      <c r="H589" s="73" t="s">
        <v>654</v>
      </c>
      <c r="I589" s="39"/>
      <c r="J589" s="40" t="s">
        <v>708</v>
      </c>
      <c r="K589" s="114">
        <f>ROUND(Tableau14[[#This Row],[LEN]]*7.27,0)</f>
        <v>233</v>
      </c>
      <c r="L589" s="114">
        <v>15</v>
      </c>
      <c r="M589" s="131" t="str">
        <f t="shared" si="4"/>
        <v>none</v>
      </c>
      <c r="N589" s="114">
        <f>LEN(Tableau14[[#This Row],[LABEL]])</f>
        <v>32</v>
      </c>
      <c r="O589" s="114">
        <v>15</v>
      </c>
      <c r="P589" s="114" t="e">
        <f>ROUND(Tableau14[[#This Row],[LEN]]*#REF!+#REF!,0)</f>
        <v>#REF!</v>
      </c>
    </row>
    <row r="590" spans="1:16" s="273" customFormat="1" x14ac:dyDescent="0.25">
      <c r="A590" s="309" t="s">
        <v>272</v>
      </c>
      <c r="B590" s="310" t="s">
        <v>207</v>
      </c>
      <c r="C590" s="311" t="s">
        <v>5</v>
      </c>
      <c r="D590" s="312" t="s">
        <v>28</v>
      </c>
      <c r="E590" s="311" t="s">
        <v>668</v>
      </c>
      <c r="F590" s="311" t="s">
        <v>668</v>
      </c>
      <c r="G590" s="312" t="s">
        <v>168</v>
      </c>
      <c r="H590" s="312" t="str">
        <f>IFERROR(IF(SEARCH(".00.00.00.00.00",Tableau14[[#This Row],[name]],1)=7,"Division",""),"")</f>
        <v>Division</v>
      </c>
      <c r="I590" s="311"/>
      <c r="J590" s="313" t="s">
        <v>714</v>
      </c>
      <c r="K590" s="314">
        <f>ROUND(Tableau14[[#This Row],[LEN]]*7.27,0)</f>
        <v>73</v>
      </c>
      <c r="L590" s="314">
        <v>15</v>
      </c>
      <c r="M590" s="315" t="str">
        <f t="shared" si="4"/>
        <v>new</v>
      </c>
      <c r="N590" s="314">
        <f>LEN(Tableau14[[#This Row],[LABEL]])</f>
        <v>10</v>
      </c>
      <c r="O590" s="314">
        <v>15</v>
      </c>
      <c r="P590" s="314" t="e">
        <f>ROUND(Tableau14[[#This Row],[LEN]]*#REF!+#REF!,0)</f>
        <v>#REF!</v>
      </c>
    </row>
    <row r="591" spans="1:16" s="97" customFormat="1" x14ac:dyDescent="0.25">
      <c r="A591" s="33" t="s">
        <v>1433</v>
      </c>
      <c r="B591" s="34" t="s">
        <v>272</v>
      </c>
      <c r="C591" s="35" t="s">
        <v>111</v>
      </c>
      <c r="D591" s="72" t="s">
        <v>28</v>
      </c>
      <c r="E591" s="35" t="s">
        <v>667</v>
      </c>
      <c r="F591" s="35" t="s">
        <v>2006</v>
      </c>
      <c r="G591" s="72" t="s">
        <v>168</v>
      </c>
      <c r="H591" s="72" t="s">
        <v>655</v>
      </c>
      <c r="I591" s="35"/>
      <c r="J591" s="36" t="s">
        <v>708</v>
      </c>
      <c r="K591" s="113">
        <f>ROUND(Tableau14[[#This Row],[LEN]]*7.27,0)</f>
        <v>167</v>
      </c>
      <c r="L591" s="113">
        <v>15</v>
      </c>
      <c r="M591" s="130" t="str">
        <f t="shared" si="4"/>
        <v>none</v>
      </c>
      <c r="N591" s="113">
        <f>LEN(Tableau14[[#This Row],[LABEL]])</f>
        <v>23</v>
      </c>
      <c r="O591" s="113">
        <v>15</v>
      </c>
      <c r="P591" s="113" t="e">
        <f>ROUND(Tableau14[[#This Row],[LEN]]*#REF!+#REF!,0)</f>
        <v>#REF!</v>
      </c>
    </row>
    <row r="592" spans="1:16" s="97" customFormat="1" x14ac:dyDescent="0.25">
      <c r="A592" s="37" t="s">
        <v>1434</v>
      </c>
      <c r="B592" s="38" t="s">
        <v>1433</v>
      </c>
      <c r="C592" s="39" t="s">
        <v>112</v>
      </c>
      <c r="D592" s="73" t="s">
        <v>28</v>
      </c>
      <c r="E592" s="39" t="s">
        <v>667</v>
      </c>
      <c r="F592" s="39" t="s">
        <v>2006</v>
      </c>
      <c r="G592" s="73" t="s">
        <v>168</v>
      </c>
      <c r="H592" s="73" t="s">
        <v>654</v>
      </c>
      <c r="I592" s="39"/>
      <c r="J592" s="40" t="s">
        <v>708</v>
      </c>
      <c r="K592" s="114">
        <f>ROUND(Tableau14[[#This Row],[LEN]]*7.27,0)</f>
        <v>167</v>
      </c>
      <c r="L592" s="114">
        <v>15</v>
      </c>
      <c r="M592" s="131" t="str">
        <f t="shared" si="4"/>
        <v>none</v>
      </c>
      <c r="N592" s="114">
        <f>LEN(Tableau14[[#This Row],[LABEL]])</f>
        <v>23</v>
      </c>
      <c r="O592" s="114">
        <v>15</v>
      </c>
      <c r="P592" s="114" t="e">
        <f>ROUND(Tableau14[[#This Row],[LEN]]*#REF!+#REF!,0)</f>
        <v>#REF!</v>
      </c>
    </row>
    <row r="593" spans="1:16" s="97" customFormat="1" x14ac:dyDescent="0.25">
      <c r="A593" s="37" t="s">
        <v>1435</v>
      </c>
      <c r="B593" s="38" t="s">
        <v>1433</v>
      </c>
      <c r="C593" s="39" t="s">
        <v>113</v>
      </c>
      <c r="D593" s="73" t="s">
        <v>28</v>
      </c>
      <c r="E593" s="39" t="s">
        <v>667</v>
      </c>
      <c r="F593" s="39" t="s">
        <v>2006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ROUND(Tableau14[[#This Row],[LEN]]*7.27,0)</f>
        <v>233</v>
      </c>
      <c r="L593" s="114">
        <v>15</v>
      </c>
      <c r="M593" s="131" t="str">
        <f t="shared" si="4"/>
        <v>none</v>
      </c>
      <c r="N593" s="114">
        <f>LEN(Tableau14[[#This Row],[LABEL]])</f>
        <v>32</v>
      </c>
      <c r="O593" s="114">
        <v>15</v>
      </c>
      <c r="P593" s="114" t="e">
        <f>ROUND(Tableau14[[#This Row],[LEN]]*#REF!+#REF!,0)</f>
        <v>#REF!</v>
      </c>
    </row>
    <row r="594" spans="1:16" s="273" customFormat="1" x14ac:dyDescent="0.25">
      <c r="A594" s="309" t="s">
        <v>273</v>
      </c>
      <c r="B594" s="310" t="s">
        <v>207</v>
      </c>
      <c r="C594" s="311" t="s">
        <v>6</v>
      </c>
      <c r="D594" s="312" t="s">
        <v>28</v>
      </c>
      <c r="E594" s="311" t="s">
        <v>669</v>
      </c>
      <c r="F594" s="311" t="s">
        <v>669</v>
      </c>
      <c r="G594" s="312" t="s">
        <v>168</v>
      </c>
      <c r="H594" s="312" t="str">
        <f>IFERROR(IF(SEARCH(".00.00.00.00.00",Tableau14[[#This Row],[name]],1)=7,"Division",""),"")</f>
        <v>Division</v>
      </c>
      <c r="I594" s="311"/>
      <c r="J594" s="313" t="s">
        <v>715</v>
      </c>
      <c r="K594" s="314">
        <f>ROUND(Tableau14[[#This Row],[LEN]]*7.27,0)</f>
        <v>196</v>
      </c>
      <c r="L594" s="314">
        <v>15</v>
      </c>
      <c r="M594" s="315" t="str">
        <f t="shared" si="4"/>
        <v>new</v>
      </c>
      <c r="N594" s="314">
        <f>LEN(Tableau14[[#This Row],[LABEL]])</f>
        <v>27</v>
      </c>
      <c r="O594" s="314">
        <v>15</v>
      </c>
      <c r="P594" s="314" t="e">
        <f>ROUND(Tableau14[[#This Row],[LEN]]*#REF!+#REF!,0)</f>
        <v>#REF!</v>
      </c>
    </row>
    <row r="595" spans="1:16" s="97" customFormat="1" x14ac:dyDescent="0.25">
      <c r="A595" s="33" t="s">
        <v>423</v>
      </c>
      <c r="B595" s="34" t="s">
        <v>273</v>
      </c>
      <c r="C595" s="35" t="s">
        <v>111</v>
      </c>
      <c r="D595" s="72" t="s">
        <v>28</v>
      </c>
      <c r="E595" s="35" t="s">
        <v>667</v>
      </c>
      <c r="F595" s="35" t="s">
        <v>2006</v>
      </c>
      <c r="G595" s="72" t="s">
        <v>168</v>
      </c>
      <c r="H595" s="72" t="s">
        <v>655</v>
      </c>
      <c r="I595" s="35"/>
      <c r="J595" s="36" t="s">
        <v>708</v>
      </c>
      <c r="K595" s="113">
        <f>ROUND(Tableau14[[#This Row],[LEN]]*7.27,0)</f>
        <v>167</v>
      </c>
      <c r="L595" s="113">
        <v>15</v>
      </c>
      <c r="M595" s="130" t="str">
        <f t="shared" si="4"/>
        <v>none</v>
      </c>
      <c r="N595" s="113">
        <f>LEN(Tableau14[[#This Row],[LABEL]])</f>
        <v>23</v>
      </c>
      <c r="O595" s="113">
        <v>15</v>
      </c>
      <c r="P595" s="113" t="e">
        <f>ROUND(Tableau14[[#This Row],[LEN]]*#REF!+#REF!,0)</f>
        <v>#REF!</v>
      </c>
    </row>
    <row r="596" spans="1:16" s="97" customFormat="1" x14ac:dyDescent="0.25">
      <c r="A596" s="37" t="s">
        <v>426</v>
      </c>
      <c r="B596" s="38" t="s">
        <v>423</v>
      </c>
      <c r="C596" s="39" t="s">
        <v>112</v>
      </c>
      <c r="D596" s="73" t="s">
        <v>28</v>
      </c>
      <c r="E596" s="39" t="s">
        <v>667</v>
      </c>
      <c r="F596" s="39" t="s">
        <v>2006</v>
      </c>
      <c r="G596" s="73" t="s">
        <v>168</v>
      </c>
      <c r="H596" s="73" t="s">
        <v>654</v>
      </c>
      <c r="I596" s="39"/>
      <c r="J596" s="40" t="s">
        <v>708</v>
      </c>
      <c r="K596" s="114">
        <f>ROUND(Tableau14[[#This Row],[LEN]]*7.27,0)</f>
        <v>167</v>
      </c>
      <c r="L596" s="114">
        <v>15</v>
      </c>
      <c r="M596" s="131" t="str">
        <f t="shared" si="4"/>
        <v>none</v>
      </c>
      <c r="N596" s="114">
        <f>LEN(Tableau14[[#This Row],[LABEL]])</f>
        <v>23</v>
      </c>
      <c r="O596" s="114">
        <v>15</v>
      </c>
      <c r="P596" s="114" t="e">
        <f>ROUND(Tableau14[[#This Row],[LEN]]*#REF!+#REF!,0)</f>
        <v>#REF!</v>
      </c>
    </row>
    <row r="597" spans="1:16" s="97" customFormat="1" x14ac:dyDescent="0.25">
      <c r="A597" s="37" t="s">
        <v>427</v>
      </c>
      <c r="B597" s="38" t="s">
        <v>423</v>
      </c>
      <c r="C597" s="39" t="s">
        <v>113</v>
      </c>
      <c r="D597" s="73" t="s">
        <v>28</v>
      </c>
      <c r="E597" s="39" t="s">
        <v>667</v>
      </c>
      <c r="F597" s="39" t="s">
        <v>2006</v>
      </c>
      <c r="G597" s="73" t="s">
        <v>168</v>
      </c>
      <c r="H597" s="73" t="s">
        <v>654</v>
      </c>
      <c r="I597" s="39"/>
      <c r="J597" s="40" t="s">
        <v>708</v>
      </c>
      <c r="K597" s="114">
        <f>ROUND(Tableau14[[#This Row],[LEN]]*7.27,0)</f>
        <v>233</v>
      </c>
      <c r="L597" s="114">
        <v>15</v>
      </c>
      <c r="M597" s="131" t="str">
        <f t="shared" si="4"/>
        <v>none</v>
      </c>
      <c r="N597" s="114">
        <f>LEN(Tableau14[[#This Row],[LABEL]])</f>
        <v>32</v>
      </c>
      <c r="O597" s="114">
        <v>15</v>
      </c>
      <c r="P597" s="114" t="e">
        <f>ROUND(Tableau14[[#This Row],[LEN]]*#REF!+#REF!,0)</f>
        <v>#REF!</v>
      </c>
    </row>
    <row r="598" spans="1:16" s="97" customFormat="1" x14ac:dyDescent="0.25">
      <c r="A598" s="33" t="s">
        <v>424</v>
      </c>
      <c r="B598" s="34" t="s">
        <v>273</v>
      </c>
      <c r="C598" s="35" t="s">
        <v>156</v>
      </c>
      <c r="D598" s="72" t="s">
        <v>28</v>
      </c>
      <c r="E598" s="35" t="s">
        <v>669</v>
      </c>
      <c r="F598" s="35" t="s">
        <v>669</v>
      </c>
      <c r="G598" s="72" t="s">
        <v>168</v>
      </c>
      <c r="H598" s="72" t="s">
        <v>655</v>
      </c>
      <c r="I598" s="35"/>
      <c r="J598" s="36" t="s">
        <v>708</v>
      </c>
      <c r="K598" s="113">
        <f>ROUND(Tableau14[[#This Row],[LEN]]*7.27,0)</f>
        <v>131</v>
      </c>
      <c r="L598" s="113">
        <v>15</v>
      </c>
      <c r="M598" s="130" t="str">
        <f t="shared" si="4"/>
        <v>none</v>
      </c>
      <c r="N598" s="113">
        <f>LEN(Tableau14[[#This Row],[LABEL]])</f>
        <v>18</v>
      </c>
      <c r="O598" s="113">
        <v>15</v>
      </c>
      <c r="P598" s="113" t="e">
        <f>ROUND(Tableau14[[#This Row],[LEN]]*#REF!+#REF!,0)</f>
        <v>#REF!</v>
      </c>
    </row>
    <row r="599" spans="1:16" s="97" customFormat="1" x14ac:dyDescent="0.25">
      <c r="A599" s="37" t="s">
        <v>428</v>
      </c>
      <c r="B599" s="38" t="s">
        <v>424</v>
      </c>
      <c r="C599" s="39" t="s">
        <v>137</v>
      </c>
      <c r="D599" s="73" t="s">
        <v>28</v>
      </c>
      <c r="E599" s="39" t="s">
        <v>669</v>
      </c>
      <c r="F599" s="39" t="s">
        <v>669</v>
      </c>
      <c r="G599" s="73" t="s">
        <v>168</v>
      </c>
      <c r="H599" s="73" t="s">
        <v>654</v>
      </c>
      <c r="I599" s="39"/>
      <c r="J599" s="40" t="s">
        <v>726</v>
      </c>
      <c r="K599" s="114">
        <f>ROUND(Tableau14[[#This Row],[LEN]]*7.27,0)</f>
        <v>269</v>
      </c>
      <c r="L599" s="114">
        <v>15</v>
      </c>
      <c r="M599" s="131" t="str">
        <f t="shared" si="4"/>
        <v>new</v>
      </c>
      <c r="N599" s="114">
        <f>LEN(Tableau14[[#This Row],[LABEL]])</f>
        <v>37</v>
      </c>
      <c r="O599" s="114">
        <v>15</v>
      </c>
      <c r="P599" s="114" t="e">
        <f>ROUND(Tableau14[[#This Row],[LEN]]*#REF!+#REF!,0)</f>
        <v>#REF!</v>
      </c>
    </row>
    <row r="600" spans="1:16" s="97" customFormat="1" x14ac:dyDescent="0.25">
      <c r="A600" s="37" t="s">
        <v>429</v>
      </c>
      <c r="B600" s="38" t="s">
        <v>424</v>
      </c>
      <c r="C600" s="39" t="s">
        <v>157</v>
      </c>
      <c r="D600" s="73" t="s">
        <v>28</v>
      </c>
      <c r="E600" s="39" t="s">
        <v>669</v>
      </c>
      <c r="F600" s="39" t="s">
        <v>669</v>
      </c>
      <c r="G600" s="73" t="s">
        <v>168</v>
      </c>
      <c r="H600" s="73" t="s">
        <v>656</v>
      </c>
      <c r="I600" s="39"/>
      <c r="J600" s="40" t="s">
        <v>708</v>
      </c>
      <c r="K600" s="114">
        <f>ROUND(Tableau14[[#This Row],[LEN]]*7.27,0)</f>
        <v>538</v>
      </c>
      <c r="L600" s="114">
        <v>15</v>
      </c>
      <c r="M600" s="131" t="str">
        <f t="shared" si="4"/>
        <v>none</v>
      </c>
      <c r="N600" s="114">
        <f>LEN(Tableau14[[#This Row],[LABEL]])</f>
        <v>74</v>
      </c>
      <c r="O600" s="114">
        <v>15</v>
      </c>
      <c r="P600" s="114" t="e">
        <f>ROUND(Tableau14[[#This Row],[LEN]]*#REF!+#REF!,0)</f>
        <v>#REF!</v>
      </c>
    </row>
    <row r="601" spans="1:16" s="97" customFormat="1" x14ac:dyDescent="0.25">
      <c r="A601" s="37" t="s">
        <v>430</v>
      </c>
      <c r="B601" s="38" t="s">
        <v>424</v>
      </c>
      <c r="C601" s="39" t="s">
        <v>158</v>
      </c>
      <c r="D601" s="73" t="s">
        <v>28</v>
      </c>
      <c r="E601" s="39" t="s">
        <v>669</v>
      </c>
      <c r="F601" s="39" t="s">
        <v>669</v>
      </c>
      <c r="G601" s="73" t="s">
        <v>168</v>
      </c>
      <c r="H601" s="73" t="s">
        <v>656</v>
      </c>
      <c r="I601" s="39"/>
      <c r="J601" s="40" t="s">
        <v>708</v>
      </c>
      <c r="K601" s="114">
        <f>ROUND(Tableau14[[#This Row],[LEN]]*7.27,0)</f>
        <v>320</v>
      </c>
      <c r="L601" s="114">
        <v>15</v>
      </c>
      <c r="M601" s="131" t="str">
        <f t="shared" si="4"/>
        <v>none</v>
      </c>
      <c r="N601" s="114">
        <f>LEN(Tableau14[[#This Row],[LABEL]])</f>
        <v>44</v>
      </c>
      <c r="O601" s="114">
        <v>15</v>
      </c>
      <c r="P601" s="114" t="e">
        <f>ROUND(Tableau14[[#This Row],[LEN]]*#REF!+#REF!,0)</f>
        <v>#REF!</v>
      </c>
    </row>
    <row r="602" spans="1:16" s="97" customFormat="1" x14ac:dyDescent="0.25">
      <c r="A602" s="37" t="s">
        <v>431</v>
      </c>
      <c r="B602" s="38" t="s">
        <v>424</v>
      </c>
      <c r="C602" s="39" t="s">
        <v>159</v>
      </c>
      <c r="D602" s="73" t="s">
        <v>28</v>
      </c>
      <c r="E602" s="39" t="s">
        <v>669</v>
      </c>
      <c r="F602" s="39" t="s">
        <v>669</v>
      </c>
      <c r="G602" s="73" t="s">
        <v>168</v>
      </c>
      <c r="H602" s="73" t="s">
        <v>18</v>
      </c>
      <c r="I602" s="39"/>
      <c r="J602" s="40" t="s">
        <v>708</v>
      </c>
      <c r="K602" s="114">
        <f>ROUND(Tableau14[[#This Row],[LEN]]*7.27,0)</f>
        <v>407</v>
      </c>
      <c r="L602" s="114">
        <v>15</v>
      </c>
      <c r="M602" s="131" t="str">
        <f t="shared" si="4"/>
        <v>none</v>
      </c>
      <c r="N602" s="114">
        <f>LEN(Tableau14[[#This Row],[LABEL]])</f>
        <v>56</v>
      </c>
      <c r="O602" s="114">
        <v>15</v>
      </c>
      <c r="P602" s="114" t="e">
        <f>ROUND(Tableau14[[#This Row],[LEN]]*#REF!+#REF!,0)</f>
        <v>#REF!</v>
      </c>
    </row>
    <row r="603" spans="1:16" s="97" customFormat="1" x14ac:dyDescent="0.25">
      <c r="A603" s="37" t="s">
        <v>432</v>
      </c>
      <c r="B603" s="38" t="s">
        <v>424</v>
      </c>
      <c r="C603" s="39" t="s">
        <v>160</v>
      </c>
      <c r="D603" s="73" t="s">
        <v>28</v>
      </c>
      <c r="E603" s="39" t="s">
        <v>669</v>
      </c>
      <c r="F603" s="39" t="s">
        <v>669</v>
      </c>
      <c r="G603" s="73" t="s">
        <v>168</v>
      </c>
      <c r="H603" s="73" t="s">
        <v>18</v>
      </c>
      <c r="I603" s="39"/>
      <c r="J603" s="40" t="s">
        <v>708</v>
      </c>
      <c r="K603" s="114">
        <f>ROUND(Tableau14[[#This Row],[LEN]]*7.27,0)</f>
        <v>371</v>
      </c>
      <c r="L603" s="114">
        <v>15</v>
      </c>
      <c r="M603" s="131" t="str">
        <f t="shared" si="4"/>
        <v>none</v>
      </c>
      <c r="N603" s="114">
        <f>LEN(Tableau14[[#This Row],[LABEL]])</f>
        <v>51</v>
      </c>
      <c r="O603" s="114">
        <v>15</v>
      </c>
      <c r="P603" s="114" t="e">
        <f>ROUND(Tableau14[[#This Row],[LEN]]*#REF!+#REF!,0)</f>
        <v>#REF!</v>
      </c>
    </row>
    <row r="604" spans="1:16" s="97" customFormat="1" x14ac:dyDescent="0.25">
      <c r="A604" s="37" t="s">
        <v>433</v>
      </c>
      <c r="B604" s="38" t="s">
        <v>424</v>
      </c>
      <c r="C604" s="39" t="s">
        <v>161</v>
      </c>
      <c r="D604" s="73" t="s">
        <v>28</v>
      </c>
      <c r="E604" s="39" t="s">
        <v>669</v>
      </c>
      <c r="F604" s="39" t="s">
        <v>669</v>
      </c>
      <c r="G604" s="73" t="s">
        <v>168</v>
      </c>
      <c r="H604" s="73" t="s">
        <v>656</v>
      </c>
      <c r="I604" s="39"/>
      <c r="J604" s="40" t="s">
        <v>708</v>
      </c>
      <c r="K604" s="114">
        <f>ROUND(Tableau14[[#This Row],[LEN]]*7.27,0)</f>
        <v>276</v>
      </c>
      <c r="L604" s="114">
        <v>15</v>
      </c>
      <c r="M604" s="131" t="str">
        <f t="shared" si="4"/>
        <v>none</v>
      </c>
      <c r="N604" s="114">
        <f>LEN(Tableau14[[#This Row],[LABEL]])</f>
        <v>38</v>
      </c>
      <c r="O604" s="114">
        <v>15</v>
      </c>
      <c r="P604" s="114" t="e">
        <f>ROUND(Tableau14[[#This Row],[LEN]]*#REF!+#REF!,0)</f>
        <v>#REF!</v>
      </c>
    </row>
    <row r="605" spans="1:16" s="97" customFormat="1" x14ac:dyDescent="0.25">
      <c r="A605" s="37" t="s">
        <v>434</v>
      </c>
      <c r="B605" s="38" t="s">
        <v>424</v>
      </c>
      <c r="C605" s="39" t="s">
        <v>162</v>
      </c>
      <c r="D605" s="73" t="s">
        <v>28</v>
      </c>
      <c r="E605" s="39" t="s">
        <v>669</v>
      </c>
      <c r="F605" s="39" t="s">
        <v>669</v>
      </c>
      <c r="G605" s="73" t="s">
        <v>168</v>
      </c>
      <c r="H605" s="73" t="s">
        <v>656</v>
      </c>
      <c r="I605" s="39"/>
      <c r="J605" s="40" t="s">
        <v>708</v>
      </c>
      <c r="K605" s="114">
        <f>ROUND(Tableau14[[#This Row],[LEN]]*7.27,0)</f>
        <v>393</v>
      </c>
      <c r="L605" s="114">
        <v>15</v>
      </c>
      <c r="M605" s="131" t="str">
        <f t="shared" si="4"/>
        <v>none</v>
      </c>
      <c r="N605" s="114">
        <f>LEN(Tableau14[[#This Row],[LABEL]])</f>
        <v>54</v>
      </c>
      <c r="O605" s="114">
        <v>15</v>
      </c>
      <c r="P605" s="114" t="e">
        <f>ROUND(Tableau14[[#This Row],[LEN]]*#REF!+#REF!,0)</f>
        <v>#REF!</v>
      </c>
    </row>
    <row r="606" spans="1:16" s="97" customFormat="1" x14ac:dyDescent="0.25">
      <c r="A606" s="37" t="s">
        <v>435</v>
      </c>
      <c r="B606" s="38" t="s">
        <v>424</v>
      </c>
      <c r="C606" s="39" t="s">
        <v>163</v>
      </c>
      <c r="D606" s="73" t="s">
        <v>28</v>
      </c>
      <c r="E606" s="39" t="s">
        <v>669</v>
      </c>
      <c r="F606" s="39" t="s">
        <v>669</v>
      </c>
      <c r="G606" s="73" t="s">
        <v>168</v>
      </c>
      <c r="H606" s="73" t="s">
        <v>654</v>
      </c>
      <c r="I606" s="39"/>
      <c r="J606" s="40" t="s">
        <v>708</v>
      </c>
      <c r="K606" s="114">
        <f>ROUND(Tableau14[[#This Row],[LEN]]*7.27,0)</f>
        <v>153</v>
      </c>
      <c r="L606" s="114">
        <v>15</v>
      </c>
      <c r="M606" s="131" t="str">
        <f t="shared" si="4"/>
        <v>none</v>
      </c>
      <c r="N606" s="114">
        <f>LEN(Tableau14[[#This Row],[LABEL]])</f>
        <v>21</v>
      </c>
      <c r="O606" s="114">
        <v>15</v>
      </c>
      <c r="P606" s="114" t="e">
        <f>ROUND(Tableau14[[#This Row],[LEN]]*#REF!+#REF!,0)</f>
        <v>#REF!</v>
      </c>
    </row>
    <row r="607" spans="1:16" s="97" customFormat="1" x14ac:dyDescent="0.25">
      <c r="A607" s="33" t="s">
        <v>425</v>
      </c>
      <c r="B607" s="34" t="s">
        <v>273</v>
      </c>
      <c r="C607" s="35" t="s">
        <v>114</v>
      </c>
      <c r="D607" s="72" t="s">
        <v>28</v>
      </c>
      <c r="E607" s="35" t="s">
        <v>661</v>
      </c>
      <c r="F607" s="35" t="s">
        <v>1445</v>
      </c>
      <c r="G607" s="72" t="s">
        <v>168</v>
      </c>
      <c r="H607" s="72" t="s">
        <v>654</v>
      </c>
      <c r="I607" s="35"/>
      <c r="J607" s="36" t="s">
        <v>708</v>
      </c>
      <c r="K607" s="113">
        <f>ROUND(Tableau14[[#This Row],[LEN]]*7.27,0)</f>
        <v>153</v>
      </c>
      <c r="L607" s="113">
        <v>15</v>
      </c>
      <c r="M607" s="130" t="str">
        <f t="shared" si="4"/>
        <v>none</v>
      </c>
      <c r="N607" s="113">
        <f>LEN(Tableau14[[#This Row],[LABEL]])</f>
        <v>21</v>
      </c>
      <c r="O607" s="113">
        <v>15</v>
      </c>
      <c r="P607" s="113" t="e">
        <f>ROUND(Tableau14[[#This Row],[LEN]]*#REF!+#REF!,0)</f>
        <v>#REF!</v>
      </c>
    </row>
    <row r="608" spans="1:16" s="273" customFormat="1" x14ac:dyDescent="0.25">
      <c r="A608" s="309" t="s">
        <v>274</v>
      </c>
      <c r="B608" s="310" t="s">
        <v>207</v>
      </c>
      <c r="C608" s="311" t="s">
        <v>7</v>
      </c>
      <c r="D608" s="312" t="s">
        <v>28</v>
      </c>
      <c r="E608" s="311" t="s">
        <v>670</v>
      </c>
      <c r="F608" s="311" t="s">
        <v>670</v>
      </c>
      <c r="G608" s="312" t="s">
        <v>168</v>
      </c>
      <c r="H608" s="312" t="str">
        <f>IFERROR(IF(SEARCH(".00.00.00.00.00",Tableau14[[#This Row],[name]],1)=7,"Division",""),"")</f>
        <v>Division</v>
      </c>
      <c r="I608" s="311"/>
      <c r="J608" s="313" t="s">
        <v>716</v>
      </c>
      <c r="K608" s="314">
        <f>ROUND(Tableau14[[#This Row],[LEN]]*7.27,0)</f>
        <v>189</v>
      </c>
      <c r="L608" s="314">
        <v>15</v>
      </c>
      <c r="M608" s="315" t="str">
        <f t="shared" si="4"/>
        <v>new</v>
      </c>
      <c r="N608" s="314">
        <f>LEN(Tableau14[[#This Row],[LABEL]])</f>
        <v>26</v>
      </c>
      <c r="O608" s="314">
        <v>15</v>
      </c>
      <c r="P608" s="314" t="e">
        <f>ROUND(Tableau14[[#This Row],[LEN]]*#REF!+#REF!,0)</f>
        <v>#REF!</v>
      </c>
    </row>
    <row r="609" spans="1:16" s="97" customFormat="1" x14ac:dyDescent="0.25">
      <c r="A609" s="33" t="s">
        <v>1436</v>
      </c>
      <c r="B609" s="34" t="s">
        <v>274</v>
      </c>
      <c r="C609" s="35" t="s">
        <v>1440</v>
      </c>
      <c r="D609" s="72" t="s">
        <v>28</v>
      </c>
      <c r="E609" s="35" t="s">
        <v>670</v>
      </c>
      <c r="F609" s="35" t="s">
        <v>1177</v>
      </c>
      <c r="G609" s="72" t="s">
        <v>168</v>
      </c>
      <c r="H609" s="72" t="s">
        <v>656</v>
      </c>
      <c r="I609" s="35"/>
      <c r="J609" s="36" t="s">
        <v>708</v>
      </c>
      <c r="K609" s="113">
        <f>ROUND(Tableau14[[#This Row],[LEN]]*7.27,0)</f>
        <v>342</v>
      </c>
      <c r="L609" s="113">
        <v>15</v>
      </c>
      <c r="M609" s="130" t="str">
        <f t="shared" si="4"/>
        <v>none</v>
      </c>
      <c r="N609" s="113">
        <f>LEN(Tableau14[[#This Row],[LABEL]])</f>
        <v>47</v>
      </c>
      <c r="O609" s="113">
        <v>15</v>
      </c>
      <c r="P609" s="113" t="e">
        <f>ROUND(Tableau14[[#This Row],[LEN]]*#REF!+#REF!,0)</f>
        <v>#REF!</v>
      </c>
    </row>
    <row r="610" spans="1:16" s="97" customFormat="1" x14ac:dyDescent="0.25">
      <c r="A610" s="33" t="s">
        <v>1437</v>
      </c>
      <c r="B610" s="34" t="s">
        <v>274</v>
      </c>
      <c r="C610" s="35" t="s">
        <v>1441</v>
      </c>
      <c r="D610" s="72" t="s">
        <v>28</v>
      </c>
      <c r="E610" s="35" t="s">
        <v>670</v>
      </c>
      <c r="F610" s="35" t="s">
        <v>1177</v>
      </c>
      <c r="G610" s="72" t="s">
        <v>168</v>
      </c>
      <c r="H610" s="72" t="s">
        <v>656</v>
      </c>
      <c r="I610" s="35"/>
      <c r="J610" s="36" t="s">
        <v>708</v>
      </c>
      <c r="K610" s="113">
        <f>ROUND(Tableau14[[#This Row],[LEN]]*7.27,0)</f>
        <v>305</v>
      </c>
      <c r="L610" s="113">
        <v>15</v>
      </c>
      <c r="M610" s="130" t="str">
        <f t="shared" si="4"/>
        <v>none</v>
      </c>
      <c r="N610" s="113">
        <f>LEN(Tableau14[[#This Row],[LABEL]])</f>
        <v>42</v>
      </c>
      <c r="O610" s="113">
        <v>15</v>
      </c>
      <c r="P610" s="113" t="e">
        <f>ROUND(Tableau14[[#This Row],[LEN]]*#REF!+#REF!,0)</f>
        <v>#REF!</v>
      </c>
    </row>
    <row r="611" spans="1:16" s="97" customFormat="1" x14ac:dyDescent="0.25">
      <c r="A611" s="33" t="s">
        <v>1438</v>
      </c>
      <c r="B611" s="34" t="s">
        <v>274</v>
      </c>
      <c r="C611" s="35" t="s">
        <v>1442</v>
      </c>
      <c r="D611" s="72" t="s">
        <v>28</v>
      </c>
      <c r="E611" s="35" t="s">
        <v>670</v>
      </c>
      <c r="F611" s="35" t="s">
        <v>1177</v>
      </c>
      <c r="G611" s="72" t="s">
        <v>168</v>
      </c>
      <c r="H611" s="72" t="s">
        <v>656</v>
      </c>
      <c r="I611" s="35"/>
      <c r="J611" s="36" t="s">
        <v>708</v>
      </c>
      <c r="K611" s="113">
        <f>ROUND(Tableau14[[#This Row],[LEN]]*7.27,0)</f>
        <v>167</v>
      </c>
      <c r="L611" s="113">
        <v>15</v>
      </c>
      <c r="M611" s="130" t="str">
        <f t="shared" si="4"/>
        <v>none</v>
      </c>
      <c r="N611" s="113">
        <f>LEN(Tableau14[[#This Row],[LABEL]])</f>
        <v>23</v>
      </c>
      <c r="O611" s="113">
        <v>15</v>
      </c>
      <c r="P611" s="113" t="e">
        <f>ROUND(Tableau14[[#This Row],[LEN]]*#REF!+#REF!,0)</f>
        <v>#REF!</v>
      </c>
    </row>
    <row r="612" spans="1:16" s="97" customFormat="1" x14ac:dyDescent="0.25">
      <c r="A612" s="33" t="s">
        <v>1439</v>
      </c>
      <c r="B612" s="34" t="s">
        <v>274</v>
      </c>
      <c r="C612" s="35" t="s">
        <v>1443</v>
      </c>
      <c r="D612" s="72" t="s">
        <v>28</v>
      </c>
      <c r="E612" s="35" t="s">
        <v>670</v>
      </c>
      <c r="F612" s="35" t="s">
        <v>1177</v>
      </c>
      <c r="G612" s="72" t="s">
        <v>168</v>
      </c>
      <c r="H612" s="72" t="s">
        <v>656</v>
      </c>
      <c r="I612" s="35"/>
      <c r="J612" s="36" t="s">
        <v>708</v>
      </c>
      <c r="K612" s="113">
        <f>ROUND(Tableau14[[#This Row],[LEN]]*7.27,0)</f>
        <v>385</v>
      </c>
      <c r="L612" s="113">
        <v>15</v>
      </c>
      <c r="M612" s="130" t="str">
        <f t="shared" si="4"/>
        <v>none</v>
      </c>
      <c r="N612" s="113">
        <f>LEN(Tableau14[[#This Row],[LABEL]])</f>
        <v>53</v>
      </c>
      <c r="O612" s="113">
        <v>15</v>
      </c>
      <c r="P612" s="113" t="e">
        <f>ROUND(Tableau14[[#This Row],[LEN]]*#REF!+#REF!,0)</f>
        <v>#REF!</v>
      </c>
    </row>
    <row r="613" spans="1:16" s="273" customFormat="1" x14ac:dyDescent="0.25">
      <c r="A613" s="309" t="s">
        <v>276</v>
      </c>
      <c r="B613" s="310" t="s">
        <v>207</v>
      </c>
      <c r="C613" s="311" t="s">
        <v>9</v>
      </c>
      <c r="D613" s="312" t="s">
        <v>28</v>
      </c>
      <c r="E613" s="311" t="s">
        <v>672</v>
      </c>
      <c r="F613" s="311" t="s">
        <v>672</v>
      </c>
      <c r="G613" s="312" t="s">
        <v>168</v>
      </c>
      <c r="H613" s="312" t="str">
        <f>IFERROR(IF(SEARCH(".00.00.00.00.00",Tableau14[[#This Row],[name]],1)=7,"Division",""),"")</f>
        <v>Division</v>
      </c>
      <c r="I613" s="311"/>
      <c r="J613" s="313" t="s">
        <v>718</v>
      </c>
      <c r="K613" s="314">
        <f>ROUND(Tableau14[[#This Row],[LEN]]*7.27,0)</f>
        <v>80</v>
      </c>
      <c r="L613" s="314">
        <v>15</v>
      </c>
      <c r="M613" s="315" t="str">
        <f t="shared" si="4"/>
        <v>new</v>
      </c>
      <c r="N613" s="314">
        <f>LEN(Tableau14[[#This Row],[LABEL]])</f>
        <v>11</v>
      </c>
      <c r="O613" s="314">
        <v>15</v>
      </c>
      <c r="P613" s="314" t="e">
        <f>ROUND(Tableau14[[#This Row],[LEN]]*#REF!+#REF!,0)</f>
        <v>#REF!</v>
      </c>
    </row>
    <row r="614" spans="1:16" s="97" customFormat="1" x14ac:dyDescent="0.25">
      <c r="A614" s="33" t="s">
        <v>1444</v>
      </c>
      <c r="B614" s="34" t="s">
        <v>276</v>
      </c>
      <c r="C614" s="35" t="s">
        <v>111</v>
      </c>
      <c r="D614" s="72" t="s">
        <v>28</v>
      </c>
      <c r="E614" s="35" t="s">
        <v>667</v>
      </c>
      <c r="F614" s="35" t="s">
        <v>2006</v>
      </c>
      <c r="G614" s="72" t="s">
        <v>168</v>
      </c>
      <c r="H614" s="72" t="s">
        <v>655</v>
      </c>
      <c r="I614" s="35"/>
      <c r="J614" s="36" t="s">
        <v>708</v>
      </c>
      <c r="K614" s="113">
        <f>ROUND(Tableau14[[#This Row],[LEN]]*7.27,0)</f>
        <v>167</v>
      </c>
      <c r="L614" s="113">
        <v>15</v>
      </c>
      <c r="M614" s="130" t="str">
        <f t="shared" si="4"/>
        <v>none</v>
      </c>
      <c r="N614" s="113">
        <f>LEN(Tableau14[[#This Row],[LABEL]])</f>
        <v>23</v>
      </c>
      <c r="O614" s="113">
        <v>15</v>
      </c>
      <c r="P614" s="113" t="e">
        <f>ROUND(Tableau14[[#This Row],[LEN]]*#REF!+#REF!,0)</f>
        <v>#REF!</v>
      </c>
    </row>
    <row r="615" spans="1:16" s="97" customFormat="1" x14ac:dyDescent="0.25">
      <c r="A615" s="37" t="s">
        <v>509</v>
      </c>
      <c r="B615" s="38" t="s">
        <v>1444</v>
      </c>
      <c r="C615" s="39" t="s">
        <v>112</v>
      </c>
      <c r="D615" s="73" t="s">
        <v>28</v>
      </c>
      <c r="E615" s="39" t="s">
        <v>667</v>
      </c>
      <c r="F615" s="39" t="s">
        <v>2006</v>
      </c>
      <c r="G615" s="73" t="s">
        <v>168</v>
      </c>
      <c r="H615" s="73" t="s">
        <v>654</v>
      </c>
      <c r="I615" s="39"/>
      <c r="J615" s="40" t="s">
        <v>708</v>
      </c>
      <c r="K615" s="114">
        <f>ROUND(Tableau14[[#This Row],[LEN]]*7.27,0)</f>
        <v>167</v>
      </c>
      <c r="L615" s="114">
        <v>15</v>
      </c>
      <c r="M615" s="131" t="str">
        <f t="shared" si="4"/>
        <v>none</v>
      </c>
      <c r="N615" s="114">
        <f>LEN(Tableau14[[#This Row],[LABEL]])</f>
        <v>23</v>
      </c>
      <c r="O615" s="114">
        <v>15</v>
      </c>
      <c r="P615" s="114" t="e">
        <f>ROUND(Tableau14[[#This Row],[LEN]]*#REF!+#REF!,0)</f>
        <v>#REF!</v>
      </c>
    </row>
    <row r="616" spans="1:16" s="97" customFormat="1" x14ac:dyDescent="0.25">
      <c r="A616" s="37" t="s">
        <v>510</v>
      </c>
      <c r="B616" s="38" t="s">
        <v>1444</v>
      </c>
      <c r="C616" s="39" t="s">
        <v>113</v>
      </c>
      <c r="D616" s="73" t="s">
        <v>28</v>
      </c>
      <c r="E616" s="39" t="s">
        <v>667</v>
      </c>
      <c r="F616" s="39" t="s">
        <v>2006</v>
      </c>
      <c r="G616" s="73" t="s">
        <v>168</v>
      </c>
      <c r="H616" s="73" t="s">
        <v>654</v>
      </c>
      <c r="I616" s="39"/>
      <c r="J616" s="40" t="s">
        <v>708</v>
      </c>
      <c r="K616" s="114">
        <f>ROUND(Tableau14[[#This Row],[LEN]]*7.27,0)</f>
        <v>233</v>
      </c>
      <c r="L616" s="114">
        <v>15</v>
      </c>
      <c r="M616" s="131" t="str">
        <f t="shared" si="4"/>
        <v>none</v>
      </c>
      <c r="N616" s="114">
        <f>LEN(Tableau14[[#This Row],[LABEL]])</f>
        <v>32</v>
      </c>
      <c r="O616" s="114">
        <v>15</v>
      </c>
      <c r="P616" s="114" t="e">
        <f>ROUND(Tableau14[[#This Row],[LEN]]*#REF!+#REF!,0)</f>
        <v>#REF!</v>
      </c>
    </row>
    <row r="617" spans="1:16" s="273" customFormat="1" x14ac:dyDescent="0.25">
      <c r="A617" s="309" t="s">
        <v>277</v>
      </c>
      <c r="B617" s="310" t="s">
        <v>207</v>
      </c>
      <c r="C617" s="311" t="s">
        <v>10</v>
      </c>
      <c r="D617" s="312" t="s">
        <v>28</v>
      </c>
      <c r="E617" s="311" t="s">
        <v>673</v>
      </c>
      <c r="F617" s="311" t="s">
        <v>673</v>
      </c>
      <c r="G617" s="312" t="s">
        <v>168</v>
      </c>
      <c r="H617" s="312" t="str">
        <f>IFERROR(IF(SEARCH(".00.00.00.00.00",Tableau14[[#This Row],[name]],1)=7,"Division",""),"")</f>
        <v>Division</v>
      </c>
      <c r="I617" s="311"/>
      <c r="J617" s="313" t="s">
        <v>719</v>
      </c>
      <c r="K617" s="314">
        <f>ROUND(Tableau14[[#This Row],[LEN]]*7.27,0)</f>
        <v>109</v>
      </c>
      <c r="L617" s="314">
        <v>15</v>
      </c>
      <c r="M617" s="315" t="str">
        <f t="shared" si="4"/>
        <v>new</v>
      </c>
      <c r="N617" s="314">
        <f>LEN(Tableau14[[#This Row],[LABEL]])</f>
        <v>15</v>
      </c>
      <c r="O617" s="314">
        <v>15</v>
      </c>
      <c r="P617" s="314" t="e">
        <f>ROUND(Tableau14[[#This Row],[LEN]]*#REF!+#REF!,0)</f>
        <v>#REF!</v>
      </c>
    </row>
    <row r="618" spans="1:16" s="97" customFormat="1" x14ac:dyDescent="0.25">
      <c r="A618" s="33" t="s">
        <v>1446</v>
      </c>
      <c r="B618" s="34" t="s">
        <v>277</v>
      </c>
      <c r="C618" s="35" t="s">
        <v>111</v>
      </c>
      <c r="D618" s="72" t="s">
        <v>28</v>
      </c>
      <c r="E618" s="35" t="s">
        <v>667</v>
      </c>
      <c r="F618" s="35" t="s">
        <v>2006</v>
      </c>
      <c r="G618" s="72" t="s">
        <v>168</v>
      </c>
      <c r="H618" s="72" t="s">
        <v>655</v>
      </c>
      <c r="I618" s="35"/>
      <c r="J618" s="36" t="s">
        <v>708</v>
      </c>
      <c r="K618" s="113">
        <f>ROUND(Tableau14[[#This Row],[LEN]]*7.27,0)</f>
        <v>167</v>
      </c>
      <c r="L618" s="113">
        <v>15</v>
      </c>
      <c r="M618" s="130" t="str">
        <f t="shared" si="4"/>
        <v>none</v>
      </c>
      <c r="N618" s="113">
        <f>LEN(Tableau14[[#This Row],[LABEL]])</f>
        <v>23</v>
      </c>
      <c r="O618" s="113">
        <v>15</v>
      </c>
      <c r="P618" s="113" t="e">
        <f>ROUND(Tableau14[[#This Row],[LEN]]*#REF!+#REF!,0)</f>
        <v>#REF!</v>
      </c>
    </row>
    <row r="619" spans="1:16" s="97" customFormat="1" x14ac:dyDescent="0.25">
      <c r="A619" s="37" t="s">
        <v>1448</v>
      </c>
      <c r="B619" s="38" t="s">
        <v>1446</v>
      </c>
      <c r="C619" s="39" t="s">
        <v>112</v>
      </c>
      <c r="D619" s="73" t="s">
        <v>28</v>
      </c>
      <c r="E619" s="39" t="s">
        <v>667</v>
      </c>
      <c r="F619" s="39" t="s">
        <v>2006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ROUND(Tableau14[[#This Row],[LEN]]*7.27,0)</f>
        <v>167</v>
      </c>
      <c r="L619" s="114">
        <v>15</v>
      </c>
      <c r="M619" s="131" t="str">
        <f t="shared" si="4"/>
        <v>none</v>
      </c>
      <c r="N619" s="114">
        <f>LEN(Tableau14[[#This Row],[LABEL]])</f>
        <v>23</v>
      </c>
      <c r="O619" s="114">
        <v>15</v>
      </c>
      <c r="P619" s="114" t="e">
        <f>ROUND(Tableau14[[#This Row],[LEN]]*#REF!+#REF!,0)</f>
        <v>#REF!</v>
      </c>
    </row>
    <row r="620" spans="1:16" s="97" customFormat="1" x14ac:dyDescent="0.25">
      <c r="A620" s="37" t="s">
        <v>1449</v>
      </c>
      <c r="B620" s="38" t="s">
        <v>1446</v>
      </c>
      <c r="C620" s="39" t="s">
        <v>113</v>
      </c>
      <c r="D620" s="73" t="s">
        <v>28</v>
      </c>
      <c r="E620" s="39" t="s">
        <v>667</v>
      </c>
      <c r="F620" s="39" t="s">
        <v>2006</v>
      </c>
      <c r="G620" s="73" t="s">
        <v>168</v>
      </c>
      <c r="H620" s="73" t="s">
        <v>654</v>
      </c>
      <c r="I620" s="39"/>
      <c r="J620" s="40" t="s">
        <v>708</v>
      </c>
      <c r="K620" s="114">
        <f>ROUND(Tableau14[[#This Row],[LEN]]*7.27,0)</f>
        <v>233</v>
      </c>
      <c r="L620" s="114">
        <v>15</v>
      </c>
      <c r="M620" s="131" t="str">
        <f t="shared" si="4"/>
        <v>none</v>
      </c>
      <c r="N620" s="114">
        <f>LEN(Tableau14[[#This Row],[LABEL]])</f>
        <v>32</v>
      </c>
      <c r="O620" s="114">
        <v>15</v>
      </c>
      <c r="P620" s="114" t="e">
        <f>ROUND(Tableau14[[#This Row],[LEN]]*#REF!+#REF!,0)</f>
        <v>#REF!</v>
      </c>
    </row>
    <row r="621" spans="1:16" s="97" customFormat="1" x14ac:dyDescent="0.25">
      <c r="A621" s="33" t="s">
        <v>1447</v>
      </c>
      <c r="B621" s="34" t="s">
        <v>277</v>
      </c>
      <c r="C621" s="35" t="s">
        <v>114</v>
      </c>
      <c r="D621" s="72" t="s">
        <v>28</v>
      </c>
      <c r="E621" s="35" t="s">
        <v>661</v>
      </c>
      <c r="F621" s="35" t="s">
        <v>1445</v>
      </c>
      <c r="G621" s="72" t="s">
        <v>168</v>
      </c>
      <c r="H621" s="72" t="s">
        <v>654</v>
      </c>
      <c r="I621" s="35"/>
      <c r="J621" s="36" t="s">
        <v>708</v>
      </c>
      <c r="K621" s="113">
        <f>ROUND(Tableau14[[#This Row],[LEN]]*7.27,0)</f>
        <v>153</v>
      </c>
      <c r="L621" s="113">
        <v>15</v>
      </c>
      <c r="M621" s="130" t="str">
        <f t="shared" si="4"/>
        <v>none</v>
      </c>
      <c r="N621" s="113">
        <f>LEN(Tableau14[[#This Row],[LABEL]])</f>
        <v>21</v>
      </c>
      <c r="O621" s="113">
        <v>15</v>
      </c>
      <c r="P621" s="113" t="e">
        <f>ROUND(Tableau14[[#This Row],[LEN]]*#REF!+#REF!,0)</f>
        <v>#REF!</v>
      </c>
    </row>
    <row r="622" spans="1:16" s="273" customFormat="1" x14ac:dyDescent="0.25">
      <c r="A622" s="309" t="s">
        <v>278</v>
      </c>
      <c r="B622" s="310" t="s">
        <v>207</v>
      </c>
      <c r="C622" s="311" t="s">
        <v>11</v>
      </c>
      <c r="D622" s="312" t="s">
        <v>28</v>
      </c>
      <c r="E622" s="311" t="s">
        <v>674</v>
      </c>
      <c r="F622" s="311" t="s">
        <v>674</v>
      </c>
      <c r="G622" s="312" t="s">
        <v>168</v>
      </c>
      <c r="H622" s="312" t="str">
        <f>IFERROR(IF(SEARCH(".00.00.00.00.00",Tableau14[[#This Row],[name]],1)=7,"Division",""),"")</f>
        <v>Division</v>
      </c>
      <c r="I622" s="311"/>
      <c r="J622" s="313" t="s">
        <v>720</v>
      </c>
      <c r="K622" s="314">
        <f>ROUND(Tableau14[[#This Row],[LEN]]*7.27,0)</f>
        <v>51</v>
      </c>
      <c r="L622" s="314">
        <v>15</v>
      </c>
      <c r="M622" s="315" t="str">
        <f t="shared" si="4"/>
        <v>new</v>
      </c>
      <c r="N622" s="314">
        <f>LEN(Tableau14[[#This Row],[LABEL]])</f>
        <v>7</v>
      </c>
      <c r="O622" s="314">
        <v>15</v>
      </c>
      <c r="P622" s="314" t="e">
        <f>ROUND(Tableau14[[#This Row],[LEN]]*#REF!+#REF!,0)</f>
        <v>#REF!</v>
      </c>
    </row>
    <row r="623" spans="1:16" s="97" customFormat="1" x14ac:dyDescent="0.25">
      <c r="A623" s="33" t="s">
        <v>1450</v>
      </c>
      <c r="B623" s="34" t="s">
        <v>278</v>
      </c>
      <c r="C623" s="35" t="s">
        <v>111</v>
      </c>
      <c r="D623" s="72" t="s">
        <v>28</v>
      </c>
      <c r="E623" s="35" t="s">
        <v>667</v>
      </c>
      <c r="F623" s="35" t="s">
        <v>2006</v>
      </c>
      <c r="G623" s="72" t="s">
        <v>168</v>
      </c>
      <c r="H623" s="72" t="s">
        <v>655</v>
      </c>
      <c r="I623" s="35"/>
      <c r="J623" s="36" t="s">
        <v>708</v>
      </c>
      <c r="K623" s="113">
        <f>ROUND(Tableau14[[#This Row],[LEN]]*7.27,0)</f>
        <v>167</v>
      </c>
      <c r="L623" s="113">
        <v>15</v>
      </c>
      <c r="M623" s="130" t="str">
        <f t="shared" si="4"/>
        <v>none</v>
      </c>
      <c r="N623" s="113">
        <f>LEN(Tableau14[[#This Row],[LABEL]])</f>
        <v>23</v>
      </c>
      <c r="O623" s="113">
        <v>15</v>
      </c>
      <c r="P623" s="113" t="e">
        <f>ROUND(Tableau14[[#This Row],[LEN]]*#REF!+#REF!,0)</f>
        <v>#REF!</v>
      </c>
    </row>
    <row r="624" spans="1:16" s="97" customFormat="1" x14ac:dyDescent="0.25">
      <c r="A624" s="37" t="s">
        <v>1451</v>
      </c>
      <c r="B624" s="38" t="s">
        <v>1450</v>
      </c>
      <c r="C624" s="39" t="s">
        <v>112</v>
      </c>
      <c r="D624" s="73" t="s">
        <v>28</v>
      </c>
      <c r="E624" s="39" t="s">
        <v>667</v>
      </c>
      <c r="F624" s="39" t="s">
        <v>2006</v>
      </c>
      <c r="G624" s="73" t="s">
        <v>168</v>
      </c>
      <c r="H624" s="73" t="s">
        <v>654</v>
      </c>
      <c r="I624" s="39"/>
      <c r="J624" s="40" t="s">
        <v>708</v>
      </c>
      <c r="K624" s="114">
        <f>ROUND(Tableau14[[#This Row],[LEN]]*7.27,0)</f>
        <v>167</v>
      </c>
      <c r="L624" s="114">
        <v>15</v>
      </c>
      <c r="M624" s="131" t="str">
        <f t="shared" si="4"/>
        <v>none</v>
      </c>
      <c r="N624" s="114">
        <f>LEN(Tableau14[[#This Row],[LABEL]])</f>
        <v>23</v>
      </c>
      <c r="O624" s="114">
        <v>15</v>
      </c>
      <c r="P624" s="114" t="e">
        <f>ROUND(Tableau14[[#This Row],[LEN]]*#REF!+#REF!,0)</f>
        <v>#REF!</v>
      </c>
    </row>
    <row r="625" spans="1:16" s="97" customFormat="1" x14ac:dyDescent="0.25">
      <c r="A625" s="37" t="s">
        <v>1452</v>
      </c>
      <c r="B625" s="38" t="s">
        <v>1450</v>
      </c>
      <c r="C625" s="39" t="s">
        <v>113</v>
      </c>
      <c r="D625" s="73" t="s">
        <v>28</v>
      </c>
      <c r="E625" s="39" t="s">
        <v>667</v>
      </c>
      <c r="F625" s="39" t="s">
        <v>2006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ROUND(Tableau14[[#This Row],[LEN]]*7.27,0)</f>
        <v>233</v>
      </c>
      <c r="L625" s="114">
        <v>15</v>
      </c>
      <c r="M625" s="131" t="str">
        <f t="shared" si="4"/>
        <v>none</v>
      </c>
      <c r="N625" s="114">
        <f>LEN(Tableau14[[#This Row],[LABEL]])</f>
        <v>32</v>
      </c>
      <c r="O625" s="114">
        <v>15</v>
      </c>
      <c r="P625" s="114" t="e">
        <f>ROUND(Tableau14[[#This Row],[LEN]]*#REF!+#REF!,0)</f>
        <v>#REF!</v>
      </c>
    </row>
    <row r="626" spans="1:16" s="97" customFormat="1" x14ac:dyDescent="0.25">
      <c r="A626" s="33" t="s">
        <v>1450</v>
      </c>
      <c r="B626" s="34" t="s">
        <v>278</v>
      </c>
      <c r="C626" s="35" t="s">
        <v>1456</v>
      </c>
      <c r="D626" s="72" t="s">
        <v>28</v>
      </c>
      <c r="E626" s="35" t="s">
        <v>674</v>
      </c>
      <c r="F626" s="35" t="s">
        <v>1177</v>
      </c>
      <c r="G626" s="72" t="s">
        <v>168</v>
      </c>
      <c r="H626" s="72" t="s">
        <v>656</v>
      </c>
      <c r="I626" s="35"/>
      <c r="J626" s="36" t="s">
        <v>708</v>
      </c>
      <c r="K626" s="113">
        <f>ROUND(Tableau14[[#This Row],[LEN]]*7.27,0)</f>
        <v>342</v>
      </c>
      <c r="L626" s="113">
        <v>15</v>
      </c>
      <c r="M626" s="130" t="str">
        <f t="shared" si="4"/>
        <v>none</v>
      </c>
      <c r="N626" s="113">
        <f>LEN(Tableau14[[#This Row],[LABEL]])</f>
        <v>47</v>
      </c>
      <c r="O626" s="113">
        <v>15</v>
      </c>
      <c r="P626" s="113" t="e">
        <f>ROUND(Tableau14[[#This Row],[LEN]]*#REF!+#REF!,0)</f>
        <v>#REF!</v>
      </c>
    </row>
    <row r="627" spans="1:16" s="97" customFormat="1" x14ac:dyDescent="0.25">
      <c r="A627" s="33" t="s">
        <v>1453</v>
      </c>
      <c r="B627" s="34" t="s">
        <v>278</v>
      </c>
      <c r="C627" s="35" t="s">
        <v>1457</v>
      </c>
      <c r="D627" s="72" t="s">
        <v>28</v>
      </c>
      <c r="E627" s="35" t="s">
        <v>674</v>
      </c>
      <c r="F627" s="35" t="s">
        <v>1177</v>
      </c>
      <c r="G627" s="72" t="s">
        <v>168</v>
      </c>
      <c r="H627" s="72" t="s">
        <v>656</v>
      </c>
      <c r="I627" s="35"/>
      <c r="J627" s="36" t="s">
        <v>708</v>
      </c>
      <c r="K627" s="113">
        <f>ROUND(Tableau14[[#This Row],[LEN]]*7.27,0)</f>
        <v>414</v>
      </c>
      <c r="L627" s="113">
        <v>15</v>
      </c>
      <c r="M627" s="130" t="str">
        <f t="shared" si="4"/>
        <v>none</v>
      </c>
      <c r="N627" s="113">
        <f>LEN(Tableau14[[#This Row],[LABEL]])</f>
        <v>57</v>
      </c>
      <c r="O627" s="113">
        <v>15</v>
      </c>
      <c r="P627" s="113" t="e">
        <f>ROUND(Tableau14[[#This Row],[LEN]]*#REF!+#REF!,0)</f>
        <v>#REF!</v>
      </c>
    </row>
    <row r="628" spans="1:16" s="97" customFormat="1" x14ac:dyDescent="0.25">
      <c r="A628" s="33" t="s">
        <v>1454</v>
      </c>
      <c r="B628" s="34" t="s">
        <v>278</v>
      </c>
      <c r="C628" s="35" t="s">
        <v>1455</v>
      </c>
      <c r="D628" s="72" t="s">
        <v>28</v>
      </c>
      <c r="E628" s="35" t="s">
        <v>674</v>
      </c>
      <c r="F628" s="35" t="s">
        <v>1177</v>
      </c>
      <c r="G628" s="72" t="s">
        <v>168</v>
      </c>
      <c r="H628" s="72" t="s">
        <v>656</v>
      </c>
      <c r="I628" s="35"/>
      <c r="J628" s="36" t="s">
        <v>708</v>
      </c>
      <c r="K628" s="113">
        <f>ROUND(Tableau14[[#This Row],[LEN]]*7.27,0)</f>
        <v>160</v>
      </c>
      <c r="L628" s="113">
        <v>15</v>
      </c>
      <c r="M628" s="130" t="str">
        <f t="shared" si="4"/>
        <v>none</v>
      </c>
      <c r="N628" s="113">
        <f>LEN(Tableau14[[#This Row],[LABEL]])</f>
        <v>22</v>
      </c>
      <c r="O628" s="113">
        <v>15</v>
      </c>
      <c r="P628" s="113" t="e">
        <f>ROUND(Tableau14[[#This Row],[LEN]]*#REF!+#REF!,0)</f>
        <v>#REF!</v>
      </c>
    </row>
    <row r="629" spans="1:16" s="97" customFormat="1" x14ac:dyDescent="0.25">
      <c r="A629" s="33" t="s">
        <v>1450</v>
      </c>
      <c r="B629" s="34" t="s">
        <v>278</v>
      </c>
      <c r="C629" s="35" t="s">
        <v>114</v>
      </c>
      <c r="D629" s="72" t="s">
        <v>28</v>
      </c>
      <c r="E629" s="35" t="s">
        <v>661</v>
      </c>
      <c r="F629" s="35" t="s">
        <v>1445</v>
      </c>
      <c r="G629" s="72" t="s">
        <v>168</v>
      </c>
      <c r="H629" s="72" t="s">
        <v>655</v>
      </c>
      <c r="I629" s="35"/>
      <c r="J629" s="36" t="s">
        <v>708</v>
      </c>
      <c r="K629" s="113">
        <f>ROUND(Tableau14[[#This Row],[LEN]]*7.27,0)</f>
        <v>153</v>
      </c>
      <c r="L629" s="113">
        <v>15</v>
      </c>
      <c r="M629" s="130" t="str">
        <f t="shared" si="4"/>
        <v>none</v>
      </c>
      <c r="N629" s="113">
        <f>LEN(Tableau14[[#This Row],[LABEL]])</f>
        <v>21</v>
      </c>
      <c r="O629" s="113">
        <v>15</v>
      </c>
      <c r="P629" s="113" t="e">
        <f>ROUND(Tableau14[[#This Row],[LEN]]*#REF!+#REF!,0)</f>
        <v>#REF!</v>
      </c>
    </row>
    <row r="630" spans="1:16" s="97" customFormat="1" x14ac:dyDescent="0.25">
      <c r="A630" s="37" t="s">
        <v>1451</v>
      </c>
      <c r="B630" s="38" t="s">
        <v>1450</v>
      </c>
      <c r="C630" s="39" t="s">
        <v>1458</v>
      </c>
      <c r="D630" s="73" t="s">
        <v>28</v>
      </c>
      <c r="E630" s="39" t="s">
        <v>661</v>
      </c>
      <c r="F630" s="39" t="s">
        <v>1445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ROUND(Tableau14[[#This Row],[LEN]]*7.27,0)</f>
        <v>189</v>
      </c>
      <c r="L630" s="114">
        <v>15</v>
      </c>
      <c r="M630" s="131" t="str">
        <f t="shared" si="4"/>
        <v>none</v>
      </c>
      <c r="N630" s="114">
        <f>LEN(Tableau14[[#This Row],[LABEL]])</f>
        <v>26</v>
      </c>
      <c r="O630" s="114">
        <v>15</v>
      </c>
      <c r="P630" s="114" t="e">
        <f>ROUND(Tableau14[[#This Row],[LEN]]*#REF!+#REF!,0)</f>
        <v>#REF!</v>
      </c>
    </row>
    <row r="631" spans="1:16" s="97" customFormat="1" x14ac:dyDescent="0.25">
      <c r="A631" s="37" t="s">
        <v>1452</v>
      </c>
      <c r="B631" s="38" t="s">
        <v>1450</v>
      </c>
      <c r="C631" s="39" t="s">
        <v>1459</v>
      </c>
      <c r="D631" s="73" t="s">
        <v>28</v>
      </c>
      <c r="E631" s="39" t="s">
        <v>661</v>
      </c>
      <c r="F631" s="39" t="s">
        <v>1445</v>
      </c>
      <c r="G631" s="73" t="s">
        <v>168</v>
      </c>
      <c r="H631" s="73" t="s">
        <v>654</v>
      </c>
      <c r="I631" s="39"/>
      <c r="J631" s="40" t="s">
        <v>708</v>
      </c>
      <c r="K631" s="114">
        <f>ROUND(Tableau14[[#This Row],[LEN]]*7.27,0)</f>
        <v>204</v>
      </c>
      <c r="L631" s="114">
        <v>15</v>
      </c>
      <c r="M631" s="131" t="str">
        <f t="shared" si="4"/>
        <v>none</v>
      </c>
      <c r="N631" s="114">
        <f>LEN(Tableau14[[#This Row],[LABEL]])</f>
        <v>28</v>
      </c>
      <c r="O631" s="114">
        <v>15</v>
      </c>
      <c r="P631" s="114" t="e">
        <f>ROUND(Tableau14[[#This Row],[LEN]]*#REF!+#REF!,0)</f>
        <v>#REF!</v>
      </c>
    </row>
    <row r="632" spans="1:16" s="273" customFormat="1" x14ac:dyDescent="0.25">
      <c r="A632" s="309" t="s">
        <v>279</v>
      </c>
      <c r="B632" s="310" t="s">
        <v>207</v>
      </c>
      <c r="C632" s="311" t="s">
        <v>12</v>
      </c>
      <c r="D632" s="312" t="s">
        <v>28</v>
      </c>
      <c r="E632" s="311" t="s">
        <v>675</v>
      </c>
      <c r="F632" s="311" t="s">
        <v>675</v>
      </c>
      <c r="G632" s="312" t="s">
        <v>168</v>
      </c>
      <c r="H632" s="312" t="str">
        <f>IFERROR(IF(SEARCH(".00.00.00.00.00",Tableau14[[#This Row],[name]],1)=7,"Division",""),"")</f>
        <v>Division</v>
      </c>
      <c r="I632" s="311"/>
      <c r="J632" s="313" t="s">
        <v>721</v>
      </c>
      <c r="K632" s="314">
        <f>ROUND(Tableau14[[#This Row],[LEN]]*7.27,0)</f>
        <v>15</v>
      </c>
      <c r="L632" s="314">
        <v>15</v>
      </c>
      <c r="M632" s="315" t="str">
        <f t="shared" si="4"/>
        <v>new</v>
      </c>
      <c r="N632" s="314">
        <f>LEN(Tableau14[[#This Row],[LABEL]])</f>
        <v>2</v>
      </c>
      <c r="O632" s="314">
        <v>15</v>
      </c>
      <c r="P632" s="314" t="e">
        <f>ROUND(Tableau14[[#This Row],[LEN]]*#REF!+#REF!,0)</f>
        <v>#REF!</v>
      </c>
    </row>
    <row r="633" spans="1:16" s="97" customFormat="1" x14ac:dyDescent="0.25">
      <c r="A633" s="33" t="s">
        <v>1460</v>
      </c>
      <c r="B633" s="34" t="s">
        <v>279</v>
      </c>
      <c r="C633" s="35" t="s">
        <v>111</v>
      </c>
      <c r="D633" s="72" t="s">
        <v>28</v>
      </c>
      <c r="E633" s="35" t="s">
        <v>667</v>
      </c>
      <c r="F633" s="35" t="s">
        <v>2006</v>
      </c>
      <c r="G633" s="72" t="s">
        <v>168</v>
      </c>
      <c r="H633" s="72" t="s">
        <v>655</v>
      </c>
      <c r="I633" s="35"/>
      <c r="J633" s="36" t="s">
        <v>708</v>
      </c>
      <c r="K633" s="113">
        <f>ROUND(Tableau14[[#This Row],[LEN]]*7.27,0)</f>
        <v>167</v>
      </c>
      <c r="L633" s="113">
        <v>15</v>
      </c>
      <c r="M633" s="130" t="str">
        <f t="shared" si="4"/>
        <v>none</v>
      </c>
      <c r="N633" s="113">
        <f>LEN(Tableau14[[#This Row],[LABEL]])</f>
        <v>23</v>
      </c>
      <c r="O633" s="113">
        <v>15</v>
      </c>
      <c r="P633" s="113" t="e">
        <f>ROUND(Tableau14[[#This Row],[LEN]]*#REF!+#REF!,0)</f>
        <v>#REF!</v>
      </c>
    </row>
    <row r="634" spans="1:16" s="97" customFormat="1" x14ac:dyDescent="0.25">
      <c r="A634" s="37" t="s">
        <v>1463</v>
      </c>
      <c r="B634" s="38" t="s">
        <v>1460</v>
      </c>
      <c r="C634" s="39" t="s">
        <v>112</v>
      </c>
      <c r="D634" s="73" t="s">
        <v>28</v>
      </c>
      <c r="E634" s="39" t="s">
        <v>667</v>
      </c>
      <c r="F634" s="39" t="s">
        <v>2006</v>
      </c>
      <c r="G634" s="73" t="s">
        <v>168</v>
      </c>
      <c r="H634" s="73" t="s">
        <v>654</v>
      </c>
      <c r="I634" s="39"/>
      <c r="J634" s="40" t="s">
        <v>708</v>
      </c>
      <c r="K634" s="114">
        <f>ROUND(Tableau14[[#This Row],[LEN]]*7.27,0)</f>
        <v>167</v>
      </c>
      <c r="L634" s="114">
        <v>15</v>
      </c>
      <c r="M634" s="131" t="str">
        <f t="shared" si="4"/>
        <v>none</v>
      </c>
      <c r="N634" s="114">
        <f>LEN(Tableau14[[#This Row],[LABEL]])</f>
        <v>23</v>
      </c>
      <c r="O634" s="114">
        <v>15</v>
      </c>
      <c r="P634" s="114" t="e">
        <f>ROUND(Tableau14[[#This Row],[LEN]]*#REF!+#REF!,0)</f>
        <v>#REF!</v>
      </c>
    </row>
    <row r="635" spans="1:16" s="97" customFormat="1" x14ac:dyDescent="0.25">
      <c r="A635" s="37" t="s">
        <v>1464</v>
      </c>
      <c r="B635" s="38" t="s">
        <v>1460</v>
      </c>
      <c r="C635" s="39" t="s">
        <v>113</v>
      </c>
      <c r="D635" s="73" t="s">
        <v>28</v>
      </c>
      <c r="E635" s="39" t="s">
        <v>667</v>
      </c>
      <c r="F635" s="39" t="s">
        <v>2006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ROUND(Tableau14[[#This Row],[LEN]]*7.27,0)</f>
        <v>233</v>
      </c>
      <c r="L635" s="114">
        <v>15</v>
      </c>
      <c r="M635" s="131" t="str">
        <f t="shared" si="4"/>
        <v>none</v>
      </c>
      <c r="N635" s="114">
        <f>LEN(Tableau14[[#This Row],[LABEL]])</f>
        <v>32</v>
      </c>
      <c r="O635" s="114">
        <v>15</v>
      </c>
      <c r="P635" s="114" t="e">
        <f>ROUND(Tableau14[[#This Row],[LEN]]*#REF!+#REF!,0)</f>
        <v>#REF!</v>
      </c>
    </row>
    <row r="636" spans="1:16" s="97" customFormat="1" x14ac:dyDescent="0.25">
      <c r="A636" s="33" t="s">
        <v>1461</v>
      </c>
      <c r="B636" s="34" t="s">
        <v>279</v>
      </c>
      <c r="C636" s="35" t="s">
        <v>1483</v>
      </c>
      <c r="D636" s="72" t="s">
        <v>28</v>
      </c>
      <c r="E636" s="35" t="s">
        <v>661</v>
      </c>
      <c r="F636" s="35" t="s">
        <v>1445</v>
      </c>
      <c r="G636" s="72" t="s">
        <v>168</v>
      </c>
      <c r="H636" s="72" t="s">
        <v>655</v>
      </c>
      <c r="I636" s="35"/>
      <c r="J636" s="36" t="s">
        <v>708</v>
      </c>
      <c r="K636" s="113">
        <f>ROUND(Tableau14[[#This Row],[LEN]]*7.27,0)</f>
        <v>240</v>
      </c>
      <c r="L636" s="113">
        <v>15</v>
      </c>
      <c r="M636" s="130" t="str">
        <f t="shared" si="4"/>
        <v>none</v>
      </c>
      <c r="N636" s="113">
        <f>LEN(Tableau14[[#This Row],[LABEL]])</f>
        <v>33</v>
      </c>
      <c r="O636" s="113">
        <v>15</v>
      </c>
      <c r="P636" s="113" t="e">
        <f>ROUND(Tableau14[[#This Row],[LEN]]*#REF!+#REF!,0)</f>
        <v>#REF!</v>
      </c>
    </row>
    <row r="637" spans="1:16" s="97" customFormat="1" x14ac:dyDescent="0.25">
      <c r="A637" s="37" t="s">
        <v>1465</v>
      </c>
      <c r="B637" s="38" t="s">
        <v>1461</v>
      </c>
      <c r="C637" s="39" t="s">
        <v>1458</v>
      </c>
      <c r="D637" s="73" t="s">
        <v>28</v>
      </c>
      <c r="E637" s="39" t="s">
        <v>661</v>
      </c>
      <c r="F637" s="39" t="s">
        <v>1445</v>
      </c>
      <c r="G637" s="73" t="s">
        <v>168</v>
      </c>
      <c r="H637" s="73" t="s">
        <v>654</v>
      </c>
      <c r="I637" s="39"/>
      <c r="J637" s="40" t="s">
        <v>708</v>
      </c>
      <c r="K637" s="114">
        <f>ROUND(Tableau14[[#This Row],[LEN]]*7.27,0)</f>
        <v>189</v>
      </c>
      <c r="L637" s="114">
        <v>15</v>
      </c>
      <c r="M637" s="131" t="str">
        <f t="shared" si="4"/>
        <v>none</v>
      </c>
      <c r="N637" s="114">
        <f>LEN(Tableau14[[#This Row],[LABEL]])</f>
        <v>26</v>
      </c>
      <c r="O637" s="114">
        <v>15</v>
      </c>
      <c r="P637" s="114" t="e">
        <f>ROUND(Tableau14[[#This Row],[LEN]]*#REF!+#REF!,0)</f>
        <v>#REF!</v>
      </c>
    </row>
    <row r="638" spans="1:16" s="97" customFormat="1" x14ac:dyDescent="0.25">
      <c r="A638" s="37" t="s">
        <v>1466</v>
      </c>
      <c r="B638" s="38" t="s">
        <v>1461</v>
      </c>
      <c r="C638" s="39" t="s">
        <v>1459</v>
      </c>
      <c r="D638" s="73" t="s">
        <v>28</v>
      </c>
      <c r="E638" s="39" t="s">
        <v>661</v>
      </c>
      <c r="F638" s="39" t="s">
        <v>1445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ROUND(Tableau14[[#This Row],[LEN]]*7.27,0)</f>
        <v>204</v>
      </c>
      <c r="L638" s="114">
        <v>15</v>
      </c>
      <c r="M638" s="131" t="str">
        <f t="shared" si="4"/>
        <v>none</v>
      </c>
      <c r="N638" s="114">
        <f>LEN(Tableau14[[#This Row],[LABEL]])</f>
        <v>28</v>
      </c>
      <c r="O638" s="114">
        <v>15</v>
      </c>
      <c r="P638" s="114" t="e">
        <f>ROUND(Tableau14[[#This Row],[LEN]]*#REF!+#REF!,0)</f>
        <v>#REF!</v>
      </c>
    </row>
    <row r="639" spans="1:16" s="273" customFormat="1" x14ac:dyDescent="0.25">
      <c r="A639" s="309" t="s">
        <v>280</v>
      </c>
      <c r="B639" s="310" t="s">
        <v>207</v>
      </c>
      <c r="C639" s="311" t="s">
        <v>71</v>
      </c>
      <c r="D639" s="312" t="s">
        <v>28</v>
      </c>
      <c r="E639" s="311" t="s">
        <v>676</v>
      </c>
      <c r="F639" s="311" t="s">
        <v>676</v>
      </c>
      <c r="G639" s="312" t="s">
        <v>168</v>
      </c>
      <c r="H639" s="312" t="str">
        <f>IFERROR(IF(SEARCH(".00.00.00.00.00",Tableau14[[#This Row],[name]],1)=7,"Division",""),"")</f>
        <v>Division</v>
      </c>
      <c r="I639" s="311"/>
      <c r="J639" s="313" t="s">
        <v>722</v>
      </c>
      <c r="K639" s="314">
        <f>ROUND(Tableau14[[#This Row],[LEN]]*7.27,0)</f>
        <v>29</v>
      </c>
      <c r="L639" s="314">
        <v>15</v>
      </c>
      <c r="M639" s="315" t="str">
        <f t="shared" si="4"/>
        <v>new</v>
      </c>
      <c r="N639" s="314">
        <f>LEN(Tableau14[[#This Row],[LABEL]])</f>
        <v>4</v>
      </c>
      <c r="O639" s="314">
        <v>15</v>
      </c>
      <c r="P639" s="314" t="e">
        <f>ROUND(Tableau14[[#This Row],[LEN]]*#REF!+#REF!,0)</f>
        <v>#REF!</v>
      </c>
    </row>
    <row r="640" spans="1:16" s="97" customFormat="1" x14ac:dyDescent="0.25">
      <c r="A640" s="33" t="s">
        <v>1471</v>
      </c>
      <c r="B640" s="34" t="s">
        <v>280</v>
      </c>
      <c r="C640" s="35" t="s">
        <v>111</v>
      </c>
      <c r="D640" s="72" t="s">
        <v>28</v>
      </c>
      <c r="E640" s="35" t="s">
        <v>667</v>
      </c>
      <c r="F640" s="35" t="s">
        <v>2006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ROUND(Tableau14[[#This Row],[LEN]]*7.27,0)</f>
        <v>167</v>
      </c>
      <c r="L640" s="113">
        <v>15</v>
      </c>
      <c r="M640" s="130" t="str">
        <f t="shared" si="4"/>
        <v>none</v>
      </c>
      <c r="N640" s="113">
        <f>LEN(Tableau14[[#This Row],[LABEL]])</f>
        <v>23</v>
      </c>
      <c r="O640" s="113">
        <v>15</v>
      </c>
      <c r="P640" s="113" t="e">
        <f>ROUND(Tableau14[[#This Row],[LEN]]*#REF!+#REF!,0)</f>
        <v>#REF!</v>
      </c>
    </row>
    <row r="641" spans="1:16" s="97" customFormat="1" x14ac:dyDescent="0.25">
      <c r="A641" s="37" t="s">
        <v>1472</v>
      </c>
      <c r="B641" s="38" t="s">
        <v>1471</v>
      </c>
      <c r="C641" s="39" t="s">
        <v>112</v>
      </c>
      <c r="D641" s="73" t="s">
        <v>28</v>
      </c>
      <c r="E641" s="39" t="s">
        <v>667</v>
      </c>
      <c r="F641" s="39" t="s">
        <v>2006</v>
      </c>
      <c r="G641" s="73" t="s">
        <v>168</v>
      </c>
      <c r="H641" s="73" t="s">
        <v>654</v>
      </c>
      <c r="I641" s="39"/>
      <c r="J641" s="40" t="s">
        <v>708</v>
      </c>
      <c r="K641" s="114">
        <f>ROUND(Tableau14[[#This Row],[LEN]]*7.27,0)</f>
        <v>167</v>
      </c>
      <c r="L641" s="114">
        <v>15</v>
      </c>
      <c r="M641" s="131" t="str">
        <f t="shared" si="4"/>
        <v>none</v>
      </c>
      <c r="N641" s="114">
        <f>LEN(Tableau14[[#This Row],[LABEL]])</f>
        <v>23</v>
      </c>
      <c r="O641" s="114">
        <v>15</v>
      </c>
      <c r="P641" s="114" t="e">
        <f>ROUND(Tableau14[[#This Row],[LEN]]*#REF!+#REF!,0)</f>
        <v>#REF!</v>
      </c>
    </row>
    <row r="642" spans="1:16" s="97" customFormat="1" x14ac:dyDescent="0.25">
      <c r="A642" s="37" t="s">
        <v>1473</v>
      </c>
      <c r="B642" s="38" t="s">
        <v>1471</v>
      </c>
      <c r="C642" s="39" t="s">
        <v>113</v>
      </c>
      <c r="D642" s="73" t="s">
        <v>28</v>
      </c>
      <c r="E642" s="39" t="s">
        <v>667</v>
      </c>
      <c r="F642" s="39" t="s">
        <v>2006</v>
      </c>
      <c r="G642" s="73" t="s">
        <v>168</v>
      </c>
      <c r="H642" s="73" t="s">
        <v>654</v>
      </c>
      <c r="I642" s="39"/>
      <c r="J642" s="40" t="s">
        <v>708</v>
      </c>
      <c r="K642" s="114">
        <f>ROUND(Tableau14[[#This Row],[LEN]]*7.27,0)</f>
        <v>233</v>
      </c>
      <c r="L642" s="114">
        <v>15</v>
      </c>
      <c r="M642" s="131" t="str">
        <f t="shared" si="4"/>
        <v>none</v>
      </c>
      <c r="N642" s="114">
        <f>LEN(Tableau14[[#This Row],[LABEL]])</f>
        <v>32</v>
      </c>
      <c r="O642" s="114">
        <v>15</v>
      </c>
      <c r="P642" s="114" t="e">
        <f>ROUND(Tableau14[[#This Row],[LEN]]*#REF!+#REF!,0)</f>
        <v>#REF!</v>
      </c>
    </row>
    <row r="643" spans="1:16" s="97" customFormat="1" x14ac:dyDescent="0.25">
      <c r="A643" s="33" t="s">
        <v>1474</v>
      </c>
      <c r="B643" s="34" t="s">
        <v>280</v>
      </c>
      <c r="C643" s="35" t="s">
        <v>1586</v>
      </c>
      <c r="D643" s="72" t="s">
        <v>1477</v>
      </c>
      <c r="E643" s="35" t="s">
        <v>676</v>
      </c>
      <c r="F643" s="35" t="s">
        <v>1177</v>
      </c>
      <c r="G643" s="72" t="s">
        <v>168</v>
      </c>
      <c r="H643" s="72" t="s">
        <v>654</v>
      </c>
      <c r="I643" s="35"/>
      <c r="J643" s="36" t="s">
        <v>708</v>
      </c>
      <c r="K643" s="113">
        <f>ROUND(Tableau14[[#This Row],[LEN]]*7.27,0)</f>
        <v>414</v>
      </c>
      <c r="L643" s="113">
        <v>15</v>
      </c>
      <c r="M643" s="130" t="str">
        <f t="shared" si="4"/>
        <v>none</v>
      </c>
      <c r="N643" s="113">
        <f>LEN(Tableau14[[#This Row],[LABEL]])</f>
        <v>57</v>
      </c>
      <c r="O643" s="113">
        <v>15</v>
      </c>
      <c r="P643" s="113" t="e">
        <f>ROUND(Tableau14[[#This Row],[LEN]]*#REF!+#REF!,0)</f>
        <v>#REF!</v>
      </c>
    </row>
    <row r="644" spans="1:16" s="97" customFormat="1" x14ac:dyDescent="0.25">
      <c r="A644" s="33" t="s">
        <v>1475</v>
      </c>
      <c r="B644" s="34" t="s">
        <v>280</v>
      </c>
      <c r="C644" s="35" t="s">
        <v>1478</v>
      </c>
      <c r="D644" s="72" t="s">
        <v>28</v>
      </c>
      <c r="E644" s="35" t="s">
        <v>676</v>
      </c>
      <c r="F644" s="35" t="s">
        <v>678</v>
      </c>
      <c r="G644" s="72" t="s">
        <v>168</v>
      </c>
      <c r="H644" s="72" t="s">
        <v>654</v>
      </c>
      <c r="I644" s="35"/>
      <c r="J644" s="36" t="s">
        <v>708</v>
      </c>
      <c r="K644" s="113">
        <f>ROUND(Tableau14[[#This Row],[LEN]]*7.27,0)</f>
        <v>327</v>
      </c>
      <c r="L644" s="113">
        <v>15</v>
      </c>
      <c r="M644" s="130" t="str">
        <f t="shared" si="4"/>
        <v>none</v>
      </c>
      <c r="N644" s="113">
        <f>LEN(Tableau14[[#This Row],[LABEL]])</f>
        <v>45</v>
      </c>
      <c r="O644" s="113">
        <v>15</v>
      </c>
      <c r="P644" s="113" t="e">
        <f>ROUND(Tableau14[[#This Row],[LEN]]*#REF!+#REF!,0)</f>
        <v>#REF!</v>
      </c>
    </row>
    <row r="645" spans="1:16" s="273" customFormat="1" x14ac:dyDescent="0.25">
      <c r="A645" s="309" t="s">
        <v>281</v>
      </c>
      <c r="B645" s="310" t="s">
        <v>207</v>
      </c>
      <c r="C645" s="311" t="s">
        <v>13</v>
      </c>
      <c r="D645" s="312" t="s">
        <v>28</v>
      </c>
      <c r="E645" s="311" t="s">
        <v>677</v>
      </c>
      <c r="F645" s="311" t="s">
        <v>677</v>
      </c>
      <c r="G645" s="312" t="s">
        <v>168</v>
      </c>
      <c r="H645" s="312" t="str">
        <f>IFERROR(IF(SEARCH(".00.00.00.00.00",Tableau14[[#This Row],[name]],1)=7,"Division",""),"")</f>
        <v>Division</v>
      </c>
      <c r="I645" s="311"/>
      <c r="J645" s="313" t="s">
        <v>723</v>
      </c>
      <c r="K645" s="314">
        <f>ROUND(Tableau14[[#This Row],[LEN]]*7.27,0)</f>
        <v>80</v>
      </c>
      <c r="L645" s="314">
        <v>15</v>
      </c>
      <c r="M645" s="315" t="str">
        <f t="shared" si="4"/>
        <v>new</v>
      </c>
      <c r="N645" s="314">
        <f>LEN(Tableau14[[#This Row],[LABEL]])</f>
        <v>11</v>
      </c>
      <c r="O645" s="314">
        <v>15</v>
      </c>
      <c r="P645" s="314" t="e">
        <f>ROUND(Tableau14[[#This Row],[LEN]]*#REF!+#REF!,0)</f>
        <v>#REF!</v>
      </c>
    </row>
    <row r="646" spans="1:16" s="97" customFormat="1" x14ac:dyDescent="0.25">
      <c r="A646" s="33" t="s">
        <v>1479</v>
      </c>
      <c r="B646" s="34" t="s">
        <v>281</v>
      </c>
      <c r="C646" s="35" t="s">
        <v>111</v>
      </c>
      <c r="D646" s="72" t="s">
        <v>28</v>
      </c>
      <c r="E646" s="35" t="s">
        <v>667</v>
      </c>
      <c r="F646" s="35" t="s">
        <v>2006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ROUND(Tableau14[[#This Row],[LEN]]*7.27,0)</f>
        <v>167</v>
      </c>
      <c r="L646" s="113">
        <v>15</v>
      </c>
      <c r="M646" s="130" t="str">
        <f t="shared" si="4"/>
        <v>none</v>
      </c>
      <c r="N646" s="113">
        <f>LEN(Tableau14[[#This Row],[LABEL]])</f>
        <v>23</v>
      </c>
      <c r="O646" s="113">
        <v>15</v>
      </c>
      <c r="P646" s="113" t="e">
        <f>ROUND(Tableau14[[#This Row],[LEN]]*#REF!+#REF!,0)</f>
        <v>#REF!</v>
      </c>
    </row>
    <row r="647" spans="1:16" s="97" customFormat="1" x14ac:dyDescent="0.25">
      <c r="A647" s="37" t="s">
        <v>1484</v>
      </c>
      <c r="B647" s="38" t="s">
        <v>1479</v>
      </c>
      <c r="C647" s="39" t="s">
        <v>112</v>
      </c>
      <c r="D647" s="73" t="s">
        <v>28</v>
      </c>
      <c r="E647" s="39" t="s">
        <v>667</v>
      </c>
      <c r="F647" s="39" t="s">
        <v>2006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ROUND(Tableau14[[#This Row],[LEN]]*7.27,0)</f>
        <v>167</v>
      </c>
      <c r="L647" s="114">
        <v>15</v>
      </c>
      <c r="M647" s="131" t="str">
        <f t="shared" si="4"/>
        <v>none</v>
      </c>
      <c r="N647" s="114">
        <f>LEN(Tableau14[[#This Row],[LABEL]])</f>
        <v>23</v>
      </c>
      <c r="O647" s="114">
        <v>15</v>
      </c>
      <c r="P647" s="114" t="e">
        <f>ROUND(Tableau14[[#This Row],[LEN]]*#REF!+#REF!,0)</f>
        <v>#REF!</v>
      </c>
    </row>
    <row r="648" spans="1:16" s="97" customFormat="1" x14ac:dyDescent="0.25">
      <c r="A648" s="37" t="s">
        <v>1485</v>
      </c>
      <c r="B648" s="38" t="s">
        <v>1479</v>
      </c>
      <c r="C648" s="39" t="s">
        <v>113</v>
      </c>
      <c r="D648" s="73" t="s">
        <v>28</v>
      </c>
      <c r="E648" s="39" t="s">
        <v>667</v>
      </c>
      <c r="F648" s="39" t="s">
        <v>2006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ROUND(Tableau14[[#This Row],[LEN]]*7.27,0)</f>
        <v>233</v>
      </c>
      <c r="L648" s="114">
        <v>15</v>
      </c>
      <c r="M648" s="131" t="str">
        <f t="shared" si="4"/>
        <v>none</v>
      </c>
      <c r="N648" s="114">
        <f>LEN(Tableau14[[#This Row],[LABEL]])</f>
        <v>32</v>
      </c>
      <c r="O648" s="114">
        <v>15</v>
      </c>
      <c r="P648" s="114" t="e">
        <f>ROUND(Tableau14[[#This Row],[LEN]]*#REF!+#REF!,0)</f>
        <v>#REF!</v>
      </c>
    </row>
    <row r="649" spans="1:16" s="97" customFormat="1" x14ac:dyDescent="0.25">
      <c r="A649" s="33" t="s">
        <v>1480</v>
      </c>
      <c r="B649" s="34" t="s">
        <v>281</v>
      </c>
      <c r="C649" s="35" t="s">
        <v>1483</v>
      </c>
      <c r="D649" s="72" t="s">
        <v>28</v>
      </c>
      <c r="E649" s="35" t="s">
        <v>661</v>
      </c>
      <c r="F649" s="35" t="s">
        <v>1445</v>
      </c>
      <c r="G649" s="72" t="s">
        <v>168</v>
      </c>
      <c r="H649" s="72" t="s">
        <v>655</v>
      </c>
      <c r="I649" s="35"/>
      <c r="J649" s="36" t="s">
        <v>708</v>
      </c>
      <c r="K649" s="113">
        <f>ROUND(Tableau14[[#This Row],[LEN]]*7.27,0)</f>
        <v>240</v>
      </c>
      <c r="L649" s="113">
        <v>15</v>
      </c>
      <c r="M649" s="130" t="str">
        <f t="shared" si="4"/>
        <v>none</v>
      </c>
      <c r="N649" s="113">
        <f>LEN(Tableau14[[#This Row],[LABEL]])</f>
        <v>33</v>
      </c>
      <c r="O649" s="113">
        <v>15</v>
      </c>
      <c r="P649" s="113" t="e">
        <f>ROUND(Tableau14[[#This Row],[LEN]]*#REF!+#REF!,0)</f>
        <v>#REF!</v>
      </c>
    </row>
    <row r="650" spans="1:16" s="97" customFormat="1" x14ac:dyDescent="0.25">
      <c r="A650" s="37" t="s">
        <v>1486</v>
      </c>
      <c r="B650" s="38" t="s">
        <v>1480</v>
      </c>
      <c r="C650" s="39" t="s">
        <v>1458</v>
      </c>
      <c r="D650" s="73" t="s">
        <v>28</v>
      </c>
      <c r="E650" s="39" t="s">
        <v>661</v>
      </c>
      <c r="F650" s="39" t="s">
        <v>1445</v>
      </c>
      <c r="G650" s="73" t="s">
        <v>168</v>
      </c>
      <c r="H650" s="73" t="s">
        <v>654</v>
      </c>
      <c r="I650" s="39"/>
      <c r="J650" s="40" t="s">
        <v>708</v>
      </c>
      <c r="K650" s="114">
        <f>ROUND(Tableau14[[#This Row],[LEN]]*7.27,0)</f>
        <v>189</v>
      </c>
      <c r="L650" s="114">
        <v>15</v>
      </c>
      <c r="M650" s="131" t="str">
        <f t="shared" si="4"/>
        <v>none</v>
      </c>
      <c r="N650" s="114">
        <f>LEN(Tableau14[[#This Row],[LABEL]])</f>
        <v>26</v>
      </c>
      <c r="O650" s="114">
        <v>15</v>
      </c>
      <c r="P650" s="114" t="e">
        <f>ROUND(Tableau14[[#This Row],[LEN]]*#REF!+#REF!,0)</f>
        <v>#REF!</v>
      </c>
    </row>
    <row r="651" spans="1:16" s="97" customFormat="1" x14ac:dyDescent="0.25">
      <c r="A651" s="37" t="s">
        <v>1486</v>
      </c>
      <c r="B651" s="38" t="s">
        <v>1480</v>
      </c>
      <c r="C651" s="39" t="s">
        <v>1459</v>
      </c>
      <c r="D651" s="73" t="s">
        <v>28</v>
      </c>
      <c r="E651" s="39" t="s">
        <v>661</v>
      </c>
      <c r="F651" s="39" t="s">
        <v>1445</v>
      </c>
      <c r="G651" s="73" t="s">
        <v>168</v>
      </c>
      <c r="H651" s="73" t="s">
        <v>654</v>
      </c>
      <c r="I651" s="39"/>
      <c r="J651" s="40" t="s">
        <v>708</v>
      </c>
      <c r="K651" s="114">
        <f>ROUND(Tableau14[[#This Row],[LEN]]*7.27,0)</f>
        <v>204</v>
      </c>
      <c r="L651" s="114">
        <v>15</v>
      </c>
      <c r="M651" s="131" t="str">
        <f t="shared" si="4"/>
        <v>none</v>
      </c>
      <c r="N651" s="114">
        <f>LEN(Tableau14[[#This Row],[LABEL]])</f>
        <v>28</v>
      </c>
      <c r="O651" s="114">
        <v>15</v>
      </c>
      <c r="P651" s="114" t="e">
        <f>ROUND(Tableau14[[#This Row],[LEN]]*#REF!+#REF!,0)</f>
        <v>#REF!</v>
      </c>
    </row>
    <row r="652" spans="1:16" s="97" customFormat="1" x14ac:dyDescent="0.25">
      <c r="A652" s="33" t="s">
        <v>1481</v>
      </c>
      <c r="B652" s="34" t="s">
        <v>281</v>
      </c>
      <c r="C652" s="35" t="s">
        <v>1482</v>
      </c>
      <c r="D652" s="72" t="s">
        <v>28</v>
      </c>
      <c r="E652" s="35" t="s">
        <v>677</v>
      </c>
      <c r="F652" s="35" t="s">
        <v>1177</v>
      </c>
      <c r="G652" s="72" t="s">
        <v>168</v>
      </c>
      <c r="H652" s="72" t="s">
        <v>654</v>
      </c>
      <c r="I652" s="35"/>
      <c r="J652" s="36" t="s">
        <v>708</v>
      </c>
      <c r="K652" s="113">
        <f>ROUND(Tableau14[[#This Row],[LEN]]*7.27,0)</f>
        <v>131</v>
      </c>
      <c r="L652" s="113">
        <v>15</v>
      </c>
      <c r="M652" s="130" t="str">
        <f t="shared" si="4"/>
        <v>none</v>
      </c>
      <c r="N652" s="113">
        <f>LEN(Tableau14[[#This Row],[LABEL]])</f>
        <v>18</v>
      </c>
      <c r="O652" s="113">
        <v>15</v>
      </c>
      <c r="P652" s="113" t="e">
        <f>ROUND(Tableau14[[#This Row],[LEN]]*#REF!+#REF!,0)</f>
        <v>#REF!</v>
      </c>
    </row>
    <row r="653" spans="1:16" s="273" customFormat="1" x14ac:dyDescent="0.25">
      <c r="A653" s="309" t="s">
        <v>282</v>
      </c>
      <c r="B653" s="310" t="s">
        <v>207</v>
      </c>
      <c r="C653" s="311" t="s">
        <v>14</v>
      </c>
      <c r="D653" s="312" t="s">
        <v>28</v>
      </c>
      <c r="E653" s="311" t="s">
        <v>678</v>
      </c>
      <c r="F653" s="311" t="s">
        <v>678</v>
      </c>
      <c r="G653" s="312" t="s">
        <v>168</v>
      </c>
      <c r="H653" s="312" t="str">
        <f>IFERROR(IF(SEARCH(".00.00.00.00.00",Tableau14[[#This Row],[name]],1)=7,"Division",""),"")</f>
        <v>Division</v>
      </c>
      <c r="I653" s="311"/>
      <c r="J653" s="313" t="s">
        <v>724</v>
      </c>
      <c r="K653" s="314">
        <f>ROUND(Tableau14[[#This Row],[LEN]]*7.27,0)</f>
        <v>240</v>
      </c>
      <c r="L653" s="314">
        <v>15</v>
      </c>
      <c r="M653" s="315" t="str">
        <f t="shared" si="4"/>
        <v>new</v>
      </c>
      <c r="N653" s="314">
        <f>LEN(Tableau14[[#This Row],[LABEL]])</f>
        <v>33</v>
      </c>
      <c r="O653" s="314">
        <v>15</v>
      </c>
      <c r="P653" s="314" t="e">
        <f>ROUND(Tableau14[[#This Row],[LEN]]*#REF!+#REF!,0)</f>
        <v>#REF!</v>
      </c>
    </row>
    <row r="654" spans="1:16" s="97" customFormat="1" x14ac:dyDescent="0.25">
      <c r="A654" s="33" t="s">
        <v>1487</v>
      </c>
      <c r="B654" s="34" t="s">
        <v>282</v>
      </c>
      <c r="C654" s="35" t="s">
        <v>111</v>
      </c>
      <c r="D654" s="72" t="s">
        <v>28</v>
      </c>
      <c r="E654" s="35" t="s">
        <v>667</v>
      </c>
      <c r="F654" s="35" t="s">
        <v>2006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ROUND(Tableau14[[#This Row],[LEN]]*7.27,0)</f>
        <v>167</v>
      </c>
      <c r="L654" s="113">
        <v>15</v>
      </c>
      <c r="M654" s="130" t="str">
        <f t="shared" si="4"/>
        <v>none</v>
      </c>
      <c r="N654" s="113">
        <f>LEN(Tableau14[[#This Row],[LABEL]])</f>
        <v>23</v>
      </c>
      <c r="O654" s="113">
        <v>15</v>
      </c>
      <c r="P654" s="113" t="e">
        <f>ROUND(Tableau14[[#This Row],[LEN]]*#REF!+#REF!,0)</f>
        <v>#REF!</v>
      </c>
    </row>
    <row r="655" spans="1:16" s="97" customFormat="1" x14ac:dyDescent="0.25">
      <c r="A655" s="37" t="s">
        <v>1492</v>
      </c>
      <c r="B655" s="38" t="s">
        <v>1487</v>
      </c>
      <c r="C655" s="39" t="s">
        <v>112</v>
      </c>
      <c r="D655" s="73" t="s">
        <v>28</v>
      </c>
      <c r="E655" s="39" t="s">
        <v>667</v>
      </c>
      <c r="F655" s="39" t="s">
        <v>2006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ROUND(Tableau14[[#This Row],[LEN]]*7.27,0)</f>
        <v>167</v>
      </c>
      <c r="L655" s="114">
        <v>15</v>
      </c>
      <c r="M655" s="131" t="str">
        <f t="shared" si="4"/>
        <v>none</v>
      </c>
      <c r="N655" s="114">
        <f>LEN(Tableau14[[#This Row],[LABEL]])</f>
        <v>23</v>
      </c>
      <c r="O655" s="114">
        <v>15</v>
      </c>
      <c r="P655" s="114" t="e">
        <f>ROUND(Tableau14[[#This Row],[LEN]]*#REF!+#REF!,0)</f>
        <v>#REF!</v>
      </c>
    </row>
    <row r="656" spans="1:16" s="97" customFormat="1" x14ac:dyDescent="0.25">
      <c r="A656" s="37" t="s">
        <v>1493</v>
      </c>
      <c r="B656" s="38" t="s">
        <v>1487</v>
      </c>
      <c r="C656" s="39" t="s">
        <v>113</v>
      </c>
      <c r="D656" s="73" t="s">
        <v>28</v>
      </c>
      <c r="E656" s="39" t="s">
        <v>667</v>
      </c>
      <c r="F656" s="39" t="s">
        <v>2006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ROUND(Tableau14[[#This Row],[LEN]]*7.27,0)</f>
        <v>233</v>
      </c>
      <c r="L656" s="114">
        <v>15</v>
      </c>
      <c r="M656" s="131" t="str">
        <f t="shared" si="4"/>
        <v>none</v>
      </c>
      <c r="N656" s="114">
        <f>LEN(Tableau14[[#This Row],[LABEL]])</f>
        <v>32</v>
      </c>
      <c r="O656" s="114">
        <v>15</v>
      </c>
      <c r="P656" s="114" t="e">
        <f>ROUND(Tableau14[[#This Row],[LEN]]*#REF!+#REF!,0)</f>
        <v>#REF!</v>
      </c>
    </row>
    <row r="657" spans="1:16" s="97" customFormat="1" x14ac:dyDescent="0.25">
      <c r="A657" s="33" t="s">
        <v>1488</v>
      </c>
      <c r="B657" s="34" t="s">
        <v>282</v>
      </c>
      <c r="C657" s="35" t="s">
        <v>1478</v>
      </c>
      <c r="D657" s="72" t="s">
        <v>28</v>
      </c>
      <c r="E657" s="35" t="s">
        <v>676</v>
      </c>
      <c r="F657" s="35" t="s">
        <v>678</v>
      </c>
      <c r="G657" s="72" t="s">
        <v>168</v>
      </c>
      <c r="H657" s="72" t="s">
        <v>654</v>
      </c>
      <c r="I657" s="35"/>
      <c r="J657" s="36" t="s">
        <v>708</v>
      </c>
      <c r="K657" s="113">
        <f>ROUND(Tableau14[[#This Row],[LEN]]*7.27,0)</f>
        <v>327</v>
      </c>
      <c r="L657" s="113">
        <v>15</v>
      </c>
      <c r="M657" s="130" t="str">
        <f t="shared" si="4"/>
        <v>none</v>
      </c>
      <c r="N657" s="113">
        <f>LEN(Tableau14[[#This Row],[LABEL]])</f>
        <v>45</v>
      </c>
      <c r="O657" s="113">
        <v>15</v>
      </c>
      <c r="P657" s="113" t="e">
        <f>ROUND(Tableau14[[#This Row],[LEN]]*#REF!+#REF!,0)</f>
        <v>#REF!</v>
      </c>
    </row>
    <row r="658" spans="1:16" s="97" customFormat="1" x14ac:dyDescent="0.25">
      <c r="A658" s="33" t="s">
        <v>1489</v>
      </c>
      <c r="B658" s="34" t="s">
        <v>282</v>
      </c>
      <c r="C658" s="35" t="s">
        <v>1483</v>
      </c>
      <c r="D658" s="72" t="s">
        <v>28</v>
      </c>
      <c r="E658" s="35" t="s">
        <v>661</v>
      </c>
      <c r="F658" s="35" t="s">
        <v>1445</v>
      </c>
      <c r="G658" s="72" t="s">
        <v>168</v>
      </c>
      <c r="H658" s="72" t="s">
        <v>655</v>
      </c>
      <c r="I658" s="35"/>
      <c r="J658" s="36" t="s">
        <v>708</v>
      </c>
      <c r="K658" s="113">
        <f>ROUND(Tableau14[[#This Row],[LEN]]*7.27,0)</f>
        <v>240</v>
      </c>
      <c r="L658" s="113">
        <v>15</v>
      </c>
      <c r="M658" s="130" t="str">
        <f t="shared" si="4"/>
        <v>none</v>
      </c>
      <c r="N658" s="113">
        <f>LEN(Tableau14[[#This Row],[LABEL]])</f>
        <v>33</v>
      </c>
      <c r="O658" s="113">
        <v>15</v>
      </c>
      <c r="P658" s="113" t="e">
        <f>ROUND(Tableau14[[#This Row],[LEN]]*#REF!+#REF!,0)</f>
        <v>#REF!</v>
      </c>
    </row>
    <row r="659" spans="1:16" s="97" customFormat="1" x14ac:dyDescent="0.25">
      <c r="A659" s="37" t="s">
        <v>1494</v>
      </c>
      <c r="B659" s="38" t="s">
        <v>1489</v>
      </c>
      <c r="C659" s="39" t="s">
        <v>1458</v>
      </c>
      <c r="D659" s="73" t="s">
        <v>28</v>
      </c>
      <c r="E659" s="39" t="s">
        <v>661</v>
      </c>
      <c r="F659" s="39" t="s">
        <v>1445</v>
      </c>
      <c r="G659" s="73" t="s">
        <v>168</v>
      </c>
      <c r="H659" s="73" t="s">
        <v>654</v>
      </c>
      <c r="I659" s="39"/>
      <c r="J659" s="40" t="s">
        <v>708</v>
      </c>
      <c r="K659" s="114">
        <f>ROUND(Tableau14[[#This Row],[LEN]]*7.27,0)</f>
        <v>189</v>
      </c>
      <c r="L659" s="114">
        <v>15</v>
      </c>
      <c r="M659" s="131" t="str">
        <f t="shared" si="4"/>
        <v>none</v>
      </c>
      <c r="N659" s="114">
        <f>LEN(Tableau14[[#This Row],[LABEL]])</f>
        <v>26</v>
      </c>
      <c r="O659" s="114">
        <v>15</v>
      </c>
      <c r="P659" s="114" t="e">
        <f>ROUND(Tableau14[[#This Row],[LEN]]*#REF!+#REF!,0)</f>
        <v>#REF!</v>
      </c>
    </row>
    <row r="660" spans="1:16" s="97" customFormat="1" x14ac:dyDescent="0.25">
      <c r="A660" s="37" t="s">
        <v>1495</v>
      </c>
      <c r="B660" s="38" t="s">
        <v>1489</v>
      </c>
      <c r="C660" s="39" t="s">
        <v>1459</v>
      </c>
      <c r="D660" s="73" t="s">
        <v>28</v>
      </c>
      <c r="E660" s="39" t="s">
        <v>661</v>
      </c>
      <c r="F660" s="39" t="s">
        <v>1445</v>
      </c>
      <c r="G660" s="73" t="s">
        <v>168</v>
      </c>
      <c r="H660" s="73" t="s">
        <v>654</v>
      </c>
      <c r="I660" s="39"/>
      <c r="J660" s="40" t="s">
        <v>708</v>
      </c>
      <c r="K660" s="114">
        <f>ROUND(Tableau14[[#This Row],[LEN]]*7.27,0)</f>
        <v>204</v>
      </c>
      <c r="L660" s="114">
        <v>15</v>
      </c>
      <c r="M660" s="131" t="str">
        <f t="shared" si="4"/>
        <v>none</v>
      </c>
      <c r="N660" s="114">
        <f>LEN(Tableau14[[#This Row],[LABEL]])</f>
        <v>28</v>
      </c>
      <c r="O660" s="114">
        <v>15</v>
      </c>
      <c r="P660" s="114" t="e">
        <f>ROUND(Tableau14[[#This Row],[LEN]]*#REF!+#REF!,0)</f>
        <v>#REF!</v>
      </c>
    </row>
    <row r="661" spans="1:16" s="97" customFormat="1" x14ac:dyDescent="0.25">
      <c r="A661" s="33" t="s">
        <v>1490</v>
      </c>
      <c r="B661" s="34" t="s">
        <v>282</v>
      </c>
      <c r="C661" s="35" t="s">
        <v>1491</v>
      </c>
      <c r="D661" s="72" t="s">
        <v>28</v>
      </c>
      <c r="E661" s="35" t="s">
        <v>678</v>
      </c>
      <c r="F661" s="35" t="s">
        <v>1177</v>
      </c>
      <c r="G661" s="72" t="s">
        <v>168</v>
      </c>
      <c r="H661" s="72" t="s">
        <v>656</v>
      </c>
      <c r="I661" s="35"/>
      <c r="J661" s="36" t="s">
        <v>708</v>
      </c>
      <c r="K661" s="113">
        <f>ROUND(Tableau14[[#This Row],[LEN]]*7.27,0)</f>
        <v>247</v>
      </c>
      <c r="L661" s="113">
        <v>16</v>
      </c>
      <c r="M661" s="130" t="str">
        <f t="shared" si="4"/>
        <v>none</v>
      </c>
      <c r="N661" s="113">
        <f>LEN(Tableau14[[#This Row],[LABEL]])</f>
        <v>34</v>
      </c>
      <c r="O661" s="113">
        <v>16</v>
      </c>
      <c r="P661" s="113" t="e">
        <f>ROUND(Tableau14[[#This Row],[LEN]]*#REF!+#REF!,0)</f>
        <v>#REF!</v>
      </c>
    </row>
    <row r="662" spans="1:16" s="273" customFormat="1" x14ac:dyDescent="0.25">
      <c r="A662" s="316" t="s">
        <v>283</v>
      </c>
      <c r="B662" s="317" t="s">
        <v>207</v>
      </c>
      <c r="C662" s="318" t="s">
        <v>15</v>
      </c>
      <c r="D662" s="319" t="s">
        <v>28</v>
      </c>
      <c r="E662" s="318" t="s">
        <v>679</v>
      </c>
      <c r="F662" s="318" t="s">
        <v>679</v>
      </c>
      <c r="G662" s="319" t="s">
        <v>168</v>
      </c>
      <c r="H662" s="319" t="str">
        <f>IFERROR(IF(SEARCH(".00.00.00.00.00",Tableau14[[#This Row],[name]],1)=7,"Division",""),"")</f>
        <v>Division</v>
      </c>
      <c r="I662" s="318"/>
      <c r="J662" s="320" t="s">
        <v>725</v>
      </c>
      <c r="K662" s="321">
        <f>ROUND(Tableau14[[#This Row],[LEN]]*7.27,0)</f>
        <v>174</v>
      </c>
      <c r="L662" s="321">
        <v>15</v>
      </c>
      <c r="M662" s="322" t="str">
        <f t="shared" si="4"/>
        <v>new</v>
      </c>
      <c r="N662" s="321">
        <f>LEN(Tableau14[[#This Row],[LABEL]])</f>
        <v>24</v>
      </c>
      <c r="O662" s="321">
        <v>15</v>
      </c>
      <c r="P662" s="321" t="e">
        <f>ROUND(Tableau14[[#This Row],[LEN]]*#REF!+#REF!,0)</f>
        <v>#REF!</v>
      </c>
    </row>
    <row r="663" spans="1:16" s="97" customFormat="1" x14ac:dyDescent="0.25">
      <c r="A663" s="33" t="s">
        <v>1496</v>
      </c>
      <c r="B663" s="34" t="s">
        <v>283</v>
      </c>
      <c r="C663" s="35" t="s">
        <v>111</v>
      </c>
      <c r="D663" s="72" t="s">
        <v>28</v>
      </c>
      <c r="E663" s="35" t="s">
        <v>667</v>
      </c>
      <c r="F663" s="35" t="s">
        <v>2006</v>
      </c>
      <c r="G663" s="72" t="s">
        <v>168</v>
      </c>
      <c r="H663" s="72" t="s">
        <v>655</v>
      </c>
      <c r="I663" s="35"/>
      <c r="J663" s="36" t="s">
        <v>708</v>
      </c>
      <c r="K663" s="113">
        <f>ROUND(Tableau14[[#This Row],[LEN]]*7.27,0)</f>
        <v>167</v>
      </c>
      <c r="L663" s="113">
        <v>15</v>
      </c>
      <c r="M663" s="130" t="str">
        <f t="shared" si="4"/>
        <v>none</v>
      </c>
      <c r="N663" s="113">
        <f>LEN(Tableau14[[#This Row],[LABEL]])</f>
        <v>23</v>
      </c>
      <c r="O663" s="113">
        <v>15</v>
      </c>
      <c r="P663" s="113" t="e">
        <f>ROUND(Tableau14[[#This Row],[LEN]]*#REF!+#REF!,0)</f>
        <v>#REF!</v>
      </c>
    </row>
    <row r="664" spans="1:16" s="97" customFormat="1" x14ac:dyDescent="0.25">
      <c r="A664" s="37" t="s">
        <v>1498</v>
      </c>
      <c r="B664" s="38" t="s">
        <v>1496</v>
      </c>
      <c r="C664" s="39" t="s">
        <v>112</v>
      </c>
      <c r="D664" s="73" t="s">
        <v>28</v>
      </c>
      <c r="E664" s="39" t="s">
        <v>667</v>
      </c>
      <c r="F664" s="39" t="s">
        <v>2006</v>
      </c>
      <c r="G664" s="73" t="s">
        <v>168</v>
      </c>
      <c r="H664" s="73" t="s">
        <v>654</v>
      </c>
      <c r="I664" s="39"/>
      <c r="J664" s="40" t="s">
        <v>708</v>
      </c>
      <c r="K664" s="114">
        <f>ROUND(Tableau14[[#This Row],[LEN]]*7.27,0)</f>
        <v>167</v>
      </c>
      <c r="L664" s="114">
        <v>15</v>
      </c>
      <c r="M664" s="131" t="str">
        <f t="shared" si="4"/>
        <v>none</v>
      </c>
      <c r="N664" s="114">
        <f>LEN(Tableau14[[#This Row],[LABEL]])</f>
        <v>23</v>
      </c>
      <c r="O664" s="114">
        <v>15</v>
      </c>
      <c r="P664" s="114" t="e">
        <f>ROUND(Tableau14[[#This Row],[LEN]]*#REF!+#REF!,0)</f>
        <v>#REF!</v>
      </c>
    </row>
    <row r="665" spans="1:16" s="97" customFormat="1" x14ac:dyDescent="0.25">
      <c r="A665" s="37" t="s">
        <v>1499</v>
      </c>
      <c r="B665" s="38" t="s">
        <v>1496</v>
      </c>
      <c r="C665" s="39" t="s">
        <v>113</v>
      </c>
      <c r="D665" s="73" t="s">
        <v>28</v>
      </c>
      <c r="E665" s="39" t="s">
        <v>667</v>
      </c>
      <c r="F665" s="39" t="s">
        <v>2006</v>
      </c>
      <c r="G665" s="73" t="s">
        <v>168</v>
      </c>
      <c r="H665" s="73" t="s">
        <v>654</v>
      </c>
      <c r="I665" s="39"/>
      <c r="J665" s="40" t="s">
        <v>708</v>
      </c>
      <c r="K665" s="114">
        <f>ROUND(Tableau14[[#This Row],[LEN]]*7.27,0)</f>
        <v>233</v>
      </c>
      <c r="L665" s="114">
        <v>15</v>
      </c>
      <c r="M665" s="131" t="str">
        <f t="shared" si="4"/>
        <v>none</v>
      </c>
      <c r="N665" s="114">
        <f>LEN(Tableau14[[#This Row],[LABEL]])</f>
        <v>32</v>
      </c>
      <c r="O665" s="114">
        <v>15</v>
      </c>
      <c r="P665" s="114" t="e">
        <f>ROUND(Tableau14[[#This Row],[LEN]]*#REF!+#REF!,0)</f>
        <v>#REF!</v>
      </c>
    </row>
    <row r="666" spans="1:16" s="97" customFormat="1" x14ac:dyDescent="0.25">
      <c r="A666" s="33" t="s">
        <v>1497</v>
      </c>
      <c r="B666" s="34" t="s">
        <v>283</v>
      </c>
      <c r="C666" s="35" t="s">
        <v>1483</v>
      </c>
      <c r="D666" s="72" t="s">
        <v>28</v>
      </c>
      <c r="E666" s="35" t="s">
        <v>661</v>
      </c>
      <c r="F666" s="35" t="s">
        <v>1445</v>
      </c>
      <c r="G666" s="72" t="s">
        <v>168</v>
      </c>
      <c r="H666" s="72" t="s">
        <v>655</v>
      </c>
      <c r="I666" s="35"/>
      <c r="J666" s="36" t="s">
        <v>708</v>
      </c>
      <c r="K666" s="113">
        <f>ROUND(Tableau14[[#This Row],[LEN]]*7.27,0)</f>
        <v>240</v>
      </c>
      <c r="L666" s="113">
        <v>15</v>
      </c>
      <c r="M666" s="130" t="str">
        <f t="shared" si="4"/>
        <v>none</v>
      </c>
      <c r="N666" s="113">
        <f>LEN(Tableau14[[#This Row],[LABEL]])</f>
        <v>33</v>
      </c>
      <c r="O666" s="113">
        <v>15</v>
      </c>
      <c r="P666" s="113" t="e">
        <f>ROUND(Tableau14[[#This Row],[LEN]]*#REF!+#REF!,0)</f>
        <v>#REF!</v>
      </c>
    </row>
    <row r="667" spans="1:16" s="97" customFormat="1" x14ac:dyDescent="0.25">
      <c r="A667" s="37" t="s">
        <v>1500</v>
      </c>
      <c r="B667" s="38" t="s">
        <v>1497</v>
      </c>
      <c r="C667" s="39" t="s">
        <v>1458</v>
      </c>
      <c r="D667" s="73" t="s">
        <v>28</v>
      </c>
      <c r="E667" s="39" t="s">
        <v>661</v>
      </c>
      <c r="F667" s="39" t="s">
        <v>1445</v>
      </c>
      <c r="G667" s="73" t="s">
        <v>168</v>
      </c>
      <c r="H667" s="73" t="s">
        <v>654</v>
      </c>
      <c r="I667" s="39"/>
      <c r="J667" s="40" t="s">
        <v>708</v>
      </c>
      <c r="K667" s="114">
        <f>ROUND(Tableau14[[#This Row],[LEN]]*7.27,0)</f>
        <v>189</v>
      </c>
      <c r="L667" s="114">
        <v>15</v>
      </c>
      <c r="M667" s="131" t="str">
        <f t="shared" si="4"/>
        <v>none</v>
      </c>
      <c r="N667" s="114">
        <f>LEN(Tableau14[[#This Row],[LABEL]])</f>
        <v>26</v>
      </c>
      <c r="O667" s="114">
        <v>15</v>
      </c>
      <c r="P667" s="114" t="e">
        <f>ROUND(Tableau14[[#This Row],[LEN]]*#REF!+#REF!,0)</f>
        <v>#REF!</v>
      </c>
    </row>
    <row r="668" spans="1:16" s="97" customFormat="1" x14ac:dyDescent="0.25">
      <c r="A668" s="37" t="s">
        <v>1501</v>
      </c>
      <c r="B668" s="38" t="s">
        <v>1497</v>
      </c>
      <c r="C668" s="39" t="s">
        <v>1459</v>
      </c>
      <c r="D668" s="73" t="s">
        <v>28</v>
      </c>
      <c r="E668" s="39" t="s">
        <v>661</v>
      </c>
      <c r="F668" s="39" t="s">
        <v>1445</v>
      </c>
      <c r="G668" s="73" t="s">
        <v>168</v>
      </c>
      <c r="H668" s="73" t="s">
        <v>654</v>
      </c>
      <c r="I668" s="39"/>
      <c r="J668" s="40" t="s">
        <v>708</v>
      </c>
      <c r="K668" s="114">
        <f>ROUND(Tableau14[[#This Row],[LEN]]*7.27,0)</f>
        <v>204</v>
      </c>
      <c r="L668" s="114">
        <v>15</v>
      </c>
      <c r="M668" s="131" t="str">
        <f t="shared" si="4"/>
        <v>none</v>
      </c>
      <c r="N668" s="114">
        <f>LEN(Tableau14[[#This Row],[LABEL]])</f>
        <v>28</v>
      </c>
      <c r="O668" s="114">
        <v>15</v>
      </c>
      <c r="P668" s="114" t="e">
        <f>ROUND(Tableau14[[#This Row],[LEN]]*#REF!+#REF!,0)</f>
        <v>#REF!</v>
      </c>
    </row>
    <row r="669" spans="1:16" s="273" customFormat="1" x14ac:dyDescent="0.25">
      <c r="A669" s="316" t="s">
        <v>2007</v>
      </c>
      <c r="B669" s="317" t="s">
        <v>207</v>
      </c>
      <c r="C669" s="318" t="s">
        <v>1950</v>
      </c>
      <c r="D669" s="319" t="s">
        <v>28</v>
      </c>
      <c r="E669" s="318" t="s">
        <v>1951</v>
      </c>
      <c r="F669" s="318" t="s">
        <v>1951</v>
      </c>
      <c r="G669" s="319" t="s">
        <v>168</v>
      </c>
      <c r="H669" s="319" t="s">
        <v>56</v>
      </c>
      <c r="I669" s="318"/>
      <c r="J669" s="320" t="s">
        <v>708</v>
      </c>
      <c r="K669" s="321">
        <f>ROUND(Tableau14[[#This Row],[LEN]]*7.27,0)</f>
        <v>51</v>
      </c>
      <c r="L669" s="321">
        <v>15</v>
      </c>
      <c r="M669" s="322" t="str">
        <f t="shared" si="4"/>
        <v>none</v>
      </c>
      <c r="N669" s="321">
        <f>LEN(Tableau14[[#This Row],[LABEL]])</f>
        <v>7</v>
      </c>
      <c r="O669" s="321">
        <v>15</v>
      </c>
      <c r="P669" s="321" t="e">
        <f>ROUND(Tableau14[[#This Row],[LEN]]*#REF!+#REF!,0)</f>
        <v>#REF!</v>
      </c>
    </row>
    <row r="670" spans="1:16" s="97" customFormat="1" x14ac:dyDescent="0.25">
      <c r="A670" s="33" t="s">
        <v>2008</v>
      </c>
      <c r="B670" s="34" t="s">
        <v>2007</v>
      </c>
      <c r="C670" s="35" t="s">
        <v>111</v>
      </c>
      <c r="D670" s="72" t="s">
        <v>28</v>
      </c>
      <c r="E670" s="35" t="s">
        <v>667</v>
      </c>
      <c r="F670" s="35" t="s">
        <v>2006</v>
      </c>
      <c r="G670" s="72" t="s">
        <v>168</v>
      </c>
      <c r="H670" s="72" t="s">
        <v>655</v>
      </c>
      <c r="I670" s="35"/>
      <c r="J670" s="36" t="s">
        <v>708</v>
      </c>
      <c r="K670" s="113">
        <f>ROUND(Tableau14[[#This Row],[LEN]]*7.27,0)</f>
        <v>167</v>
      </c>
      <c r="L670" s="113">
        <v>15</v>
      </c>
      <c r="M670" s="130" t="str">
        <f t="shared" si="4"/>
        <v>none</v>
      </c>
      <c r="N670" s="113">
        <f>LEN(Tableau14[[#This Row],[LABEL]])</f>
        <v>23</v>
      </c>
      <c r="O670" s="113">
        <v>15</v>
      </c>
      <c r="P670" s="113" t="e">
        <f>ROUND(Tableau14[[#This Row],[LEN]]*#REF!+#REF!,0)</f>
        <v>#REF!</v>
      </c>
    </row>
    <row r="671" spans="1:16" s="97" customFormat="1" x14ac:dyDescent="0.25">
      <c r="A671" s="37" t="s">
        <v>2009</v>
      </c>
      <c r="B671" s="38" t="s">
        <v>2008</v>
      </c>
      <c r="C671" s="39" t="s">
        <v>2014</v>
      </c>
      <c r="D671" s="73" t="s">
        <v>2015</v>
      </c>
      <c r="E671" s="39" t="s">
        <v>667</v>
      </c>
      <c r="F671" s="39" t="s">
        <v>2006</v>
      </c>
      <c r="G671" s="73" t="s">
        <v>168</v>
      </c>
      <c r="H671" s="73" t="s">
        <v>654</v>
      </c>
      <c r="I671" s="39"/>
      <c r="J671" s="40" t="s">
        <v>708</v>
      </c>
      <c r="K671" s="114">
        <f>ROUND(Tableau14[[#This Row],[LEN]]*7.27,0)</f>
        <v>124</v>
      </c>
      <c r="L671" s="114">
        <v>15</v>
      </c>
      <c r="M671" s="131" t="str">
        <f t="shared" si="4"/>
        <v>none</v>
      </c>
      <c r="N671" s="114">
        <f>LEN(Tableau14[[#This Row],[LABEL]])</f>
        <v>17</v>
      </c>
      <c r="O671" s="114">
        <v>15</v>
      </c>
      <c r="P671" s="114" t="e">
        <f>ROUND(Tableau14[[#This Row],[LEN]]*#REF!+#REF!,0)</f>
        <v>#REF!</v>
      </c>
    </row>
    <row r="672" spans="1:16" s="97" customFormat="1" ht="15.75" thickBot="1" x14ac:dyDescent="0.3">
      <c r="A672" s="37" t="s">
        <v>2010</v>
      </c>
      <c r="B672" s="38" t="s">
        <v>2008</v>
      </c>
      <c r="C672" s="39" t="s">
        <v>113</v>
      </c>
      <c r="D672" s="73" t="s">
        <v>28</v>
      </c>
      <c r="E672" s="39" t="s">
        <v>667</v>
      </c>
      <c r="F672" s="39" t="s">
        <v>2006</v>
      </c>
      <c r="G672" s="73" t="s">
        <v>168</v>
      </c>
      <c r="H672" s="73" t="s">
        <v>654</v>
      </c>
      <c r="I672" s="39"/>
      <c r="J672" s="40" t="s">
        <v>708</v>
      </c>
      <c r="K672" s="114">
        <f>ROUND(Tableau14[[#This Row],[LEN]]*7.27,0)</f>
        <v>233</v>
      </c>
      <c r="L672" s="114">
        <v>15</v>
      </c>
      <c r="M672" s="131" t="str">
        <f t="shared" si="4"/>
        <v>none</v>
      </c>
      <c r="N672" s="114">
        <f>LEN(Tableau14[[#This Row],[LABEL]])</f>
        <v>32</v>
      </c>
      <c r="O672" s="114">
        <v>15</v>
      </c>
      <c r="P672" s="114" t="e">
        <f>ROUND(Tableau14[[#This Row],[LEN]]*#REF!+#REF!,0)</f>
        <v>#REF!</v>
      </c>
    </row>
    <row r="673" spans="1:16" s="97" customFormat="1" ht="15.75" thickTop="1" x14ac:dyDescent="0.25">
      <c r="A673" s="156" t="s">
        <v>202</v>
      </c>
      <c r="B673" s="156" t="s">
        <v>198</v>
      </c>
      <c r="C673" s="157" t="s">
        <v>1161</v>
      </c>
      <c r="D673" s="157" t="s">
        <v>183</v>
      </c>
      <c r="E673" s="158" t="s">
        <v>58</v>
      </c>
      <c r="F673" s="157" t="s">
        <v>665</v>
      </c>
      <c r="G673" s="158" t="s">
        <v>171</v>
      </c>
      <c r="H673" s="158" t="s">
        <v>615</v>
      </c>
      <c r="I673" s="157"/>
      <c r="J673" s="159" t="s">
        <v>707</v>
      </c>
      <c r="K673" s="160">
        <f>ROUND(Tableau14[[#This Row],[LEN]]*7.27,0)</f>
        <v>131</v>
      </c>
      <c r="L673" s="160">
        <v>15</v>
      </c>
      <c r="M673" s="161" t="str">
        <f t="shared" si="4"/>
        <v>new</v>
      </c>
      <c r="N673" s="160">
        <f>LEN(Tableau14[[#This Row],[LABEL]])</f>
        <v>18</v>
      </c>
      <c r="O673" s="162">
        <v>15</v>
      </c>
      <c r="P673" s="162" t="e">
        <f>ROUND(Tableau14[[#This Row],[LEN]]*#REF!+#REF!,0)</f>
        <v>#REF!</v>
      </c>
    </row>
    <row r="674" spans="1:16" s="97" customFormat="1" ht="15.75" thickBot="1" x14ac:dyDescent="0.3">
      <c r="A674" s="184" t="s">
        <v>208</v>
      </c>
      <c r="B674" s="184" t="s">
        <v>202</v>
      </c>
      <c r="C674" s="185" t="s">
        <v>176</v>
      </c>
      <c r="D674" s="186" t="s">
        <v>473</v>
      </c>
      <c r="E674" s="185" t="s">
        <v>58</v>
      </c>
      <c r="F674" s="186"/>
      <c r="G674" s="185" t="s">
        <v>68</v>
      </c>
      <c r="H674" s="185" t="s">
        <v>616</v>
      </c>
      <c r="I674" s="186"/>
      <c r="J674" s="187" t="s">
        <v>708</v>
      </c>
      <c r="K674" s="188">
        <f>ROUND(Tableau14[[#This Row],[LEN]]*7.27,0)</f>
        <v>160</v>
      </c>
      <c r="L674" s="188">
        <v>15</v>
      </c>
      <c r="M674" s="189" t="str">
        <f t="shared" si="4"/>
        <v>none</v>
      </c>
      <c r="N674" s="188">
        <f>LEN(Tableau14[[#This Row],[LABEL]])</f>
        <v>22</v>
      </c>
      <c r="O674" s="190">
        <v>15</v>
      </c>
      <c r="P674" s="190" t="e">
        <f>ROUND(Tableau14[[#This Row],[LEN]]*#REF!+#REF!,0)</f>
        <v>#REF!</v>
      </c>
    </row>
    <row r="675" spans="1:16" s="273" customFormat="1" ht="15.75" thickTop="1" x14ac:dyDescent="0.25">
      <c r="A675" s="330" t="s">
        <v>285</v>
      </c>
      <c r="B675" s="331" t="s">
        <v>208</v>
      </c>
      <c r="C675" s="332" t="s">
        <v>57</v>
      </c>
      <c r="D675" s="333" t="s">
        <v>28</v>
      </c>
      <c r="E675" s="332" t="s">
        <v>663</v>
      </c>
      <c r="F675" s="332" t="s">
        <v>663</v>
      </c>
      <c r="G675" s="333" t="s">
        <v>68</v>
      </c>
      <c r="H675" s="333" t="str">
        <f>IFERROR(IF(SEARCH(".00.00.00.00.00",Tableau14[[#This Row],[name]],1)=7,"Division",""),"")</f>
        <v>Division</v>
      </c>
      <c r="I675" s="332"/>
      <c r="J675" s="334" t="s">
        <v>709</v>
      </c>
      <c r="K675" s="335">
        <f>ROUND(Tableau14[[#This Row],[LEN]]*7.27,0)</f>
        <v>102</v>
      </c>
      <c r="L675" s="335">
        <v>15</v>
      </c>
      <c r="M675" s="336" t="str">
        <f t="shared" si="4"/>
        <v>new</v>
      </c>
      <c r="N675" s="335">
        <f>LEN(Tableau14[[#This Row],[LABEL]])</f>
        <v>14</v>
      </c>
      <c r="O675" s="335">
        <v>15</v>
      </c>
      <c r="P675" s="335" t="e">
        <f>ROUND(Tableau14[[#This Row],[LEN]]*#REF!+#REF!,0)</f>
        <v>#REF!</v>
      </c>
    </row>
    <row r="676" spans="1:16" s="97" customFormat="1" x14ac:dyDescent="0.25">
      <c r="A676" s="41" t="s">
        <v>844</v>
      </c>
      <c r="B676" s="42" t="s">
        <v>285</v>
      </c>
      <c r="C676" s="43" t="s">
        <v>848</v>
      </c>
      <c r="D676" s="74" t="s">
        <v>28</v>
      </c>
      <c r="E676" s="43" t="s">
        <v>663</v>
      </c>
      <c r="F676" s="43" t="s">
        <v>681</v>
      </c>
      <c r="G676" s="74" t="s">
        <v>68</v>
      </c>
      <c r="H676" s="74" t="s">
        <v>655</v>
      </c>
      <c r="I676" s="43"/>
      <c r="J676" s="44" t="s">
        <v>708</v>
      </c>
      <c r="K676" s="115">
        <f>ROUND(Tableau14[[#This Row],[LEN]]*7.27,0)</f>
        <v>153</v>
      </c>
      <c r="L676" s="115">
        <v>15</v>
      </c>
      <c r="M676" s="132" t="str">
        <f t="shared" si="4"/>
        <v>none</v>
      </c>
      <c r="N676" s="115">
        <f>LEN(Tableau14[[#This Row],[LABEL]])</f>
        <v>21</v>
      </c>
      <c r="O676" s="115">
        <v>15</v>
      </c>
      <c r="P676" s="115" t="e">
        <f>ROUND(Tableau14[[#This Row],[LEN]]*#REF!+#REF!,0)</f>
        <v>#REF!</v>
      </c>
    </row>
    <row r="677" spans="1:16" s="97" customFormat="1" x14ac:dyDescent="0.25">
      <c r="A677" s="45" t="s">
        <v>852</v>
      </c>
      <c r="B677" s="46" t="s">
        <v>844</v>
      </c>
      <c r="C677" s="47" t="s">
        <v>864</v>
      </c>
      <c r="D677" s="75" t="s">
        <v>28</v>
      </c>
      <c r="E677" s="47" t="s">
        <v>663</v>
      </c>
      <c r="F677" s="47" t="s">
        <v>681</v>
      </c>
      <c r="G677" s="75" t="s">
        <v>68</v>
      </c>
      <c r="H677" s="75" t="s">
        <v>656</v>
      </c>
      <c r="I677" s="47"/>
      <c r="J677" s="48" t="s">
        <v>708</v>
      </c>
      <c r="K677" s="116">
        <f>ROUND(Tableau14[[#This Row],[LEN]]*7.27,0)</f>
        <v>102</v>
      </c>
      <c r="L677" s="116">
        <v>15</v>
      </c>
      <c r="M677" s="133" t="str">
        <f t="shared" si="4"/>
        <v>none</v>
      </c>
      <c r="N677" s="116">
        <f>LEN(Tableau14[[#This Row],[LABEL]])</f>
        <v>14</v>
      </c>
      <c r="O677" s="116">
        <v>15</v>
      </c>
      <c r="P677" s="116" t="e">
        <f>ROUND(Tableau14[[#This Row],[LEN]]*#REF!+#REF!,0)</f>
        <v>#REF!</v>
      </c>
    </row>
    <row r="678" spans="1:16" s="97" customFormat="1" x14ac:dyDescent="0.25">
      <c r="A678" s="45" t="s">
        <v>853</v>
      </c>
      <c r="B678" s="46" t="s">
        <v>844</v>
      </c>
      <c r="C678" s="47" t="s">
        <v>865</v>
      </c>
      <c r="D678" s="75" t="s">
        <v>28</v>
      </c>
      <c r="E678" s="47" t="s">
        <v>663</v>
      </c>
      <c r="F678" s="47" t="s">
        <v>681</v>
      </c>
      <c r="G678" s="75" t="s">
        <v>68</v>
      </c>
      <c r="H678" s="75" t="s">
        <v>656</v>
      </c>
      <c r="I678" s="47"/>
      <c r="J678" s="48" t="s">
        <v>708</v>
      </c>
      <c r="K678" s="116">
        <f>ROUND(Tableau14[[#This Row],[LEN]]*7.27,0)</f>
        <v>211</v>
      </c>
      <c r="L678" s="116">
        <v>15</v>
      </c>
      <c r="M678" s="133" t="str">
        <f t="shared" si="4"/>
        <v>none</v>
      </c>
      <c r="N678" s="116">
        <f>LEN(Tableau14[[#This Row],[LABEL]])</f>
        <v>29</v>
      </c>
      <c r="O678" s="116">
        <v>15</v>
      </c>
      <c r="P678" s="116" t="e">
        <f>ROUND(Tableau14[[#This Row],[LEN]]*#REF!+#REF!,0)</f>
        <v>#REF!</v>
      </c>
    </row>
    <row r="679" spans="1:16" s="97" customFormat="1" x14ac:dyDescent="0.25">
      <c r="A679" s="41" t="s">
        <v>845</v>
      </c>
      <c r="B679" s="42" t="s">
        <v>285</v>
      </c>
      <c r="C679" s="43" t="s">
        <v>849</v>
      </c>
      <c r="D679" s="74" t="s">
        <v>28</v>
      </c>
      <c r="E679" s="43" t="s">
        <v>667</v>
      </c>
      <c r="F679" s="43" t="s">
        <v>840</v>
      </c>
      <c r="G679" s="74" t="s">
        <v>68</v>
      </c>
      <c r="H679" s="74" t="s">
        <v>655</v>
      </c>
      <c r="I679" s="43"/>
      <c r="J679" s="44" t="s">
        <v>708</v>
      </c>
      <c r="K679" s="115">
        <f>ROUND(Tableau14[[#This Row],[LEN]]*7.27,0)</f>
        <v>80</v>
      </c>
      <c r="L679" s="115">
        <v>15</v>
      </c>
      <c r="M679" s="132" t="str">
        <f t="shared" si="4"/>
        <v>none</v>
      </c>
      <c r="N679" s="115">
        <f>LEN(Tableau14[[#This Row],[LABEL]])</f>
        <v>11</v>
      </c>
      <c r="O679" s="115">
        <v>15</v>
      </c>
      <c r="P679" s="115" t="e">
        <f>ROUND(Tableau14[[#This Row],[LEN]]*#REF!+#REF!,0)</f>
        <v>#REF!</v>
      </c>
    </row>
    <row r="680" spans="1:16" s="97" customFormat="1" x14ac:dyDescent="0.25">
      <c r="A680" s="45" t="s">
        <v>854</v>
      </c>
      <c r="B680" s="46" t="s">
        <v>845</v>
      </c>
      <c r="C680" s="47" t="s">
        <v>112</v>
      </c>
      <c r="D680" s="75" t="s">
        <v>28</v>
      </c>
      <c r="E680" s="47" t="s">
        <v>667</v>
      </c>
      <c r="F680" s="47" t="s">
        <v>2006</v>
      </c>
      <c r="G680" s="75" t="s">
        <v>68</v>
      </c>
      <c r="H680" s="75" t="s">
        <v>654</v>
      </c>
      <c r="I680" s="47"/>
      <c r="J680" s="48" t="s">
        <v>708</v>
      </c>
      <c r="K680" s="116">
        <f>ROUND(Tableau14[[#This Row],[LEN]]*7.27,0)</f>
        <v>167</v>
      </c>
      <c r="L680" s="116">
        <v>15</v>
      </c>
      <c r="M680" s="133" t="str">
        <f t="shared" si="4"/>
        <v>none</v>
      </c>
      <c r="N680" s="116">
        <f>LEN(Tableau14[[#This Row],[LABEL]])</f>
        <v>23</v>
      </c>
      <c r="O680" s="116">
        <v>15</v>
      </c>
      <c r="P680" s="116" t="e">
        <f>ROUND(Tableau14[[#This Row],[LEN]]*#REF!+#REF!,0)</f>
        <v>#REF!</v>
      </c>
    </row>
    <row r="681" spans="1:16" s="97" customFormat="1" x14ac:dyDescent="0.25">
      <c r="A681" s="45" t="s">
        <v>855</v>
      </c>
      <c r="B681" s="46" t="s">
        <v>845</v>
      </c>
      <c r="C681" s="47" t="s">
        <v>113</v>
      </c>
      <c r="D681" s="75" t="s">
        <v>28</v>
      </c>
      <c r="E681" s="47" t="s">
        <v>667</v>
      </c>
      <c r="F681" s="47" t="s">
        <v>2006</v>
      </c>
      <c r="G681" s="75" t="s">
        <v>68</v>
      </c>
      <c r="H681" s="75" t="s">
        <v>654</v>
      </c>
      <c r="I681" s="47"/>
      <c r="J681" s="48" t="s">
        <v>708</v>
      </c>
      <c r="K681" s="116">
        <f>ROUND(Tableau14[[#This Row],[LEN]]*7.27,0)</f>
        <v>233</v>
      </c>
      <c r="L681" s="116">
        <v>15</v>
      </c>
      <c r="M681" s="133" t="str">
        <f t="shared" si="4"/>
        <v>none</v>
      </c>
      <c r="N681" s="116">
        <f>LEN(Tableau14[[#This Row],[LABEL]])</f>
        <v>32</v>
      </c>
      <c r="O681" s="116">
        <v>15</v>
      </c>
      <c r="P681" s="116" t="e">
        <f>ROUND(Tableau14[[#This Row],[LEN]]*#REF!+#REF!,0)</f>
        <v>#REF!</v>
      </c>
    </row>
    <row r="682" spans="1:16" s="97" customFormat="1" x14ac:dyDescent="0.25">
      <c r="A682" s="41" t="s">
        <v>846</v>
      </c>
      <c r="B682" s="42" t="s">
        <v>285</v>
      </c>
      <c r="C682" s="43" t="s">
        <v>850</v>
      </c>
      <c r="D682" s="74" t="s">
        <v>28</v>
      </c>
      <c r="E682" s="43" t="s">
        <v>663</v>
      </c>
      <c r="F682" s="43" t="s">
        <v>663</v>
      </c>
      <c r="G682" s="74" t="s">
        <v>68</v>
      </c>
      <c r="H682" s="74" t="s">
        <v>655</v>
      </c>
      <c r="I682" s="43"/>
      <c r="J682" s="44" t="s">
        <v>708</v>
      </c>
      <c r="K682" s="115">
        <f>ROUND(Tableau14[[#This Row],[LEN]]*7.27,0)</f>
        <v>109</v>
      </c>
      <c r="L682" s="115">
        <v>15</v>
      </c>
      <c r="M682" s="132" t="str">
        <f t="shared" si="4"/>
        <v>none</v>
      </c>
      <c r="N682" s="115">
        <f>LEN(Tableau14[[#This Row],[LABEL]])</f>
        <v>15</v>
      </c>
      <c r="O682" s="115">
        <v>15</v>
      </c>
      <c r="P682" s="115" t="e">
        <f>ROUND(Tableau14[[#This Row],[LEN]]*#REF!+#REF!,0)</f>
        <v>#REF!</v>
      </c>
    </row>
    <row r="683" spans="1:16" s="97" customFormat="1" x14ac:dyDescent="0.25">
      <c r="A683" s="45" t="s">
        <v>856</v>
      </c>
      <c r="B683" s="46" t="s">
        <v>846</v>
      </c>
      <c r="C683" s="47" t="s">
        <v>866</v>
      </c>
      <c r="D683" s="75" t="s">
        <v>28</v>
      </c>
      <c r="E683" s="47" t="s">
        <v>663</v>
      </c>
      <c r="F683" s="47" t="s">
        <v>663</v>
      </c>
      <c r="G683" s="75" t="s">
        <v>68</v>
      </c>
      <c r="H683" s="75" t="s">
        <v>18</v>
      </c>
      <c r="I683" s="47"/>
      <c r="J683" s="48" t="s">
        <v>708</v>
      </c>
      <c r="K683" s="116">
        <f>ROUND(Tableau14[[#This Row],[LEN]]*7.27,0)</f>
        <v>145</v>
      </c>
      <c r="L683" s="116">
        <v>15</v>
      </c>
      <c r="M683" s="133" t="str">
        <f t="shared" si="4"/>
        <v>none</v>
      </c>
      <c r="N683" s="116">
        <f>LEN(Tableau14[[#This Row],[LABEL]])</f>
        <v>20</v>
      </c>
      <c r="O683" s="116">
        <v>15</v>
      </c>
      <c r="P683" s="116" t="e">
        <f>ROUND(Tableau14[[#This Row],[LEN]]*#REF!+#REF!,0)</f>
        <v>#REF!</v>
      </c>
    </row>
    <row r="684" spans="1:16" s="97" customFormat="1" x14ac:dyDescent="0.25">
      <c r="A684" s="45" t="s">
        <v>857</v>
      </c>
      <c r="B684" s="46" t="s">
        <v>846</v>
      </c>
      <c r="C684" s="47" t="s">
        <v>867</v>
      </c>
      <c r="D684" s="75" t="s">
        <v>28</v>
      </c>
      <c r="E684" s="47" t="s">
        <v>663</v>
      </c>
      <c r="F684" s="47" t="s">
        <v>663</v>
      </c>
      <c r="G684" s="75" t="s">
        <v>68</v>
      </c>
      <c r="H684" s="75" t="s">
        <v>18</v>
      </c>
      <c r="I684" s="47"/>
      <c r="J684" s="48" t="s">
        <v>708</v>
      </c>
      <c r="K684" s="116">
        <f>ROUND(Tableau14[[#This Row],[LEN]]*7.27,0)</f>
        <v>153</v>
      </c>
      <c r="L684" s="116">
        <v>15</v>
      </c>
      <c r="M684" s="133" t="str">
        <f t="shared" si="4"/>
        <v>none</v>
      </c>
      <c r="N684" s="116">
        <f>LEN(Tableau14[[#This Row],[LABEL]])</f>
        <v>21</v>
      </c>
      <c r="O684" s="116">
        <v>15</v>
      </c>
      <c r="P684" s="116" t="e">
        <f>ROUND(Tableau14[[#This Row],[LEN]]*#REF!+#REF!,0)</f>
        <v>#REF!</v>
      </c>
    </row>
    <row r="685" spans="1:16" s="97" customFormat="1" x14ac:dyDescent="0.25">
      <c r="A685" s="45" t="s">
        <v>858</v>
      </c>
      <c r="B685" s="46" t="s">
        <v>846</v>
      </c>
      <c r="C685" s="47" t="s">
        <v>868</v>
      </c>
      <c r="D685" s="75" t="s">
        <v>28</v>
      </c>
      <c r="E685" s="47" t="s">
        <v>663</v>
      </c>
      <c r="F685" s="47" t="s">
        <v>663</v>
      </c>
      <c r="G685" s="75" t="s">
        <v>68</v>
      </c>
      <c r="H685" s="75" t="s">
        <v>18</v>
      </c>
      <c r="I685" s="47"/>
      <c r="J685" s="48" t="s">
        <v>708</v>
      </c>
      <c r="K685" s="116">
        <f>ROUND(Tableau14[[#This Row],[LEN]]*7.27,0)</f>
        <v>87</v>
      </c>
      <c r="L685" s="116">
        <v>15</v>
      </c>
      <c r="M685" s="133" t="str">
        <f t="shared" si="4"/>
        <v>none</v>
      </c>
      <c r="N685" s="116">
        <f>LEN(Tableau14[[#This Row],[LABEL]])</f>
        <v>12</v>
      </c>
      <c r="O685" s="116">
        <v>15</v>
      </c>
      <c r="P685" s="116" t="e">
        <f>ROUND(Tableau14[[#This Row],[LEN]]*#REF!+#REF!,0)</f>
        <v>#REF!</v>
      </c>
    </row>
    <row r="686" spans="1:16" s="97" customFormat="1" x14ac:dyDescent="0.25">
      <c r="A686" s="45" t="s">
        <v>859</v>
      </c>
      <c r="B686" s="46" t="s">
        <v>846</v>
      </c>
      <c r="C686" s="47" t="s">
        <v>869</v>
      </c>
      <c r="D686" s="75" t="s">
        <v>28</v>
      </c>
      <c r="E686" s="47" t="s">
        <v>663</v>
      </c>
      <c r="F686" s="47" t="s">
        <v>663</v>
      </c>
      <c r="G686" s="75" t="s">
        <v>68</v>
      </c>
      <c r="H686" s="75" t="s">
        <v>18</v>
      </c>
      <c r="I686" s="47"/>
      <c r="J686" s="48" t="s">
        <v>708</v>
      </c>
      <c r="K686" s="116">
        <f>ROUND(Tableau14[[#This Row],[LEN]]*7.27,0)</f>
        <v>145</v>
      </c>
      <c r="L686" s="116">
        <v>15</v>
      </c>
      <c r="M686" s="133" t="str">
        <f t="shared" si="4"/>
        <v>none</v>
      </c>
      <c r="N686" s="116">
        <f>LEN(Tableau14[[#This Row],[LABEL]])</f>
        <v>20</v>
      </c>
      <c r="O686" s="116">
        <v>15</v>
      </c>
      <c r="P686" s="116" t="e">
        <f>ROUND(Tableau14[[#This Row],[LEN]]*#REF!+#REF!,0)</f>
        <v>#REF!</v>
      </c>
    </row>
    <row r="687" spans="1:16" s="97" customFormat="1" x14ac:dyDescent="0.25">
      <c r="A687" s="41" t="s">
        <v>847</v>
      </c>
      <c r="B687" s="42" t="s">
        <v>285</v>
      </c>
      <c r="C687" s="43" t="s">
        <v>851</v>
      </c>
      <c r="D687" s="74" t="s">
        <v>28</v>
      </c>
      <c r="E687" s="43" t="s">
        <v>663</v>
      </c>
      <c r="F687" s="43" t="s">
        <v>663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ROUND(Tableau14[[#This Row],[LEN]]*7.27,0)</f>
        <v>124</v>
      </c>
      <c r="L687" s="115">
        <v>15</v>
      </c>
      <c r="M687" s="132" t="str">
        <f t="shared" si="4"/>
        <v>none</v>
      </c>
      <c r="N687" s="115">
        <f>LEN(Tableau14[[#This Row],[LABEL]])</f>
        <v>17</v>
      </c>
      <c r="O687" s="115">
        <v>15</v>
      </c>
      <c r="P687" s="115" t="e">
        <f>ROUND(Tableau14[[#This Row],[LEN]]*#REF!+#REF!,0)</f>
        <v>#REF!</v>
      </c>
    </row>
    <row r="688" spans="1:16" s="97" customFormat="1" x14ac:dyDescent="0.25">
      <c r="A688" s="45" t="s">
        <v>860</v>
      </c>
      <c r="B688" s="46" t="s">
        <v>847</v>
      </c>
      <c r="C688" s="47" t="s">
        <v>870</v>
      </c>
      <c r="D688" s="75" t="s">
        <v>28</v>
      </c>
      <c r="E688" s="47" t="s">
        <v>663</v>
      </c>
      <c r="F688" s="47" t="s">
        <v>663</v>
      </c>
      <c r="G688" s="75" t="s">
        <v>68</v>
      </c>
      <c r="H688" s="75" t="s">
        <v>18</v>
      </c>
      <c r="I688" s="47"/>
      <c r="J688" s="48" t="s">
        <v>708</v>
      </c>
      <c r="K688" s="116">
        <f>ROUND(Tableau14[[#This Row],[LEN]]*7.27,0)</f>
        <v>65</v>
      </c>
      <c r="L688" s="116">
        <v>15</v>
      </c>
      <c r="M688" s="133" t="str">
        <f t="shared" si="4"/>
        <v>none</v>
      </c>
      <c r="N688" s="116">
        <f>LEN(Tableau14[[#This Row],[LABEL]])</f>
        <v>9</v>
      </c>
      <c r="O688" s="116">
        <v>15</v>
      </c>
      <c r="P688" s="116" t="e">
        <f>ROUND(Tableau14[[#This Row],[LEN]]*#REF!+#REF!,0)</f>
        <v>#REF!</v>
      </c>
    </row>
    <row r="689" spans="1:16" s="97" customFormat="1" x14ac:dyDescent="0.25">
      <c r="A689" s="45" t="s">
        <v>861</v>
      </c>
      <c r="B689" s="46" t="s">
        <v>847</v>
      </c>
      <c r="C689" s="47" t="s">
        <v>871</v>
      </c>
      <c r="D689" s="75" t="s">
        <v>28</v>
      </c>
      <c r="E689" s="47" t="s">
        <v>663</v>
      </c>
      <c r="F689" s="47" t="s">
        <v>663</v>
      </c>
      <c r="G689" s="75" t="s">
        <v>68</v>
      </c>
      <c r="H689" s="75" t="s">
        <v>18</v>
      </c>
      <c r="I689" s="47"/>
      <c r="J689" s="48" t="s">
        <v>708</v>
      </c>
      <c r="K689" s="116">
        <f>ROUND(Tableau14[[#This Row],[LEN]]*7.27,0)</f>
        <v>116</v>
      </c>
      <c r="L689" s="116">
        <v>15</v>
      </c>
      <c r="M689" s="133" t="str">
        <f t="shared" si="4"/>
        <v>none</v>
      </c>
      <c r="N689" s="116">
        <f>LEN(Tableau14[[#This Row],[LABEL]])</f>
        <v>16</v>
      </c>
      <c r="O689" s="116">
        <v>15</v>
      </c>
      <c r="P689" s="116" t="e">
        <f>ROUND(Tableau14[[#This Row],[LEN]]*#REF!+#REF!,0)</f>
        <v>#REF!</v>
      </c>
    </row>
    <row r="690" spans="1:16" s="97" customFormat="1" x14ac:dyDescent="0.25">
      <c r="A690" s="45" t="s">
        <v>862</v>
      </c>
      <c r="B690" s="46" t="s">
        <v>847</v>
      </c>
      <c r="C690" s="47" t="s">
        <v>872</v>
      </c>
      <c r="D690" s="75" t="s">
        <v>28</v>
      </c>
      <c r="E690" s="47" t="s">
        <v>663</v>
      </c>
      <c r="F690" s="47" t="s">
        <v>663</v>
      </c>
      <c r="G690" s="75" t="s">
        <v>68</v>
      </c>
      <c r="H690" s="75" t="s">
        <v>18</v>
      </c>
      <c r="I690" s="47"/>
      <c r="J690" s="48" t="s">
        <v>708</v>
      </c>
      <c r="K690" s="116">
        <f>ROUND(Tableau14[[#This Row],[LEN]]*7.27,0)</f>
        <v>145</v>
      </c>
      <c r="L690" s="116">
        <v>15</v>
      </c>
      <c r="M690" s="133" t="str">
        <f t="shared" si="4"/>
        <v>none</v>
      </c>
      <c r="N690" s="116">
        <f>LEN(Tableau14[[#This Row],[LABEL]])</f>
        <v>20</v>
      </c>
      <c r="O690" s="116">
        <v>15</v>
      </c>
      <c r="P690" s="116" t="e">
        <f>ROUND(Tableau14[[#This Row],[LEN]]*#REF!+#REF!,0)</f>
        <v>#REF!</v>
      </c>
    </row>
    <row r="691" spans="1:16" s="97" customFormat="1" x14ac:dyDescent="0.25">
      <c r="A691" s="45" t="s">
        <v>863</v>
      </c>
      <c r="B691" s="46" t="s">
        <v>847</v>
      </c>
      <c r="C691" s="47" t="s">
        <v>873</v>
      </c>
      <c r="D691" s="75" t="s">
        <v>28</v>
      </c>
      <c r="E691" s="47" t="s">
        <v>663</v>
      </c>
      <c r="F691" s="47" t="s">
        <v>663</v>
      </c>
      <c r="G691" s="75" t="s">
        <v>68</v>
      </c>
      <c r="H691" s="75" t="s">
        <v>18</v>
      </c>
      <c r="I691" s="47"/>
      <c r="J691" s="48" t="s">
        <v>708</v>
      </c>
      <c r="K691" s="116">
        <f>ROUND(Tableau14[[#This Row],[LEN]]*7.27,0)</f>
        <v>116</v>
      </c>
      <c r="L691" s="116">
        <v>15</v>
      </c>
      <c r="M691" s="133" t="str">
        <f t="shared" si="4"/>
        <v>none</v>
      </c>
      <c r="N691" s="116">
        <f>LEN(Tableau14[[#This Row],[LABEL]])</f>
        <v>16</v>
      </c>
      <c r="O691" s="116">
        <v>15</v>
      </c>
      <c r="P691" s="116" t="e">
        <f>ROUND(Tableau14[[#This Row],[LEN]]*#REF!+#REF!,0)</f>
        <v>#REF!</v>
      </c>
    </row>
    <row r="692" spans="1:16" s="273" customFormat="1" x14ac:dyDescent="0.25">
      <c r="A692" s="330" t="s">
        <v>286</v>
      </c>
      <c r="B692" s="331" t="s">
        <v>208</v>
      </c>
      <c r="C692" s="332" t="s">
        <v>2</v>
      </c>
      <c r="D692" s="333" t="s">
        <v>28</v>
      </c>
      <c r="E692" s="332" t="s">
        <v>662</v>
      </c>
      <c r="F692" s="332" t="s">
        <v>662</v>
      </c>
      <c r="G692" s="333" t="s">
        <v>68</v>
      </c>
      <c r="H692" s="333" t="str">
        <f>IFERROR(IF(SEARCH(".00.00.00.00.00",Tableau14[[#This Row],[name]],1)=7,"Division",""),"")</f>
        <v>Division</v>
      </c>
      <c r="I692" s="332"/>
      <c r="J692" s="334" t="s">
        <v>710</v>
      </c>
      <c r="K692" s="335">
        <f>ROUND(Tableau14[[#This Row],[LEN]]*7.27,0)</f>
        <v>65</v>
      </c>
      <c r="L692" s="335">
        <v>15</v>
      </c>
      <c r="M692" s="336" t="str">
        <f t="shared" si="4"/>
        <v>new</v>
      </c>
      <c r="N692" s="335">
        <f>LEN(Tableau14[[#This Row],[LABEL]])</f>
        <v>9</v>
      </c>
      <c r="O692" s="335">
        <v>15</v>
      </c>
      <c r="P692" s="335" t="e">
        <f>ROUND(Tableau14[[#This Row],[LEN]]*#REF!+#REF!,0)</f>
        <v>#REF!</v>
      </c>
    </row>
    <row r="693" spans="1:16" s="97" customFormat="1" x14ac:dyDescent="0.25">
      <c r="A693" s="41" t="s">
        <v>737</v>
      </c>
      <c r="B693" s="42" t="s">
        <v>286</v>
      </c>
      <c r="C693" s="43" t="s">
        <v>738</v>
      </c>
      <c r="D693" s="74" t="s">
        <v>28</v>
      </c>
      <c r="E693" s="43" t="s">
        <v>662</v>
      </c>
      <c r="F693" s="43" t="s">
        <v>739</v>
      </c>
      <c r="G693" s="74" t="s">
        <v>68</v>
      </c>
      <c r="H693" s="74" t="s">
        <v>56</v>
      </c>
      <c r="I693" s="43"/>
      <c r="J693" s="44" t="s">
        <v>708</v>
      </c>
      <c r="K693" s="115">
        <f>ROUND(Tableau14[[#This Row],[LEN]]*7.27,0)</f>
        <v>247</v>
      </c>
      <c r="L693" s="115">
        <v>15</v>
      </c>
      <c r="M693" s="132" t="str">
        <f t="shared" si="4"/>
        <v>none</v>
      </c>
      <c r="N693" s="115">
        <f>LEN(Tableau14[[#This Row],[LABEL]])</f>
        <v>34</v>
      </c>
      <c r="O693" s="115">
        <v>15</v>
      </c>
      <c r="P693" s="115" t="e">
        <f>ROUND(Tableau14[[#This Row],[LEN]]*#REF!+#REF!,0)</f>
        <v>#REF!</v>
      </c>
    </row>
    <row r="694" spans="1:16" s="273" customFormat="1" x14ac:dyDescent="0.25">
      <c r="A694" s="330" t="s">
        <v>287</v>
      </c>
      <c r="B694" s="331" t="s">
        <v>208</v>
      </c>
      <c r="C694" s="332" t="s">
        <v>3</v>
      </c>
      <c r="D694" s="333" t="s">
        <v>28</v>
      </c>
      <c r="E694" s="332" t="s">
        <v>661</v>
      </c>
      <c r="F694" s="332" t="s">
        <v>661</v>
      </c>
      <c r="G694" s="333" t="s">
        <v>68</v>
      </c>
      <c r="H694" s="333" t="str">
        <f>IFERROR(IF(SEARCH(".00.00.00.00.00",Tableau14[[#This Row],[name]],1)=7,"Division",""),"")</f>
        <v>Division</v>
      </c>
      <c r="I694" s="332"/>
      <c r="J694" s="334" t="s">
        <v>711</v>
      </c>
      <c r="K694" s="335">
        <f>ROUND(Tableau14[[#This Row],[LEN]]*7.27,0)</f>
        <v>73</v>
      </c>
      <c r="L694" s="335">
        <v>15</v>
      </c>
      <c r="M694" s="336" t="str">
        <f t="shared" si="4"/>
        <v>new</v>
      </c>
      <c r="N694" s="335">
        <f>LEN(Tableau14[[#This Row],[LABEL]])</f>
        <v>10</v>
      </c>
      <c r="O694" s="335">
        <v>15</v>
      </c>
      <c r="P694" s="335" t="e">
        <f>ROUND(Tableau14[[#This Row],[LEN]]*#REF!+#REF!,0)</f>
        <v>#REF!</v>
      </c>
    </row>
    <row r="695" spans="1:16" s="97" customFormat="1" x14ac:dyDescent="0.25">
      <c r="A695" s="41" t="s">
        <v>443</v>
      </c>
      <c r="B695" s="42" t="s">
        <v>287</v>
      </c>
      <c r="C695" s="43" t="s">
        <v>75</v>
      </c>
      <c r="D695" s="74" t="s">
        <v>28</v>
      </c>
      <c r="E695" s="43" t="s">
        <v>661</v>
      </c>
      <c r="F695" s="43" t="s">
        <v>684</v>
      </c>
      <c r="G695" s="74" t="s">
        <v>68</v>
      </c>
      <c r="H695" s="74" t="s">
        <v>655</v>
      </c>
      <c r="I695" s="43"/>
      <c r="J695" s="44" t="s">
        <v>708</v>
      </c>
      <c r="K695" s="115">
        <f>ROUND(Tableau14[[#This Row],[LEN]]*7.27,0)</f>
        <v>262</v>
      </c>
      <c r="L695" s="115">
        <v>15</v>
      </c>
      <c r="M695" s="132" t="str">
        <f t="shared" si="4"/>
        <v>none</v>
      </c>
      <c r="N695" s="115">
        <f>LEN(Tableau14[[#This Row],[LABEL]])</f>
        <v>36</v>
      </c>
      <c r="O695" s="115">
        <v>15</v>
      </c>
      <c r="P695" s="115" t="e">
        <f>ROUND(Tableau14[[#This Row],[LEN]]*#REF!+#REF!,0)</f>
        <v>#REF!</v>
      </c>
    </row>
    <row r="696" spans="1:16" s="97" customFormat="1" x14ac:dyDescent="0.25">
      <c r="A696" s="45" t="s">
        <v>453</v>
      </c>
      <c r="B696" s="46" t="s">
        <v>443</v>
      </c>
      <c r="C696" s="47" t="s">
        <v>115</v>
      </c>
      <c r="D696" s="75" t="s">
        <v>28</v>
      </c>
      <c r="E696" s="47" t="s">
        <v>661</v>
      </c>
      <c r="F696" s="47" t="s">
        <v>684</v>
      </c>
      <c r="G696" s="75" t="s">
        <v>68</v>
      </c>
      <c r="H696" s="75" t="s">
        <v>656</v>
      </c>
      <c r="I696" s="47"/>
      <c r="J696" s="48" t="s">
        <v>708</v>
      </c>
      <c r="K696" s="116">
        <f>ROUND(Tableau14[[#This Row],[LEN]]*7.27,0)</f>
        <v>291</v>
      </c>
      <c r="L696" s="116">
        <v>15</v>
      </c>
      <c r="M696" s="133" t="str">
        <f t="shared" si="4"/>
        <v>none</v>
      </c>
      <c r="N696" s="116">
        <f>LEN(Tableau14[[#This Row],[LABEL]])</f>
        <v>40</v>
      </c>
      <c r="O696" s="116">
        <v>15</v>
      </c>
      <c r="P696" s="116" t="e">
        <f>ROUND(Tableau14[[#This Row],[LEN]]*#REF!+#REF!,0)</f>
        <v>#REF!</v>
      </c>
    </row>
    <row r="697" spans="1:16" s="97" customFormat="1" x14ac:dyDescent="0.25">
      <c r="A697" s="45" t="s">
        <v>454</v>
      </c>
      <c r="B697" s="46" t="s">
        <v>443</v>
      </c>
      <c r="C697" s="47" t="s">
        <v>116</v>
      </c>
      <c r="D697" s="75" t="s">
        <v>28</v>
      </c>
      <c r="E697" s="47" t="s">
        <v>661</v>
      </c>
      <c r="F697" s="47" t="s">
        <v>684</v>
      </c>
      <c r="G697" s="75" t="s">
        <v>68</v>
      </c>
      <c r="H697" s="75" t="s">
        <v>656</v>
      </c>
      <c r="I697" s="47"/>
      <c r="J697" s="48" t="s">
        <v>708</v>
      </c>
      <c r="K697" s="116">
        <f>ROUND(Tableau14[[#This Row],[LEN]]*7.27,0)</f>
        <v>313</v>
      </c>
      <c r="L697" s="116">
        <v>15</v>
      </c>
      <c r="M697" s="133" t="str">
        <f t="shared" si="4"/>
        <v>none</v>
      </c>
      <c r="N697" s="116">
        <f>LEN(Tableau14[[#This Row],[LABEL]])</f>
        <v>43</v>
      </c>
      <c r="O697" s="116">
        <v>15</v>
      </c>
      <c r="P697" s="116" t="e">
        <f>ROUND(Tableau14[[#This Row],[LEN]]*#REF!+#REF!,0)</f>
        <v>#REF!</v>
      </c>
    </row>
    <row r="698" spans="1:16" s="97" customFormat="1" x14ac:dyDescent="0.25">
      <c r="A698" s="45" t="s">
        <v>455</v>
      </c>
      <c r="B698" s="46" t="s">
        <v>443</v>
      </c>
      <c r="C698" s="47" t="s">
        <v>117</v>
      </c>
      <c r="D698" s="75" t="s">
        <v>28</v>
      </c>
      <c r="E698" s="47" t="s">
        <v>661</v>
      </c>
      <c r="F698" s="47" t="s">
        <v>684</v>
      </c>
      <c r="G698" s="75" t="s">
        <v>68</v>
      </c>
      <c r="H698" s="75" t="s">
        <v>656</v>
      </c>
      <c r="I698" s="47"/>
      <c r="J698" s="48" t="s">
        <v>708</v>
      </c>
      <c r="K698" s="116">
        <f>ROUND(Tableau14[[#This Row],[LEN]]*7.27,0)</f>
        <v>225</v>
      </c>
      <c r="L698" s="116">
        <v>15</v>
      </c>
      <c r="M698" s="133" t="str">
        <f t="shared" si="4"/>
        <v>none</v>
      </c>
      <c r="N698" s="116">
        <f>LEN(Tableau14[[#This Row],[LABEL]])</f>
        <v>31</v>
      </c>
      <c r="O698" s="116">
        <v>15</v>
      </c>
      <c r="P698" s="116" t="e">
        <f>ROUND(Tableau14[[#This Row],[LEN]]*#REF!+#REF!,0)</f>
        <v>#REF!</v>
      </c>
    </row>
    <row r="699" spans="1:16" s="97" customFormat="1" x14ac:dyDescent="0.25">
      <c r="A699" s="41" t="s">
        <v>444</v>
      </c>
      <c r="B699" s="42" t="s">
        <v>287</v>
      </c>
      <c r="C699" s="43" t="s">
        <v>512</v>
      </c>
      <c r="D699" s="74" t="s">
        <v>28</v>
      </c>
      <c r="E699" s="43" t="s">
        <v>667</v>
      </c>
      <c r="F699" s="43" t="s">
        <v>661</v>
      </c>
      <c r="G699" s="74" t="s">
        <v>68</v>
      </c>
      <c r="H699" s="74" t="s">
        <v>655</v>
      </c>
      <c r="I699" s="43"/>
      <c r="J699" s="44" t="s">
        <v>708</v>
      </c>
      <c r="K699" s="115">
        <f>ROUND(Tableau14[[#This Row],[LEN]]*7.27,0)</f>
        <v>80</v>
      </c>
      <c r="L699" s="115">
        <v>15</v>
      </c>
      <c r="M699" s="132" t="str">
        <f t="shared" si="4"/>
        <v>none</v>
      </c>
      <c r="N699" s="115">
        <f>LEN(Tableau14[[#This Row],[LABEL]])</f>
        <v>11</v>
      </c>
      <c r="O699" s="115">
        <v>15</v>
      </c>
      <c r="P699" s="115" t="e">
        <f>ROUND(Tableau14[[#This Row],[LEN]]*#REF!+#REF!,0)</f>
        <v>#REF!</v>
      </c>
    </row>
    <row r="700" spans="1:16" s="97" customFormat="1" x14ac:dyDescent="0.25">
      <c r="A700" s="45" t="s">
        <v>456</v>
      </c>
      <c r="B700" s="46" t="s">
        <v>444</v>
      </c>
      <c r="C700" s="47" t="s">
        <v>112</v>
      </c>
      <c r="D700" s="75" t="s">
        <v>28</v>
      </c>
      <c r="E700" s="47" t="s">
        <v>667</v>
      </c>
      <c r="F700" s="47" t="s">
        <v>2006</v>
      </c>
      <c r="G700" s="75" t="s">
        <v>68</v>
      </c>
      <c r="H700" s="75" t="s">
        <v>654</v>
      </c>
      <c r="I700" s="47"/>
      <c r="J700" s="48" t="s">
        <v>708</v>
      </c>
      <c r="K700" s="116">
        <f>ROUND(Tableau14[[#This Row],[LEN]]*7.27,0)</f>
        <v>167</v>
      </c>
      <c r="L700" s="116">
        <v>15</v>
      </c>
      <c r="M700" s="133" t="str">
        <f t="shared" si="4"/>
        <v>none</v>
      </c>
      <c r="N700" s="116">
        <f>LEN(Tableau14[[#This Row],[LABEL]])</f>
        <v>23</v>
      </c>
      <c r="O700" s="116">
        <v>15</v>
      </c>
      <c r="P700" s="116" t="e">
        <f>ROUND(Tableau14[[#This Row],[LEN]]*#REF!+#REF!,0)</f>
        <v>#REF!</v>
      </c>
    </row>
    <row r="701" spans="1:16" s="97" customFormat="1" x14ac:dyDescent="0.25">
      <c r="A701" s="45" t="s">
        <v>457</v>
      </c>
      <c r="B701" s="46" t="s">
        <v>444</v>
      </c>
      <c r="C701" s="47" t="s">
        <v>113</v>
      </c>
      <c r="D701" s="75" t="s">
        <v>28</v>
      </c>
      <c r="E701" s="47" t="s">
        <v>667</v>
      </c>
      <c r="F701" s="47" t="s">
        <v>2006</v>
      </c>
      <c r="G701" s="75" t="s">
        <v>68</v>
      </c>
      <c r="H701" s="75" t="s">
        <v>654</v>
      </c>
      <c r="I701" s="47"/>
      <c r="J701" s="48" t="s">
        <v>708</v>
      </c>
      <c r="K701" s="116">
        <f>ROUND(Tableau14[[#This Row],[LEN]]*7.27,0)</f>
        <v>233</v>
      </c>
      <c r="L701" s="116">
        <v>15</v>
      </c>
      <c r="M701" s="133" t="str">
        <f t="shared" ref="M701:M890" si="5">IF(J701="javascript:void(0)","none","new")</f>
        <v>none</v>
      </c>
      <c r="N701" s="116">
        <f>LEN(Tableau14[[#This Row],[LABEL]])</f>
        <v>32</v>
      </c>
      <c r="O701" s="116">
        <v>15</v>
      </c>
      <c r="P701" s="116" t="e">
        <f>ROUND(Tableau14[[#This Row],[LEN]]*#REF!+#REF!,0)</f>
        <v>#REF!</v>
      </c>
    </row>
    <row r="702" spans="1:16" s="97" customFormat="1" x14ac:dyDescent="0.25">
      <c r="A702" s="41" t="s">
        <v>445</v>
      </c>
      <c r="B702" s="42" t="s">
        <v>287</v>
      </c>
      <c r="C702" s="43" t="s">
        <v>849</v>
      </c>
      <c r="D702" s="74" t="s">
        <v>28</v>
      </c>
      <c r="E702" s="43" t="s">
        <v>667</v>
      </c>
      <c r="F702" s="43" t="s">
        <v>840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ROUND(Tableau14[[#This Row],[LEN]]*7.27,0)</f>
        <v>80</v>
      </c>
      <c r="L702" s="115">
        <v>15</v>
      </c>
      <c r="M702" s="132" t="str">
        <f t="shared" si="5"/>
        <v>none</v>
      </c>
      <c r="N702" s="115">
        <f>LEN(Tableau14[[#This Row],[LABEL]])</f>
        <v>11</v>
      </c>
      <c r="O702" s="115">
        <v>15</v>
      </c>
      <c r="P702" s="115" t="e">
        <f>ROUND(Tableau14[[#This Row],[LEN]]*#REF!+#REF!,0)</f>
        <v>#REF!</v>
      </c>
    </row>
    <row r="703" spans="1:16" s="97" customFormat="1" x14ac:dyDescent="0.25">
      <c r="A703" s="41" t="s">
        <v>446</v>
      </c>
      <c r="B703" s="42" t="s">
        <v>287</v>
      </c>
      <c r="C703" s="43" t="s">
        <v>1516</v>
      </c>
      <c r="D703" s="74" t="s">
        <v>28</v>
      </c>
      <c r="E703" s="43" t="s">
        <v>661</v>
      </c>
      <c r="F703" s="43" t="s">
        <v>684</v>
      </c>
      <c r="G703" s="74" t="s">
        <v>68</v>
      </c>
      <c r="H703" s="74" t="s">
        <v>655</v>
      </c>
      <c r="I703" s="43"/>
      <c r="J703" s="44" t="s">
        <v>708</v>
      </c>
      <c r="K703" s="115">
        <f>ROUND(Tableau14[[#This Row],[LEN]]*7.27,0)</f>
        <v>305</v>
      </c>
      <c r="L703" s="115">
        <v>15</v>
      </c>
      <c r="M703" s="132" t="str">
        <f t="shared" si="5"/>
        <v>none</v>
      </c>
      <c r="N703" s="115">
        <f>LEN(Tableau14[[#This Row],[LABEL]])</f>
        <v>42</v>
      </c>
      <c r="O703" s="115">
        <v>15</v>
      </c>
      <c r="P703" s="115" t="e">
        <f>ROUND(Tableau14[[#This Row],[LEN]]*#REF!+#REF!,0)</f>
        <v>#REF!</v>
      </c>
    </row>
    <row r="704" spans="1:16" s="97" customFormat="1" x14ac:dyDescent="0.25">
      <c r="A704" s="45" t="s">
        <v>458</v>
      </c>
      <c r="B704" s="46" t="s">
        <v>446</v>
      </c>
      <c r="C704" s="47" t="s">
        <v>118</v>
      </c>
      <c r="D704" s="75" t="s">
        <v>28</v>
      </c>
      <c r="E704" s="47" t="s">
        <v>661</v>
      </c>
      <c r="F704" s="47" t="s">
        <v>684</v>
      </c>
      <c r="G704" s="75" t="s">
        <v>68</v>
      </c>
      <c r="H704" s="75" t="s">
        <v>18</v>
      </c>
      <c r="I704" s="47"/>
      <c r="J704" s="48" t="s">
        <v>708</v>
      </c>
      <c r="K704" s="116">
        <f>ROUND(Tableau14[[#This Row],[LEN]]*7.27,0)</f>
        <v>204</v>
      </c>
      <c r="L704" s="116">
        <v>15</v>
      </c>
      <c r="M704" s="133" t="str">
        <f t="shared" si="5"/>
        <v>none</v>
      </c>
      <c r="N704" s="116">
        <f>LEN(Tableau14[[#This Row],[LABEL]])</f>
        <v>28</v>
      </c>
      <c r="O704" s="116">
        <v>15</v>
      </c>
      <c r="P704" s="116" t="e">
        <f>ROUND(Tableau14[[#This Row],[LEN]]*#REF!+#REF!,0)</f>
        <v>#REF!</v>
      </c>
    </row>
    <row r="705" spans="1:16" s="97" customFormat="1" x14ac:dyDescent="0.25">
      <c r="A705" s="45" t="s">
        <v>459</v>
      </c>
      <c r="B705" s="46" t="s">
        <v>446</v>
      </c>
      <c r="C705" s="47" t="s">
        <v>119</v>
      </c>
      <c r="D705" s="75" t="s">
        <v>28</v>
      </c>
      <c r="E705" s="47" t="s">
        <v>661</v>
      </c>
      <c r="F705" s="47" t="s">
        <v>684</v>
      </c>
      <c r="G705" s="75" t="s">
        <v>68</v>
      </c>
      <c r="H705" s="75" t="s">
        <v>18</v>
      </c>
      <c r="I705" s="47"/>
      <c r="J705" s="48" t="s">
        <v>708</v>
      </c>
      <c r="K705" s="116">
        <f>ROUND(Tableau14[[#This Row],[LEN]]*7.27,0)</f>
        <v>218</v>
      </c>
      <c r="L705" s="116">
        <v>15</v>
      </c>
      <c r="M705" s="133" t="str">
        <f t="shared" si="5"/>
        <v>none</v>
      </c>
      <c r="N705" s="116">
        <f>LEN(Tableau14[[#This Row],[LABEL]])</f>
        <v>30</v>
      </c>
      <c r="O705" s="116">
        <v>15</v>
      </c>
      <c r="P705" s="116" t="e">
        <f>ROUND(Tableau14[[#This Row],[LEN]]*#REF!+#REF!,0)</f>
        <v>#REF!</v>
      </c>
    </row>
    <row r="706" spans="1:16" s="97" customFormat="1" x14ac:dyDescent="0.25">
      <c r="A706" s="45" t="s">
        <v>460</v>
      </c>
      <c r="B706" s="46" t="s">
        <v>446</v>
      </c>
      <c r="C706" s="47" t="s">
        <v>120</v>
      </c>
      <c r="D706" s="75" t="s">
        <v>28</v>
      </c>
      <c r="E706" s="47" t="s">
        <v>661</v>
      </c>
      <c r="F706" s="47" t="s">
        <v>684</v>
      </c>
      <c r="G706" s="75" t="s">
        <v>68</v>
      </c>
      <c r="H706" s="75" t="s">
        <v>18</v>
      </c>
      <c r="I706" s="47"/>
      <c r="J706" s="48" t="s">
        <v>708</v>
      </c>
      <c r="K706" s="116">
        <f>ROUND(Tableau14[[#This Row],[LEN]]*7.27,0)</f>
        <v>131</v>
      </c>
      <c r="L706" s="116">
        <v>15</v>
      </c>
      <c r="M706" s="133" t="str">
        <f t="shared" si="5"/>
        <v>none</v>
      </c>
      <c r="N706" s="116">
        <f>LEN(Tableau14[[#This Row],[LABEL]])</f>
        <v>18</v>
      </c>
      <c r="O706" s="116">
        <v>15</v>
      </c>
      <c r="P706" s="116" t="e">
        <f>ROUND(Tableau14[[#This Row],[LEN]]*#REF!+#REF!,0)</f>
        <v>#REF!</v>
      </c>
    </row>
    <row r="707" spans="1:16" s="97" customFormat="1" x14ac:dyDescent="0.25">
      <c r="A707" s="45" t="s">
        <v>461</v>
      </c>
      <c r="B707" s="46" t="s">
        <v>446</v>
      </c>
      <c r="C707" s="47" t="s">
        <v>121</v>
      </c>
      <c r="D707" s="75" t="s">
        <v>28</v>
      </c>
      <c r="E707" s="47" t="s">
        <v>661</v>
      </c>
      <c r="F707" s="47" t="s">
        <v>684</v>
      </c>
      <c r="G707" s="75" t="s">
        <v>68</v>
      </c>
      <c r="H707" s="75" t="s">
        <v>18</v>
      </c>
      <c r="I707" s="47"/>
      <c r="J707" s="48" t="s">
        <v>708</v>
      </c>
      <c r="K707" s="116">
        <f>ROUND(Tableau14[[#This Row],[LEN]]*7.27,0)</f>
        <v>174</v>
      </c>
      <c r="L707" s="116">
        <v>15</v>
      </c>
      <c r="M707" s="133" t="str">
        <f t="shared" si="5"/>
        <v>none</v>
      </c>
      <c r="N707" s="116">
        <f>LEN(Tableau14[[#This Row],[LABEL]])</f>
        <v>24</v>
      </c>
      <c r="O707" s="116">
        <v>15</v>
      </c>
      <c r="P707" s="116" t="e">
        <f>ROUND(Tableau14[[#This Row],[LEN]]*#REF!+#REF!,0)</f>
        <v>#REF!</v>
      </c>
    </row>
    <row r="708" spans="1:16" s="97" customFormat="1" x14ac:dyDescent="0.25">
      <c r="A708" s="41" t="s">
        <v>447</v>
      </c>
      <c r="B708" s="42" t="s">
        <v>287</v>
      </c>
      <c r="C708" s="43" t="s">
        <v>122</v>
      </c>
      <c r="D708" s="74" t="s">
        <v>1514</v>
      </c>
      <c r="E708" s="43" t="s">
        <v>667</v>
      </c>
      <c r="F708" s="43" t="s">
        <v>1515</v>
      </c>
      <c r="G708" s="74" t="s">
        <v>68</v>
      </c>
      <c r="H708" s="74" t="s">
        <v>656</v>
      </c>
      <c r="I708" s="43"/>
      <c r="J708" s="44" t="s">
        <v>708</v>
      </c>
      <c r="K708" s="115">
        <f>ROUND(Tableau14[[#This Row],[LEN]]*7.27,0)</f>
        <v>145</v>
      </c>
      <c r="L708" s="115">
        <v>15</v>
      </c>
      <c r="M708" s="132" t="str">
        <f t="shared" si="5"/>
        <v>none</v>
      </c>
      <c r="N708" s="115">
        <f>LEN(Tableau14[[#This Row],[LABEL]])</f>
        <v>20</v>
      </c>
      <c r="O708" s="115">
        <v>15</v>
      </c>
      <c r="P708" s="115" t="e">
        <f>ROUND(Tableau14[[#This Row],[LEN]]*#REF!+#REF!,0)</f>
        <v>#REF!</v>
      </c>
    </row>
    <row r="709" spans="1:16" s="97" customFormat="1" x14ac:dyDescent="0.25">
      <c r="A709" s="41" t="s">
        <v>448</v>
      </c>
      <c r="B709" s="42" t="s">
        <v>287</v>
      </c>
      <c r="C709" s="43" t="s">
        <v>538</v>
      </c>
      <c r="D709" s="74" t="s">
        <v>28</v>
      </c>
      <c r="E709" s="43" t="s">
        <v>684</v>
      </c>
      <c r="F709" s="43" t="s">
        <v>684</v>
      </c>
      <c r="G709" s="74" t="s">
        <v>68</v>
      </c>
      <c r="H709" s="74" t="s">
        <v>655</v>
      </c>
      <c r="I709" s="43"/>
      <c r="J709" s="44" t="s">
        <v>708</v>
      </c>
      <c r="K709" s="115">
        <f>ROUND(Tableau14[[#This Row],[LEN]]*7.27,0)</f>
        <v>305</v>
      </c>
      <c r="L709" s="115">
        <v>15</v>
      </c>
      <c r="M709" s="132" t="str">
        <f t="shared" si="5"/>
        <v>none</v>
      </c>
      <c r="N709" s="115">
        <f>LEN(Tableau14[[#This Row],[LABEL]])</f>
        <v>42</v>
      </c>
      <c r="O709" s="115">
        <v>15</v>
      </c>
      <c r="P709" s="115" t="e">
        <f>ROUND(Tableau14[[#This Row],[LEN]]*#REF!+#REF!,0)</f>
        <v>#REF!</v>
      </c>
    </row>
    <row r="710" spans="1:16" s="97" customFormat="1" x14ac:dyDescent="0.25">
      <c r="A710" s="45" t="s">
        <v>462</v>
      </c>
      <c r="B710" s="46" t="s">
        <v>448</v>
      </c>
      <c r="C710" s="47" t="s">
        <v>123</v>
      </c>
      <c r="D710" s="75" t="s">
        <v>28</v>
      </c>
      <c r="E710" s="47" t="s">
        <v>684</v>
      </c>
      <c r="F710" s="47" t="s">
        <v>684</v>
      </c>
      <c r="G710" s="75" t="s">
        <v>68</v>
      </c>
      <c r="H710" s="75" t="s">
        <v>18</v>
      </c>
      <c r="I710" s="47"/>
      <c r="J710" s="48" t="s">
        <v>708</v>
      </c>
      <c r="K710" s="116">
        <f>ROUND(Tableau14[[#This Row],[LEN]]*7.27,0)</f>
        <v>182</v>
      </c>
      <c r="L710" s="116">
        <v>15</v>
      </c>
      <c r="M710" s="133" t="str">
        <f t="shared" si="5"/>
        <v>none</v>
      </c>
      <c r="N710" s="116">
        <f>LEN(Tableau14[[#This Row],[LABEL]])</f>
        <v>25</v>
      </c>
      <c r="O710" s="116">
        <v>15</v>
      </c>
      <c r="P710" s="116" t="e">
        <f>ROUND(Tableau14[[#This Row],[LEN]]*#REF!+#REF!,0)</f>
        <v>#REF!</v>
      </c>
    </row>
    <row r="711" spans="1:16" s="97" customFormat="1" x14ac:dyDescent="0.25">
      <c r="A711" s="45" t="s">
        <v>463</v>
      </c>
      <c r="B711" s="46" t="s">
        <v>448</v>
      </c>
      <c r="C711" s="47" t="s">
        <v>124</v>
      </c>
      <c r="D711" s="75" t="s">
        <v>28</v>
      </c>
      <c r="E711" s="47" t="s">
        <v>684</v>
      </c>
      <c r="F711" s="47" t="s">
        <v>684</v>
      </c>
      <c r="G711" s="75" t="s">
        <v>68</v>
      </c>
      <c r="H711" s="75" t="s">
        <v>18</v>
      </c>
      <c r="I711" s="47"/>
      <c r="J711" s="48" t="s">
        <v>708</v>
      </c>
      <c r="K711" s="116">
        <f>ROUND(Tableau14[[#This Row],[LEN]]*7.27,0)</f>
        <v>116</v>
      </c>
      <c r="L711" s="116">
        <v>15</v>
      </c>
      <c r="M711" s="133" t="str">
        <f t="shared" si="5"/>
        <v>none</v>
      </c>
      <c r="N711" s="116">
        <f>LEN(Tableau14[[#This Row],[LABEL]])</f>
        <v>16</v>
      </c>
      <c r="O711" s="116">
        <v>15</v>
      </c>
      <c r="P711" s="116" t="e">
        <f>ROUND(Tableau14[[#This Row],[LEN]]*#REF!+#REF!,0)</f>
        <v>#REF!</v>
      </c>
    </row>
    <row r="712" spans="1:16" s="97" customFormat="1" x14ac:dyDescent="0.25">
      <c r="A712" s="45" t="s">
        <v>464</v>
      </c>
      <c r="B712" s="46" t="s">
        <v>448</v>
      </c>
      <c r="C712" s="47" t="s">
        <v>125</v>
      </c>
      <c r="D712" s="75" t="s">
        <v>28</v>
      </c>
      <c r="E712" s="47" t="s">
        <v>684</v>
      </c>
      <c r="F712" s="47" t="s">
        <v>684</v>
      </c>
      <c r="G712" s="75" t="s">
        <v>68</v>
      </c>
      <c r="H712" s="75" t="s">
        <v>18</v>
      </c>
      <c r="I712" s="47"/>
      <c r="J712" s="48" t="s">
        <v>708</v>
      </c>
      <c r="K712" s="116">
        <f>ROUND(Tableau14[[#This Row],[LEN]]*7.27,0)</f>
        <v>116</v>
      </c>
      <c r="L712" s="116">
        <v>15</v>
      </c>
      <c r="M712" s="133" t="str">
        <f t="shared" si="5"/>
        <v>none</v>
      </c>
      <c r="N712" s="116">
        <f>LEN(Tableau14[[#This Row],[LABEL]])</f>
        <v>16</v>
      </c>
      <c r="O712" s="116">
        <v>15</v>
      </c>
      <c r="P712" s="116" t="e">
        <f>ROUND(Tableau14[[#This Row],[LEN]]*#REF!+#REF!,0)</f>
        <v>#REF!</v>
      </c>
    </row>
    <row r="713" spans="1:16" s="97" customFormat="1" x14ac:dyDescent="0.25">
      <c r="A713" s="45" t="s">
        <v>465</v>
      </c>
      <c r="B713" s="46" t="s">
        <v>448</v>
      </c>
      <c r="C713" s="47" t="s">
        <v>126</v>
      </c>
      <c r="D713" s="75" t="s">
        <v>28</v>
      </c>
      <c r="E713" s="47" t="s">
        <v>684</v>
      </c>
      <c r="F713" s="47" t="s">
        <v>684</v>
      </c>
      <c r="G713" s="75" t="s">
        <v>68</v>
      </c>
      <c r="H713" s="75" t="s">
        <v>18</v>
      </c>
      <c r="I713" s="47"/>
      <c r="J713" s="48" t="s">
        <v>708</v>
      </c>
      <c r="K713" s="116">
        <f>ROUND(Tableau14[[#This Row],[LEN]]*7.27,0)</f>
        <v>80</v>
      </c>
      <c r="L713" s="116">
        <v>15</v>
      </c>
      <c r="M713" s="133" t="str">
        <f t="shared" si="5"/>
        <v>none</v>
      </c>
      <c r="N713" s="116">
        <f>LEN(Tableau14[[#This Row],[LABEL]])</f>
        <v>11</v>
      </c>
      <c r="O713" s="116">
        <v>15</v>
      </c>
      <c r="P713" s="116" t="e">
        <f>ROUND(Tableau14[[#This Row],[LEN]]*#REF!+#REF!,0)</f>
        <v>#REF!</v>
      </c>
    </row>
    <row r="714" spans="1:16" s="97" customFormat="1" x14ac:dyDescent="0.25">
      <c r="A714" s="45" t="s">
        <v>466</v>
      </c>
      <c r="B714" s="46" t="s">
        <v>448</v>
      </c>
      <c r="C714" s="47" t="s">
        <v>127</v>
      </c>
      <c r="D714" s="75" t="s">
        <v>28</v>
      </c>
      <c r="E714" s="47" t="s">
        <v>684</v>
      </c>
      <c r="F714" s="47" t="s">
        <v>684</v>
      </c>
      <c r="G714" s="75" t="s">
        <v>68</v>
      </c>
      <c r="H714" s="75" t="s">
        <v>18</v>
      </c>
      <c r="I714" s="47"/>
      <c r="J714" s="48" t="s">
        <v>708</v>
      </c>
      <c r="K714" s="116">
        <f>ROUND(Tableau14[[#This Row],[LEN]]*7.27,0)</f>
        <v>95</v>
      </c>
      <c r="L714" s="116">
        <v>15</v>
      </c>
      <c r="M714" s="133" t="str">
        <f t="shared" si="5"/>
        <v>none</v>
      </c>
      <c r="N714" s="116">
        <f>LEN(Tableau14[[#This Row],[LABEL]])</f>
        <v>13</v>
      </c>
      <c r="O714" s="116">
        <v>15</v>
      </c>
      <c r="P714" s="116" t="e">
        <f>ROUND(Tableau14[[#This Row],[LEN]]*#REF!+#REF!,0)</f>
        <v>#REF!</v>
      </c>
    </row>
    <row r="715" spans="1:16" s="97" customFormat="1" x14ac:dyDescent="0.25">
      <c r="A715" s="45" t="s">
        <v>467</v>
      </c>
      <c r="B715" s="46" t="s">
        <v>448</v>
      </c>
      <c r="C715" s="47" t="s">
        <v>1527</v>
      </c>
      <c r="D715" s="75" t="s">
        <v>28</v>
      </c>
      <c r="E715" s="47" t="s">
        <v>684</v>
      </c>
      <c r="F715" s="47" t="s">
        <v>684</v>
      </c>
      <c r="G715" s="75" t="s">
        <v>68</v>
      </c>
      <c r="H715" s="75" t="s">
        <v>18</v>
      </c>
      <c r="I715" s="47"/>
      <c r="J715" s="48" t="s">
        <v>708</v>
      </c>
      <c r="K715" s="116">
        <f>ROUND(Tableau14[[#This Row],[LEN]]*7.27,0)</f>
        <v>233</v>
      </c>
      <c r="L715" s="116">
        <v>15</v>
      </c>
      <c r="M715" s="133" t="str">
        <f t="shared" si="5"/>
        <v>none</v>
      </c>
      <c r="N715" s="116">
        <f>LEN(Tableau14[[#This Row],[LABEL]])</f>
        <v>32</v>
      </c>
      <c r="O715" s="116">
        <v>15</v>
      </c>
      <c r="P715" s="116" t="e">
        <f>ROUND(Tableau14[[#This Row],[LEN]]*#REF!+#REF!,0)</f>
        <v>#REF!</v>
      </c>
    </row>
    <row r="716" spans="1:16" s="273" customFormat="1" x14ac:dyDescent="0.25">
      <c r="A716" s="330" t="s">
        <v>288</v>
      </c>
      <c r="B716" s="331" t="s">
        <v>208</v>
      </c>
      <c r="C716" s="332" t="s">
        <v>4</v>
      </c>
      <c r="D716" s="333" t="s">
        <v>28</v>
      </c>
      <c r="E716" s="332" t="s">
        <v>666</v>
      </c>
      <c r="F716" s="332" t="s">
        <v>666</v>
      </c>
      <c r="G716" s="333" t="s">
        <v>68</v>
      </c>
      <c r="H716" s="333" t="str">
        <f>IFERROR(IF(SEARCH(".00.00.00.00.00",Tableau14[[#This Row],[name]],1)=7,"Division",""),"")</f>
        <v>Division</v>
      </c>
      <c r="I716" s="332"/>
      <c r="J716" s="334" t="s">
        <v>712</v>
      </c>
      <c r="K716" s="335">
        <f>ROUND(Tableau14[[#This Row],[LEN]]*7.27,0)</f>
        <v>36</v>
      </c>
      <c r="L716" s="335">
        <v>15</v>
      </c>
      <c r="M716" s="336" t="str">
        <f t="shared" si="5"/>
        <v>new</v>
      </c>
      <c r="N716" s="335">
        <f>LEN(Tableau14[[#This Row],[LABEL]])</f>
        <v>5</v>
      </c>
      <c r="O716" s="335">
        <v>15</v>
      </c>
      <c r="P716" s="335" t="e">
        <f>ROUND(Tableau14[[#This Row],[LEN]]*#REF!+#REF!,0)</f>
        <v>#REF!</v>
      </c>
    </row>
    <row r="717" spans="1:16" s="97" customFormat="1" x14ac:dyDescent="0.25">
      <c r="A717" s="41" t="s">
        <v>1502</v>
      </c>
      <c r="B717" s="42" t="s">
        <v>288</v>
      </c>
      <c r="C717" s="43" t="s">
        <v>75</v>
      </c>
      <c r="D717" s="74" t="s">
        <v>28</v>
      </c>
      <c r="E717" s="43" t="s">
        <v>661</v>
      </c>
      <c r="F717" s="43" t="s">
        <v>684</v>
      </c>
      <c r="G717" s="74" t="s">
        <v>68</v>
      </c>
      <c r="H717" s="74" t="s">
        <v>655</v>
      </c>
      <c r="I717" s="43"/>
      <c r="J717" s="44" t="s">
        <v>708</v>
      </c>
      <c r="K717" s="115">
        <f>ROUND(Tableau14[[#This Row],[LEN]]*7.27,0)</f>
        <v>262</v>
      </c>
      <c r="L717" s="115">
        <v>15</v>
      </c>
      <c r="M717" s="132" t="str">
        <f t="shared" si="5"/>
        <v>none</v>
      </c>
      <c r="N717" s="115">
        <f>LEN(Tableau14[[#This Row],[LABEL]])</f>
        <v>36</v>
      </c>
      <c r="O717" s="115">
        <v>15</v>
      </c>
      <c r="P717" s="115" t="e">
        <f>ROUND(Tableau14[[#This Row],[LEN]]*#REF!+#REF!,0)</f>
        <v>#REF!</v>
      </c>
    </row>
    <row r="718" spans="1:16" s="97" customFormat="1" x14ac:dyDescent="0.25">
      <c r="A718" s="45" t="s">
        <v>1509</v>
      </c>
      <c r="B718" s="46" t="s">
        <v>1502</v>
      </c>
      <c r="C718" s="47" t="s">
        <v>115</v>
      </c>
      <c r="D718" s="75" t="s">
        <v>28</v>
      </c>
      <c r="E718" s="47" t="s">
        <v>661</v>
      </c>
      <c r="F718" s="47" t="s">
        <v>684</v>
      </c>
      <c r="G718" s="75" t="s">
        <v>68</v>
      </c>
      <c r="H718" s="75" t="s">
        <v>656</v>
      </c>
      <c r="I718" s="47"/>
      <c r="J718" s="48" t="s">
        <v>708</v>
      </c>
      <c r="K718" s="116">
        <f>ROUND(Tableau14[[#This Row],[LEN]]*7.27,0)</f>
        <v>291</v>
      </c>
      <c r="L718" s="116">
        <v>15</v>
      </c>
      <c r="M718" s="133" t="str">
        <f t="shared" si="5"/>
        <v>none</v>
      </c>
      <c r="N718" s="116">
        <f>LEN(Tableau14[[#This Row],[LABEL]])</f>
        <v>40</v>
      </c>
      <c r="O718" s="116">
        <v>15</v>
      </c>
      <c r="P718" s="116" t="e">
        <f>ROUND(Tableau14[[#This Row],[LEN]]*#REF!+#REF!,0)</f>
        <v>#REF!</v>
      </c>
    </row>
    <row r="719" spans="1:16" s="97" customFormat="1" x14ac:dyDescent="0.25">
      <c r="A719" s="45" t="s">
        <v>1510</v>
      </c>
      <c r="B719" s="46" t="s">
        <v>1502</v>
      </c>
      <c r="C719" s="47" t="s">
        <v>116</v>
      </c>
      <c r="D719" s="75" t="s">
        <v>28</v>
      </c>
      <c r="E719" s="47" t="s">
        <v>661</v>
      </c>
      <c r="F719" s="47" t="s">
        <v>684</v>
      </c>
      <c r="G719" s="75" t="s">
        <v>68</v>
      </c>
      <c r="H719" s="75" t="s">
        <v>656</v>
      </c>
      <c r="I719" s="47"/>
      <c r="J719" s="48" t="s">
        <v>708</v>
      </c>
      <c r="K719" s="116">
        <f>ROUND(Tableau14[[#This Row],[LEN]]*7.27,0)</f>
        <v>313</v>
      </c>
      <c r="L719" s="116">
        <v>15</v>
      </c>
      <c r="M719" s="133" t="str">
        <f t="shared" si="5"/>
        <v>none</v>
      </c>
      <c r="N719" s="116">
        <f>LEN(Tableau14[[#This Row],[LABEL]])</f>
        <v>43</v>
      </c>
      <c r="O719" s="116">
        <v>15</v>
      </c>
      <c r="P719" s="116" t="e">
        <f>ROUND(Tableau14[[#This Row],[LEN]]*#REF!+#REF!,0)</f>
        <v>#REF!</v>
      </c>
    </row>
    <row r="720" spans="1:16" s="97" customFormat="1" x14ac:dyDescent="0.25">
      <c r="A720" s="45" t="s">
        <v>1511</v>
      </c>
      <c r="B720" s="46" t="s">
        <v>1502</v>
      </c>
      <c r="C720" s="47" t="s">
        <v>117</v>
      </c>
      <c r="D720" s="75" t="s">
        <v>28</v>
      </c>
      <c r="E720" s="47" t="s">
        <v>661</v>
      </c>
      <c r="F720" s="47" t="s">
        <v>684</v>
      </c>
      <c r="G720" s="75" t="s">
        <v>68</v>
      </c>
      <c r="H720" s="75" t="s">
        <v>656</v>
      </c>
      <c r="I720" s="47"/>
      <c r="J720" s="48" t="s">
        <v>708</v>
      </c>
      <c r="K720" s="116">
        <f>ROUND(Tableau14[[#This Row],[LEN]]*7.27,0)</f>
        <v>225</v>
      </c>
      <c r="L720" s="116">
        <v>15</v>
      </c>
      <c r="M720" s="133" t="str">
        <f t="shared" si="5"/>
        <v>none</v>
      </c>
      <c r="N720" s="116">
        <f>LEN(Tableau14[[#This Row],[LABEL]])</f>
        <v>31</v>
      </c>
      <c r="O720" s="116">
        <v>15</v>
      </c>
      <c r="P720" s="116" t="e">
        <f>ROUND(Tableau14[[#This Row],[LEN]]*#REF!+#REF!,0)</f>
        <v>#REF!</v>
      </c>
    </row>
    <row r="721" spans="1:16" s="97" customFormat="1" x14ac:dyDescent="0.25">
      <c r="A721" s="41" t="s">
        <v>1503</v>
      </c>
      <c r="B721" s="42" t="s">
        <v>288</v>
      </c>
      <c r="C721" s="43" t="s">
        <v>849</v>
      </c>
      <c r="D721" s="74" t="s">
        <v>28</v>
      </c>
      <c r="E721" s="43" t="s">
        <v>667</v>
      </c>
      <c r="F721" s="43" t="s">
        <v>840</v>
      </c>
      <c r="G721" s="74" t="s">
        <v>68</v>
      </c>
      <c r="H721" s="74" t="s">
        <v>655</v>
      </c>
      <c r="I721" s="43"/>
      <c r="J721" s="44" t="s">
        <v>708</v>
      </c>
      <c r="K721" s="115">
        <f>ROUND(Tableau14[[#This Row],[LEN]]*7.27,0)</f>
        <v>80</v>
      </c>
      <c r="L721" s="115">
        <v>15</v>
      </c>
      <c r="M721" s="132" t="str">
        <f t="shared" si="5"/>
        <v>none</v>
      </c>
      <c r="N721" s="115">
        <f>LEN(Tableau14[[#This Row],[LABEL]])</f>
        <v>11</v>
      </c>
      <c r="O721" s="115">
        <v>15</v>
      </c>
      <c r="P721" s="115" t="e">
        <f>ROUND(Tableau14[[#This Row],[LEN]]*#REF!+#REF!,0)</f>
        <v>#REF!</v>
      </c>
    </row>
    <row r="722" spans="1:16" s="97" customFormat="1" x14ac:dyDescent="0.25">
      <c r="A722" s="45" t="s">
        <v>1512</v>
      </c>
      <c r="B722" s="46" t="s">
        <v>1503</v>
      </c>
      <c r="C722" s="47" t="s">
        <v>112</v>
      </c>
      <c r="D722" s="75" t="s">
        <v>28</v>
      </c>
      <c r="E722" s="47" t="s">
        <v>667</v>
      </c>
      <c r="F722" s="47" t="s">
        <v>2006</v>
      </c>
      <c r="G722" s="75" t="s">
        <v>68</v>
      </c>
      <c r="H722" s="75" t="s">
        <v>654</v>
      </c>
      <c r="I722" s="47"/>
      <c r="J722" s="48" t="s">
        <v>708</v>
      </c>
      <c r="K722" s="116">
        <f>ROUND(Tableau14[[#This Row],[LEN]]*7.27,0)</f>
        <v>167</v>
      </c>
      <c r="L722" s="116">
        <v>15</v>
      </c>
      <c r="M722" s="133" t="str">
        <f t="shared" si="5"/>
        <v>none</v>
      </c>
      <c r="N722" s="116">
        <f>LEN(Tableau14[[#This Row],[LABEL]])</f>
        <v>23</v>
      </c>
      <c r="O722" s="116">
        <v>15</v>
      </c>
      <c r="P722" s="116" t="e">
        <f>ROUND(Tableau14[[#This Row],[LEN]]*#REF!+#REF!,0)</f>
        <v>#REF!</v>
      </c>
    </row>
    <row r="723" spans="1:16" s="97" customFormat="1" x14ac:dyDescent="0.25">
      <c r="A723" s="45" t="s">
        <v>1513</v>
      </c>
      <c r="B723" s="46" t="s">
        <v>1503</v>
      </c>
      <c r="C723" s="47" t="s">
        <v>113</v>
      </c>
      <c r="D723" s="75" t="s">
        <v>28</v>
      </c>
      <c r="E723" s="47" t="s">
        <v>667</v>
      </c>
      <c r="F723" s="47" t="s">
        <v>2006</v>
      </c>
      <c r="G723" s="75" t="s">
        <v>68</v>
      </c>
      <c r="H723" s="75" t="s">
        <v>654</v>
      </c>
      <c r="I723" s="47"/>
      <c r="J723" s="48" t="s">
        <v>708</v>
      </c>
      <c r="K723" s="116">
        <f>ROUND(Tableau14[[#This Row],[LEN]]*7.27,0)</f>
        <v>233</v>
      </c>
      <c r="L723" s="116">
        <v>15</v>
      </c>
      <c r="M723" s="133" t="str">
        <f t="shared" si="5"/>
        <v>none</v>
      </c>
      <c r="N723" s="116">
        <f>LEN(Tableau14[[#This Row],[LABEL]])</f>
        <v>32</v>
      </c>
      <c r="O723" s="116">
        <v>15</v>
      </c>
      <c r="P723" s="116" t="e">
        <f>ROUND(Tableau14[[#This Row],[LEN]]*#REF!+#REF!,0)</f>
        <v>#REF!</v>
      </c>
    </row>
    <row r="724" spans="1:16" s="97" customFormat="1" x14ac:dyDescent="0.25">
      <c r="A724" s="41" t="s">
        <v>1504</v>
      </c>
      <c r="B724" s="42" t="s">
        <v>288</v>
      </c>
      <c r="C724" s="43" t="s">
        <v>122</v>
      </c>
      <c r="D724" s="74" t="s">
        <v>1514</v>
      </c>
      <c r="E724" s="43" t="s">
        <v>667</v>
      </c>
      <c r="F724" s="43" t="s">
        <v>1515</v>
      </c>
      <c r="G724" s="74" t="s">
        <v>68</v>
      </c>
      <c r="H724" s="74" t="s">
        <v>656</v>
      </c>
      <c r="I724" s="43"/>
      <c r="J724" s="44" t="s">
        <v>708</v>
      </c>
      <c r="K724" s="115">
        <f>ROUND(Tableau14[[#This Row],[LEN]]*7.27,0)</f>
        <v>145</v>
      </c>
      <c r="L724" s="115">
        <v>15</v>
      </c>
      <c r="M724" s="132" t="str">
        <f t="shared" si="5"/>
        <v>none</v>
      </c>
      <c r="N724" s="115">
        <f>LEN(Tableau14[[#This Row],[LABEL]])</f>
        <v>20</v>
      </c>
      <c r="O724" s="115">
        <v>15</v>
      </c>
      <c r="P724" s="115" t="e">
        <f>ROUND(Tableau14[[#This Row],[LEN]]*#REF!+#REF!,0)</f>
        <v>#REF!</v>
      </c>
    </row>
    <row r="725" spans="1:16" s="97" customFormat="1" x14ac:dyDescent="0.25">
      <c r="A725" s="41" t="s">
        <v>1505</v>
      </c>
      <c r="B725" s="42" t="s">
        <v>288</v>
      </c>
      <c r="C725" s="43" t="s">
        <v>1516</v>
      </c>
      <c r="D725" s="74" t="s">
        <v>28</v>
      </c>
      <c r="E725" s="43" t="s">
        <v>661</v>
      </c>
      <c r="F725" s="43" t="s">
        <v>684</v>
      </c>
      <c r="G725" s="74" t="s">
        <v>68</v>
      </c>
      <c r="H725" s="74" t="s">
        <v>655</v>
      </c>
      <c r="I725" s="43"/>
      <c r="J725" s="44" t="s">
        <v>708</v>
      </c>
      <c r="K725" s="115">
        <f>ROUND(Tableau14[[#This Row],[LEN]]*7.27,0)</f>
        <v>305</v>
      </c>
      <c r="L725" s="115">
        <v>15</v>
      </c>
      <c r="M725" s="132" t="str">
        <f t="shared" si="5"/>
        <v>none</v>
      </c>
      <c r="N725" s="115">
        <f>LEN(Tableau14[[#This Row],[LABEL]])</f>
        <v>42</v>
      </c>
      <c r="O725" s="115">
        <v>15</v>
      </c>
      <c r="P725" s="115" t="e">
        <f>ROUND(Tableau14[[#This Row],[LEN]]*#REF!+#REF!,0)</f>
        <v>#REF!</v>
      </c>
    </row>
    <row r="726" spans="1:16" s="97" customFormat="1" x14ac:dyDescent="0.25">
      <c r="A726" s="45" t="s">
        <v>1517</v>
      </c>
      <c r="B726" s="46" t="s">
        <v>1505</v>
      </c>
      <c r="C726" s="47" t="s">
        <v>118</v>
      </c>
      <c r="D726" s="75" t="s">
        <v>28</v>
      </c>
      <c r="E726" s="47" t="s">
        <v>661</v>
      </c>
      <c r="F726" s="47" t="s">
        <v>684</v>
      </c>
      <c r="G726" s="75" t="s">
        <v>68</v>
      </c>
      <c r="H726" s="75" t="s">
        <v>18</v>
      </c>
      <c r="I726" s="47"/>
      <c r="J726" s="48" t="s">
        <v>708</v>
      </c>
      <c r="K726" s="116">
        <f>ROUND(Tableau14[[#This Row],[LEN]]*7.27,0)</f>
        <v>204</v>
      </c>
      <c r="L726" s="116">
        <v>15</v>
      </c>
      <c r="M726" s="133" t="str">
        <f t="shared" si="5"/>
        <v>none</v>
      </c>
      <c r="N726" s="116">
        <f>LEN(Tableau14[[#This Row],[LABEL]])</f>
        <v>28</v>
      </c>
      <c r="O726" s="116">
        <v>15</v>
      </c>
      <c r="P726" s="116" t="e">
        <f>ROUND(Tableau14[[#This Row],[LEN]]*#REF!+#REF!,0)</f>
        <v>#REF!</v>
      </c>
    </row>
    <row r="727" spans="1:16" s="97" customFormat="1" x14ac:dyDescent="0.25">
      <c r="A727" s="45" t="s">
        <v>1518</v>
      </c>
      <c r="B727" s="46" t="s">
        <v>1505</v>
      </c>
      <c r="C727" s="47" t="s">
        <v>119</v>
      </c>
      <c r="D727" s="75" t="s">
        <v>28</v>
      </c>
      <c r="E727" s="47" t="s">
        <v>661</v>
      </c>
      <c r="F727" s="47" t="s">
        <v>684</v>
      </c>
      <c r="G727" s="75" t="s">
        <v>68</v>
      </c>
      <c r="H727" s="75" t="s">
        <v>18</v>
      </c>
      <c r="I727" s="47"/>
      <c r="J727" s="48" t="s">
        <v>708</v>
      </c>
      <c r="K727" s="116">
        <f>ROUND(Tableau14[[#This Row],[LEN]]*7.27,0)</f>
        <v>218</v>
      </c>
      <c r="L727" s="116">
        <v>15</v>
      </c>
      <c r="M727" s="133" t="str">
        <f t="shared" si="5"/>
        <v>none</v>
      </c>
      <c r="N727" s="116">
        <f>LEN(Tableau14[[#This Row],[LABEL]])</f>
        <v>30</v>
      </c>
      <c r="O727" s="116">
        <v>15</v>
      </c>
      <c r="P727" s="116" t="e">
        <f>ROUND(Tableau14[[#This Row],[LEN]]*#REF!+#REF!,0)</f>
        <v>#REF!</v>
      </c>
    </row>
    <row r="728" spans="1:16" s="97" customFormat="1" x14ac:dyDescent="0.25">
      <c r="A728" s="45" t="s">
        <v>1519</v>
      </c>
      <c r="B728" s="46" t="s">
        <v>1505</v>
      </c>
      <c r="C728" s="47" t="s">
        <v>120</v>
      </c>
      <c r="D728" s="75" t="s">
        <v>28</v>
      </c>
      <c r="E728" s="47" t="s">
        <v>661</v>
      </c>
      <c r="F728" s="47" t="s">
        <v>684</v>
      </c>
      <c r="G728" s="75" t="s">
        <v>68</v>
      </c>
      <c r="H728" s="75" t="s">
        <v>18</v>
      </c>
      <c r="I728" s="47"/>
      <c r="J728" s="48" t="s">
        <v>708</v>
      </c>
      <c r="K728" s="116">
        <f>ROUND(Tableau14[[#This Row],[LEN]]*7.27,0)</f>
        <v>131</v>
      </c>
      <c r="L728" s="116">
        <v>15</v>
      </c>
      <c r="M728" s="133" t="str">
        <f t="shared" si="5"/>
        <v>none</v>
      </c>
      <c r="N728" s="116">
        <f>LEN(Tableau14[[#This Row],[LABEL]])</f>
        <v>18</v>
      </c>
      <c r="O728" s="116">
        <v>15</v>
      </c>
      <c r="P728" s="116" t="e">
        <f>ROUND(Tableau14[[#This Row],[LEN]]*#REF!+#REF!,0)</f>
        <v>#REF!</v>
      </c>
    </row>
    <row r="729" spans="1:16" s="97" customFormat="1" x14ac:dyDescent="0.25">
      <c r="A729" s="45" t="s">
        <v>1520</v>
      </c>
      <c r="B729" s="46" t="s">
        <v>1505</v>
      </c>
      <c r="C729" s="47" t="s">
        <v>121</v>
      </c>
      <c r="D729" s="75" t="s">
        <v>28</v>
      </c>
      <c r="E729" s="47" t="s">
        <v>661</v>
      </c>
      <c r="F729" s="47" t="s">
        <v>684</v>
      </c>
      <c r="G729" s="75" t="s">
        <v>68</v>
      </c>
      <c r="H729" s="75" t="s">
        <v>18</v>
      </c>
      <c r="I729" s="47"/>
      <c r="J729" s="48" t="s">
        <v>708</v>
      </c>
      <c r="K729" s="116">
        <f>ROUND(Tableau14[[#This Row],[LEN]]*7.27,0)</f>
        <v>174</v>
      </c>
      <c r="L729" s="116">
        <v>15</v>
      </c>
      <c r="M729" s="133" t="str">
        <f t="shared" si="5"/>
        <v>none</v>
      </c>
      <c r="N729" s="116">
        <f>LEN(Tableau14[[#This Row],[LABEL]])</f>
        <v>24</v>
      </c>
      <c r="O729" s="116">
        <v>15</v>
      </c>
      <c r="P729" s="116" t="e">
        <f>ROUND(Tableau14[[#This Row],[LEN]]*#REF!+#REF!,0)</f>
        <v>#REF!</v>
      </c>
    </row>
    <row r="730" spans="1:16" s="97" customFormat="1" x14ac:dyDescent="0.25">
      <c r="A730" s="41" t="s">
        <v>1506</v>
      </c>
      <c r="B730" s="42" t="s">
        <v>288</v>
      </c>
      <c r="C730" s="43" t="s">
        <v>538</v>
      </c>
      <c r="D730" s="74" t="s">
        <v>28</v>
      </c>
      <c r="E730" s="43" t="s">
        <v>684</v>
      </c>
      <c r="F730" s="43" t="s">
        <v>684</v>
      </c>
      <c r="G730" s="74" t="s">
        <v>68</v>
      </c>
      <c r="H730" s="74" t="s">
        <v>655</v>
      </c>
      <c r="I730" s="43"/>
      <c r="J730" s="44" t="s">
        <v>708</v>
      </c>
      <c r="K730" s="115">
        <f>ROUND(Tableau14[[#This Row],[LEN]]*7.27,0)</f>
        <v>305</v>
      </c>
      <c r="L730" s="115">
        <v>15</v>
      </c>
      <c r="M730" s="132" t="str">
        <f t="shared" si="5"/>
        <v>none</v>
      </c>
      <c r="N730" s="115">
        <f>LEN(Tableau14[[#This Row],[LABEL]])</f>
        <v>42</v>
      </c>
      <c r="O730" s="115">
        <v>15</v>
      </c>
      <c r="P730" s="115" t="e">
        <f>ROUND(Tableau14[[#This Row],[LEN]]*#REF!+#REF!,0)</f>
        <v>#REF!</v>
      </c>
    </row>
    <row r="731" spans="1:16" s="97" customFormat="1" x14ac:dyDescent="0.25">
      <c r="A731" s="45" t="s">
        <v>1521</v>
      </c>
      <c r="B731" s="46" t="s">
        <v>1506</v>
      </c>
      <c r="C731" s="47" t="s">
        <v>123</v>
      </c>
      <c r="D731" s="75" t="s">
        <v>28</v>
      </c>
      <c r="E731" s="47" t="s">
        <v>684</v>
      </c>
      <c r="F731" s="47" t="s">
        <v>684</v>
      </c>
      <c r="G731" s="75" t="s">
        <v>68</v>
      </c>
      <c r="H731" s="75" t="s">
        <v>18</v>
      </c>
      <c r="I731" s="47"/>
      <c r="J731" s="48" t="s">
        <v>708</v>
      </c>
      <c r="K731" s="116">
        <f>ROUND(Tableau14[[#This Row],[LEN]]*7.27,0)</f>
        <v>182</v>
      </c>
      <c r="L731" s="116">
        <v>15</v>
      </c>
      <c r="M731" s="133" t="str">
        <f t="shared" si="5"/>
        <v>none</v>
      </c>
      <c r="N731" s="116">
        <f>LEN(Tableau14[[#This Row],[LABEL]])</f>
        <v>25</v>
      </c>
      <c r="O731" s="116">
        <v>15</v>
      </c>
      <c r="P731" s="116" t="e">
        <f>ROUND(Tableau14[[#This Row],[LEN]]*#REF!+#REF!,0)</f>
        <v>#REF!</v>
      </c>
    </row>
    <row r="732" spans="1:16" s="97" customFormat="1" x14ac:dyDescent="0.25">
      <c r="A732" s="45" t="s">
        <v>1522</v>
      </c>
      <c r="B732" s="46" t="s">
        <v>1506</v>
      </c>
      <c r="C732" s="47" t="s">
        <v>124</v>
      </c>
      <c r="D732" s="75" t="s">
        <v>28</v>
      </c>
      <c r="E732" s="47" t="s">
        <v>684</v>
      </c>
      <c r="F732" s="47" t="s">
        <v>684</v>
      </c>
      <c r="G732" s="75" t="s">
        <v>68</v>
      </c>
      <c r="H732" s="75" t="s">
        <v>18</v>
      </c>
      <c r="I732" s="47"/>
      <c r="J732" s="48" t="s">
        <v>708</v>
      </c>
      <c r="K732" s="116">
        <f>ROUND(Tableau14[[#This Row],[LEN]]*7.27,0)</f>
        <v>116</v>
      </c>
      <c r="L732" s="116">
        <v>15</v>
      </c>
      <c r="M732" s="133" t="str">
        <f t="shared" si="5"/>
        <v>none</v>
      </c>
      <c r="N732" s="116">
        <f>LEN(Tableau14[[#This Row],[LABEL]])</f>
        <v>16</v>
      </c>
      <c r="O732" s="116">
        <v>15</v>
      </c>
      <c r="P732" s="116" t="e">
        <f>ROUND(Tableau14[[#This Row],[LEN]]*#REF!+#REF!,0)</f>
        <v>#REF!</v>
      </c>
    </row>
    <row r="733" spans="1:16" s="97" customFormat="1" x14ac:dyDescent="0.25">
      <c r="A733" s="45" t="s">
        <v>1523</v>
      </c>
      <c r="B733" s="46" t="s">
        <v>1506</v>
      </c>
      <c r="C733" s="47" t="s">
        <v>125</v>
      </c>
      <c r="D733" s="75" t="s">
        <v>28</v>
      </c>
      <c r="E733" s="47" t="s">
        <v>684</v>
      </c>
      <c r="F733" s="47" t="s">
        <v>684</v>
      </c>
      <c r="G733" s="75" t="s">
        <v>68</v>
      </c>
      <c r="H733" s="75" t="s">
        <v>18</v>
      </c>
      <c r="I733" s="47"/>
      <c r="J733" s="48" t="s">
        <v>708</v>
      </c>
      <c r="K733" s="116">
        <f>ROUND(Tableau14[[#This Row],[LEN]]*7.27,0)</f>
        <v>116</v>
      </c>
      <c r="L733" s="116">
        <v>15</v>
      </c>
      <c r="M733" s="133" t="str">
        <f t="shared" si="5"/>
        <v>none</v>
      </c>
      <c r="N733" s="116">
        <f>LEN(Tableau14[[#This Row],[LABEL]])</f>
        <v>16</v>
      </c>
      <c r="O733" s="116">
        <v>15</v>
      </c>
      <c r="P733" s="116" t="e">
        <f>ROUND(Tableau14[[#This Row],[LEN]]*#REF!+#REF!,0)</f>
        <v>#REF!</v>
      </c>
    </row>
    <row r="734" spans="1:16" s="97" customFormat="1" x14ac:dyDescent="0.25">
      <c r="A734" s="45" t="s">
        <v>1524</v>
      </c>
      <c r="B734" s="46" t="s">
        <v>1506</v>
      </c>
      <c r="C734" s="47" t="s">
        <v>126</v>
      </c>
      <c r="D734" s="75" t="s">
        <v>28</v>
      </c>
      <c r="E734" s="47" t="s">
        <v>684</v>
      </c>
      <c r="F734" s="47" t="s">
        <v>684</v>
      </c>
      <c r="G734" s="75" t="s">
        <v>68</v>
      </c>
      <c r="H734" s="75" t="s">
        <v>18</v>
      </c>
      <c r="I734" s="47"/>
      <c r="J734" s="48" t="s">
        <v>708</v>
      </c>
      <c r="K734" s="116">
        <f>ROUND(Tableau14[[#This Row],[LEN]]*7.27,0)</f>
        <v>80</v>
      </c>
      <c r="L734" s="116">
        <v>15</v>
      </c>
      <c r="M734" s="133" t="str">
        <f t="shared" si="5"/>
        <v>none</v>
      </c>
      <c r="N734" s="116">
        <f>LEN(Tableau14[[#This Row],[LABEL]])</f>
        <v>11</v>
      </c>
      <c r="O734" s="116">
        <v>15</v>
      </c>
      <c r="P734" s="116" t="e">
        <f>ROUND(Tableau14[[#This Row],[LEN]]*#REF!+#REF!,0)</f>
        <v>#REF!</v>
      </c>
    </row>
    <row r="735" spans="1:16" s="97" customFormat="1" x14ac:dyDescent="0.25">
      <c r="A735" s="45" t="s">
        <v>1525</v>
      </c>
      <c r="B735" s="46" t="s">
        <v>1506</v>
      </c>
      <c r="C735" s="47" t="s">
        <v>127</v>
      </c>
      <c r="D735" s="75" t="s">
        <v>28</v>
      </c>
      <c r="E735" s="47" t="s">
        <v>684</v>
      </c>
      <c r="F735" s="47" t="s">
        <v>684</v>
      </c>
      <c r="G735" s="75" t="s">
        <v>68</v>
      </c>
      <c r="H735" s="75" t="s">
        <v>18</v>
      </c>
      <c r="I735" s="47"/>
      <c r="J735" s="48" t="s">
        <v>708</v>
      </c>
      <c r="K735" s="116">
        <f>ROUND(Tableau14[[#This Row],[LEN]]*7.27,0)</f>
        <v>95</v>
      </c>
      <c r="L735" s="116">
        <v>15</v>
      </c>
      <c r="M735" s="133" t="str">
        <f t="shared" si="5"/>
        <v>none</v>
      </c>
      <c r="N735" s="116">
        <f>LEN(Tableau14[[#This Row],[LABEL]])</f>
        <v>13</v>
      </c>
      <c r="O735" s="116">
        <v>15</v>
      </c>
      <c r="P735" s="116" t="e">
        <f>ROUND(Tableau14[[#This Row],[LEN]]*#REF!+#REF!,0)</f>
        <v>#REF!</v>
      </c>
    </row>
    <row r="736" spans="1:16" s="97" customFormat="1" x14ac:dyDescent="0.25">
      <c r="A736" s="45" t="s">
        <v>1526</v>
      </c>
      <c r="B736" s="46" t="s">
        <v>1506</v>
      </c>
      <c r="C736" s="47" t="s">
        <v>1527</v>
      </c>
      <c r="D736" s="75" t="s">
        <v>28</v>
      </c>
      <c r="E736" s="47" t="s">
        <v>684</v>
      </c>
      <c r="F736" s="47" t="s">
        <v>684</v>
      </c>
      <c r="G736" s="75" t="s">
        <v>68</v>
      </c>
      <c r="H736" s="75" t="s">
        <v>18</v>
      </c>
      <c r="I736" s="47"/>
      <c r="J736" s="48" t="s">
        <v>708</v>
      </c>
      <c r="K736" s="116">
        <f>ROUND(Tableau14[[#This Row],[LEN]]*7.27,0)</f>
        <v>233</v>
      </c>
      <c r="L736" s="116">
        <v>15</v>
      </c>
      <c r="M736" s="133" t="str">
        <f t="shared" si="5"/>
        <v>none</v>
      </c>
      <c r="N736" s="116">
        <f>LEN(Tableau14[[#This Row],[LABEL]])</f>
        <v>32</v>
      </c>
      <c r="O736" s="116">
        <v>15</v>
      </c>
      <c r="P736" s="116" t="e">
        <f>ROUND(Tableau14[[#This Row],[LEN]]*#REF!+#REF!,0)</f>
        <v>#REF!</v>
      </c>
    </row>
    <row r="737" spans="1:16" s="97" customFormat="1" x14ac:dyDescent="0.25">
      <c r="A737" s="41" t="s">
        <v>1507</v>
      </c>
      <c r="B737" s="42" t="s">
        <v>288</v>
      </c>
      <c r="C737" s="43" t="s">
        <v>1528</v>
      </c>
      <c r="D737" s="74" t="s">
        <v>28</v>
      </c>
      <c r="E737" s="43" t="s">
        <v>667</v>
      </c>
      <c r="F737" s="43" t="s">
        <v>1084</v>
      </c>
      <c r="G737" s="74" t="s">
        <v>1977</v>
      </c>
      <c r="H737" s="74" t="s">
        <v>1131</v>
      </c>
      <c r="I737" s="43"/>
      <c r="J737" s="44" t="s">
        <v>708</v>
      </c>
      <c r="K737" s="115">
        <f>ROUND(Tableau14[[#This Row],[LEN]]*7.27,0)</f>
        <v>174</v>
      </c>
      <c r="L737" s="115">
        <v>15</v>
      </c>
      <c r="M737" s="132" t="str">
        <f t="shared" si="5"/>
        <v>none</v>
      </c>
      <c r="N737" s="115">
        <f>LEN(Tableau14[[#This Row],[LABEL]])</f>
        <v>24</v>
      </c>
      <c r="O737" s="115">
        <v>15</v>
      </c>
      <c r="P737" s="115" t="e">
        <f>ROUND(Tableau14[[#This Row],[LEN]]*#REF!+#REF!,0)</f>
        <v>#REF!</v>
      </c>
    </row>
    <row r="738" spans="1:16" s="97" customFormat="1" x14ac:dyDescent="0.25">
      <c r="A738" s="41" t="s">
        <v>1508</v>
      </c>
      <c r="B738" s="42" t="s">
        <v>288</v>
      </c>
      <c r="C738" s="43" t="s">
        <v>1529</v>
      </c>
      <c r="D738" s="74" t="s">
        <v>28</v>
      </c>
      <c r="E738" s="43" t="s">
        <v>672</v>
      </c>
      <c r="F738" s="43" t="s">
        <v>1530</v>
      </c>
      <c r="G738" s="74" t="s">
        <v>68</v>
      </c>
      <c r="H738" s="74" t="s">
        <v>656</v>
      </c>
      <c r="I738" s="43"/>
      <c r="J738" s="44" t="s">
        <v>708</v>
      </c>
      <c r="K738" s="115">
        <f>ROUND(Tableau14[[#This Row],[LEN]]*7.27,0)</f>
        <v>218</v>
      </c>
      <c r="L738" s="115">
        <v>15</v>
      </c>
      <c r="M738" s="132" t="str">
        <f t="shared" si="5"/>
        <v>none</v>
      </c>
      <c r="N738" s="115">
        <f>LEN(Tableau14[[#This Row],[LABEL]])</f>
        <v>30</v>
      </c>
      <c r="O738" s="115">
        <v>15</v>
      </c>
      <c r="P738" s="115" t="e">
        <f>ROUND(Tableau14[[#This Row],[LEN]]*#REF!+#REF!,0)</f>
        <v>#REF!</v>
      </c>
    </row>
    <row r="739" spans="1:16" s="273" customFormat="1" x14ac:dyDescent="0.25">
      <c r="A739" s="330" t="s">
        <v>289</v>
      </c>
      <c r="B739" s="331" t="s">
        <v>208</v>
      </c>
      <c r="C739" s="332" t="s">
        <v>80</v>
      </c>
      <c r="D739" s="333" t="s">
        <v>28</v>
      </c>
      <c r="E739" s="332" t="s">
        <v>667</v>
      </c>
      <c r="F739" s="332" t="s">
        <v>667</v>
      </c>
      <c r="G739" s="333" t="s">
        <v>68</v>
      </c>
      <c r="H739" s="333" t="str">
        <f>IFERROR(IF(SEARCH(".00.00.00.00.00",Tableau14[[#This Row],[name]],1)=7,"Division",""),"")</f>
        <v>Division</v>
      </c>
      <c r="I739" s="332"/>
      <c r="J739" s="334" t="s">
        <v>713</v>
      </c>
      <c r="K739" s="335">
        <f>ROUND(Tableau14[[#This Row],[LEN]]*7.27,0)</f>
        <v>116</v>
      </c>
      <c r="L739" s="335">
        <v>15</v>
      </c>
      <c r="M739" s="336" t="str">
        <f t="shared" si="5"/>
        <v>new</v>
      </c>
      <c r="N739" s="335">
        <f>LEN(Tableau14[[#This Row],[LABEL]])</f>
        <v>16</v>
      </c>
      <c r="O739" s="335">
        <v>15</v>
      </c>
      <c r="P739" s="335" t="e">
        <f>ROUND(Tableau14[[#This Row],[LEN]]*#REF!+#REF!,0)</f>
        <v>#REF!</v>
      </c>
    </row>
    <row r="740" spans="1:16" s="97" customFormat="1" x14ac:dyDescent="0.25">
      <c r="A740" s="41" t="s">
        <v>1531</v>
      </c>
      <c r="B740" s="42" t="s">
        <v>289</v>
      </c>
      <c r="C740" s="43" t="s">
        <v>738</v>
      </c>
      <c r="D740" s="74" t="s">
        <v>28</v>
      </c>
      <c r="E740" s="43" t="s">
        <v>662</v>
      </c>
      <c r="F740" s="43" t="s">
        <v>1543</v>
      </c>
      <c r="G740" s="74" t="s">
        <v>68</v>
      </c>
      <c r="H740" s="74" t="s">
        <v>56</v>
      </c>
      <c r="I740" s="43"/>
      <c r="J740" s="44" t="s">
        <v>708</v>
      </c>
      <c r="K740" s="115">
        <f>ROUND(Tableau14[[#This Row],[LEN]]*7.27,0)</f>
        <v>247</v>
      </c>
      <c r="L740" s="115">
        <v>15</v>
      </c>
      <c r="M740" s="132" t="str">
        <f t="shared" si="5"/>
        <v>none</v>
      </c>
      <c r="N740" s="115">
        <f>LEN(Tableau14[[#This Row],[LABEL]])</f>
        <v>34</v>
      </c>
      <c r="O740" s="115">
        <v>15</v>
      </c>
      <c r="P740" s="115" t="e">
        <f>ROUND(Tableau14[[#This Row],[LEN]]*#REF!+#REF!,0)</f>
        <v>#REF!</v>
      </c>
    </row>
    <row r="741" spans="1:16" s="97" customFormat="1" x14ac:dyDescent="0.25">
      <c r="A741" s="41" t="s">
        <v>1532</v>
      </c>
      <c r="B741" s="42" t="s">
        <v>289</v>
      </c>
      <c r="C741" s="43" t="s">
        <v>849</v>
      </c>
      <c r="D741" s="74" t="s">
        <v>28</v>
      </c>
      <c r="E741" s="43" t="s">
        <v>667</v>
      </c>
      <c r="F741" s="43" t="s">
        <v>840</v>
      </c>
      <c r="G741" s="74" t="s">
        <v>68</v>
      </c>
      <c r="H741" s="74" t="s">
        <v>655</v>
      </c>
      <c r="I741" s="43"/>
      <c r="J741" s="44" t="s">
        <v>708</v>
      </c>
      <c r="K741" s="115">
        <f>ROUND(Tableau14[[#This Row],[LEN]]*7.27,0)</f>
        <v>80</v>
      </c>
      <c r="L741" s="115">
        <v>15</v>
      </c>
      <c r="M741" s="132" t="str">
        <f t="shared" si="5"/>
        <v>none</v>
      </c>
      <c r="N741" s="115">
        <f>LEN(Tableau14[[#This Row],[LABEL]])</f>
        <v>11</v>
      </c>
      <c r="O741" s="115">
        <v>15</v>
      </c>
      <c r="P741" s="115" t="e">
        <f>ROUND(Tableau14[[#This Row],[LEN]]*#REF!+#REF!,0)</f>
        <v>#REF!</v>
      </c>
    </row>
    <row r="742" spans="1:16" s="97" customFormat="1" x14ac:dyDescent="0.25">
      <c r="A742" s="45" t="s">
        <v>1536</v>
      </c>
      <c r="B742" s="46" t="s">
        <v>1532</v>
      </c>
      <c r="C742" s="47" t="s">
        <v>112</v>
      </c>
      <c r="D742" s="75" t="s">
        <v>28</v>
      </c>
      <c r="E742" s="47" t="s">
        <v>667</v>
      </c>
      <c r="F742" s="47" t="s">
        <v>2006</v>
      </c>
      <c r="G742" s="75" t="s">
        <v>68</v>
      </c>
      <c r="H742" s="75" t="s">
        <v>654</v>
      </c>
      <c r="I742" s="47"/>
      <c r="J742" s="48" t="s">
        <v>708</v>
      </c>
      <c r="K742" s="116">
        <f>ROUND(Tableau14[[#This Row],[LEN]]*7.27,0)</f>
        <v>167</v>
      </c>
      <c r="L742" s="116">
        <v>15</v>
      </c>
      <c r="M742" s="133" t="str">
        <f t="shared" si="5"/>
        <v>none</v>
      </c>
      <c r="N742" s="116">
        <f>LEN(Tableau14[[#This Row],[LABEL]])</f>
        <v>23</v>
      </c>
      <c r="O742" s="116">
        <v>15</v>
      </c>
      <c r="P742" s="116" t="e">
        <f>ROUND(Tableau14[[#This Row],[LEN]]*#REF!+#REF!,0)</f>
        <v>#REF!</v>
      </c>
    </row>
    <row r="743" spans="1:16" s="97" customFormat="1" x14ac:dyDescent="0.25">
      <c r="A743" s="45" t="s">
        <v>1537</v>
      </c>
      <c r="B743" s="46" t="s">
        <v>1532</v>
      </c>
      <c r="C743" s="47" t="s">
        <v>113</v>
      </c>
      <c r="D743" s="75" t="s">
        <v>28</v>
      </c>
      <c r="E743" s="47" t="s">
        <v>667</v>
      </c>
      <c r="F743" s="47" t="s">
        <v>2006</v>
      </c>
      <c r="G743" s="75" t="s">
        <v>68</v>
      </c>
      <c r="H743" s="75" t="s">
        <v>654</v>
      </c>
      <c r="I743" s="47"/>
      <c r="J743" s="48" t="s">
        <v>708</v>
      </c>
      <c r="K743" s="116">
        <f>ROUND(Tableau14[[#This Row],[LEN]]*7.27,0)</f>
        <v>233</v>
      </c>
      <c r="L743" s="116">
        <v>15</v>
      </c>
      <c r="M743" s="133" t="str">
        <f t="shared" si="5"/>
        <v>none</v>
      </c>
      <c r="N743" s="116">
        <f>LEN(Tableau14[[#This Row],[LABEL]])</f>
        <v>32</v>
      </c>
      <c r="O743" s="116">
        <v>15</v>
      </c>
      <c r="P743" s="116" t="e">
        <f>ROUND(Tableau14[[#This Row],[LEN]]*#REF!+#REF!,0)</f>
        <v>#REF!</v>
      </c>
    </row>
    <row r="744" spans="1:16" s="97" customFormat="1" x14ac:dyDescent="0.25">
      <c r="A744" s="41" t="s">
        <v>1533</v>
      </c>
      <c r="B744" s="42" t="s">
        <v>289</v>
      </c>
      <c r="C744" s="43" t="s">
        <v>122</v>
      </c>
      <c r="D744" s="74" t="s">
        <v>1514</v>
      </c>
      <c r="E744" s="43" t="s">
        <v>667</v>
      </c>
      <c r="F744" s="43" t="s">
        <v>1515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ROUND(Tableau14[[#This Row],[LEN]]*7.27,0)</f>
        <v>145</v>
      </c>
      <c r="L744" s="115">
        <v>15</v>
      </c>
      <c r="M744" s="132" t="str">
        <f t="shared" si="5"/>
        <v>none</v>
      </c>
      <c r="N744" s="115">
        <f>LEN(Tableau14[[#This Row],[LABEL]])</f>
        <v>20</v>
      </c>
      <c r="O744" s="115">
        <v>15</v>
      </c>
      <c r="P744" s="115" t="e">
        <f>ROUND(Tableau14[[#This Row],[LEN]]*#REF!+#REF!,0)</f>
        <v>#REF!</v>
      </c>
    </row>
    <row r="745" spans="1:16" s="97" customFormat="1" x14ac:dyDescent="0.25">
      <c r="A745" s="41" t="s">
        <v>1534</v>
      </c>
      <c r="B745" s="42" t="s">
        <v>289</v>
      </c>
      <c r="C745" s="43" t="s">
        <v>1538</v>
      </c>
      <c r="D745" s="74" t="s">
        <v>1539</v>
      </c>
      <c r="E745" s="43" t="s">
        <v>1177</v>
      </c>
      <c r="F745" s="43" t="s">
        <v>1084</v>
      </c>
      <c r="G745" s="74" t="s">
        <v>1977</v>
      </c>
      <c r="H745" s="74" t="s">
        <v>1131</v>
      </c>
      <c r="I745" s="43"/>
      <c r="J745" s="44" t="s">
        <v>708</v>
      </c>
      <c r="K745" s="115">
        <f>ROUND(Tableau14[[#This Row],[LEN]]*7.27,0)</f>
        <v>240</v>
      </c>
      <c r="L745" s="115">
        <v>15</v>
      </c>
      <c r="M745" s="132" t="str">
        <f t="shared" si="5"/>
        <v>none</v>
      </c>
      <c r="N745" s="115">
        <f>LEN(Tableau14[[#This Row],[LABEL]])</f>
        <v>33</v>
      </c>
      <c r="O745" s="115">
        <v>15</v>
      </c>
      <c r="P745" s="115" t="e">
        <f>ROUND(Tableau14[[#This Row],[LEN]]*#REF!+#REF!,0)</f>
        <v>#REF!</v>
      </c>
    </row>
    <row r="746" spans="1:16" s="97" customFormat="1" x14ac:dyDescent="0.25">
      <c r="A746" s="41" t="s">
        <v>1535</v>
      </c>
      <c r="B746" s="42" t="s">
        <v>289</v>
      </c>
      <c r="C746" s="43" t="s">
        <v>1540</v>
      </c>
      <c r="D746" s="74" t="s">
        <v>28</v>
      </c>
      <c r="E746" s="43" t="s">
        <v>667</v>
      </c>
      <c r="F746" s="43" t="s">
        <v>684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ROUND(Tableau14[[#This Row],[LEN]]*7.27,0)</f>
        <v>407</v>
      </c>
      <c r="L746" s="115">
        <v>15</v>
      </c>
      <c r="M746" s="132" t="str">
        <f t="shared" si="5"/>
        <v>none</v>
      </c>
      <c r="N746" s="115">
        <f>LEN(Tableau14[[#This Row],[LABEL]])</f>
        <v>56</v>
      </c>
      <c r="O746" s="115">
        <v>15</v>
      </c>
      <c r="P746" s="115" t="e">
        <f>ROUND(Tableau14[[#This Row],[LEN]]*#REF!+#REF!,0)</f>
        <v>#REF!</v>
      </c>
    </row>
    <row r="747" spans="1:16" s="273" customFormat="1" x14ac:dyDescent="0.25">
      <c r="A747" s="330" t="s">
        <v>290</v>
      </c>
      <c r="B747" s="331" t="s">
        <v>208</v>
      </c>
      <c r="C747" s="332" t="s">
        <v>5</v>
      </c>
      <c r="D747" s="333" t="s">
        <v>28</v>
      </c>
      <c r="E747" s="332" t="s">
        <v>668</v>
      </c>
      <c r="F747" s="332" t="s">
        <v>668</v>
      </c>
      <c r="G747" s="333" t="s">
        <v>68</v>
      </c>
      <c r="H747" s="333" t="str">
        <f>IFERROR(IF(SEARCH(".00.00.00.00.00",Tableau14[[#This Row],[name]],1)=7,"Division",""),"")</f>
        <v>Division</v>
      </c>
      <c r="I747" s="332"/>
      <c r="J747" s="334" t="s">
        <v>714</v>
      </c>
      <c r="K747" s="335">
        <f>ROUND(Tableau14[[#This Row],[LEN]]*7.27,0)</f>
        <v>73</v>
      </c>
      <c r="L747" s="335">
        <v>15</v>
      </c>
      <c r="M747" s="336" t="str">
        <f t="shared" si="5"/>
        <v>new</v>
      </c>
      <c r="N747" s="335">
        <f>LEN(Tableau14[[#This Row],[LABEL]])</f>
        <v>10</v>
      </c>
      <c r="O747" s="335">
        <v>15</v>
      </c>
      <c r="P747" s="335" t="e">
        <f>ROUND(Tableau14[[#This Row],[LEN]]*#REF!+#REF!,0)</f>
        <v>#REF!</v>
      </c>
    </row>
    <row r="748" spans="1:16" s="97" customFormat="1" x14ac:dyDescent="0.25">
      <c r="A748" s="41" t="s">
        <v>1541</v>
      </c>
      <c r="B748" s="42" t="s">
        <v>290</v>
      </c>
      <c r="C748" s="43" t="s">
        <v>738</v>
      </c>
      <c r="D748" s="74" t="s">
        <v>28</v>
      </c>
      <c r="E748" s="43" t="s">
        <v>662</v>
      </c>
      <c r="F748" s="43" t="s">
        <v>1543</v>
      </c>
      <c r="G748" s="74" t="s">
        <v>68</v>
      </c>
      <c r="H748" s="74" t="s">
        <v>56</v>
      </c>
      <c r="I748" s="43"/>
      <c r="J748" s="44" t="s">
        <v>708</v>
      </c>
      <c r="K748" s="115">
        <f>ROUND(Tableau14[[#This Row],[LEN]]*7.27,0)</f>
        <v>247</v>
      </c>
      <c r="L748" s="115">
        <v>15</v>
      </c>
      <c r="M748" s="132" t="str">
        <f t="shared" si="5"/>
        <v>none</v>
      </c>
      <c r="N748" s="115">
        <f>LEN(Tableau14[[#This Row],[LABEL]])</f>
        <v>34</v>
      </c>
      <c r="O748" s="115">
        <v>15</v>
      </c>
      <c r="P748" s="115" t="e">
        <f>ROUND(Tableau14[[#This Row],[LEN]]*#REF!+#REF!,0)</f>
        <v>#REF!</v>
      </c>
    </row>
    <row r="749" spans="1:16" s="97" customFormat="1" x14ac:dyDescent="0.25">
      <c r="A749" s="41" t="s">
        <v>1542</v>
      </c>
      <c r="B749" s="42" t="s">
        <v>290</v>
      </c>
      <c r="C749" s="43" t="s">
        <v>122</v>
      </c>
      <c r="D749" s="74" t="s">
        <v>1514</v>
      </c>
      <c r="E749" s="43" t="s">
        <v>667</v>
      </c>
      <c r="F749" s="43" t="s">
        <v>1515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ROUND(Tableau14[[#This Row],[LEN]]*7.27,0)</f>
        <v>145</v>
      </c>
      <c r="L749" s="115">
        <v>15</v>
      </c>
      <c r="M749" s="132" t="str">
        <f t="shared" si="5"/>
        <v>none</v>
      </c>
      <c r="N749" s="115">
        <f>LEN(Tableau14[[#This Row],[LABEL]])</f>
        <v>20</v>
      </c>
      <c r="O749" s="115">
        <v>15</v>
      </c>
      <c r="P749" s="115" t="e">
        <f>ROUND(Tableau14[[#This Row],[LEN]]*#REF!+#REF!,0)</f>
        <v>#REF!</v>
      </c>
    </row>
    <row r="750" spans="1:16" s="273" customFormat="1" x14ac:dyDescent="0.25">
      <c r="A750" s="330" t="s">
        <v>291</v>
      </c>
      <c r="B750" s="331" t="s">
        <v>208</v>
      </c>
      <c r="C750" s="332" t="s">
        <v>6</v>
      </c>
      <c r="D750" s="333" t="s">
        <v>28</v>
      </c>
      <c r="E750" s="332" t="s">
        <v>669</v>
      </c>
      <c r="F750" s="332" t="s">
        <v>669</v>
      </c>
      <c r="G750" s="333" t="s">
        <v>68</v>
      </c>
      <c r="H750" s="333" t="str">
        <f>IFERROR(IF(SEARCH(".00.00.00.00.00",Tableau14[[#This Row],[name]],1)=7,"Division",""),"")</f>
        <v>Division</v>
      </c>
      <c r="I750" s="332"/>
      <c r="J750" s="334" t="s">
        <v>715</v>
      </c>
      <c r="K750" s="335">
        <f>ROUND(Tableau14[[#This Row],[LEN]]*7.27,0)</f>
        <v>196</v>
      </c>
      <c r="L750" s="335">
        <v>15</v>
      </c>
      <c r="M750" s="336" t="str">
        <f t="shared" si="5"/>
        <v>new</v>
      </c>
      <c r="N750" s="335">
        <f>LEN(Tableau14[[#This Row],[LABEL]])</f>
        <v>27</v>
      </c>
      <c r="O750" s="335">
        <v>15</v>
      </c>
      <c r="P750" s="335" t="e">
        <f>ROUND(Tableau14[[#This Row],[LEN]]*#REF!+#REF!,0)</f>
        <v>#REF!</v>
      </c>
    </row>
    <row r="751" spans="1:16" s="97" customFormat="1" x14ac:dyDescent="0.25">
      <c r="A751" s="41" t="s">
        <v>449</v>
      </c>
      <c r="B751" s="42" t="s">
        <v>291</v>
      </c>
      <c r="C751" s="43" t="s">
        <v>164</v>
      </c>
      <c r="D751" s="74" t="s">
        <v>28</v>
      </c>
      <c r="E751" s="43" t="s">
        <v>669</v>
      </c>
      <c r="F751" s="43" t="s">
        <v>669</v>
      </c>
      <c r="G751" s="74" t="s">
        <v>68</v>
      </c>
      <c r="H751" s="74" t="s">
        <v>18</v>
      </c>
      <c r="I751" s="43"/>
      <c r="J751" s="44" t="s">
        <v>708</v>
      </c>
      <c r="K751" s="115">
        <f>ROUND(Tableau14[[#This Row],[LEN]]*7.27,0)</f>
        <v>131</v>
      </c>
      <c r="L751" s="115">
        <v>15</v>
      </c>
      <c r="M751" s="132" t="str">
        <f t="shared" si="5"/>
        <v>none</v>
      </c>
      <c r="N751" s="115">
        <f>LEN(Tableau14[[#This Row],[LABEL]])</f>
        <v>18</v>
      </c>
      <c r="O751" s="115">
        <v>15</v>
      </c>
      <c r="P751" s="115" t="e">
        <f>ROUND(Tableau14[[#This Row],[LEN]]*#REF!+#REF!,0)</f>
        <v>#REF!</v>
      </c>
    </row>
    <row r="752" spans="1:16" s="97" customFormat="1" x14ac:dyDescent="0.25">
      <c r="A752" s="41" t="s">
        <v>450</v>
      </c>
      <c r="B752" s="42" t="s">
        <v>291</v>
      </c>
      <c r="C752" s="43" t="s">
        <v>849</v>
      </c>
      <c r="D752" s="74" t="s">
        <v>28</v>
      </c>
      <c r="E752" s="43" t="s">
        <v>667</v>
      </c>
      <c r="F752" s="43" t="s">
        <v>840</v>
      </c>
      <c r="G752" s="74" t="s">
        <v>68</v>
      </c>
      <c r="H752" s="74" t="s">
        <v>655</v>
      </c>
      <c r="I752" s="43"/>
      <c r="J752" s="44" t="s">
        <v>708</v>
      </c>
      <c r="K752" s="115">
        <f>ROUND(Tableau14[[#This Row],[LEN]]*7.27,0)</f>
        <v>80</v>
      </c>
      <c r="L752" s="115">
        <v>15</v>
      </c>
      <c r="M752" s="132" t="str">
        <f t="shared" si="5"/>
        <v>none</v>
      </c>
      <c r="N752" s="115">
        <f>LEN(Tableau14[[#This Row],[LABEL]])</f>
        <v>11</v>
      </c>
      <c r="O752" s="115">
        <v>15</v>
      </c>
      <c r="P752" s="115" t="e">
        <f>ROUND(Tableau14[[#This Row],[LEN]]*#REF!+#REF!,0)</f>
        <v>#REF!</v>
      </c>
    </row>
    <row r="753" spans="1:16" s="97" customFormat="1" x14ac:dyDescent="0.25">
      <c r="A753" s="45" t="s">
        <v>468</v>
      </c>
      <c r="B753" s="46" t="s">
        <v>450</v>
      </c>
      <c r="C753" s="47" t="s">
        <v>112</v>
      </c>
      <c r="D753" s="75" t="s">
        <v>28</v>
      </c>
      <c r="E753" s="47" t="s">
        <v>667</v>
      </c>
      <c r="F753" s="47" t="s">
        <v>2006</v>
      </c>
      <c r="G753" s="75" t="s">
        <v>68</v>
      </c>
      <c r="H753" s="75" t="s">
        <v>654</v>
      </c>
      <c r="I753" s="47"/>
      <c r="J753" s="48" t="s">
        <v>708</v>
      </c>
      <c r="K753" s="116">
        <f>ROUND(Tableau14[[#This Row],[LEN]]*7.27,0)</f>
        <v>167</v>
      </c>
      <c r="L753" s="116">
        <v>15</v>
      </c>
      <c r="M753" s="133" t="str">
        <f t="shared" si="5"/>
        <v>none</v>
      </c>
      <c r="N753" s="116">
        <f>LEN(Tableau14[[#This Row],[LABEL]])</f>
        <v>23</v>
      </c>
      <c r="O753" s="116">
        <v>15</v>
      </c>
      <c r="P753" s="116" t="e">
        <f>ROUND(Tableau14[[#This Row],[LEN]]*#REF!+#REF!,0)</f>
        <v>#REF!</v>
      </c>
    </row>
    <row r="754" spans="1:16" s="97" customFormat="1" x14ac:dyDescent="0.25">
      <c r="A754" s="45" t="s">
        <v>469</v>
      </c>
      <c r="B754" s="46" t="s">
        <v>450</v>
      </c>
      <c r="C754" s="47" t="s">
        <v>113</v>
      </c>
      <c r="D754" s="75" t="s">
        <v>28</v>
      </c>
      <c r="E754" s="47" t="s">
        <v>667</v>
      </c>
      <c r="F754" s="47" t="s">
        <v>2006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ROUND(Tableau14[[#This Row],[LEN]]*7.27,0)</f>
        <v>233</v>
      </c>
      <c r="L754" s="116">
        <v>15</v>
      </c>
      <c r="M754" s="133" t="str">
        <f t="shared" si="5"/>
        <v>none</v>
      </c>
      <c r="N754" s="116">
        <f>LEN(Tableau14[[#This Row],[LABEL]])</f>
        <v>32</v>
      </c>
      <c r="O754" s="116">
        <v>15</v>
      </c>
      <c r="P754" s="116" t="e">
        <f>ROUND(Tableau14[[#This Row],[LEN]]*#REF!+#REF!,0)</f>
        <v>#REF!</v>
      </c>
    </row>
    <row r="755" spans="1:16" s="97" customFormat="1" x14ac:dyDescent="0.25">
      <c r="A755" s="41" t="s">
        <v>451</v>
      </c>
      <c r="B755" s="42" t="s">
        <v>291</v>
      </c>
      <c r="C755" s="43" t="s">
        <v>122</v>
      </c>
      <c r="D755" s="74" t="s">
        <v>1514</v>
      </c>
      <c r="E755" s="43" t="s">
        <v>667</v>
      </c>
      <c r="F755" s="43" t="s">
        <v>1515</v>
      </c>
      <c r="G755" s="74" t="s">
        <v>68</v>
      </c>
      <c r="H755" s="74" t="s">
        <v>656</v>
      </c>
      <c r="I755" s="43"/>
      <c r="J755" s="44" t="s">
        <v>708</v>
      </c>
      <c r="K755" s="115">
        <f>ROUND(Tableau14[[#This Row],[LEN]]*7.27,0)</f>
        <v>145</v>
      </c>
      <c r="L755" s="115">
        <v>15</v>
      </c>
      <c r="M755" s="132" t="str">
        <f t="shared" si="5"/>
        <v>none</v>
      </c>
      <c r="N755" s="115">
        <f>LEN(Tableau14[[#This Row],[LABEL]])</f>
        <v>20</v>
      </c>
      <c r="O755" s="115">
        <v>15</v>
      </c>
      <c r="P755" s="115" t="e">
        <f>ROUND(Tableau14[[#This Row],[LEN]]*#REF!+#REF!,0)</f>
        <v>#REF!</v>
      </c>
    </row>
    <row r="756" spans="1:16" s="97" customFormat="1" x14ac:dyDescent="0.25">
      <c r="A756" s="41" t="s">
        <v>452</v>
      </c>
      <c r="B756" s="42" t="s">
        <v>291</v>
      </c>
      <c r="C756" s="43" t="s">
        <v>165</v>
      </c>
      <c r="D756" s="74" t="s">
        <v>28</v>
      </c>
      <c r="E756" s="43" t="s">
        <v>669</v>
      </c>
      <c r="F756" s="43" t="s">
        <v>669</v>
      </c>
      <c r="G756" s="74" t="s">
        <v>68</v>
      </c>
      <c r="H756" s="74" t="s">
        <v>656</v>
      </c>
      <c r="I756" s="43"/>
      <c r="J756" s="44" t="s">
        <v>708</v>
      </c>
      <c r="K756" s="115">
        <f>ROUND(Tableau14[[#This Row],[LEN]]*7.27,0)</f>
        <v>189</v>
      </c>
      <c r="L756" s="115">
        <v>15</v>
      </c>
      <c r="M756" s="132" t="str">
        <f t="shared" si="5"/>
        <v>none</v>
      </c>
      <c r="N756" s="115">
        <f>LEN(Tableau14[[#This Row],[LABEL]])</f>
        <v>26</v>
      </c>
      <c r="O756" s="115">
        <v>15</v>
      </c>
      <c r="P756" s="115" t="e">
        <f>ROUND(Tableau14[[#This Row],[LEN]]*#REF!+#REF!,0)</f>
        <v>#REF!</v>
      </c>
    </row>
    <row r="757" spans="1:16" s="97" customFormat="1" x14ac:dyDescent="0.25">
      <c r="A757" s="41" t="s">
        <v>1619</v>
      </c>
      <c r="B757" s="42" t="s">
        <v>291</v>
      </c>
      <c r="C757" s="43" t="s">
        <v>1618</v>
      </c>
      <c r="D757" s="74" t="s">
        <v>28</v>
      </c>
      <c r="E757" s="43" t="s">
        <v>669</v>
      </c>
      <c r="F757" s="43" t="s">
        <v>678</v>
      </c>
      <c r="G757" s="74" t="s">
        <v>68</v>
      </c>
      <c r="H757" s="74" t="s">
        <v>656</v>
      </c>
      <c r="I757" s="43"/>
      <c r="J757" s="44" t="s">
        <v>708</v>
      </c>
      <c r="K757" s="115">
        <f>ROUND(Tableau14[[#This Row],[LEN]]*7.27,0)</f>
        <v>225</v>
      </c>
      <c r="L757" s="115">
        <v>15</v>
      </c>
      <c r="M757" s="132" t="str">
        <f t="shared" si="5"/>
        <v>none</v>
      </c>
      <c r="N757" s="115">
        <f>LEN(Tableau14[[#This Row],[LABEL]])</f>
        <v>31</v>
      </c>
      <c r="O757" s="115">
        <v>15</v>
      </c>
      <c r="P757" s="115" t="e">
        <f>ROUND(Tableau14[[#This Row],[LEN]]*#REF!+#REF!,0)</f>
        <v>#REF!</v>
      </c>
    </row>
    <row r="758" spans="1:16" s="273" customFormat="1" x14ac:dyDescent="0.25">
      <c r="A758" s="330" t="s">
        <v>292</v>
      </c>
      <c r="B758" s="331" t="s">
        <v>208</v>
      </c>
      <c r="C758" s="332" t="s">
        <v>7</v>
      </c>
      <c r="D758" s="333" t="s">
        <v>28</v>
      </c>
      <c r="E758" s="332" t="s">
        <v>670</v>
      </c>
      <c r="F758" s="332" t="s">
        <v>670</v>
      </c>
      <c r="G758" s="333" t="s">
        <v>68</v>
      </c>
      <c r="H758" s="333" t="str">
        <f>IFERROR(IF(SEARCH(".00.00.00.00.00",Tableau14[[#This Row],[name]],1)=7,"Division",""),"")</f>
        <v>Division</v>
      </c>
      <c r="I758" s="332"/>
      <c r="J758" s="334" t="s">
        <v>716</v>
      </c>
      <c r="K758" s="335">
        <f>ROUND(Tableau14[[#This Row],[LEN]]*7.27,0)</f>
        <v>189</v>
      </c>
      <c r="L758" s="335">
        <v>15</v>
      </c>
      <c r="M758" s="336" t="str">
        <f t="shared" si="5"/>
        <v>new</v>
      </c>
      <c r="N758" s="335">
        <f>LEN(Tableau14[[#This Row],[LABEL]])</f>
        <v>26</v>
      </c>
      <c r="O758" s="335">
        <v>15</v>
      </c>
      <c r="P758" s="335" t="e">
        <f>ROUND(Tableau14[[#This Row],[LEN]]*#REF!+#REF!,0)</f>
        <v>#REF!</v>
      </c>
    </row>
    <row r="759" spans="1:16" s="97" customFormat="1" x14ac:dyDescent="0.25">
      <c r="A759" s="41" t="s">
        <v>1544</v>
      </c>
      <c r="B759" s="42" t="s">
        <v>292</v>
      </c>
      <c r="C759" s="43" t="s">
        <v>1547</v>
      </c>
      <c r="D759" s="74" t="s">
        <v>28</v>
      </c>
      <c r="E759" s="43" t="s">
        <v>670</v>
      </c>
      <c r="F759" s="43" t="s">
        <v>670</v>
      </c>
      <c r="G759" s="74" t="s">
        <v>68</v>
      </c>
      <c r="H759" s="74" t="s">
        <v>656</v>
      </c>
      <c r="I759" s="43"/>
      <c r="J759" s="44" t="s">
        <v>708</v>
      </c>
      <c r="K759" s="115">
        <f>ROUND(Tableau14[[#This Row],[LEN]]*7.27,0)</f>
        <v>436</v>
      </c>
      <c r="L759" s="115">
        <v>13</v>
      </c>
      <c r="M759" s="132" t="str">
        <f t="shared" si="5"/>
        <v>none</v>
      </c>
      <c r="N759" s="115">
        <f>LEN(Tableau14[[#This Row],[LABEL]])</f>
        <v>60</v>
      </c>
      <c r="O759" s="115">
        <v>13</v>
      </c>
      <c r="P759" s="115" t="e">
        <f>ROUND(Tableau14[[#This Row],[LEN]]*#REF!+#REF!,0)</f>
        <v>#REF!</v>
      </c>
    </row>
    <row r="760" spans="1:16" s="97" customFormat="1" x14ac:dyDescent="0.25">
      <c r="A760" s="41" t="s">
        <v>1545</v>
      </c>
      <c r="B760" s="42" t="s">
        <v>292</v>
      </c>
      <c r="C760" s="43" t="s">
        <v>1548</v>
      </c>
      <c r="D760" s="74" t="s">
        <v>28</v>
      </c>
      <c r="E760" s="43" t="s">
        <v>670</v>
      </c>
      <c r="F760" s="43" t="s">
        <v>670</v>
      </c>
      <c r="G760" s="74" t="s">
        <v>68</v>
      </c>
      <c r="H760" s="74" t="s">
        <v>656</v>
      </c>
      <c r="I760" s="43"/>
      <c r="J760" s="44" t="s">
        <v>708</v>
      </c>
      <c r="K760" s="115">
        <f>ROUND(Tableau14[[#This Row],[LEN]]*7.27,0)</f>
        <v>414</v>
      </c>
      <c r="L760" s="115">
        <v>14</v>
      </c>
      <c r="M760" s="132" t="str">
        <f t="shared" si="5"/>
        <v>none</v>
      </c>
      <c r="N760" s="115">
        <f>LEN(Tableau14[[#This Row],[LABEL]])</f>
        <v>57</v>
      </c>
      <c r="O760" s="115">
        <v>14</v>
      </c>
      <c r="P760" s="115" t="e">
        <f>ROUND(Tableau14[[#This Row],[LEN]]*#REF!+#REF!,0)</f>
        <v>#REF!</v>
      </c>
    </row>
    <row r="761" spans="1:16" s="97" customFormat="1" x14ac:dyDescent="0.25">
      <c r="A761" s="41" t="s">
        <v>1546</v>
      </c>
      <c r="B761" s="42" t="s">
        <v>292</v>
      </c>
      <c r="C761" s="43" t="s">
        <v>122</v>
      </c>
      <c r="D761" s="74" t="s">
        <v>1514</v>
      </c>
      <c r="E761" s="43" t="s">
        <v>667</v>
      </c>
      <c r="F761" s="43" t="s">
        <v>1515</v>
      </c>
      <c r="G761" s="74" t="s">
        <v>68</v>
      </c>
      <c r="H761" s="74" t="s">
        <v>656</v>
      </c>
      <c r="I761" s="43"/>
      <c r="J761" s="44" t="s">
        <v>708</v>
      </c>
      <c r="K761" s="115">
        <f>ROUND(Tableau14[[#This Row],[LEN]]*7.27,0)</f>
        <v>145</v>
      </c>
      <c r="L761" s="115">
        <v>15</v>
      </c>
      <c r="M761" s="132" t="str">
        <f t="shared" si="5"/>
        <v>none</v>
      </c>
      <c r="N761" s="115">
        <f>LEN(Tableau14[[#This Row],[LABEL]])</f>
        <v>20</v>
      </c>
      <c r="O761" s="115">
        <v>15</v>
      </c>
      <c r="P761" s="115" t="e">
        <f>ROUND(Tableau14[[#This Row],[LEN]]*#REF!+#REF!,0)</f>
        <v>#REF!</v>
      </c>
    </row>
    <row r="762" spans="1:16" s="273" customFormat="1" x14ac:dyDescent="0.25">
      <c r="A762" s="330" t="s">
        <v>293</v>
      </c>
      <c r="B762" s="331" t="s">
        <v>208</v>
      </c>
      <c r="C762" s="332" t="s">
        <v>8</v>
      </c>
      <c r="D762" s="333" t="s">
        <v>28</v>
      </c>
      <c r="E762" s="332" t="s">
        <v>671</v>
      </c>
      <c r="F762" s="332" t="s">
        <v>671</v>
      </c>
      <c r="G762" s="333" t="s">
        <v>68</v>
      </c>
      <c r="H762" s="333" t="str">
        <f>IFERROR(IF(SEARCH(".00.00.00.00.00",Tableau14[[#This Row],[name]],1)=7,"Division",""),"")</f>
        <v>Division</v>
      </c>
      <c r="I762" s="332"/>
      <c r="J762" s="334" t="s">
        <v>717</v>
      </c>
      <c r="K762" s="335">
        <f>ROUND(Tableau14[[#This Row],[LEN]]*7.27,0)</f>
        <v>116</v>
      </c>
      <c r="L762" s="335">
        <v>15</v>
      </c>
      <c r="M762" s="336" t="str">
        <f t="shared" si="5"/>
        <v>new</v>
      </c>
      <c r="N762" s="335">
        <f>LEN(Tableau14[[#This Row],[LABEL]])</f>
        <v>16</v>
      </c>
      <c r="O762" s="335">
        <v>15</v>
      </c>
      <c r="P762" s="335" t="e">
        <f>ROUND(Tableau14[[#This Row],[LEN]]*#REF!+#REF!,0)</f>
        <v>#REF!</v>
      </c>
    </row>
    <row r="763" spans="1:16" s="97" customFormat="1" x14ac:dyDescent="0.25">
      <c r="A763" s="41" t="s">
        <v>1549</v>
      </c>
      <c r="B763" s="42" t="s">
        <v>293</v>
      </c>
      <c r="C763" s="43" t="s">
        <v>1552</v>
      </c>
      <c r="D763" s="74" t="s">
        <v>28</v>
      </c>
      <c r="E763" s="43" t="s">
        <v>671</v>
      </c>
      <c r="F763" s="43" t="s">
        <v>1177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ROUND(Tableau14[[#This Row],[LEN]]*7.27,0)</f>
        <v>291</v>
      </c>
      <c r="L763" s="115">
        <v>13</v>
      </c>
      <c r="M763" s="132" t="str">
        <f t="shared" si="5"/>
        <v>none</v>
      </c>
      <c r="N763" s="115">
        <f>LEN(Tableau14[[#This Row],[LABEL]])</f>
        <v>40</v>
      </c>
      <c r="O763" s="115">
        <v>13</v>
      </c>
      <c r="P763" s="115" t="e">
        <f>ROUND(Tableau14[[#This Row],[LEN]]*#REF!+#REF!,0)</f>
        <v>#REF!</v>
      </c>
    </row>
    <row r="764" spans="1:16" s="97" customFormat="1" x14ac:dyDescent="0.25">
      <c r="A764" s="41" t="s">
        <v>1550</v>
      </c>
      <c r="B764" s="42" t="s">
        <v>293</v>
      </c>
      <c r="C764" s="43" t="s">
        <v>1553</v>
      </c>
      <c r="D764" s="74" t="s">
        <v>28</v>
      </c>
      <c r="E764" s="43" t="s">
        <v>671</v>
      </c>
      <c r="F764" s="43" t="s">
        <v>1177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ROUND(Tableau14[[#This Row],[LEN]]*7.27,0)</f>
        <v>305</v>
      </c>
      <c r="L764" s="115">
        <v>14</v>
      </c>
      <c r="M764" s="132" t="str">
        <f t="shared" si="5"/>
        <v>none</v>
      </c>
      <c r="N764" s="115">
        <f>LEN(Tableau14[[#This Row],[LABEL]])</f>
        <v>42</v>
      </c>
      <c r="O764" s="115">
        <v>14</v>
      </c>
      <c r="P764" s="115" t="e">
        <f>ROUND(Tableau14[[#This Row],[LEN]]*#REF!+#REF!,0)</f>
        <v>#REF!</v>
      </c>
    </row>
    <row r="765" spans="1:16" s="97" customFormat="1" x14ac:dyDescent="0.25">
      <c r="A765" s="41" t="s">
        <v>1551</v>
      </c>
      <c r="B765" s="42" t="s">
        <v>293</v>
      </c>
      <c r="C765" s="43" t="s">
        <v>122</v>
      </c>
      <c r="D765" s="74" t="s">
        <v>1514</v>
      </c>
      <c r="E765" s="43" t="s">
        <v>667</v>
      </c>
      <c r="F765" s="43" t="s">
        <v>1515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ROUND(Tableau14[[#This Row],[LEN]]*7.27,0)</f>
        <v>145</v>
      </c>
      <c r="L765" s="115">
        <v>15</v>
      </c>
      <c r="M765" s="132" t="str">
        <f t="shared" si="5"/>
        <v>none</v>
      </c>
      <c r="N765" s="115">
        <f>LEN(Tableau14[[#This Row],[LABEL]])</f>
        <v>20</v>
      </c>
      <c r="O765" s="115">
        <v>15</v>
      </c>
      <c r="P765" s="115" t="e">
        <f>ROUND(Tableau14[[#This Row],[LEN]]*#REF!+#REF!,0)</f>
        <v>#REF!</v>
      </c>
    </row>
    <row r="766" spans="1:16" s="273" customFormat="1" x14ac:dyDescent="0.25">
      <c r="A766" s="330" t="s">
        <v>294</v>
      </c>
      <c r="B766" s="331" t="s">
        <v>208</v>
      </c>
      <c r="C766" s="332" t="s">
        <v>9</v>
      </c>
      <c r="D766" s="333" t="s">
        <v>28</v>
      </c>
      <c r="E766" s="332" t="s">
        <v>672</v>
      </c>
      <c r="F766" s="332" t="s">
        <v>672</v>
      </c>
      <c r="G766" s="333" t="s">
        <v>68</v>
      </c>
      <c r="H766" s="333" t="str">
        <f>IFERROR(IF(SEARCH(".00.00.00.00.00",Tableau14[[#This Row],[name]],1)=7,"Division",""),"")</f>
        <v>Division</v>
      </c>
      <c r="I766" s="332"/>
      <c r="J766" s="334" t="s">
        <v>718</v>
      </c>
      <c r="K766" s="335">
        <f>ROUND(Tableau14[[#This Row],[LEN]]*7.27,0)</f>
        <v>80</v>
      </c>
      <c r="L766" s="335">
        <v>15</v>
      </c>
      <c r="M766" s="336" t="str">
        <f t="shared" si="5"/>
        <v>new</v>
      </c>
      <c r="N766" s="335">
        <f>LEN(Tableau14[[#This Row],[LABEL]])</f>
        <v>11</v>
      </c>
      <c r="O766" s="335">
        <v>15</v>
      </c>
      <c r="P766" s="335" t="e">
        <f>ROUND(Tableau14[[#This Row],[LEN]]*#REF!+#REF!,0)</f>
        <v>#REF!</v>
      </c>
    </row>
    <row r="767" spans="1:16" s="97" customFormat="1" x14ac:dyDescent="0.25">
      <c r="A767" s="41" t="s">
        <v>515</v>
      </c>
      <c r="B767" s="42" t="s">
        <v>294</v>
      </c>
      <c r="C767" s="43" t="s">
        <v>511</v>
      </c>
      <c r="D767" s="74" t="s">
        <v>28</v>
      </c>
      <c r="E767" s="43" t="s">
        <v>672</v>
      </c>
      <c r="F767" s="43" t="s">
        <v>672</v>
      </c>
      <c r="G767" s="74" t="s">
        <v>68</v>
      </c>
      <c r="H767" s="74" t="s">
        <v>654</v>
      </c>
      <c r="I767" s="43"/>
      <c r="J767" s="44" t="s">
        <v>708</v>
      </c>
      <c r="K767" s="115">
        <f>ROUND(Tableau14[[#This Row],[LEN]]*7.27,0)</f>
        <v>305</v>
      </c>
      <c r="L767" s="115">
        <v>15</v>
      </c>
      <c r="M767" s="132" t="str">
        <f t="shared" si="5"/>
        <v>none</v>
      </c>
      <c r="N767" s="115">
        <f>LEN(Tableau14[[#This Row],[LABEL]])</f>
        <v>42</v>
      </c>
      <c r="O767" s="115">
        <v>15</v>
      </c>
      <c r="P767" s="115" t="e">
        <f>ROUND(Tableau14[[#This Row],[LEN]]*#REF!+#REF!,0)</f>
        <v>#REF!</v>
      </c>
    </row>
    <row r="768" spans="1:16" s="97" customFormat="1" x14ac:dyDescent="0.25">
      <c r="A768" s="41" t="s">
        <v>516</v>
      </c>
      <c r="B768" s="42" t="s">
        <v>294</v>
      </c>
      <c r="C768" s="43" t="s">
        <v>521</v>
      </c>
      <c r="D768" s="74" t="s">
        <v>28</v>
      </c>
      <c r="E768" s="43" t="s">
        <v>672</v>
      </c>
      <c r="F768" s="43" t="s">
        <v>672</v>
      </c>
      <c r="G768" s="74" t="s">
        <v>68</v>
      </c>
      <c r="H768" s="74" t="s">
        <v>655</v>
      </c>
      <c r="I768" s="43"/>
      <c r="J768" s="44" t="s">
        <v>708</v>
      </c>
      <c r="K768" s="115">
        <f>ROUND(Tableau14[[#This Row],[LEN]]*7.27,0)</f>
        <v>138</v>
      </c>
      <c r="L768" s="115">
        <v>15</v>
      </c>
      <c r="M768" s="132" t="str">
        <f t="shared" si="5"/>
        <v>none</v>
      </c>
      <c r="N768" s="115">
        <f>LEN(Tableau14[[#This Row],[LABEL]])</f>
        <v>19</v>
      </c>
      <c r="O768" s="115">
        <v>15</v>
      </c>
      <c r="P768" s="115" t="e">
        <f>ROUND(Tableau14[[#This Row],[LEN]]*#REF!+#REF!,0)</f>
        <v>#REF!</v>
      </c>
    </row>
    <row r="769" spans="1:16" s="97" customFormat="1" x14ac:dyDescent="0.25">
      <c r="A769" s="45" t="s">
        <v>522</v>
      </c>
      <c r="B769" s="46" t="s">
        <v>516</v>
      </c>
      <c r="C769" s="47" t="s">
        <v>536</v>
      </c>
      <c r="D769" s="75" t="s">
        <v>28</v>
      </c>
      <c r="E769" s="47" t="s">
        <v>672</v>
      </c>
      <c r="F769" s="47" t="s">
        <v>672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ROUND(Tableau14[[#This Row],[LEN]]*7.27,0)</f>
        <v>174</v>
      </c>
      <c r="L769" s="116">
        <v>15</v>
      </c>
      <c r="M769" s="133" t="str">
        <f t="shared" si="5"/>
        <v>none</v>
      </c>
      <c r="N769" s="116">
        <f>LEN(Tableau14[[#This Row],[LABEL]])</f>
        <v>24</v>
      </c>
      <c r="O769" s="116">
        <v>15</v>
      </c>
      <c r="P769" s="116" t="e">
        <f>ROUND(Tableau14[[#This Row],[LEN]]*#REF!+#REF!,0)</f>
        <v>#REF!</v>
      </c>
    </row>
    <row r="770" spans="1:16" s="97" customFormat="1" x14ac:dyDescent="0.25">
      <c r="A770" s="45" t="s">
        <v>523</v>
      </c>
      <c r="B770" s="46" t="s">
        <v>516</v>
      </c>
      <c r="C770" s="47" t="s">
        <v>535</v>
      </c>
      <c r="D770" s="75" t="s">
        <v>28</v>
      </c>
      <c r="E770" s="47" t="s">
        <v>672</v>
      </c>
      <c r="F770" s="47" t="s">
        <v>672</v>
      </c>
      <c r="G770" s="75" t="s">
        <v>68</v>
      </c>
      <c r="H770" s="75" t="s">
        <v>654</v>
      </c>
      <c r="I770" s="47"/>
      <c r="J770" s="48" t="s">
        <v>708</v>
      </c>
      <c r="K770" s="116">
        <f>ROUND(Tableau14[[#This Row],[LEN]]*7.27,0)</f>
        <v>218</v>
      </c>
      <c r="L770" s="116">
        <v>15</v>
      </c>
      <c r="M770" s="133" t="str">
        <f t="shared" si="5"/>
        <v>none</v>
      </c>
      <c r="N770" s="116">
        <f>LEN(Tableau14[[#This Row],[LABEL]])</f>
        <v>30</v>
      </c>
      <c r="O770" s="116">
        <v>15</v>
      </c>
      <c r="P770" s="116" t="e">
        <f>ROUND(Tableau14[[#This Row],[LEN]]*#REF!+#REF!,0)</f>
        <v>#REF!</v>
      </c>
    </row>
    <row r="771" spans="1:16" s="97" customFormat="1" x14ac:dyDescent="0.25">
      <c r="A771" s="45" t="s">
        <v>524</v>
      </c>
      <c r="B771" s="46" t="s">
        <v>516</v>
      </c>
      <c r="C771" s="47" t="s">
        <v>530</v>
      </c>
      <c r="D771" s="75" t="s">
        <v>28</v>
      </c>
      <c r="E771" s="47" t="s">
        <v>672</v>
      </c>
      <c r="F771" s="47" t="s">
        <v>672</v>
      </c>
      <c r="G771" s="75" t="s">
        <v>68</v>
      </c>
      <c r="H771" s="75" t="s">
        <v>656</v>
      </c>
      <c r="I771" s="47"/>
      <c r="J771" s="48" t="s">
        <v>708</v>
      </c>
      <c r="K771" s="116">
        <f>ROUND(Tableau14[[#This Row],[LEN]]*7.27,0)</f>
        <v>327</v>
      </c>
      <c r="L771" s="116">
        <v>15</v>
      </c>
      <c r="M771" s="133" t="str">
        <f t="shared" si="5"/>
        <v>none</v>
      </c>
      <c r="N771" s="116">
        <f>LEN(Tableau14[[#This Row],[LABEL]])</f>
        <v>45</v>
      </c>
      <c r="O771" s="116">
        <v>15</v>
      </c>
      <c r="P771" s="116" t="e">
        <f>ROUND(Tableau14[[#This Row],[LEN]]*#REF!+#REF!,0)</f>
        <v>#REF!</v>
      </c>
    </row>
    <row r="772" spans="1:16" s="97" customFormat="1" x14ac:dyDescent="0.25">
      <c r="A772" s="45" t="s">
        <v>525</v>
      </c>
      <c r="B772" s="46" t="s">
        <v>516</v>
      </c>
      <c r="C772" s="47" t="s">
        <v>531</v>
      </c>
      <c r="D772" s="75" t="s">
        <v>28</v>
      </c>
      <c r="E772" s="47" t="s">
        <v>672</v>
      </c>
      <c r="F772" s="47" t="s">
        <v>672</v>
      </c>
      <c r="G772" s="75" t="s">
        <v>68</v>
      </c>
      <c r="H772" s="75" t="s">
        <v>654</v>
      </c>
      <c r="I772" s="47"/>
      <c r="J772" s="48" t="s">
        <v>708</v>
      </c>
      <c r="K772" s="116">
        <f>ROUND(Tableau14[[#This Row],[LEN]]*7.27,0)</f>
        <v>400</v>
      </c>
      <c r="L772" s="116">
        <v>15</v>
      </c>
      <c r="M772" s="133" t="str">
        <f t="shared" si="5"/>
        <v>none</v>
      </c>
      <c r="N772" s="116">
        <f>LEN(Tableau14[[#This Row],[LABEL]])</f>
        <v>55</v>
      </c>
      <c r="O772" s="116">
        <v>15</v>
      </c>
      <c r="P772" s="116" t="e">
        <f>ROUND(Tableau14[[#This Row],[LEN]]*#REF!+#REF!,0)</f>
        <v>#REF!</v>
      </c>
    </row>
    <row r="773" spans="1:16" s="97" customFormat="1" x14ac:dyDescent="0.25">
      <c r="A773" s="45" t="s">
        <v>526</v>
      </c>
      <c r="B773" s="46" t="s">
        <v>516</v>
      </c>
      <c r="C773" s="47" t="s">
        <v>532</v>
      </c>
      <c r="D773" s="75" t="s">
        <v>28</v>
      </c>
      <c r="E773" s="47" t="s">
        <v>672</v>
      </c>
      <c r="F773" s="47" t="s">
        <v>672</v>
      </c>
      <c r="G773" s="75" t="s">
        <v>68</v>
      </c>
      <c r="H773" s="75" t="s">
        <v>18</v>
      </c>
      <c r="I773" s="47"/>
      <c r="J773" s="48" t="s">
        <v>708</v>
      </c>
      <c r="K773" s="116">
        <f>ROUND(Tableau14[[#This Row],[LEN]]*7.27,0)</f>
        <v>589</v>
      </c>
      <c r="L773" s="116">
        <v>15</v>
      </c>
      <c r="M773" s="133" t="str">
        <f t="shared" si="5"/>
        <v>none</v>
      </c>
      <c r="N773" s="116">
        <f>LEN(Tableau14[[#This Row],[LABEL]])</f>
        <v>81</v>
      </c>
      <c r="O773" s="116">
        <v>15</v>
      </c>
      <c r="P773" s="116" t="e">
        <f>ROUND(Tableau14[[#This Row],[LEN]]*#REF!+#REF!,0)</f>
        <v>#REF!</v>
      </c>
    </row>
    <row r="774" spans="1:16" s="97" customFormat="1" x14ac:dyDescent="0.25">
      <c r="A774" s="45" t="s">
        <v>527</v>
      </c>
      <c r="B774" s="46" t="s">
        <v>516</v>
      </c>
      <c r="C774" s="47" t="s">
        <v>533</v>
      </c>
      <c r="D774" s="75" t="s">
        <v>28</v>
      </c>
      <c r="E774" s="47" t="s">
        <v>672</v>
      </c>
      <c r="F774" s="47" t="s">
        <v>672</v>
      </c>
      <c r="G774" s="75" t="s">
        <v>68</v>
      </c>
      <c r="H774" s="75" t="s">
        <v>654</v>
      </c>
      <c r="I774" s="47"/>
      <c r="J774" s="48" t="s">
        <v>708</v>
      </c>
      <c r="K774" s="116">
        <f>ROUND(Tableau14[[#This Row],[LEN]]*7.27,0)</f>
        <v>400</v>
      </c>
      <c r="L774" s="116">
        <v>15</v>
      </c>
      <c r="M774" s="133" t="str">
        <f t="shared" si="5"/>
        <v>none</v>
      </c>
      <c r="N774" s="116">
        <f>LEN(Tableau14[[#This Row],[LABEL]])</f>
        <v>55</v>
      </c>
      <c r="O774" s="116">
        <v>15</v>
      </c>
      <c r="P774" s="116" t="e">
        <f>ROUND(Tableau14[[#This Row],[LEN]]*#REF!+#REF!,0)</f>
        <v>#REF!</v>
      </c>
    </row>
    <row r="775" spans="1:16" s="97" customFormat="1" x14ac:dyDescent="0.25">
      <c r="A775" s="45" t="s">
        <v>528</v>
      </c>
      <c r="B775" s="46" t="s">
        <v>516</v>
      </c>
      <c r="C775" s="47" t="s">
        <v>534</v>
      </c>
      <c r="D775" s="75" t="s">
        <v>28</v>
      </c>
      <c r="E775" s="47" t="s">
        <v>672</v>
      </c>
      <c r="F775" s="47" t="s">
        <v>672</v>
      </c>
      <c r="G775" s="75" t="s">
        <v>68</v>
      </c>
      <c r="H775" s="75" t="s">
        <v>656</v>
      </c>
      <c r="I775" s="47"/>
      <c r="J775" s="48" t="s">
        <v>708</v>
      </c>
      <c r="K775" s="116">
        <f>ROUND(Tableau14[[#This Row],[LEN]]*7.27,0)</f>
        <v>356</v>
      </c>
      <c r="L775" s="116">
        <v>15</v>
      </c>
      <c r="M775" s="133" t="str">
        <f t="shared" si="5"/>
        <v>none</v>
      </c>
      <c r="N775" s="116">
        <f>LEN(Tableau14[[#This Row],[LABEL]])</f>
        <v>49</v>
      </c>
      <c r="O775" s="116">
        <v>15</v>
      </c>
      <c r="P775" s="116" t="e">
        <f>ROUND(Tableau14[[#This Row],[LEN]]*#REF!+#REF!,0)</f>
        <v>#REF!</v>
      </c>
    </row>
    <row r="776" spans="1:16" s="97" customFormat="1" x14ac:dyDescent="0.25">
      <c r="A776" s="45" t="s">
        <v>529</v>
      </c>
      <c r="B776" s="46" t="s">
        <v>516</v>
      </c>
      <c r="C776" s="47" t="s">
        <v>537</v>
      </c>
      <c r="D776" s="75" t="s">
        <v>28</v>
      </c>
      <c r="E776" s="47" t="s">
        <v>672</v>
      </c>
      <c r="F776" s="47" t="s">
        <v>672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ROUND(Tableau14[[#This Row],[LEN]]*7.27,0)</f>
        <v>225</v>
      </c>
      <c r="L776" s="116">
        <v>15</v>
      </c>
      <c r="M776" s="133" t="str">
        <f t="shared" si="5"/>
        <v>none</v>
      </c>
      <c r="N776" s="116">
        <f>LEN(Tableau14[[#This Row],[LABEL]])</f>
        <v>31</v>
      </c>
      <c r="O776" s="116">
        <v>15</v>
      </c>
      <c r="P776" s="116" t="e">
        <f>ROUND(Tableau14[[#This Row],[LEN]]*#REF!+#REF!,0)</f>
        <v>#REF!</v>
      </c>
    </row>
    <row r="777" spans="1:16" s="97" customFormat="1" x14ac:dyDescent="0.25">
      <c r="A777" s="41" t="s">
        <v>517</v>
      </c>
      <c r="B777" s="42" t="s">
        <v>294</v>
      </c>
      <c r="C777" s="43" t="s">
        <v>512</v>
      </c>
      <c r="D777" s="74" t="s">
        <v>28</v>
      </c>
      <c r="E777" s="43" t="s">
        <v>667</v>
      </c>
      <c r="F777" s="43" t="s">
        <v>672</v>
      </c>
      <c r="G777" s="74" t="s">
        <v>68</v>
      </c>
      <c r="H777" s="74" t="s">
        <v>654</v>
      </c>
      <c r="I777" s="43"/>
      <c r="J777" s="44" t="s">
        <v>708</v>
      </c>
      <c r="K777" s="115">
        <f>ROUND(Tableau14[[#This Row],[LEN]]*7.27,0)</f>
        <v>80</v>
      </c>
      <c r="L777" s="115">
        <v>15</v>
      </c>
      <c r="M777" s="132" t="str">
        <f t="shared" si="5"/>
        <v>none</v>
      </c>
      <c r="N777" s="115">
        <f>LEN(Tableau14[[#This Row],[LABEL]])</f>
        <v>11</v>
      </c>
      <c r="O777" s="115">
        <v>15</v>
      </c>
      <c r="P777" s="115" t="e">
        <f>ROUND(Tableau14[[#This Row],[LEN]]*#REF!+#REF!,0)</f>
        <v>#REF!</v>
      </c>
    </row>
    <row r="778" spans="1:16" s="97" customFormat="1" x14ac:dyDescent="0.25">
      <c r="A778" s="41" t="s">
        <v>518</v>
      </c>
      <c r="B778" s="42" t="s">
        <v>294</v>
      </c>
      <c r="C778" s="43" t="s">
        <v>513</v>
      </c>
      <c r="D778" s="74" t="s">
        <v>28</v>
      </c>
      <c r="E778" s="43" t="s">
        <v>672</v>
      </c>
      <c r="F778" s="43" t="s">
        <v>672</v>
      </c>
      <c r="G778" s="74" t="s">
        <v>68</v>
      </c>
      <c r="H778" s="74" t="s">
        <v>654</v>
      </c>
      <c r="I778" s="43"/>
      <c r="J778" s="44" t="s">
        <v>708</v>
      </c>
      <c r="K778" s="115">
        <f>ROUND(Tableau14[[#This Row],[LEN]]*7.27,0)</f>
        <v>378</v>
      </c>
      <c r="L778" s="115">
        <v>15</v>
      </c>
      <c r="M778" s="132" t="str">
        <f t="shared" si="5"/>
        <v>none</v>
      </c>
      <c r="N778" s="115">
        <f>LEN(Tableau14[[#This Row],[LABEL]])</f>
        <v>52</v>
      </c>
      <c r="O778" s="115">
        <v>15</v>
      </c>
      <c r="P778" s="115" t="e">
        <f>ROUND(Tableau14[[#This Row],[LEN]]*#REF!+#REF!,0)</f>
        <v>#REF!</v>
      </c>
    </row>
    <row r="779" spans="1:16" s="97" customFormat="1" x14ac:dyDescent="0.25">
      <c r="A779" s="41" t="s">
        <v>519</v>
      </c>
      <c r="B779" s="42" t="s">
        <v>294</v>
      </c>
      <c r="C779" s="43" t="s">
        <v>514</v>
      </c>
      <c r="D779" s="74" t="s">
        <v>28</v>
      </c>
      <c r="E779" s="43" t="s">
        <v>672</v>
      </c>
      <c r="F779" s="43" t="s">
        <v>672</v>
      </c>
      <c r="G779" s="74" t="s">
        <v>68</v>
      </c>
      <c r="H779" s="74" t="s">
        <v>656</v>
      </c>
      <c r="I779" s="43"/>
      <c r="J779" s="44" t="s">
        <v>708</v>
      </c>
      <c r="K779" s="115">
        <f>ROUND(Tableau14[[#This Row],[LEN]]*7.27,0)</f>
        <v>334</v>
      </c>
      <c r="L779" s="115">
        <v>15</v>
      </c>
      <c r="M779" s="132" t="str">
        <f t="shared" si="5"/>
        <v>none</v>
      </c>
      <c r="N779" s="115">
        <f>LEN(Tableau14[[#This Row],[LABEL]])</f>
        <v>46</v>
      </c>
      <c r="O779" s="115">
        <v>15</v>
      </c>
      <c r="P779" s="115" t="e">
        <f>ROUND(Tableau14[[#This Row],[LEN]]*#REF!+#REF!,0)</f>
        <v>#REF!</v>
      </c>
    </row>
    <row r="780" spans="1:16" s="97" customFormat="1" x14ac:dyDescent="0.25">
      <c r="A780" s="41" t="s">
        <v>520</v>
      </c>
      <c r="B780" s="42" t="s">
        <v>294</v>
      </c>
      <c r="C780" s="43" t="s">
        <v>1529</v>
      </c>
      <c r="D780" s="74" t="s">
        <v>28</v>
      </c>
      <c r="E780" s="43" t="s">
        <v>672</v>
      </c>
      <c r="F780" s="43" t="s">
        <v>1530</v>
      </c>
      <c r="G780" s="74" t="s">
        <v>68</v>
      </c>
      <c r="H780" s="74" t="s">
        <v>656</v>
      </c>
      <c r="I780" s="43"/>
      <c r="J780" s="44" t="s">
        <v>708</v>
      </c>
      <c r="K780" s="115">
        <f>ROUND(Tableau14[[#This Row],[LEN]]*7.27,0)</f>
        <v>218</v>
      </c>
      <c r="L780" s="115">
        <v>15</v>
      </c>
      <c r="M780" s="132" t="str">
        <f t="shared" si="5"/>
        <v>none</v>
      </c>
      <c r="N780" s="115">
        <f>LEN(Tableau14[[#This Row],[LABEL]])</f>
        <v>30</v>
      </c>
      <c r="O780" s="115">
        <v>15</v>
      </c>
      <c r="P780" s="115" t="e">
        <f>ROUND(Tableau14[[#This Row],[LEN]]*#REF!+#REF!,0)</f>
        <v>#REF!</v>
      </c>
    </row>
    <row r="781" spans="1:16" s="273" customFormat="1" x14ac:dyDescent="0.25">
      <c r="A781" s="330" t="s">
        <v>295</v>
      </c>
      <c r="B781" s="331" t="s">
        <v>208</v>
      </c>
      <c r="C781" s="332" t="s">
        <v>10</v>
      </c>
      <c r="D781" s="333" t="s">
        <v>28</v>
      </c>
      <c r="E781" s="332" t="s">
        <v>673</v>
      </c>
      <c r="F781" s="332" t="s">
        <v>673</v>
      </c>
      <c r="G781" s="333" t="s">
        <v>68</v>
      </c>
      <c r="H781" s="333" t="str">
        <f>IFERROR(IF(SEARCH(".00.00.00.00.00",Tableau14[[#This Row],[name]],1)=7,"Division",""),"")</f>
        <v>Division</v>
      </c>
      <c r="I781" s="332"/>
      <c r="J781" s="334" t="s">
        <v>719</v>
      </c>
      <c r="K781" s="335">
        <f>ROUND(Tableau14[[#This Row],[LEN]]*7.27,0)</f>
        <v>109</v>
      </c>
      <c r="L781" s="335">
        <v>15</v>
      </c>
      <c r="M781" s="336" t="str">
        <f t="shared" si="5"/>
        <v>new</v>
      </c>
      <c r="N781" s="335">
        <f>LEN(Tableau14[[#This Row],[LABEL]])</f>
        <v>15</v>
      </c>
      <c r="O781" s="335">
        <v>15</v>
      </c>
      <c r="P781" s="335" t="e">
        <f>ROUND(Tableau14[[#This Row],[LEN]]*#REF!+#REF!,0)</f>
        <v>#REF!</v>
      </c>
    </row>
    <row r="782" spans="1:16" s="97" customFormat="1" x14ac:dyDescent="0.25">
      <c r="A782" s="41" t="s">
        <v>1554</v>
      </c>
      <c r="B782" s="42" t="s">
        <v>295</v>
      </c>
      <c r="C782" s="43" t="s">
        <v>849</v>
      </c>
      <c r="D782" s="74" t="s">
        <v>28</v>
      </c>
      <c r="E782" s="43" t="s">
        <v>667</v>
      </c>
      <c r="F782" s="43" t="s">
        <v>840</v>
      </c>
      <c r="G782" s="74" t="s">
        <v>68</v>
      </c>
      <c r="H782" s="74" t="s">
        <v>655</v>
      </c>
      <c r="I782" s="43"/>
      <c r="J782" s="44" t="s">
        <v>708</v>
      </c>
      <c r="K782" s="115">
        <f>ROUND(Tableau14[[#This Row],[LEN]]*7.27,0)</f>
        <v>80</v>
      </c>
      <c r="L782" s="115">
        <v>15</v>
      </c>
      <c r="M782" s="132" t="str">
        <f t="shared" si="5"/>
        <v>none</v>
      </c>
      <c r="N782" s="115">
        <f>LEN(Tableau14[[#This Row],[LABEL]])</f>
        <v>11</v>
      </c>
      <c r="O782" s="115">
        <v>15</v>
      </c>
      <c r="P782" s="115" t="e">
        <f>ROUND(Tableau14[[#This Row],[LEN]]*#REF!+#REF!,0)</f>
        <v>#REF!</v>
      </c>
    </row>
    <row r="783" spans="1:16" s="97" customFormat="1" x14ac:dyDescent="0.25">
      <c r="A783" s="45" t="s">
        <v>1557</v>
      </c>
      <c r="B783" s="46" t="s">
        <v>1554</v>
      </c>
      <c r="C783" s="47" t="s">
        <v>112</v>
      </c>
      <c r="D783" s="75" t="s">
        <v>28</v>
      </c>
      <c r="E783" s="47" t="s">
        <v>667</v>
      </c>
      <c r="F783" s="47" t="s">
        <v>2006</v>
      </c>
      <c r="G783" s="75" t="s">
        <v>68</v>
      </c>
      <c r="H783" s="75" t="s">
        <v>654</v>
      </c>
      <c r="I783" s="47"/>
      <c r="J783" s="48" t="s">
        <v>708</v>
      </c>
      <c r="K783" s="116">
        <f>ROUND(Tableau14[[#This Row],[LEN]]*7.27,0)</f>
        <v>167</v>
      </c>
      <c r="L783" s="116">
        <v>15</v>
      </c>
      <c r="M783" s="133" t="str">
        <f t="shared" si="5"/>
        <v>none</v>
      </c>
      <c r="N783" s="116">
        <f>LEN(Tableau14[[#This Row],[LABEL]])</f>
        <v>23</v>
      </c>
      <c r="O783" s="116">
        <v>15</v>
      </c>
      <c r="P783" s="116" t="e">
        <f>ROUND(Tableau14[[#This Row],[LEN]]*#REF!+#REF!,0)</f>
        <v>#REF!</v>
      </c>
    </row>
    <row r="784" spans="1:16" s="97" customFormat="1" x14ac:dyDescent="0.25">
      <c r="A784" s="45" t="s">
        <v>1558</v>
      </c>
      <c r="B784" s="46" t="s">
        <v>1554</v>
      </c>
      <c r="C784" s="47" t="s">
        <v>113</v>
      </c>
      <c r="D784" s="75" t="s">
        <v>28</v>
      </c>
      <c r="E784" s="47" t="s">
        <v>667</v>
      </c>
      <c r="F784" s="47" t="s">
        <v>2006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ROUND(Tableau14[[#This Row],[LEN]]*7.27,0)</f>
        <v>233</v>
      </c>
      <c r="L784" s="116">
        <v>15</v>
      </c>
      <c r="M784" s="133" t="str">
        <f t="shared" si="5"/>
        <v>none</v>
      </c>
      <c r="N784" s="116">
        <f>LEN(Tableau14[[#This Row],[LABEL]])</f>
        <v>32</v>
      </c>
      <c r="O784" s="116">
        <v>15</v>
      </c>
      <c r="P784" s="116" t="e">
        <f>ROUND(Tableau14[[#This Row],[LEN]]*#REF!+#REF!,0)</f>
        <v>#REF!</v>
      </c>
    </row>
    <row r="785" spans="1:16" s="97" customFormat="1" x14ac:dyDescent="0.25">
      <c r="A785" s="41" t="s">
        <v>1555</v>
      </c>
      <c r="B785" s="42" t="s">
        <v>295</v>
      </c>
      <c r="C785" s="43" t="s">
        <v>1559</v>
      </c>
      <c r="D785" s="74" t="s">
        <v>28</v>
      </c>
      <c r="E785" s="43" t="s">
        <v>673</v>
      </c>
      <c r="F785" s="43" t="s">
        <v>1177</v>
      </c>
      <c r="G785" s="74" t="s">
        <v>68</v>
      </c>
      <c r="H785" s="74" t="s">
        <v>654</v>
      </c>
      <c r="I785" s="43"/>
      <c r="J785" s="44" t="s">
        <v>708</v>
      </c>
      <c r="K785" s="115">
        <f>ROUND(Tableau14[[#This Row],[LEN]]*7.27,0)</f>
        <v>473</v>
      </c>
      <c r="L785" s="115">
        <v>15</v>
      </c>
      <c r="M785" s="132" t="str">
        <f t="shared" si="5"/>
        <v>none</v>
      </c>
      <c r="N785" s="115">
        <f>LEN(Tableau14[[#This Row],[LABEL]])</f>
        <v>65</v>
      </c>
      <c r="O785" s="115">
        <v>15</v>
      </c>
      <c r="P785" s="115" t="e">
        <f>ROUND(Tableau14[[#This Row],[LEN]]*#REF!+#REF!,0)</f>
        <v>#REF!</v>
      </c>
    </row>
    <row r="786" spans="1:16" s="97" customFormat="1" x14ac:dyDescent="0.25">
      <c r="A786" s="41" t="s">
        <v>1556</v>
      </c>
      <c r="B786" s="42" t="s">
        <v>295</v>
      </c>
      <c r="C786" s="43" t="s">
        <v>1560</v>
      </c>
      <c r="D786" s="74" t="s">
        <v>28</v>
      </c>
      <c r="E786" s="43" t="s">
        <v>673</v>
      </c>
      <c r="F786" s="43" t="s">
        <v>1177</v>
      </c>
      <c r="G786" s="74" t="s">
        <v>68</v>
      </c>
      <c r="H786" s="74" t="s">
        <v>654</v>
      </c>
      <c r="I786" s="43"/>
      <c r="J786" s="44" t="s">
        <v>708</v>
      </c>
      <c r="K786" s="115">
        <f>ROUND(Tableau14[[#This Row],[LEN]]*7.27,0)</f>
        <v>225</v>
      </c>
      <c r="L786" s="115">
        <v>15</v>
      </c>
      <c r="M786" s="132" t="str">
        <f t="shared" si="5"/>
        <v>none</v>
      </c>
      <c r="N786" s="115">
        <f>LEN(Tableau14[[#This Row],[LABEL]])</f>
        <v>31</v>
      </c>
      <c r="O786" s="115">
        <v>15</v>
      </c>
      <c r="P786" s="115" t="e">
        <f>ROUND(Tableau14[[#This Row],[LEN]]*#REF!+#REF!,0)</f>
        <v>#REF!</v>
      </c>
    </row>
    <row r="787" spans="1:16" s="273" customFormat="1" x14ac:dyDescent="0.25">
      <c r="A787" s="330" t="s">
        <v>296</v>
      </c>
      <c r="B787" s="331" t="s">
        <v>208</v>
      </c>
      <c r="C787" s="332" t="s">
        <v>11</v>
      </c>
      <c r="D787" s="333" t="s">
        <v>28</v>
      </c>
      <c r="E787" s="332" t="s">
        <v>674</v>
      </c>
      <c r="F787" s="332" t="s">
        <v>674</v>
      </c>
      <c r="G787" s="333" t="s">
        <v>68</v>
      </c>
      <c r="H787" s="333" t="str">
        <f>IFERROR(IF(SEARCH(".00.00.00.00.00",Tableau14[[#This Row],[name]],1)=7,"Division",""),"")</f>
        <v>Division</v>
      </c>
      <c r="I787" s="332"/>
      <c r="J787" s="334" t="s">
        <v>720</v>
      </c>
      <c r="K787" s="335">
        <f>ROUND(Tableau14[[#This Row],[LEN]]*7.27,0)</f>
        <v>51</v>
      </c>
      <c r="L787" s="335">
        <v>15</v>
      </c>
      <c r="M787" s="336" t="str">
        <f t="shared" si="5"/>
        <v>new</v>
      </c>
      <c r="N787" s="335">
        <f>LEN(Tableau14[[#This Row],[LABEL]])</f>
        <v>7</v>
      </c>
      <c r="O787" s="335">
        <v>15</v>
      </c>
      <c r="P787" s="335" t="e">
        <f>ROUND(Tableau14[[#This Row],[LEN]]*#REF!+#REF!,0)</f>
        <v>#REF!</v>
      </c>
    </row>
    <row r="788" spans="1:16" s="97" customFormat="1" x14ac:dyDescent="0.25">
      <c r="A788" s="41" t="s">
        <v>1561</v>
      </c>
      <c r="B788" s="42" t="s">
        <v>296</v>
      </c>
      <c r="C788" s="43" t="s">
        <v>1564</v>
      </c>
      <c r="D788" s="74" t="s">
        <v>28</v>
      </c>
      <c r="E788" s="43" t="s">
        <v>674</v>
      </c>
      <c r="F788" s="43" t="s">
        <v>1177</v>
      </c>
      <c r="G788" s="74" t="s">
        <v>68</v>
      </c>
      <c r="H788" s="74" t="s">
        <v>656</v>
      </c>
      <c r="I788" s="43"/>
      <c r="J788" s="44" t="s">
        <v>708</v>
      </c>
      <c r="K788" s="115">
        <f>ROUND(Tableau14[[#This Row],[LEN]]*7.27,0)</f>
        <v>218</v>
      </c>
      <c r="L788" s="115">
        <v>15</v>
      </c>
      <c r="M788" s="132" t="str">
        <f t="shared" si="5"/>
        <v>none</v>
      </c>
      <c r="N788" s="115">
        <f>LEN(Tableau14[[#This Row],[LABEL]])</f>
        <v>30</v>
      </c>
      <c r="O788" s="115">
        <v>15</v>
      </c>
      <c r="P788" s="115" t="e">
        <f>ROUND(Tableau14[[#This Row],[LEN]]*#REF!+#REF!,0)</f>
        <v>#REF!</v>
      </c>
    </row>
    <row r="789" spans="1:16" s="97" customFormat="1" x14ac:dyDescent="0.25">
      <c r="A789" s="41" t="s">
        <v>1562</v>
      </c>
      <c r="B789" s="42" t="s">
        <v>296</v>
      </c>
      <c r="C789" s="43" t="s">
        <v>1565</v>
      </c>
      <c r="D789" s="74" t="s">
        <v>1566</v>
      </c>
      <c r="E789" s="43" t="s">
        <v>674</v>
      </c>
      <c r="F789" s="43" t="s">
        <v>1177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ROUND(Tableau14[[#This Row],[LEN]]*7.27,0)</f>
        <v>211</v>
      </c>
      <c r="L789" s="115">
        <v>15</v>
      </c>
      <c r="M789" s="132" t="str">
        <f t="shared" si="5"/>
        <v>none</v>
      </c>
      <c r="N789" s="115">
        <f>LEN(Tableau14[[#This Row],[LABEL]])</f>
        <v>29</v>
      </c>
      <c r="O789" s="115">
        <v>15</v>
      </c>
      <c r="P789" s="115" t="e">
        <f>ROUND(Tableau14[[#This Row],[LEN]]*#REF!+#REF!,0)</f>
        <v>#REF!</v>
      </c>
    </row>
    <row r="790" spans="1:16" s="97" customFormat="1" x14ac:dyDescent="0.25">
      <c r="A790" s="41" t="s">
        <v>1563</v>
      </c>
      <c r="B790" s="42" t="s">
        <v>296</v>
      </c>
      <c r="C790" s="43" t="s">
        <v>849</v>
      </c>
      <c r="D790" s="74" t="s">
        <v>28</v>
      </c>
      <c r="E790" s="43" t="s">
        <v>667</v>
      </c>
      <c r="F790" s="43" t="s">
        <v>840</v>
      </c>
      <c r="G790" s="74" t="s">
        <v>68</v>
      </c>
      <c r="H790" s="74" t="s">
        <v>655</v>
      </c>
      <c r="I790" s="43"/>
      <c r="J790" s="44" t="s">
        <v>708</v>
      </c>
      <c r="K790" s="115">
        <f>ROUND(Tableau14[[#This Row],[LEN]]*7.27,0)</f>
        <v>80</v>
      </c>
      <c r="L790" s="115">
        <v>15</v>
      </c>
      <c r="M790" s="132" t="str">
        <f t="shared" si="5"/>
        <v>none</v>
      </c>
      <c r="N790" s="115">
        <f>LEN(Tableau14[[#This Row],[LABEL]])</f>
        <v>11</v>
      </c>
      <c r="O790" s="115">
        <v>15</v>
      </c>
      <c r="P790" s="115" t="e">
        <f>ROUND(Tableau14[[#This Row],[LEN]]*#REF!+#REF!,0)</f>
        <v>#REF!</v>
      </c>
    </row>
    <row r="791" spans="1:16" s="97" customFormat="1" x14ac:dyDescent="0.25">
      <c r="A791" s="45" t="s">
        <v>1567</v>
      </c>
      <c r="B791" s="46" t="s">
        <v>1563</v>
      </c>
      <c r="C791" s="47" t="s">
        <v>112</v>
      </c>
      <c r="D791" s="75" t="s">
        <v>28</v>
      </c>
      <c r="E791" s="47" t="s">
        <v>667</v>
      </c>
      <c r="F791" s="47" t="s">
        <v>2006</v>
      </c>
      <c r="G791" s="75" t="s">
        <v>68</v>
      </c>
      <c r="H791" s="75" t="s">
        <v>654</v>
      </c>
      <c r="I791" s="47"/>
      <c r="J791" s="48" t="s">
        <v>708</v>
      </c>
      <c r="K791" s="116">
        <f>ROUND(Tableau14[[#This Row],[LEN]]*7.27,0)</f>
        <v>167</v>
      </c>
      <c r="L791" s="116">
        <v>15</v>
      </c>
      <c r="M791" s="133" t="str">
        <f t="shared" si="5"/>
        <v>none</v>
      </c>
      <c r="N791" s="116">
        <f>LEN(Tableau14[[#This Row],[LABEL]])</f>
        <v>23</v>
      </c>
      <c r="O791" s="116">
        <v>15</v>
      </c>
      <c r="P791" s="116" t="e">
        <f>ROUND(Tableau14[[#This Row],[LEN]]*#REF!+#REF!,0)</f>
        <v>#REF!</v>
      </c>
    </row>
    <row r="792" spans="1:16" s="97" customFormat="1" x14ac:dyDescent="0.25">
      <c r="A792" s="45" t="s">
        <v>1568</v>
      </c>
      <c r="B792" s="46" t="s">
        <v>1563</v>
      </c>
      <c r="C792" s="47" t="s">
        <v>113</v>
      </c>
      <c r="D792" s="75" t="s">
        <v>28</v>
      </c>
      <c r="E792" s="47" t="s">
        <v>667</v>
      </c>
      <c r="F792" s="47" t="s">
        <v>2006</v>
      </c>
      <c r="G792" s="75" t="s">
        <v>68</v>
      </c>
      <c r="H792" s="75" t="s">
        <v>654</v>
      </c>
      <c r="I792" s="47"/>
      <c r="J792" s="48" t="s">
        <v>708</v>
      </c>
      <c r="K792" s="116">
        <f>ROUND(Tableau14[[#This Row],[LEN]]*7.27,0)</f>
        <v>233</v>
      </c>
      <c r="L792" s="116">
        <v>15</v>
      </c>
      <c r="M792" s="133" t="str">
        <f t="shared" si="5"/>
        <v>none</v>
      </c>
      <c r="N792" s="116">
        <f>LEN(Tableau14[[#This Row],[LABEL]])</f>
        <v>32</v>
      </c>
      <c r="O792" s="116">
        <v>15</v>
      </c>
      <c r="P792" s="116" t="e">
        <f>ROUND(Tableau14[[#This Row],[LEN]]*#REF!+#REF!,0)</f>
        <v>#REF!</v>
      </c>
    </row>
    <row r="793" spans="1:16" s="273" customFormat="1" x14ac:dyDescent="0.25">
      <c r="A793" s="330" t="s">
        <v>297</v>
      </c>
      <c r="B793" s="331" t="s">
        <v>208</v>
      </c>
      <c r="C793" s="332" t="s">
        <v>12</v>
      </c>
      <c r="D793" s="333" t="s">
        <v>28</v>
      </c>
      <c r="E793" s="332" t="s">
        <v>675</v>
      </c>
      <c r="F793" s="332" t="s">
        <v>675</v>
      </c>
      <c r="G793" s="333" t="s">
        <v>68</v>
      </c>
      <c r="H793" s="333" t="str">
        <f>IFERROR(IF(SEARCH(".00.00.00.00.00",Tableau14[[#This Row],[name]],1)=7,"Division",""),"")</f>
        <v>Division</v>
      </c>
      <c r="I793" s="332"/>
      <c r="J793" s="334" t="s">
        <v>721</v>
      </c>
      <c r="K793" s="335">
        <f>ROUND(Tableau14[[#This Row],[LEN]]*7.27,0)</f>
        <v>15</v>
      </c>
      <c r="L793" s="335">
        <v>15</v>
      </c>
      <c r="M793" s="336" t="str">
        <f t="shared" si="5"/>
        <v>new</v>
      </c>
      <c r="N793" s="335">
        <f>LEN(Tableau14[[#This Row],[LABEL]])</f>
        <v>2</v>
      </c>
      <c r="O793" s="335">
        <v>15</v>
      </c>
      <c r="P793" s="335" t="e">
        <f>ROUND(Tableau14[[#This Row],[LEN]]*#REF!+#REF!,0)</f>
        <v>#REF!</v>
      </c>
    </row>
    <row r="794" spans="1:16" s="97" customFormat="1" x14ac:dyDescent="0.25">
      <c r="A794" s="41" t="s">
        <v>1569</v>
      </c>
      <c r="B794" s="42" t="s">
        <v>297</v>
      </c>
      <c r="C794" s="43" t="s">
        <v>1620</v>
      </c>
      <c r="D794" s="74" t="s">
        <v>28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115">
        <f>ROUND(Tableau14[[#This Row],[LEN]]*7.27,0)</f>
        <v>262</v>
      </c>
      <c r="L794" s="115">
        <v>15</v>
      </c>
      <c r="M794" s="132" t="str">
        <f t="shared" si="5"/>
        <v>none</v>
      </c>
      <c r="N794" s="115">
        <f>LEN(Tableau14[[#This Row],[LABEL]])</f>
        <v>36</v>
      </c>
      <c r="O794" s="115">
        <v>15</v>
      </c>
      <c r="P794" s="115" t="e">
        <f>ROUND(Tableau14[[#This Row],[LEN]]*#REF!+#REF!,0)</f>
        <v>#REF!</v>
      </c>
    </row>
    <row r="795" spans="1:16" s="97" customFormat="1" x14ac:dyDescent="0.25">
      <c r="A795" s="45" t="s">
        <v>1574</v>
      </c>
      <c r="B795" s="46" t="s">
        <v>1569</v>
      </c>
      <c r="C795" s="47" t="s">
        <v>1467</v>
      </c>
      <c r="D795" s="75" t="s">
        <v>28</v>
      </c>
      <c r="E795" s="47" t="s">
        <v>675</v>
      </c>
      <c r="F795" s="47" t="s">
        <v>678</v>
      </c>
      <c r="G795" s="75" t="s">
        <v>68</v>
      </c>
      <c r="H795" s="75" t="s">
        <v>656</v>
      </c>
      <c r="I795" s="47"/>
      <c r="J795" s="48" t="s">
        <v>708</v>
      </c>
      <c r="K795" s="116">
        <f>ROUND(Tableau14[[#This Row],[LEN]]*7.27,0)</f>
        <v>102</v>
      </c>
      <c r="L795" s="116">
        <v>15</v>
      </c>
      <c r="M795" s="133" t="str">
        <f t="shared" si="5"/>
        <v>none</v>
      </c>
      <c r="N795" s="116">
        <f>LEN(Tableau14[[#This Row],[LABEL]])</f>
        <v>14</v>
      </c>
      <c r="O795" s="116">
        <v>15</v>
      </c>
      <c r="P795" s="116" t="e">
        <f>ROUND(Tableau14[[#This Row],[LEN]]*#REF!+#REF!,0)</f>
        <v>#REF!</v>
      </c>
    </row>
    <row r="796" spans="1:16" s="97" customFormat="1" x14ac:dyDescent="0.25">
      <c r="A796" s="45" t="s">
        <v>1575</v>
      </c>
      <c r="B796" s="46" t="s">
        <v>1569</v>
      </c>
      <c r="C796" s="47" t="s">
        <v>1573</v>
      </c>
      <c r="D796" s="75" t="s">
        <v>28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116">
        <f>ROUND(Tableau14[[#This Row],[LEN]]*7.27,0)</f>
        <v>422</v>
      </c>
      <c r="L796" s="116">
        <v>15</v>
      </c>
      <c r="M796" s="133" t="str">
        <f t="shared" si="5"/>
        <v>none</v>
      </c>
      <c r="N796" s="116">
        <f>LEN(Tableau14[[#This Row],[LABEL]])</f>
        <v>58</v>
      </c>
      <c r="O796" s="116">
        <v>15</v>
      </c>
      <c r="P796" s="116" t="e">
        <f>ROUND(Tableau14[[#This Row],[LEN]]*#REF!+#REF!,0)</f>
        <v>#REF!</v>
      </c>
    </row>
    <row r="797" spans="1:16" s="97" customFormat="1" x14ac:dyDescent="0.25">
      <c r="A797" s="45" t="s">
        <v>1576</v>
      </c>
      <c r="B797" s="46" t="s">
        <v>1569</v>
      </c>
      <c r="C797" s="47" t="s">
        <v>1468</v>
      </c>
      <c r="D797" s="75" t="s">
        <v>28</v>
      </c>
      <c r="E797" s="47" t="s">
        <v>675</v>
      </c>
      <c r="F797" s="47" t="s">
        <v>678</v>
      </c>
      <c r="G797" s="75" t="s">
        <v>68</v>
      </c>
      <c r="H797" s="75" t="s">
        <v>656</v>
      </c>
      <c r="I797" s="47"/>
      <c r="J797" s="48" t="s">
        <v>708</v>
      </c>
      <c r="K797" s="116">
        <f>ROUND(Tableau14[[#This Row],[LEN]]*7.27,0)</f>
        <v>167</v>
      </c>
      <c r="L797" s="116">
        <v>15</v>
      </c>
      <c r="M797" s="133" t="str">
        <f t="shared" si="5"/>
        <v>none</v>
      </c>
      <c r="N797" s="116">
        <f>LEN(Tableau14[[#This Row],[LABEL]])</f>
        <v>23</v>
      </c>
      <c r="O797" s="116">
        <v>15</v>
      </c>
      <c r="P797" s="116" t="e">
        <f>ROUND(Tableau14[[#This Row],[LEN]]*#REF!+#REF!,0)</f>
        <v>#REF!</v>
      </c>
    </row>
    <row r="798" spans="1:16" s="97" customFormat="1" x14ac:dyDescent="0.25">
      <c r="A798" s="41" t="s">
        <v>1570</v>
      </c>
      <c r="B798" s="42" t="s">
        <v>297</v>
      </c>
      <c r="C798" s="43" t="s">
        <v>849</v>
      </c>
      <c r="D798" s="74" t="s">
        <v>28</v>
      </c>
      <c r="E798" s="43" t="s">
        <v>667</v>
      </c>
      <c r="F798" s="43" t="s">
        <v>840</v>
      </c>
      <c r="G798" s="74" t="s">
        <v>68</v>
      </c>
      <c r="H798" s="74" t="s">
        <v>655</v>
      </c>
      <c r="I798" s="43"/>
      <c r="J798" s="44" t="s">
        <v>708</v>
      </c>
      <c r="K798" s="115">
        <f>ROUND(Tableau14[[#This Row],[LEN]]*7.27,0)</f>
        <v>80</v>
      </c>
      <c r="L798" s="115">
        <v>15</v>
      </c>
      <c r="M798" s="132" t="str">
        <f t="shared" si="5"/>
        <v>none</v>
      </c>
      <c r="N798" s="115">
        <f>LEN(Tableau14[[#This Row],[LABEL]])</f>
        <v>11</v>
      </c>
      <c r="O798" s="115">
        <v>15</v>
      </c>
      <c r="P798" s="115" t="e">
        <f>ROUND(Tableau14[[#This Row],[LEN]]*#REF!+#REF!,0)</f>
        <v>#REF!</v>
      </c>
    </row>
    <row r="799" spans="1:16" s="97" customFormat="1" x14ac:dyDescent="0.25">
      <c r="A799" s="45" t="s">
        <v>1577</v>
      </c>
      <c r="B799" s="46" t="s">
        <v>1570</v>
      </c>
      <c r="C799" s="47" t="s">
        <v>112</v>
      </c>
      <c r="D799" s="75" t="s">
        <v>28</v>
      </c>
      <c r="E799" s="47" t="s">
        <v>667</v>
      </c>
      <c r="F799" s="47" t="s">
        <v>2006</v>
      </c>
      <c r="G799" s="75" t="s">
        <v>68</v>
      </c>
      <c r="H799" s="75" t="s">
        <v>654</v>
      </c>
      <c r="I799" s="47"/>
      <c r="J799" s="48" t="s">
        <v>708</v>
      </c>
      <c r="K799" s="116">
        <f>ROUND(Tableau14[[#This Row],[LEN]]*7.27,0)</f>
        <v>167</v>
      </c>
      <c r="L799" s="116">
        <v>15</v>
      </c>
      <c r="M799" s="133" t="str">
        <f t="shared" si="5"/>
        <v>none</v>
      </c>
      <c r="N799" s="116">
        <f>LEN(Tableau14[[#This Row],[LABEL]])</f>
        <v>23</v>
      </c>
      <c r="O799" s="116">
        <v>15</v>
      </c>
      <c r="P799" s="116" t="e">
        <f>ROUND(Tableau14[[#This Row],[LEN]]*#REF!+#REF!,0)</f>
        <v>#REF!</v>
      </c>
    </row>
    <row r="800" spans="1:16" s="97" customFormat="1" x14ac:dyDescent="0.25">
      <c r="A800" s="45" t="s">
        <v>1578</v>
      </c>
      <c r="B800" s="46" t="s">
        <v>1570</v>
      </c>
      <c r="C800" s="47" t="s">
        <v>113</v>
      </c>
      <c r="D800" s="75" t="s">
        <v>28</v>
      </c>
      <c r="E800" s="47" t="s">
        <v>667</v>
      </c>
      <c r="F800" s="47" t="s">
        <v>2006</v>
      </c>
      <c r="G800" s="75" t="s">
        <v>68</v>
      </c>
      <c r="H800" s="75" t="s">
        <v>654</v>
      </c>
      <c r="I800" s="47"/>
      <c r="J800" s="48" t="s">
        <v>708</v>
      </c>
      <c r="K800" s="116">
        <f>ROUND(Tableau14[[#This Row],[LEN]]*7.27,0)</f>
        <v>233</v>
      </c>
      <c r="L800" s="116">
        <v>15</v>
      </c>
      <c r="M800" s="133" t="str">
        <f t="shared" si="5"/>
        <v>none</v>
      </c>
      <c r="N800" s="116">
        <f>LEN(Tableau14[[#This Row],[LABEL]])</f>
        <v>32</v>
      </c>
      <c r="O800" s="116">
        <v>15</v>
      </c>
      <c r="P800" s="116" t="e">
        <f>ROUND(Tableau14[[#This Row],[LEN]]*#REF!+#REF!,0)</f>
        <v>#REF!</v>
      </c>
    </row>
    <row r="801" spans="1:16" s="97" customFormat="1" x14ac:dyDescent="0.25">
      <c r="A801" s="41" t="s">
        <v>1571</v>
      </c>
      <c r="B801" s="42" t="s">
        <v>297</v>
      </c>
      <c r="C801" s="43" t="s">
        <v>1621</v>
      </c>
      <c r="D801" s="74" t="s">
        <v>28</v>
      </c>
      <c r="E801" s="43" t="s">
        <v>675</v>
      </c>
      <c r="F801" s="43" t="s">
        <v>678</v>
      </c>
      <c r="G801" s="74" t="s">
        <v>68</v>
      </c>
      <c r="H801" s="74" t="s">
        <v>655</v>
      </c>
      <c r="I801" s="43"/>
      <c r="J801" s="44" t="s">
        <v>708</v>
      </c>
      <c r="K801" s="115">
        <f>ROUND(Tableau14[[#This Row],[LEN]]*7.27,0)</f>
        <v>262</v>
      </c>
      <c r="L801" s="115">
        <v>15</v>
      </c>
      <c r="M801" s="132" t="str">
        <f t="shared" si="5"/>
        <v>none</v>
      </c>
      <c r="N801" s="115">
        <f>LEN(Tableau14[[#This Row],[LABEL]])</f>
        <v>36</v>
      </c>
      <c r="O801" s="115">
        <v>15</v>
      </c>
      <c r="P801" s="115" t="e">
        <f>ROUND(Tableau14[[#This Row],[LEN]]*#REF!+#REF!,0)</f>
        <v>#REF!</v>
      </c>
    </row>
    <row r="802" spans="1:16" s="97" customFormat="1" x14ac:dyDescent="0.25">
      <c r="A802" s="45" t="s">
        <v>1579</v>
      </c>
      <c r="B802" s="46" t="s">
        <v>1571</v>
      </c>
      <c r="C802" s="47" t="s">
        <v>1469</v>
      </c>
      <c r="D802" s="75" t="s">
        <v>28</v>
      </c>
      <c r="E802" s="47" t="s">
        <v>675</v>
      </c>
      <c r="F802" s="47" t="s">
        <v>678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ROUND(Tableau14[[#This Row],[LEN]]*7.27,0)</f>
        <v>291</v>
      </c>
      <c r="L802" s="116">
        <v>15</v>
      </c>
      <c r="M802" s="133" t="str">
        <f t="shared" si="5"/>
        <v>none</v>
      </c>
      <c r="N802" s="116">
        <f>LEN(Tableau14[[#This Row],[LABEL]])</f>
        <v>40</v>
      </c>
      <c r="O802" s="116">
        <v>15</v>
      </c>
      <c r="P802" s="116" t="e">
        <f>ROUND(Tableau14[[#This Row],[LEN]]*#REF!+#REF!,0)</f>
        <v>#REF!</v>
      </c>
    </row>
    <row r="803" spans="1:16" s="97" customFormat="1" x14ac:dyDescent="0.25">
      <c r="A803" s="45" t="s">
        <v>1580</v>
      </c>
      <c r="B803" s="46" t="s">
        <v>1571</v>
      </c>
      <c r="C803" s="47" t="s">
        <v>1470</v>
      </c>
      <c r="D803" s="75" t="s">
        <v>28</v>
      </c>
      <c r="E803" s="47" t="s">
        <v>675</v>
      </c>
      <c r="F803" s="47" t="s">
        <v>678</v>
      </c>
      <c r="G803" s="75" t="s">
        <v>68</v>
      </c>
      <c r="H803" s="75" t="s">
        <v>656</v>
      </c>
      <c r="I803" s="47"/>
      <c r="J803" s="48" t="s">
        <v>708</v>
      </c>
      <c r="K803" s="116">
        <f>ROUND(Tableau14[[#This Row],[LEN]]*7.27,0)</f>
        <v>313</v>
      </c>
      <c r="L803" s="116">
        <v>15</v>
      </c>
      <c r="M803" s="133" t="str">
        <f t="shared" si="5"/>
        <v>none</v>
      </c>
      <c r="N803" s="116">
        <f>LEN(Tableau14[[#This Row],[LABEL]])</f>
        <v>43</v>
      </c>
      <c r="O803" s="116">
        <v>15</v>
      </c>
      <c r="P803" s="116" t="e">
        <f>ROUND(Tableau14[[#This Row],[LEN]]*#REF!+#REF!,0)</f>
        <v>#REF!</v>
      </c>
    </row>
    <row r="804" spans="1:16" s="97" customFormat="1" x14ac:dyDescent="0.25">
      <c r="A804" s="41" t="s">
        <v>1572</v>
      </c>
      <c r="B804" s="42" t="s">
        <v>297</v>
      </c>
      <c r="C804" s="43" t="s">
        <v>1462</v>
      </c>
      <c r="D804" s="74" t="s">
        <v>28</v>
      </c>
      <c r="E804" s="43" t="s">
        <v>675</v>
      </c>
      <c r="F804" s="43" t="s">
        <v>679</v>
      </c>
      <c r="G804" s="74" t="s">
        <v>68</v>
      </c>
      <c r="H804" s="74" t="s">
        <v>656</v>
      </c>
      <c r="I804" s="43"/>
      <c r="J804" s="44" t="s">
        <v>708</v>
      </c>
      <c r="K804" s="115">
        <f>ROUND(Tableau14[[#This Row],[LEN]]*7.27,0)</f>
        <v>218</v>
      </c>
      <c r="L804" s="115">
        <v>15</v>
      </c>
      <c r="M804" s="132" t="str">
        <f t="shared" si="5"/>
        <v>none</v>
      </c>
      <c r="N804" s="115">
        <f>LEN(Tableau14[[#This Row],[LABEL]])</f>
        <v>30</v>
      </c>
      <c r="O804" s="115">
        <v>15</v>
      </c>
      <c r="P804" s="115" t="e">
        <f>ROUND(Tableau14[[#This Row],[LEN]]*#REF!+#REF!,0)</f>
        <v>#REF!</v>
      </c>
    </row>
    <row r="805" spans="1:16" s="273" customFormat="1" x14ac:dyDescent="0.25">
      <c r="A805" s="330" t="s">
        <v>298</v>
      </c>
      <c r="B805" s="331" t="s">
        <v>208</v>
      </c>
      <c r="C805" s="332" t="s">
        <v>71</v>
      </c>
      <c r="D805" s="333" t="s">
        <v>28</v>
      </c>
      <c r="E805" s="332" t="s">
        <v>676</v>
      </c>
      <c r="F805" s="332" t="s">
        <v>676</v>
      </c>
      <c r="G805" s="333" t="s">
        <v>68</v>
      </c>
      <c r="H805" s="333" t="str">
        <f>IFERROR(IF(SEARCH(".00.00.00.00.00",Tableau14[[#This Row],[name]],1)=7,"Division",""),"")</f>
        <v>Division</v>
      </c>
      <c r="I805" s="332"/>
      <c r="J805" s="334" t="s">
        <v>722</v>
      </c>
      <c r="K805" s="335">
        <f>ROUND(Tableau14[[#This Row],[LEN]]*7.27,0)</f>
        <v>29</v>
      </c>
      <c r="L805" s="335">
        <v>15</v>
      </c>
      <c r="M805" s="336" t="str">
        <f t="shared" si="5"/>
        <v>new</v>
      </c>
      <c r="N805" s="335">
        <f>LEN(Tableau14[[#This Row],[LABEL]])</f>
        <v>4</v>
      </c>
      <c r="O805" s="335">
        <v>15</v>
      </c>
      <c r="P805" s="335" t="e">
        <f>ROUND(Tableau14[[#This Row],[LEN]]*#REF!+#REF!,0)</f>
        <v>#REF!</v>
      </c>
    </row>
    <row r="806" spans="1:16" s="97" customFormat="1" x14ac:dyDescent="0.25">
      <c r="A806" s="41" t="s">
        <v>1581</v>
      </c>
      <c r="B806" s="42" t="s">
        <v>298</v>
      </c>
      <c r="C806" s="43" t="s">
        <v>1476</v>
      </c>
      <c r="D806" s="74" t="s">
        <v>1477</v>
      </c>
      <c r="E806" s="43" t="s">
        <v>676</v>
      </c>
      <c r="F806" s="43" t="s">
        <v>1177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ROUND(Tableau14[[#This Row],[LEN]]*7.27,0)</f>
        <v>371</v>
      </c>
      <c r="L806" s="115">
        <v>15</v>
      </c>
      <c r="M806" s="132" t="str">
        <f t="shared" si="5"/>
        <v>none</v>
      </c>
      <c r="N806" s="115">
        <f>LEN(Tableau14[[#This Row],[LABEL]])</f>
        <v>51</v>
      </c>
      <c r="O806" s="115">
        <v>15</v>
      </c>
      <c r="P806" s="115" t="e">
        <f>ROUND(Tableau14[[#This Row],[LEN]]*#REF!+#REF!,0)</f>
        <v>#REF!</v>
      </c>
    </row>
    <row r="807" spans="1:16" s="97" customFormat="1" x14ac:dyDescent="0.25">
      <c r="A807" s="41" t="s">
        <v>1582</v>
      </c>
      <c r="B807" s="42" t="s">
        <v>298</v>
      </c>
      <c r="C807" s="43" t="s">
        <v>849</v>
      </c>
      <c r="D807" s="74" t="s">
        <v>28</v>
      </c>
      <c r="E807" s="43" t="s">
        <v>667</v>
      </c>
      <c r="F807" s="43" t="s">
        <v>840</v>
      </c>
      <c r="G807" s="74" t="s">
        <v>68</v>
      </c>
      <c r="H807" s="74" t="s">
        <v>655</v>
      </c>
      <c r="I807" s="43"/>
      <c r="J807" s="44" t="s">
        <v>708</v>
      </c>
      <c r="K807" s="115">
        <f>ROUND(Tableau14[[#This Row],[LEN]]*7.27,0)</f>
        <v>80</v>
      </c>
      <c r="L807" s="115">
        <v>15</v>
      </c>
      <c r="M807" s="132" t="str">
        <f t="shared" si="5"/>
        <v>none</v>
      </c>
      <c r="N807" s="115">
        <f>LEN(Tableau14[[#This Row],[LABEL]])</f>
        <v>11</v>
      </c>
      <c r="O807" s="115">
        <v>15</v>
      </c>
      <c r="P807" s="115" t="e">
        <f>ROUND(Tableau14[[#This Row],[LEN]]*#REF!+#REF!,0)</f>
        <v>#REF!</v>
      </c>
    </row>
    <row r="808" spans="1:16" s="97" customFormat="1" x14ac:dyDescent="0.25">
      <c r="A808" s="45" t="s">
        <v>1587</v>
      </c>
      <c r="B808" s="46" t="s">
        <v>1582</v>
      </c>
      <c r="C808" s="47" t="s">
        <v>112</v>
      </c>
      <c r="D808" s="75" t="s">
        <v>28</v>
      </c>
      <c r="E808" s="47" t="s">
        <v>667</v>
      </c>
      <c r="F808" s="47" t="s">
        <v>2006</v>
      </c>
      <c r="G808" s="75" t="s">
        <v>68</v>
      </c>
      <c r="H808" s="75" t="s">
        <v>654</v>
      </c>
      <c r="I808" s="47"/>
      <c r="J808" s="48" t="s">
        <v>708</v>
      </c>
      <c r="K808" s="116">
        <f>ROUND(Tableau14[[#This Row],[LEN]]*7.27,0)</f>
        <v>167</v>
      </c>
      <c r="L808" s="116">
        <v>15</v>
      </c>
      <c r="M808" s="133" t="str">
        <f t="shared" si="5"/>
        <v>none</v>
      </c>
      <c r="N808" s="116">
        <f>LEN(Tableau14[[#This Row],[LABEL]])</f>
        <v>23</v>
      </c>
      <c r="O808" s="116">
        <v>15</v>
      </c>
      <c r="P808" s="116" t="e">
        <f>ROUND(Tableau14[[#This Row],[LEN]]*#REF!+#REF!,0)</f>
        <v>#REF!</v>
      </c>
    </row>
    <row r="809" spans="1:16" s="97" customFormat="1" x14ac:dyDescent="0.25">
      <c r="A809" s="45" t="s">
        <v>1588</v>
      </c>
      <c r="B809" s="46" t="s">
        <v>1582</v>
      </c>
      <c r="C809" s="47" t="s">
        <v>113</v>
      </c>
      <c r="D809" s="75" t="s">
        <v>28</v>
      </c>
      <c r="E809" s="47" t="s">
        <v>667</v>
      </c>
      <c r="F809" s="47" t="s">
        <v>2006</v>
      </c>
      <c r="G809" s="75" t="s">
        <v>68</v>
      </c>
      <c r="H809" s="75" t="s">
        <v>654</v>
      </c>
      <c r="I809" s="47"/>
      <c r="J809" s="48" t="s">
        <v>708</v>
      </c>
      <c r="K809" s="116">
        <f>ROUND(Tableau14[[#This Row],[LEN]]*7.27,0)</f>
        <v>233</v>
      </c>
      <c r="L809" s="116">
        <v>15</v>
      </c>
      <c r="M809" s="133" t="str">
        <f t="shared" si="5"/>
        <v>none</v>
      </c>
      <c r="N809" s="116">
        <f>LEN(Tableau14[[#This Row],[LABEL]])</f>
        <v>32</v>
      </c>
      <c r="O809" s="116">
        <v>15</v>
      </c>
      <c r="P809" s="116" t="e">
        <f>ROUND(Tableau14[[#This Row],[LEN]]*#REF!+#REF!,0)</f>
        <v>#REF!</v>
      </c>
    </row>
    <row r="810" spans="1:16" s="97" customFormat="1" x14ac:dyDescent="0.25">
      <c r="A810" s="41" t="s">
        <v>1583</v>
      </c>
      <c r="B810" s="42" t="s">
        <v>298</v>
      </c>
      <c r="C810" s="43" t="s">
        <v>1589</v>
      </c>
      <c r="D810" s="74" t="s">
        <v>28</v>
      </c>
      <c r="E810" s="43" t="s">
        <v>676</v>
      </c>
      <c r="F810" s="43" t="s">
        <v>1177</v>
      </c>
      <c r="G810" s="74" t="s">
        <v>68</v>
      </c>
      <c r="H810" s="74" t="s">
        <v>656</v>
      </c>
      <c r="I810" s="43"/>
      <c r="J810" s="44" t="s">
        <v>708</v>
      </c>
      <c r="K810" s="115">
        <f>ROUND(Tableau14[[#This Row],[LEN]]*7.27,0)</f>
        <v>487</v>
      </c>
      <c r="L810" s="115">
        <v>15</v>
      </c>
      <c r="M810" s="132" t="str">
        <f t="shared" si="5"/>
        <v>none</v>
      </c>
      <c r="N810" s="115">
        <f>LEN(Tableau14[[#This Row],[LABEL]])</f>
        <v>67</v>
      </c>
      <c r="O810" s="115">
        <v>15</v>
      </c>
      <c r="P810" s="115" t="e">
        <f>ROUND(Tableau14[[#This Row],[LEN]]*#REF!+#REF!,0)</f>
        <v>#REF!</v>
      </c>
    </row>
    <row r="811" spans="1:16" s="97" customFormat="1" x14ac:dyDescent="0.25">
      <c r="A811" s="41" t="s">
        <v>1584</v>
      </c>
      <c r="B811" s="42" t="s">
        <v>298</v>
      </c>
      <c r="C811" s="43" t="s">
        <v>1590</v>
      </c>
      <c r="D811" s="74" t="s">
        <v>28</v>
      </c>
      <c r="E811" s="43" t="s">
        <v>676</v>
      </c>
      <c r="F811" s="43" t="s">
        <v>1177</v>
      </c>
      <c r="G811" s="74" t="s">
        <v>68</v>
      </c>
      <c r="H811" s="74" t="s">
        <v>656</v>
      </c>
      <c r="I811" s="43"/>
      <c r="J811" s="44" t="s">
        <v>708</v>
      </c>
      <c r="K811" s="115">
        <f>ROUND(Tableau14[[#This Row],[LEN]]*7.27,0)</f>
        <v>364</v>
      </c>
      <c r="L811" s="115">
        <v>15</v>
      </c>
      <c r="M811" s="132" t="str">
        <f t="shared" si="5"/>
        <v>none</v>
      </c>
      <c r="N811" s="115">
        <f>LEN(Tableau14[[#This Row],[LABEL]])</f>
        <v>50</v>
      </c>
      <c r="O811" s="115">
        <v>15</v>
      </c>
      <c r="P811" s="115" t="e">
        <f>ROUND(Tableau14[[#This Row],[LEN]]*#REF!+#REF!,0)</f>
        <v>#REF!</v>
      </c>
    </row>
    <row r="812" spans="1:16" s="97" customFormat="1" x14ac:dyDescent="0.25">
      <c r="A812" s="41" t="s">
        <v>1585</v>
      </c>
      <c r="B812" s="42" t="s">
        <v>298</v>
      </c>
      <c r="C812" s="43" t="s">
        <v>1591</v>
      </c>
      <c r="D812" s="74" t="s">
        <v>28</v>
      </c>
      <c r="E812" s="43" t="s">
        <v>676</v>
      </c>
      <c r="F812" s="43" t="s">
        <v>1177</v>
      </c>
      <c r="G812" s="74" t="s">
        <v>68</v>
      </c>
      <c r="H812" s="74" t="s">
        <v>656</v>
      </c>
      <c r="I812" s="43"/>
      <c r="J812" s="44" t="s">
        <v>708</v>
      </c>
      <c r="K812" s="115">
        <f>ROUND(Tableau14[[#This Row],[LEN]]*7.27,0)</f>
        <v>407</v>
      </c>
      <c r="L812" s="115">
        <v>15</v>
      </c>
      <c r="M812" s="132" t="str">
        <f t="shared" si="5"/>
        <v>none</v>
      </c>
      <c r="N812" s="115">
        <f>LEN(Tableau14[[#This Row],[LABEL]])</f>
        <v>56</v>
      </c>
      <c r="O812" s="115">
        <v>15</v>
      </c>
      <c r="P812" s="115" t="e">
        <f>ROUND(Tableau14[[#This Row],[LEN]]*#REF!+#REF!,0)</f>
        <v>#REF!</v>
      </c>
    </row>
    <row r="813" spans="1:16" s="273" customFormat="1" x14ac:dyDescent="0.25">
      <c r="A813" s="330" t="s">
        <v>299</v>
      </c>
      <c r="B813" s="331" t="s">
        <v>208</v>
      </c>
      <c r="C813" s="332" t="s">
        <v>13</v>
      </c>
      <c r="D813" s="333" t="s">
        <v>28</v>
      </c>
      <c r="E813" s="332" t="s">
        <v>677</v>
      </c>
      <c r="F813" s="332" t="s">
        <v>677</v>
      </c>
      <c r="G813" s="333" t="s">
        <v>68</v>
      </c>
      <c r="H813" s="333" t="str">
        <f>IFERROR(IF(SEARCH(".00.00.00.00.00",Tableau14[[#This Row],[name]],1)=7,"Division",""),"")</f>
        <v>Division</v>
      </c>
      <c r="I813" s="332"/>
      <c r="J813" s="334" t="s">
        <v>723</v>
      </c>
      <c r="K813" s="335">
        <f>ROUND(Tableau14[[#This Row],[LEN]]*7.27,0)</f>
        <v>80</v>
      </c>
      <c r="L813" s="335">
        <v>15</v>
      </c>
      <c r="M813" s="336" t="str">
        <f t="shared" si="5"/>
        <v>new</v>
      </c>
      <c r="N813" s="335">
        <f>LEN(Tableau14[[#This Row],[LABEL]])</f>
        <v>11</v>
      </c>
      <c r="O813" s="335">
        <v>15</v>
      </c>
      <c r="P813" s="335" t="e">
        <f>ROUND(Tableau14[[#This Row],[LEN]]*#REF!+#REF!,0)</f>
        <v>#REF!</v>
      </c>
    </row>
    <row r="814" spans="1:16" s="97" customFormat="1" x14ac:dyDescent="0.25">
      <c r="A814" s="41" t="s">
        <v>1592</v>
      </c>
      <c r="B814" s="42" t="s">
        <v>299</v>
      </c>
      <c r="C814" s="43" t="s">
        <v>1595</v>
      </c>
      <c r="D814" s="74" t="s">
        <v>28</v>
      </c>
      <c r="E814" s="43" t="s">
        <v>677</v>
      </c>
      <c r="F814" s="43" t="s">
        <v>1177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ROUND(Tableau14[[#This Row],[LEN]]*7.27,0)</f>
        <v>400</v>
      </c>
      <c r="L814" s="115">
        <v>15</v>
      </c>
      <c r="M814" s="132" t="str">
        <f t="shared" si="5"/>
        <v>none</v>
      </c>
      <c r="N814" s="115">
        <f>LEN(Tableau14[[#This Row],[LABEL]])</f>
        <v>55</v>
      </c>
      <c r="O814" s="115">
        <v>15</v>
      </c>
      <c r="P814" s="115" t="e">
        <f>ROUND(Tableau14[[#This Row],[LEN]]*#REF!+#REF!,0)</f>
        <v>#REF!</v>
      </c>
    </row>
    <row r="815" spans="1:16" s="97" customFormat="1" x14ac:dyDescent="0.25">
      <c r="A815" s="41" t="s">
        <v>1593</v>
      </c>
      <c r="B815" s="42" t="s">
        <v>299</v>
      </c>
      <c r="C815" s="43" t="s">
        <v>849</v>
      </c>
      <c r="D815" s="74" t="s">
        <v>28</v>
      </c>
      <c r="E815" s="43" t="s">
        <v>667</v>
      </c>
      <c r="F815" s="43" t="s">
        <v>840</v>
      </c>
      <c r="G815" s="74" t="s">
        <v>68</v>
      </c>
      <c r="H815" s="74" t="s">
        <v>655</v>
      </c>
      <c r="I815" s="43"/>
      <c r="J815" s="44" t="s">
        <v>708</v>
      </c>
      <c r="K815" s="115">
        <f>ROUND(Tableau14[[#This Row],[LEN]]*7.27,0)</f>
        <v>80</v>
      </c>
      <c r="L815" s="115">
        <v>15</v>
      </c>
      <c r="M815" s="132" t="str">
        <f t="shared" si="5"/>
        <v>none</v>
      </c>
      <c r="N815" s="115">
        <f>LEN(Tableau14[[#This Row],[LABEL]])</f>
        <v>11</v>
      </c>
      <c r="O815" s="115">
        <v>15</v>
      </c>
      <c r="P815" s="115" t="e">
        <f>ROUND(Tableau14[[#This Row],[LEN]]*#REF!+#REF!,0)</f>
        <v>#REF!</v>
      </c>
    </row>
    <row r="816" spans="1:16" s="97" customFormat="1" x14ac:dyDescent="0.25">
      <c r="A816" s="45" t="s">
        <v>1597</v>
      </c>
      <c r="B816" s="46" t="s">
        <v>1593</v>
      </c>
      <c r="C816" s="47" t="s">
        <v>112</v>
      </c>
      <c r="D816" s="75" t="s">
        <v>28</v>
      </c>
      <c r="E816" s="47" t="s">
        <v>667</v>
      </c>
      <c r="F816" s="47" t="s">
        <v>2006</v>
      </c>
      <c r="G816" s="75" t="s">
        <v>68</v>
      </c>
      <c r="H816" s="75" t="s">
        <v>654</v>
      </c>
      <c r="I816" s="47"/>
      <c r="J816" s="48" t="s">
        <v>708</v>
      </c>
      <c r="K816" s="116">
        <f>ROUND(Tableau14[[#This Row],[LEN]]*7.27,0)</f>
        <v>167</v>
      </c>
      <c r="L816" s="116">
        <v>15</v>
      </c>
      <c r="M816" s="133" t="str">
        <f t="shared" si="5"/>
        <v>none</v>
      </c>
      <c r="N816" s="116">
        <f>LEN(Tableau14[[#This Row],[LABEL]])</f>
        <v>23</v>
      </c>
      <c r="O816" s="116">
        <v>15</v>
      </c>
      <c r="P816" s="116" t="e">
        <f>ROUND(Tableau14[[#This Row],[LEN]]*#REF!+#REF!,0)</f>
        <v>#REF!</v>
      </c>
    </row>
    <row r="817" spans="1:16" s="97" customFormat="1" x14ac:dyDescent="0.25">
      <c r="A817" s="45" t="s">
        <v>1598</v>
      </c>
      <c r="B817" s="46" t="s">
        <v>1593</v>
      </c>
      <c r="C817" s="47" t="s">
        <v>113</v>
      </c>
      <c r="D817" s="75" t="s">
        <v>28</v>
      </c>
      <c r="E817" s="47" t="s">
        <v>667</v>
      </c>
      <c r="F817" s="47" t="s">
        <v>2006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ROUND(Tableau14[[#This Row],[LEN]]*7.27,0)</f>
        <v>233</v>
      </c>
      <c r="L817" s="116">
        <v>15</v>
      </c>
      <c r="M817" s="133" t="str">
        <f t="shared" si="5"/>
        <v>none</v>
      </c>
      <c r="N817" s="116">
        <f>LEN(Tableau14[[#This Row],[LABEL]])</f>
        <v>32</v>
      </c>
      <c r="O817" s="116">
        <v>15</v>
      </c>
      <c r="P817" s="116" t="e">
        <f>ROUND(Tableau14[[#This Row],[LEN]]*#REF!+#REF!,0)</f>
        <v>#REF!</v>
      </c>
    </row>
    <row r="818" spans="1:16" s="97" customFormat="1" x14ac:dyDescent="0.25">
      <c r="A818" s="41" t="s">
        <v>1594</v>
      </c>
      <c r="B818" s="42" t="s">
        <v>299</v>
      </c>
      <c r="C818" s="43" t="s">
        <v>1596</v>
      </c>
      <c r="D818" s="74" t="s">
        <v>28</v>
      </c>
      <c r="E818" s="43" t="s">
        <v>672</v>
      </c>
      <c r="F818" s="43" t="s">
        <v>677</v>
      </c>
      <c r="G818" s="74" t="s">
        <v>68</v>
      </c>
      <c r="H818" s="74" t="s">
        <v>654</v>
      </c>
      <c r="I818" s="43"/>
      <c r="J818" s="44" t="s">
        <v>708</v>
      </c>
      <c r="K818" s="115">
        <f>ROUND(Tableau14[[#This Row],[LEN]]*7.27,0)</f>
        <v>342</v>
      </c>
      <c r="L818" s="115">
        <v>15</v>
      </c>
      <c r="M818" s="132" t="str">
        <f t="shared" si="5"/>
        <v>none</v>
      </c>
      <c r="N818" s="115">
        <f>LEN(Tableau14[[#This Row],[LABEL]])</f>
        <v>47</v>
      </c>
      <c r="O818" s="115">
        <v>15</v>
      </c>
      <c r="P818" s="115" t="e">
        <f>ROUND(Tableau14[[#This Row],[LEN]]*#REF!+#REF!,0)</f>
        <v>#REF!</v>
      </c>
    </row>
    <row r="819" spans="1:16" s="273" customFormat="1" x14ac:dyDescent="0.25">
      <c r="A819" s="330" t="s">
        <v>300</v>
      </c>
      <c r="B819" s="331" t="s">
        <v>208</v>
      </c>
      <c r="C819" s="332" t="s">
        <v>14</v>
      </c>
      <c r="D819" s="333" t="s">
        <v>28</v>
      </c>
      <c r="E819" s="332" t="s">
        <v>678</v>
      </c>
      <c r="F819" s="332" t="s">
        <v>678</v>
      </c>
      <c r="G819" s="333" t="s">
        <v>68</v>
      </c>
      <c r="H819" s="333" t="str">
        <f>IFERROR(IF(SEARCH(".00.00.00.00.00",Tableau14[[#This Row],[name]],1)=7,"Division",""),"")</f>
        <v>Division</v>
      </c>
      <c r="I819" s="332"/>
      <c r="J819" s="334" t="s">
        <v>724</v>
      </c>
      <c r="K819" s="335">
        <f>ROUND(Tableau14[[#This Row],[LEN]]*7.27,0)</f>
        <v>240</v>
      </c>
      <c r="L819" s="335">
        <v>15</v>
      </c>
      <c r="M819" s="336" t="str">
        <f t="shared" si="5"/>
        <v>new</v>
      </c>
      <c r="N819" s="335">
        <f>LEN(Tableau14[[#This Row],[LABEL]])</f>
        <v>33</v>
      </c>
      <c r="O819" s="335">
        <v>15</v>
      </c>
      <c r="P819" s="335" t="e">
        <f>ROUND(Tableau14[[#This Row],[LEN]]*#REF!+#REF!,0)</f>
        <v>#REF!</v>
      </c>
    </row>
    <row r="820" spans="1:16" s="97" customFormat="1" x14ac:dyDescent="0.25">
      <c r="A820" s="41" t="s">
        <v>1599</v>
      </c>
      <c r="B820" s="42" t="s">
        <v>300</v>
      </c>
      <c r="C820" s="43" t="s">
        <v>1611</v>
      </c>
      <c r="D820" s="74" t="s">
        <v>28</v>
      </c>
      <c r="E820" s="43" t="s">
        <v>678</v>
      </c>
      <c r="F820" s="43" t="s">
        <v>1177</v>
      </c>
      <c r="G820" s="74" t="s">
        <v>68</v>
      </c>
      <c r="H820" s="74" t="s">
        <v>656</v>
      </c>
      <c r="I820" s="43"/>
      <c r="J820" s="44" t="s">
        <v>708</v>
      </c>
      <c r="K820" s="115">
        <f>ROUND(Tableau14[[#This Row],[LEN]]*7.27,0)</f>
        <v>334</v>
      </c>
      <c r="L820" s="115">
        <v>15</v>
      </c>
      <c r="M820" s="132" t="str">
        <f t="shared" si="5"/>
        <v>none</v>
      </c>
      <c r="N820" s="115">
        <f>LEN(Tableau14[[#This Row],[LABEL]])</f>
        <v>46</v>
      </c>
      <c r="O820" s="115">
        <v>15</v>
      </c>
      <c r="P820" s="115" t="e">
        <f>ROUND(Tableau14[[#This Row],[LEN]]*#REF!+#REF!,0)</f>
        <v>#REF!</v>
      </c>
    </row>
    <row r="821" spans="1:16" s="97" customFormat="1" x14ac:dyDescent="0.25">
      <c r="A821" s="41" t="s">
        <v>1600</v>
      </c>
      <c r="B821" s="42" t="s">
        <v>300</v>
      </c>
      <c r="C821" s="43" t="s">
        <v>1612</v>
      </c>
      <c r="D821" s="74" t="s">
        <v>28</v>
      </c>
      <c r="E821" s="43" t="s">
        <v>678</v>
      </c>
      <c r="F821" s="43" t="s">
        <v>1177</v>
      </c>
      <c r="G821" s="74" t="s">
        <v>68</v>
      </c>
      <c r="H821" s="74" t="s">
        <v>656</v>
      </c>
      <c r="I821" s="43"/>
      <c r="J821" s="44" t="s">
        <v>708</v>
      </c>
      <c r="K821" s="115">
        <f>ROUND(Tableau14[[#This Row],[LEN]]*7.27,0)</f>
        <v>174</v>
      </c>
      <c r="L821" s="115">
        <v>15</v>
      </c>
      <c r="M821" s="132" t="str">
        <f t="shared" si="5"/>
        <v>none</v>
      </c>
      <c r="N821" s="115">
        <f>LEN(Tableau14[[#This Row],[LABEL]])</f>
        <v>24</v>
      </c>
      <c r="O821" s="115">
        <v>15</v>
      </c>
      <c r="P821" s="115" t="e">
        <f>ROUND(Tableau14[[#This Row],[LEN]]*#REF!+#REF!,0)</f>
        <v>#REF!</v>
      </c>
    </row>
    <row r="822" spans="1:16" s="97" customFormat="1" x14ac:dyDescent="0.25">
      <c r="A822" s="41" t="s">
        <v>1601</v>
      </c>
      <c r="B822" s="42" t="s">
        <v>300</v>
      </c>
      <c r="C822" s="43" t="s">
        <v>1613</v>
      </c>
      <c r="D822" s="74" t="s">
        <v>28</v>
      </c>
      <c r="E822" s="43" t="s">
        <v>678</v>
      </c>
      <c r="F822" s="43" t="s">
        <v>1177</v>
      </c>
      <c r="G822" s="74" t="s">
        <v>68</v>
      </c>
      <c r="H822" s="74" t="s">
        <v>656</v>
      </c>
      <c r="I822" s="43"/>
      <c r="J822" s="44" t="s">
        <v>708</v>
      </c>
      <c r="K822" s="115">
        <f>ROUND(Tableau14[[#This Row],[LEN]]*7.27,0)</f>
        <v>160</v>
      </c>
      <c r="L822" s="115">
        <v>15</v>
      </c>
      <c r="M822" s="132" t="str">
        <f t="shared" si="5"/>
        <v>none</v>
      </c>
      <c r="N822" s="115">
        <f>LEN(Tableau14[[#This Row],[LABEL]])</f>
        <v>22</v>
      </c>
      <c r="O822" s="115">
        <v>15</v>
      </c>
      <c r="P822" s="115" t="e">
        <f>ROUND(Tableau14[[#This Row],[LEN]]*#REF!+#REF!,0)</f>
        <v>#REF!</v>
      </c>
    </row>
    <row r="823" spans="1:16" s="97" customFormat="1" x14ac:dyDescent="0.25">
      <c r="A823" s="41" t="s">
        <v>1602</v>
      </c>
      <c r="B823" s="42" t="s">
        <v>300</v>
      </c>
      <c r="C823" s="43" t="s">
        <v>1614</v>
      </c>
      <c r="D823" s="74" t="s">
        <v>28</v>
      </c>
      <c r="E823" s="43" t="s">
        <v>678</v>
      </c>
      <c r="F823" s="43" t="s">
        <v>1177</v>
      </c>
      <c r="G823" s="74" t="s">
        <v>68</v>
      </c>
      <c r="H823" s="74" t="s">
        <v>656</v>
      </c>
      <c r="I823" s="43"/>
      <c r="J823" s="44" t="s">
        <v>708</v>
      </c>
      <c r="K823" s="115">
        <f>ROUND(Tableau14[[#This Row],[LEN]]*7.27,0)</f>
        <v>465</v>
      </c>
      <c r="L823" s="115">
        <v>15</v>
      </c>
      <c r="M823" s="132" t="str">
        <f t="shared" si="5"/>
        <v>none</v>
      </c>
      <c r="N823" s="115">
        <f>LEN(Tableau14[[#This Row],[LABEL]])</f>
        <v>64</v>
      </c>
      <c r="O823" s="115">
        <v>15</v>
      </c>
      <c r="P823" s="115" t="e">
        <f>ROUND(Tableau14[[#This Row],[LEN]]*#REF!+#REF!,0)</f>
        <v>#REF!</v>
      </c>
    </row>
    <row r="824" spans="1:16" s="97" customFormat="1" x14ac:dyDescent="0.25">
      <c r="A824" s="41" t="s">
        <v>1603</v>
      </c>
      <c r="B824" s="42" t="s">
        <v>300</v>
      </c>
      <c r="C824" s="43" t="s">
        <v>1615</v>
      </c>
      <c r="D824" s="74" t="s">
        <v>28</v>
      </c>
      <c r="E824" s="43" t="s">
        <v>678</v>
      </c>
      <c r="F824" s="43" t="s">
        <v>1177</v>
      </c>
      <c r="G824" s="74" t="s">
        <v>68</v>
      </c>
      <c r="H824" s="74" t="s">
        <v>656</v>
      </c>
      <c r="I824" s="43"/>
      <c r="J824" s="44" t="s">
        <v>708</v>
      </c>
      <c r="K824" s="115">
        <f>ROUND(Tableau14[[#This Row],[LEN]]*7.27,0)</f>
        <v>291</v>
      </c>
      <c r="L824" s="115">
        <v>15</v>
      </c>
      <c r="M824" s="132" t="str">
        <f t="shared" si="5"/>
        <v>none</v>
      </c>
      <c r="N824" s="115">
        <f>LEN(Tableau14[[#This Row],[LABEL]])</f>
        <v>40</v>
      </c>
      <c r="O824" s="115">
        <v>15</v>
      </c>
      <c r="P824" s="115" t="e">
        <f>ROUND(Tableau14[[#This Row],[LEN]]*#REF!+#REF!,0)</f>
        <v>#REF!</v>
      </c>
    </row>
    <row r="825" spans="1:16" s="97" customFormat="1" x14ac:dyDescent="0.25">
      <c r="A825" s="41" t="s">
        <v>1604</v>
      </c>
      <c r="B825" s="42" t="s">
        <v>300</v>
      </c>
      <c r="C825" s="43" t="s">
        <v>849</v>
      </c>
      <c r="D825" s="74" t="s">
        <v>28</v>
      </c>
      <c r="E825" s="43" t="s">
        <v>667</v>
      </c>
      <c r="F825" s="43" t="s">
        <v>840</v>
      </c>
      <c r="G825" s="74" t="s">
        <v>68</v>
      </c>
      <c r="H825" s="74" t="s">
        <v>655</v>
      </c>
      <c r="I825" s="43"/>
      <c r="J825" s="44" t="s">
        <v>708</v>
      </c>
      <c r="K825" s="115">
        <f>ROUND(Tableau14[[#This Row],[LEN]]*7.27,0)</f>
        <v>80</v>
      </c>
      <c r="L825" s="115">
        <v>15</v>
      </c>
      <c r="M825" s="132" t="str">
        <f t="shared" si="5"/>
        <v>none</v>
      </c>
      <c r="N825" s="115">
        <f>LEN(Tableau14[[#This Row],[LABEL]])</f>
        <v>11</v>
      </c>
      <c r="O825" s="115">
        <v>15</v>
      </c>
      <c r="P825" s="115" t="e">
        <f>ROUND(Tableau14[[#This Row],[LEN]]*#REF!+#REF!,0)</f>
        <v>#REF!</v>
      </c>
    </row>
    <row r="826" spans="1:16" s="97" customFormat="1" x14ac:dyDescent="0.25">
      <c r="A826" s="45" t="s">
        <v>1616</v>
      </c>
      <c r="B826" s="46" t="s">
        <v>1604</v>
      </c>
      <c r="C826" s="47" t="s">
        <v>112</v>
      </c>
      <c r="D826" s="75" t="s">
        <v>28</v>
      </c>
      <c r="E826" s="47" t="s">
        <v>667</v>
      </c>
      <c r="F826" s="47" t="s">
        <v>2006</v>
      </c>
      <c r="G826" s="75" t="s">
        <v>68</v>
      </c>
      <c r="H826" s="75" t="s">
        <v>654</v>
      </c>
      <c r="I826" s="47"/>
      <c r="J826" s="48" t="s">
        <v>708</v>
      </c>
      <c r="K826" s="116">
        <f>ROUND(Tableau14[[#This Row],[LEN]]*7.27,0)</f>
        <v>167</v>
      </c>
      <c r="L826" s="116">
        <v>15</v>
      </c>
      <c r="M826" s="133" t="str">
        <f t="shared" si="5"/>
        <v>none</v>
      </c>
      <c r="N826" s="116">
        <f>LEN(Tableau14[[#This Row],[LABEL]])</f>
        <v>23</v>
      </c>
      <c r="O826" s="116">
        <v>15</v>
      </c>
      <c r="P826" s="116" t="e">
        <f>ROUND(Tableau14[[#This Row],[LEN]]*#REF!+#REF!,0)</f>
        <v>#REF!</v>
      </c>
    </row>
    <row r="827" spans="1:16" s="97" customFormat="1" x14ac:dyDescent="0.25">
      <c r="A827" s="45" t="s">
        <v>1617</v>
      </c>
      <c r="B827" s="46" t="s">
        <v>1604</v>
      </c>
      <c r="C827" s="47" t="s">
        <v>113</v>
      </c>
      <c r="D827" s="75" t="s">
        <v>28</v>
      </c>
      <c r="E827" s="47" t="s">
        <v>667</v>
      </c>
      <c r="F827" s="47" t="s">
        <v>2006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ROUND(Tableau14[[#This Row],[LEN]]*7.27,0)</f>
        <v>233</v>
      </c>
      <c r="L827" s="116">
        <v>15</v>
      </c>
      <c r="M827" s="133" t="str">
        <f t="shared" si="5"/>
        <v>none</v>
      </c>
      <c r="N827" s="116">
        <f>LEN(Tableau14[[#This Row],[LABEL]])</f>
        <v>32</v>
      </c>
      <c r="O827" s="116">
        <v>15</v>
      </c>
      <c r="P827" s="116" t="e">
        <f>ROUND(Tableau14[[#This Row],[LEN]]*#REF!+#REF!,0)</f>
        <v>#REF!</v>
      </c>
    </row>
    <row r="828" spans="1:16" s="97" customFormat="1" x14ac:dyDescent="0.25">
      <c r="A828" s="41" t="s">
        <v>1605</v>
      </c>
      <c r="B828" s="42" t="s">
        <v>300</v>
      </c>
      <c r="C828" s="43" t="s">
        <v>1618</v>
      </c>
      <c r="D828" s="74" t="s">
        <v>28</v>
      </c>
      <c r="E828" s="43" t="s">
        <v>669</v>
      </c>
      <c r="F828" s="43" t="s">
        <v>678</v>
      </c>
      <c r="G828" s="74" t="s">
        <v>68</v>
      </c>
      <c r="H828" s="74" t="s">
        <v>656</v>
      </c>
      <c r="I828" s="43"/>
      <c r="J828" s="44" t="s">
        <v>708</v>
      </c>
      <c r="K828" s="115">
        <f>ROUND(Tableau14[[#This Row],[LEN]]*7.27,0)</f>
        <v>225</v>
      </c>
      <c r="L828" s="115">
        <v>15</v>
      </c>
      <c r="M828" s="132" t="str">
        <f t="shared" si="5"/>
        <v>none</v>
      </c>
      <c r="N828" s="115">
        <f>LEN(Tableau14[[#This Row],[LABEL]])</f>
        <v>31</v>
      </c>
      <c r="O828" s="115">
        <v>15</v>
      </c>
      <c r="P828" s="115" t="e">
        <f>ROUND(Tableau14[[#This Row],[LEN]]*#REF!+#REF!,0)</f>
        <v>#REF!</v>
      </c>
    </row>
    <row r="829" spans="1:16" s="97" customFormat="1" x14ac:dyDescent="0.25">
      <c r="A829" s="41" t="s">
        <v>1606</v>
      </c>
      <c r="B829" s="42" t="s">
        <v>300</v>
      </c>
      <c r="C829" s="43" t="s">
        <v>1620</v>
      </c>
      <c r="D829" s="74" t="s">
        <v>28</v>
      </c>
      <c r="E829" s="43" t="s">
        <v>675</v>
      </c>
      <c r="F829" s="43" t="s">
        <v>678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ROUND(Tableau14[[#This Row],[LEN]]*7.27,0)</f>
        <v>262</v>
      </c>
      <c r="L829" s="115">
        <v>15</v>
      </c>
      <c r="M829" s="132" t="str">
        <f t="shared" si="5"/>
        <v>none</v>
      </c>
      <c r="N829" s="115">
        <f>LEN(Tableau14[[#This Row],[LABEL]])</f>
        <v>36</v>
      </c>
      <c r="O829" s="115">
        <v>15</v>
      </c>
      <c r="P829" s="115" t="e">
        <f>ROUND(Tableau14[[#This Row],[LEN]]*#REF!+#REF!,0)</f>
        <v>#REF!</v>
      </c>
    </row>
    <row r="830" spans="1:16" s="97" customFormat="1" x14ac:dyDescent="0.25">
      <c r="A830" s="41" t="s">
        <v>1607</v>
      </c>
      <c r="B830" s="42" t="s">
        <v>300</v>
      </c>
      <c r="C830" s="43" t="s">
        <v>1622</v>
      </c>
      <c r="D830" s="74" t="s">
        <v>28</v>
      </c>
      <c r="E830" s="43" t="s">
        <v>678</v>
      </c>
      <c r="F830" s="43" t="s">
        <v>1177</v>
      </c>
      <c r="G830" s="74" t="s">
        <v>68</v>
      </c>
      <c r="H830" s="74" t="s">
        <v>654</v>
      </c>
      <c r="I830" s="43"/>
      <c r="J830" s="44" t="s">
        <v>708</v>
      </c>
      <c r="K830" s="115">
        <f>ROUND(Tableau14[[#This Row],[LEN]]*7.27,0)</f>
        <v>465</v>
      </c>
      <c r="L830" s="115">
        <v>15</v>
      </c>
      <c r="M830" s="132" t="str">
        <f t="shared" si="5"/>
        <v>none</v>
      </c>
      <c r="N830" s="115">
        <f>LEN(Tableau14[[#This Row],[LABEL]])</f>
        <v>64</v>
      </c>
      <c r="O830" s="115">
        <v>15</v>
      </c>
      <c r="P830" s="115" t="e">
        <f>ROUND(Tableau14[[#This Row],[LEN]]*#REF!+#REF!,0)</f>
        <v>#REF!</v>
      </c>
    </row>
    <row r="831" spans="1:16" s="97" customFormat="1" x14ac:dyDescent="0.25">
      <c r="A831" s="41" t="s">
        <v>1608</v>
      </c>
      <c r="B831" s="42" t="s">
        <v>300</v>
      </c>
      <c r="C831" s="43" t="s">
        <v>1372</v>
      </c>
      <c r="D831" s="74" t="s">
        <v>28</v>
      </c>
      <c r="E831" s="43" t="s">
        <v>678</v>
      </c>
      <c r="F831" s="43" t="s">
        <v>1177</v>
      </c>
      <c r="G831" s="74" t="s">
        <v>68</v>
      </c>
      <c r="H831" s="74" t="s">
        <v>655</v>
      </c>
      <c r="I831" s="43"/>
      <c r="J831" s="44" t="s">
        <v>708</v>
      </c>
      <c r="K831" s="115">
        <f>ROUND(Tableau14[[#This Row],[LEN]]*7.27,0)</f>
        <v>80</v>
      </c>
      <c r="L831" s="115">
        <v>15</v>
      </c>
      <c r="M831" s="132" t="str">
        <f t="shared" si="5"/>
        <v>none</v>
      </c>
      <c r="N831" s="115">
        <f>LEN(Tableau14[[#This Row],[LABEL]])</f>
        <v>11</v>
      </c>
      <c r="O831" s="115">
        <v>15</v>
      </c>
      <c r="P831" s="115" t="e">
        <f>ROUND(Tableau14[[#This Row],[LEN]]*#REF!+#REF!,0)</f>
        <v>#REF!</v>
      </c>
    </row>
    <row r="832" spans="1:16" s="97" customFormat="1" x14ac:dyDescent="0.25">
      <c r="A832" s="45" t="s">
        <v>1623</v>
      </c>
      <c r="B832" s="46" t="s">
        <v>1608</v>
      </c>
      <c r="C832" s="47" t="s">
        <v>1625</v>
      </c>
      <c r="D832" s="75" t="s">
        <v>28</v>
      </c>
      <c r="E832" s="47" t="s">
        <v>678</v>
      </c>
      <c r="F832" s="47" t="s">
        <v>1177</v>
      </c>
      <c r="G832" s="75" t="s">
        <v>68</v>
      </c>
      <c r="H832" s="75" t="s">
        <v>654</v>
      </c>
      <c r="I832" s="47"/>
      <c r="J832" s="48" t="s">
        <v>708</v>
      </c>
      <c r="K832" s="116">
        <f>ROUND(Tableau14[[#This Row],[LEN]]*7.27,0)</f>
        <v>109</v>
      </c>
      <c r="L832" s="116">
        <v>15</v>
      </c>
      <c r="M832" s="133" t="str">
        <f t="shared" si="5"/>
        <v>none</v>
      </c>
      <c r="N832" s="116">
        <f>LEN(Tableau14[[#This Row],[LABEL]])</f>
        <v>15</v>
      </c>
      <c r="O832" s="116">
        <v>15</v>
      </c>
      <c r="P832" s="116" t="e">
        <f>ROUND(Tableau14[[#This Row],[LEN]]*#REF!+#REF!,0)</f>
        <v>#REF!</v>
      </c>
    </row>
    <row r="833" spans="1:16" s="97" customFormat="1" x14ac:dyDescent="0.25">
      <c r="A833" s="45" t="s">
        <v>1624</v>
      </c>
      <c r="B833" s="46" t="s">
        <v>1608</v>
      </c>
      <c r="C833" s="47" t="s">
        <v>1626</v>
      </c>
      <c r="D833" s="75" t="s">
        <v>28</v>
      </c>
      <c r="E833" s="47" t="s">
        <v>678</v>
      </c>
      <c r="F833" s="47" t="s">
        <v>1177</v>
      </c>
      <c r="G833" s="75" t="s">
        <v>68</v>
      </c>
      <c r="H833" s="75" t="s">
        <v>654</v>
      </c>
      <c r="I833" s="47"/>
      <c r="J833" s="48" t="s">
        <v>708</v>
      </c>
      <c r="K833" s="116">
        <f>ROUND(Tableau14[[#This Row],[LEN]]*7.27,0)</f>
        <v>124</v>
      </c>
      <c r="L833" s="116">
        <v>15</v>
      </c>
      <c r="M833" s="133" t="str">
        <f t="shared" si="5"/>
        <v>none</v>
      </c>
      <c r="N833" s="116">
        <f>LEN(Tableau14[[#This Row],[LABEL]])</f>
        <v>17</v>
      </c>
      <c r="O833" s="116">
        <v>15</v>
      </c>
      <c r="P833" s="116" t="e">
        <f>ROUND(Tableau14[[#This Row],[LEN]]*#REF!+#REF!,0)</f>
        <v>#REF!</v>
      </c>
    </row>
    <row r="834" spans="1:16" s="97" customFormat="1" x14ac:dyDescent="0.25">
      <c r="A834" s="41" t="s">
        <v>1609</v>
      </c>
      <c r="B834" s="42" t="s">
        <v>300</v>
      </c>
      <c r="C834" s="43" t="s">
        <v>1627</v>
      </c>
      <c r="D834" s="74" t="s">
        <v>28</v>
      </c>
      <c r="E834" s="43" t="s">
        <v>678</v>
      </c>
      <c r="F834" s="43" t="s">
        <v>1177</v>
      </c>
      <c r="G834" s="74" t="s">
        <v>68</v>
      </c>
      <c r="H834" s="74" t="s">
        <v>654</v>
      </c>
      <c r="I834" s="43"/>
      <c r="J834" s="44" t="s">
        <v>708</v>
      </c>
      <c r="K834" s="115">
        <f>ROUND(Tableau14[[#This Row],[LEN]]*7.27,0)</f>
        <v>334</v>
      </c>
      <c r="L834" s="115">
        <v>15</v>
      </c>
      <c r="M834" s="132" t="str">
        <f t="shared" si="5"/>
        <v>none</v>
      </c>
      <c r="N834" s="115">
        <f>LEN(Tableau14[[#This Row],[LABEL]])</f>
        <v>46</v>
      </c>
      <c r="O834" s="115">
        <v>15</v>
      </c>
      <c r="P834" s="115" t="e">
        <f>ROUND(Tableau14[[#This Row],[LEN]]*#REF!+#REF!,0)</f>
        <v>#REF!</v>
      </c>
    </row>
    <row r="835" spans="1:16" s="97" customFormat="1" x14ac:dyDescent="0.25">
      <c r="A835" s="41" t="s">
        <v>1610</v>
      </c>
      <c r="B835" s="42" t="s">
        <v>300</v>
      </c>
      <c r="C835" s="43" t="s">
        <v>1628</v>
      </c>
      <c r="D835" s="74" t="s">
        <v>28</v>
      </c>
      <c r="E835" s="43" t="s">
        <v>678</v>
      </c>
      <c r="F835" s="43" t="s">
        <v>1177</v>
      </c>
      <c r="G835" s="74" t="s">
        <v>68</v>
      </c>
      <c r="H835" s="74" t="s">
        <v>655</v>
      </c>
      <c r="I835" s="43"/>
      <c r="J835" s="44" t="s">
        <v>708</v>
      </c>
      <c r="K835" s="115">
        <f>ROUND(Tableau14[[#This Row],[LEN]]*7.27,0)</f>
        <v>225</v>
      </c>
      <c r="L835" s="115">
        <v>15</v>
      </c>
      <c r="M835" s="132" t="str">
        <f t="shared" si="5"/>
        <v>none</v>
      </c>
      <c r="N835" s="115">
        <f>LEN(Tableau14[[#This Row],[LABEL]])</f>
        <v>31</v>
      </c>
      <c r="O835" s="115">
        <v>15</v>
      </c>
      <c r="P835" s="115" t="e">
        <f>ROUND(Tableau14[[#This Row],[LEN]]*#REF!+#REF!,0)</f>
        <v>#REF!</v>
      </c>
    </row>
    <row r="836" spans="1:16" s="97" customFormat="1" x14ac:dyDescent="0.25">
      <c r="A836" s="45" t="s">
        <v>1629</v>
      </c>
      <c r="B836" s="46" t="s">
        <v>1610</v>
      </c>
      <c r="C836" s="47" t="s">
        <v>1633</v>
      </c>
      <c r="D836" s="75" t="s">
        <v>28</v>
      </c>
      <c r="E836" s="47" t="s">
        <v>678</v>
      </c>
      <c r="F836" s="47" t="s">
        <v>1177</v>
      </c>
      <c r="G836" s="75" t="s">
        <v>68</v>
      </c>
      <c r="H836" s="75" t="s">
        <v>656</v>
      </c>
      <c r="I836" s="47"/>
      <c r="J836" s="48" t="s">
        <v>708</v>
      </c>
      <c r="K836" s="116">
        <f>ROUND(Tableau14[[#This Row],[LEN]]*7.27,0)</f>
        <v>22</v>
      </c>
      <c r="L836" s="116">
        <v>15</v>
      </c>
      <c r="M836" s="133" t="str">
        <f t="shared" si="5"/>
        <v>none</v>
      </c>
      <c r="N836" s="116">
        <f>LEN(Tableau14[[#This Row],[LABEL]])</f>
        <v>3</v>
      </c>
      <c r="O836" s="116">
        <v>15</v>
      </c>
      <c r="P836" s="116" t="e">
        <f>ROUND(Tableau14[[#This Row],[LEN]]*#REF!+#REF!,0)</f>
        <v>#REF!</v>
      </c>
    </row>
    <row r="837" spans="1:16" s="97" customFormat="1" x14ac:dyDescent="0.25">
      <c r="A837" s="45" t="s">
        <v>1630</v>
      </c>
      <c r="B837" s="46" t="s">
        <v>1610</v>
      </c>
      <c r="C837" s="47" t="s">
        <v>1634</v>
      </c>
      <c r="D837" s="75" t="s">
        <v>28</v>
      </c>
      <c r="E837" s="47" t="s">
        <v>678</v>
      </c>
      <c r="F837" s="47" t="s">
        <v>1177</v>
      </c>
      <c r="G837" s="75" t="s">
        <v>68</v>
      </c>
      <c r="H837" s="75" t="s">
        <v>656</v>
      </c>
      <c r="I837" s="47"/>
      <c r="J837" s="48" t="s">
        <v>708</v>
      </c>
      <c r="K837" s="116">
        <f>ROUND(Tableau14[[#This Row],[LEN]]*7.27,0)</f>
        <v>80</v>
      </c>
      <c r="L837" s="116">
        <v>15</v>
      </c>
      <c r="M837" s="133" t="str">
        <f t="shared" si="5"/>
        <v>none</v>
      </c>
      <c r="N837" s="116">
        <f>LEN(Tableau14[[#This Row],[LABEL]])</f>
        <v>11</v>
      </c>
      <c r="O837" s="116">
        <v>15</v>
      </c>
      <c r="P837" s="116" t="e">
        <f>ROUND(Tableau14[[#This Row],[LEN]]*#REF!+#REF!,0)</f>
        <v>#REF!</v>
      </c>
    </row>
    <row r="838" spans="1:16" s="97" customFormat="1" x14ac:dyDescent="0.25">
      <c r="A838" s="45" t="s">
        <v>1631</v>
      </c>
      <c r="B838" s="46" t="s">
        <v>1610</v>
      </c>
      <c r="C838" s="47" t="s">
        <v>1635</v>
      </c>
      <c r="D838" s="75" t="s">
        <v>28</v>
      </c>
      <c r="E838" s="47" t="s">
        <v>678</v>
      </c>
      <c r="F838" s="47" t="s">
        <v>1177</v>
      </c>
      <c r="G838" s="75" t="s">
        <v>68</v>
      </c>
      <c r="H838" s="75" t="s">
        <v>656</v>
      </c>
      <c r="I838" s="47"/>
      <c r="J838" s="48" t="s">
        <v>708</v>
      </c>
      <c r="K838" s="116">
        <f>ROUND(Tableau14[[#This Row],[LEN]]*7.27,0)</f>
        <v>131</v>
      </c>
      <c r="L838" s="116">
        <v>15</v>
      </c>
      <c r="M838" s="133" t="str">
        <f t="shared" si="5"/>
        <v>none</v>
      </c>
      <c r="N838" s="116">
        <f>LEN(Tableau14[[#This Row],[LABEL]])</f>
        <v>18</v>
      </c>
      <c r="O838" s="116">
        <v>15</v>
      </c>
      <c r="P838" s="116" t="e">
        <f>ROUND(Tableau14[[#This Row],[LEN]]*#REF!+#REF!,0)</f>
        <v>#REF!</v>
      </c>
    </row>
    <row r="839" spans="1:16" s="97" customFormat="1" x14ac:dyDescent="0.25">
      <c r="A839" s="45" t="s">
        <v>1632</v>
      </c>
      <c r="B839" s="46" t="s">
        <v>1610</v>
      </c>
      <c r="C839" s="47" t="s">
        <v>1636</v>
      </c>
      <c r="D839" s="75" t="s">
        <v>28</v>
      </c>
      <c r="E839" s="47" t="s">
        <v>678</v>
      </c>
      <c r="F839" s="47" t="s">
        <v>1177</v>
      </c>
      <c r="G839" s="75" t="s">
        <v>68</v>
      </c>
      <c r="H839" s="75" t="s">
        <v>656</v>
      </c>
      <c r="I839" s="47"/>
      <c r="J839" s="48" t="s">
        <v>708</v>
      </c>
      <c r="K839" s="116">
        <f>ROUND(Tableau14[[#This Row],[LEN]]*7.27,0)</f>
        <v>95</v>
      </c>
      <c r="L839" s="116">
        <v>15</v>
      </c>
      <c r="M839" s="133" t="str">
        <f t="shared" si="5"/>
        <v>none</v>
      </c>
      <c r="N839" s="116">
        <f>LEN(Tableau14[[#This Row],[LABEL]])</f>
        <v>13</v>
      </c>
      <c r="O839" s="116">
        <v>15</v>
      </c>
      <c r="P839" s="116" t="e">
        <f>ROUND(Tableau14[[#This Row],[LEN]]*#REF!+#REF!,0)</f>
        <v>#REF!</v>
      </c>
    </row>
    <row r="840" spans="1:16" s="273" customFormat="1" x14ac:dyDescent="0.25">
      <c r="A840" s="337" t="s">
        <v>301</v>
      </c>
      <c r="B840" s="338" t="s">
        <v>208</v>
      </c>
      <c r="C840" s="339" t="s">
        <v>15</v>
      </c>
      <c r="D840" s="340" t="s">
        <v>28</v>
      </c>
      <c r="E840" s="339" t="s">
        <v>679</v>
      </c>
      <c r="F840" s="339" t="s">
        <v>679</v>
      </c>
      <c r="G840" s="340" t="s">
        <v>68</v>
      </c>
      <c r="H840" s="340" t="str">
        <f>IFERROR(IF(SEARCH(".00.00.00.00.00",Tableau14[[#This Row],[name]],1)=7,"Division",""),"")</f>
        <v>Division</v>
      </c>
      <c r="I840" s="339"/>
      <c r="J840" s="341" t="s">
        <v>725</v>
      </c>
      <c r="K840" s="342">
        <f>ROUND(Tableau14[[#This Row],[LEN]]*7.27,0)</f>
        <v>174</v>
      </c>
      <c r="L840" s="342">
        <v>15</v>
      </c>
      <c r="M840" s="343" t="str">
        <f t="shared" si="5"/>
        <v>new</v>
      </c>
      <c r="N840" s="342">
        <f>LEN(Tableau14[[#This Row],[LABEL]])</f>
        <v>24</v>
      </c>
      <c r="O840" s="342">
        <v>15</v>
      </c>
      <c r="P840" s="342" t="e">
        <f>ROUND(Tableau14[[#This Row],[LEN]]*#REF!+#REF!,0)</f>
        <v>#REF!</v>
      </c>
    </row>
    <row r="841" spans="1:16" s="97" customFormat="1" x14ac:dyDescent="0.25">
      <c r="A841" s="41" t="s">
        <v>1637</v>
      </c>
      <c r="B841" s="42" t="s">
        <v>301</v>
      </c>
      <c r="C841" s="43" t="s">
        <v>849</v>
      </c>
      <c r="D841" s="74" t="s">
        <v>28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115">
        <f>ROUND(Tableau14[[#This Row],[LEN]]*7.27,0)</f>
        <v>80</v>
      </c>
      <c r="L841" s="115">
        <v>15</v>
      </c>
      <c r="M841" s="132" t="str">
        <f t="shared" si="5"/>
        <v>none</v>
      </c>
      <c r="N841" s="115">
        <f>LEN(Tableau14[[#This Row],[LABEL]])</f>
        <v>11</v>
      </c>
      <c r="O841" s="115">
        <v>15</v>
      </c>
      <c r="P841" s="115" t="e">
        <f>ROUND(Tableau14[[#This Row],[LEN]]*#REF!+#REF!,0)</f>
        <v>#REF!</v>
      </c>
    </row>
    <row r="842" spans="1:16" s="97" customFormat="1" x14ac:dyDescent="0.25">
      <c r="A842" s="45" t="s">
        <v>1640</v>
      </c>
      <c r="B842" s="46" t="s">
        <v>1637</v>
      </c>
      <c r="C842" s="47" t="s">
        <v>112</v>
      </c>
      <c r="D842" s="75" t="s">
        <v>28</v>
      </c>
      <c r="E842" s="47" t="s">
        <v>667</v>
      </c>
      <c r="F842" s="47" t="s">
        <v>2006</v>
      </c>
      <c r="G842" s="75" t="s">
        <v>68</v>
      </c>
      <c r="H842" s="75" t="s">
        <v>654</v>
      </c>
      <c r="I842" s="47"/>
      <c r="J842" s="48" t="s">
        <v>708</v>
      </c>
      <c r="K842" s="116">
        <f>ROUND(Tableau14[[#This Row],[LEN]]*7.27,0)</f>
        <v>167</v>
      </c>
      <c r="L842" s="116">
        <v>15</v>
      </c>
      <c r="M842" s="133" t="str">
        <f t="shared" si="5"/>
        <v>none</v>
      </c>
      <c r="N842" s="116">
        <f>LEN(Tableau14[[#This Row],[LABEL]])</f>
        <v>23</v>
      </c>
      <c r="O842" s="116">
        <v>15</v>
      </c>
      <c r="P842" s="116" t="e">
        <f>ROUND(Tableau14[[#This Row],[LEN]]*#REF!+#REF!,0)</f>
        <v>#REF!</v>
      </c>
    </row>
    <row r="843" spans="1:16" s="97" customFormat="1" x14ac:dyDescent="0.25">
      <c r="A843" s="45" t="s">
        <v>1641</v>
      </c>
      <c r="B843" s="46" t="s">
        <v>1637</v>
      </c>
      <c r="C843" s="47" t="s">
        <v>113</v>
      </c>
      <c r="D843" s="75" t="s">
        <v>28</v>
      </c>
      <c r="E843" s="47" t="s">
        <v>667</v>
      </c>
      <c r="F843" s="47" t="s">
        <v>2006</v>
      </c>
      <c r="G843" s="75" t="s">
        <v>68</v>
      </c>
      <c r="H843" s="75" t="s">
        <v>654</v>
      </c>
      <c r="I843" s="47"/>
      <c r="J843" s="48" t="s">
        <v>708</v>
      </c>
      <c r="K843" s="116">
        <f>ROUND(Tableau14[[#This Row],[LEN]]*7.27,0)</f>
        <v>233</v>
      </c>
      <c r="L843" s="116">
        <v>15</v>
      </c>
      <c r="M843" s="133" t="str">
        <f t="shared" si="5"/>
        <v>none</v>
      </c>
      <c r="N843" s="116">
        <f>LEN(Tableau14[[#This Row],[LABEL]])</f>
        <v>32</v>
      </c>
      <c r="O843" s="116">
        <v>15</v>
      </c>
      <c r="P843" s="116" t="e">
        <f>ROUND(Tableau14[[#This Row],[LEN]]*#REF!+#REF!,0)</f>
        <v>#REF!</v>
      </c>
    </row>
    <row r="844" spans="1:16" s="97" customFormat="1" x14ac:dyDescent="0.25">
      <c r="A844" s="41" t="s">
        <v>1638</v>
      </c>
      <c r="B844" s="42" t="s">
        <v>301</v>
      </c>
      <c r="C844" s="43" t="s">
        <v>1639</v>
      </c>
      <c r="D844" s="74" t="s">
        <v>28</v>
      </c>
      <c r="E844" s="43" t="s">
        <v>679</v>
      </c>
      <c r="F844" s="43" t="s">
        <v>675</v>
      </c>
      <c r="G844" s="74" t="s">
        <v>68</v>
      </c>
      <c r="H844" s="74" t="s">
        <v>654</v>
      </c>
      <c r="I844" s="43"/>
      <c r="J844" s="44" t="s">
        <v>708</v>
      </c>
      <c r="K844" s="115">
        <f>ROUND(Tableau14[[#This Row],[LEN]]*7.27,0)</f>
        <v>247</v>
      </c>
      <c r="L844" s="115">
        <v>15</v>
      </c>
      <c r="M844" s="132" t="str">
        <f t="shared" si="5"/>
        <v>none</v>
      </c>
      <c r="N844" s="115">
        <f>LEN(Tableau14[[#This Row],[LABEL]])</f>
        <v>34</v>
      </c>
      <c r="O844" s="115">
        <v>15</v>
      </c>
      <c r="P844" s="115" t="e">
        <f>ROUND(Tableau14[[#This Row],[LEN]]*#REF!+#REF!,0)</f>
        <v>#REF!</v>
      </c>
    </row>
    <row r="845" spans="1:16" s="273" customFormat="1" x14ac:dyDescent="0.25">
      <c r="A845" s="338" t="s">
        <v>284</v>
      </c>
      <c r="B845" s="338" t="s">
        <v>208</v>
      </c>
      <c r="C845" s="339" t="s">
        <v>1950</v>
      </c>
      <c r="D845" s="340" t="s">
        <v>28</v>
      </c>
      <c r="E845" s="339" t="s">
        <v>1951</v>
      </c>
      <c r="F845" s="339" t="s">
        <v>1951</v>
      </c>
      <c r="G845" s="340" t="s">
        <v>68</v>
      </c>
      <c r="H845" s="340" t="str">
        <f>IFERROR(IF(SEARCH(".00.00.00.00.00",Tableau14[[#This Row],[name]],1)=7,"Division",""),"")</f>
        <v>Division</v>
      </c>
      <c r="I845" s="339"/>
      <c r="J845" s="341" t="s">
        <v>708</v>
      </c>
      <c r="K845" s="342">
        <f>ROUND(Tableau14[[#This Row],[LEN]]*7.27,0)</f>
        <v>51</v>
      </c>
      <c r="L845" s="342">
        <v>15</v>
      </c>
      <c r="M845" s="343" t="str">
        <f t="shared" si="5"/>
        <v>none</v>
      </c>
      <c r="N845" s="342">
        <f>LEN(Tableau14[[#This Row],[LABEL]])</f>
        <v>7</v>
      </c>
      <c r="O845" s="342">
        <v>15</v>
      </c>
      <c r="P845" s="342" t="e">
        <f>ROUND(Tableau14[[#This Row],[LEN]]*#REF!+#REF!,0)</f>
        <v>#REF!</v>
      </c>
    </row>
    <row r="846" spans="1:16" s="97" customFormat="1" x14ac:dyDescent="0.25">
      <c r="A846" s="41" t="s">
        <v>2011</v>
      </c>
      <c r="B846" s="42" t="s">
        <v>284</v>
      </c>
      <c r="C846" s="43" t="s">
        <v>2016</v>
      </c>
      <c r="D846" s="74" t="s">
        <v>28</v>
      </c>
      <c r="E846" s="43" t="s">
        <v>1951</v>
      </c>
      <c r="F846" s="43" t="s">
        <v>1177</v>
      </c>
      <c r="G846" s="74" t="s">
        <v>68</v>
      </c>
      <c r="H846" s="74" t="s">
        <v>654</v>
      </c>
      <c r="I846" s="43"/>
      <c r="J846" s="44" t="s">
        <v>708</v>
      </c>
      <c r="K846" s="115">
        <f>ROUND(Tableau14[[#This Row],[LEN]]*7.27,0)</f>
        <v>538</v>
      </c>
      <c r="L846" s="115">
        <v>15</v>
      </c>
      <c r="M846" s="132" t="str">
        <f t="shared" si="5"/>
        <v>none</v>
      </c>
      <c r="N846" s="115">
        <f>LEN(Tableau14[[#This Row],[LABEL]])</f>
        <v>74</v>
      </c>
      <c r="O846" s="115">
        <v>15</v>
      </c>
      <c r="P846" s="115" t="e">
        <f>ROUND(Tableau14[[#This Row],[LEN]]*#REF!+#REF!,0)</f>
        <v>#REF!</v>
      </c>
    </row>
    <row r="847" spans="1:16" s="97" customFormat="1" x14ac:dyDescent="0.25">
      <c r="A847" s="41" t="s">
        <v>2012</v>
      </c>
      <c r="B847" s="42" t="s">
        <v>284</v>
      </c>
      <c r="C847" s="43" t="s">
        <v>2017</v>
      </c>
      <c r="D847" s="74" t="s">
        <v>28</v>
      </c>
      <c r="E847" s="43" t="s">
        <v>1951</v>
      </c>
      <c r="F847" s="43" t="s">
        <v>1177</v>
      </c>
      <c r="G847" s="74" t="s">
        <v>68</v>
      </c>
      <c r="H847" s="74" t="s">
        <v>570</v>
      </c>
      <c r="I847" s="43"/>
      <c r="J847" s="44" t="s">
        <v>708</v>
      </c>
      <c r="K847" s="115">
        <f>ROUND(Tableau14[[#This Row],[LEN]]*7.27,0)</f>
        <v>422</v>
      </c>
      <c r="L847" s="115">
        <v>15</v>
      </c>
      <c r="M847" s="132" t="str">
        <f t="shared" si="5"/>
        <v>none</v>
      </c>
      <c r="N847" s="115">
        <f>LEN(Tableau14[[#This Row],[LABEL]])</f>
        <v>58</v>
      </c>
      <c r="O847" s="115">
        <v>15</v>
      </c>
      <c r="P847" s="115" t="e">
        <f>ROUND(Tableau14[[#This Row],[LEN]]*#REF!+#REF!,0)</f>
        <v>#REF!</v>
      </c>
    </row>
    <row r="848" spans="1:16" s="97" customFormat="1" x14ac:dyDescent="0.25">
      <c r="A848" s="41" t="s">
        <v>2013</v>
      </c>
      <c r="B848" s="42" t="s">
        <v>284</v>
      </c>
      <c r="C848" s="43" t="s">
        <v>849</v>
      </c>
      <c r="D848" s="74" t="s">
        <v>28</v>
      </c>
      <c r="E848" s="43" t="s">
        <v>667</v>
      </c>
      <c r="F848" s="43" t="s">
        <v>840</v>
      </c>
      <c r="G848" s="74" t="s">
        <v>68</v>
      </c>
      <c r="H848" s="74" t="s">
        <v>655</v>
      </c>
      <c r="I848" s="43"/>
      <c r="J848" s="44" t="s">
        <v>708</v>
      </c>
      <c r="K848" s="115">
        <f>ROUND(Tableau14[[#This Row],[LEN]]*7.27,0)</f>
        <v>80</v>
      </c>
      <c r="L848" s="115">
        <v>15</v>
      </c>
      <c r="M848" s="132" t="str">
        <f t="shared" si="5"/>
        <v>none</v>
      </c>
      <c r="N848" s="115">
        <f>LEN(Tableau14[[#This Row],[LABEL]])</f>
        <v>11</v>
      </c>
      <c r="O848" s="115">
        <v>15</v>
      </c>
      <c r="P848" s="115" t="e">
        <f>ROUND(Tableau14[[#This Row],[LEN]]*#REF!+#REF!,0)</f>
        <v>#REF!</v>
      </c>
    </row>
    <row r="849" spans="1:16" s="97" customFormat="1" x14ac:dyDescent="0.25">
      <c r="A849" s="45" t="s">
        <v>2018</v>
      </c>
      <c r="B849" s="46" t="s">
        <v>2013</v>
      </c>
      <c r="C849" s="47" t="s">
        <v>112</v>
      </c>
      <c r="D849" s="75" t="s">
        <v>28</v>
      </c>
      <c r="E849" s="47" t="s">
        <v>667</v>
      </c>
      <c r="F849" s="47" t="s">
        <v>2006</v>
      </c>
      <c r="G849" s="75" t="s">
        <v>68</v>
      </c>
      <c r="H849" s="75" t="s">
        <v>654</v>
      </c>
      <c r="I849" s="47"/>
      <c r="J849" s="48" t="s">
        <v>708</v>
      </c>
      <c r="K849" s="116">
        <f>ROUND(Tableau14[[#This Row],[LEN]]*7.27,0)</f>
        <v>167</v>
      </c>
      <c r="L849" s="116">
        <v>15</v>
      </c>
      <c r="M849" s="133" t="str">
        <f t="shared" si="5"/>
        <v>none</v>
      </c>
      <c r="N849" s="116">
        <f>LEN(Tableau14[[#This Row],[LABEL]])</f>
        <v>23</v>
      </c>
      <c r="O849" s="116">
        <v>15</v>
      </c>
      <c r="P849" s="116" t="e">
        <f>ROUND(Tableau14[[#This Row],[LEN]]*#REF!+#REF!,0)</f>
        <v>#REF!</v>
      </c>
    </row>
    <row r="850" spans="1:16" s="97" customFormat="1" ht="15.75" thickBot="1" x14ac:dyDescent="0.3">
      <c r="A850" s="45" t="s">
        <v>2019</v>
      </c>
      <c r="B850" s="46" t="s">
        <v>2013</v>
      </c>
      <c r="C850" s="47" t="s">
        <v>113</v>
      </c>
      <c r="D850" s="75" t="s">
        <v>28</v>
      </c>
      <c r="E850" s="47" t="s">
        <v>667</v>
      </c>
      <c r="F850" s="47" t="s">
        <v>2006</v>
      </c>
      <c r="G850" s="75" t="s">
        <v>68</v>
      </c>
      <c r="H850" s="75" t="s">
        <v>654</v>
      </c>
      <c r="I850" s="47"/>
      <c r="J850" s="48" t="s">
        <v>708</v>
      </c>
      <c r="K850" s="116">
        <f>ROUND(Tableau14[[#This Row],[LEN]]*7.27,0)</f>
        <v>233</v>
      </c>
      <c r="L850" s="116">
        <v>15</v>
      </c>
      <c r="M850" s="133" t="str">
        <f t="shared" si="5"/>
        <v>none</v>
      </c>
      <c r="N850" s="116">
        <f>LEN(Tableau14[[#This Row],[LABEL]])</f>
        <v>32</v>
      </c>
      <c r="O850" s="116">
        <v>15</v>
      </c>
      <c r="P850" s="116" t="e">
        <f>ROUND(Tableau14[[#This Row],[LEN]]*#REF!+#REF!,0)</f>
        <v>#REF!</v>
      </c>
    </row>
    <row r="851" spans="1:16" s="97" customFormat="1" ht="15.75" thickTop="1" x14ac:dyDescent="0.25">
      <c r="A851" s="156" t="s">
        <v>203</v>
      </c>
      <c r="B851" s="156" t="s">
        <v>198</v>
      </c>
      <c r="C851" s="157" t="s">
        <v>1162</v>
      </c>
      <c r="D851" s="158" t="s">
        <v>471</v>
      </c>
      <c r="E851" s="158" t="s">
        <v>58</v>
      </c>
      <c r="F851" s="157" t="s">
        <v>665</v>
      </c>
      <c r="G851" s="158" t="s">
        <v>171</v>
      </c>
      <c r="H851" s="158" t="s">
        <v>615</v>
      </c>
      <c r="I851" s="157"/>
      <c r="J851" s="159" t="s">
        <v>707</v>
      </c>
      <c r="K851" s="160">
        <f>ROUND(Tableau14[[#This Row],[LEN]]*7.27,0)</f>
        <v>124</v>
      </c>
      <c r="L851" s="160">
        <v>15</v>
      </c>
      <c r="M851" s="161" t="str">
        <f t="shared" si="5"/>
        <v>new</v>
      </c>
      <c r="N851" s="160">
        <f>LEN(Tableau14[[#This Row],[LABEL]])</f>
        <v>17</v>
      </c>
      <c r="O851" s="162">
        <v>15</v>
      </c>
      <c r="P851" s="162" t="e">
        <f>ROUND(Tableau14[[#This Row],[LEN]]*#REF!+#REF!,0)</f>
        <v>#REF!</v>
      </c>
    </row>
    <row r="852" spans="1:16" s="92" customFormat="1" ht="15.75" thickBot="1" x14ac:dyDescent="0.3">
      <c r="A852" s="191" t="s">
        <v>209</v>
      </c>
      <c r="B852" s="191" t="s">
        <v>203</v>
      </c>
      <c r="C852" s="192" t="s">
        <v>177</v>
      </c>
      <c r="D852" s="193" t="s">
        <v>0</v>
      </c>
      <c r="E852" s="192" t="s">
        <v>58</v>
      </c>
      <c r="F852" s="193"/>
      <c r="G852" s="192" t="s">
        <v>169</v>
      </c>
      <c r="H852" s="192" t="s">
        <v>616</v>
      </c>
      <c r="I852" s="193"/>
      <c r="J852" s="194" t="s">
        <v>708</v>
      </c>
      <c r="K852" s="195">
        <f>ROUND(Tableau14[[#This Row],[LEN]]*7.27,0)</f>
        <v>153</v>
      </c>
      <c r="L852" s="195">
        <v>15</v>
      </c>
      <c r="M852" s="196" t="str">
        <f t="shared" si="5"/>
        <v>none</v>
      </c>
      <c r="N852" s="195">
        <f>LEN(Tableau14[[#This Row],[LABEL]])</f>
        <v>21</v>
      </c>
      <c r="O852" s="197">
        <v>15</v>
      </c>
      <c r="P852" s="197" t="e">
        <f>ROUND(Tableau14[[#This Row],[LEN]]*#REF!+#REF!,0)</f>
        <v>#REF!</v>
      </c>
    </row>
    <row r="853" spans="1:16" s="273" customFormat="1" ht="15.75" thickTop="1" x14ac:dyDescent="0.25">
      <c r="A853" s="351" t="s">
        <v>303</v>
      </c>
      <c r="B853" s="352" t="s">
        <v>209</v>
      </c>
      <c r="C853" s="353" t="s">
        <v>57</v>
      </c>
      <c r="D853" s="354" t="s">
        <v>28</v>
      </c>
      <c r="E853" s="353" t="s">
        <v>663</v>
      </c>
      <c r="F853" s="353" t="s">
        <v>663</v>
      </c>
      <c r="G853" s="354" t="s">
        <v>169</v>
      </c>
      <c r="H853" s="354" t="str">
        <f>IFERROR(IF(SEARCH(".00.00.00.00.00",Tableau14[[#This Row],[name]],1)=7,"Division",""),"")</f>
        <v>Division</v>
      </c>
      <c r="I853" s="353"/>
      <c r="J853" s="355" t="s">
        <v>709</v>
      </c>
      <c r="K853" s="356">
        <f>ROUND(Tableau14[[#This Row],[LEN]]*7.27,0)</f>
        <v>102</v>
      </c>
      <c r="L853" s="356">
        <v>15</v>
      </c>
      <c r="M853" s="357" t="str">
        <f t="shared" si="5"/>
        <v>new</v>
      </c>
      <c r="N853" s="356">
        <f>LEN(Tableau14[[#This Row],[LABEL]])</f>
        <v>14</v>
      </c>
      <c r="O853" s="356">
        <v>15</v>
      </c>
      <c r="P853" s="356" t="e">
        <f>ROUND(Tableau14[[#This Row],[LEN]]*#REF!+#REF!,0)</f>
        <v>#REF!</v>
      </c>
    </row>
    <row r="854" spans="1:16" s="97" customFormat="1" x14ac:dyDescent="0.25">
      <c r="A854" s="49" t="s">
        <v>876</v>
      </c>
      <c r="B854" s="50" t="s">
        <v>303</v>
      </c>
      <c r="C854" s="51" t="s">
        <v>891</v>
      </c>
      <c r="D854" s="76" t="s">
        <v>28</v>
      </c>
      <c r="E854" s="51" t="s">
        <v>663</v>
      </c>
      <c r="F854" s="51" t="s">
        <v>663</v>
      </c>
      <c r="G854" s="76" t="s">
        <v>169</v>
      </c>
      <c r="H854" s="76" t="s">
        <v>655</v>
      </c>
      <c r="I854" s="51"/>
      <c r="J854" s="52" t="s">
        <v>708</v>
      </c>
      <c r="K854" s="117">
        <f>ROUND(Tableau14[[#This Row],[LEN]]*7.27,0)</f>
        <v>124</v>
      </c>
      <c r="L854" s="117">
        <v>15</v>
      </c>
      <c r="M854" s="134" t="str">
        <f t="shared" si="5"/>
        <v>none</v>
      </c>
      <c r="N854" s="117">
        <f>LEN(Tableau14[[#This Row],[LABEL]])</f>
        <v>17</v>
      </c>
      <c r="O854" s="117">
        <v>15</v>
      </c>
      <c r="P854" s="117" t="e">
        <f>ROUND(Tableau14[[#This Row],[LEN]]*#REF!+#REF!,0)</f>
        <v>#REF!</v>
      </c>
    </row>
    <row r="855" spans="1:16" s="97" customFormat="1" x14ac:dyDescent="0.25">
      <c r="A855" s="53" t="s">
        <v>884</v>
      </c>
      <c r="B855" s="54" t="s">
        <v>876</v>
      </c>
      <c r="C855" s="55" t="s">
        <v>890</v>
      </c>
      <c r="D855" s="77" t="s">
        <v>28</v>
      </c>
      <c r="E855" s="55" t="s">
        <v>663</v>
      </c>
      <c r="F855" s="55" t="s">
        <v>663</v>
      </c>
      <c r="G855" s="77" t="s">
        <v>169</v>
      </c>
      <c r="H855" s="77" t="s">
        <v>654</v>
      </c>
      <c r="I855" s="55"/>
      <c r="J855" s="56" t="s">
        <v>708</v>
      </c>
      <c r="K855" s="118">
        <f>ROUND(Tableau14[[#This Row],[LEN]]*7.27,0)</f>
        <v>138</v>
      </c>
      <c r="L855" s="118">
        <v>15</v>
      </c>
      <c r="M855" s="135" t="str">
        <f t="shared" si="5"/>
        <v>none</v>
      </c>
      <c r="N855" s="118">
        <f>LEN(Tableau14[[#This Row],[LABEL]])</f>
        <v>19</v>
      </c>
      <c r="O855" s="118">
        <v>15</v>
      </c>
      <c r="P855" s="118" t="e">
        <f>ROUND(Tableau14[[#This Row],[LEN]]*#REF!+#REF!,0)</f>
        <v>#REF!</v>
      </c>
    </row>
    <row r="856" spans="1:16" s="97" customFormat="1" x14ac:dyDescent="0.25">
      <c r="A856" s="53" t="s">
        <v>885</v>
      </c>
      <c r="B856" s="54" t="s">
        <v>876</v>
      </c>
      <c r="C856" s="55" t="s">
        <v>893</v>
      </c>
      <c r="D856" s="77" t="s">
        <v>28</v>
      </c>
      <c r="E856" s="55" t="s">
        <v>663</v>
      </c>
      <c r="F856" s="55" t="s">
        <v>663</v>
      </c>
      <c r="G856" s="77" t="s">
        <v>169</v>
      </c>
      <c r="H856" s="77" t="s">
        <v>656</v>
      </c>
      <c r="I856" s="55"/>
      <c r="J856" s="56" t="s">
        <v>708</v>
      </c>
      <c r="K856" s="118">
        <f>ROUND(Tableau14[[#This Row],[LEN]]*7.27,0)</f>
        <v>182</v>
      </c>
      <c r="L856" s="118">
        <v>15</v>
      </c>
      <c r="M856" s="135" t="str">
        <f t="shared" si="5"/>
        <v>none</v>
      </c>
      <c r="N856" s="118">
        <f>LEN(Tableau14[[#This Row],[LABEL]])</f>
        <v>25</v>
      </c>
      <c r="O856" s="118">
        <v>15</v>
      </c>
      <c r="P856" s="118" t="e">
        <f>ROUND(Tableau14[[#This Row],[LEN]]*#REF!+#REF!,0)</f>
        <v>#REF!</v>
      </c>
    </row>
    <row r="857" spans="1:16" s="97" customFormat="1" x14ac:dyDescent="0.25">
      <c r="A857" s="53" t="s">
        <v>886</v>
      </c>
      <c r="B857" s="54" t="s">
        <v>876</v>
      </c>
      <c r="C857" s="55" t="s">
        <v>894</v>
      </c>
      <c r="D857" s="77" t="s">
        <v>28</v>
      </c>
      <c r="E857" s="55" t="s">
        <v>663</v>
      </c>
      <c r="F857" s="55" t="s">
        <v>663</v>
      </c>
      <c r="G857" s="77" t="s">
        <v>169</v>
      </c>
      <c r="H857" s="77" t="s">
        <v>655</v>
      </c>
      <c r="I857" s="55"/>
      <c r="J857" s="56" t="s">
        <v>708</v>
      </c>
      <c r="K857" s="118">
        <f>ROUND(Tableau14[[#This Row],[LEN]]*7.27,0)</f>
        <v>153</v>
      </c>
      <c r="L857" s="118">
        <v>15</v>
      </c>
      <c r="M857" s="135" t="str">
        <f t="shared" si="5"/>
        <v>none</v>
      </c>
      <c r="N857" s="118">
        <f>LEN(Tableau14[[#This Row],[LABEL]])</f>
        <v>21</v>
      </c>
      <c r="O857" s="118">
        <v>15</v>
      </c>
      <c r="P857" s="118" t="e">
        <f>ROUND(Tableau14[[#This Row],[LEN]]*#REF!+#REF!,0)</f>
        <v>#REF!</v>
      </c>
    </row>
    <row r="858" spans="1:16" s="97" customFormat="1" x14ac:dyDescent="0.25">
      <c r="A858" s="57" t="s">
        <v>896</v>
      </c>
      <c r="B858" s="58" t="s">
        <v>886</v>
      </c>
      <c r="C858" s="59" t="s">
        <v>898</v>
      </c>
      <c r="D858" s="78" t="s">
        <v>28</v>
      </c>
      <c r="E858" s="59" t="s">
        <v>663</v>
      </c>
      <c r="F858" s="59" t="s">
        <v>663</v>
      </c>
      <c r="G858" s="78" t="s">
        <v>169</v>
      </c>
      <c r="H858" s="78" t="s">
        <v>656</v>
      </c>
      <c r="I858" s="59"/>
      <c r="J858" s="60" t="s">
        <v>708</v>
      </c>
      <c r="K858" s="119">
        <f>ROUND(Tableau14[[#This Row],[LEN]]*7.27,0)</f>
        <v>160</v>
      </c>
      <c r="L858" s="119">
        <v>15</v>
      </c>
      <c r="M858" s="136" t="str">
        <f t="shared" si="5"/>
        <v>none</v>
      </c>
      <c r="N858" s="119">
        <f>LEN(Tableau14[[#This Row],[LABEL]])</f>
        <v>22</v>
      </c>
      <c r="O858" s="119">
        <v>15</v>
      </c>
      <c r="P858" s="119" t="e">
        <f>ROUND(Tableau14[[#This Row],[LEN]]*#REF!+#REF!,0)</f>
        <v>#REF!</v>
      </c>
    </row>
    <row r="859" spans="1:16" s="97" customFormat="1" x14ac:dyDescent="0.25">
      <c r="A859" s="57" t="s">
        <v>897</v>
      </c>
      <c r="B859" s="58" t="s">
        <v>886</v>
      </c>
      <c r="C859" s="59" t="s">
        <v>899</v>
      </c>
      <c r="D859" s="78" t="s">
        <v>28</v>
      </c>
      <c r="E859" s="59" t="s">
        <v>663</v>
      </c>
      <c r="F859" s="59" t="s">
        <v>663</v>
      </c>
      <c r="G859" s="78" t="s">
        <v>169</v>
      </c>
      <c r="H859" s="78" t="s">
        <v>656</v>
      </c>
      <c r="I859" s="59"/>
      <c r="J859" s="60" t="s">
        <v>708</v>
      </c>
      <c r="K859" s="119">
        <f>ROUND(Tableau14[[#This Row],[LEN]]*7.27,0)</f>
        <v>204</v>
      </c>
      <c r="L859" s="119">
        <v>15</v>
      </c>
      <c r="M859" s="136" t="str">
        <f t="shared" si="5"/>
        <v>none</v>
      </c>
      <c r="N859" s="119">
        <f>LEN(Tableau14[[#This Row],[LABEL]])</f>
        <v>28</v>
      </c>
      <c r="O859" s="119">
        <v>15</v>
      </c>
      <c r="P859" s="119" t="e">
        <f>ROUND(Tableau14[[#This Row],[LEN]]*#REF!+#REF!,0)</f>
        <v>#REF!</v>
      </c>
    </row>
    <row r="860" spans="1:16" s="97" customFormat="1" x14ac:dyDescent="0.25">
      <c r="A860" s="53" t="s">
        <v>887</v>
      </c>
      <c r="B860" s="54" t="s">
        <v>876</v>
      </c>
      <c r="C860" s="55" t="s">
        <v>895</v>
      </c>
      <c r="D860" s="77" t="s">
        <v>28</v>
      </c>
      <c r="E860" s="55" t="s">
        <v>663</v>
      </c>
      <c r="F860" s="55" t="s">
        <v>663</v>
      </c>
      <c r="G860" s="77" t="s">
        <v>169</v>
      </c>
      <c r="H860" s="77" t="s">
        <v>654</v>
      </c>
      <c r="I860" s="55"/>
      <c r="J860" s="56" t="s">
        <v>708</v>
      </c>
      <c r="K860" s="118">
        <f>ROUND(Tableau14[[#This Row],[LEN]]*7.27,0)</f>
        <v>153</v>
      </c>
      <c r="L860" s="118">
        <v>15</v>
      </c>
      <c r="M860" s="135" t="str">
        <f t="shared" si="5"/>
        <v>none</v>
      </c>
      <c r="N860" s="118">
        <f>LEN(Tableau14[[#This Row],[LABEL]])</f>
        <v>21</v>
      </c>
      <c r="O860" s="118">
        <v>15</v>
      </c>
      <c r="P860" s="118" t="e">
        <f>ROUND(Tableau14[[#This Row],[LEN]]*#REF!+#REF!,0)</f>
        <v>#REF!</v>
      </c>
    </row>
    <row r="861" spans="1:16" s="97" customFormat="1" x14ac:dyDescent="0.25">
      <c r="A861" s="49" t="s">
        <v>877</v>
      </c>
      <c r="B861" s="50" t="s">
        <v>303</v>
      </c>
      <c r="C861" s="51" t="s">
        <v>881</v>
      </c>
      <c r="D861" s="76" t="s">
        <v>28</v>
      </c>
      <c r="E861" s="51" t="s">
        <v>663</v>
      </c>
      <c r="F861" s="51" t="s">
        <v>663</v>
      </c>
      <c r="G861" s="76" t="s">
        <v>169</v>
      </c>
      <c r="H861" s="76" t="s">
        <v>654</v>
      </c>
      <c r="I861" s="51"/>
      <c r="J861" s="52" t="s">
        <v>708</v>
      </c>
      <c r="K861" s="117">
        <f>ROUND(Tableau14[[#This Row],[LEN]]*7.27,0)</f>
        <v>189</v>
      </c>
      <c r="L861" s="117">
        <v>15</v>
      </c>
      <c r="M861" s="134" t="str">
        <f t="shared" si="5"/>
        <v>none</v>
      </c>
      <c r="N861" s="117">
        <f>LEN(Tableau14[[#This Row],[LABEL]])</f>
        <v>26</v>
      </c>
      <c r="O861" s="117">
        <v>15</v>
      </c>
      <c r="P861" s="117" t="e">
        <f>ROUND(Tableau14[[#This Row],[LEN]]*#REF!+#REF!,0)</f>
        <v>#REF!</v>
      </c>
    </row>
    <row r="862" spans="1:16" s="97" customFormat="1" x14ac:dyDescent="0.25">
      <c r="A862" s="49" t="s">
        <v>878</v>
      </c>
      <c r="B862" s="50" t="s">
        <v>303</v>
      </c>
      <c r="C862" s="51" t="s">
        <v>882</v>
      </c>
      <c r="D862" s="76" t="s">
        <v>28</v>
      </c>
      <c r="E862" s="51" t="s">
        <v>663</v>
      </c>
      <c r="F862" s="51" t="s">
        <v>663</v>
      </c>
      <c r="G862" s="76" t="s">
        <v>169</v>
      </c>
      <c r="H862" s="76" t="s">
        <v>654</v>
      </c>
      <c r="I862" s="51"/>
      <c r="J862" s="52" t="s">
        <v>708</v>
      </c>
      <c r="K862" s="117">
        <f>ROUND(Tableau14[[#This Row],[LEN]]*7.27,0)</f>
        <v>240</v>
      </c>
      <c r="L862" s="117">
        <v>15</v>
      </c>
      <c r="M862" s="134" t="str">
        <f t="shared" si="5"/>
        <v>none</v>
      </c>
      <c r="N862" s="117">
        <f>LEN(Tableau14[[#This Row],[LABEL]])</f>
        <v>33</v>
      </c>
      <c r="O862" s="117">
        <v>15</v>
      </c>
      <c r="P862" s="117" t="e">
        <f>ROUND(Tableau14[[#This Row],[LEN]]*#REF!+#REF!,0)</f>
        <v>#REF!</v>
      </c>
    </row>
    <row r="863" spans="1:16" s="97" customFormat="1" x14ac:dyDescent="0.25">
      <c r="A863" s="49" t="s">
        <v>879</v>
      </c>
      <c r="B863" s="50" t="s">
        <v>303</v>
      </c>
      <c r="C863" s="51" t="s">
        <v>883</v>
      </c>
      <c r="D863" s="76" t="s">
        <v>28</v>
      </c>
      <c r="E863" s="51" t="s">
        <v>663</v>
      </c>
      <c r="F863" s="51" t="s">
        <v>663</v>
      </c>
      <c r="G863" s="76" t="s">
        <v>169</v>
      </c>
      <c r="H863" s="76" t="s">
        <v>17</v>
      </c>
      <c r="I863" s="51"/>
      <c r="J863" s="52" t="s">
        <v>708</v>
      </c>
      <c r="K863" s="117">
        <f>ROUND(Tableau14[[#This Row],[LEN]]*7.27,0)</f>
        <v>276</v>
      </c>
      <c r="L863" s="117">
        <v>15</v>
      </c>
      <c r="M863" s="134" t="str">
        <f t="shared" si="5"/>
        <v>none</v>
      </c>
      <c r="N863" s="117">
        <f>LEN(Tableau14[[#This Row],[LABEL]])</f>
        <v>38</v>
      </c>
      <c r="O863" s="117">
        <v>15</v>
      </c>
      <c r="P863" s="117" t="e">
        <f>ROUND(Tableau14[[#This Row],[LEN]]*#REF!+#REF!,0)</f>
        <v>#REF!</v>
      </c>
    </row>
    <row r="864" spans="1:16" s="97" customFormat="1" x14ac:dyDescent="0.25">
      <c r="A864" s="49" t="s">
        <v>880</v>
      </c>
      <c r="B864" s="50" t="s">
        <v>303</v>
      </c>
      <c r="C864" s="51" t="s">
        <v>892</v>
      </c>
      <c r="D864" s="76" t="s">
        <v>28</v>
      </c>
      <c r="E864" s="51" t="s">
        <v>663</v>
      </c>
      <c r="F864" s="51" t="s">
        <v>663</v>
      </c>
      <c r="G864" s="76" t="s">
        <v>169</v>
      </c>
      <c r="H864" s="76" t="s">
        <v>655</v>
      </c>
      <c r="I864" s="51"/>
      <c r="J864" s="52" t="s">
        <v>708</v>
      </c>
      <c r="K864" s="117">
        <f>ROUND(Tableau14[[#This Row],[LEN]]*7.27,0)</f>
        <v>131</v>
      </c>
      <c r="L864" s="117">
        <v>15</v>
      </c>
      <c r="M864" s="134" t="str">
        <f t="shared" si="5"/>
        <v>none</v>
      </c>
      <c r="N864" s="117">
        <f>LEN(Tableau14[[#This Row],[LABEL]])</f>
        <v>18</v>
      </c>
      <c r="O864" s="117">
        <v>15</v>
      </c>
      <c r="P864" s="117" t="e">
        <f>ROUND(Tableau14[[#This Row],[LEN]]*#REF!+#REF!,0)</f>
        <v>#REF!</v>
      </c>
    </row>
    <row r="865" spans="1:16" s="97" customFormat="1" x14ac:dyDescent="0.25">
      <c r="A865" s="53" t="s">
        <v>888</v>
      </c>
      <c r="B865" s="54" t="s">
        <v>880</v>
      </c>
      <c r="C865" s="55" t="s">
        <v>900</v>
      </c>
      <c r="D865" s="77" t="s">
        <v>28</v>
      </c>
      <c r="E865" s="55" t="s">
        <v>663</v>
      </c>
      <c r="F865" s="55" t="s">
        <v>663</v>
      </c>
      <c r="G865" s="77" t="s">
        <v>169</v>
      </c>
      <c r="H865" s="77" t="s">
        <v>570</v>
      </c>
      <c r="I865" s="55"/>
      <c r="J865" s="56" t="s">
        <v>708</v>
      </c>
      <c r="K865" s="118">
        <f>ROUND(Tableau14[[#This Row],[LEN]]*7.27,0)</f>
        <v>73</v>
      </c>
      <c r="L865" s="118">
        <v>15</v>
      </c>
      <c r="M865" s="135" t="str">
        <f t="shared" si="5"/>
        <v>none</v>
      </c>
      <c r="N865" s="118">
        <f>LEN(Tableau14[[#This Row],[LABEL]])</f>
        <v>10</v>
      </c>
      <c r="O865" s="118">
        <v>15</v>
      </c>
      <c r="P865" s="118" t="e">
        <f>ROUND(Tableau14[[#This Row],[LEN]]*#REF!+#REF!,0)</f>
        <v>#REF!</v>
      </c>
    </row>
    <row r="866" spans="1:16" s="97" customFormat="1" x14ac:dyDescent="0.25">
      <c r="A866" s="53" t="s">
        <v>889</v>
      </c>
      <c r="B866" s="54" t="s">
        <v>880</v>
      </c>
      <c r="C866" s="55" t="s">
        <v>901</v>
      </c>
      <c r="D866" s="77" t="s">
        <v>28</v>
      </c>
      <c r="E866" s="55" t="s">
        <v>663</v>
      </c>
      <c r="F866" s="55" t="s">
        <v>663</v>
      </c>
      <c r="G866" s="77" t="s">
        <v>169</v>
      </c>
      <c r="H866" s="77" t="s">
        <v>654</v>
      </c>
      <c r="I866" s="55"/>
      <c r="J866" s="56" t="s">
        <v>708</v>
      </c>
      <c r="K866" s="118">
        <f>ROUND(Tableau14[[#This Row],[LEN]]*7.27,0)</f>
        <v>116</v>
      </c>
      <c r="L866" s="118">
        <v>15</v>
      </c>
      <c r="M866" s="135" t="str">
        <f t="shared" si="5"/>
        <v>none</v>
      </c>
      <c r="N866" s="118">
        <f>LEN(Tableau14[[#This Row],[LABEL]])</f>
        <v>16</v>
      </c>
      <c r="O866" s="118">
        <v>15</v>
      </c>
      <c r="P866" s="118" t="e">
        <f>ROUND(Tableau14[[#This Row],[LEN]]*#REF!+#REF!,0)</f>
        <v>#REF!</v>
      </c>
    </row>
    <row r="867" spans="1:16" s="273" customFormat="1" x14ac:dyDescent="0.25">
      <c r="A867" s="351" t="s">
        <v>305</v>
      </c>
      <c r="B867" s="352" t="s">
        <v>209</v>
      </c>
      <c r="C867" s="353" t="s">
        <v>3</v>
      </c>
      <c r="D867" s="354" t="s">
        <v>28</v>
      </c>
      <c r="E867" s="353" t="s">
        <v>661</v>
      </c>
      <c r="F867" s="353" t="s">
        <v>661</v>
      </c>
      <c r="G867" s="354" t="s">
        <v>169</v>
      </c>
      <c r="H867" s="354" t="str">
        <f>IFERROR(IF(SEARCH(".00.00.00.00.00",Tableau14[[#This Row],[name]],1)=7,"Division",""),"")</f>
        <v>Division</v>
      </c>
      <c r="I867" s="353"/>
      <c r="J867" s="355" t="s">
        <v>711</v>
      </c>
      <c r="K867" s="356">
        <f>ROUND(Tableau14[[#This Row],[LEN]]*7.27,0)</f>
        <v>73</v>
      </c>
      <c r="L867" s="356">
        <v>15</v>
      </c>
      <c r="M867" s="357" t="str">
        <f t="shared" si="5"/>
        <v>new</v>
      </c>
      <c r="N867" s="356">
        <f>LEN(Tableau14[[#This Row],[LABEL]])</f>
        <v>10</v>
      </c>
      <c r="O867" s="356">
        <v>15</v>
      </c>
      <c r="P867" s="356" t="e">
        <f>ROUND(Tableau14[[#This Row],[LEN]]*#REF!+#REF!,0)</f>
        <v>#REF!</v>
      </c>
    </row>
    <row r="868" spans="1:16" s="97" customFormat="1" x14ac:dyDescent="0.25">
      <c r="A868" s="49" t="s">
        <v>406</v>
      </c>
      <c r="B868" s="50" t="s">
        <v>305</v>
      </c>
      <c r="C868" s="51" t="s">
        <v>128</v>
      </c>
      <c r="D868" s="76" t="s">
        <v>28</v>
      </c>
      <c r="E868" s="51" t="s">
        <v>669</v>
      </c>
      <c r="F868" s="51" t="s">
        <v>2029</v>
      </c>
      <c r="G868" s="76" t="s">
        <v>169</v>
      </c>
      <c r="H868" s="76" t="s">
        <v>570</v>
      </c>
      <c r="I868" s="51"/>
      <c r="J868" s="52" t="s">
        <v>708</v>
      </c>
      <c r="K868" s="117">
        <f>ROUND(Tableau14[[#This Row],[LEN]]*7.27,0)</f>
        <v>182</v>
      </c>
      <c r="L868" s="117">
        <v>15</v>
      </c>
      <c r="M868" s="134" t="str">
        <f t="shared" si="5"/>
        <v>none</v>
      </c>
      <c r="N868" s="117">
        <f>LEN(Tableau14[[#This Row],[LABEL]])</f>
        <v>25</v>
      </c>
      <c r="O868" s="117">
        <v>15</v>
      </c>
      <c r="P868" s="117" t="e">
        <f>ROUND(Tableau14[[#This Row],[LEN]]*#REF!+#REF!,0)</f>
        <v>#REF!</v>
      </c>
    </row>
    <row r="869" spans="1:16" s="97" customFormat="1" x14ac:dyDescent="0.25">
      <c r="A869" s="49" t="s">
        <v>406</v>
      </c>
      <c r="B869" s="50" t="s">
        <v>305</v>
      </c>
      <c r="C869" s="51" t="s">
        <v>130</v>
      </c>
      <c r="D869" s="76" t="s">
        <v>28</v>
      </c>
      <c r="E869" s="51" t="s">
        <v>1951</v>
      </c>
      <c r="F869" s="51" t="s">
        <v>661</v>
      </c>
      <c r="G869" s="76" t="s">
        <v>169</v>
      </c>
      <c r="H869" s="76" t="s">
        <v>655</v>
      </c>
      <c r="I869" s="51"/>
      <c r="J869" s="52" t="s">
        <v>708</v>
      </c>
      <c r="K869" s="117">
        <f>ROUND(Tableau14[[#This Row],[LEN]]*7.27,0)</f>
        <v>131</v>
      </c>
      <c r="L869" s="117">
        <v>15</v>
      </c>
      <c r="M869" s="134" t="str">
        <f t="shared" si="5"/>
        <v>none</v>
      </c>
      <c r="N869" s="117">
        <f>LEN(Tableau14[[#This Row],[LABEL]])</f>
        <v>18</v>
      </c>
      <c r="O869" s="117">
        <v>15</v>
      </c>
      <c r="P869" s="117" t="e">
        <f>ROUND(Tableau14[[#This Row],[LEN]]*#REF!+#REF!,0)</f>
        <v>#REF!</v>
      </c>
    </row>
    <row r="870" spans="1:16" s="97" customFormat="1" x14ac:dyDescent="0.25">
      <c r="A870" s="53" t="s">
        <v>410</v>
      </c>
      <c r="B870" s="54" t="s">
        <v>406</v>
      </c>
      <c r="C870" s="55" t="s">
        <v>2030</v>
      </c>
      <c r="D870" s="77" t="s">
        <v>28</v>
      </c>
      <c r="E870" s="55" t="s">
        <v>1951</v>
      </c>
      <c r="F870" s="55" t="s">
        <v>661</v>
      </c>
      <c r="G870" s="77" t="s">
        <v>169</v>
      </c>
      <c r="H870" s="77" t="s">
        <v>654</v>
      </c>
      <c r="I870" s="55"/>
      <c r="J870" s="56" t="s">
        <v>708</v>
      </c>
      <c r="K870" s="118">
        <f>ROUND(Tableau14[[#This Row],[LEN]]*7.27,0)</f>
        <v>211</v>
      </c>
      <c r="L870" s="118">
        <v>15</v>
      </c>
      <c r="M870" s="135" t="str">
        <f t="shared" si="5"/>
        <v>none</v>
      </c>
      <c r="N870" s="118">
        <f>LEN(Tableau14[[#This Row],[LABEL]])</f>
        <v>29</v>
      </c>
      <c r="O870" s="118">
        <v>15</v>
      </c>
      <c r="P870" s="118" t="e">
        <f>ROUND(Tableau14[[#This Row],[LEN]]*#REF!+#REF!,0)</f>
        <v>#REF!</v>
      </c>
    </row>
    <row r="871" spans="1:16" s="97" customFormat="1" x14ac:dyDescent="0.25">
      <c r="A871" s="53" t="s">
        <v>411</v>
      </c>
      <c r="B871" s="54" t="s">
        <v>406</v>
      </c>
      <c r="C871" s="55" t="s">
        <v>2031</v>
      </c>
      <c r="D871" s="77" t="s">
        <v>28</v>
      </c>
      <c r="E871" s="55" t="s">
        <v>1951</v>
      </c>
      <c r="F871" s="55" t="s">
        <v>661</v>
      </c>
      <c r="G871" s="77" t="s">
        <v>169</v>
      </c>
      <c r="H871" s="77" t="s">
        <v>654</v>
      </c>
      <c r="I871" s="55"/>
      <c r="J871" s="56" t="s">
        <v>708</v>
      </c>
      <c r="K871" s="118">
        <f>ROUND(Tableau14[[#This Row],[LEN]]*7.27,0)</f>
        <v>313</v>
      </c>
      <c r="L871" s="118">
        <v>15</v>
      </c>
      <c r="M871" s="135" t="str">
        <f t="shared" si="5"/>
        <v>none</v>
      </c>
      <c r="N871" s="118">
        <f>LEN(Tableau14[[#This Row],[LABEL]])</f>
        <v>43</v>
      </c>
      <c r="O871" s="118">
        <v>15</v>
      </c>
      <c r="P871" s="118" t="e">
        <f>ROUND(Tableau14[[#This Row],[LEN]]*#REF!+#REF!,0)</f>
        <v>#REF!</v>
      </c>
    </row>
    <row r="872" spans="1:16" s="97" customFormat="1" x14ac:dyDescent="0.25">
      <c r="A872" s="49" t="s">
        <v>407</v>
      </c>
      <c r="B872" s="50" t="s">
        <v>305</v>
      </c>
      <c r="C872" s="51" t="s">
        <v>129</v>
      </c>
      <c r="D872" s="76" t="s">
        <v>28</v>
      </c>
      <c r="E872" s="51" t="s">
        <v>673</v>
      </c>
      <c r="F872" s="51" t="s">
        <v>2035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ROUND(Tableau14[[#This Row],[LEN]]*7.27,0)</f>
        <v>87</v>
      </c>
      <c r="L872" s="117">
        <v>15</v>
      </c>
      <c r="M872" s="134" t="str">
        <f t="shared" si="5"/>
        <v>none</v>
      </c>
      <c r="N872" s="117">
        <f>LEN(Tableau14[[#This Row],[LABEL]])</f>
        <v>12</v>
      </c>
      <c r="O872" s="117">
        <v>15</v>
      </c>
      <c r="P872" s="117" t="e">
        <f>ROUND(Tableau14[[#This Row],[LEN]]*#REF!+#REF!,0)</f>
        <v>#REF!</v>
      </c>
    </row>
    <row r="873" spans="1:16" s="97" customFormat="1" x14ac:dyDescent="0.25">
      <c r="A873" s="53" t="s">
        <v>408</v>
      </c>
      <c r="B873" s="54" t="s">
        <v>407</v>
      </c>
      <c r="C873" s="55" t="s">
        <v>131</v>
      </c>
      <c r="D873" s="77" t="s">
        <v>28</v>
      </c>
      <c r="E873" s="55" t="s">
        <v>673</v>
      </c>
      <c r="F873" s="55" t="s">
        <v>2035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ROUND(Tableau14[[#This Row],[LEN]]*7.27,0)</f>
        <v>262</v>
      </c>
      <c r="L873" s="118">
        <v>15</v>
      </c>
      <c r="M873" s="135" t="str">
        <f t="shared" si="5"/>
        <v>none</v>
      </c>
      <c r="N873" s="118">
        <f>LEN(Tableau14[[#This Row],[LABEL]])</f>
        <v>36</v>
      </c>
      <c r="O873" s="118">
        <v>15</v>
      </c>
      <c r="P873" s="118" t="e">
        <f>ROUND(Tableau14[[#This Row],[LEN]]*#REF!+#REF!,0)</f>
        <v>#REF!</v>
      </c>
    </row>
    <row r="874" spans="1:16" s="97" customFormat="1" x14ac:dyDescent="0.25">
      <c r="A874" s="53" t="s">
        <v>409</v>
      </c>
      <c r="B874" s="54" t="s">
        <v>407</v>
      </c>
      <c r="C874" s="55" t="s">
        <v>132</v>
      </c>
      <c r="D874" s="77" t="s">
        <v>28</v>
      </c>
      <c r="E874" s="55" t="s">
        <v>673</v>
      </c>
      <c r="F874" s="55" t="s">
        <v>2035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ROUND(Tableau14[[#This Row],[LEN]]*7.27,0)</f>
        <v>298</v>
      </c>
      <c r="L874" s="118">
        <v>15</v>
      </c>
      <c r="M874" s="135" t="str">
        <f t="shared" si="5"/>
        <v>none</v>
      </c>
      <c r="N874" s="118">
        <f>LEN(Tableau14[[#This Row],[LABEL]])</f>
        <v>41</v>
      </c>
      <c r="O874" s="118">
        <v>15</v>
      </c>
      <c r="P874" s="118" t="e">
        <f>ROUND(Tableau14[[#This Row],[LEN]]*#REF!+#REF!,0)</f>
        <v>#REF!</v>
      </c>
    </row>
    <row r="875" spans="1:16" s="273" customFormat="1" x14ac:dyDescent="0.25">
      <c r="A875" s="351" t="s">
        <v>306</v>
      </c>
      <c r="B875" s="352" t="s">
        <v>209</v>
      </c>
      <c r="C875" s="353" t="s">
        <v>4</v>
      </c>
      <c r="D875" s="354" t="s">
        <v>28</v>
      </c>
      <c r="E875" s="353" t="s">
        <v>666</v>
      </c>
      <c r="F875" s="353" t="s">
        <v>666</v>
      </c>
      <c r="G875" s="354" t="s">
        <v>169</v>
      </c>
      <c r="H875" s="354" t="str">
        <f>IFERROR(IF(SEARCH(".00.00.00.00.00",Tableau14[[#This Row],[name]],1)=7,"Division",""),"")</f>
        <v>Division</v>
      </c>
      <c r="I875" s="353"/>
      <c r="J875" s="355" t="s">
        <v>712</v>
      </c>
      <c r="K875" s="356">
        <f>ROUND(Tableau14[[#This Row],[LEN]]*7.27,0)</f>
        <v>36</v>
      </c>
      <c r="L875" s="356">
        <v>15</v>
      </c>
      <c r="M875" s="357" t="str">
        <f t="shared" si="5"/>
        <v>new</v>
      </c>
      <c r="N875" s="356">
        <f>LEN(Tableau14[[#This Row],[LABEL]])</f>
        <v>5</v>
      </c>
      <c r="O875" s="356">
        <v>15</v>
      </c>
      <c r="P875" s="356" t="e">
        <f>ROUND(Tableau14[[#This Row],[LEN]]*#REF!+#REF!,0)</f>
        <v>#REF!</v>
      </c>
    </row>
    <row r="876" spans="1:16" s="97" customFormat="1" x14ac:dyDescent="0.25">
      <c r="A876" s="49" t="s">
        <v>1642</v>
      </c>
      <c r="B876" s="50" t="s">
        <v>306</v>
      </c>
      <c r="C876" s="51" t="s">
        <v>129</v>
      </c>
      <c r="D876" s="76" t="s">
        <v>28</v>
      </c>
      <c r="E876" s="51" t="s">
        <v>673</v>
      </c>
      <c r="F876" s="51" t="s">
        <v>2035</v>
      </c>
      <c r="G876" s="76" t="s">
        <v>169</v>
      </c>
      <c r="H876" s="76" t="s">
        <v>655</v>
      </c>
      <c r="I876" s="51"/>
      <c r="J876" s="52" t="s">
        <v>708</v>
      </c>
      <c r="K876" s="117">
        <f>ROUND(Tableau14[[#This Row],[LEN]]*7.27,0)</f>
        <v>87</v>
      </c>
      <c r="L876" s="117">
        <v>15</v>
      </c>
      <c r="M876" s="134" t="str">
        <f t="shared" si="5"/>
        <v>none</v>
      </c>
      <c r="N876" s="117">
        <f>LEN(Tableau14[[#This Row],[LABEL]])</f>
        <v>12</v>
      </c>
      <c r="O876" s="117">
        <v>15</v>
      </c>
      <c r="P876" s="117" t="e">
        <f>ROUND(Tableau14[[#This Row],[LEN]]*#REF!+#REF!,0)</f>
        <v>#REF!</v>
      </c>
    </row>
    <row r="877" spans="1:16" s="97" customFormat="1" x14ac:dyDescent="0.25">
      <c r="A877" s="53" t="s">
        <v>1647</v>
      </c>
      <c r="B877" s="54" t="s">
        <v>1642</v>
      </c>
      <c r="C877" s="55" t="s">
        <v>131</v>
      </c>
      <c r="D877" s="77" t="s">
        <v>28</v>
      </c>
      <c r="E877" s="55" t="s">
        <v>673</v>
      </c>
      <c r="F877" s="55" t="s">
        <v>2035</v>
      </c>
      <c r="G877" s="77" t="s">
        <v>169</v>
      </c>
      <c r="H877" s="77" t="s">
        <v>570</v>
      </c>
      <c r="I877" s="55"/>
      <c r="J877" s="56" t="s">
        <v>708</v>
      </c>
      <c r="K877" s="118">
        <f>ROUND(Tableau14[[#This Row],[LEN]]*7.27,0)</f>
        <v>262</v>
      </c>
      <c r="L877" s="118">
        <v>15</v>
      </c>
      <c r="M877" s="135" t="str">
        <f t="shared" si="5"/>
        <v>none</v>
      </c>
      <c r="N877" s="118">
        <f>LEN(Tableau14[[#This Row],[LABEL]])</f>
        <v>36</v>
      </c>
      <c r="O877" s="118">
        <v>15</v>
      </c>
      <c r="P877" s="118" t="e">
        <f>ROUND(Tableau14[[#This Row],[LEN]]*#REF!+#REF!,0)</f>
        <v>#REF!</v>
      </c>
    </row>
    <row r="878" spans="1:16" s="97" customFormat="1" x14ac:dyDescent="0.25">
      <c r="A878" s="53" t="s">
        <v>1648</v>
      </c>
      <c r="B878" s="54" t="s">
        <v>1642</v>
      </c>
      <c r="C878" s="55" t="s">
        <v>132</v>
      </c>
      <c r="D878" s="77" t="s">
        <v>28</v>
      </c>
      <c r="E878" s="55" t="s">
        <v>673</v>
      </c>
      <c r="F878" s="55" t="s">
        <v>2035</v>
      </c>
      <c r="G878" s="77" t="s">
        <v>169</v>
      </c>
      <c r="H878" s="77" t="s">
        <v>570</v>
      </c>
      <c r="I878" s="55"/>
      <c r="J878" s="56" t="s">
        <v>708</v>
      </c>
      <c r="K878" s="118">
        <f>ROUND(Tableau14[[#This Row],[LEN]]*7.27,0)</f>
        <v>298</v>
      </c>
      <c r="L878" s="118">
        <v>15</v>
      </c>
      <c r="M878" s="135" t="str">
        <f t="shared" si="5"/>
        <v>none</v>
      </c>
      <c r="N878" s="118">
        <f>LEN(Tableau14[[#This Row],[LABEL]])</f>
        <v>41</v>
      </c>
      <c r="O878" s="118">
        <v>15</v>
      </c>
      <c r="P878" s="118" t="e">
        <f>ROUND(Tableau14[[#This Row],[LEN]]*#REF!+#REF!,0)</f>
        <v>#REF!</v>
      </c>
    </row>
    <row r="879" spans="1:16" s="97" customFormat="1" x14ac:dyDescent="0.25">
      <c r="A879" s="49" t="s">
        <v>1643</v>
      </c>
      <c r="B879" s="50" t="s">
        <v>306</v>
      </c>
      <c r="C879" s="51" t="s">
        <v>1649</v>
      </c>
      <c r="D879" s="76" t="s">
        <v>28</v>
      </c>
      <c r="E879" s="51" t="s">
        <v>666</v>
      </c>
      <c r="F879" s="51" t="s">
        <v>1177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ROUND(Tableau14[[#This Row],[LEN]]*7.27,0)</f>
        <v>145</v>
      </c>
      <c r="L879" s="117">
        <v>15</v>
      </c>
      <c r="M879" s="134" t="str">
        <f t="shared" si="5"/>
        <v>none</v>
      </c>
      <c r="N879" s="117">
        <f>LEN(Tableau14[[#This Row],[LABEL]])</f>
        <v>20</v>
      </c>
      <c r="O879" s="117">
        <v>15</v>
      </c>
      <c r="P879" s="117" t="e">
        <f>ROUND(Tableau14[[#This Row],[LEN]]*#REF!+#REF!,0)</f>
        <v>#REF!</v>
      </c>
    </row>
    <row r="880" spans="1:16" s="97" customFormat="1" x14ac:dyDescent="0.25">
      <c r="A880" s="53" t="s">
        <v>1650</v>
      </c>
      <c r="B880" s="54" t="s">
        <v>1643</v>
      </c>
      <c r="C880" s="55" t="s">
        <v>1657</v>
      </c>
      <c r="D880" s="77" t="s">
        <v>28</v>
      </c>
      <c r="E880" s="55" t="s">
        <v>666</v>
      </c>
      <c r="F880" s="55" t="s">
        <v>1177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ROUND(Tableau14[[#This Row],[LEN]]*7.27,0)</f>
        <v>364</v>
      </c>
      <c r="L880" s="118">
        <v>15</v>
      </c>
      <c r="M880" s="135" t="str">
        <f t="shared" si="5"/>
        <v>none</v>
      </c>
      <c r="N880" s="118">
        <f>LEN(Tableau14[[#This Row],[LABEL]])</f>
        <v>50</v>
      </c>
      <c r="O880" s="118">
        <v>15</v>
      </c>
      <c r="P880" s="118" t="e">
        <f>ROUND(Tableau14[[#This Row],[LEN]]*#REF!+#REF!,0)</f>
        <v>#REF!</v>
      </c>
    </row>
    <row r="881" spans="1:16" s="97" customFormat="1" x14ac:dyDescent="0.25">
      <c r="A881" s="53" t="s">
        <v>1651</v>
      </c>
      <c r="B881" s="54" t="s">
        <v>1643</v>
      </c>
      <c r="C881" s="55" t="s">
        <v>1658</v>
      </c>
      <c r="D881" s="77" t="s">
        <v>28</v>
      </c>
      <c r="E881" s="55" t="s">
        <v>666</v>
      </c>
      <c r="F881" s="55" t="s">
        <v>1177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ROUND(Tableau14[[#This Row],[LEN]]*7.27,0)</f>
        <v>131</v>
      </c>
      <c r="L881" s="118">
        <v>15</v>
      </c>
      <c r="M881" s="135" t="str">
        <f t="shared" si="5"/>
        <v>none</v>
      </c>
      <c r="N881" s="118">
        <f>LEN(Tableau14[[#This Row],[LABEL]])</f>
        <v>18</v>
      </c>
      <c r="O881" s="118">
        <v>15</v>
      </c>
      <c r="P881" s="118" t="e">
        <f>ROUND(Tableau14[[#This Row],[LEN]]*#REF!+#REF!,0)</f>
        <v>#REF!</v>
      </c>
    </row>
    <row r="882" spans="1:16" s="97" customFormat="1" x14ac:dyDescent="0.25">
      <c r="A882" s="53" t="s">
        <v>1652</v>
      </c>
      <c r="B882" s="54" t="s">
        <v>1643</v>
      </c>
      <c r="C882" s="55" t="s">
        <v>1659</v>
      </c>
      <c r="D882" s="77" t="s">
        <v>28</v>
      </c>
      <c r="E882" s="55" t="s">
        <v>666</v>
      </c>
      <c r="F882" s="55" t="s">
        <v>1177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ROUND(Tableau14[[#This Row],[LEN]]*7.27,0)</f>
        <v>109</v>
      </c>
      <c r="L882" s="118">
        <v>15</v>
      </c>
      <c r="M882" s="135" t="str">
        <f t="shared" si="5"/>
        <v>none</v>
      </c>
      <c r="N882" s="118">
        <f>LEN(Tableau14[[#This Row],[LABEL]])</f>
        <v>15</v>
      </c>
      <c r="O882" s="118">
        <v>15</v>
      </c>
      <c r="P882" s="118" t="e">
        <f>ROUND(Tableau14[[#This Row],[LEN]]*#REF!+#REF!,0)</f>
        <v>#REF!</v>
      </c>
    </row>
    <row r="883" spans="1:16" s="97" customFormat="1" x14ac:dyDescent="0.25">
      <c r="A883" s="53" t="s">
        <v>1653</v>
      </c>
      <c r="B883" s="54" t="s">
        <v>1643</v>
      </c>
      <c r="C883" s="55" t="s">
        <v>134</v>
      </c>
      <c r="D883" s="77" t="s">
        <v>28</v>
      </c>
      <c r="E883" s="55" t="s">
        <v>666</v>
      </c>
      <c r="F883" s="55" t="s">
        <v>1177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ROUND(Tableau14[[#This Row],[LEN]]*7.27,0)</f>
        <v>124</v>
      </c>
      <c r="L883" s="118">
        <v>15</v>
      </c>
      <c r="M883" s="135" t="str">
        <f t="shared" si="5"/>
        <v>none</v>
      </c>
      <c r="N883" s="118">
        <f>LEN(Tableau14[[#This Row],[LABEL]])</f>
        <v>17</v>
      </c>
      <c r="O883" s="118">
        <v>15</v>
      </c>
      <c r="P883" s="118" t="e">
        <f>ROUND(Tableau14[[#This Row],[LEN]]*#REF!+#REF!,0)</f>
        <v>#REF!</v>
      </c>
    </row>
    <row r="884" spans="1:16" s="97" customFormat="1" x14ac:dyDescent="0.25">
      <c r="A884" s="49" t="s">
        <v>1644</v>
      </c>
      <c r="B884" s="50" t="s">
        <v>306</v>
      </c>
      <c r="C884" s="51" t="s">
        <v>1654</v>
      </c>
      <c r="D884" s="76" t="s">
        <v>28</v>
      </c>
      <c r="E884" s="51" t="s">
        <v>666</v>
      </c>
      <c r="F884" s="51" t="s">
        <v>661</v>
      </c>
      <c r="G884" s="76" t="s">
        <v>169</v>
      </c>
      <c r="H884" s="76" t="s">
        <v>654</v>
      </c>
      <c r="I884" s="51"/>
      <c r="J884" s="52" t="s">
        <v>708</v>
      </c>
      <c r="K884" s="117">
        <f>ROUND(Tableau14[[#This Row],[LEN]]*7.27,0)</f>
        <v>160</v>
      </c>
      <c r="L884" s="117">
        <v>15</v>
      </c>
      <c r="M884" s="134" t="str">
        <f t="shared" si="5"/>
        <v>none</v>
      </c>
      <c r="N884" s="117">
        <f>LEN(Tableau14[[#This Row],[LABEL]])</f>
        <v>22</v>
      </c>
      <c r="O884" s="117">
        <v>15</v>
      </c>
      <c r="P884" s="117" t="e">
        <f>ROUND(Tableau14[[#This Row],[LEN]]*#REF!+#REF!,0)</f>
        <v>#REF!</v>
      </c>
    </row>
    <row r="885" spans="1:16" s="97" customFormat="1" x14ac:dyDescent="0.25">
      <c r="A885" s="49" t="s">
        <v>1645</v>
      </c>
      <c r="B885" s="50" t="s">
        <v>306</v>
      </c>
      <c r="C885" s="51" t="s">
        <v>1655</v>
      </c>
      <c r="D885" s="76" t="s">
        <v>1656</v>
      </c>
      <c r="E885" s="51" t="s">
        <v>673</v>
      </c>
      <c r="F885" s="51" t="s">
        <v>1660</v>
      </c>
      <c r="G885" s="76" t="s">
        <v>169</v>
      </c>
      <c r="H885" s="76" t="s">
        <v>654</v>
      </c>
      <c r="I885" s="51"/>
      <c r="J885" s="52" t="s">
        <v>708</v>
      </c>
      <c r="K885" s="117">
        <f>ROUND(Tableau14[[#This Row],[LEN]]*7.27,0)</f>
        <v>291</v>
      </c>
      <c r="L885" s="117">
        <v>15</v>
      </c>
      <c r="M885" s="134" t="str">
        <f t="shared" si="5"/>
        <v>none</v>
      </c>
      <c r="N885" s="117">
        <f>LEN(Tableau14[[#This Row],[LABEL]])</f>
        <v>40</v>
      </c>
      <c r="O885" s="117">
        <v>15</v>
      </c>
      <c r="P885" s="117" t="e">
        <f>ROUND(Tableau14[[#This Row],[LEN]]*#REF!+#REF!,0)</f>
        <v>#REF!</v>
      </c>
    </row>
    <row r="886" spans="1:16" s="273" customFormat="1" x14ac:dyDescent="0.25">
      <c r="A886" s="351" t="s">
        <v>308</v>
      </c>
      <c r="B886" s="352" t="s">
        <v>209</v>
      </c>
      <c r="C886" s="353" t="s">
        <v>5</v>
      </c>
      <c r="D886" s="354" t="s">
        <v>28</v>
      </c>
      <c r="E886" s="353" t="s">
        <v>668</v>
      </c>
      <c r="F886" s="353" t="s">
        <v>668</v>
      </c>
      <c r="G886" s="354" t="s">
        <v>169</v>
      </c>
      <c r="H886" s="354" t="str">
        <f>IFERROR(IF(SEARCH(".00.00.00.00.00",Tableau14[[#This Row],[name]],1)=7,"Division",""),"")</f>
        <v>Division</v>
      </c>
      <c r="I886" s="353"/>
      <c r="J886" s="355" t="s">
        <v>714</v>
      </c>
      <c r="K886" s="356">
        <f>ROUND(Tableau14[[#This Row],[LEN]]*7.27,0)</f>
        <v>73</v>
      </c>
      <c r="L886" s="356">
        <v>15</v>
      </c>
      <c r="M886" s="357" t="str">
        <f t="shared" si="5"/>
        <v>new</v>
      </c>
      <c r="N886" s="356">
        <f>LEN(Tableau14[[#This Row],[LABEL]])</f>
        <v>10</v>
      </c>
      <c r="O886" s="356">
        <v>15</v>
      </c>
      <c r="P886" s="356" t="e">
        <f>ROUND(Tableau14[[#This Row],[LEN]]*#REF!+#REF!,0)</f>
        <v>#REF!</v>
      </c>
    </row>
    <row r="887" spans="1:16" s="97" customFormat="1" x14ac:dyDescent="0.25">
      <c r="A887" s="49" t="s">
        <v>1661</v>
      </c>
      <c r="B887" s="50" t="s">
        <v>308</v>
      </c>
      <c r="C887" s="51" t="s">
        <v>1662</v>
      </c>
      <c r="D887" s="76" t="s">
        <v>28</v>
      </c>
      <c r="E887" s="51" t="s">
        <v>668</v>
      </c>
      <c r="F887" s="51" t="s">
        <v>1339</v>
      </c>
      <c r="G887" s="76" t="s">
        <v>169</v>
      </c>
      <c r="H887" s="76" t="s">
        <v>56</v>
      </c>
      <c r="I887" s="51"/>
      <c r="J887" s="52" t="s">
        <v>708</v>
      </c>
      <c r="K887" s="117">
        <f>ROUND(Tableau14[[#This Row],[LEN]]*7.27,0)</f>
        <v>218</v>
      </c>
      <c r="L887" s="117">
        <v>15</v>
      </c>
      <c r="M887" s="134" t="str">
        <f t="shared" si="5"/>
        <v>none</v>
      </c>
      <c r="N887" s="117">
        <f>LEN(Tableau14[[#This Row],[LABEL]])</f>
        <v>30</v>
      </c>
      <c r="O887" s="117">
        <v>15</v>
      </c>
      <c r="P887" s="117" t="e">
        <f>ROUND(Tableau14[[#This Row],[LEN]]*#REF!+#REF!,0)</f>
        <v>#REF!</v>
      </c>
    </row>
    <row r="888" spans="1:16" s="273" customFormat="1" x14ac:dyDescent="0.25">
      <c r="A888" s="351" t="s">
        <v>309</v>
      </c>
      <c r="B888" s="352" t="s">
        <v>209</v>
      </c>
      <c r="C888" s="353" t="s">
        <v>6</v>
      </c>
      <c r="D888" s="354" t="s">
        <v>28</v>
      </c>
      <c r="E888" s="353" t="s">
        <v>669</v>
      </c>
      <c r="F888" s="353" t="s">
        <v>669</v>
      </c>
      <c r="G888" s="354" t="s">
        <v>169</v>
      </c>
      <c r="H888" s="354" t="str">
        <f>IFERROR(IF(SEARCH(".00.00.00.00.00",Tableau14[[#This Row],[name]],1)=7,"Division",""),"")</f>
        <v>Division</v>
      </c>
      <c r="I888" s="353"/>
      <c r="J888" s="355" t="s">
        <v>715</v>
      </c>
      <c r="K888" s="356">
        <f>ROUND(Tableau14[[#This Row],[LEN]]*7.27,0)</f>
        <v>196</v>
      </c>
      <c r="L888" s="356">
        <v>15</v>
      </c>
      <c r="M888" s="357" t="str">
        <f t="shared" si="5"/>
        <v>new</v>
      </c>
      <c r="N888" s="356">
        <f>LEN(Tableau14[[#This Row],[LABEL]])</f>
        <v>27</v>
      </c>
      <c r="O888" s="356">
        <v>15</v>
      </c>
      <c r="P888" s="356" t="e">
        <f>ROUND(Tableau14[[#This Row],[LEN]]*#REF!+#REF!,0)</f>
        <v>#REF!</v>
      </c>
    </row>
    <row r="889" spans="1:16" s="97" customFormat="1" x14ac:dyDescent="0.25">
      <c r="A889" s="49" t="s">
        <v>1663</v>
      </c>
      <c r="B889" s="50" t="s">
        <v>309</v>
      </c>
      <c r="C889" s="51" t="s">
        <v>128</v>
      </c>
      <c r="D889" s="76" t="s">
        <v>28</v>
      </c>
      <c r="E889" s="51" t="s">
        <v>669</v>
      </c>
      <c r="F889" s="51" t="s">
        <v>2029</v>
      </c>
      <c r="G889" s="76" t="s">
        <v>169</v>
      </c>
      <c r="H889" s="76" t="s">
        <v>570</v>
      </c>
      <c r="I889" s="51"/>
      <c r="J889" s="52" t="s">
        <v>708</v>
      </c>
      <c r="K889" s="117">
        <f>ROUND(Tableau14[[#This Row],[LEN]]*7.27,0)</f>
        <v>182</v>
      </c>
      <c r="L889" s="117">
        <v>15</v>
      </c>
      <c r="M889" s="134" t="str">
        <f t="shared" si="5"/>
        <v>none</v>
      </c>
      <c r="N889" s="117">
        <f>LEN(Tableau14[[#This Row],[LABEL]])</f>
        <v>25</v>
      </c>
      <c r="O889" s="117">
        <v>15</v>
      </c>
      <c r="P889" s="117" t="e">
        <f>ROUND(Tableau14[[#This Row],[LEN]]*#REF!+#REF!,0)</f>
        <v>#REF!</v>
      </c>
    </row>
    <row r="890" spans="1:16" s="97" customFormat="1" x14ac:dyDescent="0.25">
      <c r="A890" s="49" t="s">
        <v>1664</v>
      </c>
      <c r="B890" s="50" t="s">
        <v>309</v>
      </c>
      <c r="C890" s="51" t="s">
        <v>129</v>
      </c>
      <c r="D890" s="76" t="s">
        <v>28</v>
      </c>
      <c r="E890" s="51" t="s">
        <v>673</v>
      </c>
      <c r="F890" s="51" t="s">
        <v>2035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ROUND(Tableau14[[#This Row],[LEN]]*7.27,0)</f>
        <v>87</v>
      </c>
      <c r="L890" s="117">
        <v>15</v>
      </c>
      <c r="M890" s="134" t="str">
        <f t="shared" si="5"/>
        <v>none</v>
      </c>
      <c r="N890" s="117">
        <f>LEN(Tableau14[[#This Row],[LABEL]])</f>
        <v>12</v>
      </c>
      <c r="O890" s="117">
        <v>15</v>
      </c>
      <c r="P890" s="117" t="e">
        <f>ROUND(Tableau14[[#This Row],[LEN]]*#REF!+#REF!,0)</f>
        <v>#REF!</v>
      </c>
    </row>
    <row r="891" spans="1:16" s="97" customFormat="1" x14ac:dyDescent="0.25">
      <c r="A891" s="53" t="s">
        <v>1675</v>
      </c>
      <c r="B891" s="54" t="s">
        <v>1664</v>
      </c>
      <c r="C891" s="55" t="s">
        <v>131</v>
      </c>
      <c r="D891" s="77" t="s">
        <v>28</v>
      </c>
      <c r="E891" s="55" t="s">
        <v>673</v>
      </c>
      <c r="F891" s="55" t="s">
        <v>2035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ROUND(Tableau14[[#This Row],[LEN]]*7.27,0)</f>
        <v>262</v>
      </c>
      <c r="L891" s="118">
        <v>15</v>
      </c>
      <c r="M891" s="135" t="str">
        <f t="shared" ref="M891:M954" si="6">IF(J891="javascript:void(0)","none","new")</f>
        <v>none</v>
      </c>
      <c r="N891" s="118">
        <f>LEN(Tableau14[[#This Row],[LABEL]])</f>
        <v>36</v>
      </c>
      <c r="O891" s="118">
        <v>15</v>
      </c>
      <c r="P891" s="118" t="e">
        <f>ROUND(Tableau14[[#This Row],[LEN]]*#REF!+#REF!,0)</f>
        <v>#REF!</v>
      </c>
    </row>
    <row r="892" spans="1:16" s="97" customFormat="1" x14ac:dyDescent="0.25">
      <c r="A892" s="53" t="s">
        <v>1676</v>
      </c>
      <c r="B892" s="54" t="s">
        <v>1664</v>
      </c>
      <c r="C892" s="55" t="s">
        <v>132</v>
      </c>
      <c r="D892" s="77" t="s">
        <v>28</v>
      </c>
      <c r="E892" s="55" t="s">
        <v>673</v>
      </c>
      <c r="F892" s="55" t="s">
        <v>2035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ROUND(Tableau14[[#This Row],[LEN]]*7.27,0)</f>
        <v>298</v>
      </c>
      <c r="L892" s="118">
        <v>15</v>
      </c>
      <c r="M892" s="135" t="str">
        <f t="shared" si="6"/>
        <v>none</v>
      </c>
      <c r="N892" s="118">
        <f>LEN(Tableau14[[#This Row],[LABEL]])</f>
        <v>41</v>
      </c>
      <c r="O892" s="118">
        <v>15</v>
      </c>
      <c r="P892" s="118" t="e">
        <f>ROUND(Tableau14[[#This Row],[LEN]]*#REF!+#REF!,0)</f>
        <v>#REF!</v>
      </c>
    </row>
    <row r="893" spans="1:16" s="97" customFormat="1" x14ac:dyDescent="0.25">
      <c r="A893" s="49" t="s">
        <v>1665</v>
      </c>
      <c r="B893" s="50" t="s">
        <v>309</v>
      </c>
      <c r="C893" s="51" t="s">
        <v>1677</v>
      </c>
      <c r="D893" s="76" t="s">
        <v>28</v>
      </c>
      <c r="E893" s="51" t="s">
        <v>669</v>
      </c>
      <c r="F893" s="51" t="s">
        <v>1177</v>
      </c>
      <c r="G893" s="76" t="s">
        <v>169</v>
      </c>
      <c r="H893" s="76" t="s">
        <v>654</v>
      </c>
      <c r="I893" s="51"/>
      <c r="J893" s="52" t="s">
        <v>708</v>
      </c>
      <c r="K893" s="117">
        <f>ROUND(Tableau14[[#This Row],[LEN]]*7.27,0)</f>
        <v>109</v>
      </c>
      <c r="L893" s="117">
        <v>15</v>
      </c>
      <c r="M893" s="134" t="str">
        <f t="shared" si="6"/>
        <v>none</v>
      </c>
      <c r="N893" s="117">
        <f>LEN(Tableau14[[#This Row],[LABEL]])</f>
        <v>15</v>
      </c>
      <c r="O893" s="117">
        <v>15</v>
      </c>
      <c r="P893" s="117" t="e">
        <f>ROUND(Tableau14[[#This Row],[LEN]]*#REF!+#REF!,0)</f>
        <v>#REF!</v>
      </c>
    </row>
    <row r="894" spans="1:16" s="97" customFormat="1" x14ac:dyDescent="0.25">
      <c r="A894" s="49" t="s">
        <v>1666</v>
      </c>
      <c r="B894" s="50" t="s">
        <v>309</v>
      </c>
      <c r="C894" s="51" t="s">
        <v>1678</v>
      </c>
      <c r="D894" s="76" t="s">
        <v>28</v>
      </c>
      <c r="E894" s="51" t="s">
        <v>669</v>
      </c>
      <c r="F894" s="51" t="s">
        <v>1177</v>
      </c>
      <c r="G894" s="76" t="s">
        <v>169</v>
      </c>
      <c r="H894" s="76" t="s">
        <v>654</v>
      </c>
      <c r="I894" s="51"/>
      <c r="J894" s="52" t="s">
        <v>708</v>
      </c>
      <c r="K894" s="117">
        <f>ROUND(Tableau14[[#This Row],[LEN]]*7.27,0)</f>
        <v>196</v>
      </c>
      <c r="L894" s="117">
        <v>15</v>
      </c>
      <c r="M894" s="134" t="str">
        <f t="shared" si="6"/>
        <v>none</v>
      </c>
      <c r="N894" s="117">
        <f>LEN(Tableau14[[#This Row],[LABEL]])</f>
        <v>27</v>
      </c>
      <c r="O894" s="117">
        <v>15</v>
      </c>
      <c r="P894" s="117" t="e">
        <f>ROUND(Tableau14[[#This Row],[LEN]]*#REF!+#REF!,0)</f>
        <v>#REF!</v>
      </c>
    </row>
    <row r="895" spans="1:16" s="97" customFormat="1" x14ac:dyDescent="0.25">
      <c r="A895" s="49" t="s">
        <v>1667</v>
      </c>
      <c r="B895" s="50" t="s">
        <v>309</v>
      </c>
      <c r="C895" s="51" t="s">
        <v>1679</v>
      </c>
      <c r="D895" s="76" t="s">
        <v>28</v>
      </c>
      <c r="E895" s="51" t="s">
        <v>669</v>
      </c>
      <c r="F895" s="51" t="s">
        <v>1177</v>
      </c>
      <c r="G895" s="76" t="s">
        <v>169</v>
      </c>
      <c r="H895" s="76" t="s">
        <v>654</v>
      </c>
      <c r="I895" s="51"/>
      <c r="J895" s="52" t="s">
        <v>708</v>
      </c>
      <c r="K895" s="117">
        <f>ROUND(Tableau14[[#This Row],[LEN]]*7.27,0)</f>
        <v>254</v>
      </c>
      <c r="L895" s="117">
        <v>15</v>
      </c>
      <c r="M895" s="134" t="str">
        <f t="shared" si="6"/>
        <v>none</v>
      </c>
      <c r="N895" s="117">
        <f>LEN(Tableau14[[#This Row],[LABEL]])</f>
        <v>35</v>
      </c>
      <c r="O895" s="117">
        <v>15</v>
      </c>
      <c r="P895" s="117" t="e">
        <f>ROUND(Tableau14[[#This Row],[LEN]]*#REF!+#REF!,0)</f>
        <v>#REF!</v>
      </c>
    </row>
    <row r="896" spans="1:16" s="97" customFormat="1" x14ac:dyDescent="0.25">
      <c r="A896" s="49" t="s">
        <v>1668</v>
      </c>
      <c r="B896" s="50" t="s">
        <v>309</v>
      </c>
      <c r="C896" s="51" t="s">
        <v>1680</v>
      </c>
      <c r="D896" s="76" t="s">
        <v>28</v>
      </c>
      <c r="E896" s="51" t="s">
        <v>669</v>
      </c>
      <c r="F896" s="51" t="s">
        <v>1177</v>
      </c>
      <c r="G896" s="76" t="s">
        <v>169</v>
      </c>
      <c r="H896" s="76" t="s">
        <v>654</v>
      </c>
      <c r="I896" s="51"/>
      <c r="J896" s="52" t="s">
        <v>708</v>
      </c>
      <c r="K896" s="117">
        <f>ROUND(Tableau14[[#This Row],[LEN]]*7.27,0)</f>
        <v>269</v>
      </c>
      <c r="L896" s="117">
        <v>15</v>
      </c>
      <c r="M896" s="134" t="str">
        <f t="shared" si="6"/>
        <v>none</v>
      </c>
      <c r="N896" s="117">
        <f>LEN(Tableau14[[#This Row],[LABEL]])</f>
        <v>37</v>
      </c>
      <c r="O896" s="117">
        <v>15</v>
      </c>
      <c r="P896" s="117" t="e">
        <f>ROUND(Tableau14[[#This Row],[LEN]]*#REF!+#REF!,0)</f>
        <v>#REF!</v>
      </c>
    </row>
    <row r="897" spans="1:16" s="97" customFormat="1" x14ac:dyDescent="0.25">
      <c r="A897" s="49" t="s">
        <v>1669</v>
      </c>
      <c r="B897" s="50" t="s">
        <v>309</v>
      </c>
      <c r="C897" s="51" t="s">
        <v>1681</v>
      </c>
      <c r="D897" s="76" t="s">
        <v>28</v>
      </c>
      <c r="E897" s="51" t="s">
        <v>669</v>
      </c>
      <c r="F897" s="51" t="s">
        <v>1177</v>
      </c>
      <c r="G897" s="76" t="s">
        <v>169</v>
      </c>
      <c r="H897" s="76" t="s">
        <v>655</v>
      </c>
      <c r="I897" s="51"/>
      <c r="J897" s="52" t="s">
        <v>708</v>
      </c>
      <c r="K897" s="117">
        <f>ROUND(Tableau14[[#This Row],[LEN]]*7.27,0)</f>
        <v>305</v>
      </c>
      <c r="L897" s="117">
        <v>15</v>
      </c>
      <c r="M897" s="134" t="str">
        <f t="shared" si="6"/>
        <v>none</v>
      </c>
      <c r="N897" s="117">
        <f>LEN(Tableau14[[#This Row],[LABEL]])</f>
        <v>42</v>
      </c>
      <c r="O897" s="117">
        <v>15</v>
      </c>
      <c r="P897" s="117" t="e">
        <f>ROUND(Tableau14[[#This Row],[LEN]]*#REF!+#REF!,0)</f>
        <v>#REF!</v>
      </c>
    </row>
    <row r="898" spans="1:16" s="97" customFormat="1" x14ac:dyDescent="0.25">
      <c r="A898" s="53" t="s">
        <v>1682</v>
      </c>
      <c r="B898" s="54" t="s">
        <v>1669</v>
      </c>
      <c r="C898" s="55" t="s">
        <v>1688</v>
      </c>
      <c r="D898" s="77" t="s">
        <v>1687</v>
      </c>
      <c r="E898" s="55" t="s">
        <v>669</v>
      </c>
      <c r="F898" s="55" t="s">
        <v>1177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ROUND(Tableau14[[#This Row],[LEN]]*7.27,0)</f>
        <v>465</v>
      </c>
      <c r="L898" s="118">
        <v>15</v>
      </c>
      <c r="M898" s="135" t="str">
        <f t="shared" si="6"/>
        <v>none</v>
      </c>
      <c r="N898" s="118">
        <f>LEN(Tableau14[[#This Row],[LABEL]])</f>
        <v>64</v>
      </c>
      <c r="O898" s="118">
        <v>15</v>
      </c>
      <c r="P898" s="118" t="e">
        <f>ROUND(Tableau14[[#This Row],[LEN]]*#REF!+#REF!,0)</f>
        <v>#REF!</v>
      </c>
    </row>
    <row r="899" spans="1:16" s="97" customFormat="1" x14ac:dyDescent="0.25">
      <c r="A899" s="53" t="s">
        <v>1683</v>
      </c>
      <c r="B899" s="54" t="s">
        <v>1669</v>
      </c>
      <c r="C899" s="55" t="s">
        <v>1689</v>
      </c>
      <c r="D899" s="77" t="s">
        <v>28</v>
      </c>
      <c r="E899" s="55" t="s">
        <v>669</v>
      </c>
      <c r="F899" s="55" t="s">
        <v>1177</v>
      </c>
      <c r="G899" s="77" t="s">
        <v>169</v>
      </c>
      <c r="H899" s="77" t="s">
        <v>654</v>
      </c>
      <c r="I899" s="55"/>
      <c r="J899" s="56" t="s">
        <v>708</v>
      </c>
      <c r="K899" s="118">
        <f>ROUND(Tableau14[[#This Row],[LEN]]*7.27,0)</f>
        <v>422</v>
      </c>
      <c r="L899" s="118">
        <v>15</v>
      </c>
      <c r="M899" s="135" t="str">
        <f t="shared" si="6"/>
        <v>none</v>
      </c>
      <c r="N899" s="118">
        <f>LEN(Tableau14[[#This Row],[LABEL]])</f>
        <v>58</v>
      </c>
      <c r="O899" s="118">
        <v>15</v>
      </c>
      <c r="P899" s="118" t="e">
        <f>ROUND(Tableau14[[#This Row],[LEN]]*#REF!+#REF!,0)</f>
        <v>#REF!</v>
      </c>
    </row>
    <row r="900" spans="1:16" s="97" customFormat="1" x14ac:dyDescent="0.25">
      <c r="A900" s="53" t="s">
        <v>1684</v>
      </c>
      <c r="B900" s="54" t="s">
        <v>1669</v>
      </c>
      <c r="C900" s="55" t="s">
        <v>1690</v>
      </c>
      <c r="D900" s="77" t="s">
        <v>28</v>
      </c>
      <c r="E900" s="55" t="s">
        <v>669</v>
      </c>
      <c r="F900" s="55" t="s">
        <v>1177</v>
      </c>
      <c r="G900" s="77" t="s">
        <v>169</v>
      </c>
      <c r="H900" s="77" t="s">
        <v>654</v>
      </c>
      <c r="I900" s="55"/>
      <c r="J900" s="56" t="s">
        <v>708</v>
      </c>
      <c r="K900" s="118">
        <f>ROUND(Tableau14[[#This Row],[LEN]]*7.27,0)</f>
        <v>313</v>
      </c>
      <c r="L900" s="118">
        <v>15</v>
      </c>
      <c r="M900" s="135" t="str">
        <f t="shared" si="6"/>
        <v>none</v>
      </c>
      <c r="N900" s="118">
        <f>LEN(Tableau14[[#This Row],[LABEL]])</f>
        <v>43</v>
      </c>
      <c r="O900" s="118">
        <v>15</v>
      </c>
      <c r="P900" s="118" t="e">
        <f>ROUND(Tableau14[[#This Row],[LEN]]*#REF!+#REF!,0)</f>
        <v>#REF!</v>
      </c>
    </row>
    <row r="901" spans="1:16" s="97" customFormat="1" x14ac:dyDescent="0.25">
      <c r="A901" s="53" t="s">
        <v>1685</v>
      </c>
      <c r="B901" s="54" t="s">
        <v>1669</v>
      </c>
      <c r="C901" s="55" t="s">
        <v>1691</v>
      </c>
      <c r="D901" s="77" t="s">
        <v>1701</v>
      </c>
      <c r="E901" s="55" t="s">
        <v>669</v>
      </c>
      <c r="F901" s="55" t="s">
        <v>1177</v>
      </c>
      <c r="G901" s="77" t="s">
        <v>169</v>
      </c>
      <c r="H901" s="77" t="s">
        <v>654</v>
      </c>
      <c r="I901" s="55"/>
      <c r="J901" s="56" t="s">
        <v>708</v>
      </c>
      <c r="K901" s="118">
        <f>ROUND(Tableau14[[#This Row],[LEN]]*7.27,0)</f>
        <v>523</v>
      </c>
      <c r="L901" s="118">
        <v>15</v>
      </c>
      <c r="M901" s="135" t="str">
        <f t="shared" si="6"/>
        <v>none</v>
      </c>
      <c r="N901" s="118">
        <f>LEN(Tableau14[[#This Row],[LABEL]])</f>
        <v>72</v>
      </c>
      <c r="O901" s="118">
        <v>15</v>
      </c>
      <c r="P901" s="118" t="e">
        <f>ROUND(Tableau14[[#This Row],[LEN]]*#REF!+#REF!,0)</f>
        <v>#REF!</v>
      </c>
    </row>
    <row r="902" spans="1:16" s="97" customFormat="1" x14ac:dyDescent="0.25">
      <c r="A902" s="53" t="s">
        <v>1686</v>
      </c>
      <c r="B902" s="54" t="s">
        <v>1669</v>
      </c>
      <c r="C902" s="55" t="s">
        <v>1692</v>
      </c>
      <c r="D902" s="77" t="s">
        <v>28</v>
      </c>
      <c r="E902" s="55" t="s">
        <v>669</v>
      </c>
      <c r="F902" s="55" t="s">
        <v>1177</v>
      </c>
      <c r="G902" s="77" t="s">
        <v>169</v>
      </c>
      <c r="H902" s="77" t="s">
        <v>655</v>
      </c>
      <c r="I902" s="55"/>
      <c r="J902" s="56" t="s">
        <v>708</v>
      </c>
      <c r="K902" s="118">
        <f>ROUND(Tableau14[[#This Row],[LEN]]*7.27,0)</f>
        <v>233</v>
      </c>
      <c r="L902" s="118">
        <v>15</v>
      </c>
      <c r="M902" s="135" t="str">
        <f t="shared" si="6"/>
        <v>none</v>
      </c>
      <c r="N902" s="118">
        <f>LEN(Tableau14[[#This Row],[LABEL]])</f>
        <v>32</v>
      </c>
      <c r="O902" s="118">
        <v>15</v>
      </c>
      <c r="P902" s="118" t="e">
        <f>ROUND(Tableau14[[#This Row],[LEN]]*#REF!+#REF!,0)</f>
        <v>#REF!</v>
      </c>
    </row>
    <row r="903" spans="1:16" s="97" customFormat="1" x14ac:dyDescent="0.25">
      <c r="A903" s="410" t="s">
        <v>1693</v>
      </c>
      <c r="B903" s="411" t="s">
        <v>1686</v>
      </c>
      <c r="C903" s="412" t="s">
        <v>1697</v>
      </c>
      <c r="D903" s="413" t="s">
        <v>28</v>
      </c>
      <c r="E903" s="412" t="s">
        <v>669</v>
      </c>
      <c r="F903" s="412" t="s">
        <v>1177</v>
      </c>
      <c r="G903" s="413" t="s">
        <v>169</v>
      </c>
      <c r="H903" s="414" t="s">
        <v>654</v>
      </c>
      <c r="I903" s="412"/>
      <c r="J903" s="415" t="s">
        <v>708</v>
      </c>
      <c r="K903" s="416">
        <f>ROUND(Tableau14[[#This Row],[LEN]]*7.27,0)</f>
        <v>145</v>
      </c>
      <c r="L903" s="416">
        <v>15</v>
      </c>
      <c r="M903" s="417" t="str">
        <f t="shared" si="6"/>
        <v>none</v>
      </c>
      <c r="N903" s="416">
        <f>LEN(Tableau14[[#This Row],[LABEL]])</f>
        <v>20</v>
      </c>
      <c r="O903" s="416">
        <v>15</v>
      </c>
      <c r="P903" s="416" t="e">
        <f>ROUND(Tableau14[[#This Row],[LEN]]*#REF!+#REF!,0)</f>
        <v>#REF!</v>
      </c>
    </row>
    <row r="904" spans="1:16" s="97" customFormat="1" x14ac:dyDescent="0.25">
      <c r="A904" s="410" t="s">
        <v>1694</v>
      </c>
      <c r="B904" s="411" t="s">
        <v>1686</v>
      </c>
      <c r="C904" s="412" t="s">
        <v>1698</v>
      </c>
      <c r="D904" s="413" t="s">
        <v>28</v>
      </c>
      <c r="E904" s="412" t="s">
        <v>669</v>
      </c>
      <c r="F904" s="412" t="s">
        <v>1177</v>
      </c>
      <c r="G904" s="413" t="s">
        <v>169</v>
      </c>
      <c r="H904" s="414" t="s">
        <v>654</v>
      </c>
      <c r="I904" s="412"/>
      <c r="J904" s="415" t="s">
        <v>708</v>
      </c>
      <c r="K904" s="416">
        <f>ROUND(Tableau14[[#This Row],[LEN]]*7.27,0)</f>
        <v>174</v>
      </c>
      <c r="L904" s="416">
        <v>15</v>
      </c>
      <c r="M904" s="417" t="str">
        <f t="shared" si="6"/>
        <v>none</v>
      </c>
      <c r="N904" s="416">
        <f>LEN(Tableau14[[#This Row],[LABEL]])</f>
        <v>24</v>
      </c>
      <c r="O904" s="416">
        <v>15</v>
      </c>
      <c r="P904" s="416" t="e">
        <f>ROUND(Tableau14[[#This Row],[LEN]]*#REF!+#REF!,0)</f>
        <v>#REF!</v>
      </c>
    </row>
    <row r="905" spans="1:16" s="97" customFormat="1" x14ac:dyDescent="0.25">
      <c r="A905" s="410" t="s">
        <v>1695</v>
      </c>
      <c r="B905" s="411" t="s">
        <v>1686</v>
      </c>
      <c r="C905" s="412" t="s">
        <v>1699</v>
      </c>
      <c r="D905" s="413" t="s">
        <v>28</v>
      </c>
      <c r="E905" s="412" t="s">
        <v>669</v>
      </c>
      <c r="F905" s="412" t="s">
        <v>1177</v>
      </c>
      <c r="G905" s="413" t="s">
        <v>169</v>
      </c>
      <c r="H905" s="414" t="s">
        <v>654</v>
      </c>
      <c r="I905" s="412"/>
      <c r="J905" s="415" t="s">
        <v>708</v>
      </c>
      <c r="K905" s="416">
        <f>ROUND(Tableau14[[#This Row],[LEN]]*7.27,0)</f>
        <v>138</v>
      </c>
      <c r="L905" s="416">
        <v>15</v>
      </c>
      <c r="M905" s="417" t="str">
        <f t="shared" si="6"/>
        <v>none</v>
      </c>
      <c r="N905" s="416">
        <f>LEN(Tableau14[[#This Row],[LABEL]])</f>
        <v>19</v>
      </c>
      <c r="O905" s="416">
        <v>15</v>
      </c>
      <c r="P905" s="416" t="e">
        <f>ROUND(Tableau14[[#This Row],[LEN]]*#REF!+#REF!,0)</f>
        <v>#REF!</v>
      </c>
    </row>
    <row r="906" spans="1:16" s="97" customFormat="1" x14ac:dyDescent="0.25">
      <c r="A906" s="410" t="s">
        <v>1696</v>
      </c>
      <c r="B906" s="411" t="s">
        <v>1686</v>
      </c>
      <c r="C906" s="412" t="s">
        <v>1700</v>
      </c>
      <c r="D906" s="413" t="s">
        <v>28</v>
      </c>
      <c r="E906" s="412" t="s">
        <v>669</v>
      </c>
      <c r="F906" s="412" t="s">
        <v>1177</v>
      </c>
      <c r="G906" s="413" t="s">
        <v>169</v>
      </c>
      <c r="H906" s="414" t="s">
        <v>654</v>
      </c>
      <c r="I906" s="412"/>
      <c r="J906" s="415" t="s">
        <v>708</v>
      </c>
      <c r="K906" s="416">
        <f>ROUND(Tableau14[[#This Row],[LEN]]*7.27,0)</f>
        <v>131</v>
      </c>
      <c r="L906" s="416">
        <v>15</v>
      </c>
      <c r="M906" s="417" t="str">
        <f t="shared" si="6"/>
        <v>none</v>
      </c>
      <c r="N906" s="416">
        <f>LEN(Tableau14[[#This Row],[LABEL]])</f>
        <v>18</v>
      </c>
      <c r="O906" s="416">
        <v>15</v>
      </c>
      <c r="P906" s="416" t="e">
        <f>ROUND(Tableau14[[#This Row],[LEN]]*#REF!+#REF!,0)</f>
        <v>#REF!</v>
      </c>
    </row>
    <row r="907" spans="1:16" s="97" customFormat="1" x14ac:dyDescent="0.25">
      <c r="A907" s="49" t="s">
        <v>1670</v>
      </c>
      <c r="B907" s="50" t="s">
        <v>309</v>
      </c>
      <c r="C907" s="51" t="s">
        <v>1702</v>
      </c>
      <c r="D907" s="76" t="s">
        <v>1703</v>
      </c>
      <c r="E907" s="51" t="s">
        <v>669</v>
      </c>
      <c r="F907" s="51" t="s">
        <v>661</v>
      </c>
      <c r="G907" s="76" t="s">
        <v>169</v>
      </c>
      <c r="H907" s="76" t="s">
        <v>654</v>
      </c>
      <c r="I907" s="51"/>
      <c r="J907" s="52" t="s">
        <v>708</v>
      </c>
      <c r="K907" s="117">
        <f>ROUND(Tableau14[[#This Row],[LEN]]*7.27,0)</f>
        <v>247</v>
      </c>
      <c r="L907" s="117">
        <v>15</v>
      </c>
      <c r="M907" s="134" t="str">
        <f t="shared" si="6"/>
        <v>none</v>
      </c>
      <c r="N907" s="117">
        <f>LEN(Tableau14[[#This Row],[LABEL]])</f>
        <v>34</v>
      </c>
      <c r="O907" s="117">
        <v>15</v>
      </c>
      <c r="P907" s="117" t="e">
        <f>ROUND(Tableau14[[#This Row],[LEN]]*#REF!+#REF!,0)</f>
        <v>#REF!</v>
      </c>
    </row>
    <row r="908" spans="1:16" s="97" customFormat="1" x14ac:dyDescent="0.25">
      <c r="A908" s="49" t="s">
        <v>1671</v>
      </c>
      <c r="B908" s="50" t="s">
        <v>309</v>
      </c>
      <c r="C908" s="51" t="s">
        <v>549</v>
      </c>
      <c r="D908" s="76" t="s">
        <v>28</v>
      </c>
      <c r="E908" s="51" t="s">
        <v>673</v>
      </c>
      <c r="F908" s="51" t="s">
        <v>1704</v>
      </c>
      <c r="G908" s="76" t="s">
        <v>169</v>
      </c>
      <c r="H908" s="76" t="s">
        <v>655</v>
      </c>
      <c r="I908" s="51"/>
      <c r="J908" s="52" t="s">
        <v>708</v>
      </c>
      <c r="K908" s="117">
        <f>ROUND(Tableau14[[#This Row],[LEN]]*7.27,0)</f>
        <v>145</v>
      </c>
      <c r="L908" s="117">
        <v>15</v>
      </c>
      <c r="M908" s="134" t="str">
        <f t="shared" si="6"/>
        <v>none</v>
      </c>
      <c r="N908" s="117">
        <f>LEN(Tableau14[[#This Row],[LABEL]])</f>
        <v>20</v>
      </c>
      <c r="O908" s="117">
        <v>15</v>
      </c>
      <c r="P908" s="117" t="e">
        <f>ROUND(Tableau14[[#This Row],[LEN]]*#REF!+#REF!,0)</f>
        <v>#REF!</v>
      </c>
    </row>
    <row r="909" spans="1:16" s="97" customFormat="1" x14ac:dyDescent="0.25">
      <c r="A909" s="53" t="s">
        <v>1705</v>
      </c>
      <c r="B909" s="54" t="s">
        <v>1671</v>
      </c>
      <c r="C909" s="55" t="s">
        <v>590</v>
      </c>
      <c r="D909" s="77" t="s">
        <v>28</v>
      </c>
      <c r="E909" s="55" t="s">
        <v>673</v>
      </c>
      <c r="F909" s="55" t="s">
        <v>1704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ROUND(Tableau14[[#This Row],[LEN]]*7.27,0)</f>
        <v>102</v>
      </c>
      <c r="L909" s="118">
        <v>15</v>
      </c>
      <c r="M909" s="135" t="str">
        <f t="shared" si="6"/>
        <v>none</v>
      </c>
      <c r="N909" s="118">
        <f>LEN(Tableau14[[#This Row],[LABEL]])</f>
        <v>14</v>
      </c>
      <c r="O909" s="118">
        <v>15</v>
      </c>
      <c r="P909" s="118" t="e">
        <f>ROUND(Tableau14[[#This Row],[LEN]]*#REF!+#REF!,0)</f>
        <v>#REF!</v>
      </c>
    </row>
    <row r="910" spans="1:16" s="97" customFormat="1" x14ac:dyDescent="0.25">
      <c r="A910" s="53" t="s">
        <v>1706</v>
      </c>
      <c r="B910" s="54" t="s">
        <v>1671</v>
      </c>
      <c r="C910" s="55" t="s">
        <v>591</v>
      </c>
      <c r="D910" s="77" t="s">
        <v>28</v>
      </c>
      <c r="E910" s="55" t="s">
        <v>673</v>
      </c>
      <c r="F910" s="55" t="s">
        <v>1704</v>
      </c>
      <c r="G910" s="77" t="s">
        <v>169</v>
      </c>
      <c r="H910" s="77" t="s">
        <v>570</v>
      </c>
      <c r="I910" s="55"/>
      <c r="J910" s="56" t="s">
        <v>708</v>
      </c>
      <c r="K910" s="118">
        <f>ROUND(Tableau14[[#This Row],[LEN]]*7.27,0)</f>
        <v>262</v>
      </c>
      <c r="L910" s="118">
        <v>15</v>
      </c>
      <c r="M910" s="135" t="str">
        <f t="shared" si="6"/>
        <v>none</v>
      </c>
      <c r="N910" s="118">
        <f>LEN(Tableau14[[#This Row],[LABEL]])</f>
        <v>36</v>
      </c>
      <c r="O910" s="118">
        <v>15</v>
      </c>
      <c r="P910" s="118" t="e">
        <f>ROUND(Tableau14[[#This Row],[LEN]]*#REF!+#REF!,0)</f>
        <v>#REF!</v>
      </c>
    </row>
    <row r="911" spans="1:16" s="97" customFormat="1" x14ac:dyDescent="0.25">
      <c r="A911" s="53" t="s">
        <v>1707</v>
      </c>
      <c r="B911" s="54" t="s">
        <v>1671</v>
      </c>
      <c r="C911" s="55" t="s">
        <v>592</v>
      </c>
      <c r="D911" s="77" t="s">
        <v>28</v>
      </c>
      <c r="E911" s="55" t="s">
        <v>673</v>
      </c>
      <c r="F911" s="55" t="s">
        <v>1704</v>
      </c>
      <c r="G911" s="77" t="s">
        <v>169</v>
      </c>
      <c r="H911" s="77" t="s">
        <v>570</v>
      </c>
      <c r="I911" s="55"/>
      <c r="J911" s="56" t="s">
        <v>708</v>
      </c>
      <c r="K911" s="118">
        <f>ROUND(Tableau14[[#This Row],[LEN]]*7.27,0)</f>
        <v>189</v>
      </c>
      <c r="L911" s="118">
        <v>15</v>
      </c>
      <c r="M911" s="135" t="str">
        <f t="shared" si="6"/>
        <v>none</v>
      </c>
      <c r="N911" s="118">
        <f>LEN(Tableau14[[#This Row],[LABEL]])</f>
        <v>26</v>
      </c>
      <c r="O911" s="118">
        <v>15</v>
      </c>
      <c r="P911" s="118" t="e">
        <f>ROUND(Tableau14[[#This Row],[LEN]]*#REF!+#REF!,0)</f>
        <v>#REF!</v>
      </c>
    </row>
    <row r="912" spans="1:16" s="97" customFormat="1" x14ac:dyDescent="0.25">
      <c r="A912" s="53" t="s">
        <v>1708</v>
      </c>
      <c r="B912" s="54" t="s">
        <v>1671</v>
      </c>
      <c r="C912" s="55" t="s">
        <v>597</v>
      </c>
      <c r="D912" s="77" t="s">
        <v>28</v>
      </c>
      <c r="E912" s="55" t="s">
        <v>673</v>
      </c>
      <c r="F912" s="55" t="s">
        <v>1704</v>
      </c>
      <c r="G912" s="77" t="s">
        <v>169</v>
      </c>
      <c r="H912" s="77" t="s">
        <v>570</v>
      </c>
      <c r="I912" s="55"/>
      <c r="J912" s="56" t="s">
        <v>708</v>
      </c>
      <c r="K912" s="118">
        <f>ROUND(Tableau14[[#This Row],[LEN]]*7.27,0)</f>
        <v>465</v>
      </c>
      <c r="L912" s="118">
        <v>15</v>
      </c>
      <c r="M912" s="135" t="str">
        <f t="shared" si="6"/>
        <v>none</v>
      </c>
      <c r="N912" s="118">
        <f>LEN(Tableau14[[#This Row],[LABEL]])</f>
        <v>64</v>
      </c>
      <c r="O912" s="118">
        <v>15</v>
      </c>
      <c r="P912" s="118" t="e">
        <f>ROUND(Tableau14[[#This Row],[LEN]]*#REF!+#REF!,0)</f>
        <v>#REF!</v>
      </c>
    </row>
    <row r="913" spans="1:16" s="97" customFormat="1" x14ac:dyDescent="0.25">
      <c r="A913" s="49" t="s">
        <v>1672</v>
      </c>
      <c r="B913" s="50" t="s">
        <v>309</v>
      </c>
      <c r="C913" s="51" t="s">
        <v>1709</v>
      </c>
      <c r="D913" s="76" t="s">
        <v>28</v>
      </c>
      <c r="E913" s="51" t="s">
        <v>669</v>
      </c>
      <c r="F913" s="51" t="s">
        <v>1177</v>
      </c>
      <c r="G913" s="76" t="s">
        <v>169</v>
      </c>
      <c r="H913" s="76" t="s">
        <v>655</v>
      </c>
      <c r="I913" s="51"/>
      <c r="J913" s="52" t="s">
        <v>708</v>
      </c>
      <c r="K913" s="117">
        <f>ROUND(Tableau14[[#This Row],[LEN]]*7.27,0)</f>
        <v>138</v>
      </c>
      <c r="L913" s="117">
        <v>15</v>
      </c>
      <c r="M913" s="134" t="str">
        <f t="shared" si="6"/>
        <v>none</v>
      </c>
      <c r="N913" s="117">
        <f>LEN(Tableau14[[#This Row],[LABEL]])</f>
        <v>19</v>
      </c>
      <c r="O913" s="117">
        <v>15</v>
      </c>
      <c r="P913" s="117" t="e">
        <f>ROUND(Tableau14[[#This Row],[LEN]]*#REF!+#REF!,0)</f>
        <v>#REF!</v>
      </c>
    </row>
    <row r="914" spans="1:16" s="97" customFormat="1" x14ac:dyDescent="0.25">
      <c r="A914" s="53" t="s">
        <v>1710</v>
      </c>
      <c r="B914" s="54" t="s">
        <v>1672</v>
      </c>
      <c r="C914" s="55" t="s">
        <v>1713</v>
      </c>
      <c r="D914" s="77" t="s">
        <v>28</v>
      </c>
      <c r="E914" s="55" t="s">
        <v>669</v>
      </c>
      <c r="F914" s="55" t="s">
        <v>1177</v>
      </c>
      <c r="G914" s="77" t="s">
        <v>169</v>
      </c>
      <c r="H914" s="77" t="s">
        <v>654</v>
      </c>
      <c r="I914" s="55"/>
      <c r="J914" s="56" t="s">
        <v>708</v>
      </c>
      <c r="K914" s="118">
        <f>ROUND(Tableau14[[#This Row],[LEN]]*7.27,0)</f>
        <v>422</v>
      </c>
      <c r="L914" s="118">
        <v>15</v>
      </c>
      <c r="M914" s="135" t="str">
        <f t="shared" si="6"/>
        <v>none</v>
      </c>
      <c r="N914" s="118">
        <f>LEN(Tableau14[[#This Row],[LABEL]])</f>
        <v>58</v>
      </c>
      <c r="O914" s="118">
        <v>15</v>
      </c>
      <c r="P914" s="118" t="e">
        <f>ROUND(Tableau14[[#This Row],[LEN]]*#REF!+#REF!,0)</f>
        <v>#REF!</v>
      </c>
    </row>
    <row r="915" spans="1:16" s="97" customFormat="1" x14ac:dyDescent="0.25">
      <c r="A915" s="53" t="s">
        <v>1711</v>
      </c>
      <c r="B915" s="54" t="s">
        <v>1672</v>
      </c>
      <c r="C915" s="55" t="s">
        <v>1714</v>
      </c>
      <c r="D915" s="77" t="s">
        <v>28</v>
      </c>
      <c r="E915" s="55" t="s">
        <v>669</v>
      </c>
      <c r="F915" s="55" t="s">
        <v>1177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ROUND(Tableau14[[#This Row],[LEN]]*7.27,0)</f>
        <v>174</v>
      </c>
      <c r="L915" s="118">
        <v>15</v>
      </c>
      <c r="M915" s="135" t="str">
        <f t="shared" si="6"/>
        <v>none</v>
      </c>
      <c r="N915" s="118">
        <f>LEN(Tableau14[[#This Row],[LABEL]])</f>
        <v>24</v>
      </c>
      <c r="O915" s="118">
        <v>15</v>
      </c>
      <c r="P915" s="118" t="e">
        <f>ROUND(Tableau14[[#This Row],[LEN]]*#REF!+#REF!,0)</f>
        <v>#REF!</v>
      </c>
    </row>
    <row r="916" spans="1:16" s="97" customFormat="1" x14ac:dyDescent="0.25">
      <c r="A916" s="53" t="s">
        <v>1712</v>
      </c>
      <c r="B916" s="54" t="s">
        <v>1672</v>
      </c>
      <c r="C916" s="55" t="s">
        <v>1715</v>
      </c>
      <c r="D916" s="77" t="s">
        <v>28</v>
      </c>
      <c r="E916" s="55" t="s">
        <v>669</v>
      </c>
      <c r="F916" s="55" t="s">
        <v>1177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ROUND(Tableau14[[#This Row],[LEN]]*7.27,0)</f>
        <v>145</v>
      </c>
      <c r="L916" s="118">
        <v>15</v>
      </c>
      <c r="M916" s="135" t="str">
        <f t="shared" si="6"/>
        <v>none</v>
      </c>
      <c r="N916" s="118">
        <f>LEN(Tableau14[[#This Row],[LABEL]])</f>
        <v>20</v>
      </c>
      <c r="O916" s="118">
        <v>15</v>
      </c>
      <c r="P916" s="118" t="e">
        <f>ROUND(Tableau14[[#This Row],[LEN]]*#REF!+#REF!,0)</f>
        <v>#REF!</v>
      </c>
    </row>
    <row r="917" spans="1:16" s="97" customFormat="1" x14ac:dyDescent="0.25">
      <c r="A917" s="49" t="s">
        <v>1673</v>
      </c>
      <c r="B917" s="50" t="s">
        <v>309</v>
      </c>
      <c r="C917" s="51" t="s">
        <v>598</v>
      </c>
      <c r="D917" s="76" t="s">
        <v>28</v>
      </c>
      <c r="E917" s="51" t="s">
        <v>673</v>
      </c>
      <c r="F917" s="51" t="s">
        <v>2035</v>
      </c>
      <c r="G917" s="76" t="s">
        <v>169</v>
      </c>
      <c r="H917" s="76" t="s">
        <v>654</v>
      </c>
      <c r="I917" s="51"/>
      <c r="J917" s="52" t="s">
        <v>708</v>
      </c>
      <c r="K917" s="117">
        <f>ROUND(Tableau14[[#This Row],[LEN]]*7.27,0)</f>
        <v>553</v>
      </c>
      <c r="L917" s="117">
        <v>15</v>
      </c>
      <c r="M917" s="134" t="str">
        <f t="shared" si="6"/>
        <v>none</v>
      </c>
      <c r="N917" s="117">
        <f>LEN(Tableau14[[#This Row],[LABEL]])</f>
        <v>76</v>
      </c>
      <c r="O917" s="117">
        <v>15</v>
      </c>
      <c r="P917" s="117" t="e">
        <f>ROUND(Tableau14[[#This Row],[LEN]]*#REF!+#REF!,0)</f>
        <v>#REF!</v>
      </c>
    </row>
    <row r="918" spans="1:16" s="273" customFormat="1" x14ac:dyDescent="0.25">
      <c r="A918" s="351" t="s">
        <v>310</v>
      </c>
      <c r="B918" s="352" t="s">
        <v>209</v>
      </c>
      <c r="C918" s="353" t="s">
        <v>7</v>
      </c>
      <c r="D918" s="354" t="s">
        <v>28</v>
      </c>
      <c r="E918" s="353" t="s">
        <v>670</v>
      </c>
      <c r="F918" s="353" t="s">
        <v>670</v>
      </c>
      <c r="G918" s="354" t="s">
        <v>169</v>
      </c>
      <c r="H918" s="354" t="str">
        <f>IFERROR(IF(SEARCH(".00.00.00.00.00",Tableau14[[#This Row],[name]],1)=7,"Division",""),"")</f>
        <v>Division</v>
      </c>
      <c r="I918" s="353"/>
      <c r="J918" s="355" t="s">
        <v>716</v>
      </c>
      <c r="K918" s="356">
        <f>ROUND(Tableau14[[#This Row],[LEN]]*7.27,0)</f>
        <v>189</v>
      </c>
      <c r="L918" s="356">
        <v>15</v>
      </c>
      <c r="M918" s="357" t="str">
        <f t="shared" si="6"/>
        <v>new</v>
      </c>
      <c r="N918" s="356">
        <f>LEN(Tableau14[[#This Row],[LABEL]])</f>
        <v>26</v>
      </c>
      <c r="O918" s="356">
        <v>15</v>
      </c>
      <c r="P918" s="356" t="e">
        <f>ROUND(Tableau14[[#This Row],[LEN]]*#REF!+#REF!,0)</f>
        <v>#REF!</v>
      </c>
    </row>
    <row r="919" spans="1:16" s="97" customFormat="1" x14ac:dyDescent="0.25">
      <c r="A919" s="49" t="s">
        <v>1716</v>
      </c>
      <c r="B919" s="50" t="s">
        <v>310</v>
      </c>
      <c r="C919" s="51" t="s">
        <v>1717</v>
      </c>
      <c r="D919" s="76" t="s">
        <v>28</v>
      </c>
      <c r="E919" s="51" t="s">
        <v>670</v>
      </c>
      <c r="F919" s="51" t="s">
        <v>1177</v>
      </c>
      <c r="G919" s="76" t="s">
        <v>169</v>
      </c>
      <c r="H919" s="76" t="s">
        <v>656</v>
      </c>
      <c r="I919" s="51"/>
      <c r="J919" s="52" t="s">
        <v>708</v>
      </c>
      <c r="K919" s="117">
        <f>ROUND(Tableau14[[#This Row],[LEN]]*7.27,0)</f>
        <v>422</v>
      </c>
      <c r="L919" s="117">
        <v>15</v>
      </c>
      <c r="M919" s="134" t="str">
        <f t="shared" si="6"/>
        <v>none</v>
      </c>
      <c r="N919" s="117">
        <f>LEN(Tableau14[[#This Row],[LABEL]])</f>
        <v>58</v>
      </c>
      <c r="O919" s="117">
        <v>15</v>
      </c>
      <c r="P919" s="117" t="e">
        <f>ROUND(Tableau14[[#This Row],[LEN]]*#REF!+#REF!,0)</f>
        <v>#REF!</v>
      </c>
    </row>
    <row r="920" spans="1:16" s="273" customFormat="1" x14ac:dyDescent="0.25">
      <c r="A920" s="351" t="s">
        <v>311</v>
      </c>
      <c r="B920" s="352" t="s">
        <v>209</v>
      </c>
      <c r="C920" s="353" t="s">
        <v>8</v>
      </c>
      <c r="D920" s="354" t="s">
        <v>28</v>
      </c>
      <c r="E920" s="353" t="s">
        <v>671</v>
      </c>
      <c r="F920" s="353" t="s">
        <v>671</v>
      </c>
      <c r="G920" s="354" t="s">
        <v>169</v>
      </c>
      <c r="H920" s="354" t="str">
        <f>IFERROR(IF(SEARCH(".00.00.00.00.00",Tableau14[[#This Row],[name]],1)=7,"Division",""),"")</f>
        <v>Division</v>
      </c>
      <c r="I920" s="353"/>
      <c r="J920" s="355" t="s">
        <v>717</v>
      </c>
      <c r="K920" s="356">
        <f>ROUND(Tableau14[[#This Row],[LEN]]*7.27,0)</f>
        <v>116</v>
      </c>
      <c r="L920" s="356">
        <v>15</v>
      </c>
      <c r="M920" s="357" t="str">
        <f t="shared" si="6"/>
        <v>new</v>
      </c>
      <c r="N920" s="356">
        <f>LEN(Tableau14[[#This Row],[LABEL]])</f>
        <v>16</v>
      </c>
      <c r="O920" s="356">
        <v>15</v>
      </c>
      <c r="P920" s="356" t="e">
        <f>ROUND(Tableau14[[#This Row],[LEN]]*#REF!+#REF!,0)</f>
        <v>#REF!</v>
      </c>
    </row>
    <row r="921" spans="1:16" s="97" customFormat="1" x14ac:dyDescent="0.25">
      <c r="A921" s="49" t="s">
        <v>1718</v>
      </c>
      <c r="B921" s="50" t="s">
        <v>311</v>
      </c>
      <c r="C921" s="51" t="s">
        <v>1720</v>
      </c>
      <c r="D921" s="76" t="s">
        <v>28</v>
      </c>
      <c r="E921" s="51" t="s">
        <v>671</v>
      </c>
      <c r="F921" s="51" t="s">
        <v>1177</v>
      </c>
      <c r="G921" s="76" t="s">
        <v>169</v>
      </c>
      <c r="H921" s="76" t="s">
        <v>656</v>
      </c>
      <c r="I921" s="51"/>
      <c r="J921" s="52" t="s">
        <v>708</v>
      </c>
      <c r="K921" s="117">
        <f>ROUND(Tableau14[[#This Row],[LEN]]*7.27,0)</f>
        <v>487</v>
      </c>
      <c r="L921" s="117">
        <v>15</v>
      </c>
      <c r="M921" s="134" t="str">
        <f t="shared" si="6"/>
        <v>none</v>
      </c>
      <c r="N921" s="117">
        <f>LEN(Tableau14[[#This Row],[LABEL]])</f>
        <v>67</v>
      </c>
      <c r="O921" s="117">
        <v>15</v>
      </c>
      <c r="P921" s="117" t="e">
        <f>ROUND(Tableau14[[#This Row],[LEN]]*#REF!+#REF!,0)</f>
        <v>#REF!</v>
      </c>
    </row>
    <row r="922" spans="1:16" s="97" customFormat="1" x14ac:dyDescent="0.25">
      <c r="A922" s="49" t="s">
        <v>1719</v>
      </c>
      <c r="B922" s="50" t="s">
        <v>311</v>
      </c>
      <c r="C922" s="51" t="s">
        <v>1721</v>
      </c>
      <c r="D922" s="76" t="s">
        <v>28</v>
      </c>
      <c r="E922" s="51" t="s">
        <v>671</v>
      </c>
      <c r="F922" s="51" t="s">
        <v>1177</v>
      </c>
      <c r="G922" s="76" t="s">
        <v>169</v>
      </c>
      <c r="H922" s="76" t="s">
        <v>654</v>
      </c>
      <c r="I922" s="51"/>
      <c r="J922" s="52" t="s">
        <v>708</v>
      </c>
      <c r="K922" s="117">
        <f>ROUND(Tableau14[[#This Row],[LEN]]*7.27,0)</f>
        <v>320</v>
      </c>
      <c r="L922" s="117">
        <v>15</v>
      </c>
      <c r="M922" s="134" t="str">
        <f t="shared" si="6"/>
        <v>none</v>
      </c>
      <c r="N922" s="117">
        <f>LEN(Tableau14[[#This Row],[LABEL]])</f>
        <v>44</v>
      </c>
      <c r="O922" s="117">
        <v>15</v>
      </c>
      <c r="P922" s="117" t="e">
        <f>ROUND(Tableau14[[#This Row],[LEN]]*#REF!+#REF!,0)</f>
        <v>#REF!</v>
      </c>
    </row>
    <row r="923" spans="1:16" s="273" customFormat="1" x14ac:dyDescent="0.25">
      <c r="A923" s="351" t="s">
        <v>312</v>
      </c>
      <c r="B923" s="352" t="s">
        <v>209</v>
      </c>
      <c r="C923" s="353" t="s">
        <v>9</v>
      </c>
      <c r="D923" s="354" t="s">
        <v>28</v>
      </c>
      <c r="E923" s="353" t="s">
        <v>672</v>
      </c>
      <c r="F923" s="353" t="s">
        <v>672</v>
      </c>
      <c r="G923" s="354" t="s">
        <v>169</v>
      </c>
      <c r="H923" s="354" t="str">
        <f>IFERROR(IF(SEARCH(".00.00.00.00.00",Tableau14[[#This Row],[name]],1)=7,"Division",""),"")</f>
        <v>Division</v>
      </c>
      <c r="I923" s="353"/>
      <c r="J923" s="355" t="s">
        <v>718</v>
      </c>
      <c r="K923" s="356">
        <f>ROUND(Tableau14[[#This Row],[LEN]]*7.27,0)</f>
        <v>80</v>
      </c>
      <c r="L923" s="356">
        <v>15</v>
      </c>
      <c r="M923" s="357" t="str">
        <f t="shared" si="6"/>
        <v>new</v>
      </c>
      <c r="N923" s="356">
        <f>LEN(Tableau14[[#This Row],[LABEL]])</f>
        <v>11</v>
      </c>
      <c r="O923" s="356">
        <v>15</v>
      </c>
      <c r="P923" s="356" t="e">
        <f>ROUND(Tableau14[[#This Row],[LEN]]*#REF!+#REF!,0)</f>
        <v>#REF!</v>
      </c>
    </row>
    <row r="924" spans="1:16" s="97" customFormat="1" x14ac:dyDescent="0.25">
      <c r="A924" s="49" t="s">
        <v>539</v>
      </c>
      <c r="B924" s="50" t="s">
        <v>312</v>
      </c>
      <c r="C924" s="51" t="s">
        <v>128</v>
      </c>
      <c r="D924" s="76" t="s">
        <v>28</v>
      </c>
      <c r="E924" s="51" t="s">
        <v>669</v>
      </c>
      <c r="F924" s="51" t="s">
        <v>2029</v>
      </c>
      <c r="G924" s="76" t="s">
        <v>169</v>
      </c>
      <c r="H924" s="76" t="s">
        <v>570</v>
      </c>
      <c r="I924" s="51"/>
      <c r="J924" s="52" t="s">
        <v>708</v>
      </c>
      <c r="K924" s="117">
        <f>ROUND(Tableau14[[#This Row],[LEN]]*7.27,0)</f>
        <v>182</v>
      </c>
      <c r="L924" s="117">
        <v>15</v>
      </c>
      <c r="M924" s="134" t="str">
        <f t="shared" si="6"/>
        <v>none</v>
      </c>
      <c r="N924" s="117">
        <f>LEN(Tableau14[[#This Row],[LABEL]])</f>
        <v>25</v>
      </c>
      <c r="O924" s="117">
        <v>15</v>
      </c>
      <c r="P924" s="117" t="e">
        <f>ROUND(Tableau14[[#This Row],[LEN]]*#REF!+#REF!,0)</f>
        <v>#REF!</v>
      </c>
    </row>
    <row r="925" spans="1:16" s="97" customFormat="1" x14ac:dyDescent="0.25">
      <c r="A925" s="49" t="s">
        <v>540</v>
      </c>
      <c r="B925" s="50" t="s">
        <v>312</v>
      </c>
      <c r="C925" s="51" t="s">
        <v>129</v>
      </c>
      <c r="D925" s="76" t="s">
        <v>28</v>
      </c>
      <c r="E925" s="51" t="s">
        <v>673</v>
      </c>
      <c r="F925" s="51" t="s">
        <v>2035</v>
      </c>
      <c r="G925" s="76" t="s">
        <v>169</v>
      </c>
      <c r="H925" s="76" t="s">
        <v>655</v>
      </c>
      <c r="I925" s="51"/>
      <c r="J925" s="52" t="s">
        <v>708</v>
      </c>
      <c r="K925" s="117">
        <f>ROUND(Tableau14[[#This Row],[LEN]]*7.27,0)</f>
        <v>87</v>
      </c>
      <c r="L925" s="117">
        <v>15</v>
      </c>
      <c r="M925" s="134" t="str">
        <f t="shared" si="6"/>
        <v>none</v>
      </c>
      <c r="N925" s="117">
        <f>LEN(Tableau14[[#This Row],[LABEL]])</f>
        <v>12</v>
      </c>
      <c r="O925" s="117">
        <v>15</v>
      </c>
      <c r="P925" s="117" t="e">
        <f>ROUND(Tableau14[[#This Row],[LEN]]*#REF!+#REF!,0)</f>
        <v>#REF!</v>
      </c>
    </row>
    <row r="926" spans="1:16" s="97" customFormat="1" x14ac:dyDescent="0.25">
      <c r="A926" s="53" t="s">
        <v>550</v>
      </c>
      <c r="B926" s="54" t="s">
        <v>540</v>
      </c>
      <c r="C926" s="55" t="s">
        <v>131</v>
      </c>
      <c r="D926" s="77" t="s">
        <v>28</v>
      </c>
      <c r="E926" s="55" t="s">
        <v>673</v>
      </c>
      <c r="F926" s="55" t="s">
        <v>2035</v>
      </c>
      <c r="G926" s="77" t="s">
        <v>169</v>
      </c>
      <c r="H926" s="77" t="s">
        <v>570</v>
      </c>
      <c r="I926" s="55"/>
      <c r="J926" s="56" t="s">
        <v>708</v>
      </c>
      <c r="K926" s="118">
        <f>ROUND(Tableau14[[#This Row],[LEN]]*7.27,0)</f>
        <v>262</v>
      </c>
      <c r="L926" s="118">
        <v>15</v>
      </c>
      <c r="M926" s="135" t="str">
        <f t="shared" si="6"/>
        <v>none</v>
      </c>
      <c r="N926" s="118">
        <f>LEN(Tableau14[[#This Row],[LABEL]])</f>
        <v>36</v>
      </c>
      <c r="O926" s="118">
        <v>15</v>
      </c>
      <c r="P926" s="118" t="e">
        <f>ROUND(Tableau14[[#This Row],[LEN]]*#REF!+#REF!,0)</f>
        <v>#REF!</v>
      </c>
    </row>
    <row r="927" spans="1:16" s="97" customFormat="1" x14ac:dyDescent="0.25">
      <c r="A927" s="53" t="s">
        <v>551</v>
      </c>
      <c r="B927" s="54" t="s">
        <v>540</v>
      </c>
      <c r="C927" s="55" t="s">
        <v>132</v>
      </c>
      <c r="D927" s="77" t="s">
        <v>28</v>
      </c>
      <c r="E927" s="55" t="s">
        <v>673</v>
      </c>
      <c r="F927" s="55" t="s">
        <v>2035</v>
      </c>
      <c r="G927" s="77" t="s">
        <v>169</v>
      </c>
      <c r="H927" s="77" t="s">
        <v>570</v>
      </c>
      <c r="I927" s="55"/>
      <c r="J927" s="56" t="s">
        <v>708</v>
      </c>
      <c r="K927" s="118">
        <f>ROUND(Tableau14[[#This Row],[LEN]]*7.27,0)</f>
        <v>298</v>
      </c>
      <c r="L927" s="118">
        <v>15</v>
      </c>
      <c r="M927" s="135" t="str">
        <f t="shared" si="6"/>
        <v>none</v>
      </c>
      <c r="N927" s="118">
        <f>LEN(Tableau14[[#This Row],[LABEL]])</f>
        <v>41</v>
      </c>
      <c r="O927" s="118">
        <v>15</v>
      </c>
      <c r="P927" s="118" t="e">
        <f>ROUND(Tableau14[[#This Row],[LEN]]*#REF!+#REF!,0)</f>
        <v>#REF!</v>
      </c>
    </row>
    <row r="928" spans="1:16" s="97" customFormat="1" x14ac:dyDescent="0.25">
      <c r="A928" s="49" t="s">
        <v>541</v>
      </c>
      <c r="B928" s="50" t="s">
        <v>312</v>
      </c>
      <c r="C928" s="51" t="s">
        <v>546</v>
      </c>
      <c r="D928" s="76" t="s">
        <v>28</v>
      </c>
      <c r="E928" s="51" t="s">
        <v>672</v>
      </c>
      <c r="F928" s="51" t="s">
        <v>672</v>
      </c>
      <c r="G928" s="76" t="s">
        <v>169</v>
      </c>
      <c r="H928" s="76" t="s">
        <v>655</v>
      </c>
      <c r="I928" s="51"/>
      <c r="J928" s="52" t="s">
        <v>708</v>
      </c>
      <c r="K928" s="117">
        <f>ROUND(Tableau14[[#This Row],[LEN]]*7.27,0)</f>
        <v>167</v>
      </c>
      <c r="L928" s="117">
        <v>15</v>
      </c>
      <c r="M928" s="134" t="str">
        <f t="shared" si="6"/>
        <v>none</v>
      </c>
      <c r="N928" s="117">
        <f>LEN(Tableau14[[#This Row],[LABEL]])</f>
        <v>23</v>
      </c>
      <c r="O928" s="117">
        <v>15</v>
      </c>
      <c r="P928" s="117" t="e">
        <f>ROUND(Tableau14[[#This Row],[LEN]]*#REF!+#REF!,0)</f>
        <v>#REF!</v>
      </c>
    </row>
    <row r="929" spans="1:16" s="97" customFormat="1" x14ac:dyDescent="0.25">
      <c r="A929" s="53" t="s">
        <v>552</v>
      </c>
      <c r="B929" s="54" t="s">
        <v>541</v>
      </c>
      <c r="C929" s="55" t="s">
        <v>555</v>
      </c>
      <c r="D929" s="77" t="s">
        <v>28</v>
      </c>
      <c r="E929" s="55" t="s">
        <v>672</v>
      </c>
      <c r="F929" s="55" t="s">
        <v>672</v>
      </c>
      <c r="G929" s="77" t="s">
        <v>169</v>
      </c>
      <c r="H929" s="77" t="s">
        <v>656</v>
      </c>
      <c r="I929" s="55"/>
      <c r="J929" s="56" t="s">
        <v>708</v>
      </c>
      <c r="K929" s="118">
        <f>ROUND(Tableau14[[#This Row],[LEN]]*7.27,0)</f>
        <v>356</v>
      </c>
      <c r="L929" s="118">
        <v>15</v>
      </c>
      <c r="M929" s="135" t="str">
        <f t="shared" si="6"/>
        <v>none</v>
      </c>
      <c r="N929" s="118">
        <f>LEN(Tableau14[[#This Row],[LABEL]])</f>
        <v>49</v>
      </c>
      <c r="O929" s="118">
        <v>15</v>
      </c>
      <c r="P929" s="118" t="e">
        <f>ROUND(Tableau14[[#This Row],[LEN]]*#REF!+#REF!,0)</f>
        <v>#REF!</v>
      </c>
    </row>
    <row r="930" spans="1:16" s="97" customFormat="1" x14ac:dyDescent="0.25">
      <c r="A930" s="53" t="s">
        <v>553</v>
      </c>
      <c r="B930" s="54" t="s">
        <v>541</v>
      </c>
      <c r="C930" s="55" t="s">
        <v>556</v>
      </c>
      <c r="D930" s="77" t="s">
        <v>28</v>
      </c>
      <c r="E930" s="55" t="s">
        <v>672</v>
      </c>
      <c r="F930" s="55" t="s">
        <v>672</v>
      </c>
      <c r="G930" s="77" t="s">
        <v>169</v>
      </c>
      <c r="H930" s="77" t="s">
        <v>654</v>
      </c>
      <c r="I930" s="55"/>
      <c r="J930" s="56" t="s">
        <v>708</v>
      </c>
      <c r="K930" s="118">
        <f>ROUND(Tableau14[[#This Row],[LEN]]*7.27,0)</f>
        <v>451</v>
      </c>
      <c r="L930" s="118">
        <v>15</v>
      </c>
      <c r="M930" s="135" t="str">
        <f t="shared" si="6"/>
        <v>none</v>
      </c>
      <c r="N930" s="118">
        <f>LEN(Tableau14[[#This Row],[LABEL]])</f>
        <v>62</v>
      </c>
      <c r="O930" s="118">
        <v>15</v>
      </c>
      <c r="P930" s="118" t="e">
        <f>ROUND(Tableau14[[#This Row],[LEN]]*#REF!+#REF!,0)</f>
        <v>#REF!</v>
      </c>
    </row>
    <row r="931" spans="1:16" s="97" customFormat="1" x14ac:dyDescent="0.25">
      <c r="A931" s="53" t="s">
        <v>554</v>
      </c>
      <c r="B931" s="54" t="s">
        <v>541</v>
      </c>
      <c r="C931" s="55" t="s">
        <v>557</v>
      </c>
      <c r="D931" s="77" t="s">
        <v>28</v>
      </c>
      <c r="E931" s="55" t="s">
        <v>672</v>
      </c>
      <c r="F931" s="55" t="s">
        <v>672</v>
      </c>
      <c r="G931" s="77" t="s">
        <v>169</v>
      </c>
      <c r="H931" s="77" t="s">
        <v>656</v>
      </c>
      <c r="I931" s="55"/>
      <c r="J931" s="56" t="s">
        <v>708</v>
      </c>
      <c r="K931" s="118">
        <f>ROUND(Tableau14[[#This Row],[LEN]]*7.27,0)</f>
        <v>240</v>
      </c>
      <c r="L931" s="118">
        <v>15</v>
      </c>
      <c r="M931" s="135" t="str">
        <f t="shared" si="6"/>
        <v>none</v>
      </c>
      <c r="N931" s="118">
        <f>LEN(Tableau14[[#This Row],[LABEL]])</f>
        <v>33</v>
      </c>
      <c r="O931" s="118">
        <v>15</v>
      </c>
      <c r="P931" s="118" t="e">
        <f>ROUND(Tableau14[[#This Row],[LEN]]*#REF!+#REF!,0)</f>
        <v>#REF!</v>
      </c>
    </row>
    <row r="932" spans="1:16" s="97" customFormat="1" x14ac:dyDescent="0.25">
      <c r="A932" s="49" t="s">
        <v>542</v>
      </c>
      <c r="B932" s="50" t="s">
        <v>312</v>
      </c>
      <c r="C932" s="51" t="s">
        <v>547</v>
      </c>
      <c r="D932" s="76" t="s">
        <v>28</v>
      </c>
      <c r="E932" s="51" t="s">
        <v>672</v>
      </c>
      <c r="F932" s="51" t="s">
        <v>672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ROUND(Tableau14[[#This Row],[LEN]]*7.27,0)</f>
        <v>95</v>
      </c>
      <c r="L932" s="117">
        <v>15</v>
      </c>
      <c r="M932" s="134" t="str">
        <f t="shared" si="6"/>
        <v>none</v>
      </c>
      <c r="N932" s="117">
        <f>LEN(Tableau14[[#This Row],[LABEL]])</f>
        <v>13</v>
      </c>
      <c r="O932" s="117">
        <v>15</v>
      </c>
      <c r="P932" s="117" t="e">
        <f>ROUND(Tableau14[[#This Row],[LEN]]*#REF!+#REF!,0)</f>
        <v>#REF!</v>
      </c>
    </row>
    <row r="933" spans="1:16" s="97" customFormat="1" x14ac:dyDescent="0.25">
      <c r="A933" s="53" t="s">
        <v>558</v>
      </c>
      <c r="B933" s="54" t="s">
        <v>542</v>
      </c>
      <c r="C933" s="55" t="s">
        <v>562</v>
      </c>
      <c r="D933" s="77" t="s">
        <v>28</v>
      </c>
      <c r="E933" s="55" t="s">
        <v>672</v>
      </c>
      <c r="F933" s="55" t="s">
        <v>672</v>
      </c>
      <c r="G933" s="77" t="s">
        <v>169</v>
      </c>
      <c r="H933" s="77" t="s">
        <v>654</v>
      </c>
      <c r="I933" s="55"/>
      <c r="J933" s="56" t="s">
        <v>708</v>
      </c>
      <c r="K933" s="118">
        <f>ROUND(Tableau14[[#This Row],[LEN]]*7.27,0)</f>
        <v>58</v>
      </c>
      <c r="L933" s="118">
        <v>15</v>
      </c>
      <c r="M933" s="135" t="str">
        <f t="shared" si="6"/>
        <v>none</v>
      </c>
      <c r="N933" s="118">
        <f>LEN(Tableau14[[#This Row],[LABEL]])</f>
        <v>8</v>
      </c>
      <c r="O933" s="118">
        <v>15</v>
      </c>
      <c r="P933" s="118" t="e">
        <f>ROUND(Tableau14[[#This Row],[LEN]]*#REF!+#REF!,0)</f>
        <v>#REF!</v>
      </c>
    </row>
    <row r="934" spans="1:16" s="97" customFormat="1" x14ac:dyDescent="0.25">
      <c r="A934" s="53" t="s">
        <v>559</v>
      </c>
      <c r="B934" s="54" t="s">
        <v>542</v>
      </c>
      <c r="C934" s="55" t="s">
        <v>563</v>
      </c>
      <c r="D934" s="77" t="s">
        <v>28</v>
      </c>
      <c r="E934" s="55" t="s">
        <v>672</v>
      </c>
      <c r="F934" s="55" t="s">
        <v>672</v>
      </c>
      <c r="G934" s="77" t="s">
        <v>169</v>
      </c>
      <c r="H934" s="77" t="s">
        <v>654</v>
      </c>
      <c r="I934" s="55"/>
      <c r="J934" s="56" t="s">
        <v>708</v>
      </c>
      <c r="K934" s="118">
        <f>ROUND(Tableau14[[#This Row],[LEN]]*7.27,0)</f>
        <v>58</v>
      </c>
      <c r="L934" s="118">
        <v>15</v>
      </c>
      <c r="M934" s="135" t="str">
        <f t="shared" si="6"/>
        <v>none</v>
      </c>
      <c r="N934" s="118">
        <f>LEN(Tableau14[[#This Row],[LABEL]])</f>
        <v>8</v>
      </c>
      <c r="O934" s="118">
        <v>15</v>
      </c>
      <c r="P934" s="118" t="e">
        <f>ROUND(Tableau14[[#This Row],[LEN]]*#REF!+#REF!,0)</f>
        <v>#REF!</v>
      </c>
    </row>
    <row r="935" spans="1:16" s="97" customFormat="1" x14ac:dyDescent="0.25">
      <c r="A935" s="53" t="s">
        <v>560</v>
      </c>
      <c r="B935" s="54" t="s">
        <v>542</v>
      </c>
      <c r="C935" s="55" t="s">
        <v>564</v>
      </c>
      <c r="D935" s="77" t="s">
        <v>28</v>
      </c>
      <c r="E935" s="55" t="s">
        <v>672</v>
      </c>
      <c r="F935" s="55" t="s">
        <v>672</v>
      </c>
      <c r="G935" s="77" t="s">
        <v>169</v>
      </c>
      <c r="H935" s="77" t="s">
        <v>654</v>
      </c>
      <c r="I935" s="55"/>
      <c r="J935" s="56" t="s">
        <v>708</v>
      </c>
      <c r="K935" s="118">
        <f>ROUND(Tableau14[[#This Row],[LEN]]*7.27,0)</f>
        <v>58</v>
      </c>
      <c r="L935" s="118">
        <v>15</v>
      </c>
      <c r="M935" s="135" t="str">
        <f t="shared" si="6"/>
        <v>none</v>
      </c>
      <c r="N935" s="118">
        <f>LEN(Tableau14[[#This Row],[LABEL]])</f>
        <v>8</v>
      </c>
      <c r="O935" s="118">
        <v>15</v>
      </c>
      <c r="P935" s="118" t="e">
        <f>ROUND(Tableau14[[#This Row],[LEN]]*#REF!+#REF!,0)</f>
        <v>#REF!</v>
      </c>
    </row>
    <row r="936" spans="1:16" s="97" customFormat="1" x14ac:dyDescent="0.25">
      <c r="A936" s="53" t="s">
        <v>561</v>
      </c>
      <c r="B936" s="54" t="s">
        <v>542</v>
      </c>
      <c r="C936" s="55" t="s">
        <v>565</v>
      </c>
      <c r="D936" s="77" t="s">
        <v>28</v>
      </c>
      <c r="E936" s="55" t="s">
        <v>672</v>
      </c>
      <c r="F936" s="55" t="s">
        <v>672</v>
      </c>
      <c r="G936" s="77" t="s">
        <v>169</v>
      </c>
      <c r="H936" s="77" t="s">
        <v>654</v>
      </c>
      <c r="I936" s="55"/>
      <c r="J936" s="56" t="s">
        <v>708</v>
      </c>
      <c r="K936" s="118">
        <f>ROUND(Tableau14[[#This Row],[LEN]]*7.27,0)</f>
        <v>51</v>
      </c>
      <c r="L936" s="118">
        <v>15</v>
      </c>
      <c r="M936" s="135" t="str">
        <f t="shared" si="6"/>
        <v>none</v>
      </c>
      <c r="N936" s="118">
        <f>LEN(Tableau14[[#This Row],[LABEL]])</f>
        <v>7</v>
      </c>
      <c r="O936" s="118">
        <v>15</v>
      </c>
      <c r="P936" s="118" t="e">
        <f>ROUND(Tableau14[[#This Row],[LEN]]*#REF!+#REF!,0)</f>
        <v>#REF!</v>
      </c>
    </row>
    <row r="937" spans="1:16" s="97" customFormat="1" x14ac:dyDescent="0.25">
      <c r="A937" s="53" t="s">
        <v>566</v>
      </c>
      <c r="B937" s="54" t="s">
        <v>542</v>
      </c>
      <c r="C937" s="55" t="s">
        <v>570</v>
      </c>
      <c r="D937" s="77" t="s">
        <v>28</v>
      </c>
      <c r="E937" s="55" t="s">
        <v>672</v>
      </c>
      <c r="F937" s="55" t="s">
        <v>672</v>
      </c>
      <c r="G937" s="77" t="s">
        <v>169</v>
      </c>
      <c r="H937" s="77" t="s">
        <v>654</v>
      </c>
      <c r="I937" s="55"/>
      <c r="J937" s="56" t="s">
        <v>708</v>
      </c>
      <c r="K937" s="118">
        <f>ROUND(Tableau14[[#This Row],[LEN]]*7.27,0)</f>
        <v>44</v>
      </c>
      <c r="L937" s="118">
        <v>15</v>
      </c>
      <c r="M937" s="135" t="str">
        <f t="shared" si="6"/>
        <v>none</v>
      </c>
      <c r="N937" s="118">
        <f>LEN(Tableau14[[#This Row],[LABEL]])</f>
        <v>6</v>
      </c>
      <c r="O937" s="118">
        <v>15</v>
      </c>
      <c r="P937" s="118" t="e">
        <f>ROUND(Tableau14[[#This Row],[LEN]]*#REF!+#REF!,0)</f>
        <v>#REF!</v>
      </c>
    </row>
    <row r="938" spans="1:16" s="97" customFormat="1" x14ac:dyDescent="0.25">
      <c r="A938" s="53" t="s">
        <v>567</v>
      </c>
      <c r="B938" s="54" t="s">
        <v>542</v>
      </c>
      <c r="C938" s="55" t="s">
        <v>571</v>
      </c>
      <c r="D938" s="77" t="s">
        <v>28</v>
      </c>
      <c r="E938" s="55" t="s">
        <v>672</v>
      </c>
      <c r="F938" s="55" t="s">
        <v>672</v>
      </c>
      <c r="G938" s="77" t="s">
        <v>169</v>
      </c>
      <c r="H938" s="77" t="s">
        <v>654</v>
      </c>
      <c r="I938" s="55"/>
      <c r="J938" s="56" t="s">
        <v>708</v>
      </c>
      <c r="K938" s="118">
        <f>ROUND(Tableau14[[#This Row],[LEN]]*7.27,0)</f>
        <v>44</v>
      </c>
      <c r="L938" s="118">
        <v>15</v>
      </c>
      <c r="M938" s="135" t="str">
        <f t="shared" si="6"/>
        <v>none</v>
      </c>
      <c r="N938" s="118">
        <f>LEN(Tableau14[[#This Row],[LABEL]])</f>
        <v>6</v>
      </c>
      <c r="O938" s="118">
        <v>15</v>
      </c>
      <c r="P938" s="118" t="e">
        <f>ROUND(Tableau14[[#This Row],[LEN]]*#REF!+#REF!,0)</f>
        <v>#REF!</v>
      </c>
    </row>
    <row r="939" spans="1:16" s="97" customFormat="1" x14ac:dyDescent="0.25">
      <c r="A939" s="53" t="s">
        <v>568</v>
      </c>
      <c r="B939" s="54" t="s">
        <v>542</v>
      </c>
      <c r="C939" s="55" t="s">
        <v>572</v>
      </c>
      <c r="D939" s="77" t="s">
        <v>28</v>
      </c>
      <c r="E939" s="55" t="s">
        <v>672</v>
      </c>
      <c r="F939" s="55" t="s">
        <v>672</v>
      </c>
      <c r="G939" s="77" t="s">
        <v>169</v>
      </c>
      <c r="H939" s="77" t="s">
        <v>654</v>
      </c>
      <c r="I939" s="55"/>
      <c r="J939" s="56" t="s">
        <v>708</v>
      </c>
      <c r="K939" s="118">
        <f>ROUND(Tableau14[[#This Row],[LEN]]*7.27,0)</f>
        <v>95</v>
      </c>
      <c r="L939" s="118">
        <v>15</v>
      </c>
      <c r="M939" s="135" t="str">
        <f t="shared" si="6"/>
        <v>none</v>
      </c>
      <c r="N939" s="118">
        <f>LEN(Tableau14[[#This Row],[LABEL]])</f>
        <v>13</v>
      </c>
      <c r="O939" s="118">
        <v>15</v>
      </c>
      <c r="P939" s="118" t="e">
        <f>ROUND(Tableau14[[#This Row],[LEN]]*#REF!+#REF!,0)</f>
        <v>#REF!</v>
      </c>
    </row>
    <row r="940" spans="1:16" s="97" customFormat="1" x14ac:dyDescent="0.25">
      <c r="A940" s="53" t="s">
        <v>569</v>
      </c>
      <c r="B940" s="54" t="s">
        <v>542</v>
      </c>
      <c r="C940" s="55" t="s">
        <v>573</v>
      </c>
      <c r="D940" s="77" t="s">
        <v>28</v>
      </c>
      <c r="E940" s="55" t="s">
        <v>672</v>
      </c>
      <c r="F940" s="55" t="s">
        <v>672</v>
      </c>
      <c r="G940" s="77" t="s">
        <v>169</v>
      </c>
      <c r="H940" s="77" t="s">
        <v>654</v>
      </c>
      <c r="I940" s="55"/>
      <c r="J940" s="56" t="s">
        <v>708</v>
      </c>
      <c r="K940" s="118">
        <f>ROUND(Tableau14[[#This Row],[LEN]]*7.27,0)</f>
        <v>109</v>
      </c>
      <c r="L940" s="118">
        <v>15</v>
      </c>
      <c r="M940" s="135" t="str">
        <f t="shared" si="6"/>
        <v>none</v>
      </c>
      <c r="N940" s="118">
        <f>LEN(Tableau14[[#This Row],[LABEL]])</f>
        <v>15</v>
      </c>
      <c r="O940" s="118">
        <v>15</v>
      </c>
      <c r="P940" s="118" t="e">
        <f>ROUND(Tableau14[[#This Row],[LEN]]*#REF!+#REF!,0)</f>
        <v>#REF!</v>
      </c>
    </row>
    <row r="941" spans="1:16" s="97" customFormat="1" x14ac:dyDescent="0.25">
      <c r="A941" s="49" t="s">
        <v>543</v>
      </c>
      <c r="B941" s="50" t="s">
        <v>312</v>
      </c>
      <c r="C941" s="51" t="s">
        <v>548</v>
      </c>
      <c r="D941" s="76" t="s">
        <v>28</v>
      </c>
      <c r="E941" s="51" t="s">
        <v>672</v>
      </c>
      <c r="F941" s="51" t="s">
        <v>672</v>
      </c>
      <c r="G941" s="76" t="s">
        <v>169</v>
      </c>
      <c r="H941" s="76" t="s">
        <v>655</v>
      </c>
      <c r="I941" s="51"/>
      <c r="J941" s="52" t="s">
        <v>708</v>
      </c>
      <c r="K941" s="117">
        <f>ROUND(Tableau14[[#This Row],[LEN]]*7.27,0)</f>
        <v>218</v>
      </c>
      <c r="L941" s="117">
        <v>15</v>
      </c>
      <c r="M941" s="134" t="str">
        <f t="shared" si="6"/>
        <v>none</v>
      </c>
      <c r="N941" s="117">
        <f>LEN(Tableau14[[#This Row],[LABEL]])</f>
        <v>30</v>
      </c>
      <c r="O941" s="117">
        <v>15</v>
      </c>
      <c r="P941" s="117" t="e">
        <f>ROUND(Tableau14[[#This Row],[LEN]]*#REF!+#REF!,0)</f>
        <v>#REF!</v>
      </c>
    </row>
    <row r="942" spans="1:16" s="97" customFormat="1" x14ac:dyDescent="0.25">
      <c r="A942" s="53" t="s">
        <v>574</v>
      </c>
      <c r="B942" s="54" t="s">
        <v>543</v>
      </c>
      <c r="C942" s="55" t="s">
        <v>576</v>
      </c>
      <c r="D942" s="77" t="s">
        <v>28</v>
      </c>
      <c r="E942" s="55" t="s">
        <v>672</v>
      </c>
      <c r="F942" s="55" t="s">
        <v>672</v>
      </c>
      <c r="G942" s="77" t="s">
        <v>169</v>
      </c>
      <c r="H942" s="77" t="s">
        <v>655</v>
      </c>
      <c r="I942" s="55"/>
      <c r="J942" s="56" t="s">
        <v>708</v>
      </c>
      <c r="K942" s="118">
        <f>ROUND(Tableau14[[#This Row],[LEN]]*7.27,0)</f>
        <v>65</v>
      </c>
      <c r="L942" s="118">
        <v>15</v>
      </c>
      <c r="M942" s="135" t="str">
        <f t="shared" si="6"/>
        <v>none</v>
      </c>
      <c r="N942" s="118">
        <f>LEN(Tableau14[[#This Row],[LABEL]])</f>
        <v>9</v>
      </c>
      <c r="O942" s="118">
        <v>15</v>
      </c>
      <c r="P942" s="118" t="e">
        <f>ROUND(Tableau14[[#This Row],[LEN]]*#REF!+#REF!,0)</f>
        <v>#REF!</v>
      </c>
    </row>
    <row r="943" spans="1:16" s="97" customFormat="1" x14ac:dyDescent="0.25">
      <c r="A943" s="57" t="s">
        <v>580</v>
      </c>
      <c r="B943" s="58" t="s">
        <v>574</v>
      </c>
      <c r="C943" s="59" t="s">
        <v>578</v>
      </c>
      <c r="D943" s="78" t="s">
        <v>28</v>
      </c>
      <c r="E943" s="59" t="s">
        <v>672</v>
      </c>
      <c r="F943" s="59" t="s">
        <v>672</v>
      </c>
      <c r="G943" s="78" t="s">
        <v>169</v>
      </c>
      <c r="H943" s="78" t="s">
        <v>654</v>
      </c>
      <c r="I943" s="59"/>
      <c r="J943" s="60" t="s">
        <v>708</v>
      </c>
      <c r="K943" s="119">
        <f>ROUND(Tableau14[[#This Row],[LEN]]*7.27,0)</f>
        <v>73</v>
      </c>
      <c r="L943" s="119">
        <v>15</v>
      </c>
      <c r="M943" s="136" t="str">
        <f t="shared" si="6"/>
        <v>none</v>
      </c>
      <c r="N943" s="119">
        <f>LEN(Tableau14[[#This Row],[LABEL]])</f>
        <v>10</v>
      </c>
      <c r="O943" s="119">
        <v>15</v>
      </c>
      <c r="P943" s="119" t="e">
        <f>ROUND(Tableau14[[#This Row],[LEN]]*#REF!+#REF!,0)</f>
        <v>#REF!</v>
      </c>
    </row>
    <row r="944" spans="1:16" s="97" customFormat="1" x14ac:dyDescent="0.25">
      <c r="A944" s="57" t="s">
        <v>581</v>
      </c>
      <c r="B944" s="58" t="s">
        <v>574</v>
      </c>
      <c r="C944" s="59" t="s">
        <v>579</v>
      </c>
      <c r="D944" s="78" t="s">
        <v>28</v>
      </c>
      <c r="E944" s="59" t="s">
        <v>672</v>
      </c>
      <c r="F944" s="59" t="s">
        <v>672</v>
      </c>
      <c r="G944" s="78" t="s">
        <v>169</v>
      </c>
      <c r="H944" s="78" t="s">
        <v>654</v>
      </c>
      <c r="I944" s="59"/>
      <c r="J944" s="60" t="s">
        <v>708</v>
      </c>
      <c r="K944" s="119">
        <f>ROUND(Tableau14[[#This Row],[LEN]]*7.27,0)</f>
        <v>153</v>
      </c>
      <c r="L944" s="119">
        <v>15</v>
      </c>
      <c r="M944" s="136" t="str">
        <f t="shared" si="6"/>
        <v>none</v>
      </c>
      <c r="N944" s="119">
        <f>LEN(Tableau14[[#This Row],[LABEL]])</f>
        <v>21</v>
      </c>
      <c r="O944" s="119">
        <v>15</v>
      </c>
      <c r="P944" s="119" t="e">
        <f>ROUND(Tableau14[[#This Row],[LEN]]*#REF!+#REF!,0)</f>
        <v>#REF!</v>
      </c>
    </row>
    <row r="945" spans="1:16" s="97" customFormat="1" x14ac:dyDescent="0.25">
      <c r="A945" s="53" t="s">
        <v>575</v>
      </c>
      <c r="B945" s="54" t="s">
        <v>543</v>
      </c>
      <c r="C945" s="55" t="s">
        <v>577</v>
      </c>
      <c r="D945" s="77" t="s">
        <v>28</v>
      </c>
      <c r="E945" s="55" t="s">
        <v>672</v>
      </c>
      <c r="F945" s="55" t="s">
        <v>672</v>
      </c>
      <c r="G945" s="77" t="s">
        <v>169</v>
      </c>
      <c r="H945" s="77" t="s">
        <v>655</v>
      </c>
      <c r="I945" s="55"/>
      <c r="J945" s="56" t="s">
        <v>708</v>
      </c>
      <c r="K945" s="118">
        <f>ROUND(Tableau14[[#This Row],[LEN]]*7.27,0)</f>
        <v>73</v>
      </c>
      <c r="L945" s="118">
        <v>15</v>
      </c>
      <c r="M945" s="135" t="str">
        <f t="shared" si="6"/>
        <v>none</v>
      </c>
      <c r="N945" s="118">
        <f>LEN(Tableau14[[#This Row],[LABEL]])</f>
        <v>10</v>
      </c>
      <c r="O945" s="118">
        <v>15</v>
      </c>
      <c r="P945" s="118" t="e">
        <f>ROUND(Tableau14[[#This Row],[LEN]]*#REF!+#REF!,0)</f>
        <v>#REF!</v>
      </c>
    </row>
    <row r="946" spans="1:16" s="97" customFormat="1" x14ac:dyDescent="0.25">
      <c r="A946" s="57" t="s">
        <v>582</v>
      </c>
      <c r="B946" s="58" t="s">
        <v>575</v>
      </c>
      <c r="C946" s="59" t="s">
        <v>586</v>
      </c>
      <c r="D946" s="78" t="s">
        <v>28</v>
      </c>
      <c r="E946" s="59" t="s">
        <v>672</v>
      </c>
      <c r="F946" s="59" t="s">
        <v>672</v>
      </c>
      <c r="G946" s="78" t="s">
        <v>169</v>
      </c>
      <c r="H946" s="78" t="s">
        <v>654</v>
      </c>
      <c r="I946" s="59"/>
      <c r="J946" s="60" t="s">
        <v>708</v>
      </c>
      <c r="K946" s="119">
        <f>ROUND(Tableau14[[#This Row],[LEN]]*7.27,0)</f>
        <v>189</v>
      </c>
      <c r="L946" s="119">
        <v>15</v>
      </c>
      <c r="M946" s="136" t="str">
        <f t="shared" si="6"/>
        <v>none</v>
      </c>
      <c r="N946" s="119">
        <f>LEN(Tableau14[[#This Row],[LABEL]])</f>
        <v>26</v>
      </c>
      <c r="O946" s="119">
        <v>15</v>
      </c>
      <c r="P946" s="119" t="e">
        <f>ROUND(Tableau14[[#This Row],[LEN]]*#REF!+#REF!,0)</f>
        <v>#REF!</v>
      </c>
    </row>
    <row r="947" spans="1:16" s="97" customFormat="1" x14ac:dyDescent="0.25">
      <c r="A947" s="57" t="s">
        <v>583</v>
      </c>
      <c r="B947" s="58" t="s">
        <v>575</v>
      </c>
      <c r="C947" s="59" t="s">
        <v>587</v>
      </c>
      <c r="D947" s="78" t="s">
        <v>28</v>
      </c>
      <c r="E947" s="59" t="s">
        <v>672</v>
      </c>
      <c r="F947" s="59" t="s">
        <v>672</v>
      </c>
      <c r="G947" s="78" t="s">
        <v>169</v>
      </c>
      <c r="H947" s="78" t="s">
        <v>654</v>
      </c>
      <c r="I947" s="59"/>
      <c r="J947" s="60" t="s">
        <v>708</v>
      </c>
      <c r="K947" s="119">
        <f>ROUND(Tableau14[[#This Row],[LEN]]*7.27,0)</f>
        <v>73</v>
      </c>
      <c r="L947" s="119">
        <v>15</v>
      </c>
      <c r="M947" s="136" t="str">
        <f t="shared" si="6"/>
        <v>none</v>
      </c>
      <c r="N947" s="119">
        <f>LEN(Tableau14[[#This Row],[LABEL]])</f>
        <v>10</v>
      </c>
      <c r="O947" s="119">
        <v>15</v>
      </c>
      <c r="P947" s="119" t="e">
        <f>ROUND(Tableau14[[#This Row],[LEN]]*#REF!+#REF!,0)</f>
        <v>#REF!</v>
      </c>
    </row>
    <row r="948" spans="1:16" s="97" customFormat="1" x14ac:dyDescent="0.25">
      <c r="A948" s="57" t="s">
        <v>584</v>
      </c>
      <c r="B948" s="58" t="s">
        <v>575</v>
      </c>
      <c r="C948" s="59" t="s">
        <v>588</v>
      </c>
      <c r="D948" s="78" t="s">
        <v>28</v>
      </c>
      <c r="E948" s="59" t="s">
        <v>672</v>
      </c>
      <c r="F948" s="59" t="s">
        <v>672</v>
      </c>
      <c r="G948" s="78" t="s">
        <v>169</v>
      </c>
      <c r="H948" s="78" t="s">
        <v>654</v>
      </c>
      <c r="I948" s="59"/>
      <c r="J948" s="60" t="s">
        <v>708</v>
      </c>
      <c r="K948" s="119">
        <f>ROUND(Tableau14[[#This Row],[LEN]]*7.27,0)</f>
        <v>65</v>
      </c>
      <c r="L948" s="119">
        <v>15</v>
      </c>
      <c r="M948" s="136" t="str">
        <f t="shared" si="6"/>
        <v>none</v>
      </c>
      <c r="N948" s="119">
        <f>LEN(Tableau14[[#This Row],[LABEL]])</f>
        <v>9</v>
      </c>
      <c r="O948" s="119">
        <v>15</v>
      </c>
      <c r="P948" s="119" t="e">
        <f>ROUND(Tableau14[[#This Row],[LEN]]*#REF!+#REF!,0)</f>
        <v>#REF!</v>
      </c>
    </row>
    <row r="949" spans="1:16" s="97" customFormat="1" x14ac:dyDescent="0.25">
      <c r="A949" s="57" t="s">
        <v>585</v>
      </c>
      <c r="B949" s="58" t="s">
        <v>575</v>
      </c>
      <c r="C949" s="59" t="s">
        <v>589</v>
      </c>
      <c r="D949" s="78" t="s">
        <v>28</v>
      </c>
      <c r="E949" s="59" t="s">
        <v>672</v>
      </c>
      <c r="F949" s="59" t="s">
        <v>672</v>
      </c>
      <c r="G949" s="78" t="s">
        <v>169</v>
      </c>
      <c r="H949" s="78" t="s">
        <v>654</v>
      </c>
      <c r="I949" s="59"/>
      <c r="J949" s="60" t="s">
        <v>708</v>
      </c>
      <c r="K949" s="119">
        <f>ROUND(Tableau14[[#This Row],[LEN]]*7.27,0)</f>
        <v>145</v>
      </c>
      <c r="L949" s="119">
        <v>15</v>
      </c>
      <c r="M949" s="136" t="str">
        <f t="shared" si="6"/>
        <v>none</v>
      </c>
      <c r="N949" s="119">
        <f>LEN(Tableau14[[#This Row],[LABEL]])</f>
        <v>20</v>
      </c>
      <c r="O949" s="119">
        <v>15</v>
      </c>
      <c r="P949" s="119" t="e">
        <f>ROUND(Tableau14[[#This Row],[LEN]]*#REF!+#REF!,0)</f>
        <v>#REF!</v>
      </c>
    </row>
    <row r="950" spans="1:16" s="97" customFormat="1" x14ac:dyDescent="0.25">
      <c r="A950" s="49" t="s">
        <v>544</v>
      </c>
      <c r="B950" s="50" t="s">
        <v>312</v>
      </c>
      <c r="C950" s="51" t="s">
        <v>549</v>
      </c>
      <c r="D950" s="76" t="s">
        <v>28</v>
      </c>
      <c r="E950" s="51" t="s">
        <v>673</v>
      </c>
      <c r="F950" s="51" t="s">
        <v>1704</v>
      </c>
      <c r="G950" s="76" t="s">
        <v>169</v>
      </c>
      <c r="H950" s="76" t="s">
        <v>655</v>
      </c>
      <c r="I950" s="51"/>
      <c r="J950" s="52" t="s">
        <v>708</v>
      </c>
      <c r="K950" s="117">
        <f>ROUND(Tableau14[[#This Row],[LEN]]*7.27,0)</f>
        <v>145</v>
      </c>
      <c r="L950" s="117">
        <v>15</v>
      </c>
      <c r="M950" s="134" t="str">
        <f t="shared" si="6"/>
        <v>none</v>
      </c>
      <c r="N950" s="117">
        <f>LEN(Tableau14[[#This Row],[LABEL]])</f>
        <v>20</v>
      </c>
      <c r="O950" s="117">
        <v>15</v>
      </c>
      <c r="P950" s="117" t="e">
        <f>ROUND(Tableau14[[#This Row],[LEN]]*#REF!+#REF!,0)</f>
        <v>#REF!</v>
      </c>
    </row>
    <row r="951" spans="1:16" s="97" customFormat="1" x14ac:dyDescent="0.25">
      <c r="A951" s="53" t="s">
        <v>593</v>
      </c>
      <c r="B951" s="54" t="s">
        <v>544</v>
      </c>
      <c r="C951" s="55" t="s">
        <v>590</v>
      </c>
      <c r="D951" s="77" t="s">
        <v>28</v>
      </c>
      <c r="E951" s="55" t="s">
        <v>673</v>
      </c>
      <c r="F951" s="55" t="s">
        <v>1704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ROUND(Tableau14[[#This Row],[LEN]]*7.27,0)</f>
        <v>102</v>
      </c>
      <c r="L951" s="118">
        <v>15</v>
      </c>
      <c r="M951" s="135" t="str">
        <f t="shared" si="6"/>
        <v>none</v>
      </c>
      <c r="N951" s="118">
        <f>LEN(Tableau14[[#This Row],[LABEL]])</f>
        <v>14</v>
      </c>
      <c r="O951" s="118">
        <v>15</v>
      </c>
      <c r="P951" s="118" t="e">
        <f>ROUND(Tableau14[[#This Row],[LEN]]*#REF!+#REF!,0)</f>
        <v>#REF!</v>
      </c>
    </row>
    <row r="952" spans="1:16" s="97" customFormat="1" x14ac:dyDescent="0.25">
      <c r="A952" s="53" t="s">
        <v>594</v>
      </c>
      <c r="B952" s="54" t="s">
        <v>544</v>
      </c>
      <c r="C952" s="55" t="s">
        <v>591</v>
      </c>
      <c r="D952" s="77" t="s">
        <v>28</v>
      </c>
      <c r="E952" s="55" t="s">
        <v>673</v>
      </c>
      <c r="F952" s="55" t="s">
        <v>1704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ROUND(Tableau14[[#This Row],[LEN]]*7.27,0)</f>
        <v>262</v>
      </c>
      <c r="L952" s="118">
        <v>15</v>
      </c>
      <c r="M952" s="135" t="str">
        <f t="shared" si="6"/>
        <v>none</v>
      </c>
      <c r="N952" s="118">
        <f>LEN(Tableau14[[#This Row],[LABEL]])</f>
        <v>36</v>
      </c>
      <c r="O952" s="118">
        <v>15</v>
      </c>
      <c r="P952" s="118" t="e">
        <f>ROUND(Tableau14[[#This Row],[LEN]]*#REF!+#REF!,0)</f>
        <v>#REF!</v>
      </c>
    </row>
    <row r="953" spans="1:16" s="97" customFormat="1" x14ac:dyDescent="0.25">
      <c r="A953" s="53" t="s">
        <v>595</v>
      </c>
      <c r="B953" s="54" t="s">
        <v>544</v>
      </c>
      <c r="C953" s="55" t="s">
        <v>592</v>
      </c>
      <c r="D953" s="77" t="s">
        <v>28</v>
      </c>
      <c r="E953" s="55" t="s">
        <v>673</v>
      </c>
      <c r="F953" s="55" t="s">
        <v>1704</v>
      </c>
      <c r="G953" s="77" t="s">
        <v>169</v>
      </c>
      <c r="H953" s="77" t="s">
        <v>570</v>
      </c>
      <c r="I953" s="55"/>
      <c r="J953" s="56" t="s">
        <v>708</v>
      </c>
      <c r="K953" s="118">
        <f>ROUND(Tableau14[[#This Row],[LEN]]*7.27,0)</f>
        <v>189</v>
      </c>
      <c r="L953" s="118">
        <v>15</v>
      </c>
      <c r="M953" s="135" t="str">
        <f t="shared" si="6"/>
        <v>none</v>
      </c>
      <c r="N953" s="118">
        <f>LEN(Tableau14[[#This Row],[LABEL]])</f>
        <v>26</v>
      </c>
      <c r="O953" s="118">
        <v>15</v>
      </c>
      <c r="P953" s="118" t="e">
        <f>ROUND(Tableau14[[#This Row],[LEN]]*#REF!+#REF!,0)</f>
        <v>#REF!</v>
      </c>
    </row>
    <row r="954" spans="1:16" s="97" customFormat="1" x14ac:dyDescent="0.25">
      <c r="A954" s="53" t="s">
        <v>596</v>
      </c>
      <c r="B954" s="54" t="s">
        <v>544</v>
      </c>
      <c r="C954" s="55" t="s">
        <v>597</v>
      </c>
      <c r="D954" s="77" t="s">
        <v>28</v>
      </c>
      <c r="E954" s="55" t="s">
        <v>673</v>
      </c>
      <c r="F954" s="55" t="s">
        <v>1704</v>
      </c>
      <c r="G954" s="77" t="s">
        <v>169</v>
      </c>
      <c r="H954" s="77" t="s">
        <v>570</v>
      </c>
      <c r="I954" s="55"/>
      <c r="J954" s="56" t="s">
        <v>708</v>
      </c>
      <c r="K954" s="118">
        <f>ROUND(Tableau14[[#This Row],[LEN]]*7.27,0)</f>
        <v>465</v>
      </c>
      <c r="L954" s="118">
        <v>15</v>
      </c>
      <c r="M954" s="135" t="str">
        <f t="shared" si="6"/>
        <v>none</v>
      </c>
      <c r="N954" s="118">
        <f>LEN(Tableau14[[#This Row],[LABEL]])</f>
        <v>64</v>
      </c>
      <c r="O954" s="118">
        <v>15</v>
      </c>
      <c r="P954" s="118" t="e">
        <f>ROUND(Tableau14[[#This Row],[LEN]]*#REF!+#REF!,0)</f>
        <v>#REF!</v>
      </c>
    </row>
    <row r="955" spans="1:16" s="97" customFormat="1" x14ac:dyDescent="0.25">
      <c r="A955" s="49" t="s">
        <v>545</v>
      </c>
      <c r="B955" s="50" t="s">
        <v>312</v>
      </c>
      <c r="C955" s="51" t="s">
        <v>598</v>
      </c>
      <c r="D955" s="76" t="s">
        <v>28</v>
      </c>
      <c r="E955" s="51" t="s">
        <v>673</v>
      </c>
      <c r="F955" s="51" t="s">
        <v>2035</v>
      </c>
      <c r="G955" s="76" t="s">
        <v>169</v>
      </c>
      <c r="H955" s="76" t="s">
        <v>654</v>
      </c>
      <c r="I955" s="51"/>
      <c r="J955" s="52" t="s">
        <v>708</v>
      </c>
      <c r="K955" s="117">
        <f>ROUND(Tableau14[[#This Row],[LEN]]*7.27,0)</f>
        <v>553</v>
      </c>
      <c r="L955" s="117">
        <v>15</v>
      </c>
      <c r="M955" s="134" t="str">
        <f t="shared" ref="M955:M1193" si="7">IF(J955="javascript:void(0)","none","new")</f>
        <v>none</v>
      </c>
      <c r="N955" s="117">
        <f>LEN(Tableau14[[#This Row],[LABEL]])</f>
        <v>76</v>
      </c>
      <c r="O955" s="117">
        <v>15</v>
      </c>
      <c r="P955" s="117" t="e">
        <f>ROUND(Tableau14[[#This Row],[LEN]]*#REF!+#REF!,0)</f>
        <v>#REF!</v>
      </c>
    </row>
    <row r="956" spans="1:16" s="273" customFormat="1" x14ac:dyDescent="0.25">
      <c r="A956" s="351" t="s">
        <v>313</v>
      </c>
      <c r="B956" s="352" t="s">
        <v>209</v>
      </c>
      <c r="C956" s="353" t="s">
        <v>10</v>
      </c>
      <c r="D956" s="354" t="s">
        <v>28</v>
      </c>
      <c r="E956" s="353" t="s">
        <v>673</v>
      </c>
      <c r="F956" s="353" t="s">
        <v>673</v>
      </c>
      <c r="G956" s="354" t="s">
        <v>169</v>
      </c>
      <c r="H956" s="354" t="str">
        <f>IFERROR(IF(SEARCH(".00.00.00.00.00",Tableau14[[#This Row],[name]],1)=7,"Division",""),"")</f>
        <v>Division</v>
      </c>
      <c r="I956" s="353"/>
      <c r="J956" s="355" t="s">
        <v>719</v>
      </c>
      <c r="K956" s="356">
        <f>ROUND(Tableau14[[#This Row],[LEN]]*7.27,0)</f>
        <v>109</v>
      </c>
      <c r="L956" s="356">
        <v>15</v>
      </c>
      <c r="M956" s="357" t="str">
        <f t="shared" si="7"/>
        <v>new</v>
      </c>
      <c r="N956" s="356">
        <f>LEN(Tableau14[[#This Row],[LABEL]])</f>
        <v>15</v>
      </c>
      <c r="O956" s="356">
        <v>15</v>
      </c>
      <c r="P956" s="356" t="e">
        <f>ROUND(Tableau14[[#This Row],[LEN]]*#REF!+#REF!,0)</f>
        <v>#REF!</v>
      </c>
    </row>
    <row r="957" spans="1:16" s="97" customFormat="1" x14ac:dyDescent="0.25">
      <c r="A957" s="49" t="s">
        <v>1722</v>
      </c>
      <c r="B957" s="50" t="s">
        <v>313</v>
      </c>
      <c r="C957" s="51" t="s">
        <v>128</v>
      </c>
      <c r="D957" s="76" t="s">
        <v>28</v>
      </c>
      <c r="E957" s="51" t="s">
        <v>669</v>
      </c>
      <c r="F957" s="51" t="s">
        <v>2029</v>
      </c>
      <c r="G957" s="76" t="s">
        <v>169</v>
      </c>
      <c r="H957" s="76" t="s">
        <v>570</v>
      </c>
      <c r="I957" s="51"/>
      <c r="J957" s="52" t="s">
        <v>708</v>
      </c>
      <c r="K957" s="117">
        <f>ROUND(Tableau14[[#This Row],[LEN]]*7.27,0)</f>
        <v>182</v>
      </c>
      <c r="L957" s="117">
        <v>15</v>
      </c>
      <c r="M957" s="134" t="str">
        <f t="shared" si="7"/>
        <v>none</v>
      </c>
      <c r="N957" s="117">
        <f>LEN(Tableau14[[#This Row],[LABEL]])</f>
        <v>25</v>
      </c>
      <c r="O957" s="117">
        <v>15</v>
      </c>
      <c r="P957" s="117" t="e">
        <f>ROUND(Tableau14[[#This Row],[LEN]]*#REF!+#REF!,0)</f>
        <v>#REF!</v>
      </c>
    </row>
    <row r="958" spans="1:16" s="97" customFormat="1" x14ac:dyDescent="0.25">
      <c r="A958" s="49" t="s">
        <v>1723</v>
      </c>
      <c r="B958" s="50" t="s">
        <v>313</v>
      </c>
      <c r="C958" s="51" t="s">
        <v>129</v>
      </c>
      <c r="D958" s="76" t="s">
        <v>28</v>
      </c>
      <c r="E958" s="51" t="s">
        <v>673</v>
      </c>
      <c r="F958" s="51" t="s">
        <v>2035</v>
      </c>
      <c r="G958" s="76" t="s">
        <v>169</v>
      </c>
      <c r="H958" s="76" t="s">
        <v>655</v>
      </c>
      <c r="I958" s="51"/>
      <c r="J958" s="52" t="s">
        <v>708</v>
      </c>
      <c r="K958" s="117">
        <f>ROUND(Tableau14[[#This Row],[LEN]]*7.27,0)</f>
        <v>87</v>
      </c>
      <c r="L958" s="117">
        <v>15</v>
      </c>
      <c r="M958" s="134" t="str">
        <f t="shared" si="7"/>
        <v>none</v>
      </c>
      <c r="N958" s="117">
        <f>LEN(Tableau14[[#This Row],[LABEL]])</f>
        <v>12</v>
      </c>
      <c r="O958" s="117">
        <v>15</v>
      </c>
      <c r="P958" s="117" t="e">
        <f>ROUND(Tableau14[[#This Row],[LEN]]*#REF!+#REF!,0)</f>
        <v>#REF!</v>
      </c>
    </row>
    <row r="959" spans="1:16" s="97" customFormat="1" x14ac:dyDescent="0.25">
      <c r="A959" s="53" t="s">
        <v>1728</v>
      </c>
      <c r="B959" s="54" t="s">
        <v>1723</v>
      </c>
      <c r="C959" s="55" t="s">
        <v>131</v>
      </c>
      <c r="D959" s="77" t="s">
        <v>28</v>
      </c>
      <c r="E959" s="55" t="s">
        <v>673</v>
      </c>
      <c r="F959" s="55" t="s">
        <v>2035</v>
      </c>
      <c r="G959" s="77" t="s">
        <v>169</v>
      </c>
      <c r="H959" s="77" t="s">
        <v>570</v>
      </c>
      <c r="I959" s="55"/>
      <c r="J959" s="56" t="s">
        <v>708</v>
      </c>
      <c r="K959" s="118">
        <f>ROUND(Tableau14[[#This Row],[LEN]]*7.27,0)</f>
        <v>262</v>
      </c>
      <c r="L959" s="118">
        <v>15</v>
      </c>
      <c r="M959" s="135" t="str">
        <f t="shared" si="7"/>
        <v>none</v>
      </c>
      <c r="N959" s="118">
        <f>LEN(Tableau14[[#This Row],[LABEL]])</f>
        <v>36</v>
      </c>
      <c r="O959" s="118">
        <v>15</v>
      </c>
      <c r="P959" s="118" t="e">
        <f>ROUND(Tableau14[[#This Row],[LEN]]*#REF!+#REF!,0)</f>
        <v>#REF!</v>
      </c>
    </row>
    <row r="960" spans="1:16" s="97" customFormat="1" x14ac:dyDescent="0.25">
      <c r="A960" s="53" t="s">
        <v>1729</v>
      </c>
      <c r="B960" s="54" t="s">
        <v>1723</v>
      </c>
      <c r="C960" s="55" t="s">
        <v>132</v>
      </c>
      <c r="D960" s="77" t="s">
        <v>28</v>
      </c>
      <c r="E960" s="55" t="s">
        <v>673</v>
      </c>
      <c r="F960" s="55" t="s">
        <v>2035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ROUND(Tableau14[[#This Row],[LEN]]*7.27,0)</f>
        <v>298</v>
      </c>
      <c r="L960" s="118">
        <v>15</v>
      </c>
      <c r="M960" s="135" t="str">
        <f t="shared" si="7"/>
        <v>none</v>
      </c>
      <c r="N960" s="118">
        <f>LEN(Tableau14[[#This Row],[LABEL]])</f>
        <v>41</v>
      </c>
      <c r="O960" s="118">
        <v>15</v>
      </c>
      <c r="P960" s="118" t="e">
        <f>ROUND(Tableau14[[#This Row],[LEN]]*#REF!+#REF!,0)</f>
        <v>#REF!</v>
      </c>
    </row>
    <row r="961" spans="1:16" s="97" customFormat="1" x14ac:dyDescent="0.25">
      <c r="A961" s="49" t="s">
        <v>1724</v>
      </c>
      <c r="B961" s="50" t="s">
        <v>313</v>
      </c>
      <c r="C961" s="51" t="s">
        <v>10</v>
      </c>
      <c r="D961" s="76" t="s">
        <v>28</v>
      </c>
      <c r="E961" s="51" t="s">
        <v>673</v>
      </c>
      <c r="F961" s="51" t="s">
        <v>1177</v>
      </c>
      <c r="G961" s="76" t="s">
        <v>169</v>
      </c>
      <c r="H961" s="76" t="s">
        <v>655</v>
      </c>
      <c r="I961" s="51"/>
      <c r="J961" s="52" t="s">
        <v>708</v>
      </c>
      <c r="K961" s="117">
        <f>ROUND(Tableau14[[#This Row],[LEN]]*7.27,0)</f>
        <v>109</v>
      </c>
      <c r="L961" s="117">
        <v>15</v>
      </c>
      <c r="M961" s="134" t="str">
        <f t="shared" si="7"/>
        <v>none</v>
      </c>
      <c r="N961" s="117">
        <f>LEN(Tableau14[[#This Row],[LABEL]])</f>
        <v>15</v>
      </c>
      <c r="O961" s="117">
        <v>15</v>
      </c>
      <c r="P961" s="117" t="e">
        <f>ROUND(Tableau14[[#This Row],[LEN]]*#REF!+#REF!,0)</f>
        <v>#REF!</v>
      </c>
    </row>
    <row r="962" spans="1:16" s="97" customFormat="1" x14ac:dyDescent="0.25">
      <c r="A962" s="53" t="s">
        <v>1730</v>
      </c>
      <c r="B962" s="54" t="s">
        <v>1724</v>
      </c>
      <c r="C962" s="55" t="s">
        <v>1733</v>
      </c>
      <c r="D962" s="77" t="s">
        <v>28</v>
      </c>
      <c r="E962" s="55" t="s">
        <v>673</v>
      </c>
      <c r="F962" s="55" t="s">
        <v>1177</v>
      </c>
      <c r="G962" s="77" t="s">
        <v>169</v>
      </c>
      <c r="H962" s="77" t="s">
        <v>654</v>
      </c>
      <c r="I962" s="55"/>
      <c r="J962" s="56" t="s">
        <v>708</v>
      </c>
      <c r="K962" s="118">
        <f>ROUND(Tableau14[[#This Row],[LEN]]*7.27,0)</f>
        <v>276</v>
      </c>
      <c r="L962" s="118">
        <v>15</v>
      </c>
      <c r="M962" s="135" t="str">
        <f t="shared" si="7"/>
        <v>none</v>
      </c>
      <c r="N962" s="118">
        <f>LEN(Tableau14[[#This Row],[LABEL]])</f>
        <v>38</v>
      </c>
      <c r="O962" s="118">
        <v>15</v>
      </c>
      <c r="P962" s="118" t="e">
        <f>ROUND(Tableau14[[#This Row],[LEN]]*#REF!+#REF!,0)</f>
        <v>#REF!</v>
      </c>
    </row>
    <row r="963" spans="1:16" s="97" customFormat="1" x14ac:dyDescent="0.25">
      <c r="A963" s="53" t="s">
        <v>1731</v>
      </c>
      <c r="B963" s="54" t="s">
        <v>1724</v>
      </c>
      <c r="C963" s="55" t="s">
        <v>1734</v>
      </c>
      <c r="D963" s="77" t="s">
        <v>28</v>
      </c>
      <c r="E963" s="55" t="s">
        <v>673</v>
      </c>
      <c r="F963" s="55" t="s">
        <v>1177</v>
      </c>
      <c r="G963" s="77" t="s">
        <v>169</v>
      </c>
      <c r="H963" s="77" t="s">
        <v>654</v>
      </c>
      <c r="I963" s="55"/>
      <c r="J963" s="56" t="s">
        <v>708</v>
      </c>
      <c r="K963" s="118">
        <f>ROUND(Tableau14[[#This Row],[LEN]]*7.27,0)</f>
        <v>320</v>
      </c>
      <c r="L963" s="118">
        <v>15</v>
      </c>
      <c r="M963" s="135" t="str">
        <f t="shared" si="7"/>
        <v>none</v>
      </c>
      <c r="N963" s="118">
        <f>LEN(Tableau14[[#This Row],[LABEL]])</f>
        <v>44</v>
      </c>
      <c r="O963" s="118">
        <v>15</v>
      </c>
      <c r="P963" s="118" t="e">
        <f>ROUND(Tableau14[[#This Row],[LEN]]*#REF!+#REF!,0)</f>
        <v>#REF!</v>
      </c>
    </row>
    <row r="964" spans="1:16" s="97" customFormat="1" x14ac:dyDescent="0.25">
      <c r="A964" s="53" t="s">
        <v>1732</v>
      </c>
      <c r="B964" s="54" t="s">
        <v>1724</v>
      </c>
      <c r="C964" s="55" t="s">
        <v>1735</v>
      </c>
      <c r="D964" s="77" t="s">
        <v>28</v>
      </c>
      <c r="E964" s="55" t="s">
        <v>673</v>
      </c>
      <c r="F964" s="55" t="s">
        <v>1177</v>
      </c>
      <c r="G964" s="77" t="s">
        <v>169</v>
      </c>
      <c r="H964" s="77" t="s">
        <v>654</v>
      </c>
      <c r="I964" s="55"/>
      <c r="J964" s="56" t="s">
        <v>708</v>
      </c>
      <c r="K964" s="118">
        <f>ROUND(Tableau14[[#This Row],[LEN]]*7.27,0)</f>
        <v>473</v>
      </c>
      <c r="L964" s="118">
        <v>15</v>
      </c>
      <c r="M964" s="135" t="str">
        <f t="shared" si="7"/>
        <v>none</v>
      </c>
      <c r="N964" s="118">
        <f>LEN(Tableau14[[#This Row],[LABEL]])</f>
        <v>65</v>
      </c>
      <c r="O964" s="118">
        <v>15</v>
      </c>
      <c r="P964" s="118" t="e">
        <f>ROUND(Tableau14[[#This Row],[LEN]]*#REF!+#REF!,0)</f>
        <v>#REF!</v>
      </c>
    </row>
    <row r="965" spans="1:16" s="97" customFormat="1" x14ac:dyDescent="0.25">
      <c r="A965" s="49" t="s">
        <v>1725</v>
      </c>
      <c r="B965" s="50" t="s">
        <v>313</v>
      </c>
      <c r="C965" s="51" t="s">
        <v>1736</v>
      </c>
      <c r="D965" s="76" t="s">
        <v>28</v>
      </c>
      <c r="E965" s="51" t="s">
        <v>673</v>
      </c>
      <c r="F965" s="51" t="s">
        <v>1177</v>
      </c>
      <c r="G965" s="76" t="s">
        <v>169</v>
      </c>
      <c r="H965" s="76" t="s">
        <v>656</v>
      </c>
      <c r="I965" s="51"/>
      <c r="J965" s="52" t="s">
        <v>1737</v>
      </c>
      <c r="K965" s="117">
        <f>ROUND(Tableau14[[#This Row],[LEN]]*7.27,0)</f>
        <v>233</v>
      </c>
      <c r="L965" s="117">
        <v>15</v>
      </c>
      <c r="M965" s="134" t="str">
        <f t="shared" si="7"/>
        <v>new</v>
      </c>
      <c r="N965" s="117">
        <f>LEN(Tableau14[[#This Row],[LABEL]])</f>
        <v>32</v>
      </c>
      <c r="O965" s="117">
        <v>15</v>
      </c>
      <c r="P965" s="117" t="e">
        <f>ROUND(Tableau14[[#This Row],[LEN]]*#REF!+#REF!,0)</f>
        <v>#REF!</v>
      </c>
    </row>
    <row r="966" spans="1:16" s="97" customFormat="1" x14ac:dyDescent="0.25">
      <c r="A966" s="49" t="s">
        <v>1726</v>
      </c>
      <c r="B966" s="50" t="s">
        <v>313</v>
      </c>
      <c r="C966" s="51" t="s">
        <v>549</v>
      </c>
      <c r="D966" s="76" t="s">
        <v>28</v>
      </c>
      <c r="E966" s="51" t="s">
        <v>673</v>
      </c>
      <c r="F966" s="51" t="s">
        <v>1704</v>
      </c>
      <c r="G966" s="76" t="s">
        <v>169</v>
      </c>
      <c r="H966" s="76" t="s">
        <v>655</v>
      </c>
      <c r="I966" s="51"/>
      <c r="J966" s="52" t="s">
        <v>708</v>
      </c>
      <c r="K966" s="117">
        <f>ROUND(Tableau14[[#This Row],[LEN]]*7.27,0)</f>
        <v>145</v>
      </c>
      <c r="L966" s="117">
        <v>15</v>
      </c>
      <c r="M966" s="134" t="str">
        <f t="shared" si="7"/>
        <v>none</v>
      </c>
      <c r="N966" s="117">
        <f>LEN(Tableau14[[#This Row],[LABEL]])</f>
        <v>20</v>
      </c>
      <c r="O966" s="117">
        <v>15</v>
      </c>
      <c r="P966" s="117" t="e">
        <f>ROUND(Tableau14[[#This Row],[LEN]]*#REF!+#REF!,0)</f>
        <v>#REF!</v>
      </c>
    </row>
    <row r="967" spans="1:16" s="97" customFormat="1" x14ac:dyDescent="0.25">
      <c r="A967" s="53" t="s">
        <v>1738</v>
      </c>
      <c r="B967" s="54" t="s">
        <v>1726</v>
      </c>
      <c r="C967" s="55" t="s">
        <v>590</v>
      </c>
      <c r="D967" s="77" t="s">
        <v>28</v>
      </c>
      <c r="E967" s="55" t="s">
        <v>673</v>
      </c>
      <c r="F967" s="55" t="s">
        <v>1704</v>
      </c>
      <c r="G967" s="77" t="s">
        <v>169</v>
      </c>
      <c r="H967" s="77" t="s">
        <v>570</v>
      </c>
      <c r="I967" s="55"/>
      <c r="J967" s="56" t="s">
        <v>708</v>
      </c>
      <c r="K967" s="118">
        <f>ROUND(Tableau14[[#This Row],[LEN]]*7.27,0)</f>
        <v>102</v>
      </c>
      <c r="L967" s="118">
        <v>15</v>
      </c>
      <c r="M967" s="135" t="str">
        <f t="shared" si="7"/>
        <v>none</v>
      </c>
      <c r="N967" s="118">
        <f>LEN(Tableau14[[#This Row],[LABEL]])</f>
        <v>14</v>
      </c>
      <c r="O967" s="118">
        <v>15</v>
      </c>
      <c r="P967" s="118" t="e">
        <f>ROUND(Tableau14[[#This Row],[LEN]]*#REF!+#REF!,0)</f>
        <v>#REF!</v>
      </c>
    </row>
    <row r="968" spans="1:16" s="97" customFormat="1" x14ac:dyDescent="0.25">
      <c r="A968" s="53" t="s">
        <v>1739</v>
      </c>
      <c r="B968" s="54" t="s">
        <v>1726</v>
      </c>
      <c r="C968" s="55" t="s">
        <v>591</v>
      </c>
      <c r="D968" s="77" t="s">
        <v>28</v>
      </c>
      <c r="E968" s="55" t="s">
        <v>673</v>
      </c>
      <c r="F968" s="55" t="s">
        <v>1704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ROUND(Tableau14[[#This Row],[LEN]]*7.27,0)</f>
        <v>262</v>
      </c>
      <c r="L968" s="118">
        <v>15</v>
      </c>
      <c r="M968" s="135" t="str">
        <f t="shared" si="7"/>
        <v>none</v>
      </c>
      <c r="N968" s="118">
        <f>LEN(Tableau14[[#This Row],[LABEL]])</f>
        <v>36</v>
      </c>
      <c r="O968" s="118">
        <v>15</v>
      </c>
      <c r="P968" s="118" t="e">
        <f>ROUND(Tableau14[[#This Row],[LEN]]*#REF!+#REF!,0)</f>
        <v>#REF!</v>
      </c>
    </row>
    <row r="969" spans="1:16" s="97" customFormat="1" x14ac:dyDescent="0.25">
      <c r="A969" s="53" t="s">
        <v>1740</v>
      </c>
      <c r="B969" s="54" t="s">
        <v>1726</v>
      </c>
      <c r="C969" s="55" t="s">
        <v>592</v>
      </c>
      <c r="D969" s="77" t="s">
        <v>28</v>
      </c>
      <c r="E969" s="55" t="s">
        <v>673</v>
      </c>
      <c r="F969" s="55" t="s">
        <v>1704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ROUND(Tableau14[[#This Row],[LEN]]*7.27,0)</f>
        <v>189</v>
      </c>
      <c r="L969" s="118">
        <v>15</v>
      </c>
      <c r="M969" s="135" t="str">
        <f t="shared" si="7"/>
        <v>none</v>
      </c>
      <c r="N969" s="118">
        <f>LEN(Tableau14[[#This Row],[LABEL]])</f>
        <v>26</v>
      </c>
      <c r="O969" s="118">
        <v>15</v>
      </c>
      <c r="P969" s="118" t="e">
        <f>ROUND(Tableau14[[#This Row],[LEN]]*#REF!+#REF!,0)</f>
        <v>#REF!</v>
      </c>
    </row>
    <row r="970" spans="1:16" s="97" customFormat="1" x14ac:dyDescent="0.25">
      <c r="A970" s="53" t="s">
        <v>1741</v>
      </c>
      <c r="B970" s="54" t="s">
        <v>1726</v>
      </c>
      <c r="C970" s="55" t="s">
        <v>597</v>
      </c>
      <c r="D970" s="77" t="s">
        <v>28</v>
      </c>
      <c r="E970" s="55" t="s">
        <v>673</v>
      </c>
      <c r="F970" s="55" t="s">
        <v>1704</v>
      </c>
      <c r="G970" s="77" t="s">
        <v>169</v>
      </c>
      <c r="H970" s="77" t="s">
        <v>570</v>
      </c>
      <c r="I970" s="55"/>
      <c r="J970" s="56" t="s">
        <v>708</v>
      </c>
      <c r="K970" s="118">
        <f>ROUND(Tableau14[[#This Row],[LEN]]*7.27,0)</f>
        <v>465</v>
      </c>
      <c r="L970" s="118">
        <v>15</v>
      </c>
      <c r="M970" s="135" t="str">
        <f t="shared" si="7"/>
        <v>none</v>
      </c>
      <c r="N970" s="118">
        <f>LEN(Tableau14[[#This Row],[LABEL]])</f>
        <v>64</v>
      </c>
      <c r="O970" s="118">
        <v>15</v>
      </c>
      <c r="P970" s="118" t="e">
        <f>ROUND(Tableau14[[#This Row],[LEN]]*#REF!+#REF!,0)</f>
        <v>#REF!</v>
      </c>
    </row>
    <row r="971" spans="1:16" s="97" customFormat="1" x14ac:dyDescent="0.25">
      <c r="A971" s="49" t="s">
        <v>1727</v>
      </c>
      <c r="B971" s="50" t="s">
        <v>313</v>
      </c>
      <c r="C971" s="51" t="s">
        <v>598</v>
      </c>
      <c r="D971" s="76" t="s">
        <v>28</v>
      </c>
      <c r="E971" s="51" t="s">
        <v>673</v>
      </c>
      <c r="F971" s="51" t="s">
        <v>2035</v>
      </c>
      <c r="G971" s="76" t="s">
        <v>169</v>
      </c>
      <c r="H971" s="76" t="s">
        <v>654</v>
      </c>
      <c r="I971" s="51"/>
      <c r="J971" s="52" t="s">
        <v>708</v>
      </c>
      <c r="K971" s="117">
        <f>ROUND(Tableau14[[#This Row],[LEN]]*7.27,0)</f>
        <v>553</v>
      </c>
      <c r="L971" s="117">
        <v>15</v>
      </c>
      <c r="M971" s="134" t="str">
        <f t="shared" si="7"/>
        <v>none</v>
      </c>
      <c r="N971" s="117">
        <f>LEN(Tableau14[[#This Row],[LABEL]])</f>
        <v>76</v>
      </c>
      <c r="O971" s="117">
        <v>15</v>
      </c>
      <c r="P971" s="117" t="e">
        <f>ROUND(Tableau14[[#This Row],[LEN]]*#REF!+#REF!,0)</f>
        <v>#REF!</v>
      </c>
    </row>
    <row r="972" spans="1:16" s="273" customFormat="1" x14ac:dyDescent="0.25">
      <c r="A972" s="351" t="s">
        <v>314</v>
      </c>
      <c r="B972" s="352" t="s">
        <v>209</v>
      </c>
      <c r="C972" s="353" t="s">
        <v>11</v>
      </c>
      <c r="D972" s="354" t="s">
        <v>28</v>
      </c>
      <c r="E972" s="353" t="s">
        <v>674</v>
      </c>
      <c r="F972" s="353" t="s">
        <v>674</v>
      </c>
      <c r="G972" s="354" t="s">
        <v>169</v>
      </c>
      <c r="H972" s="354" t="str">
        <f>IFERROR(IF(SEARCH(".00.00.00.00.00",Tableau14[[#This Row],[name]],1)=7,"Division",""),"")</f>
        <v>Division</v>
      </c>
      <c r="I972" s="353"/>
      <c r="J972" s="355" t="s">
        <v>720</v>
      </c>
      <c r="K972" s="356">
        <f>ROUND(Tableau14[[#This Row],[LEN]]*7.27,0)</f>
        <v>51</v>
      </c>
      <c r="L972" s="356">
        <v>15</v>
      </c>
      <c r="M972" s="357" t="str">
        <f t="shared" si="7"/>
        <v>new</v>
      </c>
      <c r="N972" s="356">
        <f>LEN(Tableau14[[#This Row],[LABEL]])</f>
        <v>7</v>
      </c>
      <c r="O972" s="356">
        <v>15</v>
      </c>
      <c r="P972" s="356" t="e">
        <f>ROUND(Tableau14[[#This Row],[LEN]]*#REF!+#REF!,0)</f>
        <v>#REF!</v>
      </c>
    </row>
    <row r="973" spans="1:16" s="97" customFormat="1" x14ac:dyDescent="0.25">
      <c r="A973" s="49" t="s">
        <v>1742</v>
      </c>
      <c r="B973" s="50" t="s">
        <v>314</v>
      </c>
      <c r="C973" s="51" t="s">
        <v>129</v>
      </c>
      <c r="D973" s="76" t="s">
        <v>28</v>
      </c>
      <c r="E973" s="51" t="s">
        <v>673</v>
      </c>
      <c r="F973" s="51" t="s">
        <v>2035</v>
      </c>
      <c r="G973" s="76" t="s">
        <v>169</v>
      </c>
      <c r="H973" s="76" t="s">
        <v>655</v>
      </c>
      <c r="I973" s="51"/>
      <c r="J973" s="52" t="s">
        <v>708</v>
      </c>
      <c r="K973" s="117">
        <f>ROUND(Tableau14[[#This Row],[LEN]]*7.27,0)</f>
        <v>87</v>
      </c>
      <c r="L973" s="117">
        <v>15</v>
      </c>
      <c r="M973" s="134" t="str">
        <f t="shared" si="7"/>
        <v>none</v>
      </c>
      <c r="N973" s="117">
        <f>LEN(Tableau14[[#This Row],[LABEL]])</f>
        <v>12</v>
      </c>
      <c r="O973" s="117">
        <v>15</v>
      </c>
      <c r="P973" s="117" t="e">
        <f>ROUND(Tableau14[[#This Row],[LEN]]*#REF!+#REF!,0)</f>
        <v>#REF!</v>
      </c>
    </row>
    <row r="974" spans="1:16" s="97" customFormat="1" x14ac:dyDescent="0.25">
      <c r="A974" s="53" t="s">
        <v>1747</v>
      </c>
      <c r="B974" s="54" t="s">
        <v>1742</v>
      </c>
      <c r="C974" s="55" t="s">
        <v>131</v>
      </c>
      <c r="D974" s="77" t="s">
        <v>28</v>
      </c>
      <c r="E974" s="55" t="s">
        <v>673</v>
      </c>
      <c r="F974" s="55" t="s">
        <v>2035</v>
      </c>
      <c r="G974" s="77" t="s">
        <v>169</v>
      </c>
      <c r="H974" s="77" t="s">
        <v>570</v>
      </c>
      <c r="I974" s="55"/>
      <c r="J974" s="56" t="s">
        <v>708</v>
      </c>
      <c r="K974" s="118">
        <f>ROUND(Tableau14[[#This Row],[LEN]]*7.27,0)</f>
        <v>262</v>
      </c>
      <c r="L974" s="118">
        <v>15</v>
      </c>
      <c r="M974" s="135" t="str">
        <f t="shared" si="7"/>
        <v>none</v>
      </c>
      <c r="N974" s="118">
        <f>LEN(Tableau14[[#This Row],[LABEL]])</f>
        <v>36</v>
      </c>
      <c r="O974" s="118">
        <v>15</v>
      </c>
      <c r="P974" s="118" t="e">
        <f>ROUND(Tableau14[[#This Row],[LEN]]*#REF!+#REF!,0)</f>
        <v>#REF!</v>
      </c>
    </row>
    <row r="975" spans="1:16" s="97" customFormat="1" x14ac:dyDescent="0.25">
      <c r="A975" s="53" t="s">
        <v>1748</v>
      </c>
      <c r="B975" s="54" t="s">
        <v>1742</v>
      </c>
      <c r="C975" s="55" t="s">
        <v>132</v>
      </c>
      <c r="D975" s="77" t="s">
        <v>28</v>
      </c>
      <c r="E975" s="55" t="s">
        <v>673</v>
      </c>
      <c r="F975" s="55" t="s">
        <v>2035</v>
      </c>
      <c r="G975" s="77" t="s">
        <v>169</v>
      </c>
      <c r="H975" s="77" t="s">
        <v>570</v>
      </c>
      <c r="I975" s="55"/>
      <c r="J975" s="56" t="s">
        <v>708</v>
      </c>
      <c r="K975" s="118">
        <f>ROUND(Tableau14[[#This Row],[LEN]]*7.27,0)</f>
        <v>298</v>
      </c>
      <c r="L975" s="118">
        <v>15</v>
      </c>
      <c r="M975" s="135" t="str">
        <f t="shared" si="7"/>
        <v>none</v>
      </c>
      <c r="N975" s="118">
        <f>LEN(Tableau14[[#This Row],[LABEL]])</f>
        <v>41</v>
      </c>
      <c r="O975" s="118">
        <v>15</v>
      </c>
      <c r="P975" s="118" t="e">
        <f>ROUND(Tableau14[[#This Row],[LEN]]*#REF!+#REF!,0)</f>
        <v>#REF!</v>
      </c>
    </row>
    <row r="976" spans="1:16" s="97" customFormat="1" x14ac:dyDescent="0.25">
      <c r="A976" s="49" t="s">
        <v>1743</v>
      </c>
      <c r="B976" s="50" t="s">
        <v>314</v>
      </c>
      <c r="C976" s="51" t="s">
        <v>1749</v>
      </c>
      <c r="D976" s="76" t="s">
        <v>28</v>
      </c>
      <c r="E976" s="51" t="s">
        <v>674</v>
      </c>
      <c r="F976" s="51" t="s">
        <v>1177</v>
      </c>
      <c r="G976" s="76" t="s">
        <v>169</v>
      </c>
      <c r="H976" s="76" t="s">
        <v>656</v>
      </c>
      <c r="I976" s="51"/>
      <c r="J976" s="52" t="s">
        <v>708</v>
      </c>
      <c r="K976" s="117">
        <f>ROUND(Tableau14[[#This Row],[LEN]]*7.27,0)</f>
        <v>196</v>
      </c>
      <c r="L976" s="117">
        <v>15</v>
      </c>
      <c r="M976" s="134" t="str">
        <f t="shared" si="7"/>
        <v>none</v>
      </c>
      <c r="N976" s="117">
        <f>LEN(Tableau14[[#This Row],[LABEL]])</f>
        <v>27</v>
      </c>
      <c r="O976" s="117">
        <v>15</v>
      </c>
      <c r="P976" s="117" t="e">
        <f>ROUND(Tableau14[[#This Row],[LEN]]*#REF!+#REF!,0)</f>
        <v>#REF!</v>
      </c>
    </row>
    <row r="977" spans="1:16" s="97" customFormat="1" x14ac:dyDescent="0.25">
      <c r="A977" s="49" t="s">
        <v>1744</v>
      </c>
      <c r="B977" s="50" t="s">
        <v>314</v>
      </c>
      <c r="C977" s="51" t="s">
        <v>549</v>
      </c>
      <c r="D977" s="76" t="s">
        <v>28</v>
      </c>
      <c r="E977" s="51" t="s">
        <v>673</v>
      </c>
      <c r="F977" s="51" t="s">
        <v>1704</v>
      </c>
      <c r="G977" s="76" t="s">
        <v>169</v>
      </c>
      <c r="H977" s="76" t="s">
        <v>655</v>
      </c>
      <c r="I977" s="51"/>
      <c r="J977" s="52" t="s">
        <v>708</v>
      </c>
      <c r="K977" s="117">
        <f>ROUND(Tableau14[[#This Row],[LEN]]*7.27,0)</f>
        <v>145</v>
      </c>
      <c r="L977" s="117">
        <v>15</v>
      </c>
      <c r="M977" s="134" t="str">
        <f t="shared" si="7"/>
        <v>none</v>
      </c>
      <c r="N977" s="117">
        <f>LEN(Tableau14[[#This Row],[LABEL]])</f>
        <v>20</v>
      </c>
      <c r="O977" s="117">
        <v>15</v>
      </c>
      <c r="P977" s="117" t="e">
        <f>ROUND(Tableau14[[#This Row],[LEN]]*#REF!+#REF!,0)</f>
        <v>#REF!</v>
      </c>
    </row>
    <row r="978" spans="1:16" s="97" customFormat="1" x14ac:dyDescent="0.25">
      <c r="A978" s="53" t="s">
        <v>1750</v>
      </c>
      <c r="B978" s="54" t="s">
        <v>1744</v>
      </c>
      <c r="C978" s="55" t="s">
        <v>590</v>
      </c>
      <c r="D978" s="77" t="s">
        <v>28</v>
      </c>
      <c r="E978" s="55" t="s">
        <v>673</v>
      </c>
      <c r="F978" s="55" t="s">
        <v>1704</v>
      </c>
      <c r="G978" s="77" t="s">
        <v>169</v>
      </c>
      <c r="H978" s="77" t="s">
        <v>570</v>
      </c>
      <c r="I978" s="55"/>
      <c r="J978" s="56" t="s">
        <v>708</v>
      </c>
      <c r="K978" s="118">
        <f>ROUND(Tableau14[[#This Row],[LEN]]*7.27,0)</f>
        <v>102</v>
      </c>
      <c r="L978" s="118">
        <v>15</v>
      </c>
      <c r="M978" s="135" t="str">
        <f t="shared" si="7"/>
        <v>none</v>
      </c>
      <c r="N978" s="118">
        <f>LEN(Tableau14[[#This Row],[LABEL]])</f>
        <v>14</v>
      </c>
      <c r="O978" s="118">
        <v>15</v>
      </c>
      <c r="P978" s="118" t="e">
        <f>ROUND(Tableau14[[#This Row],[LEN]]*#REF!+#REF!,0)</f>
        <v>#REF!</v>
      </c>
    </row>
    <row r="979" spans="1:16" s="97" customFormat="1" x14ac:dyDescent="0.25">
      <c r="A979" s="53" t="s">
        <v>1751</v>
      </c>
      <c r="B979" s="54" t="s">
        <v>1744</v>
      </c>
      <c r="C979" s="55" t="s">
        <v>591</v>
      </c>
      <c r="D979" s="77" t="s">
        <v>28</v>
      </c>
      <c r="E979" s="55" t="s">
        <v>673</v>
      </c>
      <c r="F979" s="55" t="s">
        <v>1704</v>
      </c>
      <c r="G979" s="77" t="s">
        <v>169</v>
      </c>
      <c r="H979" s="77" t="s">
        <v>570</v>
      </c>
      <c r="I979" s="55"/>
      <c r="J979" s="56" t="s">
        <v>708</v>
      </c>
      <c r="K979" s="118">
        <f>ROUND(Tableau14[[#This Row],[LEN]]*7.27,0)</f>
        <v>262</v>
      </c>
      <c r="L979" s="118">
        <v>15</v>
      </c>
      <c r="M979" s="135" t="str">
        <f t="shared" si="7"/>
        <v>none</v>
      </c>
      <c r="N979" s="118">
        <f>LEN(Tableau14[[#This Row],[LABEL]])</f>
        <v>36</v>
      </c>
      <c r="O979" s="118">
        <v>15</v>
      </c>
      <c r="P979" s="118" t="e">
        <f>ROUND(Tableau14[[#This Row],[LEN]]*#REF!+#REF!,0)</f>
        <v>#REF!</v>
      </c>
    </row>
    <row r="980" spans="1:16" s="97" customFormat="1" x14ac:dyDescent="0.25">
      <c r="A980" s="53" t="s">
        <v>1752</v>
      </c>
      <c r="B980" s="54" t="s">
        <v>1744</v>
      </c>
      <c r="C980" s="55" t="s">
        <v>592</v>
      </c>
      <c r="D980" s="77" t="s">
        <v>28</v>
      </c>
      <c r="E980" s="55" t="s">
        <v>673</v>
      </c>
      <c r="F980" s="55" t="s">
        <v>1704</v>
      </c>
      <c r="G980" s="77" t="s">
        <v>169</v>
      </c>
      <c r="H980" s="77" t="s">
        <v>570</v>
      </c>
      <c r="I980" s="55"/>
      <c r="J980" s="56" t="s">
        <v>708</v>
      </c>
      <c r="K980" s="118">
        <f>ROUND(Tableau14[[#This Row],[LEN]]*7.27,0)</f>
        <v>189</v>
      </c>
      <c r="L980" s="118">
        <v>15</v>
      </c>
      <c r="M980" s="135" t="str">
        <f t="shared" si="7"/>
        <v>none</v>
      </c>
      <c r="N980" s="118">
        <f>LEN(Tableau14[[#This Row],[LABEL]])</f>
        <v>26</v>
      </c>
      <c r="O980" s="118">
        <v>15</v>
      </c>
      <c r="P980" s="118" t="e">
        <f>ROUND(Tableau14[[#This Row],[LEN]]*#REF!+#REF!,0)</f>
        <v>#REF!</v>
      </c>
    </row>
    <row r="981" spans="1:16" s="97" customFormat="1" x14ac:dyDescent="0.25">
      <c r="A981" s="53" t="s">
        <v>1753</v>
      </c>
      <c r="B981" s="54" t="s">
        <v>1744</v>
      </c>
      <c r="C981" s="55" t="s">
        <v>597</v>
      </c>
      <c r="D981" s="77" t="s">
        <v>28</v>
      </c>
      <c r="E981" s="55" t="s">
        <v>673</v>
      </c>
      <c r="F981" s="55" t="s">
        <v>1704</v>
      </c>
      <c r="G981" s="77" t="s">
        <v>169</v>
      </c>
      <c r="H981" s="77" t="s">
        <v>570</v>
      </c>
      <c r="I981" s="55"/>
      <c r="J981" s="56" t="s">
        <v>708</v>
      </c>
      <c r="K981" s="118">
        <f>ROUND(Tableau14[[#This Row],[LEN]]*7.27,0)</f>
        <v>465</v>
      </c>
      <c r="L981" s="118">
        <v>15</v>
      </c>
      <c r="M981" s="135" t="str">
        <f t="shared" si="7"/>
        <v>none</v>
      </c>
      <c r="N981" s="118">
        <f>LEN(Tableau14[[#This Row],[LABEL]])</f>
        <v>64</v>
      </c>
      <c r="O981" s="118">
        <v>15</v>
      </c>
      <c r="P981" s="118" t="e">
        <f>ROUND(Tableau14[[#This Row],[LEN]]*#REF!+#REF!,0)</f>
        <v>#REF!</v>
      </c>
    </row>
    <row r="982" spans="1:16" s="97" customFormat="1" x14ac:dyDescent="0.25">
      <c r="A982" s="49" t="s">
        <v>1745</v>
      </c>
      <c r="B982" s="50" t="s">
        <v>314</v>
      </c>
      <c r="C982" s="51" t="s">
        <v>1754</v>
      </c>
      <c r="D982" s="76" t="s">
        <v>1755</v>
      </c>
      <c r="E982" s="51" t="s">
        <v>674</v>
      </c>
      <c r="F982" s="51" t="s">
        <v>679</v>
      </c>
      <c r="G982" s="76" t="s">
        <v>169</v>
      </c>
      <c r="H982" s="76" t="s">
        <v>656</v>
      </c>
      <c r="I982" s="51"/>
      <c r="J982" s="52" t="s">
        <v>708</v>
      </c>
      <c r="K982" s="117">
        <f>ROUND(Tableau14[[#This Row],[LEN]]*7.27,0)</f>
        <v>327</v>
      </c>
      <c r="L982" s="117">
        <v>15</v>
      </c>
      <c r="M982" s="134" t="str">
        <f t="shared" si="7"/>
        <v>none</v>
      </c>
      <c r="N982" s="117">
        <f>LEN(Tableau14[[#This Row],[LABEL]])</f>
        <v>45</v>
      </c>
      <c r="O982" s="117">
        <v>15</v>
      </c>
      <c r="P982" s="117" t="e">
        <f>ROUND(Tableau14[[#This Row],[LEN]]*#REF!+#REF!,0)</f>
        <v>#REF!</v>
      </c>
    </row>
    <row r="983" spans="1:16" s="97" customFormat="1" x14ac:dyDescent="0.25">
      <c r="A983" s="49" t="s">
        <v>1746</v>
      </c>
      <c r="B983" s="50" t="s">
        <v>314</v>
      </c>
      <c r="C983" s="51" t="s">
        <v>598</v>
      </c>
      <c r="D983" s="76" t="s">
        <v>28</v>
      </c>
      <c r="E983" s="51" t="s">
        <v>673</v>
      </c>
      <c r="F983" s="51" t="s">
        <v>2035</v>
      </c>
      <c r="G983" s="76" t="s">
        <v>169</v>
      </c>
      <c r="H983" s="76" t="s">
        <v>654</v>
      </c>
      <c r="I983" s="51"/>
      <c r="J983" s="52" t="s">
        <v>708</v>
      </c>
      <c r="K983" s="117">
        <f>ROUND(Tableau14[[#This Row],[LEN]]*7.27,0)</f>
        <v>553</v>
      </c>
      <c r="L983" s="117">
        <v>15</v>
      </c>
      <c r="M983" s="134" t="str">
        <f t="shared" si="7"/>
        <v>none</v>
      </c>
      <c r="N983" s="117">
        <f>LEN(Tableau14[[#This Row],[LABEL]])</f>
        <v>76</v>
      </c>
      <c r="O983" s="117">
        <v>15</v>
      </c>
      <c r="P983" s="117" t="e">
        <f>ROUND(Tableau14[[#This Row],[LEN]]*#REF!+#REF!,0)</f>
        <v>#REF!</v>
      </c>
    </row>
    <row r="984" spans="1:16" s="273" customFormat="1" x14ac:dyDescent="0.25">
      <c r="A984" s="351" t="s">
        <v>315</v>
      </c>
      <c r="B984" s="352" t="s">
        <v>209</v>
      </c>
      <c r="C984" s="353" t="s">
        <v>12</v>
      </c>
      <c r="D984" s="354" t="s">
        <v>28</v>
      </c>
      <c r="E984" s="353" t="s">
        <v>675</v>
      </c>
      <c r="F984" s="353" t="s">
        <v>675</v>
      </c>
      <c r="G984" s="354" t="s">
        <v>169</v>
      </c>
      <c r="H984" s="354" t="str">
        <f>IFERROR(IF(SEARCH(".00.00.00.00.00",Tableau14[[#This Row],[name]],1)=7,"Division",""),"")</f>
        <v>Division</v>
      </c>
      <c r="I984" s="353"/>
      <c r="J984" s="355" t="s">
        <v>721</v>
      </c>
      <c r="K984" s="356">
        <f>ROUND(Tableau14[[#This Row],[LEN]]*7.27,0)</f>
        <v>15</v>
      </c>
      <c r="L984" s="356">
        <v>15</v>
      </c>
      <c r="M984" s="357" t="str">
        <f t="shared" si="7"/>
        <v>new</v>
      </c>
      <c r="N984" s="356">
        <f>LEN(Tableau14[[#This Row],[LABEL]])</f>
        <v>2</v>
      </c>
      <c r="O984" s="356">
        <v>15</v>
      </c>
      <c r="P984" s="356" t="e">
        <f>ROUND(Tableau14[[#This Row],[LEN]]*#REF!+#REF!,0)</f>
        <v>#REF!</v>
      </c>
    </row>
    <row r="985" spans="1:16" s="97" customFormat="1" x14ac:dyDescent="0.25">
      <c r="A985" s="49" t="s">
        <v>1756</v>
      </c>
      <c r="B985" s="50" t="s">
        <v>315</v>
      </c>
      <c r="C985" s="51" t="s">
        <v>129</v>
      </c>
      <c r="D985" s="76" t="s">
        <v>28</v>
      </c>
      <c r="E985" s="51" t="s">
        <v>673</v>
      </c>
      <c r="F985" s="51" t="s">
        <v>2035</v>
      </c>
      <c r="G985" s="76" t="s">
        <v>169</v>
      </c>
      <c r="H985" s="76" t="s">
        <v>655</v>
      </c>
      <c r="I985" s="51"/>
      <c r="J985" s="52" t="s">
        <v>708</v>
      </c>
      <c r="K985" s="117">
        <f>ROUND(Tableau14[[#This Row],[LEN]]*7.27,0)</f>
        <v>87</v>
      </c>
      <c r="L985" s="117">
        <v>15</v>
      </c>
      <c r="M985" s="134" t="str">
        <f t="shared" si="7"/>
        <v>none</v>
      </c>
      <c r="N985" s="117">
        <f>LEN(Tableau14[[#This Row],[LABEL]])</f>
        <v>12</v>
      </c>
      <c r="O985" s="117">
        <v>15</v>
      </c>
      <c r="P985" s="117" t="e">
        <f>ROUND(Tableau14[[#This Row],[LEN]]*#REF!+#REF!,0)</f>
        <v>#REF!</v>
      </c>
    </row>
    <row r="986" spans="1:16" s="97" customFormat="1" x14ac:dyDescent="0.25">
      <c r="A986" s="53" t="s">
        <v>1764</v>
      </c>
      <c r="B986" s="54" t="s">
        <v>1756</v>
      </c>
      <c r="C986" s="55" t="s">
        <v>131</v>
      </c>
      <c r="D986" s="77" t="s">
        <v>28</v>
      </c>
      <c r="E986" s="55" t="s">
        <v>673</v>
      </c>
      <c r="F986" s="55" t="s">
        <v>2035</v>
      </c>
      <c r="G986" s="77" t="s">
        <v>169</v>
      </c>
      <c r="H986" s="77" t="s">
        <v>570</v>
      </c>
      <c r="I986" s="55"/>
      <c r="J986" s="56" t="s">
        <v>708</v>
      </c>
      <c r="K986" s="118">
        <f>ROUND(Tableau14[[#This Row],[LEN]]*7.27,0)</f>
        <v>262</v>
      </c>
      <c r="L986" s="118">
        <v>15</v>
      </c>
      <c r="M986" s="135" t="str">
        <f t="shared" si="7"/>
        <v>none</v>
      </c>
      <c r="N986" s="118">
        <f>LEN(Tableau14[[#This Row],[LABEL]])</f>
        <v>36</v>
      </c>
      <c r="O986" s="118">
        <v>15</v>
      </c>
      <c r="P986" s="118" t="e">
        <f>ROUND(Tableau14[[#This Row],[LEN]]*#REF!+#REF!,0)</f>
        <v>#REF!</v>
      </c>
    </row>
    <row r="987" spans="1:16" s="97" customFormat="1" x14ac:dyDescent="0.25">
      <c r="A987" s="53" t="s">
        <v>1765</v>
      </c>
      <c r="B987" s="54" t="s">
        <v>1756</v>
      </c>
      <c r="C987" s="55" t="s">
        <v>132</v>
      </c>
      <c r="D987" s="77" t="s">
        <v>28</v>
      </c>
      <c r="E987" s="55" t="s">
        <v>673</v>
      </c>
      <c r="F987" s="55" t="s">
        <v>2035</v>
      </c>
      <c r="G987" s="77" t="s">
        <v>169</v>
      </c>
      <c r="H987" s="77" t="s">
        <v>570</v>
      </c>
      <c r="I987" s="55"/>
      <c r="J987" s="56" t="s">
        <v>708</v>
      </c>
      <c r="K987" s="118">
        <f>ROUND(Tableau14[[#This Row],[LEN]]*7.27,0)</f>
        <v>298</v>
      </c>
      <c r="L987" s="118">
        <v>15</v>
      </c>
      <c r="M987" s="135" t="str">
        <f t="shared" si="7"/>
        <v>none</v>
      </c>
      <c r="N987" s="118">
        <f>LEN(Tableau14[[#This Row],[LABEL]])</f>
        <v>41</v>
      </c>
      <c r="O987" s="118">
        <v>15</v>
      </c>
      <c r="P987" s="118" t="e">
        <f>ROUND(Tableau14[[#This Row],[LEN]]*#REF!+#REF!,0)</f>
        <v>#REF!</v>
      </c>
    </row>
    <row r="988" spans="1:16" s="97" customFormat="1" x14ac:dyDescent="0.25">
      <c r="A988" s="49" t="s">
        <v>1757</v>
      </c>
      <c r="B988" s="50" t="s">
        <v>315</v>
      </c>
      <c r="C988" s="51" t="s">
        <v>1772</v>
      </c>
      <c r="D988" s="76" t="s">
        <v>28</v>
      </c>
      <c r="E988" s="51" t="s">
        <v>675</v>
      </c>
      <c r="F988" s="51" t="s">
        <v>679</v>
      </c>
      <c r="G988" s="76" t="s">
        <v>169</v>
      </c>
      <c r="H988" s="76" t="s">
        <v>655</v>
      </c>
      <c r="I988" s="51"/>
      <c r="J988" s="52" t="s">
        <v>708</v>
      </c>
      <c r="K988" s="117">
        <f>ROUND(Tableau14[[#This Row],[LEN]]*7.27,0)</f>
        <v>182</v>
      </c>
      <c r="L988" s="117">
        <v>15</v>
      </c>
      <c r="M988" s="134" t="str">
        <f t="shared" si="7"/>
        <v>none</v>
      </c>
      <c r="N988" s="117">
        <f>LEN(Tableau14[[#This Row],[LABEL]])</f>
        <v>25</v>
      </c>
      <c r="O988" s="117">
        <v>15</v>
      </c>
      <c r="P988" s="117" t="e">
        <f>ROUND(Tableau14[[#This Row],[LEN]]*#REF!+#REF!,0)</f>
        <v>#REF!</v>
      </c>
    </row>
    <row r="989" spans="1:16" s="97" customFormat="1" x14ac:dyDescent="0.25">
      <c r="A989" s="53" t="s">
        <v>1766</v>
      </c>
      <c r="B989" s="54" t="s">
        <v>1757</v>
      </c>
      <c r="C989" s="55" t="s">
        <v>1467</v>
      </c>
      <c r="D989" s="77" t="s">
        <v>28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ROUND(Tableau14[[#This Row],[LEN]]*7.27,0)</f>
        <v>102</v>
      </c>
      <c r="L989" s="118">
        <v>15</v>
      </c>
      <c r="M989" s="135" t="str">
        <f t="shared" si="7"/>
        <v>none</v>
      </c>
      <c r="N989" s="118">
        <f>LEN(Tableau14[[#This Row],[LABEL]])</f>
        <v>14</v>
      </c>
      <c r="O989" s="118">
        <v>15</v>
      </c>
      <c r="P989" s="118" t="e">
        <f>ROUND(Tableau14[[#This Row],[LEN]]*#REF!+#REF!,0)</f>
        <v>#REF!</v>
      </c>
    </row>
    <row r="990" spans="1:16" s="97" customFormat="1" x14ac:dyDescent="0.25">
      <c r="A990" s="53" t="s">
        <v>1767</v>
      </c>
      <c r="B990" s="54" t="s">
        <v>1757</v>
      </c>
      <c r="C990" s="55" t="s">
        <v>1769</v>
      </c>
      <c r="D990" s="77" t="s">
        <v>28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ROUND(Tableau14[[#This Row],[LEN]]*7.27,0)</f>
        <v>211</v>
      </c>
      <c r="L990" s="118">
        <v>15</v>
      </c>
      <c r="M990" s="135" t="str">
        <f t="shared" si="7"/>
        <v>none</v>
      </c>
      <c r="N990" s="118">
        <f>LEN(Tableau14[[#This Row],[LABEL]])</f>
        <v>29</v>
      </c>
      <c r="O990" s="118">
        <v>15</v>
      </c>
      <c r="P990" s="118" t="e">
        <f>ROUND(Tableau14[[#This Row],[LEN]]*#REF!+#REF!,0)</f>
        <v>#REF!</v>
      </c>
    </row>
    <row r="991" spans="1:16" s="97" customFormat="1" x14ac:dyDescent="0.25">
      <c r="A991" s="53" t="s">
        <v>1768</v>
      </c>
      <c r="B991" s="54" t="s">
        <v>1757</v>
      </c>
      <c r="C991" s="55" t="s">
        <v>1468</v>
      </c>
      <c r="D991" s="77" t="s">
        <v>28</v>
      </c>
      <c r="E991" s="55" t="s">
        <v>675</v>
      </c>
      <c r="F991" s="55" t="s">
        <v>679</v>
      </c>
      <c r="G991" s="77" t="s">
        <v>169</v>
      </c>
      <c r="H991" s="77" t="s">
        <v>654</v>
      </c>
      <c r="I991" s="55"/>
      <c r="J991" s="56" t="s">
        <v>708</v>
      </c>
      <c r="K991" s="118">
        <f>ROUND(Tableau14[[#This Row],[LEN]]*7.27,0)</f>
        <v>167</v>
      </c>
      <c r="L991" s="118">
        <v>15</v>
      </c>
      <c r="M991" s="135" t="str">
        <f t="shared" si="7"/>
        <v>none</v>
      </c>
      <c r="N991" s="118">
        <f>LEN(Tableau14[[#This Row],[LABEL]])</f>
        <v>23</v>
      </c>
      <c r="O991" s="118">
        <v>15</v>
      </c>
      <c r="P991" s="118" t="e">
        <f>ROUND(Tableau14[[#This Row],[LEN]]*#REF!+#REF!,0)</f>
        <v>#REF!</v>
      </c>
    </row>
    <row r="992" spans="1:16" s="97" customFormat="1" x14ac:dyDescent="0.25">
      <c r="A992" s="49" t="s">
        <v>1758</v>
      </c>
      <c r="B992" s="50" t="s">
        <v>315</v>
      </c>
      <c r="C992" s="51" t="s">
        <v>1770</v>
      </c>
      <c r="D992" s="76" t="s">
        <v>1771</v>
      </c>
      <c r="E992" s="51" t="s">
        <v>675</v>
      </c>
      <c r="F992" s="51" t="s">
        <v>1177</v>
      </c>
      <c r="G992" s="76" t="s">
        <v>169</v>
      </c>
      <c r="H992" s="76" t="s">
        <v>654</v>
      </c>
      <c r="I992" s="51"/>
      <c r="J992" s="52" t="s">
        <v>708</v>
      </c>
      <c r="K992" s="117">
        <f>ROUND(Tableau14[[#This Row],[LEN]]*7.27,0)</f>
        <v>487</v>
      </c>
      <c r="L992" s="117">
        <v>15</v>
      </c>
      <c r="M992" s="134" t="str">
        <f t="shared" si="7"/>
        <v>none</v>
      </c>
      <c r="N992" s="117">
        <f>LEN(Tableau14[[#This Row],[LABEL]])</f>
        <v>67</v>
      </c>
      <c r="O992" s="117">
        <v>15</v>
      </c>
      <c r="P992" s="117" t="e">
        <f>ROUND(Tableau14[[#This Row],[LEN]]*#REF!+#REF!,0)</f>
        <v>#REF!</v>
      </c>
    </row>
    <row r="993" spans="1:16" s="97" customFormat="1" x14ac:dyDescent="0.25">
      <c r="A993" s="49" t="s">
        <v>1759</v>
      </c>
      <c r="B993" s="50" t="s">
        <v>315</v>
      </c>
      <c r="C993" s="51" t="s">
        <v>1773</v>
      </c>
      <c r="D993" s="76" t="s">
        <v>28</v>
      </c>
      <c r="E993" s="51" t="s">
        <v>675</v>
      </c>
      <c r="F993" s="51" t="s">
        <v>1177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ROUND(Tableau14[[#This Row],[LEN]]*7.27,0)</f>
        <v>153</v>
      </c>
      <c r="L993" s="117">
        <v>15</v>
      </c>
      <c r="M993" s="134" t="str">
        <f t="shared" si="7"/>
        <v>none</v>
      </c>
      <c r="N993" s="117">
        <f>LEN(Tableau14[[#This Row],[LABEL]])</f>
        <v>21</v>
      </c>
      <c r="O993" s="117">
        <v>15</v>
      </c>
      <c r="P993" s="117" t="e">
        <f>ROUND(Tableau14[[#This Row],[LEN]]*#REF!+#REF!,0)</f>
        <v>#REF!</v>
      </c>
    </row>
    <row r="994" spans="1:16" s="97" customFormat="1" x14ac:dyDescent="0.25">
      <c r="A994" s="53" t="s">
        <v>1774</v>
      </c>
      <c r="B994" s="54" t="s">
        <v>1759</v>
      </c>
      <c r="C994" s="55" t="s">
        <v>1778</v>
      </c>
      <c r="D994" s="77" t="s">
        <v>28</v>
      </c>
      <c r="E994" s="55" t="s">
        <v>675</v>
      </c>
      <c r="F994" s="55" t="s">
        <v>1177</v>
      </c>
      <c r="G994" s="77" t="s">
        <v>169</v>
      </c>
      <c r="H994" s="77" t="s">
        <v>654</v>
      </c>
      <c r="I994" s="55"/>
      <c r="J994" s="56" t="s">
        <v>708</v>
      </c>
      <c r="K994" s="118">
        <f>ROUND(Tableau14[[#This Row],[LEN]]*7.27,0)</f>
        <v>225</v>
      </c>
      <c r="L994" s="118">
        <v>15</v>
      </c>
      <c r="M994" s="135" t="str">
        <f t="shared" si="7"/>
        <v>none</v>
      </c>
      <c r="N994" s="118">
        <f>LEN(Tableau14[[#This Row],[LABEL]])</f>
        <v>31</v>
      </c>
      <c r="O994" s="118">
        <v>15</v>
      </c>
      <c r="P994" s="118" t="e">
        <f>ROUND(Tableau14[[#This Row],[LEN]]*#REF!+#REF!,0)</f>
        <v>#REF!</v>
      </c>
    </row>
    <row r="995" spans="1:16" s="97" customFormat="1" x14ac:dyDescent="0.25">
      <c r="A995" s="53" t="s">
        <v>1775</v>
      </c>
      <c r="B995" s="54" t="s">
        <v>1759</v>
      </c>
      <c r="C995" s="55" t="s">
        <v>1779</v>
      </c>
      <c r="D995" s="77" t="s">
        <v>28</v>
      </c>
      <c r="E995" s="55" t="s">
        <v>675</v>
      </c>
      <c r="F995" s="55" t="s">
        <v>1177</v>
      </c>
      <c r="G995" s="77" t="s">
        <v>169</v>
      </c>
      <c r="H995" s="77" t="s">
        <v>654</v>
      </c>
      <c r="I995" s="55"/>
      <c r="J995" s="56" t="s">
        <v>708</v>
      </c>
      <c r="K995" s="118">
        <f>ROUND(Tableau14[[#This Row],[LEN]]*7.27,0)</f>
        <v>124</v>
      </c>
      <c r="L995" s="118">
        <v>15</v>
      </c>
      <c r="M995" s="135" t="str">
        <f t="shared" si="7"/>
        <v>none</v>
      </c>
      <c r="N995" s="118">
        <f>LEN(Tableau14[[#This Row],[LABEL]])</f>
        <v>17</v>
      </c>
      <c r="O995" s="118">
        <v>15</v>
      </c>
      <c r="P995" s="118" t="e">
        <f>ROUND(Tableau14[[#This Row],[LEN]]*#REF!+#REF!,0)</f>
        <v>#REF!</v>
      </c>
    </row>
    <row r="996" spans="1:16" s="97" customFormat="1" x14ac:dyDescent="0.25">
      <c r="A996" s="53" t="s">
        <v>1776</v>
      </c>
      <c r="B996" s="54" t="s">
        <v>1759</v>
      </c>
      <c r="C996" s="55" t="s">
        <v>1780</v>
      </c>
      <c r="D996" s="77" t="s">
        <v>28</v>
      </c>
      <c r="E996" s="55" t="s">
        <v>675</v>
      </c>
      <c r="F996" s="55" t="s">
        <v>1177</v>
      </c>
      <c r="G996" s="77" t="s">
        <v>169</v>
      </c>
      <c r="H996" s="77" t="s">
        <v>654</v>
      </c>
      <c r="I996" s="55"/>
      <c r="J996" s="56" t="s">
        <v>708</v>
      </c>
      <c r="K996" s="118">
        <f>ROUND(Tableau14[[#This Row],[LEN]]*7.27,0)</f>
        <v>160</v>
      </c>
      <c r="L996" s="118">
        <v>15</v>
      </c>
      <c r="M996" s="135" t="str">
        <f t="shared" si="7"/>
        <v>none</v>
      </c>
      <c r="N996" s="118">
        <f>LEN(Tableau14[[#This Row],[LABEL]])</f>
        <v>22</v>
      </c>
      <c r="O996" s="118">
        <v>15</v>
      </c>
      <c r="P996" s="118" t="e">
        <f>ROUND(Tableau14[[#This Row],[LEN]]*#REF!+#REF!,0)</f>
        <v>#REF!</v>
      </c>
    </row>
    <row r="997" spans="1:16" s="97" customFormat="1" x14ac:dyDescent="0.25">
      <c r="A997" s="53" t="s">
        <v>1777</v>
      </c>
      <c r="B997" s="54" t="s">
        <v>1759</v>
      </c>
      <c r="C997" s="55" t="s">
        <v>1781</v>
      </c>
      <c r="D997" s="77" t="s">
        <v>28</v>
      </c>
      <c r="E997" s="55" t="s">
        <v>675</v>
      </c>
      <c r="F997" s="55" t="s">
        <v>1177</v>
      </c>
      <c r="G997" s="77" t="s">
        <v>169</v>
      </c>
      <c r="H997" s="77" t="s">
        <v>654</v>
      </c>
      <c r="I997" s="55"/>
      <c r="J997" s="56" t="s">
        <v>708</v>
      </c>
      <c r="K997" s="118">
        <f>ROUND(Tableau14[[#This Row],[LEN]]*7.27,0)</f>
        <v>145</v>
      </c>
      <c r="L997" s="118">
        <v>15</v>
      </c>
      <c r="M997" s="135" t="str">
        <f t="shared" si="7"/>
        <v>none</v>
      </c>
      <c r="N997" s="118">
        <f>LEN(Tableau14[[#This Row],[LABEL]])</f>
        <v>20</v>
      </c>
      <c r="O997" s="118">
        <v>15</v>
      </c>
      <c r="P997" s="118" t="e">
        <f>ROUND(Tableau14[[#This Row],[LEN]]*#REF!+#REF!,0)</f>
        <v>#REF!</v>
      </c>
    </row>
    <row r="998" spans="1:16" s="97" customFormat="1" x14ac:dyDescent="0.25">
      <c r="A998" s="49" t="s">
        <v>1760</v>
      </c>
      <c r="B998" s="50" t="s">
        <v>315</v>
      </c>
      <c r="C998" s="51" t="s">
        <v>1782</v>
      </c>
      <c r="D998" s="76" t="s">
        <v>28</v>
      </c>
      <c r="E998" s="51" t="s">
        <v>675</v>
      </c>
      <c r="F998" s="51" t="s">
        <v>679</v>
      </c>
      <c r="G998" s="76" t="s">
        <v>169</v>
      </c>
      <c r="H998" s="76" t="s">
        <v>655</v>
      </c>
      <c r="I998" s="51"/>
      <c r="J998" s="52" t="s">
        <v>708</v>
      </c>
      <c r="K998" s="117">
        <f>ROUND(Tableau14[[#This Row],[LEN]]*7.27,0)</f>
        <v>182</v>
      </c>
      <c r="L998" s="117">
        <v>15</v>
      </c>
      <c r="M998" s="134" t="str">
        <f t="shared" si="7"/>
        <v>none</v>
      </c>
      <c r="N998" s="117">
        <f>LEN(Tableau14[[#This Row],[LABEL]])</f>
        <v>25</v>
      </c>
      <c r="O998" s="117">
        <v>15</v>
      </c>
      <c r="P998" s="117" t="e">
        <f>ROUND(Tableau14[[#This Row],[LEN]]*#REF!+#REF!,0)</f>
        <v>#REF!</v>
      </c>
    </row>
    <row r="999" spans="1:16" s="97" customFormat="1" x14ac:dyDescent="0.25">
      <c r="A999" s="53" t="s">
        <v>1783</v>
      </c>
      <c r="B999" s="54" t="s">
        <v>1760</v>
      </c>
      <c r="C999" s="55" t="s">
        <v>1785</v>
      </c>
      <c r="D999" s="77" t="s">
        <v>28</v>
      </c>
      <c r="E999" s="55" t="s">
        <v>675</v>
      </c>
      <c r="F999" s="55" t="s">
        <v>679</v>
      </c>
      <c r="G999" s="77" t="s">
        <v>169</v>
      </c>
      <c r="H999" s="77" t="s">
        <v>656</v>
      </c>
      <c r="I999" s="55"/>
      <c r="J999" s="56" t="s">
        <v>708</v>
      </c>
      <c r="K999" s="118">
        <f>ROUND(Tableau14[[#This Row],[LEN]]*7.27,0)</f>
        <v>167</v>
      </c>
      <c r="L999" s="118">
        <v>15</v>
      </c>
      <c r="M999" s="135" t="str">
        <f t="shared" si="7"/>
        <v>none</v>
      </c>
      <c r="N999" s="118">
        <f>LEN(Tableau14[[#This Row],[LABEL]])</f>
        <v>23</v>
      </c>
      <c r="O999" s="118">
        <v>15</v>
      </c>
      <c r="P999" s="118" t="e">
        <f>ROUND(Tableau14[[#This Row],[LEN]]*#REF!+#REF!,0)</f>
        <v>#REF!</v>
      </c>
    </row>
    <row r="1000" spans="1:16" s="97" customFormat="1" x14ac:dyDescent="0.25">
      <c r="A1000" s="53" t="s">
        <v>1784</v>
      </c>
      <c r="B1000" s="54" t="s">
        <v>1760</v>
      </c>
      <c r="C1000" s="55" t="s">
        <v>1470</v>
      </c>
      <c r="D1000" s="77" t="s">
        <v>28</v>
      </c>
      <c r="E1000" s="55" t="s">
        <v>675</v>
      </c>
      <c r="F1000" s="55" t="s">
        <v>679</v>
      </c>
      <c r="G1000" s="77" t="s">
        <v>169</v>
      </c>
      <c r="H1000" s="77" t="s">
        <v>656</v>
      </c>
      <c r="I1000" s="55"/>
      <c r="J1000" s="56" t="s">
        <v>708</v>
      </c>
      <c r="K1000" s="118">
        <f>ROUND(Tableau14[[#This Row],[LEN]]*7.27,0)</f>
        <v>313</v>
      </c>
      <c r="L1000" s="118">
        <v>15</v>
      </c>
      <c r="M1000" s="135" t="str">
        <f t="shared" si="7"/>
        <v>none</v>
      </c>
      <c r="N1000" s="118">
        <f>LEN(Tableau14[[#This Row],[LABEL]])</f>
        <v>43</v>
      </c>
      <c r="O1000" s="118">
        <v>15</v>
      </c>
      <c r="P1000" s="118" t="e">
        <f>ROUND(Tableau14[[#This Row],[LEN]]*#REF!+#REF!,0)</f>
        <v>#REF!</v>
      </c>
    </row>
    <row r="1001" spans="1:16" s="97" customFormat="1" x14ac:dyDescent="0.25">
      <c r="A1001" s="49" t="s">
        <v>1761</v>
      </c>
      <c r="B1001" s="50" t="s">
        <v>315</v>
      </c>
      <c r="C1001" s="51" t="s">
        <v>1786</v>
      </c>
      <c r="D1001" s="76" t="s">
        <v>28</v>
      </c>
      <c r="E1001" s="51" t="s">
        <v>675</v>
      </c>
      <c r="F1001" s="51" t="s">
        <v>679</v>
      </c>
      <c r="G1001" s="76" t="s">
        <v>169</v>
      </c>
      <c r="H1001" s="76" t="s">
        <v>655</v>
      </c>
      <c r="I1001" s="51"/>
      <c r="J1001" s="52" t="s">
        <v>708</v>
      </c>
      <c r="K1001" s="117">
        <f>ROUND(Tableau14[[#This Row],[LEN]]*7.27,0)</f>
        <v>262</v>
      </c>
      <c r="L1001" s="117">
        <v>15</v>
      </c>
      <c r="M1001" s="134" t="str">
        <f t="shared" si="7"/>
        <v>none</v>
      </c>
      <c r="N1001" s="117">
        <f>LEN(Tableau14[[#This Row],[LABEL]])</f>
        <v>36</v>
      </c>
      <c r="O1001" s="117">
        <v>15</v>
      </c>
      <c r="P1001" s="117" t="e">
        <f>ROUND(Tableau14[[#This Row],[LEN]]*#REF!+#REF!,0)</f>
        <v>#REF!</v>
      </c>
    </row>
    <row r="1002" spans="1:16" s="97" customFormat="1" x14ac:dyDescent="0.25">
      <c r="A1002" s="53" t="s">
        <v>1787</v>
      </c>
      <c r="B1002" s="54" t="s">
        <v>1761</v>
      </c>
      <c r="C1002" s="55" t="s">
        <v>1789</v>
      </c>
      <c r="D1002" s="77" t="s">
        <v>28</v>
      </c>
      <c r="E1002" s="55" t="s">
        <v>675</v>
      </c>
      <c r="F1002" s="55" t="s">
        <v>679</v>
      </c>
      <c r="G1002" s="77" t="s">
        <v>169</v>
      </c>
      <c r="H1002" s="77" t="s">
        <v>654</v>
      </c>
      <c r="I1002" s="55"/>
      <c r="J1002" s="56" t="s">
        <v>708</v>
      </c>
      <c r="K1002" s="118">
        <f>ROUND(Tableau14[[#This Row],[LEN]]*7.27,0)</f>
        <v>487</v>
      </c>
      <c r="L1002" s="118">
        <v>15</v>
      </c>
      <c r="M1002" s="135" t="str">
        <f t="shared" si="7"/>
        <v>none</v>
      </c>
      <c r="N1002" s="118">
        <f>LEN(Tableau14[[#This Row],[LABEL]])</f>
        <v>67</v>
      </c>
      <c r="O1002" s="118">
        <v>15</v>
      </c>
      <c r="P1002" s="118" t="e">
        <f>ROUND(Tableau14[[#This Row],[LEN]]*#REF!+#REF!,0)</f>
        <v>#REF!</v>
      </c>
    </row>
    <row r="1003" spans="1:16" s="97" customFormat="1" x14ac:dyDescent="0.25">
      <c r="A1003" s="53" t="s">
        <v>1788</v>
      </c>
      <c r="B1003" s="54" t="s">
        <v>1761</v>
      </c>
      <c r="C1003" s="55" t="s">
        <v>1790</v>
      </c>
      <c r="D1003" s="77" t="s">
        <v>28</v>
      </c>
      <c r="E1003" s="55" t="s">
        <v>675</v>
      </c>
      <c r="F1003" s="55" t="s">
        <v>679</v>
      </c>
      <c r="G1003" s="77" t="s">
        <v>169</v>
      </c>
      <c r="H1003" s="77" t="s">
        <v>654</v>
      </c>
      <c r="I1003" s="55"/>
      <c r="J1003" s="56" t="s">
        <v>708</v>
      </c>
      <c r="K1003" s="118">
        <f>ROUND(Tableau14[[#This Row],[LEN]]*7.27,0)</f>
        <v>313</v>
      </c>
      <c r="L1003" s="118">
        <v>15</v>
      </c>
      <c r="M1003" s="135" t="str">
        <f t="shared" si="7"/>
        <v>none</v>
      </c>
      <c r="N1003" s="118">
        <f>LEN(Tableau14[[#This Row],[LABEL]])</f>
        <v>43</v>
      </c>
      <c r="O1003" s="118">
        <v>15</v>
      </c>
      <c r="P1003" s="118" t="e">
        <f>ROUND(Tableau14[[#This Row],[LEN]]*#REF!+#REF!,0)</f>
        <v>#REF!</v>
      </c>
    </row>
    <row r="1004" spans="1:16" s="97" customFormat="1" x14ac:dyDescent="0.25">
      <c r="A1004" s="49" t="s">
        <v>1762</v>
      </c>
      <c r="B1004" s="50" t="s">
        <v>315</v>
      </c>
      <c r="C1004" s="51" t="s">
        <v>1791</v>
      </c>
      <c r="D1004" s="76" t="s">
        <v>28</v>
      </c>
      <c r="E1004" s="51" t="s">
        <v>675</v>
      </c>
      <c r="F1004" s="51" t="s">
        <v>679</v>
      </c>
      <c r="G1004" s="76" t="s">
        <v>169</v>
      </c>
      <c r="H1004" s="76" t="s">
        <v>655</v>
      </c>
      <c r="I1004" s="51"/>
      <c r="J1004" s="52" t="s">
        <v>708</v>
      </c>
      <c r="K1004" s="117">
        <f>ROUND(Tableau14[[#This Row],[LEN]]*7.27,0)</f>
        <v>153</v>
      </c>
      <c r="L1004" s="117">
        <v>15</v>
      </c>
      <c r="M1004" s="134" t="str">
        <f t="shared" si="7"/>
        <v>none</v>
      </c>
      <c r="N1004" s="117">
        <f>LEN(Tableau14[[#This Row],[LABEL]])</f>
        <v>21</v>
      </c>
      <c r="O1004" s="117">
        <v>15</v>
      </c>
      <c r="P1004" s="117" t="e">
        <f>ROUND(Tableau14[[#This Row],[LEN]]*#REF!+#REF!,0)</f>
        <v>#REF!</v>
      </c>
    </row>
    <row r="1005" spans="1:16" s="97" customFormat="1" x14ac:dyDescent="0.25">
      <c r="A1005" s="53" t="s">
        <v>1792</v>
      </c>
      <c r="B1005" s="54" t="s">
        <v>1762</v>
      </c>
      <c r="C1005" s="55" t="s">
        <v>1778</v>
      </c>
      <c r="D1005" s="77" t="s">
        <v>28</v>
      </c>
      <c r="E1005" s="55" t="s">
        <v>675</v>
      </c>
      <c r="F1005" s="55" t="s">
        <v>679</v>
      </c>
      <c r="G1005" s="77" t="s">
        <v>169</v>
      </c>
      <c r="H1005" s="77" t="s">
        <v>654</v>
      </c>
      <c r="I1005" s="55"/>
      <c r="J1005" s="56" t="s">
        <v>708</v>
      </c>
      <c r="K1005" s="118">
        <f>ROUND(Tableau14[[#This Row],[LEN]]*7.27,0)</f>
        <v>225</v>
      </c>
      <c r="L1005" s="118">
        <v>15</v>
      </c>
      <c r="M1005" s="135" t="str">
        <f t="shared" si="7"/>
        <v>none</v>
      </c>
      <c r="N1005" s="118">
        <f>LEN(Tableau14[[#This Row],[LABEL]])</f>
        <v>31</v>
      </c>
      <c r="O1005" s="118">
        <v>15</v>
      </c>
      <c r="P1005" s="118" t="e">
        <f>ROUND(Tableau14[[#This Row],[LEN]]*#REF!+#REF!,0)</f>
        <v>#REF!</v>
      </c>
    </row>
    <row r="1006" spans="1:16" s="97" customFormat="1" x14ac:dyDescent="0.25">
      <c r="A1006" s="53" t="s">
        <v>1793</v>
      </c>
      <c r="B1006" s="54" t="s">
        <v>1762</v>
      </c>
      <c r="C1006" s="55" t="s">
        <v>1779</v>
      </c>
      <c r="D1006" s="77" t="s">
        <v>28</v>
      </c>
      <c r="E1006" s="55" t="s">
        <v>675</v>
      </c>
      <c r="F1006" s="55" t="s">
        <v>679</v>
      </c>
      <c r="G1006" s="77" t="s">
        <v>169</v>
      </c>
      <c r="H1006" s="77" t="s">
        <v>654</v>
      </c>
      <c r="I1006" s="55"/>
      <c r="J1006" s="56" t="s">
        <v>708</v>
      </c>
      <c r="K1006" s="118">
        <f>ROUND(Tableau14[[#This Row],[LEN]]*7.27,0)</f>
        <v>124</v>
      </c>
      <c r="L1006" s="118">
        <v>15</v>
      </c>
      <c r="M1006" s="135" t="str">
        <f t="shared" si="7"/>
        <v>none</v>
      </c>
      <c r="N1006" s="118">
        <f>LEN(Tableau14[[#This Row],[LABEL]])</f>
        <v>17</v>
      </c>
      <c r="O1006" s="118">
        <v>15</v>
      </c>
      <c r="P1006" s="118" t="e">
        <f>ROUND(Tableau14[[#This Row],[LEN]]*#REF!+#REF!,0)</f>
        <v>#REF!</v>
      </c>
    </row>
    <row r="1007" spans="1:16" s="97" customFormat="1" x14ac:dyDescent="0.25">
      <c r="A1007" s="53" t="s">
        <v>1794</v>
      </c>
      <c r="B1007" s="54" t="s">
        <v>1762</v>
      </c>
      <c r="C1007" s="55" t="s">
        <v>1780</v>
      </c>
      <c r="D1007" s="77" t="s">
        <v>28</v>
      </c>
      <c r="E1007" s="55" t="s">
        <v>675</v>
      </c>
      <c r="F1007" s="55" t="s">
        <v>679</v>
      </c>
      <c r="G1007" s="77" t="s">
        <v>169</v>
      </c>
      <c r="H1007" s="77" t="s">
        <v>654</v>
      </c>
      <c r="I1007" s="55"/>
      <c r="J1007" s="56" t="s">
        <v>708</v>
      </c>
      <c r="K1007" s="118">
        <f>ROUND(Tableau14[[#This Row],[LEN]]*7.27,0)</f>
        <v>160</v>
      </c>
      <c r="L1007" s="118">
        <v>15</v>
      </c>
      <c r="M1007" s="135" t="str">
        <f t="shared" si="7"/>
        <v>none</v>
      </c>
      <c r="N1007" s="118">
        <f>LEN(Tableau14[[#This Row],[LABEL]])</f>
        <v>22</v>
      </c>
      <c r="O1007" s="118">
        <v>15</v>
      </c>
      <c r="P1007" s="118" t="e">
        <f>ROUND(Tableau14[[#This Row],[LEN]]*#REF!+#REF!,0)</f>
        <v>#REF!</v>
      </c>
    </row>
    <row r="1008" spans="1:16" s="97" customFormat="1" x14ac:dyDescent="0.25">
      <c r="A1008" s="53" t="s">
        <v>1795</v>
      </c>
      <c r="B1008" s="54" t="s">
        <v>1762</v>
      </c>
      <c r="C1008" s="55" t="s">
        <v>1781</v>
      </c>
      <c r="D1008" s="77" t="s">
        <v>28</v>
      </c>
      <c r="E1008" s="55" t="s">
        <v>675</v>
      </c>
      <c r="F1008" s="55" t="s">
        <v>679</v>
      </c>
      <c r="G1008" s="77" t="s">
        <v>169</v>
      </c>
      <c r="H1008" s="77" t="s">
        <v>654</v>
      </c>
      <c r="I1008" s="55"/>
      <c r="J1008" s="56" t="s">
        <v>708</v>
      </c>
      <c r="K1008" s="118">
        <f>ROUND(Tableau14[[#This Row],[LEN]]*7.27,0)</f>
        <v>145</v>
      </c>
      <c r="L1008" s="118">
        <v>15</v>
      </c>
      <c r="M1008" s="135" t="str">
        <f t="shared" si="7"/>
        <v>none</v>
      </c>
      <c r="N1008" s="118">
        <f>LEN(Tableau14[[#This Row],[LABEL]])</f>
        <v>20</v>
      </c>
      <c r="O1008" s="118">
        <v>15</v>
      </c>
      <c r="P1008" s="118" t="e">
        <f>ROUND(Tableau14[[#This Row],[LEN]]*#REF!+#REF!,0)</f>
        <v>#REF!</v>
      </c>
    </row>
    <row r="1009" spans="1:16" s="97" customFormat="1" x14ac:dyDescent="0.25">
      <c r="A1009" s="49" t="s">
        <v>1763</v>
      </c>
      <c r="B1009" s="50" t="s">
        <v>315</v>
      </c>
      <c r="C1009" s="51" t="s">
        <v>598</v>
      </c>
      <c r="D1009" s="76" t="s">
        <v>28</v>
      </c>
      <c r="E1009" s="51" t="s">
        <v>673</v>
      </c>
      <c r="F1009" s="51" t="s">
        <v>2035</v>
      </c>
      <c r="G1009" s="76" t="s">
        <v>169</v>
      </c>
      <c r="H1009" s="76" t="s">
        <v>654</v>
      </c>
      <c r="I1009" s="51"/>
      <c r="J1009" s="52" t="s">
        <v>708</v>
      </c>
      <c r="K1009" s="117">
        <f>ROUND(Tableau14[[#This Row],[LEN]]*7.27,0)</f>
        <v>553</v>
      </c>
      <c r="L1009" s="117">
        <v>15</v>
      </c>
      <c r="M1009" s="134" t="str">
        <f t="shared" si="7"/>
        <v>none</v>
      </c>
      <c r="N1009" s="117">
        <f>LEN(Tableau14[[#This Row],[LABEL]])</f>
        <v>76</v>
      </c>
      <c r="O1009" s="117">
        <v>15</v>
      </c>
      <c r="P1009" s="117" t="e">
        <f>ROUND(Tableau14[[#This Row],[LEN]]*#REF!+#REF!,0)</f>
        <v>#REF!</v>
      </c>
    </row>
    <row r="1010" spans="1:16" s="273" customFormat="1" x14ac:dyDescent="0.25">
      <c r="A1010" s="351" t="s">
        <v>316</v>
      </c>
      <c r="B1010" s="352" t="s">
        <v>209</v>
      </c>
      <c r="C1010" s="353" t="s">
        <v>71</v>
      </c>
      <c r="D1010" s="354" t="s">
        <v>28</v>
      </c>
      <c r="E1010" s="353" t="s">
        <v>676</v>
      </c>
      <c r="F1010" s="353" t="s">
        <v>676</v>
      </c>
      <c r="G1010" s="354" t="s">
        <v>169</v>
      </c>
      <c r="H1010" s="354" t="str">
        <f>IFERROR(IF(SEARCH(".00.00.00.00.00",Tableau14[[#This Row],[name]],1)=7,"Division",""),"")</f>
        <v>Division</v>
      </c>
      <c r="I1010" s="353"/>
      <c r="J1010" s="355" t="s">
        <v>722</v>
      </c>
      <c r="K1010" s="356">
        <f>ROUND(Tableau14[[#This Row],[LEN]]*7.27,0)</f>
        <v>29</v>
      </c>
      <c r="L1010" s="356">
        <v>15</v>
      </c>
      <c r="M1010" s="357" t="str">
        <f t="shared" si="7"/>
        <v>new</v>
      </c>
      <c r="N1010" s="356">
        <f>LEN(Tableau14[[#This Row],[LABEL]])</f>
        <v>4</v>
      </c>
      <c r="O1010" s="356">
        <v>15</v>
      </c>
      <c r="P1010" s="356" t="e">
        <f>ROUND(Tableau14[[#This Row],[LEN]]*#REF!+#REF!,0)</f>
        <v>#REF!</v>
      </c>
    </row>
    <row r="1011" spans="1:16" s="97" customFormat="1" x14ac:dyDescent="0.25">
      <c r="A1011" s="49" t="s">
        <v>1796</v>
      </c>
      <c r="B1011" s="50" t="s">
        <v>316</v>
      </c>
      <c r="C1011" s="51" t="s">
        <v>129</v>
      </c>
      <c r="D1011" s="76" t="s">
        <v>28</v>
      </c>
      <c r="E1011" s="51" t="s">
        <v>673</v>
      </c>
      <c r="F1011" s="51" t="s">
        <v>2035</v>
      </c>
      <c r="G1011" s="76" t="s">
        <v>169</v>
      </c>
      <c r="H1011" s="76" t="s">
        <v>655</v>
      </c>
      <c r="I1011" s="51"/>
      <c r="J1011" s="52" t="s">
        <v>708</v>
      </c>
      <c r="K1011" s="117">
        <f>ROUND(Tableau14[[#This Row],[LEN]]*7.27,0)</f>
        <v>87</v>
      </c>
      <c r="L1011" s="117">
        <v>15</v>
      </c>
      <c r="M1011" s="134" t="str">
        <f t="shared" si="7"/>
        <v>none</v>
      </c>
      <c r="N1011" s="117">
        <f>LEN(Tableau14[[#This Row],[LABEL]])</f>
        <v>12</v>
      </c>
      <c r="O1011" s="117">
        <v>15</v>
      </c>
      <c r="P1011" s="117" t="e">
        <f>ROUND(Tableau14[[#This Row],[LEN]]*#REF!+#REF!,0)</f>
        <v>#REF!</v>
      </c>
    </row>
    <row r="1012" spans="1:16" s="97" customFormat="1" x14ac:dyDescent="0.25">
      <c r="A1012" s="53" t="s">
        <v>1802</v>
      </c>
      <c r="B1012" s="54" t="s">
        <v>1796</v>
      </c>
      <c r="C1012" s="55" t="s">
        <v>131</v>
      </c>
      <c r="D1012" s="77" t="s">
        <v>28</v>
      </c>
      <c r="E1012" s="55" t="s">
        <v>673</v>
      </c>
      <c r="F1012" s="55" t="s">
        <v>2035</v>
      </c>
      <c r="G1012" s="77" t="s">
        <v>169</v>
      </c>
      <c r="H1012" s="77" t="s">
        <v>570</v>
      </c>
      <c r="I1012" s="55"/>
      <c r="J1012" s="56" t="s">
        <v>708</v>
      </c>
      <c r="K1012" s="118">
        <f>ROUND(Tableau14[[#This Row],[LEN]]*7.27,0)</f>
        <v>262</v>
      </c>
      <c r="L1012" s="118">
        <v>15</v>
      </c>
      <c r="M1012" s="135" t="str">
        <f t="shared" si="7"/>
        <v>none</v>
      </c>
      <c r="N1012" s="118">
        <f>LEN(Tableau14[[#This Row],[LABEL]])</f>
        <v>36</v>
      </c>
      <c r="O1012" s="118">
        <v>15</v>
      </c>
      <c r="P1012" s="118" t="e">
        <f>ROUND(Tableau14[[#This Row],[LEN]]*#REF!+#REF!,0)</f>
        <v>#REF!</v>
      </c>
    </row>
    <row r="1013" spans="1:16" s="97" customFormat="1" x14ac:dyDescent="0.25">
      <c r="A1013" s="53" t="s">
        <v>1803</v>
      </c>
      <c r="B1013" s="54" t="s">
        <v>1796</v>
      </c>
      <c r="C1013" s="55" t="s">
        <v>132</v>
      </c>
      <c r="D1013" s="77" t="s">
        <v>28</v>
      </c>
      <c r="E1013" s="55" t="s">
        <v>673</v>
      </c>
      <c r="F1013" s="55" t="s">
        <v>2035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ROUND(Tableau14[[#This Row],[LEN]]*7.27,0)</f>
        <v>298</v>
      </c>
      <c r="L1013" s="118">
        <v>15</v>
      </c>
      <c r="M1013" s="135" t="str">
        <f t="shared" si="7"/>
        <v>none</v>
      </c>
      <c r="N1013" s="118">
        <f>LEN(Tableau14[[#This Row],[LABEL]])</f>
        <v>41</v>
      </c>
      <c r="O1013" s="118">
        <v>15</v>
      </c>
      <c r="P1013" s="118" t="e">
        <f>ROUND(Tableau14[[#This Row],[LEN]]*#REF!+#REF!,0)</f>
        <v>#REF!</v>
      </c>
    </row>
    <row r="1014" spans="1:16" s="97" customFormat="1" x14ac:dyDescent="0.25">
      <c r="A1014" s="49" t="s">
        <v>1797</v>
      </c>
      <c r="B1014" s="50" t="s">
        <v>316</v>
      </c>
      <c r="C1014" s="51" t="s">
        <v>1808</v>
      </c>
      <c r="D1014" s="76" t="s">
        <v>28</v>
      </c>
      <c r="E1014" s="51" t="s">
        <v>676</v>
      </c>
      <c r="F1014" s="51" t="s">
        <v>1177</v>
      </c>
      <c r="G1014" s="76" t="s">
        <v>169</v>
      </c>
      <c r="H1014" s="76" t="s">
        <v>654</v>
      </c>
      <c r="I1014" s="51"/>
      <c r="J1014" s="52" t="s">
        <v>708</v>
      </c>
      <c r="K1014" s="117">
        <f>ROUND(Tableau14[[#This Row],[LEN]]*7.27,0)</f>
        <v>364</v>
      </c>
      <c r="L1014" s="117">
        <v>15</v>
      </c>
      <c r="M1014" s="134" t="str">
        <f t="shared" si="7"/>
        <v>none</v>
      </c>
      <c r="N1014" s="117">
        <f>LEN(Tableau14[[#This Row],[LABEL]])</f>
        <v>50</v>
      </c>
      <c r="O1014" s="117">
        <v>15</v>
      </c>
      <c r="P1014" s="117" t="e">
        <f>ROUND(Tableau14[[#This Row],[LEN]]*#REF!+#REF!,0)</f>
        <v>#REF!</v>
      </c>
    </row>
    <row r="1015" spans="1:16" s="97" customFormat="1" x14ac:dyDescent="0.25">
      <c r="A1015" s="49" t="s">
        <v>1798</v>
      </c>
      <c r="B1015" s="50" t="s">
        <v>316</v>
      </c>
      <c r="C1015" s="51" t="s">
        <v>1810</v>
      </c>
      <c r="D1015" s="76" t="s">
        <v>28</v>
      </c>
      <c r="E1015" s="51" t="s">
        <v>676</v>
      </c>
      <c r="F1015" s="51" t="s">
        <v>1177</v>
      </c>
      <c r="G1015" s="76" t="s">
        <v>169</v>
      </c>
      <c r="H1015" s="76" t="s">
        <v>656</v>
      </c>
      <c r="I1015" s="51"/>
      <c r="J1015" s="52" t="s">
        <v>708</v>
      </c>
      <c r="K1015" s="117">
        <f>ROUND(Tableau14[[#This Row],[LEN]]*7.27,0)</f>
        <v>124</v>
      </c>
      <c r="L1015" s="117">
        <v>15</v>
      </c>
      <c r="M1015" s="134" t="str">
        <f t="shared" si="7"/>
        <v>none</v>
      </c>
      <c r="N1015" s="117">
        <f>LEN(Tableau14[[#This Row],[LABEL]])</f>
        <v>17</v>
      </c>
      <c r="O1015" s="117">
        <v>15</v>
      </c>
      <c r="P1015" s="117" t="e">
        <f>ROUND(Tableau14[[#This Row],[LEN]]*#REF!+#REF!,0)</f>
        <v>#REF!</v>
      </c>
    </row>
    <row r="1016" spans="1:16" s="97" customFormat="1" x14ac:dyDescent="0.25">
      <c r="A1016" s="49" t="s">
        <v>1799</v>
      </c>
      <c r="B1016" s="50" t="s">
        <v>316</v>
      </c>
      <c r="C1016" s="51" t="s">
        <v>1809</v>
      </c>
      <c r="D1016" s="76" t="s">
        <v>28</v>
      </c>
      <c r="E1016" s="51" t="s">
        <v>676</v>
      </c>
      <c r="F1016" s="51" t="s">
        <v>1177</v>
      </c>
      <c r="G1016" s="76" t="s">
        <v>169</v>
      </c>
      <c r="H1016" s="76" t="s">
        <v>656</v>
      </c>
      <c r="I1016" s="51"/>
      <c r="J1016" s="52" t="s">
        <v>708</v>
      </c>
      <c r="K1016" s="117">
        <f>ROUND(Tableau14[[#This Row],[LEN]]*7.27,0)</f>
        <v>189</v>
      </c>
      <c r="L1016" s="117">
        <v>15</v>
      </c>
      <c r="M1016" s="134" t="str">
        <f t="shared" si="7"/>
        <v>none</v>
      </c>
      <c r="N1016" s="117">
        <f>LEN(Tableau14[[#This Row],[LABEL]])</f>
        <v>26</v>
      </c>
      <c r="O1016" s="117">
        <v>15</v>
      </c>
      <c r="P1016" s="117" t="e">
        <f>ROUND(Tableau14[[#This Row],[LEN]]*#REF!+#REF!,0)</f>
        <v>#REF!</v>
      </c>
    </row>
    <row r="1017" spans="1:16" s="97" customFormat="1" x14ac:dyDescent="0.25">
      <c r="A1017" s="49" t="s">
        <v>1800</v>
      </c>
      <c r="B1017" s="50" t="s">
        <v>316</v>
      </c>
      <c r="C1017" s="51" t="s">
        <v>549</v>
      </c>
      <c r="D1017" s="76" t="s">
        <v>28</v>
      </c>
      <c r="E1017" s="51" t="s">
        <v>673</v>
      </c>
      <c r="F1017" s="51" t="s">
        <v>1704</v>
      </c>
      <c r="G1017" s="76" t="s">
        <v>169</v>
      </c>
      <c r="H1017" s="76" t="s">
        <v>655</v>
      </c>
      <c r="I1017" s="51"/>
      <c r="J1017" s="52" t="s">
        <v>708</v>
      </c>
      <c r="K1017" s="117">
        <f>ROUND(Tableau14[[#This Row],[LEN]]*7.27,0)</f>
        <v>145</v>
      </c>
      <c r="L1017" s="117">
        <v>15</v>
      </c>
      <c r="M1017" s="134" t="str">
        <f t="shared" si="7"/>
        <v>none</v>
      </c>
      <c r="N1017" s="117">
        <f>LEN(Tableau14[[#This Row],[LABEL]])</f>
        <v>20</v>
      </c>
      <c r="O1017" s="117">
        <v>15</v>
      </c>
      <c r="P1017" s="117" t="e">
        <f>ROUND(Tableau14[[#This Row],[LEN]]*#REF!+#REF!,0)</f>
        <v>#REF!</v>
      </c>
    </row>
    <row r="1018" spans="1:16" s="97" customFormat="1" x14ac:dyDescent="0.25">
      <c r="A1018" s="53" t="s">
        <v>1804</v>
      </c>
      <c r="B1018" s="54" t="s">
        <v>1800</v>
      </c>
      <c r="C1018" s="55" t="s">
        <v>590</v>
      </c>
      <c r="D1018" s="77" t="s">
        <v>28</v>
      </c>
      <c r="E1018" s="55" t="s">
        <v>673</v>
      </c>
      <c r="F1018" s="55" t="s">
        <v>1704</v>
      </c>
      <c r="G1018" s="77" t="s">
        <v>169</v>
      </c>
      <c r="H1018" s="77" t="s">
        <v>570</v>
      </c>
      <c r="I1018" s="55"/>
      <c r="J1018" s="56" t="s">
        <v>708</v>
      </c>
      <c r="K1018" s="118">
        <f>ROUND(Tableau14[[#This Row],[LEN]]*7.27,0)</f>
        <v>102</v>
      </c>
      <c r="L1018" s="118">
        <v>15</v>
      </c>
      <c r="M1018" s="135" t="str">
        <f t="shared" si="7"/>
        <v>none</v>
      </c>
      <c r="N1018" s="118">
        <f>LEN(Tableau14[[#This Row],[LABEL]])</f>
        <v>14</v>
      </c>
      <c r="O1018" s="118">
        <v>15</v>
      </c>
      <c r="P1018" s="118" t="e">
        <f>ROUND(Tableau14[[#This Row],[LEN]]*#REF!+#REF!,0)</f>
        <v>#REF!</v>
      </c>
    </row>
    <row r="1019" spans="1:16" s="97" customFormat="1" x14ac:dyDescent="0.25">
      <c r="A1019" s="53" t="s">
        <v>1805</v>
      </c>
      <c r="B1019" s="54" t="s">
        <v>1800</v>
      </c>
      <c r="C1019" s="55" t="s">
        <v>591</v>
      </c>
      <c r="D1019" s="77" t="s">
        <v>28</v>
      </c>
      <c r="E1019" s="55" t="s">
        <v>673</v>
      </c>
      <c r="F1019" s="55" t="s">
        <v>1704</v>
      </c>
      <c r="G1019" s="77" t="s">
        <v>169</v>
      </c>
      <c r="H1019" s="77" t="s">
        <v>570</v>
      </c>
      <c r="I1019" s="55"/>
      <c r="J1019" s="56" t="s">
        <v>708</v>
      </c>
      <c r="K1019" s="118">
        <f>ROUND(Tableau14[[#This Row],[LEN]]*7.27,0)</f>
        <v>262</v>
      </c>
      <c r="L1019" s="118">
        <v>15</v>
      </c>
      <c r="M1019" s="135" t="str">
        <f t="shared" si="7"/>
        <v>none</v>
      </c>
      <c r="N1019" s="118">
        <f>LEN(Tableau14[[#This Row],[LABEL]])</f>
        <v>36</v>
      </c>
      <c r="O1019" s="118">
        <v>15</v>
      </c>
      <c r="P1019" s="118" t="e">
        <f>ROUND(Tableau14[[#This Row],[LEN]]*#REF!+#REF!,0)</f>
        <v>#REF!</v>
      </c>
    </row>
    <row r="1020" spans="1:16" s="97" customFormat="1" x14ac:dyDescent="0.25">
      <c r="A1020" s="53" t="s">
        <v>1806</v>
      </c>
      <c r="B1020" s="54" t="s">
        <v>1800</v>
      </c>
      <c r="C1020" s="55" t="s">
        <v>592</v>
      </c>
      <c r="D1020" s="77" t="s">
        <v>28</v>
      </c>
      <c r="E1020" s="55" t="s">
        <v>673</v>
      </c>
      <c r="F1020" s="55" t="s">
        <v>1704</v>
      </c>
      <c r="G1020" s="77" t="s">
        <v>169</v>
      </c>
      <c r="H1020" s="77" t="s">
        <v>570</v>
      </c>
      <c r="I1020" s="55"/>
      <c r="J1020" s="56" t="s">
        <v>708</v>
      </c>
      <c r="K1020" s="118">
        <f>ROUND(Tableau14[[#This Row],[LEN]]*7.27,0)</f>
        <v>189</v>
      </c>
      <c r="L1020" s="118">
        <v>15</v>
      </c>
      <c r="M1020" s="135" t="str">
        <f t="shared" si="7"/>
        <v>none</v>
      </c>
      <c r="N1020" s="118">
        <f>LEN(Tableau14[[#This Row],[LABEL]])</f>
        <v>26</v>
      </c>
      <c r="O1020" s="118">
        <v>15</v>
      </c>
      <c r="P1020" s="118" t="e">
        <f>ROUND(Tableau14[[#This Row],[LEN]]*#REF!+#REF!,0)</f>
        <v>#REF!</v>
      </c>
    </row>
    <row r="1021" spans="1:16" s="97" customFormat="1" x14ac:dyDescent="0.25">
      <c r="A1021" s="53" t="s">
        <v>1807</v>
      </c>
      <c r="B1021" s="54" t="s">
        <v>1800</v>
      </c>
      <c r="C1021" s="55" t="s">
        <v>597</v>
      </c>
      <c r="D1021" s="77" t="s">
        <v>28</v>
      </c>
      <c r="E1021" s="55" t="s">
        <v>673</v>
      </c>
      <c r="F1021" s="55" t="s">
        <v>1704</v>
      </c>
      <c r="G1021" s="77" t="s">
        <v>169</v>
      </c>
      <c r="H1021" s="77" t="s">
        <v>570</v>
      </c>
      <c r="I1021" s="55"/>
      <c r="J1021" s="56" t="s">
        <v>708</v>
      </c>
      <c r="K1021" s="118">
        <f>ROUND(Tableau14[[#This Row],[LEN]]*7.27,0)</f>
        <v>465</v>
      </c>
      <c r="L1021" s="118">
        <v>15</v>
      </c>
      <c r="M1021" s="135" t="str">
        <f t="shared" si="7"/>
        <v>none</v>
      </c>
      <c r="N1021" s="118">
        <f>LEN(Tableau14[[#This Row],[LABEL]])</f>
        <v>64</v>
      </c>
      <c r="O1021" s="118">
        <v>15</v>
      </c>
      <c r="P1021" s="118" t="e">
        <f>ROUND(Tableau14[[#This Row],[LEN]]*#REF!+#REF!,0)</f>
        <v>#REF!</v>
      </c>
    </row>
    <row r="1022" spans="1:16" s="97" customFormat="1" x14ac:dyDescent="0.25">
      <c r="A1022" s="49" t="s">
        <v>1801</v>
      </c>
      <c r="B1022" s="50" t="s">
        <v>316</v>
      </c>
      <c r="C1022" s="51" t="s">
        <v>598</v>
      </c>
      <c r="D1022" s="76" t="s">
        <v>28</v>
      </c>
      <c r="E1022" s="51" t="s">
        <v>673</v>
      </c>
      <c r="F1022" s="51" t="s">
        <v>2035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ROUND(Tableau14[[#This Row],[LEN]]*7.27,0)</f>
        <v>553</v>
      </c>
      <c r="L1022" s="117">
        <v>15</v>
      </c>
      <c r="M1022" s="134" t="str">
        <f t="shared" si="7"/>
        <v>none</v>
      </c>
      <c r="N1022" s="117">
        <f>LEN(Tableau14[[#This Row],[LABEL]])</f>
        <v>76</v>
      </c>
      <c r="O1022" s="117">
        <v>15</v>
      </c>
      <c r="P1022" s="117" t="e">
        <f>ROUND(Tableau14[[#This Row],[LEN]]*#REF!+#REF!,0)</f>
        <v>#REF!</v>
      </c>
    </row>
    <row r="1023" spans="1:16" s="273" customFormat="1" x14ac:dyDescent="0.25">
      <c r="A1023" s="351" t="s">
        <v>317</v>
      </c>
      <c r="B1023" s="352" t="s">
        <v>209</v>
      </c>
      <c r="C1023" s="353" t="s">
        <v>13</v>
      </c>
      <c r="D1023" s="354" t="s">
        <v>28</v>
      </c>
      <c r="E1023" s="353" t="s">
        <v>677</v>
      </c>
      <c r="F1023" s="353" t="s">
        <v>677</v>
      </c>
      <c r="G1023" s="354" t="s">
        <v>169</v>
      </c>
      <c r="H1023" s="354" t="str">
        <f>IFERROR(IF(SEARCH(".00.00.00.00.00",Tableau14[[#This Row],[name]],1)=7,"Division",""),"")</f>
        <v>Division</v>
      </c>
      <c r="I1023" s="353"/>
      <c r="J1023" s="355" t="s">
        <v>723</v>
      </c>
      <c r="K1023" s="356">
        <f>ROUND(Tableau14[[#This Row],[LEN]]*7.27,0)</f>
        <v>80</v>
      </c>
      <c r="L1023" s="356">
        <v>15</v>
      </c>
      <c r="M1023" s="357" t="str">
        <f t="shared" si="7"/>
        <v>new</v>
      </c>
      <c r="N1023" s="356">
        <f>LEN(Tableau14[[#This Row],[LABEL]])</f>
        <v>11</v>
      </c>
      <c r="O1023" s="356">
        <v>15</v>
      </c>
      <c r="P1023" s="356" t="e">
        <f>ROUND(Tableau14[[#This Row],[LEN]]*#REF!+#REF!,0)</f>
        <v>#REF!</v>
      </c>
    </row>
    <row r="1024" spans="1:16" s="97" customFormat="1" x14ac:dyDescent="0.25">
      <c r="A1024" s="49" t="s">
        <v>1811</v>
      </c>
      <c r="B1024" s="50" t="s">
        <v>317</v>
      </c>
      <c r="C1024" s="51" t="s">
        <v>129</v>
      </c>
      <c r="D1024" s="76" t="s">
        <v>28</v>
      </c>
      <c r="E1024" s="51" t="s">
        <v>673</v>
      </c>
      <c r="F1024" s="51" t="s">
        <v>2035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ROUND(Tableau14[[#This Row],[LEN]]*7.27,0)</f>
        <v>87</v>
      </c>
      <c r="L1024" s="117">
        <v>15</v>
      </c>
      <c r="M1024" s="134" t="str">
        <f t="shared" si="7"/>
        <v>none</v>
      </c>
      <c r="N1024" s="117">
        <f>LEN(Tableau14[[#This Row],[LABEL]])</f>
        <v>12</v>
      </c>
      <c r="O1024" s="117">
        <v>15</v>
      </c>
      <c r="P1024" s="117" t="e">
        <f>ROUND(Tableau14[[#This Row],[LEN]]*#REF!+#REF!,0)</f>
        <v>#REF!</v>
      </c>
    </row>
    <row r="1025" spans="1:16" s="97" customFormat="1" x14ac:dyDescent="0.25">
      <c r="A1025" s="53" t="s">
        <v>1818</v>
      </c>
      <c r="B1025" s="54" t="s">
        <v>1811</v>
      </c>
      <c r="C1025" s="55" t="s">
        <v>131</v>
      </c>
      <c r="D1025" s="77" t="s">
        <v>28</v>
      </c>
      <c r="E1025" s="55" t="s">
        <v>673</v>
      </c>
      <c r="F1025" s="55" t="s">
        <v>2035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ROUND(Tableau14[[#This Row],[LEN]]*7.27,0)</f>
        <v>262</v>
      </c>
      <c r="L1025" s="118">
        <v>15</v>
      </c>
      <c r="M1025" s="135" t="str">
        <f t="shared" si="7"/>
        <v>none</v>
      </c>
      <c r="N1025" s="118">
        <f>LEN(Tableau14[[#This Row],[LABEL]])</f>
        <v>36</v>
      </c>
      <c r="O1025" s="118">
        <v>15</v>
      </c>
      <c r="P1025" s="118" t="e">
        <f>ROUND(Tableau14[[#This Row],[LEN]]*#REF!+#REF!,0)</f>
        <v>#REF!</v>
      </c>
    </row>
    <row r="1026" spans="1:16" s="97" customFormat="1" x14ac:dyDescent="0.25">
      <c r="A1026" s="53" t="s">
        <v>1819</v>
      </c>
      <c r="B1026" s="54" t="s">
        <v>1811</v>
      </c>
      <c r="C1026" s="55" t="s">
        <v>132</v>
      </c>
      <c r="D1026" s="77" t="s">
        <v>28</v>
      </c>
      <c r="E1026" s="55" t="s">
        <v>673</v>
      </c>
      <c r="F1026" s="55" t="s">
        <v>2035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ROUND(Tableau14[[#This Row],[LEN]]*7.27,0)</f>
        <v>298</v>
      </c>
      <c r="L1026" s="118">
        <v>15</v>
      </c>
      <c r="M1026" s="135" t="str">
        <f t="shared" si="7"/>
        <v>none</v>
      </c>
      <c r="N1026" s="118">
        <f>LEN(Tableau14[[#This Row],[LABEL]])</f>
        <v>41</v>
      </c>
      <c r="O1026" s="118">
        <v>15</v>
      </c>
      <c r="P1026" s="118" t="e">
        <f>ROUND(Tableau14[[#This Row],[LEN]]*#REF!+#REF!,0)</f>
        <v>#REF!</v>
      </c>
    </row>
    <row r="1027" spans="1:16" s="97" customFormat="1" x14ac:dyDescent="0.25">
      <c r="A1027" s="49" t="s">
        <v>1812</v>
      </c>
      <c r="B1027" s="50" t="s">
        <v>317</v>
      </c>
      <c r="C1027" s="51" t="s">
        <v>1825</v>
      </c>
      <c r="D1027" s="76" t="s">
        <v>28</v>
      </c>
      <c r="E1027" s="51" t="s">
        <v>677</v>
      </c>
      <c r="F1027" s="51" t="s">
        <v>1847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ROUND(Tableau14[[#This Row],[LEN]]*7.27,0)</f>
        <v>320</v>
      </c>
      <c r="L1027" s="117">
        <v>15</v>
      </c>
      <c r="M1027" s="134" t="str">
        <f t="shared" si="7"/>
        <v>none</v>
      </c>
      <c r="N1027" s="117">
        <f>LEN(Tableau14[[#This Row],[LABEL]])</f>
        <v>44</v>
      </c>
      <c r="O1027" s="117">
        <v>15</v>
      </c>
      <c r="P1027" s="117" t="e">
        <f>ROUND(Tableau14[[#This Row],[LEN]]*#REF!+#REF!,0)</f>
        <v>#REF!</v>
      </c>
    </row>
    <row r="1028" spans="1:16" s="97" customFormat="1" x14ac:dyDescent="0.25">
      <c r="A1028" s="49" t="s">
        <v>1813</v>
      </c>
      <c r="B1028" s="50" t="s">
        <v>317</v>
      </c>
      <c r="C1028" s="51" t="s">
        <v>1826</v>
      </c>
      <c r="D1028" s="76" t="s">
        <v>28</v>
      </c>
      <c r="E1028" s="51" t="s">
        <v>677</v>
      </c>
      <c r="F1028" s="51" t="s">
        <v>1177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ROUND(Tableau14[[#This Row],[LEN]]*7.27,0)</f>
        <v>320</v>
      </c>
      <c r="L1028" s="117">
        <v>15</v>
      </c>
      <c r="M1028" s="134" t="str">
        <f t="shared" si="7"/>
        <v>none</v>
      </c>
      <c r="N1028" s="117">
        <f>LEN(Tableau14[[#This Row],[LABEL]])</f>
        <v>44</v>
      </c>
      <c r="O1028" s="117">
        <v>15</v>
      </c>
      <c r="P1028" s="117" t="e">
        <f>ROUND(Tableau14[[#This Row],[LEN]]*#REF!+#REF!,0)</f>
        <v>#REF!</v>
      </c>
    </row>
    <row r="1029" spans="1:16" s="97" customFormat="1" x14ac:dyDescent="0.25">
      <c r="A1029" s="49" t="s">
        <v>1814</v>
      </c>
      <c r="B1029" s="50" t="s">
        <v>317</v>
      </c>
      <c r="C1029" s="51" t="s">
        <v>1827</v>
      </c>
      <c r="D1029" s="76" t="s">
        <v>28</v>
      </c>
      <c r="E1029" s="51" t="s">
        <v>677</v>
      </c>
      <c r="F1029" s="51" t="s">
        <v>1177</v>
      </c>
      <c r="G1029" s="76" t="s">
        <v>169</v>
      </c>
      <c r="H1029" s="76" t="s">
        <v>656</v>
      </c>
      <c r="I1029" s="51"/>
      <c r="J1029" s="52" t="s">
        <v>708</v>
      </c>
      <c r="K1029" s="117">
        <f>ROUND(Tableau14[[#This Row],[LEN]]*7.27,0)</f>
        <v>145</v>
      </c>
      <c r="L1029" s="117">
        <v>15</v>
      </c>
      <c r="M1029" s="134" t="str">
        <f t="shared" si="7"/>
        <v>none</v>
      </c>
      <c r="N1029" s="117">
        <f>LEN(Tableau14[[#This Row],[LABEL]])</f>
        <v>20</v>
      </c>
      <c r="O1029" s="117">
        <v>15</v>
      </c>
      <c r="P1029" s="117" t="e">
        <f>ROUND(Tableau14[[#This Row],[LEN]]*#REF!+#REF!,0)</f>
        <v>#REF!</v>
      </c>
    </row>
    <row r="1030" spans="1:16" s="97" customFormat="1" x14ac:dyDescent="0.25">
      <c r="A1030" s="49" t="s">
        <v>1815</v>
      </c>
      <c r="B1030" s="50" t="s">
        <v>317</v>
      </c>
      <c r="C1030" s="51" t="s">
        <v>549</v>
      </c>
      <c r="D1030" s="76" t="s">
        <v>28</v>
      </c>
      <c r="E1030" s="51" t="s">
        <v>673</v>
      </c>
      <c r="F1030" s="51" t="s">
        <v>1704</v>
      </c>
      <c r="G1030" s="76" t="s">
        <v>169</v>
      </c>
      <c r="H1030" s="76" t="s">
        <v>655</v>
      </c>
      <c r="I1030" s="51"/>
      <c r="J1030" s="52" t="s">
        <v>708</v>
      </c>
      <c r="K1030" s="117">
        <f>ROUND(Tableau14[[#This Row],[LEN]]*7.27,0)</f>
        <v>145</v>
      </c>
      <c r="L1030" s="117">
        <v>15</v>
      </c>
      <c r="M1030" s="134" t="str">
        <f t="shared" si="7"/>
        <v>none</v>
      </c>
      <c r="N1030" s="117">
        <f>LEN(Tableau14[[#This Row],[LABEL]])</f>
        <v>20</v>
      </c>
      <c r="O1030" s="117">
        <v>15</v>
      </c>
      <c r="P1030" s="117" t="e">
        <f>ROUND(Tableau14[[#This Row],[LEN]]*#REF!+#REF!,0)</f>
        <v>#REF!</v>
      </c>
    </row>
    <row r="1031" spans="1:16" s="97" customFormat="1" x14ac:dyDescent="0.25">
      <c r="A1031" s="53" t="s">
        <v>1820</v>
      </c>
      <c r="B1031" s="54" t="s">
        <v>1815</v>
      </c>
      <c r="C1031" s="55" t="s">
        <v>590</v>
      </c>
      <c r="D1031" s="77" t="s">
        <v>28</v>
      </c>
      <c r="E1031" s="55" t="s">
        <v>673</v>
      </c>
      <c r="F1031" s="55" t="s">
        <v>1704</v>
      </c>
      <c r="G1031" s="77" t="s">
        <v>169</v>
      </c>
      <c r="H1031" s="77" t="s">
        <v>570</v>
      </c>
      <c r="I1031" s="55"/>
      <c r="J1031" s="56" t="s">
        <v>708</v>
      </c>
      <c r="K1031" s="118">
        <f>ROUND(Tableau14[[#This Row],[LEN]]*7.27,0)</f>
        <v>102</v>
      </c>
      <c r="L1031" s="118">
        <v>15</v>
      </c>
      <c r="M1031" s="135" t="str">
        <f t="shared" si="7"/>
        <v>none</v>
      </c>
      <c r="N1031" s="118">
        <f>LEN(Tableau14[[#This Row],[LABEL]])</f>
        <v>14</v>
      </c>
      <c r="O1031" s="118">
        <v>15</v>
      </c>
      <c r="P1031" s="118" t="e">
        <f>ROUND(Tableau14[[#This Row],[LEN]]*#REF!+#REF!,0)</f>
        <v>#REF!</v>
      </c>
    </row>
    <row r="1032" spans="1:16" s="97" customFormat="1" x14ac:dyDescent="0.25">
      <c r="A1032" s="53" t="s">
        <v>1821</v>
      </c>
      <c r="B1032" s="54" t="s">
        <v>1815</v>
      </c>
      <c r="C1032" s="55" t="s">
        <v>591</v>
      </c>
      <c r="D1032" s="77" t="s">
        <v>28</v>
      </c>
      <c r="E1032" s="55" t="s">
        <v>673</v>
      </c>
      <c r="F1032" s="55" t="s">
        <v>1704</v>
      </c>
      <c r="G1032" s="77" t="s">
        <v>169</v>
      </c>
      <c r="H1032" s="77" t="s">
        <v>570</v>
      </c>
      <c r="I1032" s="55"/>
      <c r="J1032" s="56" t="s">
        <v>708</v>
      </c>
      <c r="K1032" s="118">
        <f>ROUND(Tableau14[[#This Row],[LEN]]*7.27,0)</f>
        <v>262</v>
      </c>
      <c r="L1032" s="118">
        <v>15</v>
      </c>
      <c r="M1032" s="135" t="str">
        <f t="shared" si="7"/>
        <v>none</v>
      </c>
      <c r="N1032" s="118">
        <f>LEN(Tableau14[[#This Row],[LABEL]])</f>
        <v>36</v>
      </c>
      <c r="O1032" s="118">
        <v>15</v>
      </c>
      <c r="P1032" s="118" t="e">
        <f>ROUND(Tableau14[[#This Row],[LEN]]*#REF!+#REF!,0)</f>
        <v>#REF!</v>
      </c>
    </row>
    <row r="1033" spans="1:16" s="97" customFormat="1" x14ac:dyDescent="0.25">
      <c r="A1033" s="53" t="s">
        <v>1822</v>
      </c>
      <c r="B1033" s="54" t="s">
        <v>1815</v>
      </c>
      <c r="C1033" s="55" t="s">
        <v>592</v>
      </c>
      <c r="D1033" s="77" t="s">
        <v>28</v>
      </c>
      <c r="E1033" s="55" t="s">
        <v>673</v>
      </c>
      <c r="F1033" s="55" t="s">
        <v>1704</v>
      </c>
      <c r="G1033" s="77" t="s">
        <v>169</v>
      </c>
      <c r="H1033" s="77" t="s">
        <v>570</v>
      </c>
      <c r="I1033" s="55"/>
      <c r="J1033" s="56" t="s">
        <v>708</v>
      </c>
      <c r="K1033" s="118">
        <f>ROUND(Tableau14[[#This Row],[LEN]]*7.27,0)</f>
        <v>189</v>
      </c>
      <c r="L1033" s="118">
        <v>15</v>
      </c>
      <c r="M1033" s="135" t="str">
        <f t="shared" si="7"/>
        <v>none</v>
      </c>
      <c r="N1033" s="118">
        <f>LEN(Tableau14[[#This Row],[LABEL]])</f>
        <v>26</v>
      </c>
      <c r="O1033" s="118">
        <v>15</v>
      </c>
      <c r="P1033" s="118" t="e">
        <f>ROUND(Tableau14[[#This Row],[LEN]]*#REF!+#REF!,0)</f>
        <v>#REF!</v>
      </c>
    </row>
    <row r="1034" spans="1:16" s="97" customFormat="1" x14ac:dyDescent="0.25">
      <c r="A1034" s="53" t="s">
        <v>1823</v>
      </c>
      <c r="B1034" s="54" t="s">
        <v>1815</v>
      </c>
      <c r="C1034" s="55" t="s">
        <v>597</v>
      </c>
      <c r="D1034" s="77" t="s">
        <v>28</v>
      </c>
      <c r="E1034" s="55" t="s">
        <v>673</v>
      </c>
      <c r="F1034" s="55" t="s">
        <v>1704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ROUND(Tableau14[[#This Row],[LEN]]*7.27,0)</f>
        <v>465</v>
      </c>
      <c r="L1034" s="118">
        <v>15</v>
      </c>
      <c r="M1034" s="135" t="str">
        <f t="shared" si="7"/>
        <v>none</v>
      </c>
      <c r="N1034" s="118">
        <f>LEN(Tableau14[[#This Row],[LABEL]])</f>
        <v>64</v>
      </c>
      <c r="O1034" s="118">
        <v>15</v>
      </c>
      <c r="P1034" s="118" t="e">
        <f>ROUND(Tableau14[[#This Row],[LEN]]*#REF!+#REF!,0)</f>
        <v>#REF!</v>
      </c>
    </row>
    <row r="1035" spans="1:16" s="97" customFormat="1" x14ac:dyDescent="0.25">
      <c r="A1035" s="49" t="s">
        <v>1816</v>
      </c>
      <c r="B1035" s="50" t="s">
        <v>317</v>
      </c>
      <c r="C1035" s="51" t="s">
        <v>1824</v>
      </c>
      <c r="D1035" s="76" t="s">
        <v>28</v>
      </c>
      <c r="E1035" s="51" t="s">
        <v>677</v>
      </c>
      <c r="F1035" s="51" t="s">
        <v>1842</v>
      </c>
      <c r="G1035" s="76" t="s">
        <v>169</v>
      </c>
      <c r="H1035" s="76" t="s">
        <v>570</v>
      </c>
      <c r="I1035" s="51"/>
      <c r="J1035" s="52" t="s">
        <v>708</v>
      </c>
      <c r="K1035" s="117">
        <f>ROUND(Tableau14[[#This Row],[LEN]]*7.27,0)</f>
        <v>95</v>
      </c>
      <c r="L1035" s="117">
        <v>15</v>
      </c>
      <c r="M1035" s="134" t="str">
        <f t="shared" si="7"/>
        <v>none</v>
      </c>
      <c r="N1035" s="117">
        <f>LEN(Tableau14[[#This Row],[LABEL]])</f>
        <v>13</v>
      </c>
      <c r="O1035" s="117">
        <v>15</v>
      </c>
      <c r="P1035" s="117" t="e">
        <f>ROUND(Tableau14[[#This Row],[LEN]]*#REF!+#REF!,0)</f>
        <v>#REF!</v>
      </c>
    </row>
    <row r="1036" spans="1:16" s="97" customFormat="1" x14ac:dyDescent="0.25">
      <c r="A1036" s="49" t="s">
        <v>1817</v>
      </c>
      <c r="B1036" s="50" t="s">
        <v>317</v>
      </c>
      <c r="C1036" s="51" t="s">
        <v>598</v>
      </c>
      <c r="D1036" s="76" t="s">
        <v>28</v>
      </c>
      <c r="E1036" s="51" t="s">
        <v>673</v>
      </c>
      <c r="F1036" s="51" t="s">
        <v>2035</v>
      </c>
      <c r="G1036" s="76" t="s">
        <v>169</v>
      </c>
      <c r="H1036" s="76" t="s">
        <v>654</v>
      </c>
      <c r="I1036" s="51"/>
      <c r="J1036" s="52" t="s">
        <v>708</v>
      </c>
      <c r="K1036" s="117">
        <f>ROUND(Tableau14[[#This Row],[LEN]]*7.27,0)</f>
        <v>553</v>
      </c>
      <c r="L1036" s="117">
        <v>15</v>
      </c>
      <c r="M1036" s="134" t="str">
        <f t="shared" si="7"/>
        <v>none</v>
      </c>
      <c r="N1036" s="117">
        <f>LEN(Tableau14[[#This Row],[LABEL]])</f>
        <v>76</v>
      </c>
      <c r="O1036" s="117">
        <v>15</v>
      </c>
      <c r="P1036" s="117" t="e">
        <f>ROUND(Tableau14[[#This Row],[LEN]]*#REF!+#REF!,0)</f>
        <v>#REF!</v>
      </c>
    </row>
    <row r="1037" spans="1:16" s="273" customFormat="1" x14ac:dyDescent="0.25">
      <c r="A1037" s="351" t="s">
        <v>318</v>
      </c>
      <c r="B1037" s="352" t="s">
        <v>209</v>
      </c>
      <c r="C1037" s="353" t="s">
        <v>14</v>
      </c>
      <c r="D1037" s="354" t="s">
        <v>28</v>
      </c>
      <c r="E1037" s="353" t="s">
        <v>678</v>
      </c>
      <c r="F1037" s="353" t="s">
        <v>678</v>
      </c>
      <c r="G1037" s="354" t="s">
        <v>169</v>
      </c>
      <c r="H1037" s="354" t="str">
        <f>IFERROR(IF(SEARCH(".00.00.00.00.00",Tableau14[[#This Row],[name]],1)=7,"Division",""),"")</f>
        <v>Division</v>
      </c>
      <c r="I1037" s="353"/>
      <c r="J1037" s="355" t="s">
        <v>724</v>
      </c>
      <c r="K1037" s="356">
        <f>ROUND(Tableau14[[#This Row],[LEN]]*7.27,0)</f>
        <v>240</v>
      </c>
      <c r="L1037" s="356">
        <v>15</v>
      </c>
      <c r="M1037" s="357" t="str">
        <f t="shared" si="7"/>
        <v>new</v>
      </c>
      <c r="N1037" s="356">
        <f>LEN(Tableau14[[#This Row],[LABEL]])</f>
        <v>33</v>
      </c>
      <c r="O1037" s="356">
        <v>15</v>
      </c>
      <c r="P1037" s="356" t="e">
        <f>ROUND(Tableau14[[#This Row],[LEN]]*#REF!+#REF!,0)</f>
        <v>#REF!</v>
      </c>
    </row>
    <row r="1038" spans="1:16" s="97" customFormat="1" x14ac:dyDescent="0.25">
      <c r="A1038" s="49" t="s">
        <v>1828</v>
      </c>
      <c r="B1038" s="50" t="s">
        <v>318</v>
      </c>
      <c r="C1038" s="51" t="s">
        <v>1848</v>
      </c>
      <c r="D1038" s="76" t="s">
        <v>28</v>
      </c>
      <c r="E1038" s="51" t="s">
        <v>678</v>
      </c>
      <c r="F1038" s="51" t="s">
        <v>1177</v>
      </c>
      <c r="G1038" s="76" t="s">
        <v>169</v>
      </c>
      <c r="H1038" s="76" t="s">
        <v>654</v>
      </c>
      <c r="I1038" s="51"/>
      <c r="J1038" s="52" t="s">
        <v>708</v>
      </c>
      <c r="K1038" s="117">
        <f>ROUND(Tableau14[[#This Row],[LEN]]*7.27,0)</f>
        <v>364</v>
      </c>
      <c r="L1038" s="117">
        <v>15</v>
      </c>
      <c r="M1038" s="134" t="str">
        <f t="shared" si="7"/>
        <v>none</v>
      </c>
      <c r="N1038" s="117">
        <f>LEN(Tableau14[[#This Row],[LABEL]])</f>
        <v>50</v>
      </c>
      <c r="O1038" s="117">
        <v>15</v>
      </c>
      <c r="P1038" s="117" t="e">
        <f>ROUND(Tableau14[[#This Row],[LEN]]*#REF!+#REF!,0)</f>
        <v>#REF!</v>
      </c>
    </row>
    <row r="1039" spans="1:16" s="97" customFormat="1" x14ac:dyDescent="0.25">
      <c r="A1039" s="49" t="s">
        <v>1829</v>
      </c>
      <c r="B1039" s="50" t="s">
        <v>318</v>
      </c>
      <c r="C1039" s="51" t="s">
        <v>1849</v>
      </c>
      <c r="D1039" s="76" t="s">
        <v>28</v>
      </c>
      <c r="E1039" s="51" t="s">
        <v>678</v>
      </c>
      <c r="F1039" s="51" t="s">
        <v>1177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ROUND(Tableau14[[#This Row],[LEN]]*7.27,0)</f>
        <v>269</v>
      </c>
      <c r="L1039" s="117">
        <v>15</v>
      </c>
      <c r="M1039" s="134" t="str">
        <f t="shared" si="7"/>
        <v>none</v>
      </c>
      <c r="N1039" s="117">
        <f>LEN(Tableau14[[#This Row],[LABEL]])</f>
        <v>37</v>
      </c>
      <c r="O1039" s="117">
        <v>15</v>
      </c>
      <c r="P1039" s="117" t="e">
        <f>ROUND(Tableau14[[#This Row],[LEN]]*#REF!+#REF!,0)</f>
        <v>#REF!</v>
      </c>
    </row>
    <row r="1040" spans="1:16" s="97" customFormat="1" x14ac:dyDescent="0.25">
      <c r="A1040" s="49" t="s">
        <v>1830</v>
      </c>
      <c r="B1040" s="50" t="s">
        <v>318</v>
      </c>
      <c r="C1040" s="51" t="s">
        <v>1850</v>
      </c>
      <c r="D1040" s="76" t="s">
        <v>28</v>
      </c>
      <c r="E1040" s="51" t="s">
        <v>678</v>
      </c>
      <c r="F1040" s="51" t="s">
        <v>1177</v>
      </c>
      <c r="G1040" s="76" t="s">
        <v>169</v>
      </c>
      <c r="H1040" s="76" t="s">
        <v>654</v>
      </c>
      <c r="I1040" s="51"/>
      <c r="J1040" s="52" t="s">
        <v>708</v>
      </c>
      <c r="K1040" s="117">
        <f>ROUND(Tableau14[[#This Row],[LEN]]*7.27,0)</f>
        <v>305</v>
      </c>
      <c r="L1040" s="117">
        <v>15</v>
      </c>
      <c r="M1040" s="134" t="str">
        <f t="shared" si="7"/>
        <v>none</v>
      </c>
      <c r="N1040" s="117">
        <f>LEN(Tableau14[[#This Row],[LABEL]])</f>
        <v>42</v>
      </c>
      <c r="O1040" s="117">
        <v>15</v>
      </c>
      <c r="P1040" s="117" t="e">
        <f>ROUND(Tableau14[[#This Row],[LEN]]*#REF!+#REF!,0)</f>
        <v>#REF!</v>
      </c>
    </row>
    <row r="1041" spans="1:16" s="97" customFormat="1" x14ac:dyDescent="0.25">
      <c r="A1041" s="49" t="s">
        <v>1831</v>
      </c>
      <c r="B1041" s="50" t="s">
        <v>318</v>
      </c>
      <c r="C1041" s="51" t="s">
        <v>128</v>
      </c>
      <c r="D1041" s="76" t="s">
        <v>28</v>
      </c>
      <c r="E1041" s="51" t="s">
        <v>669</v>
      </c>
      <c r="F1041" s="51" t="s">
        <v>2029</v>
      </c>
      <c r="G1041" s="76" t="s">
        <v>169</v>
      </c>
      <c r="H1041" s="76" t="s">
        <v>570</v>
      </c>
      <c r="I1041" s="51"/>
      <c r="J1041" s="52" t="s">
        <v>708</v>
      </c>
      <c r="K1041" s="117">
        <f>ROUND(Tableau14[[#This Row],[LEN]]*7.27,0)</f>
        <v>182</v>
      </c>
      <c r="L1041" s="117">
        <v>15</v>
      </c>
      <c r="M1041" s="134" t="str">
        <f t="shared" si="7"/>
        <v>none</v>
      </c>
      <c r="N1041" s="117">
        <f>LEN(Tableau14[[#This Row],[LABEL]])</f>
        <v>25</v>
      </c>
      <c r="O1041" s="117">
        <v>15</v>
      </c>
      <c r="P1041" s="117" t="e">
        <f>ROUND(Tableau14[[#This Row],[LEN]]*#REF!+#REF!,0)</f>
        <v>#REF!</v>
      </c>
    </row>
    <row r="1042" spans="1:16" s="97" customFormat="1" x14ac:dyDescent="0.25">
      <c r="A1042" s="49" t="s">
        <v>1832</v>
      </c>
      <c r="B1042" s="50" t="s">
        <v>318</v>
      </c>
      <c r="C1042" s="51" t="s">
        <v>129</v>
      </c>
      <c r="D1042" s="76" t="s">
        <v>28</v>
      </c>
      <c r="E1042" s="51" t="s">
        <v>673</v>
      </c>
      <c r="F1042" s="51" t="s">
        <v>2035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ROUND(Tableau14[[#This Row],[LEN]]*7.27,0)</f>
        <v>87</v>
      </c>
      <c r="L1042" s="117">
        <v>15</v>
      </c>
      <c r="M1042" s="134" t="str">
        <f t="shared" si="7"/>
        <v>none</v>
      </c>
      <c r="N1042" s="117">
        <f>LEN(Tableau14[[#This Row],[LABEL]])</f>
        <v>12</v>
      </c>
      <c r="O1042" s="117">
        <v>15</v>
      </c>
      <c r="P1042" s="117" t="e">
        <f>ROUND(Tableau14[[#This Row],[LEN]]*#REF!+#REF!,0)</f>
        <v>#REF!</v>
      </c>
    </row>
    <row r="1043" spans="1:16" s="97" customFormat="1" x14ac:dyDescent="0.25">
      <c r="A1043" s="53" t="s">
        <v>1851</v>
      </c>
      <c r="B1043" s="54" t="s">
        <v>1832</v>
      </c>
      <c r="C1043" s="55" t="s">
        <v>131</v>
      </c>
      <c r="D1043" s="77" t="s">
        <v>28</v>
      </c>
      <c r="E1043" s="55" t="s">
        <v>673</v>
      </c>
      <c r="F1043" s="55" t="s">
        <v>2035</v>
      </c>
      <c r="G1043" s="77" t="s">
        <v>169</v>
      </c>
      <c r="H1043" s="77" t="s">
        <v>570</v>
      </c>
      <c r="I1043" s="55"/>
      <c r="J1043" s="56" t="s">
        <v>708</v>
      </c>
      <c r="K1043" s="118">
        <f>ROUND(Tableau14[[#This Row],[LEN]]*7.27,0)</f>
        <v>262</v>
      </c>
      <c r="L1043" s="118">
        <v>15</v>
      </c>
      <c r="M1043" s="135" t="str">
        <f t="shared" si="7"/>
        <v>none</v>
      </c>
      <c r="N1043" s="118">
        <f>LEN(Tableau14[[#This Row],[LABEL]])</f>
        <v>36</v>
      </c>
      <c r="O1043" s="118">
        <v>15</v>
      </c>
      <c r="P1043" s="118" t="e">
        <f>ROUND(Tableau14[[#This Row],[LEN]]*#REF!+#REF!,0)</f>
        <v>#REF!</v>
      </c>
    </row>
    <row r="1044" spans="1:16" s="97" customFormat="1" x14ac:dyDescent="0.25">
      <c r="A1044" s="53" t="s">
        <v>1852</v>
      </c>
      <c r="B1044" s="54" t="s">
        <v>1832</v>
      </c>
      <c r="C1044" s="55" t="s">
        <v>132</v>
      </c>
      <c r="D1044" s="77" t="s">
        <v>28</v>
      </c>
      <c r="E1044" s="55" t="s">
        <v>673</v>
      </c>
      <c r="F1044" s="55" t="s">
        <v>2035</v>
      </c>
      <c r="G1044" s="77" t="s">
        <v>169</v>
      </c>
      <c r="H1044" s="77" t="s">
        <v>570</v>
      </c>
      <c r="I1044" s="55"/>
      <c r="J1044" s="56" t="s">
        <v>708</v>
      </c>
      <c r="K1044" s="118">
        <f>ROUND(Tableau14[[#This Row],[LEN]]*7.27,0)</f>
        <v>298</v>
      </c>
      <c r="L1044" s="118">
        <v>15</v>
      </c>
      <c r="M1044" s="135" t="str">
        <f t="shared" si="7"/>
        <v>none</v>
      </c>
      <c r="N1044" s="118">
        <f>LEN(Tableau14[[#This Row],[LABEL]])</f>
        <v>41</v>
      </c>
      <c r="O1044" s="118">
        <v>15</v>
      </c>
      <c r="P1044" s="118" t="e">
        <f>ROUND(Tableau14[[#This Row],[LEN]]*#REF!+#REF!,0)</f>
        <v>#REF!</v>
      </c>
    </row>
    <row r="1045" spans="1:16" s="97" customFormat="1" x14ac:dyDescent="0.25">
      <c r="A1045" s="49" t="s">
        <v>1833</v>
      </c>
      <c r="B1045" s="50" t="s">
        <v>318</v>
      </c>
      <c r="C1045" s="51" t="s">
        <v>1825</v>
      </c>
      <c r="D1045" s="76" t="s">
        <v>28</v>
      </c>
      <c r="E1045" s="51" t="s">
        <v>677</v>
      </c>
      <c r="F1045" s="51" t="s">
        <v>1847</v>
      </c>
      <c r="G1045" s="76" t="s">
        <v>169</v>
      </c>
      <c r="H1045" s="76" t="s">
        <v>656</v>
      </c>
      <c r="I1045" s="51"/>
      <c r="J1045" s="52" t="s">
        <v>708</v>
      </c>
      <c r="K1045" s="117">
        <f>ROUND(Tableau14[[#This Row],[LEN]]*7.27,0)</f>
        <v>320</v>
      </c>
      <c r="L1045" s="117">
        <v>15</v>
      </c>
      <c r="M1045" s="134" t="str">
        <f t="shared" si="7"/>
        <v>none</v>
      </c>
      <c r="N1045" s="117">
        <f>LEN(Tableau14[[#This Row],[LABEL]])</f>
        <v>44</v>
      </c>
      <c r="O1045" s="117">
        <v>15</v>
      </c>
      <c r="P1045" s="117" t="e">
        <f>ROUND(Tableau14[[#This Row],[LEN]]*#REF!+#REF!,0)</f>
        <v>#REF!</v>
      </c>
    </row>
    <row r="1046" spans="1:16" s="97" customFormat="1" x14ac:dyDescent="0.25">
      <c r="A1046" s="49" t="s">
        <v>1834</v>
      </c>
      <c r="B1046" s="50" t="s">
        <v>318</v>
      </c>
      <c r="C1046" s="51" t="s">
        <v>1853</v>
      </c>
      <c r="D1046" s="76" t="s">
        <v>28</v>
      </c>
      <c r="E1046" s="51" t="s">
        <v>678</v>
      </c>
      <c r="F1046" s="51" t="s">
        <v>1177</v>
      </c>
      <c r="G1046" s="76" t="s">
        <v>169</v>
      </c>
      <c r="H1046" s="76" t="s">
        <v>656</v>
      </c>
      <c r="I1046" s="51"/>
      <c r="J1046" s="52" t="s">
        <v>708</v>
      </c>
      <c r="K1046" s="117">
        <f>ROUND(Tableau14[[#This Row],[LEN]]*7.27,0)</f>
        <v>400</v>
      </c>
      <c r="L1046" s="117">
        <v>15</v>
      </c>
      <c r="M1046" s="134" t="str">
        <f t="shared" si="7"/>
        <v>none</v>
      </c>
      <c r="N1046" s="117">
        <f>LEN(Tableau14[[#This Row],[LABEL]])</f>
        <v>55</v>
      </c>
      <c r="O1046" s="117">
        <v>15</v>
      </c>
      <c r="P1046" s="117" t="e">
        <f>ROUND(Tableau14[[#This Row],[LEN]]*#REF!+#REF!,0)</f>
        <v>#REF!</v>
      </c>
    </row>
    <row r="1047" spans="1:16" s="97" customFormat="1" x14ac:dyDescent="0.25">
      <c r="A1047" s="49" t="s">
        <v>1835</v>
      </c>
      <c r="B1047" s="50" t="s">
        <v>318</v>
      </c>
      <c r="C1047" s="51" t="s">
        <v>1854</v>
      </c>
      <c r="D1047" s="76" t="s">
        <v>28</v>
      </c>
      <c r="E1047" s="51" t="s">
        <v>678</v>
      </c>
      <c r="F1047" s="51" t="s">
        <v>1177</v>
      </c>
      <c r="G1047" s="76" t="s">
        <v>169</v>
      </c>
      <c r="H1047" s="76" t="s">
        <v>654</v>
      </c>
      <c r="I1047" s="51"/>
      <c r="J1047" s="52" t="s">
        <v>708</v>
      </c>
      <c r="K1047" s="117">
        <f>ROUND(Tableau14[[#This Row],[LEN]]*7.27,0)</f>
        <v>225</v>
      </c>
      <c r="L1047" s="117">
        <v>15</v>
      </c>
      <c r="M1047" s="134" t="str">
        <f t="shared" si="7"/>
        <v>none</v>
      </c>
      <c r="N1047" s="117">
        <f>LEN(Tableau14[[#This Row],[LABEL]])</f>
        <v>31</v>
      </c>
      <c r="O1047" s="117">
        <v>15</v>
      </c>
      <c r="P1047" s="117" t="e">
        <f>ROUND(Tableau14[[#This Row],[LEN]]*#REF!+#REF!,0)</f>
        <v>#REF!</v>
      </c>
    </row>
    <row r="1048" spans="1:16" s="97" customFormat="1" x14ac:dyDescent="0.25">
      <c r="A1048" s="49" t="s">
        <v>1836</v>
      </c>
      <c r="B1048" s="50" t="s">
        <v>318</v>
      </c>
      <c r="C1048" s="51" t="s">
        <v>1855</v>
      </c>
      <c r="D1048" s="76" t="s">
        <v>28</v>
      </c>
      <c r="E1048" s="51" t="s">
        <v>678</v>
      </c>
      <c r="F1048" s="51" t="s">
        <v>1177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ROUND(Tableau14[[#This Row],[LEN]]*7.27,0)</f>
        <v>320</v>
      </c>
      <c r="L1048" s="117">
        <v>15</v>
      </c>
      <c r="M1048" s="134" t="str">
        <f t="shared" si="7"/>
        <v>none</v>
      </c>
      <c r="N1048" s="117">
        <f>LEN(Tableau14[[#This Row],[LABEL]])</f>
        <v>44</v>
      </c>
      <c r="O1048" s="117">
        <v>15</v>
      </c>
      <c r="P1048" s="117" t="e">
        <f>ROUND(Tableau14[[#This Row],[LEN]]*#REF!+#REF!,0)</f>
        <v>#REF!</v>
      </c>
    </row>
    <row r="1049" spans="1:16" s="97" customFormat="1" x14ac:dyDescent="0.25">
      <c r="A1049" s="49" t="s">
        <v>1837</v>
      </c>
      <c r="B1049" s="50" t="s">
        <v>318</v>
      </c>
      <c r="C1049" s="51" t="s">
        <v>901</v>
      </c>
      <c r="D1049" s="76" t="s">
        <v>28</v>
      </c>
      <c r="E1049" s="51" t="s">
        <v>678</v>
      </c>
      <c r="F1049" s="51" t="s">
        <v>1177</v>
      </c>
      <c r="G1049" s="76" t="s">
        <v>169</v>
      </c>
      <c r="H1049" s="76" t="s">
        <v>654</v>
      </c>
      <c r="I1049" s="51"/>
      <c r="J1049" s="52" t="s">
        <v>708</v>
      </c>
      <c r="K1049" s="117">
        <f>ROUND(Tableau14[[#This Row],[LEN]]*7.27,0)</f>
        <v>116</v>
      </c>
      <c r="L1049" s="117">
        <v>15</v>
      </c>
      <c r="M1049" s="134" t="str">
        <f t="shared" si="7"/>
        <v>none</v>
      </c>
      <c r="N1049" s="117">
        <f>LEN(Tableau14[[#This Row],[LABEL]])</f>
        <v>16</v>
      </c>
      <c r="O1049" s="117">
        <v>15</v>
      </c>
      <c r="P1049" s="117" t="e">
        <f>ROUND(Tableau14[[#This Row],[LEN]]*#REF!+#REF!,0)</f>
        <v>#REF!</v>
      </c>
    </row>
    <row r="1050" spans="1:16" s="97" customFormat="1" x14ac:dyDescent="0.25">
      <c r="A1050" s="49" t="s">
        <v>1838</v>
      </c>
      <c r="B1050" s="50" t="s">
        <v>318</v>
      </c>
      <c r="C1050" s="51" t="s">
        <v>1856</v>
      </c>
      <c r="D1050" s="76" t="s">
        <v>28</v>
      </c>
      <c r="E1050" s="51" t="s">
        <v>678</v>
      </c>
      <c r="F1050" s="51" t="s">
        <v>1177</v>
      </c>
      <c r="G1050" s="76" t="s">
        <v>169</v>
      </c>
      <c r="H1050" s="76" t="s">
        <v>654</v>
      </c>
      <c r="I1050" s="51"/>
      <c r="J1050" s="52" t="s">
        <v>708</v>
      </c>
      <c r="K1050" s="117">
        <f>ROUND(Tableau14[[#This Row],[LEN]]*7.27,0)</f>
        <v>131</v>
      </c>
      <c r="L1050" s="117">
        <v>15</v>
      </c>
      <c r="M1050" s="134" t="str">
        <f t="shared" si="7"/>
        <v>none</v>
      </c>
      <c r="N1050" s="117">
        <f>LEN(Tableau14[[#This Row],[LABEL]])</f>
        <v>18</v>
      </c>
      <c r="O1050" s="117">
        <v>15</v>
      </c>
      <c r="P1050" s="117" t="e">
        <f>ROUND(Tableau14[[#This Row],[LEN]]*#REF!+#REF!,0)</f>
        <v>#REF!</v>
      </c>
    </row>
    <row r="1051" spans="1:16" s="97" customFormat="1" x14ac:dyDescent="0.25">
      <c r="A1051" s="49" t="s">
        <v>1839</v>
      </c>
      <c r="B1051" s="50" t="s">
        <v>318</v>
      </c>
      <c r="C1051" s="51" t="s">
        <v>549</v>
      </c>
      <c r="D1051" s="76" t="s">
        <v>28</v>
      </c>
      <c r="E1051" s="51" t="s">
        <v>673</v>
      </c>
      <c r="F1051" s="51" t="s">
        <v>1704</v>
      </c>
      <c r="G1051" s="76" t="s">
        <v>169</v>
      </c>
      <c r="H1051" s="76" t="s">
        <v>655</v>
      </c>
      <c r="I1051" s="51"/>
      <c r="J1051" s="52" t="s">
        <v>708</v>
      </c>
      <c r="K1051" s="117">
        <f>ROUND(Tableau14[[#This Row],[LEN]]*7.27,0)</f>
        <v>145</v>
      </c>
      <c r="L1051" s="117">
        <v>15</v>
      </c>
      <c r="M1051" s="134" t="str">
        <f t="shared" si="7"/>
        <v>none</v>
      </c>
      <c r="N1051" s="117">
        <f>LEN(Tableau14[[#This Row],[LABEL]])</f>
        <v>20</v>
      </c>
      <c r="O1051" s="117">
        <v>15</v>
      </c>
      <c r="P1051" s="117" t="e">
        <f>ROUND(Tableau14[[#This Row],[LEN]]*#REF!+#REF!,0)</f>
        <v>#REF!</v>
      </c>
    </row>
    <row r="1052" spans="1:16" s="97" customFormat="1" x14ac:dyDescent="0.25">
      <c r="A1052" s="53" t="s">
        <v>1843</v>
      </c>
      <c r="B1052" s="54" t="s">
        <v>1839</v>
      </c>
      <c r="C1052" s="55" t="s">
        <v>590</v>
      </c>
      <c r="D1052" s="77" t="s">
        <v>28</v>
      </c>
      <c r="E1052" s="55" t="s">
        <v>673</v>
      </c>
      <c r="F1052" s="55" t="s">
        <v>1704</v>
      </c>
      <c r="G1052" s="77" t="s">
        <v>169</v>
      </c>
      <c r="H1052" s="77" t="s">
        <v>570</v>
      </c>
      <c r="I1052" s="55"/>
      <c r="J1052" s="56" t="s">
        <v>708</v>
      </c>
      <c r="K1052" s="118">
        <f>ROUND(Tableau14[[#This Row],[LEN]]*7.27,0)</f>
        <v>102</v>
      </c>
      <c r="L1052" s="118">
        <v>15</v>
      </c>
      <c r="M1052" s="135" t="str">
        <f t="shared" si="7"/>
        <v>none</v>
      </c>
      <c r="N1052" s="118">
        <f>LEN(Tableau14[[#This Row],[LABEL]])</f>
        <v>14</v>
      </c>
      <c r="O1052" s="118">
        <v>15</v>
      </c>
      <c r="P1052" s="118" t="e">
        <f>ROUND(Tableau14[[#This Row],[LEN]]*#REF!+#REF!,0)</f>
        <v>#REF!</v>
      </c>
    </row>
    <row r="1053" spans="1:16" s="97" customFormat="1" x14ac:dyDescent="0.25">
      <c r="A1053" s="53" t="s">
        <v>1844</v>
      </c>
      <c r="B1053" s="54" t="s">
        <v>1839</v>
      </c>
      <c r="C1053" s="55" t="s">
        <v>591</v>
      </c>
      <c r="D1053" s="77" t="s">
        <v>28</v>
      </c>
      <c r="E1053" s="55" t="s">
        <v>673</v>
      </c>
      <c r="F1053" s="55" t="s">
        <v>1704</v>
      </c>
      <c r="G1053" s="77" t="s">
        <v>169</v>
      </c>
      <c r="H1053" s="77" t="s">
        <v>570</v>
      </c>
      <c r="I1053" s="55"/>
      <c r="J1053" s="56" t="s">
        <v>708</v>
      </c>
      <c r="K1053" s="118">
        <f>ROUND(Tableau14[[#This Row],[LEN]]*7.27,0)</f>
        <v>262</v>
      </c>
      <c r="L1053" s="118">
        <v>15</v>
      </c>
      <c r="M1053" s="135" t="str">
        <f t="shared" si="7"/>
        <v>none</v>
      </c>
      <c r="N1053" s="118">
        <f>LEN(Tableau14[[#This Row],[LABEL]])</f>
        <v>36</v>
      </c>
      <c r="O1053" s="118">
        <v>15</v>
      </c>
      <c r="P1053" s="118" t="e">
        <f>ROUND(Tableau14[[#This Row],[LEN]]*#REF!+#REF!,0)</f>
        <v>#REF!</v>
      </c>
    </row>
    <row r="1054" spans="1:16" s="97" customFormat="1" x14ac:dyDescent="0.25">
      <c r="A1054" s="53" t="s">
        <v>1845</v>
      </c>
      <c r="B1054" s="54" t="s">
        <v>1839</v>
      </c>
      <c r="C1054" s="55" t="s">
        <v>592</v>
      </c>
      <c r="D1054" s="77" t="s">
        <v>28</v>
      </c>
      <c r="E1054" s="55" t="s">
        <v>673</v>
      </c>
      <c r="F1054" s="55" t="s">
        <v>1704</v>
      </c>
      <c r="G1054" s="77" t="s">
        <v>169</v>
      </c>
      <c r="H1054" s="77" t="s">
        <v>570</v>
      </c>
      <c r="I1054" s="55"/>
      <c r="J1054" s="56" t="s">
        <v>708</v>
      </c>
      <c r="K1054" s="118">
        <f>ROUND(Tableau14[[#This Row],[LEN]]*7.27,0)</f>
        <v>189</v>
      </c>
      <c r="L1054" s="118">
        <v>15</v>
      </c>
      <c r="M1054" s="135" t="str">
        <f t="shared" si="7"/>
        <v>none</v>
      </c>
      <c r="N1054" s="118">
        <f>LEN(Tableau14[[#This Row],[LABEL]])</f>
        <v>26</v>
      </c>
      <c r="O1054" s="118">
        <v>15</v>
      </c>
      <c r="P1054" s="118" t="e">
        <f>ROUND(Tableau14[[#This Row],[LEN]]*#REF!+#REF!,0)</f>
        <v>#REF!</v>
      </c>
    </row>
    <row r="1055" spans="1:16" s="97" customFormat="1" x14ac:dyDescent="0.25">
      <c r="A1055" s="53" t="s">
        <v>1846</v>
      </c>
      <c r="B1055" s="54" t="s">
        <v>1839</v>
      </c>
      <c r="C1055" s="55" t="s">
        <v>597</v>
      </c>
      <c r="D1055" s="77" t="s">
        <v>28</v>
      </c>
      <c r="E1055" s="55" t="s">
        <v>673</v>
      </c>
      <c r="F1055" s="55" t="s">
        <v>1704</v>
      </c>
      <c r="G1055" s="77" t="s">
        <v>169</v>
      </c>
      <c r="H1055" s="77" t="s">
        <v>570</v>
      </c>
      <c r="I1055" s="55"/>
      <c r="J1055" s="56" t="s">
        <v>708</v>
      </c>
      <c r="K1055" s="118">
        <f>ROUND(Tableau14[[#This Row],[LEN]]*7.27,0)</f>
        <v>465</v>
      </c>
      <c r="L1055" s="118">
        <v>15</v>
      </c>
      <c r="M1055" s="135" t="str">
        <f t="shared" si="7"/>
        <v>none</v>
      </c>
      <c r="N1055" s="118">
        <f>LEN(Tableau14[[#This Row],[LABEL]])</f>
        <v>64</v>
      </c>
      <c r="O1055" s="118">
        <v>15</v>
      </c>
      <c r="P1055" s="118" t="e">
        <f>ROUND(Tableau14[[#This Row],[LEN]]*#REF!+#REF!,0)</f>
        <v>#REF!</v>
      </c>
    </row>
    <row r="1056" spans="1:16" s="97" customFormat="1" x14ac:dyDescent="0.25">
      <c r="A1056" s="49" t="s">
        <v>1840</v>
      </c>
      <c r="B1056" s="50" t="s">
        <v>318</v>
      </c>
      <c r="C1056" s="51" t="s">
        <v>1824</v>
      </c>
      <c r="D1056" s="76" t="s">
        <v>28</v>
      </c>
      <c r="E1056" s="51" t="s">
        <v>677</v>
      </c>
      <c r="F1056" s="51" t="s">
        <v>1842</v>
      </c>
      <c r="G1056" s="76" t="s">
        <v>169</v>
      </c>
      <c r="H1056" s="76" t="s">
        <v>570</v>
      </c>
      <c r="I1056" s="51"/>
      <c r="J1056" s="52" t="s">
        <v>708</v>
      </c>
      <c r="K1056" s="117">
        <f>ROUND(Tableau14[[#This Row],[LEN]]*7.27,0)</f>
        <v>95</v>
      </c>
      <c r="L1056" s="117">
        <v>15</v>
      </c>
      <c r="M1056" s="134" t="str">
        <f t="shared" si="7"/>
        <v>none</v>
      </c>
      <c r="N1056" s="117">
        <f>LEN(Tableau14[[#This Row],[LABEL]])</f>
        <v>13</v>
      </c>
      <c r="O1056" s="117">
        <v>15</v>
      </c>
      <c r="P1056" s="117" t="e">
        <f>ROUND(Tableau14[[#This Row],[LEN]]*#REF!+#REF!,0)</f>
        <v>#REF!</v>
      </c>
    </row>
    <row r="1057" spans="1:16" s="97" customFormat="1" x14ac:dyDescent="0.25">
      <c r="A1057" s="49" t="s">
        <v>1841</v>
      </c>
      <c r="B1057" s="50" t="s">
        <v>318</v>
      </c>
      <c r="C1057" s="51" t="s">
        <v>598</v>
      </c>
      <c r="D1057" s="76" t="s">
        <v>28</v>
      </c>
      <c r="E1057" s="51" t="s">
        <v>673</v>
      </c>
      <c r="F1057" s="51" t="s">
        <v>2035</v>
      </c>
      <c r="G1057" s="76" t="s">
        <v>169</v>
      </c>
      <c r="H1057" s="76" t="s">
        <v>654</v>
      </c>
      <c r="I1057" s="51"/>
      <c r="J1057" s="52" t="s">
        <v>708</v>
      </c>
      <c r="K1057" s="117">
        <f>ROUND(Tableau14[[#This Row],[LEN]]*7.27,0)</f>
        <v>553</v>
      </c>
      <c r="L1057" s="117">
        <v>15</v>
      </c>
      <c r="M1057" s="134" t="str">
        <f t="shared" si="7"/>
        <v>none</v>
      </c>
      <c r="N1057" s="117">
        <f>LEN(Tableau14[[#This Row],[LABEL]])</f>
        <v>76</v>
      </c>
      <c r="O1057" s="117">
        <v>15</v>
      </c>
      <c r="P1057" s="117" t="e">
        <f>ROUND(Tableau14[[#This Row],[LEN]]*#REF!+#REF!,0)</f>
        <v>#REF!</v>
      </c>
    </row>
    <row r="1058" spans="1:16" s="273" customFormat="1" x14ac:dyDescent="0.25">
      <c r="A1058" s="358" t="s">
        <v>319</v>
      </c>
      <c r="B1058" s="359" t="s">
        <v>209</v>
      </c>
      <c r="C1058" s="360" t="s">
        <v>15</v>
      </c>
      <c r="D1058" s="361" t="s">
        <v>28</v>
      </c>
      <c r="E1058" s="360" t="s">
        <v>679</v>
      </c>
      <c r="F1058" s="360" t="s">
        <v>679</v>
      </c>
      <c r="G1058" s="361" t="s">
        <v>169</v>
      </c>
      <c r="H1058" s="361" t="str">
        <f>IFERROR(IF(SEARCH(".00.00.00.00.00",Tableau14[[#This Row],[name]],1)=7,"Division",""),"")</f>
        <v>Division</v>
      </c>
      <c r="I1058" s="360"/>
      <c r="J1058" s="362" t="s">
        <v>725</v>
      </c>
      <c r="K1058" s="363">
        <f>ROUND(Tableau14[[#This Row],[LEN]]*7.27,0)</f>
        <v>174</v>
      </c>
      <c r="L1058" s="363">
        <v>15</v>
      </c>
      <c r="M1058" s="364" t="str">
        <f t="shared" si="7"/>
        <v>new</v>
      </c>
      <c r="N1058" s="363">
        <f>LEN(Tableau14[[#This Row],[LABEL]])</f>
        <v>24</v>
      </c>
      <c r="O1058" s="363">
        <v>15</v>
      </c>
      <c r="P1058" s="363" t="e">
        <f>ROUND(Tableau14[[#This Row],[LEN]]*#REF!+#REF!,0)</f>
        <v>#REF!</v>
      </c>
    </row>
    <row r="1059" spans="1:16" s="97" customFormat="1" x14ac:dyDescent="0.25">
      <c r="A1059" s="49" t="s">
        <v>1857</v>
      </c>
      <c r="B1059" s="50" t="s">
        <v>319</v>
      </c>
      <c r="C1059" s="51" t="s">
        <v>1862</v>
      </c>
      <c r="D1059" s="76" t="s">
        <v>1863</v>
      </c>
      <c r="E1059" s="51" t="s">
        <v>679</v>
      </c>
      <c r="F1059" s="51" t="s">
        <v>1177</v>
      </c>
      <c r="G1059" s="76" t="s">
        <v>169</v>
      </c>
      <c r="H1059" s="76" t="s">
        <v>654</v>
      </c>
      <c r="I1059" s="51"/>
      <c r="J1059" s="52" t="s">
        <v>708</v>
      </c>
      <c r="K1059" s="117">
        <f>ROUND(Tableau14[[#This Row],[LEN]]*7.27,0)</f>
        <v>124</v>
      </c>
      <c r="L1059" s="117">
        <v>15</v>
      </c>
      <c r="M1059" s="134" t="str">
        <f t="shared" si="7"/>
        <v>none</v>
      </c>
      <c r="N1059" s="117">
        <f>LEN(Tableau14[[#This Row],[LABEL]])</f>
        <v>17</v>
      </c>
      <c r="O1059" s="117">
        <v>15</v>
      </c>
      <c r="P1059" s="117" t="e">
        <f>ROUND(Tableau14[[#This Row],[LEN]]*#REF!+#REF!,0)</f>
        <v>#REF!</v>
      </c>
    </row>
    <row r="1060" spans="1:16" s="97" customFormat="1" x14ac:dyDescent="0.25">
      <c r="A1060" s="49" t="s">
        <v>1858</v>
      </c>
      <c r="B1060" s="50" t="s">
        <v>319</v>
      </c>
      <c r="C1060" s="51" t="s">
        <v>1772</v>
      </c>
      <c r="D1060" s="76" t="s">
        <v>28</v>
      </c>
      <c r="E1060" s="51" t="s">
        <v>675</v>
      </c>
      <c r="F1060" s="51" t="s">
        <v>679</v>
      </c>
      <c r="G1060" s="76" t="s">
        <v>169</v>
      </c>
      <c r="H1060" s="76" t="s">
        <v>655</v>
      </c>
      <c r="I1060" s="51"/>
      <c r="J1060" s="52" t="s">
        <v>708</v>
      </c>
      <c r="K1060" s="117">
        <f>ROUND(Tableau14[[#This Row],[LEN]]*7.27,0)</f>
        <v>182</v>
      </c>
      <c r="L1060" s="117">
        <v>15</v>
      </c>
      <c r="M1060" s="134" t="str">
        <f t="shared" si="7"/>
        <v>none</v>
      </c>
      <c r="N1060" s="117">
        <f>LEN(Tableau14[[#This Row],[LABEL]])</f>
        <v>25</v>
      </c>
      <c r="O1060" s="117">
        <v>15</v>
      </c>
      <c r="P1060" s="117" t="e">
        <f>ROUND(Tableau14[[#This Row],[LEN]]*#REF!+#REF!,0)</f>
        <v>#REF!</v>
      </c>
    </row>
    <row r="1061" spans="1:16" s="97" customFormat="1" x14ac:dyDescent="0.25">
      <c r="A1061" s="53" t="s">
        <v>1864</v>
      </c>
      <c r="B1061" s="54" t="s">
        <v>1858</v>
      </c>
      <c r="C1061" s="55" t="s">
        <v>1467</v>
      </c>
      <c r="D1061" s="77" t="s">
        <v>28</v>
      </c>
      <c r="E1061" s="55" t="s">
        <v>675</v>
      </c>
      <c r="F1061" s="55" t="s">
        <v>679</v>
      </c>
      <c r="G1061" s="77" t="s">
        <v>169</v>
      </c>
      <c r="H1061" s="77" t="s">
        <v>654</v>
      </c>
      <c r="I1061" s="55"/>
      <c r="J1061" s="56" t="s">
        <v>708</v>
      </c>
      <c r="K1061" s="118">
        <f>ROUND(Tableau14[[#This Row],[LEN]]*7.27,0)</f>
        <v>102</v>
      </c>
      <c r="L1061" s="118">
        <v>15</v>
      </c>
      <c r="M1061" s="135" t="str">
        <f t="shared" si="7"/>
        <v>none</v>
      </c>
      <c r="N1061" s="118">
        <f>LEN(Tableau14[[#This Row],[LABEL]])</f>
        <v>14</v>
      </c>
      <c r="O1061" s="118">
        <v>15</v>
      </c>
      <c r="P1061" s="118" t="e">
        <f>ROUND(Tableau14[[#This Row],[LEN]]*#REF!+#REF!,0)</f>
        <v>#REF!</v>
      </c>
    </row>
    <row r="1062" spans="1:16" s="97" customFormat="1" x14ac:dyDescent="0.25">
      <c r="A1062" s="53" t="s">
        <v>1865</v>
      </c>
      <c r="B1062" s="54" t="s">
        <v>1858</v>
      </c>
      <c r="C1062" s="55" t="s">
        <v>1769</v>
      </c>
      <c r="D1062" s="77" t="s">
        <v>28</v>
      </c>
      <c r="E1062" s="55" t="s">
        <v>675</v>
      </c>
      <c r="F1062" s="55" t="s">
        <v>679</v>
      </c>
      <c r="G1062" s="77" t="s">
        <v>169</v>
      </c>
      <c r="H1062" s="77" t="s">
        <v>654</v>
      </c>
      <c r="I1062" s="55"/>
      <c r="J1062" s="56" t="s">
        <v>708</v>
      </c>
      <c r="K1062" s="118">
        <f>ROUND(Tableau14[[#This Row],[LEN]]*7.27,0)</f>
        <v>211</v>
      </c>
      <c r="L1062" s="118">
        <v>15</v>
      </c>
      <c r="M1062" s="135" t="str">
        <f t="shared" si="7"/>
        <v>none</v>
      </c>
      <c r="N1062" s="118">
        <f>LEN(Tableau14[[#This Row],[LABEL]])</f>
        <v>29</v>
      </c>
      <c r="O1062" s="118">
        <v>15</v>
      </c>
      <c r="P1062" s="118" t="e">
        <f>ROUND(Tableau14[[#This Row],[LEN]]*#REF!+#REF!,0)</f>
        <v>#REF!</v>
      </c>
    </row>
    <row r="1063" spans="1:16" s="97" customFormat="1" x14ac:dyDescent="0.25">
      <c r="A1063" s="53" t="s">
        <v>1866</v>
      </c>
      <c r="B1063" s="54" t="s">
        <v>1858</v>
      </c>
      <c r="C1063" s="55" t="s">
        <v>1468</v>
      </c>
      <c r="D1063" s="77" t="s">
        <v>28</v>
      </c>
      <c r="E1063" s="55" t="s">
        <v>675</v>
      </c>
      <c r="F1063" s="55" t="s">
        <v>679</v>
      </c>
      <c r="G1063" s="77" t="s">
        <v>169</v>
      </c>
      <c r="H1063" s="77" t="s">
        <v>654</v>
      </c>
      <c r="I1063" s="55"/>
      <c r="J1063" s="56" t="s">
        <v>708</v>
      </c>
      <c r="K1063" s="118">
        <f>ROUND(Tableau14[[#This Row],[LEN]]*7.27,0)</f>
        <v>167</v>
      </c>
      <c r="L1063" s="118">
        <v>15</v>
      </c>
      <c r="M1063" s="135" t="str">
        <f t="shared" si="7"/>
        <v>none</v>
      </c>
      <c r="N1063" s="118">
        <f>LEN(Tableau14[[#This Row],[LABEL]])</f>
        <v>23</v>
      </c>
      <c r="O1063" s="118">
        <v>15</v>
      </c>
      <c r="P1063" s="118" t="e">
        <f>ROUND(Tableau14[[#This Row],[LEN]]*#REF!+#REF!,0)</f>
        <v>#REF!</v>
      </c>
    </row>
    <row r="1064" spans="1:16" s="97" customFormat="1" x14ac:dyDescent="0.25">
      <c r="A1064" s="49" t="s">
        <v>1859</v>
      </c>
      <c r="B1064" s="50" t="s">
        <v>319</v>
      </c>
      <c r="C1064" s="51" t="s">
        <v>1824</v>
      </c>
      <c r="D1064" s="76" t="s">
        <v>28</v>
      </c>
      <c r="E1064" s="51" t="s">
        <v>677</v>
      </c>
      <c r="F1064" s="51" t="s">
        <v>1842</v>
      </c>
      <c r="G1064" s="76" t="s">
        <v>169</v>
      </c>
      <c r="H1064" s="76" t="s">
        <v>570</v>
      </c>
      <c r="I1064" s="51"/>
      <c r="J1064" s="52" t="s">
        <v>708</v>
      </c>
      <c r="K1064" s="117">
        <f>ROUND(Tableau14[[#This Row],[LEN]]*7.27,0)</f>
        <v>95</v>
      </c>
      <c r="L1064" s="117">
        <v>15</v>
      </c>
      <c r="M1064" s="134" t="str">
        <f t="shared" si="7"/>
        <v>none</v>
      </c>
      <c r="N1064" s="117">
        <f>LEN(Tableau14[[#This Row],[LABEL]])</f>
        <v>13</v>
      </c>
      <c r="O1064" s="117">
        <v>15</v>
      </c>
      <c r="P1064" s="117" t="e">
        <f>ROUND(Tableau14[[#This Row],[LEN]]*#REF!+#REF!,0)</f>
        <v>#REF!</v>
      </c>
    </row>
    <row r="1065" spans="1:16" s="97" customFormat="1" x14ac:dyDescent="0.25">
      <c r="A1065" s="49" t="s">
        <v>1860</v>
      </c>
      <c r="B1065" s="50" t="s">
        <v>319</v>
      </c>
      <c r="C1065" s="51" t="s">
        <v>1867</v>
      </c>
      <c r="D1065" s="76" t="s">
        <v>28</v>
      </c>
      <c r="E1065" s="51" t="s">
        <v>679</v>
      </c>
      <c r="F1065" s="51" t="s">
        <v>1177</v>
      </c>
      <c r="G1065" s="76" t="s">
        <v>169</v>
      </c>
      <c r="H1065" s="76" t="s">
        <v>570</v>
      </c>
      <c r="I1065" s="51"/>
      <c r="J1065" s="52" t="s">
        <v>708</v>
      </c>
      <c r="K1065" s="117">
        <f>ROUND(Tableau14[[#This Row],[LEN]]*7.27,0)</f>
        <v>313</v>
      </c>
      <c r="L1065" s="117">
        <v>15</v>
      </c>
      <c r="M1065" s="134" t="str">
        <f t="shared" si="7"/>
        <v>none</v>
      </c>
      <c r="N1065" s="117">
        <f>LEN(Tableau14[[#This Row],[LABEL]])</f>
        <v>43</v>
      </c>
      <c r="O1065" s="117">
        <v>15</v>
      </c>
      <c r="P1065" s="117" t="e">
        <f>ROUND(Tableau14[[#This Row],[LEN]]*#REF!+#REF!,0)</f>
        <v>#REF!</v>
      </c>
    </row>
    <row r="1066" spans="1:16" s="97" customFormat="1" x14ac:dyDescent="0.25">
      <c r="A1066" s="49" t="s">
        <v>1861</v>
      </c>
      <c r="B1066" s="50" t="s">
        <v>319</v>
      </c>
      <c r="C1066" s="51" t="s">
        <v>1868</v>
      </c>
      <c r="D1066" s="76" t="s">
        <v>28</v>
      </c>
      <c r="E1066" s="51" t="s">
        <v>679</v>
      </c>
      <c r="F1066" s="51" t="s">
        <v>1177</v>
      </c>
      <c r="G1066" s="76" t="s">
        <v>169</v>
      </c>
      <c r="H1066" s="76" t="s">
        <v>654</v>
      </c>
      <c r="I1066" s="51"/>
      <c r="J1066" s="52" t="s">
        <v>708</v>
      </c>
      <c r="K1066" s="117">
        <f>ROUND(Tableau14[[#This Row],[LEN]]*7.27,0)</f>
        <v>189</v>
      </c>
      <c r="L1066" s="117">
        <v>15</v>
      </c>
      <c r="M1066" s="134" t="str">
        <f t="shared" si="7"/>
        <v>none</v>
      </c>
      <c r="N1066" s="117">
        <f>LEN(Tableau14[[#This Row],[LABEL]])</f>
        <v>26</v>
      </c>
      <c r="O1066" s="117">
        <v>15</v>
      </c>
      <c r="P1066" s="117" t="e">
        <f>ROUND(Tableau14[[#This Row],[LEN]]*#REF!+#REF!,0)</f>
        <v>#REF!</v>
      </c>
    </row>
    <row r="1067" spans="1:16" s="273" customFormat="1" x14ac:dyDescent="0.25">
      <c r="A1067" s="358" t="s">
        <v>2020</v>
      </c>
      <c r="B1067" s="359" t="s">
        <v>209</v>
      </c>
      <c r="C1067" s="360" t="s">
        <v>1950</v>
      </c>
      <c r="D1067" s="361" t="s">
        <v>28</v>
      </c>
      <c r="E1067" s="360" t="s">
        <v>1951</v>
      </c>
      <c r="F1067" s="360" t="s">
        <v>1951</v>
      </c>
      <c r="G1067" s="361" t="s">
        <v>169</v>
      </c>
      <c r="H1067" s="361" t="s">
        <v>56</v>
      </c>
      <c r="I1067" s="360"/>
      <c r="J1067" s="362" t="s">
        <v>708</v>
      </c>
      <c r="K1067" s="363">
        <f>ROUND(Tableau14[[#This Row],[LEN]]*7.27,0)</f>
        <v>51</v>
      </c>
      <c r="L1067" s="363">
        <v>15</v>
      </c>
      <c r="M1067" s="364" t="str">
        <f t="shared" si="7"/>
        <v>none</v>
      </c>
      <c r="N1067" s="363">
        <f>LEN(Tableau14[[#This Row],[LABEL]])</f>
        <v>7</v>
      </c>
      <c r="O1067" s="363">
        <v>15</v>
      </c>
      <c r="P1067" s="363" t="e">
        <f>ROUND(Tableau14[[#This Row],[LEN]]*#REF!+#REF!,0)</f>
        <v>#REF!</v>
      </c>
    </row>
    <row r="1068" spans="1:16" s="97" customFormat="1" x14ac:dyDescent="0.25">
      <c r="A1068" s="49" t="s">
        <v>2021</v>
      </c>
      <c r="B1068" s="50" t="s">
        <v>2020</v>
      </c>
      <c r="C1068" s="51" t="s">
        <v>2032</v>
      </c>
      <c r="D1068" s="76" t="s">
        <v>28</v>
      </c>
      <c r="E1068" s="51" t="s">
        <v>1951</v>
      </c>
      <c r="F1068" s="51" t="s">
        <v>1177</v>
      </c>
      <c r="G1068" s="76" t="s">
        <v>169</v>
      </c>
      <c r="H1068" s="76" t="s">
        <v>654</v>
      </c>
      <c r="I1068" s="51"/>
      <c r="J1068" s="52" t="s">
        <v>708</v>
      </c>
      <c r="K1068" s="117">
        <f>ROUND(Tableau14[[#This Row],[LEN]]*7.27,0)</f>
        <v>800</v>
      </c>
      <c r="L1068" s="117">
        <v>15</v>
      </c>
      <c r="M1068" s="134" t="str">
        <f t="shared" si="7"/>
        <v>none</v>
      </c>
      <c r="N1068" s="117">
        <f>LEN(Tableau14[[#This Row],[LABEL]])</f>
        <v>110</v>
      </c>
      <c r="O1068" s="117">
        <v>15</v>
      </c>
      <c r="P1068" s="117" t="e">
        <f>ROUND(Tableau14[[#This Row],[LEN]]*#REF!+#REF!,0)</f>
        <v>#REF!</v>
      </c>
    </row>
    <row r="1069" spans="1:16" s="97" customFormat="1" x14ac:dyDescent="0.25">
      <c r="A1069" s="49" t="s">
        <v>2022</v>
      </c>
      <c r="B1069" s="50" t="s">
        <v>2020</v>
      </c>
      <c r="C1069" s="51" t="s">
        <v>2033</v>
      </c>
      <c r="D1069" s="76" t="s">
        <v>28</v>
      </c>
      <c r="E1069" s="51" t="s">
        <v>1951</v>
      </c>
      <c r="F1069" s="51" t="s">
        <v>1177</v>
      </c>
      <c r="G1069" s="76" t="s">
        <v>169</v>
      </c>
      <c r="H1069" s="76" t="s">
        <v>654</v>
      </c>
      <c r="I1069" s="51"/>
      <c r="J1069" s="52" t="s">
        <v>708</v>
      </c>
      <c r="K1069" s="117">
        <f>ROUND(Tableau14[[#This Row],[LEN]]*7.27,0)</f>
        <v>320</v>
      </c>
      <c r="L1069" s="117">
        <v>15</v>
      </c>
      <c r="M1069" s="134" t="str">
        <f t="shared" si="7"/>
        <v>none</v>
      </c>
      <c r="N1069" s="117">
        <f>LEN(Tableau14[[#This Row],[LABEL]])</f>
        <v>44</v>
      </c>
      <c r="O1069" s="117">
        <v>15</v>
      </c>
      <c r="P1069" s="117" t="e">
        <f>ROUND(Tableau14[[#This Row],[LEN]]*#REF!+#REF!,0)</f>
        <v>#REF!</v>
      </c>
    </row>
    <row r="1070" spans="1:16" s="97" customFormat="1" x14ac:dyDescent="0.25">
      <c r="A1070" s="49" t="s">
        <v>2023</v>
      </c>
      <c r="B1070" s="50" t="s">
        <v>2020</v>
      </c>
      <c r="C1070" s="51" t="s">
        <v>128</v>
      </c>
      <c r="D1070" s="76" t="s">
        <v>28</v>
      </c>
      <c r="E1070" s="51" t="s">
        <v>669</v>
      </c>
      <c r="F1070" s="51" t="s">
        <v>2029</v>
      </c>
      <c r="G1070" s="76" t="s">
        <v>169</v>
      </c>
      <c r="H1070" s="76" t="s">
        <v>570</v>
      </c>
      <c r="I1070" s="51"/>
      <c r="J1070" s="52" t="s">
        <v>708</v>
      </c>
      <c r="K1070" s="117">
        <f>ROUND(Tableau14[[#This Row],[LEN]]*7.27,0)</f>
        <v>182</v>
      </c>
      <c r="L1070" s="117">
        <v>15</v>
      </c>
      <c r="M1070" s="134" t="str">
        <f t="shared" si="7"/>
        <v>none</v>
      </c>
      <c r="N1070" s="117">
        <f>LEN(Tableau14[[#This Row],[LABEL]])</f>
        <v>25</v>
      </c>
      <c r="O1070" s="117">
        <v>15</v>
      </c>
      <c r="P1070" s="117" t="e">
        <f>ROUND(Tableau14[[#This Row],[LEN]]*#REF!+#REF!,0)</f>
        <v>#REF!</v>
      </c>
    </row>
    <row r="1071" spans="1:16" s="97" customFormat="1" x14ac:dyDescent="0.25">
      <c r="A1071" s="49" t="s">
        <v>2024</v>
      </c>
      <c r="B1071" s="50" t="s">
        <v>2020</v>
      </c>
      <c r="C1071" s="51" t="s">
        <v>129</v>
      </c>
      <c r="D1071" s="76" t="s">
        <v>28</v>
      </c>
      <c r="E1071" s="51" t="s">
        <v>673</v>
      </c>
      <c r="F1071" s="51" t="s">
        <v>2035</v>
      </c>
      <c r="G1071" s="76" t="s">
        <v>169</v>
      </c>
      <c r="H1071" s="76" t="s">
        <v>655</v>
      </c>
      <c r="I1071" s="51"/>
      <c r="J1071" s="52" t="s">
        <v>708</v>
      </c>
      <c r="K1071" s="117">
        <f>ROUND(Tableau14[[#This Row],[LEN]]*7.27,0)</f>
        <v>87</v>
      </c>
      <c r="L1071" s="117">
        <v>15</v>
      </c>
      <c r="M1071" s="134" t="str">
        <f t="shared" si="7"/>
        <v>none</v>
      </c>
      <c r="N1071" s="117">
        <f>LEN(Tableau14[[#This Row],[LABEL]])</f>
        <v>12</v>
      </c>
      <c r="O1071" s="117">
        <v>15</v>
      </c>
      <c r="P1071" s="117" t="e">
        <f>ROUND(Tableau14[[#This Row],[LEN]]*#REF!+#REF!,0)</f>
        <v>#REF!</v>
      </c>
    </row>
    <row r="1072" spans="1:16" s="97" customFormat="1" x14ac:dyDescent="0.25">
      <c r="A1072" s="53" t="s">
        <v>2034</v>
      </c>
      <c r="B1072" s="54" t="s">
        <v>2024</v>
      </c>
      <c r="C1072" s="55" t="s">
        <v>131</v>
      </c>
      <c r="D1072" s="77" t="s">
        <v>28</v>
      </c>
      <c r="E1072" s="55" t="s">
        <v>673</v>
      </c>
      <c r="F1072" s="55" t="s">
        <v>2035</v>
      </c>
      <c r="G1072" s="77" t="s">
        <v>169</v>
      </c>
      <c r="H1072" s="77" t="s">
        <v>570</v>
      </c>
      <c r="I1072" s="55"/>
      <c r="J1072" s="56" t="s">
        <v>708</v>
      </c>
      <c r="K1072" s="118">
        <f>ROUND(Tableau14[[#This Row],[LEN]]*7.27,0)</f>
        <v>262</v>
      </c>
      <c r="L1072" s="118">
        <v>15</v>
      </c>
      <c r="M1072" s="135" t="str">
        <f t="shared" si="7"/>
        <v>none</v>
      </c>
      <c r="N1072" s="118">
        <f>LEN(Tableau14[[#This Row],[LABEL]])</f>
        <v>36</v>
      </c>
      <c r="O1072" s="118">
        <v>15</v>
      </c>
      <c r="P1072" s="118" t="e">
        <f>ROUND(Tableau14[[#This Row],[LEN]]*#REF!+#REF!,0)</f>
        <v>#REF!</v>
      </c>
    </row>
    <row r="1073" spans="1:16" s="97" customFormat="1" x14ac:dyDescent="0.25">
      <c r="A1073" s="53" t="s">
        <v>2034</v>
      </c>
      <c r="B1073" s="54" t="s">
        <v>2024</v>
      </c>
      <c r="C1073" s="55" t="s">
        <v>132</v>
      </c>
      <c r="D1073" s="77" t="s">
        <v>28</v>
      </c>
      <c r="E1073" s="55" t="s">
        <v>673</v>
      </c>
      <c r="F1073" s="55" t="s">
        <v>2035</v>
      </c>
      <c r="G1073" s="77" t="s">
        <v>169</v>
      </c>
      <c r="H1073" s="77" t="s">
        <v>570</v>
      </c>
      <c r="I1073" s="55"/>
      <c r="J1073" s="56" t="s">
        <v>708</v>
      </c>
      <c r="K1073" s="118">
        <f>ROUND(Tableau14[[#This Row],[LEN]]*7.27,0)</f>
        <v>298</v>
      </c>
      <c r="L1073" s="118">
        <v>15</v>
      </c>
      <c r="M1073" s="135" t="str">
        <f t="shared" si="7"/>
        <v>none</v>
      </c>
      <c r="N1073" s="118">
        <f>LEN(Tableau14[[#This Row],[LABEL]])</f>
        <v>41</v>
      </c>
      <c r="O1073" s="118">
        <v>15</v>
      </c>
      <c r="P1073" s="118" t="e">
        <f>ROUND(Tableau14[[#This Row],[LEN]]*#REF!+#REF!,0)</f>
        <v>#REF!</v>
      </c>
    </row>
    <row r="1074" spans="1:16" s="97" customFormat="1" x14ac:dyDescent="0.25">
      <c r="A1074" s="49" t="s">
        <v>2025</v>
      </c>
      <c r="B1074" s="50" t="s">
        <v>2020</v>
      </c>
      <c r="C1074" s="51" t="s">
        <v>2040</v>
      </c>
      <c r="D1074" s="76" t="s">
        <v>28</v>
      </c>
      <c r="E1074" s="51" t="s">
        <v>1951</v>
      </c>
      <c r="F1074" s="51" t="s">
        <v>661</v>
      </c>
      <c r="G1074" s="76" t="s">
        <v>169</v>
      </c>
      <c r="H1074" s="76" t="s">
        <v>655</v>
      </c>
      <c r="I1074" s="51"/>
      <c r="J1074" s="52" t="s">
        <v>708</v>
      </c>
      <c r="K1074" s="117">
        <f>ROUND(Tableau14[[#This Row],[LEN]]*7.27,0)</f>
        <v>204</v>
      </c>
      <c r="L1074" s="117">
        <v>10</v>
      </c>
      <c r="M1074" s="134" t="str">
        <f t="shared" si="7"/>
        <v>none</v>
      </c>
      <c r="N1074" s="117">
        <f>LEN(Tableau14[[#This Row],[LABEL]])</f>
        <v>28</v>
      </c>
      <c r="O1074" s="117">
        <v>10</v>
      </c>
      <c r="P1074" s="117" t="e">
        <f>ROUND(Tableau14[[#This Row],[LEN]]*#REF!+#REF!,0)</f>
        <v>#REF!</v>
      </c>
    </row>
    <row r="1075" spans="1:16" s="97" customFormat="1" x14ac:dyDescent="0.25">
      <c r="A1075" s="53" t="s">
        <v>2041</v>
      </c>
      <c r="B1075" s="54" t="s">
        <v>2025</v>
      </c>
      <c r="C1075" s="55" t="s">
        <v>2036</v>
      </c>
      <c r="D1075" s="77" t="s">
        <v>28</v>
      </c>
      <c r="E1075" s="55" t="s">
        <v>1951</v>
      </c>
      <c r="F1075" s="55" t="s">
        <v>661</v>
      </c>
      <c r="G1075" s="77" t="s">
        <v>169</v>
      </c>
      <c r="H1075" s="77" t="s">
        <v>654</v>
      </c>
      <c r="I1075" s="55"/>
      <c r="J1075" s="56" t="s">
        <v>708</v>
      </c>
      <c r="K1075" s="118">
        <f>ROUND(Tableau14[[#This Row],[LEN]]*7.27,0)</f>
        <v>196</v>
      </c>
      <c r="L1075" s="118">
        <v>10</v>
      </c>
      <c r="M1075" s="135" t="str">
        <f t="shared" si="7"/>
        <v>none</v>
      </c>
      <c r="N1075" s="118">
        <f>LEN(Tableau14[[#This Row],[LABEL]])</f>
        <v>27</v>
      </c>
      <c r="O1075" s="118">
        <v>10</v>
      </c>
      <c r="P1075" s="118" t="e">
        <f>ROUND(Tableau14[[#This Row],[LEN]]*#REF!+#REF!,0)</f>
        <v>#REF!</v>
      </c>
    </row>
    <row r="1076" spans="1:16" s="97" customFormat="1" x14ac:dyDescent="0.25">
      <c r="A1076" s="53" t="s">
        <v>2042</v>
      </c>
      <c r="B1076" s="54" t="s">
        <v>2025</v>
      </c>
      <c r="C1076" s="55" t="s">
        <v>2037</v>
      </c>
      <c r="D1076" s="77" t="s">
        <v>28</v>
      </c>
      <c r="E1076" s="55" t="s">
        <v>1951</v>
      </c>
      <c r="F1076" s="55" t="s">
        <v>661</v>
      </c>
      <c r="G1076" s="77" t="s">
        <v>169</v>
      </c>
      <c r="H1076" s="77" t="s">
        <v>654</v>
      </c>
      <c r="I1076" s="55"/>
      <c r="J1076" s="56" t="s">
        <v>708</v>
      </c>
      <c r="K1076" s="118">
        <f>ROUND(Tableau14[[#This Row],[LEN]]*7.27,0)</f>
        <v>334</v>
      </c>
      <c r="L1076" s="118">
        <v>11</v>
      </c>
      <c r="M1076" s="135" t="str">
        <f t="shared" si="7"/>
        <v>none</v>
      </c>
      <c r="N1076" s="118">
        <f>LEN(Tableau14[[#This Row],[LABEL]])</f>
        <v>46</v>
      </c>
      <c r="O1076" s="118">
        <v>11</v>
      </c>
      <c r="P1076" s="118" t="e">
        <f>ROUND(Tableau14[[#This Row],[LEN]]*#REF!+#REF!,0)</f>
        <v>#REF!</v>
      </c>
    </row>
    <row r="1077" spans="1:16" s="97" customFormat="1" x14ac:dyDescent="0.25">
      <c r="A1077" s="53" t="s">
        <v>2043</v>
      </c>
      <c r="B1077" s="54" t="s">
        <v>2025</v>
      </c>
      <c r="C1077" s="55" t="s">
        <v>2038</v>
      </c>
      <c r="D1077" s="77" t="s">
        <v>28</v>
      </c>
      <c r="E1077" s="55" t="s">
        <v>1951</v>
      </c>
      <c r="F1077" s="55" t="s">
        <v>661</v>
      </c>
      <c r="G1077" s="77" t="s">
        <v>169</v>
      </c>
      <c r="H1077" s="77" t="s">
        <v>654</v>
      </c>
      <c r="I1077" s="55"/>
      <c r="J1077" s="56" t="s">
        <v>708</v>
      </c>
      <c r="K1077" s="118">
        <f>ROUND(Tableau14[[#This Row],[LEN]]*7.27,0)</f>
        <v>95</v>
      </c>
      <c r="L1077" s="118">
        <v>12</v>
      </c>
      <c r="M1077" s="135" t="str">
        <f t="shared" si="7"/>
        <v>none</v>
      </c>
      <c r="N1077" s="118">
        <f>LEN(Tableau14[[#This Row],[LABEL]])</f>
        <v>13</v>
      </c>
      <c r="O1077" s="118">
        <v>12</v>
      </c>
      <c r="P1077" s="118" t="e">
        <f>ROUND(Tableau14[[#This Row],[LEN]]*#REF!+#REF!,0)</f>
        <v>#REF!</v>
      </c>
    </row>
    <row r="1078" spans="1:16" s="97" customFormat="1" x14ac:dyDescent="0.25">
      <c r="A1078" s="53" t="s">
        <v>2044</v>
      </c>
      <c r="B1078" s="54" t="s">
        <v>2025</v>
      </c>
      <c r="C1078" s="55" t="s">
        <v>2039</v>
      </c>
      <c r="D1078" s="77" t="s">
        <v>28</v>
      </c>
      <c r="E1078" s="55" t="s">
        <v>1951</v>
      </c>
      <c r="F1078" s="55" t="s">
        <v>661</v>
      </c>
      <c r="G1078" s="77" t="s">
        <v>169</v>
      </c>
      <c r="H1078" s="77" t="s">
        <v>654</v>
      </c>
      <c r="I1078" s="55"/>
      <c r="J1078" s="56" t="s">
        <v>708</v>
      </c>
      <c r="K1078" s="118">
        <f>ROUND(Tableau14[[#This Row],[LEN]]*7.27,0)</f>
        <v>589</v>
      </c>
      <c r="L1078" s="118">
        <v>13</v>
      </c>
      <c r="M1078" s="135" t="str">
        <f t="shared" si="7"/>
        <v>none</v>
      </c>
      <c r="N1078" s="118">
        <f>LEN(Tableau14[[#This Row],[LABEL]])</f>
        <v>81</v>
      </c>
      <c r="O1078" s="118">
        <v>13</v>
      </c>
      <c r="P1078" s="118" t="e">
        <f>ROUND(Tableau14[[#This Row],[LEN]]*#REF!+#REF!,0)</f>
        <v>#REF!</v>
      </c>
    </row>
    <row r="1079" spans="1:16" s="97" customFormat="1" x14ac:dyDescent="0.25">
      <c r="A1079" s="53" t="s">
        <v>2045</v>
      </c>
      <c r="B1079" s="54" t="s">
        <v>2025</v>
      </c>
      <c r="C1079" s="55" t="s">
        <v>2030</v>
      </c>
      <c r="D1079" s="77" t="s">
        <v>28</v>
      </c>
      <c r="E1079" s="55" t="s">
        <v>1951</v>
      </c>
      <c r="F1079" s="55" t="s">
        <v>661</v>
      </c>
      <c r="G1079" s="77" t="s">
        <v>169</v>
      </c>
      <c r="H1079" s="77" t="s">
        <v>654</v>
      </c>
      <c r="I1079" s="55"/>
      <c r="J1079" s="56" t="s">
        <v>708</v>
      </c>
      <c r="K1079" s="118">
        <f>ROUND(Tableau14[[#This Row],[LEN]]*7.27,0)</f>
        <v>211</v>
      </c>
      <c r="L1079" s="118">
        <v>14</v>
      </c>
      <c r="M1079" s="135" t="str">
        <f t="shared" si="7"/>
        <v>none</v>
      </c>
      <c r="N1079" s="118">
        <f>LEN(Tableau14[[#This Row],[LABEL]])</f>
        <v>29</v>
      </c>
      <c r="O1079" s="118">
        <v>14</v>
      </c>
      <c r="P1079" s="118" t="e">
        <f>ROUND(Tableau14[[#This Row],[LEN]]*#REF!+#REF!,0)</f>
        <v>#REF!</v>
      </c>
    </row>
    <row r="1080" spans="1:16" s="97" customFormat="1" x14ac:dyDescent="0.25">
      <c r="A1080" s="53" t="s">
        <v>2046</v>
      </c>
      <c r="B1080" s="54" t="s">
        <v>2025</v>
      </c>
      <c r="C1080" s="55" t="s">
        <v>2031</v>
      </c>
      <c r="D1080" s="77" t="s">
        <v>28</v>
      </c>
      <c r="E1080" s="55" t="s">
        <v>1951</v>
      </c>
      <c r="F1080" s="55" t="s">
        <v>661</v>
      </c>
      <c r="G1080" s="77" t="s">
        <v>169</v>
      </c>
      <c r="H1080" s="77" t="s">
        <v>654</v>
      </c>
      <c r="I1080" s="55"/>
      <c r="J1080" s="56" t="s">
        <v>708</v>
      </c>
      <c r="K1080" s="118">
        <f>ROUND(Tableau14[[#This Row],[LEN]]*7.27,0)</f>
        <v>313</v>
      </c>
      <c r="L1080" s="118">
        <v>15</v>
      </c>
      <c r="M1080" s="135" t="str">
        <f t="shared" si="7"/>
        <v>none</v>
      </c>
      <c r="N1080" s="118">
        <f>LEN(Tableau14[[#This Row],[LABEL]])</f>
        <v>43</v>
      </c>
      <c r="O1080" s="118">
        <v>15</v>
      </c>
      <c r="P1080" s="118" t="e">
        <f>ROUND(Tableau14[[#This Row],[LEN]]*#REF!+#REF!,0)</f>
        <v>#REF!</v>
      </c>
    </row>
    <row r="1081" spans="1:16" s="97" customFormat="1" x14ac:dyDescent="0.25">
      <c r="A1081" s="49" t="s">
        <v>2026</v>
      </c>
      <c r="B1081" s="50" t="s">
        <v>2020</v>
      </c>
      <c r="C1081" s="51" t="s">
        <v>598</v>
      </c>
      <c r="D1081" s="76" t="s">
        <v>28</v>
      </c>
      <c r="E1081" s="51" t="s">
        <v>673</v>
      </c>
      <c r="F1081" s="51" t="s">
        <v>2035</v>
      </c>
      <c r="G1081" s="76" t="s">
        <v>169</v>
      </c>
      <c r="H1081" s="76" t="s">
        <v>654</v>
      </c>
      <c r="I1081" s="51"/>
      <c r="J1081" s="52" t="s">
        <v>708</v>
      </c>
      <c r="K1081" s="117">
        <f>ROUND(Tableau14[[#This Row],[LEN]]*7.27,0)</f>
        <v>553</v>
      </c>
      <c r="L1081" s="117">
        <v>15</v>
      </c>
      <c r="M1081" s="134" t="str">
        <f t="shared" si="7"/>
        <v>none</v>
      </c>
      <c r="N1081" s="117">
        <f>LEN(Tableau14[[#This Row],[LABEL]])</f>
        <v>76</v>
      </c>
      <c r="O1081" s="117">
        <v>15</v>
      </c>
      <c r="P1081" s="117" t="e">
        <f>ROUND(Tableau14[[#This Row],[LEN]]*#REF!+#REF!,0)</f>
        <v>#REF!</v>
      </c>
    </row>
    <row r="1082" spans="1:16" s="97" customFormat="1" x14ac:dyDescent="0.25">
      <c r="A1082" s="49" t="s">
        <v>2027</v>
      </c>
      <c r="B1082" s="50" t="s">
        <v>2020</v>
      </c>
      <c r="C1082" s="51" t="s">
        <v>2047</v>
      </c>
      <c r="D1082" s="76" t="s">
        <v>28</v>
      </c>
      <c r="E1082" s="51" t="s">
        <v>1951</v>
      </c>
      <c r="F1082" s="51" t="s">
        <v>1177</v>
      </c>
      <c r="G1082" s="76" t="s">
        <v>169</v>
      </c>
      <c r="H1082" s="76" t="s">
        <v>654</v>
      </c>
      <c r="I1082" s="51"/>
      <c r="J1082" s="52" t="s">
        <v>708</v>
      </c>
      <c r="K1082" s="117">
        <f>ROUND(Tableau14[[#This Row],[LEN]]*7.27,0)</f>
        <v>233</v>
      </c>
      <c r="L1082" s="117">
        <v>15</v>
      </c>
      <c r="M1082" s="134" t="str">
        <f t="shared" si="7"/>
        <v>none</v>
      </c>
      <c r="N1082" s="117">
        <f>LEN(Tableau14[[#This Row],[LABEL]])</f>
        <v>32</v>
      </c>
      <c r="O1082" s="117">
        <v>15</v>
      </c>
      <c r="P1082" s="117" t="e">
        <f>ROUND(Tableau14[[#This Row],[LEN]]*#REF!+#REF!,0)</f>
        <v>#REF!</v>
      </c>
    </row>
    <row r="1083" spans="1:16" s="97" customFormat="1" ht="15.75" thickBot="1" x14ac:dyDescent="0.3">
      <c r="A1083" s="49" t="s">
        <v>2028</v>
      </c>
      <c r="B1083" s="50" t="s">
        <v>2020</v>
      </c>
      <c r="C1083" s="51" t="s">
        <v>2048</v>
      </c>
      <c r="D1083" s="76" t="s">
        <v>28</v>
      </c>
      <c r="E1083" s="51" t="s">
        <v>1951</v>
      </c>
      <c r="F1083" s="51" t="s">
        <v>1177</v>
      </c>
      <c r="G1083" s="76" t="s">
        <v>169</v>
      </c>
      <c r="H1083" s="76" t="s">
        <v>654</v>
      </c>
      <c r="I1083" s="51"/>
      <c r="J1083" s="52" t="s">
        <v>708</v>
      </c>
      <c r="K1083" s="117">
        <f>ROUND(Tableau14[[#This Row],[LEN]]*7.27,0)</f>
        <v>225</v>
      </c>
      <c r="L1083" s="117">
        <v>15</v>
      </c>
      <c r="M1083" s="134" t="str">
        <f t="shared" si="7"/>
        <v>none</v>
      </c>
      <c r="N1083" s="117">
        <f>LEN(Tableau14[[#This Row],[LABEL]])</f>
        <v>31</v>
      </c>
      <c r="O1083" s="117">
        <v>15</v>
      </c>
      <c r="P1083" s="117" t="e">
        <f>ROUND(Tableau14[[#This Row],[LEN]]*#REF!+#REF!,0)</f>
        <v>#REF!</v>
      </c>
    </row>
    <row r="1084" spans="1:16" s="92" customFormat="1" ht="16.5" thickTop="1" thickBot="1" x14ac:dyDescent="0.3">
      <c r="A1084" s="198" t="s">
        <v>210</v>
      </c>
      <c r="B1084" s="198" t="s">
        <v>203</v>
      </c>
      <c r="C1084" s="199" t="s">
        <v>178</v>
      </c>
      <c r="D1084" s="200" t="s">
        <v>474</v>
      </c>
      <c r="E1084" s="199" t="s">
        <v>58</v>
      </c>
      <c r="F1084" s="200" t="s">
        <v>665</v>
      </c>
      <c r="G1084" s="199" t="s">
        <v>170</v>
      </c>
      <c r="H1084" s="199" t="s">
        <v>616</v>
      </c>
      <c r="I1084" s="200"/>
      <c r="J1084" s="201" t="s">
        <v>708</v>
      </c>
      <c r="K1084" s="202">
        <f>ROUND(Tableau14[[#This Row],[LEN]]*7.27,0)</f>
        <v>102</v>
      </c>
      <c r="L1084" s="202">
        <v>15</v>
      </c>
      <c r="M1084" s="203" t="str">
        <f t="shared" si="7"/>
        <v>none</v>
      </c>
      <c r="N1084" s="202">
        <f>LEN(Tableau14[[#This Row],[LABEL]])</f>
        <v>14</v>
      </c>
      <c r="O1084" s="204">
        <v>15</v>
      </c>
      <c r="P1084" s="204" t="e">
        <f>ROUND(Tableau14[[#This Row],[LEN]]*#REF!+#REF!,0)</f>
        <v>#REF!</v>
      </c>
    </row>
    <row r="1085" spans="1:16" s="273" customFormat="1" ht="15.75" thickTop="1" x14ac:dyDescent="0.25">
      <c r="A1085" s="372" t="s">
        <v>321</v>
      </c>
      <c r="B1085" s="373" t="s">
        <v>210</v>
      </c>
      <c r="C1085" s="374" t="s">
        <v>57</v>
      </c>
      <c r="D1085" s="375" t="s">
        <v>28</v>
      </c>
      <c r="E1085" s="374" t="s">
        <v>663</v>
      </c>
      <c r="F1085" s="374" t="s">
        <v>663</v>
      </c>
      <c r="G1085" s="375" t="s">
        <v>170</v>
      </c>
      <c r="H1085" s="375" t="str">
        <f>IFERROR(IF(SEARCH(".00.00.00.00.00",Tableau14[[#This Row],[name]],1)=7,"Division",""),"")</f>
        <v>Division</v>
      </c>
      <c r="I1085" s="374"/>
      <c r="J1085" s="376" t="s">
        <v>709</v>
      </c>
      <c r="K1085" s="377">
        <f>ROUND(Tableau14[[#This Row],[LEN]]*7.27,0)</f>
        <v>102</v>
      </c>
      <c r="L1085" s="377">
        <v>15</v>
      </c>
      <c r="M1085" s="378" t="str">
        <f t="shared" si="7"/>
        <v>new</v>
      </c>
      <c r="N1085" s="377">
        <f>LEN(Tableau14[[#This Row],[LABEL]])</f>
        <v>14</v>
      </c>
      <c r="O1085" s="377">
        <v>15</v>
      </c>
      <c r="P1085" s="377" t="e">
        <f>ROUND(Tableau14[[#This Row],[LEN]]*#REF!+#REF!,0)</f>
        <v>#REF!</v>
      </c>
    </row>
    <row r="1086" spans="1:16" s="97" customFormat="1" x14ac:dyDescent="0.25">
      <c r="A1086" s="61" t="s">
        <v>906</v>
      </c>
      <c r="B1086" s="62" t="s">
        <v>321</v>
      </c>
      <c r="C1086" s="63" t="s">
        <v>1875</v>
      </c>
      <c r="D1086" s="79" t="s">
        <v>28</v>
      </c>
      <c r="E1086" s="63" t="s">
        <v>684</v>
      </c>
      <c r="F1086" s="63" t="s">
        <v>902</v>
      </c>
      <c r="G1086" s="79" t="s">
        <v>170</v>
      </c>
      <c r="H1086" s="79" t="s">
        <v>656</v>
      </c>
      <c r="I1086" s="63"/>
      <c r="J1086" s="64" t="s">
        <v>708</v>
      </c>
      <c r="K1086" s="120">
        <f>ROUND(Tableau14[[#This Row],[LEN]]*7.27,0)</f>
        <v>291</v>
      </c>
      <c r="L1086" s="120">
        <v>15</v>
      </c>
      <c r="M1086" s="137" t="str">
        <f t="shared" si="7"/>
        <v>none</v>
      </c>
      <c r="N1086" s="120">
        <f>LEN(Tableau14[[#This Row],[LABEL]])</f>
        <v>40</v>
      </c>
      <c r="O1086" s="120">
        <v>15</v>
      </c>
      <c r="P1086" s="120" t="e">
        <f>ROUND(Tableau14[[#This Row],[LEN]]*#REF!+#REF!,0)</f>
        <v>#REF!</v>
      </c>
    </row>
    <row r="1087" spans="1:16" s="97" customFormat="1" x14ac:dyDescent="0.25">
      <c r="A1087" s="61" t="s">
        <v>907</v>
      </c>
      <c r="B1087" s="62" t="s">
        <v>321</v>
      </c>
      <c r="C1087" s="63" t="s">
        <v>903</v>
      </c>
      <c r="D1087" s="79" t="s">
        <v>28</v>
      </c>
      <c r="E1087" s="63" t="s">
        <v>663</v>
      </c>
      <c r="F1087" s="63" t="s">
        <v>663</v>
      </c>
      <c r="G1087" s="79" t="s">
        <v>170</v>
      </c>
      <c r="H1087" s="79" t="s">
        <v>654</v>
      </c>
      <c r="I1087" s="63"/>
      <c r="J1087" s="64" t="s">
        <v>708</v>
      </c>
      <c r="K1087" s="120">
        <f>ROUND(Tableau14[[#This Row],[LEN]]*7.27,0)</f>
        <v>225</v>
      </c>
      <c r="L1087" s="120">
        <v>15</v>
      </c>
      <c r="M1087" s="137" t="str">
        <f t="shared" si="7"/>
        <v>none</v>
      </c>
      <c r="N1087" s="120">
        <f>LEN(Tableau14[[#This Row],[LABEL]])</f>
        <v>31</v>
      </c>
      <c r="O1087" s="120">
        <v>15</v>
      </c>
      <c r="P1087" s="120" t="e">
        <f>ROUND(Tableau14[[#This Row],[LEN]]*#REF!+#REF!,0)</f>
        <v>#REF!</v>
      </c>
    </row>
    <row r="1088" spans="1:16" s="97" customFormat="1" x14ac:dyDescent="0.25">
      <c r="A1088" s="61" t="s">
        <v>908</v>
      </c>
      <c r="B1088" s="62" t="s">
        <v>321</v>
      </c>
      <c r="C1088" s="63" t="s">
        <v>904</v>
      </c>
      <c r="D1088" s="79" t="s">
        <v>28</v>
      </c>
      <c r="E1088" s="63" t="s">
        <v>663</v>
      </c>
      <c r="F1088" s="63" t="s">
        <v>663</v>
      </c>
      <c r="G1088" s="79" t="s">
        <v>170</v>
      </c>
      <c r="H1088" s="79" t="s">
        <v>654</v>
      </c>
      <c r="I1088" s="63"/>
      <c r="J1088" s="64" t="s">
        <v>708</v>
      </c>
      <c r="K1088" s="120">
        <f>ROUND(Tableau14[[#This Row],[LEN]]*7.27,0)</f>
        <v>247</v>
      </c>
      <c r="L1088" s="120">
        <v>15</v>
      </c>
      <c r="M1088" s="137" t="str">
        <f t="shared" si="7"/>
        <v>none</v>
      </c>
      <c r="N1088" s="120">
        <f>LEN(Tableau14[[#This Row],[LABEL]])</f>
        <v>34</v>
      </c>
      <c r="O1088" s="120">
        <v>15</v>
      </c>
      <c r="P1088" s="120" t="e">
        <f>ROUND(Tableau14[[#This Row],[LEN]]*#REF!+#REF!,0)</f>
        <v>#REF!</v>
      </c>
    </row>
    <row r="1089" spans="1:16" s="97" customFormat="1" x14ac:dyDescent="0.25">
      <c r="A1089" s="61" t="s">
        <v>909</v>
      </c>
      <c r="B1089" s="62" t="s">
        <v>321</v>
      </c>
      <c r="C1089" s="63" t="s">
        <v>905</v>
      </c>
      <c r="D1089" s="79" t="s">
        <v>28</v>
      </c>
      <c r="E1089" s="63" t="s">
        <v>663</v>
      </c>
      <c r="F1089" s="63" t="s">
        <v>663</v>
      </c>
      <c r="G1089" s="79" t="s">
        <v>170</v>
      </c>
      <c r="H1089" s="79" t="s">
        <v>654</v>
      </c>
      <c r="I1089" s="63"/>
      <c r="J1089" s="64" t="s">
        <v>708</v>
      </c>
      <c r="K1089" s="120">
        <f>ROUND(Tableau14[[#This Row],[LEN]]*7.27,0)</f>
        <v>124</v>
      </c>
      <c r="L1089" s="120">
        <v>15</v>
      </c>
      <c r="M1089" s="137" t="str">
        <f t="shared" si="7"/>
        <v>none</v>
      </c>
      <c r="N1089" s="120">
        <f>LEN(Tableau14[[#This Row],[LABEL]])</f>
        <v>17</v>
      </c>
      <c r="O1089" s="120">
        <v>15</v>
      </c>
      <c r="P1089" s="120" t="e">
        <f>ROUND(Tableau14[[#This Row],[LEN]]*#REF!+#REF!,0)</f>
        <v>#REF!</v>
      </c>
    </row>
    <row r="1090" spans="1:16" s="97" customFormat="1" x14ac:dyDescent="0.25">
      <c r="A1090" s="61" t="s">
        <v>910</v>
      </c>
      <c r="B1090" s="62" t="s">
        <v>321</v>
      </c>
      <c r="C1090" s="63" t="s">
        <v>602</v>
      </c>
      <c r="D1090" s="79" t="s">
        <v>28</v>
      </c>
      <c r="E1090" s="63" t="s">
        <v>661</v>
      </c>
      <c r="F1090" s="63" t="s">
        <v>1874</v>
      </c>
      <c r="G1090" s="79" t="s">
        <v>170</v>
      </c>
      <c r="H1090" s="79" t="s">
        <v>656</v>
      </c>
      <c r="I1090" s="63"/>
      <c r="J1090" s="64" t="s">
        <v>708</v>
      </c>
      <c r="K1090" s="120">
        <f>ROUND(Tableau14[[#This Row],[LEN]]*7.27,0)</f>
        <v>553</v>
      </c>
      <c r="L1090" s="120">
        <v>15</v>
      </c>
      <c r="M1090" s="137" t="str">
        <f t="shared" si="7"/>
        <v>none</v>
      </c>
      <c r="N1090" s="120">
        <f>LEN(Tableau14[[#This Row],[LABEL]])</f>
        <v>76</v>
      </c>
      <c r="O1090" s="120">
        <v>15</v>
      </c>
      <c r="P1090" s="120" t="e">
        <f>ROUND(Tableau14[[#This Row],[LEN]]*#REF!+#REF!,0)</f>
        <v>#REF!</v>
      </c>
    </row>
    <row r="1091" spans="1:16" s="97" customFormat="1" x14ac:dyDescent="0.25">
      <c r="A1091" s="61" t="s">
        <v>911</v>
      </c>
      <c r="B1091" s="62" t="s">
        <v>321</v>
      </c>
      <c r="C1091" s="63" t="s">
        <v>50</v>
      </c>
      <c r="D1091" s="79" t="s">
        <v>28</v>
      </c>
      <c r="E1091" s="63" t="s">
        <v>1177</v>
      </c>
      <c r="F1091" s="63" t="s">
        <v>1084</v>
      </c>
      <c r="G1091" s="79" t="s">
        <v>1978</v>
      </c>
      <c r="H1091" s="79" t="s">
        <v>1131</v>
      </c>
      <c r="I1091" s="63"/>
      <c r="J1091" s="64" t="s">
        <v>708</v>
      </c>
      <c r="K1091" s="120">
        <f>ROUND(Tableau14[[#This Row],[LEN]]*7.27,0)</f>
        <v>87</v>
      </c>
      <c r="L1091" s="120">
        <v>15</v>
      </c>
      <c r="M1091" s="137" t="str">
        <f t="shared" si="7"/>
        <v>none</v>
      </c>
      <c r="N1091" s="120">
        <f>LEN(Tableau14[[#This Row],[LABEL]])</f>
        <v>12</v>
      </c>
      <c r="O1091" s="120">
        <v>15</v>
      </c>
      <c r="P1091" s="120" t="e">
        <f>ROUND(Tableau14[[#This Row],[LEN]]*#REF!+#REF!,0)</f>
        <v>#REF!</v>
      </c>
    </row>
    <row r="1092" spans="1:16" s="97" customFormat="1" x14ac:dyDescent="0.25">
      <c r="A1092" s="61" t="s">
        <v>912</v>
      </c>
      <c r="B1092" s="62" t="s">
        <v>321</v>
      </c>
      <c r="C1092" s="63" t="s">
        <v>603</v>
      </c>
      <c r="D1092" s="79" t="s">
        <v>28</v>
      </c>
      <c r="E1092" s="63" t="s">
        <v>1177</v>
      </c>
      <c r="F1092" s="63" t="s">
        <v>1084</v>
      </c>
      <c r="G1092" s="79" t="s">
        <v>1977</v>
      </c>
      <c r="H1092" s="79" t="s">
        <v>1131</v>
      </c>
      <c r="I1092" s="63"/>
      <c r="J1092" s="64" t="s">
        <v>708</v>
      </c>
      <c r="K1092" s="120">
        <f>ROUND(Tableau14[[#This Row],[LEN]]*7.27,0)</f>
        <v>247</v>
      </c>
      <c r="L1092" s="120">
        <v>15</v>
      </c>
      <c r="M1092" s="137" t="str">
        <f t="shared" si="7"/>
        <v>none</v>
      </c>
      <c r="N1092" s="120">
        <f>LEN(Tableau14[[#This Row],[LABEL]])</f>
        <v>34</v>
      </c>
      <c r="O1092" s="120">
        <v>15</v>
      </c>
      <c r="P1092" s="120" t="e">
        <f>ROUND(Tableau14[[#This Row],[LEN]]*#REF!+#REF!,0)</f>
        <v>#REF!</v>
      </c>
    </row>
    <row r="1093" spans="1:16" s="273" customFormat="1" x14ac:dyDescent="0.25">
      <c r="A1093" s="372" t="s">
        <v>323</v>
      </c>
      <c r="B1093" s="373" t="s">
        <v>210</v>
      </c>
      <c r="C1093" s="374" t="s">
        <v>3</v>
      </c>
      <c r="D1093" s="375" t="s">
        <v>28</v>
      </c>
      <c r="E1093" s="374" t="s">
        <v>661</v>
      </c>
      <c r="F1093" s="374" t="s">
        <v>661</v>
      </c>
      <c r="G1093" s="375" t="s">
        <v>170</v>
      </c>
      <c r="H1093" s="375" t="str">
        <f>IFERROR(IF(SEARCH(".00.00.00.00.00",Tableau14[[#This Row],[name]],1)=7,"Division",""),"")</f>
        <v>Division</v>
      </c>
      <c r="I1093" s="374"/>
      <c r="J1093" s="376" t="s">
        <v>711</v>
      </c>
      <c r="K1093" s="377">
        <f>ROUND(Tableau14[[#This Row],[LEN]]*7.27,0)</f>
        <v>73</v>
      </c>
      <c r="L1093" s="377">
        <v>15</v>
      </c>
      <c r="M1093" s="378" t="str">
        <f t="shared" si="7"/>
        <v>new</v>
      </c>
      <c r="N1093" s="377">
        <f>LEN(Tableau14[[#This Row],[LABEL]])</f>
        <v>10</v>
      </c>
      <c r="O1093" s="377">
        <v>15</v>
      </c>
      <c r="P1093" s="377" t="e">
        <f>ROUND(Tableau14[[#This Row],[LEN]]*#REF!+#REF!,0)</f>
        <v>#REF!</v>
      </c>
    </row>
    <row r="1094" spans="1:16" s="97" customFormat="1" x14ac:dyDescent="0.25">
      <c r="A1094" s="61" t="s">
        <v>604</v>
      </c>
      <c r="B1094" s="62" t="s">
        <v>323</v>
      </c>
      <c r="C1094" s="63" t="s">
        <v>1875</v>
      </c>
      <c r="D1094" s="79" t="s">
        <v>28</v>
      </c>
      <c r="E1094" s="63" t="s">
        <v>684</v>
      </c>
      <c r="F1094" s="63" t="s">
        <v>902</v>
      </c>
      <c r="G1094" s="79" t="s">
        <v>170</v>
      </c>
      <c r="H1094" s="79" t="s">
        <v>656</v>
      </c>
      <c r="I1094" s="63"/>
      <c r="J1094" s="64" t="s">
        <v>708</v>
      </c>
      <c r="K1094" s="120">
        <f>ROUND(Tableau14[[#This Row],[LEN]]*7.27,0)</f>
        <v>291</v>
      </c>
      <c r="L1094" s="120">
        <v>15</v>
      </c>
      <c r="M1094" s="137" t="str">
        <f t="shared" si="7"/>
        <v>none</v>
      </c>
      <c r="N1094" s="120">
        <f>LEN(Tableau14[[#This Row],[LABEL]])</f>
        <v>40</v>
      </c>
      <c r="O1094" s="120">
        <v>15</v>
      </c>
      <c r="P1094" s="120" t="e">
        <f>ROUND(Tableau14[[#This Row],[LEN]]*#REF!+#REF!,0)</f>
        <v>#REF!</v>
      </c>
    </row>
    <row r="1095" spans="1:16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28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120">
        <f>ROUND(Tableau14[[#This Row],[LEN]]*7.27,0)</f>
        <v>211</v>
      </c>
      <c r="L1095" s="120">
        <v>15</v>
      </c>
      <c r="M1095" s="137" t="str">
        <f t="shared" si="7"/>
        <v>none</v>
      </c>
      <c r="N1095" s="120">
        <f>LEN(Tableau14[[#This Row],[LABEL]])</f>
        <v>29</v>
      </c>
      <c r="O1095" s="120">
        <v>15</v>
      </c>
      <c r="P1095" s="120" t="e">
        <f>ROUND(Tableau14[[#This Row],[LEN]]*#REF!+#REF!,0)</f>
        <v>#REF!</v>
      </c>
    </row>
    <row r="1096" spans="1:16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28</v>
      </c>
      <c r="E1096" s="63" t="s">
        <v>661</v>
      </c>
      <c r="F1096" s="63" t="s">
        <v>1874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ROUND(Tableau14[[#This Row],[LEN]]*7.27,0)</f>
        <v>553</v>
      </c>
      <c r="L1096" s="120">
        <v>15</v>
      </c>
      <c r="M1096" s="137" t="str">
        <f t="shared" si="7"/>
        <v>none</v>
      </c>
      <c r="N1096" s="120">
        <f>LEN(Tableau14[[#This Row],[LABEL]])</f>
        <v>76</v>
      </c>
      <c r="O1096" s="120">
        <v>15</v>
      </c>
      <c r="P1096" s="120" t="e">
        <f>ROUND(Tableau14[[#This Row],[LEN]]*#REF!+#REF!,0)</f>
        <v>#REF!</v>
      </c>
    </row>
    <row r="1097" spans="1:16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28</v>
      </c>
      <c r="E1097" s="63" t="s">
        <v>1177</v>
      </c>
      <c r="F1097" s="63" t="s">
        <v>1084</v>
      </c>
      <c r="G1097" s="79" t="s">
        <v>1978</v>
      </c>
      <c r="H1097" s="79" t="s">
        <v>1131</v>
      </c>
      <c r="I1097" s="63"/>
      <c r="J1097" s="64" t="s">
        <v>708</v>
      </c>
      <c r="K1097" s="120">
        <f>ROUND(Tableau14[[#This Row],[LEN]]*7.27,0)</f>
        <v>87</v>
      </c>
      <c r="L1097" s="120">
        <v>15</v>
      </c>
      <c r="M1097" s="137" t="str">
        <f t="shared" si="7"/>
        <v>none</v>
      </c>
      <c r="N1097" s="120">
        <f>LEN(Tableau14[[#This Row],[LABEL]])</f>
        <v>12</v>
      </c>
      <c r="O1097" s="120">
        <v>15</v>
      </c>
      <c r="P1097" s="120" t="e">
        <f>ROUND(Tableau14[[#This Row],[LEN]]*#REF!+#REF!,0)</f>
        <v>#REF!</v>
      </c>
    </row>
    <row r="1098" spans="1:16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28</v>
      </c>
      <c r="E1098" s="63" t="s">
        <v>1177</v>
      </c>
      <c r="F1098" s="63" t="s">
        <v>1084</v>
      </c>
      <c r="G1098" s="79" t="s">
        <v>1977</v>
      </c>
      <c r="H1098" s="79" t="s">
        <v>1131</v>
      </c>
      <c r="I1098" s="63"/>
      <c r="J1098" s="64" t="s">
        <v>708</v>
      </c>
      <c r="K1098" s="120">
        <f>ROUND(Tableau14[[#This Row],[LEN]]*7.27,0)</f>
        <v>247</v>
      </c>
      <c r="L1098" s="120">
        <v>15</v>
      </c>
      <c r="M1098" s="137" t="str">
        <f t="shared" si="7"/>
        <v>none</v>
      </c>
      <c r="N1098" s="120">
        <f>LEN(Tableau14[[#This Row],[LABEL]])</f>
        <v>34</v>
      </c>
      <c r="O1098" s="120">
        <v>15</v>
      </c>
      <c r="P1098" s="120" t="e">
        <f>ROUND(Tableau14[[#This Row],[LEN]]*#REF!+#REF!,0)</f>
        <v>#REF!</v>
      </c>
    </row>
    <row r="1099" spans="1:16" s="273" customFormat="1" x14ac:dyDescent="0.25">
      <c r="A1099" s="372" t="s">
        <v>324</v>
      </c>
      <c r="B1099" s="373" t="s">
        <v>210</v>
      </c>
      <c r="C1099" s="374" t="s">
        <v>4</v>
      </c>
      <c r="D1099" s="375" t="s">
        <v>28</v>
      </c>
      <c r="E1099" s="374" t="s">
        <v>666</v>
      </c>
      <c r="F1099" s="374" t="s">
        <v>666</v>
      </c>
      <c r="G1099" s="375" t="s">
        <v>170</v>
      </c>
      <c r="H1099" s="375" t="str">
        <f>IFERROR(IF(SEARCH(".00.00.00.00.00",Tableau14[[#This Row],[name]],1)=7,"Division",""),"")</f>
        <v>Division</v>
      </c>
      <c r="I1099" s="374"/>
      <c r="J1099" s="376" t="s">
        <v>712</v>
      </c>
      <c r="K1099" s="377">
        <f>ROUND(Tableau14[[#This Row],[LEN]]*7.27,0)</f>
        <v>36</v>
      </c>
      <c r="L1099" s="377">
        <v>15</v>
      </c>
      <c r="M1099" s="378" t="str">
        <f t="shared" si="7"/>
        <v>new</v>
      </c>
      <c r="N1099" s="377">
        <f>LEN(Tableau14[[#This Row],[LABEL]])</f>
        <v>5</v>
      </c>
      <c r="O1099" s="377">
        <v>15</v>
      </c>
      <c r="P1099" s="377" t="e">
        <f>ROUND(Tableau14[[#This Row],[LEN]]*#REF!+#REF!,0)</f>
        <v>#REF!</v>
      </c>
    </row>
    <row r="1100" spans="1:16" s="97" customFormat="1" x14ac:dyDescent="0.25">
      <c r="A1100" s="61" t="s">
        <v>1869</v>
      </c>
      <c r="B1100" s="62" t="s">
        <v>324</v>
      </c>
      <c r="C1100" s="63" t="s">
        <v>1876</v>
      </c>
      <c r="D1100" s="79" t="s">
        <v>28</v>
      </c>
      <c r="E1100" s="63" t="s">
        <v>666</v>
      </c>
      <c r="F1100" s="63" t="s">
        <v>1177</v>
      </c>
      <c r="G1100" s="79" t="s">
        <v>170</v>
      </c>
      <c r="H1100" s="79" t="s">
        <v>654</v>
      </c>
      <c r="I1100" s="63"/>
      <c r="J1100" s="64" t="s">
        <v>708</v>
      </c>
      <c r="K1100" s="120">
        <f>ROUND(Tableau14[[#This Row],[LEN]]*7.27,0)</f>
        <v>342</v>
      </c>
      <c r="L1100" s="120">
        <v>15</v>
      </c>
      <c r="M1100" s="137" t="str">
        <f t="shared" si="7"/>
        <v>none</v>
      </c>
      <c r="N1100" s="120">
        <f>LEN(Tableau14[[#This Row],[LABEL]])</f>
        <v>47</v>
      </c>
      <c r="O1100" s="120">
        <v>15</v>
      </c>
      <c r="P1100" s="120" t="e">
        <f>ROUND(Tableau14[[#This Row],[LEN]]*#REF!+#REF!,0)</f>
        <v>#REF!</v>
      </c>
    </row>
    <row r="1101" spans="1:16" s="97" customFormat="1" x14ac:dyDescent="0.25">
      <c r="A1101" s="61" t="s">
        <v>1870</v>
      </c>
      <c r="B1101" s="62" t="s">
        <v>324</v>
      </c>
      <c r="C1101" s="63" t="s">
        <v>1875</v>
      </c>
      <c r="D1101" s="79" t="s">
        <v>28</v>
      </c>
      <c r="E1101" s="63" t="s">
        <v>684</v>
      </c>
      <c r="F1101" s="63" t="s">
        <v>902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ROUND(Tableau14[[#This Row],[LEN]]*7.27,0)</f>
        <v>291</v>
      </c>
      <c r="L1101" s="120">
        <v>15</v>
      </c>
      <c r="M1101" s="137" t="str">
        <f t="shared" si="7"/>
        <v>none</v>
      </c>
      <c r="N1101" s="120">
        <f>LEN(Tableau14[[#This Row],[LABEL]])</f>
        <v>40</v>
      </c>
      <c r="O1101" s="120">
        <v>15</v>
      </c>
      <c r="P1101" s="120" t="e">
        <f>ROUND(Tableau14[[#This Row],[LEN]]*#REF!+#REF!,0)</f>
        <v>#REF!</v>
      </c>
    </row>
    <row r="1102" spans="1:16" s="97" customFormat="1" x14ac:dyDescent="0.25">
      <c r="A1102" s="61" t="s">
        <v>1871</v>
      </c>
      <c r="B1102" s="62" t="s">
        <v>324</v>
      </c>
      <c r="C1102" s="63" t="s">
        <v>602</v>
      </c>
      <c r="D1102" s="79" t="s">
        <v>28</v>
      </c>
      <c r="E1102" s="63" t="s">
        <v>661</v>
      </c>
      <c r="F1102" s="63" t="s">
        <v>1874</v>
      </c>
      <c r="G1102" s="79" t="s">
        <v>170</v>
      </c>
      <c r="H1102" s="79" t="s">
        <v>656</v>
      </c>
      <c r="I1102" s="63"/>
      <c r="J1102" s="64" t="s">
        <v>708</v>
      </c>
      <c r="K1102" s="120">
        <f>ROUND(Tableau14[[#This Row],[LEN]]*7.27,0)</f>
        <v>553</v>
      </c>
      <c r="L1102" s="120">
        <v>15</v>
      </c>
      <c r="M1102" s="137" t="str">
        <f t="shared" si="7"/>
        <v>none</v>
      </c>
      <c r="N1102" s="120">
        <f>LEN(Tableau14[[#This Row],[LABEL]])</f>
        <v>76</v>
      </c>
      <c r="O1102" s="120">
        <v>15</v>
      </c>
      <c r="P1102" s="120" t="e">
        <f>ROUND(Tableau14[[#This Row],[LEN]]*#REF!+#REF!,0)</f>
        <v>#REF!</v>
      </c>
    </row>
    <row r="1103" spans="1:16" s="97" customFormat="1" x14ac:dyDescent="0.25">
      <c r="A1103" s="61" t="s">
        <v>1872</v>
      </c>
      <c r="B1103" s="62" t="s">
        <v>324</v>
      </c>
      <c r="C1103" s="63" t="s">
        <v>50</v>
      </c>
      <c r="D1103" s="79" t="s">
        <v>28</v>
      </c>
      <c r="E1103" s="63" t="s">
        <v>1177</v>
      </c>
      <c r="F1103" s="63" t="s">
        <v>1084</v>
      </c>
      <c r="G1103" s="79" t="s">
        <v>1978</v>
      </c>
      <c r="H1103" s="79" t="s">
        <v>1131</v>
      </c>
      <c r="I1103" s="63"/>
      <c r="J1103" s="64" t="s">
        <v>708</v>
      </c>
      <c r="K1103" s="120">
        <f>ROUND(Tableau14[[#This Row],[LEN]]*7.27,0)</f>
        <v>87</v>
      </c>
      <c r="L1103" s="120">
        <v>15</v>
      </c>
      <c r="M1103" s="137" t="str">
        <f t="shared" si="7"/>
        <v>none</v>
      </c>
      <c r="N1103" s="120">
        <f>LEN(Tableau14[[#This Row],[LABEL]])</f>
        <v>12</v>
      </c>
      <c r="O1103" s="120">
        <v>15</v>
      </c>
      <c r="P1103" s="120" t="e">
        <f>ROUND(Tableau14[[#This Row],[LEN]]*#REF!+#REF!,0)</f>
        <v>#REF!</v>
      </c>
    </row>
    <row r="1104" spans="1:16" s="97" customFormat="1" x14ac:dyDescent="0.25">
      <c r="A1104" s="61" t="s">
        <v>1873</v>
      </c>
      <c r="B1104" s="62" t="s">
        <v>324</v>
      </c>
      <c r="C1104" s="63" t="s">
        <v>603</v>
      </c>
      <c r="D1104" s="79" t="s">
        <v>28</v>
      </c>
      <c r="E1104" s="63" t="s">
        <v>1177</v>
      </c>
      <c r="F1104" s="63" t="s">
        <v>1084</v>
      </c>
      <c r="G1104" s="79" t="s">
        <v>1977</v>
      </c>
      <c r="H1104" s="79" t="s">
        <v>1131</v>
      </c>
      <c r="I1104" s="63"/>
      <c r="J1104" s="64" t="s">
        <v>708</v>
      </c>
      <c r="K1104" s="120">
        <f>ROUND(Tableau14[[#This Row],[LEN]]*7.27,0)</f>
        <v>247</v>
      </c>
      <c r="L1104" s="120">
        <v>15</v>
      </c>
      <c r="M1104" s="137" t="str">
        <f t="shared" si="7"/>
        <v>none</v>
      </c>
      <c r="N1104" s="120">
        <f>LEN(Tableau14[[#This Row],[LABEL]])</f>
        <v>34</v>
      </c>
      <c r="O1104" s="120">
        <v>15</v>
      </c>
      <c r="P1104" s="120" t="e">
        <f>ROUND(Tableau14[[#This Row],[LEN]]*#REF!+#REF!,0)</f>
        <v>#REF!</v>
      </c>
    </row>
    <row r="1105" spans="1:16" s="273" customFormat="1" x14ac:dyDescent="0.25">
      <c r="A1105" s="372" t="s">
        <v>326</v>
      </c>
      <c r="B1105" s="373" t="s">
        <v>210</v>
      </c>
      <c r="C1105" s="374" t="s">
        <v>5</v>
      </c>
      <c r="D1105" s="375" t="s">
        <v>28</v>
      </c>
      <c r="E1105" s="374" t="s">
        <v>668</v>
      </c>
      <c r="F1105" s="374" t="s">
        <v>668</v>
      </c>
      <c r="G1105" s="375" t="s">
        <v>170</v>
      </c>
      <c r="H1105" s="375" t="str">
        <f>IFERROR(IF(SEARCH(".00.00.00.00.00",Tableau14[[#This Row],[name]],1)=7,"Division",""),"")</f>
        <v>Division</v>
      </c>
      <c r="I1105" s="374"/>
      <c r="J1105" s="376" t="s">
        <v>714</v>
      </c>
      <c r="K1105" s="377">
        <f>ROUND(Tableau14[[#This Row],[LEN]]*7.27,0)</f>
        <v>73</v>
      </c>
      <c r="L1105" s="377">
        <v>15</v>
      </c>
      <c r="M1105" s="378" t="str">
        <f t="shared" si="7"/>
        <v>new</v>
      </c>
      <c r="N1105" s="377">
        <f>LEN(Tableau14[[#This Row],[LABEL]])</f>
        <v>10</v>
      </c>
      <c r="O1105" s="377">
        <v>15</v>
      </c>
      <c r="P1105" s="377" t="e">
        <f>ROUND(Tableau14[[#This Row],[LEN]]*#REF!+#REF!,0)</f>
        <v>#REF!</v>
      </c>
    </row>
    <row r="1106" spans="1:16" s="97" customFormat="1" x14ac:dyDescent="0.25">
      <c r="A1106" s="61" t="s">
        <v>1877</v>
      </c>
      <c r="B1106" s="62" t="s">
        <v>326</v>
      </c>
      <c r="C1106" s="63" t="s">
        <v>602</v>
      </c>
      <c r="D1106" s="79" t="s">
        <v>28</v>
      </c>
      <c r="E1106" s="63" t="s">
        <v>661</v>
      </c>
      <c r="F1106" s="63" t="s">
        <v>1874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ROUND(Tableau14[[#This Row],[LEN]]*7.27,0)</f>
        <v>553</v>
      </c>
      <c r="L1106" s="120">
        <v>15</v>
      </c>
      <c r="M1106" s="137" t="str">
        <f t="shared" si="7"/>
        <v>none</v>
      </c>
      <c r="N1106" s="120">
        <f>LEN(Tableau14[[#This Row],[LABEL]])</f>
        <v>76</v>
      </c>
      <c r="O1106" s="120">
        <v>15</v>
      </c>
      <c r="P1106" s="120" t="e">
        <f>ROUND(Tableau14[[#This Row],[LEN]]*#REF!+#REF!,0)</f>
        <v>#REF!</v>
      </c>
    </row>
    <row r="1107" spans="1:16" s="273" customFormat="1" x14ac:dyDescent="0.25">
      <c r="A1107" s="372" t="s">
        <v>327</v>
      </c>
      <c r="B1107" s="373" t="s">
        <v>210</v>
      </c>
      <c r="C1107" s="374" t="s">
        <v>6</v>
      </c>
      <c r="D1107" s="375" t="s">
        <v>28</v>
      </c>
      <c r="E1107" s="374" t="s">
        <v>669</v>
      </c>
      <c r="F1107" s="374" t="s">
        <v>669</v>
      </c>
      <c r="G1107" s="375" t="s">
        <v>170</v>
      </c>
      <c r="H1107" s="375" t="str">
        <f>IFERROR(IF(SEARCH(".00.00.00.00.00",Tableau14[[#This Row],[name]],1)=7,"Division",""),"")</f>
        <v>Division</v>
      </c>
      <c r="I1107" s="374"/>
      <c r="J1107" s="376" t="s">
        <v>715</v>
      </c>
      <c r="K1107" s="377">
        <f>ROUND(Tableau14[[#This Row],[LEN]]*7.27,0)</f>
        <v>196</v>
      </c>
      <c r="L1107" s="377">
        <v>15</v>
      </c>
      <c r="M1107" s="378" t="str">
        <f t="shared" si="7"/>
        <v>new</v>
      </c>
      <c r="N1107" s="377">
        <f>LEN(Tableau14[[#This Row],[LABEL]])</f>
        <v>27</v>
      </c>
      <c r="O1107" s="377">
        <v>15</v>
      </c>
      <c r="P1107" s="377" t="e">
        <f>ROUND(Tableau14[[#This Row],[LEN]]*#REF!+#REF!,0)</f>
        <v>#REF!</v>
      </c>
    </row>
    <row r="1108" spans="1:16" s="97" customFormat="1" x14ac:dyDescent="0.25">
      <c r="A1108" s="61" t="s">
        <v>1886</v>
      </c>
      <c r="B1108" s="62" t="s">
        <v>327</v>
      </c>
      <c r="C1108" s="63" t="s">
        <v>1890</v>
      </c>
      <c r="D1108" s="79" t="s">
        <v>1891</v>
      </c>
      <c r="E1108" s="63" t="s">
        <v>669</v>
      </c>
      <c r="F1108" s="63" t="s">
        <v>1177</v>
      </c>
      <c r="G1108" s="79" t="s">
        <v>170</v>
      </c>
      <c r="H1108" s="79" t="s">
        <v>570</v>
      </c>
      <c r="I1108" s="63"/>
      <c r="J1108" s="64" t="s">
        <v>708</v>
      </c>
      <c r="K1108" s="120">
        <f>ROUND(Tableau14[[#This Row],[LEN]]*7.27,0)</f>
        <v>327</v>
      </c>
      <c r="L1108" s="120">
        <v>15</v>
      </c>
      <c r="M1108" s="137" t="str">
        <f t="shared" si="7"/>
        <v>none</v>
      </c>
      <c r="N1108" s="120">
        <f>LEN(Tableau14[[#This Row],[LABEL]])</f>
        <v>45</v>
      </c>
      <c r="O1108" s="120">
        <v>15</v>
      </c>
      <c r="P1108" s="120" t="e">
        <f>ROUND(Tableau14[[#This Row],[LEN]]*#REF!+#REF!,0)</f>
        <v>#REF!</v>
      </c>
    </row>
    <row r="1109" spans="1:16" s="97" customFormat="1" x14ac:dyDescent="0.25">
      <c r="A1109" s="61" t="s">
        <v>1887</v>
      </c>
      <c r="B1109" s="62" t="s">
        <v>327</v>
      </c>
      <c r="C1109" s="63" t="s">
        <v>602</v>
      </c>
      <c r="D1109" s="79" t="s">
        <v>28</v>
      </c>
      <c r="E1109" s="63" t="s">
        <v>661</v>
      </c>
      <c r="F1109" s="63" t="s">
        <v>1874</v>
      </c>
      <c r="G1109" s="79" t="s">
        <v>170</v>
      </c>
      <c r="H1109" s="79" t="s">
        <v>656</v>
      </c>
      <c r="I1109" s="63"/>
      <c r="J1109" s="64" t="s">
        <v>708</v>
      </c>
      <c r="K1109" s="120">
        <f>ROUND(Tableau14[[#This Row],[LEN]]*7.27,0)</f>
        <v>553</v>
      </c>
      <c r="L1109" s="120">
        <v>15</v>
      </c>
      <c r="M1109" s="137" t="str">
        <f t="shared" si="7"/>
        <v>none</v>
      </c>
      <c r="N1109" s="120">
        <f>LEN(Tableau14[[#This Row],[LABEL]])</f>
        <v>76</v>
      </c>
      <c r="O1109" s="120">
        <v>15</v>
      </c>
      <c r="P1109" s="120" t="e">
        <f>ROUND(Tableau14[[#This Row],[LEN]]*#REF!+#REF!,0)</f>
        <v>#REF!</v>
      </c>
    </row>
    <row r="1110" spans="1:16" s="97" customFormat="1" x14ac:dyDescent="0.25">
      <c r="A1110" s="61" t="s">
        <v>1888</v>
      </c>
      <c r="B1110" s="62" t="s">
        <v>327</v>
      </c>
      <c r="C1110" s="63" t="s">
        <v>50</v>
      </c>
      <c r="D1110" s="79" t="s">
        <v>28</v>
      </c>
      <c r="E1110" s="63" t="s">
        <v>1177</v>
      </c>
      <c r="F1110" s="63" t="s">
        <v>1084</v>
      </c>
      <c r="G1110" s="79" t="s">
        <v>1978</v>
      </c>
      <c r="H1110" s="79" t="s">
        <v>1131</v>
      </c>
      <c r="I1110" s="63"/>
      <c r="J1110" s="64" t="s">
        <v>708</v>
      </c>
      <c r="K1110" s="120">
        <f>ROUND(Tableau14[[#This Row],[LEN]]*7.27,0)</f>
        <v>87</v>
      </c>
      <c r="L1110" s="120">
        <v>15</v>
      </c>
      <c r="M1110" s="137" t="str">
        <f t="shared" si="7"/>
        <v>none</v>
      </c>
      <c r="N1110" s="120">
        <f>LEN(Tableau14[[#This Row],[LABEL]])</f>
        <v>12</v>
      </c>
      <c r="O1110" s="120">
        <v>15</v>
      </c>
      <c r="P1110" s="120" t="e">
        <f>ROUND(Tableau14[[#This Row],[LEN]]*#REF!+#REF!,0)</f>
        <v>#REF!</v>
      </c>
    </row>
    <row r="1111" spans="1:16" s="97" customFormat="1" x14ac:dyDescent="0.25">
      <c r="A1111" s="61" t="s">
        <v>1889</v>
      </c>
      <c r="B1111" s="62" t="s">
        <v>327</v>
      </c>
      <c r="C1111" s="63" t="s">
        <v>603</v>
      </c>
      <c r="D1111" s="79" t="s">
        <v>28</v>
      </c>
      <c r="E1111" s="63" t="s">
        <v>1177</v>
      </c>
      <c r="F1111" s="63" t="s">
        <v>1084</v>
      </c>
      <c r="G1111" s="79" t="s">
        <v>1977</v>
      </c>
      <c r="H1111" s="79" t="s">
        <v>1131</v>
      </c>
      <c r="I1111" s="63"/>
      <c r="J1111" s="64" t="s">
        <v>708</v>
      </c>
      <c r="K1111" s="120">
        <f>ROUND(Tableau14[[#This Row],[LEN]]*7.27,0)</f>
        <v>247</v>
      </c>
      <c r="L1111" s="120">
        <v>15</v>
      </c>
      <c r="M1111" s="137" t="str">
        <f t="shared" si="7"/>
        <v>none</v>
      </c>
      <c r="N1111" s="120">
        <f>LEN(Tableau14[[#This Row],[LABEL]])</f>
        <v>34</v>
      </c>
      <c r="O1111" s="120">
        <v>15</v>
      </c>
      <c r="P1111" s="120" t="e">
        <f>ROUND(Tableau14[[#This Row],[LEN]]*#REF!+#REF!,0)</f>
        <v>#REF!</v>
      </c>
    </row>
    <row r="1112" spans="1:16" s="273" customFormat="1" x14ac:dyDescent="0.25">
      <c r="A1112" s="372" t="s">
        <v>329</v>
      </c>
      <c r="B1112" s="373" t="s">
        <v>210</v>
      </c>
      <c r="C1112" s="374" t="s">
        <v>8</v>
      </c>
      <c r="D1112" s="375" t="s">
        <v>28</v>
      </c>
      <c r="E1112" s="374" t="s">
        <v>671</v>
      </c>
      <c r="F1112" s="374" t="s">
        <v>671</v>
      </c>
      <c r="G1112" s="375" t="s">
        <v>170</v>
      </c>
      <c r="H1112" s="375" t="str">
        <f>IFERROR(IF(SEARCH(".00.00.00.00.00",Tableau14[[#This Row],[name]],1)=7,"Division",""),"")</f>
        <v>Division</v>
      </c>
      <c r="I1112" s="374"/>
      <c r="J1112" s="376" t="s">
        <v>717</v>
      </c>
      <c r="K1112" s="377">
        <f>ROUND(Tableau14[[#This Row],[LEN]]*7.27,0)</f>
        <v>116</v>
      </c>
      <c r="L1112" s="377">
        <v>15</v>
      </c>
      <c r="M1112" s="378" t="str">
        <f t="shared" si="7"/>
        <v>new</v>
      </c>
      <c r="N1112" s="377">
        <f>LEN(Tableau14[[#This Row],[LABEL]])</f>
        <v>16</v>
      </c>
      <c r="O1112" s="377">
        <v>15</v>
      </c>
      <c r="P1112" s="377" t="e">
        <f>ROUND(Tableau14[[#This Row],[LEN]]*#REF!+#REF!,0)</f>
        <v>#REF!</v>
      </c>
    </row>
    <row r="1113" spans="1:16" s="97" customFormat="1" x14ac:dyDescent="0.25">
      <c r="A1113" s="61" t="s">
        <v>1893</v>
      </c>
      <c r="B1113" s="62" t="s">
        <v>329</v>
      </c>
      <c r="C1113" s="63" t="s">
        <v>1892</v>
      </c>
      <c r="D1113" s="79" t="s">
        <v>28</v>
      </c>
      <c r="E1113" s="63" t="s">
        <v>679</v>
      </c>
      <c r="F1113" s="63" t="s">
        <v>902</v>
      </c>
      <c r="G1113" s="79" t="s">
        <v>170</v>
      </c>
      <c r="H1113" s="79" t="s">
        <v>656</v>
      </c>
      <c r="I1113" s="63"/>
      <c r="J1113" s="64" t="s">
        <v>708</v>
      </c>
      <c r="K1113" s="120">
        <f>ROUND(Tableau14[[#This Row],[LEN]]*7.27,0)</f>
        <v>204</v>
      </c>
      <c r="L1113" s="120">
        <v>15</v>
      </c>
      <c r="M1113" s="137" t="str">
        <f t="shared" si="7"/>
        <v>none</v>
      </c>
      <c r="N1113" s="120">
        <f>LEN(Tableau14[[#This Row],[LABEL]])</f>
        <v>28</v>
      </c>
      <c r="O1113" s="120">
        <v>15</v>
      </c>
      <c r="P1113" s="120" t="e">
        <f>ROUND(Tableau14[[#This Row],[LEN]]*#REF!+#REF!,0)</f>
        <v>#REF!</v>
      </c>
    </row>
    <row r="1114" spans="1:16" s="97" customFormat="1" x14ac:dyDescent="0.25">
      <c r="A1114" s="61" t="s">
        <v>1894</v>
      </c>
      <c r="B1114" s="62" t="s">
        <v>329</v>
      </c>
      <c r="C1114" s="63" t="s">
        <v>602</v>
      </c>
      <c r="D1114" s="79" t="s">
        <v>28</v>
      </c>
      <c r="E1114" s="63" t="s">
        <v>661</v>
      </c>
      <c r="F1114" s="63" t="s">
        <v>1874</v>
      </c>
      <c r="G1114" s="79" t="s">
        <v>170</v>
      </c>
      <c r="H1114" s="79" t="s">
        <v>656</v>
      </c>
      <c r="I1114" s="63"/>
      <c r="J1114" s="64" t="s">
        <v>708</v>
      </c>
      <c r="K1114" s="120">
        <f>ROUND(Tableau14[[#This Row],[LEN]]*7.27,0)</f>
        <v>553</v>
      </c>
      <c r="L1114" s="120">
        <v>15</v>
      </c>
      <c r="M1114" s="137" t="str">
        <f t="shared" si="7"/>
        <v>none</v>
      </c>
      <c r="N1114" s="120">
        <f>LEN(Tableau14[[#This Row],[LABEL]])</f>
        <v>76</v>
      </c>
      <c r="O1114" s="120">
        <v>15</v>
      </c>
      <c r="P1114" s="120" t="e">
        <f>ROUND(Tableau14[[#This Row],[LEN]]*#REF!+#REF!,0)</f>
        <v>#REF!</v>
      </c>
    </row>
    <row r="1115" spans="1:16" s="97" customFormat="1" x14ac:dyDescent="0.25">
      <c r="A1115" s="61" t="s">
        <v>1895</v>
      </c>
      <c r="B1115" s="62" t="s">
        <v>329</v>
      </c>
      <c r="C1115" s="63" t="s">
        <v>50</v>
      </c>
      <c r="D1115" s="79" t="s">
        <v>28</v>
      </c>
      <c r="E1115" s="63" t="s">
        <v>1177</v>
      </c>
      <c r="F1115" s="63" t="s">
        <v>1084</v>
      </c>
      <c r="G1115" s="79" t="s">
        <v>1978</v>
      </c>
      <c r="H1115" s="79" t="s">
        <v>1131</v>
      </c>
      <c r="I1115" s="63"/>
      <c r="J1115" s="64" t="s">
        <v>708</v>
      </c>
      <c r="K1115" s="120">
        <f>ROUND(Tableau14[[#This Row],[LEN]]*7.27,0)</f>
        <v>87</v>
      </c>
      <c r="L1115" s="120">
        <v>15</v>
      </c>
      <c r="M1115" s="137" t="str">
        <f t="shared" si="7"/>
        <v>none</v>
      </c>
      <c r="N1115" s="120">
        <f>LEN(Tableau14[[#This Row],[LABEL]])</f>
        <v>12</v>
      </c>
      <c r="O1115" s="120">
        <v>15</v>
      </c>
      <c r="P1115" s="120" t="e">
        <f>ROUND(Tableau14[[#This Row],[LEN]]*#REF!+#REF!,0)</f>
        <v>#REF!</v>
      </c>
    </row>
    <row r="1116" spans="1:16" s="97" customFormat="1" x14ac:dyDescent="0.25">
      <c r="A1116" s="61" t="s">
        <v>1896</v>
      </c>
      <c r="B1116" s="62" t="s">
        <v>329</v>
      </c>
      <c r="C1116" s="63" t="s">
        <v>603</v>
      </c>
      <c r="D1116" s="79" t="s">
        <v>28</v>
      </c>
      <c r="E1116" s="63" t="s">
        <v>1177</v>
      </c>
      <c r="F1116" s="63" t="s">
        <v>1084</v>
      </c>
      <c r="G1116" s="79" t="s">
        <v>1977</v>
      </c>
      <c r="H1116" s="79" t="s">
        <v>1131</v>
      </c>
      <c r="I1116" s="63"/>
      <c r="J1116" s="64" t="s">
        <v>708</v>
      </c>
      <c r="K1116" s="120">
        <f>ROUND(Tableau14[[#This Row],[LEN]]*7.27,0)</f>
        <v>247</v>
      </c>
      <c r="L1116" s="120">
        <v>15</v>
      </c>
      <c r="M1116" s="137" t="str">
        <f t="shared" si="7"/>
        <v>none</v>
      </c>
      <c r="N1116" s="120">
        <f>LEN(Tableau14[[#This Row],[LABEL]])</f>
        <v>34</v>
      </c>
      <c r="O1116" s="120">
        <v>15</v>
      </c>
      <c r="P1116" s="120" t="e">
        <f>ROUND(Tableau14[[#This Row],[LEN]]*#REF!+#REF!,0)</f>
        <v>#REF!</v>
      </c>
    </row>
    <row r="1117" spans="1:16" s="273" customFormat="1" x14ac:dyDescent="0.25">
      <c r="A1117" s="372" t="s">
        <v>330</v>
      </c>
      <c r="B1117" s="373" t="s">
        <v>210</v>
      </c>
      <c r="C1117" s="374" t="s">
        <v>9</v>
      </c>
      <c r="D1117" s="375" t="s">
        <v>28</v>
      </c>
      <c r="E1117" s="374" t="s">
        <v>672</v>
      </c>
      <c r="F1117" s="374" t="s">
        <v>672</v>
      </c>
      <c r="G1117" s="375" t="s">
        <v>170</v>
      </c>
      <c r="H1117" s="375" t="str">
        <f>IFERROR(IF(SEARCH(".00.00.00.00.00",Tableau14[[#This Row],[name]],1)=7,"Division",""),"")</f>
        <v>Division</v>
      </c>
      <c r="I1117" s="374"/>
      <c r="J1117" s="376" t="s">
        <v>718</v>
      </c>
      <c r="K1117" s="377">
        <f>ROUND(Tableau14[[#This Row],[LEN]]*7.27,0)</f>
        <v>80</v>
      </c>
      <c r="L1117" s="377">
        <v>15</v>
      </c>
      <c r="M1117" s="378" t="str">
        <f t="shared" si="7"/>
        <v>new</v>
      </c>
      <c r="N1117" s="377">
        <f>LEN(Tableau14[[#This Row],[LABEL]])</f>
        <v>11</v>
      </c>
      <c r="O1117" s="377">
        <v>15</v>
      </c>
      <c r="P1117" s="377" t="e">
        <f>ROUND(Tableau14[[#This Row],[LEN]]*#REF!+#REF!,0)</f>
        <v>#REF!</v>
      </c>
    </row>
    <row r="1118" spans="1:16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28</v>
      </c>
      <c r="E1118" s="63" t="s">
        <v>661</v>
      </c>
      <c r="F1118" s="63" t="s">
        <v>1874</v>
      </c>
      <c r="G1118" s="79" t="s">
        <v>170</v>
      </c>
      <c r="H1118" s="79" t="s">
        <v>656</v>
      </c>
      <c r="I1118" s="63"/>
      <c r="J1118" s="64" t="s">
        <v>708</v>
      </c>
      <c r="K1118" s="120">
        <f>ROUND(Tableau14[[#This Row],[LEN]]*7.27,0)</f>
        <v>553</v>
      </c>
      <c r="L1118" s="120">
        <v>15</v>
      </c>
      <c r="M1118" s="137" t="str">
        <f t="shared" si="7"/>
        <v>none</v>
      </c>
      <c r="N1118" s="120">
        <f>LEN(Tableau14[[#This Row],[LABEL]])</f>
        <v>76</v>
      </c>
      <c r="O1118" s="120">
        <v>15</v>
      </c>
      <c r="P1118" s="120" t="e">
        <f>ROUND(Tableau14[[#This Row],[LEN]]*#REF!+#REF!,0)</f>
        <v>#REF!</v>
      </c>
    </row>
    <row r="1119" spans="1:16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28</v>
      </c>
      <c r="E1119" s="63" t="s">
        <v>1177</v>
      </c>
      <c r="F1119" s="63" t="s">
        <v>1084</v>
      </c>
      <c r="G1119" s="79" t="s">
        <v>1978</v>
      </c>
      <c r="H1119" s="79" t="s">
        <v>1131</v>
      </c>
      <c r="I1119" s="63"/>
      <c r="J1119" s="64" t="s">
        <v>708</v>
      </c>
      <c r="K1119" s="120">
        <f>ROUND(Tableau14[[#This Row],[LEN]]*7.27,0)</f>
        <v>87</v>
      </c>
      <c r="L1119" s="120">
        <v>15</v>
      </c>
      <c r="M1119" s="137" t="str">
        <f t="shared" si="7"/>
        <v>none</v>
      </c>
      <c r="N1119" s="120">
        <f>LEN(Tableau14[[#This Row],[LABEL]])</f>
        <v>12</v>
      </c>
      <c r="O1119" s="120">
        <v>15</v>
      </c>
      <c r="P1119" s="120" t="e">
        <f>ROUND(Tableau14[[#This Row],[LEN]]*#REF!+#REF!,0)</f>
        <v>#REF!</v>
      </c>
    </row>
    <row r="1120" spans="1:16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28</v>
      </c>
      <c r="E1120" s="63" t="s">
        <v>1177</v>
      </c>
      <c r="F1120" s="63" t="s">
        <v>1084</v>
      </c>
      <c r="G1120" s="79" t="s">
        <v>1977</v>
      </c>
      <c r="H1120" s="79" t="s">
        <v>1131</v>
      </c>
      <c r="I1120" s="63"/>
      <c r="J1120" s="64" t="s">
        <v>708</v>
      </c>
      <c r="K1120" s="120">
        <f>ROUND(Tableau14[[#This Row],[LEN]]*7.27,0)</f>
        <v>247</v>
      </c>
      <c r="L1120" s="120">
        <v>15</v>
      </c>
      <c r="M1120" s="137" t="str">
        <f t="shared" si="7"/>
        <v>none</v>
      </c>
      <c r="N1120" s="120">
        <f>LEN(Tableau14[[#This Row],[LABEL]])</f>
        <v>34</v>
      </c>
      <c r="O1120" s="120">
        <v>15</v>
      </c>
      <c r="P1120" s="120" t="e">
        <f>ROUND(Tableau14[[#This Row],[LEN]]*#REF!+#REF!,0)</f>
        <v>#REF!</v>
      </c>
    </row>
    <row r="1121" spans="1:16" s="273" customFormat="1" x14ac:dyDescent="0.25">
      <c r="A1121" s="372" t="s">
        <v>331</v>
      </c>
      <c r="B1121" s="373" t="s">
        <v>210</v>
      </c>
      <c r="C1121" s="374" t="s">
        <v>10</v>
      </c>
      <c r="D1121" s="375" t="s">
        <v>28</v>
      </c>
      <c r="E1121" s="374" t="s">
        <v>673</v>
      </c>
      <c r="F1121" s="374" t="s">
        <v>673</v>
      </c>
      <c r="G1121" s="375" t="s">
        <v>170</v>
      </c>
      <c r="H1121" s="375" t="str">
        <f>IFERROR(IF(SEARCH(".00.00.00.00.00",Tableau14[[#This Row],[name]],1)=7,"Division",""),"")</f>
        <v>Division</v>
      </c>
      <c r="I1121" s="374"/>
      <c r="J1121" s="376" t="s">
        <v>719</v>
      </c>
      <c r="K1121" s="377">
        <f>ROUND(Tableau14[[#This Row],[LEN]]*7.27,0)</f>
        <v>109</v>
      </c>
      <c r="L1121" s="377">
        <v>15</v>
      </c>
      <c r="M1121" s="378" t="str">
        <f t="shared" si="7"/>
        <v>new</v>
      </c>
      <c r="N1121" s="377">
        <f>LEN(Tableau14[[#This Row],[LABEL]])</f>
        <v>15</v>
      </c>
      <c r="O1121" s="377">
        <v>15</v>
      </c>
      <c r="P1121" s="377" t="e">
        <f>ROUND(Tableau14[[#This Row],[LEN]]*#REF!+#REF!,0)</f>
        <v>#REF!</v>
      </c>
    </row>
    <row r="1122" spans="1:16" s="97" customFormat="1" x14ac:dyDescent="0.25">
      <c r="A1122" s="61" t="s">
        <v>1878</v>
      </c>
      <c r="B1122" s="62" t="s">
        <v>331</v>
      </c>
      <c r="C1122" s="63" t="s">
        <v>1882</v>
      </c>
      <c r="D1122" s="79" t="s">
        <v>28</v>
      </c>
      <c r="E1122" s="63" t="s">
        <v>673</v>
      </c>
      <c r="F1122" s="63" t="s">
        <v>902</v>
      </c>
      <c r="G1122" s="79" t="s">
        <v>170</v>
      </c>
      <c r="H1122" s="79" t="s">
        <v>656</v>
      </c>
      <c r="I1122" s="63"/>
      <c r="J1122" s="64" t="s">
        <v>708</v>
      </c>
      <c r="K1122" s="120">
        <f>ROUND(Tableau14[[#This Row],[LEN]]*7.27,0)</f>
        <v>233</v>
      </c>
      <c r="L1122" s="120">
        <v>15</v>
      </c>
      <c r="M1122" s="137" t="str">
        <f t="shared" si="7"/>
        <v>none</v>
      </c>
      <c r="N1122" s="120">
        <f>LEN(Tableau14[[#This Row],[LABEL]])</f>
        <v>32</v>
      </c>
      <c r="O1122" s="120">
        <v>15</v>
      </c>
      <c r="P1122" s="120" t="e">
        <f>ROUND(Tableau14[[#This Row],[LEN]]*#REF!+#REF!,0)</f>
        <v>#REF!</v>
      </c>
    </row>
    <row r="1123" spans="1:16" s="97" customFormat="1" x14ac:dyDescent="0.25">
      <c r="A1123" s="61" t="s">
        <v>1879</v>
      </c>
      <c r="B1123" s="62" t="s">
        <v>331</v>
      </c>
      <c r="C1123" s="63" t="s">
        <v>602</v>
      </c>
      <c r="D1123" s="79" t="s">
        <v>28</v>
      </c>
      <c r="E1123" s="63" t="s">
        <v>661</v>
      </c>
      <c r="F1123" s="63" t="s">
        <v>1874</v>
      </c>
      <c r="G1123" s="79" t="s">
        <v>170</v>
      </c>
      <c r="H1123" s="79" t="s">
        <v>656</v>
      </c>
      <c r="I1123" s="63"/>
      <c r="J1123" s="64" t="s">
        <v>708</v>
      </c>
      <c r="K1123" s="120">
        <f>ROUND(Tableau14[[#This Row],[LEN]]*7.27,0)</f>
        <v>553</v>
      </c>
      <c r="L1123" s="120">
        <v>15</v>
      </c>
      <c r="M1123" s="137" t="str">
        <f t="shared" si="7"/>
        <v>none</v>
      </c>
      <c r="N1123" s="120">
        <f>LEN(Tableau14[[#This Row],[LABEL]])</f>
        <v>76</v>
      </c>
      <c r="O1123" s="120">
        <v>15</v>
      </c>
      <c r="P1123" s="120" t="e">
        <f>ROUND(Tableau14[[#This Row],[LEN]]*#REF!+#REF!,0)</f>
        <v>#REF!</v>
      </c>
    </row>
    <row r="1124" spans="1:16" s="97" customFormat="1" x14ac:dyDescent="0.25">
      <c r="A1124" s="61" t="s">
        <v>1880</v>
      </c>
      <c r="B1124" s="62" t="s">
        <v>331</v>
      </c>
      <c r="C1124" s="63" t="s">
        <v>50</v>
      </c>
      <c r="D1124" s="79" t="s">
        <v>28</v>
      </c>
      <c r="E1124" s="63" t="s">
        <v>1177</v>
      </c>
      <c r="F1124" s="63" t="s">
        <v>1084</v>
      </c>
      <c r="G1124" s="79" t="s">
        <v>1978</v>
      </c>
      <c r="H1124" s="79" t="s">
        <v>1131</v>
      </c>
      <c r="I1124" s="63"/>
      <c r="J1124" s="64" t="s">
        <v>708</v>
      </c>
      <c r="K1124" s="120">
        <f>ROUND(Tableau14[[#This Row],[LEN]]*7.27,0)</f>
        <v>87</v>
      </c>
      <c r="L1124" s="120">
        <v>15</v>
      </c>
      <c r="M1124" s="137" t="str">
        <f t="shared" si="7"/>
        <v>none</v>
      </c>
      <c r="N1124" s="120">
        <f>LEN(Tableau14[[#This Row],[LABEL]])</f>
        <v>12</v>
      </c>
      <c r="O1124" s="120">
        <v>15</v>
      </c>
      <c r="P1124" s="120" t="e">
        <f>ROUND(Tableau14[[#This Row],[LEN]]*#REF!+#REF!,0)</f>
        <v>#REF!</v>
      </c>
    </row>
    <row r="1125" spans="1:16" s="97" customFormat="1" x14ac:dyDescent="0.25">
      <c r="A1125" s="61" t="s">
        <v>1881</v>
      </c>
      <c r="B1125" s="62" t="s">
        <v>331</v>
      </c>
      <c r="C1125" s="63" t="s">
        <v>603</v>
      </c>
      <c r="D1125" s="79" t="s">
        <v>28</v>
      </c>
      <c r="E1125" s="63" t="s">
        <v>1177</v>
      </c>
      <c r="F1125" s="63" t="s">
        <v>1084</v>
      </c>
      <c r="G1125" s="79" t="s">
        <v>1977</v>
      </c>
      <c r="H1125" s="79" t="s">
        <v>1131</v>
      </c>
      <c r="I1125" s="63"/>
      <c r="J1125" s="64" t="s">
        <v>708</v>
      </c>
      <c r="K1125" s="120">
        <f>ROUND(Tableau14[[#This Row],[LEN]]*7.27,0)</f>
        <v>247</v>
      </c>
      <c r="L1125" s="120">
        <v>15</v>
      </c>
      <c r="M1125" s="137" t="str">
        <f t="shared" si="7"/>
        <v>none</v>
      </c>
      <c r="N1125" s="120">
        <f>LEN(Tableau14[[#This Row],[LABEL]])</f>
        <v>34</v>
      </c>
      <c r="O1125" s="120">
        <v>15</v>
      </c>
      <c r="P1125" s="120" t="e">
        <f>ROUND(Tableau14[[#This Row],[LEN]]*#REF!+#REF!,0)</f>
        <v>#REF!</v>
      </c>
    </row>
    <row r="1126" spans="1:16" s="273" customFormat="1" x14ac:dyDescent="0.25">
      <c r="A1126" s="372" t="s">
        <v>332</v>
      </c>
      <c r="B1126" s="373" t="s">
        <v>210</v>
      </c>
      <c r="C1126" s="374" t="s">
        <v>11</v>
      </c>
      <c r="D1126" s="375" t="s">
        <v>28</v>
      </c>
      <c r="E1126" s="374" t="s">
        <v>674</v>
      </c>
      <c r="F1126" s="374" t="s">
        <v>674</v>
      </c>
      <c r="G1126" s="375" t="s">
        <v>170</v>
      </c>
      <c r="H1126" s="375" t="str">
        <f>IFERROR(IF(SEARCH(".00.00.00.00.00",Tableau14[[#This Row],[name]],1)=7,"Division",""),"")</f>
        <v>Division</v>
      </c>
      <c r="I1126" s="374"/>
      <c r="J1126" s="376" t="s">
        <v>720</v>
      </c>
      <c r="K1126" s="377">
        <f>ROUND(Tableau14[[#This Row],[LEN]]*7.27,0)</f>
        <v>51</v>
      </c>
      <c r="L1126" s="377">
        <v>15</v>
      </c>
      <c r="M1126" s="378" t="str">
        <f t="shared" si="7"/>
        <v>new</v>
      </c>
      <c r="N1126" s="377">
        <f>LEN(Tableau14[[#This Row],[LABEL]])</f>
        <v>7</v>
      </c>
      <c r="O1126" s="377">
        <v>15</v>
      </c>
      <c r="P1126" s="377" t="e">
        <f>ROUND(Tableau14[[#This Row],[LEN]]*#REF!+#REF!,0)</f>
        <v>#REF!</v>
      </c>
    </row>
    <row r="1127" spans="1:16" s="97" customFormat="1" x14ac:dyDescent="0.25">
      <c r="A1127" s="61" t="s">
        <v>1883</v>
      </c>
      <c r="B1127" s="62" t="s">
        <v>332</v>
      </c>
      <c r="C1127" s="63" t="s">
        <v>602</v>
      </c>
      <c r="D1127" s="79" t="s">
        <v>28</v>
      </c>
      <c r="E1127" s="63" t="s">
        <v>661</v>
      </c>
      <c r="F1127" s="63" t="s">
        <v>1874</v>
      </c>
      <c r="G1127" s="79" t="s">
        <v>170</v>
      </c>
      <c r="H1127" s="79" t="s">
        <v>656</v>
      </c>
      <c r="I1127" s="63"/>
      <c r="J1127" s="64" t="s">
        <v>708</v>
      </c>
      <c r="K1127" s="120">
        <f>ROUND(Tableau14[[#This Row],[LEN]]*7.27,0)</f>
        <v>553</v>
      </c>
      <c r="L1127" s="120">
        <v>15</v>
      </c>
      <c r="M1127" s="137" t="str">
        <f t="shared" si="7"/>
        <v>none</v>
      </c>
      <c r="N1127" s="120">
        <f>LEN(Tableau14[[#This Row],[LABEL]])</f>
        <v>76</v>
      </c>
      <c r="O1127" s="120">
        <v>15</v>
      </c>
      <c r="P1127" s="120" t="e">
        <f>ROUND(Tableau14[[#This Row],[LEN]]*#REF!+#REF!,0)</f>
        <v>#REF!</v>
      </c>
    </row>
    <row r="1128" spans="1:16" s="97" customFormat="1" x14ac:dyDescent="0.25">
      <c r="A1128" s="61" t="s">
        <v>1884</v>
      </c>
      <c r="B1128" s="62" t="s">
        <v>332</v>
      </c>
      <c r="C1128" s="63" t="s">
        <v>50</v>
      </c>
      <c r="D1128" s="79" t="s">
        <v>28</v>
      </c>
      <c r="E1128" s="63" t="s">
        <v>1177</v>
      </c>
      <c r="F1128" s="63" t="s">
        <v>1084</v>
      </c>
      <c r="G1128" s="79" t="s">
        <v>1978</v>
      </c>
      <c r="H1128" s="79" t="s">
        <v>1131</v>
      </c>
      <c r="I1128" s="63"/>
      <c r="J1128" s="64" t="s">
        <v>708</v>
      </c>
      <c r="K1128" s="120">
        <f>ROUND(Tableau14[[#This Row],[LEN]]*7.27,0)</f>
        <v>87</v>
      </c>
      <c r="L1128" s="120">
        <v>15</v>
      </c>
      <c r="M1128" s="137" t="str">
        <f t="shared" si="7"/>
        <v>none</v>
      </c>
      <c r="N1128" s="120">
        <f>LEN(Tableau14[[#This Row],[LABEL]])</f>
        <v>12</v>
      </c>
      <c r="O1128" s="120">
        <v>15</v>
      </c>
      <c r="P1128" s="120" t="e">
        <f>ROUND(Tableau14[[#This Row],[LEN]]*#REF!+#REF!,0)</f>
        <v>#REF!</v>
      </c>
    </row>
    <row r="1129" spans="1:16" s="97" customFormat="1" x14ac:dyDescent="0.25">
      <c r="A1129" s="61" t="s">
        <v>1885</v>
      </c>
      <c r="B1129" s="62" t="s">
        <v>332</v>
      </c>
      <c r="C1129" s="63" t="s">
        <v>603</v>
      </c>
      <c r="D1129" s="79" t="s">
        <v>28</v>
      </c>
      <c r="E1129" s="63" t="s">
        <v>1177</v>
      </c>
      <c r="F1129" s="63" t="s">
        <v>1084</v>
      </c>
      <c r="G1129" s="79" t="s">
        <v>1977</v>
      </c>
      <c r="H1129" s="79" t="s">
        <v>1131</v>
      </c>
      <c r="I1129" s="63"/>
      <c r="J1129" s="64" t="s">
        <v>708</v>
      </c>
      <c r="K1129" s="120">
        <f>ROUND(Tableau14[[#This Row],[LEN]]*7.27,0)</f>
        <v>247</v>
      </c>
      <c r="L1129" s="120">
        <v>15</v>
      </c>
      <c r="M1129" s="137" t="str">
        <f t="shared" si="7"/>
        <v>none</v>
      </c>
      <c r="N1129" s="120">
        <f>LEN(Tableau14[[#This Row],[LABEL]])</f>
        <v>34</v>
      </c>
      <c r="O1129" s="120">
        <v>15</v>
      </c>
      <c r="P1129" s="120" t="e">
        <f>ROUND(Tableau14[[#This Row],[LEN]]*#REF!+#REF!,0)</f>
        <v>#REF!</v>
      </c>
    </row>
    <row r="1130" spans="1:16" s="273" customFormat="1" x14ac:dyDescent="0.25">
      <c r="A1130" s="372" t="s">
        <v>333</v>
      </c>
      <c r="B1130" s="373" t="s">
        <v>210</v>
      </c>
      <c r="C1130" s="374" t="s">
        <v>12</v>
      </c>
      <c r="D1130" s="375" t="s">
        <v>28</v>
      </c>
      <c r="E1130" s="374" t="s">
        <v>675</v>
      </c>
      <c r="F1130" s="374" t="s">
        <v>675</v>
      </c>
      <c r="G1130" s="375" t="s">
        <v>170</v>
      </c>
      <c r="H1130" s="375" t="str">
        <f>IFERROR(IF(SEARCH(".00.00.00.00.00",Tableau14[[#This Row],[name]],1)=7,"Division",""),"")</f>
        <v>Division</v>
      </c>
      <c r="I1130" s="374"/>
      <c r="J1130" s="376" t="s">
        <v>721</v>
      </c>
      <c r="K1130" s="377">
        <f>ROUND(Tableau14[[#This Row],[LEN]]*7.27,0)</f>
        <v>15</v>
      </c>
      <c r="L1130" s="377">
        <v>15</v>
      </c>
      <c r="M1130" s="378" t="str">
        <f t="shared" si="7"/>
        <v>new</v>
      </c>
      <c r="N1130" s="377">
        <f>LEN(Tableau14[[#This Row],[LABEL]])</f>
        <v>2</v>
      </c>
      <c r="O1130" s="377">
        <v>15</v>
      </c>
      <c r="P1130" s="377" t="e">
        <f>ROUND(Tableau14[[#This Row],[LEN]]*#REF!+#REF!,0)</f>
        <v>#REF!</v>
      </c>
    </row>
    <row r="1131" spans="1:16" s="97" customFormat="1" x14ac:dyDescent="0.25">
      <c r="A1131" s="61" t="s">
        <v>1898</v>
      </c>
      <c r="B1131" s="62" t="s">
        <v>333</v>
      </c>
      <c r="C1131" s="63" t="s">
        <v>1897</v>
      </c>
      <c r="D1131" s="79" t="s">
        <v>28</v>
      </c>
      <c r="E1131" s="63" t="s">
        <v>675</v>
      </c>
      <c r="F1131" s="63" t="s">
        <v>1177</v>
      </c>
      <c r="G1131" s="79" t="s">
        <v>170</v>
      </c>
      <c r="H1131" s="79" t="s">
        <v>656</v>
      </c>
      <c r="I1131" s="63"/>
      <c r="J1131" s="64" t="s">
        <v>708</v>
      </c>
      <c r="K1131" s="120">
        <f>ROUND(Tableau14[[#This Row],[LEN]]*7.27,0)</f>
        <v>465</v>
      </c>
      <c r="L1131" s="120">
        <v>15</v>
      </c>
      <c r="M1131" s="137" t="str">
        <f t="shared" si="7"/>
        <v>none</v>
      </c>
      <c r="N1131" s="120">
        <f>LEN(Tableau14[[#This Row],[LABEL]])</f>
        <v>64</v>
      </c>
      <c r="O1131" s="120">
        <v>15</v>
      </c>
      <c r="P1131" s="120" t="e">
        <f>ROUND(Tableau14[[#This Row],[LEN]]*#REF!+#REF!,0)</f>
        <v>#REF!</v>
      </c>
    </row>
    <row r="1132" spans="1:16" s="97" customFormat="1" x14ac:dyDescent="0.25">
      <c r="A1132" s="61" t="s">
        <v>1899</v>
      </c>
      <c r="B1132" s="62" t="s">
        <v>333</v>
      </c>
      <c r="C1132" s="63" t="s">
        <v>602</v>
      </c>
      <c r="D1132" s="79" t="s">
        <v>28</v>
      </c>
      <c r="E1132" s="63" t="s">
        <v>661</v>
      </c>
      <c r="F1132" s="63" t="s">
        <v>1874</v>
      </c>
      <c r="G1132" s="79" t="s">
        <v>170</v>
      </c>
      <c r="H1132" s="79" t="s">
        <v>656</v>
      </c>
      <c r="I1132" s="63"/>
      <c r="J1132" s="64" t="s">
        <v>708</v>
      </c>
      <c r="K1132" s="120">
        <f>ROUND(Tableau14[[#This Row],[LEN]]*7.27,0)</f>
        <v>553</v>
      </c>
      <c r="L1132" s="120">
        <v>15</v>
      </c>
      <c r="M1132" s="137" t="str">
        <f t="shared" si="7"/>
        <v>none</v>
      </c>
      <c r="N1132" s="120">
        <f>LEN(Tableau14[[#This Row],[LABEL]])</f>
        <v>76</v>
      </c>
      <c r="O1132" s="120">
        <v>15</v>
      </c>
      <c r="P1132" s="120" t="e">
        <f>ROUND(Tableau14[[#This Row],[LEN]]*#REF!+#REF!,0)</f>
        <v>#REF!</v>
      </c>
    </row>
    <row r="1133" spans="1:16" s="97" customFormat="1" x14ac:dyDescent="0.25">
      <c r="A1133" s="61" t="s">
        <v>1900</v>
      </c>
      <c r="B1133" s="62" t="s">
        <v>333</v>
      </c>
      <c r="C1133" s="63" t="s">
        <v>50</v>
      </c>
      <c r="D1133" s="79" t="s">
        <v>28</v>
      </c>
      <c r="E1133" s="63" t="s">
        <v>1177</v>
      </c>
      <c r="F1133" s="63" t="s">
        <v>1084</v>
      </c>
      <c r="G1133" s="79" t="s">
        <v>1978</v>
      </c>
      <c r="H1133" s="79" t="s">
        <v>1131</v>
      </c>
      <c r="I1133" s="63"/>
      <c r="J1133" s="64" t="s">
        <v>708</v>
      </c>
      <c r="K1133" s="120">
        <f>ROUND(Tableau14[[#This Row],[LEN]]*7.27,0)</f>
        <v>87</v>
      </c>
      <c r="L1133" s="120">
        <v>15</v>
      </c>
      <c r="M1133" s="137" t="str">
        <f t="shared" si="7"/>
        <v>none</v>
      </c>
      <c r="N1133" s="120">
        <f>LEN(Tableau14[[#This Row],[LABEL]])</f>
        <v>12</v>
      </c>
      <c r="O1133" s="120">
        <v>15</v>
      </c>
      <c r="P1133" s="120" t="e">
        <f>ROUND(Tableau14[[#This Row],[LEN]]*#REF!+#REF!,0)</f>
        <v>#REF!</v>
      </c>
    </row>
    <row r="1134" spans="1:16" s="97" customFormat="1" x14ac:dyDescent="0.25">
      <c r="A1134" s="61" t="s">
        <v>1901</v>
      </c>
      <c r="B1134" s="62" t="s">
        <v>333</v>
      </c>
      <c r="C1134" s="63" t="s">
        <v>603</v>
      </c>
      <c r="D1134" s="79" t="s">
        <v>28</v>
      </c>
      <c r="E1134" s="63" t="s">
        <v>1177</v>
      </c>
      <c r="F1134" s="63" t="s">
        <v>1084</v>
      </c>
      <c r="G1134" s="79" t="s">
        <v>1977</v>
      </c>
      <c r="H1134" s="79" t="s">
        <v>1131</v>
      </c>
      <c r="I1134" s="63"/>
      <c r="J1134" s="64" t="s">
        <v>708</v>
      </c>
      <c r="K1134" s="120">
        <f>ROUND(Tableau14[[#This Row],[LEN]]*7.27,0)</f>
        <v>247</v>
      </c>
      <c r="L1134" s="120">
        <v>15</v>
      </c>
      <c r="M1134" s="137" t="str">
        <f t="shared" si="7"/>
        <v>none</v>
      </c>
      <c r="N1134" s="120">
        <f>LEN(Tableau14[[#This Row],[LABEL]])</f>
        <v>34</v>
      </c>
      <c r="O1134" s="120">
        <v>15</v>
      </c>
      <c r="P1134" s="120" t="e">
        <f>ROUND(Tableau14[[#This Row],[LEN]]*#REF!+#REF!,0)</f>
        <v>#REF!</v>
      </c>
    </row>
    <row r="1135" spans="1:16" s="273" customFormat="1" x14ac:dyDescent="0.25">
      <c r="A1135" s="372" t="s">
        <v>334</v>
      </c>
      <c r="B1135" s="373" t="s">
        <v>210</v>
      </c>
      <c r="C1135" s="374" t="s">
        <v>71</v>
      </c>
      <c r="D1135" s="375" t="s">
        <v>28</v>
      </c>
      <c r="E1135" s="374" t="s">
        <v>676</v>
      </c>
      <c r="F1135" s="374" t="s">
        <v>676</v>
      </c>
      <c r="G1135" s="375" t="s">
        <v>170</v>
      </c>
      <c r="H1135" s="375" t="str">
        <f>IFERROR(IF(SEARCH(".00.00.00.00.00",Tableau14[[#This Row],[name]],1)=7,"Division",""),"")</f>
        <v>Division</v>
      </c>
      <c r="I1135" s="374"/>
      <c r="J1135" s="376" t="s">
        <v>722</v>
      </c>
      <c r="K1135" s="377">
        <f>ROUND(Tableau14[[#This Row],[LEN]]*7.27,0)</f>
        <v>29</v>
      </c>
      <c r="L1135" s="377">
        <v>15</v>
      </c>
      <c r="M1135" s="378" t="str">
        <f t="shared" si="7"/>
        <v>new</v>
      </c>
      <c r="N1135" s="377">
        <f>LEN(Tableau14[[#This Row],[LABEL]])</f>
        <v>4</v>
      </c>
      <c r="O1135" s="377">
        <v>15</v>
      </c>
      <c r="P1135" s="377" t="e">
        <f>ROUND(Tableau14[[#This Row],[LEN]]*#REF!+#REF!,0)</f>
        <v>#REF!</v>
      </c>
    </row>
    <row r="1136" spans="1:16" s="97" customFormat="1" x14ac:dyDescent="0.25">
      <c r="A1136" s="61" t="s">
        <v>1902</v>
      </c>
      <c r="B1136" s="62" t="s">
        <v>334</v>
      </c>
      <c r="C1136" s="63" t="s">
        <v>1906</v>
      </c>
      <c r="D1136" s="79" t="s">
        <v>1908</v>
      </c>
      <c r="E1136" s="63" t="s">
        <v>676</v>
      </c>
      <c r="F1136" s="63" t="s">
        <v>1907</v>
      </c>
      <c r="G1136" s="79" t="s">
        <v>170</v>
      </c>
      <c r="H1136" s="79" t="s">
        <v>656</v>
      </c>
      <c r="I1136" s="63"/>
      <c r="J1136" s="64" t="s">
        <v>708</v>
      </c>
      <c r="K1136" s="120">
        <f>ROUND(Tableau14[[#This Row],[LEN]]*7.27,0)</f>
        <v>240</v>
      </c>
      <c r="L1136" s="120">
        <v>15</v>
      </c>
      <c r="M1136" s="137" t="str">
        <f t="shared" si="7"/>
        <v>none</v>
      </c>
      <c r="N1136" s="120">
        <f>LEN(Tableau14[[#This Row],[LABEL]])</f>
        <v>33</v>
      </c>
      <c r="O1136" s="120">
        <v>15</v>
      </c>
      <c r="P1136" s="120" t="e">
        <f>ROUND(Tableau14[[#This Row],[LEN]]*#REF!+#REF!,0)</f>
        <v>#REF!</v>
      </c>
    </row>
    <row r="1137" spans="1:16" s="97" customFormat="1" x14ac:dyDescent="0.25">
      <c r="A1137" s="61" t="s">
        <v>1903</v>
      </c>
      <c r="B1137" s="62" t="s">
        <v>334</v>
      </c>
      <c r="C1137" s="63" t="s">
        <v>602</v>
      </c>
      <c r="D1137" s="79" t="s">
        <v>28</v>
      </c>
      <c r="E1137" s="63" t="s">
        <v>661</v>
      </c>
      <c r="F1137" s="63" t="s">
        <v>1874</v>
      </c>
      <c r="G1137" s="79" t="s">
        <v>170</v>
      </c>
      <c r="H1137" s="79" t="s">
        <v>656</v>
      </c>
      <c r="I1137" s="63"/>
      <c r="J1137" s="64" t="s">
        <v>708</v>
      </c>
      <c r="K1137" s="120">
        <f>ROUND(Tableau14[[#This Row],[LEN]]*7.27,0)</f>
        <v>553</v>
      </c>
      <c r="L1137" s="120">
        <v>15</v>
      </c>
      <c r="M1137" s="137" t="str">
        <f t="shared" si="7"/>
        <v>none</v>
      </c>
      <c r="N1137" s="120">
        <f>LEN(Tableau14[[#This Row],[LABEL]])</f>
        <v>76</v>
      </c>
      <c r="O1137" s="120">
        <v>15</v>
      </c>
      <c r="P1137" s="120" t="e">
        <f>ROUND(Tableau14[[#This Row],[LEN]]*#REF!+#REF!,0)</f>
        <v>#REF!</v>
      </c>
    </row>
    <row r="1138" spans="1:16" s="97" customFormat="1" x14ac:dyDescent="0.25">
      <c r="A1138" s="61" t="s">
        <v>1904</v>
      </c>
      <c r="B1138" s="62" t="s">
        <v>334</v>
      </c>
      <c r="C1138" s="63" t="s">
        <v>50</v>
      </c>
      <c r="D1138" s="79" t="s">
        <v>28</v>
      </c>
      <c r="E1138" s="63" t="s">
        <v>1177</v>
      </c>
      <c r="F1138" s="63" t="s">
        <v>1084</v>
      </c>
      <c r="G1138" s="79" t="s">
        <v>1978</v>
      </c>
      <c r="H1138" s="79" t="s">
        <v>1131</v>
      </c>
      <c r="I1138" s="63"/>
      <c r="J1138" s="64" t="s">
        <v>708</v>
      </c>
      <c r="K1138" s="120">
        <f>ROUND(Tableau14[[#This Row],[LEN]]*7.27,0)</f>
        <v>87</v>
      </c>
      <c r="L1138" s="120">
        <v>15</v>
      </c>
      <c r="M1138" s="137" t="str">
        <f t="shared" si="7"/>
        <v>none</v>
      </c>
      <c r="N1138" s="120">
        <f>LEN(Tableau14[[#This Row],[LABEL]])</f>
        <v>12</v>
      </c>
      <c r="O1138" s="120">
        <v>15</v>
      </c>
      <c r="P1138" s="120" t="e">
        <f>ROUND(Tableau14[[#This Row],[LEN]]*#REF!+#REF!,0)</f>
        <v>#REF!</v>
      </c>
    </row>
    <row r="1139" spans="1:16" s="97" customFormat="1" x14ac:dyDescent="0.25">
      <c r="A1139" s="61" t="s">
        <v>1905</v>
      </c>
      <c r="B1139" s="62" t="s">
        <v>334</v>
      </c>
      <c r="C1139" s="63" t="s">
        <v>603</v>
      </c>
      <c r="D1139" s="79" t="s">
        <v>28</v>
      </c>
      <c r="E1139" s="63" t="s">
        <v>1177</v>
      </c>
      <c r="F1139" s="63" t="s">
        <v>1084</v>
      </c>
      <c r="G1139" s="79" t="s">
        <v>1977</v>
      </c>
      <c r="H1139" s="79" t="s">
        <v>1131</v>
      </c>
      <c r="I1139" s="63"/>
      <c r="J1139" s="64" t="s">
        <v>708</v>
      </c>
      <c r="K1139" s="120">
        <f>ROUND(Tableau14[[#This Row],[LEN]]*7.27,0)</f>
        <v>247</v>
      </c>
      <c r="L1139" s="120">
        <v>15</v>
      </c>
      <c r="M1139" s="137" t="str">
        <f t="shared" si="7"/>
        <v>none</v>
      </c>
      <c r="N1139" s="120">
        <f>LEN(Tableau14[[#This Row],[LABEL]])</f>
        <v>34</v>
      </c>
      <c r="O1139" s="120">
        <v>15</v>
      </c>
      <c r="P1139" s="120" t="e">
        <f>ROUND(Tableau14[[#This Row],[LEN]]*#REF!+#REF!,0)</f>
        <v>#REF!</v>
      </c>
    </row>
    <row r="1140" spans="1:16" s="273" customFormat="1" x14ac:dyDescent="0.25">
      <c r="A1140" s="372" t="s">
        <v>335</v>
      </c>
      <c r="B1140" s="373" t="s">
        <v>210</v>
      </c>
      <c r="C1140" s="374" t="s">
        <v>13</v>
      </c>
      <c r="D1140" s="375" t="s">
        <v>28</v>
      </c>
      <c r="E1140" s="374" t="s">
        <v>677</v>
      </c>
      <c r="F1140" s="374" t="s">
        <v>677</v>
      </c>
      <c r="G1140" s="375" t="s">
        <v>170</v>
      </c>
      <c r="H1140" s="375" t="str">
        <f>IFERROR(IF(SEARCH(".00.00.00.00.00",Tableau14[[#This Row],[name]],1)=7,"Division",""),"")</f>
        <v>Division</v>
      </c>
      <c r="I1140" s="374"/>
      <c r="J1140" s="376" t="s">
        <v>723</v>
      </c>
      <c r="K1140" s="377">
        <f>ROUND(Tableau14[[#This Row],[LEN]]*7.27,0)</f>
        <v>80</v>
      </c>
      <c r="L1140" s="377">
        <v>15</v>
      </c>
      <c r="M1140" s="378" t="str">
        <f t="shared" si="7"/>
        <v>new</v>
      </c>
      <c r="N1140" s="377">
        <f>LEN(Tableau14[[#This Row],[LABEL]])</f>
        <v>11</v>
      </c>
      <c r="O1140" s="377">
        <v>15</v>
      </c>
      <c r="P1140" s="377" t="e">
        <f>ROUND(Tableau14[[#This Row],[LEN]]*#REF!+#REF!,0)</f>
        <v>#REF!</v>
      </c>
    </row>
    <row r="1141" spans="1:16" s="97" customFormat="1" x14ac:dyDescent="0.25">
      <c r="A1141" s="61" t="s">
        <v>1909</v>
      </c>
      <c r="B1141" s="62" t="s">
        <v>335</v>
      </c>
      <c r="C1141" s="63" t="s">
        <v>602</v>
      </c>
      <c r="D1141" s="79" t="s">
        <v>28</v>
      </c>
      <c r="E1141" s="63" t="s">
        <v>661</v>
      </c>
      <c r="F1141" s="63" t="s">
        <v>1874</v>
      </c>
      <c r="G1141" s="79" t="s">
        <v>170</v>
      </c>
      <c r="H1141" s="79" t="s">
        <v>656</v>
      </c>
      <c r="I1141" s="63"/>
      <c r="J1141" s="64" t="s">
        <v>708</v>
      </c>
      <c r="K1141" s="120">
        <f>ROUND(Tableau14[[#This Row],[LEN]]*7.27,0)</f>
        <v>553</v>
      </c>
      <c r="L1141" s="120">
        <v>15</v>
      </c>
      <c r="M1141" s="137" t="str">
        <f t="shared" si="7"/>
        <v>none</v>
      </c>
      <c r="N1141" s="120">
        <f>LEN(Tableau14[[#This Row],[LABEL]])</f>
        <v>76</v>
      </c>
      <c r="O1141" s="120">
        <v>15</v>
      </c>
      <c r="P1141" s="120" t="e">
        <f>ROUND(Tableau14[[#This Row],[LEN]]*#REF!+#REF!,0)</f>
        <v>#REF!</v>
      </c>
    </row>
    <row r="1142" spans="1:16" s="97" customFormat="1" x14ac:dyDescent="0.25">
      <c r="A1142" s="61" t="s">
        <v>1910</v>
      </c>
      <c r="B1142" s="62" t="s">
        <v>335</v>
      </c>
      <c r="C1142" s="63" t="s">
        <v>50</v>
      </c>
      <c r="D1142" s="79" t="s">
        <v>28</v>
      </c>
      <c r="E1142" s="63" t="s">
        <v>1177</v>
      </c>
      <c r="F1142" s="63" t="s">
        <v>1084</v>
      </c>
      <c r="G1142" s="79" t="s">
        <v>1978</v>
      </c>
      <c r="H1142" s="79" t="s">
        <v>1131</v>
      </c>
      <c r="I1142" s="63"/>
      <c r="J1142" s="64" t="s">
        <v>708</v>
      </c>
      <c r="K1142" s="120">
        <f>ROUND(Tableau14[[#This Row],[LEN]]*7.27,0)</f>
        <v>87</v>
      </c>
      <c r="L1142" s="120">
        <v>15</v>
      </c>
      <c r="M1142" s="137" t="str">
        <f t="shared" si="7"/>
        <v>none</v>
      </c>
      <c r="N1142" s="120">
        <f>LEN(Tableau14[[#This Row],[LABEL]])</f>
        <v>12</v>
      </c>
      <c r="O1142" s="120">
        <v>15</v>
      </c>
      <c r="P1142" s="120" t="e">
        <f>ROUND(Tableau14[[#This Row],[LEN]]*#REF!+#REF!,0)</f>
        <v>#REF!</v>
      </c>
    </row>
    <row r="1143" spans="1:16" s="97" customFormat="1" x14ac:dyDescent="0.25">
      <c r="A1143" s="61" t="s">
        <v>1911</v>
      </c>
      <c r="B1143" s="62" t="s">
        <v>335</v>
      </c>
      <c r="C1143" s="63" t="s">
        <v>603</v>
      </c>
      <c r="D1143" s="79" t="s">
        <v>28</v>
      </c>
      <c r="E1143" s="63" t="s">
        <v>1177</v>
      </c>
      <c r="F1143" s="63" t="s">
        <v>1084</v>
      </c>
      <c r="G1143" s="79" t="s">
        <v>1977</v>
      </c>
      <c r="H1143" s="79" t="s">
        <v>1131</v>
      </c>
      <c r="I1143" s="63"/>
      <c r="J1143" s="64" t="s">
        <v>708</v>
      </c>
      <c r="K1143" s="120">
        <f>ROUND(Tableau14[[#This Row],[LEN]]*7.27,0)</f>
        <v>247</v>
      </c>
      <c r="L1143" s="120">
        <v>15</v>
      </c>
      <c r="M1143" s="137" t="str">
        <f t="shared" si="7"/>
        <v>none</v>
      </c>
      <c r="N1143" s="120">
        <f>LEN(Tableau14[[#This Row],[LABEL]])</f>
        <v>34</v>
      </c>
      <c r="O1143" s="120">
        <v>15</v>
      </c>
      <c r="P1143" s="120" t="e">
        <f>ROUND(Tableau14[[#This Row],[LEN]]*#REF!+#REF!,0)</f>
        <v>#REF!</v>
      </c>
    </row>
    <row r="1144" spans="1:16" s="273" customFormat="1" x14ac:dyDescent="0.25">
      <c r="A1144" s="372" t="s">
        <v>336</v>
      </c>
      <c r="B1144" s="373" t="s">
        <v>210</v>
      </c>
      <c r="C1144" s="374" t="s">
        <v>14</v>
      </c>
      <c r="D1144" s="375" t="s">
        <v>28</v>
      </c>
      <c r="E1144" s="374" t="s">
        <v>678</v>
      </c>
      <c r="F1144" s="374" t="s">
        <v>678</v>
      </c>
      <c r="G1144" s="375" t="s">
        <v>170</v>
      </c>
      <c r="H1144" s="375" t="str">
        <f>IFERROR(IF(SEARCH(".00.00.00.00.00",Tableau14[[#This Row],[name]],1)=7,"Division",""),"")</f>
        <v>Division</v>
      </c>
      <c r="I1144" s="374"/>
      <c r="J1144" s="376" t="s">
        <v>724</v>
      </c>
      <c r="K1144" s="377">
        <f>ROUND(Tableau14[[#This Row],[LEN]]*7.27,0)</f>
        <v>240</v>
      </c>
      <c r="L1144" s="377">
        <v>15</v>
      </c>
      <c r="M1144" s="378" t="str">
        <f t="shared" si="7"/>
        <v>new</v>
      </c>
      <c r="N1144" s="377">
        <f>LEN(Tableau14[[#This Row],[LABEL]])</f>
        <v>33</v>
      </c>
      <c r="O1144" s="377">
        <v>15</v>
      </c>
      <c r="P1144" s="377" t="e">
        <f>ROUND(Tableau14[[#This Row],[LEN]]*#REF!+#REF!,0)</f>
        <v>#REF!</v>
      </c>
    </row>
    <row r="1145" spans="1:16" s="97" customFormat="1" x14ac:dyDescent="0.25">
      <c r="A1145" s="61" t="s">
        <v>1912</v>
      </c>
      <c r="B1145" s="62" t="s">
        <v>336</v>
      </c>
      <c r="C1145" s="63" t="s">
        <v>1917</v>
      </c>
      <c r="D1145" s="79" t="s">
        <v>28</v>
      </c>
      <c r="E1145" s="63" t="s">
        <v>678</v>
      </c>
      <c r="F1145" s="63" t="s">
        <v>1177</v>
      </c>
      <c r="G1145" s="79" t="s">
        <v>170</v>
      </c>
      <c r="H1145" s="79" t="s">
        <v>654</v>
      </c>
      <c r="I1145" s="63"/>
      <c r="J1145" s="64" t="s">
        <v>708</v>
      </c>
      <c r="K1145" s="120">
        <f>ROUND(Tableau14[[#This Row],[LEN]]*7.27,0)</f>
        <v>211</v>
      </c>
      <c r="L1145" s="120">
        <v>15</v>
      </c>
      <c r="M1145" s="137" t="str">
        <f t="shared" si="7"/>
        <v>none</v>
      </c>
      <c r="N1145" s="120">
        <f>LEN(Tableau14[[#This Row],[LABEL]])</f>
        <v>29</v>
      </c>
      <c r="O1145" s="120">
        <v>15</v>
      </c>
      <c r="P1145" s="120" t="e">
        <f>ROUND(Tableau14[[#This Row],[LEN]]*#REF!+#REF!,0)</f>
        <v>#REF!</v>
      </c>
    </row>
    <row r="1146" spans="1:16" s="97" customFormat="1" x14ac:dyDescent="0.25">
      <c r="A1146" s="61" t="s">
        <v>1913</v>
      </c>
      <c r="B1146" s="62" t="s">
        <v>336</v>
      </c>
      <c r="C1146" s="63" t="s">
        <v>1918</v>
      </c>
      <c r="D1146" s="79" t="s">
        <v>28</v>
      </c>
      <c r="E1146" s="63" t="s">
        <v>678</v>
      </c>
      <c r="F1146" s="63" t="s">
        <v>1177</v>
      </c>
      <c r="G1146" s="79" t="s">
        <v>170</v>
      </c>
      <c r="H1146" s="79" t="s">
        <v>654</v>
      </c>
      <c r="I1146" s="63"/>
      <c r="J1146" s="64" t="s">
        <v>708</v>
      </c>
      <c r="K1146" s="120">
        <f>ROUND(Tableau14[[#This Row],[LEN]]*7.27,0)</f>
        <v>189</v>
      </c>
      <c r="L1146" s="120">
        <v>15</v>
      </c>
      <c r="M1146" s="137" t="str">
        <f t="shared" si="7"/>
        <v>none</v>
      </c>
      <c r="N1146" s="120">
        <f>LEN(Tableau14[[#This Row],[LABEL]])</f>
        <v>26</v>
      </c>
      <c r="O1146" s="120">
        <v>15</v>
      </c>
      <c r="P1146" s="120" t="e">
        <f>ROUND(Tableau14[[#This Row],[LEN]]*#REF!+#REF!,0)</f>
        <v>#REF!</v>
      </c>
    </row>
    <row r="1147" spans="1:16" s="97" customFormat="1" x14ac:dyDescent="0.25">
      <c r="A1147" s="61" t="s">
        <v>1914</v>
      </c>
      <c r="B1147" s="62" t="s">
        <v>336</v>
      </c>
      <c r="C1147" s="63" t="s">
        <v>602</v>
      </c>
      <c r="D1147" s="79" t="s">
        <v>28</v>
      </c>
      <c r="E1147" s="63" t="s">
        <v>661</v>
      </c>
      <c r="F1147" s="63" t="s">
        <v>1874</v>
      </c>
      <c r="G1147" s="79" t="s">
        <v>170</v>
      </c>
      <c r="H1147" s="79" t="s">
        <v>656</v>
      </c>
      <c r="I1147" s="63"/>
      <c r="J1147" s="64" t="s">
        <v>708</v>
      </c>
      <c r="K1147" s="120">
        <f>ROUND(Tableau14[[#This Row],[LEN]]*7.27,0)</f>
        <v>553</v>
      </c>
      <c r="L1147" s="120">
        <v>15</v>
      </c>
      <c r="M1147" s="137" t="str">
        <f t="shared" si="7"/>
        <v>none</v>
      </c>
      <c r="N1147" s="120">
        <f>LEN(Tableau14[[#This Row],[LABEL]])</f>
        <v>76</v>
      </c>
      <c r="O1147" s="120">
        <v>15</v>
      </c>
      <c r="P1147" s="120" t="e">
        <f>ROUND(Tableau14[[#This Row],[LEN]]*#REF!+#REF!,0)</f>
        <v>#REF!</v>
      </c>
    </row>
    <row r="1148" spans="1:16" s="97" customFormat="1" x14ac:dyDescent="0.25">
      <c r="A1148" s="61" t="s">
        <v>1915</v>
      </c>
      <c r="B1148" s="62" t="s">
        <v>336</v>
      </c>
      <c r="C1148" s="63" t="s">
        <v>50</v>
      </c>
      <c r="D1148" s="79" t="s">
        <v>28</v>
      </c>
      <c r="E1148" s="63" t="s">
        <v>1177</v>
      </c>
      <c r="F1148" s="63" t="s">
        <v>1084</v>
      </c>
      <c r="G1148" s="79" t="s">
        <v>1978</v>
      </c>
      <c r="H1148" s="79" t="s">
        <v>1131</v>
      </c>
      <c r="I1148" s="63"/>
      <c r="J1148" s="64" t="s">
        <v>708</v>
      </c>
      <c r="K1148" s="120">
        <f>ROUND(Tableau14[[#This Row],[LEN]]*7.27,0)</f>
        <v>87</v>
      </c>
      <c r="L1148" s="120">
        <v>15</v>
      </c>
      <c r="M1148" s="137" t="str">
        <f t="shared" si="7"/>
        <v>none</v>
      </c>
      <c r="N1148" s="120">
        <f>LEN(Tableau14[[#This Row],[LABEL]])</f>
        <v>12</v>
      </c>
      <c r="O1148" s="120">
        <v>15</v>
      </c>
      <c r="P1148" s="120" t="e">
        <f>ROUND(Tableau14[[#This Row],[LEN]]*#REF!+#REF!,0)</f>
        <v>#REF!</v>
      </c>
    </row>
    <row r="1149" spans="1:16" s="97" customFormat="1" x14ac:dyDescent="0.25">
      <c r="A1149" s="61" t="s">
        <v>1916</v>
      </c>
      <c r="B1149" s="62" t="s">
        <v>336</v>
      </c>
      <c r="C1149" s="63" t="s">
        <v>603</v>
      </c>
      <c r="D1149" s="79" t="s">
        <v>28</v>
      </c>
      <c r="E1149" s="63" t="s">
        <v>1177</v>
      </c>
      <c r="F1149" s="63" t="s">
        <v>1084</v>
      </c>
      <c r="G1149" s="79" t="s">
        <v>1977</v>
      </c>
      <c r="H1149" s="79" t="s">
        <v>1131</v>
      </c>
      <c r="I1149" s="63"/>
      <c r="J1149" s="64" t="s">
        <v>708</v>
      </c>
      <c r="K1149" s="120">
        <f>ROUND(Tableau14[[#This Row],[LEN]]*7.27,0)</f>
        <v>247</v>
      </c>
      <c r="L1149" s="120">
        <v>15</v>
      </c>
      <c r="M1149" s="137" t="str">
        <f t="shared" si="7"/>
        <v>none</v>
      </c>
      <c r="N1149" s="120">
        <f>LEN(Tableau14[[#This Row],[LABEL]])</f>
        <v>34</v>
      </c>
      <c r="O1149" s="120">
        <v>15</v>
      </c>
      <c r="P1149" s="120" t="e">
        <f>ROUND(Tableau14[[#This Row],[LEN]]*#REF!+#REF!,0)</f>
        <v>#REF!</v>
      </c>
    </row>
    <row r="1150" spans="1:16" s="273" customFormat="1" x14ac:dyDescent="0.25">
      <c r="A1150" s="379" t="s">
        <v>337</v>
      </c>
      <c r="B1150" s="380" t="s">
        <v>210</v>
      </c>
      <c r="C1150" s="381" t="s">
        <v>15</v>
      </c>
      <c r="D1150" s="382" t="s">
        <v>28</v>
      </c>
      <c r="E1150" s="381" t="s">
        <v>679</v>
      </c>
      <c r="F1150" s="381" t="s">
        <v>679</v>
      </c>
      <c r="G1150" s="382" t="s">
        <v>170</v>
      </c>
      <c r="H1150" s="382" t="str">
        <f>IFERROR(IF(SEARCH(".00.00.00.00.00",Tableau14[[#This Row],[name]],1)=7,"Division",""),"")</f>
        <v>Division</v>
      </c>
      <c r="I1150" s="381"/>
      <c r="J1150" s="383" t="s">
        <v>725</v>
      </c>
      <c r="K1150" s="384">
        <f>ROUND(Tableau14[[#This Row],[LEN]]*7.27,0)</f>
        <v>174</v>
      </c>
      <c r="L1150" s="384">
        <v>15</v>
      </c>
      <c r="M1150" s="385" t="str">
        <f t="shared" si="7"/>
        <v>new</v>
      </c>
      <c r="N1150" s="384">
        <f>LEN(Tableau14[[#This Row],[LABEL]])</f>
        <v>24</v>
      </c>
      <c r="O1150" s="384">
        <v>15</v>
      </c>
      <c r="P1150" s="384" t="e">
        <f>ROUND(Tableau14[[#This Row],[LEN]]*#REF!+#REF!,0)</f>
        <v>#REF!</v>
      </c>
    </row>
    <row r="1151" spans="1:16" s="97" customFormat="1" x14ac:dyDescent="0.25">
      <c r="A1151" s="61" t="s">
        <v>1921</v>
      </c>
      <c r="B1151" s="62" t="s">
        <v>337</v>
      </c>
      <c r="C1151" s="63" t="s">
        <v>1919</v>
      </c>
      <c r="D1151" s="79" t="s">
        <v>28</v>
      </c>
      <c r="E1151" s="63" t="s">
        <v>679</v>
      </c>
      <c r="F1151" s="63" t="s">
        <v>1920</v>
      </c>
      <c r="G1151" s="79" t="s">
        <v>170</v>
      </c>
      <c r="H1151" s="79" t="s">
        <v>656</v>
      </c>
      <c r="I1151" s="63"/>
      <c r="J1151" s="64" t="s">
        <v>708</v>
      </c>
      <c r="K1151" s="120">
        <f>ROUND(Tableau14[[#This Row],[LEN]]*7.27,0)</f>
        <v>225</v>
      </c>
      <c r="L1151" s="120">
        <v>15</v>
      </c>
      <c r="M1151" s="137" t="str">
        <f t="shared" si="7"/>
        <v>none</v>
      </c>
      <c r="N1151" s="120">
        <f>LEN(Tableau14[[#This Row],[LABEL]])</f>
        <v>31</v>
      </c>
      <c r="O1151" s="120">
        <v>15</v>
      </c>
      <c r="P1151" s="120" t="e">
        <f>ROUND(Tableau14[[#This Row],[LEN]]*#REF!+#REF!,0)</f>
        <v>#REF!</v>
      </c>
    </row>
    <row r="1152" spans="1:16" s="97" customFormat="1" x14ac:dyDescent="0.25">
      <c r="A1152" s="61" t="s">
        <v>1922</v>
      </c>
      <c r="B1152" s="62" t="s">
        <v>337</v>
      </c>
      <c r="C1152" s="63" t="s">
        <v>602</v>
      </c>
      <c r="D1152" s="79" t="s">
        <v>28</v>
      </c>
      <c r="E1152" s="63" t="s">
        <v>661</v>
      </c>
      <c r="F1152" s="63" t="s">
        <v>1874</v>
      </c>
      <c r="G1152" s="79" t="s">
        <v>170</v>
      </c>
      <c r="H1152" s="79" t="s">
        <v>656</v>
      </c>
      <c r="I1152" s="63"/>
      <c r="J1152" s="64" t="s">
        <v>708</v>
      </c>
      <c r="K1152" s="120">
        <f>ROUND(Tableau14[[#This Row],[LEN]]*7.27,0)</f>
        <v>553</v>
      </c>
      <c r="L1152" s="120">
        <v>15</v>
      </c>
      <c r="M1152" s="137" t="str">
        <f t="shared" si="7"/>
        <v>none</v>
      </c>
      <c r="N1152" s="120">
        <f>LEN(Tableau14[[#This Row],[LABEL]])</f>
        <v>76</v>
      </c>
      <c r="O1152" s="120">
        <v>15</v>
      </c>
      <c r="P1152" s="120" t="e">
        <f>ROUND(Tableau14[[#This Row],[LEN]]*#REF!+#REF!,0)</f>
        <v>#REF!</v>
      </c>
    </row>
    <row r="1153" spans="1:16" s="97" customFormat="1" x14ac:dyDescent="0.25">
      <c r="A1153" s="61" t="s">
        <v>1923</v>
      </c>
      <c r="B1153" s="62" t="s">
        <v>337</v>
      </c>
      <c r="C1153" s="63" t="s">
        <v>50</v>
      </c>
      <c r="D1153" s="79" t="s">
        <v>28</v>
      </c>
      <c r="E1153" s="63" t="s">
        <v>1177</v>
      </c>
      <c r="F1153" s="63" t="s">
        <v>1084</v>
      </c>
      <c r="G1153" s="79" t="s">
        <v>1978</v>
      </c>
      <c r="H1153" s="79" t="s">
        <v>1131</v>
      </c>
      <c r="I1153" s="63"/>
      <c r="J1153" s="64" t="s">
        <v>708</v>
      </c>
      <c r="K1153" s="120">
        <f>ROUND(Tableau14[[#This Row],[LEN]]*7.27,0)</f>
        <v>87</v>
      </c>
      <c r="L1153" s="120">
        <v>15</v>
      </c>
      <c r="M1153" s="137" t="str">
        <f t="shared" si="7"/>
        <v>none</v>
      </c>
      <c r="N1153" s="120">
        <f>LEN(Tableau14[[#This Row],[LABEL]])</f>
        <v>12</v>
      </c>
      <c r="O1153" s="120">
        <v>15</v>
      </c>
      <c r="P1153" s="120" t="e">
        <f>ROUND(Tableau14[[#This Row],[LEN]]*#REF!+#REF!,0)</f>
        <v>#REF!</v>
      </c>
    </row>
    <row r="1154" spans="1:16" s="97" customFormat="1" x14ac:dyDescent="0.25">
      <c r="A1154" s="61" t="s">
        <v>1924</v>
      </c>
      <c r="B1154" s="62" t="s">
        <v>337</v>
      </c>
      <c r="C1154" s="63" t="s">
        <v>603</v>
      </c>
      <c r="D1154" s="79" t="s">
        <v>28</v>
      </c>
      <c r="E1154" s="63" t="s">
        <v>1177</v>
      </c>
      <c r="F1154" s="63" t="s">
        <v>1084</v>
      </c>
      <c r="G1154" s="79" t="s">
        <v>1977</v>
      </c>
      <c r="H1154" s="79" t="s">
        <v>1131</v>
      </c>
      <c r="I1154" s="63"/>
      <c r="J1154" s="64" t="s">
        <v>708</v>
      </c>
      <c r="K1154" s="120">
        <f>ROUND(Tableau14[[#This Row],[LEN]]*7.27,0)</f>
        <v>247</v>
      </c>
      <c r="L1154" s="120">
        <v>15</v>
      </c>
      <c r="M1154" s="137" t="str">
        <f t="shared" si="7"/>
        <v>none</v>
      </c>
      <c r="N1154" s="120">
        <f>LEN(Tableau14[[#This Row],[LABEL]])</f>
        <v>34</v>
      </c>
      <c r="O1154" s="120">
        <v>15</v>
      </c>
      <c r="P1154" s="120" t="e">
        <f>ROUND(Tableau14[[#This Row],[LEN]]*#REF!+#REF!,0)</f>
        <v>#REF!</v>
      </c>
    </row>
    <row r="1155" spans="1:16" s="273" customFormat="1" x14ac:dyDescent="0.25">
      <c r="A1155" s="379" t="s">
        <v>2049</v>
      </c>
      <c r="B1155" s="380" t="s">
        <v>210</v>
      </c>
      <c r="C1155" s="381" t="s">
        <v>1950</v>
      </c>
      <c r="D1155" s="382" t="s">
        <v>28</v>
      </c>
      <c r="E1155" s="381" t="s">
        <v>1951</v>
      </c>
      <c r="F1155" s="381" t="s">
        <v>1951</v>
      </c>
      <c r="G1155" s="382" t="s">
        <v>170</v>
      </c>
      <c r="H1155" s="382" t="s">
        <v>56</v>
      </c>
      <c r="I1155" s="381"/>
      <c r="J1155" s="383" t="s">
        <v>708</v>
      </c>
      <c r="K1155" s="384">
        <f>ROUND(Tableau14[[#This Row],[LEN]]*7.27,0)</f>
        <v>51</v>
      </c>
      <c r="L1155" s="384">
        <v>15</v>
      </c>
      <c r="M1155" s="385" t="str">
        <f t="shared" si="7"/>
        <v>none</v>
      </c>
      <c r="N1155" s="384">
        <f>LEN(Tableau14[[#This Row],[LABEL]])</f>
        <v>7</v>
      </c>
      <c r="O1155" s="384">
        <v>15</v>
      </c>
      <c r="P1155" s="384" t="e">
        <f>ROUND(Tableau14[[#This Row],[LEN]]*#REF!+#REF!,0)</f>
        <v>#REF!</v>
      </c>
    </row>
    <row r="1156" spans="1:16" s="97" customFormat="1" x14ac:dyDescent="0.25">
      <c r="A1156" s="61" t="s">
        <v>2050</v>
      </c>
      <c r="B1156" s="62" t="s">
        <v>2049</v>
      </c>
      <c r="C1156" s="63" t="s">
        <v>2055</v>
      </c>
      <c r="D1156" s="79" t="s">
        <v>28</v>
      </c>
      <c r="E1156" s="63" t="s">
        <v>1951</v>
      </c>
      <c r="F1156" s="63" t="s">
        <v>1177</v>
      </c>
      <c r="G1156" s="79" t="s">
        <v>170</v>
      </c>
      <c r="H1156" s="79" t="s">
        <v>654</v>
      </c>
      <c r="I1156" s="63"/>
      <c r="J1156" s="64" t="s">
        <v>708</v>
      </c>
      <c r="K1156" s="120">
        <f>ROUND(Tableau14[[#This Row],[LEN]]*7.27,0)</f>
        <v>502</v>
      </c>
      <c r="L1156" s="120">
        <v>15</v>
      </c>
      <c r="M1156" s="137" t="str">
        <f t="shared" si="7"/>
        <v>none</v>
      </c>
      <c r="N1156" s="120">
        <f>LEN(Tableau14[[#This Row],[LABEL]])</f>
        <v>69</v>
      </c>
      <c r="O1156" s="120">
        <v>15</v>
      </c>
      <c r="P1156" s="120" t="e">
        <f>ROUND(Tableau14[[#This Row],[LEN]]*#REF!+#REF!,0)</f>
        <v>#REF!</v>
      </c>
    </row>
    <row r="1157" spans="1:16" s="97" customFormat="1" x14ac:dyDescent="0.25">
      <c r="A1157" s="61" t="s">
        <v>2051</v>
      </c>
      <c r="B1157" s="62" t="s">
        <v>2049</v>
      </c>
      <c r="C1157" s="63" t="s">
        <v>2056</v>
      </c>
      <c r="D1157" s="79" t="s">
        <v>28</v>
      </c>
      <c r="E1157" s="63" t="s">
        <v>1951</v>
      </c>
      <c r="F1157" s="63" t="s">
        <v>1177</v>
      </c>
      <c r="G1157" s="79" t="s">
        <v>170</v>
      </c>
      <c r="H1157" s="79" t="s">
        <v>654</v>
      </c>
      <c r="I1157" s="63"/>
      <c r="J1157" s="64" t="s">
        <v>708</v>
      </c>
      <c r="K1157" s="120">
        <f>ROUND(Tableau14[[#This Row],[LEN]]*7.27,0)</f>
        <v>582</v>
      </c>
      <c r="L1157" s="120">
        <v>15</v>
      </c>
      <c r="M1157" s="137" t="str">
        <f t="shared" si="7"/>
        <v>none</v>
      </c>
      <c r="N1157" s="120">
        <f>LEN(Tableau14[[#This Row],[LABEL]])</f>
        <v>80</v>
      </c>
      <c r="O1157" s="120">
        <v>15</v>
      </c>
      <c r="P1157" s="120" t="e">
        <f>ROUND(Tableau14[[#This Row],[LEN]]*#REF!+#REF!,0)</f>
        <v>#REF!</v>
      </c>
    </row>
    <row r="1158" spans="1:16" s="97" customFormat="1" x14ac:dyDescent="0.25">
      <c r="A1158" s="61" t="s">
        <v>2052</v>
      </c>
      <c r="B1158" s="62" t="s">
        <v>2049</v>
      </c>
      <c r="C1158" s="63" t="s">
        <v>2057</v>
      </c>
      <c r="D1158" s="79" t="s">
        <v>28</v>
      </c>
      <c r="E1158" s="63" t="s">
        <v>1951</v>
      </c>
      <c r="F1158" s="63" t="s">
        <v>1177</v>
      </c>
      <c r="G1158" s="79" t="s">
        <v>170</v>
      </c>
      <c r="H1158" s="79" t="s">
        <v>654</v>
      </c>
      <c r="I1158" s="63"/>
      <c r="J1158" s="64" t="s">
        <v>708</v>
      </c>
      <c r="K1158" s="120">
        <f>ROUND(Tableau14[[#This Row],[LEN]]*7.27,0)</f>
        <v>254</v>
      </c>
      <c r="L1158" s="120">
        <v>15</v>
      </c>
      <c r="M1158" s="137" t="str">
        <f t="shared" si="7"/>
        <v>none</v>
      </c>
      <c r="N1158" s="120">
        <f>LEN(Tableau14[[#This Row],[LABEL]])</f>
        <v>35</v>
      </c>
      <c r="O1158" s="120">
        <v>15</v>
      </c>
      <c r="P1158" s="120" t="e">
        <f>ROUND(Tableau14[[#This Row],[LEN]]*#REF!+#REF!,0)</f>
        <v>#REF!</v>
      </c>
    </row>
    <row r="1159" spans="1:16" s="97" customFormat="1" x14ac:dyDescent="0.25">
      <c r="A1159" s="61" t="s">
        <v>2053</v>
      </c>
      <c r="B1159" s="62" t="s">
        <v>2049</v>
      </c>
      <c r="C1159" s="63" t="s">
        <v>2058</v>
      </c>
      <c r="D1159" s="79" t="s">
        <v>28</v>
      </c>
      <c r="E1159" s="63" t="s">
        <v>1951</v>
      </c>
      <c r="F1159" s="63" t="s">
        <v>1177</v>
      </c>
      <c r="G1159" s="79" t="s">
        <v>170</v>
      </c>
      <c r="H1159" s="79" t="s">
        <v>654</v>
      </c>
      <c r="I1159" s="63"/>
      <c r="J1159" s="64" t="s">
        <v>708</v>
      </c>
      <c r="K1159" s="120">
        <f>ROUND(Tableau14[[#This Row],[LEN]]*7.27,0)</f>
        <v>189</v>
      </c>
      <c r="L1159" s="120">
        <v>15</v>
      </c>
      <c r="M1159" s="137" t="str">
        <f t="shared" si="7"/>
        <v>none</v>
      </c>
      <c r="N1159" s="120">
        <f>LEN(Tableau14[[#This Row],[LABEL]])</f>
        <v>26</v>
      </c>
      <c r="O1159" s="120">
        <v>15</v>
      </c>
      <c r="P1159" s="120" t="e">
        <f>ROUND(Tableau14[[#This Row],[LEN]]*#REF!+#REF!,0)</f>
        <v>#REF!</v>
      </c>
    </row>
    <row r="1160" spans="1:16" s="97" customFormat="1" ht="15.75" thickBot="1" x14ac:dyDescent="0.3">
      <c r="A1160" s="61" t="s">
        <v>2054</v>
      </c>
      <c r="B1160" s="62" t="s">
        <v>2049</v>
      </c>
      <c r="C1160" s="63" t="s">
        <v>603</v>
      </c>
      <c r="D1160" s="79" t="s">
        <v>28</v>
      </c>
      <c r="E1160" s="63" t="s">
        <v>1177</v>
      </c>
      <c r="F1160" s="63" t="s">
        <v>1084</v>
      </c>
      <c r="G1160" s="79" t="s">
        <v>1977</v>
      </c>
      <c r="H1160" s="79" t="s">
        <v>1131</v>
      </c>
      <c r="I1160" s="63"/>
      <c r="J1160" s="64" t="s">
        <v>708</v>
      </c>
      <c r="K1160" s="120">
        <f>ROUND(Tableau14[[#This Row],[LEN]]*7.27,0)</f>
        <v>247</v>
      </c>
      <c r="L1160" s="120">
        <v>15</v>
      </c>
      <c r="M1160" s="137" t="str">
        <f t="shared" si="7"/>
        <v>none</v>
      </c>
      <c r="N1160" s="120">
        <f>LEN(Tableau14[[#This Row],[LABEL]])</f>
        <v>34</v>
      </c>
      <c r="O1160" s="120">
        <v>15</v>
      </c>
      <c r="P1160" s="120" t="e">
        <f>ROUND(Tableau14[[#This Row],[LEN]]*#REF!+#REF!,0)</f>
        <v>#REF!</v>
      </c>
    </row>
    <row r="1161" spans="1:16" s="92" customFormat="1" ht="16.5" thickTop="1" thickBot="1" x14ac:dyDescent="0.3">
      <c r="A1161" s="205" t="s">
        <v>211</v>
      </c>
      <c r="B1161" s="205" t="s">
        <v>203</v>
      </c>
      <c r="C1161" s="206" t="s">
        <v>179</v>
      </c>
      <c r="D1161" s="207" t="s">
        <v>475</v>
      </c>
      <c r="E1161" s="206" t="s">
        <v>58</v>
      </c>
      <c r="F1161" s="207"/>
      <c r="G1161" s="206" t="s">
        <v>171</v>
      </c>
      <c r="H1161" s="206" t="s">
        <v>616</v>
      </c>
      <c r="I1161" s="207"/>
      <c r="J1161" s="208" t="s">
        <v>708</v>
      </c>
      <c r="K1161" s="209">
        <f>ROUND(Tableau14[[#This Row],[LEN]]*7.27,0)</f>
        <v>116</v>
      </c>
      <c r="L1161" s="209">
        <v>15</v>
      </c>
      <c r="M1161" s="210" t="str">
        <f t="shared" si="7"/>
        <v>none</v>
      </c>
      <c r="N1161" s="209">
        <f>LEN(Tableau14[[#This Row],[LABEL]])</f>
        <v>16</v>
      </c>
      <c r="O1161" s="211">
        <v>15</v>
      </c>
      <c r="P1161" s="211" t="e">
        <f>ROUND(Tableau14[[#This Row],[LEN]]*#REF!+#REF!,0)</f>
        <v>#REF!</v>
      </c>
    </row>
    <row r="1162" spans="1:16" s="92" customFormat="1" ht="15.75" thickTop="1" x14ac:dyDescent="0.25">
      <c r="A1162" s="394" t="s">
        <v>339</v>
      </c>
      <c r="B1162" s="395" t="s">
        <v>211</v>
      </c>
      <c r="C1162" s="396" t="s">
        <v>57</v>
      </c>
      <c r="D1162" s="397" t="s">
        <v>28</v>
      </c>
      <c r="E1162" s="398" t="s">
        <v>663</v>
      </c>
      <c r="F1162" s="396" t="s">
        <v>663</v>
      </c>
      <c r="G1162" s="397" t="s">
        <v>171</v>
      </c>
      <c r="H1162" s="397" t="str">
        <f>IFERROR(IF(SEARCH(".00.00.00.00.00",Tableau14[[#This Row],[name]],1)=7,"Division",""),"")</f>
        <v>Division</v>
      </c>
      <c r="I1162" s="396"/>
      <c r="J1162" s="399" t="s">
        <v>709</v>
      </c>
      <c r="K1162" s="400">
        <f>ROUND(Tableau14[[#This Row],[LEN]]*7.27,0)</f>
        <v>102</v>
      </c>
      <c r="L1162" s="400">
        <v>15</v>
      </c>
      <c r="M1162" s="401" t="str">
        <f t="shared" si="7"/>
        <v>new</v>
      </c>
      <c r="N1162" s="400">
        <f>LEN(Tableau14[[#This Row],[LABEL]])</f>
        <v>14</v>
      </c>
      <c r="O1162" s="400">
        <v>15</v>
      </c>
      <c r="P1162" s="400" t="e">
        <f>ROUND(Tableau14[[#This Row],[LEN]]*#REF!+#REF!,0)</f>
        <v>#REF!</v>
      </c>
    </row>
    <row r="1163" spans="1:16" x14ac:dyDescent="0.25">
      <c r="A1163" s="98" t="s">
        <v>913</v>
      </c>
      <c r="B1163" s="99" t="s">
        <v>339</v>
      </c>
      <c r="C1163" s="100" t="s">
        <v>914</v>
      </c>
      <c r="D1163" s="80" t="s">
        <v>28</v>
      </c>
      <c r="E1163" s="82" t="s">
        <v>663</v>
      </c>
      <c r="F1163" s="100" t="s">
        <v>663</v>
      </c>
      <c r="G1163" s="80" t="s">
        <v>171</v>
      </c>
      <c r="H1163" s="80" t="s">
        <v>56</v>
      </c>
      <c r="I1163" s="100"/>
      <c r="J1163" s="101" t="s">
        <v>708</v>
      </c>
      <c r="K1163" s="121">
        <f>ROUND(Tableau14[[#This Row],[LEN]]*7.27,0)</f>
        <v>313</v>
      </c>
      <c r="L1163" s="121">
        <v>15</v>
      </c>
      <c r="M1163" s="138" t="str">
        <f t="shared" si="7"/>
        <v>none</v>
      </c>
      <c r="N1163" s="121">
        <f>LEN(Tableau14[[#This Row],[LABEL]])</f>
        <v>43</v>
      </c>
      <c r="O1163" s="121">
        <v>15</v>
      </c>
      <c r="P1163" s="121" t="e">
        <f>ROUND(Tableau14[[#This Row],[LEN]]*#REF!+#REF!,0)</f>
        <v>#REF!</v>
      </c>
    </row>
    <row r="1164" spans="1:16" s="92" customFormat="1" x14ac:dyDescent="0.25">
      <c r="A1164" s="394" t="s">
        <v>345</v>
      </c>
      <c r="B1164" s="395" t="s">
        <v>211</v>
      </c>
      <c r="C1164" s="396" t="s">
        <v>6</v>
      </c>
      <c r="D1164" s="397" t="s">
        <v>28</v>
      </c>
      <c r="E1164" s="398" t="s">
        <v>669</v>
      </c>
      <c r="F1164" s="396" t="s">
        <v>669</v>
      </c>
      <c r="G1164" s="397" t="s">
        <v>171</v>
      </c>
      <c r="H1164" s="397" t="str">
        <f>IFERROR(IF(SEARCH(".00.00.00.00.00",Tableau14[[#This Row],[name]],1)=7,"Division",""),"")</f>
        <v>Division</v>
      </c>
      <c r="I1164" s="396"/>
      <c r="J1164" s="399" t="s">
        <v>715</v>
      </c>
      <c r="K1164" s="400">
        <f>ROUND(Tableau14[[#This Row],[LEN]]*7.27,0)</f>
        <v>196</v>
      </c>
      <c r="L1164" s="400">
        <v>15</v>
      </c>
      <c r="M1164" s="401" t="str">
        <f t="shared" si="7"/>
        <v>new</v>
      </c>
      <c r="N1164" s="400">
        <f>LEN(Tableau14[[#This Row],[LABEL]])</f>
        <v>27</v>
      </c>
      <c r="O1164" s="400">
        <v>15</v>
      </c>
      <c r="P1164" s="400" t="e">
        <f>ROUND(Tableau14[[#This Row],[LEN]]*#REF!+#REF!,0)</f>
        <v>#REF!</v>
      </c>
    </row>
    <row r="1165" spans="1:16" x14ac:dyDescent="0.25">
      <c r="A1165" s="98" t="s">
        <v>1925</v>
      </c>
      <c r="B1165" s="99" t="s">
        <v>345</v>
      </c>
      <c r="C1165" s="100" t="s">
        <v>1930</v>
      </c>
      <c r="D1165" s="80" t="s">
        <v>28</v>
      </c>
      <c r="E1165" s="82" t="s">
        <v>669</v>
      </c>
      <c r="F1165" s="100" t="s">
        <v>1177</v>
      </c>
      <c r="G1165" s="80" t="s">
        <v>171</v>
      </c>
      <c r="H1165" s="80" t="s">
        <v>656</v>
      </c>
      <c r="I1165" s="100"/>
      <c r="J1165" s="101" t="s">
        <v>708</v>
      </c>
      <c r="K1165" s="121">
        <f>ROUND(Tableau14[[#This Row],[LEN]]*7.27,0)</f>
        <v>436</v>
      </c>
      <c r="L1165" s="121">
        <v>15</v>
      </c>
      <c r="M1165" s="138" t="str">
        <f t="shared" si="7"/>
        <v>none</v>
      </c>
      <c r="N1165" s="121">
        <f>LEN(Tableau14[[#This Row],[LABEL]])</f>
        <v>60</v>
      </c>
      <c r="O1165" s="121">
        <v>15</v>
      </c>
      <c r="P1165" s="121" t="e">
        <f>ROUND(Tableau14[[#This Row],[LEN]]*#REF!+#REF!,0)</f>
        <v>#REF!</v>
      </c>
    </row>
    <row r="1166" spans="1:16" x14ac:dyDescent="0.25">
      <c r="A1166" s="98" t="s">
        <v>1928</v>
      </c>
      <c r="B1166" s="99" t="s">
        <v>1926</v>
      </c>
      <c r="C1166" s="100" t="s">
        <v>1931</v>
      </c>
      <c r="D1166" s="80" t="s">
        <v>28</v>
      </c>
      <c r="E1166" s="82" t="s">
        <v>669</v>
      </c>
      <c r="F1166" s="100" t="s">
        <v>1177</v>
      </c>
      <c r="G1166" s="80" t="s">
        <v>171</v>
      </c>
      <c r="H1166" s="80" t="s">
        <v>656</v>
      </c>
      <c r="I1166" s="100"/>
      <c r="J1166" s="101" t="s">
        <v>708</v>
      </c>
      <c r="K1166" s="121">
        <f>ROUND(Tableau14[[#This Row],[LEN]]*7.27,0)</f>
        <v>211</v>
      </c>
      <c r="L1166" s="121">
        <v>15</v>
      </c>
      <c r="M1166" s="138" t="str">
        <f t="shared" si="7"/>
        <v>none</v>
      </c>
      <c r="N1166" s="121">
        <f>LEN(Tableau14[[#This Row],[LABEL]])</f>
        <v>29</v>
      </c>
      <c r="O1166" s="121">
        <v>15</v>
      </c>
      <c r="P1166" s="121" t="e">
        <f>ROUND(Tableau14[[#This Row],[LEN]]*#REF!+#REF!,0)</f>
        <v>#REF!</v>
      </c>
    </row>
    <row r="1167" spans="1:16" x14ac:dyDescent="0.25">
      <c r="A1167" s="98" t="s">
        <v>1929</v>
      </c>
      <c r="B1167" s="99" t="s">
        <v>1927</v>
      </c>
      <c r="C1167" s="100" t="s">
        <v>1932</v>
      </c>
      <c r="D1167" s="80" t="s">
        <v>28</v>
      </c>
      <c r="E1167" s="82" t="s">
        <v>669</v>
      </c>
      <c r="F1167" s="100" t="s">
        <v>1177</v>
      </c>
      <c r="G1167" s="80" t="s">
        <v>171</v>
      </c>
      <c r="H1167" s="80" t="s">
        <v>656</v>
      </c>
      <c r="I1167" s="100"/>
      <c r="J1167" s="101" t="s">
        <v>708</v>
      </c>
      <c r="K1167" s="121">
        <f>ROUND(Tableau14[[#This Row],[LEN]]*7.27,0)</f>
        <v>124</v>
      </c>
      <c r="L1167" s="121">
        <v>15</v>
      </c>
      <c r="M1167" s="138" t="str">
        <f t="shared" si="7"/>
        <v>none</v>
      </c>
      <c r="N1167" s="121">
        <f>LEN(Tableau14[[#This Row],[LABEL]])</f>
        <v>17</v>
      </c>
      <c r="O1167" s="121">
        <v>15</v>
      </c>
      <c r="P1167" s="121" t="e">
        <f>ROUND(Tableau14[[#This Row],[LEN]]*#REF!+#REF!,0)</f>
        <v>#REF!</v>
      </c>
    </row>
    <row r="1168" spans="1:16" s="92" customFormat="1" x14ac:dyDescent="0.25">
      <c r="A1168" s="394" t="s">
        <v>346</v>
      </c>
      <c r="B1168" s="395" t="s">
        <v>211</v>
      </c>
      <c r="C1168" s="396" t="s">
        <v>7</v>
      </c>
      <c r="D1168" s="397" t="s">
        <v>28</v>
      </c>
      <c r="E1168" s="398" t="s">
        <v>670</v>
      </c>
      <c r="F1168" s="396" t="s">
        <v>670</v>
      </c>
      <c r="G1168" s="397" t="s">
        <v>171</v>
      </c>
      <c r="H1168" s="397" t="str">
        <f>IFERROR(IF(SEARCH(".00.00.00.00.00",Tableau14[[#This Row],[name]],1)=7,"Division",""),"")</f>
        <v>Division</v>
      </c>
      <c r="I1168" s="396"/>
      <c r="J1168" s="399" t="s">
        <v>716</v>
      </c>
      <c r="K1168" s="400">
        <f>ROUND(Tableau14[[#This Row],[LEN]]*7.27,0)</f>
        <v>189</v>
      </c>
      <c r="L1168" s="400">
        <v>15</v>
      </c>
      <c r="M1168" s="401" t="str">
        <f t="shared" si="7"/>
        <v>new</v>
      </c>
      <c r="N1168" s="400">
        <f>LEN(Tableau14[[#This Row],[LABEL]])</f>
        <v>26</v>
      </c>
      <c r="O1168" s="400">
        <v>15</v>
      </c>
      <c r="P1168" s="400" t="e">
        <f>ROUND(Tableau14[[#This Row],[LEN]]*#REF!+#REF!,0)</f>
        <v>#REF!</v>
      </c>
    </row>
    <row r="1169" spans="1:16" x14ac:dyDescent="0.25">
      <c r="A1169" s="98" t="s">
        <v>1933</v>
      </c>
      <c r="B1169" s="99" t="s">
        <v>346</v>
      </c>
      <c r="C1169" s="100" t="s">
        <v>1934</v>
      </c>
      <c r="D1169" s="80" t="s">
        <v>28</v>
      </c>
      <c r="E1169" s="82" t="s">
        <v>670</v>
      </c>
      <c r="F1169" s="100" t="s">
        <v>1177</v>
      </c>
      <c r="G1169" s="80" t="s">
        <v>171</v>
      </c>
      <c r="H1169" s="80" t="s">
        <v>656</v>
      </c>
      <c r="I1169" s="100"/>
      <c r="J1169" s="101" t="s">
        <v>708</v>
      </c>
      <c r="K1169" s="121">
        <f>ROUND(Tableau14[[#This Row],[LEN]]*7.27,0)</f>
        <v>138</v>
      </c>
      <c r="L1169" s="121">
        <v>15</v>
      </c>
      <c r="M1169" s="138" t="str">
        <f t="shared" si="7"/>
        <v>none</v>
      </c>
      <c r="N1169" s="121">
        <f>LEN(Tableau14[[#This Row],[LABEL]])</f>
        <v>19</v>
      </c>
      <c r="O1169" s="121">
        <v>15</v>
      </c>
      <c r="P1169" s="121" t="e">
        <f>ROUND(Tableau14[[#This Row],[LEN]]*#REF!+#REF!,0)</f>
        <v>#REF!</v>
      </c>
    </row>
    <row r="1170" spans="1:16" s="92" customFormat="1" x14ac:dyDescent="0.25">
      <c r="A1170" s="394" t="s">
        <v>348</v>
      </c>
      <c r="B1170" s="395" t="s">
        <v>211</v>
      </c>
      <c r="C1170" s="396" t="s">
        <v>9</v>
      </c>
      <c r="D1170" s="397" t="s">
        <v>28</v>
      </c>
      <c r="E1170" s="398" t="s">
        <v>672</v>
      </c>
      <c r="F1170" s="396" t="s">
        <v>672</v>
      </c>
      <c r="G1170" s="397" t="s">
        <v>171</v>
      </c>
      <c r="H1170" s="397" t="str">
        <f>IFERROR(IF(SEARCH(".00.00.00.00.00",Tableau14[[#This Row],[name]],1)=7,"Division",""),"")</f>
        <v>Division</v>
      </c>
      <c r="I1170" s="396"/>
      <c r="J1170" s="399" t="s">
        <v>718</v>
      </c>
      <c r="K1170" s="400">
        <f>ROUND(Tableau14[[#This Row],[LEN]]*7.27,0)</f>
        <v>80</v>
      </c>
      <c r="L1170" s="400">
        <v>15</v>
      </c>
      <c r="M1170" s="401" t="str">
        <f t="shared" si="7"/>
        <v>new</v>
      </c>
      <c r="N1170" s="400">
        <f>LEN(Tableau14[[#This Row],[LABEL]])</f>
        <v>11</v>
      </c>
      <c r="O1170" s="400">
        <v>15</v>
      </c>
      <c r="P1170" s="400" t="e">
        <f>ROUND(Tableau14[[#This Row],[LEN]]*#REF!+#REF!,0)</f>
        <v>#REF!</v>
      </c>
    </row>
    <row r="1171" spans="1:16" x14ac:dyDescent="0.25">
      <c r="A1171" s="98" t="s">
        <v>609</v>
      </c>
      <c r="B1171" s="99" t="s">
        <v>348</v>
      </c>
      <c r="C1171" s="100" t="s">
        <v>611</v>
      </c>
      <c r="D1171" s="80" t="s">
        <v>28</v>
      </c>
      <c r="E1171" s="82" t="s">
        <v>672</v>
      </c>
      <c r="F1171" s="100" t="s">
        <v>672</v>
      </c>
      <c r="G1171" s="80" t="s">
        <v>171</v>
      </c>
      <c r="H1171" s="80" t="s">
        <v>656</v>
      </c>
      <c r="I1171" s="100"/>
      <c r="J1171" s="101" t="s">
        <v>708</v>
      </c>
      <c r="K1171" s="121">
        <f>ROUND(Tableau14[[#This Row],[LEN]]*7.27,0)</f>
        <v>233</v>
      </c>
      <c r="L1171" s="121">
        <v>15</v>
      </c>
      <c r="M1171" s="138" t="str">
        <f t="shared" si="7"/>
        <v>none</v>
      </c>
      <c r="N1171" s="121">
        <f>LEN(Tableau14[[#This Row],[LABEL]])</f>
        <v>32</v>
      </c>
      <c r="O1171" s="121">
        <v>15</v>
      </c>
      <c r="P1171" s="121" t="e">
        <f>ROUND(Tableau14[[#This Row],[LEN]]*#REF!+#REF!,0)</f>
        <v>#REF!</v>
      </c>
    </row>
    <row r="1172" spans="1:16" x14ac:dyDescent="0.25">
      <c r="A1172" s="98" t="s">
        <v>610</v>
      </c>
      <c r="B1172" s="99" t="s">
        <v>348</v>
      </c>
      <c r="C1172" s="100" t="s">
        <v>612</v>
      </c>
      <c r="D1172" s="80" t="s">
        <v>28</v>
      </c>
      <c r="E1172" s="82" t="s">
        <v>672</v>
      </c>
      <c r="F1172" s="100" t="s">
        <v>672</v>
      </c>
      <c r="G1172" s="80" t="s">
        <v>171</v>
      </c>
      <c r="H1172" s="80" t="s">
        <v>656</v>
      </c>
      <c r="I1172" s="100"/>
      <c r="J1172" s="101" t="s">
        <v>708</v>
      </c>
      <c r="K1172" s="121">
        <f>ROUND(Tableau14[[#This Row],[LEN]]*7.27,0)</f>
        <v>182</v>
      </c>
      <c r="L1172" s="121">
        <v>15</v>
      </c>
      <c r="M1172" s="138" t="str">
        <f t="shared" si="7"/>
        <v>none</v>
      </c>
      <c r="N1172" s="121">
        <f>LEN(Tableau14[[#This Row],[LABEL]])</f>
        <v>25</v>
      </c>
      <c r="O1172" s="121">
        <v>15</v>
      </c>
      <c r="P1172" s="121" t="e">
        <f>ROUND(Tableau14[[#This Row],[LEN]]*#REF!+#REF!,0)</f>
        <v>#REF!</v>
      </c>
    </row>
    <row r="1173" spans="1:16" x14ac:dyDescent="0.25">
      <c r="A1173" s="98" t="s">
        <v>613</v>
      </c>
      <c r="B1173" s="99" t="s">
        <v>348</v>
      </c>
      <c r="C1173" s="100" t="s">
        <v>614</v>
      </c>
      <c r="D1173" s="80" t="s">
        <v>28</v>
      </c>
      <c r="E1173" s="82" t="s">
        <v>672</v>
      </c>
      <c r="F1173" s="100" t="s">
        <v>672</v>
      </c>
      <c r="G1173" s="80" t="s">
        <v>171</v>
      </c>
      <c r="H1173" s="80" t="s">
        <v>654</v>
      </c>
      <c r="I1173" s="100"/>
      <c r="J1173" s="101" t="s">
        <v>708</v>
      </c>
      <c r="K1173" s="121">
        <f>ROUND(Tableau14[[#This Row],[LEN]]*7.27,0)</f>
        <v>153</v>
      </c>
      <c r="L1173" s="121">
        <v>15</v>
      </c>
      <c r="M1173" s="138" t="str">
        <f t="shared" si="7"/>
        <v>none</v>
      </c>
      <c r="N1173" s="121">
        <f>LEN(Tableau14[[#This Row],[LABEL]])</f>
        <v>21</v>
      </c>
      <c r="O1173" s="121">
        <v>15</v>
      </c>
      <c r="P1173" s="121" t="e">
        <f>ROUND(Tableau14[[#This Row],[LEN]]*#REF!+#REF!,0)</f>
        <v>#REF!</v>
      </c>
    </row>
    <row r="1174" spans="1:16" s="92" customFormat="1" x14ac:dyDescent="0.25">
      <c r="A1174" s="394" t="s">
        <v>349</v>
      </c>
      <c r="B1174" s="395" t="s">
        <v>211</v>
      </c>
      <c r="C1174" s="396" t="s">
        <v>10</v>
      </c>
      <c r="D1174" s="397" t="s">
        <v>28</v>
      </c>
      <c r="E1174" s="398" t="s">
        <v>673</v>
      </c>
      <c r="F1174" s="396" t="s">
        <v>673</v>
      </c>
      <c r="G1174" s="397" t="s">
        <v>171</v>
      </c>
      <c r="H1174" s="397" t="str">
        <f>IFERROR(IF(SEARCH(".00.00.00.00.00",Tableau14[[#This Row],[name]],1)=7,"Division",""),"")</f>
        <v>Division</v>
      </c>
      <c r="I1174" s="396"/>
      <c r="J1174" s="399" t="s">
        <v>719</v>
      </c>
      <c r="K1174" s="400">
        <f>ROUND(Tableau14[[#This Row],[LEN]]*7.27,0)</f>
        <v>109</v>
      </c>
      <c r="L1174" s="400">
        <v>15</v>
      </c>
      <c r="M1174" s="401" t="str">
        <f t="shared" si="7"/>
        <v>new</v>
      </c>
      <c r="N1174" s="400">
        <f>LEN(Tableau14[[#This Row],[LABEL]])</f>
        <v>15</v>
      </c>
      <c r="O1174" s="400">
        <v>15</v>
      </c>
      <c r="P1174" s="400" t="e">
        <f>ROUND(Tableau14[[#This Row],[LEN]]*#REF!+#REF!,0)</f>
        <v>#REF!</v>
      </c>
    </row>
    <row r="1175" spans="1:16" x14ac:dyDescent="0.25">
      <c r="A1175" s="98" t="s">
        <v>1935</v>
      </c>
      <c r="B1175" s="99" t="s">
        <v>349</v>
      </c>
      <c r="C1175" s="100" t="s">
        <v>1936</v>
      </c>
      <c r="D1175" s="80" t="s">
        <v>28</v>
      </c>
      <c r="E1175" s="82" t="s">
        <v>673</v>
      </c>
      <c r="F1175" s="100" t="s">
        <v>1177</v>
      </c>
      <c r="G1175" s="80" t="s">
        <v>171</v>
      </c>
      <c r="H1175" s="80" t="s">
        <v>656</v>
      </c>
      <c r="I1175" s="100"/>
      <c r="J1175" s="101" t="s">
        <v>708</v>
      </c>
      <c r="K1175" s="121">
        <f>ROUND(Tableau14[[#This Row],[LEN]]*7.27,0)</f>
        <v>356</v>
      </c>
      <c r="L1175" s="121">
        <v>15</v>
      </c>
      <c r="M1175" s="138" t="str">
        <f t="shared" si="7"/>
        <v>none</v>
      </c>
      <c r="N1175" s="121">
        <f>LEN(Tableau14[[#This Row],[LABEL]])</f>
        <v>49</v>
      </c>
      <c r="O1175" s="121">
        <v>15</v>
      </c>
      <c r="P1175" s="121" t="e">
        <f>ROUND(Tableau14[[#This Row],[LEN]]*#REF!+#REF!,0)</f>
        <v>#REF!</v>
      </c>
    </row>
    <row r="1176" spans="1:16" s="92" customFormat="1" x14ac:dyDescent="0.25">
      <c r="A1176" s="394" t="s">
        <v>351</v>
      </c>
      <c r="B1176" s="395" t="s">
        <v>211</v>
      </c>
      <c r="C1176" s="396" t="s">
        <v>12</v>
      </c>
      <c r="D1176" s="397" t="s">
        <v>28</v>
      </c>
      <c r="E1176" s="398" t="s">
        <v>675</v>
      </c>
      <c r="F1176" s="396" t="s">
        <v>675</v>
      </c>
      <c r="G1176" s="397" t="s">
        <v>171</v>
      </c>
      <c r="H1176" s="397" t="str">
        <f>IFERROR(IF(SEARCH(".00.00.00.00.00",Tableau14[[#This Row],[name]],1)=7,"Division",""),"")</f>
        <v>Division</v>
      </c>
      <c r="I1176" s="396"/>
      <c r="J1176" s="399" t="s">
        <v>721</v>
      </c>
      <c r="K1176" s="400">
        <f>ROUND(Tableau14[[#This Row],[LEN]]*7.27,0)</f>
        <v>15</v>
      </c>
      <c r="L1176" s="400">
        <v>15</v>
      </c>
      <c r="M1176" s="401" t="str">
        <f t="shared" si="7"/>
        <v>new</v>
      </c>
      <c r="N1176" s="400">
        <f>LEN(Tableau14[[#This Row],[LABEL]])</f>
        <v>2</v>
      </c>
      <c r="O1176" s="400">
        <v>15</v>
      </c>
      <c r="P1176" s="400" t="e">
        <f>ROUND(Tableau14[[#This Row],[LEN]]*#REF!+#REF!,0)</f>
        <v>#REF!</v>
      </c>
    </row>
    <row r="1177" spans="1:16" x14ac:dyDescent="0.25">
      <c r="A1177" s="98" t="s">
        <v>1937</v>
      </c>
      <c r="B1177" s="99" t="s">
        <v>351</v>
      </c>
      <c r="C1177" s="100" t="s">
        <v>1938</v>
      </c>
      <c r="D1177" s="80" t="s">
        <v>1939</v>
      </c>
      <c r="E1177" s="82" t="s">
        <v>675</v>
      </c>
      <c r="F1177" s="100" t="s">
        <v>1177</v>
      </c>
      <c r="G1177" s="80" t="s">
        <v>171</v>
      </c>
      <c r="H1177" s="80" t="s">
        <v>656</v>
      </c>
      <c r="I1177" s="100"/>
      <c r="J1177" s="101" t="s">
        <v>708</v>
      </c>
      <c r="K1177" s="121">
        <f>ROUND(Tableau14[[#This Row],[LEN]]*7.27,0)</f>
        <v>269</v>
      </c>
      <c r="L1177" s="121">
        <v>15</v>
      </c>
      <c r="M1177" s="138" t="str">
        <f t="shared" si="7"/>
        <v>none</v>
      </c>
      <c r="N1177" s="121">
        <f>LEN(Tableau14[[#This Row],[LABEL]])</f>
        <v>37</v>
      </c>
      <c r="O1177" s="121">
        <v>15</v>
      </c>
      <c r="P1177" s="121" t="e">
        <f>ROUND(Tableau14[[#This Row],[LEN]]*#REF!+#REF!,0)</f>
        <v>#REF!</v>
      </c>
    </row>
    <row r="1178" spans="1:16" s="92" customFormat="1" x14ac:dyDescent="0.25">
      <c r="A1178" s="394" t="s">
        <v>353</v>
      </c>
      <c r="B1178" s="395" t="s">
        <v>211</v>
      </c>
      <c r="C1178" s="396" t="s">
        <v>13</v>
      </c>
      <c r="D1178" s="397" t="s">
        <v>28</v>
      </c>
      <c r="E1178" s="398" t="s">
        <v>677</v>
      </c>
      <c r="F1178" s="396" t="s">
        <v>677</v>
      </c>
      <c r="G1178" s="397" t="s">
        <v>171</v>
      </c>
      <c r="H1178" s="397" t="str">
        <f>IFERROR(IF(SEARCH(".00.00.00.00.00",Tableau14[[#This Row],[name]],1)=7,"Division",""),"")</f>
        <v>Division</v>
      </c>
      <c r="I1178" s="396"/>
      <c r="J1178" s="399" t="s">
        <v>723</v>
      </c>
      <c r="K1178" s="400">
        <f>ROUND(Tableau14[[#This Row],[LEN]]*7.27,0)</f>
        <v>80</v>
      </c>
      <c r="L1178" s="400">
        <v>15</v>
      </c>
      <c r="M1178" s="401" t="str">
        <f t="shared" si="7"/>
        <v>new</v>
      </c>
      <c r="N1178" s="400">
        <f>LEN(Tableau14[[#This Row],[LABEL]])</f>
        <v>11</v>
      </c>
      <c r="O1178" s="400">
        <v>15</v>
      </c>
      <c r="P1178" s="400" t="e">
        <f>ROUND(Tableau14[[#This Row],[LEN]]*#REF!+#REF!,0)</f>
        <v>#REF!</v>
      </c>
    </row>
    <row r="1179" spans="1:16" x14ac:dyDescent="0.25">
      <c r="A1179" s="98" t="s">
        <v>1940</v>
      </c>
      <c r="B1179" s="99" t="s">
        <v>353</v>
      </c>
      <c r="C1179" s="100" t="s">
        <v>1941</v>
      </c>
      <c r="D1179" s="80" t="s">
        <v>28</v>
      </c>
      <c r="E1179" s="82" t="s">
        <v>677</v>
      </c>
      <c r="F1179" s="100" t="s">
        <v>1177</v>
      </c>
      <c r="G1179" s="80" t="s">
        <v>171</v>
      </c>
      <c r="H1179" s="80" t="s">
        <v>656</v>
      </c>
      <c r="I1179" s="100"/>
      <c r="J1179" s="101" t="s">
        <v>708</v>
      </c>
      <c r="K1179" s="121">
        <f>ROUND(Tableau14[[#This Row],[LEN]]*7.27,0)</f>
        <v>356</v>
      </c>
      <c r="L1179" s="121">
        <v>15</v>
      </c>
      <c r="M1179" s="138" t="str">
        <f t="shared" si="7"/>
        <v>none</v>
      </c>
      <c r="N1179" s="121">
        <f>LEN(Tableau14[[#This Row],[LABEL]])</f>
        <v>49</v>
      </c>
      <c r="O1179" s="121">
        <v>15</v>
      </c>
      <c r="P1179" s="121" t="e">
        <f>ROUND(Tableau14[[#This Row],[LEN]]*#REF!+#REF!,0)</f>
        <v>#REF!</v>
      </c>
    </row>
    <row r="1180" spans="1:16" s="92" customFormat="1" x14ac:dyDescent="0.25">
      <c r="A1180" s="394" t="s">
        <v>354</v>
      </c>
      <c r="B1180" s="395" t="s">
        <v>211</v>
      </c>
      <c r="C1180" s="396" t="s">
        <v>14</v>
      </c>
      <c r="D1180" s="397" t="s">
        <v>28</v>
      </c>
      <c r="E1180" s="398" t="s">
        <v>678</v>
      </c>
      <c r="F1180" s="396" t="s">
        <v>678</v>
      </c>
      <c r="G1180" s="397" t="s">
        <v>171</v>
      </c>
      <c r="H1180" s="397" t="str">
        <f>IFERROR(IF(SEARCH(".00.00.00.00.00",Tableau14[[#This Row],[name]],1)=7,"Division",""),"")</f>
        <v>Division</v>
      </c>
      <c r="I1180" s="396"/>
      <c r="J1180" s="399" t="s">
        <v>724</v>
      </c>
      <c r="K1180" s="400">
        <f>ROUND(Tableau14[[#This Row],[LEN]]*7.27,0)</f>
        <v>240</v>
      </c>
      <c r="L1180" s="400">
        <v>15</v>
      </c>
      <c r="M1180" s="401" t="str">
        <f t="shared" si="7"/>
        <v>new</v>
      </c>
      <c r="N1180" s="400">
        <f>LEN(Tableau14[[#This Row],[LABEL]])</f>
        <v>33</v>
      </c>
      <c r="O1180" s="400">
        <v>15</v>
      </c>
      <c r="P1180" s="400" t="e">
        <f>ROUND(Tableau14[[#This Row],[LEN]]*#REF!+#REF!,0)</f>
        <v>#REF!</v>
      </c>
    </row>
    <row r="1181" spans="1:16" x14ac:dyDescent="0.25">
      <c r="A1181" s="98" t="s">
        <v>1942</v>
      </c>
      <c r="B1181" s="99" t="s">
        <v>354</v>
      </c>
      <c r="C1181" s="100" t="s">
        <v>1943</v>
      </c>
      <c r="D1181" s="80" t="s">
        <v>28</v>
      </c>
      <c r="E1181" s="82" t="s">
        <v>678</v>
      </c>
      <c r="F1181" s="100" t="s">
        <v>1177</v>
      </c>
      <c r="G1181" s="80" t="s">
        <v>171</v>
      </c>
      <c r="H1181" s="80" t="s">
        <v>656</v>
      </c>
      <c r="I1181" s="100"/>
      <c r="J1181" s="101" t="s">
        <v>708</v>
      </c>
      <c r="K1181" s="121">
        <f>ROUND(Tableau14[[#This Row],[LEN]]*7.27,0)</f>
        <v>196</v>
      </c>
      <c r="L1181" s="121">
        <v>15</v>
      </c>
      <c r="M1181" s="138" t="str">
        <f t="shared" si="7"/>
        <v>none</v>
      </c>
      <c r="N1181" s="121">
        <f>LEN(Tableau14[[#This Row],[LABEL]])</f>
        <v>27</v>
      </c>
      <c r="O1181" s="121">
        <v>15</v>
      </c>
      <c r="P1181" s="121" t="e">
        <f>ROUND(Tableau14[[#This Row],[LEN]]*#REF!+#REF!,0)</f>
        <v>#REF!</v>
      </c>
    </row>
    <row r="1182" spans="1:16" s="92" customFormat="1" x14ac:dyDescent="0.25">
      <c r="A1182" s="402" t="s">
        <v>355</v>
      </c>
      <c r="B1182" s="403" t="s">
        <v>211</v>
      </c>
      <c r="C1182" s="404" t="s">
        <v>15</v>
      </c>
      <c r="D1182" s="405" t="s">
        <v>28</v>
      </c>
      <c r="E1182" s="406" t="s">
        <v>679</v>
      </c>
      <c r="F1182" s="404" t="s">
        <v>679</v>
      </c>
      <c r="G1182" s="405" t="s">
        <v>171</v>
      </c>
      <c r="H1182" s="405" t="str">
        <f>IFERROR(IF(SEARCH(".00.00.00.00.00",Tableau14[[#This Row],[name]],1)=7,"Division",""),"")</f>
        <v>Division</v>
      </c>
      <c r="I1182" s="404"/>
      <c r="J1182" s="407" t="s">
        <v>725</v>
      </c>
      <c r="K1182" s="408">
        <f>ROUND(Tableau14[[#This Row],[LEN]]*7.27,0)</f>
        <v>174</v>
      </c>
      <c r="L1182" s="408">
        <v>15</v>
      </c>
      <c r="M1182" s="409" t="str">
        <f t="shared" si="7"/>
        <v>new</v>
      </c>
      <c r="N1182" s="408">
        <f>LEN(Tableau14[[#This Row],[LABEL]])</f>
        <v>24</v>
      </c>
      <c r="O1182" s="408">
        <v>15</v>
      </c>
      <c r="P1182" s="408" t="e">
        <f>ROUND(Tableau14[[#This Row],[LEN]]*#REF!+#REF!,0)</f>
        <v>#REF!</v>
      </c>
    </row>
    <row r="1183" spans="1:16" x14ac:dyDescent="0.25">
      <c r="A1183" s="98" t="s">
        <v>1944</v>
      </c>
      <c r="B1183" s="99" t="s">
        <v>355</v>
      </c>
      <c r="C1183" s="100" t="s">
        <v>1946</v>
      </c>
      <c r="D1183" s="80" t="s">
        <v>28</v>
      </c>
      <c r="E1183" s="82" t="s">
        <v>679</v>
      </c>
      <c r="F1183" s="100" t="s">
        <v>1177</v>
      </c>
      <c r="G1183" s="80" t="s">
        <v>171</v>
      </c>
      <c r="H1183" s="80" t="s">
        <v>656</v>
      </c>
      <c r="I1183" s="100"/>
      <c r="J1183" s="101" t="s">
        <v>708</v>
      </c>
      <c r="K1183" s="121">
        <f>ROUND(Tableau14[[#This Row],[LEN]]*7.27,0)</f>
        <v>313</v>
      </c>
      <c r="L1183" s="121">
        <v>15</v>
      </c>
      <c r="M1183" s="138" t="str">
        <f t="shared" si="7"/>
        <v>none</v>
      </c>
      <c r="N1183" s="121">
        <f>LEN(Tableau14[[#This Row],[LABEL]])</f>
        <v>43</v>
      </c>
      <c r="O1183" s="121">
        <v>15</v>
      </c>
      <c r="P1183" s="121" t="e">
        <f>ROUND(Tableau14[[#This Row],[LEN]]*#REF!+#REF!,0)</f>
        <v>#REF!</v>
      </c>
    </row>
    <row r="1184" spans="1:16" x14ac:dyDescent="0.25">
      <c r="A1184" s="98" t="s">
        <v>1945</v>
      </c>
      <c r="B1184" s="99" t="s">
        <v>355</v>
      </c>
      <c r="C1184" s="100" t="s">
        <v>1947</v>
      </c>
      <c r="D1184" s="80" t="s">
        <v>1948</v>
      </c>
      <c r="E1184" s="82" t="s">
        <v>679</v>
      </c>
      <c r="F1184" s="100" t="s">
        <v>1177</v>
      </c>
      <c r="G1184" s="80" t="s">
        <v>171</v>
      </c>
      <c r="H1184" s="80" t="s">
        <v>656</v>
      </c>
      <c r="I1184" s="100"/>
      <c r="J1184" s="101" t="s">
        <v>708</v>
      </c>
      <c r="K1184" s="121">
        <f>ROUND(Tableau14[[#This Row],[LEN]]*7.27,0)</f>
        <v>262</v>
      </c>
      <c r="L1184" s="121">
        <v>15</v>
      </c>
      <c r="M1184" s="138" t="str">
        <f t="shared" si="7"/>
        <v>none</v>
      </c>
      <c r="N1184" s="121">
        <f>LEN(Tableau14[[#This Row],[LABEL]])</f>
        <v>36</v>
      </c>
      <c r="O1184" s="121">
        <v>15</v>
      </c>
      <c r="P1184" s="121" t="e">
        <f>ROUND(Tableau14[[#This Row],[LEN]]*#REF!+#REF!,0)</f>
        <v>#REF!</v>
      </c>
    </row>
    <row r="1185" spans="1:16" s="92" customFormat="1" x14ac:dyDescent="0.25">
      <c r="A1185" s="402" t="s">
        <v>2059</v>
      </c>
      <c r="B1185" s="403" t="s">
        <v>211</v>
      </c>
      <c r="C1185" s="404" t="s">
        <v>1950</v>
      </c>
      <c r="D1185" s="405" t="s">
        <v>28</v>
      </c>
      <c r="E1185" s="406" t="s">
        <v>1951</v>
      </c>
      <c r="F1185" s="404" t="s">
        <v>1951</v>
      </c>
      <c r="G1185" s="405" t="s">
        <v>171</v>
      </c>
      <c r="H1185" s="405" t="str">
        <f>IFERROR(IF(SEARCH(".00.00.00.00.00",Tableau14[[#This Row],[name]],1)=7,"Division",""),"")</f>
        <v>Division</v>
      </c>
      <c r="I1185" s="404"/>
      <c r="J1185" s="407" t="s">
        <v>708</v>
      </c>
      <c r="K1185" s="408">
        <f>ROUND(Tableau14[[#This Row],[LEN]]*7.27,0)</f>
        <v>51</v>
      </c>
      <c r="L1185" s="408">
        <v>15</v>
      </c>
      <c r="M1185" s="409" t="str">
        <f t="shared" si="7"/>
        <v>none</v>
      </c>
      <c r="N1185" s="408">
        <f>LEN(Tableau14[[#This Row],[LABEL]])</f>
        <v>7</v>
      </c>
      <c r="O1185" s="408">
        <v>15</v>
      </c>
      <c r="P1185" s="408" t="e">
        <f>ROUND(Tableau14[[#This Row],[LEN]]*#REF!+#REF!,0)</f>
        <v>#REF!</v>
      </c>
    </row>
    <row r="1186" spans="1:16" x14ac:dyDescent="0.25">
      <c r="A1186" s="98" t="s">
        <v>2060</v>
      </c>
      <c r="B1186" s="99" t="s">
        <v>2059</v>
      </c>
      <c r="C1186" s="100" t="s">
        <v>2068</v>
      </c>
      <c r="D1186" s="80" t="s">
        <v>28</v>
      </c>
      <c r="E1186" s="82" t="s">
        <v>1951</v>
      </c>
      <c r="F1186" s="100" t="s">
        <v>1177</v>
      </c>
      <c r="G1186" s="80" t="s">
        <v>170</v>
      </c>
      <c r="H1186" s="80" t="s">
        <v>656</v>
      </c>
      <c r="I1186" s="100"/>
      <c r="J1186" s="101" t="s">
        <v>708</v>
      </c>
      <c r="K1186" s="121">
        <f>ROUND(Tableau14[[#This Row],[LEN]]*7.27,0)</f>
        <v>422</v>
      </c>
      <c r="L1186" s="121">
        <v>15</v>
      </c>
      <c r="M1186" s="138" t="str">
        <f t="shared" si="7"/>
        <v>none</v>
      </c>
      <c r="N1186" s="121">
        <f>LEN(Tableau14[[#This Row],[LABEL]])</f>
        <v>58</v>
      </c>
      <c r="O1186" s="121">
        <v>15</v>
      </c>
      <c r="P1186" s="121" t="e">
        <f>ROUND(Tableau14[[#This Row],[LEN]]*#REF!+#REF!,0)</f>
        <v>#REF!</v>
      </c>
    </row>
    <row r="1187" spans="1:16" x14ac:dyDescent="0.25">
      <c r="A1187" s="98" t="s">
        <v>2061</v>
      </c>
      <c r="B1187" s="99" t="s">
        <v>2059</v>
      </c>
      <c r="C1187" s="100" t="s">
        <v>2069</v>
      </c>
      <c r="D1187" s="80" t="s">
        <v>28</v>
      </c>
      <c r="E1187" s="82" t="s">
        <v>1951</v>
      </c>
      <c r="F1187" s="100" t="s">
        <v>1177</v>
      </c>
      <c r="G1187" s="80" t="s">
        <v>170</v>
      </c>
      <c r="H1187" s="80" t="s">
        <v>656</v>
      </c>
      <c r="I1187" s="100"/>
      <c r="J1187" s="101" t="s">
        <v>708</v>
      </c>
      <c r="K1187" s="121">
        <f>ROUND(Tableau14[[#This Row],[LEN]]*7.27,0)</f>
        <v>116</v>
      </c>
      <c r="L1187" s="121">
        <v>15</v>
      </c>
      <c r="M1187" s="138" t="str">
        <f t="shared" si="7"/>
        <v>none</v>
      </c>
      <c r="N1187" s="121">
        <f>LEN(Tableau14[[#This Row],[LABEL]])</f>
        <v>16</v>
      </c>
      <c r="O1187" s="121">
        <v>15</v>
      </c>
      <c r="P1187" s="121" t="e">
        <f>ROUND(Tableau14[[#This Row],[LEN]]*#REF!+#REF!,0)</f>
        <v>#REF!</v>
      </c>
    </row>
    <row r="1188" spans="1:16" x14ac:dyDescent="0.25">
      <c r="A1188" s="98" t="s">
        <v>2062</v>
      </c>
      <c r="B1188" s="99" t="s">
        <v>2059</v>
      </c>
      <c r="C1188" s="100" t="s">
        <v>2070</v>
      </c>
      <c r="D1188" s="80" t="s">
        <v>28</v>
      </c>
      <c r="E1188" s="82" t="s">
        <v>1951</v>
      </c>
      <c r="F1188" s="100" t="s">
        <v>1177</v>
      </c>
      <c r="G1188" s="80" t="s">
        <v>170</v>
      </c>
      <c r="H1188" s="80" t="s">
        <v>656</v>
      </c>
      <c r="I1188" s="100"/>
      <c r="J1188" s="101" t="s">
        <v>708</v>
      </c>
      <c r="K1188" s="121">
        <f>ROUND(Tableau14[[#This Row],[LEN]]*7.27,0)</f>
        <v>429</v>
      </c>
      <c r="L1188" s="121">
        <v>15</v>
      </c>
      <c r="M1188" s="138" t="str">
        <f t="shared" si="7"/>
        <v>none</v>
      </c>
      <c r="N1188" s="121">
        <f>LEN(Tableau14[[#This Row],[LABEL]])</f>
        <v>59</v>
      </c>
      <c r="O1188" s="121">
        <v>15</v>
      </c>
      <c r="P1188" s="121" t="e">
        <f>ROUND(Tableau14[[#This Row],[LEN]]*#REF!+#REF!,0)</f>
        <v>#REF!</v>
      </c>
    </row>
    <row r="1189" spans="1:16" x14ac:dyDescent="0.25">
      <c r="A1189" s="98" t="s">
        <v>2063</v>
      </c>
      <c r="B1189" s="99" t="s">
        <v>2059</v>
      </c>
      <c r="C1189" s="100" t="s">
        <v>2071</v>
      </c>
      <c r="D1189" s="80" t="s">
        <v>28</v>
      </c>
      <c r="E1189" s="82" t="s">
        <v>1951</v>
      </c>
      <c r="F1189" s="100" t="s">
        <v>1177</v>
      </c>
      <c r="G1189" s="80" t="s">
        <v>170</v>
      </c>
      <c r="H1189" s="80" t="s">
        <v>656</v>
      </c>
      <c r="I1189" s="100"/>
      <c r="J1189" s="101" t="s">
        <v>708</v>
      </c>
      <c r="K1189" s="121">
        <f>ROUND(Tableau14[[#This Row],[LEN]]*7.27,0)</f>
        <v>385</v>
      </c>
      <c r="L1189" s="121">
        <v>15</v>
      </c>
      <c r="M1189" s="138" t="str">
        <f t="shared" si="7"/>
        <v>none</v>
      </c>
      <c r="N1189" s="121">
        <f>LEN(Tableau14[[#This Row],[LABEL]])</f>
        <v>53</v>
      </c>
      <c r="O1189" s="121">
        <v>15</v>
      </c>
      <c r="P1189" s="121" t="e">
        <f>ROUND(Tableau14[[#This Row],[LEN]]*#REF!+#REF!,0)</f>
        <v>#REF!</v>
      </c>
    </row>
    <row r="1190" spans="1:16" x14ac:dyDescent="0.25">
      <c r="A1190" s="98" t="s">
        <v>2064</v>
      </c>
      <c r="B1190" s="99" t="s">
        <v>2059</v>
      </c>
      <c r="C1190" s="100" t="s">
        <v>2072</v>
      </c>
      <c r="D1190" s="80" t="s">
        <v>28</v>
      </c>
      <c r="E1190" s="82" t="s">
        <v>1951</v>
      </c>
      <c r="F1190" s="100" t="s">
        <v>1177</v>
      </c>
      <c r="G1190" s="80" t="s">
        <v>170</v>
      </c>
      <c r="H1190" s="80" t="s">
        <v>656</v>
      </c>
      <c r="I1190" s="100"/>
      <c r="J1190" s="101" t="s">
        <v>708</v>
      </c>
      <c r="K1190" s="121">
        <f>ROUND(Tableau14[[#This Row],[LEN]]*7.27,0)</f>
        <v>494</v>
      </c>
      <c r="L1190" s="121">
        <v>15</v>
      </c>
      <c r="M1190" s="138" t="str">
        <f t="shared" si="7"/>
        <v>none</v>
      </c>
      <c r="N1190" s="121">
        <f>LEN(Tableau14[[#This Row],[LABEL]])</f>
        <v>68</v>
      </c>
      <c r="O1190" s="121">
        <v>15</v>
      </c>
      <c r="P1190" s="121" t="e">
        <f>ROUND(Tableau14[[#This Row],[LEN]]*#REF!+#REF!,0)</f>
        <v>#REF!</v>
      </c>
    </row>
    <row r="1191" spans="1:16" x14ac:dyDescent="0.25">
      <c r="A1191" s="98" t="s">
        <v>2065</v>
      </c>
      <c r="B1191" s="99" t="s">
        <v>2059</v>
      </c>
      <c r="C1191" s="100" t="s">
        <v>2073</v>
      </c>
      <c r="D1191" s="80" t="s">
        <v>28</v>
      </c>
      <c r="E1191" s="82" t="s">
        <v>1951</v>
      </c>
      <c r="F1191" s="100" t="s">
        <v>1177</v>
      </c>
      <c r="G1191" s="80" t="s">
        <v>170</v>
      </c>
      <c r="H1191" s="80" t="s">
        <v>656</v>
      </c>
      <c r="I1191" s="100"/>
      <c r="J1191" s="101" t="s">
        <v>708</v>
      </c>
      <c r="K1191" s="121">
        <f>ROUND(Tableau14[[#This Row],[LEN]]*7.27,0)</f>
        <v>196</v>
      </c>
      <c r="L1191" s="121">
        <v>15</v>
      </c>
      <c r="M1191" s="138" t="str">
        <f t="shared" si="7"/>
        <v>none</v>
      </c>
      <c r="N1191" s="121">
        <f>LEN(Tableau14[[#This Row],[LABEL]])</f>
        <v>27</v>
      </c>
      <c r="O1191" s="121">
        <v>15</v>
      </c>
      <c r="P1191" s="121" t="e">
        <f>ROUND(Tableau14[[#This Row],[LEN]]*#REF!+#REF!,0)</f>
        <v>#REF!</v>
      </c>
    </row>
    <row r="1192" spans="1:16" x14ac:dyDescent="0.25">
      <c r="A1192" s="98" t="s">
        <v>2066</v>
      </c>
      <c r="B1192" s="99" t="s">
        <v>2059</v>
      </c>
      <c r="C1192" s="100" t="s">
        <v>602</v>
      </c>
      <c r="D1192" s="80" t="s">
        <v>28</v>
      </c>
      <c r="E1192" s="82" t="s">
        <v>1951</v>
      </c>
      <c r="F1192" s="100" t="s">
        <v>1177</v>
      </c>
      <c r="G1192" s="80" t="s">
        <v>170</v>
      </c>
      <c r="H1192" s="80" t="s">
        <v>656</v>
      </c>
      <c r="I1192" s="100"/>
      <c r="J1192" s="101" t="s">
        <v>708</v>
      </c>
      <c r="K1192" s="121">
        <f>ROUND(Tableau14[[#This Row],[LEN]]*7.27,0)</f>
        <v>553</v>
      </c>
      <c r="L1192" s="121">
        <v>15</v>
      </c>
      <c r="M1192" s="138" t="str">
        <f t="shared" si="7"/>
        <v>none</v>
      </c>
      <c r="N1192" s="121">
        <f>LEN(Tableau14[[#This Row],[LABEL]])</f>
        <v>76</v>
      </c>
      <c r="O1192" s="121">
        <v>15</v>
      </c>
      <c r="P1192" s="121" t="e">
        <f>ROUND(Tableau14[[#This Row],[LEN]]*#REF!+#REF!,0)</f>
        <v>#REF!</v>
      </c>
    </row>
    <row r="1193" spans="1:16" x14ac:dyDescent="0.25">
      <c r="A1193" s="98" t="s">
        <v>2067</v>
      </c>
      <c r="B1193" s="99" t="s">
        <v>2059</v>
      </c>
      <c r="C1193" s="100" t="s">
        <v>2074</v>
      </c>
      <c r="D1193" s="80" t="s">
        <v>28</v>
      </c>
      <c r="E1193" s="82" t="s">
        <v>1951</v>
      </c>
      <c r="F1193" s="100" t="s">
        <v>1177</v>
      </c>
      <c r="G1193" s="80" t="s">
        <v>170</v>
      </c>
      <c r="H1193" s="80" t="s">
        <v>656</v>
      </c>
      <c r="I1193" s="100"/>
      <c r="J1193" s="101" t="s">
        <v>708</v>
      </c>
      <c r="K1193" s="121">
        <f>ROUND(Tableau14[[#This Row],[LEN]]*7.27,0)</f>
        <v>502</v>
      </c>
      <c r="L1193" s="121">
        <v>15</v>
      </c>
      <c r="M1193" s="138" t="str">
        <f t="shared" si="7"/>
        <v>none</v>
      </c>
      <c r="N1193" s="121">
        <f>LEN(Tableau14[[#This Row],[LABEL]])</f>
        <v>69</v>
      </c>
      <c r="O1193" s="121">
        <v>15</v>
      </c>
      <c r="P1193" s="121" t="e">
        <f>ROUND(Tableau14[[#This Row],[LEN]]*#REF!+#REF!,0)</f>
        <v>#REF!</v>
      </c>
    </row>
  </sheetData>
  <dataValidations count="1">
    <dataValidation type="list" allowBlank="1" showInputMessage="1" showErrorMessage="1" sqref="H2:H1193">
      <formula1>listType</formula1>
    </dataValidation>
  </dataValidations>
  <hyperlinks>
    <hyperlink ref="J425" r:id="rId1"/>
    <hyperlink ref="J96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P1193"/>
  <sheetViews>
    <sheetView zoomScale="85" zoomScaleNormal="85" workbookViewId="0">
      <pane xSplit="3" ySplit="1" topLeftCell="E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1177</v>
      </c>
      <c r="E2" s="142" t="s">
        <v>1177</v>
      </c>
      <c r="F2" s="143" t="s">
        <v>1084</v>
      </c>
      <c r="G2" s="142" t="s">
        <v>69</v>
      </c>
      <c r="H2" s="142" t="s">
        <v>657</v>
      </c>
      <c r="I2" s="143"/>
      <c r="J2" s="144" t="s">
        <v>708</v>
      </c>
      <c r="K2" s="145">
        <f>ROUND(Tableau15[[#This Row],[LEN]]*7.27,0)</f>
        <v>44</v>
      </c>
      <c r="L2" s="145">
        <v>15</v>
      </c>
      <c r="M2" s="146" t="str">
        <f t="shared" ref="M2:M91" si="0">IF(J2="javascript:void(0)","none","new")</f>
        <v>none</v>
      </c>
      <c r="N2" s="145">
        <f>LEN(Tableau15[[#This Row],[LABEL]])</f>
        <v>6</v>
      </c>
      <c r="O2" s="147">
        <v>15</v>
      </c>
      <c r="P2" s="147" t="e">
        <f>ROUND(Tableau15[[#This Row],[LEN]]*#REF!+#REF!,0)</f>
        <v>#REF!</v>
      </c>
    </row>
    <row r="3" spans="1:16" x14ac:dyDescent="0.25">
      <c r="A3" s="93" t="s">
        <v>199</v>
      </c>
      <c r="B3" s="93" t="s">
        <v>198</v>
      </c>
      <c r="C3" s="81" t="s">
        <v>1158</v>
      </c>
      <c r="D3" s="83" t="s">
        <v>180</v>
      </c>
      <c r="E3" s="83" t="s">
        <v>1177</v>
      </c>
      <c r="F3" s="94" t="s">
        <v>1084</v>
      </c>
      <c r="G3" s="83" t="s">
        <v>171</v>
      </c>
      <c r="H3" s="83" t="s">
        <v>615</v>
      </c>
      <c r="I3" s="94"/>
      <c r="J3" s="95" t="s">
        <v>707</v>
      </c>
      <c r="K3" s="104">
        <f>ROUND(Tableau15[[#This Row],[LEN]]*7.27,0)</f>
        <v>102</v>
      </c>
      <c r="L3" s="104">
        <v>15</v>
      </c>
      <c r="M3" s="122" t="str">
        <f t="shared" si="0"/>
        <v>new</v>
      </c>
      <c r="N3" s="104">
        <f>LEN(Tableau15[[#This Row],[LABEL]])</f>
        <v>14</v>
      </c>
      <c r="O3" s="148">
        <v>15</v>
      </c>
      <c r="P3" s="148" t="e">
        <f>ROUND(Tableau15[[#This Row],[LEN]]*#REF!+#REF!,0)</f>
        <v>#REF!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1177</v>
      </c>
      <c r="F4" s="151" t="s">
        <v>1177</v>
      </c>
      <c r="G4" s="150" t="s">
        <v>70</v>
      </c>
      <c r="H4" s="150" t="s">
        <v>616</v>
      </c>
      <c r="I4" s="151"/>
      <c r="J4" s="152" t="s">
        <v>708</v>
      </c>
      <c r="K4" s="153">
        <f>ROUND(Tableau15[[#This Row],[LEN]]*7.27,0)</f>
        <v>80</v>
      </c>
      <c r="L4" s="153">
        <v>15</v>
      </c>
      <c r="M4" s="154" t="str">
        <f t="shared" si="0"/>
        <v>none</v>
      </c>
      <c r="N4" s="153">
        <f>LEN(Tableau15[[#This Row],[LABEL]])</f>
        <v>11</v>
      </c>
      <c r="O4" s="155">
        <v>15</v>
      </c>
      <c r="P4" s="155" t="e">
        <f>ROUND(Tableau15[[#This Row],[LEN]]*#REF!+#REF!,0)</f>
        <v>#REF!</v>
      </c>
    </row>
    <row r="5" spans="1:16" s="92" customFormat="1" ht="15.75" thickTop="1" x14ac:dyDescent="0.25">
      <c r="A5" s="245" t="s">
        <v>213</v>
      </c>
      <c r="B5" s="246" t="s">
        <v>204</v>
      </c>
      <c r="C5" s="247" t="s">
        <v>57</v>
      </c>
      <c r="D5" s="248" t="s">
        <v>1177</v>
      </c>
      <c r="E5" s="247" t="s">
        <v>663</v>
      </c>
      <c r="F5" s="247" t="s">
        <v>1177</v>
      </c>
      <c r="G5" s="248" t="s">
        <v>70</v>
      </c>
      <c r="H5" s="248" t="str">
        <f>IFERROR(IF(SEARCH(".00.00.00.00.00",Tableau15[[#This Row],[name]],1)=7,"Division",""),"")</f>
        <v>Division</v>
      </c>
      <c r="I5" s="247"/>
      <c r="J5" s="249" t="s">
        <v>708</v>
      </c>
      <c r="K5" s="250">
        <f>ROUND(Tableau15[[#This Row],[LEN]]*7.27,0)</f>
        <v>102</v>
      </c>
      <c r="L5" s="250">
        <v>15</v>
      </c>
      <c r="M5" s="251" t="str">
        <f t="shared" si="0"/>
        <v>none</v>
      </c>
      <c r="N5" s="250">
        <f>LEN(Tableau15[[#This Row],[LABEL]])</f>
        <v>14</v>
      </c>
      <c r="O5" s="250">
        <v>15</v>
      </c>
      <c r="P5" s="250" t="e">
        <f>ROUND(Tableau15[[#This Row],[LEN]]*#REF!+#REF!,0)</f>
        <v>#REF!</v>
      </c>
    </row>
    <row r="6" spans="1:16" x14ac:dyDescent="0.25">
      <c r="A6" s="6" t="s">
        <v>740</v>
      </c>
      <c r="B6" s="7" t="s">
        <v>213</v>
      </c>
      <c r="C6" s="8" t="s">
        <v>746</v>
      </c>
      <c r="D6" s="65" t="s">
        <v>1177</v>
      </c>
      <c r="E6" s="8" t="s">
        <v>663</v>
      </c>
      <c r="F6" s="8" t="s">
        <v>1177</v>
      </c>
      <c r="G6" s="65" t="s">
        <v>70</v>
      </c>
      <c r="H6" s="65" t="s">
        <v>654</v>
      </c>
      <c r="I6" s="8"/>
      <c r="J6" s="9" t="s">
        <v>708</v>
      </c>
      <c r="K6" s="105">
        <f>ROUND(Tableau15[[#This Row],[LEN]]*7.27,0)</f>
        <v>233</v>
      </c>
      <c r="L6" s="105">
        <v>15</v>
      </c>
      <c r="M6" s="123" t="str">
        <f t="shared" si="0"/>
        <v>none</v>
      </c>
      <c r="N6" s="105">
        <f>LEN(Tableau15[[#This Row],[LABEL]])</f>
        <v>32</v>
      </c>
      <c r="O6" s="105">
        <v>15</v>
      </c>
      <c r="P6" s="105" t="e">
        <f>ROUND(Tableau15[[#This Row],[LEN]]*#REF!+#REF!,0)</f>
        <v>#REF!</v>
      </c>
    </row>
    <row r="7" spans="1:16" x14ac:dyDescent="0.25">
      <c r="A7" s="6" t="s">
        <v>741</v>
      </c>
      <c r="B7" s="7" t="s">
        <v>213</v>
      </c>
      <c r="C7" s="8" t="s">
        <v>64</v>
      </c>
      <c r="D7" s="65" t="s">
        <v>1177</v>
      </c>
      <c r="E7" s="8" t="s">
        <v>662</v>
      </c>
      <c r="F7" s="8" t="s">
        <v>1956</v>
      </c>
      <c r="G7" s="65" t="s">
        <v>70</v>
      </c>
      <c r="H7" s="65" t="s">
        <v>17</v>
      </c>
      <c r="I7" s="8"/>
      <c r="J7" s="9" t="s">
        <v>708</v>
      </c>
      <c r="K7" s="105">
        <f>ROUND(Tableau15[[#This Row],[LEN]]*7.27,0)</f>
        <v>291</v>
      </c>
      <c r="L7" s="105">
        <v>15</v>
      </c>
      <c r="M7" s="123" t="str">
        <f t="shared" si="0"/>
        <v>none</v>
      </c>
      <c r="N7" s="105">
        <f>LEN(Tableau15[[#This Row],[LABEL]])</f>
        <v>40</v>
      </c>
      <c r="O7" s="105">
        <v>15</v>
      </c>
      <c r="P7" s="105" t="e">
        <f>ROUND(Tableau15[[#This Row],[LEN]]*#REF!+#REF!,0)</f>
        <v>#REF!</v>
      </c>
    </row>
    <row r="8" spans="1:16" x14ac:dyDescent="0.25">
      <c r="A8" s="6" t="s">
        <v>742</v>
      </c>
      <c r="B8" s="7" t="s">
        <v>213</v>
      </c>
      <c r="C8" s="8" t="s">
        <v>747</v>
      </c>
      <c r="D8" s="65" t="s">
        <v>1177</v>
      </c>
      <c r="E8" s="8" t="s">
        <v>663</v>
      </c>
      <c r="F8" s="8" t="s">
        <v>1177</v>
      </c>
      <c r="G8" s="65" t="s">
        <v>70</v>
      </c>
      <c r="H8" s="65" t="s">
        <v>656</v>
      </c>
      <c r="I8" s="8"/>
      <c r="J8" s="9" t="s">
        <v>708</v>
      </c>
      <c r="K8" s="105">
        <f>ROUND(Tableau15[[#This Row],[LEN]]*7.27,0)</f>
        <v>451</v>
      </c>
      <c r="L8" s="105">
        <v>15</v>
      </c>
      <c r="M8" s="123" t="str">
        <f t="shared" si="0"/>
        <v>none</v>
      </c>
      <c r="N8" s="105">
        <f>LEN(Tableau15[[#This Row],[LABEL]])</f>
        <v>62</v>
      </c>
      <c r="O8" s="105">
        <v>15</v>
      </c>
      <c r="P8" s="105" t="e">
        <f>ROUND(Tableau15[[#This Row],[LEN]]*#REF!+#REF!,0)</f>
        <v>#REF!</v>
      </c>
    </row>
    <row r="9" spans="1:16" x14ac:dyDescent="0.25">
      <c r="A9" s="6" t="s">
        <v>743</v>
      </c>
      <c r="B9" s="7" t="s">
        <v>213</v>
      </c>
      <c r="C9" s="8" t="s">
        <v>65</v>
      </c>
      <c r="D9" s="65" t="s">
        <v>1177</v>
      </c>
      <c r="E9" s="8" t="s">
        <v>662</v>
      </c>
      <c r="F9" s="8" t="s">
        <v>1957</v>
      </c>
      <c r="G9" s="65" t="s">
        <v>70</v>
      </c>
      <c r="H9" s="65" t="s">
        <v>17</v>
      </c>
      <c r="I9" s="8"/>
      <c r="J9" s="9" t="s">
        <v>708</v>
      </c>
      <c r="K9" s="105">
        <f>ROUND(Tableau15[[#This Row],[LEN]]*7.27,0)</f>
        <v>291</v>
      </c>
      <c r="L9" s="105">
        <v>15</v>
      </c>
      <c r="M9" s="123" t="str">
        <f t="shared" si="0"/>
        <v>none</v>
      </c>
      <c r="N9" s="105">
        <f>LEN(Tableau15[[#This Row],[LABEL]])</f>
        <v>40</v>
      </c>
      <c r="O9" s="105">
        <v>15</v>
      </c>
      <c r="P9" s="105" t="e">
        <f>ROUND(Tableau15[[#This Row],[LEN]]*#REF!+#REF!,0)</f>
        <v>#REF!</v>
      </c>
    </row>
    <row r="10" spans="1:16" x14ac:dyDescent="0.25">
      <c r="A10" s="6" t="s">
        <v>744</v>
      </c>
      <c r="B10" s="7" t="s">
        <v>213</v>
      </c>
      <c r="C10" s="8" t="s">
        <v>748</v>
      </c>
      <c r="D10" s="65" t="s">
        <v>1177</v>
      </c>
      <c r="E10" s="8" t="s">
        <v>663</v>
      </c>
      <c r="F10" s="8" t="s">
        <v>1177</v>
      </c>
      <c r="G10" s="65" t="s">
        <v>70</v>
      </c>
      <c r="H10" s="65" t="s">
        <v>656</v>
      </c>
      <c r="I10" s="8"/>
      <c r="J10" s="9" t="s">
        <v>708</v>
      </c>
      <c r="K10" s="105">
        <f>ROUND(Tableau15[[#This Row],[LEN]]*7.27,0)</f>
        <v>247</v>
      </c>
      <c r="L10" s="105">
        <v>15</v>
      </c>
      <c r="M10" s="123" t="str">
        <f t="shared" si="0"/>
        <v>none</v>
      </c>
      <c r="N10" s="105">
        <f>LEN(Tableau15[[#This Row],[LABEL]])</f>
        <v>34</v>
      </c>
      <c r="O10" s="105">
        <v>15</v>
      </c>
      <c r="P10" s="105" t="e">
        <f>ROUND(Tableau15[[#This Row],[LEN]]*#REF!+#REF!,0)</f>
        <v>#REF!</v>
      </c>
    </row>
    <row r="11" spans="1:16" x14ac:dyDescent="0.25">
      <c r="A11" s="6" t="s">
        <v>745</v>
      </c>
      <c r="B11" s="7" t="s">
        <v>213</v>
      </c>
      <c r="C11" s="8" t="s">
        <v>1166</v>
      </c>
      <c r="D11" s="65" t="s">
        <v>1177</v>
      </c>
      <c r="E11" s="8" t="s">
        <v>663</v>
      </c>
      <c r="F11" s="8" t="s">
        <v>1177</v>
      </c>
      <c r="G11" s="65" t="s">
        <v>70</v>
      </c>
      <c r="H11" s="65" t="s">
        <v>656</v>
      </c>
      <c r="I11" s="8"/>
      <c r="J11" s="9" t="s">
        <v>708</v>
      </c>
      <c r="K11" s="105">
        <f>ROUND(Tableau15[[#This Row],[LEN]]*7.27,0)</f>
        <v>364</v>
      </c>
      <c r="L11" s="105">
        <v>15</v>
      </c>
      <c r="M11" s="123" t="str">
        <f t="shared" si="0"/>
        <v>none</v>
      </c>
      <c r="N11" s="105">
        <f>LEN(Tableau15[[#This Row],[LABEL]])</f>
        <v>50</v>
      </c>
      <c r="O11" s="105">
        <v>15</v>
      </c>
      <c r="P11" s="105" t="e">
        <f>ROUND(Tableau15[[#This Row],[LEN]]*#REF!+#REF!,0)</f>
        <v>#REF!</v>
      </c>
    </row>
    <row r="12" spans="1:16" s="92" customFormat="1" x14ac:dyDescent="0.25">
      <c r="A12" s="245" t="s">
        <v>214</v>
      </c>
      <c r="B12" s="246" t="s">
        <v>204</v>
      </c>
      <c r="C12" s="247" t="s">
        <v>2</v>
      </c>
      <c r="D12" s="248" t="s">
        <v>1177</v>
      </c>
      <c r="E12" s="247" t="s">
        <v>662</v>
      </c>
      <c r="F12" s="247" t="s">
        <v>1177</v>
      </c>
      <c r="G12" s="248" t="s">
        <v>70</v>
      </c>
      <c r="H12" s="248" t="str">
        <f>IFERROR(IF(SEARCH(".00.00.00.00.00",Tableau15[[#This Row],[name]],1)=7,"Division",""),"")</f>
        <v>Division</v>
      </c>
      <c r="I12" s="247"/>
      <c r="J12" s="249" t="s">
        <v>708</v>
      </c>
      <c r="K12" s="250">
        <f>ROUND(Tableau15[[#This Row],[LEN]]*7.27,0)</f>
        <v>65</v>
      </c>
      <c r="L12" s="250">
        <v>15</v>
      </c>
      <c r="M12" s="251" t="str">
        <f t="shared" si="0"/>
        <v>none</v>
      </c>
      <c r="N12" s="250">
        <f>LEN(Tableau15[[#This Row],[LABEL]])</f>
        <v>9</v>
      </c>
      <c r="O12" s="250">
        <v>15</v>
      </c>
      <c r="P12" s="250" t="e">
        <f>ROUND(Tableau15[[#This Row],[LEN]]*#REF!+#REF!,0)</f>
        <v>#REF!</v>
      </c>
    </row>
    <row r="13" spans="1:16" x14ac:dyDescent="0.25">
      <c r="A13" s="6" t="s">
        <v>734</v>
      </c>
      <c r="B13" s="7" t="s">
        <v>214</v>
      </c>
      <c r="C13" s="8" t="s">
        <v>64</v>
      </c>
      <c r="D13" s="65" t="s">
        <v>1177</v>
      </c>
      <c r="E13" s="8" t="s">
        <v>662</v>
      </c>
      <c r="F13" s="8" t="s">
        <v>1956</v>
      </c>
      <c r="G13" s="65" t="s">
        <v>70</v>
      </c>
      <c r="H13" s="65" t="s">
        <v>17</v>
      </c>
      <c r="I13" s="8"/>
      <c r="J13" s="9" t="s">
        <v>708</v>
      </c>
      <c r="K13" s="105">
        <f>ROUND(Tableau15[[#This Row],[LEN]]*7.27,0)</f>
        <v>291</v>
      </c>
      <c r="L13" s="105">
        <v>15</v>
      </c>
      <c r="M13" s="123" t="str">
        <f t="shared" si="0"/>
        <v>none</v>
      </c>
      <c r="N13" s="105">
        <f>LEN(Tableau15[[#This Row],[LABEL]])</f>
        <v>40</v>
      </c>
      <c r="O13" s="105">
        <v>15</v>
      </c>
      <c r="P13" s="105" t="e">
        <f>ROUND(Tableau15[[#This Row],[LEN]]*#REF!+#REF!,0)</f>
        <v>#REF!</v>
      </c>
    </row>
    <row r="14" spans="1:16" x14ac:dyDescent="0.25">
      <c r="A14" s="6" t="s">
        <v>735</v>
      </c>
      <c r="B14" s="7" t="s">
        <v>214</v>
      </c>
      <c r="C14" s="8" t="s">
        <v>65</v>
      </c>
      <c r="D14" s="65" t="s">
        <v>1177</v>
      </c>
      <c r="E14" s="8" t="s">
        <v>662</v>
      </c>
      <c r="F14" s="8" t="s">
        <v>1957</v>
      </c>
      <c r="G14" s="65" t="s">
        <v>70</v>
      </c>
      <c r="H14" s="65" t="s">
        <v>17</v>
      </c>
      <c r="I14" s="8"/>
      <c r="J14" s="9" t="s">
        <v>708</v>
      </c>
      <c r="K14" s="105">
        <f>ROUND(Tableau15[[#This Row],[LEN]]*7.27,0)</f>
        <v>291</v>
      </c>
      <c r="L14" s="105">
        <v>15</v>
      </c>
      <c r="M14" s="123" t="str">
        <f t="shared" si="0"/>
        <v>none</v>
      </c>
      <c r="N14" s="105">
        <f>LEN(Tableau15[[#This Row],[LABEL]])</f>
        <v>40</v>
      </c>
      <c r="O14" s="105">
        <v>15</v>
      </c>
      <c r="P14" s="105" t="e">
        <f>ROUND(Tableau15[[#This Row],[LEN]]*#REF!+#REF!,0)</f>
        <v>#REF!</v>
      </c>
    </row>
    <row r="15" spans="1:16" x14ac:dyDescent="0.25">
      <c r="A15" s="6" t="s">
        <v>736</v>
      </c>
      <c r="B15" s="7" t="s">
        <v>214</v>
      </c>
      <c r="C15" s="8" t="s">
        <v>72</v>
      </c>
      <c r="D15" s="65" t="s">
        <v>1177</v>
      </c>
      <c r="E15" s="8" t="s">
        <v>662</v>
      </c>
      <c r="F15" s="8" t="s">
        <v>2075</v>
      </c>
      <c r="G15" s="65" t="s">
        <v>70</v>
      </c>
      <c r="H15" s="65" t="s">
        <v>654</v>
      </c>
      <c r="I15" s="8"/>
      <c r="J15" s="9" t="s">
        <v>708</v>
      </c>
      <c r="K15" s="105">
        <f>ROUND(Tableau15[[#This Row],[LEN]]*7.27,0)</f>
        <v>400</v>
      </c>
      <c r="L15" s="105">
        <v>15</v>
      </c>
      <c r="M15" s="123" t="str">
        <f t="shared" si="0"/>
        <v>none</v>
      </c>
      <c r="N15" s="105">
        <f>LEN(Tableau15[[#This Row],[LABEL]])</f>
        <v>55</v>
      </c>
      <c r="O15" s="105">
        <v>15</v>
      </c>
      <c r="P15" s="105" t="e">
        <f>ROUND(Tableau15[[#This Row],[LEN]]*#REF!+#REF!,0)</f>
        <v>#REF!</v>
      </c>
    </row>
    <row r="16" spans="1:16" s="92" customFormat="1" x14ac:dyDescent="0.25">
      <c r="A16" s="245" t="s">
        <v>215</v>
      </c>
      <c r="B16" s="246" t="s">
        <v>204</v>
      </c>
      <c r="C16" s="247" t="s">
        <v>3</v>
      </c>
      <c r="D16" s="248" t="s">
        <v>1177</v>
      </c>
      <c r="E16" s="247" t="s">
        <v>661</v>
      </c>
      <c r="F16" s="247" t="s">
        <v>1177</v>
      </c>
      <c r="G16" s="248" t="s">
        <v>70</v>
      </c>
      <c r="H16" s="248" t="str">
        <f>IFERROR(IF(SEARCH(".00.00.00.00.00",Tableau15[[#This Row],[name]],1)=7,"Division",""),"")</f>
        <v>Division</v>
      </c>
      <c r="I16" s="247"/>
      <c r="J16" s="249" t="s">
        <v>708</v>
      </c>
      <c r="K16" s="250">
        <f>ROUND(Tableau15[[#This Row],[LEN]]*7.27,0)</f>
        <v>73</v>
      </c>
      <c r="L16" s="250">
        <v>15</v>
      </c>
      <c r="M16" s="251" t="str">
        <f t="shared" si="0"/>
        <v>none</v>
      </c>
      <c r="N16" s="250">
        <f>LEN(Tableau15[[#This Row],[LABEL]])</f>
        <v>10</v>
      </c>
      <c r="O16" s="250">
        <v>15</v>
      </c>
      <c r="P16" s="250" t="e">
        <f>ROUND(Tableau15[[#This Row],[LEN]]*#REF!+#REF!,0)</f>
        <v>#REF!</v>
      </c>
    </row>
    <row r="17" spans="1:16" x14ac:dyDescent="0.25">
      <c r="A17" s="6" t="s">
        <v>356</v>
      </c>
      <c r="B17" s="7" t="s">
        <v>215</v>
      </c>
      <c r="C17" s="8" t="s">
        <v>64</v>
      </c>
      <c r="D17" s="65" t="s">
        <v>1177</v>
      </c>
      <c r="E17" s="8" t="s">
        <v>662</v>
      </c>
      <c r="F17" s="8" t="s">
        <v>1956</v>
      </c>
      <c r="G17" s="65" t="s">
        <v>70</v>
      </c>
      <c r="H17" s="65" t="s">
        <v>17</v>
      </c>
      <c r="I17" s="8"/>
      <c r="J17" s="9" t="s">
        <v>708</v>
      </c>
      <c r="K17" s="105">
        <f>ROUND(Tableau15[[#This Row],[LEN]]*7.27,0)</f>
        <v>291</v>
      </c>
      <c r="L17" s="105">
        <v>15</v>
      </c>
      <c r="M17" s="123" t="str">
        <f t="shared" si="0"/>
        <v>none</v>
      </c>
      <c r="N17" s="105">
        <f>LEN(Tableau15[[#This Row],[LABEL]])</f>
        <v>40</v>
      </c>
      <c r="O17" s="105">
        <v>15</v>
      </c>
      <c r="P17" s="105" t="e">
        <f>ROUND(Tableau15[[#This Row],[LEN]]*#REF!+#REF!,0)</f>
        <v>#REF!</v>
      </c>
    </row>
    <row r="18" spans="1:16" x14ac:dyDescent="0.25">
      <c r="A18" s="6" t="s">
        <v>357</v>
      </c>
      <c r="B18" s="7" t="s">
        <v>215</v>
      </c>
      <c r="C18" s="8" t="s">
        <v>75</v>
      </c>
      <c r="D18" s="65" t="s">
        <v>1177</v>
      </c>
      <c r="E18" s="8" t="s">
        <v>684</v>
      </c>
      <c r="F18" s="8" t="s">
        <v>663</v>
      </c>
      <c r="G18" s="65" t="s">
        <v>70</v>
      </c>
      <c r="H18" s="65" t="s">
        <v>655</v>
      </c>
      <c r="I18" s="8"/>
      <c r="J18" s="9" t="s">
        <v>708</v>
      </c>
      <c r="K18" s="105">
        <f>ROUND(Tableau15[[#This Row],[LEN]]*7.27,0)</f>
        <v>262</v>
      </c>
      <c r="L18" s="105">
        <v>15</v>
      </c>
      <c r="M18" s="123" t="str">
        <f t="shared" si="0"/>
        <v>none</v>
      </c>
      <c r="N18" s="105">
        <f>LEN(Tableau15[[#This Row],[LABEL]])</f>
        <v>36</v>
      </c>
      <c r="O18" s="105">
        <v>15</v>
      </c>
      <c r="P18" s="105" t="e">
        <f>ROUND(Tableau15[[#This Row],[LEN]]*#REF!+#REF!,0)</f>
        <v>#REF!</v>
      </c>
    </row>
    <row r="19" spans="1:16" x14ac:dyDescent="0.25">
      <c r="A19" s="10" t="s">
        <v>365</v>
      </c>
      <c r="B19" s="11" t="s">
        <v>357</v>
      </c>
      <c r="C19" s="12" t="s">
        <v>76</v>
      </c>
      <c r="D19" s="66" t="s">
        <v>1177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06">
        <f>ROUND(Tableau15[[#This Row],[LEN]]*7.27,0)</f>
        <v>443</v>
      </c>
      <c r="L19" s="106">
        <v>15</v>
      </c>
      <c r="M19" s="124" t="str">
        <f t="shared" si="0"/>
        <v>none</v>
      </c>
      <c r="N19" s="106">
        <f>LEN(Tableau15[[#This Row],[LABEL]])</f>
        <v>61</v>
      </c>
      <c r="O19" s="106">
        <v>15</v>
      </c>
      <c r="P19" s="106" t="e">
        <f>ROUND(Tableau15[[#This Row],[LEN]]*#REF!+#REF!,0)</f>
        <v>#REF!</v>
      </c>
    </row>
    <row r="20" spans="1:16" x14ac:dyDescent="0.25">
      <c r="A20" s="10" t="s">
        <v>366</v>
      </c>
      <c r="B20" s="11" t="s">
        <v>357</v>
      </c>
      <c r="C20" s="12" t="s">
        <v>77</v>
      </c>
      <c r="D20" s="66" t="s">
        <v>1177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06">
        <f>ROUND(Tableau15[[#This Row],[LEN]]*7.27,0)</f>
        <v>473</v>
      </c>
      <c r="L20" s="106">
        <v>15</v>
      </c>
      <c r="M20" s="124" t="str">
        <f t="shared" si="0"/>
        <v>none</v>
      </c>
      <c r="N20" s="106">
        <f>LEN(Tableau15[[#This Row],[LABEL]])</f>
        <v>65</v>
      </c>
      <c r="O20" s="106">
        <v>15</v>
      </c>
      <c r="P20" s="106" t="e">
        <f>ROUND(Tableau15[[#This Row],[LEN]]*#REF!+#REF!,0)</f>
        <v>#REF!</v>
      </c>
    </row>
    <row r="21" spans="1:16" x14ac:dyDescent="0.25">
      <c r="A21" s="10" t="s">
        <v>367</v>
      </c>
      <c r="B21" s="11" t="s">
        <v>357</v>
      </c>
      <c r="C21" s="12" t="s">
        <v>78</v>
      </c>
      <c r="D21" s="66" t="s">
        <v>1177</v>
      </c>
      <c r="E21" s="12" t="s">
        <v>684</v>
      </c>
      <c r="F21" s="12" t="s">
        <v>663</v>
      </c>
      <c r="G21" s="66" t="s">
        <v>70</v>
      </c>
      <c r="H21" s="66" t="s">
        <v>18</v>
      </c>
      <c r="I21" s="12"/>
      <c r="J21" s="13" t="s">
        <v>708</v>
      </c>
      <c r="K21" s="106">
        <f>ROUND(Tableau15[[#This Row],[LEN]]*7.27,0)</f>
        <v>385</v>
      </c>
      <c r="L21" s="106">
        <v>15</v>
      </c>
      <c r="M21" s="124" t="str">
        <f t="shared" si="0"/>
        <v>none</v>
      </c>
      <c r="N21" s="106">
        <f>LEN(Tableau15[[#This Row],[LABEL]])</f>
        <v>53</v>
      </c>
      <c r="O21" s="106">
        <v>15</v>
      </c>
      <c r="P21" s="106" t="e">
        <f>ROUND(Tableau15[[#This Row],[LEN]]*#REF!+#REF!,0)</f>
        <v>#REF!</v>
      </c>
    </row>
    <row r="22" spans="1:16" x14ac:dyDescent="0.25">
      <c r="A22" s="6" t="s">
        <v>358</v>
      </c>
      <c r="B22" s="7" t="s">
        <v>215</v>
      </c>
      <c r="C22" s="8" t="s">
        <v>65</v>
      </c>
      <c r="D22" s="65" t="s">
        <v>1177</v>
      </c>
      <c r="E22" s="8" t="s">
        <v>662</v>
      </c>
      <c r="F22" s="8" t="s">
        <v>1957</v>
      </c>
      <c r="G22" s="65" t="s">
        <v>70</v>
      </c>
      <c r="H22" s="65" t="s">
        <v>17</v>
      </c>
      <c r="I22" s="8"/>
      <c r="J22" s="9" t="s">
        <v>708</v>
      </c>
      <c r="K22" s="105">
        <f>ROUND(Tableau15[[#This Row],[LEN]]*7.27,0)</f>
        <v>291</v>
      </c>
      <c r="L22" s="105">
        <v>15</v>
      </c>
      <c r="M22" s="123" t="str">
        <f t="shared" si="0"/>
        <v>none</v>
      </c>
      <c r="N22" s="105">
        <f>LEN(Tableau15[[#This Row],[LABEL]])</f>
        <v>40</v>
      </c>
      <c r="O22" s="105">
        <v>15</v>
      </c>
      <c r="P22" s="105" t="e">
        <f>ROUND(Tableau15[[#This Row],[LEN]]*#REF!+#REF!,0)</f>
        <v>#REF!</v>
      </c>
    </row>
    <row r="23" spans="1:16" x14ac:dyDescent="0.25">
      <c r="A23" s="6" t="s">
        <v>359</v>
      </c>
      <c r="B23" s="7" t="s">
        <v>215</v>
      </c>
      <c r="C23" s="8" t="s">
        <v>72</v>
      </c>
      <c r="D23" s="65" t="s">
        <v>1177</v>
      </c>
      <c r="E23" s="8" t="s">
        <v>662</v>
      </c>
      <c r="F23" s="8" t="s">
        <v>2075</v>
      </c>
      <c r="G23" s="65" t="s">
        <v>70</v>
      </c>
      <c r="H23" s="65" t="s">
        <v>654</v>
      </c>
      <c r="I23" s="8"/>
      <c r="J23" s="9" t="s">
        <v>708</v>
      </c>
      <c r="K23" s="105">
        <f>ROUND(Tableau15[[#This Row],[LEN]]*7.27,0)</f>
        <v>400</v>
      </c>
      <c r="L23" s="105">
        <v>15</v>
      </c>
      <c r="M23" s="123" t="str">
        <f t="shared" si="0"/>
        <v>none</v>
      </c>
      <c r="N23" s="105">
        <f>LEN(Tableau15[[#This Row],[LABEL]])</f>
        <v>55</v>
      </c>
      <c r="O23" s="105">
        <v>15</v>
      </c>
      <c r="P23" s="105" t="e">
        <f>ROUND(Tableau15[[#This Row],[LEN]]*#REF!+#REF!,0)</f>
        <v>#REF!</v>
      </c>
    </row>
    <row r="24" spans="1:16" x14ac:dyDescent="0.25">
      <c r="A24" s="6" t="s">
        <v>360</v>
      </c>
      <c r="B24" s="7" t="s">
        <v>215</v>
      </c>
      <c r="C24" s="8" t="s">
        <v>79</v>
      </c>
      <c r="D24" s="65" t="s">
        <v>1177</v>
      </c>
      <c r="E24" s="8" t="s">
        <v>661</v>
      </c>
      <c r="F24" s="8" t="s">
        <v>666</v>
      </c>
      <c r="G24" s="65" t="s">
        <v>70</v>
      </c>
      <c r="H24" s="65" t="s">
        <v>18</v>
      </c>
      <c r="I24" s="8"/>
      <c r="J24" s="9" t="s">
        <v>708</v>
      </c>
      <c r="K24" s="105">
        <f>ROUND(Tableau15[[#This Row],[LEN]]*7.27,0)</f>
        <v>218</v>
      </c>
      <c r="L24" s="105">
        <v>15</v>
      </c>
      <c r="M24" s="123" t="str">
        <f t="shared" si="0"/>
        <v>none</v>
      </c>
      <c r="N24" s="105">
        <f>LEN(Tableau15[[#This Row],[LABEL]])</f>
        <v>30</v>
      </c>
      <c r="O24" s="105">
        <v>15</v>
      </c>
      <c r="P24" s="105" t="e">
        <f>ROUND(Tableau15[[#This Row],[LEN]]*#REF!+#REF!,0)</f>
        <v>#REF!</v>
      </c>
    </row>
    <row r="25" spans="1:16" s="92" customFormat="1" x14ac:dyDescent="0.25">
      <c r="A25" s="245" t="s">
        <v>216</v>
      </c>
      <c r="B25" s="246" t="s">
        <v>204</v>
      </c>
      <c r="C25" s="247" t="s">
        <v>4</v>
      </c>
      <c r="D25" s="248" t="s">
        <v>1177</v>
      </c>
      <c r="E25" s="247" t="s">
        <v>666</v>
      </c>
      <c r="F25" s="247" t="s">
        <v>1177</v>
      </c>
      <c r="G25" s="248" t="s">
        <v>70</v>
      </c>
      <c r="H25" s="248" t="str">
        <f>IFERROR(IF(SEARCH(".00.00.00.00.00",Tableau15[[#This Row],[name]],1)=7,"Division",""),"")</f>
        <v>Division</v>
      </c>
      <c r="I25" s="247"/>
      <c r="J25" s="249" t="s">
        <v>708</v>
      </c>
      <c r="K25" s="250">
        <f>ROUND(Tableau15[[#This Row],[LEN]]*7.27,0)</f>
        <v>36</v>
      </c>
      <c r="L25" s="250">
        <v>15</v>
      </c>
      <c r="M25" s="251" t="str">
        <f t="shared" si="0"/>
        <v>none</v>
      </c>
      <c r="N25" s="250">
        <f>LEN(Tableau15[[#This Row],[LABEL]])</f>
        <v>5</v>
      </c>
      <c r="O25" s="250">
        <v>15</v>
      </c>
      <c r="P25" s="250" t="e">
        <f>ROUND(Tableau15[[#This Row],[LEN]]*#REF!+#REF!,0)</f>
        <v>#REF!</v>
      </c>
    </row>
    <row r="26" spans="1:16" x14ac:dyDescent="0.25">
      <c r="A26" s="6" t="s">
        <v>918</v>
      </c>
      <c r="B26" s="7" t="s">
        <v>216</v>
      </c>
      <c r="C26" s="8" t="s">
        <v>64</v>
      </c>
      <c r="D26" s="65" t="s">
        <v>1177</v>
      </c>
      <c r="E26" s="8" t="s">
        <v>662</v>
      </c>
      <c r="F26" s="8" t="s">
        <v>1956</v>
      </c>
      <c r="G26" s="65" t="s">
        <v>70</v>
      </c>
      <c r="H26" s="65" t="s">
        <v>17</v>
      </c>
      <c r="I26" s="8"/>
      <c r="J26" s="9" t="s">
        <v>708</v>
      </c>
      <c r="K26" s="105">
        <f>ROUND(Tableau15[[#This Row],[LEN]]*7.27,0)</f>
        <v>291</v>
      </c>
      <c r="L26" s="105">
        <v>15</v>
      </c>
      <c r="M26" s="123" t="str">
        <f t="shared" si="0"/>
        <v>none</v>
      </c>
      <c r="N26" s="105">
        <f>LEN(Tableau15[[#This Row],[LABEL]])</f>
        <v>40</v>
      </c>
      <c r="O26" s="105">
        <v>15</v>
      </c>
      <c r="P26" s="105" t="e">
        <f>ROUND(Tableau15[[#This Row],[LEN]]*#REF!+#REF!,0)</f>
        <v>#REF!</v>
      </c>
    </row>
    <row r="27" spans="1:16" x14ac:dyDescent="0.25">
      <c r="A27" s="6" t="s">
        <v>919</v>
      </c>
      <c r="B27" s="7" t="s">
        <v>216</v>
      </c>
      <c r="C27" s="8" t="s">
        <v>75</v>
      </c>
      <c r="D27" s="65" t="s">
        <v>1177</v>
      </c>
      <c r="E27" s="8" t="s">
        <v>684</v>
      </c>
      <c r="F27" s="8" t="s">
        <v>663</v>
      </c>
      <c r="G27" s="65" t="s">
        <v>70</v>
      </c>
      <c r="H27" s="65" t="s">
        <v>655</v>
      </c>
      <c r="I27" s="8"/>
      <c r="J27" s="9" t="s">
        <v>708</v>
      </c>
      <c r="K27" s="105">
        <f>ROUND(Tableau15[[#This Row],[LEN]]*7.27,0)</f>
        <v>262</v>
      </c>
      <c r="L27" s="105">
        <v>15</v>
      </c>
      <c r="M27" s="123" t="str">
        <f t="shared" si="0"/>
        <v>none</v>
      </c>
      <c r="N27" s="105">
        <f>LEN(Tableau15[[#This Row],[LABEL]])</f>
        <v>36</v>
      </c>
      <c r="O27" s="105">
        <v>15</v>
      </c>
      <c r="P27" s="105" t="e">
        <f>ROUND(Tableau15[[#This Row],[LEN]]*#REF!+#REF!,0)</f>
        <v>#REF!</v>
      </c>
    </row>
    <row r="28" spans="1:16" x14ac:dyDescent="0.25">
      <c r="A28" s="12" t="s">
        <v>924</v>
      </c>
      <c r="B28" s="12" t="s">
        <v>919</v>
      </c>
      <c r="C28" s="12" t="s">
        <v>76</v>
      </c>
      <c r="D28" s="66" t="s">
        <v>1177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06">
        <f>ROUND(Tableau15[[#This Row],[LEN]]*7.27,0)</f>
        <v>443</v>
      </c>
      <c r="L28" s="106">
        <v>15</v>
      </c>
      <c r="M28" s="124" t="str">
        <f t="shared" si="0"/>
        <v>none</v>
      </c>
      <c r="N28" s="106">
        <f>LEN(Tableau15[[#This Row],[LABEL]])</f>
        <v>61</v>
      </c>
      <c r="O28" s="106">
        <v>15</v>
      </c>
      <c r="P28" s="106" t="e">
        <f>ROUND(Tableau15[[#This Row],[LEN]]*#REF!+#REF!,0)</f>
        <v>#REF!</v>
      </c>
    </row>
    <row r="29" spans="1:16" x14ac:dyDescent="0.25">
      <c r="A29" s="12" t="s">
        <v>925</v>
      </c>
      <c r="B29" s="12" t="s">
        <v>919</v>
      </c>
      <c r="C29" s="12" t="s">
        <v>77</v>
      </c>
      <c r="D29" s="66" t="s">
        <v>1177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06">
        <f>ROUND(Tableau15[[#This Row],[LEN]]*7.27,0)</f>
        <v>473</v>
      </c>
      <c r="L29" s="106">
        <v>15</v>
      </c>
      <c r="M29" s="124" t="str">
        <f t="shared" si="0"/>
        <v>none</v>
      </c>
      <c r="N29" s="106">
        <f>LEN(Tableau15[[#This Row],[LABEL]])</f>
        <v>65</v>
      </c>
      <c r="O29" s="106">
        <v>15</v>
      </c>
      <c r="P29" s="106" t="e">
        <f>ROUND(Tableau15[[#This Row],[LEN]]*#REF!+#REF!,0)</f>
        <v>#REF!</v>
      </c>
    </row>
    <row r="30" spans="1:16" x14ac:dyDescent="0.25">
      <c r="A30" s="12" t="s">
        <v>926</v>
      </c>
      <c r="B30" s="12" t="s">
        <v>919</v>
      </c>
      <c r="C30" s="12" t="s">
        <v>78</v>
      </c>
      <c r="D30" s="66" t="s">
        <v>1177</v>
      </c>
      <c r="E30" s="12" t="s">
        <v>684</v>
      </c>
      <c r="F30" s="12" t="s">
        <v>663</v>
      </c>
      <c r="G30" s="66" t="s">
        <v>70</v>
      </c>
      <c r="H30" s="66" t="s">
        <v>18</v>
      </c>
      <c r="I30" s="12"/>
      <c r="J30" s="13" t="s">
        <v>708</v>
      </c>
      <c r="K30" s="106">
        <f>ROUND(Tableau15[[#This Row],[LEN]]*7.27,0)</f>
        <v>385</v>
      </c>
      <c r="L30" s="106">
        <v>15</v>
      </c>
      <c r="M30" s="124" t="str">
        <f t="shared" si="0"/>
        <v>none</v>
      </c>
      <c r="N30" s="106">
        <f>LEN(Tableau15[[#This Row],[LABEL]])</f>
        <v>53</v>
      </c>
      <c r="O30" s="106">
        <v>15</v>
      </c>
      <c r="P30" s="106" t="e">
        <f>ROUND(Tableau15[[#This Row],[LEN]]*#REF!+#REF!,0)</f>
        <v>#REF!</v>
      </c>
    </row>
    <row r="31" spans="1:16" x14ac:dyDescent="0.25">
      <c r="A31" s="6" t="s">
        <v>920</v>
      </c>
      <c r="B31" s="7" t="s">
        <v>216</v>
      </c>
      <c r="C31" s="8" t="s">
        <v>65</v>
      </c>
      <c r="D31" s="65" t="s">
        <v>1177</v>
      </c>
      <c r="E31" s="8" t="s">
        <v>662</v>
      </c>
      <c r="F31" s="8" t="s">
        <v>1957</v>
      </c>
      <c r="G31" s="65" t="s">
        <v>70</v>
      </c>
      <c r="H31" s="65" t="s">
        <v>17</v>
      </c>
      <c r="I31" s="8"/>
      <c r="J31" s="9" t="s">
        <v>708</v>
      </c>
      <c r="K31" s="105">
        <f>ROUND(Tableau15[[#This Row],[LEN]]*7.27,0)</f>
        <v>291</v>
      </c>
      <c r="L31" s="105">
        <v>15</v>
      </c>
      <c r="M31" s="123" t="str">
        <f t="shared" si="0"/>
        <v>none</v>
      </c>
      <c r="N31" s="105">
        <f>LEN(Tableau15[[#This Row],[LABEL]])</f>
        <v>40</v>
      </c>
      <c r="O31" s="105">
        <v>15</v>
      </c>
      <c r="P31" s="105" t="e">
        <f>ROUND(Tableau15[[#This Row],[LEN]]*#REF!+#REF!,0)</f>
        <v>#REF!</v>
      </c>
    </row>
    <row r="32" spans="1:16" x14ac:dyDescent="0.25">
      <c r="A32" s="6" t="s">
        <v>921</v>
      </c>
      <c r="B32" s="7" t="s">
        <v>216</v>
      </c>
      <c r="C32" s="8" t="s">
        <v>915</v>
      </c>
      <c r="D32" s="65" t="s">
        <v>1177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105">
        <f>ROUND(Tableau15[[#This Row],[LEN]]*7.27,0)</f>
        <v>225</v>
      </c>
      <c r="L32" s="105">
        <v>15</v>
      </c>
      <c r="M32" s="123" t="str">
        <f t="shared" si="0"/>
        <v>none</v>
      </c>
      <c r="N32" s="105">
        <f>LEN(Tableau15[[#This Row],[LABEL]])</f>
        <v>31</v>
      </c>
      <c r="O32" s="105">
        <v>15</v>
      </c>
      <c r="P32" s="105" t="e">
        <f>ROUND(Tableau15[[#This Row],[LEN]]*#REF!+#REF!,0)</f>
        <v>#REF!</v>
      </c>
    </row>
    <row r="33" spans="1:16" x14ac:dyDescent="0.25">
      <c r="A33" s="6" t="s">
        <v>922</v>
      </c>
      <c r="B33" s="7" t="s">
        <v>216</v>
      </c>
      <c r="C33" s="8" t="s">
        <v>917</v>
      </c>
      <c r="D33" s="65" t="s">
        <v>1177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105">
        <f>ROUND(Tableau15[[#This Row],[LEN]]*7.27,0)</f>
        <v>225</v>
      </c>
      <c r="L33" s="105">
        <v>15</v>
      </c>
      <c r="M33" s="123" t="str">
        <f t="shared" si="0"/>
        <v>none</v>
      </c>
      <c r="N33" s="105">
        <f>LEN(Tableau15[[#This Row],[LABEL]])</f>
        <v>31</v>
      </c>
      <c r="O33" s="105">
        <v>15</v>
      </c>
      <c r="P33" s="105" t="e">
        <f>ROUND(Tableau15[[#This Row],[LEN]]*#REF!+#REF!,0)</f>
        <v>#REF!</v>
      </c>
    </row>
    <row r="34" spans="1:16" x14ac:dyDescent="0.25">
      <c r="A34" s="6" t="s">
        <v>923</v>
      </c>
      <c r="B34" s="7" t="s">
        <v>216</v>
      </c>
      <c r="C34" s="8" t="s">
        <v>916</v>
      </c>
      <c r="D34" s="65" t="s">
        <v>1177</v>
      </c>
      <c r="E34" s="8" t="s">
        <v>666</v>
      </c>
      <c r="F34" s="8" t="s">
        <v>661</v>
      </c>
      <c r="G34" s="65" t="s">
        <v>70</v>
      </c>
      <c r="H34" s="65" t="s">
        <v>18</v>
      </c>
      <c r="I34" s="8"/>
      <c r="J34" s="9" t="s">
        <v>708</v>
      </c>
      <c r="K34" s="105">
        <f>ROUND(Tableau15[[#This Row],[LEN]]*7.27,0)</f>
        <v>109</v>
      </c>
      <c r="L34" s="105">
        <v>15</v>
      </c>
      <c r="M34" s="123" t="str">
        <f t="shared" si="0"/>
        <v>none</v>
      </c>
      <c r="N34" s="105">
        <f>LEN(Tableau15[[#This Row],[LABEL]])</f>
        <v>15</v>
      </c>
      <c r="O34" s="105">
        <v>15</v>
      </c>
      <c r="P34" s="105" t="e">
        <f>ROUND(Tableau15[[#This Row],[LEN]]*#REF!+#REF!,0)</f>
        <v>#REF!</v>
      </c>
    </row>
    <row r="35" spans="1:16" s="92" customFormat="1" x14ac:dyDescent="0.25">
      <c r="A35" s="245" t="s">
        <v>217</v>
      </c>
      <c r="B35" s="246" t="s">
        <v>204</v>
      </c>
      <c r="C35" s="247" t="s">
        <v>80</v>
      </c>
      <c r="D35" s="248" t="s">
        <v>1177</v>
      </c>
      <c r="E35" s="247" t="s">
        <v>667</v>
      </c>
      <c r="F35" s="247" t="s">
        <v>1177</v>
      </c>
      <c r="G35" s="248" t="s">
        <v>70</v>
      </c>
      <c r="H35" s="248" t="str">
        <f>IFERROR(IF(SEARCH(".00.00.00.00.00",Tableau15[[#This Row],[name]],1)=7,"Division",""),"")</f>
        <v>Division</v>
      </c>
      <c r="I35" s="247"/>
      <c r="J35" s="249" t="s">
        <v>708</v>
      </c>
      <c r="K35" s="250">
        <f>ROUND(Tableau15[[#This Row],[LEN]]*7.27,0)</f>
        <v>116</v>
      </c>
      <c r="L35" s="250">
        <v>15</v>
      </c>
      <c r="M35" s="251" t="str">
        <f t="shared" si="0"/>
        <v>none</v>
      </c>
      <c r="N35" s="250">
        <f>LEN(Tableau15[[#This Row],[LABEL]])</f>
        <v>16</v>
      </c>
      <c r="O35" s="250">
        <v>15</v>
      </c>
      <c r="P35" s="250" t="e">
        <f>ROUND(Tableau15[[#This Row],[LEN]]*#REF!+#REF!,0)</f>
        <v>#REF!</v>
      </c>
    </row>
    <row r="36" spans="1:16" x14ac:dyDescent="0.25">
      <c r="A36" s="6" t="s">
        <v>933</v>
      </c>
      <c r="B36" s="7" t="s">
        <v>217</v>
      </c>
      <c r="C36" s="8" t="s">
        <v>64</v>
      </c>
      <c r="D36" s="65" t="s">
        <v>1177</v>
      </c>
      <c r="E36" s="8" t="s">
        <v>662</v>
      </c>
      <c r="F36" s="8" t="s">
        <v>1956</v>
      </c>
      <c r="G36" s="65" t="s">
        <v>70</v>
      </c>
      <c r="H36" s="65" t="s">
        <v>17</v>
      </c>
      <c r="I36" s="8"/>
      <c r="J36" s="9" t="s">
        <v>708</v>
      </c>
      <c r="K36" s="105">
        <f>ROUND(Tableau15[[#This Row],[LEN]]*7.27,0)</f>
        <v>291</v>
      </c>
      <c r="L36" s="105">
        <v>15</v>
      </c>
      <c r="M36" s="123" t="str">
        <f t="shared" si="0"/>
        <v>none</v>
      </c>
      <c r="N36" s="105">
        <f>LEN(Tableau15[[#This Row],[LABEL]])</f>
        <v>40</v>
      </c>
      <c r="O36" s="105">
        <v>15</v>
      </c>
      <c r="P36" s="105" t="e">
        <f>ROUND(Tableau15[[#This Row],[LEN]]*#REF!+#REF!,0)</f>
        <v>#REF!</v>
      </c>
    </row>
    <row r="37" spans="1:16" x14ac:dyDescent="0.25">
      <c r="A37" s="6" t="s">
        <v>934</v>
      </c>
      <c r="B37" s="7" t="s">
        <v>217</v>
      </c>
      <c r="C37" s="8" t="s">
        <v>927</v>
      </c>
      <c r="D37" s="65" t="s">
        <v>1177</v>
      </c>
      <c r="E37" s="8" t="s">
        <v>667</v>
      </c>
      <c r="F37" s="8" t="s">
        <v>2076</v>
      </c>
      <c r="G37" s="65" t="s">
        <v>70</v>
      </c>
      <c r="H37" s="65" t="s">
        <v>656</v>
      </c>
      <c r="I37" s="8"/>
      <c r="J37" s="9" t="s">
        <v>708</v>
      </c>
      <c r="K37" s="105">
        <f>ROUND(Tableau15[[#This Row],[LEN]]*7.27,0)</f>
        <v>298</v>
      </c>
      <c r="L37" s="105">
        <v>15</v>
      </c>
      <c r="M37" s="123" t="str">
        <f t="shared" si="0"/>
        <v>none</v>
      </c>
      <c r="N37" s="105">
        <f>LEN(Tableau15[[#This Row],[LABEL]])</f>
        <v>41</v>
      </c>
      <c r="O37" s="105">
        <v>15</v>
      </c>
      <c r="P37" s="105" t="e">
        <f>ROUND(Tableau15[[#This Row],[LEN]]*#REF!+#REF!,0)</f>
        <v>#REF!</v>
      </c>
    </row>
    <row r="38" spans="1:16" x14ac:dyDescent="0.25">
      <c r="A38" s="6" t="s">
        <v>935</v>
      </c>
      <c r="B38" s="7" t="s">
        <v>217</v>
      </c>
      <c r="C38" s="8" t="s">
        <v>65</v>
      </c>
      <c r="D38" s="65" t="s">
        <v>1177</v>
      </c>
      <c r="E38" s="8" t="s">
        <v>662</v>
      </c>
      <c r="F38" s="8" t="s">
        <v>1957</v>
      </c>
      <c r="G38" s="65" t="s">
        <v>70</v>
      </c>
      <c r="H38" s="65" t="s">
        <v>17</v>
      </c>
      <c r="I38" s="8"/>
      <c r="J38" s="9" t="s">
        <v>708</v>
      </c>
      <c r="K38" s="105">
        <f>ROUND(Tableau15[[#This Row],[LEN]]*7.27,0)</f>
        <v>291</v>
      </c>
      <c r="L38" s="105">
        <v>15</v>
      </c>
      <c r="M38" s="123" t="str">
        <f t="shared" si="0"/>
        <v>none</v>
      </c>
      <c r="N38" s="105">
        <f>LEN(Tableau15[[#This Row],[LABEL]])</f>
        <v>40</v>
      </c>
      <c r="O38" s="105">
        <v>15</v>
      </c>
      <c r="P38" s="105" t="e">
        <f>ROUND(Tableau15[[#This Row],[LEN]]*#REF!+#REF!,0)</f>
        <v>#REF!</v>
      </c>
    </row>
    <row r="39" spans="1:16" x14ac:dyDescent="0.25">
      <c r="A39" s="6" t="s">
        <v>936</v>
      </c>
      <c r="B39" s="7" t="s">
        <v>217</v>
      </c>
      <c r="C39" s="8" t="s">
        <v>928</v>
      </c>
      <c r="D39" s="65" t="s">
        <v>1177</v>
      </c>
      <c r="E39" s="8" t="s">
        <v>667</v>
      </c>
      <c r="F39" s="8" t="s">
        <v>674</v>
      </c>
      <c r="G39" s="65" t="s">
        <v>70</v>
      </c>
      <c r="H39" s="65" t="s">
        <v>18</v>
      </c>
      <c r="I39" s="8"/>
      <c r="J39" s="9" t="s">
        <v>708</v>
      </c>
      <c r="K39" s="105">
        <f>ROUND(Tableau15[[#This Row],[LEN]]*7.27,0)</f>
        <v>284</v>
      </c>
      <c r="L39" s="105">
        <v>15</v>
      </c>
      <c r="M39" s="123" t="str">
        <f t="shared" si="0"/>
        <v>none</v>
      </c>
      <c r="N39" s="105">
        <f>LEN(Tableau15[[#This Row],[LABEL]])</f>
        <v>39</v>
      </c>
      <c r="O39" s="105">
        <v>15</v>
      </c>
      <c r="P39" s="105" t="e">
        <f>ROUND(Tableau15[[#This Row],[LEN]]*#REF!+#REF!,0)</f>
        <v>#REF!</v>
      </c>
    </row>
    <row r="40" spans="1:16" x14ac:dyDescent="0.25">
      <c r="A40" s="6" t="s">
        <v>937</v>
      </c>
      <c r="B40" s="7" t="s">
        <v>217</v>
      </c>
      <c r="C40" s="8" t="s">
        <v>929</v>
      </c>
      <c r="D40" s="65" t="s">
        <v>1177</v>
      </c>
      <c r="E40" s="8" t="s">
        <v>667</v>
      </c>
      <c r="F40" s="8" t="s">
        <v>1177</v>
      </c>
      <c r="G40" s="65" t="s">
        <v>70</v>
      </c>
      <c r="H40" s="65" t="s">
        <v>656</v>
      </c>
      <c r="I40" s="8"/>
      <c r="J40" s="9" t="s">
        <v>708</v>
      </c>
      <c r="K40" s="105">
        <f>ROUND(Tableau15[[#This Row],[LEN]]*7.27,0)</f>
        <v>276</v>
      </c>
      <c r="L40" s="105">
        <v>15</v>
      </c>
      <c r="M40" s="123" t="str">
        <f t="shared" si="0"/>
        <v>none</v>
      </c>
      <c r="N40" s="105">
        <f>LEN(Tableau15[[#This Row],[LABEL]])</f>
        <v>38</v>
      </c>
      <c r="O40" s="105">
        <v>15</v>
      </c>
      <c r="P40" s="105" t="e">
        <f>ROUND(Tableau15[[#This Row],[LEN]]*#REF!+#REF!,0)</f>
        <v>#REF!</v>
      </c>
    </row>
    <row r="41" spans="1:16" x14ac:dyDescent="0.25">
      <c r="A41" s="6" t="s">
        <v>938</v>
      </c>
      <c r="B41" s="7" t="s">
        <v>217</v>
      </c>
      <c r="C41" s="8" t="s">
        <v>930</v>
      </c>
      <c r="D41" s="65" t="s">
        <v>1177</v>
      </c>
      <c r="E41" s="8" t="s">
        <v>667</v>
      </c>
      <c r="F41" s="8" t="s">
        <v>1177</v>
      </c>
      <c r="G41" s="65" t="s">
        <v>70</v>
      </c>
      <c r="H41" s="65" t="s">
        <v>654</v>
      </c>
      <c r="I41" s="8"/>
      <c r="J41" s="9" t="s">
        <v>706</v>
      </c>
      <c r="K41" s="105">
        <f>ROUND(Tableau15[[#This Row],[LEN]]*7.27,0)</f>
        <v>465</v>
      </c>
      <c r="L41" s="105">
        <v>15</v>
      </c>
      <c r="M41" s="123" t="str">
        <f t="shared" si="0"/>
        <v>new</v>
      </c>
      <c r="N41" s="105">
        <f>LEN(Tableau15[[#This Row],[LABEL]])</f>
        <v>64</v>
      </c>
      <c r="O41" s="105">
        <v>15</v>
      </c>
      <c r="P41" s="105" t="e">
        <f>ROUND(Tableau15[[#This Row],[LEN]]*#REF!+#REF!,0)</f>
        <v>#REF!</v>
      </c>
    </row>
    <row r="42" spans="1:16" s="92" customFormat="1" x14ac:dyDescent="0.25">
      <c r="A42" s="245" t="s">
        <v>219</v>
      </c>
      <c r="B42" s="246" t="s">
        <v>204</v>
      </c>
      <c r="C42" s="247" t="s">
        <v>6</v>
      </c>
      <c r="D42" s="248" t="s">
        <v>1177</v>
      </c>
      <c r="E42" s="247" t="s">
        <v>669</v>
      </c>
      <c r="F42" s="247" t="s">
        <v>1177</v>
      </c>
      <c r="G42" s="248" t="s">
        <v>70</v>
      </c>
      <c r="H42" s="248" t="str">
        <f>IFERROR(IF(SEARCH(".00.00.00.00.00",Tableau15[[#This Row],[name]],1)=7,"Division",""),"")</f>
        <v>Division</v>
      </c>
      <c r="I42" s="247"/>
      <c r="J42" s="249" t="s">
        <v>708</v>
      </c>
      <c r="K42" s="250">
        <f>ROUND(Tableau15[[#This Row],[LEN]]*7.27,0)</f>
        <v>196</v>
      </c>
      <c r="L42" s="250">
        <v>15</v>
      </c>
      <c r="M42" s="251" t="str">
        <f t="shared" si="0"/>
        <v>none</v>
      </c>
      <c r="N42" s="250">
        <f>LEN(Tableau15[[#This Row],[LABEL]])</f>
        <v>27</v>
      </c>
      <c r="O42" s="250">
        <v>15</v>
      </c>
      <c r="P42" s="250" t="e">
        <f>ROUND(Tableau15[[#This Row],[LEN]]*#REF!+#REF!,0)</f>
        <v>#REF!</v>
      </c>
    </row>
    <row r="43" spans="1:16" x14ac:dyDescent="0.25">
      <c r="A43" s="14" t="s">
        <v>361</v>
      </c>
      <c r="B43" s="15" t="s">
        <v>219</v>
      </c>
      <c r="C43" s="8" t="s">
        <v>64</v>
      </c>
      <c r="D43" s="67" t="s">
        <v>1177</v>
      </c>
      <c r="E43" s="16" t="s">
        <v>662</v>
      </c>
      <c r="F43" s="8" t="s">
        <v>1956</v>
      </c>
      <c r="G43" s="67" t="s">
        <v>70</v>
      </c>
      <c r="H43" s="67" t="s">
        <v>17</v>
      </c>
      <c r="I43" s="8"/>
      <c r="J43" s="9" t="s">
        <v>708</v>
      </c>
      <c r="K43" s="105">
        <f>ROUND(Tableau15[[#This Row],[LEN]]*7.27,0)</f>
        <v>291</v>
      </c>
      <c r="L43" s="105">
        <v>15</v>
      </c>
      <c r="M43" s="123" t="str">
        <f t="shared" si="0"/>
        <v>none</v>
      </c>
      <c r="N43" s="105">
        <f>LEN(Tableau15[[#This Row],[LABEL]])</f>
        <v>40</v>
      </c>
      <c r="O43" s="105">
        <v>15</v>
      </c>
      <c r="P43" s="105" t="e">
        <f>ROUND(Tableau15[[#This Row],[LEN]]*#REF!+#REF!,0)</f>
        <v>#REF!</v>
      </c>
    </row>
    <row r="44" spans="1:16" x14ac:dyDescent="0.25">
      <c r="A44" s="14" t="s">
        <v>362</v>
      </c>
      <c r="B44" s="15" t="s">
        <v>219</v>
      </c>
      <c r="C44" s="8" t="s">
        <v>65</v>
      </c>
      <c r="D44" s="67" t="s">
        <v>1177</v>
      </c>
      <c r="E44" s="16" t="s">
        <v>662</v>
      </c>
      <c r="F44" s="8" t="s">
        <v>1957</v>
      </c>
      <c r="G44" s="67" t="s">
        <v>70</v>
      </c>
      <c r="H44" s="67" t="s">
        <v>17</v>
      </c>
      <c r="I44" s="8"/>
      <c r="J44" s="9" t="s">
        <v>708</v>
      </c>
      <c r="K44" s="105">
        <f>ROUND(Tableau15[[#This Row],[LEN]]*7.27,0)</f>
        <v>291</v>
      </c>
      <c r="L44" s="105">
        <v>15</v>
      </c>
      <c r="M44" s="123" t="str">
        <f t="shared" si="0"/>
        <v>none</v>
      </c>
      <c r="N44" s="105">
        <f>LEN(Tableau15[[#This Row],[LABEL]])</f>
        <v>40</v>
      </c>
      <c r="O44" s="105">
        <v>15</v>
      </c>
      <c r="P44" s="105" t="e">
        <f>ROUND(Tableau15[[#This Row],[LEN]]*#REF!+#REF!,0)</f>
        <v>#REF!</v>
      </c>
    </row>
    <row r="45" spans="1:16" s="92" customFormat="1" x14ac:dyDescent="0.25">
      <c r="A45" s="245" t="s">
        <v>220</v>
      </c>
      <c r="B45" s="246" t="s">
        <v>204</v>
      </c>
      <c r="C45" s="247" t="s">
        <v>7</v>
      </c>
      <c r="D45" s="248" t="s">
        <v>1177</v>
      </c>
      <c r="E45" s="247" t="s">
        <v>670</v>
      </c>
      <c r="F45" s="247" t="s">
        <v>1177</v>
      </c>
      <c r="G45" s="248" t="s">
        <v>70</v>
      </c>
      <c r="H45" s="248" t="str">
        <f>IFERROR(IF(SEARCH(".00.00.00.00.00",Tableau15[[#This Row],[name]],1)=7,"Division",""),"")</f>
        <v>Division</v>
      </c>
      <c r="I45" s="247"/>
      <c r="J45" s="249" t="s">
        <v>708</v>
      </c>
      <c r="K45" s="250">
        <f>ROUND(Tableau15[[#This Row],[LEN]]*7.27,0)</f>
        <v>189</v>
      </c>
      <c r="L45" s="250">
        <v>15</v>
      </c>
      <c r="M45" s="251" t="str">
        <f t="shared" si="0"/>
        <v>none</v>
      </c>
      <c r="N45" s="250">
        <f>LEN(Tableau15[[#This Row],[LABEL]])</f>
        <v>26</v>
      </c>
      <c r="O45" s="250">
        <v>15</v>
      </c>
      <c r="P45" s="250" t="e">
        <f>ROUND(Tableau15[[#This Row],[LEN]]*#REF!+#REF!,0)</f>
        <v>#REF!</v>
      </c>
    </row>
    <row r="46" spans="1:16" x14ac:dyDescent="0.25">
      <c r="A46" s="14" t="s">
        <v>942</v>
      </c>
      <c r="B46" s="15" t="s">
        <v>220</v>
      </c>
      <c r="C46" s="16" t="s">
        <v>939</v>
      </c>
      <c r="D46" s="67" t="s">
        <v>1177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105">
        <f>ROUND(Tableau15[[#This Row],[LEN]]*7.27,0)</f>
        <v>182</v>
      </c>
      <c r="L46" s="105">
        <v>15</v>
      </c>
      <c r="M46" s="123" t="str">
        <f t="shared" si="0"/>
        <v>none</v>
      </c>
      <c r="N46" s="105">
        <f>LEN(Tableau15[[#This Row],[LABEL]])</f>
        <v>25</v>
      </c>
      <c r="O46" s="105">
        <v>15</v>
      </c>
      <c r="P46" s="105" t="e">
        <f>ROUND(Tableau15[[#This Row],[LEN]]*#REF!+#REF!,0)</f>
        <v>#REF!</v>
      </c>
    </row>
    <row r="47" spans="1:16" x14ac:dyDescent="0.25">
      <c r="A47" s="14" t="s">
        <v>943</v>
      </c>
      <c r="B47" s="15" t="s">
        <v>220</v>
      </c>
      <c r="C47" s="16" t="s">
        <v>940</v>
      </c>
      <c r="D47" s="67" t="s">
        <v>1177</v>
      </c>
      <c r="E47" s="16" t="s">
        <v>670</v>
      </c>
      <c r="F47" s="16" t="s">
        <v>671</v>
      </c>
      <c r="G47" s="67" t="s">
        <v>70</v>
      </c>
      <c r="H47" s="67" t="s">
        <v>656</v>
      </c>
      <c r="I47" s="8"/>
      <c r="J47" s="9" t="s">
        <v>708</v>
      </c>
      <c r="K47" s="105">
        <f>ROUND(Tableau15[[#This Row],[LEN]]*7.27,0)</f>
        <v>182</v>
      </c>
      <c r="L47" s="105">
        <v>15</v>
      </c>
      <c r="M47" s="123" t="str">
        <f t="shared" si="0"/>
        <v>none</v>
      </c>
      <c r="N47" s="105">
        <f>LEN(Tableau15[[#This Row],[LABEL]])</f>
        <v>25</v>
      </c>
      <c r="O47" s="105">
        <v>15</v>
      </c>
      <c r="P47" s="105" t="e">
        <f>ROUND(Tableau15[[#This Row],[LEN]]*#REF!+#REF!,0)</f>
        <v>#REF!</v>
      </c>
    </row>
    <row r="48" spans="1:16" s="92" customFormat="1" x14ac:dyDescent="0.25">
      <c r="A48" s="245" t="s">
        <v>221</v>
      </c>
      <c r="B48" s="246" t="s">
        <v>204</v>
      </c>
      <c r="C48" s="247" t="s">
        <v>8</v>
      </c>
      <c r="D48" s="248" t="s">
        <v>1177</v>
      </c>
      <c r="E48" s="247" t="s">
        <v>671</v>
      </c>
      <c r="F48" s="247" t="s">
        <v>1177</v>
      </c>
      <c r="G48" s="248" t="s">
        <v>70</v>
      </c>
      <c r="H48" s="248" t="str">
        <f>IFERROR(IF(SEARCH(".00.00.00.00.00",Tableau15[[#This Row],[name]],1)=7,"Division",""),"")</f>
        <v>Division</v>
      </c>
      <c r="I48" s="247"/>
      <c r="J48" s="249" t="s">
        <v>708</v>
      </c>
      <c r="K48" s="250">
        <f>ROUND(Tableau15[[#This Row],[LEN]]*7.27,0)</f>
        <v>116</v>
      </c>
      <c r="L48" s="250">
        <v>15</v>
      </c>
      <c r="M48" s="251" t="str">
        <f t="shared" si="0"/>
        <v>none</v>
      </c>
      <c r="N48" s="250">
        <f>LEN(Tableau15[[#This Row],[LABEL]])</f>
        <v>16</v>
      </c>
      <c r="O48" s="250">
        <v>15</v>
      </c>
      <c r="P48" s="250" t="e">
        <f>ROUND(Tableau15[[#This Row],[LEN]]*#REF!+#REF!,0)</f>
        <v>#REF!</v>
      </c>
    </row>
    <row r="49" spans="1:16" x14ac:dyDescent="0.25">
      <c r="A49" s="14" t="s">
        <v>944</v>
      </c>
      <c r="B49" s="15" t="s">
        <v>221</v>
      </c>
      <c r="C49" s="16" t="s">
        <v>945</v>
      </c>
      <c r="D49" s="67" t="s">
        <v>1177</v>
      </c>
      <c r="E49" s="16" t="s">
        <v>671</v>
      </c>
      <c r="F49" s="16" t="s">
        <v>670</v>
      </c>
      <c r="G49" s="67" t="s">
        <v>70</v>
      </c>
      <c r="H49" s="67" t="s">
        <v>654</v>
      </c>
      <c r="I49" s="8"/>
      <c r="J49" s="9" t="s">
        <v>708</v>
      </c>
      <c r="K49" s="105">
        <f>ROUND(Tableau15[[#This Row],[LEN]]*7.27,0)</f>
        <v>371</v>
      </c>
      <c r="L49" s="105">
        <v>15</v>
      </c>
      <c r="M49" s="123" t="str">
        <f t="shared" si="0"/>
        <v>none</v>
      </c>
      <c r="N49" s="105">
        <f>LEN(Tableau15[[#This Row],[LABEL]])</f>
        <v>51</v>
      </c>
      <c r="O49" s="105">
        <v>15</v>
      </c>
      <c r="P49" s="105" t="e">
        <f>ROUND(Tableau15[[#This Row],[LEN]]*#REF!+#REF!,0)</f>
        <v>#REF!</v>
      </c>
    </row>
    <row r="50" spans="1:16" s="92" customFormat="1" x14ac:dyDescent="0.25">
      <c r="A50" s="245" t="s">
        <v>222</v>
      </c>
      <c r="B50" s="246" t="s">
        <v>204</v>
      </c>
      <c r="C50" s="247" t="s">
        <v>9</v>
      </c>
      <c r="D50" s="248" t="s">
        <v>1177</v>
      </c>
      <c r="E50" s="247" t="s">
        <v>672</v>
      </c>
      <c r="F50" s="247" t="s">
        <v>1177</v>
      </c>
      <c r="G50" s="248" t="s">
        <v>70</v>
      </c>
      <c r="H50" s="248" t="str">
        <f>IFERROR(IF(SEARCH(".00.00.00.00.00",Tableau15[[#This Row],[name]],1)=7,"Division",""),"")</f>
        <v>Division</v>
      </c>
      <c r="I50" s="247"/>
      <c r="J50" s="249" t="s">
        <v>718</v>
      </c>
      <c r="K50" s="250">
        <f>ROUND(Tableau15[[#This Row],[LEN]]*7.27,0)</f>
        <v>80</v>
      </c>
      <c r="L50" s="250">
        <v>15</v>
      </c>
      <c r="M50" s="251" t="str">
        <f t="shared" si="0"/>
        <v>new</v>
      </c>
      <c r="N50" s="250">
        <f>LEN(Tableau15[[#This Row],[LABEL]])</f>
        <v>11</v>
      </c>
      <c r="O50" s="250">
        <v>15</v>
      </c>
      <c r="P50" s="250" t="e">
        <f>ROUND(Tableau15[[#This Row],[LEN]]*#REF!+#REF!,0)</f>
        <v>#REF!</v>
      </c>
    </row>
    <row r="51" spans="1:16" x14ac:dyDescent="0.25">
      <c r="A51" s="14" t="s">
        <v>363</v>
      </c>
      <c r="B51" s="15" t="s">
        <v>222</v>
      </c>
      <c r="C51" s="8" t="s">
        <v>64</v>
      </c>
      <c r="D51" s="67" t="s">
        <v>1177</v>
      </c>
      <c r="E51" s="16" t="s">
        <v>662</v>
      </c>
      <c r="F51" s="8" t="s">
        <v>1956</v>
      </c>
      <c r="G51" s="67" t="s">
        <v>70</v>
      </c>
      <c r="H51" s="67" t="s">
        <v>17</v>
      </c>
      <c r="I51" s="8"/>
      <c r="J51" s="9" t="s">
        <v>708</v>
      </c>
      <c r="K51" s="105">
        <f>ROUND(Tableau15[[#This Row],[LEN]]*7.27,0)</f>
        <v>291</v>
      </c>
      <c r="L51" s="105">
        <v>15</v>
      </c>
      <c r="M51" s="123" t="str">
        <f t="shared" si="0"/>
        <v>none</v>
      </c>
      <c r="N51" s="105">
        <f>LEN(Tableau15[[#This Row],[LABEL]])</f>
        <v>40</v>
      </c>
      <c r="O51" s="105">
        <v>15</v>
      </c>
      <c r="P51" s="105" t="e">
        <f>ROUND(Tableau15[[#This Row],[LEN]]*#REF!+#REF!,0)</f>
        <v>#REF!</v>
      </c>
    </row>
    <row r="52" spans="1:16" x14ac:dyDescent="0.25">
      <c r="A52" s="14" t="s">
        <v>364</v>
      </c>
      <c r="B52" s="15" t="s">
        <v>222</v>
      </c>
      <c r="C52" s="8" t="s">
        <v>65</v>
      </c>
      <c r="D52" s="67" t="s">
        <v>1177</v>
      </c>
      <c r="E52" s="16" t="s">
        <v>662</v>
      </c>
      <c r="F52" s="8" t="s">
        <v>1957</v>
      </c>
      <c r="G52" s="67" t="s">
        <v>70</v>
      </c>
      <c r="H52" s="67" t="s">
        <v>17</v>
      </c>
      <c r="I52" s="8"/>
      <c r="J52" s="9" t="s">
        <v>708</v>
      </c>
      <c r="K52" s="105">
        <f>ROUND(Tableau15[[#This Row],[LEN]]*7.27,0)</f>
        <v>291</v>
      </c>
      <c r="L52" s="105">
        <v>15</v>
      </c>
      <c r="M52" s="123" t="str">
        <f t="shared" si="0"/>
        <v>none</v>
      </c>
      <c r="N52" s="105">
        <f>LEN(Tableau15[[#This Row],[LABEL]])</f>
        <v>40</v>
      </c>
      <c r="O52" s="105">
        <v>15</v>
      </c>
      <c r="P52" s="105" t="e">
        <f>ROUND(Tableau15[[#This Row],[LEN]]*#REF!+#REF!,0)</f>
        <v>#REF!</v>
      </c>
    </row>
    <row r="53" spans="1:16" s="92" customFormat="1" x14ac:dyDescent="0.25">
      <c r="A53" s="245" t="s">
        <v>223</v>
      </c>
      <c r="B53" s="246" t="s">
        <v>204</v>
      </c>
      <c r="C53" s="247" t="s">
        <v>10</v>
      </c>
      <c r="D53" s="248" t="s">
        <v>1177</v>
      </c>
      <c r="E53" s="247" t="s">
        <v>673</v>
      </c>
      <c r="F53" s="247" t="s">
        <v>1177</v>
      </c>
      <c r="G53" s="248" t="s">
        <v>70</v>
      </c>
      <c r="H53" s="248" t="str">
        <f>IFERROR(IF(SEARCH(".00.00.00.00.00",Tableau15[[#This Row],[name]],1)=7,"Division",""),"")</f>
        <v>Division</v>
      </c>
      <c r="I53" s="247"/>
      <c r="J53" s="249" t="s">
        <v>719</v>
      </c>
      <c r="K53" s="250">
        <f>ROUND(Tableau15[[#This Row],[LEN]]*7.27,0)</f>
        <v>109</v>
      </c>
      <c r="L53" s="250">
        <v>15</v>
      </c>
      <c r="M53" s="251" t="str">
        <f t="shared" si="0"/>
        <v>new</v>
      </c>
      <c r="N53" s="250">
        <f>LEN(Tableau15[[#This Row],[LABEL]])</f>
        <v>15</v>
      </c>
      <c r="O53" s="250">
        <v>15</v>
      </c>
      <c r="P53" s="250" t="e">
        <f>ROUND(Tableau15[[#This Row],[LEN]]*#REF!+#REF!,0)</f>
        <v>#REF!</v>
      </c>
    </row>
    <row r="54" spans="1:16" x14ac:dyDescent="0.25">
      <c r="A54" s="14" t="s">
        <v>946</v>
      </c>
      <c r="B54" s="15" t="s">
        <v>223</v>
      </c>
      <c r="C54" s="8" t="s">
        <v>64</v>
      </c>
      <c r="D54" s="67" t="s">
        <v>1177</v>
      </c>
      <c r="E54" s="16" t="s">
        <v>662</v>
      </c>
      <c r="F54" s="8" t="s">
        <v>1956</v>
      </c>
      <c r="G54" s="67" t="s">
        <v>70</v>
      </c>
      <c r="H54" s="67" t="s">
        <v>17</v>
      </c>
      <c r="I54" s="8"/>
      <c r="J54" s="9" t="s">
        <v>708</v>
      </c>
      <c r="K54" s="105">
        <f>ROUND(Tableau15[[#This Row],[LEN]]*7.27,0)</f>
        <v>291</v>
      </c>
      <c r="L54" s="105">
        <v>15</v>
      </c>
      <c r="M54" s="123" t="str">
        <f t="shared" si="0"/>
        <v>none</v>
      </c>
      <c r="N54" s="105">
        <f>LEN(Tableau15[[#This Row],[LABEL]])</f>
        <v>40</v>
      </c>
      <c r="O54" s="105">
        <v>15</v>
      </c>
      <c r="P54" s="105" t="e">
        <f>ROUND(Tableau15[[#This Row],[LEN]]*#REF!+#REF!,0)</f>
        <v>#REF!</v>
      </c>
    </row>
    <row r="55" spans="1:16" x14ac:dyDescent="0.25">
      <c r="A55" s="14" t="s">
        <v>947</v>
      </c>
      <c r="B55" s="15" t="s">
        <v>223</v>
      </c>
      <c r="C55" s="8" t="s">
        <v>65</v>
      </c>
      <c r="D55" s="67" t="s">
        <v>1177</v>
      </c>
      <c r="E55" s="16" t="s">
        <v>662</v>
      </c>
      <c r="F55" s="8" t="s">
        <v>1957</v>
      </c>
      <c r="G55" s="67" t="s">
        <v>70</v>
      </c>
      <c r="H55" s="67" t="s">
        <v>17</v>
      </c>
      <c r="I55" s="8"/>
      <c r="J55" s="9" t="s">
        <v>708</v>
      </c>
      <c r="K55" s="105">
        <f>ROUND(Tableau15[[#This Row],[LEN]]*7.27,0)</f>
        <v>291</v>
      </c>
      <c r="L55" s="105">
        <v>15</v>
      </c>
      <c r="M55" s="123" t="str">
        <f t="shared" si="0"/>
        <v>none</v>
      </c>
      <c r="N55" s="105">
        <f>LEN(Tableau15[[#This Row],[LABEL]])</f>
        <v>40</v>
      </c>
      <c r="O55" s="105">
        <v>15</v>
      </c>
      <c r="P55" s="105" t="e">
        <f>ROUND(Tableau15[[#This Row],[LEN]]*#REF!+#REF!,0)</f>
        <v>#REF!</v>
      </c>
    </row>
    <row r="56" spans="1:16" s="92" customFormat="1" x14ac:dyDescent="0.25">
      <c r="A56" s="245" t="s">
        <v>224</v>
      </c>
      <c r="B56" s="246" t="s">
        <v>204</v>
      </c>
      <c r="C56" s="247" t="s">
        <v>11</v>
      </c>
      <c r="D56" s="248" t="s">
        <v>1177</v>
      </c>
      <c r="E56" s="247" t="s">
        <v>674</v>
      </c>
      <c r="F56" s="247" t="s">
        <v>1177</v>
      </c>
      <c r="G56" s="248" t="s">
        <v>70</v>
      </c>
      <c r="H56" s="248" t="str">
        <f>IFERROR(IF(SEARCH(".00.00.00.00.00",Tableau15[[#This Row],[name]],1)=7,"Division",""),"")</f>
        <v>Division</v>
      </c>
      <c r="I56" s="247"/>
      <c r="J56" s="249" t="s">
        <v>720</v>
      </c>
      <c r="K56" s="250">
        <f>ROUND(Tableau15[[#This Row],[LEN]]*7.27,0)</f>
        <v>51</v>
      </c>
      <c r="L56" s="250">
        <v>15</v>
      </c>
      <c r="M56" s="251" t="str">
        <f t="shared" si="0"/>
        <v>new</v>
      </c>
      <c r="N56" s="250">
        <f>LEN(Tableau15[[#This Row],[LABEL]])</f>
        <v>7</v>
      </c>
      <c r="O56" s="250">
        <v>15</v>
      </c>
      <c r="P56" s="250" t="e">
        <f>ROUND(Tableau15[[#This Row],[LEN]]*#REF!+#REF!,0)</f>
        <v>#REF!</v>
      </c>
    </row>
    <row r="57" spans="1:16" x14ac:dyDescent="0.25">
      <c r="A57" s="14" t="s">
        <v>949</v>
      </c>
      <c r="B57" s="15" t="s">
        <v>224</v>
      </c>
      <c r="C57" s="16" t="s">
        <v>948</v>
      </c>
      <c r="D57" s="67" t="s">
        <v>1177</v>
      </c>
      <c r="E57" s="16" t="s">
        <v>667</v>
      </c>
      <c r="F57" s="16" t="s">
        <v>1177</v>
      </c>
      <c r="G57" s="67" t="s">
        <v>70</v>
      </c>
      <c r="H57" s="67" t="s">
        <v>17</v>
      </c>
      <c r="I57" s="8"/>
      <c r="J57" s="9" t="s">
        <v>708</v>
      </c>
      <c r="K57" s="105">
        <f>ROUND(Tableau15[[#This Row],[LEN]]*7.27,0)</f>
        <v>276</v>
      </c>
      <c r="L57" s="105">
        <v>15</v>
      </c>
      <c r="M57" s="123" t="str">
        <f t="shared" si="0"/>
        <v>none</v>
      </c>
      <c r="N57" s="105">
        <f>LEN(Tableau15[[#This Row],[LABEL]])</f>
        <v>38</v>
      </c>
      <c r="O57" s="105">
        <v>15</v>
      </c>
      <c r="P57" s="105" t="e">
        <f>ROUND(Tableau15[[#This Row],[LEN]]*#REF!+#REF!,0)</f>
        <v>#REF!</v>
      </c>
    </row>
    <row r="58" spans="1:16" s="92" customFormat="1" x14ac:dyDescent="0.25">
      <c r="A58" s="245" t="s">
        <v>225</v>
      </c>
      <c r="B58" s="246" t="s">
        <v>204</v>
      </c>
      <c r="C58" s="247" t="s">
        <v>12</v>
      </c>
      <c r="D58" s="248" t="s">
        <v>1177</v>
      </c>
      <c r="E58" s="247" t="s">
        <v>675</v>
      </c>
      <c r="F58" s="247" t="s">
        <v>1177</v>
      </c>
      <c r="G58" s="248" t="s">
        <v>70</v>
      </c>
      <c r="H58" s="248" t="str">
        <f>IFERROR(IF(SEARCH(".00.00.00.00.00",Tableau15[[#This Row],[name]],1)=7,"Division",""),"")</f>
        <v>Division</v>
      </c>
      <c r="I58" s="247"/>
      <c r="J58" s="249" t="s">
        <v>721</v>
      </c>
      <c r="K58" s="250">
        <f>ROUND(Tableau15[[#This Row],[LEN]]*7.27,0)</f>
        <v>15</v>
      </c>
      <c r="L58" s="250">
        <v>15</v>
      </c>
      <c r="M58" s="251" t="str">
        <f t="shared" si="0"/>
        <v>new</v>
      </c>
      <c r="N58" s="250">
        <f>LEN(Tableau15[[#This Row],[LABEL]])</f>
        <v>2</v>
      </c>
      <c r="O58" s="250">
        <v>15</v>
      </c>
      <c r="P58" s="250" t="e">
        <f>ROUND(Tableau15[[#This Row],[LEN]]*#REF!+#REF!,0)</f>
        <v>#REF!</v>
      </c>
    </row>
    <row r="59" spans="1:16" x14ac:dyDescent="0.25">
      <c r="A59" s="14" t="s">
        <v>950</v>
      </c>
      <c r="B59" s="14" t="s">
        <v>225</v>
      </c>
      <c r="C59" s="8" t="s">
        <v>65</v>
      </c>
      <c r="D59" s="67" t="s">
        <v>1177</v>
      </c>
      <c r="E59" s="16" t="s">
        <v>662</v>
      </c>
      <c r="F59" s="8" t="s">
        <v>1957</v>
      </c>
      <c r="G59" s="67" t="s">
        <v>70</v>
      </c>
      <c r="H59" s="67" t="s">
        <v>17</v>
      </c>
      <c r="I59" s="8"/>
      <c r="J59" s="9" t="s">
        <v>708</v>
      </c>
      <c r="K59" s="105">
        <f>ROUND(Tableau15[[#This Row],[LEN]]*7.27,0)</f>
        <v>291</v>
      </c>
      <c r="L59" s="105">
        <v>15</v>
      </c>
      <c r="M59" s="123" t="str">
        <f t="shared" si="0"/>
        <v>none</v>
      </c>
      <c r="N59" s="105">
        <f>LEN(Tableau15[[#This Row],[LABEL]])</f>
        <v>40</v>
      </c>
      <c r="O59" s="105">
        <v>15</v>
      </c>
      <c r="P59" s="105" t="e">
        <f>ROUND(Tableau15[[#This Row],[LEN]]*#REF!+#REF!,0)</f>
        <v>#REF!</v>
      </c>
    </row>
    <row r="60" spans="1:16" x14ac:dyDescent="0.25">
      <c r="A60" s="14" t="s">
        <v>951</v>
      </c>
      <c r="B60" s="14" t="s">
        <v>225</v>
      </c>
      <c r="C60" s="16" t="s">
        <v>72</v>
      </c>
      <c r="D60" s="67" t="s">
        <v>1177</v>
      </c>
      <c r="E60" s="16" t="s">
        <v>662</v>
      </c>
      <c r="F60" s="8" t="s">
        <v>2075</v>
      </c>
      <c r="G60" s="67" t="s">
        <v>70</v>
      </c>
      <c r="H60" s="67" t="s">
        <v>654</v>
      </c>
      <c r="I60" s="8"/>
      <c r="J60" s="9" t="s">
        <v>708</v>
      </c>
      <c r="K60" s="105">
        <f>ROUND(Tableau15[[#This Row],[LEN]]*7.27,0)</f>
        <v>400</v>
      </c>
      <c r="L60" s="105">
        <v>15</v>
      </c>
      <c r="M60" s="123" t="str">
        <f t="shared" si="0"/>
        <v>none</v>
      </c>
      <c r="N60" s="105">
        <f>LEN(Tableau15[[#This Row],[LABEL]])</f>
        <v>55</v>
      </c>
      <c r="O60" s="105">
        <v>15</v>
      </c>
      <c r="P60" s="105" t="e">
        <f>ROUND(Tableau15[[#This Row],[LEN]]*#REF!+#REF!,0)</f>
        <v>#REF!</v>
      </c>
    </row>
    <row r="61" spans="1:16" s="92" customFormat="1" x14ac:dyDescent="0.25">
      <c r="A61" s="245" t="s">
        <v>228</v>
      </c>
      <c r="B61" s="246" t="s">
        <v>204</v>
      </c>
      <c r="C61" s="247" t="s">
        <v>14</v>
      </c>
      <c r="D61" s="248" t="s">
        <v>1177</v>
      </c>
      <c r="E61" s="247" t="s">
        <v>678</v>
      </c>
      <c r="F61" s="247" t="s">
        <v>1177</v>
      </c>
      <c r="G61" s="248" t="s">
        <v>70</v>
      </c>
      <c r="H61" s="248" t="str">
        <f>IFERROR(IF(SEARCH(".00.00.00.00.00",Tableau15[[#This Row],[name]],1)=7,"Division",""),"")</f>
        <v>Division</v>
      </c>
      <c r="I61" s="247"/>
      <c r="J61" s="249" t="s">
        <v>724</v>
      </c>
      <c r="K61" s="250">
        <f>ROUND(Tableau15[[#This Row],[LEN]]*7.27,0)</f>
        <v>240</v>
      </c>
      <c r="L61" s="250">
        <v>15</v>
      </c>
      <c r="M61" s="251" t="str">
        <f t="shared" si="0"/>
        <v>new</v>
      </c>
      <c r="N61" s="250">
        <f>LEN(Tableau15[[#This Row],[LABEL]])</f>
        <v>33</v>
      </c>
      <c r="O61" s="250">
        <v>15</v>
      </c>
      <c r="P61" s="250" t="e">
        <f>ROUND(Tableau15[[#This Row],[LEN]]*#REF!+#REF!,0)</f>
        <v>#REF!</v>
      </c>
    </row>
    <row r="62" spans="1:16" x14ac:dyDescent="0.25">
      <c r="A62" s="14" t="s">
        <v>952</v>
      </c>
      <c r="B62" s="14" t="s">
        <v>228</v>
      </c>
      <c r="C62" s="8" t="s">
        <v>64</v>
      </c>
      <c r="D62" s="67" t="s">
        <v>1177</v>
      </c>
      <c r="E62" s="16" t="s">
        <v>662</v>
      </c>
      <c r="F62" s="8" t="s">
        <v>1956</v>
      </c>
      <c r="G62" s="67" t="s">
        <v>70</v>
      </c>
      <c r="H62" s="67" t="s">
        <v>17</v>
      </c>
      <c r="I62" s="8"/>
      <c r="J62" s="9" t="s">
        <v>708</v>
      </c>
      <c r="K62" s="105">
        <f>ROUND(Tableau15[[#This Row],[LEN]]*7.27,0)</f>
        <v>291</v>
      </c>
      <c r="L62" s="105">
        <v>15</v>
      </c>
      <c r="M62" s="123" t="str">
        <f t="shared" si="0"/>
        <v>none</v>
      </c>
      <c r="N62" s="105">
        <f>LEN(Tableau15[[#This Row],[LABEL]])</f>
        <v>40</v>
      </c>
      <c r="O62" s="105">
        <v>15</v>
      </c>
      <c r="P62" s="105" t="e">
        <f>ROUND(Tableau15[[#This Row],[LEN]]*#REF!+#REF!,0)</f>
        <v>#REF!</v>
      </c>
    </row>
    <row r="63" spans="1:16" x14ac:dyDescent="0.25">
      <c r="A63" s="14" t="s">
        <v>953</v>
      </c>
      <c r="B63" s="14" t="s">
        <v>228</v>
      </c>
      <c r="C63" s="16" t="s">
        <v>927</v>
      </c>
      <c r="D63" s="67" t="s">
        <v>1177</v>
      </c>
      <c r="E63" s="16" t="s">
        <v>667</v>
      </c>
      <c r="F63" s="16" t="s">
        <v>2076</v>
      </c>
      <c r="G63" s="67" t="s">
        <v>70</v>
      </c>
      <c r="H63" s="67" t="s">
        <v>656</v>
      </c>
      <c r="I63" s="8"/>
      <c r="J63" s="9" t="s">
        <v>708</v>
      </c>
      <c r="K63" s="105">
        <f>ROUND(Tableau15[[#This Row],[LEN]]*7.27,0)</f>
        <v>298</v>
      </c>
      <c r="L63" s="105">
        <v>15</v>
      </c>
      <c r="M63" s="123" t="str">
        <f t="shared" si="0"/>
        <v>none</v>
      </c>
      <c r="N63" s="105">
        <f>LEN(Tableau15[[#This Row],[LABEL]])</f>
        <v>41</v>
      </c>
      <c r="O63" s="105">
        <v>15</v>
      </c>
      <c r="P63" s="105" t="e">
        <f>ROUND(Tableau15[[#This Row],[LEN]]*#REF!+#REF!,0)</f>
        <v>#REF!</v>
      </c>
    </row>
    <row r="64" spans="1:16" x14ac:dyDescent="0.25">
      <c r="A64" s="14" t="s">
        <v>954</v>
      </c>
      <c r="B64" s="14" t="s">
        <v>228</v>
      </c>
      <c r="C64" s="8" t="s">
        <v>65</v>
      </c>
      <c r="D64" s="67" t="s">
        <v>1177</v>
      </c>
      <c r="E64" s="16" t="s">
        <v>662</v>
      </c>
      <c r="F64" s="8" t="s">
        <v>1957</v>
      </c>
      <c r="G64" s="67" t="s">
        <v>70</v>
      </c>
      <c r="H64" s="67" t="s">
        <v>17</v>
      </c>
      <c r="I64" s="8"/>
      <c r="J64" s="9" t="s">
        <v>708</v>
      </c>
      <c r="K64" s="105">
        <f>ROUND(Tableau15[[#This Row],[LEN]]*7.27,0)</f>
        <v>291</v>
      </c>
      <c r="L64" s="105">
        <v>15</v>
      </c>
      <c r="M64" s="123" t="str">
        <f t="shared" si="0"/>
        <v>none</v>
      </c>
      <c r="N64" s="105">
        <f>LEN(Tableau15[[#This Row],[LABEL]])</f>
        <v>40</v>
      </c>
      <c r="O64" s="105">
        <v>15</v>
      </c>
      <c r="P64" s="105" t="e">
        <f>ROUND(Tableau15[[#This Row],[LEN]]*#REF!+#REF!,0)</f>
        <v>#REF!</v>
      </c>
    </row>
    <row r="65" spans="1:16" x14ac:dyDescent="0.25">
      <c r="A65" s="14" t="s">
        <v>955</v>
      </c>
      <c r="B65" s="14" t="s">
        <v>228</v>
      </c>
      <c r="C65" s="16" t="s">
        <v>72</v>
      </c>
      <c r="D65" s="67" t="s">
        <v>1177</v>
      </c>
      <c r="E65" s="16" t="s">
        <v>662</v>
      </c>
      <c r="F65" s="8" t="s">
        <v>2075</v>
      </c>
      <c r="G65" s="67" t="s">
        <v>70</v>
      </c>
      <c r="H65" s="67" t="s">
        <v>654</v>
      </c>
      <c r="I65" s="8"/>
      <c r="J65" s="9" t="s">
        <v>708</v>
      </c>
      <c r="K65" s="105">
        <f>ROUND(Tableau15[[#This Row],[LEN]]*7.27,0)</f>
        <v>400</v>
      </c>
      <c r="L65" s="105">
        <v>15</v>
      </c>
      <c r="M65" s="123" t="str">
        <f t="shared" si="0"/>
        <v>none</v>
      </c>
      <c r="N65" s="105">
        <f>LEN(Tableau15[[#This Row],[LABEL]])</f>
        <v>55</v>
      </c>
      <c r="O65" s="105">
        <v>15</v>
      </c>
      <c r="P65" s="105" t="e">
        <f>ROUND(Tableau15[[#This Row],[LEN]]*#REF!+#REF!,0)</f>
        <v>#REF!</v>
      </c>
    </row>
    <row r="66" spans="1:16" x14ac:dyDescent="0.25">
      <c r="A66" s="14" t="s">
        <v>956</v>
      </c>
      <c r="B66" s="14" t="s">
        <v>228</v>
      </c>
      <c r="C66" s="16" t="s">
        <v>930</v>
      </c>
      <c r="D66" s="67" t="s">
        <v>1177</v>
      </c>
      <c r="E66" s="16" t="s">
        <v>678</v>
      </c>
      <c r="F66" s="16" t="s">
        <v>1177</v>
      </c>
      <c r="G66" s="67" t="s">
        <v>70</v>
      </c>
      <c r="H66" s="67" t="s">
        <v>654</v>
      </c>
      <c r="I66" s="8"/>
      <c r="J66" s="9" t="s">
        <v>706</v>
      </c>
      <c r="K66" s="105">
        <f>ROUND(Tableau15[[#This Row],[LEN]]*7.27,0)</f>
        <v>465</v>
      </c>
      <c r="L66" s="105">
        <v>15</v>
      </c>
      <c r="M66" s="123" t="str">
        <f t="shared" si="0"/>
        <v>new</v>
      </c>
      <c r="N66" s="105">
        <f>LEN(Tableau15[[#This Row],[LABEL]])</f>
        <v>64</v>
      </c>
      <c r="O66" s="105">
        <v>15</v>
      </c>
      <c r="P66" s="105" t="e">
        <f>ROUND(Tableau15[[#This Row],[LEN]]*#REF!+#REF!,0)</f>
        <v>#REF!</v>
      </c>
    </row>
    <row r="67" spans="1:16" s="92" customFormat="1" x14ac:dyDescent="0.25">
      <c r="A67" s="245" t="s">
        <v>229</v>
      </c>
      <c r="B67" s="246" t="s">
        <v>204</v>
      </c>
      <c r="C67" s="247" t="s">
        <v>1950</v>
      </c>
      <c r="D67" s="248" t="s">
        <v>1177</v>
      </c>
      <c r="E67" s="247" t="s">
        <v>1951</v>
      </c>
      <c r="F67" s="247" t="s">
        <v>1177</v>
      </c>
      <c r="G67" s="248" t="s">
        <v>70</v>
      </c>
      <c r="H67" s="248" t="s">
        <v>56</v>
      </c>
      <c r="I67" s="247"/>
      <c r="J67" s="249" t="s">
        <v>708</v>
      </c>
      <c r="K67" s="250">
        <f>ROUND(Tableau15[[#This Row],[LEN]]*7.27,0)</f>
        <v>51</v>
      </c>
      <c r="L67" s="250">
        <v>15</v>
      </c>
      <c r="M67" s="251" t="str">
        <f t="shared" si="0"/>
        <v>none</v>
      </c>
      <c r="N67" s="250">
        <f>LEN(Tableau15[[#This Row],[LABEL]])</f>
        <v>7</v>
      </c>
      <c r="O67" s="250">
        <v>15</v>
      </c>
      <c r="P67" s="250" t="e">
        <f>ROUND(Tableau15[[#This Row],[LEN]]*#REF!+#REF!,0)</f>
        <v>#REF!</v>
      </c>
    </row>
    <row r="68" spans="1:16" x14ac:dyDescent="0.25">
      <c r="A68" s="14" t="s">
        <v>1952</v>
      </c>
      <c r="B68" s="14" t="s">
        <v>229</v>
      </c>
      <c r="C68" s="8" t="s">
        <v>64</v>
      </c>
      <c r="D68" s="67" t="s">
        <v>1177</v>
      </c>
      <c r="E68" s="16" t="s">
        <v>662</v>
      </c>
      <c r="F68" s="8" t="s">
        <v>1956</v>
      </c>
      <c r="G68" s="67" t="s">
        <v>70</v>
      </c>
      <c r="H68" s="67" t="s">
        <v>17</v>
      </c>
      <c r="I68" s="8"/>
      <c r="J68" s="9" t="s">
        <v>708</v>
      </c>
      <c r="K68" s="105">
        <f>ROUND(Tableau15[[#This Row],[LEN]]*7.27,0)</f>
        <v>291</v>
      </c>
      <c r="L68" s="105">
        <v>15</v>
      </c>
      <c r="M68" s="123" t="str">
        <f t="shared" si="0"/>
        <v>none</v>
      </c>
      <c r="N68" s="105">
        <f>LEN(Tableau15[[#This Row],[LABEL]])</f>
        <v>40</v>
      </c>
      <c r="O68" s="105">
        <v>15</v>
      </c>
      <c r="P68" s="105" t="e">
        <f>ROUND(Tableau15[[#This Row],[LEN]]*#REF!+#REF!,0)</f>
        <v>#REF!</v>
      </c>
    </row>
    <row r="69" spans="1:16" x14ac:dyDescent="0.25">
      <c r="A69" s="14" t="s">
        <v>1953</v>
      </c>
      <c r="B69" s="14" t="s">
        <v>229</v>
      </c>
      <c r="C69" s="8" t="s">
        <v>65</v>
      </c>
      <c r="D69" s="67" t="s">
        <v>1177</v>
      </c>
      <c r="E69" s="16" t="s">
        <v>662</v>
      </c>
      <c r="F69" s="8" t="s">
        <v>1957</v>
      </c>
      <c r="G69" s="67" t="s">
        <v>70</v>
      </c>
      <c r="H69" s="67" t="s">
        <v>17</v>
      </c>
      <c r="I69" s="8"/>
      <c r="J69" s="9" t="s">
        <v>708</v>
      </c>
      <c r="K69" s="105">
        <f>ROUND(Tableau15[[#This Row],[LEN]]*7.27,0)</f>
        <v>291</v>
      </c>
      <c r="L69" s="105">
        <v>15</v>
      </c>
      <c r="M69" s="123" t="str">
        <f t="shared" si="0"/>
        <v>none</v>
      </c>
      <c r="N69" s="105">
        <f>LEN(Tableau15[[#This Row],[LABEL]])</f>
        <v>40</v>
      </c>
      <c r="O69" s="105">
        <v>15</v>
      </c>
      <c r="P69" s="105" t="e">
        <f>ROUND(Tableau15[[#This Row],[LEN]]*#REF!+#REF!,0)</f>
        <v>#REF!</v>
      </c>
    </row>
    <row r="70" spans="1:16" x14ac:dyDescent="0.25">
      <c r="A70" s="14" t="s">
        <v>1954</v>
      </c>
      <c r="B70" s="14" t="s">
        <v>229</v>
      </c>
      <c r="C70" s="16" t="s">
        <v>1958</v>
      </c>
      <c r="D70" s="67" t="s">
        <v>1177</v>
      </c>
      <c r="E70" s="16" t="s">
        <v>1951</v>
      </c>
      <c r="F70" s="16" t="s">
        <v>1177</v>
      </c>
      <c r="G70" s="67" t="s">
        <v>70</v>
      </c>
      <c r="H70" s="67" t="s">
        <v>570</v>
      </c>
      <c r="I70" s="8"/>
      <c r="J70" s="9" t="s">
        <v>708</v>
      </c>
      <c r="K70" s="105">
        <f>ROUND(Tableau15[[#This Row],[LEN]]*7.27,0)</f>
        <v>320</v>
      </c>
      <c r="L70" s="105">
        <v>15</v>
      </c>
      <c r="M70" s="123" t="str">
        <f t="shared" si="0"/>
        <v>none</v>
      </c>
      <c r="N70" s="105">
        <f>LEN(Tableau15[[#This Row],[LABEL]])</f>
        <v>44</v>
      </c>
      <c r="O70" s="105">
        <v>15</v>
      </c>
      <c r="P70" s="105" t="e">
        <f>ROUND(Tableau15[[#This Row],[LEN]]*#REF!+#REF!,0)</f>
        <v>#REF!</v>
      </c>
    </row>
    <row r="71" spans="1:16" ht="15.75" thickBot="1" x14ac:dyDescent="0.3">
      <c r="A71" s="14" t="s">
        <v>1955</v>
      </c>
      <c r="B71" s="14" t="s">
        <v>229</v>
      </c>
      <c r="C71" s="16" t="s">
        <v>72</v>
      </c>
      <c r="D71" s="67" t="s">
        <v>1177</v>
      </c>
      <c r="E71" s="16" t="s">
        <v>662</v>
      </c>
      <c r="F71" s="8" t="s">
        <v>2075</v>
      </c>
      <c r="G71" s="67" t="s">
        <v>70</v>
      </c>
      <c r="H71" s="67" t="s">
        <v>654</v>
      </c>
      <c r="I71" s="8"/>
      <c r="J71" s="9" t="s">
        <v>708</v>
      </c>
      <c r="K71" s="105">
        <f>ROUND(Tableau15[[#This Row],[LEN]]*7.27,0)</f>
        <v>400</v>
      </c>
      <c r="L71" s="105">
        <v>15</v>
      </c>
      <c r="M71" s="123" t="str">
        <f t="shared" si="0"/>
        <v>none</v>
      </c>
      <c r="N71" s="105">
        <f>LEN(Tableau15[[#This Row],[LABEL]])</f>
        <v>55</v>
      </c>
      <c r="O71" s="105">
        <v>15</v>
      </c>
      <c r="P71" s="105" t="e">
        <f>ROUND(Tableau15[[#This Row],[LEN]]*#REF!+#REF!,0)</f>
        <v>#REF!</v>
      </c>
    </row>
    <row r="72" spans="1:16" ht="15.75" thickTop="1" x14ac:dyDescent="0.25">
      <c r="A72" s="156" t="s">
        <v>200</v>
      </c>
      <c r="B72" s="156" t="s">
        <v>198</v>
      </c>
      <c r="C72" s="157" t="s">
        <v>1159</v>
      </c>
      <c r="D72" s="157" t="s">
        <v>181</v>
      </c>
      <c r="E72" s="158" t="s">
        <v>1177</v>
      </c>
      <c r="F72" s="157" t="s">
        <v>1084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ROUND(Tableau15[[#This Row],[LEN]]*7.27,0)</f>
        <v>95</v>
      </c>
      <c r="L72" s="160">
        <v>15</v>
      </c>
      <c r="M72" s="161" t="str">
        <f t="shared" si="0"/>
        <v>new</v>
      </c>
      <c r="N72" s="160">
        <f>LEN(Tableau15[[#This Row],[LABEL]])</f>
        <v>13</v>
      </c>
      <c r="O72" s="162">
        <v>15</v>
      </c>
      <c r="P72" s="162" t="e">
        <f>ROUND(Tableau15[[#This Row],[LEN]]*#REF!+#REF!,0)</f>
        <v>#REF!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1177</v>
      </c>
      <c r="F73" s="165" t="s">
        <v>1177</v>
      </c>
      <c r="G73" s="164" t="s">
        <v>167</v>
      </c>
      <c r="H73" s="164" t="s">
        <v>616</v>
      </c>
      <c r="I73" s="165"/>
      <c r="J73" s="166" t="s">
        <v>708</v>
      </c>
      <c r="K73" s="167">
        <f>ROUND(Tableau15[[#This Row],[LEN]]*7.27,0)</f>
        <v>58</v>
      </c>
      <c r="L73" s="167">
        <v>15</v>
      </c>
      <c r="M73" s="168" t="str">
        <f t="shared" si="0"/>
        <v>none</v>
      </c>
      <c r="N73" s="167">
        <f>LEN(Tableau15[[#This Row],[LABEL]])</f>
        <v>8</v>
      </c>
      <c r="O73" s="169">
        <v>15</v>
      </c>
      <c r="P73" s="169" t="e">
        <f>ROUND(Tableau15[[#This Row],[LEN]]*#REF!+#REF!,0)</f>
        <v>#REF!</v>
      </c>
    </row>
    <row r="74" spans="1:16" s="92" customFormat="1" ht="15.75" thickTop="1" x14ac:dyDescent="0.25">
      <c r="A74" s="266" t="s">
        <v>231</v>
      </c>
      <c r="B74" s="267" t="s">
        <v>205</v>
      </c>
      <c r="C74" s="268" t="s">
        <v>57</v>
      </c>
      <c r="D74" s="269" t="s">
        <v>1177</v>
      </c>
      <c r="E74" s="268" t="s">
        <v>663</v>
      </c>
      <c r="F74" s="268" t="s">
        <v>1177</v>
      </c>
      <c r="G74" s="269" t="s">
        <v>167</v>
      </c>
      <c r="H74" s="269" t="str">
        <f>IFERROR(IF(SEARCH(".00.00.00.00.00",Tableau15[[#This Row],[name]],1)=7,"Division",""),"")</f>
        <v>Division</v>
      </c>
      <c r="I74" s="268"/>
      <c r="J74" s="270" t="s">
        <v>708</v>
      </c>
      <c r="K74" s="271">
        <f>ROUND(Tableau15[[#This Row],[LEN]]*7.27,0)</f>
        <v>102</v>
      </c>
      <c r="L74" s="271">
        <v>15</v>
      </c>
      <c r="M74" s="272" t="str">
        <f t="shared" si="0"/>
        <v>none</v>
      </c>
      <c r="N74" s="271">
        <f>LEN(Tableau15[[#This Row],[LABEL]])</f>
        <v>14</v>
      </c>
      <c r="O74" s="271">
        <v>15</v>
      </c>
      <c r="P74" s="271" t="e">
        <f>ROUND(Tableau15[[#This Row],[LEN]]*#REF!+#REF!,0)</f>
        <v>#REF!</v>
      </c>
    </row>
    <row r="75" spans="1:16" s="97" customFormat="1" x14ac:dyDescent="0.25">
      <c r="A75" s="17" t="s">
        <v>749</v>
      </c>
      <c r="B75" s="18" t="s">
        <v>231</v>
      </c>
      <c r="C75" s="19" t="s">
        <v>755</v>
      </c>
      <c r="D75" s="68" t="s">
        <v>1177</v>
      </c>
      <c r="E75" s="19" t="s">
        <v>663</v>
      </c>
      <c r="F75" s="19" t="s">
        <v>1177</v>
      </c>
      <c r="G75" s="68" t="s">
        <v>167</v>
      </c>
      <c r="H75" s="68" t="s">
        <v>570</v>
      </c>
      <c r="I75" s="19"/>
      <c r="J75" s="20" t="s">
        <v>708</v>
      </c>
      <c r="K75" s="107">
        <f>ROUND(Tableau15[[#This Row],[LEN]]*7.27,0)</f>
        <v>254</v>
      </c>
      <c r="L75" s="107">
        <v>15</v>
      </c>
      <c r="M75" s="125" t="str">
        <f t="shared" si="0"/>
        <v>none</v>
      </c>
      <c r="N75" s="107">
        <f>LEN(Tableau15[[#This Row],[LABEL]])</f>
        <v>35</v>
      </c>
      <c r="O75" s="107">
        <v>15</v>
      </c>
      <c r="P75" s="107" t="e">
        <f>ROUND(Tableau15[[#This Row],[LEN]]*#REF!+#REF!,0)</f>
        <v>#REF!</v>
      </c>
    </row>
    <row r="76" spans="1:16" s="97" customFormat="1" x14ac:dyDescent="0.25">
      <c r="A76" s="17" t="s">
        <v>750</v>
      </c>
      <c r="B76" s="18" t="s">
        <v>231</v>
      </c>
      <c r="C76" s="19" t="s">
        <v>756</v>
      </c>
      <c r="D76" s="68" t="s">
        <v>1177</v>
      </c>
      <c r="E76" s="19" t="s">
        <v>663</v>
      </c>
      <c r="F76" s="19" t="s">
        <v>1177</v>
      </c>
      <c r="G76" s="68" t="s">
        <v>167</v>
      </c>
      <c r="H76" s="68" t="s">
        <v>654</v>
      </c>
      <c r="I76" s="19"/>
      <c r="J76" s="20" t="s">
        <v>708</v>
      </c>
      <c r="K76" s="107">
        <f>ROUND(Tableau15[[#This Row],[LEN]]*7.27,0)</f>
        <v>131</v>
      </c>
      <c r="L76" s="107">
        <v>15</v>
      </c>
      <c r="M76" s="125" t="str">
        <f t="shared" si="0"/>
        <v>none</v>
      </c>
      <c r="N76" s="107">
        <f>LEN(Tableau15[[#This Row],[LABEL]])</f>
        <v>18</v>
      </c>
      <c r="O76" s="107">
        <v>15</v>
      </c>
      <c r="P76" s="107" t="e">
        <f>ROUND(Tableau15[[#This Row],[LEN]]*#REF!+#REF!,0)</f>
        <v>#REF!</v>
      </c>
    </row>
    <row r="77" spans="1:16" s="97" customFormat="1" x14ac:dyDescent="0.25">
      <c r="A77" s="17" t="s">
        <v>751</v>
      </c>
      <c r="B77" s="18" t="s">
        <v>231</v>
      </c>
      <c r="C77" s="19" t="s">
        <v>757</v>
      </c>
      <c r="D77" s="68" t="s">
        <v>1177</v>
      </c>
      <c r="E77" s="19" t="s">
        <v>663</v>
      </c>
      <c r="F77" s="19" t="s">
        <v>1177</v>
      </c>
      <c r="G77" s="68" t="s">
        <v>167</v>
      </c>
      <c r="H77" s="68" t="s">
        <v>656</v>
      </c>
      <c r="I77" s="19"/>
      <c r="J77" s="20" t="s">
        <v>708</v>
      </c>
      <c r="K77" s="107">
        <f>ROUND(Tableau15[[#This Row],[LEN]]*7.27,0)</f>
        <v>298</v>
      </c>
      <c r="L77" s="107">
        <v>15</v>
      </c>
      <c r="M77" s="125" t="str">
        <f t="shared" si="0"/>
        <v>none</v>
      </c>
      <c r="N77" s="107">
        <f>LEN(Tableau15[[#This Row],[LABEL]])</f>
        <v>41</v>
      </c>
      <c r="O77" s="107">
        <v>15</v>
      </c>
      <c r="P77" s="107" t="e">
        <f>ROUND(Tableau15[[#This Row],[LEN]]*#REF!+#REF!,0)</f>
        <v>#REF!</v>
      </c>
    </row>
    <row r="78" spans="1:16" s="97" customFormat="1" x14ac:dyDescent="0.25">
      <c r="A78" s="17" t="s">
        <v>752</v>
      </c>
      <c r="B78" s="18" t="s">
        <v>231</v>
      </c>
      <c r="C78" s="19" t="s">
        <v>758</v>
      </c>
      <c r="D78" s="68" t="s">
        <v>1177</v>
      </c>
      <c r="E78" s="19" t="s">
        <v>663</v>
      </c>
      <c r="F78" s="19" t="s">
        <v>1177</v>
      </c>
      <c r="G78" s="68" t="s">
        <v>167</v>
      </c>
      <c r="H78" s="68" t="s">
        <v>656</v>
      </c>
      <c r="I78" s="19"/>
      <c r="J78" s="20" t="s">
        <v>708</v>
      </c>
      <c r="K78" s="107">
        <f>ROUND(Tableau15[[#This Row],[LEN]]*7.27,0)</f>
        <v>254</v>
      </c>
      <c r="L78" s="107">
        <v>15</v>
      </c>
      <c r="M78" s="125" t="str">
        <f t="shared" si="0"/>
        <v>none</v>
      </c>
      <c r="N78" s="107">
        <f>LEN(Tableau15[[#This Row],[LABEL]])</f>
        <v>35</v>
      </c>
      <c r="O78" s="107">
        <v>15</v>
      </c>
      <c r="P78" s="107" t="e">
        <f>ROUND(Tableau15[[#This Row],[LEN]]*#REF!+#REF!,0)</f>
        <v>#REF!</v>
      </c>
    </row>
    <row r="79" spans="1:16" s="97" customFormat="1" x14ac:dyDescent="0.25">
      <c r="A79" s="17" t="s">
        <v>753</v>
      </c>
      <c r="B79" s="18" t="s">
        <v>231</v>
      </c>
      <c r="C79" s="19" t="s">
        <v>759</v>
      </c>
      <c r="D79" s="68" t="s">
        <v>1177</v>
      </c>
      <c r="E79" s="19" t="s">
        <v>663</v>
      </c>
      <c r="F79" s="19" t="s">
        <v>1177</v>
      </c>
      <c r="G79" s="68" t="s">
        <v>167</v>
      </c>
      <c r="H79" s="68" t="s">
        <v>654</v>
      </c>
      <c r="I79" s="19"/>
      <c r="J79" s="20" t="s">
        <v>708</v>
      </c>
      <c r="K79" s="107">
        <f>ROUND(Tableau15[[#This Row],[LEN]]*7.27,0)</f>
        <v>298</v>
      </c>
      <c r="L79" s="107">
        <v>15</v>
      </c>
      <c r="M79" s="125" t="str">
        <f t="shared" si="0"/>
        <v>none</v>
      </c>
      <c r="N79" s="107">
        <f>LEN(Tableau15[[#This Row],[LABEL]])</f>
        <v>41</v>
      </c>
      <c r="O79" s="107">
        <v>15</v>
      </c>
      <c r="P79" s="107" t="e">
        <f>ROUND(Tableau15[[#This Row],[LEN]]*#REF!+#REF!,0)</f>
        <v>#REF!</v>
      </c>
    </row>
    <row r="80" spans="1:16" s="97" customFormat="1" x14ac:dyDescent="0.25">
      <c r="A80" s="17" t="s">
        <v>754</v>
      </c>
      <c r="B80" s="18" t="s">
        <v>231</v>
      </c>
      <c r="C80" s="19" t="s">
        <v>110</v>
      </c>
      <c r="D80" s="68" t="s">
        <v>1177</v>
      </c>
      <c r="E80" s="19" t="s">
        <v>1177</v>
      </c>
      <c r="F80" s="19" t="s">
        <v>1084</v>
      </c>
      <c r="G80" s="68" t="s">
        <v>1977</v>
      </c>
      <c r="H80" s="68" t="s">
        <v>1131</v>
      </c>
      <c r="I80" s="19"/>
      <c r="J80" s="20" t="s">
        <v>708</v>
      </c>
      <c r="K80" s="107">
        <f>ROUND(Tableau15[[#This Row],[LEN]]*7.27,0)</f>
        <v>102</v>
      </c>
      <c r="L80" s="107">
        <v>15</v>
      </c>
      <c r="M80" s="125" t="str">
        <f t="shared" si="0"/>
        <v>none</v>
      </c>
      <c r="N80" s="107">
        <f>LEN(Tableau15[[#This Row],[LABEL]])</f>
        <v>14</v>
      </c>
      <c r="O80" s="107">
        <v>15</v>
      </c>
      <c r="P80" s="107" t="e">
        <f>ROUND(Tableau15[[#This Row],[LEN]]*#REF!+#REF!,0)</f>
        <v>#REF!</v>
      </c>
    </row>
    <row r="81" spans="1:16" s="273" customFormat="1" x14ac:dyDescent="0.25">
      <c r="A81" s="266" t="s">
        <v>233</v>
      </c>
      <c r="B81" s="267" t="s">
        <v>205</v>
      </c>
      <c r="C81" s="268" t="s">
        <v>3</v>
      </c>
      <c r="D81" s="269" t="s">
        <v>1177</v>
      </c>
      <c r="E81" s="268" t="s">
        <v>661</v>
      </c>
      <c r="F81" s="268" t="s">
        <v>1177</v>
      </c>
      <c r="G81" s="269" t="s">
        <v>167</v>
      </c>
      <c r="H81" s="269" t="str">
        <f>IFERROR(IF(SEARCH(".00.00.00.00.00",Tableau15[[#This Row],[name]],1)=7,"Division",""),"")</f>
        <v>Division</v>
      </c>
      <c r="I81" s="268"/>
      <c r="J81" s="270" t="s">
        <v>708</v>
      </c>
      <c r="K81" s="271">
        <f>ROUND(Tableau15[[#This Row],[LEN]]*7.27,0)</f>
        <v>73</v>
      </c>
      <c r="L81" s="271">
        <v>15</v>
      </c>
      <c r="M81" s="272" t="str">
        <f t="shared" si="0"/>
        <v>none</v>
      </c>
      <c r="N81" s="271">
        <f>LEN(Tableau15[[#This Row],[LABEL]])</f>
        <v>10</v>
      </c>
      <c r="O81" s="271">
        <v>15</v>
      </c>
      <c r="P81" s="271" t="e">
        <f>ROUND(Tableau15[[#This Row],[LEN]]*#REF!+#REF!,0)</f>
        <v>#REF!</v>
      </c>
    </row>
    <row r="82" spans="1:16" s="97" customFormat="1" x14ac:dyDescent="0.25">
      <c r="A82" s="17" t="s">
        <v>368</v>
      </c>
      <c r="B82" s="18" t="s">
        <v>233</v>
      </c>
      <c r="C82" s="19" t="s">
        <v>81</v>
      </c>
      <c r="D82" s="68" t="s">
        <v>1177</v>
      </c>
      <c r="E82" s="19" t="s">
        <v>667</v>
      </c>
      <c r="F82" s="19" t="s">
        <v>1963</v>
      </c>
      <c r="G82" s="68" t="s">
        <v>167</v>
      </c>
      <c r="H82" s="68" t="s">
        <v>655</v>
      </c>
      <c r="I82" s="19"/>
      <c r="J82" s="20" t="s">
        <v>708</v>
      </c>
      <c r="K82" s="107">
        <f>ROUND(Tableau15[[#This Row],[LEN]]*7.27,0)</f>
        <v>73</v>
      </c>
      <c r="L82" s="107">
        <v>15</v>
      </c>
      <c r="M82" s="125" t="str">
        <f t="shared" si="0"/>
        <v>none</v>
      </c>
      <c r="N82" s="107">
        <f>LEN(Tableau15[[#This Row],[LABEL]])</f>
        <v>10</v>
      </c>
      <c r="O82" s="107">
        <v>15</v>
      </c>
      <c r="P82" s="107" t="e">
        <f>ROUND(Tableau15[[#This Row],[LEN]]*#REF!+#REF!,0)</f>
        <v>#REF!</v>
      </c>
    </row>
    <row r="83" spans="1:16" s="97" customFormat="1" x14ac:dyDescent="0.25">
      <c r="A83" s="21" t="s">
        <v>373</v>
      </c>
      <c r="B83" s="22" t="s">
        <v>368</v>
      </c>
      <c r="C83" s="23" t="s">
        <v>103</v>
      </c>
      <c r="D83" s="69" t="s">
        <v>1177</v>
      </c>
      <c r="E83" s="23" t="s">
        <v>667</v>
      </c>
      <c r="F83" s="23" t="s">
        <v>1963</v>
      </c>
      <c r="G83" s="69" t="s">
        <v>167</v>
      </c>
      <c r="H83" s="69" t="s">
        <v>570</v>
      </c>
      <c r="I83" s="23"/>
      <c r="J83" s="24" t="s">
        <v>708</v>
      </c>
      <c r="K83" s="108">
        <f>ROUND(Tableau15[[#This Row],[LEN]]*7.27,0)</f>
        <v>138</v>
      </c>
      <c r="L83" s="108">
        <v>15</v>
      </c>
      <c r="M83" s="126" t="str">
        <f t="shared" si="0"/>
        <v>none</v>
      </c>
      <c r="N83" s="108">
        <f>LEN(Tableau15[[#This Row],[LABEL]])</f>
        <v>19</v>
      </c>
      <c r="O83" s="108">
        <v>15</v>
      </c>
      <c r="P83" s="108" t="e">
        <f>ROUND(Tableau15[[#This Row],[LEN]]*#REF!+#REF!,0)</f>
        <v>#REF!</v>
      </c>
    </row>
    <row r="84" spans="1:16" s="97" customFormat="1" x14ac:dyDescent="0.25">
      <c r="A84" s="21" t="s">
        <v>374</v>
      </c>
      <c r="B84" s="22" t="s">
        <v>368</v>
      </c>
      <c r="C84" s="23" t="s">
        <v>104</v>
      </c>
      <c r="D84" s="69" t="s">
        <v>1177</v>
      </c>
      <c r="E84" s="23" t="s">
        <v>667</v>
      </c>
      <c r="F84" s="23" t="s">
        <v>1963</v>
      </c>
      <c r="G84" s="69" t="s">
        <v>167</v>
      </c>
      <c r="H84" s="69" t="s">
        <v>570</v>
      </c>
      <c r="I84" s="23"/>
      <c r="J84" s="24" t="s">
        <v>708</v>
      </c>
      <c r="K84" s="108">
        <f>ROUND(Tableau15[[#This Row],[LEN]]*7.27,0)</f>
        <v>145</v>
      </c>
      <c r="L84" s="108">
        <v>15</v>
      </c>
      <c r="M84" s="126" t="str">
        <f t="shared" si="0"/>
        <v>none</v>
      </c>
      <c r="N84" s="108">
        <f>LEN(Tableau15[[#This Row],[LABEL]])</f>
        <v>20</v>
      </c>
      <c r="O84" s="108">
        <v>15</v>
      </c>
      <c r="P84" s="108" t="e">
        <f>ROUND(Tableau15[[#This Row],[LEN]]*#REF!+#REF!,0)</f>
        <v>#REF!</v>
      </c>
    </row>
    <row r="85" spans="1:16" s="97" customFormat="1" x14ac:dyDescent="0.25">
      <c r="A85" s="21" t="s">
        <v>375</v>
      </c>
      <c r="B85" s="22" t="s">
        <v>368</v>
      </c>
      <c r="C85" s="23" t="s">
        <v>105</v>
      </c>
      <c r="D85" s="69" t="s">
        <v>1177</v>
      </c>
      <c r="E85" s="23" t="s">
        <v>667</v>
      </c>
      <c r="F85" s="23" t="s">
        <v>1963</v>
      </c>
      <c r="G85" s="69" t="s">
        <v>167</v>
      </c>
      <c r="H85" s="69" t="s">
        <v>570</v>
      </c>
      <c r="I85" s="23"/>
      <c r="J85" s="24" t="s">
        <v>708</v>
      </c>
      <c r="K85" s="108">
        <f>ROUND(Tableau15[[#This Row],[LEN]]*7.27,0)</f>
        <v>138</v>
      </c>
      <c r="L85" s="108">
        <v>15</v>
      </c>
      <c r="M85" s="126" t="str">
        <f t="shared" si="0"/>
        <v>none</v>
      </c>
      <c r="N85" s="108">
        <f>LEN(Tableau15[[#This Row],[LABEL]])</f>
        <v>19</v>
      </c>
      <c r="O85" s="108">
        <v>15</v>
      </c>
      <c r="P85" s="108" t="e">
        <f>ROUND(Tableau15[[#This Row],[LEN]]*#REF!+#REF!,0)</f>
        <v>#REF!</v>
      </c>
    </row>
    <row r="86" spans="1:16" s="97" customFormat="1" x14ac:dyDescent="0.25">
      <c r="A86" s="21" t="s">
        <v>376</v>
      </c>
      <c r="B86" s="22" t="s">
        <v>368</v>
      </c>
      <c r="C86" s="23" t="s">
        <v>106</v>
      </c>
      <c r="D86" s="69" t="s">
        <v>1177</v>
      </c>
      <c r="E86" s="23" t="s">
        <v>667</v>
      </c>
      <c r="F86" s="23" t="s">
        <v>1963</v>
      </c>
      <c r="G86" s="69" t="s">
        <v>167</v>
      </c>
      <c r="H86" s="69" t="s">
        <v>570</v>
      </c>
      <c r="I86" s="23"/>
      <c r="J86" s="24" t="s">
        <v>708</v>
      </c>
      <c r="K86" s="108">
        <f>ROUND(Tableau15[[#This Row],[LEN]]*7.27,0)</f>
        <v>36</v>
      </c>
      <c r="L86" s="108">
        <v>15</v>
      </c>
      <c r="M86" s="126" t="str">
        <f t="shared" si="0"/>
        <v>none</v>
      </c>
      <c r="N86" s="108">
        <f>LEN(Tableau15[[#This Row],[LABEL]])</f>
        <v>5</v>
      </c>
      <c r="O86" s="108">
        <v>15</v>
      </c>
      <c r="P86" s="108" t="e">
        <f>ROUND(Tableau15[[#This Row],[LEN]]*#REF!+#REF!,0)</f>
        <v>#REF!</v>
      </c>
    </row>
    <row r="87" spans="1:16" s="97" customFormat="1" x14ac:dyDescent="0.25">
      <c r="A87" s="21" t="s">
        <v>377</v>
      </c>
      <c r="B87" s="22" t="s">
        <v>368</v>
      </c>
      <c r="C87" s="23" t="s">
        <v>107</v>
      </c>
      <c r="D87" s="69" t="s">
        <v>1177</v>
      </c>
      <c r="E87" s="23" t="s">
        <v>667</v>
      </c>
      <c r="F87" s="23" t="s">
        <v>1963</v>
      </c>
      <c r="G87" s="69" t="s">
        <v>167</v>
      </c>
      <c r="H87" s="69" t="s">
        <v>570</v>
      </c>
      <c r="I87" s="23"/>
      <c r="J87" s="24" t="s">
        <v>708</v>
      </c>
      <c r="K87" s="108">
        <f>ROUND(Tableau15[[#This Row],[LEN]]*7.27,0)</f>
        <v>160</v>
      </c>
      <c r="L87" s="108">
        <v>15</v>
      </c>
      <c r="M87" s="126" t="str">
        <f t="shared" si="0"/>
        <v>none</v>
      </c>
      <c r="N87" s="108">
        <f>LEN(Tableau15[[#This Row],[LABEL]])</f>
        <v>22</v>
      </c>
      <c r="O87" s="108">
        <v>15</v>
      </c>
      <c r="P87" s="108" t="e">
        <f>ROUND(Tableau15[[#This Row],[LEN]]*#REF!+#REF!,0)</f>
        <v>#REF!</v>
      </c>
    </row>
    <row r="88" spans="1:16" s="97" customFormat="1" x14ac:dyDescent="0.25">
      <c r="A88" s="21" t="s">
        <v>378</v>
      </c>
      <c r="B88" s="22" t="s">
        <v>368</v>
      </c>
      <c r="C88" s="23" t="s">
        <v>108</v>
      </c>
      <c r="D88" s="69" t="s">
        <v>1177</v>
      </c>
      <c r="E88" s="23" t="s">
        <v>667</v>
      </c>
      <c r="F88" s="23" t="s">
        <v>1963</v>
      </c>
      <c r="G88" s="69" t="s">
        <v>167</v>
      </c>
      <c r="H88" s="69" t="s">
        <v>570</v>
      </c>
      <c r="I88" s="23"/>
      <c r="J88" s="24" t="s">
        <v>708</v>
      </c>
      <c r="K88" s="108">
        <f>ROUND(Tableau15[[#This Row],[LEN]]*7.27,0)</f>
        <v>182</v>
      </c>
      <c r="L88" s="108">
        <v>15</v>
      </c>
      <c r="M88" s="126" t="str">
        <f t="shared" si="0"/>
        <v>none</v>
      </c>
      <c r="N88" s="108">
        <f>LEN(Tableau15[[#This Row],[LABEL]])</f>
        <v>25</v>
      </c>
      <c r="O88" s="108">
        <v>15</v>
      </c>
      <c r="P88" s="108" t="e">
        <f>ROUND(Tableau15[[#This Row],[LEN]]*#REF!+#REF!,0)</f>
        <v>#REF!</v>
      </c>
    </row>
    <row r="89" spans="1:16" s="97" customFormat="1" x14ac:dyDescent="0.25">
      <c r="A89" s="17" t="s">
        <v>369</v>
      </c>
      <c r="B89" s="18" t="s">
        <v>233</v>
      </c>
      <c r="C89" s="19" t="s">
        <v>82</v>
      </c>
      <c r="D89" s="68" t="s">
        <v>1177</v>
      </c>
      <c r="E89" s="19" t="s">
        <v>684</v>
      </c>
      <c r="F89" s="19" t="s">
        <v>1177</v>
      </c>
      <c r="G89" s="68" t="s">
        <v>167</v>
      </c>
      <c r="H89" s="68" t="s">
        <v>655</v>
      </c>
      <c r="I89" s="19"/>
      <c r="J89" s="20" t="s">
        <v>708</v>
      </c>
      <c r="K89" s="107">
        <f>ROUND(Tableau15[[#This Row],[LEN]]*7.27,0)</f>
        <v>269</v>
      </c>
      <c r="L89" s="107">
        <v>15</v>
      </c>
      <c r="M89" s="125" t="str">
        <f t="shared" si="0"/>
        <v>none</v>
      </c>
      <c r="N89" s="107">
        <f>LEN(Tableau15[[#This Row],[LABEL]])</f>
        <v>37</v>
      </c>
      <c r="O89" s="107">
        <v>15</v>
      </c>
      <c r="P89" s="107" t="e">
        <f>ROUND(Tableau15[[#This Row],[LEN]]*#REF!+#REF!,0)</f>
        <v>#REF!</v>
      </c>
    </row>
    <row r="90" spans="1:16" s="97" customFormat="1" x14ac:dyDescent="0.25">
      <c r="A90" s="21" t="s">
        <v>379</v>
      </c>
      <c r="B90" s="22" t="s">
        <v>369</v>
      </c>
      <c r="C90" s="23" t="s">
        <v>83</v>
      </c>
      <c r="D90" s="69" t="s">
        <v>1177</v>
      </c>
      <c r="E90" s="23" t="s">
        <v>684</v>
      </c>
      <c r="F90" s="23" t="s">
        <v>1177</v>
      </c>
      <c r="G90" s="69" t="s">
        <v>167</v>
      </c>
      <c r="H90" s="69" t="s">
        <v>18</v>
      </c>
      <c r="I90" s="23"/>
      <c r="J90" s="24" t="s">
        <v>708</v>
      </c>
      <c r="K90" s="108">
        <f>ROUND(Tableau15[[#This Row],[LEN]]*7.27,0)</f>
        <v>269</v>
      </c>
      <c r="L90" s="108">
        <v>15</v>
      </c>
      <c r="M90" s="126" t="str">
        <f t="shared" si="0"/>
        <v>none</v>
      </c>
      <c r="N90" s="108">
        <f>LEN(Tableau15[[#This Row],[LABEL]])</f>
        <v>37</v>
      </c>
      <c r="O90" s="108">
        <v>15</v>
      </c>
      <c r="P90" s="108" t="e">
        <f>ROUND(Tableau15[[#This Row],[LEN]]*#REF!+#REF!,0)</f>
        <v>#REF!</v>
      </c>
    </row>
    <row r="91" spans="1:16" s="97" customFormat="1" x14ac:dyDescent="0.25">
      <c r="A91" s="21" t="s">
        <v>380</v>
      </c>
      <c r="B91" s="22" t="s">
        <v>369</v>
      </c>
      <c r="C91" s="23" t="s">
        <v>84</v>
      </c>
      <c r="D91" s="69" t="s">
        <v>1177</v>
      </c>
      <c r="E91" s="23" t="s">
        <v>684</v>
      </c>
      <c r="F91" s="23" t="s">
        <v>1177</v>
      </c>
      <c r="G91" s="69" t="s">
        <v>167</v>
      </c>
      <c r="H91" s="69" t="s">
        <v>18</v>
      </c>
      <c r="I91" s="23"/>
      <c r="J91" s="24" t="s">
        <v>708</v>
      </c>
      <c r="K91" s="108">
        <f>ROUND(Tableau15[[#This Row],[LEN]]*7.27,0)</f>
        <v>313</v>
      </c>
      <c r="L91" s="108">
        <v>15</v>
      </c>
      <c r="M91" s="126" t="str">
        <f t="shared" si="0"/>
        <v>none</v>
      </c>
      <c r="N91" s="108">
        <f>LEN(Tableau15[[#This Row],[LABEL]])</f>
        <v>43</v>
      </c>
      <c r="O91" s="108">
        <v>15</v>
      </c>
      <c r="P91" s="108" t="e">
        <f>ROUND(Tableau15[[#This Row],[LEN]]*#REF!+#REF!,0)</f>
        <v>#REF!</v>
      </c>
    </row>
    <row r="92" spans="1:16" s="97" customFormat="1" x14ac:dyDescent="0.25">
      <c r="A92" s="21" t="s">
        <v>381</v>
      </c>
      <c r="B92" s="22" t="s">
        <v>369</v>
      </c>
      <c r="C92" s="23" t="s">
        <v>85</v>
      </c>
      <c r="D92" s="69" t="s">
        <v>1177</v>
      </c>
      <c r="E92" s="23" t="s">
        <v>684</v>
      </c>
      <c r="F92" s="23" t="s">
        <v>1177</v>
      </c>
      <c r="G92" s="69" t="s">
        <v>167</v>
      </c>
      <c r="H92" s="69" t="s">
        <v>18</v>
      </c>
      <c r="I92" s="23"/>
      <c r="J92" s="24" t="s">
        <v>708</v>
      </c>
      <c r="K92" s="108">
        <f>ROUND(Tableau15[[#This Row],[LEN]]*7.27,0)</f>
        <v>218</v>
      </c>
      <c r="L92" s="108">
        <v>15</v>
      </c>
      <c r="M92" s="126" t="str">
        <f t="shared" ref="M92:M226" si="1">IF(J92="javascript:void(0)","none","new")</f>
        <v>none</v>
      </c>
      <c r="N92" s="108">
        <f>LEN(Tableau15[[#This Row],[LABEL]])</f>
        <v>30</v>
      </c>
      <c r="O92" s="108">
        <v>15</v>
      </c>
      <c r="P92" s="108" t="e">
        <f>ROUND(Tableau15[[#This Row],[LEN]]*#REF!+#REF!,0)</f>
        <v>#REF!</v>
      </c>
    </row>
    <row r="93" spans="1:16" s="97" customFormat="1" x14ac:dyDescent="0.25">
      <c r="A93" s="17" t="s">
        <v>370</v>
      </c>
      <c r="B93" s="18" t="s">
        <v>233</v>
      </c>
      <c r="C93" s="19" t="s">
        <v>109</v>
      </c>
      <c r="D93" s="68" t="s">
        <v>1177</v>
      </c>
      <c r="E93" s="19" t="s">
        <v>684</v>
      </c>
      <c r="F93" s="19" t="s">
        <v>1177</v>
      </c>
      <c r="G93" s="68" t="s">
        <v>167</v>
      </c>
      <c r="H93" s="68" t="s">
        <v>656</v>
      </c>
      <c r="I93" s="19"/>
      <c r="J93" s="20" t="s">
        <v>708</v>
      </c>
      <c r="K93" s="107">
        <f>ROUND(Tableau15[[#This Row],[LEN]]*7.27,0)</f>
        <v>131</v>
      </c>
      <c r="L93" s="107">
        <v>15</v>
      </c>
      <c r="M93" s="125" t="str">
        <f t="shared" si="1"/>
        <v>none</v>
      </c>
      <c r="N93" s="107">
        <f>LEN(Tableau15[[#This Row],[LABEL]])</f>
        <v>18</v>
      </c>
      <c r="O93" s="107">
        <v>15</v>
      </c>
      <c r="P93" s="107" t="e">
        <f>ROUND(Tableau15[[#This Row],[LEN]]*#REF!+#REF!,0)</f>
        <v>#REF!</v>
      </c>
    </row>
    <row r="94" spans="1:16" s="97" customFormat="1" x14ac:dyDescent="0.25">
      <c r="A94" s="17" t="s">
        <v>371</v>
      </c>
      <c r="B94" s="18" t="s">
        <v>233</v>
      </c>
      <c r="C94" s="19" t="s">
        <v>110</v>
      </c>
      <c r="D94" s="68" t="s">
        <v>1177</v>
      </c>
      <c r="E94" s="19" t="s">
        <v>1177</v>
      </c>
      <c r="F94" s="19" t="s">
        <v>1084</v>
      </c>
      <c r="G94" s="68" t="s">
        <v>1977</v>
      </c>
      <c r="H94" s="68" t="s">
        <v>1131</v>
      </c>
      <c r="I94" s="19"/>
      <c r="J94" s="20" t="s">
        <v>708</v>
      </c>
      <c r="K94" s="107">
        <f>ROUND(Tableau15[[#This Row],[LEN]]*7.27,0)</f>
        <v>102</v>
      </c>
      <c r="L94" s="107">
        <v>15</v>
      </c>
      <c r="M94" s="125" t="str">
        <f t="shared" si="1"/>
        <v>none</v>
      </c>
      <c r="N94" s="107">
        <f>LEN(Tableau15[[#This Row],[LABEL]])</f>
        <v>14</v>
      </c>
      <c r="O94" s="107">
        <v>15</v>
      </c>
      <c r="P94" s="107" t="e">
        <f>ROUND(Tableau15[[#This Row],[LEN]]*#REF!+#REF!,0)</f>
        <v>#REF!</v>
      </c>
    </row>
    <row r="95" spans="1:16" s="273" customFormat="1" x14ac:dyDescent="0.25">
      <c r="A95" s="266" t="s">
        <v>234</v>
      </c>
      <c r="B95" s="267" t="s">
        <v>205</v>
      </c>
      <c r="C95" s="268" t="s">
        <v>4</v>
      </c>
      <c r="D95" s="269" t="s">
        <v>1177</v>
      </c>
      <c r="E95" s="268" t="s">
        <v>666</v>
      </c>
      <c r="F95" s="268" t="s">
        <v>1177</v>
      </c>
      <c r="G95" s="269" t="s">
        <v>167</v>
      </c>
      <c r="H95" s="269" t="str">
        <f>IFERROR(IF(SEARCH(".00.00.00.00.00",Tableau15[[#This Row],[name]],1)=7,"Division",""),"")</f>
        <v>Division</v>
      </c>
      <c r="I95" s="268"/>
      <c r="J95" s="270" t="s">
        <v>708</v>
      </c>
      <c r="K95" s="271">
        <f>ROUND(Tableau15[[#This Row],[LEN]]*7.27,0)</f>
        <v>36</v>
      </c>
      <c r="L95" s="271">
        <v>15</v>
      </c>
      <c r="M95" s="272" t="str">
        <f t="shared" si="1"/>
        <v>none</v>
      </c>
      <c r="N95" s="271">
        <f>LEN(Tableau15[[#This Row],[LABEL]])</f>
        <v>5</v>
      </c>
      <c r="O95" s="271">
        <v>15</v>
      </c>
      <c r="P95" s="271" t="e">
        <f>ROUND(Tableau15[[#This Row],[LEN]]*#REF!+#REF!,0)</f>
        <v>#REF!</v>
      </c>
    </row>
    <row r="96" spans="1:16" s="97" customFormat="1" x14ac:dyDescent="0.25">
      <c r="A96" s="17" t="s">
        <v>957</v>
      </c>
      <c r="B96" s="18" t="s">
        <v>234</v>
      </c>
      <c r="C96" s="19" t="s">
        <v>961</v>
      </c>
      <c r="D96" s="68" t="s">
        <v>1177</v>
      </c>
      <c r="E96" s="19" t="s">
        <v>970</v>
      </c>
      <c r="F96" s="19" t="s">
        <v>1177</v>
      </c>
      <c r="G96" s="68" t="s">
        <v>167</v>
      </c>
      <c r="H96" s="68" t="s">
        <v>656</v>
      </c>
      <c r="I96" s="19"/>
      <c r="J96" s="20" t="s">
        <v>708</v>
      </c>
      <c r="K96" s="107">
        <f>ROUND(Tableau15[[#This Row],[LEN]]*7.27,0)</f>
        <v>305</v>
      </c>
      <c r="L96" s="107">
        <v>15</v>
      </c>
      <c r="M96" s="125" t="str">
        <f t="shared" si="1"/>
        <v>none</v>
      </c>
      <c r="N96" s="107">
        <f>LEN(Tableau15[[#This Row],[LABEL]])</f>
        <v>42</v>
      </c>
      <c r="O96" s="107">
        <v>15</v>
      </c>
      <c r="P96" s="107" t="e">
        <f>ROUND(Tableau15[[#This Row],[LEN]]*#REF!+#REF!,0)</f>
        <v>#REF!</v>
      </c>
    </row>
    <row r="97" spans="1:16" s="97" customFormat="1" x14ac:dyDescent="0.25">
      <c r="A97" s="17" t="s">
        <v>958</v>
      </c>
      <c r="B97" s="18" t="s">
        <v>234</v>
      </c>
      <c r="C97" s="19" t="s">
        <v>82</v>
      </c>
      <c r="D97" s="68" t="s">
        <v>1177</v>
      </c>
      <c r="E97" s="19" t="s">
        <v>684</v>
      </c>
      <c r="F97" s="19" t="s">
        <v>1177</v>
      </c>
      <c r="G97" s="68" t="s">
        <v>167</v>
      </c>
      <c r="H97" s="68" t="s">
        <v>655</v>
      </c>
      <c r="I97" s="19"/>
      <c r="J97" s="20" t="s">
        <v>708</v>
      </c>
      <c r="K97" s="107">
        <f>ROUND(Tableau15[[#This Row],[LEN]]*7.27,0)</f>
        <v>269</v>
      </c>
      <c r="L97" s="107">
        <v>15</v>
      </c>
      <c r="M97" s="125" t="str">
        <f t="shared" si="1"/>
        <v>none</v>
      </c>
      <c r="N97" s="107">
        <f>LEN(Tableau15[[#This Row],[LABEL]])</f>
        <v>37</v>
      </c>
      <c r="O97" s="107">
        <v>15</v>
      </c>
      <c r="P97" s="107" t="e">
        <f>ROUND(Tableau15[[#This Row],[LEN]]*#REF!+#REF!,0)</f>
        <v>#REF!</v>
      </c>
    </row>
    <row r="98" spans="1:16" s="97" customFormat="1" x14ac:dyDescent="0.25">
      <c r="A98" s="21" t="s">
        <v>962</v>
      </c>
      <c r="B98" s="22" t="s">
        <v>958</v>
      </c>
      <c r="C98" s="23" t="s">
        <v>83</v>
      </c>
      <c r="D98" s="69" t="s">
        <v>1177</v>
      </c>
      <c r="E98" s="23" t="s">
        <v>684</v>
      </c>
      <c r="F98" s="23" t="s">
        <v>1177</v>
      </c>
      <c r="G98" s="69" t="s">
        <v>167</v>
      </c>
      <c r="H98" s="69" t="s">
        <v>18</v>
      </c>
      <c r="I98" s="23"/>
      <c r="J98" s="24" t="s">
        <v>708</v>
      </c>
      <c r="K98" s="108">
        <f>ROUND(Tableau15[[#This Row],[LEN]]*7.27,0)</f>
        <v>269</v>
      </c>
      <c r="L98" s="108">
        <v>15</v>
      </c>
      <c r="M98" s="126" t="str">
        <f t="shared" si="1"/>
        <v>none</v>
      </c>
      <c r="N98" s="108">
        <f>LEN(Tableau15[[#This Row],[LABEL]])</f>
        <v>37</v>
      </c>
      <c r="O98" s="108">
        <v>15</v>
      </c>
      <c r="P98" s="108" t="e">
        <f>ROUND(Tableau15[[#This Row],[LEN]]*#REF!+#REF!,0)</f>
        <v>#REF!</v>
      </c>
    </row>
    <row r="99" spans="1:16" s="97" customFormat="1" x14ac:dyDescent="0.25">
      <c r="A99" s="21" t="s">
        <v>963</v>
      </c>
      <c r="B99" s="22" t="s">
        <v>958</v>
      </c>
      <c r="C99" s="23" t="s">
        <v>84</v>
      </c>
      <c r="D99" s="69" t="s">
        <v>1177</v>
      </c>
      <c r="E99" s="23" t="s">
        <v>684</v>
      </c>
      <c r="F99" s="23" t="s">
        <v>1177</v>
      </c>
      <c r="G99" s="69" t="s">
        <v>167</v>
      </c>
      <c r="H99" s="69" t="s">
        <v>18</v>
      </c>
      <c r="I99" s="23"/>
      <c r="J99" s="24" t="s">
        <v>708</v>
      </c>
      <c r="K99" s="108">
        <f>ROUND(Tableau15[[#This Row],[LEN]]*7.27,0)</f>
        <v>313</v>
      </c>
      <c r="L99" s="108">
        <v>15</v>
      </c>
      <c r="M99" s="126" t="str">
        <f t="shared" si="1"/>
        <v>none</v>
      </c>
      <c r="N99" s="108">
        <f>LEN(Tableau15[[#This Row],[LABEL]])</f>
        <v>43</v>
      </c>
      <c r="O99" s="108">
        <v>15</v>
      </c>
      <c r="P99" s="108" t="e">
        <f>ROUND(Tableau15[[#This Row],[LEN]]*#REF!+#REF!,0)</f>
        <v>#REF!</v>
      </c>
    </row>
    <row r="100" spans="1:16" s="97" customFormat="1" x14ac:dyDescent="0.25">
      <c r="A100" s="21" t="s">
        <v>964</v>
      </c>
      <c r="B100" s="22" t="s">
        <v>958</v>
      </c>
      <c r="C100" s="23" t="s">
        <v>85</v>
      </c>
      <c r="D100" s="69" t="s">
        <v>1177</v>
      </c>
      <c r="E100" s="23" t="s">
        <v>684</v>
      </c>
      <c r="F100" s="23" t="s">
        <v>1177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ROUND(Tableau15[[#This Row],[LEN]]*7.27,0)</f>
        <v>218</v>
      </c>
      <c r="L100" s="108">
        <v>15</v>
      </c>
      <c r="M100" s="126" t="str">
        <f t="shared" si="1"/>
        <v>none</v>
      </c>
      <c r="N100" s="108">
        <f>LEN(Tableau15[[#This Row],[LABEL]])</f>
        <v>30</v>
      </c>
      <c r="O100" s="108">
        <v>15</v>
      </c>
      <c r="P100" s="108" t="e">
        <f>ROUND(Tableau15[[#This Row],[LEN]]*#REF!+#REF!,0)</f>
        <v>#REF!</v>
      </c>
    </row>
    <row r="101" spans="1:16" s="97" customFormat="1" x14ac:dyDescent="0.25">
      <c r="A101" s="17" t="s">
        <v>959</v>
      </c>
      <c r="B101" s="18" t="s">
        <v>234</v>
      </c>
      <c r="C101" s="19" t="s">
        <v>109</v>
      </c>
      <c r="D101" s="68" t="s">
        <v>1177</v>
      </c>
      <c r="E101" s="19" t="s">
        <v>684</v>
      </c>
      <c r="F101" s="19" t="s">
        <v>1177</v>
      </c>
      <c r="G101" s="68" t="s">
        <v>167</v>
      </c>
      <c r="H101" s="68" t="s">
        <v>656</v>
      </c>
      <c r="I101" s="19"/>
      <c r="J101" s="20" t="s">
        <v>708</v>
      </c>
      <c r="K101" s="107">
        <f>ROUND(Tableau15[[#This Row],[LEN]]*7.27,0)</f>
        <v>131</v>
      </c>
      <c r="L101" s="107">
        <v>15</v>
      </c>
      <c r="M101" s="125" t="str">
        <f t="shared" si="1"/>
        <v>none</v>
      </c>
      <c r="N101" s="107">
        <f>LEN(Tableau15[[#This Row],[LABEL]])</f>
        <v>18</v>
      </c>
      <c r="O101" s="107">
        <v>15</v>
      </c>
      <c r="P101" s="107" t="e">
        <f>ROUND(Tableau15[[#This Row],[LEN]]*#REF!+#REF!,0)</f>
        <v>#REF!</v>
      </c>
    </row>
    <row r="102" spans="1:16" s="97" customFormat="1" x14ac:dyDescent="0.25">
      <c r="A102" s="17" t="s">
        <v>960</v>
      </c>
      <c r="B102" s="18" t="s">
        <v>234</v>
      </c>
      <c r="C102" s="19" t="s">
        <v>110</v>
      </c>
      <c r="D102" s="68" t="s">
        <v>1177</v>
      </c>
      <c r="E102" s="19" t="s">
        <v>1177</v>
      </c>
      <c r="F102" s="19" t="s">
        <v>1084</v>
      </c>
      <c r="G102" s="68" t="s">
        <v>1977</v>
      </c>
      <c r="H102" s="68" t="s">
        <v>1131</v>
      </c>
      <c r="I102" s="19"/>
      <c r="J102" s="20" t="s">
        <v>708</v>
      </c>
      <c r="K102" s="107">
        <f>ROUND(Tableau15[[#This Row],[LEN]]*7.27,0)</f>
        <v>102</v>
      </c>
      <c r="L102" s="107">
        <v>15</v>
      </c>
      <c r="M102" s="125" t="str">
        <f t="shared" si="1"/>
        <v>none</v>
      </c>
      <c r="N102" s="107">
        <f>LEN(Tableau15[[#This Row],[LABEL]])</f>
        <v>14</v>
      </c>
      <c r="O102" s="107">
        <v>15</v>
      </c>
      <c r="P102" s="107" t="e">
        <f>ROUND(Tableau15[[#This Row],[LEN]]*#REF!+#REF!,0)</f>
        <v>#REF!</v>
      </c>
    </row>
    <row r="103" spans="1:16" s="273" customFormat="1" x14ac:dyDescent="0.25">
      <c r="A103" s="266" t="s">
        <v>235</v>
      </c>
      <c r="B103" s="267" t="s">
        <v>205</v>
      </c>
      <c r="C103" s="268" t="s">
        <v>80</v>
      </c>
      <c r="D103" s="269" t="s">
        <v>1177</v>
      </c>
      <c r="E103" s="268" t="s">
        <v>667</v>
      </c>
      <c r="F103" s="268" t="s">
        <v>1177</v>
      </c>
      <c r="G103" s="269" t="s">
        <v>167</v>
      </c>
      <c r="H103" s="269" t="str">
        <f>IFERROR(IF(SEARCH(".00.00.00.00.00",Tableau15[[#This Row],[name]],1)=7,"Division",""),"")</f>
        <v>Division</v>
      </c>
      <c r="I103" s="268"/>
      <c r="J103" s="270" t="s">
        <v>708</v>
      </c>
      <c r="K103" s="271">
        <f>ROUND(Tableau15[[#This Row],[LEN]]*7.27,0)</f>
        <v>116</v>
      </c>
      <c r="L103" s="271">
        <v>15</v>
      </c>
      <c r="M103" s="272" t="str">
        <f t="shared" si="1"/>
        <v>none</v>
      </c>
      <c r="N103" s="271">
        <f>LEN(Tableau15[[#This Row],[LABEL]])</f>
        <v>16</v>
      </c>
      <c r="O103" s="271">
        <v>15</v>
      </c>
      <c r="P103" s="271" t="e">
        <f>ROUND(Tableau15[[#This Row],[LEN]]*#REF!+#REF!,0)</f>
        <v>#REF!</v>
      </c>
    </row>
    <row r="104" spans="1:16" s="97" customFormat="1" x14ac:dyDescent="0.25">
      <c r="A104" s="17" t="s">
        <v>965</v>
      </c>
      <c r="B104" s="18" t="s">
        <v>235</v>
      </c>
      <c r="C104" s="19" t="s">
        <v>81</v>
      </c>
      <c r="D104" s="68" t="s">
        <v>1177</v>
      </c>
      <c r="E104" s="19" t="s">
        <v>667</v>
      </c>
      <c r="F104" s="19" t="s">
        <v>1963</v>
      </c>
      <c r="G104" s="68" t="s">
        <v>167</v>
      </c>
      <c r="H104" s="68" t="s">
        <v>655</v>
      </c>
      <c r="I104" s="19"/>
      <c r="J104" s="20" t="s">
        <v>708</v>
      </c>
      <c r="K104" s="107">
        <f>ROUND(Tableau15[[#This Row],[LEN]]*7.27,0)</f>
        <v>73</v>
      </c>
      <c r="L104" s="107">
        <v>15</v>
      </c>
      <c r="M104" s="125" t="str">
        <f t="shared" si="1"/>
        <v>none</v>
      </c>
      <c r="N104" s="107">
        <f>LEN(Tableau15[[#This Row],[LABEL]])</f>
        <v>10</v>
      </c>
      <c r="O104" s="107">
        <v>15</v>
      </c>
      <c r="P104" s="107" t="e">
        <f>ROUND(Tableau15[[#This Row],[LEN]]*#REF!+#REF!,0)</f>
        <v>#REF!</v>
      </c>
    </row>
    <row r="105" spans="1:16" s="97" customFormat="1" x14ac:dyDescent="0.25">
      <c r="A105" s="21" t="s">
        <v>974</v>
      </c>
      <c r="B105" s="22" t="s">
        <v>965</v>
      </c>
      <c r="C105" s="23" t="s">
        <v>978</v>
      </c>
      <c r="D105" s="69" t="s">
        <v>1177</v>
      </c>
      <c r="E105" s="23" t="s">
        <v>667</v>
      </c>
      <c r="F105" s="23" t="s">
        <v>1963</v>
      </c>
      <c r="G105" s="69" t="s">
        <v>167</v>
      </c>
      <c r="H105" s="69" t="s">
        <v>570</v>
      </c>
      <c r="I105" s="23"/>
      <c r="J105" s="24" t="s">
        <v>708</v>
      </c>
      <c r="K105" s="108">
        <f>ROUND(Tableau15[[#This Row],[LEN]]*7.27,0)</f>
        <v>87</v>
      </c>
      <c r="L105" s="108">
        <v>15</v>
      </c>
      <c r="M105" s="126" t="str">
        <f t="shared" si="1"/>
        <v>none</v>
      </c>
      <c r="N105" s="108">
        <f>LEN(Tableau15[[#This Row],[LABEL]])</f>
        <v>12</v>
      </c>
      <c r="O105" s="108">
        <v>15</v>
      </c>
      <c r="P105" s="108" t="e">
        <f>ROUND(Tableau15[[#This Row],[LEN]]*#REF!+#REF!,0)</f>
        <v>#REF!</v>
      </c>
    </row>
    <row r="106" spans="1:16" s="97" customFormat="1" x14ac:dyDescent="0.25">
      <c r="A106" s="21" t="s">
        <v>975</v>
      </c>
      <c r="B106" s="22" t="s">
        <v>965</v>
      </c>
      <c r="C106" s="23" t="s">
        <v>979</v>
      </c>
      <c r="D106" s="69" t="s">
        <v>1177</v>
      </c>
      <c r="E106" s="23" t="s">
        <v>667</v>
      </c>
      <c r="F106" s="23" t="s">
        <v>1963</v>
      </c>
      <c r="G106" s="69" t="s">
        <v>167</v>
      </c>
      <c r="H106" s="69" t="s">
        <v>570</v>
      </c>
      <c r="I106" s="23"/>
      <c r="J106" s="24" t="s">
        <v>708</v>
      </c>
      <c r="K106" s="108">
        <f>ROUND(Tableau15[[#This Row],[LEN]]*7.27,0)</f>
        <v>211</v>
      </c>
      <c r="L106" s="108">
        <v>15</v>
      </c>
      <c r="M106" s="126" t="str">
        <f t="shared" si="1"/>
        <v>none</v>
      </c>
      <c r="N106" s="108">
        <f>LEN(Tableau15[[#This Row],[LABEL]])</f>
        <v>29</v>
      </c>
      <c r="O106" s="108">
        <v>15</v>
      </c>
      <c r="P106" s="108" t="e">
        <f>ROUND(Tableau15[[#This Row],[LEN]]*#REF!+#REF!,0)</f>
        <v>#REF!</v>
      </c>
    </row>
    <row r="107" spans="1:16" s="97" customFormat="1" x14ac:dyDescent="0.25">
      <c r="A107" s="21" t="s">
        <v>976</v>
      </c>
      <c r="B107" s="22" t="s">
        <v>965</v>
      </c>
      <c r="C107" s="23" t="s">
        <v>980</v>
      </c>
      <c r="D107" s="69" t="s">
        <v>1177</v>
      </c>
      <c r="E107" s="23" t="s">
        <v>667</v>
      </c>
      <c r="F107" s="23" t="s">
        <v>1963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ROUND(Tableau15[[#This Row],[LEN]]*7.27,0)</f>
        <v>182</v>
      </c>
      <c r="L107" s="108">
        <v>15</v>
      </c>
      <c r="M107" s="126" t="str">
        <f t="shared" si="1"/>
        <v>none</v>
      </c>
      <c r="N107" s="108">
        <f>LEN(Tableau15[[#This Row],[LABEL]])</f>
        <v>25</v>
      </c>
      <c r="O107" s="108">
        <v>15</v>
      </c>
      <c r="P107" s="108" t="e">
        <f>ROUND(Tableau15[[#This Row],[LEN]]*#REF!+#REF!,0)</f>
        <v>#REF!</v>
      </c>
    </row>
    <row r="108" spans="1:16" s="97" customFormat="1" x14ac:dyDescent="0.25">
      <c r="A108" s="21" t="s">
        <v>977</v>
      </c>
      <c r="B108" s="22" t="s">
        <v>965</v>
      </c>
      <c r="C108" s="23" t="s">
        <v>981</v>
      </c>
      <c r="D108" s="69" t="s">
        <v>1177</v>
      </c>
      <c r="E108" s="23" t="s">
        <v>667</v>
      </c>
      <c r="F108" s="23" t="s">
        <v>1963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ROUND(Tableau15[[#This Row],[LEN]]*7.27,0)</f>
        <v>305</v>
      </c>
      <c r="L108" s="108">
        <v>15</v>
      </c>
      <c r="M108" s="126" t="str">
        <f t="shared" si="1"/>
        <v>none</v>
      </c>
      <c r="N108" s="108">
        <f>LEN(Tableau15[[#This Row],[LABEL]])</f>
        <v>42</v>
      </c>
      <c r="O108" s="108">
        <v>15</v>
      </c>
      <c r="P108" s="108" t="e">
        <f>ROUND(Tableau15[[#This Row],[LEN]]*#REF!+#REF!,0)</f>
        <v>#REF!</v>
      </c>
    </row>
    <row r="109" spans="1:16" s="97" customFormat="1" x14ac:dyDescent="0.25">
      <c r="A109" s="17" t="s">
        <v>966</v>
      </c>
      <c r="B109" s="18" t="s">
        <v>235</v>
      </c>
      <c r="C109" s="19" t="s">
        <v>961</v>
      </c>
      <c r="D109" s="68" t="s">
        <v>1177</v>
      </c>
      <c r="E109" s="19" t="s">
        <v>970</v>
      </c>
      <c r="F109" s="19" t="s">
        <v>1177</v>
      </c>
      <c r="G109" s="68" t="s">
        <v>167</v>
      </c>
      <c r="H109" s="68" t="s">
        <v>656</v>
      </c>
      <c r="I109" s="19"/>
      <c r="J109" s="20" t="s">
        <v>708</v>
      </c>
      <c r="K109" s="107">
        <f>ROUND(Tableau15[[#This Row],[LEN]]*7.27,0)</f>
        <v>305</v>
      </c>
      <c r="L109" s="107">
        <v>15</v>
      </c>
      <c r="M109" s="125" t="str">
        <f t="shared" si="1"/>
        <v>none</v>
      </c>
      <c r="N109" s="107">
        <f>LEN(Tableau15[[#This Row],[LABEL]])</f>
        <v>42</v>
      </c>
      <c r="O109" s="107">
        <v>15</v>
      </c>
      <c r="P109" s="107" t="e">
        <f>ROUND(Tableau15[[#This Row],[LEN]]*#REF!+#REF!,0)</f>
        <v>#REF!</v>
      </c>
    </row>
    <row r="110" spans="1:16" s="97" customFormat="1" x14ac:dyDescent="0.25">
      <c r="A110" s="17" t="s">
        <v>967</v>
      </c>
      <c r="B110" s="18" t="s">
        <v>235</v>
      </c>
      <c r="C110" s="19" t="s">
        <v>971</v>
      </c>
      <c r="D110" s="68" t="s">
        <v>1177</v>
      </c>
      <c r="E110" s="19" t="s">
        <v>667</v>
      </c>
      <c r="F110" s="19" t="s">
        <v>678</v>
      </c>
      <c r="G110" s="68" t="s">
        <v>167</v>
      </c>
      <c r="H110" s="68" t="s">
        <v>570</v>
      </c>
      <c r="I110" s="19"/>
      <c r="J110" s="20" t="s">
        <v>708</v>
      </c>
      <c r="K110" s="107">
        <f>ROUND(Tableau15[[#This Row],[LEN]]*7.27,0)</f>
        <v>385</v>
      </c>
      <c r="L110" s="107">
        <v>15</v>
      </c>
      <c r="M110" s="125" t="str">
        <f t="shared" si="1"/>
        <v>none</v>
      </c>
      <c r="N110" s="107">
        <f>LEN(Tableau15[[#This Row],[LABEL]])</f>
        <v>53</v>
      </c>
      <c r="O110" s="107">
        <v>15</v>
      </c>
      <c r="P110" s="107" t="e">
        <f>ROUND(Tableau15[[#This Row],[LEN]]*#REF!+#REF!,0)</f>
        <v>#REF!</v>
      </c>
    </row>
    <row r="111" spans="1:16" s="97" customFormat="1" x14ac:dyDescent="0.25">
      <c r="A111" s="17" t="s">
        <v>968</v>
      </c>
      <c r="B111" s="18" t="s">
        <v>235</v>
      </c>
      <c r="C111" s="19" t="s">
        <v>972</v>
      </c>
      <c r="D111" s="68" t="s">
        <v>1177</v>
      </c>
      <c r="E111" s="19" t="s">
        <v>667</v>
      </c>
      <c r="F111" s="19" t="s">
        <v>1177</v>
      </c>
      <c r="G111" s="68" t="s">
        <v>167</v>
      </c>
      <c r="H111" s="68" t="s">
        <v>18</v>
      </c>
      <c r="I111" s="19"/>
      <c r="J111" s="20" t="s">
        <v>708</v>
      </c>
      <c r="K111" s="107">
        <f>ROUND(Tableau15[[#This Row],[LEN]]*7.27,0)</f>
        <v>182</v>
      </c>
      <c r="L111" s="107">
        <v>15</v>
      </c>
      <c r="M111" s="125" t="str">
        <f t="shared" si="1"/>
        <v>none</v>
      </c>
      <c r="N111" s="107">
        <f>LEN(Tableau15[[#This Row],[LABEL]])</f>
        <v>25</v>
      </c>
      <c r="O111" s="107">
        <v>15</v>
      </c>
      <c r="P111" s="107" t="e">
        <f>ROUND(Tableau15[[#This Row],[LEN]]*#REF!+#REF!,0)</f>
        <v>#REF!</v>
      </c>
    </row>
    <row r="112" spans="1:16" s="97" customFormat="1" x14ac:dyDescent="0.25">
      <c r="A112" s="17" t="s">
        <v>969</v>
      </c>
      <c r="B112" s="18" t="s">
        <v>235</v>
      </c>
      <c r="C112" s="19" t="s">
        <v>110</v>
      </c>
      <c r="D112" s="68" t="s">
        <v>1177</v>
      </c>
      <c r="E112" s="19" t="s">
        <v>1177</v>
      </c>
      <c r="F112" s="19" t="s">
        <v>1084</v>
      </c>
      <c r="G112" s="68" t="s">
        <v>1977</v>
      </c>
      <c r="H112" s="68" t="s">
        <v>1131</v>
      </c>
      <c r="I112" s="19"/>
      <c r="J112" s="20" t="s">
        <v>708</v>
      </c>
      <c r="K112" s="107">
        <f>ROUND(Tableau15[[#This Row],[LEN]]*7.27,0)</f>
        <v>102</v>
      </c>
      <c r="L112" s="107">
        <v>15</v>
      </c>
      <c r="M112" s="125" t="str">
        <f t="shared" si="1"/>
        <v>none</v>
      </c>
      <c r="N112" s="107">
        <f>LEN(Tableau15[[#This Row],[LABEL]])</f>
        <v>14</v>
      </c>
      <c r="O112" s="107">
        <v>15</v>
      </c>
      <c r="P112" s="107" t="e">
        <f>ROUND(Tableau15[[#This Row],[LEN]]*#REF!+#REF!,0)</f>
        <v>#REF!</v>
      </c>
    </row>
    <row r="113" spans="1:16" s="273" customFormat="1" x14ac:dyDescent="0.25">
      <c r="A113" s="266" t="s">
        <v>236</v>
      </c>
      <c r="B113" s="267" t="s">
        <v>205</v>
      </c>
      <c r="C113" s="268" t="s">
        <v>5</v>
      </c>
      <c r="D113" s="269" t="s">
        <v>1177</v>
      </c>
      <c r="E113" s="268" t="s">
        <v>668</v>
      </c>
      <c r="F113" s="268" t="s">
        <v>1177</v>
      </c>
      <c r="G113" s="269" t="s">
        <v>167</v>
      </c>
      <c r="H113" s="269" t="str">
        <f>IFERROR(IF(SEARCH(".00.00.00.00.00",Tableau15[[#This Row],[name]],1)=7,"Division",""),"")</f>
        <v>Division</v>
      </c>
      <c r="I113" s="268"/>
      <c r="J113" s="270" t="s">
        <v>708</v>
      </c>
      <c r="K113" s="271">
        <f>ROUND(Tableau15[[#This Row],[LEN]]*7.27,0)</f>
        <v>73</v>
      </c>
      <c r="L113" s="271">
        <v>15</v>
      </c>
      <c r="M113" s="272" t="str">
        <f t="shared" si="1"/>
        <v>none</v>
      </c>
      <c r="N113" s="271">
        <f>LEN(Tableau15[[#This Row],[LABEL]])</f>
        <v>10</v>
      </c>
      <c r="O113" s="271">
        <v>15</v>
      </c>
      <c r="P113" s="271" t="e">
        <f>ROUND(Tableau15[[#This Row],[LEN]]*#REF!+#REF!,0)</f>
        <v>#REF!</v>
      </c>
    </row>
    <row r="114" spans="1:16" s="97" customFormat="1" x14ac:dyDescent="0.25">
      <c r="A114" s="17" t="s">
        <v>982</v>
      </c>
      <c r="B114" s="18" t="s">
        <v>236</v>
      </c>
      <c r="C114" s="19" t="s">
        <v>983</v>
      </c>
      <c r="D114" s="68" t="s">
        <v>1177</v>
      </c>
      <c r="E114" s="19" t="s">
        <v>668</v>
      </c>
      <c r="F114" s="19" t="s">
        <v>1177</v>
      </c>
      <c r="G114" s="68" t="s">
        <v>167</v>
      </c>
      <c r="H114" s="68" t="s">
        <v>18</v>
      </c>
      <c r="I114" s="19"/>
      <c r="J114" s="20" t="s">
        <v>708</v>
      </c>
      <c r="K114" s="107">
        <f>ROUND(Tableau15[[#This Row],[LEN]]*7.27,0)</f>
        <v>371</v>
      </c>
      <c r="L114" s="107">
        <v>15</v>
      </c>
      <c r="M114" s="125" t="str">
        <f t="shared" si="1"/>
        <v>none</v>
      </c>
      <c r="N114" s="107">
        <f>LEN(Tableau15[[#This Row],[LABEL]])</f>
        <v>51</v>
      </c>
      <c r="O114" s="107">
        <v>15</v>
      </c>
      <c r="P114" s="107" t="e">
        <f>ROUND(Tableau15[[#This Row],[LEN]]*#REF!+#REF!,0)</f>
        <v>#REF!</v>
      </c>
    </row>
    <row r="115" spans="1:16" s="273" customFormat="1" x14ac:dyDescent="0.25">
      <c r="A115" s="266" t="s">
        <v>237</v>
      </c>
      <c r="B115" s="267" t="s">
        <v>205</v>
      </c>
      <c r="C115" s="268" t="s">
        <v>6</v>
      </c>
      <c r="D115" s="269" t="s">
        <v>1177</v>
      </c>
      <c r="E115" s="268" t="s">
        <v>669</v>
      </c>
      <c r="F115" s="268" t="s">
        <v>1177</v>
      </c>
      <c r="G115" s="269" t="s">
        <v>167</v>
      </c>
      <c r="H115" s="269" t="str">
        <f>IFERROR(IF(SEARCH(".00.00.00.00.00",Tableau15[[#This Row],[name]],1)=7,"Division",""),"")</f>
        <v>Division</v>
      </c>
      <c r="I115" s="268"/>
      <c r="J115" s="270" t="s">
        <v>708</v>
      </c>
      <c r="K115" s="271">
        <f>ROUND(Tableau15[[#This Row],[LEN]]*7.27,0)</f>
        <v>196</v>
      </c>
      <c r="L115" s="271">
        <v>15</v>
      </c>
      <c r="M115" s="272" t="str">
        <f t="shared" si="1"/>
        <v>none</v>
      </c>
      <c r="N115" s="271">
        <f>LEN(Tableau15[[#This Row],[LABEL]])</f>
        <v>27</v>
      </c>
      <c r="O115" s="271">
        <v>15</v>
      </c>
      <c r="P115" s="271" t="e">
        <f>ROUND(Tableau15[[#This Row],[LEN]]*#REF!+#REF!,0)</f>
        <v>#REF!</v>
      </c>
    </row>
    <row r="116" spans="1:16" s="97" customFormat="1" x14ac:dyDescent="0.25">
      <c r="A116" s="17" t="s">
        <v>382</v>
      </c>
      <c r="B116" s="18" t="s">
        <v>237</v>
      </c>
      <c r="C116" s="19" t="s">
        <v>81</v>
      </c>
      <c r="D116" s="68" t="s">
        <v>1177</v>
      </c>
      <c r="E116" s="19" t="s">
        <v>667</v>
      </c>
      <c r="F116" s="19" t="s">
        <v>702</v>
      </c>
      <c r="G116" s="68" t="s">
        <v>167</v>
      </c>
      <c r="H116" s="68" t="s">
        <v>654</v>
      </c>
      <c r="I116" s="19"/>
      <c r="J116" s="20" t="s">
        <v>708</v>
      </c>
      <c r="K116" s="107">
        <f>ROUND(Tableau15[[#This Row],[LEN]]*7.27,0)</f>
        <v>73</v>
      </c>
      <c r="L116" s="107">
        <v>15</v>
      </c>
      <c r="M116" s="125" t="str">
        <f t="shared" si="1"/>
        <v>none</v>
      </c>
      <c r="N116" s="107">
        <f>LEN(Tableau15[[#This Row],[LABEL]])</f>
        <v>10</v>
      </c>
      <c r="O116" s="107">
        <v>15</v>
      </c>
      <c r="P116" s="107" t="e">
        <f>ROUND(Tableau15[[#This Row],[LEN]]*#REF!+#REF!,0)</f>
        <v>#REF!</v>
      </c>
    </row>
    <row r="117" spans="1:16" s="97" customFormat="1" x14ac:dyDescent="0.25">
      <c r="A117" s="17" t="s">
        <v>383</v>
      </c>
      <c r="B117" s="18" t="s">
        <v>237</v>
      </c>
      <c r="C117" s="19" t="s">
        <v>136</v>
      </c>
      <c r="D117" s="68" t="s">
        <v>1177</v>
      </c>
      <c r="E117" s="19" t="s">
        <v>669</v>
      </c>
      <c r="F117" s="19" t="s">
        <v>678</v>
      </c>
      <c r="G117" s="68" t="s">
        <v>167</v>
      </c>
      <c r="H117" s="68" t="s">
        <v>656</v>
      </c>
      <c r="I117" s="19"/>
      <c r="J117" s="20" t="s">
        <v>708</v>
      </c>
      <c r="K117" s="107">
        <f>ROUND(Tableau15[[#This Row],[LEN]]*7.27,0)</f>
        <v>174</v>
      </c>
      <c r="L117" s="107">
        <v>15</v>
      </c>
      <c r="M117" s="125" t="str">
        <f t="shared" si="1"/>
        <v>none</v>
      </c>
      <c r="N117" s="107">
        <f>LEN(Tableau15[[#This Row],[LABEL]])</f>
        <v>24</v>
      </c>
      <c r="O117" s="107">
        <v>15</v>
      </c>
      <c r="P117" s="107" t="e">
        <f>ROUND(Tableau15[[#This Row],[LEN]]*#REF!+#REF!,0)</f>
        <v>#REF!</v>
      </c>
    </row>
    <row r="118" spans="1:16" s="97" customFormat="1" x14ac:dyDescent="0.25">
      <c r="A118" s="17" t="s">
        <v>384</v>
      </c>
      <c r="B118" s="18" t="s">
        <v>237</v>
      </c>
      <c r="C118" s="19" t="s">
        <v>110</v>
      </c>
      <c r="D118" s="68" t="s">
        <v>1177</v>
      </c>
      <c r="E118" s="19" t="s">
        <v>1177</v>
      </c>
      <c r="F118" s="19" t="s">
        <v>1084</v>
      </c>
      <c r="G118" s="68" t="s">
        <v>1977</v>
      </c>
      <c r="H118" s="68" t="s">
        <v>1131</v>
      </c>
      <c r="I118" s="19"/>
      <c r="J118" s="20" t="s">
        <v>708</v>
      </c>
      <c r="K118" s="107">
        <f>ROUND(Tableau15[[#This Row],[LEN]]*7.27,0)</f>
        <v>102</v>
      </c>
      <c r="L118" s="107">
        <v>15</v>
      </c>
      <c r="M118" s="125" t="str">
        <f t="shared" si="1"/>
        <v>none</v>
      </c>
      <c r="N118" s="107">
        <f>LEN(Tableau15[[#This Row],[LABEL]])</f>
        <v>14</v>
      </c>
      <c r="O118" s="107">
        <v>15</v>
      </c>
      <c r="P118" s="107" t="e">
        <f>ROUND(Tableau15[[#This Row],[LEN]]*#REF!+#REF!,0)</f>
        <v>#REF!</v>
      </c>
    </row>
    <row r="119" spans="1:16" s="273" customFormat="1" x14ac:dyDescent="0.25">
      <c r="A119" s="266" t="s">
        <v>240</v>
      </c>
      <c r="B119" s="267" t="s">
        <v>205</v>
      </c>
      <c r="C119" s="268" t="s">
        <v>9</v>
      </c>
      <c r="D119" s="269" t="s">
        <v>1177</v>
      </c>
      <c r="E119" s="268" t="s">
        <v>672</v>
      </c>
      <c r="F119" s="268" t="s">
        <v>1177</v>
      </c>
      <c r="G119" s="269" t="s">
        <v>167</v>
      </c>
      <c r="H119" s="269" t="str">
        <f>IFERROR(IF(SEARCH(".00.00.00.00.00",Tableau15[[#This Row],[name]],1)=7,"Division",""),"")</f>
        <v>Division</v>
      </c>
      <c r="I119" s="268"/>
      <c r="J119" s="270" t="s">
        <v>718</v>
      </c>
      <c r="K119" s="271">
        <f>ROUND(Tableau15[[#This Row],[LEN]]*7.27,0)</f>
        <v>80</v>
      </c>
      <c r="L119" s="271">
        <v>15</v>
      </c>
      <c r="M119" s="272" t="str">
        <f t="shared" si="1"/>
        <v>new</v>
      </c>
      <c r="N119" s="271">
        <f>LEN(Tableau15[[#This Row],[LABEL]])</f>
        <v>11</v>
      </c>
      <c r="O119" s="271">
        <v>15</v>
      </c>
      <c r="P119" s="271" t="e">
        <f>ROUND(Tableau15[[#This Row],[LEN]]*#REF!+#REF!,0)</f>
        <v>#REF!</v>
      </c>
    </row>
    <row r="120" spans="1:16" s="97" customFormat="1" x14ac:dyDescent="0.25">
      <c r="A120" s="17" t="s">
        <v>372</v>
      </c>
      <c r="B120" s="18" t="s">
        <v>240</v>
      </c>
      <c r="C120" s="19" t="s">
        <v>81</v>
      </c>
      <c r="D120" s="68" t="s">
        <v>1177</v>
      </c>
      <c r="E120" s="19" t="s">
        <v>672</v>
      </c>
      <c r="F120" s="19" t="s">
        <v>2077</v>
      </c>
      <c r="G120" s="68" t="s">
        <v>167</v>
      </c>
      <c r="H120" s="68" t="s">
        <v>655</v>
      </c>
      <c r="I120" s="19"/>
      <c r="J120" s="20" t="s">
        <v>708</v>
      </c>
      <c r="K120" s="107">
        <f>ROUND(Tableau15[[#This Row],[LEN]]*7.27,0)</f>
        <v>73</v>
      </c>
      <c r="L120" s="107">
        <v>15</v>
      </c>
      <c r="M120" s="125" t="str">
        <f t="shared" si="1"/>
        <v>none</v>
      </c>
      <c r="N120" s="107">
        <f>LEN(Tableau15[[#This Row],[LABEL]])</f>
        <v>10</v>
      </c>
      <c r="O120" s="107">
        <v>15</v>
      </c>
      <c r="P120" s="107" t="e">
        <f>ROUND(Tableau15[[#This Row],[LEN]]*#REF!+#REF!,0)</f>
        <v>#REF!</v>
      </c>
    </row>
    <row r="121" spans="1:16" s="97" customFormat="1" x14ac:dyDescent="0.25">
      <c r="A121" s="21" t="s">
        <v>385</v>
      </c>
      <c r="B121" s="22" t="s">
        <v>372</v>
      </c>
      <c r="C121" s="23" t="s">
        <v>187</v>
      </c>
      <c r="D121" s="69" t="s">
        <v>1177</v>
      </c>
      <c r="E121" s="23" t="s">
        <v>672</v>
      </c>
      <c r="F121" s="23" t="s">
        <v>2077</v>
      </c>
      <c r="G121" s="69" t="s">
        <v>167</v>
      </c>
      <c r="H121" s="69" t="s">
        <v>570</v>
      </c>
      <c r="I121" s="23"/>
      <c r="J121" s="24" t="s">
        <v>708</v>
      </c>
      <c r="K121" s="108">
        <f>ROUND(Tableau15[[#This Row],[LEN]]*7.27,0)</f>
        <v>305</v>
      </c>
      <c r="L121" s="108">
        <v>15</v>
      </c>
      <c r="M121" s="126" t="str">
        <f t="shared" si="1"/>
        <v>none</v>
      </c>
      <c r="N121" s="108">
        <f>LEN(Tableau15[[#This Row],[LABEL]])</f>
        <v>42</v>
      </c>
      <c r="O121" s="108">
        <v>15</v>
      </c>
      <c r="P121" s="108" t="e">
        <f>ROUND(Tableau15[[#This Row],[LEN]]*#REF!+#REF!,0)</f>
        <v>#REF!</v>
      </c>
    </row>
    <row r="122" spans="1:16" s="97" customFormat="1" x14ac:dyDescent="0.25">
      <c r="A122" s="21" t="s">
        <v>386</v>
      </c>
      <c r="B122" s="22" t="s">
        <v>372</v>
      </c>
      <c r="C122" s="23" t="s">
        <v>188</v>
      </c>
      <c r="D122" s="69" t="s">
        <v>1177</v>
      </c>
      <c r="E122" s="23" t="s">
        <v>672</v>
      </c>
      <c r="F122" s="23" t="s">
        <v>2077</v>
      </c>
      <c r="G122" s="69" t="s">
        <v>167</v>
      </c>
      <c r="H122" s="69" t="s">
        <v>570</v>
      </c>
      <c r="I122" s="23"/>
      <c r="J122" s="24" t="s">
        <v>708</v>
      </c>
      <c r="K122" s="108">
        <f>ROUND(Tableau15[[#This Row],[LEN]]*7.27,0)</f>
        <v>196</v>
      </c>
      <c r="L122" s="108">
        <v>15</v>
      </c>
      <c r="M122" s="126" t="str">
        <f t="shared" si="1"/>
        <v>none</v>
      </c>
      <c r="N122" s="108">
        <f>LEN(Tableau15[[#This Row],[LABEL]])</f>
        <v>27</v>
      </c>
      <c r="O122" s="108">
        <v>15</v>
      </c>
      <c r="P122" s="108" t="e">
        <f>ROUND(Tableau15[[#This Row],[LEN]]*#REF!+#REF!,0)</f>
        <v>#REF!</v>
      </c>
    </row>
    <row r="123" spans="1:16" s="97" customFormat="1" x14ac:dyDescent="0.25">
      <c r="A123" s="21" t="s">
        <v>387</v>
      </c>
      <c r="B123" s="22" t="s">
        <v>372</v>
      </c>
      <c r="C123" s="23" t="s">
        <v>189</v>
      </c>
      <c r="D123" s="69" t="s">
        <v>1177</v>
      </c>
      <c r="E123" s="23" t="s">
        <v>672</v>
      </c>
      <c r="F123" s="23" t="s">
        <v>2077</v>
      </c>
      <c r="G123" s="69" t="s">
        <v>167</v>
      </c>
      <c r="H123" s="69" t="s">
        <v>570</v>
      </c>
      <c r="I123" s="23"/>
      <c r="J123" s="24" t="s">
        <v>708</v>
      </c>
      <c r="K123" s="108">
        <f>ROUND(Tableau15[[#This Row],[LEN]]*7.27,0)</f>
        <v>291</v>
      </c>
      <c r="L123" s="108">
        <v>15</v>
      </c>
      <c r="M123" s="126" t="str">
        <f t="shared" si="1"/>
        <v>none</v>
      </c>
      <c r="N123" s="108">
        <f>LEN(Tableau15[[#This Row],[LABEL]])</f>
        <v>40</v>
      </c>
      <c r="O123" s="108">
        <v>15</v>
      </c>
      <c r="P123" s="108" t="e">
        <f>ROUND(Tableau15[[#This Row],[LEN]]*#REF!+#REF!,0)</f>
        <v>#REF!</v>
      </c>
    </row>
    <row r="124" spans="1:16" s="97" customFormat="1" x14ac:dyDescent="0.25">
      <c r="A124" s="21" t="s">
        <v>388</v>
      </c>
      <c r="B124" s="22" t="s">
        <v>372</v>
      </c>
      <c r="C124" s="23" t="s">
        <v>190</v>
      </c>
      <c r="D124" s="69" t="s">
        <v>1177</v>
      </c>
      <c r="E124" s="23" t="s">
        <v>672</v>
      </c>
      <c r="F124" s="23" t="s">
        <v>2077</v>
      </c>
      <c r="G124" s="69" t="s">
        <v>167</v>
      </c>
      <c r="H124" s="69" t="s">
        <v>570</v>
      </c>
      <c r="I124" s="23"/>
      <c r="J124" s="24" t="s">
        <v>708</v>
      </c>
      <c r="K124" s="108">
        <f>ROUND(Tableau15[[#This Row],[LEN]]*7.27,0)</f>
        <v>240</v>
      </c>
      <c r="L124" s="108">
        <v>15</v>
      </c>
      <c r="M124" s="126" t="str">
        <f t="shared" si="1"/>
        <v>none</v>
      </c>
      <c r="N124" s="108">
        <f>LEN(Tableau15[[#This Row],[LABEL]])</f>
        <v>33</v>
      </c>
      <c r="O124" s="108">
        <v>15</v>
      </c>
      <c r="P124" s="108" t="e">
        <f>ROUND(Tableau15[[#This Row],[LEN]]*#REF!+#REF!,0)</f>
        <v>#REF!</v>
      </c>
    </row>
    <row r="125" spans="1:16" s="97" customFormat="1" x14ac:dyDescent="0.25">
      <c r="A125" s="21" t="s">
        <v>389</v>
      </c>
      <c r="B125" s="22" t="s">
        <v>372</v>
      </c>
      <c r="C125" s="23" t="s">
        <v>191</v>
      </c>
      <c r="D125" s="69" t="s">
        <v>1177</v>
      </c>
      <c r="E125" s="23" t="s">
        <v>672</v>
      </c>
      <c r="F125" s="23" t="s">
        <v>2077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ROUND(Tableau15[[#This Row],[LEN]]*7.27,0)</f>
        <v>233</v>
      </c>
      <c r="L125" s="108">
        <v>15</v>
      </c>
      <c r="M125" s="126" t="str">
        <f t="shared" si="1"/>
        <v>none</v>
      </c>
      <c r="N125" s="108">
        <f>LEN(Tableau15[[#This Row],[LABEL]])</f>
        <v>32</v>
      </c>
      <c r="O125" s="108">
        <v>15</v>
      </c>
      <c r="P125" s="108" t="e">
        <f>ROUND(Tableau15[[#This Row],[LEN]]*#REF!+#REF!,0)</f>
        <v>#REF!</v>
      </c>
    </row>
    <row r="126" spans="1:16" s="97" customFormat="1" x14ac:dyDescent="0.25">
      <c r="A126" s="21" t="s">
        <v>390</v>
      </c>
      <c r="B126" s="22" t="s">
        <v>372</v>
      </c>
      <c r="C126" s="23" t="s">
        <v>192</v>
      </c>
      <c r="D126" s="69" t="s">
        <v>1177</v>
      </c>
      <c r="E126" s="23" t="s">
        <v>672</v>
      </c>
      <c r="F126" s="23" t="s">
        <v>2077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ROUND(Tableau15[[#This Row],[LEN]]*7.27,0)</f>
        <v>225</v>
      </c>
      <c r="L126" s="108">
        <v>15</v>
      </c>
      <c r="M126" s="126" t="str">
        <f t="shared" si="1"/>
        <v>none</v>
      </c>
      <c r="N126" s="108">
        <f>LEN(Tableau15[[#This Row],[LABEL]])</f>
        <v>31</v>
      </c>
      <c r="O126" s="108">
        <v>15</v>
      </c>
      <c r="P126" s="108" t="e">
        <f>ROUND(Tableau15[[#This Row],[LEN]]*#REF!+#REF!,0)</f>
        <v>#REF!</v>
      </c>
    </row>
    <row r="127" spans="1:16" s="97" customFormat="1" x14ac:dyDescent="0.25">
      <c r="A127" s="21" t="s">
        <v>391</v>
      </c>
      <c r="B127" s="22" t="s">
        <v>372</v>
      </c>
      <c r="C127" s="23" t="s">
        <v>193</v>
      </c>
      <c r="D127" s="69" t="s">
        <v>1177</v>
      </c>
      <c r="E127" s="23" t="s">
        <v>672</v>
      </c>
      <c r="F127" s="23" t="s">
        <v>2077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ROUND(Tableau15[[#This Row],[LEN]]*7.27,0)</f>
        <v>196</v>
      </c>
      <c r="L127" s="108">
        <v>15</v>
      </c>
      <c r="M127" s="126" t="str">
        <f t="shared" si="1"/>
        <v>none</v>
      </c>
      <c r="N127" s="108">
        <f>LEN(Tableau15[[#This Row],[LABEL]])</f>
        <v>27</v>
      </c>
      <c r="O127" s="108">
        <v>15</v>
      </c>
      <c r="P127" s="108" t="e">
        <f>ROUND(Tableau15[[#This Row],[LEN]]*#REF!+#REF!,0)</f>
        <v>#REF!</v>
      </c>
    </row>
    <row r="128" spans="1:16" s="97" customFormat="1" x14ac:dyDescent="0.25">
      <c r="A128" s="21" t="s">
        <v>392</v>
      </c>
      <c r="B128" s="22" t="s">
        <v>372</v>
      </c>
      <c r="C128" s="23" t="s">
        <v>194</v>
      </c>
      <c r="D128" s="69" t="s">
        <v>1177</v>
      </c>
      <c r="E128" s="23" t="s">
        <v>672</v>
      </c>
      <c r="F128" s="23" t="s">
        <v>2077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ROUND(Tableau15[[#This Row],[LEN]]*7.27,0)</f>
        <v>109</v>
      </c>
      <c r="L128" s="108">
        <v>15</v>
      </c>
      <c r="M128" s="126" t="str">
        <f t="shared" si="1"/>
        <v>none</v>
      </c>
      <c r="N128" s="108">
        <f>LEN(Tableau15[[#This Row],[LABEL]])</f>
        <v>15</v>
      </c>
      <c r="O128" s="108">
        <v>15</v>
      </c>
      <c r="P128" s="108" t="e">
        <f>ROUND(Tableau15[[#This Row],[LEN]]*#REF!+#REF!,0)</f>
        <v>#REF!</v>
      </c>
    </row>
    <row r="129" spans="1:16" s="97" customFormat="1" x14ac:dyDescent="0.25">
      <c r="A129" s="21" t="s">
        <v>393</v>
      </c>
      <c r="B129" s="22" t="s">
        <v>372</v>
      </c>
      <c r="C129" s="23" t="s">
        <v>195</v>
      </c>
      <c r="D129" s="69" t="s">
        <v>1177</v>
      </c>
      <c r="E129" s="23" t="s">
        <v>672</v>
      </c>
      <c r="F129" s="23" t="s">
        <v>2077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ROUND(Tableau15[[#This Row],[LEN]]*7.27,0)</f>
        <v>240</v>
      </c>
      <c r="L129" s="108">
        <v>15</v>
      </c>
      <c r="M129" s="126" t="str">
        <f t="shared" si="1"/>
        <v>none</v>
      </c>
      <c r="N129" s="108">
        <f>LEN(Tableau15[[#This Row],[LABEL]])</f>
        <v>33</v>
      </c>
      <c r="O129" s="108">
        <v>15</v>
      </c>
      <c r="P129" s="108" t="e">
        <f>ROUND(Tableau15[[#This Row],[LEN]]*#REF!+#REF!,0)</f>
        <v>#REF!</v>
      </c>
    </row>
    <row r="130" spans="1:16" s="97" customFormat="1" x14ac:dyDescent="0.25">
      <c r="A130" s="21" t="s">
        <v>394</v>
      </c>
      <c r="B130" s="22" t="s">
        <v>372</v>
      </c>
      <c r="C130" s="23" t="s">
        <v>196</v>
      </c>
      <c r="D130" s="69" t="s">
        <v>1177</v>
      </c>
      <c r="E130" s="23" t="s">
        <v>672</v>
      </c>
      <c r="F130" s="23" t="s">
        <v>2077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ROUND(Tableau15[[#This Row],[LEN]]*7.27,0)</f>
        <v>269</v>
      </c>
      <c r="L130" s="108">
        <v>15</v>
      </c>
      <c r="M130" s="126" t="str">
        <f t="shared" si="1"/>
        <v>none</v>
      </c>
      <c r="N130" s="108">
        <f>LEN(Tableau15[[#This Row],[LABEL]])</f>
        <v>37</v>
      </c>
      <c r="O130" s="108">
        <v>15</v>
      </c>
      <c r="P130" s="108" t="e">
        <f>ROUND(Tableau15[[#This Row],[LEN]]*#REF!+#REF!,0)</f>
        <v>#REF!</v>
      </c>
    </row>
    <row r="131" spans="1:16" s="97" customFormat="1" x14ac:dyDescent="0.25">
      <c r="A131" s="21" t="s">
        <v>395</v>
      </c>
      <c r="B131" s="22" t="s">
        <v>372</v>
      </c>
      <c r="C131" s="23" t="s">
        <v>197</v>
      </c>
      <c r="D131" s="69" t="s">
        <v>1177</v>
      </c>
      <c r="E131" s="23" t="s">
        <v>672</v>
      </c>
      <c r="F131" s="23" t="s">
        <v>2077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ROUND(Tableau15[[#This Row],[LEN]]*7.27,0)</f>
        <v>196</v>
      </c>
      <c r="L131" s="108">
        <v>15</v>
      </c>
      <c r="M131" s="126" t="str">
        <f t="shared" si="1"/>
        <v>none</v>
      </c>
      <c r="N131" s="108">
        <f>LEN(Tableau15[[#This Row],[LABEL]])</f>
        <v>27</v>
      </c>
      <c r="O131" s="108">
        <v>15</v>
      </c>
      <c r="P131" s="108" t="e">
        <f>ROUND(Tableau15[[#This Row],[LEN]]*#REF!+#REF!,0)</f>
        <v>#REF!</v>
      </c>
    </row>
    <row r="132" spans="1:16" s="97" customFormat="1" x14ac:dyDescent="0.25">
      <c r="A132" s="17" t="s">
        <v>470</v>
      </c>
      <c r="B132" s="18" t="s">
        <v>240</v>
      </c>
      <c r="C132" s="19" t="s">
        <v>110</v>
      </c>
      <c r="D132" s="68" t="s">
        <v>1177</v>
      </c>
      <c r="E132" s="19" t="s">
        <v>1177</v>
      </c>
      <c r="F132" s="19" t="s">
        <v>1084</v>
      </c>
      <c r="G132" s="68" t="s">
        <v>1977</v>
      </c>
      <c r="H132" s="68" t="s">
        <v>1131</v>
      </c>
      <c r="I132" s="19"/>
      <c r="J132" s="20" t="s">
        <v>708</v>
      </c>
      <c r="K132" s="107">
        <f>ROUND(Tableau15[[#This Row],[LEN]]*7.27,0)</f>
        <v>102</v>
      </c>
      <c r="L132" s="107">
        <v>15</v>
      </c>
      <c r="M132" s="125" t="str">
        <f t="shared" si="1"/>
        <v>none</v>
      </c>
      <c r="N132" s="107">
        <f>LEN(Tableau15[[#This Row],[LABEL]])</f>
        <v>14</v>
      </c>
      <c r="O132" s="107">
        <v>15</v>
      </c>
      <c r="P132" s="107" t="e">
        <f>ROUND(Tableau15[[#This Row],[LEN]]*#REF!+#REF!,0)</f>
        <v>#REF!</v>
      </c>
    </row>
    <row r="133" spans="1:16" s="273" customFormat="1" x14ac:dyDescent="0.25">
      <c r="A133" s="266" t="s">
        <v>241</v>
      </c>
      <c r="B133" s="267" t="s">
        <v>205</v>
      </c>
      <c r="C133" s="268" t="s">
        <v>10</v>
      </c>
      <c r="D133" s="269" t="s">
        <v>1177</v>
      </c>
      <c r="E133" s="268" t="s">
        <v>673</v>
      </c>
      <c r="F133" s="268" t="s">
        <v>1177</v>
      </c>
      <c r="G133" s="269" t="s">
        <v>167</v>
      </c>
      <c r="H133" s="269" t="str">
        <f>IFERROR(IF(SEARCH(".00.00.00.00.00",Tableau15[[#This Row],[name]],1)=7,"Division",""),"")</f>
        <v>Division</v>
      </c>
      <c r="I133" s="268"/>
      <c r="J133" s="270" t="s">
        <v>719</v>
      </c>
      <c r="K133" s="271">
        <f>ROUND(Tableau15[[#This Row],[LEN]]*7.27,0)</f>
        <v>109</v>
      </c>
      <c r="L133" s="271">
        <v>15</v>
      </c>
      <c r="M133" s="272" t="str">
        <f t="shared" si="1"/>
        <v>new</v>
      </c>
      <c r="N133" s="271">
        <f>LEN(Tableau15[[#This Row],[LABEL]])</f>
        <v>15</v>
      </c>
      <c r="O133" s="271">
        <v>15</v>
      </c>
      <c r="P133" s="271" t="e">
        <f>ROUND(Tableau15[[#This Row],[LEN]]*#REF!+#REF!,0)</f>
        <v>#REF!</v>
      </c>
    </row>
    <row r="134" spans="1:16" s="97" customFormat="1" x14ac:dyDescent="0.25">
      <c r="A134" s="17" t="s">
        <v>984</v>
      </c>
      <c r="B134" s="18" t="s">
        <v>241</v>
      </c>
      <c r="C134" s="19" t="s">
        <v>81</v>
      </c>
      <c r="D134" s="68" t="s">
        <v>1177</v>
      </c>
      <c r="E134" s="19" t="s">
        <v>667</v>
      </c>
      <c r="F134" s="19" t="s">
        <v>2078</v>
      </c>
      <c r="G134" s="68" t="s">
        <v>167</v>
      </c>
      <c r="H134" s="68" t="s">
        <v>655</v>
      </c>
      <c r="I134" s="19"/>
      <c r="J134" s="20" t="s">
        <v>708</v>
      </c>
      <c r="K134" s="107">
        <f>ROUND(Tableau15[[#This Row],[LEN]]*7.27,0)</f>
        <v>73</v>
      </c>
      <c r="L134" s="107">
        <v>15</v>
      </c>
      <c r="M134" s="125" t="str">
        <f t="shared" si="1"/>
        <v>none</v>
      </c>
      <c r="N134" s="107">
        <f>LEN(Tableau15[[#This Row],[LABEL]])</f>
        <v>10</v>
      </c>
      <c r="O134" s="107">
        <v>15</v>
      </c>
      <c r="P134" s="107" t="e">
        <f>ROUND(Tableau15[[#This Row],[LEN]]*#REF!+#REF!,0)</f>
        <v>#REF!</v>
      </c>
    </row>
    <row r="135" spans="1:16" s="97" customFormat="1" x14ac:dyDescent="0.25">
      <c r="A135" s="21" t="s">
        <v>987</v>
      </c>
      <c r="B135" s="22" t="s">
        <v>984</v>
      </c>
      <c r="C135" s="23" t="s">
        <v>992</v>
      </c>
      <c r="D135" s="69" t="s">
        <v>1177</v>
      </c>
      <c r="E135" s="23" t="s">
        <v>667</v>
      </c>
      <c r="F135" s="23" t="s">
        <v>2078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ROUND(Tableau15[[#This Row],[LEN]]*7.27,0)</f>
        <v>138</v>
      </c>
      <c r="L135" s="108">
        <v>15</v>
      </c>
      <c r="M135" s="126" t="str">
        <f t="shared" si="1"/>
        <v>none</v>
      </c>
      <c r="N135" s="108">
        <f>LEN(Tableau15[[#This Row],[LABEL]])</f>
        <v>19</v>
      </c>
      <c r="O135" s="108">
        <v>15</v>
      </c>
      <c r="P135" s="108" t="e">
        <f>ROUND(Tableau15[[#This Row],[LEN]]*#REF!+#REF!,0)</f>
        <v>#REF!</v>
      </c>
    </row>
    <row r="136" spans="1:16" s="97" customFormat="1" x14ac:dyDescent="0.25">
      <c r="A136" s="21" t="s">
        <v>988</v>
      </c>
      <c r="B136" s="22" t="s">
        <v>984</v>
      </c>
      <c r="C136" s="23" t="s">
        <v>993</v>
      </c>
      <c r="D136" s="69" t="s">
        <v>1177</v>
      </c>
      <c r="E136" s="23" t="s">
        <v>667</v>
      </c>
      <c r="F136" s="23" t="s">
        <v>2078</v>
      </c>
      <c r="G136" s="69" t="s">
        <v>167</v>
      </c>
      <c r="H136" s="69" t="s">
        <v>570</v>
      </c>
      <c r="I136" s="23"/>
      <c r="J136" s="24" t="s">
        <v>708</v>
      </c>
      <c r="K136" s="108">
        <f>ROUND(Tableau15[[#This Row],[LEN]]*7.27,0)</f>
        <v>225</v>
      </c>
      <c r="L136" s="108">
        <v>15</v>
      </c>
      <c r="M136" s="126" t="str">
        <f t="shared" si="1"/>
        <v>none</v>
      </c>
      <c r="N136" s="108">
        <f>LEN(Tableau15[[#This Row],[LABEL]])</f>
        <v>31</v>
      </c>
      <c r="O136" s="108">
        <v>15</v>
      </c>
      <c r="P136" s="108" t="e">
        <f>ROUND(Tableau15[[#This Row],[LEN]]*#REF!+#REF!,0)</f>
        <v>#REF!</v>
      </c>
    </row>
    <row r="137" spans="1:16" s="97" customFormat="1" x14ac:dyDescent="0.25">
      <c r="A137" s="21" t="s">
        <v>989</v>
      </c>
      <c r="B137" s="22" t="s">
        <v>984</v>
      </c>
      <c r="C137" s="23" t="s">
        <v>994</v>
      </c>
      <c r="D137" s="69" t="s">
        <v>1177</v>
      </c>
      <c r="E137" s="23" t="s">
        <v>667</v>
      </c>
      <c r="F137" s="23" t="s">
        <v>2078</v>
      </c>
      <c r="G137" s="69" t="s">
        <v>167</v>
      </c>
      <c r="H137" s="69" t="s">
        <v>570</v>
      </c>
      <c r="I137" s="23"/>
      <c r="J137" s="24" t="s">
        <v>708</v>
      </c>
      <c r="K137" s="108">
        <f>ROUND(Tableau15[[#This Row],[LEN]]*7.27,0)</f>
        <v>153</v>
      </c>
      <c r="L137" s="108">
        <v>15</v>
      </c>
      <c r="M137" s="126" t="str">
        <f t="shared" si="1"/>
        <v>none</v>
      </c>
      <c r="N137" s="108">
        <f>LEN(Tableau15[[#This Row],[LABEL]])</f>
        <v>21</v>
      </c>
      <c r="O137" s="108">
        <v>15</v>
      </c>
      <c r="P137" s="108" t="e">
        <f>ROUND(Tableau15[[#This Row],[LEN]]*#REF!+#REF!,0)</f>
        <v>#REF!</v>
      </c>
    </row>
    <row r="138" spans="1:16" s="97" customFormat="1" x14ac:dyDescent="0.25">
      <c r="A138" s="21" t="s">
        <v>990</v>
      </c>
      <c r="B138" s="22" t="s">
        <v>984</v>
      </c>
      <c r="C138" s="23" t="s">
        <v>995</v>
      </c>
      <c r="D138" s="69" t="s">
        <v>1177</v>
      </c>
      <c r="E138" s="23" t="s">
        <v>667</v>
      </c>
      <c r="F138" s="23" t="s">
        <v>2078</v>
      </c>
      <c r="G138" s="69" t="s">
        <v>167</v>
      </c>
      <c r="H138" s="69" t="s">
        <v>570</v>
      </c>
      <c r="I138" s="23"/>
      <c r="J138" s="24" t="s">
        <v>708</v>
      </c>
      <c r="K138" s="108">
        <f>ROUND(Tableau15[[#This Row],[LEN]]*7.27,0)</f>
        <v>327</v>
      </c>
      <c r="L138" s="108">
        <v>15</v>
      </c>
      <c r="M138" s="126" t="str">
        <f t="shared" si="1"/>
        <v>none</v>
      </c>
      <c r="N138" s="108">
        <f>LEN(Tableau15[[#This Row],[LABEL]])</f>
        <v>45</v>
      </c>
      <c r="O138" s="108">
        <v>15</v>
      </c>
      <c r="P138" s="108" t="e">
        <f>ROUND(Tableau15[[#This Row],[LEN]]*#REF!+#REF!,0)</f>
        <v>#REF!</v>
      </c>
    </row>
    <row r="139" spans="1:16" s="97" customFormat="1" x14ac:dyDescent="0.25">
      <c r="A139" s="21" t="s">
        <v>991</v>
      </c>
      <c r="B139" s="22" t="s">
        <v>984</v>
      </c>
      <c r="C139" s="23" t="s">
        <v>996</v>
      </c>
      <c r="D139" s="69" t="s">
        <v>1177</v>
      </c>
      <c r="E139" s="23" t="s">
        <v>667</v>
      </c>
      <c r="F139" s="23" t="s">
        <v>2078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ROUND(Tableau15[[#This Row],[LEN]]*7.27,0)</f>
        <v>211</v>
      </c>
      <c r="L139" s="108">
        <v>15</v>
      </c>
      <c r="M139" s="126" t="str">
        <f t="shared" si="1"/>
        <v>none</v>
      </c>
      <c r="N139" s="108">
        <f>LEN(Tableau15[[#This Row],[LABEL]])</f>
        <v>29</v>
      </c>
      <c r="O139" s="108">
        <v>15</v>
      </c>
      <c r="P139" s="108" t="e">
        <f>ROUND(Tableau15[[#This Row],[LEN]]*#REF!+#REF!,0)</f>
        <v>#REF!</v>
      </c>
    </row>
    <row r="140" spans="1:16" s="97" customFormat="1" x14ac:dyDescent="0.25">
      <c r="A140" s="17" t="s">
        <v>985</v>
      </c>
      <c r="B140" s="18" t="s">
        <v>241</v>
      </c>
      <c r="C140" s="19" t="s">
        <v>110</v>
      </c>
      <c r="D140" s="68" t="s">
        <v>1177</v>
      </c>
      <c r="E140" s="19" t="s">
        <v>1177</v>
      </c>
      <c r="F140" s="19" t="s">
        <v>1084</v>
      </c>
      <c r="G140" s="68" t="s">
        <v>1977</v>
      </c>
      <c r="H140" s="68" t="s">
        <v>1131</v>
      </c>
      <c r="I140" s="19"/>
      <c r="J140" s="20" t="s">
        <v>708</v>
      </c>
      <c r="K140" s="107">
        <f>ROUND(Tableau15[[#This Row],[LEN]]*7.27,0)</f>
        <v>102</v>
      </c>
      <c r="L140" s="107">
        <v>15</v>
      </c>
      <c r="M140" s="125" t="str">
        <f t="shared" si="1"/>
        <v>none</v>
      </c>
      <c r="N140" s="107">
        <f>LEN(Tableau15[[#This Row],[LABEL]])</f>
        <v>14</v>
      </c>
      <c r="O140" s="107">
        <v>15</v>
      </c>
      <c r="P140" s="107" t="e">
        <f>ROUND(Tableau15[[#This Row],[LEN]]*#REF!+#REF!,0)</f>
        <v>#REF!</v>
      </c>
    </row>
    <row r="141" spans="1:16" s="273" customFormat="1" x14ac:dyDescent="0.25">
      <c r="A141" s="266" t="s">
        <v>242</v>
      </c>
      <c r="B141" s="267" t="s">
        <v>205</v>
      </c>
      <c r="C141" s="268" t="s">
        <v>11</v>
      </c>
      <c r="D141" s="269" t="s">
        <v>1177</v>
      </c>
      <c r="E141" s="268" t="s">
        <v>674</v>
      </c>
      <c r="F141" s="268" t="s">
        <v>1177</v>
      </c>
      <c r="G141" s="269" t="s">
        <v>167</v>
      </c>
      <c r="H141" s="269" t="str">
        <f>IFERROR(IF(SEARCH(".00.00.00.00.00",Tableau15[[#This Row],[name]],1)=7,"Division",""),"")</f>
        <v>Division</v>
      </c>
      <c r="I141" s="268"/>
      <c r="J141" s="270" t="s">
        <v>720</v>
      </c>
      <c r="K141" s="271">
        <f>ROUND(Tableau15[[#This Row],[LEN]]*7.27,0)</f>
        <v>51</v>
      </c>
      <c r="L141" s="271">
        <v>15</v>
      </c>
      <c r="M141" s="272" t="str">
        <f t="shared" si="1"/>
        <v>new</v>
      </c>
      <c r="N141" s="271">
        <f>LEN(Tableau15[[#This Row],[LABEL]])</f>
        <v>7</v>
      </c>
      <c r="O141" s="271">
        <v>15</v>
      </c>
      <c r="P141" s="271" t="e">
        <f>ROUND(Tableau15[[#This Row],[LEN]]*#REF!+#REF!,0)</f>
        <v>#REF!</v>
      </c>
    </row>
    <row r="142" spans="1:16" s="97" customFormat="1" x14ac:dyDescent="0.25">
      <c r="A142" s="17" t="s">
        <v>997</v>
      </c>
      <c r="B142" s="18" t="s">
        <v>242</v>
      </c>
      <c r="C142" s="19" t="s">
        <v>81</v>
      </c>
      <c r="D142" s="68" t="s">
        <v>1177</v>
      </c>
      <c r="E142" s="19" t="s">
        <v>667</v>
      </c>
      <c r="F142" s="19" t="s">
        <v>2079</v>
      </c>
      <c r="G142" s="68" t="s">
        <v>167</v>
      </c>
      <c r="H142" s="68" t="s">
        <v>655</v>
      </c>
      <c r="I142" s="19"/>
      <c r="J142" s="20" t="s">
        <v>708</v>
      </c>
      <c r="K142" s="107">
        <f>ROUND(Tableau15[[#This Row],[LEN]]*7.27,0)</f>
        <v>73</v>
      </c>
      <c r="L142" s="107">
        <v>15</v>
      </c>
      <c r="M142" s="125" t="str">
        <f t="shared" si="1"/>
        <v>none</v>
      </c>
      <c r="N142" s="107">
        <f>LEN(Tableau15[[#This Row],[LABEL]])</f>
        <v>10</v>
      </c>
      <c r="O142" s="107">
        <v>15</v>
      </c>
      <c r="P142" s="107" t="e">
        <f>ROUND(Tableau15[[#This Row],[LEN]]*#REF!+#REF!,0)</f>
        <v>#REF!</v>
      </c>
    </row>
    <row r="143" spans="1:16" s="97" customFormat="1" x14ac:dyDescent="0.25">
      <c r="A143" s="21" t="s">
        <v>1002</v>
      </c>
      <c r="B143" s="22" t="s">
        <v>997</v>
      </c>
      <c r="C143" s="23" t="s">
        <v>1000</v>
      </c>
      <c r="D143" s="69" t="s">
        <v>1177</v>
      </c>
      <c r="E143" s="23" t="s">
        <v>667</v>
      </c>
      <c r="F143" s="23" t="s">
        <v>2079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ROUND(Tableau15[[#This Row],[LEN]]*7.27,0)</f>
        <v>196</v>
      </c>
      <c r="L143" s="108">
        <v>15</v>
      </c>
      <c r="M143" s="126" t="str">
        <f t="shared" si="1"/>
        <v>none</v>
      </c>
      <c r="N143" s="108">
        <f>LEN(Tableau15[[#This Row],[LABEL]])</f>
        <v>27</v>
      </c>
      <c r="O143" s="108">
        <v>15</v>
      </c>
      <c r="P143" s="108" t="e">
        <f>ROUND(Tableau15[[#This Row],[LEN]]*#REF!+#REF!,0)</f>
        <v>#REF!</v>
      </c>
    </row>
    <row r="144" spans="1:16" s="97" customFormat="1" x14ac:dyDescent="0.25">
      <c r="A144" s="21" t="s">
        <v>1003</v>
      </c>
      <c r="B144" s="22" t="s">
        <v>997</v>
      </c>
      <c r="C144" s="23" t="s">
        <v>1001</v>
      </c>
      <c r="D144" s="69" t="s">
        <v>1177</v>
      </c>
      <c r="E144" s="23" t="s">
        <v>667</v>
      </c>
      <c r="F144" s="23" t="s">
        <v>2079</v>
      </c>
      <c r="G144" s="69" t="s">
        <v>167</v>
      </c>
      <c r="H144" s="69" t="s">
        <v>570</v>
      </c>
      <c r="I144" s="23"/>
      <c r="J144" s="24" t="s">
        <v>708</v>
      </c>
      <c r="K144" s="108">
        <f>ROUND(Tableau15[[#This Row],[LEN]]*7.27,0)</f>
        <v>174</v>
      </c>
      <c r="L144" s="108">
        <v>15</v>
      </c>
      <c r="M144" s="126" t="str">
        <f t="shared" si="1"/>
        <v>none</v>
      </c>
      <c r="N144" s="108">
        <f>LEN(Tableau15[[#This Row],[LABEL]])</f>
        <v>24</v>
      </c>
      <c r="O144" s="108">
        <v>15</v>
      </c>
      <c r="P144" s="108" t="e">
        <f>ROUND(Tableau15[[#This Row],[LEN]]*#REF!+#REF!,0)</f>
        <v>#REF!</v>
      </c>
    </row>
    <row r="145" spans="1:16" s="97" customFormat="1" x14ac:dyDescent="0.25">
      <c r="A145" s="17" t="s">
        <v>998</v>
      </c>
      <c r="B145" s="18" t="s">
        <v>242</v>
      </c>
      <c r="C145" s="19" t="s">
        <v>110</v>
      </c>
      <c r="D145" s="68" t="s">
        <v>1177</v>
      </c>
      <c r="E145" s="19" t="s">
        <v>1177</v>
      </c>
      <c r="F145" s="19" t="s">
        <v>1084</v>
      </c>
      <c r="G145" s="68" t="s">
        <v>1977</v>
      </c>
      <c r="H145" s="68" t="s">
        <v>1131</v>
      </c>
      <c r="I145" s="19"/>
      <c r="J145" s="20" t="s">
        <v>708</v>
      </c>
      <c r="K145" s="107">
        <f>ROUND(Tableau15[[#This Row],[LEN]]*7.27,0)</f>
        <v>102</v>
      </c>
      <c r="L145" s="107">
        <v>15</v>
      </c>
      <c r="M145" s="125" t="str">
        <f t="shared" si="1"/>
        <v>none</v>
      </c>
      <c r="N145" s="107">
        <f>LEN(Tableau15[[#This Row],[LABEL]])</f>
        <v>14</v>
      </c>
      <c r="O145" s="107">
        <v>15</v>
      </c>
      <c r="P145" s="107" t="e">
        <f>ROUND(Tableau15[[#This Row],[LEN]]*#REF!+#REF!,0)</f>
        <v>#REF!</v>
      </c>
    </row>
    <row r="146" spans="1:16" s="273" customFormat="1" x14ac:dyDescent="0.25">
      <c r="A146" s="266" t="s">
        <v>243</v>
      </c>
      <c r="B146" s="267" t="s">
        <v>205</v>
      </c>
      <c r="C146" s="268" t="s">
        <v>12</v>
      </c>
      <c r="D146" s="269" t="s">
        <v>1177</v>
      </c>
      <c r="E146" s="268" t="s">
        <v>675</v>
      </c>
      <c r="F146" s="268" t="s">
        <v>1177</v>
      </c>
      <c r="G146" s="269" t="s">
        <v>167</v>
      </c>
      <c r="H146" s="269" t="str">
        <f>IFERROR(IF(SEARCH(".00.00.00.00.00",Tableau15[[#This Row],[name]],1)=7,"Division",""),"")</f>
        <v>Division</v>
      </c>
      <c r="I146" s="268"/>
      <c r="J146" s="270" t="s">
        <v>721</v>
      </c>
      <c r="K146" s="271">
        <f>ROUND(Tableau15[[#This Row],[LEN]]*7.27,0)</f>
        <v>15</v>
      </c>
      <c r="L146" s="271">
        <v>15</v>
      </c>
      <c r="M146" s="272" t="str">
        <f t="shared" si="1"/>
        <v>new</v>
      </c>
      <c r="N146" s="271">
        <f>LEN(Tableau15[[#This Row],[LABEL]])</f>
        <v>2</v>
      </c>
      <c r="O146" s="271">
        <v>15</v>
      </c>
      <c r="P146" s="271" t="e">
        <f>ROUND(Tableau15[[#This Row],[LEN]]*#REF!+#REF!,0)</f>
        <v>#REF!</v>
      </c>
    </row>
    <row r="147" spans="1:16" s="97" customFormat="1" x14ac:dyDescent="0.25">
      <c r="A147" s="17" t="s">
        <v>1004</v>
      </c>
      <c r="B147" s="18" t="s">
        <v>243</v>
      </c>
      <c r="C147" s="19" t="s">
        <v>1007</v>
      </c>
      <c r="D147" s="68" t="s">
        <v>1177</v>
      </c>
      <c r="E147" s="19" t="s">
        <v>675</v>
      </c>
      <c r="F147" s="19" t="s">
        <v>1177</v>
      </c>
      <c r="G147" s="68" t="s">
        <v>167</v>
      </c>
      <c r="H147" s="68" t="s">
        <v>655</v>
      </c>
      <c r="I147" s="19"/>
      <c r="J147" s="20" t="s">
        <v>708</v>
      </c>
      <c r="K147" s="107">
        <f>ROUND(Tableau15[[#This Row],[LEN]]*7.27,0)</f>
        <v>305</v>
      </c>
      <c r="L147" s="107">
        <v>15</v>
      </c>
      <c r="M147" s="125" t="str">
        <f t="shared" si="1"/>
        <v>none</v>
      </c>
      <c r="N147" s="107">
        <f>LEN(Tableau15[[#This Row],[LABEL]])</f>
        <v>42</v>
      </c>
      <c r="O147" s="107">
        <v>15</v>
      </c>
      <c r="P147" s="107" t="e">
        <f>ROUND(Tableau15[[#This Row],[LEN]]*#REF!+#REF!,0)</f>
        <v>#REF!</v>
      </c>
    </row>
    <row r="148" spans="1:16" s="97" customFormat="1" x14ac:dyDescent="0.25">
      <c r="A148" s="21" t="s">
        <v>1009</v>
      </c>
      <c r="B148" s="22" t="s">
        <v>1004</v>
      </c>
      <c r="C148" s="23" t="s">
        <v>1012</v>
      </c>
      <c r="D148" s="69" t="s">
        <v>1177</v>
      </c>
      <c r="E148" s="23" t="s">
        <v>675</v>
      </c>
      <c r="F148" s="23" t="s">
        <v>1177</v>
      </c>
      <c r="G148" s="69" t="s">
        <v>167</v>
      </c>
      <c r="H148" s="69" t="s">
        <v>656</v>
      </c>
      <c r="I148" s="23"/>
      <c r="J148" s="24" t="s">
        <v>708</v>
      </c>
      <c r="K148" s="108">
        <f>ROUND(Tableau15[[#This Row],[LEN]]*7.27,0)</f>
        <v>276</v>
      </c>
      <c r="L148" s="108">
        <v>15</v>
      </c>
      <c r="M148" s="126" t="str">
        <f t="shared" si="1"/>
        <v>none</v>
      </c>
      <c r="N148" s="108">
        <f>LEN(Tableau15[[#This Row],[LABEL]])</f>
        <v>38</v>
      </c>
      <c r="O148" s="108">
        <v>15</v>
      </c>
      <c r="P148" s="108" t="e">
        <f>ROUND(Tableau15[[#This Row],[LEN]]*#REF!+#REF!,0)</f>
        <v>#REF!</v>
      </c>
    </row>
    <row r="149" spans="1:16" s="97" customFormat="1" x14ac:dyDescent="0.25">
      <c r="A149" s="21" t="s">
        <v>1010</v>
      </c>
      <c r="B149" s="22" t="s">
        <v>1004</v>
      </c>
      <c r="C149" s="23" t="s">
        <v>1013</v>
      </c>
      <c r="D149" s="69" t="s">
        <v>1177</v>
      </c>
      <c r="E149" s="23" t="s">
        <v>675</v>
      </c>
      <c r="F149" s="23" t="s">
        <v>1177</v>
      </c>
      <c r="G149" s="69" t="s">
        <v>167</v>
      </c>
      <c r="H149" s="69" t="s">
        <v>656</v>
      </c>
      <c r="I149" s="23"/>
      <c r="J149" s="24" t="s">
        <v>708</v>
      </c>
      <c r="K149" s="108">
        <f>ROUND(Tableau15[[#This Row],[LEN]]*7.27,0)</f>
        <v>284</v>
      </c>
      <c r="L149" s="108">
        <v>15</v>
      </c>
      <c r="M149" s="126" t="str">
        <f t="shared" si="1"/>
        <v>none</v>
      </c>
      <c r="N149" s="108">
        <f>LEN(Tableau15[[#This Row],[LABEL]])</f>
        <v>39</v>
      </c>
      <c r="O149" s="108">
        <v>15</v>
      </c>
      <c r="P149" s="108" t="e">
        <f>ROUND(Tableau15[[#This Row],[LEN]]*#REF!+#REF!,0)</f>
        <v>#REF!</v>
      </c>
    </row>
    <row r="150" spans="1:16" s="97" customFormat="1" x14ac:dyDescent="0.25">
      <c r="A150" s="21" t="s">
        <v>1011</v>
      </c>
      <c r="B150" s="22" t="s">
        <v>1004</v>
      </c>
      <c r="C150" s="23" t="s">
        <v>1014</v>
      </c>
      <c r="D150" s="69" t="s">
        <v>1177</v>
      </c>
      <c r="E150" s="23" t="s">
        <v>675</v>
      </c>
      <c r="F150" s="23" t="s">
        <v>1177</v>
      </c>
      <c r="G150" s="69" t="s">
        <v>167</v>
      </c>
      <c r="H150" s="69" t="s">
        <v>656</v>
      </c>
      <c r="I150" s="23"/>
      <c r="J150" s="24" t="s">
        <v>708</v>
      </c>
      <c r="K150" s="108">
        <f>ROUND(Tableau15[[#This Row],[LEN]]*7.27,0)</f>
        <v>327</v>
      </c>
      <c r="L150" s="108">
        <v>15</v>
      </c>
      <c r="M150" s="126" t="str">
        <f t="shared" si="1"/>
        <v>none</v>
      </c>
      <c r="N150" s="108">
        <f>LEN(Tableau15[[#This Row],[LABEL]])</f>
        <v>45</v>
      </c>
      <c r="O150" s="108">
        <v>15</v>
      </c>
      <c r="P150" s="108" t="e">
        <f>ROUND(Tableau15[[#This Row],[LEN]]*#REF!+#REF!,0)</f>
        <v>#REF!</v>
      </c>
    </row>
    <row r="151" spans="1:16" s="97" customFormat="1" x14ac:dyDescent="0.25">
      <c r="A151" s="17" t="s">
        <v>1005</v>
      </c>
      <c r="B151" s="18" t="s">
        <v>243</v>
      </c>
      <c r="C151" s="19" t="s">
        <v>1008</v>
      </c>
      <c r="D151" s="68" t="s">
        <v>1177</v>
      </c>
      <c r="E151" s="19" t="s">
        <v>675</v>
      </c>
      <c r="F151" s="19" t="s">
        <v>1177</v>
      </c>
      <c r="G151" s="68" t="s">
        <v>167</v>
      </c>
      <c r="H151" s="68" t="s">
        <v>654</v>
      </c>
      <c r="I151" s="19"/>
      <c r="J151" s="20" t="s">
        <v>708</v>
      </c>
      <c r="K151" s="107">
        <f>ROUND(Tableau15[[#This Row],[LEN]]*7.27,0)</f>
        <v>305</v>
      </c>
      <c r="L151" s="107">
        <v>15</v>
      </c>
      <c r="M151" s="125" t="str">
        <f t="shared" si="1"/>
        <v>none</v>
      </c>
      <c r="N151" s="107">
        <f>LEN(Tableau15[[#This Row],[LABEL]])</f>
        <v>42</v>
      </c>
      <c r="O151" s="107">
        <v>15</v>
      </c>
      <c r="P151" s="107" t="e">
        <f>ROUND(Tableau15[[#This Row],[LEN]]*#REF!+#REF!,0)</f>
        <v>#REF!</v>
      </c>
    </row>
    <row r="152" spans="1:16" s="97" customFormat="1" x14ac:dyDescent="0.25">
      <c r="A152" s="17" t="s">
        <v>1006</v>
      </c>
      <c r="B152" s="18" t="s">
        <v>243</v>
      </c>
      <c r="C152" s="19" t="s">
        <v>110</v>
      </c>
      <c r="D152" s="68" t="s">
        <v>1177</v>
      </c>
      <c r="E152" s="19" t="s">
        <v>1177</v>
      </c>
      <c r="F152" s="19" t="s">
        <v>1084</v>
      </c>
      <c r="G152" s="68" t="s">
        <v>1977</v>
      </c>
      <c r="H152" s="68" t="s">
        <v>1131</v>
      </c>
      <c r="I152" s="19"/>
      <c r="J152" s="20" t="s">
        <v>708</v>
      </c>
      <c r="K152" s="107">
        <f>ROUND(Tableau15[[#This Row],[LEN]]*7.27,0)</f>
        <v>102</v>
      </c>
      <c r="L152" s="107">
        <v>15</v>
      </c>
      <c r="M152" s="125" t="str">
        <f t="shared" si="1"/>
        <v>none</v>
      </c>
      <c r="N152" s="107">
        <f>LEN(Tableau15[[#This Row],[LABEL]])</f>
        <v>14</v>
      </c>
      <c r="O152" s="107">
        <v>15</v>
      </c>
      <c r="P152" s="107" t="e">
        <f>ROUND(Tableau15[[#This Row],[LEN]]*#REF!+#REF!,0)</f>
        <v>#REF!</v>
      </c>
    </row>
    <row r="153" spans="1:16" s="273" customFormat="1" x14ac:dyDescent="0.25">
      <c r="A153" s="266" t="s">
        <v>244</v>
      </c>
      <c r="B153" s="267" t="s">
        <v>205</v>
      </c>
      <c r="C153" s="268" t="s">
        <v>71</v>
      </c>
      <c r="D153" s="269" t="s">
        <v>1177</v>
      </c>
      <c r="E153" s="268" t="s">
        <v>676</v>
      </c>
      <c r="F153" s="268" t="s">
        <v>1177</v>
      </c>
      <c r="G153" s="269" t="s">
        <v>167</v>
      </c>
      <c r="H153" s="269" t="str">
        <f>IFERROR(IF(SEARCH(".00.00.00.00.00",Tableau15[[#This Row],[name]],1)=7,"Division",""),"")</f>
        <v>Division</v>
      </c>
      <c r="I153" s="268"/>
      <c r="J153" s="270" t="s">
        <v>722</v>
      </c>
      <c r="K153" s="271">
        <f>ROUND(Tableau15[[#This Row],[LEN]]*7.27,0)</f>
        <v>29</v>
      </c>
      <c r="L153" s="271">
        <v>15</v>
      </c>
      <c r="M153" s="272" t="str">
        <f t="shared" si="1"/>
        <v>new</v>
      </c>
      <c r="N153" s="271">
        <f>LEN(Tableau15[[#This Row],[LABEL]])</f>
        <v>4</v>
      </c>
      <c r="O153" s="271">
        <v>15</v>
      </c>
      <c r="P153" s="271" t="e">
        <f>ROUND(Tableau15[[#This Row],[LEN]]*#REF!+#REF!,0)</f>
        <v>#REF!</v>
      </c>
    </row>
    <row r="154" spans="1:16" s="97" customFormat="1" x14ac:dyDescent="0.25">
      <c r="A154" s="17" t="s">
        <v>1017</v>
      </c>
      <c r="B154" s="18" t="s">
        <v>244</v>
      </c>
      <c r="C154" s="19" t="s">
        <v>1016</v>
      </c>
      <c r="D154" s="68" t="s">
        <v>1177</v>
      </c>
      <c r="E154" s="19" t="s">
        <v>676</v>
      </c>
      <c r="F154" s="19" t="s">
        <v>1177</v>
      </c>
      <c r="G154" s="68" t="s">
        <v>167</v>
      </c>
      <c r="H154" s="68" t="s">
        <v>656</v>
      </c>
      <c r="I154" s="19"/>
      <c r="J154" s="20" t="s">
        <v>722</v>
      </c>
      <c r="K154" s="107">
        <f>ROUND(Tableau15[[#This Row],[LEN]]*7.27,0)</f>
        <v>342</v>
      </c>
      <c r="L154" s="107">
        <v>15</v>
      </c>
      <c r="M154" s="125" t="str">
        <f t="shared" si="1"/>
        <v>new</v>
      </c>
      <c r="N154" s="107">
        <f>LEN(Tableau15[[#This Row],[LABEL]])</f>
        <v>47</v>
      </c>
      <c r="O154" s="107">
        <v>15</v>
      </c>
      <c r="P154" s="107" t="e">
        <f>ROUND(Tableau15[[#This Row],[LEN]]*#REF!+#REF!,0)</f>
        <v>#REF!</v>
      </c>
    </row>
    <row r="155" spans="1:16" s="97" customFormat="1" x14ac:dyDescent="0.25">
      <c r="A155" s="17" t="s">
        <v>1018</v>
      </c>
      <c r="B155" s="18" t="s">
        <v>244</v>
      </c>
      <c r="C155" s="19" t="s">
        <v>1015</v>
      </c>
      <c r="D155" s="68" t="s">
        <v>1177</v>
      </c>
      <c r="E155" s="19" t="s">
        <v>676</v>
      </c>
      <c r="F155" s="19" t="s">
        <v>1177</v>
      </c>
      <c r="G155" s="68" t="s">
        <v>167</v>
      </c>
      <c r="H155" s="68" t="s">
        <v>656</v>
      </c>
      <c r="I155" s="19"/>
      <c r="J155" s="20" t="s">
        <v>722</v>
      </c>
      <c r="K155" s="107">
        <f>ROUND(Tableau15[[#This Row],[LEN]]*7.27,0)</f>
        <v>269</v>
      </c>
      <c r="L155" s="107">
        <v>15</v>
      </c>
      <c r="M155" s="125" t="str">
        <f t="shared" si="1"/>
        <v>new</v>
      </c>
      <c r="N155" s="107">
        <f>LEN(Tableau15[[#This Row],[LABEL]])</f>
        <v>37</v>
      </c>
      <c r="O155" s="107">
        <v>15</v>
      </c>
      <c r="P155" s="107" t="e">
        <f>ROUND(Tableau15[[#This Row],[LEN]]*#REF!+#REF!,0)</f>
        <v>#REF!</v>
      </c>
    </row>
    <row r="156" spans="1:16" s="97" customFormat="1" x14ac:dyDescent="0.25">
      <c r="A156" s="17" t="s">
        <v>1019</v>
      </c>
      <c r="B156" s="18" t="s">
        <v>244</v>
      </c>
      <c r="C156" s="19" t="s">
        <v>110</v>
      </c>
      <c r="D156" s="68" t="s">
        <v>1177</v>
      </c>
      <c r="E156" s="19" t="s">
        <v>1177</v>
      </c>
      <c r="F156" s="19" t="s">
        <v>1084</v>
      </c>
      <c r="G156" s="68" t="s">
        <v>1977</v>
      </c>
      <c r="H156" s="68" t="s">
        <v>1131</v>
      </c>
      <c r="I156" s="19"/>
      <c r="J156" s="20" t="s">
        <v>708</v>
      </c>
      <c r="K156" s="107">
        <f>ROUND(Tableau15[[#This Row],[LEN]]*7.27,0)</f>
        <v>102</v>
      </c>
      <c r="L156" s="107">
        <v>15</v>
      </c>
      <c r="M156" s="125" t="str">
        <f t="shared" si="1"/>
        <v>none</v>
      </c>
      <c r="N156" s="107">
        <f>LEN(Tableau15[[#This Row],[LABEL]])</f>
        <v>14</v>
      </c>
      <c r="O156" s="107">
        <v>15</v>
      </c>
      <c r="P156" s="107" t="e">
        <f>ROUND(Tableau15[[#This Row],[LEN]]*#REF!+#REF!,0)</f>
        <v>#REF!</v>
      </c>
    </row>
    <row r="157" spans="1:16" s="273" customFormat="1" x14ac:dyDescent="0.25">
      <c r="A157" s="266" t="s">
        <v>245</v>
      </c>
      <c r="B157" s="267" t="s">
        <v>205</v>
      </c>
      <c r="C157" s="268" t="s">
        <v>13</v>
      </c>
      <c r="D157" s="269" t="s">
        <v>1177</v>
      </c>
      <c r="E157" s="268" t="s">
        <v>677</v>
      </c>
      <c r="F157" s="268" t="s">
        <v>1177</v>
      </c>
      <c r="G157" s="269" t="s">
        <v>167</v>
      </c>
      <c r="H157" s="269" t="str">
        <f>IFERROR(IF(SEARCH(".00.00.00.00.00",Tableau15[[#This Row],[name]],1)=7,"Division",""),"")</f>
        <v>Division</v>
      </c>
      <c r="I157" s="268"/>
      <c r="J157" s="270" t="s">
        <v>708</v>
      </c>
      <c r="K157" s="271">
        <f>ROUND(Tableau15[[#This Row],[LEN]]*7.27,0)</f>
        <v>80</v>
      </c>
      <c r="L157" s="271">
        <v>15</v>
      </c>
      <c r="M157" s="272" t="str">
        <f t="shared" si="1"/>
        <v>none</v>
      </c>
      <c r="N157" s="271">
        <f>LEN(Tableau15[[#This Row],[LABEL]])</f>
        <v>11</v>
      </c>
      <c r="O157" s="271">
        <v>15</v>
      </c>
      <c r="P157" s="271" t="e">
        <f>ROUND(Tableau15[[#This Row],[LEN]]*#REF!+#REF!,0)</f>
        <v>#REF!</v>
      </c>
    </row>
    <row r="158" spans="1:16" s="97" customFormat="1" x14ac:dyDescent="0.25">
      <c r="A158" s="17" t="s">
        <v>1020</v>
      </c>
      <c r="B158" s="18" t="s">
        <v>245</v>
      </c>
      <c r="C158" s="19" t="s">
        <v>81</v>
      </c>
      <c r="D158" s="68" t="s">
        <v>1177</v>
      </c>
      <c r="E158" s="19" t="s">
        <v>667</v>
      </c>
      <c r="F158" s="19" t="s">
        <v>1963</v>
      </c>
      <c r="G158" s="68" t="s">
        <v>167</v>
      </c>
      <c r="H158" s="68" t="s">
        <v>655</v>
      </c>
      <c r="I158" s="19"/>
      <c r="J158" s="20" t="s">
        <v>708</v>
      </c>
      <c r="K158" s="107">
        <f>ROUND(Tableau15[[#This Row],[LEN]]*7.27,0)</f>
        <v>73</v>
      </c>
      <c r="L158" s="107">
        <v>15</v>
      </c>
      <c r="M158" s="125" t="str">
        <f t="shared" si="1"/>
        <v>none</v>
      </c>
      <c r="N158" s="107">
        <f>LEN(Tableau15[[#This Row],[LABEL]])</f>
        <v>10</v>
      </c>
      <c r="O158" s="107">
        <v>15</v>
      </c>
      <c r="P158" s="107" t="e">
        <f>ROUND(Tableau15[[#This Row],[LEN]]*#REF!+#REF!,0)</f>
        <v>#REF!</v>
      </c>
    </row>
    <row r="159" spans="1:16" s="97" customFormat="1" x14ac:dyDescent="0.25">
      <c r="A159" s="21" t="s">
        <v>1024</v>
      </c>
      <c r="B159" s="22" t="s">
        <v>1020</v>
      </c>
      <c r="C159" s="23" t="s">
        <v>1031</v>
      </c>
      <c r="D159" s="69" t="s">
        <v>1177</v>
      </c>
      <c r="E159" s="23" t="s">
        <v>667</v>
      </c>
      <c r="F159" s="23" t="s">
        <v>1963</v>
      </c>
      <c r="G159" s="69" t="s">
        <v>167</v>
      </c>
      <c r="H159" s="69" t="s">
        <v>570</v>
      </c>
      <c r="I159" s="23"/>
      <c r="J159" s="24" t="s">
        <v>708</v>
      </c>
      <c r="K159" s="108">
        <f>ROUND(Tableau15[[#This Row],[LEN]]*7.27,0)</f>
        <v>167</v>
      </c>
      <c r="L159" s="108">
        <v>15</v>
      </c>
      <c r="M159" s="126" t="str">
        <f t="shared" si="1"/>
        <v>none</v>
      </c>
      <c r="N159" s="108">
        <f>LEN(Tableau15[[#This Row],[LABEL]])</f>
        <v>23</v>
      </c>
      <c r="O159" s="108">
        <v>15</v>
      </c>
      <c r="P159" s="108" t="e">
        <f>ROUND(Tableau15[[#This Row],[LEN]]*#REF!+#REF!,0)</f>
        <v>#REF!</v>
      </c>
    </row>
    <row r="160" spans="1:16" s="97" customFormat="1" x14ac:dyDescent="0.25">
      <c r="A160" s="21" t="s">
        <v>1025</v>
      </c>
      <c r="B160" s="22" t="s">
        <v>1020</v>
      </c>
      <c r="C160" s="23" t="s">
        <v>1032</v>
      </c>
      <c r="D160" s="69" t="s">
        <v>1177</v>
      </c>
      <c r="E160" s="23" t="s">
        <v>667</v>
      </c>
      <c r="F160" s="23" t="s">
        <v>1963</v>
      </c>
      <c r="G160" s="69" t="s">
        <v>167</v>
      </c>
      <c r="H160" s="69" t="s">
        <v>570</v>
      </c>
      <c r="I160" s="23"/>
      <c r="J160" s="24" t="s">
        <v>708</v>
      </c>
      <c r="K160" s="108">
        <f>ROUND(Tableau15[[#This Row],[LEN]]*7.27,0)</f>
        <v>153</v>
      </c>
      <c r="L160" s="108">
        <v>15</v>
      </c>
      <c r="M160" s="126" t="str">
        <f t="shared" si="1"/>
        <v>none</v>
      </c>
      <c r="N160" s="108">
        <f>LEN(Tableau15[[#This Row],[LABEL]])</f>
        <v>21</v>
      </c>
      <c r="O160" s="108">
        <v>15</v>
      </c>
      <c r="P160" s="108" t="e">
        <f>ROUND(Tableau15[[#This Row],[LEN]]*#REF!+#REF!,0)</f>
        <v>#REF!</v>
      </c>
    </row>
    <row r="161" spans="1:16" s="97" customFormat="1" x14ac:dyDescent="0.25">
      <c r="A161" s="21" t="s">
        <v>1026</v>
      </c>
      <c r="B161" s="22" t="s">
        <v>1020</v>
      </c>
      <c r="C161" s="23" t="s">
        <v>1033</v>
      </c>
      <c r="D161" s="69" t="s">
        <v>1177</v>
      </c>
      <c r="E161" s="23" t="s">
        <v>667</v>
      </c>
      <c r="F161" s="23" t="s">
        <v>1963</v>
      </c>
      <c r="G161" s="69" t="s">
        <v>167</v>
      </c>
      <c r="H161" s="69" t="s">
        <v>570</v>
      </c>
      <c r="I161" s="23"/>
      <c r="J161" s="24" t="s">
        <v>708</v>
      </c>
      <c r="K161" s="108">
        <f>ROUND(Tableau15[[#This Row],[LEN]]*7.27,0)</f>
        <v>334</v>
      </c>
      <c r="L161" s="108">
        <v>15</v>
      </c>
      <c r="M161" s="126" t="str">
        <f t="shared" si="1"/>
        <v>none</v>
      </c>
      <c r="N161" s="108">
        <f>LEN(Tableau15[[#This Row],[LABEL]])</f>
        <v>46</v>
      </c>
      <c r="O161" s="108">
        <v>15</v>
      </c>
      <c r="P161" s="108" t="e">
        <f>ROUND(Tableau15[[#This Row],[LEN]]*#REF!+#REF!,0)</f>
        <v>#REF!</v>
      </c>
    </row>
    <row r="162" spans="1:16" s="97" customFormat="1" x14ac:dyDescent="0.25">
      <c r="A162" s="21" t="s">
        <v>1027</v>
      </c>
      <c r="B162" s="22" t="s">
        <v>1020</v>
      </c>
      <c r="C162" s="23" t="s">
        <v>1034</v>
      </c>
      <c r="D162" s="69" t="s">
        <v>1177</v>
      </c>
      <c r="E162" s="23" t="s">
        <v>667</v>
      </c>
      <c r="F162" s="23" t="s">
        <v>1963</v>
      </c>
      <c r="G162" s="69" t="s">
        <v>167</v>
      </c>
      <c r="H162" s="69" t="s">
        <v>570</v>
      </c>
      <c r="I162" s="23"/>
      <c r="J162" s="24" t="s">
        <v>708</v>
      </c>
      <c r="K162" s="108">
        <f>ROUND(Tableau15[[#This Row],[LEN]]*7.27,0)</f>
        <v>393</v>
      </c>
      <c r="L162" s="108">
        <v>15</v>
      </c>
      <c r="M162" s="126" t="str">
        <f t="shared" si="1"/>
        <v>none</v>
      </c>
      <c r="N162" s="108">
        <f>LEN(Tableau15[[#This Row],[LABEL]])</f>
        <v>54</v>
      </c>
      <c r="O162" s="108">
        <v>15</v>
      </c>
      <c r="P162" s="108" t="e">
        <f>ROUND(Tableau15[[#This Row],[LEN]]*#REF!+#REF!,0)</f>
        <v>#REF!</v>
      </c>
    </row>
    <row r="163" spans="1:16" s="97" customFormat="1" x14ac:dyDescent="0.25">
      <c r="A163" s="21" t="s">
        <v>1028</v>
      </c>
      <c r="B163" s="22" t="s">
        <v>1020</v>
      </c>
      <c r="C163" s="23" t="s">
        <v>1035</v>
      </c>
      <c r="D163" s="69" t="s">
        <v>1177</v>
      </c>
      <c r="E163" s="23" t="s">
        <v>667</v>
      </c>
      <c r="F163" s="23" t="s">
        <v>1963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ROUND(Tableau15[[#This Row],[LEN]]*7.27,0)</f>
        <v>320</v>
      </c>
      <c r="L163" s="108">
        <v>15</v>
      </c>
      <c r="M163" s="126" t="str">
        <f t="shared" si="1"/>
        <v>none</v>
      </c>
      <c r="N163" s="108">
        <f>LEN(Tableau15[[#This Row],[LABEL]])</f>
        <v>44</v>
      </c>
      <c r="O163" s="108">
        <v>15</v>
      </c>
      <c r="P163" s="108" t="e">
        <f>ROUND(Tableau15[[#This Row],[LEN]]*#REF!+#REF!,0)</f>
        <v>#REF!</v>
      </c>
    </row>
    <row r="164" spans="1:16" s="97" customFormat="1" x14ac:dyDescent="0.25">
      <c r="A164" s="21" t="s">
        <v>1029</v>
      </c>
      <c r="B164" s="22" t="s">
        <v>1020</v>
      </c>
      <c r="C164" s="23" t="s">
        <v>1036</v>
      </c>
      <c r="D164" s="69" t="s">
        <v>1177</v>
      </c>
      <c r="E164" s="23" t="s">
        <v>667</v>
      </c>
      <c r="F164" s="23" t="s">
        <v>1963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ROUND(Tableau15[[#This Row],[LEN]]*7.27,0)</f>
        <v>95</v>
      </c>
      <c r="L164" s="108">
        <v>15</v>
      </c>
      <c r="M164" s="126" t="str">
        <f t="shared" si="1"/>
        <v>none</v>
      </c>
      <c r="N164" s="108">
        <f>LEN(Tableau15[[#This Row],[LABEL]])</f>
        <v>13</v>
      </c>
      <c r="O164" s="108">
        <v>15</v>
      </c>
      <c r="P164" s="108" t="e">
        <f>ROUND(Tableau15[[#This Row],[LEN]]*#REF!+#REF!,0)</f>
        <v>#REF!</v>
      </c>
    </row>
    <row r="165" spans="1:16" s="97" customFormat="1" x14ac:dyDescent="0.25">
      <c r="A165" s="21" t="s">
        <v>1030</v>
      </c>
      <c r="B165" s="22" t="s">
        <v>1020</v>
      </c>
      <c r="C165" s="23" t="s">
        <v>1037</v>
      </c>
      <c r="D165" s="69" t="s">
        <v>1177</v>
      </c>
      <c r="E165" s="23" t="s">
        <v>667</v>
      </c>
      <c r="F165" s="23" t="s">
        <v>1963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ROUND(Tableau15[[#This Row],[LEN]]*7.27,0)</f>
        <v>124</v>
      </c>
      <c r="L165" s="108">
        <v>15</v>
      </c>
      <c r="M165" s="126" t="str">
        <f t="shared" si="1"/>
        <v>none</v>
      </c>
      <c r="N165" s="108">
        <f>LEN(Tableau15[[#This Row],[LABEL]])</f>
        <v>17</v>
      </c>
      <c r="O165" s="108">
        <v>15</v>
      </c>
      <c r="P165" s="108" t="e">
        <f>ROUND(Tableau15[[#This Row],[LEN]]*#REF!+#REF!,0)</f>
        <v>#REF!</v>
      </c>
    </row>
    <row r="166" spans="1:16" s="97" customFormat="1" x14ac:dyDescent="0.25">
      <c r="A166" s="17" t="s">
        <v>1021</v>
      </c>
      <c r="B166" s="18" t="s">
        <v>245</v>
      </c>
      <c r="C166" s="19" t="s">
        <v>1023</v>
      </c>
      <c r="D166" s="68" t="s">
        <v>1177</v>
      </c>
      <c r="E166" s="19" t="s">
        <v>677</v>
      </c>
      <c r="F166" s="19" t="s">
        <v>1177</v>
      </c>
      <c r="G166" s="68" t="s">
        <v>167</v>
      </c>
      <c r="H166" s="68" t="s">
        <v>654</v>
      </c>
      <c r="I166" s="19"/>
      <c r="J166" s="20" t="s">
        <v>708</v>
      </c>
      <c r="K166" s="107">
        <f>ROUND(Tableau15[[#This Row],[LEN]]*7.27,0)</f>
        <v>196</v>
      </c>
      <c r="L166" s="107">
        <v>15</v>
      </c>
      <c r="M166" s="125" t="str">
        <f t="shared" si="1"/>
        <v>none</v>
      </c>
      <c r="N166" s="107">
        <f>LEN(Tableau15[[#This Row],[LABEL]])</f>
        <v>27</v>
      </c>
      <c r="O166" s="107">
        <v>15</v>
      </c>
      <c r="P166" s="107" t="e">
        <f>ROUND(Tableau15[[#This Row],[LEN]]*#REF!+#REF!,0)</f>
        <v>#REF!</v>
      </c>
    </row>
    <row r="167" spans="1:16" s="97" customFormat="1" x14ac:dyDescent="0.25">
      <c r="A167" s="17" t="s">
        <v>1022</v>
      </c>
      <c r="B167" s="18" t="s">
        <v>245</v>
      </c>
      <c r="C167" s="19" t="s">
        <v>110</v>
      </c>
      <c r="D167" s="68" t="s">
        <v>1177</v>
      </c>
      <c r="E167" s="19" t="s">
        <v>1177</v>
      </c>
      <c r="F167" s="19" t="s">
        <v>1084</v>
      </c>
      <c r="G167" s="68" t="s">
        <v>1977</v>
      </c>
      <c r="H167" s="68" t="s">
        <v>1131</v>
      </c>
      <c r="I167" s="19"/>
      <c r="J167" s="20" t="s">
        <v>708</v>
      </c>
      <c r="K167" s="107">
        <f>ROUND(Tableau15[[#This Row],[LEN]]*7.27,0)</f>
        <v>102</v>
      </c>
      <c r="L167" s="107">
        <v>15</v>
      </c>
      <c r="M167" s="125" t="str">
        <f t="shared" si="1"/>
        <v>none</v>
      </c>
      <c r="N167" s="107">
        <f>LEN(Tableau15[[#This Row],[LABEL]])</f>
        <v>14</v>
      </c>
      <c r="O167" s="107">
        <v>15</v>
      </c>
      <c r="P167" s="107" t="e">
        <f>ROUND(Tableau15[[#This Row],[LEN]]*#REF!+#REF!,0)</f>
        <v>#REF!</v>
      </c>
    </row>
    <row r="168" spans="1:16" s="273" customFormat="1" x14ac:dyDescent="0.25">
      <c r="A168" s="266" t="s">
        <v>246</v>
      </c>
      <c r="B168" s="267" t="s">
        <v>205</v>
      </c>
      <c r="C168" s="268" t="s">
        <v>14</v>
      </c>
      <c r="D168" s="269" t="s">
        <v>1177</v>
      </c>
      <c r="E168" s="268" t="s">
        <v>678</v>
      </c>
      <c r="F168" s="268" t="s">
        <v>1177</v>
      </c>
      <c r="G168" s="269" t="s">
        <v>167</v>
      </c>
      <c r="H168" s="269" t="str">
        <f>IFERROR(IF(SEARCH(".00.00.00.00.00",Tableau15[[#This Row],[name]],1)=7,"Division",""),"")</f>
        <v>Division</v>
      </c>
      <c r="I168" s="268"/>
      <c r="J168" s="270" t="s">
        <v>724</v>
      </c>
      <c r="K168" s="271">
        <f>ROUND(Tableau15[[#This Row],[LEN]]*7.27,0)</f>
        <v>240</v>
      </c>
      <c r="L168" s="271">
        <v>15</v>
      </c>
      <c r="M168" s="272" t="str">
        <f t="shared" si="1"/>
        <v>new</v>
      </c>
      <c r="N168" s="271">
        <f>LEN(Tableau15[[#This Row],[LABEL]])</f>
        <v>33</v>
      </c>
      <c r="O168" s="271">
        <v>15</v>
      </c>
      <c r="P168" s="271" t="e">
        <f>ROUND(Tableau15[[#This Row],[LEN]]*#REF!+#REF!,0)</f>
        <v>#REF!</v>
      </c>
    </row>
    <row r="169" spans="1:16" s="97" customFormat="1" x14ac:dyDescent="0.25">
      <c r="A169" s="17" t="s">
        <v>1038</v>
      </c>
      <c r="B169" s="18" t="s">
        <v>246</v>
      </c>
      <c r="C169" s="19" t="s">
        <v>81</v>
      </c>
      <c r="D169" s="68" t="s">
        <v>1177</v>
      </c>
      <c r="E169" s="19" t="s">
        <v>667</v>
      </c>
      <c r="F169" s="19" t="s">
        <v>1963</v>
      </c>
      <c r="G169" s="68" t="s">
        <v>167</v>
      </c>
      <c r="H169" s="68" t="s">
        <v>655</v>
      </c>
      <c r="I169" s="19"/>
      <c r="J169" s="20" t="s">
        <v>708</v>
      </c>
      <c r="K169" s="107">
        <f>ROUND(Tableau15[[#This Row],[LEN]]*7.27,0)</f>
        <v>73</v>
      </c>
      <c r="L169" s="107">
        <v>15</v>
      </c>
      <c r="M169" s="125" t="str">
        <f t="shared" si="1"/>
        <v>none</v>
      </c>
      <c r="N169" s="107">
        <f>LEN(Tableau15[[#This Row],[LABEL]])</f>
        <v>10</v>
      </c>
      <c r="O169" s="107">
        <v>15</v>
      </c>
      <c r="P169" s="107" t="e">
        <f>ROUND(Tableau15[[#This Row],[LEN]]*#REF!+#REF!,0)</f>
        <v>#REF!</v>
      </c>
    </row>
    <row r="170" spans="1:16" s="97" customFormat="1" x14ac:dyDescent="0.25">
      <c r="A170" s="21" t="s">
        <v>1042</v>
      </c>
      <c r="B170" s="22" t="s">
        <v>1038</v>
      </c>
      <c r="C170" s="23" t="s">
        <v>1031</v>
      </c>
      <c r="D170" s="69" t="s">
        <v>1177</v>
      </c>
      <c r="E170" s="23" t="s">
        <v>667</v>
      </c>
      <c r="F170" s="23" t="s">
        <v>1963</v>
      </c>
      <c r="G170" s="69" t="s">
        <v>167</v>
      </c>
      <c r="H170" s="69" t="s">
        <v>570</v>
      </c>
      <c r="I170" s="23"/>
      <c r="J170" s="24" t="s">
        <v>708</v>
      </c>
      <c r="K170" s="108">
        <f>ROUND(Tableau15[[#This Row],[LEN]]*7.27,0)</f>
        <v>167</v>
      </c>
      <c r="L170" s="108">
        <v>15</v>
      </c>
      <c r="M170" s="126" t="str">
        <f t="shared" si="1"/>
        <v>none</v>
      </c>
      <c r="N170" s="108">
        <f>LEN(Tableau15[[#This Row],[LABEL]])</f>
        <v>23</v>
      </c>
      <c r="O170" s="108">
        <v>15</v>
      </c>
      <c r="P170" s="108" t="e">
        <f>ROUND(Tableau15[[#This Row],[LEN]]*#REF!+#REF!,0)</f>
        <v>#REF!</v>
      </c>
    </row>
    <row r="171" spans="1:16" s="97" customFormat="1" x14ac:dyDescent="0.25">
      <c r="A171" s="21" t="s">
        <v>1043</v>
      </c>
      <c r="B171" s="22" t="s">
        <v>1038</v>
      </c>
      <c r="C171" s="23" t="s">
        <v>1032</v>
      </c>
      <c r="D171" s="69" t="s">
        <v>1177</v>
      </c>
      <c r="E171" s="23" t="s">
        <v>667</v>
      </c>
      <c r="F171" s="23" t="s">
        <v>1963</v>
      </c>
      <c r="G171" s="69" t="s">
        <v>167</v>
      </c>
      <c r="H171" s="69" t="s">
        <v>570</v>
      </c>
      <c r="I171" s="23"/>
      <c r="J171" s="24" t="s">
        <v>708</v>
      </c>
      <c r="K171" s="108">
        <f>ROUND(Tableau15[[#This Row],[LEN]]*7.27,0)</f>
        <v>153</v>
      </c>
      <c r="L171" s="108">
        <v>15</v>
      </c>
      <c r="M171" s="126" t="str">
        <f t="shared" si="1"/>
        <v>none</v>
      </c>
      <c r="N171" s="108">
        <f>LEN(Tableau15[[#This Row],[LABEL]])</f>
        <v>21</v>
      </c>
      <c r="O171" s="108">
        <v>15</v>
      </c>
      <c r="P171" s="108" t="e">
        <f>ROUND(Tableau15[[#This Row],[LEN]]*#REF!+#REF!,0)</f>
        <v>#REF!</v>
      </c>
    </row>
    <row r="172" spans="1:16" s="97" customFormat="1" x14ac:dyDescent="0.25">
      <c r="A172" s="21" t="s">
        <v>1044</v>
      </c>
      <c r="B172" s="22" t="s">
        <v>1038</v>
      </c>
      <c r="C172" s="23" t="s">
        <v>1033</v>
      </c>
      <c r="D172" s="69" t="s">
        <v>1177</v>
      </c>
      <c r="E172" s="23" t="s">
        <v>667</v>
      </c>
      <c r="F172" s="23" t="s">
        <v>1963</v>
      </c>
      <c r="G172" s="69" t="s">
        <v>167</v>
      </c>
      <c r="H172" s="69" t="s">
        <v>570</v>
      </c>
      <c r="I172" s="23"/>
      <c r="J172" s="24" t="s">
        <v>708</v>
      </c>
      <c r="K172" s="108">
        <f>ROUND(Tableau15[[#This Row],[LEN]]*7.27,0)</f>
        <v>334</v>
      </c>
      <c r="L172" s="108">
        <v>15</v>
      </c>
      <c r="M172" s="126" t="str">
        <f t="shared" si="1"/>
        <v>none</v>
      </c>
      <c r="N172" s="108">
        <f>LEN(Tableau15[[#This Row],[LABEL]])</f>
        <v>46</v>
      </c>
      <c r="O172" s="108">
        <v>15</v>
      </c>
      <c r="P172" s="108" t="e">
        <f>ROUND(Tableau15[[#This Row],[LEN]]*#REF!+#REF!,0)</f>
        <v>#REF!</v>
      </c>
    </row>
    <row r="173" spans="1:16" s="97" customFormat="1" x14ac:dyDescent="0.25">
      <c r="A173" s="21" t="s">
        <v>1045</v>
      </c>
      <c r="B173" s="22" t="s">
        <v>1038</v>
      </c>
      <c r="C173" s="23" t="s">
        <v>1034</v>
      </c>
      <c r="D173" s="69" t="s">
        <v>1177</v>
      </c>
      <c r="E173" s="23" t="s">
        <v>667</v>
      </c>
      <c r="F173" s="23" t="s">
        <v>1963</v>
      </c>
      <c r="G173" s="69" t="s">
        <v>167</v>
      </c>
      <c r="H173" s="69" t="s">
        <v>570</v>
      </c>
      <c r="I173" s="23"/>
      <c r="J173" s="24" t="s">
        <v>708</v>
      </c>
      <c r="K173" s="108">
        <f>ROUND(Tableau15[[#This Row],[LEN]]*7.27,0)</f>
        <v>393</v>
      </c>
      <c r="L173" s="108">
        <v>15</v>
      </c>
      <c r="M173" s="126" t="str">
        <f t="shared" si="1"/>
        <v>none</v>
      </c>
      <c r="N173" s="108">
        <f>LEN(Tableau15[[#This Row],[LABEL]])</f>
        <v>54</v>
      </c>
      <c r="O173" s="108">
        <v>15</v>
      </c>
      <c r="P173" s="108" t="e">
        <f>ROUND(Tableau15[[#This Row],[LEN]]*#REF!+#REF!,0)</f>
        <v>#REF!</v>
      </c>
    </row>
    <row r="174" spans="1:16" s="97" customFormat="1" x14ac:dyDescent="0.25">
      <c r="A174" s="21" t="s">
        <v>1046</v>
      </c>
      <c r="B174" s="22" t="s">
        <v>1038</v>
      </c>
      <c r="C174" s="23" t="s">
        <v>1035</v>
      </c>
      <c r="D174" s="69" t="s">
        <v>1177</v>
      </c>
      <c r="E174" s="23" t="s">
        <v>667</v>
      </c>
      <c r="F174" s="23" t="s">
        <v>1963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ROUND(Tableau15[[#This Row],[LEN]]*7.27,0)</f>
        <v>320</v>
      </c>
      <c r="L174" s="108">
        <v>15</v>
      </c>
      <c r="M174" s="126" t="str">
        <f t="shared" si="1"/>
        <v>none</v>
      </c>
      <c r="N174" s="108">
        <f>LEN(Tableau15[[#This Row],[LABEL]])</f>
        <v>44</v>
      </c>
      <c r="O174" s="108">
        <v>15</v>
      </c>
      <c r="P174" s="108" t="e">
        <f>ROUND(Tableau15[[#This Row],[LEN]]*#REF!+#REF!,0)</f>
        <v>#REF!</v>
      </c>
    </row>
    <row r="175" spans="1:16" s="97" customFormat="1" x14ac:dyDescent="0.25">
      <c r="A175" s="21" t="s">
        <v>1047</v>
      </c>
      <c r="B175" s="22" t="s">
        <v>1038</v>
      </c>
      <c r="C175" s="23" t="s">
        <v>1036</v>
      </c>
      <c r="D175" s="69" t="s">
        <v>1177</v>
      </c>
      <c r="E175" s="23" t="s">
        <v>667</v>
      </c>
      <c r="F175" s="23" t="s">
        <v>1963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ROUND(Tableau15[[#This Row],[LEN]]*7.27,0)</f>
        <v>95</v>
      </c>
      <c r="L175" s="108">
        <v>15</v>
      </c>
      <c r="M175" s="126" t="str">
        <f t="shared" si="1"/>
        <v>none</v>
      </c>
      <c r="N175" s="108">
        <f>LEN(Tableau15[[#This Row],[LABEL]])</f>
        <v>13</v>
      </c>
      <c r="O175" s="108">
        <v>15</v>
      </c>
      <c r="P175" s="108" t="e">
        <f>ROUND(Tableau15[[#This Row],[LEN]]*#REF!+#REF!,0)</f>
        <v>#REF!</v>
      </c>
    </row>
    <row r="176" spans="1:16" s="97" customFormat="1" x14ac:dyDescent="0.25">
      <c r="A176" s="21" t="s">
        <v>1048</v>
      </c>
      <c r="B176" s="22" t="s">
        <v>1038</v>
      </c>
      <c r="C176" s="23" t="s">
        <v>1037</v>
      </c>
      <c r="D176" s="69" t="s">
        <v>1177</v>
      </c>
      <c r="E176" s="23" t="s">
        <v>667</v>
      </c>
      <c r="F176" s="23" t="s">
        <v>1963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ROUND(Tableau15[[#This Row],[LEN]]*7.27,0)</f>
        <v>124</v>
      </c>
      <c r="L176" s="108">
        <v>15</v>
      </c>
      <c r="M176" s="126" t="str">
        <f t="shared" si="1"/>
        <v>none</v>
      </c>
      <c r="N176" s="108">
        <f>LEN(Tableau15[[#This Row],[LABEL]])</f>
        <v>17</v>
      </c>
      <c r="O176" s="108">
        <v>15</v>
      </c>
      <c r="P176" s="108" t="e">
        <f>ROUND(Tableau15[[#This Row],[LEN]]*#REF!+#REF!,0)</f>
        <v>#REF!</v>
      </c>
    </row>
    <row r="177" spans="1:16" s="97" customFormat="1" x14ac:dyDescent="0.25">
      <c r="A177" s="17" t="s">
        <v>1039</v>
      </c>
      <c r="B177" s="18" t="s">
        <v>246</v>
      </c>
      <c r="C177" s="19" t="s">
        <v>136</v>
      </c>
      <c r="D177" s="68" t="s">
        <v>1177</v>
      </c>
      <c r="E177" s="19" t="s">
        <v>669</v>
      </c>
      <c r="F177" s="19" t="s">
        <v>678</v>
      </c>
      <c r="G177" s="68" t="s">
        <v>167</v>
      </c>
      <c r="H177" s="68" t="s">
        <v>656</v>
      </c>
      <c r="I177" s="19"/>
      <c r="J177" s="20" t="s">
        <v>708</v>
      </c>
      <c r="K177" s="107">
        <f>ROUND(Tableau15[[#This Row],[LEN]]*7.27,0)</f>
        <v>174</v>
      </c>
      <c r="L177" s="107">
        <v>15</v>
      </c>
      <c r="M177" s="125" t="str">
        <f t="shared" si="1"/>
        <v>none</v>
      </c>
      <c r="N177" s="107">
        <f>LEN(Tableau15[[#This Row],[LABEL]])</f>
        <v>24</v>
      </c>
      <c r="O177" s="107">
        <v>15</v>
      </c>
      <c r="P177" s="107" t="e">
        <f>ROUND(Tableau15[[#This Row],[LEN]]*#REF!+#REF!,0)</f>
        <v>#REF!</v>
      </c>
    </row>
    <row r="178" spans="1:16" s="97" customFormat="1" x14ac:dyDescent="0.25">
      <c r="A178" s="17" t="s">
        <v>1040</v>
      </c>
      <c r="B178" s="18" t="s">
        <v>246</v>
      </c>
      <c r="C178" s="19" t="s">
        <v>971</v>
      </c>
      <c r="D178" s="68" t="s">
        <v>1177</v>
      </c>
      <c r="E178" s="19" t="s">
        <v>667</v>
      </c>
      <c r="F178" s="19" t="s">
        <v>678</v>
      </c>
      <c r="G178" s="68" t="s">
        <v>167</v>
      </c>
      <c r="H178" s="68" t="s">
        <v>570</v>
      </c>
      <c r="I178" s="19"/>
      <c r="J178" s="20" t="s">
        <v>708</v>
      </c>
      <c r="K178" s="107">
        <f>ROUND(Tableau15[[#This Row],[LEN]]*7.27,0)</f>
        <v>385</v>
      </c>
      <c r="L178" s="107">
        <v>15</v>
      </c>
      <c r="M178" s="125" t="str">
        <f t="shared" si="1"/>
        <v>none</v>
      </c>
      <c r="N178" s="107">
        <f>LEN(Tableau15[[#This Row],[LABEL]])</f>
        <v>53</v>
      </c>
      <c r="O178" s="107">
        <v>15</v>
      </c>
      <c r="P178" s="107" t="e">
        <f>ROUND(Tableau15[[#This Row],[LEN]]*#REF!+#REF!,0)</f>
        <v>#REF!</v>
      </c>
    </row>
    <row r="179" spans="1:16" s="97" customFormat="1" x14ac:dyDescent="0.25">
      <c r="A179" s="17" t="s">
        <v>1041</v>
      </c>
      <c r="B179" s="18" t="s">
        <v>246</v>
      </c>
      <c r="C179" s="19" t="s">
        <v>110</v>
      </c>
      <c r="D179" s="68" t="s">
        <v>1177</v>
      </c>
      <c r="E179" s="19" t="s">
        <v>1177</v>
      </c>
      <c r="F179" s="19" t="s">
        <v>1084</v>
      </c>
      <c r="G179" s="68" t="s">
        <v>1977</v>
      </c>
      <c r="H179" s="68" t="s">
        <v>1131</v>
      </c>
      <c r="I179" s="19"/>
      <c r="J179" s="20" t="s">
        <v>708</v>
      </c>
      <c r="K179" s="107">
        <f>ROUND(Tableau15[[#This Row],[LEN]]*7.27,0)</f>
        <v>102</v>
      </c>
      <c r="L179" s="107">
        <v>15</v>
      </c>
      <c r="M179" s="125" t="str">
        <f t="shared" si="1"/>
        <v>none</v>
      </c>
      <c r="N179" s="107">
        <f>LEN(Tableau15[[#This Row],[LABEL]])</f>
        <v>14</v>
      </c>
      <c r="O179" s="107">
        <v>15</v>
      </c>
      <c r="P179" s="107" t="e">
        <f>ROUND(Tableau15[[#This Row],[LEN]]*#REF!+#REF!,0)</f>
        <v>#REF!</v>
      </c>
    </row>
    <row r="180" spans="1:16" s="273" customFormat="1" x14ac:dyDescent="0.25">
      <c r="A180" s="274" t="s">
        <v>247</v>
      </c>
      <c r="B180" s="275" t="s">
        <v>205</v>
      </c>
      <c r="C180" s="276" t="s">
        <v>15</v>
      </c>
      <c r="D180" s="277" t="s">
        <v>1177</v>
      </c>
      <c r="E180" s="276" t="s">
        <v>679</v>
      </c>
      <c r="F180" s="276" t="s">
        <v>1177</v>
      </c>
      <c r="G180" s="277" t="s">
        <v>167</v>
      </c>
      <c r="H180" s="277" t="str">
        <f>IFERROR(IF(SEARCH(".00.00.00.00.00",Tableau15[[#This Row],[name]],1)=7,"Division",""),"")</f>
        <v>Division</v>
      </c>
      <c r="I180" s="276"/>
      <c r="J180" s="278" t="s">
        <v>708</v>
      </c>
      <c r="K180" s="279">
        <f>ROUND(Tableau15[[#This Row],[LEN]]*7.27,0)</f>
        <v>174</v>
      </c>
      <c r="L180" s="279">
        <v>15</v>
      </c>
      <c r="M180" s="280" t="str">
        <f t="shared" si="1"/>
        <v>none</v>
      </c>
      <c r="N180" s="279">
        <f>LEN(Tableau15[[#This Row],[LABEL]])</f>
        <v>24</v>
      </c>
      <c r="O180" s="279">
        <v>15</v>
      </c>
      <c r="P180" s="279" t="e">
        <f>ROUND(Tableau15[[#This Row],[LEN]]*#REF!+#REF!,0)</f>
        <v>#REF!</v>
      </c>
    </row>
    <row r="181" spans="1:16" s="97" customFormat="1" x14ac:dyDescent="0.25">
      <c r="A181" s="17" t="s">
        <v>1049</v>
      </c>
      <c r="B181" s="18" t="s">
        <v>247</v>
      </c>
      <c r="C181" s="19" t="s">
        <v>81</v>
      </c>
      <c r="D181" s="68" t="s">
        <v>1177</v>
      </c>
      <c r="E181" s="19" t="s">
        <v>667</v>
      </c>
      <c r="F181" s="19" t="s">
        <v>1963</v>
      </c>
      <c r="G181" s="68" t="s">
        <v>167</v>
      </c>
      <c r="H181" s="68" t="s">
        <v>655</v>
      </c>
      <c r="I181" s="19"/>
      <c r="J181" s="20" t="s">
        <v>708</v>
      </c>
      <c r="K181" s="107">
        <f>ROUND(Tableau15[[#This Row],[LEN]]*7.27,0)</f>
        <v>73</v>
      </c>
      <c r="L181" s="107">
        <v>15</v>
      </c>
      <c r="M181" s="125" t="str">
        <f t="shared" si="1"/>
        <v>none</v>
      </c>
      <c r="N181" s="107">
        <f>LEN(Tableau15[[#This Row],[LABEL]])</f>
        <v>10</v>
      </c>
      <c r="O181" s="107">
        <v>15</v>
      </c>
      <c r="P181" s="107" t="e">
        <f>ROUND(Tableau15[[#This Row],[LEN]]*#REF!+#REF!,0)</f>
        <v>#REF!</v>
      </c>
    </row>
    <row r="182" spans="1:16" s="97" customFormat="1" x14ac:dyDescent="0.25">
      <c r="A182" s="21" t="s">
        <v>1051</v>
      </c>
      <c r="B182" s="22" t="s">
        <v>1049</v>
      </c>
      <c r="C182" s="23" t="s">
        <v>1031</v>
      </c>
      <c r="D182" s="69" t="s">
        <v>1177</v>
      </c>
      <c r="E182" s="23" t="s">
        <v>667</v>
      </c>
      <c r="F182" s="23" t="s">
        <v>1963</v>
      </c>
      <c r="G182" s="69" t="s">
        <v>167</v>
      </c>
      <c r="H182" s="69" t="s">
        <v>570</v>
      </c>
      <c r="I182" s="23"/>
      <c r="J182" s="24" t="s">
        <v>708</v>
      </c>
      <c r="K182" s="108">
        <f>ROUND(Tableau15[[#This Row],[LEN]]*7.27,0)</f>
        <v>167</v>
      </c>
      <c r="L182" s="108">
        <v>15</v>
      </c>
      <c r="M182" s="126" t="str">
        <f t="shared" si="1"/>
        <v>none</v>
      </c>
      <c r="N182" s="108">
        <f>LEN(Tableau15[[#This Row],[LABEL]])</f>
        <v>23</v>
      </c>
      <c r="O182" s="108">
        <v>15</v>
      </c>
      <c r="P182" s="108" t="e">
        <f>ROUND(Tableau15[[#This Row],[LEN]]*#REF!+#REF!,0)</f>
        <v>#REF!</v>
      </c>
    </row>
    <row r="183" spans="1:16" s="97" customFormat="1" x14ac:dyDescent="0.25">
      <c r="A183" s="21" t="s">
        <v>1052</v>
      </c>
      <c r="B183" s="22" t="s">
        <v>1049</v>
      </c>
      <c r="C183" s="23" t="s">
        <v>1032</v>
      </c>
      <c r="D183" s="69" t="s">
        <v>1177</v>
      </c>
      <c r="E183" s="23" t="s">
        <v>667</v>
      </c>
      <c r="F183" s="23" t="s">
        <v>1963</v>
      </c>
      <c r="G183" s="69" t="s">
        <v>167</v>
      </c>
      <c r="H183" s="69" t="s">
        <v>570</v>
      </c>
      <c r="I183" s="23"/>
      <c r="J183" s="24" t="s">
        <v>708</v>
      </c>
      <c r="K183" s="108">
        <f>ROUND(Tableau15[[#This Row],[LEN]]*7.27,0)</f>
        <v>153</v>
      </c>
      <c r="L183" s="108">
        <v>15</v>
      </c>
      <c r="M183" s="126" t="str">
        <f t="shared" si="1"/>
        <v>none</v>
      </c>
      <c r="N183" s="108">
        <f>LEN(Tableau15[[#This Row],[LABEL]])</f>
        <v>21</v>
      </c>
      <c r="O183" s="108">
        <v>15</v>
      </c>
      <c r="P183" s="108" t="e">
        <f>ROUND(Tableau15[[#This Row],[LEN]]*#REF!+#REF!,0)</f>
        <v>#REF!</v>
      </c>
    </row>
    <row r="184" spans="1:16" s="97" customFormat="1" x14ac:dyDescent="0.25">
      <c r="A184" s="21" t="s">
        <v>1053</v>
      </c>
      <c r="B184" s="22" t="s">
        <v>1049</v>
      </c>
      <c r="C184" s="23" t="s">
        <v>1033</v>
      </c>
      <c r="D184" s="69" t="s">
        <v>1177</v>
      </c>
      <c r="E184" s="23" t="s">
        <v>667</v>
      </c>
      <c r="F184" s="23" t="s">
        <v>1963</v>
      </c>
      <c r="G184" s="69" t="s">
        <v>167</v>
      </c>
      <c r="H184" s="69" t="s">
        <v>570</v>
      </c>
      <c r="I184" s="23"/>
      <c r="J184" s="24" t="s">
        <v>708</v>
      </c>
      <c r="K184" s="108">
        <f>ROUND(Tableau15[[#This Row],[LEN]]*7.27,0)</f>
        <v>334</v>
      </c>
      <c r="L184" s="108">
        <v>15</v>
      </c>
      <c r="M184" s="126" t="str">
        <f t="shared" si="1"/>
        <v>none</v>
      </c>
      <c r="N184" s="108">
        <f>LEN(Tableau15[[#This Row],[LABEL]])</f>
        <v>46</v>
      </c>
      <c r="O184" s="108">
        <v>15</v>
      </c>
      <c r="P184" s="108" t="e">
        <f>ROUND(Tableau15[[#This Row],[LEN]]*#REF!+#REF!,0)</f>
        <v>#REF!</v>
      </c>
    </row>
    <row r="185" spans="1:16" s="97" customFormat="1" x14ac:dyDescent="0.25">
      <c r="A185" s="21" t="s">
        <v>1054</v>
      </c>
      <c r="B185" s="22" t="s">
        <v>1049</v>
      </c>
      <c r="C185" s="23" t="s">
        <v>1034</v>
      </c>
      <c r="D185" s="69" t="s">
        <v>1177</v>
      </c>
      <c r="E185" s="23" t="s">
        <v>667</v>
      </c>
      <c r="F185" s="23" t="s">
        <v>1963</v>
      </c>
      <c r="G185" s="69" t="s">
        <v>167</v>
      </c>
      <c r="H185" s="69" t="s">
        <v>570</v>
      </c>
      <c r="I185" s="23"/>
      <c r="J185" s="24" t="s">
        <v>708</v>
      </c>
      <c r="K185" s="108">
        <f>ROUND(Tableau15[[#This Row],[LEN]]*7.27,0)</f>
        <v>393</v>
      </c>
      <c r="L185" s="108">
        <v>15</v>
      </c>
      <c r="M185" s="126" t="str">
        <f t="shared" si="1"/>
        <v>none</v>
      </c>
      <c r="N185" s="108">
        <f>LEN(Tableau15[[#This Row],[LABEL]])</f>
        <v>54</v>
      </c>
      <c r="O185" s="108">
        <v>15</v>
      </c>
      <c r="P185" s="108" t="e">
        <f>ROUND(Tableau15[[#This Row],[LEN]]*#REF!+#REF!,0)</f>
        <v>#REF!</v>
      </c>
    </row>
    <row r="186" spans="1:16" s="97" customFormat="1" x14ac:dyDescent="0.25">
      <c r="A186" s="21" t="s">
        <v>1055</v>
      </c>
      <c r="B186" s="22" t="s">
        <v>1049</v>
      </c>
      <c r="C186" s="23" t="s">
        <v>1035</v>
      </c>
      <c r="D186" s="69" t="s">
        <v>1177</v>
      </c>
      <c r="E186" s="23" t="s">
        <v>667</v>
      </c>
      <c r="F186" s="23" t="s">
        <v>1963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ROUND(Tableau15[[#This Row],[LEN]]*7.27,0)</f>
        <v>320</v>
      </c>
      <c r="L186" s="108">
        <v>15</v>
      </c>
      <c r="M186" s="126" t="str">
        <f t="shared" si="1"/>
        <v>none</v>
      </c>
      <c r="N186" s="108">
        <f>LEN(Tableau15[[#This Row],[LABEL]])</f>
        <v>44</v>
      </c>
      <c r="O186" s="108">
        <v>15</v>
      </c>
      <c r="P186" s="108" t="e">
        <f>ROUND(Tableau15[[#This Row],[LEN]]*#REF!+#REF!,0)</f>
        <v>#REF!</v>
      </c>
    </row>
    <row r="187" spans="1:16" s="97" customFormat="1" x14ac:dyDescent="0.25">
      <c r="A187" s="21" t="s">
        <v>1056</v>
      </c>
      <c r="B187" s="22" t="s">
        <v>1049</v>
      </c>
      <c r="C187" s="23" t="s">
        <v>1036</v>
      </c>
      <c r="D187" s="69" t="s">
        <v>1177</v>
      </c>
      <c r="E187" s="23" t="s">
        <v>667</v>
      </c>
      <c r="F187" s="23" t="s">
        <v>1963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ROUND(Tableau15[[#This Row],[LEN]]*7.27,0)</f>
        <v>95</v>
      </c>
      <c r="L187" s="108">
        <v>15</v>
      </c>
      <c r="M187" s="126" t="str">
        <f t="shared" si="1"/>
        <v>none</v>
      </c>
      <c r="N187" s="108">
        <f>LEN(Tableau15[[#This Row],[LABEL]])</f>
        <v>13</v>
      </c>
      <c r="O187" s="108">
        <v>15</v>
      </c>
      <c r="P187" s="108" t="e">
        <f>ROUND(Tableau15[[#This Row],[LEN]]*#REF!+#REF!,0)</f>
        <v>#REF!</v>
      </c>
    </row>
    <row r="188" spans="1:16" s="97" customFormat="1" x14ac:dyDescent="0.25">
      <c r="A188" s="21" t="s">
        <v>1057</v>
      </c>
      <c r="B188" s="22" t="s">
        <v>1049</v>
      </c>
      <c r="C188" s="23" t="s">
        <v>1037</v>
      </c>
      <c r="D188" s="69" t="s">
        <v>1177</v>
      </c>
      <c r="E188" s="23" t="s">
        <v>667</v>
      </c>
      <c r="F188" s="23" t="s">
        <v>1963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ROUND(Tableau15[[#This Row],[LEN]]*7.27,0)</f>
        <v>124</v>
      </c>
      <c r="L188" s="108">
        <v>15</v>
      </c>
      <c r="M188" s="126" t="str">
        <f t="shared" si="1"/>
        <v>none</v>
      </c>
      <c r="N188" s="108">
        <f>LEN(Tableau15[[#This Row],[LABEL]])</f>
        <v>17</v>
      </c>
      <c r="O188" s="108">
        <v>15</v>
      </c>
      <c r="P188" s="108" t="e">
        <f>ROUND(Tableau15[[#This Row],[LEN]]*#REF!+#REF!,0)</f>
        <v>#REF!</v>
      </c>
    </row>
    <row r="189" spans="1:16" s="97" customFormat="1" x14ac:dyDescent="0.25">
      <c r="A189" s="17" t="s">
        <v>1050</v>
      </c>
      <c r="B189" s="18" t="s">
        <v>247</v>
      </c>
      <c r="C189" s="19" t="s">
        <v>110</v>
      </c>
      <c r="D189" s="68" t="s">
        <v>1177</v>
      </c>
      <c r="E189" s="19" t="s">
        <v>1177</v>
      </c>
      <c r="F189" s="19" t="s">
        <v>1084</v>
      </c>
      <c r="G189" s="68" t="s">
        <v>1977</v>
      </c>
      <c r="H189" s="68" t="s">
        <v>1131</v>
      </c>
      <c r="I189" s="19"/>
      <c r="J189" s="20" t="s">
        <v>708</v>
      </c>
      <c r="K189" s="107">
        <f>ROUND(Tableau15[[#This Row],[LEN]]*7.27,0)</f>
        <v>102</v>
      </c>
      <c r="L189" s="107">
        <v>15</v>
      </c>
      <c r="M189" s="125" t="str">
        <f t="shared" si="1"/>
        <v>none</v>
      </c>
      <c r="N189" s="107">
        <f>LEN(Tableau15[[#This Row],[LABEL]])</f>
        <v>14</v>
      </c>
      <c r="O189" s="107">
        <v>15</v>
      </c>
      <c r="P189" s="107" t="e">
        <f>ROUND(Tableau15[[#This Row],[LEN]]*#REF!+#REF!,0)</f>
        <v>#REF!</v>
      </c>
    </row>
    <row r="190" spans="1:16" s="273" customFormat="1" x14ac:dyDescent="0.25">
      <c r="A190" s="274" t="s">
        <v>1960</v>
      </c>
      <c r="B190" s="275" t="s">
        <v>205</v>
      </c>
      <c r="C190" s="276" t="s">
        <v>1950</v>
      </c>
      <c r="D190" s="277"/>
      <c r="E190" s="276" t="s">
        <v>1951</v>
      </c>
      <c r="F190" s="276" t="s">
        <v>1177</v>
      </c>
      <c r="G190" s="277" t="s">
        <v>167</v>
      </c>
      <c r="H190" s="277" t="s">
        <v>56</v>
      </c>
      <c r="I190" s="276"/>
      <c r="J190" s="278" t="s">
        <v>708</v>
      </c>
      <c r="K190" s="279">
        <f>ROUND(Tableau15[[#This Row],[LEN]]*7.27,0)</f>
        <v>51</v>
      </c>
      <c r="L190" s="279">
        <v>15</v>
      </c>
      <c r="M190" s="280" t="str">
        <f t="shared" si="1"/>
        <v>none</v>
      </c>
      <c r="N190" s="279">
        <f>LEN(Tableau15[[#This Row],[LABEL]])</f>
        <v>7</v>
      </c>
      <c r="O190" s="279">
        <v>15</v>
      </c>
      <c r="P190" s="279" t="e">
        <f>ROUND(Tableau15[[#This Row],[LEN]]*#REF!+#REF!,0)</f>
        <v>#REF!</v>
      </c>
    </row>
    <row r="191" spans="1:16" s="97" customFormat="1" x14ac:dyDescent="0.25">
      <c r="A191" s="17" t="s">
        <v>1961</v>
      </c>
      <c r="B191" s="18" t="s">
        <v>1960</v>
      </c>
      <c r="C191" s="19" t="s">
        <v>81</v>
      </c>
      <c r="D191" s="68" t="s">
        <v>1177</v>
      </c>
      <c r="E191" s="19" t="s">
        <v>667</v>
      </c>
      <c r="F191" s="19" t="s">
        <v>1963</v>
      </c>
      <c r="G191" s="68" t="s">
        <v>167</v>
      </c>
      <c r="H191" s="68" t="s">
        <v>655</v>
      </c>
      <c r="I191" s="19"/>
      <c r="J191" s="20" t="s">
        <v>708</v>
      </c>
      <c r="K191" s="107">
        <f>ROUND(Tableau15[[#This Row],[LEN]]*7.27,0)</f>
        <v>73</v>
      </c>
      <c r="L191" s="107">
        <v>15</v>
      </c>
      <c r="M191" s="125" t="str">
        <f t="shared" si="1"/>
        <v>none</v>
      </c>
      <c r="N191" s="107">
        <f>LEN(Tableau15[[#This Row],[LABEL]])</f>
        <v>10</v>
      </c>
      <c r="O191" s="107">
        <v>15</v>
      </c>
      <c r="P191" s="107" t="e">
        <f>ROUND(Tableau15[[#This Row],[LEN]]*#REF!+#REF!,0)</f>
        <v>#REF!</v>
      </c>
    </row>
    <row r="192" spans="1:16" s="97" customFormat="1" x14ac:dyDescent="0.25">
      <c r="A192" s="21" t="s">
        <v>1970</v>
      </c>
      <c r="B192" s="22" t="s">
        <v>1961</v>
      </c>
      <c r="C192" s="23" t="s">
        <v>1967</v>
      </c>
      <c r="D192" s="69" t="s">
        <v>1177</v>
      </c>
      <c r="E192" s="23" t="s">
        <v>667</v>
      </c>
      <c r="F192" s="23" t="s">
        <v>1963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ROUND(Tableau15[[#This Row],[LEN]]*7.27,0)</f>
        <v>334</v>
      </c>
      <c r="L192" s="108">
        <v>15</v>
      </c>
      <c r="M192" s="126" t="str">
        <f t="shared" si="1"/>
        <v>none</v>
      </c>
      <c r="N192" s="108">
        <f>LEN(Tableau15[[#This Row],[LABEL]])</f>
        <v>46</v>
      </c>
      <c r="O192" s="108">
        <v>15</v>
      </c>
      <c r="P192" s="108" t="e">
        <f>ROUND(Tableau15[[#This Row],[LEN]]*#REF!+#REF!,0)</f>
        <v>#REF!</v>
      </c>
    </row>
    <row r="193" spans="1:16" s="97" customFormat="1" x14ac:dyDescent="0.25">
      <c r="A193" s="21" t="s">
        <v>1971</v>
      </c>
      <c r="B193" s="22" t="s">
        <v>1961</v>
      </c>
      <c r="C193" s="23" t="s">
        <v>1974</v>
      </c>
      <c r="D193" s="69" t="s">
        <v>1969</v>
      </c>
      <c r="E193" s="23" t="s">
        <v>667</v>
      </c>
      <c r="F193" s="23" t="s">
        <v>1963</v>
      </c>
      <c r="G193" s="69" t="s">
        <v>167</v>
      </c>
      <c r="H193" s="69" t="s">
        <v>570</v>
      </c>
      <c r="I193" s="23"/>
      <c r="J193" s="24" t="s">
        <v>708</v>
      </c>
      <c r="K193" s="108">
        <f>ROUND(Tableau15[[#This Row],[LEN]]*7.27,0)</f>
        <v>262</v>
      </c>
      <c r="L193" s="108">
        <v>15</v>
      </c>
      <c r="M193" s="126" t="str">
        <f t="shared" si="1"/>
        <v>none</v>
      </c>
      <c r="N193" s="108">
        <f>LEN(Tableau15[[#This Row],[LABEL]])</f>
        <v>36</v>
      </c>
      <c r="O193" s="108">
        <v>15</v>
      </c>
      <c r="P193" s="108" t="e">
        <f>ROUND(Tableau15[[#This Row],[LEN]]*#REF!+#REF!,0)</f>
        <v>#REF!</v>
      </c>
    </row>
    <row r="194" spans="1:16" s="97" customFormat="1" x14ac:dyDescent="0.25">
      <c r="A194" s="21" t="s">
        <v>1972</v>
      </c>
      <c r="B194" s="22" t="s">
        <v>1961</v>
      </c>
      <c r="C194" s="23" t="s">
        <v>1976</v>
      </c>
      <c r="D194" s="69" t="s">
        <v>1177</v>
      </c>
      <c r="E194" s="23" t="s">
        <v>667</v>
      </c>
      <c r="F194" s="23" t="s">
        <v>1963</v>
      </c>
      <c r="G194" s="69" t="s">
        <v>167</v>
      </c>
      <c r="H194" s="69" t="s">
        <v>570</v>
      </c>
      <c r="I194" s="23"/>
      <c r="J194" s="24" t="s">
        <v>708</v>
      </c>
      <c r="K194" s="108">
        <f>ROUND(Tableau15[[#This Row],[LEN]]*7.27,0)</f>
        <v>443</v>
      </c>
      <c r="L194" s="108">
        <v>15</v>
      </c>
      <c r="M194" s="126" t="str">
        <f t="shared" si="1"/>
        <v>none</v>
      </c>
      <c r="N194" s="108">
        <f>LEN(Tableau15[[#This Row],[LABEL]])</f>
        <v>61</v>
      </c>
      <c r="O194" s="108">
        <v>15</v>
      </c>
      <c r="P194" s="108" t="e">
        <f>ROUND(Tableau15[[#This Row],[LEN]]*#REF!+#REF!,0)</f>
        <v>#REF!</v>
      </c>
    </row>
    <row r="195" spans="1:16" s="97" customFormat="1" x14ac:dyDescent="0.25">
      <c r="A195" s="21" t="s">
        <v>1973</v>
      </c>
      <c r="B195" s="22" t="s">
        <v>1961</v>
      </c>
      <c r="C195" s="23" t="s">
        <v>1975</v>
      </c>
      <c r="D195" s="69" t="s">
        <v>1968</v>
      </c>
      <c r="E195" s="23" t="s">
        <v>667</v>
      </c>
      <c r="F195" s="23" t="s">
        <v>1963</v>
      </c>
      <c r="G195" s="69" t="s">
        <v>167</v>
      </c>
      <c r="H195" s="69" t="s">
        <v>570</v>
      </c>
      <c r="I195" s="23"/>
      <c r="J195" s="24" t="s">
        <v>708</v>
      </c>
      <c r="K195" s="108">
        <f>ROUND(Tableau15[[#This Row],[LEN]]*7.27,0)</f>
        <v>167</v>
      </c>
      <c r="L195" s="108">
        <v>15</v>
      </c>
      <c r="M195" s="126" t="str">
        <f t="shared" si="1"/>
        <v>none</v>
      </c>
      <c r="N195" s="108">
        <f>LEN(Tableau15[[#This Row],[LABEL]])</f>
        <v>23</v>
      </c>
      <c r="O195" s="108">
        <v>15</v>
      </c>
      <c r="P195" s="108" t="e">
        <f>ROUND(Tableau15[[#This Row],[LEN]]*#REF!+#REF!,0)</f>
        <v>#REF!</v>
      </c>
    </row>
    <row r="196" spans="1:16" s="97" customFormat="1" ht="15.75" thickBot="1" x14ac:dyDescent="0.3">
      <c r="A196" s="17" t="s">
        <v>1962</v>
      </c>
      <c r="B196" s="18" t="s">
        <v>1960</v>
      </c>
      <c r="C196" s="19" t="s">
        <v>110</v>
      </c>
      <c r="D196" s="68" t="s">
        <v>1177</v>
      </c>
      <c r="E196" s="19" t="s">
        <v>1177</v>
      </c>
      <c r="F196" s="19" t="s">
        <v>1084</v>
      </c>
      <c r="G196" s="68" t="s">
        <v>1977</v>
      </c>
      <c r="H196" s="68" t="s">
        <v>1131</v>
      </c>
      <c r="I196" s="19"/>
      <c r="J196" s="20" t="s">
        <v>708</v>
      </c>
      <c r="K196" s="107">
        <f>ROUND(Tableau15[[#This Row],[LEN]]*7.27,0)</f>
        <v>102</v>
      </c>
      <c r="L196" s="107">
        <v>15</v>
      </c>
      <c r="M196" s="125" t="str">
        <f t="shared" si="1"/>
        <v>none</v>
      </c>
      <c r="N196" s="107">
        <f>LEN(Tableau15[[#This Row],[LABEL]])</f>
        <v>14</v>
      </c>
      <c r="O196" s="107">
        <v>15</v>
      </c>
      <c r="P196" s="107" t="e">
        <f>ROUND(Tableau15[[#This Row],[LEN]]*#REF!+#REF!,0)</f>
        <v>#REF!</v>
      </c>
    </row>
    <row r="197" spans="1:16" s="97" customFormat="1" ht="15.75" thickTop="1" x14ac:dyDescent="0.25">
      <c r="A197" s="156" t="s">
        <v>201</v>
      </c>
      <c r="B197" s="156" t="s">
        <v>198</v>
      </c>
      <c r="C197" s="157" t="s">
        <v>1160</v>
      </c>
      <c r="D197" s="157" t="s">
        <v>182</v>
      </c>
      <c r="E197" s="158" t="s">
        <v>1177</v>
      </c>
      <c r="F197" s="157" t="s">
        <v>1084</v>
      </c>
      <c r="G197" s="158" t="s">
        <v>171</v>
      </c>
      <c r="H197" s="158" t="s">
        <v>615</v>
      </c>
      <c r="I197" s="157"/>
      <c r="J197" s="159" t="s">
        <v>707</v>
      </c>
      <c r="K197" s="160">
        <f>ROUND(Tableau15[[#This Row],[LEN]]*7.27,0)</f>
        <v>58</v>
      </c>
      <c r="L197" s="160">
        <v>15</v>
      </c>
      <c r="M197" s="161" t="str">
        <f t="shared" si="1"/>
        <v>new</v>
      </c>
      <c r="N197" s="160">
        <f>LEN(Tableau15[[#This Row],[LABEL]])</f>
        <v>8</v>
      </c>
      <c r="O197" s="162">
        <v>15</v>
      </c>
      <c r="P197" s="162" t="e">
        <f>ROUND(Tableau15[[#This Row],[LEN]]*#REF!+#REF!,0)</f>
        <v>#REF!</v>
      </c>
    </row>
    <row r="198" spans="1:16" s="97" customFormat="1" ht="15.75" thickBot="1" x14ac:dyDescent="0.3">
      <c r="A198" s="170" t="s">
        <v>206</v>
      </c>
      <c r="B198" s="170" t="s">
        <v>201</v>
      </c>
      <c r="C198" s="171" t="s">
        <v>174</v>
      </c>
      <c r="D198" s="172" t="s">
        <v>186</v>
      </c>
      <c r="E198" s="171" t="s">
        <v>1177</v>
      </c>
      <c r="F198" s="172" t="s">
        <v>1177</v>
      </c>
      <c r="G198" s="171" t="s">
        <v>166</v>
      </c>
      <c r="H198" s="171" t="s">
        <v>616</v>
      </c>
      <c r="I198" s="172"/>
      <c r="J198" s="173" t="s">
        <v>708</v>
      </c>
      <c r="K198" s="174">
        <f>ROUND(Tableau15[[#This Row],[LEN]]*7.27,0)</f>
        <v>65</v>
      </c>
      <c r="L198" s="174">
        <v>15</v>
      </c>
      <c r="M198" s="175" t="str">
        <f t="shared" si="1"/>
        <v>none</v>
      </c>
      <c r="N198" s="174">
        <f>LEN(Tableau15[[#This Row],[LABEL]])</f>
        <v>9</v>
      </c>
      <c r="O198" s="176">
        <v>15</v>
      </c>
      <c r="P198" s="176" t="e">
        <f>ROUND(Tableau15[[#This Row],[LEN]]*#REF!+#REF!,0)</f>
        <v>#REF!</v>
      </c>
    </row>
    <row r="199" spans="1:16" s="92" customFormat="1" ht="15.75" thickTop="1" x14ac:dyDescent="0.25">
      <c r="A199" s="288" t="s">
        <v>249</v>
      </c>
      <c r="B199" s="289" t="s">
        <v>206</v>
      </c>
      <c r="C199" s="290" t="s">
        <v>57</v>
      </c>
      <c r="D199" s="291" t="s">
        <v>1177</v>
      </c>
      <c r="E199" s="290" t="s">
        <v>663</v>
      </c>
      <c r="F199" s="290" t="s">
        <v>1177</v>
      </c>
      <c r="G199" s="291" t="s">
        <v>166</v>
      </c>
      <c r="H199" s="291" t="str">
        <f>IFERROR(IF(SEARCH(".00.00.00.00.00",Tableau15[[#This Row],[name]],1)=7,"Division",""),"")</f>
        <v>Division</v>
      </c>
      <c r="I199" s="290"/>
      <c r="J199" s="292" t="s">
        <v>708</v>
      </c>
      <c r="K199" s="293">
        <f>ROUND(Tableau15[[#This Row],[LEN]]*7.27,0)</f>
        <v>102</v>
      </c>
      <c r="L199" s="293">
        <v>15</v>
      </c>
      <c r="M199" s="294" t="str">
        <f t="shared" si="1"/>
        <v>none</v>
      </c>
      <c r="N199" s="293">
        <f>LEN(Tableau15[[#This Row],[LABEL]])</f>
        <v>14</v>
      </c>
      <c r="O199" s="293">
        <v>15</v>
      </c>
      <c r="P199" s="293" t="e">
        <f>ROUND(Tableau15[[#This Row],[LEN]]*#REF!+#REF!,0)</f>
        <v>#REF!</v>
      </c>
    </row>
    <row r="200" spans="1:16" s="97" customFormat="1" x14ac:dyDescent="0.25">
      <c r="A200" s="25" t="s">
        <v>760</v>
      </c>
      <c r="B200" s="26" t="s">
        <v>249</v>
      </c>
      <c r="C200" s="27" t="s">
        <v>774</v>
      </c>
      <c r="D200" s="70" t="s">
        <v>1177</v>
      </c>
      <c r="E200" s="27" t="s">
        <v>663</v>
      </c>
      <c r="F200" s="27" t="s">
        <v>1177</v>
      </c>
      <c r="G200" s="70" t="s">
        <v>166</v>
      </c>
      <c r="H200" s="70" t="s">
        <v>656</v>
      </c>
      <c r="I200" s="27"/>
      <c r="J200" s="28" t="s">
        <v>708</v>
      </c>
      <c r="K200" s="109">
        <f>ROUND(Tableau15[[#This Row],[LEN]]*7.27,0)</f>
        <v>393</v>
      </c>
      <c r="L200" s="109">
        <v>15</v>
      </c>
      <c r="M200" s="127" t="str">
        <f t="shared" si="1"/>
        <v>none</v>
      </c>
      <c r="N200" s="109">
        <f>LEN(Tableau15[[#This Row],[LABEL]])</f>
        <v>54</v>
      </c>
      <c r="O200" s="109">
        <v>15</v>
      </c>
      <c r="P200" s="109" t="e">
        <f>ROUND(Tableau15[[#This Row],[LEN]]*#REF!+#REF!,0)</f>
        <v>#REF!</v>
      </c>
    </row>
    <row r="201" spans="1:16" s="97" customFormat="1" x14ac:dyDescent="0.25">
      <c r="A201" s="25" t="s">
        <v>761</v>
      </c>
      <c r="B201" s="26" t="s">
        <v>249</v>
      </c>
      <c r="C201" s="27" t="s">
        <v>781</v>
      </c>
      <c r="D201" s="70" t="s">
        <v>1177</v>
      </c>
      <c r="E201" s="27" t="s">
        <v>663</v>
      </c>
      <c r="F201" s="27" t="s">
        <v>1177</v>
      </c>
      <c r="G201" s="70" t="s">
        <v>166</v>
      </c>
      <c r="H201" s="70" t="s">
        <v>655</v>
      </c>
      <c r="I201" s="27"/>
      <c r="J201" s="28" t="s">
        <v>708</v>
      </c>
      <c r="K201" s="109">
        <f>ROUND(Tableau15[[#This Row],[LEN]]*7.27,0)</f>
        <v>218</v>
      </c>
      <c r="L201" s="109">
        <v>15</v>
      </c>
      <c r="M201" s="127" t="str">
        <f t="shared" si="1"/>
        <v>none</v>
      </c>
      <c r="N201" s="109">
        <f>LEN(Tableau15[[#This Row],[LABEL]])</f>
        <v>30</v>
      </c>
      <c r="O201" s="109">
        <v>15</v>
      </c>
      <c r="P201" s="109" t="e">
        <f>ROUND(Tableau15[[#This Row],[LEN]]*#REF!+#REF!,0)</f>
        <v>#REF!</v>
      </c>
    </row>
    <row r="202" spans="1:16" s="97" customFormat="1" x14ac:dyDescent="0.25">
      <c r="A202" s="29" t="s">
        <v>787</v>
      </c>
      <c r="B202" s="30" t="s">
        <v>761</v>
      </c>
      <c r="C202" s="31" t="s">
        <v>789</v>
      </c>
      <c r="D202" s="71" t="s">
        <v>1177</v>
      </c>
      <c r="E202" s="31" t="s">
        <v>663</v>
      </c>
      <c r="F202" s="31" t="s">
        <v>1177</v>
      </c>
      <c r="G202" s="71" t="s">
        <v>166</v>
      </c>
      <c r="H202" s="85" t="s">
        <v>654</v>
      </c>
      <c r="I202" s="31"/>
      <c r="J202" s="103" t="s">
        <v>708</v>
      </c>
      <c r="K202" s="110">
        <f>ROUND(Tableau15[[#This Row],[LEN]]*7.27,0)</f>
        <v>189</v>
      </c>
      <c r="L202" s="110">
        <v>15</v>
      </c>
      <c r="M202" s="128" t="str">
        <f t="shared" si="1"/>
        <v>none</v>
      </c>
      <c r="N202" s="111">
        <f>LEN(Tableau15[[#This Row],[LABEL]])</f>
        <v>26</v>
      </c>
      <c r="O202" s="111">
        <v>15</v>
      </c>
      <c r="P202" s="111" t="e">
        <f>ROUND(Tableau15[[#This Row],[LEN]]*#REF!+#REF!,0)</f>
        <v>#REF!</v>
      </c>
    </row>
    <row r="203" spans="1:16" s="97" customFormat="1" x14ac:dyDescent="0.25">
      <c r="A203" s="29" t="s">
        <v>788</v>
      </c>
      <c r="B203" s="30" t="s">
        <v>761</v>
      </c>
      <c r="C203" s="31" t="s">
        <v>790</v>
      </c>
      <c r="D203" s="71" t="s">
        <v>1177</v>
      </c>
      <c r="E203" s="31" t="s">
        <v>663</v>
      </c>
      <c r="F203" s="31" t="s">
        <v>1177</v>
      </c>
      <c r="G203" s="71" t="s">
        <v>166</v>
      </c>
      <c r="H203" s="85" t="s">
        <v>654</v>
      </c>
      <c r="I203" s="31"/>
      <c r="J203" s="103" t="s">
        <v>708</v>
      </c>
      <c r="K203" s="110">
        <f>ROUND(Tableau15[[#This Row],[LEN]]*7.27,0)</f>
        <v>349</v>
      </c>
      <c r="L203" s="110">
        <v>15</v>
      </c>
      <c r="M203" s="128" t="str">
        <f t="shared" si="1"/>
        <v>none</v>
      </c>
      <c r="N203" s="111">
        <f>LEN(Tableau15[[#This Row],[LABEL]])</f>
        <v>48</v>
      </c>
      <c r="O203" s="111">
        <v>15</v>
      </c>
      <c r="P203" s="111" t="e">
        <f>ROUND(Tableau15[[#This Row],[LEN]]*#REF!+#REF!,0)</f>
        <v>#REF!</v>
      </c>
    </row>
    <row r="204" spans="1:16" s="97" customFormat="1" x14ac:dyDescent="0.25">
      <c r="A204" s="25" t="s">
        <v>762</v>
      </c>
      <c r="B204" s="26" t="s">
        <v>249</v>
      </c>
      <c r="C204" s="27" t="s">
        <v>775</v>
      </c>
      <c r="D204" s="70" t="s">
        <v>1177</v>
      </c>
      <c r="E204" s="27" t="s">
        <v>663</v>
      </c>
      <c r="F204" s="27" t="s">
        <v>1177</v>
      </c>
      <c r="G204" s="70" t="s">
        <v>166</v>
      </c>
      <c r="H204" s="70" t="s">
        <v>654</v>
      </c>
      <c r="I204" s="27"/>
      <c r="J204" s="28" t="s">
        <v>708</v>
      </c>
      <c r="K204" s="109">
        <f>ROUND(Tableau15[[#This Row],[LEN]]*7.27,0)</f>
        <v>378</v>
      </c>
      <c r="L204" s="109">
        <v>15</v>
      </c>
      <c r="M204" s="127" t="str">
        <f t="shared" si="1"/>
        <v>none</v>
      </c>
      <c r="N204" s="109">
        <f>LEN(Tableau15[[#This Row],[LABEL]])</f>
        <v>52</v>
      </c>
      <c r="O204" s="109">
        <v>15</v>
      </c>
      <c r="P204" s="109" t="e">
        <f>ROUND(Tableau15[[#This Row],[LEN]]*#REF!+#REF!,0)</f>
        <v>#REF!</v>
      </c>
    </row>
    <row r="205" spans="1:16" s="97" customFormat="1" x14ac:dyDescent="0.25">
      <c r="A205" s="25" t="s">
        <v>763</v>
      </c>
      <c r="B205" s="26" t="s">
        <v>249</v>
      </c>
      <c r="C205" s="27" t="s">
        <v>88</v>
      </c>
      <c r="D205" s="70" t="s">
        <v>1177</v>
      </c>
      <c r="E205" s="27" t="s">
        <v>667</v>
      </c>
      <c r="F205" s="27" t="s">
        <v>1218</v>
      </c>
      <c r="G205" s="70" t="s">
        <v>166</v>
      </c>
      <c r="H205" s="70" t="s">
        <v>570</v>
      </c>
      <c r="I205" s="27"/>
      <c r="J205" s="28" t="s">
        <v>708</v>
      </c>
      <c r="K205" s="109">
        <f>ROUND(Tableau15[[#This Row],[LEN]]*7.27,0)</f>
        <v>342</v>
      </c>
      <c r="L205" s="109">
        <v>15</v>
      </c>
      <c r="M205" s="127" t="str">
        <f t="shared" si="1"/>
        <v>none</v>
      </c>
      <c r="N205" s="109">
        <f>LEN(Tableau15[[#This Row],[LABEL]])</f>
        <v>47</v>
      </c>
      <c r="O205" s="109">
        <v>15</v>
      </c>
      <c r="P205" s="109" t="e">
        <f>ROUND(Tableau15[[#This Row],[LEN]]*#REF!+#REF!,0)</f>
        <v>#REF!</v>
      </c>
    </row>
    <row r="206" spans="1:16" s="97" customFormat="1" x14ac:dyDescent="0.25">
      <c r="A206" s="25" t="s">
        <v>764</v>
      </c>
      <c r="B206" s="26" t="s">
        <v>249</v>
      </c>
      <c r="C206" s="27" t="s">
        <v>776</v>
      </c>
      <c r="D206" s="70" t="s">
        <v>1177</v>
      </c>
      <c r="E206" s="27" t="s">
        <v>663</v>
      </c>
      <c r="F206" s="27" t="s">
        <v>970</v>
      </c>
      <c r="G206" s="70" t="s">
        <v>166</v>
      </c>
      <c r="H206" s="70" t="s">
        <v>655</v>
      </c>
      <c r="I206" s="27"/>
      <c r="J206" s="28" t="s">
        <v>708</v>
      </c>
      <c r="K206" s="109">
        <f>ROUND(Tableau15[[#This Row],[LEN]]*7.27,0)</f>
        <v>44</v>
      </c>
      <c r="L206" s="109">
        <v>15</v>
      </c>
      <c r="M206" s="127" t="str">
        <f t="shared" si="1"/>
        <v>none</v>
      </c>
      <c r="N206" s="109">
        <f>LEN(Tableau15[[#This Row],[LABEL]])</f>
        <v>6</v>
      </c>
      <c r="O206" s="109">
        <v>15</v>
      </c>
      <c r="P206" s="109" t="e">
        <f>ROUND(Tableau15[[#This Row],[LEN]]*#REF!+#REF!,0)</f>
        <v>#REF!</v>
      </c>
    </row>
    <row r="207" spans="1:16" s="97" customFormat="1" x14ac:dyDescent="0.25">
      <c r="A207" s="29" t="s">
        <v>791</v>
      </c>
      <c r="B207" s="30" t="s">
        <v>764</v>
      </c>
      <c r="C207" s="31" t="s">
        <v>794</v>
      </c>
      <c r="D207" s="71" t="s">
        <v>1177</v>
      </c>
      <c r="E207" s="31" t="s">
        <v>663</v>
      </c>
      <c r="F207" s="31" t="s">
        <v>970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ROUND(Tableau15[[#This Row],[LEN]]*7.27,0)</f>
        <v>65</v>
      </c>
      <c r="L207" s="110">
        <v>15</v>
      </c>
      <c r="M207" s="128" t="str">
        <f t="shared" si="1"/>
        <v>none</v>
      </c>
      <c r="N207" s="111">
        <f>LEN(Tableau15[[#This Row],[LABEL]])</f>
        <v>9</v>
      </c>
      <c r="O207" s="111">
        <v>15</v>
      </c>
      <c r="P207" s="111" t="e">
        <f>ROUND(Tableau15[[#This Row],[LEN]]*#REF!+#REF!,0)</f>
        <v>#REF!</v>
      </c>
    </row>
    <row r="208" spans="1:16" s="97" customFormat="1" x14ac:dyDescent="0.25">
      <c r="A208" s="29" t="s">
        <v>792</v>
      </c>
      <c r="B208" s="30" t="s">
        <v>764</v>
      </c>
      <c r="C208" s="31" t="s">
        <v>795</v>
      </c>
      <c r="D208" s="71" t="s">
        <v>1177</v>
      </c>
      <c r="E208" s="31" t="s">
        <v>663</v>
      </c>
      <c r="F208" s="31" t="s">
        <v>970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ROUND(Tableau15[[#This Row],[LEN]]*7.27,0)</f>
        <v>65</v>
      </c>
      <c r="L208" s="110">
        <v>15</v>
      </c>
      <c r="M208" s="128" t="str">
        <f t="shared" si="1"/>
        <v>none</v>
      </c>
      <c r="N208" s="111">
        <f>LEN(Tableau15[[#This Row],[LABEL]])</f>
        <v>9</v>
      </c>
      <c r="O208" s="111">
        <v>15</v>
      </c>
      <c r="P208" s="111" t="e">
        <f>ROUND(Tableau15[[#This Row],[LEN]]*#REF!+#REF!,0)</f>
        <v>#REF!</v>
      </c>
    </row>
    <row r="209" spans="1:16" s="97" customFormat="1" x14ac:dyDescent="0.25">
      <c r="A209" s="29" t="s">
        <v>793</v>
      </c>
      <c r="B209" s="30" t="s">
        <v>764</v>
      </c>
      <c r="C209" s="31" t="s">
        <v>796</v>
      </c>
      <c r="D209" s="71" t="s">
        <v>1177</v>
      </c>
      <c r="E209" s="31" t="s">
        <v>663</v>
      </c>
      <c r="F209" s="31" t="s">
        <v>970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ROUND(Tableau15[[#This Row],[LEN]]*7.27,0)</f>
        <v>73</v>
      </c>
      <c r="L209" s="110">
        <v>15</v>
      </c>
      <c r="M209" s="128" t="str">
        <f t="shared" si="1"/>
        <v>none</v>
      </c>
      <c r="N209" s="111">
        <f>LEN(Tableau15[[#This Row],[LABEL]])</f>
        <v>10</v>
      </c>
      <c r="O209" s="111">
        <v>15</v>
      </c>
      <c r="P209" s="111" t="e">
        <f>ROUND(Tableau15[[#This Row],[LEN]]*#REF!+#REF!,0)</f>
        <v>#REF!</v>
      </c>
    </row>
    <row r="210" spans="1:16" s="97" customFormat="1" x14ac:dyDescent="0.25">
      <c r="A210" s="29" t="s">
        <v>797</v>
      </c>
      <c r="B210" s="30" t="s">
        <v>764</v>
      </c>
      <c r="C210" s="31" t="s">
        <v>801</v>
      </c>
      <c r="D210" s="71" t="s">
        <v>1177</v>
      </c>
      <c r="E210" s="31" t="s">
        <v>663</v>
      </c>
      <c r="F210" s="31" t="s">
        <v>970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ROUND(Tableau15[[#This Row],[LEN]]*7.27,0)</f>
        <v>73</v>
      </c>
      <c r="L210" s="110">
        <v>15</v>
      </c>
      <c r="M210" s="128" t="str">
        <f t="shared" si="1"/>
        <v>none</v>
      </c>
      <c r="N210" s="111">
        <f>LEN(Tableau15[[#This Row],[LABEL]])</f>
        <v>10</v>
      </c>
      <c r="O210" s="111">
        <v>15</v>
      </c>
      <c r="P210" s="111" t="e">
        <f>ROUND(Tableau15[[#This Row],[LEN]]*#REF!+#REF!,0)</f>
        <v>#REF!</v>
      </c>
    </row>
    <row r="211" spans="1:16" s="97" customFormat="1" x14ac:dyDescent="0.25">
      <c r="A211" s="29" t="s">
        <v>798</v>
      </c>
      <c r="B211" s="30" t="s">
        <v>764</v>
      </c>
      <c r="C211" s="31" t="s">
        <v>806</v>
      </c>
      <c r="D211" s="71" t="s">
        <v>1177</v>
      </c>
      <c r="E211" s="31" t="s">
        <v>663</v>
      </c>
      <c r="F211" s="31" t="s">
        <v>970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ROUND(Tableau15[[#This Row],[LEN]]*7.27,0)</f>
        <v>174</v>
      </c>
      <c r="L211" s="110">
        <v>15</v>
      </c>
      <c r="M211" s="128" t="str">
        <f t="shared" si="1"/>
        <v>none</v>
      </c>
      <c r="N211" s="111">
        <f>LEN(Tableau15[[#This Row],[LABEL]])</f>
        <v>24</v>
      </c>
      <c r="O211" s="111">
        <v>15</v>
      </c>
      <c r="P211" s="111" t="e">
        <f>ROUND(Tableau15[[#This Row],[LEN]]*#REF!+#REF!,0)</f>
        <v>#REF!</v>
      </c>
    </row>
    <row r="212" spans="1:16" s="97" customFormat="1" x14ac:dyDescent="0.25">
      <c r="A212" s="29" t="s">
        <v>799</v>
      </c>
      <c r="B212" s="30" t="s">
        <v>764</v>
      </c>
      <c r="C212" s="31" t="s">
        <v>807</v>
      </c>
      <c r="D212" s="71" t="s">
        <v>1177</v>
      </c>
      <c r="E212" s="31" t="s">
        <v>663</v>
      </c>
      <c r="F212" s="31" t="s">
        <v>970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ROUND(Tableau15[[#This Row],[LEN]]*7.27,0)</f>
        <v>218</v>
      </c>
      <c r="L212" s="110">
        <v>15</v>
      </c>
      <c r="M212" s="128" t="str">
        <f t="shared" si="1"/>
        <v>none</v>
      </c>
      <c r="N212" s="111">
        <f>LEN(Tableau15[[#This Row],[LABEL]])</f>
        <v>30</v>
      </c>
      <c r="O212" s="111">
        <v>15</v>
      </c>
      <c r="P212" s="111" t="e">
        <f>ROUND(Tableau15[[#This Row],[LEN]]*#REF!+#REF!,0)</f>
        <v>#REF!</v>
      </c>
    </row>
    <row r="213" spans="1:16" s="97" customFormat="1" x14ac:dyDescent="0.25">
      <c r="A213" s="29" t="s">
        <v>800</v>
      </c>
      <c r="B213" s="30" t="s">
        <v>764</v>
      </c>
      <c r="C213" s="31" t="s">
        <v>808</v>
      </c>
      <c r="D213" s="71" t="s">
        <v>1177</v>
      </c>
      <c r="E213" s="31" t="s">
        <v>663</v>
      </c>
      <c r="F213" s="31" t="s">
        <v>970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ROUND(Tableau15[[#This Row],[LEN]]*7.27,0)</f>
        <v>15</v>
      </c>
      <c r="L213" s="110">
        <v>15</v>
      </c>
      <c r="M213" s="128" t="str">
        <f t="shared" si="1"/>
        <v>none</v>
      </c>
      <c r="N213" s="111">
        <f>LEN(Tableau15[[#This Row],[LABEL]])</f>
        <v>2</v>
      </c>
      <c r="O213" s="111">
        <v>15</v>
      </c>
      <c r="P213" s="111" t="e">
        <f>ROUND(Tableau15[[#This Row],[LEN]]*#REF!+#REF!,0)</f>
        <v>#REF!</v>
      </c>
    </row>
    <row r="214" spans="1:16" s="97" customFormat="1" x14ac:dyDescent="0.25">
      <c r="A214" s="29" t="s">
        <v>802</v>
      </c>
      <c r="B214" s="30" t="s">
        <v>764</v>
      </c>
      <c r="C214" s="31" t="s">
        <v>809</v>
      </c>
      <c r="D214" s="71" t="s">
        <v>1177</v>
      </c>
      <c r="E214" s="31" t="s">
        <v>663</v>
      </c>
      <c r="F214" s="31" t="s">
        <v>970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ROUND(Tableau15[[#This Row],[LEN]]*7.27,0)</f>
        <v>65</v>
      </c>
      <c r="L214" s="110">
        <v>15</v>
      </c>
      <c r="M214" s="128" t="str">
        <f t="shared" si="1"/>
        <v>none</v>
      </c>
      <c r="N214" s="111">
        <f>LEN(Tableau15[[#This Row],[LABEL]])</f>
        <v>9</v>
      </c>
      <c r="O214" s="111">
        <v>15</v>
      </c>
      <c r="P214" s="111" t="e">
        <f>ROUND(Tableau15[[#This Row],[LEN]]*#REF!+#REF!,0)</f>
        <v>#REF!</v>
      </c>
    </row>
    <row r="215" spans="1:16" s="97" customFormat="1" x14ac:dyDescent="0.25">
      <c r="A215" s="29" t="s">
        <v>803</v>
      </c>
      <c r="B215" s="30" t="s">
        <v>764</v>
      </c>
      <c r="C215" s="31" t="s">
        <v>810</v>
      </c>
      <c r="D215" s="71" t="s">
        <v>1177</v>
      </c>
      <c r="E215" s="31" t="s">
        <v>663</v>
      </c>
      <c r="F215" s="31" t="s">
        <v>970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ROUND(Tableau15[[#This Row],[LEN]]*7.27,0)</f>
        <v>225</v>
      </c>
      <c r="L215" s="110">
        <v>15</v>
      </c>
      <c r="M215" s="128" t="str">
        <f t="shared" si="1"/>
        <v>none</v>
      </c>
      <c r="N215" s="111">
        <f>LEN(Tableau15[[#This Row],[LABEL]])</f>
        <v>31</v>
      </c>
      <c r="O215" s="111">
        <v>15</v>
      </c>
      <c r="P215" s="111" t="e">
        <f>ROUND(Tableau15[[#This Row],[LEN]]*#REF!+#REF!,0)</f>
        <v>#REF!</v>
      </c>
    </row>
    <row r="216" spans="1:16" s="97" customFormat="1" x14ac:dyDescent="0.25">
      <c r="A216" s="29" t="s">
        <v>804</v>
      </c>
      <c r="B216" s="30" t="s">
        <v>764</v>
      </c>
      <c r="C216" s="31" t="s">
        <v>811</v>
      </c>
      <c r="D216" s="71" t="s">
        <v>1177</v>
      </c>
      <c r="E216" s="31" t="s">
        <v>663</v>
      </c>
      <c r="F216" s="31" t="s">
        <v>970</v>
      </c>
      <c r="G216" s="71" t="s">
        <v>166</v>
      </c>
      <c r="H216" s="85" t="s">
        <v>18</v>
      </c>
      <c r="I216" s="31"/>
      <c r="J216" s="103" t="s">
        <v>708</v>
      </c>
      <c r="K216" s="110">
        <f>ROUND(Tableau15[[#This Row],[LEN]]*7.27,0)</f>
        <v>160</v>
      </c>
      <c r="L216" s="110">
        <v>15</v>
      </c>
      <c r="M216" s="128" t="str">
        <f t="shared" si="1"/>
        <v>none</v>
      </c>
      <c r="N216" s="111">
        <f>LEN(Tableau15[[#This Row],[LABEL]])</f>
        <v>22</v>
      </c>
      <c r="O216" s="111">
        <v>15</v>
      </c>
      <c r="P216" s="111" t="e">
        <f>ROUND(Tableau15[[#This Row],[LEN]]*#REF!+#REF!,0)</f>
        <v>#REF!</v>
      </c>
    </row>
    <row r="217" spans="1:16" s="97" customFormat="1" x14ac:dyDescent="0.25">
      <c r="A217" s="29" t="s">
        <v>805</v>
      </c>
      <c r="B217" s="30" t="s">
        <v>764</v>
      </c>
      <c r="C217" s="31" t="s">
        <v>812</v>
      </c>
      <c r="D217" s="71" t="s">
        <v>1177</v>
      </c>
      <c r="E217" s="31" t="s">
        <v>663</v>
      </c>
      <c r="F217" s="31" t="s">
        <v>970</v>
      </c>
      <c r="G217" s="71" t="s">
        <v>166</v>
      </c>
      <c r="H217" s="85" t="s">
        <v>18</v>
      </c>
      <c r="I217" s="31"/>
      <c r="J217" s="103" t="s">
        <v>708</v>
      </c>
      <c r="K217" s="110">
        <f>ROUND(Tableau15[[#This Row],[LEN]]*7.27,0)</f>
        <v>131</v>
      </c>
      <c r="L217" s="110">
        <v>15</v>
      </c>
      <c r="M217" s="128" t="str">
        <f t="shared" si="1"/>
        <v>none</v>
      </c>
      <c r="N217" s="111">
        <f>LEN(Tableau15[[#This Row],[LABEL]])</f>
        <v>18</v>
      </c>
      <c r="O217" s="111">
        <v>15</v>
      </c>
      <c r="P217" s="111" t="e">
        <f>ROUND(Tableau15[[#This Row],[LEN]]*#REF!+#REF!,0)</f>
        <v>#REF!</v>
      </c>
    </row>
    <row r="218" spans="1:16" s="97" customFormat="1" x14ac:dyDescent="0.25">
      <c r="A218" s="25" t="s">
        <v>765</v>
      </c>
      <c r="B218" s="26" t="s">
        <v>249</v>
      </c>
      <c r="C218" s="27" t="s">
        <v>783</v>
      </c>
      <c r="D218" s="70" t="s">
        <v>1177</v>
      </c>
      <c r="E218" s="27" t="s">
        <v>663</v>
      </c>
      <c r="F218" s="27" t="s">
        <v>1177</v>
      </c>
      <c r="G218" s="70" t="s">
        <v>166</v>
      </c>
      <c r="H218" s="70" t="s">
        <v>655</v>
      </c>
      <c r="I218" s="27"/>
      <c r="J218" s="28" t="s">
        <v>708</v>
      </c>
      <c r="K218" s="109">
        <f>ROUND(Tableau15[[#This Row],[LEN]]*7.27,0)</f>
        <v>138</v>
      </c>
      <c r="L218" s="109">
        <v>15</v>
      </c>
      <c r="M218" s="127" t="str">
        <f t="shared" si="1"/>
        <v>none</v>
      </c>
      <c r="N218" s="109">
        <f>LEN(Tableau15[[#This Row],[LABEL]])</f>
        <v>19</v>
      </c>
      <c r="O218" s="109">
        <v>15</v>
      </c>
      <c r="P218" s="109" t="e">
        <f>ROUND(Tableau15[[#This Row],[LEN]]*#REF!+#REF!,0)</f>
        <v>#REF!</v>
      </c>
    </row>
    <row r="219" spans="1:16" s="97" customFormat="1" x14ac:dyDescent="0.25">
      <c r="A219" s="29" t="s">
        <v>813</v>
      </c>
      <c r="B219" s="30" t="s">
        <v>765</v>
      </c>
      <c r="C219" s="31" t="s">
        <v>817</v>
      </c>
      <c r="D219" s="71" t="s">
        <v>1177</v>
      </c>
      <c r="E219" s="31" t="s">
        <v>663</v>
      </c>
      <c r="F219" s="31" t="s">
        <v>1177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ROUND(Tableau15[[#This Row],[LEN]]*7.27,0)</f>
        <v>313</v>
      </c>
      <c r="L219" s="110">
        <v>15</v>
      </c>
      <c r="M219" s="128" t="str">
        <f t="shared" si="1"/>
        <v>none</v>
      </c>
      <c r="N219" s="111">
        <f>LEN(Tableau15[[#This Row],[LABEL]])</f>
        <v>43</v>
      </c>
      <c r="O219" s="111">
        <v>15</v>
      </c>
      <c r="P219" s="111" t="e">
        <f>ROUND(Tableau15[[#This Row],[LEN]]*#REF!+#REF!,0)</f>
        <v>#REF!</v>
      </c>
    </row>
    <row r="220" spans="1:16" s="97" customFormat="1" x14ac:dyDescent="0.25">
      <c r="A220" s="29" t="s">
        <v>814</v>
      </c>
      <c r="B220" s="30" t="s">
        <v>765</v>
      </c>
      <c r="C220" s="31" t="s">
        <v>818</v>
      </c>
      <c r="D220" s="71" t="s">
        <v>1177</v>
      </c>
      <c r="E220" s="31" t="s">
        <v>663</v>
      </c>
      <c r="F220" s="31" t="s">
        <v>1177</v>
      </c>
      <c r="G220" s="71" t="s">
        <v>166</v>
      </c>
      <c r="H220" s="85" t="s">
        <v>656</v>
      </c>
      <c r="I220" s="31"/>
      <c r="J220" s="103" t="s">
        <v>708</v>
      </c>
      <c r="K220" s="110">
        <f>ROUND(Tableau15[[#This Row],[LEN]]*7.27,0)</f>
        <v>349</v>
      </c>
      <c r="L220" s="110">
        <v>15</v>
      </c>
      <c r="M220" s="128" t="str">
        <f t="shared" si="1"/>
        <v>none</v>
      </c>
      <c r="N220" s="111">
        <f>LEN(Tableau15[[#This Row],[LABEL]])</f>
        <v>48</v>
      </c>
      <c r="O220" s="111">
        <v>15</v>
      </c>
      <c r="P220" s="111" t="e">
        <f>ROUND(Tableau15[[#This Row],[LEN]]*#REF!+#REF!,0)</f>
        <v>#REF!</v>
      </c>
    </row>
    <row r="221" spans="1:16" s="97" customFormat="1" x14ac:dyDescent="0.25">
      <c r="A221" s="29" t="s">
        <v>815</v>
      </c>
      <c r="B221" s="30" t="s">
        <v>765</v>
      </c>
      <c r="C221" s="31" t="s">
        <v>819</v>
      </c>
      <c r="D221" s="71" t="s">
        <v>1177</v>
      </c>
      <c r="E221" s="31" t="s">
        <v>663</v>
      </c>
      <c r="F221" s="31" t="s">
        <v>1177</v>
      </c>
      <c r="G221" s="71" t="s">
        <v>166</v>
      </c>
      <c r="H221" s="85" t="s">
        <v>656</v>
      </c>
      <c r="I221" s="31"/>
      <c r="J221" s="103" t="s">
        <v>708</v>
      </c>
      <c r="K221" s="110">
        <f>ROUND(Tableau15[[#This Row],[LEN]]*7.27,0)</f>
        <v>189</v>
      </c>
      <c r="L221" s="110">
        <v>15</v>
      </c>
      <c r="M221" s="128" t="str">
        <f t="shared" si="1"/>
        <v>none</v>
      </c>
      <c r="N221" s="111">
        <f>LEN(Tableau15[[#This Row],[LABEL]])</f>
        <v>26</v>
      </c>
      <c r="O221" s="111">
        <v>15</v>
      </c>
      <c r="P221" s="111" t="e">
        <f>ROUND(Tableau15[[#This Row],[LEN]]*#REF!+#REF!,0)</f>
        <v>#REF!</v>
      </c>
    </row>
    <row r="222" spans="1:16" s="97" customFormat="1" x14ac:dyDescent="0.25">
      <c r="A222" s="29" t="s">
        <v>816</v>
      </c>
      <c r="B222" s="30" t="s">
        <v>765</v>
      </c>
      <c r="C222" s="31" t="s">
        <v>820</v>
      </c>
      <c r="D222" s="71" t="s">
        <v>1177</v>
      </c>
      <c r="E222" s="31" t="s">
        <v>663</v>
      </c>
      <c r="F222" s="31" t="s">
        <v>1177</v>
      </c>
      <c r="G222" s="71" t="s">
        <v>166</v>
      </c>
      <c r="H222" s="85" t="s">
        <v>18</v>
      </c>
      <c r="I222" s="31"/>
      <c r="J222" s="103" t="s">
        <v>708</v>
      </c>
      <c r="K222" s="110">
        <f>ROUND(Tableau15[[#This Row],[LEN]]*7.27,0)</f>
        <v>124</v>
      </c>
      <c r="L222" s="110">
        <v>15</v>
      </c>
      <c r="M222" s="128" t="str">
        <f t="shared" si="1"/>
        <v>none</v>
      </c>
      <c r="N222" s="111">
        <f>LEN(Tableau15[[#This Row],[LABEL]])</f>
        <v>17</v>
      </c>
      <c r="O222" s="111">
        <v>15</v>
      </c>
      <c r="P222" s="111" t="e">
        <f>ROUND(Tableau15[[#This Row],[LEN]]*#REF!+#REF!,0)</f>
        <v>#REF!</v>
      </c>
    </row>
    <row r="223" spans="1:16" s="97" customFormat="1" x14ac:dyDescent="0.25">
      <c r="A223" s="25" t="s">
        <v>766</v>
      </c>
      <c r="B223" s="26" t="s">
        <v>249</v>
      </c>
      <c r="C223" s="27" t="s">
        <v>1165</v>
      </c>
      <c r="D223" s="70" t="s">
        <v>1177</v>
      </c>
      <c r="E223" s="27" t="s">
        <v>663</v>
      </c>
      <c r="F223" s="27" t="s">
        <v>1177</v>
      </c>
      <c r="G223" s="70" t="s">
        <v>166</v>
      </c>
      <c r="H223" s="70" t="s">
        <v>654</v>
      </c>
      <c r="I223" s="27"/>
      <c r="J223" s="28" t="s">
        <v>708</v>
      </c>
      <c r="K223" s="109">
        <f>ROUND(Tableau15[[#This Row],[LEN]]*7.27,0)</f>
        <v>211</v>
      </c>
      <c r="L223" s="109">
        <v>15</v>
      </c>
      <c r="M223" s="127" t="str">
        <f t="shared" si="1"/>
        <v>none</v>
      </c>
      <c r="N223" s="109">
        <f>LEN(Tableau15[[#This Row],[LABEL]])</f>
        <v>29</v>
      </c>
      <c r="O223" s="109">
        <v>15</v>
      </c>
      <c r="P223" s="109" t="e">
        <f>ROUND(Tableau15[[#This Row],[LEN]]*#REF!+#REF!,0)</f>
        <v>#REF!</v>
      </c>
    </row>
    <row r="224" spans="1:16" s="97" customFormat="1" x14ac:dyDescent="0.25">
      <c r="A224" s="25" t="s">
        <v>767</v>
      </c>
      <c r="B224" s="26" t="s">
        <v>249</v>
      </c>
      <c r="C224" s="27" t="s">
        <v>777</v>
      </c>
      <c r="D224" s="70" t="s">
        <v>1177</v>
      </c>
      <c r="E224" s="27" t="s">
        <v>663</v>
      </c>
      <c r="F224" s="27" t="s">
        <v>1177</v>
      </c>
      <c r="G224" s="70" t="s">
        <v>166</v>
      </c>
      <c r="H224" s="70" t="s">
        <v>656</v>
      </c>
      <c r="I224" s="27"/>
      <c r="J224" s="28" t="s">
        <v>708</v>
      </c>
      <c r="K224" s="109">
        <f>ROUND(Tableau15[[#This Row],[LEN]]*7.27,0)</f>
        <v>378</v>
      </c>
      <c r="L224" s="109">
        <v>15</v>
      </c>
      <c r="M224" s="127" t="str">
        <f t="shared" si="1"/>
        <v>none</v>
      </c>
      <c r="N224" s="109">
        <f>LEN(Tableau15[[#This Row],[LABEL]])</f>
        <v>52</v>
      </c>
      <c r="O224" s="109">
        <v>15</v>
      </c>
      <c r="P224" s="109" t="e">
        <f>ROUND(Tableau15[[#This Row],[LEN]]*#REF!+#REF!,0)</f>
        <v>#REF!</v>
      </c>
    </row>
    <row r="225" spans="1:16" s="97" customFormat="1" x14ac:dyDescent="0.25">
      <c r="A225" s="25" t="s">
        <v>768</v>
      </c>
      <c r="B225" s="26" t="s">
        <v>249</v>
      </c>
      <c r="C225" s="27" t="s">
        <v>778</v>
      </c>
      <c r="D225" s="70" t="s">
        <v>1177</v>
      </c>
      <c r="E225" s="27" t="s">
        <v>673</v>
      </c>
      <c r="F225" s="27" t="s">
        <v>2000</v>
      </c>
      <c r="G225" s="70" t="s">
        <v>166</v>
      </c>
      <c r="H225" s="70" t="s">
        <v>17</v>
      </c>
      <c r="I225" s="27"/>
      <c r="J225" s="28" t="s">
        <v>708</v>
      </c>
      <c r="K225" s="109">
        <f>ROUND(Tableau15[[#This Row],[LEN]]*7.27,0)</f>
        <v>211</v>
      </c>
      <c r="L225" s="109">
        <v>15</v>
      </c>
      <c r="M225" s="127" t="str">
        <f t="shared" si="1"/>
        <v>none</v>
      </c>
      <c r="N225" s="109">
        <f>LEN(Tableau15[[#This Row],[LABEL]])</f>
        <v>29</v>
      </c>
      <c r="O225" s="109">
        <v>15</v>
      </c>
      <c r="P225" s="109" t="e">
        <f>ROUND(Tableau15[[#This Row],[LEN]]*#REF!+#REF!,0)</f>
        <v>#REF!</v>
      </c>
    </row>
    <row r="226" spans="1:16" s="97" customFormat="1" x14ac:dyDescent="0.25">
      <c r="A226" s="25" t="s">
        <v>769</v>
      </c>
      <c r="B226" s="26" t="s">
        <v>249</v>
      </c>
      <c r="C226" s="27" t="s">
        <v>92</v>
      </c>
      <c r="D226" s="70" t="s">
        <v>1177</v>
      </c>
      <c r="E226" s="27" t="s">
        <v>663</v>
      </c>
      <c r="F226" s="27" t="s">
        <v>2080</v>
      </c>
      <c r="G226" s="70" t="s">
        <v>166</v>
      </c>
      <c r="H226" s="70" t="s">
        <v>655</v>
      </c>
      <c r="I226" s="27"/>
      <c r="J226" s="28" t="s">
        <v>708</v>
      </c>
      <c r="K226" s="109">
        <f>ROUND(Tableau15[[#This Row],[LEN]]*7.27,0)</f>
        <v>262</v>
      </c>
      <c r="L226" s="109">
        <v>15</v>
      </c>
      <c r="M226" s="127" t="str">
        <f t="shared" si="1"/>
        <v>none</v>
      </c>
      <c r="N226" s="109">
        <f>LEN(Tableau15[[#This Row],[LABEL]])</f>
        <v>36</v>
      </c>
      <c r="O226" s="109">
        <v>15</v>
      </c>
      <c r="P226" s="109" t="e">
        <f>ROUND(Tableau15[[#This Row],[LEN]]*#REF!+#REF!,0)</f>
        <v>#REF!</v>
      </c>
    </row>
    <row r="227" spans="1:16" s="97" customFormat="1" x14ac:dyDescent="0.25">
      <c r="A227" s="29" t="s">
        <v>821</v>
      </c>
      <c r="B227" s="30" t="s">
        <v>769</v>
      </c>
      <c r="C227" s="31" t="s">
        <v>95</v>
      </c>
      <c r="D227" s="71" t="s">
        <v>1177</v>
      </c>
      <c r="E227" s="31" t="s">
        <v>663</v>
      </c>
      <c r="F227" s="31" t="s">
        <v>2080</v>
      </c>
      <c r="G227" s="71" t="s">
        <v>166</v>
      </c>
      <c r="H227" s="85" t="s">
        <v>17</v>
      </c>
      <c r="I227" s="31"/>
      <c r="J227" s="103" t="s">
        <v>708</v>
      </c>
      <c r="K227" s="110">
        <f>ROUND(Tableau15[[#This Row],[LEN]]*7.27,0)</f>
        <v>254</v>
      </c>
      <c r="L227" s="110">
        <v>15</v>
      </c>
      <c r="M227" s="128" t="str">
        <f t="shared" ref="M227:M381" si="2">IF(J227="javascript:void(0)","none","new")</f>
        <v>none</v>
      </c>
      <c r="N227" s="111">
        <f>LEN(Tableau15[[#This Row],[LABEL]])</f>
        <v>35</v>
      </c>
      <c r="O227" s="111">
        <v>15</v>
      </c>
      <c r="P227" s="111" t="e">
        <f>ROUND(Tableau15[[#This Row],[LEN]]*#REF!+#REF!,0)</f>
        <v>#REF!</v>
      </c>
    </row>
    <row r="228" spans="1:16" s="97" customFormat="1" x14ac:dyDescent="0.25">
      <c r="A228" s="29" t="s">
        <v>822</v>
      </c>
      <c r="B228" s="30" t="s">
        <v>769</v>
      </c>
      <c r="C228" s="31" t="s">
        <v>96</v>
      </c>
      <c r="D228" s="71" t="s">
        <v>1177</v>
      </c>
      <c r="E228" s="31" t="s">
        <v>663</v>
      </c>
      <c r="F228" s="31" t="s">
        <v>2080</v>
      </c>
      <c r="G228" s="71" t="s">
        <v>166</v>
      </c>
      <c r="H228" s="85" t="s">
        <v>570</v>
      </c>
      <c r="I228" s="31"/>
      <c r="J228" s="103" t="s">
        <v>708</v>
      </c>
      <c r="K228" s="110">
        <f>ROUND(Tableau15[[#This Row],[LEN]]*7.27,0)</f>
        <v>233</v>
      </c>
      <c r="L228" s="110">
        <v>15</v>
      </c>
      <c r="M228" s="128" t="str">
        <f t="shared" si="2"/>
        <v>none</v>
      </c>
      <c r="N228" s="111">
        <f>LEN(Tableau15[[#This Row],[LABEL]])</f>
        <v>32</v>
      </c>
      <c r="O228" s="111">
        <v>15</v>
      </c>
      <c r="P228" s="111" t="e">
        <f>ROUND(Tableau15[[#This Row],[LEN]]*#REF!+#REF!,0)</f>
        <v>#REF!</v>
      </c>
    </row>
    <row r="229" spans="1:16" s="97" customFormat="1" x14ac:dyDescent="0.25">
      <c r="A229" s="29" t="s">
        <v>823</v>
      </c>
      <c r="B229" s="30" t="s">
        <v>769</v>
      </c>
      <c r="C229" s="31" t="s">
        <v>97</v>
      </c>
      <c r="D229" s="71" t="s">
        <v>1177</v>
      </c>
      <c r="E229" s="31" t="s">
        <v>663</v>
      </c>
      <c r="F229" s="31" t="s">
        <v>2080</v>
      </c>
      <c r="G229" s="71" t="s">
        <v>166</v>
      </c>
      <c r="H229" s="85" t="s">
        <v>656</v>
      </c>
      <c r="I229" s="31"/>
      <c r="J229" s="103" t="s">
        <v>708</v>
      </c>
      <c r="K229" s="110">
        <f>ROUND(Tableau15[[#This Row],[LEN]]*7.27,0)</f>
        <v>145</v>
      </c>
      <c r="L229" s="110">
        <v>15</v>
      </c>
      <c r="M229" s="128" t="str">
        <f t="shared" si="2"/>
        <v>none</v>
      </c>
      <c r="N229" s="111">
        <f>LEN(Tableau15[[#This Row],[LABEL]])</f>
        <v>20</v>
      </c>
      <c r="O229" s="111">
        <v>15</v>
      </c>
      <c r="P229" s="111" t="e">
        <f>ROUND(Tableau15[[#This Row],[LEN]]*#REF!+#REF!,0)</f>
        <v>#REF!</v>
      </c>
    </row>
    <row r="230" spans="1:16" s="97" customFormat="1" x14ac:dyDescent="0.25">
      <c r="A230" s="25" t="s">
        <v>770</v>
      </c>
      <c r="B230" s="26" t="s">
        <v>249</v>
      </c>
      <c r="C230" s="27" t="s">
        <v>782</v>
      </c>
      <c r="D230" s="70" t="s">
        <v>1177</v>
      </c>
      <c r="E230" s="27" t="s">
        <v>667</v>
      </c>
      <c r="F230" s="27" t="s">
        <v>663</v>
      </c>
      <c r="G230" s="70" t="s">
        <v>166</v>
      </c>
      <c r="H230" s="70" t="s">
        <v>655</v>
      </c>
      <c r="I230" s="27"/>
      <c r="J230" s="28" t="s">
        <v>708</v>
      </c>
      <c r="K230" s="109">
        <f>ROUND(Tableau15[[#This Row],[LEN]]*7.27,0)</f>
        <v>182</v>
      </c>
      <c r="L230" s="109">
        <v>15</v>
      </c>
      <c r="M230" s="127" t="str">
        <f t="shared" si="2"/>
        <v>none</v>
      </c>
      <c r="N230" s="109">
        <f>LEN(Tableau15[[#This Row],[LABEL]])</f>
        <v>25</v>
      </c>
      <c r="O230" s="109">
        <v>15</v>
      </c>
      <c r="P230" s="109" t="e">
        <f>ROUND(Tableau15[[#This Row],[LEN]]*#REF!+#REF!,0)</f>
        <v>#REF!</v>
      </c>
    </row>
    <row r="231" spans="1:16" s="97" customFormat="1" x14ac:dyDescent="0.25">
      <c r="A231" s="29" t="s">
        <v>824</v>
      </c>
      <c r="B231" s="30" t="s">
        <v>770</v>
      </c>
      <c r="C231" s="31" t="s">
        <v>826</v>
      </c>
      <c r="D231" s="71" t="s">
        <v>1177</v>
      </c>
      <c r="E231" s="31" t="s">
        <v>667</v>
      </c>
      <c r="F231" s="31" t="s">
        <v>663</v>
      </c>
      <c r="G231" s="71" t="s">
        <v>166</v>
      </c>
      <c r="H231" s="85" t="s">
        <v>18</v>
      </c>
      <c r="I231" s="31"/>
      <c r="J231" s="103" t="s">
        <v>101</v>
      </c>
      <c r="K231" s="110">
        <f>ROUND(Tableau15[[#This Row],[LEN]]*7.27,0)</f>
        <v>174</v>
      </c>
      <c r="L231" s="110">
        <v>15</v>
      </c>
      <c r="M231" s="128" t="str">
        <f t="shared" si="2"/>
        <v>new</v>
      </c>
      <c r="N231" s="111">
        <f>LEN(Tableau15[[#This Row],[LABEL]])</f>
        <v>24</v>
      </c>
      <c r="O231" s="111">
        <v>15</v>
      </c>
      <c r="P231" s="111" t="e">
        <f>ROUND(Tableau15[[#This Row],[LEN]]*#REF!+#REF!,0)</f>
        <v>#REF!</v>
      </c>
    </row>
    <row r="232" spans="1:16" s="97" customFormat="1" x14ac:dyDescent="0.25">
      <c r="A232" s="29" t="s">
        <v>825</v>
      </c>
      <c r="B232" s="30" t="s">
        <v>770</v>
      </c>
      <c r="C232" s="31" t="s">
        <v>827</v>
      </c>
      <c r="D232" s="71" t="s">
        <v>1177</v>
      </c>
      <c r="E232" s="31" t="s">
        <v>667</v>
      </c>
      <c r="F232" s="31" t="s">
        <v>663</v>
      </c>
      <c r="G232" s="71" t="s">
        <v>166</v>
      </c>
      <c r="H232" s="85" t="s">
        <v>654</v>
      </c>
      <c r="I232" s="31"/>
      <c r="J232" s="103" t="s">
        <v>101</v>
      </c>
      <c r="K232" s="110">
        <f>ROUND(Tableau15[[#This Row],[LEN]]*7.27,0)</f>
        <v>262</v>
      </c>
      <c r="L232" s="110">
        <v>15</v>
      </c>
      <c r="M232" s="128" t="str">
        <f t="shared" si="2"/>
        <v>new</v>
      </c>
      <c r="N232" s="111">
        <f>LEN(Tableau15[[#This Row],[LABEL]])</f>
        <v>36</v>
      </c>
      <c r="O232" s="111">
        <v>15</v>
      </c>
      <c r="P232" s="111" t="e">
        <f>ROUND(Tableau15[[#This Row],[LEN]]*#REF!+#REF!,0)</f>
        <v>#REF!</v>
      </c>
    </row>
    <row r="233" spans="1:16" s="97" customFormat="1" x14ac:dyDescent="0.25">
      <c r="A233" s="25" t="s">
        <v>771</v>
      </c>
      <c r="B233" s="26" t="s">
        <v>249</v>
      </c>
      <c r="C233" s="27" t="s">
        <v>779</v>
      </c>
      <c r="D233" s="70" t="s">
        <v>1177</v>
      </c>
      <c r="E233" s="27" t="s">
        <v>663</v>
      </c>
      <c r="F233" s="27" t="s">
        <v>1177</v>
      </c>
      <c r="G233" s="70" t="s">
        <v>166</v>
      </c>
      <c r="H233" s="70" t="s">
        <v>655</v>
      </c>
      <c r="I233" s="27"/>
      <c r="J233" s="28" t="s">
        <v>708</v>
      </c>
      <c r="K233" s="109">
        <f>ROUND(Tableau15[[#This Row],[LEN]]*7.27,0)</f>
        <v>22</v>
      </c>
      <c r="L233" s="109">
        <v>15</v>
      </c>
      <c r="M233" s="127" t="str">
        <f t="shared" si="2"/>
        <v>none</v>
      </c>
      <c r="N233" s="109">
        <f>LEN(Tableau15[[#This Row],[LABEL]])</f>
        <v>3</v>
      </c>
      <c r="O233" s="109">
        <v>15</v>
      </c>
      <c r="P233" s="109" t="e">
        <f>ROUND(Tableau15[[#This Row],[LEN]]*#REF!+#REF!,0)</f>
        <v>#REF!</v>
      </c>
    </row>
    <row r="234" spans="1:16" s="97" customFormat="1" x14ac:dyDescent="0.25">
      <c r="A234" s="29" t="s">
        <v>832</v>
      </c>
      <c r="B234" s="30" t="s">
        <v>771</v>
      </c>
      <c r="C234" s="31" t="s">
        <v>836</v>
      </c>
      <c r="D234" s="71" t="s">
        <v>1177</v>
      </c>
      <c r="E234" s="31" t="s">
        <v>663</v>
      </c>
      <c r="F234" s="31" t="s">
        <v>1177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ROUND(Tableau15[[#This Row],[LEN]]*7.27,0)</f>
        <v>131</v>
      </c>
      <c r="L234" s="110">
        <v>15</v>
      </c>
      <c r="M234" s="128" t="str">
        <f t="shared" si="2"/>
        <v>none</v>
      </c>
      <c r="N234" s="111">
        <f>LEN(Tableau15[[#This Row],[LABEL]])</f>
        <v>18</v>
      </c>
      <c r="O234" s="111">
        <v>15</v>
      </c>
      <c r="P234" s="111" t="e">
        <f>ROUND(Tableau15[[#This Row],[LEN]]*#REF!+#REF!,0)</f>
        <v>#REF!</v>
      </c>
    </row>
    <row r="235" spans="1:16" s="97" customFormat="1" x14ac:dyDescent="0.25">
      <c r="A235" s="29" t="s">
        <v>833</v>
      </c>
      <c r="B235" s="30" t="s">
        <v>771</v>
      </c>
      <c r="C235" s="31" t="s">
        <v>837</v>
      </c>
      <c r="D235" s="71" t="s">
        <v>1177</v>
      </c>
      <c r="E235" s="31" t="s">
        <v>663</v>
      </c>
      <c r="F235" s="31" t="s">
        <v>1177</v>
      </c>
      <c r="G235" s="71" t="s">
        <v>166</v>
      </c>
      <c r="H235" s="85" t="s">
        <v>654</v>
      </c>
      <c r="I235" s="31"/>
      <c r="J235" s="103" t="s">
        <v>708</v>
      </c>
      <c r="K235" s="110">
        <f>ROUND(Tableau15[[#This Row],[LEN]]*7.27,0)</f>
        <v>174</v>
      </c>
      <c r="L235" s="110">
        <v>15</v>
      </c>
      <c r="M235" s="128" t="str">
        <f t="shared" si="2"/>
        <v>none</v>
      </c>
      <c r="N235" s="111">
        <f>LEN(Tableau15[[#This Row],[LABEL]])</f>
        <v>24</v>
      </c>
      <c r="O235" s="111">
        <v>15</v>
      </c>
      <c r="P235" s="111" t="e">
        <f>ROUND(Tableau15[[#This Row],[LEN]]*#REF!+#REF!,0)</f>
        <v>#REF!</v>
      </c>
    </row>
    <row r="236" spans="1:16" s="97" customFormat="1" x14ac:dyDescent="0.25">
      <c r="A236" s="29" t="s">
        <v>834</v>
      </c>
      <c r="B236" s="30" t="s">
        <v>771</v>
      </c>
      <c r="C236" s="31" t="s">
        <v>838</v>
      </c>
      <c r="D236" s="71" t="s">
        <v>1177</v>
      </c>
      <c r="E236" s="31" t="s">
        <v>663</v>
      </c>
      <c r="F236" s="31" t="s">
        <v>1177</v>
      </c>
      <c r="G236" s="71" t="s">
        <v>166</v>
      </c>
      <c r="H236" s="85" t="s">
        <v>654</v>
      </c>
      <c r="I236" s="31"/>
      <c r="J236" s="103" t="s">
        <v>708</v>
      </c>
      <c r="K236" s="110">
        <f>ROUND(Tableau15[[#This Row],[LEN]]*7.27,0)</f>
        <v>167</v>
      </c>
      <c r="L236" s="110">
        <v>15</v>
      </c>
      <c r="M236" s="128" t="str">
        <f>IF(J236="javascript:void(0)","none","new")</f>
        <v>none</v>
      </c>
      <c r="N236" s="111">
        <f>LEN(Tableau15[[#This Row],[LABEL]])</f>
        <v>23</v>
      </c>
      <c r="O236" s="111">
        <v>15</v>
      </c>
      <c r="P236" s="111" t="e">
        <f>ROUND(Tableau15[[#This Row],[LEN]]*#REF!+#REF!,0)</f>
        <v>#REF!</v>
      </c>
    </row>
    <row r="237" spans="1:16" s="97" customFormat="1" x14ac:dyDescent="0.25">
      <c r="A237" s="29" t="s">
        <v>835</v>
      </c>
      <c r="B237" s="30" t="s">
        <v>771</v>
      </c>
      <c r="C237" s="31" t="s">
        <v>839</v>
      </c>
      <c r="D237" s="71" t="s">
        <v>1177</v>
      </c>
      <c r="E237" s="31" t="s">
        <v>663</v>
      </c>
      <c r="F237" s="31" t="s">
        <v>1177</v>
      </c>
      <c r="G237" s="71" t="s">
        <v>166</v>
      </c>
      <c r="H237" s="85" t="s">
        <v>656</v>
      </c>
      <c r="I237" s="31"/>
      <c r="J237" s="103" t="s">
        <v>708</v>
      </c>
      <c r="K237" s="110">
        <f>ROUND(Tableau15[[#This Row],[LEN]]*7.27,0)</f>
        <v>138</v>
      </c>
      <c r="L237" s="110">
        <v>15</v>
      </c>
      <c r="M237" s="128" t="str">
        <f>IF(J237="javascript:void(0)","none","new")</f>
        <v>none</v>
      </c>
      <c r="N237" s="111">
        <f>LEN(Tableau15[[#This Row],[LABEL]])</f>
        <v>19</v>
      </c>
      <c r="O237" s="111">
        <v>15</v>
      </c>
      <c r="P237" s="111" t="e">
        <f>ROUND(Tableau15[[#This Row],[LEN]]*#REF!+#REF!,0)</f>
        <v>#REF!</v>
      </c>
    </row>
    <row r="238" spans="1:16" s="97" customFormat="1" x14ac:dyDescent="0.25">
      <c r="A238" s="25" t="s">
        <v>772</v>
      </c>
      <c r="B238" s="26" t="s">
        <v>249</v>
      </c>
      <c r="C238" s="27" t="s">
        <v>780</v>
      </c>
      <c r="D238" s="70" t="s">
        <v>1177</v>
      </c>
      <c r="E238" s="27" t="s">
        <v>663</v>
      </c>
      <c r="F238" s="27" t="s">
        <v>1177</v>
      </c>
      <c r="G238" s="70" t="s">
        <v>166</v>
      </c>
      <c r="H238" s="70" t="s">
        <v>656</v>
      </c>
      <c r="I238" s="27"/>
      <c r="J238" s="28" t="s">
        <v>708</v>
      </c>
      <c r="K238" s="109">
        <f>ROUND(Tableau15[[#This Row],[LEN]]*7.27,0)</f>
        <v>385</v>
      </c>
      <c r="L238" s="109">
        <v>15</v>
      </c>
      <c r="M238" s="127" t="str">
        <f t="shared" si="2"/>
        <v>none</v>
      </c>
      <c r="N238" s="109">
        <f>LEN(Tableau15[[#This Row],[LABEL]])</f>
        <v>53</v>
      </c>
      <c r="O238" s="109">
        <v>15</v>
      </c>
      <c r="P238" s="109" t="e">
        <f>ROUND(Tableau15[[#This Row],[LEN]]*#REF!+#REF!,0)</f>
        <v>#REF!</v>
      </c>
    </row>
    <row r="239" spans="1:16" s="97" customFormat="1" x14ac:dyDescent="0.25">
      <c r="A239" s="25" t="s">
        <v>773</v>
      </c>
      <c r="B239" s="26" t="s">
        <v>249</v>
      </c>
      <c r="C239" s="27" t="s">
        <v>1167</v>
      </c>
      <c r="D239" s="70" t="s">
        <v>486</v>
      </c>
      <c r="E239" s="27" t="s">
        <v>1085</v>
      </c>
      <c r="F239" s="27" t="s">
        <v>1084</v>
      </c>
      <c r="G239" s="70" t="s">
        <v>1977</v>
      </c>
      <c r="H239" s="70" t="s">
        <v>1131</v>
      </c>
      <c r="I239" s="27"/>
      <c r="J239" s="28" t="s">
        <v>708</v>
      </c>
      <c r="K239" s="109">
        <f>ROUND(Tableau15[[#This Row],[LEN]]*7.27,0)</f>
        <v>196</v>
      </c>
      <c r="L239" s="109">
        <v>15</v>
      </c>
      <c r="M239" s="127" t="str">
        <f t="shared" si="2"/>
        <v>none</v>
      </c>
      <c r="N239" s="109">
        <f>LEN(Tableau15[[#This Row],[LABEL]])</f>
        <v>27</v>
      </c>
      <c r="O239" s="109">
        <v>15</v>
      </c>
      <c r="P239" s="109" t="e">
        <f>ROUND(Tableau15[[#This Row],[LEN]]*#REF!+#REF!,0)</f>
        <v>#REF!</v>
      </c>
    </row>
    <row r="240" spans="1:16" s="97" customFormat="1" x14ac:dyDescent="0.25">
      <c r="A240" s="29" t="s">
        <v>1201</v>
      </c>
      <c r="B240" s="30" t="s">
        <v>773</v>
      </c>
      <c r="C240" s="31" t="s">
        <v>93</v>
      </c>
      <c r="D240" s="71" t="s">
        <v>1177</v>
      </c>
      <c r="E240" s="31" t="s">
        <v>1085</v>
      </c>
      <c r="F240" s="31" t="s">
        <v>1084</v>
      </c>
      <c r="G240" s="71" t="s">
        <v>166</v>
      </c>
      <c r="H240" s="85" t="s">
        <v>18</v>
      </c>
      <c r="I240" s="31"/>
      <c r="J240" s="103" t="s">
        <v>101</v>
      </c>
      <c r="K240" s="110">
        <f>ROUND(Tableau15[[#This Row],[LEN]]*7.27,0)</f>
        <v>109</v>
      </c>
      <c r="L240" s="110">
        <v>15</v>
      </c>
      <c r="M240" s="128" t="str">
        <f t="shared" si="2"/>
        <v>new</v>
      </c>
      <c r="N240" s="111">
        <f>LEN(Tableau15[[#This Row],[LABEL]])</f>
        <v>15</v>
      </c>
      <c r="O240" s="111">
        <v>15</v>
      </c>
      <c r="P240" s="111" t="e">
        <f>ROUND(Tableau15[[#This Row],[LEN]]*#REF!+#REF!,0)</f>
        <v>#REF!</v>
      </c>
    </row>
    <row r="241" spans="1:16" s="97" customFormat="1" x14ac:dyDescent="0.25">
      <c r="A241" s="29" t="s">
        <v>1202</v>
      </c>
      <c r="B241" s="30" t="s">
        <v>773</v>
      </c>
      <c r="C241" s="31" t="s">
        <v>94</v>
      </c>
      <c r="D241" s="71" t="s">
        <v>1177</v>
      </c>
      <c r="E241" s="31" t="s">
        <v>1085</v>
      </c>
      <c r="F241" s="31" t="s">
        <v>1084</v>
      </c>
      <c r="G241" s="71" t="s">
        <v>166</v>
      </c>
      <c r="H241" s="85" t="s">
        <v>18</v>
      </c>
      <c r="I241" s="31"/>
      <c r="J241" s="103" t="s">
        <v>102</v>
      </c>
      <c r="K241" s="110">
        <f>ROUND(Tableau15[[#This Row],[LEN]]*7.27,0)</f>
        <v>58</v>
      </c>
      <c r="L241" s="110">
        <v>15</v>
      </c>
      <c r="M241" s="128" t="str">
        <f t="shared" si="2"/>
        <v>new</v>
      </c>
      <c r="N241" s="111">
        <f>LEN(Tableau15[[#This Row],[LABEL]])</f>
        <v>8</v>
      </c>
      <c r="O241" s="111">
        <v>15</v>
      </c>
      <c r="P241" s="111" t="e">
        <f>ROUND(Tableau15[[#This Row],[LEN]]*#REF!+#REF!,0)</f>
        <v>#REF!</v>
      </c>
    </row>
    <row r="242" spans="1:16" s="273" customFormat="1" x14ac:dyDescent="0.25">
      <c r="A242" s="288" t="s">
        <v>251</v>
      </c>
      <c r="B242" s="289" t="s">
        <v>206</v>
      </c>
      <c r="C242" s="290" t="s">
        <v>3</v>
      </c>
      <c r="D242" s="291" t="s">
        <v>1177</v>
      </c>
      <c r="E242" s="290" t="s">
        <v>661</v>
      </c>
      <c r="F242" s="290" t="s">
        <v>1177</v>
      </c>
      <c r="G242" s="291" t="s">
        <v>166</v>
      </c>
      <c r="H242" s="291" t="str">
        <f>IFERROR(IF(SEARCH(".00.00.00.00.00",Tableau15[[#This Row],[name]],1)=7,"Division",""),"")</f>
        <v>Division</v>
      </c>
      <c r="I242" s="290"/>
      <c r="J242" s="292" t="s">
        <v>708</v>
      </c>
      <c r="K242" s="293">
        <f>ROUND(Tableau15[[#This Row],[LEN]]*7.27,0)</f>
        <v>73</v>
      </c>
      <c r="L242" s="293">
        <v>15</v>
      </c>
      <c r="M242" s="294" t="str">
        <f t="shared" si="2"/>
        <v>none</v>
      </c>
      <c r="N242" s="293">
        <f>LEN(Tableau15[[#This Row],[LABEL]])</f>
        <v>10</v>
      </c>
      <c r="O242" s="293">
        <v>15</v>
      </c>
      <c r="P242" s="293" t="e">
        <f>ROUND(Tableau15[[#This Row],[LEN]]*#REF!+#REF!,0)</f>
        <v>#REF!</v>
      </c>
    </row>
    <row r="243" spans="1:16" s="97" customFormat="1" x14ac:dyDescent="0.25">
      <c r="A243" s="25" t="s">
        <v>396</v>
      </c>
      <c r="B243" s="26" t="s">
        <v>251</v>
      </c>
      <c r="C243" s="27" t="s">
        <v>86</v>
      </c>
      <c r="D243" s="70" t="s">
        <v>1177</v>
      </c>
      <c r="E243" s="27" t="s">
        <v>661</v>
      </c>
      <c r="F243" s="27" t="s">
        <v>1068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ROUND(Tableau15[[#This Row],[LEN]]*7.27,0)</f>
        <v>269</v>
      </c>
      <c r="L243" s="109">
        <v>15</v>
      </c>
      <c r="M243" s="127" t="str">
        <f t="shared" si="2"/>
        <v>none</v>
      </c>
      <c r="N243" s="109">
        <f>LEN(Tableau15[[#This Row],[LABEL]])</f>
        <v>37</v>
      </c>
      <c r="O243" s="109">
        <v>15</v>
      </c>
      <c r="P243" s="109" t="e">
        <f>ROUND(Tableau15[[#This Row],[LEN]]*#REF!+#REF!,0)</f>
        <v>#REF!</v>
      </c>
    </row>
    <row r="244" spans="1:16" s="97" customFormat="1" x14ac:dyDescent="0.25">
      <c r="A244" s="25" t="s">
        <v>397</v>
      </c>
      <c r="B244" s="26" t="s">
        <v>251</v>
      </c>
      <c r="C244" s="27" t="s">
        <v>87</v>
      </c>
      <c r="D244" s="70" t="s">
        <v>1177</v>
      </c>
      <c r="E244" s="27" t="s">
        <v>661</v>
      </c>
      <c r="F244" s="27" t="s">
        <v>1177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ROUND(Tableau15[[#This Row],[LEN]]*7.27,0)</f>
        <v>182</v>
      </c>
      <c r="L244" s="109">
        <v>15</v>
      </c>
      <c r="M244" s="127" t="str">
        <f t="shared" si="2"/>
        <v>none</v>
      </c>
      <c r="N244" s="109">
        <f>LEN(Tableau15[[#This Row],[LABEL]])</f>
        <v>25</v>
      </c>
      <c r="O244" s="109">
        <v>15</v>
      </c>
      <c r="P244" s="109" t="e">
        <f>ROUND(Tableau15[[#This Row],[LEN]]*#REF!+#REF!,0)</f>
        <v>#REF!</v>
      </c>
    </row>
    <row r="245" spans="1:16" s="97" customFormat="1" x14ac:dyDescent="0.25">
      <c r="A245" s="25" t="s">
        <v>398</v>
      </c>
      <c r="B245" s="26" t="s">
        <v>251</v>
      </c>
      <c r="C245" s="27" t="s">
        <v>88</v>
      </c>
      <c r="D245" s="70" t="s">
        <v>1177</v>
      </c>
      <c r="E245" s="27" t="s">
        <v>667</v>
      </c>
      <c r="F245" s="27" t="s">
        <v>1218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ROUND(Tableau15[[#This Row],[LEN]]*7.27,0)</f>
        <v>342</v>
      </c>
      <c r="L245" s="109">
        <v>15</v>
      </c>
      <c r="M245" s="127" t="str">
        <f t="shared" si="2"/>
        <v>none</v>
      </c>
      <c r="N245" s="109">
        <f>LEN(Tableau15[[#This Row],[LABEL]])</f>
        <v>47</v>
      </c>
      <c r="O245" s="109">
        <v>15</v>
      </c>
      <c r="P245" s="109" t="e">
        <f>ROUND(Tableau15[[#This Row],[LEN]]*#REF!+#REF!,0)</f>
        <v>#REF!</v>
      </c>
    </row>
    <row r="246" spans="1:16" s="97" customFormat="1" x14ac:dyDescent="0.25">
      <c r="A246" s="25" t="s">
        <v>399</v>
      </c>
      <c r="B246" s="26" t="s">
        <v>251</v>
      </c>
      <c r="C246" s="27" t="s">
        <v>89</v>
      </c>
      <c r="D246" s="70" t="s">
        <v>1177</v>
      </c>
      <c r="E246" s="27" t="s">
        <v>661</v>
      </c>
      <c r="F246" s="27" t="s">
        <v>1177</v>
      </c>
      <c r="G246" s="70" t="s">
        <v>166</v>
      </c>
      <c r="H246" s="70" t="s">
        <v>570</v>
      </c>
      <c r="I246" s="27"/>
      <c r="J246" s="28" t="s">
        <v>708</v>
      </c>
      <c r="K246" s="109">
        <f>ROUND(Tableau15[[#This Row],[LEN]]*7.27,0)</f>
        <v>262</v>
      </c>
      <c r="L246" s="109">
        <v>15</v>
      </c>
      <c r="M246" s="127" t="str">
        <f t="shared" si="2"/>
        <v>none</v>
      </c>
      <c r="N246" s="109">
        <f>LEN(Tableau15[[#This Row],[LABEL]])</f>
        <v>36</v>
      </c>
      <c r="O246" s="109">
        <v>15</v>
      </c>
      <c r="P246" s="109" t="e">
        <f>ROUND(Tableau15[[#This Row],[LEN]]*#REF!+#REF!,0)</f>
        <v>#REF!</v>
      </c>
    </row>
    <row r="247" spans="1:16" s="97" customFormat="1" x14ac:dyDescent="0.25">
      <c r="A247" s="25" t="s">
        <v>400</v>
      </c>
      <c r="B247" s="26" t="s">
        <v>251</v>
      </c>
      <c r="C247" s="27" t="s">
        <v>1167</v>
      </c>
      <c r="D247" s="70" t="s">
        <v>486</v>
      </c>
      <c r="E247" s="27" t="s">
        <v>1085</v>
      </c>
      <c r="F247" s="27" t="s">
        <v>1084</v>
      </c>
      <c r="G247" s="70" t="s">
        <v>1977</v>
      </c>
      <c r="H247" s="70" t="s">
        <v>1131</v>
      </c>
      <c r="I247" s="27"/>
      <c r="J247" s="28" t="s">
        <v>708</v>
      </c>
      <c r="K247" s="109">
        <f>ROUND(Tableau15[[#This Row],[LEN]]*7.27,0)</f>
        <v>196</v>
      </c>
      <c r="L247" s="109">
        <v>15</v>
      </c>
      <c r="M247" s="127" t="str">
        <f t="shared" si="2"/>
        <v>none</v>
      </c>
      <c r="N247" s="109">
        <f>LEN(Tableau15[[#This Row],[LABEL]])</f>
        <v>27</v>
      </c>
      <c r="O247" s="109">
        <v>15</v>
      </c>
      <c r="P247" s="109" t="e">
        <f>ROUND(Tableau15[[#This Row],[LEN]]*#REF!+#REF!,0)</f>
        <v>#REF!</v>
      </c>
    </row>
    <row r="248" spans="1:16" s="97" customFormat="1" x14ac:dyDescent="0.25">
      <c r="A248" s="29" t="s">
        <v>412</v>
      </c>
      <c r="B248" s="30" t="s">
        <v>400</v>
      </c>
      <c r="C248" s="31" t="s">
        <v>93</v>
      </c>
      <c r="D248" s="71" t="s">
        <v>1177</v>
      </c>
      <c r="E248" s="31" t="s">
        <v>661</v>
      </c>
      <c r="F248" s="31" t="s">
        <v>1177</v>
      </c>
      <c r="G248" s="71" t="s">
        <v>166</v>
      </c>
      <c r="H248" s="71" t="s">
        <v>18</v>
      </c>
      <c r="I248" s="31"/>
      <c r="J248" s="32" t="s">
        <v>101</v>
      </c>
      <c r="K248" s="111">
        <f>ROUND(Tableau15[[#This Row],[LEN]]*7.27,0)</f>
        <v>109</v>
      </c>
      <c r="L248" s="111">
        <v>15</v>
      </c>
      <c r="M248" s="128" t="str">
        <f t="shared" si="2"/>
        <v>new</v>
      </c>
      <c r="N248" s="111">
        <f>LEN(Tableau15[[#This Row],[LABEL]])</f>
        <v>15</v>
      </c>
      <c r="O248" s="111">
        <v>15</v>
      </c>
      <c r="P248" s="111" t="e">
        <f>ROUND(Tableau15[[#This Row],[LEN]]*#REF!+#REF!,0)</f>
        <v>#REF!</v>
      </c>
    </row>
    <row r="249" spans="1:16" s="97" customFormat="1" x14ac:dyDescent="0.25">
      <c r="A249" s="29" t="s">
        <v>413</v>
      </c>
      <c r="B249" s="30" t="s">
        <v>400</v>
      </c>
      <c r="C249" s="31" t="s">
        <v>94</v>
      </c>
      <c r="D249" s="71" t="s">
        <v>1177</v>
      </c>
      <c r="E249" s="31" t="s">
        <v>661</v>
      </c>
      <c r="F249" s="31" t="s">
        <v>1177</v>
      </c>
      <c r="G249" s="71" t="s">
        <v>166</v>
      </c>
      <c r="H249" s="71" t="s">
        <v>18</v>
      </c>
      <c r="I249" s="31"/>
      <c r="J249" s="32" t="s">
        <v>102</v>
      </c>
      <c r="K249" s="111">
        <f>ROUND(Tableau15[[#This Row],[LEN]]*7.27,0)</f>
        <v>58</v>
      </c>
      <c r="L249" s="111">
        <v>15</v>
      </c>
      <c r="M249" s="128" t="str">
        <f t="shared" si="2"/>
        <v>new</v>
      </c>
      <c r="N249" s="111">
        <f>LEN(Tableau15[[#This Row],[LABEL]])</f>
        <v>8</v>
      </c>
      <c r="O249" s="111">
        <v>15</v>
      </c>
      <c r="P249" s="111" t="e">
        <f>ROUND(Tableau15[[#This Row],[LEN]]*#REF!+#REF!,0)</f>
        <v>#REF!</v>
      </c>
    </row>
    <row r="250" spans="1:16" s="97" customFormat="1" x14ac:dyDescent="0.25">
      <c r="A250" s="25" t="s">
        <v>401</v>
      </c>
      <c r="B250" s="26" t="s">
        <v>251</v>
      </c>
      <c r="C250" s="27" t="s">
        <v>90</v>
      </c>
      <c r="D250" s="70" t="s">
        <v>1177</v>
      </c>
      <c r="E250" s="27" t="s">
        <v>661</v>
      </c>
      <c r="F250" s="27" t="s">
        <v>1177</v>
      </c>
      <c r="G250" s="70" t="s">
        <v>166</v>
      </c>
      <c r="H250" s="70" t="s">
        <v>654</v>
      </c>
      <c r="I250" s="27"/>
      <c r="J250" s="28" t="s">
        <v>708</v>
      </c>
      <c r="K250" s="109">
        <f>ROUND(Tableau15[[#This Row],[LEN]]*7.27,0)</f>
        <v>284</v>
      </c>
      <c r="L250" s="109">
        <v>15</v>
      </c>
      <c r="M250" s="127" t="str">
        <f t="shared" si="2"/>
        <v>none</v>
      </c>
      <c r="N250" s="109">
        <f>LEN(Tableau15[[#This Row],[LABEL]])</f>
        <v>39</v>
      </c>
      <c r="O250" s="109">
        <v>15</v>
      </c>
      <c r="P250" s="109" t="e">
        <f>ROUND(Tableau15[[#This Row],[LEN]]*#REF!+#REF!,0)</f>
        <v>#REF!</v>
      </c>
    </row>
    <row r="251" spans="1:16" s="97" customFormat="1" x14ac:dyDescent="0.25">
      <c r="A251" s="25" t="s">
        <v>402</v>
      </c>
      <c r="B251" s="26" t="s">
        <v>251</v>
      </c>
      <c r="C251" s="27" t="s">
        <v>778</v>
      </c>
      <c r="D251" s="70" t="s">
        <v>1177</v>
      </c>
      <c r="E251" s="27" t="s">
        <v>673</v>
      </c>
      <c r="F251" s="27" t="s">
        <v>2000</v>
      </c>
      <c r="G251" s="70" t="s">
        <v>166</v>
      </c>
      <c r="H251" s="70" t="s">
        <v>17</v>
      </c>
      <c r="I251" s="27"/>
      <c r="J251" s="28" t="s">
        <v>708</v>
      </c>
      <c r="K251" s="109">
        <f>ROUND(Tableau15[[#This Row],[LEN]]*7.27,0)</f>
        <v>211</v>
      </c>
      <c r="L251" s="109">
        <v>15</v>
      </c>
      <c r="M251" s="127" t="str">
        <f t="shared" si="2"/>
        <v>none</v>
      </c>
      <c r="N251" s="109">
        <f>LEN(Tableau15[[#This Row],[LABEL]])</f>
        <v>29</v>
      </c>
      <c r="O251" s="109">
        <v>15</v>
      </c>
      <c r="P251" s="109" t="e">
        <f>ROUND(Tableau15[[#This Row],[LEN]]*#REF!+#REF!,0)</f>
        <v>#REF!</v>
      </c>
    </row>
    <row r="252" spans="1:16" s="97" customFormat="1" x14ac:dyDescent="0.25">
      <c r="A252" s="25" t="s">
        <v>403</v>
      </c>
      <c r="B252" s="26" t="s">
        <v>251</v>
      </c>
      <c r="C252" s="27" t="s">
        <v>92</v>
      </c>
      <c r="D252" s="70" t="s">
        <v>1177</v>
      </c>
      <c r="E252" s="27" t="s">
        <v>663</v>
      </c>
      <c r="F252" s="27" t="s">
        <v>2080</v>
      </c>
      <c r="G252" s="70" t="s">
        <v>166</v>
      </c>
      <c r="H252" s="70" t="s">
        <v>655</v>
      </c>
      <c r="I252" s="27"/>
      <c r="J252" s="28" t="s">
        <v>708</v>
      </c>
      <c r="K252" s="109">
        <f>ROUND(Tableau15[[#This Row],[LEN]]*7.27,0)</f>
        <v>262</v>
      </c>
      <c r="L252" s="109">
        <v>15</v>
      </c>
      <c r="M252" s="127" t="str">
        <f t="shared" si="2"/>
        <v>none</v>
      </c>
      <c r="N252" s="109">
        <f>LEN(Tableau15[[#This Row],[LABEL]])</f>
        <v>36</v>
      </c>
      <c r="O252" s="109">
        <v>15</v>
      </c>
      <c r="P252" s="109" t="e">
        <f>ROUND(Tableau15[[#This Row],[LEN]]*#REF!+#REF!,0)</f>
        <v>#REF!</v>
      </c>
    </row>
    <row r="253" spans="1:16" s="97" customFormat="1" x14ac:dyDescent="0.25">
      <c r="A253" s="29" t="s">
        <v>414</v>
      </c>
      <c r="B253" s="30" t="s">
        <v>403</v>
      </c>
      <c r="C253" s="31" t="s">
        <v>95</v>
      </c>
      <c r="D253" s="71" t="s">
        <v>1177</v>
      </c>
      <c r="E253" s="31" t="s">
        <v>663</v>
      </c>
      <c r="F253" s="31" t="s">
        <v>2080</v>
      </c>
      <c r="G253" s="71" t="s">
        <v>166</v>
      </c>
      <c r="H253" s="71" t="s">
        <v>17</v>
      </c>
      <c r="I253" s="31"/>
      <c r="J253" s="32" t="s">
        <v>708</v>
      </c>
      <c r="K253" s="111">
        <f>ROUND(Tableau15[[#This Row],[LEN]]*7.27,0)</f>
        <v>254</v>
      </c>
      <c r="L253" s="111">
        <v>15</v>
      </c>
      <c r="M253" s="128" t="str">
        <f t="shared" si="2"/>
        <v>none</v>
      </c>
      <c r="N253" s="111">
        <f>LEN(Tableau15[[#This Row],[LABEL]])</f>
        <v>35</v>
      </c>
      <c r="O253" s="111">
        <v>15</v>
      </c>
      <c r="P253" s="111" t="e">
        <f>ROUND(Tableau15[[#This Row],[LEN]]*#REF!+#REF!,0)</f>
        <v>#REF!</v>
      </c>
    </row>
    <row r="254" spans="1:16" s="97" customFormat="1" x14ac:dyDescent="0.25">
      <c r="A254" s="29" t="s">
        <v>415</v>
      </c>
      <c r="B254" s="30" t="s">
        <v>403</v>
      </c>
      <c r="C254" s="31" t="s">
        <v>96</v>
      </c>
      <c r="D254" s="71" t="s">
        <v>1177</v>
      </c>
      <c r="E254" s="31" t="s">
        <v>663</v>
      </c>
      <c r="F254" s="31" t="s">
        <v>2080</v>
      </c>
      <c r="G254" s="71" t="s">
        <v>166</v>
      </c>
      <c r="H254" s="71" t="s">
        <v>570</v>
      </c>
      <c r="I254" s="31"/>
      <c r="J254" s="32" t="s">
        <v>708</v>
      </c>
      <c r="K254" s="111">
        <f>ROUND(Tableau15[[#This Row],[LEN]]*7.27,0)</f>
        <v>233</v>
      </c>
      <c r="L254" s="111">
        <v>15</v>
      </c>
      <c r="M254" s="128" t="str">
        <f t="shared" si="2"/>
        <v>none</v>
      </c>
      <c r="N254" s="111">
        <f>LEN(Tableau15[[#This Row],[LABEL]])</f>
        <v>32</v>
      </c>
      <c r="O254" s="111">
        <v>15</v>
      </c>
      <c r="P254" s="111" t="e">
        <f>ROUND(Tableau15[[#This Row],[LEN]]*#REF!+#REF!,0)</f>
        <v>#REF!</v>
      </c>
    </row>
    <row r="255" spans="1:16" s="97" customFormat="1" x14ac:dyDescent="0.25">
      <c r="A255" s="29" t="s">
        <v>416</v>
      </c>
      <c r="B255" s="30" t="s">
        <v>403</v>
      </c>
      <c r="C255" s="31" t="s">
        <v>97</v>
      </c>
      <c r="D255" s="71" t="s">
        <v>1177</v>
      </c>
      <c r="E255" s="31" t="s">
        <v>663</v>
      </c>
      <c r="F255" s="31" t="s">
        <v>2080</v>
      </c>
      <c r="G255" s="71" t="s">
        <v>166</v>
      </c>
      <c r="H255" s="71" t="s">
        <v>656</v>
      </c>
      <c r="I255" s="31"/>
      <c r="J255" s="32" t="s">
        <v>708</v>
      </c>
      <c r="K255" s="111">
        <f>ROUND(Tableau15[[#This Row],[LEN]]*7.27,0)</f>
        <v>145</v>
      </c>
      <c r="L255" s="111">
        <v>15</v>
      </c>
      <c r="M255" s="128" t="str">
        <f t="shared" si="2"/>
        <v>none</v>
      </c>
      <c r="N255" s="111">
        <f>LEN(Tableau15[[#This Row],[LABEL]])</f>
        <v>20</v>
      </c>
      <c r="O255" s="111">
        <v>15</v>
      </c>
      <c r="P255" s="111" t="e">
        <f>ROUND(Tableau15[[#This Row],[LEN]]*#REF!+#REF!,0)</f>
        <v>#REF!</v>
      </c>
    </row>
    <row r="256" spans="1:16" s="97" customFormat="1" x14ac:dyDescent="0.25">
      <c r="A256" s="25" t="s">
        <v>404</v>
      </c>
      <c r="B256" s="26" t="s">
        <v>251</v>
      </c>
      <c r="C256" s="27" t="s">
        <v>91</v>
      </c>
      <c r="D256" s="70" t="s">
        <v>1177</v>
      </c>
      <c r="E256" s="27" t="s">
        <v>663</v>
      </c>
      <c r="F256" s="27" t="s">
        <v>2080</v>
      </c>
      <c r="G256" s="70" t="s">
        <v>166</v>
      </c>
      <c r="H256" s="70" t="s">
        <v>655</v>
      </c>
      <c r="I256" s="27"/>
      <c r="J256" s="28" t="s">
        <v>708</v>
      </c>
      <c r="K256" s="109">
        <f>ROUND(Tableau15[[#This Row],[LEN]]*7.27,0)</f>
        <v>269</v>
      </c>
      <c r="L256" s="109">
        <v>15</v>
      </c>
      <c r="M256" s="127" t="str">
        <f t="shared" si="2"/>
        <v>none</v>
      </c>
      <c r="N256" s="109">
        <f>LEN(Tableau15[[#This Row],[LABEL]])</f>
        <v>37</v>
      </c>
      <c r="O256" s="109">
        <v>15</v>
      </c>
      <c r="P256" s="109" t="e">
        <f>ROUND(Tableau15[[#This Row],[LEN]]*#REF!+#REF!,0)</f>
        <v>#REF!</v>
      </c>
    </row>
    <row r="257" spans="1:16" s="97" customFormat="1" x14ac:dyDescent="0.25">
      <c r="A257" s="29" t="s">
        <v>417</v>
      </c>
      <c r="B257" s="30" t="s">
        <v>404</v>
      </c>
      <c r="C257" s="31" t="s">
        <v>98</v>
      </c>
      <c r="D257" s="71" t="s">
        <v>1177</v>
      </c>
      <c r="E257" s="31" t="s">
        <v>663</v>
      </c>
      <c r="F257" s="31" t="s">
        <v>1358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ROUND(Tableau15[[#This Row],[LEN]]*7.27,0)</f>
        <v>109</v>
      </c>
      <c r="L257" s="111">
        <v>15</v>
      </c>
      <c r="M257" s="128" t="str">
        <f t="shared" si="2"/>
        <v>none</v>
      </c>
      <c r="N257" s="111">
        <f>LEN(Tableau15[[#This Row],[LABEL]])</f>
        <v>15</v>
      </c>
      <c r="O257" s="111">
        <v>15</v>
      </c>
      <c r="P257" s="111" t="e">
        <f>ROUND(Tableau15[[#This Row],[LEN]]*#REF!+#REF!,0)</f>
        <v>#REF!</v>
      </c>
    </row>
    <row r="258" spans="1:16" s="97" customFormat="1" x14ac:dyDescent="0.25">
      <c r="A258" s="29" t="s">
        <v>418</v>
      </c>
      <c r="B258" s="30" t="s">
        <v>404</v>
      </c>
      <c r="C258" s="31" t="s">
        <v>99</v>
      </c>
      <c r="D258" s="71" t="s">
        <v>1177</v>
      </c>
      <c r="E258" s="31" t="s">
        <v>663</v>
      </c>
      <c r="F258" s="31" t="s">
        <v>1358</v>
      </c>
      <c r="G258" s="71" t="s">
        <v>166</v>
      </c>
      <c r="H258" s="71" t="s">
        <v>18</v>
      </c>
      <c r="I258" s="31"/>
      <c r="J258" s="32" t="s">
        <v>708</v>
      </c>
      <c r="K258" s="111">
        <f>ROUND(Tableau15[[#This Row],[LEN]]*7.27,0)</f>
        <v>80</v>
      </c>
      <c r="L258" s="111">
        <v>15</v>
      </c>
      <c r="M258" s="128" t="str">
        <f t="shared" si="2"/>
        <v>none</v>
      </c>
      <c r="N258" s="111">
        <f>LEN(Tableau15[[#This Row],[LABEL]])</f>
        <v>11</v>
      </c>
      <c r="O258" s="111">
        <v>15</v>
      </c>
      <c r="P258" s="111" t="e">
        <f>ROUND(Tableau15[[#This Row],[LEN]]*#REF!+#REF!,0)</f>
        <v>#REF!</v>
      </c>
    </row>
    <row r="259" spans="1:16" s="97" customFormat="1" x14ac:dyDescent="0.25">
      <c r="A259" s="25" t="s">
        <v>405</v>
      </c>
      <c r="B259" s="26" t="s">
        <v>251</v>
      </c>
      <c r="C259" s="27" t="s">
        <v>1167</v>
      </c>
      <c r="D259" s="70" t="s">
        <v>486</v>
      </c>
      <c r="E259" s="27" t="s">
        <v>1085</v>
      </c>
      <c r="F259" s="27" t="s">
        <v>1084</v>
      </c>
      <c r="G259" s="70" t="s">
        <v>1977</v>
      </c>
      <c r="H259" s="70" t="s">
        <v>1131</v>
      </c>
      <c r="I259" s="27"/>
      <c r="J259" s="28" t="s">
        <v>708</v>
      </c>
      <c r="K259" s="109">
        <f>ROUND(Tableau15[[#This Row],[LEN]]*7.27,0)</f>
        <v>196</v>
      </c>
      <c r="L259" s="109">
        <v>15</v>
      </c>
      <c r="M259" s="127" t="str">
        <f t="shared" si="2"/>
        <v>none</v>
      </c>
      <c r="N259" s="109">
        <f>LEN(Tableau15[[#This Row],[LABEL]])</f>
        <v>27</v>
      </c>
      <c r="O259" s="109">
        <v>15</v>
      </c>
      <c r="P259" s="109" t="e">
        <f>ROUND(Tableau15[[#This Row],[LEN]]*#REF!+#REF!,0)</f>
        <v>#REF!</v>
      </c>
    </row>
    <row r="260" spans="1:16" s="97" customFormat="1" x14ac:dyDescent="0.25">
      <c r="A260" s="29" t="s">
        <v>1203</v>
      </c>
      <c r="B260" s="30" t="s">
        <v>405</v>
      </c>
      <c r="C260" s="31" t="s">
        <v>93</v>
      </c>
      <c r="D260" s="71" t="s">
        <v>1177</v>
      </c>
      <c r="E260" s="31" t="s">
        <v>1085</v>
      </c>
      <c r="F260" s="31" t="s">
        <v>1084</v>
      </c>
      <c r="G260" s="71" t="s">
        <v>166</v>
      </c>
      <c r="H260" s="71" t="s">
        <v>18</v>
      </c>
      <c r="I260" s="31"/>
      <c r="J260" s="32" t="s">
        <v>101</v>
      </c>
      <c r="K260" s="111">
        <f>ROUND(Tableau15[[#This Row],[LEN]]*7.27,0)</f>
        <v>109</v>
      </c>
      <c r="L260" s="111">
        <v>15</v>
      </c>
      <c r="M260" s="128" t="str">
        <f t="shared" si="2"/>
        <v>new</v>
      </c>
      <c r="N260" s="111">
        <f>LEN(Tableau15[[#This Row],[LABEL]])</f>
        <v>15</v>
      </c>
      <c r="O260" s="111">
        <v>15</v>
      </c>
      <c r="P260" s="111" t="e">
        <f>ROUND(Tableau15[[#This Row],[LEN]]*#REF!+#REF!,0)</f>
        <v>#REF!</v>
      </c>
    </row>
    <row r="261" spans="1:16" s="97" customFormat="1" x14ac:dyDescent="0.25">
      <c r="A261" s="29" t="s">
        <v>1204</v>
      </c>
      <c r="B261" s="30" t="s">
        <v>405</v>
      </c>
      <c r="C261" s="31" t="s">
        <v>94</v>
      </c>
      <c r="D261" s="71" t="s">
        <v>1177</v>
      </c>
      <c r="E261" s="31" t="s">
        <v>1085</v>
      </c>
      <c r="F261" s="31" t="s">
        <v>1084</v>
      </c>
      <c r="G261" s="71" t="s">
        <v>166</v>
      </c>
      <c r="H261" s="71" t="s">
        <v>18</v>
      </c>
      <c r="I261" s="31"/>
      <c r="J261" s="32" t="s">
        <v>102</v>
      </c>
      <c r="K261" s="111">
        <f>ROUND(Tableau15[[#This Row],[LEN]]*7.27,0)</f>
        <v>58</v>
      </c>
      <c r="L261" s="111">
        <v>15</v>
      </c>
      <c r="M261" s="128" t="str">
        <f t="shared" si="2"/>
        <v>new</v>
      </c>
      <c r="N261" s="111">
        <f>LEN(Tableau15[[#This Row],[LABEL]])</f>
        <v>8</v>
      </c>
      <c r="O261" s="111">
        <v>15</v>
      </c>
      <c r="P261" s="111" t="e">
        <f>ROUND(Tableau15[[#This Row],[LEN]]*#REF!+#REF!,0)</f>
        <v>#REF!</v>
      </c>
    </row>
    <row r="262" spans="1:16" s="273" customFormat="1" x14ac:dyDescent="0.25">
      <c r="A262" s="288" t="s">
        <v>252</v>
      </c>
      <c r="B262" s="289" t="s">
        <v>206</v>
      </c>
      <c r="C262" s="290" t="s">
        <v>4</v>
      </c>
      <c r="D262" s="291" t="s">
        <v>1177</v>
      </c>
      <c r="E262" s="290" t="s">
        <v>666</v>
      </c>
      <c r="F262" s="290" t="s">
        <v>1177</v>
      </c>
      <c r="G262" s="291" t="s">
        <v>166</v>
      </c>
      <c r="H262" s="291" t="str">
        <f>IFERROR(IF(SEARCH(".00.00.00.00.00",Tableau15[[#This Row],[name]],1)=7,"Division",""),"")</f>
        <v>Division</v>
      </c>
      <c r="I262" s="290"/>
      <c r="J262" s="292" t="s">
        <v>708</v>
      </c>
      <c r="K262" s="293">
        <f>ROUND(Tableau15[[#This Row],[LEN]]*7.27,0)</f>
        <v>36</v>
      </c>
      <c r="L262" s="293">
        <v>15</v>
      </c>
      <c r="M262" s="294" t="str">
        <f t="shared" si="2"/>
        <v>none</v>
      </c>
      <c r="N262" s="293">
        <f>LEN(Tableau15[[#This Row],[LABEL]])</f>
        <v>5</v>
      </c>
      <c r="O262" s="293">
        <v>15</v>
      </c>
      <c r="P262" s="293" t="e">
        <f>ROUND(Tableau15[[#This Row],[LEN]]*#REF!+#REF!,0)</f>
        <v>#REF!</v>
      </c>
    </row>
    <row r="263" spans="1:16" s="97" customFormat="1" x14ac:dyDescent="0.25">
      <c r="A263" s="25" t="s">
        <v>1058</v>
      </c>
      <c r="B263" s="26" t="s">
        <v>252</v>
      </c>
      <c r="C263" s="27" t="s">
        <v>86</v>
      </c>
      <c r="D263" s="70" t="s">
        <v>1177</v>
      </c>
      <c r="E263" s="27" t="s">
        <v>666</v>
      </c>
      <c r="F263" s="27" t="s">
        <v>2081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ROUND(Tableau15[[#This Row],[LEN]]*7.27,0)</f>
        <v>269</v>
      </c>
      <c r="L263" s="109">
        <v>15</v>
      </c>
      <c r="M263" s="127" t="str">
        <f t="shared" si="2"/>
        <v>none</v>
      </c>
      <c r="N263" s="109">
        <f>LEN(Tableau15[[#This Row],[LABEL]])</f>
        <v>37</v>
      </c>
      <c r="O263" s="109">
        <v>15</v>
      </c>
      <c r="P263" s="109" t="e">
        <f>ROUND(Tableau15[[#This Row],[LEN]]*#REF!+#REF!,0)</f>
        <v>#REF!</v>
      </c>
    </row>
    <row r="264" spans="1:16" s="97" customFormat="1" x14ac:dyDescent="0.25">
      <c r="A264" s="25" t="s">
        <v>1059</v>
      </c>
      <c r="B264" s="26" t="s">
        <v>252</v>
      </c>
      <c r="C264" s="27" t="s">
        <v>87</v>
      </c>
      <c r="D264" s="70" t="s">
        <v>1177</v>
      </c>
      <c r="E264" s="27" t="s">
        <v>663</v>
      </c>
      <c r="F264" s="27" t="s">
        <v>684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ROUND(Tableau15[[#This Row],[LEN]]*7.27,0)</f>
        <v>182</v>
      </c>
      <c r="L264" s="109">
        <v>15</v>
      </c>
      <c r="M264" s="127" t="str">
        <f t="shared" si="2"/>
        <v>none</v>
      </c>
      <c r="N264" s="109">
        <f>LEN(Tableau15[[#This Row],[LABEL]])</f>
        <v>25</v>
      </c>
      <c r="O264" s="109">
        <v>15</v>
      </c>
      <c r="P264" s="109" t="e">
        <f>ROUND(Tableau15[[#This Row],[LEN]]*#REF!+#REF!,0)</f>
        <v>#REF!</v>
      </c>
    </row>
    <row r="265" spans="1:16" s="97" customFormat="1" x14ac:dyDescent="0.25">
      <c r="A265" s="25" t="s">
        <v>1060</v>
      </c>
      <c r="B265" s="26" t="s">
        <v>252</v>
      </c>
      <c r="C265" s="27" t="s">
        <v>88</v>
      </c>
      <c r="D265" s="70" t="s">
        <v>1177</v>
      </c>
      <c r="E265" s="27" t="s">
        <v>667</v>
      </c>
      <c r="F265" s="27" t="s">
        <v>1218</v>
      </c>
      <c r="G265" s="70" t="s">
        <v>166</v>
      </c>
      <c r="H265" s="70" t="s">
        <v>570</v>
      </c>
      <c r="I265" s="27"/>
      <c r="J265" s="28" t="s">
        <v>708</v>
      </c>
      <c r="K265" s="109">
        <f>ROUND(Tableau15[[#This Row],[LEN]]*7.27,0)</f>
        <v>342</v>
      </c>
      <c r="L265" s="109">
        <v>15</v>
      </c>
      <c r="M265" s="127" t="str">
        <f t="shared" si="2"/>
        <v>none</v>
      </c>
      <c r="N265" s="109">
        <f>LEN(Tableau15[[#This Row],[LABEL]])</f>
        <v>47</v>
      </c>
      <c r="O265" s="109">
        <v>15</v>
      </c>
      <c r="P265" s="109" t="e">
        <f>ROUND(Tableau15[[#This Row],[LEN]]*#REF!+#REF!,0)</f>
        <v>#REF!</v>
      </c>
    </row>
    <row r="266" spans="1:16" s="97" customFormat="1" x14ac:dyDescent="0.25">
      <c r="A266" s="25" t="s">
        <v>1061</v>
      </c>
      <c r="B266" s="26" t="s">
        <v>252</v>
      </c>
      <c r="C266" s="27" t="s">
        <v>1071</v>
      </c>
      <c r="D266" s="70" t="s">
        <v>1177</v>
      </c>
      <c r="E266" s="27" t="s">
        <v>666</v>
      </c>
      <c r="F266" s="27" t="s">
        <v>828</v>
      </c>
      <c r="G266" s="70" t="s">
        <v>166</v>
      </c>
      <c r="H266" s="70" t="s">
        <v>655</v>
      </c>
      <c r="I266" s="27"/>
      <c r="J266" s="28" t="s">
        <v>708</v>
      </c>
      <c r="K266" s="109">
        <f>ROUND(Tableau15[[#This Row],[LEN]]*7.27,0)</f>
        <v>247</v>
      </c>
      <c r="L266" s="109">
        <v>15</v>
      </c>
      <c r="M266" s="127" t="str">
        <f t="shared" si="2"/>
        <v>none</v>
      </c>
      <c r="N266" s="109">
        <f>LEN(Tableau15[[#This Row],[LABEL]])</f>
        <v>34</v>
      </c>
      <c r="O266" s="109">
        <v>15</v>
      </c>
      <c r="P266" s="109" t="e">
        <f>ROUND(Tableau15[[#This Row],[LEN]]*#REF!+#REF!,0)</f>
        <v>#REF!</v>
      </c>
    </row>
    <row r="267" spans="1:16" s="97" customFormat="1" x14ac:dyDescent="0.25">
      <c r="A267" s="29" t="s">
        <v>1074</v>
      </c>
      <c r="B267" s="30" t="s">
        <v>1061</v>
      </c>
      <c r="C267" s="31" t="s">
        <v>1086</v>
      </c>
      <c r="D267" s="71" t="s">
        <v>1177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111">
        <f>ROUND(Tableau15[[#This Row],[LEN]]*7.27,0)</f>
        <v>87</v>
      </c>
      <c r="L267" s="111">
        <v>15</v>
      </c>
      <c r="M267" s="128" t="str">
        <f t="shared" si="2"/>
        <v>none</v>
      </c>
      <c r="N267" s="111">
        <f>LEN(Tableau15[[#This Row],[LABEL]])</f>
        <v>12</v>
      </c>
      <c r="O267" s="111">
        <v>15</v>
      </c>
      <c r="P267" s="111" t="e">
        <f>ROUND(Tableau15[[#This Row],[LEN]]*#REF!+#REF!,0)</f>
        <v>#REF!</v>
      </c>
    </row>
    <row r="268" spans="1:16" s="97" customFormat="1" x14ac:dyDescent="0.25">
      <c r="A268" s="86" t="s">
        <v>1094</v>
      </c>
      <c r="B268" s="87" t="s">
        <v>1074</v>
      </c>
      <c r="C268" s="88" t="s">
        <v>1088</v>
      </c>
      <c r="D268" s="89" t="s">
        <v>1177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ROUND(Tableau15[[#This Row],[LEN]]*7.27,0)</f>
        <v>196</v>
      </c>
      <c r="L268" s="112">
        <v>15</v>
      </c>
      <c r="M268" s="129" t="str">
        <f t="shared" si="2"/>
        <v>none</v>
      </c>
      <c r="N268" s="112">
        <f>LEN(Tableau15[[#This Row],[LABEL]])</f>
        <v>27</v>
      </c>
      <c r="O268" s="112">
        <v>15</v>
      </c>
      <c r="P268" s="112" t="e">
        <f>ROUND(Tableau15[[#This Row],[LEN]]*#REF!+#REF!,0)</f>
        <v>#REF!</v>
      </c>
    </row>
    <row r="269" spans="1:16" s="97" customFormat="1" x14ac:dyDescent="0.25">
      <c r="A269" s="86" t="s">
        <v>1095</v>
      </c>
      <c r="B269" s="87" t="s">
        <v>1074</v>
      </c>
      <c r="C269" s="88" t="s">
        <v>1089</v>
      </c>
      <c r="D269" s="89" t="s">
        <v>1177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ROUND(Tableau15[[#This Row],[LEN]]*7.27,0)</f>
        <v>36</v>
      </c>
      <c r="L269" s="112">
        <v>15</v>
      </c>
      <c r="M269" s="129" t="str">
        <f t="shared" si="2"/>
        <v>none</v>
      </c>
      <c r="N269" s="112">
        <f>LEN(Tableau15[[#This Row],[LABEL]])</f>
        <v>5</v>
      </c>
      <c r="O269" s="112">
        <v>15</v>
      </c>
      <c r="P269" s="112" t="e">
        <f>ROUND(Tableau15[[#This Row],[LEN]]*#REF!+#REF!,0)</f>
        <v>#REF!</v>
      </c>
    </row>
    <row r="270" spans="1:16" s="97" customFormat="1" x14ac:dyDescent="0.25">
      <c r="A270" s="86" t="s">
        <v>1096</v>
      </c>
      <c r="B270" s="87" t="s">
        <v>1074</v>
      </c>
      <c r="C270" s="88" t="s">
        <v>1090</v>
      </c>
      <c r="D270" s="89" t="s">
        <v>1177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ROUND(Tableau15[[#This Row],[LEN]]*7.27,0)</f>
        <v>29</v>
      </c>
      <c r="L270" s="112">
        <v>15</v>
      </c>
      <c r="M270" s="129" t="str">
        <f t="shared" si="2"/>
        <v>none</v>
      </c>
      <c r="N270" s="112">
        <f>LEN(Tableau15[[#This Row],[LABEL]])</f>
        <v>4</v>
      </c>
      <c r="O270" s="112">
        <v>15</v>
      </c>
      <c r="P270" s="112" t="e">
        <f>ROUND(Tableau15[[#This Row],[LEN]]*#REF!+#REF!,0)</f>
        <v>#REF!</v>
      </c>
    </row>
    <row r="271" spans="1:16" s="97" customFormat="1" x14ac:dyDescent="0.25">
      <c r="A271" s="86" t="s">
        <v>1097</v>
      </c>
      <c r="B271" s="87" t="s">
        <v>1074</v>
      </c>
      <c r="C271" s="88" t="s">
        <v>1091</v>
      </c>
      <c r="D271" s="89" t="s">
        <v>1177</v>
      </c>
      <c r="E271" s="88" t="s">
        <v>666</v>
      </c>
      <c r="F271" s="88" t="s">
        <v>828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ROUND(Tableau15[[#This Row],[LEN]]*7.27,0)</f>
        <v>102</v>
      </c>
      <c r="L271" s="112">
        <v>15</v>
      </c>
      <c r="M271" s="129" t="str">
        <f t="shared" si="2"/>
        <v>none</v>
      </c>
      <c r="N271" s="112">
        <f>LEN(Tableau15[[#This Row],[LABEL]])</f>
        <v>14</v>
      </c>
      <c r="O271" s="112">
        <v>15</v>
      </c>
      <c r="P271" s="112" t="e">
        <f>ROUND(Tableau15[[#This Row],[LEN]]*#REF!+#REF!,0)</f>
        <v>#REF!</v>
      </c>
    </row>
    <row r="272" spans="1:16" s="97" customFormat="1" x14ac:dyDescent="0.25">
      <c r="A272" s="86" t="s">
        <v>1098</v>
      </c>
      <c r="B272" s="212" t="s">
        <v>1074</v>
      </c>
      <c r="C272" s="88" t="s">
        <v>1092</v>
      </c>
      <c r="D272" s="89" t="s">
        <v>1177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ROUND(Tableau15[[#This Row],[LEN]]*7.27,0)</f>
        <v>153</v>
      </c>
      <c r="L272" s="112">
        <v>15</v>
      </c>
      <c r="M272" s="129" t="str">
        <f t="shared" si="2"/>
        <v>none</v>
      </c>
      <c r="N272" s="112">
        <f>LEN(Tableau15[[#This Row],[LABEL]])</f>
        <v>21</v>
      </c>
      <c r="O272" s="112">
        <v>15</v>
      </c>
      <c r="P272" s="112" t="e">
        <f>ROUND(Tableau15[[#This Row],[LEN]]*#REF!+#REF!,0)</f>
        <v>#REF!</v>
      </c>
    </row>
    <row r="273" spans="1:16" s="97" customFormat="1" x14ac:dyDescent="0.25">
      <c r="A273" s="86" t="s">
        <v>1099</v>
      </c>
      <c r="B273" s="212" t="s">
        <v>1074</v>
      </c>
      <c r="C273" s="88" t="s">
        <v>1093</v>
      </c>
      <c r="D273" s="89" t="s">
        <v>1177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112">
        <f>ROUND(Tableau15[[#This Row],[LEN]]*7.27,0)</f>
        <v>269</v>
      </c>
      <c r="L273" s="112">
        <v>15</v>
      </c>
      <c r="M273" s="129" t="str">
        <f t="shared" si="2"/>
        <v>none</v>
      </c>
      <c r="N273" s="112">
        <f>LEN(Tableau15[[#This Row],[LABEL]])</f>
        <v>37</v>
      </c>
      <c r="O273" s="112">
        <v>15</v>
      </c>
      <c r="P273" s="112" t="e">
        <f>ROUND(Tableau15[[#This Row],[LEN]]*#REF!+#REF!,0)</f>
        <v>#REF!</v>
      </c>
    </row>
    <row r="274" spans="1:16" s="97" customFormat="1" x14ac:dyDescent="0.25">
      <c r="A274" s="29" t="s">
        <v>1075</v>
      </c>
      <c r="B274" s="30" t="s">
        <v>1061</v>
      </c>
      <c r="C274" s="31" t="s">
        <v>1087</v>
      </c>
      <c r="D274" s="71" t="s">
        <v>1177</v>
      </c>
      <c r="E274" s="31" t="s">
        <v>666</v>
      </c>
      <c r="F274" s="31" t="s">
        <v>828</v>
      </c>
      <c r="G274" s="71" t="s">
        <v>166</v>
      </c>
      <c r="H274" s="71" t="s">
        <v>655</v>
      </c>
      <c r="I274" s="31"/>
      <c r="J274" s="32" t="s">
        <v>708</v>
      </c>
      <c r="K274" s="111">
        <f>ROUND(Tableau15[[#This Row],[LEN]]*7.27,0)</f>
        <v>109</v>
      </c>
      <c r="L274" s="111">
        <v>15</v>
      </c>
      <c r="M274" s="128" t="str">
        <f t="shared" si="2"/>
        <v>none</v>
      </c>
      <c r="N274" s="111">
        <f>LEN(Tableau15[[#This Row],[LABEL]])</f>
        <v>15</v>
      </c>
      <c r="O274" s="111">
        <v>15</v>
      </c>
      <c r="P274" s="111" t="e">
        <f>ROUND(Tableau15[[#This Row],[LEN]]*#REF!+#REF!,0)</f>
        <v>#REF!</v>
      </c>
    </row>
    <row r="275" spans="1:16" s="97" customFormat="1" x14ac:dyDescent="0.25">
      <c r="A275" s="86" t="s">
        <v>1102</v>
      </c>
      <c r="B275" s="87" t="s">
        <v>1075</v>
      </c>
      <c r="C275" s="88" t="s">
        <v>1100</v>
      </c>
      <c r="D275" s="89" t="s">
        <v>1177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ROUND(Tableau15[[#This Row],[LEN]]*7.27,0)</f>
        <v>22</v>
      </c>
      <c r="L275" s="112">
        <v>15</v>
      </c>
      <c r="M275" s="129" t="str">
        <f t="shared" si="2"/>
        <v>none</v>
      </c>
      <c r="N275" s="112">
        <f>LEN(Tableau15[[#This Row],[LABEL]])</f>
        <v>3</v>
      </c>
      <c r="O275" s="112">
        <v>15</v>
      </c>
      <c r="P275" s="112" t="e">
        <f>ROUND(Tableau15[[#This Row],[LEN]]*#REF!+#REF!,0)</f>
        <v>#REF!</v>
      </c>
    </row>
    <row r="276" spans="1:16" s="97" customFormat="1" x14ac:dyDescent="0.25">
      <c r="A276" s="86" t="s">
        <v>1103</v>
      </c>
      <c r="B276" s="87" t="s">
        <v>1075</v>
      </c>
      <c r="C276" s="88" t="s">
        <v>1101</v>
      </c>
      <c r="D276" s="89" t="s">
        <v>1177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ROUND(Tableau15[[#This Row],[LEN]]*7.27,0)</f>
        <v>36</v>
      </c>
      <c r="L276" s="112">
        <v>15</v>
      </c>
      <c r="M276" s="129" t="str">
        <f t="shared" si="2"/>
        <v>none</v>
      </c>
      <c r="N276" s="112">
        <f>LEN(Tableau15[[#This Row],[LABEL]])</f>
        <v>5</v>
      </c>
      <c r="O276" s="112">
        <v>15</v>
      </c>
      <c r="P276" s="112" t="e">
        <f>ROUND(Tableau15[[#This Row],[LEN]]*#REF!+#REF!,0)</f>
        <v>#REF!</v>
      </c>
    </row>
    <row r="277" spans="1:16" s="97" customFormat="1" x14ac:dyDescent="0.25">
      <c r="A277" s="86" t="s">
        <v>1104</v>
      </c>
      <c r="B277" s="87" t="s">
        <v>1075</v>
      </c>
      <c r="C277" s="88" t="s">
        <v>812</v>
      </c>
      <c r="D277" s="89" t="s">
        <v>1177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112">
        <f>ROUND(Tableau15[[#This Row],[LEN]]*7.27,0)</f>
        <v>131</v>
      </c>
      <c r="L277" s="112">
        <v>15</v>
      </c>
      <c r="M277" s="129" t="str">
        <f t="shared" si="2"/>
        <v>none</v>
      </c>
      <c r="N277" s="112">
        <f>LEN(Tableau15[[#This Row],[LABEL]])</f>
        <v>18</v>
      </c>
      <c r="O277" s="112">
        <v>15</v>
      </c>
      <c r="P277" s="112" t="e">
        <f>ROUND(Tableau15[[#This Row],[LEN]]*#REF!+#REF!,0)</f>
        <v>#REF!</v>
      </c>
    </row>
    <row r="278" spans="1:16" s="97" customFormat="1" x14ac:dyDescent="0.25">
      <c r="A278" s="29" t="s">
        <v>1076</v>
      </c>
      <c r="B278" s="30" t="s">
        <v>1061</v>
      </c>
      <c r="C278" s="31" t="s">
        <v>15</v>
      </c>
      <c r="D278" s="71" t="s">
        <v>1177</v>
      </c>
      <c r="E278" s="31" t="s">
        <v>666</v>
      </c>
      <c r="F278" s="31" t="s">
        <v>828</v>
      </c>
      <c r="G278" s="71" t="s">
        <v>166</v>
      </c>
      <c r="H278" s="71" t="s">
        <v>655</v>
      </c>
      <c r="I278" s="31"/>
      <c r="J278" s="32" t="s">
        <v>708</v>
      </c>
      <c r="K278" s="111">
        <f>ROUND(Tableau15[[#This Row],[LEN]]*7.27,0)</f>
        <v>174</v>
      </c>
      <c r="L278" s="111">
        <v>15</v>
      </c>
      <c r="M278" s="128" t="str">
        <f t="shared" si="2"/>
        <v>none</v>
      </c>
      <c r="N278" s="111">
        <f>LEN(Tableau15[[#This Row],[LABEL]])</f>
        <v>24</v>
      </c>
      <c r="O278" s="111">
        <v>15</v>
      </c>
      <c r="P278" s="111" t="e">
        <f>ROUND(Tableau15[[#This Row],[LEN]]*#REF!+#REF!,0)</f>
        <v>#REF!</v>
      </c>
    </row>
    <row r="279" spans="1:16" s="97" customFormat="1" x14ac:dyDescent="0.25">
      <c r="A279" s="86" t="s">
        <v>1105</v>
      </c>
      <c r="B279" s="87" t="s">
        <v>1076</v>
      </c>
      <c r="C279" s="88" t="s">
        <v>1100</v>
      </c>
      <c r="D279" s="89" t="s">
        <v>1177</v>
      </c>
      <c r="E279" s="88" t="s">
        <v>666</v>
      </c>
      <c r="F279" s="88" t="s">
        <v>828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ROUND(Tableau15[[#This Row],[LEN]]*7.27,0)</f>
        <v>22</v>
      </c>
      <c r="L279" s="112">
        <v>15</v>
      </c>
      <c r="M279" s="129" t="str">
        <f t="shared" si="2"/>
        <v>none</v>
      </c>
      <c r="N279" s="112">
        <f>LEN(Tableau15[[#This Row],[LABEL]])</f>
        <v>3</v>
      </c>
      <c r="O279" s="112">
        <v>15</v>
      </c>
      <c r="P279" s="112" t="e">
        <f>ROUND(Tableau15[[#This Row],[LEN]]*#REF!+#REF!,0)</f>
        <v>#REF!</v>
      </c>
    </row>
    <row r="280" spans="1:16" s="97" customFormat="1" x14ac:dyDescent="0.25">
      <c r="A280" s="86" t="s">
        <v>1106</v>
      </c>
      <c r="B280" s="87" t="s">
        <v>1076</v>
      </c>
      <c r="C280" s="88" t="s">
        <v>807</v>
      </c>
      <c r="D280" s="89" t="s">
        <v>1177</v>
      </c>
      <c r="E280" s="88" t="s">
        <v>666</v>
      </c>
      <c r="F280" s="88" t="s">
        <v>828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ROUND(Tableau15[[#This Row],[LEN]]*7.27,0)</f>
        <v>218</v>
      </c>
      <c r="L280" s="112">
        <v>15</v>
      </c>
      <c r="M280" s="129" t="str">
        <f t="shared" si="2"/>
        <v>none</v>
      </c>
      <c r="N280" s="112">
        <f>LEN(Tableau15[[#This Row],[LABEL]])</f>
        <v>30</v>
      </c>
      <c r="O280" s="112">
        <v>15</v>
      </c>
      <c r="P280" s="112" t="e">
        <f>ROUND(Tableau15[[#This Row],[LEN]]*#REF!+#REF!,0)</f>
        <v>#REF!</v>
      </c>
    </row>
    <row r="281" spans="1:16" s="97" customFormat="1" x14ac:dyDescent="0.25">
      <c r="A281" s="86" t="s">
        <v>1107</v>
      </c>
      <c r="B281" s="87" t="s">
        <v>1076</v>
      </c>
      <c r="C281" s="88" t="s">
        <v>1112</v>
      </c>
      <c r="D281" s="89" t="s">
        <v>1177</v>
      </c>
      <c r="E281" s="88" t="s">
        <v>666</v>
      </c>
      <c r="F281" s="88" t="s">
        <v>828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ROUND(Tableau15[[#This Row],[LEN]]*7.27,0)</f>
        <v>240</v>
      </c>
      <c r="L281" s="112">
        <v>15</v>
      </c>
      <c r="M281" s="129" t="str">
        <f t="shared" si="2"/>
        <v>none</v>
      </c>
      <c r="N281" s="112">
        <f>LEN(Tableau15[[#This Row],[LABEL]])</f>
        <v>33</v>
      </c>
      <c r="O281" s="112">
        <v>15</v>
      </c>
      <c r="P281" s="112" t="e">
        <f>ROUND(Tableau15[[#This Row],[LEN]]*#REF!+#REF!,0)</f>
        <v>#REF!</v>
      </c>
    </row>
    <row r="282" spans="1:16" s="97" customFormat="1" x14ac:dyDescent="0.25">
      <c r="A282" s="86" t="s">
        <v>1108</v>
      </c>
      <c r="B282" s="87" t="s">
        <v>1076</v>
      </c>
      <c r="C282" s="88" t="s">
        <v>1113</v>
      </c>
      <c r="D282" s="89" t="s">
        <v>1177</v>
      </c>
      <c r="E282" s="88" t="s">
        <v>666</v>
      </c>
      <c r="F282" s="88" t="s">
        <v>828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ROUND(Tableau15[[#This Row],[LEN]]*7.27,0)</f>
        <v>116</v>
      </c>
      <c r="L282" s="112">
        <v>15</v>
      </c>
      <c r="M282" s="129" t="str">
        <f t="shared" si="2"/>
        <v>none</v>
      </c>
      <c r="N282" s="112">
        <f>LEN(Tableau15[[#This Row],[LABEL]])</f>
        <v>16</v>
      </c>
      <c r="O282" s="112">
        <v>15</v>
      </c>
      <c r="P282" s="112" t="e">
        <f>ROUND(Tableau15[[#This Row],[LEN]]*#REF!+#REF!,0)</f>
        <v>#REF!</v>
      </c>
    </row>
    <row r="283" spans="1:16" s="97" customFormat="1" x14ac:dyDescent="0.25">
      <c r="A283" s="86" t="s">
        <v>1109</v>
      </c>
      <c r="B283" s="87" t="s">
        <v>1076</v>
      </c>
      <c r="C283" s="88" t="s">
        <v>1114</v>
      </c>
      <c r="D283" s="89" t="s">
        <v>1177</v>
      </c>
      <c r="E283" s="88" t="s">
        <v>666</v>
      </c>
      <c r="F283" s="88" t="s">
        <v>828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ROUND(Tableau15[[#This Row],[LEN]]*7.27,0)</f>
        <v>116</v>
      </c>
      <c r="L283" s="112">
        <v>15</v>
      </c>
      <c r="M283" s="129" t="str">
        <f t="shared" si="2"/>
        <v>none</v>
      </c>
      <c r="N283" s="112">
        <f>LEN(Tableau15[[#This Row],[LABEL]])</f>
        <v>16</v>
      </c>
      <c r="O283" s="112">
        <v>15</v>
      </c>
      <c r="P283" s="112" t="e">
        <f>ROUND(Tableau15[[#This Row],[LEN]]*#REF!+#REF!,0)</f>
        <v>#REF!</v>
      </c>
    </row>
    <row r="284" spans="1:16" s="97" customFormat="1" x14ac:dyDescent="0.25">
      <c r="A284" s="86" t="s">
        <v>1110</v>
      </c>
      <c r="B284" s="87" t="s">
        <v>1076</v>
      </c>
      <c r="C284" s="88" t="s">
        <v>806</v>
      </c>
      <c r="D284" s="89" t="s">
        <v>1177</v>
      </c>
      <c r="E284" s="88" t="s">
        <v>666</v>
      </c>
      <c r="F284" s="88" t="s">
        <v>828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ROUND(Tableau15[[#This Row],[LEN]]*7.27,0)</f>
        <v>174</v>
      </c>
      <c r="L284" s="112">
        <v>15</v>
      </c>
      <c r="M284" s="129" t="str">
        <f t="shared" si="2"/>
        <v>none</v>
      </c>
      <c r="N284" s="112">
        <f>LEN(Tableau15[[#This Row],[LABEL]])</f>
        <v>24</v>
      </c>
      <c r="O284" s="112">
        <v>15</v>
      </c>
      <c r="P284" s="112" t="e">
        <f>ROUND(Tableau15[[#This Row],[LEN]]*#REF!+#REF!,0)</f>
        <v>#REF!</v>
      </c>
    </row>
    <row r="285" spans="1:16" s="97" customFormat="1" x14ac:dyDescent="0.25">
      <c r="A285" s="86" t="s">
        <v>1111</v>
      </c>
      <c r="B285" s="87" t="s">
        <v>1076</v>
      </c>
      <c r="C285" s="88" t="s">
        <v>812</v>
      </c>
      <c r="D285" s="89" t="s">
        <v>1177</v>
      </c>
      <c r="E285" s="88" t="s">
        <v>666</v>
      </c>
      <c r="F285" s="88" t="s">
        <v>828</v>
      </c>
      <c r="G285" s="89" t="s">
        <v>166</v>
      </c>
      <c r="H285" s="90" t="s">
        <v>18</v>
      </c>
      <c r="I285" s="88"/>
      <c r="J285" s="91" t="s">
        <v>708</v>
      </c>
      <c r="K285" s="112">
        <f>ROUND(Tableau15[[#This Row],[LEN]]*7.27,0)</f>
        <v>131</v>
      </c>
      <c r="L285" s="112">
        <v>15</v>
      </c>
      <c r="M285" s="129" t="str">
        <f t="shared" si="2"/>
        <v>none</v>
      </c>
      <c r="N285" s="112">
        <f>LEN(Tableau15[[#This Row],[LABEL]])</f>
        <v>18</v>
      </c>
      <c r="O285" s="112">
        <v>15</v>
      </c>
      <c r="P285" s="112" t="e">
        <f>ROUND(Tableau15[[#This Row],[LEN]]*#REF!+#REF!,0)</f>
        <v>#REF!</v>
      </c>
    </row>
    <row r="286" spans="1:16" s="97" customFormat="1" x14ac:dyDescent="0.25">
      <c r="A286" s="25" t="s">
        <v>1062</v>
      </c>
      <c r="B286" s="26" t="s">
        <v>252</v>
      </c>
      <c r="C286" s="27" t="s">
        <v>1070</v>
      </c>
      <c r="D286" s="70" t="s">
        <v>1177</v>
      </c>
      <c r="E286" s="27" t="s">
        <v>666</v>
      </c>
      <c r="F286" s="27" t="s">
        <v>1177</v>
      </c>
      <c r="G286" s="70" t="s">
        <v>166</v>
      </c>
      <c r="H286" s="70" t="s">
        <v>656</v>
      </c>
      <c r="I286" s="27"/>
      <c r="J286" s="28" t="s">
        <v>708</v>
      </c>
      <c r="K286" s="109">
        <f>ROUND(Tableau15[[#This Row],[LEN]]*7.27,0)</f>
        <v>371</v>
      </c>
      <c r="L286" s="109">
        <v>15</v>
      </c>
      <c r="M286" s="127" t="str">
        <f t="shared" si="2"/>
        <v>none</v>
      </c>
      <c r="N286" s="109">
        <f>LEN(Tableau15[[#This Row],[LABEL]])</f>
        <v>51</v>
      </c>
      <c r="O286" s="109">
        <v>15</v>
      </c>
      <c r="P286" s="109" t="e">
        <f>ROUND(Tableau15[[#This Row],[LEN]]*#REF!+#REF!,0)</f>
        <v>#REF!</v>
      </c>
    </row>
    <row r="287" spans="1:16" s="97" customFormat="1" x14ac:dyDescent="0.25">
      <c r="A287" s="25" t="s">
        <v>1063</v>
      </c>
      <c r="B287" s="26" t="s">
        <v>252</v>
      </c>
      <c r="C287" s="27" t="s">
        <v>778</v>
      </c>
      <c r="D287" s="70" t="s">
        <v>1177</v>
      </c>
      <c r="E287" s="27" t="s">
        <v>673</v>
      </c>
      <c r="F287" s="27" t="s">
        <v>2000</v>
      </c>
      <c r="G287" s="70" t="s">
        <v>166</v>
      </c>
      <c r="H287" s="70" t="s">
        <v>17</v>
      </c>
      <c r="I287" s="27"/>
      <c r="J287" s="28" t="s">
        <v>708</v>
      </c>
      <c r="K287" s="109">
        <f>ROUND(Tableau15[[#This Row],[LEN]]*7.27,0)</f>
        <v>211</v>
      </c>
      <c r="L287" s="109">
        <v>15</v>
      </c>
      <c r="M287" s="127" t="str">
        <f t="shared" si="2"/>
        <v>none</v>
      </c>
      <c r="N287" s="109">
        <f>LEN(Tableau15[[#This Row],[LABEL]])</f>
        <v>29</v>
      </c>
      <c r="O287" s="109">
        <v>15</v>
      </c>
      <c r="P287" s="109" t="e">
        <f>ROUND(Tableau15[[#This Row],[LEN]]*#REF!+#REF!,0)</f>
        <v>#REF!</v>
      </c>
    </row>
    <row r="288" spans="1:16" s="97" customFormat="1" x14ac:dyDescent="0.25">
      <c r="A288" s="25" t="s">
        <v>1064</v>
      </c>
      <c r="B288" s="26" t="s">
        <v>252</v>
      </c>
      <c r="C288" s="27" t="s">
        <v>92</v>
      </c>
      <c r="D288" s="70" t="s">
        <v>1177</v>
      </c>
      <c r="E288" s="27" t="s">
        <v>663</v>
      </c>
      <c r="F288" s="27" t="s">
        <v>2080</v>
      </c>
      <c r="G288" s="70" t="s">
        <v>166</v>
      </c>
      <c r="H288" s="70" t="s">
        <v>655</v>
      </c>
      <c r="I288" s="27"/>
      <c r="J288" s="28" t="s">
        <v>708</v>
      </c>
      <c r="K288" s="109">
        <f>ROUND(Tableau15[[#This Row],[LEN]]*7.27,0)</f>
        <v>262</v>
      </c>
      <c r="L288" s="109">
        <v>15</v>
      </c>
      <c r="M288" s="127" t="str">
        <f t="shared" si="2"/>
        <v>none</v>
      </c>
      <c r="N288" s="109">
        <f>LEN(Tableau15[[#This Row],[LABEL]])</f>
        <v>36</v>
      </c>
      <c r="O288" s="109">
        <v>15</v>
      </c>
      <c r="P288" s="109" t="e">
        <f>ROUND(Tableau15[[#This Row],[LEN]]*#REF!+#REF!,0)</f>
        <v>#REF!</v>
      </c>
    </row>
    <row r="289" spans="1:16" s="97" customFormat="1" x14ac:dyDescent="0.25">
      <c r="A289" s="29" t="s">
        <v>1077</v>
      </c>
      <c r="B289" s="30" t="s">
        <v>1064</v>
      </c>
      <c r="C289" s="31" t="s">
        <v>95</v>
      </c>
      <c r="D289" s="71" t="s">
        <v>1177</v>
      </c>
      <c r="E289" s="31" t="s">
        <v>663</v>
      </c>
      <c r="F289" s="31" t="s">
        <v>2080</v>
      </c>
      <c r="G289" s="71" t="s">
        <v>166</v>
      </c>
      <c r="H289" s="71" t="s">
        <v>17</v>
      </c>
      <c r="I289" s="31"/>
      <c r="J289" s="32" t="s">
        <v>708</v>
      </c>
      <c r="K289" s="111">
        <f>ROUND(Tableau15[[#This Row],[LEN]]*7.27,0)</f>
        <v>254</v>
      </c>
      <c r="L289" s="111">
        <v>15</v>
      </c>
      <c r="M289" s="128" t="str">
        <f t="shared" si="2"/>
        <v>none</v>
      </c>
      <c r="N289" s="111">
        <f>LEN(Tableau15[[#This Row],[LABEL]])</f>
        <v>35</v>
      </c>
      <c r="O289" s="111">
        <v>15</v>
      </c>
      <c r="P289" s="111" t="e">
        <f>ROUND(Tableau15[[#This Row],[LEN]]*#REF!+#REF!,0)</f>
        <v>#REF!</v>
      </c>
    </row>
    <row r="290" spans="1:16" s="97" customFormat="1" x14ac:dyDescent="0.25">
      <c r="A290" s="29" t="s">
        <v>1078</v>
      </c>
      <c r="B290" s="30" t="s">
        <v>1064</v>
      </c>
      <c r="C290" s="31" t="s">
        <v>96</v>
      </c>
      <c r="D290" s="71" t="s">
        <v>1177</v>
      </c>
      <c r="E290" s="31" t="s">
        <v>663</v>
      </c>
      <c r="F290" s="31" t="s">
        <v>2080</v>
      </c>
      <c r="G290" s="71" t="s">
        <v>166</v>
      </c>
      <c r="H290" s="71" t="s">
        <v>654</v>
      </c>
      <c r="I290" s="31"/>
      <c r="J290" s="32" t="s">
        <v>708</v>
      </c>
      <c r="K290" s="111">
        <f>ROUND(Tableau15[[#This Row],[LEN]]*7.27,0)</f>
        <v>233</v>
      </c>
      <c r="L290" s="111">
        <v>15</v>
      </c>
      <c r="M290" s="128" t="str">
        <f t="shared" si="2"/>
        <v>none</v>
      </c>
      <c r="N290" s="111">
        <f>LEN(Tableau15[[#This Row],[LABEL]])</f>
        <v>32</v>
      </c>
      <c r="O290" s="111">
        <v>15</v>
      </c>
      <c r="P290" s="111" t="e">
        <f>ROUND(Tableau15[[#This Row],[LEN]]*#REF!+#REF!,0)</f>
        <v>#REF!</v>
      </c>
    </row>
    <row r="291" spans="1:16" s="97" customFormat="1" x14ac:dyDescent="0.25">
      <c r="A291" s="29" t="s">
        <v>1079</v>
      </c>
      <c r="B291" s="30" t="s">
        <v>1064</v>
      </c>
      <c r="C291" s="31" t="s">
        <v>97</v>
      </c>
      <c r="D291" s="71" t="s">
        <v>1177</v>
      </c>
      <c r="E291" s="31" t="s">
        <v>663</v>
      </c>
      <c r="F291" s="31" t="s">
        <v>2080</v>
      </c>
      <c r="G291" s="71" t="s">
        <v>166</v>
      </c>
      <c r="H291" s="71" t="s">
        <v>656</v>
      </c>
      <c r="I291" s="31"/>
      <c r="J291" s="32" t="s">
        <v>708</v>
      </c>
      <c r="K291" s="111">
        <f>ROUND(Tableau15[[#This Row],[LEN]]*7.27,0)</f>
        <v>145</v>
      </c>
      <c r="L291" s="111">
        <v>15</v>
      </c>
      <c r="M291" s="128" t="str">
        <f t="shared" si="2"/>
        <v>none</v>
      </c>
      <c r="N291" s="111">
        <f>LEN(Tableau15[[#This Row],[LABEL]])</f>
        <v>20</v>
      </c>
      <c r="O291" s="111">
        <v>15</v>
      </c>
      <c r="P291" s="111" t="e">
        <f>ROUND(Tableau15[[#This Row],[LEN]]*#REF!+#REF!,0)</f>
        <v>#REF!</v>
      </c>
    </row>
    <row r="292" spans="1:16" s="97" customFormat="1" x14ac:dyDescent="0.25">
      <c r="A292" s="25" t="s">
        <v>1065</v>
      </c>
      <c r="B292" s="26" t="s">
        <v>252</v>
      </c>
      <c r="C292" s="27" t="s">
        <v>1072</v>
      </c>
      <c r="D292" s="70" t="s">
        <v>1177</v>
      </c>
      <c r="E292" s="27" t="s">
        <v>666</v>
      </c>
      <c r="F292" s="27" t="s">
        <v>667</v>
      </c>
      <c r="G292" s="70" t="s">
        <v>166</v>
      </c>
      <c r="H292" s="70" t="s">
        <v>18</v>
      </c>
      <c r="I292" s="27"/>
      <c r="J292" s="28" t="s">
        <v>708</v>
      </c>
      <c r="K292" s="109">
        <f>ROUND(Tableau15[[#This Row],[LEN]]*7.27,0)</f>
        <v>422</v>
      </c>
      <c r="L292" s="109">
        <v>15</v>
      </c>
      <c r="M292" s="127" t="str">
        <f t="shared" si="2"/>
        <v>none</v>
      </c>
      <c r="N292" s="109">
        <f>LEN(Tableau15[[#This Row],[LABEL]])</f>
        <v>58</v>
      </c>
      <c r="O292" s="109">
        <v>15</v>
      </c>
      <c r="P292" s="109" t="e">
        <f>ROUND(Tableau15[[#This Row],[LEN]]*#REF!+#REF!,0)</f>
        <v>#REF!</v>
      </c>
    </row>
    <row r="293" spans="1:16" s="97" customFormat="1" x14ac:dyDescent="0.25">
      <c r="A293" s="25" t="s">
        <v>1066</v>
      </c>
      <c r="B293" s="26" t="s">
        <v>252</v>
      </c>
      <c r="C293" s="27" t="s">
        <v>1073</v>
      </c>
      <c r="D293" s="70" t="s">
        <v>1177</v>
      </c>
      <c r="E293" s="27" t="s">
        <v>666</v>
      </c>
      <c r="F293" s="27" t="s">
        <v>679</v>
      </c>
      <c r="G293" s="70" t="s">
        <v>166</v>
      </c>
      <c r="H293" s="70" t="s">
        <v>656</v>
      </c>
      <c r="I293" s="27"/>
      <c r="J293" s="28" t="s">
        <v>708</v>
      </c>
      <c r="K293" s="109">
        <f>ROUND(Tableau15[[#This Row],[LEN]]*7.27,0)</f>
        <v>393</v>
      </c>
      <c r="L293" s="109">
        <v>15</v>
      </c>
      <c r="M293" s="127" t="str">
        <f t="shared" si="2"/>
        <v>none</v>
      </c>
      <c r="N293" s="109">
        <f>LEN(Tableau15[[#This Row],[LABEL]])</f>
        <v>54</v>
      </c>
      <c r="O293" s="109">
        <v>15</v>
      </c>
      <c r="P293" s="109" t="e">
        <f>ROUND(Tableau15[[#This Row],[LEN]]*#REF!+#REF!,0)</f>
        <v>#REF!</v>
      </c>
    </row>
    <row r="294" spans="1:16" s="97" customFormat="1" x14ac:dyDescent="0.25">
      <c r="A294" s="25" t="s">
        <v>1067</v>
      </c>
      <c r="B294" s="26" t="s">
        <v>252</v>
      </c>
      <c r="C294" s="27" t="s">
        <v>1167</v>
      </c>
      <c r="D294" s="70" t="s">
        <v>486</v>
      </c>
      <c r="E294" s="27" t="s">
        <v>1085</v>
      </c>
      <c r="F294" s="27" t="s">
        <v>1084</v>
      </c>
      <c r="G294" s="70" t="s">
        <v>1977</v>
      </c>
      <c r="H294" s="70" t="s">
        <v>1131</v>
      </c>
      <c r="I294" s="27"/>
      <c r="J294" s="28" t="s">
        <v>708</v>
      </c>
      <c r="K294" s="109">
        <f>ROUND(Tableau15[[#This Row],[LEN]]*7.27,0)</f>
        <v>196</v>
      </c>
      <c r="L294" s="109">
        <v>15</v>
      </c>
      <c r="M294" s="127" t="str">
        <f t="shared" si="2"/>
        <v>none</v>
      </c>
      <c r="N294" s="109">
        <f>LEN(Tableau15[[#This Row],[LABEL]])</f>
        <v>27</v>
      </c>
      <c r="O294" s="109">
        <v>15</v>
      </c>
      <c r="P294" s="109" t="e">
        <f>ROUND(Tableau15[[#This Row],[LEN]]*#REF!+#REF!,0)</f>
        <v>#REF!</v>
      </c>
    </row>
    <row r="295" spans="1:16" s="97" customFormat="1" x14ac:dyDescent="0.25">
      <c r="A295" s="29" t="s">
        <v>1080</v>
      </c>
      <c r="B295" s="30" t="s">
        <v>1067</v>
      </c>
      <c r="C295" s="31" t="s">
        <v>93</v>
      </c>
      <c r="D295" s="71" t="s">
        <v>1177</v>
      </c>
      <c r="E295" s="31" t="s">
        <v>1085</v>
      </c>
      <c r="F295" s="31" t="s">
        <v>1084</v>
      </c>
      <c r="G295" s="71" t="s">
        <v>166</v>
      </c>
      <c r="H295" s="71" t="s">
        <v>18</v>
      </c>
      <c r="I295" s="31"/>
      <c r="J295" s="32" t="s">
        <v>101</v>
      </c>
      <c r="K295" s="111">
        <f>ROUND(Tableau15[[#This Row],[LEN]]*7.27,0)</f>
        <v>109</v>
      </c>
      <c r="L295" s="111">
        <v>15</v>
      </c>
      <c r="M295" s="128" t="str">
        <f t="shared" si="2"/>
        <v>new</v>
      </c>
      <c r="N295" s="111">
        <f>LEN(Tableau15[[#This Row],[LABEL]])</f>
        <v>15</v>
      </c>
      <c r="O295" s="111">
        <v>15</v>
      </c>
      <c r="P295" s="111" t="e">
        <f>ROUND(Tableau15[[#This Row],[LEN]]*#REF!+#REF!,0)</f>
        <v>#REF!</v>
      </c>
    </row>
    <row r="296" spans="1:16" s="97" customFormat="1" x14ac:dyDescent="0.25">
      <c r="A296" s="29" t="s">
        <v>1081</v>
      </c>
      <c r="B296" s="30" t="s">
        <v>1067</v>
      </c>
      <c r="C296" s="31" t="s">
        <v>94</v>
      </c>
      <c r="D296" s="71" t="s">
        <v>1177</v>
      </c>
      <c r="E296" s="31" t="s">
        <v>1085</v>
      </c>
      <c r="F296" s="31" t="s">
        <v>1084</v>
      </c>
      <c r="G296" s="71" t="s">
        <v>166</v>
      </c>
      <c r="H296" s="71" t="s">
        <v>18</v>
      </c>
      <c r="I296" s="31"/>
      <c r="J296" s="32" t="s">
        <v>102</v>
      </c>
      <c r="K296" s="111">
        <f>ROUND(Tableau15[[#This Row],[LEN]]*7.27,0)</f>
        <v>58</v>
      </c>
      <c r="L296" s="111">
        <v>15</v>
      </c>
      <c r="M296" s="128" t="str">
        <f t="shared" si="2"/>
        <v>new</v>
      </c>
      <c r="N296" s="111">
        <f>LEN(Tableau15[[#This Row],[LABEL]])</f>
        <v>8</v>
      </c>
      <c r="O296" s="111">
        <v>15</v>
      </c>
      <c r="P296" s="111" t="e">
        <f>ROUND(Tableau15[[#This Row],[LEN]]*#REF!+#REF!,0)</f>
        <v>#REF!</v>
      </c>
    </row>
    <row r="297" spans="1:16" s="273" customFormat="1" x14ac:dyDescent="0.25">
      <c r="A297" s="288" t="s">
        <v>253</v>
      </c>
      <c r="B297" s="289" t="s">
        <v>206</v>
      </c>
      <c r="C297" s="290" t="s">
        <v>80</v>
      </c>
      <c r="D297" s="291" t="s">
        <v>1177</v>
      </c>
      <c r="E297" s="290" t="s">
        <v>667</v>
      </c>
      <c r="F297" s="290" t="s">
        <v>1177</v>
      </c>
      <c r="G297" s="291" t="s">
        <v>166</v>
      </c>
      <c r="H297" s="291" t="str">
        <f>IFERROR(IF(SEARCH(".00.00.00.00.00",Tableau15[[#This Row],[name]],1)=7,"Division",""),"")</f>
        <v>Division</v>
      </c>
      <c r="I297" s="290"/>
      <c r="J297" s="292" t="s">
        <v>708</v>
      </c>
      <c r="K297" s="293">
        <f>ROUND(Tableau15[[#This Row],[LEN]]*7.27,0)</f>
        <v>116</v>
      </c>
      <c r="L297" s="293">
        <v>15</v>
      </c>
      <c r="M297" s="294" t="str">
        <f t="shared" si="2"/>
        <v>none</v>
      </c>
      <c r="N297" s="293">
        <f>LEN(Tableau15[[#This Row],[LABEL]])</f>
        <v>16</v>
      </c>
      <c r="O297" s="293">
        <v>15</v>
      </c>
      <c r="P297" s="293" t="e">
        <f>ROUND(Tableau15[[#This Row],[LEN]]*#REF!+#REF!,0)</f>
        <v>#REF!</v>
      </c>
    </row>
    <row r="298" spans="1:16" s="97" customFormat="1" x14ac:dyDescent="0.25">
      <c r="A298" s="25" t="s">
        <v>1115</v>
      </c>
      <c r="B298" s="26" t="s">
        <v>253</v>
      </c>
      <c r="C298" s="27" t="s">
        <v>1126</v>
      </c>
      <c r="D298" s="70" t="s">
        <v>1177</v>
      </c>
      <c r="E298" s="27" t="s">
        <v>666</v>
      </c>
      <c r="F298" s="27" t="s">
        <v>661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ROUND(Tableau15[[#This Row],[LEN]]*7.27,0)</f>
        <v>284</v>
      </c>
      <c r="L298" s="109">
        <v>15</v>
      </c>
      <c r="M298" s="127" t="str">
        <f t="shared" si="2"/>
        <v>none</v>
      </c>
      <c r="N298" s="109">
        <f>LEN(Tableau15[[#This Row],[LABEL]])</f>
        <v>39</v>
      </c>
      <c r="O298" s="109">
        <v>15</v>
      </c>
      <c r="P298" s="109" t="e">
        <f>ROUND(Tableau15[[#This Row],[LEN]]*#REF!+#REF!,0)</f>
        <v>#REF!</v>
      </c>
    </row>
    <row r="299" spans="1:16" s="97" customFormat="1" x14ac:dyDescent="0.25">
      <c r="A299" s="25" t="s">
        <v>1116</v>
      </c>
      <c r="B299" s="26" t="s">
        <v>253</v>
      </c>
      <c r="C299" s="27" t="s">
        <v>88</v>
      </c>
      <c r="D299" s="70" t="s">
        <v>1177</v>
      </c>
      <c r="E299" s="27" t="s">
        <v>667</v>
      </c>
      <c r="F299" s="27" t="s">
        <v>1218</v>
      </c>
      <c r="G299" s="70" t="s">
        <v>166</v>
      </c>
      <c r="H299" s="70" t="s">
        <v>570</v>
      </c>
      <c r="I299" s="27"/>
      <c r="J299" s="28" t="s">
        <v>708</v>
      </c>
      <c r="K299" s="109">
        <f>ROUND(Tableau15[[#This Row],[LEN]]*7.27,0)</f>
        <v>342</v>
      </c>
      <c r="L299" s="109">
        <v>15</v>
      </c>
      <c r="M299" s="127" t="str">
        <f t="shared" si="2"/>
        <v>none</v>
      </c>
      <c r="N299" s="109">
        <f>LEN(Tableau15[[#This Row],[LABEL]])</f>
        <v>47</v>
      </c>
      <c r="O299" s="109">
        <v>15</v>
      </c>
      <c r="P299" s="109" t="e">
        <f>ROUND(Tableau15[[#This Row],[LEN]]*#REF!+#REF!,0)</f>
        <v>#REF!</v>
      </c>
    </row>
    <row r="300" spans="1:16" s="97" customFormat="1" x14ac:dyDescent="0.25">
      <c r="A300" s="25" t="s">
        <v>1117</v>
      </c>
      <c r="B300" s="26" t="s">
        <v>253</v>
      </c>
      <c r="C300" s="27" t="s">
        <v>1071</v>
      </c>
      <c r="D300" s="70" t="s">
        <v>1177</v>
      </c>
      <c r="E300" s="27" t="s">
        <v>666</v>
      </c>
      <c r="F300" s="27" t="s">
        <v>663</v>
      </c>
      <c r="G300" s="70" t="s">
        <v>166</v>
      </c>
      <c r="H300" s="70" t="s">
        <v>655</v>
      </c>
      <c r="I300" s="27"/>
      <c r="J300" s="28" t="s">
        <v>708</v>
      </c>
      <c r="K300" s="109">
        <f>ROUND(Tableau15[[#This Row],[LEN]]*7.27,0)</f>
        <v>247</v>
      </c>
      <c r="L300" s="109">
        <v>15</v>
      </c>
      <c r="M300" s="127" t="str">
        <f t="shared" si="2"/>
        <v>none</v>
      </c>
      <c r="N300" s="109">
        <f>LEN(Tableau15[[#This Row],[LABEL]])</f>
        <v>34</v>
      </c>
      <c r="O300" s="109">
        <v>15</v>
      </c>
      <c r="P300" s="109" t="e">
        <f>ROUND(Tableau15[[#This Row],[LEN]]*#REF!+#REF!,0)</f>
        <v>#REF!</v>
      </c>
    </row>
    <row r="301" spans="1:16" s="97" customFormat="1" x14ac:dyDescent="0.25">
      <c r="A301" s="29" t="s">
        <v>1135</v>
      </c>
      <c r="B301" s="30" t="s">
        <v>1117</v>
      </c>
      <c r="C301" s="31" t="s">
        <v>1086</v>
      </c>
      <c r="D301" s="71" t="s">
        <v>1177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111">
        <f>ROUND(Tableau15[[#This Row],[LEN]]*7.27,0)</f>
        <v>87</v>
      </c>
      <c r="L301" s="111">
        <v>15</v>
      </c>
      <c r="M301" s="128" t="str">
        <f t="shared" si="2"/>
        <v>none</v>
      </c>
      <c r="N301" s="111">
        <f>LEN(Tableau15[[#This Row],[LABEL]])</f>
        <v>12</v>
      </c>
      <c r="O301" s="111">
        <v>15</v>
      </c>
      <c r="P301" s="111" t="e">
        <f>ROUND(Tableau15[[#This Row],[LEN]]*#REF!+#REF!,0)</f>
        <v>#REF!</v>
      </c>
    </row>
    <row r="302" spans="1:16" s="97" customFormat="1" x14ac:dyDescent="0.25">
      <c r="A302" s="86" t="s">
        <v>1138</v>
      </c>
      <c r="B302" s="87" t="s">
        <v>1135</v>
      </c>
      <c r="C302" s="88" t="s">
        <v>1088</v>
      </c>
      <c r="D302" s="89" t="s">
        <v>1177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ROUND(Tableau15[[#This Row],[LEN]]*7.27,0)</f>
        <v>196</v>
      </c>
      <c r="L302" s="112">
        <v>15</v>
      </c>
      <c r="M302" s="129" t="str">
        <f t="shared" si="2"/>
        <v>none</v>
      </c>
      <c r="N302" s="112">
        <f>LEN(Tableau15[[#This Row],[LABEL]])</f>
        <v>27</v>
      </c>
      <c r="O302" s="112">
        <v>15</v>
      </c>
      <c r="P302" s="112" t="e">
        <f>ROUND(Tableau15[[#This Row],[LEN]]*#REF!+#REF!,0)</f>
        <v>#REF!</v>
      </c>
    </row>
    <row r="303" spans="1:16" s="97" customFormat="1" x14ac:dyDescent="0.25">
      <c r="A303" s="86" t="s">
        <v>1139</v>
      </c>
      <c r="B303" s="87" t="s">
        <v>1135</v>
      </c>
      <c r="C303" s="88" t="s">
        <v>1089</v>
      </c>
      <c r="D303" s="89" t="s">
        <v>1177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ROUND(Tableau15[[#This Row],[LEN]]*7.27,0)</f>
        <v>36</v>
      </c>
      <c r="L303" s="112">
        <v>15</v>
      </c>
      <c r="M303" s="129" t="str">
        <f t="shared" si="2"/>
        <v>none</v>
      </c>
      <c r="N303" s="112">
        <f>LEN(Tableau15[[#This Row],[LABEL]])</f>
        <v>5</v>
      </c>
      <c r="O303" s="112">
        <v>15</v>
      </c>
      <c r="P303" s="112" t="e">
        <f>ROUND(Tableau15[[#This Row],[LEN]]*#REF!+#REF!,0)</f>
        <v>#REF!</v>
      </c>
    </row>
    <row r="304" spans="1:16" s="97" customFormat="1" x14ac:dyDescent="0.25">
      <c r="A304" s="86" t="s">
        <v>1140</v>
      </c>
      <c r="B304" s="87" t="s">
        <v>1135</v>
      </c>
      <c r="C304" s="88" t="s">
        <v>1090</v>
      </c>
      <c r="D304" s="89" t="s">
        <v>1177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ROUND(Tableau15[[#This Row],[LEN]]*7.27,0)</f>
        <v>29</v>
      </c>
      <c r="L304" s="112">
        <v>15</v>
      </c>
      <c r="M304" s="129" t="str">
        <f t="shared" si="2"/>
        <v>none</v>
      </c>
      <c r="N304" s="112">
        <f>LEN(Tableau15[[#This Row],[LABEL]])</f>
        <v>4</v>
      </c>
      <c r="O304" s="112">
        <v>15</v>
      </c>
      <c r="P304" s="112" t="e">
        <f>ROUND(Tableau15[[#This Row],[LEN]]*#REF!+#REF!,0)</f>
        <v>#REF!</v>
      </c>
    </row>
    <row r="305" spans="1:16" s="97" customFormat="1" x14ac:dyDescent="0.25">
      <c r="A305" s="86" t="s">
        <v>1141</v>
      </c>
      <c r="B305" s="87" t="s">
        <v>1135</v>
      </c>
      <c r="C305" s="88" t="s">
        <v>1091</v>
      </c>
      <c r="D305" s="89" t="s">
        <v>1177</v>
      </c>
      <c r="E305" s="88" t="s">
        <v>666</v>
      </c>
      <c r="F305" s="88" t="s">
        <v>828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ROUND(Tableau15[[#This Row],[LEN]]*7.27,0)</f>
        <v>102</v>
      </c>
      <c r="L305" s="112">
        <v>15</v>
      </c>
      <c r="M305" s="129" t="str">
        <f t="shared" si="2"/>
        <v>none</v>
      </c>
      <c r="N305" s="112">
        <f>LEN(Tableau15[[#This Row],[LABEL]])</f>
        <v>14</v>
      </c>
      <c r="O305" s="112">
        <v>15</v>
      </c>
      <c r="P305" s="112" t="e">
        <f>ROUND(Tableau15[[#This Row],[LEN]]*#REF!+#REF!,0)</f>
        <v>#REF!</v>
      </c>
    </row>
    <row r="306" spans="1:16" s="97" customFormat="1" x14ac:dyDescent="0.25">
      <c r="A306" s="86" t="s">
        <v>1142</v>
      </c>
      <c r="B306" s="212" t="s">
        <v>1135</v>
      </c>
      <c r="C306" s="88" t="s">
        <v>1092</v>
      </c>
      <c r="D306" s="89" t="s">
        <v>1177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ROUND(Tableau15[[#This Row],[LEN]]*7.27,0)</f>
        <v>153</v>
      </c>
      <c r="L306" s="112">
        <v>15</v>
      </c>
      <c r="M306" s="129" t="str">
        <f t="shared" si="2"/>
        <v>none</v>
      </c>
      <c r="N306" s="112">
        <f>LEN(Tableau15[[#This Row],[LABEL]])</f>
        <v>21</v>
      </c>
      <c r="O306" s="112">
        <v>15</v>
      </c>
      <c r="P306" s="112" t="e">
        <f>ROUND(Tableau15[[#This Row],[LEN]]*#REF!+#REF!,0)</f>
        <v>#REF!</v>
      </c>
    </row>
    <row r="307" spans="1:16" s="97" customFormat="1" x14ac:dyDescent="0.25">
      <c r="A307" s="86" t="s">
        <v>1143</v>
      </c>
      <c r="B307" s="212" t="s">
        <v>1135</v>
      </c>
      <c r="C307" s="88" t="s">
        <v>1093</v>
      </c>
      <c r="D307" s="89" t="s">
        <v>1177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112">
        <f>ROUND(Tableau15[[#This Row],[LEN]]*7.27,0)</f>
        <v>269</v>
      </c>
      <c r="L307" s="112">
        <v>15</v>
      </c>
      <c r="M307" s="129" t="str">
        <f t="shared" si="2"/>
        <v>none</v>
      </c>
      <c r="N307" s="112">
        <f>LEN(Tableau15[[#This Row],[LABEL]])</f>
        <v>37</v>
      </c>
      <c r="O307" s="112">
        <v>15</v>
      </c>
      <c r="P307" s="112" t="e">
        <f>ROUND(Tableau15[[#This Row],[LEN]]*#REF!+#REF!,0)</f>
        <v>#REF!</v>
      </c>
    </row>
    <row r="308" spans="1:16" s="97" customFormat="1" x14ac:dyDescent="0.25">
      <c r="A308" s="29" t="s">
        <v>1136</v>
      </c>
      <c r="B308" s="30" t="s">
        <v>1117</v>
      </c>
      <c r="C308" s="31" t="s">
        <v>1087</v>
      </c>
      <c r="D308" s="71" t="s">
        <v>1177</v>
      </c>
      <c r="E308" s="31" t="s">
        <v>666</v>
      </c>
      <c r="F308" s="31" t="s">
        <v>828</v>
      </c>
      <c r="G308" s="71" t="s">
        <v>166</v>
      </c>
      <c r="H308" s="71" t="s">
        <v>655</v>
      </c>
      <c r="I308" s="31"/>
      <c r="J308" s="32" t="s">
        <v>708</v>
      </c>
      <c r="K308" s="111">
        <f>ROUND(Tableau15[[#This Row],[LEN]]*7.27,0)</f>
        <v>109</v>
      </c>
      <c r="L308" s="111">
        <v>15</v>
      </c>
      <c r="M308" s="128" t="str">
        <f t="shared" si="2"/>
        <v>none</v>
      </c>
      <c r="N308" s="111">
        <f>LEN(Tableau15[[#This Row],[LABEL]])</f>
        <v>15</v>
      </c>
      <c r="O308" s="111">
        <v>15</v>
      </c>
      <c r="P308" s="111" t="e">
        <f>ROUND(Tableau15[[#This Row],[LEN]]*#REF!+#REF!,0)</f>
        <v>#REF!</v>
      </c>
    </row>
    <row r="309" spans="1:16" s="97" customFormat="1" x14ac:dyDescent="0.25">
      <c r="A309" s="86" t="s">
        <v>1144</v>
      </c>
      <c r="B309" s="87" t="s">
        <v>1136</v>
      </c>
      <c r="C309" s="88" t="s">
        <v>1100</v>
      </c>
      <c r="D309" s="89" t="s">
        <v>1177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ROUND(Tableau15[[#This Row],[LEN]]*7.27,0)</f>
        <v>22</v>
      </c>
      <c r="L309" s="112">
        <v>15</v>
      </c>
      <c r="M309" s="129" t="str">
        <f t="shared" si="2"/>
        <v>none</v>
      </c>
      <c r="N309" s="112">
        <f>LEN(Tableau15[[#This Row],[LABEL]])</f>
        <v>3</v>
      </c>
      <c r="O309" s="112">
        <v>15</v>
      </c>
      <c r="P309" s="112" t="e">
        <f>ROUND(Tableau15[[#This Row],[LEN]]*#REF!+#REF!,0)</f>
        <v>#REF!</v>
      </c>
    </row>
    <row r="310" spans="1:16" s="97" customFormat="1" x14ac:dyDescent="0.25">
      <c r="A310" s="86" t="s">
        <v>1145</v>
      </c>
      <c r="B310" s="87" t="s">
        <v>1136</v>
      </c>
      <c r="C310" s="88" t="s">
        <v>1101</v>
      </c>
      <c r="D310" s="89" t="s">
        <v>1177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ROUND(Tableau15[[#This Row],[LEN]]*7.27,0)</f>
        <v>36</v>
      </c>
      <c r="L310" s="112">
        <v>15</v>
      </c>
      <c r="M310" s="129" t="str">
        <f t="shared" si="2"/>
        <v>none</v>
      </c>
      <c r="N310" s="112">
        <f>LEN(Tableau15[[#This Row],[LABEL]])</f>
        <v>5</v>
      </c>
      <c r="O310" s="112">
        <v>15</v>
      </c>
      <c r="P310" s="112" t="e">
        <f>ROUND(Tableau15[[#This Row],[LEN]]*#REF!+#REF!,0)</f>
        <v>#REF!</v>
      </c>
    </row>
    <row r="311" spans="1:16" s="97" customFormat="1" x14ac:dyDescent="0.25">
      <c r="A311" s="86" t="s">
        <v>1146</v>
      </c>
      <c r="B311" s="87" t="s">
        <v>1136</v>
      </c>
      <c r="C311" s="88" t="s">
        <v>812</v>
      </c>
      <c r="D311" s="89" t="s">
        <v>1177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112">
        <f>ROUND(Tableau15[[#This Row],[LEN]]*7.27,0)</f>
        <v>131</v>
      </c>
      <c r="L311" s="112">
        <v>15</v>
      </c>
      <c r="M311" s="129" t="str">
        <f t="shared" si="2"/>
        <v>none</v>
      </c>
      <c r="N311" s="112">
        <f>LEN(Tableau15[[#This Row],[LABEL]])</f>
        <v>18</v>
      </c>
      <c r="O311" s="112">
        <v>15</v>
      </c>
      <c r="P311" s="112" t="e">
        <f>ROUND(Tableau15[[#This Row],[LEN]]*#REF!+#REF!,0)</f>
        <v>#REF!</v>
      </c>
    </row>
    <row r="312" spans="1:16" s="97" customFormat="1" x14ac:dyDescent="0.25">
      <c r="A312" s="29" t="s">
        <v>1137</v>
      </c>
      <c r="B312" s="30" t="s">
        <v>1117</v>
      </c>
      <c r="C312" s="31" t="s">
        <v>15</v>
      </c>
      <c r="D312" s="71" t="s">
        <v>1177</v>
      </c>
      <c r="E312" s="31" t="s">
        <v>666</v>
      </c>
      <c r="F312" s="31" t="s">
        <v>828</v>
      </c>
      <c r="G312" s="71" t="s">
        <v>166</v>
      </c>
      <c r="H312" s="71" t="s">
        <v>655</v>
      </c>
      <c r="I312" s="31"/>
      <c r="J312" s="32" t="s">
        <v>708</v>
      </c>
      <c r="K312" s="111">
        <f>ROUND(Tableau15[[#This Row],[LEN]]*7.27,0)</f>
        <v>174</v>
      </c>
      <c r="L312" s="111">
        <v>15</v>
      </c>
      <c r="M312" s="128" t="str">
        <f t="shared" si="2"/>
        <v>none</v>
      </c>
      <c r="N312" s="111">
        <f>LEN(Tableau15[[#This Row],[LABEL]])</f>
        <v>24</v>
      </c>
      <c r="O312" s="111">
        <v>15</v>
      </c>
      <c r="P312" s="111" t="e">
        <f>ROUND(Tableau15[[#This Row],[LEN]]*#REF!+#REF!,0)</f>
        <v>#REF!</v>
      </c>
    </row>
    <row r="313" spans="1:16" s="97" customFormat="1" x14ac:dyDescent="0.25">
      <c r="A313" s="86" t="s">
        <v>1147</v>
      </c>
      <c r="B313" s="87" t="s">
        <v>1137</v>
      </c>
      <c r="C313" s="88" t="s">
        <v>1100</v>
      </c>
      <c r="D313" s="89" t="s">
        <v>1177</v>
      </c>
      <c r="E313" s="88" t="s">
        <v>666</v>
      </c>
      <c r="F313" s="88" t="s">
        <v>828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ROUND(Tableau15[[#This Row],[LEN]]*7.27,0)</f>
        <v>22</v>
      </c>
      <c r="L313" s="112">
        <v>15</v>
      </c>
      <c r="M313" s="129" t="str">
        <f t="shared" si="2"/>
        <v>none</v>
      </c>
      <c r="N313" s="112">
        <f>LEN(Tableau15[[#This Row],[LABEL]])</f>
        <v>3</v>
      </c>
      <c r="O313" s="112">
        <v>15</v>
      </c>
      <c r="P313" s="112" t="e">
        <f>ROUND(Tableau15[[#This Row],[LEN]]*#REF!+#REF!,0)</f>
        <v>#REF!</v>
      </c>
    </row>
    <row r="314" spans="1:16" s="97" customFormat="1" x14ac:dyDescent="0.25">
      <c r="A314" s="86" t="s">
        <v>1148</v>
      </c>
      <c r="B314" s="87" t="s">
        <v>1137</v>
      </c>
      <c r="C314" s="88" t="s">
        <v>807</v>
      </c>
      <c r="D314" s="89" t="s">
        <v>1177</v>
      </c>
      <c r="E314" s="88" t="s">
        <v>666</v>
      </c>
      <c r="F314" s="88" t="s">
        <v>828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ROUND(Tableau15[[#This Row],[LEN]]*7.27,0)</f>
        <v>218</v>
      </c>
      <c r="L314" s="112">
        <v>15</v>
      </c>
      <c r="M314" s="129" t="str">
        <f t="shared" si="2"/>
        <v>none</v>
      </c>
      <c r="N314" s="112">
        <f>LEN(Tableau15[[#This Row],[LABEL]])</f>
        <v>30</v>
      </c>
      <c r="O314" s="112">
        <v>15</v>
      </c>
      <c r="P314" s="112" t="e">
        <f>ROUND(Tableau15[[#This Row],[LEN]]*#REF!+#REF!,0)</f>
        <v>#REF!</v>
      </c>
    </row>
    <row r="315" spans="1:16" s="97" customFormat="1" x14ac:dyDescent="0.25">
      <c r="A315" s="86" t="s">
        <v>1149</v>
      </c>
      <c r="B315" s="87" t="s">
        <v>1137</v>
      </c>
      <c r="C315" s="88" t="s">
        <v>1112</v>
      </c>
      <c r="D315" s="89" t="s">
        <v>1177</v>
      </c>
      <c r="E315" s="88" t="s">
        <v>666</v>
      </c>
      <c r="F315" s="88" t="s">
        <v>828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ROUND(Tableau15[[#This Row],[LEN]]*7.27,0)</f>
        <v>240</v>
      </c>
      <c r="L315" s="112">
        <v>15</v>
      </c>
      <c r="M315" s="129" t="str">
        <f t="shared" si="2"/>
        <v>none</v>
      </c>
      <c r="N315" s="112">
        <f>LEN(Tableau15[[#This Row],[LABEL]])</f>
        <v>33</v>
      </c>
      <c r="O315" s="112">
        <v>15</v>
      </c>
      <c r="P315" s="112" t="e">
        <f>ROUND(Tableau15[[#This Row],[LEN]]*#REF!+#REF!,0)</f>
        <v>#REF!</v>
      </c>
    </row>
    <row r="316" spans="1:16" s="97" customFormat="1" x14ac:dyDescent="0.25">
      <c r="A316" s="86" t="s">
        <v>1150</v>
      </c>
      <c r="B316" s="87" t="s">
        <v>1137</v>
      </c>
      <c r="C316" s="88" t="s">
        <v>1113</v>
      </c>
      <c r="D316" s="89" t="s">
        <v>1177</v>
      </c>
      <c r="E316" s="88" t="s">
        <v>666</v>
      </c>
      <c r="F316" s="88" t="s">
        <v>828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ROUND(Tableau15[[#This Row],[LEN]]*7.27,0)</f>
        <v>116</v>
      </c>
      <c r="L316" s="112">
        <v>15</v>
      </c>
      <c r="M316" s="129" t="str">
        <f t="shared" si="2"/>
        <v>none</v>
      </c>
      <c r="N316" s="112">
        <f>LEN(Tableau15[[#This Row],[LABEL]])</f>
        <v>16</v>
      </c>
      <c r="O316" s="112">
        <v>15</v>
      </c>
      <c r="P316" s="112" t="e">
        <f>ROUND(Tableau15[[#This Row],[LEN]]*#REF!+#REF!,0)</f>
        <v>#REF!</v>
      </c>
    </row>
    <row r="317" spans="1:16" s="97" customFormat="1" x14ac:dyDescent="0.25">
      <c r="A317" s="86" t="s">
        <v>1151</v>
      </c>
      <c r="B317" s="87" t="s">
        <v>1137</v>
      </c>
      <c r="C317" s="88" t="s">
        <v>1114</v>
      </c>
      <c r="D317" s="89" t="s">
        <v>1177</v>
      </c>
      <c r="E317" s="88" t="s">
        <v>666</v>
      </c>
      <c r="F317" s="88" t="s">
        <v>828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ROUND(Tableau15[[#This Row],[LEN]]*7.27,0)</f>
        <v>116</v>
      </c>
      <c r="L317" s="112">
        <v>15</v>
      </c>
      <c r="M317" s="129" t="str">
        <f t="shared" si="2"/>
        <v>none</v>
      </c>
      <c r="N317" s="112">
        <f>LEN(Tableau15[[#This Row],[LABEL]])</f>
        <v>16</v>
      </c>
      <c r="O317" s="112">
        <v>15</v>
      </c>
      <c r="P317" s="112" t="e">
        <f>ROUND(Tableau15[[#This Row],[LEN]]*#REF!+#REF!,0)</f>
        <v>#REF!</v>
      </c>
    </row>
    <row r="318" spans="1:16" s="97" customFormat="1" x14ac:dyDescent="0.25">
      <c r="A318" s="86" t="s">
        <v>1152</v>
      </c>
      <c r="B318" s="87" t="s">
        <v>1137</v>
      </c>
      <c r="C318" s="88" t="s">
        <v>806</v>
      </c>
      <c r="D318" s="89" t="s">
        <v>1177</v>
      </c>
      <c r="E318" s="88" t="s">
        <v>666</v>
      </c>
      <c r="F318" s="88" t="s">
        <v>828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ROUND(Tableau15[[#This Row],[LEN]]*7.27,0)</f>
        <v>174</v>
      </c>
      <c r="L318" s="112">
        <v>15</v>
      </c>
      <c r="M318" s="129" t="str">
        <f t="shared" si="2"/>
        <v>none</v>
      </c>
      <c r="N318" s="112">
        <f>LEN(Tableau15[[#This Row],[LABEL]])</f>
        <v>24</v>
      </c>
      <c r="O318" s="112">
        <v>15</v>
      </c>
      <c r="P318" s="112" t="e">
        <f>ROUND(Tableau15[[#This Row],[LEN]]*#REF!+#REF!,0)</f>
        <v>#REF!</v>
      </c>
    </row>
    <row r="319" spans="1:16" s="97" customFormat="1" x14ac:dyDescent="0.25">
      <c r="A319" s="86" t="s">
        <v>1153</v>
      </c>
      <c r="B319" s="87" t="s">
        <v>1137</v>
      </c>
      <c r="C319" s="88" t="s">
        <v>812</v>
      </c>
      <c r="D319" s="89" t="s">
        <v>1177</v>
      </c>
      <c r="E319" s="88" t="s">
        <v>666</v>
      </c>
      <c r="F319" s="88" t="s">
        <v>828</v>
      </c>
      <c r="G319" s="89" t="s">
        <v>166</v>
      </c>
      <c r="H319" s="90" t="s">
        <v>18</v>
      </c>
      <c r="I319" s="88"/>
      <c r="J319" s="91" t="s">
        <v>708</v>
      </c>
      <c r="K319" s="112">
        <f>ROUND(Tableau15[[#This Row],[LEN]]*7.27,0)</f>
        <v>131</v>
      </c>
      <c r="L319" s="112">
        <v>15</v>
      </c>
      <c r="M319" s="129" t="str">
        <f t="shared" si="2"/>
        <v>none</v>
      </c>
      <c r="N319" s="112">
        <f>LEN(Tableau15[[#This Row],[LABEL]])</f>
        <v>18</v>
      </c>
      <c r="O319" s="112">
        <v>15</v>
      </c>
      <c r="P319" s="112" t="e">
        <f>ROUND(Tableau15[[#This Row],[LEN]]*#REF!+#REF!,0)</f>
        <v>#REF!</v>
      </c>
    </row>
    <row r="320" spans="1:16" s="97" customFormat="1" x14ac:dyDescent="0.25">
      <c r="A320" s="25" t="s">
        <v>1118</v>
      </c>
      <c r="B320" s="26" t="s">
        <v>253</v>
      </c>
      <c r="C320" s="27" t="s">
        <v>1127</v>
      </c>
      <c r="D320" s="70" t="s">
        <v>1177</v>
      </c>
      <c r="E320" s="27" t="s">
        <v>667</v>
      </c>
      <c r="F320" s="27" t="s">
        <v>1132</v>
      </c>
      <c r="G320" s="70" t="s">
        <v>166</v>
      </c>
      <c r="H320" s="70" t="s">
        <v>654</v>
      </c>
      <c r="I320" s="27"/>
      <c r="J320" s="28" t="s">
        <v>708</v>
      </c>
      <c r="K320" s="109">
        <f>ROUND(Tableau15[[#This Row],[LEN]]*7.27,0)</f>
        <v>291</v>
      </c>
      <c r="L320" s="109">
        <v>15</v>
      </c>
      <c r="M320" s="127" t="str">
        <f t="shared" si="2"/>
        <v>none</v>
      </c>
      <c r="N320" s="109">
        <f>LEN(Tableau15[[#This Row],[LABEL]])</f>
        <v>40</v>
      </c>
      <c r="O320" s="109">
        <v>15</v>
      </c>
      <c r="P320" s="109" t="e">
        <f>ROUND(Tableau15[[#This Row],[LEN]]*#REF!+#REF!,0)</f>
        <v>#REF!</v>
      </c>
    </row>
    <row r="321" spans="1:16" s="97" customFormat="1" x14ac:dyDescent="0.25">
      <c r="A321" s="25" t="s">
        <v>1119</v>
      </c>
      <c r="B321" s="26" t="s">
        <v>253</v>
      </c>
      <c r="C321" s="27" t="s">
        <v>1128</v>
      </c>
      <c r="D321" s="70" t="s">
        <v>1177</v>
      </c>
      <c r="E321" s="27" t="s">
        <v>667</v>
      </c>
      <c r="F321" s="27" t="s">
        <v>1177</v>
      </c>
      <c r="G321" s="70" t="s">
        <v>166</v>
      </c>
      <c r="H321" s="70" t="s">
        <v>656</v>
      </c>
      <c r="I321" s="27"/>
      <c r="J321" s="28" t="s">
        <v>708</v>
      </c>
      <c r="K321" s="109">
        <f>ROUND(Tableau15[[#This Row],[LEN]]*7.27,0)</f>
        <v>422</v>
      </c>
      <c r="L321" s="109">
        <v>15</v>
      </c>
      <c r="M321" s="127" t="str">
        <f t="shared" si="2"/>
        <v>none</v>
      </c>
      <c r="N321" s="109">
        <f>LEN(Tableau15[[#This Row],[LABEL]])</f>
        <v>58</v>
      </c>
      <c r="O321" s="109">
        <v>15</v>
      </c>
      <c r="P321" s="109" t="e">
        <f>ROUND(Tableau15[[#This Row],[LEN]]*#REF!+#REF!,0)</f>
        <v>#REF!</v>
      </c>
    </row>
    <row r="322" spans="1:16" s="97" customFormat="1" x14ac:dyDescent="0.25">
      <c r="A322" s="25" t="s">
        <v>1120</v>
      </c>
      <c r="B322" s="26" t="s">
        <v>253</v>
      </c>
      <c r="C322" s="27" t="s">
        <v>1154</v>
      </c>
      <c r="D322" s="70" t="s">
        <v>1177</v>
      </c>
      <c r="E322" s="27" t="s">
        <v>667</v>
      </c>
      <c r="F322" s="27" t="s">
        <v>1133</v>
      </c>
      <c r="G322" s="70" t="s">
        <v>166</v>
      </c>
      <c r="H322" s="70" t="s">
        <v>18</v>
      </c>
      <c r="I322" s="27"/>
      <c r="J322" s="28" t="s">
        <v>102</v>
      </c>
      <c r="K322" s="109">
        <f>ROUND(Tableau15[[#This Row],[LEN]]*7.27,0)</f>
        <v>443</v>
      </c>
      <c r="L322" s="109">
        <v>15</v>
      </c>
      <c r="M322" s="127" t="str">
        <f t="shared" si="2"/>
        <v>new</v>
      </c>
      <c r="N322" s="109">
        <f>LEN(Tableau15[[#This Row],[LABEL]])</f>
        <v>61</v>
      </c>
      <c r="O322" s="109">
        <v>15</v>
      </c>
      <c r="P322" s="109" t="e">
        <f>ROUND(Tableau15[[#This Row],[LEN]]*#REF!+#REF!,0)</f>
        <v>#REF!</v>
      </c>
    </row>
    <row r="323" spans="1:16" s="97" customFormat="1" x14ac:dyDescent="0.25">
      <c r="A323" s="25" t="s">
        <v>1121</v>
      </c>
      <c r="B323" s="26" t="s">
        <v>253</v>
      </c>
      <c r="C323" s="27" t="s">
        <v>778</v>
      </c>
      <c r="D323" s="70" t="s">
        <v>1177</v>
      </c>
      <c r="E323" s="27" t="s">
        <v>673</v>
      </c>
      <c r="F323" s="27" t="s">
        <v>2000</v>
      </c>
      <c r="G323" s="70" t="s">
        <v>166</v>
      </c>
      <c r="H323" s="70" t="s">
        <v>17</v>
      </c>
      <c r="I323" s="27"/>
      <c r="J323" s="28" t="s">
        <v>708</v>
      </c>
      <c r="K323" s="109">
        <f>ROUND(Tableau15[[#This Row],[LEN]]*7.27,0)</f>
        <v>211</v>
      </c>
      <c r="L323" s="109">
        <v>15</v>
      </c>
      <c r="M323" s="127" t="str">
        <f t="shared" si="2"/>
        <v>none</v>
      </c>
      <c r="N323" s="109">
        <f>LEN(Tableau15[[#This Row],[LABEL]])</f>
        <v>29</v>
      </c>
      <c r="O323" s="109">
        <v>15</v>
      </c>
      <c r="P323" s="109" t="e">
        <f>ROUND(Tableau15[[#This Row],[LEN]]*#REF!+#REF!,0)</f>
        <v>#REF!</v>
      </c>
    </row>
    <row r="324" spans="1:16" s="97" customFormat="1" x14ac:dyDescent="0.25">
      <c r="A324" s="25" t="s">
        <v>1122</v>
      </c>
      <c r="B324" s="26" t="s">
        <v>253</v>
      </c>
      <c r="C324" s="27" t="s">
        <v>92</v>
      </c>
      <c r="D324" s="70" t="s">
        <v>1177</v>
      </c>
      <c r="E324" s="27" t="s">
        <v>663</v>
      </c>
      <c r="F324" s="27" t="s">
        <v>2080</v>
      </c>
      <c r="G324" s="70" t="s">
        <v>166</v>
      </c>
      <c r="H324" s="70" t="s">
        <v>655</v>
      </c>
      <c r="I324" s="27"/>
      <c r="J324" s="28" t="s">
        <v>708</v>
      </c>
      <c r="K324" s="109">
        <f>ROUND(Tableau15[[#This Row],[LEN]]*7.27,0)</f>
        <v>262</v>
      </c>
      <c r="L324" s="109">
        <v>15</v>
      </c>
      <c r="M324" s="127" t="str">
        <f t="shared" si="2"/>
        <v>none</v>
      </c>
      <c r="N324" s="109">
        <f>LEN(Tableau15[[#This Row],[LABEL]])</f>
        <v>36</v>
      </c>
      <c r="O324" s="109">
        <v>15</v>
      </c>
      <c r="P324" s="109" t="e">
        <f>ROUND(Tableau15[[#This Row],[LEN]]*#REF!+#REF!,0)</f>
        <v>#REF!</v>
      </c>
    </row>
    <row r="325" spans="1:16" s="97" customFormat="1" x14ac:dyDescent="0.25">
      <c r="A325" s="29" t="s">
        <v>1155</v>
      </c>
      <c r="B325" s="30" t="s">
        <v>1122</v>
      </c>
      <c r="C325" s="31" t="s">
        <v>95</v>
      </c>
      <c r="D325" s="71" t="s">
        <v>1177</v>
      </c>
      <c r="E325" s="31" t="s">
        <v>663</v>
      </c>
      <c r="F325" s="31" t="s">
        <v>2080</v>
      </c>
      <c r="G325" s="71" t="s">
        <v>166</v>
      </c>
      <c r="H325" s="71" t="s">
        <v>17</v>
      </c>
      <c r="I325" s="31"/>
      <c r="J325" s="32" t="s">
        <v>708</v>
      </c>
      <c r="K325" s="111">
        <f>ROUND(Tableau15[[#This Row],[LEN]]*7.27,0)</f>
        <v>254</v>
      </c>
      <c r="L325" s="111">
        <v>15</v>
      </c>
      <c r="M325" s="128" t="str">
        <f t="shared" si="2"/>
        <v>none</v>
      </c>
      <c r="N325" s="111">
        <f>LEN(Tableau15[[#This Row],[LABEL]])</f>
        <v>35</v>
      </c>
      <c r="O325" s="111">
        <v>15</v>
      </c>
      <c r="P325" s="111" t="e">
        <f>ROUND(Tableau15[[#This Row],[LEN]]*#REF!+#REF!,0)</f>
        <v>#REF!</v>
      </c>
    </row>
    <row r="326" spans="1:16" s="97" customFormat="1" x14ac:dyDescent="0.25">
      <c r="A326" s="29" t="s">
        <v>1156</v>
      </c>
      <c r="B326" s="30" t="s">
        <v>1122</v>
      </c>
      <c r="C326" s="31" t="s">
        <v>96</v>
      </c>
      <c r="D326" s="71" t="s">
        <v>1177</v>
      </c>
      <c r="E326" s="31" t="s">
        <v>663</v>
      </c>
      <c r="F326" s="31" t="s">
        <v>2080</v>
      </c>
      <c r="G326" s="71" t="s">
        <v>166</v>
      </c>
      <c r="H326" s="71" t="s">
        <v>654</v>
      </c>
      <c r="I326" s="31"/>
      <c r="J326" s="32" t="s">
        <v>708</v>
      </c>
      <c r="K326" s="111">
        <f>ROUND(Tableau15[[#This Row],[LEN]]*7.27,0)</f>
        <v>233</v>
      </c>
      <c r="L326" s="111">
        <v>15</v>
      </c>
      <c r="M326" s="128" t="str">
        <f t="shared" si="2"/>
        <v>none</v>
      </c>
      <c r="N326" s="111">
        <f>LEN(Tableau15[[#This Row],[LABEL]])</f>
        <v>32</v>
      </c>
      <c r="O326" s="111">
        <v>15</v>
      </c>
      <c r="P326" s="111" t="e">
        <f>ROUND(Tableau15[[#This Row],[LEN]]*#REF!+#REF!,0)</f>
        <v>#REF!</v>
      </c>
    </row>
    <row r="327" spans="1:16" s="97" customFormat="1" x14ac:dyDescent="0.25">
      <c r="A327" s="29" t="s">
        <v>1157</v>
      </c>
      <c r="B327" s="30" t="s">
        <v>1122</v>
      </c>
      <c r="C327" s="31" t="s">
        <v>97</v>
      </c>
      <c r="D327" s="71" t="s">
        <v>1177</v>
      </c>
      <c r="E327" s="31" t="s">
        <v>663</v>
      </c>
      <c r="F327" s="31" t="s">
        <v>2080</v>
      </c>
      <c r="G327" s="71" t="s">
        <v>166</v>
      </c>
      <c r="H327" s="71" t="s">
        <v>656</v>
      </c>
      <c r="I327" s="31"/>
      <c r="J327" s="32" t="s">
        <v>708</v>
      </c>
      <c r="K327" s="111">
        <f>ROUND(Tableau15[[#This Row],[LEN]]*7.27,0)</f>
        <v>145</v>
      </c>
      <c r="L327" s="111">
        <v>15</v>
      </c>
      <c r="M327" s="128" t="str">
        <f t="shared" si="2"/>
        <v>none</v>
      </c>
      <c r="N327" s="111">
        <f>LEN(Tableau15[[#This Row],[LABEL]])</f>
        <v>20</v>
      </c>
      <c r="O327" s="111">
        <v>15</v>
      </c>
      <c r="P327" s="111" t="e">
        <f>ROUND(Tableau15[[#This Row],[LEN]]*#REF!+#REF!,0)</f>
        <v>#REF!</v>
      </c>
    </row>
    <row r="328" spans="1:16" s="97" customFormat="1" x14ac:dyDescent="0.25">
      <c r="A328" s="25" t="s">
        <v>1123</v>
      </c>
      <c r="B328" s="26" t="s">
        <v>253</v>
      </c>
      <c r="C328" s="27" t="s">
        <v>1129</v>
      </c>
      <c r="D328" s="70" t="s">
        <v>1177</v>
      </c>
      <c r="E328" s="27" t="s">
        <v>667</v>
      </c>
      <c r="F328" s="27" t="s">
        <v>1134</v>
      </c>
      <c r="G328" s="70" t="s">
        <v>166</v>
      </c>
      <c r="H328" s="70" t="s">
        <v>18</v>
      </c>
      <c r="I328" s="27"/>
      <c r="J328" s="28" t="s">
        <v>101</v>
      </c>
      <c r="K328" s="109">
        <f>ROUND(Tableau15[[#This Row],[LEN]]*7.27,0)</f>
        <v>436</v>
      </c>
      <c r="L328" s="109">
        <v>15</v>
      </c>
      <c r="M328" s="127" t="str">
        <f t="shared" si="2"/>
        <v>new</v>
      </c>
      <c r="N328" s="109">
        <f>LEN(Tableau15[[#This Row],[LABEL]])</f>
        <v>60</v>
      </c>
      <c r="O328" s="109">
        <v>15</v>
      </c>
      <c r="P328" s="109" t="e">
        <f>ROUND(Tableau15[[#This Row],[LEN]]*#REF!+#REF!,0)</f>
        <v>#REF!</v>
      </c>
    </row>
    <row r="329" spans="1:16" s="97" customFormat="1" x14ac:dyDescent="0.25">
      <c r="A329" s="25" t="s">
        <v>1124</v>
      </c>
      <c r="B329" s="26" t="s">
        <v>253</v>
      </c>
      <c r="C329" s="27" t="s">
        <v>1130</v>
      </c>
      <c r="D329" s="70" t="s">
        <v>1177</v>
      </c>
      <c r="E329" s="27" t="s">
        <v>667</v>
      </c>
      <c r="F329" s="27" t="s">
        <v>1134</v>
      </c>
      <c r="G329" s="70" t="s">
        <v>166</v>
      </c>
      <c r="H329" s="70" t="s">
        <v>18</v>
      </c>
      <c r="I329" s="27"/>
      <c r="J329" s="28" t="s">
        <v>708</v>
      </c>
      <c r="K329" s="109">
        <f>ROUND(Tableau15[[#This Row],[LEN]]*7.27,0)</f>
        <v>291</v>
      </c>
      <c r="L329" s="109">
        <v>15</v>
      </c>
      <c r="M329" s="127" t="str">
        <f t="shared" si="2"/>
        <v>none</v>
      </c>
      <c r="N329" s="109">
        <f>LEN(Tableau15[[#This Row],[LABEL]])</f>
        <v>40</v>
      </c>
      <c r="O329" s="109">
        <v>15</v>
      </c>
      <c r="P329" s="109" t="e">
        <f>ROUND(Tableau15[[#This Row],[LEN]]*#REF!+#REF!,0)</f>
        <v>#REF!</v>
      </c>
    </row>
    <row r="330" spans="1:16" s="97" customFormat="1" x14ac:dyDescent="0.25">
      <c r="A330" s="25" t="s">
        <v>1125</v>
      </c>
      <c r="B330" s="26" t="s">
        <v>253</v>
      </c>
      <c r="C330" s="27" t="s">
        <v>1167</v>
      </c>
      <c r="D330" s="70" t="s">
        <v>486</v>
      </c>
      <c r="E330" s="27" t="s">
        <v>1085</v>
      </c>
      <c r="F330" s="27" t="s">
        <v>1084</v>
      </c>
      <c r="G330" s="70" t="s">
        <v>1977</v>
      </c>
      <c r="H330" s="70" t="s">
        <v>1131</v>
      </c>
      <c r="I330" s="27"/>
      <c r="J330" s="28" t="s">
        <v>708</v>
      </c>
      <c r="K330" s="109">
        <f>ROUND(Tableau15[[#This Row],[LEN]]*7.27,0)</f>
        <v>196</v>
      </c>
      <c r="L330" s="109">
        <v>15</v>
      </c>
      <c r="M330" s="127" t="str">
        <f t="shared" si="2"/>
        <v>none</v>
      </c>
      <c r="N330" s="109">
        <f>LEN(Tableau15[[#This Row],[LABEL]])</f>
        <v>27</v>
      </c>
      <c r="O330" s="109">
        <v>15</v>
      </c>
      <c r="P330" s="109" t="e">
        <f>ROUND(Tableau15[[#This Row],[LEN]]*#REF!+#REF!,0)</f>
        <v>#REF!</v>
      </c>
    </row>
    <row r="331" spans="1:16" s="97" customFormat="1" x14ac:dyDescent="0.25">
      <c r="A331" s="29" t="s">
        <v>1163</v>
      </c>
      <c r="B331" s="30" t="s">
        <v>1125</v>
      </c>
      <c r="C331" s="31" t="s">
        <v>93</v>
      </c>
      <c r="D331" s="71" t="s">
        <v>1177</v>
      </c>
      <c r="E331" s="31" t="s">
        <v>1085</v>
      </c>
      <c r="F331" s="31" t="s">
        <v>1084</v>
      </c>
      <c r="G331" s="71" t="s">
        <v>166</v>
      </c>
      <c r="H331" s="71" t="s">
        <v>18</v>
      </c>
      <c r="I331" s="31"/>
      <c r="J331" s="32" t="s">
        <v>101</v>
      </c>
      <c r="K331" s="111">
        <f>ROUND(Tableau15[[#This Row],[LEN]]*7.27,0)</f>
        <v>109</v>
      </c>
      <c r="L331" s="111">
        <v>15</v>
      </c>
      <c r="M331" s="128" t="str">
        <f t="shared" si="2"/>
        <v>new</v>
      </c>
      <c r="N331" s="111">
        <f>LEN(Tableau15[[#This Row],[LABEL]])</f>
        <v>15</v>
      </c>
      <c r="O331" s="111">
        <v>15</v>
      </c>
      <c r="P331" s="111" t="e">
        <f>ROUND(Tableau15[[#This Row],[LEN]]*#REF!+#REF!,0)</f>
        <v>#REF!</v>
      </c>
    </row>
    <row r="332" spans="1:16" s="97" customFormat="1" x14ac:dyDescent="0.25">
      <c r="A332" s="29" t="s">
        <v>1164</v>
      </c>
      <c r="B332" s="30" t="s">
        <v>1125</v>
      </c>
      <c r="C332" s="31" t="s">
        <v>94</v>
      </c>
      <c r="D332" s="71" t="s">
        <v>1177</v>
      </c>
      <c r="E332" s="31" t="s">
        <v>1085</v>
      </c>
      <c r="F332" s="31" t="s">
        <v>1084</v>
      </c>
      <c r="G332" s="71" t="s">
        <v>166</v>
      </c>
      <c r="H332" s="71" t="s">
        <v>18</v>
      </c>
      <c r="I332" s="31"/>
      <c r="J332" s="32" t="s">
        <v>102</v>
      </c>
      <c r="K332" s="111">
        <f>ROUND(Tableau15[[#This Row],[LEN]]*7.27,0)</f>
        <v>58</v>
      </c>
      <c r="L332" s="111">
        <v>15</v>
      </c>
      <c r="M332" s="128" t="str">
        <f t="shared" si="2"/>
        <v>new</v>
      </c>
      <c r="N332" s="111">
        <f>LEN(Tableau15[[#This Row],[LABEL]])</f>
        <v>8</v>
      </c>
      <c r="O332" s="111">
        <v>15</v>
      </c>
      <c r="P332" s="111" t="e">
        <f>ROUND(Tableau15[[#This Row],[LEN]]*#REF!+#REF!,0)</f>
        <v>#REF!</v>
      </c>
    </row>
    <row r="333" spans="1:16" s="273" customFormat="1" x14ac:dyDescent="0.25">
      <c r="A333" s="288" t="s">
        <v>254</v>
      </c>
      <c r="B333" s="289" t="s">
        <v>206</v>
      </c>
      <c r="C333" s="290" t="s">
        <v>5</v>
      </c>
      <c r="D333" s="291" t="s">
        <v>1177</v>
      </c>
      <c r="E333" s="290" t="s">
        <v>668</v>
      </c>
      <c r="F333" s="290" t="s">
        <v>1177</v>
      </c>
      <c r="G333" s="291" t="s">
        <v>166</v>
      </c>
      <c r="H333" s="291" t="str">
        <f>IFERROR(IF(SEARCH(".00.00.00.00.00",Tableau15[[#This Row],[name]],1)=7,"Division",""),"")</f>
        <v>Division</v>
      </c>
      <c r="I333" s="290"/>
      <c r="J333" s="292" t="s">
        <v>708</v>
      </c>
      <c r="K333" s="293">
        <f>ROUND(Tableau15[[#This Row],[LEN]]*7.27,0)</f>
        <v>73</v>
      </c>
      <c r="L333" s="293">
        <v>15</v>
      </c>
      <c r="M333" s="294" t="str">
        <f t="shared" si="2"/>
        <v>none</v>
      </c>
      <c r="N333" s="293">
        <f>LEN(Tableau15[[#This Row],[LABEL]])</f>
        <v>10</v>
      </c>
      <c r="O333" s="293">
        <v>15</v>
      </c>
      <c r="P333" s="293" t="e">
        <f>ROUND(Tableau15[[#This Row],[LEN]]*#REF!+#REF!,0)</f>
        <v>#REF!</v>
      </c>
    </row>
    <row r="334" spans="1:16" s="97" customFormat="1" x14ac:dyDescent="0.25">
      <c r="A334" s="25" t="s">
        <v>1171</v>
      </c>
      <c r="B334" s="26" t="s">
        <v>254</v>
      </c>
      <c r="C334" s="27" t="s">
        <v>1168</v>
      </c>
      <c r="D334" s="70" t="s">
        <v>1177</v>
      </c>
      <c r="E334" s="27" t="s">
        <v>668</v>
      </c>
      <c r="F334" s="27" t="s">
        <v>1178</v>
      </c>
      <c r="G334" s="70" t="s">
        <v>166</v>
      </c>
      <c r="H334" s="70" t="s">
        <v>654</v>
      </c>
      <c r="I334" s="27"/>
      <c r="J334" s="28" t="s">
        <v>708</v>
      </c>
      <c r="K334" s="109">
        <f>ROUND(Tableau15[[#This Row],[LEN]]*7.27,0)</f>
        <v>262</v>
      </c>
      <c r="L334" s="109">
        <v>15</v>
      </c>
      <c r="M334" s="127" t="str">
        <f t="shared" si="2"/>
        <v>none</v>
      </c>
      <c r="N334" s="109">
        <f>LEN(Tableau15[[#This Row],[LABEL]])</f>
        <v>36</v>
      </c>
      <c r="O334" s="109">
        <v>15</v>
      </c>
      <c r="P334" s="109" t="e">
        <f>ROUND(Tableau15[[#This Row],[LEN]]*#REF!+#REF!,0)</f>
        <v>#REF!</v>
      </c>
    </row>
    <row r="335" spans="1:16" s="97" customFormat="1" x14ac:dyDescent="0.25">
      <c r="A335" s="25" t="s">
        <v>1172</v>
      </c>
      <c r="B335" s="26" t="s">
        <v>254</v>
      </c>
      <c r="C335" s="27" t="s">
        <v>1170</v>
      </c>
      <c r="D335" s="70" t="s">
        <v>1177</v>
      </c>
      <c r="E335" s="27" t="s">
        <v>667</v>
      </c>
      <c r="F335" s="27" t="s">
        <v>2082</v>
      </c>
      <c r="G335" s="70" t="s">
        <v>166</v>
      </c>
      <c r="H335" s="70" t="s">
        <v>655</v>
      </c>
      <c r="I335" s="27"/>
      <c r="J335" s="28" t="s">
        <v>708</v>
      </c>
      <c r="K335" s="109">
        <f>ROUND(Tableau15[[#This Row],[LEN]]*7.27,0)</f>
        <v>138</v>
      </c>
      <c r="L335" s="109">
        <v>15</v>
      </c>
      <c r="M335" s="127" t="str">
        <f t="shared" si="2"/>
        <v>none</v>
      </c>
      <c r="N335" s="109">
        <f>LEN(Tableau15[[#This Row],[LABEL]])</f>
        <v>19</v>
      </c>
      <c r="O335" s="109">
        <v>15</v>
      </c>
      <c r="P335" s="109" t="e">
        <f>ROUND(Tableau15[[#This Row],[LEN]]*#REF!+#REF!,0)</f>
        <v>#REF!</v>
      </c>
    </row>
    <row r="336" spans="1:16" s="97" customFormat="1" x14ac:dyDescent="0.25">
      <c r="A336" s="29" t="s">
        <v>1180</v>
      </c>
      <c r="B336" s="30" t="s">
        <v>1172</v>
      </c>
      <c r="C336" s="31" t="s">
        <v>1184</v>
      </c>
      <c r="D336" s="71" t="s">
        <v>1177</v>
      </c>
      <c r="E336" s="31" t="s">
        <v>667</v>
      </c>
      <c r="F336" s="31" t="s">
        <v>2082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ROUND(Tableau15[[#This Row],[LEN]]*7.27,0)</f>
        <v>211</v>
      </c>
      <c r="L336" s="111">
        <v>15</v>
      </c>
      <c r="M336" s="128" t="str">
        <f t="shared" si="2"/>
        <v>none</v>
      </c>
      <c r="N336" s="111">
        <f>LEN(Tableau15[[#This Row],[LABEL]])</f>
        <v>29</v>
      </c>
      <c r="O336" s="111">
        <v>15</v>
      </c>
      <c r="P336" s="111" t="e">
        <f>ROUND(Tableau15[[#This Row],[LEN]]*#REF!+#REF!,0)</f>
        <v>#REF!</v>
      </c>
    </row>
    <row r="337" spans="1:16" s="97" customFormat="1" x14ac:dyDescent="0.25">
      <c r="A337" s="29" t="s">
        <v>1181</v>
      </c>
      <c r="B337" s="30" t="s">
        <v>1172</v>
      </c>
      <c r="C337" s="31" t="s">
        <v>1185</v>
      </c>
      <c r="D337" s="71" t="s">
        <v>1177</v>
      </c>
      <c r="E337" s="31" t="s">
        <v>667</v>
      </c>
      <c r="F337" s="31" t="s">
        <v>2082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ROUND(Tableau15[[#This Row],[LEN]]*7.27,0)</f>
        <v>291</v>
      </c>
      <c r="L337" s="111">
        <v>15</v>
      </c>
      <c r="M337" s="128" t="str">
        <f t="shared" si="2"/>
        <v>none</v>
      </c>
      <c r="N337" s="111">
        <f>LEN(Tableau15[[#This Row],[LABEL]])</f>
        <v>40</v>
      </c>
      <c r="O337" s="111">
        <v>15</v>
      </c>
      <c r="P337" s="111" t="e">
        <f>ROUND(Tableau15[[#This Row],[LEN]]*#REF!+#REF!,0)</f>
        <v>#REF!</v>
      </c>
    </row>
    <row r="338" spans="1:16" s="97" customFormat="1" x14ac:dyDescent="0.25">
      <c r="A338" s="29" t="s">
        <v>1182</v>
      </c>
      <c r="B338" s="30" t="s">
        <v>1172</v>
      </c>
      <c r="C338" s="31" t="s">
        <v>1186</v>
      </c>
      <c r="D338" s="71" t="s">
        <v>1177</v>
      </c>
      <c r="E338" s="31" t="s">
        <v>667</v>
      </c>
      <c r="F338" s="31" t="s">
        <v>2082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ROUND(Tableau15[[#This Row],[LEN]]*7.27,0)</f>
        <v>240</v>
      </c>
      <c r="L338" s="111">
        <v>15</v>
      </c>
      <c r="M338" s="128" t="str">
        <f t="shared" si="2"/>
        <v>none</v>
      </c>
      <c r="N338" s="111">
        <f>LEN(Tableau15[[#This Row],[LABEL]])</f>
        <v>33</v>
      </c>
      <c r="O338" s="111">
        <v>15</v>
      </c>
      <c r="P338" s="111" t="e">
        <f>ROUND(Tableau15[[#This Row],[LEN]]*#REF!+#REF!,0)</f>
        <v>#REF!</v>
      </c>
    </row>
    <row r="339" spans="1:16" s="97" customFormat="1" x14ac:dyDescent="0.25">
      <c r="A339" s="29" t="s">
        <v>1183</v>
      </c>
      <c r="B339" s="30" t="s">
        <v>1172</v>
      </c>
      <c r="C339" s="31" t="s">
        <v>1187</v>
      </c>
      <c r="D339" s="71" t="s">
        <v>1177</v>
      </c>
      <c r="E339" s="31" t="s">
        <v>667</v>
      </c>
      <c r="F339" s="31" t="s">
        <v>2082</v>
      </c>
      <c r="G339" s="71" t="s">
        <v>166</v>
      </c>
      <c r="H339" s="71" t="s">
        <v>18</v>
      </c>
      <c r="I339" s="31"/>
      <c r="J339" s="32" t="s">
        <v>708</v>
      </c>
      <c r="K339" s="111">
        <f>ROUND(Tableau15[[#This Row],[LEN]]*7.27,0)</f>
        <v>356</v>
      </c>
      <c r="L339" s="111">
        <v>15</v>
      </c>
      <c r="M339" s="128" t="str">
        <f t="shared" si="2"/>
        <v>none</v>
      </c>
      <c r="N339" s="111">
        <f>LEN(Tableau15[[#This Row],[LABEL]])</f>
        <v>49</v>
      </c>
      <c r="O339" s="111">
        <v>15</v>
      </c>
      <c r="P339" s="111" t="e">
        <f>ROUND(Tableau15[[#This Row],[LEN]]*#REF!+#REF!,0)</f>
        <v>#REF!</v>
      </c>
    </row>
    <row r="340" spans="1:16" s="97" customFormat="1" x14ac:dyDescent="0.25">
      <c r="A340" s="25" t="s">
        <v>1173</v>
      </c>
      <c r="B340" s="26" t="s">
        <v>254</v>
      </c>
      <c r="C340" s="27" t="s">
        <v>778</v>
      </c>
      <c r="D340" s="70" t="s">
        <v>1177</v>
      </c>
      <c r="E340" s="27" t="s">
        <v>673</v>
      </c>
      <c r="F340" s="27" t="s">
        <v>2000</v>
      </c>
      <c r="G340" s="70" t="s">
        <v>166</v>
      </c>
      <c r="H340" s="70" t="s">
        <v>17</v>
      </c>
      <c r="I340" s="27"/>
      <c r="J340" s="28" t="s">
        <v>708</v>
      </c>
      <c r="K340" s="109">
        <f>ROUND(Tableau15[[#This Row],[LEN]]*7.27,0)</f>
        <v>211</v>
      </c>
      <c r="L340" s="109">
        <v>15</v>
      </c>
      <c r="M340" s="127" t="str">
        <f t="shared" si="2"/>
        <v>none</v>
      </c>
      <c r="N340" s="109">
        <f>LEN(Tableau15[[#This Row],[LABEL]])</f>
        <v>29</v>
      </c>
      <c r="O340" s="109">
        <v>15</v>
      </c>
      <c r="P340" s="109" t="e">
        <f>ROUND(Tableau15[[#This Row],[LEN]]*#REF!+#REF!,0)</f>
        <v>#REF!</v>
      </c>
    </row>
    <row r="341" spans="1:16" s="97" customFormat="1" x14ac:dyDescent="0.25">
      <c r="A341" s="25" t="s">
        <v>1174</v>
      </c>
      <c r="B341" s="26" t="s">
        <v>254</v>
      </c>
      <c r="C341" s="27" t="s">
        <v>92</v>
      </c>
      <c r="D341" s="70" t="s">
        <v>1177</v>
      </c>
      <c r="E341" s="27" t="s">
        <v>663</v>
      </c>
      <c r="F341" s="27" t="s">
        <v>2080</v>
      </c>
      <c r="G341" s="70" t="s">
        <v>166</v>
      </c>
      <c r="H341" s="70" t="s">
        <v>655</v>
      </c>
      <c r="I341" s="27"/>
      <c r="J341" s="28" t="s">
        <v>708</v>
      </c>
      <c r="K341" s="109">
        <f>ROUND(Tableau15[[#This Row],[LEN]]*7.27,0)</f>
        <v>262</v>
      </c>
      <c r="L341" s="109">
        <v>15</v>
      </c>
      <c r="M341" s="127" t="str">
        <f t="shared" si="2"/>
        <v>none</v>
      </c>
      <c r="N341" s="109">
        <f>LEN(Tableau15[[#This Row],[LABEL]])</f>
        <v>36</v>
      </c>
      <c r="O341" s="109">
        <v>15</v>
      </c>
      <c r="P341" s="109" t="e">
        <f>ROUND(Tableau15[[#This Row],[LEN]]*#REF!+#REF!,0)</f>
        <v>#REF!</v>
      </c>
    </row>
    <row r="342" spans="1:16" s="97" customFormat="1" x14ac:dyDescent="0.25">
      <c r="A342" s="29" t="s">
        <v>1188</v>
      </c>
      <c r="B342" s="30" t="s">
        <v>1174</v>
      </c>
      <c r="C342" s="31" t="s">
        <v>95</v>
      </c>
      <c r="D342" s="71" t="s">
        <v>1177</v>
      </c>
      <c r="E342" s="31" t="s">
        <v>663</v>
      </c>
      <c r="F342" s="31" t="s">
        <v>2080</v>
      </c>
      <c r="G342" s="71" t="s">
        <v>166</v>
      </c>
      <c r="H342" s="71" t="s">
        <v>17</v>
      </c>
      <c r="I342" s="31"/>
      <c r="J342" s="32" t="s">
        <v>708</v>
      </c>
      <c r="K342" s="111">
        <f>ROUND(Tableau15[[#This Row],[LEN]]*7.27,0)</f>
        <v>254</v>
      </c>
      <c r="L342" s="111">
        <v>15</v>
      </c>
      <c r="M342" s="128" t="str">
        <f t="shared" si="2"/>
        <v>none</v>
      </c>
      <c r="N342" s="111">
        <f>LEN(Tableau15[[#This Row],[LABEL]])</f>
        <v>35</v>
      </c>
      <c r="O342" s="111">
        <v>15</v>
      </c>
      <c r="P342" s="111" t="e">
        <f>ROUND(Tableau15[[#This Row],[LEN]]*#REF!+#REF!,0)</f>
        <v>#REF!</v>
      </c>
    </row>
    <row r="343" spans="1:16" s="97" customFormat="1" x14ac:dyDescent="0.25">
      <c r="A343" s="29" t="s">
        <v>1189</v>
      </c>
      <c r="B343" s="30" t="s">
        <v>1174</v>
      </c>
      <c r="C343" s="31" t="s">
        <v>96</v>
      </c>
      <c r="D343" s="71" t="s">
        <v>1177</v>
      </c>
      <c r="E343" s="31" t="s">
        <v>663</v>
      </c>
      <c r="F343" s="31" t="s">
        <v>2080</v>
      </c>
      <c r="G343" s="71" t="s">
        <v>166</v>
      </c>
      <c r="H343" s="71" t="s">
        <v>654</v>
      </c>
      <c r="I343" s="31"/>
      <c r="J343" s="32" t="s">
        <v>708</v>
      </c>
      <c r="K343" s="111">
        <f>ROUND(Tableau15[[#This Row],[LEN]]*7.27,0)</f>
        <v>233</v>
      </c>
      <c r="L343" s="111">
        <v>15</v>
      </c>
      <c r="M343" s="128" t="str">
        <f t="shared" si="2"/>
        <v>none</v>
      </c>
      <c r="N343" s="111">
        <f>LEN(Tableau15[[#This Row],[LABEL]])</f>
        <v>32</v>
      </c>
      <c r="O343" s="111">
        <v>15</v>
      </c>
      <c r="P343" s="111" t="e">
        <f>ROUND(Tableau15[[#This Row],[LEN]]*#REF!+#REF!,0)</f>
        <v>#REF!</v>
      </c>
    </row>
    <row r="344" spans="1:16" s="97" customFormat="1" x14ac:dyDescent="0.25">
      <c r="A344" s="29" t="s">
        <v>1190</v>
      </c>
      <c r="B344" s="30" t="s">
        <v>1174</v>
      </c>
      <c r="C344" s="31" t="s">
        <v>97</v>
      </c>
      <c r="D344" s="71" t="s">
        <v>1177</v>
      </c>
      <c r="E344" s="31" t="s">
        <v>663</v>
      </c>
      <c r="F344" s="31" t="s">
        <v>2080</v>
      </c>
      <c r="G344" s="71" t="s">
        <v>166</v>
      </c>
      <c r="H344" s="71" t="s">
        <v>656</v>
      </c>
      <c r="I344" s="31"/>
      <c r="J344" s="32" t="s">
        <v>708</v>
      </c>
      <c r="K344" s="111">
        <f>ROUND(Tableau15[[#This Row],[LEN]]*7.27,0)</f>
        <v>145</v>
      </c>
      <c r="L344" s="111">
        <v>15</v>
      </c>
      <c r="M344" s="128" t="str">
        <f t="shared" si="2"/>
        <v>none</v>
      </c>
      <c r="N344" s="111">
        <f>LEN(Tableau15[[#This Row],[LABEL]])</f>
        <v>20</v>
      </c>
      <c r="O344" s="111">
        <v>15</v>
      </c>
      <c r="P344" s="111" t="e">
        <f>ROUND(Tableau15[[#This Row],[LEN]]*#REF!+#REF!,0)</f>
        <v>#REF!</v>
      </c>
    </row>
    <row r="345" spans="1:16" s="97" customFormat="1" x14ac:dyDescent="0.25">
      <c r="A345" s="25" t="s">
        <v>1175</v>
      </c>
      <c r="B345" s="26" t="s">
        <v>254</v>
      </c>
      <c r="C345" s="27" t="s">
        <v>1169</v>
      </c>
      <c r="D345" s="70" t="s">
        <v>1177</v>
      </c>
      <c r="E345" s="27" t="s">
        <v>667</v>
      </c>
      <c r="F345" s="27" t="s">
        <v>673</v>
      </c>
      <c r="G345" s="70" t="s">
        <v>166</v>
      </c>
      <c r="H345" s="70" t="s">
        <v>656</v>
      </c>
      <c r="I345" s="27"/>
      <c r="J345" s="28" t="s">
        <v>708</v>
      </c>
      <c r="K345" s="109">
        <f>ROUND(Tableau15[[#This Row],[LEN]]*7.27,0)</f>
        <v>334</v>
      </c>
      <c r="L345" s="109">
        <v>15</v>
      </c>
      <c r="M345" s="127" t="str">
        <f t="shared" si="2"/>
        <v>none</v>
      </c>
      <c r="N345" s="109">
        <f>LEN(Tableau15[[#This Row],[LABEL]])</f>
        <v>46</v>
      </c>
      <c r="O345" s="109">
        <v>15</v>
      </c>
      <c r="P345" s="109" t="e">
        <f>ROUND(Tableau15[[#This Row],[LEN]]*#REF!+#REF!,0)</f>
        <v>#REF!</v>
      </c>
    </row>
    <row r="346" spans="1:16" s="97" customFormat="1" x14ac:dyDescent="0.25">
      <c r="A346" s="25" t="s">
        <v>1176</v>
      </c>
      <c r="B346" s="26" t="s">
        <v>254</v>
      </c>
      <c r="C346" s="27" t="s">
        <v>1167</v>
      </c>
      <c r="D346" s="70" t="s">
        <v>486</v>
      </c>
      <c r="E346" s="27" t="s">
        <v>1177</v>
      </c>
      <c r="F346" s="27" t="s">
        <v>1084</v>
      </c>
      <c r="G346" s="70" t="s">
        <v>1977</v>
      </c>
      <c r="H346" s="70" t="s">
        <v>1131</v>
      </c>
      <c r="I346" s="27"/>
      <c r="J346" s="28" t="s">
        <v>708</v>
      </c>
      <c r="K346" s="109">
        <f>ROUND(Tableau15[[#This Row],[LEN]]*7.27,0)</f>
        <v>196</v>
      </c>
      <c r="L346" s="109">
        <v>15</v>
      </c>
      <c r="M346" s="127" t="str">
        <f t="shared" si="2"/>
        <v>none</v>
      </c>
      <c r="N346" s="109">
        <f>LEN(Tableau15[[#This Row],[LABEL]])</f>
        <v>27</v>
      </c>
      <c r="O346" s="109">
        <v>15</v>
      </c>
      <c r="P346" s="109" t="e">
        <f>ROUND(Tableau15[[#This Row],[LEN]]*#REF!+#REF!,0)</f>
        <v>#REF!</v>
      </c>
    </row>
    <row r="347" spans="1:16" s="97" customFormat="1" x14ac:dyDescent="0.25">
      <c r="A347" s="29" t="s">
        <v>1191</v>
      </c>
      <c r="B347" s="30" t="s">
        <v>1176</v>
      </c>
      <c r="C347" s="31" t="s">
        <v>93</v>
      </c>
      <c r="D347" s="71" t="s">
        <v>1177</v>
      </c>
      <c r="E347" s="31" t="s">
        <v>1085</v>
      </c>
      <c r="F347" s="31" t="s">
        <v>1084</v>
      </c>
      <c r="G347" s="71" t="s">
        <v>166</v>
      </c>
      <c r="H347" s="71" t="s">
        <v>18</v>
      </c>
      <c r="I347" s="31"/>
      <c r="J347" s="32" t="s">
        <v>101</v>
      </c>
      <c r="K347" s="111">
        <f>ROUND(Tableau15[[#This Row],[LEN]]*7.27,0)</f>
        <v>109</v>
      </c>
      <c r="L347" s="111">
        <v>15</v>
      </c>
      <c r="M347" s="128" t="str">
        <f t="shared" si="2"/>
        <v>new</v>
      </c>
      <c r="N347" s="111">
        <f>LEN(Tableau15[[#This Row],[LABEL]])</f>
        <v>15</v>
      </c>
      <c r="O347" s="111">
        <v>15</v>
      </c>
      <c r="P347" s="111" t="e">
        <f>ROUND(Tableau15[[#This Row],[LEN]]*#REF!+#REF!,0)</f>
        <v>#REF!</v>
      </c>
    </row>
    <row r="348" spans="1:16" s="97" customFormat="1" x14ac:dyDescent="0.25">
      <c r="A348" s="29" t="s">
        <v>1192</v>
      </c>
      <c r="B348" s="30" t="s">
        <v>1176</v>
      </c>
      <c r="C348" s="31" t="s">
        <v>94</v>
      </c>
      <c r="D348" s="71" t="s">
        <v>1177</v>
      </c>
      <c r="E348" s="31" t="s">
        <v>1085</v>
      </c>
      <c r="F348" s="31" t="s">
        <v>1084</v>
      </c>
      <c r="G348" s="71" t="s">
        <v>166</v>
      </c>
      <c r="H348" s="71" t="s">
        <v>18</v>
      </c>
      <c r="I348" s="31"/>
      <c r="J348" s="32" t="s">
        <v>102</v>
      </c>
      <c r="K348" s="111">
        <f>ROUND(Tableau15[[#This Row],[LEN]]*7.27,0)</f>
        <v>58</v>
      </c>
      <c r="L348" s="111">
        <v>15</v>
      </c>
      <c r="M348" s="128" t="str">
        <f t="shared" si="2"/>
        <v>new</v>
      </c>
      <c r="N348" s="111">
        <f>LEN(Tableau15[[#This Row],[LABEL]])</f>
        <v>8</v>
      </c>
      <c r="O348" s="111">
        <v>15</v>
      </c>
      <c r="P348" s="111" t="e">
        <f>ROUND(Tableau15[[#This Row],[LEN]]*#REF!+#REF!,0)</f>
        <v>#REF!</v>
      </c>
    </row>
    <row r="349" spans="1:16" s="273" customFormat="1" x14ac:dyDescent="0.25">
      <c r="A349" s="288" t="s">
        <v>255</v>
      </c>
      <c r="B349" s="289" t="s">
        <v>206</v>
      </c>
      <c r="C349" s="290" t="s">
        <v>6</v>
      </c>
      <c r="D349" s="291" t="s">
        <v>1177</v>
      </c>
      <c r="E349" s="290" t="s">
        <v>669</v>
      </c>
      <c r="F349" s="290" t="s">
        <v>1177</v>
      </c>
      <c r="G349" s="291" t="s">
        <v>166</v>
      </c>
      <c r="H349" s="291" t="str">
        <f>IFERROR(IF(SEARCH(".00.00.00.00.00",Tableau15[[#This Row],[name]],1)=7,"Division",""),"")</f>
        <v>Division</v>
      </c>
      <c r="I349" s="290"/>
      <c r="J349" s="292" t="s">
        <v>708</v>
      </c>
      <c r="K349" s="293">
        <f>ROUND(Tableau15[[#This Row],[LEN]]*7.27,0)</f>
        <v>196</v>
      </c>
      <c r="L349" s="293">
        <v>15</v>
      </c>
      <c r="M349" s="294" t="str">
        <f t="shared" si="2"/>
        <v>none</v>
      </c>
      <c r="N349" s="293">
        <f>LEN(Tableau15[[#This Row],[LABEL]])</f>
        <v>27</v>
      </c>
      <c r="O349" s="293">
        <v>15</v>
      </c>
      <c r="P349" s="293" t="e">
        <f>ROUND(Tableau15[[#This Row],[LEN]]*#REF!+#REF!,0)</f>
        <v>#REF!</v>
      </c>
    </row>
    <row r="350" spans="1:16" s="97" customFormat="1" x14ac:dyDescent="0.25">
      <c r="A350" s="25" t="s">
        <v>436</v>
      </c>
      <c r="B350" s="26" t="s">
        <v>255</v>
      </c>
      <c r="C350" s="27" t="s">
        <v>137</v>
      </c>
      <c r="D350" s="70" t="s">
        <v>1177</v>
      </c>
      <c r="E350" s="27" t="s">
        <v>669</v>
      </c>
      <c r="F350" s="27" t="s">
        <v>1177</v>
      </c>
      <c r="G350" s="70" t="s">
        <v>166</v>
      </c>
      <c r="H350" s="70" t="s">
        <v>654</v>
      </c>
      <c r="I350" s="27"/>
      <c r="J350" s="28" t="s">
        <v>726</v>
      </c>
      <c r="K350" s="109">
        <f>ROUND(Tableau15[[#This Row],[LEN]]*7.27,0)</f>
        <v>269</v>
      </c>
      <c r="L350" s="109">
        <v>15</v>
      </c>
      <c r="M350" s="127" t="str">
        <f t="shared" si="2"/>
        <v>new</v>
      </c>
      <c r="N350" s="109">
        <f>LEN(Tableau15[[#This Row],[LABEL]])</f>
        <v>37</v>
      </c>
      <c r="O350" s="109">
        <v>15</v>
      </c>
      <c r="P350" s="109" t="e">
        <f>ROUND(Tableau15[[#This Row],[LEN]]*#REF!+#REF!,0)</f>
        <v>#REF!</v>
      </c>
    </row>
    <row r="351" spans="1:16" s="97" customFormat="1" x14ac:dyDescent="0.25">
      <c r="A351" s="25" t="s">
        <v>437</v>
      </c>
      <c r="B351" s="26" t="s">
        <v>255</v>
      </c>
      <c r="C351" s="27" t="s">
        <v>138</v>
      </c>
      <c r="D351" s="70" t="s">
        <v>1177</v>
      </c>
      <c r="E351" s="27" t="s">
        <v>669</v>
      </c>
      <c r="F351" s="27" t="s">
        <v>678</v>
      </c>
      <c r="G351" s="70" t="s">
        <v>166</v>
      </c>
      <c r="H351" s="70" t="s">
        <v>655</v>
      </c>
      <c r="I351" s="27"/>
      <c r="J351" s="28" t="s">
        <v>708</v>
      </c>
      <c r="K351" s="109">
        <f>ROUND(Tableau15[[#This Row],[LEN]]*7.27,0)</f>
        <v>225</v>
      </c>
      <c r="L351" s="109">
        <v>15</v>
      </c>
      <c r="M351" s="127" t="str">
        <f t="shared" si="2"/>
        <v>none</v>
      </c>
      <c r="N351" s="109">
        <f>LEN(Tableau15[[#This Row],[LABEL]])</f>
        <v>31</v>
      </c>
      <c r="O351" s="109">
        <v>15</v>
      </c>
      <c r="P351" s="109" t="e">
        <f>ROUND(Tableau15[[#This Row],[LEN]]*#REF!+#REF!,0)</f>
        <v>#REF!</v>
      </c>
    </row>
    <row r="352" spans="1:16" s="97" customFormat="1" x14ac:dyDescent="0.25">
      <c r="A352" s="29" t="s">
        <v>438</v>
      </c>
      <c r="B352" s="30" t="s">
        <v>437</v>
      </c>
      <c r="C352" s="31" t="s">
        <v>139</v>
      </c>
      <c r="D352" s="71" t="s">
        <v>1177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ROUND(Tableau15[[#This Row],[LEN]]*7.27,0)</f>
        <v>327</v>
      </c>
      <c r="L352" s="111">
        <v>15</v>
      </c>
      <c r="M352" s="128" t="str">
        <f t="shared" si="2"/>
        <v>none</v>
      </c>
      <c r="N352" s="111">
        <f>LEN(Tableau15[[#This Row],[LABEL]])</f>
        <v>45</v>
      </c>
      <c r="O352" s="111">
        <v>15</v>
      </c>
      <c r="P352" s="111" t="e">
        <f>ROUND(Tableau15[[#This Row],[LEN]]*#REF!+#REF!,0)</f>
        <v>#REF!</v>
      </c>
    </row>
    <row r="353" spans="1:16" s="97" customFormat="1" x14ac:dyDescent="0.25">
      <c r="A353" s="29" t="s">
        <v>439</v>
      </c>
      <c r="B353" s="30" t="s">
        <v>437</v>
      </c>
      <c r="C353" s="31" t="s">
        <v>140</v>
      </c>
      <c r="D353" s="71" t="s">
        <v>1177</v>
      </c>
      <c r="E353" s="31" t="s">
        <v>669</v>
      </c>
      <c r="F353" s="31" t="s">
        <v>678</v>
      </c>
      <c r="G353" s="71" t="s">
        <v>166</v>
      </c>
      <c r="H353" s="71" t="s">
        <v>654</v>
      </c>
      <c r="I353" s="31"/>
      <c r="J353" s="32" t="s">
        <v>708</v>
      </c>
      <c r="K353" s="111">
        <f>ROUND(Tableau15[[#This Row],[LEN]]*7.27,0)</f>
        <v>385</v>
      </c>
      <c r="L353" s="111">
        <v>15</v>
      </c>
      <c r="M353" s="128" t="str">
        <f t="shared" si="2"/>
        <v>none</v>
      </c>
      <c r="N353" s="111">
        <f>LEN(Tableau15[[#This Row],[LABEL]])</f>
        <v>53</v>
      </c>
      <c r="O353" s="111">
        <v>15</v>
      </c>
      <c r="P353" s="111" t="e">
        <f>ROUND(Tableau15[[#This Row],[LEN]]*#REF!+#REF!,0)</f>
        <v>#REF!</v>
      </c>
    </row>
    <row r="354" spans="1:16" s="97" customFormat="1" x14ac:dyDescent="0.25">
      <c r="A354" s="29" t="s">
        <v>440</v>
      </c>
      <c r="B354" s="30" t="s">
        <v>437</v>
      </c>
      <c r="C354" s="31" t="s">
        <v>141</v>
      </c>
      <c r="D354" s="71" t="s">
        <v>1177</v>
      </c>
      <c r="E354" s="31" t="s">
        <v>669</v>
      </c>
      <c r="F354" s="31" t="s">
        <v>678</v>
      </c>
      <c r="G354" s="71" t="s">
        <v>166</v>
      </c>
      <c r="H354" s="71" t="s">
        <v>17</v>
      </c>
      <c r="I354" s="31"/>
      <c r="J354" s="32" t="s">
        <v>708</v>
      </c>
      <c r="K354" s="111">
        <f>ROUND(Tableau15[[#This Row],[LEN]]*7.27,0)</f>
        <v>313</v>
      </c>
      <c r="L354" s="111">
        <v>15</v>
      </c>
      <c r="M354" s="128" t="str">
        <f t="shared" si="2"/>
        <v>none</v>
      </c>
      <c r="N354" s="111">
        <f>LEN(Tableau15[[#This Row],[LABEL]])</f>
        <v>43</v>
      </c>
      <c r="O354" s="111">
        <v>15</v>
      </c>
      <c r="P354" s="111" t="e">
        <f>ROUND(Tableau15[[#This Row],[LEN]]*#REF!+#REF!,0)</f>
        <v>#REF!</v>
      </c>
    </row>
    <row r="355" spans="1:16" s="97" customFormat="1" x14ac:dyDescent="0.25">
      <c r="A355" s="25" t="s">
        <v>441</v>
      </c>
      <c r="B355" s="26" t="s">
        <v>255</v>
      </c>
      <c r="C355" s="27" t="s">
        <v>88</v>
      </c>
      <c r="D355" s="70" t="s">
        <v>1177</v>
      </c>
      <c r="E355" s="27" t="s">
        <v>667</v>
      </c>
      <c r="F355" s="27" t="s">
        <v>1218</v>
      </c>
      <c r="G355" s="70" t="s">
        <v>166</v>
      </c>
      <c r="H355" s="70" t="s">
        <v>570</v>
      </c>
      <c r="I355" s="27"/>
      <c r="J355" s="28" t="s">
        <v>708</v>
      </c>
      <c r="K355" s="109">
        <f>ROUND(Tableau15[[#This Row],[LEN]]*7.27,0)</f>
        <v>342</v>
      </c>
      <c r="L355" s="109">
        <v>15</v>
      </c>
      <c r="M355" s="127" t="str">
        <f t="shared" si="2"/>
        <v>none</v>
      </c>
      <c r="N355" s="109">
        <f>LEN(Tableau15[[#This Row],[LABEL]])</f>
        <v>47</v>
      </c>
      <c r="O355" s="109">
        <v>15</v>
      </c>
      <c r="P355" s="109" t="e">
        <f>ROUND(Tableau15[[#This Row],[LEN]]*#REF!+#REF!,0)</f>
        <v>#REF!</v>
      </c>
    </row>
    <row r="356" spans="1:16" s="97" customFormat="1" x14ac:dyDescent="0.25">
      <c r="A356" s="25" t="s">
        <v>442</v>
      </c>
      <c r="B356" s="26" t="s">
        <v>255</v>
      </c>
      <c r="C356" s="27" t="s">
        <v>142</v>
      </c>
      <c r="D356" s="70" t="s">
        <v>1177</v>
      </c>
      <c r="E356" s="27" t="s">
        <v>669</v>
      </c>
      <c r="F356" s="27" t="s">
        <v>677</v>
      </c>
      <c r="G356" s="70" t="s">
        <v>166</v>
      </c>
      <c r="H356" s="70" t="s">
        <v>655</v>
      </c>
      <c r="I356" s="27"/>
      <c r="J356" s="28" t="s">
        <v>708</v>
      </c>
      <c r="K356" s="109">
        <f>ROUND(Tableau15[[#This Row],[LEN]]*7.27,0)</f>
        <v>109</v>
      </c>
      <c r="L356" s="109">
        <v>15</v>
      </c>
      <c r="M356" s="127" t="str">
        <f t="shared" si="2"/>
        <v>none</v>
      </c>
      <c r="N356" s="109">
        <f>LEN(Tableau15[[#This Row],[LABEL]])</f>
        <v>15</v>
      </c>
      <c r="O356" s="109">
        <v>15</v>
      </c>
      <c r="P356" s="109" t="e">
        <f>ROUND(Tableau15[[#This Row],[LEN]]*#REF!+#REF!,0)</f>
        <v>#REF!</v>
      </c>
    </row>
    <row r="357" spans="1:16" s="97" customFormat="1" x14ac:dyDescent="0.25">
      <c r="A357" s="25" t="s">
        <v>487</v>
      </c>
      <c r="B357" s="26" t="s">
        <v>255</v>
      </c>
      <c r="C357" s="27" t="s">
        <v>143</v>
      </c>
      <c r="D357" s="70" t="s">
        <v>1177</v>
      </c>
      <c r="E357" s="27" t="s">
        <v>669</v>
      </c>
      <c r="F357" s="27" t="s">
        <v>1177</v>
      </c>
      <c r="G357" s="70" t="s">
        <v>166</v>
      </c>
      <c r="H357" s="70" t="s">
        <v>656</v>
      </c>
      <c r="I357" s="27"/>
      <c r="J357" s="28" t="s">
        <v>727</v>
      </c>
      <c r="K357" s="109">
        <f>ROUND(Tableau15[[#This Row],[LEN]]*7.27,0)</f>
        <v>436</v>
      </c>
      <c r="L357" s="109">
        <v>15</v>
      </c>
      <c r="M357" s="127" t="str">
        <f t="shared" si="2"/>
        <v>new</v>
      </c>
      <c r="N357" s="109">
        <f>LEN(Tableau15[[#This Row],[LABEL]])</f>
        <v>60</v>
      </c>
      <c r="O357" s="109">
        <v>15</v>
      </c>
      <c r="P357" s="109" t="e">
        <f>ROUND(Tableau15[[#This Row],[LEN]]*#REF!+#REF!,0)</f>
        <v>#REF!</v>
      </c>
    </row>
    <row r="358" spans="1:16" s="97" customFormat="1" x14ac:dyDescent="0.25">
      <c r="A358" s="25" t="s">
        <v>488</v>
      </c>
      <c r="B358" s="26" t="s">
        <v>255</v>
      </c>
      <c r="C358" s="27" t="s">
        <v>144</v>
      </c>
      <c r="D358" s="70" t="s">
        <v>1177</v>
      </c>
      <c r="E358" s="27" t="s">
        <v>669</v>
      </c>
      <c r="F358" s="27" t="s">
        <v>1177</v>
      </c>
      <c r="G358" s="70" t="s">
        <v>166</v>
      </c>
      <c r="H358" s="70" t="s">
        <v>655</v>
      </c>
      <c r="I358" s="27"/>
      <c r="J358" s="28" t="s">
        <v>708</v>
      </c>
      <c r="K358" s="109">
        <f>ROUND(Tableau15[[#This Row],[LEN]]*7.27,0)</f>
        <v>44</v>
      </c>
      <c r="L358" s="109">
        <v>15</v>
      </c>
      <c r="M358" s="127" t="str">
        <f t="shared" si="2"/>
        <v>none</v>
      </c>
      <c r="N358" s="109">
        <f>LEN(Tableau15[[#This Row],[LABEL]])</f>
        <v>6</v>
      </c>
      <c r="O358" s="109">
        <v>15</v>
      </c>
      <c r="P358" s="109" t="e">
        <f>ROUND(Tableau15[[#This Row],[LEN]]*#REF!+#REF!,0)</f>
        <v>#REF!</v>
      </c>
    </row>
    <row r="359" spans="1:16" s="97" customFormat="1" x14ac:dyDescent="0.25">
      <c r="A359" s="29" t="s">
        <v>658</v>
      </c>
      <c r="B359" s="30" t="s">
        <v>488</v>
      </c>
      <c r="C359" s="31" t="s">
        <v>685</v>
      </c>
      <c r="D359" s="71" t="s">
        <v>1177</v>
      </c>
      <c r="E359" s="31" t="s">
        <v>669</v>
      </c>
      <c r="F359" s="31" t="s">
        <v>1177</v>
      </c>
      <c r="G359" s="71" t="s">
        <v>166</v>
      </c>
      <c r="H359" s="71" t="s">
        <v>655</v>
      </c>
      <c r="I359" s="31"/>
      <c r="J359" s="32" t="s">
        <v>708</v>
      </c>
      <c r="K359" s="111">
        <f>ROUND(Tableau15[[#This Row],[LEN]]*7.27,0)</f>
        <v>58</v>
      </c>
      <c r="L359" s="111">
        <v>15</v>
      </c>
      <c r="M359" s="128" t="str">
        <f t="shared" si="2"/>
        <v>none</v>
      </c>
      <c r="N359" s="111">
        <f>LEN(Tableau15[[#This Row],[LABEL]])</f>
        <v>8</v>
      </c>
      <c r="O359" s="111">
        <v>15</v>
      </c>
      <c r="P359" s="111" t="e">
        <f>ROUND(Tableau15[[#This Row],[LEN]]*#REF!+#REF!,0)</f>
        <v>#REF!</v>
      </c>
    </row>
    <row r="360" spans="1:16" s="97" customFormat="1" x14ac:dyDescent="0.25">
      <c r="A360" s="86" t="s">
        <v>688</v>
      </c>
      <c r="B360" s="87" t="s">
        <v>658</v>
      </c>
      <c r="C360" s="88" t="s">
        <v>145</v>
      </c>
      <c r="D360" s="89" t="s">
        <v>1177</v>
      </c>
      <c r="E360" s="88" t="s">
        <v>669</v>
      </c>
      <c r="F360" s="88" t="s">
        <v>1177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ROUND(Tableau15[[#This Row],[LEN]]*7.27,0)</f>
        <v>342</v>
      </c>
      <c r="L360" s="112">
        <v>15</v>
      </c>
      <c r="M360" s="129" t="str">
        <f t="shared" si="2"/>
        <v>none</v>
      </c>
      <c r="N360" s="112">
        <f>LEN(Tableau15[[#This Row],[LABEL]])</f>
        <v>47</v>
      </c>
      <c r="O360" s="112">
        <v>15</v>
      </c>
      <c r="P360" s="112" t="e">
        <f>ROUND(Tableau15[[#This Row],[LEN]]*#REF!+#REF!,0)</f>
        <v>#REF!</v>
      </c>
    </row>
    <row r="361" spans="1:16" s="97" customFormat="1" x14ac:dyDescent="0.25">
      <c r="A361" s="86" t="s">
        <v>689</v>
      </c>
      <c r="B361" s="87" t="s">
        <v>658</v>
      </c>
      <c r="C361" s="88" t="s">
        <v>146</v>
      </c>
      <c r="D361" s="89" t="s">
        <v>1177</v>
      </c>
      <c r="E361" s="88" t="s">
        <v>669</v>
      </c>
      <c r="F361" s="88" t="s">
        <v>1177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ROUND(Tableau15[[#This Row],[LEN]]*7.27,0)</f>
        <v>291</v>
      </c>
      <c r="L361" s="112">
        <v>15</v>
      </c>
      <c r="M361" s="129" t="str">
        <f t="shared" si="2"/>
        <v>none</v>
      </c>
      <c r="N361" s="112">
        <f>LEN(Tableau15[[#This Row],[LABEL]])</f>
        <v>40</v>
      </c>
      <c r="O361" s="112">
        <v>15</v>
      </c>
      <c r="P361" s="112" t="e">
        <f>ROUND(Tableau15[[#This Row],[LEN]]*#REF!+#REF!,0)</f>
        <v>#REF!</v>
      </c>
    </row>
    <row r="362" spans="1:16" s="97" customFormat="1" x14ac:dyDescent="0.25">
      <c r="A362" s="86" t="s">
        <v>690</v>
      </c>
      <c r="B362" s="87" t="s">
        <v>658</v>
      </c>
      <c r="C362" s="88" t="s">
        <v>147</v>
      </c>
      <c r="D362" s="89" t="s">
        <v>1177</v>
      </c>
      <c r="E362" s="88" t="s">
        <v>669</v>
      </c>
      <c r="F362" s="88" t="s">
        <v>1177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ROUND(Tableau15[[#This Row],[LEN]]*7.27,0)</f>
        <v>174</v>
      </c>
      <c r="L362" s="112">
        <v>15</v>
      </c>
      <c r="M362" s="129" t="str">
        <f t="shared" si="2"/>
        <v>none</v>
      </c>
      <c r="N362" s="112">
        <f>LEN(Tableau15[[#This Row],[LABEL]])</f>
        <v>24</v>
      </c>
      <c r="O362" s="112">
        <v>15</v>
      </c>
      <c r="P362" s="112" t="e">
        <f>ROUND(Tableau15[[#This Row],[LEN]]*#REF!+#REF!,0)</f>
        <v>#REF!</v>
      </c>
    </row>
    <row r="363" spans="1:16" s="97" customFormat="1" x14ac:dyDescent="0.25">
      <c r="A363" s="86" t="s">
        <v>691</v>
      </c>
      <c r="B363" s="87" t="s">
        <v>658</v>
      </c>
      <c r="C363" s="88" t="s">
        <v>148</v>
      </c>
      <c r="D363" s="89" t="s">
        <v>1177</v>
      </c>
      <c r="E363" s="88" t="s">
        <v>669</v>
      </c>
      <c r="F363" s="88" t="s">
        <v>1177</v>
      </c>
      <c r="G363" s="89" t="s">
        <v>166</v>
      </c>
      <c r="H363" s="90" t="s">
        <v>654</v>
      </c>
      <c r="I363" s="88"/>
      <c r="J363" s="91" t="s">
        <v>708</v>
      </c>
      <c r="K363" s="112">
        <f>ROUND(Tableau15[[#This Row],[LEN]]*7.27,0)</f>
        <v>225</v>
      </c>
      <c r="L363" s="112">
        <v>15</v>
      </c>
      <c r="M363" s="129" t="str">
        <f t="shared" si="2"/>
        <v>none</v>
      </c>
      <c r="N363" s="112">
        <f>LEN(Tableau15[[#This Row],[LABEL]])</f>
        <v>31</v>
      </c>
      <c r="O363" s="112">
        <v>15</v>
      </c>
      <c r="P363" s="112" t="e">
        <f>ROUND(Tableau15[[#This Row],[LEN]]*#REF!+#REF!,0)</f>
        <v>#REF!</v>
      </c>
    </row>
    <row r="364" spans="1:16" s="97" customFormat="1" x14ac:dyDescent="0.25">
      <c r="A364" s="29" t="s">
        <v>659</v>
      </c>
      <c r="B364" s="30" t="s">
        <v>488</v>
      </c>
      <c r="C364" s="31" t="s">
        <v>686</v>
      </c>
      <c r="D364" s="71" t="s">
        <v>1177</v>
      </c>
      <c r="E364" s="31" t="s">
        <v>669</v>
      </c>
      <c r="F364" s="31" t="s">
        <v>1177</v>
      </c>
      <c r="G364" s="71" t="s">
        <v>166</v>
      </c>
      <c r="H364" s="71" t="s">
        <v>655</v>
      </c>
      <c r="I364" s="31"/>
      <c r="J364" s="32" t="s">
        <v>708</v>
      </c>
      <c r="K364" s="111">
        <f>ROUND(Tableau15[[#This Row],[LEN]]*7.27,0)</f>
        <v>29</v>
      </c>
      <c r="L364" s="111">
        <v>15</v>
      </c>
      <c r="M364" s="128" t="str">
        <f t="shared" si="2"/>
        <v>none</v>
      </c>
      <c r="N364" s="111">
        <f>LEN(Tableau15[[#This Row],[LABEL]])</f>
        <v>4</v>
      </c>
      <c r="O364" s="111">
        <v>15</v>
      </c>
      <c r="P364" s="111" t="e">
        <f>ROUND(Tableau15[[#This Row],[LEN]]*#REF!+#REF!,0)</f>
        <v>#REF!</v>
      </c>
    </row>
    <row r="365" spans="1:16" s="97" customFormat="1" x14ac:dyDescent="0.25">
      <c r="A365" s="86" t="s">
        <v>692</v>
      </c>
      <c r="B365" s="87" t="s">
        <v>659</v>
      </c>
      <c r="C365" s="88" t="s">
        <v>149</v>
      </c>
      <c r="D365" s="89" t="s">
        <v>1177</v>
      </c>
      <c r="E365" s="88" t="s">
        <v>669</v>
      </c>
      <c r="F365" s="88" t="s">
        <v>1177</v>
      </c>
      <c r="G365" s="89" t="s">
        <v>166</v>
      </c>
      <c r="H365" s="90" t="s">
        <v>654</v>
      </c>
      <c r="I365" s="88"/>
      <c r="J365" s="91" t="s">
        <v>708</v>
      </c>
      <c r="K365" s="112">
        <f>ROUND(Tableau15[[#This Row],[LEN]]*7.27,0)</f>
        <v>167</v>
      </c>
      <c r="L365" s="112">
        <v>15</v>
      </c>
      <c r="M365" s="129" t="str">
        <f t="shared" si="2"/>
        <v>none</v>
      </c>
      <c r="N365" s="112">
        <f>LEN(Tableau15[[#This Row],[LABEL]])</f>
        <v>23</v>
      </c>
      <c r="O365" s="112">
        <v>15</v>
      </c>
      <c r="P365" s="112" t="e">
        <f>ROUND(Tableau15[[#This Row],[LEN]]*#REF!+#REF!,0)</f>
        <v>#REF!</v>
      </c>
    </row>
    <row r="366" spans="1:16" s="97" customFormat="1" x14ac:dyDescent="0.25">
      <c r="A366" s="86" t="s">
        <v>693</v>
      </c>
      <c r="B366" s="87" t="s">
        <v>659</v>
      </c>
      <c r="C366" s="88" t="s">
        <v>150</v>
      </c>
      <c r="D366" s="89" t="s">
        <v>1177</v>
      </c>
      <c r="E366" s="88" t="s">
        <v>669</v>
      </c>
      <c r="F366" s="88" t="s">
        <v>1177</v>
      </c>
      <c r="G366" s="89" t="s">
        <v>166</v>
      </c>
      <c r="H366" s="90" t="s">
        <v>570</v>
      </c>
      <c r="I366" s="88"/>
      <c r="J366" s="91" t="s">
        <v>708</v>
      </c>
      <c r="K366" s="112">
        <f>ROUND(Tableau15[[#This Row],[LEN]]*7.27,0)</f>
        <v>247</v>
      </c>
      <c r="L366" s="112">
        <v>15</v>
      </c>
      <c r="M366" s="129" t="str">
        <f t="shared" si="2"/>
        <v>none</v>
      </c>
      <c r="N366" s="112">
        <f>LEN(Tableau15[[#This Row],[LABEL]])</f>
        <v>34</v>
      </c>
      <c r="O366" s="112">
        <v>15</v>
      </c>
      <c r="P366" s="112" t="e">
        <f>ROUND(Tableau15[[#This Row],[LEN]]*#REF!+#REF!,0)</f>
        <v>#REF!</v>
      </c>
    </row>
    <row r="367" spans="1:16" s="97" customFormat="1" x14ac:dyDescent="0.25">
      <c r="A367" s="86" t="s">
        <v>694</v>
      </c>
      <c r="B367" s="87" t="s">
        <v>659</v>
      </c>
      <c r="C367" s="88" t="s">
        <v>151</v>
      </c>
      <c r="D367" s="89" t="s">
        <v>1177</v>
      </c>
      <c r="E367" s="88" t="s">
        <v>669</v>
      </c>
      <c r="F367" s="88" t="s">
        <v>1177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ROUND(Tableau15[[#This Row],[LEN]]*7.27,0)</f>
        <v>233</v>
      </c>
      <c r="L367" s="112">
        <v>15</v>
      </c>
      <c r="M367" s="129" t="str">
        <f t="shared" si="2"/>
        <v>none</v>
      </c>
      <c r="N367" s="112">
        <f>LEN(Tableau15[[#This Row],[LABEL]])</f>
        <v>32</v>
      </c>
      <c r="O367" s="112">
        <v>15</v>
      </c>
      <c r="P367" s="112" t="e">
        <f>ROUND(Tableau15[[#This Row],[LEN]]*#REF!+#REF!,0)</f>
        <v>#REF!</v>
      </c>
    </row>
    <row r="368" spans="1:16" s="97" customFormat="1" x14ac:dyDescent="0.25">
      <c r="A368" s="86" t="s">
        <v>695</v>
      </c>
      <c r="B368" s="87" t="s">
        <v>659</v>
      </c>
      <c r="C368" s="88" t="s">
        <v>152</v>
      </c>
      <c r="D368" s="89" t="s">
        <v>1177</v>
      </c>
      <c r="E368" s="88" t="s">
        <v>669</v>
      </c>
      <c r="F368" s="88" t="s">
        <v>1177</v>
      </c>
      <c r="G368" s="89" t="s">
        <v>166</v>
      </c>
      <c r="H368" s="90" t="s">
        <v>654</v>
      </c>
      <c r="I368" s="88"/>
      <c r="J368" s="91" t="s">
        <v>708</v>
      </c>
      <c r="K368" s="112">
        <f>ROUND(Tableau15[[#This Row],[LEN]]*7.27,0)</f>
        <v>174</v>
      </c>
      <c r="L368" s="112">
        <v>15</v>
      </c>
      <c r="M368" s="129" t="str">
        <f t="shared" si="2"/>
        <v>none</v>
      </c>
      <c r="N368" s="112">
        <f>LEN(Tableau15[[#This Row],[LABEL]])</f>
        <v>24</v>
      </c>
      <c r="O368" s="112">
        <v>15</v>
      </c>
      <c r="P368" s="112" t="e">
        <f>ROUND(Tableau15[[#This Row],[LEN]]*#REF!+#REF!,0)</f>
        <v>#REF!</v>
      </c>
    </row>
    <row r="369" spans="1:16" s="97" customFormat="1" x14ac:dyDescent="0.25">
      <c r="A369" s="29" t="s">
        <v>660</v>
      </c>
      <c r="B369" s="30" t="s">
        <v>488</v>
      </c>
      <c r="C369" s="31" t="s">
        <v>687</v>
      </c>
      <c r="D369" s="71" t="s">
        <v>1177</v>
      </c>
      <c r="E369" s="31" t="s">
        <v>669</v>
      </c>
      <c r="F369" s="31" t="s">
        <v>1177</v>
      </c>
      <c r="G369" s="71" t="s">
        <v>166</v>
      </c>
      <c r="H369" s="71" t="s">
        <v>655</v>
      </c>
      <c r="I369" s="31"/>
      <c r="J369" s="32" t="s">
        <v>708</v>
      </c>
      <c r="K369" s="111">
        <f>ROUND(Tableau15[[#This Row],[LEN]]*7.27,0)</f>
        <v>51</v>
      </c>
      <c r="L369" s="111">
        <v>15</v>
      </c>
      <c r="M369" s="128" t="str">
        <f t="shared" si="2"/>
        <v>none</v>
      </c>
      <c r="N369" s="111">
        <f>LEN(Tableau15[[#This Row],[LABEL]])</f>
        <v>7</v>
      </c>
      <c r="O369" s="111">
        <v>15</v>
      </c>
      <c r="P369" s="111" t="e">
        <f>ROUND(Tableau15[[#This Row],[LEN]]*#REF!+#REF!,0)</f>
        <v>#REF!</v>
      </c>
    </row>
    <row r="370" spans="1:16" s="97" customFormat="1" x14ac:dyDescent="0.25">
      <c r="A370" s="86" t="s">
        <v>696</v>
      </c>
      <c r="B370" s="87" t="s">
        <v>660</v>
      </c>
      <c r="C370" s="88" t="s">
        <v>153</v>
      </c>
      <c r="D370" s="89" t="s">
        <v>1177</v>
      </c>
      <c r="E370" s="88" t="s">
        <v>669</v>
      </c>
      <c r="F370" s="88" t="s">
        <v>1177</v>
      </c>
      <c r="G370" s="89" t="s">
        <v>166</v>
      </c>
      <c r="H370" s="90" t="s">
        <v>654</v>
      </c>
      <c r="I370" s="88"/>
      <c r="J370" s="91" t="s">
        <v>728</v>
      </c>
      <c r="K370" s="112">
        <f>ROUND(Tableau15[[#This Row],[LEN]]*7.27,0)</f>
        <v>276</v>
      </c>
      <c r="L370" s="112">
        <v>15</v>
      </c>
      <c r="M370" s="129" t="str">
        <f t="shared" si="2"/>
        <v>new</v>
      </c>
      <c r="N370" s="112">
        <f>LEN(Tableau15[[#This Row],[LABEL]])</f>
        <v>38</v>
      </c>
      <c r="O370" s="112">
        <v>15</v>
      </c>
      <c r="P370" s="112" t="e">
        <f>ROUND(Tableau15[[#This Row],[LEN]]*#REF!+#REF!,0)</f>
        <v>#REF!</v>
      </c>
    </row>
    <row r="371" spans="1:16" s="97" customFormat="1" x14ac:dyDescent="0.25">
      <c r="A371" s="86" t="s">
        <v>697</v>
      </c>
      <c r="B371" s="87" t="s">
        <v>660</v>
      </c>
      <c r="C371" s="88" t="s">
        <v>154</v>
      </c>
      <c r="D371" s="89" t="s">
        <v>1177</v>
      </c>
      <c r="E371" s="88" t="s">
        <v>669</v>
      </c>
      <c r="F371" s="88" t="s">
        <v>1177</v>
      </c>
      <c r="G371" s="89" t="s">
        <v>166</v>
      </c>
      <c r="H371" s="90" t="s">
        <v>654</v>
      </c>
      <c r="I371" s="88"/>
      <c r="J371" s="91" t="s">
        <v>708</v>
      </c>
      <c r="K371" s="112">
        <f>ROUND(Tableau15[[#This Row],[LEN]]*7.27,0)</f>
        <v>262</v>
      </c>
      <c r="L371" s="112">
        <v>15</v>
      </c>
      <c r="M371" s="129" t="str">
        <f t="shared" si="2"/>
        <v>none</v>
      </c>
      <c r="N371" s="112">
        <f>LEN(Tableau15[[#This Row],[LABEL]])</f>
        <v>36</v>
      </c>
      <c r="O371" s="112">
        <v>15</v>
      </c>
      <c r="P371" s="112" t="e">
        <f>ROUND(Tableau15[[#This Row],[LEN]]*#REF!+#REF!,0)</f>
        <v>#REF!</v>
      </c>
    </row>
    <row r="372" spans="1:16" s="97" customFormat="1" x14ac:dyDescent="0.25">
      <c r="A372" s="86" t="s">
        <v>698</v>
      </c>
      <c r="B372" s="87" t="s">
        <v>660</v>
      </c>
      <c r="C372" s="88" t="s">
        <v>155</v>
      </c>
      <c r="D372" s="89" t="s">
        <v>1177</v>
      </c>
      <c r="E372" s="88" t="s">
        <v>669</v>
      </c>
      <c r="F372" s="88" t="s">
        <v>1177</v>
      </c>
      <c r="G372" s="89" t="s">
        <v>166</v>
      </c>
      <c r="H372" s="90" t="s">
        <v>570</v>
      </c>
      <c r="I372" s="88"/>
      <c r="J372" s="91" t="s">
        <v>708</v>
      </c>
      <c r="K372" s="112">
        <f>ROUND(Tableau15[[#This Row],[LEN]]*7.27,0)</f>
        <v>218</v>
      </c>
      <c r="L372" s="112">
        <v>15</v>
      </c>
      <c r="M372" s="129" t="str">
        <f t="shared" si="2"/>
        <v>none</v>
      </c>
      <c r="N372" s="112">
        <f>LEN(Tableau15[[#This Row],[LABEL]])</f>
        <v>30</v>
      </c>
      <c r="O372" s="112">
        <v>15</v>
      </c>
      <c r="P372" s="112" t="e">
        <f>ROUND(Tableau15[[#This Row],[LEN]]*#REF!+#REF!,0)</f>
        <v>#REF!</v>
      </c>
    </row>
    <row r="373" spans="1:16" s="97" customFormat="1" x14ac:dyDescent="0.25">
      <c r="A373" s="25" t="s">
        <v>489</v>
      </c>
      <c r="B373" s="26" t="s">
        <v>255</v>
      </c>
      <c r="C373" s="27" t="s">
        <v>778</v>
      </c>
      <c r="D373" s="70" t="s">
        <v>1177</v>
      </c>
      <c r="E373" s="27" t="s">
        <v>673</v>
      </c>
      <c r="F373" s="27" t="s">
        <v>2000</v>
      </c>
      <c r="G373" s="70" t="s">
        <v>166</v>
      </c>
      <c r="H373" s="70" t="s">
        <v>17</v>
      </c>
      <c r="I373" s="27"/>
      <c r="J373" s="28" t="s">
        <v>708</v>
      </c>
      <c r="K373" s="109">
        <f>ROUND(Tableau15[[#This Row],[LEN]]*7.27,0)</f>
        <v>211</v>
      </c>
      <c r="L373" s="109">
        <v>15</v>
      </c>
      <c r="M373" s="127" t="str">
        <f t="shared" si="2"/>
        <v>none</v>
      </c>
      <c r="N373" s="109">
        <f>LEN(Tableau15[[#This Row],[LABEL]])</f>
        <v>29</v>
      </c>
      <c r="O373" s="109">
        <v>15</v>
      </c>
      <c r="P373" s="109" t="e">
        <f>ROUND(Tableau15[[#This Row],[LEN]]*#REF!+#REF!,0)</f>
        <v>#REF!</v>
      </c>
    </row>
    <row r="374" spans="1:16" s="97" customFormat="1" x14ac:dyDescent="0.25">
      <c r="A374" s="25" t="s">
        <v>490</v>
      </c>
      <c r="B374" s="26" t="s">
        <v>255</v>
      </c>
      <c r="C374" s="27" t="s">
        <v>92</v>
      </c>
      <c r="D374" s="70" t="s">
        <v>1177</v>
      </c>
      <c r="E374" s="27" t="s">
        <v>663</v>
      </c>
      <c r="F374" s="27" t="s">
        <v>2080</v>
      </c>
      <c r="G374" s="70" t="s">
        <v>166</v>
      </c>
      <c r="H374" s="70" t="s">
        <v>655</v>
      </c>
      <c r="I374" s="27"/>
      <c r="J374" s="28" t="s">
        <v>708</v>
      </c>
      <c r="K374" s="109">
        <f>ROUND(Tableau15[[#This Row],[LEN]]*7.27,0)</f>
        <v>262</v>
      </c>
      <c r="L374" s="109">
        <v>15</v>
      </c>
      <c r="M374" s="127" t="str">
        <f t="shared" si="2"/>
        <v>none</v>
      </c>
      <c r="N374" s="109">
        <f>LEN(Tableau15[[#This Row],[LABEL]])</f>
        <v>36</v>
      </c>
      <c r="O374" s="109">
        <v>15</v>
      </c>
      <c r="P374" s="109" t="e">
        <f>ROUND(Tableau15[[#This Row],[LEN]]*#REF!+#REF!,0)</f>
        <v>#REF!</v>
      </c>
    </row>
    <row r="375" spans="1:16" s="97" customFormat="1" x14ac:dyDescent="0.25">
      <c r="A375" s="29" t="s">
        <v>699</v>
      </c>
      <c r="B375" s="30" t="s">
        <v>490</v>
      </c>
      <c r="C375" s="31" t="s">
        <v>95</v>
      </c>
      <c r="D375" s="71" t="s">
        <v>1177</v>
      </c>
      <c r="E375" s="31" t="s">
        <v>663</v>
      </c>
      <c r="F375" s="31" t="s">
        <v>2080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ROUND(Tableau15[[#This Row],[LEN]]*7.27,0)</f>
        <v>254</v>
      </c>
      <c r="L375" s="111">
        <v>15</v>
      </c>
      <c r="M375" s="128" t="str">
        <f t="shared" si="2"/>
        <v>none</v>
      </c>
      <c r="N375" s="111">
        <f>LEN(Tableau15[[#This Row],[LABEL]])</f>
        <v>35</v>
      </c>
      <c r="O375" s="111">
        <v>15</v>
      </c>
      <c r="P375" s="111" t="e">
        <f>ROUND(Tableau15[[#This Row],[LEN]]*#REF!+#REF!,0)</f>
        <v>#REF!</v>
      </c>
    </row>
    <row r="376" spans="1:16" s="97" customFormat="1" x14ac:dyDescent="0.25">
      <c r="A376" s="29" t="s">
        <v>700</v>
      </c>
      <c r="B376" s="30" t="s">
        <v>490</v>
      </c>
      <c r="C376" s="31" t="s">
        <v>96</v>
      </c>
      <c r="D376" s="71" t="s">
        <v>1177</v>
      </c>
      <c r="E376" s="31" t="s">
        <v>663</v>
      </c>
      <c r="F376" s="31" t="s">
        <v>2080</v>
      </c>
      <c r="G376" s="71" t="s">
        <v>166</v>
      </c>
      <c r="H376" s="71" t="s">
        <v>18</v>
      </c>
      <c r="I376" s="31"/>
      <c r="J376" s="32" t="s">
        <v>708</v>
      </c>
      <c r="K376" s="111">
        <f>ROUND(Tableau15[[#This Row],[LEN]]*7.27,0)</f>
        <v>233</v>
      </c>
      <c r="L376" s="111">
        <v>15</v>
      </c>
      <c r="M376" s="128" t="str">
        <f t="shared" si="2"/>
        <v>none</v>
      </c>
      <c r="N376" s="111">
        <f>LEN(Tableau15[[#This Row],[LABEL]])</f>
        <v>32</v>
      </c>
      <c r="O376" s="111">
        <v>15</v>
      </c>
      <c r="P376" s="111" t="e">
        <f>ROUND(Tableau15[[#This Row],[LEN]]*#REF!+#REF!,0)</f>
        <v>#REF!</v>
      </c>
    </row>
    <row r="377" spans="1:16" s="97" customFormat="1" x14ac:dyDescent="0.25">
      <c r="A377" s="29" t="s">
        <v>1391</v>
      </c>
      <c r="B377" s="30" t="s">
        <v>490</v>
      </c>
      <c r="C377" s="31" t="s">
        <v>97</v>
      </c>
      <c r="D377" s="71" t="s">
        <v>1177</v>
      </c>
      <c r="E377" s="31" t="s">
        <v>663</v>
      </c>
      <c r="F377" s="31" t="s">
        <v>2080</v>
      </c>
      <c r="G377" s="71" t="s">
        <v>166</v>
      </c>
      <c r="H377" s="71" t="s">
        <v>656</v>
      </c>
      <c r="I377" s="31"/>
      <c r="J377" s="32" t="s">
        <v>708</v>
      </c>
      <c r="K377" s="111">
        <f>ROUND(Tableau15[[#This Row],[LEN]]*7.27,0)</f>
        <v>145</v>
      </c>
      <c r="L377" s="111">
        <v>15</v>
      </c>
      <c r="M377" s="128" t="str">
        <f t="shared" si="2"/>
        <v>none</v>
      </c>
      <c r="N377" s="111">
        <f>LEN(Tableau15[[#This Row],[LABEL]])</f>
        <v>20</v>
      </c>
      <c r="O377" s="111">
        <v>15</v>
      </c>
      <c r="P377" s="111" t="e">
        <f>ROUND(Tableau15[[#This Row],[LEN]]*#REF!+#REF!,0)</f>
        <v>#REF!</v>
      </c>
    </row>
    <row r="378" spans="1:16" s="97" customFormat="1" x14ac:dyDescent="0.25">
      <c r="A378" s="25" t="s">
        <v>491</v>
      </c>
      <c r="B378" s="26" t="s">
        <v>255</v>
      </c>
      <c r="C378" s="27" t="s">
        <v>1167</v>
      </c>
      <c r="D378" s="70" t="s">
        <v>486</v>
      </c>
      <c r="E378" s="27" t="s">
        <v>1085</v>
      </c>
      <c r="F378" s="27" t="s">
        <v>1084</v>
      </c>
      <c r="G378" s="70" t="s">
        <v>1977</v>
      </c>
      <c r="H378" s="70" t="s">
        <v>1131</v>
      </c>
      <c r="I378" s="27"/>
      <c r="J378" s="28" t="s">
        <v>708</v>
      </c>
      <c r="K378" s="109">
        <f>ROUND(Tableau15[[#This Row],[LEN]]*7.27,0)</f>
        <v>196</v>
      </c>
      <c r="L378" s="109">
        <v>15</v>
      </c>
      <c r="M378" s="127" t="str">
        <f t="shared" si="2"/>
        <v>none</v>
      </c>
      <c r="N378" s="109">
        <f>LEN(Tableau15[[#This Row],[LABEL]])</f>
        <v>27</v>
      </c>
      <c r="O378" s="109">
        <v>15</v>
      </c>
      <c r="P378" s="109" t="e">
        <f>ROUND(Tableau15[[#This Row],[LEN]]*#REF!+#REF!,0)</f>
        <v>#REF!</v>
      </c>
    </row>
    <row r="379" spans="1:16" s="97" customFormat="1" x14ac:dyDescent="0.25">
      <c r="A379" s="29" t="s">
        <v>1205</v>
      </c>
      <c r="B379" s="30" t="s">
        <v>491</v>
      </c>
      <c r="C379" s="31" t="s">
        <v>93</v>
      </c>
      <c r="D379" s="71" t="s">
        <v>1177</v>
      </c>
      <c r="E379" s="31" t="s">
        <v>1085</v>
      </c>
      <c r="F379" s="31" t="s">
        <v>1084</v>
      </c>
      <c r="G379" s="71" t="s">
        <v>166</v>
      </c>
      <c r="H379" s="71" t="s">
        <v>18</v>
      </c>
      <c r="I379" s="31"/>
      <c r="J379" s="32" t="s">
        <v>101</v>
      </c>
      <c r="K379" s="111">
        <f>ROUND(Tableau15[[#This Row],[LEN]]*7.27,0)</f>
        <v>109</v>
      </c>
      <c r="L379" s="111">
        <v>15</v>
      </c>
      <c r="M379" s="128" t="str">
        <f t="shared" si="2"/>
        <v>new</v>
      </c>
      <c r="N379" s="111">
        <f>LEN(Tableau15[[#This Row],[LABEL]])</f>
        <v>15</v>
      </c>
      <c r="O379" s="111">
        <v>15</v>
      </c>
      <c r="P379" s="111" t="e">
        <f>ROUND(Tableau15[[#This Row],[LEN]]*#REF!+#REF!,0)</f>
        <v>#REF!</v>
      </c>
    </row>
    <row r="380" spans="1:16" s="97" customFormat="1" x14ac:dyDescent="0.25">
      <c r="A380" s="29" t="s">
        <v>1206</v>
      </c>
      <c r="B380" s="30" t="s">
        <v>491</v>
      </c>
      <c r="C380" s="31" t="s">
        <v>94</v>
      </c>
      <c r="D380" s="71" t="s">
        <v>1177</v>
      </c>
      <c r="E380" s="31" t="s">
        <v>1085</v>
      </c>
      <c r="F380" s="31" t="s">
        <v>1084</v>
      </c>
      <c r="G380" s="71" t="s">
        <v>166</v>
      </c>
      <c r="H380" s="71" t="s">
        <v>18</v>
      </c>
      <c r="I380" s="31"/>
      <c r="J380" s="32" t="s">
        <v>102</v>
      </c>
      <c r="K380" s="111">
        <f>ROUND(Tableau15[[#This Row],[LEN]]*7.27,0)</f>
        <v>58</v>
      </c>
      <c r="L380" s="111">
        <v>15</v>
      </c>
      <c r="M380" s="128" t="str">
        <f t="shared" si="2"/>
        <v>new</v>
      </c>
      <c r="N380" s="111">
        <f>LEN(Tableau15[[#This Row],[LABEL]])</f>
        <v>8</v>
      </c>
      <c r="O380" s="111">
        <v>15</v>
      </c>
      <c r="P380" s="111" t="e">
        <f>ROUND(Tableau15[[#This Row],[LEN]]*#REF!+#REF!,0)</f>
        <v>#REF!</v>
      </c>
    </row>
    <row r="381" spans="1:16" s="273" customFormat="1" x14ac:dyDescent="0.25">
      <c r="A381" s="288" t="s">
        <v>256</v>
      </c>
      <c r="B381" s="289" t="s">
        <v>206</v>
      </c>
      <c r="C381" s="290" t="s">
        <v>7</v>
      </c>
      <c r="D381" s="291" t="s">
        <v>1177</v>
      </c>
      <c r="E381" s="290" t="s">
        <v>663</v>
      </c>
      <c r="F381" s="290" t="s">
        <v>670</v>
      </c>
      <c r="G381" s="291" t="s">
        <v>166</v>
      </c>
      <c r="H381" s="291" t="str">
        <f>IFERROR(IF(SEARCH(".00.00.00.00.00",Tableau15[[#This Row],[name]],1)=7,"Division",""),"")</f>
        <v>Division</v>
      </c>
      <c r="I381" s="290"/>
      <c r="J381" s="292" t="s">
        <v>708</v>
      </c>
      <c r="K381" s="293">
        <f>ROUND(Tableau15[[#This Row],[LEN]]*7.27,0)</f>
        <v>189</v>
      </c>
      <c r="L381" s="293">
        <v>15</v>
      </c>
      <c r="M381" s="294" t="str">
        <f t="shared" si="2"/>
        <v>none</v>
      </c>
      <c r="N381" s="293">
        <f>LEN(Tableau15[[#This Row],[LABEL]])</f>
        <v>26</v>
      </c>
      <c r="O381" s="293">
        <v>15</v>
      </c>
      <c r="P381" s="293" t="e">
        <f>ROUND(Tableau15[[#This Row],[LEN]]*#REF!+#REF!,0)</f>
        <v>#REF!</v>
      </c>
    </row>
    <row r="382" spans="1:16" s="97" customFormat="1" x14ac:dyDescent="0.25">
      <c r="A382" s="25" t="s">
        <v>1193</v>
      </c>
      <c r="B382" s="26" t="s">
        <v>256</v>
      </c>
      <c r="C382" s="27" t="s">
        <v>1198</v>
      </c>
      <c r="D382" s="70" t="s">
        <v>1177</v>
      </c>
      <c r="E382" s="27" t="s">
        <v>670</v>
      </c>
      <c r="F382" s="27" t="s">
        <v>678</v>
      </c>
      <c r="G382" s="70" t="s">
        <v>166</v>
      </c>
      <c r="H382" s="70" t="s">
        <v>656</v>
      </c>
      <c r="I382" s="27"/>
      <c r="J382" s="28" t="s">
        <v>708</v>
      </c>
      <c r="K382" s="109">
        <f>ROUND(Tableau15[[#This Row],[LEN]]*7.27,0)</f>
        <v>204</v>
      </c>
      <c r="L382" s="109">
        <v>15</v>
      </c>
      <c r="M382" s="127" t="str">
        <f t="shared" ref="M382:M445" si="3">IF(J382="javascript:void(0)","none","new")</f>
        <v>none</v>
      </c>
      <c r="N382" s="109">
        <f>LEN(Tableau15[[#This Row],[LABEL]])</f>
        <v>28</v>
      </c>
      <c r="O382" s="109">
        <v>15</v>
      </c>
      <c r="P382" s="109" t="e">
        <f>ROUND(Tableau15[[#This Row],[LEN]]*#REF!+#REF!,0)</f>
        <v>#REF!</v>
      </c>
    </row>
    <row r="383" spans="1:16" s="97" customFormat="1" x14ac:dyDescent="0.25">
      <c r="A383" s="25" t="s">
        <v>1194</v>
      </c>
      <c r="B383" s="26" t="s">
        <v>256</v>
      </c>
      <c r="C383" s="27" t="s">
        <v>1199</v>
      </c>
      <c r="D383" s="70" t="s">
        <v>1177</v>
      </c>
      <c r="E383" s="27" t="s">
        <v>670</v>
      </c>
      <c r="F383" s="27" t="s">
        <v>1177</v>
      </c>
      <c r="G383" s="70" t="s">
        <v>166</v>
      </c>
      <c r="H383" s="70" t="s">
        <v>17</v>
      </c>
      <c r="I383" s="27"/>
      <c r="J383" s="28" t="s">
        <v>708</v>
      </c>
      <c r="K383" s="109">
        <f>ROUND(Tableau15[[#This Row],[LEN]]*7.27,0)</f>
        <v>305</v>
      </c>
      <c r="L383" s="109">
        <v>15</v>
      </c>
      <c r="M383" s="127" t="str">
        <f t="shared" si="3"/>
        <v>none</v>
      </c>
      <c r="N383" s="109">
        <f>LEN(Tableau15[[#This Row],[LABEL]])</f>
        <v>42</v>
      </c>
      <c r="O383" s="109">
        <v>15</v>
      </c>
      <c r="P383" s="109" t="e">
        <f>ROUND(Tableau15[[#This Row],[LEN]]*#REF!+#REF!,0)</f>
        <v>#REF!</v>
      </c>
    </row>
    <row r="384" spans="1:16" s="97" customFormat="1" x14ac:dyDescent="0.25">
      <c r="A384" s="25" t="s">
        <v>1195</v>
      </c>
      <c r="B384" s="26" t="s">
        <v>256</v>
      </c>
      <c r="C384" s="27" t="s">
        <v>88</v>
      </c>
      <c r="D384" s="70" t="s">
        <v>1177</v>
      </c>
      <c r="E384" s="27" t="s">
        <v>667</v>
      </c>
      <c r="F384" s="27" t="s">
        <v>1218</v>
      </c>
      <c r="G384" s="70" t="s">
        <v>166</v>
      </c>
      <c r="H384" s="70" t="s">
        <v>570</v>
      </c>
      <c r="I384" s="27"/>
      <c r="J384" s="28" t="s">
        <v>708</v>
      </c>
      <c r="K384" s="109">
        <f>ROUND(Tableau15[[#This Row],[LEN]]*7.27,0)</f>
        <v>342</v>
      </c>
      <c r="L384" s="109">
        <v>15</v>
      </c>
      <c r="M384" s="127" t="str">
        <f t="shared" si="3"/>
        <v>none</v>
      </c>
      <c r="N384" s="109">
        <f>LEN(Tableau15[[#This Row],[LABEL]])</f>
        <v>47</v>
      </c>
      <c r="O384" s="109">
        <v>15</v>
      </c>
      <c r="P384" s="109" t="e">
        <f>ROUND(Tableau15[[#This Row],[LEN]]*#REF!+#REF!,0)</f>
        <v>#REF!</v>
      </c>
    </row>
    <row r="385" spans="1:16" s="97" customFormat="1" x14ac:dyDescent="0.25">
      <c r="A385" s="25" t="s">
        <v>1196</v>
      </c>
      <c r="B385" s="26" t="s">
        <v>256</v>
      </c>
      <c r="C385" s="27" t="s">
        <v>1200</v>
      </c>
      <c r="D385" s="70" t="s">
        <v>1177</v>
      </c>
      <c r="E385" s="27" t="s">
        <v>670</v>
      </c>
      <c r="F385" s="27" t="s">
        <v>1177</v>
      </c>
      <c r="G385" s="70" t="s">
        <v>166</v>
      </c>
      <c r="H385" s="70" t="s">
        <v>655</v>
      </c>
      <c r="I385" s="27"/>
      <c r="J385" s="28" t="s">
        <v>708</v>
      </c>
      <c r="K385" s="109">
        <f>ROUND(Tableau15[[#This Row],[LEN]]*7.27,0)</f>
        <v>298</v>
      </c>
      <c r="L385" s="109">
        <v>15</v>
      </c>
      <c r="M385" s="127" t="str">
        <f t="shared" si="3"/>
        <v>none</v>
      </c>
      <c r="N385" s="109">
        <f>LEN(Tableau15[[#This Row],[LABEL]])</f>
        <v>41</v>
      </c>
      <c r="O385" s="109">
        <v>15</v>
      </c>
      <c r="P385" s="109" t="e">
        <f>ROUND(Tableau15[[#This Row],[LEN]]*#REF!+#REF!,0)</f>
        <v>#REF!</v>
      </c>
    </row>
    <row r="386" spans="1:16" s="97" customFormat="1" x14ac:dyDescent="0.25">
      <c r="A386" s="29" t="s">
        <v>1214</v>
      </c>
      <c r="B386" s="30" t="s">
        <v>1196</v>
      </c>
      <c r="C386" s="31" t="s">
        <v>1211</v>
      </c>
      <c r="D386" s="71" t="s">
        <v>1177</v>
      </c>
      <c r="E386" s="31" t="s">
        <v>670</v>
      </c>
      <c r="F386" s="31" t="s">
        <v>1177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ROUND(Tableau15[[#This Row],[LEN]]*7.27,0)</f>
        <v>240</v>
      </c>
      <c r="L386" s="111">
        <v>15</v>
      </c>
      <c r="M386" s="128" t="str">
        <f t="shared" si="3"/>
        <v>none</v>
      </c>
      <c r="N386" s="111">
        <f>LEN(Tableau15[[#This Row],[LABEL]])</f>
        <v>33</v>
      </c>
      <c r="O386" s="111">
        <v>15</v>
      </c>
      <c r="P386" s="111" t="e">
        <f>ROUND(Tableau15[[#This Row],[LEN]]*#REF!+#REF!,0)</f>
        <v>#REF!</v>
      </c>
    </row>
    <row r="387" spans="1:16" s="97" customFormat="1" x14ac:dyDescent="0.25">
      <c r="A387" s="29" t="s">
        <v>1215</v>
      </c>
      <c r="B387" s="30" t="s">
        <v>1196</v>
      </c>
      <c r="C387" s="31" t="s">
        <v>1212</v>
      </c>
      <c r="D387" s="71" t="s">
        <v>1177</v>
      </c>
      <c r="E387" s="31" t="s">
        <v>670</v>
      </c>
      <c r="F387" s="31" t="s">
        <v>1177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ROUND(Tableau15[[#This Row],[LEN]]*7.27,0)</f>
        <v>327</v>
      </c>
      <c r="L387" s="111">
        <v>15</v>
      </c>
      <c r="M387" s="128" t="str">
        <f t="shared" si="3"/>
        <v>none</v>
      </c>
      <c r="N387" s="111">
        <f>LEN(Tableau15[[#This Row],[LABEL]])</f>
        <v>45</v>
      </c>
      <c r="O387" s="111">
        <v>15</v>
      </c>
      <c r="P387" s="111" t="e">
        <f>ROUND(Tableau15[[#This Row],[LEN]]*#REF!+#REF!,0)</f>
        <v>#REF!</v>
      </c>
    </row>
    <row r="388" spans="1:16" s="97" customFormat="1" x14ac:dyDescent="0.25">
      <c r="A388" s="29" t="s">
        <v>1216</v>
      </c>
      <c r="B388" s="30" t="s">
        <v>1196</v>
      </c>
      <c r="C388" s="31" t="s">
        <v>1213</v>
      </c>
      <c r="D388" s="71" t="s">
        <v>1177</v>
      </c>
      <c r="E388" s="31" t="s">
        <v>670</v>
      </c>
      <c r="F388" s="31" t="s">
        <v>1177</v>
      </c>
      <c r="G388" s="71" t="s">
        <v>166</v>
      </c>
      <c r="H388" s="71" t="s">
        <v>654</v>
      </c>
      <c r="I388" s="31"/>
      <c r="J388" s="32" t="s">
        <v>708</v>
      </c>
      <c r="K388" s="111">
        <f>ROUND(Tableau15[[#This Row],[LEN]]*7.27,0)</f>
        <v>334</v>
      </c>
      <c r="L388" s="111">
        <v>15</v>
      </c>
      <c r="M388" s="128" t="str">
        <f t="shared" si="3"/>
        <v>none</v>
      </c>
      <c r="N388" s="111">
        <f>LEN(Tableau15[[#This Row],[LABEL]])</f>
        <v>46</v>
      </c>
      <c r="O388" s="111">
        <v>15</v>
      </c>
      <c r="P388" s="111" t="e">
        <f>ROUND(Tableau15[[#This Row],[LEN]]*#REF!+#REF!,0)</f>
        <v>#REF!</v>
      </c>
    </row>
    <row r="389" spans="1:16" s="97" customFormat="1" x14ac:dyDescent="0.25">
      <c r="A389" s="25" t="s">
        <v>1197</v>
      </c>
      <c r="B389" s="26" t="s">
        <v>256</v>
      </c>
      <c r="C389" s="27" t="s">
        <v>1167</v>
      </c>
      <c r="D389" s="70" t="s">
        <v>486</v>
      </c>
      <c r="E389" s="27" t="s">
        <v>1085</v>
      </c>
      <c r="F389" s="27" t="s">
        <v>1084</v>
      </c>
      <c r="G389" s="70" t="s">
        <v>1977</v>
      </c>
      <c r="H389" s="70" t="s">
        <v>1131</v>
      </c>
      <c r="I389" s="27"/>
      <c r="J389" s="28" t="s">
        <v>708</v>
      </c>
      <c r="K389" s="109">
        <f>ROUND(Tableau15[[#This Row],[LEN]]*7.27,0)</f>
        <v>196</v>
      </c>
      <c r="L389" s="109">
        <v>15</v>
      </c>
      <c r="M389" s="127" t="str">
        <f t="shared" si="3"/>
        <v>none</v>
      </c>
      <c r="N389" s="109">
        <f>LEN(Tableau15[[#This Row],[LABEL]])</f>
        <v>27</v>
      </c>
      <c r="O389" s="109">
        <v>15</v>
      </c>
      <c r="P389" s="109" t="e">
        <f>ROUND(Tableau15[[#This Row],[LEN]]*#REF!+#REF!,0)</f>
        <v>#REF!</v>
      </c>
    </row>
    <row r="390" spans="1:16" s="97" customFormat="1" x14ac:dyDescent="0.25">
      <c r="A390" s="29" t="s">
        <v>1207</v>
      </c>
      <c r="B390" s="30" t="s">
        <v>1197</v>
      </c>
      <c r="C390" s="31" t="s">
        <v>93</v>
      </c>
      <c r="D390" s="71" t="s">
        <v>1177</v>
      </c>
      <c r="E390" s="31" t="s">
        <v>1085</v>
      </c>
      <c r="F390" s="31" t="s">
        <v>1084</v>
      </c>
      <c r="G390" s="71" t="s">
        <v>166</v>
      </c>
      <c r="H390" s="71" t="s">
        <v>18</v>
      </c>
      <c r="I390" s="31"/>
      <c r="J390" s="32" t="s">
        <v>101</v>
      </c>
      <c r="K390" s="111">
        <f>ROUND(Tableau15[[#This Row],[LEN]]*7.27,0)</f>
        <v>109</v>
      </c>
      <c r="L390" s="111">
        <v>15</v>
      </c>
      <c r="M390" s="128" t="str">
        <f t="shared" si="3"/>
        <v>new</v>
      </c>
      <c r="N390" s="111">
        <f>LEN(Tableau15[[#This Row],[LABEL]])</f>
        <v>15</v>
      </c>
      <c r="O390" s="111">
        <v>15</v>
      </c>
      <c r="P390" s="111" t="e">
        <f>ROUND(Tableau15[[#This Row],[LEN]]*#REF!+#REF!,0)</f>
        <v>#REF!</v>
      </c>
    </row>
    <row r="391" spans="1:16" s="97" customFormat="1" x14ac:dyDescent="0.25">
      <c r="A391" s="29" t="s">
        <v>1208</v>
      </c>
      <c r="B391" s="30" t="s">
        <v>1197</v>
      </c>
      <c r="C391" s="31" t="s">
        <v>94</v>
      </c>
      <c r="D391" s="71" t="s">
        <v>1177</v>
      </c>
      <c r="E391" s="31" t="s">
        <v>1085</v>
      </c>
      <c r="F391" s="31" t="s">
        <v>1084</v>
      </c>
      <c r="G391" s="71" t="s">
        <v>166</v>
      </c>
      <c r="H391" s="71" t="s">
        <v>18</v>
      </c>
      <c r="I391" s="31"/>
      <c r="J391" s="32" t="s">
        <v>102</v>
      </c>
      <c r="K391" s="111">
        <f>ROUND(Tableau15[[#This Row],[LEN]]*7.27,0)</f>
        <v>58</v>
      </c>
      <c r="L391" s="111">
        <v>15</v>
      </c>
      <c r="M391" s="128" t="str">
        <f t="shared" si="3"/>
        <v>new</v>
      </c>
      <c r="N391" s="111">
        <f>LEN(Tableau15[[#This Row],[LABEL]])</f>
        <v>8</v>
      </c>
      <c r="O391" s="111">
        <v>15</v>
      </c>
      <c r="P391" s="111" t="e">
        <f>ROUND(Tableau15[[#This Row],[LEN]]*#REF!+#REF!,0)</f>
        <v>#REF!</v>
      </c>
    </row>
    <row r="392" spans="1:16" s="273" customFormat="1" x14ac:dyDescent="0.25">
      <c r="A392" s="288" t="s">
        <v>257</v>
      </c>
      <c r="B392" s="289" t="s">
        <v>206</v>
      </c>
      <c r="C392" s="290" t="s">
        <v>8</v>
      </c>
      <c r="D392" s="291" t="s">
        <v>1177</v>
      </c>
      <c r="E392" s="290" t="s">
        <v>671</v>
      </c>
      <c r="F392" s="290" t="s">
        <v>1177</v>
      </c>
      <c r="G392" s="291" t="s">
        <v>166</v>
      </c>
      <c r="H392" s="291" t="str">
        <f>IFERROR(IF(SEARCH(".00.00.00.00.00",Tableau15[[#This Row],[name]],1)=7,"Division",""),"")</f>
        <v>Division</v>
      </c>
      <c r="I392" s="290"/>
      <c r="J392" s="292" t="s">
        <v>708</v>
      </c>
      <c r="K392" s="293">
        <f>ROUND(Tableau15[[#This Row],[LEN]]*7.27,0)</f>
        <v>116</v>
      </c>
      <c r="L392" s="293">
        <v>15</v>
      </c>
      <c r="M392" s="294" t="str">
        <f t="shared" si="3"/>
        <v>none</v>
      </c>
      <c r="N392" s="293">
        <f>LEN(Tableau15[[#This Row],[LABEL]])</f>
        <v>16</v>
      </c>
      <c r="O392" s="293">
        <v>15</v>
      </c>
      <c r="P392" s="293" t="e">
        <f>ROUND(Tableau15[[#This Row],[LEN]]*#REF!+#REF!,0)</f>
        <v>#REF!</v>
      </c>
    </row>
    <row r="393" spans="1:16" s="97" customFormat="1" x14ac:dyDescent="0.25">
      <c r="A393" s="25" t="s">
        <v>1220</v>
      </c>
      <c r="B393" s="26" t="s">
        <v>257</v>
      </c>
      <c r="C393" s="27" t="s">
        <v>1217</v>
      </c>
      <c r="D393" s="70" t="s">
        <v>1177</v>
      </c>
      <c r="E393" s="27" t="s">
        <v>671</v>
      </c>
      <c r="F393" s="27" t="s">
        <v>678</v>
      </c>
      <c r="G393" s="70" t="s">
        <v>166</v>
      </c>
      <c r="H393" s="70" t="s">
        <v>654</v>
      </c>
      <c r="I393" s="27"/>
      <c r="J393" s="28" t="s">
        <v>708</v>
      </c>
      <c r="K393" s="109">
        <f>ROUND(Tableau15[[#This Row],[LEN]]*7.27,0)</f>
        <v>160</v>
      </c>
      <c r="L393" s="109">
        <v>15</v>
      </c>
      <c r="M393" s="127" t="str">
        <f t="shared" si="3"/>
        <v>none</v>
      </c>
      <c r="N393" s="109">
        <f>LEN(Tableau15[[#This Row],[LABEL]])</f>
        <v>22</v>
      </c>
      <c r="O393" s="109">
        <v>15</v>
      </c>
      <c r="P393" s="109" t="e">
        <f>ROUND(Tableau15[[#This Row],[LEN]]*#REF!+#REF!,0)</f>
        <v>#REF!</v>
      </c>
    </row>
    <row r="394" spans="1:16" s="97" customFormat="1" x14ac:dyDescent="0.25">
      <c r="A394" s="25" t="s">
        <v>1221</v>
      </c>
      <c r="B394" s="26" t="s">
        <v>257</v>
      </c>
      <c r="C394" s="27" t="s">
        <v>88</v>
      </c>
      <c r="D394" s="70" t="s">
        <v>1177</v>
      </c>
      <c r="E394" s="27" t="s">
        <v>667</v>
      </c>
      <c r="F394" s="27" t="s">
        <v>1218</v>
      </c>
      <c r="G394" s="70" t="s">
        <v>166</v>
      </c>
      <c r="H394" s="70" t="s">
        <v>570</v>
      </c>
      <c r="I394" s="27"/>
      <c r="J394" s="28" t="s">
        <v>708</v>
      </c>
      <c r="K394" s="109">
        <f>ROUND(Tableau15[[#This Row],[LEN]]*7.27,0)</f>
        <v>342</v>
      </c>
      <c r="L394" s="109">
        <v>15</v>
      </c>
      <c r="M394" s="127" t="str">
        <f t="shared" si="3"/>
        <v>none</v>
      </c>
      <c r="N394" s="109">
        <f>LEN(Tableau15[[#This Row],[LABEL]])</f>
        <v>47</v>
      </c>
      <c r="O394" s="109">
        <v>15</v>
      </c>
      <c r="P394" s="109" t="e">
        <f>ROUND(Tableau15[[#This Row],[LEN]]*#REF!+#REF!,0)</f>
        <v>#REF!</v>
      </c>
    </row>
    <row r="395" spans="1:16" s="97" customFormat="1" x14ac:dyDescent="0.25">
      <c r="A395" s="25" t="s">
        <v>1222</v>
      </c>
      <c r="B395" s="26" t="s">
        <v>257</v>
      </c>
      <c r="C395" s="27" t="s">
        <v>1219</v>
      </c>
      <c r="D395" s="70" t="s">
        <v>1177</v>
      </c>
      <c r="E395" s="27" t="s">
        <v>671</v>
      </c>
      <c r="F395" s="27" t="s">
        <v>678</v>
      </c>
      <c r="G395" s="70" t="s">
        <v>166</v>
      </c>
      <c r="H395" s="70" t="s">
        <v>656</v>
      </c>
      <c r="I395" s="27"/>
      <c r="J395" s="28" t="s">
        <v>708</v>
      </c>
      <c r="K395" s="109">
        <f>ROUND(Tableau15[[#This Row],[LEN]]*7.27,0)</f>
        <v>240</v>
      </c>
      <c r="L395" s="109">
        <v>15</v>
      </c>
      <c r="M395" s="127" t="str">
        <f t="shared" si="3"/>
        <v>none</v>
      </c>
      <c r="N395" s="109">
        <f>LEN(Tableau15[[#This Row],[LABEL]])</f>
        <v>33</v>
      </c>
      <c r="O395" s="109">
        <v>15</v>
      </c>
      <c r="P395" s="109" t="e">
        <f>ROUND(Tableau15[[#This Row],[LEN]]*#REF!+#REF!,0)</f>
        <v>#REF!</v>
      </c>
    </row>
    <row r="396" spans="1:16" s="97" customFormat="1" x14ac:dyDescent="0.25">
      <c r="A396" s="25" t="s">
        <v>1223</v>
      </c>
      <c r="B396" s="26" t="s">
        <v>257</v>
      </c>
      <c r="C396" s="27" t="s">
        <v>1167</v>
      </c>
      <c r="D396" s="70" t="s">
        <v>486</v>
      </c>
      <c r="E396" s="27" t="s">
        <v>1085</v>
      </c>
      <c r="F396" s="27" t="s">
        <v>1084</v>
      </c>
      <c r="G396" s="70" t="s">
        <v>1977</v>
      </c>
      <c r="H396" s="70" t="s">
        <v>1131</v>
      </c>
      <c r="I396" s="27"/>
      <c r="J396" s="28" t="s">
        <v>708</v>
      </c>
      <c r="K396" s="109">
        <f>ROUND(Tableau15[[#This Row],[LEN]]*7.27,0)</f>
        <v>196</v>
      </c>
      <c r="L396" s="109">
        <v>15</v>
      </c>
      <c r="M396" s="127" t="str">
        <f t="shared" si="3"/>
        <v>none</v>
      </c>
      <c r="N396" s="109">
        <f>LEN(Tableau15[[#This Row],[LABEL]])</f>
        <v>27</v>
      </c>
      <c r="O396" s="109">
        <v>15</v>
      </c>
      <c r="P396" s="109" t="e">
        <f>ROUND(Tableau15[[#This Row],[LEN]]*#REF!+#REF!,0)</f>
        <v>#REF!</v>
      </c>
    </row>
    <row r="397" spans="1:16" s="97" customFormat="1" x14ac:dyDescent="0.25">
      <c r="A397" s="29" t="s">
        <v>1224</v>
      </c>
      <c r="B397" s="30" t="s">
        <v>1223</v>
      </c>
      <c r="C397" s="31" t="s">
        <v>93</v>
      </c>
      <c r="D397" s="71" t="s">
        <v>1177</v>
      </c>
      <c r="E397" s="31" t="s">
        <v>1085</v>
      </c>
      <c r="F397" s="31" t="s">
        <v>1084</v>
      </c>
      <c r="G397" s="71" t="s">
        <v>166</v>
      </c>
      <c r="H397" s="71" t="s">
        <v>18</v>
      </c>
      <c r="I397" s="31"/>
      <c r="J397" s="32" t="s">
        <v>101</v>
      </c>
      <c r="K397" s="111">
        <f>ROUND(Tableau15[[#This Row],[LEN]]*7.27,0)</f>
        <v>109</v>
      </c>
      <c r="L397" s="111">
        <v>15</v>
      </c>
      <c r="M397" s="128" t="str">
        <f t="shared" si="3"/>
        <v>new</v>
      </c>
      <c r="N397" s="111">
        <f>LEN(Tableau15[[#This Row],[LABEL]])</f>
        <v>15</v>
      </c>
      <c r="O397" s="111">
        <v>15</v>
      </c>
      <c r="P397" s="111" t="e">
        <f>ROUND(Tableau15[[#This Row],[LEN]]*#REF!+#REF!,0)</f>
        <v>#REF!</v>
      </c>
    </row>
    <row r="398" spans="1:16" s="97" customFormat="1" x14ac:dyDescent="0.25">
      <c r="A398" s="29" t="s">
        <v>1225</v>
      </c>
      <c r="B398" s="30" t="s">
        <v>1223</v>
      </c>
      <c r="C398" s="31" t="s">
        <v>94</v>
      </c>
      <c r="D398" s="71" t="s">
        <v>1177</v>
      </c>
      <c r="E398" s="31" t="s">
        <v>1085</v>
      </c>
      <c r="F398" s="31" t="s">
        <v>1084</v>
      </c>
      <c r="G398" s="71" t="s">
        <v>166</v>
      </c>
      <c r="H398" s="71" t="s">
        <v>18</v>
      </c>
      <c r="I398" s="31"/>
      <c r="J398" s="32" t="s">
        <v>102</v>
      </c>
      <c r="K398" s="111">
        <f>ROUND(Tableau15[[#This Row],[LEN]]*7.27,0)</f>
        <v>58</v>
      </c>
      <c r="L398" s="111">
        <v>15</v>
      </c>
      <c r="M398" s="128" t="str">
        <f t="shared" si="3"/>
        <v>new</v>
      </c>
      <c r="N398" s="111">
        <f>LEN(Tableau15[[#This Row],[LABEL]])</f>
        <v>8</v>
      </c>
      <c r="O398" s="111">
        <v>15</v>
      </c>
      <c r="P398" s="111" t="e">
        <f>ROUND(Tableau15[[#This Row],[LEN]]*#REF!+#REF!,0)</f>
        <v>#REF!</v>
      </c>
    </row>
    <row r="399" spans="1:16" s="273" customFormat="1" x14ac:dyDescent="0.25">
      <c r="A399" s="288" t="s">
        <v>258</v>
      </c>
      <c r="B399" s="289" t="s">
        <v>206</v>
      </c>
      <c r="C399" s="290" t="s">
        <v>9</v>
      </c>
      <c r="D399" s="291" t="s">
        <v>1177</v>
      </c>
      <c r="E399" s="290" t="s">
        <v>672</v>
      </c>
      <c r="F399" s="290" t="s">
        <v>1177</v>
      </c>
      <c r="G399" s="291" t="s">
        <v>166</v>
      </c>
      <c r="H399" s="291" t="str">
        <f>IFERROR(IF(SEARCH(".00.00.00.00.00",Tableau15[[#This Row],[name]],1)=7,"Division",""),"")</f>
        <v>Division</v>
      </c>
      <c r="I399" s="290"/>
      <c r="J399" s="292" t="s">
        <v>718</v>
      </c>
      <c r="K399" s="293">
        <f>ROUND(Tableau15[[#This Row],[LEN]]*7.27,0)</f>
        <v>80</v>
      </c>
      <c r="L399" s="293">
        <v>15</v>
      </c>
      <c r="M399" s="294" t="str">
        <f t="shared" si="3"/>
        <v>new</v>
      </c>
      <c r="N399" s="293">
        <f>LEN(Tableau15[[#This Row],[LABEL]])</f>
        <v>11</v>
      </c>
      <c r="O399" s="293">
        <v>15</v>
      </c>
      <c r="P399" s="293" t="e">
        <f>ROUND(Tableau15[[#This Row],[LEN]]*#REF!+#REF!,0)</f>
        <v>#REF!</v>
      </c>
    </row>
    <row r="400" spans="1:16" s="97" customFormat="1" x14ac:dyDescent="0.25">
      <c r="A400" s="25" t="s">
        <v>476</v>
      </c>
      <c r="B400" s="26" t="s">
        <v>258</v>
      </c>
      <c r="C400" s="27" t="s">
        <v>483</v>
      </c>
      <c r="D400" s="70" t="s">
        <v>1177</v>
      </c>
      <c r="E400" s="27" t="s">
        <v>672</v>
      </c>
      <c r="F400" s="27" t="s">
        <v>678</v>
      </c>
      <c r="G400" s="70" t="s">
        <v>166</v>
      </c>
      <c r="H400" s="70" t="s">
        <v>655</v>
      </c>
      <c r="I400" s="27"/>
      <c r="J400" s="28" t="s">
        <v>708</v>
      </c>
      <c r="K400" s="109">
        <f>ROUND(Tableau15[[#This Row],[LEN]]*7.27,0)</f>
        <v>247</v>
      </c>
      <c r="L400" s="109">
        <v>15</v>
      </c>
      <c r="M400" s="127" t="str">
        <f t="shared" si="3"/>
        <v>none</v>
      </c>
      <c r="N400" s="109">
        <f>LEN(Tableau15[[#This Row],[LABEL]])</f>
        <v>34</v>
      </c>
      <c r="O400" s="109">
        <v>15</v>
      </c>
      <c r="P400" s="109" t="e">
        <f>ROUND(Tableau15[[#This Row],[LEN]]*#REF!+#REF!,0)</f>
        <v>#REF!</v>
      </c>
    </row>
    <row r="401" spans="1:16" s="97" customFormat="1" x14ac:dyDescent="0.25">
      <c r="A401" s="29" t="s">
        <v>492</v>
      </c>
      <c r="B401" s="30" t="s">
        <v>476</v>
      </c>
      <c r="C401" s="31" t="s">
        <v>498</v>
      </c>
      <c r="D401" s="71" t="s">
        <v>1177</v>
      </c>
      <c r="E401" s="31" t="s">
        <v>672</v>
      </c>
      <c r="F401" s="31" t="s">
        <v>678</v>
      </c>
      <c r="G401" s="71" t="s">
        <v>166</v>
      </c>
      <c r="H401" s="71" t="s">
        <v>656</v>
      </c>
      <c r="I401" s="31"/>
      <c r="J401" s="32" t="s">
        <v>708</v>
      </c>
      <c r="K401" s="111">
        <f>ROUND(Tableau15[[#This Row],[LEN]]*7.27,0)</f>
        <v>349</v>
      </c>
      <c r="L401" s="111">
        <v>15</v>
      </c>
      <c r="M401" s="128" t="str">
        <f t="shared" si="3"/>
        <v>none</v>
      </c>
      <c r="N401" s="111">
        <f>LEN(Tableau15[[#This Row],[LABEL]])</f>
        <v>48</v>
      </c>
      <c r="O401" s="111">
        <v>15</v>
      </c>
      <c r="P401" s="111" t="e">
        <f>ROUND(Tableau15[[#This Row],[LEN]]*#REF!+#REF!,0)</f>
        <v>#REF!</v>
      </c>
    </row>
    <row r="402" spans="1:16" s="97" customFormat="1" x14ac:dyDescent="0.25">
      <c r="A402" s="29" t="s">
        <v>493</v>
      </c>
      <c r="B402" s="30" t="s">
        <v>476</v>
      </c>
      <c r="C402" s="31" t="s">
        <v>499</v>
      </c>
      <c r="D402" s="71" t="s">
        <v>1177</v>
      </c>
      <c r="E402" s="31" t="s">
        <v>672</v>
      </c>
      <c r="F402" s="31" t="s">
        <v>678</v>
      </c>
      <c r="G402" s="71" t="s">
        <v>166</v>
      </c>
      <c r="H402" s="71" t="s">
        <v>570</v>
      </c>
      <c r="I402" s="31"/>
      <c r="J402" s="32" t="s">
        <v>708</v>
      </c>
      <c r="K402" s="111">
        <f>ROUND(Tableau15[[#This Row],[LEN]]*7.27,0)</f>
        <v>225</v>
      </c>
      <c r="L402" s="111">
        <v>15</v>
      </c>
      <c r="M402" s="128" t="str">
        <f t="shared" si="3"/>
        <v>none</v>
      </c>
      <c r="N402" s="111">
        <f>LEN(Tableau15[[#This Row],[LABEL]])</f>
        <v>31</v>
      </c>
      <c r="O402" s="111">
        <v>15</v>
      </c>
      <c r="P402" s="111" t="e">
        <f>ROUND(Tableau15[[#This Row],[LEN]]*#REF!+#REF!,0)</f>
        <v>#REF!</v>
      </c>
    </row>
    <row r="403" spans="1:16" s="97" customFormat="1" x14ac:dyDescent="0.25">
      <c r="A403" s="29" t="s">
        <v>494</v>
      </c>
      <c r="B403" s="30" t="s">
        <v>476</v>
      </c>
      <c r="C403" s="31" t="s">
        <v>500</v>
      </c>
      <c r="D403" s="71" t="s">
        <v>1177</v>
      </c>
      <c r="E403" s="31" t="s">
        <v>672</v>
      </c>
      <c r="F403" s="31" t="s">
        <v>678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ROUND(Tableau15[[#This Row],[LEN]]*7.27,0)</f>
        <v>254</v>
      </c>
      <c r="L403" s="111">
        <v>15</v>
      </c>
      <c r="M403" s="128" t="str">
        <f t="shared" si="3"/>
        <v>none</v>
      </c>
      <c r="N403" s="111">
        <f>LEN(Tableau15[[#This Row],[LABEL]])</f>
        <v>35</v>
      </c>
      <c r="O403" s="111">
        <v>15</v>
      </c>
      <c r="P403" s="111" t="e">
        <f>ROUND(Tableau15[[#This Row],[LEN]]*#REF!+#REF!,0)</f>
        <v>#REF!</v>
      </c>
    </row>
    <row r="404" spans="1:16" s="97" customFormat="1" x14ac:dyDescent="0.25">
      <c r="A404" s="29" t="s">
        <v>495</v>
      </c>
      <c r="B404" s="30" t="s">
        <v>476</v>
      </c>
      <c r="C404" s="31" t="s">
        <v>501</v>
      </c>
      <c r="D404" s="71" t="s">
        <v>1177</v>
      </c>
      <c r="E404" s="31" t="s">
        <v>672</v>
      </c>
      <c r="F404" s="31" t="s">
        <v>678</v>
      </c>
      <c r="G404" s="71" t="s">
        <v>166</v>
      </c>
      <c r="H404" s="71" t="s">
        <v>656</v>
      </c>
      <c r="I404" s="31"/>
      <c r="J404" s="32" t="s">
        <v>708</v>
      </c>
      <c r="K404" s="111">
        <f>ROUND(Tableau15[[#This Row],[LEN]]*7.27,0)</f>
        <v>313</v>
      </c>
      <c r="L404" s="111">
        <v>15</v>
      </c>
      <c r="M404" s="128" t="str">
        <f t="shared" si="3"/>
        <v>none</v>
      </c>
      <c r="N404" s="111">
        <f>LEN(Tableau15[[#This Row],[LABEL]])</f>
        <v>43</v>
      </c>
      <c r="O404" s="111">
        <v>15</v>
      </c>
      <c r="P404" s="111" t="e">
        <f>ROUND(Tableau15[[#This Row],[LEN]]*#REF!+#REF!,0)</f>
        <v>#REF!</v>
      </c>
    </row>
    <row r="405" spans="1:16" s="97" customFormat="1" x14ac:dyDescent="0.25">
      <c r="A405" s="29" t="s">
        <v>496</v>
      </c>
      <c r="B405" s="30" t="s">
        <v>476</v>
      </c>
      <c r="C405" s="31" t="s">
        <v>502</v>
      </c>
      <c r="D405" s="71" t="s">
        <v>1177</v>
      </c>
      <c r="E405" s="31" t="s">
        <v>672</v>
      </c>
      <c r="F405" s="31" t="s">
        <v>678</v>
      </c>
      <c r="G405" s="71" t="s">
        <v>166</v>
      </c>
      <c r="H405" s="71" t="s">
        <v>654</v>
      </c>
      <c r="I405" s="31"/>
      <c r="J405" s="32" t="s">
        <v>708</v>
      </c>
      <c r="K405" s="111">
        <f>ROUND(Tableau15[[#This Row],[LEN]]*7.27,0)</f>
        <v>247</v>
      </c>
      <c r="L405" s="111">
        <v>15</v>
      </c>
      <c r="M405" s="128" t="str">
        <f t="shared" si="3"/>
        <v>none</v>
      </c>
      <c r="N405" s="111">
        <f>LEN(Tableau15[[#This Row],[LABEL]])</f>
        <v>34</v>
      </c>
      <c r="O405" s="111">
        <v>15</v>
      </c>
      <c r="P405" s="111" t="e">
        <f>ROUND(Tableau15[[#This Row],[LEN]]*#REF!+#REF!,0)</f>
        <v>#REF!</v>
      </c>
    </row>
    <row r="406" spans="1:16" s="97" customFormat="1" x14ac:dyDescent="0.25">
      <c r="A406" s="29" t="s">
        <v>497</v>
      </c>
      <c r="B406" s="30" t="s">
        <v>476</v>
      </c>
      <c r="C406" s="31" t="s">
        <v>503</v>
      </c>
      <c r="D406" s="71" t="s">
        <v>1177</v>
      </c>
      <c r="E406" s="31" t="s">
        <v>672</v>
      </c>
      <c r="F406" s="31" t="s">
        <v>678</v>
      </c>
      <c r="G406" s="71" t="s">
        <v>166</v>
      </c>
      <c r="H406" s="71" t="s">
        <v>656</v>
      </c>
      <c r="I406" s="31"/>
      <c r="J406" s="32" t="s">
        <v>708</v>
      </c>
      <c r="K406" s="111">
        <f>ROUND(Tableau15[[#This Row],[LEN]]*7.27,0)</f>
        <v>371</v>
      </c>
      <c r="L406" s="111">
        <v>15</v>
      </c>
      <c r="M406" s="128" t="str">
        <f t="shared" si="3"/>
        <v>none</v>
      </c>
      <c r="N406" s="111">
        <f>LEN(Tableau15[[#This Row],[LABEL]])</f>
        <v>51</v>
      </c>
      <c r="O406" s="111">
        <v>15</v>
      </c>
      <c r="P406" s="111" t="e">
        <f>ROUND(Tableau15[[#This Row],[LEN]]*#REF!+#REF!,0)</f>
        <v>#REF!</v>
      </c>
    </row>
    <row r="407" spans="1:16" s="97" customFormat="1" x14ac:dyDescent="0.25">
      <c r="A407" s="25" t="s">
        <v>477</v>
      </c>
      <c r="B407" s="26" t="s">
        <v>258</v>
      </c>
      <c r="C407" s="27" t="s">
        <v>88</v>
      </c>
      <c r="D407" s="70" t="s">
        <v>1177</v>
      </c>
      <c r="E407" s="27" t="s">
        <v>667</v>
      </c>
      <c r="F407" s="27" t="s">
        <v>1218</v>
      </c>
      <c r="G407" s="70" t="s">
        <v>166</v>
      </c>
      <c r="H407" s="70" t="s">
        <v>570</v>
      </c>
      <c r="I407" s="27"/>
      <c r="J407" s="28" t="s">
        <v>708</v>
      </c>
      <c r="K407" s="109">
        <f>ROUND(Tableau15[[#This Row],[LEN]]*7.27,0)</f>
        <v>342</v>
      </c>
      <c r="L407" s="109">
        <v>15</v>
      </c>
      <c r="M407" s="127" t="str">
        <f t="shared" si="3"/>
        <v>none</v>
      </c>
      <c r="N407" s="109">
        <f>LEN(Tableau15[[#This Row],[LABEL]])</f>
        <v>47</v>
      </c>
      <c r="O407" s="109">
        <v>15</v>
      </c>
      <c r="P407" s="109" t="e">
        <f>ROUND(Tableau15[[#This Row],[LEN]]*#REF!+#REF!,0)</f>
        <v>#REF!</v>
      </c>
    </row>
    <row r="408" spans="1:16" s="97" customFormat="1" x14ac:dyDescent="0.25">
      <c r="A408" s="25" t="s">
        <v>478</v>
      </c>
      <c r="B408" s="26" t="s">
        <v>258</v>
      </c>
      <c r="C408" s="27" t="s">
        <v>484</v>
      </c>
      <c r="D408" s="70" t="s">
        <v>1177</v>
      </c>
      <c r="E408" s="27" t="s">
        <v>672</v>
      </c>
      <c r="F408" s="27" t="s">
        <v>1285</v>
      </c>
      <c r="G408" s="70" t="s">
        <v>166</v>
      </c>
      <c r="H408" s="70" t="s">
        <v>655</v>
      </c>
      <c r="I408" s="27"/>
      <c r="J408" s="28" t="s">
        <v>727</v>
      </c>
      <c r="K408" s="109">
        <f>ROUND(Tableau15[[#This Row],[LEN]]*7.27,0)</f>
        <v>80</v>
      </c>
      <c r="L408" s="109">
        <v>15</v>
      </c>
      <c r="M408" s="127" t="str">
        <f t="shared" si="3"/>
        <v>new</v>
      </c>
      <c r="N408" s="109">
        <f>LEN(Tableau15[[#This Row],[LABEL]])</f>
        <v>11</v>
      </c>
      <c r="O408" s="109">
        <v>15</v>
      </c>
      <c r="P408" s="109" t="e">
        <f>ROUND(Tableau15[[#This Row],[LEN]]*#REF!+#REF!,0)</f>
        <v>#REF!</v>
      </c>
    </row>
    <row r="409" spans="1:16" s="97" customFormat="1" x14ac:dyDescent="0.25">
      <c r="A409" s="29" t="s">
        <v>504</v>
      </c>
      <c r="B409" s="30" t="s">
        <v>478</v>
      </c>
      <c r="C409" s="31" t="s">
        <v>505</v>
      </c>
      <c r="D409" s="71" t="s">
        <v>1177</v>
      </c>
      <c r="E409" s="31" t="s">
        <v>672</v>
      </c>
      <c r="F409" s="31" t="s">
        <v>1285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ROUND(Tableau15[[#This Row],[LEN]]*7.27,0)</f>
        <v>73</v>
      </c>
      <c r="L409" s="111">
        <v>15</v>
      </c>
      <c r="M409" s="128" t="str">
        <f t="shared" si="3"/>
        <v>new</v>
      </c>
      <c r="N409" s="111">
        <f>LEN(Tableau15[[#This Row],[LABEL]])</f>
        <v>10</v>
      </c>
      <c r="O409" s="111">
        <v>15</v>
      </c>
      <c r="P409" s="111" t="e">
        <f>ROUND(Tableau15[[#This Row],[LEN]]*#REF!+#REF!,0)</f>
        <v>#REF!</v>
      </c>
    </row>
    <row r="410" spans="1:16" s="97" customFormat="1" x14ac:dyDescent="0.25">
      <c r="A410" s="29" t="s">
        <v>504</v>
      </c>
      <c r="B410" s="30" t="s">
        <v>478</v>
      </c>
      <c r="C410" s="31" t="s">
        <v>1284</v>
      </c>
      <c r="D410" s="71" t="s">
        <v>1177</v>
      </c>
      <c r="E410" s="31" t="s">
        <v>672</v>
      </c>
      <c r="F410" s="31" t="s">
        <v>1285</v>
      </c>
      <c r="G410" s="71" t="s">
        <v>166</v>
      </c>
      <c r="H410" s="71" t="s">
        <v>18</v>
      </c>
      <c r="I410" s="31"/>
      <c r="J410" s="32" t="s">
        <v>705</v>
      </c>
      <c r="K410" s="111">
        <f>ROUND(Tableau15[[#This Row],[LEN]]*7.27,0)</f>
        <v>153</v>
      </c>
      <c r="L410" s="111">
        <v>15</v>
      </c>
      <c r="M410" s="128" t="str">
        <f t="shared" si="3"/>
        <v>new</v>
      </c>
      <c r="N410" s="111">
        <f>LEN(Tableau15[[#This Row],[LABEL]])</f>
        <v>21</v>
      </c>
      <c r="O410" s="111">
        <v>15</v>
      </c>
      <c r="P410" s="111" t="e">
        <f>ROUND(Tableau15[[#This Row],[LEN]]*#REF!+#REF!,0)</f>
        <v>#REF!</v>
      </c>
    </row>
    <row r="411" spans="1:16" s="97" customFormat="1" x14ac:dyDescent="0.25">
      <c r="A411" s="25" t="s">
        <v>479</v>
      </c>
      <c r="B411" s="26" t="s">
        <v>258</v>
      </c>
      <c r="C411" s="27" t="s">
        <v>485</v>
      </c>
      <c r="D411" s="70" t="s">
        <v>1177</v>
      </c>
      <c r="E411" s="27" t="s">
        <v>672</v>
      </c>
      <c r="F411" s="27" t="s">
        <v>1177</v>
      </c>
      <c r="G411" s="70" t="s">
        <v>166</v>
      </c>
      <c r="H411" s="70" t="s">
        <v>654</v>
      </c>
      <c r="I411" s="27"/>
      <c r="J411" s="28" t="s">
        <v>708</v>
      </c>
      <c r="K411" s="109">
        <f>ROUND(Tableau15[[#This Row],[LEN]]*7.27,0)</f>
        <v>87</v>
      </c>
      <c r="L411" s="109">
        <v>15</v>
      </c>
      <c r="M411" s="127" t="str">
        <f t="shared" si="3"/>
        <v>none</v>
      </c>
      <c r="N411" s="109">
        <f>LEN(Tableau15[[#This Row],[LABEL]])</f>
        <v>12</v>
      </c>
      <c r="O411" s="109">
        <v>15</v>
      </c>
      <c r="P411" s="109" t="e">
        <f>ROUND(Tableau15[[#This Row],[LEN]]*#REF!+#REF!,0)</f>
        <v>#REF!</v>
      </c>
    </row>
    <row r="412" spans="1:16" s="97" customFormat="1" x14ac:dyDescent="0.25">
      <c r="A412" s="25" t="s">
        <v>480</v>
      </c>
      <c r="B412" s="26" t="s">
        <v>258</v>
      </c>
      <c r="C412" s="27" t="s">
        <v>778</v>
      </c>
      <c r="D412" s="70" t="s">
        <v>1177</v>
      </c>
      <c r="E412" s="27" t="s">
        <v>673</v>
      </c>
      <c r="F412" s="27" t="s">
        <v>2000</v>
      </c>
      <c r="G412" s="70" t="s">
        <v>166</v>
      </c>
      <c r="H412" s="70" t="s">
        <v>17</v>
      </c>
      <c r="I412" s="27"/>
      <c r="J412" s="28" t="s">
        <v>708</v>
      </c>
      <c r="K412" s="109">
        <f>ROUND(Tableau15[[#This Row],[LEN]]*7.27,0)</f>
        <v>211</v>
      </c>
      <c r="L412" s="109">
        <v>15</v>
      </c>
      <c r="M412" s="127" t="str">
        <f t="shared" si="3"/>
        <v>none</v>
      </c>
      <c r="N412" s="109">
        <f>LEN(Tableau15[[#This Row],[LABEL]])</f>
        <v>29</v>
      </c>
      <c r="O412" s="109">
        <v>15</v>
      </c>
      <c r="P412" s="109" t="e">
        <f>ROUND(Tableau15[[#This Row],[LEN]]*#REF!+#REF!,0)</f>
        <v>#REF!</v>
      </c>
    </row>
    <row r="413" spans="1:16" s="97" customFormat="1" x14ac:dyDescent="0.25">
      <c r="A413" s="25" t="s">
        <v>481</v>
      </c>
      <c r="B413" s="26" t="s">
        <v>258</v>
      </c>
      <c r="C413" s="27" t="s">
        <v>92</v>
      </c>
      <c r="D413" s="70" t="s">
        <v>1177</v>
      </c>
      <c r="E413" s="27" t="s">
        <v>663</v>
      </c>
      <c r="F413" s="27" t="s">
        <v>2080</v>
      </c>
      <c r="G413" s="70" t="s">
        <v>166</v>
      </c>
      <c r="H413" s="70" t="s">
        <v>655</v>
      </c>
      <c r="I413" s="27"/>
      <c r="J413" s="28" t="s">
        <v>708</v>
      </c>
      <c r="K413" s="109">
        <f>ROUND(Tableau15[[#This Row],[LEN]]*7.27,0)</f>
        <v>262</v>
      </c>
      <c r="L413" s="109">
        <v>15</v>
      </c>
      <c r="M413" s="127" t="str">
        <f t="shared" si="3"/>
        <v>none</v>
      </c>
      <c r="N413" s="109">
        <f>LEN(Tableau15[[#This Row],[LABEL]])</f>
        <v>36</v>
      </c>
      <c r="O413" s="109">
        <v>15</v>
      </c>
      <c r="P413" s="109" t="e">
        <f>ROUND(Tableau15[[#This Row],[LEN]]*#REF!+#REF!,0)</f>
        <v>#REF!</v>
      </c>
    </row>
    <row r="414" spans="1:16" s="97" customFormat="1" x14ac:dyDescent="0.25">
      <c r="A414" s="29" t="s">
        <v>506</v>
      </c>
      <c r="B414" s="30" t="s">
        <v>481</v>
      </c>
      <c r="C414" s="31" t="s">
        <v>95</v>
      </c>
      <c r="D414" s="71" t="s">
        <v>1177</v>
      </c>
      <c r="E414" s="31" t="s">
        <v>663</v>
      </c>
      <c r="F414" s="31" t="s">
        <v>2080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ROUND(Tableau15[[#This Row],[LEN]]*7.27,0)</f>
        <v>254</v>
      </c>
      <c r="L414" s="111">
        <v>15</v>
      </c>
      <c r="M414" s="128" t="str">
        <f t="shared" si="3"/>
        <v>none</v>
      </c>
      <c r="N414" s="111">
        <f>LEN(Tableau15[[#This Row],[LABEL]])</f>
        <v>35</v>
      </c>
      <c r="O414" s="111">
        <v>15</v>
      </c>
      <c r="P414" s="111" t="e">
        <f>ROUND(Tableau15[[#This Row],[LEN]]*#REF!+#REF!,0)</f>
        <v>#REF!</v>
      </c>
    </row>
    <row r="415" spans="1:16" s="97" customFormat="1" x14ac:dyDescent="0.25">
      <c r="A415" s="29" t="s">
        <v>507</v>
      </c>
      <c r="B415" s="30" t="s">
        <v>481</v>
      </c>
      <c r="C415" s="31" t="s">
        <v>96</v>
      </c>
      <c r="D415" s="71" t="s">
        <v>1177</v>
      </c>
      <c r="E415" s="31" t="s">
        <v>663</v>
      </c>
      <c r="F415" s="31" t="s">
        <v>2080</v>
      </c>
      <c r="G415" s="71" t="s">
        <v>166</v>
      </c>
      <c r="H415" s="71" t="s">
        <v>18</v>
      </c>
      <c r="I415" s="31"/>
      <c r="J415" s="32" t="s">
        <v>708</v>
      </c>
      <c r="K415" s="111">
        <f>ROUND(Tableau15[[#This Row],[LEN]]*7.27,0)</f>
        <v>233</v>
      </c>
      <c r="L415" s="111">
        <v>15</v>
      </c>
      <c r="M415" s="128" t="str">
        <f t="shared" si="3"/>
        <v>none</v>
      </c>
      <c r="N415" s="111">
        <f>LEN(Tableau15[[#This Row],[LABEL]])</f>
        <v>32</v>
      </c>
      <c r="O415" s="111">
        <v>15</v>
      </c>
      <c r="P415" s="111" t="e">
        <f>ROUND(Tableau15[[#This Row],[LEN]]*#REF!+#REF!,0)</f>
        <v>#REF!</v>
      </c>
    </row>
    <row r="416" spans="1:16" s="97" customFormat="1" x14ac:dyDescent="0.25">
      <c r="A416" s="29" t="s">
        <v>508</v>
      </c>
      <c r="B416" s="30" t="s">
        <v>481</v>
      </c>
      <c r="C416" s="31" t="s">
        <v>97</v>
      </c>
      <c r="D416" s="71" t="s">
        <v>1177</v>
      </c>
      <c r="E416" s="31" t="s">
        <v>663</v>
      </c>
      <c r="F416" s="31" t="s">
        <v>2080</v>
      </c>
      <c r="G416" s="71" t="s">
        <v>166</v>
      </c>
      <c r="H416" s="71" t="s">
        <v>656</v>
      </c>
      <c r="I416" s="31"/>
      <c r="J416" s="32" t="s">
        <v>708</v>
      </c>
      <c r="K416" s="111">
        <f>ROUND(Tableau15[[#This Row],[LEN]]*7.27,0)</f>
        <v>145</v>
      </c>
      <c r="L416" s="111">
        <v>15</v>
      </c>
      <c r="M416" s="128" t="str">
        <f t="shared" si="3"/>
        <v>none</v>
      </c>
      <c r="N416" s="111">
        <f>LEN(Tableau15[[#This Row],[LABEL]])</f>
        <v>20</v>
      </c>
      <c r="O416" s="111">
        <v>15</v>
      </c>
      <c r="P416" s="111" t="e">
        <f>ROUND(Tableau15[[#This Row],[LEN]]*#REF!+#REF!,0)</f>
        <v>#REF!</v>
      </c>
    </row>
    <row r="417" spans="1:16" s="97" customFormat="1" x14ac:dyDescent="0.25">
      <c r="A417" s="25" t="s">
        <v>482</v>
      </c>
      <c r="B417" s="26" t="s">
        <v>258</v>
      </c>
      <c r="C417" s="27" t="s">
        <v>1167</v>
      </c>
      <c r="D417" s="70" t="s">
        <v>486</v>
      </c>
      <c r="E417" s="27" t="s">
        <v>1085</v>
      </c>
      <c r="F417" s="27" t="s">
        <v>1084</v>
      </c>
      <c r="G417" s="70" t="s">
        <v>1977</v>
      </c>
      <c r="H417" s="70" t="s">
        <v>1131</v>
      </c>
      <c r="I417" s="27"/>
      <c r="J417" s="28" t="s">
        <v>708</v>
      </c>
      <c r="K417" s="109">
        <f>ROUND(Tableau15[[#This Row],[LEN]]*7.27,0)</f>
        <v>196</v>
      </c>
      <c r="L417" s="109">
        <v>15</v>
      </c>
      <c r="M417" s="127" t="str">
        <f t="shared" si="3"/>
        <v>none</v>
      </c>
      <c r="N417" s="109">
        <f>LEN(Tableau15[[#This Row],[LABEL]])</f>
        <v>27</v>
      </c>
      <c r="O417" s="109">
        <v>15</v>
      </c>
      <c r="P417" s="109" t="e">
        <f>ROUND(Tableau15[[#This Row],[LEN]]*#REF!+#REF!,0)</f>
        <v>#REF!</v>
      </c>
    </row>
    <row r="418" spans="1:16" s="97" customFormat="1" x14ac:dyDescent="0.25">
      <c r="A418" s="29" t="s">
        <v>1209</v>
      </c>
      <c r="B418" s="30" t="s">
        <v>482</v>
      </c>
      <c r="C418" s="31" t="s">
        <v>93</v>
      </c>
      <c r="D418" s="71" t="s">
        <v>1177</v>
      </c>
      <c r="E418" s="31" t="s">
        <v>1085</v>
      </c>
      <c r="F418" s="31" t="s">
        <v>1084</v>
      </c>
      <c r="G418" s="71" t="s">
        <v>166</v>
      </c>
      <c r="H418" s="71" t="s">
        <v>18</v>
      </c>
      <c r="I418" s="31"/>
      <c r="J418" s="32" t="s">
        <v>101</v>
      </c>
      <c r="K418" s="111">
        <f>ROUND(Tableau15[[#This Row],[LEN]]*7.27,0)</f>
        <v>109</v>
      </c>
      <c r="L418" s="111">
        <v>15</v>
      </c>
      <c r="M418" s="128" t="str">
        <f t="shared" si="3"/>
        <v>new</v>
      </c>
      <c r="N418" s="111">
        <f>LEN(Tableau15[[#This Row],[LABEL]])</f>
        <v>15</v>
      </c>
      <c r="O418" s="111">
        <v>15</v>
      </c>
      <c r="P418" s="111" t="e">
        <f>ROUND(Tableau15[[#This Row],[LEN]]*#REF!+#REF!,0)</f>
        <v>#REF!</v>
      </c>
    </row>
    <row r="419" spans="1:16" s="97" customFormat="1" x14ac:dyDescent="0.25">
      <c r="A419" s="29" t="s">
        <v>1210</v>
      </c>
      <c r="B419" s="30" t="s">
        <v>482</v>
      </c>
      <c r="C419" s="31" t="s">
        <v>94</v>
      </c>
      <c r="D419" s="71" t="s">
        <v>1177</v>
      </c>
      <c r="E419" s="31" t="s">
        <v>1085</v>
      </c>
      <c r="F419" s="31" t="s">
        <v>1084</v>
      </c>
      <c r="G419" s="71" t="s">
        <v>166</v>
      </c>
      <c r="H419" s="71" t="s">
        <v>18</v>
      </c>
      <c r="I419" s="31"/>
      <c r="J419" s="32" t="s">
        <v>102</v>
      </c>
      <c r="K419" s="111">
        <f>ROUND(Tableau15[[#This Row],[LEN]]*7.27,0)</f>
        <v>58</v>
      </c>
      <c r="L419" s="111">
        <v>15</v>
      </c>
      <c r="M419" s="128" t="str">
        <f t="shared" si="3"/>
        <v>new</v>
      </c>
      <c r="N419" s="111">
        <f>LEN(Tableau15[[#This Row],[LABEL]])</f>
        <v>8</v>
      </c>
      <c r="O419" s="111">
        <v>15</v>
      </c>
      <c r="P419" s="111" t="e">
        <f>ROUND(Tableau15[[#This Row],[LEN]]*#REF!+#REF!,0)</f>
        <v>#REF!</v>
      </c>
    </row>
    <row r="420" spans="1:16" s="273" customFormat="1" x14ac:dyDescent="0.25">
      <c r="A420" s="288" t="s">
        <v>259</v>
      </c>
      <c r="B420" s="289" t="s">
        <v>206</v>
      </c>
      <c r="C420" s="290" t="s">
        <v>10</v>
      </c>
      <c r="D420" s="291" t="s">
        <v>1177</v>
      </c>
      <c r="E420" s="290" t="s">
        <v>673</v>
      </c>
      <c r="F420" s="290" t="s">
        <v>1177</v>
      </c>
      <c r="G420" s="291" t="s">
        <v>166</v>
      </c>
      <c r="H420" s="291" t="str">
        <f>IFERROR(IF(SEARCH(".00.00.00.00.00",Tableau15[[#This Row],[name]],1)=7,"Division",""),"")</f>
        <v>Division</v>
      </c>
      <c r="I420" s="290"/>
      <c r="J420" s="292" t="s">
        <v>719</v>
      </c>
      <c r="K420" s="293">
        <f>ROUND(Tableau15[[#This Row],[LEN]]*7.27,0)</f>
        <v>109</v>
      </c>
      <c r="L420" s="293">
        <v>15</v>
      </c>
      <c r="M420" s="294" t="str">
        <f t="shared" si="3"/>
        <v>new</v>
      </c>
      <c r="N420" s="293">
        <f>LEN(Tableau15[[#This Row],[LABEL]])</f>
        <v>15</v>
      </c>
      <c r="O420" s="293">
        <v>15</v>
      </c>
      <c r="P420" s="293" t="e">
        <f>ROUND(Tableau15[[#This Row],[LEN]]*#REF!+#REF!,0)</f>
        <v>#REF!</v>
      </c>
    </row>
    <row r="421" spans="1:16" s="97" customFormat="1" x14ac:dyDescent="0.25">
      <c r="A421" s="25" t="s">
        <v>1226</v>
      </c>
      <c r="B421" s="26" t="s">
        <v>259</v>
      </c>
      <c r="C421" s="27" t="s">
        <v>1238</v>
      </c>
      <c r="D421" s="70" t="s">
        <v>1177</v>
      </c>
      <c r="E421" s="27" t="s">
        <v>673</v>
      </c>
      <c r="F421" s="27" t="s">
        <v>1177</v>
      </c>
      <c r="G421" s="70" t="s">
        <v>166</v>
      </c>
      <c r="H421" s="70" t="s">
        <v>655</v>
      </c>
      <c r="I421" s="27"/>
      <c r="J421" s="28" t="s">
        <v>708</v>
      </c>
      <c r="K421" s="109">
        <f>ROUND(Tableau15[[#This Row],[LEN]]*7.27,0)</f>
        <v>196</v>
      </c>
      <c r="L421" s="109">
        <v>15</v>
      </c>
      <c r="M421" s="127" t="str">
        <f t="shared" si="3"/>
        <v>none</v>
      </c>
      <c r="N421" s="109">
        <f>LEN(Tableau15[[#This Row],[LABEL]])</f>
        <v>27</v>
      </c>
      <c r="O421" s="109">
        <v>15</v>
      </c>
      <c r="P421" s="109" t="e">
        <f>ROUND(Tableau15[[#This Row],[LEN]]*#REF!+#REF!,0)</f>
        <v>#REF!</v>
      </c>
    </row>
    <row r="422" spans="1:16" s="97" customFormat="1" x14ac:dyDescent="0.25">
      <c r="A422" s="29" t="s">
        <v>1251</v>
      </c>
      <c r="B422" s="30" t="s">
        <v>1226</v>
      </c>
      <c r="C422" s="31" t="s">
        <v>1255</v>
      </c>
      <c r="D422" s="71" t="s">
        <v>1177</v>
      </c>
      <c r="E422" s="31" t="s">
        <v>673</v>
      </c>
      <c r="F422" s="31" t="s">
        <v>1177</v>
      </c>
      <c r="G422" s="71" t="s">
        <v>166</v>
      </c>
      <c r="H422" s="71" t="s">
        <v>654</v>
      </c>
      <c r="I422" s="31"/>
      <c r="J422" s="32" t="s">
        <v>708</v>
      </c>
      <c r="K422" s="111">
        <f>ROUND(Tableau15[[#This Row],[LEN]]*7.27,0)</f>
        <v>356</v>
      </c>
      <c r="L422" s="111">
        <v>15</v>
      </c>
      <c r="M422" s="128" t="str">
        <f t="shared" si="3"/>
        <v>none</v>
      </c>
      <c r="N422" s="111">
        <f>LEN(Tableau15[[#This Row],[LABEL]])</f>
        <v>49</v>
      </c>
      <c r="O422" s="111">
        <v>15</v>
      </c>
      <c r="P422" s="111" t="e">
        <f>ROUND(Tableau15[[#This Row],[LEN]]*#REF!+#REF!,0)</f>
        <v>#REF!</v>
      </c>
    </row>
    <row r="423" spans="1:16" s="97" customFormat="1" x14ac:dyDescent="0.25">
      <c r="A423" s="29" t="s">
        <v>1252</v>
      </c>
      <c r="B423" s="30" t="s">
        <v>1226</v>
      </c>
      <c r="C423" s="31" t="s">
        <v>1256</v>
      </c>
      <c r="D423" s="71" t="s">
        <v>1177</v>
      </c>
      <c r="E423" s="31" t="s">
        <v>673</v>
      </c>
      <c r="F423" s="31" t="s">
        <v>1177</v>
      </c>
      <c r="G423" s="71" t="s">
        <v>166</v>
      </c>
      <c r="H423" s="71" t="s">
        <v>656</v>
      </c>
      <c r="I423" s="31"/>
      <c r="J423" s="32" t="s">
        <v>708</v>
      </c>
      <c r="K423" s="111">
        <f>ROUND(Tableau15[[#This Row],[LEN]]*7.27,0)</f>
        <v>291</v>
      </c>
      <c r="L423" s="111">
        <v>15</v>
      </c>
      <c r="M423" s="128" t="str">
        <f t="shared" si="3"/>
        <v>none</v>
      </c>
      <c r="N423" s="111">
        <f>LEN(Tableau15[[#This Row],[LABEL]])</f>
        <v>40</v>
      </c>
      <c r="O423" s="111">
        <v>15</v>
      </c>
      <c r="P423" s="111" t="e">
        <f>ROUND(Tableau15[[#This Row],[LEN]]*#REF!+#REF!,0)</f>
        <v>#REF!</v>
      </c>
    </row>
    <row r="424" spans="1:16" s="97" customFormat="1" x14ac:dyDescent="0.25">
      <c r="A424" s="29" t="s">
        <v>1253</v>
      </c>
      <c r="B424" s="30" t="s">
        <v>1226</v>
      </c>
      <c r="C424" s="31" t="s">
        <v>1257</v>
      </c>
      <c r="D424" s="71" t="s">
        <v>1177</v>
      </c>
      <c r="E424" s="31" t="s">
        <v>673</v>
      </c>
      <c r="F424" s="31" t="s">
        <v>1177</v>
      </c>
      <c r="G424" s="71" t="s">
        <v>166</v>
      </c>
      <c r="H424" s="71" t="s">
        <v>654</v>
      </c>
      <c r="I424" s="31"/>
      <c r="J424" s="32" t="s">
        <v>708</v>
      </c>
      <c r="K424" s="111">
        <f>ROUND(Tableau15[[#This Row],[LEN]]*7.27,0)</f>
        <v>211</v>
      </c>
      <c r="L424" s="111">
        <v>15</v>
      </c>
      <c r="M424" s="128" t="str">
        <f t="shared" si="3"/>
        <v>none</v>
      </c>
      <c r="N424" s="111">
        <f>LEN(Tableau15[[#This Row],[LABEL]])</f>
        <v>29</v>
      </c>
      <c r="O424" s="111">
        <v>15</v>
      </c>
      <c r="P424" s="111" t="e">
        <f>ROUND(Tableau15[[#This Row],[LEN]]*#REF!+#REF!,0)</f>
        <v>#REF!</v>
      </c>
    </row>
    <row r="425" spans="1:16" s="97" customFormat="1" x14ac:dyDescent="0.25">
      <c r="A425" s="29" t="s">
        <v>1254</v>
      </c>
      <c r="B425" s="30" t="s">
        <v>1226</v>
      </c>
      <c r="C425" s="31" t="s">
        <v>1258</v>
      </c>
      <c r="D425" s="71" t="s">
        <v>1177</v>
      </c>
      <c r="E425" s="31" t="s">
        <v>673</v>
      </c>
      <c r="F425" s="31" t="s">
        <v>1177</v>
      </c>
      <c r="G425" s="71" t="s">
        <v>166</v>
      </c>
      <c r="H425" s="71" t="s">
        <v>18</v>
      </c>
      <c r="I425" s="31"/>
      <c r="J425" s="32" t="s">
        <v>102</v>
      </c>
      <c r="K425" s="111">
        <f>ROUND(Tableau15[[#This Row],[LEN]]*7.27,0)</f>
        <v>327</v>
      </c>
      <c r="L425" s="111">
        <v>15</v>
      </c>
      <c r="M425" s="128" t="str">
        <f t="shared" si="3"/>
        <v>new</v>
      </c>
      <c r="N425" s="111">
        <f>LEN(Tableau15[[#This Row],[LABEL]])</f>
        <v>45</v>
      </c>
      <c r="O425" s="111">
        <v>15</v>
      </c>
      <c r="P425" s="111" t="e">
        <f>ROUND(Tableau15[[#This Row],[LEN]]*#REF!+#REF!,0)</f>
        <v>#REF!</v>
      </c>
    </row>
    <row r="426" spans="1:16" s="97" customFormat="1" x14ac:dyDescent="0.25">
      <c r="A426" s="25" t="s">
        <v>1227</v>
      </c>
      <c r="B426" s="26" t="s">
        <v>259</v>
      </c>
      <c r="C426" s="27" t="s">
        <v>1239</v>
      </c>
      <c r="D426" s="70" t="s">
        <v>1177</v>
      </c>
      <c r="E426" s="27" t="s">
        <v>673</v>
      </c>
      <c r="F426" s="27" t="s">
        <v>1177</v>
      </c>
      <c r="G426" s="70" t="s">
        <v>166</v>
      </c>
      <c r="H426" s="70" t="s">
        <v>570</v>
      </c>
      <c r="I426" s="27"/>
      <c r="J426" s="28" t="s">
        <v>1240</v>
      </c>
      <c r="K426" s="109">
        <f>ROUND(Tableau15[[#This Row],[LEN]]*7.27,0)</f>
        <v>276</v>
      </c>
      <c r="L426" s="109">
        <v>15</v>
      </c>
      <c r="M426" s="127" t="str">
        <f t="shared" si="3"/>
        <v>new</v>
      </c>
      <c r="N426" s="109">
        <f>LEN(Tableau15[[#This Row],[LABEL]])</f>
        <v>38</v>
      </c>
      <c r="O426" s="109">
        <v>15</v>
      </c>
      <c r="P426" s="109" t="e">
        <f>ROUND(Tableau15[[#This Row],[LEN]]*#REF!+#REF!,0)</f>
        <v>#REF!</v>
      </c>
    </row>
    <row r="427" spans="1:16" s="97" customFormat="1" x14ac:dyDescent="0.25">
      <c r="A427" s="25" t="s">
        <v>1228</v>
      </c>
      <c r="B427" s="26" t="s">
        <v>259</v>
      </c>
      <c r="C427" s="27" t="s">
        <v>88</v>
      </c>
      <c r="D427" s="70" t="s">
        <v>1177</v>
      </c>
      <c r="E427" s="27" t="s">
        <v>667</v>
      </c>
      <c r="F427" s="27" t="s">
        <v>1218</v>
      </c>
      <c r="G427" s="70" t="s">
        <v>166</v>
      </c>
      <c r="H427" s="70" t="s">
        <v>570</v>
      </c>
      <c r="I427" s="27"/>
      <c r="J427" s="28" t="s">
        <v>708</v>
      </c>
      <c r="K427" s="109">
        <f>ROUND(Tableau15[[#This Row],[LEN]]*7.27,0)</f>
        <v>342</v>
      </c>
      <c r="L427" s="109">
        <v>15</v>
      </c>
      <c r="M427" s="127" t="str">
        <f t="shared" si="3"/>
        <v>none</v>
      </c>
      <c r="N427" s="109">
        <f>LEN(Tableau15[[#This Row],[LABEL]])</f>
        <v>47</v>
      </c>
      <c r="O427" s="109">
        <v>15</v>
      </c>
      <c r="P427" s="109" t="e">
        <f>ROUND(Tableau15[[#This Row],[LEN]]*#REF!+#REF!,0)</f>
        <v>#REF!</v>
      </c>
    </row>
    <row r="428" spans="1:16" s="97" customFormat="1" x14ac:dyDescent="0.25">
      <c r="A428" s="25" t="s">
        <v>1229</v>
      </c>
      <c r="B428" s="26" t="s">
        <v>259</v>
      </c>
      <c r="C428" s="27" t="s">
        <v>1241</v>
      </c>
      <c r="D428" s="70" t="s">
        <v>1177</v>
      </c>
      <c r="E428" s="27" t="s">
        <v>1242</v>
      </c>
      <c r="F428" s="27" t="s">
        <v>1248</v>
      </c>
      <c r="G428" s="70" t="s">
        <v>166</v>
      </c>
      <c r="H428" s="70" t="s">
        <v>656</v>
      </c>
      <c r="I428" s="27"/>
      <c r="J428" s="28" t="s">
        <v>708</v>
      </c>
      <c r="K428" s="109">
        <f>ROUND(Tableau15[[#This Row],[LEN]]*7.27,0)</f>
        <v>131</v>
      </c>
      <c r="L428" s="109">
        <v>15</v>
      </c>
      <c r="M428" s="127" t="str">
        <f t="shared" si="3"/>
        <v>none</v>
      </c>
      <c r="N428" s="109">
        <f>LEN(Tableau15[[#This Row],[LABEL]])</f>
        <v>18</v>
      </c>
      <c r="O428" s="109">
        <v>15</v>
      </c>
      <c r="P428" s="109" t="e">
        <f>ROUND(Tableau15[[#This Row],[LEN]]*#REF!+#REF!,0)</f>
        <v>#REF!</v>
      </c>
    </row>
    <row r="429" spans="1:16" s="97" customFormat="1" x14ac:dyDescent="0.25">
      <c r="A429" s="25" t="s">
        <v>1230</v>
      </c>
      <c r="B429" s="26" t="s">
        <v>259</v>
      </c>
      <c r="C429" s="27" t="s">
        <v>1243</v>
      </c>
      <c r="D429" s="70" t="s">
        <v>1177</v>
      </c>
      <c r="E429" s="27" t="s">
        <v>673</v>
      </c>
      <c r="F429" s="27" t="s">
        <v>1177</v>
      </c>
      <c r="G429" s="70" t="s">
        <v>166</v>
      </c>
      <c r="H429" s="70" t="s">
        <v>655</v>
      </c>
      <c r="I429" s="27"/>
      <c r="J429" s="28" t="s">
        <v>708</v>
      </c>
      <c r="K429" s="109">
        <f>ROUND(Tableau15[[#This Row],[LEN]]*7.27,0)</f>
        <v>218</v>
      </c>
      <c r="L429" s="109">
        <v>15</v>
      </c>
      <c r="M429" s="127" t="str">
        <f t="shared" si="3"/>
        <v>none</v>
      </c>
      <c r="N429" s="109">
        <f>LEN(Tableau15[[#This Row],[LABEL]])</f>
        <v>30</v>
      </c>
      <c r="O429" s="109">
        <v>15</v>
      </c>
      <c r="P429" s="109" t="e">
        <f>ROUND(Tableau15[[#This Row],[LEN]]*#REF!+#REF!,0)</f>
        <v>#REF!</v>
      </c>
    </row>
    <row r="430" spans="1:16" s="97" customFormat="1" x14ac:dyDescent="0.25">
      <c r="A430" s="29" t="s">
        <v>1259</v>
      </c>
      <c r="B430" s="30" t="s">
        <v>1230</v>
      </c>
      <c r="C430" s="31" t="s">
        <v>1263</v>
      </c>
      <c r="D430" s="71" t="s">
        <v>1177</v>
      </c>
      <c r="E430" s="31" t="s">
        <v>673</v>
      </c>
      <c r="F430" s="31" t="s">
        <v>1177</v>
      </c>
      <c r="G430" s="71" t="s">
        <v>166</v>
      </c>
      <c r="H430" s="71" t="s">
        <v>656</v>
      </c>
      <c r="I430" s="31"/>
      <c r="J430" s="32" t="s">
        <v>719</v>
      </c>
      <c r="K430" s="111">
        <f>ROUND(Tableau15[[#This Row],[LEN]]*7.27,0)</f>
        <v>327</v>
      </c>
      <c r="L430" s="111">
        <v>15</v>
      </c>
      <c r="M430" s="128" t="str">
        <f t="shared" si="3"/>
        <v>new</v>
      </c>
      <c r="N430" s="111">
        <f>LEN(Tableau15[[#This Row],[LABEL]])</f>
        <v>45</v>
      </c>
      <c r="O430" s="111">
        <v>15</v>
      </c>
      <c r="P430" s="111" t="e">
        <f>ROUND(Tableau15[[#This Row],[LEN]]*#REF!+#REF!,0)</f>
        <v>#REF!</v>
      </c>
    </row>
    <row r="431" spans="1:16" s="97" customFormat="1" x14ac:dyDescent="0.25">
      <c r="A431" s="29" t="s">
        <v>1260</v>
      </c>
      <c r="B431" s="30" t="s">
        <v>1230</v>
      </c>
      <c r="C431" s="31" t="s">
        <v>1264</v>
      </c>
      <c r="D431" s="71" t="s">
        <v>1177</v>
      </c>
      <c r="E431" s="31" t="s">
        <v>673</v>
      </c>
      <c r="F431" s="31" t="s">
        <v>1177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ROUND(Tableau15[[#This Row],[LEN]]*7.27,0)</f>
        <v>262</v>
      </c>
      <c r="L431" s="111">
        <v>15</v>
      </c>
      <c r="M431" s="128" t="str">
        <f t="shared" si="3"/>
        <v>none</v>
      </c>
      <c r="N431" s="111">
        <f>LEN(Tableau15[[#This Row],[LABEL]])</f>
        <v>36</v>
      </c>
      <c r="O431" s="111">
        <v>15</v>
      </c>
      <c r="P431" s="111" t="e">
        <f>ROUND(Tableau15[[#This Row],[LEN]]*#REF!+#REF!,0)</f>
        <v>#REF!</v>
      </c>
    </row>
    <row r="432" spans="1:16" s="97" customFormat="1" x14ac:dyDescent="0.25">
      <c r="A432" s="29" t="s">
        <v>1261</v>
      </c>
      <c r="B432" s="30" t="s">
        <v>1230</v>
      </c>
      <c r="C432" s="31" t="s">
        <v>1265</v>
      </c>
      <c r="D432" s="71" t="s">
        <v>1177</v>
      </c>
      <c r="E432" s="31" t="s">
        <v>673</v>
      </c>
      <c r="F432" s="31" t="s">
        <v>1177</v>
      </c>
      <c r="G432" s="71" t="s">
        <v>166</v>
      </c>
      <c r="H432" s="71" t="s">
        <v>18</v>
      </c>
      <c r="I432" s="31"/>
      <c r="J432" s="32" t="s">
        <v>708</v>
      </c>
      <c r="K432" s="111">
        <f>ROUND(Tableau15[[#This Row],[LEN]]*7.27,0)</f>
        <v>218</v>
      </c>
      <c r="L432" s="111">
        <v>15</v>
      </c>
      <c r="M432" s="128" t="str">
        <f t="shared" si="3"/>
        <v>none</v>
      </c>
      <c r="N432" s="111">
        <f>LEN(Tableau15[[#This Row],[LABEL]])</f>
        <v>30</v>
      </c>
      <c r="O432" s="111">
        <v>15</v>
      </c>
      <c r="P432" s="111" t="e">
        <f>ROUND(Tableau15[[#This Row],[LEN]]*#REF!+#REF!,0)</f>
        <v>#REF!</v>
      </c>
    </row>
    <row r="433" spans="1:16" s="97" customFormat="1" x14ac:dyDescent="0.25">
      <c r="A433" s="29" t="s">
        <v>1262</v>
      </c>
      <c r="B433" s="30" t="s">
        <v>1230</v>
      </c>
      <c r="C433" s="31" t="s">
        <v>1266</v>
      </c>
      <c r="D433" s="71" t="s">
        <v>1177</v>
      </c>
      <c r="E433" s="31" t="s">
        <v>673</v>
      </c>
      <c r="F433" s="31" t="s">
        <v>1177</v>
      </c>
      <c r="G433" s="71" t="s">
        <v>166</v>
      </c>
      <c r="H433" s="71" t="s">
        <v>654</v>
      </c>
      <c r="I433" s="31"/>
      <c r="J433" s="32" t="s">
        <v>708</v>
      </c>
      <c r="K433" s="111">
        <f>ROUND(Tableau15[[#This Row],[LEN]]*7.27,0)</f>
        <v>291</v>
      </c>
      <c r="L433" s="111">
        <v>15</v>
      </c>
      <c r="M433" s="128" t="str">
        <f t="shared" si="3"/>
        <v>none</v>
      </c>
      <c r="N433" s="111">
        <f>LEN(Tableau15[[#This Row],[LABEL]])</f>
        <v>40</v>
      </c>
      <c r="O433" s="111">
        <v>15</v>
      </c>
      <c r="P433" s="111" t="e">
        <f>ROUND(Tableau15[[#This Row],[LEN]]*#REF!+#REF!,0)</f>
        <v>#REF!</v>
      </c>
    </row>
    <row r="434" spans="1:16" s="97" customFormat="1" x14ac:dyDescent="0.25">
      <c r="A434" s="25" t="s">
        <v>1231</v>
      </c>
      <c r="B434" s="26" t="s">
        <v>259</v>
      </c>
      <c r="C434" s="27" t="s">
        <v>1267</v>
      </c>
      <c r="D434" s="70" t="s">
        <v>1177</v>
      </c>
      <c r="E434" s="27" t="s">
        <v>673</v>
      </c>
      <c r="F434" s="27" t="s">
        <v>1249</v>
      </c>
      <c r="G434" s="70" t="s">
        <v>166</v>
      </c>
      <c r="H434" s="70" t="s">
        <v>655</v>
      </c>
      <c r="I434" s="27"/>
      <c r="J434" s="28" t="s">
        <v>708</v>
      </c>
      <c r="K434" s="109">
        <f>ROUND(Tableau15[[#This Row],[LEN]]*7.27,0)</f>
        <v>305</v>
      </c>
      <c r="L434" s="109">
        <v>15</v>
      </c>
      <c r="M434" s="127" t="str">
        <f t="shared" si="3"/>
        <v>none</v>
      </c>
      <c r="N434" s="109">
        <f>LEN(Tableau15[[#This Row],[LABEL]])</f>
        <v>42</v>
      </c>
      <c r="O434" s="109">
        <v>15</v>
      </c>
      <c r="P434" s="109" t="e">
        <f>ROUND(Tableau15[[#This Row],[LEN]]*#REF!+#REF!,0)</f>
        <v>#REF!</v>
      </c>
    </row>
    <row r="435" spans="1:16" s="97" customFormat="1" x14ac:dyDescent="0.25">
      <c r="A435" s="29" t="s">
        <v>1268</v>
      </c>
      <c r="B435" s="30" t="s">
        <v>1231</v>
      </c>
      <c r="C435" s="31" t="s">
        <v>1271</v>
      </c>
      <c r="D435" s="71" t="s">
        <v>1177</v>
      </c>
      <c r="E435" s="31" t="s">
        <v>673</v>
      </c>
      <c r="F435" s="31" t="s">
        <v>1249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ROUND(Tableau15[[#This Row],[LEN]]*7.27,0)</f>
        <v>145</v>
      </c>
      <c r="L435" s="111">
        <v>15</v>
      </c>
      <c r="M435" s="128" t="str">
        <f t="shared" si="3"/>
        <v>none</v>
      </c>
      <c r="N435" s="111">
        <f>LEN(Tableau15[[#This Row],[LABEL]])</f>
        <v>20</v>
      </c>
      <c r="O435" s="111">
        <v>15</v>
      </c>
      <c r="P435" s="111" t="e">
        <f>ROUND(Tableau15[[#This Row],[LEN]]*#REF!+#REF!,0)</f>
        <v>#REF!</v>
      </c>
    </row>
    <row r="436" spans="1:16" s="97" customFormat="1" x14ac:dyDescent="0.25">
      <c r="A436" s="29" t="s">
        <v>1269</v>
      </c>
      <c r="B436" s="30" t="s">
        <v>1231</v>
      </c>
      <c r="C436" s="31" t="s">
        <v>1272</v>
      </c>
      <c r="D436" s="71" t="s">
        <v>1177</v>
      </c>
      <c r="E436" s="31" t="s">
        <v>673</v>
      </c>
      <c r="F436" s="31" t="s">
        <v>1249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ROUND(Tableau15[[#This Row],[LEN]]*7.27,0)</f>
        <v>305</v>
      </c>
      <c r="L436" s="111">
        <v>15</v>
      </c>
      <c r="M436" s="128" t="str">
        <f t="shared" si="3"/>
        <v>none</v>
      </c>
      <c r="N436" s="111">
        <f>LEN(Tableau15[[#This Row],[LABEL]])</f>
        <v>42</v>
      </c>
      <c r="O436" s="111">
        <v>15</v>
      </c>
      <c r="P436" s="111" t="e">
        <f>ROUND(Tableau15[[#This Row],[LEN]]*#REF!+#REF!,0)</f>
        <v>#REF!</v>
      </c>
    </row>
    <row r="437" spans="1:16" s="97" customFormat="1" x14ac:dyDescent="0.25">
      <c r="A437" s="29" t="s">
        <v>1270</v>
      </c>
      <c r="B437" s="30" t="s">
        <v>1231</v>
      </c>
      <c r="C437" s="31" t="s">
        <v>1273</v>
      </c>
      <c r="D437" s="71" t="s">
        <v>1177</v>
      </c>
      <c r="E437" s="31" t="s">
        <v>673</v>
      </c>
      <c r="F437" s="31" t="s">
        <v>1249</v>
      </c>
      <c r="G437" s="71" t="s">
        <v>166</v>
      </c>
      <c r="H437" s="71" t="s">
        <v>570</v>
      </c>
      <c r="I437" s="31"/>
      <c r="J437" s="32" t="s">
        <v>708</v>
      </c>
      <c r="K437" s="111">
        <f>ROUND(Tableau15[[#This Row],[LEN]]*7.27,0)</f>
        <v>87</v>
      </c>
      <c r="L437" s="111">
        <v>15</v>
      </c>
      <c r="M437" s="128" t="str">
        <f t="shared" si="3"/>
        <v>none</v>
      </c>
      <c r="N437" s="111">
        <f>LEN(Tableau15[[#This Row],[LABEL]])</f>
        <v>12</v>
      </c>
      <c r="O437" s="111">
        <v>15</v>
      </c>
      <c r="P437" s="111" t="e">
        <f>ROUND(Tableau15[[#This Row],[LEN]]*#REF!+#REF!,0)</f>
        <v>#REF!</v>
      </c>
    </row>
    <row r="438" spans="1:16" s="97" customFormat="1" x14ac:dyDescent="0.25">
      <c r="A438" s="25" t="s">
        <v>1232</v>
      </c>
      <c r="B438" s="26" t="s">
        <v>259</v>
      </c>
      <c r="C438" s="27" t="s">
        <v>1244</v>
      </c>
      <c r="D438" s="70" t="s">
        <v>1177</v>
      </c>
      <c r="E438" s="27" t="s">
        <v>673</v>
      </c>
      <c r="F438" s="27" t="s">
        <v>1177</v>
      </c>
      <c r="G438" s="70" t="s">
        <v>166</v>
      </c>
      <c r="H438" s="70" t="s">
        <v>18</v>
      </c>
      <c r="I438" s="27"/>
      <c r="J438" s="28" t="s">
        <v>708</v>
      </c>
      <c r="K438" s="109">
        <f>ROUND(Tableau15[[#This Row],[LEN]]*7.27,0)</f>
        <v>247</v>
      </c>
      <c r="L438" s="109">
        <v>15</v>
      </c>
      <c r="M438" s="127" t="str">
        <f t="shared" si="3"/>
        <v>none</v>
      </c>
      <c r="N438" s="109">
        <f>LEN(Tableau15[[#This Row],[LABEL]])</f>
        <v>34</v>
      </c>
      <c r="O438" s="109">
        <v>15</v>
      </c>
      <c r="P438" s="109" t="e">
        <f>ROUND(Tableau15[[#This Row],[LEN]]*#REF!+#REF!,0)</f>
        <v>#REF!</v>
      </c>
    </row>
    <row r="439" spans="1:16" s="97" customFormat="1" x14ac:dyDescent="0.25">
      <c r="A439" s="25" t="s">
        <v>1233</v>
      </c>
      <c r="B439" s="26" t="s">
        <v>259</v>
      </c>
      <c r="C439" s="27" t="s">
        <v>1245</v>
      </c>
      <c r="D439" s="70" t="s">
        <v>1177</v>
      </c>
      <c r="E439" s="27" t="s">
        <v>673</v>
      </c>
      <c r="F439" s="27" t="s">
        <v>1177</v>
      </c>
      <c r="G439" s="70" t="s">
        <v>166</v>
      </c>
      <c r="H439" s="70" t="s">
        <v>570</v>
      </c>
      <c r="I439" s="27"/>
      <c r="J439" s="28" t="s">
        <v>708</v>
      </c>
      <c r="K439" s="109">
        <f>ROUND(Tableau15[[#This Row],[LEN]]*7.27,0)</f>
        <v>364</v>
      </c>
      <c r="L439" s="109">
        <v>15</v>
      </c>
      <c r="M439" s="127" t="str">
        <f t="shared" si="3"/>
        <v>none</v>
      </c>
      <c r="N439" s="109">
        <f>LEN(Tableau15[[#This Row],[LABEL]])</f>
        <v>50</v>
      </c>
      <c r="O439" s="109">
        <v>15</v>
      </c>
      <c r="P439" s="109" t="e">
        <f>ROUND(Tableau15[[#This Row],[LEN]]*#REF!+#REF!,0)</f>
        <v>#REF!</v>
      </c>
    </row>
    <row r="440" spans="1:16" s="97" customFormat="1" x14ac:dyDescent="0.25">
      <c r="A440" s="25" t="s">
        <v>1234</v>
      </c>
      <c r="B440" s="26" t="s">
        <v>259</v>
      </c>
      <c r="C440" s="27" t="s">
        <v>778</v>
      </c>
      <c r="D440" s="70" t="s">
        <v>1177</v>
      </c>
      <c r="E440" s="27" t="s">
        <v>673</v>
      </c>
      <c r="F440" s="27" t="s">
        <v>2000</v>
      </c>
      <c r="G440" s="70" t="s">
        <v>166</v>
      </c>
      <c r="H440" s="70" t="s">
        <v>17</v>
      </c>
      <c r="I440" s="27"/>
      <c r="J440" s="28" t="s">
        <v>708</v>
      </c>
      <c r="K440" s="109">
        <f>ROUND(Tableau15[[#This Row],[LEN]]*7.27,0)</f>
        <v>211</v>
      </c>
      <c r="L440" s="109">
        <v>15</v>
      </c>
      <c r="M440" s="127" t="str">
        <f t="shared" si="3"/>
        <v>none</v>
      </c>
      <c r="N440" s="109">
        <f>LEN(Tableau15[[#This Row],[LABEL]])</f>
        <v>29</v>
      </c>
      <c r="O440" s="109">
        <v>15</v>
      </c>
      <c r="P440" s="109" t="e">
        <f>ROUND(Tableau15[[#This Row],[LEN]]*#REF!+#REF!,0)</f>
        <v>#REF!</v>
      </c>
    </row>
    <row r="441" spans="1:16" s="97" customFormat="1" x14ac:dyDescent="0.25">
      <c r="A441" s="25" t="s">
        <v>1235</v>
      </c>
      <c r="B441" s="26" t="s">
        <v>259</v>
      </c>
      <c r="C441" s="27" t="s">
        <v>1246</v>
      </c>
      <c r="D441" s="70" t="s">
        <v>1177</v>
      </c>
      <c r="E441" s="27" t="s">
        <v>673</v>
      </c>
      <c r="F441" s="27" t="s">
        <v>667</v>
      </c>
      <c r="G441" s="70" t="s">
        <v>166</v>
      </c>
      <c r="H441" s="70" t="s">
        <v>655</v>
      </c>
      <c r="I441" s="27"/>
      <c r="J441" s="28" t="s">
        <v>708</v>
      </c>
      <c r="K441" s="109">
        <f>ROUND(Tableau15[[#This Row],[LEN]]*7.27,0)</f>
        <v>153</v>
      </c>
      <c r="L441" s="109">
        <v>15</v>
      </c>
      <c r="M441" s="127" t="str">
        <f t="shared" si="3"/>
        <v>none</v>
      </c>
      <c r="N441" s="109">
        <f>LEN(Tableau15[[#This Row],[LABEL]])</f>
        <v>21</v>
      </c>
      <c r="O441" s="109">
        <v>15</v>
      </c>
      <c r="P441" s="109" t="e">
        <f>ROUND(Tableau15[[#This Row],[LEN]]*#REF!+#REF!,0)</f>
        <v>#REF!</v>
      </c>
    </row>
    <row r="442" spans="1:16" s="97" customFormat="1" x14ac:dyDescent="0.25">
      <c r="A442" s="29" t="s">
        <v>1274</v>
      </c>
      <c r="B442" s="30" t="s">
        <v>1235</v>
      </c>
      <c r="C442" s="31" t="s">
        <v>1276</v>
      </c>
      <c r="D442" s="71" t="s">
        <v>1177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ROUND(Tableau15[[#This Row],[LEN]]*7.27,0)</f>
        <v>131</v>
      </c>
      <c r="L442" s="111">
        <v>15</v>
      </c>
      <c r="M442" s="128" t="str">
        <f t="shared" si="3"/>
        <v>none</v>
      </c>
      <c r="N442" s="111">
        <f>LEN(Tableau15[[#This Row],[LABEL]])</f>
        <v>18</v>
      </c>
      <c r="O442" s="111">
        <v>15</v>
      </c>
      <c r="P442" s="111" t="e">
        <f>ROUND(Tableau15[[#This Row],[LEN]]*#REF!+#REF!,0)</f>
        <v>#REF!</v>
      </c>
    </row>
    <row r="443" spans="1:16" s="97" customFormat="1" x14ac:dyDescent="0.25">
      <c r="A443" s="29" t="s">
        <v>1275</v>
      </c>
      <c r="B443" s="30" t="s">
        <v>1235</v>
      </c>
      <c r="C443" s="31" t="s">
        <v>1277</v>
      </c>
      <c r="D443" s="71" t="s">
        <v>1177</v>
      </c>
      <c r="E443" s="31" t="s">
        <v>673</v>
      </c>
      <c r="F443" s="31" t="s">
        <v>667</v>
      </c>
      <c r="G443" s="71" t="s">
        <v>166</v>
      </c>
      <c r="H443" s="71" t="s">
        <v>18</v>
      </c>
      <c r="I443" s="31"/>
      <c r="J443" s="32" t="s">
        <v>708</v>
      </c>
      <c r="K443" s="111">
        <f>ROUND(Tableau15[[#This Row],[LEN]]*7.27,0)</f>
        <v>422</v>
      </c>
      <c r="L443" s="111">
        <v>15</v>
      </c>
      <c r="M443" s="128" t="str">
        <f t="shared" si="3"/>
        <v>none</v>
      </c>
      <c r="N443" s="111">
        <f>LEN(Tableau15[[#This Row],[LABEL]])</f>
        <v>58</v>
      </c>
      <c r="O443" s="111">
        <v>15</v>
      </c>
      <c r="P443" s="111" t="e">
        <f>ROUND(Tableau15[[#This Row],[LEN]]*#REF!+#REF!,0)</f>
        <v>#REF!</v>
      </c>
    </row>
    <row r="444" spans="1:16" s="97" customFormat="1" x14ac:dyDescent="0.25">
      <c r="A444" s="25" t="s">
        <v>1236</v>
      </c>
      <c r="B444" s="26" t="s">
        <v>259</v>
      </c>
      <c r="C444" s="27" t="s">
        <v>1247</v>
      </c>
      <c r="D444" s="70" t="s">
        <v>1250</v>
      </c>
      <c r="E444" s="27" t="s">
        <v>673</v>
      </c>
      <c r="F444" s="27" t="s">
        <v>667</v>
      </c>
      <c r="G444" s="70" t="s">
        <v>166</v>
      </c>
      <c r="H444" s="70" t="s">
        <v>656</v>
      </c>
      <c r="I444" s="27"/>
      <c r="J444" s="28" t="s">
        <v>708</v>
      </c>
      <c r="K444" s="109">
        <f>ROUND(Tableau15[[#This Row],[LEN]]*7.27,0)</f>
        <v>160</v>
      </c>
      <c r="L444" s="109">
        <v>15</v>
      </c>
      <c r="M444" s="127" t="str">
        <f t="shared" si="3"/>
        <v>none</v>
      </c>
      <c r="N444" s="109">
        <f>LEN(Tableau15[[#This Row],[LABEL]])</f>
        <v>22</v>
      </c>
      <c r="O444" s="109">
        <v>15</v>
      </c>
      <c r="P444" s="109" t="e">
        <f>ROUND(Tableau15[[#This Row],[LEN]]*#REF!+#REF!,0)</f>
        <v>#REF!</v>
      </c>
    </row>
    <row r="445" spans="1:16" s="97" customFormat="1" x14ac:dyDescent="0.25">
      <c r="A445" s="25" t="s">
        <v>1237</v>
      </c>
      <c r="B445" s="26" t="s">
        <v>259</v>
      </c>
      <c r="C445" s="27" t="s">
        <v>1167</v>
      </c>
      <c r="D445" s="70" t="s">
        <v>486</v>
      </c>
      <c r="E445" s="27" t="s">
        <v>1085</v>
      </c>
      <c r="F445" s="27" t="s">
        <v>1084</v>
      </c>
      <c r="G445" s="70" t="s">
        <v>1977</v>
      </c>
      <c r="H445" s="70" t="s">
        <v>1131</v>
      </c>
      <c r="I445" s="27"/>
      <c r="J445" s="28" t="s">
        <v>708</v>
      </c>
      <c r="K445" s="109">
        <f>ROUND(Tableau15[[#This Row],[LEN]]*7.27,0)</f>
        <v>196</v>
      </c>
      <c r="L445" s="109">
        <v>15</v>
      </c>
      <c r="M445" s="127" t="str">
        <f t="shared" si="3"/>
        <v>none</v>
      </c>
      <c r="N445" s="109">
        <f>LEN(Tableau15[[#This Row],[LABEL]])</f>
        <v>27</v>
      </c>
      <c r="O445" s="109">
        <v>15</v>
      </c>
      <c r="P445" s="109" t="e">
        <f>ROUND(Tableau15[[#This Row],[LEN]]*#REF!+#REF!,0)</f>
        <v>#REF!</v>
      </c>
    </row>
    <row r="446" spans="1:16" s="273" customFormat="1" x14ac:dyDescent="0.25">
      <c r="A446" s="288" t="s">
        <v>260</v>
      </c>
      <c r="B446" s="289" t="s">
        <v>206</v>
      </c>
      <c r="C446" s="290" t="s">
        <v>11</v>
      </c>
      <c r="D446" s="291" t="s">
        <v>1177</v>
      </c>
      <c r="E446" s="290" t="s">
        <v>674</v>
      </c>
      <c r="F446" s="290" t="s">
        <v>1177</v>
      </c>
      <c r="G446" s="291" t="s">
        <v>166</v>
      </c>
      <c r="H446" s="291" t="str">
        <f>IFERROR(IF(SEARCH(".00.00.00.00.00",Tableau15[[#This Row],[name]],1)=7,"Division",""),"")</f>
        <v>Division</v>
      </c>
      <c r="I446" s="290"/>
      <c r="J446" s="292" t="s">
        <v>720</v>
      </c>
      <c r="K446" s="293">
        <f>ROUND(Tableau15[[#This Row],[LEN]]*7.27,0)</f>
        <v>51</v>
      </c>
      <c r="L446" s="293">
        <v>15</v>
      </c>
      <c r="M446" s="294" t="str">
        <f t="shared" ref="M446:M700" si="4">IF(J446="javascript:void(0)","none","new")</f>
        <v>new</v>
      </c>
      <c r="N446" s="293">
        <f>LEN(Tableau15[[#This Row],[LABEL]])</f>
        <v>7</v>
      </c>
      <c r="O446" s="293">
        <v>15</v>
      </c>
      <c r="P446" s="293" t="e">
        <f>ROUND(Tableau15[[#This Row],[LEN]]*#REF!+#REF!,0)</f>
        <v>#REF!</v>
      </c>
    </row>
    <row r="447" spans="1:16" s="97" customFormat="1" x14ac:dyDescent="0.25">
      <c r="A447" s="25" t="s">
        <v>1278</v>
      </c>
      <c r="B447" s="26" t="s">
        <v>260</v>
      </c>
      <c r="C447" s="27" t="s">
        <v>88</v>
      </c>
      <c r="D447" s="70" t="s">
        <v>1177</v>
      </c>
      <c r="E447" s="27" t="s">
        <v>667</v>
      </c>
      <c r="F447" s="27" t="s">
        <v>1218</v>
      </c>
      <c r="G447" s="70" t="s">
        <v>166</v>
      </c>
      <c r="H447" s="70" t="s">
        <v>570</v>
      </c>
      <c r="I447" s="27"/>
      <c r="J447" s="28" t="s">
        <v>708</v>
      </c>
      <c r="K447" s="109">
        <f>ROUND(Tableau15[[#This Row],[LEN]]*7.27,0)</f>
        <v>342</v>
      </c>
      <c r="L447" s="109">
        <v>15</v>
      </c>
      <c r="M447" s="127" t="str">
        <f t="shared" si="4"/>
        <v>none</v>
      </c>
      <c r="N447" s="109">
        <f>LEN(Tableau15[[#This Row],[LABEL]])</f>
        <v>47</v>
      </c>
      <c r="O447" s="109">
        <v>15</v>
      </c>
      <c r="P447" s="109" t="e">
        <f>ROUND(Tableau15[[#This Row],[LEN]]*#REF!+#REF!,0)</f>
        <v>#REF!</v>
      </c>
    </row>
    <row r="448" spans="1:16" s="97" customFormat="1" x14ac:dyDescent="0.25">
      <c r="A448" s="25" t="s">
        <v>1279</v>
      </c>
      <c r="B448" s="26" t="s">
        <v>260</v>
      </c>
      <c r="C448" s="27" t="s">
        <v>484</v>
      </c>
      <c r="D448" s="70" t="s">
        <v>1177</v>
      </c>
      <c r="E448" s="27" t="s">
        <v>672</v>
      </c>
      <c r="F448" s="27" t="s">
        <v>1285</v>
      </c>
      <c r="G448" s="70" t="s">
        <v>166</v>
      </c>
      <c r="H448" s="70" t="s">
        <v>655</v>
      </c>
      <c r="I448" s="27"/>
      <c r="J448" s="28" t="s">
        <v>727</v>
      </c>
      <c r="K448" s="109">
        <f>ROUND(Tableau15[[#This Row],[LEN]]*7.27,0)</f>
        <v>80</v>
      </c>
      <c r="L448" s="109">
        <v>15</v>
      </c>
      <c r="M448" s="127" t="str">
        <f t="shared" si="4"/>
        <v>new</v>
      </c>
      <c r="N448" s="109">
        <f>LEN(Tableau15[[#This Row],[LABEL]])</f>
        <v>11</v>
      </c>
      <c r="O448" s="109">
        <v>15</v>
      </c>
      <c r="P448" s="109" t="e">
        <f>ROUND(Tableau15[[#This Row],[LEN]]*#REF!+#REF!,0)</f>
        <v>#REF!</v>
      </c>
    </row>
    <row r="449" spans="1:16" s="97" customFormat="1" x14ac:dyDescent="0.25">
      <c r="A449" s="29" t="s">
        <v>1288</v>
      </c>
      <c r="B449" s="30" t="s">
        <v>1279</v>
      </c>
      <c r="C449" s="31" t="s">
        <v>505</v>
      </c>
      <c r="D449" s="71" t="s">
        <v>1177</v>
      </c>
      <c r="E449" s="31" t="s">
        <v>672</v>
      </c>
      <c r="F449" s="31" t="s">
        <v>1285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ROUND(Tableau15[[#This Row],[LEN]]*7.27,0)</f>
        <v>73</v>
      </c>
      <c r="L449" s="111">
        <v>15</v>
      </c>
      <c r="M449" s="128" t="str">
        <f t="shared" si="4"/>
        <v>new</v>
      </c>
      <c r="N449" s="111">
        <f>LEN(Tableau15[[#This Row],[LABEL]])</f>
        <v>10</v>
      </c>
      <c r="O449" s="111">
        <v>15</v>
      </c>
      <c r="P449" s="111" t="e">
        <f>ROUND(Tableau15[[#This Row],[LEN]]*#REF!+#REF!,0)</f>
        <v>#REF!</v>
      </c>
    </row>
    <row r="450" spans="1:16" s="97" customFormat="1" x14ac:dyDescent="0.25">
      <c r="A450" s="29" t="s">
        <v>1289</v>
      </c>
      <c r="B450" s="30" t="s">
        <v>1279</v>
      </c>
      <c r="C450" s="31" t="s">
        <v>1284</v>
      </c>
      <c r="D450" s="71" t="s">
        <v>1177</v>
      </c>
      <c r="E450" s="31" t="s">
        <v>672</v>
      </c>
      <c r="F450" s="31" t="s">
        <v>1285</v>
      </c>
      <c r="G450" s="71" t="s">
        <v>166</v>
      </c>
      <c r="H450" s="71" t="s">
        <v>18</v>
      </c>
      <c r="I450" s="31"/>
      <c r="J450" s="32" t="s">
        <v>705</v>
      </c>
      <c r="K450" s="111">
        <f>ROUND(Tableau15[[#This Row],[LEN]]*7.27,0)</f>
        <v>153</v>
      </c>
      <c r="L450" s="111">
        <v>15</v>
      </c>
      <c r="M450" s="128" t="str">
        <f t="shared" si="4"/>
        <v>new</v>
      </c>
      <c r="N450" s="111">
        <f>LEN(Tableau15[[#This Row],[LABEL]])</f>
        <v>21</v>
      </c>
      <c r="O450" s="111">
        <v>15</v>
      </c>
      <c r="P450" s="111" t="e">
        <f>ROUND(Tableau15[[#This Row],[LEN]]*#REF!+#REF!,0)</f>
        <v>#REF!</v>
      </c>
    </row>
    <row r="451" spans="1:16" s="97" customFormat="1" x14ac:dyDescent="0.25">
      <c r="A451" s="25" t="s">
        <v>1280</v>
      </c>
      <c r="B451" s="26" t="s">
        <v>260</v>
      </c>
      <c r="C451" s="27" t="s">
        <v>1286</v>
      </c>
      <c r="D451" s="70" t="s">
        <v>1177</v>
      </c>
      <c r="E451" s="27" t="s">
        <v>674</v>
      </c>
      <c r="F451" s="27" t="s">
        <v>1177</v>
      </c>
      <c r="G451" s="70" t="s">
        <v>166</v>
      </c>
      <c r="H451" s="70" t="s">
        <v>655</v>
      </c>
      <c r="I451" s="27"/>
      <c r="J451" s="28" t="s">
        <v>708</v>
      </c>
      <c r="K451" s="109">
        <f>ROUND(Tableau15[[#This Row],[LEN]]*7.27,0)</f>
        <v>429</v>
      </c>
      <c r="L451" s="109">
        <v>15</v>
      </c>
      <c r="M451" s="127" t="str">
        <f t="shared" si="4"/>
        <v>none</v>
      </c>
      <c r="N451" s="109">
        <f>LEN(Tableau15[[#This Row],[LABEL]])</f>
        <v>59</v>
      </c>
      <c r="O451" s="109">
        <v>15</v>
      </c>
      <c r="P451" s="109" t="e">
        <f>ROUND(Tableau15[[#This Row],[LEN]]*#REF!+#REF!,0)</f>
        <v>#REF!</v>
      </c>
    </row>
    <row r="452" spans="1:16" s="97" customFormat="1" x14ac:dyDescent="0.25">
      <c r="A452" s="29" t="s">
        <v>1290</v>
      </c>
      <c r="B452" s="30" t="s">
        <v>1280</v>
      </c>
      <c r="C452" s="31" t="s">
        <v>1293</v>
      </c>
      <c r="D452" s="71" t="s">
        <v>1177</v>
      </c>
      <c r="E452" s="31" t="s">
        <v>674</v>
      </c>
      <c r="F452" s="31" t="s">
        <v>1177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ROUND(Tableau15[[#This Row],[LEN]]*7.27,0)</f>
        <v>116</v>
      </c>
      <c r="L452" s="111">
        <v>15</v>
      </c>
      <c r="M452" s="128" t="str">
        <f t="shared" si="4"/>
        <v>none</v>
      </c>
      <c r="N452" s="111">
        <f>LEN(Tableau15[[#This Row],[LABEL]])</f>
        <v>16</v>
      </c>
      <c r="O452" s="111">
        <v>15</v>
      </c>
      <c r="P452" s="111" t="e">
        <f>ROUND(Tableau15[[#This Row],[LEN]]*#REF!+#REF!,0)</f>
        <v>#REF!</v>
      </c>
    </row>
    <row r="453" spans="1:16" s="97" customFormat="1" x14ac:dyDescent="0.25">
      <c r="A453" s="29" t="s">
        <v>1291</v>
      </c>
      <c r="B453" s="30" t="s">
        <v>1280</v>
      </c>
      <c r="C453" s="31" t="s">
        <v>1294</v>
      </c>
      <c r="D453" s="71" t="s">
        <v>1177</v>
      </c>
      <c r="E453" s="31" t="s">
        <v>674</v>
      </c>
      <c r="F453" s="31" t="s">
        <v>1177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ROUND(Tableau15[[#This Row],[LEN]]*7.27,0)</f>
        <v>87</v>
      </c>
      <c r="L453" s="111">
        <v>15</v>
      </c>
      <c r="M453" s="128" t="str">
        <f t="shared" si="4"/>
        <v>none</v>
      </c>
      <c r="N453" s="111">
        <f>LEN(Tableau15[[#This Row],[LABEL]])</f>
        <v>12</v>
      </c>
      <c r="O453" s="111">
        <v>15</v>
      </c>
      <c r="P453" s="111" t="e">
        <f>ROUND(Tableau15[[#This Row],[LEN]]*#REF!+#REF!,0)</f>
        <v>#REF!</v>
      </c>
    </row>
    <row r="454" spans="1:16" s="97" customFormat="1" x14ac:dyDescent="0.25">
      <c r="A454" s="29" t="s">
        <v>1292</v>
      </c>
      <c r="B454" s="30" t="s">
        <v>1280</v>
      </c>
      <c r="C454" s="31" t="s">
        <v>1295</v>
      </c>
      <c r="D454" s="71" t="s">
        <v>1177</v>
      </c>
      <c r="E454" s="31" t="s">
        <v>674</v>
      </c>
      <c r="F454" s="31" t="s">
        <v>1177</v>
      </c>
      <c r="G454" s="71" t="s">
        <v>166</v>
      </c>
      <c r="H454" s="71" t="s">
        <v>654</v>
      </c>
      <c r="I454" s="31"/>
      <c r="J454" s="32" t="s">
        <v>708</v>
      </c>
      <c r="K454" s="111">
        <f>ROUND(Tableau15[[#This Row],[LEN]]*7.27,0)</f>
        <v>145</v>
      </c>
      <c r="L454" s="111">
        <v>15</v>
      </c>
      <c r="M454" s="128" t="str">
        <f t="shared" si="4"/>
        <v>none</v>
      </c>
      <c r="N454" s="111">
        <f>LEN(Tableau15[[#This Row],[LABEL]])</f>
        <v>20</v>
      </c>
      <c r="O454" s="111">
        <v>15</v>
      </c>
      <c r="P454" s="111" t="e">
        <f>ROUND(Tableau15[[#This Row],[LEN]]*#REF!+#REF!,0)</f>
        <v>#REF!</v>
      </c>
    </row>
    <row r="455" spans="1:16" s="97" customFormat="1" x14ac:dyDescent="0.25">
      <c r="A455" s="25" t="s">
        <v>1281</v>
      </c>
      <c r="B455" s="26" t="s">
        <v>260</v>
      </c>
      <c r="C455" s="27" t="s">
        <v>1287</v>
      </c>
      <c r="D455" s="70" t="s">
        <v>1177</v>
      </c>
      <c r="E455" s="27" t="s">
        <v>674</v>
      </c>
      <c r="F455" s="27" t="s">
        <v>678</v>
      </c>
      <c r="G455" s="70" t="s">
        <v>166</v>
      </c>
      <c r="H455" s="70" t="s">
        <v>655</v>
      </c>
      <c r="I455" s="27"/>
      <c r="J455" s="28" t="s">
        <v>708</v>
      </c>
      <c r="K455" s="109">
        <f>ROUND(Tableau15[[#This Row],[LEN]]*7.27,0)</f>
        <v>320</v>
      </c>
      <c r="L455" s="109">
        <v>15</v>
      </c>
      <c r="M455" s="127" t="str">
        <f t="shared" si="4"/>
        <v>none</v>
      </c>
      <c r="N455" s="109">
        <f>LEN(Tableau15[[#This Row],[LABEL]])</f>
        <v>44</v>
      </c>
      <c r="O455" s="109">
        <v>15</v>
      </c>
      <c r="P455" s="109" t="e">
        <f>ROUND(Tableau15[[#This Row],[LEN]]*#REF!+#REF!,0)</f>
        <v>#REF!</v>
      </c>
    </row>
    <row r="456" spans="1:16" s="97" customFormat="1" x14ac:dyDescent="0.25">
      <c r="A456" s="29" t="s">
        <v>1296</v>
      </c>
      <c r="B456" s="30" t="s">
        <v>1281</v>
      </c>
      <c r="C456" s="31" t="s">
        <v>1298</v>
      </c>
      <c r="D456" s="71" t="s">
        <v>1177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ROUND(Tableau15[[#This Row],[LEN]]*7.27,0)</f>
        <v>284</v>
      </c>
      <c r="L456" s="111">
        <v>15</v>
      </c>
      <c r="M456" s="128" t="str">
        <f t="shared" si="4"/>
        <v>none</v>
      </c>
      <c r="N456" s="111">
        <f>LEN(Tableau15[[#This Row],[LABEL]])</f>
        <v>39</v>
      </c>
      <c r="O456" s="111">
        <v>15</v>
      </c>
      <c r="P456" s="111" t="e">
        <f>ROUND(Tableau15[[#This Row],[LEN]]*#REF!+#REF!,0)</f>
        <v>#REF!</v>
      </c>
    </row>
    <row r="457" spans="1:16" s="97" customFormat="1" x14ac:dyDescent="0.25">
      <c r="A457" s="29" t="s">
        <v>1297</v>
      </c>
      <c r="B457" s="30" t="s">
        <v>1281</v>
      </c>
      <c r="C457" s="31" t="s">
        <v>1299</v>
      </c>
      <c r="D457" s="71" t="s">
        <v>1177</v>
      </c>
      <c r="E457" s="31" t="s">
        <v>674</v>
      </c>
      <c r="F457" s="31" t="s">
        <v>678</v>
      </c>
      <c r="G457" s="71" t="s">
        <v>166</v>
      </c>
      <c r="H457" s="71" t="s">
        <v>654</v>
      </c>
      <c r="I457" s="31"/>
      <c r="J457" s="32" t="s">
        <v>708</v>
      </c>
      <c r="K457" s="111">
        <f>ROUND(Tableau15[[#This Row],[LEN]]*7.27,0)</f>
        <v>124</v>
      </c>
      <c r="L457" s="111">
        <v>15</v>
      </c>
      <c r="M457" s="128" t="str">
        <f t="shared" si="4"/>
        <v>none</v>
      </c>
      <c r="N457" s="111">
        <f>LEN(Tableau15[[#This Row],[LABEL]])</f>
        <v>17</v>
      </c>
      <c r="O457" s="111">
        <v>15</v>
      </c>
      <c r="P457" s="111" t="e">
        <f>ROUND(Tableau15[[#This Row],[LEN]]*#REF!+#REF!,0)</f>
        <v>#REF!</v>
      </c>
    </row>
    <row r="458" spans="1:16" s="97" customFormat="1" x14ac:dyDescent="0.25">
      <c r="A458" s="25" t="s">
        <v>1282</v>
      </c>
      <c r="B458" s="26" t="s">
        <v>260</v>
      </c>
      <c r="C458" s="27" t="s">
        <v>1154</v>
      </c>
      <c r="D458" s="70" t="s">
        <v>1177</v>
      </c>
      <c r="E458" s="27" t="s">
        <v>667</v>
      </c>
      <c r="F458" s="27" t="s">
        <v>1133</v>
      </c>
      <c r="G458" s="70" t="s">
        <v>166</v>
      </c>
      <c r="H458" s="70" t="s">
        <v>18</v>
      </c>
      <c r="I458" s="27"/>
      <c r="J458" s="28" t="s">
        <v>102</v>
      </c>
      <c r="K458" s="109">
        <f>ROUND(Tableau15[[#This Row],[LEN]]*7.27,0)</f>
        <v>443</v>
      </c>
      <c r="L458" s="109">
        <v>15</v>
      </c>
      <c r="M458" s="127" t="str">
        <f t="shared" si="4"/>
        <v>new</v>
      </c>
      <c r="N458" s="109">
        <f>LEN(Tableau15[[#This Row],[LABEL]])</f>
        <v>61</v>
      </c>
      <c r="O458" s="109">
        <v>15</v>
      </c>
      <c r="P458" s="109" t="e">
        <f>ROUND(Tableau15[[#This Row],[LEN]]*#REF!+#REF!,0)</f>
        <v>#REF!</v>
      </c>
    </row>
    <row r="459" spans="1:16" s="97" customFormat="1" x14ac:dyDescent="0.25">
      <c r="A459" s="25" t="s">
        <v>1283</v>
      </c>
      <c r="B459" s="26" t="s">
        <v>260</v>
      </c>
      <c r="C459" s="27" t="s">
        <v>1167</v>
      </c>
      <c r="D459" s="70" t="s">
        <v>486</v>
      </c>
      <c r="E459" s="27" t="s">
        <v>1085</v>
      </c>
      <c r="F459" s="27" t="s">
        <v>1084</v>
      </c>
      <c r="G459" s="70" t="s">
        <v>1977</v>
      </c>
      <c r="H459" s="70" t="s">
        <v>1131</v>
      </c>
      <c r="I459" s="27"/>
      <c r="J459" s="28" t="s">
        <v>708</v>
      </c>
      <c r="K459" s="109">
        <f>ROUND(Tableau15[[#This Row],[LEN]]*7.27,0)</f>
        <v>196</v>
      </c>
      <c r="L459" s="109">
        <v>15</v>
      </c>
      <c r="M459" s="127" t="str">
        <f t="shared" si="4"/>
        <v>none</v>
      </c>
      <c r="N459" s="109">
        <f>LEN(Tableau15[[#This Row],[LABEL]])</f>
        <v>27</v>
      </c>
      <c r="O459" s="109">
        <v>15</v>
      </c>
      <c r="P459" s="109" t="e">
        <f>ROUND(Tableau15[[#This Row],[LEN]]*#REF!+#REF!,0)</f>
        <v>#REF!</v>
      </c>
    </row>
    <row r="460" spans="1:16" s="97" customFormat="1" x14ac:dyDescent="0.25">
      <c r="A460" s="29" t="s">
        <v>1300</v>
      </c>
      <c r="B460" s="30" t="s">
        <v>1283</v>
      </c>
      <c r="C460" s="31" t="s">
        <v>93</v>
      </c>
      <c r="D460" s="71" t="s">
        <v>1177</v>
      </c>
      <c r="E460" s="31" t="s">
        <v>1085</v>
      </c>
      <c r="F460" s="31" t="s">
        <v>1084</v>
      </c>
      <c r="G460" s="71" t="s">
        <v>166</v>
      </c>
      <c r="H460" s="71" t="s">
        <v>18</v>
      </c>
      <c r="I460" s="31"/>
      <c r="J460" s="32" t="s">
        <v>101</v>
      </c>
      <c r="K460" s="111">
        <f>ROUND(Tableau15[[#This Row],[LEN]]*7.27,0)</f>
        <v>109</v>
      </c>
      <c r="L460" s="111">
        <v>15</v>
      </c>
      <c r="M460" s="128" t="str">
        <f t="shared" si="4"/>
        <v>new</v>
      </c>
      <c r="N460" s="111">
        <f>LEN(Tableau15[[#This Row],[LABEL]])</f>
        <v>15</v>
      </c>
      <c r="O460" s="111">
        <v>15</v>
      </c>
      <c r="P460" s="111" t="e">
        <f>ROUND(Tableau15[[#This Row],[LEN]]*#REF!+#REF!,0)</f>
        <v>#REF!</v>
      </c>
    </row>
    <row r="461" spans="1:16" s="97" customFormat="1" x14ac:dyDescent="0.25">
      <c r="A461" s="29" t="s">
        <v>1301</v>
      </c>
      <c r="B461" s="30" t="s">
        <v>1283</v>
      </c>
      <c r="C461" s="31" t="s">
        <v>94</v>
      </c>
      <c r="D461" s="71" t="s">
        <v>1177</v>
      </c>
      <c r="E461" s="31" t="s">
        <v>1085</v>
      </c>
      <c r="F461" s="31" t="s">
        <v>1084</v>
      </c>
      <c r="G461" s="71" t="s">
        <v>166</v>
      </c>
      <c r="H461" s="71" t="s">
        <v>18</v>
      </c>
      <c r="I461" s="31"/>
      <c r="J461" s="32" t="s">
        <v>102</v>
      </c>
      <c r="K461" s="111">
        <f>ROUND(Tableau15[[#This Row],[LEN]]*7.27,0)</f>
        <v>58</v>
      </c>
      <c r="L461" s="111">
        <v>15</v>
      </c>
      <c r="M461" s="128" t="str">
        <f t="shared" si="4"/>
        <v>new</v>
      </c>
      <c r="N461" s="111">
        <f>LEN(Tableau15[[#This Row],[LABEL]])</f>
        <v>8</v>
      </c>
      <c r="O461" s="111">
        <v>15</v>
      </c>
      <c r="P461" s="111" t="e">
        <f>ROUND(Tableau15[[#This Row],[LEN]]*#REF!+#REF!,0)</f>
        <v>#REF!</v>
      </c>
    </row>
    <row r="462" spans="1:16" s="273" customFormat="1" x14ac:dyDescent="0.25">
      <c r="A462" s="288" t="s">
        <v>261</v>
      </c>
      <c r="B462" s="289" t="s">
        <v>206</v>
      </c>
      <c r="C462" s="290" t="s">
        <v>12</v>
      </c>
      <c r="D462" s="291" t="s">
        <v>1177</v>
      </c>
      <c r="E462" s="290" t="s">
        <v>675</v>
      </c>
      <c r="F462" s="290" t="s">
        <v>1177</v>
      </c>
      <c r="G462" s="291" t="s">
        <v>166</v>
      </c>
      <c r="H462" s="291" t="str">
        <f>IFERROR(IF(SEARCH(".00.00.00.00.00",Tableau15[[#This Row],[name]],1)=7,"Division",""),"")</f>
        <v>Division</v>
      </c>
      <c r="I462" s="290"/>
      <c r="J462" s="292" t="s">
        <v>721</v>
      </c>
      <c r="K462" s="293">
        <f>ROUND(Tableau15[[#This Row],[LEN]]*7.27,0)</f>
        <v>15</v>
      </c>
      <c r="L462" s="293">
        <v>15</v>
      </c>
      <c r="M462" s="294" t="str">
        <f t="shared" si="4"/>
        <v>new</v>
      </c>
      <c r="N462" s="293">
        <f>LEN(Tableau15[[#This Row],[LABEL]])</f>
        <v>2</v>
      </c>
      <c r="O462" s="293">
        <v>15</v>
      </c>
      <c r="P462" s="293" t="e">
        <f>ROUND(Tableau15[[#This Row],[LEN]]*#REF!+#REF!,0)</f>
        <v>#REF!</v>
      </c>
    </row>
    <row r="463" spans="1:16" s="97" customFormat="1" x14ac:dyDescent="0.25">
      <c r="A463" s="25" t="s">
        <v>1302</v>
      </c>
      <c r="B463" s="26" t="s">
        <v>261</v>
      </c>
      <c r="C463" s="27" t="s">
        <v>88</v>
      </c>
      <c r="D463" s="70" t="s">
        <v>1177</v>
      </c>
      <c r="E463" s="27" t="s">
        <v>667</v>
      </c>
      <c r="F463" s="27" t="s">
        <v>1218</v>
      </c>
      <c r="G463" s="70" t="s">
        <v>166</v>
      </c>
      <c r="H463" s="70" t="s">
        <v>570</v>
      </c>
      <c r="I463" s="27"/>
      <c r="J463" s="28" t="s">
        <v>708</v>
      </c>
      <c r="K463" s="109">
        <f>ROUND(Tableau15[[#This Row],[LEN]]*7.27,0)</f>
        <v>342</v>
      </c>
      <c r="L463" s="109">
        <v>15</v>
      </c>
      <c r="M463" s="127" t="str">
        <f t="shared" si="4"/>
        <v>none</v>
      </c>
      <c r="N463" s="109">
        <f>LEN(Tableau15[[#This Row],[LABEL]])</f>
        <v>47</v>
      </c>
      <c r="O463" s="109">
        <v>15</v>
      </c>
      <c r="P463" s="109" t="e">
        <f>ROUND(Tableau15[[#This Row],[LEN]]*#REF!+#REF!,0)</f>
        <v>#REF!</v>
      </c>
    </row>
    <row r="464" spans="1:16" s="97" customFormat="1" x14ac:dyDescent="0.25">
      <c r="A464" s="213" t="s">
        <v>1303</v>
      </c>
      <c r="B464" s="214" t="s">
        <v>261</v>
      </c>
      <c r="C464" s="215" t="s">
        <v>1310</v>
      </c>
      <c r="D464" s="70" t="s">
        <v>1177</v>
      </c>
      <c r="E464" s="229" t="s">
        <v>675</v>
      </c>
      <c r="F464" s="215" t="s">
        <v>678</v>
      </c>
      <c r="G464" s="70" t="s">
        <v>166</v>
      </c>
      <c r="H464" s="216" t="s">
        <v>655</v>
      </c>
      <c r="I464" s="215"/>
      <c r="J464" s="217" t="s">
        <v>708</v>
      </c>
      <c r="K464" s="218">
        <f>ROUND(Tableau15[[#This Row],[LEN]]*7.27,0)</f>
        <v>233</v>
      </c>
      <c r="L464" s="218">
        <v>15</v>
      </c>
      <c r="M464" s="219" t="str">
        <f t="shared" si="4"/>
        <v>none</v>
      </c>
      <c r="N464" s="218">
        <f>LEN(Tableau15[[#This Row],[LABEL]])</f>
        <v>32</v>
      </c>
      <c r="O464" s="218">
        <v>15</v>
      </c>
      <c r="P464" s="218" t="e">
        <f>ROUND(Tableau15[[#This Row],[LEN]]*#REF!+#REF!,0)</f>
        <v>#REF!</v>
      </c>
    </row>
    <row r="465" spans="1:16" s="97" customFormat="1" x14ac:dyDescent="0.25">
      <c r="A465" s="29" t="s">
        <v>1312</v>
      </c>
      <c r="B465" s="30" t="s">
        <v>1303</v>
      </c>
      <c r="C465" s="31" t="s">
        <v>1321</v>
      </c>
      <c r="D465" s="71" t="s">
        <v>1177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ROUND(Tableau15[[#This Row],[LEN]]*7.27,0)</f>
        <v>349</v>
      </c>
      <c r="L465" s="111">
        <v>15</v>
      </c>
      <c r="M465" s="128" t="str">
        <f t="shared" si="4"/>
        <v>none</v>
      </c>
      <c r="N465" s="111">
        <f>LEN(Tableau15[[#This Row],[LABEL]])</f>
        <v>48</v>
      </c>
      <c r="O465" s="111">
        <v>15</v>
      </c>
      <c r="P465" s="111" t="e">
        <f>ROUND(Tableau15[[#This Row],[LEN]]*#REF!+#REF!,0)</f>
        <v>#REF!</v>
      </c>
    </row>
    <row r="466" spans="1:16" s="97" customFormat="1" x14ac:dyDescent="0.25">
      <c r="A466" s="29" t="s">
        <v>1313</v>
      </c>
      <c r="B466" s="30" t="s">
        <v>1303</v>
      </c>
      <c r="C466" s="31" t="s">
        <v>1322</v>
      </c>
      <c r="D466" s="71" t="s">
        <v>1177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ROUND(Tableau15[[#This Row],[LEN]]*7.27,0)</f>
        <v>254</v>
      </c>
      <c r="L466" s="111">
        <v>15</v>
      </c>
      <c r="M466" s="128" t="str">
        <f t="shared" si="4"/>
        <v>none</v>
      </c>
      <c r="N466" s="111">
        <f>LEN(Tableau15[[#This Row],[LABEL]])</f>
        <v>35</v>
      </c>
      <c r="O466" s="111">
        <v>15</v>
      </c>
      <c r="P466" s="111" t="e">
        <f>ROUND(Tableau15[[#This Row],[LEN]]*#REF!+#REF!,0)</f>
        <v>#REF!</v>
      </c>
    </row>
    <row r="467" spans="1:16" s="97" customFormat="1" x14ac:dyDescent="0.25">
      <c r="A467" s="29" t="s">
        <v>1314</v>
      </c>
      <c r="B467" s="30" t="s">
        <v>1303</v>
      </c>
      <c r="C467" s="31" t="s">
        <v>1323</v>
      </c>
      <c r="D467" s="71" t="s">
        <v>1177</v>
      </c>
      <c r="E467" s="31" t="s">
        <v>675</v>
      </c>
      <c r="F467" s="31" t="s">
        <v>678</v>
      </c>
      <c r="G467" s="71" t="s">
        <v>166</v>
      </c>
      <c r="H467" s="71" t="s">
        <v>654</v>
      </c>
      <c r="I467" s="31"/>
      <c r="J467" s="32" t="s">
        <v>708</v>
      </c>
      <c r="K467" s="111">
        <f>ROUND(Tableau15[[#This Row],[LEN]]*7.27,0)</f>
        <v>320</v>
      </c>
      <c r="L467" s="111">
        <v>15</v>
      </c>
      <c r="M467" s="128" t="str">
        <f t="shared" si="4"/>
        <v>none</v>
      </c>
      <c r="N467" s="111">
        <f>LEN(Tableau15[[#This Row],[LABEL]])</f>
        <v>44</v>
      </c>
      <c r="O467" s="111">
        <v>15</v>
      </c>
      <c r="P467" s="111" t="e">
        <f>ROUND(Tableau15[[#This Row],[LEN]]*#REF!+#REF!,0)</f>
        <v>#REF!</v>
      </c>
    </row>
    <row r="468" spans="1:16" s="97" customFormat="1" x14ac:dyDescent="0.25">
      <c r="A468" s="235" t="s">
        <v>1304</v>
      </c>
      <c r="B468" s="237" t="s">
        <v>261</v>
      </c>
      <c r="C468" s="236" t="s">
        <v>1007</v>
      </c>
      <c r="D468" s="70" t="s">
        <v>1177</v>
      </c>
      <c r="E468" s="229" t="s">
        <v>675</v>
      </c>
      <c r="F468" s="215" t="s">
        <v>1177</v>
      </c>
      <c r="G468" s="70" t="s">
        <v>166</v>
      </c>
      <c r="H468" s="230" t="s">
        <v>655</v>
      </c>
      <c r="I468" s="229"/>
      <c r="J468" s="231" t="s">
        <v>708</v>
      </c>
      <c r="K468" s="232">
        <f>ROUND(Tableau15[[#This Row],[LEN]]*7.27,0)</f>
        <v>305</v>
      </c>
      <c r="L468" s="232">
        <v>15</v>
      </c>
      <c r="M468" s="233" t="str">
        <f t="shared" si="4"/>
        <v>none</v>
      </c>
      <c r="N468" s="232">
        <f>LEN(Tableau15[[#This Row],[LABEL]])</f>
        <v>42</v>
      </c>
      <c r="O468" s="232">
        <v>15</v>
      </c>
      <c r="P468" s="234" t="e">
        <f>ROUND(Tableau15[[#This Row],[LEN]]*#REF!+#REF!,0)</f>
        <v>#REF!</v>
      </c>
    </row>
    <row r="469" spans="1:16" s="97" customFormat="1" x14ac:dyDescent="0.25">
      <c r="A469" s="29" t="s">
        <v>1315</v>
      </c>
      <c r="B469" s="30" t="s">
        <v>1304</v>
      </c>
      <c r="C469" s="31" t="s">
        <v>1324</v>
      </c>
      <c r="D469" s="71" t="s">
        <v>1177</v>
      </c>
      <c r="E469" s="31" t="s">
        <v>675</v>
      </c>
      <c r="F469" s="31" t="s">
        <v>1177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ROUND(Tableau15[[#This Row],[LEN]]*7.27,0)</f>
        <v>218</v>
      </c>
      <c r="L469" s="111">
        <v>15</v>
      </c>
      <c r="M469" s="128" t="str">
        <f t="shared" si="4"/>
        <v>none</v>
      </c>
      <c r="N469" s="111">
        <f>LEN(Tableau15[[#This Row],[LABEL]])</f>
        <v>30</v>
      </c>
      <c r="O469" s="111">
        <v>15</v>
      </c>
      <c r="P469" s="111" t="e">
        <f>ROUND(Tableau15[[#This Row],[LEN]]*#REF!+#REF!,0)</f>
        <v>#REF!</v>
      </c>
    </row>
    <row r="470" spans="1:16" s="97" customFormat="1" x14ac:dyDescent="0.25">
      <c r="A470" s="29" t="s">
        <v>1316</v>
      </c>
      <c r="B470" s="30" t="s">
        <v>1304</v>
      </c>
      <c r="C470" s="31" t="s">
        <v>1013</v>
      </c>
      <c r="D470" s="71" t="s">
        <v>1177</v>
      </c>
      <c r="E470" s="31" t="s">
        <v>675</v>
      </c>
      <c r="F470" s="31" t="s">
        <v>1177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ROUND(Tableau15[[#This Row],[LEN]]*7.27,0)</f>
        <v>284</v>
      </c>
      <c r="L470" s="111">
        <v>15</v>
      </c>
      <c r="M470" s="128" t="str">
        <f t="shared" si="4"/>
        <v>none</v>
      </c>
      <c r="N470" s="111">
        <f>LEN(Tableau15[[#This Row],[LABEL]])</f>
        <v>39</v>
      </c>
      <c r="O470" s="111">
        <v>15</v>
      </c>
      <c r="P470" s="111" t="e">
        <f>ROUND(Tableau15[[#This Row],[LEN]]*#REF!+#REF!,0)</f>
        <v>#REF!</v>
      </c>
    </row>
    <row r="471" spans="1:16" s="97" customFormat="1" x14ac:dyDescent="0.25">
      <c r="A471" s="29" t="s">
        <v>1317</v>
      </c>
      <c r="B471" s="30" t="s">
        <v>1304</v>
      </c>
      <c r="C471" s="31" t="s">
        <v>1014</v>
      </c>
      <c r="D471" s="71" t="s">
        <v>1177</v>
      </c>
      <c r="E471" s="31" t="s">
        <v>675</v>
      </c>
      <c r="F471" s="31" t="s">
        <v>1177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ROUND(Tableau15[[#This Row],[LEN]]*7.27,0)</f>
        <v>327</v>
      </c>
      <c r="L471" s="111">
        <v>15</v>
      </c>
      <c r="M471" s="128" t="str">
        <f t="shared" si="4"/>
        <v>none</v>
      </c>
      <c r="N471" s="111">
        <f>LEN(Tableau15[[#This Row],[LABEL]])</f>
        <v>45</v>
      </c>
      <c r="O471" s="111">
        <v>15</v>
      </c>
      <c r="P471" s="111" t="e">
        <f>ROUND(Tableau15[[#This Row],[LEN]]*#REF!+#REF!,0)</f>
        <v>#REF!</v>
      </c>
    </row>
    <row r="472" spans="1:16" s="97" customFormat="1" x14ac:dyDescent="0.25">
      <c r="A472" s="29" t="s">
        <v>1318</v>
      </c>
      <c r="B472" s="30" t="s">
        <v>1304</v>
      </c>
      <c r="C472" s="31" t="s">
        <v>1325</v>
      </c>
      <c r="D472" s="71" t="s">
        <v>1177</v>
      </c>
      <c r="E472" s="31" t="s">
        <v>675</v>
      </c>
      <c r="F472" s="31" t="s">
        <v>1177</v>
      </c>
      <c r="G472" s="71" t="s">
        <v>166</v>
      </c>
      <c r="H472" s="71" t="s">
        <v>654</v>
      </c>
      <c r="I472" s="31"/>
      <c r="J472" s="32" t="s">
        <v>708</v>
      </c>
      <c r="K472" s="111">
        <f>ROUND(Tableau15[[#This Row],[LEN]]*7.27,0)</f>
        <v>327</v>
      </c>
      <c r="L472" s="111">
        <v>15</v>
      </c>
      <c r="M472" s="128" t="str">
        <f t="shared" si="4"/>
        <v>none</v>
      </c>
      <c r="N472" s="111">
        <f>LEN(Tableau15[[#This Row],[LABEL]])</f>
        <v>45</v>
      </c>
      <c r="O472" s="111">
        <v>15</v>
      </c>
      <c r="P472" s="111" t="e">
        <f>ROUND(Tableau15[[#This Row],[LEN]]*#REF!+#REF!,0)</f>
        <v>#REF!</v>
      </c>
    </row>
    <row r="473" spans="1:16" s="97" customFormat="1" x14ac:dyDescent="0.25">
      <c r="A473" s="227" t="s">
        <v>1305</v>
      </c>
      <c r="B473" s="228" t="s">
        <v>261</v>
      </c>
      <c r="C473" s="229" t="s">
        <v>1311</v>
      </c>
      <c r="D473" s="70" t="s">
        <v>1177</v>
      </c>
      <c r="E473" s="229" t="s">
        <v>675</v>
      </c>
      <c r="F473" s="215" t="s">
        <v>1177</v>
      </c>
      <c r="G473" s="70" t="s">
        <v>166</v>
      </c>
      <c r="H473" s="230" t="s">
        <v>655</v>
      </c>
      <c r="I473" s="229"/>
      <c r="J473" s="231" t="s">
        <v>708</v>
      </c>
      <c r="K473" s="232">
        <f>ROUND(Tableau15[[#This Row],[LEN]]*7.27,0)</f>
        <v>211</v>
      </c>
      <c r="L473" s="232">
        <v>15</v>
      </c>
      <c r="M473" s="233" t="str">
        <f t="shared" si="4"/>
        <v>none</v>
      </c>
      <c r="N473" s="232">
        <f>LEN(Tableau15[[#This Row],[LABEL]])</f>
        <v>29</v>
      </c>
      <c r="O473" s="232">
        <v>15</v>
      </c>
      <c r="P473" s="234" t="e">
        <f>ROUND(Tableau15[[#This Row],[LEN]]*#REF!+#REF!,0)</f>
        <v>#REF!</v>
      </c>
    </row>
    <row r="474" spans="1:16" s="97" customFormat="1" x14ac:dyDescent="0.25">
      <c r="A474" s="29" t="s">
        <v>1319</v>
      </c>
      <c r="B474" s="30" t="s">
        <v>1305</v>
      </c>
      <c r="C474" s="31" t="s">
        <v>1326</v>
      </c>
      <c r="D474" s="71" t="s">
        <v>1177</v>
      </c>
      <c r="E474" s="31" t="s">
        <v>675</v>
      </c>
      <c r="F474" s="31" t="s">
        <v>1177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ROUND(Tableau15[[#This Row],[LEN]]*7.27,0)</f>
        <v>480</v>
      </c>
      <c r="L474" s="111">
        <v>15</v>
      </c>
      <c r="M474" s="128" t="str">
        <f t="shared" si="4"/>
        <v>none</v>
      </c>
      <c r="N474" s="111">
        <f>LEN(Tableau15[[#This Row],[LABEL]])</f>
        <v>66</v>
      </c>
      <c r="O474" s="111">
        <v>15</v>
      </c>
      <c r="P474" s="111" t="e">
        <f>ROUND(Tableau15[[#This Row],[LEN]]*#REF!+#REF!,0)</f>
        <v>#REF!</v>
      </c>
    </row>
    <row r="475" spans="1:16" s="97" customFormat="1" x14ac:dyDescent="0.25">
      <c r="A475" s="29" t="s">
        <v>1320</v>
      </c>
      <c r="B475" s="30" t="s">
        <v>1305</v>
      </c>
      <c r="C475" s="31" t="s">
        <v>1327</v>
      </c>
      <c r="D475" s="71" t="s">
        <v>1328</v>
      </c>
      <c r="E475" s="31" t="s">
        <v>675</v>
      </c>
      <c r="F475" s="31" t="s">
        <v>1177</v>
      </c>
      <c r="G475" s="71" t="s">
        <v>166</v>
      </c>
      <c r="H475" s="71" t="s">
        <v>654</v>
      </c>
      <c r="I475" s="31"/>
      <c r="J475" s="32" t="s">
        <v>708</v>
      </c>
      <c r="K475" s="111">
        <f>ROUND(Tableau15[[#This Row],[LEN]]*7.27,0)</f>
        <v>254</v>
      </c>
      <c r="L475" s="111">
        <v>15</v>
      </c>
      <c r="M475" s="128" t="str">
        <f t="shared" si="4"/>
        <v>none</v>
      </c>
      <c r="N475" s="111">
        <f>LEN(Tableau15[[#This Row],[LABEL]])</f>
        <v>35</v>
      </c>
      <c r="O475" s="111">
        <v>15</v>
      </c>
      <c r="P475" s="111" t="e">
        <f>ROUND(Tableau15[[#This Row],[LEN]]*#REF!+#REF!,0)</f>
        <v>#REF!</v>
      </c>
    </row>
    <row r="476" spans="1:16" s="97" customFormat="1" x14ac:dyDescent="0.25">
      <c r="A476" s="220" t="s">
        <v>1306</v>
      </c>
      <c r="B476" s="221" t="s">
        <v>261</v>
      </c>
      <c r="C476" s="222" t="s">
        <v>1405</v>
      </c>
      <c r="D476" s="70" t="s">
        <v>1177</v>
      </c>
      <c r="E476" s="229" t="s">
        <v>675</v>
      </c>
      <c r="F476" s="215" t="s">
        <v>678</v>
      </c>
      <c r="G476" s="70" t="s">
        <v>166</v>
      </c>
      <c r="H476" s="223" t="s">
        <v>656</v>
      </c>
      <c r="I476" s="222"/>
      <c r="J476" s="224" t="s">
        <v>708</v>
      </c>
      <c r="K476" s="225">
        <f>ROUND(Tableau15[[#This Row],[LEN]]*7.27,0)</f>
        <v>443</v>
      </c>
      <c r="L476" s="225">
        <v>15</v>
      </c>
      <c r="M476" s="226" t="str">
        <f t="shared" si="4"/>
        <v>none</v>
      </c>
      <c r="N476" s="225">
        <f>LEN(Tableau15[[#This Row],[LABEL]])</f>
        <v>61</v>
      </c>
      <c r="O476" s="225">
        <v>15</v>
      </c>
      <c r="P476" s="225" t="e">
        <f>ROUND(Tableau15[[#This Row],[LEN]]*#REF!+#REF!,0)</f>
        <v>#REF!</v>
      </c>
    </row>
    <row r="477" spans="1:16" s="97" customFormat="1" x14ac:dyDescent="0.25">
      <c r="A477" s="25" t="s">
        <v>1307</v>
      </c>
      <c r="B477" s="26" t="s">
        <v>261</v>
      </c>
      <c r="C477" s="27" t="s">
        <v>1167</v>
      </c>
      <c r="D477" s="70" t="s">
        <v>486</v>
      </c>
      <c r="E477" s="27" t="s">
        <v>1085</v>
      </c>
      <c r="F477" s="27" t="s">
        <v>1084</v>
      </c>
      <c r="G477" s="70" t="s">
        <v>1977</v>
      </c>
      <c r="H477" s="70" t="s">
        <v>1131</v>
      </c>
      <c r="I477" s="27"/>
      <c r="J477" s="28" t="s">
        <v>708</v>
      </c>
      <c r="K477" s="109">
        <f>ROUND(Tableau15[[#This Row],[LEN]]*7.27,0)</f>
        <v>196</v>
      </c>
      <c r="L477" s="109">
        <v>15</v>
      </c>
      <c r="M477" s="127" t="str">
        <f t="shared" si="4"/>
        <v>none</v>
      </c>
      <c r="N477" s="109">
        <f>LEN(Tableau15[[#This Row],[LABEL]])</f>
        <v>27</v>
      </c>
      <c r="O477" s="109">
        <v>15</v>
      </c>
      <c r="P477" s="109" t="e">
        <f>ROUND(Tableau15[[#This Row],[LEN]]*#REF!+#REF!,0)</f>
        <v>#REF!</v>
      </c>
    </row>
    <row r="478" spans="1:16" s="97" customFormat="1" x14ac:dyDescent="0.25">
      <c r="A478" s="29" t="s">
        <v>1308</v>
      </c>
      <c r="B478" s="30" t="s">
        <v>1307</v>
      </c>
      <c r="C478" s="31" t="s">
        <v>93</v>
      </c>
      <c r="D478" s="71" t="s">
        <v>1177</v>
      </c>
      <c r="E478" s="31" t="s">
        <v>1085</v>
      </c>
      <c r="F478" s="31" t="s">
        <v>1084</v>
      </c>
      <c r="G478" s="71" t="s">
        <v>166</v>
      </c>
      <c r="H478" s="71" t="s">
        <v>18</v>
      </c>
      <c r="I478" s="31"/>
      <c r="J478" s="32" t="s">
        <v>101</v>
      </c>
      <c r="K478" s="111">
        <f>ROUND(Tableau15[[#This Row],[LEN]]*7.27,0)</f>
        <v>109</v>
      </c>
      <c r="L478" s="111">
        <v>15</v>
      </c>
      <c r="M478" s="128" t="str">
        <f t="shared" si="4"/>
        <v>new</v>
      </c>
      <c r="N478" s="111">
        <f>LEN(Tableau15[[#This Row],[LABEL]])</f>
        <v>15</v>
      </c>
      <c r="O478" s="111">
        <v>15</v>
      </c>
      <c r="P478" s="111" t="e">
        <f>ROUND(Tableau15[[#This Row],[LEN]]*#REF!+#REF!,0)</f>
        <v>#REF!</v>
      </c>
    </row>
    <row r="479" spans="1:16" s="97" customFormat="1" x14ac:dyDescent="0.25">
      <c r="A479" s="29" t="s">
        <v>1309</v>
      </c>
      <c r="B479" s="30" t="s">
        <v>1307</v>
      </c>
      <c r="C479" s="31" t="s">
        <v>94</v>
      </c>
      <c r="D479" s="71" t="s">
        <v>1177</v>
      </c>
      <c r="E479" s="31" t="s">
        <v>1085</v>
      </c>
      <c r="F479" s="31" t="s">
        <v>1084</v>
      </c>
      <c r="G479" s="71" t="s">
        <v>166</v>
      </c>
      <c r="H479" s="71" t="s">
        <v>18</v>
      </c>
      <c r="I479" s="31"/>
      <c r="J479" s="32" t="s">
        <v>102</v>
      </c>
      <c r="K479" s="111">
        <f>ROUND(Tableau15[[#This Row],[LEN]]*7.27,0)</f>
        <v>58</v>
      </c>
      <c r="L479" s="111">
        <v>15</v>
      </c>
      <c r="M479" s="128" t="str">
        <f t="shared" si="4"/>
        <v>new</v>
      </c>
      <c r="N479" s="111">
        <f>LEN(Tableau15[[#This Row],[LABEL]])</f>
        <v>8</v>
      </c>
      <c r="O479" s="111">
        <v>15</v>
      </c>
      <c r="P479" s="111" t="e">
        <f>ROUND(Tableau15[[#This Row],[LEN]]*#REF!+#REF!,0)</f>
        <v>#REF!</v>
      </c>
    </row>
    <row r="480" spans="1:16" s="273" customFormat="1" x14ac:dyDescent="0.25">
      <c r="A480" s="288" t="s">
        <v>262</v>
      </c>
      <c r="B480" s="289" t="s">
        <v>206</v>
      </c>
      <c r="C480" s="290" t="s">
        <v>71</v>
      </c>
      <c r="D480" s="291" t="s">
        <v>1177</v>
      </c>
      <c r="E480" s="290" t="s">
        <v>676</v>
      </c>
      <c r="F480" s="290" t="s">
        <v>1177</v>
      </c>
      <c r="G480" s="291" t="s">
        <v>166</v>
      </c>
      <c r="H480" s="291" t="str">
        <f>IFERROR(IF(SEARCH(".00.00.00.00.00",Tableau15[[#This Row],[name]],1)=7,"Division",""),"")</f>
        <v>Division</v>
      </c>
      <c r="I480" s="290"/>
      <c r="J480" s="292" t="s">
        <v>722</v>
      </c>
      <c r="K480" s="293">
        <f>ROUND(Tableau15[[#This Row],[LEN]]*7.27,0)</f>
        <v>29</v>
      </c>
      <c r="L480" s="293">
        <v>15</v>
      </c>
      <c r="M480" s="294" t="str">
        <f t="shared" si="4"/>
        <v>new</v>
      </c>
      <c r="N480" s="293">
        <f>LEN(Tableau15[[#This Row],[LABEL]])</f>
        <v>4</v>
      </c>
      <c r="O480" s="293">
        <v>15</v>
      </c>
      <c r="P480" s="293" t="e">
        <f>ROUND(Tableau15[[#This Row],[LEN]]*#REF!+#REF!,0)</f>
        <v>#REF!</v>
      </c>
    </row>
    <row r="481" spans="1:16" s="97" customFormat="1" x14ac:dyDescent="0.25">
      <c r="A481" s="220" t="s">
        <v>1329</v>
      </c>
      <c r="B481" s="221" t="s">
        <v>262</v>
      </c>
      <c r="C481" s="222" t="s">
        <v>1337</v>
      </c>
      <c r="D481" s="70" t="s">
        <v>1338</v>
      </c>
      <c r="E481" s="229" t="s">
        <v>676</v>
      </c>
      <c r="F481" s="215" t="s">
        <v>1339</v>
      </c>
      <c r="G481" s="70" t="s">
        <v>166</v>
      </c>
      <c r="H481" s="223" t="s">
        <v>656</v>
      </c>
      <c r="I481" s="222"/>
      <c r="J481" s="224" t="s">
        <v>708</v>
      </c>
      <c r="K481" s="225">
        <f>ROUND(Tableau15[[#This Row],[LEN]]*7.27,0)</f>
        <v>378</v>
      </c>
      <c r="L481" s="225">
        <v>15</v>
      </c>
      <c r="M481" s="226" t="str">
        <f t="shared" si="4"/>
        <v>none</v>
      </c>
      <c r="N481" s="225">
        <f>LEN(Tableau15[[#This Row],[LABEL]])</f>
        <v>52</v>
      </c>
      <c r="O481" s="225">
        <v>15</v>
      </c>
      <c r="P481" s="225" t="e">
        <f>ROUND(Tableau15[[#This Row],[LEN]]*#REF!+#REF!,0)</f>
        <v>#REF!</v>
      </c>
    </row>
    <row r="482" spans="1:16" s="97" customFormat="1" x14ac:dyDescent="0.25">
      <c r="A482" s="220" t="s">
        <v>1330</v>
      </c>
      <c r="B482" s="221" t="s">
        <v>262</v>
      </c>
      <c r="C482" s="222" t="s">
        <v>88</v>
      </c>
      <c r="D482" s="70" t="s">
        <v>1177</v>
      </c>
      <c r="E482" s="229" t="s">
        <v>667</v>
      </c>
      <c r="F482" s="215" t="s">
        <v>1218</v>
      </c>
      <c r="G482" s="70" t="s">
        <v>166</v>
      </c>
      <c r="H482" s="223" t="s">
        <v>570</v>
      </c>
      <c r="I482" s="222"/>
      <c r="J482" s="224" t="s">
        <v>708</v>
      </c>
      <c r="K482" s="225">
        <f>ROUND(Tableau15[[#This Row],[LEN]]*7.27,0)</f>
        <v>342</v>
      </c>
      <c r="L482" s="225">
        <v>15</v>
      </c>
      <c r="M482" s="226" t="str">
        <f t="shared" si="4"/>
        <v>none</v>
      </c>
      <c r="N482" s="225">
        <f>LEN(Tableau15[[#This Row],[LABEL]])</f>
        <v>47</v>
      </c>
      <c r="O482" s="225">
        <v>15</v>
      </c>
      <c r="P482" s="225" t="e">
        <f>ROUND(Tableau15[[#This Row],[LEN]]*#REF!+#REF!,0)</f>
        <v>#REF!</v>
      </c>
    </row>
    <row r="483" spans="1:16" s="97" customFormat="1" x14ac:dyDescent="0.25">
      <c r="A483" s="220" t="s">
        <v>1331</v>
      </c>
      <c r="B483" s="221" t="s">
        <v>262</v>
      </c>
      <c r="C483" s="222" t="s">
        <v>484</v>
      </c>
      <c r="D483" s="70" t="s">
        <v>1177</v>
      </c>
      <c r="E483" s="229" t="s">
        <v>672</v>
      </c>
      <c r="F483" s="215" t="s">
        <v>1285</v>
      </c>
      <c r="G483" s="70" t="s">
        <v>166</v>
      </c>
      <c r="H483" s="223" t="s">
        <v>655</v>
      </c>
      <c r="I483" s="222"/>
      <c r="J483" s="224" t="s">
        <v>727</v>
      </c>
      <c r="K483" s="225">
        <f>ROUND(Tableau15[[#This Row],[LEN]]*7.27,0)</f>
        <v>80</v>
      </c>
      <c r="L483" s="225">
        <v>15</v>
      </c>
      <c r="M483" s="226" t="str">
        <f t="shared" si="4"/>
        <v>new</v>
      </c>
      <c r="N483" s="225">
        <f>LEN(Tableau15[[#This Row],[LABEL]])</f>
        <v>11</v>
      </c>
      <c r="O483" s="225">
        <v>15</v>
      </c>
      <c r="P483" s="225" t="e">
        <f>ROUND(Tableau15[[#This Row],[LEN]]*#REF!+#REF!,0)</f>
        <v>#REF!</v>
      </c>
    </row>
    <row r="484" spans="1:16" s="97" customFormat="1" x14ac:dyDescent="0.25">
      <c r="A484" s="29" t="s">
        <v>1340</v>
      </c>
      <c r="B484" s="30" t="s">
        <v>1331</v>
      </c>
      <c r="C484" s="31" t="s">
        <v>505</v>
      </c>
      <c r="D484" s="71" t="s">
        <v>1177</v>
      </c>
      <c r="E484" s="31" t="s">
        <v>672</v>
      </c>
      <c r="F484" s="31" t="s">
        <v>1285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ROUND(Tableau15[[#This Row],[LEN]]*7.27,0)</f>
        <v>73</v>
      </c>
      <c r="L484" s="111">
        <v>15</v>
      </c>
      <c r="M484" s="128" t="str">
        <f t="shared" si="4"/>
        <v>new</v>
      </c>
      <c r="N484" s="111">
        <f>LEN(Tableau15[[#This Row],[LABEL]])</f>
        <v>10</v>
      </c>
      <c r="O484" s="111">
        <v>15</v>
      </c>
      <c r="P484" s="111" t="e">
        <f>ROUND(Tableau15[[#This Row],[LEN]]*#REF!+#REF!,0)</f>
        <v>#REF!</v>
      </c>
    </row>
    <row r="485" spans="1:16" s="97" customFormat="1" x14ac:dyDescent="0.25">
      <c r="A485" s="29" t="s">
        <v>1341</v>
      </c>
      <c r="B485" s="30" t="s">
        <v>1331</v>
      </c>
      <c r="C485" s="31" t="s">
        <v>1284</v>
      </c>
      <c r="D485" s="71" t="s">
        <v>1177</v>
      </c>
      <c r="E485" s="31" t="s">
        <v>672</v>
      </c>
      <c r="F485" s="31" t="s">
        <v>1285</v>
      </c>
      <c r="G485" s="71" t="s">
        <v>166</v>
      </c>
      <c r="H485" s="71" t="s">
        <v>18</v>
      </c>
      <c r="I485" s="31"/>
      <c r="J485" s="32" t="s">
        <v>705</v>
      </c>
      <c r="K485" s="111">
        <f>ROUND(Tableau15[[#This Row],[LEN]]*7.27,0)</f>
        <v>153</v>
      </c>
      <c r="L485" s="111">
        <v>15</v>
      </c>
      <c r="M485" s="128" t="str">
        <f t="shared" si="4"/>
        <v>new</v>
      </c>
      <c r="N485" s="111">
        <f>LEN(Tableau15[[#This Row],[LABEL]])</f>
        <v>21</v>
      </c>
      <c r="O485" s="111">
        <v>15</v>
      </c>
      <c r="P485" s="111" t="e">
        <f>ROUND(Tableau15[[#This Row],[LEN]]*#REF!+#REF!,0)</f>
        <v>#REF!</v>
      </c>
    </row>
    <row r="486" spans="1:16" s="97" customFormat="1" x14ac:dyDescent="0.25">
      <c r="A486" s="220" t="s">
        <v>1332</v>
      </c>
      <c r="B486" s="221" t="s">
        <v>262</v>
      </c>
      <c r="C486" s="222" t="s">
        <v>1342</v>
      </c>
      <c r="D486" s="70" t="s">
        <v>1177</v>
      </c>
      <c r="E486" s="229" t="s">
        <v>676</v>
      </c>
      <c r="F486" s="215" t="s">
        <v>1177</v>
      </c>
      <c r="G486" s="70" t="s">
        <v>166</v>
      </c>
      <c r="H486" s="223" t="s">
        <v>656</v>
      </c>
      <c r="I486" s="222"/>
      <c r="J486" s="224" t="s">
        <v>708</v>
      </c>
      <c r="K486" s="225">
        <f>ROUND(Tableau15[[#This Row],[LEN]]*7.27,0)</f>
        <v>473</v>
      </c>
      <c r="L486" s="225">
        <v>15</v>
      </c>
      <c r="M486" s="226" t="str">
        <f t="shared" si="4"/>
        <v>none</v>
      </c>
      <c r="N486" s="225">
        <f>LEN(Tableau15[[#This Row],[LABEL]])</f>
        <v>65</v>
      </c>
      <c r="O486" s="225">
        <v>15</v>
      </c>
      <c r="P486" s="225" t="e">
        <f>ROUND(Tableau15[[#This Row],[LEN]]*#REF!+#REF!,0)</f>
        <v>#REF!</v>
      </c>
    </row>
    <row r="487" spans="1:16" s="97" customFormat="1" x14ac:dyDescent="0.25">
      <c r="A487" s="220" t="s">
        <v>1333</v>
      </c>
      <c r="B487" s="221" t="s">
        <v>262</v>
      </c>
      <c r="C487" s="222" t="s">
        <v>1343</v>
      </c>
      <c r="D487" s="70" t="s">
        <v>1177</v>
      </c>
      <c r="E487" s="229" t="s">
        <v>676</v>
      </c>
      <c r="F487" s="215" t="s">
        <v>1339</v>
      </c>
      <c r="G487" s="70" t="s">
        <v>166</v>
      </c>
      <c r="H487" s="223" t="s">
        <v>654</v>
      </c>
      <c r="I487" s="222"/>
      <c r="J487" s="224" t="s">
        <v>708</v>
      </c>
      <c r="K487" s="225">
        <f>ROUND(Tableau15[[#This Row],[LEN]]*7.27,0)</f>
        <v>269</v>
      </c>
      <c r="L487" s="225">
        <v>15</v>
      </c>
      <c r="M487" s="226" t="str">
        <f t="shared" si="4"/>
        <v>none</v>
      </c>
      <c r="N487" s="225">
        <f>LEN(Tableau15[[#This Row],[LABEL]])</f>
        <v>37</v>
      </c>
      <c r="O487" s="225">
        <v>15</v>
      </c>
      <c r="P487" s="225" t="e">
        <f>ROUND(Tableau15[[#This Row],[LEN]]*#REF!+#REF!,0)</f>
        <v>#REF!</v>
      </c>
    </row>
    <row r="488" spans="1:16" s="97" customFormat="1" x14ac:dyDescent="0.25">
      <c r="A488" s="220" t="s">
        <v>1334</v>
      </c>
      <c r="B488" s="221" t="s">
        <v>262</v>
      </c>
      <c r="C488" s="222" t="s">
        <v>1154</v>
      </c>
      <c r="D488" s="70" t="s">
        <v>1177</v>
      </c>
      <c r="E488" s="229" t="s">
        <v>667</v>
      </c>
      <c r="F488" s="215" t="s">
        <v>1133</v>
      </c>
      <c r="G488" s="70" t="s">
        <v>166</v>
      </c>
      <c r="H488" s="223" t="s">
        <v>18</v>
      </c>
      <c r="I488" s="222"/>
      <c r="J488" s="224" t="s">
        <v>102</v>
      </c>
      <c r="K488" s="225">
        <f>ROUND(Tableau15[[#This Row],[LEN]]*7.27,0)</f>
        <v>443</v>
      </c>
      <c r="L488" s="225">
        <v>15</v>
      </c>
      <c r="M488" s="226" t="str">
        <f t="shared" si="4"/>
        <v>new</v>
      </c>
      <c r="N488" s="225">
        <f>LEN(Tableau15[[#This Row],[LABEL]])</f>
        <v>61</v>
      </c>
      <c r="O488" s="225">
        <v>15</v>
      </c>
      <c r="P488" s="225" t="e">
        <f>ROUND(Tableau15[[#This Row],[LEN]]*#REF!+#REF!,0)</f>
        <v>#REF!</v>
      </c>
    </row>
    <row r="489" spans="1:16" s="97" customFormat="1" x14ac:dyDescent="0.25">
      <c r="A489" s="220" t="s">
        <v>1335</v>
      </c>
      <c r="B489" s="221" t="s">
        <v>262</v>
      </c>
      <c r="C489" s="222" t="s">
        <v>778</v>
      </c>
      <c r="D489" s="70" t="s">
        <v>1177</v>
      </c>
      <c r="E489" s="229" t="s">
        <v>673</v>
      </c>
      <c r="F489" s="27" t="s">
        <v>2000</v>
      </c>
      <c r="G489" s="70" t="s">
        <v>166</v>
      </c>
      <c r="H489" s="223" t="s">
        <v>17</v>
      </c>
      <c r="I489" s="222"/>
      <c r="J489" s="224" t="s">
        <v>708</v>
      </c>
      <c r="K489" s="225">
        <f>ROUND(Tableau15[[#This Row],[LEN]]*7.27,0)</f>
        <v>211</v>
      </c>
      <c r="L489" s="225">
        <v>15</v>
      </c>
      <c r="M489" s="226" t="str">
        <f t="shared" si="4"/>
        <v>none</v>
      </c>
      <c r="N489" s="225">
        <f>LEN(Tableau15[[#This Row],[LABEL]])</f>
        <v>29</v>
      </c>
      <c r="O489" s="225">
        <v>15</v>
      </c>
      <c r="P489" s="225" t="e">
        <f>ROUND(Tableau15[[#This Row],[LEN]]*#REF!+#REF!,0)</f>
        <v>#REF!</v>
      </c>
    </row>
    <row r="490" spans="1:16" s="97" customFormat="1" x14ac:dyDescent="0.25">
      <c r="A490" s="220" t="s">
        <v>1336</v>
      </c>
      <c r="B490" s="221" t="s">
        <v>262</v>
      </c>
      <c r="C490" s="222" t="s">
        <v>1167</v>
      </c>
      <c r="D490" s="70" t="s">
        <v>486</v>
      </c>
      <c r="E490" s="229" t="s">
        <v>1085</v>
      </c>
      <c r="F490" s="215" t="s">
        <v>1084</v>
      </c>
      <c r="G490" s="70" t="s">
        <v>1977</v>
      </c>
      <c r="H490" s="223" t="s">
        <v>1131</v>
      </c>
      <c r="I490" s="222"/>
      <c r="J490" s="224" t="s">
        <v>708</v>
      </c>
      <c r="K490" s="225">
        <f>ROUND(Tableau15[[#This Row],[LEN]]*7.27,0)</f>
        <v>196</v>
      </c>
      <c r="L490" s="225">
        <v>15</v>
      </c>
      <c r="M490" s="226" t="str">
        <f t="shared" si="4"/>
        <v>none</v>
      </c>
      <c r="N490" s="225">
        <f>LEN(Tableau15[[#This Row],[LABEL]])</f>
        <v>27</v>
      </c>
      <c r="O490" s="225">
        <v>15</v>
      </c>
      <c r="P490" s="225" t="e">
        <f>ROUND(Tableau15[[#This Row],[LEN]]*#REF!+#REF!,0)</f>
        <v>#REF!</v>
      </c>
    </row>
    <row r="491" spans="1:16" s="97" customFormat="1" x14ac:dyDescent="0.25">
      <c r="A491" s="29" t="s">
        <v>1344</v>
      </c>
      <c r="B491" s="30" t="s">
        <v>1336</v>
      </c>
      <c r="C491" s="31" t="s">
        <v>93</v>
      </c>
      <c r="D491" s="71" t="s">
        <v>1177</v>
      </c>
      <c r="E491" s="31" t="s">
        <v>1085</v>
      </c>
      <c r="F491" s="31" t="s">
        <v>1084</v>
      </c>
      <c r="G491" s="71" t="s">
        <v>166</v>
      </c>
      <c r="H491" s="71" t="s">
        <v>18</v>
      </c>
      <c r="I491" s="31"/>
      <c r="J491" s="32" t="s">
        <v>101</v>
      </c>
      <c r="K491" s="111">
        <f>ROUND(Tableau15[[#This Row],[LEN]]*7.27,0)</f>
        <v>109</v>
      </c>
      <c r="L491" s="111">
        <v>15</v>
      </c>
      <c r="M491" s="128" t="str">
        <f t="shared" si="4"/>
        <v>new</v>
      </c>
      <c r="N491" s="111">
        <f>LEN(Tableau15[[#This Row],[LABEL]])</f>
        <v>15</v>
      </c>
      <c r="O491" s="111">
        <v>15</v>
      </c>
      <c r="P491" s="111" t="e">
        <f>ROUND(Tableau15[[#This Row],[LEN]]*#REF!+#REF!,0)</f>
        <v>#REF!</v>
      </c>
    </row>
    <row r="492" spans="1:16" s="97" customFormat="1" x14ac:dyDescent="0.25">
      <c r="A492" s="29" t="s">
        <v>1345</v>
      </c>
      <c r="B492" s="30" t="s">
        <v>1336</v>
      </c>
      <c r="C492" s="31" t="s">
        <v>94</v>
      </c>
      <c r="D492" s="71" t="s">
        <v>1177</v>
      </c>
      <c r="E492" s="31" t="s">
        <v>1085</v>
      </c>
      <c r="F492" s="31" t="s">
        <v>1084</v>
      </c>
      <c r="G492" s="71" t="s">
        <v>166</v>
      </c>
      <c r="H492" s="71" t="s">
        <v>18</v>
      </c>
      <c r="I492" s="31"/>
      <c r="J492" s="32" t="s">
        <v>102</v>
      </c>
      <c r="K492" s="111">
        <f>ROUND(Tableau15[[#This Row],[LEN]]*7.27,0)</f>
        <v>58</v>
      </c>
      <c r="L492" s="111">
        <v>15</v>
      </c>
      <c r="M492" s="128" t="str">
        <f t="shared" si="4"/>
        <v>new</v>
      </c>
      <c r="N492" s="111">
        <f>LEN(Tableau15[[#This Row],[LABEL]])</f>
        <v>8</v>
      </c>
      <c r="O492" s="111">
        <v>15</v>
      </c>
      <c r="P492" s="111" t="e">
        <f>ROUND(Tableau15[[#This Row],[LEN]]*#REF!+#REF!,0)</f>
        <v>#REF!</v>
      </c>
    </row>
    <row r="493" spans="1:16" s="273" customFormat="1" x14ac:dyDescent="0.25">
      <c r="A493" s="288" t="s">
        <v>263</v>
      </c>
      <c r="B493" s="289" t="s">
        <v>206</v>
      </c>
      <c r="C493" s="290" t="s">
        <v>13</v>
      </c>
      <c r="D493" s="291" t="s">
        <v>1177</v>
      </c>
      <c r="E493" s="290" t="s">
        <v>677</v>
      </c>
      <c r="F493" s="290" t="s">
        <v>1177</v>
      </c>
      <c r="G493" s="291" t="s">
        <v>166</v>
      </c>
      <c r="H493" s="291" t="str">
        <f>IFERROR(IF(SEARCH(".00.00.00.00.00",Tableau15[[#This Row],[name]],1)=7,"Division",""),"")</f>
        <v>Division</v>
      </c>
      <c r="I493" s="290"/>
      <c r="J493" s="292" t="s">
        <v>708</v>
      </c>
      <c r="K493" s="293">
        <f>ROUND(Tableau15[[#This Row],[LEN]]*7.27,0)</f>
        <v>80</v>
      </c>
      <c r="L493" s="293">
        <v>15</v>
      </c>
      <c r="M493" s="294" t="str">
        <f t="shared" si="4"/>
        <v>none</v>
      </c>
      <c r="N493" s="293">
        <f>LEN(Tableau15[[#This Row],[LABEL]])</f>
        <v>11</v>
      </c>
      <c r="O493" s="293">
        <v>15</v>
      </c>
      <c r="P493" s="293" t="e">
        <f>ROUND(Tableau15[[#This Row],[LEN]]*#REF!+#REF!,0)</f>
        <v>#REF!</v>
      </c>
    </row>
    <row r="494" spans="1:16" s="97" customFormat="1" x14ac:dyDescent="0.25">
      <c r="A494" s="220" t="s">
        <v>1346</v>
      </c>
      <c r="B494" s="221" t="s">
        <v>263</v>
      </c>
      <c r="C494" s="222" t="s">
        <v>1355</v>
      </c>
      <c r="D494" s="70" t="s">
        <v>1177</v>
      </c>
      <c r="E494" s="229" t="s">
        <v>677</v>
      </c>
      <c r="F494" s="215" t="s">
        <v>1177</v>
      </c>
      <c r="G494" s="70" t="s">
        <v>166</v>
      </c>
      <c r="H494" s="223" t="s">
        <v>655</v>
      </c>
      <c r="I494" s="222"/>
      <c r="J494" s="224" t="s">
        <v>708</v>
      </c>
      <c r="K494" s="225">
        <f>ROUND(Tableau15[[#This Row],[LEN]]*7.27,0)</f>
        <v>233</v>
      </c>
      <c r="L494" s="225">
        <v>15</v>
      </c>
      <c r="M494" s="226" t="str">
        <f t="shared" si="4"/>
        <v>none</v>
      </c>
      <c r="N494" s="225">
        <f>LEN(Tableau15[[#This Row],[LABEL]])</f>
        <v>32</v>
      </c>
      <c r="O494" s="225">
        <v>15</v>
      </c>
      <c r="P494" s="225" t="e">
        <f>ROUND(Tableau15[[#This Row],[LEN]]*#REF!+#REF!,0)</f>
        <v>#REF!</v>
      </c>
    </row>
    <row r="495" spans="1:16" s="97" customFormat="1" x14ac:dyDescent="0.25">
      <c r="A495" s="29" t="s">
        <v>1363</v>
      </c>
      <c r="B495" s="30" t="s">
        <v>1346</v>
      </c>
      <c r="C495" s="31" t="s">
        <v>1368</v>
      </c>
      <c r="D495" s="71" t="s">
        <v>1177</v>
      </c>
      <c r="E495" s="31" t="s">
        <v>677</v>
      </c>
      <c r="F495" s="31" t="s">
        <v>1177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ROUND(Tableau15[[#This Row],[LEN]]*7.27,0)</f>
        <v>109</v>
      </c>
      <c r="L495" s="111">
        <v>15</v>
      </c>
      <c r="M495" s="128" t="str">
        <f t="shared" si="4"/>
        <v>none</v>
      </c>
      <c r="N495" s="111">
        <f>LEN(Tableau15[[#This Row],[LABEL]])</f>
        <v>15</v>
      </c>
      <c r="O495" s="111">
        <v>15</v>
      </c>
      <c r="P495" s="111" t="e">
        <f>ROUND(Tableau15[[#This Row],[LEN]]*#REF!+#REF!,0)</f>
        <v>#REF!</v>
      </c>
    </row>
    <row r="496" spans="1:16" s="97" customFormat="1" x14ac:dyDescent="0.25">
      <c r="A496" s="29" t="s">
        <v>1364</v>
      </c>
      <c r="B496" s="30" t="s">
        <v>1346</v>
      </c>
      <c r="C496" s="31" t="s">
        <v>1369</v>
      </c>
      <c r="D496" s="71" t="s">
        <v>1177</v>
      </c>
      <c r="E496" s="31" t="s">
        <v>677</v>
      </c>
      <c r="F496" s="31" t="s">
        <v>1177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ROUND(Tableau15[[#This Row],[LEN]]*7.27,0)</f>
        <v>153</v>
      </c>
      <c r="L496" s="111">
        <v>15</v>
      </c>
      <c r="M496" s="128" t="str">
        <f t="shared" si="4"/>
        <v>none</v>
      </c>
      <c r="N496" s="111">
        <f>LEN(Tableau15[[#This Row],[LABEL]])</f>
        <v>21</v>
      </c>
      <c r="O496" s="111">
        <v>15</v>
      </c>
      <c r="P496" s="111" t="e">
        <f>ROUND(Tableau15[[#This Row],[LEN]]*#REF!+#REF!,0)</f>
        <v>#REF!</v>
      </c>
    </row>
    <row r="497" spans="1:16" s="97" customFormat="1" x14ac:dyDescent="0.25">
      <c r="A497" s="29" t="s">
        <v>1365</v>
      </c>
      <c r="B497" s="30" t="s">
        <v>1346</v>
      </c>
      <c r="C497" s="31" t="s">
        <v>1370</v>
      </c>
      <c r="D497" s="71" t="s">
        <v>1177</v>
      </c>
      <c r="E497" s="31" t="s">
        <v>677</v>
      </c>
      <c r="F497" s="31" t="s">
        <v>1177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ROUND(Tableau15[[#This Row],[LEN]]*7.27,0)</f>
        <v>51</v>
      </c>
      <c r="L497" s="111">
        <v>15</v>
      </c>
      <c r="M497" s="128" t="str">
        <f t="shared" si="4"/>
        <v>none</v>
      </c>
      <c r="N497" s="111">
        <f>LEN(Tableau15[[#This Row],[LABEL]])</f>
        <v>7</v>
      </c>
      <c r="O497" s="111">
        <v>15</v>
      </c>
      <c r="P497" s="111" t="e">
        <f>ROUND(Tableau15[[#This Row],[LEN]]*#REF!+#REF!,0)</f>
        <v>#REF!</v>
      </c>
    </row>
    <row r="498" spans="1:16" s="97" customFormat="1" x14ac:dyDescent="0.25">
      <c r="A498" s="29" t="s">
        <v>1366</v>
      </c>
      <c r="B498" s="30" t="s">
        <v>1346</v>
      </c>
      <c r="C498" s="31" t="s">
        <v>1371</v>
      </c>
      <c r="D498" s="71" t="s">
        <v>1177</v>
      </c>
      <c r="E498" s="31" t="s">
        <v>677</v>
      </c>
      <c r="F498" s="31" t="s">
        <v>1177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ROUND(Tableau15[[#This Row],[LEN]]*7.27,0)</f>
        <v>131</v>
      </c>
      <c r="L498" s="111">
        <v>15</v>
      </c>
      <c r="M498" s="128" t="str">
        <f t="shared" si="4"/>
        <v>none</v>
      </c>
      <c r="N498" s="111">
        <f>LEN(Tableau15[[#This Row],[LABEL]])</f>
        <v>18</v>
      </c>
      <c r="O498" s="111">
        <v>15</v>
      </c>
      <c r="P498" s="111" t="e">
        <f>ROUND(Tableau15[[#This Row],[LEN]]*#REF!+#REF!,0)</f>
        <v>#REF!</v>
      </c>
    </row>
    <row r="499" spans="1:16" s="97" customFormat="1" x14ac:dyDescent="0.25">
      <c r="A499" s="29" t="s">
        <v>1367</v>
      </c>
      <c r="B499" s="30" t="s">
        <v>1346</v>
      </c>
      <c r="C499" s="31" t="s">
        <v>1372</v>
      </c>
      <c r="D499" s="71" t="s">
        <v>1177</v>
      </c>
      <c r="E499" s="31" t="s">
        <v>677</v>
      </c>
      <c r="F499" s="31" t="s">
        <v>1177</v>
      </c>
      <c r="G499" s="71" t="s">
        <v>166</v>
      </c>
      <c r="H499" s="71" t="s">
        <v>654</v>
      </c>
      <c r="I499" s="31"/>
      <c r="J499" s="32" t="s">
        <v>708</v>
      </c>
      <c r="K499" s="111">
        <f>ROUND(Tableau15[[#This Row],[LEN]]*7.27,0)</f>
        <v>80</v>
      </c>
      <c r="L499" s="111">
        <v>15</v>
      </c>
      <c r="M499" s="128" t="str">
        <f t="shared" si="4"/>
        <v>none</v>
      </c>
      <c r="N499" s="111">
        <f>LEN(Tableau15[[#This Row],[LABEL]])</f>
        <v>11</v>
      </c>
      <c r="O499" s="111">
        <v>15</v>
      </c>
      <c r="P499" s="111" t="e">
        <f>ROUND(Tableau15[[#This Row],[LEN]]*#REF!+#REF!,0)</f>
        <v>#REF!</v>
      </c>
    </row>
    <row r="500" spans="1:16" s="97" customFormat="1" x14ac:dyDescent="0.25">
      <c r="A500" s="220" t="s">
        <v>1347</v>
      </c>
      <c r="B500" s="221" t="s">
        <v>263</v>
      </c>
      <c r="C500" s="222" t="s">
        <v>1337</v>
      </c>
      <c r="D500" s="70" t="s">
        <v>1338</v>
      </c>
      <c r="E500" s="229" t="s">
        <v>676</v>
      </c>
      <c r="F500" s="215" t="s">
        <v>1339</v>
      </c>
      <c r="G500" s="70" t="s">
        <v>166</v>
      </c>
      <c r="H500" s="223" t="s">
        <v>656</v>
      </c>
      <c r="I500" s="222"/>
      <c r="J500" s="224" t="s">
        <v>708</v>
      </c>
      <c r="K500" s="225">
        <f>ROUND(Tableau15[[#This Row],[LEN]]*7.27,0)</f>
        <v>378</v>
      </c>
      <c r="L500" s="225">
        <v>15</v>
      </c>
      <c r="M500" s="226" t="str">
        <f t="shared" si="4"/>
        <v>none</v>
      </c>
      <c r="N500" s="225">
        <f>LEN(Tableau15[[#This Row],[LABEL]])</f>
        <v>52</v>
      </c>
      <c r="O500" s="225">
        <v>15</v>
      </c>
      <c r="P500" s="225" t="e">
        <f>ROUND(Tableau15[[#This Row],[LEN]]*#REF!+#REF!,0)</f>
        <v>#REF!</v>
      </c>
    </row>
    <row r="501" spans="1:16" s="97" customFormat="1" x14ac:dyDescent="0.25">
      <c r="A501" s="220" t="s">
        <v>1348</v>
      </c>
      <c r="B501" s="221" t="s">
        <v>263</v>
      </c>
      <c r="C501" s="222" t="s">
        <v>88</v>
      </c>
      <c r="D501" s="70" t="s">
        <v>1177</v>
      </c>
      <c r="E501" s="229" t="s">
        <v>667</v>
      </c>
      <c r="F501" s="215" t="s">
        <v>1218</v>
      </c>
      <c r="G501" s="70" t="s">
        <v>166</v>
      </c>
      <c r="H501" s="223" t="s">
        <v>570</v>
      </c>
      <c r="I501" s="222"/>
      <c r="J501" s="224" t="s">
        <v>708</v>
      </c>
      <c r="K501" s="225">
        <f>ROUND(Tableau15[[#This Row],[LEN]]*7.27,0)</f>
        <v>342</v>
      </c>
      <c r="L501" s="225">
        <v>15</v>
      </c>
      <c r="M501" s="226" t="str">
        <f t="shared" si="4"/>
        <v>none</v>
      </c>
      <c r="N501" s="225">
        <f>LEN(Tableau15[[#This Row],[LABEL]])</f>
        <v>47</v>
      </c>
      <c r="O501" s="225">
        <v>15</v>
      </c>
      <c r="P501" s="225" t="e">
        <f>ROUND(Tableau15[[#This Row],[LEN]]*#REF!+#REF!,0)</f>
        <v>#REF!</v>
      </c>
    </row>
    <row r="502" spans="1:16" s="97" customFormat="1" x14ac:dyDescent="0.25">
      <c r="A502" s="220" t="s">
        <v>1349</v>
      </c>
      <c r="B502" s="221" t="s">
        <v>263</v>
      </c>
      <c r="C502" s="222" t="s">
        <v>142</v>
      </c>
      <c r="D502" s="70" t="s">
        <v>1177</v>
      </c>
      <c r="E502" s="229" t="s">
        <v>669</v>
      </c>
      <c r="F502" s="215" t="s">
        <v>677</v>
      </c>
      <c r="G502" s="70" t="s">
        <v>166</v>
      </c>
      <c r="H502" s="223" t="s">
        <v>655</v>
      </c>
      <c r="I502" s="222"/>
      <c r="J502" s="224" t="s">
        <v>708</v>
      </c>
      <c r="K502" s="225">
        <f>ROUND(Tableau15[[#This Row],[LEN]]*7.27,0)</f>
        <v>109</v>
      </c>
      <c r="L502" s="225">
        <v>15</v>
      </c>
      <c r="M502" s="226" t="str">
        <f t="shared" si="4"/>
        <v>none</v>
      </c>
      <c r="N502" s="225">
        <f>LEN(Tableau15[[#This Row],[LABEL]])</f>
        <v>15</v>
      </c>
      <c r="O502" s="225">
        <v>15</v>
      </c>
      <c r="P502" s="225" t="e">
        <f>ROUND(Tableau15[[#This Row],[LEN]]*#REF!+#REF!,0)</f>
        <v>#REF!</v>
      </c>
    </row>
    <row r="503" spans="1:16" s="97" customFormat="1" x14ac:dyDescent="0.25">
      <c r="A503" s="220" t="s">
        <v>1350</v>
      </c>
      <c r="B503" s="221" t="s">
        <v>263</v>
      </c>
      <c r="C503" s="222" t="s">
        <v>1357</v>
      </c>
      <c r="D503" s="70" t="s">
        <v>1177</v>
      </c>
      <c r="E503" s="229" t="s">
        <v>673</v>
      </c>
      <c r="F503" s="215" t="s">
        <v>1249</v>
      </c>
      <c r="G503" s="70" t="s">
        <v>166</v>
      </c>
      <c r="H503" s="223" t="s">
        <v>655</v>
      </c>
      <c r="I503" s="222"/>
      <c r="J503" s="224" t="s">
        <v>708</v>
      </c>
      <c r="K503" s="225">
        <f>ROUND(Tableau15[[#This Row],[LEN]]*7.27,0)</f>
        <v>298</v>
      </c>
      <c r="L503" s="225">
        <v>15</v>
      </c>
      <c r="M503" s="226" t="str">
        <f t="shared" si="4"/>
        <v>none</v>
      </c>
      <c r="N503" s="225">
        <f>LEN(Tableau15[[#This Row],[LABEL]])</f>
        <v>41</v>
      </c>
      <c r="O503" s="225">
        <v>15</v>
      </c>
      <c r="P503" s="225" t="e">
        <f>ROUND(Tableau15[[#This Row],[LEN]]*#REF!+#REF!,0)</f>
        <v>#REF!</v>
      </c>
    </row>
    <row r="504" spans="1:16" s="97" customFormat="1" x14ac:dyDescent="0.25">
      <c r="A504" s="220" t="s">
        <v>1351</v>
      </c>
      <c r="B504" s="221" t="s">
        <v>263</v>
      </c>
      <c r="C504" s="222" t="s">
        <v>1343</v>
      </c>
      <c r="D504" s="70" t="s">
        <v>1177</v>
      </c>
      <c r="E504" s="229" t="s">
        <v>676</v>
      </c>
      <c r="F504" s="215" t="s">
        <v>677</v>
      </c>
      <c r="G504" s="70" t="s">
        <v>166</v>
      </c>
      <c r="H504" s="223" t="s">
        <v>654</v>
      </c>
      <c r="I504" s="222"/>
      <c r="J504" s="224" t="s">
        <v>708</v>
      </c>
      <c r="K504" s="225">
        <f>ROUND(Tableau15[[#This Row],[LEN]]*7.27,0)</f>
        <v>269</v>
      </c>
      <c r="L504" s="225">
        <v>15</v>
      </c>
      <c r="M504" s="226" t="str">
        <f t="shared" si="4"/>
        <v>none</v>
      </c>
      <c r="N504" s="225">
        <f>LEN(Tableau15[[#This Row],[LABEL]])</f>
        <v>37</v>
      </c>
      <c r="O504" s="225">
        <v>15</v>
      </c>
      <c r="P504" s="225" t="e">
        <f>ROUND(Tableau15[[#This Row],[LEN]]*#REF!+#REF!,0)</f>
        <v>#REF!</v>
      </c>
    </row>
    <row r="505" spans="1:16" s="97" customFormat="1" x14ac:dyDescent="0.25">
      <c r="A505" s="220" t="s">
        <v>1352</v>
      </c>
      <c r="B505" s="221" t="s">
        <v>263</v>
      </c>
      <c r="C505" s="222" t="s">
        <v>778</v>
      </c>
      <c r="D505" s="70" t="s">
        <v>1177</v>
      </c>
      <c r="E505" s="229" t="s">
        <v>673</v>
      </c>
      <c r="F505" s="27" t="s">
        <v>2000</v>
      </c>
      <c r="G505" s="70" t="s">
        <v>166</v>
      </c>
      <c r="H505" s="223" t="s">
        <v>17</v>
      </c>
      <c r="I505" s="222"/>
      <c r="J505" s="224" t="s">
        <v>708</v>
      </c>
      <c r="K505" s="225">
        <f>ROUND(Tableau15[[#This Row],[LEN]]*7.27,0)</f>
        <v>211</v>
      </c>
      <c r="L505" s="225">
        <v>15</v>
      </c>
      <c r="M505" s="226" t="str">
        <f t="shared" si="4"/>
        <v>none</v>
      </c>
      <c r="N505" s="225">
        <f>LEN(Tableau15[[#This Row],[LABEL]])</f>
        <v>29</v>
      </c>
      <c r="O505" s="225">
        <v>15</v>
      </c>
      <c r="P505" s="225" t="e">
        <f>ROUND(Tableau15[[#This Row],[LEN]]*#REF!+#REF!,0)</f>
        <v>#REF!</v>
      </c>
    </row>
    <row r="506" spans="1:16" s="97" customFormat="1" x14ac:dyDescent="0.25">
      <c r="A506" s="220" t="s">
        <v>1353</v>
      </c>
      <c r="B506" s="221" t="s">
        <v>263</v>
      </c>
      <c r="C506" s="222" t="s">
        <v>91</v>
      </c>
      <c r="D506" s="70" t="s">
        <v>1177</v>
      </c>
      <c r="E506" s="229" t="s">
        <v>663</v>
      </c>
      <c r="F506" s="215" t="s">
        <v>2080</v>
      </c>
      <c r="G506" s="70" t="s">
        <v>166</v>
      </c>
      <c r="H506" s="223" t="s">
        <v>655</v>
      </c>
      <c r="I506" s="222"/>
      <c r="J506" s="224" t="s">
        <v>708</v>
      </c>
      <c r="K506" s="225">
        <f>ROUND(Tableau15[[#This Row],[LEN]]*7.27,0)</f>
        <v>269</v>
      </c>
      <c r="L506" s="225">
        <v>15</v>
      </c>
      <c r="M506" s="226" t="str">
        <f t="shared" si="4"/>
        <v>none</v>
      </c>
      <c r="N506" s="225">
        <f>LEN(Tableau15[[#This Row],[LABEL]])</f>
        <v>37</v>
      </c>
      <c r="O506" s="225">
        <v>15</v>
      </c>
      <c r="P506" s="225" t="e">
        <f>ROUND(Tableau15[[#This Row],[LEN]]*#REF!+#REF!,0)</f>
        <v>#REF!</v>
      </c>
    </row>
    <row r="507" spans="1:16" s="97" customFormat="1" x14ac:dyDescent="0.25">
      <c r="A507" s="29" t="s">
        <v>1359</v>
      </c>
      <c r="B507" s="30" t="s">
        <v>1353</v>
      </c>
      <c r="C507" s="31" t="s">
        <v>98</v>
      </c>
      <c r="D507" s="71" t="s">
        <v>1177</v>
      </c>
      <c r="E507" s="31" t="s">
        <v>663</v>
      </c>
      <c r="F507" s="31" t="s">
        <v>1358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ROUND(Tableau15[[#This Row],[LEN]]*7.27,0)</f>
        <v>109</v>
      </c>
      <c r="L507" s="111">
        <v>15</v>
      </c>
      <c r="M507" s="128" t="str">
        <f t="shared" si="4"/>
        <v>none</v>
      </c>
      <c r="N507" s="111">
        <f>LEN(Tableau15[[#This Row],[LABEL]])</f>
        <v>15</v>
      </c>
      <c r="O507" s="111">
        <v>15</v>
      </c>
      <c r="P507" s="111" t="e">
        <f>ROUND(Tableau15[[#This Row],[LEN]]*#REF!+#REF!,0)</f>
        <v>#REF!</v>
      </c>
    </row>
    <row r="508" spans="1:16" s="97" customFormat="1" x14ac:dyDescent="0.25">
      <c r="A508" s="29" t="s">
        <v>1360</v>
      </c>
      <c r="B508" s="30" t="s">
        <v>1353</v>
      </c>
      <c r="C508" s="31" t="s">
        <v>99</v>
      </c>
      <c r="D508" s="71" t="s">
        <v>1177</v>
      </c>
      <c r="E508" s="31" t="s">
        <v>663</v>
      </c>
      <c r="F508" s="31" t="s">
        <v>1358</v>
      </c>
      <c r="G508" s="71" t="s">
        <v>166</v>
      </c>
      <c r="H508" s="71" t="s">
        <v>18</v>
      </c>
      <c r="I508" s="31"/>
      <c r="J508" s="32" t="s">
        <v>708</v>
      </c>
      <c r="K508" s="111">
        <f>ROUND(Tableau15[[#This Row],[LEN]]*7.27,0)</f>
        <v>80</v>
      </c>
      <c r="L508" s="111">
        <v>15</v>
      </c>
      <c r="M508" s="128" t="str">
        <f t="shared" si="4"/>
        <v>none</v>
      </c>
      <c r="N508" s="111">
        <f>LEN(Tableau15[[#This Row],[LABEL]])</f>
        <v>11</v>
      </c>
      <c r="O508" s="111">
        <v>15</v>
      </c>
      <c r="P508" s="111" t="e">
        <f>ROUND(Tableau15[[#This Row],[LEN]]*#REF!+#REF!,0)</f>
        <v>#REF!</v>
      </c>
    </row>
    <row r="509" spans="1:16" s="97" customFormat="1" x14ac:dyDescent="0.25">
      <c r="A509" s="220" t="s">
        <v>1354</v>
      </c>
      <c r="B509" s="221" t="s">
        <v>263</v>
      </c>
      <c r="C509" s="222" t="s">
        <v>1167</v>
      </c>
      <c r="D509" s="70" t="s">
        <v>486</v>
      </c>
      <c r="E509" s="229" t="s">
        <v>1085</v>
      </c>
      <c r="F509" s="215" t="s">
        <v>1084</v>
      </c>
      <c r="G509" s="70" t="s">
        <v>1977</v>
      </c>
      <c r="H509" s="223" t="s">
        <v>1131</v>
      </c>
      <c r="I509" s="222"/>
      <c r="J509" s="224" t="s">
        <v>708</v>
      </c>
      <c r="K509" s="225">
        <f>ROUND(Tableau15[[#This Row],[LEN]]*7.27,0)</f>
        <v>196</v>
      </c>
      <c r="L509" s="225">
        <v>15</v>
      </c>
      <c r="M509" s="226" t="str">
        <f t="shared" si="4"/>
        <v>none</v>
      </c>
      <c r="N509" s="225">
        <f>LEN(Tableau15[[#This Row],[LABEL]])</f>
        <v>27</v>
      </c>
      <c r="O509" s="225">
        <v>15</v>
      </c>
      <c r="P509" s="225" t="e">
        <f>ROUND(Tableau15[[#This Row],[LEN]]*#REF!+#REF!,0)</f>
        <v>#REF!</v>
      </c>
    </row>
    <row r="510" spans="1:16" s="97" customFormat="1" x14ac:dyDescent="0.25">
      <c r="A510" s="29" t="s">
        <v>1361</v>
      </c>
      <c r="B510" s="30" t="s">
        <v>1354</v>
      </c>
      <c r="C510" s="31" t="s">
        <v>93</v>
      </c>
      <c r="D510" s="71" t="s">
        <v>1177</v>
      </c>
      <c r="E510" s="31" t="s">
        <v>1085</v>
      </c>
      <c r="F510" s="31" t="s">
        <v>1084</v>
      </c>
      <c r="G510" s="71" t="s">
        <v>166</v>
      </c>
      <c r="H510" s="71" t="s">
        <v>18</v>
      </c>
      <c r="I510" s="31"/>
      <c r="J510" s="32" t="s">
        <v>101</v>
      </c>
      <c r="K510" s="111">
        <f>ROUND(Tableau15[[#This Row],[LEN]]*7.27,0)</f>
        <v>109</v>
      </c>
      <c r="L510" s="111">
        <v>15</v>
      </c>
      <c r="M510" s="128" t="str">
        <f t="shared" si="4"/>
        <v>new</v>
      </c>
      <c r="N510" s="111">
        <f>LEN(Tableau15[[#This Row],[LABEL]])</f>
        <v>15</v>
      </c>
      <c r="O510" s="111">
        <v>15</v>
      </c>
      <c r="P510" s="111" t="e">
        <f>ROUND(Tableau15[[#This Row],[LEN]]*#REF!+#REF!,0)</f>
        <v>#REF!</v>
      </c>
    </row>
    <row r="511" spans="1:16" s="97" customFormat="1" x14ac:dyDescent="0.25">
      <c r="A511" s="29" t="s">
        <v>1362</v>
      </c>
      <c r="B511" s="30" t="s">
        <v>1354</v>
      </c>
      <c r="C511" s="31" t="s">
        <v>94</v>
      </c>
      <c r="D511" s="71" t="s">
        <v>1177</v>
      </c>
      <c r="E511" s="31" t="s">
        <v>1085</v>
      </c>
      <c r="F511" s="31" t="s">
        <v>1084</v>
      </c>
      <c r="G511" s="71" t="s">
        <v>166</v>
      </c>
      <c r="H511" s="71" t="s">
        <v>18</v>
      </c>
      <c r="I511" s="31"/>
      <c r="J511" s="32" t="s">
        <v>102</v>
      </c>
      <c r="K511" s="111">
        <f>ROUND(Tableau15[[#This Row],[LEN]]*7.27,0)</f>
        <v>58</v>
      </c>
      <c r="L511" s="111">
        <v>15</v>
      </c>
      <c r="M511" s="128" t="str">
        <f t="shared" si="4"/>
        <v>new</v>
      </c>
      <c r="N511" s="111">
        <f>LEN(Tableau15[[#This Row],[LABEL]])</f>
        <v>8</v>
      </c>
      <c r="O511" s="111">
        <v>15</v>
      </c>
      <c r="P511" s="111" t="e">
        <f>ROUND(Tableau15[[#This Row],[LEN]]*#REF!+#REF!,0)</f>
        <v>#REF!</v>
      </c>
    </row>
    <row r="512" spans="1:16" s="273" customFormat="1" x14ac:dyDescent="0.25">
      <c r="A512" s="288" t="s">
        <v>264</v>
      </c>
      <c r="B512" s="289" t="s">
        <v>206</v>
      </c>
      <c r="C512" s="290" t="s">
        <v>14</v>
      </c>
      <c r="D512" s="291" t="s">
        <v>1177</v>
      </c>
      <c r="E512" s="290" t="s">
        <v>678</v>
      </c>
      <c r="F512" s="290" t="s">
        <v>1177</v>
      </c>
      <c r="G512" s="291" t="s">
        <v>166</v>
      </c>
      <c r="H512" s="291" t="str">
        <f>IFERROR(IF(SEARCH(".00.00.00.00.00",Tableau15[[#This Row],[name]],1)=7,"Division",""),"")</f>
        <v>Division</v>
      </c>
      <c r="I512" s="290"/>
      <c r="J512" s="292" t="s">
        <v>724</v>
      </c>
      <c r="K512" s="293">
        <f>ROUND(Tableau15[[#This Row],[LEN]]*7.27,0)</f>
        <v>240</v>
      </c>
      <c r="L512" s="293">
        <v>15</v>
      </c>
      <c r="M512" s="294" t="str">
        <f t="shared" si="4"/>
        <v>new</v>
      </c>
      <c r="N512" s="293">
        <f>LEN(Tableau15[[#This Row],[LABEL]])</f>
        <v>33</v>
      </c>
      <c r="O512" s="293">
        <v>15</v>
      </c>
      <c r="P512" s="293" t="e">
        <f>ROUND(Tableau15[[#This Row],[LEN]]*#REF!+#REF!,0)</f>
        <v>#REF!</v>
      </c>
    </row>
    <row r="513" spans="1:16" s="97" customFormat="1" x14ac:dyDescent="0.25">
      <c r="A513" s="220" t="s">
        <v>1373</v>
      </c>
      <c r="B513" s="221" t="s">
        <v>264</v>
      </c>
      <c r="C513" s="222" t="s">
        <v>1168</v>
      </c>
      <c r="D513" s="70" t="s">
        <v>1177</v>
      </c>
      <c r="E513" s="229" t="s">
        <v>668</v>
      </c>
      <c r="F513" s="215" t="s">
        <v>1178</v>
      </c>
      <c r="G513" s="70" t="s">
        <v>166</v>
      </c>
      <c r="H513" s="223" t="s">
        <v>654</v>
      </c>
      <c r="I513" s="222"/>
      <c r="J513" s="224" t="s">
        <v>708</v>
      </c>
      <c r="K513" s="225">
        <f>ROUND(Tableau15[[#This Row],[LEN]]*7.27,0)</f>
        <v>262</v>
      </c>
      <c r="L513" s="225">
        <v>15</v>
      </c>
      <c r="M513" s="226" t="str">
        <f t="shared" si="4"/>
        <v>none</v>
      </c>
      <c r="N513" s="225">
        <f>LEN(Tableau15[[#This Row],[LABEL]])</f>
        <v>36</v>
      </c>
      <c r="O513" s="225">
        <v>15</v>
      </c>
      <c r="P513" s="225" t="e">
        <f>ROUND(Tableau15[[#This Row],[LEN]]*#REF!+#REF!,0)</f>
        <v>#REF!</v>
      </c>
    </row>
    <row r="514" spans="1:16" s="97" customFormat="1" x14ac:dyDescent="0.25">
      <c r="A514" s="220" t="s">
        <v>1374</v>
      </c>
      <c r="B514" s="221" t="s">
        <v>264</v>
      </c>
      <c r="C514" s="222" t="s">
        <v>1337</v>
      </c>
      <c r="D514" s="70" t="s">
        <v>1338</v>
      </c>
      <c r="E514" s="229" t="s">
        <v>676</v>
      </c>
      <c r="F514" s="215" t="s">
        <v>1339</v>
      </c>
      <c r="G514" s="70" t="s">
        <v>166</v>
      </c>
      <c r="H514" s="223" t="s">
        <v>656</v>
      </c>
      <c r="I514" s="222"/>
      <c r="J514" s="224" t="s">
        <v>708</v>
      </c>
      <c r="K514" s="225">
        <f>ROUND(Tableau15[[#This Row],[LEN]]*7.27,0)</f>
        <v>378</v>
      </c>
      <c r="L514" s="225">
        <v>15</v>
      </c>
      <c r="M514" s="226" t="str">
        <f t="shared" si="4"/>
        <v>none</v>
      </c>
      <c r="N514" s="225">
        <f>LEN(Tableau15[[#This Row],[LABEL]])</f>
        <v>52</v>
      </c>
      <c r="O514" s="225">
        <v>15</v>
      </c>
      <c r="P514" s="225" t="e">
        <f>ROUND(Tableau15[[#This Row],[LEN]]*#REF!+#REF!,0)</f>
        <v>#REF!</v>
      </c>
    </row>
    <row r="515" spans="1:16" s="97" customFormat="1" x14ac:dyDescent="0.25">
      <c r="A515" s="220" t="s">
        <v>1375</v>
      </c>
      <c r="B515" s="221" t="s">
        <v>264</v>
      </c>
      <c r="C515" s="222" t="s">
        <v>138</v>
      </c>
      <c r="D515" s="70" t="s">
        <v>1177</v>
      </c>
      <c r="E515" s="229" t="s">
        <v>669</v>
      </c>
      <c r="F515" s="215" t="s">
        <v>678</v>
      </c>
      <c r="G515" s="70" t="s">
        <v>166</v>
      </c>
      <c r="H515" s="223" t="s">
        <v>655</v>
      </c>
      <c r="I515" s="222"/>
      <c r="J515" s="224" t="s">
        <v>708</v>
      </c>
      <c r="K515" s="225">
        <f>ROUND(Tableau15[[#This Row],[LEN]]*7.27,0)</f>
        <v>225</v>
      </c>
      <c r="L515" s="225">
        <v>15</v>
      </c>
      <c r="M515" s="226" t="str">
        <f t="shared" si="4"/>
        <v>none</v>
      </c>
      <c r="N515" s="225">
        <f>LEN(Tableau15[[#This Row],[LABEL]])</f>
        <v>31</v>
      </c>
      <c r="O515" s="225">
        <v>15</v>
      </c>
      <c r="P515" s="225" t="e">
        <f>ROUND(Tableau15[[#This Row],[LEN]]*#REF!+#REF!,0)</f>
        <v>#REF!</v>
      </c>
    </row>
    <row r="516" spans="1:16" s="97" customFormat="1" x14ac:dyDescent="0.25">
      <c r="A516" s="29" t="s">
        <v>1392</v>
      </c>
      <c r="B516" s="30" t="s">
        <v>1375</v>
      </c>
      <c r="C516" s="31" t="s">
        <v>139</v>
      </c>
      <c r="D516" s="71" t="s">
        <v>1177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ROUND(Tableau15[[#This Row],[LEN]]*7.27,0)</f>
        <v>327</v>
      </c>
      <c r="L516" s="111">
        <v>15</v>
      </c>
      <c r="M516" s="128" t="str">
        <f t="shared" si="4"/>
        <v>none</v>
      </c>
      <c r="N516" s="111">
        <f>LEN(Tableau15[[#This Row],[LABEL]])</f>
        <v>45</v>
      </c>
      <c r="O516" s="111">
        <v>15</v>
      </c>
      <c r="P516" s="111" t="e">
        <f>ROUND(Tableau15[[#This Row],[LEN]]*#REF!+#REF!,0)</f>
        <v>#REF!</v>
      </c>
    </row>
    <row r="517" spans="1:16" s="97" customFormat="1" x14ac:dyDescent="0.25">
      <c r="A517" s="29" t="s">
        <v>1393</v>
      </c>
      <c r="B517" s="30" t="s">
        <v>1375</v>
      </c>
      <c r="C517" s="31" t="s">
        <v>140</v>
      </c>
      <c r="D517" s="71" t="s">
        <v>1177</v>
      </c>
      <c r="E517" s="31" t="s">
        <v>669</v>
      </c>
      <c r="F517" s="31" t="s">
        <v>678</v>
      </c>
      <c r="G517" s="71" t="s">
        <v>166</v>
      </c>
      <c r="H517" s="71" t="s">
        <v>654</v>
      </c>
      <c r="I517" s="31"/>
      <c r="J517" s="32" t="s">
        <v>708</v>
      </c>
      <c r="K517" s="111">
        <f>ROUND(Tableau15[[#This Row],[LEN]]*7.27,0)</f>
        <v>385</v>
      </c>
      <c r="L517" s="111">
        <v>15</v>
      </c>
      <c r="M517" s="128" t="str">
        <f t="shared" si="4"/>
        <v>none</v>
      </c>
      <c r="N517" s="111">
        <f>LEN(Tableau15[[#This Row],[LABEL]])</f>
        <v>53</v>
      </c>
      <c r="O517" s="111">
        <v>15</v>
      </c>
      <c r="P517" s="111" t="e">
        <f>ROUND(Tableau15[[#This Row],[LEN]]*#REF!+#REF!,0)</f>
        <v>#REF!</v>
      </c>
    </row>
    <row r="518" spans="1:16" s="97" customFormat="1" x14ac:dyDescent="0.25">
      <c r="A518" s="29" t="s">
        <v>1394</v>
      </c>
      <c r="B518" s="30" t="s">
        <v>1375</v>
      </c>
      <c r="C518" s="31" t="s">
        <v>141</v>
      </c>
      <c r="D518" s="71" t="s">
        <v>1177</v>
      </c>
      <c r="E518" s="31" t="s">
        <v>669</v>
      </c>
      <c r="F518" s="31" t="s">
        <v>678</v>
      </c>
      <c r="G518" s="71" t="s">
        <v>166</v>
      </c>
      <c r="H518" s="71" t="s">
        <v>17</v>
      </c>
      <c r="I518" s="31"/>
      <c r="J518" s="32" t="s">
        <v>708</v>
      </c>
      <c r="K518" s="111">
        <f>ROUND(Tableau15[[#This Row],[LEN]]*7.27,0)</f>
        <v>313</v>
      </c>
      <c r="L518" s="111">
        <v>15</v>
      </c>
      <c r="M518" s="128" t="str">
        <f t="shared" si="4"/>
        <v>none</v>
      </c>
      <c r="N518" s="111">
        <f>LEN(Tableau15[[#This Row],[LABEL]])</f>
        <v>43</v>
      </c>
      <c r="O518" s="111">
        <v>15</v>
      </c>
      <c r="P518" s="111" t="e">
        <f>ROUND(Tableau15[[#This Row],[LEN]]*#REF!+#REF!,0)</f>
        <v>#REF!</v>
      </c>
    </row>
    <row r="519" spans="1:16" s="97" customFormat="1" x14ac:dyDescent="0.25">
      <c r="A519" s="220" t="s">
        <v>1376</v>
      </c>
      <c r="B519" s="221" t="s">
        <v>264</v>
      </c>
      <c r="C519" s="222" t="s">
        <v>483</v>
      </c>
      <c r="D519" s="70" t="s">
        <v>1177</v>
      </c>
      <c r="E519" s="229" t="s">
        <v>672</v>
      </c>
      <c r="F519" s="215" t="s">
        <v>678</v>
      </c>
      <c r="G519" s="70" t="s">
        <v>166</v>
      </c>
      <c r="H519" s="223" t="s">
        <v>655</v>
      </c>
      <c r="I519" s="222"/>
      <c r="J519" s="224" t="s">
        <v>708</v>
      </c>
      <c r="K519" s="225">
        <f>ROUND(Tableau15[[#This Row],[LEN]]*7.27,0)</f>
        <v>247</v>
      </c>
      <c r="L519" s="225">
        <v>15</v>
      </c>
      <c r="M519" s="226" t="str">
        <f t="shared" si="4"/>
        <v>none</v>
      </c>
      <c r="N519" s="225">
        <f>LEN(Tableau15[[#This Row],[LABEL]])</f>
        <v>34</v>
      </c>
      <c r="O519" s="225">
        <v>15</v>
      </c>
      <c r="P519" s="225" t="e">
        <f>ROUND(Tableau15[[#This Row],[LEN]]*#REF!+#REF!,0)</f>
        <v>#REF!</v>
      </c>
    </row>
    <row r="520" spans="1:16" s="97" customFormat="1" x14ac:dyDescent="0.25">
      <c r="A520" s="29" t="s">
        <v>1396</v>
      </c>
      <c r="B520" s="30" t="s">
        <v>1376</v>
      </c>
      <c r="C520" s="31" t="s">
        <v>498</v>
      </c>
      <c r="D520" s="71" t="s">
        <v>1177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111">
        <f>ROUND(Tableau15[[#This Row],[LEN]]*7.27,0)</f>
        <v>349</v>
      </c>
      <c r="L520" s="111">
        <v>15</v>
      </c>
      <c r="M520" s="128" t="str">
        <f t="shared" si="4"/>
        <v>none</v>
      </c>
      <c r="N520" s="111">
        <f>LEN(Tableau15[[#This Row],[LABEL]])</f>
        <v>48</v>
      </c>
      <c r="O520" s="111">
        <v>15</v>
      </c>
      <c r="P520" s="111" t="e">
        <f>ROUND(Tableau15[[#This Row],[LEN]]*#REF!+#REF!,0)</f>
        <v>#REF!</v>
      </c>
    </row>
    <row r="521" spans="1:16" s="97" customFormat="1" x14ac:dyDescent="0.25">
      <c r="A521" s="29" t="s">
        <v>1397</v>
      </c>
      <c r="B521" s="30" t="s">
        <v>1376</v>
      </c>
      <c r="C521" s="31" t="s">
        <v>499</v>
      </c>
      <c r="D521" s="71" t="s">
        <v>1177</v>
      </c>
      <c r="E521" s="31" t="s">
        <v>672</v>
      </c>
      <c r="F521" s="31" t="s">
        <v>678</v>
      </c>
      <c r="G521" s="71" t="s">
        <v>166</v>
      </c>
      <c r="H521" s="71" t="s">
        <v>570</v>
      </c>
      <c r="I521" s="31"/>
      <c r="J521" s="32" t="s">
        <v>708</v>
      </c>
      <c r="K521" s="111">
        <f>ROUND(Tableau15[[#This Row],[LEN]]*7.27,0)</f>
        <v>225</v>
      </c>
      <c r="L521" s="111">
        <v>15</v>
      </c>
      <c r="M521" s="128" t="str">
        <f t="shared" si="4"/>
        <v>none</v>
      </c>
      <c r="N521" s="111">
        <f>LEN(Tableau15[[#This Row],[LABEL]])</f>
        <v>31</v>
      </c>
      <c r="O521" s="111">
        <v>15</v>
      </c>
      <c r="P521" s="111" t="e">
        <f>ROUND(Tableau15[[#This Row],[LEN]]*#REF!+#REF!,0)</f>
        <v>#REF!</v>
      </c>
    </row>
    <row r="522" spans="1:16" s="97" customFormat="1" x14ac:dyDescent="0.25">
      <c r="A522" s="29" t="s">
        <v>1398</v>
      </c>
      <c r="B522" s="30" t="s">
        <v>1376</v>
      </c>
      <c r="C522" s="31" t="s">
        <v>500</v>
      </c>
      <c r="D522" s="71" t="s">
        <v>1177</v>
      </c>
      <c r="E522" s="31" t="s">
        <v>672</v>
      </c>
      <c r="F522" s="31" t="s">
        <v>678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ROUND(Tableau15[[#This Row],[LEN]]*7.27,0)</f>
        <v>254</v>
      </c>
      <c r="L522" s="111">
        <v>15</v>
      </c>
      <c r="M522" s="128" t="str">
        <f t="shared" si="4"/>
        <v>none</v>
      </c>
      <c r="N522" s="111">
        <f>LEN(Tableau15[[#This Row],[LABEL]])</f>
        <v>35</v>
      </c>
      <c r="O522" s="111">
        <v>15</v>
      </c>
      <c r="P522" s="111" t="e">
        <f>ROUND(Tableau15[[#This Row],[LEN]]*#REF!+#REF!,0)</f>
        <v>#REF!</v>
      </c>
    </row>
    <row r="523" spans="1:16" s="97" customFormat="1" x14ac:dyDescent="0.25">
      <c r="A523" s="29" t="s">
        <v>1399</v>
      </c>
      <c r="B523" s="30" t="s">
        <v>1376</v>
      </c>
      <c r="C523" s="31" t="s">
        <v>501</v>
      </c>
      <c r="D523" s="71" t="s">
        <v>1177</v>
      </c>
      <c r="E523" s="31" t="s">
        <v>672</v>
      </c>
      <c r="F523" s="31" t="s">
        <v>678</v>
      </c>
      <c r="G523" s="71" t="s">
        <v>166</v>
      </c>
      <c r="H523" s="71" t="s">
        <v>656</v>
      </c>
      <c r="I523" s="31"/>
      <c r="J523" s="32" t="s">
        <v>708</v>
      </c>
      <c r="K523" s="111">
        <f>ROUND(Tableau15[[#This Row],[LEN]]*7.27,0)</f>
        <v>313</v>
      </c>
      <c r="L523" s="111">
        <v>15</v>
      </c>
      <c r="M523" s="128" t="str">
        <f t="shared" si="4"/>
        <v>none</v>
      </c>
      <c r="N523" s="111">
        <f>LEN(Tableau15[[#This Row],[LABEL]])</f>
        <v>43</v>
      </c>
      <c r="O523" s="111">
        <v>15</v>
      </c>
      <c r="P523" s="111" t="e">
        <f>ROUND(Tableau15[[#This Row],[LEN]]*#REF!+#REF!,0)</f>
        <v>#REF!</v>
      </c>
    </row>
    <row r="524" spans="1:16" s="97" customFormat="1" x14ac:dyDescent="0.25">
      <c r="A524" s="29" t="s">
        <v>1400</v>
      </c>
      <c r="B524" s="30" t="s">
        <v>1376</v>
      </c>
      <c r="C524" s="31" t="s">
        <v>502</v>
      </c>
      <c r="D524" s="71" t="s">
        <v>1177</v>
      </c>
      <c r="E524" s="31" t="s">
        <v>672</v>
      </c>
      <c r="F524" s="31" t="s">
        <v>678</v>
      </c>
      <c r="G524" s="71" t="s">
        <v>166</v>
      </c>
      <c r="H524" s="71" t="s">
        <v>654</v>
      </c>
      <c r="I524" s="31"/>
      <c r="J524" s="32" t="s">
        <v>708</v>
      </c>
      <c r="K524" s="111">
        <f>ROUND(Tableau15[[#This Row],[LEN]]*7.27,0)</f>
        <v>247</v>
      </c>
      <c r="L524" s="111">
        <v>15</v>
      </c>
      <c r="M524" s="128" t="str">
        <f t="shared" si="4"/>
        <v>none</v>
      </c>
      <c r="N524" s="111">
        <f>LEN(Tableau15[[#This Row],[LABEL]])</f>
        <v>34</v>
      </c>
      <c r="O524" s="111">
        <v>15</v>
      </c>
      <c r="P524" s="111" t="e">
        <f>ROUND(Tableau15[[#This Row],[LEN]]*#REF!+#REF!,0)</f>
        <v>#REF!</v>
      </c>
    </row>
    <row r="525" spans="1:16" s="97" customFormat="1" x14ac:dyDescent="0.25">
      <c r="A525" s="29" t="s">
        <v>1401</v>
      </c>
      <c r="B525" s="30" t="s">
        <v>1376</v>
      </c>
      <c r="C525" s="31" t="s">
        <v>503</v>
      </c>
      <c r="D525" s="71" t="s">
        <v>1177</v>
      </c>
      <c r="E525" s="31" t="s">
        <v>672</v>
      </c>
      <c r="F525" s="31" t="s">
        <v>678</v>
      </c>
      <c r="G525" s="71" t="s">
        <v>166</v>
      </c>
      <c r="H525" s="71" t="s">
        <v>656</v>
      </c>
      <c r="I525" s="31"/>
      <c r="J525" s="32" t="s">
        <v>708</v>
      </c>
      <c r="K525" s="111">
        <f>ROUND(Tableau15[[#This Row],[LEN]]*7.27,0)</f>
        <v>371</v>
      </c>
      <c r="L525" s="111">
        <v>15</v>
      </c>
      <c r="M525" s="128" t="str">
        <f t="shared" si="4"/>
        <v>none</v>
      </c>
      <c r="N525" s="111">
        <f>LEN(Tableau15[[#This Row],[LABEL]])</f>
        <v>51</v>
      </c>
      <c r="O525" s="111">
        <v>15</v>
      </c>
      <c r="P525" s="111" t="e">
        <f>ROUND(Tableau15[[#This Row],[LEN]]*#REF!+#REF!,0)</f>
        <v>#REF!</v>
      </c>
    </row>
    <row r="526" spans="1:16" s="97" customFormat="1" x14ac:dyDescent="0.25">
      <c r="A526" s="220" t="s">
        <v>1377</v>
      </c>
      <c r="B526" s="221" t="s">
        <v>264</v>
      </c>
      <c r="C526" s="222" t="s">
        <v>88</v>
      </c>
      <c r="D526" s="70" t="s">
        <v>1177</v>
      </c>
      <c r="E526" s="229" t="s">
        <v>667</v>
      </c>
      <c r="F526" s="215" t="s">
        <v>1218</v>
      </c>
      <c r="G526" s="70" t="s">
        <v>166</v>
      </c>
      <c r="H526" s="223" t="s">
        <v>570</v>
      </c>
      <c r="I526" s="222"/>
      <c r="J526" s="224" t="s">
        <v>708</v>
      </c>
      <c r="K526" s="225">
        <f>ROUND(Tableau15[[#This Row],[LEN]]*7.27,0)</f>
        <v>342</v>
      </c>
      <c r="L526" s="225">
        <v>15</v>
      </c>
      <c r="M526" s="226" t="str">
        <f t="shared" si="4"/>
        <v>none</v>
      </c>
      <c r="N526" s="225">
        <f>LEN(Tableau15[[#This Row],[LABEL]])</f>
        <v>47</v>
      </c>
      <c r="O526" s="225">
        <v>15</v>
      </c>
      <c r="P526" s="225" t="e">
        <f>ROUND(Tableau15[[#This Row],[LEN]]*#REF!+#REF!,0)</f>
        <v>#REF!</v>
      </c>
    </row>
    <row r="527" spans="1:16" s="97" customFormat="1" x14ac:dyDescent="0.25">
      <c r="A527" s="220" t="s">
        <v>1378</v>
      </c>
      <c r="B527" s="221" t="s">
        <v>264</v>
      </c>
      <c r="C527" s="222" t="s">
        <v>484</v>
      </c>
      <c r="D527" s="70" t="s">
        <v>1177</v>
      </c>
      <c r="E527" s="229" t="s">
        <v>672</v>
      </c>
      <c r="F527" s="215" t="s">
        <v>1285</v>
      </c>
      <c r="G527" s="70" t="s">
        <v>166</v>
      </c>
      <c r="H527" s="223" t="s">
        <v>655</v>
      </c>
      <c r="I527" s="222"/>
      <c r="J527" s="224" t="s">
        <v>727</v>
      </c>
      <c r="K527" s="225">
        <f>ROUND(Tableau15[[#This Row],[LEN]]*7.27,0)</f>
        <v>80</v>
      </c>
      <c r="L527" s="225">
        <v>15</v>
      </c>
      <c r="M527" s="226" t="str">
        <f t="shared" si="4"/>
        <v>new</v>
      </c>
      <c r="N527" s="225">
        <f>LEN(Tableau15[[#This Row],[LABEL]])</f>
        <v>11</v>
      </c>
      <c r="O527" s="225">
        <v>15</v>
      </c>
      <c r="P527" s="225" t="e">
        <f>ROUND(Tableau15[[#This Row],[LEN]]*#REF!+#REF!,0)</f>
        <v>#REF!</v>
      </c>
    </row>
    <row r="528" spans="1:16" s="97" customFormat="1" x14ac:dyDescent="0.25">
      <c r="A528" s="29" t="s">
        <v>1402</v>
      </c>
      <c r="B528" s="30" t="s">
        <v>1378</v>
      </c>
      <c r="C528" s="31" t="s">
        <v>505</v>
      </c>
      <c r="D528" s="71" t="s">
        <v>1177</v>
      </c>
      <c r="E528" s="31" t="s">
        <v>672</v>
      </c>
      <c r="F528" s="31" t="s">
        <v>1285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ROUND(Tableau15[[#This Row],[LEN]]*7.27,0)</f>
        <v>73</v>
      </c>
      <c r="L528" s="111">
        <v>15</v>
      </c>
      <c r="M528" s="128" t="str">
        <f t="shared" si="4"/>
        <v>new</v>
      </c>
      <c r="N528" s="111">
        <f>LEN(Tableau15[[#This Row],[LABEL]])</f>
        <v>10</v>
      </c>
      <c r="O528" s="111">
        <v>15</v>
      </c>
      <c r="P528" s="111" t="e">
        <f>ROUND(Tableau15[[#This Row],[LEN]]*#REF!+#REF!,0)</f>
        <v>#REF!</v>
      </c>
    </row>
    <row r="529" spans="1:16" s="97" customFormat="1" x14ac:dyDescent="0.25">
      <c r="A529" s="29" t="s">
        <v>1403</v>
      </c>
      <c r="B529" s="30" t="s">
        <v>1378</v>
      </c>
      <c r="C529" s="31" t="s">
        <v>1284</v>
      </c>
      <c r="D529" s="71" t="s">
        <v>1177</v>
      </c>
      <c r="E529" s="31" t="s">
        <v>672</v>
      </c>
      <c r="F529" s="31" t="s">
        <v>1285</v>
      </c>
      <c r="G529" s="71" t="s">
        <v>166</v>
      </c>
      <c r="H529" s="71" t="s">
        <v>18</v>
      </c>
      <c r="I529" s="31"/>
      <c r="J529" s="32" t="s">
        <v>705</v>
      </c>
      <c r="K529" s="111">
        <f>ROUND(Tableau15[[#This Row],[LEN]]*7.27,0)</f>
        <v>153</v>
      </c>
      <c r="L529" s="111">
        <v>15</v>
      </c>
      <c r="M529" s="128" t="str">
        <f t="shared" si="4"/>
        <v>new</v>
      </c>
      <c r="N529" s="111">
        <f>LEN(Tableau15[[#This Row],[LABEL]])</f>
        <v>21</v>
      </c>
      <c r="O529" s="111">
        <v>15</v>
      </c>
      <c r="P529" s="111" t="e">
        <f>ROUND(Tableau15[[#This Row],[LEN]]*#REF!+#REF!,0)</f>
        <v>#REF!</v>
      </c>
    </row>
    <row r="530" spans="1:16" s="97" customFormat="1" x14ac:dyDescent="0.25">
      <c r="A530" s="220" t="s">
        <v>1379</v>
      </c>
      <c r="B530" s="221" t="s">
        <v>264</v>
      </c>
      <c r="C530" s="222" t="s">
        <v>1357</v>
      </c>
      <c r="D530" s="70" t="s">
        <v>1177</v>
      </c>
      <c r="E530" s="229" t="s">
        <v>673</v>
      </c>
      <c r="F530" s="215" t="s">
        <v>1249</v>
      </c>
      <c r="G530" s="70" t="s">
        <v>166</v>
      </c>
      <c r="H530" s="223" t="s">
        <v>655</v>
      </c>
      <c r="I530" s="222"/>
      <c r="J530" s="224" t="s">
        <v>708</v>
      </c>
      <c r="K530" s="225">
        <f>ROUND(Tableau15[[#This Row],[LEN]]*7.27,0)</f>
        <v>298</v>
      </c>
      <c r="L530" s="225">
        <v>15</v>
      </c>
      <c r="M530" s="226" t="str">
        <f t="shared" si="4"/>
        <v>none</v>
      </c>
      <c r="N530" s="225">
        <f>LEN(Tableau15[[#This Row],[LABEL]])</f>
        <v>41</v>
      </c>
      <c r="O530" s="225">
        <v>15</v>
      </c>
      <c r="P530" s="225" t="e">
        <f>ROUND(Tableau15[[#This Row],[LEN]]*#REF!+#REF!,0)</f>
        <v>#REF!</v>
      </c>
    </row>
    <row r="531" spans="1:16" s="97" customFormat="1" x14ac:dyDescent="0.25">
      <c r="A531" s="220" t="s">
        <v>1380</v>
      </c>
      <c r="B531" s="221" t="s">
        <v>264</v>
      </c>
      <c r="C531" s="222" t="s">
        <v>1404</v>
      </c>
      <c r="D531" s="70" t="s">
        <v>1177</v>
      </c>
      <c r="E531" s="229" t="s">
        <v>678</v>
      </c>
      <c r="F531" s="215" t="s">
        <v>1177</v>
      </c>
      <c r="G531" s="70" t="s">
        <v>166</v>
      </c>
      <c r="H531" s="223" t="s">
        <v>656</v>
      </c>
      <c r="I531" s="222"/>
      <c r="J531" s="224" t="s">
        <v>708</v>
      </c>
      <c r="K531" s="225">
        <f>ROUND(Tableau15[[#This Row],[LEN]]*7.27,0)</f>
        <v>371</v>
      </c>
      <c r="L531" s="225">
        <v>15</v>
      </c>
      <c r="M531" s="226" t="str">
        <f t="shared" si="4"/>
        <v>none</v>
      </c>
      <c r="N531" s="225">
        <f>LEN(Tableau15[[#This Row],[LABEL]])</f>
        <v>51</v>
      </c>
      <c r="O531" s="225">
        <v>15</v>
      </c>
      <c r="P531" s="225" t="e">
        <f>ROUND(Tableau15[[#This Row],[LEN]]*#REF!+#REF!,0)</f>
        <v>#REF!</v>
      </c>
    </row>
    <row r="532" spans="1:16" s="97" customFormat="1" x14ac:dyDescent="0.25">
      <c r="A532" s="220" t="s">
        <v>1381</v>
      </c>
      <c r="B532" s="221" t="s">
        <v>264</v>
      </c>
      <c r="C532" s="222" t="s">
        <v>1310</v>
      </c>
      <c r="D532" s="70" t="s">
        <v>1177</v>
      </c>
      <c r="E532" s="229" t="s">
        <v>675</v>
      </c>
      <c r="F532" s="215" t="s">
        <v>678</v>
      </c>
      <c r="G532" s="70" t="s">
        <v>166</v>
      </c>
      <c r="H532" s="223" t="s">
        <v>655</v>
      </c>
      <c r="I532" s="222"/>
      <c r="J532" s="224" t="s">
        <v>708</v>
      </c>
      <c r="K532" s="225">
        <f>ROUND(Tableau15[[#This Row],[LEN]]*7.27,0)</f>
        <v>233</v>
      </c>
      <c r="L532" s="225">
        <v>15</v>
      </c>
      <c r="M532" s="226" t="str">
        <f t="shared" si="4"/>
        <v>none</v>
      </c>
      <c r="N532" s="225">
        <f>LEN(Tableau15[[#This Row],[LABEL]])</f>
        <v>32</v>
      </c>
      <c r="O532" s="225">
        <v>15</v>
      </c>
      <c r="P532" s="225" t="e">
        <f>ROUND(Tableau15[[#This Row],[LEN]]*#REF!+#REF!,0)</f>
        <v>#REF!</v>
      </c>
    </row>
    <row r="533" spans="1:16" s="97" customFormat="1" x14ac:dyDescent="0.25">
      <c r="A533" s="220" t="s">
        <v>1382</v>
      </c>
      <c r="B533" s="221" t="s">
        <v>264</v>
      </c>
      <c r="C533" s="222" t="s">
        <v>1405</v>
      </c>
      <c r="D533" s="70" t="s">
        <v>1177</v>
      </c>
      <c r="E533" s="229" t="s">
        <v>675</v>
      </c>
      <c r="F533" s="215" t="s">
        <v>678</v>
      </c>
      <c r="G533" s="70" t="s">
        <v>166</v>
      </c>
      <c r="H533" s="223" t="s">
        <v>656</v>
      </c>
      <c r="I533" s="222"/>
      <c r="J533" s="224" t="s">
        <v>708</v>
      </c>
      <c r="K533" s="225">
        <f>ROUND(Tableau15[[#This Row],[LEN]]*7.27,0)</f>
        <v>443</v>
      </c>
      <c r="L533" s="225">
        <v>15</v>
      </c>
      <c r="M533" s="226" t="str">
        <f t="shared" si="4"/>
        <v>none</v>
      </c>
      <c r="N533" s="225">
        <f>LEN(Tableau15[[#This Row],[LABEL]])</f>
        <v>61</v>
      </c>
      <c r="O533" s="225">
        <v>15</v>
      </c>
      <c r="P533" s="225" t="e">
        <f>ROUND(Tableau15[[#This Row],[LEN]]*#REF!+#REF!,0)</f>
        <v>#REF!</v>
      </c>
    </row>
    <row r="534" spans="1:16" s="97" customFormat="1" x14ac:dyDescent="0.25">
      <c r="A534" s="220" t="s">
        <v>1383</v>
      </c>
      <c r="B534" s="221" t="s">
        <v>264</v>
      </c>
      <c r="C534" s="222" t="s">
        <v>1343</v>
      </c>
      <c r="D534" s="70" t="s">
        <v>1177</v>
      </c>
      <c r="E534" s="229" t="s">
        <v>676</v>
      </c>
      <c r="F534" s="215" t="s">
        <v>1339</v>
      </c>
      <c r="G534" s="70" t="s">
        <v>166</v>
      </c>
      <c r="H534" s="223" t="s">
        <v>654</v>
      </c>
      <c r="I534" s="222"/>
      <c r="J534" s="224" t="s">
        <v>708</v>
      </c>
      <c r="K534" s="225">
        <f>ROUND(Tableau15[[#This Row],[LEN]]*7.27,0)</f>
        <v>269</v>
      </c>
      <c r="L534" s="225">
        <v>15</v>
      </c>
      <c r="M534" s="226" t="str">
        <f t="shared" si="4"/>
        <v>none</v>
      </c>
      <c r="N534" s="225">
        <f>LEN(Tableau15[[#This Row],[LABEL]])</f>
        <v>37</v>
      </c>
      <c r="O534" s="225">
        <v>15</v>
      </c>
      <c r="P534" s="225" t="e">
        <f>ROUND(Tableau15[[#This Row],[LEN]]*#REF!+#REF!,0)</f>
        <v>#REF!</v>
      </c>
    </row>
    <row r="535" spans="1:16" s="97" customFormat="1" x14ac:dyDescent="0.25">
      <c r="A535" s="220" t="s">
        <v>1384</v>
      </c>
      <c r="B535" s="221" t="s">
        <v>264</v>
      </c>
      <c r="C535" s="222" t="s">
        <v>1154</v>
      </c>
      <c r="D535" s="70" t="s">
        <v>1177</v>
      </c>
      <c r="E535" s="229" t="s">
        <v>667</v>
      </c>
      <c r="F535" s="215" t="s">
        <v>1133</v>
      </c>
      <c r="G535" s="70" t="s">
        <v>166</v>
      </c>
      <c r="H535" s="223" t="s">
        <v>18</v>
      </c>
      <c r="I535" s="222"/>
      <c r="J535" s="224" t="s">
        <v>102</v>
      </c>
      <c r="K535" s="225">
        <f>ROUND(Tableau15[[#This Row],[LEN]]*7.27,0)</f>
        <v>443</v>
      </c>
      <c r="L535" s="225">
        <v>15</v>
      </c>
      <c r="M535" s="226" t="str">
        <f t="shared" si="4"/>
        <v>new</v>
      </c>
      <c r="N535" s="225">
        <f>LEN(Tableau15[[#This Row],[LABEL]])</f>
        <v>61</v>
      </c>
      <c r="O535" s="225">
        <v>15</v>
      </c>
      <c r="P535" s="225" t="e">
        <f>ROUND(Tableau15[[#This Row],[LEN]]*#REF!+#REF!,0)</f>
        <v>#REF!</v>
      </c>
    </row>
    <row r="536" spans="1:16" s="97" customFormat="1" x14ac:dyDescent="0.25">
      <c r="A536" s="220" t="s">
        <v>1385</v>
      </c>
      <c r="B536" s="221" t="s">
        <v>264</v>
      </c>
      <c r="C536" s="222" t="s">
        <v>778</v>
      </c>
      <c r="D536" s="70" t="s">
        <v>1177</v>
      </c>
      <c r="E536" s="229" t="s">
        <v>673</v>
      </c>
      <c r="F536" s="27" t="s">
        <v>2000</v>
      </c>
      <c r="G536" s="70" t="s">
        <v>166</v>
      </c>
      <c r="H536" s="223" t="s">
        <v>17</v>
      </c>
      <c r="I536" s="222"/>
      <c r="J536" s="224" t="s">
        <v>708</v>
      </c>
      <c r="K536" s="225">
        <f>ROUND(Tableau15[[#This Row],[LEN]]*7.27,0)</f>
        <v>211</v>
      </c>
      <c r="L536" s="225">
        <v>15</v>
      </c>
      <c r="M536" s="226" t="str">
        <f t="shared" si="4"/>
        <v>none</v>
      </c>
      <c r="N536" s="225">
        <f>LEN(Tableau15[[#This Row],[LABEL]])</f>
        <v>29</v>
      </c>
      <c r="O536" s="225">
        <v>15</v>
      </c>
      <c r="P536" s="225" t="e">
        <f>ROUND(Tableau15[[#This Row],[LEN]]*#REF!+#REF!,0)</f>
        <v>#REF!</v>
      </c>
    </row>
    <row r="537" spans="1:16" s="97" customFormat="1" x14ac:dyDescent="0.25">
      <c r="A537" s="220" t="s">
        <v>1386</v>
      </c>
      <c r="B537" s="221" t="s">
        <v>264</v>
      </c>
      <c r="C537" s="222" t="s">
        <v>91</v>
      </c>
      <c r="D537" s="70" t="s">
        <v>1177</v>
      </c>
      <c r="E537" s="229" t="s">
        <v>663</v>
      </c>
      <c r="F537" s="215" t="s">
        <v>2080</v>
      </c>
      <c r="G537" s="70" t="s">
        <v>166</v>
      </c>
      <c r="H537" s="223" t="s">
        <v>655</v>
      </c>
      <c r="I537" s="222"/>
      <c r="J537" s="224" t="s">
        <v>708</v>
      </c>
      <c r="K537" s="225">
        <f>ROUND(Tableau15[[#This Row],[LEN]]*7.27,0)</f>
        <v>269</v>
      </c>
      <c r="L537" s="225">
        <v>15</v>
      </c>
      <c r="M537" s="226" t="str">
        <f t="shared" si="4"/>
        <v>none</v>
      </c>
      <c r="N537" s="225">
        <f>LEN(Tableau15[[#This Row],[LABEL]])</f>
        <v>37</v>
      </c>
      <c r="O537" s="225">
        <v>15</v>
      </c>
      <c r="P537" s="225" t="e">
        <f>ROUND(Tableau15[[#This Row],[LEN]]*#REF!+#REF!,0)</f>
        <v>#REF!</v>
      </c>
    </row>
    <row r="538" spans="1:16" s="97" customFormat="1" x14ac:dyDescent="0.25">
      <c r="A538" s="29" t="s">
        <v>1406</v>
      </c>
      <c r="B538" s="30" t="s">
        <v>1386</v>
      </c>
      <c r="C538" s="31" t="s">
        <v>98</v>
      </c>
      <c r="D538" s="71" t="s">
        <v>1177</v>
      </c>
      <c r="E538" s="31" t="s">
        <v>663</v>
      </c>
      <c r="F538" s="31" t="s">
        <v>2080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ROUND(Tableau15[[#This Row],[LEN]]*7.27,0)</f>
        <v>109</v>
      </c>
      <c r="L538" s="111">
        <v>15</v>
      </c>
      <c r="M538" s="128" t="str">
        <f t="shared" si="4"/>
        <v>none</v>
      </c>
      <c r="N538" s="111">
        <f>LEN(Tableau15[[#This Row],[LABEL]])</f>
        <v>15</v>
      </c>
      <c r="O538" s="111">
        <v>15</v>
      </c>
      <c r="P538" s="111" t="e">
        <f>ROUND(Tableau15[[#This Row],[LEN]]*#REF!+#REF!,0)</f>
        <v>#REF!</v>
      </c>
    </row>
    <row r="539" spans="1:16" s="97" customFormat="1" x14ac:dyDescent="0.25">
      <c r="A539" s="29" t="s">
        <v>1407</v>
      </c>
      <c r="B539" s="30" t="s">
        <v>1386</v>
      </c>
      <c r="C539" s="31" t="s">
        <v>99</v>
      </c>
      <c r="D539" s="71" t="s">
        <v>1177</v>
      </c>
      <c r="E539" s="31" t="s">
        <v>663</v>
      </c>
      <c r="F539" s="31" t="s">
        <v>2080</v>
      </c>
      <c r="G539" s="71" t="s">
        <v>166</v>
      </c>
      <c r="H539" s="71" t="s">
        <v>18</v>
      </c>
      <c r="I539" s="31"/>
      <c r="J539" s="32" t="s">
        <v>708</v>
      </c>
      <c r="K539" s="111">
        <f>ROUND(Tableau15[[#This Row],[LEN]]*7.27,0)</f>
        <v>80</v>
      </c>
      <c r="L539" s="111">
        <v>15</v>
      </c>
      <c r="M539" s="128" t="str">
        <f t="shared" si="4"/>
        <v>none</v>
      </c>
      <c r="N539" s="111">
        <f>LEN(Tableau15[[#This Row],[LABEL]])</f>
        <v>11</v>
      </c>
      <c r="O539" s="111">
        <v>15</v>
      </c>
      <c r="P539" s="111" t="e">
        <f>ROUND(Tableau15[[#This Row],[LEN]]*#REF!+#REF!,0)</f>
        <v>#REF!</v>
      </c>
    </row>
    <row r="540" spans="1:16" s="97" customFormat="1" x14ac:dyDescent="0.25">
      <c r="A540" s="220" t="s">
        <v>1387</v>
      </c>
      <c r="B540" s="221" t="s">
        <v>264</v>
      </c>
      <c r="C540" s="222" t="s">
        <v>1408</v>
      </c>
      <c r="D540" s="70" t="s">
        <v>1409</v>
      </c>
      <c r="E540" s="229" t="s">
        <v>678</v>
      </c>
      <c r="F540" s="215" t="s">
        <v>671</v>
      </c>
      <c r="G540" s="70" t="s">
        <v>166</v>
      </c>
      <c r="H540" s="223" t="s">
        <v>18</v>
      </c>
      <c r="I540" s="222"/>
      <c r="J540" s="224" t="s">
        <v>708</v>
      </c>
      <c r="K540" s="225">
        <f>ROUND(Tableau15[[#This Row],[LEN]]*7.27,0)</f>
        <v>364</v>
      </c>
      <c r="L540" s="225">
        <v>15</v>
      </c>
      <c r="M540" s="226" t="str">
        <f t="shared" si="4"/>
        <v>none</v>
      </c>
      <c r="N540" s="225">
        <f>LEN(Tableau15[[#This Row],[LABEL]])</f>
        <v>50</v>
      </c>
      <c r="O540" s="225">
        <v>15</v>
      </c>
      <c r="P540" s="225" t="e">
        <f>ROUND(Tableau15[[#This Row],[LEN]]*#REF!+#REF!,0)</f>
        <v>#REF!</v>
      </c>
    </row>
    <row r="541" spans="1:16" s="97" customFormat="1" x14ac:dyDescent="0.25">
      <c r="A541" s="220" t="s">
        <v>1388</v>
      </c>
      <c r="B541" s="221" t="s">
        <v>264</v>
      </c>
      <c r="C541" s="222" t="s">
        <v>1410</v>
      </c>
      <c r="D541" s="70" t="s">
        <v>1177</v>
      </c>
      <c r="E541" s="229" t="s">
        <v>678</v>
      </c>
      <c r="F541" s="215" t="s">
        <v>1177</v>
      </c>
      <c r="G541" s="70" t="s">
        <v>166</v>
      </c>
      <c r="H541" s="223" t="s">
        <v>570</v>
      </c>
      <c r="I541" s="222"/>
      <c r="J541" s="224" t="s">
        <v>708</v>
      </c>
      <c r="K541" s="225">
        <f>ROUND(Tableau15[[#This Row],[LEN]]*7.27,0)</f>
        <v>291</v>
      </c>
      <c r="L541" s="225">
        <v>15</v>
      </c>
      <c r="M541" s="226" t="str">
        <f t="shared" si="4"/>
        <v>none</v>
      </c>
      <c r="N541" s="225">
        <f>LEN(Tableau15[[#This Row],[LABEL]])</f>
        <v>40</v>
      </c>
      <c r="O541" s="225">
        <v>15</v>
      </c>
      <c r="P541" s="225" t="e">
        <f>ROUND(Tableau15[[#This Row],[LEN]]*#REF!+#REF!,0)</f>
        <v>#REF!</v>
      </c>
    </row>
    <row r="542" spans="1:16" s="97" customFormat="1" x14ac:dyDescent="0.25">
      <c r="A542" s="220" t="s">
        <v>1389</v>
      </c>
      <c r="B542" s="221" t="s">
        <v>264</v>
      </c>
      <c r="C542" s="222" t="s">
        <v>1411</v>
      </c>
      <c r="D542" s="70" t="s">
        <v>1177</v>
      </c>
      <c r="E542" s="229" t="s">
        <v>678</v>
      </c>
      <c r="F542" s="215" t="s">
        <v>1177</v>
      </c>
      <c r="G542" s="70" t="s">
        <v>166</v>
      </c>
      <c r="H542" s="223" t="s">
        <v>656</v>
      </c>
      <c r="I542" s="222"/>
      <c r="J542" s="224" t="s">
        <v>708</v>
      </c>
      <c r="K542" s="225">
        <f>ROUND(Tableau15[[#This Row],[LEN]]*7.27,0)</f>
        <v>473</v>
      </c>
      <c r="L542" s="225">
        <v>15</v>
      </c>
      <c r="M542" s="226" t="str">
        <f t="shared" si="4"/>
        <v>none</v>
      </c>
      <c r="N542" s="225">
        <f>LEN(Tableau15[[#This Row],[LABEL]])</f>
        <v>65</v>
      </c>
      <c r="O542" s="225">
        <v>15</v>
      </c>
      <c r="P542" s="225" t="e">
        <f>ROUND(Tableau15[[#This Row],[LEN]]*#REF!+#REF!,0)</f>
        <v>#REF!</v>
      </c>
    </row>
    <row r="543" spans="1:16" s="97" customFormat="1" x14ac:dyDescent="0.25">
      <c r="A543" s="220" t="s">
        <v>1390</v>
      </c>
      <c r="B543" s="221" t="s">
        <v>264</v>
      </c>
      <c r="C543" s="222" t="s">
        <v>1167</v>
      </c>
      <c r="D543" s="70" t="s">
        <v>486</v>
      </c>
      <c r="E543" s="229" t="s">
        <v>1085</v>
      </c>
      <c r="F543" s="215" t="s">
        <v>1084</v>
      </c>
      <c r="G543" s="70" t="s">
        <v>1977</v>
      </c>
      <c r="H543" s="223" t="s">
        <v>1131</v>
      </c>
      <c r="I543" s="222"/>
      <c r="J543" s="224" t="s">
        <v>708</v>
      </c>
      <c r="K543" s="225">
        <f>ROUND(Tableau15[[#This Row],[LEN]]*7.27,0)</f>
        <v>196</v>
      </c>
      <c r="L543" s="225">
        <v>15</v>
      </c>
      <c r="M543" s="226" t="str">
        <f t="shared" si="4"/>
        <v>none</v>
      </c>
      <c r="N543" s="225">
        <f>LEN(Tableau15[[#This Row],[LABEL]])</f>
        <v>27</v>
      </c>
      <c r="O543" s="225">
        <v>15</v>
      </c>
      <c r="P543" s="225" t="e">
        <f>ROUND(Tableau15[[#This Row],[LEN]]*#REF!+#REF!,0)</f>
        <v>#REF!</v>
      </c>
    </row>
    <row r="544" spans="1:16" s="97" customFormat="1" x14ac:dyDescent="0.25">
      <c r="A544" s="29" t="s">
        <v>1412</v>
      </c>
      <c r="B544" s="30" t="s">
        <v>1390</v>
      </c>
      <c r="C544" s="31" t="s">
        <v>93</v>
      </c>
      <c r="D544" s="71" t="s">
        <v>1177</v>
      </c>
      <c r="E544" s="31" t="s">
        <v>1085</v>
      </c>
      <c r="F544" s="31" t="s">
        <v>1084</v>
      </c>
      <c r="G544" s="71" t="s">
        <v>166</v>
      </c>
      <c r="H544" s="71" t="s">
        <v>18</v>
      </c>
      <c r="I544" s="31"/>
      <c r="J544" s="32" t="s">
        <v>101</v>
      </c>
      <c r="K544" s="111">
        <f>ROUND(Tableau15[[#This Row],[LEN]]*7.27,0)</f>
        <v>109</v>
      </c>
      <c r="L544" s="111">
        <v>15</v>
      </c>
      <c r="M544" s="128" t="str">
        <f t="shared" si="4"/>
        <v>new</v>
      </c>
      <c r="N544" s="111">
        <f>LEN(Tableau15[[#This Row],[LABEL]])</f>
        <v>15</v>
      </c>
      <c r="O544" s="111">
        <v>15</v>
      </c>
      <c r="P544" s="111" t="e">
        <f>ROUND(Tableau15[[#This Row],[LEN]]*#REF!+#REF!,0)</f>
        <v>#REF!</v>
      </c>
    </row>
    <row r="545" spans="1:16" s="97" customFormat="1" x14ac:dyDescent="0.25">
      <c r="A545" s="29" t="s">
        <v>1413</v>
      </c>
      <c r="B545" s="30" t="s">
        <v>1390</v>
      </c>
      <c r="C545" s="31" t="s">
        <v>94</v>
      </c>
      <c r="D545" s="71" t="s">
        <v>1177</v>
      </c>
      <c r="E545" s="31" t="s">
        <v>1085</v>
      </c>
      <c r="F545" s="31" t="s">
        <v>1084</v>
      </c>
      <c r="G545" s="71" t="s">
        <v>166</v>
      </c>
      <c r="H545" s="71" t="s">
        <v>18</v>
      </c>
      <c r="I545" s="31"/>
      <c r="J545" s="32" t="s">
        <v>102</v>
      </c>
      <c r="K545" s="111">
        <f>ROUND(Tableau15[[#This Row],[LEN]]*7.27,0)</f>
        <v>58</v>
      </c>
      <c r="L545" s="111">
        <v>15</v>
      </c>
      <c r="M545" s="128" t="str">
        <f t="shared" si="4"/>
        <v>new</v>
      </c>
      <c r="N545" s="111">
        <f>LEN(Tableau15[[#This Row],[LABEL]])</f>
        <v>8</v>
      </c>
      <c r="O545" s="111">
        <v>15</v>
      </c>
      <c r="P545" s="111" t="e">
        <f>ROUND(Tableau15[[#This Row],[LEN]]*#REF!+#REF!,0)</f>
        <v>#REF!</v>
      </c>
    </row>
    <row r="546" spans="1:16" s="273" customFormat="1" x14ac:dyDescent="0.25">
      <c r="A546" s="288" t="s">
        <v>265</v>
      </c>
      <c r="B546" s="289" t="s">
        <v>206</v>
      </c>
      <c r="C546" s="290" t="s">
        <v>15</v>
      </c>
      <c r="D546" s="291" t="s">
        <v>1177</v>
      </c>
      <c r="E546" s="290" t="s">
        <v>679</v>
      </c>
      <c r="F546" s="290" t="s">
        <v>1177</v>
      </c>
      <c r="G546" s="291" t="s">
        <v>166</v>
      </c>
      <c r="H546" s="291" t="str">
        <f>IFERROR(IF(SEARCH(".00.00.00.00.00",Tableau15[[#This Row],[name]],1)=7,"Division",""),"")</f>
        <v>Division</v>
      </c>
      <c r="I546" s="290"/>
      <c r="J546" s="292" t="s">
        <v>708</v>
      </c>
      <c r="K546" s="293">
        <f>ROUND(Tableau15[[#This Row],[LEN]]*7.27,0)</f>
        <v>174</v>
      </c>
      <c r="L546" s="293">
        <v>15</v>
      </c>
      <c r="M546" s="294" t="str">
        <f t="shared" si="4"/>
        <v>none</v>
      </c>
      <c r="N546" s="293">
        <f>LEN(Tableau15[[#This Row],[LABEL]])</f>
        <v>24</v>
      </c>
      <c r="O546" s="293">
        <v>15</v>
      </c>
      <c r="P546" s="293" t="e">
        <f>ROUND(Tableau15[[#This Row],[LEN]]*#REF!+#REF!,0)</f>
        <v>#REF!</v>
      </c>
    </row>
    <row r="547" spans="1:16" s="97" customFormat="1" x14ac:dyDescent="0.25">
      <c r="A547" s="220" t="s">
        <v>1414</v>
      </c>
      <c r="B547" s="221" t="s">
        <v>265</v>
      </c>
      <c r="C547" s="222" t="s">
        <v>88</v>
      </c>
      <c r="D547" s="70" t="s">
        <v>1177</v>
      </c>
      <c r="E547" s="229" t="s">
        <v>667</v>
      </c>
      <c r="F547" s="215" t="s">
        <v>1218</v>
      </c>
      <c r="G547" s="70" t="s">
        <v>166</v>
      </c>
      <c r="H547" s="223" t="s">
        <v>570</v>
      </c>
      <c r="I547" s="222"/>
      <c r="J547" s="224" t="s">
        <v>708</v>
      </c>
      <c r="K547" s="225">
        <f>ROUND(Tableau15[[#This Row],[LEN]]*7.27,0)</f>
        <v>342</v>
      </c>
      <c r="L547" s="225">
        <v>15</v>
      </c>
      <c r="M547" s="226" t="str">
        <f t="shared" si="4"/>
        <v>none</v>
      </c>
      <c r="N547" s="225">
        <f>LEN(Tableau15[[#This Row],[LABEL]])</f>
        <v>47</v>
      </c>
      <c r="O547" s="225">
        <v>15</v>
      </c>
      <c r="P547" s="225" t="e">
        <f>ROUND(Tableau15[[#This Row],[LEN]]*#REF!+#REF!,0)</f>
        <v>#REF!</v>
      </c>
    </row>
    <row r="548" spans="1:16" s="97" customFormat="1" x14ac:dyDescent="0.25">
      <c r="A548" s="220" t="s">
        <v>1415</v>
      </c>
      <c r="B548" s="221" t="s">
        <v>265</v>
      </c>
      <c r="C548" s="222" t="s">
        <v>1357</v>
      </c>
      <c r="D548" s="70" t="s">
        <v>1177</v>
      </c>
      <c r="E548" s="229" t="s">
        <v>673</v>
      </c>
      <c r="F548" s="215" t="s">
        <v>1249</v>
      </c>
      <c r="G548" s="70" t="s">
        <v>166</v>
      </c>
      <c r="H548" s="223" t="s">
        <v>655</v>
      </c>
      <c r="I548" s="222"/>
      <c r="J548" s="224" t="s">
        <v>708</v>
      </c>
      <c r="K548" s="225">
        <f>ROUND(Tableau15[[#This Row],[LEN]]*7.27,0)</f>
        <v>298</v>
      </c>
      <c r="L548" s="225">
        <v>15</v>
      </c>
      <c r="M548" s="226" t="str">
        <f t="shared" si="4"/>
        <v>none</v>
      </c>
      <c r="N548" s="225">
        <f>LEN(Tableau15[[#This Row],[LABEL]])</f>
        <v>41</v>
      </c>
      <c r="O548" s="225">
        <v>15</v>
      </c>
      <c r="P548" s="225" t="e">
        <f>ROUND(Tableau15[[#This Row],[LEN]]*#REF!+#REF!,0)</f>
        <v>#REF!</v>
      </c>
    </row>
    <row r="549" spans="1:16" s="97" customFormat="1" x14ac:dyDescent="0.25">
      <c r="A549" s="220" t="s">
        <v>1416</v>
      </c>
      <c r="B549" s="221" t="s">
        <v>265</v>
      </c>
      <c r="C549" s="222" t="s">
        <v>778</v>
      </c>
      <c r="D549" s="70" t="s">
        <v>1177</v>
      </c>
      <c r="E549" s="229" t="s">
        <v>673</v>
      </c>
      <c r="F549" s="27" t="s">
        <v>2000</v>
      </c>
      <c r="G549" s="70" t="s">
        <v>166</v>
      </c>
      <c r="H549" s="223" t="s">
        <v>17</v>
      </c>
      <c r="I549" s="222"/>
      <c r="J549" s="224" t="s">
        <v>708</v>
      </c>
      <c r="K549" s="225">
        <f>ROUND(Tableau15[[#This Row],[LEN]]*7.27,0)</f>
        <v>211</v>
      </c>
      <c r="L549" s="225">
        <v>15</v>
      </c>
      <c r="M549" s="226" t="str">
        <f t="shared" si="4"/>
        <v>none</v>
      </c>
      <c r="N549" s="225">
        <f>LEN(Tableau15[[#This Row],[LABEL]])</f>
        <v>29</v>
      </c>
      <c r="O549" s="225">
        <v>15</v>
      </c>
      <c r="P549" s="225" t="e">
        <f>ROUND(Tableau15[[#This Row],[LEN]]*#REF!+#REF!,0)</f>
        <v>#REF!</v>
      </c>
    </row>
    <row r="550" spans="1:16" s="97" customFormat="1" x14ac:dyDescent="0.25">
      <c r="A550" s="220" t="s">
        <v>1417</v>
      </c>
      <c r="B550" s="221" t="s">
        <v>265</v>
      </c>
      <c r="C550" s="222" t="s">
        <v>91</v>
      </c>
      <c r="D550" s="70" t="s">
        <v>1177</v>
      </c>
      <c r="E550" s="229" t="s">
        <v>663</v>
      </c>
      <c r="F550" s="215" t="s">
        <v>2080</v>
      </c>
      <c r="G550" s="70" t="s">
        <v>166</v>
      </c>
      <c r="H550" s="223" t="s">
        <v>655</v>
      </c>
      <c r="I550" s="222"/>
      <c r="J550" s="224" t="s">
        <v>708</v>
      </c>
      <c r="K550" s="225">
        <f>ROUND(Tableau15[[#This Row],[LEN]]*7.27,0)</f>
        <v>269</v>
      </c>
      <c r="L550" s="225">
        <v>15</v>
      </c>
      <c r="M550" s="226" t="str">
        <f t="shared" si="4"/>
        <v>none</v>
      </c>
      <c r="N550" s="225">
        <f>LEN(Tableau15[[#This Row],[LABEL]])</f>
        <v>37</v>
      </c>
      <c r="O550" s="225">
        <v>15</v>
      </c>
      <c r="P550" s="225" t="e">
        <f>ROUND(Tableau15[[#This Row],[LEN]]*#REF!+#REF!,0)</f>
        <v>#REF!</v>
      </c>
    </row>
    <row r="551" spans="1:16" s="97" customFormat="1" x14ac:dyDescent="0.25">
      <c r="A551" s="29" t="s">
        <v>1421</v>
      </c>
      <c r="B551" s="30" t="s">
        <v>1417</v>
      </c>
      <c r="C551" s="31" t="s">
        <v>98</v>
      </c>
      <c r="D551" s="71" t="s">
        <v>1177</v>
      </c>
      <c r="E551" s="31" t="s">
        <v>663</v>
      </c>
      <c r="F551" s="31" t="s">
        <v>2080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ROUND(Tableau15[[#This Row],[LEN]]*7.27,0)</f>
        <v>109</v>
      </c>
      <c r="L551" s="111">
        <v>15</v>
      </c>
      <c r="M551" s="128" t="str">
        <f t="shared" si="4"/>
        <v>none</v>
      </c>
      <c r="N551" s="111">
        <f>LEN(Tableau15[[#This Row],[LABEL]])</f>
        <v>15</v>
      </c>
      <c r="O551" s="111">
        <v>15</v>
      </c>
      <c r="P551" s="111" t="e">
        <f>ROUND(Tableau15[[#This Row],[LEN]]*#REF!+#REF!,0)</f>
        <v>#REF!</v>
      </c>
    </row>
    <row r="552" spans="1:16" s="97" customFormat="1" x14ac:dyDescent="0.25">
      <c r="A552" s="29" t="s">
        <v>1422</v>
      </c>
      <c r="B552" s="30" t="s">
        <v>1417</v>
      </c>
      <c r="C552" s="31" t="s">
        <v>99</v>
      </c>
      <c r="D552" s="71" t="s">
        <v>1177</v>
      </c>
      <c r="E552" s="31" t="s">
        <v>663</v>
      </c>
      <c r="F552" s="31" t="s">
        <v>2080</v>
      </c>
      <c r="G552" s="71" t="s">
        <v>166</v>
      </c>
      <c r="H552" s="71" t="s">
        <v>18</v>
      </c>
      <c r="I552" s="31"/>
      <c r="J552" s="32" t="s">
        <v>708</v>
      </c>
      <c r="K552" s="111">
        <f>ROUND(Tableau15[[#This Row],[LEN]]*7.27,0)</f>
        <v>80</v>
      </c>
      <c r="L552" s="111">
        <v>15</v>
      </c>
      <c r="M552" s="128" t="str">
        <f t="shared" si="4"/>
        <v>none</v>
      </c>
      <c r="N552" s="111">
        <f>LEN(Tableau15[[#This Row],[LABEL]])</f>
        <v>11</v>
      </c>
      <c r="O552" s="111">
        <v>15</v>
      </c>
      <c r="P552" s="111" t="e">
        <f>ROUND(Tableau15[[#This Row],[LEN]]*#REF!+#REF!,0)</f>
        <v>#REF!</v>
      </c>
    </row>
    <row r="553" spans="1:16" s="97" customFormat="1" x14ac:dyDescent="0.25">
      <c r="A553" s="220" t="s">
        <v>1418</v>
      </c>
      <c r="B553" s="221" t="s">
        <v>265</v>
      </c>
      <c r="C553" s="222" t="s">
        <v>1423</v>
      </c>
      <c r="D553" s="70" t="s">
        <v>1177</v>
      </c>
      <c r="E553" s="229" t="s">
        <v>679</v>
      </c>
      <c r="F553" s="215" t="s">
        <v>1177</v>
      </c>
      <c r="G553" s="70" t="s">
        <v>166</v>
      </c>
      <c r="H553" s="223" t="s">
        <v>656</v>
      </c>
      <c r="I553" s="222"/>
      <c r="J553" s="224" t="s">
        <v>708</v>
      </c>
      <c r="K553" s="225">
        <f>ROUND(Tableau15[[#This Row],[LEN]]*7.27,0)</f>
        <v>87</v>
      </c>
      <c r="L553" s="225">
        <v>15</v>
      </c>
      <c r="M553" s="226" t="str">
        <f t="shared" si="4"/>
        <v>none</v>
      </c>
      <c r="N553" s="225">
        <f>LEN(Tableau15[[#This Row],[LABEL]])</f>
        <v>12</v>
      </c>
      <c r="O553" s="225">
        <v>15</v>
      </c>
      <c r="P553" s="225" t="e">
        <f>ROUND(Tableau15[[#This Row],[LEN]]*#REF!+#REF!,0)</f>
        <v>#REF!</v>
      </c>
    </row>
    <row r="554" spans="1:16" s="97" customFormat="1" x14ac:dyDescent="0.25">
      <c r="A554" s="220" t="s">
        <v>1419</v>
      </c>
      <c r="B554" s="221" t="s">
        <v>265</v>
      </c>
      <c r="C554" s="222" t="s">
        <v>1424</v>
      </c>
      <c r="D554" s="70" t="s">
        <v>1177</v>
      </c>
      <c r="E554" s="229" t="s">
        <v>679</v>
      </c>
      <c r="F554" s="215" t="s">
        <v>1177</v>
      </c>
      <c r="G554" s="70" t="s">
        <v>166</v>
      </c>
      <c r="H554" s="223" t="s">
        <v>18</v>
      </c>
      <c r="I554" s="222"/>
      <c r="J554" s="224" t="s">
        <v>708</v>
      </c>
      <c r="K554" s="225">
        <f>ROUND(Tableau15[[#This Row],[LEN]]*7.27,0)</f>
        <v>320</v>
      </c>
      <c r="L554" s="225">
        <v>15</v>
      </c>
      <c r="M554" s="226" t="str">
        <f t="shared" si="4"/>
        <v>none</v>
      </c>
      <c r="N554" s="225">
        <f>LEN(Tableau15[[#This Row],[LABEL]])</f>
        <v>44</v>
      </c>
      <c r="O554" s="225">
        <v>15</v>
      </c>
      <c r="P554" s="225" t="e">
        <f>ROUND(Tableau15[[#This Row],[LEN]]*#REF!+#REF!,0)</f>
        <v>#REF!</v>
      </c>
    </row>
    <row r="555" spans="1:16" s="97" customFormat="1" x14ac:dyDescent="0.25">
      <c r="A555" s="220" t="s">
        <v>1420</v>
      </c>
      <c r="B555" s="221" t="s">
        <v>265</v>
      </c>
      <c r="C555" s="222" t="s">
        <v>1167</v>
      </c>
      <c r="D555" s="70" t="s">
        <v>486</v>
      </c>
      <c r="E555" s="229" t="s">
        <v>1085</v>
      </c>
      <c r="F555" s="215" t="s">
        <v>1084</v>
      </c>
      <c r="G555" s="70" t="s">
        <v>1977</v>
      </c>
      <c r="H555" s="223" t="s">
        <v>1131</v>
      </c>
      <c r="I555" s="222"/>
      <c r="J555" s="224" t="s">
        <v>708</v>
      </c>
      <c r="K555" s="225">
        <f>ROUND(Tableau15[[#This Row],[LEN]]*7.27,0)</f>
        <v>196</v>
      </c>
      <c r="L555" s="225">
        <v>15</v>
      </c>
      <c r="M555" s="226" t="str">
        <f t="shared" si="4"/>
        <v>none</v>
      </c>
      <c r="N555" s="225">
        <f>LEN(Tableau15[[#This Row],[LABEL]])</f>
        <v>27</v>
      </c>
      <c r="O555" s="225">
        <v>15</v>
      </c>
      <c r="P555" s="225" t="e">
        <f>ROUND(Tableau15[[#This Row],[LEN]]*#REF!+#REF!,0)</f>
        <v>#REF!</v>
      </c>
    </row>
    <row r="556" spans="1:16" s="97" customFormat="1" x14ac:dyDescent="0.25">
      <c r="A556" s="29" t="s">
        <v>1425</v>
      </c>
      <c r="B556" s="30" t="s">
        <v>1420</v>
      </c>
      <c r="C556" s="31" t="s">
        <v>93</v>
      </c>
      <c r="D556" s="71" t="s">
        <v>1177</v>
      </c>
      <c r="E556" s="31" t="s">
        <v>1085</v>
      </c>
      <c r="F556" s="31" t="s">
        <v>1084</v>
      </c>
      <c r="G556" s="71" t="s">
        <v>166</v>
      </c>
      <c r="H556" s="71" t="s">
        <v>18</v>
      </c>
      <c r="I556" s="31"/>
      <c r="J556" s="32" t="s">
        <v>101</v>
      </c>
      <c r="K556" s="111">
        <f>ROUND(Tableau15[[#This Row],[LEN]]*7.27,0)</f>
        <v>109</v>
      </c>
      <c r="L556" s="111">
        <v>15</v>
      </c>
      <c r="M556" s="128" t="str">
        <f t="shared" si="4"/>
        <v>new</v>
      </c>
      <c r="N556" s="111">
        <f>LEN(Tableau15[[#This Row],[LABEL]])</f>
        <v>15</v>
      </c>
      <c r="O556" s="111">
        <v>15</v>
      </c>
      <c r="P556" s="111" t="e">
        <f>ROUND(Tableau15[[#This Row],[LEN]]*#REF!+#REF!,0)</f>
        <v>#REF!</v>
      </c>
    </row>
    <row r="557" spans="1:16" s="97" customFormat="1" x14ac:dyDescent="0.25">
      <c r="A557" s="29" t="s">
        <v>1426</v>
      </c>
      <c r="B557" s="30" t="s">
        <v>1420</v>
      </c>
      <c r="C557" s="31" t="s">
        <v>94</v>
      </c>
      <c r="D557" s="71" t="s">
        <v>1177</v>
      </c>
      <c r="E557" s="31" t="s">
        <v>1085</v>
      </c>
      <c r="F557" s="31" t="s">
        <v>1084</v>
      </c>
      <c r="G557" s="71" t="s">
        <v>166</v>
      </c>
      <c r="H557" s="71" t="s">
        <v>18</v>
      </c>
      <c r="I557" s="31"/>
      <c r="J557" s="32" t="s">
        <v>102</v>
      </c>
      <c r="K557" s="111">
        <f>ROUND(Tableau15[[#This Row],[LEN]]*7.27,0)</f>
        <v>58</v>
      </c>
      <c r="L557" s="111">
        <v>15</v>
      </c>
      <c r="M557" s="128" t="str">
        <f t="shared" si="4"/>
        <v>new</v>
      </c>
      <c r="N557" s="111">
        <f>LEN(Tableau15[[#This Row],[LABEL]])</f>
        <v>8</v>
      </c>
      <c r="O557" s="111">
        <v>15</v>
      </c>
      <c r="P557" s="111" t="e">
        <f>ROUND(Tableau15[[#This Row],[LEN]]*#REF!+#REF!,0)</f>
        <v>#REF!</v>
      </c>
    </row>
    <row r="558" spans="1:16" s="273" customFormat="1" x14ac:dyDescent="0.25">
      <c r="A558" s="288" t="s">
        <v>1979</v>
      </c>
      <c r="B558" s="289" t="s">
        <v>206</v>
      </c>
      <c r="C558" s="290" t="s">
        <v>1950</v>
      </c>
      <c r="D558" s="291" t="s">
        <v>1177</v>
      </c>
      <c r="E558" s="290" t="s">
        <v>1951</v>
      </c>
      <c r="F558" s="290" t="s">
        <v>1177</v>
      </c>
      <c r="G558" s="291" t="s">
        <v>166</v>
      </c>
      <c r="H558" s="291" t="s">
        <v>56</v>
      </c>
      <c r="I558" s="290"/>
      <c r="J558" s="292" t="s">
        <v>708</v>
      </c>
      <c r="K558" s="293">
        <f>ROUND(Tableau15[[#This Row],[LEN]]*7.27,0)</f>
        <v>51</v>
      </c>
      <c r="L558" s="293">
        <v>15</v>
      </c>
      <c r="M558" s="294" t="str">
        <f t="shared" si="4"/>
        <v>none</v>
      </c>
      <c r="N558" s="293">
        <f>LEN(Tableau15[[#This Row],[LABEL]])</f>
        <v>7</v>
      </c>
      <c r="O558" s="293">
        <v>15</v>
      </c>
      <c r="P558" s="293" t="e">
        <f>ROUND(Tableau15[[#This Row],[LEN]]*#REF!+#REF!,0)</f>
        <v>#REF!</v>
      </c>
    </row>
    <row r="559" spans="1:16" s="97" customFormat="1" x14ac:dyDescent="0.25">
      <c r="A559" s="220" t="s">
        <v>1980</v>
      </c>
      <c r="B559" s="221" t="s">
        <v>1979</v>
      </c>
      <c r="C559" s="222" t="s">
        <v>2001</v>
      </c>
      <c r="D559" s="70" t="s">
        <v>1990</v>
      </c>
      <c r="E559" s="229" t="s">
        <v>1951</v>
      </c>
      <c r="F559" s="215" t="s">
        <v>1177</v>
      </c>
      <c r="G559" s="70" t="s">
        <v>166</v>
      </c>
      <c r="H559" s="223" t="s">
        <v>570</v>
      </c>
      <c r="I559" s="222"/>
      <c r="J559" s="224" t="s">
        <v>708</v>
      </c>
      <c r="K559" s="225">
        <f>ROUND(Tableau15[[#This Row],[LEN]]*7.27,0)</f>
        <v>80</v>
      </c>
      <c r="L559" s="225">
        <v>15</v>
      </c>
      <c r="M559" s="226" t="str">
        <f t="shared" si="4"/>
        <v>none</v>
      </c>
      <c r="N559" s="225">
        <f>LEN(Tableau15[[#This Row],[LABEL]])</f>
        <v>11</v>
      </c>
      <c r="O559" s="225">
        <v>15</v>
      </c>
      <c r="P559" s="225" t="e">
        <f>ROUND(Tableau15[[#This Row],[LEN]]*#REF!+#REF!,0)</f>
        <v>#REF!</v>
      </c>
    </row>
    <row r="560" spans="1:16" s="97" customFormat="1" x14ac:dyDescent="0.25">
      <c r="A560" s="220" t="s">
        <v>1981</v>
      </c>
      <c r="B560" s="221" t="s">
        <v>1979</v>
      </c>
      <c r="C560" s="222" t="s">
        <v>1991</v>
      </c>
      <c r="D560" s="70" t="s">
        <v>1177</v>
      </c>
      <c r="E560" s="229" t="s">
        <v>1951</v>
      </c>
      <c r="F560" s="215" t="s">
        <v>1177</v>
      </c>
      <c r="G560" s="70" t="s">
        <v>166</v>
      </c>
      <c r="H560" s="223" t="s">
        <v>570</v>
      </c>
      <c r="I560" s="222"/>
      <c r="J560" s="224" t="s">
        <v>708</v>
      </c>
      <c r="K560" s="225">
        <f>ROUND(Tableau15[[#This Row],[LEN]]*7.27,0)</f>
        <v>458</v>
      </c>
      <c r="L560" s="225">
        <v>15</v>
      </c>
      <c r="M560" s="226" t="str">
        <f t="shared" si="4"/>
        <v>none</v>
      </c>
      <c r="N560" s="225">
        <f>LEN(Tableau15[[#This Row],[LABEL]])</f>
        <v>63</v>
      </c>
      <c r="O560" s="225">
        <v>15</v>
      </c>
      <c r="P560" s="225" t="e">
        <f>ROUND(Tableau15[[#This Row],[LEN]]*#REF!+#REF!,0)</f>
        <v>#REF!</v>
      </c>
    </row>
    <row r="561" spans="1:16" s="97" customFormat="1" x14ac:dyDescent="0.25">
      <c r="A561" s="220" t="s">
        <v>1982</v>
      </c>
      <c r="B561" s="221" t="s">
        <v>1979</v>
      </c>
      <c r="C561" s="222" t="s">
        <v>1992</v>
      </c>
      <c r="D561" s="70" t="s">
        <v>1177</v>
      </c>
      <c r="E561" s="229" t="s">
        <v>1951</v>
      </c>
      <c r="F561" s="215" t="s">
        <v>1177</v>
      </c>
      <c r="G561" s="70" t="s">
        <v>166</v>
      </c>
      <c r="H561" s="223" t="s">
        <v>570</v>
      </c>
      <c r="I561" s="222"/>
      <c r="J561" s="224" t="s">
        <v>708</v>
      </c>
      <c r="K561" s="225">
        <f>ROUND(Tableau15[[#This Row],[LEN]]*7.27,0)</f>
        <v>305</v>
      </c>
      <c r="L561" s="225">
        <v>15</v>
      </c>
      <c r="M561" s="226" t="str">
        <f t="shared" si="4"/>
        <v>none</v>
      </c>
      <c r="N561" s="225">
        <f>LEN(Tableau15[[#This Row],[LABEL]])</f>
        <v>42</v>
      </c>
      <c r="O561" s="225">
        <v>15</v>
      </c>
      <c r="P561" s="225" t="e">
        <f>ROUND(Tableau15[[#This Row],[LEN]]*#REF!+#REF!,0)</f>
        <v>#REF!</v>
      </c>
    </row>
    <row r="562" spans="1:16" s="97" customFormat="1" x14ac:dyDescent="0.25">
      <c r="A562" s="220" t="s">
        <v>1983</v>
      </c>
      <c r="B562" s="221" t="s">
        <v>1979</v>
      </c>
      <c r="C562" s="222" t="s">
        <v>1993</v>
      </c>
      <c r="D562" s="70" t="s">
        <v>1177</v>
      </c>
      <c r="E562" s="229" t="s">
        <v>1951</v>
      </c>
      <c r="F562" s="215" t="s">
        <v>1177</v>
      </c>
      <c r="G562" s="70" t="s">
        <v>166</v>
      </c>
      <c r="H562" s="223" t="s">
        <v>570</v>
      </c>
      <c r="I562" s="222"/>
      <c r="J562" s="224" t="s">
        <v>708</v>
      </c>
      <c r="K562" s="225">
        <f>ROUND(Tableau15[[#This Row],[LEN]]*7.27,0)</f>
        <v>385</v>
      </c>
      <c r="L562" s="225">
        <v>15</v>
      </c>
      <c r="M562" s="226" t="str">
        <f t="shared" si="4"/>
        <v>none</v>
      </c>
      <c r="N562" s="225">
        <f>LEN(Tableau15[[#This Row],[LABEL]])</f>
        <v>53</v>
      </c>
      <c r="O562" s="225">
        <v>15</v>
      </c>
      <c r="P562" s="225" t="e">
        <f>ROUND(Tableau15[[#This Row],[LEN]]*#REF!+#REF!,0)</f>
        <v>#REF!</v>
      </c>
    </row>
    <row r="563" spans="1:16" s="97" customFormat="1" x14ac:dyDescent="0.25">
      <c r="A563" s="220" t="s">
        <v>1984</v>
      </c>
      <c r="B563" s="221" t="s">
        <v>1979</v>
      </c>
      <c r="C563" s="222" t="s">
        <v>2002</v>
      </c>
      <c r="D563" s="70" t="s">
        <v>1994</v>
      </c>
      <c r="E563" s="229" t="s">
        <v>1951</v>
      </c>
      <c r="F563" s="215" t="s">
        <v>1177</v>
      </c>
      <c r="G563" s="70" t="s">
        <v>166</v>
      </c>
      <c r="H563" s="223" t="s">
        <v>18</v>
      </c>
      <c r="I563" s="222"/>
      <c r="J563" s="224" t="s">
        <v>708</v>
      </c>
      <c r="K563" s="225">
        <f>ROUND(Tableau15[[#This Row],[LEN]]*7.27,0)</f>
        <v>516</v>
      </c>
      <c r="L563" s="225">
        <v>15</v>
      </c>
      <c r="M563" s="226" t="str">
        <f t="shared" si="4"/>
        <v>none</v>
      </c>
      <c r="N563" s="225">
        <f>LEN(Tableau15[[#This Row],[LABEL]])</f>
        <v>71</v>
      </c>
      <c r="O563" s="225">
        <v>15</v>
      </c>
      <c r="P563" s="225" t="e">
        <f>ROUND(Tableau15[[#This Row],[LEN]]*#REF!+#REF!,0)</f>
        <v>#REF!</v>
      </c>
    </row>
    <row r="564" spans="1:16" s="97" customFormat="1" x14ac:dyDescent="0.25">
      <c r="A564" s="220" t="s">
        <v>1985</v>
      </c>
      <c r="B564" s="221" t="s">
        <v>1979</v>
      </c>
      <c r="C564" s="222" t="s">
        <v>1995</v>
      </c>
      <c r="D564" s="70" t="s">
        <v>1177</v>
      </c>
      <c r="E564" s="229" t="s">
        <v>1951</v>
      </c>
      <c r="F564" s="215" t="s">
        <v>1177</v>
      </c>
      <c r="G564" s="70" t="s">
        <v>166</v>
      </c>
      <c r="H564" s="223" t="s">
        <v>570</v>
      </c>
      <c r="I564" s="222"/>
      <c r="J564" s="224" t="s">
        <v>708</v>
      </c>
      <c r="K564" s="225">
        <f>ROUND(Tableau15[[#This Row],[LEN]]*7.27,0)</f>
        <v>196</v>
      </c>
      <c r="L564" s="225">
        <v>15</v>
      </c>
      <c r="M564" s="226" t="str">
        <f t="shared" si="4"/>
        <v>none</v>
      </c>
      <c r="N564" s="225">
        <f>LEN(Tableau15[[#This Row],[LABEL]])</f>
        <v>27</v>
      </c>
      <c r="O564" s="225">
        <v>15</v>
      </c>
      <c r="P564" s="225" t="e">
        <f>ROUND(Tableau15[[#This Row],[LEN]]*#REF!+#REF!,0)</f>
        <v>#REF!</v>
      </c>
    </row>
    <row r="565" spans="1:16" s="97" customFormat="1" x14ac:dyDescent="0.25">
      <c r="A565" s="220" t="s">
        <v>1986</v>
      </c>
      <c r="B565" s="221" t="s">
        <v>1979</v>
      </c>
      <c r="C565" s="222" t="s">
        <v>1996</v>
      </c>
      <c r="D565" s="70" t="s">
        <v>1177</v>
      </c>
      <c r="E565" s="229" t="s">
        <v>1951</v>
      </c>
      <c r="F565" s="215" t="s">
        <v>1177</v>
      </c>
      <c r="G565" s="70" t="s">
        <v>166</v>
      </c>
      <c r="H565" s="223" t="s">
        <v>570</v>
      </c>
      <c r="I565" s="222"/>
      <c r="J565" s="224" t="s">
        <v>708</v>
      </c>
      <c r="K565" s="225">
        <f>ROUND(Tableau15[[#This Row],[LEN]]*7.27,0)</f>
        <v>276</v>
      </c>
      <c r="L565" s="225">
        <v>15</v>
      </c>
      <c r="M565" s="226" t="str">
        <f t="shared" si="4"/>
        <v>none</v>
      </c>
      <c r="N565" s="225">
        <f>LEN(Tableau15[[#This Row],[LABEL]])</f>
        <v>38</v>
      </c>
      <c r="O565" s="225">
        <v>15</v>
      </c>
      <c r="P565" s="225" t="e">
        <f>ROUND(Tableau15[[#This Row],[LEN]]*#REF!+#REF!,0)</f>
        <v>#REF!</v>
      </c>
    </row>
    <row r="566" spans="1:16" s="97" customFormat="1" x14ac:dyDescent="0.25">
      <c r="A566" s="220" t="s">
        <v>1987</v>
      </c>
      <c r="B566" s="221" t="s">
        <v>1979</v>
      </c>
      <c r="C566" s="222" t="s">
        <v>778</v>
      </c>
      <c r="D566" s="70" t="s">
        <v>1177</v>
      </c>
      <c r="E566" s="229" t="s">
        <v>673</v>
      </c>
      <c r="F566" s="27" t="s">
        <v>2000</v>
      </c>
      <c r="G566" s="70" t="s">
        <v>166</v>
      </c>
      <c r="H566" s="223" t="s">
        <v>17</v>
      </c>
      <c r="I566" s="222"/>
      <c r="J566" s="224" t="s">
        <v>708</v>
      </c>
      <c r="K566" s="225">
        <f>ROUND(Tableau15[[#This Row],[LEN]]*7.27,0)</f>
        <v>211</v>
      </c>
      <c r="L566" s="225">
        <v>15</v>
      </c>
      <c r="M566" s="226" t="str">
        <f t="shared" si="4"/>
        <v>none</v>
      </c>
      <c r="N566" s="225">
        <f>LEN(Tableau15[[#This Row],[LABEL]])</f>
        <v>29</v>
      </c>
      <c r="O566" s="225">
        <v>15</v>
      </c>
      <c r="P566" s="225" t="e">
        <f>ROUND(Tableau15[[#This Row],[LEN]]*#REF!+#REF!,0)</f>
        <v>#REF!</v>
      </c>
    </row>
    <row r="567" spans="1:16" s="97" customFormat="1" x14ac:dyDescent="0.25">
      <c r="A567" s="220" t="s">
        <v>1988</v>
      </c>
      <c r="B567" s="221" t="s">
        <v>1979</v>
      </c>
      <c r="C567" s="222" t="s">
        <v>1997</v>
      </c>
      <c r="D567" s="70" t="s">
        <v>1177</v>
      </c>
      <c r="E567" s="229" t="s">
        <v>1951</v>
      </c>
      <c r="F567" s="215" t="s">
        <v>1177</v>
      </c>
      <c r="G567" s="70" t="s">
        <v>166</v>
      </c>
      <c r="H567" s="223" t="s">
        <v>570</v>
      </c>
      <c r="I567" s="222"/>
      <c r="J567" s="224" t="s">
        <v>708</v>
      </c>
      <c r="K567" s="225">
        <f>ROUND(Tableau15[[#This Row],[LEN]]*7.27,0)</f>
        <v>298</v>
      </c>
      <c r="L567" s="225">
        <v>15</v>
      </c>
      <c r="M567" s="226" t="str">
        <f t="shared" si="4"/>
        <v>none</v>
      </c>
      <c r="N567" s="225">
        <f>LEN(Tableau15[[#This Row],[LABEL]])</f>
        <v>41</v>
      </c>
      <c r="O567" s="225">
        <v>15</v>
      </c>
      <c r="P567" s="225" t="e">
        <f>ROUND(Tableau15[[#This Row],[LEN]]*#REF!+#REF!,0)</f>
        <v>#REF!</v>
      </c>
    </row>
    <row r="568" spans="1:16" s="97" customFormat="1" x14ac:dyDescent="0.25">
      <c r="A568" s="220" t="s">
        <v>1989</v>
      </c>
      <c r="B568" s="221" t="s">
        <v>1979</v>
      </c>
      <c r="C568" s="222" t="s">
        <v>2003</v>
      </c>
      <c r="D568" s="70" t="s">
        <v>1998</v>
      </c>
      <c r="E568" s="229" t="s">
        <v>1951</v>
      </c>
      <c r="F568" s="215" t="s">
        <v>1177</v>
      </c>
      <c r="G568" s="70" t="s">
        <v>166</v>
      </c>
      <c r="H568" s="223" t="s">
        <v>570</v>
      </c>
      <c r="I568" s="222"/>
      <c r="J568" s="224" t="s">
        <v>708</v>
      </c>
      <c r="K568" s="225">
        <f>ROUND(Tableau15[[#This Row],[LEN]]*7.27,0)</f>
        <v>131</v>
      </c>
      <c r="L568" s="225">
        <v>15</v>
      </c>
      <c r="M568" s="226" t="str">
        <f t="shared" si="4"/>
        <v>none</v>
      </c>
      <c r="N568" s="225">
        <f>LEN(Tableau15[[#This Row],[LABEL]])</f>
        <v>18</v>
      </c>
      <c r="O568" s="225">
        <v>15</v>
      </c>
      <c r="P568" s="225" t="e">
        <f>ROUND(Tableau15[[#This Row],[LEN]]*#REF!+#REF!,0)</f>
        <v>#REF!</v>
      </c>
    </row>
    <row r="569" spans="1:16" s="97" customFormat="1" x14ac:dyDescent="0.25">
      <c r="A569" s="220" t="s">
        <v>1999</v>
      </c>
      <c r="B569" s="221" t="s">
        <v>1979</v>
      </c>
      <c r="C569" s="222" t="s">
        <v>1167</v>
      </c>
      <c r="D569" s="70" t="s">
        <v>486</v>
      </c>
      <c r="E569" s="229" t="s">
        <v>1085</v>
      </c>
      <c r="F569" s="215" t="s">
        <v>1084</v>
      </c>
      <c r="G569" s="70" t="s">
        <v>1977</v>
      </c>
      <c r="H569" s="223" t="s">
        <v>1131</v>
      </c>
      <c r="I569" s="222"/>
      <c r="J569" s="224" t="s">
        <v>708</v>
      </c>
      <c r="K569" s="225">
        <f>ROUND(Tableau15[[#This Row],[LEN]]*7.27,0)</f>
        <v>196</v>
      </c>
      <c r="L569" s="225">
        <v>15</v>
      </c>
      <c r="M569" s="226" t="str">
        <f t="shared" si="4"/>
        <v>none</v>
      </c>
      <c r="N569" s="225">
        <f>LEN(Tableau15[[#This Row],[LABEL]])</f>
        <v>27</v>
      </c>
      <c r="O569" s="225">
        <v>15</v>
      </c>
      <c r="P569" s="225" t="e">
        <f>ROUND(Tableau15[[#This Row],[LEN]]*#REF!+#REF!,0)</f>
        <v>#REF!</v>
      </c>
    </row>
    <row r="570" spans="1:16" s="97" customFormat="1" x14ac:dyDescent="0.25">
      <c r="A570" s="29" t="s">
        <v>2004</v>
      </c>
      <c r="B570" s="30" t="s">
        <v>1999</v>
      </c>
      <c r="C570" s="31" t="s">
        <v>93</v>
      </c>
      <c r="D570" s="71" t="s">
        <v>1177</v>
      </c>
      <c r="E570" s="31" t="s">
        <v>1085</v>
      </c>
      <c r="F570" s="31" t="s">
        <v>1084</v>
      </c>
      <c r="G570" s="71" t="s">
        <v>166</v>
      </c>
      <c r="H570" s="71" t="s">
        <v>18</v>
      </c>
      <c r="I570" s="31"/>
      <c r="J570" s="32" t="s">
        <v>101</v>
      </c>
      <c r="K570" s="111">
        <f>ROUND(Tableau15[[#This Row],[LEN]]*7.27,0)</f>
        <v>109</v>
      </c>
      <c r="L570" s="111">
        <v>15</v>
      </c>
      <c r="M570" s="128" t="str">
        <f t="shared" si="4"/>
        <v>new</v>
      </c>
      <c r="N570" s="111">
        <f>LEN(Tableau15[[#This Row],[LABEL]])</f>
        <v>15</v>
      </c>
      <c r="O570" s="111">
        <v>15</v>
      </c>
      <c r="P570" s="111" t="e">
        <f>ROUND(Tableau15[[#This Row],[LEN]]*#REF!+#REF!,0)</f>
        <v>#REF!</v>
      </c>
    </row>
    <row r="571" spans="1:16" s="97" customFormat="1" ht="15.75" thickBot="1" x14ac:dyDescent="0.3">
      <c r="A571" s="29" t="s">
        <v>2005</v>
      </c>
      <c r="B571" s="30" t="s">
        <v>1999</v>
      </c>
      <c r="C571" s="31" t="s">
        <v>94</v>
      </c>
      <c r="D571" s="71" t="s">
        <v>1177</v>
      </c>
      <c r="E571" s="31" t="s">
        <v>1085</v>
      </c>
      <c r="F571" s="31" t="s">
        <v>1084</v>
      </c>
      <c r="G571" s="71" t="s">
        <v>166</v>
      </c>
      <c r="H571" s="71" t="s">
        <v>18</v>
      </c>
      <c r="I571" s="31"/>
      <c r="J571" s="32" t="s">
        <v>102</v>
      </c>
      <c r="K571" s="111">
        <f>ROUND(Tableau15[[#This Row],[LEN]]*7.27,0)</f>
        <v>58</v>
      </c>
      <c r="L571" s="111">
        <v>15</v>
      </c>
      <c r="M571" s="128" t="str">
        <f t="shared" si="4"/>
        <v>new</v>
      </c>
      <c r="N571" s="111">
        <f>LEN(Tableau15[[#This Row],[LABEL]])</f>
        <v>8</v>
      </c>
      <c r="O571" s="111">
        <v>15</v>
      </c>
      <c r="P571" s="111" t="e">
        <f>ROUND(Tableau15[[#This Row],[LEN]]*#REF!+#REF!,0)</f>
        <v>#REF!</v>
      </c>
    </row>
    <row r="572" spans="1:16" s="97" customFormat="1" ht="16.5" thickTop="1" thickBot="1" x14ac:dyDescent="0.3">
      <c r="A572" s="177" t="s">
        <v>207</v>
      </c>
      <c r="B572" s="177" t="s">
        <v>201</v>
      </c>
      <c r="C572" s="178" t="s">
        <v>175</v>
      </c>
      <c r="D572" s="179" t="s">
        <v>472</v>
      </c>
      <c r="E572" s="178" t="s">
        <v>1177</v>
      </c>
      <c r="F572" s="179" t="s">
        <v>1177</v>
      </c>
      <c r="G572" s="178" t="s">
        <v>168</v>
      </c>
      <c r="H572" s="178" t="s">
        <v>616</v>
      </c>
      <c r="I572" s="179"/>
      <c r="J572" s="180" t="s">
        <v>708</v>
      </c>
      <c r="K572" s="181">
        <f>ROUND(Tableau15[[#This Row],[LEN]]*7.27,0)</f>
        <v>160</v>
      </c>
      <c r="L572" s="181">
        <v>15</v>
      </c>
      <c r="M572" s="182" t="str">
        <f t="shared" si="4"/>
        <v>none</v>
      </c>
      <c r="N572" s="181">
        <f>LEN(Tableau15[[#This Row],[LABEL]])</f>
        <v>22</v>
      </c>
      <c r="O572" s="183">
        <v>15</v>
      </c>
      <c r="P572" s="183" t="e">
        <f>ROUND(Tableau15[[#This Row],[LEN]]*#REF!+#REF!,0)</f>
        <v>#REF!</v>
      </c>
    </row>
    <row r="573" spans="1:16" s="92" customFormat="1" ht="15.75" thickTop="1" x14ac:dyDescent="0.25">
      <c r="A573" s="309" t="s">
        <v>267</v>
      </c>
      <c r="B573" s="310" t="s">
        <v>207</v>
      </c>
      <c r="C573" s="311" t="s">
        <v>57</v>
      </c>
      <c r="D573" s="312" t="s">
        <v>1177</v>
      </c>
      <c r="E573" s="311" t="s">
        <v>663</v>
      </c>
      <c r="F573" s="311" t="s">
        <v>1177</v>
      </c>
      <c r="G573" s="312" t="s">
        <v>168</v>
      </c>
      <c r="H573" s="312" t="str">
        <f>IFERROR(IF(SEARCH(".00.00.00.00.00",Tableau15[[#This Row],[name]],1)=7,"Division",""),"")</f>
        <v>Division</v>
      </c>
      <c r="I573" s="311"/>
      <c r="J573" s="313" t="s">
        <v>708</v>
      </c>
      <c r="K573" s="314">
        <f>ROUND(Tableau15[[#This Row],[LEN]]*7.27,0)</f>
        <v>102</v>
      </c>
      <c r="L573" s="314">
        <v>15</v>
      </c>
      <c r="M573" s="315" t="str">
        <f t="shared" si="4"/>
        <v>none</v>
      </c>
      <c r="N573" s="314">
        <f>LEN(Tableau15[[#This Row],[LABEL]])</f>
        <v>14</v>
      </c>
      <c r="O573" s="314">
        <v>15</v>
      </c>
      <c r="P573" s="314" t="e">
        <f>ROUND(Tableau15[[#This Row],[LEN]]*#REF!+#REF!,0)</f>
        <v>#REF!</v>
      </c>
    </row>
    <row r="574" spans="1:16" s="97" customFormat="1" x14ac:dyDescent="0.25">
      <c r="A574" s="33" t="s">
        <v>841</v>
      </c>
      <c r="B574" s="34" t="s">
        <v>267</v>
      </c>
      <c r="C574" s="35" t="s">
        <v>111</v>
      </c>
      <c r="D574" s="72" t="s">
        <v>1177</v>
      </c>
      <c r="E574" s="35" t="s">
        <v>667</v>
      </c>
      <c r="F574" s="35" t="s">
        <v>2006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ROUND(Tableau15[[#This Row],[LEN]]*7.27,0)</f>
        <v>167</v>
      </c>
      <c r="L574" s="113">
        <v>15</v>
      </c>
      <c r="M574" s="130" t="str">
        <f t="shared" si="4"/>
        <v>none</v>
      </c>
      <c r="N574" s="113">
        <f>LEN(Tableau15[[#This Row],[LABEL]])</f>
        <v>23</v>
      </c>
      <c r="O574" s="113">
        <v>15</v>
      </c>
      <c r="P574" s="113" t="e">
        <f>ROUND(Tableau15[[#This Row],[LEN]]*#REF!+#REF!,0)</f>
        <v>#REF!</v>
      </c>
    </row>
    <row r="575" spans="1:16" s="97" customFormat="1" x14ac:dyDescent="0.25">
      <c r="A575" s="37" t="s">
        <v>842</v>
      </c>
      <c r="B575" s="38" t="s">
        <v>841</v>
      </c>
      <c r="C575" s="39" t="s">
        <v>112</v>
      </c>
      <c r="D575" s="73" t="s">
        <v>1177</v>
      </c>
      <c r="E575" s="39" t="s">
        <v>667</v>
      </c>
      <c r="F575" s="39" t="s">
        <v>2006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ROUND(Tableau15[[#This Row],[LEN]]*7.27,0)</f>
        <v>167</v>
      </c>
      <c r="L575" s="114">
        <v>15</v>
      </c>
      <c r="M575" s="131" t="str">
        <f t="shared" si="4"/>
        <v>none</v>
      </c>
      <c r="N575" s="114">
        <f>LEN(Tableau15[[#This Row],[LABEL]])</f>
        <v>23</v>
      </c>
      <c r="O575" s="114">
        <v>15</v>
      </c>
      <c r="P575" s="114" t="e">
        <f>ROUND(Tableau15[[#This Row],[LEN]]*#REF!+#REF!,0)</f>
        <v>#REF!</v>
      </c>
    </row>
    <row r="576" spans="1:16" s="97" customFormat="1" x14ac:dyDescent="0.25">
      <c r="A576" s="37" t="s">
        <v>843</v>
      </c>
      <c r="B576" s="38" t="s">
        <v>841</v>
      </c>
      <c r="C576" s="39" t="s">
        <v>113</v>
      </c>
      <c r="D576" s="73" t="s">
        <v>1177</v>
      </c>
      <c r="E576" s="39" t="s">
        <v>667</v>
      </c>
      <c r="F576" s="39" t="s">
        <v>2006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ROUND(Tableau15[[#This Row],[LEN]]*7.27,0)</f>
        <v>233</v>
      </c>
      <c r="L576" s="114">
        <v>15</v>
      </c>
      <c r="M576" s="131" t="str">
        <f t="shared" si="4"/>
        <v>none</v>
      </c>
      <c r="N576" s="114">
        <f>LEN(Tableau15[[#This Row],[LABEL]])</f>
        <v>32</v>
      </c>
      <c r="O576" s="114">
        <v>15</v>
      </c>
      <c r="P576" s="114" t="e">
        <f>ROUND(Tableau15[[#This Row],[LEN]]*#REF!+#REF!,0)</f>
        <v>#REF!</v>
      </c>
    </row>
    <row r="577" spans="1:16" s="273" customFormat="1" x14ac:dyDescent="0.25">
      <c r="A577" s="309" t="s">
        <v>269</v>
      </c>
      <c r="B577" s="310" t="s">
        <v>207</v>
      </c>
      <c r="C577" s="311" t="s">
        <v>3</v>
      </c>
      <c r="D577" s="312" t="s">
        <v>1177</v>
      </c>
      <c r="E577" s="311" t="s">
        <v>661</v>
      </c>
      <c r="F577" s="311" t="s">
        <v>1177</v>
      </c>
      <c r="G577" s="312" t="s">
        <v>168</v>
      </c>
      <c r="H577" s="312" t="str">
        <f>IFERROR(IF(SEARCH(".00.00.00.00.00",Tableau15[[#This Row],[name]],1)=7,"Division",""),"")</f>
        <v>Division</v>
      </c>
      <c r="I577" s="311"/>
      <c r="J577" s="313" t="s">
        <v>708</v>
      </c>
      <c r="K577" s="314">
        <f>ROUND(Tableau15[[#This Row],[LEN]]*7.27,0)</f>
        <v>73</v>
      </c>
      <c r="L577" s="314">
        <v>15</v>
      </c>
      <c r="M577" s="315" t="str">
        <f t="shared" si="4"/>
        <v>none</v>
      </c>
      <c r="N577" s="314">
        <f>LEN(Tableau15[[#This Row],[LABEL]])</f>
        <v>10</v>
      </c>
      <c r="O577" s="314">
        <v>15</v>
      </c>
      <c r="P577" s="314" t="e">
        <f>ROUND(Tableau15[[#This Row],[LEN]]*#REF!+#REF!,0)</f>
        <v>#REF!</v>
      </c>
    </row>
    <row r="578" spans="1:16" s="97" customFormat="1" x14ac:dyDescent="0.25">
      <c r="A578" s="33" t="s">
        <v>419</v>
      </c>
      <c r="B578" s="34" t="s">
        <v>269</v>
      </c>
      <c r="C578" s="35" t="s">
        <v>111</v>
      </c>
      <c r="D578" s="72" t="s">
        <v>1177</v>
      </c>
      <c r="E578" s="35" t="s">
        <v>667</v>
      </c>
      <c r="F578" s="35" t="s">
        <v>2006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ROUND(Tableau15[[#This Row],[LEN]]*7.27,0)</f>
        <v>167</v>
      </c>
      <c r="L578" s="113">
        <v>15</v>
      </c>
      <c r="M578" s="130" t="str">
        <f t="shared" si="4"/>
        <v>none</v>
      </c>
      <c r="N578" s="113">
        <f>LEN(Tableau15[[#This Row],[LABEL]])</f>
        <v>23</v>
      </c>
      <c r="O578" s="113">
        <v>15</v>
      </c>
      <c r="P578" s="113" t="e">
        <f>ROUND(Tableau15[[#This Row],[LEN]]*#REF!+#REF!,0)</f>
        <v>#REF!</v>
      </c>
    </row>
    <row r="579" spans="1:16" s="97" customFormat="1" x14ac:dyDescent="0.25">
      <c r="A579" s="37" t="s">
        <v>420</v>
      </c>
      <c r="B579" s="38" t="s">
        <v>419</v>
      </c>
      <c r="C579" s="39" t="s">
        <v>112</v>
      </c>
      <c r="D579" s="73" t="s">
        <v>1177</v>
      </c>
      <c r="E579" s="39" t="s">
        <v>667</v>
      </c>
      <c r="F579" s="39" t="s">
        <v>2006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ROUND(Tableau15[[#This Row],[LEN]]*7.27,0)</f>
        <v>167</v>
      </c>
      <c r="L579" s="114">
        <v>15</v>
      </c>
      <c r="M579" s="131" t="str">
        <f t="shared" si="4"/>
        <v>none</v>
      </c>
      <c r="N579" s="114">
        <f>LEN(Tableau15[[#This Row],[LABEL]])</f>
        <v>23</v>
      </c>
      <c r="O579" s="114">
        <v>15</v>
      </c>
      <c r="P579" s="114" t="e">
        <f>ROUND(Tableau15[[#This Row],[LEN]]*#REF!+#REF!,0)</f>
        <v>#REF!</v>
      </c>
    </row>
    <row r="580" spans="1:16" s="97" customFormat="1" x14ac:dyDescent="0.25">
      <c r="A580" s="37" t="s">
        <v>421</v>
      </c>
      <c r="B580" s="38" t="s">
        <v>419</v>
      </c>
      <c r="C580" s="39" t="s">
        <v>113</v>
      </c>
      <c r="D580" s="73" t="s">
        <v>1177</v>
      </c>
      <c r="E580" s="39" t="s">
        <v>667</v>
      </c>
      <c r="F580" s="39" t="s">
        <v>2006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ROUND(Tableau15[[#This Row],[LEN]]*7.27,0)</f>
        <v>233</v>
      </c>
      <c r="L580" s="114">
        <v>15</v>
      </c>
      <c r="M580" s="131" t="str">
        <f t="shared" si="4"/>
        <v>none</v>
      </c>
      <c r="N580" s="114">
        <f>LEN(Tableau15[[#This Row],[LABEL]])</f>
        <v>32</v>
      </c>
      <c r="O580" s="114">
        <v>15</v>
      </c>
      <c r="P580" s="114" t="e">
        <f>ROUND(Tableau15[[#This Row],[LEN]]*#REF!+#REF!,0)</f>
        <v>#REF!</v>
      </c>
    </row>
    <row r="581" spans="1:16" s="97" customFormat="1" x14ac:dyDescent="0.25">
      <c r="A581" s="33" t="s">
        <v>422</v>
      </c>
      <c r="B581" s="34" t="s">
        <v>269</v>
      </c>
      <c r="C581" s="35" t="s">
        <v>114</v>
      </c>
      <c r="D581" s="72" t="s">
        <v>1177</v>
      </c>
      <c r="E581" s="35" t="s">
        <v>661</v>
      </c>
      <c r="F581" s="35" t="s">
        <v>2083</v>
      </c>
      <c r="G581" s="72" t="s">
        <v>168</v>
      </c>
      <c r="H581" s="72" t="s">
        <v>654</v>
      </c>
      <c r="I581" s="35"/>
      <c r="J581" s="36" t="s">
        <v>708</v>
      </c>
      <c r="K581" s="113">
        <f>ROUND(Tableau15[[#This Row],[LEN]]*7.27,0)</f>
        <v>153</v>
      </c>
      <c r="L581" s="113">
        <v>15</v>
      </c>
      <c r="M581" s="130" t="str">
        <f t="shared" si="4"/>
        <v>none</v>
      </c>
      <c r="N581" s="113">
        <f>LEN(Tableau15[[#This Row],[LABEL]])</f>
        <v>21</v>
      </c>
      <c r="O581" s="113">
        <v>15</v>
      </c>
      <c r="P581" s="113" t="e">
        <f>ROUND(Tableau15[[#This Row],[LEN]]*#REF!+#REF!,0)</f>
        <v>#REF!</v>
      </c>
    </row>
    <row r="582" spans="1:16" s="273" customFormat="1" x14ac:dyDescent="0.25">
      <c r="A582" s="309" t="s">
        <v>270</v>
      </c>
      <c r="B582" s="310" t="s">
        <v>207</v>
      </c>
      <c r="C582" s="311" t="s">
        <v>4</v>
      </c>
      <c r="D582" s="312" t="s">
        <v>1177</v>
      </c>
      <c r="E582" s="311" t="s">
        <v>666</v>
      </c>
      <c r="F582" s="311" t="s">
        <v>1177</v>
      </c>
      <c r="G582" s="312" t="s">
        <v>168</v>
      </c>
      <c r="H582" s="312" t="str">
        <f>IFERROR(IF(SEARCH(".00.00.00.00.00",Tableau15[[#This Row],[name]],1)=7,"Division",""),"")</f>
        <v>Division</v>
      </c>
      <c r="I582" s="311"/>
      <c r="J582" s="313" t="s">
        <v>708</v>
      </c>
      <c r="K582" s="314">
        <f>ROUND(Tableau15[[#This Row],[LEN]]*7.27,0)</f>
        <v>36</v>
      </c>
      <c r="L582" s="314">
        <v>15</v>
      </c>
      <c r="M582" s="315" t="str">
        <f t="shared" si="4"/>
        <v>none</v>
      </c>
      <c r="N582" s="314">
        <f>LEN(Tableau15[[#This Row],[LABEL]])</f>
        <v>5</v>
      </c>
      <c r="O582" s="314">
        <v>15</v>
      </c>
      <c r="P582" s="314" t="e">
        <f>ROUND(Tableau15[[#This Row],[LEN]]*#REF!+#REF!,0)</f>
        <v>#REF!</v>
      </c>
    </row>
    <row r="583" spans="1:16" s="97" customFormat="1" x14ac:dyDescent="0.25">
      <c r="A583" s="33" t="s">
        <v>1427</v>
      </c>
      <c r="B583" s="34" t="s">
        <v>270</v>
      </c>
      <c r="C583" s="35" t="s">
        <v>111</v>
      </c>
      <c r="D583" s="72" t="s">
        <v>1177</v>
      </c>
      <c r="E583" s="35" t="s">
        <v>667</v>
      </c>
      <c r="F583" s="35" t="s">
        <v>2006</v>
      </c>
      <c r="G583" s="72" t="s">
        <v>168</v>
      </c>
      <c r="H583" s="72" t="s">
        <v>655</v>
      </c>
      <c r="I583" s="35"/>
      <c r="J583" s="36" t="s">
        <v>708</v>
      </c>
      <c r="K583" s="113">
        <f>ROUND(Tableau15[[#This Row],[LEN]]*7.27,0)</f>
        <v>167</v>
      </c>
      <c r="L583" s="113">
        <v>15</v>
      </c>
      <c r="M583" s="130" t="str">
        <f t="shared" si="4"/>
        <v>none</v>
      </c>
      <c r="N583" s="113">
        <f>LEN(Tableau15[[#This Row],[LABEL]])</f>
        <v>23</v>
      </c>
      <c r="O583" s="113">
        <v>15</v>
      </c>
      <c r="P583" s="113" t="e">
        <f>ROUND(Tableau15[[#This Row],[LEN]]*#REF!+#REF!,0)</f>
        <v>#REF!</v>
      </c>
    </row>
    <row r="584" spans="1:16" s="97" customFormat="1" x14ac:dyDescent="0.25">
      <c r="A584" s="37" t="s">
        <v>1428</v>
      </c>
      <c r="B584" s="38" t="s">
        <v>1427</v>
      </c>
      <c r="C584" s="39" t="s">
        <v>112</v>
      </c>
      <c r="D584" s="73" t="s">
        <v>1177</v>
      </c>
      <c r="E584" s="39" t="s">
        <v>667</v>
      </c>
      <c r="F584" s="39" t="s">
        <v>2006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ROUND(Tableau15[[#This Row],[LEN]]*7.27,0)</f>
        <v>167</v>
      </c>
      <c r="L584" s="114">
        <v>15</v>
      </c>
      <c r="M584" s="131" t="str">
        <f t="shared" si="4"/>
        <v>none</v>
      </c>
      <c r="N584" s="114">
        <f>LEN(Tableau15[[#This Row],[LABEL]])</f>
        <v>23</v>
      </c>
      <c r="O584" s="114">
        <v>15</v>
      </c>
      <c r="P584" s="114" t="e">
        <f>ROUND(Tableau15[[#This Row],[LEN]]*#REF!+#REF!,0)</f>
        <v>#REF!</v>
      </c>
    </row>
    <row r="585" spans="1:16" s="97" customFormat="1" x14ac:dyDescent="0.25">
      <c r="A585" s="37" t="s">
        <v>1429</v>
      </c>
      <c r="B585" s="38" t="s">
        <v>1427</v>
      </c>
      <c r="C585" s="39" t="s">
        <v>113</v>
      </c>
      <c r="D585" s="73" t="s">
        <v>1177</v>
      </c>
      <c r="E585" s="39" t="s">
        <v>667</v>
      </c>
      <c r="F585" s="39" t="s">
        <v>2006</v>
      </c>
      <c r="G585" s="73" t="s">
        <v>168</v>
      </c>
      <c r="H585" s="73" t="s">
        <v>654</v>
      </c>
      <c r="I585" s="39"/>
      <c r="J585" s="40" t="s">
        <v>708</v>
      </c>
      <c r="K585" s="114">
        <f>ROUND(Tableau15[[#This Row],[LEN]]*7.27,0)</f>
        <v>233</v>
      </c>
      <c r="L585" s="114">
        <v>15</v>
      </c>
      <c r="M585" s="131" t="str">
        <f t="shared" si="4"/>
        <v>none</v>
      </c>
      <c r="N585" s="114">
        <f>LEN(Tableau15[[#This Row],[LABEL]])</f>
        <v>32</v>
      </c>
      <c r="O585" s="114">
        <v>15</v>
      </c>
      <c r="P585" s="114" t="e">
        <f>ROUND(Tableau15[[#This Row],[LEN]]*#REF!+#REF!,0)</f>
        <v>#REF!</v>
      </c>
    </row>
    <row r="586" spans="1:16" s="273" customFormat="1" x14ac:dyDescent="0.25">
      <c r="A586" s="309" t="s">
        <v>271</v>
      </c>
      <c r="B586" s="310" t="s">
        <v>207</v>
      </c>
      <c r="C586" s="311" t="s">
        <v>80</v>
      </c>
      <c r="D586" s="312" t="s">
        <v>1177</v>
      </c>
      <c r="E586" s="311" t="s">
        <v>667</v>
      </c>
      <c r="F586" s="311" t="s">
        <v>1177</v>
      </c>
      <c r="G586" s="312" t="s">
        <v>168</v>
      </c>
      <c r="H586" s="312" t="str">
        <f>IFERROR(IF(SEARCH(".00.00.00.00.00",Tableau15[[#This Row],[name]],1)=7,"Division",""),"")</f>
        <v>Division</v>
      </c>
      <c r="I586" s="311"/>
      <c r="J586" s="313" t="s">
        <v>708</v>
      </c>
      <c r="K586" s="314">
        <f>ROUND(Tableau15[[#This Row],[LEN]]*7.27,0)</f>
        <v>116</v>
      </c>
      <c r="L586" s="314">
        <v>15</v>
      </c>
      <c r="M586" s="315" t="str">
        <f t="shared" si="4"/>
        <v>none</v>
      </c>
      <c r="N586" s="314">
        <f>LEN(Tableau15[[#This Row],[LABEL]])</f>
        <v>16</v>
      </c>
      <c r="O586" s="314">
        <v>15</v>
      </c>
      <c r="P586" s="314" t="e">
        <f>ROUND(Tableau15[[#This Row],[LEN]]*#REF!+#REF!,0)</f>
        <v>#REF!</v>
      </c>
    </row>
    <row r="587" spans="1:16" s="97" customFormat="1" x14ac:dyDescent="0.25">
      <c r="A587" s="33" t="s">
        <v>1430</v>
      </c>
      <c r="B587" s="34" t="s">
        <v>271</v>
      </c>
      <c r="C587" s="35" t="s">
        <v>111</v>
      </c>
      <c r="D587" s="72" t="s">
        <v>1177</v>
      </c>
      <c r="E587" s="35" t="s">
        <v>667</v>
      </c>
      <c r="F587" s="35" t="s">
        <v>2006</v>
      </c>
      <c r="G587" s="72" t="s">
        <v>168</v>
      </c>
      <c r="H587" s="72" t="s">
        <v>655</v>
      </c>
      <c r="I587" s="35"/>
      <c r="J587" s="36" t="s">
        <v>708</v>
      </c>
      <c r="K587" s="113">
        <f>ROUND(Tableau15[[#This Row],[LEN]]*7.27,0)</f>
        <v>167</v>
      </c>
      <c r="L587" s="113">
        <v>15</v>
      </c>
      <c r="M587" s="130" t="str">
        <f t="shared" si="4"/>
        <v>none</v>
      </c>
      <c r="N587" s="113">
        <f>LEN(Tableau15[[#This Row],[LABEL]])</f>
        <v>23</v>
      </c>
      <c r="O587" s="113">
        <v>15</v>
      </c>
      <c r="P587" s="113" t="e">
        <f>ROUND(Tableau15[[#This Row],[LEN]]*#REF!+#REF!,0)</f>
        <v>#REF!</v>
      </c>
    </row>
    <row r="588" spans="1:16" s="97" customFormat="1" x14ac:dyDescent="0.25">
      <c r="A588" s="37" t="s">
        <v>1431</v>
      </c>
      <c r="B588" s="38" t="s">
        <v>1430</v>
      </c>
      <c r="C588" s="39" t="s">
        <v>112</v>
      </c>
      <c r="D588" s="73" t="s">
        <v>1177</v>
      </c>
      <c r="E588" s="39" t="s">
        <v>667</v>
      </c>
      <c r="F588" s="39" t="s">
        <v>2006</v>
      </c>
      <c r="G588" s="73" t="s">
        <v>168</v>
      </c>
      <c r="H588" s="73" t="s">
        <v>654</v>
      </c>
      <c r="I588" s="39"/>
      <c r="J588" s="40" t="s">
        <v>708</v>
      </c>
      <c r="K588" s="114">
        <f>ROUND(Tableau15[[#This Row],[LEN]]*7.27,0)</f>
        <v>167</v>
      </c>
      <c r="L588" s="114">
        <v>15</v>
      </c>
      <c r="M588" s="131" t="str">
        <f t="shared" si="4"/>
        <v>none</v>
      </c>
      <c r="N588" s="114">
        <f>LEN(Tableau15[[#This Row],[LABEL]])</f>
        <v>23</v>
      </c>
      <c r="O588" s="114">
        <v>15</v>
      </c>
      <c r="P588" s="114" t="e">
        <f>ROUND(Tableau15[[#This Row],[LEN]]*#REF!+#REF!,0)</f>
        <v>#REF!</v>
      </c>
    </row>
    <row r="589" spans="1:16" s="97" customFormat="1" x14ac:dyDescent="0.25">
      <c r="A589" s="37" t="s">
        <v>1432</v>
      </c>
      <c r="B589" s="38" t="s">
        <v>1430</v>
      </c>
      <c r="C589" s="39" t="s">
        <v>113</v>
      </c>
      <c r="D589" s="73" t="s">
        <v>1177</v>
      </c>
      <c r="E589" s="39" t="s">
        <v>667</v>
      </c>
      <c r="F589" s="39" t="s">
        <v>2006</v>
      </c>
      <c r="G589" s="73" t="s">
        <v>168</v>
      </c>
      <c r="H589" s="73" t="s">
        <v>654</v>
      </c>
      <c r="I589" s="39"/>
      <c r="J589" s="40" t="s">
        <v>708</v>
      </c>
      <c r="K589" s="114">
        <f>ROUND(Tableau15[[#This Row],[LEN]]*7.27,0)</f>
        <v>233</v>
      </c>
      <c r="L589" s="114">
        <v>15</v>
      </c>
      <c r="M589" s="131" t="str">
        <f t="shared" si="4"/>
        <v>none</v>
      </c>
      <c r="N589" s="114">
        <f>LEN(Tableau15[[#This Row],[LABEL]])</f>
        <v>32</v>
      </c>
      <c r="O589" s="114">
        <v>15</v>
      </c>
      <c r="P589" s="114" t="e">
        <f>ROUND(Tableau15[[#This Row],[LEN]]*#REF!+#REF!,0)</f>
        <v>#REF!</v>
      </c>
    </row>
    <row r="590" spans="1:16" s="273" customFormat="1" x14ac:dyDescent="0.25">
      <c r="A590" s="309" t="s">
        <v>272</v>
      </c>
      <c r="B590" s="310" t="s">
        <v>207</v>
      </c>
      <c r="C590" s="311" t="s">
        <v>5</v>
      </c>
      <c r="D590" s="312" t="s">
        <v>1177</v>
      </c>
      <c r="E590" s="311" t="s">
        <v>668</v>
      </c>
      <c r="F590" s="311" t="s">
        <v>1177</v>
      </c>
      <c r="G590" s="312" t="s">
        <v>168</v>
      </c>
      <c r="H590" s="312" t="str">
        <f>IFERROR(IF(SEARCH(".00.00.00.00.00",Tableau15[[#This Row],[name]],1)=7,"Division",""),"")</f>
        <v>Division</v>
      </c>
      <c r="I590" s="311"/>
      <c r="J590" s="313" t="s">
        <v>708</v>
      </c>
      <c r="K590" s="314">
        <f>ROUND(Tableau15[[#This Row],[LEN]]*7.27,0)</f>
        <v>73</v>
      </c>
      <c r="L590" s="314">
        <v>15</v>
      </c>
      <c r="M590" s="315" t="str">
        <f t="shared" si="4"/>
        <v>none</v>
      </c>
      <c r="N590" s="314">
        <f>LEN(Tableau15[[#This Row],[LABEL]])</f>
        <v>10</v>
      </c>
      <c r="O590" s="314">
        <v>15</v>
      </c>
      <c r="P590" s="314" t="e">
        <f>ROUND(Tableau15[[#This Row],[LEN]]*#REF!+#REF!,0)</f>
        <v>#REF!</v>
      </c>
    </row>
    <row r="591" spans="1:16" s="97" customFormat="1" x14ac:dyDescent="0.25">
      <c r="A591" s="33" t="s">
        <v>1433</v>
      </c>
      <c r="B591" s="34" t="s">
        <v>272</v>
      </c>
      <c r="C591" s="35" t="s">
        <v>111</v>
      </c>
      <c r="D591" s="72" t="s">
        <v>1177</v>
      </c>
      <c r="E591" s="35" t="s">
        <v>667</v>
      </c>
      <c r="F591" s="35" t="s">
        <v>2006</v>
      </c>
      <c r="G591" s="72" t="s">
        <v>168</v>
      </c>
      <c r="H591" s="72" t="s">
        <v>655</v>
      </c>
      <c r="I591" s="35"/>
      <c r="J591" s="36" t="s">
        <v>708</v>
      </c>
      <c r="K591" s="113">
        <f>ROUND(Tableau15[[#This Row],[LEN]]*7.27,0)</f>
        <v>167</v>
      </c>
      <c r="L591" s="113">
        <v>15</v>
      </c>
      <c r="M591" s="130" t="str">
        <f t="shared" si="4"/>
        <v>none</v>
      </c>
      <c r="N591" s="113">
        <f>LEN(Tableau15[[#This Row],[LABEL]])</f>
        <v>23</v>
      </c>
      <c r="O591" s="113">
        <v>15</v>
      </c>
      <c r="P591" s="113" t="e">
        <f>ROUND(Tableau15[[#This Row],[LEN]]*#REF!+#REF!,0)</f>
        <v>#REF!</v>
      </c>
    </row>
    <row r="592" spans="1:16" s="97" customFormat="1" x14ac:dyDescent="0.25">
      <c r="A592" s="37" t="s">
        <v>1434</v>
      </c>
      <c r="B592" s="38" t="s">
        <v>1433</v>
      </c>
      <c r="C592" s="39" t="s">
        <v>112</v>
      </c>
      <c r="D592" s="73" t="s">
        <v>1177</v>
      </c>
      <c r="E592" s="39" t="s">
        <v>667</v>
      </c>
      <c r="F592" s="39" t="s">
        <v>2006</v>
      </c>
      <c r="G592" s="73" t="s">
        <v>168</v>
      </c>
      <c r="H592" s="73" t="s">
        <v>654</v>
      </c>
      <c r="I592" s="39"/>
      <c r="J592" s="40" t="s">
        <v>708</v>
      </c>
      <c r="K592" s="114">
        <f>ROUND(Tableau15[[#This Row],[LEN]]*7.27,0)</f>
        <v>167</v>
      </c>
      <c r="L592" s="114">
        <v>15</v>
      </c>
      <c r="M592" s="131" t="str">
        <f t="shared" si="4"/>
        <v>none</v>
      </c>
      <c r="N592" s="114">
        <f>LEN(Tableau15[[#This Row],[LABEL]])</f>
        <v>23</v>
      </c>
      <c r="O592" s="114">
        <v>15</v>
      </c>
      <c r="P592" s="114" t="e">
        <f>ROUND(Tableau15[[#This Row],[LEN]]*#REF!+#REF!,0)</f>
        <v>#REF!</v>
      </c>
    </row>
    <row r="593" spans="1:16" s="97" customFormat="1" x14ac:dyDescent="0.25">
      <c r="A593" s="37" t="s">
        <v>1435</v>
      </c>
      <c r="B593" s="38" t="s">
        <v>1433</v>
      </c>
      <c r="C593" s="39" t="s">
        <v>113</v>
      </c>
      <c r="D593" s="73" t="s">
        <v>1177</v>
      </c>
      <c r="E593" s="39" t="s">
        <v>667</v>
      </c>
      <c r="F593" s="39" t="s">
        <v>2006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ROUND(Tableau15[[#This Row],[LEN]]*7.27,0)</f>
        <v>233</v>
      </c>
      <c r="L593" s="114">
        <v>15</v>
      </c>
      <c r="M593" s="131" t="str">
        <f t="shared" si="4"/>
        <v>none</v>
      </c>
      <c r="N593" s="114">
        <f>LEN(Tableau15[[#This Row],[LABEL]])</f>
        <v>32</v>
      </c>
      <c r="O593" s="114">
        <v>15</v>
      </c>
      <c r="P593" s="114" t="e">
        <f>ROUND(Tableau15[[#This Row],[LEN]]*#REF!+#REF!,0)</f>
        <v>#REF!</v>
      </c>
    </row>
    <row r="594" spans="1:16" s="273" customFormat="1" x14ac:dyDescent="0.25">
      <c r="A594" s="309" t="s">
        <v>273</v>
      </c>
      <c r="B594" s="310" t="s">
        <v>207</v>
      </c>
      <c r="C594" s="311" t="s">
        <v>6</v>
      </c>
      <c r="D594" s="312" t="s">
        <v>1177</v>
      </c>
      <c r="E594" s="311" t="s">
        <v>669</v>
      </c>
      <c r="F594" s="311" t="s">
        <v>1177</v>
      </c>
      <c r="G594" s="312" t="s">
        <v>168</v>
      </c>
      <c r="H594" s="312" t="str">
        <f>IFERROR(IF(SEARCH(".00.00.00.00.00",Tableau15[[#This Row],[name]],1)=7,"Division",""),"")</f>
        <v>Division</v>
      </c>
      <c r="I594" s="311"/>
      <c r="J594" s="313" t="s">
        <v>708</v>
      </c>
      <c r="K594" s="314">
        <f>ROUND(Tableau15[[#This Row],[LEN]]*7.27,0)</f>
        <v>196</v>
      </c>
      <c r="L594" s="314">
        <v>15</v>
      </c>
      <c r="M594" s="315" t="str">
        <f t="shared" si="4"/>
        <v>none</v>
      </c>
      <c r="N594" s="314">
        <f>LEN(Tableau15[[#This Row],[LABEL]])</f>
        <v>27</v>
      </c>
      <c r="O594" s="314">
        <v>15</v>
      </c>
      <c r="P594" s="314" t="e">
        <f>ROUND(Tableau15[[#This Row],[LEN]]*#REF!+#REF!,0)</f>
        <v>#REF!</v>
      </c>
    </row>
    <row r="595" spans="1:16" s="97" customFormat="1" x14ac:dyDescent="0.25">
      <c r="A595" s="33" t="s">
        <v>423</v>
      </c>
      <c r="B595" s="34" t="s">
        <v>273</v>
      </c>
      <c r="C595" s="35" t="s">
        <v>111</v>
      </c>
      <c r="D595" s="72" t="s">
        <v>1177</v>
      </c>
      <c r="E595" s="35" t="s">
        <v>667</v>
      </c>
      <c r="F595" s="35" t="s">
        <v>2006</v>
      </c>
      <c r="G595" s="72" t="s">
        <v>168</v>
      </c>
      <c r="H595" s="72" t="s">
        <v>655</v>
      </c>
      <c r="I595" s="35"/>
      <c r="J595" s="36" t="s">
        <v>708</v>
      </c>
      <c r="K595" s="113">
        <f>ROUND(Tableau15[[#This Row],[LEN]]*7.27,0)</f>
        <v>167</v>
      </c>
      <c r="L595" s="113">
        <v>15</v>
      </c>
      <c r="M595" s="130" t="str">
        <f t="shared" si="4"/>
        <v>none</v>
      </c>
      <c r="N595" s="113">
        <f>LEN(Tableau15[[#This Row],[LABEL]])</f>
        <v>23</v>
      </c>
      <c r="O595" s="113">
        <v>15</v>
      </c>
      <c r="P595" s="113" t="e">
        <f>ROUND(Tableau15[[#This Row],[LEN]]*#REF!+#REF!,0)</f>
        <v>#REF!</v>
      </c>
    </row>
    <row r="596" spans="1:16" s="97" customFormat="1" x14ac:dyDescent="0.25">
      <c r="A596" s="37" t="s">
        <v>426</v>
      </c>
      <c r="B596" s="38" t="s">
        <v>423</v>
      </c>
      <c r="C596" s="39" t="s">
        <v>112</v>
      </c>
      <c r="D596" s="73" t="s">
        <v>1177</v>
      </c>
      <c r="E596" s="39" t="s">
        <v>667</v>
      </c>
      <c r="F596" s="39" t="s">
        <v>2006</v>
      </c>
      <c r="G596" s="73" t="s">
        <v>168</v>
      </c>
      <c r="H596" s="73" t="s">
        <v>654</v>
      </c>
      <c r="I596" s="39"/>
      <c r="J596" s="40" t="s">
        <v>708</v>
      </c>
      <c r="K596" s="114">
        <f>ROUND(Tableau15[[#This Row],[LEN]]*7.27,0)</f>
        <v>167</v>
      </c>
      <c r="L596" s="114">
        <v>15</v>
      </c>
      <c r="M596" s="131" t="str">
        <f t="shared" si="4"/>
        <v>none</v>
      </c>
      <c r="N596" s="114">
        <f>LEN(Tableau15[[#This Row],[LABEL]])</f>
        <v>23</v>
      </c>
      <c r="O596" s="114">
        <v>15</v>
      </c>
      <c r="P596" s="114" t="e">
        <f>ROUND(Tableau15[[#This Row],[LEN]]*#REF!+#REF!,0)</f>
        <v>#REF!</v>
      </c>
    </row>
    <row r="597" spans="1:16" s="97" customFormat="1" x14ac:dyDescent="0.25">
      <c r="A597" s="37" t="s">
        <v>427</v>
      </c>
      <c r="B597" s="38" t="s">
        <v>423</v>
      </c>
      <c r="C597" s="39" t="s">
        <v>113</v>
      </c>
      <c r="D597" s="73" t="s">
        <v>1177</v>
      </c>
      <c r="E597" s="39" t="s">
        <v>667</v>
      </c>
      <c r="F597" s="39" t="s">
        <v>2006</v>
      </c>
      <c r="G597" s="73" t="s">
        <v>168</v>
      </c>
      <c r="H597" s="73" t="s">
        <v>654</v>
      </c>
      <c r="I597" s="39"/>
      <c r="J597" s="40" t="s">
        <v>708</v>
      </c>
      <c r="K597" s="114">
        <f>ROUND(Tableau15[[#This Row],[LEN]]*7.27,0)</f>
        <v>233</v>
      </c>
      <c r="L597" s="114">
        <v>15</v>
      </c>
      <c r="M597" s="131" t="str">
        <f t="shared" si="4"/>
        <v>none</v>
      </c>
      <c r="N597" s="114">
        <f>LEN(Tableau15[[#This Row],[LABEL]])</f>
        <v>32</v>
      </c>
      <c r="O597" s="114">
        <v>15</v>
      </c>
      <c r="P597" s="114" t="e">
        <f>ROUND(Tableau15[[#This Row],[LEN]]*#REF!+#REF!,0)</f>
        <v>#REF!</v>
      </c>
    </row>
    <row r="598" spans="1:16" s="97" customFormat="1" x14ac:dyDescent="0.25">
      <c r="A598" s="33" t="s">
        <v>424</v>
      </c>
      <c r="B598" s="34" t="s">
        <v>273</v>
      </c>
      <c r="C598" s="35" t="s">
        <v>156</v>
      </c>
      <c r="D598" s="72" t="s">
        <v>1177</v>
      </c>
      <c r="E598" s="35" t="s">
        <v>669</v>
      </c>
      <c r="F598" s="35" t="s">
        <v>1177</v>
      </c>
      <c r="G598" s="72" t="s">
        <v>168</v>
      </c>
      <c r="H598" s="72" t="s">
        <v>655</v>
      </c>
      <c r="I598" s="35"/>
      <c r="J598" s="36" t="s">
        <v>708</v>
      </c>
      <c r="K598" s="113">
        <f>ROUND(Tableau15[[#This Row],[LEN]]*7.27,0)</f>
        <v>131</v>
      </c>
      <c r="L598" s="113">
        <v>15</v>
      </c>
      <c r="M598" s="130" t="str">
        <f t="shared" si="4"/>
        <v>none</v>
      </c>
      <c r="N598" s="113">
        <f>LEN(Tableau15[[#This Row],[LABEL]])</f>
        <v>18</v>
      </c>
      <c r="O598" s="113">
        <v>15</v>
      </c>
      <c r="P598" s="113" t="e">
        <f>ROUND(Tableau15[[#This Row],[LEN]]*#REF!+#REF!,0)</f>
        <v>#REF!</v>
      </c>
    </row>
    <row r="599" spans="1:16" s="97" customFormat="1" x14ac:dyDescent="0.25">
      <c r="A599" s="37" t="s">
        <v>428</v>
      </c>
      <c r="B599" s="38" t="s">
        <v>424</v>
      </c>
      <c r="C599" s="39" t="s">
        <v>137</v>
      </c>
      <c r="D599" s="73" t="s">
        <v>1177</v>
      </c>
      <c r="E599" s="39" t="s">
        <v>669</v>
      </c>
      <c r="F599" s="39" t="s">
        <v>1177</v>
      </c>
      <c r="G599" s="73" t="s">
        <v>168</v>
      </c>
      <c r="H599" s="73" t="s">
        <v>654</v>
      </c>
      <c r="I599" s="39"/>
      <c r="J599" s="40" t="s">
        <v>726</v>
      </c>
      <c r="K599" s="114">
        <f>ROUND(Tableau15[[#This Row],[LEN]]*7.27,0)</f>
        <v>269</v>
      </c>
      <c r="L599" s="114">
        <v>15</v>
      </c>
      <c r="M599" s="131" t="str">
        <f t="shared" si="4"/>
        <v>new</v>
      </c>
      <c r="N599" s="114">
        <f>LEN(Tableau15[[#This Row],[LABEL]])</f>
        <v>37</v>
      </c>
      <c r="O599" s="114">
        <v>15</v>
      </c>
      <c r="P599" s="114" t="e">
        <f>ROUND(Tableau15[[#This Row],[LEN]]*#REF!+#REF!,0)</f>
        <v>#REF!</v>
      </c>
    </row>
    <row r="600" spans="1:16" s="97" customFormat="1" x14ac:dyDescent="0.25">
      <c r="A600" s="37" t="s">
        <v>429</v>
      </c>
      <c r="B600" s="38" t="s">
        <v>424</v>
      </c>
      <c r="C600" s="39" t="s">
        <v>157</v>
      </c>
      <c r="D600" s="73" t="s">
        <v>1177</v>
      </c>
      <c r="E600" s="39" t="s">
        <v>669</v>
      </c>
      <c r="F600" s="39" t="s">
        <v>1177</v>
      </c>
      <c r="G600" s="73" t="s">
        <v>168</v>
      </c>
      <c r="H600" s="73" t="s">
        <v>656</v>
      </c>
      <c r="I600" s="39"/>
      <c r="J600" s="40" t="s">
        <v>708</v>
      </c>
      <c r="K600" s="114">
        <f>ROUND(Tableau15[[#This Row],[LEN]]*7.27,0)</f>
        <v>538</v>
      </c>
      <c r="L600" s="114">
        <v>15</v>
      </c>
      <c r="M600" s="131" t="str">
        <f t="shared" si="4"/>
        <v>none</v>
      </c>
      <c r="N600" s="114">
        <f>LEN(Tableau15[[#This Row],[LABEL]])</f>
        <v>74</v>
      </c>
      <c r="O600" s="114">
        <v>15</v>
      </c>
      <c r="P600" s="114" t="e">
        <f>ROUND(Tableau15[[#This Row],[LEN]]*#REF!+#REF!,0)</f>
        <v>#REF!</v>
      </c>
    </row>
    <row r="601" spans="1:16" s="97" customFormat="1" x14ac:dyDescent="0.25">
      <c r="A601" s="37" t="s">
        <v>430</v>
      </c>
      <c r="B601" s="38" t="s">
        <v>424</v>
      </c>
      <c r="C601" s="39" t="s">
        <v>158</v>
      </c>
      <c r="D601" s="73" t="s">
        <v>1177</v>
      </c>
      <c r="E601" s="39" t="s">
        <v>669</v>
      </c>
      <c r="F601" s="39" t="s">
        <v>1177</v>
      </c>
      <c r="G601" s="73" t="s">
        <v>168</v>
      </c>
      <c r="H601" s="73" t="s">
        <v>656</v>
      </c>
      <c r="I601" s="39"/>
      <c r="J601" s="40" t="s">
        <v>708</v>
      </c>
      <c r="K601" s="114">
        <f>ROUND(Tableau15[[#This Row],[LEN]]*7.27,0)</f>
        <v>320</v>
      </c>
      <c r="L601" s="114">
        <v>15</v>
      </c>
      <c r="M601" s="131" t="str">
        <f t="shared" si="4"/>
        <v>none</v>
      </c>
      <c r="N601" s="114">
        <f>LEN(Tableau15[[#This Row],[LABEL]])</f>
        <v>44</v>
      </c>
      <c r="O601" s="114">
        <v>15</v>
      </c>
      <c r="P601" s="114" t="e">
        <f>ROUND(Tableau15[[#This Row],[LEN]]*#REF!+#REF!,0)</f>
        <v>#REF!</v>
      </c>
    </row>
    <row r="602" spans="1:16" s="97" customFormat="1" x14ac:dyDescent="0.25">
      <c r="A602" s="37" t="s">
        <v>431</v>
      </c>
      <c r="B602" s="38" t="s">
        <v>424</v>
      </c>
      <c r="C602" s="39" t="s">
        <v>159</v>
      </c>
      <c r="D602" s="73" t="s">
        <v>1177</v>
      </c>
      <c r="E602" s="39" t="s">
        <v>669</v>
      </c>
      <c r="F602" s="39" t="s">
        <v>1177</v>
      </c>
      <c r="G602" s="73" t="s">
        <v>168</v>
      </c>
      <c r="H602" s="73" t="s">
        <v>18</v>
      </c>
      <c r="I602" s="39"/>
      <c r="J602" s="40" t="s">
        <v>708</v>
      </c>
      <c r="K602" s="114">
        <f>ROUND(Tableau15[[#This Row],[LEN]]*7.27,0)</f>
        <v>407</v>
      </c>
      <c r="L602" s="114">
        <v>15</v>
      </c>
      <c r="M602" s="131" t="str">
        <f t="shared" si="4"/>
        <v>none</v>
      </c>
      <c r="N602" s="114">
        <f>LEN(Tableau15[[#This Row],[LABEL]])</f>
        <v>56</v>
      </c>
      <c r="O602" s="114">
        <v>15</v>
      </c>
      <c r="P602" s="114" t="e">
        <f>ROUND(Tableau15[[#This Row],[LEN]]*#REF!+#REF!,0)</f>
        <v>#REF!</v>
      </c>
    </row>
    <row r="603" spans="1:16" s="97" customFormat="1" x14ac:dyDescent="0.25">
      <c r="A603" s="37" t="s">
        <v>432</v>
      </c>
      <c r="B603" s="38" t="s">
        <v>424</v>
      </c>
      <c r="C603" s="39" t="s">
        <v>160</v>
      </c>
      <c r="D603" s="73" t="s">
        <v>1177</v>
      </c>
      <c r="E603" s="39" t="s">
        <v>669</v>
      </c>
      <c r="F603" s="39" t="s">
        <v>1177</v>
      </c>
      <c r="G603" s="73" t="s">
        <v>168</v>
      </c>
      <c r="H603" s="73" t="s">
        <v>18</v>
      </c>
      <c r="I603" s="39"/>
      <c r="J603" s="40" t="s">
        <v>708</v>
      </c>
      <c r="K603" s="114">
        <f>ROUND(Tableau15[[#This Row],[LEN]]*7.27,0)</f>
        <v>371</v>
      </c>
      <c r="L603" s="114">
        <v>15</v>
      </c>
      <c r="M603" s="131" t="str">
        <f t="shared" si="4"/>
        <v>none</v>
      </c>
      <c r="N603" s="114">
        <f>LEN(Tableau15[[#This Row],[LABEL]])</f>
        <v>51</v>
      </c>
      <c r="O603" s="114">
        <v>15</v>
      </c>
      <c r="P603" s="114" t="e">
        <f>ROUND(Tableau15[[#This Row],[LEN]]*#REF!+#REF!,0)</f>
        <v>#REF!</v>
      </c>
    </row>
    <row r="604" spans="1:16" s="97" customFormat="1" x14ac:dyDescent="0.25">
      <c r="A604" s="37" t="s">
        <v>433</v>
      </c>
      <c r="B604" s="38" t="s">
        <v>424</v>
      </c>
      <c r="C604" s="39" t="s">
        <v>161</v>
      </c>
      <c r="D604" s="73" t="s">
        <v>1177</v>
      </c>
      <c r="E604" s="39" t="s">
        <v>669</v>
      </c>
      <c r="F604" s="39" t="s">
        <v>1177</v>
      </c>
      <c r="G604" s="73" t="s">
        <v>168</v>
      </c>
      <c r="H604" s="73" t="s">
        <v>656</v>
      </c>
      <c r="I604" s="39"/>
      <c r="J604" s="40" t="s">
        <v>708</v>
      </c>
      <c r="K604" s="114">
        <f>ROUND(Tableau15[[#This Row],[LEN]]*7.27,0)</f>
        <v>276</v>
      </c>
      <c r="L604" s="114">
        <v>15</v>
      </c>
      <c r="M604" s="131" t="str">
        <f t="shared" si="4"/>
        <v>none</v>
      </c>
      <c r="N604" s="114">
        <f>LEN(Tableau15[[#This Row],[LABEL]])</f>
        <v>38</v>
      </c>
      <c r="O604" s="114">
        <v>15</v>
      </c>
      <c r="P604" s="114" t="e">
        <f>ROUND(Tableau15[[#This Row],[LEN]]*#REF!+#REF!,0)</f>
        <v>#REF!</v>
      </c>
    </row>
    <row r="605" spans="1:16" s="97" customFormat="1" x14ac:dyDescent="0.25">
      <c r="A605" s="37" t="s">
        <v>434</v>
      </c>
      <c r="B605" s="38" t="s">
        <v>424</v>
      </c>
      <c r="C605" s="39" t="s">
        <v>162</v>
      </c>
      <c r="D605" s="73" t="s">
        <v>1177</v>
      </c>
      <c r="E605" s="39" t="s">
        <v>669</v>
      </c>
      <c r="F605" s="39" t="s">
        <v>1177</v>
      </c>
      <c r="G605" s="73" t="s">
        <v>168</v>
      </c>
      <c r="H605" s="73" t="s">
        <v>656</v>
      </c>
      <c r="I605" s="39"/>
      <c r="J605" s="40" t="s">
        <v>708</v>
      </c>
      <c r="K605" s="114">
        <f>ROUND(Tableau15[[#This Row],[LEN]]*7.27,0)</f>
        <v>393</v>
      </c>
      <c r="L605" s="114">
        <v>15</v>
      </c>
      <c r="M605" s="131" t="str">
        <f t="shared" si="4"/>
        <v>none</v>
      </c>
      <c r="N605" s="114">
        <f>LEN(Tableau15[[#This Row],[LABEL]])</f>
        <v>54</v>
      </c>
      <c r="O605" s="114">
        <v>15</v>
      </c>
      <c r="P605" s="114" t="e">
        <f>ROUND(Tableau15[[#This Row],[LEN]]*#REF!+#REF!,0)</f>
        <v>#REF!</v>
      </c>
    </row>
    <row r="606" spans="1:16" s="97" customFormat="1" x14ac:dyDescent="0.25">
      <c r="A606" s="37" t="s">
        <v>435</v>
      </c>
      <c r="B606" s="38" t="s">
        <v>424</v>
      </c>
      <c r="C606" s="39" t="s">
        <v>163</v>
      </c>
      <c r="D606" s="73" t="s">
        <v>1177</v>
      </c>
      <c r="E606" s="39" t="s">
        <v>669</v>
      </c>
      <c r="F606" s="39" t="s">
        <v>1177</v>
      </c>
      <c r="G606" s="73" t="s">
        <v>168</v>
      </c>
      <c r="H606" s="73" t="s">
        <v>654</v>
      </c>
      <c r="I606" s="39"/>
      <c r="J606" s="40" t="s">
        <v>708</v>
      </c>
      <c r="K606" s="114">
        <f>ROUND(Tableau15[[#This Row],[LEN]]*7.27,0)</f>
        <v>153</v>
      </c>
      <c r="L606" s="114">
        <v>15</v>
      </c>
      <c r="M606" s="131" t="str">
        <f t="shared" si="4"/>
        <v>none</v>
      </c>
      <c r="N606" s="114">
        <f>LEN(Tableau15[[#This Row],[LABEL]])</f>
        <v>21</v>
      </c>
      <c r="O606" s="114">
        <v>15</v>
      </c>
      <c r="P606" s="114" t="e">
        <f>ROUND(Tableau15[[#This Row],[LEN]]*#REF!+#REF!,0)</f>
        <v>#REF!</v>
      </c>
    </row>
    <row r="607" spans="1:16" s="97" customFormat="1" x14ac:dyDescent="0.25">
      <c r="A607" s="33" t="s">
        <v>425</v>
      </c>
      <c r="B607" s="34" t="s">
        <v>273</v>
      </c>
      <c r="C607" s="35" t="s">
        <v>114</v>
      </c>
      <c r="D607" s="72" t="s">
        <v>1177</v>
      </c>
      <c r="E607" s="35" t="s">
        <v>661</v>
      </c>
      <c r="F607" s="35" t="s">
        <v>2083</v>
      </c>
      <c r="G607" s="72" t="s">
        <v>168</v>
      </c>
      <c r="H607" s="72" t="s">
        <v>654</v>
      </c>
      <c r="I607" s="35"/>
      <c r="J607" s="36" t="s">
        <v>708</v>
      </c>
      <c r="K607" s="113">
        <f>ROUND(Tableau15[[#This Row],[LEN]]*7.27,0)</f>
        <v>153</v>
      </c>
      <c r="L607" s="113">
        <v>15</v>
      </c>
      <c r="M607" s="130" t="str">
        <f t="shared" si="4"/>
        <v>none</v>
      </c>
      <c r="N607" s="113">
        <f>LEN(Tableau15[[#This Row],[LABEL]])</f>
        <v>21</v>
      </c>
      <c r="O607" s="113">
        <v>15</v>
      </c>
      <c r="P607" s="113" t="e">
        <f>ROUND(Tableau15[[#This Row],[LEN]]*#REF!+#REF!,0)</f>
        <v>#REF!</v>
      </c>
    </row>
    <row r="608" spans="1:16" s="273" customFormat="1" x14ac:dyDescent="0.25">
      <c r="A608" s="309" t="s">
        <v>274</v>
      </c>
      <c r="B608" s="310" t="s">
        <v>207</v>
      </c>
      <c r="C608" s="311" t="s">
        <v>7</v>
      </c>
      <c r="D608" s="312" t="s">
        <v>1177</v>
      </c>
      <c r="E608" s="311" t="s">
        <v>670</v>
      </c>
      <c r="F608" s="311" t="s">
        <v>1177</v>
      </c>
      <c r="G608" s="312" t="s">
        <v>168</v>
      </c>
      <c r="H608" s="312" t="str">
        <f>IFERROR(IF(SEARCH(".00.00.00.00.00",Tableau15[[#This Row],[name]],1)=7,"Division",""),"")</f>
        <v>Division</v>
      </c>
      <c r="I608" s="311"/>
      <c r="J608" s="313" t="s">
        <v>708</v>
      </c>
      <c r="K608" s="314">
        <f>ROUND(Tableau15[[#This Row],[LEN]]*7.27,0)</f>
        <v>189</v>
      </c>
      <c r="L608" s="314">
        <v>15</v>
      </c>
      <c r="M608" s="315" t="str">
        <f t="shared" si="4"/>
        <v>none</v>
      </c>
      <c r="N608" s="314">
        <f>LEN(Tableau15[[#This Row],[LABEL]])</f>
        <v>26</v>
      </c>
      <c r="O608" s="314">
        <v>15</v>
      </c>
      <c r="P608" s="314" t="e">
        <f>ROUND(Tableau15[[#This Row],[LEN]]*#REF!+#REF!,0)</f>
        <v>#REF!</v>
      </c>
    </row>
    <row r="609" spans="1:16" s="97" customFormat="1" x14ac:dyDescent="0.25">
      <c r="A609" s="33" t="s">
        <v>1436</v>
      </c>
      <c r="B609" s="34" t="s">
        <v>274</v>
      </c>
      <c r="C609" s="35" t="s">
        <v>1440</v>
      </c>
      <c r="D609" s="72" t="s">
        <v>1177</v>
      </c>
      <c r="E609" s="35" t="s">
        <v>670</v>
      </c>
      <c r="F609" s="35" t="s">
        <v>1177</v>
      </c>
      <c r="G609" s="72" t="s">
        <v>168</v>
      </c>
      <c r="H609" s="72" t="s">
        <v>656</v>
      </c>
      <c r="I609" s="35"/>
      <c r="J609" s="36" t="s">
        <v>708</v>
      </c>
      <c r="K609" s="113">
        <f>ROUND(Tableau15[[#This Row],[LEN]]*7.27,0)</f>
        <v>342</v>
      </c>
      <c r="L609" s="113">
        <v>15</v>
      </c>
      <c r="M609" s="130" t="str">
        <f t="shared" si="4"/>
        <v>none</v>
      </c>
      <c r="N609" s="113">
        <f>LEN(Tableau15[[#This Row],[LABEL]])</f>
        <v>47</v>
      </c>
      <c r="O609" s="113">
        <v>15</v>
      </c>
      <c r="P609" s="113" t="e">
        <f>ROUND(Tableau15[[#This Row],[LEN]]*#REF!+#REF!,0)</f>
        <v>#REF!</v>
      </c>
    </row>
    <row r="610" spans="1:16" s="97" customFormat="1" x14ac:dyDescent="0.25">
      <c r="A610" s="33" t="s">
        <v>1437</v>
      </c>
      <c r="B610" s="34" t="s">
        <v>274</v>
      </c>
      <c r="C610" s="35" t="s">
        <v>1441</v>
      </c>
      <c r="D610" s="72" t="s">
        <v>1177</v>
      </c>
      <c r="E610" s="35" t="s">
        <v>670</v>
      </c>
      <c r="F610" s="35" t="s">
        <v>1177</v>
      </c>
      <c r="G610" s="72" t="s">
        <v>168</v>
      </c>
      <c r="H610" s="72" t="s">
        <v>656</v>
      </c>
      <c r="I610" s="35"/>
      <c r="J610" s="36" t="s">
        <v>708</v>
      </c>
      <c r="K610" s="113">
        <f>ROUND(Tableau15[[#This Row],[LEN]]*7.27,0)</f>
        <v>305</v>
      </c>
      <c r="L610" s="113">
        <v>15</v>
      </c>
      <c r="M610" s="130" t="str">
        <f t="shared" si="4"/>
        <v>none</v>
      </c>
      <c r="N610" s="113">
        <f>LEN(Tableau15[[#This Row],[LABEL]])</f>
        <v>42</v>
      </c>
      <c r="O610" s="113">
        <v>15</v>
      </c>
      <c r="P610" s="113" t="e">
        <f>ROUND(Tableau15[[#This Row],[LEN]]*#REF!+#REF!,0)</f>
        <v>#REF!</v>
      </c>
    </row>
    <row r="611" spans="1:16" s="97" customFormat="1" x14ac:dyDescent="0.25">
      <c r="A611" s="33" t="s">
        <v>1438</v>
      </c>
      <c r="B611" s="34" t="s">
        <v>274</v>
      </c>
      <c r="C611" s="35" t="s">
        <v>1442</v>
      </c>
      <c r="D611" s="72" t="s">
        <v>1177</v>
      </c>
      <c r="E611" s="35" t="s">
        <v>670</v>
      </c>
      <c r="F611" s="35" t="s">
        <v>1177</v>
      </c>
      <c r="G611" s="72" t="s">
        <v>168</v>
      </c>
      <c r="H611" s="72" t="s">
        <v>656</v>
      </c>
      <c r="I611" s="35"/>
      <c r="J611" s="36" t="s">
        <v>708</v>
      </c>
      <c r="K611" s="113">
        <f>ROUND(Tableau15[[#This Row],[LEN]]*7.27,0)</f>
        <v>167</v>
      </c>
      <c r="L611" s="113">
        <v>15</v>
      </c>
      <c r="M611" s="130" t="str">
        <f t="shared" si="4"/>
        <v>none</v>
      </c>
      <c r="N611" s="113">
        <f>LEN(Tableau15[[#This Row],[LABEL]])</f>
        <v>23</v>
      </c>
      <c r="O611" s="113">
        <v>15</v>
      </c>
      <c r="P611" s="113" t="e">
        <f>ROUND(Tableau15[[#This Row],[LEN]]*#REF!+#REF!,0)</f>
        <v>#REF!</v>
      </c>
    </row>
    <row r="612" spans="1:16" s="97" customFormat="1" x14ac:dyDescent="0.25">
      <c r="A612" s="33" t="s">
        <v>1439</v>
      </c>
      <c r="B612" s="34" t="s">
        <v>274</v>
      </c>
      <c r="C612" s="35" t="s">
        <v>1443</v>
      </c>
      <c r="D612" s="72" t="s">
        <v>1177</v>
      </c>
      <c r="E612" s="35" t="s">
        <v>670</v>
      </c>
      <c r="F612" s="35" t="s">
        <v>1177</v>
      </c>
      <c r="G612" s="72" t="s">
        <v>168</v>
      </c>
      <c r="H612" s="72" t="s">
        <v>656</v>
      </c>
      <c r="I612" s="35"/>
      <c r="J612" s="36" t="s">
        <v>708</v>
      </c>
      <c r="K612" s="113">
        <f>ROUND(Tableau15[[#This Row],[LEN]]*7.27,0)</f>
        <v>385</v>
      </c>
      <c r="L612" s="113">
        <v>15</v>
      </c>
      <c r="M612" s="130" t="str">
        <f t="shared" si="4"/>
        <v>none</v>
      </c>
      <c r="N612" s="113">
        <f>LEN(Tableau15[[#This Row],[LABEL]])</f>
        <v>53</v>
      </c>
      <c r="O612" s="113">
        <v>15</v>
      </c>
      <c r="P612" s="113" t="e">
        <f>ROUND(Tableau15[[#This Row],[LEN]]*#REF!+#REF!,0)</f>
        <v>#REF!</v>
      </c>
    </row>
    <row r="613" spans="1:16" s="273" customFormat="1" x14ac:dyDescent="0.25">
      <c r="A613" s="309" t="s">
        <v>276</v>
      </c>
      <c r="B613" s="310" t="s">
        <v>207</v>
      </c>
      <c r="C613" s="311" t="s">
        <v>9</v>
      </c>
      <c r="D613" s="312" t="s">
        <v>1177</v>
      </c>
      <c r="E613" s="311" t="s">
        <v>672</v>
      </c>
      <c r="F613" s="311" t="s">
        <v>1177</v>
      </c>
      <c r="G613" s="312" t="s">
        <v>168</v>
      </c>
      <c r="H613" s="312" t="str">
        <f>IFERROR(IF(SEARCH(".00.00.00.00.00",Tableau15[[#This Row],[name]],1)=7,"Division",""),"")</f>
        <v>Division</v>
      </c>
      <c r="I613" s="311"/>
      <c r="J613" s="313" t="s">
        <v>718</v>
      </c>
      <c r="K613" s="314">
        <f>ROUND(Tableau15[[#This Row],[LEN]]*7.27,0)</f>
        <v>80</v>
      </c>
      <c r="L613" s="314">
        <v>15</v>
      </c>
      <c r="M613" s="315" t="str">
        <f t="shared" si="4"/>
        <v>new</v>
      </c>
      <c r="N613" s="314">
        <f>LEN(Tableau15[[#This Row],[LABEL]])</f>
        <v>11</v>
      </c>
      <c r="O613" s="314">
        <v>15</v>
      </c>
      <c r="P613" s="314" t="e">
        <f>ROUND(Tableau15[[#This Row],[LEN]]*#REF!+#REF!,0)</f>
        <v>#REF!</v>
      </c>
    </row>
    <row r="614" spans="1:16" s="97" customFormat="1" x14ac:dyDescent="0.25">
      <c r="A614" s="33" t="s">
        <v>1444</v>
      </c>
      <c r="B614" s="34" t="s">
        <v>276</v>
      </c>
      <c r="C614" s="35" t="s">
        <v>111</v>
      </c>
      <c r="D614" s="72" t="s">
        <v>1177</v>
      </c>
      <c r="E614" s="35" t="s">
        <v>667</v>
      </c>
      <c r="F614" s="35" t="s">
        <v>2006</v>
      </c>
      <c r="G614" s="72" t="s">
        <v>168</v>
      </c>
      <c r="H614" s="72" t="s">
        <v>655</v>
      </c>
      <c r="I614" s="35"/>
      <c r="J614" s="36" t="s">
        <v>708</v>
      </c>
      <c r="K614" s="113">
        <f>ROUND(Tableau15[[#This Row],[LEN]]*7.27,0)</f>
        <v>167</v>
      </c>
      <c r="L614" s="113">
        <v>15</v>
      </c>
      <c r="M614" s="130" t="str">
        <f t="shared" si="4"/>
        <v>none</v>
      </c>
      <c r="N614" s="113">
        <f>LEN(Tableau15[[#This Row],[LABEL]])</f>
        <v>23</v>
      </c>
      <c r="O614" s="113">
        <v>15</v>
      </c>
      <c r="P614" s="113" t="e">
        <f>ROUND(Tableau15[[#This Row],[LEN]]*#REF!+#REF!,0)</f>
        <v>#REF!</v>
      </c>
    </row>
    <row r="615" spans="1:16" s="97" customFormat="1" x14ac:dyDescent="0.25">
      <c r="A615" s="37" t="s">
        <v>509</v>
      </c>
      <c r="B615" s="38" t="s">
        <v>1444</v>
      </c>
      <c r="C615" s="39" t="s">
        <v>112</v>
      </c>
      <c r="D615" s="73" t="s">
        <v>1177</v>
      </c>
      <c r="E615" s="39" t="s">
        <v>667</v>
      </c>
      <c r="F615" s="39" t="s">
        <v>2006</v>
      </c>
      <c r="G615" s="73" t="s">
        <v>168</v>
      </c>
      <c r="H615" s="73" t="s">
        <v>654</v>
      </c>
      <c r="I615" s="39"/>
      <c r="J615" s="40" t="s">
        <v>708</v>
      </c>
      <c r="K615" s="114">
        <f>ROUND(Tableau15[[#This Row],[LEN]]*7.27,0)</f>
        <v>167</v>
      </c>
      <c r="L615" s="114">
        <v>15</v>
      </c>
      <c r="M615" s="131" t="str">
        <f t="shared" si="4"/>
        <v>none</v>
      </c>
      <c r="N615" s="114">
        <f>LEN(Tableau15[[#This Row],[LABEL]])</f>
        <v>23</v>
      </c>
      <c r="O615" s="114">
        <v>15</v>
      </c>
      <c r="P615" s="114" t="e">
        <f>ROUND(Tableau15[[#This Row],[LEN]]*#REF!+#REF!,0)</f>
        <v>#REF!</v>
      </c>
    </row>
    <row r="616" spans="1:16" s="97" customFormat="1" x14ac:dyDescent="0.25">
      <c r="A616" s="37" t="s">
        <v>510</v>
      </c>
      <c r="B616" s="38" t="s">
        <v>1444</v>
      </c>
      <c r="C616" s="39" t="s">
        <v>113</v>
      </c>
      <c r="D616" s="73" t="s">
        <v>1177</v>
      </c>
      <c r="E616" s="39" t="s">
        <v>667</v>
      </c>
      <c r="F616" s="39" t="s">
        <v>2006</v>
      </c>
      <c r="G616" s="73" t="s">
        <v>168</v>
      </c>
      <c r="H616" s="73" t="s">
        <v>654</v>
      </c>
      <c r="I616" s="39"/>
      <c r="J616" s="40" t="s">
        <v>708</v>
      </c>
      <c r="K616" s="114">
        <f>ROUND(Tableau15[[#This Row],[LEN]]*7.27,0)</f>
        <v>233</v>
      </c>
      <c r="L616" s="114">
        <v>15</v>
      </c>
      <c r="M616" s="131" t="str">
        <f t="shared" si="4"/>
        <v>none</v>
      </c>
      <c r="N616" s="114">
        <f>LEN(Tableau15[[#This Row],[LABEL]])</f>
        <v>32</v>
      </c>
      <c r="O616" s="114">
        <v>15</v>
      </c>
      <c r="P616" s="114" t="e">
        <f>ROUND(Tableau15[[#This Row],[LEN]]*#REF!+#REF!,0)</f>
        <v>#REF!</v>
      </c>
    </row>
    <row r="617" spans="1:16" s="273" customFormat="1" x14ac:dyDescent="0.25">
      <c r="A617" s="309" t="s">
        <v>277</v>
      </c>
      <c r="B617" s="310" t="s">
        <v>207</v>
      </c>
      <c r="C617" s="311" t="s">
        <v>10</v>
      </c>
      <c r="D617" s="312" t="s">
        <v>1177</v>
      </c>
      <c r="E617" s="311" t="s">
        <v>673</v>
      </c>
      <c r="F617" s="311" t="s">
        <v>1177</v>
      </c>
      <c r="G617" s="312" t="s">
        <v>168</v>
      </c>
      <c r="H617" s="312" t="str">
        <f>IFERROR(IF(SEARCH(".00.00.00.00.00",Tableau15[[#This Row],[name]],1)=7,"Division",""),"")</f>
        <v>Division</v>
      </c>
      <c r="I617" s="311"/>
      <c r="J617" s="313" t="s">
        <v>719</v>
      </c>
      <c r="K617" s="314">
        <f>ROUND(Tableau15[[#This Row],[LEN]]*7.27,0)</f>
        <v>109</v>
      </c>
      <c r="L617" s="314">
        <v>15</v>
      </c>
      <c r="M617" s="315" t="str">
        <f t="shared" si="4"/>
        <v>new</v>
      </c>
      <c r="N617" s="314">
        <f>LEN(Tableau15[[#This Row],[LABEL]])</f>
        <v>15</v>
      </c>
      <c r="O617" s="314">
        <v>15</v>
      </c>
      <c r="P617" s="314" t="e">
        <f>ROUND(Tableau15[[#This Row],[LEN]]*#REF!+#REF!,0)</f>
        <v>#REF!</v>
      </c>
    </row>
    <row r="618" spans="1:16" s="97" customFormat="1" x14ac:dyDescent="0.25">
      <c r="A618" s="33" t="s">
        <v>1446</v>
      </c>
      <c r="B618" s="34" t="s">
        <v>277</v>
      </c>
      <c r="C618" s="35" t="s">
        <v>111</v>
      </c>
      <c r="D618" s="72" t="s">
        <v>1177</v>
      </c>
      <c r="E618" s="35" t="s">
        <v>667</v>
      </c>
      <c r="F618" s="35" t="s">
        <v>2006</v>
      </c>
      <c r="G618" s="72" t="s">
        <v>168</v>
      </c>
      <c r="H618" s="72" t="s">
        <v>655</v>
      </c>
      <c r="I618" s="35"/>
      <c r="J618" s="36" t="s">
        <v>708</v>
      </c>
      <c r="K618" s="113">
        <f>ROUND(Tableau15[[#This Row],[LEN]]*7.27,0)</f>
        <v>167</v>
      </c>
      <c r="L618" s="113">
        <v>15</v>
      </c>
      <c r="M618" s="130" t="str">
        <f t="shared" si="4"/>
        <v>none</v>
      </c>
      <c r="N618" s="113">
        <f>LEN(Tableau15[[#This Row],[LABEL]])</f>
        <v>23</v>
      </c>
      <c r="O618" s="113">
        <v>15</v>
      </c>
      <c r="P618" s="113" t="e">
        <f>ROUND(Tableau15[[#This Row],[LEN]]*#REF!+#REF!,0)</f>
        <v>#REF!</v>
      </c>
    </row>
    <row r="619" spans="1:16" s="97" customFormat="1" x14ac:dyDescent="0.25">
      <c r="A619" s="37" t="s">
        <v>1448</v>
      </c>
      <c r="B619" s="38" t="s">
        <v>1446</v>
      </c>
      <c r="C619" s="39" t="s">
        <v>112</v>
      </c>
      <c r="D619" s="73" t="s">
        <v>1177</v>
      </c>
      <c r="E619" s="39" t="s">
        <v>667</v>
      </c>
      <c r="F619" s="39" t="s">
        <v>2006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ROUND(Tableau15[[#This Row],[LEN]]*7.27,0)</f>
        <v>167</v>
      </c>
      <c r="L619" s="114">
        <v>15</v>
      </c>
      <c r="M619" s="131" t="str">
        <f t="shared" si="4"/>
        <v>none</v>
      </c>
      <c r="N619" s="114">
        <f>LEN(Tableau15[[#This Row],[LABEL]])</f>
        <v>23</v>
      </c>
      <c r="O619" s="114">
        <v>15</v>
      </c>
      <c r="P619" s="114" t="e">
        <f>ROUND(Tableau15[[#This Row],[LEN]]*#REF!+#REF!,0)</f>
        <v>#REF!</v>
      </c>
    </row>
    <row r="620" spans="1:16" s="97" customFormat="1" x14ac:dyDescent="0.25">
      <c r="A620" s="37" t="s">
        <v>1449</v>
      </c>
      <c r="B620" s="38" t="s">
        <v>1446</v>
      </c>
      <c r="C620" s="39" t="s">
        <v>113</v>
      </c>
      <c r="D620" s="73" t="s">
        <v>1177</v>
      </c>
      <c r="E620" s="39" t="s">
        <v>667</v>
      </c>
      <c r="F620" s="39" t="s">
        <v>2006</v>
      </c>
      <c r="G620" s="73" t="s">
        <v>168</v>
      </c>
      <c r="H620" s="73" t="s">
        <v>654</v>
      </c>
      <c r="I620" s="39"/>
      <c r="J620" s="40" t="s">
        <v>708</v>
      </c>
      <c r="K620" s="114">
        <f>ROUND(Tableau15[[#This Row],[LEN]]*7.27,0)</f>
        <v>233</v>
      </c>
      <c r="L620" s="114">
        <v>15</v>
      </c>
      <c r="M620" s="131" t="str">
        <f t="shared" si="4"/>
        <v>none</v>
      </c>
      <c r="N620" s="114">
        <f>LEN(Tableau15[[#This Row],[LABEL]])</f>
        <v>32</v>
      </c>
      <c r="O620" s="114">
        <v>15</v>
      </c>
      <c r="P620" s="114" t="e">
        <f>ROUND(Tableau15[[#This Row],[LEN]]*#REF!+#REF!,0)</f>
        <v>#REF!</v>
      </c>
    </row>
    <row r="621" spans="1:16" s="97" customFormat="1" x14ac:dyDescent="0.25">
      <c r="A621" s="33" t="s">
        <v>1447</v>
      </c>
      <c r="B621" s="34" t="s">
        <v>277</v>
      </c>
      <c r="C621" s="35" t="s">
        <v>114</v>
      </c>
      <c r="D621" s="72" t="s">
        <v>1177</v>
      </c>
      <c r="E621" s="35" t="s">
        <v>661</v>
      </c>
      <c r="F621" s="35" t="s">
        <v>2083</v>
      </c>
      <c r="G621" s="72" t="s">
        <v>168</v>
      </c>
      <c r="H621" s="72" t="s">
        <v>654</v>
      </c>
      <c r="I621" s="35"/>
      <c r="J621" s="36" t="s">
        <v>708</v>
      </c>
      <c r="K621" s="113">
        <f>ROUND(Tableau15[[#This Row],[LEN]]*7.27,0)</f>
        <v>153</v>
      </c>
      <c r="L621" s="113">
        <v>15</v>
      </c>
      <c r="M621" s="130" t="str">
        <f t="shared" si="4"/>
        <v>none</v>
      </c>
      <c r="N621" s="113">
        <f>LEN(Tableau15[[#This Row],[LABEL]])</f>
        <v>21</v>
      </c>
      <c r="O621" s="113">
        <v>15</v>
      </c>
      <c r="P621" s="113" t="e">
        <f>ROUND(Tableau15[[#This Row],[LEN]]*#REF!+#REF!,0)</f>
        <v>#REF!</v>
      </c>
    </row>
    <row r="622" spans="1:16" s="273" customFormat="1" x14ac:dyDescent="0.25">
      <c r="A622" s="309" t="s">
        <v>278</v>
      </c>
      <c r="B622" s="310" t="s">
        <v>207</v>
      </c>
      <c r="C622" s="311" t="s">
        <v>11</v>
      </c>
      <c r="D622" s="312" t="s">
        <v>1177</v>
      </c>
      <c r="E622" s="311" t="s">
        <v>674</v>
      </c>
      <c r="F622" s="311" t="s">
        <v>1177</v>
      </c>
      <c r="G622" s="312" t="s">
        <v>168</v>
      </c>
      <c r="H622" s="312" t="str">
        <f>IFERROR(IF(SEARCH(".00.00.00.00.00",Tableau15[[#This Row],[name]],1)=7,"Division",""),"")</f>
        <v>Division</v>
      </c>
      <c r="I622" s="311"/>
      <c r="J622" s="313" t="s">
        <v>720</v>
      </c>
      <c r="K622" s="314">
        <f>ROUND(Tableau15[[#This Row],[LEN]]*7.27,0)</f>
        <v>51</v>
      </c>
      <c r="L622" s="314">
        <v>15</v>
      </c>
      <c r="M622" s="315" t="str">
        <f t="shared" si="4"/>
        <v>new</v>
      </c>
      <c r="N622" s="314">
        <f>LEN(Tableau15[[#This Row],[LABEL]])</f>
        <v>7</v>
      </c>
      <c r="O622" s="314">
        <v>15</v>
      </c>
      <c r="P622" s="314" t="e">
        <f>ROUND(Tableau15[[#This Row],[LEN]]*#REF!+#REF!,0)</f>
        <v>#REF!</v>
      </c>
    </row>
    <row r="623" spans="1:16" s="97" customFormat="1" x14ac:dyDescent="0.25">
      <c r="A623" s="33" t="s">
        <v>1450</v>
      </c>
      <c r="B623" s="34" t="s">
        <v>278</v>
      </c>
      <c r="C623" s="35" t="s">
        <v>111</v>
      </c>
      <c r="D623" s="72" t="s">
        <v>1177</v>
      </c>
      <c r="E623" s="35" t="s">
        <v>667</v>
      </c>
      <c r="F623" s="35" t="s">
        <v>2006</v>
      </c>
      <c r="G623" s="72" t="s">
        <v>168</v>
      </c>
      <c r="H623" s="72" t="s">
        <v>655</v>
      </c>
      <c r="I623" s="35"/>
      <c r="J623" s="36" t="s">
        <v>708</v>
      </c>
      <c r="K623" s="113">
        <f>ROUND(Tableau15[[#This Row],[LEN]]*7.27,0)</f>
        <v>167</v>
      </c>
      <c r="L623" s="113">
        <v>15</v>
      </c>
      <c r="M623" s="130" t="str">
        <f t="shared" si="4"/>
        <v>none</v>
      </c>
      <c r="N623" s="113">
        <f>LEN(Tableau15[[#This Row],[LABEL]])</f>
        <v>23</v>
      </c>
      <c r="O623" s="113">
        <v>15</v>
      </c>
      <c r="P623" s="113" t="e">
        <f>ROUND(Tableau15[[#This Row],[LEN]]*#REF!+#REF!,0)</f>
        <v>#REF!</v>
      </c>
    </row>
    <row r="624" spans="1:16" s="97" customFormat="1" x14ac:dyDescent="0.25">
      <c r="A624" s="37" t="s">
        <v>1451</v>
      </c>
      <c r="B624" s="38" t="s">
        <v>1450</v>
      </c>
      <c r="C624" s="39" t="s">
        <v>112</v>
      </c>
      <c r="D624" s="73" t="s">
        <v>1177</v>
      </c>
      <c r="E624" s="39" t="s">
        <v>667</v>
      </c>
      <c r="F624" s="39" t="s">
        <v>2006</v>
      </c>
      <c r="G624" s="73" t="s">
        <v>168</v>
      </c>
      <c r="H624" s="73" t="s">
        <v>654</v>
      </c>
      <c r="I624" s="39"/>
      <c r="J624" s="40" t="s">
        <v>708</v>
      </c>
      <c r="K624" s="114">
        <f>ROUND(Tableau15[[#This Row],[LEN]]*7.27,0)</f>
        <v>167</v>
      </c>
      <c r="L624" s="114">
        <v>15</v>
      </c>
      <c r="M624" s="131" t="str">
        <f t="shared" si="4"/>
        <v>none</v>
      </c>
      <c r="N624" s="114">
        <f>LEN(Tableau15[[#This Row],[LABEL]])</f>
        <v>23</v>
      </c>
      <c r="O624" s="114">
        <v>15</v>
      </c>
      <c r="P624" s="114" t="e">
        <f>ROUND(Tableau15[[#This Row],[LEN]]*#REF!+#REF!,0)</f>
        <v>#REF!</v>
      </c>
    </row>
    <row r="625" spans="1:16" s="97" customFormat="1" x14ac:dyDescent="0.25">
      <c r="A625" s="37" t="s">
        <v>1452</v>
      </c>
      <c r="B625" s="38" t="s">
        <v>1450</v>
      </c>
      <c r="C625" s="39" t="s">
        <v>113</v>
      </c>
      <c r="D625" s="73" t="s">
        <v>1177</v>
      </c>
      <c r="E625" s="39" t="s">
        <v>667</v>
      </c>
      <c r="F625" s="39" t="s">
        <v>2006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ROUND(Tableau15[[#This Row],[LEN]]*7.27,0)</f>
        <v>233</v>
      </c>
      <c r="L625" s="114">
        <v>15</v>
      </c>
      <c r="M625" s="131" t="str">
        <f t="shared" si="4"/>
        <v>none</v>
      </c>
      <c r="N625" s="114">
        <f>LEN(Tableau15[[#This Row],[LABEL]])</f>
        <v>32</v>
      </c>
      <c r="O625" s="114">
        <v>15</v>
      </c>
      <c r="P625" s="114" t="e">
        <f>ROUND(Tableau15[[#This Row],[LEN]]*#REF!+#REF!,0)</f>
        <v>#REF!</v>
      </c>
    </row>
    <row r="626" spans="1:16" s="97" customFormat="1" x14ac:dyDescent="0.25">
      <c r="A626" s="33" t="s">
        <v>1450</v>
      </c>
      <c r="B626" s="34" t="s">
        <v>278</v>
      </c>
      <c r="C626" s="35" t="s">
        <v>1456</v>
      </c>
      <c r="D626" s="72" t="s">
        <v>1177</v>
      </c>
      <c r="E626" s="35" t="s">
        <v>674</v>
      </c>
      <c r="F626" s="35" t="s">
        <v>1177</v>
      </c>
      <c r="G626" s="72" t="s">
        <v>168</v>
      </c>
      <c r="H626" s="72" t="s">
        <v>656</v>
      </c>
      <c r="I626" s="35"/>
      <c r="J626" s="36" t="s">
        <v>708</v>
      </c>
      <c r="K626" s="113">
        <f>ROUND(Tableau15[[#This Row],[LEN]]*7.27,0)</f>
        <v>342</v>
      </c>
      <c r="L626" s="113">
        <v>15</v>
      </c>
      <c r="M626" s="130" t="str">
        <f t="shared" si="4"/>
        <v>none</v>
      </c>
      <c r="N626" s="113">
        <f>LEN(Tableau15[[#This Row],[LABEL]])</f>
        <v>47</v>
      </c>
      <c r="O626" s="113">
        <v>15</v>
      </c>
      <c r="P626" s="113" t="e">
        <f>ROUND(Tableau15[[#This Row],[LEN]]*#REF!+#REF!,0)</f>
        <v>#REF!</v>
      </c>
    </row>
    <row r="627" spans="1:16" s="97" customFormat="1" x14ac:dyDescent="0.25">
      <c r="A627" s="33" t="s">
        <v>1453</v>
      </c>
      <c r="B627" s="34" t="s">
        <v>278</v>
      </c>
      <c r="C627" s="35" t="s">
        <v>1457</v>
      </c>
      <c r="D627" s="72" t="s">
        <v>1177</v>
      </c>
      <c r="E627" s="35" t="s">
        <v>674</v>
      </c>
      <c r="F627" s="35" t="s">
        <v>1177</v>
      </c>
      <c r="G627" s="72" t="s">
        <v>168</v>
      </c>
      <c r="H627" s="72" t="s">
        <v>656</v>
      </c>
      <c r="I627" s="35"/>
      <c r="J627" s="36" t="s">
        <v>708</v>
      </c>
      <c r="K627" s="113">
        <f>ROUND(Tableau15[[#This Row],[LEN]]*7.27,0)</f>
        <v>414</v>
      </c>
      <c r="L627" s="113">
        <v>15</v>
      </c>
      <c r="M627" s="130" t="str">
        <f t="shared" si="4"/>
        <v>none</v>
      </c>
      <c r="N627" s="113">
        <f>LEN(Tableau15[[#This Row],[LABEL]])</f>
        <v>57</v>
      </c>
      <c r="O627" s="113">
        <v>15</v>
      </c>
      <c r="P627" s="113" t="e">
        <f>ROUND(Tableau15[[#This Row],[LEN]]*#REF!+#REF!,0)</f>
        <v>#REF!</v>
      </c>
    </row>
    <row r="628" spans="1:16" s="97" customFormat="1" x14ac:dyDescent="0.25">
      <c r="A628" s="33" t="s">
        <v>1454</v>
      </c>
      <c r="B628" s="34" t="s">
        <v>278</v>
      </c>
      <c r="C628" s="35" t="s">
        <v>1455</v>
      </c>
      <c r="D628" s="72" t="s">
        <v>1177</v>
      </c>
      <c r="E628" s="35" t="s">
        <v>674</v>
      </c>
      <c r="F628" s="35" t="s">
        <v>1177</v>
      </c>
      <c r="G628" s="72" t="s">
        <v>168</v>
      </c>
      <c r="H628" s="72" t="s">
        <v>656</v>
      </c>
      <c r="I628" s="35"/>
      <c r="J628" s="36" t="s">
        <v>708</v>
      </c>
      <c r="K628" s="113">
        <f>ROUND(Tableau15[[#This Row],[LEN]]*7.27,0)</f>
        <v>160</v>
      </c>
      <c r="L628" s="113">
        <v>15</v>
      </c>
      <c r="M628" s="130" t="str">
        <f t="shared" si="4"/>
        <v>none</v>
      </c>
      <c r="N628" s="113">
        <f>LEN(Tableau15[[#This Row],[LABEL]])</f>
        <v>22</v>
      </c>
      <c r="O628" s="113">
        <v>15</v>
      </c>
      <c r="P628" s="113" t="e">
        <f>ROUND(Tableau15[[#This Row],[LEN]]*#REF!+#REF!,0)</f>
        <v>#REF!</v>
      </c>
    </row>
    <row r="629" spans="1:16" s="97" customFormat="1" x14ac:dyDescent="0.25">
      <c r="A629" s="33" t="s">
        <v>1450</v>
      </c>
      <c r="B629" s="34" t="s">
        <v>278</v>
      </c>
      <c r="C629" s="35" t="s">
        <v>114</v>
      </c>
      <c r="D629" s="72" t="s">
        <v>1177</v>
      </c>
      <c r="E629" s="35" t="s">
        <v>661</v>
      </c>
      <c r="F629" s="35" t="s">
        <v>2083</v>
      </c>
      <c r="G629" s="72" t="s">
        <v>168</v>
      </c>
      <c r="H629" s="72" t="s">
        <v>655</v>
      </c>
      <c r="I629" s="35"/>
      <c r="J629" s="36" t="s">
        <v>708</v>
      </c>
      <c r="K629" s="113">
        <f>ROUND(Tableau15[[#This Row],[LEN]]*7.27,0)</f>
        <v>153</v>
      </c>
      <c r="L629" s="113">
        <v>15</v>
      </c>
      <c r="M629" s="130" t="str">
        <f t="shared" si="4"/>
        <v>none</v>
      </c>
      <c r="N629" s="113">
        <f>LEN(Tableau15[[#This Row],[LABEL]])</f>
        <v>21</v>
      </c>
      <c r="O629" s="113">
        <v>15</v>
      </c>
      <c r="P629" s="113" t="e">
        <f>ROUND(Tableau15[[#This Row],[LEN]]*#REF!+#REF!,0)</f>
        <v>#REF!</v>
      </c>
    </row>
    <row r="630" spans="1:16" s="97" customFormat="1" x14ac:dyDescent="0.25">
      <c r="A630" s="37" t="s">
        <v>1451</v>
      </c>
      <c r="B630" s="38" t="s">
        <v>1450</v>
      </c>
      <c r="C630" s="39" t="s">
        <v>1458</v>
      </c>
      <c r="D630" s="73" t="s">
        <v>1177</v>
      </c>
      <c r="E630" s="39" t="s">
        <v>661</v>
      </c>
      <c r="F630" s="39" t="s">
        <v>2083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ROUND(Tableau15[[#This Row],[LEN]]*7.27,0)</f>
        <v>189</v>
      </c>
      <c r="L630" s="114">
        <v>15</v>
      </c>
      <c r="M630" s="131" t="str">
        <f t="shared" si="4"/>
        <v>none</v>
      </c>
      <c r="N630" s="114">
        <f>LEN(Tableau15[[#This Row],[LABEL]])</f>
        <v>26</v>
      </c>
      <c r="O630" s="114">
        <v>15</v>
      </c>
      <c r="P630" s="114" t="e">
        <f>ROUND(Tableau15[[#This Row],[LEN]]*#REF!+#REF!,0)</f>
        <v>#REF!</v>
      </c>
    </row>
    <row r="631" spans="1:16" s="97" customFormat="1" x14ac:dyDescent="0.25">
      <c r="A631" s="37" t="s">
        <v>1452</v>
      </c>
      <c r="B631" s="38" t="s">
        <v>1450</v>
      </c>
      <c r="C631" s="39" t="s">
        <v>1459</v>
      </c>
      <c r="D631" s="73" t="s">
        <v>1177</v>
      </c>
      <c r="E631" s="39" t="s">
        <v>661</v>
      </c>
      <c r="F631" s="39" t="s">
        <v>2083</v>
      </c>
      <c r="G631" s="73" t="s">
        <v>168</v>
      </c>
      <c r="H631" s="73" t="s">
        <v>654</v>
      </c>
      <c r="I631" s="39"/>
      <c r="J631" s="40" t="s">
        <v>708</v>
      </c>
      <c r="K631" s="114">
        <f>ROUND(Tableau15[[#This Row],[LEN]]*7.27,0)</f>
        <v>204</v>
      </c>
      <c r="L631" s="114">
        <v>15</v>
      </c>
      <c r="M631" s="131" t="str">
        <f t="shared" si="4"/>
        <v>none</v>
      </c>
      <c r="N631" s="114">
        <f>LEN(Tableau15[[#This Row],[LABEL]])</f>
        <v>28</v>
      </c>
      <c r="O631" s="114">
        <v>15</v>
      </c>
      <c r="P631" s="114" t="e">
        <f>ROUND(Tableau15[[#This Row],[LEN]]*#REF!+#REF!,0)</f>
        <v>#REF!</v>
      </c>
    </row>
    <row r="632" spans="1:16" s="273" customFormat="1" x14ac:dyDescent="0.25">
      <c r="A632" s="309" t="s">
        <v>279</v>
      </c>
      <c r="B632" s="310" t="s">
        <v>207</v>
      </c>
      <c r="C632" s="311" t="s">
        <v>12</v>
      </c>
      <c r="D632" s="312" t="s">
        <v>1177</v>
      </c>
      <c r="E632" s="311" t="s">
        <v>675</v>
      </c>
      <c r="F632" s="311" t="s">
        <v>1177</v>
      </c>
      <c r="G632" s="312" t="s">
        <v>168</v>
      </c>
      <c r="H632" s="312" t="str">
        <f>IFERROR(IF(SEARCH(".00.00.00.00.00",Tableau15[[#This Row],[name]],1)=7,"Division",""),"")</f>
        <v>Division</v>
      </c>
      <c r="I632" s="311"/>
      <c r="J632" s="313" t="s">
        <v>721</v>
      </c>
      <c r="K632" s="314">
        <f>ROUND(Tableau15[[#This Row],[LEN]]*7.27,0)</f>
        <v>15</v>
      </c>
      <c r="L632" s="314">
        <v>15</v>
      </c>
      <c r="M632" s="315" t="str">
        <f t="shared" si="4"/>
        <v>new</v>
      </c>
      <c r="N632" s="314">
        <f>LEN(Tableau15[[#This Row],[LABEL]])</f>
        <v>2</v>
      </c>
      <c r="O632" s="314">
        <v>15</v>
      </c>
      <c r="P632" s="314" t="e">
        <f>ROUND(Tableau15[[#This Row],[LEN]]*#REF!+#REF!,0)</f>
        <v>#REF!</v>
      </c>
    </row>
    <row r="633" spans="1:16" s="97" customFormat="1" x14ac:dyDescent="0.25">
      <c r="A633" s="33" t="s">
        <v>1460</v>
      </c>
      <c r="B633" s="34" t="s">
        <v>279</v>
      </c>
      <c r="C633" s="35" t="s">
        <v>111</v>
      </c>
      <c r="D633" s="72" t="s">
        <v>1177</v>
      </c>
      <c r="E633" s="35" t="s">
        <v>667</v>
      </c>
      <c r="F633" s="35" t="s">
        <v>2006</v>
      </c>
      <c r="G633" s="72" t="s">
        <v>168</v>
      </c>
      <c r="H633" s="72" t="s">
        <v>655</v>
      </c>
      <c r="I633" s="35"/>
      <c r="J633" s="36" t="s">
        <v>708</v>
      </c>
      <c r="K633" s="113">
        <f>ROUND(Tableau15[[#This Row],[LEN]]*7.27,0)</f>
        <v>167</v>
      </c>
      <c r="L633" s="113">
        <v>15</v>
      </c>
      <c r="M633" s="130" t="str">
        <f t="shared" si="4"/>
        <v>none</v>
      </c>
      <c r="N633" s="113">
        <f>LEN(Tableau15[[#This Row],[LABEL]])</f>
        <v>23</v>
      </c>
      <c r="O633" s="113">
        <v>15</v>
      </c>
      <c r="P633" s="113" t="e">
        <f>ROUND(Tableau15[[#This Row],[LEN]]*#REF!+#REF!,0)</f>
        <v>#REF!</v>
      </c>
    </row>
    <row r="634" spans="1:16" s="97" customFormat="1" x14ac:dyDescent="0.25">
      <c r="A634" s="37" t="s">
        <v>1463</v>
      </c>
      <c r="B634" s="38" t="s">
        <v>1460</v>
      </c>
      <c r="C634" s="39" t="s">
        <v>112</v>
      </c>
      <c r="D634" s="73" t="s">
        <v>1177</v>
      </c>
      <c r="E634" s="39" t="s">
        <v>667</v>
      </c>
      <c r="F634" s="39" t="s">
        <v>2006</v>
      </c>
      <c r="G634" s="73" t="s">
        <v>168</v>
      </c>
      <c r="H634" s="73" t="s">
        <v>654</v>
      </c>
      <c r="I634" s="39"/>
      <c r="J634" s="40" t="s">
        <v>708</v>
      </c>
      <c r="K634" s="114">
        <f>ROUND(Tableau15[[#This Row],[LEN]]*7.27,0)</f>
        <v>167</v>
      </c>
      <c r="L634" s="114">
        <v>15</v>
      </c>
      <c r="M634" s="131" t="str">
        <f t="shared" si="4"/>
        <v>none</v>
      </c>
      <c r="N634" s="114">
        <f>LEN(Tableau15[[#This Row],[LABEL]])</f>
        <v>23</v>
      </c>
      <c r="O634" s="114">
        <v>15</v>
      </c>
      <c r="P634" s="114" t="e">
        <f>ROUND(Tableau15[[#This Row],[LEN]]*#REF!+#REF!,0)</f>
        <v>#REF!</v>
      </c>
    </row>
    <row r="635" spans="1:16" s="97" customFormat="1" x14ac:dyDescent="0.25">
      <c r="A635" s="37" t="s">
        <v>1464</v>
      </c>
      <c r="B635" s="38" t="s">
        <v>1460</v>
      </c>
      <c r="C635" s="39" t="s">
        <v>113</v>
      </c>
      <c r="D635" s="73" t="s">
        <v>1177</v>
      </c>
      <c r="E635" s="39" t="s">
        <v>667</v>
      </c>
      <c r="F635" s="39" t="s">
        <v>2006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ROUND(Tableau15[[#This Row],[LEN]]*7.27,0)</f>
        <v>233</v>
      </c>
      <c r="L635" s="114">
        <v>15</v>
      </c>
      <c r="M635" s="131" t="str">
        <f t="shared" si="4"/>
        <v>none</v>
      </c>
      <c r="N635" s="114">
        <f>LEN(Tableau15[[#This Row],[LABEL]])</f>
        <v>32</v>
      </c>
      <c r="O635" s="114">
        <v>15</v>
      </c>
      <c r="P635" s="114" t="e">
        <f>ROUND(Tableau15[[#This Row],[LEN]]*#REF!+#REF!,0)</f>
        <v>#REF!</v>
      </c>
    </row>
    <row r="636" spans="1:16" s="97" customFormat="1" x14ac:dyDescent="0.25">
      <c r="A636" s="33" t="s">
        <v>1461</v>
      </c>
      <c r="B636" s="34" t="s">
        <v>279</v>
      </c>
      <c r="C636" s="35" t="s">
        <v>1483</v>
      </c>
      <c r="D636" s="72" t="s">
        <v>1177</v>
      </c>
      <c r="E636" s="35" t="s">
        <v>661</v>
      </c>
      <c r="F636" s="35" t="s">
        <v>2083</v>
      </c>
      <c r="G636" s="72" t="s">
        <v>168</v>
      </c>
      <c r="H636" s="72" t="s">
        <v>655</v>
      </c>
      <c r="I636" s="35"/>
      <c r="J636" s="36" t="s">
        <v>708</v>
      </c>
      <c r="K636" s="113">
        <f>ROUND(Tableau15[[#This Row],[LEN]]*7.27,0)</f>
        <v>240</v>
      </c>
      <c r="L636" s="113">
        <v>15</v>
      </c>
      <c r="M636" s="130" t="str">
        <f t="shared" si="4"/>
        <v>none</v>
      </c>
      <c r="N636" s="113">
        <f>LEN(Tableau15[[#This Row],[LABEL]])</f>
        <v>33</v>
      </c>
      <c r="O636" s="113">
        <v>15</v>
      </c>
      <c r="P636" s="113" t="e">
        <f>ROUND(Tableau15[[#This Row],[LEN]]*#REF!+#REF!,0)</f>
        <v>#REF!</v>
      </c>
    </row>
    <row r="637" spans="1:16" s="97" customFormat="1" x14ac:dyDescent="0.25">
      <c r="A637" s="37" t="s">
        <v>1465</v>
      </c>
      <c r="B637" s="38" t="s">
        <v>1461</v>
      </c>
      <c r="C637" s="39" t="s">
        <v>1458</v>
      </c>
      <c r="D637" s="73" t="s">
        <v>1177</v>
      </c>
      <c r="E637" s="39" t="s">
        <v>661</v>
      </c>
      <c r="F637" s="39" t="s">
        <v>2083</v>
      </c>
      <c r="G637" s="73" t="s">
        <v>168</v>
      </c>
      <c r="H637" s="73" t="s">
        <v>654</v>
      </c>
      <c r="I637" s="39"/>
      <c r="J637" s="40" t="s">
        <v>708</v>
      </c>
      <c r="K637" s="114">
        <f>ROUND(Tableau15[[#This Row],[LEN]]*7.27,0)</f>
        <v>189</v>
      </c>
      <c r="L637" s="114">
        <v>15</v>
      </c>
      <c r="M637" s="131" t="str">
        <f t="shared" si="4"/>
        <v>none</v>
      </c>
      <c r="N637" s="114">
        <f>LEN(Tableau15[[#This Row],[LABEL]])</f>
        <v>26</v>
      </c>
      <c r="O637" s="114">
        <v>15</v>
      </c>
      <c r="P637" s="114" t="e">
        <f>ROUND(Tableau15[[#This Row],[LEN]]*#REF!+#REF!,0)</f>
        <v>#REF!</v>
      </c>
    </row>
    <row r="638" spans="1:16" s="97" customFormat="1" x14ac:dyDescent="0.25">
      <c r="A638" s="37" t="s">
        <v>1466</v>
      </c>
      <c r="B638" s="38" t="s">
        <v>1461</v>
      </c>
      <c r="C638" s="39" t="s">
        <v>1459</v>
      </c>
      <c r="D638" s="73" t="s">
        <v>1177</v>
      </c>
      <c r="E638" s="39" t="s">
        <v>661</v>
      </c>
      <c r="F638" s="39" t="s">
        <v>2083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ROUND(Tableau15[[#This Row],[LEN]]*7.27,0)</f>
        <v>204</v>
      </c>
      <c r="L638" s="114">
        <v>15</v>
      </c>
      <c r="M638" s="131" t="str">
        <f t="shared" si="4"/>
        <v>none</v>
      </c>
      <c r="N638" s="114">
        <f>LEN(Tableau15[[#This Row],[LABEL]])</f>
        <v>28</v>
      </c>
      <c r="O638" s="114">
        <v>15</v>
      </c>
      <c r="P638" s="114" t="e">
        <f>ROUND(Tableau15[[#This Row],[LEN]]*#REF!+#REF!,0)</f>
        <v>#REF!</v>
      </c>
    </row>
    <row r="639" spans="1:16" s="273" customFormat="1" x14ac:dyDescent="0.25">
      <c r="A639" s="309" t="s">
        <v>280</v>
      </c>
      <c r="B639" s="310" t="s">
        <v>207</v>
      </c>
      <c r="C639" s="311" t="s">
        <v>71</v>
      </c>
      <c r="D639" s="312" t="s">
        <v>1177</v>
      </c>
      <c r="E639" s="311" t="s">
        <v>676</v>
      </c>
      <c r="F639" s="311" t="s">
        <v>1177</v>
      </c>
      <c r="G639" s="312" t="s">
        <v>168</v>
      </c>
      <c r="H639" s="312" t="str">
        <f>IFERROR(IF(SEARCH(".00.00.00.00.00",Tableau15[[#This Row],[name]],1)=7,"Division",""),"")</f>
        <v>Division</v>
      </c>
      <c r="I639" s="311"/>
      <c r="J639" s="313" t="s">
        <v>722</v>
      </c>
      <c r="K639" s="314">
        <f>ROUND(Tableau15[[#This Row],[LEN]]*7.27,0)</f>
        <v>29</v>
      </c>
      <c r="L639" s="314">
        <v>15</v>
      </c>
      <c r="M639" s="315" t="str">
        <f t="shared" si="4"/>
        <v>new</v>
      </c>
      <c r="N639" s="314">
        <f>LEN(Tableau15[[#This Row],[LABEL]])</f>
        <v>4</v>
      </c>
      <c r="O639" s="314">
        <v>15</v>
      </c>
      <c r="P639" s="314" t="e">
        <f>ROUND(Tableau15[[#This Row],[LEN]]*#REF!+#REF!,0)</f>
        <v>#REF!</v>
      </c>
    </row>
    <row r="640" spans="1:16" s="97" customFormat="1" x14ac:dyDescent="0.25">
      <c r="A640" s="33" t="s">
        <v>1471</v>
      </c>
      <c r="B640" s="34" t="s">
        <v>280</v>
      </c>
      <c r="C640" s="35" t="s">
        <v>111</v>
      </c>
      <c r="D640" s="72" t="s">
        <v>1177</v>
      </c>
      <c r="E640" s="35" t="s">
        <v>667</v>
      </c>
      <c r="F640" s="35" t="s">
        <v>2006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ROUND(Tableau15[[#This Row],[LEN]]*7.27,0)</f>
        <v>167</v>
      </c>
      <c r="L640" s="113">
        <v>15</v>
      </c>
      <c r="M640" s="130" t="str">
        <f t="shared" si="4"/>
        <v>none</v>
      </c>
      <c r="N640" s="113">
        <f>LEN(Tableau15[[#This Row],[LABEL]])</f>
        <v>23</v>
      </c>
      <c r="O640" s="113">
        <v>15</v>
      </c>
      <c r="P640" s="113" t="e">
        <f>ROUND(Tableau15[[#This Row],[LEN]]*#REF!+#REF!,0)</f>
        <v>#REF!</v>
      </c>
    </row>
    <row r="641" spans="1:16" s="97" customFormat="1" x14ac:dyDescent="0.25">
      <c r="A641" s="37" t="s">
        <v>1472</v>
      </c>
      <c r="B641" s="38" t="s">
        <v>1471</v>
      </c>
      <c r="C641" s="39" t="s">
        <v>112</v>
      </c>
      <c r="D641" s="73" t="s">
        <v>1177</v>
      </c>
      <c r="E641" s="39" t="s">
        <v>667</v>
      </c>
      <c r="F641" s="39" t="s">
        <v>2006</v>
      </c>
      <c r="G641" s="73" t="s">
        <v>168</v>
      </c>
      <c r="H641" s="73" t="s">
        <v>654</v>
      </c>
      <c r="I641" s="39"/>
      <c r="J641" s="40" t="s">
        <v>708</v>
      </c>
      <c r="K641" s="114">
        <f>ROUND(Tableau15[[#This Row],[LEN]]*7.27,0)</f>
        <v>167</v>
      </c>
      <c r="L641" s="114">
        <v>15</v>
      </c>
      <c r="M641" s="131" t="str">
        <f t="shared" si="4"/>
        <v>none</v>
      </c>
      <c r="N641" s="114">
        <f>LEN(Tableau15[[#This Row],[LABEL]])</f>
        <v>23</v>
      </c>
      <c r="O641" s="114">
        <v>15</v>
      </c>
      <c r="P641" s="114" t="e">
        <f>ROUND(Tableau15[[#This Row],[LEN]]*#REF!+#REF!,0)</f>
        <v>#REF!</v>
      </c>
    </row>
    <row r="642" spans="1:16" s="97" customFormat="1" x14ac:dyDescent="0.25">
      <c r="A642" s="37" t="s">
        <v>1473</v>
      </c>
      <c r="B642" s="38" t="s">
        <v>1471</v>
      </c>
      <c r="C642" s="39" t="s">
        <v>113</v>
      </c>
      <c r="D642" s="73" t="s">
        <v>1177</v>
      </c>
      <c r="E642" s="39" t="s">
        <v>667</v>
      </c>
      <c r="F642" s="39" t="s">
        <v>2006</v>
      </c>
      <c r="G642" s="73" t="s">
        <v>168</v>
      </c>
      <c r="H642" s="73" t="s">
        <v>654</v>
      </c>
      <c r="I642" s="39"/>
      <c r="J642" s="40" t="s">
        <v>708</v>
      </c>
      <c r="K642" s="114">
        <f>ROUND(Tableau15[[#This Row],[LEN]]*7.27,0)</f>
        <v>233</v>
      </c>
      <c r="L642" s="114">
        <v>15</v>
      </c>
      <c r="M642" s="131" t="str">
        <f t="shared" si="4"/>
        <v>none</v>
      </c>
      <c r="N642" s="114">
        <f>LEN(Tableau15[[#This Row],[LABEL]])</f>
        <v>32</v>
      </c>
      <c r="O642" s="114">
        <v>15</v>
      </c>
      <c r="P642" s="114" t="e">
        <f>ROUND(Tableau15[[#This Row],[LEN]]*#REF!+#REF!,0)</f>
        <v>#REF!</v>
      </c>
    </row>
    <row r="643" spans="1:16" s="97" customFormat="1" x14ac:dyDescent="0.25">
      <c r="A643" s="33" t="s">
        <v>1474</v>
      </c>
      <c r="B643" s="34" t="s">
        <v>280</v>
      </c>
      <c r="C643" s="35" t="s">
        <v>1586</v>
      </c>
      <c r="D643" s="72" t="s">
        <v>1477</v>
      </c>
      <c r="E643" s="35" t="s">
        <v>676</v>
      </c>
      <c r="F643" s="35" t="s">
        <v>1177</v>
      </c>
      <c r="G643" s="72" t="s">
        <v>168</v>
      </c>
      <c r="H643" s="72" t="s">
        <v>654</v>
      </c>
      <c r="I643" s="35"/>
      <c r="J643" s="36" t="s">
        <v>708</v>
      </c>
      <c r="K643" s="113">
        <f>ROUND(Tableau15[[#This Row],[LEN]]*7.27,0)</f>
        <v>414</v>
      </c>
      <c r="L643" s="113">
        <v>15</v>
      </c>
      <c r="M643" s="130" t="str">
        <f t="shared" si="4"/>
        <v>none</v>
      </c>
      <c r="N643" s="113">
        <f>LEN(Tableau15[[#This Row],[LABEL]])</f>
        <v>57</v>
      </c>
      <c r="O643" s="113">
        <v>15</v>
      </c>
      <c r="P643" s="113" t="e">
        <f>ROUND(Tableau15[[#This Row],[LEN]]*#REF!+#REF!,0)</f>
        <v>#REF!</v>
      </c>
    </row>
    <row r="644" spans="1:16" s="97" customFormat="1" x14ac:dyDescent="0.25">
      <c r="A644" s="33" t="s">
        <v>1475</v>
      </c>
      <c r="B644" s="34" t="s">
        <v>280</v>
      </c>
      <c r="C644" s="35" t="s">
        <v>1478</v>
      </c>
      <c r="D644" s="72" t="s">
        <v>1177</v>
      </c>
      <c r="E644" s="35" t="s">
        <v>676</v>
      </c>
      <c r="F644" s="35" t="s">
        <v>678</v>
      </c>
      <c r="G644" s="72" t="s">
        <v>168</v>
      </c>
      <c r="H644" s="72" t="s">
        <v>654</v>
      </c>
      <c r="I644" s="35"/>
      <c r="J644" s="36" t="s">
        <v>708</v>
      </c>
      <c r="K644" s="113">
        <f>ROUND(Tableau15[[#This Row],[LEN]]*7.27,0)</f>
        <v>327</v>
      </c>
      <c r="L644" s="113">
        <v>15</v>
      </c>
      <c r="M644" s="130" t="str">
        <f t="shared" si="4"/>
        <v>none</v>
      </c>
      <c r="N644" s="113">
        <f>LEN(Tableau15[[#This Row],[LABEL]])</f>
        <v>45</v>
      </c>
      <c r="O644" s="113">
        <v>15</v>
      </c>
      <c r="P644" s="113" t="e">
        <f>ROUND(Tableau15[[#This Row],[LEN]]*#REF!+#REF!,0)</f>
        <v>#REF!</v>
      </c>
    </row>
    <row r="645" spans="1:16" s="273" customFormat="1" x14ac:dyDescent="0.25">
      <c r="A645" s="309" t="s">
        <v>281</v>
      </c>
      <c r="B645" s="310" t="s">
        <v>207</v>
      </c>
      <c r="C645" s="311" t="s">
        <v>13</v>
      </c>
      <c r="D645" s="312" t="s">
        <v>1177</v>
      </c>
      <c r="E645" s="311" t="s">
        <v>677</v>
      </c>
      <c r="F645" s="311" t="s">
        <v>1177</v>
      </c>
      <c r="G645" s="312" t="s">
        <v>168</v>
      </c>
      <c r="H645" s="312" t="str">
        <f>IFERROR(IF(SEARCH(".00.00.00.00.00",Tableau15[[#This Row],[name]],1)=7,"Division",""),"")</f>
        <v>Division</v>
      </c>
      <c r="I645" s="311"/>
      <c r="J645" s="313" t="s">
        <v>708</v>
      </c>
      <c r="K645" s="314">
        <f>ROUND(Tableau15[[#This Row],[LEN]]*7.27,0)</f>
        <v>80</v>
      </c>
      <c r="L645" s="314">
        <v>15</v>
      </c>
      <c r="M645" s="315" t="str">
        <f t="shared" si="4"/>
        <v>none</v>
      </c>
      <c r="N645" s="314">
        <f>LEN(Tableau15[[#This Row],[LABEL]])</f>
        <v>11</v>
      </c>
      <c r="O645" s="314">
        <v>15</v>
      </c>
      <c r="P645" s="314" t="e">
        <f>ROUND(Tableau15[[#This Row],[LEN]]*#REF!+#REF!,0)</f>
        <v>#REF!</v>
      </c>
    </row>
    <row r="646" spans="1:16" s="97" customFormat="1" x14ac:dyDescent="0.25">
      <c r="A646" s="33" t="s">
        <v>1479</v>
      </c>
      <c r="B646" s="34" t="s">
        <v>281</v>
      </c>
      <c r="C646" s="35" t="s">
        <v>111</v>
      </c>
      <c r="D646" s="72" t="s">
        <v>1177</v>
      </c>
      <c r="E646" s="35" t="s">
        <v>667</v>
      </c>
      <c r="F646" s="35" t="s">
        <v>2006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ROUND(Tableau15[[#This Row],[LEN]]*7.27,0)</f>
        <v>167</v>
      </c>
      <c r="L646" s="113">
        <v>15</v>
      </c>
      <c r="M646" s="130" t="str">
        <f t="shared" si="4"/>
        <v>none</v>
      </c>
      <c r="N646" s="113">
        <f>LEN(Tableau15[[#This Row],[LABEL]])</f>
        <v>23</v>
      </c>
      <c r="O646" s="113">
        <v>15</v>
      </c>
      <c r="P646" s="113" t="e">
        <f>ROUND(Tableau15[[#This Row],[LEN]]*#REF!+#REF!,0)</f>
        <v>#REF!</v>
      </c>
    </row>
    <row r="647" spans="1:16" s="97" customFormat="1" x14ac:dyDescent="0.25">
      <c r="A647" s="37" t="s">
        <v>1484</v>
      </c>
      <c r="B647" s="38" t="s">
        <v>1479</v>
      </c>
      <c r="C647" s="39" t="s">
        <v>112</v>
      </c>
      <c r="D647" s="73" t="s">
        <v>1177</v>
      </c>
      <c r="E647" s="39" t="s">
        <v>667</v>
      </c>
      <c r="F647" s="39" t="s">
        <v>2006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ROUND(Tableau15[[#This Row],[LEN]]*7.27,0)</f>
        <v>167</v>
      </c>
      <c r="L647" s="114">
        <v>15</v>
      </c>
      <c r="M647" s="131" t="str">
        <f t="shared" si="4"/>
        <v>none</v>
      </c>
      <c r="N647" s="114">
        <f>LEN(Tableau15[[#This Row],[LABEL]])</f>
        <v>23</v>
      </c>
      <c r="O647" s="114">
        <v>15</v>
      </c>
      <c r="P647" s="114" t="e">
        <f>ROUND(Tableau15[[#This Row],[LEN]]*#REF!+#REF!,0)</f>
        <v>#REF!</v>
      </c>
    </row>
    <row r="648" spans="1:16" s="97" customFormat="1" x14ac:dyDescent="0.25">
      <c r="A648" s="37" t="s">
        <v>1485</v>
      </c>
      <c r="B648" s="38" t="s">
        <v>1479</v>
      </c>
      <c r="C648" s="39" t="s">
        <v>113</v>
      </c>
      <c r="D648" s="73" t="s">
        <v>1177</v>
      </c>
      <c r="E648" s="39" t="s">
        <v>667</v>
      </c>
      <c r="F648" s="39" t="s">
        <v>2006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ROUND(Tableau15[[#This Row],[LEN]]*7.27,0)</f>
        <v>233</v>
      </c>
      <c r="L648" s="114">
        <v>15</v>
      </c>
      <c r="M648" s="131" t="str">
        <f t="shared" si="4"/>
        <v>none</v>
      </c>
      <c r="N648" s="114">
        <f>LEN(Tableau15[[#This Row],[LABEL]])</f>
        <v>32</v>
      </c>
      <c r="O648" s="114">
        <v>15</v>
      </c>
      <c r="P648" s="114" t="e">
        <f>ROUND(Tableau15[[#This Row],[LEN]]*#REF!+#REF!,0)</f>
        <v>#REF!</v>
      </c>
    </row>
    <row r="649" spans="1:16" s="97" customFormat="1" x14ac:dyDescent="0.25">
      <c r="A649" s="33" t="s">
        <v>1480</v>
      </c>
      <c r="B649" s="34" t="s">
        <v>281</v>
      </c>
      <c r="C649" s="35" t="s">
        <v>1483</v>
      </c>
      <c r="D649" s="72" t="s">
        <v>1177</v>
      </c>
      <c r="E649" s="35" t="s">
        <v>661</v>
      </c>
      <c r="F649" s="35" t="s">
        <v>2083</v>
      </c>
      <c r="G649" s="72" t="s">
        <v>168</v>
      </c>
      <c r="H649" s="72" t="s">
        <v>655</v>
      </c>
      <c r="I649" s="35"/>
      <c r="J649" s="36" t="s">
        <v>708</v>
      </c>
      <c r="K649" s="113">
        <f>ROUND(Tableau15[[#This Row],[LEN]]*7.27,0)</f>
        <v>240</v>
      </c>
      <c r="L649" s="113">
        <v>15</v>
      </c>
      <c r="M649" s="130" t="str">
        <f t="shared" si="4"/>
        <v>none</v>
      </c>
      <c r="N649" s="113">
        <f>LEN(Tableau15[[#This Row],[LABEL]])</f>
        <v>33</v>
      </c>
      <c r="O649" s="113">
        <v>15</v>
      </c>
      <c r="P649" s="113" t="e">
        <f>ROUND(Tableau15[[#This Row],[LEN]]*#REF!+#REF!,0)</f>
        <v>#REF!</v>
      </c>
    </row>
    <row r="650" spans="1:16" s="97" customFormat="1" x14ac:dyDescent="0.25">
      <c r="A650" s="37" t="s">
        <v>1486</v>
      </c>
      <c r="B650" s="38" t="s">
        <v>1480</v>
      </c>
      <c r="C650" s="39" t="s">
        <v>1458</v>
      </c>
      <c r="D650" s="73" t="s">
        <v>1177</v>
      </c>
      <c r="E650" s="39" t="s">
        <v>661</v>
      </c>
      <c r="F650" s="39" t="s">
        <v>2083</v>
      </c>
      <c r="G650" s="73" t="s">
        <v>168</v>
      </c>
      <c r="H650" s="73" t="s">
        <v>654</v>
      </c>
      <c r="I650" s="39"/>
      <c r="J650" s="40" t="s">
        <v>708</v>
      </c>
      <c r="K650" s="114">
        <f>ROUND(Tableau15[[#This Row],[LEN]]*7.27,0)</f>
        <v>189</v>
      </c>
      <c r="L650" s="114">
        <v>15</v>
      </c>
      <c r="M650" s="131" t="str">
        <f t="shared" si="4"/>
        <v>none</v>
      </c>
      <c r="N650" s="114">
        <f>LEN(Tableau15[[#This Row],[LABEL]])</f>
        <v>26</v>
      </c>
      <c r="O650" s="114">
        <v>15</v>
      </c>
      <c r="P650" s="114" t="e">
        <f>ROUND(Tableau15[[#This Row],[LEN]]*#REF!+#REF!,0)</f>
        <v>#REF!</v>
      </c>
    </row>
    <row r="651" spans="1:16" s="97" customFormat="1" x14ac:dyDescent="0.25">
      <c r="A651" s="37" t="s">
        <v>1486</v>
      </c>
      <c r="B651" s="38" t="s">
        <v>1480</v>
      </c>
      <c r="C651" s="39" t="s">
        <v>1459</v>
      </c>
      <c r="D651" s="73" t="s">
        <v>1177</v>
      </c>
      <c r="E651" s="39" t="s">
        <v>661</v>
      </c>
      <c r="F651" s="39" t="s">
        <v>2083</v>
      </c>
      <c r="G651" s="73" t="s">
        <v>168</v>
      </c>
      <c r="H651" s="73" t="s">
        <v>654</v>
      </c>
      <c r="I651" s="39"/>
      <c r="J651" s="40" t="s">
        <v>708</v>
      </c>
      <c r="K651" s="114">
        <f>ROUND(Tableau15[[#This Row],[LEN]]*7.27,0)</f>
        <v>204</v>
      </c>
      <c r="L651" s="114">
        <v>15</v>
      </c>
      <c r="M651" s="131" t="str">
        <f t="shared" si="4"/>
        <v>none</v>
      </c>
      <c r="N651" s="114">
        <f>LEN(Tableau15[[#This Row],[LABEL]])</f>
        <v>28</v>
      </c>
      <c r="O651" s="114">
        <v>15</v>
      </c>
      <c r="P651" s="114" t="e">
        <f>ROUND(Tableau15[[#This Row],[LEN]]*#REF!+#REF!,0)</f>
        <v>#REF!</v>
      </c>
    </row>
    <row r="652" spans="1:16" s="97" customFormat="1" x14ac:dyDescent="0.25">
      <c r="A652" s="33" t="s">
        <v>1481</v>
      </c>
      <c r="B652" s="34" t="s">
        <v>281</v>
      </c>
      <c r="C652" s="35" t="s">
        <v>1482</v>
      </c>
      <c r="D652" s="72" t="s">
        <v>1177</v>
      </c>
      <c r="E652" s="35" t="s">
        <v>677</v>
      </c>
      <c r="F652" s="35" t="s">
        <v>1177</v>
      </c>
      <c r="G652" s="72" t="s">
        <v>168</v>
      </c>
      <c r="H652" s="72" t="s">
        <v>654</v>
      </c>
      <c r="I652" s="35"/>
      <c r="J652" s="36" t="s">
        <v>708</v>
      </c>
      <c r="K652" s="113">
        <f>ROUND(Tableau15[[#This Row],[LEN]]*7.27,0)</f>
        <v>131</v>
      </c>
      <c r="L652" s="113">
        <v>15</v>
      </c>
      <c r="M652" s="130" t="str">
        <f t="shared" si="4"/>
        <v>none</v>
      </c>
      <c r="N652" s="113">
        <f>LEN(Tableau15[[#This Row],[LABEL]])</f>
        <v>18</v>
      </c>
      <c r="O652" s="113">
        <v>15</v>
      </c>
      <c r="P652" s="113" t="e">
        <f>ROUND(Tableau15[[#This Row],[LEN]]*#REF!+#REF!,0)</f>
        <v>#REF!</v>
      </c>
    </row>
    <row r="653" spans="1:16" s="273" customFormat="1" x14ac:dyDescent="0.25">
      <c r="A653" s="309" t="s">
        <v>282</v>
      </c>
      <c r="B653" s="310" t="s">
        <v>207</v>
      </c>
      <c r="C653" s="311" t="s">
        <v>14</v>
      </c>
      <c r="D653" s="312" t="s">
        <v>1177</v>
      </c>
      <c r="E653" s="311" t="s">
        <v>678</v>
      </c>
      <c r="F653" s="311" t="s">
        <v>1177</v>
      </c>
      <c r="G653" s="312" t="s">
        <v>168</v>
      </c>
      <c r="H653" s="312" t="str">
        <f>IFERROR(IF(SEARCH(".00.00.00.00.00",Tableau15[[#This Row],[name]],1)=7,"Division",""),"")</f>
        <v>Division</v>
      </c>
      <c r="I653" s="311"/>
      <c r="J653" s="313" t="s">
        <v>724</v>
      </c>
      <c r="K653" s="314">
        <f>ROUND(Tableau15[[#This Row],[LEN]]*7.27,0)</f>
        <v>240</v>
      </c>
      <c r="L653" s="314">
        <v>15</v>
      </c>
      <c r="M653" s="315" t="str">
        <f t="shared" si="4"/>
        <v>new</v>
      </c>
      <c r="N653" s="314">
        <f>LEN(Tableau15[[#This Row],[LABEL]])</f>
        <v>33</v>
      </c>
      <c r="O653" s="314">
        <v>15</v>
      </c>
      <c r="P653" s="314" t="e">
        <f>ROUND(Tableau15[[#This Row],[LEN]]*#REF!+#REF!,0)</f>
        <v>#REF!</v>
      </c>
    </row>
    <row r="654" spans="1:16" s="97" customFormat="1" x14ac:dyDescent="0.25">
      <c r="A654" s="33" t="s">
        <v>1487</v>
      </c>
      <c r="B654" s="34" t="s">
        <v>282</v>
      </c>
      <c r="C654" s="35" t="s">
        <v>111</v>
      </c>
      <c r="D654" s="72" t="s">
        <v>1177</v>
      </c>
      <c r="E654" s="35" t="s">
        <v>667</v>
      </c>
      <c r="F654" s="35" t="s">
        <v>2006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ROUND(Tableau15[[#This Row],[LEN]]*7.27,0)</f>
        <v>167</v>
      </c>
      <c r="L654" s="113">
        <v>15</v>
      </c>
      <c r="M654" s="130" t="str">
        <f t="shared" si="4"/>
        <v>none</v>
      </c>
      <c r="N654" s="113">
        <f>LEN(Tableau15[[#This Row],[LABEL]])</f>
        <v>23</v>
      </c>
      <c r="O654" s="113">
        <v>15</v>
      </c>
      <c r="P654" s="113" t="e">
        <f>ROUND(Tableau15[[#This Row],[LEN]]*#REF!+#REF!,0)</f>
        <v>#REF!</v>
      </c>
    </row>
    <row r="655" spans="1:16" s="97" customFormat="1" x14ac:dyDescent="0.25">
      <c r="A655" s="37" t="s">
        <v>1492</v>
      </c>
      <c r="B655" s="38" t="s">
        <v>1487</v>
      </c>
      <c r="C655" s="39" t="s">
        <v>112</v>
      </c>
      <c r="D655" s="73" t="s">
        <v>1177</v>
      </c>
      <c r="E655" s="39" t="s">
        <v>667</v>
      </c>
      <c r="F655" s="39" t="s">
        <v>2006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ROUND(Tableau15[[#This Row],[LEN]]*7.27,0)</f>
        <v>167</v>
      </c>
      <c r="L655" s="114">
        <v>15</v>
      </c>
      <c r="M655" s="131" t="str">
        <f t="shared" si="4"/>
        <v>none</v>
      </c>
      <c r="N655" s="114">
        <f>LEN(Tableau15[[#This Row],[LABEL]])</f>
        <v>23</v>
      </c>
      <c r="O655" s="114">
        <v>15</v>
      </c>
      <c r="P655" s="114" t="e">
        <f>ROUND(Tableau15[[#This Row],[LEN]]*#REF!+#REF!,0)</f>
        <v>#REF!</v>
      </c>
    </row>
    <row r="656" spans="1:16" s="97" customFormat="1" x14ac:dyDescent="0.25">
      <c r="A656" s="37" t="s">
        <v>1493</v>
      </c>
      <c r="B656" s="38" t="s">
        <v>1487</v>
      </c>
      <c r="C656" s="39" t="s">
        <v>113</v>
      </c>
      <c r="D656" s="73" t="s">
        <v>1177</v>
      </c>
      <c r="E656" s="39" t="s">
        <v>667</v>
      </c>
      <c r="F656" s="39" t="s">
        <v>2006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ROUND(Tableau15[[#This Row],[LEN]]*7.27,0)</f>
        <v>233</v>
      </c>
      <c r="L656" s="114">
        <v>15</v>
      </c>
      <c r="M656" s="131" t="str">
        <f t="shared" si="4"/>
        <v>none</v>
      </c>
      <c r="N656" s="114">
        <f>LEN(Tableau15[[#This Row],[LABEL]])</f>
        <v>32</v>
      </c>
      <c r="O656" s="114">
        <v>15</v>
      </c>
      <c r="P656" s="114" t="e">
        <f>ROUND(Tableau15[[#This Row],[LEN]]*#REF!+#REF!,0)</f>
        <v>#REF!</v>
      </c>
    </row>
    <row r="657" spans="1:16" s="97" customFormat="1" x14ac:dyDescent="0.25">
      <c r="A657" s="33" t="s">
        <v>1488</v>
      </c>
      <c r="B657" s="34" t="s">
        <v>282</v>
      </c>
      <c r="C657" s="35" t="s">
        <v>1478</v>
      </c>
      <c r="D657" s="72" t="s">
        <v>1177</v>
      </c>
      <c r="E657" s="35" t="s">
        <v>676</v>
      </c>
      <c r="F657" s="35" t="s">
        <v>678</v>
      </c>
      <c r="G657" s="72" t="s">
        <v>168</v>
      </c>
      <c r="H657" s="72" t="s">
        <v>654</v>
      </c>
      <c r="I657" s="35"/>
      <c r="J657" s="36" t="s">
        <v>708</v>
      </c>
      <c r="K657" s="113">
        <f>ROUND(Tableau15[[#This Row],[LEN]]*7.27,0)</f>
        <v>327</v>
      </c>
      <c r="L657" s="113">
        <v>15</v>
      </c>
      <c r="M657" s="130" t="str">
        <f t="shared" si="4"/>
        <v>none</v>
      </c>
      <c r="N657" s="113">
        <f>LEN(Tableau15[[#This Row],[LABEL]])</f>
        <v>45</v>
      </c>
      <c r="O657" s="113">
        <v>15</v>
      </c>
      <c r="P657" s="113" t="e">
        <f>ROUND(Tableau15[[#This Row],[LEN]]*#REF!+#REF!,0)</f>
        <v>#REF!</v>
      </c>
    </row>
    <row r="658" spans="1:16" s="97" customFormat="1" x14ac:dyDescent="0.25">
      <c r="A658" s="33" t="s">
        <v>1489</v>
      </c>
      <c r="B658" s="34" t="s">
        <v>282</v>
      </c>
      <c r="C658" s="35" t="s">
        <v>1483</v>
      </c>
      <c r="D658" s="72" t="s">
        <v>1177</v>
      </c>
      <c r="E658" s="35" t="s">
        <v>661</v>
      </c>
      <c r="F658" s="35" t="s">
        <v>2083</v>
      </c>
      <c r="G658" s="72" t="s">
        <v>168</v>
      </c>
      <c r="H658" s="72" t="s">
        <v>655</v>
      </c>
      <c r="I658" s="35"/>
      <c r="J658" s="36" t="s">
        <v>708</v>
      </c>
      <c r="K658" s="113">
        <f>ROUND(Tableau15[[#This Row],[LEN]]*7.27,0)</f>
        <v>240</v>
      </c>
      <c r="L658" s="113">
        <v>15</v>
      </c>
      <c r="M658" s="130" t="str">
        <f t="shared" si="4"/>
        <v>none</v>
      </c>
      <c r="N658" s="113">
        <f>LEN(Tableau15[[#This Row],[LABEL]])</f>
        <v>33</v>
      </c>
      <c r="O658" s="113">
        <v>15</v>
      </c>
      <c r="P658" s="113" t="e">
        <f>ROUND(Tableau15[[#This Row],[LEN]]*#REF!+#REF!,0)</f>
        <v>#REF!</v>
      </c>
    </row>
    <row r="659" spans="1:16" s="97" customFormat="1" x14ac:dyDescent="0.25">
      <c r="A659" s="37" t="s">
        <v>1494</v>
      </c>
      <c r="B659" s="38" t="s">
        <v>1489</v>
      </c>
      <c r="C659" s="39" t="s">
        <v>1458</v>
      </c>
      <c r="D659" s="73" t="s">
        <v>1177</v>
      </c>
      <c r="E659" s="39" t="s">
        <v>661</v>
      </c>
      <c r="F659" s="39" t="s">
        <v>2083</v>
      </c>
      <c r="G659" s="73" t="s">
        <v>168</v>
      </c>
      <c r="H659" s="73" t="s">
        <v>654</v>
      </c>
      <c r="I659" s="39"/>
      <c r="J659" s="40" t="s">
        <v>708</v>
      </c>
      <c r="K659" s="114">
        <f>ROUND(Tableau15[[#This Row],[LEN]]*7.27,0)</f>
        <v>189</v>
      </c>
      <c r="L659" s="114">
        <v>15</v>
      </c>
      <c r="M659" s="131" t="str">
        <f t="shared" si="4"/>
        <v>none</v>
      </c>
      <c r="N659" s="114">
        <f>LEN(Tableau15[[#This Row],[LABEL]])</f>
        <v>26</v>
      </c>
      <c r="O659" s="114">
        <v>15</v>
      </c>
      <c r="P659" s="114" t="e">
        <f>ROUND(Tableau15[[#This Row],[LEN]]*#REF!+#REF!,0)</f>
        <v>#REF!</v>
      </c>
    </row>
    <row r="660" spans="1:16" s="97" customFormat="1" x14ac:dyDescent="0.25">
      <c r="A660" s="37" t="s">
        <v>1495</v>
      </c>
      <c r="B660" s="38" t="s">
        <v>1489</v>
      </c>
      <c r="C660" s="39" t="s">
        <v>1459</v>
      </c>
      <c r="D660" s="73" t="s">
        <v>1177</v>
      </c>
      <c r="E660" s="39" t="s">
        <v>661</v>
      </c>
      <c r="F660" s="39" t="s">
        <v>2083</v>
      </c>
      <c r="G660" s="73" t="s">
        <v>168</v>
      </c>
      <c r="H660" s="73" t="s">
        <v>654</v>
      </c>
      <c r="I660" s="39"/>
      <c r="J660" s="40" t="s">
        <v>708</v>
      </c>
      <c r="K660" s="114">
        <f>ROUND(Tableau15[[#This Row],[LEN]]*7.27,0)</f>
        <v>204</v>
      </c>
      <c r="L660" s="114">
        <v>15</v>
      </c>
      <c r="M660" s="131" t="str">
        <f t="shared" si="4"/>
        <v>none</v>
      </c>
      <c r="N660" s="114">
        <f>LEN(Tableau15[[#This Row],[LABEL]])</f>
        <v>28</v>
      </c>
      <c r="O660" s="114">
        <v>15</v>
      </c>
      <c r="P660" s="114" t="e">
        <f>ROUND(Tableau15[[#This Row],[LEN]]*#REF!+#REF!,0)</f>
        <v>#REF!</v>
      </c>
    </row>
    <row r="661" spans="1:16" s="97" customFormat="1" x14ac:dyDescent="0.25">
      <c r="A661" s="33" t="s">
        <v>1490</v>
      </c>
      <c r="B661" s="34" t="s">
        <v>282</v>
      </c>
      <c r="C661" s="35" t="s">
        <v>1491</v>
      </c>
      <c r="D661" s="72" t="s">
        <v>1177</v>
      </c>
      <c r="E661" s="35" t="s">
        <v>678</v>
      </c>
      <c r="F661" s="35" t="s">
        <v>1177</v>
      </c>
      <c r="G661" s="72" t="s">
        <v>168</v>
      </c>
      <c r="H661" s="72" t="s">
        <v>656</v>
      </c>
      <c r="I661" s="35"/>
      <c r="J661" s="36" t="s">
        <v>708</v>
      </c>
      <c r="K661" s="113">
        <f>ROUND(Tableau15[[#This Row],[LEN]]*7.27,0)</f>
        <v>247</v>
      </c>
      <c r="L661" s="113">
        <v>16</v>
      </c>
      <c r="M661" s="130" t="str">
        <f t="shared" si="4"/>
        <v>none</v>
      </c>
      <c r="N661" s="113">
        <f>LEN(Tableau15[[#This Row],[LABEL]])</f>
        <v>34</v>
      </c>
      <c r="O661" s="113">
        <v>16</v>
      </c>
      <c r="P661" s="113" t="e">
        <f>ROUND(Tableau15[[#This Row],[LEN]]*#REF!+#REF!,0)</f>
        <v>#REF!</v>
      </c>
    </row>
    <row r="662" spans="1:16" s="273" customFormat="1" x14ac:dyDescent="0.25">
      <c r="A662" s="316" t="s">
        <v>283</v>
      </c>
      <c r="B662" s="317" t="s">
        <v>207</v>
      </c>
      <c r="C662" s="318" t="s">
        <v>15</v>
      </c>
      <c r="D662" s="319" t="s">
        <v>1177</v>
      </c>
      <c r="E662" s="318" t="s">
        <v>679</v>
      </c>
      <c r="F662" s="318" t="s">
        <v>1177</v>
      </c>
      <c r="G662" s="319" t="s">
        <v>168</v>
      </c>
      <c r="H662" s="319" t="str">
        <f>IFERROR(IF(SEARCH(".00.00.00.00.00",Tableau15[[#This Row],[name]],1)=7,"Division",""),"")</f>
        <v>Division</v>
      </c>
      <c r="I662" s="318"/>
      <c r="J662" s="320" t="s">
        <v>708</v>
      </c>
      <c r="K662" s="321">
        <f>ROUND(Tableau15[[#This Row],[LEN]]*7.27,0)</f>
        <v>174</v>
      </c>
      <c r="L662" s="321">
        <v>15</v>
      </c>
      <c r="M662" s="322" t="str">
        <f t="shared" si="4"/>
        <v>none</v>
      </c>
      <c r="N662" s="321">
        <f>LEN(Tableau15[[#This Row],[LABEL]])</f>
        <v>24</v>
      </c>
      <c r="O662" s="321">
        <v>15</v>
      </c>
      <c r="P662" s="321" t="e">
        <f>ROUND(Tableau15[[#This Row],[LEN]]*#REF!+#REF!,0)</f>
        <v>#REF!</v>
      </c>
    </row>
    <row r="663" spans="1:16" s="97" customFormat="1" x14ac:dyDescent="0.25">
      <c r="A663" s="33" t="s">
        <v>1496</v>
      </c>
      <c r="B663" s="34" t="s">
        <v>283</v>
      </c>
      <c r="C663" s="35" t="s">
        <v>111</v>
      </c>
      <c r="D663" s="72" t="s">
        <v>1177</v>
      </c>
      <c r="E663" s="35" t="s">
        <v>667</v>
      </c>
      <c r="F663" s="35" t="s">
        <v>2006</v>
      </c>
      <c r="G663" s="72" t="s">
        <v>168</v>
      </c>
      <c r="H663" s="72" t="s">
        <v>655</v>
      </c>
      <c r="I663" s="35"/>
      <c r="J663" s="36" t="s">
        <v>708</v>
      </c>
      <c r="K663" s="113">
        <f>ROUND(Tableau15[[#This Row],[LEN]]*7.27,0)</f>
        <v>167</v>
      </c>
      <c r="L663" s="113">
        <v>15</v>
      </c>
      <c r="M663" s="130" t="str">
        <f t="shared" si="4"/>
        <v>none</v>
      </c>
      <c r="N663" s="113">
        <f>LEN(Tableau15[[#This Row],[LABEL]])</f>
        <v>23</v>
      </c>
      <c r="O663" s="113">
        <v>15</v>
      </c>
      <c r="P663" s="113" t="e">
        <f>ROUND(Tableau15[[#This Row],[LEN]]*#REF!+#REF!,0)</f>
        <v>#REF!</v>
      </c>
    </row>
    <row r="664" spans="1:16" s="97" customFormat="1" x14ac:dyDescent="0.25">
      <c r="A664" s="37" t="s">
        <v>1498</v>
      </c>
      <c r="B664" s="38" t="s">
        <v>1496</v>
      </c>
      <c r="C664" s="39" t="s">
        <v>112</v>
      </c>
      <c r="D664" s="73" t="s">
        <v>1177</v>
      </c>
      <c r="E664" s="39" t="s">
        <v>667</v>
      </c>
      <c r="F664" s="39" t="s">
        <v>2006</v>
      </c>
      <c r="G664" s="73" t="s">
        <v>168</v>
      </c>
      <c r="H664" s="73" t="s">
        <v>654</v>
      </c>
      <c r="I664" s="39"/>
      <c r="J664" s="40" t="s">
        <v>708</v>
      </c>
      <c r="K664" s="114">
        <f>ROUND(Tableau15[[#This Row],[LEN]]*7.27,0)</f>
        <v>167</v>
      </c>
      <c r="L664" s="114">
        <v>15</v>
      </c>
      <c r="M664" s="131" t="str">
        <f t="shared" si="4"/>
        <v>none</v>
      </c>
      <c r="N664" s="114">
        <f>LEN(Tableau15[[#This Row],[LABEL]])</f>
        <v>23</v>
      </c>
      <c r="O664" s="114">
        <v>15</v>
      </c>
      <c r="P664" s="114" t="e">
        <f>ROUND(Tableau15[[#This Row],[LEN]]*#REF!+#REF!,0)</f>
        <v>#REF!</v>
      </c>
    </row>
    <row r="665" spans="1:16" s="97" customFormat="1" x14ac:dyDescent="0.25">
      <c r="A665" s="37" t="s">
        <v>1499</v>
      </c>
      <c r="B665" s="38" t="s">
        <v>1496</v>
      </c>
      <c r="C665" s="39" t="s">
        <v>113</v>
      </c>
      <c r="D665" s="73" t="s">
        <v>1177</v>
      </c>
      <c r="E665" s="39" t="s">
        <v>667</v>
      </c>
      <c r="F665" s="39" t="s">
        <v>2006</v>
      </c>
      <c r="G665" s="73" t="s">
        <v>168</v>
      </c>
      <c r="H665" s="73" t="s">
        <v>654</v>
      </c>
      <c r="I665" s="39"/>
      <c r="J665" s="40" t="s">
        <v>708</v>
      </c>
      <c r="K665" s="114">
        <f>ROUND(Tableau15[[#This Row],[LEN]]*7.27,0)</f>
        <v>233</v>
      </c>
      <c r="L665" s="114">
        <v>15</v>
      </c>
      <c r="M665" s="131" t="str">
        <f t="shared" si="4"/>
        <v>none</v>
      </c>
      <c r="N665" s="114">
        <f>LEN(Tableau15[[#This Row],[LABEL]])</f>
        <v>32</v>
      </c>
      <c r="O665" s="114">
        <v>15</v>
      </c>
      <c r="P665" s="114" t="e">
        <f>ROUND(Tableau15[[#This Row],[LEN]]*#REF!+#REF!,0)</f>
        <v>#REF!</v>
      </c>
    </row>
    <row r="666" spans="1:16" s="97" customFormat="1" x14ac:dyDescent="0.25">
      <c r="A666" s="33" t="s">
        <v>1497</v>
      </c>
      <c r="B666" s="34" t="s">
        <v>283</v>
      </c>
      <c r="C666" s="35" t="s">
        <v>1483</v>
      </c>
      <c r="D666" s="72" t="s">
        <v>1177</v>
      </c>
      <c r="E666" s="35" t="s">
        <v>661</v>
      </c>
      <c r="F666" s="35" t="s">
        <v>2083</v>
      </c>
      <c r="G666" s="72" t="s">
        <v>168</v>
      </c>
      <c r="H666" s="72" t="s">
        <v>655</v>
      </c>
      <c r="I666" s="35"/>
      <c r="J666" s="36" t="s">
        <v>708</v>
      </c>
      <c r="K666" s="113">
        <f>ROUND(Tableau15[[#This Row],[LEN]]*7.27,0)</f>
        <v>240</v>
      </c>
      <c r="L666" s="113">
        <v>15</v>
      </c>
      <c r="M666" s="130" t="str">
        <f t="shared" si="4"/>
        <v>none</v>
      </c>
      <c r="N666" s="113">
        <f>LEN(Tableau15[[#This Row],[LABEL]])</f>
        <v>33</v>
      </c>
      <c r="O666" s="113">
        <v>15</v>
      </c>
      <c r="P666" s="113" t="e">
        <f>ROUND(Tableau15[[#This Row],[LEN]]*#REF!+#REF!,0)</f>
        <v>#REF!</v>
      </c>
    </row>
    <row r="667" spans="1:16" s="97" customFormat="1" x14ac:dyDescent="0.25">
      <c r="A667" s="37" t="s">
        <v>1500</v>
      </c>
      <c r="B667" s="38" t="s">
        <v>1497</v>
      </c>
      <c r="C667" s="39" t="s">
        <v>1458</v>
      </c>
      <c r="D667" s="73" t="s">
        <v>1177</v>
      </c>
      <c r="E667" s="39" t="s">
        <v>661</v>
      </c>
      <c r="F667" s="39" t="s">
        <v>2083</v>
      </c>
      <c r="G667" s="73" t="s">
        <v>168</v>
      </c>
      <c r="H667" s="73" t="s">
        <v>654</v>
      </c>
      <c r="I667" s="39"/>
      <c r="J667" s="40" t="s">
        <v>708</v>
      </c>
      <c r="K667" s="114">
        <f>ROUND(Tableau15[[#This Row],[LEN]]*7.27,0)</f>
        <v>189</v>
      </c>
      <c r="L667" s="114">
        <v>15</v>
      </c>
      <c r="M667" s="131" t="str">
        <f t="shared" si="4"/>
        <v>none</v>
      </c>
      <c r="N667" s="114">
        <f>LEN(Tableau15[[#This Row],[LABEL]])</f>
        <v>26</v>
      </c>
      <c r="O667" s="114">
        <v>15</v>
      </c>
      <c r="P667" s="114" t="e">
        <f>ROUND(Tableau15[[#This Row],[LEN]]*#REF!+#REF!,0)</f>
        <v>#REF!</v>
      </c>
    </row>
    <row r="668" spans="1:16" s="97" customFormat="1" x14ac:dyDescent="0.25">
      <c r="A668" s="37" t="s">
        <v>1501</v>
      </c>
      <c r="B668" s="38" t="s">
        <v>1497</v>
      </c>
      <c r="C668" s="39" t="s">
        <v>1459</v>
      </c>
      <c r="D668" s="73" t="s">
        <v>1177</v>
      </c>
      <c r="E668" s="39" t="s">
        <v>661</v>
      </c>
      <c r="F668" s="39" t="s">
        <v>2083</v>
      </c>
      <c r="G668" s="73" t="s">
        <v>168</v>
      </c>
      <c r="H668" s="73" t="s">
        <v>654</v>
      </c>
      <c r="I668" s="39"/>
      <c r="J668" s="40" t="s">
        <v>708</v>
      </c>
      <c r="K668" s="114">
        <f>ROUND(Tableau15[[#This Row],[LEN]]*7.27,0)</f>
        <v>204</v>
      </c>
      <c r="L668" s="114">
        <v>15</v>
      </c>
      <c r="M668" s="131" t="str">
        <f t="shared" si="4"/>
        <v>none</v>
      </c>
      <c r="N668" s="114">
        <f>LEN(Tableau15[[#This Row],[LABEL]])</f>
        <v>28</v>
      </c>
      <c r="O668" s="114">
        <v>15</v>
      </c>
      <c r="P668" s="114" t="e">
        <f>ROUND(Tableau15[[#This Row],[LEN]]*#REF!+#REF!,0)</f>
        <v>#REF!</v>
      </c>
    </row>
    <row r="669" spans="1:16" s="273" customFormat="1" x14ac:dyDescent="0.25">
      <c r="A669" s="316" t="s">
        <v>2007</v>
      </c>
      <c r="B669" s="317" t="s">
        <v>207</v>
      </c>
      <c r="C669" s="318" t="s">
        <v>1950</v>
      </c>
      <c r="D669" s="319" t="s">
        <v>1177</v>
      </c>
      <c r="E669" s="318" t="s">
        <v>1951</v>
      </c>
      <c r="F669" s="318" t="s">
        <v>1177</v>
      </c>
      <c r="G669" s="319" t="s">
        <v>168</v>
      </c>
      <c r="H669" s="319" t="s">
        <v>56</v>
      </c>
      <c r="I669" s="318"/>
      <c r="J669" s="320" t="s">
        <v>708</v>
      </c>
      <c r="K669" s="321">
        <f>ROUND(Tableau15[[#This Row],[LEN]]*7.27,0)</f>
        <v>51</v>
      </c>
      <c r="L669" s="321">
        <v>15</v>
      </c>
      <c r="M669" s="322" t="str">
        <f t="shared" si="4"/>
        <v>none</v>
      </c>
      <c r="N669" s="321">
        <f>LEN(Tableau15[[#This Row],[LABEL]])</f>
        <v>7</v>
      </c>
      <c r="O669" s="321">
        <v>15</v>
      </c>
      <c r="P669" s="321" t="e">
        <f>ROUND(Tableau15[[#This Row],[LEN]]*#REF!+#REF!,0)</f>
        <v>#REF!</v>
      </c>
    </row>
    <row r="670" spans="1:16" s="97" customFormat="1" x14ac:dyDescent="0.25">
      <c r="A670" s="33" t="s">
        <v>2008</v>
      </c>
      <c r="B670" s="34" t="s">
        <v>2007</v>
      </c>
      <c r="C670" s="35" t="s">
        <v>111</v>
      </c>
      <c r="D670" s="72" t="s">
        <v>1177</v>
      </c>
      <c r="E670" s="35" t="s">
        <v>667</v>
      </c>
      <c r="F670" s="35" t="s">
        <v>2006</v>
      </c>
      <c r="G670" s="72" t="s">
        <v>168</v>
      </c>
      <c r="H670" s="72" t="s">
        <v>655</v>
      </c>
      <c r="I670" s="35"/>
      <c r="J670" s="36" t="s">
        <v>708</v>
      </c>
      <c r="K670" s="113">
        <f>ROUND(Tableau15[[#This Row],[LEN]]*7.27,0)</f>
        <v>167</v>
      </c>
      <c r="L670" s="113">
        <v>15</v>
      </c>
      <c r="M670" s="130" t="str">
        <f t="shared" si="4"/>
        <v>none</v>
      </c>
      <c r="N670" s="113">
        <f>LEN(Tableau15[[#This Row],[LABEL]])</f>
        <v>23</v>
      </c>
      <c r="O670" s="113">
        <v>15</v>
      </c>
      <c r="P670" s="113" t="e">
        <f>ROUND(Tableau15[[#This Row],[LEN]]*#REF!+#REF!,0)</f>
        <v>#REF!</v>
      </c>
    </row>
    <row r="671" spans="1:16" s="97" customFormat="1" x14ac:dyDescent="0.25">
      <c r="A671" s="37" t="s">
        <v>2009</v>
      </c>
      <c r="B671" s="38" t="s">
        <v>2008</v>
      </c>
      <c r="C671" s="39" t="s">
        <v>2014</v>
      </c>
      <c r="D671" s="73" t="s">
        <v>2015</v>
      </c>
      <c r="E671" s="39" t="s">
        <v>667</v>
      </c>
      <c r="F671" s="39" t="s">
        <v>2006</v>
      </c>
      <c r="G671" s="73" t="s">
        <v>168</v>
      </c>
      <c r="H671" s="73" t="s">
        <v>654</v>
      </c>
      <c r="I671" s="39"/>
      <c r="J671" s="40" t="s">
        <v>708</v>
      </c>
      <c r="K671" s="114">
        <f>ROUND(Tableau15[[#This Row],[LEN]]*7.27,0)</f>
        <v>124</v>
      </c>
      <c r="L671" s="114">
        <v>15</v>
      </c>
      <c r="M671" s="131" t="str">
        <f t="shared" si="4"/>
        <v>none</v>
      </c>
      <c r="N671" s="114">
        <f>LEN(Tableau15[[#This Row],[LABEL]])</f>
        <v>17</v>
      </c>
      <c r="O671" s="114">
        <v>15</v>
      </c>
      <c r="P671" s="114" t="e">
        <f>ROUND(Tableau15[[#This Row],[LEN]]*#REF!+#REF!,0)</f>
        <v>#REF!</v>
      </c>
    </row>
    <row r="672" spans="1:16" s="97" customFormat="1" ht="15.75" thickBot="1" x14ac:dyDescent="0.3">
      <c r="A672" s="37" t="s">
        <v>2010</v>
      </c>
      <c r="B672" s="38" t="s">
        <v>2008</v>
      </c>
      <c r="C672" s="39" t="s">
        <v>113</v>
      </c>
      <c r="D672" s="73" t="s">
        <v>1177</v>
      </c>
      <c r="E672" s="39" t="s">
        <v>667</v>
      </c>
      <c r="F672" s="39" t="s">
        <v>2006</v>
      </c>
      <c r="G672" s="73" t="s">
        <v>168</v>
      </c>
      <c r="H672" s="73" t="s">
        <v>654</v>
      </c>
      <c r="I672" s="39"/>
      <c r="J672" s="40" t="s">
        <v>708</v>
      </c>
      <c r="K672" s="114">
        <f>ROUND(Tableau15[[#This Row],[LEN]]*7.27,0)</f>
        <v>233</v>
      </c>
      <c r="L672" s="114">
        <v>15</v>
      </c>
      <c r="M672" s="131" t="str">
        <f t="shared" si="4"/>
        <v>none</v>
      </c>
      <c r="N672" s="114">
        <f>LEN(Tableau15[[#This Row],[LABEL]])</f>
        <v>32</v>
      </c>
      <c r="O672" s="114">
        <v>15</v>
      </c>
      <c r="P672" s="114" t="e">
        <f>ROUND(Tableau15[[#This Row],[LEN]]*#REF!+#REF!,0)</f>
        <v>#REF!</v>
      </c>
    </row>
    <row r="673" spans="1:16" s="97" customFormat="1" ht="15.75" thickTop="1" x14ac:dyDescent="0.25">
      <c r="A673" s="156" t="s">
        <v>202</v>
      </c>
      <c r="B673" s="156" t="s">
        <v>198</v>
      </c>
      <c r="C673" s="157" t="s">
        <v>1161</v>
      </c>
      <c r="D673" s="157" t="s">
        <v>183</v>
      </c>
      <c r="E673" s="158" t="s">
        <v>1177</v>
      </c>
      <c r="F673" s="157" t="s">
        <v>1084</v>
      </c>
      <c r="G673" s="158" t="s">
        <v>171</v>
      </c>
      <c r="H673" s="158" t="s">
        <v>615</v>
      </c>
      <c r="I673" s="157"/>
      <c r="J673" s="159" t="s">
        <v>707</v>
      </c>
      <c r="K673" s="160">
        <f>ROUND(Tableau15[[#This Row],[LEN]]*7.27,0)</f>
        <v>131</v>
      </c>
      <c r="L673" s="160">
        <v>15</v>
      </c>
      <c r="M673" s="161" t="str">
        <f t="shared" si="4"/>
        <v>new</v>
      </c>
      <c r="N673" s="160">
        <f>LEN(Tableau15[[#This Row],[LABEL]])</f>
        <v>18</v>
      </c>
      <c r="O673" s="162">
        <v>15</v>
      </c>
      <c r="P673" s="162" t="e">
        <f>ROUND(Tableau15[[#This Row],[LEN]]*#REF!+#REF!,0)</f>
        <v>#REF!</v>
      </c>
    </row>
    <row r="674" spans="1:16" s="97" customFormat="1" ht="15.75" thickBot="1" x14ac:dyDescent="0.3">
      <c r="A674" s="184" t="s">
        <v>208</v>
      </c>
      <c r="B674" s="184" t="s">
        <v>202</v>
      </c>
      <c r="C674" s="185" t="s">
        <v>176</v>
      </c>
      <c r="D674" s="186" t="s">
        <v>473</v>
      </c>
      <c r="E674" s="185" t="s">
        <v>1177</v>
      </c>
      <c r="F674" s="186" t="s">
        <v>1177</v>
      </c>
      <c r="G674" s="185" t="s">
        <v>68</v>
      </c>
      <c r="H674" s="185" t="s">
        <v>616</v>
      </c>
      <c r="I674" s="186"/>
      <c r="J674" s="187" t="s">
        <v>708</v>
      </c>
      <c r="K674" s="188">
        <f>ROUND(Tableau15[[#This Row],[LEN]]*7.27,0)</f>
        <v>160</v>
      </c>
      <c r="L674" s="188">
        <v>15</v>
      </c>
      <c r="M674" s="189" t="str">
        <f t="shared" si="4"/>
        <v>none</v>
      </c>
      <c r="N674" s="188">
        <f>LEN(Tableau15[[#This Row],[LABEL]])</f>
        <v>22</v>
      </c>
      <c r="O674" s="190">
        <v>15</v>
      </c>
      <c r="P674" s="190" t="e">
        <f>ROUND(Tableau15[[#This Row],[LEN]]*#REF!+#REF!,0)</f>
        <v>#REF!</v>
      </c>
    </row>
    <row r="675" spans="1:16" s="273" customFormat="1" ht="15.75" thickTop="1" x14ac:dyDescent="0.25">
      <c r="A675" s="330" t="s">
        <v>285</v>
      </c>
      <c r="B675" s="331" t="s">
        <v>208</v>
      </c>
      <c r="C675" s="332" t="s">
        <v>57</v>
      </c>
      <c r="D675" s="333" t="s">
        <v>1177</v>
      </c>
      <c r="E675" s="332" t="s">
        <v>663</v>
      </c>
      <c r="F675" s="332" t="s">
        <v>1177</v>
      </c>
      <c r="G675" s="333" t="s">
        <v>68</v>
      </c>
      <c r="H675" s="333" t="str">
        <f>IFERROR(IF(SEARCH(".00.00.00.00.00",Tableau15[[#This Row],[name]],1)=7,"Division",""),"")</f>
        <v>Division</v>
      </c>
      <c r="I675" s="332"/>
      <c r="J675" s="334" t="s">
        <v>708</v>
      </c>
      <c r="K675" s="335">
        <f>ROUND(Tableau15[[#This Row],[LEN]]*7.27,0)</f>
        <v>102</v>
      </c>
      <c r="L675" s="335">
        <v>15</v>
      </c>
      <c r="M675" s="336" t="str">
        <f t="shared" si="4"/>
        <v>none</v>
      </c>
      <c r="N675" s="335">
        <f>LEN(Tableau15[[#This Row],[LABEL]])</f>
        <v>14</v>
      </c>
      <c r="O675" s="335">
        <v>15</v>
      </c>
      <c r="P675" s="335" t="e">
        <f>ROUND(Tableau15[[#This Row],[LEN]]*#REF!+#REF!,0)</f>
        <v>#REF!</v>
      </c>
    </row>
    <row r="676" spans="1:16" s="97" customFormat="1" x14ac:dyDescent="0.25">
      <c r="A676" s="41" t="s">
        <v>844</v>
      </c>
      <c r="B676" s="42" t="s">
        <v>285</v>
      </c>
      <c r="C676" s="43" t="s">
        <v>848</v>
      </c>
      <c r="D676" s="74" t="s">
        <v>1177</v>
      </c>
      <c r="E676" s="43" t="s">
        <v>663</v>
      </c>
      <c r="F676" s="43" t="s">
        <v>684</v>
      </c>
      <c r="G676" s="74" t="s">
        <v>68</v>
      </c>
      <c r="H676" s="74" t="s">
        <v>655</v>
      </c>
      <c r="I676" s="43"/>
      <c r="J676" s="44" t="s">
        <v>708</v>
      </c>
      <c r="K676" s="115">
        <f>ROUND(Tableau15[[#This Row],[LEN]]*7.27,0)</f>
        <v>153</v>
      </c>
      <c r="L676" s="115">
        <v>15</v>
      </c>
      <c r="M676" s="132" t="str">
        <f t="shared" si="4"/>
        <v>none</v>
      </c>
      <c r="N676" s="115">
        <f>LEN(Tableau15[[#This Row],[LABEL]])</f>
        <v>21</v>
      </c>
      <c r="O676" s="115">
        <v>15</v>
      </c>
      <c r="P676" s="115" t="e">
        <f>ROUND(Tableau15[[#This Row],[LEN]]*#REF!+#REF!,0)</f>
        <v>#REF!</v>
      </c>
    </row>
    <row r="677" spans="1:16" s="97" customFormat="1" x14ac:dyDescent="0.25">
      <c r="A677" s="45" t="s">
        <v>852</v>
      </c>
      <c r="B677" s="46" t="s">
        <v>844</v>
      </c>
      <c r="C677" s="47" t="s">
        <v>864</v>
      </c>
      <c r="D677" s="75" t="s">
        <v>1177</v>
      </c>
      <c r="E677" s="47" t="s">
        <v>663</v>
      </c>
      <c r="F677" s="47" t="s">
        <v>684</v>
      </c>
      <c r="G677" s="75" t="s">
        <v>68</v>
      </c>
      <c r="H677" s="75" t="s">
        <v>656</v>
      </c>
      <c r="I677" s="47"/>
      <c r="J677" s="48" t="s">
        <v>708</v>
      </c>
      <c r="K677" s="116">
        <f>ROUND(Tableau15[[#This Row],[LEN]]*7.27,0)</f>
        <v>102</v>
      </c>
      <c r="L677" s="116">
        <v>15</v>
      </c>
      <c r="M677" s="133" t="str">
        <f t="shared" si="4"/>
        <v>none</v>
      </c>
      <c r="N677" s="116">
        <f>LEN(Tableau15[[#This Row],[LABEL]])</f>
        <v>14</v>
      </c>
      <c r="O677" s="116">
        <v>15</v>
      </c>
      <c r="P677" s="116" t="e">
        <f>ROUND(Tableau15[[#This Row],[LEN]]*#REF!+#REF!,0)</f>
        <v>#REF!</v>
      </c>
    </row>
    <row r="678" spans="1:16" s="97" customFormat="1" x14ac:dyDescent="0.25">
      <c r="A678" s="45" t="s">
        <v>853</v>
      </c>
      <c r="B678" s="46" t="s">
        <v>844</v>
      </c>
      <c r="C678" s="47" t="s">
        <v>865</v>
      </c>
      <c r="D678" s="75" t="s">
        <v>1177</v>
      </c>
      <c r="E678" s="47" t="s">
        <v>663</v>
      </c>
      <c r="F678" s="47" t="s">
        <v>684</v>
      </c>
      <c r="G678" s="75" t="s">
        <v>68</v>
      </c>
      <c r="H678" s="75" t="s">
        <v>656</v>
      </c>
      <c r="I678" s="47"/>
      <c r="J678" s="48" t="s">
        <v>708</v>
      </c>
      <c r="K678" s="116">
        <f>ROUND(Tableau15[[#This Row],[LEN]]*7.27,0)</f>
        <v>211</v>
      </c>
      <c r="L678" s="116">
        <v>15</v>
      </c>
      <c r="M678" s="133" t="str">
        <f t="shared" si="4"/>
        <v>none</v>
      </c>
      <c r="N678" s="116">
        <f>LEN(Tableau15[[#This Row],[LABEL]])</f>
        <v>29</v>
      </c>
      <c r="O678" s="116">
        <v>15</v>
      </c>
      <c r="P678" s="116" t="e">
        <f>ROUND(Tableau15[[#This Row],[LEN]]*#REF!+#REF!,0)</f>
        <v>#REF!</v>
      </c>
    </row>
    <row r="679" spans="1:16" s="97" customFormat="1" x14ac:dyDescent="0.25">
      <c r="A679" s="41" t="s">
        <v>845</v>
      </c>
      <c r="B679" s="42" t="s">
        <v>285</v>
      </c>
      <c r="C679" s="43" t="s">
        <v>849</v>
      </c>
      <c r="D679" s="74" t="s">
        <v>1177</v>
      </c>
      <c r="E679" s="43" t="s">
        <v>667</v>
      </c>
      <c r="F679" s="43" t="s">
        <v>840</v>
      </c>
      <c r="G679" s="74" t="s">
        <v>68</v>
      </c>
      <c r="H679" s="74" t="s">
        <v>655</v>
      </c>
      <c r="I679" s="43"/>
      <c r="J679" s="44" t="s">
        <v>708</v>
      </c>
      <c r="K679" s="115">
        <f>ROUND(Tableau15[[#This Row],[LEN]]*7.27,0)</f>
        <v>80</v>
      </c>
      <c r="L679" s="115">
        <v>15</v>
      </c>
      <c r="M679" s="132" t="str">
        <f t="shared" si="4"/>
        <v>none</v>
      </c>
      <c r="N679" s="115">
        <f>LEN(Tableau15[[#This Row],[LABEL]])</f>
        <v>11</v>
      </c>
      <c r="O679" s="115">
        <v>15</v>
      </c>
      <c r="P679" s="115" t="e">
        <f>ROUND(Tableau15[[#This Row],[LEN]]*#REF!+#REF!,0)</f>
        <v>#REF!</v>
      </c>
    </row>
    <row r="680" spans="1:16" s="97" customFormat="1" x14ac:dyDescent="0.25">
      <c r="A680" s="45" t="s">
        <v>854</v>
      </c>
      <c r="B680" s="46" t="s">
        <v>845</v>
      </c>
      <c r="C680" s="47" t="s">
        <v>112</v>
      </c>
      <c r="D680" s="75" t="s">
        <v>1177</v>
      </c>
      <c r="E680" s="47" t="s">
        <v>667</v>
      </c>
      <c r="F680" s="47" t="s">
        <v>2006</v>
      </c>
      <c r="G680" s="75" t="s">
        <v>68</v>
      </c>
      <c r="H680" s="75" t="s">
        <v>654</v>
      </c>
      <c r="I680" s="47"/>
      <c r="J680" s="48" t="s">
        <v>708</v>
      </c>
      <c r="K680" s="116">
        <f>ROUND(Tableau15[[#This Row],[LEN]]*7.27,0)</f>
        <v>167</v>
      </c>
      <c r="L680" s="116">
        <v>15</v>
      </c>
      <c r="M680" s="133" t="str">
        <f t="shared" si="4"/>
        <v>none</v>
      </c>
      <c r="N680" s="116">
        <f>LEN(Tableau15[[#This Row],[LABEL]])</f>
        <v>23</v>
      </c>
      <c r="O680" s="116">
        <v>15</v>
      </c>
      <c r="P680" s="116" t="e">
        <f>ROUND(Tableau15[[#This Row],[LEN]]*#REF!+#REF!,0)</f>
        <v>#REF!</v>
      </c>
    </row>
    <row r="681" spans="1:16" s="97" customFormat="1" x14ac:dyDescent="0.25">
      <c r="A681" s="45" t="s">
        <v>855</v>
      </c>
      <c r="B681" s="46" t="s">
        <v>845</v>
      </c>
      <c r="C681" s="47" t="s">
        <v>113</v>
      </c>
      <c r="D681" s="75" t="s">
        <v>1177</v>
      </c>
      <c r="E681" s="47" t="s">
        <v>667</v>
      </c>
      <c r="F681" s="47" t="s">
        <v>2006</v>
      </c>
      <c r="G681" s="75" t="s">
        <v>68</v>
      </c>
      <c r="H681" s="75" t="s">
        <v>654</v>
      </c>
      <c r="I681" s="47"/>
      <c r="J681" s="48" t="s">
        <v>708</v>
      </c>
      <c r="K681" s="116">
        <f>ROUND(Tableau15[[#This Row],[LEN]]*7.27,0)</f>
        <v>233</v>
      </c>
      <c r="L681" s="116">
        <v>15</v>
      </c>
      <c r="M681" s="133" t="str">
        <f t="shared" si="4"/>
        <v>none</v>
      </c>
      <c r="N681" s="116">
        <f>LEN(Tableau15[[#This Row],[LABEL]])</f>
        <v>32</v>
      </c>
      <c r="O681" s="116">
        <v>15</v>
      </c>
      <c r="P681" s="116" t="e">
        <f>ROUND(Tableau15[[#This Row],[LEN]]*#REF!+#REF!,0)</f>
        <v>#REF!</v>
      </c>
    </row>
    <row r="682" spans="1:16" s="97" customFormat="1" x14ac:dyDescent="0.25">
      <c r="A682" s="41" t="s">
        <v>846</v>
      </c>
      <c r="B682" s="42" t="s">
        <v>285</v>
      </c>
      <c r="C682" s="43" t="s">
        <v>850</v>
      </c>
      <c r="D682" s="74" t="s">
        <v>1177</v>
      </c>
      <c r="E682" s="43" t="s">
        <v>663</v>
      </c>
      <c r="F682" s="43" t="s">
        <v>1177</v>
      </c>
      <c r="G682" s="74" t="s">
        <v>68</v>
      </c>
      <c r="H682" s="74" t="s">
        <v>655</v>
      </c>
      <c r="I682" s="43"/>
      <c r="J682" s="44" t="s">
        <v>708</v>
      </c>
      <c r="K682" s="115">
        <f>ROUND(Tableau15[[#This Row],[LEN]]*7.27,0)</f>
        <v>109</v>
      </c>
      <c r="L682" s="115">
        <v>15</v>
      </c>
      <c r="M682" s="132" t="str">
        <f t="shared" si="4"/>
        <v>none</v>
      </c>
      <c r="N682" s="115">
        <f>LEN(Tableau15[[#This Row],[LABEL]])</f>
        <v>15</v>
      </c>
      <c r="O682" s="115">
        <v>15</v>
      </c>
      <c r="P682" s="115" t="e">
        <f>ROUND(Tableau15[[#This Row],[LEN]]*#REF!+#REF!,0)</f>
        <v>#REF!</v>
      </c>
    </row>
    <row r="683" spans="1:16" s="97" customFormat="1" x14ac:dyDescent="0.25">
      <c r="A683" s="45" t="s">
        <v>856</v>
      </c>
      <c r="B683" s="46" t="s">
        <v>846</v>
      </c>
      <c r="C683" s="47" t="s">
        <v>866</v>
      </c>
      <c r="D683" s="75" t="s">
        <v>1177</v>
      </c>
      <c r="E683" s="47" t="s">
        <v>663</v>
      </c>
      <c r="F683" s="47" t="s">
        <v>1177</v>
      </c>
      <c r="G683" s="75" t="s">
        <v>68</v>
      </c>
      <c r="H683" s="75" t="s">
        <v>18</v>
      </c>
      <c r="I683" s="47"/>
      <c r="J683" s="48" t="s">
        <v>708</v>
      </c>
      <c r="K683" s="116">
        <f>ROUND(Tableau15[[#This Row],[LEN]]*7.27,0)</f>
        <v>145</v>
      </c>
      <c r="L683" s="116">
        <v>15</v>
      </c>
      <c r="M683" s="133" t="str">
        <f t="shared" si="4"/>
        <v>none</v>
      </c>
      <c r="N683" s="116">
        <f>LEN(Tableau15[[#This Row],[LABEL]])</f>
        <v>20</v>
      </c>
      <c r="O683" s="116">
        <v>15</v>
      </c>
      <c r="P683" s="116" t="e">
        <f>ROUND(Tableau15[[#This Row],[LEN]]*#REF!+#REF!,0)</f>
        <v>#REF!</v>
      </c>
    </row>
    <row r="684" spans="1:16" s="97" customFormat="1" x14ac:dyDescent="0.25">
      <c r="A684" s="45" t="s">
        <v>857</v>
      </c>
      <c r="B684" s="46" t="s">
        <v>846</v>
      </c>
      <c r="C684" s="47" t="s">
        <v>867</v>
      </c>
      <c r="D684" s="75" t="s">
        <v>1177</v>
      </c>
      <c r="E684" s="47" t="s">
        <v>663</v>
      </c>
      <c r="F684" s="47" t="s">
        <v>1177</v>
      </c>
      <c r="G684" s="75" t="s">
        <v>68</v>
      </c>
      <c r="H684" s="75" t="s">
        <v>18</v>
      </c>
      <c r="I684" s="47"/>
      <c r="J684" s="48" t="s">
        <v>708</v>
      </c>
      <c r="K684" s="116">
        <f>ROUND(Tableau15[[#This Row],[LEN]]*7.27,0)</f>
        <v>153</v>
      </c>
      <c r="L684" s="116">
        <v>15</v>
      </c>
      <c r="M684" s="133" t="str">
        <f t="shared" si="4"/>
        <v>none</v>
      </c>
      <c r="N684" s="116">
        <f>LEN(Tableau15[[#This Row],[LABEL]])</f>
        <v>21</v>
      </c>
      <c r="O684" s="116">
        <v>15</v>
      </c>
      <c r="P684" s="116" t="e">
        <f>ROUND(Tableau15[[#This Row],[LEN]]*#REF!+#REF!,0)</f>
        <v>#REF!</v>
      </c>
    </row>
    <row r="685" spans="1:16" s="97" customFormat="1" x14ac:dyDescent="0.25">
      <c r="A685" s="45" t="s">
        <v>858</v>
      </c>
      <c r="B685" s="46" t="s">
        <v>846</v>
      </c>
      <c r="C685" s="47" t="s">
        <v>868</v>
      </c>
      <c r="D685" s="75" t="s">
        <v>1177</v>
      </c>
      <c r="E685" s="47" t="s">
        <v>663</v>
      </c>
      <c r="F685" s="47" t="s">
        <v>1177</v>
      </c>
      <c r="G685" s="75" t="s">
        <v>68</v>
      </c>
      <c r="H685" s="75" t="s">
        <v>18</v>
      </c>
      <c r="I685" s="47"/>
      <c r="J685" s="48" t="s">
        <v>708</v>
      </c>
      <c r="K685" s="116">
        <f>ROUND(Tableau15[[#This Row],[LEN]]*7.27,0)</f>
        <v>87</v>
      </c>
      <c r="L685" s="116">
        <v>15</v>
      </c>
      <c r="M685" s="133" t="str">
        <f t="shared" si="4"/>
        <v>none</v>
      </c>
      <c r="N685" s="116">
        <f>LEN(Tableau15[[#This Row],[LABEL]])</f>
        <v>12</v>
      </c>
      <c r="O685" s="116">
        <v>15</v>
      </c>
      <c r="P685" s="116" t="e">
        <f>ROUND(Tableau15[[#This Row],[LEN]]*#REF!+#REF!,0)</f>
        <v>#REF!</v>
      </c>
    </row>
    <row r="686" spans="1:16" s="97" customFormat="1" x14ac:dyDescent="0.25">
      <c r="A686" s="45" t="s">
        <v>859</v>
      </c>
      <c r="B686" s="46" t="s">
        <v>846</v>
      </c>
      <c r="C686" s="47" t="s">
        <v>869</v>
      </c>
      <c r="D686" s="75" t="s">
        <v>1177</v>
      </c>
      <c r="E686" s="47" t="s">
        <v>663</v>
      </c>
      <c r="F686" s="47" t="s">
        <v>1177</v>
      </c>
      <c r="G686" s="75" t="s">
        <v>68</v>
      </c>
      <c r="H686" s="75" t="s">
        <v>18</v>
      </c>
      <c r="I686" s="47"/>
      <c r="J686" s="48" t="s">
        <v>708</v>
      </c>
      <c r="K686" s="116">
        <f>ROUND(Tableau15[[#This Row],[LEN]]*7.27,0)</f>
        <v>145</v>
      </c>
      <c r="L686" s="116">
        <v>15</v>
      </c>
      <c r="M686" s="133" t="str">
        <f t="shared" si="4"/>
        <v>none</v>
      </c>
      <c r="N686" s="116">
        <f>LEN(Tableau15[[#This Row],[LABEL]])</f>
        <v>20</v>
      </c>
      <c r="O686" s="116">
        <v>15</v>
      </c>
      <c r="P686" s="116" t="e">
        <f>ROUND(Tableau15[[#This Row],[LEN]]*#REF!+#REF!,0)</f>
        <v>#REF!</v>
      </c>
    </row>
    <row r="687" spans="1:16" s="97" customFormat="1" x14ac:dyDescent="0.25">
      <c r="A687" s="41" t="s">
        <v>847</v>
      </c>
      <c r="B687" s="42" t="s">
        <v>285</v>
      </c>
      <c r="C687" s="43" t="s">
        <v>851</v>
      </c>
      <c r="D687" s="74" t="s">
        <v>1177</v>
      </c>
      <c r="E687" s="43" t="s">
        <v>663</v>
      </c>
      <c r="F687" s="43" t="s">
        <v>1177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ROUND(Tableau15[[#This Row],[LEN]]*7.27,0)</f>
        <v>124</v>
      </c>
      <c r="L687" s="115">
        <v>15</v>
      </c>
      <c r="M687" s="132" t="str">
        <f t="shared" si="4"/>
        <v>none</v>
      </c>
      <c r="N687" s="115">
        <f>LEN(Tableau15[[#This Row],[LABEL]])</f>
        <v>17</v>
      </c>
      <c r="O687" s="115">
        <v>15</v>
      </c>
      <c r="P687" s="115" t="e">
        <f>ROUND(Tableau15[[#This Row],[LEN]]*#REF!+#REF!,0)</f>
        <v>#REF!</v>
      </c>
    </row>
    <row r="688" spans="1:16" s="97" customFormat="1" x14ac:dyDescent="0.25">
      <c r="A688" s="45" t="s">
        <v>860</v>
      </c>
      <c r="B688" s="46" t="s">
        <v>847</v>
      </c>
      <c r="C688" s="47" t="s">
        <v>870</v>
      </c>
      <c r="D688" s="75" t="s">
        <v>1177</v>
      </c>
      <c r="E688" s="47" t="s">
        <v>663</v>
      </c>
      <c r="F688" s="47" t="s">
        <v>1177</v>
      </c>
      <c r="G688" s="75" t="s">
        <v>68</v>
      </c>
      <c r="H688" s="75" t="s">
        <v>18</v>
      </c>
      <c r="I688" s="47"/>
      <c r="J688" s="48" t="s">
        <v>708</v>
      </c>
      <c r="K688" s="116">
        <f>ROUND(Tableau15[[#This Row],[LEN]]*7.27,0)</f>
        <v>65</v>
      </c>
      <c r="L688" s="116">
        <v>15</v>
      </c>
      <c r="M688" s="133" t="str">
        <f t="shared" si="4"/>
        <v>none</v>
      </c>
      <c r="N688" s="116">
        <f>LEN(Tableau15[[#This Row],[LABEL]])</f>
        <v>9</v>
      </c>
      <c r="O688" s="116">
        <v>15</v>
      </c>
      <c r="P688" s="116" t="e">
        <f>ROUND(Tableau15[[#This Row],[LEN]]*#REF!+#REF!,0)</f>
        <v>#REF!</v>
      </c>
    </row>
    <row r="689" spans="1:16" s="97" customFormat="1" x14ac:dyDescent="0.25">
      <c r="A689" s="45" t="s">
        <v>861</v>
      </c>
      <c r="B689" s="46" t="s">
        <v>847</v>
      </c>
      <c r="C689" s="47" t="s">
        <v>871</v>
      </c>
      <c r="D689" s="75" t="s">
        <v>1177</v>
      </c>
      <c r="E689" s="47" t="s">
        <v>663</v>
      </c>
      <c r="F689" s="47" t="s">
        <v>1177</v>
      </c>
      <c r="G689" s="75" t="s">
        <v>68</v>
      </c>
      <c r="H689" s="75" t="s">
        <v>18</v>
      </c>
      <c r="I689" s="47"/>
      <c r="J689" s="48" t="s">
        <v>708</v>
      </c>
      <c r="K689" s="116">
        <f>ROUND(Tableau15[[#This Row],[LEN]]*7.27,0)</f>
        <v>116</v>
      </c>
      <c r="L689" s="116">
        <v>15</v>
      </c>
      <c r="M689" s="133" t="str">
        <f t="shared" si="4"/>
        <v>none</v>
      </c>
      <c r="N689" s="116">
        <f>LEN(Tableau15[[#This Row],[LABEL]])</f>
        <v>16</v>
      </c>
      <c r="O689" s="116">
        <v>15</v>
      </c>
      <c r="P689" s="116" t="e">
        <f>ROUND(Tableau15[[#This Row],[LEN]]*#REF!+#REF!,0)</f>
        <v>#REF!</v>
      </c>
    </row>
    <row r="690" spans="1:16" s="97" customFormat="1" x14ac:dyDescent="0.25">
      <c r="A690" s="45" t="s">
        <v>862</v>
      </c>
      <c r="B690" s="46" t="s">
        <v>847</v>
      </c>
      <c r="C690" s="47" t="s">
        <v>872</v>
      </c>
      <c r="D690" s="75" t="s">
        <v>1177</v>
      </c>
      <c r="E690" s="47" t="s">
        <v>663</v>
      </c>
      <c r="F690" s="47" t="s">
        <v>1177</v>
      </c>
      <c r="G690" s="75" t="s">
        <v>68</v>
      </c>
      <c r="H690" s="75" t="s">
        <v>18</v>
      </c>
      <c r="I690" s="47"/>
      <c r="J690" s="48" t="s">
        <v>708</v>
      </c>
      <c r="K690" s="116">
        <f>ROUND(Tableau15[[#This Row],[LEN]]*7.27,0)</f>
        <v>145</v>
      </c>
      <c r="L690" s="116">
        <v>15</v>
      </c>
      <c r="M690" s="133" t="str">
        <f t="shared" si="4"/>
        <v>none</v>
      </c>
      <c r="N690" s="116">
        <f>LEN(Tableau15[[#This Row],[LABEL]])</f>
        <v>20</v>
      </c>
      <c r="O690" s="116">
        <v>15</v>
      </c>
      <c r="P690" s="116" t="e">
        <f>ROUND(Tableau15[[#This Row],[LEN]]*#REF!+#REF!,0)</f>
        <v>#REF!</v>
      </c>
    </row>
    <row r="691" spans="1:16" s="97" customFormat="1" x14ac:dyDescent="0.25">
      <c r="A691" s="45" t="s">
        <v>863</v>
      </c>
      <c r="B691" s="46" t="s">
        <v>847</v>
      </c>
      <c r="C691" s="47" t="s">
        <v>873</v>
      </c>
      <c r="D691" s="75" t="s">
        <v>1177</v>
      </c>
      <c r="E691" s="47" t="s">
        <v>663</v>
      </c>
      <c r="F691" s="47" t="s">
        <v>1177</v>
      </c>
      <c r="G691" s="75" t="s">
        <v>68</v>
      </c>
      <c r="H691" s="75" t="s">
        <v>18</v>
      </c>
      <c r="I691" s="47"/>
      <c r="J691" s="48" t="s">
        <v>708</v>
      </c>
      <c r="K691" s="116">
        <f>ROUND(Tableau15[[#This Row],[LEN]]*7.27,0)</f>
        <v>116</v>
      </c>
      <c r="L691" s="116">
        <v>15</v>
      </c>
      <c r="M691" s="133" t="str">
        <f t="shared" si="4"/>
        <v>none</v>
      </c>
      <c r="N691" s="116">
        <f>LEN(Tableau15[[#This Row],[LABEL]])</f>
        <v>16</v>
      </c>
      <c r="O691" s="116">
        <v>15</v>
      </c>
      <c r="P691" s="116" t="e">
        <f>ROUND(Tableau15[[#This Row],[LEN]]*#REF!+#REF!,0)</f>
        <v>#REF!</v>
      </c>
    </row>
    <row r="692" spans="1:16" s="273" customFormat="1" x14ac:dyDescent="0.25">
      <c r="A692" s="330" t="s">
        <v>286</v>
      </c>
      <c r="B692" s="331" t="s">
        <v>208</v>
      </c>
      <c r="C692" s="332" t="s">
        <v>2</v>
      </c>
      <c r="D692" s="333" t="s">
        <v>1177</v>
      </c>
      <c r="E692" s="332" t="s">
        <v>662</v>
      </c>
      <c r="F692" s="332" t="s">
        <v>1177</v>
      </c>
      <c r="G692" s="333" t="s">
        <v>68</v>
      </c>
      <c r="H692" s="333" t="str">
        <f>IFERROR(IF(SEARCH(".00.00.00.00.00",Tableau15[[#This Row],[name]],1)=7,"Division",""),"")</f>
        <v>Division</v>
      </c>
      <c r="I692" s="332"/>
      <c r="J692" s="334" t="s">
        <v>708</v>
      </c>
      <c r="K692" s="335">
        <f>ROUND(Tableau15[[#This Row],[LEN]]*7.27,0)</f>
        <v>65</v>
      </c>
      <c r="L692" s="335">
        <v>15</v>
      </c>
      <c r="M692" s="336" t="str">
        <f t="shared" si="4"/>
        <v>none</v>
      </c>
      <c r="N692" s="335">
        <f>LEN(Tableau15[[#This Row],[LABEL]])</f>
        <v>9</v>
      </c>
      <c r="O692" s="335">
        <v>15</v>
      </c>
      <c r="P692" s="335" t="e">
        <f>ROUND(Tableau15[[#This Row],[LEN]]*#REF!+#REF!,0)</f>
        <v>#REF!</v>
      </c>
    </row>
    <row r="693" spans="1:16" s="97" customFormat="1" x14ac:dyDescent="0.25">
      <c r="A693" s="41" t="s">
        <v>737</v>
      </c>
      <c r="B693" s="42" t="s">
        <v>286</v>
      </c>
      <c r="C693" s="43" t="s">
        <v>738</v>
      </c>
      <c r="D693" s="74" t="s">
        <v>1177</v>
      </c>
      <c r="E693" s="43" t="s">
        <v>662</v>
      </c>
      <c r="F693" s="43" t="s">
        <v>667</v>
      </c>
      <c r="G693" s="74" t="s">
        <v>68</v>
      </c>
      <c r="H693" s="74" t="s">
        <v>56</v>
      </c>
      <c r="I693" s="43"/>
      <c r="J693" s="44" t="s">
        <v>708</v>
      </c>
      <c r="K693" s="115">
        <f>ROUND(Tableau15[[#This Row],[LEN]]*7.27,0)</f>
        <v>247</v>
      </c>
      <c r="L693" s="115">
        <v>15</v>
      </c>
      <c r="M693" s="132" t="str">
        <f t="shared" si="4"/>
        <v>none</v>
      </c>
      <c r="N693" s="115">
        <f>LEN(Tableau15[[#This Row],[LABEL]])</f>
        <v>34</v>
      </c>
      <c r="O693" s="115">
        <v>15</v>
      </c>
      <c r="P693" s="115" t="e">
        <f>ROUND(Tableau15[[#This Row],[LEN]]*#REF!+#REF!,0)</f>
        <v>#REF!</v>
      </c>
    </row>
    <row r="694" spans="1:16" s="273" customFormat="1" x14ac:dyDescent="0.25">
      <c r="A694" s="330" t="s">
        <v>287</v>
      </c>
      <c r="B694" s="331" t="s">
        <v>208</v>
      </c>
      <c r="C694" s="332" t="s">
        <v>3</v>
      </c>
      <c r="D694" s="333" t="s">
        <v>1177</v>
      </c>
      <c r="E694" s="332" t="s">
        <v>661</v>
      </c>
      <c r="F694" s="332" t="s">
        <v>1177</v>
      </c>
      <c r="G694" s="333" t="s">
        <v>68</v>
      </c>
      <c r="H694" s="333" t="str">
        <f>IFERROR(IF(SEARCH(".00.00.00.00.00",Tableau15[[#This Row],[name]],1)=7,"Division",""),"")</f>
        <v>Division</v>
      </c>
      <c r="I694" s="332"/>
      <c r="J694" s="334" t="s">
        <v>708</v>
      </c>
      <c r="K694" s="335">
        <f>ROUND(Tableau15[[#This Row],[LEN]]*7.27,0)</f>
        <v>73</v>
      </c>
      <c r="L694" s="335">
        <v>15</v>
      </c>
      <c r="M694" s="336" t="str">
        <f t="shared" si="4"/>
        <v>none</v>
      </c>
      <c r="N694" s="335">
        <f>LEN(Tableau15[[#This Row],[LABEL]])</f>
        <v>10</v>
      </c>
      <c r="O694" s="335">
        <v>15</v>
      </c>
      <c r="P694" s="335" t="e">
        <f>ROUND(Tableau15[[#This Row],[LEN]]*#REF!+#REF!,0)</f>
        <v>#REF!</v>
      </c>
    </row>
    <row r="695" spans="1:16" s="97" customFormat="1" x14ac:dyDescent="0.25">
      <c r="A695" s="41" t="s">
        <v>443</v>
      </c>
      <c r="B695" s="42" t="s">
        <v>287</v>
      </c>
      <c r="C695" s="43" t="s">
        <v>75</v>
      </c>
      <c r="D695" s="74" t="s">
        <v>1177</v>
      </c>
      <c r="E695" s="43" t="s">
        <v>661</v>
      </c>
      <c r="F695" s="43" t="s">
        <v>666</v>
      </c>
      <c r="G695" s="74" t="s">
        <v>68</v>
      </c>
      <c r="H695" s="74" t="s">
        <v>655</v>
      </c>
      <c r="I695" s="43"/>
      <c r="J695" s="44" t="s">
        <v>708</v>
      </c>
      <c r="K695" s="115">
        <f>ROUND(Tableau15[[#This Row],[LEN]]*7.27,0)</f>
        <v>262</v>
      </c>
      <c r="L695" s="115">
        <v>15</v>
      </c>
      <c r="M695" s="132" t="str">
        <f t="shared" si="4"/>
        <v>none</v>
      </c>
      <c r="N695" s="115">
        <f>LEN(Tableau15[[#This Row],[LABEL]])</f>
        <v>36</v>
      </c>
      <c r="O695" s="115">
        <v>15</v>
      </c>
      <c r="P695" s="115" t="e">
        <f>ROUND(Tableau15[[#This Row],[LEN]]*#REF!+#REF!,0)</f>
        <v>#REF!</v>
      </c>
    </row>
    <row r="696" spans="1:16" s="97" customFormat="1" x14ac:dyDescent="0.25">
      <c r="A696" s="45" t="s">
        <v>453</v>
      </c>
      <c r="B696" s="46" t="s">
        <v>443</v>
      </c>
      <c r="C696" s="47" t="s">
        <v>115</v>
      </c>
      <c r="D696" s="75" t="s">
        <v>1177</v>
      </c>
      <c r="E696" s="47" t="s">
        <v>661</v>
      </c>
      <c r="F696" s="47" t="s">
        <v>666</v>
      </c>
      <c r="G696" s="75" t="s">
        <v>68</v>
      </c>
      <c r="H696" s="75" t="s">
        <v>656</v>
      </c>
      <c r="I696" s="47"/>
      <c r="J696" s="48" t="s">
        <v>708</v>
      </c>
      <c r="K696" s="116">
        <f>ROUND(Tableau15[[#This Row],[LEN]]*7.27,0)</f>
        <v>291</v>
      </c>
      <c r="L696" s="116">
        <v>15</v>
      </c>
      <c r="M696" s="133" t="str">
        <f t="shared" si="4"/>
        <v>none</v>
      </c>
      <c r="N696" s="116">
        <f>LEN(Tableau15[[#This Row],[LABEL]])</f>
        <v>40</v>
      </c>
      <c r="O696" s="116">
        <v>15</v>
      </c>
      <c r="P696" s="116" t="e">
        <f>ROUND(Tableau15[[#This Row],[LEN]]*#REF!+#REF!,0)</f>
        <v>#REF!</v>
      </c>
    </row>
    <row r="697" spans="1:16" s="97" customFormat="1" x14ac:dyDescent="0.25">
      <c r="A697" s="45" t="s">
        <v>454</v>
      </c>
      <c r="B697" s="46" t="s">
        <v>443</v>
      </c>
      <c r="C697" s="47" t="s">
        <v>116</v>
      </c>
      <c r="D697" s="75" t="s">
        <v>1177</v>
      </c>
      <c r="E697" s="47" t="s">
        <v>661</v>
      </c>
      <c r="F697" s="47" t="s">
        <v>666</v>
      </c>
      <c r="G697" s="75" t="s">
        <v>68</v>
      </c>
      <c r="H697" s="75" t="s">
        <v>656</v>
      </c>
      <c r="I697" s="47"/>
      <c r="J697" s="48" t="s">
        <v>708</v>
      </c>
      <c r="K697" s="116">
        <f>ROUND(Tableau15[[#This Row],[LEN]]*7.27,0)</f>
        <v>313</v>
      </c>
      <c r="L697" s="116">
        <v>15</v>
      </c>
      <c r="M697" s="133" t="str">
        <f t="shared" si="4"/>
        <v>none</v>
      </c>
      <c r="N697" s="116">
        <f>LEN(Tableau15[[#This Row],[LABEL]])</f>
        <v>43</v>
      </c>
      <c r="O697" s="116">
        <v>15</v>
      </c>
      <c r="P697" s="116" t="e">
        <f>ROUND(Tableau15[[#This Row],[LEN]]*#REF!+#REF!,0)</f>
        <v>#REF!</v>
      </c>
    </row>
    <row r="698" spans="1:16" s="97" customFormat="1" x14ac:dyDescent="0.25">
      <c r="A698" s="45" t="s">
        <v>455</v>
      </c>
      <c r="B698" s="46" t="s">
        <v>443</v>
      </c>
      <c r="C698" s="47" t="s">
        <v>117</v>
      </c>
      <c r="D698" s="75" t="s">
        <v>1177</v>
      </c>
      <c r="E698" s="47" t="s">
        <v>661</v>
      </c>
      <c r="F698" s="47" t="s">
        <v>666</v>
      </c>
      <c r="G698" s="75" t="s">
        <v>68</v>
      </c>
      <c r="H698" s="75" t="s">
        <v>656</v>
      </c>
      <c r="I698" s="47"/>
      <c r="J698" s="48" t="s">
        <v>708</v>
      </c>
      <c r="K698" s="116">
        <f>ROUND(Tableau15[[#This Row],[LEN]]*7.27,0)</f>
        <v>225</v>
      </c>
      <c r="L698" s="116">
        <v>15</v>
      </c>
      <c r="M698" s="133" t="str">
        <f t="shared" si="4"/>
        <v>none</v>
      </c>
      <c r="N698" s="116">
        <f>LEN(Tableau15[[#This Row],[LABEL]])</f>
        <v>31</v>
      </c>
      <c r="O698" s="116">
        <v>15</v>
      </c>
      <c r="P698" s="116" t="e">
        <f>ROUND(Tableau15[[#This Row],[LEN]]*#REF!+#REF!,0)</f>
        <v>#REF!</v>
      </c>
    </row>
    <row r="699" spans="1:16" s="97" customFormat="1" x14ac:dyDescent="0.25">
      <c r="A699" s="41" t="s">
        <v>444</v>
      </c>
      <c r="B699" s="42" t="s">
        <v>287</v>
      </c>
      <c r="C699" s="43" t="s">
        <v>512</v>
      </c>
      <c r="D699" s="74" t="s">
        <v>1177</v>
      </c>
      <c r="E699" s="43" t="s">
        <v>667</v>
      </c>
      <c r="F699" s="43" t="s">
        <v>661</v>
      </c>
      <c r="G699" s="74" t="s">
        <v>68</v>
      </c>
      <c r="H699" s="74" t="s">
        <v>655</v>
      </c>
      <c r="I699" s="43"/>
      <c r="J699" s="44" t="s">
        <v>708</v>
      </c>
      <c r="K699" s="115">
        <f>ROUND(Tableau15[[#This Row],[LEN]]*7.27,0)</f>
        <v>80</v>
      </c>
      <c r="L699" s="115">
        <v>15</v>
      </c>
      <c r="M699" s="132" t="str">
        <f t="shared" si="4"/>
        <v>none</v>
      </c>
      <c r="N699" s="115">
        <f>LEN(Tableau15[[#This Row],[LABEL]])</f>
        <v>11</v>
      </c>
      <c r="O699" s="115">
        <v>15</v>
      </c>
      <c r="P699" s="115" t="e">
        <f>ROUND(Tableau15[[#This Row],[LEN]]*#REF!+#REF!,0)</f>
        <v>#REF!</v>
      </c>
    </row>
    <row r="700" spans="1:16" s="97" customFormat="1" x14ac:dyDescent="0.25">
      <c r="A700" s="45" t="s">
        <v>456</v>
      </c>
      <c r="B700" s="46" t="s">
        <v>444</v>
      </c>
      <c r="C700" s="47" t="s">
        <v>112</v>
      </c>
      <c r="D700" s="75" t="s">
        <v>1177</v>
      </c>
      <c r="E700" s="47" t="s">
        <v>667</v>
      </c>
      <c r="F700" s="47" t="s">
        <v>2006</v>
      </c>
      <c r="G700" s="75" t="s">
        <v>68</v>
      </c>
      <c r="H700" s="75" t="s">
        <v>654</v>
      </c>
      <c r="I700" s="47"/>
      <c r="J700" s="48" t="s">
        <v>708</v>
      </c>
      <c r="K700" s="116">
        <f>ROUND(Tableau15[[#This Row],[LEN]]*7.27,0)</f>
        <v>167</v>
      </c>
      <c r="L700" s="116">
        <v>15</v>
      </c>
      <c r="M700" s="133" t="str">
        <f t="shared" si="4"/>
        <v>none</v>
      </c>
      <c r="N700" s="116">
        <f>LEN(Tableau15[[#This Row],[LABEL]])</f>
        <v>23</v>
      </c>
      <c r="O700" s="116">
        <v>15</v>
      </c>
      <c r="P700" s="116" t="e">
        <f>ROUND(Tableau15[[#This Row],[LEN]]*#REF!+#REF!,0)</f>
        <v>#REF!</v>
      </c>
    </row>
    <row r="701" spans="1:16" s="97" customFormat="1" x14ac:dyDescent="0.25">
      <c r="A701" s="45" t="s">
        <v>457</v>
      </c>
      <c r="B701" s="46" t="s">
        <v>444</v>
      </c>
      <c r="C701" s="47" t="s">
        <v>113</v>
      </c>
      <c r="D701" s="75" t="s">
        <v>1177</v>
      </c>
      <c r="E701" s="47" t="s">
        <v>667</v>
      </c>
      <c r="F701" s="47" t="s">
        <v>2006</v>
      </c>
      <c r="G701" s="75" t="s">
        <v>68</v>
      </c>
      <c r="H701" s="75" t="s">
        <v>654</v>
      </c>
      <c r="I701" s="47"/>
      <c r="J701" s="48" t="s">
        <v>708</v>
      </c>
      <c r="K701" s="116">
        <f>ROUND(Tableau15[[#This Row],[LEN]]*7.27,0)</f>
        <v>233</v>
      </c>
      <c r="L701" s="116">
        <v>15</v>
      </c>
      <c r="M701" s="133" t="str">
        <f t="shared" ref="M701:M890" si="5">IF(J701="javascript:void(0)","none","new")</f>
        <v>none</v>
      </c>
      <c r="N701" s="116">
        <f>LEN(Tableau15[[#This Row],[LABEL]])</f>
        <v>32</v>
      </c>
      <c r="O701" s="116">
        <v>15</v>
      </c>
      <c r="P701" s="116" t="e">
        <f>ROUND(Tableau15[[#This Row],[LEN]]*#REF!+#REF!,0)</f>
        <v>#REF!</v>
      </c>
    </row>
    <row r="702" spans="1:16" s="97" customFormat="1" x14ac:dyDescent="0.25">
      <c r="A702" s="41" t="s">
        <v>445</v>
      </c>
      <c r="B702" s="42" t="s">
        <v>287</v>
      </c>
      <c r="C702" s="43" t="s">
        <v>849</v>
      </c>
      <c r="D702" s="74" t="s">
        <v>1177</v>
      </c>
      <c r="E702" s="43" t="s">
        <v>667</v>
      </c>
      <c r="F702" s="43" t="s">
        <v>840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ROUND(Tableau15[[#This Row],[LEN]]*7.27,0)</f>
        <v>80</v>
      </c>
      <c r="L702" s="115">
        <v>15</v>
      </c>
      <c r="M702" s="132" t="str">
        <f t="shared" si="5"/>
        <v>none</v>
      </c>
      <c r="N702" s="115">
        <f>LEN(Tableau15[[#This Row],[LABEL]])</f>
        <v>11</v>
      </c>
      <c r="O702" s="115">
        <v>15</v>
      </c>
      <c r="P702" s="115" t="e">
        <f>ROUND(Tableau15[[#This Row],[LEN]]*#REF!+#REF!,0)</f>
        <v>#REF!</v>
      </c>
    </row>
    <row r="703" spans="1:16" s="97" customFormat="1" x14ac:dyDescent="0.25">
      <c r="A703" s="41" t="s">
        <v>446</v>
      </c>
      <c r="B703" s="42" t="s">
        <v>287</v>
      </c>
      <c r="C703" s="43" t="s">
        <v>1516</v>
      </c>
      <c r="D703" s="74" t="s">
        <v>1177</v>
      </c>
      <c r="E703" s="43" t="s">
        <v>661</v>
      </c>
      <c r="F703" s="43" t="s">
        <v>666</v>
      </c>
      <c r="G703" s="74" t="s">
        <v>68</v>
      </c>
      <c r="H703" s="74" t="s">
        <v>655</v>
      </c>
      <c r="I703" s="43"/>
      <c r="J703" s="44" t="s">
        <v>708</v>
      </c>
      <c r="K703" s="115">
        <f>ROUND(Tableau15[[#This Row],[LEN]]*7.27,0)</f>
        <v>305</v>
      </c>
      <c r="L703" s="115">
        <v>15</v>
      </c>
      <c r="M703" s="132" t="str">
        <f t="shared" si="5"/>
        <v>none</v>
      </c>
      <c r="N703" s="115">
        <f>LEN(Tableau15[[#This Row],[LABEL]])</f>
        <v>42</v>
      </c>
      <c r="O703" s="115">
        <v>15</v>
      </c>
      <c r="P703" s="115" t="e">
        <f>ROUND(Tableau15[[#This Row],[LEN]]*#REF!+#REF!,0)</f>
        <v>#REF!</v>
      </c>
    </row>
    <row r="704" spans="1:16" s="97" customFormat="1" x14ac:dyDescent="0.25">
      <c r="A704" s="45" t="s">
        <v>458</v>
      </c>
      <c r="B704" s="46" t="s">
        <v>446</v>
      </c>
      <c r="C704" s="47" t="s">
        <v>118</v>
      </c>
      <c r="D704" s="75" t="s">
        <v>1177</v>
      </c>
      <c r="E704" s="47" t="s">
        <v>661</v>
      </c>
      <c r="F704" s="47" t="s">
        <v>666</v>
      </c>
      <c r="G704" s="75" t="s">
        <v>68</v>
      </c>
      <c r="H704" s="75" t="s">
        <v>18</v>
      </c>
      <c r="I704" s="47"/>
      <c r="J704" s="48" t="s">
        <v>708</v>
      </c>
      <c r="K704" s="116">
        <f>ROUND(Tableau15[[#This Row],[LEN]]*7.27,0)</f>
        <v>204</v>
      </c>
      <c r="L704" s="116">
        <v>15</v>
      </c>
      <c r="M704" s="133" t="str">
        <f t="shared" si="5"/>
        <v>none</v>
      </c>
      <c r="N704" s="116">
        <f>LEN(Tableau15[[#This Row],[LABEL]])</f>
        <v>28</v>
      </c>
      <c r="O704" s="116">
        <v>15</v>
      </c>
      <c r="P704" s="116" t="e">
        <f>ROUND(Tableau15[[#This Row],[LEN]]*#REF!+#REF!,0)</f>
        <v>#REF!</v>
      </c>
    </row>
    <row r="705" spans="1:16" s="97" customFormat="1" x14ac:dyDescent="0.25">
      <c r="A705" s="45" t="s">
        <v>459</v>
      </c>
      <c r="B705" s="46" t="s">
        <v>446</v>
      </c>
      <c r="C705" s="47" t="s">
        <v>119</v>
      </c>
      <c r="D705" s="75" t="s">
        <v>1177</v>
      </c>
      <c r="E705" s="47" t="s">
        <v>661</v>
      </c>
      <c r="F705" s="47" t="s">
        <v>666</v>
      </c>
      <c r="G705" s="75" t="s">
        <v>68</v>
      </c>
      <c r="H705" s="75" t="s">
        <v>18</v>
      </c>
      <c r="I705" s="47"/>
      <c r="J705" s="48" t="s">
        <v>708</v>
      </c>
      <c r="K705" s="116">
        <f>ROUND(Tableau15[[#This Row],[LEN]]*7.27,0)</f>
        <v>218</v>
      </c>
      <c r="L705" s="116">
        <v>15</v>
      </c>
      <c r="M705" s="133" t="str">
        <f t="shared" si="5"/>
        <v>none</v>
      </c>
      <c r="N705" s="116">
        <f>LEN(Tableau15[[#This Row],[LABEL]])</f>
        <v>30</v>
      </c>
      <c r="O705" s="116">
        <v>15</v>
      </c>
      <c r="P705" s="116" t="e">
        <f>ROUND(Tableau15[[#This Row],[LEN]]*#REF!+#REF!,0)</f>
        <v>#REF!</v>
      </c>
    </row>
    <row r="706" spans="1:16" s="97" customFormat="1" x14ac:dyDescent="0.25">
      <c r="A706" s="45" t="s">
        <v>460</v>
      </c>
      <c r="B706" s="46" t="s">
        <v>446</v>
      </c>
      <c r="C706" s="47" t="s">
        <v>120</v>
      </c>
      <c r="D706" s="75" t="s">
        <v>1177</v>
      </c>
      <c r="E706" s="47" t="s">
        <v>661</v>
      </c>
      <c r="F706" s="47" t="s">
        <v>666</v>
      </c>
      <c r="G706" s="75" t="s">
        <v>68</v>
      </c>
      <c r="H706" s="75" t="s">
        <v>18</v>
      </c>
      <c r="I706" s="47"/>
      <c r="J706" s="48" t="s">
        <v>708</v>
      </c>
      <c r="K706" s="116">
        <f>ROUND(Tableau15[[#This Row],[LEN]]*7.27,0)</f>
        <v>131</v>
      </c>
      <c r="L706" s="116">
        <v>15</v>
      </c>
      <c r="M706" s="133" t="str">
        <f t="shared" si="5"/>
        <v>none</v>
      </c>
      <c r="N706" s="116">
        <f>LEN(Tableau15[[#This Row],[LABEL]])</f>
        <v>18</v>
      </c>
      <c r="O706" s="116">
        <v>15</v>
      </c>
      <c r="P706" s="116" t="e">
        <f>ROUND(Tableau15[[#This Row],[LEN]]*#REF!+#REF!,0)</f>
        <v>#REF!</v>
      </c>
    </row>
    <row r="707" spans="1:16" s="97" customFormat="1" x14ac:dyDescent="0.25">
      <c r="A707" s="45" t="s">
        <v>461</v>
      </c>
      <c r="B707" s="46" t="s">
        <v>446</v>
      </c>
      <c r="C707" s="47" t="s">
        <v>121</v>
      </c>
      <c r="D707" s="75" t="s">
        <v>1177</v>
      </c>
      <c r="E707" s="47" t="s">
        <v>661</v>
      </c>
      <c r="F707" s="47" t="s">
        <v>666</v>
      </c>
      <c r="G707" s="75" t="s">
        <v>68</v>
      </c>
      <c r="H707" s="75" t="s">
        <v>18</v>
      </c>
      <c r="I707" s="47"/>
      <c r="J707" s="48" t="s">
        <v>708</v>
      </c>
      <c r="K707" s="116">
        <f>ROUND(Tableau15[[#This Row],[LEN]]*7.27,0)</f>
        <v>174</v>
      </c>
      <c r="L707" s="116">
        <v>15</v>
      </c>
      <c r="M707" s="133" t="str">
        <f t="shared" si="5"/>
        <v>none</v>
      </c>
      <c r="N707" s="116">
        <f>LEN(Tableau15[[#This Row],[LABEL]])</f>
        <v>24</v>
      </c>
      <c r="O707" s="116">
        <v>15</v>
      </c>
      <c r="P707" s="116" t="e">
        <f>ROUND(Tableau15[[#This Row],[LEN]]*#REF!+#REF!,0)</f>
        <v>#REF!</v>
      </c>
    </row>
    <row r="708" spans="1:16" s="97" customFormat="1" x14ac:dyDescent="0.25">
      <c r="A708" s="41" t="s">
        <v>447</v>
      </c>
      <c r="B708" s="42" t="s">
        <v>287</v>
      </c>
      <c r="C708" s="43" t="s">
        <v>122</v>
      </c>
      <c r="D708" s="74" t="s">
        <v>1514</v>
      </c>
      <c r="E708" s="43" t="s">
        <v>667</v>
      </c>
      <c r="F708" s="43" t="s">
        <v>2084</v>
      </c>
      <c r="G708" s="74" t="s">
        <v>68</v>
      </c>
      <c r="H708" s="74" t="s">
        <v>656</v>
      </c>
      <c r="I708" s="43"/>
      <c r="J708" s="44" t="s">
        <v>708</v>
      </c>
      <c r="K708" s="115">
        <f>ROUND(Tableau15[[#This Row],[LEN]]*7.27,0)</f>
        <v>145</v>
      </c>
      <c r="L708" s="115">
        <v>15</v>
      </c>
      <c r="M708" s="132" t="str">
        <f t="shared" si="5"/>
        <v>none</v>
      </c>
      <c r="N708" s="115">
        <f>LEN(Tableau15[[#This Row],[LABEL]])</f>
        <v>20</v>
      </c>
      <c r="O708" s="115">
        <v>15</v>
      </c>
      <c r="P708" s="115" t="e">
        <f>ROUND(Tableau15[[#This Row],[LEN]]*#REF!+#REF!,0)</f>
        <v>#REF!</v>
      </c>
    </row>
    <row r="709" spans="1:16" s="97" customFormat="1" x14ac:dyDescent="0.25">
      <c r="A709" s="41" t="s">
        <v>448</v>
      </c>
      <c r="B709" s="42" t="s">
        <v>287</v>
      </c>
      <c r="C709" s="43" t="s">
        <v>538</v>
      </c>
      <c r="D709" s="74" t="s">
        <v>1177</v>
      </c>
      <c r="E709" s="43" t="s">
        <v>684</v>
      </c>
      <c r="F709" s="43" t="s">
        <v>1177</v>
      </c>
      <c r="G709" s="74" t="s">
        <v>68</v>
      </c>
      <c r="H709" s="74" t="s">
        <v>655</v>
      </c>
      <c r="I709" s="43"/>
      <c r="J709" s="44" t="s">
        <v>708</v>
      </c>
      <c r="K709" s="115">
        <f>ROUND(Tableau15[[#This Row],[LEN]]*7.27,0)</f>
        <v>305</v>
      </c>
      <c r="L709" s="115">
        <v>15</v>
      </c>
      <c r="M709" s="132" t="str">
        <f t="shared" si="5"/>
        <v>none</v>
      </c>
      <c r="N709" s="115">
        <f>LEN(Tableau15[[#This Row],[LABEL]])</f>
        <v>42</v>
      </c>
      <c r="O709" s="115">
        <v>15</v>
      </c>
      <c r="P709" s="115" t="e">
        <f>ROUND(Tableau15[[#This Row],[LEN]]*#REF!+#REF!,0)</f>
        <v>#REF!</v>
      </c>
    </row>
    <row r="710" spans="1:16" s="97" customFormat="1" x14ac:dyDescent="0.25">
      <c r="A710" s="45" t="s">
        <v>462</v>
      </c>
      <c r="B710" s="46" t="s">
        <v>448</v>
      </c>
      <c r="C710" s="47" t="s">
        <v>123</v>
      </c>
      <c r="D710" s="75" t="s">
        <v>1177</v>
      </c>
      <c r="E710" s="47" t="s">
        <v>684</v>
      </c>
      <c r="F710" s="47" t="s">
        <v>1177</v>
      </c>
      <c r="G710" s="75" t="s">
        <v>68</v>
      </c>
      <c r="H710" s="75" t="s">
        <v>18</v>
      </c>
      <c r="I710" s="47"/>
      <c r="J710" s="48" t="s">
        <v>708</v>
      </c>
      <c r="K710" s="116">
        <f>ROUND(Tableau15[[#This Row],[LEN]]*7.27,0)</f>
        <v>182</v>
      </c>
      <c r="L710" s="116">
        <v>15</v>
      </c>
      <c r="M710" s="133" t="str">
        <f t="shared" si="5"/>
        <v>none</v>
      </c>
      <c r="N710" s="116">
        <f>LEN(Tableau15[[#This Row],[LABEL]])</f>
        <v>25</v>
      </c>
      <c r="O710" s="116">
        <v>15</v>
      </c>
      <c r="P710" s="116" t="e">
        <f>ROUND(Tableau15[[#This Row],[LEN]]*#REF!+#REF!,0)</f>
        <v>#REF!</v>
      </c>
    </row>
    <row r="711" spans="1:16" s="97" customFormat="1" x14ac:dyDescent="0.25">
      <c r="A711" s="45" t="s">
        <v>463</v>
      </c>
      <c r="B711" s="46" t="s">
        <v>448</v>
      </c>
      <c r="C711" s="47" t="s">
        <v>124</v>
      </c>
      <c r="D711" s="75" t="s">
        <v>1177</v>
      </c>
      <c r="E711" s="47" t="s">
        <v>684</v>
      </c>
      <c r="F711" s="47" t="s">
        <v>1177</v>
      </c>
      <c r="G711" s="75" t="s">
        <v>68</v>
      </c>
      <c r="H711" s="75" t="s">
        <v>18</v>
      </c>
      <c r="I711" s="47"/>
      <c r="J711" s="48" t="s">
        <v>708</v>
      </c>
      <c r="K711" s="116">
        <f>ROUND(Tableau15[[#This Row],[LEN]]*7.27,0)</f>
        <v>116</v>
      </c>
      <c r="L711" s="116">
        <v>15</v>
      </c>
      <c r="M711" s="133" t="str">
        <f t="shared" si="5"/>
        <v>none</v>
      </c>
      <c r="N711" s="116">
        <f>LEN(Tableau15[[#This Row],[LABEL]])</f>
        <v>16</v>
      </c>
      <c r="O711" s="116">
        <v>15</v>
      </c>
      <c r="P711" s="116" t="e">
        <f>ROUND(Tableau15[[#This Row],[LEN]]*#REF!+#REF!,0)</f>
        <v>#REF!</v>
      </c>
    </row>
    <row r="712" spans="1:16" s="97" customFormat="1" x14ac:dyDescent="0.25">
      <c r="A712" s="45" t="s">
        <v>464</v>
      </c>
      <c r="B712" s="46" t="s">
        <v>448</v>
      </c>
      <c r="C712" s="47" t="s">
        <v>125</v>
      </c>
      <c r="D712" s="75" t="s">
        <v>1177</v>
      </c>
      <c r="E712" s="47" t="s">
        <v>684</v>
      </c>
      <c r="F712" s="47" t="s">
        <v>1177</v>
      </c>
      <c r="G712" s="75" t="s">
        <v>68</v>
      </c>
      <c r="H712" s="75" t="s">
        <v>18</v>
      </c>
      <c r="I712" s="47"/>
      <c r="J712" s="48" t="s">
        <v>708</v>
      </c>
      <c r="K712" s="116">
        <f>ROUND(Tableau15[[#This Row],[LEN]]*7.27,0)</f>
        <v>116</v>
      </c>
      <c r="L712" s="116">
        <v>15</v>
      </c>
      <c r="M712" s="133" t="str">
        <f t="shared" si="5"/>
        <v>none</v>
      </c>
      <c r="N712" s="116">
        <f>LEN(Tableau15[[#This Row],[LABEL]])</f>
        <v>16</v>
      </c>
      <c r="O712" s="116">
        <v>15</v>
      </c>
      <c r="P712" s="116" t="e">
        <f>ROUND(Tableau15[[#This Row],[LEN]]*#REF!+#REF!,0)</f>
        <v>#REF!</v>
      </c>
    </row>
    <row r="713" spans="1:16" s="97" customFormat="1" x14ac:dyDescent="0.25">
      <c r="A713" s="45" t="s">
        <v>465</v>
      </c>
      <c r="B713" s="46" t="s">
        <v>448</v>
      </c>
      <c r="C713" s="47" t="s">
        <v>126</v>
      </c>
      <c r="D713" s="75" t="s">
        <v>1177</v>
      </c>
      <c r="E713" s="47" t="s">
        <v>684</v>
      </c>
      <c r="F713" s="47" t="s">
        <v>1177</v>
      </c>
      <c r="G713" s="75" t="s">
        <v>68</v>
      </c>
      <c r="H713" s="75" t="s">
        <v>18</v>
      </c>
      <c r="I713" s="47"/>
      <c r="J713" s="48" t="s">
        <v>708</v>
      </c>
      <c r="K713" s="116">
        <f>ROUND(Tableau15[[#This Row],[LEN]]*7.27,0)</f>
        <v>80</v>
      </c>
      <c r="L713" s="116">
        <v>15</v>
      </c>
      <c r="M713" s="133" t="str">
        <f t="shared" si="5"/>
        <v>none</v>
      </c>
      <c r="N713" s="116">
        <f>LEN(Tableau15[[#This Row],[LABEL]])</f>
        <v>11</v>
      </c>
      <c r="O713" s="116">
        <v>15</v>
      </c>
      <c r="P713" s="116" t="e">
        <f>ROUND(Tableau15[[#This Row],[LEN]]*#REF!+#REF!,0)</f>
        <v>#REF!</v>
      </c>
    </row>
    <row r="714" spans="1:16" s="97" customFormat="1" x14ac:dyDescent="0.25">
      <c r="A714" s="45" t="s">
        <v>466</v>
      </c>
      <c r="B714" s="46" t="s">
        <v>448</v>
      </c>
      <c r="C714" s="47" t="s">
        <v>127</v>
      </c>
      <c r="D714" s="75" t="s">
        <v>1177</v>
      </c>
      <c r="E714" s="47" t="s">
        <v>684</v>
      </c>
      <c r="F714" s="47" t="s">
        <v>1177</v>
      </c>
      <c r="G714" s="75" t="s">
        <v>68</v>
      </c>
      <c r="H714" s="75" t="s">
        <v>18</v>
      </c>
      <c r="I714" s="47"/>
      <c r="J714" s="48" t="s">
        <v>708</v>
      </c>
      <c r="K714" s="116">
        <f>ROUND(Tableau15[[#This Row],[LEN]]*7.27,0)</f>
        <v>95</v>
      </c>
      <c r="L714" s="116">
        <v>15</v>
      </c>
      <c r="M714" s="133" t="str">
        <f t="shared" si="5"/>
        <v>none</v>
      </c>
      <c r="N714" s="116">
        <f>LEN(Tableau15[[#This Row],[LABEL]])</f>
        <v>13</v>
      </c>
      <c r="O714" s="116">
        <v>15</v>
      </c>
      <c r="P714" s="116" t="e">
        <f>ROUND(Tableau15[[#This Row],[LEN]]*#REF!+#REF!,0)</f>
        <v>#REF!</v>
      </c>
    </row>
    <row r="715" spans="1:16" s="97" customFormat="1" x14ac:dyDescent="0.25">
      <c r="A715" s="45" t="s">
        <v>467</v>
      </c>
      <c r="B715" s="46" t="s">
        <v>448</v>
      </c>
      <c r="C715" s="47" t="s">
        <v>1527</v>
      </c>
      <c r="D715" s="75" t="s">
        <v>1177</v>
      </c>
      <c r="E715" s="47" t="s">
        <v>684</v>
      </c>
      <c r="F715" s="47" t="s">
        <v>1177</v>
      </c>
      <c r="G715" s="75" t="s">
        <v>68</v>
      </c>
      <c r="H715" s="75" t="s">
        <v>18</v>
      </c>
      <c r="I715" s="47"/>
      <c r="J715" s="48" t="s">
        <v>708</v>
      </c>
      <c r="K715" s="116">
        <f>ROUND(Tableau15[[#This Row],[LEN]]*7.27,0)</f>
        <v>233</v>
      </c>
      <c r="L715" s="116">
        <v>15</v>
      </c>
      <c r="M715" s="133" t="str">
        <f t="shared" si="5"/>
        <v>none</v>
      </c>
      <c r="N715" s="116">
        <f>LEN(Tableau15[[#This Row],[LABEL]])</f>
        <v>32</v>
      </c>
      <c r="O715" s="116">
        <v>15</v>
      </c>
      <c r="P715" s="116" t="e">
        <f>ROUND(Tableau15[[#This Row],[LEN]]*#REF!+#REF!,0)</f>
        <v>#REF!</v>
      </c>
    </row>
    <row r="716" spans="1:16" s="273" customFormat="1" x14ac:dyDescent="0.25">
      <c r="A716" s="330" t="s">
        <v>288</v>
      </c>
      <c r="B716" s="331" t="s">
        <v>208</v>
      </c>
      <c r="C716" s="332" t="s">
        <v>4</v>
      </c>
      <c r="D716" s="333" t="s">
        <v>1177</v>
      </c>
      <c r="E716" s="332" t="s">
        <v>666</v>
      </c>
      <c r="F716" s="332" t="s">
        <v>1177</v>
      </c>
      <c r="G716" s="333" t="s">
        <v>68</v>
      </c>
      <c r="H716" s="333" t="str">
        <f>IFERROR(IF(SEARCH(".00.00.00.00.00",Tableau15[[#This Row],[name]],1)=7,"Division",""),"")</f>
        <v>Division</v>
      </c>
      <c r="I716" s="332"/>
      <c r="J716" s="334" t="s">
        <v>708</v>
      </c>
      <c r="K716" s="335">
        <f>ROUND(Tableau15[[#This Row],[LEN]]*7.27,0)</f>
        <v>36</v>
      </c>
      <c r="L716" s="335">
        <v>15</v>
      </c>
      <c r="M716" s="336" t="str">
        <f t="shared" si="5"/>
        <v>none</v>
      </c>
      <c r="N716" s="335">
        <f>LEN(Tableau15[[#This Row],[LABEL]])</f>
        <v>5</v>
      </c>
      <c r="O716" s="335">
        <v>15</v>
      </c>
      <c r="P716" s="335" t="e">
        <f>ROUND(Tableau15[[#This Row],[LEN]]*#REF!+#REF!,0)</f>
        <v>#REF!</v>
      </c>
    </row>
    <row r="717" spans="1:16" s="97" customFormat="1" x14ac:dyDescent="0.25">
      <c r="A717" s="41" t="s">
        <v>1502</v>
      </c>
      <c r="B717" s="42" t="s">
        <v>288</v>
      </c>
      <c r="C717" s="43" t="s">
        <v>75</v>
      </c>
      <c r="D717" s="74" t="s">
        <v>1177</v>
      </c>
      <c r="E717" s="43" t="s">
        <v>661</v>
      </c>
      <c r="F717" s="43" t="s">
        <v>666</v>
      </c>
      <c r="G717" s="74" t="s">
        <v>68</v>
      </c>
      <c r="H717" s="74" t="s">
        <v>655</v>
      </c>
      <c r="I717" s="43"/>
      <c r="J717" s="44" t="s">
        <v>708</v>
      </c>
      <c r="K717" s="115">
        <f>ROUND(Tableau15[[#This Row],[LEN]]*7.27,0)</f>
        <v>262</v>
      </c>
      <c r="L717" s="115">
        <v>15</v>
      </c>
      <c r="M717" s="132" t="str">
        <f t="shared" si="5"/>
        <v>none</v>
      </c>
      <c r="N717" s="115">
        <f>LEN(Tableau15[[#This Row],[LABEL]])</f>
        <v>36</v>
      </c>
      <c r="O717" s="115">
        <v>15</v>
      </c>
      <c r="P717" s="115" t="e">
        <f>ROUND(Tableau15[[#This Row],[LEN]]*#REF!+#REF!,0)</f>
        <v>#REF!</v>
      </c>
    </row>
    <row r="718" spans="1:16" s="97" customFormat="1" x14ac:dyDescent="0.25">
      <c r="A718" s="45" t="s">
        <v>1509</v>
      </c>
      <c r="B718" s="46" t="s">
        <v>1502</v>
      </c>
      <c r="C718" s="47" t="s">
        <v>115</v>
      </c>
      <c r="D718" s="75" t="s">
        <v>1177</v>
      </c>
      <c r="E718" s="47" t="s">
        <v>661</v>
      </c>
      <c r="F718" s="47" t="s">
        <v>666</v>
      </c>
      <c r="G718" s="75" t="s">
        <v>68</v>
      </c>
      <c r="H718" s="75" t="s">
        <v>656</v>
      </c>
      <c r="I718" s="47"/>
      <c r="J718" s="48" t="s">
        <v>708</v>
      </c>
      <c r="K718" s="116">
        <f>ROUND(Tableau15[[#This Row],[LEN]]*7.27,0)</f>
        <v>291</v>
      </c>
      <c r="L718" s="116">
        <v>15</v>
      </c>
      <c r="M718" s="133" t="str">
        <f t="shared" si="5"/>
        <v>none</v>
      </c>
      <c r="N718" s="116">
        <f>LEN(Tableau15[[#This Row],[LABEL]])</f>
        <v>40</v>
      </c>
      <c r="O718" s="116">
        <v>15</v>
      </c>
      <c r="P718" s="116" t="e">
        <f>ROUND(Tableau15[[#This Row],[LEN]]*#REF!+#REF!,0)</f>
        <v>#REF!</v>
      </c>
    </row>
    <row r="719" spans="1:16" s="97" customFormat="1" x14ac:dyDescent="0.25">
      <c r="A719" s="45" t="s">
        <v>1510</v>
      </c>
      <c r="B719" s="46" t="s">
        <v>1502</v>
      </c>
      <c r="C719" s="47" t="s">
        <v>116</v>
      </c>
      <c r="D719" s="75" t="s">
        <v>1177</v>
      </c>
      <c r="E719" s="47" t="s">
        <v>661</v>
      </c>
      <c r="F719" s="47" t="s">
        <v>666</v>
      </c>
      <c r="G719" s="75" t="s">
        <v>68</v>
      </c>
      <c r="H719" s="75" t="s">
        <v>656</v>
      </c>
      <c r="I719" s="47"/>
      <c r="J719" s="48" t="s">
        <v>708</v>
      </c>
      <c r="K719" s="116">
        <f>ROUND(Tableau15[[#This Row],[LEN]]*7.27,0)</f>
        <v>313</v>
      </c>
      <c r="L719" s="116">
        <v>15</v>
      </c>
      <c r="M719" s="133" t="str">
        <f t="shared" si="5"/>
        <v>none</v>
      </c>
      <c r="N719" s="116">
        <f>LEN(Tableau15[[#This Row],[LABEL]])</f>
        <v>43</v>
      </c>
      <c r="O719" s="116">
        <v>15</v>
      </c>
      <c r="P719" s="116" t="e">
        <f>ROUND(Tableau15[[#This Row],[LEN]]*#REF!+#REF!,0)</f>
        <v>#REF!</v>
      </c>
    </row>
    <row r="720" spans="1:16" s="97" customFormat="1" x14ac:dyDescent="0.25">
      <c r="A720" s="45" t="s">
        <v>1511</v>
      </c>
      <c r="B720" s="46" t="s">
        <v>1502</v>
      </c>
      <c r="C720" s="47" t="s">
        <v>117</v>
      </c>
      <c r="D720" s="75" t="s">
        <v>1177</v>
      </c>
      <c r="E720" s="47" t="s">
        <v>661</v>
      </c>
      <c r="F720" s="47" t="s">
        <v>666</v>
      </c>
      <c r="G720" s="75" t="s">
        <v>68</v>
      </c>
      <c r="H720" s="75" t="s">
        <v>656</v>
      </c>
      <c r="I720" s="47"/>
      <c r="J720" s="48" t="s">
        <v>708</v>
      </c>
      <c r="K720" s="116">
        <f>ROUND(Tableau15[[#This Row],[LEN]]*7.27,0)</f>
        <v>225</v>
      </c>
      <c r="L720" s="116">
        <v>15</v>
      </c>
      <c r="M720" s="133" t="str">
        <f t="shared" si="5"/>
        <v>none</v>
      </c>
      <c r="N720" s="116">
        <f>LEN(Tableau15[[#This Row],[LABEL]])</f>
        <v>31</v>
      </c>
      <c r="O720" s="116">
        <v>15</v>
      </c>
      <c r="P720" s="116" t="e">
        <f>ROUND(Tableau15[[#This Row],[LEN]]*#REF!+#REF!,0)</f>
        <v>#REF!</v>
      </c>
    </row>
    <row r="721" spans="1:16" s="97" customFormat="1" x14ac:dyDescent="0.25">
      <c r="A721" s="41" t="s">
        <v>1503</v>
      </c>
      <c r="B721" s="42" t="s">
        <v>288</v>
      </c>
      <c r="C721" s="43" t="s">
        <v>849</v>
      </c>
      <c r="D721" s="74" t="s">
        <v>1177</v>
      </c>
      <c r="E721" s="43" t="s">
        <v>667</v>
      </c>
      <c r="F721" s="43" t="s">
        <v>840</v>
      </c>
      <c r="G721" s="74" t="s">
        <v>68</v>
      </c>
      <c r="H721" s="74" t="s">
        <v>655</v>
      </c>
      <c r="I721" s="43"/>
      <c r="J721" s="44" t="s">
        <v>708</v>
      </c>
      <c r="K721" s="115">
        <f>ROUND(Tableau15[[#This Row],[LEN]]*7.27,0)</f>
        <v>80</v>
      </c>
      <c r="L721" s="115">
        <v>15</v>
      </c>
      <c r="M721" s="132" t="str">
        <f t="shared" si="5"/>
        <v>none</v>
      </c>
      <c r="N721" s="115">
        <f>LEN(Tableau15[[#This Row],[LABEL]])</f>
        <v>11</v>
      </c>
      <c r="O721" s="115">
        <v>15</v>
      </c>
      <c r="P721" s="115" t="e">
        <f>ROUND(Tableau15[[#This Row],[LEN]]*#REF!+#REF!,0)</f>
        <v>#REF!</v>
      </c>
    </row>
    <row r="722" spans="1:16" s="97" customFormat="1" x14ac:dyDescent="0.25">
      <c r="A722" s="45" t="s">
        <v>1512</v>
      </c>
      <c r="B722" s="46" t="s">
        <v>1503</v>
      </c>
      <c r="C722" s="47" t="s">
        <v>112</v>
      </c>
      <c r="D722" s="75" t="s">
        <v>1177</v>
      </c>
      <c r="E722" s="47" t="s">
        <v>667</v>
      </c>
      <c r="F722" s="47" t="s">
        <v>2006</v>
      </c>
      <c r="G722" s="75" t="s">
        <v>68</v>
      </c>
      <c r="H722" s="75" t="s">
        <v>654</v>
      </c>
      <c r="I722" s="47"/>
      <c r="J722" s="48" t="s">
        <v>708</v>
      </c>
      <c r="K722" s="116">
        <f>ROUND(Tableau15[[#This Row],[LEN]]*7.27,0)</f>
        <v>167</v>
      </c>
      <c r="L722" s="116">
        <v>15</v>
      </c>
      <c r="M722" s="133" t="str">
        <f t="shared" si="5"/>
        <v>none</v>
      </c>
      <c r="N722" s="116">
        <f>LEN(Tableau15[[#This Row],[LABEL]])</f>
        <v>23</v>
      </c>
      <c r="O722" s="116">
        <v>15</v>
      </c>
      <c r="P722" s="116" t="e">
        <f>ROUND(Tableau15[[#This Row],[LEN]]*#REF!+#REF!,0)</f>
        <v>#REF!</v>
      </c>
    </row>
    <row r="723" spans="1:16" s="97" customFormat="1" x14ac:dyDescent="0.25">
      <c r="A723" s="45" t="s">
        <v>1513</v>
      </c>
      <c r="B723" s="46" t="s">
        <v>1503</v>
      </c>
      <c r="C723" s="47" t="s">
        <v>113</v>
      </c>
      <c r="D723" s="75" t="s">
        <v>1177</v>
      </c>
      <c r="E723" s="47" t="s">
        <v>667</v>
      </c>
      <c r="F723" s="47" t="s">
        <v>2006</v>
      </c>
      <c r="G723" s="75" t="s">
        <v>68</v>
      </c>
      <c r="H723" s="75" t="s">
        <v>654</v>
      </c>
      <c r="I723" s="47"/>
      <c r="J723" s="48" t="s">
        <v>708</v>
      </c>
      <c r="K723" s="116">
        <f>ROUND(Tableau15[[#This Row],[LEN]]*7.27,0)</f>
        <v>233</v>
      </c>
      <c r="L723" s="116">
        <v>15</v>
      </c>
      <c r="M723" s="133" t="str">
        <f t="shared" si="5"/>
        <v>none</v>
      </c>
      <c r="N723" s="116">
        <f>LEN(Tableau15[[#This Row],[LABEL]])</f>
        <v>32</v>
      </c>
      <c r="O723" s="116">
        <v>15</v>
      </c>
      <c r="P723" s="116" t="e">
        <f>ROUND(Tableau15[[#This Row],[LEN]]*#REF!+#REF!,0)</f>
        <v>#REF!</v>
      </c>
    </row>
    <row r="724" spans="1:16" s="97" customFormat="1" x14ac:dyDescent="0.25">
      <c r="A724" s="41" t="s">
        <v>1504</v>
      </c>
      <c r="B724" s="42" t="s">
        <v>288</v>
      </c>
      <c r="C724" s="43" t="s">
        <v>122</v>
      </c>
      <c r="D724" s="74" t="s">
        <v>1514</v>
      </c>
      <c r="E724" s="43" t="s">
        <v>667</v>
      </c>
      <c r="F724" s="43" t="s">
        <v>2084</v>
      </c>
      <c r="G724" s="74" t="s">
        <v>68</v>
      </c>
      <c r="H724" s="74" t="s">
        <v>656</v>
      </c>
      <c r="I724" s="43"/>
      <c r="J724" s="44" t="s">
        <v>708</v>
      </c>
      <c r="K724" s="115">
        <f>ROUND(Tableau15[[#This Row],[LEN]]*7.27,0)</f>
        <v>145</v>
      </c>
      <c r="L724" s="115">
        <v>15</v>
      </c>
      <c r="M724" s="132" t="str">
        <f t="shared" si="5"/>
        <v>none</v>
      </c>
      <c r="N724" s="115">
        <f>LEN(Tableau15[[#This Row],[LABEL]])</f>
        <v>20</v>
      </c>
      <c r="O724" s="115">
        <v>15</v>
      </c>
      <c r="P724" s="115" t="e">
        <f>ROUND(Tableau15[[#This Row],[LEN]]*#REF!+#REF!,0)</f>
        <v>#REF!</v>
      </c>
    </row>
    <row r="725" spans="1:16" s="97" customFormat="1" x14ac:dyDescent="0.25">
      <c r="A725" s="41" t="s">
        <v>1505</v>
      </c>
      <c r="B725" s="42" t="s">
        <v>288</v>
      </c>
      <c r="C725" s="43" t="s">
        <v>1516</v>
      </c>
      <c r="D725" s="74" t="s">
        <v>1177</v>
      </c>
      <c r="E725" s="43" t="s">
        <v>661</v>
      </c>
      <c r="F725" s="43" t="s">
        <v>666</v>
      </c>
      <c r="G725" s="74" t="s">
        <v>68</v>
      </c>
      <c r="H725" s="74" t="s">
        <v>655</v>
      </c>
      <c r="I725" s="43"/>
      <c r="J725" s="44" t="s">
        <v>708</v>
      </c>
      <c r="K725" s="115">
        <f>ROUND(Tableau15[[#This Row],[LEN]]*7.27,0)</f>
        <v>305</v>
      </c>
      <c r="L725" s="115">
        <v>15</v>
      </c>
      <c r="M725" s="132" t="str">
        <f t="shared" si="5"/>
        <v>none</v>
      </c>
      <c r="N725" s="115">
        <f>LEN(Tableau15[[#This Row],[LABEL]])</f>
        <v>42</v>
      </c>
      <c r="O725" s="115">
        <v>15</v>
      </c>
      <c r="P725" s="115" t="e">
        <f>ROUND(Tableau15[[#This Row],[LEN]]*#REF!+#REF!,0)</f>
        <v>#REF!</v>
      </c>
    </row>
    <row r="726" spans="1:16" s="97" customFormat="1" x14ac:dyDescent="0.25">
      <c r="A726" s="45" t="s">
        <v>1517</v>
      </c>
      <c r="B726" s="46" t="s">
        <v>1505</v>
      </c>
      <c r="C726" s="47" t="s">
        <v>118</v>
      </c>
      <c r="D726" s="75" t="s">
        <v>1177</v>
      </c>
      <c r="E726" s="47" t="s">
        <v>661</v>
      </c>
      <c r="F726" s="47" t="s">
        <v>666</v>
      </c>
      <c r="G726" s="75" t="s">
        <v>68</v>
      </c>
      <c r="H726" s="75" t="s">
        <v>18</v>
      </c>
      <c r="I726" s="47"/>
      <c r="J726" s="48" t="s">
        <v>708</v>
      </c>
      <c r="K726" s="116">
        <f>ROUND(Tableau15[[#This Row],[LEN]]*7.27,0)</f>
        <v>204</v>
      </c>
      <c r="L726" s="116">
        <v>15</v>
      </c>
      <c r="M726" s="133" t="str">
        <f t="shared" si="5"/>
        <v>none</v>
      </c>
      <c r="N726" s="116">
        <f>LEN(Tableau15[[#This Row],[LABEL]])</f>
        <v>28</v>
      </c>
      <c r="O726" s="116">
        <v>15</v>
      </c>
      <c r="P726" s="116" t="e">
        <f>ROUND(Tableau15[[#This Row],[LEN]]*#REF!+#REF!,0)</f>
        <v>#REF!</v>
      </c>
    </row>
    <row r="727" spans="1:16" s="97" customFormat="1" x14ac:dyDescent="0.25">
      <c r="A727" s="45" t="s">
        <v>1518</v>
      </c>
      <c r="B727" s="46" t="s">
        <v>1505</v>
      </c>
      <c r="C727" s="47" t="s">
        <v>119</v>
      </c>
      <c r="D727" s="75" t="s">
        <v>1177</v>
      </c>
      <c r="E727" s="47" t="s">
        <v>661</v>
      </c>
      <c r="F727" s="47" t="s">
        <v>666</v>
      </c>
      <c r="G727" s="75" t="s">
        <v>68</v>
      </c>
      <c r="H727" s="75" t="s">
        <v>18</v>
      </c>
      <c r="I727" s="47"/>
      <c r="J727" s="48" t="s">
        <v>708</v>
      </c>
      <c r="K727" s="116">
        <f>ROUND(Tableau15[[#This Row],[LEN]]*7.27,0)</f>
        <v>218</v>
      </c>
      <c r="L727" s="116">
        <v>15</v>
      </c>
      <c r="M727" s="133" t="str">
        <f t="shared" si="5"/>
        <v>none</v>
      </c>
      <c r="N727" s="116">
        <f>LEN(Tableau15[[#This Row],[LABEL]])</f>
        <v>30</v>
      </c>
      <c r="O727" s="116">
        <v>15</v>
      </c>
      <c r="P727" s="116" t="e">
        <f>ROUND(Tableau15[[#This Row],[LEN]]*#REF!+#REF!,0)</f>
        <v>#REF!</v>
      </c>
    </row>
    <row r="728" spans="1:16" s="97" customFormat="1" x14ac:dyDescent="0.25">
      <c r="A728" s="45" t="s">
        <v>1519</v>
      </c>
      <c r="B728" s="46" t="s">
        <v>1505</v>
      </c>
      <c r="C728" s="47" t="s">
        <v>120</v>
      </c>
      <c r="D728" s="75" t="s">
        <v>1177</v>
      </c>
      <c r="E728" s="47" t="s">
        <v>661</v>
      </c>
      <c r="F728" s="47" t="s">
        <v>666</v>
      </c>
      <c r="G728" s="75" t="s">
        <v>68</v>
      </c>
      <c r="H728" s="75" t="s">
        <v>18</v>
      </c>
      <c r="I728" s="47"/>
      <c r="J728" s="48" t="s">
        <v>708</v>
      </c>
      <c r="K728" s="116">
        <f>ROUND(Tableau15[[#This Row],[LEN]]*7.27,0)</f>
        <v>131</v>
      </c>
      <c r="L728" s="116">
        <v>15</v>
      </c>
      <c r="M728" s="133" t="str">
        <f t="shared" si="5"/>
        <v>none</v>
      </c>
      <c r="N728" s="116">
        <f>LEN(Tableau15[[#This Row],[LABEL]])</f>
        <v>18</v>
      </c>
      <c r="O728" s="116">
        <v>15</v>
      </c>
      <c r="P728" s="116" t="e">
        <f>ROUND(Tableau15[[#This Row],[LEN]]*#REF!+#REF!,0)</f>
        <v>#REF!</v>
      </c>
    </row>
    <row r="729" spans="1:16" s="97" customFormat="1" x14ac:dyDescent="0.25">
      <c r="A729" s="45" t="s">
        <v>1520</v>
      </c>
      <c r="B729" s="46" t="s">
        <v>1505</v>
      </c>
      <c r="C729" s="47" t="s">
        <v>121</v>
      </c>
      <c r="D729" s="75" t="s">
        <v>1177</v>
      </c>
      <c r="E729" s="47" t="s">
        <v>661</v>
      </c>
      <c r="F729" s="47" t="s">
        <v>666</v>
      </c>
      <c r="G729" s="75" t="s">
        <v>68</v>
      </c>
      <c r="H729" s="75" t="s">
        <v>18</v>
      </c>
      <c r="I729" s="47"/>
      <c r="J729" s="48" t="s">
        <v>708</v>
      </c>
      <c r="K729" s="116">
        <f>ROUND(Tableau15[[#This Row],[LEN]]*7.27,0)</f>
        <v>174</v>
      </c>
      <c r="L729" s="116">
        <v>15</v>
      </c>
      <c r="M729" s="133" t="str">
        <f t="shared" si="5"/>
        <v>none</v>
      </c>
      <c r="N729" s="116">
        <f>LEN(Tableau15[[#This Row],[LABEL]])</f>
        <v>24</v>
      </c>
      <c r="O729" s="116">
        <v>15</v>
      </c>
      <c r="P729" s="116" t="e">
        <f>ROUND(Tableau15[[#This Row],[LEN]]*#REF!+#REF!,0)</f>
        <v>#REF!</v>
      </c>
    </row>
    <row r="730" spans="1:16" s="97" customFormat="1" x14ac:dyDescent="0.25">
      <c r="A730" s="41" t="s">
        <v>1506</v>
      </c>
      <c r="B730" s="42" t="s">
        <v>288</v>
      </c>
      <c r="C730" s="43" t="s">
        <v>538</v>
      </c>
      <c r="D730" s="74" t="s">
        <v>1177</v>
      </c>
      <c r="E730" s="43" t="s">
        <v>684</v>
      </c>
      <c r="F730" s="43" t="s">
        <v>1177</v>
      </c>
      <c r="G730" s="74" t="s">
        <v>68</v>
      </c>
      <c r="H730" s="74" t="s">
        <v>655</v>
      </c>
      <c r="I730" s="43"/>
      <c r="J730" s="44" t="s">
        <v>708</v>
      </c>
      <c r="K730" s="115">
        <f>ROUND(Tableau15[[#This Row],[LEN]]*7.27,0)</f>
        <v>305</v>
      </c>
      <c r="L730" s="115">
        <v>15</v>
      </c>
      <c r="M730" s="132" t="str">
        <f t="shared" si="5"/>
        <v>none</v>
      </c>
      <c r="N730" s="115">
        <f>LEN(Tableau15[[#This Row],[LABEL]])</f>
        <v>42</v>
      </c>
      <c r="O730" s="115">
        <v>15</v>
      </c>
      <c r="P730" s="115" t="e">
        <f>ROUND(Tableau15[[#This Row],[LEN]]*#REF!+#REF!,0)</f>
        <v>#REF!</v>
      </c>
    </row>
    <row r="731" spans="1:16" s="97" customFormat="1" x14ac:dyDescent="0.25">
      <c r="A731" s="45" t="s">
        <v>1521</v>
      </c>
      <c r="B731" s="46" t="s">
        <v>1506</v>
      </c>
      <c r="C731" s="47" t="s">
        <v>123</v>
      </c>
      <c r="D731" s="75" t="s">
        <v>1177</v>
      </c>
      <c r="E731" s="47" t="s">
        <v>684</v>
      </c>
      <c r="F731" s="47" t="s">
        <v>1177</v>
      </c>
      <c r="G731" s="75" t="s">
        <v>68</v>
      </c>
      <c r="H731" s="75" t="s">
        <v>18</v>
      </c>
      <c r="I731" s="47"/>
      <c r="J731" s="48" t="s">
        <v>708</v>
      </c>
      <c r="K731" s="116">
        <f>ROUND(Tableau15[[#This Row],[LEN]]*7.27,0)</f>
        <v>182</v>
      </c>
      <c r="L731" s="116">
        <v>15</v>
      </c>
      <c r="M731" s="133" t="str">
        <f t="shared" si="5"/>
        <v>none</v>
      </c>
      <c r="N731" s="116">
        <f>LEN(Tableau15[[#This Row],[LABEL]])</f>
        <v>25</v>
      </c>
      <c r="O731" s="116">
        <v>15</v>
      </c>
      <c r="P731" s="116" t="e">
        <f>ROUND(Tableau15[[#This Row],[LEN]]*#REF!+#REF!,0)</f>
        <v>#REF!</v>
      </c>
    </row>
    <row r="732" spans="1:16" s="97" customFormat="1" x14ac:dyDescent="0.25">
      <c r="A732" s="45" t="s">
        <v>1522</v>
      </c>
      <c r="B732" s="46" t="s">
        <v>1506</v>
      </c>
      <c r="C732" s="47" t="s">
        <v>124</v>
      </c>
      <c r="D732" s="75" t="s">
        <v>1177</v>
      </c>
      <c r="E732" s="47" t="s">
        <v>684</v>
      </c>
      <c r="F732" s="47" t="s">
        <v>1177</v>
      </c>
      <c r="G732" s="75" t="s">
        <v>68</v>
      </c>
      <c r="H732" s="75" t="s">
        <v>18</v>
      </c>
      <c r="I732" s="47"/>
      <c r="J732" s="48" t="s">
        <v>708</v>
      </c>
      <c r="K732" s="116">
        <f>ROUND(Tableau15[[#This Row],[LEN]]*7.27,0)</f>
        <v>116</v>
      </c>
      <c r="L732" s="116">
        <v>15</v>
      </c>
      <c r="M732" s="133" t="str">
        <f t="shared" si="5"/>
        <v>none</v>
      </c>
      <c r="N732" s="116">
        <f>LEN(Tableau15[[#This Row],[LABEL]])</f>
        <v>16</v>
      </c>
      <c r="O732" s="116">
        <v>15</v>
      </c>
      <c r="P732" s="116" t="e">
        <f>ROUND(Tableau15[[#This Row],[LEN]]*#REF!+#REF!,0)</f>
        <v>#REF!</v>
      </c>
    </row>
    <row r="733" spans="1:16" s="97" customFormat="1" x14ac:dyDescent="0.25">
      <c r="A733" s="45" t="s">
        <v>1523</v>
      </c>
      <c r="B733" s="46" t="s">
        <v>1506</v>
      </c>
      <c r="C733" s="47" t="s">
        <v>125</v>
      </c>
      <c r="D733" s="75" t="s">
        <v>1177</v>
      </c>
      <c r="E733" s="47" t="s">
        <v>684</v>
      </c>
      <c r="F733" s="47" t="s">
        <v>1177</v>
      </c>
      <c r="G733" s="75" t="s">
        <v>68</v>
      </c>
      <c r="H733" s="75" t="s">
        <v>18</v>
      </c>
      <c r="I733" s="47"/>
      <c r="J733" s="48" t="s">
        <v>708</v>
      </c>
      <c r="K733" s="116">
        <f>ROUND(Tableau15[[#This Row],[LEN]]*7.27,0)</f>
        <v>116</v>
      </c>
      <c r="L733" s="116">
        <v>15</v>
      </c>
      <c r="M733" s="133" t="str">
        <f t="shared" si="5"/>
        <v>none</v>
      </c>
      <c r="N733" s="116">
        <f>LEN(Tableau15[[#This Row],[LABEL]])</f>
        <v>16</v>
      </c>
      <c r="O733" s="116">
        <v>15</v>
      </c>
      <c r="P733" s="116" t="e">
        <f>ROUND(Tableau15[[#This Row],[LEN]]*#REF!+#REF!,0)</f>
        <v>#REF!</v>
      </c>
    </row>
    <row r="734" spans="1:16" s="97" customFormat="1" x14ac:dyDescent="0.25">
      <c r="A734" s="45" t="s">
        <v>1524</v>
      </c>
      <c r="B734" s="46" t="s">
        <v>1506</v>
      </c>
      <c r="C734" s="47" t="s">
        <v>126</v>
      </c>
      <c r="D734" s="75" t="s">
        <v>1177</v>
      </c>
      <c r="E734" s="47" t="s">
        <v>684</v>
      </c>
      <c r="F734" s="47" t="s">
        <v>1177</v>
      </c>
      <c r="G734" s="75" t="s">
        <v>68</v>
      </c>
      <c r="H734" s="75" t="s">
        <v>18</v>
      </c>
      <c r="I734" s="47"/>
      <c r="J734" s="48" t="s">
        <v>708</v>
      </c>
      <c r="K734" s="116">
        <f>ROUND(Tableau15[[#This Row],[LEN]]*7.27,0)</f>
        <v>80</v>
      </c>
      <c r="L734" s="116">
        <v>15</v>
      </c>
      <c r="M734" s="133" t="str">
        <f t="shared" si="5"/>
        <v>none</v>
      </c>
      <c r="N734" s="116">
        <f>LEN(Tableau15[[#This Row],[LABEL]])</f>
        <v>11</v>
      </c>
      <c r="O734" s="116">
        <v>15</v>
      </c>
      <c r="P734" s="116" t="e">
        <f>ROUND(Tableau15[[#This Row],[LEN]]*#REF!+#REF!,0)</f>
        <v>#REF!</v>
      </c>
    </row>
    <row r="735" spans="1:16" s="97" customFormat="1" x14ac:dyDescent="0.25">
      <c r="A735" s="45" t="s">
        <v>1525</v>
      </c>
      <c r="B735" s="46" t="s">
        <v>1506</v>
      </c>
      <c r="C735" s="47" t="s">
        <v>127</v>
      </c>
      <c r="D735" s="75" t="s">
        <v>1177</v>
      </c>
      <c r="E735" s="47" t="s">
        <v>684</v>
      </c>
      <c r="F735" s="47" t="s">
        <v>1177</v>
      </c>
      <c r="G735" s="75" t="s">
        <v>68</v>
      </c>
      <c r="H735" s="75" t="s">
        <v>18</v>
      </c>
      <c r="I735" s="47"/>
      <c r="J735" s="48" t="s">
        <v>708</v>
      </c>
      <c r="K735" s="116">
        <f>ROUND(Tableau15[[#This Row],[LEN]]*7.27,0)</f>
        <v>95</v>
      </c>
      <c r="L735" s="116">
        <v>15</v>
      </c>
      <c r="M735" s="133" t="str">
        <f t="shared" si="5"/>
        <v>none</v>
      </c>
      <c r="N735" s="116">
        <f>LEN(Tableau15[[#This Row],[LABEL]])</f>
        <v>13</v>
      </c>
      <c r="O735" s="116">
        <v>15</v>
      </c>
      <c r="P735" s="116" t="e">
        <f>ROUND(Tableau15[[#This Row],[LEN]]*#REF!+#REF!,0)</f>
        <v>#REF!</v>
      </c>
    </row>
    <row r="736" spans="1:16" s="97" customFormat="1" x14ac:dyDescent="0.25">
      <c r="A736" s="45" t="s">
        <v>1526</v>
      </c>
      <c r="B736" s="46" t="s">
        <v>1506</v>
      </c>
      <c r="C736" s="47" t="s">
        <v>1527</v>
      </c>
      <c r="D736" s="75" t="s">
        <v>1177</v>
      </c>
      <c r="E736" s="47" t="s">
        <v>684</v>
      </c>
      <c r="F736" s="47" t="s">
        <v>1177</v>
      </c>
      <c r="G736" s="75" t="s">
        <v>68</v>
      </c>
      <c r="H736" s="75" t="s">
        <v>18</v>
      </c>
      <c r="I736" s="47"/>
      <c r="J736" s="48" t="s">
        <v>708</v>
      </c>
      <c r="K736" s="116">
        <f>ROUND(Tableau15[[#This Row],[LEN]]*7.27,0)</f>
        <v>233</v>
      </c>
      <c r="L736" s="116">
        <v>15</v>
      </c>
      <c r="M736" s="133" t="str">
        <f t="shared" si="5"/>
        <v>none</v>
      </c>
      <c r="N736" s="116">
        <f>LEN(Tableau15[[#This Row],[LABEL]])</f>
        <v>32</v>
      </c>
      <c r="O736" s="116">
        <v>15</v>
      </c>
      <c r="P736" s="116" t="e">
        <f>ROUND(Tableau15[[#This Row],[LEN]]*#REF!+#REF!,0)</f>
        <v>#REF!</v>
      </c>
    </row>
    <row r="737" spans="1:16" s="97" customFormat="1" x14ac:dyDescent="0.25">
      <c r="A737" s="41" t="s">
        <v>1507</v>
      </c>
      <c r="B737" s="42" t="s">
        <v>288</v>
      </c>
      <c r="C737" s="43" t="s">
        <v>1528</v>
      </c>
      <c r="D737" s="74" t="s">
        <v>1177</v>
      </c>
      <c r="E737" s="43" t="s">
        <v>667</v>
      </c>
      <c r="F737" s="43" t="s">
        <v>1084</v>
      </c>
      <c r="G737" s="74" t="s">
        <v>1977</v>
      </c>
      <c r="H737" s="74" t="s">
        <v>1131</v>
      </c>
      <c r="I737" s="43"/>
      <c r="J737" s="44" t="s">
        <v>708</v>
      </c>
      <c r="K737" s="115">
        <f>ROUND(Tableau15[[#This Row],[LEN]]*7.27,0)</f>
        <v>174</v>
      </c>
      <c r="L737" s="115">
        <v>15</v>
      </c>
      <c r="M737" s="132" t="str">
        <f t="shared" si="5"/>
        <v>none</v>
      </c>
      <c r="N737" s="115">
        <f>LEN(Tableau15[[#This Row],[LABEL]])</f>
        <v>24</v>
      </c>
      <c r="O737" s="115">
        <v>15</v>
      </c>
      <c r="P737" s="115" t="e">
        <f>ROUND(Tableau15[[#This Row],[LEN]]*#REF!+#REF!,0)</f>
        <v>#REF!</v>
      </c>
    </row>
    <row r="738" spans="1:16" s="97" customFormat="1" x14ac:dyDescent="0.25">
      <c r="A738" s="41" t="s">
        <v>1508</v>
      </c>
      <c r="B738" s="42" t="s">
        <v>288</v>
      </c>
      <c r="C738" s="43" t="s">
        <v>1529</v>
      </c>
      <c r="D738" s="74" t="s">
        <v>1177</v>
      </c>
      <c r="E738" s="43" t="s">
        <v>672</v>
      </c>
      <c r="F738" s="43" t="s">
        <v>666</v>
      </c>
      <c r="G738" s="74" t="s">
        <v>68</v>
      </c>
      <c r="H738" s="74" t="s">
        <v>656</v>
      </c>
      <c r="I738" s="43"/>
      <c r="J738" s="44" t="s">
        <v>708</v>
      </c>
      <c r="K738" s="115">
        <f>ROUND(Tableau15[[#This Row],[LEN]]*7.27,0)</f>
        <v>218</v>
      </c>
      <c r="L738" s="115">
        <v>15</v>
      </c>
      <c r="M738" s="132" t="str">
        <f t="shared" si="5"/>
        <v>none</v>
      </c>
      <c r="N738" s="115">
        <f>LEN(Tableau15[[#This Row],[LABEL]])</f>
        <v>30</v>
      </c>
      <c r="O738" s="115">
        <v>15</v>
      </c>
      <c r="P738" s="115" t="e">
        <f>ROUND(Tableau15[[#This Row],[LEN]]*#REF!+#REF!,0)</f>
        <v>#REF!</v>
      </c>
    </row>
    <row r="739" spans="1:16" s="273" customFormat="1" x14ac:dyDescent="0.25">
      <c r="A739" s="330" t="s">
        <v>289</v>
      </c>
      <c r="B739" s="331" t="s">
        <v>208</v>
      </c>
      <c r="C739" s="332" t="s">
        <v>80</v>
      </c>
      <c r="D739" s="333" t="s">
        <v>1177</v>
      </c>
      <c r="E739" s="332" t="s">
        <v>667</v>
      </c>
      <c r="F739" s="332" t="s">
        <v>1177</v>
      </c>
      <c r="G739" s="333" t="s">
        <v>68</v>
      </c>
      <c r="H739" s="333" t="str">
        <f>IFERROR(IF(SEARCH(".00.00.00.00.00",Tableau15[[#This Row],[name]],1)=7,"Division",""),"")</f>
        <v>Division</v>
      </c>
      <c r="I739" s="332"/>
      <c r="J739" s="334" t="s">
        <v>708</v>
      </c>
      <c r="K739" s="335">
        <f>ROUND(Tableau15[[#This Row],[LEN]]*7.27,0)</f>
        <v>116</v>
      </c>
      <c r="L739" s="335">
        <v>15</v>
      </c>
      <c r="M739" s="336" t="str">
        <f t="shared" si="5"/>
        <v>none</v>
      </c>
      <c r="N739" s="335">
        <f>LEN(Tableau15[[#This Row],[LABEL]])</f>
        <v>16</v>
      </c>
      <c r="O739" s="335">
        <v>15</v>
      </c>
      <c r="P739" s="335" t="e">
        <f>ROUND(Tableau15[[#This Row],[LEN]]*#REF!+#REF!,0)</f>
        <v>#REF!</v>
      </c>
    </row>
    <row r="740" spans="1:16" s="97" customFormat="1" x14ac:dyDescent="0.25">
      <c r="A740" s="41" t="s">
        <v>1531</v>
      </c>
      <c r="B740" s="42" t="s">
        <v>289</v>
      </c>
      <c r="C740" s="43" t="s">
        <v>738</v>
      </c>
      <c r="D740" s="74" t="s">
        <v>1177</v>
      </c>
      <c r="E740" s="43" t="s">
        <v>662</v>
      </c>
      <c r="F740" s="43" t="s">
        <v>2085</v>
      </c>
      <c r="G740" s="74" t="s">
        <v>68</v>
      </c>
      <c r="H740" s="74" t="s">
        <v>56</v>
      </c>
      <c r="I740" s="43"/>
      <c r="J740" s="44" t="s">
        <v>708</v>
      </c>
      <c r="K740" s="115">
        <f>ROUND(Tableau15[[#This Row],[LEN]]*7.27,0)</f>
        <v>247</v>
      </c>
      <c r="L740" s="115">
        <v>15</v>
      </c>
      <c r="M740" s="132" t="str">
        <f t="shared" si="5"/>
        <v>none</v>
      </c>
      <c r="N740" s="115">
        <f>LEN(Tableau15[[#This Row],[LABEL]])</f>
        <v>34</v>
      </c>
      <c r="O740" s="115">
        <v>15</v>
      </c>
      <c r="P740" s="115" t="e">
        <f>ROUND(Tableau15[[#This Row],[LEN]]*#REF!+#REF!,0)</f>
        <v>#REF!</v>
      </c>
    </row>
    <row r="741" spans="1:16" s="97" customFormat="1" x14ac:dyDescent="0.25">
      <c r="A741" s="41" t="s">
        <v>1532</v>
      </c>
      <c r="B741" s="42" t="s">
        <v>289</v>
      </c>
      <c r="C741" s="43" t="s">
        <v>849</v>
      </c>
      <c r="D741" s="74" t="s">
        <v>1177</v>
      </c>
      <c r="E741" s="43" t="s">
        <v>667</v>
      </c>
      <c r="F741" s="43" t="s">
        <v>840</v>
      </c>
      <c r="G741" s="74" t="s">
        <v>68</v>
      </c>
      <c r="H741" s="74" t="s">
        <v>655</v>
      </c>
      <c r="I741" s="43"/>
      <c r="J741" s="44" t="s">
        <v>708</v>
      </c>
      <c r="K741" s="115">
        <f>ROUND(Tableau15[[#This Row],[LEN]]*7.27,0)</f>
        <v>80</v>
      </c>
      <c r="L741" s="115">
        <v>15</v>
      </c>
      <c r="M741" s="132" t="str">
        <f t="shared" si="5"/>
        <v>none</v>
      </c>
      <c r="N741" s="115">
        <f>LEN(Tableau15[[#This Row],[LABEL]])</f>
        <v>11</v>
      </c>
      <c r="O741" s="115">
        <v>15</v>
      </c>
      <c r="P741" s="115" t="e">
        <f>ROUND(Tableau15[[#This Row],[LEN]]*#REF!+#REF!,0)</f>
        <v>#REF!</v>
      </c>
    </row>
    <row r="742" spans="1:16" s="97" customFormat="1" x14ac:dyDescent="0.25">
      <c r="A742" s="45" t="s">
        <v>1536</v>
      </c>
      <c r="B742" s="46" t="s">
        <v>1532</v>
      </c>
      <c r="C742" s="47" t="s">
        <v>112</v>
      </c>
      <c r="D742" s="75" t="s">
        <v>1177</v>
      </c>
      <c r="E742" s="47" t="s">
        <v>667</v>
      </c>
      <c r="F742" s="47" t="s">
        <v>2006</v>
      </c>
      <c r="G742" s="75" t="s">
        <v>68</v>
      </c>
      <c r="H742" s="75" t="s">
        <v>654</v>
      </c>
      <c r="I742" s="47"/>
      <c r="J742" s="48" t="s">
        <v>708</v>
      </c>
      <c r="K742" s="116">
        <f>ROUND(Tableau15[[#This Row],[LEN]]*7.27,0)</f>
        <v>167</v>
      </c>
      <c r="L742" s="116">
        <v>15</v>
      </c>
      <c r="M742" s="133" t="str">
        <f t="shared" si="5"/>
        <v>none</v>
      </c>
      <c r="N742" s="116">
        <f>LEN(Tableau15[[#This Row],[LABEL]])</f>
        <v>23</v>
      </c>
      <c r="O742" s="116">
        <v>15</v>
      </c>
      <c r="P742" s="116" t="e">
        <f>ROUND(Tableau15[[#This Row],[LEN]]*#REF!+#REF!,0)</f>
        <v>#REF!</v>
      </c>
    </row>
    <row r="743" spans="1:16" s="97" customFormat="1" x14ac:dyDescent="0.25">
      <c r="A743" s="45" t="s">
        <v>1537</v>
      </c>
      <c r="B743" s="46" t="s">
        <v>1532</v>
      </c>
      <c r="C743" s="47" t="s">
        <v>113</v>
      </c>
      <c r="D743" s="75" t="s">
        <v>1177</v>
      </c>
      <c r="E743" s="47" t="s">
        <v>667</v>
      </c>
      <c r="F743" s="47" t="s">
        <v>2006</v>
      </c>
      <c r="G743" s="75" t="s">
        <v>68</v>
      </c>
      <c r="H743" s="75" t="s">
        <v>654</v>
      </c>
      <c r="I743" s="47"/>
      <c r="J743" s="48" t="s">
        <v>708</v>
      </c>
      <c r="K743" s="116">
        <f>ROUND(Tableau15[[#This Row],[LEN]]*7.27,0)</f>
        <v>233</v>
      </c>
      <c r="L743" s="116">
        <v>15</v>
      </c>
      <c r="M743" s="133" t="str">
        <f t="shared" si="5"/>
        <v>none</v>
      </c>
      <c r="N743" s="116">
        <f>LEN(Tableau15[[#This Row],[LABEL]])</f>
        <v>32</v>
      </c>
      <c r="O743" s="116">
        <v>15</v>
      </c>
      <c r="P743" s="116" t="e">
        <f>ROUND(Tableau15[[#This Row],[LEN]]*#REF!+#REF!,0)</f>
        <v>#REF!</v>
      </c>
    </row>
    <row r="744" spans="1:16" s="97" customFormat="1" x14ac:dyDescent="0.25">
      <c r="A744" s="41" t="s">
        <v>1533</v>
      </c>
      <c r="B744" s="42" t="s">
        <v>289</v>
      </c>
      <c r="C744" s="43" t="s">
        <v>122</v>
      </c>
      <c r="D744" s="74" t="s">
        <v>1514</v>
      </c>
      <c r="E744" s="43" t="s">
        <v>667</v>
      </c>
      <c r="F744" s="43" t="s">
        <v>2084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ROUND(Tableau15[[#This Row],[LEN]]*7.27,0)</f>
        <v>145</v>
      </c>
      <c r="L744" s="115">
        <v>15</v>
      </c>
      <c r="M744" s="132" t="str">
        <f t="shared" si="5"/>
        <v>none</v>
      </c>
      <c r="N744" s="115">
        <f>LEN(Tableau15[[#This Row],[LABEL]])</f>
        <v>20</v>
      </c>
      <c r="O744" s="115">
        <v>15</v>
      </c>
      <c r="P744" s="115" t="e">
        <f>ROUND(Tableau15[[#This Row],[LEN]]*#REF!+#REF!,0)</f>
        <v>#REF!</v>
      </c>
    </row>
    <row r="745" spans="1:16" s="97" customFormat="1" x14ac:dyDescent="0.25">
      <c r="A745" s="41" t="s">
        <v>1534</v>
      </c>
      <c r="B745" s="42" t="s">
        <v>289</v>
      </c>
      <c r="C745" s="43" t="s">
        <v>1538</v>
      </c>
      <c r="D745" s="74" t="s">
        <v>1539</v>
      </c>
      <c r="E745" s="43" t="s">
        <v>1177</v>
      </c>
      <c r="F745" s="43" t="s">
        <v>1084</v>
      </c>
      <c r="G745" s="74" t="s">
        <v>1977</v>
      </c>
      <c r="H745" s="74" t="s">
        <v>1131</v>
      </c>
      <c r="I745" s="43"/>
      <c r="J745" s="44" t="s">
        <v>708</v>
      </c>
      <c r="K745" s="115">
        <f>ROUND(Tableau15[[#This Row],[LEN]]*7.27,0)</f>
        <v>240</v>
      </c>
      <c r="L745" s="115">
        <v>15</v>
      </c>
      <c r="M745" s="132" t="str">
        <f t="shared" si="5"/>
        <v>none</v>
      </c>
      <c r="N745" s="115">
        <f>LEN(Tableau15[[#This Row],[LABEL]])</f>
        <v>33</v>
      </c>
      <c r="O745" s="115">
        <v>15</v>
      </c>
      <c r="P745" s="115" t="e">
        <f>ROUND(Tableau15[[#This Row],[LEN]]*#REF!+#REF!,0)</f>
        <v>#REF!</v>
      </c>
    </row>
    <row r="746" spans="1:16" s="97" customFormat="1" x14ac:dyDescent="0.25">
      <c r="A746" s="41" t="s">
        <v>1535</v>
      </c>
      <c r="B746" s="42" t="s">
        <v>289</v>
      </c>
      <c r="C746" s="43" t="s">
        <v>1540</v>
      </c>
      <c r="D746" s="74" t="s">
        <v>1177</v>
      </c>
      <c r="E746" s="43" t="s">
        <v>667</v>
      </c>
      <c r="F746" s="43" t="s">
        <v>684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ROUND(Tableau15[[#This Row],[LEN]]*7.27,0)</f>
        <v>407</v>
      </c>
      <c r="L746" s="115">
        <v>15</v>
      </c>
      <c r="M746" s="132" t="str">
        <f t="shared" si="5"/>
        <v>none</v>
      </c>
      <c r="N746" s="115">
        <f>LEN(Tableau15[[#This Row],[LABEL]])</f>
        <v>56</v>
      </c>
      <c r="O746" s="115">
        <v>15</v>
      </c>
      <c r="P746" s="115" t="e">
        <f>ROUND(Tableau15[[#This Row],[LEN]]*#REF!+#REF!,0)</f>
        <v>#REF!</v>
      </c>
    </row>
    <row r="747" spans="1:16" s="273" customFormat="1" x14ac:dyDescent="0.25">
      <c r="A747" s="330" t="s">
        <v>290</v>
      </c>
      <c r="B747" s="331" t="s">
        <v>208</v>
      </c>
      <c r="C747" s="332" t="s">
        <v>5</v>
      </c>
      <c r="D747" s="333" t="s">
        <v>1177</v>
      </c>
      <c r="E747" s="332" t="s">
        <v>668</v>
      </c>
      <c r="F747" s="332" t="s">
        <v>1177</v>
      </c>
      <c r="G747" s="333" t="s">
        <v>68</v>
      </c>
      <c r="H747" s="333" t="str">
        <f>IFERROR(IF(SEARCH(".00.00.00.00.00",Tableau15[[#This Row],[name]],1)=7,"Division",""),"")</f>
        <v>Division</v>
      </c>
      <c r="I747" s="332"/>
      <c r="J747" s="334" t="s">
        <v>708</v>
      </c>
      <c r="K747" s="335">
        <f>ROUND(Tableau15[[#This Row],[LEN]]*7.27,0)</f>
        <v>73</v>
      </c>
      <c r="L747" s="335">
        <v>15</v>
      </c>
      <c r="M747" s="336" t="str">
        <f t="shared" si="5"/>
        <v>none</v>
      </c>
      <c r="N747" s="335">
        <f>LEN(Tableau15[[#This Row],[LABEL]])</f>
        <v>10</v>
      </c>
      <c r="O747" s="335">
        <v>15</v>
      </c>
      <c r="P747" s="335" t="e">
        <f>ROUND(Tableau15[[#This Row],[LEN]]*#REF!+#REF!,0)</f>
        <v>#REF!</v>
      </c>
    </row>
    <row r="748" spans="1:16" s="97" customFormat="1" x14ac:dyDescent="0.25">
      <c r="A748" s="41" t="s">
        <v>1541</v>
      </c>
      <c r="B748" s="42" t="s">
        <v>290</v>
      </c>
      <c r="C748" s="43" t="s">
        <v>738</v>
      </c>
      <c r="D748" s="74" t="s">
        <v>1177</v>
      </c>
      <c r="E748" s="43" t="s">
        <v>662</v>
      </c>
      <c r="F748" s="43" t="s">
        <v>2085</v>
      </c>
      <c r="G748" s="74" t="s">
        <v>68</v>
      </c>
      <c r="H748" s="74" t="s">
        <v>56</v>
      </c>
      <c r="I748" s="43"/>
      <c r="J748" s="44" t="s">
        <v>708</v>
      </c>
      <c r="K748" s="115">
        <f>ROUND(Tableau15[[#This Row],[LEN]]*7.27,0)</f>
        <v>247</v>
      </c>
      <c r="L748" s="115">
        <v>15</v>
      </c>
      <c r="M748" s="132" t="str">
        <f t="shared" si="5"/>
        <v>none</v>
      </c>
      <c r="N748" s="115">
        <f>LEN(Tableau15[[#This Row],[LABEL]])</f>
        <v>34</v>
      </c>
      <c r="O748" s="115">
        <v>15</v>
      </c>
      <c r="P748" s="115" t="e">
        <f>ROUND(Tableau15[[#This Row],[LEN]]*#REF!+#REF!,0)</f>
        <v>#REF!</v>
      </c>
    </row>
    <row r="749" spans="1:16" s="97" customFormat="1" x14ac:dyDescent="0.25">
      <c r="A749" s="41" t="s">
        <v>1542</v>
      </c>
      <c r="B749" s="42" t="s">
        <v>290</v>
      </c>
      <c r="C749" s="43" t="s">
        <v>122</v>
      </c>
      <c r="D749" s="74" t="s">
        <v>1514</v>
      </c>
      <c r="E749" s="43" t="s">
        <v>667</v>
      </c>
      <c r="F749" s="43" t="s">
        <v>2084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ROUND(Tableau15[[#This Row],[LEN]]*7.27,0)</f>
        <v>145</v>
      </c>
      <c r="L749" s="115">
        <v>15</v>
      </c>
      <c r="M749" s="132" t="str">
        <f t="shared" si="5"/>
        <v>none</v>
      </c>
      <c r="N749" s="115">
        <f>LEN(Tableau15[[#This Row],[LABEL]])</f>
        <v>20</v>
      </c>
      <c r="O749" s="115">
        <v>15</v>
      </c>
      <c r="P749" s="115" t="e">
        <f>ROUND(Tableau15[[#This Row],[LEN]]*#REF!+#REF!,0)</f>
        <v>#REF!</v>
      </c>
    </row>
    <row r="750" spans="1:16" s="273" customFormat="1" x14ac:dyDescent="0.25">
      <c r="A750" s="330" t="s">
        <v>291</v>
      </c>
      <c r="B750" s="331" t="s">
        <v>208</v>
      </c>
      <c r="C750" s="332" t="s">
        <v>6</v>
      </c>
      <c r="D750" s="333" t="s">
        <v>1177</v>
      </c>
      <c r="E750" s="332" t="s">
        <v>669</v>
      </c>
      <c r="F750" s="332" t="s">
        <v>1177</v>
      </c>
      <c r="G750" s="333" t="s">
        <v>68</v>
      </c>
      <c r="H750" s="333" t="str">
        <f>IFERROR(IF(SEARCH(".00.00.00.00.00",Tableau15[[#This Row],[name]],1)=7,"Division",""),"")</f>
        <v>Division</v>
      </c>
      <c r="I750" s="332"/>
      <c r="J750" s="334" t="s">
        <v>708</v>
      </c>
      <c r="K750" s="335">
        <f>ROUND(Tableau15[[#This Row],[LEN]]*7.27,0)</f>
        <v>196</v>
      </c>
      <c r="L750" s="335">
        <v>15</v>
      </c>
      <c r="M750" s="336" t="str">
        <f t="shared" si="5"/>
        <v>none</v>
      </c>
      <c r="N750" s="335">
        <f>LEN(Tableau15[[#This Row],[LABEL]])</f>
        <v>27</v>
      </c>
      <c r="O750" s="335">
        <v>15</v>
      </c>
      <c r="P750" s="335" t="e">
        <f>ROUND(Tableau15[[#This Row],[LEN]]*#REF!+#REF!,0)</f>
        <v>#REF!</v>
      </c>
    </row>
    <row r="751" spans="1:16" s="97" customFormat="1" x14ac:dyDescent="0.25">
      <c r="A751" s="41" t="s">
        <v>449</v>
      </c>
      <c r="B751" s="42" t="s">
        <v>291</v>
      </c>
      <c r="C751" s="43" t="s">
        <v>164</v>
      </c>
      <c r="D751" s="74" t="s">
        <v>1177</v>
      </c>
      <c r="E751" s="43" t="s">
        <v>669</v>
      </c>
      <c r="F751" s="43" t="s">
        <v>1177</v>
      </c>
      <c r="G751" s="74" t="s">
        <v>68</v>
      </c>
      <c r="H751" s="74" t="s">
        <v>18</v>
      </c>
      <c r="I751" s="43"/>
      <c r="J751" s="44" t="s">
        <v>708</v>
      </c>
      <c r="K751" s="115">
        <f>ROUND(Tableau15[[#This Row],[LEN]]*7.27,0)</f>
        <v>131</v>
      </c>
      <c r="L751" s="115">
        <v>15</v>
      </c>
      <c r="M751" s="132" t="str">
        <f t="shared" si="5"/>
        <v>none</v>
      </c>
      <c r="N751" s="115">
        <f>LEN(Tableau15[[#This Row],[LABEL]])</f>
        <v>18</v>
      </c>
      <c r="O751" s="115">
        <v>15</v>
      </c>
      <c r="P751" s="115" t="e">
        <f>ROUND(Tableau15[[#This Row],[LEN]]*#REF!+#REF!,0)</f>
        <v>#REF!</v>
      </c>
    </row>
    <row r="752" spans="1:16" s="97" customFormat="1" x14ac:dyDescent="0.25">
      <c r="A752" s="41" t="s">
        <v>450</v>
      </c>
      <c r="B752" s="42" t="s">
        <v>291</v>
      </c>
      <c r="C752" s="43" t="s">
        <v>849</v>
      </c>
      <c r="D752" s="74" t="s">
        <v>1177</v>
      </c>
      <c r="E752" s="43" t="s">
        <v>667</v>
      </c>
      <c r="F752" s="43" t="s">
        <v>840</v>
      </c>
      <c r="G752" s="74" t="s">
        <v>68</v>
      </c>
      <c r="H752" s="74" t="s">
        <v>655</v>
      </c>
      <c r="I752" s="43"/>
      <c r="J752" s="44" t="s">
        <v>708</v>
      </c>
      <c r="K752" s="115">
        <f>ROUND(Tableau15[[#This Row],[LEN]]*7.27,0)</f>
        <v>80</v>
      </c>
      <c r="L752" s="115">
        <v>15</v>
      </c>
      <c r="M752" s="132" t="str">
        <f t="shared" si="5"/>
        <v>none</v>
      </c>
      <c r="N752" s="115">
        <f>LEN(Tableau15[[#This Row],[LABEL]])</f>
        <v>11</v>
      </c>
      <c r="O752" s="115">
        <v>15</v>
      </c>
      <c r="P752" s="115" t="e">
        <f>ROUND(Tableau15[[#This Row],[LEN]]*#REF!+#REF!,0)</f>
        <v>#REF!</v>
      </c>
    </row>
    <row r="753" spans="1:16" s="97" customFormat="1" x14ac:dyDescent="0.25">
      <c r="A753" s="45" t="s">
        <v>468</v>
      </c>
      <c r="B753" s="46" t="s">
        <v>450</v>
      </c>
      <c r="C753" s="47" t="s">
        <v>112</v>
      </c>
      <c r="D753" s="75" t="s">
        <v>1177</v>
      </c>
      <c r="E753" s="47" t="s">
        <v>667</v>
      </c>
      <c r="F753" s="47" t="s">
        <v>2006</v>
      </c>
      <c r="G753" s="75" t="s">
        <v>68</v>
      </c>
      <c r="H753" s="75" t="s">
        <v>654</v>
      </c>
      <c r="I753" s="47"/>
      <c r="J753" s="48" t="s">
        <v>708</v>
      </c>
      <c r="K753" s="116">
        <f>ROUND(Tableau15[[#This Row],[LEN]]*7.27,0)</f>
        <v>167</v>
      </c>
      <c r="L753" s="116">
        <v>15</v>
      </c>
      <c r="M753" s="133" t="str">
        <f t="shared" si="5"/>
        <v>none</v>
      </c>
      <c r="N753" s="116">
        <f>LEN(Tableau15[[#This Row],[LABEL]])</f>
        <v>23</v>
      </c>
      <c r="O753" s="116">
        <v>15</v>
      </c>
      <c r="P753" s="116" t="e">
        <f>ROUND(Tableau15[[#This Row],[LEN]]*#REF!+#REF!,0)</f>
        <v>#REF!</v>
      </c>
    </row>
    <row r="754" spans="1:16" s="97" customFormat="1" x14ac:dyDescent="0.25">
      <c r="A754" s="45" t="s">
        <v>469</v>
      </c>
      <c r="B754" s="46" t="s">
        <v>450</v>
      </c>
      <c r="C754" s="47" t="s">
        <v>113</v>
      </c>
      <c r="D754" s="75" t="s">
        <v>1177</v>
      </c>
      <c r="E754" s="47" t="s">
        <v>667</v>
      </c>
      <c r="F754" s="47" t="s">
        <v>2006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ROUND(Tableau15[[#This Row],[LEN]]*7.27,0)</f>
        <v>233</v>
      </c>
      <c r="L754" s="116">
        <v>15</v>
      </c>
      <c r="M754" s="133" t="str">
        <f t="shared" si="5"/>
        <v>none</v>
      </c>
      <c r="N754" s="116">
        <f>LEN(Tableau15[[#This Row],[LABEL]])</f>
        <v>32</v>
      </c>
      <c r="O754" s="116">
        <v>15</v>
      </c>
      <c r="P754" s="116" t="e">
        <f>ROUND(Tableau15[[#This Row],[LEN]]*#REF!+#REF!,0)</f>
        <v>#REF!</v>
      </c>
    </row>
    <row r="755" spans="1:16" s="97" customFormat="1" x14ac:dyDescent="0.25">
      <c r="A755" s="41" t="s">
        <v>451</v>
      </c>
      <c r="B755" s="42" t="s">
        <v>291</v>
      </c>
      <c r="C755" s="43" t="s">
        <v>122</v>
      </c>
      <c r="D755" s="74" t="s">
        <v>1514</v>
      </c>
      <c r="E755" s="43" t="s">
        <v>667</v>
      </c>
      <c r="F755" s="43" t="s">
        <v>2084</v>
      </c>
      <c r="G755" s="74" t="s">
        <v>68</v>
      </c>
      <c r="H755" s="74" t="s">
        <v>656</v>
      </c>
      <c r="I755" s="43"/>
      <c r="J755" s="44" t="s">
        <v>708</v>
      </c>
      <c r="K755" s="115">
        <f>ROUND(Tableau15[[#This Row],[LEN]]*7.27,0)</f>
        <v>145</v>
      </c>
      <c r="L755" s="115">
        <v>15</v>
      </c>
      <c r="M755" s="132" t="str">
        <f t="shared" si="5"/>
        <v>none</v>
      </c>
      <c r="N755" s="115">
        <f>LEN(Tableau15[[#This Row],[LABEL]])</f>
        <v>20</v>
      </c>
      <c r="O755" s="115">
        <v>15</v>
      </c>
      <c r="P755" s="115" t="e">
        <f>ROUND(Tableau15[[#This Row],[LEN]]*#REF!+#REF!,0)</f>
        <v>#REF!</v>
      </c>
    </row>
    <row r="756" spans="1:16" s="97" customFormat="1" x14ac:dyDescent="0.25">
      <c r="A756" s="41" t="s">
        <v>452</v>
      </c>
      <c r="B756" s="42" t="s">
        <v>291</v>
      </c>
      <c r="C756" s="43" t="s">
        <v>165</v>
      </c>
      <c r="D756" s="74" t="s">
        <v>1177</v>
      </c>
      <c r="E756" s="43" t="s">
        <v>669</v>
      </c>
      <c r="F756" s="43" t="s">
        <v>1177</v>
      </c>
      <c r="G756" s="74" t="s">
        <v>68</v>
      </c>
      <c r="H756" s="74" t="s">
        <v>656</v>
      </c>
      <c r="I756" s="43"/>
      <c r="J756" s="44" t="s">
        <v>708</v>
      </c>
      <c r="K756" s="115">
        <f>ROUND(Tableau15[[#This Row],[LEN]]*7.27,0)</f>
        <v>189</v>
      </c>
      <c r="L756" s="115">
        <v>15</v>
      </c>
      <c r="M756" s="132" t="str">
        <f t="shared" si="5"/>
        <v>none</v>
      </c>
      <c r="N756" s="115">
        <f>LEN(Tableau15[[#This Row],[LABEL]])</f>
        <v>26</v>
      </c>
      <c r="O756" s="115">
        <v>15</v>
      </c>
      <c r="P756" s="115" t="e">
        <f>ROUND(Tableau15[[#This Row],[LEN]]*#REF!+#REF!,0)</f>
        <v>#REF!</v>
      </c>
    </row>
    <row r="757" spans="1:16" s="97" customFormat="1" x14ac:dyDescent="0.25">
      <c r="A757" s="41" t="s">
        <v>1619</v>
      </c>
      <c r="B757" s="42" t="s">
        <v>291</v>
      </c>
      <c r="C757" s="43" t="s">
        <v>1618</v>
      </c>
      <c r="D757" s="74" t="s">
        <v>1177</v>
      </c>
      <c r="E757" s="43" t="s">
        <v>669</v>
      </c>
      <c r="F757" s="43" t="s">
        <v>678</v>
      </c>
      <c r="G757" s="74" t="s">
        <v>68</v>
      </c>
      <c r="H757" s="74" t="s">
        <v>656</v>
      </c>
      <c r="I757" s="43"/>
      <c r="J757" s="44" t="s">
        <v>708</v>
      </c>
      <c r="K757" s="115">
        <f>ROUND(Tableau15[[#This Row],[LEN]]*7.27,0)</f>
        <v>225</v>
      </c>
      <c r="L757" s="115">
        <v>15</v>
      </c>
      <c r="M757" s="132" t="str">
        <f t="shared" si="5"/>
        <v>none</v>
      </c>
      <c r="N757" s="115">
        <f>LEN(Tableau15[[#This Row],[LABEL]])</f>
        <v>31</v>
      </c>
      <c r="O757" s="115">
        <v>15</v>
      </c>
      <c r="P757" s="115" t="e">
        <f>ROUND(Tableau15[[#This Row],[LEN]]*#REF!+#REF!,0)</f>
        <v>#REF!</v>
      </c>
    </row>
    <row r="758" spans="1:16" s="273" customFormat="1" x14ac:dyDescent="0.25">
      <c r="A758" s="330" t="s">
        <v>292</v>
      </c>
      <c r="B758" s="331" t="s">
        <v>208</v>
      </c>
      <c r="C758" s="332" t="s">
        <v>7</v>
      </c>
      <c r="D758" s="333" t="s">
        <v>1177</v>
      </c>
      <c r="E758" s="332" t="s">
        <v>670</v>
      </c>
      <c r="F758" s="332" t="s">
        <v>1177</v>
      </c>
      <c r="G758" s="333" t="s">
        <v>68</v>
      </c>
      <c r="H758" s="333" t="str">
        <f>IFERROR(IF(SEARCH(".00.00.00.00.00",Tableau15[[#This Row],[name]],1)=7,"Division",""),"")</f>
        <v>Division</v>
      </c>
      <c r="I758" s="332"/>
      <c r="J758" s="334" t="s">
        <v>708</v>
      </c>
      <c r="K758" s="335">
        <f>ROUND(Tableau15[[#This Row],[LEN]]*7.27,0)</f>
        <v>189</v>
      </c>
      <c r="L758" s="335">
        <v>15</v>
      </c>
      <c r="M758" s="336" t="str">
        <f t="shared" si="5"/>
        <v>none</v>
      </c>
      <c r="N758" s="335">
        <f>LEN(Tableau15[[#This Row],[LABEL]])</f>
        <v>26</v>
      </c>
      <c r="O758" s="335">
        <v>15</v>
      </c>
      <c r="P758" s="335" t="e">
        <f>ROUND(Tableau15[[#This Row],[LEN]]*#REF!+#REF!,0)</f>
        <v>#REF!</v>
      </c>
    </row>
    <row r="759" spans="1:16" s="97" customFormat="1" x14ac:dyDescent="0.25">
      <c r="A759" s="41" t="s">
        <v>1544</v>
      </c>
      <c r="B759" s="42" t="s">
        <v>292</v>
      </c>
      <c r="C759" s="43" t="s">
        <v>1547</v>
      </c>
      <c r="D759" s="74" t="s">
        <v>1177</v>
      </c>
      <c r="E759" s="43" t="s">
        <v>670</v>
      </c>
      <c r="F759" s="43" t="s">
        <v>1177</v>
      </c>
      <c r="G759" s="74" t="s">
        <v>68</v>
      </c>
      <c r="H759" s="74" t="s">
        <v>656</v>
      </c>
      <c r="I759" s="43"/>
      <c r="J759" s="44" t="s">
        <v>708</v>
      </c>
      <c r="K759" s="115">
        <f>ROUND(Tableau15[[#This Row],[LEN]]*7.27,0)</f>
        <v>436</v>
      </c>
      <c r="L759" s="115">
        <v>13</v>
      </c>
      <c r="M759" s="132" t="str">
        <f t="shared" si="5"/>
        <v>none</v>
      </c>
      <c r="N759" s="115">
        <f>LEN(Tableau15[[#This Row],[LABEL]])</f>
        <v>60</v>
      </c>
      <c r="O759" s="115">
        <v>13</v>
      </c>
      <c r="P759" s="115" t="e">
        <f>ROUND(Tableau15[[#This Row],[LEN]]*#REF!+#REF!,0)</f>
        <v>#REF!</v>
      </c>
    </row>
    <row r="760" spans="1:16" s="97" customFormat="1" x14ac:dyDescent="0.25">
      <c r="A760" s="41" t="s">
        <v>1545</v>
      </c>
      <c r="B760" s="42" t="s">
        <v>292</v>
      </c>
      <c r="C760" s="43" t="s">
        <v>1548</v>
      </c>
      <c r="D760" s="74" t="s">
        <v>1177</v>
      </c>
      <c r="E760" s="43" t="s">
        <v>670</v>
      </c>
      <c r="F760" s="43" t="s">
        <v>1177</v>
      </c>
      <c r="G760" s="74" t="s">
        <v>68</v>
      </c>
      <c r="H760" s="74" t="s">
        <v>656</v>
      </c>
      <c r="I760" s="43"/>
      <c r="J760" s="44" t="s">
        <v>708</v>
      </c>
      <c r="K760" s="115">
        <f>ROUND(Tableau15[[#This Row],[LEN]]*7.27,0)</f>
        <v>414</v>
      </c>
      <c r="L760" s="115">
        <v>14</v>
      </c>
      <c r="M760" s="132" t="str">
        <f t="shared" si="5"/>
        <v>none</v>
      </c>
      <c r="N760" s="115">
        <f>LEN(Tableau15[[#This Row],[LABEL]])</f>
        <v>57</v>
      </c>
      <c r="O760" s="115">
        <v>14</v>
      </c>
      <c r="P760" s="115" t="e">
        <f>ROUND(Tableau15[[#This Row],[LEN]]*#REF!+#REF!,0)</f>
        <v>#REF!</v>
      </c>
    </row>
    <row r="761" spans="1:16" s="97" customFormat="1" x14ac:dyDescent="0.25">
      <c r="A761" s="41" t="s">
        <v>1546</v>
      </c>
      <c r="B761" s="42" t="s">
        <v>292</v>
      </c>
      <c r="C761" s="43" t="s">
        <v>122</v>
      </c>
      <c r="D761" s="74" t="s">
        <v>1514</v>
      </c>
      <c r="E761" s="43" t="s">
        <v>667</v>
      </c>
      <c r="F761" s="43" t="s">
        <v>2084</v>
      </c>
      <c r="G761" s="74" t="s">
        <v>68</v>
      </c>
      <c r="H761" s="74" t="s">
        <v>656</v>
      </c>
      <c r="I761" s="43"/>
      <c r="J761" s="44" t="s">
        <v>708</v>
      </c>
      <c r="K761" s="115">
        <f>ROUND(Tableau15[[#This Row],[LEN]]*7.27,0)</f>
        <v>145</v>
      </c>
      <c r="L761" s="115">
        <v>15</v>
      </c>
      <c r="M761" s="132" t="str">
        <f t="shared" si="5"/>
        <v>none</v>
      </c>
      <c r="N761" s="115">
        <f>LEN(Tableau15[[#This Row],[LABEL]])</f>
        <v>20</v>
      </c>
      <c r="O761" s="115">
        <v>15</v>
      </c>
      <c r="P761" s="115" t="e">
        <f>ROUND(Tableau15[[#This Row],[LEN]]*#REF!+#REF!,0)</f>
        <v>#REF!</v>
      </c>
    </row>
    <row r="762" spans="1:16" s="273" customFormat="1" x14ac:dyDescent="0.25">
      <c r="A762" s="330" t="s">
        <v>293</v>
      </c>
      <c r="B762" s="331" t="s">
        <v>208</v>
      </c>
      <c r="C762" s="332" t="s">
        <v>8</v>
      </c>
      <c r="D762" s="333" t="s">
        <v>1177</v>
      </c>
      <c r="E762" s="332" t="s">
        <v>671</v>
      </c>
      <c r="F762" s="332" t="s">
        <v>1177</v>
      </c>
      <c r="G762" s="333" t="s">
        <v>68</v>
      </c>
      <c r="H762" s="333" t="str">
        <f>IFERROR(IF(SEARCH(".00.00.00.00.00",Tableau15[[#This Row],[name]],1)=7,"Division",""),"")</f>
        <v>Division</v>
      </c>
      <c r="I762" s="332"/>
      <c r="J762" s="334" t="s">
        <v>708</v>
      </c>
      <c r="K762" s="335">
        <f>ROUND(Tableau15[[#This Row],[LEN]]*7.27,0)</f>
        <v>116</v>
      </c>
      <c r="L762" s="335">
        <v>15</v>
      </c>
      <c r="M762" s="336" t="str">
        <f t="shared" si="5"/>
        <v>none</v>
      </c>
      <c r="N762" s="335">
        <f>LEN(Tableau15[[#This Row],[LABEL]])</f>
        <v>16</v>
      </c>
      <c r="O762" s="335">
        <v>15</v>
      </c>
      <c r="P762" s="335" t="e">
        <f>ROUND(Tableau15[[#This Row],[LEN]]*#REF!+#REF!,0)</f>
        <v>#REF!</v>
      </c>
    </row>
    <row r="763" spans="1:16" s="97" customFormat="1" x14ac:dyDescent="0.25">
      <c r="A763" s="41" t="s">
        <v>1549</v>
      </c>
      <c r="B763" s="42" t="s">
        <v>293</v>
      </c>
      <c r="C763" s="43" t="s">
        <v>1552</v>
      </c>
      <c r="D763" s="74" t="s">
        <v>1177</v>
      </c>
      <c r="E763" s="43" t="s">
        <v>671</v>
      </c>
      <c r="F763" s="43" t="s">
        <v>1177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ROUND(Tableau15[[#This Row],[LEN]]*7.27,0)</f>
        <v>291</v>
      </c>
      <c r="L763" s="115">
        <v>13</v>
      </c>
      <c r="M763" s="132" t="str">
        <f t="shared" si="5"/>
        <v>none</v>
      </c>
      <c r="N763" s="115">
        <f>LEN(Tableau15[[#This Row],[LABEL]])</f>
        <v>40</v>
      </c>
      <c r="O763" s="115">
        <v>13</v>
      </c>
      <c r="P763" s="115" t="e">
        <f>ROUND(Tableau15[[#This Row],[LEN]]*#REF!+#REF!,0)</f>
        <v>#REF!</v>
      </c>
    </row>
    <row r="764" spans="1:16" s="97" customFormat="1" x14ac:dyDescent="0.25">
      <c r="A764" s="41" t="s">
        <v>1550</v>
      </c>
      <c r="B764" s="42" t="s">
        <v>293</v>
      </c>
      <c r="C764" s="43" t="s">
        <v>1553</v>
      </c>
      <c r="D764" s="74" t="s">
        <v>1177</v>
      </c>
      <c r="E764" s="43" t="s">
        <v>671</v>
      </c>
      <c r="F764" s="43" t="s">
        <v>1177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ROUND(Tableau15[[#This Row],[LEN]]*7.27,0)</f>
        <v>305</v>
      </c>
      <c r="L764" s="115">
        <v>14</v>
      </c>
      <c r="M764" s="132" t="str">
        <f t="shared" si="5"/>
        <v>none</v>
      </c>
      <c r="N764" s="115">
        <f>LEN(Tableau15[[#This Row],[LABEL]])</f>
        <v>42</v>
      </c>
      <c r="O764" s="115">
        <v>14</v>
      </c>
      <c r="P764" s="115" t="e">
        <f>ROUND(Tableau15[[#This Row],[LEN]]*#REF!+#REF!,0)</f>
        <v>#REF!</v>
      </c>
    </row>
    <row r="765" spans="1:16" s="97" customFormat="1" x14ac:dyDescent="0.25">
      <c r="A765" s="41" t="s">
        <v>1551</v>
      </c>
      <c r="B765" s="42" t="s">
        <v>293</v>
      </c>
      <c r="C765" s="43" t="s">
        <v>122</v>
      </c>
      <c r="D765" s="74" t="s">
        <v>1514</v>
      </c>
      <c r="E765" s="43" t="s">
        <v>667</v>
      </c>
      <c r="F765" s="43" t="s">
        <v>2084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ROUND(Tableau15[[#This Row],[LEN]]*7.27,0)</f>
        <v>145</v>
      </c>
      <c r="L765" s="115">
        <v>15</v>
      </c>
      <c r="M765" s="132" t="str">
        <f t="shared" si="5"/>
        <v>none</v>
      </c>
      <c r="N765" s="115">
        <f>LEN(Tableau15[[#This Row],[LABEL]])</f>
        <v>20</v>
      </c>
      <c r="O765" s="115">
        <v>15</v>
      </c>
      <c r="P765" s="115" t="e">
        <f>ROUND(Tableau15[[#This Row],[LEN]]*#REF!+#REF!,0)</f>
        <v>#REF!</v>
      </c>
    </row>
    <row r="766" spans="1:16" s="273" customFormat="1" x14ac:dyDescent="0.25">
      <c r="A766" s="330" t="s">
        <v>294</v>
      </c>
      <c r="B766" s="331" t="s">
        <v>208</v>
      </c>
      <c r="C766" s="332" t="s">
        <v>9</v>
      </c>
      <c r="D766" s="333" t="s">
        <v>1177</v>
      </c>
      <c r="E766" s="332" t="s">
        <v>672</v>
      </c>
      <c r="F766" s="332" t="s">
        <v>1177</v>
      </c>
      <c r="G766" s="333" t="s">
        <v>68</v>
      </c>
      <c r="H766" s="333" t="str">
        <f>IFERROR(IF(SEARCH(".00.00.00.00.00",Tableau15[[#This Row],[name]],1)=7,"Division",""),"")</f>
        <v>Division</v>
      </c>
      <c r="I766" s="332"/>
      <c r="J766" s="334" t="s">
        <v>718</v>
      </c>
      <c r="K766" s="335">
        <f>ROUND(Tableau15[[#This Row],[LEN]]*7.27,0)</f>
        <v>80</v>
      </c>
      <c r="L766" s="335">
        <v>15</v>
      </c>
      <c r="M766" s="336" t="str">
        <f t="shared" si="5"/>
        <v>new</v>
      </c>
      <c r="N766" s="335">
        <f>LEN(Tableau15[[#This Row],[LABEL]])</f>
        <v>11</v>
      </c>
      <c r="O766" s="335">
        <v>15</v>
      </c>
      <c r="P766" s="335" t="e">
        <f>ROUND(Tableau15[[#This Row],[LEN]]*#REF!+#REF!,0)</f>
        <v>#REF!</v>
      </c>
    </row>
    <row r="767" spans="1:16" s="97" customFormat="1" x14ac:dyDescent="0.25">
      <c r="A767" s="41" t="s">
        <v>515</v>
      </c>
      <c r="B767" s="42" t="s">
        <v>294</v>
      </c>
      <c r="C767" s="43" t="s">
        <v>511</v>
      </c>
      <c r="D767" s="74" t="s">
        <v>1177</v>
      </c>
      <c r="E767" s="43" t="s">
        <v>672</v>
      </c>
      <c r="F767" s="43" t="s">
        <v>1177</v>
      </c>
      <c r="G767" s="74" t="s">
        <v>68</v>
      </c>
      <c r="H767" s="74" t="s">
        <v>654</v>
      </c>
      <c r="I767" s="43"/>
      <c r="J767" s="44" t="s">
        <v>708</v>
      </c>
      <c r="K767" s="115">
        <f>ROUND(Tableau15[[#This Row],[LEN]]*7.27,0)</f>
        <v>305</v>
      </c>
      <c r="L767" s="115">
        <v>15</v>
      </c>
      <c r="M767" s="132" t="str">
        <f t="shared" si="5"/>
        <v>none</v>
      </c>
      <c r="N767" s="115">
        <f>LEN(Tableau15[[#This Row],[LABEL]])</f>
        <v>42</v>
      </c>
      <c r="O767" s="115">
        <v>15</v>
      </c>
      <c r="P767" s="115" t="e">
        <f>ROUND(Tableau15[[#This Row],[LEN]]*#REF!+#REF!,0)</f>
        <v>#REF!</v>
      </c>
    </row>
    <row r="768" spans="1:16" s="97" customFormat="1" x14ac:dyDescent="0.25">
      <c r="A768" s="41" t="s">
        <v>516</v>
      </c>
      <c r="B768" s="42" t="s">
        <v>294</v>
      </c>
      <c r="C768" s="43" t="s">
        <v>521</v>
      </c>
      <c r="D768" s="74" t="s">
        <v>1177</v>
      </c>
      <c r="E768" s="43" t="s">
        <v>672</v>
      </c>
      <c r="F768" s="43" t="s">
        <v>1177</v>
      </c>
      <c r="G768" s="74" t="s">
        <v>68</v>
      </c>
      <c r="H768" s="74" t="s">
        <v>655</v>
      </c>
      <c r="I768" s="43"/>
      <c r="J768" s="44" t="s">
        <v>708</v>
      </c>
      <c r="K768" s="115">
        <f>ROUND(Tableau15[[#This Row],[LEN]]*7.27,0)</f>
        <v>138</v>
      </c>
      <c r="L768" s="115">
        <v>15</v>
      </c>
      <c r="M768" s="132" t="str">
        <f t="shared" si="5"/>
        <v>none</v>
      </c>
      <c r="N768" s="115">
        <f>LEN(Tableau15[[#This Row],[LABEL]])</f>
        <v>19</v>
      </c>
      <c r="O768" s="115">
        <v>15</v>
      </c>
      <c r="P768" s="115" t="e">
        <f>ROUND(Tableau15[[#This Row],[LEN]]*#REF!+#REF!,0)</f>
        <v>#REF!</v>
      </c>
    </row>
    <row r="769" spans="1:16" s="97" customFormat="1" x14ac:dyDescent="0.25">
      <c r="A769" s="45" t="s">
        <v>522</v>
      </c>
      <c r="B769" s="46" t="s">
        <v>516</v>
      </c>
      <c r="C769" s="47" t="s">
        <v>536</v>
      </c>
      <c r="D769" s="75" t="s">
        <v>1177</v>
      </c>
      <c r="E769" s="47" t="s">
        <v>672</v>
      </c>
      <c r="F769" s="47" t="s">
        <v>1177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ROUND(Tableau15[[#This Row],[LEN]]*7.27,0)</f>
        <v>174</v>
      </c>
      <c r="L769" s="116">
        <v>15</v>
      </c>
      <c r="M769" s="133" t="str">
        <f t="shared" si="5"/>
        <v>none</v>
      </c>
      <c r="N769" s="116">
        <f>LEN(Tableau15[[#This Row],[LABEL]])</f>
        <v>24</v>
      </c>
      <c r="O769" s="116">
        <v>15</v>
      </c>
      <c r="P769" s="116" t="e">
        <f>ROUND(Tableau15[[#This Row],[LEN]]*#REF!+#REF!,0)</f>
        <v>#REF!</v>
      </c>
    </row>
    <row r="770" spans="1:16" s="97" customFormat="1" x14ac:dyDescent="0.25">
      <c r="A770" s="45" t="s">
        <v>523</v>
      </c>
      <c r="B770" s="46" t="s">
        <v>516</v>
      </c>
      <c r="C770" s="47" t="s">
        <v>535</v>
      </c>
      <c r="D770" s="75" t="s">
        <v>1177</v>
      </c>
      <c r="E770" s="47" t="s">
        <v>672</v>
      </c>
      <c r="F770" s="47" t="s">
        <v>1177</v>
      </c>
      <c r="G770" s="75" t="s">
        <v>68</v>
      </c>
      <c r="H770" s="75" t="s">
        <v>654</v>
      </c>
      <c r="I770" s="47"/>
      <c r="J770" s="48" t="s">
        <v>708</v>
      </c>
      <c r="K770" s="116">
        <f>ROUND(Tableau15[[#This Row],[LEN]]*7.27,0)</f>
        <v>218</v>
      </c>
      <c r="L770" s="116">
        <v>15</v>
      </c>
      <c r="M770" s="133" t="str">
        <f t="shared" si="5"/>
        <v>none</v>
      </c>
      <c r="N770" s="116">
        <f>LEN(Tableau15[[#This Row],[LABEL]])</f>
        <v>30</v>
      </c>
      <c r="O770" s="116">
        <v>15</v>
      </c>
      <c r="P770" s="116" t="e">
        <f>ROUND(Tableau15[[#This Row],[LEN]]*#REF!+#REF!,0)</f>
        <v>#REF!</v>
      </c>
    </row>
    <row r="771" spans="1:16" s="97" customFormat="1" x14ac:dyDescent="0.25">
      <c r="A771" s="45" t="s">
        <v>524</v>
      </c>
      <c r="B771" s="46" t="s">
        <v>516</v>
      </c>
      <c r="C771" s="47" t="s">
        <v>530</v>
      </c>
      <c r="D771" s="75" t="s">
        <v>1177</v>
      </c>
      <c r="E771" s="47" t="s">
        <v>672</v>
      </c>
      <c r="F771" s="47" t="s">
        <v>1177</v>
      </c>
      <c r="G771" s="75" t="s">
        <v>68</v>
      </c>
      <c r="H771" s="75" t="s">
        <v>656</v>
      </c>
      <c r="I771" s="47"/>
      <c r="J771" s="48" t="s">
        <v>708</v>
      </c>
      <c r="K771" s="116">
        <f>ROUND(Tableau15[[#This Row],[LEN]]*7.27,0)</f>
        <v>327</v>
      </c>
      <c r="L771" s="116">
        <v>15</v>
      </c>
      <c r="M771" s="133" t="str">
        <f t="shared" si="5"/>
        <v>none</v>
      </c>
      <c r="N771" s="116">
        <f>LEN(Tableau15[[#This Row],[LABEL]])</f>
        <v>45</v>
      </c>
      <c r="O771" s="116">
        <v>15</v>
      </c>
      <c r="P771" s="116" t="e">
        <f>ROUND(Tableau15[[#This Row],[LEN]]*#REF!+#REF!,0)</f>
        <v>#REF!</v>
      </c>
    </row>
    <row r="772" spans="1:16" s="97" customFormat="1" x14ac:dyDescent="0.25">
      <c r="A772" s="45" t="s">
        <v>525</v>
      </c>
      <c r="B772" s="46" t="s">
        <v>516</v>
      </c>
      <c r="C772" s="47" t="s">
        <v>531</v>
      </c>
      <c r="D772" s="75" t="s">
        <v>1177</v>
      </c>
      <c r="E772" s="47" t="s">
        <v>672</v>
      </c>
      <c r="F772" s="47" t="s">
        <v>1177</v>
      </c>
      <c r="G772" s="75" t="s">
        <v>68</v>
      </c>
      <c r="H772" s="75" t="s">
        <v>654</v>
      </c>
      <c r="I772" s="47"/>
      <c r="J772" s="48" t="s">
        <v>708</v>
      </c>
      <c r="K772" s="116">
        <f>ROUND(Tableau15[[#This Row],[LEN]]*7.27,0)</f>
        <v>400</v>
      </c>
      <c r="L772" s="116">
        <v>15</v>
      </c>
      <c r="M772" s="133" t="str">
        <f t="shared" si="5"/>
        <v>none</v>
      </c>
      <c r="N772" s="116">
        <f>LEN(Tableau15[[#This Row],[LABEL]])</f>
        <v>55</v>
      </c>
      <c r="O772" s="116">
        <v>15</v>
      </c>
      <c r="P772" s="116" t="e">
        <f>ROUND(Tableau15[[#This Row],[LEN]]*#REF!+#REF!,0)</f>
        <v>#REF!</v>
      </c>
    </row>
    <row r="773" spans="1:16" s="97" customFormat="1" x14ac:dyDescent="0.25">
      <c r="A773" s="45" t="s">
        <v>526</v>
      </c>
      <c r="B773" s="46" t="s">
        <v>516</v>
      </c>
      <c r="C773" s="47" t="s">
        <v>532</v>
      </c>
      <c r="D773" s="75" t="s">
        <v>1177</v>
      </c>
      <c r="E773" s="47" t="s">
        <v>672</v>
      </c>
      <c r="F773" s="47" t="s">
        <v>1177</v>
      </c>
      <c r="G773" s="75" t="s">
        <v>68</v>
      </c>
      <c r="H773" s="75" t="s">
        <v>18</v>
      </c>
      <c r="I773" s="47"/>
      <c r="J773" s="48" t="s">
        <v>708</v>
      </c>
      <c r="K773" s="116">
        <f>ROUND(Tableau15[[#This Row],[LEN]]*7.27,0)</f>
        <v>589</v>
      </c>
      <c r="L773" s="116">
        <v>15</v>
      </c>
      <c r="M773" s="133" t="str">
        <f t="shared" si="5"/>
        <v>none</v>
      </c>
      <c r="N773" s="116">
        <f>LEN(Tableau15[[#This Row],[LABEL]])</f>
        <v>81</v>
      </c>
      <c r="O773" s="116">
        <v>15</v>
      </c>
      <c r="P773" s="116" t="e">
        <f>ROUND(Tableau15[[#This Row],[LEN]]*#REF!+#REF!,0)</f>
        <v>#REF!</v>
      </c>
    </row>
    <row r="774" spans="1:16" s="97" customFormat="1" x14ac:dyDescent="0.25">
      <c r="A774" s="45" t="s">
        <v>527</v>
      </c>
      <c r="B774" s="46" t="s">
        <v>516</v>
      </c>
      <c r="C774" s="47" t="s">
        <v>533</v>
      </c>
      <c r="D774" s="75" t="s">
        <v>1177</v>
      </c>
      <c r="E774" s="47" t="s">
        <v>672</v>
      </c>
      <c r="F774" s="47" t="s">
        <v>1177</v>
      </c>
      <c r="G774" s="75" t="s">
        <v>68</v>
      </c>
      <c r="H774" s="75" t="s">
        <v>654</v>
      </c>
      <c r="I774" s="47"/>
      <c r="J774" s="48" t="s">
        <v>708</v>
      </c>
      <c r="K774" s="116">
        <f>ROUND(Tableau15[[#This Row],[LEN]]*7.27,0)</f>
        <v>400</v>
      </c>
      <c r="L774" s="116">
        <v>15</v>
      </c>
      <c r="M774" s="133" t="str">
        <f t="shared" si="5"/>
        <v>none</v>
      </c>
      <c r="N774" s="116">
        <f>LEN(Tableau15[[#This Row],[LABEL]])</f>
        <v>55</v>
      </c>
      <c r="O774" s="116">
        <v>15</v>
      </c>
      <c r="P774" s="116" t="e">
        <f>ROUND(Tableau15[[#This Row],[LEN]]*#REF!+#REF!,0)</f>
        <v>#REF!</v>
      </c>
    </row>
    <row r="775" spans="1:16" s="97" customFormat="1" x14ac:dyDescent="0.25">
      <c r="A775" s="45" t="s">
        <v>528</v>
      </c>
      <c r="B775" s="46" t="s">
        <v>516</v>
      </c>
      <c r="C775" s="47" t="s">
        <v>534</v>
      </c>
      <c r="D775" s="75" t="s">
        <v>1177</v>
      </c>
      <c r="E775" s="47" t="s">
        <v>672</v>
      </c>
      <c r="F775" s="47" t="s">
        <v>1177</v>
      </c>
      <c r="G775" s="75" t="s">
        <v>68</v>
      </c>
      <c r="H775" s="75" t="s">
        <v>656</v>
      </c>
      <c r="I775" s="47"/>
      <c r="J775" s="48" t="s">
        <v>708</v>
      </c>
      <c r="K775" s="116">
        <f>ROUND(Tableau15[[#This Row],[LEN]]*7.27,0)</f>
        <v>356</v>
      </c>
      <c r="L775" s="116">
        <v>15</v>
      </c>
      <c r="M775" s="133" t="str">
        <f t="shared" si="5"/>
        <v>none</v>
      </c>
      <c r="N775" s="116">
        <f>LEN(Tableau15[[#This Row],[LABEL]])</f>
        <v>49</v>
      </c>
      <c r="O775" s="116">
        <v>15</v>
      </c>
      <c r="P775" s="116" t="e">
        <f>ROUND(Tableau15[[#This Row],[LEN]]*#REF!+#REF!,0)</f>
        <v>#REF!</v>
      </c>
    </row>
    <row r="776" spans="1:16" s="97" customFormat="1" x14ac:dyDescent="0.25">
      <c r="A776" s="45" t="s">
        <v>529</v>
      </c>
      <c r="B776" s="46" t="s">
        <v>516</v>
      </c>
      <c r="C776" s="47" t="s">
        <v>537</v>
      </c>
      <c r="D776" s="75" t="s">
        <v>1177</v>
      </c>
      <c r="E776" s="47" t="s">
        <v>672</v>
      </c>
      <c r="F776" s="47" t="s">
        <v>1177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ROUND(Tableau15[[#This Row],[LEN]]*7.27,0)</f>
        <v>225</v>
      </c>
      <c r="L776" s="116">
        <v>15</v>
      </c>
      <c r="M776" s="133" t="str">
        <f t="shared" si="5"/>
        <v>none</v>
      </c>
      <c r="N776" s="116">
        <f>LEN(Tableau15[[#This Row],[LABEL]])</f>
        <v>31</v>
      </c>
      <c r="O776" s="116">
        <v>15</v>
      </c>
      <c r="P776" s="116" t="e">
        <f>ROUND(Tableau15[[#This Row],[LEN]]*#REF!+#REF!,0)</f>
        <v>#REF!</v>
      </c>
    </row>
    <row r="777" spans="1:16" s="97" customFormat="1" x14ac:dyDescent="0.25">
      <c r="A777" s="41" t="s">
        <v>517</v>
      </c>
      <c r="B777" s="42" t="s">
        <v>294</v>
      </c>
      <c r="C777" s="43" t="s">
        <v>512</v>
      </c>
      <c r="D777" s="74" t="s">
        <v>1177</v>
      </c>
      <c r="E777" s="43" t="s">
        <v>667</v>
      </c>
      <c r="F777" s="43" t="s">
        <v>672</v>
      </c>
      <c r="G777" s="74" t="s">
        <v>68</v>
      </c>
      <c r="H777" s="74" t="s">
        <v>654</v>
      </c>
      <c r="I777" s="43"/>
      <c r="J777" s="44" t="s">
        <v>708</v>
      </c>
      <c r="K777" s="115">
        <f>ROUND(Tableau15[[#This Row],[LEN]]*7.27,0)</f>
        <v>80</v>
      </c>
      <c r="L777" s="115">
        <v>15</v>
      </c>
      <c r="M777" s="132" t="str">
        <f t="shared" si="5"/>
        <v>none</v>
      </c>
      <c r="N777" s="115">
        <f>LEN(Tableau15[[#This Row],[LABEL]])</f>
        <v>11</v>
      </c>
      <c r="O777" s="115">
        <v>15</v>
      </c>
      <c r="P777" s="115" t="e">
        <f>ROUND(Tableau15[[#This Row],[LEN]]*#REF!+#REF!,0)</f>
        <v>#REF!</v>
      </c>
    </row>
    <row r="778" spans="1:16" s="97" customFormat="1" x14ac:dyDescent="0.25">
      <c r="A778" s="41" t="s">
        <v>518</v>
      </c>
      <c r="B778" s="42" t="s">
        <v>294</v>
      </c>
      <c r="C778" s="43" t="s">
        <v>513</v>
      </c>
      <c r="D778" s="74" t="s">
        <v>1177</v>
      </c>
      <c r="E778" s="43" t="s">
        <v>672</v>
      </c>
      <c r="F778" s="43" t="s">
        <v>1177</v>
      </c>
      <c r="G778" s="74" t="s">
        <v>68</v>
      </c>
      <c r="H778" s="74" t="s">
        <v>654</v>
      </c>
      <c r="I778" s="43"/>
      <c r="J778" s="44" t="s">
        <v>708</v>
      </c>
      <c r="K778" s="115">
        <f>ROUND(Tableau15[[#This Row],[LEN]]*7.27,0)</f>
        <v>378</v>
      </c>
      <c r="L778" s="115">
        <v>15</v>
      </c>
      <c r="M778" s="132" t="str">
        <f t="shared" si="5"/>
        <v>none</v>
      </c>
      <c r="N778" s="115">
        <f>LEN(Tableau15[[#This Row],[LABEL]])</f>
        <v>52</v>
      </c>
      <c r="O778" s="115">
        <v>15</v>
      </c>
      <c r="P778" s="115" t="e">
        <f>ROUND(Tableau15[[#This Row],[LEN]]*#REF!+#REF!,0)</f>
        <v>#REF!</v>
      </c>
    </row>
    <row r="779" spans="1:16" s="97" customFormat="1" x14ac:dyDescent="0.25">
      <c r="A779" s="41" t="s">
        <v>519</v>
      </c>
      <c r="B779" s="42" t="s">
        <v>294</v>
      </c>
      <c r="C779" s="43" t="s">
        <v>514</v>
      </c>
      <c r="D779" s="74" t="s">
        <v>1177</v>
      </c>
      <c r="E779" s="43" t="s">
        <v>672</v>
      </c>
      <c r="F779" s="43" t="s">
        <v>1177</v>
      </c>
      <c r="G779" s="74" t="s">
        <v>68</v>
      </c>
      <c r="H779" s="74" t="s">
        <v>656</v>
      </c>
      <c r="I779" s="43"/>
      <c r="J779" s="44" t="s">
        <v>708</v>
      </c>
      <c r="K779" s="115">
        <f>ROUND(Tableau15[[#This Row],[LEN]]*7.27,0)</f>
        <v>334</v>
      </c>
      <c r="L779" s="115">
        <v>15</v>
      </c>
      <c r="M779" s="132" t="str">
        <f t="shared" si="5"/>
        <v>none</v>
      </c>
      <c r="N779" s="115">
        <f>LEN(Tableau15[[#This Row],[LABEL]])</f>
        <v>46</v>
      </c>
      <c r="O779" s="115">
        <v>15</v>
      </c>
      <c r="P779" s="115" t="e">
        <f>ROUND(Tableau15[[#This Row],[LEN]]*#REF!+#REF!,0)</f>
        <v>#REF!</v>
      </c>
    </row>
    <row r="780" spans="1:16" s="97" customFormat="1" x14ac:dyDescent="0.25">
      <c r="A780" s="41" t="s">
        <v>520</v>
      </c>
      <c r="B780" s="42" t="s">
        <v>294</v>
      </c>
      <c r="C780" s="43" t="s">
        <v>1529</v>
      </c>
      <c r="D780" s="74" t="s">
        <v>1177</v>
      </c>
      <c r="E780" s="43" t="s">
        <v>672</v>
      </c>
      <c r="F780" s="43" t="s">
        <v>666</v>
      </c>
      <c r="G780" s="74" t="s">
        <v>68</v>
      </c>
      <c r="H780" s="74" t="s">
        <v>656</v>
      </c>
      <c r="I780" s="43"/>
      <c r="J780" s="44" t="s">
        <v>708</v>
      </c>
      <c r="K780" s="115">
        <f>ROUND(Tableau15[[#This Row],[LEN]]*7.27,0)</f>
        <v>218</v>
      </c>
      <c r="L780" s="115">
        <v>15</v>
      </c>
      <c r="M780" s="132" t="str">
        <f t="shared" si="5"/>
        <v>none</v>
      </c>
      <c r="N780" s="115">
        <f>LEN(Tableau15[[#This Row],[LABEL]])</f>
        <v>30</v>
      </c>
      <c r="O780" s="115">
        <v>15</v>
      </c>
      <c r="P780" s="115" t="e">
        <f>ROUND(Tableau15[[#This Row],[LEN]]*#REF!+#REF!,0)</f>
        <v>#REF!</v>
      </c>
    </row>
    <row r="781" spans="1:16" s="273" customFormat="1" x14ac:dyDescent="0.25">
      <c r="A781" s="330" t="s">
        <v>295</v>
      </c>
      <c r="B781" s="331" t="s">
        <v>208</v>
      </c>
      <c r="C781" s="332" t="s">
        <v>10</v>
      </c>
      <c r="D781" s="333" t="s">
        <v>1177</v>
      </c>
      <c r="E781" s="332" t="s">
        <v>673</v>
      </c>
      <c r="F781" s="332" t="s">
        <v>1177</v>
      </c>
      <c r="G781" s="333" t="s">
        <v>68</v>
      </c>
      <c r="H781" s="333" t="str">
        <f>IFERROR(IF(SEARCH(".00.00.00.00.00",Tableau15[[#This Row],[name]],1)=7,"Division",""),"")</f>
        <v>Division</v>
      </c>
      <c r="I781" s="332"/>
      <c r="J781" s="334" t="s">
        <v>719</v>
      </c>
      <c r="K781" s="335">
        <f>ROUND(Tableau15[[#This Row],[LEN]]*7.27,0)</f>
        <v>109</v>
      </c>
      <c r="L781" s="335">
        <v>15</v>
      </c>
      <c r="M781" s="336" t="str">
        <f t="shared" si="5"/>
        <v>new</v>
      </c>
      <c r="N781" s="335">
        <f>LEN(Tableau15[[#This Row],[LABEL]])</f>
        <v>15</v>
      </c>
      <c r="O781" s="335">
        <v>15</v>
      </c>
      <c r="P781" s="335" t="e">
        <f>ROUND(Tableau15[[#This Row],[LEN]]*#REF!+#REF!,0)</f>
        <v>#REF!</v>
      </c>
    </row>
    <row r="782" spans="1:16" s="97" customFormat="1" x14ac:dyDescent="0.25">
      <c r="A782" s="41" t="s">
        <v>1554</v>
      </c>
      <c r="B782" s="42" t="s">
        <v>295</v>
      </c>
      <c r="C782" s="43" t="s">
        <v>849</v>
      </c>
      <c r="D782" s="74" t="s">
        <v>1177</v>
      </c>
      <c r="E782" s="43" t="s">
        <v>667</v>
      </c>
      <c r="F782" s="43" t="s">
        <v>840</v>
      </c>
      <c r="G782" s="74" t="s">
        <v>68</v>
      </c>
      <c r="H782" s="74" t="s">
        <v>655</v>
      </c>
      <c r="I782" s="43"/>
      <c r="J782" s="44" t="s">
        <v>708</v>
      </c>
      <c r="K782" s="115">
        <f>ROUND(Tableau15[[#This Row],[LEN]]*7.27,0)</f>
        <v>80</v>
      </c>
      <c r="L782" s="115">
        <v>15</v>
      </c>
      <c r="M782" s="132" t="str">
        <f t="shared" si="5"/>
        <v>none</v>
      </c>
      <c r="N782" s="115">
        <f>LEN(Tableau15[[#This Row],[LABEL]])</f>
        <v>11</v>
      </c>
      <c r="O782" s="115">
        <v>15</v>
      </c>
      <c r="P782" s="115" t="e">
        <f>ROUND(Tableau15[[#This Row],[LEN]]*#REF!+#REF!,0)</f>
        <v>#REF!</v>
      </c>
    </row>
    <row r="783" spans="1:16" s="97" customFormat="1" x14ac:dyDescent="0.25">
      <c r="A783" s="45" t="s">
        <v>1557</v>
      </c>
      <c r="B783" s="46" t="s">
        <v>1554</v>
      </c>
      <c r="C783" s="47" t="s">
        <v>112</v>
      </c>
      <c r="D783" s="75" t="s">
        <v>1177</v>
      </c>
      <c r="E783" s="47" t="s">
        <v>667</v>
      </c>
      <c r="F783" s="47" t="s">
        <v>2006</v>
      </c>
      <c r="G783" s="75" t="s">
        <v>68</v>
      </c>
      <c r="H783" s="75" t="s">
        <v>654</v>
      </c>
      <c r="I783" s="47"/>
      <c r="J783" s="48" t="s">
        <v>708</v>
      </c>
      <c r="K783" s="116">
        <f>ROUND(Tableau15[[#This Row],[LEN]]*7.27,0)</f>
        <v>167</v>
      </c>
      <c r="L783" s="116">
        <v>15</v>
      </c>
      <c r="M783" s="133" t="str">
        <f t="shared" si="5"/>
        <v>none</v>
      </c>
      <c r="N783" s="116">
        <f>LEN(Tableau15[[#This Row],[LABEL]])</f>
        <v>23</v>
      </c>
      <c r="O783" s="116">
        <v>15</v>
      </c>
      <c r="P783" s="116" t="e">
        <f>ROUND(Tableau15[[#This Row],[LEN]]*#REF!+#REF!,0)</f>
        <v>#REF!</v>
      </c>
    </row>
    <row r="784" spans="1:16" s="97" customFormat="1" x14ac:dyDescent="0.25">
      <c r="A784" s="45" t="s">
        <v>1558</v>
      </c>
      <c r="B784" s="46" t="s">
        <v>1554</v>
      </c>
      <c r="C784" s="47" t="s">
        <v>113</v>
      </c>
      <c r="D784" s="75" t="s">
        <v>1177</v>
      </c>
      <c r="E784" s="47" t="s">
        <v>667</v>
      </c>
      <c r="F784" s="47" t="s">
        <v>2006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ROUND(Tableau15[[#This Row],[LEN]]*7.27,0)</f>
        <v>233</v>
      </c>
      <c r="L784" s="116">
        <v>15</v>
      </c>
      <c r="M784" s="133" t="str">
        <f t="shared" si="5"/>
        <v>none</v>
      </c>
      <c r="N784" s="116">
        <f>LEN(Tableau15[[#This Row],[LABEL]])</f>
        <v>32</v>
      </c>
      <c r="O784" s="116">
        <v>15</v>
      </c>
      <c r="P784" s="116" t="e">
        <f>ROUND(Tableau15[[#This Row],[LEN]]*#REF!+#REF!,0)</f>
        <v>#REF!</v>
      </c>
    </row>
    <row r="785" spans="1:16" s="97" customFormat="1" x14ac:dyDescent="0.25">
      <c r="A785" s="41" t="s">
        <v>1555</v>
      </c>
      <c r="B785" s="42" t="s">
        <v>295</v>
      </c>
      <c r="C785" s="43" t="s">
        <v>1559</v>
      </c>
      <c r="D785" s="74" t="s">
        <v>1177</v>
      </c>
      <c r="E785" s="43" t="s">
        <v>673</v>
      </c>
      <c r="F785" s="43" t="s">
        <v>1177</v>
      </c>
      <c r="G785" s="74" t="s">
        <v>68</v>
      </c>
      <c r="H785" s="74" t="s">
        <v>654</v>
      </c>
      <c r="I785" s="43"/>
      <c r="J785" s="44" t="s">
        <v>708</v>
      </c>
      <c r="K785" s="115">
        <f>ROUND(Tableau15[[#This Row],[LEN]]*7.27,0)</f>
        <v>473</v>
      </c>
      <c r="L785" s="115">
        <v>15</v>
      </c>
      <c r="M785" s="132" t="str">
        <f t="shared" si="5"/>
        <v>none</v>
      </c>
      <c r="N785" s="115">
        <f>LEN(Tableau15[[#This Row],[LABEL]])</f>
        <v>65</v>
      </c>
      <c r="O785" s="115">
        <v>15</v>
      </c>
      <c r="P785" s="115" t="e">
        <f>ROUND(Tableau15[[#This Row],[LEN]]*#REF!+#REF!,0)</f>
        <v>#REF!</v>
      </c>
    </row>
    <row r="786" spans="1:16" s="97" customFormat="1" x14ac:dyDescent="0.25">
      <c r="A786" s="41" t="s">
        <v>1556</v>
      </c>
      <c r="B786" s="42" t="s">
        <v>295</v>
      </c>
      <c r="C786" s="43" t="s">
        <v>1560</v>
      </c>
      <c r="D786" s="74" t="s">
        <v>1177</v>
      </c>
      <c r="E786" s="43" t="s">
        <v>673</v>
      </c>
      <c r="F786" s="43" t="s">
        <v>1177</v>
      </c>
      <c r="G786" s="74" t="s">
        <v>68</v>
      </c>
      <c r="H786" s="74" t="s">
        <v>654</v>
      </c>
      <c r="I786" s="43"/>
      <c r="J786" s="44" t="s">
        <v>708</v>
      </c>
      <c r="K786" s="115">
        <f>ROUND(Tableau15[[#This Row],[LEN]]*7.27,0)</f>
        <v>225</v>
      </c>
      <c r="L786" s="115">
        <v>15</v>
      </c>
      <c r="M786" s="132" t="str">
        <f t="shared" si="5"/>
        <v>none</v>
      </c>
      <c r="N786" s="115">
        <f>LEN(Tableau15[[#This Row],[LABEL]])</f>
        <v>31</v>
      </c>
      <c r="O786" s="115">
        <v>15</v>
      </c>
      <c r="P786" s="115" t="e">
        <f>ROUND(Tableau15[[#This Row],[LEN]]*#REF!+#REF!,0)</f>
        <v>#REF!</v>
      </c>
    </row>
    <row r="787" spans="1:16" s="273" customFormat="1" x14ac:dyDescent="0.25">
      <c r="A787" s="330" t="s">
        <v>296</v>
      </c>
      <c r="B787" s="331" t="s">
        <v>208</v>
      </c>
      <c r="C787" s="332" t="s">
        <v>11</v>
      </c>
      <c r="D787" s="333" t="s">
        <v>1177</v>
      </c>
      <c r="E787" s="332" t="s">
        <v>674</v>
      </c>
      <c r="F787" s="332" t="s">
        <v>1177</v>
      </c>
      <c r="G787" s="333" t="s">
        <v>68</v>
      </c>
      <c r="H787" s="333" t="str">
        <f>IFERROR(IF(SEARCH(".00.00.00.00.00",Tableau15[[#This Row],[name]],1)=7,"Division",""),"")</f>
        <v>Division</v>
      </c>
      <c r="I787" s="332"/>
      <c r="J787" s="334" t="s">
        <v>720</v>
      </c>
      <c r="K787" s="335">
        <f>ROUND(Tableau15[[#This Row],[LEN]]*7.27,0)</f>
        <v>51</v>
      </c>
      <c r="L787" s="335">
        <v>15</v>
      </c>
      <c r="M787" s="336" t="str">
        <f t="shared" si="5"/>
        <v>new</v>
      </c>
      <c r="N787" s="335">
        <f>LEN(Tableau15[[#This Row],[LABEL]])</f>
        <v>7</v>
      </c>
      <c r="O787" s="335">
        <v>15</v>
      </c>
      <c r="P787" s="335" t="e">
        <f>ROUND(Tableau15[[#This Row],[LEN]]*#REF!+#REF!,0)</f>
        <v>#REF!</v>
      </c>
    </row>
    <row r="788" spans="1:16" s="97" customFormat="1" x14ac:dyDescent="0.25">
      <c r="A788" s="41" t="s">
        <v>1561</v>
      </c>
      <c r="B788" s="42" t="s">
        <v>296</v>
      </c>
      <c r="C788" s="43" t="s">
        <v>1564</v>
      </c>
      <c r="D788" s="74" t="s">
        <v>1177</v>
      </c>
      <c r="E788" s="43" t="s">
        <v>674</v>
      </c>
      <c r="F788" s="43" t="s">
        <v>1177</v>
      </c>
      <c r="G788" s="74" t="s">
        <v>68</v>
      </c>
      <c r="H788" s="74" t="s">
        <v>656</v>
      </c>
      <c r="I788" s="43"/>
      <c r="J788" s="44" t="s">
        <v>708</v>
      </c>
      <c r="K788" s="115">
        <f>ROUND(Tableau15[[#This Row],[LEN]]*7.27,0)</f>
        <v>218</v>
      </c>
      <c r="L788" s="115">
        <v>15</v>
      </c>
      <c r="M788" s="132" t="str">
        <f t="shared" si="5"/>
        <v>none</v>
      </c>
      <c r="N788" s="115">
        <f>LEN(Tableau15[[#This Row],[LABEL]])</f>
        <v>30</v>
      </c>
      <c r="O788" s="115">
        <v>15</v>
      </c>
      <c r="P788" s="115" t="e">
        <f>ROUND(Tableau15[[#This Row],[LEN]]*#REF!+#REF!,0)</f>
        <v>#REF!</v>
      </c>
    </row>
    <row r="789" spans="1:16" s="97" customFormat="1" x14ac:dyDescent="0.25">
      <c r="A789" s="41" t="s">
        <v>1562</v>
      </c>
      <c r="B789" s="42" t="s">
        <v>296</v>
      </c>
      <c r="C789" s="43" t="s">
        <v>1565</v>
      </c>
      <c r="D789" s="74" t="s">
        <v>1566</v>
      </c>
      <c r="E789" s="43" t="s">
        <v>674</v>
      </c>
      <c r="F789" s="43" t="s">
        <v>1177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ROUND(Tableau15[[#This Row],[LEN]]*7.27,0)</f>
        <v>211</v>
      </c>
      <c r="L789" s="115">
        <v>15</v>
      </c>
      <c r="M789" s="132" t="str">
        <f t="shared" si="5"/>
        <v>none</v>
      </c>
      <c r="N789" s="115">
        <f>LEN(Tableau15[[#This Row],[LABEL]])</f>
        <v>29</v>
      </c>
      <c r="O789" s="115">
        <v>15</v>
      </c>
      <c r="P789" s="115" t="e">
        <f>ROUND(Tableau15[[#This Row],[LEN]]*#REF!+#REF!,0)</f>
        <v>#REF!</v>
      </c>
    </row>
    <row r="790" spans="1:16" s="97" customFormat="1" x14ac:dyDescent="0.25">
      <c r="A790" s="41" t="s">
        <v>1563</v>
      </c>
      <c r="B790" s="42" t="s">
        <v>296</v>
      </c>
      <c r="C790" s="43" t="s">
        <v>849</v>
      </c>
      <c r="D790" s="74" t="s">
        <v>1177</v>
      </c>
      <c r="E790" s="43" t="s">
        <v>667</v>
      </c>
      <c r="F790" s="43" t="s">
        <v>840</v>
      </c>
      <c r="G790" s="74" t="s">
        <v>68</v>
      </c>
      <c r="H790" s="74" t="s">
        <v>655</v>
      </c>
      <c r="I790" s="43"/>
      <c r="J790" s="44" t="s">
        <v>708</v>
      </c>
      <c r="K790" s="115">
        <f>ROUND(Tableau15[[#This Row],[LEN]]*7.27,0)</f>
        <v>80</v>
      </c>
      <c r="L790" s="115">
        <v>15</v>
      </c>
      <c r="M790" s="132" t="str">
        <f t="shared" si="5"/>
        <v>none</v>
      </c>
      <c r="N790" s="115">
        <f>LEN(Tableau15[[#This Row],[LABEL]])</f>
        <v>11</v>
      </c>
      <c r="O790" s="115">
        <v>15</v>
      </c>
      <c r="P790" s="115" t="e">
        <f>ROUND(Tableau15[[#This Row],[LEN]]*#REF!+#REF!,0)</f>
        <v>#REF!</v>
      </c>
    </row>
    <row r="791" spans="1:16" s="97" customFormat="1" x14ac:dyDescent="0.25">
      <c r="A791" s="45" t="s">
        <v>1567</v>
      </c>
      <c r="B791" s="46" t="s">
        <v>1563</v>
      </c>
      <c r="C791" s="47" t="s">
        <v>112</v>
      </c>
      <c r="D791" s="75" t="s">
        <v>1177</v>
      </c>
      <c r="E791" s="47" t="s">
        <v>667</v>
      </c>
      <c r="F791" s="47" t="s">
        <v>2006</v>
      </c>
      <c r="G791" s="75" t="s">
        <v>68</v>
      </c>
      <c r="H791" s="75" t="s">
        <v>654</v>
      </c>
      <c r="I791" s="47"/>
      <c r="J791" s="48" t="s">
        <v>708</v>
      </c>
      <c r="K791" s="116">
        <f>ROUND(Tableau15[[#This Row],[LEN]]*7.27,0)</f>
        <v>167</v>
      </c>
      <c r="L791" s="116">
        <v>15</v>
      </c>
      <c r="M791" s="133" t="str">
        <f t="shared" si="5"/>
        <v>none</v>
      </c>
      <c r="N791" s="116">
        <f>LEN(Tableau15[[#This Row],[LABEL]])</f>
        <v>23</v>
      </c>
      <c r="O791" s="116">
        <v>15</v>
      </c>
      <c r="P791" s="116" t="e">
        <f>ROUND(Tableau15[[#This Row],[LEN]]*#REF!+#REF!,0)</f>
        <v>#REF!</v>
      </c>
    </row>
    <row r="792" spans="1:16" s="97" customFormat="1" x14ac:dyDescent="0.25">
      <c r="A792" s="45" t="s">
        <v>1568</v>
      </c>
      <c r="B792" s="46" t="s">
        <v>1563</v>
      </c>
      <c r="C792" s="47" t="s">
        <v>113</v>
      </c>
      <c r="D792" s="75" t="s">
        <v>1177</v>
      </c>
      <c r="E792" s="47" t="s">
        <v>667</v>
      </c>
      <c r="F792" s="47" t="s">
        <v>2006</v>
      </c>
      <c r="G792" s="75" t="s">
        <v>68</v>
      </c>
      <c r="H792" s="75" t="s">
        <v>654</v>
      </c>
      <c r="I792" s="47"/>
      <c r="J792" s="48" t="s">
        <v>708</v>
      </c>
      <c r="K792" s="116">
        <f>ROUND(Tableau15[[#This Row],[LEN]]*7.27,0)</f>
        <v>233</v>
      </c>
      <c r="L792" s="116">
        <v>15</v>
      </c>
      <c r="M792" s="133" t="str">
        <f t="shared" si="5"/>
        <v>none</v>
      </c>
      <c r="N792" s="116">
        <f>LEN(Tableau15[[#This Row],[LABEL]])</f>
        <v>32</v>
      </c>
      <c r="O792" s="116">
        <v>15</v>
      </c>
      <c r="P792" s="116" t="e">
        <f>ROUND(Tableau15[[#This Row],[LEN]]*#REF!+#REF!,0)</f>
        <v>#REF!</v>
      </c>
    </row>
    <row r="793" spans="1:16" s="273" customFormat="1" x14ac:dyDescent="0.25">
      <c r="A793" s="330" t="s">
        <v>297</v>
      </c>
      <c r="B793" s="331" t="s">
        <v>208</v>
      </c>
      <c r="C793" s="332" t="s">
        <v>12</v>
      </c>
      <c r="D793" s="333" t="s">
        <v>1177</v>
      </c>
      <c r="E793" s="332" t="s">
        <v>675</v>
      </c>
      <c r="F793" s="332" t="s">
        <v>1177</v>
      </c>
      <c r="G793" s="333" t="s">
        <v>68</v>
      </c>
      <c r="H793" s="333" t="str">
        <f>IFERROR(IF(SEARCH(".00.00.00.00.00",Tableau15[[#This Row],[name]],1)=7,"Division",""),"")</f>
        <v>Division</v>
      </c>
      <c r="I793" s="332"/>
      <c r="J793" s="334" t="s">
        <v>721</v>
      </c>
      <c r="K793" s="335">
        <f>ROUND(Tableau15[[#This Row],[LEN]]*7.27,0)</f>
        <v>15</v>
      </c>
      <c r="L793" s="335">
        <v>15</v>
      </c>
      <c r="M793" s="336" t="str">
        <f t="shared" si="5"/>
        <v>new</v>
      </c>
      <c r="N793" s="335">
        <f>LEN(Tableau15[[#This Row],[LABEL]])</f>
        <v>2</v>
      </c>
      <c r="O793" s="335">
        <v>15</v>
      </c>
      <c r="P793" s="335" t="e">
        <f>ROUND(Tableau15[[#This Row],[LEN]]*#REF!+#REF!,0)</f>
        <v>#REF!</v>
      </c>
    </row>
    <row r="794" spans="1:16" s="97" customFormat="1" x14ac:dyDescent="0.25">
      <c r="A794" s="41" t="s">
        <v>1569</v>
      </c>
      <c r="B794" s="42" t="s">
        <v>297</v>
      </c>
      <c r="C794" s="43" t="s">
        <v>1620</v>
      </c>
      <c r="D794" s="74" t="s">
        <v>1177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115">
        <f>ROUND(Tableau15[[#This Row],[LEN]]*7.27,0)</f>
        <v>262</v>
      </c>
      <c r="L794" s="115">
        <v>15</v>
      </c>
      <c r="M794" s="132" t="str">
        <f t="shared" si="5"/>
        <v>none</v>
      </c>
      <c r="N794" s="115">
        <f>LEN(Tableau15[[#This Row],[LABEL]])</f>
        <v>36</v>
      </c>
      <c r="O794" s="115">
        <v>15</v>
      </c>
      <c r="P794" s="115" t="e">
        <f>ROUND(Tableau15[[#This Row],[LEN]]*#REF!+#REF!,0)</f>
        <v>#REF!</v>
      </c>
    </row>
    <row r="795" spans="1:16" s="97" customFormat="1" x14ac:dyDescent="0.25">
      <c r="A795" s="45" t="s">
        <v>1574</v>
      </c>
      <c r="B795" s="46" t="s">
        <v>1569</v>
      </c>
      <c r="C795" s="47" t="s">
        <v>1467</v>
      </c>
      <c r="D795" s="75" t="s">
        <v>1177</v>
      </c>
      <c r="E795" s="47" t="s">
        <v>675</v>
      </c>
      <c r="F795" s="47" t="s">
        <v>678</v>
      </c>
      <c r="G795" s="75" t="s">
        <v>68</v>
      </c>
      <c r="H795" s="75" t="s">
        <v>656</v>
      </c>
      <c r="I795" s="47"/>
      <c r="J795" s="48" t="s">
        <v>708</v>
      </c>
      <c r="K795" s="116">
        <f>ROUND(Tableau15[[#This Row],[LEN]]*7.27,0)</f>
        <v>102</v>
      </c>
      <c r="L795" s="116">
        <v>15</v>
      </c>
      <c r="M795" s="133" t="str">
        <f t="shared" si="5"/>
        <v>none</v>
      </c>
      <c r="N795" s="116">
        <f>LEN(Tableau15[[#This Row],[LABEL]])</f>
        <v>14</v>
      </c>
      <c r="O795" s="116">
        <v>15</v>
      </c>
      <c r="P795" s="116" t="e">
        <f>ROUND(Tableau15[[#This Row],[LEN]]*#REF!+#REF!,0)</f>
        <v>#REF!</v>
      </c>
    </row>
    <row r="796" spans="1:16" s="97" customFormat="1" x14ac:dyDescent="0.25">
      <c r="A796" s="45" t="s">
        <v>1575</v>
      </c>
      <c r="B796" s="46" t="s">
        <v>1569</v>
      </c>
      <c r="C796" s="47" t="s">
        <v>1573</v>
      </c>
      <c r="D796" s="75" t="s">
        <v>1177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116">
        <f>ROUND(Tableau15[[#This Row],[LEN]]*7.27,0)</f>
        <v>422</v>
      </c>
      <c r="L796" s="116">
        <v>15</v>
      </c>
      <c r="M796" s="133" t="str">
        <f t="shared" si="5"/>
        <v>none</v>
      </c>
      <c r="N796" s="116">
        <f>LEN(Tableau15[[#This Row],[LABEL]])</f>
        <v>58</v>
      </c>
      <c r="O796" s="116">
        <v>15</v>
      </c>
      <c r="P796" s="116" t="e">
        <f>ROUND(Tableau15[[#This Row],[LEN]]*#REF!+#REF!,0)</f>
        <v>#REF!</v>
      </c>
    </row>
    <row r="797" spans="1:16" s="97" customFormat="1" x14ac:dyDescent="0.25">
      <c r="A797" s="45" t="s">
        <v>1576</v>
      </c>
      <c r="B797" s="46" t="s">
        <v>1569</v>
      </c>
      <c r="C797" s="47" t="s">
        <v>1468</v>
      </c>
      <c r="D797" s="75" t="s">
        <v>1177</v>
      </c>
      <c r="E797" s="47" t="s">
        <v>675</v>
      </c>
      <c r="F797" s="47" t="s">
        <v>678</v>
      </c>
      <c r="G797" s="75" t="s">
        <v>68</v>
      </c>
      <c r="H797" s="75" t="s">
        <v>656</v>
      </c>
      <c r="I797" s="47"/>
      <c r="J797" s="48" t="s">
        <v>708</v>
      </c>
      <c r="K797" s="116">
        <f>ROUND(Tableau15[[#This Row],[LEN]]*7.27,0)</f>
        <v>167</v>
      </c>
      <c r="L797" s="116">
        <v>15</v>
      </c>
      <c r="M797" s="133" t="str">
        <f t="shared" si="5"/>
        <v>none</v>
      </c>
      <c r="N797" s="116">
        <f>LEN(Tableau15[[#This Row],[LABEL]])</f>
        <v>23</v>
      </c>
      <c r="O797" s="116">
        <v>15</v>
      </c>
      <c r="P797" s="116" t="e">
        <f>ROUND(Tableau15[[#This Row],[LEN]]*#REF!+#REF!,0)</f>
        <v>#REF!</v>
      </c>
    </row>
    <row r="798" spans="1:16" s="97" customFormat="1" x14ac:dyDescent="0.25">
      <c r="A798" s="41" t="s">
        <v>1570</v>
      </c>
      <c r="B798" s="42" t="s">
        <v>297</v>
      </c>
      <c r="C798" s="43" t="s">
        <v>849</v>
      </c>
      <c r="D798" s="74" t="s">
        <v>1177</v>
      </c>
      <c r="E798" s="43" t="s">
        <v>667</v>
      </c>
      <c r="F798" s="43" t="s">
        <v>840</v>
      </c>
      <c r="G798" s="74" t="s">
        <v>68</v>
      </c>
      <c r="H798" s="74" t="s">
        <v>655</v>
      </c>
      <c r="I798" s="43"/>
      <c r="J798" s="44" t="s">
        <v>708</v>
      </c>
      <c r="K798" s="115">
        <f>ROUND(Tableau15[[#This Row],[LEN]]*7.27,0)</f>
        <v>80</v>
      </c>
      <c r="L798" s="115">
        <v>15</v>
      </c>
      <c r="M798" s="132" t="str">
        <f t="shared" si="5"/>
        <v>none</v>
      </c>
      <c r="N798" s="115">
        <f>LEN(Tableau15[[#This Row],[LABEL]])</f>
        <v>11</v>
      </c>
      <c r="O798" s="115">
        <v>15</v>
      </c>
      <c r="P798" s="115" t="e">
        <f>ROUND(Tableau15[[#This Row],[LEN]]*#REF!+#REF!,0)</f>
        <v>#REF!</v>
      </c>
    </row>
    <row r="799" spans="1:16" s="97" customFormat="1" x14ac:dyDescent="0.25">
      <c r="A799" s="45" t="s">
        <v>1577</v>
      </c>
      <c r="B799" s="46" t="s">
        <v>1570</v>
      </c>
      <c r="C799" s="47" t="s">
        <v>112</v>
      </c>
      <c r="D799" s="75" t="s">
        <v>1177</v>
      </c>
      <c r="E799" s="47" t="s">
        <v>667</v>
      </c>
      <c r="F799" s="47" t="s">
        <v>2006</v>
      </c>
      <c r="G799" s="75" t="s">
        <v>68</v>
      </c>
      <c r="H799" s="75" t="s">
        <v>654</v>
      </c>
      <c r="I799" s="47"/>
      <c r="J799" s="48" t="s">
        <v>708</v>
      </c>
      <c r="K799" s="116">
        <f>ROUND(Tableau15[[#This Row],[LEN]]*7.27,0)</f>
        <v>167</v>
      </c>
      <c r="L799" s="116">
        <v>15</v>
      </c>
      <c r="M799" s="133" t="str">
        <f t="shared" si="5"/>
        <v>none</v>
      </c>
      <c r="N799" s="116">
        <f>LEN(Tableau15[[#This Row],[LABEL]])</f>
        <v>23</v>
      </c>
      <c r="O799" s="116">
        <v>15</v>
      </c>
      <c r="P799" s="116" t="e">
        <f>ROUND(Tableau15[[#This Row],[LEN]]*#REF!+#REF!,0)</f>
        <v>#REF!</v>
      </c>
    </row>
    <row r="800" spans="1:16" s="97" customFormat="1" x14ac:dyDescent="0.25">
      <c r="A800" s="45" t="s">
        <v>1578</v>
      </c>
      <c r="B800" s="46" t="s">
        <v>1570</v>
      </c>
      <c r="C800" s="47" t="s">
        <v>113</v>
      </c>
      <c r="D800" s="75" t="s">
        <v>1177</v>
      </c>
      <c r="E800" s="47" t="s">
        <v>667</v>
      </c>
      <c r="F800" s="47" t="s">
        <v>2006</v>
      </c>
      <c r="G800" s="75" t="s">
        <v>68</v>
      </c>
      <c r="H800" s="75" t="s">
        <v>654</v>
      </c>
      <c r="I800" s="47"/>
      <c r="J800" s="48" t="s">
        <v>708</v>
      </c>
      <c r="K800" s="116">
        <f>ROUND(Tableau15[[#This Row],[LEN]]*7.27,0)</f>
        <v>233</v>
      </c>
      <c r="L800" s="116">
        <v>15</v>
      </c>
      <c r="M800" s="133" t="str">
        <f t="shared" si="5"/>
        <v>none</v>
      </c>
      <c r="N800" s="116">
        <f>LEN(Tableau15[[#This Row],[LABEL]])</f>
        <v>32</v>
      </c>
      <c r="O800" s="116">
        <v>15</v>
      </c>
      <c r="P800" s="116" t="e">
        <f>ROUND(Tableau15[[#This Row],[LEN]]*#REF!+#REF!,0)</f>
        <v>#REF!</v>
      </c>
    </row>
    <row r="801" spans="1:16" s="97" customFormat="1" x14ac:dyDescent="0.25">
      <c r="A801" s="41" t="s">
        <v>1571</v>
      </c>
      <c r="B801" s="42" t="s">
        <v>297</v>
      </c>
      <c r="C801" s="43" t="s">
        <v>1621</v>
      </c>
      <c r="D801" s="74" t="s">
        <v>1177</v>
      </c>
      <c r="E801" s="43" t="s">
        <v>675</v>
      </c>
      <c r="F801" s="43" t="s">
        <v>678</v>
      </c>
      <c r="G801" s="74" t="s">
        <v>68</v>
      </c>
      <c r="H801" s="74" t="s">
        <v>655</v>
      </c>
      <c r="I801" s="43"/>
      <c r="J801" s="44" t="s">
        <v>708</v>
      </c>
      <c r="K801" s="115">
        <f>ROUND(Tableau15[[#This Row],[LEN]]*7.27,0)</f>
        <v>262</v>
      </c>
      <c r="L801" s="115">
        <v>15</v>
      </c>
      <c r="M801" s="132" t="str">
        <f t="shared" si="5"/>
        <v>none</v>
      </c>
      <c r="N801" s="115">
        <f>LEN(Tableau15[[#This Row],[LABEL]])</f>
        <v>36</v>
      </c>
      <c r="O801" s="115">
        <v>15</v>
      </c>
      <c r="P801" s="115" t="e">
        <f>ROUND(Tableau15[[#This Row],[LEN]]*#REF!+#REF!,0)</f>
        <v>#REF!</v>
      </c>
    </row>
    <row r="802" spans="1:16" s="97" customFormat="1" x14ac:dyDescent="0.25">
      <c r="A802" s="45" t="s">
        <v>1579</v>
      </c>
      <c r="B802" s="46" t="s">
        <v>1571</v>
      </c>
      <c r="C802" s="47" t="s">
        <v>1469</v>
      </c>
      <c r="D802" s="75" t="s">
        <v>1177</v>
      </c>
      <c r="E802" s="47" t="s">
        <v>675</v>
      </c>
      <c r="F802" s="47" t="s">
        <v>678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ROUND(Tableau15[[#This Row],[LEN]]*7.27,0)</f>
        <v>291</v>
      </c>
      <c r="L802" s="116">
        <v>15</v>
      </c>
      <c r="M802" s="133" t="str">
        <f t="shared" si="5"/>
        <v>none</v>
      </c>
      <c r="N802" s="116">
        <f>LEN(Tableau15[[#This Row],[LABEL]])</f>
        <v>40</v>
      </c>
      <c r="O802" s="116">
        <v>15</v>
      </c>
      <c r="P802" s="116" t="e">
        <f>ROUND(Tableau15[[#This Row],[LEN]]*#REF!+#REF!,0)</f>
        <v>#REF!</v>
      </c>
    </row>
    <row r="803" spans="1:16" s="97" customFormat="1" x14ac:dyDescent="0.25">
      <c r="A803" s="45" t="s">
        <v>1580</v>
      </c>
      <c r="B803" s="46" t="s">
        <v>1571</v>
      </c>
      <c r="C803" s="47" t="s">
        <v>1470</v>
      </c>
      <c r="D803" s="75" t="s">
        <v>1177</v>
      </c>
      <c r="E803" s="47" t="s">
        <v>675</v>
      </c>
      <c r="F803" s="47" t="s">
        <v>678</v>
      </c>
      <c r="G803" s="75" t="s">
        <v>68</v>
      </c>
      <c r="H803" s="75" t="s">
        <v>656</v>
      </c>
      <c r="I803" s="47"/>
      <c r="J803" s="48" t="s">
        <v>708</v>
      </c>
      <c r="K803" s="116">
        <f>ROUND(Tableau15[[#This Row],[LEN]]*7.27,0)</f>
        <v>313</v>
      </c>
      <c r="L803" s="116">
        <v>15</v>
      </c>
      <c r="M803" s="133" t="str">
        <f t="shared" si="5"/>
        <v>none</v>
      </c>
      <c r="N803" s="116">
        <f>LEN(Tableau15[[#This Row],[LABEL]])</f>
        <v>43</v>
      </c>
      <c r="O803" s="116">
        <v>15</v>
      </c>
      <c r="P803" s="116" t="e">
        <f>ROUND(Tableau15[[#This Row],[LEN]]*#REF!+#REF!,0)</f>
        <v>#REF!</v>
      </c>
    </row>
    <row r="804" spans="1:16" s="97" customFormat="1" x14ac:dyDescent="0.25">
      <c r="A804" s="41" t="s">
        <v>1572</v>
      </c>
      <c r="B804" s="42" t="s">
        <v>297</v>
      </c>
      <c r="C804" s="43" t="s">
        <v>1462</v>
      </c>
      <c r="D804" s="74" t="s">
        <v>1177</v>
      </c>
      <c r="E804" s="43" t="s">
        <v>675</v>
      </c>
      <c r="F804" s="43" t="s">
        <v>679</v>
      </c>
      <c r="G804" s="74" t="s">
        <v>68</v>
      </c>
      <c r="H804" s="74" t="s">
        <v>656</v>
      </c>
      <c r="I804" s="43"/>
      <c r="J804" s="44" t="s">
        <v>708</v>
      </c>
      <c r="K804" s="115">
        <f>ROUND(Tableau15[[#This Row],[LEN]]*7.27,0)</f>
        <v>218</v>
      </c>
      <c r="L804" s="115">
        <v>15</v>
      </c>
      <c r="M804" s="132" t="str">
        <f t="shared" si="5"/>
        <v>none</v>
      </c>
      <c r="N804" s="115">
        <f>LEN(Tableau15[[#This Row],[LABEL]])</f>
        <v>30</v>
      </c>
      <c r="O804" s="115">
        <v>15</v>
      </c>
      <c r="P804" s="115" t="e">
        <f>ROUND(Tableau15[[#This Row],[LEN]]*#REF!+#REF!,0)</f>
        <v>#REF!</v>
      </c>
    </row>
    <row r="805" spans="1:16" s="273" customFormat="1" x14ac:dyDescent="0.25">
      <c r="A805" s="330" t="s">
        <v>298</v>
      </c>
      <c r="B805" s="331" t="s">
        <v>208</v>
      </c>
      <c r="C805" s="332" t="s">
        <v>71</v>
      </c>
      <c r="D805" s="333" t="s">
        <v>1177</v>
      </c>
      <c r="E805" s="332" t="s">
        <v>676</v>
      </c>
      <c r="F805" s="332" t="s">
        <v>1177</v>
      </c>
      <c r="G805" s="333" t="s">
        <v>68</v>
      </c>
      <c r="H805" s="333" t="str">
        <f>IFERROR(IF(SEARCH(".00.00.00.00.00",Tableau15[[#This Row],[name]],1)=7,"Division",""),"")</f>
        <v>Division</v>
      </c>
      <c r="I805" s="332"/>
      <c r="J805" s="334" t="s">
        <v>722</v>
      </c>
      <c r="K805" s="335">
        <f>ROUND(Tableau15[[#This Row],[LEN]]*7.27,0)</f>
        <v>29</v>
      </c>
      <c r="L805" s="335">
        <v>15</v>
      </c>
      <c r="M805" s="336" t="str">
        <f t="shared" si="5"/>
        <v>new</v>
      </c>
      <c r="N805" s="335">
        <f>LEN(Tableau15[[#This Row],[LABEL]])</f>
        <v>4</v>
      </c>
      <c r="O805" s="335">
        <v>15</v>
      </c>
      <c r="P805" s="335" t="e">
        <f>ROUND(Tableau15[[#This Row],[LEN]]*#REF!+#REF!,0)</f>
        <v>#REF!</v>
      </c>
    </row>
    <row r="806" spans="1:16" s="97" customFormat="1" x14ac:dyDescent="0.25">
      <c r="A806" s="41" t="s">
        <v>1581</v>
      </c>
      <c r="B806" s="42" t="s">
        <v>298</v>
      </c>
      <c r="C806" s="43" t="s">
        <v>1476</v>
      </c>
      <c r="D806" s="74" t="s">
        <v>1477</v>
      </c>
      <c r="E806" s="43" t="s">
        <v>676</v>
      </c>
      <c r="F806" s="43" t="s">
        <v>1177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ROUND(Tableau15[[#This Row],[LEN]]*7.27,0)</f>
        <v>371</v>
      </c>
      <c r="L806" s="115">
        <v>15</v>
      </c>
      <c r="M806" s="132" t="str">
        <f t="shared" si="5"/>
        <v>none</v>
      </c>
      <c r="N806" s="115">
        <f>LEN(Tableau15[[#This Row],[LABEL]])</f>
        <v>51</v>
      </c>
      <c r="O806" s="115">
        <v>15</v>
      </c>
      <c r="P806" s="115" t="e">
        <f>ROUND(Tableau15[[#This Row],[LEN]]*#REF!+#REF!,0)</f>
        <v>#REF!</v>
      </c>
    </row>
    <row r="807" spans="1:16" s="97" customFormat="1" x14ac:dyDescent="0.25">
      <c r="A807" s="41" t="s">
        <v>1582</v>
      </c>
      <c r="B807" s="42" t="s">
        <v>298</v>
      </c>
      <c r="C807" s="43" t="s">
        <v>849</v>
      </c>
      <c r="D807" s="74" t="s">
        <v>1177</v>
      </c>
      <c r="E807" s="43" t="s">
        <v>667</v>
      </c>
      <c r="F807" s="43" t="s">
        <v>840</v>
      </c>
      <c r="G807" s="74" t="s">
        <v>68</v>
      </c>
      <c r="H807" s="74" t="s">
        <v>655</v>
      </c>
      <c r="I807" s="43"/>
      <c r="J807" s="44" t="s">
        <v>708</v>
      </c>
      <c r="K807" s="115">
        <f>ROUND(Tableau15[[#This Row],[LEN]]*7.27,0)</f>
        <v>80</v>
      </c>
      <c r="L807" s="115">
        <v>15</v>
      </c>
      <c r="M807" s="132" t="str">
        <f t="shared" si="5"/>
        <v>none</v>
      </c>
      <c r="N807" s="115">
        <f>LEN(Tableau15[[#This Row],[LABEL]])</f>
        <v>11</v>
      </c>
      <c r="O807" s="115">
        <v>15</v>
      </c>
      <c r="P807" s="115" t="e">
        <f>ROUND(Tableau15[[#This Row],[LEN]]*#REF!+#REF!,0)</f>
        <v>#REF!</v>
      </c>
    </row>
    <row r="808" spans="1:16" s="97" customFormat="1" x14ac:dyDescent="0.25">
      <c r="A808" s="45" t="s">
        <v>1587</v>
      </c>
      <c r="B808" s="46" t="s">
        <v>1582</v>
      </c>
      <c r="C808" s="47" t="s">
        <v>112</v>
      </c>
      <c r="D808" s="75" t="s">
        <v>1177</v>
      </c>
      <c r="E808" s="47" t="s">
        <v>667</v>
      </c>
      <c r="F808" s="47" t="s">
        <v>2006</v>
      </c>
      <c r="G808" s="75" t="s">
        <v>68</v>
      </c>
      <c r="H808" s="75" t="s">
        <v>654</v>
      </c>
      <c r="I808" s="47"/>
      <c r="J808" s="48" t="s">
        <v>708</v>
      </c>
      <c r="K808" s="116">
        <f>ROUND(Tableau15[[#This Row],[LEN]]*7.27,0)</f>
        <v>167</v>
      </c>
      <c r="L808" s="116">
        <v>15</v>
      </c>
      <c r="M808" s="133" t="str">
        <f t="shared" si="5"/>
        <v>none</v>
      </c>
      <c r="N808" s="116">
        <f>LEN(Tableau15[[#This Row],[LABEL]])</f>
        <v>23</v>
      </c>
      <c r="O808" s="116">
        <v>15</v>
      </c>
      <c r="P808" s="116" t="e">
        <f>ROUND(Tableau15[[#This Row],[LEN]]*#REF!+#REF!,0)</f>
        <v>#REF!</v>
      </c>
    </row>
    <row r="809" spans="1:16" s="97" customFormat="1" x14ac:dyDescent="0.25">
      <c r="A809" s="45" t="s">
        <v>1588</v>
      </c>
      <c r="B809" s="46" t="s">
        <v>1582</v>
      </c>
      <c r="C809" s="47" t="s">
        <v>113</v>
      </c>
      <c r="D809" s="75" t="s">
        <v>1177</v>
      </c>
      <c r="E809" s="47" t="s">
        <v>667</v>
      </c>
      <c r="F809" s="47" t="s">
        <v>2006</v>
      </c>
      <c r="G809" s="75" t="s">
        <v>68</v>
      </c>
      <c r="H809" s="75" t="s">
        <v>654</v>
      </c>
      <c r="I809" s="47"/>
      <c r="J809" s="48" t="s">
        <v>708</v>
      </c>
      <c r="K809" s="116">
        <f>ROUND(Tableau15[[#This Row],[LEN]]*7.27,0)</f>
        <v>233</v>
      </c>
      <c r="L809" s="116">
        <v>15</v>
      </c>
      <c r="M809" s="133" t="str">
        <f t="shared" si="5"/>
        <v>none</v>
      </c>
      <c r="N809" s="116">
        <f>LEN(Tableau15[[#This Row],[LABEL]])</f>
        <v>32</v>
      </c>
      <c r="O809" s="116">
        <v>15</v>
      </c>
      <c r="P809" s="116" t="e">
        <f>ROUND(Tableau15[[#This Row],[LEN]]*#REF!+#REF!,0)</f>
        <v>#REF!</v>
      </c>
    </row>
    <row r="810" spans="1:16" s="97" customFormat="1" x14ac:dyDescent="0.25">
      <c r="A810" s="41" t="s">
        <v>1583</v>
      </c>
      <c r="B810" s="42" t="s">
        <v>298</v>
      </c>
      <c r="C810" s="43" t="s">
        <v>1589</v>
      </c>
      <c r="D810" s="74" t="s">
        <v>1177</v>
      </c>
      <c r="E810" s="43" t="s">
        <v>676</v>
      </c>
      <c r="F810" s="43" t="s">
        <v>1177</v>
      </c>
      <c r="G810" s="74" t="s">
        <v>68</v>
      </c>
      <c r="H810" s="74" t="s">
        <v>656</v>
      </c>
      <c r="I810" s="43"/>
      <c r="J810" s="44" t="s">
        <v>708</v>
      </c>
      <c r="K810" s="115">
        <f>ROUND(Tableau15[[#This Row],[LEN]]*7.27,0)</f>
        <v>487</v>
      </c>
      <c r="L810" s="115">
        <v>15</v>
      </c>
      <c r="M810" s="132" t="str">
        <f t="shared" si="5"/>
        <v>none</v>
      </c>
      <c r="N810" s="115">
        <f>LEN(Tableau15[[#This Row],[LABEL]])</f>
        <v>67</v>
      </c>
      <c r="O810" s="115">
        <v>15</v>
      </c>
      <c r="P810" s="115" t="e">
        <f>ROUND(Tableau15[[#This Row],[LEN]]*#REF!+#REF!,0)</f>
        <v>#REF!</v>
      </c>
    </row>
    <row r="811" spans="1:16" s="97" customFormat="1" x14ac:dyDescent="0.25">
      <c r="A811" s="41" t="s">
        <v>1584</v>
      </c>
      <c r="B811" s="42" t="s">
        <v>298</v>
      </c>
      <c r="C811" s="43" t="s">
        <v>1590</v>
      </c>
      <c r="D811" s="74" t="s">
        <v>1177</v>
      </c>
      <c r="E811" s="43" t="s">
        <v>676</v>
      </c>
      <c r="F811" s="43" t="s">
        <v>1177</v>
      </c>
      <c r="G811" s="74" t="s">
        <v>68</v>
      </c>
      <c r="H811" s="74" t="s">
        <v>656</v>
      </c>
      <c r="I811" s="43"/>
      <c r="J811" s="44" t="s">
        <v>708</v>
      </c>
      <c r="K811" s="115">
        <f>ROUND(Tableau15[[#This Row],[LEN]]*7.27,0)</f>
        <v>364</v>
      </c>
      <c r="L811" s="115">
        <v>15</v>
      </c>
      <c r="M811" s="132" t="str">
        <f t="shared" si="5"/>
        <v>none</v>
      </c>
      <c r="N811" s="115">
        <f>LEN(Tableau15[[#This Row],[LABEL]])</f>
        <v>50</v>
      </c>
      <c r="O811" s="115">
        <v>15</v>
      </c>
      <c r="P811" s="115" t="e">
        <f>ROUND(Tableau15[[#This Row],[LEN]]*#REF!+#REF!,0)</f>
        <v>#REF!</v>
      </c>
    </row>
    <row r="812" spans="1:16" s="97" customFormat="1" x14ac:dyDescent="0.25">
      <c r="A812" s="41" t="s">
        <v>1585</v>
      </c>
      <c r="B812" s="42" t="s">
        <v>298</v>
      </c>
      <c r="C812" s="43" t="s">
        <v>1591</v>
      </c>
      <c r="D812" s="74" t="s">
        <v>1177</v>
      </c>
      <c r="E812" s="43" t="s">
        <v>676</v>
      </c>
      <c r="F812" s="43" t="s">
        <v>1177</v>
      </c>
      <c r="G812" s="74" t="s">
        <v>68</v>
      </c>
      <c r="H812" s="74" t="s">
        <v>656</v>
      </c>
      <c r="I812" s="43"/>
      <c r="J812" s="44" t="s">
        <v>708</v>
      </c>
      <c r="K812" s="115">
        <f>ROUND(Tableau15[[#This Row],[LEN]]*7.27,0)</f>
        <v>407</v>
      </c>
      <c r="L812" s="115">
        <v>15</v>
      </c>
      <c r="M812" s="132" t="str">
        <f t="shared" si="5"/>
        <v>none</v>
      </c>
      <c r="N812" s="115">
        <f>LEN(Tableau15[[#This Row],[LABEL]])</f>
        <v>56</v>
      </c>
      <c r="O812" s="115">
        <v>15</v>
      </c>
      <c r="P812" s="115" t="e">
        <f>ROUND(Tableau15[[#This Row],[LEN]]*#REF!+#REF!,0)</f>
        <v>#REF!</v>
      </c>
    </row>
    <row r="813" spans="1:16" s="273" customFormat="1" x14ac:dyDescent="0.25">
      <c r="A813" s="330" t="s">
        <v>299</v>
      </c>
      <c r="B813" s="331" t="s">
        <v>208</v>
      </c>
      <c r="C813" s="332" t="s">
        <v>13</v>
      </c>
      <c r="D813" s="333" t="s">
        <v>1177</v>
      </c>
      <c r="E813" s="332" t="s">
        <v>677</v>
      </c>
      <c r="F813" s="332" t="s">
        <v>1177</v>
      </c>
      <c r="G813" s="333" t="s">
        <v>68</v>
      </c>
      <c r="H813" s="333" t="str">
        <f>IFERROR(IF(SEARCH(".00.00.00.00.00",Tableau15[[#This Row],[name]],1)=7,"Division",""),"")</f>
        <v>Division</v>
      </c>
      <c r="I813" s="332"/>
      <c r="J813" s="334" t="s">
        <v>708</v>
      </c>
      <c r="K813" s="335">
        <f>ROUND(Tableau15[[#This Row],[LEN]]*7.27,0)</f>
        <v>80</v>
      </c>
      <c r="L813" s="335">
        <v>15</v>
      </c>
      <c r="M813" s="336" t="str">
        <f t="shared" si="5"/>
        <v>none</v>
      </c>
      <c r="N813" s="335">
        <f>LEN(Tableau15[[#This Row],[LABEL]])</f>
        <v>11</v>
      </c>
      <c r="O813" s="335">
        <v>15</v>
      </c>
      <c r="P813" s="335" t="e">
        <f>ROUND(Tableau15[[#This Row],[LEN]]*#REF!+#REF!,0)</f>
        <v>#REF!</v>
      </c>
    </row>
    <row r="814" spans="1:16" s="97" customFormat="1" x14ac:dyDescent="0.25">
      <c r="A814" s="41" t="s">
        <v>1592</v>
      </c>
      <c r="B814" s="42" t="s">
        <v>299</v>
      </c>
      <c r="C814" s="43" t="s">
        <v>1595</v>
      </c>
      <c r="D814" s="74" t="s">
        <v>1177</v>
      </c>
      <c r="E814" s="43" t="s">
        <v>677</v>
      </c>
      <c r="F814" s="43" t="s">
        <v>1177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ROUND(Tableau15[[#This Row],[LEN]]*7.27,0)</f>
        <v>400</v>
      </c>
      <c r="L814" s="115">
        <v>15</v>
      </c>
      <c r="M814" s="132" t="str">
        <f t="shared" si="5"/>
        <v>none</v>
      </c>
      <c r="N814" s="115">
        <f>LEN(Tableau15[[#This Row],[LABEL]])</f>
        <v>55</v>
      </c>
      <c r="O814" s="115">
        <v>15</v>
      </c>
      <c r="P814" s="115" t="e">
        <f>ROUND(Tableau15[[#This Row],[LEN]]*#REF!+#REF!,0)</f>
        <v>#REF!</v>
      </c>
    </row>
    <row r="815" spans="1:16" s="97" customFormat="1" x14ac:dyDescent="0.25">
      <c r="A815" s="41" t="s">
        <v>1593</v>
      </c>
      <c r="B815" s="42" t="s">
        <v>299</v>
      </c>
      <c r="C815" s="43" t="s">
        <v>849</v>
      </c>
      <c r="D815" s="74" t="s">
        <v>1177</v>
      </c>
      <c r="E815" s="43" t="s">
        <v>667</v>
      </c>
      <c r="F815" s="43" t="s">
        <v>840</v>
      </c>
      <c r="G815" s="74" t="s">
        <v>68</v>
      </c>
      <c r="H815" s="74" t="s">
        <v>655</v>
      </c>
      <c r="I815" s="43"/>
      <c r="J815" s="44" t="s">
        <v>708</v>
      </c>
      <c r="K815" s="115">
        <f>ROUND(Tableau15[[#This Row],[LEN]]*7.27,0)</f>
        <v>80</v>
      </c>
      <c r="L815" s="115">
        <v>15</v>
      </c>
      <c r="M815" s="132" t="str">
        <f t="shared" si="5"/>
        <v>none</v>
      </c>
      <c r="N815" s="115">
        <f>LEN(Tableau15[[#This Row],[LABEL]])</f>
        <v>11</v>
      </c>
      <c r="O815" s="115">
        <v>15</v>
      </c>
      <c r="P815" s="115" t="e">
        <f>ROUND(Tableau15[[#This Row],[LEN]]*#REF!+#REF!,0)</f>
        <v>#REF!</v>
      </c>
    </row>
    <row r="816" spans="1:16" s="97" customFormat="1" x14ac:dyDescent="0.25">
      <c r="A816" s="45" t="s">
        <v>1597</v>
      </c>
      <c r="B816" s="46" t="s">
        <v>1593</v>
      </c>
      <c r="C816" s="47" t="s">
        <v>112</v>
      </c>
      <c r="D816" s="75" t="s">
        <v>1177</v>
      </c>
      <c r="E816" s="47" t="s">
        <v>667</v>
      </c>
      <c r="F816" s="47" t="s">
        <v>2006</v>
      </c>
      <c r="G816" s="75" t="s">
        <v>68</v>
      </c>
      <c r="H816" s="75" t="s">
        <v>654</v>
      </c>
      <c r="I816" s="47"/>
      <c r="J816" s="48" t="s">
        <v>708</v>
      </c>
      <c r="K816" s="116">
        <f>ROUND(Tableau15[[#This Row],[LEN]]*7.27,0)</f>
        <v>167</v>
      </c>
      <c r="L816" s="116">
        <v>15</v>
      </c>
      <c r="M816" s="133" t="str">
        <f t="shared" si="5"/>
        <v>none</v>
      </c>
      <c r="N816" s="116">
        <f>LEN(Tableau15[[#This Row],[LABEL]])</f>
        <v>23</v>
      </c>
      <c r="O816" s="116">
        <v>15</v>
      </c>
      <c r="P816" s="116" t="e">
        <f>ROUND(Tableau15[[#This Row],[LEN]]*#REF!+#REF!,0)</f>
        <v>#REF!</v>
      </c>
    </row>
    <row r="817" spans="1:16" s="97" customFormat="1" x14ac:dyDescent="0.25">
      <c r="A817" s="45" t="s">
        <v>1598</v>
      </c>
      <c r="B817" s="46" t="s">
        <v>1593</v>
      </c>
      <c r="C817" s="47" t="s">
        <v>113</v>
      </c>
      <c r="D817" s="75" t="s">
        <v>1177</v>
      </c>
      <c r="E817" s="47" t="s">
        <v>667</v>
      </c>
      <c r="F817" s="47" t="s">
        <v>2006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ROUND(Tableau15[[#This Row],[LEN]]*7.27,0)</f>
        <v>233</v>
      </c>
      <c r="L817" s="116">
        <v>15</v>
      </c>
      <c r="M817" s="133" t="str">
        <f t="shared" si="5"/>
        <v>none</v>
      </c>
      <c r="N817" s="116">
        <f>LEN(Tableau15[[#This Row],[LABEL]])</f>
        <v>32</v>
      </c>
      <c r="O817" s="116">
        <v>15</v>
      </c>
      <c r="P817" s="116" t="e">
        <f>ROUND(Tableau15[[#This Row],[LEN]]*#REF!+#REF!,0)</f>
        <v>#REF!</v>
      </c>
    </row>
    <row r="818" spans="1:16" s="97" customFormat="1" x14ac:dyDescent="0.25">
      <c r="A818" s="41" t="s">
        <v>1594</v>
      </c>
      <c r="B818" s="42" t="s">
        <v>299</v>
      </c>
      <c r="C818" s="43" t="s">
        <v>1596</v>
      </c>
      <c r="D818" s="74" t="s">
        <v>1177</v>
      </c>
      <c r="E818" s="43" t="s">
        <v>672</v>
      </c>
      <c r="F818" s="43" t="s">
        <v>677</v>
      </c>
      <c r="G818" s="74" t="s">
        <v>68</v>
      </c>
      <c r="H818" s="74" t="s">
        <v>654</v>
      </c>
      <c r="I818" s="43"/>
      <c r="J818" s="44" t="s">
        <v>708</v>
      </c>
      <c r="K818" s="115">
        <f>ROUND(Tableau15[[#This Row],[LEN]]*7.27,0)</f>
        <v>342</v>
      </c>
      <c r="L818" s="115">
        <v>15</v>
      </c>
      <c r="M818" s="132" t="str">
        <f t="shared" si="5"/>
        <v>none</v>
      </c>
      <c r="N818" s="115">
        <f>LEN(Tableau15[[#This Row],[LABEL]])</f>
        <v>47</v>
      </c>
      <c r="O818" s="115">
        <v>15</v>
      </c>
      <c r="P818" s="115" t="e">
        <f>ROUND(Tableau15[[#This Row],[LEN]]*#REF!+#REF!,0)</f>
        <v>#REF!</v>
      </c>
    </row>
    <row r="819" spans="1:16" s="273" customFormat="1" x14ac:dyDescent="0.25">
      <c r="A819" s="330" t="s">
        <v>300</v>
      </c>
      <c r="B819" s="331" t="s">
        <v>208</v>
      </c>
      <c r="C819" s="332" t="s">
        <v>14</v>
      </c>
      <c r="D819" s="333" t="s">
        <v>1177</v>
      </c>
      <c r="E819" s="332" t="s">
        <v>678</v>
      </c>
      <c r="F819" s="332" t="s">
        <v>1177</v>
      </c>
      <c r="G819" s="333" t="s">
        <v>68</v>
      </c>
      <c r="H819" s="333" t="str">
        <f>IFERROR(IF(SEARCH(".00.00.00.00.00",Tableau15[[#This Row],[name]],1)=7,"Division",""),"")</f>
        <v>Division</v>
      </c>
      <c r="I819" s="332"/>
      <c r="J819" s="334" t="s">
        <v>724</v>
      </c>
      <c r="K819" s="335">
        <f>ROUND(Tableau15[[#This Row],[LEN]]*7.27,0)</f>
        <v>240</v>
      </c>
      <c r="L819" s="335">
        <v>15</v>
      </c>
      <c r="M819" s="336" t="str">
        <f t="shared" si="5"/>
        <v>new</v>
      </c>
      <c r="N819" s="335">
        <f>LEN(Tableau15[[#This Row],[LABEL]])</f>
        <v>33</v>
      </c>
      <c r="O819" s="335">
        <v>15</v>
      </c>
      <c r="P819" s="335" t="e">
        <f>ROUND(Tableau15[[#This Row],[LEN]]*#REF!+#REF!,0)</f>
        <v>#REF!</v>
      </c>
    </row>
    <row r="820" spans="1:16" s="97" customFormat="1" x14ac:dyDescent="0.25">
      <c r="A820" s="41" t="s">
        <v>1599</v>
      </c>
      <c r="B820" s="42" t="s">
        <v>300</v>
      </c>
      <c r="C820" s="43" t="s">
        <v>1611</v>
      </c>
      <c r="D820" s="74" t="s">
        <v>1177</v>
      </c>
      <c r="E820" s="43" t="s">
        <v>678</v>
      </c>
      <c r="F820" s="43" t="s">
        <v>1177</v>
      </c>
      <c r="G820" s="74" t="s">
        <v>68</v>
      </c>
      <c r="H820" s="74" t="s">
        <v>656</v>
      </c>
      <c r="I820" s="43"/>
      <c r="J820" s="44" t="s">
        <v>708</v>
      </c>
      <c r="K820" s="115">
        <f>ROUND(Tableau15[[#This Row],[LEN]]*7.27,0)</f>
        <v>334</v>
      </c>
      <c r="L820" s="115">
        <v>15</v>
      </c>
      <c r="M820" s="132" t="str">
        <f t="shared" si="5"/>
        <v>none</v>
      </c>
      <c r="N820" s="115">
        <f>LEN(Tableau15[[#This Row],[LABEL]])</f>
        <v>46</v>
      </c>
      <c r="O820" s="115">
        <v>15</v>
      </c>
      <c r="P820" s="115" t="e">
        <f>ROUND(Tableau15[[#This Row],[LEN]]*#REF!+#REF!,0)</f>
        <v>#REF!</v>
      </c>
    </row>
    <row r="821" spans="1:16" s="97" customFormat="1" x14ac:dyDescent="0.25">
      <c r="A821" s="41" t="s">
        <v>1600</v>
      </c>
      <c r="B821" s="42" t="s">
        <v>300</v>
      </c>
      <c r="C821" s="43" t="s">
        <v>1612</v>
      </c>
      <c r="D821" s="74" t="s">
        <v>1177</v>
      </c>
      <c r="E821" s="43" t="s">
        <v>678</v>
      </c>
      <c r="F821" s="43" t="s">
        <v>1177</v>
      </c>
      <c r="G821" s="74" t="s">
        <v>68</v>
      </c>
      <c r="H821" s="74" t="s">
        <v>656</v>
      </c>
      <c r="I821" s="43"/>
      <c r="J821" s="44" t="s">
        <v>708</v>
      </c>
      <c r="K821" s="115">
        <f>ROUND(Tableau15[[#This Row],[LEN]]*7.27,0)</f>
        <v>174</v>
      </c>
      <c r="L821" s="115">
        <v>15</v>
      </c>
      <c r="M821" s="132" t="str">
        <f t="shared" si="5"/>
        <v>none</v>
      </c>
      <c r="N821" s="115">
        <f>LEN(Tableau15[[#This Row],[LABEL]])</f>
        <v>24</v>
      </c>
      <c r="O821" s="115">
        <v>15</v>
      </c>
      <c r="P821" s="115" t="e">
        <f>ROUND(Tableau15[[#This Row],[LEN]]*#REF!+#REF!,0)</f>
        <v>#REF!</v>
      </c>
    </row>
    <row r="822" spans="1:16" s="97" customFormat="1" x14ac:dyDescent="0.25">
      <c r="A822" s="41" t="s">
        <v>1601</v>
      </c>
      <c r="B822" s="42" t="s">
        <v>300</v>
      </c>
      <c r="C822" s="43" t="s">
        <v>1613</v>
      </c>
      <c r="D822" s="74" t="s">
        <v>1177</v>
      </c>
      <c r="E822" s="43" t="s">
        <v>678</v>
      </c>
      <c r="F822" s="43" t="s">
        <v>1177</v>
      </c>
      <c r="G822" s="74" t="s">
        <v>68</v>
      </c>
      <c r="H822" s="74" t="s">
        <v>656</v>
      </c>
      <c r="I822" s="43"/>
      <c r="J822" s="44" t="s">
        <v>708</v>
      </c>
      <c r="K822" s="115">
        <f>ROUND(Tableau15[[#This Row],[LEN]]*7.27,0)</f>
        <v>160</v>
      </c>
      <c r="L822" s="115">
        <v>15</v>
      </c>
      <c r="M822" s="132" t="str">
        <f t="shared" si="5"/>
        <v>none</v>
      </c>
      <c r="N822" s="115">
        <f>LEN(Tableau15[[#This Row],[LABEL]])</f>
        <v>22</v>
      </c>
      <c r="O822" s="115">
        <v>15</v>
      </c>
      <c r="P822" s="115" t="e">
        <f>ROUND(Tableau15[[#This Row],[LEN]]*#REF!+#REF!,0)</f>
        <v>#REF!</v>
      </c>
    </row>
    <row r="823" spans="1:16" s="97" customFormat="1" x14ac:dyDescent="0.25">
      <c r="A823" s="41" t="s">
        <v>1602</v>
      </c>
      <c r="B823" s="42" t="s">
        <v>300</v>
      </c>
      <c r="C823" s="43" t="s">
        <v>1614</v>
      </c>
      <c r="D823" s="74" t="s">
        <v>1177</v>
      </c>
      <c r="E823" s="43" t="s">
        <v>678</v>
      </c>
      <c r="F823" s="43" t="s">
        <v>1177</v>
      </c>
      <c r="G823" s="74" t="s">
        <v>68</v>
      </c>
      <c r="H823" s="74" t="s">
        <v>656</v>
      </c>
      <c r="I823" s="43"/>
      <c r="J823" s="44" t="s">
        <v>708</v>
      </c>
      <c r="K823" s="115">
        <f>ROUND(Tableau15[[#This Row],[LEN]]*7.27,0)</f>
        <v>465</v>
      </c>
      <c r="L823" s="115">
        <v>15</v>
      </c>
      <c r="M823" s="132" t="str">
        <f t="shared" si="5"/>
        <v>none</v>
      </c>
      <c r="N823" s="115">
        <f>LEN(Tableau15[[#This Row],[LABEL]])</f>
        <v>64</v>
      </c>
      <c r="O823" s="115">
        <v>15</v>
      </c>
      <c r="P823" s="115" t="e">
        <f>ROUND(Tableau15[[#This Row],[LEN]]*#REF!+#REF!,0)</f>
        <v>#REF!</v>
      </c>
    </row>
    <row r="824" spans="1:16" s="97" customFormat="1" x14ac:dyDescent="0.25">
      <c r="A824" s="41" t="s">
        <v>1603</v>
      </c>
      <c r="B824" s="42" t="s">
        <v>300</v>
      </c>
      <c r="C824" s="43" t="s">
        <v>1615</v>
      </c>
      <c r="D824" s="74" t="s">
        <v>1177</v>
      </c>
      <c r="E824" s="43" t="s">
        <v>678</v>
      </c>
      <c r="F824" s="43" t="s">
        <v>1177</v>
      </c>
      <c r="G824" s="74" t="s">
        <v>68</v>
      </c>
      <c r="H824" s="74" t="s">
        <v>656</v>
      </c>
      <c r="I824" s="43"/>
      <c r="J824" s="44" t="s">
        <v>708</v>
      </c>
      <c r="K824" s="115">
        <f>ROUND(Tableau15[[#This Row],[LEN]]*7.27,0)</f>
        <v>291</v>
      </c>
      <c r="L824" s="115">
        <v>15</v>
      </c>
      <c r="M824" s="132" t="str">
        <f t="shared" si="5"/>
        <v>none</v>
      </c>
      <c r="N824" s="115">
        <f>LEN(Tableau15[[#This Row],[LABEL]])</f>
        <v>40</v>
      </c>
      <c r="O824" s="115">
        <v>15</v>
      </c>
      <c r="P824" s="115" t="e">
        <f>ROUND(Tableau15[[#This Row],[LEN]]*#REF!+#REF!,0)</f>
        <v>#REF!</v>
      </c>
    </row>
    <row r="825" spans="1:16" s="97" customFormat="1" x14ac:dyDescent="0.25">
      <c r="A825" s="41" t="s">
        <v>1604</v>
      </c>
      <c r="B825" s="42" t="s">
        <v>300</v>
      </c>
      <c r="C825" s="43" t="s">
        <v>849</v>
      </c>
      <c r="D825" s="74" t="s">
        <v>1177</v>
      </c>
      <c r="E825" s="43" t="s">
        <v>667</v>
      </c>
      <c r="F825" s="43" t="s">
        <v>840</v>
      </c>
      <c r="G825" s="74" t="s">
        <v>68</v>
      </c>
      <c r="H825" s="74" t="s">
        <v>655</v>
      </c>
      <c r="I825" s="43"/>
      <c r="J825" s="44" t="s">
        <v>708</v>
      </c>
      <c r="K825" s="115">
        <f>ROUND(Tableau15[[#This Row],[LEN]]*7.27,0)</f>
        <v>80</v>
      </c>
      <c r="L825" s="115">
        <v>15</v>
      </c>
      <c r="M825" s="132" t="str">
        <f t="shared" si="5"/>
        <v>none</v>
      </c>
      <c r="N825" s="115">
        <f>LEN(Tableau15[[#This Row],[LABEL]])</f>
        <v>11</v>
      </c>
      <c r="O825" s="115">
        <v>15</v>
      </c>
      <c r="P825" s="115" t="e">
        <f>ROUND(Tableau15[[#This Row],[LEN]]*#REF!+#REF!,0)</f>
        <v>#REF!</v>
      </c>
    </row>
    <row r="826" spans="1:16" s="97" customFormat="1" x14ac:dyDescent="0.25">
      <c r="A826" s="45" t="s">
        <v>1616</v>
      </c>
      <c r="B826" s="46" t="s">
        <v>1604</v>
      </c>
      <c r="C826" s="47" t="s">
        <v>112</v>
      </c>
      <c r="D826" s="75" t="s">
        <v>1177</v>
      </c>
      <c r="E826" s="47" t="s">
        <v>667</v>
      </c>
      <c r="F826" s="47" t="s">
        <v>2006</v>
      </c>
      <c r="G826" s="75" t="s">
        <v>68</v>
      </c>
      <c r="H826" s="75" t="s">
        <v>654</v>
      </c>
      <c r="I826" s="47"/>
      <c r="J826" s="48" t="s">
        <v>708</v>
      </c>
      <c r="K826" s="116">
        <f>ROUND(Tableau15[[#This Row],[LEN]]*7.27,0)</f>
        <v>167</v>
      </c>
      <c r="L826" s="116">
        <v>15</v>
      </c>
      <c r="M826" s="133" t="str">
        <f t="shared" si="5"/>
        <v>none</v>
      </c>
      <c r="N826" s="116">
        <f>LEN(Tableau15[[#This Row],[LABEL]])</f>
        <v>23</v>
      </c>
      <c r="O826" s="116">
        <v>15</v>
      </c>
      <c r="P826" s="116" t="e">
        <f>ROUND(Tableau15[[#This Row],[LEN]]*#REF!+#REF!,0)</f>
        <v>#REF!</v>
      </c>
    </row>
    <row r="827" spans="1:16" s="97" customFormat="1" x14ac:dyDescent="0.25">
      <c r="A827" s="45" t="s">
        <v>1617</v>
      </c>
      <c r="B827" s="46" t="s">
        <v>1604</v>
      </c>
      <c r="C827" s="47" t="s">
        <v>113</v>
      </c>
      <c r="D827" s="75" t="s">
        <v>1177</v>
      </c>
      <c r="E827" s="47" t="s">
        <v>667</v>
      </c>
      <c r="F827" s="47" t="s">
        <v>2006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ROUND(Tableau15[[#This Row],[LEN]]*7.27,0)</f>
        <v>233</v>
      </c>
      <c r="L827" s="116">
        <v>15</v>
      </c>
      <c r="M827" s="133" t="str">
        <f t="shared" si="5"/>
        <v>none</v>
      </c>
      <c r="N827" s="116">
        <f>LEN(Tableau15[[#This Row],[LABEL]])</f>
        <v>32</v>
      </c>
      <c r="O827" s="116">
        <v>15</v>
      </c>
      <c r="P827" s="116" t="e">
        <f>ROUND(Tableau15[[#This Row],[LEN]]*#REF!+#REF!,0)</f>
        <v>#REF!</v>
      </c>
    </row>
    <row r="828" spans="1:16" s="97" customFormat="1" x14ac:dyDescent="0.25">
      <c r="A828" s="41" t="s">
        <v>1605</v>
      </c>
      <c r="B828" s="42" t="s">
        <v>300</v>
      </c>
      <c r="C828" s="43" t="s">
        <v>1618</v>
      </c>
      <c r="D828" s="74" t="s">
        <v>1177</v>
      </c>
      <c r="E828" s="43" t="s">
        <v>669</v>
      </c>
      <c r="F828" s="43" t="s">
        <v>678</v>
      </c>
      <c r="G828" s="74" t="s">
        <v>68</v>
      </c>
      <c r="H828" s="74" t="s">
        <v>656</v>
      </c>
      <c r="I828" s="43"/>
      <c r="J828" s="44" t="s">
        <v>708</v>
      </c>
      <c r="K828" s="115">
        <f>ROUND(Tableau15[[#This Row],[LEN]]*7.27,0)</f>
        <v>225</v>
      </c>
      <c r="L828" s="115">
        <v>15</v>
      </c>
      <c r="M828" s="132" t="str">
        <f t="shared" si="5"/>
        <v>none</v>
      </c>
      <c r="N828" s="115">
        <f>LEN(Tableau15[[#This Row],[LABEL]])</f>
        <v>31</v>
      </c>
      <c r="O828" s="115">
        <v>15</v>
      </c>
      <c r="P828" s="115" t="e">
        <f>ROUND(Tableau15[[#This Row],[LEN]]*#REF!+#REF!,0)</f>
        <v>#REF!</v>
      </c>
    </row>
    <row r="829" spans="1:16" s="97" customFormat="1" x14ac:dyDescent="0.25">
      <c r="A829" s="41" t="s">
        <v>1606</v>
      </c>
      <c r="B829" s="42" t="s">
        <v>300</v>
      </c>
      <c r="C829" s="43" t="s">
        <v>1620</v>
      </c>
      <c r="D829" s="74" t="s">
        <v>1177</v>
      </c>
      <c r="E829" s="43" t="s">
        <v>675</v>
      </c>
      <c r="F829" s="43" t="s">
        <v>678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ROUND(Tableau15[[#This Row],[LEN]]*7.27,0)</f>
        <v>262</v>
      </c>
      <c r="L829" s="115">
        <v>15</v>
      </c>
      <c r="M829" s="132" t="str">
        <f t="shared" si="5"/>
        <v>none</v>
      </c>
      <c r="N829" s="115">
        <f>LEN(Tableau15[[#This Row],[LABEL]])</f>
        <v>36</v>
      </c>
      <c r="O829" s="115">
        <v>15</v>
      </c>
      <c r="P829" s="115" t="e">
        <f>ROUND(Tableau15[[#This Row],[LEN]]*#REF!+#REF!,0)</f>
        <v>#REF!</v>
      </c>
    </row>
    <row r="830" spans="1:16" s="97" customFormat="1" x14ac:dyDescent="0.25">
      <c r="A830" s="41" t="s">
        <v>1607</v>
      </c>
      <c r="B830" s="42" t="s">
        <v>300</v>
      </c>
      <c r="C830" s="43" t="s">
        <v>1622</v>
      </c>
      <c r="D830" s="74" t="s">
        <v>1177</v>
      </c>
      <c r="E830" s="43" t="s">
        <v>678</v>
      </c>
      <c r="F830" s="43" t="s">
        <v>1177</v>
      </c>
      <c r="G830" s="74" t="s">
        <v>68</v>
      </c>
      <c r="H830" s="74" t="s">
        <v>654</v>
      </c>
      <c r="I830" s="43"/>
      <c r="J830" s="44" t="s">
        <v>708</v>
      </c>
      <c r="K830" s="115">
        <f>ROUND(Tableau15[[#This Row],[LEN]]*7.27,0)</f>
        <v>465</v>
      </c>
      <c r="L830" s="115">
        <v>15</v>
      </c>
      <c r="M830" s="132" t="str">
        <f t="shared" si="5"/>
        <v>none</v>
      </c>
      <c r="N830" s="115">
        <f>LEN(Tableau15[[#This Row],[LABEL]])</f>
        <v>64</v>
      </c>
      <c r="O830" s="115">
        <v>15</v>
      </c>
      <c r="P830" s="115" t="e">
        <f>ROUND(Tableau15[[#This Row],[LEN]]*#REF!+#REF!,0)</f>
        <v>#REF!</v>
      </c>
    </row>
    <row r="831" spans="1:16" s="97" customFormat="1" x14ac:dyDescent="0.25">
      <c r="A831" s="41" t="s">
        <v>1608</v>
      </c>
      <c r="B831" s="42" t="s">
        <v>300</v>
      </c>
      <c r="C831" s="43" t="s">
        <v>1372</v>
      </c>
      <c r="D831" s="74" t="s">
        <v>1177</v>
      </c>
      <c r="E831" s="43" t="s">
        <v>678</v>
      </c>
      <c r="F831" s="43" t="s">
        <v>1177</v>
      </c>
      <c r="G831" s="74" t="s">
        <v>68</v>
      </c>
      <c r="H831" s="74" t="s">
        <v>655</v>
      </c>
      <c r="I831" s="43"/>
      <c r="J831" s="44" t="s">
        <v>708</v>
      </c>
      <c r="K831" s="115">
        <f>ROUND(Tableau15[[#This Row],[LEN]]*7.27,0)</f>
        <v>80</v>
      </c>
      <c r="L831" s="115">
        <v>15</v>
      </c>
      <c r="M831" s="132" t="str">
        <f t="shared" si="5"/>
        <v>none</v>
      </c>
      <c r="N831" s="115">
        <f>LEN(Tableau15[[#This Row],[LABEL]])</f>
        <v>11</v>
      </c>
      <c r="O831" s="115">
        <v>15</v>
      </c>
      <c r="P831" s="115" t="e">
        <f>ROUND(Tableau15[[#This Row],[LEN]]*#REF!+#REF!,0)</f>
        <v>#REF!</v>
      </c>
    </row>
    <row r="832" spans="1:16" s="97" customFormat="1" x14ac:dyDescent="0.25">
      <c r="A832" s="45" t="s">
        <v>1623</v>
      </c>
      <c r="B832" s="46" t="s">
        <v>1608</v>
      </c>
      <c r="C832" s="47" t="s">
        <v>1625</v>
      </c>
      <c r="D832" s="75" t="s">
        <v>1177</v>
      </c>
      <c r="E832" s="47" t="s">
        <v>678</v>
      </c>
      <c r="F832" s="47" t="s">
        <v>1177</v>
      </c>
      <c r="G832" s="75" t="s">
        <v>68</v>
      </c>
      <c r="H832" s="75" t="s">
        <v>654</v>
      </c>
      <c r="I832" s="47"/>
      <c r="J832" s="48" t="s">
        <v>708</v>
      </c>
      <c r="K832" s="116">
        <f>ROUND(Tableau15[[#This Row],[LEN]]*7.27,0)</f>
        <v>109</v>
      </c>
      <c r="L832" s="116">
        <v>15</v>
      </c>
      <c r="M832" s="133" t="str">
        <f t="shared" si="5"/>
        <v>none</v>
      </c>
      <c r="N832" s="116">
        <f>LEN(Tableau15[[#This Row],[LABEL]])</f>
        <v>15</v>
      </c>
      <c r="O832" s="116">
        <v>15</v>
      </c>
      <c r="P832" s="116" t="e">
        <f>ROUND(Tableau15[[#This Row],[LEN]]*#REF!+#REF!,0)</f>
        <v>#REF!</v>
      </c>
    </row>
    <row r="833" spans="1:16" s="97" customFormat="1" x14ac:dyDescent="0.25">
      <c r="A833" s="45" t="s">
        <v>1624</v>
      </c>
      <c r="B833" s="46" t="s">
        <v>1608</v>
      </c>
      <c r="C833" s="47" t="s">
        <v>1626</v>
      </c>
      <c r="D833" s="75" t="s">
        <v>1177</v>
      </c>
      <c r="E833" s="47" t="s">
        <v>678</v>
      </c>
      <c r="F833" s="47" t="s">
        <v>1177</v>
      </c>
      <c r="G833" s="75" t="s">
        <v>68</v>
      </c>
      <c r="H833" s="75" t="s">
        <v>654</v>
      </c>
      <c r="I833" s="47"/>
      <c r="J833" s="48" t="s">
        <v>708</v>
      </c>
      <c r="K833" s="116">
        <f>ROUND(Tableau15[[#This Row],[LEN]]*7.27,0)</f>
        <v>124</v>
      </c>
      <c r="L833" s="116">
        <v>15</v>
      </c>
      <c r="M833" s="133" t="str">
        <f t="shared" si="5"/>
        <v>none</v>
      </c>
      <c r="N833" s="116">
        <f>LEN(Tableau15[[#This Row],[LABEL]])</f>
        <v>17</v>
      </c>
      <c r="O833" s="116">
        <v>15</v>
      </c>
      <c r="P833" s="116" t="e">
        <f>ROUND(Tableau15[[#This Row],[LEN]]*#REF!+#REF!,0)</f>
        <v>#REF!</v>
      </c>
    </row>
    <row r="834" spans="1:16" s="97" customFormat="1" x14ac:dyDescent="0.25">
      <c r="A834" s="41" t="s">
        <v>1609</v>
      </c>
      <c r="B834" s="42" t="s">
        <v>300</v>
      </c>
      <c r="C834" s="43" t="s">
        <v>1627</v>
      </c>
      <c r="D834" s="74" t="s">
        <v>1177</v>
      </c>
      <c r="E834" s="43" t="s">
        <v>678</v>
      </c>
      <c r="F834" s="43" t="s">
        <v>1177</v>
      </c>
      <c r="G834" s="74" t="s">
        <v>68</v>
      </c>
      <c r="H834" s="74" t="s">
        <v>654</v>
      </c>
      <c r="I834" s="43"/>
      <c r="J834" s="44" t="s">
        <v>708</v>
      </c>
      <c r="K834" s="115">
        <f>ROUND(Tableau15[[#This Row],[LEN]]*7.27,0)</f>
        <v>334</v>
      </c>
      <c r="L834" s="115">
        <v>15</v>
      </c>
      <c r="M834" s="132" t="str">
        <f t="shared" si="5"/>
        <v>none</v>
      </c>
      <c r="N834" s="115">
        <f>LEN(Tableau15[[#This Row],[LABEL]])</f>
        <v>46</v>
      </c>
      <c r="O834" s="115">
        <v>15</v>
      </c>
      <c r="P834" s="115" t="e">
        <f>ROUND(Tableau15[[#This Row],[LEN]]*#REF!+#REF!,0)</f>
        <v>#REF!</v>
      </c>
    </row>
    <row r="835" spans="1:16" s="97" customFormat="1" x14ac:dyDescent="0.25">
      <c r="A835" s="41" t="s">
        <v>1610</v>
      </c>
      <c r="B835" s="42" t="s">
        <v>300</v>
      </c>
      <c r="C835" s="43" t="s">
        <v>1628</v>
      </c>
      <c r="D835" s="74" t="s">
        <v>1177</v>
      </c>
      <c r="E835" s="43" t="s">
        <v>678</v>
      </c>
      <c r="F835" s="43" t="s">
        <v>1177</v>
      </c>
      <c r="G835" s="74" t="s">
        <v>68</v>
      </c>
      <c r="H835" s="74" t="s">
        <v>655</v>
      </c>
      <c r="I835" s="43"/>
      <c r="J835" s="44" t="s">
        <v>708</v>
      </c>
      <c r="K835" s="115">
        <f>ROUND(Tableau15[[#This Row],[LEN]]*7.27,0)</f>
        <v>225</v>
      </c>
      <c r="L835" s="115">
        <v>15</v>
      </c>
      <c r="M835" s="132" t="str">
        <f t="shared" si="5"/>
        <v>none</v>
      </c>
      <c r="N835" s="115">
        <f>LEN(Tableau15[[#This Row],[LABEL]])</f>
        <v>31</v>
      </c>
      <c r="O835" s="115">
        <v>15</v>
      </c>
      <c r="P835" s="115" t="e">
        <f>ROUND(Tableau15[[#This Row],[LEN]]*#REF!+#REF!,0)</f>
        <v>#REF!</v>
      </c>
    </row>
    <row r="836" spans="1:16" s="97" customFormat="1" x14ac:dyDescent="0.25">
      <c r="A836" s="45" t="s">
        <v>1629</v>
      </c>
      <c r="B836" s="46" t="s">
        <v>1610</v>
      </c>
      <c r="C836" s="47" t="s">
        <v>1633</v>
      </c>
      <c r="D836" s="75" t="s">
        <v>1177</v>
      </c>
      <c r="E836" s="47" t="s">
        <v>678</v>
      </c>
      <c r="F836" s="47" t="s">
        <v>1177</v>
      </c>
      <c r="G836" s="75" t="s">
        <v>68</v>
      </c>
      <c r="H836" s="75" t="s">
        <v>656</v>
      </c>
      <c r="I836" s="47"/>
      <c r="J836" s="48" t="s">
        <v>708</v>
      </c>
      <c r="K836" s="116">
        <f>ROUND(Tableau15[[#This Row],[LEN]]*7.27,0)</f>
        <v>22</v>
      </c>
      <c r="L836" s="116">
        <v>15</v>
      </c>
      <c r="M836" s="133" t="str">
        <f t="shared" si="5"/>
        <v>none</v>
      </c>
      <c r="N836" s="116">
        <f>LEN(Tableau15[[#This Row],[LABEL]])</f>
        <v>3</v>
      </c>
      <c r="O836" s="116">
        <v>15</v>
      </c>
      <c r="P836" s="116" t="e">
        <f>ROUND(Tableau15[[#This Row],[LEN]]*#REF!+#REF!,0)</f>
        <v>#REF!</v>
      </c>
    </row>
    <row r="837" spans="1:16" s="97" customFormat="1" x14ac:dyDescent="0.25">
      <c r="A837" s="45" t="s">
        <v>1630</v>
      </c>
      <c r="B837" s="46" t="s">
        <v>1610</v>
      </c>
      <c r="C837" s="47" t="s">
        <v>1634</v>
      </c>
      <c r="D837" s="75" t="s">
        <v>1177</v>
      </c>
      <c r="E837" s="47" t="s">
        <v>678</v>
      </c>
      <c r="F837" s="47" t="s">
        <v>1177</v>
      </c>
      <c r="G837" s="75" t="s">
        <v>68</v>
      </c>
      <c r="H837" s="75" t="s">
        <v>656</v>
      </c>
      <c r="I837" s="47"/>
      <c r="J837" s="48" t="s">
        <v>708</v>
      </c>
      <c r="K837" s="116">
        <f>ROUND(Tableau15[[#This Row],[LEN]]*7.27,0)</f>
        <v>80</v>
      </c>
      <c r="L837" s="116">
        <v>15</v>
      </c>
      <c r="M837" s="133" t="str">
        <f t="shared" si="5"/>
        <v>none</v>
      </c>
      <c r="N837" s="116">
        <f>LEN(Tableau15[[#This Row],[LABEL]])</f>
        <v>11</v>
      </c>
      <c r="O837" s="116">
        <v>15</v>
      </c>
      <c r="P837" s="116" t="e">
        <f>ROUND(Tableau15[[#This Row],[LEN]]*#REF!+#REF!,0)</f>
        <v>#REF!</v>
      </c>
    </row>
    <row r="838" spans="1:16" s="97" customFormat="1" x14ac:dyDescent="0.25">
      <c r="A838" s="45" t="s">
        <v>1631</v>
      </c>
      <c r="B838" s="46" t="s">
        <v>1610</v>
      </c>
      <c r="C838" s="47" t="s">
        <v>1635</v>
      </c>
      <c r="D838" s="75" t="s">
        <v>1177</v>
      </c>
      <c r="E838" s="47" t="s">
        <v>678</v>
      </c>
      <c r="F838" s="47" t="s">
        <v>1177</v>
      </c>
      <c r="G838" s="75" t="s">
        <v>68</v>
      </c>
      <c r="H838" s="75" t="s">
        <v>656</v>
      </c>
      <c r="I838" s="47"/>
      <c r="J838" s="48" t="s">
        <v>708</v>
      </c>
      <c r="K838" s="116">
        <f>ROUND(Tableau15[[#This Row],[LEN]]*7.27,0)</f>
        <v>131</v>
      </c>
      <c r="L838" s="116">
        <v>15</v>
      </c>
      <c r="M838" s="133" t="str">
        <f t="shared" si="5"/>
        <v>none</v>
      </c>
      <c r="N838" s="116">
        <f>LEN(Tableau15[[#This Row],[LABEL]])</f>
        <v>18</v>
      </c>
      <c r="O838" s="116">
        <v>15</v>
      </c>
      <c r="P838" s="116" t="e">
        <f>ROUND(Tableau15[[#This Row],[LEN]]*#REF!+#REF!,0)</f>
        <v>#REF!</v>
      </c>
    </row>
    <row r="839" spans="1:16" s="97" customFormat="1" x14ac:dyDescent="0.25">
      <c r="A839" s="45" t="s">
        <v>1632</v>
      </c>
      <c r="B839" s="46" t="s">
        <v>1610</v>
      </c>
      <c r="C839" s="47" t="s">
        <v>1636</v>
      </c>
      <c r="D839" s="75" t="s">
        <v>1177</v>
      </c>
      <c r="E839" s="47" t="s">
        <v>678</v>
      </c>
      <c r="F839" s="47" t="s">
        <v>1177</v>
      </c>
      <c r="G839" s="75" t="s">
        <v>68</v>
      </c>
      <c r="H839" s="75" t="s">
        <v>656</v>
      </c>
      <c r="I839" s="47"/>
      <c r="J839" s="48" t="s">
        <v>708</v>
      </c>
      <c r="K839" s="116">
        <f>ROUND(Tableau15[[#This Row],[LEN]]*7.27,0)</f>
        <v>95</v>
      </c>
      <c r="L839" s="116">
        <v>15</v>
      </c>
      <c r="M839" s="133" t="str">
        <f t="shared" si="5"/>
        <v>none</v>
      </c>
      <c r="N839" s="116">
        <f>LEN(Tableau15[[#This Row],[LABEL]])</f>
        <v>13</v>
      </c>
      <c r="O839" s="116">
        <v>15</v>
      </c>
      <c r="P839" s="116" t="e">
        <f>ROUND(Tableau15[[#This Row],[LEN]]*#REF!+#REF!,0)</f>
        <v>#REF!</v>
      </c>
    </row>
    <row r="840" spans="1:16" s="273" customFormat="1" x14ac:dyDescent="0.25">
      <c r="A840" s="337" t="s">
        <v>301</v>
      </c>
      <c r="B840" s="338" t="s">
        <v>208</v>
      </c>
      <c r="C840" s="339" t="s">
        <v>15</v>
      </c>
      <c r="D840" s="340" t="s">
        <v>1177</v>
      </c>
      <c r="E840" s="339" t="s">
        <v>679</v>
      </c>
      <c r="F840" s="339" t="s">
        <v>1177</v>
      </c>
      <c r="G840" s="340" t="s">
        <v>68</v>
      </c>
      <c r="H840" s="340" t="str">
        <f>IFERROR(IF(SEARCH(".00.00.00.00.00",Tableau15[[#This Row],[name]],1)=7,"Division",""),"")</f>
        <v>Division</v>
      </c>
      <c r="I840" s="339"/>
      <c r="J840" s="341" t="s">
        <v>708</v>
      </c>
      <c r="K840" s="342">
        <f>ROUND(Tableau15[[#This Row],[LEN]]*7.27,0)</f>
        <v>174</v>
      </c>
      <c r="L840" s="342">
        <v>15</v>
      </c>
      <c r="M840" s="343" t="str">
        <f t="shared" si="5"/>
        <v>none</v>
      </c>
      <c r="N840" s="342">
        <f>LEN(Tableau15[[#This Row],[LABEL]])</f>
        <v>24</v>
      </c>
      <c r="O840" s="342">
        <v>15</v>
      </c>
      <c r="P840" s="342" t="e">
        <f>ROUND(Tableau15[[#This Row],[LEN]]*#REF!+#REF!,0)</f>
        <v>#REF!</v>
      </c>
    </row>
    <row r="841" spans="1:16" s="97" customFormat="1" x14ac:dyDescent="0.25">
      <c r="A841" s="41" t="s">
        <v>1637</v>
      </c>
      <c r="B841" s="42" t="s">
        <v>301</v>
      </c>
      <c r="C841" s="43" t="s">
        <v>849</v>
      </c>
      <c r="D841" s="74" t="s">
        <v>1177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115">
        <f>ROUND(Tableau15[[#This Row],[LEN]]*7.27,0)</f>
        <v>80</v>
      </c>
      <c r="L841" s="115">
        <v>15</v>
      </c>
      <c r="M841" s="132" t="str">
        <f t="shared" si="5"/>
        <v>none</v>
      </c>
      <c r="N841" s="115">
        <f>LEN(Tableau15[[#This Row],[LABEL]])</f>
        <v>11</v>
      </c>
      <c r="O841" s="115">
        <v>15</v>
      </c>
      <c r="P841" s="115" t="e">
        <f>ROUND(Tableau15[[#This Row],[LEN]]*#REF!+#REF!,0)</f>
        <v>#REF!</v>
      </c>
    </row>
    <row r="842" spans="1:16" s="97" customFormat="1" x14ac:dyDescent="0.25">
      <c r="A842" s="45" t="s">
        <v>1640</v>
      </c>
      <c r="B842" s="46" t="s">
        <v>1637</v>
      </c>
      <c r="C842" s="47" t="s">
        <v>112</v>
      </c>
      <c r="D842" s="75" t="s">
        <v>1177</v>
      </c>
      <c r="E842" s="47" t="s">
        <v>667</v>
      </c>
      <c r="F842" s="47" t="s">
        <v>2006</v>
      </c>
      <c r="G842" s="75" t="s">
        <v>68</v>
      </c>
      <c r="H842" s="75" t="s">
        <v>654</v>
      </c>
      <c r="I842" s="47"/>
      <c r="J842" s="48" t="s">
        <v>708</v>
      </c>
      <c r="K842" s="116">
        <f>ROUND(Tableau15[[#This Row],[LEN]]*7.27,0)</f>
        <v>167</v>
      </c>
      <c r="L842" s="116">
        <v>15</v>
      </c>
      <c r="M842" s="133" t="str">
        <f t="shared" si="5"/>
        <v>none</v>
      </c>
      <c r="N842" s="116">
        <f>LEN(Tableau15[[#This Row],[LABEL]])</f>
        <v>23</v>
      </c>
      <c r="O842" s="116">
        <v>15</v>
      </c>
      <c r="P842" s="116" t="e">
        <f>ROUND(Tableau15[[#This Row],[LEN]]*#REF!+#REF!,0)</f>
        <v>#REF!</v>
      </c>
    </row>
    <row r="843" spans="1:16" s="97" customFormat="1" x14ac:dyDescent="0.25">
      <c r="A843" s="45" t="s">
        <v>1641</v>
      </c>
      <c r="B843" s="46" t="s">
        <v>1637</v>
      </c>
      <c r="C843" s="47" t="s">
        <v>113</v>
      </c>
      <c r="D843" s="75" t="s">
        <v>1177</v>
      </c>
      <c r="E843" s="47" t="s">
        <v>667</v>
      </c>
      <c r="F843" s="47" t="s">
        <v>2006</v>
      </c>
      <c r="G843" s="75" t="s">
        <v>68</v>
      </c>
      <c r="H843" s="75" t="s">
        <v>654</v>
      </c>
      <c r="I843" s="47"/>
      <c r="J843" s="48" t="s">
        <v>708</v>
      </c>
      <c r="K843" s="116">
        <f>ROUND(Tableau15[[#This Row],[LEN]]*7.27,0)</f>
        <v>233</v>
      </c>
      <c r="L843" s="116">
        <v>15</v>
      </c>
      <c r="M843" s="133" t="str">
        <f t="shared" si="5"/>
        <v>none</v>
      </c>
      <c r="N843" s="116">
        <f>LEN(Tableau15[[#This Row],[LABEL]])</f>
        <v>32</v>
      </c>
      <c r="O843" s="116">
        <v>15</v>
      </c>
      <c r="P843" s="116" t="e">
        <f>ROUND(Tableau15[[#This Row],[LEN]]*#REF!+#REF!,0)</f>
        <v>#REF!</v>
      </c>
    </row>
    <row r="844" spans="1:16" s="97" customFormat="1" x14ac:dyDescent="0.25">
      <c r="A844" s="41" t="s">
        <v>1638</v>
      </c>
      <c r="B844" s="42" t="s">
        <v>301</v>
      </c>
      <c r="C844" s="43" t="s">
        <v>1639</v>
      </c>
      <c r="D844" s="74" t="s">
        <v>1177</v>
      </c>
      <c r="E844" s="43" t="s">
        <v>679</v>
      </c>
      <c r="F844" s="43" t="s">
        <v>675</v>
      </c>
      <c r="G844" s="74" t="s">
        <v>68</v>
      </c>
      <c r="H844" s="74" t="s">
        <v>654</v>
      </c>
      <c r="I844" s="43"/>
      <c r="J844" s="44" t="s">
        <v>708</v>
      </c>
      <c r="K844" s="115">
        <f>ROUND(Tableau15[[#This Row],[LEN]]*7.27,0)</f>
        <v>247</v>
      </c>
      <c r="L844" s="115">
        <v>15</v>
      </c>
      <c r="M844" s="132" t="str">
        <f t="shared" si="5"/>
        <v>none</v>
      </c>
      <c r="N844" s="115">
        <f>LEN(Tableau15[[#This Row],[LABEL]])</f>
        <v>34</v>
      </c>
      <c r="O844" s="115">
        <v>15</v>
      </c>
      <c r="P844" s="115" t="e">
        <f>ROUND(Tableau15[[#This Row],[LEN]]*#REF!+#REF!,0)</f>
        <v>#REF!</v>
      </c>
    </row>
    <row r="845" spans="1:16" s="273" customFormat="1" x14ac:dyDescent="0.25">
      <c r="A845" s="338" t="s">
        <v>284</v>
      </c>
      <c r="B845" s="338" t="s">
        <v>208</v>
      </c>
      <c r="C845" s="339" t="s">
        <v>1950</v>
      </c>
      <c r="D845" s="340" t="s">
        <v>1177</v>
      </c>
      <c r="E845" s="339" t="s">
        <v>1951</v>
      </c>
      <c r="F845" s="339" t="s">
        <v>1177</v>
      </c>
      <c r="G845" s="340" t="s">
        <v>68</v>
      </c>
      <c r="H845" s="340" t="str">
        <f>IFERROR(IF(SEARCH(".00.00.00.00.00",Tableau15[[#This Row],[name]],1)=7,"Division",""),"")</f>
        <v>Division</v>
      </c>
      <c r="I845" s="339"/>
      <c r="J845" s="341" t="s">
        <v>708</v>
      </c>
      <c r="K845" s="342">
        <f>ROUND(Tableau15[[#This Row],[LEN]]*7.27,0)</f>
        <v>51</v>
      </c>
      <c r="L845" s="342">
        <v>15</v>
      </c>
      <c r="M845" s="343" t="str">
        <f t="shared" si="5"/>
        <v>none</v>
      </c>
      <c r="N845" s="342">
        <f>LEN(Tableau15[[#This Row],[LABEL]])</f>
        <v>7</v>
      </c>
      <c r="O845" s="342">
        <v>15</v>
      </c>
      <c r="P845" s="342" t="e">
        <f>ROUND(Tableau15[[#This Row],[LEN]]*#REF!+#REF!,0)</f>
        <v>#REF!</v>
      </c>
    </row>
    <row r="846" spans="1:16" s="97" customFormat="1" x14ac:dyDescent="0.25">
      <c r="A846" s="41" t="s">
        <v>2011</v>
      </c>
      <c r="B846" s="42" t="s">
        <v>284</v>
      </c>
      <c r="C846" s="43" t="s">
        <v>2016</v>
      </c>
      <c r="D846" s="74" t="s">
        <v>1177</v>
      </c>
      <c r="E846" s="43" t="s">
        <v>1951</v>
      </c>
      <c r="F846" s="43" t="s">
        <v>1177</v>
      </c>
      <c r="G846" s="74" t="s">
        <v>68</v>
      </c>
      <c r="H846" s="74" t="s">
        <v>654</v>
      </c>
      <c r="I846" s="43"/>
      <c r="J846" s="44" t="s">
        <v>708</v>
      </c>
      <c r="K846" s="115">
        <f>ROUND(Tableau15[[#This Row],[LEN]]*7.27,0)</f>
        <v>538</v>
      </c>
      <c r="L846" s="115">
        <v>15</v>
      </c>
      <c r="M846" s="132" t="str">
        <f t="shared" si="5"/>
        <v>none</v>
      </c>
      <c r="N846" s="115">
        <f>LEN(Tableau15[[#This Row],[LABEL]])</f>
        <v>74</v>
      </c>
      <c r="O846" s="115">
        <v>15</v>
      </c>
      <c r="P846" s="115" t="e">
        <f>ROUND(Tableau15[[#This Row],[LEN]]*#REF!+#REF!,0)</f>
        <v>#REF!</v>
      </c>
    </row>
    <row r="847" spans="1:16" s="97" customFormat="1" x14ac:dyDescent="0.25">
      <c r="A847" s="41" t="s">
        <v>2012</v>
      </c>
      <c r="B847" s="42" t="s">
        <v>284</v>
      </c>
      <c r="C847" s="43" t="s">
        <v>2017</v>
      </c>
      <c r="D847" s="74" t="s">
        <v>1177</v>
      </c>
      <c r="E847" s="43" t="s">
        <v>1951</v>
      </c>
      <c r="F847" s="43" t="s">
        <v>1177</v>
      </c>
      <c r="G847" s="74" t="s">
        <v>68</v>
      </c>
      <c r="H847" s="74" t="s">
        <v>570</v>
      </c>
      <c r="I847" s="43"/>
      <c r="J847" s="44" t="s">
        <v>708</v>
      </c>
      <c r="K847" s="115">
        <f>ROUND(Tableau15[[#This Row],[LEN]]*7.27,0)</f>
        <v>422</v>
      </c>
      <c r="L847" s="115">
        <v>15</v>
      </c>
      <c r="M847" s="132" t="str">
        <f t="shared" si="5"/>
        <v>none</v>
      </c>
      <c r="N847" s="115">
        <f>LEN(Tableau15[[#This Row],[LABEL]])</f>
        <v>58</v>
      </c>
      <c r="O847" s="115">
        <v>15</v>
      </c>
      <c r="P847" s="115" t="e">
        <f>ROUND(Tableau15[[#This Row],[LEN]]*#REF!+#REF!,0)</f>
        <v>#REF!</v>
      </c>
    </row>
    <row r="848" spans="1:16" s="97" customFormat="1" x14ac:dyDescent="0.25">
      <c r="A848" s="41" t="s">
        <v>2013</v>
      </c>
      <c r="B848" s="42" t="s">
        <v>284</v>
      </c>
      <c r="C848" s="43" t="s">
        <v>849</v>
      </c>
      <c r="D848" s="74" t="s">
        <v>1177</v>
      </c>
      <c r="E848" s="43" t="s">
        <v>667</v>
      </c>
      <c r="F848" s="43" t="s">
        <v>840</v>
      </c>
      <c r="G848" s="74" t="s">
        <v>68</v>
      </c>
      <c r="H848" s="74" t="s">
        <v>655</v>
      </c>
      <c r="I848" s="43"/>
      <c r="J848" s="44" t="s">
        <v>708</v>
      </c>
      <c r="K848" s="115">
        <f>ROUND(Tableau15[[#This Row],[LEN]]*7.27,0)</f>
        <v>80</v>
      </c>
      <c r="L848" s="115">
        <v>15</v>
      </c>
      <c r="M848" s="132" t="str">
        <f t="shared" si="5"/>
        <v>none</v>
      </c>
      <c r="N848" s="115">
        <f>LEN(Tableau15[[#This Row],[LABEL]])</f>
        <v>11</v>
      </c>
      <c r="O848" s="115">
        <v>15</v>
      </c>
      <c r="P848" s="115" t="e">
        <f>ROUND(Tableau15[[#This Row],[LEN]]*#REF!+#REF!,0)</f>
        <v>#REF!</v>
      </c>
    </row>
    <row r="849" spans="1:16" s="97" customFormat="1" x14ac:dyDescent="0.25">
      <c r="A849" s="45" t="s">
        <v>2018</v>
      </c>
      <c r="B849" s="46" t="s">
        <v>2013</v>
      </c>
      <c r="C849" s="47" t="s">
        <v>112</v>
      </c>
      <c r="D849" s="75" t="s">
        <v>1177</v>
      </c>
      <c r="E849" s="47" t="s">
        <v>667</v>
      </c>
      <c r="F849" s="47" t="s">
        <v>2006</v>
      </c>
      <c r="G849" s="75" t="s">
        <v>68</v>
      </c>
      <c r="H849" s="75" t="s">
        <v>654</v>
      </c>
      <c r="I849" s="47"/>
      <c r="J849" s="48" t="s">
        <v>708</v>
      </c>
      <c r="K849" s="116">
        <f>ROUND(Tableau15[[#This Row],[LEN]]*7.27,0)</f>
        <v>167</v>
      </c>
      <c r="L849" s="116">
        <v>15</v>
      </c>
      <c r="M849" s="133" t="str">
        <f t="shared" si="5"/>
        <v>none</v>
      </c>
      <c r="N849" s="116">
        <f>LEN(Tableau15[[#This Row],[LABEL]])</f>
        <v>23</v>
      </c>
      <c r="O849" s="116">
        <v>15</v>
      </c>
      <c r="P849" s="116" t="e">
        <f>ROUND(Tableau15[[#This Row],[LEN]]*#REF!+#REF!,0)</f>
        <v>#REF!</v>
      </c>
    </row>
    <row r="850" spans="1:16" s="97" customFormat="1" ht="15.75" thickBot="1" x14ac:dyDescent="0.3">
      <c r="A850" s="45" t="s">
        <v>2019</v>
      </c>
      <c r="B850" s="46" t="s">
        <v>2013</v>
      </c>
      <c r="C850" s="47" t="s">
        <v>113</v>
      </c>
      <c r="D850" s="75" t="s">
        <v>1177</v>
      </c>
      <c r="E850" s="47" t="s">
        <v>667</v>
      </c>
      <c r="F850" s="47" t="s">
        <v>2006</v>
      </c>
      <c r="G850" s="75" t="s">
        <v>68</v>
      </c>
      <c r="H850" s="75" t="s">
        <v>654</v>
      </c>
      <c r="I850" s="47"/>
      <c r="J850" s="48" t="s">
        <v>708</v>
      </c>
      <c r="K850" s="116">
        <f>ROUND(Tableau15[[#This Row],[LEN]]*7.27,0)</f>
        <v>233</v>
      </c>
      <c r="L850" s="116">
        <v>15</v>
      </c>
      <c r="M850" s="133" t="str">
        <f t="shared" si="5"/>
        <v>none</v>
      </c>
      <c r="N850" s="116">
        <f>LEN(Tableau15[[#This Row],[LABEL]])</f>
        <v>32</v>
      </c>
      <c r="O850" s="116">
        <v>15</v>
      </c>
      <c r="P850" s="116" t="e">
        <f>ROUND(Tableau15[[#This Row],[LEN]]*#REF!+#REF!,0)</f>
        <v>#REF!</v>
      </c>
    </row>
    <row r="851" spans="1:16" s="97" customFormat="1" ht="15.75" thickTop="1" x14ac:dyDescent="0.25">
      <c r="A851" s="156" t="s">
        <v>203</v>
      </c>
      <c r="B851" s="156" t="s">
        <v>198</v>
      </c>
      <c r="C851" s="157" t="s">
        <v>1162</v>
      </c>
      <c r="D851" s="158" t="s">
        <v>471</v>
      </c>
      <c r="E851" s="158" t="s">
        <v>1177</v>
      </c>
      <c r="F851" s="157" t="s">
        <v>1084</v>
      </c>
      <c r="G851" s="158" t="s">
        <v>171</v>
      </c>
      <c r="H851" s="158" t="s">
        <v>615</v>
      </c>
      <c r="I851" s="157"/>
      <c r="J851" s="159" t="s">
        <v>707</v>
      </c>
      <c r="K851" s="160">
        <f>ROUND(Tableau15[[#This Row],[LEN]]*7.27,0)</f>
        <v>124</v>
      </c>
      <c r="L851" s="160">
        <v>15</v>
      </c>
      <c r="M851" s="161" t="str">
        <f t="shared" si="5"/>
        <v>new</v>
      </c>
      <c r="N851" s="160">
        <f>LEN(Tableau15[[#This Row],[LABEL]])</f>
        <v>17</v>
      </c>
      <c r="O851" s="162">
        <v>15</v>
      </c>
      <c r="P851" s="162" t="e">
        <f>ROUND(Tableau15[[#This Row],[LEN]]*#REF!+#REF!,0)</f>
        <v>#REF!</v>
      </c>
    </row>
    <row r="852" spans="1:16" s="92" customFormat="1" ht="15.75" thickBot="1" x14ac:dyDescent="0.3">
      <c r="A852" s="191" t="s">
        <v>209</v>
      </c>
      <c r="B852" s="191" t="s">
        <v>203</v>
      </c>
      <c r="C852" s="192" t="s">
        <v>177</v>
      </c>
      <c r="D852" s="193" t="s">
        <v>0</v>
      </c>
      <c r="E852" s="192" t="s">
        <v>1177</v>
      </c>
      <c r="F852" s="193" t="s">
        <v>1177</v>
      </c>
      <c r="G852" s="192" t="s">
        <v>169</v>
      </c>
      <c r="H852" s="192" t="s">
        <v>616</v>
      </c>
      <c r="I852" s="193"/>
      <c r="J852" s="194" t="s">
        <v>708</v>
      </c>
      <c r="K852" s="195">
        <f>ROUND(Tableau15[[#This Row],[LEN]]*7.27,0)</f>
        <v>153</v>
      </c>
      <c r="L852" s="195">
        <v>15</v>
      </c>
      <c r="M852" s="196" t="str">
        <f t="shared" si="5"/>
        <v>none</v>
      </c>
      <c r="N852" s="195">
        <f>LEN(Tableau15[[#This Row],[LABEL]])</f>
        <v>21</v>
      </c>
      <c r="O852" s="197">
        <v>15</v>
      </c>
      <c r="P852" s="197" t="e">
        <f>ROUND(Tableau15[[#This Row],[LEN]]*#REF!+#REF!,0)</f>
        <v>#REF!</v>
      </c>
    </row>
    <row r="853" spans="1:16" s="273" customFormat="1" ht="15.75" thickTop="1" x14ac:dyDescent="0.25">
      <c r="A853" s="351" t="s">
        <v>303</v>
      </c>
      <c r="B853" s="352" t="s">
        <v>209</v>
      </c>
      <c r="C853" s="353" t="s">
        <v>57</v>
      </c>
      <c r="D853" s="354" t="s">
        <v>1177</v>
      </c>
      <c r="E853" s="353" t="s">
        <v>663</v>
      </c>
      <c r="F853" s="353" t="s">
        <v>1177</v>
      </c>
      <c r="G853" s="354" t="s">
        <v>169</v>
      </c>
      <c r="H853" s="354" t="str">
        <f>IFERROR(IF(SEARCH(".00.00.00.00.00",Tableau15[[#This Row],[name]],1)=7,"Division",""),"")</f>
        <v>Division</v>
      </c>
      <c r="I853" s="353"/>
      <c r="J853" s="355" t="s">
        <v>708</v>
      </c>
      <c r="K853" s="356">
        <f>ROUND(Tableau15[[#This Row],[LEN]]*7.27,0)</f>
        <v>102</v>
      </c>
      <c r="L853" s="356">
        <v>15</v>
      </c>
      <c r="M853" s="357" t="str">
        <f t="shared" si="5"/>
        <v>none</v>
      </c>
      <c r="N853" s="356">
        <f>LEN(Tableau15[[#This Row],[LABEL]])</f>
        <v>14</v>
      </c>
      <c r="O853" s="356">
        <v>15</v>
      </c>
      <c r="P853" s="356" t="e">
        <f>ROUND(Tableau15[[#This Row],[LEN]]*#REF!+#REF!,0)</f>
        <v>#REF!</v>
      </c>
    </row>
    <row r="854" spans="1:16" s="97" customFormat="1" x14ac:dyDescent="0.25">
      <c r="A854" s="49" t="s">
        <v>876</v>
      </c>
      <c r="B854" s="50" t="s">
        <v>303</v>
      </c>
      <c r="C854" s="51" t="s">
        <v>891</v>
      </c>
      <c r="D854" s="76" t="s">
        <v>1177</v>
      </c>
      <c r="E854" s="51" t="s">
        <v>663</v>
      </c>
      <c r="F854" s="51" t="s">
        <v>1177</v>
      </c>
      <c r="G854" s="76" t="s">
        <v>169</v>
      </c>
      <c r="H854" s="76" t="s">
        <v>655</v>
      </c>
      <c r="I854" s="51"/>
      <c r="J854" s="52" t="s">
        <v>708</v>
      </c>
      <c r="K854" s="117">
        <f>ROUND(Tableau15[[#This Row],[LEN]]*7.27,0)</f>
        <v>124</v>
      </c>
      <c r="L854" s="117">
        <v>15</v>
      </c>
      <c r="M854" s="134" t="str">
        <f t="shared" si="5"/>
        <v>none</v>
      </c>
      <c r="N854" s="117">
        <f>LEN(Tableau15[[#This Row],[LABEL]])</f>
        <v>17</v>
      </c>
      <c r="O854" s="117">
        <v>15</v>
      </c>
      <c r="P854" s="117" t="e">
        <f>ROUND(Tableau15[[#This Row],[LEN]]*#REF!+#REF!,0)</f>
        <v>#REF!</v>
      </c>
    </row>
    <row r="855" spans="1:16" s="97" customFormat="1" x14ac:dyDescent="0.25">
      <c r="A855" s="53" t="s">
        <v>884</v>
      </c>
      <c r="B855" s="54" t="s">
        <v>876</v>
      </c>
      <c r="C855" s="55" t="s">
        <v>890</v>
      </c>
      <c r="D855" s="77" t="s">
        <v>1177</v>
      </c>
      <c r="E855" s="55" t="s">
        <v>663</v>
      </c>
      <c r="F855" s="55" t="s">
        <v>1177</v>
      </c>
      <c r="G855" s="77" t="s">
        <v>169</v>
      </c>
      <c r="H855" s="77" t="s">
        <v>654</v>
      </c>
      <c r="I855" s="55"/>
      <c r="J855" s="56" t="s">
        <v>708</v>
      </c>
      <c r="K855" s="118">
        <f>ROUND(Tableau15[[#This Row],[LEN]]*7.27,0)</f>
        <v>138</v>
      </c>
      <c r="L855" s="118">
        <v>15</v>
      </c>
      <c r="M855" s="135" t="str">
        <f t="shared" si="5"/>
        <v>none</v>
      </c>
      <c r="N855" s="118">
        <f>LEN(Tableau15[[#This Row],[LABEL]])</f>
        <v>19</v>
      </c>
      <c r="O855" s="118">
        <v>15</v>
      </c>
      <c r="P855" s="118" t="e">
        <f>ROUND(Tableau15[[#This Row],[LEN]]*#REF!+#REF!,0)</f>
        <v>#REF!</v>
      </c>
    </row>
    <row r="856" spans="1:16" s="97" customFormat="1" x14ac:dyDescent="0.25">
      <c r="A856" s="53" t="s">
        <v>885</v>
      </c>
      <c r="B856" s="54" t="s">
        <v>876</v>
      </c>
      <c r="C856" s="55" t="s">
        <v>893</v>
      </c>
      <c r="D856" s="77" t="s">
        <v>1177</v>
      </c>
      <c r="E856" s="55" t="s">
        <v>663</v>
      </c>
      <c r="F856" s="55" t="s">
        <v>1177</v>
      </c>
      <c r="G856" s="77" t="s">
        <v>169</v>
      </c>
      <c r="H856" s="77" t="s">
        <v>656</v>
      </c>
      <c r="I856" s="55"/>
      <c r="J856" s="56" t="s">
        <v>708</v>
      </c>
      <c r="K856" s="118">
        <f>ROUND(Tableau15[[#This Row],[LEN]]*7.27,0)</f>
        <v>182</v>
      </c>
      <c r="L856" s="118">
        <v>15</v>
      </c>
      <c r="M856" s="135" t="str">
        <f t="shared" si="5"/>
        <v>none</v>
      </c>
      <c r="N856" s="118">
        <f>LEN(Tableau15[[#This Row],[LABEL]])</f>
        <v>25</v>
      </c>
      <c r="O856" s="118">
        <v>15</v>
      </c>
      <c r="P856" s="118" t="e">
        <f>ROUND(Tableau15[[#This Row],[LEN]]*#REF!+#REF!,0)</f>
        <v>#REF!</v>
      </c>
    </row>
    <row r="857" spans="1:16" s="97" customFormat="1" x14ac:dyDescent="0.25">
      <c r="A857" s="53" t="s">
        <v>886</v>
      </c>
      <c r="B857" s="54" t="s">
        <v>876</v>
      </c>
      <c r="C857" s="55" t="s">
        <v>894</v>
      </c>
      <c r="D857" s="77" t="s">
        <v>1177</v>
      </c>
      <c r="E857" s="55" t="s">
        <v>663</v>
      </c>
      <c r="F857" s="55" t="s">
        <v>1177</v>
      </c>
      <c r="G857" s="77" t="s">
        <v>169</v>
      </c>
      <c r="H857" s="77" t="s">
        <v>655</v>
      </c>
      <c r="I857" s="55"/>
      <c r="J857" s="56" t="s">
        <v>708</v>
      </c>
      <c r="K857" s="118">
        <f>ROUND(Tableau15[[#This Row],[LEN]]*7.27,0)</f>
        <v>153</v>
      </c>
      <c r="L857" s="118">
        <v>15</v>
      </c>
      <c r="M857" s="135" t="str">
        <f t="shared" si="5"/>
        <v>none</v>
      </c>
      <c r="N857" s="118">
        <f>LEN(Tableau15[[#This Row],[LABEL]])</f>
        <v>21</v>
      </c>
      <c r="O857" s="118">
        <v>15</v>
      </c>
      <c r="P857" s="118" t="e">
        <f>ROUND(Tableau15[[#This Row],[LEN]]*#REF!+#REF!,0)</f>
        <v>#REF!</v>
      </c>
    </row>
    <row r="858" spans="1:16" s="97" customFormat="1" x14ac:dyDescent="0.25">
      <c r="A858" s="57" t="s">
        <v>896</v>
      </c>
      <c r="B858" s="58" t="s">
        <v>886</v>
      </c>
      <c r="C858" s="59" t="s">
        <v>898</v>
      </c>
      <c r="D858" s="78" t="s">
        <v>1177</v>
      </c>
      <c r="E858" s="59" t="s">
        <v>663</v>
      </c>
      <c r="F858" s="59" t="s">
        <v>1177</v>
      </c>
      <c r="G858" s="78" t="s">
        <v>169</v>
      </c>
      <c r="H858" s="78" t="s">
        <v>656</v>
      </c>
      <c r="I858" s="59"/>
      <c r="J858" s="60" t="s">
        <v>708</v>
      </c>
      <c r="K858" s="119">
        <f>ROUND(Tableau15[[#This Row],[LEN]]*7.27,0)</f>
        <v>160</v>
      </c>
      <c r="L858" s="119">
        <v>15</v>
      </c>
      <c r="M858" s="136" t="str">
        <f t="shared" si="5"/>
        <v>none</v>
      </c>
      <c r="N858" s="119">
        <f>LEN(Tableau15[[#This Row],[LABEL]])</f>
        <v>22</v>
      </c>
      <c r="O858" s="119">
        <v>15</v>
      </c>
      <c r="P858" s="119" t="e">
        <f>ROUND(Tableau15[[#This Row],[LEN]]*#REF!+#REF!,0)</f>
        <v>#REF!</v>
      </c>
    </row>
    <row r="859" spans="1:16" s="97" customFormat="1" x14ac:dyDescent="0.25">
      <c r="A859" s="57" t="s">
        <v>897</v>
      </c>
      <c r="B859" s="58" t="s">
        <v>886</v>
      </c>
      <c r="C859" s="59" t="s">
        <v>899</v>
      </c>
      <c r="D859" s="78" t="s">
        <v>1177</v>
      </c>
      <c r="E859" s="59" t="s">
        <v>663</v>
      </c>
      <c r="F859" s="59" t="s">
        <v>1177</v>
      </c>
      <c r="G859" s="78" t="s">
        <v>169</v>
      </c>
      <c r="H859" s="78" t="s">
        <v>656</v>
      </c>
      <c r="I859" s="59"/>
      <c r="J859" s="60" t="s">
        <v>708</v>
      </c>
      <c r="K859" s="119">
        <f>ROUND(Tableau15[[#This Row],[LEN]]*7.27,0)</f>
        <v>204</v>
      </c>
      <c r="L859" s="119">
        <v>15</v>
      </c>
      <c r="M859" s="136" t="str">
        <f t="shared" si="5"/>
        <v>none</v>
      </c>
      <c r="N859" s="119">
        <f>LEN(Tableau15[[#This Row],[LABEL]])</f>
        <v>28</v>
      </c>
      <c r="O859" s="119">
        <v>15</v>
      </c>
      <c r="P859" s="119" t="e">
        <f>ROUND(Tableau15[[#This Row],[LEN]]*#REF!+#REF!,0)</f>
        <v>#REF!</v>
      </c>
    </row>
    <row r="860" spans="1:16" s="97" customFormat="1" x14ac:dyDescent="0.25">
      <c r="A860" s="53" t="s">
        <v>887</v>
      </c>
      <c r="B860" s="54" t="s">
        <v>876</v>
      </c>
      <c r="C860" s="55" t="s">
        <v>895</v>
      </c>
      <c r="D860" s="77" t="s">
        <v>1177</v>
      </c>
      <c r="E860" s="55" t="s">
        <v>663</v>
      </c>
      <c r="F860" s="55" t="s">
        <v>1177</v>
      </c>
      <c r="G860" s="77" t="s">
        <v>169</v>
      </c>
      <c r="H860" s="77" t="s">
        <v>654</v>
      </c>
      <c r="I860" s="55"/>
      <c r="J860" s="56" t="s">
        <v>708</v>
      </c>
      <c r="K860" s="118">
        <f>ROUND(Tableau15[[#This Row],[LEN]]*7.27,0)</f>
        <v>153</v>
      </c>
      <c r="L860" s="118">
        <v>15</v>
      </c>
      <c r="M860" s="135" t="str">
        <f t="shared" si="5"/>
        <v>none</v>
      </c>
      <c r="N860" s="118">
        <f>LEN(Tableau15[[#This Row],[LABEL]])</f>
        <v>21</v>
      </c>
      <c r="O860" s="118">
        <v>15</v>
      </c>
      <c r="P860" s="118" t="e">
        <f>ROUND(Tableau15[[#This Row],[LEN]]*#REF!+#REF!,0)</f>
        <v>#REF!</v>
      </c>
    </row>
    <row r="861" spans="1:16" s="97" customFormat="1" x14ac:dyDescent="0.25">
      <c r="A861" s="49" t="s">
        <v>877</v>
      </c>
      <c r="B861" s="50" t="s">
        <v>303</v>
      </c>
      <c r="C861" s="51" t="s">
        <v>881</v>
      </c>
      <c r="D861" s="76" t="s">
        <v>1177</v>
      </c>
      <c r="E861" s="51" t="s">
        <v>663</v>
      </c>
      <c r="F861" s="51" t="s">
        <v>1177</v>
      </c>
      <c r="G861" s="76" t="s">
        <v>169</v>
      </c>
      <c r="H861" s="76" t="s">
        <v>654</v>
      </c>
      <c r="I861" s="51"/>
      <c r="J861" s="52" t="s">
        <v>708</v>
      </c>
      <c r="K861" s="117">
        <f>ROUND(Tableau15[[#This Row],[LEN]]*7.27,0)</f>
        <v>189</v>
      </c>
      <c r="L861" s="117">
        <v>15</v>
      </c>
      <c r="M861" s="134" t="str">
        <f t="shared" si="5"/>
        <v>none</v>
      </c>
      <c r="N861" s="117">
        <f>LEN(Tableau15[[#This Row],[LABEL]])</f>
        <v>26</v>
      </c>
      <c r="O861" s="117">
        <v>15</v>
      </c>
      <c r="P861" s="117" t="e">
        <f>ROUND(Tableau15[[#This Row],[LEN]]*#REF!+#REF!,0)</f>
        <v>#REF!</v>
      </c>
    </row>
    <row r="862" spans="1:16" s="97" customFormat="1" x14ac:dyDescent="0.25">
      <c r="A862" s="49" t="s">
        <v>878</v>
      </c>
      <c r="B862" s="50" t="s">
        <v>303</v>
      </c>
      <c r="C862" s="51" t="s">
        <v>882</v>
      </c>
      <c r="D862" s="76" t="s">
        <v>1177</v>
      </c>
      <c r="E862" s="51" t="s">
        <v>663</v>
      </c>
      <c r="F862" s="51" t="s">
        <v>1177</v>
      </c>
      <c r="G862" s="76" t="s">
        <v>169</v>
      </c>
      <c r="H862" s="76" t="s">
        <v>654</v>
      </c>
      <c r="I862" s="51"/>
      <c r="J862" s="52" t="s">
        <v>708</v>
      </c>
      <c r="K862" s="117">
        <f>ROUND(Tableau15[[#This Row],[LEN]]*7.27,0)</f>
        <v>240</v>
      </c>
      <c r="L862" s="117">
        <v>15</v>
      </c>
      <c r="M862" s="134" t="str">
        <f t="shared" si="5"/>
        <v>none</v>
      </c>
      <c r="N862" s="117">
        <f>LEN(Tableau15[[#This Row],[LABEL]])</f>
        <v>33</v>
      </c>
      <c r="O862" s="117">
        <v>15</v>
      </c>
      <c r="P862" s="117" t="e">
        <f>ROUND(Tableau15[[#This Row],[LEN]]*#REF!+#REF!,0)</f>
        <v>#REF!</v>
      </c>
    </row>
    <row r="863" spans="1:16" s="97" customFormat="1" x14ac:dyDescent="0.25">
      <c r="A863" s="49" t="s">
        <v>879</v>
      </c>
      <c r="B863" s="50" t="s">
        <v>303</v>
      </c>
      <c r="C863" s="51" t="s">
        <v>883</v>
      </c>
      <c r="D863" s="76" t="s">
        <v>1177</v>
      </c>
      <c r="E863" s="51" t="s">
        <v>663</v>
      </c>
      <c r="F863" s="51" t="s">
        <v>1177</v>
      </c>
      <c r="G863" s="76" t="s">
        <v>169</v>
      </c>
      <c r="H863" s="76" t="s">
        <v>17</v>
      </c>
      <c r="I863" s="51"/>
      <c r="J863" s="52" t="s">
        <v>708</v>
      </c>
      <c r="K863" s="117">
        <f>ROUND(Tableau15[[#This Row],[LEN]]*7.27,0)</f>
        <v>276</v>
      </c>
      <c r="L863" s="117">
        <v>15</v>
      </c>
      <c r="M863" s="134" t="str">
        <f t="shared" si="5"/>
        <v>none</v>
      </c>
      <c r="N863" s="117">
        <f>LEN(Tableau15[[#This Row],[LABEL]])</f>
        <v>38</v>
      </c>
      <c r="O863" s="117">
        <v>15</v>
      </c>
      <c r="P863" s="117" t="e">
        <f>ROUND(Tableau15[[#This Row],[LEN]]*#REF!+#REF!,0)</f>
        <v>#REF!</v>
      </c>
    </row>
    <row r="864" spans="1:16" s="97" customFormat="1" x14ac:dyDescent="0.25">
      <c r="A864" s="49" t="s">
        <v>880</v>
      </c>
      <c r="B864" s="50" t="s">
        <v>303</v>
      </c>
      <c r="C864" s="51" t="s">
        <v>892</v>
      </c>
      <c r="D864" s="76" t="s">
        <v>1177</v>
      </c>
      <c r="E864" s="51" t="s">
        <v>663</v>
      </c>
      <c r="F864" s="51" t="s">
        <v>1177</v>
      </c>
      <c r="G864" s="76" t="s">
        <v>169</v>
      </c>
      <c r="H864" s="76" t="s">
        <v>655</v>
      </c>
      <c r="I864" s="51"/>
      <c r="J864" s="52" t="s">
        <v>708</v>
      </c>
      <c r="K864" s="117">
        <f>ROUND(Tableau15[[#This Row],[LEN]]*7.27,0)</f>
        <v>131</v>
      </c>
      <c r="L864" s="117">
        <v>15</v>
      </c>
      <c r="M864" s="134" t="str">
        <f t="shared" si="5"/>
        <v>none</v>
      </c>
      <c r="N864" s="117">
        <f>LEN(Tableau15[[#This Row],[LABEL]])</f>
        <v>18</v>
      </c>
      <c r="O864" s="117">
        <v>15</v>
      </c>
      <c r="P864" s="117" t="e">
        <f>ROUND(Tableau15[[#This Row],[LEN]]*#REF!+#REF!,0)</f>
        <v>#REF!</v>
      </c>
    </row>
    <row r="865" spans="1:16" s="97" customFormat="1" x14ac:dyDescent="0.25">
      <c r="A865" s="53" t="s">
        <v>888</v>
      </c>
      <c r="B865" s="54" t="s">
        <v>880</v>
      </c>
      <c r="C865" s="55" t="s">
        <v>900</v>
      </c>
      <c r="D865" s="77" t="s">
        <v>1177</v>
      </c>
      <c r="E865" s="55" t="s">
        <v>663</v>
      </c>
      <c r="F865" s="55" t="s">
        <v>1177</v>
      </c>
      <c r="G865" s="77" t="s">
        <v>169</v>
      </c>
      <c r="H865" s="77" t="s">
        <v>570</v>
      </c>
      <c r="I865" s="55"/>
      <c r="J865" s="56" t="s">
        <v>708</v>
      </c>
      <c r="K865" s="118">
        <f>ROUND(Tableau15[[#This Row],[LEN]]*7.27,0)</f>
        <v>73</v>
      </c>
      <c r="L865" s="118">
        <v>15</v>
      </c>
      <c r="M865" s="135" t="str">
        <f t="shared" si="5"/>
        <v>none</v>
      </c>
      <c r="N865" s="118">
        <f>LEN(Tableau15[[#This Row],[LABEL]])</f>
        <v>10</v>
      </c>
      <c r="O865" s="118">
        <v>15</v>
      </c>
      <c r="P865" s="118" t="e">
        <f>ROUND(Tableau15[[#This Row],[LEN]]*#REF!+#REF!,0)</f>
        <v>#REF!</v>
      </c>
    </row>
    <row r="866" spans="1:16" s="97" customFormat="1" x14ac:dyDescent="0.25">
      <c r="A866" s="53" t="s">
        <v>889</v>
      </c>
      <c r="B866" s="54" t="s">
        <v>880</v>
      </c>
      <c r="C866" s="55" t="s">
        <v>901</v>
      </c>
      <c r="D866" s="77" t="s">
        <v>1177</v>
      </c>
      <c r="E866" s="55" t="s">
        <v>663</v>
      </c>
      <c r="F866" s="55" t="s">
        <v>1177</v>
      </c>
      <c r="G866" s="77" t="s">
        <v>169</v>
      </c>
      <c r="H866" s="77" t="s">
        <v>654</v>
      </c>
      <c r="I866" s="55"/>
      <c r="J866" s="56" t="s">
        <v>708</v>
      </c>
      <c r="K866" s="118">
        <f>ROUND(Tableau15[[#This Row],[LEN]]*7.27,0)</f>
        <v>116</v>
      </c>
      <c r="L866" s="118">
        <v>15</v>
      </c>
      <c r="M866" s="135" t="str">
        <f t="shared" si="5"/>
        <v>none</v>
      </c>
      <c r="N866" s="118">
        <f>LEN(Tableau15[[#This Row],[LABEL]])</f>
        <v>16</v>
      </c>
      <c r="O866" s="118">
        <v>15</v>
      </c>
      <c r="P866" s="118" t="e">
        <f>ROUND(Tableau15[[#This Row],[LEN]]*#REF!+#REF!,0)</f>
        <v>#REF!</v>
      </c>
    </row>
    <row r="867" spans="1:16" s="273" customFormat="1" x14ac:dyDescent="0.25">
      <c r="A867" s="351" t="s">
        <v>305</v>
      </c>
      <c r="B867" s="352" t="s">
        <v>209</v>
      </c>
      <c r="C867" s="353" t="s">
        <v>3</v>
      </c>
      <c r="D867" s="354" t="s">
        <v>1177</v>
      </c>
      <c r="E867" s="353" t="s">
        <v>661</v>
      </c>
      <c r="F867" s="353" t="s">
        <v>1177</v>
      </c>
      <c r="G867" s="354" t="s">
        <v>169</v>
      </c>
      <c r="H867" s="354" t="str">
        <f>IFERROR(IF(SEARCH(".00.00.00.00.00",Tableau15[[#This Row],[name]],1)=7,"Division",""),"")</f>
        <v>Division</v>
      </c>
      <c r="I867" s="353"/>
      <c r="J867" s="355" t="s">
        <v>708</v>
      </c>
      <c r="K867" s="356">
        <f>ROUND(Tableau15[[#This Row],[LEN]]*7.27,0)</f>
        <v>73</v>
      </c>
      <c r="L867" s="356">
        <v>15</v>
      </c>
      <c r="M867" s="357" t="str">
        <f t="shared" si="5"/>
        <v>none</v>
      </c>
      <c r="N867" s="356">
        <f>LEN(Tableau15[[#This Row],[LABEL]])</f>
        <v>10</v>
      </c>
      <c r="O867" s="356">
        <v>15</v>
      </c>
      <c r="P867" s="356" t="e">
        <f>ROUND(Tableau15[[#This Row],[LEN]]*#REF!+#REF!,0)</f>
        <v>#REF!</v>
      </c>
    </row>
    <row r="868" spans="1:16" s="97" customFormat="1" x14ac:dyDescent="0.25">
      <c r="A868" s="49" t="s">
        <v>406</v>
      </c>
      <c r="B868" s="50" t="s">
        <v>305</v>
      </c>
      <c r="C868" s="51" t="s">
        <v>128</v>
      </c>
      <c r="D868" s="76" t="s">
        <v>1177</v>
      </c>
      <c r="E868" s="51" t="s">
        <v>669</v>
      </c>
      <c r="F868" s="51" t="s">
        <v>2029</v>
      </c>
      <c r="G868" s="76" t="s">
        <v>169</v>
      </c>
      <c r="H868" s="76" t="s">
        <v>570</v>
      </c>
      <c r="I868" s="51"/>
      <c r="J868" s="52" t="s">
        <v>708</v>
      </c>
      <c r="K868" s="117">
        <f>ROUND(Tableau15[[#This Row],[LEN]]*7.27,0)</f>
        <v>182</v>
      </c>
      <c r="L868" s="117">
        <v>15</v>
      </c>
      <c r="M868" s="134" t="str">
        <f t="shared" si="5"/>
        <v>none</v>
      </c>
      <c r="N868" s="117">
        <f>LEN(Tableau15[[#This Row],[LABEL]])</f>
        <v>25</v>
      </c>
      <c r="O868" s="117">
        <v>15</v>
      </c>
      <c r="P868" s="117" t="e">
        <f>ROUND(Tableau15[[#This Row],[LEN]]*#REF!+#REF!,0)</f>
        <v>#REF!</v>
      </c>
    </row>
    <row r="869" spans="1:16" s="97" customFormat="1" x14ac:dyDescent="0.25">
      <c r="A869" s="49" t="s">
        <v>406</v>
      </c>
      <c r="B869" s="50" t="s">
        <v>305</v>
      </c>
      <c r="C869" s="51" t="s">
        <v>130</v>
      </c>
      <c r="D869" s="76" t="s">
        <v>1177</v>
      </c>
      <c r="E869" s="51" t="s">
        <v>1951</v>
      </c>
      <c r="F869" s="51" t="s">
        <v>661</v>
      </c>
      <c r="G869" s="76" t="s">
        <v>169</v>
      </c>
      <c r="H869" s="76" t="s">
        <v>655</v>
      </c>
      <c r="I869" s="51"/>
      <c r="J869" s="52" t="s">
        <v>708</v>
      </c>
      <c r="K869" s="117">
        <f>ROUND(Tableau15[[#This Row],[LEN]]*7.27,0)</f>
        <v>131</v>
      </c>
      <c r="L869" s="117">
        <v>15</v>
      </c>
      <c r="M869" s="134" t="str">
        <f t="shared" si="5"/>
        <v>none</v>
      </c>
      <c r="N869" s="117">
        <f>LEN(Tableau15[[#This Row],[LABEL]])</f>
        <v>18</v>
      </c>
      <c r="O869" s="117">
        <v>15</v>
      </c>
      <c r="P869" s="117" t="e">
        <f>ROUND(Tableau15[[#This Row],[LEN]]*#REF!+#REF!,0)</f>
        <v>#REF!</v>
      </c>
    </row>
    <row r="870" spans="1:16" s="97" customFormat="1" x14ac:dyDescent="0.25">
      <c r="A870" s="53" t="s">
        <v>410</v>
      </c>
      <c r="B870" s="54" t="s">
        <v>406</v>
      </c>
      <c r="C870" s="55" t="s">
        <v>2030</v>
      </c>
      <c r="D870" s="77" t="s">
        <v>1177</v>
      </c>
      <c r="E870" s="55" t="s">
        <v>1951</v>
      </c>
      <c r="F870" s="55" t="s">
        <v>661</v>
      </c>
      <c r="G870" s="77" t="s">
        <v>169</v>
      </c>
      <c r="H870" s="77" t="s">
        <v>654</v>
      </c>
      <c r="I870" s="55"/>
      <c r="J870" s="56" t="s">
        <v>708</v>
      </c>
      <c r="K870" s="118">
        <f>ROUND(Tableau15[[#This Row],[LEN]]*7.27,0)</f>
        <v>211</v>
      </c>
      <c r="L870" s="118">
        <v>15</v>
      </c>
      <c r="M870" s="135" t="str">
        <f t="shared" si="5"/>
        <v>none</v>
      </c>
      <c r="N870" s="118">
        <f>LEN(Tableau15[[#This Row],[LABEL]])</f>
        <v>29</v>
      </c>
      <c r="O870" s="118">
        <v>15</v>
      </c>
      <c r="P870" s="118" t="e">
        <f>ROUND(Tableau15[[#This Row],[LEN]]*#REF!+#REF!,0)</f>
        <v>#REF!</v>
      </c>
    </row>
    <row r="871" spans="1:16" s="97" customFormat="1" x14ac:dyDescent="0.25">
      <c r="A871" s="53" t="s">
        <v>411</v>
      </c>
      <c r="B871" s="54" t="s">
        <v>406</v>
      </c>
      <c r="C871" s="55" t="s">
        <v>2031</v>
      </c>
      <c r="D871" s="77" t="s">
        <v>1177</v>
      </c>
      <c r="E871" s="55" t="s">
        <v>1951</v>
      </c>
      <c r="F871" s="55" t="s">
        <v>661</v>
      </c>
      <c r="G871" s="77" t="s">
        <v>169</v>
      </c>
      <c r="H871" s="77" t="s">
        <v>654</v>
      </c>
      <c r="I871" s="55"/>
      <c r="J871" s="56" t="s">
        <v>708</v>
      </c>
      <c r="K871" s="118">
        <f>ROUND(Tableau15[[#This Row],[LEN]]*7.27,0)</f>
        <v>313</v>
      </c>
      <c r="L871" s="118">
        <v>15</v>
      </c>
      <c r="M871" s="135" t="str">
        <f t="shared" si="5"/>
        <v>none</v>
      </c>
      <c r="N871" s="118">
        <f>LEN(Tableau15[[#This Row],[LABEL]])</f>
        <v>43</v>
      </c>
      <c r="O871" s="118">
        <v>15</v>
      </c>
      <c r="P871" s="118" t="e">
        <f>ROUND(Tableau15[[#This Row],[LEN]]*#REF!+#REF!,0)</f>
        <v>#REF!</v>
      </c>
    </row>
    <row r="872" spans="1:16" s="97" customFormat="1" x14ac:dyDescent="0.25">
      <c r="A872" s="49" t="s">
        <v>407</v>
      </c>
      <c r="B872" s="50" t="s">
        <v>305</v>
      </c>
      <c r="C872" s="51" t="s">
        <v>129</v>
      </c>
      <c r="D872" s="76" t="s">
        <v>1177</v>
      </c>
      <c r="E872" s="51" t="s">
        <v>673</v>
      </c>
      <c r="F872" s="51" t="s">
        <v>2035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ROUND(Tableau15[[#This Row],[LEN]]*7.27,0)</f>
        <v>87</v>
      </c>
      <c r="L872" s="117">
        <v>15</v>
      </c>
      <c r="M872" s="134" t="str">
        <f t="shared" si="5"/>
        <v>none</v>
      </c>
      <c r="N872" s="117">
        <f>LEN(Tableau15[[#This Row],[LABEL]])</f>
        <v>12</v>
      </c>
      <c r="O872" s="117">
        <v>15</v>
      </c>
      <c r="P872" s="117" t="e">
        <f>ROUND(Tableau15[[#This Row],[LEN]]*#REF!+#REF!,0)</f>
        <v>#REF!</v>
      </c>
    </row>
    <row r="873" spans="1:16" s="97" customFormat="1" x14ac:dyDescent="0.25">
      <c r="A873" s="53" t="s">
        <v>408</v>
      </c>
      <c r="B873" s="54" t="s">
        <v>407</v>
      </c>
      <c r="C873" s="55" t="s">
        <v>131</v>
      </c>
      <c r="D873" s="77" t="s">
        <v>1177</v>
      </c>
      <c r="E873" s="55" t="s">
        <v>673</v>
      </c>
      <c r="F873" s="55" t="s">
        <v>2035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ROUND(Tableau15[[#This Row],[LEN]]*7.27,0)</f>
        <v>262</v>
      </c>
      <c r="L873" s="118">
        <v>15</v>
      </c>
      <c r="M873" s="135" t="str">
        <f t="shared" si="5"/>
        <v>none</v>
      </c>
      <c r="N873" s="118">
        <f>LEN(Tableau15[[#This Row],[LABEL]])</f>
        <v>36</v>
      </c>
      <c r="O873" s="118">
        <v>15</v>
      </c>
      <c r="P873" s="118" t="e">
        <f>ROUND(Tableau15[[#This Row],[LEN]]*#REF!+#REF!,0)</f>
        <v>#REF!</v>
      </c>
    </row>
    <row r="874" spans="1:16" s="97" customFormat="1" x14ac:dyDescent="0.25">
      <c r="A874" s="53" t="s">
        <v>409</v>
      </c>
      <c r="B874" s="54" t="s">
        <v>407</v>
      </c>
      <c r="C874" s="55" t="s">
        <v>132</v>
      </c>
      <c r="D874" s="77" t="s">
        <v>1177</v>
      </c>
      <c r="E874" s="55" t="s">
        <v>673</v>
      </c>
      <c r="F874" s="55" t="s">
        <v>2035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ROUND(Tableau15[[#This Row],[LEN]]*7.27,0)</f>
        <v>298</v>
      </c>
      <c r="L874" s="118">
        <v>15</v>
      </c>
      <c r="M874" s="135" t="str">
        <f t="shared" si="5"/>
        <v>none</v>
      </c>
      <c r="N874" s="118">
        <f>LEN(Tableau15[[#This Row],[LABEL]])</f>
        <v>41</v>
      </c>
      <c r="O874" s="118">
        <v>15</v>
      </c>
      <c r="P874" s="118" t="e">
        <f>ROUND(Tableau15[[#This Row],[LEN]]*#REF!+#REF!,0)</f>
        <v>#REF!</v>
      </c>
    </row>
    <row r="875" spans="1:16" s="273" customFormat="1" x14ac:dyDescent="0.25">
      <c r="A875" s="351" t="s">
        <v>306</v>
      </c>
      <c r="B875" s="352" t="s">
        <v>209</v>
      </c>
      <c r="C875" s="353" t="s">
        <v>4</v>
      </c>
      <c r="D875" s="354" t="s">
        <v>1177</v>
      </c>
      <c r="E875" s="353" t="s">
        <v>666</v>
      </c>
      <c r="F875" s="353" t="s">
        <v>1177</v>
      </c>
      <c r="G875" s="354" t="s">
        <v>169</v>
      </c>
      <c r="H875" s="354" t="str">
        <f>IFERROR(IF(SEARCH(".00.00.00.00.00",Tableau15[[#This Row],[name]],1)=7,"Division",""),"")</f>
        <v>Division</v>
      </c>
      <c r="I875" s="353"/>
      <c r="J875" s="355" t="s">
        <v>708</v>
      </c>
      <c r="K875" s="356">
        <f>ROUND(Tableau15[[#This Row],[LEN]]*7.27,0)</f>
        <v>36</v>
      </c>
      <c r="L875" s="356">
        <v>15</v>
      </c>
      <c r="M875" s="357" t="str">
        <f t="shared" si="5"/>
        <v>none</v>
      </c>
      <c r="N875" s="356">
        <f>LEN(Tableau15[[#This Row],[LABEL]])</f>
        <v>5</v>
      </c>
      <c r="O875" s="356">
        <v>15</v>
      </c>
      <c r="P875" s="356" t="e">
        <f>ROUND(Tableau15[[#This Row],[LEN]]*#REF!+#REF!,0)</f>
        <v>#REF!</v>
      </c>
    </row>
    <row r="876" spans="1:16" s="97" customFormat="1" x14ac:dyDescent="0.25">
      <c r="A876" s="49" t="s">
        <v>1642</v>
      </c>
      <c r="B876" s="50" t="s">
        <v>306</v>
      </c>
      <c r="C876" s="51" t="s">
        <v>129</v>
      </c>
      <c r="D876" s="76" t="s">
        <v>1177</v>
      </c>
      <c r="E876" s="51" t="s">
        <v>673</v>
      </c>
      <c r="F876" s="51" t="s">
        <v>2035</v>
      </c>
      <c r="G876" s="76" t="s">
        <v>169</v>
      </c>
      <c r="H876" s="76" t="s">
        <v>655</v>
      </c>
      <c r="I876" s="51"/>
      <c r="J876" s="52" t="s">
        <v>708</v>
      </c>
      <c r="K876" s="117">
        <f>ROUND(Tableau15[[#This Row],[LEN]]*7.27,0)</f>
        <v>87</v>
      </c>
      <c r="L876" s="117">
        <v>15</v>
      </c>
      <c r="M876" s="134" t="str">
        <f t="shared" si="5"/>
        <v>none</v>
      </c>
      <c r="N876" s="117">
        <f>LEN(Tableau15[[#This Row],[LABEL]])</f>
        <v>12</v>
      </c>
      <c r="O876" s="117">
        <v>15</v>
      </c>
      <c r="P876" s="117" t="e">
        <f>ROUND(Tableau15[[#This Row],[LEN]]*#REF!+#REF!,0)</f>
        <v>#REF!</v>
      </c>
    </row>
    <row r="877" spans="1:16" s="97" customFormat="1" x14ac:dyDescent="0.25">
      <c r="A877" s="53" t="s">
        <v>1647</v>
      </c>
      <c r="B877" s="54" t="s">
        <v>1642</v>
      </c>
      <c r="C877" s="55" t="s">
        <v>131</v>
      </c>
      <c r="D877" s="77" t="s">
        <v>1177</v>
      </c>
      <c r="E877" s="55" t="s">
        <v>673</v>
      </c>
      <c r="F877" s="55" t="s">
        <v>2035</v>
      </c>
      <c r="G877" s="77" t="s">
        <v>169</v>
      </c>
      <c r="H877" s="77" t="s">
        <v>570</v>
      </c>
      <c r="I877" s="55"/>
      <c r="J877" s="56" t="s">
        <v>708</v>
      </c>
      <c r="K877" s="118">
        <f>ROUND(Tableau15[[#This Row],[LEN]]*7.27,0)</f>
        <v>262</v>
      </c>
      <c r="L877" s="118">
        <v>15</v>
      </c>
      <c r="M877" s="135" t="str">
        <f t="shared" si="5"/>
        <v>none</v>
      </c>
      <c r="N877" s="118">
        <f>LEN(Tableau15[[#This Row],[LABEL]])</f>
        <v>36</v>
      </c>
      <c r="O877" s="118">
        <v>15</v>
      </c>
      <c r="P877" s="118" t="e">
        <f>ROUND(Tableau15[[#This Row],[LEN]]*#REF!+#REF!,0)</f>
        <v>#REF!</v>
      </c>
    </row>
    <row r="878" spans="1:16" s="97" customFormat="1" x14ac:dyDescent="0.25">
      <c r="A878" s="53" t="s">
        <v>1648</v>
      </c>
      <c r="B878" s="54" t="s">
        <v>1642</v>
      </c>
      <c r="C878" s="55" t="s">
        <v>132</v>
      </c>
      <c r="D878" s="77" t="s">
        <v>1177</v>
      </c>
      <c r="E878" s="55" t="s">
        <v>673</v>
      </c>
      <c r="F878" s="55" t="s">
        <v>2035</v>
      </c>
      <c r="G878" s="77" t="s">
        <v>169</v>
      </c>
      <c r="H878" s="77" t="s">
        <v>570</v>
      </c>
      <c r="I878" s="55"/>
      <c r="J878" s="56" t="s">
        <v>708</v>
      </c>
      <c r="K878" s="118">
        <f>ROUND(Tableau15[[#This Row],[LEN]]*7.27,0)</f>
        <v>298</v>
      </c>
      <c r="L878" s="118">
        <v>15</v>
      </c>
      <c r="M878" s="135" t="str">
        <f t="shared" si="5"/>
        <v>none</v>
      </c>
      <c r="N878" s="118">
        <f>LEN(Tableau15[[#This Row],[LABEL]])</f>
        <v>41</v>
      </c>
      <c r="O878" s="118">
        <v>15</v>
      </c>
      <c r="P878" s="118" t="e">
        <f>ROUND(Tableau15[[#This Row],[LEN]]*#REF!+#REF!,0)</f>
        <v>#REF!</v>
      </c>
    </row>
    <row r="879" spans="1:16" s="97" customFormat="1" x14ac:dyDescent="0.25">
      <c r="A879" s="49" t="s">
        <v>1643</v>
      </c>
      <c r="B879" s="50" t="s">
        <v>306</v>
      </c>
      <c r="C879" s="51" t="s">
        <v>1649</v>
      </c>
      <c r="D879" s="76" t="s">
        <v>1177</v>
      </c>
      <c r="E879" s="51" t="s">
        <v>666</v>
      </c>
      <c r="F879" s="51" t="s">
        <v>1177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ROUND(Tableau15[[#This Row],[LEN]]*7.27,0)</f>
        <v>145</v>
      </c>
      <c r="L879" s="117">
        <v>15</v>
      </c>
      <c r="M879" s="134" t="str">
        <f t="shared" si="5"/>
        <v>none</v>
      </c>
      <c r="N879" s="117">
        <f>LEN(Tableau15[[#This Row],[LABEL]])</f>
        <v>20</v>
      </c>
      <c r="O879" s="117">
        <v>15</v>
      </c>
      <c r="P879" s="117" t="e">
        <f>ROUND(Tableau15[[#This Row],[LEN]]*#REF!+#REF!,0)</f>
        <v>#REF!</v>
      </c>
    </row>
    <row r="880" spans="1:16" s="97" customFormat="1" x14ac:dyDescent="0.25">
      <c r="A880" s="53" t="s">
        <v>1650</v>
      </c>
      <c r="B880" s="54" t="s">
        <v>1643</v>
      </c>
      <c r="C880" s="55" t="s">
        <v>1657</v>
      </c>
      <c r="D880" s="77" t="s">
        <v>1177</v>
      </c>
      <c r="E880" s="55" t="s">
        <v>666</v>
      </c>
      <c r="F880" s="55" t="s">
        <v>1177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ROUND(Tableau15[[#This Row],[LEN]]*7.27,0)</f>
        <v>364</v>
      </c>
      <c r="L880" s="118">
        <v>15</v>
      </c>
      <c r="M880" s="135" t="str">
        <f t="shared" si="5"/>
        <v>none</v>
      </c>
      <c r="N880" s="118">
        <f>LEN(Tableau15[[#This Row],[LABEL]])</f>
        <v>50</v>
      </c>
      <c r="O880" s="118">
        <v>15</v>
      </c>
      <c r="P880" s="118" t="e">
        <f>ROUND(Tableau15[[#This Row],[LEN]]*#REF!+#REF!,0)</f>
        <v>#REF!</v>
      </c>
    </row>
    <row r="881" spans="1:16" s="97" customFormat="1" x14ac:dyDescent="0.25">
      <c r="A881" s="53" t="s">
        <v>1651</v>
      </c>
      <c r="B881" s="54" t="s">
        <v>1643</v>
      </c>
      <c r="C881" s="55" t="s">
        <v>1658</v>
      </c>
      <c r="D881" s="77" t="s">
        <v>1177</v>
      </c>
      <c r="E881" s="55" t="s">
        <v>666</v>
      </c>
      <c r="F881" s="55" t="s">
        <v>1177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ROUND(Tableau15[[#This Row],[LEN]]*7.27,0)</f>
        <v>131</v>
      </c>
      <c r="L881" s="118">
        <v>15</v>
      </c>
      <c r="M881" s="135" t="str">
        <f t="shared" si="5"/>
        <v>none</v>
      </c>
      <c r="N881" s="118">
        <f>LEN(Tableau15[[#This Row],[LABEL]])</f>
        <v>18</v>
      </c>
      <c r="O881" s="118">
        <v>15</v>
      </c>
      <c r="P881" s="118" t="e">
        <f>ROUND(Tableau15[[#This Row],[LEN]]*#REF!+#REF!,0)</f>
        <v>#REF!</v>
      </c>
    </row>
    <row r="882" spans="1:16" s="97" customFormat="1" x14ac:dyDescent="0.25">
      <c r="A882" s="53" t="s">
        <v>1652</v>
      </c>
      <c r="B882" s="54" t="s">
        <v>1643</v>
      </c>
      <c r="C882" s="55" t="s">
        <v>1659</v>
      </c>
      <c r="D882" s="77" t="s">
        <v>1177</v>
      </c>
      <c r="E882" s="55" t="s">
        <v>666</v>
      </c>
      <c r="F882" s="55" t="s">
        <v>1177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ROUND(Tableau15[[#This Row],[LEN]]*7.27,0)</f>
        <v>109</v>
      </c>
      <c r="L882" s="118">
        <v>15</v>
      </c>
      <c r="M882" s="135" t="str">
        <f t="shared" si="5"/>
        <v>none</v>
      </c>
      <c r="N882" s="118">
        <f>LEN(Tableau15[[#This Row],[LABEL]])</f>
        <v>15</v>
      </c>
      <c r="O882" s="118">
        <v>15</v>
      </c>
      <c r="P882" s="118" t="e">
        <f>ROUND(Tableau15[[#This Row],[LEN]]*#REF!+#REF!,0)</f>
        <v>#REF!</v>
      </c>
    </row>
    <row r="883" spans="1:16" s="97" customFormat="1" x14ac:dyDescent="0.25">
      <c r="A883" s="53" t="s">
        <v>1653</v>
      </c>
      <c r="B883" s="54" t="s">
        <v>1643</v>
      </c>
      <c r="C883" s="55" t="s">
        <v>134</v>
      </c>
      <c r="D883" s="77" t="s">
        <v>1177</v>
      </c>
      <c r="E883" s="55" t="s">
        <v>666</v>
      </c>
      <c r="F883" s="55" t="s">
        <v>1177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ROUND(Tableau15[[#This Row],[LEN]]*7.27,0)</f>
        <v>124</v>
      </c>
      <c r="L883" s="118">
        <v>15</v>
      </c>
      <c r="M883" s="135" t="str">
        <f t="shared" si="5"/>
        <v>none</v>
      </c>
      <c r="N883" s="118">
        <f>LEN(Tableau15[[#This Row],[LABEL]])</f>
        <v>17</v>
      </c>
      <c r="O883" s="118">
        <v>15</v>
      </c>
      <c r="P883" s="118" t="e">
        <f>ROUND(Tableau15[[#This Row],[LEN]]*#REF!+#REF!,0)</f>
        <v>#REF!</v>
      </c>
    </row>
    <row r="884" spans="1:16" s="97" customFormat="1" x14ac:dyDescent="0.25">
      <c r="A884" s="49" t="s">
        <v>1644</v>
      </c>
      <c r="B884" s="50" t="s">
        <v>306</v>
      </c>
      <c r="C884" s="51" t="s">
        <v>1654</v>
      </c>
      <c r="D884" s="76" t="s">
        <v>1177</v>
      </c>
      <c r="E884" s="51" t="s">
        <v>666</v>
      </c>
      <c r="F884" s="51" t="s">
        <v>661</v>
      </c>
      <c r="G884" s="76" t="s">
        <v>169</v>
      </c>
      <c r="H884" s="76" t="s">
        <v>654</v>
      </c>
      <c r="I884" s="51"/>
      <c r="J884" s="52" t="s">
        <v>708</v>
      </c>
      <c r="K884" s="117">
        <f>ROUND(Tableau15[[#This Row],[LEN]]*7.27,0)</f>
        <v>160</v>
      </c>
      <c r="L884" s="117">
        <v>15</v>
      </c>
      <c r="M884" s="134" t="str">
        <f t="shared" si="5"/>
        <v>none</v>
      </c>
      <c r="N884" s="117">
        <f>LEN(Tableau15[[#This Row],[LABEL]])</f>
        <v>22</v>
      </c>
      <c r="O884" s="117">
        <v>15</v>
      </c>
      <c r="P884" s="117" t="e">
        <f>ROUND(Tableau15[[#This Row],[LEN]]*#REF!+#REF!,0)</f>
        <v>#REF!</v>
      </c>
    </row>
    <row r="885" spans="1:16" s="97" customFormat="1" x14ac:dyDescent="0.25">
      <c r="A885" s="49" t="s">
        <v>1645</v>
      </c>
      <c r="B885" s="50" t="s">
        <v>306</v>
      </c>
      <c r="C885" s="51" t="s">
        <v>1655</v>
      </c>
      <c r="D885" s="76" t="s">
        <v>1656</v>
      </c>
      <c r="E885" s="51" t="s">
        <v>673</v>
      </c>
      <c r="F885" s="51" t="s">
        <v>1660</v>
      </c>
      <c r="G885" s="76" t="s">
        <v>169</v>
      </c>
      <c r="H885" s="76" t="s">
        <v>654</v>
      </c>
      <c r="I885" s="51"/>
      <c r="J885" s="52" t="s">
        <v>708</v>
      </c>
      <c r="K885" s="117">
        <f>ROUND(Tableau15[[#This Row],[LEN]]*7.27,0)</f>
        <v>291</v>
      </c>
      <c r="L885" s="117">
        <v>15</v>
      </c>
      <c r="M885" s="134" t="str">
        <f t="shared" si="5"/>
        <v>none</v>
      </c>
      <c r="N885" s="117">
        <f>LEN(Tableau15[[#This Row],[LABEL]])</f>
        <v>40</v>
      </c>
      <c r="O885" s="117">
        <v>15</v>
      </c>
      <c r="P885" s="117" t="e">
        <f>ROUND(Tableau15[[#This Row],[LEN]]*#REF!+#REF!,0)</f>
        <v>#REF!</v>
      </c>
    </row>
    <row r="886" spans="1:16" s="273" customFormat="1" x14ac:dyDescent="0.25">
      <c r="A886" s="351" t="s">
        <v>308</v>
      </c>
      <c r="B886" s="352" t="s">
        <v>209</v>
      </c>
      <c r="C886" s="353" t="s">
        <v>5</v>
      </c>
      <c r="D886" s="354" t="s">
        <v>1177</v>
      </c>
      <c r="E886" s="353" t="s">
        <v>668</v>
      </c>
      <c r="F886" s="353" t="s">
        <v>1177</v>
      </c>
      <c r="G886" s="354" t="s">
        <v>169</v>
      </c>
      <c r="H886" s="354" t="str">
        <f>IFERROR(IF(SEARCH(".00.00.00.00.00",Tableau15[[#This Row],[name]],1)=7,"Division",""),"")</f>
        <v>Division</v>
      </c>
      <c r="I886" s="353"/>
      <c r="J886" s="355" t="s">
        <v>708</v>
      </c>
      <c r="K886" s="356">
        <f>ROUND(Tableau15[[#This Row],[LEN]]*7.27,0)</f>
        <v>73</v>
      </c>
      <c r="L886" s="356">
        <v>15</v>
      </c>
      <c r="M886" s="357" t="str">
        <f t="shared" si="5"/>
        <v>none</v>
      </c>
      <c r="N886" s="356">
        <f>LEN(Tableau15[[#This Row],[LABEL]])</f>
        <v>10</v>
      </c>
      <c r="O886" s="356">
        <v>15</v>
      </c>
      <c r="P886" s="356" t="e">
        <f>ROUND(Tableau15[[#This Row],[LEN]]*#REF!+#REF!,0)</f>
        <v>#REF!</v>
      </c>
    </row>
    <row r="887" spans="1:16" s="97" customFormat="1" x14ac:dyDescent="0.25">
      <c r="A887" s="49" t="s">
        <v>1661</v>
      </c>
      <c r="B887" s="50" t="s">
        <v>308</v>
      </c>
      <c r="C887" s="51" t="s">
        <v>1662</v>
      </c>
      <c r="D887" s="76" t="s">
        <v>1177</v>
      </c>
      <c r="E887" s="51" t="s">
        <v>668</v>
      </c>
      <c r="F887" s="51" t="s">
        <v>1339</v>
      </c>
      <c r="G887" s="76" t="s">
        <v>169</v>
      </c>
      <c r="H887" s="76" t="s">
        <v>56</v>
      </c>
      <c r="I887" s="51"/>
      <c r="J887" s="52" t="s">
        <v>708</v>
      </c>
      <c r="K887" s="117">
        <f>ROUND(Tableau15[[#This Row],[LEN]]*7.27,0)</f>
        <v>218</v>
      </c>
      <c r="L887" s="117">
        <v>15</v>
      </c>
      <c r="M887" s="134" t="str">
        <f t="shared" si="5"/>
        <v>none</v>
      </c>
      <c r="N887" s="117">
        <f>LEN(Tableau15[[#This Row],[LABEL]])</f>
        <v>30</v>
      </c>
      <c r="O887" s="117">
        <v>15</v>
      </c>
      <c r="P887" s="117" t="e">
        <f>ROUND(Tableau15[[#This Row],[LEN]]*#REF!+#REF!,0)</f>
        <v>#REF!</v>
      </c>
    </row>
    <row r="888" spans="1:16" s="273" customFormat="1" x14ac:dyDescent="0.25">
      <c r="A888" s="351" t="s">
        <v>309</v>
      </c>
      <c r="B888" s="352" t="s">
        <v>209</v>
      </c>
      <c r="C888" s="353" t="s">
        <v>6</v>
      </c>
      <c r="D888" s="354" t="s">
        <v>1177</v>
      </c>
      <c r="E888" s="353" t="s">
        <v>669</v>
      </c>
      <c r="F888" s="353" t="s">
        <v>1177</v>
      </c>
      <c r="G888" s="354" t="s">
        <v>169</v>
      </c>
      <c r="H888" s="354" t="str">
        <f>IFERROR(IF(SEARCH(".00.00.00.00.00",Tableau15[[#This Row],[name]],1)=7,"Division",""),"")</f>
        <v>Division</v>
      </c>
      <c r="I888" s="353"/>
      <c r="J888" s="355" t="s">
        <v>708</v>
      </c>
      <c r="K888" s="356">
        <f>ROUND(Tableau15[[#This Row],[LEN]]*7.27,0)</f>
        <v>196</v>
      </c>
      <c r="L888" s="356">
        <v>15</v>
      </c>
      <c r="M888" s="357" t="str">
        <f t="shared" si="5"/>
        <v>none</v>
      </c>
      <c r="N888" s="356">
        <f>LEN(Tableau15[[#This Row],[LABEL]])</f>
        <v>27</v>
      </c>
      <c r="O888" s="356">
        <v>15</v>
      </c>
      <c r="P888" s="356" t="e">
        <f>ROUND(Tableau15[[#This Row],[LEN]]*#REF!+#REF!,0)</f>
        <v>#REF!</v>
      </c>
    </row>
    <row r="889" spans="1:16" s="97" customFormat="1" x14ac:dyDescent="0.25">
      <c r="A889" s="49" t="s">
        <v>1663</v>
      </c>
      <c r="B889" s="50" t="s">
        <v>309</v>
      </c>
      <c r="C889" s="51" t="s">
        <v>128</v>
      </c>
      <c r="D889" s="76" t="s">
        <v>1177</v>
      </c>
      <c r="E889" s="51" t="s">
        <v>669</v>
      </c>
      <c r="F889" s="51" t="s">
        <v>2029</v>
      </c>
      <c r="G889" s="76" t="s">
        <v>169</v>
      </c>
      <c r="H889" s="76" t="s">
        <v>570</v>
      </c>
      <c r="I889" s="51"/>
      <c r="J889" s="52" t="s">
        <v>708</v>
      </c>
      <c r="K889" s="117">
        <f>ROUND(Tableau15[[#This Row],[LEN]]*7.27,0)</f>
        <v>182</v>
      </c>
      <c r="L889" s="117">
        <v>15</v>
      </c>
      <c r="M889" s="134" t="str">
        <f t="shared" si="5"/>
        <v>none</v>
      </c>
      <c r="N889" s="117">
        <f>LEN(Tableau15[[#This Row],[LABEL]])</f>
        <v>25</v>
      </c>
      <c r="O889" s="117">
        <v>15</v>
      </c>
      <c r="P889" s="117" t="e">
        <f>ROUND(Tableau15[[#This Row],[LEN]]*#REF!+#REF!,0)</f>
        <v>#REF!</v>
      </c>
    </row>
    <row r="890" spans="1:16" s="97" customFormat="1" x14ac:dyDescent="0.25">
      <c r="A890" s="49" t="s">
        <v>1664</v>
      </c>
      <c r="B890" s="50" t="s">
        <v>309</v>
      </c>
      <c r="C890" s="51" t="s">
        <v>129</v>
      </c>
      <c r="D890" s="76" t="s">
        <v>1177</v>
      </c>
      <c r="E890" s="51" t="s">
        <v>673</v>
      </c>
      <c r="F890" s="51" t="s">
        <v>2035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ROUND(Tableau15[[#This Row],[LEN]]*7.27,0)</f>
        <v>87</v>
      </c>
      <c r="L890" s="117">
        <v>15</v>
      </c>
      <c r="M890" s="134" t="str">
        <f t="shared" si="5"/>
        <v>none</v>
      </c>
      <c r="N890" s="117">
        <f>LEN(Tableau15[[#This Row],[LABEL]])</f>
        <v>12</v>
      </c>
      <c r="O890" s="117">
        <v>15</v>
      </c>
      <c r="P890" s="117" t="e">
        <f>ROUND(Tableau15[[#This Row],[LEN]]*#REF!+#REF!,0)</f>
        <v>#REF!</v>
      </c>
    </row>
    <row r="891" spans="1:16" s="97" customFormat="1" x14ac:dyDescent="0.25">
      <c r="A891" s="53" t="s">
        <v>1675</v>
      </c>
      <c r="B891" s="54" t="s">
        <v>1664</v>
      </c>
      <c r="C891" s="55" t="s">
        <v>131</v>
      </c>
      <c r="D891" s="77" t="s">
        <v>1177</v>
      </c>
      <c r="E891" s="55" t="s">
        <v>673</v>
      </c>
      <c r="F891" s="55" t="s">
        <v>2035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ROUND(Tableau15[[#This Row],[LEN]]*7.27,0)</f>
        <v>262</v>
      </c>
      <c r="L891" s="118">
        <v>15</v>
      </c>
      <c r="M891" s="135" t="str">
        <f t="shared" ref="M891:M954" si="6">IF(J891="javascript:void(0)","none","new")</f>
        <v>none</v>
      </c>
      <c r="N891" s="118">
        <f>LEN(Tableau15[[#This Row],[LABEL]])</f>
        <v>36</v>
      </c>
      <c r="O891" s="118">
        <v>15</v>
      </c>
      <c r="P891" s="118" t="e">
        <f>ROUND(Tableau15[[#This Row],[LEN]]*#REF!+#REF!,0)</f>
        <v>#REF!</v>
      </c>
    </row>
    <row r="892" spans="1:16" s="97" customFormat="1" x14ac:dyDescent="0.25">
      <c r="A892" s="53" t="s">
        <v>1676</v>
      </c>
      <c r="B892" s="54" t="s">
        <v>1664</v>
      </c>
      <c r="C892" s="55" t="s">
        <v>132</v>
      </c>
      <c r="D892" s="77" t="s">
        <v>1177</v>
      </c>
      <c r="E892" s="55" t="s">
        <v>673</v>
      </c>
      <c r="F892" s="55" t="s">
        <v>2035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ROUND(Tableau15[[#This Row],[LEN]]*7.27,0)</f>
        <v>298</v>
      </c>
      <c r="L892" s="118">
        <v>15</v>
      </c>
      <c r="M892" s="135" t="str">
        <f t="shared" si="6"/>
        <v>none</v>
      </c>
      <c r="N892" s="118">
        <f>LEN(Tableau15[[#This Row],[LABEL]])</f>
        <v>41</v>
      </c>
      <c r="O892" s="118">
        <v>15</v>
      </c>
      <c r="P892" s="118" t="e">
        <f>ROUND(Tableau15[[#This Row],[LEN]]*#REF!+#REF!,0)</f>
        <v>#REF!</v>
      </c>
    </row>
    <row r="893" spans="1:16" s="97" customFormat="1" x14ac:dyDescent="0.25">
      <c r="A893" s="49" t="s">
        <v>1665</v>
      </c>
      <c r="B893" s="50" t="s">
        <v>309</v>
      </c>
      <c r="C893" s="51" t="s">
        <v>1677</v>
      </c>
      <c r="D893" s="76" t="s">
        <v>1177</v>
      </c>
      <c r="E893" s="51" t="s">
        <v>669</v>
      </c>
      <c r="F893" s="51" t="s">
        <v>1177</v>
      </c>
      <c r="G893" s="76" t="s">
        <v>169</v>
      </c>
      <c r="H893" s="76" t="s">
        <v>654</v>
      </c>
      <c r="I893" s="51"/>
      <c r="J893" s="52" t="s">
        <v>708</v>
      </c>
      <c r="K893" s="117">
        <f>ROUND(Tableau15[[#This Row],[LEN]]*7.27,0)</f>
        <v>109</v>
      </c>
      <c r="L893" s="117">
        <v>15</v>
      </c>
      <c r="M893" s="134" t="str">
        <f t="shared" si="6"/>
        <v>none</v>
      </c>
      <c r="N893" s="117">
        <f>LEN(Tableau15[[#This Row],[LABEL]])</f>
        <v>15</v>
      </c>
      <c r="O893" s="117">
        <v>15</v>
      </c>
      <c r="P893" s="117" t="e">
        <f>ROUND(Tableau15[[#This Row],[LEN]]*#REF!+#REF!,0)</f>
        <v>#REF!</v>
      </c>
    </row>
    <row r="894" spans="1:16" s="97" customFormat="1" x14ac:dyDescent="0.25">
      <c r="A894" s="49" t="s">
        <v>1666</v>
      </c>
      <c r="B894" s="50" t="s">
        <v>309</v>
      </c>
      <c r="C894" s="51" t="s">
        <v>1678</v>
      </c>
      <c r="D894" s="76" t="s">
        <v>1177</v>
      </c>
      <c r="E894" s="51" t="s">
        <v>669</v>
      </c>
      <c r="F894" s="51" t="s">
        <v>1177</v>
      </c>
      <c r="G894" s="76" t="s">
        <v>169</v>
      </c>
      <c r="H894" s="76" t="s">
        <v>654</v>
      </c>
      <c r="I894" s="51"/>
      <c r="J894" s="52" t="s">
        <v>708</v>
      </c>
      <c r="K894" s="117">
        <f>ROUND(Tableau15[[#This Row],[LEN]]*7.27,0)</f>
        <v>196</v>
      </c>
      <c r="L894" s="117">
        <v>15</v>
      </c>
      <c r="M894" s="134" t="str">
        <f t="shared" si="6"/>
        <v>none</v>
      </c>
      <c r="N894" s="117">
        <f>LEN(Tableau15[[#This Row],[LABEL]])</f>
        <v>27</v>
      </c>
      <c r="O894" s="117">
        <v>15</v>
      </c>
      <c r="P894" s="117" t="e">
        <f>ROUND(Tableau15[[#This Row],[LEN]]*#REF!+#REF!,0)</f>
        <v>#REF!</v>
      </c>
    </row>
    <row r="895" spans="1:16" s="97" customFormat="1" x14ac:dyDescent="0.25">
      <c r="A895" s="49" t="s">
        <v>1667</v>
      </c>
      <c r="B895" s="50" t="s">
        <v>309</v>
      </c>
      <c r="C895" s="51" t="s">
        <v>1679</v>
      </c>
      <c r="D895" s="76" t="s">
        <v>1177</v>
      </c>
      <c r="E895" s="51" t="s">
        <v>669</v>
      </c>
      <c r="F895" s="51" t="s">
        <v>1177</v>
      </c>
      <c r="G895" s="76" t="s">
        <v>169</v>
      </c>
      <c r="H895" s="76" t="s">
        <v>654</v>
      </c>
      <c r="I895" s="51"/>
      <c r="J895" s="52" t="s">
        <v>708</v>
      </c>
      <c r="K895" s="117">
        <f>ROUND(Tableau15[[#This Row],[LEN]]*7.27,0)</f>
        <v>254</v>
      </c>
      <c r="L895" s="117">
        <v>15</v>
      </c>
      <c r="M895" s="134" t="str">
        <f t="shared" si="6"/>
        <v>none</v>
      </c>
      <c r="N895" s="117">
        <f>LEN(Tableau15[[#This Row],[LABEL]])</f>
        <v>35</v>
      </c>
      <c r="O895" s="117">
        <v>15</v>
      </c>
      <c r="P895" s="117" t="e">
        <f>ROUND(Tableau15[[#This Row],[LEN]]*#REF!+#REF!,0)</f>
        <v>#REF!</v>
      </c>
    </row>
    <row r="896" spans="1:16" s="97" customFormat="1" x14ac:dyDescent="0.25">
      <c r="A896" s="49" t="s">
        <v>1668</v>
      </c>
      <c r="B896" s="50" t="s">
        <v>309</v>
      </c>
      <c r="C896" s="51" t="s">
        <v>1680</v>
      </c>
      <c r="D896" s="76" t="s">
        <v>1177</v>
      </c>
      <c r="E896" s="51" t="s">
        <v>669</v>
      </c>
      <c r="F896" s="51" t="s">
        <v>1177</v>
      </c>
      <c r="G896" s="76" t="s">
        <v>169</v>
      </c>
      <c r="H896" s="76" t="s">
        <v>654</v>
      </c>
      <c r="I896" s="51"/>
      <c r="J896" s="52" t="s">
        <v>708</v>
      </c>
      <c r="K896" s="117">
        <f>ROUND(Tableau15[[#This Row],[LEN]]*7.27,0)</f>
        <v>269</v>
      </c>
      <c r="L896" s="117">
        <v>15</v>
      </c>
      <c r="M896" s="134" t="str">
        <f t="shared" si="6"/>
        <v>none</v>
      </c>
      <c r="N896" s="117">
        <f>LEN(Tableau15[[#This Row],[LABEL]])</f>
        <v>37</v>
      </c>
      <c r="O896" s="117">
        <v>15</v>
      </c>
      <c r="P896" s="117" t="e">
        <f>ROUND(Tableau15[[#This Row],[LEN]]*#REF!+#REF!,0)</f>
        <v>#REF!</v>
      </c>
    </row>
    <row r="897" spans="1:16" s="97" customFormat="1" x14ac:dyDescent="0.25">
      <c r="A897" s="49" t="s">
        <v>1669</v>
      </c>
      <c r="B897" s="50" t="s">
        <v>309</v>
      </c>
      <c r="C897" s="51" t="s">
        <v>1681</v>
      </c>
      <c r="D897" s="76" t="s">
        <v>1177</v>
      </c>
      <c r="E897" s="51" t="s">
        <v>669</v>
      </c>
      <c r="F897" s="51" t="s">
        <v>1177</v>
      </c>
      <c r="G897" s="76" t="s">
        <v>169</v>
      </c>
      <c r="H897" s="76" t="s">
        <v>655</v>
      </c>
      <c r="I897" s="51"/>
      <c r="J897" s="52" t="s">
        <v>708</v>
      </c>
      <c r="K897" s="117">
        <f>ROUND(Tableau15[[#This Row],[LEN]]*7.27,0)</f>
        <v>305</v>
      </c>
      <c r="L897" s="117">
        <v>15</v>
      </c>
      <c r="M897" s="134" t="str">
        <f t="shared" si="6"/>
        <v>none</v>
      </c>
      <c r="N897" s="117">
        <f>LEN(Tableau15[[#This Row],[LABEL]])</f>
        <v>42</v>
      </c>
      <c r="O897" s="117">
        <v>15</v>
      </c>
      <c r="P897" s="117" t="e">
        <f>ROUND(Tableau15[[#This Row],[LEN]]*#REF!+#REF!,0)</f>
        <v>#REF!</v>
      </c>
    </row>
    <row r="898" spans="1:16" s="97" customFormat="1" x14ac:dyDescent="0.25">
      <c r="A898" s="53" t="s">
        <v>1682</v>
      </c>
      <c r="B898" s="54" t="s">
        <v>1669</v>
      </c>
      <c r="C898" s="55" t="s">
        <v>1688</v>
      </c>
      <c r="D898" s="77" t="s">
        <v>1687</v>
      </c>
      <c r="E898" s="55" t="s">
        <v>669</v>
      </c>
      <c r="F898" s="55" t="s">
        <v>1177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ROUND(Tableau15[[#This Row],[LEN]]*7.27,0)</f>
        <v>465</v>
      </c>
      <c r="L898" s="118">
        <v>15</v>
      </c>
      <c r="M898" s="135" t="str">
        <f t="shared" si="6"/>
        <v>none</v>
      </c>
      <c r="N898" s="118">
        <f>LEN(Tableau15[[#This Row],[LABEL]])</f>
        <v>64</v>
      </c>
      <c r="O898" s="118">
        <v>15</v>
      </c>
      <c r="P898" s="118" t="e">
        <f>ROUND(Tableau15[[#This Row],[LEN]]*#REF!+#REF!,0)</f>
        <v>#REF!</v>
      </c>
    </row>
    <row r="899" spans="1:16" s="97" customFormat="1" x14ac:dyDescent="0.25">
      <c r="A899" s="53" t="s">
        <v>1683</v>
      </c>
      <c r="B899" s="54" t="s">
        <v>1669</v>
      </c>
      <c r="C899" s="55" t="s">
        <v>1689</v>
      </c>
      <c r="D899" s="77" t="s">
        <v>1177</v>
      </c>
      <c r="E899" s="55" t="s">
        <v>669</v>
      </c>
      <c r="F899" s="55" t="s">
        <v>1177</v>
      </c>
      <c r="G899" s="77" t="s">
        <v>169</v>
      </c>
      <c r="H899" s="77" t="s">
        <v>654</v>
      </c>
      <c r="I899" s="55"/>
      <c r="J899" s="56" t="s">
        <v>708</v>
      </c>
      <c r="K899" s="118">
        <f>ROUND(Tableau15[[#This Row],[LEN]]*7.27,0)</f>
        <v>422</v>
      </c>
      <c r="L899" s="118">
        <v>15</v>
      </c>
      <c r="M899" s="135" t="str">
        <f t="shared" si="6"/>
        <v>none</v>
      </c>
      <c r="N899" s="118">
        <f>LEN(Tableau15[[#This Row],[LABEL]])</f>
        <v>58</v>
      </c>
      <c r="O899" s="118">
        <v>15</v>
      </c>
      <c r="P899" s="118" t="e">
        <f>ROUND(Tableau15[[#This Row],[LEN]]*#REF!+#REF!,0)</f>
        <v>#REF!</v>
      </c>
    </row>
    <row r="900" spans="1:16" s="97" customFormat="1" x14ac:dyDescent="0.25">
      <c r="A900" s="53" t="s">
        <v>1684</v>
      </c>
      <c r="B900" s="54" t="s">
        <v>1669</v>
      </c>
      <c r="C900" s="55" t="s">
        <v>1690</v>
      </c>
      <c r="D900" s="77" t="s">
        <v>1177</v>
      </c>
      <c r="E900" s="55" t="s">
        <v>669</v>
      </c>
      <c r="F900" s="55" t="s">
        <v>1177</v>
      </c>
      <c r="G900" s="77" t="s">
        <v>169</v>
      </c>
      <c r="H900" s="77" t="s">
        <v>654</v>
      </c>
      <c r="I900" s="55"/>
      <c r="J900" s="56" t="s">
        <v>708</v>
      </c>
      <c r="K900" s="118">
        <f>ROUND(Tableau15[[#This Row],[LEN]]*7.27,0)</f>
        <v>313</v>
      </c>
      <c r="L900" s="118">
        <v>15</v>
      </c>
      <c r="M900" s="135" t="str">
        <f t="shared" si="6"/>
        <v>none</v>
      </c>
      <c r="N900" s="118">
        <f>LEN(Tableau15[[#This Row],[LABEL]])</f>
        <v>43</v>
      </c>
      <c r="O900" s="118">
        <v>15</v>
      </c>
      <c r="P900" s="118" t="e">
        <f>ROUND(Tableau15[[#This Row],[LEN]]*#REF!+#REF!,0)</f>
        <v>#REF!</v>
      </c>
    </row>
    <row r="901" spans="1:16" s="97" customFormat="1" x14ac:dyDescent="0.25">
      <c r="A901" s="53" t="s">
        <v>1685</v>
      </c>
      <c r="B901" s="54" t="s">
        <v>1669</v>
      </c>
      <c r="C901" s="55" t="s">
        <v>1691</v>
      </c>
      <c r="D901" s="77" t="s">
        <v>1701</v>
      </c>
      <c r="E901" s="55" t="s">
        <v>669</v>
      </c>
      <c r="F901" s="55" t="s">
        <v>1177</v>
      </c>
      <c r="G901" s="77" t="s">
        <v>169</v>
      </c>
      <c r="H901" s="77" t="s">
        <v>654</v>
      </c>
      <c r="I901" s="55"/>
      <c r="J901" s="56" t="s">
        <v>708</v>
      </c>
      <c r="K901" s="118">
        <f>ROUND(Tableau15[[#This Row],[LEN]]*7.27,0)</f>
        <v>523</v>
      </c>
      <c r="L901" s="118">
        <v>15</v>
      </c>
      <c r="M901" s="135" t="str">
        <f t="shared" si="6"/>
        <v>none</v>
      </c>
      <c r="N901" s="118">
        <f>LEN(Tableau15[[#This Row],[LABEL]])</f>
        <v>72</v>
      </c>
      <c r="O901" s="118">
        <v>15</v>
      </c>
      <c r="P901" s="118" t="e">
        <f>ROUND(Tableau15[[#This Row],[LEN]]*#REF!+#REF!,0)</f>
        <v>#REF!</v>
      </c>
    </row>
    <row r="902" spans="1:16" s="97" customFormat="1" x14ac:dyDescent="0.25">
      <c r="A902" s="53" t="s">
        <v>1686</v>
      </c>
      <c r="B902" s="54" t="s">
        <v>1669</v>
      </c>
      <c r="C902" s="55" t="s">
        <v>1692</v>
      </c>
      <c r="D902" s="77" t="s">
        <v>1177</v>
      </c>
      <c r="E902" s="55" t="s">
        <v>669</v>
      </c>
      <c r="F902" s="55" t="s">
        <v>1177</v>
      </c>
      <c r="G902" s="77" t="s">
        <v>169</v>
      </c>
      <c r="H902" s="77" t="s">
        <v>655</v>
      </c>
      <c r="I902" s="55"/>
      <c r="J902" s="56" t="s">
        <v>708</v>
      </c>
      <c r="K902" s="118">
        <f>ROUND(Tableau15[[#This Row],[LEN]]*7.27,0)</f>
        <v>233</v>
      </c>
      <c r="L902" s="118">
        <v>15</v>
      </c>
      <c r="M902" s="135" t="str">
        <f t="shared" si="6"/>
        <v>none</v>
      </c>
      <c r="N902" s="118">
        <f>LEN(Tableau15[[#This Row],[LABEL]])</f>
        <v>32</v>
      </c>
      <c r="O902" s="118">
        <v>15</v>
      </c>
      <c r="P902" s="118" t="e">
        <f>ROUND(Tableau15[[#This Row],[LEN]]*#REF!+#REF!,0)</f>
        <v>#REF!</v>
      </c>
    </row>
    <row r="903" spans="1:16" s="97" customFormat="1" x14ac:dyDescent="0.25">
      <c r="A903" s="410" t="s">
        <v>1693</v>
      </c>
      <c r="B903" s="411" t="s">
        <v>1686</v>
      </c>
      <c r="C903" s="412" t="s">
        <v>1697</v>
      </c>
      <c r="D903" s="413" t="s">
        <v>1177</v>
      </c>
      <c r="E903" s="412" t="s">
        <v>669</v>
      </c>
      <c r="F903" s="412" t="s">
        <v>1177</v>
      </c>
      <c r="G903" s="413" t="s">
        <v>169</v>
      </c>
      <c r="H903" s="414" t="s">
        <v>654</v>
      </c>
      <c r="I903" s="412"/>
      <c r="J903" s="415" t="s">
        <v>708</v>
      </c>
      <c r="K903" s="416">
        <f>ROUND(Tableau15[[#This Row],[LEN]]*7.27,0)</f>
        <v>145</v>
      </c>
      <c r="L903" s="416">
        <v>15</v>
      </c>
      <c r="M903" s="417" t="str">
        <f t="shared" si="6"/>
        <v>none</v>
      </c>
      <c r="N903" s="416">
        <f>LEN(Tableau15[[#This Row],[LABEL]])</f>
        <v>20</v>
      </c>
      <c r="O903" s="416">
        <v>15</v>
      </c>
      <c r="P903" s="416" t="e">
        <f>ROUND(Tableau15[[#This Row],[LEN]]*#REF!+#REF!,0)</f>
        <v>#REF!</v>
      </c>
    </row>
    <row r="904" spans="1:16" s="97" customFormat="1" x14ac:dyDescent="0.25">
      <c r="A904" s="410" t="s">
        <v>1694</v>
      </c>
      <c r="B904" s="411" t="s">
        <v>1686</v>
      </c>
      <c r="C904" s="412" t="s">
        <v>1698</v>
      </c>
      <c r="D904" s="413" t="s">
        <v>1177</v>
      </c>
      <c r="E904" s="412" t="s">
        <v>669</v>
      </c>
      <c r="F904" s="412" t="s">
        <v>1177</v>
      </c>
      <c r="G904" s="413" t="s">
        <v>169</v>
      </c>
      <c r="H904" s="414" t="s">
        <v>654</v>
      </c>
      <c r="I904" s="412"/>
      <c r="J904" s="415" t="s">
        <v>708</v>
      </c>
      <c r="K904" s="416">
        <f>ROUND(Tableau15[[#This Row],[LEN]]*7.27,0)</f>
        <v>174</v>
      </c>
      <c r="L904" s="416">
        <v>15</v>
      </c>
      <c r="M904" s="417" t="str">
        <f t="shared" si="6"/>
        <v>none</v>
      </c>
      <c r="N904" s="416">
        <f>LEN(Tableau15[[#This Row],[LABEL]])</f>
        <v>24</v>
      </c>
      <c r="O904" s="416">
        <v>15</v>
      </c>
      <c r="P904" s="416" t="e">
        <f>ROUND(Tableau15[[#This Row],[LEN]]*#REF!+#REF!,0)</f>
        <v>#REF!</v>
      </c>
    </row>
    <row r="905" spans="1:16" s="97" customFormat="1" x14ac:dyDescent="0.25">
      <c r="A905" s="410" t="s">
        <v>1695</v>
      </c>
      <c r="B905" s="411" t="s">
        <v>1686</v>
      </c>
      <c r="C905" s="412" t="s">
        <v>1699</v>
      </c>
      <c r="D905" s="413" t="s">
        <v>1177</v>
      </c>
      <c r="E905" s="412" t="s">
        <v>669</v>
      </c>
      <c r="F905" s="412" t="s">
        <v>1177</v>
      </c>
      <c r="G905" s="413" t="s">
        <v>169</v>
      </c>
      <c r="H905" s="414" t="s">
        <v>654</v>
      </c>
      <c r="I905" s="412"/>
      <c r="J905" s="415" t="s">
        <v>708</v>
      </c>
      <c r="K905" s="416">
        <f>ROUND(Tableau15[[#This Row],[LEN]]*7.27,0)</f>
        <v>138</v>
      </c>
      <c r="L905" s="416">
        <v>15</v>
      </c>
      <c r="M905" s="417" t="str">
        <f t="shared" si="6"/>
        <v>none</v>
      </c>
      <c r="N905" s="416">
        <f>LEN(Tableau15[[#This Row],[LABEL]])</f>
        <v>19</v>
      </c>
      <c r="O905" s="416">
        <v>15</v>
      </c>
      <c r="P905" s="416" t="e">
        <f>ROUND(Tableau15[[#This Row],[LEN]]*#REF!+#REF!,0)</f>
        <v>#REF!</v>
      </c>
    </row>
    <row r="906" spans="1:16" s="97" customFormat="1" x14ac:dyDescent="0.25">
      <c r="A906" s="410" t="s">
        <v>1696</v>
      </c>
      <c r="B906" s="411" t="s">
        <v>1686</v>
      </c>
      <c r="C906" s="412" t="s">
        <v>1700</v>
      </c>
      <c r="D906" s="413" t="s">
        <v>1177</v>
      </c>
      <c r="E906" s="412" t="s">
        <v>669</v>
      </c>
      <c r="F906" s="412" t="s">
        <v>1177</v>
      </c>
      <c r="G906" s="413" t="s">
        <v>169</v>
      </c>
      <c r="H906" s="414" t="s">
        <v>654</v>
      </c>
      <c r="I906" s="412"/>
      <c r="J906" s="415" t="s">
        <v>708</v>
      </c>
      <c r="K906" s="416">
        <f>ROUND(Tableau15[[#This Row],[LEN]]*7.27,0)</f>
        <v>131</v>
      </c>
      <c r="L906" s="416">
        <v>15</v>
      </c>
      <c r="M906" s="417" t="str">
        <f t="shared" si="6"/>
        <v>none</v>
      </c>
      <c r="N906" s="416">
        <f>LEN(Tableau15[[#This Row],[LABEL]])</f>
        <v>18</v>
      </c>
      <c r="O906" s="416">
        <v>15</v>
      </c>
      <c r="P906" s="416" t="e">
        <f>ROUND(Tableau15[[#This Row],[LEN]]*#REF!+#REF!,0)</f>
        <v>#REF!</v>
      </c>
    </row>
    <row r="907" spans="1:16" s="97" customFormat="1" x14ac:dyDescent="0.25">
      <c r="A907" s="49" t="s">
        <v>1670</v>
      </c>
      <c r="B907" s="50" t="s">
        <v>309</v>
      </c>
      <c r="C907" s="51" t="s">
        <v>1702</v>
      </c>
      <c r="D907" s="76" t="s">
        <v>1703</v>
      </c>
      <c r="E907" s="51" t="s">
        <v>669</v>
      </c>
      <c r="F907" s="51" t="s">
        <v>661</v>
      </c>
      <c r="G907" s="76" t="s">
        <v>169</v>
      </c>
      <c r="H907" s="76" t="s">
        <v>654</v>
      </c>
      <c r="I907" s="51"/>
      <c r="J907" s="52" t="s">
        <v>708</v>
      </c>
      <c r="K907" s="117">
        <f>ROUND(Tableau15[[#This Row],[LEN]]*7.27,0)</f>
        <v>247</v>
      </c>
      <c r="L907" s="117">
        <v>15</v>
      </c>
      <c r="M907" s="134" t="str">
        <f t="shared" si="6"/>
        <v>none</v>
      </c>
      <c r="N907" s="117">
        <f>LEN(Tableau15[[#This Row],[LABEL]])</f>
        <v>34</v>
      </c>
      <c r="O907" s="117">
        <v>15</v>
      </c>
      <c r="P907" s="117" t="e">
        <f>ROUND(Tableau15[[#This Row],[LEN]]*#REF!+#REF!,0)</f>
        <v>#REF!</v>
      </c>
    </row>
    <row r="908" spans="1:16" s="97" customFormat="1" x14ac:dyDescent="0.25">
      <c r="A908" s="49" t="s">
        <v>1671</v>
      </c>
      <c r="B908" s="50" t="s">
        <v>309</v>
      </c>
      <c r="C908" s="51" t="s">
        <v>549</v>
      </c>
      <c r="D908" s="76" t="s">
        <v>1177</v>
      </c>
      <c r="E908" s="51" t="s">
        <v>673</v>
      </c>
      <c r="F908" s="51" t="s">
        <v>1704</v>
      </c>
      <c r="G908" s="76" t="s">
        <v>169</v>
      </c>
      <c r="H908" s="76" t="s">
        <v>655</v>
      </c>
      <c r="I908" s="51"/>
      <c r="J908" s="52" t="s">
        <v>708</v>
      </c>
      <c r="K908" s="117">
        <f>ROUND(Tableau15[[#This Row],[LEN]]*7.27,0)</f>
        <v>145</v>
      </c>
      <c r="L908" s="117">
        <v>15</v>
      </c>
      <c r="M908" s="134" t="str">
        <f t="shared" si="6"/>
        <v>none</v>
      </c>
      <c r="N908" s="117">
        <f>LEN(Tableau15[[#This Row],[LABEL]])</f>
        <v>20</v>
      </c>
      <c r="O908" s="117">
        <v>15</v>
      </c>
      <c r="P908" s="117" t="e">
        <f>ROUND(Tableau15[[#This Row],[LEN]]*#REF!+#REF!,0)</f>
        <v>#REF!</v>
      </c>
    </row>
    <row r="909" spans="1:16" s="97" customFormat="1" x14ac:dyDescent="0.25">
      <c r="A909" s="53" t="s">
        <v>1705</v>
      </c>
      <c r="B909" s="54" t="s">
        <v>1671</v>
      </c>
      <c r="C909" s="55" t="s">
        <v>590</v>
      </c>
      <c r="D909" s="77" t="s">
        <v>1177</v>
      </c>
      <c r="E909" s="55" t="s">
        <v>673</v>
      </c>
      <c r="F909" s="55" t="s">
        <v>1704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ROUND(Tableau15[[#This Row],[LEN]]*7.27,0)</f>
        <v>102</v>
      </c>
      <c r="L909" s="118">
        <v>15</v>
      </c>
      <c r="M909" s="135" t="str">
        <f t="shared" si="6"/>
        <v>none</v>
      </c>
      <c r="N909" s="118">
        <f>LEN(Tableau15[[#This Row],[LABEL]])</f>
        <v>14</v>
      </c>
      <c r="O909" s="118">
        <v>15</v>
      </c>
      <c r="P909" s="118" t="e">
        <f>ROUND(Tableau15[[#This Row],[LEN]]*#REF!+#REF!,0)</f>
        <v>#REF!</v>
      </c>
    </row>
    <row r="910" spans="1:16" s="97" customFormat="1" x14ac:dyDescent="0.25">
      <c r="A910" s="53" t="s">
        <v>1706</v>
      </c>
      <c r="B910" s="54" t="s">
        <v>1671</v>
      </c>
      <c r="C910" s="55" t="s">
        <v>591</v>
      </c>
      <c r="D910" s="77" t="s">
        <v>1177</v>
      </c>
      <c r="E910" s="55" t="s">
        <v>673</v>
      </c>
      <c r="F910" s="55" t="s">
        <v>1704</v>
      </c>
      <c r="G910" s="77" t="s">
        <v>169</v>
      </c>
      <c r="H910" s="77" t="s">
        <v>570</v>
      </c>
      <c r="I910" s="55"/>
      <c r="J910" s="56" t="s">
        <v>708</v>
      </c>
      <c r="K910" s="118">
        <f>ROUND(Tableau15[[#This Row],[LEN]]*7.27,0)</f>
        <v>262</v>
      </c>
      <c r="L910" s="118">
        <v>15</v>
      </c>
      <c r="M910" s="135" t="str">
        <f t="shared" si="6"/>
        <v>none</v>
      </c>
      <c r="N910" s="118">
        <f>LEN(Tableau15[[#This Row],[LABEL]])</f>
        <v>36</v>
      </c>
      <c r="O910" s="118">
        <v>15</v>
      </c>
      <c r="P910" s="118" t="e">
        <f>ROUND(Tableau15[[#This Row],[LEN]]*#REF!+#REF!,0)</f>
        <v>#REF!</v>
      </c>
    </row>
    <row r="911" spans="1:16" s="97" customFormat="1" x14ac:dyDescent="0.25">
      <c r="A911" s="53" t="s">
        <v>1707</v>
      </c>
      <c r="B911" s="54" t="s">
        <v>1671</v>
      </c>
      <c r="C911" s="55" t="s">
        <v>592</v>
      </c>
      <c r="D911" s="77" t="s">
        <v>1177</v>
      </c>
      <c r="E911" s="55" t="s">
        <v>673</v>
      </c>
      <c r="F911" s="55" t="s">
        <v>1704</v>
      </c>
      <c r="G911" s="77" t="s">
        <v>169</v>
      </c>
      <c r="H911" s="77" t="s">
        <v>570</v>
      </c>
      <c r="I911" s="55"/>
      <c r="J911" s="56" t="s">
        <v>708</v>
      </c>
      <c r="K911" s="118">
        <f>ROUND(Tableau15[[#This Row],[LEN]]*7.27,0)</f>
        <v>189</v>
      </c>
      <c r="L911" s="118">
        <v>15</v>
      </c>
      <c r="M911" s="135" t="str">
        <f t="shared" si="6"/>
        <v>none</v>
      </c>
      <c r="N911" s="118">
        <f>LEN(Tableau15[[#This Row],[LABEL]])</f>
        <v>26</v>
      </c>
      <c r="O911" s="118">
        <v>15</v>
      </c>
      <c r="P911" s="118" t="e">
        <f>ROUND(Tableau15[[#This Row],[LEN]]*#REF!+#REF!,0)</f>
        <v>#REF!</v>
      </c>
    </row>
    <row r="912" spans="1:16" s="97" customFormat="1" x14ac:dyDescent="0.25">
      <c r="A912" s="53" t="s">
        <v>1708</v>
      </c>
      <c r="B912" s="54" t="s">
        <v>1671</v>
      </c>
      <c r="C912" s="55" t="s">
        <v>597</v>
      </c>
      <c r="D912" s="77" t="s">
        <v>1177</v>
      </c>
      <c r="E912" s="55" t="s">
        <v>673</v>
      </c>
      <c r="F912" s="55" t="s">
        <v>1704</v>
      </c>
      <c r="G912" s="77" t="s">
        <v>169</v>
      </c>
      <c r="H912" s="77" t="s">
        <v>570</v>
      </c>
      <c r="I912" s="55"/>
      <c r="J912" s="56" t="s">
        <v>708</v>
      </c>
      <c r="K912" s="118">
        <f>ROUND(Tableau15[[#This Row],[LEN]]*7.27,0)</f>
        <v>465</v>
      </c>
      <c r="L912" s="118">
        <v>15</v>
      </c>
      <c r="M912" s="135" t="str">
        <f t="shared" si="6"/>
        <v>none</v>
      </c>
      <c r="N912" s="118">
        <f>LEN(Tableau15[[#This Row],[LABEL]])</f>
        <v>64</v>
      </c>
      <c r="O912" s="118">
        <v>15</v>
      </c>
      <c r="P912" s="118" t="e">
        <f>ROUND(Tableau15[[#This Row],[LEN]]*#REF!+#REF!,0)</f>
        <v>#REF!</v>
      </c>
    </row>
    <row r="913" spans="1:16" s="97" customFormat="1" x14ac:dyDescent="0.25">
      <c r="A913" s="49" t="s">
        <v>1672</v>
      </c>
      <c r="B913" s="50" t="s">
        <v>309</v>
      </c>
      <c r="C913" s="51" t="s">
        <v>1709</v>
      </c>
      <c r="D913" s="76" t="s">
        <v>1177</v>
      </c>
      <c r="E913" s="51" t="s">
        <v>669</v>
      </c>
      <c r="F913" s="51" t="s">
        <v>1177</v>
      </c>
      <c r="G913" s="76" t="s">
        <v>169</v>
      </c>
      <c r="H913" s="76" t="s">
        <v>655</v>
      </c>
      <c r="I913" s="51"/>
      <c r="J913" s="52" t="s">
        <v>708</v>
      </c>
      <c r="K913" s="117">
        <f>ROUND(Tableau15[[#This Row],[LEN]]*7.27,0)</f>
        <v>138</v>
      </c>
      <c r="L913" s="117">
        <v>15</v>
      </c>
      <c r="M913" s="134" t="str">
        <f t="shared" si="6"/>
        <v>none</v>
      </c>
      <c r="N913" s="117">
        <f>LEN(Tableau15[[#This Row],[LABEL]])</f>
        <v>19</v>
      </c>
      <c r="O913" s="117">
        <v>15</v>
      </c>
      <c r="P913" s="117" t="e">
        <f>ROUND(Tableau15[[#This Row],[LEN]]*#REF!+#REF!,0)</f>
        <v>#REF!</v>
      </c>
    </row>
    <row r="914" spans="1:16" s="97" customFormat="1" x14ac:dyDescent="0.25">
      <c r="A914" s="53" t="s">
        <v>1710</v>
      </c>
      <c r="B914" s="54" t="s">
        <v>1672</v>
      </c>
      <c r="C914" s="55" t="s">
        <v>1713</v>
      </c>
      <c r="D914" s="77" t="s">
        <v>1177</v>
      </c>
      <c r="E914" s="55" t="s">
        <v>669</v>
      </c>
      <c r="F914" s="55" t="s">
        <v>1177</v>
      </c>
      <c r="G914" s="77" t="s">
        <v>169</v>
      </c>
      <c r="H914" s="77" t="s">
        <v>654</v>
      </c>
      <c r="I914" s="55"/>
      <c r="J914" s="56" t="s">
        <v>708</v>
      </c>
      <c r="K914" s="118">
        <f>ROUND(Tableau15[[#This Row],[LEN]]*7.27,0)</f>
        <v>422</v>
      </c>
      <c r="L914" s="118">
        <v>15</v>
      </c>
      <c r="M914" s="135" t="str">
        <f t="shared" si="6"/>
        <v>none</v>
      </c>
      <c r="N914" s="118">
        <f>LEN(Tableau15[[#This Row],[LABEL]])</f>
        <v>58</v>
      </c>
      <c r="O914" s="118">
        <v>15</v>
      </c>
      <c r="P914" s="118" t="e">
        <f>ROUND(Tableau15[[#This Row],[LEN]]*#REF!+#REF!,0)</f>
        <v>#REF!</v>
      </c>
    </row>
    <row r="915" spans="1:16" s="97" customFormat="1" x14ac:dyDescent="0.25">
      <c r="A915" s="53" t="s">
        <v>1711</v>
      </c>
      <c r="B915" s="54" t="s">
        <v>1672</v>
      </c>
      <c r="C915" s="55" t="s">
        <v>1714</v>
      </c>
      <c r="D915" s="77" t="s">
        <v>1177</v>
      </c>
      <c r="E915" s="55" t="s">
        <v>669</v>
      </c>
      <c r="F915" s="55" t="s">
        <v>1177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ROUND(Tableau15[[#This Row],[LEN]]*7.27,0)</f>
        <v>174</v>
      </c>
      <c r="L915" s="118">
        <v>15</v>
      </c>
      <c r="M915" s="135" t="str">
        <f t="shared" si="6"/>
        <v>none</v>
      </c>
      <c r="N915" s="118">
        <f>LEN(Tableau15[[#This Row],[LABEL]])</f>
        <v>24</v>
      </c>
      <c r="O915" s="118">
        <v>15</v>
      </c>
      <c r="P915" s="118" t="e">
        <f>ROUND(Tableau15[[#This Row],[LEN]]*#REF!+#REF!,0)</f>
        <v>#REF!</v>
      </c>
    </row>
    <row r="916" spans="1:16" s="97" customFormat="1" x14ac:dyDescent="0.25">
      <c r="A916" s="53" t="s">
        <v>1712</v>
      </c>
      <c r="B916" s="54" t="s">
        <v>1672</v>
      </c>
      <c r="C916" s="55" t="s">
        <v>1715</v>
      </c>
      <c r="D916" s="77" t="s">
        <v>1177</v>
      </c>
      <c r="E916" s="55" t="s">
        <v>669</v>
      </c>
      <c r="F916" s="55" t="s">
        <v>1177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ROUND(Tableau15[[#This Row],[LEN]]*7.27,0)</f>
        <v>145</v>
      </c>
      <c r="L916" s="118">
        <v>15</v>
      </c>
      <c r="M916" s="135" t="str">
        <f t="shared" si="6"/>
        <v>none</v>
      </c>
      <c r="N916" s="118">
        <f>LEN(Tableau15[[#This Row],[LABEL]])</f>
        <v>20</v>
      </c>
      <c r="O916" s="118">
        <v>15</v>
      </c>
      <c r="P916" s="118" t="e">
        <f>ROUND(Tableau15[[#This Row],[LEN]]*#REF!+#REF!,0)</f>
        <v>#REF!</v>
      </c>
    </row>
    <row r="917" spans="1:16" s="97" customFormat="1" x14ac:dyDescent="0.25">
      <c r="A917" s="49" t="s">
        <v>1673</v>
      </c>
      <c r="B917" s="50" t="s">
        <v>309</v>
      </c>
      <c r="C917" s="51" t="s">
        <v>598</v>
      </c>
      <c r="D917" s="76" t="s">
        <v>1177</v>
      </c>
      <c r="E917" s="51" t="s">
        <v>673</v>
      </c>
      <c r="F917" s="51" t="s">
        <v>2035</v>
      </c>
      <c r="G917" s="76" t="s">
        <v>169</v>
      </c>
      <c r="H917" s="76" t="s">
        <v>654</v>
      </c>
      <c r="I917" s="51"/>
      <c r="J917" s="52" t="s">
        <v>708</v>
      </c>
      <c r="K917" s="117">
        <f>ROUND(Tableau15[[#This Row],[LEN]]*7.27,0)</f>
        <v>553</v>
      </c>
      <c r="L917" s="117">
        <v>15</v>
      </c>
      <c r="M917" s="134" t="str">
        <f t="shared" si="6"/>
        <v>none</v>
      </c>
      <c r="N917" s="117">
        <f>LEN(Tableau15[[#This Row],[LABEL]])</f>
        <v>76</v>
      </c>
      <c r="O917" s="117">
        <v>15</v>
      </c>
      <c r="P917" s="117" t="e">
        <f>ROUND(Tableau15[[#This Row],[LEN]]*#REF!+#REF!,0)</f>
        <v>#REF!</v>
      </c>
    </row>
    <row r="918" spans="1:16" s="273" customFormat="1" x14ac:dyDescent="0.25">
      <c r="A918" s="351" t="s">
        <v>310</v>
      </c>
      <c r="B918" s="352" t="s">
        <v>209</v>
      </c>
      <c r="C918" s="353" t="s">
        <v>7</v>
      </c>
      <c r="D918" s="354" t="s">
        <v>1177</v>
      </c>
      <c r="E918" s="353" t="s">
        <v>670</v>
      </c>
      <c r="F918" s="353" t="s">
        <v>1177</v>
      </c>
      <c r="G918" s="354" t="s">
        <v>169</v>
      </c>
      <c r="H918" s="354" t="str">
        <f>IFERROR(IF(SEARCH(".00.00.00.00.00",Tableau15[[#This Row],[name]],1)=7,"Division",""),"")</f>
        <v>Division</v>
      </c>
      <c r="I918" s="353"/>
      <c r="J918" s="355" t="s">
        <v>708</v>
      </c>
      <c r="K918" s="356">
        <f>ROUND(Tableau15[[#This Row],[LEN]]*7.27,0)</f>
        <v>189</v>
      </c>
      <c r="L918" s="356">
        <v>15</v>
      </c>
      <c r="M918" s="357" t="str">
        <f t="shared" si="6"/>
        <v>none</v>
      </c>
      <c r="N918" s="356">
        <f>LEN(Tableau15[[#This Row],[LABEL]])</f>
        <v>26</v>
      </c>
      <c r="O918" s="356">
        <v>15</v>
      </c>
      <c r="P918" s="356" t="e">
        <f>ROUND(Tableau15[[#This Row],[LEN]]*#REF!+#REF!,0)</f>
        <v>#REF!</v>
      </c>
    </row>
    <row r="919" spans="1:16" s="97" customFormat="1" x14ac:dyDescent="0.25">
      <c r="A919" s="49" t="s">
        <v>1716</v>
      </c>
      <c r="B919" s="50" t="s">
        <v>310</v>
      </c>
      <c r="C919" s="51" t="s">
        <v>1717</v>
      </c>
      <c r="D919" s="76" t="s">
        <v>1177</v>
      </c>
      <c r="E919" s="51" t="s">
        <v>670</v>
      </c>
      <c r="F919" s="51" t="s">
        <v>1177</v>
      </c>
      <c r="G919" s="76" t="s">
        <v>169</v>
      </c>
      <c r="H919" s="76" t="s">
        <v>656</v>
      </c>
      <c r="I919" s="51"/>
      <c r="J919" s="52" t="s">
        <v>708</v>
      </c>
      <c r="K919" s="117">
        <f>ROUND(Tableau15[[#This Row],[LEN]]*7.27,0)</f>
        <v>422</v>
      </c>
      <c r="L919" s="117">
        <v>15</v>
      </c>
      <c r="M919" s="134" t="str">
        <f t="shared" si="6"/>
        <v>none</v>
      </c>
      <c r="N919" s="117">
        <f>LEN(Tableau15[[#This Row],[LABEL]])</f>
        <v>58</v>
      </c>
      <c r="O919" s="117">
        <v>15</v>
      </c>
      <c r="P919" s="117" t="e">
        <f>ROUND(Tableau15[[#This Row],[LEN]]*#REF!+#REF!,0)</f>
        <v>#REF!</v>
      </c>
    </row>
    <row r="920" spans="1:16" s="273" customFormat="1" x14ac:dyDescent="0.25">
      <c r="A920" s="351" t="s">
        <v>311</v>
      </c>
      <c r="B920" s="352" t="s">
        <v>209</v>
      </c>
      <c r="C920" s="353" t="s">
        <v>8</v>
      </c>
      <c r="D920" s="354" t="s">
        <v>1177</v>
      </c>
      <c r="E920" s="353" t="s">
        <v>671</v>
      </c>
      <c r="F920" s="353" t="s">
        <v>1177</v>
      </c>
      <c r="G920" s="354" t="s">
        <v>169</v>
      </c>
      <c r="H920" s="354" t="str">
        <f>IFERROR(IF(SEARCH(".00.00.00.00.00",Tableau15[[#This Row],[name]],1)=7,"Division",""),"")</f>
        <v>Division</v>
      </c>
      <c r="I920" s="353"/>
      <c r="J920" s="355" t="s">
        <v>708</v>
      </c>
      <c r="K920" s="356">
        <f>ROUND(Tableau15[[#This Row],[LEN]]*7.27,0)</f>
        <v>116</v>
      </c>
      <c r="L920" s="356">
        <v>15</v>
      </c>
      <c r="M920" s="357" t="str">
        <f t="shared" si="6"/>
        <v>none</v>
      </c>
      <c r="N920" s="356">
        <f>LEN(Tableau15[[#This Row],[LABEL]])</f>
        <v>16</v>
      </c>
      <c r="O920" s="356">
        <v>15</v>
      </c>
      <c r="P920" s="356" t="e">
        <f>ROUND(Tableau15[[#This Row],[LEN]]*#REF!+#REF!,0)</f>
        <v>#REF!</v>
      </c>
    </row>
    <row r="921" spans="1:16" s="97" customFormat="1" x14ac:dyDescent="0.25">
      <c r="A921" s="49" t="s">
        <v>1718</v>
      </c>
      <c r="B921" s="50" t="s">
        <v>311</v>
      </c>
      <c r="C921" s="51" t="s">
        <v>1720</v>
      </c>
      <c r="D921" s="76" t="s">
        <v>1177</v>
      </c>
      <c r="E921" s="51" t="s">
        <v>671</v>
      </c>
      <c r="F921" s="51" t="s">
        <v>1177</v>
      </c>
      <c r="G921" s="76" t="s">
        <v>169</v>
      </c>
      <c r="H921" s="76" t="s">
        <v>656</v>
      </c>
      <c r="I921" s="51"/>
      <c r="J921" s="52" t="s">
        <v>708</v>
      </c>
      <c r="K921" s="117">
        <f>ROUND(Tableau15[[#This Row],[LEN]]*7.27,0)</f>
        <v>487</v>
      </c>
      <c r="L921" s="117">
        <v>15</v>
      </c>
      <c r="M921" s="134" t="str">
        <f t="shared" si="6"/>
        <v>none</v>
      </c>
      <c r="N921" s="117">
        <f>LEN(Tableau15[[#This Row],[LABEL]])</f>
        <v>67</v>
      </c>
      <c r="O921" s="117">
        <v>15</v>
      </c>
      <c r="P921" s="117" t="e">
        <f>ROUND(Tableau15[[#This Row],[LEN]]*#REF!+#REF!,0)</f>
        <v>#REF!</v>
      </c>
    </row>
    <row r="922" spans="1:16" s="97" customFormat="1" x14ac:dyDescent="0.25">
      <c r="A922" s="49" t="s">
        <v>1719</v>
      </c>
      <c r="B922" s="50" t="s">
        <v>311</v>
      </c>
      <c r="C922" s="51" t="s">
        <v>1721</v>
      </c>
      <c r="D922" s="76" t="s">
        <v>1177</v>
      </c>
      <c r="E922" s="51" t="s">
        <v>671</v>
      </c>
      <c r="F922" s="51" t="s">
        <v>1177</v>
      </c>
      <c r="G922" s="76" t="s">
        <v>169</v>
      </c>
      <c r="H922" s="76" t="s">
        <v>654</v>
      </c>
      <c r="I922" s="51"/>
      <c r="J922" s="52" t="s">
        <v>708</v>
      </c>
      <c r="K922" s="117">
        <f>ROUND(Tableau15[[#This Row],[LEN]]*7.27,0)</f>
        <v>320</v>
      </c>
      <c r="L922" s="117">
        <v>15</v>
      </c>
      <c r="M922" s="134" t="str">
        <f t="shared" si="6"/>
        <v>none</v>
      </c>
      <c r="N922" s="117">
        <f>LEN(Tableau15[[#This Row],[LABEL]])</f>
        <v>44</v>
      </c>
      <c r="O922" s="117">
        <v>15</v>
      </c>
      <c r="P922" s="117" t="e">
        <f>ROUND(Tableau15[[#This Row],[LEN]]*#REF!+#REF!,0)</f>
        <v>#REF!</v>
      </c>
    </row>
    <row r="923" spans="1:16" s="273" customFormat="1" x14ac:dyDescent="0.25">
      <c r="A923" s="351" t="s">
        <v>312</v>
      </c>
      <c r="B923" s="352" t="s">
        <v>209</v>
      </c>
      <c r="C923" s="353" t="s">
        <v>9</v>
      </c>
      <c r="D923" s="354" t="s">
        <v>1177</v>
      </c>
      <c r="E923" s="353" t="s">
        <v>672</v>
      </c>
      <c r="F923" s="353" t="s">
        <v>1177</v>
      </c>
      <c r="G923" s="354" t="s">
        <v>169</v>
      </c>
      <c r="H923" s="354" t="str">
        <f>IFERROR(IF(SEARCH(".00.00.00.00.00",Tableau15[[#This Row],[name]],1)=7,"Division",""),"")</f>
        <v>Division</v>
      </c>
      <c r="I923" s="353"/>
      <c r="J923" s="355" t="s">
        <v>718</v>
      </c>
      <c r="K923" s="356">
        <f>ROUND(Tableau15[[#This Row],[LEN]]*7.27,0)</f>
        <v>80</v>
      </c>
      <c r="L923" s="356">
        <v>15</v>
      </c>
      <c r="M923" s="357" t="str">
        <f t="shared" si="6"/>
        <v>new</v>
      </c>
      <c r="N923" s="356">
        <f>LEN(Tableau15[[#This Row],[LABEL]])</f>
        <v>11</v>
      </c>
      <c r="O923" s="356">
        <v>15</v>
      </c>
      <c r="P923" s="356" t="e">
        <f>ROUND(Tableau15[[#This Row],[LEN]]*#REF!+#REF!,0)</f>
        <v>#REF!</v>
      </c>
    </row>
    <row r="924" spans="1:16" s="97" customFormat="1" x14ac:dyDescent="0.25">
      <c r="A924" s="49" t="s">
        <v>539</v>
      </c>
      <c r="B924" s="50" t="s">
        <v>312</v>
      </c>
      <c r="C924" s="51" t="s">
        <v>128</v>
      </c>
      <c r="D924" s="76" t="s">
        <v>1177</v>
      </c>
      <c r="E924" s="51" t="s">
        <v>669</v>
      </c>
      <c r="F924" s="51" t="s">
        <v>2029</v>
      </c>
      <c r="G924" s="76" t="s">
        <v>169</v>
      </c>
      <c r="H924" s="76" t="s">
        <v>570</v>
      </c>
      <c r="I924" s="51"/>
      <c r="J924" s="52" t="s">
        <v>708</v>
      </c>
      <c r="K924" s="117">
        <f>ROUND(Tableau15[[#This Row],[LEN]]*7.27,0)</f>
        <v>182</v>
      </c>
      <c r="L924" s="117">
        <v>15</v>
      </c>
      <c r="M924" s="134" t="str">
        <f t="shared" si="6"/>
        <v>none</v>
      </c>
      <c r="N924" s="117">
        <f>LEN(Tableau15[[#This Row],[LABEL]])</f>
        <v>25</v>
      </c>
      <c r="O924" s="117">
        <v>15</v>
      </c>
      <c r="P924" s="117" t="e">
        <f>ROUND(Tableau15[[#This Row],[LEN]]*#REF!+#REF!,0)</f>
        <v>#REF!</v>
      </c>
    </row>
    <row r="925" spans="1:16" s="97" customFormat="1" x14ac:dyDescent="0.25">
      <c r="A925" s="49" t="s">
        <v>540</v>
      </c>
      <c r="B925" s="50" t="s">
        <v>312</v>
      </c>
      <c r="C925" s="51" t="s">
        <v>129</v>
      </c>
      <c r="D925" s="76" t="s">
        <v>1177</v>
      </c>
      <c r="E925" s="51" t="s">
        <v>673</v>
      </c>
      <c r="F925" s="51" t="s">
        <v>2035</v>
      </c>
      <c r="G925" s="76" t="s">
        <v>169</v>
      </c>
      <c r="H925" s="76" t="s">
        <v>655</v>
      </c>
      <c r="I925" s="51"/>
      <c r="J925" s="52" t="s">
        <v>708</v>
      </c>
      <c r="K925" s="117">
        <f>ROUND(Tableau15[[#This Row],[LEN]]*7.27,0)</f>
        <v>87</v>
      </c>
      <c r="L925" s="117">
        <v>15</v>
      </c>
      <c r="M925" s="134" t="str">
        <f t="shared" si="6"/>
        <v>none</v>
      </c>
      <c r="N925" s="117">
        <f>LEN(Tableau15[[#This Row],[LABEL]])</f>
        <v>12</v>
      </c>
      <c r="O925" s="117">
        <v>15</v>
      </c>
      <c r="P925" s="117" t="e">
        <f>ROUND(Tableau15[[#This Row],[LEN]]*#REF!+#REF!,0)</f>
        <v>#REF!</v>
      </c>
    </row>
    <row r="926" spans="1:16" s="97" customFormat="1" x14ac:dyDescent="0.25">
      <c r="A926" s="53" t="s">
        <v>550</v>
      </c>
      <c r="B926" s="54" t="s">
        <v>540</v>
      </c>
      <c r="C926" s="55" t="s">
        <v>131</v>
      </c>
      <c r="D926" s="77" t="s">
        <v>1177</v>
      </c>
      <c r="E926" s="55" t="s">
        <v>673</v>
      </c>
      <c r="F926" s="55" t="s">
        <v>2035</v>
      </c>
      <c r="G926" s="77" t="s">
        <v>169</v>
      </c>
      <c r="H926" s="77" t="s">
        <v>570</v>
      </c>
      <c r="I926" s="55"/>
      <c r="J926" s="56" t="s">
        <v>708</v>
      </c>
      <c r="K926" s="118">
        <f>ROUND(Tableau15[[#This Row],[LEN]]*7.27,0)</f>
        <v>262</v>
      </c>
      <c r="L926" s="118">
        <v>15</v>
      </c>
      <c r="M926" s="135" t="str">
        <f t="shared" si="6"/>
        <v>none</v>
      </c>
      <c r="N926" s="118">
        <f>LEN(Tableau15[[#This Row],[LABEL]])</f>
        <v>36</v>
      </c>
      <c r="O926" s="118">
        <v>15</v>
      </c>
      <c r="P926" s="118" t="e">
        <f>ROUND(Tableau15[[#This Row],[LEN]]*#REF!+#REF!,0)</f>
        <v>#REF!</v>
      </c>
    </row>
    <row r="927" spans="1:16" s="97" customFormat="1" x14ac:dyDescent="0.25">
      <c r="A927" s="53" t="s">
        <v>551</v>
      </c>
      <c r="B927" s="54" t="s">
        <v>540</v>
      </c>
      <c r="C927" s="55" t="s">
        <v>132</v>
      </c>
      <c r="D927" s="77" t="s">
        <v>1177</v>
      </c>
      <c r="E927" s="55" t="s">
        <v>673</v>
      </c>
      <c r="F927" s="55" t="s">
        <v>2035</v>
      </c>
      <c r="G927" s="77" t="s">
        <v>169</v>
      </c>
      <c r="H927" s="77" t="s">
        <v>570</v>
      </c>
      <c r="I927" s="55"/>
      <c r="J927" s="56" t="s">
        <v>708</v>
      </c>
      <c r="K927" s="118">
        <f>ROUND(Tableau15[[#This Row],[LEN]]*7.27,0)</f>
        <v>298</v>
      </c>
      <c r="L927" s="118">
        <v>15</v>
      </c>
      <c r="M927" s="135" t="str">
        <f t="shared" si="6"/>
        <v>none</v>
      </c>
      <c r="N927" s="118">
        <f>LEN(Tableau15[[#This Row],[LABEL]])</f>
        <v>41</v>
      </c>
      <c r="O927" s="118">
        <v>15</v>
      </c>
      <c r="P927" s="118" t="e">
        <f>ROUND(Tableau15[[#This Row],[LEN]]*#REF!+#REF!,0)</f>
        <v>#REF!</v>
      </c>
    </row>
    <row r="928" spans="1:16" s="97" customFormat="1" x14ac:dyDescent="0.25">
      <c r="A928" s="49" t="s">
        <v>541</v>
      </c>
      <c r="B928" s="50" t="s">
        <v>312</v>
      </c>
      <c r="C928" s="51" t="s">
        <v>546</v>
      </c>
      <c r="D928" s="76" t="s">
        <v>1177</v>
      </c>
      <c r="E928" s="51" t="s">
        <v>672</v>
      </c>
      <c r="F928" s="51" t="s">
        <v>1177</v>
      </c>
      <c r="G928" s="76" t="s">
        <v>169</v>
      </c>
      <c r="H928" s="76" t="s">
        <v>655</v>
      </c>
      <c r="I928" s="51"/>
      <c r="J928" s="52" t="s">
        <v>708</v>
      </c>
      <c r="K928" s="117">
        <f>ROUND(Tableau15[[#This Row],[LEN]]*7.27,0)</f>
        <v>167</v>
      </c>
      <c r="L928" s="117">
        <v>15</v>
      </c>
      <c r="M928" s="134" t="str">
        <f t="shared" si="6"/>
        <v>none</v>
      </c>
      <c r="N928" s="117">
        <f>LEN(Tableau15[[#This Row],[LABEL]])</f>
        <v>23</v>
      </c>
      <c r="O928" s="117">
        <v>15</v>
      </c>
      <c r="P928" s="117" t="e">
        <f>ROUND(Tableau15[[#This Row],[LEN]]*#REF!+#REF!,0)</f>
        <v>#REF!</v>
      </c>
    </row>
    <row r="929" spans="1:16" s="97" customFormat="1" x14ac:dyDescent="0.25">
      <c r="A929" s="53" t="s">
        <v>552</v>
      </c>
      <c r="B929" s="54" t="s">
        <v>541</v>
      </c>
      <c r="C929" s="55" t="s">
        <v>555</v>
      </c>
      <c r="D929" s="77" t="s">
        <v>1177</v>
      </c>
      <c r="E929" s="55" t="s">
        <v>672</v>
      </c>
      <c r="F929" s="55" t="s">
        <v>1177</v>
      </c>
      <c r="G929" s="77" t="s">
        <v>169</v>
      </c>
      <c r="H929" s="77" t="s">
        <v>656</v>
      </c>
      <c r="I929" s="55"/>
      <c r="J929" s="56" t="s">
        <v>708</v>
      </c>
      <c r="K929" s="118">
        <f>ROUND(Tableau15[[#This Row],[LEN]]*7.27,0)</f>
        <v>356</v>
      </c>
      <c r="L929" s="118">
        <v>15</v>
      </c>
      <c r="M929" s="135" t="str">
        <f t="shared" si="6"/>
        <v>none</v>
      </c>
      <c r="N929" s="118">
        <f>LEN(Tableau15[[#This Row],[LABEL]])</f>
        <v>49</v>
      </c>
      <c r="O929" s="118">
        <v>15</v>
      </c>
      <c r="P929" s="118" t="e">
        <f>ROUND(Tableau15[[#This Row],[LEN]]*#REF!+#REF!,0)</f>
        <v>#REF!</v>
      </c>
    </row>
    <row r="930" spans="1:16" s="97" customFormat="1" x14ac:dyDescent="0.25">
      <c r="A930" s="53" t="s">
        <v>553</v>
      </c>
      <c r="B930" s="54" t="s">
        <v>541</v>
      </c>
      <c r="C930" s="55" t="s">
        <v>556</v>
      </c>
      <c r="D930" s="77" t="s">
        <v>1177</v>
      </c>
      <c r="E930" s="55" t="s">
        <v>672</v>
      </c>
      <c r="F930" s="55" t="s">
        <v>1177</v>
      </c>
      <c r="G930" s="77" t="s">
        <v>169</v>
      </c>
      <c r="H930" s="77" t="s">
        <v>654</v>
      </c>
      <c r="I930" s="55"/>
      <c r="J930" s="56" t="s">
        <v>708</v>
      </c>
      <c r="K930" s="118">
        <f>ROUND(Tableau15[[#This Row],[LEN]]*7.27,0)</f>
        <v>451</v>
      </c>
      <c r="L930" s="118">
        <v>15</v>
      </c>
      <c r="M930" s="135" t="str">
        <f t="shared" si="6"/>
        <v>none</v>
      </c>
      <c r="N930" s="118">
        <f>LEN(Tableau15[[#This Row],[LABEL]])</f>
        <v>62</v>
      </c>
      <c r="O930" s="118">
        <v>15</v>
      </c>
      <c r="P930" s="118" t="e">
        <f>ROUND(Tableau15[[#This Row],[LEN]]*#REF!+#REF!,0)</f>
        <v>#REF!</v>
      </c>
    </row>
    <row r="931" spans="1:16" s="97" customFormat="1" x14ac:dyDescent="0.25">
      <c r="A931" s="53" t="s">
        <v>554</v>
      </c>
      <c r="B931" s="54" t="s">
        <v>541</v>
      </c>
      <c r="C931" s="55" t="s">
        <v>557</v>
      </c>
      <c r="D931" s="77" t="s">
        <v>1177</v>
      </c>
      <c r="E931" s="55" t="s">
        <v>672</v>
      </c>
      <c r="F931" s="55" t="s">
        <v>1177</v>
      </c>
      <c r="G931" s="77" t="s">
        <v>169</v>
      </c>
      <c r="H931" s="77" t="s">
        <v>656</v>
      </c>
      <c r="I931" s="55"/>
      <c r="J931" s="56" t="s">
        <v>708</v>
      </c>
      <c r="K931" s="118">
        <f>ROUND(Tableau15[[#This Row],[LEN]]*7.27,0)</f>
        <v>240</v>
      </c>
      <c r="L931" s="118">
        <v>15</v>
      </c>
      <c r="M931" s="135" t="str">
        <f t="shared" si="6"/>
        <v>none</v>
      </c>
      <c r="N931" s="118">
        <f>LEN(Tableau15[[#This Row],[LABEL]])</f>
        <v>33</v>
      </c>
      <c r="O931" s="118">
        <v>15</v>
      </c>
      <c r="P931" s="118" t="e">
        <f>ROUND(Tableau15[[#This Row],[LEN]]*#REF!+#REF!,0)</f>
        <v>#REF!</v>
      </c>
    </row>
    <row r="932" spans="1:16" s="97" customFormat="1" x14ac:dyDescent="0.25">
      <c r="A932" s="49" t="s">
        <v>542</v>
      </c>
      <c r="B932" s="50" t="s">
        <v>312</v>
      </c>
      <c r="C932" s="51" t="s">
        <v>547</v>
      </c>
      <c r="D932" s="76" t="s">
        <v>1177</v>
      </c>
      <c r="E932" s="51" t="s">
        <v>672</v>
      </c>
      <c r="F932" s="51" t="s">
        <v>1177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ROUND(Tableau15[[#This Row],[LEN]]*7.27,0)</f>
        <v>95</v>
      </c>
      <c r="L932" s="117">
        <v>15</v>
      </c>
      <c r="M932" s="134" t="str">
        <f t="shared" si="6"/>
        <v>none</v>
      </c>
      <c r="N932" s="117">
        <f>LEN(Tableau15[[#This Row],[LABEL]])</f>
        <v>13</v>
      </c>
      <c r="O932" s="117">
        <v>15</v>
      </c>
      <c r="P932" s="117" t="e">
        <f>ROUND(Tableau15[[#This Row],[LEN]]*#REF!+#REF!,0)</f>
        <v>#REF!</v>
      </c>
    </row>
    <row r="933" spans="1:16" s="97" customFormat="1" x14ac:dyDescent="0.25">
      <c r="A933" s="53" t="s">
        <v>558</v>
      </c>
      <c r="B933" s="54" t="s">
        <v>542</v>
      </c>
      <c r="C933" s="55" t="s">
        <v>562</v>
      </c>
      <c r="D933" s="77" t="s">
        <v>1177</v>
      </c>
      <c r="E933" s="55" t="s">
        <v>672</v>
      </c>
      <c r="F933" s="55" t="s">
        <v>1177</v>
      </c>
      <c r="G933" s="77" t="s">
        <v>169</v>
      </c>
      <c r="H933" s="77" t="s">
        <v>654</v>
      </c>
      <c r="I933" s="55"/>
      <c r="J933" s="56" t="s">
        <v>708</v>
      </c>
      <c r="K933" s="118">
        <f>ROUND(Tableau15[[#This Row],[LEN]]*7.27,0)</f>
        <v>58</v>
      </c>
      <c r="L933" s="118">
        <v>15</v>
      </c>
      <c r="M933" s="135" t="str">
        <f t="shared" si="6"/>
        <v>none</v>
      </c>
      <c r="N933" s="118">
        <f>LEN(Tableau15[[#This Row],[LABEL]])</f>
        <v>8</v>
      </c>
      <c r="O933" s="118">
        <v>15</v>
      </c>
      <c r="P933" s="118" t="e">
        <f>ROUND(Tableau15[[#This Row],[LEN]]*#REF!+#REF!,0)</f>
        <v>#REF!</v>
      </c>
    </row>
    <row r="934" spans="1:16" s="97" customFormat="1" x14ac:dyDescent="0.25">
      <c r="A934" s="53" t="s">
        <v>559</v>
      </c>
      <c r="B934" s="54" t="s">
        <v>542</v>
      </c>
      <c r="C934" s="55" t="s">
        <v>563</v>
      </c>
      <c r="D934" s="77" t="s">
        <v>1177</v>
      </c>
      <c r="E934" s="55" t="s">
        <v>672</v>
      </c>
      <c r="F934" s="55" t="s">
        <v>1177</v>
      </c>
      <c r="G934" s="77" t="s">
        <v>169</v>
      </c>
      <c r="H934" s="77" t="s">
        <v>654</v>
      </c>
      <c r="I934" s="55"/>
      <c r="J934" s="56" t="s">
        <v>708</v>
      </c>
      <c r="K934" s="118">
        <f>ROUND(Tableau15[[#This Row],[LEN]]*7.27,0)</f>
        <v>58</v>
      </c>
      <c r="L934" s="118">
        <v>15</v>
      </c>
      <c r="M934" s="135" t="str">
        <f t="shared" si="6"/>
        <v>none</v>
      </c>
      <c r="N934" s="118">
        <f>LEN(Tableau15[[#This Row],[LABEL]])</f>
        <v>8</v>
      </c>
      <c r="O934" s="118">
        <v>15</v>
      </c>
      <c r="P934" s="118" t="e">
        <f>ROUND(Tableau15[[#This Row],[LEN]]*#REF!+#REF!,0)</f>
        <v>#REF!</v>
      </c>
    </row>
    <row r="935" spans="1:16" s="97" customFormat="1" x14ac:dyDescent="0.25">
      <c r="A935" s="53" t="s">
        <v>560</v>
      </c>
      <c r="B935" s="54" t="s">
        <v>542</v>
      </c>
      <c r="C935" s="55" t="s">
        <v>564</v>
      </c>
      <c r="D935" s="77" t="s">
        <v>1177</v>
      </c>
      <c r="E935" s="55" t="s">
        <v>672</v>
      </c>
      <c r="F935" s="55" t="s">
        <v>1177</v>
      </c>
      <c r="G935" s="77" t="s">
        <v>169</v>
      </c>
      <c r="H935" s="77" t="s">
        <v>654</v>
      </c>
      <c r="I935" s="55"/>
      <c r="J935" s="56" t="s">
        <v>708</v>
      </c>
      <c r="K935" s="118">
        <f>ROUND(Tableau15[[#This Row],[LEN]]*7.27,0)</f>
        <v>58</v>
      </c>
      <c r="L935" s="118">
        <v>15</v>
      </c>
      <c r="M935" s="135" t="str">
        <f t="shared" si="6"/>
        <v>none</v>
      </c>
      <c r="N935" s="118">
        <f>LEN(Tableau15[[#This Row],[LABEL]])</f>
        <v>8</v>
      </c>
      <c r="O935" s="118">
        <v>15</v>
      </c>
      <c r="P935" s="118" t="e">
        <f>ROUND(Tableau15[[#This Row],[LEN]]*#REF!+#REF!,0)</f>
        <v>#REF!</v>
      </c>
    </row>
    <row r="936" spans="1:16" s="97" customFormat="1" x14ac:dyDescent="0.25">
      <c r="A936" s="53" t="s">
        <v>561</v>
      </c>
      <c r="B936" s="54" t="s">
        <v>542</v>
      </c>
      <c r="C936" s="55" t="s">
        <v>565</v>
      </c>
      <c r="D936" s="77" t="s">
        <v>1177</v>
      </c>
      <c r="E936" s="55" t="s">
        <v>672</v>
      </c>
      <c r="F936" s="55" t="s">
        <v>1177</v>
      </c>
      <c r="G936" s="77" t="s">
        <v>169</v>
      </c>
      <c r="H936" s="77" t="s">
        <v>654</v>
      </c>
      <c r="I936" s="55"/>
      <c r="J936" s="56" t="s">
        <v>708</v>
      </c>
      <c r="K936" s="118">
        <f>ROUND(Tableau15[[#This Row],[LEN]]*7.27,0)</f>
        <v>51</v>
      </c>
      <c r="L936" s="118">
        <v>15</v>
      </c>
      <c r="M936" s="135" t="str">
        <f t="shared" si="6"/>
        <v>none</v>
      </c>
      <c r="N936" s="118">
        <f>LEN(Tableau15[[#This Row],[LABEL]])</f>
        <v>7</v>
      </c>
      <c r="O936" s="118">
        <v>15</v>
      </c>
      <c r="P936" s="118" t="e">
        <f>ROUND(Tableau15[[#This Row],[LEN]]*#REF!+#REF!,0)</f>
        <v>#REF!</v>
      </c>
    </row>
    <row r="937" spans="1:16" s="97" customFormat="1" x14ac:dyDescent="0.25">
      <c r="A937" s="53" t="s">
        <v>566</v>
      </c>
      <c r="B937" s="54" t="s">
        <v>542</v>
      </c>
      <c r="C937" s="55" t="s">
        <v>570</v>
      </c>
      <c r="D937" s="77" t="s">
        <v>1177</v>
      </c>
      <c r="E937" s="55" t="s">
        <v>672</v>
      </c>
      <c r="F937" s="55" t="s">
        <v>1177</v>
      </c>
      <c r="G937" s="77" t="s">
        <v>169</v>
      </c>
      <c r="H937" s="77" t="s">
        <v>654</v>
      </c>
      <c r="I937" s="55"/>
      <c r="J937" s="56" t="s">
        <v>708</v>
      </c>
      <c r="K937" s="118">
        <f>ROUND(Tableau15[[#This Row],[LEN]]*7.27,0)</f>
        <v>44</v>
      </c>
      <c r="L937" s="118">
        <v>15</v>
      </c>
      <c r="M937" s="135" t="str">
        <f t="shared" si="6"/>
        <v>none</v>
      </c>
      <c r="N937" s="118">
        <f>LEN(Tableau15[[#This Row],[LABEL]])</f>
        <v>6</v>
      </c>
      <c r="O937" s="118">
        <v>15</v>
      </c>
      <c r="P937" s="118" t="e">
        <f>ROUND(Tableau15[[#This Row],[LEN]]*#REF!+#REF!,0)</f>
        <v>#REF!</v>
      </c>
    </row>
    <row r="938" spans="1:16" s="97" customFormat="1" x14ac:dyDescent="0.25">
      <c r="A938" s="53" t="s">
        <v>567</v>
      </c>
      <c r="B938" s="54" t="s">
        <v>542</v>
      </c>
      <c r="C938" s="55" t="s">
        <v>571</v>
      </c>
      <c r="D938" s="77" t="s">
        <v>1177</v>
      </c>
      <c r="E938" s="55" t="s">
        <v>672</v>
      </c>
      <c r="F938" s="55" t="s">
        <v>1177</v>
      </c>
      <c r="G938" s="77" t="s">
        <v>169</v>
      </c>
      <c r="H938" s="77" t="s">
        <v>654</v>
      </c>
      <c r="I938" s="55"/>
      <c r="J938" s="56" t="s">
        <v>708</v>
      </c>
      <c r="K938" s="118">
        <f>ROUND(Tableau15[[#This Row],[LEN]]*7.27,0)</f>
        <v>44</v>
      </c>
      <c r="L938" s="118">
        <v>15</v>
      </c>
      <c r="M938" s="135" t="str">
        <f t="shared" si="6"/>
        <v>none</v>
      </c>
      <c r="N938" s="118">
        <f>LEN(Tableau15[[#This Row],[LABEL]])</f>
        <v>6</v>
      </c>
      <c r="O938" s="118">
        <v>15</v>
      </c>
      <c r="P938" s="118" t="e">
        <f>ROUND(Tableau15[[#This Row],[LEN]]*#REF!+#REF!,0)</f>
        <v>#REF!</v>
      </c>
    </row>
    <row r="939" spans="1:16" s="97" customFormat="1" x14ac:dyDescent="0.25">
      <c r="A939" s="53" t="s">
        <v>568</v>
      </c>
      <c r="B939" s="54" t="s">
        <v>542</v>
      </c>
      <c r="C939" s="55" t="s">
        <v>572</v>
      </c>
      <c r="D939" s="77" t="s">
        <v>1177</v>
      </c>
      <c r="E939" s="55" t="s">
        <v>672</v>
      </c>
      <c r="F939" s="55" t="s">
        <v>1177</v>
      </c>
      <c r="G939" s="77" t="s">
        <v>169</v>
      </c>
      <c r="H939" s="77" t="s">
        <v>654</v>
      </c>
      <c r="I939" s="55"/>
      <c r="J939" s="56" t="s">
        <v>708</v>
      </c>
      <c r="K939" s="118">
        <f>ROUND(Tableau15[[#This Row],[LEN]]*7.27,0)</f>
        <v>95</v>
      </c>
      <c r="L939" s="118">
        <v>15</v>
      </c>
      <c r="M939" s="135" t="str">
        <f t="shared" si="6"/>
        <v>none</v>
      </c>
      <c r="N939" s="118">
        <f>LEN(Tableau15[[#This Row],[LABEL]])</f>
        <v>13</v>
      </c>
      <c r="O939" s="118">
        <v>15</v>
      </c>
      <c r="P939" s="118" t="e">
        <f>ROUND(Tableau15[[#This Row],[LEN]]*#REF!+#REF!,0)</f>
        <v>#REF!</v>
      </c>
    </row>
    <row r="940" spans="1:16" s="97" customFormat="1" x14ac:dyDescent="0.25">
      <c r="A940" s="53" t="s">
        <v>569</v>
      </c>
      <c r="B940" s="54" t="s">
        <v>542</v>
      </c>
      <c r="C940" s="55" t="s">
        <v>573</v>
      </c>
      <c r="D940" s="77" t="s">
        <v>1177</v>
      </c>
      <c r="E940" s="55" t="s">
        <v>672</v>
      </c>
      <c r="F940" s="55" t="s">
        <v>1177</v>
      </c>
      <c r="G940" s="77" t="s">
        <v>169</v>
      </c>
      <c r="H940" s="77" t="s">
        <v>654</v>
      </c>
      <c r="I940" s="55"/>
      <c r="J940" s="56" t="s">
        <v>708</v>
      </c>
      <c r="K940" s="118">
        <f>ROUND(Tableau15[[#This Row],[LEN]]*7.27,0)</f>
        <v>109</v>
      </c>
      <c r="L940" s="118">
        <v>15</v>
      </c>
      <c r="M940" s="135" t="str">
        <f t="shared" si="6"/>
        <v>none</v>
      </c>
      <c r="N940" s="118">
        <f>LEN(Tableau15[[#This Row],[LABEL]])</f>
        <v>15</v>
      </c>
      <c r="O940" s="118">
        <v>15</v>
      </c>
      <c r="P940" s="118" t="e">
        <f>ROUND(Tableau15[[#This Row],[LEN]]*#REF!+#REF!,0)</f>
        <v>#REF!</v>
      </c>
    </row>
    <row r="941" spans="1:16" s="97" customFormat="1" x14ac:dyDescent="0.25">
      <c r="A941" s="49" t="s">
        <v>543</v>
      </c>
      <c r="B941" s="50" t="s">
        <v>312</v>
      </c>
      <c r="C941" s="51" t="s">
        <v>548</v>
      </c>
      <c r="D941" s="76" t="s">
        <v>1177</v>
      </c>
      <c r="E941" s="51" t="s">
        <v>672</v>
      </c>
      <c r="F941" s="51" t="s">
        <v>1177</v>
      </c>
      <c r="G941" s="76" t="s">
        <v>169</v>
      </c>
      <c r="H941" s="76" t="s">
        <v>655</v>
      </c>
      <c r="I941" s="51"/>
      <c r="J941" s="52" t="s">
        <v>708</v>
      </c>
      <c r="K941" s="117">
        <f>ROUND(Tableau15[[#This Row],[LEN]]*7.27,0)</f>
        <v>218</v>
      </c>
      <c r="L941" s="117">
        <v>15</v>
      </c>
      <c r="M941" s="134" t="str">
        <f t="shared" si="6"/>
        <v>none</v>
      </c>
      <c r="N941" s="117">
        <f>LEN(Tableau15[[#This Row],[LABEL]])</f>
        <v>30</v>
      </c>
      <c r="O941" s="117">
        <v>15</v>
      </c>
      <c r="P941" s="117" t="e">
        <f>ROUND(Tableau15[[#This Row],[LEN]]*#REF!+#REF!,0)</f>
        <v>#REF!</v>
      </c>
    </row>
    <row r="942" spans="1:16" s="97" customFormat="1" x14ac:dyDescent="0.25">
      <c r="A942" s="53" t="s">
        <v>574</v>
      </c>
      <c r="B942" s="54" t="s">
        <v>543</v>
      </c>
      <c r="C942" s="55" t="s">
        <v>576</v>
      </c>
      <c r="D942" s="77" t="s">
        <v>1177</v>
      </c>
      <c r="E942" s="55" t="s">
        <v>672</v>
      </c>
      <c r="F942" s="55" t="s">
        <v>1177</v>
      </c>
      <c r="G942" s="77" t="s">
        <v>169</v>
      </c>
      <c r="H942" s="77" t="s">
        <v>655</v>
      </c>
      <c r="I942" s="55"/>
      <c r="J942" s="56" t="s">
        <v>708</v>
      </c>
      <c r="K942" s="118">
        <f>ROUND(Tableau15[[#This Row],[LEN]]*7.27,0)</f>
        <v>65</v>
      </c>
      <c r="L942" s="118">
        <v>15</v>
      </c>
      <c r="M942" s="135" t="str">
        <f t="shared" si="6"/>
        <v>none</v>
      </c>
      <c r="N942" s="118">
        <f>LEN(Tableau15[[#This Row],[LABEL]])</f>
        <v>9</v>
      </c>
      <c r="O942" s="118">
        <v>15</v>
      </c>
      <c r="P942" s="118" t="e">
        <f>ROUND(Tableau15[[#This Row],[LEN]]*#REF!+#REF!,0)</f>
        <v>#REF!</v>
      </c>
    </row>
    <row r="943" spans="1:16" s="97" customFormat="1" x14ac:dyDescent="0.25">
      <c r="A943" s="57" t="s">
        <v>580</v>
      </c>
      <c r="B943" s="58" t="s">
        <v>574</v>
      </c>
      <c r="C943" s="59" t="s">
        <v>578</v>
      </c>
      <c r="D943" s="78" t="s">
        <v>1177</v>
      </c>
      <c r="E943" s="59" t="s">
        <v>672</v>
      </c>
      <c r="F943" s="59" t="s">
        <v>1177</v>
      </c>
      <c r="G943" s="78" t="s">
        <v>169</v>
      </c>
      <c r="H943" s="78" t="s">
        <v>654</v>
      </c>
      <c r="I943" s="59"/>
      <c r="J943" s="60" t="s">
        <v>708</v>
      </c>
      <c r="K943" s="119">
        <f>ROUND(Tableau15[[#This Row],[LEN]]*7.27,0)</f>
        <v>73</v>
      </c>
      <c r="L943" s="119">
        <v>15</v>
      </c>
      <c r="M943" s="136" t="str">
        <f t="shared" si="6"/>
        <v>none</v>
      </c>
      <c r="N943" s="119">
        <f>LEN(Tableau15[[#This Row],[LABEL]])</f>
        <v>10</v>
      </c>
      <c r="O943" s="119">
        <v>15</v>
      </c>
      <c r="P943" s="119" t="e">
        <f>ROUND(Tableau15[[#This Row],[LEN]]*#REF!+#REF!,0)</f>
        <v>#REF!</v>
      </c>
    </row>
    <row r="944" spans="1:16" s="97" customFormat="1" x14ac:dyDescent="0.25">
      <c r="A944" s="57" t="s">
        <v>581</v>
      </c>
      <c r="B944" s="58" t="s">
        <v>574</v>
      </c>
      <c r="C944" s="59" t="s">
        <v>579</v>
      </c>
      <c r="D944" s="78" t="s">
        <v>1177</v>
      </c>
      <c r="E944" s="59" t="s">
        <v>672</v>
      </c>
      <c r="F944" s="59" t="s">
        <v>1177</v>
      </c>
      <c r="G944" s="78" t="s">
        <v>169</v>
      </c>
      <c r="H944" s="78" t="s">
        <v>654</v>
      </c>
      <c r="I944" s="59"/>
      <c r="J944" s="60" t="s">
        <v>708</v>
      </c>
      <c r="K944" s="119">
        <f>ROUND(Tableau15[[#This Row],[LEN]]*7.27,0)</f>
        <v>153</v>
      </c>
      <c r="L944" s="119">
        <v>15</v>
      </c>
      <c r="M944" s="136" t="str">
        <f t="shared" si="6"/>
        <v>none</v>
      </c>
      <c r="N944" s="119">
        <f>LEN(Tableau15[[#This Row],[LABEL]])</f>
        <v>21</v>
      </c>
      <c r="O944" s="119">
        <v>15</v>
      </c>
      <c r="P944" s="119" t="e">
        <f>ROUND(Tableau15[[#This Row],[LEN]]*#REF!+#REF!,0)</f>
        <v>#REF!</v>
      </c>
    </row>
    <row r="945" spans="1:16" s="97" customFormat="1" x14ac:dyDescent="0.25">
      <c r="A945" s="53" t="s">
        <v>575</v>
      </c>
      <c r="B945" s="54" t="s">
        <v>543</v>
      </c>
      <c r="C945" s="55" t="s">
        <v>577</v>
      </c>
      <c r="D945" s="77" t="s">
        <v>1177</v>
      </c>
      <c r="E945" s="55" t="s">
        <v>672</v>
      </c>
      <c r="F945" s="55" t="s">
        <v>1177</v>
      </c>
      <c r="G945" s="77" t="s">
        <v>169</v>
      </c>
      <c r="H945" s="77" t="s">
        <v>655</v>
      </c>
      <c r="I945" s="55"/>
      <c r="J945" s="56" t="s">
        <v>708</v>
      </c>
      <c r="K945" s="118">
        <f>ROUND(Tableau15[[#This Row],[LEN]]*7.27,0)</f>
        <v>73</v>
      </c>
      <c r="L945" s="118">
        <v>15</v>
      </c>
      <c r="M945" s="135" t="str">
        <f t="shared" si="6"/>
        <v>none</v>
      </c>
      <c r="N945" s="118">
        <f>LEN(Tableau15[[#This Row],[LABEL]])</f>
        <v>10</v>
      </c>
      <c r="O945" s="118">
        <v>15</v>
      </c>
      <c r="P945" s="118" t="e">
        <f>ROUND(Tableau15[[#This Row],[LEN]]*#REF!+#REF!,0)</f>
        <v>#REF!</v>
      </c>
    </row>
    <row r="946" spans="1:16" s="97" customFormat="1" x14ac:dyDescent="0.25">
      <c r="A946" s="57" t="s">
        <v>582</v>
      </c>
      <c r="B946" s="58" t="s">
        <v>575</v>
      </c>
      <c r="C946" s="59" t="s">
        <v>586</v>
      </c>
      <c r="D946" s="78" t="s">
        <v>1177</v>
      </c>
      <c r="E946" s="59" t="s">
        <v>672</v>
      </c>
      <c r="F946" s="59" t="s">
        <v>1177</v>
      </c>
      <c r="G946" s="78" t="s">
        <v>169</v>
      </c>
      <c r="H946" s="78" t="s">
        <v>654</v>
      </c>
      <c r="I946" s="59"/>
      <c r="J946" s="60" t="s">
        <v>708</v>
      </c>
      <c r="K946" s="119">
        <f>ROUND(Tableau15[[#This Row],[LEN]]*7.27,0)</f>
        <v>189</v>
      </c>
      <c r="L946" s="119">
        <v>15</v>
      </c>
      <c r="M946" s="136" t="str">
        <f t="shared" si="6"/>
        <v>none</v>
      </c>
      <c r="N946" s="119">
        <f>LEN(Tableau15[[#This Row],[LABEL]])</f>
        <v>26</v>
      </c>
      <c r="O946" s="119">
        <v>15</v>
      </c>
      <c r="P946" s="119" t="e">
        <f>ROUND(Tableau15[[#This Row],[LEN]]*#REF!+#REF!,0)</f>
        <v>#REF!</v>
      </c>
    </row>
    <row r="947" spans="1:16" s="97" customFormat="1" x14ac:dyDescent="0.25">
      <c r="A947" s="57" t="s">
        <v>583</v>
      </c>
      <c r="B947" s="58" t="s">
        <v>575</v>
      </c>
      <c r="C947" s="59" t="s">
        <v>587</v>
      </c>
      <c r="D947" s="78" t="s">
        <v>1177</v>
      </c>
      <c r="E947" s="59" t="s">
        <v>672</v>
      </c>
      <c r="F947" s="59" t="s">
        <v>1177</v>
      </c>
      <c r="G947" s="78" t="s">
        <v>169</v>
      </c>
      <c r="H947" s="78" t="s">
        <v>654</v>
      </c>
      <c r="I947" s="59"/>
      <c r="J947" s="60" t="s">
        <v>708</v>
      </c>
      <c r="K947" s="119">
        <f>ROUND(Tableau15[[#This Row],[LEN]]*7.27,0)</f>
        <v>73</v>
      </c>
      <c r="L947" s="119">
        <v>15</v>
      </c>
      <c r="M947" s="136" t="str">
        <f t="shared" si="6"/>
        <v>none</v>
      </c>
      <c r="N947" s="119">
        <f>LEN(Tableau15[[#This Row],[LABEL]])</f>
        <v>10</v>
      </c>
      <c r="O947" s="119">
        <v>15</v>
      </c>
      <c r="P947" s="119" t="e">
        <f>ROUND(Tableau15[[#This Row],[LEN]]*#REF!+#REF!,0)</f>
        <v>#REF!</v>
      </c>
    </row>
    <row r="948" spans="1:16" s="97" customFormat="1" x14ac:dyDescent="0.25">
      <c r="A948" s="57" t="s">
        <v>584</v>
      </c>
      <c r="B948" s="58" t="s">
        <v>575</v>
      </c>
      <c r="C948" s="59" t="s">
        <v>588</v>
      </c>
      <c r="D948" s="78" t="s">
        <v>1177</v>
      </c>
      <c r="E948" s="59" t="s">
        <v>672</v>
      </c>
      <c r="F948" s="59" t="s">
        <v>1177</v>
      </c>
      <c r="G948" s="78" t="s">
        <v>169</v>
      </c>
      <c r="H948" s="78" t="s">
        <v>654</v>
      </c>
      <c r="I948" s="59"/>
      <c r="J948" s="60" t="s">
        <v>708</v>
      </c>
      <c r="K948" s="119">
        <f>ROUND(Tableau15[[#This Row],[LEN]]*7.27,0)</f>
        <v>65</v>
      </c>
      <c r="L948" s="119">
        <v>15</v>
      </c>
      <c r="M948" s="136" t="str">
        <f t="shared" si="6"/>
        <v>none</v>
      </c>
      <c r="N948" s="119">
        <f>LEN(Tableau15[[#This Row],[LABEL]])</f>
        <v>9</v>
      </c>
      <c r="O948" s="119">
        <v>15</v>
      </c>
      <c r="P948" s="119" t="e">
        <f>ROUND(Tableau15[[#This Row],[LEN]]*#REF!+#REF!,0)</f>
        <v>#REF!</v>
      </c>
    </row>
    <row r="949" spans="1:16" s="97" customFormat="1" x14ac:dyDescent="0.25">
      <c r="A949" s="57" t="s">
        <v>585</v>
      </c>
      <c r="B949" s="58" t="s">
        <v>575</v>
      </c>
      <c r="C949" s="59" t="s">
        <v>589</v>
      </c>
      <c r="D949" s="78" t="s">
        <v>1177</v>
      </c>
      <c r="E949" s="59" t="s">
        <v>672</v>
      </c>
      <c r="F949" s="59" t="s">
        <v>1177</v>
      </c>
      <c r="G949" s="78" t="s">
        <v>169</v>
      </c>
      <c r="H949" s="78" t="s">
        <v>654</v>
      </c>
      <c r="I949" s="59"/>
      <c r="J949" s="60" t="s">
        <v>708</v>
      </c>
      <c r="K949" s="119">
        <f>ROUND(Tableau15[[#This Row],[LEN]]*7.27,0)</f>
        <v>145</v>
      </c>
      <c r="L949" s="119">
        <v>15</v>
      </c>
      <c r="M949" s="136" t="str">
        <f t="shared" si="6"/>
        <v>none</v>
      </c>
      <c r="N949" s="119">
        <f>LEN(Tableau15[[#This Row],[LABEL]])</f>
        <v>20</v>
      </c>
      <c r="O949" s="119">
        <v>15</v>
      </c>
      <c r="P949" s="119" t="e">
        <f>ROUND(Tableau15[[#This Row],[LEN]]*#REF!+#REF!,0)</f>
        <v>#REF!</v>
      </c>
    </row>
    <row r="950" spans="1:16" s="97" customFormat="1" x14ac:dyDescent="0.25">
      <c r="A950" s="49" t="s">
        <v>544</v>
      </c>
      <c r="B950" s="50" t="s">
        <v>312</v>
      </c>
      <c r="C950" s="51" t="s">
        <v>549</v>
      </c>
      <c r="D950" s="76" t="s">
        <v>1177</v>
      </c>
      <c r="E950" s="51" t="s">
        <v>673</v>
      </c>
      <c r="F950" s="51" t="s">
        <v>1704</v>
      </c>
      <c r="G950" s="76" t="s">
        <v>169</v>
      </c>
      <c r="H950" s="76" t="s">
        <v>655</v>
      </c>
      <c r="I950" s="51"/>
      <c r="J950" s="52" t="s">
        <v>708</v>
      </c>
      <c r="K950" s="117">
        <f>ROUND(Tableau15[[#This Row],[LEN]]*7.27,0)</f>
        <v>145</v>
      </c>
      <c r="L950" s="117">
        <v>15</v>
      </c>
      <c r="M950" s="134" t="str">
        <f t="shared" si="6"/>
        <v>none</v>
      </c>
      <c r="N950" s="117">
        <f>LEN(Tableau15[[#This Row],[LABEL]])</f>
        <v>20</v>
      </c>
      <c r="O950" s="117">
        <v>15</v>
      </c>
      <c r="P950" s="117" t="e">
        <f>ROUND(Tableau15[[#This Row],[LEN]]*#REF!+#REF!,0)</f>
        <v>#REF!</v>
      </c>
    </row>
    <row r="951" spans="1:16" s="97" customFormat="1" x14ac:dyDescent="0.25">
      <c r="A951" s="53" t="s">
        <v>593</v>
      </c>
      <c r="B951" s="54" t="s">
        <v>544</v>
      </c>
      <c r="C951" s="55" t="s">
        <v>590</v>
      </c>
      <c r="D951" s="77" t="s">
        <v>1177</v>
      </c>
      <c r="E951" s="55" t="s">
        <v>673</v>
      </c>
      <c r="F951" s="55" t="s">
        <v>1704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ROUND(Tableau15[[#This Row],[LEN]]*7.27,0)</f>
        <v>102</v>
      </c>
      <c r="L951" s="118">
        <v>15</v>
      </c>
      <c r="M951" s="135" t="str">
        <f t="shared" si="6"/>
        <v>none</v>
      </c>
      <c r="N951" s="118">
        <f>LEN(Tableau15[[#This Row],[LABEL]])</f>
        <v>14</v>
      </c>
      <c r="O951" s="118">
        <v>15</v>
      </c>
      <c r="P951" s="118" t="e">
        <f>ROUND(Tableau15[[#This Row],[LEN]]*#REF!+#REF!,0)</f>
        <v>#REF!</v>
      </c>
    </row>
    <row r="952" spans="1:16" s="97" customFormat="1" x14ac:dyDescent="0.25">
      <c r="A952" s="53" t="s">
        <v>594</v>
      </c>
      <c r="B952" s="54" t="s">
        <v>544</v>
      </c>
      <c r="C952" s="55" t="s">
        <v>591</v>
      </c>
      <c r="D952" s="77" t="s">
        <v>1177</v>
      </c>
      <c r="E952" s="55" t="s">
        <v>673</v>
      </c>
      <c r="F952" s="55" t="s">
        <v>1704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ROUND(Tableau15[[#This Row],[LEN]]*7.27,0)</f>
        <v>262</v>
      </c>
      <c r="L952" s="118">
        <v>15</v>
      </c>
      <c r="M952" s="135" t="str">
        <f t="shared" si="6"/>
        <v>none</v>
      </c>
      <c r="N952" s="118">
        <f>LEN(Tableau15[[#This Row],[LABEL]])</f>
        <v>36</v>
      </c>
      <c r="O952" s="118">
        <v>15</v>
      </c>
      <c r="P952" s="118" t="e">
        <f>ROUND(Tableau15[[#This Row],[LEN]]*#REF!+#REF!,0)</f>
        <v>#REF!</v>
      </c>
    </row>
    <row r="953" spans="1:16" s="97" customFormat="1" x14ac:dyDescent="0.25">
      <c r="A953" s="53" t="s">
        <v>595</v>
      </c>
      <c r="B953" s="54" t="s">
        <v>544</v>
      </c>
      <c r="C953" s="55" t="s">
        <v>592</v>
      </c>
      <c r="D953" s="77" t="s">
        <v>1177</v>
      </c>
      <c r="E953" s="55" t="s">
        <v>673</v>
      </c>
      <c r="F953" s="55" t="s">
        <v>1704</v>
      </c>
      <c r="G953" s="77" t="s">
        <v>169</v>
      </c>
      <c r="H953" s="77" t="s">
        <v>570</v>
      </c>
      <c r="I953" s="55"/>
      <c r="J953" s="56" t="s">
        <v>708</v>
      </c>
      <c r="K953" s="118">
        <f>ROUND(Tableau15[[#This Row],[LEN]]*7.27,0)</f>
        <v>189</v>
      </c>
      <c r="L953" s="118">
        <v>15</v>
      </c>
      <c r="M953" s="135" t="str">
        <f t="shared" si="6"/>
        <v>none</v>
      </c>
      <c r="N953" s="118">
        <f>LEN(Tableau15[[#This Row],[LABEL]])</f>
        <v>26</v>
      </c>
      <c r="O953" s="118">
        <v>15</v>
      </c>
      <c r="P953" s="118" t="e">
        <f>ROUND(Tableau15[[#This Row],[LEN]]*#REF!+#REF!,0)</f>
        <v>#REF!</v>
      </c>
    </row>
    <row r="954" spans="1:16" s="97" customFormat="1" x14ac:dyDescent="0.25">
      <c r="A954" s="53" t="s">
        <v>596</v>
      </c>
      <c r="B954" s="54" t="s">
        <v>544</v>
      </c>
      <c r="C954" s="55" t="s">
        <v>597</v>
      </c>
      <c r="D954" s="77" t="s">
        <v>1177</v>
      </c>
      <c r="E954" s="55" t="s">
        <v>673</v>
      </c>
      <c r="F954" s="55" t="s">
        <v>1704</v>
      </c>
      <c r="G954" s="77" t="s">
        <v>169</v>
      </c>
      <c r="H954" s="77" t="s">
        <v>570</v>
      </c>
      <c r="I954" s="55"/>
      <c r="J954" s="56" t="s">
        <v>708</v>
      </c>
      <c r="K954" s="118">
        <f>ROUND(Tableau15[[#This Row],[LEN]]*7.27,0)</f>
        <v>465</v>
      </c>
      <c r="L954" s="118">
        <v>15</v>
      </c>
      <c r="M954" s="135" t="str">
        <f t="shared" si="6"/>
        <v>none</v>
      </c>
      <c r="N954" s="118">
        <f>LEN(Tableau15[[#This Row],[LABEL]])</f>
        <v>64</v>
      </c>
      <c r="O954" s="118">
        <v>15</v>
      </c>
      <c r="P954" s="118" t="e">
        <f>ROUND(Tableau15[[#This Row],[LEN]]*#REF!+#REF!,0)</f>
        <v>#REF!</v>
      </c>
    </row>
    <row r="955" spans="1:16" s="97" customFormat="1" x14ac:dyDescent="0.25">
      <c r="A955" s="49" t="s">
        <v>545</v>
      </c>
      <c r="B955" s="50" t="s">
        <v>312</v>
      </c>
      <c r="C955" s="51" t="s">
        <v>598</v>
      </c>
      <c r="D955" s="76" t="s">
        <v>1177</v>
      </c>
      <c r="E955" s="51" t="s">
        <v>673</v>
      </c>
      <c r="F955" s="51" t="s">
        <v>2035</v>
      </c>
      <c r="G955" s="76" t="s">
        <v>169</v>
      </c>
      <c r="H955" s="76" t="s">
        <v>654</v>
      </c>
      <c r="I955" s="51"/>
      <c r="J955" s="52" t="s">
        <v>708</v>
      </c>
      <c r="K955" s="117">
        <f>ROUND(Tableau15[[#This Row],[LEN]]*7.27,0)</f>
        <v>553</v>
      </c>
      <c r="L955" s="117">
        <v>15</v>
      </c>
      <c r="M955" s="134" t="str">
        <f t="shared" ref="M955:M1193" si="7">IF(J955="javascript:void(0)","none","new")</f>
        <v>none</v>
      </c>
      <c r="N955" s="117">
        <f>LEN(Tableau15[[#This Row],[LABEL]])</f>
        <v>76</v>
      </c>
      <c r="O955" s="117">
        <v>15</v>
      </c>
      <c r="P955" s="117" t="e">
        <f>ROUND(Tableau15[[#This Row],[LEN]]*#REF!+#REF!,0)</f>
        <v>#REF!</v>
      </c>
    </row>
    <row r="956" spans="1:16" s="273" customFormat="1" x14ac:dyDescent="0.25">
      <c r="A956" s="351" t="s">
        <v>313</v>
      </c>
      <c r="B956" s="352" t="s">
        <v>209</v>
      </c>
      <c r="C956" s="353" t="s">
        <v>10</v>
      </c>
      <c r="D956" s="354" t="s">
        <v>1177</v>
      </c>
      <c r="E956" s="353" t="s">
        <v>673</v>
      </c>
      <c r="F956" s="353" t="s">
        <v>1177</v>
      </c>
      <c r="G956" s="354" t="s">
        <v>169</v>
      </c>
      <c r="H956" s="354" t="str">
        <f>IFERROR(IF(SEARCH(".00.00.00.00.00",Tableau15[[#This Row],[name]],1)=7,"Division",""),"")</f>
        <v>Division</v>
      </c>
      <c r="I956" s="353"/>
      <c r="J956" s="355" t="s">
        <v>719</v>
      </c>
      <c r="K956" s="356">
        <f>ROUND(Tableau15[[#This Row],[LEN]]*7.27,0)</f>
        <v>109</v>
      </c>
      <c r="L956" s="356">
        <v>15</v>
      </c>
      <c r="M956" s="357" t="str">
        <f t="shared" si="7"/>
        <v>new</v>
      </c>
      <c r="N956" s="356">
        <f>LEN(Tableau15[[#This Row],[LABEL]])</f>
        <v>15</v>
      </c>
      <c r="O956" s="356">
        <v>15</v>
      </c>
      <c r="P956" s="356" t="e">
        <f>ROUND(Tableau15[[#This Row],[LEN]]*#REF!+#REF!,0)</f>
        <v>#REF!</v>
      </c>
    </row>
    <row r="957" spans="1:16" s="97" customFormat="1" x14ac:dyDescent="0.25">
      <c r="A957" s="49" t="s">
        <v>1722</v>
      </c>
      <c r="B957" s="50" t="s">
        <v>313</v>
      </c>
      <c r="C957" s="51" t="s">
        <v>128</v>
      </c>
      <c r="D957" s="76" t="s">
        <v>1177</v>
      </c>
      <c r="E957" s="51" t="s">
        <v>669</v>
      </c>
      <c r="F957" s="51" t="s">
        <v>2029</v>
      </c>
      <c r="G957" s="76" t="s">
        <v>169</v>
      </c>
      <c r="H957" s="76" t="s">
        <v>570</v>
      </c>
      <c r="I957" s="51"/>
      <c r="J957" s="52" t="s">
        <v>708</v>
      </c>
      <c r="K957" s="117">
        <f>ROUND(Tableau15[[#This Row],[LEN]]*7.27,0)</f>
        <v>182</v>
      </c>
      <c r="L957" s="117">
        <v>15</v>
      </c>
      <c r="M957" s="134" t="str">
        <f t="shared" si="7"/>
        <v>none</v>
      </c>
      <c r="N957" s="117">
        <f>LEN(Tableau15[[#This Row],[LABEL]])</f>
        <v>25</v>
      </c>
      <c r="O957" s="117">
        <v>15</v>
      </c>
      <c r="P957" s="117" t="e">
        <f>ROUND(Tableau15[[#This Row],[LEN]]*#REF!+#REF!,0)</f>
        <v>#REF!</v>
      </c>
    </row>
    <row r="958" spans="1:16" s="97" customFormat="1" x14ac:dyDescent="0.25">
      <c r="A958" s="49" t="s">
        <v>1723</v>
      </c>
      <c r="B958" s="50" t="s">
        <v>313</v>
      </c>
      <c r="C958" s="51" t="s">
        <v>129</v>
      </c>
      <c r="D958" s="76" t="s">
        <v>1177</v>
      </c>
      <c r="E958" s="51" t="s">
        <v>673</v>
      </c>
      <c r="F958" s="51" t="s">
        <v>2035</v>
      </c>
      <c r="G958" s="76" t="s">
        <v>169</v>
      </c>
      <c r="H958" s="76" t="s">
        <v>655</v>
      </c>
      <c r="I958" s="51"/>
      <c r="J958" s="52" t="s">
        <v>708</v>
      </c>
      <c r="K958" s="117">
        <f>ROUND(Tableau15[[#This Row],[LEN]]*7.27,0)</f>
        <v>87</v>
      </c>
      <c r="L958" s="117">
        <v>15</v>
      </c>
      <c r="M958" s="134" t="str">
        <f t="shared" si="7"/>
        <v>none</v>
      </c>
      <c r="N958" s="117">
        <f>LEN(Tableau15[[#This Row],[LABEL]])</f>
        <v>12</v>
      </c>
      <c r="O958" s="117">
        <v>15</v>
      </c>
      <c r="P958" s="117" t="e">
        <f>ROUND(Tableau15[[#This Row],[LEN]]*#REF!+#REF!,0)</f>
        <v>#REF!</v>
      </c>
    </row>
    <row r="959" spans="1:16" s="97" customFormat="1" x14ac:dyDescent="0.25">
      <c r="A959" s="53" t="s">
        <v>1728</v>
      </c>
      <c r="B959" s="54" t="s">
        <v>1723</v>
      </c>
      <c r="C959" s="55" t="s">
        <v>131</v>
      </c>
      <c r="D959" s="77" t="s">
        <v>1177</v>
      </c>
      <c r="E959" s="55" t="s">
        <v>673</v>
      </c>
      <c r="F959" s="55" t="s">
        <v>2035</v>
      </c>
      <c r="G959" s="77" t="s">
        <v>169</v>
      </c>
      <c r="H959" s="77" t="s">
        <v>570</v>
      </c>
      <c r="I959" s="55"/>
      <c r="J959" s="56" t="s">
        <v>708</v>
      </c>
      <c r="K959" s="118">
        <f>ROUND(Tableau15[[#This Row],[LEN]]*7.27,0)</f>
        <v>262</v>
      </c>
      <c r="L959" s="118">
        <v>15</v>
      </c>
      <c r="M959" s="135" t="str">
        <f t="shared" si="7"/>
        <v>none</v>
      </c>
      <c r="N959" s="118">
        <f>LEN(Tableau15[[#This Row],[LABEL]])</f>
        <v>36</v>
      </c>
      <c r="O959" s="118">
        <v>15</v>
      </c>
      <c r="P959" s="118" t="e">
        <f>ROUND(Tableau15[[#This Row],[LEN]]*#REF!+#REF!,0)</f>
        <v>#REF!</v>
      </c>
    </row>
    <row r="960" spans="1:16" s="97" customFormat="1" x14ac:dyDescent="0.25">
      <c r="A960" s="53" t="s">
        <v>1729</v>
      </c>
      <c r="B960" s="54" t="s">
        <v>1723</v>
      </c>
      <c r="C960" s="55" t="s">
        <v>132</v>
      </c>
      <c r="D960" s="77" t="s">
        <v>1177</v>
      </c>
      <c r="E960" s="55" t="s">
        <v>673</v>
      </c>
      <c r="F960" s="55" t="s">
        <v>2035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ROUND(Tableau15[[#This Row],[LEN]]*7.27,0)</f>
        <v>298</v>
      </c>
      <c r="L960" s="118">
        <v>15</v>
      </c>
      <c r="M960" s="135" t="str">
        <f t="shared" si="7"/>
        <v>none</v>
      </c>
      <c r="N960" s="118">
        <f>LEN(Tableau15[[#This Row],[LABEL]])</f>
        <v>41</v>
      </c>
      <c r="O960" s="118">
        <v>15</v>
      </c>
      <c r="P960" s="118" t="e">
        <f>ROUND(Tableau15[[#This Row],[LEN]]*#REF!+#REF!,0)</f>
        <v>#REF!</v>
      </c>
    </row>
    <row r="961" spans="1:16" s="97" customFormat="1" x14ac:dyDescent="0.25">
      <c r="A961" s="49" t="s">
        <v>1724</v>
      </c>
      <c r="B961" s="50" t="s">
        <v>313</v>
      </c>
      <c r="C961" s="51" t="s">
        <v>10</v>
      </c>
      <c r="D961" s="76" t="s">
        <v>1177</v>
      </c>
      <c r="E961" s="51" t="s">
        <v>673</v>
      </c>
      <c r="F961" s="51" t="s">
        <v>1177</v>
      </c>
      <c r="G961" s="76" t="s">
        <v>169</v>
      </c>
      <c r="H961" s="76" t="s">
        <v>655</v>
      </c>
      <c r="I961" s="51"/>
      <c r="J961" s="52" t="s">
        <v>708</v>
      </c>
      <c r="K961" s="117">
        <f>ROUND(Tableau15[[#This Row],[LEN]]*7.27,0)</f>
        <v>109</v>
      </c>
      <c r="L961" s="117">
        <v>15</v>
      </c>
      <c r="M961" s="134" t="str">
        <f t="shared" si="7"/>
        <v>none</v>
      </c>
      <c r="N961" s="117">
        <f>LEN(Tableau15[[#This Row],[LABEL]])</f>
        <v>15</v>
      </c>
      <c r="O961" s="117">
        <v>15</v>
      </c>
      <c r="P961" s="117" t="e">
        <f>ROUND(Tableau15[[#This Row],[LEN]]*#REF!+#REF!,0)</f>
        <v>#REF!</v>
      </c>
    </row>
    <row r="962" spans="1:16" s="97" customFormat="1" x14ac:dyDescent="0.25">
      <c r="A962" s="53" t="s">
        <v>1730</v>
      </c>
      <c r="B962" s="54" t="s">
        <v>1724</v>
      </c>
      <c r="C962" s="55" t="s">
        <v>1733</v>
      </c>
      <c r="D962" s="77" t="s">
        <v>1177</v>
      </c>
      <c r="E962" s="55" t="s">
        <v>673</v>
      </c>
      <c r="F962" s="55" t="s">
        <v>1177</v>
      </c>
      <c r="G962" s="77" t="s">
        <v>169</v>
      </c>
      <c r="H962" s="77" t="s">
        <v>654</v>
      </c>
      <c r="I962" s="55"/>
      <c r="J962" s="56" t="s">
        <v>708</v>
      </c>
      <c r="K962" s="118">
        <f>ROUND(Tableau15[[#This Row],[LEN]]*7.27,0)</f>
        <v>276</v>
      </c>
      <c r="L962" s="118">
        <v>15</v>
      </c>
      <c r="M962" s="135" t="str">
        <f t="shared" si="7"/>
        <v>none</v>
      </c>
      <c r="N962" s="118">
        <f>LEN(Tableau15[[#This Row],[LABEL]])</f>
        <v>38</v>
      </c>
      <c r="O962" s="118">
        <v>15</v>
      </c>
      <c r="P962" s="118" t="e">
        <f>ROUND(Tableau15[[#This Row],[LEN]]*#REF!+#REF!,0)</f>
        <v>#REF!</v>
      </c>
    </row>
    <row r="963" spans="1:16" s="97" customFormat="1" x14ac:dyDescent="0.25">
      <c r="A963" s="53" t="s">
        <v>1731</v>
      </c>
      <c r="B963" s="54" t="s">
        <v>1724</v>
      </c>
      <c r="C963" s="55" t="s">
        <v>1734</v>
      </c>
      <c r="D963" s="77" t="s">
        <v>1177</v>
      </c>
      <c r="E963" s="55" t="s">
        <v>673</v>
      </c>
      <c r="F963" s="55" t="s">
        <v>1177</v>
      </c>
      <c r="G963" s="77" t="s">
        <v>169</v>
      </c>
      <c r="H963" s="77" t="s">
        <v>654</v>
      </c>
      <c r="I963" s="55"/>
      <c r="J963" s="56" t="s">
        <v>708</v>
      </c>
      <c r="K963" s="118">
        <f>ROUND(Tableau15[[#This Row],[LEN]]*7.27,0)</f>
        <v>320</v>
      </c>
      <c r="L963" s="118">
        <v>15</v>
      </c>
      <c r="M963" s="135" t="str">
        <f t="shared" si="7"/>
        <v>none</v>
      </c>
      <c r="N963" s="118">
        <f>LEN(Tableau15[[#This Row],[LABEL]])</f>
        <v>44</v>
      </c>
      <c r="O963" s="118">
        <v>15</v>
      </c>
      <c r="P963" s="118" t="e">
        <f>ROUND(Tableau15[[#This Row],[LEN]]*#REF!+#REF!,0)</f>
        <v>#REF!</v>
      </c>
    </row>
    <row r="964" spans="1:16" s="97" customFormat="1" x14ac:dyDescent="0.25">
      <c r="A964" s="53" t="s">
        <v>1732</v>
      </c>
      <c r="B964" s="54" t="s">
        <v>1724</v>
      </c>
      <c r="C964" s="55" t="s">
        <v>1735</v>
      </c>
      <c r="D964" s="77" t="s">
        <v>1177</v>
      </c>
      <c r="E964" s="55" t="s">
        <v>673</v>
      </c>
      <c r="F964" s="55" t="s">
        <v>1177</v>
      </c>
      <c r="G964" s="77" t="s">
        <v>169</v>
      </c>
      <c r="H964" s="77" t="s">
        <v>654</v>
      </c>
      <c r="I964" s="55"/>
      <c r="J964" s="56" t="s">
        <v>708</v>
      </c>
      <c r="K964" s="118">
        <f>ROUND(Tableau15[[#This Row],[LEN]]*7.27,0)</f>
        <v>473</v>
      </c>
      <c r="L964" s="118">
        <v>15</v>
      </c>
      <c r="M964" s="135" t="str">
        <f t="shared" si="7"/>
        <v>none</v>
      </c>
      <c r="N964" s="118">
        <f>LEN(Tableau15[[#This Row],[LABEL]])</f>
        <v>65</v>
      </c>
      <c r="O964" s="118">
        <v>15</v>
      </c>
      <c r="P964" s="118" t="e">
        <f>ROUND(Tableau15[[#This Row],[LEN]]*#REF!+#REF!,0)</f>
        <v>#REF!</v>
      </c>
    </row>
    <row r="965" spans="1:16" s="97" customFormat="1" x14ac:dyDescent="0.25">
      <c r="A965" s="49" t="s">
        <v>1725</v>
      </c>
      <c r="B965" s="50" t="s">
        <v>313</v>
      </c>
      <c r="C965" s="51" t="s">
        <v>1736</v>
      </c>
      <c r="D965" s="76" t="s">
        <v>1177</v>
      </c>
      <c r="E965" s="51" t="s">
        <v>673</v>
      </c>
      <c r="F965" s="51" t="s">
        <v>1177</v>
      </c>
      <c r="G965" s="76" t="s">
        <v>169</v>
      </c>
      <c r="H965" s="76" t="s">
        <v>656</v>
      </c>
      <c r="I965" s="51"/>
      <c r="J965" s="52" t="s">
        <v>1737</v>
      </c>
      <c r="K965" s="117">
        <f>ROUND(Tableau15[[#This Row],[LEN]]*7.27,0)</f>
        <v>233</v>
      </c>
      <c r="L965" s="117">
        <v>15</v>
      </c>
      <c r="M965" s="134" t="str">
        <f t="shared" si="7"/>
        <v>new</v>
      </c>
      <c r="N965" s="117">
        <f>LEN(Tableau15[[#This Row],[LABEL]])</f>
        <v>32</v>
      </c>
      <c r="O965" s="117">
        <v>15</v>
      </c>
      <c r="P965" s="117" t="e">
        <f>ROUND(Tableau15[[#This Row],[LEN]]*#REF!+#REF!,0)</f>
        <v>#REF!</v>
      </c>
    </row>
    <row r="966" spans="1:16" s="97" customFormat="1" x14ac:dyDescent="0.25">
      <c r="A966" s="49" t="s">
        <v>1726</v>
      </c>
      <c r="B966" s="50" t="s">
        <v>313</v>
      </c>
      <c r="C966" s="51" t="s">
        <v>549</v>
      </c>
      <c r="D966" s="76" t="s">
        <v>1177</v>
      </c>
      <c r="E966" s="51" t="s">
        <v>673</v>
      </c>
      <c r="F966" s="51" t="s">
        <v>1704</v>
      </c>
      <c r="G966" s="76" t="s">
        <v>169</v>
      </c>
      <c r="H966" s="76" t="s">
        <v>655</v>
      </c>
      <c r="I966" s="51"/>
      <c r="J966" s="52" t="s">
        <v>708</v>
      </c>
      <c r="K966" s="117">
        <f>ROUND(Tableau15[[#This Row],[LEN]]*7.27,0)</f>
        <v>145</v>
      </c>
      <c r="L966" s="117">
        <v>15</v>
      </c>
      <c r="M966" s="134" t="str">
        <f t="shared" si="7"/>
        <v>none</v>
      </c>
      <c r="N966" s="117">
        <f>LEN(Tableau15[[#This Row],[LABEL]])</f>
        <v>20</v>
      </c>
      <c r="O966" s="117">
        <v>15</v>
      </c>
      <c r="P966" s="117" t="e">
        <f>ROUND(Tableau15[[#This Row],[LEN]]*#REF!+#REF!,0)</f>
        <v>#REF!</v>
      </c>
    </row>
    <row r="967" spans="1:16" s="97" customFormat="1" x14ac:dyDescent="0.25">
      <c r="A967" s="53" t="s">
        <v>1738</v>
      </c>
      <c r="B967" s="54" t="s">
        <v>1726</v>
      </c>
      <c r="C967" s="55" t="s">
        <v>590</v>
      </c>
      <c r="D967" s="77" t="s">
        <v>1177</v>
      </c>
      <c r="E967" s="55" t="s">
        <v>673</v>
      </c>
      <c r="F967" s="55" t="s">
        <v>1704</v>
      </c>
      <c r="G967" s="77" t="s">
        <v>169</v>
      </c>
      <c r="H967" s="77" t="s">
        <v>570</v>
      </c>
      <c r="I967" s="55"/>
      <c r="J967" s="56" t="s">
        <v>708</v>
      </c>
      <c r="K967" s="118">
        <f>ROUND(Tableau15[[#This Row],[LEN]]*7.27,0)</f>
        <v>102</v>
      </c>
      <c r="L967" s="118">
        <v>15</v>
      </c>
      <c r="M967" s="135" t="str">
        <f t="shared" si="7"/>
        <v>none</v>
      </c>
      <c r="N967" s="118">
        <f>LEN(Tableau15[[#This Row],[LABEL]])</f>
        <v>14</v>
      </c>
      <c r="O967" s="118">
        <v>15</v>
      </c>
      <c r="P967" s="118" t="e">
        <f>ROUND(Tableau15[[#This Row],[LEN]]*#REF!+#REF!,0)</f>
        <v>#REF!</v>
      </c>
    </row>
    <row r="968" spans="1:16" s="97" customFormat="1" x14ac:dyDescent="0.25">
      <c r="A968" s="53" t="s">
        <v>1739</v>
      </c>
      <c r="B968" s="54" t="s">
        <v>1726</v>
      </c>
      <c r="C968" s="55" t="s">
        <v>591</v>
      </c>
      <c r="D968" s="77" t="s">
        <v>1177</v>
      </c>
      <c r="E968" s="55" t="s">
        <v>673</v>
      </c>
      <c r="F968" s="55" t="s">
        <v>1704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ROUND(Tableau15[[#This Row],[LEN]]*7.27,0)</f>
        <v>262</v>
      </c>
      <c r="L968" s="118">
        <v>15</v>
      </c>
      <c r="M968" s="135" t="str">
        <f t="shared" si="7"/>
        <v>none</v>
      </c>
      <c r="N968" s="118">
        <f>LEN(Tableau15[[#This Row],[LABEL]])</f>
        <v>36</v>
      </c>
      <c r="O968" s="118">
        <v>15</v>
      </c>
      <c r="P968" s="118" t="e">
        <f>ROUND(Tableau15[[#This Row],[LEN]]*#REF!+#REF!,0)</f>
        <v>#REF!</v>
      </c>
    </row>
    <row r="969" spans="1:16" s="97" customFormat="1" x14ac:dyDescent="0.25">
      <c r="A969" s="53" t="s">
        <v>1740</v>
      </c>
      <c r="B969" s="54" t="s">
        <v>1726</v>
      </c>
      <c r="C969" s="55" t="s">
        <v>592</v>
      </c>
      <c r="D969" s="77" t="s">
        <v>1177</v>
      </c>
      <c r="E969" s="55" t="s">
        <v>673</v>
      </c>
      <c r="F969" s="55" t="s">
        <v>1704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ROUND(Tableau15[[#This Row],[LEN]]*7.27,0)</f>
        <v>189</v>
      </c>
      <c r="L969" s="118">
        <v>15</v>
      </c>
      <c r="M969" s="135" t="str">
        <f t="shared" si="7"/>
        <v>none</v>
      </c>
      <c r="N969" s="118">
        <f>LEN(Tableau15[[#This Row],[LABEL]])</f>
        <v>26</v>
      </c>
      <c r="O969" s="118">
        <v>15</v>
      </c>
      <c r="P969" s="118" t="e">
        <f>ROUND(Tableau15[[#This Row],[LEN]]*#REF!+#REF!,0)</f>
        <v>#REF!</v>
      </c>
    </row>
    <row r="970" spans="1:16" s="97" customFormat="1" x14ac:dyDescent="0.25">
      <c r="A970" s="53" t="s">
        <v>1741</v>
      </c>
      <c r="B970" s="54" t="s">
        <v>1726</v>
      </c>
      <c r="C970" s="55" t="s">
        <v>597</v>
      </c>
      <c r="D970" s="77" t="s">
        <v>1177</v>
      </c>
      <c r="E970" s="55" t="s">
        <v>673</v>
      </c>
      <c r="F970" s="55" t="s">
        <v>1704</v>
      </c>
      <c r="G970" s="77" t="s">
        <v>169</v>
      </c>
      <c r="H970" s="77" t="s">
        <v>570</v>
      </c>
      <c r="I970" s="55"/>
      <c r="J970" s="56" t="s">
        <v>708</v>
      </c>
      <c r="K970" s="118">
        <f>ROUND(Tableau15[[#This Row],[LEN]]*7.27,0)</f>
        <v>465</v>
      </c>
      <c r="L970" s="118">
        <v>15</v>
      </c>
      <c r="M970" s="135" t="str">
        <f t="shared" si="7"/>
        <v>none</v>
      </c>
      <c r="N970" s="118">
        <f>LEN(Tableau15[[#This Row],[LABEL]])</f>
        <v>64</v>
      </c>
      <c r="O970" s="118">
        <v>15</v>
      </c>
      <c r="P970" s="118" t="e">
        <f>ROUND(Tableau15[[#This Row],[LEN]]*#REF!+#REF!,0)</f>
        <v>#REF!</v>
      </c>
    </row>
    <row r="971" spans="1:16" s="97" customFormat="1" x14ac:dyDescent="0.25">
      <c r="A971" s="49" t="s">
        <v>1727</v>
      </c>
      <c r="B971" s="50" t="s">
        <v>313</v>
      </c>
      <c r="C971" s="51" t="s">
        <v>598</v>
      </c>
      <c r="D971" s="76" t="s">
        <v>1177</v>
      </c>
      <c r="E971" s="51" t="s">
        <v>673</v>
      </c>
      <c r="F971" s="51" t="s">
        <v>2035</v>
      </c>
      <c r="G971" s="76" t="s">
        <v>169</v>
      </c>
      <c r="H971" s="76" t="s">
        <v>654</v>
      </c>
      <c r="I971" s="51"/>
      <c r="J971" s="52" t="s">
        <v>708</v>
      </c>
      <c r="K971" s="117">
        <f>ROUND(Tableau15[[#This Row],[LEN]]*7.27,0)</f>
        <v>553</v>
      </c>
      <c r="L971" s="117">
        <v>15</v>
      </c>
      <c r="M971" s="134" t="str">
        <f t="shared" si="7"/>
        <v>none</v>
      </c>
      <c r="N971" s="117">
        <f>LEN(Tableau15[[#This Row],[LABEL]])</f>
        <v>76</v>
      </c>
      <c r="O971" s="117">
        <v>15</v>
      </c>
      <c r="P971" s="117" t="e">
        <f>ROUND(Tableau15[[#This Row],[LEN]]*#REF!+#REF!,0)</f>
        <v>#REF!</v>
      </c>
    </row>
    <row r="972" spans="1:16" s="273" customFormat="1" x14ac:dyDescent="0.25">
      <c r="A972" s="351" t="s">
        <v>314</v>
      </c>
      <c r="B972" s="352" t="s">
        <v>209</v>
      </c>
      <c r="C972" s="353" t="s">
        <v>11</v>
      </c>
      <c r="D972" s="354" t="s">
        <v>1177</v>
      </c>
      <c r="E972" s="353" t="s">
        <v>674</v>
      </c>
      <c r="F972" s="353" t="s">
        <v>1177</v>
      </c>
      <c r="G972" s="354" t="s">
        <v>169</v>
      </c>
      <c r="H972" s="354" t="str">
        <f>IFERROR(IF(SEARCH(".00.00.00.00.00",Tableau15[[#This Row],[name]],1)=7,"Division",""),"")</f>
        <v>Division</v>
      </c>
      <c r="I972" s="353"/>
      <c r="J972" s="355" t="s">
        <v>720</v>
      </c>
      <c r="K972" s="356">
        <f>ROUND(Tableau15[[#This Row],[LEN]]*7.27,0)</f>
        <v>51</v>
      </c>
      <c r="L972" s="356">
        <v>15</v>
      </c>
      <c r="M972" s="357" t="str">
        <f t="shared" si="7"/>
        <v>new</v>
      </c>
      <c r="N972" s="356">
        <f>LEN(Tableau15[[#This Row],[LABEL]])</f>
        <v>7</v>
      </c>
      <c r="O972" s="356">
        <v>15</v>
      </c>
      <c r="P972" s="356" t="e">
        <f>ROUND(Tableau15[[#This Row],[LEN]]*#REF!+#REF!,0)</f>
        <v>#REF!</v>
      </c>
    </row>
    <row r="973" spans="1:16" s="97" customFormat="1" x14ac:dyDescent="0.25">
      <c r="A973" s="49" t="s">
        <v>1742</v>
      </c>
      <c r="B973" s="50" t="s">
        <v>314</v>
      </c>
      <c r="C973" s="51" t="s">
        <v>129</v>
      </c>
      <c r="D973" s="76" t="s">
        <v>1177</v>
      </c>
      <c r="E973" s="51" t="s">
        <v>673</v>
      </c>
      <c r="F973" s="51" t="s">
        <v>2035</v>
      </c>
      <c r="G973" s="76" t="s">
        <v>169</v>
      </c>
      <c r="H973" s="76" t="s">
        <v>655</v>
      </c>
      <c r="I973" s="51"/>
      <c r="J973" s="52" t="s">
        <v>708</v>
      </c>
      <c r="K973" s="117">
        <f>ROUND(Tableau15[[#This Row],[LEN]]*7.27,0)</f>
        <v>87</v>
      </c>
      <c r="L973" s="117">
        <v>15</v>
      </c>
      <c r="M973" s="134" t="str">
        <f t="shared" si="7"/>
        <v>none</v>
      </c>
      <c r="N973" s="117">
        <f>LEN(Tableau15[[#This Row],[LABEL]])</f>
        <v>12</v>
      </c>
      <c r="O973" s="117">
        <v>15</v>
      </c>
      <c r="P973" s="117" t="e">
        <f>ROUND(Tableau15[[#This Row],[LEN]]*#REF!+#REF!,0)</f>
        <v>#REF!</v>
      </c>
    </row>
    <row r="974" spans="1:16" s="97" customFormat="1" x14ac:dyDescent="0.25">
      <c r="A974" s="53" t="s">
        <v>1747</v>
      </c>
      <c r="B974" s="54" t="s">
        <v>1742</v>
      </c>
      <c r="C974" s="55" t="s">
        <v>131</v>
      </c>
      <c r="D974" s="77" t="s">
        <v>1177</v>
      </c>
      <c r="E974" s="55" t="s">
        <v>673</v>
      </c>
      <c r="F974" s="55" t="s">
        <v>2035</v>
      </c>
      <c r="G974" s="77" t="s">
        <v>169</v>
      </c>
      <c r="H974" s="77" t="s">
        <v>570</v>
      </c>
      <c r="I974" s="55"/>
      <c r="J974" s="56" t="s">
        <v>708</v>
      </c>
      <c r="K974" s="118">
        <f>ROUND(Tableau15[[#This Row],[LEN]]*7.27,0)</f>
        <v>262</v>
      </c>
      <c r="L974" s="118">
        <v>15</v>
      </c>
      <c r="M974" s="135" t="str">
        <f t="shared" si="7"/>
        <v>none</v>
      </c>
      <c r="N974" s="118">
        <f>LEN(Tableau15[[#This Row],[LABEL]])</f>
        <v>36</v>
      </c>
      <c r="O974" s="118">
        <v>15</v>
      </c>
      <c r="P974" s="118" t="e">
        <f>ROUND(Tableau15[[#This Row],[LEN]]*#REF!+#REF!,0)</f>
        <v>#REF!</v>
      </c>
    </row>
    <row r="975" spans="1:16" s="97" customFormat="1" x14ac:dyDescent="0.25">
      <c r="A975" s="53" t="s">
        <v>1748</v>
      </c>
      <c r="B975" s="54" t="s">
        <v>1742</v>
      </c>
      <c r="C975" s="55" t="s">
        <v>132</v>
      </c>
      <c r="D975" s="77" t="s">
        <v>1177</v>
      </c>
      <c r="E975" s="55" t="s">
        <v>673</v>
      </c>
      <c r="F975" s="55" t="s">
        <v>2035</v>
      </c>
      <c r="G975" s="77" t="s">
        <v>169</v>
      </c>
      <c r="H975" s="77" t="s">
        <v>570</v>
      </c>
      <c r="I975" s="55"/>
      <c r="J975" s="56" t="s">
        <v>708</v>
      </c>
      <c r="K975" s="118">
        <f>ROUND(Tableau15[[#This Row],[LEN]]*7.27,0)</f>
        <v>298</v>
      </c>
      <c r="L975" s="118">
        <v>15</v>
      </c>
      <c r="M975" s="135" t="str">
        <f t="shared" si="7"/>
        <v>none</v>
      </c>
      <c r="N975" s="118">
        <f>LEN(Tableau15[[#This Row],[LABEL]])</f>
        <v>41</v>
      </c>
      <c r="O975" s="118">
        <v>15</v>
      </c>
      <c r="P975" s="118" t="e">
        <f>ROUND(Tableau15[[#This Row],[LEN]]*#REF!+#REF!,0)</f>
        <v>#REF!</v>
      </c>
    </row>
    <row r="976" spans="1:16" s="97" customFormat="1" x14ac:dyDescent="0.25">
      <c r="A976" s="49" t="s">
        <v>1743</v>
      </c>
      <c r="B976" s="50" t="s">
        <v>314</v>
      </c>
      <c r="C976" s="51" t="s">
        <v>1749</v>
      </c>
      <c r="D976" s="76" t="s">
        <v>1177</v>
      </c>
      <c r="E976" s="51" t="s">
        <v>674</v>
      </c>
      <c r="F976" s="51" t="s">
        <v>1177</v>
      </c>
      <c r="G976" s="76" t="s">
        <v>169</v>
      </c>
      <c r="H976" s="76" t="s">
        <v>656</v>
      </c>
      <c r="I976" s="51"/>
      <c r="J976" s="52" t="s">
        <v>708</v>
      </c>
      <c r="K976" s="117">
        <f>ROUND(Tableau15[[#This Row],[LEN]]*7.27,0)</f>
        <v>196</v>
      </c>
      <c r="L976" s="117">
        <v>15</v>
      </c>
      <c r="M976" s="134" t="str">
        <f t="shared" si="7"/>
        <v>none</v>
      </c>
      <c r="N976" s="117">
        <f>LEN(Tableau15[[#This Row],[LABEL]])</f>
        <v>27</v>
      </c>
      <c r="O976" s="117">
        <v>15</v>
      </c>
      <c r="P976" s="117" t="e">
        <f>ROUND(Tableau15[[#This Row],[LEN]]*#REF!+#REF!,0)</f>
        <v>#REF!</v>
      </c>
    </row>
    <row r="977" spans="1:16" s="97" customFormat="1" x14ac:dyDescent="0.25">
      <c r="A977" s="49" t="s">
        <v>1744</v>
      </c>
      <c r="B977" s="50" t="s">
        <v>314</v>
      </c>
      <c r="C977" s="51" t="s">
        <v>549</v>
      </c>
      <c r="D977" s="76" t="s">
        <v>1177</v>
      </c>
      <c r="E977" s="51" t="s">
        <v>673</v>
      </c>
      <c r="F977" s="51" t="s">
        <v>1704</v>
      </c>
      <c r="G977" s="76" t="s">
        <v>169</v>
      </c>
      <c r="H977" s="76" t="s">
        <v>655</v>
      </c>
      <c r="I977" s="51"/>
      <c r="J977" s="52" t="s">
        <v>708</v>
      </c>
      <c r="K977" s="117">
        <f>ROUND(Tableau15[[#This Row],[LEN]]*7.27,0)</f>
        <v>145</v>
      </c>
      <c r="L977" s="117">
        <v>15</v>
      </c>
      <c r="M977" s="134" t="str">
        <f t="shared" si="7"/>
        <v>none</v>
      </c>
      <c r="N977" s="117">
        <f>LEN(Tableau15[[#This Row],[LABEL]])</f>
        <v>20</v>
      </c>
      <c r="O977" s="117">
        <v>15</v>
      </c>
      <c r="P977" s="117" t="e">
        <f>ROUND(Tableau15[[#This Row],[LEN]]*#REF!+#REF!,0)</f>
        <v>#REF!</v>
      </c>
    </row>
    <row r="978" spans="1:16" s="97" customFormat="1" x14ac:dyDescent="0.25">
      <c r="A978" s="53" t="s">
        <v>1750</v>
      </c>
      <c r="B978" s="54" t="s">
        <v>1744</v>
      </c>
      <c r="C978" s="55" t="s">
        <v>590</v>
      </c>
      <c r="D978" s="77" t="s">
        <v>1177</v>
      </c>
      <c r="E978" s="55" t="s">
        <v>673</v>
      </c>
      <c r="F978" s="55" t="s">
        <v>1704</v>
      </c>
      <c r="G978" s="77" t="s">
        <v>169</v>
      </c>
      <c r="H978" s="77" t="s">
        <v>570</v>
      </c>
      <c r="I978" s="55"/>
      <c r="J978" s="56" t="s">
        <v>708</v>
      </c>
      <c r="K978" s="118">
        <f>ROUND(Tableau15[[#This Row],[LEN]]*7.27,0)</f>
        <v>102</v>
      </c>
      <c r="L978" s="118">
        <v>15</v>
      </c>
      <c r="M978" s="135" t="str">
        <f t="shared" si="7"/>
        <v>none</v>
      </c>
      <c r="N978" s="118">
        <f>LEN(Tableau15[[#This Row],[LABEL]])</f>
        <v>14</v>
      </c>
      <c r="O978" s="118">
        <v>15</v>
      </c>
      <c r="P978" s="118" t="e">
        <f>ROUND(Tableau15[[#This Row],[LEN]]*#REF!+#REF!,0)</f>
        <v>#REF!</v>
      </c>
    </row>
    <row r="979" spans="1:16" s="97" customFormat="1" x14ac:dyDescent="0.25">
      <c r="A979" s="53" t="s">
        <v>1751</v>
      </c>
      <c r="B979" s="54" t="s">
        <v>1744</v>
      </c>
      <c r="C979" s="55" t="s">
        <v>591</v>
      </c>
      <c r="D979" s="77" t="s">
        <v>1177</v>
      </c>
      <c r="E979" s="55" t="s">
        <v>673</v>
      </c>
      <c r="F979" s="55" t="s">
        <v>1704</v>
      </c>
      <c r="G979" s="77" t="s">
        <v>169</v>
      </c>
      <c r="H979" s="77" t="s">
        <v>570</v>
      </c>
      <c r="I979" s="55"/>
      <c r="J979" s="56" t="s">
        <v>708</v>
      </c>
      <c r="K979" s="118">
        <f>ROUND(Tableau15[[#This Row],[LEN]]*7.27,0)</f>
        <v>262</v>
      </c>
      <c r="L979" s="118">
        <v>15</v>
      </c>
      <c r="M979" s="135" t="str">
        <f t="shared" si="7"/>
        <v>none</v>
      </c>
      <c r="N979" s="118">
        <f>LEN(Tableau15[[#This Row],[LABEL]])</f>
        <v>36</v>
      </c>
      <c r="O979" s="118">
        <v>15</v>
      </c>
      <c r="P979" s="118" t="e">
        <f>ROUND(Tableau15[[#This Row],[LEN]]*#REF!+#REF!,0)</f>
        <v>#REF!</v>
      </c>
    </row>
    <row r="980" spans="1:16" s="97" customFormat="1" x14ac:dyDescent="0.25">
      <c r="A980" s="53" t="s">
        <v>1752</v>
      </c>
      <c r="B980" s="54" t="s">
        <v>1744</v>
      </c>
      <c r="C980" s="55" t="s">
        <v>592</v>
      </c>
      <c r="D980" s="77" t="s">
        <v>1177</v>
      </c>
      <c r="E980" s="55" t="s">
        <v>673</v>
      </c>
      <c r="F980" s="55" t="s">
        <v>1704</v>
      </c>
      <c r="G980" s="77" t="s">
        <v>169</v>
      </c>
      <c r="H980" s="77" t="s">
        <v>570</v>
      </c>
      <c r="I980" s="55"/>
      <c r="J980" s="56" t="s">
        <v>708</v>
      </c>
      <c r="K980" s="118">
        <f>ROUND(Tableau15[[#This Row],[LEN]]*7.27,0)</f>
        <v>189</v>
      </c>
      <c r="L980" s="118">
        <v>15</v>
      </c>
      <c r="M980" s="135" t="str">
        <f t="shared" si="7"/>
        <v>none</v>
      </c>
      <c r="N980" s="118">
        <f>LEN(Tableau15[[#This Row],[LABEL]])</f>
        <v>26</v>
      </c>
      <c r="O980" s="118">
        <v>15</v>
      </c>
      <c r="P980" s="118" t="e">
        <f>ROUND(Tableau15[[#This Row],[LEN]]*#REF!+#REF!,0)</f>
        <v>#REF!</v>
      </c>
    </row>
    <row r="981" spans="1:16" s="97" customFormat="1" x14ac:dyDescent="0.25">
      <c r="A981" s="53" t="s">
        <v>1753</v>
      </c>
      <c r="B981" s="54" t="s">
        <v>1744</v>
      </c>
      <c r="C981" s="55" t="s">
        <v>597</v>
      </c>
      <c r="D981" s="77" t="s">
        <v>1177</v>
      </c>
      <c r="E981" s="55" t="s">
        <v>673</v>
      </c>
      <c r="F981" s="55" t="s">
        <v>1704</v>
      </c>
      <c r="G981" s="77" t="s">
        <v>169</v>
      </c>
      <c r="H981" s="77" t="s">
        <v>570</v>
      </c>
      <c r="I981" s="55"/>
      <c r="J981" s="56" t="s">
        <v>708</v>
      </c>
      <c r="K981" s="118">
        <f>ROUND(Tableau15[[#This Row],[LEN]]*7.27,0)</f>
        <v>465</v>
      </c>
      <c r="L981" s="118">
        <v>15</v>
      </c>
      <c r="M981" s="135" t="str">
        <f t="shared" si="7"/>
        <v>none</v>
      </c>
      <c r="N981" s="118">
        <f>LEN(Tableau15[[#This Row],[LABEL]])</f>
        <v>64</v>
      </c>
      <c r="O981" s="118">
        <v>15</v>
      </c>
      <c r="P981" s="118" t="e">
        <f>ROUND(Tableau15[[#This Row],[LEN]]*#REF!+#REF!,0)</f>
        <v>#REF!</v>
      </c>
    </row>
    <row r="982" spans="1:16" s="97" customFormat="1" x14ac:dyDescent="0.25">
      <c r="A982" s="49" t="s">
        <v>1745</v>
      </c>
      <c r="B982" s="50" t="s">
        <v>314</v>
      </c>
      <c r="C982" s="51" t="s">
        <v>1754</v>
      </c>
      <c r="D982" s="76" t="s">
        <v>1755</v>
      </c>
      <c r="E982" s="51" t="s">
        <v>674</v>
      </c>
      <c r="F982" s="51" t="s">
        <v>679</v>
      </c>
      <c r="G982" s="76" t="s">
        <v>169</v>
      </c>
      <c r="H982" s="76" t="s">
        <v>656</v>
      </c>
      <c r="I982" s="51"/>
      <c r="J982" s="52" t="s">
        <v>708</v>
      </c>
      <c r="K982" s="117">
        <f>ROUND(Tableau15[[#This Row],[LEN]]*7.27,0)</f>
        <v>327</v>
      </c>
      <c r="L982" s="117">
        <v>15</v>
      </c>
      <c r="M982" s="134" t="str">
        <f t="shared" si="7"/>
        <v>none</v>
      </c>
      <c r="N982" s="117">
        <f>LEN(Tableau15[[#This Row],[LABEL]])</f>
        <v>45</v>
      </c>
      <c r="O982" s="117">
        <v>15</v>
      </c>
      <c r="P982" s="117" t="e">
        <f>ROUND(Tableau15[[#This Row],[LEN]]*#REF!+#REF!,0)</f>
        <v>#REF!</v>
      </c>
    </row>
    <row r="983" spans="1:16" s="97" customFormat="1" x14ac:dyDescent="0.25">
      <c r="A983" s="49" t="s">
        <v>1746</v>
      </c>
      <c r="B983" s="50" t="s">
        <v>314</v>
      </c>
      <c r="C983" s="51" t="s">
        <v>598</v>
      </c>
      <c r="D983" s="76" t="s">
        <v>1177</v>
      </c>
      <c r="E983" s="51" t="s">
        <v>673</v>
      </c>
      <c r="F983" s="51" t="s">
        <v>2035</v>
      </c>
      <c r="G983" s="76" t="s">
        <v>169</v>
      </c>
      <c r="H983" s="76" t="s">
        <v>654</v>
      </c>
      <c r="I983" s="51"/>
      <c r="J983" s="52" t="s">
        <v>708</v>
      </c>
      <c r="K983" s="117">
        <f>ROUND(Tableau15[[#This Row],[LEN]]*7.27,0)</f>
        <v>553</v>
      </c>
      <c r="L983" s="117">
        <v>15</v>
      </c>
      <c r="M983" s="134" t="str">
        <f t="shared" si="7"/>
        <v>none</v>
      </c>
      <c r="N983" s="117">
        <f>LEN(Tableau15[[#This Row],[LABEL]])</f>
        <v>76</v>
      </c>
      <c r="O983" s="117">
        <v>15</v>
      </c>
      <c r="P983" s="117" t="e">
        <f>ROUND(Tableau15[[#This Row],[LEN]]*#REF!+#REF!,0)</f>
        <v>#REF!</v>
      </c>
    </row>
    <row r="984" spans="1:16" s="273" customFormat="1" x14ac:dyDescent="0.25">
      <c r="A984" s="351" t="s">
        <v>315</v>
      </c>
      <c r="B984" s="352" t="s">
        <v>209</v>
      </c>
      <c r="C984" s="353" t="s">
        <v>12</v>
      </c>
      <c r="D984" s="354" t="s">
        <v>1177</v>
      </c>
      <c r="E984" s="353" t="s">
        <v>675</v>
      </c>
      <c r="F984" s="353" t="s">
        <v>1177</v>
      </c>
      <c r="G984" s="354" t="s">
        <v>169</v>
      </c>
      <c r="H984" s="354" t="str">
        <f>IFERROR(IF(SEARCH(".00.00.00.00.00",Tableau15[[#This Row],[name]],1)=7,"Division",""),"")</f>
        <v>Division</v>
      </c>
      <c r="I984" s="353"/>
      <c r="J984" s="355" t="s">
        <v>721</v>
      </c>
      <c r="K984" s="356">
        <f>ROUND(Tableau15[[#This Row],[LEN]]*7.27,0)</f>
        <v>15</v>
      </c>
      <c r="L984" s="356">
        <v>15</v>
      </c>
      <c r="M984" s="357" t="str">
        <f t="shared" si="7"/>
        <v>new</v>
      </c>
      <c r="N984" s="356">
        <f>LEN(Tableau15[[#This Row],[LABEL]])</f>
        <v>2</v>
      </c>
      <c r="O984" s="356">
        <v>15</v>
      </c>
      <c r="P984" s="356" t="e">
        <f>ROUND(Tableau15[[#This Row],[LEN]]*#REF!+#REF!,0)</f>
        <v>#REF!</v>
      </c>
    </row>
    <row r="985" spans="1:16" s="97" customFormat="1" x14ac:dyDescent="0.25">
      <c r="A985" s="49" t="s">
        <v>1756</v>
      </c>
      <c r="B985" s="50" t="s">
        <v>315</v>
      </c>
      <c r="C985" s="51" t="s">
        <v>129</v>
      </c>
      <c r="D985" s="76" t="s">
        <v>1177</v>
      </c>
      <c r="E985" s="51" t="s">
        <v>673</v>
      </c>
      <c r="F985" s="51" t="s">
        <v>2035</v>
      </c>
      <c r="G985" s="76" t="s">
        <v>169</v>
      </c>
      <c r="H985" s="76" t="s">
        <v>655</v>
      </c>
      <c r="I985" s="51"/>
      <c r="J985" s="52" t="s">
        <v>708</v>
      </c>
      <c r="K985" s="117">
        <f>ROUND(Tableau15[[#This Row],[LEN]]*7.27,0)</f>
        <v>87</v>
      </c>
      <c r="L985" s="117">
        <v>15</v>
      </c>
      <c r="M985" s="134" t="str">
        <f t="shared" si="7"/>
        <v>none</v>
      </c>
      <c r="N985" s="117">
        <f>LEN(Tableau15[[#This Row],[LABEL]])</f>
        <v>12</v>
      </c>
      <c r="O985" s="117">
        <v>15</v>
      </c>
      <c r="P985" s="117" t="e">
        <f>ROUND(Tableau15[[#This Row],[LEN]]*#REF!+#REF!,0)</f>
        <v>#REF!</v>
      </c>
    </row>
    <row r="986" spans="1:16" s="97" customFormat="1" x14ac:dyDescent="0.25">
      <c r="A986" s="53" t="s">
        <v>1764</v>
      </c>
      <c r="B986" s="54" t="s">
        <v>1756</v>
      </c>
      <c r="C986" s="55" t="s">
        <v>131</v>
      </c>
      <c r="D986" s="77" t="s">
        <v>1177</v>
      </c>
      <c r="E986" s="55" t="s">
        <v>673</v>
      </c>
      <c r="F986" s="55" t="s">
        <v>2035</v>
      </c>
      <c r="G986" s="77" t="s">
        <v>169</v>
      </c>
      <c r="H986" s="77" t="s">
        <v>570</v>
      </c>
      <c r="I986" s="55"/>
      <c r="J986" s="56" t="s">
        <v>708</v>
      </c>
      <c r="K986" s="118">
        <f>ROUND(Tableau15[[#This Row],[LEN]]*7.27,0)</f>
        <v>262</v>
      </c>
      <c r="L986" s="118">
        <v>15</v>
      </c>
      <c r="M986" s="135" t="str">
        <f t="shared" si="7"/>
        <v>none</v>
      </c>
      <c r="N986" s="118">
        <f>LEN(Tableau15[[#This Row],[LABEL]])</f>
        <v>36</v>
      </c>
      <c r="O986" s="118">
        <v>15</v>
      </c>
      <c r="P986" s="118" t="e">
        <f>ROUND(Tableau15[[#This Row],[LEN]]*#REF!+#REF!,0)</f>
        <v>#REF!</v>
      </c>
    </row>
    <row r="987" spans="1:16" s="97" customFormat="1" x14ac:dyDescent="0.25">
      <c r="A987" s="53" t="s">
        <v>1765</v>
      </c>
      <c r="B987" s="54" t="s">
        <v>1756</v>
      </c>
      <c r="C987" s="55" t="s">
        <v>132</v>
      </c>
      <c r="D987" s="77" t="s">
        <v>1177</v>
      </c>
      <c r="E987" s="55" t="s">
        <v>673</v>
      </c>
      <c r="F987" s="55" t="s">
        <v>2035</v>
      </c>
      <c r="G987" s="77" t="s">
        <v>169</v>
      </c>
      <c r="H987" s="77" t="s">
        <v>570</v>
      </c>
      <c r="I987" s="55"/>
      <c r="J987" s="56" t="s">
        <v>708</v>
      </c>
      <c r="K987" s="118">
        <f>ROUND(Tableau15[[#This Row],[LEN]]*7.27,0)</f>
        <v>298</v>
      </c>
      <c r="L987" s="118">
        <v>15</v>
      </c>
      <c r="M987" s="135" t="str">
        <f t="shared" si="7"/>
        <v>none</v>
      </c>
      <c r="N987" s="118">
        <f>LEN(Tableau15[[#This Row],[LABEL]])</f>
        <v>41</v>
      </c>
      <c r="O987" s="118">
        <v>15</v>
      </c>
      <c r="P987" s="118" t="e">
        <f>ROUND(Tableau15[[#This Row],[LEN]]*#REF!+#REF!,0)</f>
        <v>#REF!</v>
      </c>
    </row>
    <row r="988" spans="1:16" s="97" customFormat="1" x14ac:dyDescent="0.25">
      <c r="A988" s="49" t="s">
        <v>1757</v>
      </c>
      <c r="B988" s="50" t="s">
        <v>315</v>
      </c>
      <c r="C988" s="51" t="s">
        <v>1772</v>
      </c>
      <c r="D988" s="76" t="s">
        <v>1177</v>
      </c>
      <c r="E988" s="51" t="s">
        <v>675</v>
      </c>
      <c r="F988" s="51" t="s">
        <v>679</v>
      </c>
      <c r="G988" s="76" t="s">
        <v>169</v>
      </c>
      <c r="H988" s="76" t="s">
        <v>655</v>
      </c>
      <c r="I988" s="51"/>
      <c r="J988" s="52" t="s">
        <v>708</v>
      </c>
      <c r="K988" s="117">
        <f>ROUND(Tableau15[[#This Row],[LEN]]*7.27,0)</f>
        <v>182</v>
      </c>
      <c r="L988" s="117">
        <v>15</v>
      </c>
      <c r="M988" s="134" t="str">
        <f t="shared" si="7"/>
        <v>none</v>
      </c>
      <c r="N988" s="117">
        <f>LEN(Tableau15[[#This Row],[LABEL]])</f>
        <v>25</v>
      </c>
      <c r="O988" s="117">
        <v>15</v>
      </c>
      <c r="P988" s="117" t="e">
        <f>ROUND(Tableau15[[#This Row],[LEN]]*#REF!+#REF!,0)</f>
        <v>#REF!</v>
      </c>
    </row>
    <row r="989" spans="1:16" s="97" customFormat="1" x14ac:dyDescent="0.25">
      <c r="A989" s="53" t="s">
        <v>1766</v>
      </c>
      <c r="B989" s="54" t="s">
        <v>1757</v>
      </c>
      <c r="C989" s="55" t="s">
        <v>1467</v>
      </c>
      <c r="D989" s="77" t="s">
        <v>1177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ROUND(Tableau15[[#This Row],[LEN]]*7.27,0)</f>
        <v>102</v>
      </c>
      <c r="L989" s="118">
        <v>15</v>
      </c>
      <c r="M989" s="135" t="str">
        <f t="shared" si="7"/>
        <v>none</v>
      </c>
      <c r="N989" s="118">
        <f>LEN(Tableau15[[#This Row],[LABEL]])</f>
        <v>14</v>
      </c>
      <c r="O989" s="118">
        <v>15</v>
      </c>
      <c r="P989" s="118" t="e">
        <f>ROUND(Tableau15[[#This Row],[LEN]]*#REF!+#REF!,0)</f>
        <v>#REF!</v>
      </c>
    </row>
    <row r="990" spans="1:16" s="97" customFormat="1" x14ac:dyDescent="0.25">
      <c r="A990" s="53" t="s">
        <v>1767</v>
      </c>
      <c r="B990" s="54" t="s">
        <v>1757</v>
      </c>
      <c r="C990" s="55" t="s">
        <v>1769</v>
      </c>
      <c r="D990" s="77" t="s">
        <v>1177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ROUND(Tableau15[[#This Row],[LEN]]*7.27,0)</f>
        <v>211</v>
      </c>
      <c r="L990" s="118">
        <v>15</v>
      </c>
      <c r="M990" s="135" t="str">
        <f t="shared" si="7"/>
        <v>none</v>
      </c>
      <c r="N990" s="118">
        <f>LEN(Tableau15[[#This Row],[LABEL]])</f>
        <v>29</v>
      </c>
      <c r="O990" s="118">
        <v>15</v>
      </c>
      <c r="P990" s="118" t="e">
        <f>ROUND(Tableau15[[#This Row],[LEN]]*#REF!+#REF!,0)</f>
        <v>#REF!</v>
      </c>
    </row>
    <row r="991" spans="1:16" s="97" customFormat="1" x14ac:dyDescent="0.25">
      <c r="A991" s="53" t="s">
        <v>1768</v>
      </c>
      <c r="B991" s="54" t="s">
        <v>1757</v>
      </c>
      <c r="C991" s="55" t="s">
        <v>1468</v>
      </c>
      <c r="D991" s="77" t="s">
        <v>1177</v>
      </c>
      <c r="E991" s="55" t="s">
        <v>675</v>
      </c>
      <c r="F991" s="55" t="s">
        <v>679</v>
      </c>
      <c r="G991" s="77" t="s">
        <v>169</v>
      </c>
      <c r="H991" s="77" t="s">
        <v>654</v>
      </c>
      <c r="I991" s="55"/>
      <c r="J991" s="56" t="s">
        <v>708</v>
      </c>
      <c r="K991" s="118">
        <f>ROUND(Tableau15[[#This Row],[LEN]]*7.27,0)</f>
        <v>167</v>
      </c>
      <c r="L991" s="118">
        <v>15</v>
      </c>
      <c r="M991" s="135" t="str">
        <f t="shared" si="7"/>
        <v>none</v>
      </c>
      <c r="N991" s="118">
        <f>LEN(Tableau15[[#This Row],[LABEL]])</f>
        <v>23</v>
      </c>
      <c r="O991" s="118">
        <v>15</v>
      </c>
      <c r="P991" s="118" t="e">
        <f>ROUND(Tableau15[[#This Row],[LEN]]*#REF!+#REF!,0)</f>
        <v>#REF!</v>
      </c>
    </row>
    <row r="992" spans="1:16" s="97" customFormat="1" x14ac:dyDescent="0.25">
      <c r="A992" s="49" t="s">
        <v>1758</v>
      </c>
      <c r="B992" s="50" t="s">
        <v>315</v>
      </c>
      <c r="C992" s="51" t="s">
        <v>1770</v>
      </c>
      <c r="D992" s="76" t="s">
        <v>1771</v>
      </c>
      <c r="E992" s="51" t="s">
        <v>675</v>
      </c>
      <c r="F992" s="51" t="s">
        <v>1177</v>
      </c>
      <c r="G992" s="76" t="s">
        <v>169</v>
      </c>
      <c r="H992" s="76" t="s">
        <v>654</v>
      </c>
      <c r="I992" s="51"/>
      <c r="J992" s="52" t="s">
        <v>708</v>
      </c>
      <c r="K992" s="117">
        <f>ROUND(Tableau15[[#This Row],[LEN]]*7.27,0)</f>
        <v>487</v>
      </c>
      <c r="L992" s="117">
        <v>15</v>
      </c>
      <c r="M992" s="134" t="str">
        <f t="shared" si="7"/>
        <v>none</v>
      </c>
      <c r="N992" s="117">
        <f>LEN(Tableau15[[#This Row],[LABEL]])</f>
        <v>67</v>
      </c>
      <c r="O992" s="117">
        <v>15</v>
      </c>
      <c r="P992" s="117" t="e">
        <f>ROUND(Tableau15[[#This Row],[LEN]]*#REF!+#REF!,0)</f>
        <v>#REF!</v>
      </c>
    </row>
    <row r="993" spans="1:16" s="97" customFormat="1" x14ac:dyDescent="0.25">
      <c r="A993" s="49" t="s">
        <v>1759</v>
      </c>
      <c r="B993" s="50" t="s">
        <v>315</v>
      </c>
      <c r="C993" s="51" t="s">
        <v>1773</v>
      </c>
      <c r="D993" s="76" t="s">
        <v>1177</v>
      </c>
      <c r="E993" s="51" t="s">
        <v>675</v>
      </c>
      <c r="F993" s="51" t="s">
        <v>1177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ROUND(Tableau15[[#This Row],[LEN]]*7.27,0)</f>
        <v>153</v>
      </c>
      <c r="L993" s="117">
        <v>15</v>
      </c>
      <c r="M993" s="134" t="str">
        <f t="shared" si="7"/>
        <v>none</v>
      </c>
      <c r="N993" s="117">
        <f>LEN(Tableau15[[#This Row],[LABEL]])</f>
        <v>21</v>
      </c>
      <c r="O993" s="117">
        <v>15</v>
      </c>
      <c r="P993" s="117" t="e">
        <f>ROUND(Tableau15[[#This Row],[LEN]]*#REF!+#REF!,0)</f>
        <v>#REF!</v>
      </c>
    </row>
    <row r="994" spans="1:16" s="97" customFormat="1" x14ac:dyDescent="0.25">
      <c r="A994" s="53" t="s">
        <v>1774</v>
      </c>
      <c r="B994" s="54" t="s">
        <v>1759</v>
      </c>
      <c r="C994" s="55" t="s">
        <v>1778</v>
      </c>
      <c r="D994" s="77" t="s">
        <v>1177</v>
      </c>
      <c r="E994" s="55" t="s">
        <v>675</v>
      </c>
      <c r="F994" s="55" t="s">
        <v>1177</v>
      </c>
      <c r="G994" s="77" t="s">
        <v>169</v>
      </c>
      <c r="H994" s="77" t="s">
        <v>654</v>
      </c>
      <c r="I994" s="55"/>
      <c r="J994" s="56" t="s">
        <v>708</v>
      </c>
      <c r="K994" s="118">
        <f>ROUND(Tableau15[[#This Row],[LEN]]*7.27,0)</f>
        <v>225</v>
      </c>
      <c r="L994" s="118">
        <v>15</v>
      </c>
      <c r="M994" s="135" t="str">
        <f t="shared" si="7"/>
        <v>none</v>
      </c>
      <c r="N994" s="118">
        <f>LEN(Tableau15[[#This Row],[LABEL]])</f>
        <v>31</v>
      </c>
      <c r="O994" s="118">
        <v>15</v>
      </c>
      <c r="P994" s="118" t="e">
        <f>ROUND(Tableau15[[#This Row],[LEN]]*#REF!+#REF!,0)</f>
        <v>#REF!</v>
      </c>
    </row>
    <row r="995" spans="1:16" s="97" customFormat="1" x14ac:dyDescent="0.25">
      <c r="A995" s="53" t="s">
        <v>1775</v>
      </c>
      <c r="B995" s="54" t="s">
        <v>1759</v>
      </c>
      <c r="C995" s="55" t="s">
        <v>1779</v>
      </c>
      <c r="D995" s="77" t="s">
        <v>1177</v>
      </c>
      <c r="E995" s="55" t="s">
        <v>675</v>
      </c>
      <c r="F995" s="55" t="s">
        <v>1177</v>
      </c>
      <c r="G995" s="77" t="s">
        <v>169</v>
      </c>
      <c r="H995" s="77" t="s">
        <v>654</v>
      </c>
      <c r="I995" s="55"/>
      <c r="J995" s="56" t="s">
        <v>708</v>
      </c>
      <c r="K995" s="118">
        <f>ROUND(Tableau15[[#This Row],[LEN]]*7.27,0)</f>
        <v>124</v>
      </c>
      <c r="L995" s="118">
        <v>15</v>
      </c>
      <c r="M995" s="135" t="str">
        <f t="shared" si="7"/>
        <v>none</v>
      </c>
      <c r="N995" s="118">
        <f>LEN(Tableau15[[#This Row],[LABEL]])</f>
        <v>17</v>
      </c>
      <c r="O995" s="118">
        <v>15</v>
      </c>
      <c r="P995" s="118" t="e">
        <f>ROUND(Tableau15[[#This Row],[LEN]]*#REF!+#REF!,0)</f>
        <v>#REF!</v>
      </c>
    </row>
    <row r="996" spans="1:16" s="97" customFormat="1" x14ac:dyDescent="0.25">
      <c r="A996" s="53" t="s">
        <v>1776</v>
      </c>
      <c r="B996" s="54" t="s">
        <v>1759</v>
      </c>
      <c r="C996" s="55" t="s">
        <v>1780</v>
      </c>
      <c r="D996" s="77" t="s">
        <v>1177</v>
      </c>
      <c r="E996" s="55" t="s">
        <v>675</v>
      </c>
      <c r="F996" s="55" t="s">
        <v>1177</v>
      </c>
      <c r="G996" s="77" t="s">
        <v>169</v>
      </c>
      <c r="H996" s="77" t="s">
        <v>654</v>
      </c>
      <c r="I996" s="55"/>
      <c r="J996" s="56" t="s">
        <v>708</v>
      </c>
      <c r="K996" s="118">
        <f>ROUND(Tableau15[[#This Row],[LEN]]*7.27,0)</f>
        <v>160</v>
      </c>
      <c r="L996" s="118">
        <v>15</v>
      </c>
      <c r="M996" s="135" t="str">
        <f t="shared" si="7"/>
        <v>none</v>
      </c>
      <c r="N996" s="118">
        <f>LEN(Tableau15[[#This Row],[LABEL]])</f>
        <v>22</v>
      </c>
      <c r="O996" s="118">
        <v>15</v>
      </c>
      <c r="P996" s="118" t="e">
        <f>ROUND(Tableau15[[#This Row],[LEN]]*#REF!+#REF!,0)</f>
        <v>#REF!</v>
      </c>
    </row>
    <row r="997" spans="1:16" s="97" customFormat="1" x14ac:dyDescent="0.25">
      <c r="A997" s="53" t="s">
        <v>1777</v>
      </c>
      <c r="B997" s="54" t="s">
        <v>1759</v>
      </c>
      <c r="C997" s="55" t="s">
        <v>1781</v>
      </c>
      <c r="D997" s="77" t="s">
        <v>1177</v>
      </c>
      <c r="E997" s="55" t="s">
        <v>675</v>
      </c>
      <c r="F997" s="55" t="s">
        <v>1177</v>
      </c>
      <c r="G997" s="77" t="s">
        <v>169</v>
      </c>
      <c r="H997" s="77" t="s">
        <v>654</v>
      </c>
      <c r="I997" s="55"/>
      <c r="J997" s="56" t="s">
        <v>708</v>
      </c>
      <c r="K997" s="118">
        <f>ROUND(Tableau15[[#This Row],[LEN]]*7.27,0)</f>
        <v>145</v>
      </c>
      <c r="L997" s="118">
        <v>15</v>
      </c>
      <c r="M997" s="135" t="str">
        <f t="shared" si="7"/>
        <v>none</v>
      </c>
      <c r="N997" s="118">
        <f>LEN(Tableau15[[#This Row],[LABEL]])</f>
        <v>20</v>
      </c>
      <c r="O997" s="118">
        <v>15</v>
      </c>
      <c r="P997" s="118" t="e">
        <f>ROUND(Tableau15[[#This Row],[LEN]]*#REF!+#REF!,0)</f>
        <v>#REF!</v>
      </c>
    </row>
    <row r="998" spans="1:16" s="97" customFormat="1" x14ac:dyDescent="0.25">
      <c r="A998" s="49" t="s">
        <v>1760</v>
      </c>
      <c r="B998" s="50" t="s">
        <v>315</v>
      </c>
      <c r="C998" s="51" t="s">
        <v>1782</v>
      </c>
      <c r="D998" s="76" t="s">
        <v>1177</v>
      </c>
      <c r="E998" s="51" t="s">
        <v>675</v>
      </c>
      <c r="F998" s="51" t="s">
        <v>679</v>
      </c>
      <c r="G998" s="76" t="s">
        <v>169</v>
      </c>
      <c r="H998" s="76" t="s">
        <v>655</v>
      </c>
      <c r="I998" s="51"/>
      <c r="J998" s="52" t="s">
        <v>708</v>
      </c>
      <c r="K998" s="117">
        <f>ROUND(Tableau15[[#This Row],[LEN]]*7.27,0)</f>
        <v>182</v>
      </c>
      <c r="L998" s="117">
        <v>15</v>
      </c>
      <c r="M998" s="134" t="str">
        <f t="shared" si="7"/>
        <v>none</v>
      </c>
      <c r="N998" s="117">
        <f>LEN(Tableau15[[#This Row],[LABEL]])</f>
        <v>25</v>
      </c>
      <c r="O998" s="117">
        <v>15</v>
      </c>
      <c r="P998" s="117" t="e">
        <f>ROUND(Tableau15[[#This Row],[LEN]]*#REF!+#REF!,0)</f>
        <v>#REF!</v>
      </c>
    </row>
    <row r="999" spans="1:16" s="97" customFormat="1" x14ac:dyDescent="0.25">
      <c r="A999" s="53" t="s">
        <v>1783</v>
      </c>
      <c r="B999" s="54" t="s">
        <v>1760</v>
      </c>
      <c r="C999" s="55" t="s">
        <v>1785</v>
      </c>
      <c r="D999" s="77" t="s">
        <v>1177</v>
      </c>
      <c r="E999" s="55" t="s">
        <v>675</v>
      </c>
      <c r="F999" s="55" t="s">
        <v>679</v>
      </c>
      <c r="G999" s="77" t="s">
        <v>169</v>
      </c>
      <c r="H999" s="77" t="s">
        <v>656</v>
      </c>
      <c r="I999" s="55"/>
      <c r="J999" s="56" t="s">
        <v>708</v>
      </c>
      <c r="K999" s="118">
        <f>ROUND(Tableau15[[#This Row],[LEN]]*7.27,0)</f>
        <v>167</v>
      </c>
      <c r="L999" s="118">
        <v>15</v>
      </c>
      <c r="M999" s="135" t="str">
        <f t="shared" si="7"/>
        <v>none</v>
      </c>
      <c r="N999" s="118">
        <f>LEN(Tableau15[[#This Row],[LABEL]])</f>
        <v>23</v>
      </c>
      <c r="O999" s="118">
        <v>15</v>
      </c>
      <c r="P999" s="118" t="e">
        <f>ROUND(Tableau15[[#This Row],[LEN]]*#REF!+#REF!,0)</f>
        <v>#REF!</v>
      </c>
    </row>
    <row r="1000" spans="1:16" s="97" customFormat="1" x14ac:dyDescent="0.25">
      <c r="A1000" s="53" t="s">
        <v>1784</v>
      </c>
      <c r="B1000" s="54" t="s">
        <v>1760</v>
      </c>
      <c r="C1000" s="55" t="s">
        <v>1470</v>
      </c>
      <c r="D1000" s="77" t="s">
        <v>1177</v>
      </c>
      <c r="E1000" s="55" t="s">
        <v>675</v>
      </c>
      <c r="F1000" s="55" t="s">
        <v>679</v>
      </c>
      <c r="G1000" s="77" t="s">
        <v>169</v>
      </c>
      <c r="H1000" s="77" t="s">
        <v>656</v>
      </c>
      <c r="I1000" s="55"/>
      <c r="J1000" s="56" t="s">
        <v>708</v>
      </c>
      <c r="K1000" s="118">
        <f>ROUND(Tableau15[[#This Row],[LEN]]*7.27,0)</f>
        <v>313</v>
      </c>
      <c r="L1000" s="118">
        <v>15</v>
      </c>
      <c r="M1000" s="135" t="str">
        <f t="shared" si="7"/>
        <v>none</v>
      </c>
      <c r="N1000" s="118">
        <f>LEN(Tableau15[[#This Row],[LABEL]])</f>
        <v>43</v>
      </c>
      <c r="O1000" s="118">
        <v>15</v>
      </c>
      <c r="P1000" s="118" t="e">
        <f>ROUND(Tableau15[[#This Row],[LEN]]*#REF!+#REF!,0)</f>
        <v>#REF!</v>
      </c>
    </row>
    <row r="1001" spans="1:16" s="97" customFormat="1" x14ac:dyDescent="0.25">
      <c r="A1001" s="49" t="s">
        <v>1761</v>
      </c>
      <c r="B1001" s="50" t="s">
        <v>315</v>
      </c>
      <c r="C1001" s="51" t="s">
        <v>1786</v>
      </c>
      <c r="D1001" s="76" t="s">
        <v>1177</v>
      </c>
      <c r="E1001" s="51" t="s">
        <v>675</v>
      </c>
      <c r="F1001" s="51" t="s">
        <v>679</v>
      </c>
      <c r="G1001" s="76" t="s">
        <v>169</v>
      </c>
      <c r="H1001" s="76" t="s">
        <v>655</v>
      </c>
      <c r="I1001" s="51"/>
      <c r="J1001" s="52" t="s">
        <v>708</v>
      </c>
      <c r="K1001" s="117">
        <f>ROUND(Tableau15[[#This Row],[LEN]]*7.27,0)</f>
        <v>262</v>
      </c>
      <c r="L1001" s="117">
        <v>15</v>
      </c>
      <c r="M1001" s="134" t="str">
        <f t="shared" si="7"/>
        <v>none</v>
      </c>
      <c r="N1001" s="117">
        <f>LEN(Tableau15[[#This Row],[LABEL]])</f>
        <v>36</v>
      </c>
      <c r="O1001" s="117">
        <v>15</v>
      </c>
      <c r="P1001" s="117" t="e">
        <f>ROUND(Tableau15[[#This Row],[LEN]]*#REF!+#REF!,0)</f>
        <v>#REF!</v>
      </c>
    </row>
    <row r="1002" spans="1:16" s="97" customFormat="1" x14ac:dyDescent="0.25">
      <c r="A1002" s="53" t="s">
        <v>1787</v>
      </c>
      <c r="B1002" s="54" t="s">
        <v>1761</v>
      </c>
      <c r="C1002" s="55" t="s">
        <v>1789</v>
      </c>
      <c r="D1002" s="77" t="s">
        <v>1177</v>
      </c>
      <c r="E1002" s="55" t="s">
        <v>675</v>
      </c>
      <c r="F1002" s="55" t="s">
        <v>679</v>
      </c>
      <c r="G1002" s="77" t="s">
        <v>169</v>
      </c>
      <c r="H1002" s="77" t="s">
        <v>654</v>
      </c>
      <c r="I1002" s="55"/>
      <c r="J1002" s="56" t="s">
        <v>708</v>
      </c>
      <c r="K1002" s="118">
        <f>ROUND(Tableau15[[#This Row],[LEN]]*7.27,0)</f>
        <v>487</v>
      </c>
      <c r="L1002" s="118">
        <v>15</v>
      </c>
      <c r="M1002" s="135" t="str">
        <f t="shared" si="7"/>
        <v>none</v>
      </c>
      <c r="N1002" s="118">
        <f>LEN(Tableau15[[#This Row],[LABEL]])</f>
        <v>67</v>
      </c>
      <c r="O1002" s="118">
        <v>15</v>
      </c>
      <c r="P1002" s="118" t="e">
        <f>ROUND(Tableau15[[#This Row],[LEN]]*#REF!+#REF!,0)</f>
        <v>#REF!</v>
      </c>
    </row>
    <row r="1003" spans="1:16" s="97" customFormat="1" x14ac:dyDescent="0.25">
      <c r="A1003" s="53" t="s">
        <v>1788</v>
      </c>
      <c r="B1003" s="54" t="s">
        <v>1761</v>
      </c>
      <c r="C1003" s="55" t="s">
        <v>1790</v>
      </c>
      <c r="D1003" s="77" t="s">
        <v>1177</v>
      </c>
      <c r="E1003" s="55" t="s">
        <v>675</v>
      </c>
      <c r="F1003" s="55" t="s">
        <v>679</v>
      </c>
      <c r="G1003" s="77" t="s">
        <v>169</v>
      </c>
      <c r="H1003" s="77" t="s">
        <v>654</v>
      </c>
      <c r="I1003" s="55"/>
      <c r="J1003" s="56" t="s">
        <v>708</v>
      </c>
      <c r="K1003" s="118">
        <f>ROUND(Tableau15[[#This Row],[LEN]]*7.27,0)</f>
        <v>313</v>
      </c>
      <c r="L1003" s="118">
        <v>15</v>
      </c>
      <c r="M1003" s="135" t="str">
        <f t="shared" si="7"/>
        <v>none</v>
      </c>
      <c r="N1003" s="118">
        <f>LEN(Tableau15[[#This Row],[LABEL]])</f>
        <v>43</v>
      </c>
      <c r="O1003" s="118">
        <v>15</v>
      </c>
      <c r="P1003" s="118" t="e">
        <f>ROUND(Tableau15[[#This Row],[LEN]]*#REF!+#REF!,0)</f>
        <v>#REF!</v>
      </c>
    </row>
    <row r="1004" spans="1:16" s="97" customFormat="1" x14ac:dyDescent="0.25">
      <c r="A1004" s="49" t="s">
        <v>1762</v>
      </c>
      <c r="B1004" s="50" t="s">
        <v>315</v>
      </c>
      <c r="C1004" s="51" t="s">
        <v>1791</v>
      </c>
      <c r="D1004" s="76" t="s">
        <v>1177</v>
      </c>
      <c r="E1004" s="51" t="s">
        <v>675</v>
      </c>
      <c r="F1004" s="51" t="s">
        <v>679</v>
      </c>
      <c r="G1004" s="76" t="s">
        <v>169</v>
      </c>
      <c r="H1004" s="76" t="s">
        <v>655</v>
      </c>
      <c r="I1004" s="51"/>
      <c r="J1004" s="52" t="s">
        <v>708</v>
      </c>
      <c r="K1004" s="117">
        <f>ROUND(Tableau15[[#This Row],[LEN]]*7.27,0)</f>
        <v>153</v>
      </c>
      <c r="L1004" s="117">
        <v>15</v>
      </c>
      <c r="M1004" s="134" t="str">
        <f t="shared" si="7"/>
        <v>none</v>
      </c>
      <c r="N1004" s="117">
        <f>LEN(Tableau15[[#This Row],[LABEL]])</f>
        <v>21</v>
      </c>
      <c r="O1004" s="117">
        <v>15</v>
      </c>
      <c r="P1004" s="117" t="e">
        <f>ROUND(Tableau15[[#This Row],[LEN]]*#REF!+#REF!,0)</f>
        <v>#REF!</v>
      </c>
    </row>
    <row r="1005" spans="1:16" s="97" customFormat="1" x14ac:dyDescent="0.25">
      <c r="A1005" s="53" t="s">
        <v>1792</v>
      </c>
      <c r="B1005" s="54" t="s">
        <v>1762</v>
      </c>
      <c r="C1005" s="55" t="s">
        <v>1778</v>
      </c>
      <c r="D1005" s="77" t="s">
        <v>1177</v>
      </c>
      <c r="E1005" s="55" t="s">
        <v>675</v>
      </c>
      <c r="F1005" s="55" t="s">
        <v>679</v>
      </c>
      <c r="G1005" s="77" t="s">
        <v>169</v>
      </c>
      <c r="H1005" s="77" t="s">
        <v>654</v>
      </c>
      <c r="I1005" s="55"/>
      <c r="J1005" s="56" t="s">
        <v>708</v>
      </c>
      <c r="K1005" s="118">
        <f>ROUND(Tableau15[[#This Row],[LEN]]*7.27,0)</f>
        <v>225</v>
      </c>
      <c r="L1005" s="118">
        <v>15</v>
      </c>
      <c r="M1005" s="135" t="str">
        <f t="shared" si="7"/>
        <v>none</v>
      </c>
      <c r="N1005" s="118">
        <f>LEN(Tableau15[[#This Row],[LABEL]])</f>
        <v>31</v>
      </c>
      <c r="O1005" s="118">
        <v>15</v>
      </c>
      <c r="P1005" s="118" t="e">
        <f>ROUND(Tableau15[[#This Row],[LEN]]*#REF!+#REF!,0)</f>
        <v>#REF!</v>
      </c>
    </row>
    <row r="1006" spans="1:16" s="97" customFormat="1" x14ac:dyDescent="0.25">
      <c r="A1006" s="53" t="s">
        <v>1793</v>
      </c>
      <c r="B1006" s="54" t="s">
        <v>1762</v>
      </c>
      <c r="C1006" s="55" t="s">
        <v>1779</v>
      </c>
      <c r="D1006" s="77" t="s">
        <v>1177</v>
      </c>
      <c r="E1006" s="55" t="s">
        <v>675</v>
      </c>
      <c r="F1006" s="55" t="s">
        <v>679</v>
      </c>
      <c r="G1006" s="77" t="s">
        <v>169</v>
      </c>
      <c r="H1006" s="77" t="s">
        <v>654</v>
      </c>
      <c r="I1006" s="55"/>
      <c r="J1006" s="56" t="s">
        <v>708</v>
      </c>
      <c r="K1006" s="118">
        <f>ROUND(Tableau15[[#This Row],[LEN]]*7.27,0)</f>
        <v>124</v>
      </c>
      <c r="L1006" s="118">
        <v>15</v>
      </c>
      <c r="M1006" s="135" t="str">
        <f t="shared" si="7"/>
        <v>none</v>
      </c>
      <c r="N1006" s="118">
        <f>LEN(Tableau15[[#This Row],[LABEL]])</f>
        <v>17</v>
      </c>
      <c r="O1006" s="118">
        <v>15</v>
      </c>
      <c r="P1006" s="118" t="e">
        <f>ROUND(Tableau15[[#This Row],[LEN]]*#REF!+#REF!,0)</f>
        <v>#REF!</v>
      </c>
    </row>
    <row r="1007" spans="1:16" s="97" customFormat="1" x14ac:dyDescent="0.25">
      <c r="A1007" s="53" t="s">
        <v>1794</v>
      </c>
      <c r="B1007" s="54" t="s">
        <v>1762</v>
      </c>
      <c r="C1007" s="55" t="s">
        <v>1780</v>
      </c>
      <c r="D1007" s="77" t="s">
        <v>1177</v>
      </c>
      <c r="E1007" s="55" t="s">
        <v>675</v>
      </c>
      <c r="F1007" s="55" t="s">
        <v>679</v>
      </c>
      <c r="G1007" s="77" t="s">
        <v>169</v>
      </c>
      <c r="H1007" s="77" t="s">
        <v>654</v>
      </c>
      <c r="I1007" s="55"/>
      <c r="J1007" s="56" t="s">
        <v>708</v>
      </c>
      <c r="K1007" s="118">
        <f>ROUND(Tableau15[[#This Row],[LEN]]*7.27,0)</f>
        <v>160</v>
      </c>
      <c r="L1007" s="118">
        <v>15</v>
      </c>
      <c r="M1007" s="135" t="str">
        <f t="shared" si="7"/>
        <v>none</v>
      </c>
      <c r="N1007" s="118">
        <f>LEN(Tableau15[[#This Row],[LABEL]])</f>
        <v>22</v>
      </c>
      <c r="O1007" s="118">
        <v>15</v>
      </c>
      <c r="P1007" s="118" t="e">
        <f>ROUND(Tableau15[[#This Row],[LEN]]*#REF!+#REF!,0)</f>
        <v>#REF!</v>
      </c>
    </row>
    <row r="1008" spans="1:16" s="97" customFormat="1" x14ac:dyDescent="0.25">
      <c r="A1008" s="53" t="s">
        <v>1795</v>
      </c>
      <c r="B1008" s="54" t="s">
        <v>1762</v>
      </c>
      <c r="C1008" s="55" t="s">
        <v>1781</v>
      </c>
      <c r="D1008" s="77" t="s">
        <v>1177</v>
      </c>
      <c r="E1008" s="55" t="s">
        <v>675</v>
      </c>
      <c r="F1008" s="55" t="s">
        <v>679</v>
      </c>
      <c r="G1008" s="77" t="s">
        <v>169</v>
      </c>
      <c r="H1008" s="77" t="s">
        <v>654</v>
      </c>
      <c r="I1008" s="55"/>
      <c r="J1008" s="56" t="s">
        <v>708</v>
      </c>
      <c r="K1008" s="118">
        <f>ROUND(Tableau15[[#This Row],[LEN]]*7.27,0)</f>
        <v>145</v>
      </c>
      <c r="L1008" s="118">
        <v>15</v>
      </c>
      <c r="M1008" s="135" t="str">
        <f t="shared" si="7"/>
        <v>none</v>
      </c>
      <c r="N1008" s="118">
        <f>LEN(Tableau15[[#This Row],[LABEL]])</f>
        <v>20</v>
      </c>
      <c r="O1008" s="118">
        <v>15</v>
      </c>
      <c r="P1008" s="118" t="e">
        <f>ROUND(Tableau15[[#This Row],[LEN]]*#REF!+#REF!,0)</f>
        <v>#REF!</v>
      </c>
    </row>
    <row r="1009" spans="1:16" s="97" customFormat="1" x14ac:dyDescent="0.25">
      <c r="A1009" s="49" t="s">
        <v>1763</v>
      </c>
      <c r="B1009" s="50" t="s">
        <v>315</v>
      </c>
      <c r="C1009" s="51" t="s">
        <v>598</v>
      </c>
      <c r="D1009" s="76" t="s">
        <v>1177</v>
      </c>
      <c r="E1009" s="51" t="s">
        <v>673</v>
      </c>
      <c r="F1009" s="51" t="s">
        <v>2035</v>
      </c>
      <c r="G1009" s="76" t="s">
        <v>169</v>
      </c>
      <c r="H1009" s="76" t="s">
        <v>654</v>
      </c>
      <c r="I1009" s="51"/>
      <c r="J1009" s="52" t="s">
        <v>708</v>
      </c>
      <c r="K1009" s="117">
        <f>ROUND(Tableau15[[#This Row],[LEN]]*7.27,0)</f>
        <v>553</v>
      </c>
      <c r="L1009" s="117">
        <v>15</v>
      </c>
      <c r="M1009" s="134" t="str">
        <f t="shared" si="7"/>
        <v>none</v>
      </c>
      <c r="N1009" s="117">
        <f>LEN(Tableau15[[#This Row],[LABEL]])</f>
        <v>76</v>
      </c>
      <c r="O1009" s="117">
        <v>15</v>
      </c>
      <c r="P1009" s="117" t="e">
        <f>ROUND(Tableau15[[#This Row],[LEN]]*#REF!+#REF!,0)</f>
        <v>#REF!</v>
      </c>
    </row>
    <row r="1010" spans="1:16" s="273" customFormat="1" x14ac:dyDescent="0.25">
      <c r="A1010" s="351" t="s">
        <v>316</v>
      </c>
      <c r="B1010" s="352" t="s">
        <v>209</v>
      </c>
      <c r="C1010" s="353" t="s">
        <v>71</v>
      </c>
      <c r="D1010" s="354" t="s">
        <v>1177</v>
      </c>
      <c r="E1010" s="353" t="s">
        <v>676</v>
      </c>
      <c r="F1010" s="353" t="s">
        <v>1177</v>
      </c>
      <c r="G1010" s="354" t="s">
        <v>169</v>
      </c>
      <c r="H1010" s="354" t="str">
        <f>IFERROR(IF(SEARCH(".00.00.00.00.00",Tableau15[[#This Row],[name]],1)=7,"Division",""),"")</f>
        <v>Division</v>
      </c>
      <c r="I1010" s="353"/>
      <c r="J1010" s="355" t="s">
        <v>722</v>
      </c>
      <c r="K1010" s="356">
        <f>ROUND(Tableau15[[#This Row],[LEN]]*7.27,0)</f>
        <v>29</v>
      </c>
      <c r="L1010" s="356">
        <v>15</v>
      </c>
      <c r="M1010" s="357" t="str">
        <f t="shared" si="7"/>
        <v>new</v>
      </c>
      <c r="N1010" s="356">
        <f>LEN(Tableau15[[#This Row],[LABEL]])</f>
        <v>4</v>
      </c>
      <c r="O1010" s="356">
        <v>15</v>
      </c>
      <c r="P1010" s="356" t="e">
        <f>ROUND(Tableau15[[#This Row],[LEN]]*#REF!+#REF!,0)</f>
        <v>#REF!</v>
      </c>
    </row>
    <row r="1011" spans="1:16" s="97" customFormat="1" x14ac:dyDescent="0.25">
      <c r="A1011" s="49" t="s">
        <v>1796</v>
      </c>
      <c r="B1011" s="50" t="s">
        <v>316</v>
      </c>
      <c r="C1011" s="51" t="s">
        <v>129</v>
      </c>
      <c r="D1011" s="76" t="s">
        <v>1177</v>
      </c>
      <c r="E1011" s="51" t="s">
        <v>673</v>
      </c>
      <c r="F1011" s="51" t="s">
        <v>2035</v>
      </c>
      <c r="G1011" s="76" t="s">
        <v>169</v>
      </c>
      <c r="H1011" s="76" t="s">
        <v>655</v>
      </c>
      <c r="I1011" s="51"/>
      <c r="J1011" s="52" t="s">
        <v>708</v>
      </c>
      <c r="K1011" s="117">
        <f>ROUND(Tableau15[[#This Row],[LEN]]*7.27,0)</f>
        <v>87</v>
      </c>
      <c r="L1011" s="117">
        <v>15</v>
      </c>
      <c r="M1011" s="134" t="str">
        <f t="shared" si="7"/>
        <v>none</v>
      </c>
      <c r="N1011" s="117">
        <f>LEN(Tableau15[[#This Row],[LABEL]])</f>
        <v>12</v>
      </c>
      <c r="O1011" s="117">
        <v>15</v>
      </c>
      <c r="P1011" s="117" t="e">
        <f>ROUND(Tableau15[[#This Row],[LEN]]*#REF!+#REF!,0)</f>
        <v>#REF!</v>
      </c>
    </row>
    <row r="1012" spans="1:16" s="97" customFormat="1" x14ac:dyDescent="0.25">
      <c r="A1012" s="53" t="s">
        <v>1802</v>
      </c>
      <c r="B1012" s="54" t="s">
        <v>1796</v>
      </c>
      <c r="C1012" s="55" t="s">
        <v>131</v>
      </c>
      <c r="D1012" s="77" t="s">
        <v>1177</v>
      </c>
      <c r="E1012" s="55" t="s">
        <v>673</v>
      </c>
      <c r="F1012" s="55" t="s">
        <v>2035</v>
      </c>
      <c r="G1012" s="77" t="s">
        <v>169</v>
      </c>
      <c r="H1012" s="77" t="s">
        <v>570</v>
      </c>
      <c r="I1012" s="55"/>
      <c r="J1012" s="56" t="s">
        <v>708</v>
      </c>
      <c r="K1012" s="118">
        <f>ROUND(Tableau15[[#This Row],[LEN]]*7.27,0)</f>
        <v>262</v>
      </c>
      <c r="L1012" s="118">
        <v>15</v>
      </c>
      <c r="M1012" s="135" t="str">
        <f t="shared" si="7"/>
        <v>none</v>
      </c>
      <c r="N1012" s="118">
        <f>LEN(Tableau15[[#This Row],[LABEL]])</f>
        <v>36</v>
      </c>
      <c r="O1012" s="118">
        <v>15</v>
      </c>
      <c r="P1012" s="118" t="e">
        <f>ROUND(Tableau15[[#This Row],[LEN]]*#REF!+#REF!,0)</f>
        <v>#REF!</v>
      </c>
    </row>
    <row r="1013" spans="1:16" s="97" customFormat="1" x14ac:dyDescent="0.25">
      <c r="A1013" s="53" t="s">
        <v>1803</v>
      </c>
      <c r="B1013" s="54" t="s">
        <v>1796</v>
      </c>
      <c r="C1013" s="55" t="s">
        <v>132</v>
      </c>
      <c r="D1013" s="77" t="s">
        <v>1177</v>
      </c>
      <c r="E1013" s="55" t="s">
        <v>673</v>
      </c>
      <c r="F1013" s="55" t="s">
        <v>2035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ROUND(Tableau15[[#This Row],[LEN]]*7.27,0)</f>
        <v>298</v>
      </c>
      <c r="L1013" s="118">
        <v>15</v>
      </c>
      <c r="M1013" s="135" t="str">
        <f t="shared" si="7"/>
        <v>none</v>
      </c>
      <c r="N1013" s="118">
        <f>LEN(Tableau15[[#This Row],[LABEL]])</f>
        <v>41</v>
      </c>
      <c r="O1013" s="118">
        <v>15</v>
      </c>
      <c r="P1013" s="118" t="e">
        <f>ROUND(Tableau15[[#This Row],[LEN]]*#REF!+#REF!,0)</f>
        <v>#REF!</v>
      </c>
    </row>
    <row r="1014" spans="1:16" s="97" customFormat="1" x14ac:dyDescent="0.25">
      <c r="A1014" s="49" t="s">
        <v>1797</v>
      </c>
      <c r="B1014" s="50" t="s">
        <v>316</v>
      </c>
      <c r="C1014" s="51" t="s">
        <v>1808</v>
      </c>
      <c r="D1014" s="76" t="s">
        <v>1177</v>
      </c>
      <c r="E1014" s="51" t="s">
        <v>676</v>
      </c>
      <c r="F1014" s="51" t="s">
        <v>1177</v>
      </c>
      <c r="G1014" s="76" t="s">
        <v>169</v>
      </c>
      <c r="H1014" s="76" t="s">
        <v>654</v>
      </c>
      <c r="I1014" s="51"/>
      <c r="J1014" s="52" t="s">
        <v>708</v>
      </c>
      <c r="K1014" s="117">
        <f>ROUND(Tableau15[[#This Row],[LEN]]*7.27,0)</f>
        <v>364</v>
      </c>
      <c r="L1014" s="117">
        <v>15</v>
      </c>
      <c r="M1014" s="134" t="str">
        <f t="shared" si="7"/>
        <v>none</v>
      </c>
      <c r="N1014" s="117">
        <f>LEN(Tableau15[[#This Row],[LABEL]])</f>
        <v>50</v>
      </c>
      <c r="O1014" s="117">
        <v>15</v>
      </c>
      <c r="P1014" s="117" t="e">
        <f>ROUND(Tableau15[[#This Row],[LEN]]*#REF!+#REF!,0)</f>
        <v>#REF!</v>
      </c>
    </row>
    <row r="1015" spans="1:16" s="97" customFormat="1" x14ac:dyDescent="0.25">
      <c r="A1015" s="49" t="s">
        <v>1798</v>
      </c>
      <c r="B1015" s="50" t="s">
        <v>316</v>
      </c>
      <c r="C1015" s="51" t="s">
        <v>1810</v>
      </c>
      <c r="D1015" s="76" t="s">
        <v>1177</v>
      </c>
      <c r="E1015" s="51" t="s">
        <v>676</v>
      </c>
      <c r="F1015" s="51" t="s">
        <v>1177</v>
      </c>
      <c r="G1015" s="76" t="s">
        <v>169</v>
      </c>
      <c r="H1015" s="76" t="s">
        <v>656</v>
      </c>
      <c r="I1015" s="51"/>
      <c r="J1015" s="52" t="s">
        <v>708</v>
      </c>
      <c r="K1015" s="117">
        <f>ROUND(Tableau15[[#This Row],[LEN]]*7.27,0)</f>
        <v>124</v>
      </c>
      <c r="L1015" s="117">
        <v>15</v>
      </c>
      <c r="M1015" s="134" t="str">
        <f t="shared" si="7"/>
        <v>none</v>
      </c>
      <c r="N1015" s="117">
        <f>LEN(Tableau15[[#This Row],[LABEL]])</f>
        <v>17</v>
      </c>
      <c r="O1015" s="117">
        <v>15</v>
      </c>
      <c r="P1015" s="117" t="e">
        <f>ROUND(Tableau15[[#This Row],[LEN]]*#REF!+#REF!,0)</f>
        <v>#REF!</v>
      </c>
    </row>
    <row r="1016" spans="1:16" s="97" customFormat="1" x14ac:dyDescent="0.25">
      <c r="A1016" s="49" t="s">
        <v>1799</v>
      </c>
      <c r="B1016" s="50" t="s">
        <v>316</v>
      </c>
      <c r="C1016" s="51" t="s">
        <v>1809</v>
      </c>
      <c r="D1016" s="76" t="s">
        <v>1177</v>
      </c>
      <c r="E1016" s="51" t="s">
        <v>676</v>
      </c>
      <c r="F1016" s="51" t="s">
        <v>1177</v>
      </c>
      <c r="G1016" s="76" t="s">
        <v>169</v>
      </c>
      <c r="H1016" s="76" t="s">
        <v>656</v>
      </c>
      <c r="I1016" s="51"/>
      <c r="J1016" s="52" t="s">
        <v>708</v>
      </c>
      <c r="K1016" s="117">
        <f>ROUND(Tableau15[[#This Row],[LEN]]*7.27,0)</f>
        <v>189</v>
      </c>
      <c r="L1016" s="117">
        <v>15</v>
      </c>
      <c r="M1016" s="134" t="str">
        <f t="shared" si="7"/>
        <v>none</v>
      </c>
      <c r="N1016" s="117">
        <f>LEN(Tableau15[[#This Row],[LABEL]])</f>
        <v>26</v>
      </c>
      <c r="O1016" s="117">
        <v>15</v>
      </c>
      <c r="P1016" s="117" t="e">
        <f>ROUND(Tableau15[[#This Row],[LEN]]*#REF!+#REF!,0)</f>
        <v>#REF!</v>
      </c>
    </row>
    <row r="1017" spans="1:16" s="97" customFormat="1" x14ac:dyDescent="0.25">
      <c r="A1017" s="49" t="s">
        <v>1800</v>
      </c>
      <c r="B1017" s="50" t="s">
        <v>316</v>
      </c>
      <c r="C1017" s="51" t="s">
        <v>549</v>
      </c>
      <c r="D1017" s="76" t="s">
        <v>1177</v>
      </c>
      <c r="E1017" s="51" t="s">
        <v>673</v>
      </c>
      <c r="F1017" s="51" t="s">
        <v>1704</v>
      </c>
      <c r="G1017" s="76" t="s">
        <v>169</v>
      </c>
      <c r="H1017" s="76" t="s">
        <v>655</v>
      </c>
      <c r="I1017" s="51"/>
      <c r="J1017" s="52" t="s">
        <v>708</v>
      </c>
      <c r="K1017" s="117">
        <f>ROUND(Tableau15[[#This Row],[LEN]]*7.27,0)</f>
        <v>145</v>
      </c>
      <c r="L1017" s="117">
        <v>15</v>
      </c>
      <c r="M1017" s="134" t="str">
        <f t="shared" si="7"/>
        <v>none</v>
      </c>
      <c r="N1017" s="117">
        <f>LEN(Tableau15[[#This Row],[LABEL]])</f>
        <v>20</v>
      </c>
      <c r="O1017" s="117">
        <v>15</v>
      </c>
      <c r="P1017" s="117" t="e">
        <f>ROUND(Tableau15[[#This Row],[LEN]]*#REF!+#REF!,0)</f>
        <v>#REF!</v>
      </c>
    </row>
    <row r="1018" spans="1:16" s="97" customFormat="1" x14ac:dyDescent="0.25">
      <c r="A1018" s="53" t="s">
        <v>1804</v>
      </c>
      <c r="B1018" s="54" t="s">
        <v>1800</v>
      </c>
      <c r="C1018" s="55" t="s">
        <v>590</v>
      </c>
      <c r="D1018" s="77" t="s">
        <v>1177</v>
      </c>
      <c r="E1018" s="55" t="s">
        <v>673</v>
      </c>
      <c r="F1018" s="55" t="s">
        <v>1704</v>
      </c>
      <c r="G1018" s="77" t="s">
        <v>169</v>
      </c>
      <c r="H1018" s="77" t="s">
        <v>570</v>
      </c>
      <c r="I1018" s="55"/>
      <c r="J1018" s="56" t="s">
        <v>708</v>
      </c>
      <c r="K1018" s="118">
        <f>ROUND(Tableau15[[#This Row],[LEN]]*7.27,0)</f>
        <v>102</v>
      </c>
      <c r="L1018" s="118">
        <v>15</v>
      </c>
      <c r="M1018" s="135" t="str">
        <f t="shared" si="7"/>
        <v>none</v>
      </c>
      <c r="N1018" s="118">
        <f>LEN(Tableau15[[#This Row],[LABEL]])</f>
        <v>14</v>
      </c>
      <c r="O1018" s="118">
        <v>15</v>
      </c>
      <c r="P1018" s="118" t="e">
        <f>ROUND(Tableau15[[#This Row],[LEN]]*#REF!+#REF!,0)</f>
        <v>#REF!</v>
      </c>
    </row>
    <row r="1019" spans="1:16" s="97" customFormat="1" x14ac:dyDescent="0.25">
      <c r="A1019" s="53" t="s">
        <v>1805</v>
      </c>
      <c r="B1019" s="54" t="s">
        <v>1800</v>
      </c>
      <c r="C1019" s="55" t="s">
        <v>591</v>
      </c>
      <c r="D1019" s="77" t="s">
        <v>1177</v>
      </c>
      <c r="E1019" s="55" t="s">
        <v>673</v>
      </c>
      <c r="F1019" s="55" t="s">
        <v>1704</v>
      </c>
      <c r="G1019" s="77" t="s">
        <v>169</v>
      </c>
      <c r="H1019" s="77" t="s">
        <v>570</v>
      </c>
      <c r="I1019" s="55"/>
      <c r="J1019" s="56" t="s">
        <v>708</v>
      </c>
      <c r="K1019" s="118">
        <f>ROUND(Tableau15[[#This Row],[LEN]]*7.27,0)</f>
        <v>262</v>
      </c>
      <c r="L1019" s="118">
        <v>15</v>
      </c>
      <c r="M1019" s="135" t="str">
        <f t="shared" si="7"/>
        <v>none</v>
      </c>
      <c r="N1019" s="118">
        <f>LEN(Tableau15[[#This Row],[LABEL]])</f>
        <v>36</v>
      </c>
      <c r="O1019" s="118">
        <v>15</v>
      </c>
      <c r="P1019" s="118" t="e">
        <f>ROUND(Tableau15[[#This Row],[LEN]]*#REF!+#REF!,0)</f>
        <v>#REF!</v>
      </c>
    </row>
    <row r="1020" spans="1:16" s="97" customFormat="1" x14ac:dyDescent="0.25">
      <c r="A1020" s="53" t="s">
        <v>1806</v>
      </c>
      <c r="B1020" s="54" t="s">
        <v>1800</v>
      </c>
      <c r="C1020" s="55" t="s">
        <v>592</v>
      </c>
      <c r="D1020" s="77" t="s">
        <v>1177</v>
      </c>
      <c r="E1020" s="55" t="s">
        <v>673</v>
      </c>
      <c r="F1020" s="55" t="s">
        <v>1704</v>
      </c>
      <c r="G1020" s="77" t="s">
        <v>169</v>
      </c>
      <c r="H1020" s="77" t="s">
        <v>570</v>
      </c>
      <c r="I1020" s="55"/>
      <c r="J1020" s="56" t="s">
        <v>708</v>
      </c>
      <c r="K1020" s="118">
        <f>ROUND(Tableau15[[#This Row],[LEN]]*7.27,0)</f>
        <v>189</v>
      </c>
      <c r="L1020" s="118">
        <v>15</v>
      </c>
      <c r="M1020" s="135" t="str">
        <f t="shared" si="7"/>
        <v>none</v>
      </c>
      <c r="N1020" s="118">
        <f>LEN(Tableau15[[#This Row],[LABEL]])</f>
        <v>26</v>
      </c>
      <c r="O1020" s="118">
        <v>15</v>
      </c>
      <c r="P1020" s="118" t="e">
        <f>ROUND(Tableau15[[#This Row],[LEN]]*#REF!+#REF!,0)</f>
        <v>#REF!</v>
      </c>
    </row>
    <row r="1021" spans="1:16" s="97" customFormat="1" x14ac:dyDescent="0.25">
      <c r="A1021" s="53" t="s">
        <v>1807</v>
      </c>
      <c r="B1021" s="54" t="s">
        <v>1800</v>
      </c>
      <c r="C1021" s="55" t="s">
        <v>597</v>
      </c>
      <c r="D1021" s="77" t="s">
        <v>1177</v>
      </c>
      <c r="E1021" s="55" t="s">
        <v>673</v>
      </c>
      <c r="F1021" s="55" t="s">
        <v>1704</v>
      </c>
      <c r="G1021" s="77" t="s">
        <v>169</v>
      </c>
      <c r="H1021" s="77" t="s">
        <v>570</v>
      </c>
      <c r="I1021" s="55"/>
      <c r="J1021" s="56" t="s">
        <v>708</v>
      </c>
      <c r="K1021" s="118">
        <f>ROUND(Tableau15[[#This Row],[LEN]]*7.27,0)</f>
        <v>465</v>
      </c>
      <c r="L1021" s="118">
        <v>15</v>
      </c>
      <c r="M1021" s="135" t="str">
        <f t="shared" si="7"/>
        <v>none</v>
      </c>
      <c r="N1021" s="118">
        <f>LEN(Tableau15[[#This Row],[LABEL]])</f>
        <v>64</v>
      </c>
      <c r="O1021" s="118">
        <v>15</v>
      </c>
      <c r="P1021" s="118" t="e">
        <f>ROUND(Tableau15[[#This Row],[LEN]]*#REF!+#REF!,0)</f>
        <v>#REF!</v>
      </c>
    </row>
    <row r="1022" spans="1:16" s="97" customFormat="1" x14ac:dyDescent="0.25">
      <c r="A1022" s="49" t="s">
        <v>1801</v>
      </c>
      <c r="B1022" s="50" t="s">
        <v>316</v>
      </c>
      <c r="C1022" s="51" t="s">
        <v>598</v>
      </c>
      <c r="D1022" s="76" t="s">
        <v>1177</v>
      </c>
      <c r="E1022" s="51" t="s">
        <v>673</v>
      </c>
      <c r="F1022" s="51" t="s">
        <v>2035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ROUND(Tableau15[[#This Row],[LEN]]*7.27,0)</f>
        <v>553</v>
      </c>
      <c r="L1022" s="117">
        <v>15</v>
      </c>
      <c r="M1022" s="134" t="str">
        <f t="shared" si="7"/>
        <v>none</v>
      </c>
      <c r="N1022" s="117">
        <f>LEN(Tableau15[[#This Row],[LABEL]])</f>
        <v>76</v>
      </c>
      <c r="O1022" s="117">
        <v>15</v>
      </c>
      <c r="P1022" s="117" t="e">
        <f>ROUND(Tableau15[[#This Row],[LEN]]*#REF!+#REF!,0)</f>
        <v>#REF!</v>
      </c>
    </row>
    <row r="1023" spans="1:16" s="273" customFormat="1" x14ac:dyDescent="0.25">
      <c r="A1023" s="351" t="s">
        <v>317</v>
      </c>
      <c r="B1023" s="352" t="s">
        <v>209</v>
      </c>
      <c r="C1023" s="353" t="s">
        <v>13</v>
      </c>
      <c r="D1023" s="354" t="s">
        <v>1177</v>
      </c>
      <c r="E1023" s="353" t="s">
        <v>677</v>
      </c>
      <c r="F1023" s="353" t="s">
        <v>1177</v>
      </c>
      <c r="G1023" s="354" t="s">
        <v>169</v>
      </c>
      <c r="H1023" s="354" t="str">
        <f>IFERROR(IF(SEARCH(".00.00.00.00.00",Tableau15[[#This Row],[name]],1)=7,"Division",""),"")</f>
        <v>Division</v>
      </c>
      <c r="I1023" s="353"/>
      <c r="J1023" s="355" t="s">
        <v>708</v>
      </c>
      <c r="K1023" s="356">
        <f>ROUND(Tableau15[[#This Row],[LEN]]*7.27,0)</f>
        <v>80</v>
      </c>
      <c r="L1023" s="356">
        <v>15</v>
      </c>
      <c r="M1023" s="357" t="str">
        <f t="shared" si="7"/>
        <v>none</v>
      </c>
      <c r="N1023" s="356">
        <f>LEN(Tableau15[[#This Row],[LABEL]])</f>
        <v>11</v>
      </c>
      <c r="O1023" s="356">
        <v>15</v>
      </c>
      <c r="P1023" s="356" t="e">
        <f>ROUND(Tableau15[[#This Row],[LEN]]*#REF!+#REF!,0)</f>
        <v>#REF!</v>
      </c>
    </row>
    <row r="1024" spans="1:16" s="97" customFormat="1" x14ac:dyDescent="0.25">
      <c r="A1024" s="49" t="s">
        <v>1811</v>
      </c>
      <c r="B1024" s="50" t="s">
        <v>317</v>
      </c>
      <c r="C1024" s="51" t="s">
        <v>129</v>
      </c>
      <c r="D1024" s="76" t="s">
        <v>1177</v>
      </c>
      <c r="E1024" s="51" t="s">
        <v>673</v>
      </c>
      <c r="F1024" s="51" t="s">
        <v>2035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ROUND(Tableau15[[#This Row],[LEN]]*7.27,0)</f>
        <v>87</v>
      </c>
      <c r="L1024" s="117">
        <v>15</v>
      </c>
      <c r="M1024" s="134" t="str">
        <f t="shared" si="7"/>
        <v>none</v>
      </c>
      <c r="N1024" s="117">
        <f>LEN(Tableau15[[#This Row],[LABEL]])</f>
        <v>12</v>
      </c>
      <c r="O1024" s="117">
        <v>15</v>
      </c>
      <c r="P1024" s="117" t="e">
        <f>ROUND(Tableau15[[#This Row],[LEN]]*#REF!+#REF!,0)</f>
        <v>#REF!</v>
      </c>
    </row>
    <row r="1025" spans="1:16" s="97" customFormat="1" x14ac:dyDescent="0.25">
      <c r="A1025" s="53" t="s">
        <v>1818</v>
      </c>
      <c r="B1025" s="54" t="s">
        <v>1811</v>
      </c>
      <c r="C1025" s="55" t="s">
        <v>131</v>
      </c>
      <c r="D1025" s="77" t="s">
        <v>1177</v>
      </c>
      <c r="E1025" s="55" t="s">
        <v>673</v>
      </c>
      <c r="F1025" s="55" t="s">
        <v>2035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ROUND(Tableau15[[#This Row],[LEN]]*7.27,0)</f>
        <v>262</v>
      </c>
      <c r="L1025" s="118">
        <v>15</v>
      </c>
      <c r="M1025" s="135" t="str">
        <f t="shared" si="7"/>
        <v>none</v>
      </c>
      <c r="N1025" s="118">
        <f>LEN(Tableau15[[#This Row],[LABEL]])</f>
        <v>36</v>
      </c>
      <c r="O1025" s="118">
        <v>15</v>
      </c>
      <c r="P1025" s="118" t="e">
        <f>ROUND(Tableau15[[#This Row],[LEN]]*#REF!+#REF!,0)</f>
        <v>#REF!</v>
      </c>
    </row>
    <row r="1026" spans="1:16" s="97" customFormat="1" x14ac:dyDescent="0.25">
      <c r="A1026" s="53" t="s">
        <v>1819</v>
      </c>
      <c r="B1026" s="54" t="s">
        <v>1811</v>
      </c>
      <c r="C1026" s="55" t="s">
        <v>132</v>
      </c>
      <c r="D1026" s="77" t="s">
        <v>1177</v>
      </c>
      <c r="E1026" s="55" t="s">
        <v>673</v>
      </c>
      <c r="F1026" s="55" t="s">
        <v>2035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ROUND(Tableau15[[#This Row],[LEN]]*7.27,0)</f>
        <v>298</v>
      </c>
      <c r="L1026" s="118">
        <v>15</v>
      </c>
      <c r="M1026" s="135" t="str">
        <f t="shared" si="7"/>
        <v>none</v>
      </c>
      <c r="N1026" s="118">
        <f>LEN(Tableau15[[#This Row],[LABEL]])</f>
        <v>41</v>
      </c>
      <c r="O1026" s="118">
        <v>15</v>
      </c>
      <c r="P1026" s="118" t="e">
        <f>ROUND(Tableau15[[#This Row],[LEN]]*#REF!+#REF!,0)</f>
        <v>#REF!</v>
      </c>
    </row>
    <row r="1027" spans="1:16" s="97" customFormat="1" x14ac:dyDescent="0.25">
      <c r="A1027" s="49" t="s">
        <v>1812</v>
      </c>
      <c r="B1027" s="50" t="s">
        <v>317</v>
      </c>
      <c r="C1027" s="51" t="s">
        <v>1825</v>
      </c>
      <c r="D1027" s="76" t="s">
        <v>1177</v>
      </c>
      <c r="E1027" s="51" t="s">
        <v>677</v>
      </c>
      <c r="F1027" s="51" t="s">
        <v>1847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ROUND(Tableau15[[#This Row],[LEN]]*7.27,0)</f>
        <v>320</v>
      </c>
      <c r="L1027" s="117">
        <v>15</v>
      </c>
      <c r="M1027" s="134" t="str">
        <f t="shared" si="7"/>
        <v>none</v>
      </c>
      <c r="N1027" s="117">
        <f>LEN(Tableau15[[#This Row],[LABEL]])</f>
        <v>44</v>
      </c>
      <c r="O1027" s="117">
        <v>15</v>
      </c>
      <c r="P1027" s="117" t="e">
        <f>ROUND(Tableau15[[#This Row],[LEN]]*#REF!+#REF!,0)</f>
        <v>#REF!</v>
      </c>
    </row>
    <row r="1028" spans="1:16" s="97" customFormat="1" x14ac:dyDescent="0.25">
      <c r="A1028" s="49" t="s">
        <v>1813</v>
      </c>
      <c r="B1028" s="50" t="s">
        <v>317</v>
      </c>
      <c r="C1028" s="51" t="s">
        <v>1826</v>
      </c>
      <c r="D1028" s="76" t="s">
        <v>1177</v>
      </c>
      <c r="E1028" s="51" t="s">
        <v>677</v>
      </c>
      <c r="F1028" s="51" t="s">
        <v>1177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ROUND(Tableau15[[#This Row],[LEN]]*7.27,0)</f>
        <v>320</v>
      </c>
      <c r="L1028" s="117">
        <v>15</v>
      </c>
      <c r="M1028" s="134" t="str">
        <f t="shared" si="7"/>
        <v>none</v>
      </c>
      <c r="N1028" s="117">
        <f>LEN(Tableau15[[#This Row],[LABEL]])</f>
        <v>44</v>
      </c>
      <c r="O1028" s="117">
        <v>15</v>
      </c>
      <c r="P1028" s="117" t="e">
        <f>ROUND(Tableau15[[#This Row],[LEN]]*#REF!+#REF!,0)</f>
        <v>#REF!</v>
      </c>
    </row>
    <row r="1029" spans="1:16" s="97" customFormat="1" x14ac:dyDescent="0.25">
      <c r="A1029" s="49" t="s">
        <v>1814</v>
      </c>
      <c r="B1029" s="50" t="s">
        <v>317</v>
      </c>
      <c r="C1029" s="51" t="s">
        <v>1827</v>
      </c>
      <c r="D1029" s="76" t="s">
        <v>1177</v>
      </c>
      <c r="E1029" s="51" t="s">
        <v>677</v>
      </c>
      <c r="F1029" s="51" t="s">
        <v>1177</v>
      </c>
      <c r="G1029" s="76" t="s">
        <v>169</v>
      </c>
      <c r="H1029" s="76" t="s">
        <v>656</v>
      </c>
      <c r="I1029" s="51"/>
      <c r="J1029" s="52" t="s">
        <v>708</v>
      </c>
      <c r="K1029" s="117">
        <f>ROUND(Tableau15[[#This Row],[LEN]]*7.27,0)</f>
        <v>145</v>
      </c>
      <c r="L1029" s="117">
        <v>15</v>
      </c>
      <c r="M1029" s="134" t="str">
        <f t="shared" si="7"/>
        <v>none</v>
      </c>
      <c r="N1029" s="117">
        <f>LEN(Tableau15[[#This Row],[LABEL]])</f>
        <v>20</v>
      </c>
      <c r="O1029" s="117">
        <v>15</v>
      </c>
      <c r="P1029" s="117" t="e">
        <f>ROUND(Tableau15[[#This Row],[LEN]]*#REF!+#REF!,0)</f>
        <v>#REF!</v>
      </c>
    </row>
    <row r="1030" spans="1:16" s="97" customFormat="1" x14ac:dyDescent="0.25">
      <c r="A1030" s="49" t="s">
        <v>1815</v>
      </c>
      <c r="B1030" s="50" t="s">
        <v>317</v>
      </c>
      <c r="C1030" s="51" t="s">
        <v>549</v>
      </c>
      <c r="D1030" s="76" t="s">
        <v>1177</v>
      </c>
      <c r="E1030" s="51" t="s">
        <v>673</v>
      </c>
      <c r="F1030" s="51" t="s">
        <v>1704</v>
      </c>
      <c r="G1030" s="76" t="s">
        <v>169</v>
      </c>
      <c r="H1030" s="76" t="s">
        <v>655</v>
      </c>
      <c r="I1030" s="51"/>
      <c r="J1030" s="52" t="s">
        <v>708</v>
      </c>
      <c r="K1030" s="117">
        <f>ROUND(Tableau15[[#This Row],[LEN]]*7.27,0)</f>
        <v>145</v>
      </c>
      <c r="L1030" s="117">
        <v>15</v>
      </c>
      <c r="M1030" s="134" t="str">
        <f t="shared" si="7"/>
        <v>none</v>
      </c>
      <c r="N1030" s="117">
        <f>LEN(Tableau15[[#This Row],[LABEL]])</f>
        <v>20</v>
      </c>
      <c r="O1030" s="117">
        <v>15</v>
      </c>
      <c r="P1030" s="117" t="e">
        <f>ROUND(Tableau15[[#This Row],[LEN]]*#REF!+#REF!,0)</f>
        <v>#REF!</v>
      </c>
    </row>
    <row r="1031" spans="1:16" s="97" customFormat="1" x14ac:dyDescent="0.25">
      <c r="A1031" s="53" t="s">
        <v>1820</v>
      </c>
      <c r="B1031" s="54" t="s">
        <v>1815</v>
      </c>
      <c r="C1031" s="55" t="s">
        <v>590</v>
      </c>
      <c r="D1031" s="77" t="s">
        <v>1177</v>
      </c>
      <c r="E1031" s="55" t="s">
        <v>673</v>
      </c>
      <c r="F1031" s="55" t="s">
        <v>1704</v>
      </c>
      <c r="G1031" s="77" t="s">
        <v>169</v>
      </c>
      <c r="H1031" s="77" t="s">
        <v>570</v>
      </c>
      <c r="I1031" s="55"/>
      <c r="J1031" s="56" t="s">
        <v>708</v>
      </c>
      <c r="K1031" s="118">
        <f>ROUND(Tableau15[[#This Row],[LEN]]*7.27,0)</f>
        <v>102</v>
      </c>
      <c r="L1031" s="118">
        <v>15</v>
      </c>
      <c r="M1031" s="135" t="str">
        <f t="shared" si="7"/>
        <v>none</v>
      </c>
      <c r="N1031" s="118">
        <f>LEN(Tableau15[[#This Row],[LABEL]])</f>
        <v>14</v>
      </c>
      <c r="O1031" s="118">
        <v>15</v>
      </c>
      <c r="P1031" s="118" t="e">
        <f>ROUND(Tableau15[[#This Row],[LEN]]*#REF!+#REF!,0)</f>
        <v>#REF!</v>
      </c>
    </row>
    <row r="1032" spans="1:16" s="97" customFormat="1" x14ac:dyDescent="0.25">
      <c r="A1032" s="53" t="s">
        <v>1821</v>
      </c>
      <c r="B1032" s="54" t="s">
        <v>1815</v>
      </c>
      <c r="C1032" s="55" t="s">
        <v>591</v>
      </c>
      <c r="D1032" s="77" t="s">
        <v>1177</v>
      </c>
      <c r="E1032" s="55" t="s">
        <v>673</v>
      </c>
      <c r="F1032" s="55" t="s">
        <v>1704</v>
      </c>
      <c r="G1032" s="77" t="s">
        <v>169</v>
      </c>
      <c r="H1032" s="77" t="s">
        <v>570</v>
      </c>
      <c r="I1032" s="55"/>
      <c r="J1032" s="56" t="s">
        <v>708</v>
      </c>
      <c r="K1032" s="118">
        <f>ROUND(Tableau15[[#This Row],[LEN]]*7.27,0)</f>
        <v>262</v>
      </c>
      <c r="L1032" s="118">
        <v>15</v>
      </c>
      <c r="M1032" s="135" t="str">
        <f t="shared" si="7"/>
        <v>none</v>
      </c>
      <c r="N1032" s="118">
        <f>LEN(Tableau15[[#This Row],[LABEL]])</f>
        <v>36</v>
      </c>
      <c r="O1032" s="118">
        <v>15</v>
      </c>
      <c r="P1032" s="118" t="e">
        <f>ROUND(Tableau15[[#This Row],[LEN]]*#REF!+#REF!,0)</f>
        <v>#REF!</v>
      </c>
    </row>
    <row r="1033" spans="1:16" s="97" customFormat="1" x14ac:dyDescent="0.25">
      <c r="A1033" s="53" t="s">
        <v>1822</v>
      </c>
      <c r="B1033" s="54" t="s">
        <v>1815</v>
      </c>
      <c r="C1033" s="55" t="s">
        <v>592</v>
      </c>
      <c r="D1033" s="77" t="s">
        <v>1177</v>
      </c>
      <c r="E1033" s="55" t="s">
        <v>673</v>
      </c>
      <c r="F1033" s="55" t="s">
        <v>1704</v>
      </c>
      <c r="G1033" s="77" t="s">
        <v>169</v>
      </c>
      <c r="H1033" s="77" t="s">
        <v>570</v>
      </c>
      <c r="I1033" s="55"/>
      <c r="J1033" s="56" t="s">
        <v>708</v>
      </c>
      <c r="K1033" s="118">
        <f>ROUND(Tableau15[[#This Row],[LEN]]*7.27,0)</f>
        <v>189</v>
      </c>
      <c r="L1033" s="118">
        <v>15</v>
      </c>
      <c r="M1033" s="135" t="str">
        <f t="shared" si="7"/>
        <v>none</v>
      </c>
      <c r="N1033" s="118">
        <f>LEN(Tableau15[[#This Row],[LABEL]])</f>
        <v>26</v>
      </c>
      <c r="O1033" s="118">
        <v>15</v>
      </c>
      <c r="P1033" s="118" t="e">
        <f>ROUND(Tableau15[[#This Row],[LEN]]*#REF!+#REF!,0)</f>
        <v>#REF!</v>
      </c>
    </row>
    <row r="1034" spans="1:16" s="97" customFormat="1" x14ac:dyDescent="0.25">
      <c r="A1034" s="53" t="s">
        <v>1823</v>
      </c>
      <c r="B1034" s="54" t="s">
        <v>1815</v>
      </c>
      <c r="C1034" s="55" t="s">
        <v>597</v>
      </c>
      <c r="D1034" s="77" t="s">
        <v>1177</v>
      </c>
      <c r="E1034" s="55" t="s">
        <v>673</v>
      </c>
      <c r="F1034" s="55" t="s">
        <v>1704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ROUND(Tableau15[[#This Row],[LEN]]*7.27,0)</f>
        <v>465</v>
      </c>
      <c r="L1034" s="118">
        <v>15</v>
      </c>
      <c r="M1034" s="135" t="str">
        <f t="shared" si="7"/>
        <v>none</v>
      </c>
      <c r="N1034" s="118">
        <f>LEN(Tableau15[[#This Row],[LABEL]])</f>
        <v>64</v>
      </c>
      <c r="O1034" s="118">
        <v>15</v>
      </c>
      <c r="P1034" s="118" t="e">
        <f>ROUND(Tableau15[[#This Row],[LEN]]*#REF!+#REF!,0)</f>
        <v>#REF!</v>
      </c>
    </row>
    <row r="1035" spans="1:16" s="97" customFormat="1" x14ac:dyDescent="0.25">
      <c r="A1035" s="49" t="s">
        <v>1816</v>
      </c>
      <c r="B1035" s="50" t="s">
        <v>317</v>
      </c>
      <c r="C1035" s="51" t="s">
        <v>1824</v>
      </c>
      <c r="D1035" s="76" t="s">
        <v>1177</v>
      </c>
      <c r="E1035" s="51" t="s">
        <v>677</v>
      </c>
      <c r="F1035" s="51" t="s">
        <v>1842</v>
      </c>
      <c r="G1035" s="76" t="s">
        <v>169</v>
      </c>
      <c r="H1035" s="76" t="s">
        <v>570</v>
      </c>
      <c r="I1035" s="51"/>
      <c r="J1035" s="52" t="s">
        <v>708</v>
      </c>
      <c r="K1035" s="117">
        <f>ROUND(Tableau15[[#This Row],[LEN]]*7.27,0)</f>
        <v>95</v>
      </c>
      <c r="L1035" s="117">
        <v>15</v>
      </c>
      <c r="M1035" s="134" t="str">
        <f t="shared" si="7"/>
        <v>none</v>
      </c>
      <c r="N1035" s="117">
        <f>LEN(Tableau15[[#This Row],[LABEL]])</f>
        <v>13</v>
      </c>
      <c r="O1035" s="117">
        <v>15</v>
      </c>
      <c r="P1035" s="117" t="e">
        <f>ROUND(Tableau15[[#This Row],[LEN]]*#REF!+#REF!,0)</f>
        <v>#REF!</v>
      </c>
    </row>
    <row r="1036" spans="1:16" s="97" customFormat="1" x14ac:dyDescent="0.25">
      <c r="A1036" s="49" t="s">
        <v>1817</v>
      </c>
      <c r="B1036" s="50" t="s">
        <v>317</v>
      </c>
      <c r="C1036" s="51" t="s">
        <v>598</v>
      </c>
      <c r="D1036" s="76" t="s">
        <v>1177</v>
      </c>
      <c r="E1036" s="51" t="s">
        <v>673</v>
      </c>
      <c r="F1036" s="51" t="s">
        <v>2035</v>
      </c>
      <c r="G1036" s="76" t="s">
        <v>169</v>
      </c>
      <c r="H1036" s="76" t="s">
        <v>654</v>
      </c>
      <c r="I1036" s="51"/>
      <c r="J1036" s="52" t="s">
        <v>708</v>
      </c>
      <c r="K1036" s="117">
        <f>ROUND(Tableau15[[#This Row],[LEN]]*7.27,0)</f>
        <v>553</v>
      </c>
      <c r="L1036" s="117">
        <v>15</v>
      </c>
      <c r="M1036" s="134" t="str">
        <f t="shared" si="7"/>
        <v>none</v>
      </c>
      <c r="N1036" s="117">
        <f>LEN(Tableau15[[#This Row],[LABEL]])</f>
        <v>76</v>
      </c>
      <c r="O1036" s="117">
        <v>15</v>
      </c>
      <c r="P1036" s="117" t="e">
        <f>ROUND(Tableau15[[#This Row],[LEN]]*#REF!+#REF!,0)</f>
        <v>#REF!</v>
      </c>
    </row>
    <row r="1037" spans="1:16" s="273" customFormat="1" x14ac:dyDescent="0.25">
      <c r="A1037" s="351" t="s">
        <v>318</v>
      </c>
      <c r="B1037" s="352" t="s">
        <v>209</v>
      </c>
      <c r="C1037" s="353" t="s">
        <v>14</v>
      </c>
      <c r="D1037" s="354" t="s">
        <v>1177</v>
      </c>
      <c r="E1037" s="353" t="s">
        <v>678</v>
      </c>
      <c r="F1037" s="353" t="s">
        <v>1177</v>
      </c>
      <c r="G1037" s="354" t="s">
        <v>169</v>
      </c>
      <c r="H1037" s="354" t="str">
        <f>IFERROR(IF(SEARCH(".00.00.00.00.00",Tableau15[[#This Row],[name]],1)=7,"Division",""),"")</f>
        <v>Division</v>
      </c>
      <c r="I1037" s="353"/>
      <c r="J1037" s="355" t="s">
        <v>724</v>
      </c>
      <c r="K1037" s="356">
        <f>ROUND(Tableau15[[#This Row],[LEN]]*7.27,0)</f>
        <v>240</v>
      </c>
      <c r="L1037" s="356">
        <v>15</v>
      </c>
      <c r="M1037" s="357" t="str">
        <f t="shared" si="7"/>
        <v>new</v>
      </c>
      <c r="N1037" s="356">
        <f>LEN(Tableau15[[#This Row],[LABEL]])</f>
        <v>33</v>
      </c>
      <c r="O1037" s="356">
        <v>15</v>
      </c>
      <c r="P1037" s="356" t="e">
        <f>ROUND(Tableau15[[#This Row],[LEN]]*#REF!+#REF!,0)</f>
        <v>#REF!</v>
      </c>
    </row>
    <row r="1038" spans="1:16" s="97" customFormat="1" x14ac:dyDescent="0.25">
      <c r="A1038" s="49" t="s">
        <v>1828</v>
      </c>
      <c r="B1038" s="50" t="s">
        <v>318</v>
      </c>
      <c r="C1038" s="51" t="s">
        <v>1848</v>
      </c>
      <c r="D1038" s="76" t="s">
        <v>1177</v>
      </c>
      <c r="E1038" s="51" t="s">
        <v>678</v>
      </c>
      <c r="F1038" s="51" t="s">
        <v>1177</v>
      </c>
      <c r="G1038" s="76" t="s">
        <v>169</v>
      </c>
      <c r="H1038" s="76" t="s">
        <v>654</v>
      </c>
      <c r="I1038" s="51"/>
      <c r="J1038" s="52" t="s">
        <v>708</v>
      </c>
      <c r="K1038" s="117">
        <f>ROUND(Tableau15[[#This Row],[LEN]]*7.27,0)</f>
        <v>364</v>
      </c>
      <c r="L1038" s="117">
        <v>15</v>
      </c>
      <c r="M1038" s="134" t="str">
        <f t="shared" si="7"/>
        <v>none</v>
      </c>
      <c r="N1038" s="117">
        <f>LEN(Tableau15[[#This Row],[LABEL]])</f>
        <v>50</v>
      </c>
      <c r="O1038" s="117">
        <v>15</v>
      </c>
      <c r="P1038" s="117" t="e">
        <f>ROUND(Tableau15[[#This Row],[LEN]]*#REF!+#REF!,0)</f>
        <v>#REF!</v>
      </c>
    </row>
    <row r="1039" spans="1:16" s="97" customFormat="1" x14ac:dyDescent="0.25">
      <c r="A1039" s="49" t="s">
        <v>1829</v>
      </c>
      <c r="B1039" s="50" t="s">
        <v>318</v>
      </c>
      <c r="C1039" s="51" t="s">
        <v>1849</v>
      </c>
      <c r="D1039" s="76" t="s">
        <v>1177</v>
      </c>
      <c r="E1039" s="51" t="s">
        <v>678</v>
      </c>
      <c r="F1039" s="51" t="s">
        <v>1177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ROUND(Tableau15[[#This Row],[LEN]]*7.27,0)</f>
        <v>269</v>
      </c>
      <c r="L1039" s="117">
        <v>15</v>
      </c>
      <c r="M1039" s="134" t="str">
        <f t="shared" si="7"/>
        <v>none</v>
      </c>
      <c r="N1039" s="117">
        <f>LEN(Tableau15[[#This Row],[LABEL]])</f>
        <v>37</v>
      </c>
      <c r="O1039" s="117">
        <v>15</v>
      </c>
      <c r="P1039" s="117" t="e">
        <f>ROUND(Tableau15[[#This Row],[LEN]]*#REF!+#REF!,0)</f>
        <v>#REF!</v>
      </c>
    </row>
    <row r="1040" spans="1:16" s="97" customFormat="1" x14ac:dyDescent="0.25">
      <c r="A1040" s="49" t="s">
        <v>1830</v>
      </c>
      <c r="B1040" s="50" t="s">
        <v>318</v>
      </c>
      <c r="C1040" s="51" t="s">
        <v>1850</v>
      </c>
      <c r="D1040" s="76" t="s">
        <v>1177</v>
      </c>
      <c r="E1040" s="51" t="s">
        <v>678</v>
      </c>
      <c r="F1040" s="51" t="s">
        <v>1177</v>
      </c>
      <c r="G1040" s="76" t="s">
        <v>169</v>
      </c>
      <c r="H1040" s="76" t="s">
        <v>654</v>
      </c>
      <c r="I1040" s="51"/>
      <c r="J1040" s="52" t="s">
        <v>708</v>
      </c>
      <c r="K1040" s="117">
        <f>ROUND(Tableau15[[#This Row],[LEN]]*7.27,0)</f>
        <v>305</v>
      </c>
      <c r="L1040" s="117">
        <v>15</v>
      </c>
      <c r="M1040" s="134" t="str">
        <f t="shared" si="7"/>
        <v>none</v>
      </c>
      <c r="N1040" s="117">
        <f>LEN(Tableau15[[#This Row],[LABEL]])</f>
        <v>42</v>
      </c>
      <c r="O1040" s="117">
        <v>15</v>
      </c>
      <c r="P1040" s="117" t="e">
        <f>ROUND(Tableau15[[#This Row],[LEN]]*#REF!+#REF!,0)</f>
        <v>#REF!</v>
      </c>
    </row>
    <row r="1041" spans="1:16" s="97" customFormat="1" x14ac:dyDescent="0.25">
      <c r="A1041" s="49" t="s">
        <v>1831</v>
      </c>
      <c r="B1041" s="50" t="s">
        <v>318</v>
      </c>
      <c r="C1041" s="51" t="s">
        <v>128</v>
      </c>
      <c r="D1041" s="76" t="s">
        <v>1177</v>
      </c>
      <c r="E1041" s="51" t="s">
        <v>669</v>
      </c>
      <c r="F1041" s="51" t="s">
        <v>2029</v>
      </c>
      <c r="G1041" s="76" t="s">
        <v>169</v>
      </c>
      <c r="H1041" s="76" t="s">
        <v>570</v>
      </c>
      <c r="I1041" s="51"/>
      <c r="J1041" s="52" t="s">
        <v>708</v>
      </c>
      <c r="K1041" s="117">
        <f>ROUND(Tableau15[[#This Row],[LEN]]*7.27,0)</f>
        <v>182</v>
      </c>
      <c r="L1041" s="117">
        <v>15</v>
      </c>
      <c r="M1041" s="134" t="str">
        <f t="shared" si="7"/>
        <v>none</v>
      </c>
      <c r="N1041" s="117">
        <f>LEN(Tableau15[[#This Row],[LABEL]])</f>
        <v>25</v>
      </c>
      <c r="O1041" s="117">
        <v>15</v>
      </c>
      <c r="P1041" s="117" t="e">
        <f>ROUND(Tableau15[[#This Row],[LEN]]*#REF!+#REF!,0)</f>
        <v>#REF!</v>
      </c>
    </row>
    <row r="1042" spans="1:16" s="97" customFormat="1" x14ac:dyDescent="0.25">
      <c r="A1042" s="49" t="s">
        <v>1832</v>
      </c>
      <c r="B1042" s="50" t="s">
        <v>318</v>
      </c>
      <c r="C1042" s="51" t="s">
        <v>129</v>
      </c>
      <c r="D1042" s="76" t="s">
        <v>1177</v>
      </c>
      <c r="E1042" s="51" t="s">
        <v>673</v>
      </c>
      <c r="F1042" s="51" t="s">
        <v>2035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ROUND(Tableau15[[#This Row],[LEN]]*7.27,0)</f>
        <v>87</v>
      </c>
      <c r="L1042" s="117">
        <v>15</v>
      </c>
      <c r="M1042" s="134" t="str">
        <f t="shared" si="7"/>
        <v>none</v>
      </c>
      <c r="N1042" s="117">
        <f>LEN(Tableau15[[#This Row],[LABEL]])</f>
        <v>12</v>
      </c>
      <c r="O1042" s="117">
        <v>15</v>
      </c>
      <c r="P1042" s="117" t="e">
        <f>ROUND(Tableau15[[#This Row],[LEN]]*#REF!+#REF!,0)</f>
        <v>#REF!</v>
      </c>
    </row>
    <row r="1043" spans="1:16" s="97" customFormat="1" x14ac:dyDescent="0.25">
      <c r="A1043" s="53" t="s">
        <v>1851</v>
      </c>
      <c r="B1043" s="54" t="s">
        <v>1832</v>
      </c>
      <c r="C1043" s="55" t="s">
        <v>131</v>
      </c>
      <c r="D1043" s="77" t="s">
        <v>1177</v>
      </c>
      <c r="E1043" s="55" t="s">
        <v>673</v>
      </c>
      <c r="F1043" s="55" t="s">
        <v>2035</v>
      </c>
      <c r="G1043" s="77" t="s">
        <v>169</v>
      </c>
      <c r="H1043" s="77" t="s">
        <v>570</v>
      </c>
      <c r="I1043" s="55"/>
      <c r="J1043" s="56" t="s">
        <v>708</v>
      </c>
      <c r="K1043" s="118">
        <f>ROUND(Tableau15[[#This Row],[LEN]]*7.27,0)</f>
        <v>262</v>
      </c>
      <c r="L1043" s="118">
        <v>15</v>
      </c>
      <c r="M1043" s="135" t="str">
        <f t="shared" si="7"/>
        <v>none</v>
      </c>
      <c r="N1043" s="118">
        <f>LEN(Tableau15[[#This Row],[LABEL]])</f>
        <v>36</v>
      </c>
      <c r="O1043" s="118">
        <v>15</v>
      </c>
      <c r="P1043" s="118" t="e">
        <f>ROUND(Tableau15[[#This Row],[LEN]]*#REF!+#REF!,0)</f>
        <v>#REF!</v>
      </c>
    </row>
    <row r="1044" spans="1:16" s="97" customFormat="1" x14ac:dyDescent="0.25">
      <c r="A1044" s="53" t="s">
        <v>1852</v>
      </c>
      <c r="B1044" s="54" t="s">
        <v>1832</v>
      </c>
      <c r="C1044" s="55" t="s">
        <v>132</v>
      </c>
      <c r="D1044" s="77" t="s">
        <v>1177</v>
      </c>
      <c r="E1044" s="55" t="s">
        <v>673</v>
      </c>
      <c r="F1044" s="55" t="s">
        <v>2035</v>
      </c>
      <c r="G1044" s="77" t="s">
        <v>169</v>
      </c>
      <c r="H1044" s="77" t="s">
        <v>570</v>
      </c>
      <c r="I1044" s="55"/>
      <c r="J1044" s="56" t="s">
        <v>708</v>
      </c>
      <c r="K1044" s="118">
        <f>ROUND(Tableau15[[#This Row],[LEN]]*7.27,0)</f>
        <v>298</v>
      </c>
      <c r="L1044" s="118">
        <v>15</v>
      </c>
      <c r="M1044" s="135" t="str">
        <f t="shared" si="7"/>
        <v>none</v>
      </c>
      <c r="N1044" s="118">
        <f>LEN(Tableau15[[#This Row],[LABEL]])</f>
        <v>41</v>
      </c>
      <c r="O1044" s="118">
        <v>15</v>
      </c>
      <c r="P1044" s="118" t="e">
        <f>ROUND(Tableau15[[#This Row],[LEN]]*#REF!+#REF!,0)</f>
        <v>#REF!</v>
      </c>
    </row>
    <row r="1045" spans="1:16" s="97" customFormat="1" x14ac:dyDescent="0.25">
      <c r="A1045" s="49" t="s">
        <v>1833</v>
      </c>
      <c r="B1045" s="50" t="s">
        <v>318</v>
      </c>
      <c r="C1045" s="51" t="s">
        <v>1825</v>
      </c>
      <c r="D1045" s="76" t="s">
        <v>1177</v>
      </c>
      <c r="E1045" s="51" t="s">
        <v>677</v>
      </c>
      <c r="F1045" s="51" t="s">
        <v>1847</v>
      </c>
      <c r="G1045" s="76" t="s">
        <v>169</v>
      </c>
      <c r="H1045" s="76" t="s">
        <v>656</v>
      </c>
      <c r="I1045" s="51"/>
      <c r="J1045" s="52" t="s">
        <v>708</v>
      </c>
      <c r="K1045" s="117">
        <f>ROUND(Tableau15[[#This Row],[LEN]]*7.27,0)</f>
        <v>320</v>
      </c>
      <c r="L1045" s="117">
        <v>15</v>
      </c>
      <c r="M1045" s="134" t="str">
        <f t="shared" si="7"/>
        <v>none</v>
      </c>
      <c r="N1045" s="117">
        <f>LEN(Tableau15[[#This Row],[LABEL]])</f>
        <v>44</v>
      </c>
      <c r="O1045" s="117">
        <v>15</v>
      </c>
      <c r="P1045" s="117" t="e">
        <f>ROUND(Tableau15[[#This Row],[LEN]]*#REF!+#REF!,0)</f>
        <v>#REF!</v>
      </c>
    </row>
    <row r="1046" spans="1:16" s="97" customFormat="1" x14ac:dyDescent="0.25">
      <c r="A1046" s="49" t="s">
        <v>1834</v>
      </c>
      <c r="B1046" s="50" t="s">
        <v>318</v>
      </c>
      <c r="C1046" s="51" t="s">
        <v>1853</v>
      </c>
      <c r="D1046" s="76" t="s">
        <v>1177</v>
      </c>
      <c r="E1046" s="51" t="s">
        <v>678</v>
      </c>
      <c r="F1046" s="51" t="s">
        <v>1177</v>
      </c>
      <c r="G1046" s="76" t="s">
        <v>169</v>
      </c>
      <c r="H1046" s="76" t="s">
        <v>656</v>
      </c>
      <c r="I1046" s="51"/>
      <c r="J1046" s="52" t="s">
        <v>708</v>
      </c>
      <c r="K1046" s="117">
        <f>ROUND(Tableau15[[#This Row],[LEN]]*7.27,0)</f>
        <v>400</v>
      </c>
      <c r="L1046" s="117">
        <v>15</v>
      </c>
      <c r="M1046" s="134" t="str">
        <f t="shared" si="7"/>
        <v>none</v>
      </c>
      <c r="N1046" s="117">
        <f>LEN(Tableau15[[#This Row],[LABEL]])</f>
        <v>55</v>
      </c>
      <c r="O1046" s="117">
        <v>15</v>
      </c>
      <c r="P1046" s="117" t="e">
        <f>ROUND(Tableau15[[#This Row],[LEN]]*#REF!+#REF!,0)</f>
        <v>#REF!</v>
      </c>
    </row>
    <row r="1047" spans="1:16" s="97" customFormat="1" x14ac:dyDescent="0.25">
      <c r="A1047" s="49" t="s">
        <v>1835</v>
      </c>
      <c r="B1047" s="50" t="s">
        <v>318</v>
      </c>
      <c r="C1047" s="51" t="s">
        <v>1854</v>
      </c>
      <c r="D1047" s="76" t="s">
        <v>1177</v>
      </c>
      <c r="E1047" s="51" t="s">
        <v>678</v>
      </c>
      <c r="F1047" s="51" t="s">
        <v>1177</v>
      </c>
      <c r="G1047" s="76" t="s">
        <v>169</v>
      </c>
      <c r="H1047" s="76" t="s">
        <v>654</v>
      </c>
      <c r="I1047" s="51"/>
      <c r="J1047" s="52" t="s">
        <v>708</v>
      </c>
      <c r="K1047" s="117">
        <f>ROUND(Tableau15[[#This Row],[LEN]]*7.27,0)</f>
        <v>225</v>
      </c>
      <c r="L1047" s="117">
        <v>15</v>
      </c>
      <c r="M1047" s="134" t="str">
        <f t="shared" si="7"/>
        <v>none</v>
      </c>
      <c r="N1047" s="117">
        <f>LEN(Tableau15[[#This Row],[LABEL]])</f>
        <v>31</v>
      </c>
      <c r="O1047" s="117">
        <v>15</v>
      </c>
      <c r="P1047" s="117" t="e">
        <f>ROUND(Tableau15[[#This Row],[LEN]]*#REF!+#REF!,0)</f>
        <v>#REF!</v>
      </c>
    </row>
    <row r="1048" spans="1:16" s="97" customFormat="1" x14ac:dyDescent="0.25">
      <c r="A1048" s="49" t="s">
        <v>1836</v>
      </c>
      <c r="B1048" s="50" t="s">
        <v>318</v>
      </c>
      <c r="C1048" s="51" t="s">
        <v>1855</v>
      </c>
      <c r="D1048" s="76" t="s">
        <v>1177</v>
      </c>
      <c r="E1048" s="51" t="s">
        <v>678</v>
      </c>
      <c r="F1048" s="51" t="s">
        <v>1177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ROUND(Tableau15[[#This Row],[LEN]]*7.27,0)</f>
        <v>320</v>
      </c>
      <c r="L1048" s="117">
        <v>15</v>
      </c>
      <c r="M1048" s="134" t="str">
        <f t="shared" si="7"/>
        <v>none</v>
      </c>
      <c r="N1048" s="117">
        <f>LEN(Tableau15[[#This Row],[LABEL]])</f>
        <v>44</v>
      </c>
      <c r="O1048" s="117">
        <v>15</v>
      </c>
      <c r="P1048" s="117" t="e">
        <f>ROUND(Tableau15[[#This Row],[LEN]]*#REF!+#REF!,0)</f>
        <v>#REF!</v>
      </c>
    </row>
    <row r="1049" spans="1:16" s="97" customFormat="1" x14ac:dyDescent="0.25">
      <c r="A1049" s="49" t="s">
        <v>1837</v>
      </c>
      <c r="B1049" s="50" t="s">
        <v>318</v>
      </c>
      <c r="C1049" s="51" t="s">
        <v>901</v>
      </c>
      <c r="D1049" s="76" t="s">
        <v>1177</v>
      </c>
      <c r="E1049" s="51" t="s">
        <v>678</v>
      </c>
      <c r="F1049" s="51" t="s">
        <v>1177</v>
      </c>
      <c r="G1049" s="76" t="s">
        <v>169</v>
      </c>
      <c r="H1049" s="76" t="s">
        <v>654</v>
      </c>
      <c r="I1049" s="51"/>
      <c r="J1049" s="52" t="s">
        <v>708</v>
      </c>
      <c r="K1049" s="117">
        <f>ROUND(Tableau15[[#This Row],[LEN]]*7.27,0)</f>
        <v>116</v>
      </c>
      <c r="L1049" s="117">
        <v>15</v>
      </c>
      <c r="M1049" s="134" t="str">
        <f t="shared" si="7"/>
        <v>none</v>
      </c>
      <c r="N1049" s="117">
        <f>LEN(Tableau15[[#This Row],[LABEL]])</f>
        <v>16</v>
      </c>
      <c r="O1049" s="117">
        <v>15</v>
      </c>
      <c r="P1049" s="117" t="e">
        <f>ROUND(Tableau15[[#This Row],[LEN]]*#REF!+#REF!,0)</f>
        <v>#REF!</v>
      </c>
    </row>
    <row r="1050" spans="1:16" s="97" customFormat="1" x14ac:dyDescent="0.25">
      <c r="A1050" s="49" t="s">
        <v>1838</v>
      </c>
      <c r="B1050" s="50" t="s">
        <v>318</v>
      </c>
      <c r="C1050" s="51" t="s">
        <v>1856</v>
      </c>
      <c r="D1050" s="76" t="s">
        <v>1177</v>
      </c>
      <c r="E1050" s="51" t="s">
        <v>678</v>
      </c>
      <c r="F1050" s="51" t="s">
        <v>1177</v>
      </c>
      <c r="G1050" s="76" t="s">
        <v>169</v>
      </c>
      <c r="H1050" s="76" t="s">
        <v>654</v>
      </c>
      <c r="I1050" s="51"/>
      <c r="J1050" s="52" t="s">
        <v>708</v>
      </c>
      <c r="K1050" s="117">
        <f>ROUND(Tableau15[[#This Row],[LEN]]*7.27,0)</f>
        <v>131</v>
      </c>
      <c r="L1050" s="117">
        <v>15</v>
      </c>
      <c r="M1050" s="134" t="str">
        <f t="shared" si="7"/>
        <v>none</v>
      </c>
      <c r="N1050" s="117">
        <f>LEN(Tableau15[[#This Row],[LABEL]])</f>
        <v>18</v>
      </c>
      <c r="O1050" s="117">
        <v>15</v>
      </c>
      <c r="P1050" s="117" t="e">
        <f>ROUND(Tableau15[[#This Row],[LEN]]*#REF!+#REF!,0)</f>
        <v>#REF!</v>
      </c>
    </row>
    <row r="1051" spans="1:16" s="97" customFormat="1" x14ac:dyDescent="0.25">
      <c r="A1051" s="49" t="s">
        <v>1839</v>
      </c>
      <c r="B1051" s="50" t="s">
        <v>318</v>
      </c>
      <c r="C1051" s="51" t="s">
        <v>549</v>
      </c>
      <c r="D1051" s="76" t="s">
        <v>1177</v>
      </c>
      <c r="E1051" s="51" t="s">
        <v>673</v>
      </c>
      <c r="F1051" s="51" t="s">
        <v>1704</v>
      </c>
      <c r="G1051" s="76" t="s">
        <v>169</v>
      </c>
      <c r="H1051" s="76" t="s">
        <v>655</v>
      </c>
      <c r="I1051" s="51"/>
      <c r="J1051" s="52" t="s">
        <v>708</v>
      </c>
      <c r="K1051" s="117">
        <f>ROUND(Tableau15[[#This Row],[LEN]]*7.27,0)</f>
        <v>145</v>
      </c>
      <c r="L1051" s="117">
        <v>15</v>
      </c>
      <c r="M1051" s="134" t="str">
        <f t="shared" si="7"/>
        <v>none</v>
      </c>
      <c r="N1051" s="117">
        <f>LEN(Tableau15[[#This Row],[LABEL]])</f>
        <v>20</v>
      </c>
      <c r="O1051" s="117">
        <v>15</v>
      </c>
      <c r="P1051" s="117" t="e">
        <f>ROUND(Tableau15[[#This Row],[LEN]]*#REF!+#REF!,0)</f>
        <v>#REF!</v>
      </c>
    </row>
    <row r="1052" spans="1:16" s="97" customFormat="1" x14ac:dyDescent="0.25">
      <c r="A1052" s="53" t="s">
        <v>1843</v>
      </c>
      <c r="B1052" s="54" t="s">
        <v>1839</v>
      </c>
      <c r="C1052" s="55" t="s">
        <v>590</v>
      </c>
      <c r="D1052" s="77" t="s">
        <v>1177</v>
      </c>
      <c r="E1052" s="55" t="s">
        <v>673</v>
      </c>
      <c r="F1052" s="55" t="s">
        <v>1704</v>
      </c>
      <c r="G1052" s="77" t="s">
        <v>169</v>
      </c>
      <c r="H1052" s="77" t="s">
        <v>570</v>
      </c>
      <c r="I1052" s="55"/>
      <c r="J1052" s="56" t="s">
        <v>708</v>
      </c>
      <c r="K1052" s="118">
        <f>ROUND(Tableau15[[#This Row],[LEN]]*7.27,0)</f>
        <v>102</v>
      </c>
      <c r="L1052" s="118">
        <v>15</v>
      </c>
      <c r="M1052" s="135" t="str">
        <f t="shared" si="7"/>
        <v>none</v>
      </c>
      <c r="N1052" s="118">
        <f>LEN(Tableau15[[#This Row],[LABEL]])</f>
        <v>14</v>
      </c>
      <c r="O1052" s="118">
        <v>15</v>
      </c>
      <c r="P1052" s="118" t="e">
        <f>ROUND(Tableau15[[#This Row],[LEN]]*#REF!+#REF!,0)</f>
        <v>#REF!</v>
      </c>
    </row>
    <row r="1053" spans="1:16" s="97" customFormat="1" x14ac:dyDescent="0.25">
      <c r="A1053" s="53" t="s">
        <v>1844</v>
      </c>
      <c r="B1053" s="54" t="s">
        <v>1839</v>
      </c>
      <c r="C1053" s="55" t="s">
        <v>591</v>
      </c>
      <c r="D1053" s="77" t="s">
        <v>1177</v>
      </c>
      <c r="E1053" s="55" t="s">
        <v>673</v>
      </c>
      <c r="F1053" s="55" t="s">
        <v>1704</v>
      </c>
      <c r="G1053" s="77" t="s">
        <v>169</v>
      </c>
      <c r="H1053" s="77" t="s">
        <v>570</v>
      </c>
      <c r="I1053" s="55"/>
      <c r="J1053" s="56" t="s">
        <v>708</v>
      </c>
      <c r="K1053" s="118">
        <f>ROUND(Tableau15[[#This Row],[LEN]]*7.27,0)</f>
        <v>262</v>
      </c>
      <c r="L1053" s="118">
        <v>15</v>
      </c>
      <c r="M1053" s="135" t="str">
        <f t="shared" si="7"/>
        <v>none</v>
      </c>
      <c r="N1053" s="118">
        <f>LEN(Tableau15[[#This Row],[LABEL]])</f>
        <v>36</v>
      </c>
      <c r="O1053" s="118">
        <v>15</v>
      </c>
      <c r="P1053" s="118" t="e">
        <f>ROUND(Tableau15[[#This Row],[LEN]]*#REF!+#REF!,0)</f>
        <v>#REF!</v>
      </c>
    </row>
    <row r="1054" spans="1:16" s="97" customFormat="1" x14ac:dyDescent="0.25">
      <c r="A1054" s="53" t="s">
        <v>1845</v>
      </c>
      <c r="B1054" s="54" t="s">
        <v>1839</v>
      </c>
      <c r="C1054" s="55" t="s">
        <v>592</v>
      </c>
      <c r="D1054" s="77" t="s">
        <v>1177</v>
      </c>
      <c r="E1054" s="55" t="s">
        <v>673</v>
      </c>
      <c r="F1054" s="55" t="s">
        <v>1704</v>
      </c>
      <c r="G1054" s="77" t="s">
        <v>169</v>
      </c>
      <c r="H1054" s="77" t="s">
        <v>570</v>
      </c>
      <c r="I1054" s="55"/>
      <c r="J1054" s="56" t="s">
        <v>708</v>
      </c>
      <c r="K1054" s="118">
        <f>ROUND(Tableau15[[#This Row],[LEN]]*7.27,0)</f>
        <v>189</v>
      </c>
      <c r="L1054" s="118">
        <v>15</v>
      </c>
      <c r="M1054" s="135" t="str">
        <f t="shared" si="7"/>
        <v>none</v>
      </c>
      <c r="N1054" s="118">
        <f>LEN(Tableau15[[#This Row],[LABEL]])</f>
        <v>26</v>
      </c>
      <c r="O1054" s="118">
        <v>15</v>
      </c>
      <c r="P1054" s="118" t="e">
        <f>ROUND(Tableau15[[#This Row],[LEN]]*#REF!+#REF!,0)</f>
        <v>#REF!</v>
      </c>
    </row>
    <row r="1055" spans="1:16" s="97" customFormat="1" x14ac:dyDescent="0.25">
      <c r="A1055" s="53" t="s">
        <v>1846</v>
      </c>
      <c r="B1055" s="54" t="s">
        <v>1839</v>
      </c>
      <c r="C1055" s="55" t="s">
        <v>597</v>
      </c>
      <c r="D1055" s="77" t="s">
        <v>1177</v>
      </c>
      <c r="E1055" s="55" t="s">
        <v>673</v>
      </c>
      <c r="F1055" s="55" t="s">
        <v>1704</v>
      </c>
      <c r="G1055" s="77" t="s">
        <v>169</v>
      </c>
      <c r="H1055" s="77" t="s">
        <v>570</v>
      </c>
      <c r="I1055" s="55"/>
      <c r="J1055" s="56" t="s">
        <v>708</v>
      </c>
      <c r="K1055" s="118">
        <f>ROUND(Tableau15[[#This Row],[LEN]]*7.27,0)</f>
        <v>465</v>
      </c>
      <c r="L1055" s="118">
        <v>15</v>
      </c>
      <c r="M1055" s="135" t="str">
        <f t="shared" si="7"/>
        <v>none</v>
      </c>
      <c r="N1055" s="118">
        <f>LEN(Tableau15[[#This Row],[LABEL]])</f>
        <v>64</v>
      </c>
      <c r="O1055" s="118">
        <v>15</v>
      </c>
      <c r="P1055" s="118" t="e">
        <f>ROUND(Tableau15[[#This Row],[LEN]]*#REF!+#REF!,0)</f>
        <v>#REF!</v>
      </c>
    </row>
    <row r="1056" spans="1:16" s="97" customFormat="1" x14ac:dyDescent="0.25">
      <c r="A1056" s="49" t="s">
        <v>1840</v>
      </c>
      <c r="B1056" s="50" t="s">
        <v>318</v>
      </c>
      <c r="C1056" s="51" t="s">
        <v>1824</v>
      </c>
      <c r="D1056" s="76" t="s">
        <v>1177</v>
      </c>
      <c r="E1056" s="51" t="s">
        <v>677</v>
      </c>
      <c r="F1056" s="51" t="s">
        <v>1842</v>
      </c>
      <c r="G1056" s="76" t="s">
        <v>169</v>
      </c>
      <c r="H1056" s="76" t="s">
        <v>570</v>
      </c>
      <c r="I1056" s="51"/>
      <c r="J1056" s="52" t="s">
        <v>708</v>
      </c>
      <c r="K1056" s="117">
        <f>ROUND(Tableau15[[#This Row],[LEN]]*7.27,0)</f>
        <v>95</v>
      </c>
      <c r="L1056" s="117">
        <v>15</v>
      </c>
      <c r="M1056" s="134" t="str">
        <f t="shared" si="7"/>
        <v>none</v>
      </c>
      <c r="N1056" s="117">
        <f>LEN(Tableau15[[#This Row],[LABEL]])</f>
        <v>13</v>
      </c>
      <c r="O1056" s="117">
        <v>15</v>
      </c>
      <c r="P1056" s="117" t="e">
        <f>ROUND(Tableau15[[#This Row],[LEN]]*#REF!+#REF!,0)</f>
        <v>#REF!</v>
      </c>
    </row>
    <row r="1057" spans="1:16" s="97" customFormat="1" x14ac:dyDescent="0.25">
      <c r="A1057" s="49" t="s">
        <v>1841</v>
      </c>
      <c r="B1057" s="50" t="s">
        <v>318</v>
      </c>
      <c r="C1057" s="51" t="s">
        <v>598</v>
      </c>
      <c r="D1057" s="76" t="s">
        <v>1177</v>
      </c>
      <c r="E1057" s="51" t="s">
        <v>673</v>
      </c>
      <c r="F1057" s="51" t="s">
        <v>2035</v>
      </c>
      <c r="G1057" s="76" t="s">
        <v>169</v>
      </c>
      <c r="H1057" s="76" t="s">
        <v>654</v>
      </c>
      <c r="I1057" s="51"/>
      <c r="J1057" s="52" t="s">
        <v>708</v>
      </c>
      <c r="K1057" s="117">
        <f>ROUND(Tableau15[[#This Row],[LEN]]*7.27,0)</f>
        <v>553</v>
      </c>
      <c r="L1057" s="117">
        <v>15</v>
      </c>
      <c r="M1057" s="134" t="str">
        <f t="shared" si="7"/>
        <v>none</v>
      </c>
      <c r="N1057" s="117">
        <f>LEN(Tableau15[[#This Row],[LABEL]])</f>
        <v>76</v>
      </c>
      <c r="O1057" s="117">
        <v>15</v>
      </c>
      <c r="P1057" s="117" t="e">
        <f>ROUND(Tableau15[[#This Row],[LEN]]*#REF!+#REF!,0)</f>
        <v>#REF!</v>
      </c>
    </row>
    <row r="1058" spans="1:16" s="273" customFormat="1" x14ac:dyDescent="0.25">
      <c r="A1058" s="358" t="s">
        <v>319</v>
      </c>
      <c r="B1058" s="359" t="s">
        <v>209</v>
      </c>
      <c r="C1058" s="360" t="s">
        <v>15</v>
      </c>
      <c r="D1058" s="361" t="s">
        <v>1177</v>
      </c>
      <c r="E1058" s="360" t="s">
        <v>679</v>
      </c>
      <c r="F1058" s="360" t="s">
        <v>1177</v>
      </c>
      <c r="G1058" s="361" t="s">
        <v>169</v>
      </c>
      <c r="H1058" s="361" t="str">
        <f>IFERROR(IF(SEARCH(".00.00.00.00.00",Tableau15[[#This Row],[name]],1)=7,"Division",""),"")</f>
        <v>Division</v>
      </c>
      <c r="I1058" s="360"/>
      <c r="J1058" s="362" t="s">
        <v>708</v>
      </c>
      <c r="K1058" s="363">
        <f>ROUND(Tableau15[[#This Row],[LEN]]*7.27,0)</f>
        <v>174</v>
      </c>
      <c r="L1058" s="363">
        <v>15</v>
      </c>
      <c r="M1058" s="364" t="str">
        <f t="shared" si="7"/>
        <v>none</v>
      </c>
      <c r="N1058" s="363">
        <f>LEN(Tableau15[[#This Row],[LABEL]])</f>
        <v>24</v>
      </c>
      <c r="O1058" s="363">
        <v>15</v>
      </c>
      <c r="P1058" s="363" t="e">
        <f>ROUND(Tableau15[[#This Row],[LEN]]*#REF!+#REF!,0)</f>
        <v>#REF!</v>
      </c>
    </row>
    <row r="1059" spans="1:16" s="97" customFormat="1" x14ac:dyDescent="0.25">
      <c r="A1059" s="49" t="s">
        <v>1857</v>
      </c>
      <c r="B1059" s="50" t="s">
        <v>319</v>
      </c>
      <c r="C1059" s="51" t="s">
        <v>1862</v>
      </c>
      <c r="D1059" s="76" t="s">
        <v>1863</v>
      </c>
      <c r="E1059" s="51" t="s">
        <v>679</v>
      </c>
      <c r="F1059" s="51" t="s">
        <v>1177</v>
      </c>
      <c r="G1059" s="76" t="s">
        <v>169</v>
      </c>
      <c r="H1059" s="76" t="s">
        <v>654</v>
      </c>
      <c r="I1059" s="51"/>
      <c r="J1059" s="52" t="s">
        <v>708</v>
      </c>
      <c r="K1059" s="117">
        <f>ROUND(Tableau15[[#This Row],[LEN]]*7.27,0)</f>
        <v>124</v>
      </c>
      <c r="L1059" s="117">
        <v>15</v>
      </c>
      <c r="M1059" s="134" t="str">
        <f t="shared" si="7"/>
        <v>none</v>
      </c>
      <c r="N1059" s="117">
        <f>LEN(Tableau15[[#This Row],[LABEL]])</f>
        <v>17</v>
      </c>
      <c r="O1059" s="117">
        <v>15</v>
      </c>
      <c r="P1059" s="117" t="e">
        <f>ROUND(Tableau15[[#This Row],[LEN]]*#REF!+#REF!,0)</f>
        <v>#REF!</v>
      </c>
    </row>
    <row r="1060" spans="1:16" s="97" customFormat="1" x14ac:dyDescent="0.25">
      <c r="A1060" s="49" t="s">
        <v>1858</v>
      </c>
      <c r="B1060" s="50" t="s">
        <v>319</v>
      </c>
      <c r="C1060" s="51" t="s">
        <v>1772</v>
      </c>
      <c r="D1060" s="76" t="s">
        <v>1177</v>
      </c>
      <c r="E1060" s="51" t="s">
        <v>675</v>
      </c>
      <c r="F1060" s="51" t="s">
        <v>679</v>
      </c>
      <c r="G1060" s="76" t="s">
        <v>169</v>
      </c>
      <c r="H1060" s="76" t="s">
        <v>655</v>
      </c>
      <c r="I1060" s="51"/>
      <c r="J1060" s="52" t="s">
        <v>708</v>
      </c>
      <c r="K1060" s="117">
        <f>ROUND(Tableau15[[#This Row],[LEN]]*7.27,0)</f>
        <v>182</v>
      </c>
      <c r="L1060" s="117">
        <v>15</v>
      </c>
      <c r="M1060" s="134" t="str">
        <f t="shared" si="7"/>
        <v>none</v>
      </c>
      <c r="N1060" s="117">
        <f>LEN(Tableau15[[#This Row],[LABEL]])</f>
        <v>25</v>
      </c>
      <c r="O1060" s="117">
        <v>15</v>
      </c>
      <c r="P1060" s="117" t="e">
        <f>ROUND(Tableau15[[#This Row],[LEN]]*#REF!+#REF!,0)</f>
        <v>#REF!</v>
      </c>
    </row>
    <row r="1061" spans="1:16" s="97" customFormat="1" x14ac:dyDescent="0.25">
      <c r="A1061" s="53" t="s">
        <v>1864</v>
      </c>
      <c r="B1061" s="54" t="s">
        <v>1858</v>
      </c>
      <c r="C1061" s="55" t="s">
        <v>1467</v>
      </c>
      <c r="D1061" s="77" t="s">
        <v>1177</v>
      </c>
      <c r="E1061" s="55" t="s">
        <v>675</v>
      </c>
      <c r="F1061" s="55" t="s">
        <v>679</v>
      </c>
      <c r="G1061" s="77" t="s">
        <v>169</v>
      </c>
      <c r="H1061" s="77" t="s">
        <v>654</v>
      </c>
      <c r="I1061" s="55"/>
      <c r="J1061" s="56" t="s">
        <v>708</v>
      </c>
      <c r="K1061" s="118">
        <f>ROUND(Tableau15[[#This Row],[LEN]]*7.27,0)</f>
        <v>102</v>
      </c>
      <c r="L1061" s="118">
        <v>15</v>
      </c>
      <c r="M1061" s="135" t="str">
        <f t="shared" si="7"/>
        <v>none</v>
      </c>
      <c r="N1061" s="118">
        <f>LEN(Tableau15[[#This Row],[LABEL]])</f>
        <v>14</v>
      </c>
      <c r="O1061" s="118">
        <v>15</v>
      </c>
      <c r="P1061" s="118" t="e">
        <f>ROUND(Tableau15[[#This Row],[LEN]]*#REF!+#REF!,0)</f>
        <v>#REF!</v>
      </c>
    </row>
    <row r="1062" spans="1:16" s="97" customFormat="1" x14ac:dyDescent="0.25">
      <c r="A1062" s="53" t="s">
        <v>1865</v>
      </c>
      <c r="B1062" s="54" t="s">
        <v>1858</v>
      </c>
      <c r="C1062" s="55" t="s">
        <v>1769</v>
      </c>
      <c r="D1062" s="77" t="s">
        <v>1177</v>
      </c>
      <c r="E1062" s="55" t="s">
        <v>675</v>
      </c>
      <c r="F1062" s="55" t="s">
        <v>679</v>
      </c>
      <c r="G1062" s="77" t="s">
        <v>169</v>
      </c>
      <c r="H1062" s="77" t="s">
        <v>654</v>
      </c>
      <c r="I1062" s="55"/>
      <c r="J1062" s="56" t="s">
        <v>708</v>
      </c>
      <c r="K1062" s="118">
        <f>ROUND(Tableau15[[#This Row],[LEN]]*7.27,0)</f>
        <v>211</v>
      </c>
      <c r="L1062" s="118">
        <v>15</v>
      </c>
      <c r="M1062" s="135" t="str">
        <f t="shared" si="7"/>
        <v>none</v>
      </c>
      <c r="N1062" s="118">
        <f>LEN(Tableau15[[#This Row],[LABEL]])</f>
        <v>29</v>
      </c>
      <c r="O1062" s="118">
        <v>15</v>
      </c>
      <c r="P1062" s="118" t="e">
        <f>ROUND(Tableau15[[#This Row],[LEN]]*#REF!+#REF!,0)</f>
        <v>#REF!</v>
      </c>
    </row>
    <row r="1063" spans="1:16" s="97" customFormat="1" x14ac:dyDescent="0.25">
      <c r="A1063" s="53" t="s">
        <v>1866</v>
      </c>
      <c r="B1063" s="54" t="s">
        <v>1858</v>
      </c>
      <c r="C1063" s="55" t="s">
        <v>1468</v>
      </c>
      <c r="D1063" s="77" t="s">
        <v>1177</v>
      </c>
      <c r="E1063" s="55" t="s">
        <v>675</v>
      </c>
      <c r="F1063" s="55" t="s">
        <v>679</v>
      </c>
      <c r="G1063" s="77" t="s">
        <v>169</v>
      </c>
      <c r="H1063" s="77" t="s">
        <v>654</v>
      </c>
      <c r="I1063" s="55"/>
      <c r="J1063" s="56" t="s">
        <v>708</v>
      </c>
      <c r="K1063" s="118">
        <f>ROUND(Tableau15[[#This Row],[LEN]]*7.27,0)</f>
        <v>167</v>
      </c>
      <c r="L1063" s="118">
        <v>15</v>
      </c>
      <c r="M1063" s="135" t="str">
        <f t="shared" si="7"/>
        <v>none</v>
      </c>
      <c r="N1063" s="118">
        <f>LEN(Tableau15[[#This Row],[LABEL]])</f>
        <v>23</v>
      </c>
      <c r="O1063" s="118">
        <v>15</v>
      </c>
      <c r="P1063" s="118" t="e">
        <f>ROUND(Tableau15[[#This Row],[LEN]]*#REF!+#REF!,0)</f>
        <v>#REF!</v>
      </c>
    </row>
    <row r="1064" spans="1:16" s="97" customFormat="1" x14ac:dyDescent="0.25">
      <c r="A1064" s="49" t="s">
        <v>1859</v>
      </c>
      <c r="B1064" s="50" t="s">
        <v>319</v>
      </c>
      <c r="C1064" s="51" t="s">
        <v>1824</v>
      </c>
      <c r="D1064" s="76" t="s">
        <v>1177</v>
      </c>
      <c r="E1064" s="51" t="s">
        <v>677</v>
      </c>
      <c r="F1064" s="51" t="s">
        <v>1842</v>
      </c>
      <c r="G1064" s="76" t="s">
        <v>169</v>
      </c>
      <c r="H1064" s="76" t="s">
        <v>570</v>
      </c>
      <c r="I1064" s="51"/>
      <c r="J1064" s="52" t="s">
        <v>708</v>
      </c>
      <c r="K1064" s="117">
        <f>ROUND(Tableau15[[#This Row],[LEN]]*7.27,0)</f>
        <v>95</v>
      </c>
      <c r="L1064" s="117">
        <v>15</v>
      </c>
      <c r="M1064" s="134" t="str">
        <f t="shared" si="7"/>
        <v>none</v>
      </c>
      <c r="N1064" s="117">
        <f>LEN(Tableau15[[#This Row],[LABEL]])</f>
        <v>13</v>
      </c>
      <c r="O1064" s="117">
        <v>15</v>
      </c>
      <c r="P1064" s="117" t="e">
        <f>ROUND(Tableau15[[#This Row],[LEN]]*#REF!+#REF!,0)</f>
        <v>#REF!</v>
      </c>
    </row>
    <row r="1065" spans="1:16" s="97" customFormat="1" x14ac:dyDescent="0.25">
      <c r="A1065" s="49" t="s">
        <v>1860</v>
      </c>
      <c r="B1065" s="50" t="s">
        <v>319</v>
      </c>
      <c r="C1065" s="51" t="s">
        <v>1867</v>
      </c>
      <c r="D1065" s="76" t="s">
        <v>1177</v>
      </c>
      <c r="E1065" s="51" t="s">
        <v>679</v>
      </c>
      <c r="F1065" s="51" t="s">
        <v>1177</v>
      </c>
      <c r="G1065" s="76" t="s">
        <v>169</v>
      </c>
      <c r="H1065" s="76" t="s">
        <v>570</v>
      </c>
      <c r="I1065" s="51"/>
      <c r="J1065" s="52" t="s">
        <v>708</v>
      </c>
      <c r="K1065" s="117">
        <f>ROUND(Tableau15[[#This Row],[LEN]]*7.27,0)</f>
        <v>313</v>
      </c>
      <c r="L1065" s="117">
        <v>15</v>
      </c>
      <c r="M1065" s="134" t="str">
        <f t="shared" si="7"/>
        <v>none</v>
      </c>
      <c r="N1065" s="117">
        <f>LEN(Tableau15[[#This Row],[LABEL]])</f>
        <v>43</v>
      </c>
      <c r="O1065" s="117">
        <v>15</v>
      </c>
      <c r="P1065" s="117" t="e">
        <f>ROUND(Tableau15[[#This Row],[LEN]]*#REF!+#REF!,0)</f>
        <v>#REF!</v>
      </c>
    </row>
    <row r="1066" spans="1:16" s="97" customFormat="1" x14ac:dyDescent="0.25">
      <c r="A1066" s="49" t="s">
        <v>1861</v>
      </c>
      <c r="B1066" s="50" t="s">
        <v>319</v>
      </c>
      <c r="C1066" s="51" t="s">
        <v>1868</v>
      </c>
      <c r="D1066" s="76" t="s">
        <v>1177</v>
      </c>
      <c r="E1066" s="51" t="s">
        <v>679</v>
      </c>
      <c r="F1066" s="51" t="s">
        <v>1177</v>
      </c>
      <c r="G1066" s="76" t="s">
        <v>169</v>
      </c>
      <c r="H1066" s="76" t="s">
        <v>654</v>
      </c>
      <c r="I1066" s="51"/>
      <c r="J1066" s="52" t="s">
        <v>708</v>
      </c>
      <c r="K1066" s="117">
        <f>ROUND(Tableau15[[#This Row],[LEN]]*7.27,0)</f>
        <v>189</v>
      </c>
      <c r="L1066" s="117">
        <v>15</v>
      </c>
      <c r="M1066" s="134" t="str">
        <f t="shared" si="7"/>
        <v>none</v>
      </c>
      <c r="N1066" s="117">
        <f>LEN(Tableau15[[#This Row],[LABEL]])</f>
        <v>26</v>
      </c>
      <c r="O1066" s="117">
        <v>15</v>
      </c>
      <c r="P1066" s="117" t="e">
        <f>ROUND(Tableau15[[#This Row],[LEN]]*#REF!+#REF!,0)</f>
        <v>#REF!</v>
      </c>
    </row>
    <row r="1067" spans="1:16" s="273" customFormat="1" x14ac:dyDescent="0.25">
      <c r="A1067" s="358" t="s">
        <v>2020</v>
      </c>
      <c r="B1067" s="359" t="s">
        <v>209</v>
      </c>
      <c r="C1067" s="360" t="s">
        <v>1950</v>
      </c>
      <c r="D1067" s="361" t="s">
        <v>1177</v>
      </c>
      <c r="E1067" s="360" t="s">
        <v>1951</v>
      </c>
      <c r="F1067" s="360" t="s">
        <v>1177</v>
      </c>
      <c r="G1067" s="361" t="s">
        <v>169</v>
      </c>
      <c r="H1067" s="361" t="s">
        <v>56</v>
      </c>
      <c r="I1067" s="360"/>
      <c r="J1067" s="362" t="s">
        <v>708</v>
      </c>
      <c r="K1067" s="363">
        <f>ROUND(Tableau15[[#This Row],[LEN]]*7.27,0)</f>
        <v>51</v>
      </c>
      <c r="L1067" s="363">
        <v>15</v>
      </c>
      <c r="M1067" s="364" t="str">
        <f t="shared" si="7"/>
        <v>none</v>
      </c>
      <c r="N1067" s="363">
        <f>LEN(Tableau15[[#This Row],[LABEL]])</f>
        <v>7</v>
      </c>
      <c r="O1067" s="363">
        <v>15</v>
      </c>
      <c r="P1067" s="363" t="e">
        <f>ROUND(Tableau15[[#This Row],[LEN]]*#REF!+#REF!,0)</f>
        <v>#REF!</v>
      </c>
    </row>
    <row r="1068" spans="1:16" s="97" customFormat="1" x14ac:dyDescent="0.25">
      <c r="A1068" s="49" t="s">
        <v>2021</v>
      </c>
      <c r="B1068" s="50" t="s">
        <v>2020</v>
      </c>
      <c r="C1068" s="51" t="s">
        <v>2088</v>
      </c>
      <c r="D1068" s="76" t="s">
        <v>2032</v>
      </c>
      <c r="E1068" s="51" t="s">
        <v>1951</v>
      </c>
      <c r="F1068" s="51" t="s">
        <v>1177</v>
      </c>
      <c r="G1068" s="76" t="s">
        <v>169</v>
      </c>
      <c r="H1068" s="76" t="s">
        <v>654</v>
      </c>
      <c r="I1068" s="51"/>
      <c r="J1068" s="52" t="s">
        <v>708</v>
      </c>
      <c r="K1068" s="117">
        <f>ROUND(Tableau15[[#This Row],[LEN]]*7.27,0)</f>
        <v>414</v>
      </c>
      <c r="L1068" s="117">
        <v>15</v>
      </c>
      <c r="M1068" s="134" t="str">
        <f t="shared" si="7"/>
        <v>none</v>
      </c>
      <c r="N1068" s="117">
        <f>LEN(Tableau15[[#This Row],[LABEL]])</f>
        <v>57</v>
      </c>
      <c r="O1068" s="117">
        <v>15</v>
      </c>
      <c r="P1068" s="117" t="e">
        <f>ROUND(Tableau15[[#This Row],[LEN]]*#REF!+#REF!,0)</f>
        <v>#REF!</v>
      </c>
    </row>
    <row r="1069" spans="1:16" s="97" customFormat="1" x14ac:dyDescent="0.25">
      <c r="A1069" s="49" t="s">
        <v>2022</v>
      </c>
      <c r="B1069" s="50" t="s">
        <v>2020</v>
      </c>
      <c r="C1069" s="51" t="s">
        <v>2033</v>
      </c>
      <c r="D1069" s="76" t="s">
        <v>1177</v>
      </c>
      <c r="E1069" s="51" t="s">
        <v>1951</v>
      </c>
      <c r="F1069" s="51" t="s">
        <v>1177</v>
      </c>
      <c r="G1069" s="76" t="s">
        <v>169</v>
      </c>
      <c r="H1069" s="76" t="s">
        <v>654</v>
      </c>
      <c r="I1069" s="51"/>
      <c r="J1069" s="52" t="s">
        <v>708</v>
      </c>
      <c r="K1069" s="117">
        <f>ROUND(Tableau15[[#This Row],[LEN]]*7.27,0)</f>
        <v>320</v>
      </c>
      <c r="L1069" s="117">
        <v>15</v>
      </c>
      <c r="M1069" s="134" t="str">
        <f t="shared" si="7"/>
        <v>none</v>
      </c>
      <c r="N1069" s="117">
        <f>LEN(Tableau15[[#This Row],[LABEL]])</f>
        <v>44</v>
      </c>
      <c r="O1069" s="117">
        <v>15</v>
      </c>
      <c r="P1069" s="117" t="e">
        <f>ROUND(Tableau15[[#This Row],[LEN]]*#REF!+#REF!,0)</f>
        <v>#REF!</v>
      </c>
    </row>
    <row r="1070" spans="1:16" s="97" customFormat="1" x14ac:dyDescent="0.25">
      <c r="A1070" s="49" t="s">
        <v>2023</v>
      </c>
      <c r="B1070" s="50" t="s">
        <v>2020</v>
      </c>
      <c r="C1070" s="51" t="s">
        <v>128</v>
      </c>
      <c r="D1070" s="76" t="s">
        <v>1177</v>
      </c>
      <c r="E1070" s="51" t="s">
        <v>669</v>
      </c>
      <c r="F1070" s="51" t="s">
        <v>2029</v>
      </c>
      <c r="G1070" s="76" t="s">
        <v>169</v>
      </c>
      <c r="H1070" s="76" t="s">
        <v>570</v>
      </c>
      <c r="I1070" s="51"/>
      <c r="J1070" s="52" t="s">
        <v>708</v>
      </c>
      <c r="K1070" s="117">
        <f>ROUND(Tableau15[[#This Row],[LEN]]*7.27,0)</f>
        <v>182</v>
      </c>
      <c r="L1070" s="117">
        <v>15</v>
      </c>
      <c r="M1070" s="134" t="str">
        <f t="shared" si="7"/>
        <v>none</v>
      </c>
      <c r="N1070" s="117">
        <f>LEN(Tableau15[[#This Row],[LABEL]])</f>
        <v>25</v>
      </c>
      <c r="O1070" s="117">
        <v>15</v>
      </c>
      <c r="P1070" s="117" t="e">
        <f>ROUND(Tableau15[[#This Row],[LEN]]*#REF!+#REF!,0)</f>
        <v>#REF!</v>
      </c>
    </row>
    <row r="1071" spans="1:16" s="97" customFormat="1" x14ac:dyDescent="0.25">
      <c r="A1071" s="49" t="s">
        <v>2024</v>
      </c>
      <c r="B1071" s="50" t="s">
        <v>2020</v>
      </c>
      <c r="C1071" s="51" t="s">
        <v>129</v>
      </c>
      <c r="D1071" s="76" t="s">
        <v>1177</v>
      </c>
      <c r="E1071" s="51" t="s">
        <v>673</v>
      </c>
      <c r="F1071" s="51" t="s">
        <v>2035</v>
      </c>
      <c r="G1071" s="76" t="s">
        <v>169</v>
      </c>
      <c r="H1071" s="76" t="s">
        <v>655</v>
      </c>
      <c r="I1071" s="51"/>
      <c r="J1071" s="52" t="s">
        <v>708</v>
      </c>
      <c r="K1071" s="117">
        <f>ROUND(Tableau15[[#This Row],[LEN]]*7.27,0)</f>
        <v>87</v>
      </c>
      <c r="L1071" s="117">
        <v>15</v>
      </c>
      <c r="M1071" s="134" t="str">
        <f t="shared" si="7"/>
        <v>none</v>
      </c>
      <c r="N1071" s="117">
        <f>LEN(Tableau15[[#This Row],[LABEL]])</f>
        <v>12</v>
      </c>
      <c r="O1071" s="117">
        <v>15</v>
      </c>
      <c r="P1071" s="117" t="e">
        <f>ROUND(Tableau15[[#This Row],[LEN]]*#REF!+#REF!,0)</f>
        <v>#REF!</v>
      </c>
    </row>
    <row r="1072" spans="1:16" s="97" customFormat="1" x14ac:dyDescent="0.25">
      <c r="A1072" s="53" t="s">
        <v>2034</v>
      </c>
      <c r="B1072" s="54" t="s">
        <v>2024</v>
      </c>
      <c r="C1072" s="55" t="s">
        <v>131</v>
      </c>
      <c r="D1072" s="77" t="s">
        <v>1177</v>
      </c>
      <c r="E1072" s="55" t="s">
        <v>673</v>
      </c>
      <c r="F1072" s="55" t="s">
        <v>2035</v>
      </c>
      <c r="G1072" s="77" t="s">
        <v>169</v>
      </c>
      <c r="H1072" s="77" t="s">
        <v>570</v>
      </c>
      <c r="I1072" s="55"/>
      <c r="J1072" s="56" t="s">
        <v>708</v>
      </c>
      <c r="K1072" s="118">
        <f>ROUND(Tableau15[[#This Row],[LEN]]*7.27,0)</f>
        <v>262</v>
      </c>
      <c r="L1072" s="118">
        <v>15</v>
      </c>
      <c r="M1072" s="135" t="str">
        <f t="shared" si="7"/>
        <v>none</v>
      </c>
      <c r="N1072" s="118">
        <f>LEN(Tableau15[[#This Row],[LABEL]])</f>
        <v>36</v>
      </c>
      <c r="O1072" s="118">
        <v>15</v>
      </c>
      <c r="P1072" s="118" t="e">
        <f>ROUND(Tableau15[[#This Row],[LEN]]*#REF!+#REF!,0)</f>
        <v>#REF!</v>
      </c>
    </row>
    <row r="1073" spans="1:16" s="97" customFormat="1" x14ac:dyDescent="0.25">
      <c r="A1073" s="53" t="s">
        <v>2034</v>
      </c>
      <c r="B1073" s="54" t="s">
        <v>2024</v>
      </c>
      <c r="C1073" s="55" t="s">
        <v>132</v>
      </c>
      <c r="D1073" s="77" t="s">
        <v>1177</v>
      </c>
      <c r="E1073" s="55" t="s">
        <v>673</v>
      </c>
      <c r="F1073" s="55" t="s">
        <v>2035</v>
      </c>
      <c r="G1073" s="77" t="s">
        <v>169</v>
      </c>
      <c r="H1073" s="77" t="s">
        <v>570</v>
      </c>
      <c r="I1073" s="55"/>
      <c r="J1073" s="56" t="s">
        <v>708</v>
      </c>
      <c r="K1073" s="118">
        <f>ROUND(Tableau15[[#This Row],[LEN]]*7.27,0)</f>
        <v>298</v>
      </c>
      <c r="L1073" s="118">
        <v>15</v>
      </c>
      <c r="M1073" s="135" t="str">
        <f t="shared" si="7"/>
        <v>none</v>
      </c>
      <c r="N1073" s="118">
        <f>LEN(Tableau15[[#This Row],[LABEL]])</f>
        <v>41</v>
      </c>
      <c r="O1073" s="118">
        <v>15</v>
      </c>
      <c r="P1073" s="118" t="e">
        <f>ROUND(Tableau15[[#This Row],[LEN]]*#REF!+#REF!,0)</f>
        <v>#REF!</v>
      </c>
    </row>
    <row r="1074" spans="1:16" s="97" customFormat="1" x14ac:dyDescent="0.25">
      <c r="A1074" s="49" t="s">
        <v>2025</v>
      </c>
      <c r="B1074" s="50" t="s">
        <v>2020</v>
      </c>
      <c r="C1074" s="51" t="s">
        <v>2040</v>
      </c>
      <c r="D1074" s="76" t="s">
        <v>1177</v>
      </c>
      <c r="E1074" s="51" t="s">
        <v>1951</v>
      </c>
      <c r="F1074" s="51" t="s">
        <v>661</v>
      </c>
      <c r="G1074" s="76" t="s">
        <v>169</v>
      </c>
      <c r="H1074" s="76" t="s">
        <v>655</v>
      </c>
      <c r="I1074" s="51"/>
      <c r="J1074" s="52" t="s">
        <v>708</v>
      </c>
      <c r="K1074" s="117">
        <f>ROUND(Tableau15[[#This Row],[LEN]]*7.27,0)</f>
        <v>204</v>
      </c>
      <c r="L1074" s="117">
        <v>10</v>
      </c>
      <c r="M1074" s="134" t="str">
        <f t="shared" si="7"/>
        <v>none</v>
      </c>
      <c r="N1074" s="117">
        <f>LEN(Tableau15[[#This Row],[LABEL]])</f>
        <v>28</v>
      </c>
      <c r="O1074" s="117">
        <v>10</v>
      </c>
      <c r="P1074" s="117" t="e">
        <f>ROUND(Tableau15[[#This Row],[LEN]]*#REF!+#REF!,0)</f>
        <v>#REF!</v>
      </c>
    </row>
    <row r="1075" spans="1:16" s="97" customFormat="1" x14ac:dyDescent="0.25">
      <c r="A1075" s="53" t="s">
        <v>2041</v>
      </c>
      <c r="B1075" s="54" t="s">
        <v>2025</v>
      </c>
      <c r="C1075" s="55" t="s">
        <v>2036</v>
      </c>
      <c r="D1075" s="77" t="s">
        <v>1177</v>
      </c>
      <c r="E1075" s="55" t="s">
        <v>1951</v>
      </c>
      <c r="F1075" s="55" t="s">
        <v>661</v>
      </c>
      <c r="G1075" s="77" t="s">
        <v>169</v>
      </c>
      <c r="H1075" s="77" t="s">
        <v>654</v>
      </c>
      <c r="I1075" s="55"/>
      <c r="J1075" s="56" t="s">
        <v>708</v>
      </c>
      <c r="K1075" s="118">
        <f>ROUND(Tableau15[[#This Row],[LEN]]*7.27,0)</f>
        <v>196</v>
      </c>
      <c r="L1075" s="118">
        <v>10</v>
      </c>
      <c r="M1075" s="135" t="str">
        <f t="shared" si="7"/>
        <v>none</v>
      </c>
      <c r="N1075" s="118">
        <f>LEN(Tableau15[[#This Row],[LABEL]])</f>
        <v>27</v>
      </c>
      <c r="O1075" s="118">
        <v>10</v>
      </c>
      <c r="P1075" s="118" t="e">
        <f>ROUND(Tableau15[[#This Row],[LEN]]*#REF!+#REF!,0)</f>
        <v>#REF!</v>
      </c>
    </row>
    <row r="1076" spans="1:16" s="97" customFormat="1" x14ac:dyDescent="0.25">
      <c r="A1076" s="53" t="s">
        <v>2042</v>
      </c>
      <c r="B1076" s="54" t="s">
        <v>2025</v>
      </c>
      <c r="C1076" s="55" t="s">
        <v>2037</v>
      </c>
      <c r="D1076" s="77" t="s">
        <v>1177</v>
      </c>
      <c r="E1076" s="55" t="s">
        <v>1951</v>
      </c>
      <c r="F1076" s="55" t="s">
        <v>661</v>
      </c>
      <c r="G1076" s="77" t="s">
        <v>169</v>
      </c>
      <c r="H1076" s="77" t="s">
        <v>654</v>
      </c>
      <c r="I1076" s="55"/>
      <c r="J1076" s="56" t="s">
        <v>708</v>
      </c>
      <c r="K1076" s="118">
        <f>ROUND(Tableau15[[#This Row],[LEN]]*7.27,0)</f>
        <v>334</v>
      </c>
      <c r="L1076" s="118">
        <v>11</v>
      </c>
      <c r="M1076" s="135" t="str">
        <f t="shared" si="7"/>
        <v>none</v>
      </c>
      <c r="N1076" s="118">
        <f>LEN(Tableau15[[#This Row],[LABEL]])</f>
        <v>46</v>
      </c>
      <c r="O1076" s="118">
        <v>11</v>
      </c>
      <c r="P1076" s="118" t="e">
        <f>ROUND(Tableau15[[#This Row],[LEN]]*#REF!+#REF!,0)</f>
        <v>#REF!</v>
      </c>
    </row>
    <row r="1077" spans="1:16" s="97" customFormat="1" x14ac:dyDescent="0.25">
      <c r="A1077" s="53" t="s">
        <v>2043</v>
      </c>
      <c r="B1077" s="54" t="s">
        <v>2025</v>
      </c>
      <c r="C1077" s="55" t="s">
        <v>2038</v>
      </c>
      <c r="D1077" s="77" t="s">
        <v>1177</v>
      </c>
      <c r="E1077" s="55" t="s">
        <v>1951</v>
      </c>
      <c r="F1077" s="55" t="s">
        <v>661</v>
      </c>
      <c r="G1077" s="77" t="s">
        <v>169</v>
      </c>
      <c r="H1077" s="77" t="s">
        <v>654</v>
      </c>
      <c r="I1077" s="55"/>
      <c r="J1077" s="56" t="s">
        <v>708</v>
      </c>
      <c r="K1077" s="118">
        <f>ROUND(Tableau15[[#This Row],[LEN]]*7.27,0)</f>
        <v>95</v>
      </c>
      <c r="L1077" s="118">
        <v>12</v>
      </c>
      <c r="M1077" s="135" t="str">
        <f t="shared" si="7"/>
        <v>none</v>
      </c>
      <c r="N1077" s="118">
        <f>LEN(Tableau15[[#This Row],[LABEL]])</f>
        <v>13</v>
      </c>
      <c r="O1077" s="118">
        <v>12</v>
      </c>
      <c r="P1077" s="118" t="e">
        <f>ROUND(Tableau15[[#This Row],[LEN]]*#REF!+#REF!,0)</f>
        <v>#REF!</v>
      </c>
    </row>
    <row r="1078" spans="1:16" s="97" customFormat="1" x14ac:dyDescent="0.25">
      <c r="A1078" s="53" t="s">
        <v>2044</v>
      </c>
      <c r="B1078" s="54" t="s">
        <v>2025</v>
      </c>
      <c r="C1078" s="55" t="s">
        <v>2039</v>
      </c>
      <c r="D1078" s="77" t="s">
        <v>1177</v>
      </c>
      <c r="E1078" s="55" t="s">
        <v>1951</v>
      </c>
      <c r="F1078" s="55" t="s">
        <v>661</v>
      </c>
      <c r="G1078" s="77" t="s">
        <v>169</v>
      </c>
      <c r="H1078" s="77" t="s">
        <v>654</v>
      </c>
      <c r="I1078" s="55"/>
      <c r="J1078" s="56" t="s">
        <v>708</v>
      </c>
      <c r="K1078" s="118">
        <f>ROUND(Tableau15[[#This Row],[LEN]]*7.27,0)</f>
        <v>589</v>
      </c>
      <c r="L1078" s="118">
        <v>13</v>
      </c>
      <c r="M1078" s="135" t="str">
        <f t="shared" si="7"/>
        <v>none</v>
      </c>
      <c r="N1078" s="118">
        <f>LEN(Tableau15[[#This Row],[LABEL]])</f>
        <v>81</v>
      </c>
      <c r="O1078" s="118">
        <v>13</v>
      </c>
      <c r="P1078" s="118" t="e">
        <f>ROUND(Tableau15[[#This Row],[LEN]]*#REF!+#REF!,0)</f>
        <v>#REF!</v>
      </c>
    </row>
    <row r="1079" spans="1:16" s="97" customFormat="1" x14ac:dyDescent="0.25">
      <c r="A1079" s="53" t="s">
        <v>2045</v>
      </c>
      <c r="B1079" s="54" t="s">
        <v>2025</v>
      </c>
      <c r="C1079" s="55" t="s">
        <v>2030</v>
      </c>
      <c r="D1079" s="77" t="s">
        <v>1177</v>
      </c>
      <c r="E1079" s="55" t="s">
        <v>1951</v>
      </c>
      <c r="F1079" s="55" t="s">
        <v>661</v>
      </c>
      <c r="G1079" s="77" t="s">
        <v>169</v>
      </c>
      <c r="H1079" s="77" t="s">
        <v>654</v>
      </c>
      <c r="I1079" s="55"/>
      <c r="J1079" s="56" t="s">
        <v>708</v>
      </c>
      <c r="K1079" s="118">
        <f>ROUND(Tableau15[[#This Row],[LEN]]*7.27,0)</f>
        <v>211</v>
      </c>
      <c r="L1079" s="118">
        <v>14</v>
      </c>
      <c r="M1079" s="135" t="str">
        <f t="shared" si="7"/>
        <v>none</v>
      </c>
      <c r="N1079" s="118">
        <f>LEN(Tableau15[[#This Row],[LABEL]])</f>
        <v>29</v>
      </c>
      <c r="O1079" s="118">
        <v>14</v>
      </c>
      <c r="P1079" s="118" t="e">
        <f>ROUND(Tableau15[[#This Row],[LEN]]*#REF!+#REF!,0)</f>
        <v>#REF!</v>
      </c>
    </row>
    <row r="1080" spans="1:16" s="97" customFormat="1" x14ac:dyDescent="0.25">
      <c r="A1080" s="53" t="s">
        <v>2046</v>
      </c>
      <c r="B1080" s="54" t="s">
        <v>2025</v>
      </c>
      <c r="C1080" s="55" t="s">
        <v>2031</v>
      </c>
      <c r="D1080" s="77" t="s">
        <v>1177</v>
      </c>
      <c r="E1080" s="55" t="s">
        <v>1951</v>
      </c>
      <c r="F1080" s="55" t="s">
        <v>661</v>
      </c>
      <c r="G1080" s="77" t="s">
        <v>169</v>
      </c>
      <c r="H1080" s="77" t="s">
        <v>654</v>
      </c>
      <c r="I1080" s="55"/>
      <c r="J1080" s="56" t="s">
        <v>708</v>
      </c>
      <c r="K1080" s="118">
        <f>ROUND(Tableau15[[#This Row],[LEN]]*7.27,0)</f>
        <v>313</v>
      </c>
      <c r="L1080" s="118">
        <v>15</v>
      </c>
      <c r="M1080" s="135" t="str">
        <f t="shared" si="7"/>
        <v>none</v>
      </c>
      <c r="N1080" s="118">
        <f>LEN(Tableau15[[#This Row],[LABEL]])</f>
        <v>43</v>
      </c>
      <c r="O1080" s="118">
        <v>15</v>
      </c>
      <c r="P1080" s="118" t="e">
        <f>ROUND(Tableau15[[#This Row],[LEN]]*#REF!+#REF!,0)</f>
        <v>#REF!</v>
      </c>
    </row>
    <row r="1081" spans="1:16" s="97" customFormat="1" x14ac:dyDescent="0.25">
      <c r="A1081" s="49" t="s">
        <v>2026</v>
      </c>
      <c r="B1081" s="50" t="s">
        <v>2020</v>
      </c>
      <c r="C1081" s="51" t="s">
        <v>598</v>
      </c>
      <c r="D1081" s="76" t="s">
        <v>1177</v>
      </c>
      <c r="E1081" s="51" t="s">
        <v>673</v>
      </c>
      <c r="F1081" s="51" t="s">
        <v>2035</v>
      </c>
      <c r="G1081" s="76" t="s">
        <v>169</v>
      </c>
      <c r="H1081" s="76" t="s">
        <v>654</v>
      </c>
      <c r="I1081" s="51"/>
      <c r="J1081" s="52" t="s">
        <v>708</v>
      </c>
      <c r="K1081" s="117">
        <f>ROUND(Tableau15[[#This Row],[LEN]]*7.27,0)</f>
        <v>553</v>
      </c>
      <c r="L1081" s="117">
        <v>15</v>
      </c>
      <c r="M1081" s="134" t="str">
        <f t="shared" si="7"/>
        <v>none</v>
      </c>
      <c r="N1081" s="117">
        <f>LEN(Tableau15[[#This Row],[LABEL]])</f>
        <v>76</v>
      </c>
      <c r="O1081" s="117">
        <v>15</v>
      </c>
      <c r="P1081" s="117" t="e">
        <f>ROUND(Tableau15[[#This Row],[LEN]]*#REF!+#REF!,0)</f>
        <v>#REF!</v>
      </c>
    </row>
    <row r="1082" spans="1:16" s="97" customFormat="1" x14ac:dyDescent="0.25">
      <c r="A1082" s="49" t="s">
        <v>2027</v>
      </c>
      <c r="B1082" s="50" t="s">
        <v>2020</v>
      </c>
      <c r="C1082" s="51" t="s">
        <v>2047</v>
      </c>
      <c r="D1082" s="76" t="s">
        <v>1177</v>
      </c>
      <c r="E1082" s="51" t="s">
        <v>1951</v>
      </c>
      <c r="F1082" s="51" t="s">
        <v>1177</v>
      </c>
      <c r="G1082" s="76" t="s">
        <v>169</v>
      </c>
      <c r="H1082" s="76" t="s">
        <v>654</v>
      </c>
      <c r="I1082" s="51"/>
      <c r="J1082" s="52" t="s">
        <v>708</v>
      </c>
      <c r="K1082" s="117">
        <f>ROUND(Tableau15[[#This Row],[LEN]]*7.27,0)</f>
        <v>233</v>
      </c>
      <c r="L1082" s="117">
        <v>15</v>
      </c>
      <c r="M1082" s="134" t="str">
        <f t="shared" si="7"/>
        <v>none</v>
      </c>
      <c r="N1082" s="117">
        <f>LEN(Tableau15[[#This Row],[LABEL]])</f>
        <v>32</v>
      </c>
      <c r="O1082" s="117">
        <v>15</v>
      </c>
      <c r="P1082" s="117" t="e">
        <f>ROUND(Tableau15[[#This Row],[LEN]]*#REF!+#REF!,0)</f>
        <v>#REF!</v>
      </c>
    </row>
    <row r="1083" spans="1:16" s="97" customFormat="1" ht="15.75" thickBot="1" x14ac:dyDescent="0.3">
      <c r="A1083" s="49" t="s">
        <v>2028</v>
      </c>
      <c r="B1083" s="50" t="s">
        <v>2020</v>
      </c>
      <c r="C1083" s="51" t="s">
        <v>2048</v>
      </c>
      <c r="D1083" s="76" t="s">
        <v>1177</v>
      </c>
      <c r="E1083" s="51" t="s">
        <v>1951</v>
      </c>
      <c r="F1083" s="51" t="s">
        <v>1177</v>
      </c>
      <c r="G1083" s="76" t="s">
        <v>169</v>
      </c>
      <c r="H1083" s="76" t="s">
        <v>654</v>
      </c>
      <c r="I1083" s="51"/>
      <c r="J1083" s="52" t="s">
        <v>708</v>
      </c>
      <c r="K1083" s="117">
        <f>ROUND(Tableau15[[#This Row],[LEN]]*7.27,0)</f>
        <v>225</v>
      </c>
      <c r="L1083" s="117">
        <v>15</v>
      </c>
      <c r="M1083" s="134" t="str">
        <f t="shared" si="7"/>
        <v>none</v>
      </c>
      <c r="N1083" s="117">
        <f>LEN(Tableau15[[#This Row],[LABEL]])</f>
        <v>31</v>
      </c>
      <c r="O1083" s="117">
        <v>15</v>
      </c>
      <c r="P1083" s="117" t="e">
        <f>ROUND(Tableau15[[#This Row],[LEN]]*#REF!+#REF!,0)</f>
        <v>#REF!</v>
      </c>
    </row>
    <row r="1084" spans="1:16" s="92" customFormat="1" ht="16.5" thickTop="1" thickBot="1" x14ac:dyDescent="0.3">
      <c r="A1084" s="198" t="s">
        <v>210</v>
      </c>
      <c r="B1084" s="198" t="s">
        <v>203</v>
      </c>
      <c r="C1084" s="199" t="s">
        <v>178</v>
      </c>
      <c r="D1084" s="200" t="s">
        <v>474</v>
      </c>
      <c r="E1084" s="199" t="s">
        <v>1177</v>
      </c>
      <c r="F1084" s="200" t="s">
        <v>1084</v>
      </c>
      <c r="G1084" s="199" t="s">
        <v>170</v>
      </c>
      <c r="H1084" s="199" t="s">
        <v>616</v>
      </c>
      <c r="I1084" s="200"/>
      <c r="J1084" s="201" t="s">
        <v>708</v>
      </c>
      <c r="K1084" s="202">
        <f>ROUND(Tableau15[[#This Row],[LEN]]*7.27,0)</f>
        <v>102</v>
      </c>
      <c r="L1084" s="202">
        <v>15</v>
      </c>
      <c r="M1084" s="203" t="str">
        <f t="shared" si="7"/>
        <v>none</v>
      </c>
      <c r="N1084" s="202">
        <f>LEN(Tableau15[[#This Row],[LABEL]])</f>
        <v>14</v>
      </c>
      <c r="O1084" s="204">
        <v>15</v>
      </c>
      <c r="P1084" s="204" t="e">
        <f>ROUND(Tableau15[[#This Row],[LEN]]*#REF!+#REF!,0)</f>
        <v>#REF!</v>
      </c>
    </row>
    <row r="1085" spans="1:16" s="273" customFormat="1" ht="15.75" thickTop="1" x14ac:dyDescent="0.25">
      <c r="A1085" s="372" t="s">
        <v>321</v>
      </c>
      <c r="B1085" s="373" t="s">
        <v>210</v>
      </c>
      <c r="C1085" s="374" t="s">
        <v>57</v>
      </c>
      <c r="D1085" s="375" t="s">
        <v>1177</v>
      </c>
      <c r="E1085" s="374" t="s">
        <v>663</v>
      </c>
      <c r="F1085" s="374" t="s">
        <v>1177</v>
      </c>
      <c r="G1085" s="375" t="s">
        <v>170</v>
      </c>
      <c r="H1085" s="375" t="str">
        <f>IFERROR(IF(SEARCH(".00.00.00.00.00",Tableau15[[#This Row],[name]],1)=7,"Division",""),"")</f>
        <v>Division</v>
      </c>
      <c r="I1085" s="374"/>
      <c r="J1085" s="376" t="s">
        <v>708</v>
      </c>
      <c r="K1085" s="377">
        <f>ROUND(Tableau15[[#This Row],[LEN]]*7.27,0)</f>
        <v>102</v>
      </c>
      <c r="L1085" s="377">
        <v>15</v>
      </c>
      <c r="M1085" s="378" t="str">
        <f t="shared" si="7"/>
        <v>none</v>
      </c>
      <c r="N1085" s="377">
        <f>LEN(Tableau15[[#This Row],[LABEL]])</f>
        <v>14</v>
      </c>
      <c r="O1085" s="377">
        <v>15</v>
      </c>
      <c r="P1085" s="377" t="e">
        <f>ROUND(Tableau15[[#This Row],[LEN]]*#REF!+#REF!,0)</f>
        <v>#REF!</v>
      </c>
    </row>
    <row r="1086" spans="1:16" s="97" customFormat="1" x14ac:dyDescent="0.25">
      <c r="A1086" s="61" t="s">
        <v>906</v>
      </c>
      <c r="B1086" s="62" t="s">
        <v>321</v>
      </c>
      <c r="C1086" s="63" t="s">
        <v>1875</v>
      </c>
      <c r="D1086" s="79" t="s">
        <v>1177</v>
      </c>
      <c r="E1086" s="63" t="s">
        <v>684</v>
      </c>
      <c r="F1086" s="63" t="s">
        <v>2086</v>
      </c>
      <c r="G1086" s="79" t="s">
        <v>170</v>
      </c>
      <c r="H1086" s="79" t="s">
        <v>656</v>
      </c>
      <c r="I1086" s="63"/>
      <c r="J1086" s="64" t="s">
        <v>708</v>
      </c>
      <c r="K1086" s="120">
        <f>ROUND(Tableau15[[#This Row],[LEN]]*7.27,0)</f>
        <v>291</v>
      </c>
      <c r="L1086" s="120">
        <v>15</v>
      </c>
      <c r="M1086" s="137" t="str">
        <f t="shared" si="7"/>
        <v>none</v>
      </c>
      <c r="N1086" s="120">
        <f>LEN(Tableau15[[#This Row],[LABEL]])</f>
        <v>40</v>
      </c>
      <c r="O1086" s="120">
        <v>15</v>
      </c>
      <c r="P1086" s="120" t="e">
        <f>ROUND(Tableau15[[#This Row],[LEN]]*#REF!+#REF!,0)</f>
        <v>#REF!</v>
      </c>
    </row>
    <row r="1087" spans="1:16" s="97" customFormat="1" x14ac:dyDescent="0.25">
      <c r="A1087" s="61" t="s">
        <v>907</v>
      </c>
      <c r="B1087" s="62" t="s">
        <v>321</v>
      </c>
      <c r="C1087" s="63" t="s">
        <v>903</v>
      </c>
      <c r="D1087" s="79" t="s">
        <v>1177</v>
      </c>
      <c r="E1087" s="63" t="s">
        <v>663</v>
      </c>
      <c r="F1087" s="63" t="s">
        <v>1177</v>
      </c>
      <c r="G1087" s="79" t="s">
        <v>170</v>
      </c>
      <c r="H1087" s="79" t="s">
        <v>654</v>
      </c>
      <c r="I1087" s="63"/>
      <c r="J1087" s="64" t="s">
        <v>708</v>
      </c>
      <c r="K1087" s="120">
        <f>ROUND(Tableau15[[#This Row],[LEN]]*7.27,0)</f>
        <v>225</v>
      </c>
      <c r="L1087" s="120">
        <v>15</v>
      </c>
      <c r="M1087" s="137" t="str">
        <f t="shared" si="7"/>
        <v>none</v>
      </c>
      <c r="N1087" s="120">
        <f>LEN(Tableau15[[#This Row],[LABEL]])</f>
        <v>31</v>
      </c>
      <c r="O1087" s="120">
        <v>15</v>
      </c>
      <c r="P1087" s="120" t="e">
        <f>ROUND(Tableau15[[#This Row],[LEN]]*#REF!+#REF!,0)</f>
        <v>#REF!</v>
      </c>
    </row>
    <row r="1088" spans="1:16" s="97" customFormat="1" x14ac:dyDescent="0.25">
      <c r="A1088" s="61" t="s">
        <v>908</v>
      </c>
      <c r="B1088" s="62" t="s">
        <v>321</v>
      </c>
      <c r="C1088" s="63" t="s">
        <v>904</v>
      </c>
      <c r="D1088" s="79" t="s">
        <v>1177</v>
      </c>
      <c r="E1088" s="63" t="s">
        <v>663</v>
      </c>
      <c r="F1088" s="63" t="s">
        <v>1177</v>
      </c>
      <c r="G1088" s="79" t="s">
        <v>170</v>
      </c>
      <c r="H1088" s="79" t="s">
        <v>654</v>
      </c>
      <c r="I1088" s="63"/>
      <c r="J1088" s="64" t="s">
        <v>708</v>
      </c>
      <c r="K1088" s="120">
        <f>ROUND(Tableau15[[#This Row],[LEN]]*7.27,0)</f>
        <v>247</v>
      </c>
      <c r="L1088" s="120">
        <v>15</v>
      </c>
      <c r="M1088" s="137" t="str">
        <f t="shared" si="7"/>
        <v>none</v>
      </c>
      <c r="N1088" s="120">
        <f>LEN(Tableau15[[#This Row],[LABEL]])</f>
        <v>34</v>
      </c>
      <c r="O1088" s="120">
        <v>15</v>
      </c>
      <c r="P1088" s="120" t="e">
        <f>ROUND(Tableau15[[#This Row],[LEN]]*#REF!+#REF!,0)</f>
        <v>#REF!</v>
      </c>
    </row>
    <row r="1089" spans="1:16" s="97" customFormat="1" x14ac:dyDescent="0.25">
      <c r="A1089" s="61" t="s">
        <v>909</v>
      </c>
      <c r="B1089" s="62" t="s">
        <v>321</v>
      </c>
      <c r="C1089" s="63" t="s">
        <v>905</v>
      </c>
      <c r="D1089" s="79" t="s">
        <v>1177</v>
      </c>
      <c r="E1089" s="63" t="s">
        <v>663</v>
      </c>
      <c r="F1089" s="63" t="s">
        <v>1177</v>
      </c>
      <c r="G1089" s="79" t="s">
        <v>170</v>
      </c>
      <c r="H1089" s="79" t="s">
        <v>654</v>
      </c>
      <c r="I1089" s="63"/>
      <c r="J1089" s="64" t="s">
        <v>708</v>
      </c>
      <c r="K1089" s="120">
        <f>ROUND(Tableau15[[#This Row],[LEN]]*7.27,0)</f>
        <v>124</v>
      </c>
      <c r="L1089" s="120">
        <v>15</v>
      </c>
      <c r="M1089" s="137" t="str">
        <f t="shared" si="7"/>
        <v>none</v>
      </c>
      <c r="N1089" s="120">
        <f>LEN(Tableau15[[#This Row],[LABEL]])</f>
        <v>17</v>
      </c>
      <c r="O1089" s="120">
        <v>15</v>
      </c>
      <c r="P1089" s="120" t="e">
        <f>ROUND(Tableau15[[#This Row],[LEN]]*#REF!+#REF!,0)</f>
        <v>#REF!</v>
      </c>
    </row>
    <row r="1090" spans="1:16" s="97" customFormat="1" x14ac:dyDescent="0.25">
      <c r="A1090" s="61" t="s">
        <v>910</v>
      </c>
      <c r="B1090" s="62" t="s">
        <v>321</v>
      </c>
      <c r="C1090" s="63" t="s">
        <v>602</v>
      </c>
      <c r="D1090" s="79" t="s">
        <v>1177</v>
      </c>
      <c r="E1090" s="63" t="s">
        <v>661</v>
      </c>
      <c r="F1090" s="63" t="s">
        <v>1874</v>
      </c>
      <c r="G1090" s="79" t="s">
        <v>170</v>
      </c>
      <c r="H1090" s="79" t="s">
        <v>656</v>
      </c>
      <c r="I1090" s="63"/>
      <c r="J1090" s="64" t="s">
        <v>708</v>
      </c>
      <c r="K1090" s="120">
        <f>ROUND(Tableau15[[#This Row],[LEN]]*7.27,0)</f>
        <v>553</v>
      </c>
      <c r="L1090" s="120">
        <v>15</v>
      </c>
      <c r="M1090" s="137" t="str">
        <f t="shared" si="7"/>
        <v>none</v>
      </c>
      <c r="N1090" s="120">
        <f>LEN(Tableau15[[#This Row],[LABEL]])</f>
        <v>76</v>
      </c>
      <c r="O1090" s="120">
        <v>15</v>
      </c>
      <c r="P1090" s="120" t="e">
        <f>ROUND(Tableau15[[#This Row],[LEN]]*#REF!+#REF!,0)</f>
        <v>#REF!</v>
      </c>
    </row>
    <row r="1091" spans="1:16" s="97" customFormat="1" x14ac:dyDescent="0.25">
      <c r="A1091" s="61" t="s">
        <v>911</v>
      </c>
      <c r="B1091" s="62" t="s">
        <v>321</v>
      </c>
      <c r="C1091" s="63" t="s">
        <v>50</v>
      </c>
      <c r="D1091" s="79" t="s">
        <v>1177</v>
      </c>
      <c r="E1091" s="63" t="s">
        <v>1177</v>
      </c>
      <c r="F1091" s="63" t="s">
        <v>1084</v>
      </c>
      <c r="G1091" s="79" t="s">
        <v>1978</v>
      </c>
      <c r="H1091" s="79" t="s">
        <v>1131</v>
      </c>
      <c r="I1091" s="63"/>
      <c r="J1091" s="64" t="s">
        <v>708</v>
      </c>
      <c r="K1091" s="120">
        <f>ROUND(Tableau15[[#This Row],[LEN]]*7.27,0)</f>
        <v>87</v>
      </c>
      <c r="L1091" s="120">
        <v>15</v>
      </c>
      <c r="M1091" s="137" t="str">
        <f t="shared" si="7"/>
        <v>none</v>
      </c>
      <c r="N1091" s="120">
        <f>LEN(Tableau15[[#This Row],[LABEL]])</f>
        <v>12</v>
      </c>
      <c r="O1091" s="120">
        <v>15</v>
      </c>
      <c r="P1091" s="120" t="e">
        <f>ROUND(Tableau15[[#This Row],[LEN]]*#REF!+#REF!,0)</f>
        <v>#REF!</v>
      </c>
    </row>
    <row r="1092" spans="1:16" s="97" customFormat="1" x14ac:dyDescent="0.25">
      <c r="A1092" s="61" t="s">
        <v>912</v>
      </c>
      <c r="B1092" s="62" t="s">
        <v>321</v>
      </c>
      <c r="C1092" s="63" t="s">
        <v>603</v>
      </c>
      <c r="D1092" s="79" t="s">
        <v>1177</v>
      </c>
      <c r="E1092" s="63" t="s">
        <v>1177</v>
      </c>
      <c r="F1092" s="63" t="s">
        <v>1084</v>
      </c>
      <c r="G1092" s="79" t="s">
        <v>1977</v>
      </c>
      <c r="H1092" s="79" t="s">
        <v>1131</v>
      </c>
      <c r="I1092" s="63"/>
      <c r="J1092" s="64" t="s">
        <v>708</v>
      </c>
      <c r="K1092" s="120">
        <f>ROUND(Tableau15[[#This Row],[LEN]]*7.27,0)</f>
        <v>247</v>
      </c>
      <c r="L1092" s="120">
        <v>15</v>
      </c>
      <c r="M1092" s="137" t="str">
        <f t="shared" si="7"/>
        <v>none</v>
      </c>
      <c r="N1092" s="120">
        <f>LEN(Tableau15[[#This Row],[LABEL]])</f>
        <v>34</v>
      </c>
      <c r="O1092" s="120">
        <v>15</v>
      </c>
      <c r="P1092" s="120" t="e">
        <f>ROUND(Tableau15[[#This Row],[LEN]]*#REF!+#REF!,0)</f>
        <v>#REF!</v>
      </c>
    </row>
    <row r="1093" spans="1:16" s="273" customFormat="1" x14ac:dyDescent="0.25">
      <c r="A1093" s="372" t="s">
        <v>323</v>
      </c>
      <c r="B1093" s="373" t="s">
        <v>210</v>
      </c>
      <c r="C1093" s="374" t="s">
        <v>3</v>
      </c>
      <c r="D1093" s="375" t="s">
        <v>1177</v>
      </c>
      <c r="E1093" s="374" t="s">
        <v>661</v>
      </c>
      <c r="F1093" s="374" t="s">
        <v>1177</v>
      </c>
      <c r="G1093" s="375" t="s">
        <v>170</v>
      </c>
      <c r="H1093" s="375" t="str">
        <f>IFERROR(IF(SEARCH(".00.00.00.00.00",Tableau15[[#This Row],[name]],1)=7,"Division",""),"")</f>
        <v>Division</v>
      </c>
      <c r="I1093" s="374"/>
      <c r="J1093" s="376" t="s">
        <v>708</v>
      </c>
      <c r="K1093" s="377">
        <f>ROUND(Tableau15[[#This Row],[LEN]]*7.27,0)</f>
        <v>73</v>
      </c>
      <c r="L1093" s="377">
        <v>15</v>
      </c>
      <c r="M1093" s="378" t="str">
        <f t="shared" si="7"/>
        <v>none</v>
      </c>
      <c r="N1093" s="377">
        <f>LEN(Tableau15[[#This Row],[LABEL]])</f>
        <v>10</v>
      </c>
      <c r="O1093" s="377">
        <v>15</v>
      </c>
      <c r="P1093" s="377" t="e">
        <f>ROUND(Tableau15[[#This Row],[LEN]]*#REF!+#REF!,0)</f>
        <v>#REF!</v>
      </c>
    </row>
    <row r="1094" spans="1:16" s="97" customFormat="1" x14ac:dyDescent="0.25">
      <c r="A1094" s="61" t="s">
        <v>604</v>
      </c>
      <c r="B1094" s="62" t="s">
        <v>323</v>
      </c>
      <c r="C1094" s="63" t="s">
        <v>1875</v>
      </c>
      <c r="D1094" s="79" t="s">
        <v>1177</v>
      </c>
      <c r="E1094" s="63" t="s">
        <v>684</v>
      </c>
      <c r="F1094" s="63" t="s">
        <v>2086</v>
      </c>
      <c r="G1094" s="79" t="s">
        <v>170</v>
      </c>
      <c r="H1094" s="79" t="s">
        <v>656</v>
      </c>
      <c r="I1094" s="63"/>
      <c r="J1094" s="64" t="s">
        <v>708</v>
      </c>
      <c r="K1094" s="120">
        <f>ROUND(Tableau15[[#This Row],[LEN]]*7.27,0)</f>
        <v>291</v>
      </c>
      <c r="L1094" s="120">
        <v>15</v>
      </c>
      <c r="M1094" s="137" t="str">
        <f t="shared" si="7"/>
        <v>none</v>
      </c>
      <c r="N1094" s="120">
        <f>LEN(Tableau15[[#This Row],[LABEL]])</f>
        <v>40</v>
      </c>
      <c r="O1094" s="120">
        <v>15</v>
      </c>
      <c r="P1094" s="120" t="e">
        <f>ROUND(Tableau15[[#This Row],[LEN]]*#REF!+#REF!,0)</f>
        <v>#REF!</v>
      </c>
    </row>
    <row r="1095" spans="1:16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1177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120">
        <f>ROUND(Tableau15[[#This Row],[LEN]]*7.27,0)</f>
        <v>211</v>
      </c>
      <c r="L1095" s="120">
        <v>15</v>
      </c>
      <c r="M1095" s="137" t="str">
        <f t="shared" si="7"/>
        <v>none</v>
      </c>
      <c r="N1095" s="120">
        <f>LEN(Tableau15[[#This Row],[LABEL]])</f>
        <v>29</v>
      </c>
      <c r="O1095" s="120">
        <v>15</v>
      </c>
      <c r="P1095" s="120" t="e">
        <f>ROUND(Tableau15[[#This Row],[LEN]]*#REF!+#REF!,0)</f>
        <v>#REF!</v>
      </c>
    </row>
    <row r="1096" spans="1:16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1177</v>
      </c>
      <c r="E1096" s="63" t="s">
        <v>661</v>
      </c>
      <c r="F1096" s="63" t="s">
        <v>1874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ROUND(Tableau15[[#This Row],[LEN]]*7.27,0)</f>
        <v>553</v>
      </c>
      <c r="L1096" s="120">
        <v>15</v>
      </c>
      <c r="M1096" s="137" t="str">
        <f t="shared" si="7"/>
        <v>none</v>
      </c>
      <c r="N1096" s="120">
        <f>LEN(Tableau15[[#This Row],[LABEL]])</f>
        <v>76</v>
      </c>
      <c r="O1096" s="120">
        <v>15</v>
      </c>
      <c r="P1096" s="120" t="e">
        <f>ROUND(Tableau15[[#This Row],[LEN]]*#REF!+#REF!,0)</f>
        <v>#REF!</v>
      </c>
    </row>
    <row r="1097" spans="1:16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1177</v>
      </c>
      <c r="E1097" s="63" t="s">
        <v>1177</v>
      </c>
      <c r="F1097" s="63" t="s">
        <v>1084</v>
      </c>
      <c r="G1097" s="79" t="s">
        <v>1978</v>
      </c>
      <c r="H1097" s="79" t="s">
        <v>1131</v>
      </c>
      <c r="I1097" s="63"/>
      <c r="J1097" s="64" t="s">
        <v>708</v>
      </c>
      <c r="K1097" s="120">
        <f>ROUND(Tableau15[[#This Row],[LEN]]*7.27,0)</f>
        <v>87</v>
      </c>
      <c r="L1097" s="120">
        <v>15</v>
      </c>
      <c r="M1097" s="137" t="str">
        <f t="shared" si="7"/>
        <v>none</v>
      </c>
      <c r="N1097" s="120">
        <f>LEN(Tableau15[[#This Row],[LABEL]])</f>
        <v>12</v>
      </c>
      <c r="O1097" s="120">
        <v>15</v>
      </c>
      <c r="P1097" s="120" t="e">
        <f>ROUND(Tableau15[[#This Row],[LEN]]*#REF!+#REF!,0)</f>
        <v>#REF!</v>
      </c>
    </row>
    <row r="1098" spans="1:16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1177</v>
      </c>
      <c r="E1098" s="63" t="s">
        <v>1177</v>
      </c>
      <c r="F1098" s="63" t="s">
        <v>1084</v>
      </c>
      <c r="G1098" s="79" t="s">
        <v>1977</v>
      </c>
      <c r="H1098" s="79" t="s">
        <v>1131</v>
      </c>
      <c r="I1098" s="63"/>
      <c r="J1098" s="64" t="s">
        <v>708</v>
      </c>
      <c r="K1098" s="120">
        <f>ROUND(Tableau15[[#This Row],[LEN]]*7.27,0)</f>
        <v>247</v>
      </c>
      <c r="L1098" s="120">
        <v>15</v>
      </c>
      <c r="M1098" s="137" t="str">
        <f t="shared" si="7"/>
        <v>none</v>
      </c>
      <c r="N1098" s="120">
        <f>LEN(Tableau15[[#This Row],[LABEL]])</f>
        <v>34</v>
      </c>
      <c r="O1098" s="120">
        <v>15</v>
      </c>
      <c r="P1098" s="120" t="e">
        <f>ROUND(Tableau15[[#This Row],[LEN]]*#REF!+#REF!,0)</f>
        <v>#REF!</v>
      </c>
    </row>
    <row r="1099" spans="1:16" s="273" customFormat="1" x14ac:dyDescent="0.25">
      <c r="A1099" s="372" t="s">
        <v>324</v>
      </c>
      <c r="B1099" s="373" t="s">
        <v>210</v>
      </c>
      <c r="C1099" s="374" t="s">
        <v>4</v>
      </c>
      <c r="D1099" s="375" t="s">
        <v>1177</v>
      </c>
      <c r="E1099" s="374" t="s">
        <v>666</v>
      </c>
      <c r="F1099" s="374" t="s">
        <v>1177</v>
      </c>
      <c r="G1099" s="375" t="s">
        <v>170</v>
      </c>
      <c r="H1099" s="375" t="str">
        <f>IFERROR(IF(SEARCH(".00.00.00.00.00",Tableau15[[#This Row],[name]],1)=7,"Division",""),"")</f>
        <v>Division</v>
      </c>
      <c r="I1099" s="374"/>
      <c r="J1099" s="376" t="s">
        <v>708</v>
      </c>
      <c r="K1099" s="377">
        <f>ROUND(Tableau15[[#This Row],[LEN]]*7.27,0)</f>
        <v>36</v>
      </c>
      <c r="L1099" s="377">
        <v>15</v>
      </c>
      <c r="M1099" s="378" t="str">
        <f t="shared" si="7"/>
        <v>none</v>
      </c>
      <c r="N1099" s="377">
        <f>LEN(Tableau15[[#This Row],[LABEL]])</f>
        <v>5</v>
      </c>
      <c r="O1099" s="377">
        <v>15</v>
      </c>
      <c r="P1099" s="377" t="e">
        <f>ROUND(Tableau15[[#This Row],[LEN]]*#REF!+#REF!,0)</f>
        <v>#REF!</v>
      </c>
    </row>
    <row r="1100" spans="1:16" s="97" customFormat="1" x14ac:dyDescent="0.25">
      <c r="A1100" s="61" t="s">
        <v>1869</v>
      </c>
      <c r="B1100" s="62" t="s">
        <v>324</v>
      </c>
      <c r="C1100" s="63" t="s">
        <v>1876</v>
      </c>
      <c r="D1100" s="79" t="s">
        <v>1177</v>
      </c>
      <c r="E1100" s="63" t="s">
        <v>666</v>
      </c>
      <c r="F1100" s="63" t="s">
        <v>1177</v>
      </c>
      <c r="G1100" s="79" t="s">
        <v>170</v>
      </c>
      <c r="H1100" s="79" t="s">
        <v>654</v>
      </c>
      <c r="I1100" s="63"/>
      <c r="J1100" s="64" t="s">
        <v>708</v>
      </c>
      <c r="K1100" s="120">
        <f>ROUND(Tableau15[[#This Row],[LEN]]*7.27,0)</f>
        <v>342</v>
      </c>
      <c r="L1100" s="120">
        <v>15</v>
      </c>
      <c r="M1100" s="137" t="str">
        <f t="shared" si="7"/>
        <v>none</v>
      </c>
      <c r="N1100" s="120">
        <f>LEN(Tableau15[[#This Row],[LABEL]])</f>
        <v>47</v>
      </c>
      <c r="O1100" s="120">
        <v>15</v>
      </c>
      <c r="P1100" s="120" t="e">
        <f>ROUND(Tableau15[[#This Row],[LEN]]*#REF!+#REF!,0)</f>
        <v>#REF!</v>
      </c>
    </row>
    <row r="1101" spans="1:16" s="97" customFormat="1" x14ac:dyDescent="0.25">
      <c r="A1101" s="61" t="s">
        <v>1870</v>
      </c>
      <c r="B1101" s="62" t="s">
        <v>324</v>
      </c>
      <c r="C1101" s="63" t="s">
        <v>1875</v>
      </c>
      <c r="D1101" s="79" t="s">
        <v>1177</v>
      </c>
      <c r="E1101" s="63" t="s">
        <v>684</v>
      </c>
      <c r="F1101" s="63" t="s">
        <v>2086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ROUND(Tableau15[[#This Row],[LEN]]*7.27,0)</f>
        <v>291</v>
      </c>
      <c r="L1101" s="120">
        <v>15</v>
      </c>
      <c r="M1101" s="137" t="str">
        <f t="shared" si="7"/>
        <v>none</v>
      </c>
      <c r="N1101" s="120">
        <f>LEN(Tableau15[[#This Row],[LABEL]])</f>
        <v>40</v>
      </c>
      <c r="O1101" s="120">
        <v>15</v>
      </c>
      <c r="P1101" s="120" t="e">
        <f>ROUND(Tableau15[[#This Row],[LEN]]*#REF!+#REF!,0)</f>
        <v>#REF!</v>
      </c>
    </row>
    <row r="1102" spans="1:16" s="97" customFormat="1" x14ac:dyDescent="0.25">
      <c r="A1102" s="61" t="s">
        <v>1871</v>
      </c>
      <c r="B1102" s="62" t="s">
        <v>324</v>
      </c>
      <c r="C1102" s="63" t="s">
        <v>602</v>
      </c>
      <c r="D1102" s="79" t="s">
        <v>1177</v>
      </c>
      <c r="E1102" s="63" t="s">
        <v>661</v>
      </c>
      <c r="F1102" s="63" t="s">
        <v>1874</v>
      </c>
      <c r="G1102" s="79" t="s">
        <v>170</v>
      </c>
      <c r="H1102" s="79" t="s">
        <v>656</v>
      </c>
      <c r="I1102" s="63"/>
      <c r="J1102" s="64" t="s">
        <v>708</v>
      </c>
      <c r="K1102" s="120">
        <f>ROUND(Tableau15[[#This Row],[LEN]]*7.27,0)</f>
        <v>553</v>
      </c>
      <c r="L1102" s="120">
        <v>15</v>
      </c>
      <c r="M1102" s="137" t="str">
        <f t="shared" si="7"/>
        <v>none</v>
      </c>
      <c r="N1102" s="120">
        <f>LEN(Tableau15[[#This Row],[LABEL]])</f>
        <v>76</v>
      </c>
      <c r="O1102" s="120">
        <v>15</v>
      </c>
      <c r="P1102" s="120" t="e">
        <f>ROUND(Tableau15[[#This Row],[LEN]]*#REF!+#REF!,0)</f>
        <v>#REF!</v>
      </c>
    </row>
    <row r="1103" spans="1:16" s="97" customFormat="1" x14ac:dyDescent="0.25">
      <c r="A1103" s="61" t="s">
        <v>1872</v>
      </c>
      <c r="B1103" s="62" t="s">
        <v>324</v>
      </c>
      <c r="C1103" s="63" t="s">
        <v>50</v>
      </c>
      <c r="D1103" s="79" t="s">
        <v>1177</v>
      </c>
      <c r="E1103" s="63" t="s">
        <v>1177</v>
      </c>
      <c r="F1103" s="63" t="s">
        <v>1084</v>
      </c>
      <c r="G1103" s="79" t="s">
        <v>1978</v>
      </c>
      <c r="H1103" s="79" t="s">
        <v>1131</v>
      </c>
      <c r="I1103" s="63"/>
      <c r="J1103" s="64" t="s">
        <v>708</v>
      </c>
      <c r="K1103" s="120">
        <f>ROUND(Tableau15[[#This Row],[LEN]]*7.27,0)</f>
        <v>87</v>
      </c>
      <c r="L1103" s="120">
        <v>15</v>
      </c>
      <c r="M1103" s="137" t="str">
        <f t="shared" si="7"/>
        <v>none</v>
      </c>
      <c r="N1103" s="120">
        <f>LEN(Tableau15[[#This Row],[LABEL]])</f>
        <v>12</v>
      </c>
      <c r="O1103" s="120">
        <v>15</v>
      </c>
      <c r="P1103" s="120" t="e">
        <f>ROUND(Tableau15[[#This Row],[LEN]]*#REF!+#REF!,0)</f>
        <v>#REF!</v>
      </c>
    </row>
    <row r="1104" spans="1:16" s="97" customFormat="1" x14ac:dyDescent="0.25">
      <c r="A1104" s="61" t="s">
        <v>1873</v>
      </c>
      <c r="B1104" s="62" t="s">
        <v>324</v>
      </c>
      <c r="C1104" s="63" t="s">
        <v>603</v>
      </c>
      <c r="D1104" s="79" t="s">
        <v>1177</v>
      </c>
      <c r="E1104" s="63" t="s">
        <v>1177</v>
      </c>
      <c r="F1104" s="63" t="s">
        <v>1084</v>
      </c>
      <c r="G1104" s="79" t="s">
        <v>1977</v>
      </c>
      <c r="H1104" s="79" t="s">
        <v>1131</v>
      </c>
      <c r="I1104" s="63"/>
      <c r="J1104" s="64" t="s">
        <v>708</v>
      </c>
      <c r="K1104" s="120">
        <f>ROUND(Tableau15[[#This Row],[LEN]]*7.27,0)</f>
        <v>247</v>
      </c>
      <c r="L1104" s="120">
        <v>15</v>
      </c>
      <c r="M1104" s="137" t="str">
        <f t="shared" si="7"/>
        <v>none</v>
      </c>
      <c r="N1104" s="120">
        <f>LEN(Tableau15[[#This Row],[LABEL]])</f>
        <v>34</v>
      </c>
      <c r="O1104" s="120">
        <v>15</v>
      </c>
      <c r="P1104" s="120" t="e">
        <f>ROUND(Tableau15[[#This Row],[LEN]]*#REF!+#REF!,0)</f>
        <v>#REF!</v>
      </c>
    </row>
    <row r="1105" spans="1:16" s="273" customFormat="1" x14ac:dyDescent="0.25">
      <c r="A1105" s="372" t="s">
        <v>326</v>
      </c>
      <c r="B1105" s="373" t="s">
        <v>210</v>
      </c>
      <c r="C1105" s="374" t="s">
        <v>5</v>
      </c>
      <c r="D1105" s="375" t="s">
        <v>1177</v>
      </c>
      <c r="E1105" s="374" t="s">
        <v>668</v>
      </c>
      <c r="F1105" s="374" t="s">
        <v>1177</v>
      </c>
      <c r="G1105" s="375" t="s">
        <v>170</v>
      </c>
      <c r="H1105" s="375" t="str">
        <f>IFERROR(IF(SEARCH(".00.00.00.00.00",Tableau15[[#This Row],[name]],1)=7,"Division",""),"")</f>
        <v>Division</v>
      </c>
      <c r="I1105" s="374"/>
      <c r="J1105" s="376" t="s">
        <v>708</v>
      </c>
      <c r="K1105" s="377">
        <f>ROUND(Tableau15[[#This Row],[LEN]]*7.27,0)</f>
        <v>73</v>
      </c>
      <c r="L1105" s="377">
        <v>15</v>
      </c>
      <c r="M1105" s="378" t="str">
        <f t="shared" si="7"/>
        <v>none</v>
      </c>
      <c r="N1105" s="377">
        <f>LEN(Tableau15[[#This Row],[LABEL]])</f>
        <v>10</v>
      </c>
      <c r="O1105" s="377">
        <v>15</v>
      </c>
      <c r="P1105" s="377" t="e">
        <f>ROUND(Tableau15[[#This Row],[LEN]]*#REF!+#REF!,0)</f>
        <v>#REF!</v>
      </c>
    </row>
    <row r="1106" spans="1:16" s="97" customFormat="1" x14ac:dyDescent="0.25">
      <c r="A1106" s="61" t="s">
        <v>1877</v>
      </c>
      <c r="B1106" s="62" t="s">
        <v>326</v>
      </c>
      <c r="C1106" s="63" t="s">
        <v>602</v>
      </c>
      <c r="D1106" s="79" t="s">
        <v>1177</v>
      </c>
      <c r="E1106" s="63" t="s">
        <v>661</v>
      </c>
      <c r="F1106" s="63" t="s">
        <v>1874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ROUND(Tableau15[[#This Row],[LEN]]*7.27,0)</f>
        <v>553</v>
      </c>
      <c r="L1106" s="120">
        <v>15</v>
      </c>
      <c r="M1106" s="137" t="str">
        <f t="shared" si="7"/>
        <v>none</v>
      </c>
      <c r="N1106" s="120">
        <f>LEN(Tableau15[[#This Row],[LABEL]])</f>
        <v>76</v>
      </c>
      <c r="O1106" s="120">
        <v>15</v>
      </c>
      <c r="P1106" s="120" t="e">
        <f>ROUND(Tableau15[[#This Row],[LEN]]*#REF!+#REF!,0)</f>
        <v>#REF!</v>
      </c>
    </row>
    <row r="1107" spans="1:16" s="273" customFormat="1" x14ac:dyDescent="0.25">
      <c r="A1107" s="372" t="s">
        <v>327</v>
      </c>
      <c r="B1107" s="373" t="s">
        <v>210</v>
      </c>
      <c r="C1107" s="374" t="s">
        <v>6</v>
      </c>
      <c r="D1107" s="375" t="s">
        <v>1177</v>
      </c>
      <c r="E1107" s="374" t="s">
        <v>669</v>
      </c>
      <c r="F1107" s="374" t="s">
        <v>1177</v>
      </c>
      <c r="G1107" s="375" t="s">
        <v>170</v>
      </c>
      <c r="H1107" s="375" t="str">
        <f>IFERROR(IF(SEARCH(".00.00.00.00.00",Tableau15[[#This Row],[name]],1)=7,"Division",""),"")</f>
        <v>Division</v>
      </c>
      <c r="I1107" s="374"/>
      <c r="J1107" s="376" t="s">
        <v>708</v>
      </c>
      <c r="K1107" s="377">
        <f>ROUND(Tableau15[[#This Row],[LEN]]*7.27,0)</f>
        <v>196</v>
      </c>
      <c r="L1107" s="377">
        <v>15</v>
      </c>
      <c r="M1107" s="378" t="str">
        <f t="shared" si="7"/>
        <v>none</v>
      </c>
      <c r="N1107" s="377">
        <f>LEN(Tableau15[[#This Row],[LABEL]])</f>
        <v>27</v>
      </c>
      <c r="O1107" s="377">
        <v>15</v>
      </c>
      <c r="P1107" s="377" t="e">
        <f>ROUND(Tableau15[[#This Row],[LEN]]*#REF!+#REF!,0)</f>
        <v>#REF!</v>
      </c>
    </row>
    <row r="1108" spans="1:16" s="97" customFormat="1" x14ac:dyDescent="0.25">
      <c r="A1108" s="61" t="s">
        <v>1886</v>
      </c>
      <c r="B1108" s="62" t="s">
        <v>327</v>
      </c>
      <c r="C1108" s="63" t="s">
        <v>1890</v>
      </c>
      <c r="D1108" s="79" t="s">
        <v>1891</v>
      </c>
      <c r="E1108" s="63" t="s">
        <v>669</v>
      </c>
      <c r="F1108" s="63" t="s">
        <v>1177</v>
      </c>
      <c r="G1108" s="79" t="s">
        <v>170</v>
      </c>
      <c r="H1108" s="79" t="s">
        <v>570</v>
      </c>
      <c r="I1108" s="63"/>
      <c r="J1108" s="64" t="s">
        <v>708</v>
      </c>
      <c r="K1108" s="120">
        <f>ROUND(Tableau15[[#This Row],[LEN]]*7.27,0)</f>
        <v>327</v>
      </c>
      <c r="L1108" s="120">
        <v>15</v>
      </c>
      <c r="M1108" s="137" t="str">
        <f t="shared" si="7"/>
        <v>none</v>
      </c>
      <c r="N1108" s="120">
        <f>LEN(Tableau15[[#This Row],[LABEL]])</f>
        <v>45</v>
      </c>
      <c r="O1108" s="120">
        <v>15</v>
      </c>
      <c r="P1108" s="120" t="e">
        <f>ROUND(Tableau15[[#This Row],[LEN]]*#REF!+#REF!,0)</f>
        <v>#REF!</v>
      </c>
    </row>
    <row r="1109" spans="1:16" s="97" customFormat="1" x14ac:dyDescent="0.25">
      <c r="A1109" s="61" t="s">
        <v>1887</v>
      </c>
      <c r="B1109" s="62" t="s">
        <v>327</v>
      </c>
      <c r="C1109" s="63" t="s">
        <v>602</v>
      </c>
      <c r="D1109" s="79" t="s">
        <v>1177</v>
      </c>
      <c r="E1109" s="63" t="s">
        <v>661</v>
      </c>
      <c r="F1109" s="63" t="s">
        <v>1874</v>
      </c>
      <c r="G1109" s="79" t="s">
        <v>170</v>
      </c>
      <c r="H1109" s="79" t="s">
        <v>656</v>
      </c>
      <c r="I1109" s="63"/>
      <c r="J1109" s="64" t="s">
        <v>708</v>
      </c>
      <c r="K1109" s="120">
        <f>ROUND(Tableau15[[#This Row],[LEN]]*7.27,0)</f>
        <v>553</v>
      </c>
      <c r="L1109" s="120">
        <v>15</v>
      </c>
      <c r="M1109" s="137" t="str">
        <f t="shared" si="7"/>
        <v>none</v>
      </c>
      <c r="N1109" s="120">
        <f>LEN(Tableau15[[#This Row],[LABEL]])</f>
        <v>76</v>
      </c>
      <c r="O1109" s="120">
        <v>15</v>
      </c>
      <c r="P1109" s="120" t="e">
        <f>ROUND(Tableau15[[#This Row],[LEN]]*#REF!+#REF!,0)</f>
        <v>#REF!</v>
      </c>
    </row>
    <row r="1110" spans="1:16" s="97" customFormat="1" x14ac:dyDescent="0.25">
      <c r="A1110" s="61" t="s">
        <v>1888</v>
      </c>
      <c r="B1110" s="62" t="s">
        <v>327</v>
      </c>
      <c r="C1110" s="63" t="s">
        <v>50</v>
      </c>
      <c r="D1110" s="79" t="s">
        <v>1177</v>
      </c>
      <c r="E1110" s="63" t="s">
        <v>1177</v>
      </c>
      <c r="F1110" s="63" t="s">
        <v>1084</v>
      </c>
      <c r="G1110" s="79" t="s">
        <v>1978</v>
      </c>
      <c r="H1110" s="79" t="s">
        <v>1131</v>
      </c>
      <c r="I1110" s="63"/>
      <c r="J1110" s="64" t="s">
        <v>708</v>
      </c>
      <c r="K1110" s="120">
        <f>ROUND(Tableau15[[#This Row],[LEN]]*7.27,0)</f>
        <v>87</v>
      </c>
      <c r="L1110" s="120">
        <v>15</v>
      </c>
      <c r="M1110" s="137" t="str">
        <f t="shared" si="7"/>
        <v>none</v>
      </c>
      <c r="N1110" s="120">
        <f>LEN(Tableau15[[#This Row],[LABEL]])</f>
        <v>12</v>
      </c>
      <c r="O1110" s="120">
        <v>15</v>
      </c>
      <c r="P1110" s="120" t="e">
        <f>ROUND(Tableau15[[#This Row],[LEN]]*#REF!+#REF!,0)</f>
        <v>#REF!</v>
      </c>
    </row>
    <row r="1111" spans="1:16" s="97" customFormat="1" x14ac:dyDescent="0.25">
      <c r="A1111" s="61" t="s">
        <v>1889</v>
      </c>
      <c r="B1111" s="62" t="s">
        <v>327</v>
      </c>
      <c r="C1111" s="63" t="s">
        <v>603</v>
      </c>
      <c r="D1111" s="79" t="s">
        <v>1177</v>
      </c>
      <c r="E1111" s="63" t="s">
        <v>1177</v>
      </c>
      <c r="F1111" s="63" t="s">
        <v>1084</v>
      </c>
      <c r="G1111" s="79" t="s">
        <v>1977</v>
      </c>
      <c r="H1111" s="79" t="s">
        <v>1131</v>
      </c>
      <c r="I1111" s="63"/>
      <c r="J1111" s="64" t="s">
        <v>708</v>
      </c>
      <c r="K1111" s="120">
        <f>ROUND(Tableau15[[#This Row],[LEN]]*7.27,0)</f>
        <v>247</v>
      </c>
      <c r="L1111" s="120">
        <v>15</v>
      </c>
      <c r="M1111" s="137" t="str">
        <f t="shared" si="7"/>
        <v>none</v>
      </c>
      <c r="N1111" s="120">
        <f>LEN(Tableau15[[#This Row],[LABEL]])</f>
        <v>34</v>
      </c>
      <c r="O1111" s="120">
        <v>15</v>
      </c>
      <c r="P1111" s="120" t="e">
        <f>ROUND(Tableau15[[#This Row],[LEN]]*#REF!+#REF!,0)</f>
        <v>#REF!</v>
      </c>
    </row>
    <row r="1112" spans="1:16" s="273" customFormat="1" x14ac:dyDescent="0.25">
      <c r="A1112" s="372" t="s">
        <v>329</v>
      </c>
      <c r="B1112" s="373" t="s">
        <v>210</v>
      </c>
      <c r="C1112" s="374" t="s">
        <v>8</v>
      </c>
      <c r="D1112" s="375" t="s">
        <v>1177</v>
      </c>
      <c r="E1112" s="374" t="s">
        <v>671</v>
      </c>
      <c r="F1112" s="374" t="s">
        <v>1177</v>
      </c>
      <c r="G1112" s="375" t="s">
        <v>170</v>
      </c>
      <c r="H1112" s="375" t="str">
        <f>IFERROR(IF(SEARCH(".00.00.00.00.00",Tableau15[[#This Row],[name]],1)=7,"Division",""),"")</f>
        <v>Division</v>
      </c>
      <c r="I1112" s="374"/>
      <c r="J1112" s="376" t="s">
        <v>708</v>
      </c>
      <c r="K1112" s="377">
        <f>ROUND(Tableau15[[#This Row],[LEN]]*7.27,0)</f>
        <v>116</v>
      </c>
      <c r="L1112" s="377">
        <v>15</v>
      </c>
      <c r="M1112" s="378" t="str">
        <f t="shared" si="7"/>
        <v>none</v>
      </c>
      <c r="N1112" s="377">
        <f>LEN(Tableau15[[#This Row],[LABEL]])</f>
        <v>16</v>
      </c>
      <c r="O1112" s="377">
        <v>15</v>
      </c>
      <c r="P1112" s="377" t="e">
        <f>ROUND(Tableau15[[#This Row],[LEN]]*#REF!+#REF!,0)</f>
        <v>#REF!</v>
      </c>
    </row>
    <row r="1113" spans="1:16" s="97" customFormat="1" x14ac:dyDescent="0.25">
      <c r="A1113" s="61" t="s">
        <v>1893</v>
      </c>
      <c r="B1113" s="62" t="s">
        <v>329</v>
      </c>
      <c r="C1113" s="63" t="s">
        <v>1892</v>
      </c>
      <c r="D1113" s="79" t="s">
        <v>1177</v>
      </c>
      <c r="E1113" s="63" t="s">
        <v>679</v>
      </c>
      <c r="F1113" s="63" t="s">
        <v>1920</v>
      </c>
      <c r="G1113" s="79" t="s">
        <v>170</v>
      </c>
      <c r="H1113" s="79" t="s">
        <v>656</v>
      </c>
      <c r="I1113" s="63"/>
      <c r="J1113" s="64" t="s">
        <v>708</v>
      </c>
      <c r="K1113" s="120">
        <f>ROUND(Tableau15[[#This Row],[LEN]]*7.27,0)</f>
        <v>204</v>
      </c>
      <c r="L1113" s="120">
        <v>15</v>
      </c>
      <c r="M1113" s="137" t="str">
        <f t="shared" si="7"/>
        <v>none</v>
      </c>
      <c r="N1113" s="120">
        <f>LEN(Tableau15[[#This Row],[LABEL]])</f>
        <v>28</v>
      </c>
      <c r="O1113" s="120">
        <v>15</v>
      </c>
      <c r="P1113" s="120" t="e">
        <f>ROUND(Tableau15[[#This Row],[LEN]]*#REF!+#REF!,0)</f>
        <v>#REF!</v>
      </c>
    </row>
    <row r="1114" spans="1:16" s="97" customFormat="1" x14ac:dyDescent="0.25">
      <c r="A1114" s="61" t="s">
        <v>1894</v>
      </c>
      <c r="B1114" s="62" t="s">
        <v>329</v>
      </c>
      <c r="C1114" s="63" t="s">
        <v>602</v>
      </c>
      <c r="D1114" s="79" t="s">
        <v>1177</v>
      </c>
      <c r="E1114" s="63" t="s">
        <v>661</v>
      </c>
      <c r="F1114" s="63" t="s">
        <v>1874</v>
      </c>
      <c r="G1114" s="79" t="s">
        <v>170</v>
      </c>
      <c r="H1114" s="79" t="s">
        <v>656</v>
      </c>
      <c r="I1114" s="63"/>
      <c r="J1114" s="64" t="s">
        <v>708</v>
      </c>
      <c r="K1114" s="120">
        <f>ROUND(Tableau15[[#This Row],[LEN]]*7.27,0)</f>
        <v>553</v>
      </c>
      <c r="L1114" s="120">
        <v>15</v>
      </c>
      <c r="M1114" s="137" t="str">
        <f t="shared" si="7"/>
        <v>none</v>
      </c>
      <c r="N1114" s="120">
        <f>LEN(Tableau15[[#This Row],[LABEL]])</f>
        <v>76</v>
      </c>
      <c r="O1114" s="120">
        <v>15</v>
      </c>
      <c r="P1114" s="120" t="e">
        <f>ROUND(Tableau15[[#This Row],[LEN]]*#REF!+#REF!,0)</f>
        <v>#REF!</v>
      </c>
    </row>
    <row r="1115" spans="1:16" s="97" customFormat="1" x14ac:dyDescent="0.25">
      <c r="A1115" s="61" t="s">
        <v>1895</v>
      </c>
      <c r="B1115" s="62" t="s">
        <v>329</v>
      </c>
      <c r="C1115" s="63" t="s">
        <v>50</v>
      </c>
      <c r="D1115" s="79" t="s">
        <v>1177</v>
      </c>
      <c r="E1115" s="63" t="s">
        <v>1177</v>
      </c>
      <c r="F1115" s="63" t="s">
        <v>1084</v>
      </c>
      <c r="G1115" s="79" t="s">
        <v>1978</v>
      </c>
      <c r="H1115" s="79" t="s">
        <v>1131</v>
      </c>
      <c r="I1115" s="63"/>
      <c r="J1115" s="64" t="s">
        <v>708</v>
      </c>
      <c r="K1115" s="120">
        <f>ROUND(Tableau15[[#This Row],[LEN]]*7.27,0)</f>
        <v>87</v>
      </c>
      <c r="L1115" s="120">
        <v>15</v>
      </c>
      <c r="M1115" s="137" t="str">
        <f t="shared" si="7"/>
        <v>none</v>
      </c>
      <c r="N1115" s="120">
        <f>LEN(Tableau15[[#This Row],[LABEL]])</f>
        <v>12</v>
      </c>
      <c r="O1115" s="120">
        <v>15</v>
      </c>
      <c r="P1115" s="120" t="e">
        <f>ROUND(Tableau15[[#This Row],[LEN]]*#REF!+#REF!,0)</f>
        <v>#REF!</v>
      </c>
    </row>
    <row r="1116" spans="1:16" s="97" customFormat="1" x14ac:dyDescent="0.25">
      <c r="A1116" s="61" t="s">
        <v>1896</v>
      </c>
      <c r="B1116" s="62" t="s">
        <v>329</v>
      </c>
      <c r="C1116" s="63" t="s">
        <v>603</v>
      </c>
      <c r="D1116" s="79" t="s">
        <v>1177</v>
      </c>
      <c r="E1116" s="63" t="s">
        <v>1177</v>
      </c>
      <c r="F1116" s="63" t="s">
        <v>1084</v>
      </c>
      <c r="G1116" s="79" t="s">
        <v>1977</v>
      </c>
      <c r="H1116" s="79" t="s">
        <v>1131</v>
      </c>
      <c r="I1116" s="63"/>
      <c r="J1116" s="64" t="s">
        <v>708</v>
      </c>
      <c r="K1116" s="120">
        <f>ROUND(Tableau15[[#This Row],[LEN]]*7.27,0)</f>
        <v>247</v>
      </c>
      <c r="L1116" s="120">
        <v>15</v>
      </c>
      <c r="M1116" s="137" t="str">
        <f t="shared" si="7"/>
        <v>none</v>
      </c>
      <c r="N1116" s="120">
        <f>LEN(Tableau15[[#This Row],[LABEL]])</f>
        <v>34</v>
      </c>
      <c r="O1116" s="120">
        <v>15</v>
      </c>
      <c r="P1116" s="120" t="e">
        <f>ROUND(Tableau15[[#This Row],[LEN]]*#REF!+#REF!,0)</f>
        <v>#REF!</v>
      </c>
    </row>
    <row r="1117" spans="1:16" s="273" customFormat="1" x14ac:dyDescent="0.25">
      <c r="A1117" s="372" t="s">
        <v>330</v>
      </c>
      <c r="B1117" s="373" t="s">
        <v>210</v>
      </c>
      <c r="C1117" s="374" t="s">
        <v>9</v>
      </c>
      <c r="D1117" s="375" t="s">
        <v>1177</v>
      </c>
      <c r="E1117" s="374" t="s">
        <v>672</v>
      </c>
      <c r="F1117" s="374" t="s">
        <v>1177</v>
      </c>
      <c r="G1117" s="375" t="s">
        <v>170</v>
      </c>
      <c r="H1117" s="375" t="str">
        <f>IFERROR(IF(SEARCH(".00.00.00.00.00",Tableau15[[#This Row],[name]],1)=7,"Division",""),"")</f>
        <v>Division</v>
      </c>
      <c r="I1117" s="374"/>
      <c r="J1117" s="376" t="s">
        <v>718</v>
      </c>
      <c r="K1117" s="377">
        <f>ROUND(Tableau15[[#This Row],[LEN]]*7.27,0)</f>
        <v>80</v>
      </c>
      <c r="L1117" s="377">
        <v>15</v>
      </c>
      <c r="M1117" s="378" t="str">
        <f t="shared" si="7"/>
        <v>new</v>
      </c>
      <c r="N1117" s="377">
        <f>LEN(Tableau15[[#This Row],[LABEL]])</f>
        <v>11</v>
      </c>
      <c r="O1117" s="377">
        <v>15</v>
      </c>
      <c r="P1117" s="377" t="e">
        <f>ROUND(Tableau15[[#This Row],[LEN]]*#REF!+#REF!,0)</f>
        <v>#REF!</v>
      </c>
    </row>
    <row r="1118" spans="1:16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1177</v>
      </c>
      <c r="E1118" s="63" t="s">
        <v>661</v>
      </c>
      <c r="F1118" s="63" t="s">
        <v>1874</v>
      </c>
      <c r="G1118" s="79" t="s">
        <v>170</v>
      </c>
      <c r="H1118" s="79" t="s">
        <v>656</v>
      </c>
      <c r="I1118" s="63"/>
      <c r="J1118" s="64" t="s">
        <v>708</v>
      </c>
      <c r="K1118" s="120">
        <f>ROUND(Tableau15[[#This Row],[LEN]]*7.27,0)</f>
        <v>553</v>
      </c>
      <c r="L1118" s="120">
        <v>15</v>
      </c>
      <c r="M1118" s="137" t="str">
        <f t="shared" si="7"/>
        <v>none</v>
      </c>
      <c r="N1118" s="120">
        <f>LEN(Tableau15[[#This Row],[LABEL]])</f>
        <v>76</v>
      </c>
      <c r="O1118" s="120">
        <v>15</v>
      </c>
      <c r="P1118" s="120" t="e">
        <f>ROUND(Tableau15[[#This Row],[LEN]]*#REF!+#REF!,0)</f>
        <v>#REF!</v>
      </c>
    </row>
    <row r="1119" spans="1:16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1177</v>
      </c>
      <c r="E1119" s="63" t="s">
        <v>1177</v>
      </c>
      <c r="F1119" s="63" t="s">
        <v>1084</v>
      </c>
      <c r="G1119" s="79" t="s">
        <v>1978</v>
      </c>
      <c r="H1119" s="79" t="s">
        <v>1131</v>
      </c>
      <c r="I1119" s="63"/>
      <c r="J1119" s="64" t="s">
        <v>708</v>
      </c>
      <c r="K1119" s="120">
        <f>ROUND(Tableau15[[#This Row],[LEN]]*7.27,0)</f>
        <v>87</v>
      </c>
      <c r="L1119" s="120">
        <v>15</v>
      </c>
      <c r="M1119" s="137" t="str">
        <f t="shared" si="7"/>
        <v>none</v>
      </c>
      <c r="N1119" s="120">
        <f>LEN(Tableau15[[#This Row],[LABEL]])</f>
        <v>12</v>
      </c>
      <c r="O1119" s="120">
        <v>15</v>
      </c>
      <c r="P1119" s="120" t="e">
        <f>ROUND(Tableau15[[#This Row],[LEN]]*#REF!+#REF!,0)</f>
        <v>#REF!</v>
      </c>
    </row>
    <row r="1120" spans="1:16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1177</v>
      </c>
      <c r="E1120" s="63" t="s">
        <v>1177</v>
      </c>
      <c r="F1120" s="63" t="s">
        <v>1084</v>
      </c>
      <c r="G1120" s="79" t="s">
        <v>1977</v>
      </c>
      <c r="H1120" s="79" t="s">
        <v>1131</v>
      </c>
      <c r="I1120" s="63"/>
      <c r="J1120" s="64" t="s">
        <v>708</v>
      </c>
      <c r="K1120" s="120">
        <f>ROUND(Tableau15[[#This Row],[LEN]]*7.27,0)</f>
        <v>247</v>
      </c>
      <c r="L1120" s="120">
        <v>15</v>
      </c>
      <c r="M1120" s="137" t="str">
        <f t="shared" si="7"/>
        <v>none</v>
      </c>
      <c r="N1120" s="120">
        <f>LEN(Tableau15[[#This Row],[LABEL]])</f>
        <v>34</v>
      </c>
      <c r="O1120" s="120">
        <v>15</v>
      </c>
      <c r="P1120" s="120" t="e">
        <f>ROUND(Tableau15[[#This Row],[LEN]]*#REF!+#REF!,0)</f>
        <v>#REF!</v>
      </c>
    </row>
    <row r="1121" spans="1:16" s="273" customFormat="1" x14ac:dyDescent="0.25">
      <c r="A1121" s="372" t="s">
        <v>331</v>
      </c>
      <c r="B1121" s="373" t="s">
        <v>210</v>
      </c>
      <c r="C1121" s="374" t="s">
        <v>10</v>
      </c>
      <c r="D1121" s="375" t="s">
        <v>1177</v>
      </c>
      <c r="E1121" s="374" t="s">
        <v>673</v>
      </c>
      <c r="F1121" s="374" t="s">
        <v>1177</v>
      </c>
      <c r="G1121" s="375" t="s">
        <v>170</v>
      </c>
      <c r="H1121" s="375" t="str">
        <f>IFERROR(IF(SEARCH(".00.00.00.00.00",Tableau15[[#This Row],[name]],1)=7,"Division",""),"")</f>
        <v>Division</v>
      </c>
      <c r="I1121" s="374"/>
      <c r="J1121" s="376" t="s">
        <v>719</v>
      </c>
      <c r="K1121" s="377">
        <f>ROUND(Tableau15[[#This Row],[LEN]]*7.27,0)</f>
        <v>109</v>
      </c>
      <c r="L1121" s="377">
        <v>15</v>
      </c>
      <c r="M1121" s="378" t="str">
        <f t="shared" si="7"/>
        <v>new</v>
      </c>
      <c r="N1121" s="377">
        <f>LEN(Tableau15[[#This Row],[LABEL]])</f>
        <v>15</v>
      </c>
      <c r="O1121" s="377">
        <v>15</v>
      </c>
      <c r="P1121" s="377" t="e">
        <f>ROUND(Tableau15[[#This Row],[LEN]]*#REF!+#REF!,0)</f>
        <v>#REF!</v>
      </c>
    </row>
    <row r="1122" spans="1:16" s="97" customFormat="1" x14ac:dyDescent="0.25">
      <c r="A1122" s="61" t="s">
        <v>1878</v>
      </c>
      <c r="B1122" s="62" t="s">
        <v>331</v>
      </c>
      <c r="C1122" s="63" t="s">
        <v>1882</v>
      </c>
      <c r="D1122" s="79" t="s">
        <v>1177</v>
      </c>
      <c r="E1122" s="63" t="s">
        <v>673</v>
      </c>
      <c r="F1122" s="63" t="s">
        <v>2087</v>
      </c>
      <c r="G1122" s="79" t="s">
        <v>170</v>
      </c>
      <c r="H1122" s="79" t="s">
        <v>656</v>
      </c>
      <c r="I1122" s="63"/>
      <c r="J1122" s="64" t="s">
        <v>708</v>
      </c>
      <c r="K1122" s="120">
        <f>ROUND(Tableau15[[#This Row],[LEN]]*7.27,0)</f>
        <v>233</v>
      </c>
      <c r="L1122" s="120">
        <v>15</v>
      </c>
      <c r="M1122" s="137" t="str">
        <f t="shared" si="7"/>
        <v>none</v>
      </c>
      <c r="N1122" s="120">
        <f>LEN(Tableau15[[#This Row],[LABEL]])</f>
        <v>32</v>
      </c>
      <c r="O1122" s="120">
        <v>15</v>
      </c>
      <c r="P1122" s="120" t="e">
        <f>ROUND(Tableau15[[#This Row],[LEN]]*#REF!+#REF!,0)</f>
        <v>#REF!</v>
      </c>
    </row>
    <row r="1123" spans="1:16" s="97" customFormat="1" x14ac:dyDescent="0.25">
      <c r="A1123" s="61" t="s">
        <v>1879</v>
      </c>
      <c r="B1123" s="62" t="s">
        <v>331</v>
      </c>
      <c r="C1123" s="63" t="s">
        <v>602</v>
      </c>
      <c r="D1123" s="79" t="s">
        <v>1177</v>
      </c>
      <c r="E1123" s="63" t="s">
        <v>661</v>
      </c>
      <c r="F1123" s="63" t="s">
        <v>1874</v>
      </c>
      <c r="G1123" s="79" t="s">
        <v>170</v>
      </c>
      <c r="H1123" s="79" t="s">
        <v>656</v>
      </c>
      <c r="I1123" s="63"/>
      <c r="J1123" s="64" t="s">
        <v>708</v>
      </c>
      <c r="K1123" s="120">
        <f>ROUND(Tableau15[[#This Row],[LEN]]*7.27,0)</f>
        <v>553</v>
      </c>
      <c r="L1123" s="120">
        <v>15</v>
      </c>
      <c r="M1123" s="137" t="str">
        <f t="shared" si="7"/>
        <v>none</v>
      </c>
      <c r="N1123" s="120">
        <f>LEN(Tableau15[[#This Row],[LABEL]])</f>
        <v>76</v>
      </c>
      <c r="O1123" s="120">
        <v>15</v>
      </c>
      <c r="P1123" s="120" t="e">
        <f>ROUND(Tableau15[[#This Row],[LEN]]*#REF!+#REF!,0)</f>
        <v>#REF!</v>
      </c>
    </row>
    <row r="1124" spans="1:16" s="97" customFormat="1" x14ac:dyDescent="0.25">
      <c r="A1124" s="61" t="s">
        <v>1880</v>
      </c>
      <c r="B1124" s="62" t="s">
        <v>331</v>
      </c>
      <c r="C1124" s="63" t="s">
        <v>50</v>
      </c>
      <c r="D1124" s="79" t="s">
        <v>1177</v>
      </c>
      <c r="E1124" s="63" t="s">
        <v>1177</v>
      </c>
      <c r="F1124" s="63" t="s">
        <v>1084</v>
      </c>
      <c r="G1124" s="79" t="s">
        <v>1978</v>
      </c>
      <c r="H1124" s="79" t="s">
        <v>1131</v>
      </c>
      <c r="I1124" s="63"/>
      <c r="J1124" s="64" t="s">
        <v>708</v>
      </c>
      <c r="K1124" s="120">
        <f>ROUND(Tableau15[[#This Row],[LEN]]*7.27,0)</f>
        <v>87</v>
      </c>
      <c r="L1124" s="120">
        <v>15</v>
      </c>
      <c r="M1124" s="137" t="str">
        <f t="shared" si="7"/>
        <v>none</v>
      </c>
      <c r="N1124" s="120">
        <f>LEN(Tableau15[[#This Row],[LABEL]])</f>
        <v>12</v>
      </c>
      <c r="O1124" s="120">
        <v>15</v>
      </c>
      <c r="P1124" s="120" t="e">
        <f>ROUND(Tableau15[[#This Row],[LEN]]*#REF!+#REF!,0)</f>
        <v>#REF!</v>
      </c>
    </row>
    <row r="1125" spans="1:16" s="97" customFormat="1" x14ac:dyDescent="0.25">
      <c r="A1125" s="61" t="s">
        <v>1881</v>
      </c>
      <c r="B1125" s="62" t="s">
        <v>331</v>
      </c>
      <c r="C1125" s="63" t="s">
        <v>603</v>
      </c>
      <c r="D1125" s="79" t="s">
        <v>1177</v>
      </c>
      <c r="E1125" s="63" t="s">
        <v>1177</v>
      </c>
      <c r="F1125" s="63" t="s">
        <v>1084</v>
      </c>
      <c r="G1125" s="79" t="s">
        <v>1977</v>
      </c>
      <c r="H1125" s="79" t="s">
        <v>1131</v>
      </c>
      <c r="I1125" s="63"/>
      <c r="J1125" s="64" t="s">
        <v>708</v>
      </c>
      <c r="K1125" s="120">
        <f>ROUND(Tableau15[[#This Row],[LEN]]*7.27,0)</f>
        <v>247</v>
      </c>
      <c r="L1125" s="120">
        <v>15</v>
      </c>
      <c r="M1125" s="137" t="str">
        <f t="shared" si="7"/>
        <v>none</v>
      </c>
      <c r="N1125" s="120">
        <f>LEN(Tableau15[[#This Row],[LABEL]])</f>
        <v>34</v>
      </c>
      <c r="O1125" s="120">
        <v>15</v>
      </c>
      <c r="P1125" s="120" t="e">
        <f>ROUND(Tableau15[[#This Row],[LEN]]*#REF!+#REF!,0)</f>
        <v>#REF!</v>
      </c>
    </row>
    <row r="1126" spans="1:16" s="273" customFormat="1" x14ac:dyDescent="0.25">
      <c r="A1126" s="372" t="s">
        <v>332</v>
      </c>
      <c r="B1126" s="373" t="s">
        <v>210</v>
      </c>
      <c r="C1126" s="374" t="s">
        <v>11</v>
      </c>
      <c r="D1126" s="375" t="s">
        <v>1177</v>
      </c>
      <c r="E1126" s="374" t="s">
        <v>674</v>
      </c>
      <c r="F1126" s="374" t="s">
        <v>1177</v>
      </c>
      <c r="G1126" s="375" t="s">
        <v>170</v>
      </c>
      <c r="H1126" s="375" t="str">
        <f>IFERROR(IF(SEARCH(".00.00.00.00.00",Tableau15[[#This Row],[name]],1)=7,"Division",""),"")</f>
        <v>Division</v>
      </c>
      <c r="I1126" s="374"/>
      <c r="J1126" s="376" t="s">
        <v>720</v>
      </c>
      <c r="K1126" s="377">
        <f>ROUND(Tableau15[[#This Row],[LEN]]*7.27,0)</f>
        <v>51</v>
      </c>
      <c r="L1126" s="377">
        <v>15</v>
      </c>
      <c r="M1126" s="378" t="str">
        <f t="shared" si="7"/>
        <v>new</v>
      </c>
      <c r="N1126" s="377">
        <f>LEN(Tableau15[[#This Row],[LABEL]])</f>
        <v>7</v>
      </c>
      <c r="O1126" s="377">
        <v>15</v>
      </c>
      <c r="P1126" s="377" t="e">
        <f>ROUND(Tableau15[[#This Row],[LEN]]*#REF!+#REF!,0)</f>
        <v>#REF!</v>
      </c>
    </row>
    <row r="1127" spans="1:16" s="97" customFormat="1" x14ac:dyDescent="0.25">
      <c r="A1127" s="61" t="s">
        <v>1883</v>
      </c>
      <c r="B1127" s="62" t="s">
        <v>332</v>
      </c>
      <c r="C1127" s="63" t="s">
        <v>602</v>
      </c>
      <c r="D1127" s="79" t="s">
        <v>1177</v>
      </c>
      <c r="E1127" s="63" t="s">
        <v>661</v>
      </c>
      <c r="F1127" s="63" t="s">
        <v>1874</v>
      </c>
      <c r="G1127" s="79" t="s">
        <v>170</v>
      </c>
      <c r="H1127" s="79" t="s">
        <v>656</v>
      </c>
      <c r="I1127" s="63"/>
      <c r="J1127" s="64" t="s">
        <v>708</v>
      </c>
      <c r="K1127" s="120">
        <f>ROUND(Tableau15[[#This Row],[LEN]]*7.27,0)</f>
        <v>553</v>
      </c>
      <c r="L1127" s="120">
        <v>15</v>
      </c>
      <c r="M1127" s="137" t="str">
        <f t="shared" si="7"/>
        <v>none</v>
      </c>
      <c r="N1127" s="120">
        <f>LEN(Tableau15[[#This Row],[LABEL]])</f>
        <v>76</v>
      </c>
      <c r="O1127" s="120">
        <v>15</v>
      </c>
      <c r="P1127" s="120" t="e">
        <f>ROUND(Tableau15[[#This Row],[LEN]]*#REF!+#REF!,0)</f>
        <v>#REF!</v>
      </c>
    </row>
    <row r="1128" spans="1:16" s="97" customFormat="1" x14ac:dyDescent="0.25">
      <c r="A1128" s="61" t="s">
        <v>1884</v>
      </c>
      <c r="B1128" s="62" t="s">
        <v>332</v>
      </c>
      <c r="C1128" s="63" t="s">
        <v>50</v>
      </c>
      <c r="D1128" s="79" t="s">
        <v>1177</v>
      </c>
      <c r="E1128" s="63" t="s">
        <v>1177</v>
      </c>
      <c r="F1128" s="63" t="s">
        <v>1084</v>
      </c>
      <c r="G1128" s="79" t="s">
        <v>1978</v>
      </c>
      <c r="H1128" s="79" t="s">
        <v>1131</v>
      </c>
      <c r="I1128" s="63"/>
      <c r="J1128" s="64" t="s">
        <v>708</v>
      </c>
      <c r="K1128" s="120">
        <f>ROUND(Tableau15[[#This Row],[LEN]]*7.27,0)</f>
        <v>87</v>
      </c>
      <c r="L1128" s="120">
        <v>15</v>
      </c>
      <c r="M1128" s="137" t="str">
        <f t="shared" si="7"/>
        <v>none</v>
      </c>
      <c r="N1128" s="120">
        <f>LEN(Tableau15[[#This Row],[LABEL]])</f>
        <v>12</v>
      </c>
      <c r="O1128" s="120">
        <v>15</v>
      </c>
      <c r="P1128" s="120" t="e">
        <f>ROUND(Tableau15[[#This Row],[LEN]]*#REF!+#REF!,0)</f>
        <v>#REF!</v>
      </c>
    </row>
    <row r="1129" spans="1:16" s="97" customFormat="1" x14ac:dyDescent="0.25">
      <c r="A1129" s="61" t="s">
        <v>1885</v>
      </c>
      <c r="B1129" s="62" t="s">
        <v>332</v>
      </c>
      <c r="C1129" s="63" t="s">
        <v>603</v>
      </c>
      <c r="D1129" s="79" t="s">
        <v>1177</v>
      </c>
      <c r="E1129" s="63" t="s">
        <v>1177</v>
      </c>
      <c r="F1129" s="63" t="s">
        <v>1084</v>
      </c>
      <c r="G1129" s="79" t="s">
        <v>1977</v>
      </c>
      <c r="H1129" s="79" t="s">
        <v>1131</v>
      </c>
      <c r="I1129" s="63"/>
      <c r="J1129" s="64" t="s">
        <v>708</v>
      </c>
      <c r="K1129" s="120">
        <f>ROUND(Tableau15[[#This Row],[LEN]]*7.27,0)</f>
        <v>247</v>
      </c>
      <c r="L1129" s="120">
        <v>15</v>
      </c>
      <c r="M1129" s="137" t="str">
        <f t="shared" si="7"/>
        <v>none</v>
      </c>
      <c r="N1129" s="120">
        <f>LEN(Tableau15[[#This Row],[LABEL]])</f>
        <v>34</v>
      </c>
      <c r="O1129" s="120">
        <v>15</v>
      </c>
      <c r="P1129" s="120" t="e">
        <f>ROUND(Tableau15[[#This Row],[LEN]]*#REF!+#REF!,0)</f>
        <v>#REF!</v>
      </c>
    </row>
    <row r="1130" spans="1:16" s="273" customFormat="1" x14ac:dyDescent="0.25">
      <c r="A1130" s="372" t="s">
        <v>333</v>
      </c>
      <c r="B1130" s="373" t="s">
        <v>210</v>
      </c>
      <c r="C1130" s="374" t="s">
        <v>12</v>
      </c>
      <c r="D1130" s="375" t="s">
        <v>1177</v>
      </c>
      <c r="E1130" s="374" t="s">
        <v>675</v>
      </c>
      <c r="F1130" s="374" t="s">
        <v>1177</v>
      </c>
      <c r="G1130" s="375" t="s">
        <v>170</v>
      </c>
      <c r="H1130" s="375" t="str">
        <f>IFERROR(IF(SEARCH(".00.00.00.00.00",Tableau15[[#This Row],[name]],1)=7,"Division",""),"")</f>
        <v>Division</v>
      </c>
      <c r="I1130" s="374"/>
      <c r="J1130" s="376" t="s">
        <v>721</v>
      </c>
      <c r="K1130" s="377">
        <f>ROUND(Tableau15[[#This Row],[LEN]]*7.27,0)</f>
        <v>15</v>
      </c>
      <c r="L1130" s="377">
        <v>15</v>
      </c>
      <c r="M1130" s="378" t="str">
        <f t="shared" si="7"/>
        <v>new</v>
      </c>
      <c r="N1130" s="377">
        <f>LEN(Tableau15[[#This Row],[LABEL]])</f>
        <v>2</v>
      </c>
      <c r="O1130" s="377">
        <v>15</v>
      </c>
      <c r="P1130" s="377" t="e">
        <f>ROUND(Tableau15[[#This Row],[LEN]]*#REF!+#REF!,0)</f>
        <v>#REF!</v>
      </c>
    </row>
    <row r="1131" spans="1:16" s="97" customFormat="1" x14ac:dyDescent="0.25">
      <c r="A1131" s="61" t="s">
        <v>1898</v>
      </c>
      <c r="B1131" s="62" t="s">
        <v>333</v>
      </c>
      <c r="C1131" s="63" t="s">
        <v>1897</v>
      </c>
      <c r="D1131" s="79" t="s">
        <v>1177</v>
      </c>
      <c r="E1131" s="63" t="s">
        <v>675</v>
      </c>
      <c r="F1131" s="63" t="s">
        <v>1177</v>
      </c>
      <c r="G1131" s="79" t="s">
        <v>170</v>
      </c>
      <c r="H1131" s="79" t="s">
        <v>656</v>
      </c>
      <c r="I1131" s="63"/>
      <c r="J1131" s="64" t="s">
        <v>708</v>
      </c>
      <c r="K1131" s="120">
        <f>ROUND(Tableau15[[#This Row],[LEN]]*7.27,0)</f>
        <v>465</v>
      </c>
      <c r="L1131" s="120">
        <v>15</v>
      </c>
      <c r="M1131" s="137" t="str">
        <f t="shared" si="7"/>
        <v>none</v>
      </c>
      <c r="N1131" s="120">
        <f>LEN(Tableau15[[#This Row],[LABEL]])</f>
        <v>64</v>
      </c>
      <c r="O1131" s="120">
        <v>15</v>
      </c>
      <c r="P1131" s="120" t="e">
        <f>ROUND(Tableau15[[#This Row],[LEN]]*#REF!+#REF!,0)</f>
        <v>#REF!</v>
      </c>
    </row>
    <row r="1132" spans="1:16" s="97" customFormat="1" x14ac:dyDescent="0.25">
      <c r="A1132" s="61" t="s">
        <v>1899</v>
      </c>
      <c r="B1132" s="62" t="s">
        <v>333</v>
      </c>
      <c r="C1132" s="63" t="s">
        <v>602</v>
      </c>
      <c r="D1132" s="79" t="s">
        <v>1177</v>
      </c>
      <c r="E1132" s="63" t="s">
        <v>661</v>
      </c>
      <c r="F1132" s="63" t="s">
        <v>1874</v>
      </c>
      <c r="G1132" s="79" t="s">
        <v>170</v>
      </c>
      <c r="H1132" s="79" t="s">
        <v>656</v>
      </c>
      <c r="I1132" s="63"/>
      <c r="J1132" s="64" t="s">
        <v>708</v>
      </c>
      <c r="K1132" s="120">
        <f>ROUND(Tableau15[[#This Row],[LEN]]*7.27,0)</f>
        <v>553</v>
      </c>
      <c r="L1132" s="120">
        <v>15</v>
      </c>
      <c r="M1132" s="137" t="str">
        <f t="shared" si="7"/>
        <v>none</v>
      </c>
      <c r="N1132" s="120">
        <f>LEN(Tableau15[[#This Row],[LABEL]])</f>
        <v>76</v>
      </c>
      <c r="O1132" s="120">
        <v>15</v>
      </c>
      <c r="P1132" s="120" t="e">
        <f>ROUND(Tableau15[[#This Row],[LEN]]*#REF!+#REF!,0)</f>
        <v>#REF!</v>
      </c>
    </row>
    <row r="1133" spans="1:16" s="97" customFormat="1" x14ac:dyDescent="0.25">
      <c r="A1133" s="61" t="s">
        <v>1900</v>
      </c>
      <c r="B1133" s="62" t="s">
        <v>333</v>
      </c>
      <c r="C1133" s="63" t="s">
        <v>50</v>
      </c>
      <c r="D1133" s="79" t="s">
        <v>1177</v>
      </c>
      <c r="E1133" s="63" t="s">
        <v>1177</v>
      </c>
      <c r="F1133" s="63" t="s">
        <v>1084</v>
      </c>
      <c r="G1133" s="79" t="s">
        <v>1978</v>
      </c>
      <c r="H1133" s="79" t="s">
        <v>1131</v>
      </c>
      <c r="I1133" s="63"/>
      <c r="J1133" s="64" t="s">
        <v>708</v>
      </c>
      <c r="K1133" s="120">
        <f>ROUND(Tableau15[[#This Row],[LEN]]*7.27,0)</f>
        <v>87</v>
      </c>
      <c r="L1133" s="120">
        <v>15</v>
      </c>
      <c r="M1133" s="137" t="str">
        <f t="shared" si="7"/>
        <v>none</v>
      </c>
      <c r="N1133" s="120">
        <f>LEN(Tableau15[[#This Row],[LABEL]])</f>
        <v>12</v>
      </c>
      <c r="O1133" s="120">
        <v>15</v>
      </c>
      <c r="P1133" s="120" t="e">
        <f>ROUND(Tableau15[[#This Row],[LEN]]*#REF!+#REF!,0)</f>
        <v>#REF!</v>
      </c>
    </row>
    <row r="1134" spans="1:16" s="97" customFormat="1" x14ac:dyDescent="0.25">
      <c r="A1134" s="61" t="s">
        <v>1901</v>
      </c>
      <c r="B1134" s="62" t="s">
        <v>333</v>
      </c>
      <c r="C1134" s="63" t="s">
        <v>603</v>
      </c>
      <c r="D1134" s="79" t="s">
        <v>1177</v>
      </c>
      <c r="E1134" s="63" t="s">
        <v>1177</v>
      </c>
      <c r="F1134" s="63" t="s">
        <v>1084</v>
      </c>
      <c r="G1134" s="79" t="s">
        <v>1977</v>
      </c>
      <c r="H1134" s="79" t="s">
        <v>1131</v>
      </c>
      <c r="I1134" s="63"/>
      <c r="J1134" s="64" t="s">
        <v>708</v>
      </c>
      <c r="K1134" s="120">
        <f>ROUND(Tableau15[[#This Row],[LEN]]*7.27,0)</f>
        <v>247</v>
      </c>
      <c r="L1134" s="120">
        <v>15</v>
      </c>
      <c r="M1134" s="137" t="str">
        <f t="shared" si="7"/>
        <v>none</v>
      </c>
      <c r="N1134" s="120">
        <f>LEN(Tableau15[[#This Row],[LABEL]])</f>
        <v>34</v>
      </c>
      <c r="O1134" s="120">
        <v>15</v>
      </c>
      <c r="P1134" s="120" t="e">
        <f>ROUND(Tableau15[[#This Row],[LEN]]*#REF!+#REF!,0)</f>
        <v>#REF!</v>
      </c>
    </row>
    <row r="1135" spans="1:16" s="273" customFormat="1" x14ac:dyDescent="0.25">
      <c r="A1135" s="372" t="s">
        <v>334</v>
      </c>
      <c r="B1135" s="373" t="s">
        <v>210</v>
      </c>
      <c r="C1135" s="374" t="s">
        <v>71</v>
      </c>
      <c r="D1135" s="375" t="s">
        <v>1177</v>
      </c>
      <c r="E1135" s="374" t="s">
        <v>676</v>
      </c>
      <c r="F1135" s="374" t="s">
        <v>1177</v>
      </c>
      <c r="G1135" s="375" t="s">
        <v>170</v>
      </c>
      <c r="H1135" s="375" t="str">
        <f>IFERROR(IF(SEARCH(".00.00.00.00.00",Tableau15[[#This Row],[name]],1)=7,"Division",""),"")</f>
        <v>Division</v>
      </c>
      <c r="I1135" s="374"/>
      <c r="J1135" s="376" t="s">
        <v>722</v>
      </c>
      <c r="K1135" s="377">
        <f>ROUND(Tableau15[[#This Row],[LEN]]*7.27,0)</f>
        <v>29</v>
      </c>
      <c r="L1135" s="377">
        <v>15</v>
      </c>
      <c r="M1135" s="378" t="str">
        <f t="shared" si="7"/>
        <v>new</v>
      </c>
      <c r="N1135" s="377">
        <f>LEN(Tableau15[[#This Row],[LABEL]])</f>
        <v>4</v>
      </c>
      <c r="O1135" s="377">
        <v>15</v>
      </c>
      <c r="P1135" s="377" t="e">
        <f>ROUND(Tableau15[[#This Row],[LEN]]*#REF!+#REF!,0)</f>
        <v>#REF!</v>
      </c>
    </row>
    <row r="1136" spans="1:16" s="97" customFormat="1" x14ac:dyDescent="0.25">
      <c r="A1136" s="61" t="s">
        <v>1902</v>
      </c>
      <c r="B1136" s="62" t="s">
        <v>334</v>
      </c>
      <c r="C1136" s="63" t="s">
        <v>1906</v>
      </c>
      <c r="D1136" s="79" t="s">
        <v>1908</v>
      </c>
      <c r="E1136" s="63" t="s">
        <v>676</v>
      </c>
      <c r="F1136" s="63" t="s">
        <v>1907</v>
      </c>
      <c r="G1136" s="79" t="s">
        <v>170</v>
      </c>
      <c r="H1136" s="79" t="s">
        <v>656</v>
      </c>
      <c r="I1136" s="63"/>
      <c r="J1136" s="64" t="s">
        <v>708</v>
      </c>
      <c r="K1136" s="120">
        <f>ROUND(Tableau15[[#This Row],[LEN]]*7.27,0)</f>
        <v>240</v>
      </c>
      <c r="L1136" s="120">
        <v>15</v>
      </c>
      <c r="M1136" s="137" t="str">
        <f t="shared" si="7"/>
        <v>none</v>
      </c>
      <c r="N1136" s="120">
        <f>LEN(Tableau15[[#This Row],[LABEL]])</f>
        <v>33</v>
      </c>
      <c r="O1136" s="120">
        <v>15</v>
      </c>
      <c r="P1136" s="120" t="e">
        <f>ROUND(Tableau15[[#This Row],[LEN]]*#REF!+#REF!,0)</f>
        <v>#REF!</v>
      </c>
    </row>
    <row r="1137" spans="1:16" s="97" customFormat="1" x14ac:dyDescent="0.25">
      <c r="A1137" s="61" t="s">
        <v>1903</v>
      </c>
      <c r="B1137" s="62" t="s">
        <v>334</v>
      </c>
      <c r="C1137" s="63" t="s">
        <v>602</v>
      </c>
      <c r="D1137" s="79" t="s">
        <v>1177</v>
      </c>
      <c r="E1137" s="63" t="s">
        <v>661</v>
      </c>
      <c r="F1137" s="63" t="s">
        <v>1874</v>
      </c>
      <c r="G1137" s="79" t="s">
        <v>170</v>
      </c>
      <c r="H1137" s="79" t="s">
        <v>656</v>
      </c>
      <c r="I1137" s="63"/>
      <c r="J1137" s="64" t="s">
        <v>708</v>
      </c>
      <c r="K1137" s="120">
        <f>ROUND(Tableau15[[#This Row],[LEN]]*7.27,0)</f>
        <v>553</v>
      </c>
      <c r="L1137" s="120">
        <v>15</v>
      </c>
      <c r="M1137" s="137" t="str">
        <f t="shared" si="7"/>
        <v>none</v>
      </c>
      <c r="N1137" s="120">
        <f>LEN(Tableau15[[#This Row],[LABEL]])</f>
        <v>76</v>
      </c>
      <c r="O1137" s="120">
        <v>15</v>
      </c>
      <c r="P1137" s="120" t="e">
        <f>ROUND(Tableau15[[#This Row],[LEN]]*#REF!+#REF!,0)</f>
        <v>#REF!</v>
      </c>
    </row>
    <row r="1138" spans="1:16" s="97" customFormat="1" x14ac:dyDescent="0.25">
      <c r="A1138" s="61" t="s">
        <v>1904</v>
      </c>
      <c r="B1138" s="62" t="s">
        <v>334</v>
      </c>
      <c r="C1138" s="63" t="s">
        <v>50</v>
      </c>
      <c r="D1138" s="79" t="s">
        <v>1177</v>
      </c>
      <c r="E1138" s="63" t="s">
        <v>1177</v>
      </c>
      <c r="F1138" s="63" t="s">
        <v>1084</v>
      </c>
      <c r="G1138" s="79" t="s">
        <v>1978</v>
      </c>
      <c r="H1138" s="79" t="s">
        <v>1131</v>
      </c>
      <c r="I1138" s="63"/>
      <c r="J1138" s="64" t="s">
        <v>708</v>
      </c>
      <c r="K1138" s="120">
        <f>ROUND(Tableau15[[#This Row],[LEN]]*7.27,0)</f>
        <v>87</v>
      </c>
      <c r="L1138" s="120">
        <v>15</v>
      </c>
      <c r="M1138" s="137" t="str">
        <f t="shared" si="7"/>
        <v>none</v>
      </c>
      <c r="N1138" s="120">
        <f>LEN(Tableau15[[#This Row],[LABEL]])</f>
        <v>12</v>
      </c>
      <c r="O1138" s="120">
        <v>15</v>
      </c>
      <c r="P1138" s="120" t="e">
        <f>ROUND(Tableau15[[#This Row],[LEN]]*#REF!+#REF!,0)</f>
        <v>#REF!</v>
      </c>
    </row>
    <row r="1139" spans="1:16" s="97" customFormat="1" x14ac:dyDescent="0.25">
      <c r="A1139" s="61" t="s">
        <v>1905</v>
      </c>
      <c r="B1139" s="62" t="s">
        <v>334</v>
      </c>
      <c r="C1139" s="63" t="s">
        <v>603</v>
      </c>
      <c r="D1139" s="79" t="s">
        <v>1177</v>
      </c>
      <c r="E1139" s="63" t="s">
        <v>1177</v>
      </c>
      <c r="F1139" s="63" t="s">
        <v>1084</v>
      </c>
      <c r="G1139" s="79" t="s">
        <v>1977</v>
      </c>
      <c r="H1139" s="79" t="s">
        <v>1131</v>
      </c>
      <c r="I1139" s="63"/>
      <c r="J1139" s="64" t="s">
        <v>708</v>
      </c>
      <c r="K1139" s="120">
        <f>ROUND(Tableau15[[#This Row],[LEN]]*7.27,0)</f>
        <v>247</v>
      </c>
      <c r="L1139" s="120">
        <v>15</v>
      </c>
      <c r="M1139" s="137" t="str">
        <f t="shared" si="7"/>
        <v>none</v>
      </c>
      <c r="N1139" s="120">
        <f>LEN(Tableau15[[#This Row],[LABEL]])</f>
        <v>34</v>
      </c>
      <c r="O1139" s="120">
        <v>15</v>
      </c>
      <c r="P1139" s="120" t="e">
        <f>ROUND(Tableau15[[#This Row],[LEN]]*#REF!+#REF!,0)</f>
        <v>#REF!</v>
      </c>
    </row>
    <row r="1140" spans="1:16" s="273" customFormat="1" x14ac:dyDescent="0.25">
      <c r="A1140" s="372" t="s">
        <v>335</v>
      </c>
      <c r="B1140" s="373" t="s">
        <v>210</v>
      </c>
      <c r="C1140" s="374" t="s">
        <v>13</v>
      </c>
      <c r="D1140" s="375" t="s">
        <v>1177</v>
      </c>
      <c r="E1140" s="374" t="s">
        <v>677</v>
      </c>
      <c r="F1140" s="374" t="s">
        <v>1177</v>
      </c>
      <c r="G1140" s="375" t="s">
        <v>170</v>
      </c>
      <c r="H1140" s="375" t="str">
        <f>IFERROR(IF(SEARCH(".00.00.00.00.00",Tableau15[[#This Row],[name]],1)=7,"Division",""),"")</f>
        <v>Division</v>
      </c>
      <c r="I1140" s="374"/>
      <c r="J1140" s="376" t="s">
        <v>708</v>
      </c>
      <c r="K1140" s="377">
        <f>ROUND(Tableau15[[#This Row],[LEN]]*7.27,0)</f>
        <v>80</v>
      </c>
      <c r="L1140" s="377">
        <v>15</v>
      </c>
      <c r="M1140" s="378" t="str">
        <f t="shared" si="7"/>
        <v>none</v>
      </c>
      <c r="N1140" s="377">
        <f>LEN(Tableau15[[#This Row],[LABEL]])</f>
        <v>11</v>
      </c>
      <c r="O1140" s="377">
        <v>15</v>
      </c>
      <c r="P1140" s="377" t="e">
        <f>ROUND(Tableau15[[#This Row],[LEN]]*#REF!+#REF!,0)</f>
        <v>#REF!</v>
      </c>
    </row>
    <row r="1141" spans="1:16" s="97" customFormat="1" x14ac:dyDescent="0.25">
      <c r="A1141" s="61" t="s">
        <v>1909</v>
      </c>
      <c r="B1141" s="62" t="s">
        <v>335</v>
      </c>
      <c r="C1141" s="63" t="s">
        <v>602</v>
      </c>
      <c r="D1141" s="79" t="s">
        <v>1177</v>
      </c>
      <c r="E1141" s="63" t="s">
        <v>661</v>
      </c>
      <c r="F1141" s="63" t="s">
        <v>1874</v>
      </c>
      <c r="G1141" s="79" t="s">
        <v>170</v>
      </c>
      <c r="H1141" s="79" t="s">
        <v>656</v>
      </c>
      <c r="I1141" s="63"/>
      <c r="J1141" s="64" t="s">
        <v>708</v>
      </c>
      <c r="K1141" s="120">
        <f>ROUND(Tableau15[[#This Row],[LEN]]*7.27,0)</f>
        <v>553</v>
      </c>
      <c r="L1141" s="120">
        <v>15</v>
      </c>
      <c r="M1141" s="137" t="str">
        <f t="shared" si="7"/>
        <v>none</v>
      </c>
      <c r="N1141" s="120">
        <f>LEN(Tableau15[[#This Row],[LABEL]])</f>
        <v>76</v>
      </c>
      <c r="O1141" s="120">
        <v>15</v>
      </c>
      <c r="P1141" s="120" t="e">
        <f>ROUND(Tableau15[[#This Row],[LEN]]*#REF!+#REF!,0)</f>
        <v>#REF!</v>
      </c>
    </row>
    <row r="1142" spans="1:16" s="97" customFormat="1" x14ac:dyDescent="0.25">
      <c r="A1142" s="61" t="s">
        <v>1910</v>
      </c>
      <c r="B1142" s="62" t="s">
        <v>335</v>
      </c>
      <c r="C1142" s="63" t="s">
        <v>50</v>
      </c>
      <c r="D1142" s="79" t="s">
        <v>1177</v>
      </c>
      <c r="E1142" s="63" t="s">
        <v>1177</v>
      </c>
      <c r="F1142" s="63" t="s">
        <v>1084</v>
      </c>
      <c r="G1142" s="79" t="s">
        <v>1978</v>
      </c>
      <c r="H1142" s="79" t="s">
        <v>1131</v>
      </c>
      <c r="I1142" s="63"/>
      <c r="J1142" s="64" t="s">
        <v>708</v>
      </c>
      <c r="K1142" s="120">
        <f>ROUND(Tableau15[[#This Row],[LEN]]*7.27,0)</f>
        <v>87</v>
      </c>
      <c r="L1142" s="120">
        <v>15</v>
      </c>
      <c r="M1142" s="137" t="str">
        <f t="shared" si="7"/>
        <v>none</v>
      </c>
      <c r="N1142" s="120">
        <f>LEN(Tableau15[[#This Row],[LABEL]])</f>
        <v>12</v>
      </c>
      <c r="O1142" s="120">
        <v>15</v>
      </c>
      <c r="P1142" s="120" t="e">
        <f>ROUND(Tableau15[[#This Row],[LEN]]*#REF!+#REF!,0)</f>
        <v>#REF!</v>
      </c>
    </row>
    <row r="1143" spans="1:16" s="97" customFormat="1" x14ac:dyDescent="0.25">
      <c r="A1143" s="61" t="s">
        <v>1911</v>
      </c>
      <c r="B1143" s="62" t="s">
        <v>335</v>
      </c>
      <c r="C1143" s="63" t="s">
        <v>603</v>
      </c>
      <c r="D1143" s="79" t="s">
        <v>1177</v>
      </c>
      <c r="E1143" s="63" t="s">
        <v>1177</v>
      </c>
      <c r="F1143" s="63" t="s">
        <v>1084</v>
      </c>
      <c r="G1143" s="79" t="s">
        <v>1977</v>
      </c>
      <c r="H1143" s="79" t="s">
        <v>1131</v>
      </c>
      <c r="I1143" s="63"/>
      <c r="J1143" s="64" t="s">
        <v>708</v>
      </c>
      <c r="K1143" s="120">
        <f>ROUND(Tableau15[[#This Row],[LEN]]*7.27,0)</f>
        <v>247</v>
      </c>
      <c r="L1143" s="120">
        <v>15</v>
      </c>
      <c r="M1143" s="137" t="str">
        <f t="shared" si="7"/>
        <v>none</v>
      </c>
      <c r="N1143" s="120">
        <f>LEN(Tableau15[[#This Row],[LABEL]])</f>
        <v>34</v>
      </c>
      <c r="O1143" s="120">
        <v>15</v>
      </c>
      <c r="P1143" s="120" t="e">
        <f>ROUND(Tableau15[[#This Row],[LEN]]*#REF!+#REF!,0)</f>
        <v>#REF!</v>
      </c>
    </row>
    <row r="1144" spans="1:16" s="273" customFormat="1" x14ac:dyDescent="0.25">
      <c r="A1144" s="372" t="s">
        <v>336</v>
      </c>
      <c r="B1144" s="373" t="s">
        <v>210</v>
      </c>
      <c r="C1144" s="374" t="s">
        <v>14</v>
      </c>
      <c r="D1144" s="375" t="s">
        <v>1177</v>
      </c>
      <c r="E1144" s="374" t="s">
        <v>678</v>
      </c>
      <c r="F1144" s="374" t="s">
        <v>1177</v>
      </c>
      <c r="G1144" s="375" t="s">
        <v>170</v>
      </c>
      <c r="H1144" s="375" t="str">
        <f>IFERROR(IF(SEARCH(".00.00.00.00.00",Tableau15[[#This Row],[name]],1)=7,"Division",""),"")</f>
        <v>Division</v>
      </c>
      <c r="I1144" s="374"/>
      <c r="J1144" s="376" t="s">
        <v>724</v>
      </c>
      <c r="K1144" s="377">
        <f>ROUND(Tableau15[[#This Row],[LEN]]*7.27,0)</f>
        <v>240</v>
      </c>
      <c r="L1144" s="377">
        <v>15</v>
      </c>
      <c r="M1144" s="378" t="str">
        <f t="shared" si="7"/>
        <v>new</v>
      </c>
      <c r="N1144" s="377">
        <f>LEN(Tableau15[[#This Row],[LABEL]])</f>
        <v>33</v>
      </c>
      <c r="O1144" s="377">
        <v>15</v>
      </c>
      <c r="P1144" s="377" t="e">
        <f>ROUND(Tableau15[[#This Row],[LEN]]*#REF!+#REF!,0)</f>
        <v>#REF!</v>
      </c>
    </row>
    <row r="1145" spans="1:16" s="97" customFormat="1" x14ac:dyDescent="0.25">
      <c r="A1145" s="61" t="s">
        <v>1912</v>
      </c>
      <c r="B1145" s="62" t="s">
        <v>336</v>
      </c>
      <c r="C1145" s="63" t="s">
        <v>1917</v>
      </c>
      <c r="D1145" s="79" t="s">
        <v>1177</v>
      </c>
      <c r="E1145" s="63" t="s">
        <v>678</v>
      </c>
      <c r="F1145" s="63" t="s">
        <v>1177</v>
      </c>
      <c r="G1145" s="79" t="s">
        <v>170</v>
      </c>
      <c r="H1145" s="79" t="s">
        <v>654</v>
      </c>
      <c r="I1145" s="63"/>
      <c r="J1145" s="64" t="s">
        <v>708</v>
      </c>
      <c r="K1145" s="120">
        <f>ROUND(Tableau15[[#This Row],[LEN]]*7.27,0)</f>
        <v>211</v>
      </c>
      <c r="L1145" s="120">
        <v>15</v>
      </c>
      <c r="M1145" s="137" t="str">
        <f t="shared" si="7"/>
        <v>none</v>
      </c>
      <c r="N1145" s="120">
        <f>LEN(Tableau15[[#This Row],[LABEL]])</f>
        <v>29</v>
      </c>
      <c r="O1145" s="120">
        <v>15</v>
      </c>
      <c r="P1145" s="120" t="e">
        <f>ROUND(Tableau15[[#This Row],[LEN]]*#REF!+#REF!,0)</f>
        <v>#REF!</v>
      </c>
    </row>
    <row r="1146" spans="1:16" s="97" customFormat="1" x14ac:dyDescent="0.25">
      <c r="A1146" s="61" t="s">
        <v>1913</v>
      </c>
      <c r="B1146" s="62" t="s">
        <v>336</v>
      </c>
      <c r="C1146" s="63" t="s">
        <v>1918</v>
      </c>
      <c r="D1146" s="79" t="s">
        <v>1177</v>
      </c>
      <c r="E1146" s="63" t="s">
        <v>678</v>
      </c>
      <c r="F1146" s="63" t="s">
        <v>1177</v>
      </c>
      <c r="G1146" s="79" t="s">
        <v>170</v>
      </c>
      <c r="H1146" s="79" t="s">
        <v>654</v>
      </c>
      <c r="I1146" s="63"/>
      <c r="J1146" s="64" t="s">
        <v>708</v>
      </c>
      <c r="K1146" s="120">
        <f>ROUND(Tableau15[[#This Row],[LEN]]*7.27,0)</f>
        <v>189</v>
      </c>
      <c r="L1146" s="120">
        <v>15</v>
      </c>
      <c r="M1146" s="137" t="str">
        <f t="shared" si="7"/>
        <v>none</v>
      </c>
      <c r="N1146" s="120">
        <f>LEN(Tableau15[[#This Row],[LABEL]])</f>
        <v>26</v>
      </c>
      <c r="O1146" s="120">
        <v>15</v>
      </c>
      <c r="P1146" s="120" t="e">
        <f>ROUND(Tableau15[[#This Row],[LEN]]*#REF!+#REF!,0)</f>
        <v>#REF!</v>
      </c>
    </row>
    <row r="1147" spans="1:16" s="97" customFormat="1" x14ac:dyDescent="0.25">
      <c r="A1147" s="61" t="s">
        <v>1914</v>
      </c>
      <c r="B1147" s="62" t="s">
        <v>336</v>
      </c>
      <c r="C1147" s="63" t="s">
        <v>602</v>
      </c>
      <c r="D1147" s="79" t="s">
        <v>1177</v>
      </c>
      <c r="E1147" s="63" t="s">
        <v>661</v>
      </c>
      <c r="F1147" s="63" t="s">
        <v>1874</v>
      </c>
      <c r="G1147" s="79" t="s">
        <v>170</v>
      </c>
      <c r="H1147" s="79" t="s">
        <v>656</v>
      </c>
      <c r="I1147" s="63"/>
      <c r="J1147" s="64" t="s">
        <v>708</v>
      </c>
      <c r="K1147" s="120">
        <f>ROUND(Tableau15[[#This Row],[LEN]]*7.27,0)</f>
        <v>553</v>
      </c>
      <c r="L1147" s="120">
        <v>15</v>
      </c>
      <c r="M1147" s="137" t="str">
        <f t="shared" si="7"/>
        <v>none</v>
      </c>
      <c r="N1147" s="120">
        <f>LEN(Tableau15[[#This Row],[LABEL]])</f>
        <v>76</v>
      </c>
      <c r="O1147" s="120">
        <v>15</v>
      </c>
      <c r="P1147" s="120" t="e">
        <f>ROUND(Tableau15[[#This Row],[LEN]]*#REF!+#REF!,0)</f>
        <v>#REF!</v>
      </c>
    </row>
    <row r="1148" spans="1:16" s="97" customFormat="1" x14ac:dyDescent="0.25">
      <c r="A1148" s="61" t="s">
        <v>1915</v>
      </c>
      <c r="B1148" s="62" t="s">
        <v>336</v>
      </c>
      <c r="C1148" s="63" t="s">
        <v>50</v>
      </c>
      <c r="D1148" s="79" t="s">
        <v>1177</v>
      </c>
      <c r="E1148" s="63" t="s">
        <v>1177</v>
      </c>
      <c r="F1148" s="63" t="s">
        <v>1084</v>
      </c>
      <c r="G1148" s="79" t="s">
        <v>1978</v>
      </c>
      <c r="H1148" s="79" t="s">
        <v>1131</v>
      </c>
      <c r="I1148" s="63"/>
      <c r="J1148" s="64" t="s">
        <v>708</v>
      </c>
      <c r="K1148" s="120">
        <f>ROUND(Tableau15[[#This Row],[LEN]]*7.27,0)</f>
        <v>87</v>
      </c>
      <c r="L1148" s="120">
        <v>15</v>
      </c>
      <c r="M1148" s="137" t="str">
        <f t="shared" si="7"/>
        <v>none</v>
      </c>
      <c r="N1148" s="120">
        <f>LEN(Tableau15[[#This Row],[LABEL]])</f>
        <v>12</v>
      </c>
      <c r="O1148" s="120">
        <v>15</v>
      </c>
      <c r="P1148" s="120" t="e">
        <f>ROUND(Tableau15[[#This Row],[LEN]]*#REF!+#REF!,0)</f>
        <v>#REF!</v>
      </c>
    </row>
    <row r="1149" spans="1:16" s="97" customFormat="1" x14ac:dyDescent="0.25">
      <c r="A1149" s="61" t="s">
        <v>1916</v>
      </c>
      <c r="B1149" s="62" t="s">
        <v>336</v>
      </c>
      <c r="C1149" s="63" t="s">
        <v>603</v>
      </c>
      <c r="D1149" s="79" t="s">
        <v>1177</v>
      </c>
      <c r="E1149" s="63" t="s">
        <v>1177</v>
      </c>
      <c r="F1149" s="63" t="s">
        <v>1084</v>
      </c>
      <c r="G1149" s="79" t="s">
        <v>1977</v>
      </c>
      <c r="H1149" s="79" t="s">
        <v>1131</v>
      </c>
      <c r="I1149" s="63"/>
      <c r="J1149" s="64" t="s">
        <v>708</v>
      </c>
      <c r="K1149" s="120">
        <f>ROUND(Tableau15[[#This Row],[LEN]]*7.27,0)</f>
        <v>247</v>
      </c>
      <c r="L1149" s="120">
        <v>15</v>
      </c>
      <c r="M1149" s="137" t="str">
        <f t="shared" si="7"/>
        <v>none</v>
      </c>
      <c r="N1149" s="120">
        <f>LEN(Tableau15[[#This Row],[LABEL]])</f>
        <v>34</v>
      </c>
      <c r="O1149" s="120">
        <v>15</v>
      </c>
      <c r="P1149" s="120" t="e">
        <f>ROUND(Tableau15[[#This Row],[LEN]]*#REF!+#REF!,0)</f>
        <v>#REF!</v>
      </c>
    </row>
    <row r="1150" spans="1:16" s="273" customFormat="1" x14ac:dyDescent="0.25">
      <c r="A1150" s="379" t="s">
        <v>337</v>
      </c>
      <c r="B1150" s="380" t="s">
        <v>210</v>
      </c>
      <c r="C1150" s="381" t="s">
        <v>15</v>
      </c>
      <c r="D1150" s="382" t="s">
        <v>1177</v>
      </c>
      <c r="E1150" s="381" t="s">
        <v>679</v>
      </c>
      <c r="F1150" s="381" t="s">
        <v>1177</v>
      </c>
      <c r="G1150" s="382" t="s">
        <v>170</v>
      </c>
      <c r="H1150" s="382" t="str">
        <f>IFERROR(IF(SEARCH(".00.00.00.00.00",Tableau15[[#This Row],[name]],1)=7,"Division",""),"")</f>
        <v>Division</v>
      </c>
      <c r="I1150" s="381"/>
      <c r="J1150" s="383" t="s">
        <v>708</v>
      </c>
      <c r="K1150" s="384">
        <f>ROUND(Tableau15[[#This Row],[LEN]]*7.27,0)</f>
        <v>174</v>
      </c>
      <c r="L1150" s="384">
        <v>15</v>
      </c>
      <c r="M1150" s="385" t="str">
        <f t="shared" si="7"/>
        <v>none</v>
      </c>
      <c r="N1150" s="384">
        <f>LEN(Tableau15[[#This Row],[LABEL]])</f>
        <v>24</v>
      </c>
      <c r="O1150" s="384">
        <v>15</v>
      </c>
      <c r="P1150" s="384" t="e">
        <f>ROUND(Tableau15[[#This Row],[LEN]]*#REF!+#REF!,0)</f>
        <v>#REF!</v>
      </c>
    </row>
    <row r="1151" spans="1:16" s="97" customFormat="1" x14ac:dyDescent="0.25">
      <c r="A1151" s="61" t="s">
        <v>1921</v>
      </c>
      <c r="B1151" s="62" t="s">
        <v>337</v>
      </c>
      <c r="C1151" s="63" t="s">
        <v>1919</v>
      </c>
      <c r="D1151" s="79" t="s">
        <v>1177</v>
      </c>
      <c r="E1151" s="63" t="s">
        <v>679</v>
      </c>
      <c r="F1151" s="63" t="s">
        <v>1920</v>
      </c>
      <c r="G1151" s="79" t="s">
        <v>170</v>
      </c>
      <c r="H1151" s="79" t="s">
        <v>656</v>
      </c>
      <c r="I1151" s="63"/>
      <c r="J1151" s="64" t="s">
        <v>708</v>
      </c>
      <c r="K1151" s="120">
        <f>ROUND(Tableau15[[#This Row],[LEN]]*7.27,0)</f>
        <v>225</v>
      </c>
      <c r="L1151" s="120">
        <v>15</v>
      </c>
      <c r="M1151" s="137" t="str">
        <f t="shared" si="7"/>
        <v>none</v>
      </c>
      <c r="N1151" s="120">
        <f>LEN(Tableau15[[#This Row],[LABEL]])</f>
        <v>31</v>
      </c>
      <c r="O1151" s="120">
        <v>15</v>
      </c>
      <c r="P1151" s="120" t="e">
        <f>ROUND(Tableau15[[#This Row],[LEN]]*#REF!+#REF!,0)</f>
        <v>#REF!</v>
      </c>
    </row>
    <row r="1152" spans="1:16" s="97" customFormat="1" x14ac:dyDescent="0.25">
      <c r="A1152" s="61" t="s">
        <v>1922</v>
      </c>
      <c r="B1152" s="62" t="s">
        <v>337</v>
      </c>
      <c r="C1152" s="63" t="s">
        <v>602</v>
      </c>
      <c r="D1152" s="79" t="s">
        <v>1177</v>
      </c>
      <c r="E1152" s="63" t="s">
        <v>661</v>
      </c>
      <c r="F1152" s="63" t="s">
        <v>1874</v>
      </c>
      <c r="G1152" s="79" t="s">
        <v>170</v>
      </c>
      <c r="H1152" s="79" t="s">
        <v>656</v>
      </c>
      <c r="I1152" s="63"/>
      <c r="J1152" s="64" t="s">
        <v>708</v>
      </c>
      <c r="K1152" s="120">
        <f>ROUND(Tableau15[[#This Row],[LEN]]*7.27,0)</f>
        <v>553</v>
      </c>
      <c r="L1152" s="120">
        <v>15</v>
      </c>
      <c r="M1152" s="137" t="str">
        <f t="shared" si="7"/>
        <v>none</v>
      </c>
      <c r="N1152" s="120">
        <f>LEN(Tableau15[[#This Row],[LABEL]])</f>
        <v>76</v>
      </c>
      <c r="O1152" s="120">
        <v>15</v>
      </c>
      <c r="P1152" s="120" t="e">
        <f>ROUND(Tableau15[[#This Row],[LEN]]*#REF!+#REF!,0)</f>
        <v>#REF!</v>
      </c>
    </row>
    <row r="1153" spans="1:16" s="97" customFormat="1" x14ac:dyDescent="0.25">
      <c r="A1153" s="61" t="s">
        <v>1923</v>
      </c>
      <c r="B1153" s="62" t="s">
        <v>337</v>
      </c>
      <c r="C1153" s="63" t="s">
        <v>50</v>
      </c>
      <c r="D1153" s="79" t="s">
        <v>1177</v>
      </c>
      <c r="E1153" s="63" t="s">
        <v>1177</v>
      </c>
      <c r="F1153" s="63" t="s">
        <v>1084</v>
      </c>
      <c r="G1153" s="79" t="s">
        <v>1978</v>
      </c>
      <c r="H1153" s="79" t="s">
        <v>1131</v>
      </c>
      <c r="I1153" s="63"/>
      <c r="J1153" s="64" t="s">
        <v>708</v>
      </c>
      <c r="K1153" s="120">
        <f>ROUND(Tableau15[[#This Row],[LEN]]*7.27,0)</f>
        <v>87</v>
      </c>
      <c r="L1153" s="120">
        <v>15</v>
      </c>
      <c r="M1153" s="137" t="str">
        <f t="shared" si="7"/>
        <v>none</v>
      </c>
      <c r="N1153" s="120">
        <f>LEN(Tableau15[[#This Row],[LABEL]])</f>
        <v>12</v>
      </c>
      <c r="O1153" s="120">
        <v>15</v>
      </c>
      <c r="P1153" s="120" t="e">
        <f>ROUND(Tableau15[[#This Row],[LEN]]*#REF!+#REF!,0)</f>
        <v>#REF!</v>
      </c>
    </row>
    <row r="1154" spans="1:16" s="97" customFormat="1" x14ac:dyDescent="0.25">
      <c r="A1154" s="61" t="s">
        <v>1924</v>
      </c>
      <c r="B1154" s="62" t="s">
        <v>337</v>
      </c>
      <c r="C1154" s="63" t="s">
        <v>603</v>
      </c>
      <c r="D1154" s="79" t="s">
        <v>1177</v>
      </c>
      <c r="E1154" s="63" t="s">
        <v>1177</v>
      </c>
      <c r="F1154" s="63" t="s">
        <v>1084</v>
      </c>
      <c r="G1154" s="79" t="s">
        <v>1977</v>
      </c>
      <c r="H1154" s="79" t="s">
        <v>1131</v>
      </c>
      <c r="I1154" s="63"/>
      <c r="J1154" s="64" t="s">
        <v>708</v>
      </c>
      <c r="K1154" s="120">
        <f>ROUND(Tableau15[[#This Row],[LEN]]*7.27,0)</f>
        <v>247</v>
      </c>
      <c r="L1154" s="120">
        <v>15</v>
      </c>
      <c r="M1154" s="137" t="str">
        <f t="shared" si="7"/>
        <v>none</v>
      </c>
      <c r="N1154" s="120">
        <f>LEN(Tableau15[[#This Row],[LABEL]])</f>
        <v>34</v>
      </c>
      <c r="O1154" s="120">
        <v>15</v>
      </c>
      <c r="P1154" s="120" t="e">
        <f>ROUND(Tableau15[[#This Row],[LEN]]*#REF!+#REF!,0)</f>
        <v>#REF!</v>
      </c>
    </row>
    <row r="1155" spans="1:16" s="273" customFormat="1" x14ac:dyDescent="0.25">
      <c r="A1155" s="379" t="s">
        <v>2049</v>
      </c>
      <c r="B1155" s="380" t="s">
        <v>210</v>
      </c>
      <c r="C1155" s="381" t="s">
        <v>1950</v>
      </c>
      <c r="D1155" s="382" t="s">
        <v>1177</v>
      </c>
      <c r="E1155" s="381" t="s">
        <v>1951</v>
      </c>
      <c r="F1155" s="381" t="s">
        <v>1177</v>
      </c>
      <c r="G1155" s="382" t="s">
        <v>170</v>
      </c>
      <c r="H1155" s="382" t="s">
        <v>56</v>
      </c>
      <c r="I1155" s="381"/>
      <c r="J1155" s="383" t="s">
        <v>708</v>
      </c>
      <c r="K1155" s="384">
        <f>ROUND(Tableau15[[#This Row],[LEN]]*7.27,0)</f>
        <v>51</v>
      </c>
      <c r="L1155" s="384">
        <v>15</v>
      </c>
      <c r="M1155" s="385" t="str">
        <f t="shared" si="7"/>
        <v>none</v>
      </c>
      <c r="N1155" s="384">
        <f>LEN(Tableau15[[#This Row],[LABEL]])</f>
        <v>7</v>
      </c>
      <c r="O1155" s="384">
        <v>15</v>
      </c>
      <c r="P1155" s="384" t="e">
        <f>ROUND(Tableau15[[#This Row],[LEN]]*#REF!+#REF!,0)</f>
        <v>#REF!</v>
      </c>
    </row>
    <row r="1156" spans="1:16" s="97" customFormat="1" x14ac:dyDescent="0.25">
      <c r="A1156" s="61" t="s">
        <v>2050</v>
      </c>
      <c r="B1156" s="62" t="s">
        <v>2049</v>
      </c>
      <c r="C1156" s="63" t="s">
        <v>2055</v>
      </c>
      <c r="D1156" s="79" t="s">
        <v>1177</v>
      </c>
      <c r="E1156" s="63" t="s">
        <v>1951</v>
      </c>
      <c r="F1156" s="63" t="s">
        <v>1177</v>
      </c>
      <c r="G1156" s="79" t="s">
        <v>170</v>
      </c>
      <c r="H1156" s="79" t="s">
        <v>654</v>
      </c>
      <c r="I1156" s="63"/>
      <c r="J1156" s="64" t="s">
        <v>708</v>
      </c>
      <c r="K1156" s="120">
        <f>ROUND(Tableau15[[#This Row],[LEN]]*7.27,0)</f>
        <v>502</v>
      </c>
      <c r="L1156" s="120">
        <v>15</v>
      </c>
      <c r="M1156" s="137" t="str">
        <f t="shared" si="7"/>
        <v>none</v>
      </c>
      <c r="N1156" s="120">
        <f>LEN(Tableau15[[#This Row],[LABEL]])</f>
        <v>69</v>
      </c>
      <c r="O1156" s="120">
        <v>15</v>
      </c>
      <c r="P1156" s="120" t="e">
        <f>ROUND(Tableau15[[#This Row],[LEN]]*#REF!+#REF!,0)</f>
        <v>#REF!</v>
      </c>
    </row>
    <row r="1157" spans="1:16" s="97" customFormat="1" x14ac:dyDescent="0.25">
      <c r="A1157" s="61" t="s">
        <v>2051</v>
      </c>
      <c r="B1157" s="62" t="s">
        <v>2049</v>
      </c>
      <c r="C1157" s="63" t="s">
        <v>2056</v>
      </c>
      <c r="D1157" s="79" t="s">
        <v>1177</v>
      </c>
      <c r="E1157" s="63" t="s">
        <v>1951</v>
      </c>
      <c r="F1157" s="63" t="s">
        <v>1177</v>
      </c>
      <c r="G1157" s="79" t="s">
        <v>170</v>
      </c>
      <c r="H1157" s="79" t="s">
        <v>654</v>
      </c>
      <c r="I1157" s="63"/>
      <c r="J1157" s="64" t="s">
        <v>708</v>
      </c>
      <c r="K1157" s="120">
        <f>ROUND(Tableau15[[#This Row],[LEN]]*7.27,0)</f>
        <v>582</v>
      </c>
      <c r="L1157" s="120">
        <v>15</v>
      </c>
      <c r="M1157" s="137" t="str">
        <f t="shared" si="7"/>
        <v>none</v>
      </c>
      <c r="N1157" s="120">
        <f>LEN(Tableau15[[#This Row],[LABEL]])</f>
        <v>80</v>
      </c>
      <c r="O1157" s="120">
        <v>15</v>
      </c>
      <c r="P1157" s="120" t="e">
        <f>ROUND(Tableau15[[#This Row],[LEN]]*#REF!+#REF!,0)</f>
        <v>#REF!</v>
      </c>
    </row>
    <row r="1158" spans="1:16" s="97" customFormat="1" x14ac:dyDescent="0.25">
      <c r="A1158" s="61" t="s">
        <v>2052</v>
      </c>
      <c r="B1158" s="62" t="s">
        <v>2049</v>
      </c>
      <c r="C1158" s="63" t="s">
        <v>2057</v>
      </c>
      <c r="D1158" s="79" t="s">
        <v>1177</v>
      </c>
      <c r="E1158" s="63" t="s">
        <v>1951</v>
      </c>
      <c r="F1158" s="63" t="s">
        <v>1177</v>
      </c>
      <c r="G1158" s="79" t="s">
        <v>170</v>
      </c>
      <c r="H1158" s="79" t="s">
        <v>654</v>
      </c>
      <c r="I1158" s="63"/>
      <c r="J1158" s="64" t="s">
        <v>708</v>
      </c>
      <c r="K1158" s="120">
        <f>ROUND(Tableau15[[#This Row],[LEN]]*7.27,0)</f>
        <v>254</v>
      </c>
      <c r="L1158" s="120">
        <v>15</v>
      </c>
      <c r="M1158" s="137" t="str">
        <f t="shared" si="7"/>
        <v>none</v>
      </c>
      <c r="N1158" s="120">
        <f>LEN(Tableau15[[#This Row],[LABEL]])</f>
        <v>35</v>
      </c>
      <c r="O1158" s="120">
        <v>15</v>
      </c>
      <c r="P1158" s="120" t="e">
        <f>ROUND(Tableau15[[#This Row],[LEN]]*#REF!+#REF!,0)</f>
        <v>#REF!</v>
      </c>
    </row>
    <row r="1159" spans="1:16" s="97" customFormat="1" x14ac:dyDescent="0.25">
      <c r="A1159" s="61" t="s">
        <v>2053</v>
      </c>
      <c r="B1159" s="62" t="s">
        <v>2049</v>
      </c>
      <c r="C1159" s="63" t="s">
        <v>2058</v>
      </c>
      <c r="D1159" s="79" t="s">
        <v>1177</v>
      </c>
      <c r="E1159" s="63" t="s">
        <v>1951</v>
      </c>
      <c r="F1159" s="63" t="s">
        <v>1177</v>
      </c>
      <c r="G1159" s="79" t="s">
        <v>170</v>
      </c>
      <c r="H1159" s="79" t="s">
        <v>654</v>
      </c>
      <c r="I1159" s="63"/>
      <c r="J1159" s="64" t="s">
        <v>708</v>
      </c>
      <c r="K1159" s="120">
        <f>ROUND(Tableau15[[#This Row],[LEN]]*7.27,0)</f>
        <v>189</v>
      </c>
      <c r="L1159" s="120">
        <v>15</v>
      </c>
      <c r="M1159" s="137" t="str">
        <f t="shared" si="7"/>
        <v>none</v>
      </c>
      <c r="N1159" s="120">
        <f>LEN(Tableau15[[#This Row],[LABEL]])</f>
        <v>26</v>
      </c>
      <c r="O1159" s="120">
        <v>15</v>
      </c>
      <c r="P1159" s="120" t="e">
        <f>ROUND(Tableau15[[#This Row],[LEN]]*#REF!+#REF!,0)</f>
        <v>#REF!</v>
      </c>
    </row>
    <row r="1160" spans="1:16" s="97" customFormat="1" ht="15.75" thickBot="1" x14ac:dyDescent="0.3">
      <c r="A1160" s="61" t="s">
        <v>2054</v>
      </c>
      <c r="B1160" s="62" t="s">
        <v>2049</v>
      </c>
      <c r="C1160" s="63" t="s">
        <v>603</v>
      </c>
      <c r="D1160" s="79" t="s">
        <v>1177</v>
      </c>
      <c r="E1160" s="63" t="s">
        <v>1177</v>
      </c>
      <c r="F1160" s="63" t="s">
        <v>1084</v>
      </c>
      <c r="G1160" s="79" t="s">
        <v>1977</v>
      </c>
      <c r="H1160" s="79" t="s">
        <v>1131</v>
      </c>
      <c r="I1160" s="63"/>
      <c r="J1160" s="64" t="s">
        <v>708</v>
      </c>
      <c r="K1160" s="120">
        <f>ROUND(Tableau15[[#This Row],[LEN]]*7.27,0)</f>
        <v>247</v>
      </c>
      <c r="L1160" s="120">
        <v>15</v>
      </c>
      <c r="M1160" s="137" t="str">
        <f t="shared" si="7"/>
        <v>none</v>
      </c>
      <c r="N1160" s="120">
        <f>LEN(Tableau15[[#This Row],[LABEL]])</f>
        <v>34</v>
      </c>
      <c r="O1160" s="120">
        <v>15</v>
      </c>
      <c r="P1160" s="120" t="e">
        <f>ROUND(Tableau15[[#This Row],[LEN]]*#REF!+#REF!,0)</f>
        <v>#REF!</v>
      </c>
    </row>
    <row r="1161" spans="1:16" s="92" customFormat="1" ht="16.5" thickTop="1" thickBot="1" x14ac:dyDescent="0.3">
      <c r="A1161" s="205" t="s">
        <v>211</v>
      </c>
      <c r="B1161" s="205" t="s">
        <v>203</v>
      </c>
      <c r="C1161" s="206" t="s">
        <v>179</v>
      </c>
      <c r="D1161" s="207" t="s">
        <v>475</v>
      </c>
      <c r="E1161" s="206" t="s">
        <v>1177</v>
      </c>
      <c r="F1161" s="207" t="s">
        <v>1177</v>
      </c>
      <c r="G1161" s="206" t="s">
        <v>171</v>
      </c>
      <c r="H1161" s="206" t="s">
        <v>616</v>
      </c>
      <c r="I1161" s="207"/>
      <c r="J1161" s="208" t="s">
        <v>708</v>
      </c>
      <c r="K1161" s="209">
        <f>ROUND(Tableau15[[#This Row],[LEN]]*7.27,0)</f>
        <v>116</v>
      </c>
      <c r="L1161" s="209">
        <v>15</v>
      </c>
      <c r="M1161" s="210" t="str">
        <f t="shared" si="7"/>
        <v>none</v>
      </c>
      <c r="N1161" s="209">
        <f>LEN(Tableau15[[#This Row],[LABEL]])</f>
        <v>16</v>
      </c>
      <c r="O1161" s="211">
        <v>15</v>
      </c>
      <c r="P1161" s="211" t="e">
        <f>ROUND(Tableau15[[#This Row],[LEN]]*#REF!+#REF!,0)</f>
        <v>#REF!</v>
      </c>
    </row>
    <row r="1162" spans="1:16" s="92" customFormat="1" ht="15.75" thickTop="1" x14ac:dyDescent="0.25">
      <c r="A1162" s="394" t="s">
        <v>339</v>
      </c>
      <c r="B1162" s="395" t="s">
        <v>211</v>
      </c>
      <c r="C1162" s="396" t="s">
        <v>57</v>
      </c>
      <c r="D1162" s="397" t="s">
        <v>1177</v>
      </c>
      <c r="E1162" s="398" t="s">
        <v>663</v>
      </c>
      <c r="F1162" s="396" t="s">
        <v>1177</v>
      </c>
      <c r="G1162" s="397" t="s">
        <v>171</v>
      </c>
      <c r="H1162" s="397" t="str">
        <f>IFERROR(IF(SEARCH(".00.00.00.00.00",Tableau15[[#This Row],[name]],1)=7,"Division",""),"")</f>
        <v>Division</v>
      </c>
      <c r="I1162" s="396"/>
      <c r="J1162" s="399" t="s">
        <v>708</v>
      </c>
      <c r="K1162" s="400">
        <f>ROUND(Tableau15[[#This Row],[LEN]]*7.27,0)</f>
        <v>102</v>
      </c>
      <c r="L1162" s="400">
        <v>15</v>
      </c>
      <c r="M1162" s="401" t="str">
        <f t="shared" si="7"/>
        <v>none</v>
      </c>
      <c r="N1162" s="400">
        <f>LEN(Tableau15[[#This Row],[LABEL]])</f>
        <v>14</v>
      </c>
      <c r="O1162" s="400">
        <v>15</v>
      </c>
      <c r="P1162" s="400" t="e">
        <f>ROUND(Tableau15[[#This Row],[LEN]]*#REF!+#REF!,0)</f>
        <v>#REF!</v>
      </c>
    </row>
    <row r="1163" spans="1:16" x14ac:dyDescent="0.25">
      <c r="A1163" s="98" t="s">
        <v>913</v>
      </c>
      <c r="B1163" s="99" t="s">
        <v>339</v>
      </c>
      <c r="C1163" s="100" t="s">
        <v>914</v>
      </c>
      <c r="D1163" s="80" t="s">
        <v>1177</v>
      </c>
      <c r="E1163" s="82" t="s">
        <v>663</v>
      </c>
      <c r="F1163" s="100" t="s">
        <v>1177</v>
      </c>
      <c r="G1163" s="80" t="s">
        <v>171</v>
      </c>
      <c r="H1163" s="80" t="s">
        <v>56</v>
      </c>
      <c r="I1163" s="100"/>
      <c r="J1163" s="101" t="s">
        <v>708</v>
      </c>
      <c r="K1163" s="121">
        <f>ROUND(Tableau15[[#This Row],[LEN]]*7.27,0)</f>
        <v>313</v>
      </c>
      <c r="L1163" s="121">
        <v>15</v>
      </c>
      <c r="M1163" s="138" t="str">
        <f t="shared" si="7"/>
        <v>none</v>
      </c>
      <c r="N1163" s="121">
        <f>LEN(Tableau15[[#This Row],[LABEL]])</f>
        <v>43</v>
      </c>
      <c r="O1163" s="121">
        <v>15</v>
      </c>
      <c r="P1163" s="121" t="e">
        <f>ROUND(Tableau15[[#This Row],[LEN]]*#REF!+#REF!,0)</f>
        <v>#REF!</v>
      </c>
    </row>
    <row r="1164" spans="1:16" s="92" customFormat="1" x14ac:dyDescent="0.25">
      <c r="A1164" s="394" t="s">
        <v>345</v>
      </c>
      <c r="B1164" s="395" t="s">
        <v>211</v>
      </c>
      <c r="C1164" s="396" t="s">
        <v>6</v>
      </c>
      <c r="D1164" s="397" t="s">
        <v>1177</v>
      </c>
      <c r="E1164" s="398" t="s">
        <v>669</v>
      </c>
      <c r="F1164" s="396" t="s">
        <v>1177</v>
      </c>
      <c r="G1164" s="397" t="s">
        <v>171</v>
      </c>
      <c r="H1164" s="397" t="str">
        <f>IFERROR(IF(SEARCH(".00.00.00.00.00",Tableau15[[#This Row],[name]],1)=7,"Division",""),"")</f>
        <v>Division</v>
      </c>
      <c r="I1164" s="396"/>
      <c r="J1164" s="399" t="s">
        <v>708</v>
      </c>
      <c r="K1164" s="400">
        <f>ROUND(Tableau15[[#This Row],[LEN]]*7.27,0)</f>
        <v>196</v>
      </c>
      <c r="L1164" s="400">
        <v>15</v>
      </c>
      <c r="M1164" s="401" t="str">
        <f t="shared" si="7"/>
        <v>none</v>
      </c>
      <c r="N1164" s="400">
        <f>LEN(Tableau15[[#This Row],[LABEL]])</f>
        <v>27</v>
      </c>
      <c r="O1164" s="400">
        <v>15</v>
      </c>
      <c r="P1164" s="400" t="e">
        <f>ROUND(Tableau15[[#This Row],[LEN]]*#REF!+#REF!,0)</f>
        <v>#REF!</v>
      </c>
    </row>
    <row r="1165" spans="1:16" x14ac:dyDescent="0.25">
      <c r="A1165" s="98" t="s">
        <v>1925</v>
      </c>
      <c r="B1165" s="99" t="s">
        <v>345</v>
      </c>
      <c r="C1165" s="100" t="s">
        <v>1930</v>
      </c>
      <c r="D1165" s="80" t="s">
        <v>1177</v>
      </c>
      <c r="E1165" s="82" t="s">
        <v>669</v>
      </c>
      <c r="F1165" s="100" t="s">
        <v>1177</v>
      </c>
      <c r="G1165" s="80" t="s">
        <v>171</v>
      </c>
      <c r="H1165" s="80" t="s">
        <v>656</v>
      </c>
      <c r="I1165" s="100"/>
      <c r="J1165" s="101" t="s">
        <v>708</v>
      </c>
      <c r="K1165" s="121">
        <f>ROUND(Tableau15[[#This Row],[LEN]]*7.27,0)</f>
        <v>436</v>
      </c>
      <c r="L1165" s="121">
        <v>15</v>
      </c>
      <c r="M1165" s="138" t="str">
        <f t="shared" si="7"/>
        <v>none</v>
      </c>
      <c r="N1165" s="121">
        <f>LEN(Tableau15[[#This Row],[LABEL]])</f>
        <v>60</v>
      </c>
      <c r="O1165" s="121">
        <v>15</v>
      </c>
      <c r="P1165" s="121" t="e">
        <f>ROUND(Tableau15[[#This Row],[LEN]]*#REF!+#REF!,0)</f>
        <v>#REF!</v>
      </c>
    </row>
    <row r="1166" spans="1:16" x14ac:dyDescent="0.25">
      <c r="A1166" s="98" t="s">
        <v>1928</v>
      </c>
      <c r="B1166" s="99" t="s">
        <v>1926</v>
      </c>
      <c r="C1166" s="100" t="s">
        <v>1931</v>
      </c>
      <c r="D1166" s="80" t="s">
        <v>1177</v>
      </c>
      <c r="E1166" s="82" t="s">
        <v>669</v>
      </c>
      <c r="F1166" s="100" t="s">
        <v>1177</v>
      </c>
      <c r="G1166" s="80" t="s">
        <v>171</v>
      </c>
      <c r="H1166" s="80" t="s">
        <v>656</v>
      </c>
      <c r="I1166" s="100"/>
      <c r="J1166" s="101" t="s">
        <v>708</v>
      </c>
      <c r="K1166" s="121">
        <f>ROUND(Tableau15[[#This Row],[LEN]]*7.27,0)</f>
        <v>211</v>
      </c>
      <c r="L1166" s="121">
        <v>15</v>
      </c>
      <c r="M1166" s="138" t="str">
        <f t="shared" si="7"/>
        <v>none</v>
      </c>
      <c r="N1166" s="121">
        <f>LEN(Tableau15[[#This Row],[LABEL]])</f>
        <v>29</v>
      </c>
      <c r="O1166" s="121">
        <v>15</v>
      </c>
      <c r="P1166" s="121" t="e">
        <f>ROUND(Tableau15[[#This Row],[LEN]]*#REF!+#REF!,0)</f>
        <v>#REF!</v>
      </c>
    </row>
    <row r="1167" spans="1:16" x14ac:dyDescent="0.25">
      <c r="A1167" s="98" t="s">
        <v>1929</v>
      </c>
      <c r="B1167" s="99" t="s">
        <v>1927</v>
      </c>
      <c r="C1167" s="100" t="s">
        <v>1932</v>
      </c>
      <c r="D1167" s="80" t="s">
        <v>1177</v>
      </c>
      <c r="E1167" s="82" t="s">
        <v>669</v>
      </c>
      <c r="F1167" s="100" t="s">
        <v>1177</v>
      </c>
      <c r="G1167" s="80" t="s">
        <v>171</v>
      </c>
      <c r="H1167" s="80" t="s">
        <v>656</v>
      </c>
      <c r="I1167" s="100"/>
      <c r="J1167" s="101" t="s">
        <v>708</v>
      </c>
      <c r="K1167" s="121">
        <f>ROUND(Tableau15[[#This Row],[LEN]]*7.27,0)</f>
        <v>124</v>
      </c>
      <c r="L1167" s="121">
        <v>15</v>
      </c>
      <c r="M1167" s="138" t="str">
        <f t="shared" si="7"/>
        <v>none</v>
      </c>
      <c r="N1167" s="121">
        <f>LEN(Tableau15[[#This Row],[LABEL]])</f>
        <v>17</v>
      </c>
      <c r="O1167" s="121">
        <v>15</v>
      </c>
      <c r="P1167" s="121" t="e">
        <f>ROUND(Tableau15[[#This Row],[LEN]]*#REF!+#REF!,0)</f>
        <v>#REF!</v>
      </c>
    </row>
    <row r="1168" spans="1:16" s="92" customFormat="1" x14ac:dyDescent="0.25">
      <c r="A1168" s="394" t="s">
        <v>346</v>
      </c>
      <c r="B1168" s="395" t="s">
        <v>211</v>
      </c>
      <c r="C1168" s="396" t="s">
        <v>7</v>
      </c>
      <c r="D1168" s="397" t="s">
        <v>1177</v>
      </c>
      <c r="E1168" s="398" t="s">
        <v>670</v>
      </c>
      <c r="F1168" s="396" t="s">
        <v>1177</v>
      </c>
      <c r="G1168" s="397" t="s">
        <v>171</v>
      </c>
      <c r="H1168" s="397" t="str">
        <f>IFERROR(IF(SEARCH(".00.00.00.00.00",Tableau15[[#This Row],[name]],1)=7,"Division",""),"")</f>
        <v>Division</v>
      </c>
      <c r="I1168" s="396"/>
      <c r="J1168" s="399" t="s">
        <v>708</v>
      </c>
      <c r="K1168" s="400">
        <f>ROUND(Tableau15[[#This Row],[LEN]]*7.27,0)</f>
        <v>189</v>
      </c>
      <c r="L1168" s="400">
        <v>15</v>
      </c>
      <c r="M1168" s="401" t="str">
        <f t="shared" si="7"/>
        <v>none</v>
      </c>
      <c r="N1168" s="400">
        <f>LEN(Tableau15[[#This Row],[LABEL]])</f>
        <v>26</v>
      </c>
      <c r="O1168" s="400">
        <v>15</v>
      </c>
      <c r="P1168" s="400" t="e">
        <f>ROUND(Tableau15[[#This Row],[LEN]]*#REF!+#REF!,0)</f>
        <v>#REF!</v>
      </c>
    </row>
    <row r="1169" spans="1:16" x14ac:dyDescent="0.25">
      <c r="A1169" s="98" t="s">
        <v>1933</v>
      </c>
      <c r="B1169" s="99" t="s">
        <v>346</v>
      </c>
      <c r="C1169" s="100" t="s">
        <v>1934</v>
      </c>
      <c r="D1169" s="80" t="s">
        <v>1177</v>
      </c>
      <c r="E1169" s="82" t="s">
        <v>670</v>
      </c>
      <c r="F1169" s="100" t="s">
        <v>1177</v>
      </c>
      <c r="G1169" s="80" t="s">
        <v>171</v>
      </c>
      <c r="H1169" s="80" t="s">
        <v>656</v>
      </c>
      <c r="I1169" s="100"/>
      <c r="J1169" s="101" t="s">
        <v>708</v>
      </c>
      <c r="K1169" s="121">
        <f>ROUND(Tableau15[[#This Row],[LEN]]*7.27,0)</f>
        <v>138</v>
      </c>
      <c r="L1169" s="121">
        <v>15</v>
      </c>
      <c r="M1169" s="138" t="str">
        <f t="shared" si="7"/>
        <v>none</v>
      </c>
      <c r="N1169" s="121">
        <f>LEN(Tableau15[[#This Row],[LABEL]])</f>
        <v>19</v>
      </c>
      <c r="O1169" s="121">
        <v>15</v>
      </c>
      <c r="P1169" s="121" t="e">
        <f>ROUND(Tableau15[[#This Row],[LEN]]*#REF!+#REF!,0)</f>
        <v>#REF!</v>
      </c>
    </row>
    <row r="1170" spans="1:16" s="92" customFormat="1" x14ac:dyDescent="0.25">
      <c r="A1170" s="394" t="s">
        <v>348</v>
      </c>
      <c r="B1170" s="395" t="s">
        <v>211</v>
      </c>
      <c r="C1170" s="396" t="s">
        <v>9</v>
      </c>
      <c r="D1170" s="397" t="s">
        <v>1177</v>
      </c>
      <c r="E1170" s="398" t="s">
        <v>672</v>
      </c>
      <c r="F1170" s="396" t="s">
        <v>1177</v>
      </c>
      <c r="G1170" s="397" t="s">
        <v>171</v>
      </c>
      <c r="H1170" s="397" t="str">
        <f>IFERROR(IF(SEARCH(".00.00.00.00.00",Tableau15[[#This Row],[name]],1)=7,"Division",""),"")</f>
        <v>Division</v>
      </c>
      <c r="I1170" s="396"/>
      <c r="J1170" s="399" t="s">
        <v>718</v>
      </c>
      <c r="K1170" s="400">
        <f>ROUND(Tableau15[[#This Row],[LEN]]*7.27,0)</f>
        <v>80</v>
      </c>
      <c r="L1170" s="400">
        <v>15</v>
      </c>
      <c r="M1170" s="401" t="str">
        <f t="shared" si="7"/>
        <v>new</v>
      </c>
      <c r="N1170" s="400">
        <f>LEN(Tableau15[[#This Row],[LABEL]])</f>
        <v>11</v>
      </c>
      <c r="O1170" s="400">
        <v>15</v>
      </c>
      <c r="P1170" s="400" t="e">
        <f>ROUND(Tableau15[[#This Row],[LEN]]*#REF!+#REF!,0)</f>
        <v>#REF!</v>
      </c>
    </row>
    <row r="1171" spans="1:16" x14ac:dyDescent="0.25">
      <c r="A1171" s="98" t="s">
        <v>609</v>
      </c>
      <c r="B1171" s="99" t="s">
        <v>348</v>
      </c>
      <c r="C1171" s="100" t="s">
        <v>611</v>
      </c>
      <c r="D1171" s="80" t="s">
        <v>1177</v>
      </c>
      <c r="E1171" s="82" t="s">
        <v>672</v>
      </c>
      <c r="F1171" s="100" t="s">
        <v>1177</v>
      </c>
      <c r="G1171" s="80" t="s">
        <v>171</v>
      </c>
      <c r="H1171" s="80" t="s">
        <v>656</v>
      </c>
      <c r="I1171" s="100"/>
      <c r="J1171" s="101" t="s">
        <v>708</v>
      </c>
      <c r="K1171" s="121">
        <f>ROUND(Tableau15[[#This Row],[LEN]]*7.27,0)</f>
        <v>233</v>
      </c>
      <c r="L1171" s="121">
        <v>15</v>
      </c>
      <c r="M1171" s="138" t="str">
        <f t="shared" si="7"/>
        <v>none</v>
      </c>
      <c r="N1171" s="121">
        <f>LEN(Tableau15[[#This Row],[LABEL]])</f>
        <v>32</v>
      </c>
      <c r="O1171" s="121">
        <v>15</v>
      </c>
      <c r="P1171" s="121" t="e">
        <f>ROUND(Tableau15[[#This Row],[LEN]]*#REF!+#REF!,0)</f>
        <v>#REF!</v>
      </c>
    </row>
    <row r="1172" spans="1:16" x14ac:dyDescent="0.25">
      <c r="A1172" s="98" t="s">
        <v>610</v>
      </c>
      <c r="B1172" s="99" t="s">
        <v>348</v>
      </c>
      <c r="C1172" s="100" t="s">
        <v>612</v>
      </c>
      <c r="D1172" s="80" t="s">
        <v>1177</v>
      </c>
      <c r="E1172" s="82" t="s">
        <v>672</v>
      </c>
      <c r="F1172" s="100" t="s">
        <v>1177</v>
      </c>
      <c r="G1172" s="80" t="s">
        <v>171</v>
      </c>
      <c r="H1172" s="80" t="s">
        <v>656</v>
      </c>
      <c r="I1172" s="100"/>
      <c r="J1172" s="101" t="s">
        <v>708</v>
      </c>
      <c r="K1172" s="121">
        <f>ROUND(Tableau15[[#This Row],[LEN]]*7.27,0)</f>
        <v>182</v>
      </c>
      <c r="L1172" s="121">
        <v>15</v>
      </c>
      <c r="M1172" s="138" t="str">
        <f t="shared" si="7"/>
        <v>none</v>
      </c>
      <c r="N1172" s="121">
        <f>LEN(Tableau15[[#This Row],[LABEL]])</f>
        <v>25</v>
      </c>
      <c r="O1172" s="121">
        <v>15</v>
      </c>
      <c r="P1172" s="121" t="e">
        <f>ROUND(Tableau15[[#This Row],[LEN]]*#REF!+#REF!,0)</f>
        <v>#REF!</v>
      </c>
    </row>
    <row r="1173" spans="1:16" x14ac:dyDescent="0.25">
      <c r="A1173" s="98" t="s">
        <v>613</v>
      </c>
      <c r="B1173" s="99" t="s">
        <v>348</v>
      </c>
      <c r="C1173" s="100" t="s">
        <v>614</v>
      </c>
      <c r="D1173" s="80" t="s">
        <v>1177</v>
      </c>
      <c r="E1173" s="82" t="s">
        <v>672</v>
      </c>
      <c r="F1173" s="100" t="s">
        <v>1177</v>
      </c>
      <c r="G1173" s="80" t="s">
        <v>171</v>
      </c>
      <c r="H1173" s="80" t="s">
        <v>654</v>
      </c>
      <c r="I1173" s="100"/>
      <c r="J1173" s="101" t="s">
        <v>708</v>
      </c>
      <c r="K1173" s="121">
        <f>ROUND(Tableau15[[#This Row],[LEN]]*7.27,0)</f>
        <v>153</v>
      </c>
      <c r="L1173" s="121">
        <v>15</v>
      </c>
      <c r="M1173" s="138" t="str">
        <f t="shared" si="7"/>
        <v>none</v>
      </c>
      <c r="N1173" s="121">
        <f>LEN(Tableau15[[#This Row],[LABEL]])</f>
        <v>21</v>
      </c>
      <c r="O1173" s="121">
        <v>15</v>
      </c>
      <c r="P1173" s="121" t="e">
        <f>ROUND(Tableau15[[#This Row],[LEN]]*#REF!+#REF!,0)</f>
        <v>#REF!</v>
      </c>
    </row>
    <row r="1174" spans="1:16" s="92" customFormat="1" x14ac:dyDescent="0.25">
      <c r="A1174" s="394" t="s">
        <v>349</v>
      </c>
      <c r="B1174" s="395" t="s">
        <v>211</v>
      </c>
      <c r="C1174" s="396" t="s">
        <v>10</v>
      </c>
      <c r="D1174" s="397" t="s">
        <v>1177</v>
      </c>
      <c r="E1174" s="398" t="s">
        <v>673</v>
      </c>
      <c r="F1174" s="396" t="s">
        <v>1177</v>
      </c>
      <c r="G1174" s="397" t="s">
        <v>171</v>
      </c>
      <c r="H1174" s="397" t="str">
        <f>IFERROR(IF(SEARCH(".00.00.00.00.00",Tableau15[[#This Row],[name]],1)=7,"Division",""),"")</f>
        <v>Division</v>
      </c>
      <c r="I1174" s="396"/>
      <c r="J1174" s="399" t="s">
        <v>719</v>
      </c>
      <c r="K1174" s="400">
        <f>ROUND(Tableau15[[#This Row],[LEN]]*7.27,0)</f>
        <v>109</v>
      </c>
      <c r="L1174" s="400">
        <v>15</v>
      </c>
      <c r="M1174" s="401" t="str">
        <f t="shared" si="7"/>
        <v>new</v>
      </c>
      <c r="N1174" s="400">
        <f>LEN(Tableau15[[#This Row],[LABEL]])</f>
        <v>15</v>
      </c>
      <c r="O1174" s="400">
        <v>15</v>
      </c>
      <c r="P1174" s="400" t="e">
        <f>ROUND(Tableau15[[#This Row],[LEN]]*#REF!+#REF!,0)</f>
        <v>#REF!</v>
      </c>
    </row>
    <row r="1175" spans="1:16" x14ac:dyDescent="0.25">
      <c r="A1175" s="98" t="s">
        <v>1935</v>
      </c>
      <c r="B1175" s="99" t="s">
        <v>349</v>
      </c>
      <c r="C1175" s="100" t="s">
        <v>1936</v>
      </c>
      <c r="D1175" s="80" t="s">
        <v>1177</v>
      </c>
      <c r="E1175" s="82" t="s">
        <v>673</v>
      </c>
      <c r="F1175" s="100" t="s">
        <v>1177</v>
      </c>
      <c r="G1175" s="80" t="s">
        <v>171</v>
      </c>
      <c r="H1175" s="80" t="s">
        <v>656</v>
      </c>
      <c r="I1175" s="100"/>
      <c r="J1175" s="101" t="s">
        <v>708</v>
      </c>
      <c r="K1175" s="121">
        <f>ROUND(Tableau15[[#This Row],[LEN]]*7.27,0)</f>
        <v>356</v>
      </c>
      <c r="L1175" s="121">
        <v>15</v>
      </c>
      <c r="M1175" s="138" t="str">
        <f t="shared" si="7"/>
        <v>none</v>
      </c>
      <c r="N1175" s="121">
        <f>LEN(Tableau15[[#This Row],[LABEL]])</f>
        <v>49</v>
      </c>
      <c r="O1175" s="121">
        <v>15</v>
      </c>
      <c r="P1175" s="121" t="e">
        <f>ROUND(Tableau15[[#This Row],[LEN]]*#REF!+#REF!,0)</f>
        <v>#REF!</v>
      </c>
    </row>
    <row r="1176" spans="1:16" s="92" customFormat="1" x14ac:dyDescent="0.25">
      <c r="A1176" s="394" t="s">
        <v>351</v>
      </c>
      <c r="B1176" s="395" t="s">
        <v>211</v>
      </c>
      <c r="C1176" s="396" t="s">
        <v>12</v>
      </c>
      <c r="D1176" s="397" t="s">
        <v>1177</v>
      </c>
      <c r="E1176" s="398" t="s">
        <v>675</v>
      </c>
      <c r="F1176" s="396" t="s">
        <v>1177</v>
      </c>
      <c r="G1176" s="397" t="s">
        <v>171</v>
      </c>
      <c r="H1176" s="397" t="str">
        <f>IFERROR(IF(SEARCH(".00.00.00.00.00",Tableau15[[#This Row],[name]],1)=7,"Division",""),"")</f>
        <v>Division</v>
      </c>
      <c r="I1176" s="396"/>
      <c r="J1176" s="399" t="s">
        <v>721</v>
      </c>
      <c r="K1176" s="400">
        <f>ROUND(Tableau15[[#This Row],[LEN]]*7.27,0)</f>
        <v>15</v>
      </c>
      <c r="L1176" s="400">
        <v>15</v>
      </c>
      <c r="M1176" s="401" t="str">
        <f t="shared" si="7"/>
        <v>new</v>
      </c>
      <c r="N1176" s="400">
        <f>LEN(Tableau15[[#This Row],[LABEL]])</f>
        <v>2</v>
      </c>
      <c r="O1176" s="400">
        <v>15</v>
      </c>
      <c r="P1176" s="400" t="e">
        <f>ROUND(Tableau15[[#This Row],[LEN]]*#REF!+#REF!,0)</f>
        <v>#REF!</v>
      </c>
    </row>
    <row r="1177" spans="1:16" x14ac:dyDescent="0.25">
      <c r="A1177" s="98" t="s">
        <v>1937</v>
      </c>
      <c r="B1177" s="99" t="s">
        <v>351</v>
      </c>
      <c r="C1177" s="100" t="s">
        <v>1938</v>
      </c>
      <c r="D1177" s="80" t="s">
        <v>1939</v>
      </c>
      <c r="E1177" s="82" t="s">
        <v>675</v>
      </c>
      <c r="F1177" s="100" t="s">
        <v>1177</v>
      </c>
      <c r="G1177" s="80" t="s">
        <v>171</v>
      </c>
      <c r="H1177" s="80" t="s">
        <v>656</v>
      </c>
      <c r="I1177" s="100"/>
      <c r="J1177" s="101" t="s">
        <v>708</v>
      </c>
      <c r="K1177" s="121">
        <f>ROUND(Tableau15[[#This Row],[LEN]]*7.27,0)</f>
        <v>269</v>
      </c>
      <c r="L1177" s="121">
        <v>15</v>
      </c>
      <c r="M1177" s="138" t="str">
        <f t="shared" si="7"/>
        <v>none</v>
      </c>
      <c r="N1177" s="121">
        <f>LEN(Tableau15[[#This Row],[LABEL]])</f>
        <v>37</v>
      </c>
      <c r="O1177" s="121">
        <v>15</v>
      </c>
      <c r="P1177" s="121" t="e">
        <f>ROUND(Tableau15[[#This Row],[LEN]]*#REF!+#REF!,0)</f>
        <v>#REF!</v>
      </c>
    </row>
    <row r="1178" spans="1:16" s="92" customFormat="1" x14ac:dyDescent="0.25">
      <c r="A1178" s="394" t="s">
        <v>353</v>
      </c>
      <c r="B1178" s="395" t="s">
        <v>211</v>
      </c>
      <c r="C1178" s="396" t="s">
        <v>13</v>
      </c>
      <c r="D1178" s="397" t="s">
        <v>1177</v>
      </c>
      <c r="E1178" s="398" t="s">
        <v>677</v>
      </c>
      <c r="F1178" s="396" t="s">
        <v>1177</v>
      </c>
      <c r="G1178" s="397" t="s">
        <v>171</v>
      </c>
      <c r="H1178" s="397" t="str">
        <f>IFERROR(IF(SEARCH(".00.00.00.00.00",Tableau15[[#This Row],[name]],1)=7,"Division",""),"")</f>
        <v>Division</v>
      </c>
      <c r="I1178" s="396"/>
      <c r="J1178" s="399" t="s">
        <v>708</v>
      </c>
      <c r="K1178" s="400">
        <f>ROUND(Tableau15[[#This Row],[LEN]]*7.27,0)</f>
        <v>80</v>
      </c>
      <c r="L1178" s="400">
        <v>15</v>
      </c>
      <c r="M1178" s="401" t="str">
        <f t="shared" si="7"/>
        <v>none</v>
      </c>
      <c r="N1178" s="400">
        <f>LEN(Tableau15[[#This Row],[LABEL]])</f>
        <v>11</v>
      </c>
      <c r="O1178" s="400">
        <v>15</v>
      </c>
      <c r="P1178" s="400" t="e">
        <f>ROUND(Tableau15[[#This Row],[LEN]]*#REF!+#REF!,0)</f>
        <v>#REF!</v>
      </c>
    </row>
    <row r="1179" spans="1:16" x14ac:dyDescent="0.25">
      <c r="A1179" s="98" t="s">
        <v>1940</v>
      </c>
      <c r="B1179" s="99" t="s">
        <v>353</v>
      </c>
      <c r="C1179" s="100" t="s">
        <v>1941</v>
      </c>
      <c r="D1179" s="80" t="s">
        <v>1177</v>
      </c>
      <c r="E1179" s="82" t="s">
        <v>677</v>
      </c>
      <c r="F1179" s="100" t="s">
        <v>1177</v>
      </c>
      <c r="G1179" s="80" t="s">
        <v>171</v>
      </c>
      <c r="H1179" s="80" t="s">
        <v>656</v>
      </c>
      <c r="I1179" s="100"/>
      <c r="J1179" s="101" t="s">
        <v>708</v>
      </c>
      <c r="K1179" s="121">
        <f>ROUND(Tableau15[[#This Row],[LEN]]*7.27,0)</f>
        <v>356</v>
      </c>
      <c r="L1179" s="121">
        <v>15</v>
      </c>
      <c r="M1179" s="138" t="str">
        <f t="shared" si="7"/>
        <v>none</v>
      </c>
      <c r="N1179" s="121">
        <f>LEN(Tableau15[[#This Row],[LABEL]])</f>
        <v>49</v>
      </c>
      <c r="O1179" s="121">
        <v>15</v>
      </c>
      <c r="P1179" s="121" t="e">
        <f>ROUND(Tableau15[[#This Row],[LEN]]*#REF!+#REF!,0)</f>
        <v>#REF!</v>
      </c>
    </row>
    <row r="1180" spans="1:16" s="92" customFormat="1" x14ac:dyDescent="0.25">
      <c r="A1180" s="394" t="s">
        <v>354</v>
      </c>
      <c r="B1180" s="395" t="s">
        <v>211</v>
      </c>
      <c r="C1180" s="396" t="s">
        <v>14</v>
      </c>
      <c r="D1180" s="397" t="s">
        <v>1177</v>
      </c>
      <c r="E1180" s="398" t="s">
        <v>678</v>
      </c>
      <c r="F1180" s="396" t="s">
        <v>1177</v>
      </c>
      <c r="G1180" s="397" t="s">
        <v>171</v>
      </c>
      <c r="H1180" s="397" t="str">
        <f>IFERROR(IF(SEARCH(".00.00.00.00.00",Tableau15[[#This Row],[name]],1)=7,"Division",""),"")</f>
        <v>Division</v>
      </c>
      <c r="I1180" s="396"/>
      <c r="J1180" s="399" t="s">
        <v>724</v>
      </c>
      <c r="K1180" s="400">
        <f>ROUND(Tableau15[[#This Row],[LEN]]*7.27,0)</f>
        <v>240</v>
      </c>
      <c r="L1180" s="400">
        <v>15</v>
      </c>
      <c r="M1180" s="401" t="str">
        <f t="shared" si="7"/>
        <v>new</v>
      </c>
      <c r="N1180" s="400">
        <f>LEN(Tableau15[[#This Row],[LABEL]])</f>
        <v>33</v>
      </c>
      <c r="O1180" s="400">
        <v>15</v>
      </c>
      <c r="P1180" s="400" t="e">
        <f>ROUND(Tableau15[[#This Row],[LEN]]*#REF!+#REF!,0)</f>
        <v>#REF!</v>
      </c>
    </row>
    <row r="1181" spans="1:16" x14ac:dyDescent="0.25">
      <c r="A1181" s="98" t="s">
        <v>1942</v>
      </c>
      <c r="B1181" s="99" t="s">
        <v>354</v>
      </c>
      <c r="C1181" s="100" t="s">
        <v>1943</v>
      </c>
      <c r="D1181" s="80" t="s">
        <v>1177</v>
      </c>
      <c r="E1181" s="82" t="s">
        <v>678</v>
      </c>
      <c r="F1181" s="100" t="s">
        <v>1177</v>
      </c>
      <c r="G1181" s="80" t="s">
        <v>171</v>
      </c>
      <c r="H1181" s="80" t="s">
        <v>656</v>
      </c>
      <c r="I1181" s="100"/>
      <c r="J1181" s="101" t="s">
        <v>708</v>
      </c>
      <c r="K1181" s="121">
        <f>ROUND(Tableau15[[#This Row],[LEN]]*7.27,0)</f>
        <v>196</v>
      </c>
      <c r="L1181" s="121">
        <v>15</v>
      </c>
      <c r="M1181" s="138" t="str">
        <f t="shared" si="7"/>
        <v>none</v>
      </c>
      <c r="N1181" s="121">
        <f>LEN(Tableau15[[#This Row],[LABEL]])</f>
        <v>27</v>
      </c>
      <c r="O1181" s="121">
        <v>15</v>
      </c>
      <c r="P1181" s="121" t="e">
        <f>ROUND(Tableau15[[#This Row],[LEN]]*#REF!+#REF!,0)</f>
        <v>#REF!</v>
      </c>
    </row>
    <row r="1182" spans="1:16" s="92" customFormat="1" x14ac:dyDescent="0.25">
      <c r="A1182" s="402" t="s">
        <v>355</v>
      </c>
      <c r="B1182" s="403" t="s">
        <v>211</v>
      </c>
      <c r="C1182" s="404" t="s">
        <v>15</v>
      </c>
      <c r="D1182" s="405" t="s">
        <v>1177</v>
      </c>
      <c r="E1182" s="406" t="s">
        <v>679</v>
      </c>
      <c r="F1182" s="404" t="s">
        <v>1177</v>
      </c>
      <c r="G1182" s="405" t="s">
        <v>171</v>
      </c>
      <c r="H1182" s="405" t="str">
        <f>IFERROR(IF(SEARCH(".00.00.00.00.00",Tableau15[[#This Row],[name]],1)=7,"Division",""),"")</f>
        <v>Division</v>
      </c>
      <c r="I1182" s="404"/>
      <c r="J1182" s="407" t="s">
        <v>708</v>
      </c>
      <c r="K1182" s="408">
        <f>ROUND(Tableau15[[#This Row],[LEN]]*7.27,0)</f>
        <v>174</v>
      </c>
      <c r="L1182" s="408">
        <v>15</v>
      </c>
      <c r="M1182" s="409" t="str">
        <f t="shared" si="7"/>
        <v>none</v>
      </c>
      <c r="N1182" s="408">
        <f>LEN(Tableau15[[#This Row],[LABEL]])</f>
        <v>24</v>
      </c>
      <c r="O1182" s="408">
        <v>15</v>
      </c>
      <c r="P1182" s="408" t="e">
        <f>ROUND(Tableau15[[#This Row],[LEN]]*#REF!+#REF!,0)</f>
        <v>#REF!</v>
      </c>
    </row>
    <row r="1183" spans="1:16" x14ac:dyDescent="0.25">
      <c r="A1183" s="98" t="s">
        <v>1944</v>
      </c>
      <c r="B1183" s="99" t="s">
        <v>355</v>
      </c>
      <c r="C1183" s="100" t="s">
        <v>1946</v>
      </c>
      <c r="D1183" s="80" t="s">
        <v>1177</v>
      </c>
      <c r="E1183" s="82" t="s">
        <v>679</v>
      </c>
      <c r="F1183" s="100" t="s">
        <v>1177</v>
      </c>
      <c r="G1183" s="80" t="s">
        <v>171</v>
      </c>
      <c r="H1183" s="80" t="s">
        <v>656</v>
      </c>
      <c r="I1183" s="100"/>
      <c r="J1183" s="101" t="s">
        <v>708</v>
      </c>
      <c r="K1183" s="121">
        <f>ROUND(Tableau15[[#This Row],[LEN]]*7.27,0)</f>
        <v>313</v>
      </c>
      <c r="L1183" s="121">
        <v>15</v>
      </c>
      <c r="M1183" s="138" t="str">
        <f t="shared" si="7"/>
        <v>none</v>
      </c>
      <c r="N1183" s="121">
        <f>LEN(Tableau15[[#This Row],[LABEL]])</f>
        <v>43</v>
      </c>
      <c r="O1183" s="121">
        <v>15</v>
      </c>
      <c r="P1183" s="121" t="e">
        <f>ROUND(Tableau15[[#This Row],[LEN]]*#REF!+#REF!,0)</f>
        <v>#REF!</v>
      </c>
    </row>
    <row r="1184" spans="1:16" x14ac:dyDescent="0.25">
      <c r="A1184" s="98" t="s">
        <v>1945</v>
      </c>
      <c r="B1184" s="99" t="s">
        <v>355</v>
      </c>
      <c r="C1184" s="100" t="s">
        <v>1947</v>
      </c>
      <c r="D1184" s="80" t="s">
        <v>1948</v>
      </c>
      <c r="E1184" s="82" t="s">
        <v>679</v>
      </c>
      <c r="F1184" s="100" t="s">
        <v>1177</v>
      </c>
      <c r="G1184" s="80" t="s">
        <v>171</v>
      </c>
      <c r="H1184" s="80" t="s">
        <v>656</v>
      </c>
      <c r="I1184" s="100"/>
      <c r="J1184" s="101" t="s">
        <v>708</v>
      </c>
      <c r="K1184" s="121">
        <f>ROUND(Tableau15[[#This Row],[LEN]]*7.27,0)</f>
        <v>262</v>
      </c>
      <c r="L1184" s="121">
        <v>15</v>
      </c>
      <c r="M1184" s="138" t="str">
        <f t="shared" si="7"/>
        <v>none</v>
      </c>
      <c r="N1184" s="121">
        <f>LEN(Tableau15[[#This Row],[LABEL]])</f>
        <v>36</v>
      </c>
      <c r="O1184" s="121">
        <v>15</v>
      </c>
      <c r="P1184" s="121" t="e">
        <f>ROUND(Tableau15[[#This Row],[LEN]]*#REF!+#REF!,0)</f>
        <v>#REF!</v>
      </c>
    </row>
    <row r="1185" spans="1:16" s="92" customFormat="1" x14ac:dyDescent="0.25">
      <c r="A1185" s="402" t="s">
        <v>2059</v>
      </c>
      <c r="B1185" s="403" t="s">
        <v>211</v>
      </c>
      <c r="C1185" s="404" t="s">
        <v>1950</v>
      </c>
      <c r="D1185" s="405" t="s">
        <v>1177</v>
      </c>
      <c r="E1185" s="406" t="s">
        <v>1951</v>
      </c>
      <c r="F1185" s="404" t="s">
        <v>1177</v>
      </c>
      <c r="G1185" s="405" t="s">
        <v>171</v>
      </c>
      <c r="H1185" s="405" t="str">
        <f>IFERROR(IF(SEARCH(".00.00.00.00.00",Tableau15[[#This Row],[name]],1)=7,"Division",""),"")</f>
        <v>Division</v>
      </c>
      <c r="I1185" s="404"/>
      <c r="J1185" s="407" t="s">
        <v>708</v>
      </c>
      <c r="K1185" s="408">
        <f>ROUND(Tableau15[[#This Row],[LEN]]*7.27,0)</f>
        <v>51</v>
      </c>
      <c r="L1185" s="408">
        <v>15</v>
      </c>
      <c r="M1185" s="409" t="str">
        <f t="shared" si="7"/>
        <v>none</v>
      </c>
      <c r="N1185" s="408">
        <f>LEN(Tableau15[[#This Row],[LABEL]])</f>
        <v>7</v>
      </c>
      <c r="O1185" s="408">
        <v>15</v>
      </c>
      <c r="P1185" s="408" t="e">
        <f>ROUND(Tableau15[[#This Row],[LEN]]*#REF!+#REF!,0)</f>
        <v>#REF!</v>
      </c>
    </row>
    <row r="1186" spans="1:16" x14ac:dyDescent="0.25">
      <c r="A1186" s="98" t="s">
        <v>2060</v>
      </c>
      <c r="B1186" s="99" t="s">
        <v>2059</v>
      </c>
      <c r="C1186" s="100" t="s">
        <v>2068</v>
      </c>
      <c r="D1186" s="80" t="s">
        <v>1177</v>
      </c>
      <c r="E1186" s="82" t="s">
        <v>1951</v>
      </c>
      <c r="F1186" s="100" t="s">
        <v>1177</v>
      </c>
      <c r="G1186" s="80" t="s">
        <v>170</v>
      </c>
      <c r="H1186" s="80" t="s">
        <v>656</v>
      </c>
      <c r="I1186" s="100"/>
      <c r="J1186" s="101" t="s">
        <v>708</v>
      </c>
      <c r="K1186" s="121">
        <f>ROUND(Tableau15[[#This Row],[LEN]]*7.27,0)</f>
        <v>422</v>
      </c>
      <c r="L1186" s="121">
        <v>15</v>
      </c>
      <c r="M1186" s="138" t="str">
        <f t="shared" si="7"/>
        <v>none</v>
      </c>
      <c r="N1186" s="121">
        <f>LEN(Tableau15[[#This Row],[LABEL]])</f>
        <v>58</v>
      </c>
      <c r="O1186" s="121">
        <v>15</v>
      </c>
      <c r="P1186" s="121" t="e">
        <f>ROUND(Tableau15[[#This Row],[LEN]]*#REF!+#REF!,0)</f>
        <v>#REF!</v>
      </c>
    </row>
    <row r="1187" spans="1:16" x14ac:dyDescent="0.25">
      <c r="A1187" s="98" t="s">
        <v>2061</v>
      </c>
      <c r="B1187" s="99" t="s">
        <v>2059</v>
      </c>
      <c r="C1187" s="100" t="s">
        <v>2069</v>
      </c>
      <c r="D1187" s="80" t="s">
        <v>1177</v>
      </c>
      <c r="E1187" s="82" t="s">
        <v>1951</v>
      </c>
      <c r="F1187" s="100" t="s">
        <v>1177</v>
      </c>
      <c r="G1187" s="80" t="s">
        <v>170</v>
      </c>
      <c r="H1187" s="80" t="s">
        <v>656</v>
      </c>
      <c r="I1187" s="100"/>
      <c r="J1187" s="101" t="s">
        <v>708</v>
      </c>
      <c r="K1187" s="121">
        <f>ROUND(Tableau15[[#This Row],[LEN]]*7.27,0)</f>
        <v>116</v>
      </c>
      <c r="L1187" s="121">
        <v>15</v>
      </c>
      <c r="M1187" s="138" t="str">
        <f t="shared" si="7"/>
        <v>none</v>
      </c>
      <c r="N1187" s="121">
        <f>LEN(Tableau15[[#This Row],[LABEL]])</f>
        <v>16</v>
      </c>
      <c r="O1187" s="121">
        <v>15</v>
      </c>
      <c r="P1187" s="121" t="e">
        <f>ROUND(Tableau15[[#This Row],[LEN]]*#REF!+#REF!,0)</f>
        <v>#REF!</v>
      </c>
    </row>
    <row r="1188" spans="1:16" x14ac:dyDescent="0.25">
      <c r="A1188" s="98" t="s">
        <v>2062</v>
      </c>
      <c r="B1188" s="99" t="s">
        <v>2059</v>
      </c>
      <c r="C1188" s="100" t="s">
        <v>2070</v>
      </c>
      <c r="D1188" s="80" t="s">
        <v>1177</v>
      </c>
      <c r="E1188" s="82" t="s">
        <v>1951</v>
      </c>
      <c r="F1188" s="100" t="s">
        <v>1177</v>
      </c>
      <c r="G1188" s="80" t="s">
        <v>170</v>
      </c>
      <c r="H1188" s="80" t="s">
        <v>656</v>
      </c>
      <c r="I1188" s="100"/>
      <c r="J1188" s="101" t="s">
        <v>708</v>
      </c>
      <c r="K1188" s="121">
        <f>ROUND(Tableau15[[#This Row],[LEN]]*7.27,0)</f>
        <v>429</v>
      </c>
      <c r="L1188" s="121">
        <v>15</v>
      </c>
      <c r="M1188" s="138" t="str">
        <f t="shared" si="7"/>
        <v>none</v>
      </c>
      <c r="N1188" s="121">
        <f>LEN(Tableau15[[#This Row],[LABEL]])</f>
        <v>59</v>
      </c>
      <c r="O1188" s="121">
        <v>15</v>
      </c>
      <c r="P1188" s="121" t="e">
        <f>ROUND(Tableau15[[#This Row],[LEN]]*#REF!+#REF!,0)</f>
        <v>#REF!</v>
      </c>
    </row>
    <row r="1189" spans="1:16" x14ac:dyDescent="0.25">
      <c r="A1189" s="98" t="s">
        <v>2063</v>
      </c>
      <c r="B1189" s="99" t="s">
        <v>2059</v>
      </c>
      <c r="C1189" s="100" t="s">
        <v>2071</v>
      </c>
      <c r="D1189" s="80" t="s">
        <v>1177</v>
      </c>
      <c r="E1189" s="82" t="s">
        <v>1951</v>
      </c>
      <c r="F1189" s="100" t="s">
        <v>1177</v>
      </c>
      <c r="G1189" s="80" t="s">
        <v>170</v>
      </c>
      <c r="H1189" s="80" t="s">
        <v>656</v>
      </c>
      <c r="I1189" s="100"/>
      <c r="J1189" s="101" t="s">
        <v>708</v>
      </c>
      <c r="K1189" s="121">
        <f>ROUND(Tableau15[[#This Row],[LEN]]*7.27,0)</f>
        <v>385</v>
      </c>
      <c r="L1189" s="121">
        <v>15</v>
      </c>
      <c r="M1189" s="138" t="str">
        <f t="shared" si="7"/>
        <v>none</v>
      </c>
      <c r="N1189" s="121">
        <f>LEN(Tableau15[[#This Row],[LABEL]])</f>
        <v>53</v>
      </c>
      <c r="O1189" s="121">
        <v>15</v>
      </c>
      <c r="P1189" s="121" t="e">
        <f>ROUND(Tableau15[[#This Row],[LEN]]*#REF!+#REF!,0)</f>
        <v>#REF!</v>
      </c>
    </row>
    <row r="1190" spans="1:16" x14ac:dyDescent="0.25">
      <c r="A1190" s="98" t="s">
        <v>2064</v>
      </c>
      <c r="B1190" s="99" t="s">
        <v>2059</v>
      </c>
      <c r="C1190" s="100" t="s">
        <v>2072</v>
      </c>
      <c r="D1190" s="80" t="s">
        <v>1177</v>
      </c>
      <c r="E1190" s="82" t="s">
        <v>1951</v>
      </c>
      <c r="F1190" s="100" t="s">
        <v>1177</v>
      </c>
      <c r="G1190" s="80" t="s">
        <v>170</v>
      </c>
      <c r="H1190" s="80" t="s">
        <v>656</v>
      </c>
      <c r="I1190" s="100"/>
      <c r="J1190" s="101" t="s">
        <v>708</v>
      </c>
      <c r="K1190" s="121">
        <f>ROUND(Tableau15[[#This Row],[LEN]]*7.27,0)</f>
        <v>494</v>
      </c>
      <c r="L1190" s="121">
        <v>15</v>
      </c>
      <c r="M1190" s="138" t="str">
        <f t="shared" si="7"/>
        <v>none</v>
      </c>
      <c r="N1190" s="121">
        <f>LEN(Tableau15[[#This Row],[LABEL]])</f>
        <v>68</v>
      </c>
      <c r="O1190" s="121">
        <v>15</v>
      </c>
      <c r="P1190" s="121" t="e">
        <f>ROUND(Tableau15[[#This Row],[LEN]]*#REF!+#REF!,0)</f>
        <v>#REF!</v>
      </c>
    </row>
    <row r="1191" spans="1:16" x14ac:dyDescent="0.25">
      <c r="A1191" s="98" t="s">
        <v>2065</v>
      </c>
      <c r="B1191" s="99" t="s">
        <v>2059</v>
      </c>
      <c r="C1191" s="100" t="s">
        <v>2073</v>
      </c>
      <c r="D1191" s="80" t="s">
        <v>1177</v>
      </c>
      <c r="E1191" s="82" t="s">
        <v>1951</v>
      </c>
      <c r="F1191" s="100" t="s">
        <v>1177</v>
      </c>
      <c r="G1191" s="80" t="s">
        <v>170</v>
      </c>
      <c r="H1191" s="80" t="s">
        <v>656</v>
      </c>
      <c r="I1191" s="100"/>
      <c r="J1191" s="101" t="s">
        <v>708</v>
      </c>
      <c r="K1191" s="121">
        <f>ROUND(Tableau15[[#This Row],[LEN]]*7.27,0)</f>
        <v>196</v>
      </c>
      <c r="L1191" s="121">
        <v>15</v>
      </c>
      <c r="M1191" s="138" t="str">
        <f t="shared" si="7"/>
        <v>none</v>
      </c>
      <c r="N1191" s="121">
        <f>LEN(Tableau15[[#This Row],[LABEL]])</f>
        <v>27</v>
      </c>
      <c r="O1191" s="121">
        <v>15</v>
      </c>
      <c r="P1191" s="121" t="e">
        <f>ROUND(Tableau15[[#This Row],[LEN]]*#REF!+#REF!,0)</f>
        <v>#REF!</v>
      </c>
    </row>
    <row r="1192" spans="1:16" x14ac:dyDescent="0.25">
      <c r="A1192" s="98" t="s">
        <v>2066</v>
      </c>
      <c r="B1192" s="99" t="s">
        <v>2059</v>
      </c>
      <c r="C1192" s="100" t="s">
        <v>602</v>
      </c>
      <c r="D1192" s="80" t="s">
        <v>1177</v>
      </c>
      <c r="E1192" s="82" t="s">
        <v>1951</v>
      </c>
      <c r="F1192" s="100" t="s">
        <v>1177</v>
      </c>
      <c r="G1192" s="80" t="s">
        <v>170</v>
      </c>
      <c r="H1192" s="80" t="s">
        <v>656</v>
      </c>
      <c r="I1192" s="100"/>
      <c r="J1192" s="101" t="s">
        <v>708</v>
      </c>
      <c r="K1192" s="121">
        <f>ROUND(Tableau15[[#This Row],[LEN]]*7.27,0)</f>
        <v>553</v>
      </c>
      <c r="L1192" s="121">
        <v>15</v>
      </c>
      <c r="M1192" s="138" t="str">
        <f t="shared" si="7"/>
        <v>none</v>
      </c>
      <c r="N1192" s="121">
        <f>LEN(Tableau15[[#This Row],[LABEL]])</f>
        <v>76</v>
      </c>
      <c r="O1192" s="121">
        <v>15</v>
      </c>
      <c r="P1192" s="121" t="e">
        <f>ROUND(Tableau15[[#This Row],[LEN]]*#REF!+#REF!,0)</f>
        <v>#REF!</v>
      </c>
    </row>
    <row r="1193" spans="1:16" x14ac:dyDescent="0.25">
      <c r="A1193" s="98" t="s">
        <v>2067</v>
      </c>
      <c r="B1193" s="99" t="s">
        <v>2059</v>
      </c>
      <c r="C1193" s="100" t="s">
        <v>2074</v>
      </c>
      <c r="D1193" s="80" t="s">
        <v>1177</v>
      </c>
      <c r="E1193" s="82" t="s">
        <v>1951</v>
      </c>
      <c r="F1193" s="100" t="s">
        <v>1177</v>
      </c>
      <c r="G1193" s="80" t="s">
        <v>170</v>
      </c>
      <c r="H1193" s="80" t="s">
        <v>656</v>
      </c>
      <c r="I1193" s="100"/>
      <c r="J1193" s="101" t="s">
        <v>708</v>
      </c>
      <c r="K1193" s="121">
        <f>ROUND(Tableau15[[#This Row],[LEN]]*7.27,0)</f>
        <v>502</v>
      </c>
      <c r="L1193" s="121">
        <v>15</v>
      </c>
      <c r="M1193" s="138" t="str">
        <f t="shared" si="7"/>
        <v>none</v>
      </c>
      <c r="N1193" s="121">
        <f>LEN(Tableau15[[#This Row],[LABEL]])</f>
        <v>69</v>
      </c>
      <c r="O1193" s="121">
        <v>15</v>
      </c>
      <c r="P1193" s="121" t="e">
        <f>ROUND(Tableau15[[#This Row],[LEN]]*#REF!+#REF!,0)</f>
        <v>#REF!</v>
      </c>
    </row>
  </sheetData>
  <dataValidations count="1">
    <dataValidation type="list" allowBlank="1" showInputMessage="1" showErrorMessage="1" sqref="H2:H1193">
      <formula1>listType</formula1>
    </dataValidation>
  </dataValidations>
  <hyperlinks>
    <hyperlink ref="J425" r:id="rId1"/>
    <hyperlink ref="J96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P1193"/>
  <sheetViews>
    <sheetView zoomScale="85" zoomScaleNormal="85" workbookViewId="0">
      <pane xSplit="3" ySplit="1" topLeftCell="E35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3.42578125" style="84" bestFit="1" customWidth="1"/>
    <col min="8" max="8" width="24.140625" style="84" customWidth="1"/>
    <col min="9" max="9" width="12" style="96" customWidth="1"/>
    <col min="10" max="10" width="22.85546875" style="96" customWidth="1"/>
    <col min="11" max="11" width="8.42578125" style="139" customWidth="1"/>
    <col min="12" max="12" width="9.85546875" style="139" customWidth="1"/>
    <col min="13" max="13" width="11.5703125" style="84" customWidth="1"/>
    <col min="14" max="14" width="7.140625" style="139" customWidth="1"/>
    <col min="15" max="15" width="14.42578125" style="139" customWidth="1"/>
    <col min="16" max="16" width="10.7109375" style="139" customWidth="1"/>
    <col min="17" max="16384" width="21.140625" style="96"/>
  </cols>
  <sheetData>
    <row r="1" spans="1:16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729</v>
      </c>
      <c r="L1" s="140" t="s">
        <v>730</v>
      </c>
      <c r="M1" s="140" t="s">
        <v>829</v>
      </c>
      <c r="N1" s="140" t="s">
        <v>831</v>
      </c>
      <c r="O1" s="140" t="s">
        <v>874</v>
      </c>
      <c r="P1" s="140" t="s">
        <v>875</v>
      </c>
    </row>
    <row r="2" spans="1:16" s="92" customFormat="1" ht="15.75" thickTop="1" x14ac:dyDescent="0.25">
      <c r="A2" s="141" t="s">
        <v>198</v>
      </c>
      <c r="B2" s="141"/>
      <c r="C2" s="142" t="s">
        <v>59</v>
      </c>
      <c r="D2" s="142" t="s">
        <v>1177</v>
      </c>
      <c r="E2" s="142" t="s">
        <v>1177</v>
      </c>
      <c r="F2" s="143" t="s">
        <v>1084</v>
      </c>
      <c r="G2" s="142" t="s">
        <v>69</v>
      </c>
      <c r="H2" s="142" t="s">
        <v>657</v>
      </c>
      <c r="I2" s="143"/>
      <c r="J2" s="144" t="s">
        <v>708</v>
      </c>
      <c r="K2" s="145">
        <f>ROUND(Tableau16[[#This Row],[LEN]]*7.27,0)</f>
        <v>44</v>
      </c>
      <c r="L2" s="145">
        <v>15</v>
      </c>
      <c r="M2" s="146" t="str">
        <f t="shared" ref="M2:M91" si="0">IF(J2="javascript:void(0)","none","new")</f>
        <v>none</v>
      </c>
      <c r="N2" s="145">
        <f>LEN(Tableau16[[#This Row],[LABEL]])</f>
        <v>6</v>
      </c>
      <c r="O2" s="147">
        <v>15</v>
      </c>
      <c r="P2" s="147" t="e">
        <f>ROUND(Tableau16[[#This Row],[LEN]]*#REF!+#REF!,0)</f>
        <v>#REF!</v>
      </c>
    </row>
    <row r="3" spans="1:16" x14ac:dyDescent="0.25">
      <c r="A3" s="93" t="s">
        <v>199</v>
      </c>
      <c r="B3" s="93" t="s">
        <v>198</v>
      </c>
      <c r="C3" s="81" t="s">
        <v>1158</v>
      </c>
      <c r="D3" s="83" t="s">
        <v>180</v>
      </c>
      <c r="E3" s="83" t="s">
        <v>1177</v>
      </c>
      <c r="F3" s="94" t="s">
        <v>1084</v>
      </c>
      <c r="G3" s="83" t="s">
        <v>171</v>
      </c>
      <c r="H3" s="83" t="s">
        <v>615</v>
      </c>
      <c r="I3" s="94"/>
      <c r="J3" s="95" t="s">
        <v>707</v>
      </c>
      <c r="K3" s="104">
        <f>ROUND(Tableau16[[#This Row],[LEN]]*7.27,0)</f>
        <v>102</v>
      </c>
      <c r="L3" s="104">
        <v>15</v>
      </c>
      <c r="M3" s="122" t="str">
        <f t="shared" si="0"/>
        <v>new</v>
      </c>
      <c r="N3" s="104">
        <f>LEN(Tableau16[[#This Row],[LABEL]])</f>
        <v>14</v>
      </c>
      <c r="O3" s="148">
        <v>15</v>
      </c>
      <c r="P3" s="148" t="e">
        <f>ROUND(Tableau16[[#This Row],[LEN]]*#REF!+#REF!,0)</f>
        <v>#REF!</v>
      </c>
    </row>
    <row r="4" spans="1:16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1177</v>
      </c>
      <c r="F4" s="151" t="s">
        <v>1177</v>
      </c>
      <c r="G4" s="150" t="s">
        <v>70</v>
      </c>
      <c r="H4" s="150" t="s">
        <v>616</v>
      </c>
      <c r="I4" s="151"/>
      <c r="J4" s="152" t="s">
        <v>708</v>
      </c>
      <c r="K4" s="153">
        <f>ROUND(Tableau16[[#This Row],[LEN]]*7.27,0)</f>
        <v>80</v>
      </c>
      <c r="L4" s="153">
        <v>15</v>
      </c>
      <c r="M4" s="154" t="str">
        <f t="shared" si="0"/>
        <v>none</v>
      </c>
      <c r="N4" s="153">
        <f>LEN(Tableau16[[#This Row],[LABEL]])</f>
        <v>11</v>
      </c>
      <c r="O4" s="155">
        <v>15</v>
      </c>
      <c r="P4" s="155" t="e">
        <f>ROUND(Tableau16[[#This Row],[LEN]]*#REF!+#REF!,0)</f>
        <v>#REF!</v>
      </c>
    </row>
    <row r="5" spans="1:16" s="92" customFormat="1" ht="15.75" thickTop="1" x14ac:dyDescent="0.25">
      <c r="A5" s="245" t="s">
        <v>213</v>
      </c>
      <c r="B5" s="246" t="s">
        <v>204</v>
      </c>
      <c r="C5" s="247" t="s">
        <v>57</v>
      </c>
      <c r="D5" s="248" t="s">
        <v>1177</v>
      </c>
      <c r="E5" s="247" t="s">
        <v>663</v>
      </c>
      <c r="F5" s="247" t="s">
        <v>1177</v>
      </c>
      <c r="G5" s="248" t="s">
        <v>70</v>
      </c>
      <c r="H5" s="248" t="str">
        <f>IFERROR(IF(SEARCH(".00.00.00.00.00",Tableau16[[#This Row],[name]],1)=7,"Division",""),"")</f>
        <v>Division</v>
      </c>
      <c r="I5" s="247"/>
      <c r="J5" s="249" t="s">
        <v>708</v>
      </c>
      <c r="K5" s="250">
        <f>ROUND(Tableau16[[#This Row],[LEN]]*7.27,0)</f>
        <v>102</v>
      </c>
      <c r="L5" s="250">
        <v>15</v>
      </c>
      <c r="M5" s="251" t="str">
        <f t="shared" si="0"/>
        <v>none</v>
      </c>
      <c r="N5" s="250">
        <f>LEN(Tableau16[[#This Row],[LABEL]])</f>
        <v>14</v>
      </c>
      <c r="O5" s="250">
        <v>15</v>
      </c>
      <c r="P5" s="250" t="e">
        <f>ROUND(Tableau16[[#This Row],[LEN]]*#REF!+#REF!,0)</f>
        <v>#REF!</v>
      </c>
    </row>
    <row r="6" spans="1:16" x14ac:dyDescent="0.25">
      <c r="A6" s="6" t="s">
        <v>740</v>
      </c>
      <c r="B6" s="7" t="s">
        <v>213</v>
      </c>
      <c r="C6" s="8" t="s">
        <v>746</v>
      </c>
      <c r="D6" s="65" t="s">
        <v>1177</v>
      </c>
      <c r="E6" s="8" t="s">
        <v>663</v>
      </c>
      <c r="F6" s="8" t="s">
        <v>1177</v>
      </c>
      <c r="G6" s="65" t="s">
        <v>70</v>
      </c>
      <c r="H6" s="65" t="s">
        <v>654</v>
      </c>
      <c r="I6" s="8"/>
      <c r="J6" s="9" t="s">
        <v>708</v>
      </c>
      <c r="K6" s="105">
        <f>ROUND(Tableau16[[#This Row],[LEN]]*7.27,0)</f>
        <v>233</v>
      </c>
      <c r="L6" s="105">
        <v>15</v>
      </c>
      <c r="M6" s="123" t="str">
        <f t="shared" si="0"/>
        <v>none</v>
      </c>
      <c r="N6" s="105">
        <f>LEN(Tableau16[[#This Row],[LABEL]])</f>
        <v>32</v>
      </c>
      <c r="O6" s="105">
        <v>15</v>
      </c>
      <c r="P6" s="105" t="e">
        <f>ROUND(Tableau16[[#This Row],[LEN]]*#REF!+#REF!,0)</f>
        <v>#REF!</v>
      </c>
    </row>
    <row r="7" spans="1:16" x14ac:dyDescent="0.25">
      <c r="A7" s="6" t="s">
        <v>741</v>
      </c>
      <c r="B7" s="7" t="s">
        <v>213</v>
      </c>
      <c r="C7" s="8" t="s">
        <v>64</v>
      </c>
      <c r="D7" s="65" t="s">
        <v>1177</v>
      </c>
      <c r="E7" s="8" t="s">
        <v>662</v>
      </c>
      <c r="F7" s="8" t="s">
        <v>1956</v>
      </c>
      <c r="G7" s="65" t="s">
        <v>70</v>
      </c>
      <c r="H7" s="65" t="s">
        <v>17</v>
      </c>
      <c r="I7" s="8"/>
      <c r="J7" s="9" t="s">
        <v>708</v>
      </c>
      <c r="K7" s="105">
        <f>ROUND(Tableau16[[#This Row],[LEN]]*7.27,0)</f>
        <v>291</v>
      </c>
      <c r="L7" s="105">
        <v>15</v>
      </c>
      <c r="M7" s="123" t="str">
        <f t="shared" si="0"/>
        <v>none</v>
      </c>
      <c r="N7" s="105">
        <f>LEN(Tableau16[[#This Row],[LABEL]])</f>
        <v>40</v>
      </c>
      <c r="O7" s="105">
        <v>15</v>
      </c>
      <c r="P7" s="105" t="e">
        <f>ROUND(Tableau16[[#This Row],[LEN]]*#REF!+#REF!,0)</f>
        <v>#REF!</v>
      </c>
    </row>
    <row r="8" spans="1:16" x14ac:dyDescent="0.25">
      <c r="A8" s="6" t="s">
        <v>742</v>
      </c>
      <c r="B8" s="7" t="s">
        <v>213</v>
      </c>
      <c r="C8" s="8" t="s">
        <v>747</v>
      </c>
      <c r="D8" s="65" t="s">
        <v>1177</v>
      </c>
      <c r="E8" s="8" t="s">
        <v>663</v>
      </c>
      <c r="F8" s="8" t="s">
        <v>1177</v>
      </c>
      <c r="G8" s="65" t="s">
        <v>70</v>
      </c>
      <c r="H8" s="65" t="s">
        <v>656</v>
      </c>
      <c r="I8" s="8"/>
      <c r="J8" s="9" t="s">
        <v>708</v>
      </c>
      <c r="K8" s="105">
        <f>ROUND(Tableau16[[#This Row],[LEN]]*7.27,0)</f>
        <v>451</v>
      </c>
      <c r="L8" s="105">
        <v>15</v>
      </c>
      <c r="M8" s="123" t="str">
        <f t="shared" si="0"/>
        <v>none</v>
      </c>
      <c r="N8" s="105">
        <f>LEN(Tableau16[[#This Row],[LABEL]])</f>
        <v>62</v>
      </c>
      <c r="O8" s="105">
        <v>15</v>
      </c>
      <c r="P8" s="105" t="e">
        <f>ROUND(Tableau16[[#This Row],[LEN]]*#REF!+#REF!,0)</f>
        <v>#REF!</v>
      </c>
    </row>
    <row r="9" spans="1:16" x14ac:dyDescent="0.25">
      <c r="A9" s="6" t="s">
        <v>743</v>
      </c>
      <c r="B9" s="7" t="s">
        <v>213</v>
      </c>
      <c r="C9" s="8" t="s">
        <v>65</v>
      </c>
      <c r="D9" s="65" t="s">
        <v>1177</v>
      </c>
      <c r="E9" s="8" t="s">
        <v>662</v>
      </c>
      <c r="F9" s="8" t="s">
        <v>1957</v>
      </c>
      <c r="G9" s="65" t="s">
        <v>70</v>
      </c>
      <c r="H9" s="65" t="s">
        <v>17</v>
      </c>
      <c r="I9" s="8"/>
      <c r="J9" s="9" t="s">
        <v>708</v>
      </c>
      <c r="K9" s="105">
        <f>ROUND(Tableau16[[#This Row],[LEN]]*7.27,0)</f>
        <v>291</v>
      </c>
      <c r="L9" s="105">
        <v>15</v>
      </c>
      <c r="M9" s="123" t="str">
        <f t="shared" si="0"/>
        <v>none</v>
      </c>
      <c r="N9" s="105">
        <f>LEN(Tableau16[[#This Row],[LABEL]])</f>
        <v>40</v>
      </c>
      <c r="O9" s="105">
        <v>15</v>
      </c>
      <c r="P9" s="105" t="e">
        <f>ROUND(Tableau16[[#This Row],[LEN]]*#REF!+#REF!,0)</f>
        <v>#REF!</v>
      </c>
    </row>
    <row r="10" spans="1:16" x14ac:dyDescent="0.25">
      <c r="A10" s="6" t="s">
        <v>744</v>
      </c>
      <c r="B10" s="7" t="s">
        <v>213</v>
      </c>
      <c r="C10" s="8" t="s">
        <v>748</v>
      </c>
      <c r="D10" s="65" t="s">
        <v>1177</v>
      </c>
      <c r="E10" s="8" t="s">
        <v>663</v>
      </c>
      <c r="F10" s="8" t="s">
        <v>1177</v>
      </c>
      <c r="G10" s="65" t="s">
        <v>70</v>
      </c>
      <c r="H10" s="65" t="s">
        <v>656</v>
      </c>
      <c r="I10" s="8"/>
      <c r="J10" s="9" t="s">
        <v>708</v>
      </c>
      <c r="K10" s="105">
        <f>ROUND(Tableau16[[#This Row],[LEN]]*7.27,0)</f>
        <v>247</v>
      </c>
      <c r="L10" s="105">
        <v>15</v>
      </c>
      <c r="M10" s="123" t="str">
        <f t="shared" si="0"/>
        <v>none</v>
      </c>
      <c r="N10" s="105">
        <f>LEN(Tableau16[[#This Row],[LABEL]])</f>
        <v>34</v>
      </c>
      <c r="O10" s="105">
        <v>15</v>
      </c>
      <c r="P10" s="105" t="e">
        <f>ROUND(Tableau16[[#This Row],[LEN]]*#REF!+#REF!,0)</f>
        <v>#REF!</v>
      </c>
    </row>
    <row r="11" spans="1:16" x14ac:dyDescent="0.25">
      <c r="A11" s="6" t="s">
        <v>745</v>
      </c>
      <c r="B11" s="7" t="s">
        <v>213</v>
      </c>
      <c r="C11" s="8" t="s">
        <v>1166</v>
      </c>
      <c r="D11" s="65" t="s">
        <v>1177</v>
      </c>
      <c r="E11" s="8" t="s">
        <v>663</v>
      </c>
      <c r="F11" s="8" t="s">
        <v>1177</v>
      </c>
      <c r="G11" s="65" t="s">
        <v>70</v>
      </c>
      <c r="H11" s="65" t="s">
        <v>656</v>
      </c>
      <c r="I11" s="8"/>
      <c r="J11" s="9" t="s">
        <v>708</v>
      </c>
      <c r="K11" s="105">
        <f>ROUND(Tableau16[[#This Row],[LEN]]*7.27,0)</f>
        <v>364</v>
      </c>
      <c r="L11" s="105">
        <v>15</v>
      </c>
      <c r="M11" s="123" t="str">
        <f t="shared" si="0"/>
        <v>none</v>
      </c>
      <c r="N11" s="105">
        <f>LEN(Tableau16[[#This Row],[LABEL]])</f>
        <v>50</v>
      </c>
      <c r="O11" s="105">
        <v>15</v>
      </c>
      <c r="P11" s="105" t="e">
        <f>ROUND(Tableau16[[#This Row],[LEN]]*#REF!+#REF!,0)</f>
        <v>#REF!</v>
      </c>
    </row>
    <row r="12" spans="1:16" s="92" customFormat="1" x14ac:dyDescent="0.25">
      <c r="A12" s="245" t="s">
        <v>214</v>
      </c>
      <c r="B12" s="246" t="s">
        <v>204</v>
      </c>
      <c r="C12" s="247" t="s">
        <v>2</v>
      </c>
      <c r="D12" s="248" t="s">
        <v>1177</v>
      </c>
      <c r="E12" s="247" t="s">
        <v>662</v>
      </c>
      <c r="F12" s="247" t="s">
        <v>1177</v>
      </c>
      <c r="G12" s="248" t="s">
        <v>70</v>
      </c>
      <c r="H12" s="248" t="str">
        <f>IFERROR(IF(SEARCH(".00.00.00.00.00",Tableau16[[#This Row],[name]],1)=7,"Division",""),"")</f>
        <v>Division</v>
      </c>
      <c r="I12" s="247"/>
      <c r="J12" s="249" t="s">
        <v>708</v>
      </c>
      <c r="K12" s="250">
        <f>ROUND(Tableau16[[#This Row],[LEN]]*7.27,0)</f>
        <v>65</v>
      </c>
      <c r="L12" s="250">
        <v>15</v>
      </c>
      <c r="M12" s="251" t="str">
        <f t="shared" si="0"/>
        <v>none</v>
      </c>
      <c r="N12" s="250">
        <f>LEN(Tableau16[[#This Row],[LABEL]])</f>
        <v>9</v>
      </c>
      <c r="O12" s="250">
        <v>15</v>
      </c>
      <c r="P12" s="250" t="e">
        <f>ROUND(Tableau16[[#This Row],[LEN]]*#REF!+#REF!,0)</f>
        <v>#REF!</v>
      </c>
    </row>
    <row r="13" spans="1:16" x14ac:dyDescent="0.25">
      <c r="A13" s="6" t="s">
        <v>734</v>
      </c>
      <c r="B13" s="7" t="s">
        <v>214</v>
      </c>
      <c r="C13" s="8" t="s">
        <v>64</v>
      </c>
      <c r="D13" s="65" t="s">
        <v>1177</v>
      </c>
      <c r="E13" s="8" t="s">
        <v>662</v>
      </c>
      <c r="F13" s="8" t="s">
        <v>1956</v>
      </c>
      <c r="G13" s="65" t="s">
        <v>70</v>
      </c>
      <c r="H13" s="65" t="s">
        <v>17</v>
      </c>
      <c r="I13" s="8"/>
      <c r="J13" s="9" t="s">
        <v>708</v>
      </c>
      <c r="K13" s="105">
        <f>ROUND(Tableau16[[#This Row],[LEN]]*7.27,0)</f>
        <v>291</v>
      </c>
      <c r="L13" s="105">
        <v>15</v>
      </c>
      <c r="M13" s="123" t="str">
        <f t="shared" si="0"/>
        <v>none</v>
      </c>
      <c r="N13" s="105">
        <f>LEN(Tableau16[[#This Row],[LABEL]])</f>
        <v>40</v>
      </c>
      <c r="O13" s="105">
        <v>15</v>
      </c>
      <c r="P13" s="105" t="e">
        <f>ROUND(Tableau16[[#This Row],[LEN]]*#REF!+#REF!,0)</f>
        <v>#REF!</v>
      </c>
    </row>
    <row r="14" spans="1:16" x14ac:dyDescent="0.25">
      <c r="A14" s="6" t="s">
        <v>735</v>
      </c>
      <c r="B14" s="7" t="s">
        <v>214</v>
      </c>
      <c r="C14" s="8" t="s">
        <v>65</v>
      </c>
      <c r="D14" s="65" t="s">
        <v>1177</v>
      </c>
      <c r="E14" s="8" t="s">
        <v>662</v>
      </c>
      <c r="F14" s="8" t="s">
        <v>1957</v>
      </c>
      <c r="G14" s="65" t="s">
        <v>70</v>
      </c>
      <c r="H14" s="65" t="s">
        <v>17</v>
      </c>
      <c r="I14" s="8"/>
      <c r="J14" s="9" t="s">
        <v>708</v>
      </c>
      <c r="K14" s="105">
        <f>ROUND(Tableau16[[#This Row],[LEN]]*7.27,0)</f>
        <v>291</v>
      </c>
      <c r="L14" s="105">
        <v>15</v>
      </c>
      <c r="M14" s="123" t="str">
        <f t="shared" si="0"/>
        <v>none</v>
      </c>
      <c r="N14" s="105">
        <f>LEN(Tableau16[[#This Row],[LABEL]])</f>
        <v>40</v>
      </c>
      <c r="O14" s="105">
        <v>15</v>
      </c>
      <c r="P14" s="105" t="e">
        <f>ROUND(Tableau16[[#This Row],[LEN]]*#REF!+#REF!,0)</f>
        <v>#REF!</v>
      </c>
    </row>
    <row r="15" spans="1:16" x14ac:dyDescent="0.25">
      <c r="A15" s="6" t="s">
        <v>736</v>
      </c>
      <c r="B15" s="7" t="s">
        <v>214</v>
      </c>
      <c r="C15" s="8" t="s">
        <v>72</v>
      </c>
      <c r="D15" s="65" t="s">
        <v>1177</v>
      </c>
      <c r="E15" s="8" t="s">
        <v>662</v>
      </c>
      <c r="F15" s="8" t="s">
        <v>2075</v>
      </c>
      <c r="G15" s="65" t="s">
        <v>70</v>
      </c>
      <c r="H15" s="65" t="s">
        <v>654</v>
      </c>
      <c r="I15" s="8"/>
      <c r="J15" s="9" t="s">
        <v>708</v>
      </c>
      <c r="K15" s="105">
        <f>ROUND(Tableau16[[#This Row],[LEN]]*7.27,0)</f>
        <v>400</v>
      </c>
      <c r="L15" s="105">
        <v>15</v>
      </c>
      <c r="M15" s="123" t="str">
        <f t="shared" si="0"/>
        <v>none</v>
      </c>
      <c r="N15" s="105">
        <f>LEN(Tableau16[[#This Row],[LABEL]])</f>
        <v>55</v>
      </c>
      <c r="O15" s="105">
        <v>15</v>
      </c>
      <c r="P15" s="105" t="e">
        <f>ROUND(Tableau16[[#This Row],[LEN]]*#REF!+#REF!,0)</f>
        <v>#REF!</v>
      </c>
    </row>
    <row r="16" spans="1:16" s="92" customFormat="1" x14ac:dyDescent="0.25">
      <c r="A16" s="245" t="s">
        <v>215</v>
      </c>
      <c r="B16" s="246" t="s">
        <v>204</v>
      </c>
      <c r="C16" s="247" t="s">
        <v>3</v>
      </c>
      <c r="D16" s="248" t="s">
        <v>1177</v>
      </c>
      <c r="E16" s="247" t="s">
        <v>661</v>
      </c>
      <c r="F16" s="247" t="s">
        <v>1177</v>
      </c>
      <c r="G16" s="248" t="s">
        <v>70</v>
      </c>
      <c r="H16" s="248" t="str">
        <f>IFERROR(IF(SEARCH(".00.00.00.00.00",Tableau16[[#This Row],[name]],1)=7,"Division",""),"")</f>
        <v>Division</v>
      </c>
      <c r="I16" s="247"/>
      <c r="J16" s="249" t="s">
        <v>708</v>
      </c>
      <c r="K16" s="250">
        <f>ROUND(Tableau16[[#This Row],[LEN]]*7.27,0)</f>
        <v>73</v>
      </c>
      <c r="L16" s="250">
        <v>15</v>
      </c>
      <c r="M16" s="251" t="str">
        <f t="shared" si="0"/>
        <v>none</v>
      </c>
      <c r="N16" s="250">
        <f>LEN(Tableau16[[#This Row],[LABEL]])</f>
        <v>10</v>
      </c>
      <c r="O16" s="250">
        <v>15</v>
      </c>
      <c r="P16" s="250" t="e">
        <f>ROUND(Tableau16[[#This Row],[LEN]]*#REF!+#REF!,0)</f>
        <v>#REF!</v>
      </c>
    </row>
    <row r="17" spans="1:16" x14ac:dyDescent="0.25">
      <c r="A17" s="6" t="s">
        <v>356</v>
      </c>
      <c r="B17" s="7" t="s">
        <v>215</v>
      </c>
      <c r="C17" s="8" t="s">
        <v>64</v>
      </c>
      <c r="D17" s="65" t="s">
        <v>1177</v>
      </c>
      <c r="E17" s="8" t="s">
        <v>662</v>
      </c>
      <c r="F17" s="8" t="s">
        <v>1956</v>
      </c>
      <c r="G17" s="65" t="s">
        <v>70</v>
      </c>
      <c r="H17" s="65" t="s">
        <v>17</v>
      </c>
      <c r="I17" s="8"/>
      <c r="J17" s="9" t="s">
        <v>708</v>
      </c>
      <c r="K17" s="105">
        <f>ROUND(Tableau16[[#This Row],[LEN]]*7.27,0)</f>
        <v>291</v>
      </c>
      <c r="L17" s="105">
        <v>15</v>
      </c>
      <c r="M17" s="123" t="str">
        <f t="shared" si="0"/>
        <v>none</v>
      </c>
      <c r="N17" s="105">
        <f>LEN(Tableau16[[#This Row],[LABEL]])</f>
        <v>40</v>
      </c>
      <c r="O17" s="105">
        <v>15</v>
      </c>
      <c r="P17" s="105" t="e">
        <f>ROUND(Tableau16[[#This Row],[LEN]]*#REF!+#REF!,0)</f>
        <v>#REF!</v>
      </c>
    </row>
    <row r="18" spans="1:16" x14ac:dyDescent="0.25">
      <c r="A18" s="6" t="s">
        <v>357</v>
      </c>
      <c r="B18" s="7" t="s">
        <v>215</v>
      </c>
      <c r="C18" s="8" t="s">
        <v>75</v>
      </c>
      <c r="D18" s="65" t="s">
        <v>1177</v>
      </c>
      <c r="E18" s="8" t="s">
        <v>684</v>
      </c>
      <c r="F18" s="8" t="s">
        <v>663</v>
      </c>
      <c r="G18" s="65" t="s">
        <v>70</v>
      </c>
      <c r="H18" s="65" t="s">
        <v>655</v>
      </c>
      <c r="I18" s="8"/>
      <c r="J18" s="9" t="s">
        <v>708</v>
      </c>
      <c r="K18" s="105">
        <f>ROUND(Tableau16[[#This Row],[LEN]]*7.27,0)</f>
        <v>262</v>
      </c>
      <c r="L18" s="105">
        <v>15</v>
      </c>
      <c r="M18" s="123" t="str">
        <f t="shared" si="0"/>
        <v>none</v>
      </c>
      <c r="N18" s="105">
        <f>LEN(Tableau16[[#This Row],[LABEL]])</f>
        <v>36</v>
      </c>
      <c r="O18" s="105">
        <v>15</v>
      </c>
      <c r="P18" s="105" t="e">
        <f>ROUND(Tableau16[[#This Row],[LEN]]*#REF!+#REF!,0)</f>
        <v>#REF!</v>
      </c>
    </row>
    <row r="19" spans="1:16" x14ac:dyDescent="0.25">
      <c r="A19" s="10" t="s">
        <v>365</v>
      </c>
      <c r="B19" s="11" t="s">
        <v>357</v>
      </c>
      <c r="C19" s="12" t="s">
        <v>76</v>
      </c>
      <c r="D19" s="66" t="s">
        <v>1177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06">
        <f>ROUND(Tableau16[[#This Row],[LEN]]*7.27,0)</f>
        <v>443</v>
      </c>
      <c r="L19" s="106">
        <v>15</v>
      </c>
      <c r="M19" s="124" t="str">
        <f t="shared" si="0"/>
        <v>none</v>
      </c>
      <c r="N19" s="106">
        <f>LEN(Tableau16[[#This Row],[LABEL]])</f>
        <v>61</v>
      </c>
      <c r="O19" s="106">
        <v>15</v>
      </c>
      <c r="P19" s="106" t="e">
        <f>ROUND(Tableau16[[#This Row],[LEN]]*#REF!+#REF!,0)</f>
        <v>#REF!</v>
      </c>
    </row>
    <row r="20" spans="1:16" x14ac:dyDescent="0.25">
      <c r="A20" s="10" t="s">
        <v>366</v>
      </c>
      <c r="B20" s="11" t="s">
        <v>357</v>
      </c>
      <c r="C20" s="12" t="s">
        <v>77</v>
      </c>
      <c r="D20" s="66" t="s">
        <v>1177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06">
        <f>ROUND(Tableau16[[#This Row],[LEN]]*7.27,0)</f>
        <v>473</v>
      </c>
      <c r="L20" s="106">
        <v>15</v>
      </c>
      <c r="M20" s="124" t="str">
        <f t="shared" si="0"/>
        <v>none</v>
      </c>
      <c r="N20" s="106">
        <f>LEN(Tableau16[[#This Row],[LABEL]])</f>
        <v>65</v>
      </c>
      <c r="O20" s="106">
        <v>15</v>
      </c>
      <c r="P20" s="106" t="e">
        <f>ROUND(Tableau16[[#This Row],[LEN]]*#REF!+#REF!,0)</f>
        <v>#REF!</v>
      </c>
    </row>
    <row r="21" spans="1:16" x14ac:dyDescent="0.25">
      <c r="A21" s="10" t="s">
        <v>367</v>
      </c>
      <c r="B21" s="11" t="s">
        <v>357</v>
      </c>
      <c r="C21" s="12" t="s">
        <v>78</v>
      </c>
      <c r="D21" s="66" t="s">
        <v>1177</v>
      </c>
      <c r="E21" s="12" t="s">
        <v>684</v>
      </c>
      <c r="F21" s="12" t="s">
        <v>663</v>
      </c>
      <c r="G21" s="66" t="s">
        <v>70</v>
      </c>
      <c r="H21" s="66" t="s">
        <v>18</v>
      </c>
      <c r="I21" s="12"/>
      <c r="J21" s="13" t="s">
        <v>708</v>
      </c>
      <c r="K21" s="106">
        <f>ROUND(Tableau16[[#This Row],[LEN]]*7.27,0)</f>
        <v>385</v>
      </c>
      <c r="L21" s="106">
        <v>15</v>
      </c>
      <c r="M21" s="124" t="str">
        <f t="shared" si="0"/>
        <v>none</v>
      </c>
      <c r="N21" s="106">
        <f>LEN(Tableau16[[#This Row],[LABEL]])</f>
        <v>53</v>
      </c>
      <c r="O21" s="106">
        <v>15</v>
      </c>
      <c r="P21" s="106" t="e">
        <f>ROUND(Tableau16[[#This Row],[LEN]]*#REF!+#REF!,0)</f>
        <v>#REF!</v>
      </c>
    </row>
    <row r="22" spans="1:16" x14ac:dyDescent="0.25">
      <c r="A22" s="6" t="s">
        <v>358</v>
      </c>
      <c r="B22" s="7" t="s">
        <v>215</v>
      </c>
      <c r="C22" s="8" t="s">
        <v>65</v>
      </c>
      <c r="D22" s="65" t="s">
        <v>1177</v>
      </c>
      <c r="E22" s="8" t="s">
        <v>662</v>
      </c>
      <c r="F22" s="8" t="s">
        <v>1957</v>
      </c>
      <c r="G22" s="65" t="s">
        <v>70</v>
      </c>
      <c r="H22" s="65" t="s">
        <v>17</v>
      </c>
      <c r="I22" s="8"/>
      <c r="J22" s="9" t="s">
        <v>708</v>
      </c>
      <c r="K22" s="105">
        <f>ROUND(Tableau16[[#This Row],[LEN]]*7.27,0)</f>
        <v>291</v>
      </c>
      <c r="L22" s="105">
        <v>15</v>
      </c>
      <c r="M22" s="123" t="str">
        <f t="shared" si="0"/>
        <v>none</v>
      </c>
      <c r="N22" s="105">
        <f>LEN(Tableau16[[#This Row],[LABEL]])</f>
        <v>40</v>
      </c>
      <c r="O22" s="105">
        <v>15</v>
      </c>
      <c r="P22" s="105" t="e">
        <f>ROUND(Tableau16[[#This Row],[LEN]]*#REF!+#REF!,0)</f>
        <v>#REF!</v>
      </c>
    </row>
    <row r="23" spans="1:16" x14ac:dyDescent="0.25">
      <c r="A23" s="6" t="s">
        <v>359</v>
      </c>
      <c r="B23" s="7" t="s">
        <v>215</v>
      </c>
      <c r="C23" s="8" t="s">
        <v>72</v>
      </c>
      <c r="D23" s="65" t="s">
        <v>1177</v>
      </c>
      <c r="E23" s="8" t="s">
        <v>662</v>
      </c>
      <c r="F23" s="8" t="s">
        <v>2075</v>
      </c>
      <c r="G23" s="65" t="s">
        <v>70</v>
      </c>
      <c r="H23" s="65" t="s">
        <v>654</v>
      </c>
      <c r="I23" s="8"/>
      <c r="J23" s="9" t="s">
        <v>708</v>
      </c>
      <c r="K23" s="105">
        <f>ROUND(Tableau16[[#This Row],[LEN]]*7.27,0)</f>
        <v>400</v>
      </c>
      <c r="L23" s="105">
        <v>15</v>
      </c>
      <c r="M23" s="123" t="str">
        <f t="shared" si="0"/>
        <v>none</v>
      </c>
      <c r="N23" s="105">
        <f>LEN(Tableau16[[#This Row],[LABEL]])</f>
        <v>55</v>
      </c>
      <c r="O23" s="105">
        <v>15</v>
      </c>
      <c r="P23" s="105" t="e">
        <f>ROUND(Tableau16[[#This Row],[LEN]]*#REF!+#REF!,0)</f>
        <v>#REF!</v>
      </c>
    </row>
    <row r="24" spans="1:16" x14ac:dyDescent="0.25">
      <c r="A24" s="6" t="s">
        <v>360</v>
      </c>
      <c r="B24" s="7" t="s">
        <v>215</v>
      </c>
      <c r="C24" s="8" t="s">
        <v>79</v>
      </c>
      <c r="D24" s="65" t="s">
        <v>1177</v>
      </c>
      <c r="E24" s="8" t="s">
        <v>661</v>
      </c>
      <c r="F24" s="8" t="s">
        <v>666</v>
      </c>
      <c r="G24" s="65" t="s">
        <v>70</v>
      </c>
      <c r="H24" s="65" t="s">
        <v>18</v>
      </c>
      <c r="I24" s="8"/>
      <c r="J24" s="9" t="s">
        <v>708</v>
      </c>
      <c r="K24" s="105">
        <f>ROUND(Tableau16[[#This Row],[LEN]]*7.27,0)</f>
        <v>218</v>
      </c>
      <c r="L24" s="105">
        <v>15</v>
      </c>
      <c r="M24" s="123" t="str">
        <f t="shared" si="0"/>
        <v>none</v>
      </c>
      <c r="N24" s="105">
        <f>LEN(Tableau16[[#This Row],[LABEL]])</f>
        <v>30</v>
      </c>
      <c r="O24" s="105">
        <v>15</v>
      </c>
      <c r="P24" s="105" t="e">
        <f>ROUND(Tableau16[[#This Row],[LEN]]*#REF!+#REF!,0)</f>
        <v>#REF!</v>
      </c>
    </row>
    <row r="25" spans="1:16" s="92" customFormat="1" x14ac:dyDescent="0.25">
      <c r="A25" s="245" t="s">
        <v>216</v>
      </c>
      <c r="B25" s="246" t="s">
        <v>204</v>
      </c>
      <c r="C25" s="247" t="s">
        <v>4</v>
      </c>
      <c r="D25" s="248" t="s">
        <v>1177</v>
      </c>
      <c r="E25" s="247" t="s">
        <v>666</v>
      </c>
      <c r="F25" s="247" t="s">
        <v>1177</v>
      </c>
      <c r="G25" s="248" t="s">
        <v>70</v>
      </c>
      <c r="H25" s="248" t="str">
        <f>IFERROR(IF(SEARCH(".00.00.00.00.00",Tableau16[[#This Row],[name]],1)=7,"Division",""),"")</f>
        <v>Division</v>
      </c>
      <c r="I25" s="247"/>
      <c r="J25" s="249" t="s">
        <v>708</v>
      </c>
      <c r="K25" s="250">
        <f>ROUND(Tableau16[[#This Row],[LEN]]*7.27,0)</f>
        <v>36</v>
      </c>
      <c r="L25" s="250">
        <v>15</v>
      </c>
      <c r="M25" s="251" t="str">
        <f t="shared" si="0"/>
        <v>none</v>
      </c>
      <c r="N25" s="250">
        <f>LEN(Tableau16[[#This Row],[LABEL]])</f>
        <v>5</v>
      </c>
      <c r="O25" s="250">
        <v>15</v>
      </c>
      <c r="P25" s="250" t="e">
        <f>ROUND(Tableau16[[#This Row],[LEN]]*#REF!+#REF!,0)</f>
        <v>#REF!</v>
      </c>
    </row>
    <row r="26" spans="1:16" x14ac:dyDescent="0.25">
      <c r="A26" s="6" t="s">
        <v>918</v>
      </c>
      <c r="B26" s="7" t="s">
        <v>216</v>
      </c>
      <c r="C26" s="8" t="s">
        <v>64</v>
      </c>
      <c r="D26" s="65" t="s">
        <v>1177</v>
      </c>
      <c r="E26" s="8" t="s">
        <v>662</v>
      </c>
      <c r="F26" s="8" t="s">
        <v>1956</v>
      </c>
      <c r="G26" s="65" t="s">
        <v>70</v>
      </c>
      <c r="H26" s="65" t="s">
        <v>17</v>
      </c>
      <c r="I26" s="8"/>
      <c r="J26" s="9" t="s">
        <v>708</v>
      </c>
      <c r="K26" s="105">
        <f>ROUND(Tableau16[[#This Row],[LEN]]*7.27,0)</f>
        <v>291</v>
      </c>
      <c r="L26" s="105">
        <v>15</v>
      </c>
      <c r="M26" s="123" t="str">
        <f t="shared" si="0"/>
        <v>none</v>
      </c>
      <c r="N26" s="105">
        <f>LEN(Tableau16[[#This Row],[LABEL]])</f>
        <v>40</v>
      </c>
      <c r="O26" s="105">
        <v>15</v>
      </c>
      <c r="P26" s="105" t="e">
        <f>ROUND(Tableau16[[#This Row],[LEN]]*#REF!+#REF!,0)</f>
        <v>#REF!</v>
      </c>
    </row>
    <row r="27" spans="1:16" x14ac:dyDescent="0.25">
      <c r="A27" s="6" t="s">
        <v>919</v>
      </c>
      <c r="B27" s="7" t="s">
        <v>216</v>
      </c>
      <c r="C27" s="8" t="s">
        <v>75</v>
      </c>
      <c r="D27" s="65" t="s">
        <v>1177</v>
      </c>
      <c r="E27" s="8" t="s">
        <v>684</v>
      </c>
      <c r="F27" s="8" t="s">
        <v>663</v>
      </c>
      <c r="G27" s="65" t="s">
        <v>70</v>
      </c>
      <c r="H27" s="65" t="s">
        <v>655</v>
      </c>
      <c r="I27" s="8"/>
      <c r="J27" s="9" t="s">
        <v>708</v>
      </c>
      <c r="K27" s="105">
        <f>ROUND(Tableau16[[#This Row],[LEN]]*7.27,0)</f>
        <v>262</v>
      </c>
      <c r="L27" s="105">
        <v>15</v>
      </c>
      <c r="M27" s="123" t="str">
        <f t="shared" si="0"/>
        <v>none</v>
      </c>
      <c r="N27" s="105">
        <f>LEN(Tableau16[[#This Row],[LABEL]])</f>
        <v>36</v>
      </c>
      <c r="O27" s="105">
        <v>15</v>
      </c>
      <c r="P27" s="105" t="e">
        <f>ROUND(Tableau16[[#This Row],[LEN]]*#REF!+#REF!,0)</f>
        <v>#REF!</v>
      </c>
    </row>
    <row r="28" spans="1:16" x14ac:dyDescent="0.25">
      <c r="A28" s="12" t="s">
        <v>924</v>
      </c>
      <c r="B28" s="12" t="s">
        <v>919</v>
      </c>
      <c r="C28" s="12" t="s">
        <v>76</v>
      </c>
      <c r="D28" s="66" t="s">
        <v>1177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06">
        <f>ROUND(Tableau16[[#This Row],[LEN]]*7.27,0)</f>
        <v>443</v>
      </c>
      <c r="L28" s="106">
        <v>15</v>
      </c>
      <c r="M28" s="124" t="str">
        <f t="shared" si="0"/>
        <v>none</v>
      </c>
      <c r="N28" s="106">
        <f>LEN(Tableau16[[#This Row],[LABEL]])</f>
        <v>61</v>
      </c>
      <c r="O28" s="106">
        <v>15</v>
      </c>
      <c r="P28" s="106" t="e">
        <f>ROUND(Tableau16[[#This Row],[LEN]]*#REF!+#REF!,0)</f>
        <v>#REF!</v>
      </c>
    </row>
    <row r="29" spans="1:16" x14ac:dyDescent="0.25">
      <c r="A29" s="12" t="s">
        <v>925</v>
      </c>
      <c r="B29" s="12" t="s">
        <v>919</v>
      </c>
      <c r="C29" s="12" t="s">
        <v>77</v>
      </c>
      <c r="D29" s="66" t="s">
        <v>1177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06">
        <f>ROUND(Tableau16[[#This Row],[LEN]]*7.27,0)</f>
        <v>473</v>
      </c>
      <c r="L29" s="106">
        <v>15</v>
      </c>
      <c r="M29" s="124" t="str">
        <f t="shared" si="0"/>
        <v>none</v>
      </c>
      <c r="N29" s="106">
        <f>LEN(Tableau16[[#This Row],[LABEL]])</f>
        <v>65</v>
      </c>
      <c r="O29" s="106">
        <v>15</v>
      </c>
      <c r="P29" s="106" t="e">
        <f>ROUND(Tableau16[[#This Row],[LEN]]*#REF!+#REF!,0)</f>
        <v>#REF!</v>
      </c>
    </row>
    <row r="30" spans="1:16" x14ac:dyDescent="0.25">
      <c r="A30" s="12" t="s">
        <v>926</v>
      </c>
      <c r="B30" s="12" t="s">
        <v>919</v>
      </c>
      <c r="C30" s="12" t="s">
        <v>78</v>
      </c>
      <c r="D30" s="66" t="s">
        <v>1177</v>
      </c>
      <c r="E30" s="12" t="s">
        <v>684</v>
      </c>
      <c r="F30" s="12" t="s">
        <v>663</v>
      </c>
      <c r="G30" s="66" t="s">
        <v>70</v>
      </c>
      <c r="H30" s="66" t="s">
        <v>18</v>
      </c>
      <c r="I30" s="12"/>
      <c r="J30" s="13" t="s">
        <v>708</v>
      </c>
      <c r="K30" s="106">
        <f>ROUND(Tableau16[[#This Row],[LEN]]*7.27,0)</f>
        <v>385</v>
      </c>
      <c r="L30" s="106">
        <v>15</v>
      </c>
      <c r="M30" s="124" t="str">
        <f t="shared" si="0"/>
        <v>none</v>
      </c>
      <c r="N30" s="106">
        <f>LEN(Tableau16[[#This Row],[LABEL]])</f>
        <v>53</v>
      </c>
      <c r="O30" s="106">
        <v>15</v>
      </c>
      <c r="P30" s="106" t="e">
        <f>ROUND(Tableau16[[#This Row],[LEN]]*#REF!+#REF!,0)</f>
        <v>#REF!</v>
      </c>
    </row>
    <row r="31" spans="1:16" x14ac:dyDescent="0.25">
      <c r="A31" s="6" t="s">
        <v>920</v>
      </c>
      <c r="B31" s="7" t="s">
        <v>216</v>
      </c>
      <c r="C31" s="8" t="s">
        <v>65</v>
      </c>
      <c r="D31" s="65" t="s">
        <v>1177</v>
      </c>
      <c r="E31" s="8" t="s">
        <v>662</v>
      </c>
      <c r="F31" s="8" t="s">
        <v>1957</v>
      </c>
      <c r="G31" s="65" t="s">
        <v>70</v>
      </c>
      <c r="H31" s="65" t="s">
        <v>17</v>
      </c>
      <c r="I31" s="8"/>
      <c r="J31" s="9" t="s">
        <v>708</v>
      </c>
      <c r="K31" s="105">
        <f>ROUND(Tableau16[[#This Row],[LEN]]*7.27,0)</f>
        <v>291</v>
      </c>
      <c r="L31" s="105">
        <v>15</v>
      </c>
      <c r="M31" s="123" t="str">
        <f t="shared" si="0"/>
        <v>none</v>
      </c>
      <c r="N31" s="105">
        <f>LEN(Tableau16[[#This Row],[LABEL]])</f>
        <v>40</v>
      </c>
      <c r="O31" s="105">
        <v>15</v>
      </c>
      <c r="P31" s="105" t="e">
        <f>ROUND(Tableau16[[#This Row],[LEN]]*#REF!+#REF!,0)</f>
        <v>#REF!</v>
      </c>
    </row>
    <row r="32" spans="1:16" x14ac:dyDescent="0.25">
      <c r="A32" s="6" t="s">
        <v>921</v>
      </c>
      <c r="B32" s="7" t="s">
        <v>216</v>
      </c>
      <c r="C32" s="8" t="s">
        <v>915</v>
      </c>
      <c r="D32" s="65" t="s">
        <v>1177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105">
        <f>ROUND(Tableau16[[#This Row],[LEN]]*7.27,0)</f>
        <v>225</v>
      </c>
      <c r="L32" s="105">
        <v>15</v>
      </c>
      <c r="M32" s="123" t="str">
        <f t="shared" si="0"/>
        <v>none</v>
      </c>
      <c r="N32" s="105">
        <f>LEN(Tableau16[[#This Row],[LABEL]])</f>
        <v>31</v>
      </c>
      <c r="O32" s="105">
        <v>15</v>
      </c>
      <c r="P32" s="105" t="e">
        <f>ROUND(Tableau16[[#This Row],[LEN]]*#REF!+#REF!,0)</f>
        <v>#REF!</v>
      </c>
    </row>
    <row r="33" spans="1:16" x14ac:dyDescent="0.25">
      <c r="A33" s="6" t="s">
        <v>922</v>
      </c>
      <c r="B33" s="7" t="s">
        <v>216</v>
      </c>
      <c r="C33" s="8" t="s">
        <v>917</v>
      </c>
      <c r="D33" s="65" t="s">
        <v>1177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105">
        <f>ROUND(Tableau16[[#This Row],[LEN]]*7.27,0)</f>
        <v>225</v>
      </c>
      <c r="L33" s="105">
        <v>15</v>
      </c>
      <c r="M33" s="123" t="str">
        <f t="shared" si="0"/>
        <v>none</v>
      </c>
      <c r="N33" s="105">
        <f>LEN(Tableau16[[#This Row],[LABEL]])</f>
        <v>31</v>
      </c>
      <c r="O33" s="105">
        <v>15</v>
      </c>
      <c r="P33" s="105" t="e">
        <f>ROUND(Tableau16[[#This Row],[LEN]]*#REF!+#REF!,0)</f>
        <v>#REF!</v>
      </c>
    </row>
    <row r="34" spans="1:16" x14ac:dyDescent="0.25">
      <c r="A34" s="6" t="s">
        <v>923</v>
      </c>
      <c r="B34" s="7" t="s">
        <v>216</v>
      </c>
      <c r="C34" s="8" t="s">
        <v>916</v>
      </c>
      <c r="D34" s="65" t="s">
        <v>1177</v>
      </c>
      <c r="E34" s="8" t="s">
        <v>666</v>
      </c>
      <c r="F34" s="8" t="s">
        <v>661</v>
      </c>
      <c r="G34" s="65" t="s">
        <v>70</v>
      </c>
      <c r="H34" s="65" t="s">
        <v>18</v>
      </c>
      <c r="I34" s="8"/>
      <c r="J34" s="9" t="s">
        <v>708</v>
      </c>
      <c r="K34" s="105">
        <f>ROUND(Tableau16[[#This Row],[LEN]]*7.27,0)</f>
        <v>109</v>
      </c>
      <c r="L34" s="105">
        <v>15</v>
      </c>
      <c r="M34" s="123" t="str">
        <f t="shared" si="0"/>
        <v>none</v>
      </c>
      <c r="N34" s="105">
        <f>LEN(Tableau16[[#This Row],[LABEL]])</f>
        <v>15</v>
      </c>
      <c r="O34" s="105">
        <v>15</v>
      </c>
      <c r="P34" s="105" t="e">
        <f>ROUND(Tableau16[[#This Row],[LEN]]*#REF!+#REF!,0)</f>
        <v>#REF!</v>
      </c>
    </row>
    <row r="35" spans="1:16" s="92" customFormat="1" x14ac:dyDescent="0.25">
      <c r="A35" s="245" t="s">
        <v>217</v>
      </c>
      <c r="B35" s="246" t="s">
        <v>204</v>
      </c>
      <c r="C35" s="247" t="s">
        <v>80</v>
      </c>
      <c r="D35" s="248" t="s">
        <v>1177</v>
      </c>
      <c r="E35" s="247" t="s">
        <v>667</v>
      </c>
      <c r="F35" s="247" t="s">
        <v>1177</v>
      </c>
      <c r="G35" s="248" t="s">
        <v>70</v>
      </c>
      <c r="H35" s="248" t="str">
        <f>IFERROR(IF(SEARCH(".00.00.00.00.00",Tableau16[[#This Row],[name]],1)=7,"Division",""),"")</f>
        <v>Division</v>
      </c>
      <c r="I35" s="247"/>
      <c r="J35" s="249" t="s">
        <v>708</v>
      </c>
      <c r="K35" s="250">
        <f>ROUND(Tableau16[[#This Row],[LEN]]*7.27,0)</f>
        <v>116</v>
      </c>
      <c r="L35" s="250">
        <v>15</v>
      </c>
      <c r="M35" s="251" t="str">
        <f t="shared" si="0"/>
        <v>none</v>
      </c>
      <c r="N35" s="250">
        <f>LEN(Tableau16[[#This Row],[LABEL]])</f>
        <v>16</v>
      </c>
      <c r="O35" s="250">
        <v>15</v>
      </c>
      <c r="P35" s="250" t="e">
        <f>ROUND(Tableau16[[#This Row],[LEN]]*#REF!+#REF!,0)</f>
        <v>#REF!</v>
      </c>
    </row>
    <row r="36" spans="1:16" x14ac:dyDescent="0.25">
      <c r="A36" s="6" t="s">
        <v>933</v>
      </c>
      <c r="B36" s="7" t="s">
        <v>217</v>
      </c>
      <c r="C36" s="8" t="s">
        <v>64</v>
      </c>
      <c r="D36" s="65" t="s">
        <v>1177</v>
      </c>
      <c r="E36" s="8" t="s">
        <v>662</v>
      </c>
      <c r="F36" s="8" t="s">
        <v>1956</v>
      </c>
      <c r="G36" s="65" t="s">
        <v>70</v>
      </c>
      <c r="H36" s="65" t="s">
        <v>17</v>
      </c>
      <c r="I36" s="8"/>
      <c r="J36" s="9" t="s">
        <v>708</v>
      </c>
      <c r="K36" s="105">
        <f>ROUND(Tableau16[[#This Row],[LEN]]*7.27,0)</f>
        <v>291</v>
      </c>
      <c r="L36" s="105">
        <v>15</v>
      </c>
      <c r="M36" s="123" t="str">
        <f t="shared" si="0"/>
        <v>none</v>
      </c>
      <c r="N36" s="105">
        <f>LEN(Tableau16[[#This Row],[LABEL]])</f>
        <v>40</v>
      </c>
      <c r="O36" s="105">
        <v>15</v>
      </c>
      <c r="P36" s="105" t="e">
        <f>ROUND(Tableau16[[#This Row],[LEN]]*#REF!+#REF!,0)</f>
        <v>#REF!</v>
      </c>
    </row>
    <row r="37" spans="1:16" x14ac:dyDescent="0.25">
      <c r="A37" s="6" t="s">
        <v>934</v>
      </c>
      <c r="B37" s="7" t="s">
        <v>217</v>
      </c>
      <c r="C37" s="8" t="s">
        <v>927</v>
      </c>
      <c r="D37" s="65" t="s">
        <v>1177</v>
      </c>
      <c r="E37" s="8" t="s">
        <v>667</v>
      </c>
      <c r="F37" s="8" t="s">
        <v>2076</v>
      </c>
      <c r="G37" s="65" t="s">
        <v>70</v>
      </c>
      <c r="H37" s="65" t="s">
        <v>656</v>
      </c>
      <c r="I37" s="8"/>
      <c r="J37" s="9" t="s">
        <v>708</v>
      </c>
      <c r="K37" s="105">
        <f>ROUND(Tableau16[[#This Row],[LEN]]*7.27,0)</f>
        <v>298</v>
      </c>
      <c r="L37" s="105">
        <v>15</v>
      </c>
      <c r="M37" s="123" t="str">
        <f t="shared" si="0"/>
        <v>none</v>
      </c>
      <c r="N37" s="105">
        <f>LEN(Tableau16[[#This Row],[LABEL]])</f>
        <v>41</v>
      </c>
      <c r="O37" s="105">
        <v>15</v>
      </c>
      <c r="P37" s="105" t="e">
        <f>ROUND(Tableau16[[#This Row],[LEN]]*#REF!+#REF!,0)</f>
        <v>#REF!</v>
      </c>
    </row>
    <row r="38" spans="1:16" x14ac:dyDescent="0.25">
      <c r="A38" s="6" t="s">
        <v>935</v>
      </c>
      <c r="B38" s="7" t="s">
        <v>217</v>
      </c>
      <c r="C38" s="8" t="s">
        <v>65</v>
      </c>
      <c r="D38" s="65" t="s">
        <v>1177</v>
      </c>
      <c r="E38" s="8" t="s">
        <v>662</v>
      </c>
      <c r="F38" s="8" t="s">
        <v>1957</v>
      </c>
      <c r="G38" s="65" t="s">
        <v>70</v>
      </c>
      <c r="H38" s="65" t="s">
        <v>17</v>
      </c>
      <c r="I38" s="8"/>
      <c r="J38" s="9" t="s">
        <v>708</v>
      </c>
      <c r="K38" s="105">
        <f>ROUND(Tableau16[[#This Row],[LEN]]*7.27,0)</f>
        <v>291</v>
      </c>
      <c r="L38" s="105">
        <v>15</v>
      </c>
      <c r="M38" s="123" t="str">
        <f t="shared" si="0"/>
        <v>none</v>
      </c>
      <c r="N38" s="105">
        <f>LEN(Tableau16[[#This Row],[LABEL]])</f>
        <v>40</v>
      </c>
      <c r="O38" s="105">
        <v>15</v>
      </c>
      <c r="P38" s="105" t="e">
        <f>ROUND(Tableau16[[#This Row],[LEN]]*#REF!+#REF!,0)</f>
        <v>#REF!</v>
      </c>
    </row>
    <row r="39" spans="1:16" x14ac:dyDescent="0.25">
      <c r="A39" s="6" t="s">
        <v>936</v>
      </c>
      <c r="B39" s="7" t="s">
        <v>217</v>
      </c>
      <c r="C39" s="8" t="s">
        <v>928</v>
      </c>
      <c r="D39" s="65" t="s">
        <v>1177</v>
      </c>
      <c r="E39" s="8" t="s">
        <v>667</v>
      </c>
      <c r="F39" s="8" t="s">
        <v>674</v>
      </c>
      <c r="G39" s="65" t="s">
        <v>70</v>
      </c>
      <c r="H39" s="65" t="s">
        <v>18</v>
      </c>
      <c r="I39" s="8"/>
      <c r="J39" s="9" t="s">
        <v>708</v>
      </c>
      <c r="K39" s="105">
        <f>ROUND(Tableau16[[#This Row],[LEN]]*7.27,0)</f>
        <v>284</v>
      </c>
      <c r="L39" s="105">
        <v>15</v>
      </c>
      <c r="M39" s="123" t="str">
        <f t="shared" si="0"/>
        <v>none</v>
      </c>
      <c r="N39" s="105">
        <f>LEN(Tableau16[[#This Row],[LABEL]])</f>
        <v>39</v>
      </c>
      <c r="O39" s="105">
        <v>15</v>
      </c>
      <c r="P39" s="105" t="e">
        <f>ROUND(Tableau16[[#This Row],[LEN]]*#REF!+#REF!,0)</f>
        <v>#REF!</v>
      </c>
    </row>
    <row r="40" spans="1:16" x14ac:dyDescent="0.25">
      <c r="A40" s="6" t="s">
        <v>937</v>
      </c>
      <c r="B40" s="7" t="s">
        <v>217</v>
      </c>
      <c r="C40" s="8" t="s">
        <v>929</v>
      </c>
      <c r="D40" s="65" t="s">
        <v>1177</v>
      </c>
      <c r="E40" s="8" t="s">
        <v>667</v>
      </c>
      <c r="F40" s="8" t="s">
        <v>1177</v>
      </c>
      <c r="G40" s="65" t="s">
        <v>70</v>
      </c>
      <c r="H40" s="65" t="s">
        <v>656</v>
      </c>
      <c r="I40" s="8"/>
      <c r="J40" s="9" t="s">
        <v>708</v>
      </c>
      <c r="K40" s="105">
        <f>ROUND(Tableau16[[#This Row],[LEN]]*7.27,0)</f>
        <v>276</v>
      </c>
      <c r="L40" s="105">
        <v>15</v>
      </c>
      <c r="M40" s="123" t="str">
        <f t="shared" si="0"/>
        <v>none</v>
      </c>
      <c r="N40" s="105">
        <f>LEN(Tableau16[[#This Row],[LABEL]])</f>
        <v>38</v>
      </c>
      <c r="O40" s="105">
        <v>15</v>
      </c>
      <c r="P40" s="105" t="e">
        <f>ROUND(Tableau16[[#This Row],[LEN]]*#REF!+#REF!,0)</f>
        <v>#REF!</v>
      </c>
    </row>
    <row r="41" spans="1:16" x14ac:dyDescent="0.25">
      <c r="A41" s="6" t="s">
        <v>938</v>
      </c>
      <c r="B41" s="7" t="s">
        <v>217</v>
      </c>
      <c r="C41" s="8" t="s">
        <v>930</v>
      </c>
      <c r="D41" s="65" t="s">
        <v>1177</v>
      </c>
      <c r="E41" s="8" t="s">
        <v>667</v>
      </c>
      <c r="F41" s="8" t="s">
        <v>1177</v>
      </c>
      <c r="G41" s="65" t="s">
        <v>70</v>
      </c>
      <c r="H41" s="65" t="s">
        <v>654</v>
      </c>
      <c r="I41" s="8"/>
      <c r="J41" s="9" t="s">
        <v>706</v>
      </c>
      <c r="K41" s="105">
        <f>ROUND(Tableau16[[#This Row],[LEN]]*7.27,0)</f>
        <v>465</v>
      </c>
      <c r="L41" s="105">
        <v>15</v>
      </c>
      <c r="M41" s="123" t="str">
        <f t="shared" si="0"/>
        <v>new</v>
      </c>
      <c r="N41" s="105">
        <f>LEN(Tableau16[[#This Row],[LABEL]])</f>
        <v>64</v>
      </c>
      <c r="O41" s="105">
        <v>15</v>
      </c>
      <c r="P41" s="105" t="e">
        <f>ROUND(Tableau16[[#This Row],[LEN]]*#REF!+#REF!,0)</f>
        <v>#REF!</v>
      </c>
    </row>
    <row r="42" spans="1:16" s="92" customFormat="1" x14ac:dyDescent="0.25">
      <c r="A42" s="245" t="s">
        <v>219</v>
      </c>
      <c r="B42" s="246" t="s">
        <v>204</v>
      </c>
      <c r="C42" s="247" t="s">
        <v>6</v>
      </c>
      <c r="D42" s="248" t="s">
        <v>1177</v>
      </c>
      <c r="E42" s="247" t="s">
        <v>669</v>
      </c>
      <c r="F42" s="247" t="s">
        <v>1177</v>
      </c>
      <c r="G42" s="248" t="s">
        <v>70</v>
      </c>
      <c r="H42" s="248" t="str">
        <f>IFERROR(IF(SEARCH(".00.00.00.00.00",Tableau16[[#This Row],[name]],1)=7,"Division",""),"")</f>
        <v>Division</v>
      </c>
      <c r="I42" s="247"/>
      <c r="J42" s="249" t="s">
        <v>708</v>
      </c>
      <c r="K42" s="250">
        <f>ROUND(Tableau16[[#This Row],[LEN]]*7.27,0)</f>
        <v>196</v>
      </c>
      <c r="L42" s="250">
        <v>15</v>
      </c>
      <c r="M42" s="251" t="str">
        <f t="shared" si="0"/>
        <v>none</v>
      </c>
      <c r="N42" s="250">
        <f>LEN(Tableau16[[#This Row],[LABEL]])</f>
        <v>27</v>
      </c>
      <c r="O42" s="250">
        <v>15</v>
      </c>
      <c r="P42" s="250" t="e">
        <f>ROUND(Tableau16[[#This Row],[LEN]]*#REF!+#REF!,0)</f>
        <v>#REF!</v>
      </c>
    </row>
    <row r="43" spans="1:16" x14ac:dyDescent="0.25">
      <c r="A43" s="14" t="s">
        <v>361</v>
      </c>
      <c r="B43" s="15" t="s">
        <v>219</v>
      </c>
      <c r="C43" s="8" t="s">
        <v>64</v>
      </c>
      <c r="D43" s="67" t="s">
        <v>1177</v>
      </c>
      <c r="E43" s="16" t="s">
        <v>662</v>
      </c>
      <c r="F43" s="8" t="s">
        <v>1956</v>
      </c>
      <c r="G43" s="67" t="s">
        <v>70</v>
      </c>
      <c r="H43" s="67" t="s">
        <v>17</v>
      </c>
      <c r="I43" s="8"/>
      <c r="J43" s="9" t="s">
        <v>708</v>
      </c>
      <c r="K43" s="105">
        <f>ROUND(Tableau16[[#This Row],[LEN]]*7.27,0)</f>
        <v>291</v>
      </c>
      <c r="L43" s="105">
        <v>15</v>
      </c>
      <c r="M43" s="123" t="str">
        <f t="shared" si="0"/>
        <v>none</v>
      </c>
      <c r="N43" s="105">
        <f>LEN(Tableau16[[#This Row],[LABEL]])</f>
        <v>40</v>
      </c>
      <c r="O43" s="105">
        <v>15</v>
      </c>
      <c r="P43" s="105" t="e">
        <f>ROUND(Tableau16[[#This Row],[LEN]]*#REF!+#REF!,0)</f>
        <v>#REF!</v>
      </c>
    </row>
    <row r="44" spans="1:16" x14ac:dyDescent="0.25">
      <c r="A44" s="14" t="s">
        <v>362</v>
      </c>
      <c r="B44" s="15" t="s">
        <v>219</v>
      </c>
      <c r="C44" s="8" t="s">
        <v>65</v>
      </c>
      <c r="D44" s="67" t="s">
        <v>1177</v>
      </c>
      <c r="E44" s="16" t="s">
        <v>662</v>
      </c>
      <c r="F44" s="8" t="s">
        <v>1957</v>
      </c>
      <c r="G44" s="67" t="s">
        <v>70</v>
      </c>
      <c r="H44" s="67" t="s">
        <v>17</v>
      </c>
      <c r="I44" s="8"/>
      <c r="J44" s="9" t="s">
        <v>708</v>
      </c>
      <c r="K44" s="105">
        <f>ROUND(Tableau16[[#This Row],[LEN]]*7.27,0)</f>
        <v>291</v>
      </c>
      <c r="L44" s="105">
        <v>15</v>
      </c>
      <c r="M44" s="123" t="str">
        <f t="shared" si="0"/>
        <v>none</v>
      </c>
      <c r="N44" s="105">
        <f>LEN(Tableau16[[#This Row],[LABEL]])</f>
        <v>40</v>
      </c>
      <c r="O44" s="105">
        <v>15</v>
      </c>
      <c r="P44" s="105" t="e">
        <f>ROUND(Tableau16[[#This Row],[LEN]]*#REF!+#REF!,0)</f>
        <v>#REF!</v>
      </c>
    </row>
    <row r="45" spans="1:16" s="92" customFormat="1" x14ac:dyDescent="0.25">
      <c r="A45" s="245" t="s">
        <v>220</v>
      </c>
      <c r="B45" s="246" t="s">
        <v>204</v>
      </c>
      <c r="C45" s="247" t="s">
        <v>7</v>
      </c>
      <c r="D45" s="248" t="s">
        <v>1177</v>
      </c>
      <c r="E45" s="247" t="s">
        <v>670</v>
      </c>
      <c r="F45" s="247" t="s">
        <v>1177</v>
      </c>
      <c r="G45" s="248" t="s">
        <v>70</v>
      </c>
      <c r="H45" s="248" t="str">
        <f>IFERROR(IF(SEARCH(".00.00.00.00.00",Tableau16[[#This Row],[name]],1)=7,"Division",""),"")</f>
        <v>Division</v>
      </c>
      <c r="I45" s="247"/>
      <c r="J45" s="249" t="s">
        <v>708</v>
      </c>
      <c r="K45" s="250">
        <f>ROUND(Tableau16[[#This Row],[LEN]]*7.27,0)</f>
        <v>189</v>
      </c>
      <c r="L45" s="250">
        <v>15</v>
      </c>
      <c r="M45" s="251" t="str">
        <f t="shared" si="0"/>
        <v>none</v>
      </c>
      <c r="N45" s="250">
        <f>LEN(Tableau16[[#This Row],[LABEL]])</f>
        <v>26</v>
      </c>
      <c r="O45" s="250">
        <v>15</v>
      </c>
      <c r="P45" s="250" t="e">
        <f>ROUND(Tableau16[[#This Row],[LEN]]*#REF!+#REF!,0)</f>
        <v>#REF!</v>
      </c>
    </row>
    <row r="46" spans="1:16" x14ac:dyDescent="0.25">
      <c r="A46" s="14" t="s">
        <v>942</v>
      </c>
      <c r="B46" s="15" t="s">
        <v>220</v>
      </c>
      <c r="C46" s="16" t="s">
        <v>939</v>
      </c>
      <c r="D46" s="67" t="s">
        <v>1177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105">
        <f>ROUND(Tableau16[[#This Row],[LEN]]*7.27,0)</f>
        <v>182</v>
      </c>
      <c r="L46" s="105">
        <v>15</v>
      </c>
      <c r="M46" s="123" t="str">
        <f t="shared" si="0"/>
        <v>none</v>
      </c>
      <c r="N46" s="105">
        <f>LEN(Tableau16[[#This Row],[LABEL]])</f>
        <v>25</v>
      </c>
      <c r="O46" s="105">
        <v>15</v>
      </c>
      <c r="P46" s="105" t="e">
        <f>ROUND(Tableau16[[#This Row],[LEN]]*#REF!+#REF!,0)</f>
        <v>#REF!</v>
      </c>
    </row>
    <row r="47" spans="1:16" x14ac:dyDescent="0.25">
      <c r="A47" s="14" t="s">
        <v>943</v>
      </c>
      <c r="B47" s="15" t="s">
        <v>220</v>
      </c>
      <c r="C47" s="16" t="s">
        <v>940</v>
      </c>
      <c r="D47" s="67" t="s">
        <v>1177</v>
      </c>
      <c r="E47" s="16" t="s">
        <v>670</v>
      </c>
      <c r="F47" s="16" t="s">
        <v>671</v>
      </c>
      <c r="G47" s="67" t="s">
        <v>70</v>
      </c>
      <c r="H47" s="67" t="s">
        <v>656</v>
      </c>
      <c r="I47" s="8"/>
      <c r="J47" s="9" t="s">
        <v>708</v>
      </c>
      <c r="K47" s="105">
        <f>ROUND(Tableau16[[#This Row],[LEN]]*7.27,0)</f>
        <v>182</v>
      </c>
      <c r="L47" s="105">
        <v>15</v>
      </c>
      <c r="M47" s="123" t="str">
        <f t="shared" si="0"/>
        <v>none</v>
      </c>
      <c r="N47" s="105">
        <f>LEN(Tableau16[[#This Row],[LABEL]])</f>
        <v>25</v>
      </c>
      <c r="O47" s="105">
        <v>15</v>
      </c>
      <c r="P47" s="105" t="e">
        <f>ROUND(Tableau16[[#This Row],[LEN]]*#REF!+#REF!,0)</f>
        <v>#REF!</v>
      </c>
    </row>
    <row r="48" spans="1:16" s="92" customFormat="1" x14ac:dyDescent="0.25">
      <c r="A48" s="245" t="s">
        <v>221</v>
      </c>
      <c r="B48" s="246" t="s">
        <v>204</v>
      </c>
      <c r="C48" s="247" t="s">
        <v>8</v>
      </c>
      <c r="D48" s="248" t="s">
        <v>1177</v>
      </c>
      <c r="E48" s="247" t="s">
        <v>671</v>
      </c>
      <c r="F48" s="247" t="s">
        <v>1177</v>
      </c>
      <c r="G48" s="248" t="s">
        <v>70</v>
      </c>
      <c r="H48" s="248" t="str">
        <f>IFERROR(IF(SEARCH(".00.00.00.00.00",Tableau16[[#This Row],[name]],1)=7,"Division",""),"")</f>
        <v>Division</v>
      </c>
      <c r="I48" s="247"/>
      <c r="J48" s="249" t="s">
        <v>708</v>
      </c>
      <c r="K48" s="250">
        <f>ROUND(Tableau16[[#This Row],[LEN]]*7.27,0)</f>
        <v>116</v>
      </c>
      <c r="L48" s="250">
        <v>15</v>
      </c>
      <c r="M48" s="251" t="str">
        <f t="shared" si="0"/>
        <v>none</v>
      </c>
      <c r="N48" s="250">
        <f>LEN(Tableau16[[#This Row],[LABEL]])</f>
        <v>16</v>
      </c>
      <c r="O48" s="250">
        <v>15</v>
      </c>
      <c r="P48" s="250" t="e">
        <f>ROUND(Tableau16[[#This Row],[LEN]]*#REF!+#REF!,0)</f>
        <v>#REF!</v>
      </c>
    </row>
    <row r="49" spans="1:16" x14ac:dyDescent="0.25">
      <c r="A49" s="14" t="s">
        <v>944</v>
      </c>
      <c r="B49" s="15" t="s">
        <v>221</v>
      </c>
      <c r="C49" s="16" t="s">
        <v>945</v>
      </c>
      <c r="D49" s="67" t="s">
        <v>1177</v>
      </c>
      <c r="E49" s="16" t="s">
        <v>671</v>
      </c>
      <c r="F49" s="16" t="s">
        <v>670</v>
      </c>
      <c r="G49" s="67" t="s">
        <v>70</v>
      </c>
      <c r="H49" s="67" t="s">
        <v>654</v>
      </c>
      <c r="I49" s="8"/>
      <c r="J49" s="9" t="s">
        <v>708</v>
      </c>
      <c r="K49" s="105">
        <f>ROUND(Tableau16[[#This Row],[LEN]]*7.27,0)</f>
        <v>371</v>
      </c>
      <c r="L49" s="105">
        <v>15</v>
      </c>
      <c r="M49" s="123" t="str">
        <f t="shared" si="0"/>
        <v>none</v>
      </c>
      <c r="N49" s="105">
        <f>LEN(Tableau16[[#This Row],[LABEL]])</f>
        <v>51</v>
      </c>
      <c r="O49" s="105">
        <v>15</v>
      </c>
      <c r="P49" s="105" t="e">
        <f>ROUND(Tableau16[[#This Row],[LEN]]*#REF!+#REF!,0)</f>
        <v>#REF!</v>
      </c>
    </row>
    <row r="50" spans="1:16" s="92" customFormat="1" x14ac:dyDescent="0.25">
      <c r="A50" s="245" t="s">
        <v>222</v>
      </c>
      <c r="B50" s="246" t="s">
        <v>204</v>
      </c>
      <c r="C50" s="247" t="s">
        <v>9</v>
      </c>
      <c r="D50" s="248" t="s">
        <v>1177</v>
      </c>
      <c r="E50" s="247" t="s">
        <v>672</v>
      </c>
      <c r="F50" s="247" t="s">
        <v>1177</v>
      </c>
      <c r="G50" s="248" t="s">
        <v>70</v>
      </c>
      <c r="H50" s="248" t="str">
        <f>IFERROR(IF(SEARCH(".00.00.00.00.00",Tableau16[[#This Row],[name]],1)=7,"Division",""),"")</f>
        <v>Division</v>
      </c>
      <c r="I50" s="247"/>
      <c r="J50" s="249" t="s">
        <v>718</v>
      </c>
      <c r="K50" s="250">
        <f>ROUND(Tableau16[[#This Row],[LEN]]*7.27,0)</f>
        <v>80</v>
      </c>
      <c r="L50" s="250">
        <v>15</v>
      </c>
      <c r="M50" s="251" t="str">
        <f t="shared" si="0"/>
        <v>new</v>
      </c>
      <c r="N50" s="250">
        <f>LEN(Tableau16[[#This Row],[LABEL]])</f>
        <v>11</v>
      </c>
      <c r="O50" s="250">
        <v>15</v>
      </c>
      <c r="P50" s="250" t="e">
        <f>ROUND(Tableau16[[#This Row],[LEN]]*#REF!+#REF!,0)</f>
        <v>#REF!</v>
      </c>
    </row>
    <row r="51" spans="1:16" x14ac:dyDescent="0.25">
      <c r="A51" s="14" t="s">
        <v>363</v>
      </c>
      <c r="B51" s="15" t="s">
        <v>222</v>
      </c>
      <c r="C51" s="8" t="s">
        <v>64</v>
      </c>
      <c r="D51" s="67" t="s">
        <v>1177</v>
      </c>
      <c r="E51" s="16" t="s">
        <v>662</v>
      </c>
      <c r="F51" s="8" t="s">
        <v>1956</v>
      </c>
      <c r="G51" s="67" t="s">
        <v>70</v>
      </c>
      <c r="H51" s="67" t="s">
        <v>17</v>
      </c>
      <c r="I51" s="8"/>
      <c r="J51" s="9" t="s">
        <v>708</v>
      </c>
      <c r="K51" s="105">
        <f>ROUND(Tableau16[[#This Row],[LEN]]*7.27,0)</f>
        <v>291</v>
      </c>
      <c r="L51" s="105">
        <v>15</v>
      </c>
      <c r="M51" s="123" t="str">
        <f t="shared" si="0"/>
        <v>none</v>
      </c>
      <c r="N51" s="105">
        <f>LEN(Tableau16[[#This Row],[LABEL]])</f>
        <v>40</v>
      </c>
      <c r="O51" s="105">
        <v>15</v>
      </c>
      <c r="P51" s="105" t="e">
        <f>ROUND(Tableau16[[#This Row],[LEN]]*#REF!+#REF!,0)</f>
        <v>#REF!</v>
      </c>
    </row>
    <row r="52" spans="1:16" x14ac:dyDescent="0.25">
      <c r="A52" s="14" t="s">
        <v>364</v>
      </c>
      <c r="B52" s="15" t="s">
        <v>222</v>
      </c>
      <c r="C52" s="8" t="s">
        <v>65</v>
      </c>
      <c r="D52" s="67" t="s">
        <v>1177</v>
      </c>
      <c r="E52" s="16" t="s">
        <v>662</v>
      </c>
      <c r="F52" s="8" t="s">
        <v>1957</v>
      </c>
      <c r="G52" s="67" t="s">
        <v>70</v>
      </c>
      <c r="H52" s="67" t="s">
        <v>17</v>
      </c>
      <c r="I52" s="8"/>
      <c r="J52" s="9" t="s">
        <v>708</v>
      </c>
      <c r="K52" s="105">
        <f>ROUND(Tableau16[[#This Row],[LEN]]*7.27,0)</f>
        <v>291</v>
      </c>
      <c r="L52" s="105">
        <v>15</v>
      </c>
      <c r="M52" s="123" t="str">
        <f t="shared" si="0"/>
        <v>none</v>
      </c>
      <c r="N52" s="105">
        <f>LEN(Tableau16[[#This Row],[LABEL]])</f>
        <v>40</v>
      </c>
      <c r="O52" s="105">
        <v>15</v>
      </c>
      <c r="P52" s="105" t="e">
        <f>ROUND(Tableau16[[#This Row],[LEN]]*#REF!+#REF!,0)</f>
        <v>#REF!</v>
      </c>
    </row>
    <row r="53" spans="1:16" s="92" customFormat="1" x14ac:dyDescent="0.25">
      <c r="A53" s="245" t="s">
        <v>223</v>
      </c>
      <c r="B53" s="246" t="s">
        <v>204</v>
      </c>
      <c r="C53" s="247" t="s">
        <v>10</v>
      </c>
      <c r="D53" s="248" t="s">
        <v>1177</v>
      </c>
      <c r="E53" s="247" t="s">
        <v>673</v>
      </c>
      <c r="F53" s="247" t="s">
        <v>1177</v>
      </c>
      <c r="G53" s="248" t="s">
        <v>70</v>
      </c>
      <c r="H53" s="248" t="str">
        <f>IFERROR(IF(SEARCH(".00.00.00.00.00",Tableau16[[#This Row],[name]],1)=7,"Division",""),"")</f>
        <v>Division</v>
      </c>
      <c r="I53" s="247"/>
      <c r="J53" s="249" t="s">
        <v>719</v>
      </c>
      <c r="K53" s="250">
        <f>ROUND(Tableau16[[#This Row],[LEN]]*7.27,0)</f>
        <v>109</v>
      </c>
      <c r="L53" s="250">
        <v>15</v>
      </c>
      <c r="M53" s="251" t="str">
        <f t="shared" si="0"/>
        <v>new</v>
      </c>
      <c r="N53" s="250">
        <f>LEN(Tableau16[[#This Row],[LABEL]])</f>
        <v>15</v>
      </c>
      <c r="O53" s="250">
        <v>15</v>
      </c>
      <c r="P53" s="250" t="e">
        <f>ROUND(Tableau16[[#This Row],[LEN]]*#REF!+#REF!,0)</f>
        <v>#REF!</v>
      </c>
    </row>
    <row r="54" spans="1:16" x14ac:dyDescent="0.25">
      <c r="A54" s="14" t="s">
        <v>946</v>
      </c>
      <c r="B54" s="15" t="s">
        <v>223</v>
      </c>
      <c r="C54" s="8" t="s">
        <v>64</v>
      </c>
      <c r="D54" s="67" t="s">
        <v>1177</v>
      </c>
      <c r="E54" s="16" t="s">
        <v>662</v>
      </c>
      <c r="F54" s="8" t="s">
        <v>1956</v>
      </c>
      <c r="G54" s="67" t="s">
        <v>70</v>
      </c>
      <c r="H54" s="67" t="s">
        <v>17</v>
      </c>
      <c r="I54" s="8"/>
      <c r="J54" s="9" t="s">
        <v>708</v>
      </c>
      <c r="K54" s="105">
        <f>ROUND(Tableau16[[#This Row],[LEN]]*7.27,0)</f>
        <v>291</v>
      </c>
      <c r="L54" s="105">
        <v>15</v>
      </c>
      <c r="M54" s="123" t="str">
        <f t="shared" si="0"/>
        <v>none</v>
      </c>
      <c r="N54" s="105">
        <f>LEN(Tableau16[[#This Row],[LABEL]])</f>
        <v>40</v>
      </c>
      <c r="O54" s="105">
        <v>15</v>
      </c>
      <c r="P54" s="105" t="e">
        <f>ROUND(Tableau16[[#This Row],[LEN]]*#REF!+#REF!,0)</f>
        <v>#REF!</v>
      </c>
    </row>
    <row r="55" spans="1:16" x14ac:dyDescent="0.25">
      <c r="A55" s="14" t="s">
        <v>947</v>
      </c>
      <c r="B55" s="15" t="s">
        <v>223</v>
      </c>
      <c r="C55" s="8" t="s">
        <v>65</v>
      </c>
      <c r="D55" s="67" t="s">
        <v>1177</v>
      </c>
      <c r="E55" s="16" t="s">
        <v>662</v>
      </c>
      <c r="F55" s="8" t="s">
        <v>1957</v>
      </c>
      <c r="G55" s="67" t="s">
        <v>70</v>
      </c>
      <c r="H55" s="67" t="s">
        <v>17</v>
      </c>
      <c r="I55" s="8"/>
      <c r="J55" s="9" t="s">
        <v>708</v>
      </c>
      <c r="K55" s="105">
        <f>ROUND(Tableau16[[#This Row],[LEN]]*7.27,0)</f>
        <v>291</v>
      </c>
      <c r="L55" s="105">
        <v>15</v>
      </c>
      <c r="M55" s="123" t="str">
        <f t="shared" si="0"/>
        <v>none</v>
      </c>
      <c r="N55" s="105">
        <f>LEN(Tableau16[[#This Row],[LABEL]])</f>
        <v>40</v>
      </c>
      <c r="O55" s="105">
        <v>15</v>
      </c>
      <c r="P55" s="105" t="e">
        <f>ROUND(Tableau16[[#This Row],[LEN]]*#REF!+#REF!,0)</f>
        <v>#REF!</v>
      </c>
    </row>
    <row r="56" spans="1:16" s="92" customFormat="1" x14ac:dyDescent="0.25">
      <c r="A56" s="245" t="s">
        <v>224</v>
      </c>
      <c r="B56" s="246" t="s">
        <v>204</v>
      </c>
      <c r="C56" s="247" t="s">
        <v>11</v>
      </c>
      <c r="D56" s="248" t="s">
        <v>1177</v>
      </c>
      <c r="E56" s="247" t="s">
        <v>674</v>
      </c>
      <c r="F56" s="247" t="s">
        <v>1177</v>
      </c>
      <c r="G56" s="248" t="s">
        <v>70</v>
      </c>
      <c r="H56" s="248" t="str">
        <f>IFERROR(IF(SEARCH(".00.00.00.00.00",Tableau16[[#This Row],[name]],1)=7,"Division",""),"")</f>
        <v>Division</v>
      </c>
      <c r="I56" s="247"/>
      <c r="J56" s="249" t="s">
        <v>720</v>
      </c>
      <c r="K56" s="250">
        <f>ROUND(Tableau16[[#This Row],[LEN]]*7.27,0)</f>
        <v>51</v>
      </c>
      <c r="L56" s="250">
        <v>15</v>
      </c>
      <c r="M56" s="251" t="str">
        <f t="shared" si="0"/>
        <v>new</v>
      </c>
      <c r="N56" s="250">
        <f>LEN(Tableau16[[#This Row],[LABEL]])</f>
        <v>7</v>
      </c>
      <c r="O56" s="250">
        <v>15</v>
      </c>
      <c r="P56" s="250" t="e">
        <f>ROUND(Tableau16[[#This Row],[LEN]]*#REF!+#REF!,0)</f>
        <v>#REF!</v>
      </c>
    </row>
    <row r="57" spans="1:16" x14ac:dyDescent="0.25">
      <c r="A57" s="14" t="s">
        <v>949</v>
      </c>
      <c r="B57" s="15" t="s">
        <v>224</v>
      </c>
      <c r="C57" s="16" t="s">
        <v>948</v>
      </c>
      <c r="D57" s="67" t="s">
        <v>1177</v>
      </c>
      <c r="E57" s="16" t="s">
        <v>667</v>
      </c>
      <c r="F57" s="16" t="s">
        <v>1177</v>
      </c>
      <c r="G57" s="67" t="s">
        <v>70</v>
      </c>
      <c r="H57" s="67" t="s">
        <v>17</v>
      </c>
      <c r="I57" s="8"/>
      <c r="J57" s="9" t="s">
        <v>708</v>
      </c>
      <c r="K57" s="105">
        <f>ROUND(Tableau16[[#This Row],[LEN]]*7.27,0)</f>
        <v>276</v>
      </c>
      <c r="L57" s="105">
        <v>15</v>
      </c>
      <c r="M57" s="123" t="str">
        <f t="shared" si="0"/>
        <v>none</v>
      </c>
      <c r="N57" s="105">
        <f>LEN(Tableau16[[#This Row],[LABEL]])</f>
        <v>38</v>
      </c>
      <c r="O57" s="105">
        <v>15</v>
      </c>
      <c r="P57" s="105" t="e">
        <f>ROUND(Tableau16[[#This Row],[LEN]]*#REF!+#REF!,0)</f>
        <v>#REF!</v>
      </c>
    </row>
    <row r="58" spans="1:16" s="92" customFormat="1" x14ac:dyDescent="0.25">
      <c r="A58" s="245" t="s">
        <v>225</v>
      </c>
      <c r="B58" s="246" t="s">
        <v>204</v>
      </c>
      <c r="C58" s="247" t="s">
        <v>12</v>
      </c>
      <c r="D58" s="248" t="s">
        <v>1177</v>
      </c>
      <c r="E58" s="247" t="s">
        <v>675</v>
      </c>
      <c r="F58" s="247" t="s">
        <v>1177</v>
      </c>
      <c r="G58" s="248" t="s">
        <v>70</v>
      </c>
      <c r="H58" s="248" t="str">
        <f>IFERROR(IF(SEARCH(".00.00.00.00.00",Tableau16[[#This Row],[name]],1)=7,"Division",""),"")</f>
        <v>Division</v>
      </c>
      <c r="I58" s="247"/>
      <c r="J58" s="249" t="s">
        <v>721</v>
      </c>
      <c r="K58" s="250">
        <f>ROUND(Tableau16[[#This Row],[LEN]]*7.27,0)</f>
        <v>15</v>
      </c>
      <c r="L58" s="250">
        <v>15</v>
      </c>
      <c r="M58" s="251" t="str">
        <f t="shared" si="0"/>
        <v>new</v>
      </c>
      <c r="N58" s="250">
        <f>LEN(Tableau16[[#This Row],[LABEL]])</f>
        <v>2</v>
      </c>
      <c r="O58" s="250">
        <v>15</v>
      </c>
      <c r="P58" s="250" t="e">
        <f>ROUND(Tableau16[[#This Row],[LEN]]*#REF!+#REF!,0)</f>
        <v>#REF!</v>
      </c>
    </row>
    <row r="59" spans="1:16" x14ac:dyDescent="0.25">
      <c r="A59" s="14" t="s">
        <v>950</v>
      </c>
      <c r="B59" s="14" t="s">
        <v>225</v>
      </c>
      <c r="C59" s="8" t="s">
        <v>65</v>
      </c>
      <c r="D59" s="67" t="s">
        <v>1177</v>
      </c>
      <c r="E59" s="16" t="s">
        <v>662</v>
      </c>
      <c r="F59" s="8" t="s">
        <v>1957</v>
      </c>
      <c r="G59" s="67" t="s">
        <v>70</v>
      </c>
      <c r="H59" s="67" t="s">
        <v>17</v>
      </c>
      <c r="I59" s="8"/>
      <c r="J59" s="9" t="s">
        <v>708</v>
      </c>
      <c r="K59" s="105">
        <f>ROUND(Tableau16[[#This Row],[LEN]]*7.27,0)</f>
        <v>291</v>
      </c>
      <c r="L59" s="105">
        <v>15</v>
      </c>
      <c r="M59" s="123" t="str">
        <f t="shared" si="0"/>
        <v>none</v>
      </c>
      <c r="N59" s="105">
        <f>LEN(Tableau16[[#This Row],[LABEL]])</f>
        <v>40</v>
      </c>
      <c r="O59" s="105">
        <v>15</v>
      </c>
      <c r="P59" s="105" t="e">
        <f>ROUND(Tableau16[[#This Row],[LEN]]*#REF!+#REF!,0)</f>
        <v>#REF!</v>
      </c>
    </row>
    <row r="60" spans="1:16" x14ac:dyDescent="0.25">
      <c r="A60" s="14" t="s">
        <v>951</v>
      </c>
      <c r="B60" s="14" t="s">
        <v>225</v>
      </c>
      <c r="C60" s="16" t="s">
        <v>72</v>
      </c>
      <c r="D60" s="67" t="s">
        <v>1177</v>
      </c>
      <c r="E60" s="16" t="s">
        <v>662</v>
      </c>
      <c r="F60" s="8" t="s">
        <v>2075</v>
      </c>
      <c r="G60" s="67" t="s">
        <v>70</v>
      </c>
      <c r="H60" s="67" t="s">
        <v>654</v>
      </c>
      <c r="I60" s="8"/>
      <c r="J60" s="9" t="s">
        <v>708</v>
      </c>
      <c r="K60" s="105">
        <f>ROUND(Tableau16[[#This Row],[LEN]]*7.27,0)</f>
        <v>400</v>
      </c>
      <c r="L60" s="105">
        <v>15</v>
      </c>
      <c r="M60" s="123" t="str">
        <f t="shared" si="0"/>
        <v>none</v>
      </c>
      <c r="N60" s="105">
        <f>LEN(Tableau16[[#This Row],[LABEL]])</f>
        <v>55</v>
      </c>
      <c r="O60" s="105">
        <v>15</v>
      </c>
      <c r="P60" s="105" t="e">
        <f>ROUND(Tableau16[[#This Row],[LEN]]*#REF!+#REF!,0)</f>
        <v>#REF!</v>
      </c>
    </row>
    <row r="61" spans="1:16" s="92" customFormat="1" x14ac:dyDescent="0.25">
      <c r="A61" s="245" t="s">
        <v>228</v>
      </c>
      <c r="B61" s="246" t="s">
        <v>204</v>
      </c>
      <c r="C61" s="247" t="s">
        <v>14</v>
      </c>
      <c r="D61" s="248" t="s">
        <v>1177</v>
      </c>
      <c r="E61" s="247" t="s">
        <v>678</v>
      </c>
      <c r="F61" s="247" t="s">
        <v>1177</v>
      </c>
      <c r="G61" s="248" t="s">
        <v>70</v>
      </c>
      <c r="H61" s="248" t="str">
        <f>IFERROR(IF(SEARCH(".00.00.00.00.00",Tableau16[[#This Row],[name]],1)=7,"Division",""),"")</f>
        <v>Division</v>
      </c>
      <c r="I61" s="247"/>
      <c r="J61" s="249" t="s">
        <v>724</v>
      </c>
      <c r="K61" s="250">
        <f>ROUND(Tableau16[[#This Row],[LEN]]*7.27,0)</f>
        <v>240</v>
      </c>
      <c r="L61" s="250">
        <v>15</v>
      </c>
      <c r="M61" s="251" t="str">
        <f t="shared" si="0"/>
        <v>new</v>
      </c>
      <c r="N61" s="250">
        <f>LEN(Tableau16[[#This Row],[LABEL]])</f>
        <v>33</v>
      </c>
      <c r="O61" s="250">
        <v>15</v>
      </c>
      <c r="P61" s="250" t="e">
        <f>ROUND(Tableau16[[#This Row],[LEN]]*#REF!+#REF!,0)</f>
        <v>#REF!</v>
      </c>
    </row>
    <row r="62" spans="1:16" x14ac:dyDescent="0.25">
      <c r="A62" s="14" t="s">
        <v>952</v>
      </c>
      <c r="B62" s="14" t="s">
        <v>228</v>
      </c>
      <c r="C62" s="8" t="s">
        <v>64</v>
      </c>
      <c r="D62" s="67" t="s">
        <v>1177</v>
      </c>
      <c r="E62" s="16" t="s">
        <v>662</v>
      </c>
      <c r="F62" s="8" t="s">
        <v>1956</v>
      </c>
      <c r="G62" s="67" t="s">
        <v>70</v>
      </c>
      <c r="H62" s="67" t="s">
        <v>17</v>
      </c>
      <c r="I62" s="8"/>
      <c r="J62" s="9" t="s">
        <v>708</v>
      </c>
      <c r="K62" s="105">
        <f>ROUND(Tableau16[[#This Row],[LEN]]*7.27,0)</f>
        <v>291</v>
      </c>
      <c r="L62" s="105">
        <v>15</v>
      </c>
      <c r="M62" s="123" t="str">
        <f t="shared" si="0"/>
        <v>none</v>
      </c>
      <c r="N62" s="105">
        <f>LEN(Tableau16[[#This Row],[LABEL]])</f>
        <v>40</v>
      </c>
      <c r="O62" s="105">
        <v>15</v>
      </c>
      <c r="P62" s="105" t="e">
        <f>ROUND(Tableau16[[#This Row],[LEN]]*#REF!+#REF!,0)</f>
        <v>#REF!</v>
      </c>
    </row>
    <row r="63" spans="1:16" x14ac:dyDescent="0.25">
      <c r="A63" s="14" t="s">
        <v>953</v>
      </c>
      <c r="B63" s="14" t="s">
        <v>228</v>
      </c>
      <c r="C63" s="16" t="s">
        <v>927</v>
      </c>
      <c r="D63" s="67" t="s">
        <v>1177</v>
      </c>
      <c r="E63" s="16" t="s">
        <v>667</v>
      </c>
      <c r="F63" s="16" t="s">
        <v>2076</v>
      </c>
      <c r="G63" s="67" t="s">
        <v>70</v>
      </c>
      <c r="H63" s="67" t="s">
        <v>656</v>
      </c>
      <c r="I63" s="8"/>
      <c r="J63" s="9" t="s">
        <v>708</v>
      </c>
      <c r="K63" s="105">
        <f>ROUND(Tableau16[[#This Row],[LEN]]*7.27,0)</f>
        <v>298</v>
      </c>
      <c r="L63" s="105">
        <v>15</v>
      </c>
      <c r="M63" s="123" t="str">
        <f t="shared" si="0"/>
        <v>none</v>
      </c>
      <c r="N63" s="105">
        <f>LEN(Tableau16[[#This Row],[LABEL]])</f>
        <v>41</v>
      </c>
      <c r="O63" s="105">
        <v>15</v>
      </c>
      <c r="P63" s="105" t="e">
        <f>ROUND(Tableau16[[#This Row],[LEN]]*#REF!+#REF!,0)</f>
        <v>#REF!</v>
      </c>
    </row>
    <row r="64" spans="1:16" x14ac:dyDescent="0.25">
      <c r="A64" s="14" t="s">
        <v>954</v>
      </c>
      <c r="B64" s="14" t="s">
        <v>228</v>
      </c>
      <c r="C64" s="8" t="s">
        <v>65</v>
      </c>
      <c r="D64" s="67" t="s">
        <v>1177</v>
      </c>
      <c r="E64" s="16" t="s">
        <v>662</v>
      </c>
      <c r="F64" s="8" t="s">
        <v>1957</v>
      </c>
      <c r="G64" s="67" t="s">
        <v>70</v>
      </c>
      <c r="H64" s="67" t="s">
        <v>17</v>
      </c>
      <c r="I64" s="8"/>
      <c r="J64" s="9" t="s">
        <v>708</v>
      </c>
      <c r="K64" s="105">
        <f>ROUND(Tableau16[[#This Row],[LEN]]*7.27,0)</f>
        <v>291</v>
      </c>
      <c r="L64" s="105">
        <v>15</v>
      </c>
      <c r="M64" s="123" t="str">
        <f t="shared" si="0"/>
        <v>none</v>
      </c>
      <c r="N64" s="105">
        <f>LEN(Tableau16[[#This Row],[LABEL]])</f>
        <v>40</v>
      </c>
      <c r="O64" s="105">
        <v>15</v>
      </c>
      <c r="P64" s="105" t="e">
        <f>ROUND(Tableau16[[#This Row],[LEN]]*#REF!+#REF!,0)</f>
        <v>#REF!</v>
      </c>
    </row>
    <row r="65" spans="1:16" x14ac:dyDescent="0.25">
      <c r="A65" s="14" t="s">
        <v>955</v>
      </c>
      <c r="B65" s="14" t="s">
        <v>228</v>
      </c>
      <c r="C65" s="16" t="s">
        <v>72</v>
      </c>
      <c r="D65" s="67" t="s">
        <v>1177</v>
      </c>
      <c r="E65" s="16" t="s">
        <v>662</v>
      </c>
      <c r="F65" s="8" t="s">
        <v>2075</v>
      </c>
      <c r="G65" s="67" t="s">
        <v>70</v>
      </c>
      <c r="H65" s="67" t="s">
        <v>654</v>
      </c>
      <c r="I65" s="8"/>
      <c r="J65" s="9" t="s">
        <v>708</v>
      </c>
      <c r="K65" s="105">
        <f>ROUND(Tableau16[[#This Row],[LEN]]*7.27,0)</f>
        <v>400</v>
      </c>
      <c r="L65" s="105">
        <v>15</v>
      </c>
      <c r="M65" s="123" t="str">
        <f t="shared" si="0"/>
        <v>none</v>
      </c>
      <c r="N65" s="105">
        <f>LEN(Tableau16[[#This Row],[LABEL]])</f>
        <v>55</v>
      </c>
      <c r="O65" s="105">
        <v>15</v>
      </c>
      <c r="P65" s="105" t="e">
        <f>ROUND(Tableau16[[#This Row],[LEN]]*#REF!+#REF!,0)</f>
        <v>#REF!</v>
      </c>
    </row>
    <row r="66" spans="1:16" x14ac:dyDescent="0.25">
      <c r="A66" s="14" t="s">
        <v>956</v>
      </c>
      <c r="B66" s="14" t="s">
        <v>228</v>
      </c>
      <c r="C66" s="16" t="s">
        <v>930</v>
      </c>
      <c r="D66" s="67" t="s">
        <v>1177</v>
      </c>
      <c r="E66" s="16" t="s">
        <v>678</v>
      </c>
      <c r="F66" s="16" t="s">
        <v>1177</v>
      </c>
      <c r="G66" s="67" t="s">
        <v>70</v>
      </c>
      <c r="H66" s="67" t="s">
        <v>654</v>
      </c>
      <c r="I66" s="8"/>
      <c r="J66" s="9" t="s">
        <v>706</v>
      </c>
      <c r="K66" s="105">
        <f>ROUND(Tableau16[[#This Row],[LEN]]*7.27,0)</f>
        <v>465</v>
      </c>
      <c r="L66" s="105">
        <v>15</v>
      </c>
      <c r="M66" s="123" t="str">
        <f t="shared" si="0"/>
        <v>new</v>
      </c>
      <c r="N66" s="105">
        <f>LEN(Tableau16[[#This Row],[LABEL]])</f>
        <v>64</v>
      </c>
      <c r="O66" s="105">
        <v>15</v>
      </c>
      <c r="P66" s="105" t="e">
        <f>ROUND(Tableau16[[#This Row],[LEN]]*#REF!+#REF!,0)</f>
        <v>#REF!</v>
      </c>
    </row>
    <row r="67" spans="1:16" s="92" customFormat="1" x14ac:dyDescent="0.25">
      <c r="A67" s="245" t="s">
        <v>229</v>
      </c>
      <c r="B67" s="246" t="s">
        <v>204</v>
      </c>
      <c r="C67" s="247" t="s">
        <v>1950</v>
      </c>
      <c r="D67" s="248" t="s">
        <v>1177</v>
      </c>
      <c r="E67" s="247" t="s">
        <v>1951</v>
      </c>
      <c r="F67" s="247" t="s">
        <v>1177</v>
      </c>
      <c r="G67" s="248" t="s">
        <v>70</v>
      </c>
      <c r="H67" s="248" t="s">
        <v>56</v>
      </c>
      <c r="I67" s="247"/>
      <c r="J67" s="249" t="s">
        <v>708</v>
      </c>
      <c r="K67" s="250">
        <f>ROUND(Tableau16[[#This Row],[LEN]]*7.27,0)</f>
        <v>51</v>
      </c>
      <c r="L67" s="250">
        <v>15</v>
      </c>
      <c r="M67" s="251" t="str">
        <f t="shared" si="0"/>
        <v>none</v>
      </c>
      <c r="N67" s="250">
        <f>LEN(Tableau16[[#This Row],[LABEL]])</f>
        <v>7</v>
      </c>
      <c r="O67" s="250">
        <v>15</v>
      </c>
      <c r="P67" s="250" t="e">
        <f>ROUND(Tableau16[[#This Row],[LEN]]*#REF!+#REF!,0)</f>
        <v>#REF!</v>
      </c>
    </row>
    <row r="68" spans="1:16" x14ac:dyDescent="0.25">
      <c r="A68" s="14" t="s">
        <v>1952</v>
      </c>
      <c r="B68" s="14" t="s">
        <v>229</v>
      </c>
      <c r="C68" s="8" t="s">
        <v>64</v>
      </c>
      <c r="D68" s="67" t="s">
        <v>1177</v>
      </c>
      <c r="E68" s="16" t="s">
        <v>662</v>
      </c>
      <c r="F68" s="8" t="s">
        <v>1956</v>
      </c>
      <c r="G68" s="67" t="s">
        <v>70</v>
      </c>
      <c r="H68" s="67" t="s">
        <v>17</v>
      </c>
      <c r="I68" s="8"/>
      <c r="J68" s="9" t="s">
        <v>708</v>
      </c>
      <c r="K68" s="105">
        <f>ROUND(Tableau16[[#This Row],[LEN]]*7.27,0)</f>
        <v>291</v>
      </c>
      <c r="L68" s="105">
        <v>15</v>
      </c>
      <c r="M68" s="123" t="str">
        <f t="shared" si="0"/>
        <v>none</v>
      </c>
      <c r="N68" s="105">
        <f>LEN(Tableau16[[#This Row],[LABEL]])</f>
        <v>40</v>
      </c>
      <c r="O68" s="105">
        <v>15</v>
      </c>
      <c r="P68" s="105" t="e">
        <f>ROUND(Tableau16[[#This Row],[LEN]]*#REF!+#REF!,0)</f>
        <v>#REF!</v>
      </c>
    </row>
    <row r="69" spans="1:16" x14ac:dyDescent="0.25">
      <c r="A69" s="14" t="s">
        <v>1953</v>
      </c>
      <c r="B69" s="14" t="s">
        <v>229</v>
      </c>
      <c r="C69" s="8" t="s">
        <v>65</v>
      </c>
      <c r="D69" s="67" t="s">
        <v>1177</v>
      </c>
      <c r="E69" s="16" t="s">
        <v>662</v>
      </c>
      <c r="F69" s="8" t="s">
        <v>1957</v>
      </c>
      <c r="G69" s="67" t="s">
        <v>70</v>
      </c>
      <c r="H69" s="67" t="s">
        <v>17</v>
      </c>
      <c r="I69" s="8"/>
      <c r="J69" s="9" t="s">
        <v>708</v>
      </c>
      <c r="K69" s="105">
        <f>ROUND(Tableau16[[#This Row],[LEN]]*7.27,0)</f>
        <v>291</v>
      </c>
      <c r="L69" s="105">
        <v>15</v>
      </c>
      <c r="M69" s="123" t="str">
        <f t="shared" si="0"/>
        <v>none</v>
      </c>
      <c r="N69" s="105">
        <f>LEN(Tableau16[[#This Row],[LABEL]])</f>
        <v>40</v>
      </c>
      <c r="O69" s="105">
        <v>15</v>
      </c>
      <c r="P69" s="105" t="e">
        <f>ROUND(Tableau16[[#This Row],[LEN]]*#REF!+#REF!,0)</f>
        <v>#REF!</v>
      </c>
    </row>
    <row r="70" spans="1:16" x14ac:dyDescent="0.25">
      <c r="A70" s="14" t="s">
        <v>1954</v>
      </c>
      <c r="B70" s="14" t="s">
        <v>229</v>
      </c>
      <c r="C70" s="16" t="s">
        <v>1958</v>
      </c>
      <c r="D70" s="67" t="s">
        <v>1177</v>
      </c>
      <c r="E70" s="16" t="s">
        <v>1951</v>
      </c>
      <c r="F70" s="16" t="s">
        <v>1177</v>
      </c>
      <c r="G70" s="67" t="s">
        <v>70</v>
      </c>
      <c r="H70" s="67" t="s">
        <v>570</v>
      </c>
      <c r="I70" s="8"/>
      <c r="J70" s="9" t="s">
        <v>708</v>
      </c>
      <c r="K70" s="105">
        <f>ROUND(Tableau16[[#This Row],[LEN]]*7.27,0)</f>
        <v>320</v>
      </c>
      <c r="L70" s="105">
        <v>15</v>
      </c>
      <c r="M70" s="123" t="str">
        <f t="shared" si="0"/>
        <v>none</v>
      </c>
      <c r="N70" s="105">
        <f>LEN(Tableau16[[#This Row],[LABEL]])</f>
        <v>44</v>
      </c>
      <c r="O70" s="105">
        <v>15</v>
      </c>
      <c r="P70" s="105" t="e">
        <f>ROUND(Tableau16[[#This Row],[LEN]]*#REF!+#REF!,0)</f>
        <v>#REF!</v>
      </c>
    </row>
    <row r="71" spans="1:16" ht="15.75" thickBot="1" x14ac:dyDescent="0.3">
      <c r="A71" s="14" t="s">
        <v>1955</v>
      </c>
      <c r="B71" s="14" t="s">
        <v>229</v>
      </c>
      <c r="C71" s="16" t="s">
        <v>72</v>
      </c>
      <c r="D71" s="67" t="s">
        <v>1177</v>
      </c>
      <c r="E71" s="16" t="s">
        <v>662</v>
      </c>
      <c r="F71" s="8" t="s">
        <v>2075</v>
      </c>
      <c r="G71" s="67" t="s">
        <v>70</v>
      </c>
      <c r="H71" s="67" t="s">
        <v>654</v>
      </c>
      <c r="I71" s="8"/>
      <c r="J71" s="9" t="s">
        <v>708</v>
      </c>
      <c r="K71" s="105">
        <f>ROUND(Tableau16[[#This Row],[LEN]]*7.27,0)</f>
        <v>400</v>
      </c>
      <c r="L71" s="105">
        <v>15</v>
      </c>
      <c r="M71" s="123" t="str">
        <f t="shared" si="0"/>
        <v>none</v>
      </c>
      <c r="N71" s="105">
        <f>LEN(Tableau16[[#This Row],[LABEL]])</f>
        <v>55</v>
      </c>
      <c r="O71" s="105">
        <v>15</v>
      </c>
      <c r="P71" s="105" t="e">
        <f>ROUND(Tableau16[[#This Row],[LEN]]*#REF!+#REF!,0)</f>
        <v>#REF!</v>
      </c>
    </row>
    <row r="72" spans="1:16" ht="15.75" thickTop="1" x14ac:dyDescent="0.25">
      <c r="A72" s="156" t="s">
        <v>200</v>
      </c>
      <c r="B72" s="156" t="s">
        <v>198</v>
      </c>
      <c r="C72" s="157" t="s">
        <v>1159</v>
      </c>
      <c r="D72" s="157" t="s">
        <v>181</v>
      </c>
      <c r="E72" s="158" t="s">
        <v>1177</v>
      </c>
      <c r="F72" s="157" t="s">
        <v>1084</v>
      </c>
      <c r="G72" s="158" t="s">
        <v>171</v>
      </c>
      <c r="H72" s="158" t="s">
        <v>615</v>
      </c>
      <c r="I72" s="157"/>
      <c r="J72" s="159" t="s">
        <v>707</v>
      </c>
      <c r="K72" s="160">
        <f>ROUND(Tableau16[[#This Row],[LEN]]*7.27,0)</f>
        <v>95</v>
      </c>
      <c r="L72" s="160">
        <v>15</v>
      </c>
      <c r="M72" s="161" t="str">
        <f t="shared" si="0"/>
        <v>new</v>
      </c>
      <c r="N72" s="160">
        <f>LEN(Tableau16[[#This Row],[LABEL]])</f>
        <v>13</v>
      </c>
      <c r="O72" s="162">
        <v>15</v>
      </c>
      <c r="P72" s="162" t="e">
        <f>ROUND(Tableau16[[#This Row],[LEN]]*#REF!+#REF!,0)</f>
        <v>#REF!</v>
      </c>
    </row>
    <row r="73" spans="1:16" ht="15.75" thickBot="1" x14ac:dyDescent="0.3">
      <c r="A73" s="163" t="s">
        <v>205</v>
      </c>
      <c r="B73" s="163" t="s">
        <v>200</v>
      </c>
      <c r="C73" s="164" t="s">
        <v>173</v>
      </c>
      <c r="D73" s="165" t="s">
        <v>185</v>
      </c>
      <c r="E73" s="164" t="s">
        <v>1177</v>
      </c>
      <c r="F73" s="165" t="s">
        <v>1177</v>
      </c>
      <c r="G73" s="164" t="s">
        <v>167</v>
      </c>
      <c r="H73" s="164" t="s">
        <v>616</v>
      </c>
      <c r="I73" s="165"/>
      <c r="J73" s="166" t="s">
        <v>708</v>
      </c>
      <c r="K73" s="167">
        <f>ROUND(Tableau16[[#This Row],[LEN]]*7.27,0)</f>
        <v>58</v>
      </c>
      <c r="L73" s="167">
        <v>15</v>
      </c>
      <c r="M73" s="168" t="str">
        <f t="shared" si="0"/>
        <v>none</v>
      </c>
      <c r="N73" s="167">
        <f>LEN(Tableau16[[#This Row],[LABEL]])</f>
        <v>8</v>
      </c>
      <c r="O73" s="169">
        <v>15</v>
      </c>
      <c r="P73" s="169" t="e">
        <f>ROUND(Tableau16[[#This Row],[LEN]]*#REF!+#REF!,0)</f>
        <v>#REF!</v>
      </c>
    </row>
    <row r="74" spans="1:16" s="92" customFormat="1" ht="15.75" thickTop="1" x14ac:dyDescent="0.25">
      <c r="A74" s="266" t="s">
        <v>231</v>
      </c>
      <c r="B74" s="267" t="s">
        <v>205</v>
      </c>
      <c r="C74" s="268" t="s">
        <v>57</v>
      </c>
      <c r="D74" s="269" t="s">
        <v>1177</v>
      </c>
      <c r="E74" s="268" t="s">
        <v>663</v>
      </c>
      <c r="F74" s="268" t="s">
        <v>1177</v>
      </c>
      <c r="G74" s="269" t="s">
        <v>167</v>
      </c>
      <c r="H74" s="269" t="str">
        <f>IFERROR(IF(SEARCH(".00.00.00.00.00",Tableau16[[#This Row],[name]],1)=7,"Division",""),"")</f>
        <v>Division</v>
      </c>
      <c r="I74" s="268"/>
      <c r="J74" s="270" t="s">
        <v>708</v>
      </c>
      <c r="K74" s="271">
        <f>ROUND(Tableau16[[#This Row],[LEN]]*7.27,0)</f>
        <v>102</v>
      </c>
      <c r="L74" s="271">
        <v>15</v>
      </c>
      <c r="M74" s="272" t="str">
        <f t="shared" si="0"/>
        <v>none</v>
      </c>
      <c r="N74" s="271">
        <f>LEN(Tableau16[[#This Row],[LABEL]])</f>
        <v>14</v>
      </c>
      <c r="O74" s="271">
        <v>15</v>
      </c>
      <c r="P74" s="271" t="e">
        <f>ROUND(Tableau16[[#This Row],[LEN]]*#REF!+#REF!,0)</f>
        <v>#REF!</v>
      </c>
    </row>
    <row r="75" spans="1:16" s="97" customFormat="1" x14ac:dyDescent="0.25">
      <c r="A75" s="17" t="s">
        <v>749</v>
      </c>
      <c r="B75" s="18" t="s">
        <v>231</v>
      </c>
      <c r="C75" s="19" t="s">
        <v>755</v>
      </c>
      <c r="D75" s="68" t="s">
        <v>1177</v>
      </c>
      <c r="E75" s="19" t="s">
        <v>663</v>
      </c>
      <c r="F75" s="19" t="s">
        <v>1177</v>
      </c>
      <c r="G75" s="68" t="s">
        <v>167</v>
      </c>
      <c r="H75" s="68" t="s">
        <v>570</v>
      </c>
      <c r="I75" s="19"/>
      <c r="J75" s="20" t="s">
        <v>708</v>
      </c>
      <c r="K75" s="107">
        <f>ROUND(Tableau16[[#This Row],[LEN]]*7.27,0)</f>
        <v>254</v>
      </c>
      <c r="L75" s="107">
        <v>15</v>
      </c>
      <c r="M75" s="125" t="str">
        <f t="shared" si="0"/>
        <v>none</v>
      </c>
      <c r="N75" s="107">
        <f>LEN(Tableau16[[#This Row],[LABEL]])</f>
        <v>35</v>
      </c>
      <c r="O75" s="107">
        <v>15</v>
      </c>
      <c r="P75" s="107" t="e">
        <f>ROUND(Tableau16[[#This Row],[LEN]]*#REF!+#REF!,0)</f>
        <v>#REF!</v>
      </c>
    </row>
    <row r="76" spans="1:16" s="97" customFormat="1" x14ac:dyDescent="0.25">
      <c r="A76" s="17" t="s">
        <v>750</v>
      </c>
      <c r="B76" s="18" t="s">
        <v>231</v>
      </c>
      <c r="C76" s="19" t="s">
        <v>756</v>
      </c>
      <c r="D76" s="68" t="s">
        <v>1177</v>
      </c>
      <c r="E76" s="19" t="s">
        <v>663</v>
      </c>
      <c r="F76" s="19" t="s">
        <v>1177</v>
      </c>
      <c r="G76" s="68" t="s">
        <v>167</v>
      </c>
      <c r="H76" s="68" t="s">
        <v>654</v>
      </c>
      <c r="I76" s="19"/>
      <c r="J76" s="20" t="s">
        <v>708</v>
      </c>
      <c r="K76" s="107">
        <f>ROUND(Tableau16[[#This Row],[LEN]]*7.27,0)</f>
        <v>131</v>
      </c>
      <c r="L76" s="107">
        <v>15</v>
      </c>
      <c r="M76" s="125" t="str">
        <f t="shared" si="0"/>
        <v>none</v>
      </c>
      <c r="N76" s="107">
        <f>LEN(Tableau16[[#This Row],[LABEL]])</f>
        <v>18</v>
      </c>
      <c r="O76" s="107">
        <v>15</v>
      </c>
      <c r="P76" s="107" t="e">
        <f>ROUND(Tableau16[[#This Row],[LEN]]*#REF!+#REF!,0)</f>
        <v>#REF!</v>
      </c>
    </row>
    <row r="77" spans="1:16" s="97" customFormat="1" x14ac:dyDescent="0.25">
      <c r="A77" s="17" t="s">
        <v>751</v>
      </c>
      <c r="B77" s="18" t="s">
        <v>231</v>
      </c>
      <c r="C77" s="19" t="s">
        <v>757</v>
      </c>
      <c r="D77" s="68" t="s">
        <v>1177</v>
      </c>
      <c r="E77" s="19" t="s">
        <v>663</v>
      </c>
      <c r="F77" s="19" t="s">
        <v>1177</v>
      </c>
      <c r="G77" s="68" t="s">
        <v>167</v>
      </c>
      <c r="H77" s="68" t="s">
        <v>656</v>
      </c>
      <c r="I77" s="19"/>
      <c r="J77" s="20" t="s">
        <v>708</v>
      </c>
      <c r="K77" s="107">
        <f>ROUND(Tableau16[[#This Row],[LEN]]*7.27,0)</f>
        <v>298</v>
      </c>
      <c r="L77" s="107">
        <v>15</v>
      </c>
      <c r="M77" s="125" t="str">
        <f t="shared" si="0"/>
        <v>none</v>
      </c>
      <c r="N77" s="107">
        <f>LEN(Tableau16[[#This Row],[LABEL]])</f>
        <v>41</v>
      </c>
      <c r="O77" s="107">
        <v>15</v>
      </c>
      <c r="P77" s="107" t="e">
        <f>ROUND(Tableau16[[#This Row],[LEN]]*#REF!+#REF!,0)</f>
        <v>#REF!</v>
      </c>
    </row>
    <row r="78" spans="1:16" s="97" customFormat="1" x14ac:dyDescent="0.25">
      <c r="A78" s="17" t="s">
        <v>752</v>
      </c>
      <c r="B78" s="18" t="s">
        <v>231</v>
      </c>
      <c r="C78" s="19" t="s">
        <v>758</v>
      </c>
      <c r="D78" s="68" t="s">
        <v>1177</v>
      </c>
      <c r="E78" s="19" t="s">
        <v>663</v>
      </c>
      <c r="F78" s="19" t="s">
        <v>1177</v>
      </c>
      <c r="G78" s="68" t="s">
        <v>167</v>
      </c>
      <c r="H78" s="68" t="s">
        <v>656</v>
      </c>
      <c r="I78" s="19"/>
      <c r="J78" s="20" t="s">
        <v>708</v>
      </c>
      <c r="K78" s="107">
        <f>ROUND(Tableau16[[#This Row],[LEN]]*7.27,0)</f>
        <v>254</v>
      </c>
      <c r="L78" s="107">
        <v>15</v>
      </c>
      <c r="M78" s="125" t="str">
        <f t="shared" si="0"/>
        <v>none</v>
      </c>
      <c r="N78" s="107">
        <f>LEN(Tableau16[[#This Row],[LABEL]])</f>
        <v>35</v>
      </c>
      <c r="O78" s="107">
        <v>15</v>
      </c>
      <c r="P78" s="107" t="e">
        <f>ROUND(Tableau16[[#This Row],[LEN]]*#REF!+#REF!,0)</f>
        <v>#REF!</v>
      </c>
    </row>
    <row r="79" spans="1:16" s="97" customFormat="1" x14ac:dyDescent="0.25">
      <c r="A79" s="17" t="s">
        <v>753</v>
      </c>
      <c r="B79" s="18" t="s">
        <v>231</v>
      </c>
      <c r="C79" s="19" t="s">
        <v>759</v>
      </c>
      <c r="D79" s="68" t="s">
        <v>1177</v>
      </c>
      <c r="E79" s="19" t="s">
        <v>663</v>
      </c>
      <c r="F79" s="19" t="s">
        <v>1177</v>
      </c>
      <c r="G79" s="68" t="s">
        <v>167</v>
      </c>
      <c r="H79" s="68" t="s">
        <v>654</v>
      </c>
      <c r="I79" s="19"/>
      <c r="J79" s="20" t="s">
        <v>708</v>
      </c>
      <c r="K79" s="107">
        <f>ROUND(Tableau16[[#This Row],[LEN]]*7.27,0)</f>
        <v>298</v>
      </c>
      <c r="L79" s="107">
        <v>15</v>
      </c>
      <c r="M79" s="125" t="str">
        <f t="shared" si="0"/>
        <v>none</v>
      </c>
      <c r="N79" s="107">
        <f>LEN(Tableau16[[#This Row],[LABEL]])</f>
        <v>41</v>
      </c>
      <c r="O79" s="107">
        <v>15</v>
      </c>
      <c r="P79" s="107" t="e">
        <f>ROUND(Tableau16[[#This Row],[LEN]]*#REF!+#REF!,0)</f>
        <v>#REF!</v>
      </c>
    </row>
    <row r="80" spans="1:16" s="97" customFormat="1" x14ac:dyDescent="0.25">
      <c r="A80" s="17" t="s">
        <v>754</v>
      </c>
      <c r="B80" s="18" t="s">
        <v>231</v>
      </c>
      <c r="C80" s="19" t="s">
        <v>110</v>
      </c>
      <c r="D80" s="68" t="s">
        <v>1177</v>
      </c>
      <c r="E80" s="19" t="s">
        <v>1177</v>
      </c>
      <c r="F80" s="19" t="s">
        <v>1084</v>
      </c>
      <c r="G80" s="68" t="s">
        <v>1977</v>
      </c>
      <c r="H80" s="68" t="s">
        <v>1131</v>
      </c>
      <c r="I80" s="19"/>
      <c r="J80" s="20" t="s">
        <v>708</v>
      </c>
      <c r="K80" s="107">
        <f>ROUND(Tableau16[[#This Row],[LEN]]*7.27,0)</f>
        <v>102</v>
      </c>
      <c r="L80" s="107">
        <v>15</v>
      </c>
      <c r="M80" s="125" t="str">
        <f t="shared" si="0"/>
        <v>none</v>
      </c>
      <c r="N80" s="107">
        <f>LEN(Tableau16[[#This Row],[LABEL]])</f>
        <v>14</v>
      </c>
      <c r="O80" s="107">
        <v>15</v>
      </c>
      <c r="P80" s="107" t="e">
        <f>ROUND(Tableau16[[#This Row],[LEN]]*#REF!+#REF!,0)</f>
        <v>#REF!</v>
      </c>
    </row>
    <row r="81" spans="1:16" s="273" customFormat="1" x14ac:dyDescent="0.25">
      <c r="A81" s="266" t="s">
        <v>233</v>
      </c>
      <c r="B81" s="267" t="s">
        <v>205</v>
      </c>
      <c r="C81" s="268" t="s">
        <v>3</v>
      </c>
      <c r="D81" s="269" t="s">
        <v>1177</v>
      </c>
      <c r="E81" s="268" t="s">
        <v>661</v>
      </c>
      <c r="F81" s="268" t="s">
        <v>1177</v>
      </c>
      <c r="G81" s="269" t="s">
        <v>167</v>
      </c>
      <c r="H81" s="269" t="str">
        <f>IFERROR(IF(SEARCH(".00.00.00.00.00",Tableau16[[#This Row],[name]],1)=7,"Division",""),"")</f>
        <v>Division</v>
      </c>
      <c r="I81" s="268"/>
      <c r="J81" s="270" t="s">
        <v>708</v>
      </c>
      <c r="K81" s="271">
        <f>ROUND(Tableau16[[#This Row],[LEN]]*7.27,0)</f>
        <v>73</v>
      </c>
      <c r="L81" s="271">
        <v>15</v>
      </c>
      <c r="M81" s="272" t="str">
        <f t="shared" si="0"/>
        <v>none</v>
      </c>
      <c r="N81" s="271">
        <f>LEN(Tableau16[[#This Row],[LABEL]])</f>
        <v>10</v>
      </c>
      <c r="O81" s="271">
        <v>15</v>
      </c>
      <c r="P81" s="271" t="e">
        <f>ROUND(Tableau16[[#This Row],[LEN]]*#REF!+#REF!,0)</f>
        <v>#REF!</v>
      </c>
    </row>
    <row r="82" spans="1:16" s="97" customFormat="1" x14ac:dyDescent="0.25">
      <c r="A82" s="17" t="s">
        <v>368</v>
      </c>
      <c r="B82" s="18" t="s">
        <v>233</v>
      </c>
      <c r="C82" s="19" t="s">
        <v>81</v>
      </c>
      <c r="D82" s="68" t="s">
        <v>1177</v>
      </c>
      <c r="E82" s="19" t="s">
        <v>667</v>
      </c>
      <c r="F82" s="19" t="s">
        <v>1963</v>
      </c>
      <c r="G82" s="68" t="s">
        <v>167</v>
      </c>
      <c r="H82" s="68" t="s">
        <v>655</v>
      </c>
      <c r="I82" s="19"/>
      <c r="J82" s="20" t="s">
        <v>708</v>
      </c>
      <c r="K82" s="107">
        <f>ROUND(Tableau16[[#This Row],[LEN]]*7.27,0)</f>
        <v>73</v>
      </c>
      <c r="L82" s="107">
        <v>15</v>
      </c>
      <c r="M82" s="125" t="str">
        <f t="shared" si="0"/>
        <v>none</v>
      </c>
      <c r="N82" s="107">
        <f>LEN(Tableau16[[#This Row],[LABEL]])</f>
        <v>10</v>
      </c>
      <c r="O82" s="107">
        <v>15</v>
      </c>
      <c r="P82" s="107" t="e">
        <f>ROUND(Tableau16[[#This Row],[LEN]]*#REF!+#REF!,0)</f>
        <v>#REF!</v>
      </c>
    </row>
    <row r="83" spans="1:16" s="97" customFormat="1" x14ac:dyDescent="0.25">
      <c r="A83" s="21" t="s">
        <v>373</v>
      </c>
      <c r="B83" s="22" t="s">
        <v>368</v>
      </c>
      <c r="C83" s="23" t="s">
        <v>103</v>
      </c>
      <c r="D83" s="69" t="s">
        <v>1177</v>
      </c>
      <c r="E83" s="23" t="s">
        <v>667</v>
      </c>
      <c r="F83" s="23" t="s">
        <v>1963</v>
      </c>
      <c r="G83" s="69" t="s">
        <v>167</v>
      </c>
      <c r="H83" s="69" t="s">
        <v>570</v>
      </c>
      <c r="I83" s="23"/>
      <c r="J83" s="24" t="s">
        <v>708</v>
      </c>
      <c r="K83" s="108">
        <f>ROUND(Tableau16[[#This Row],[LEN]]*7.27,0)</f>
        <v>138</v>
      </c>
      <c r="L83" s="108">
        <v>15</v>
      </c>
      <c r="M83" s="126" t="str">
        <f t="shared" si="0"/>
        <v>none</v>
      </c>
      <c r="N83" s="108">
        <f>LEN(Tableau16[[#This Row],[LABEL]])</f>
        <v>19</v>
      </c>
      <c r="O83" s="108">
        <v>15</v>
      </c>
      <c r="P83" s="108" t="e">
        <f>ROUND(Tableau16[[#This Row],[LEN]]*#REF!+#REF!,0)</f>
        <v>#REF!</v>
      </c>
    </row>
    <row r="84" spans="1:16" s="97" customFormat="1" x14ac:dyDescent="0.25">
      <c r="A84" s="21" t="s">
        <v>374</v>
      </c>
      <c r="B84" s="22" t="s">
        <v>368</v>
      </c>
      <c r="C84" s="23" t="s">
        <v>104</v>
      </c>
      <c r="D84" s="69" t="s">
        <v>1177</v>
      </c>
      <c r="E84" s="23" t="s">
        <v>667</v>
      </c>
      <c r="F84" s="23" t="s">
        <v>1963</v>
      </c>
      <c r="G84" s="69" t="s">
        <v>167</v>
      </c>
      <c r="H84" s="69" t="s">
        <v>570</v>
      </c>
      <c r="I84" s="23"/>
      <c r="J84" s="24" t="s">
        <v>708</v>
      </c>
      <c r="K84" s="108">
        <f>ROUND(Tableau16[[#This Row],[LEN]]*7.27,0)</f>
        <v>145</v>
      </c>
      <c r="L84" s="108">
        <v>15</v>
      </c>
      <c r="M84" s="126" t="str">
        <f t="shared" si="0"/>
        <v>none</v>
      </c>
      <c r="N84" s="108">
        <f>LEN(Tableau16[[#This Row],[LABEL]])</f>
        <v>20</v>
      </c>
      <c r="O84" s="108">
        <v>15</v>
      </c>
      <c r="P84" s="108" t="e">
        <f>ROUND(Tableau16[[#This Row],[LEN]]*#REF!+#REF!,0)</f>
        <v>#REF!</v>
      </c>
    </row>
    <row r="85" spans="1:16" s="97" customFormat="1" x14ac:dyDescent="0.25">
      <c r="A85" s="21" t="s">
        <v>375</v>
      </c>
      <c r="B85" s="22" t="s">
        <v>368</v>
      </c>
      <c r="C85" s="23" t="s">
        <v>105</v>
      </c>
      <c r="D85" s="69" t="s">
        <v>1177</v>
      </c>
      <c r="E85" s="23" t="s">
        <v>667</v>
      </c>
      <c r="F85" s="23" t="s">
        <v>1963</v>
      </c>
      <c r="G85" s="69" t="s">
        <v>167</v>
      </c>
      <c r="H85" s="69" t="s">
        <v>570</v>
      </c>
      <c r="I85" s="23"/>
      <c r="J85" s="24" t="s">
        <v>708</v>
      </c>
      <c r="K85" s="108">
        <f>ROUND(Tableau16[[#This Row],[LEN]]*7.27,0)</f>
        <v>138</v>
      </c>
      <c r="L85" s="108">
        <v>15</v>
      </c>
      <c r="M85" s="126" t="str">
        <f t="shared" si="0"/>
        <v>none</v>
      </c>
      <c r="N85" s="108">
        <f>LEN(Tableau16[[#This Row],[LABEL]])</f>
        <v>19</v>
      </c>
      <c r="O85" s="108">
        <v>15</v>
      </c>
      <c r="P85" s="108" t="e">
        <f>ROUND(Tableau16[[#This Row],[LEN]]*#REF!+#REF!,0)</f>
        <v>#REF!</v>
      </c>
    </row>
    <row r="86" spans="1:16" s="97" customFormat="1" x14ac:dyDescent="0.25">
      <c r="A86" s="21" t="s">
        <v>376</v>
      </c>
      <c r="B86" s="22" t="s">
        <v>368</v>
      </c>
      <c r="C86" s="23" t="s">
        <v>106</v>
      </c>
      <c r="D86" s="69" t="s">
        <v>1177</v>
      </c>
      <c r="E86" s="23" t="s">
        <v>667</v>
      </c>
      <c r="F86" s="23" t="s">
        <v>1963</v>
      </c>
      <c r="G86" s="69" t="s">
        <v>167</v>
      </c>
      <c r="H86" s="69" t="s">
        <v>570</v>
      </c>
      <c r="I86" s="23"/>
      <c r="J86" s="24" t="s">
        <v>708</v>
      </c>
      <c r="K86" s="108">
        <f>ROUND(Tableau16[[#This Row],[LEN]]*7.27,0)</f>
        <v>36</v>
      </c>
      <c r="L86" s="108">
        <v>15</v>
      </c>
      <c r="M86" s="126" t="str">
        <f t="shared" si="0"/>
        <v>none</v>
      </c>
      <c r="N86" s="108">
        <f>LEN(Tableau16[[#This Row],[LABEL]])</f>
        <v>5</v>
      </c>
      <c r="O86" s="108">
        <v>15</v>
      </c>
      <c r="P86" s="108" t="e">
        <f>ROUND(Tableau16[[#This Row],[LEN]]*#REF!+#REF!,0)</f>
        <v>#REF!</v>
      </c>
    </row>
    <row r="87" spans="1:16" s="97" customFormat="1" x14ac:dyDescent="0.25">
      <c r="A87" s="21" t="s">
        <v>377</v>
      </c>
      <c r="B87" s="22" t="s">
        <v>368</v>
      </c>
      <c r="C87" s="23" t="s">
        <v>107</v>
      </c>
      <c r="D87" s="69" t="s">
        <v>1177</v>
      </c>
      <c r="E87" s="23" t="s">
        <v>667</v>
      </c>
      <c r="F87" s="23" t="s">
        <v>1963</v>
      </c>
      <c r="G87" s="69" t="s">
        <v>167</v>
      </c>
      <c r="H87" s="69" t="s">
        <v>570</v>
      </c>
      <c r="I87" s="23"/>
      <c r="J87" s="24" t="s">
        <v>708</v>
      </c>
      <c r="K87" s="108">
        <f>ROUND(Tableau16[[#This Row],[LEN]]*7.27,0)</f>
        <v>160</v>
      </c>
      <c r="L87" s="108">
        <v>15</v>
      </c>
      <c r="M87" s="126" t="str">
        <f t="shared" si="0"/>
        <v>none</v>
      </c>
      <c r="N87" s="108">
        <f>LEN(Tableau16[[#This Row],[LABEL]])</f>
        <v>22</v>
      </c>
      <c r="O87" s="108">
        <v>15</v>
      </c>
      <c r="P87" s="108" t="e">
        <f>ROUND(Tableau16[[#This Row],[LEN]]*#REF!+#REF!,0)</f>
        <v>#REF!</v>
      </c>
    </row>
    <row r="88" spans="1:16" s="97" customFormat="1" x14ac:dyDescent="0.25">
      <c r="A88" s="21" t="s">
        <v>378</v>
      </c>
      <c r="B88" s="22" t="s">
        <v>368</v>
      </c>
      <c r="C88" s="23" t="s">
        <v>108</v>
      </c>
      <c r="D88" s="69" t="s">
        <v>1177</v>
      </c>
      <c r="E88" s="23" t="s">
        <v>667</v>
      </c>
      <c r="F88" s="23" t="s">
        <v>1963</v>
      </c>
      <c r="G88" s="69" t="s">
        <v>167</v>
      </c>
      <c r="H88" s="69" t="s">
        <v>570</v>
      </c>
      <c r="I88" s="23"/>
      <c r="J88" s="24" t="s">
        <v>708</v>
      </c>
      <c r="K88" s="108">
        <f>ROUND(Tableau16[[#This Row],[LEN]]*7.27,0)</f>
        <v>182</v>
      </c>
      <c r="L88" s="108">
        <v>15</v>
      </c>
      <c r="M88" s="126" t="str">
        <f t="shared" si="0"/>
        <v>none</v>
      </c>
      <c r="N88" s="108">
        <f>LEN(Tableau16[[#This Row],[LABEL]])</f>
        <v>25</v>
      </c>
      <c r="O88" s="108">
        <v>15</v>
      </c>
      <c r="P88" s="108" t="e">
        <f>ROUND(Tableau16[[#This Row],[LEN]]*#REF!+#REF!,0)</f>
        <v>#REF!</v>
      </c>
    </row>
    <row r="89" spans="1:16" s="97" customFormat="1" x14ac:dyDescent="0.25">
      <c r="A89" s="17" t="s">
        <v>369</v>
      </c>
      <c r="B89" s="18" t="s">
        <v>233</v>
      </c>
      <c r="C89" s="19" t="s">
        <v>82</v>
      </c>
      <c r="D89" s="68" t="s">
        <v>1177</v>
      </c>
      <c r="E89" s="19" t="s">
        <v>684</v>
      </c>
      <c r="F89" s="19" t="s">
        <v>1177</v>
      </c>
      <c r="G89" s="68" t="s">
        <v>167</v>
      </c>
      <c r="H89" s="68" t="s">
        <v>655</v>
      </c>
      <c r="I89" s="19"/>
      <c r="J89" s="20" t="s">
        <v>708</v>
      </c>
      <c r="K89" s="107">
        <f>ROUND(Tableau16[[#This Row],[LEN]]*7.27,0)</f>
        <v>269</v>
      </c>
      <c r="L89" s="107">
        <v>15</v>
      </c>
      <c r="M89" s="125" t="str">
        <f t="shared" si="0"/>
        <v>none</v>
      </c>
      <c r="N89" s="107">
        <f>LEN(Tableau16[[#This Row],[LABEL]])</f>
        <v>37</v>
      </c>
      <c r="O89" s="107">
        <v>15</v>
      </c>
      <c r="P89" s="107" t="e">
        <f>ROUND(Tableau16[[#This Row],[LEN]]*#REF!+#REF!,0)</f>
        <v>#REF!</v>
      </c>
    </row>
    <row r="90" spans="1:16" s="97" customFormat="1" x14ac:dyDescent="0.25">
      <c r="A90" s="21" t="s">
        <v>379</v>
      </c>
      <c r="B90" s="22" t="s">
        <v>369</v>
      </c>
      <c r="C90" s="23" t="s">
        <v>83</v>
      </c>
      <c r="D90" s="69" t="s">
        <v>1177</v>
      </c>
      <c r="E90" s="23" t="s">
        <v>684</v>
      </c>
      <c r="F90" s="23" t="s">
        <v>1177</v>
      </c>
      <c r="G90" s="69" t="s">
        <v>167</v>
      </c>
      <c r="H90" s="69" t="s">
        <v>18</v>
      </c>
      <c r="I90" s="23"/>
      <c r="J90" s="24" t="s">
        <v>708</v>
      </c>
      <c r="K90" s="108">
        <f>ROUND(Tableau16[[#This Row],[LEN]]*7.27,0)</f>
        <v>269</v>
      </c>
      <c r="L90" s="108">
        <v>15</v>
      </c>
      <c r="M90" s="126" t="str">
        <f t="shared" si="0"/>
        <v>none</v>
      </c>
      <c r="N90" s="108">
        <f>LEN(Tableau16[[#This Row],[LABEL]])</f>
        <v>37</v>
      </c>
      <c r="O90" s="108">
        <v>15</v>
      </c>
      <c r="P90" s="108" t="e">
        <f>ROUND(Tableau16[[#This Row],[LEN]]*#REF!+#REF!,0)</f>
        <v>#REF!</v>
      </c>
    </row>
    <row r="91" spans="1:16" s="97" customFormat="1" x14ac:dyDescent="0.25">
      <c r="A91" s="21" t="s">
        <v>380</v>
      </c>
      <c r="B91" s="22" t="s">
        <v>369</v>
      </c>
      <c r="C91" s="23" t="s">
        <v>84</v>
      </c>
      <c r="D91" s="69" t="s">
        <v>1177</v>
      </c>
      <c r="E91" s="23" t="s">
        <v>684</v>
      </c>
      <c r="F91" s="23" t="s">
        <v>1177</v>
      </c>
      <c r="G91" s="69" t="s">
        <v>167</v>
      </c>
      <c r="H91" s="69" t="s">
        <v>18</v>
      </c>
      <c r="I91" s="23"/>
      <c r="J91" s="24" t="s">
        <v>708</v>
      </c>
      <c r="K91" s="108">
        <f>ROUND(Tableau16[[#This Row],[LEN]]*7.27,0)</f>
        <v>313</v>
      </c>
      <c r="L91" s="108">
        <v>15</v>
      </c>
      <c r="M91" s="126" t="str">
        <f t="shared" si="0"/>
        <v>none</v>
      </c>
      <c r="N91" s="108">
        <f>LEN(Tableau16[[#This Row],[LABEL]])</f>
        <v>43</v>
      </c>
      <c r="O91" s="108">
        <v>15</v>
      </c>
      <c r="P91" s="108" t="e">
        <f>ROUND(Tableau16[[#This Row],[LEN]]*#REF!+#REF!,0)</f>
        <v>#REF!</v>
      </c>
    </row>
    <row r="92" spans="1:16" s="97" customFormat="1" x14ac:dyDescent="0.25">
      <c r="A92" s="21" t="s">
        <v>381</v>
      </c>
      <c r="B92" s="22" t="s">
        <v>369</v>
      </c>
      <c r="C92" s="23" t="s">
        <v>85</v>
      </c>
      <c r="D92" s="69" t="s">
        <v>1177</v>
      </c>
      <c r="E92" s="23" t="s">
        <v>684</v>
      </c>
      <c r="F92" s="23" t="s">
        <v>1177</v>
      </c>
      <c r="G92" s="69" t="s">
        <v>167</v>
      </c>
      <c r="H92" s="69" t="s">
        <v>18</v>
      </c>
      <c r="I92" s="23"/>
      <c r="J92" s="24" t="s">
        <v>708</v>
      </c>
      <c r="K92" s="108">
        <f>ROUND(Tableau16[[#This Row],[LEN]]*7.27,0)</f>
        <v>218</v>
      </c>
      <c r="L92" s="108">
        <v>15</v>
      </c>
      <c r="M92" s="126" t="str">
        <f t="shared" ref="M92:M226" si="1">IF(J92="javascript:void(0)","none","new")</f>
        <v>none</v>
      </c>
      <c r="N92" s="108">
        <f>LEN(Tableau16[[#This Row],[LABEL]])</f>
        <v>30</v>
      </c>
      <c r="O92" s="108">
        <v>15</v>
      </c>
      <c r="P92" s="108" t="e">
        <f>ROUND(Tableau16[[#This Row],[LEN]]*#REF!+#REF!,0)</f>
        <v>#REF!</v>
      </c>
    </row>
    <row r="93" spans="1:16" s="97" customFormat="1" x14ac:dyDescent="0.25">
      <c r="A93" s="17" t="s">
        <v>370</v>
      </c>
      <c r="B93" s="18" t="s">
        <v>233</v>
      </c>
      <c r="C93" s="19" t="s">
        <v>109</v>
      </c>
      <c r="D93" s="68" t="s">
        <v>1177</v>
      </c>
      <c r="E93" s="19" t="s">
        <v>684</v>
      </c>
      <c r="F93" s="19" t="s">
        <v>1177</v>
      </c>
      <c r="G93" s="68" t="s">
        <v>167</v>
      </c>
      <c r="H93" s="68" t="s">
        <v>656</v>
      </c>
      <c r="I93" s="19"/>
      <c r="J93" s="20" t="s">
        <v>708</v>
      </c>
      <c r="K93" s="107">
        <f>ROUND(Tableau16[[#This Row],[LEN]]*7.27,0)</f>
        <v>131</v>
      </c>
      <c r="L93" s="107">
        <v>15</v>
      </c>
      <c r="M93" s="125" t="str">
        <f t="shared" si="1"/>
        <v>none</v>
      </c>
      <c r="N93" s="107">
        <f>LEN(Tableau16[[#This Row],[LABEL]])</f>
        <v>18</v>
      </c>
      <c r="O93" s="107">
        <v>15</v>
      </c>
      <c r="P93" s="107" t="e">
        <f>ROUND(Tableau16[[#This Row],[LEN]]*#REF!+#REF!,0)</f>
        <v>#REF!</v>
      </c>
    </row>
    <row r="94" spans="1:16" s="97" customFormat="1" x14ac:dyDescent="0.25">
      <c r="A94" s="17" t="s">
        <v>371</v>
      </c>
      <c r="B94" s="18" t="s">
        <v>233</v>
      </c>
      <c r="C94" s="19" t="s">
        <v>110</v>
      </c>
      <c r="D94" s="68" t="s">
        <v>1177</v>
      </c>
      <c r="E94" s="19" t="s">
        <v>1177</v>
      </c>
      <c r="F94" s="19" t="s">
        <v>1084</v>
      </c>
      <c r="G94" s="68" t="s">
        <v>1977</v>
      </c>
      <c r="H94" s="68" t="s">
        <v>1131</v>
      </c>
      <c r="I94" s="19"/>
      <c r="J94" s="20" t="s">
        <v>708</v>
      </c>
      <c r="K94" s="107">
        <f>ROUND(Tableau16[[#This Row],[LEN]]*7.27,0)</f>
        <v>102</v>
      </c>
      <c r="L94" s="107">
        <v>15</v>
      </c>
      <c r="M94" s="125" t="str">
        <f t="shared" si="1"/>
        <v>none</v>
      </c>
      <c r="N94" s="107">
        <f>LEN(Tableau16[[#This Row],[LABEL]])</f>
        <v>14</v>
      </c>
      <c r="O94" s="107">
        <v>15</v>
      </c>
      <c r="P94" s="107" t="e">
        <f>ROUND(Tableau16[[#This Row],[LEN]]*#REF!+#REF!,0)</f>
        <v>#REF!</v>
      </c>
    </row>
    <row r="95" spans="1:16" s="273" customFormat="1" x14ac:dyDescent="0.25">
      <c r="A95" s="266" t="s">
        <v>234</v>
      </c>
      <c r="B95" s="267" t="s">
        <v>205</v>
      </c>
      <c r="C95" s="268" t="s">
        <v>4</v>
      </c>
      <c r="D95" s="269" t="s">
        <v>1177</v>
      </c>
      <c r="E95" s="268" t="s">
        <v>666</v>
      </c>
      <c r="F95" s="268" t="s">
        <v>1177</v>
      </c>
      <c r="G95" s="269" t="s">
        <v>167</v>
      </c>
      <c r="H95" s="269" t="str">
        <f>IFERROR(IF(SEARCH(".00.00.00.00.00",Tableau16[[#This Row],[name]],1)=7,"Division",""),"")</f>
        <v>Division</v>
      </c>
      <c r="I95" s="268"/>
      <c r="J95" s="270" t="s">
        <v>708</v>
      </c>
      <c r="K95" s="271">
        <f>ROUND(Tableau16[[#This Row],[LEN]]*7.27,0)</f>
        <v>36</v>
      </c>
      <c r="L95" s="271">
        <v>15</v>
      </c>
      <c r="M95" s="272" t="str">
        <f t="shared" si="1"/>
        <v>none</v>
      </c>
      <c r="N95" s="271">
        <f>LEN(Tableau16[[#This Row],[LABEL]])</f>
        <v>5</v>
      </c>
      <c r="O95" s="271">
        <v>15</v>
      </c>
      <c r="P95" s="271" t="e">
        <f>ROUND(Tableau16[[#This Row],[LEN]]*#REF!+#REF!,0)</f>
        <v>#REF!</v>
      </c>
    </row>
    <row r="96" spans="1:16" s="97" customFormat="1" x14ac:dyDescent="0.25">
      <c r="A96" s="17" t="s">
        <v>957</v>
      </c>
      <c r="B96" s="18" t="s">
        <v>234</v>
      </c>
      <c r="C96" s="19" t="s">
        <v>961</v>
      </c>
      <c r="D96" s="68" t="s">
        <v>1177</v>
      </c>
      <c r="E96" s="19" t="s">
        <v>970</v>
      </c>
      <c r="F96" s="19" t="s">
        <v>1177</v>
      </c>
      <c r="G96" s="68" t="s">
        <v>167</v>
      </c>
      <c r="H96" s="68" t="s">
        <v>656</v>
      </c>
      <c r="I96" s="19"/>
      <c r="J96" s="20" t="s">
        <v>708</v>
      </c>
      <c r="K96" s="107">
        <f>ROUND(Tableau16[[#This Row],[LEN]]*7.27,0)</f>
        <v>305</v>
      </c>
      <c r="L96" s="107">
        <v>15</v>
      </c>
      <c r="M96" s="125" t="str">
        <f t="shared" si="1"/>
        <v>none</v>
      </c>
      <c r="N96" s="107">
        <f>LEN(Tableau16[[#This Row],[LABEL]])</f>
        <v>42</v>
      </c>
      <c r="O96" s="107">
        <v>15</v>
      </c>
      <c r="P96" s="107" t="e">
        <f>ROUND(Tableau16[[#This Row],[LEN]]*#REF!+#REF!,0)</f>
        <v>#REF!</v>
      </c>
    </row>
    <row r="97" spans="1:16" s="97" customFormat="1" x14ac:dyDescent="0.25">
      <c r="A97" s="17" t="s">
        <v>958</v>
      </c>
      <c r="B97" s="18" t="s">
        <v>234</v>
      </c>
      <c r="C97" s="19" t="s">
        <v>82</v>
      </c>
      <c r="D97" s="68" t="s">
        <v>1177</v>
      </c>
      <c r="E97" s="19" t="s">
        <v>684</v>
      </c>
      <c r="F97" s="19" t="s">
        <v>1177</v>
      </c>
      <c r="G97" s="68" t="s">
        <v>167</v>
      </c>
      <c r="H97" s="68" t="s">
        <v>655</v>
      </c>
      <c r="I97" s="19"/>
      <c r="J97" s="20" t="s">
        <v>708</v>
      </c>
      <c r="K97" s="107">
        <f>ROUND(Tableau16[[#This Row],[LEN]]*7.27,0)</f>
        <v>269</v>
      </c>
      <c r="L97" s="107">
        <v>15</v>
      </c>
      <c r="M97" s="125" t="str">
        <f t="shared" si="1"/>
        <v>none</v>
      </c>
      <c r="N97" s="107">
        <f>LEN(Tableau16[[#This Row],[LABEL]])</f>
        <v>37</v>
      </c>
      <c r="O97" s="107">
        <v>15</v>
      </c>
      <c r="P97" s="107" t="e">
        <f>ROUND(Tableau16[[#This Row],[LEN]]*#REF!+#REF!,0)</f>
        <v>#REF!</v>
      </c>
    </row>
    <row r="98" spans="1:16" s="97" customFormat="1" x14ac:dyDescent="0.25">
      <c r="A98" s="21" t="s">
        <v>962</v>
      </c>
      <c r="B98" s="22" t="s">
        <v>958</v>
      </c>
      <c r="C98" s="23" t="s">
        <v>83</v>
      </c>
      <c r="D98" s="69" t="s">
        <v>1177</v>
      </c>
      <c r="E98" s="23" t="s">
        <v>684</v>
      </c>
      <c r="F98" s="23" t="s">
        <v>1177</v>
      </c>
      <c r="G98" s="69" t="s">
        <v>167</v>
      </c>
      <c r="H98" s="69" t="s">
        <v>18</v>
      </c>
      <c r="I98" s="23"/>
      <c r="J98" s="24" t="s">
        <v>708</v>
      </c>
      <c r="K98" s="108">
        <f>ROUND(Tableau16[[#This Row],[LEN]]*7.27,0)</f>
        <v>269</v>
      </c>
      <c r="L98" s="108">
        <v>15</v>
      </c>
      <c r="M98" s="126" t="str">
        <f t="shared" si="1"/>
        <v>none</v>
      </c>
      <c r="N98" s="108">
        <f>LEN(Tableau16[[#This Row],[LABEL]])</f>
        <v>37</v>
      </c>
      <c r="O98" s="108">
        <v>15</v>
      </c>
      <c r="P98" s="108" t="e">
        <f>ROUND(Tableau16[[#This Row],[LEN]]*#REF!+#REF!,0)</f>
        <v>#REF!</v>
      </c>
    </row>
    <row r="99" spans="1:16" s="97" customFormat="1" x14ac:dyDescent="0.25">
      <c r="A99" s="21" t="s">
        <v>963</v>
      </c>
      <c r="B99" s="22" t="s">
        <v>958</v>
      </c>
      <c r="C99" s="23" t="s">
        <v>84</v>
      </c>
      <c r="D99" s="69" t="s">
        <v>1177</v>
      </c>
      <c r="E99" s="23" t="s">
        <v>684</v>
      </c>
      <c r="F99" s="23" t="s">
        <v>1177</v>
      </c>
      <c r="G99" s="69" t="s">
        <v>167</v>
      </c>
      <c r="H99" s="69" t="s">
        <v>18</v>
      </c>
      <c r="I99" s="23"/>
      <c r="J99" s="24" t="s">
        <v>708</v>
      </c>
      <c r="K99" s="108">
        <f>ROUND(Tableau16[[#This Row],[LEN]]*7.27,0)</f>
        <v>313</v>
      </c>
      <c r="L99" s="108">
        <v>15</v>
      </c>
      <c r="M99" s="126" t="str">
        <f t="shared" si="1"/>
        <v>none</v>
      </c>
      <c r="N99" s="108">
        <f>LEN(Tableau16[[#This Row],[LABEL]])</f>
        <v>43</v>
      </c>
      <c r="O99" s="108">
        <v>15</v>
      </c>
      <c r="P99" s="108" t="e">
        <f>ROUND(Tableau16[[#This Row],[LEN]]*#REF!+#REF!,0)</f>
        <v>#REF!</v>
      </c>
    </row>
    <row r="100" spans="1:16" s="97" customFormat="1" x14ac:dyDescent="0.25">
      <c r="A100" s="21" t="s">
        <v>964</v>
      </c>
      <c r="B100" s="22" t="s">
        <v>958</v>
      </c>
      <c r="C100" s="23" t="s">
        <v>85</v>
      </c>
      <c r="D100" s="69" t="s">
        <v>1177</v>
      </c>
      <c r="E100" s="23" t="s">
        <v>684</v>
      </c>
      <c r="F100" s="23" t="s">
        <v>1177</v>
      </c>
      <c r="G100" s="69" t="s">
        <v>167</v>
      </c>
      <c r="H100" s="69" t="s">
        <v>18</v>
      </c>
      <c r="I100" s="23"/>
      <c r="J100" s="24" t="s">
        <v>708</v>
      </c>
      <c r="K100" s="108">
        <f>ROUND(Tableau16[[#This Row],[LEN]]*7.27,0)</f>
        <v>218</v>
      </c>
      <c r="L100" s="108">
        <v>15</v>
      </c>
      <c r="M100" s="126" t="str">
        <f t="shared" si="1"/>
        <v>none</v>
      </c>
      <c r="N100" s="108">
        <f>LEN(Tableau16[[#This Row],[LABEL]])</f>
        <v>30</v>
      </c>
      <c r="O100" s="108">
        <v>15</v>
      </c>
      <c r="P100" s="108" t="e">
        <f>ROUND(Tableau16[[#This Row],[LEN]]*#REF!+#REF!,0)</f>
        <v>#REF!</v>
      </c>
    </row>
    <row r="101" spans="1:16" s="97" customFormat="1" x14ac:dyDescent="0.25">
      <c r="A101" s="17" t="s">
        <v>959</v>
      </c>
      <c r="B101" s="18" t="s">
        <v>234</v>
      </c>
      <c r="C101" s="19" t="s">
        <v>109</v>
      </c>
      <c r="D101" s="68" t="s">
        <v>1177</v>
      </c>
      <c r="E101" s="19" t="s">
        <v>684</v>
      </c>
      <c r="F101" s="19" t="s">
        <v>1177</v>
      </c>
      <c r="G101" s="68" t="s">
        <v>167</v>
      </c>
      <c r="H101" s="68" t="s">
        <v>656</v>
      </c>
      <c r="I101" s="19"/>
      <c r="J101" s="20" t="s">
        <v>708</v>
      </c>
      <c r="K101" s="107">
        <f>ROUND(Tableau16[[#This Row],[LEN]]*7.27,0)</f>
        <v>131</v>
      </c>
      <c r="L101" s="107">
        <v>15</v>
      </c>
      <c r="M101" s="125" t="str">
        <f t="shared" si="1"/>
        <v>none</v>
      </c>
      <c r="N101" s="107">
        <f>LEN(Tableau16[[#This Row],[LABEL]])</f>
        <v>18</v>
      </c>
      <c r="O101" s="107">
        <v>15</v>
      </c>
      <c r="P101" s="107" t="e">
        <f>ROUND(Tableau16[[#This Row],[LEN]]*#REF!+#REF!,0)</f>
        <v>#REF!</v>
      </c>
    </row>
    <row r="102" spans="1:16" s="97" customFormat="1" x14ac:dyDescent="0.25">
      <c r="A102" s="17" t="s">
        <v>960</v>
      </c>
      <c r="B102" s="18" t="s">
        <v>234</v>
      </c>
      <c r="C102" s="19" t="s">
        <v>110</v>
      </c>
      <c r="D102" s="68" t="s">
        <v>1177</v>
      </c>
      <c r="E102" s="19" t="s">
        <v>1177</v>
      </c>
      <c r="F102" s="19" t="s">
        <v>1084</v>
      </c>
      <c r="G102" s="68" t="s">
        <v>1977</v>
      </c>
      <c r="H102" s="68" t="s">
        <v>1131</v>
      </c>
      <c r="I102" s="19"/>
      <c r="J102" s="20" t="s">
        <v>708</v>
      </c>
      <c r="K102" s="107">
        <f>ROUND(Tableau16[[#This Row],[LEN]]*7.27,0)</f>
        <v>102</v>
      </c>
      <c r="L102" s="107">
        <v>15</v>
      </c>
      <c r="M102" s="125" t="str">
        <f t="shared" si="1"/>
        <v>none</v>
      </c>
      <c r="N102" s="107">
        <f>LEN(Tableau16[[#This Row],[LABEL]])</f>
        <v>14</v>
      </c>
      <c r="O102" s="107">
        <v>15</v>
      </c>
      <c r="P102" s="107" t="e">
        <f>ROUND(Tableau16[[#This Row],[LEN]]*#REF!+#REF!,0)</f>
        <v>#REF!</v>
      </c>
    </row>
    <row r="103" spans="1:16" s="273" customFormat="1" x14ac:dyDescent="0.25">
      <c r="A103" s="266" t="s">
        <v>235</v>
      </c>
      <c r="B103" s="267" t="s">
        <v>205</v>
      </c>
      <c r="C103" s="268" t="s">
        <v>80</v>
      </c>
      <c r="D103" s="269" t="s">
        <v>1177</v>
      </c>
      <c r="E103" s="268" t="s">
        <v>667</v>
      </c>
      <c r="F103" s="268" t="s">
        <v>1177</v>
      </c>
      <c r="G103" s="269" t="s">
        <v>167</v>
      </c>
      <c r="H103" s="269" t="str">
        <f>IFERROR(IF(SEARCH(".00.00.00.00.00",Tableau16[[#This Row],[name]],1)=7,"Division",""),"")</f>
        <v>Division</v>
      </c>
      <c r="I103" s="268"/>
      <c r="J103" s="270" t="s">
        <v>708</v>
      </c>
      <c r="K103" s="271">
        <f>ROUND(Tableau16[[#This Row],[LEN]]*7.27,0)</f>
        <v>116</v>
      </c>
      <c r="L103" s="271">
        <v>15</v>
      </c>
      <c r="M103" s="272" t="str">
        <f t="shared" si="1"/>
        <v>none</v>
      </c>
      <c r="N103" s="271">
        <f>LEN(Tableau16[[#This Row],[LABEL]])</f>
        <v>16</v>
      </c>
      <c r="O103" s="271">
        <v>15</v>
      </c>
      <c r="P103" s="271" t="e">
        <f>ROUND(Tableau16[[#This Row],[LEN]]*#REF!+#REF!,0)</f>
        <v>#REF!</v>
      </c>
    </row>
    <row r="104" spans="1:16" s="97" customFormat="1" x14ac:dyDescent="0.25">
      <c r="A104" s="17" t="s">
        <v>965</v>
      </c>
      <c r="B104" s="18" t="s">
        <v>235</v>
      </c>
      <c r="C104" s="19" t="s">
        <v>81</v>
      </c>
      <c r="D104" s="68" t="s">
        <v>1177</v>
      </c>
      <c r="E104" s="19" t="s">
        <v>667</v>
      </c>
      <c r="F104" s="19" t="s">
        <v>1963</v>
      </c>
      <c r="G104" s="68" t="s">
        <v>167</v>
      </c>
      <c r="H104" s="68" t="s">
        <v>655</v>
      </c>
      <c r="I104" s="19"/>
      <c r="J104" s="20" t="s">
        <v>708</v>
      </c>
      <c r="K104" s="107">
        <f>ROUND(Tableau16[[#This Row],[LEN]]*7.27,0)</f>
        <v>73</v>
      </c>
      <c r="L104" s="107">
        <v>15</v>
      </c>
      <c r="M104" s="125" t="str">
        <f t="shared" si="1"/>
        <v>none</v>
      </c>
      <c r="N104" s="107">
        <f>LEN(Tableau16[[#This Row],[LABEL]])</f>
        <v>10</v>
      </c>
      <c r="O104" s="107">
        <v>15</v>
      </c>
      <c r="P104" s="107" t="e">
        <f>ROUND(Tableau16[[#This Row],[LEN]]*#REF!+#REF!,0)</f>
        <v>#REF!</v>
      </c>
    </row>
    <row r="105" spans="1:16" s="97" customFormat="1" x14ac:dyDescent="0.25">
      <c r="A105" s="21" t="s">
        <v>974</v>
      </c>
      <c r="B105" s="22" t="s">
        <v>965</v>
      </c>
      <c r="C105" s="23" t="s">
        <v>978</v>
      </c>
      <c r="D105" s="69" t="s">
        <v>1177</v>
      </c>
      <c r="E105" s="23" t="s">
        <v>667</v>
      </c>
      <c r="F105" s="23" t="s">
        <v>1963</v>
      </c>
      <c r="G105" s="69" t="s">
        <v>167</v>
      </c>
      <c r="H105" s="69" t="s">
        <v>570</v>
      </c>
      <c r="I105" s="23"/>
      <c r="J105" s="24" t="s">
        <v>708</v>
      </c>
      <c r="K105" s="108">
        <f>ROUND(Tableau16[[#This Row],[LEN]]*7.27,0)</f>
        <v>87</v>
      </c>
      <c r="L105" s="108">
        <v>15</v>
      </c>
      <c r="M105" s="126" t="str">
        <f t="shared" si="1"/>
        <v>none</v>
      </c>
      <c r="N105" s="108">
        <f>LEN(Tableau16[[#This Row],[LABEL]])</f>
        <v>12</v>
      </c>
      <c r="O105" s="108">
        <v>15</v>
      </c>
      <c r="P105" s="108" t="e">
        <f>ROUND(Tableau16[[#This Row],[LEN]]*#REF!+#REF!,0)</f>
        <v>#REF!</v>
      </c>
    </row>
    <row r="106" spans="1:16" s="97" customFormat="1" x14ac:dyDescent="0.25">
      <c r="A106" s="21" t="s">
        <v>975</v>
      </c>
      <c r="B106" s="22" t="s">
        <v>965</v>
      </c>
      <c r="C106" s="23" t="s">
        <v>979</v>
      </c>
      <c r="D106" s="69" t="s">
        <v>1177</v>
      </c>
      <c r="E106" s="23" t="s">
        <v>667</v>
      </c>
      <c r="F106" s="23" t="s">
        <v>1963</v>
      </c>
      <c r="G106" s="69" t="s">
        <v>167</v>
      </c>
      <c r="H106" s="69" t="s">
        <v>570</v>
      </c>
      <c r="I106" s="23"/>
      <c r="J106" s="24" t="s">
        <v>708</v>
      </c>
      <c r="K106" s="108">
        <f>ROUND(Tableau16[[#This Row],[LEN]]*7.27,0)</f>
        <v>211</v>
      </c>
      <c r="L106" s="108">
        <v>15</v>
      </c>
      <c r="M106" s="126" t="str">
        <f t="shared" si="1"/>
        <v>none</v>
      </c>
      <c r="N106" s="108">
        <f>LEN(Tableau16[[#This Row],[LABEL]])</f>
        <v>29</v>
      </c>
      <c r="O106" s="108">
        <v>15</v>
      </c>
      <c r="P106" s="108" t="e">
        <f>ROUND(Tableau16[[#This Row],[LEN]]*#REF!+#REF!,0)</f>
        <v>#REF!</v>
      </c>
    </row>
    <row r="107" spans="1:16" s="97" customFormat="1" x14ac:dyDescent="0.25">
      <c r="A107" s="21" t="s">
        <v>976</v>
      </c>
      <c r="B107" s="22" t="s">
        <v>965</v>
      </c>
      <c r="C107" s="23" t="s">
        <v>980</v>
      </c>
      <c r="D107" s="69" t="s">
        <v>1177</v>
      </c>
      <c r="E107" s="23" t="s">
        <v>667</v>
      </c>
      <c r="F107" s="23" t="s">
        <v>1963</v>
      </c>
      <c r="G107" s="69" t="s">
        <v>167</v>
      </c>
      <c r="H107" s="69" t="s">
        <v>570</v>
      </c>
      <c r="I107" s="23"/>
      <c r="J107" s="24" t="s">
        <v>708</v>
      </c>
      <c r="K107" s="108">
        <f>ROUND(Tableau16[[#This Row],[LEN]]*7.27,0)</f>
        <v>182</v>
      </c>
      <c r="L107" s="108">
        <v>15</v>
      </c>
      <c r="M107" s="126" t="str">
        <f t="shared" si="1"/>
        <v>none</v>
      </c>
      <c r="N107" s="108">
        <f>LEN(Tableau16[[#This Row],[LABEL]])</f>
        <v>25</v>
      </c>
      <c r="O107" s="108">
        <v>15</v>
      </c>
      <c r="P107" s="108" t="e">
        <f>ROUND(Tableau16[[#This Row],[LEN]]*#REF!+#REF!,0)</f>
        <v>#REF!</v>
      </c>
    </row>
    <row r="108" spans="1:16" s="97" customFormat="1" x14ac:dyDescent="0.25">
      <c r="A108" s="21" t="s">
        <v>977</v>
      </c>
      <c r="B108" s="22" t="s">
        <v>965</v>
      </c>
      <c r="C108" s="23" t="s">
        <v>981</v>
      </c>
      <c r="D108" s="69" t="s">
        <v>1177</v>
      </c>
      <c r="E108" s="23" t="s">
        <v>667</v>
      </c>
      <c r="F108" s="23" t="s">
        <v>1963</v>
      </c>
      <c r="G108" s="69" t="s">
        <v>167</v>
      </c>
      <c r="H108" s="69" t="s">
        <v>570</v>
      </c>
      <c r="I108" s="23"/>
      <c r="J108" s="24" t="s">
        <v>708</v>
      </c>
      <c r="K108" s="108">
        <f>ROUND(Tableau16[[#This Row],[LEN]]*7.27,0)</f>
        <v>305</v>
      </c>
      <c r="L108" s="108">
        <v>15</v>
      </c>
      <c r="M108" s="126" t="str">
        <f t="shared" si="1"/>
        <v>none</v>
      </c>
      <c r="N108" s="108">
        <f>LEN(Tableau16[[#This Row],[LABEL]])</f>
        <v>42</v>
      </c>
      <c r="O108" s="108">
        <v>15</v>
      </c>
      <c r="P108" s="108" t="e">
        <f>ROUND(Tableau16[[#This Row],[LEN]]*#REF!+#REF!,0)</f>
        <v>#REF!</v>
      </c>
    </row>
    <row r="109" spans="1:16" s="97" customFormat="1" x14ac:dyDescent="0.25">
      <c r="A109" s="17" t="s">
        <v>966</v>
      </c>
      <c r="B109" s="18" t="s">
        <v>235</v>
      </c>
      <c r="C109" s="19" t="s">
        <v>961</v>
      </c>
      <c r="D109" s="68" t="s">
        <v>1177</v>
      </c>
      <c r="E109" s="19" t="s">
        <v>970</v>
      </c>
      <c r="F109" s="19" t="s">
        <v>1177</v>
      </c>
      <c r="G109" s="68" t="s">
        <v>167</v>
      </c>
      <c r="H109" s="68" t="s">
        <v>656</v>
      </c>
      <c r="I109" s="19"/>
      <c r="J109" s="20" t="s">
        <v>708</v>
      </c>
      <c r="K109" s="107">
        <f>ROUND(Tableau16[[#This Row],[LEN]]*7.27,0)</f>
        <v>305</v>
      </c>
      <c r="L109" s="107">
        <v>15</v>
      </c>
      <c r="M109" s="125" t="str">
        <f t="shared" si="1"/>
        <v>none</v>
      </c>
      <c r="N109" s="107">
        <f>LEN(Tableau16[[#This Row],[LABEL]])</f>
        <v>42</v>
      </c>
      <c r="O109" s="107">
        <v>15</v>
      </c>
      <c r="P109" s="107" t="e">
        <f>ROUND(Tableau16[[#This Row],[LEN]]*#REF!+#REF!,0)</f>
        <v>#REF!</v>
      </c>
    </row>
    <row r="110" spans="1:16" s="97" customFormat="1" x14ac:dyDescent="0.25">
      <c r="A110" s="17" t="s">
        <v>967</v>
      </c>
      <c r="B110" s="18" t="s">
        <v>235</v>
      </c>
      <c r="C110" s="19" t="s">
        <v>971</v>
      </c>
      <c r="D110" s="68" t="s">
        <v>1177</v>
      </c>
      <c r="E110" s="19" t="s">
        <v>667</v>
      </c>
      <c r="F110" s="19" t="s">
        <v>678</v>
      </c>
      <c r="G110" s="68" t="s">
        <v>167</v>
      </c>
      <c r="H110" s="68" t="s">
        <v>570</v>
      </c>
      <c r="I110" s="19"/>
      <c r="J110" s="20" t="s">
        <v>708</v>
      </c>
      <c r="K110" s="107">
        <f>ROUND(Tableau16[[#This Row],[LEN]]*7.27,0)</f>
        <v>385</v>
      </c>
      <c r="L110" s="107">
        <v>15</v>
      </c>
      <c r="M110" s="125" t="str">
        <f t="shared" si="1"/>
        <v>none</v>
      </c>
      <c r="N110" s="107">
        <f>LEN(Tableau16[[#This Row],[LABEL]])</f>
        <v>53</v>
      </c>
      <c r="O110" s="107">
        <v>15</v>
      </c>
      <c r="P110" s="107" t="e">
        <f>ROUND(Tableau16[[#This Row],[LEN]]*#REF!+#REF!,0)</f>
        <v>#REF!</v>
      </c>
    </row>
    <row r="111" spans="1:16" s="97" customFormat="1" x14ac:dyDescent="0.25">
      <c r="A111" s="17" t="s">
        <v>968</v>
      </c>
      <c r="B111" s="18" t="s">
        <v>235</v>
      </c>
      <c r="C111" s="19" t="s">
        <v>972</v>
      </c>
      <c r="D111" s="68" t="s">
        <v>1177</v>
      </c>
      <c r="E111" s="19" t="s">
        <v>667</v>
      </c>
      <c r="F111" s="19" t="s">
        <v>1177</v>
      </c>
      <c r="G111" s="68" t="s">
        <v>167</v>
      </c>
      <c r="H111" s="68" t="s">
        <v>18</v>
      </c>
      <c r="I111" s="19"/>
      <c r="J111" s="20" t="s">
        <v>708</v>
      </c>
      <c r="K111" s="107">
        <f>ROUND(Tableau16[[#This Row],[LEN]]*7.27,0)</f>
        <v>182</v>
      </c>
      <c r="L111" s="107">
        <v>15</v>
      </c>
      <c r="M111" s="125" t="str">
        <f t="shared" si="1"/>
        <v>none</v>
      </c>
      <c r="N111" s="107">
        <f>LEN(Tableau16[[#This Row],[LABEL]])</f>
        <v>25</v>
      </c>
      <c r="O111" s="107">
        <v>15</v>
      </c>
      <c r="P111" s="107" t="e">
        <f>ROUND(Tableau16[[#This Row],[LEN]]*#REF!+#REF!,0)</f>
        <v>#REF!</v>
      </c>
    </row>
    <row r="112" spans="1:16" s="97" customFormat="1" x14ac:dyDescent="0.25">
      <c r="A112" s="17" t="s">
        <v>969</v>
      </c>
      <c r="B112" s="18" t="s">
        <v>235</v>
      </c>
      <c r="C112" s="19" t="s">
        <v>110</v>
      </c>
      <c r="D112" s="68" t="s">
        <v>1177</v>
      </c>
      <c r="E112" s="19" t="s">
        <v>1177</v>
      </c>
      <c r="F112" s="19" t="s">
        <v>1084</v>
      </c>
      <c r="G112" s="68" t="s">
        <v>1977</v>
      </c>
      <c r="H112" s="68" t="s">
        <v>1131</v>
      </c>
      <c r="I112" s="19"/>
      <c r="J112" s="20" t="s">
        <v>708</v>
      </c>
      <c r="K112" s="107">
        <f>ROUND(Tableau16[[#This Row],[LEN]]*7.27,0)</f>
        <v>102</v>
      </c>
      <c r="L112" s="107">
        <v>15</v>
      </c>
      <c r="M112" s="125" t="str">
        <f t="shared" si="1"/>
        <v>none</v>
      </c>
      <c r="N112" s="107">
        <f>LEN(Tableau16[[#This Row],[LABEL]])</f>
        <v>14</v>
      </c>
      <c r="O112" s="107">
        <v>15</v>
      </c>
      <c r="P112" s="107" t="e">
        <f>ROUND(Tableau16[[#This Row],[LEN]]*#REF!+#REF!,0)</f>
        <v>#REF!</v>
      </c>
    </row>
    <row r="113" spans="1:16" s="273" customFormat="1" x14ac:dyDescent="0.25">
      <c r="A113" s="266" t="s">
        <v>236</v>
      </c>
      <c r="B113" s="267" t="s">
        <v>205</v>
      </c>
      <c r="C113" s="268" t="s">
        <v>5</v>
      </c>
      <c r="D113" s="269" t="s">
        <v>1177</v>
      </c>
      <c r="E113" s="268" t="s">
        <v>668</v>
      </c>
      <c r="F113" s="268" t="s">
        <v>1177</v>
      </c>
      <c r="G113" s="269" t="s">
        <v>167</v>
      </c>
      <c r="H113" s="269" t="str">
        <f>IFERROR(IF(SEARCH(".00.00.00.00.00",Tableau16[[#This Row],[name]],1)=7,"Division",""),"")</f>
        <v>Division</v>
      </c>
      <c r="I113" s="268"/>
      <c r="J113" s="270" t="s">
        <v>708</v>
      </c>
      <c r="K113" s="271">
        <f>ROUND(Tableau16[[#This Row],[LEN]]*7.27,0)</f>
        <v>73</v>
      </c>
      <c r="L113" s="271">
        <v>15</v>
      </c>
      <c r="M113" s="272" t="str">
        <f t="shared" si="1"/>
        <v>none</v>
      </c>
      <c r="N113" s="271">
        <f>LEN(Tableau16[[#This Row],[LABEL]])</f>
        <v>10</v>
      </c>
      <c r="O113" s="271">
        <v>15</v>
      </c>
      <c r="P113" s="271" t="e">
        <f>ROUND(Tableau16[[#This Row],[LEN]]*#REF!+#REF!,0)</f>
        <v>#REF!</v>
      </c>
    </row>
    <row r="114" spans="1:16" s="97" customFormat="1" x14ac:dyDescent="0.25">
      <c r="A114" s="17" t="s">
        <v>982</v>
      </c>
      <c r="B114" s="18" t="s">
        <v>236</v>
      </c>
      <c r="C114" s="19" t="s">
        <v>983</v>
      </c>
      <c r="D114" s="68" t="s">
        <v>1177</v>
      </c>
      <c r="E114" s="19" t="s">
        <v>668</v>
      </c>
      <c r="F114" s="19" t="s">
        <v>1177</v>
      </c>
      <c r="G114" s="68" t="s">
        <v>167</v>
      </c>
      <c r="H114" s="68" t="s">
        <v>18</v>
      </c>
      <c r="I114" s="19"/>
      <c r="J114" s="20" t="s">
        <v>708</v>
      </c>
      <c r="K114" s="107">
        <f>ROUND(Tableau16[[#This Row],[LEN]]*7.27,0)</f>
        <v>371</v>
      </c>
      <c r="L114" s="107">
        <v>15</v>
      </c>
      <c r="M114" s="125" t="str">
        <f t="shared" si="1"/>
        <v>none</v>
      </c>
      <c r="N114" s="107">
        <f>LEN(Tableau16[[#This Row],[LABEL]])</f>
        <v>51</v>
      </c>
      <c r="O114" s="107">
        <v>15</v>
      </c>
      <c r="P114" s="107" t="e">
        <f>ROUND(Tableau16[[#This Row],[LEN]]*#REF!+#REF!,0)</f>
        <v>#REF!</v>
      </c>
    </row>
    <row r="115" spans="1:16" s="273" customFormat="1" x14ac:dyDescent="0.25">
      <c r="A115" s="266" t="s">
        <v>237</v>
      </c>
      <c r="B115" s="267" t="s">
        <v>205</v>
      </c>
      <c r="C115" s="268" t="s">
        <v>6</v>
      </c>
      <c r="D115" s="269" t="s">
        <v>1177</v>
      </c>
      <c r="E115" s="268" t="s">
        <v>669</v>
      </c>
      <c r="F115" s="268" t="s">
        <v>1177</v>
      </c>
      <c r="G115" s="269" t="s">
        <v>167</v>
      </c>
      <c r="H115" s="269" t="str">
        <f>IFERROR(IF(SEARCH(".00.00.00.00.00",Tableau16[[#This Row],[name]],1)=7,"Division",""),"")</f>
        <v>Division</v>
      </c>
      <c r="I115" s="268"/>
      <c r="J115" s="270" t="s">
        <v>708</v>
      </c>
      <c r="K115" s="271">
        <f>ROUND(Tableau16[[#This Row],[LEN]]*7.27,0)</f>
        <v>196</v>
      </c>
      <c r="L115" s="271">
        <v>15</v>
      </c>
      <c r="M115" s="272" t="str">
        <f t="shared" si="1"/>
        <v>none</v>
      </c>
      <c r="N115" s="271">
        <f>LEN(Tableau16[[#This Row],[LABEL]])</f>
        <v>27</v>
      </c>
      <c r="O115" s="271">
        <v>15</v>
      </c>
      <c r="P115" s="271" t="e">
        <f>ROUND(Tableau16[[#This Row],[LEN]]*#REF!+#REF!,0)</f>
        <v>#REF!</v>
      </c>
    </row>
    <row r="116" spans="1:16" s="97" customFormat="1" x14ac:dyDescent="0.25">
      <c r="A116" s="17" t="s">
        <v>382</v>
      </c>
      <c r="B116" s="18" t="s">
        <v>237</v>
      </c>
      <c r="C116" s="19" t="s">
        <v>81</v>
      </c>
      <c r="D116" s="68" t="s">
        <v>1177</v>
      </c>
      <c r="E116" s="19" t="s">
        <v>667</v>
      </c>
      <c r="F116" s="19" t="s">
        <v>702</v>
      </c>
      <c r="G116" s="68" t="s">
        <v>167</v>
      </c>
      <c r="H116" s="68" t="s">
        <v>654</v>
      </c>
      <c r="I116" s="19"/>
      <c r="J116" s="20" t="s">
        <v>708</v>
      </c>
      <c r="K116" s="107">
        <f>ROUND(Tableau16[[#This Row],[LEN]]*7.27,0)</f>
        <v>73</v>
      </c>
      <c r="L116" s="107">
        <v>15</v>
      </c>
      <c r="M116" s="125" t="str">
        <f t="shared" si="1"/>
        <v>none</v>
      </c>
      <c r="N116" s="107">
        <f>LEN(Tableau16[[#This Row],[LABEL]])</f>
        <v>10</v>
      </c>
      <c r="O116" s="107">
        <v>15</v>
      </c>
      <c r="P116" s="107" t="e">
        <f>ROUND(Tableau16[[#This Row],[LEN]]*#REF!+#REF!,0)</f>
        <v>#REF!</v>
      </c>
    </row>
    <row r="117" spans="1:16" s="97" customFormat="1" x14ac:dyDescent="0.25">
      <c r="A117" s="17" t="s">
        <v>383</v>
      </c>
      <c r="B117" s="18" t="s">
        <v>237</v>
      </c>
      <c r="C117" s="19" t="s">
        <v>136</v>
      </c>
      <c r="D117" s="68" t="s">
        <v>1177</v>
      </c>
      <c r="E117" s="19" t="s">
        <v>669</v>
      </c>
      <c r="F117" s="19" t="s">
        <v>678</v>
      </c>
      <c r="G117" s="68" t="s">
        <v>167</v>
      </c>
      <c r="H117" s="68" t="s">
        <v>656</v>
      </c>
      <c r="I117" s="19"/>
      <c r="J117" s="20" t="s">
        <v>708</v>
      </c>
      <c r="K117" s="107">
        <f>ROUND(Tableau16[[#This Row],[LEN]]*7.27,0)</f>
        <v>174</v>
      </c>
      <c r="L117" s="107">
        <v>15</v>
      </c>
      <c r="M117" s="125" t="str">
        <f t="shared" si="1"/>
        <v>none</v>
      </c>
      <c r="N117" s="107">
        <f>LEN(Tableau16[[#This Row],[LABEL]])</f>
        <v>24</v>
      </c>
      <c r="O117" s="107">
        <v>15</v>
      </c>
      <c r="P117" s="107" t="e">
        <f>ROUND(Tableau16[[#This Row],[LEN]]*#REF!+#REF!,0)</f>
        <v>#REF!</v>
      </c>
    </row>
    <row r="118" spans="1:16" s="97" customFormat="1" x14ac:dyDescent="0.25">
      <c r="A118" s="17" t="s">
        <v>384</v>
      </c>
      <c r="B118" s="18" t="s">
        <v>237</v>
      </c>
      <c r="C118" s="19" t="s">
        <v>110</v>
      </c>
      <c r="D118" s="68" t="s">
        <v>1177</v>
      </c>
      <c r="E118" s="19" t="s">
        <v>1177</v>
      </c>
      <c r="F118" s="19" t="s">
        <v>1084</v>
      </c>
      <c r="G118" s="68" t="s">
        <v>1977</v>
      </c>
      <c r="H118" s="68" t="s">
        <v>1131</v>
      </c>
      <c r="I118" s="19"/>
      <c r="J118" s="20" t="s">
        <v>708</v>
      </c>
      <c r="K118" s="107">
        <f>ROUND(Tableau16[[#This Row],[LEN]]*7.27,0)</f>
        <v>102</v>
      </c>
      <c r="L118" s="107">
        <v>15</v>
      </c>
      <c r="M118" s="125" t="str">
        <f t="shared" si="1"/>
        <v>none</v>
      </c>
      <c r="N118" s="107">
        <f>LEN(Tableau16[[#This Row],[LABEL]])</f>
        <v>14</v>
      </c>
      <c r="O118" s="107">
        <v>15</v>
      </c>
      <c r="P118" s="107" t="e">
        <f>ROUND(Tableau16[[#This Row],[LEN]]*#REF!+#REF!,0)</f>
        <v>#REF!</v>
      </c>
    </row>
    <row r="119" spans="1:16" s="273" customFormat="1" x14ac:dyDescent="0.25">
      <c r="A119" s="266" t="s">
        <v>240</v>
      </c>
      <c r="B119" s="267" t="s">
        <v>205</v>
      </c>
      <c r="C119" s="268" t="s">
        <v>9</v>
      </c>
      <c r="D119" s="269" t="s">
        <v>1177</v>
      </c>
      <c r="E119" s="268" t="s">
        <v>672</v>
      </c>
      <c r="F119" s="268" t="s">
        <v>1177</v>
      </c>
      <c r="G119" s="269" t="s">
        <v>167</v>
      </c>
      <c r="H119" s="269" t="str">
        <f>IFERROR(IF(SEARCH(".00.00.00.00.00",Tableau16[[#This Row],[name]],1)=7,"Division",""),"")</f>
        <v>Division</v>
      </c>
      <c r="I119" s="268"/>
      <c r="J119" s="270" t="s">
        <v>718</v>
      </c>
      <c r="K119" s="271">
        <f>ROUND(Tableau16[[#This Row],[LEN]]*7.27,0)</f>
        <v>80</v>
      </c>
      <c r="L119" s="271">
        <v>15</v>
      </c>
      <c r="M119" s="272" t="str">
        <f t="shared" si="1"/>
        <v>new</v>
      </c>
      <c r="N119" s="271">
        <f>LEN(Tableau16[[#This Row],[LABEL]])</f>
        <v>11</v>
      </c>
      <c r="O119" s="271">
        <v>15</v>
      </c>
      <c r="P119" s="271" t="e">
        <f>ROUND(Tableau16[[#This Row],[LEN]]*#REF!+#REF!,0)</f>
        <v>#REF!</v>
      </c>
    </row>
    <row r="120" spans="1:16" s="97" customFormat="1" x14ac:dyDescent="0.25">
      <c r="A120" s="17" t="s">
        <v>372</v>
      </c>
      <c r="B120" s="18" t="s">
        <v>240</v>
      </c>
      <c r="C120" s="19" t="s">
        <v>81</v>
      </c>
      <c r="D120" s="68" t="s">
        <v>1177</v>
      </c>
      <c r="E120" s="19" t="s">
        <v>672</v>
      </c>
      <c r="F120" s="19" t="s">
        <v>2077</v>
      </c>
      <c r="G120" s="68" t="s">
        <v>167</v>
      </c>
      <c r="H120" s="68" t="s">
        <v>655</v>
      </c>
      <c r="I120" s="19"/>
      <c r="J120" s="20" t="s">
        <v>708</v>
      </c>
      <c r="K120" s="107">
        <f>ROUND(Tableau16[[#This Row],[LEN]]*7.27,0)</f>
        <v>73</v>
      </c>
      <c r="L120" s="107">
        <v>15</v>
      </c>
      <c r="M120" s="125" t="str">
        <f t="shared" si="1"/>
        <v>none</v>
      </c>
      <c r="N120" s="107">
        <f>LEN(Tableau16[[#This Row],[LABEL]])</f>
        <v>10</v>
      </c>
      <c r="O120" s="107">
        <v>15</v>
      </c>
      <c r="P120" s="107" t="e">
        <f>ROUND(Tableau16[[#This Row],[LEN]]*#REF!+#REF!,0)</f>
        <v>#REF!</v>
      </c>
    </row>
    <row r="121" spans="1:16" s="97" customFormat="1" x14ac:dyDescent="0.25">
      <c r="A121" s="21" t="s">
        <v>385</v>
      </c>
      <c r="B121" s="22" t="s">
        <v>372</v>
      </c>
      <c r="C121" s="23" t="s">
        <v>187</v>
      </c>
      <c r="D121" s="69" t="s">
        <v>1177</v>
      </c>
      <c r="E121" s="23" t="s">
        <v>672</v>
      </c>
      <c r="F121" s="23" t="s">
        <v>2077</v>
      </c>
      <c r="G121" s="69" t="s">
        <v>167</v>
      </c>
      <c r="H121" s="69" t="s">
        <v>570</v>
      </c>
      <c r="I121" s="23"/>
      <c r="J121" s="24" t="s">
        <v>708</v>
      </c>
      <c r="K121" s="108">
        <f>ROUND(Tableau16[[#This Row],[LEN]]*7.27,0)</f>
        <v>305</v>
      </c>
      <c r="L121" s="108">
        <v>15</v>
      </c>
      <c r="M121" s="126" t="str">
        <f t="shared" si="1"/>
        <v>none</v>
      </c>
      <c r="N121" s="108">
        <f>LEN(Tableau16[[#This Row],[LABEL]])</f>
        <v>42</v>
      </c>
      <c r="O121" s="108">
        <v>15</v>
      </c>
      <c r="P121" s="108" t="e">
        <f>ROUND(Tableau16[[#This Row],[LEN]]*#REF!+#REF!,0)</f>
        <v>#REF!</v>
      </c>
    </row>
    <row r="122" spans="1:16" s="97" customFormat="1" x14ac:dyDescent="0.25">
      <c r="A122" s="21" t="s">
        <v>386</v>
      </c>
      <c r="B122" s="22" t="s">
        <v>372</v>
      </c>
      <c r="C122" s="23" t="s">
        <v>188</v>
      </c>
      <c r="D122" s="69" t="s">
        <v>1177</v>
      </c>
      <c r="E122" s="23" t="s">
        <v>672</v>
      </c>
      <c r="F122" s="23" t="s">
        <v>2077</v>
      </c>
      <c r="G122" s="69" t="s">
        <v>167</v>
      </c>
      <c r="H122" s="69" t="s">
        <v>570</v>
      </c>
      <c r="I122" s="23"/>
      <c r="J122" s="24" t="s">
        <v>708</v>
      </c>
      <c r="K122" s="108">
        <f>ROUND(Tableau16[[#This Row],[LEN]]*7.27,0)</f>
        <v>196</v>
      </c>
      <c r="L122" s="108">
        <v>15</v>
      </c>
      <c r="M122" s="126" t="str">
        <f t="shared" si="1"/>
        <v>none</v>
      </c>
      <c r="N122" s="108">
        <f>LEN(Tableau16[[#This Row],[LABEL]])</f>
        <v>27</v>
      </c>
      <c r="O122" s="108">
        <v>15</v>
      </c>
      <c r="P122" s="108" t="e">
        <f>ROUND(Tableau16[[#This Row],[LEN]]*#REF!+#REF!,0)</f>
        <v>#REF!</v>
      </c>
    </row>
    <row r="123" spans="1:16" s="97" customFormat="1" x14ac:dyDescent="0.25">
      <c r="A123" s="21" t="s">
        <v>387</v>
      </c>
      <c r="B123" s="22" t="s">
        <v>372</v>
      </c>
      <c r="C123" s="23" t="s">
        <v>189</v>
      </c>
      <c r="D123" s="69" t="s">
        <v>1177</v>
      </c>
      <c r="E123" s="23" t="s">
        <v>672</v>
      </c>
      <c r="F123" s="23" t="s">
        <v>2077</v>
      </c>
      <c r="G123" s="69" t="s">
        <v>167</v>
      </c>
      <c r="H123" s="69" t="s">
        <v>570</v>
      </c>
      <c r="I123" s="23"/>
      <c r="J123" s="24" t="s">
        <v>708</v>
      </c>
      <c r="K123" s="108">
        <f>ROUND(Tableau16[[#This Row],[LEN]]*7.27,0)</f>
        <v>291</v>
      </c>
      <c r="L123" s="108">
        <v>15</v>
      </c>
      <c r="M123" s="126" t="str">
        <f t="shared" si="1"/>
        <v>none</v>
      </c>
      <c r="N123" s="108">
        <f>LEN(Tableau16[[#This Row],[LABEL]])</f>
        <v>40</v>
      </c>
      <c r="O123" s="108">
        <v>15</v>
      </c>
      <c r="P123" s="108" t="e">
        <f>ROUND(Tableau16[[#This Row],[LEN]]*#REF!+#REF!,0)</f>
        <v>#REF!</v>
      </c>
    </row>
    <row r="124" spans="1:16" s="97" customFormat="1" x14ac:dyDescent="0.25">
      <c r="A124" s="21" t="s">
        <v>388</v>
      </c>
      <c r="B124" s="22" t="s">
        <v>372</v>
      </c>
      <c r="C124" s="23" t="s">
        <v>190</v>
      </c>
      <c r="D124" s="69" t="s">
        <v>1177</v>
      </c>
      <c r="E124" s="23" t="s">
        <v>672</v>
      </c>
      <c r="F124" s="23" t="s">
        <v>2077</v>
      </c>
      <c r="G124" s="69" t="s">
        <v>167</v>
      </c>
      <c r="H124" s="69" t="s">
        <v>570</v>
      </c>
      <c r="I124" s="23"/>
      <c r="J124" s="24" t="s">
        <v>708</v>
      </c>
      <c r="K124" s="108">
        <f>ROUND(Tableau16[[#This Row],[LEN]]*7.27,0)</f>
        <v>240</v>
      </c>
      <c r="L124" s="108">
        <v>15</v>
      </c>
      <c r="M124" s="126" t="str">
        <f t="shared" si="1"/>
        <v>none</v>
      </c>
      <c r="N124" s="108">
        <f>LEN(Tableau16[[#This Row],[LABEL]])</f>
        <v>33</v>
      </c>
      <c r="O124" s="108">
        <v>15</v>
      </c>
      <c r="P124" s="108" t="e">
        <f>ROUND(Tableau16[[#This Row],[LEN]]*#REF!+#REF!,0)</f>
        <v>#REF!</v>
      </c>
    </row>
    <row r="125" spans="1:16" s="97" customFormat="1" x14ac:dyDescent="0.25">
      <c r="A125" s="21" t="s">
        <v>389</v>
      </c>
      <c r="B125" s="22" t="s">
        <v>372</v>
      </c>
      <c r="C125" s="23" t="s">
        <v>191</v>
      </c>
      <c r="D125" s="69" t="s">
        <v>1177</v>
      </c>
      <c r="E125" s="23" t="s">
        <v>672</v>
      </c>
      <c r="F125" s="23" t="s">
        <v>2077</v>
      </c>
      <c r="G125" s="69" t="s">
        <v>167</v>
      </c>
      <c r="H125" s="69" t="s">
        <v>570</v>
      </c>
      <c r="I125" s="23"/>
      <c r="J125" s="24" t="s">
        <v>708</v>
      </c>
      <c r="K125" s="108">
        <f>ROUND(Tableau16[[#This Row],[LEN]]*7.27,0)</f>
        <v>233</v>
      </c>
      <c r="L125" s="108">
        <v>15</v>
      </c>
      <c r="M125" s="126" t="str">
        <f t="shared" si="1"/>
        <v>none</v>
      </c>
      <c r="N125" s="108">
        <f>LEN(Tableau16[[#This Row],[LABEL]])</f>
        <v>32</v>
      </c>
      <c r="O125" s="108">
        <v>15</v>
      </c>
      <c r="P125" s="108" t="e">
        <f>ROUND(Tableau16[[#This Row],[LEN]]*#REF!+#REF!,0)</f>
        <v>#REF!</v>
      </c>
    </row>
    <row r="126" spans="1:16" s="97" customFormat="1" x14ac:dyDescent="0.25">
      <c r="A126" s="21" t="s">
        <v>390</v>
      </c>
      <c r="B126" s="22" t="s">
        <v>372</v>
      </c>
      <c r="C126" s="23" t="s">
        <v>192</v>
      </c>
      <c r="D126" s="69" t="s">
        <v>1177</v>
      </c>
      <c r="E126" s="23" t="s">
        <v>672</v>
      </c>
      <c r="F126" s="23" t="s">
        <v>2077</v>
      </c>
      <c r="G126" s="69" t="s">
        <v>167</v>
      </c>
      <c r="H126" s="69" t="s">
        <v>570</v>
      </c>
      <c r="I126" s="23"/>
      <c r="J126" s="24" t="s">
        <v>708</v>
      </c>
      <c r="K126" s="108">
        <f>ROUND(Tableau16[[#This Row],[LEN]]*7.27,0)</f>
        <v>225</v>
      </c>
      <c r="L126" s="108">
        <v>15</v>
      </c>
      <c r="M126" s="126" t="str">
        <f t="shared" si="1"/>
        <v>none</v>
      </c>
      <c r="N126" s="108">
        <f>LEN(Tableau16[[#This Row],[LABEL]])</f>
        <v>31</v>
      </c>
      <c r="O126" s="108">
        <v>15</v>
      </c>
      <c r="P126" s="108" t="e">
        <f>ROUND(Tableau16[[#This Row],[LEN]]*#REF!+#REF!,0)</f>
        <v>#REF!</v>
      </c>
    </row>
    <row r="127" spans="1:16" s="97" customFormat="1" x14ac:dyDescent="0.25">
      <c r="A127" s="21" t="s">
        <v>391</v>
      </c>
      <c r="B127" s="22" t="s">
        <v>372</v>
      </c>
      <c r="C127" s="23" t="s">
        <v>193</v>
      </c>
      <c r="D127" s="69" t="s">
        <v>1177</v>
      </c>
      <c r="E127" s="23" t="s">
        <v>672</v>
      </c>
      <c r="F127" s="23" t="s">
        <v>2077</v>
      </c>
      <c r="G127" s="69" t="s">
        <v>167</v>
      </c>
      <c r="H127" s="69" t="s">
        <v>570</v>
      </c>
      <c r="I127" s="23"/>
      <c r="J127" s="24" t="s">
        <v>708</v>
      </c>
      <c r="K127" s="108">
        <f>ROUND(Tableau16[[#This Row],[LEN]]*7.27,0)</f>
        <v>196</v>
      </c>
      <c r="L127" s="108">
        <v>15</v>
      </c>
      <c r="M127" s="126" t="str">
        <f t="shared" si="1"/>
        <v>none</v>
      </c>
      <c r="N127" s="108">
        <f>LEN(Tableau16[[#This Row],[LABEL]])</f>
        <v>27</v>
      </c>
      <c r="O127" s="108">
        <v>15</v>
      </c>
      <c r="P127" s="108" t="e">
        <f>ROUND(Tableau16[[#This Row],[LEN]]*#REF!+#REF!,0)</f>
        <v>#REF!</v>
      </c>
    </row>
    <row r="128" spans="1:16" s="97" customFormat="1" x14ac:dyDescent="0.25">
      <c r="A128" s="21" t="s">
        <v>392</v>
      </c>
      <c r="B128" s="22" t="s">
        <v>372</v>
      </c>
      <c r="C128" s="23" t="s">
        <v>194</v>
      </c>
      <c r="D128" s="69" t="s">
        <v>1177</v>
      </c>
      <c r="E128" s="23" t="s">
        <v>672</v>
      </c>
      <c r="F128" s="23" t="s">
        <v>2077</v>
      </c>
      <c r="G128" s="69" t="s">
        <v>167</v>
      </c>
      <c r="H128" s="69" t="s">
        <v>570</v>
      </c>
      <c r="I128" s="23"/>
      <c r="J128" s="24" t="s">
        <v>708</v>
      </c>
      <c r="K128" s="108">
        <f>ROUND(Tableau16[[#This Row],[LEN]]*7.27,0)</f>
        <v>109</v>
      </c>
      <c r="L128" s="108">
        <v>15</v>
      </c>
      <c r="M128" s="126" t="str">
        <f t="shared" si="1"/>
        <v>none</v>
      </c>
      <c r="N128" s="108">
        <f>LEN(Tableau16[[#This Row],[LABEL]])</f>
        <v>15</v>
      </c>
      <c r="O128" s="108">
        <v>15</v>
      </c>
      <c r="P128" s="108" t="e">
        <f>ROUND(Tableau16[[#This Row],[LEN]]*#REF!+#REF!,0)</f>
        <v>#REF!</v>
      </c>
    </row>
    <row r="129" spans="1:16" s="97" customFormat="1" x14ac:dyDescent="0.25">
      <c r="A129" s="21" t="s">
        <v>393</v>
      </c>
      <c r="B129" s="22" t="s">
        <v>372</v>
      </c>
      <c r="C129" s="23" t="s">
        <v>195</v>
      </c>
      <c r="D129" s="69" t="s">
        <v>1177</v>
      </c>
      <c r="E129" s="23" t="s">
        <v>672</v>
      </c>
      <c r="F129" s="23" t="s">
        <v>2077</v>
      </c>
      <c r="G129" s="69" t="s">
        <v>167</v>
      </c>
      <c r="H129" s="69" t="s">
        <v>570</v>
      </c>
      <c r="I129" s="23"/>
      <c r="J129" s="24" t="s">
        <v>708</v>
      </c>
      <c r="K129" s="108">
        <f>ROUND(Tableau16[[#This Row],[LEN]]*7.27,0)</f>
        <v>240</v>
      </c>
      <c r="L129" s="108">
        <v>15</v>
      </c>
      <c r="M129" s="126" t="str">
        <f t="shared" si="1"/>
        <v>none</v>
      </c>
      <c r="N129" s="108">
        <f>LEN(Tableau16[[#This Row],[LABEL]])</f>
        <v>33</v>
      </c>
      <c r="O129" s="108">
        <v>15</v>
      </c>
      <c r="P129" s="108" t="e">
        <f>ROUND(Tableau16[[#This Row],[LEN]]*#REF!+#REF!,0)</f>
        <v>#REF!</v>
      </c>
    </row>
    <row r="130" spans="1:16" s="97" customFormat="1" x14ac:dyDescent="0.25">
      <c r="A130" s="21" t="s">
        <v>394</v>
      </c>
      <c r="B130" s="22" t="s">
        <v>372</v>
      </c>
      <c r="C130" s="23" t="s">
        <v>196</v>
      </c>
      <c r="D130" s="69" t="s">
        <v>1177</v>
      </c>
      <c r="E130" s="23" t="s">
        <v>672</v>
      </c>
      <c r="F130" s="23" t="s">
        <v>2077</v>
      </c>
      <c r="G130" s="69" t="s">
        <v>167</v>
      </c>
      <c r="H130" s="69" t="s">
        <v>570</v>
      </c>
      <c r="I130" s="23"/>
      <c r="J130" s="24" t="s">
        <v>708</v>
      </c>
      <c r="K130" s="108">
        <f>ROUND(Tableau16[[#This Row],[LEN]]*7.27,0)</f>
        <v>269</v>
      </c>
      <c r="L130" s="108">
        <v>15</v>
      </c>
      <c r="M130" s="126" t="str">
        <f t="shared" si="1"/>
        <v>none</v>
      </c>
      <c r="N130" s="108">
        <f>LEN(Tableau16[[#This Row],[LABEL]])</f>
        <v>37</v>
      </c>
      <c r="O130" s="108">
        <v>15</v>
      </c>
      <c r="P130" s="108" t="e">
        <f>ROUND(Tableau16[[#This Row],[LEN]]*#REF!+#REF!,0)</f>
        <v>#REF!</v>
      </c>
    </row>
    <row r="131" spans="1:16" s="97" customFormat="1" x14ac:dyDescent="0.25">
      <c r="A131" s="21" t="s">
        <v>395</v>
      </c>
      <c r="B131" s="22" t="s">
        <v>372</v>
      </c>
      <c r="C131" s="23" t="s">
        <v>197</v>
      </c>
      <c r="D131" s="69" t="s">
        <v>1177</v>
      </c>
      <c r="E131" s="23" t="s">
        <v>672</v>
      </c>
      <c r="F131" s="23" t="s">
        <v>2077</v>
      </c>
      <c r="G131" s="69" t="s">
        <v>167</v>
      </c>
      <c r="H131" s="69" t="s">
        <v>570</v>
      </c>
      <c r="I131" s="23"/>
      <c r="J131" s="24" t="s">
        <v>708</v>
      </c>
      <c r="K131" s="108">
        <f>ROUND(Tableau16[[#This Row],[LEN]]*7.27,0)</f>
        <v>196</v>
      </c>
      <c r="L131" s="108">
        <v>15</v>
      </c>
      <c r="M131" s="126" t="str">
        <f t="shared" si="1"/>
        <v>none</v>
      </c>
      <c r="N131" s="108">
        <f>LEN(Tableau16[[#This Row],[LABEL]])</f>
        <v>27</v>
      </c>
      <c r="O131" s="108">
        <v>15</v>
      </c>
      <c r="P131" s="108" t="e">
        <f>ROUND(Tableau16[[#This Row],[LEN]]*#REF!+#REF!,0)</f>
        <v>#REF!</v>
      </c>
    </row>
    <row r="132" spans="1:16" s="97" customFormat="1" x14ac:dyDescent="0.25">
      <c r="A132" s="17" t="s">
        <v>470</v>
      </c>
      <c r="B132" s="18" t="s">
        <v>240</v>
      </c>
      <c r="C132" s="19" t="s">
        <v>110</v>
      </c>
      <c r="D132" s="68" t="s">
        <v>1177</v>
      </c>
      <c r="E132" s="19" t="s">
        <v>1177</v>
      </c>
      <c r="F132" s="19" t="s">
        <v>1084</v>
      </c>
      <c r="G132" s="68" t="s">
        <v>1977</v>
      </c>
      <c r="H132" s="68" t="s">
        <v>1131</v>
      </c>
      <c r="I132" s="19"/>
      <c r="J132" s="20" t="s">
        <v>708</v>
      </c>
      <c r="K132" s="107">
        <f>ROUND(Tableau16[[#This Row],[LEN]]*7.27,0)</f>
        <v>102</v>
      </c>
      <c r="L132" s="107">
        <v>15</v>
      </c>
      <c r="M132" s="125" t="str">
        <f t="shared" si="1"/>
        <v>none</v>
      </c>
      <c r="N132" s="107">
        <f>LEN(Tableau16[[#This Row],[LABEL]])</f>
        <v>14</v>
      </c>
      <c r="O132" s="107">
        <v>15</v>
      </c>
      <c r="P132" s="107" t="e">
        <f>ROUND(Tableau16[[#This Row],[LEN]]*#REF!+#REF!,0)</f>
        <v>#REF!</v>
      </c>
    </row>
    <row r="133" spans="1:16" s="273" customFormat="1" x14ac:dyDescent="0.25">
      <c r="A133" s="266" t="s">
        <v>241</v>
      </c>
      <c r="B133" s="267" t="s">
        <v>205</v>
      </c>
      <c r="C133" s="268" t="s">
        <v>10</v>
      </c>
      <c r="D133" s="269" t="s">
        <v>1177</v>
      </c>
      <c r="E133" s="268" t="s">
        <v>673</v>
      </c>
      <c r="F133" s="268" t="s">
        <v>1177</v>
      </c>
      <c r="G133" s="269" t="s">
        <v>167</v>
      </c>
      <c r="H133" s="269" t="str">
        <f>IFERROR(IF(SEARCH(".00.00.00.00.00",Tableau16[[#This Row],[name]],1)=7,"Division",""),"")</f>
        <v>Division</v>
      </c>
      <c r="I133" s="268"/>
      <c r="J133" s="270" t="s">
        <v>719</v>
      </c>
      <c r="K133" s="271">
        <f>ROUND(Tableau16[[#This Row],[LEN]]*7.27,0)</f>
        <v>109</v>
      </c>
      <c r="L133" s="271">
        <v>15</v>
      </c>
      <c r="M133" s="272" t="str">
        <f t="shared" si="1"/>
        <v>new</v>
      </c>
      <c r="N133" s="271">
        <f>LEN(Tableau16[[#This Row],[LABEL]])</f>
        <v>15</v>
      </c>
      <c r="O133" s="271">
        <v>15</v>
      </c>
      <c r="P133" s="271" t="e">
        <f>ROUND(Tableau16[[#This Row],[LEN]]*#REF!+#REF!,0)</f>
        <v>#REF!</v>
      </c>
    </row>
    <row r="134" spans="1:16" s="97" customFormat="1" x14ac:dyDescent="0.25">
      <c r="A134" s="17" t="s">
        <v>984</v>
      </c>
      <c r="B134" s="18" t="s">
        <v>241</v>
      </c>
      <c r="C134" s="19" t="s">
        <v>81</v>
      </c>
      <c r="D134" s="68" t="s">
        <v>1177</v>
      </c>
      <c r="E134" s="19" t="s">
        <v>667</v>
      </c>
      <c r="F134" s="19" t="s">
        <v>2078</v>
      </c>
      <c r="G134" s="68" t="s">
        <v>167</v>
      </c>
      <c r="H134" s="68" t="s">
        <v>655</v>
      </c>
      <c r="I134" s="19"/>
      <c r="J134" s="20" t="s">
        <v>708</v>
      </c>
      <c r="K134" s="107">
        <f>ROUND(Tableau16[[#This Row],[LEN]]*7.27,0)</f>
        <v>73</v>
      </c>
      <c r="L134" s="107">
        <v>15</v>
      </c>
      <c r="M134" s="125" t="str">
        <f t="shared" si="1"/>
        <v>none</v>
      </c>
      <c r="N134" s="107">
        <f>LEN(Tableau16[[#This Row],[LABEL]])</f>
        <v>10</v>
      </c>
      <c r="O134" s="107">
        <v>15</v>
      </c>
      <c r="P134" s="107" t="e">
        <f>ROUND(Tableau16[[#This Row],[LEN]]*#REF!+#REF!,0)</f>
        <v>#REF!</v>
      </c>
    </row>
    <row r="135" spans="1:16" s="97" customFormat="1" x14ac:dyDescent="0.25">
      <c r="A135" s="21" t="s">
        <v>987</v>
      </c>
      <c r="B135" s="22" t="s">
        <v>984</v>
      </c>
      <c r="C135" s="23" t="s">
        <v>992</v>
      </c>
      <c r="D135" s="69" t="s">
        <v>1177</v>
      </c>
      <c r="E135" s="23" t="s">
        <v>667</v>
      </c>
      <c r="F135" s="23" t="s">
        <v>2078</v>
      </c>
      <c r="G135" s="69" t="s">
        <v>167</v>
      </c>
      <c r="H135" s="69" t="s">
        <v>570</v>
      </c>
      <c r="I135" s="23"/>
      <c r="J135" s="24" t="s">
        <v>708</v>
      </c>
      <c r="K135" s="108">
        <f>ROUND(Tableau16[[#This Row],[LEN]]*7.27,0)</f>
        <v>138</v>
      </c>
      <c r="L135" s="108">
        <v>15</v>
      </c>
      <c r="M135" s="126" t="str">
        <f t="shared" si="1"/>
        <v>none</v>
      </c>
      <c r="N135" s="108">
        <f>LEN(Tableau16[[#This Row],[LABEL]])</f>
        <v>19</v>
      </c>
      <c r="O135" s="108">
        <v>15</v>
      </c>
      <c r="P135" s="108" t="e">
        <f>ROUND(Tableau16[[#This Row],[LEN]]*#REF!+#REF!,0)</f>
        <v>#REF!</v>
      </c>
    </row>
    <row r="136" spans="1:16" s="97" customFormat="1" x14ac:dyDescent="0.25">
      <c r="A136" s="21" t="s">
        <v>988</v>
      </c>
      <c r="B136" s="22" t="s">
        <v>984</v>
      </c>
      <c r="C136" s="23" t="s">
        <v>993</v>
      </c>
      <c r="D136" s="69" t="s">
        <v>1177</v>
      </c>
      <c r="E136" s="23" t="s">
        <v>667</v>
      </c>
      <c r="F136" s="23" t="s">
        <v>2078</v>
      </c>
      <c r="G136" s="69" t="s">
        <v>167</v>
      </c>
      <c r="H136" s="69" t="s">
        <v>570</v>
      </c>
      <c r="I136" s="23"/>
      <c r="J136" s="24" t="s">
        <v>708</v>
      </c>
      <c r="K136" s="108">
        <f>ROUND(Tableau16[[#This Row],[LEN]]*7.27,0)</f>
        <v>225</v>
      </c>
      <c r="L136" s="108">
        <v>15</v>
      </c>
      <c r="M136" s="126" t="str">
        <f t="shared" si="1"/>
        <v>none</v>
      </c>
      <c r="N136" s="108">
        <f>LEN(Tableau16[[#This Row],[LABEL]])</f>
        <v>31</v>
      </c>
      <c r="O136" s="108">
        <v>15</v>
      </c>
      <c r="P136" s="108" t="e">
        <f>ROUND(Tableau16[[#This Row],[LEN]]*#REF!+#REF!,0)</f>
        <v>#REF!</v>
      </c>
    </row>
    <row r="137" spans="1:16" s="97" customFormat="1" x14ac:dyDescent="0.25">
      <c r="A137" s="21" t="s">
        <v>989</v>
      </c>
      <c r="B137" s="22" t="s">
        <v>984</v>
      </c>
      <c r="C137" s="23" t="s">
        <v>994</v>
      </c>
      <c r="D137" s="69" t="s">
        <v>1177</v>
      </c>
      <c r="E137" s="23" t="s">
        <v>667</v>
      </c>
      <c r="F137" s="23" t="s">
        <v>2078</v>
      </c>
      <c r="G137" s="69" t="s">
        <v>167</v>
      </c>
      <c r="H137" s="69" t="s">
        <v>570</v>
      </c>
      <c r="I137" s="23"/>
      <c r="J137" s="24" t="s">
        <v>708</v>
      </c>
      <c r="K137" s="108">
        <f>ROUND(Tableau16[[#This Row],[LEN]]*7.27,0)</f>
        <v>153</v>
      </c>
      <c r="L137" s="108">
        <v>15</v>
      </c>
      <c r="M137" s="126" t="str">
        <f t="shared" si="1"/>
        <v>none</v>
      </c>
      <c r="N137" s="108">
        <f>LEN(Tableau16[[#This Row],[LABEL]])</f>
        <v>21</v>
      </c>
      <c r="O137" s="108">
        <v>15</v>
      </c>
      <c r="P137" s="108" t="e">
        <f>ROUND(Tableau16[[#This Row],[LEN]]*#REF!+#REF!,0)</f>
        <v>#REF!</v>
      </c>
    </row>
    <row r="138" spans="1:16" s="97" customFormat="1" x14ac:dyDescent="0.25">
      <c r="A138" s="21" t="s">
        <v>990</v>
      </c>
      <c r="B138" s="22" t="s">
        <v>984</v>
      </c>
      <c r="C138" s="23" t="s">
        <v>995</v>
      </c>
      <c r="D138" s="69" t="s">
        <v>1177</v>
      </c>
      <c r="E138" s="23" t="s">
        <v>667</v>
      </c>
      <c r="F138" s="23" t="s">
        <v>2078</v>
      </c>
      <c r="G138" s="69" t="s">
        <v>167</v>
      </c>
      <c r="H138" s="69" t="s">
        <v>570</v>
      </c>
      <c r="I138" s="23"/>
      <c r="J138" s="24" t="s">
        <v>708</v>
      </c>
      <c r="K138" s="108">
        <f>ROUND(Tableau16[[#This Row],[LEN]]*7.27,0)</f>
        <v>327</v>
      </c>
      <c r="L138" s="108">
        <v>15</v>
      </c>
      <c r="M138" s="126" t="str">
        <f t="shared" si="1"/>
        <v>none</v>
      </c>
      <c r="N138" s="108">
        <f>LEN(Tableau16[[#This Row],[LABEL]])</f>
        <v>45</v>
      </c>
      <c r="O138" s="108">
        <v>15</v>
      </c>
      <c r="P138" s="108" t="e">
        <f>ROUND(Tableau16[[#This Row],[LEN]]*#REF!+#REF!,0)</f>
        <v>#REF!</v>
      </c>
    </row>
    <row r="139" spans="1:16" s="97" customFormat="1" x14ac:dyDescent="0.25">
      <c r="A139" s="21" t="s">
        <v>991</v>
      </c>
      <c r="B139" s="22" t="s">
        <v>984</v>
      </c>
      <c r="C139" s="23" t="s">
        <v>996</v>
      </c>
      <c r="D139" s="69" t="s">
        <v>1177</v>
      </c>
      <c r="E139" s="23" t="s">
        <v>667</v>
      </c>
      <c r="F139" s="23" t="s">
        <v>2078</v>
      </c>
      <c r="G139" s="69" t="s">
        <v>167</v>
      </c>
      <c r="H139" s="69" t="s">
        <v>570</v>
      </c>
      <c r="I139" s="23"/>
      <c r="J139" s="24" t="s">
        <v>708</v>
      </c>
      <c r="K139" s="108">
        <f>ROUND(Tableau16[[#This Row],[LEN]]*7.27,0)</f>
        <v>211</v>
      </c>
      <c r="L139" s="108">
        <v>15</v>
      </c>
      <c r="M139" s="126" t="str">
        <f t="shared" si="1"/>
        <v>none</v>
      </c>
      <c r="N139" s="108">
        <f>LEN(Tableau16[[#This Row],[LABEL]])</f>
        <v>29</v>
      </c>
      <c r="O139" s="108">
        <v>15</v>
      </c>
      <c r="P139" s="108" t="e">
        <f>ROUND(Tableau16[[#This Row],[LEN]]*#REF!+#REF!,0)</f>
        <v>#REF!</v>
      </c>
    </row>
    <row r="140" spans="1:16" s="97" customFormat="1" x14ac:dyDescent="0.25">
      <c r="A140" s="17" t="s">
        <v>985</v>
      </c>
      <c r="B140" s="18" t="s">
        <v>241</v>
      </c>
      <c r="C140" s="19" t="s">
        <v>110</v>
      </c>
      <c r="D140" s="68" t="s">
        <v>1177</v>
      </c>
      <c r="E140" s="19" t="s">
        <v>1177</v>
      </c>
      <c r="F140" s="19" t="s">
        <v>1084</v>
      </c>
      <c r="G140" s="68" t="s">
        <v>1977</v>
      </c>
      <c r="H140" s="68" t="s">
        <v>1131</v>
      </c>
      <c r="I140" s="19"/>
      <c r="J140" s="20" t="s">
        <v>708</v>
      </c>
      <c r="K140" s="107">
        <f>ROUND(Tableau16[[#This Row],[LEN]]*7.27,0)</f>
        <v>102</v>
      </c>
      <c r="L140" s="107">
        <v>15</v>
      </c>
      <c r="M140" s="125" t="str">
        <f t="shared" si="1"/>
        <v>none</v>
      </c>
      <c r="N140" s="107">
        <f>LEN(Tableau16[[#This Row],[LABEL]])</f>
        <v>14</v>
      </c>
      <c r="O140" s="107">
        <v>15</v>
      </c>
      <c r="P140" s="107" t="e">
        <f>ROUND(Tableau16[[#This Row],[LEN]]*#REF!+#REF!,0)</f>
        <v>#REF!</v>
      </c>
    </row>
    <row r="141" spans="1:16" s="273" customFormat="1" x14ac:dyDescent="0.25">
      <c r="A141" s="266" t="s">
        <v>242</v>
      </c>
      <c r="B141" s="267" t="s">
        <v>205</v>
      </c>
      <c r="C141" s="268" t="s">
        <v>11</v>
      </c>
      <c r="D141" s="269" t="s">
        <v>1177</v>
      </c>
      <c r="E141" s="268" t="s">
        <v>674</v>
      </c>
      <c r="F141" s="268" t="s">
        <v>1177</v>
      </c>
      <c r="G141" s="269" t="s">
        <v>167</v>
      </c>
      <c r="H141" s="269" t="str">
        <f>IFERROR(IF(SEARCH(".00.00.00.00.00",Tableau16[[#This Row],[name]],1)=7,"Division",""),"")</f>
        <v>Division</v>
      </c>
      <c r="I141" s="268"/>
      <c r="J141" s="270" t="s">
        <v>720</v>
      </c>
      <c r="K141" s="271">
        <f>ROUND(Tableau16[[#This Row],[LEN]]*7.27,0)</f>
        <v>51</v>
      </c>
      <c r="L141" s="271">
        <v>15</v>
      </c>
      <c r="M141" s="272" t="str">
        <f t="shared" si="1"/>
        <v>new</v>
      </c>
      <c r="N141" s="271">
        <f>LEN(Tableau16[[#This Row],[LABEL]])</f>
        <v>7</v>
      </c>
      <c r="O141" s="271">
        <v>15</v>
      </c>
      <c r="P141" s="271" t="e">
        <f>ROUND(Tableau16[[#This Row],[LEN]]*#REF!+#REF!,0)</f>
        <v>#REF!</v>
      </c>
    </row>
    <row r="142" spans="1:16" s="97" customFormat="1" x14ac:dyDescent="0.25">
      <c r="A142" s="17" t="s">
        <v>997</v>
      </c>
      <c r="B142" s="18" t="s">
        <v>242</v>
      </c>
      <c r="C142" s="19" t="s">
        <v>81</v>
      </c>
      <c r="D142" s="68" t="s">
        <v>1177</v>
      </c>
      <c r="E142" s="19" t="s">
        <v>667</v>
      </c>
      <c r="F142" s="19" t="s">
        <v>2079</v>
      </c>
      <c r="G142" s="68" t="s">
        <v>167</v>
      </c>
      <c r="H142" s="68" t="s">
        <v>655</v>
      </c>
      <c r="I142" s="19"/>
      <c r="J142" s="20" t="s">
        <v>708</v>
      </c>
      <c r="K142" s="107">
        <f>ROUND(Tableau16[[#This Row],[LEN]]*7.27,0)</f>
        <v>73</v>
      </c>
      <c r="L142" s="107">
        <v>15</v>
      </c>
      <c r="M142" s="125" t="str">
        <f t="shared" si="1"/>
        <v>none</v>
      </c>
      <c r="N142" s="107">
        <f>LEN(Tableau16[[#This Row],[LABEL]])</f>
        <v>10</v>
      </c>
      <c r="O142" s="107">
        <v>15</v>
      </c>
      <c r="P142" s="107" t="e">
        <f>ROUND(Tableau16[[#This Row],[LEN]]*#REF!+#REF!,0)</f>
        <v>#REF!</v>
      </c>
    </row>
    <row r="143" spans="1:16" s="97" customFormat="1" x14ac:dyDescent="0.25">
      <c r="A143" s="21" t="s">
        <v>1002</v>
      </c>
      <c r="B143" s="22" t="s">
        <v>997</v>
      </c>
      <c r="C143" s="23" t="s">
        <v>1000</v>
      </c>
      <c r="D143" s="69" t="s">
        <v>1177</v>
      </c>
      <c r="E143" s="23" t="s">
        <v>667</v>
      </c>
      <c r="F143" s="23" t="s">
        <v>2079</v>
      </c>
      <c r="G143" s="69" t="s">
        <v>167</v>
      </c>
      <c r="H143" s="69" t="s">
        <v>570</v>
      </c>
      <c r="I143" s="23"/>
      <c r="J143" s="24" t="s">
        <v>708</v>
      </c>
      <c r="K143" s="108">
        <f>ROUND(Tableau16[[#This Row],[LEN]]*7.27,0)</f>
        <v>196</v>
      </c>
      <c r="L143" s="108">
        <v>15</v>
      </c>
      <c r="M143" s="126" t="str">
        <f t="shared" si="1"/>
        <v>none</v>
      </c>
      <c r="N143" s="108">
        <f>LEN(Tableau16[[#This Row],[LABEL]])</f>
        <v>27</v>
      </c>
      <c r="O143" s="108">
        <v>15</v>
      </c>
      <c r="P143" s="108" t="e">
        <f>ROUND(Tableau16[[#This Row],[LEN]]*#REF!+#REF!,0)</f>
        <v>#REF!</v>
      </c>
    </row>
    <row r="144" spans="1:16" s="97" customFormat="1" x14ac:dyDescent="0.25">
      <c r="A144" s="21" t="s">
        <v>1003</v>
      </c>
      <c r="B144" s="22" t="s">
        <v>997</v>
      </c>
      <c r="C144" s="23" t="s">
        <v>1001</v>
      </c>
      <c r="D144" s="69" t="s">
        <v>1177</v>
      </c>
      <c r="E144" s="23" t="s">
        <v>667</v>
      </c>
      <c r="F144" s="23" t="s">
        <v>2079</v>
      </c>
      <c r="G144" s="69" t="s">
        <v>167</v>
      </c>
      <c r="H144" s="69" t="s">
        <v>570</v>
      </c>
      <c r="I144" s="23"/>
      <c r="J144" s="24" t="s">
        <v>708</v>
      </c>
      <c r="K144" s="108">
        <f>ROUND(Tableau16[[#This Row],[LEN]]*7.27,0)</f>
        <v>174</v>
      </c>
      <c r="L144" s="108">
        <v>15</v>
      </c>
      <c r="M144" s="126" t="str">
        <f t="shared" si="1"/>
        <v>none</v>
      </c>
      <c r="N144" s="108">
        <f>LEN(Tableau16[[#This Row],[LABEL]])</f>
        <v>24</v>
      </c>
      <c r="O144" s="108">
        <v>15</v>
      </c>
      <c r="P144" s="108" t="e">
        <f>ROUND(Tableau16[[#This Row],[LEN]]*#REF!+#REF!,0)</f>
        <v>#REF!</v>
      </c>
    </row>
    <row r="145" spans="1:16" s="97" customFormat="1" x14ac:dyDescent="0.25">
      <c r="A145" s="17" t="s">
        <v>998</v>
      </c>
      <c r="B145" s="18" t="s">
        <v>242</v>
      </c>
      <c r="C145" s="19" t="s">
        <v>110</v>
      </c>
      <c r="D145" s="68" t="s">
        <v>1177</v>
      </c>
      <c r="E145" s="19" t="s">
        <v>1177</v>
      </c>
      <c r="F145" s="19" t="s">
        <v>1084</v>
      </c>
      <c r="G145" s="68" t="s">
        <v>1977</v>
      </c>
      <c r="H145" s="68" t="s">
        <v>1131</v>
      </c>
      <c r="I145" s="19"/>
      <c r="J145" s="20" t="s">
        <v>708</v>
      </c>
      <c r="K145" s="107">
        <f>ROUND(Tableau16[[#This Row],[LEN]]*7.27,0)</f>
        <v>102</v>
      </c>
      <c r="L145" s="107">
        <v>15</v>
      </c>
      <c r="M145" s="125" t="str">
        <f t="shared" si="1"/>
        <v>none</v>
      </c>
      <c r="N145" s="107">
        <f>LEN(Tableau16[[#This Row],[LABEL]])</f>
        <v>14</v>
      </c>
      <c r="O145" s="107">
        <v>15</v>
      </c>
      <c r="P145" s="107" t="e">
        <f>ROUND(Tableau16[[#This Row],[LEN]]*#REF!+#REF!,0)</f>
        <v>#REF!</v>
      </c>
    </row>
    <row r="146" spans="1:16" s="273" customFormat="1" x14ac:dyDescent="0.25">
      <c r="A146" s="266" t="s">
        <v>243</v>
      </c>
      <c r="B146" s="267" t="s">
        <v>205</v>
      </c>
      <c r="C146" s="268" t="s">
        <v>12</v>
      </c>
      <c r="D146" s="269" t="s">
        <v>1177</v>
      </c>
      <c r="E146" s="268" t="s">
        <v>675</v>
      </c>
      <c r="F146" s="268" t="s">
        <v>1177</v>
      </c>
      <c r="G146" s="269" t="s">
        <v>167</v>
      </c>
      <c r="H146" s="269" t="str">
        <f>IFERROR(IF(SEARCH(".00.00.00.00.00",Tableau16[[#This Row],[name]],1)=7,"Division",""),"")</f>
        <v>Division</v>
      </c>
      <c r="I146" s="268"/>
      <c r="J146" s="270" t="s">
        <v>721</v>
      </c>
      <c r="K146" s="271">
        <f>ROUND(Tableau16[[#This Row],[LEN]]*7.27,0)</f>
        <v>15</v>
      </c>
      <c r="L146" s="271">
        <v>15</v>
      </c>
      <c r="M146" s="272" t="str">
        <f t="shared" si="1"/>
        <v>new</v>
      </c>
      <c r="N146" s="271">
        <f>LEN(Tableau16[[#This Row],[LABEL]])</f>
        <v>2</v>
      </c>
      <c r="O146" s="271">
        <v>15</v>
      </c>
      <c r="P146" s="271" t="e">
        <f>ROUND(Tableau16[[#This Row],[LEN]]*#REF!+#REF!,0)</f>
        <v>#REF!</v>
      </c>
    </row>
    <row r="147" spans="1:16" s="97" customFormat="1" x14ac:dyDescent="0.25">
      <c r="A147" s="17" t="s">
        <v>1004</v>
      </c>
      <c r="B147" s="18" t="s">
        <v>243</v>
      </c>
      <c r="C147" s="19" t="s">
        <v>1007</v>
      </c>
      <c r="D147" s="68" t="s">
        <v>1177</v>
      </c>
      <c r="E147" s="19" t="s">
        <v>675</v>
      </c>
      <c r="F147" s="19" t="s">
        <v>1177</v>
      </c>
      <c r="G147" s="68" t="s">
        <v>167</v>
      </c>
      <c r="H147" s="68" t="s">
        <v>655</v>
      </c>
      <c r="I147" s="19"/>
      <c r="J147" s="20" t="s">
        <v>708</v>
      </c>
      <c r="K147" s="107">
        <f>ROUND(Tableau16[[#This Row],[LEN]]*7.27,0)</f>
        <v>305</v>
      </c>
      <c r="L147" s="107">
        <v>15</v>
      </c>
      <c r="M147" s="125" t="str">
        <f t="shared" si="1"/>
        <v>none</v>
      </c>
      <c r="N147" s="107">
        <f>LEN(Tableau16[[#This Row],[LABEL]])</f>
        <v>42</v>
      </c>
      <c r="O147" s="107">
        <v>15</v>
      </c>
      <c r="P147" s="107" t="e">
        <f>ROUND(Tableau16[[#This Row],[LEN]]*#REF!+#REF!,0)</f>
        <v>#REF!</v>
      </c>
    </row>
    <row r="148" spans="1:16" s="97" customFormat="1" x14ac:dyDescent="0.25">
      <c r="A148" s="21" t="s">
        <v>1009</v>
      </c>
      <c r="B148" s="22" t="s">
        <v>1004</v>
      </c>
      <c r="C148" s="23" t="s">
        <v>1012</v>
      </c>
      <c r="D148" s="69" t="s">
        <v>1177</v>
      </c>
      <c r="E148" s="23" t="s">
        <v>675</v>
      </c>
      <c r="F148" s="23" t="s">
        <v>1177</v>
      </c>
      <c r="G148" s="69" t="s">
        <v>167</v>
      </c>
      <c r="H148" s="69" t="s">
        <v>656</v>
      </c>
      <c r="I148" s="23"/>
      <c r="J148" s="24" t="s">
        <v>708</v>
      </c>
      <c r="K148" s="108">
        <f>ROUND(Tableau16[[#This Row],[LEN]]*7.27,0)</f>
        <v>276</v>
      </c>
      <c r="L148" s="108">
        <v>15</v>
      </c>
      <c r="M148" s="126" t="str">
        <f t="shared" si="1"/>
        <v>none</v>
      </c>
      <c r="N148" s="108">
        <f>LEN(Tableau16[[#This Row],[LABEL]])</f>
        <v>38</v>
      </c>
      <c r="O148" s="108">
        <v>15</v>
      </c>
      <c r="P148" s="108" t="e">
        <f>ROUND(Tableau16[[#This Row],[LEN]]*#REF!+#REF!,0)</f>
        <v>#REF!</v>
      </c>
    </row>
    <row r="149" spans="1:16" s="97" customFormat="1" x14ac:dyDescent="0.25">
      <c r="A149" s="21" t="s">
        <v>1010</v>
      </c>
      <c r="B149" s="22" t="s">
        <v>1004</v>
      </c>
      <c r="C149" s="23" t="s">
        <v>1013</v>
      </c>
      <c r="D149" s="69" t="s">
        <v>1177</v>
      </c>
      <c r="E149" s="23" t="s">
        <v>675</v>
      </c>
      <c r="F149" s="23" t="s">
        <v>1177</v>
      </c>
      <c r="G149" s="69" t="s">
        <v>167</v>
      </c>
      <c r="H149" s="69" t="s">
        <v>656</v>
      </c>
      <c r="I149" s="23"/>
      <c r="J149" s="24" t="s">
        <v>708</v>
      </c>
      <c r="K149" s="108">
        <f>ROUND(Tableau16[[#This Row],[LEN]]*7.27,0)</f>
        <v>284</v>
      </c>
      <c r="L149" s="108">
        <v>15</v>
      </c>
      <c r="M149" s="126" t="str">
        <f t="shared" si="1"/>
        <v>none</v>
      </c>
      <c r="N149" s="108">
        <f>LEN(Tableau16[[#This Row],[LABEL]])</f>
        <v>39</v>
      </c>
      <c r="O149" s="108">
        <v>15</v>
      </c>
      <c r="P149" s="108" t="e">
        <f>ROUND(Tableau16[[#This Row],[LEN]]*#REF!+#REF!,0)</f>
        <v>#REF!</v>
      </c>
    </row>
    <row r="150" spans="1:16" s="97" customFormat="1" x14ac:dyDescent="0.25">
      <c r="A150" s="21" t="s">
        <v>1011</v>
      </c>
      <c r="B150" s="22" t="s">
        <v>1004</v>
      </c>
      <c r="C150" s="23" t="s">
        <v>1014</v>
      </c>
      <c r="D150" s="69" t="s">
        <v>1177</v>
      </c>
      <c r="E150" s="23" t="s">
        <v>675</v>
      </c>
      <c r="F150" s="23" t="s">
        <v>1177</v>
      </c>
      <c r="G150" s="69" t="s">
        <v>167</v>
      </c>
      <c r="H150" s="69" t="s">
        <v>656</v>
      </c>
      <c r="I150" s="23"/>
      <c r="J150" s="24" t="s">
        <v>708</v>
      </c>
      <c r="K150" s="108">
        <f>ROUND(Tableau16[[#This Row],[LEN]]*7.27,0)</f>
        <v>327</v>
      </c>
      <c r="L150" s="108">
        <v>15</v>
      </c>
      <c r="M150" s="126" t="str">
        <f t="shared" si="1"/>
        <v>none</v>
      </c>
      <c r="N150" s="108">
        <f>LEN(Tableau16[[#This Row],[LABEL]])</f>
        <v>45</v>
      </c>
      <c r="O150" s="108">
        <v>15</v>
      </c>
      <c r="P150" s="108" t="e">
        <f>ROUND(Tableau16[[#This Row],[LEN]]*#REF!+#REF!,0)</f>
        <v>#REF!</v>
      </c>
    </row>
    <row r="151" spans="1:16" s="97" customFormat="1" x14ac:dyDescent="0.25">
      <c r="A151" s="17" t="s">
        <v>1005</v>
      </c>
      <c r="B151" s="18" t="s">
        <v>243</v>
      </c>
      <c r="C151" s="19" t="s">
        <v>1008</v>
      </c>
      <c r="D151" s="68" t="s">
        <v>1177</v>
      </c>
      <c r="E151" s="19" t="s">
        <v>675</v>
      </c>
      <c r="F151" s="19" t="s">
        <v>1177</v>
      </c>
      <c r="G151" s="68" t="s">
        <v>167</v>
      </c>
      <c r="H151" s="68" t="s">
        <v>654</v>
      </c>
      <c r="I151" s="19"/>
      <c r="J151" s="20" t="s">
        <v>708</v>
      </c>
      <c r="K151" s="107">
        <f>ROUND(Tableau16[[#This Row],[LEN]]*7.27,0)</f>
        <v>305</v>
      </c>
      <c r="L151" s="107">
        <v>15</v>
      </c>
      <c r="M151" s="125" t="str">
        <f t="shared" si="1"/>
        <v>none</v>
      </c>
      <c r="N151" s="107">
        <f>LEN(Tableau16[[#This Row],[LABEL]])</f>
        <v>42</v>
      </c>
      <c r="O151" s="107">
        <v>15</v>
      </c>
      <c r="P151" s="107" t="e">
        <f>ROUND(Tableau16[[#This Row],[LEN]]*#REF!+#REF!,0)</f>
        <v>#REF!</v>
      </c>
    </row>
    <row r="152" spans="1:16" s="97" customFormat="1" x14ac:dyDescent="0.25">
      <c r="A152" s="17" t="s">
        <v>1006</v>
      </c>
      <c r="B152" s="18" t="s">
        <v>243</v>
      </c>
      <c r="C152" s="19" t="s">
        <v>110</v>
      </c>
      <c r="D152" s="68" t="s">
        <v>1177</v>
      </c>
      <c r="E152" s="19" t="s">
        <v>1177</v>
      </c>
      <c r="F152" s="19" t="s">
        <v>1084</v>
      </c>
      <c r="G152" s="68" t="s">
        <v>1977</v>
      </c>
      <c r="H152" s="68" t="s">
        <v>1131</v>
      </c>
      <c r="I152" s="19"/>
      <c r="J152" s="20" t="s">
        <v>708</v>
      </c>
      <c r="K152" s="107">
        <f>ROUND(Tableau16[[#This Row],[LEN]]*7.27,0)</f>
        <v>102</v>
      </c>
      <c r="L152" s="107">
        <v>15</v>
      </c>
      <c r="M152" s="125" t="str">
        <f t="shared" si="1"/>
        <v>none</v>
      </c>
      <c r="N152" s="107">
        <f>LEN(Tableau16[[#This Row],[LABEL]])</f>
        <v>14</v>
      </c>
      <c r="O152" s="107">
        <v>15</v>
      </c>
      <c r="P152" s="107" t="e">
        <f>ROUND(Tableau16[[#This Row],[LEN]]*#REF!+#REF!,0)</f>
        <v>#REF!</v>
      </c>
    </row>
    <row r="153" spans="1:16" s="273" customFormat="1" x14ac:dyDescent="0.25">
      <c r="A153" s="266" t="s">
        <v>244</v>
      </c>
      <c r="B153" s="267" t="s">
        <v>205</v>
      </c>
      <c r="C153" s="268" t="s">
        <v>71</v>
      </c>
      <c r="D153" s="269" t="s">
        <v>1177</v>
      </c>
      <c r="E153" s="268" t="s">
        <v>676</v>
      </c>
      <c r="F153" s="268" t="s">
        <v>1177</v>
      </c>
      <c r="G153" s="269" t="s">
        <v>167</v>
      </c>
      <c r="H153" s="269" t="str">
        <f>IFERROR(IF(SEARCH(".00.00.00.00.00",Tableau16[[#This Row],[name]],1)=7,"Division",""),"")</f>
        <v>Division</v>
      </c>
      <c r="I153" s="268"/>
      <c r="J153" s="270" t="s">
        <v>722</v>
      </c>
      <c r="K153" s="271">
        <f>ROUND(Tableau16[[#This Row],[LEN]]*7.27,0)</f>
        <v>29</v>
      </c>
      <c r="L153" s="271">
        <v>15</v>
      </c>
      <c r="M153" s="272" t="str">
        <f t="shared" si="1"/>
        <v>new</v>
      </c>
      <c r="N153" s="271">
        <f>LEN(Tableau16[[#This Row],[LABEL]])</f>
        <v>4</v>
      </c>
      <c r="O153" s="271">
        <v>15</v>
      </c>
      <c r="P153" s="271" t="e">
        <f>ROUND(Tableau16[[#This Row],[LEN]]*#REF!+#REF!,0)</f>
        <v>#REF!</v>
      </c>
    </row>
    <row r="154" spans="1:16" s="97" customFormat="1" x14ac:dyDescent="0.25">
      <c r="A154" s="17" t="s">
        <v>1017</v>
      </c>
      <c r="B154" s="18" t="s">
        <v>244</v>
      </c>
      <c r="C154" s="19" t="s">
        <v>1016</v>
      </c>
      <c r="D154" s="68" t="s">
        <v>1177</v>
      </c>
      <c r="E154" s="19" t="s">
        <v>676</v>
      </c>
      <c r="F154" s="19" t="s">
        <v>1177</v>
      </c>
      <c r="G154" s="68" t="s">
        <v>167</v>
      </c>
      <c r="H154" s="68" t="s">
        <v>656</v>
      </c>
      <c r="I154" s="19"/>
      <c r="J154" s="20" t="s">
        <v>722</v>
      </c>
      <c r="K154" s="107">
        <f>ROUND(Tableau16[[#This Row],[LEN]]*7.27,0)</f>
        <v>342</v>
      </c>
      <c r="L154" s="107">
        <v>15</v>
      </c>
      <c r="M154" s="125" t="str">
        <f t="shared" si="1"/>
        <v>new</v>
      </c>
      <c r="N154" s="107">
        <f>LEN(Tableau16[[#This Row],[LABEL]])</f>
        <v>47</v>
      </c>
      <c r="O154" s="107">
        <v>15</v>
      </c>
      <c r="P154" s="107" t="e">
        <f>ROUND(Tableau16[[#This Row],[LEN]]*#REF!+#REF!,0)</f>
        <v>#REF!</v>
      </c>
    </row>
    <row r="155" spans="1:16" s="97" customFormat="1" x14ac:dyDescent="0.25">
      <c r="A155" s="17" t="s">
        <v>1018</v>
      </c>
      <c r="B155" s="18" t="s">
        <v>244</v>
      </c>
      <c r="C155" s="19" t="s">
        <v>1015</v>
      </c>
      <c r="D155" s="68" t="s">
        <v>1177</v>
      </c>
      <c r="E155" s="19" t="s">
        <v>676</v>
      </c>
      <c r="F155" s="19" t="s">
        <v>1177</v>
      </c>
      <c r="G155" s="68" t="s">
        <v>167</v>
      </c>
      <c r="H155" s="68" t="s">
        <v>656</v>
      </c>
      <c r="I155" s="19"/>
      <c r="J155" s="20" t="s">
        <v>722</v>
      </c>
      <c r="K155" s="107">
        <f>ROUND(Tableau16[[#This Row],[LEN]]*7.27,0)</f>
        <v>269</v>
      </c>
      <c r="L155" s="107">
        <v>15</v>
      </c>
      <c r="M155" s="125" t="str">
        <f t="shared" si="1"/>
        <v>new</v>
      </c>
      <c r="N155" s="107">
        <f>LEN(Tableau16[[#This Row],[LABEL]])</f>
        <v>37</v>
      </c>
      <c r="O155" s="107">
        <v>15</v>
      </c>
      <c r="P155" s="107" t="e">
        <f>ROUND(Tableau16[[#This Row],[LEN]]*#REF!+#REF!,0)</f>
        <v>#REF!</v>
      </c>
    </row>
    <row r="156" spans="1:16" s="97" customFormat="1" x14ac:dyDescent="0.25">
      <c r="A156" s="17" t="s">
        <v>1019</v>
      </c>
      <c r="B156" s="18" t="s">
        <v>244</v>
      </c>
      <c r="C156" s="19" t="s">
        <v>110</v>
      </c>
      <c r="D156" s="68" t="s">
        <v>1177</v>
      </c>
      <c r="E156" s="19" t="s">
        <v>1177</v>
      </c>
      <c r="F156" s="19" t="s">
        <v>1084</v>
      </c>
      <c r="G156" s="68" t="s">
        <v>1977</v>
      </c>
      <c r="H156" s="68" t="s">
        <v>1131</v>
      </c>
      <c r="I156" s="19"/>
      <c r="J156" s="20" t="s">
        <v>708</v>
      </c>
      <c r="K156" s="107">
        <f>ROUND(Tableau16[[#This Row],[LEN]]*7.27,0)</f>
        <v>102</v>
      </c>
      <c r="L156" s="107">
        <v>15</v>
      </c>
      <c r="M156" s="125" t="str">
        <f t="shared" si="1"/>
        <v>none</v>
      </c>
      <c r="N156" s="107">
        <f>LEN(Tableau16[[#This Row],[LABEL]])</f>
        <v>14</v>
      </c>
      <c r="O156" s="107">
        <v>15</v>
      </c>
      <c r="P156" s="107" t="e">
        <f>ROUND(Tableau16[[#This Row],[LEN]]*#REF!+#REF!,0)</f>
        <v>#REF!</v>
      </c>
    </row>
    <row r="157" spans="1:16" s="273" customFormat="1" x14ac:dyDescent="0.25">
      <c r="A157" s="266" t="s">
        <v>245</v>
      </c>
      <c r="B157" s="267" t="s">
        <v>205</v>
      </c>
      <c r="C157" s="268" t="s">
        <v>13</v>
      </c>
      <c r="D157" s="269" t="s">
        <v>1177</v>
      </c>
      <c r="E157" s="268" t="s">
        <v>677</v>
      </c>
      <c r="F157" s="268" t="s">
        <v>1177</v>
      </c>
      <c r="G157" s="269" t="s">
        <v>167</v>
      </c>
      <c r="H157" s="269" t="str">
        <f>IFERROR(IF(SEARCH(".00.00.00.00.00",Tableau16[[#This Row],[name]],1)=7,"Division",""),"")</f>
        <v>Division</v>
      </c>
      <c r="I157" s="268"/>
      <c r="J157" s="270" t="s">
        <v>708</v>
      </c>
      <c r="K157" s="271">
        <f>ROUND(Tableau16[[#This Row],[LEN]]*7.27,0)</f>
        <v>80</v>
      </c>
      <c r="L157" s="271">
        <v>15</v>
      </c>
      <c r="M157" s="272" t="str">
        <f t="shared" si="1"/>
        <v>none</v>
      </c>
      <c r="N157" s="271">
        <f>LEN(Tableau16[[#This Row],[LABEL]])</f>
        <v>11</v>
      </c>
      <c r="O157" s="271">
        <v>15</v>
      </c>
      <c r="P157" s="271" t="e">
        <f>ROUND(Tableau16[[#This Row],[LEN]]*#REF!+#REF!,0)</f>
        <v>#REF!</v>
      </c>
    </row>
    <row r="158" spans="1:16" s="97" customFormat="1" x14ac:dyDescent="0.25">
      <c r="A158" s="17" t="s">
        <v>1020</v>
      </c>
      <c r="B158" s="18" t="s">
        <v>245</v>
      </c>
      <c r="C158" s="19" t="s">
        <v>81</v>
      </c>
      <c r="D158" s="68" t="s">
        <v>1177</v>
      </c>
      <c r="E158" s="19" t="s">
        <v>667</v>
      </c>
      <c r="F158" s="19" t="s">
        <v>1963</v>
      </c>
      <c r="G158" s="68" t="s">
        <v>167</v>
      </c>
      <c r="H158" s="68" t="s">
        <v>655</v>
      </c>
      <c r="I158" s="19"/>
      <c r="J158" s="20" t="s">
        <v>708</v>
      </c>
      <c r="K158" s="107">
        <f>ROUND(Tableau16[[#This Row],[LEN]]*7.27,0)</f>
        <v>73</v>
      </c>
      <c r="L158" s="107">
        <v>15</v>
      </c>
      <c r="M158" s="125" t="str">
        <f t="shared" si="1"/>
        <v>none</v>
      </c>
      <c r="N158" s="107">
        <f>LEN(Tableau16[[#This Row],[LABEL]])</f>
        <v>10</v>
      </c>
      <c r="O158" s="107">
        <v>15</v>
      </c>
      <c r="P158" s="107" t="e">
        <f>ROUND(Tableau16[[#This Row],[LEN]]*#REF!+#REF!,0)</f>
        <v>#REF!</v>
      </c>
    </row>
    <row r="159" spans="1:16" s="97" customFormat="1" x14ac:dyDescent="0.25">
      <c r="A159" s="21" t="s">
        <v>1024</v>
      </c>
      <c r="B159" s="22" t="s">
        <v>1020</v>
      </c>
      <c r="C159" s="23" t="s">
        <v>1031</v>
      </c>
      <c r="D159" s="69" t="s">
        <v>1177</v>
      </c>
      <c r="E159" s="23" t="s">
        <v>667</v>
      </c>
      <c r="F159" s="23" t="s">
        <v>1963</v>
      </c>
      <c r="G159" s="69" t="s">
        <v>167</v>
      </c>
      <c r="H159" s="69" t="s">
        <v>570</v>
      </c>
      <c r="I159" s="23"/>
      <c r="J159" s="24" t="s">
        <v>708</v>
      </c>
      <c r="K159" s="108">
        <f>ROUND(Tableau16[[#This Row],[LEN]]*7.27,0)</f>
        <v>167</v>
      </c>
      <c r="L159" s="108">
        <v>15</v>
      </c>
      <c r="M159" s="126" t="str">
        <f t="shared" si="1"/>
        <v>none</v>
      </c>
      <c r="N159" s="108">
        <f>LEN(Tableau16[[#This Row],[LABEL]])</f>
        <v>23</v>
      </c>
      <c r="O159" s="108">
        <v>15</v>
      </c>
      <c r="P159" s="108" t="e">
        <f>ROUND(Tableau16[[#This Row],[LEN]]*#REF!+#REF!,0)</f>
        <v>#REF!</v>
      </c>
    </row>
    <row r="160" spans="1:16" s="97" customFormat="1" x14ac:dyDescent="0.25">
      <c r="A160" s="21" t="s">
        <v>1025</v>
      </c>
      <c r="B160" s="22" t="s">
        <v>1020</v>
      </c>
      <c r="C160" s="23" t="s">
        <v>1032</v>
      </c>
      <c r="D160" s="69" t="s">
        <v>1177</v>
      </c>
      <c r="E160" s="23" t="s">
        <v>667</v>
      </c>
      <c r="F160" s="23" t="s">
        <v>1963</v>
      </c>
      <c r="G160" s="69" t="s">
        <v>167</v>
      </c>
      <c r="H160" s="69" t="s">
        <v>570</v>
      </c>
      <c r="I160" s="23"/>
      <c r="J160" s="24" t="s">
        <v>708</v>
      </c>
      <c r="K160" s="108">
        <f>ROUND(Tableau16[[#This Row],[LEN]]*7.27,0)</f>
        <v>153</v>
      </c>
      <c r="L160" s="108">
        <v>15</v>
      </c>
      <c r="M160" s="126" t="str">
        <f t="shared" si="1"/>
        <v>none</v>
      </c>
      <c r="N160" s="108">
        <f>LEN(Tableau16[[#This Row],[LABEL]])</f>
        <v>21</v>
      </c>
      <c r="O160" s="108">
        <v>15</v>
      </c>
      <c r="P160" s="108" t="e">
        <f>ROUND(Tableau16[[#This Row],[LEN]]*#REF!+#REF!,0)</f>
        <v>#REF!</v>
      </c>
    </row>
    <row r="161" spans="1:16" s="97" customFormat="1" x14ac:dyDescent="0.25">
      <c r="A161" s="21" t="s">
        <v>1026</v>
      </c>
      <c r="B161" s="22" t="s">
        <v>1020</v>
      </c>
      <c r="C161" s="23" t="s">
        <v>1033</v>
      </c>
      <c r="D161" s="69" t="s">
        <v>1177</v>
      </c>
      <c r="E161" s="23" t="s">
        <v>667</v>
      </c>
      <c r="F161" s="23" t="s">
        <v>1963</v>
      </c>
      <c r="G161" s="69" t="s">
        <v>167</v>
      </c>
      <c r="H161" s="69" t="s">
        <v>570</v>
      </c>
      <c r="I161" s="23"/>
      <c r="J161" s="24" t="s">
        <v>708</v>
      </c>
      <c r="K161" s="108">
        <f>ROUND(Tableau16[[#This Row],[LEN]]*7.27,0)</f>
        <v>334</v>
      </c>
      <c r="L161" s="108">
        <v>15</v>
      </c>
      <c r="M161" s="126" t="str">
        <f t="shared" si="1"/>
        <v>none</v>
      </c>
      <c r="N161" s="108">
        <f>LEN(Tableau16[[#This Row],[LABEL]])</f>
        <v>46</v>
      </c>
      <c r="O161" s="108">
        <v>15</v>
      </c>
      <c r="P161" s="108" t="e">
        <f>ROUND(Tableau16[[#This Row],[LEN]]*#REF!+#REF!,0)</f>
        <v>#REF!</v>
      </c>
    </row>
    <row r="162" spans="1:16" s="97" customFormat="1" x14ac:dyDescent="0.25">
      <c r="A162" s="21" t="s">
        <v>1027</v>
      </c>
      <c r="B162" s="22" t="s">
        <v>1020</v>
      </c>
      <c r="C162" s="23" t="s">
        <v>1034</v>
      </c>
      <c r="D162" s="69" t="s">
        <v>1177</v>
      </c>
      <c r="E162" s="23" t="s">
        <v>667</v>
      </c>
      <c r="F162" s="23" t="s">
        <v>1963</v>
      </c>
      <c r="G162" s="69" t="s">
        <v>167</v>
      </c>
      <c r="H162" s="69" t="s">
        <v>570</v>
      </c>
      <c r="I162" s="23"/>
      <c r="J162" s="24" t="s">
        <v>708</v>
      </c>
      <c r="K162" s="108">
        <f>ROUND(Tableau16[[#This Row],[LEN]]*7.27,0)</f>
        <v>393</v>
      </c>
      <c r="L162" s="108">
        <v>15</v>
      </c>
      <c r="M162" s="126" t="str">
        <f t="shared" si="1"/>
        <v>none</v>
      </c>
      <c r="N162" s="108">
        <f>LEN(Tableau16[[#This Row],[LABEL]])</f>
        <v>54</v>
      </c>
      <c r="O162" s="108">
        <v>15</v>
      </c>
      <c r="P162" s="108" t="e">
        <f>ROUND(Tableau16[[#This Row],[LEN]]*#REF!+#REF!,0)</f>
        <v>#REF!</v>
      </c>
    </row>
    <row r="163" spans="1:16" s="97" customFormat="1" x14ac:dyDescent="0.25">
      <c r="A163" s="21" t="s">
        <v>1028</v>
      </c>
      <c r="B163" s="22" t="s">
        <v>1020</v>
      </c>
      <c r="C163" s="23" t="s">
        <v>1035</v>
      </c>
      <c r="D163" s="69" t="s">
        <v>1177</v>
      </c>
      <c r="E163" s="23" t="s">
        <v>667</v>
      </c>
      <c r="F163" s="23" t="s">
        <v>1963</v>
      </c>
      <c r="G163" s="69" t="s">
        <v>167</v>
      </c>
      <c r="H163" s="69" t="s">
        <v>570</v>
      </c>
      <c r="I163" s="23"/>
      <c r="J163" s="24" t="s">
        <v>708</v>
      </c>
      <c r="K163" s="108">
        <f>ROUND(Tableau16[[#This Row],[LEN]]*7.27,0)</f>
        <v>320</v>
      </c>
      <c r="L163" s="108">
        <v>15</v>
      </c>
      <c r="M163" s="126" t="str">
        <f t="shared" si="1"/>
        <v>none</v>
      </c>
      <c r="N163" s="108">
        <f>LEN(Tableau16[[#This Row],[LABEL]])</f>
        <v>44</v>
      </c>
      <c r="O163" s="108">
        <v>15</v>
      </c>
      <c r="P163" s="108" t="e">
        <f>ROUND(Tableau16[[#This Row],[LEN]]*#REF!+#REF!,0)</f>
        <v>#REF!</v>
      </c>
    </row>
    <row r="164" spans="1:16" s="97" customFormat="1" x14ac:dyDescent="0.25">
      <c r="A164" s="21" t="s">
        <v>1029</v>
      </c>
      <c r="B164" s="22" t="s">
        <v>1020</v>
      </c>
      <c r="C164" s="23" t="s">
        <v>1036</v>
      </c>
      <c r="D164" s="69" t="s">
        <v>1177</v>
      </c>
      <c r="E164" s="23" t="s">
        <v>667</v>
      </c>
      <c r="F164" s="23" t="s">
        <v>1963</v>
      </c>
      <c r="G164" s="69" t="s">
        <v>167</v>
      </c>
      <c r="H164" s="69" t="s">
        <v>570</v>
      </c>
      <c r="I164" s="23"/>
      <c r="J164" s="24" t="s">
        <v>708</v>
      </c>
      <c r="K164" s="108">
        <f>ROUND(Tableau16[[#This Row],[LEN]]*7.27,0)</f>
        <v>95</v>
      </c>
      <c r="L164" s="108">
        <v>15</v>
      </c>
      <c r="M164" s="126" t="str">
        <f t="shared" si="1"/>
        <v>none</v>
      </c>
      <c r="N164" s="108">
        <f>LEN(Tableau16[[#This Row],[LABEL]])</f>
        <v>13</v>
      </c>
      <c r="O164" s="108">
        <v>15</v>
      </c>
      <c r="P164" s="108" t="e">
        <f>ROUND(Tableau16[[#This Row],[LEN]]*#REF!+#REF!,0)</f>
        <v>#REF!</v>
      </c>
    </row>
    <row r="165" spans="1:16" s="97" customFormat="1" x14ac:dyDescent="0.25">
      <c r="A165" s="21" t="s">
        <v>1030</v>
      </c>
      <c r="B165" s="22" t="s">
        <v>1020</v>
      </c>
      <c r="C165" s="23" t="s">
        <v>1037</v>
      </c>
      <c r="D165" s="69" t="s">
        <v>1177</v>
      </c>
      <c r="E165" s="23" t="s">
        <v>667</v>
      </c>
      <c r="F165" s="23" t="s">
        <v>1963</v>
      </c>
      <c r="G165" s="69" t="s">
        <v>167</v>
      </c>
      <c r="H165" s="69" t="s">
        <v>570</v>
      </c>
      <c r="I165" s="23"/>
      <c r="J165" s="24" t="s">
        <v>708</v>
      </c>
      <c r="K165" s="108">
        <f>ROUND(Tableau16[[#This Row],[LEN]]*7.27,0)</f>
        <v>124</v>
      </c>
      <c r="L165" s="108">
        <v>15</v>
      </c>
      <c r="M165" s="126" t="str">
        <f t="shared" si="1"/>
        <v>none</v>
      </c>
      <c r="N165" s="108">
        <f>LEN(Tableau16[[#This Row],[LABEL]])</f>
        <v>17</v>
      </c>
      <c r="O165" s="108">
        <v>15</v>
      </c>
      <c r="P165" s="108" t="e">
        <f>ROUND(Tableau16[[#This Row],[LEN]]*#REF!+#REF!,0)</f>
        <v>#REF!</v>
      </c>
    </row>
    <row r="166" spans="1:16" s="97" customFormat="1" x14ac:dyDescent="0.25">
      <c r="A166" s="17" t="s">
        <v>1021</v>
      </c>
      <c r="B166" s="18" t="s">
        <v>245</v>
      </c>
      <c r="C166" s="19" t="s">
        <v>1023</v>
      </c>
      <c r="D166" s="68" t="s">
        <v>1177</v>
      </c>
      <c r="E166" s="19" t="s">
        <v>677</v>
      </c>
      <c r="F166" s="19" t="s">
        <v>1177</v>
      </c>
      <c r="G166" s="68" t="s">
        <v>167</v>
      </c>
      <c r="H166" s="68" t="s">
        <v>654</v>
      </c>
      <c r="I166" s="19"/>
      <c r="J166" s="20" t="s">
        <v>708</v>
      </c>
      <c r="K166" s="107">
        <f>ROUND(Tableau16[[#This Row],[LEN]]*7.27,0)</f>
        <v>196</v>
      </c>
      <c r="L166" s="107">
        <v>15</v>
      </c>
      <c r="M166" s="125" t="str">
        <f t="shared" si="1"/>
        <v>none</v>
      </c>
      <c r="N166" s="107">
        <f>LEN(Tableau16[[#This Row],[LABEL]])</f>
        <v>27</v>
      </c>
      <c r="O166" s="107">
        <v>15</v>
      </c>
      <c r="P166" s="107" t="e">
        <f>ROUND(Tableau16[[#This Row],[LEN]]*#REF!+#REF!,0)</f>
        <v>#REF!</v>
      </c>
    </row>
    <row r="167" spans="1:16" s="97" customFormat="1" x14ac:dyDescent="0.25">
      <c r="A167" s="17" t="s">
        <v>1022</v>
      </c>
      <c r="B167" s="18" t="s">
        <v>245</v>
      </c>
      <c r="C167" s="19" t="s">
        <v>110</v>
      </c>
      <c r="D167" s="68" t="s">
        <v>1177</v>
      </c>
      <c r="E167" s="19" t="s">
        <v>1177</v>
      </c>
      <c r="F167" s="19" t="s">
        <v>1084</v>
      </c>
      <c r="G167" s="68" t="s">
        <v>1977</v>
      </c>
      <c r="H167" s="68" t="s">
        <v>1131</v>
      </c>
      <c r="I167" s="19"/>
      <c r="J167" s="20" t="s">
        <v>708</v>
      </c>
      <c r="K167" s="107">
        <f>ROUND(Tableau16[[#This Row],[LEN]]*7.27,0)</f>
        <v>102</v>
      </c>
      <c r="L167" s="107">
        <v>15</v>
      </c>
      <c r="M167" s="125" t="str">
        <f t="shared" si="1"/>
        <v>none</v>
      </c>
      <c r="N167" s="107">
        <f>LEN(Tableau16[[#This Row],[LABEL]])</f>
        <v>14</v>
      </c>
      <c r="O167" s="107">
        <v>15</v>
      </c>
      <c r="P167" s="107" t="e">
        <f>ROUND(Tableau16[[#This Row],[LEN]]*#REF!+#REF!,0)</f>
        <v>#REF!</v>
      </c>
    </row>
    <row r="168" spans="1:16" s="273" customFormat="1" x14ac:dyDescent="0.25">
      <c r="A168" s="266" t="s">
        <v>246</v>
      </c>
      <c r="B168" s="267" t="s">
        <v>205</v>
      </c>
      <c r="C168" s="268" t="s">
        <v>14</v>
      </c>
      <c r="D168" s="269" t="s">
        <v>1177</v>
      </c>
      <c r="E168" s="268" t="s">
        <v>678</v>
      </c>
      <c r="F168" s="268" t="s">
        <v>1177</v>
      </c>
      <c r="G168" s="269" t="s">
        <v>167</v>
      </c>
      <c r="H168" s="269" t="str">
        <f>IFERROR(IF(SEARCH(".00.00.00.00.00",Tableau16[[#This Row],[name]],1)=7,"Division",""),"")</f>
        <v>Division</v>
      </c>
      <c r="I168" s="268"/>
      <c r="J168" s="270" t="s">
        <v>724</v>
      </c>
      <c r="K168" s="271">
        <f>ROUND(Tableau16[[#This Row],[LEN]]*7.27,0)</f>
        <v>240</v>
      </c>
      <c r="L168" s="271">
        <v>15</v>
      </c>
      <c r="M168" s="272" t="str">
        <f t="shared" si="1"/>
        <v>new</v>
      </c>
      <c r="N168" s="271">
        <f>LEN(Tableau16[[#This Row],[LABEL]])</f>
        <v>33</v>
      </c>
      <c r="O168" s="271">
        <v>15</v>
      </c>
      <c r="P168" s="271" t="e">
        <f>ROUND(Tableau16[[#This Row],[LEN]]*#REF!+#REF!,0)</f>
        <v>#REF!</v>
      </c>
    </row>
    <row r="169" spans="1:16" s="97" customFormat="1" x14ac:dyDescent="0.25">
      <c r="A169" s="17" t="s">
        <v>1038</v>
      </c>
      <c r="B169" s="18" t="s">
        <v>246</v>
      </c>
      <c r="C169" s="19" t="s">
        <v>81</v>
      </c>
      <c r="D169" s="68" t="s">
        <v>1177</v>
      </c>
      <c r="E169" s="19" t="s">
        <v>667</v>
      </c>
      <c r="F169" s="19" t="s">
        <v>1963</v>
      </c>
      <c r="G169" s="68" t="s">
        <v>167</v>
      </c>
      <c r="H169" s="68" t="s">
        <v>655</v>
      </c>
      <c r="I169" s="19"/>
      <c r="J169" s="20" t="s">
        <v>708</v>
      </c>
      <c r="K169" s="107">
        <f>ROUND(Tableau16[[#This Row],[LEN]]*7.27,0)</f>
        <v>73</v>
      </c>
      <c r="L169" s="107">
        <v>15</v>
      </c>
      <c r="M169" s="125" t="str">
        <f t="shared" si="1"/>
        <v>none</v>
      </c>
      <c r="N169" s="107">
        <f>LEN(Tableau16[[#This Row],[LABEL]])</f>
        <v>10</v>
      </c>
      <c r="O169" s="107">
        <v>15</v>
      </c>
      <c r="P169" s="107" t="e">
        <f>ROUND(Tableau16[[#This Row],[LEN]]*#REF!+#REF!,0)</f>
        <v>#REF!</v>
      </c>
    </row>
    <row r="170" spans="1:16" s="97" customFormat="1" x14ac:dyDescent="0.25">
      <c r="A170" s="21" t="s">
        <v>1042</v>
      </c>
      <c r="B170" s="22" t="s">
        <v>1038</v>
      </c>
      <c r="C170" s="23" t="s">
        <v>1031</v>
      </c>
      <c r="D170" s="69" t="s">
        <v>1177</v>
      </c>
      <c r="E170" s="23" t="s">
        <v>667</v>
      </c>
      <c r="F170" s="23" t="s">
        <v>1963</v>
      </c>
      <c r="G170" s="69" t="s">
        <v>167</v>
      </c>
      <c r="H170" s="69" t="s">
        <v>570</v>
      </c>
      <c r="I170" s="23"/>
      <c r="J170" s="24" t="s">
        <v>708</v>
      </c>
      <c r="K170" s="108">
        <f>ROUND(Tableau16[[#This Row],[LEN]]*7.27,0)</f>
        <v>167</v>
      </c>
      <c r="L170" s="108">
        <v>15</v>
      </c>
      <c r="M170" s="126" t="str">
        <f t="shared" si="1"/>
        <v>none</v>
      </c>
      <c r="N170" s="108">
        <f>LEN(Tableau16[[#This Row],[LABEL]])</f>
        <v>23</v>
      </c>
      <c r="O170" s="108">
        <v>15</v>
      </c>
      <c r="P170" s="108" t="e">
        <f>ROUND(Tableau16[[#This Row],[LEN]]*#REF!+#REF!,0)</f>
        <v>#REF!</v>
      </c>
    </row>
    <row r="171" spans="1:16" s="97" customFormat="1" x14ac:dyDescent="0.25">
      <c r="A171" s="21" t="s">
        <v>1043</v>
      </c>
      <c r="B171" s="22" t="s">
        <v>1038</v>
      </c>
      <c r="C171" s="23" t="s">
        <v>1032</v>
      </c>
      <c r="D171" s="69" t="s">
        <v>1177</v>
      </c>
      <c r="E171" s="23" t="s">
        <v>667</v>
      </c>
      <c r="F171" s="23" t="s">
        <v>1963</v>
      </c>
      <c r="G171" s="69" t="s">
        <v>167</v>
      </c>
      <c r="H171" s="69" t="s">
        <v>570</v>
      </c>
      <c r="I171" s="23"/>
      <c r="J171" s="24" t="s">
        <v>708</v>
      </c>
      <c r="K171" s="108">
        <f>ROUND(Tableau16[[#This Row],[LEN]]*7.27,0)</f>
        <v>153</v>
      </c>
      <c r="L171" s="108">
        <v>15</v>
      </c>
      <c r="M171" s="126" t="str">
        <f t="shared" si="1"/>
        <v>none</v>
      </c>
      <c r="N171" s="108">
        <f>LEN(Tableau16[[#This Row],[LABEL]])</f>
        <v>21</v>
      </c>
      <c r="O171" s="108">
        <v>15</v>
      </c>
      <c r="P171" s="108" t="e">
        <f>ROUND(Tableau16[[#This Row],[LEN]]*#REF!+#REF!,0)</f>
        <v>#REF!</v>
      </c>
    </row>
    <row r="172" spans="1:16" s="97" customFormat="1" x14ac:dyDescent="0.25">
      <c r="A172" s="21" t="s">
        <v>1044</v>
      </c>
      <c r="B172" s="22" t="s">
        <v>1038</v>
      </c>
      <c r="C172" s="23" t="s">
        <v>1033</v>
      </c>
      <c r="D172" s="69" t="s">
        <v>1177</v>
      </c>
      <c r="E172" s="23" t="s">
        <v>667</v>
      </c>
      <c r="F172" s="23" t="s">
        <v>1963</v>
      </c>
      <c r="G172" s="69" t="s">
        <v>167</v>
      </c>
      <c r="H172" s="69" t="s">
        <v>570</v>
      </c>
      <c r="I172" s="23"/>
      <c r="J172" s="24" t="s">
        <v>708</v>
      </c>
      <c r="K172" s="108">
        <f>ROUND(Tableau16[[#This Row],[LEN]]*7.27,0)</f>
        <v>334</v>
      </c>
      <c r="L172" s="108">
        <v>15</v>
      </c>
      <c r="M172" s="126" t="str">
        <f t="shared" si="1"/>
        <v>none</v>
      </c>
      <c r="N172" s="108">
        <f>LEN(Tableau16[[#This Row],[LABEL]])</f>
        <v>46</v>
      </c>
      <c r="O172" s="108">
        <v>15</v>
      </c>
      <c r="P172" s="108" t="e">
        <f>ROUND(Tableau16[[#This Row],[LEN]]*#REF!+#REF!,0)</f>
        <v>#REF!</v>
      </c>
    </row>
    <row r="173" spans="1:16" s="97" customFormat="1" x14ac:dyDescent="0.25">
      <c r="A173" s="21" t="s">
        <v>1045</v>
      </c>
      <c r="B173" s="22" t="s">
        <v>1038</v>
      </c>
      <c r="C173" s="23" t="s">
        <v>1034</v>
      </c>
      <c r="D173" s="69" t="s">
        <v>1177</v>
      </c>
      <c r="E173" s="23" t="s">
        <v>667</v>
      </c>
      <c r="F173" s="23" t="s">
        <v>1963</v>
      </c>
      <c r="G173" s="69" t="s">
        <v>167</v>
      </c>
      <c r="H173" s="69" t="s">
        <v>570</v>
      </c>
      <c r="I173" s="23"/>
      <c r="J173" s="24" t="s">
        <v>708</v>
      </c>
      <c r="K173" s="108">
        <f>ROUND(Tableau16[[#This Row],[LEN]]*7.27,0)</f>
        <v>393</v>
      </c>
      <c r="L173" s="108">
        <v>15</v>
      </c>
      <c r="M173" s="126" t="str">
        <f t="shared" si="1"/>
        <v>none</v>
      </c>
      <c r="N173" s="108">
        <f>LEN(Tableau16[[#This Row],[LABEL]])</f>
        <v>54</v>
      </c>
      <c r="O173" s="108">
        <v>15</v>
      </c>
      <c r="P173" s="108" t="e">
        <f>ROUND(Tableau16[[#This Row],[LEN]]*#REF!+#REF!,0)</f>
        <v>#REF!</v>
      </c>
    </row>
    <row r="174" spans="1:16" s="97" customFormat="1" x14ac:dyDescent="0.25">
      <c r="A174" s="21" t="s">
        <v>1046</v>
      </c>
      <c r="B174" s="22" t="s">
        <v>1038</v>
      </c>
      <c r="C174" s="23" t="s">
        <v>1035</v>
      </c>
      <c r="D174" s="69" t="s">
        <v>1177</v>
      </c>
      <c r="E174" s="23" t="s">
        <v>667</v>
      </c>
      <c r="F174" s="23" t="s">
        <v>1963</v>
      </c>
      <c r="G174" s="69" t="s">
        <v>167</v>
      </c>
      <c r="H174" s="69" t="s">
        <v>570</v>
      </c>
      <c r="I174" s="23"/>
      <c r="J174" s="24" t="s">
        <v>708</v>
      </c>
      <c r="K174" s="108">
        <f>ROUND(Tableau16[[#This Row],[LEN]]*7.27,0)</f>
        <v>320</v>
      </c>
      <c r="L174" s="108">
        <v>15</v>
      </c>
      <c r="M174" s="126" t="str">
        <f t="shared" si="1"/>
        <v>none</v>
      </c>
      <c r="N174" s="108">
        <f>LEN(Tableau16[[#This Row],[LABEL]])</f>
        <v>44</v>
      </c>
      <c r="O174" s="108">
        <v>15</v>
      </c>
      <c r="P174" s="108" t="e">
        <f>ROUND(Tableau16[[#This Row],[LEN]]*#REF!+#REF!,0)</f>
        <v>#REF!</v>
      </c>
    </row>
    <row r="175" spans="1:16" s="97" customFormat="1" x14ac:dyDescent="0.25">
      <c r="A175" s="21" t="s">
        <v>1047</v>
      </c>
      <c r="B175" s="22" t="s">
        <v>1038</v>
      </c>
      <c r="C175" s="23" t="s">
        <v>1036</v>
      </c>
      <c r="D175" s="69" t="s">
        <v>1177</v>
      </c>
      <c r="E175" s="23" t="s">
        <v>667</v>
      </c>
      <c r="F175" s="23" t="s">
        <v>1963</v>
      </c>
      <c r="G175" s="69" t="s">
        <v>167</v>
      </c>
      <c r="H175" s="69" t="s">
        <v>570</v>
      </c>
      <c r="I175" s="23"/>
      <c r="J175" s="24" t="s">
        <v>708</v>
      </c>
      <c r="K175" s="108">
        <f>ROUND(Tableau16[[#This Row],[LEN]]*7.27,0)</f>
        <v>95</v>
      </c>
      <c r="L175" s="108">
        <v>15</v>
      </c>
      <c r="M175" s="126" t="str">
        <f t="shared" si="1"/>
        <v>none</v>
      </c>
      <c r="N175" s="108">
        <f>LEN(Tableau16[[#This Row],[LABEL]])</f>
        <v>13</v>
      </c>
      <c r="O175" s="108">
        <v>15</v>
      </c>
      <c r="P175" s="108" t="e">
        <f>ROUND(Tableau16[[#This Row],[LEN]]*#REF!+#REF!,0)</f>
        <v>#REF!</v>
      </c>
    </row>
    <row r="176" spans="1:16" s="97" customFormat="1" x14ac:dyDescent="0.25">
      <c r="A176" s="21" t="s">
        <v>1048</v>
      </c>
      <c r="B176" s="22" t="s">
        <v>1038</v>
      </c>
      <c r="C176" s="23" t="s">
        <v>1037</v>
      </c>
      <c r="D176" s="69" t="s">
        <v>1177</v>
      </c>
      <c r="E176" s="23" t="s">
        <v>667</v>
      </c>
      <c r="F176" s="23" t="s">
        <v>1963</v>
      </c>
      <c r="G176" s="69" t="s">
        <v>167</v>
      </c>
      <c r="H176" s="69" t="s">
        <v>570</v>
      </c>
      <c r="I176" s="23"/>
      <c r="J176" s="24" t="s">
        <v>708</v>
      </c>
      <c r="K176" s="108">
        <f>ROUND(Tableau16[[#This Row],[LEN]]*7.27,0)</f>
        <v>124</v>
      </c>
      <c r="L176" s="108">
        <v>15</v>
      </c>
      <c r="M176" s="126" t="str">
        <f t="shared" si="1"/>
        <v>none</v>
      </c>
      <c r="N176" s="108">
        <f>LEN(Tableau16[[#This Row],[LABEL]])</f>
        <v>17</v>
      </c>
      <c r="O176" s="108">
        <v>15</v>
      </c>
      <c r="P176" s="108" t="e">
        <f>ROUND(Tableau16[[#This Row],[LEN]]*#REF!+#REF!,0)</f>
        <v>#REF!</v>
      </c>
    </row>
    <row r="177" spans="1:16" s="97" customFormat="1" x14ac:dyDescent="0.25">
      <c r="A177" s="17" t="s">
        <v>1039</v>
      </c>
      <c r="B177" s="18" t="s">
        <v>246</v>
      </c>
      <c r="C177" s="19" t="s">
        <v>136</v>
      </c>
      <c r="D177" s="68" t="s">
        <v>1177</v>
      </c>
      <c r="E177" s="19" t="s">
        <v>669</v>
      </c>
      <c r="F177" s="19" t="s">
        <v>678</v>
      </c>
      <c r="G177" s="68" t="s">
        <v>167</v>
      </c>
      <c r="H177" s="68" t="s">
        <v>656</v>
      </c>
      <c r="I177" s="19"/>
      <c r="J177" s="20" t="s">
        <v>708</v>
      </c>
      <c r="K177" s="107">
        <f>ROUND(Tableau16[[#This Row],[LEN]]*7.27,0)</f>
        <v>174</v>
      </c>
      <c r="L177" s="107">
        <v>15</v>
      </c>
      <c r="M177" s="125" t="str">
        <f t="shared" si="1"/>
        <v>none</v>
      </c>
      <c r="N177" s="107">
        <f>LEN(Tableau16[[#This Row],[LABEL]])</f>
        <v>24</v>
      </c>
      <c r="O177" s="107">
        <v>15</v>
      </c>
      <c r="P177" s="107" t="e">
        <f>ROUND(Tableau16[[#This Row],[LEN]]*#REF!+#REF!,0)</f>
        <v>#REF!</v>
      </c>
    </row>
    <row r="178" spans="1:16" s="97" customFormat="1" x14ac:dyDescent="0.25">
      <c r="A178" s="17" t="s">
        <v>1040</v>
      </c>
      <c r="B178" s="18" t="s">
        <v>246</v>
      </c>
      <c r="C178" s="19" t="s">
        <v>971</v>
      </c>
      <c r="D178" s="68" t="s">
        <v>1177</v>
      </c>
      <c r="E178" s="19" t="s">
        <v>667</v>
      </c>
      <c r="F178" s="19" t="s">
        <v>678</v>
      </c>
      <c r="G178" s="68" t="s">
        <v>167</v>
      </c>
      <c r="H178" s="68" t="s">
        <v>570</v>
      </c>
      <c r="I178" s="19"/>
      <c r="J178" s="20" t="s">
        <v>708</v>
      </c>
      <c r="K178" s="107">
        <f>ROUND(Tableau16[[#This Row],[LEN]]*7.27,0)</f>
        <v>385</v>
      </c>
      <c r="L178" s="107">
        <v>15</v>
      </c>
      <c r="M178" s="125" t="str">
        <f t="shared" si="1"/>
        <v>none</v>
      </c>
      <c r="N178" s="107">
        <f>LEN(Tableau16[[#This Row],[LABEL]])</f>
        <v>53</v>
      </c>
      <c r="O178" s="107">
        <v>15</v>
      </c>
      <c r="P178" s="107" t="e">
        <f>ROUND(Tableau16[[#This Row],[LEN]]*#REF!+#REF!,0)</f>
        <v>#REF!</v>
      </c>
    </row>
    <row r="179" spans="1:16" s="97" customFormat="1" x14ac:dyDescent="0.25">
      <c r="A179" s="17" t="s">
        <v>1041</v>
      </c>
      <c r="B179" s="18" t="s">
        <v>246</v>
      </c>
      <c r="C179" s="19" t="s">
        <v>110</v>
      </c>
      <c r="D179" s="68" t="s">
        <v>1177</v>
      </c>
      <c r="E179" s="19" t="s">
        <v>1177</v>
      </c>
      <c r="F179" s="19" t="s">
        <v>1084</v>
      </c>
      <c r="G179" s="68" t="s">
        <v>1977</v>
      </c>
      <c r="H179" s="68" t="s">
        <v>1131</v>
      </c>
      <c r="I179" s="19"/>
      <c r="J179" s="20" t="s">
        <v>708</v>
      </c>
      <c r="K179" s="107">
        <f>ROUND(Tableau16[[#This Row],[LEN]]*7.27,0)</f>
        <v>102</v>
      </c>
      <c r="L179" s="107">
        <v>15</v>
      </c>
      <c r="M179" s="125" t="str">
        <f t="shared" si="1"/>
        <v>none</v>
      </c>
      <c r="N179" s="107">
        <f>LEN(Tableau16[[#This Row],[LABEL]])</f>
        <v>14</v>
      </c>
      <c r="O179" s="107">
        <v>15</v>
      </c>
      <c r="P179" s="107" t="e">
        <f>ROUND(Tableau16[[#This Row],[LEN]]*#REF!+#REF!,0)</f>
        <v>#REF!</v>
      </c>
    </row>
    <row r="180" spans="1:16" s="273" customFormat="1" x14ac:dyDescent="0.25">
      <c r="A180" s="274" t="s">
        <v>247</v>
      </c>
      <c r="B180" s="275" t="s">
        <v>205</v>
      </c>
      <c r="C180" s="276" t="s">
        <v>15</v>
      </c>
      <c r="D180" s="277" t="s">
        <v>1177</v>
      </c>
      <c r="E180" s="276" t="s">
        <v>679</v>
      </c>
      <c r="F180" s="276" t="s">
        <v>1177</v>
      </c>
      <c r="G180" s="277" t="s">
        <v>167</v>
      </c>
      <c r="H180" s="277" t="str">
        <f>IFERROR(IF(SEARCH(".00.00.00.00.00",Tableau16[[#This Row],[name]],1)=7,"Division",""),"")</f>
        <v>Division</v>
      </c>
      <c r="I180" s="276"/>
      <c r="J180" s="278" t="s">
        <v>708</v>
      </c>
      <c r="K180" s="279">
        <f>ROUND(Tableau16[[#This Row],[LEN]]*7.27,0)</f>
        <v>174</v>
      </c>
      <c r="L180" s="279">
        <v>15</v>
      </c>
      <c r="M180" s="280" t="str">
        <f t="shared" si="1"/>
        <v>none</v>
      </c>
      <c r="N180" s="279">
        <f>LEN(Tableau16[[#This Row],[LABEL]])</f>
        <v>24</v>
      </c>
      <c r="O180" s="279">
        <v>15</v>
      </c>
      <c r="P180" s="279" t="e">
        <f>ROUND(Tableau16[[#This Row],[LEN]]*#REF!+#REF!,0)</f>
        <v>#REF!</v>
      </c>
    </row>
    <row r="181" spans="1:16" s="97" customFormat="1" x14ac:dyDescent="0.25">
      <c r="A181" s="17" t="s">
        <v>1049</v>
      </c>
      <c r="B181" s="18" t="s">
        <v>247</v>
      </c>
      <c r="C181" s="19" t="s">
        <v>81</v>
      </c>
      <c r="D181" s="68" t="s">
        <v>1177</v>
      </c>
      <c r="E181" s="19" t="s">
        <v>667</v>
      </c>
      <c r="F181" s="19" t="s">
        <v>1963</v>
      </c>
      <c r="G181" s="68" t="s">
        <v>167</v>
      </c>
      <c r="H181" s="68" t="s">
        <v>655</v>
      </c>
      <c r="I181" s="19"/>
      <c r="J181" s="20" t="s">
        <v>708</v>
      </c>
      <c r="K181" s="107">
        <f>ROUND(Tableau16[[#This Row],[LEN]]*7.27,0)</f>
        <v>73</v>
      </c>
      <c r="L181" s="107">
        <v>15</v>
      </c>
      <c r="M181" s="125" t="str">
        <f t="shared" si="1"/>
        <v>none</v>
      </c>
      <c r="N181" s="107">
        <f>LEN(Tableau16[[#This Row],[LABEL]])</f>
        <v>10</v>
      </c>
      <c r="O181" s="107">
        <v>15</v>
      </c>
      <c r="P181" s="107" t="e">
        <f>ROUND(Tableau16[[#This Row],[LEN]]*#REF!+#REF!,0)</f>
        <v>#REF!</v>
      </c>
    </row>
    <row r="182" spans="1:16" s="97" customFormat="1" x14ac:dyDescent="0.25">
      <c r="A182" s="21" t="s">
        <v>1051</v>
      </c>
      <c r="B182" s="22" t="s">
        <v>1049</v>
      </c>
      <c r="C182" s="23" t="s">
        <v>1031</v>
      </c>
      <c r="D182" s="69" t="s">
        <v>1177</v>
      </c>
      <c r="E182" s="23" t="s">
        <v>667</v>
      </c>
      <c r="F182" s="23" t="s">
        <v>1963</v>
      </c>
      <c r="G182" s="69" t="s">
        <v>167</v>
      </c>
      <c r="H182" s="69" t="s">
        <v>570</v>
      </c>
      <c r="I182" s="23"/>
      <c r="J182" s="24" t="s">
        <v>708</v>
      </c>
      <c r="K182" s="108">
        <f>ROUND(Tableau16[[#This Row],[LEN]]*7.27,0)</f>
        <v>167</v>
      </c>
      <c r="L182" s="108">
        <v>15</v>
      </c>
      <c r="M182" s="126" t="str">
        <f t="shared" si="1"/>
        <v>none</v>
      </c>
      <c r="N182" s="108">
        <f>LEN(Tableau16[[#This Row],[LABEL]])</f>
        <v>23</v>
      </c>
      <c r="O182" s="108">
        <v>15</v>
      </c>
      <c r="P182" s="108" t="e">
        <f>ROUND(Tableau16[[#This Row],[LEN]]*#REF!+#REF!,0)</f>
        <v>#REF!</v>
      </c>
    </row>
    <row r="183" spans="1:16" s="97" customFormat="1" x14ac:dyDescent="0.25">
      <c r="A183" s="21" t="s">
        <v>1052</v>
      </c>
      <c r="B183" s="22" t="s">
        <v>1049</v>
      </c>
      <c r="C183" s="23" t="s">
        <v>1032</v>
      </c>
      <c r="D183" s="69" t="s">
        <v>1177</v>
      </c>
      <c r="E183" s="23" t="s">
        <v>667</v>
      </c>
      <c r="F183" s="23" t="s">
        <v>1963</v>
      </c>
      <c r="G183" s="69" t="s">
        <v>167</v>
      </c>
      <c r="H183" s="69" t="s">
        <v>570</v>
      </c>
      <c r="I183" s="23"/>
      <c r="J183" s="24" t="s">
        <v>708</v>
      </c>
      <c r="K183" s="108">
        <f>ROUND(Tableau16[[#This Row],[LEN]]*7.27,0)</f>
        <v>153</v>
      </c>
      <c r="L183" s="108">
        <v>15</v>
      </c>
      <c r="M183" s="126" t="str">
        <f t="shared" si="1"/>
        <v>none</v>
      </c>
      <c r="N183" s="108">
        <f>LEN(Tableau16[[#This Row],[LABEL]])</f>
        <v>21</v>
      </c>
      <c r="O183" s="108">
        <v>15</v>
      </c>
      <c r="P183" s="108" t="e">
        <f>ROUND(Tableau16[[#This Row],[LEN]]*#REF!+#REF!,0)</f>
        <v>#REF!</v>
      </c>
    </row>
    <row r="184" spans="1:16" s="97" customFormat="1" x14ac:dyDescent="0.25">
      <c r="A184" s="21" t="s">
        <v>1053</v>
      </c>
      <c r="B184" s="22" t="s">
        <v>1049</v>
      </c>
      <c r="C184" s="23" t="s">
        <v>1033</v>
      </c>
      <c r="D184" s="69" t="s">
        <v>1177</v>
      </c>
      <c r="E184" s="23" t="s">
        <v>667</v>
      </c>
      <c r="F184" s="23" t="s">
        <v>1963</v>
      </c>
      <c r="G184" s="69" t="s">
        <v>167</v>
      </c>
      <c r="H184" s="69" t="s">
        <v>570</v>
      </c>
      <c r="I184" s="23"/>
      <c r="J184" s="24" t="s">
        <v>708</v>
      </c>
      <c r="K184" s="108">
        <f>ROUND(Tableau16[[#This Row],[LEN]]*7.27,0)</f>
        <v>334</v>
      </c>
      <c r="L184" s="108">
        <v>15</v>
      </c>
      <c r="M184" s="126" t="str">
        <f t="shared" si="1"/>
        <v>none</v>
      </c>
      <c r="N184" s="108">
        <f>LEN(Tableau16[[#This Row],[LABEL]])</f>
        <v>46</v>
      </c>
      <c r="O184" s="108">
        <v>15</v>
      </c>
      <c r="P184" s="108" t="e">
        <f>ROUND(Tableau16[[#This Row],[LEN]]*#REF!+#REF!,0)</f>
        <v>#REF!</v>
      </c>
    </row>
    <row r="185" spans="1:16" s="97" customFormat="1" x14ac:dyDescent="0.25">
      <c r="A185" s="21" t="s">
        <v>1054</v>
      </c>
      <c r="B185" s="22" t="s">
        <v>1049</v>
      </c>
      <c r="C185" s="23" t="s">
        <v>1034</v>
      </c>
      <c r="D185" s="69" t="s">
        <v>1177</v>
      </c>
      <c r="E185" s="23" t="s">
        <v>667</v>
      </c>
      <c r="F185" s="23" t="s">
        <v>1963</v>
      </c>
      <c r="G185" s="69" t="s">
        <v>167</v>
      </c>
      <c r="H185" s="69" t="s">
        <v>570</v>
      </c>
      <c r="I185" s="23"/>
      <c r="J185" s="24" t="s">
        <v>708</v>
      </c>
      <c r="K185" s="108">
        <f>ROUND(Tableau16[[#This Row],[LEN]]*7.27,0)</f>
        <v>393</v>
      </c>
      <c r="L185" s="108">
        <v>15</v>
      </c>
      <c r="M185" s="126" t="str">
        <f t="shared" si="1"/>
        <v>none</v>
      </c>
      <c r="N185" s="108">
        <f>LEN(Tableau16[[#This Row],[LABEL]])</f>
        <v>54</v>
      </c>
      <c r="O185" s="108">
        <v>15</v>
      </c>
      <c r="P185" s="108" t="e">
        <f>ROUND(Tableau16[[#This Row],[LEN]]*#REF!+#REF!,0)</f>
        <v>#REF!</v>
      </c>
    </row>
    <row r="186" spans="1:16" s="97" customFormat="1" x14ac:dyDescent="0.25">
      <c r="A186" s="21" t="s">
        <v>1055</v>
      </c>
      <c r="B186" s="22" t="s">
        <v>1049</v>
      </c>
      <c r="C186" s="23" t="s">
        <v>1035</v>
      </c>
      <c r="D186" s="69" t="s">
        <v>1177</v>
      </c>
      <c r="E186" s="23" t="s">
        <v>667</v>
      </c>
      <c r="F186" s="23" t="s">
        <v>1963</v>
      </c>
      <c r="G186" s="69" t="s">
        <v>167</v>
      </c>
      <c r="H186" s="69" t="s">
        <v>570</v>
      </c>
      <c r="I186" s="23"/>
      <c r="J186" s="24" t="s">
        <v>708</v>
      </c>
      <c r="K186" s="108">
        <f>ROUND(Tableau16[[#This Row],[LEN]]*7.27,0)</f>
        <v>320</v>
      </c>
      <c r="L186" s="108">
        <v>15</v>
      </c>
      <c r="M186" s="126" t="str">
        <f t="shared" si="1"/>
        <v>none</v>
      </c>
      <c r="N186" s="108">
        <f>LEN(Tableau16[[#This Row],[LABEL]])</f>
        <v>44</v>
      </c>
      <c r="O186" s="108">
        <v>15</v>
      </c>
      <c r="P186" s="108" t="e">
        <f>ROUND(Tableau16[[#This Row],[LEN]]*#REF!+#REF!,0)</f>
        <v>#REF!</v>
      </c>
    </row>
    <row r="187" spans="1:16" s="97" customFormat="1" x14ac:dyDescent="0.25">
      <c r="A187" s="21" t="s">
        <v>1056</v>
      </c>
      <c r="B187" s="22" t="s">
        <v>1049</v>
      </c>
      <c r="C187" s="23" t="s">
        <v>1036</v>
      </c>
      <c r="D187" s="69" t="s">
        <v>1177</v>
      </c>
      <c r="E187" s="23" t="s">
        <v>667</v>
      </c>
      <c r="F187" s="23" t="s">
        <v>1963</v>
      </c>
      <c r="G187" s="69" t="s">
        <v>167</v>
      </c>
      <c r="H187" s="69" t="s">
        <v>570</v>
      </c>
      <c r="I187" s="23"/>
      <c r="J187" s="24" t="s">
        <v>708</v>
      </c>
      <c r="K187" s="108">
        <f>ROUND(Tableau16[[#This Row],[LEN]]*7.27,0)</f>
        <v>95</v>
      </c>
      <c r="L187" s="108">
        <v>15</v>
      </c>
      <c r="M187" s="126" t="str">
        <f t="shared" si="1"/>
        <v>none</v>
      </c>
      <c r="N187" s="108">
        <f>LEN(Tableau16[[#This Row],[LABEL]])</f>
        <v>13</v>
      </c>
      <c r="O187" s="108">
        <v>15</v>
      </c>
      <c r="P187" s="108" t="e">
        <f>ROUND(Tableau16[[#This Row],[LEN]]*#REF!+#REF!,0)</f>
        <v>#REF!</v>
      </c>
    </row>
    <row r="188" spans="1:16" s="97" customFormat="1" x14ac:dyDescent="0.25">
      <c r="A188" s="21" t="s">
        <v>1057</v>
      </c>
      <c r="B188" s="22" t="s">
        <v>1049</v>
      </c>
      <c r="C188" s="23" t="s">
        <v>1037</v>
      </c>
      <c r="D188" s="69" t="s">
        <v>1177</v>
      </c>
      <c r="E188" s="23" t="s">
        <v>667</v>
      </c>
      <c r="F188" s="23" t="s">
        <v>1963</v>
      </c>
      <c r="G188" s="69" t="s">
        <v>167</v>
      </c>
      <c r="H188" s="69" t="s">
        <v>570</v>
      </c>
      <c r="I188" s="23"/>
      <c r="J188" s="24" t="s">
        <v>708</v>
      </c>
      <c r="K188" s="108">
        <f>ROUND(Tableau16[[#This Row],[LEN]]*7.27,0)</f>
        <v>124</v>
      </c>
      <c r="L188" s="108">
        <v>15</v>
      </c>
      <c r="M188" s="126" t="str">
        <f t="shared" si="1"/>
        <v>none</v>
      </c>
      <c r="N188" s="108">
        <f>LEN(Tableau16[[#This Row],[LABEL]])</f>
        <v>17</v>
      </c>
      <c r="O188" s="108">
        <v>15</v>
      </c>
      <c r="P188" s="108" t="e">
        <f>ROUND(Tableau16[[#This Row],[LEN]]*#REF!+#REF!,0)</f>
        <v>#REF!</v>
      </c>
    </row>
    <row r="189" spans="1:16" s="97" customFormat="1" x14ac:dyDescent="0.25">
      <c r="A189" s="17" t="s">
        <v>1050</v>
      </c>
      <c r="B189" s="18" t="s">
        <v>247</v>
      </c>
      <c r="C189" s="19" t="s">
        <v>110</v>
      </c>
      <c r="D189" s="68" t="s">
        <v>1177</v>
      </c>
      <c r="E189" s="19" t="s">
        <v>1177</v>
      </c>
      <c r="F189" s="19" t="s">
        <v>1084</v>
      </c>
      <c r="G189" s="68" t="s">
        <v>1977</v>
      </c>
      <c r="H189" s="68" t="s">
        <v>1131</v>
      </c>
      <c r="I189" s="19"/>
      <c r="J189" s="20" t="s">
        <v>708</v>
      </c>
      <c r="K189" s="107">
        <f>ROUND(Tableau16[[#This Row],[LEN]]*7.27,0)</f>
        <v>102</v>
      </c>
      <c r="L189" s="107">
        <v>15</v>
      </c>
      <c r="M189" s="125" t="str">
        <f t="shared" si="1"/>
        <v>none</v>
      </c>
      <c r="N189" s="107">
        <f>LEN(Tableau16[[#This Row],[LABEL]])</f>
        <v>14</v>
      </c>
      <c r="O189" s="107">
        <v>15</v>
      </c>
      <c r="P189" s="107" t="e">
        <f>ROUND(Tableau16[[#This Row],[LEN]]*#REF!+#REF!,0)</f>
        <v>#REF!</v>
      </c>
    </row>
    <row r="190" spans="1:16" s="273" customFormat="1" x14ac:dyDescent="0.25">
      <c r="A190" s="274" t="s">
        <v>1960</v>
      </c>
      <c r="B190" s="275" t="s">
        <v>205</v>
      </c>
      <c r="C190" s="276" t="s">
        <v>1950</v>
      </c>
      <c r="D190" s="277"/>
      <c r="E190" s="276" t="s">
        <v>1951</v>
      </c>
      <c r="F190" s="276" t="s">
        <v>1177</v>
      </c>
      <c r="G190" s="277" t="s">
        <v>167</v>
      </c>
      <c r="H190" s="277" t="s">
        <v>56</v>
      </c>
      <c r="I190" s="276"/>
      <c r="J190" s="278" t="s">
        <v>708</v>
      </c>
      <c r="K190" s="279">
        <f>ROUND(Tableau16[[#This Row],[LEN]]*7.27,0)</f>
        <v>51</v>
      </c>
      <c r="L190" s="279">
        <v>15</v>
      </c>
      <c r="M190" s="280" t="str">
        <f t="shared" si="1"/>
        <v>none</v>
      </c>
      <c r="N190" s="279">
        <f>LEN(Tableau16[[#This Row],[LABEL]])</f>
        <v>7</v>
      </c>
      <c r="O190" s="279">
        <v>15</v>
      </c>
      <c r="P190" s="279" t="e">
        <f>ROUND(Tableau16[[#This Row],[LEN]]*#REF!+#REF!,0)</f>
        <v>#REF!</v>
      </c>
    </row>
    <row r="191" spans="1:16" s="97" customFormat="1" x14ac:dyDescent="0.25">
      <c r="A191" s="17" t="s">
        <v>1961</v>
      </c>
      <c r="B191" s="18" t="s">
        <v>1960</v>
      </c>
      <c r="C191" s="19" t="s">
        <v>81</v>
      </c>
      <c r="D191" s="68" t="s">
        <v>1177</v>
      </c>
      <c r="E191" s="19" t="s">
        <v>667</v>
      </c>
      <c r="F191" s="19" t="s">
        <v>1963</v>
      </c>
      <c r="G191" s="68" t="s">
        <v>167</v>
      </c>
      <c r="H191" s="68" t="s">
        <v>655</v>
      </c>
      <c r="I191" s="19"/>
      <c r="J191" s="20" t="s">
        <v>708</v>
      </c>
      <c r="K191" s="107">
        <f>ROUND(Tableau16[[#This Row],[LEN]]*7.27,0)</f>
        <v>73</v>
      </c>
      <c r="L191" s="107">
        <v>15</v>
      </c>
      <c r="M191" s="125" t="str">
        <f t="shared" si="1"/>
        <v>none</v>
      </c>
      <c r="N191" s="107">
        <f>LEN(Tableau16[[#This Row],[LABEL]])</f>
        <v>10</v>
      </c>
      <c r="O191" s="107">
        <v>15</v>
      </c>
      <c r="P191" s="107" t="e">
        <f>ROUND(Tableau16[[#This Row],[LEN]]*#REF!+#REF!,0)</f>
        <v>#REF!</v>
      </c>
    </row>
    <row r="192" spans="1:16" s="97" customFormat="1" x14ac:dyDescent="0.25">
      <c r="A192" s="21" t="s">
        <v>1970</v>
      </c>
      <c r="B192" s="22" t="s">
        <v>1961</v>
      </c>
      <c r="C192" s="23" t="s">
        <v>1967</v>
      </c>
      <c r="D192" s="69" t="s">
        <v>1177</v>
      </c>
      <c r="E192" s="23" t="s">
        <v>667</v>
      </c>
      <c r="F192" s="23" t="s">
        <v>1963</v>
      </c>
      <c r="G192" s="69" t="s">
        <v>167</v>
      </c>
      <c r="H192" s="69" t="s">
        <v>570</v>
      </c>
      <c r="I192" s="23"/>
      <c r="J192" s="24" t="s">
        <v>708</v>
      </c>
      <c r="K192" s="108">
        <f>ROUND(Tableau16[[#This Row],[LEN]]*7.27,0)</f>
        <v>334</v>
      </c>
      <c r="L192" s="108">
        <v>15</v>
      </c>
      <c r="M192" s="126" t="str">
        <f t="shared" si="1"/>
        <v>none</v>
      </c>
      <c r="N192" s="108">
        <f>LEN(Tableau16[[#This Row],[LABEL]])</f>
        <v>46</v>
      </c>
      <c r="O192" s="108">
        <v>15</v>
      </c>
      <c r="P192" s="108" t="e">
        <f>ROUND(Tableau16[[#This Row],[LEN]]*#REF!+#REF!,0)</f>
        <v>#REF!</v>
      </c>
    </row>
    <row r="193" spans="1:16" s="97" customFormat="1" x14ac:dyDescent="0.25">
      <c r="A193" s="21" t="s">
        <v>1971</v>
      </c>
      <c r="B193" s="22" t="s">
        <v>1961</v>
      </c>
      <c r="C193" s="23" t="s">
        <v>1974</v>
      </c>
      <c r="D193" s="69" t="s">
        <v>1969</v>
      </c>
      <c r="E193" s="23" t="s">
        <v>667</v>
      </c>
      <c r="F193" s="23" t="s">
        <v>1963</v>
      </c>
      <c r="G193" s="69" t="s">
        <v>167</v>
      </c>
      <c r="H193" s="69" t="s">
        <v>570</v>
      </c>
      <c r="I193" s="23"/>
      <c r="J193" s="24" t="s">
        <v>708</v>
      </c>
      <c r="K193" s="108">
        <f>ROUND(Tableau16[[#This Row],[LEN]]*7.27,0)</f>
        <v>262</v>
      </c>
      <c r="L193" s="108">
        <v>15</v>
      </c>
      <c r="M193" s="126" t="str">
        <f t="shared" si="1"/>
        <v>none</v>
      </c>
      <c r="N193" s="108">
        <f>LEN(Tableau16[[#This Row],[LABEL]])</f>
        <v>36</v>
      </c>
      <c r="O193" s="108">
        <v>15</v>
      </c>
      <c r="P193" s="108" t="e">
        <f>ROUND(Tableau16[[#This Row],[LEN]]*#REF!+#REF!,0)</f>
        <v>#REF!</v>
      </c>
    </row>
    <row r="194" spans="1:16" s="97" customFormat="1" x14ac:dyDescent="0.25">
      <c r="A194" s="21" t="s">
        <v>1972</v>
      </c>
      <c r="B194" s="22" t="s">
        <v>1961</v>
      </c>
      <c r="C194" s="23" t="s">
        <v>1976</v>
      </c>
      <c r="D194" s="69" t="s">
        <v>1177</v>
      </c>
      <c r="E194" s="23" t="s">
        <v>667</v>
      </c>
      <c r="F194" s="23" t="s">
        <v>1963</v>
      </c>
      <c r="G194" s="69" t="s">
        <v>167</v>
      </c>
      <c r="H194" s="69" t="s">
        <v>570</v>
      </c>
      <c r="I194" s="23"/>
      <c r="J194" s="24" t="s">
        <v>708</v>
      </c>
      <c r="K194" s="108">
        <f>ROUND(Tableau16[[#This Row],[LEN]]*7.27,0)</f>
        <v>443</v>
      </c>
      <c r="L194" s="108">
        <v>15</v>
      </c>
      <c r="M194" s="126" t="str">
        <f t="shared" si="1"/>
        <v>none</v>
      </c>
      <c r="N194" s="108">
        <f>LEN(Tableau16[[#This Row],[LABEL]])</f>
        <v>61</v>
      </c>
      <c r="O194" s="108">
        <v>15</v>
      </c>
      <c r="P194" s="108" t="e">
        <f>ROUND(Tableau16[[#This Row],[LEN]]*#REF!+#REF!,0)</f>
        <v>#REF!</v>
      </c>
    </row>
    <row r="195" spans="1:16" s="97" customFormat="1" x14ac:dyDescent="0.25">
      <c r="A195" s="21" t="s">
        <v>1973</v>
      </c>
      <c r="B195" s="22" t="s">
        <v>1961</v>
      </c>
      <c r="C195" s="23" t="s">
        <v>1975</v>
      </c>
      <c r="D195" s="69" t="s">
        <v>1968</v>
      </c>
      <c r="E195" s="23" t="s">
        <v>667</v>
      </c>
      <c r="F195" s="23" t="s">
        <v>1963</v>
      </c>
      <c r="G195" s="69" t="s">
        <v>167</v>
      </c>
      <c r="H195" s="69" t="s">
        <v>570</v>
      </c>
      <c r="I195" s="23"/>
      <c r="J195" s="24" t="s">
        <v>708</v>
      </c>
      <c r="K195" s="108">
        <f>ROUND(Tableau16[[#This Row],[LEN]]*7.27,0)</f>
        <v>167</v>
      </c>
      <c r="L195" s="108">
        <v>15</v>
      </c>
      <c r="M195" s="126" t="str">
        <f t="shared" si="1"/>
        <v>none</v>
      </c>
      <c r="N195" s="108">
        <f>LEN(Tableau16[[#This Row],[LABEL]])</f>
        <v>23</v>
      </c>
      <c r="O195" s="108">
        <v>15</v>
      </c>
      <c r="P195" s="108" t="e">
        <f>ROUND(Tableau16[[#This Row],[LEN]]*#REF!+#REF!,0)</f>
        <v>#REF!</v>
      </c>
    </row>
    <row r="196" spans="1:16" s="97" customFormat="1" ht="15.75" thickBot="1" x14ac:dyDescent="0.3">
      <c r="A196" s="17" t="s">
        <v>1962</v>
      </c>
      <c r="B196" s="18" t="s">
        <v>1960</v>
      </c>
      <c r="C196" s="19" t="s">
        <v>110</v>
      </c>
      <c r="D196" s="68" t="s">
        <v>1177</v>
      </c>
      <c r="E196" s="19" t="s">
        <v>1177</v>
      </c>
      <c r="F196" s="19" t="s">
        <v>1084</v>
      </c>
      <c r="G196" s="68" t="s">
        <v>1977</v>
      </c>
      <c r="H196" s="68" t="s">
        <v>1131</v>
      </c>
      <c r="I196" s="19"/>
      <c r="J196" s="20" t="s">
        <v>708</v>
      </c>
      <c r="K196" s="107">
        <f>ROUND(Tableau16[[#This Row],[LEN]]*7.27,0)</f>
        <v>102</v>
      </c>
      <c r="L196" s="107">
        <v>15</v>
      </c>
      <c r="M196" s="125" t="str">
        <f t="shared" si="1"/>
        <v>none</v>
      </c>
      <c r="N196" s="107">
        <f>LEN(Tableau16[[#This Row],[LABEL]])</f>
        <v>14</v>
      </c>
      <c r="O196" s="107">
        <v>15</v>
      </c>
      <c r="P196" s="107" t="e">
        <f>ROUND(Tableau16[[#This Row],[LEN]]*#REF!+#REF!,0)</f>
        <v>#REF!</v>
      </c>
    </row>
    <row r="197" spans="1:16" s="97" customFormat="1" ht="15.75" thickTop="1" x14ac:dyDescent="0.25">
      <c r="A197" s="156" t="s">
        <v>201</v>
      </c>
      <c r="B197" s="156" t="s">
        <v>198</v>
      </c>
      <c r="C197" s="157" t="s">
        <v>1160</v>
      </c>
      <c r="D197" s="157" t="s">
        <v>182</v>
      </c>
      <c r="E197" s="158" t="s">
        <v>1177</v>
      </c>
      <c r="F197" s="157" t="s">
        <v>1084</v>
      </c>
      <c r="G197" s="158" t="s">
        <v>171</v>
      </c>
      <c r="H197" s="158" t="s">
        <v>615</v>
      </c>
      <c r="I197" s="157"/>
      <c r="J197" s="159" t="s">
        <v>707</v>
      </c>
      <c r="K197" s="160">
        <f>ROUND(Tableau16[[#This Row],[LEN]]*7.27,0)</f>
        <v>58</v>
      </c>
      <c r="L197" s="160">
        <v>15</v>
      </c>
      <c r="M197" s="161" t="str">
        <f t="shared" si="1"/>
        <v>new</v>
      </c>
      <c r="N197" s="160">
        <f>LEN(Tableau16[[#This Row],[LABEL]])</f>
        <v>8</v>
      </c>
      <c r="O197" s="162">
        <v>15</v>
      </c>
      <c r="P197" s="162" t="e">
        <f>ROUND(Tableau16[[#This Row],[LEN]]*#REF!+#REF!,0)</f>
        <v>#REF!</v>
      </c>
    </row>
    <row r="198" spans="1:16" s="97" customFormat="1" ht="15.75" thickBot="1" x14ac:dyDescent="0.3">
      <c r="A198" s="170" t="s">
        <v>206</v>
      </c>
      <c r="B198" s="170" t="s">
        <v>201</v>
      </c>
      <c r="C198" s="171" t="s">
        <v>174</v>
      </c>
      <c r="D198" s="172" t="s">
        <v>186</v>
      </c>
      <c r="E198" s="171" t="s">
        <v>1177</v>
      </c>
      <c r="F198" s="172" t="s">
        <v>1177</v>
      </c>
      <c r="G198" s="171" t="s">
        <v>166</v>
      </c>
      <c r="H198" s="171" t="s">
        <v>616</v>
      </c>
      <c r="I198" s="172"/>
      <c r="J198" s="173" t="s">
        <v>708</v>
      </c>
      <c r="K198" s="174">
        <f>ROUND(Tableau16[[#This Row],[LEN]]*7.27,0)</f>
        <v>65</v>
      </c>
      <c r="L198" s="174">
        <v>15</v>
      </c>
      <c r="M198" s="175" t="str">
        <f t="shared" si="1"/>
        <v>none</v>
      </c>
      <c r="N198" s="174">
        <f>LEN(Tableau16[[#This Row],[LABEL]])</f>
        <v>9</v>
      </c>
      <c r="O198" s="176">
        <v>15</v>
      </c>
      <c r="P198" s="176" t="e">
        <f>ROUND(Tableau16[[#This Row],[LEN]]*#REF!+#REF!,0)</f>
        <v>#REF!</v>
      </c>
    </row>
    <row r="199" spans="1:16" s="92" customFormat="1" ht="15.75" thickTop="1" x14ac:dyDescent="0.25">
      <c r="A199" s="288" t="s">
        <v>249</v>
      </c>
      <c r="B199" s="289" t="s">
        <v>206</v>
      </c>
      <c r="C199" s="290" t="s">
        <v>57</v>
      </c>
      <c r="D199" s="291" t="s">
        <v>1177</v>
      </c>
      <c r="E199" s="290" t="s">
        <v>663</v>
      </c>
      <c r="F199" s="290" t="s">
        <v>1177</v>
      </c>
      <c r="G199" s="291" t="s">
        <v>166</v>
      </c>
      <c r="H199" s="291" t="str">
        <f>IFERROR(IF(SEARCH(".00.00.00.00.00",Tableau16[[#This Row],[name]],1)=7,"Division",""),"")</f>
        <v>Division</v>
      </c>
      <c r="I199" s="290"/>
      <c r="J199" s="292" t="s">
        <v>708</v>
      </c>
      <c r="K199" s="293">
        <f>ROUND(Tableau16[[#This Row],[LEN]]*7.27,0)</f>
        <v>102</v>
      </c>
      <c r="L199" s="293">
        <v>15</v>
      </c>
      <c r="M199" s="294" t="str">
        <f t="shared" si="1"/>
        <v>none</v>
      </c>
      <c r="N199" s="293">
        <f>LEN(Tableau16[[#This Row],[LABEL]])</f>
        <v>14</v>
      </c>
      <c r="O199" s="293">
        <v>15</v>
      </c>
      <c r="P199" s="293" t="e">
        <f>ROUND(Tableau16[[#This Row],[LEN]]*#REF!+#REF!,0)</f>
        <v>#REF!</v>
      </c>
    </row>
    <row r="200" spans="1:16" s="97" customFormat="1" x14ac:dyDescent="0.25">
      <c r="A200" s="25" t="s">
        <v>760</v>
      </c>
      <c r="B200" s="26" t="s">
        <v>249</v>
      </c>
      <c r="C200" s="27" t="s">
        <v>774</v>
      </c>
      <c r="D200" s="70" t="s">
        <v>1177</v>
      </c>
      <c r="E200" s="27" t="s">
        <v>663</v>
      </c>
      <c r="F200" s="27" t="s">
        <v>1177</v>
      </c>
      <c r="G200" s="70" t="s">
        <v>166</v>
      </c>
      <c r="H200" s="70" t="s">
        <v>656</v>
      </c>
      <c r="I200" s="27"/>
      <c r="J200" s="28" t="s">
        <v>708</v>
      </c>
      <c r="K200" s="109">
        <f>ROUND(Tableau16[[#This Row],[LEN]]*7.27,0)</f>
        <v>393</v>
      </c>
      <c r="L200" s="109">
        <v>15</v>
      </c>
      <c r="M200" s="127" t="str">
        <f t="shared" si="1"/>
        <v>none</v>
      </c>
      <c r="N200" s="109">
        <f>LEN(Tableau16[[#This Row],[LABEL]])</f>
        <v>54</v>
      </c>
      <c r="O200" s="109">
        <v>15</v>
      </c>
      <c r="P200" s="109" t="e">
        <f>ROUND(Tableau16[[#This Row],[LEN]]*#REF!+#REF!,0)</f>
        <v>#REF!</v>
      </c>
    </row>
    <row r="201" spans="1:16" s="97" customFormat="1" x14ac:dyDescent="0.25">
      <c r="A201" s="25" t="s">
        <v>761</v>
      </c>
      <c r="B201" s="26" t="s">
        <v>249</v>
      </c>
      <c r="C201" s="27" t="s">
        <v>781</v>
      </c>
      <c r="D201" s="70" t="s">
        <v>1177</v>
      </c>
      <c r="E201" s="27" t="s">
        <v>663</v>
      </c>
      <c r="F201" s="27" t="s">
        <v>1177</v>
      </c>
      <c r="G201" s="70" t="s">
        <v>166</v>
      </c>
      <c r="H201" s="70" t="s">
        <v>655</v>
      </c>
      <c r="I201" s="27"/>
      <c r="J201" s="28" t="s">
        <v>708</v>
      </c>
      <c r="K201" s="109">
        <f>ROUND(Tableau16[[#This Row],[LEN]]*7.27,0)</f>
        <v>218</v>
      </c>
      <c r="L201" s="109">
        <v>15</v>
      </c>
      <c r="M201" s="127" t="str">
        <f t="shared" si="1"/>
        <v>none</v>
      </c>
      <c r="N201" s="109">
        <f>LEN(Tableau16[[#This Row],[LABEL]])</f>
        <v>30</v>
      </c>
      <c r="O201" s="109">
        <v>15</v>
      </c>
      <c r="P201" s="109" t="e">
        <f>ROUND(Tableau16[[#This Row],[LEN]]*#REF!+#REF!,0)</f>
        <v>#REF!</v>
      </c>
    </row>
    <row r="202" spans="1:16" s="97" customFormat="1" x14ac:dyDescent="0.25">
      <c r="A202" s="29" t="s">
        <v>787</v>
      </c>
      <c r="B202" s="30" t="s">
        <v>761</v>
      </c>
      <c r="C202" s="31" t="s">
        <v>789</v>
      </c>
      <c r="D202" s="71" t="s">
        <v>1177</v>
      </c>
      <c r="E202" s="31" t="s">
        <v>663</v>
      </c>
      <c r="F202" s="31" t="s">
        <v>1177</v>
      </c>
      <c r="G202" s="71" t="s">
        <v>166</v>
      </c>
      <c r="H202" s="85" t="s">
        <v>654</v>
      </c>
      <c r="I202" s="31"/>
      <c r="J202" s="103" t="s">
        <v>708</v>
      </c>
      <c r="K202" s="110">
        <f>ROUND(Tableau16[[#This Row],[LEN]]*7.27,0)</f>
        <v>189</v>
      </c>
      <c r="L202" s="110">
        <v>15</v>
      </c>
      <c r="M202" s="128" t="str">
        <f t="shared" si="1"/>
        <v>none</v>
      </c>
      <c r="N202" s="111">
        <f>LEN(Tableau16[[#This Row],[LABEL]])</f>
        <v>26</v>
      </c>
      <c r="O202" s="111">
        <v>15</v>
      </c>
      <c r="P202" s="111" t="e">
        <f>ROUND(Tableau16[[#This Row],[LEN]]*#REF!+#REF!,0)</f>
        <v>#REF!</v>
      </c>
    </row>
    <row r="203" spans="1:16" s="97" customFormat="1" x14ac:dyDescent="0.25">
      <c r="A203" s="29" t="s">
        <v>788</v>
      </c>
      <c r="B203" s="30" t="s">
        <v>761</v>
      </c>
      <c r="C203" s="31" t="s">
        <v>790</v>
      </c>
      <c r="D203" s="71" t="s">
        <v>1177</v>
      </c>
      <c r="E203" s="31" t="s">
        <v>663</v>
      </c>
      <c r="F203" s="31" t="s">
        <v>1177</v>
      </c>
      <c r="G203" s="71" t="s">
        <v>166</v>
      </c>
      <c r="H203" s="85" t="s">
        <v>654</v>
      </c>
      <c r="I203" s="31"/>
      <c r="J203" s="103" t="s">
        <v>708</v>
      </c>
      <c r="K203" s="110">
        <f>ROUND(Tableau16[[#This Row],[LEN]]*7.27,0)</f>
        <v>349</v>
      </c>
      <c r="L203" s="110">
        <v>15</v>
      </c>
      <c r="M203" s="128" t="str">
        <f t="shared" si="1"/>
        <v>none</v>
      </c>
      <c r="N203" s="111">
        <f>LEN(Tableau16[[#This Row],[LABEL]])</f>
        <v>48</v>
      </c>
      <c r="O203" s="111">
        <v>15</v>
      </c>
      <c r="P203" s="111" t="e">
        <f>ROUND(Tableau16[[#This Row],[LEN]]*#REF!+#REF!,0)</f>
        <v>#REF!</v>
      </c>
    </row>
    <row r="204" spans="1:16" s="97" customFormat="1" x14ac:dyDescent="0.25">
      <c r="A204" s="25" t="s">
        <v>762</v>
      </c>
      <c r="B204" s="26" t="s">
        <v>249</v>
      </c>
      <c r="C204" s="27" t="s">
        <v>775</v>
      </c>
      <c r="D204" s="70" t="s">
        <v>1177</v>
      </c>
      <c r="E204" s="27" t="s">
        <v>663</v>
      </c>
      <c r="F204" s="27" t="s">
        <v>1177</v>
      </c>
      <c r="G204" s="70" t="s">
        <v>166</v>
      </c>
      <c r="H204" s="70" t="s">
        <v>654</v>
      </c>
      <c r="I204" s="27"/>
      <c r="J204" s="28" t="s">
        <v>708</v>
      </c>
      <c r="K204" s="109">
        <f>ROUND(Tableau16[[#This Row],[LEN]]*7.27,0)</f>
        <v>378</v>
      </c>
      <c r="L204" s="109">
        <v>15</v>
      </c>
      <c r="M204" s="127" t="str">
        <f t="shared" si="1"/>
        <v>none</v>
      </c>
      <c r="N204" s="109">
        <f>LEN(Tableau16[[#This Row],[LABEL]])</f>
        <v>52</v>
      </c>
      <c r="O204" s="109">
        <v>15</v>
      </c>
      <c r="P204" s="109" t="e">
        <f>ROUND(Tableau16[[#This Row],[LEN]]*#REF!+#REF!,0)</f>
        <v>#REF!</v>
      </c>
    </row>
    <row r="205" spans="1:16" s="97" customFormat="1" x14ac:dyDescent="0.25">
      <c r="A205" s="25" t="s">
        <v>763</v>
      </c>
      <c r="B205" s="26" t="s">
        <v>249</v>
      </c>
      <c r="C205" s="27" t="s">
        <v>88</v>
      </c>
      <c r="D205" s="70" t="s">
        <v>1177</v>
      </c>
      <c r="E205" s="27" t="s">
        <v>667</v>
      </c>
      <c r="F205" s="27" t="s">
        <v>1218</v>
      </c>
      <c r="G205" s="70" t="s">
        <v>166</v>
      </c>
      <c r="H205" s="70" t="s">
        <v>570</v>
      </c>
      <c r="I205" s="27"/>
      <c r="J205" s="28" t="s">
        <v>708</v>
      </c>
      <c r="K205" s="109">
        <f>ROUND(Tableau16[[#This Row],[LEN]]*7.27,0)</f>
        <v>342</v>
      </c>
      <c r="L205" s="109">
        <v>15</v>
      </c>
      <c r="M205" s="127" t="str">
        <f t="shared" si="1"/>
        <v>none</v>
      </c>
      <c r="N205" s="109">
        <f>LEN(Tableau16[[#This Row],[LABEL]])</f>
        <v>47</v>
      </c>
      <c r="O205" s="109">
        <v>15</v>
      </c>
      <c r="P205" s="109" t="e">
        <f>ROUND(Tableau16[[#This Row],[LEN]]*#REF!+#REF!,0)</f>
        <v>#REF!</v>
      </c>
    </row>
    <row r="206" spans="1:16" s="97" customFormat="1" x14ac:dyDescent="0.25">
      <c r="A206" s="25" t="s">
        <v>764</v>
      </c>
      <c r="B206" s="26" t="s">
        <v>249</v>
      </c>
      <c r="C206" s="27" t="s">
        <v>776</v>
      </c>
      <c r="D206" s="70" t="s">
        <v>1177</v>
      </c>
      <c r="E206" s="27" t="s">
        <v>663</v>
      </c>
      <c r="F206" s="27" t="s">
        <v>970</v>
      </c>
      <c r="G206" s="70" t="s">
        <v>166</v>
      </c>
      <c r="H206" s="70" t="s">
        <v>655</v>
      </c>
      <c r="I206" s="27"/>
      <c r="J206" s="28" t="s">
        <v>708</v>
      </c>
      <c r="K206" s="109">
        <f>ROUND(Tableau16[[#This Row],[LEN]]*7.27,0)</f>
        <v>44</v>
      </c>
      <c r="L206" s="109">
        <v>15</v>
      </c>
      <c r="M206" s="127" t="str">
        <f t="shared" si="1"/>
        <v>none</v>
      </c>
      <c r="N206" s="109">
        <f>LEN(Tableau16[[#This Row],[LABEL]])</f>
        <v>6</v>
      </c>
      <c r="O206" s="109">
        <v>15</v>
      </c>
      <c r="P206" s="109" t="e">
        <f>ROUND(Tableau16[[#This Row],[LEN]]*#REF!+#REF!,0)</f>
        <v>#REF!</v>
      </c>
    </row>
    <row r="207" spans="1:16" s="97" customFormat="1" x14ac:dyDescent="0.25">
      <c r="A207" s="29" t="s">
        <v>791</v>
      </c>
      <c r="B207" s="30" t="s">
        <v>764</v>
      </c>
      <c r="C207" s="31" t="s">
        <v>794</v>
      </c>
      <c r="D207" s="71" t="s">
        <v>1177</v>
      </c>
      <c r="E207" s="31" t="s">
        <v>663</v>
      </c>
      <c r="F207" s="31" t="s">
        <v>970</v>
      </c>
      <c r="G207" s="71" t="s">
        <v>166</v>
      </c>
      <c r="H207" s="85" t="s">
        <v>18</v>
      </c>
      <c r="I207" s="31"/>
      <c r="J207" s="103" t="s">
        <v>708</v>
      </c>
      <c r="K207" s="110">
        <f>ROUND(Tableau16[[#This Row],[LEN]]*7.27,0)</f>
        <v>65</v>
      </c>
      <c r="L207" s="110">
        <v>15</v>
      </c>
      <c r="M207" s="128" t="str">
        <f t="shared" si="1"/>
        <v>none</v>
      </c>
      <c r="N207" s="111">
        <f>LEN(Tableau16[[#This Row],[LABEL]])</f>
        <v>9</v>
      </c>
      <c r="O207" s="111">
        <v>15</v>
      </c>
      <c r="P207" s="111" t="e">
        <f>ROUND(Tableau16[[#This Row],[LEN]]*#REF!+#REF!,0)</f>
        <v>#REF!</v>
      </c>
    </row>
    <row r="208" spans="1:16" s="97" customFormat="1" x14ac:dyDescent="0.25">
      <c r="A208" s="29" t="s">
        <v>792</v>
      </c>
      <c r="B208" s="30" t="s">
        <v>764</v>
      </c>
      <c r="C208" s="31" t="s">
        <v>795</v>
      </c>
      <c r="D208" s="71" t="s">
        <v>1177</v>
      </c>
      <c r="E208" s="31" t="s">
        <v>663</v>
      </c>
      <c r="F208" s="31" t="s">
        <v>970</v>
      </c>
      <c r="G208" s="71" t="s">
        <v>166</v>
      </c>
      <c r="H208" s="85" t="s">
        <v>18</v>
      </c>
      <c r="I208" s="31"/>
      <c r="J208" s="103" t="s">
        <v>708</v>
      </c>
      <c r="K208" s="110">
        <f>ROUND(Tableau16[[#This Row],[LEN]]*7.27,0)</f>
        <v>65</v>
      </c>
      <c r="L208" s="110">
        <v>15</v>
      </c>
      <c r="M208" s="128" t="str">
        <f t="shared" si="1"/>
        <v>none</v>
      </c>
      <c r="N208" s="111">
        <f>LEN(Tableau16[[#This Row],[LABEL]])</f>
        <v>9</v>
      </c>
      <c r="O208" s="111">
        <v>15</v>
      </c>
      <c r="P208" s="111" t="e">
        <f>ROUND(Tableau16[[#This Row],[LEN]]*#REF!+#REF!,0)</f>
        <v>#REF!</v>
      </c>
    </row>
    <row r="209" spans="1:16" s="97" customFormat="1" x14ac:dyDescent="0.25">
      <c r="A209" s="29" t="s">
        <v>793</v>
      </c>
      <c r="B209" s="30" t="s">
        <v>764</v>
      </c>
      <c r="C209" s="31" t="s">
        <v>796</v>
      </c>
      <c r="D209" s="71" t="s">
        <v>1177</v>
      </c>
      <c r="E209" s="31" t="s">
        <v>663</v>
      </c>
      <c r="F209" s="31" t="s">
        <v>970</v>
      </c>
      <c r="G209" s="71" t="s">
        <v>166</v>
      </c>
      <c r="H209" s="85" t="s">
        <v>18</v>
      </c>
      <c r="I209" s="31"/>
      <c r="J209" s="103" t="s">
        <v>708</v>
      </c>
      <c r="K209" s="110">
        <f>ROUND(Tableau16[[#This Row],[LEN]]*7.27,0)</f>
        <v>73</v>
      </c>
      <c r="L209" s="110">
        <v>15</v>
      </c>
      <c r="M209" s="128" t="str">
        <f t="shared" si="1"/>
        <v>none</v>
      </c>
      <c r="N209" s="111">
        <f>LEN(Tableau16[[#This Row],[LABEL]])</f>
        <v>10</v>
      </c>
      <c r="O209" s="111">
        <v>15</v>
      </c>
      <c r="P209" s="111" t="e">
        <f>ROUND(Tableau16[[#This Row],[LEN]]*#REF!+#REF!,0)</f>
        <v>#REF!</v>
      </c>
    </row>
    <row r="210" spans="1:16" s="97" customFormat="1" x14ac:dyDescent="0.25">
      <c r="A210" s="29" t="s">
        <v>797</v>
      </c>
      <c r="B210" s="30" t="s">
        <v>764</v>
      </c>
      <c r="C210" s="31" t="s">
        <v>801</v>
      </c>
      <c r="D210" s="71" t="s">
        <v>1177</v>
      </c>
      <c r="E210" s="31" t="s">
        <v>663</v>
      </c>
      <c r="F210" s="31" t="s">
        <v>970</v>
      </c>
      <c r="G210" s="71" t="s">
        <v>166</v>
      </c>
      <c r="H210" s="85" t="s">
        <v>18</v>
      </c>
      <c r="I210" s="31"/>
      <c r="J210" s="103" t="s">
        <v>708</v>
      </c>
      <c r="K210" s="110">
        <f>ROUND(Tableau16[[#This Row],[LEN]]*7.27,0)</f>
        <v>73</v>
      </c>
      <c r="L210" s="110">
        <v>15</v>
      </c>
      <c r="M210" s="128" t="str">
        <f t="shared" si="1"/>
        <v>none</v>
      </c>
      <c r="N210" s="111">
        <f>LEN(Tableau16[[#This Row],[LABEL]])</f>
        <v>10</v>
      </c>
      <c r="O210" s="111">
        <v>15</v>
      </c>
      <c r="P210" s="111" t="e">
        <f>ROUND(Tableau16[[#This Row],[LEN]]*#REF!+#REF!,0)</f>
        <v>#REF!</v>
      </c>
    </row>
    <row r="211" spans="1:16" s="97" customFormat="1" x14ac:dyDescent="0.25">
      <c r="A211" s="29" t="s">
        <v>798</v>
      </c>
      <c r="B211" s="30" t="s">
        <v>764</v>
      </c>
      <c r="C211" s="31" t="s">
        <v>806</v>
      </c>
      <c r="D211" s="71" t="s">
        <v>1177</v>
      </c>
      <c r="E211" s="31" t="s">
        <v>663</v>
      </c>
      <c r="F211" s="31" t="s">
        <v>970</v>
      </c>
      <c r="G211" s="71" t="s">
        <v>166</v>
      </c>
      <c r="H211" s="85" t="s">
        <v>18</v>
      </c>
      <c r="I211" s="31"/>
      <c r="J211" s="103" t="s">
        <v>708</v>
      </c>
      <c r="K211" s="110">
        <f>ROUND(Tableau16[[#This Row],[LEN]]*7.27,0)</f>
        <v>174</v>
      </c>
      <c r="L211" s="110">
        <v>15</v>
      </c>
      <c r="M211" s="128" t="str">
        <f t="shared" si="1"/>
        <v>none</v>
      </c>
      <c r="N211" s="111">
        <f>LEN(Tableau16[[#This Row],[LABEL]])</f>
        <v>24</v>
      </c>
      <c r="O211" s="111">
        <v>15</v>
      </c>
      <c r="P211" s="111" t="e">
        <f>ROUND(Tableau16[[#This Row],[LEN]]*#REF!+#REF!,0)</f>
        <v>#REF!</v>
      </c>
    </row>
    <row r="212" spans="1:16" s="97" customFormat="1" x14ac:dyDescent="0.25">
      <c r="A212" s="29" t="s">
        <v>799</v>
      </c>
      <c r="B212" s="30" t="s">
        <v>764</v>
      </c>
      <c r="C212" s="31" t="s">
        <v>807</v>
      </c>
      <c r="D212" s="71" t="s">
        <v>1177</v>
      </c>
      <c r="E212" s="31" t="s">
        <v>663</v>
      </c>
      <c r="F212" s="31" t="s">
        <v>970</v>
      </c>
      <c r="G212" s="71" t="s">
        <v>166</v>
      </c>
      <c r="H212" s="85" t="s">
        <v>18</v>
      </c>
      <c r="I212" s="31"/>
      <c r="J212" s="103" t="s">
        <v>708</v>
      </c>
      <c r="K212" s="110">
        <f>ROUND(Tableau16[[#This Row],[LEN]]*7.27,0)</f>
        <v>218</v>
      </c>
      <c r="L212" s="110">
        <v>15</v>
      </c>
      <c r="M212" s="128" t="str">
        <f t="shared" si="1"/>
        <v>none</v>
      </c>
      <c r="N212" s="111">
        <f>LEN(Tableau16[[#This Row],[LABEL]])</f>
        <v>30</v>
      </c>
      <c r="O212" s="111">
        <v>15</v>
      </c>
      <c r="P212" s="111" t="e">
        <f>ROUND(Tableau16[[#This Row],[LEN]]*#REF!+#REF!,0)</f>
        <v>#REF!</v>
      </c>
    </row>
    <row r="213" spans="1:16" s="97" customFormat="1" x14ac:dyDescent="0.25">
      <c r="A213" s="29" t="s">
        <v>800</v>
      </c>
      <c r="B213" s="30" t="s">
        <v>764</v>
      </c>
      <c r="C213" s="31" t="s">
        <v>808</v>
      </c>
      <c r="D213" s="71" t="s">
        <v>1177</v>
      </c>
      <c r="E213" s="31" t="s">
        <v>663</v>
      </c>
      <c r="F213" s="31" t="s">
        <v>970</v>
      </c>
      <c r="G213" s="71" t="s">
        <v>166</v>
      </c>
      <c r="H213" s="85" t="s">
        <v>18</v>
      </c>
      <c r="I213" s="31"/>
      <c r="J213" s="103" t="s">
        <v>708</v>
      </c>
      <c r="K213" s="110">
        <f>ROUND(Tableau16[[#This Row],[LEN]]*7.27,0)</f>
        <v>15</v>
      </c>
      <c r="L213" s="110">
        <v>15</v>
      </c>
      <c r="M213" s="128" t="str">
        <f t="shared" si="1"/>
        <v>none</v>
      </c>
      <c r="N213" s="111">
        <f>LEN(Tableau16[[#This Row],[LABEL]])</f>
        <v>2</v>
      </c>
      <c r="O213" s="111">
        <v>15</v>
      </c>
      <c r="P213" s="111" t="e">
        <f>ROUND(Tableau16[[#This Row],[LEN]]*#REF!+#REF!,0)</f>
        <v>#REF!</v>
      </c>
    </row>
    <row r="214" spans="1:16" s="97" customFormat="1" x14ac:dyDescent="0.25">
      <c r="A214" s="29" t="s">
        <v>802</v>
      </c>
      <c r="B214" s="30" t="s">
        <v>764</v>
      </c>
      <c r="C214" s="31" t="s">
        <v>809</v>
      </c>
      <c r="D214" s="71" t="s">
        <v>1177</v>
      </c>
      <c r="E214" s="31" t="s">
        <v>663</v>
      </c>
      <c r="F214" s="31" t="s">
        <v>970</v>
      </c>
      <c r="G214" s="71" t="s">
        <v>166</v>
      </c>
      <c r="H214" s="85" t="s">
        <v>18</v>
      </c>
      <c r="I214" s="31"/>
      <c r="J214" s="103" t="s">
        <v>708</v>
      </c>
      <c r="K214" s="110">
        <f>ROUND(Tableau16[[#This Row],[LEN]]*7.27,0)</f>
        <v>65</v>
      </c>
      <c r="L214" s="110">
        <v>15</v>
      </c>
      <c r="M214" s="128" t="str">
        <f t="shared" si="1"/>
        <v>none</v>
      </c>
      <c r="N214" s="111">
        <f>LEN(Tableau16[[#This Row],[LABEL]])</f>
        <v>9</v>
      </c>
      <c r="O214" s="111">
        <v>15</v>
      </c>
      <c r="P214" s="111" t="e">
        <f>ROUND(Tableau16[[#This Row],[LEN]]*#REF!+#REF!,0)</f>
        <v>#REF!</v>
      </c>
    </row>
    <row r="215" spans="1:16" s="97" customFormat="1" x14ac:dyDescent="0.25">
      <c r="A215" s="29" t="s">
        <v>803</v>
      </c>
      <c r="B215" s="30" t="s">
        <v>764</v>
      </c>
      <c r="C215" s="31" t="s">
        <v>810</v>
      </c>
      <c r="D215" s="71" t="s">
        <v>1177</v>
      </c>
      <c r="E215" s="31" t="s">
        <v>663</v>
      </c>
      <c r="F215" s="31" t="s">
        <v>970</v>
      </c>
      <c r="G215" s="71" t="s">
        <v>166</v>
      </c>
      <c r="H215" s="85" t="s">
        <v>18</v>
      </c>
      <c r="I215" s="31"/>
      <c r="J215" s="103" t="s">
        <v>708</v>
      </c>
      <c r="K215" s="110">
        <f>ROUND(Tableau16[[#This Row],[LEN]]*7.27,0)</f>
        <v>225</v>
      </c>
      <c r="L215" s="110">
        <v>15</v>
      </c>
      <c r="M215" s="128" t="str">
        <f t="shared" si="1"/>
        <v>none</v>
      </c>
      <c r="N215" s="111">
        <f>LEN(Tableau16[[#This Row],[LABEL]])</f>
        <v>31</v>
      </c>
      <c r="O215" s="111">
        <v>15</v>
      </c>
      <c r="P215" s="111" t="e">
        <f>ROUND(Tableau16[[#This Row],[LEN]]*#REF!+#REF!,0)</f>
        <v>#REF!</v>
      </c>
    </row>
    <row r="216" spans="1:16" s="97" customFormat="1" x14ac:dyDescent="0.25">
      <c r="A216" s="29" t="s">
        <v>804</v>
      </c>
      <c r="B216" s="30" t="s">
        <v>764</v>
      </c>
      <c r="C216" s="31" t="s">
        <v>811</v>
      </c>
      <c r="D216" s="71" t="s">
        <v>1177</v>
      </c>
      <c r="E216" s="31" t="s">
        <v>663</v>
      </c>
      <c r="F216" s="31" t="s">
        <v>970</v>
      </c>
      <c r="G216" s="71" t="s">
        <v>166</v>
      </c>
      <c r="H216" s="85" t="s">
        <v>18</v>
      </c>
      <c r="I216" s="31"/>
      <c r="J216" s="103" t="s">
        <v>708</v>
      </c>
      <c r="K216" s="110">
        <f>ROUND(Tableau16[[#This Row],[LEN]]*7.27,0)</f>
        <v>160</v>
      </c>
      <c r="L216" s="110">
        <v>15</v>
      </c>
      <c r="M216" s="128" t="str">
        <f t="shared" si="1"/>
        <v>none</v>
      </c>
      <c r="N216" s="111">
        <f>LEN(Tableau16[[#This Row],[LABEL]])</f>
        <v>22</v>
      </c>
      <c r="O216" s="111">
        <v>15</v>
      </c>
      <c r="P216" s="111" t="e">
        <f>ROUND(Tableau16[[#This Row],[LEN]]*#REF!+#REF!,0)</f>
        <v>#REF!</v>
      </c>
    </row>
    <row r="217" spans="1:16" s="97" customFormat="1" x14ac:dyDescent="0.25">
      <c r="A217" s="29" t="s">
        <v>805</v>
      </c>
      <c r="B217" s="30" t="s">
        <v>764</v>
      </c>
      <c r="C217" s="31" t="s">
        <v>812</v>
      </c>
      <c r="D217" s="71" t="s">
        <v>1177</v>
      </c>
      <c r="E217" s="31" t="s">
        <v>663</v>
      </c>
      <c r="F217" s="31" t="s">
        <v>970</v>
      </c>
      <c r="G217" s="71" t="s">
        <v>166</v>
      </c>
      <c r="H217" s="85" t="s">
        <v>18</v>
      </c>
      <c r="I217" s="31"/>
      <c r="J217" s="103" t="s">
        <v>708</v>
      </c>
      <c r="K217" s="110">
        <f>ROUND(Tableau16[[#This Row],[LEN]]*7.27,0)</f>
        <v>131</v>
      </c>
      <c r="L217" s="110">
        <v>15</v>
      </c>
      <c r="M217" s="128" t="str">
        <f t="shared" si="1"/>
        <v>none</v>
      </c>
      <c r="N217" s="111">
        <f>LEN(Tableau16[[#This Row],[LABEL]])</f>
        <v>18</v>
      </c>
      <c r="O217" s="111">
        <v>15</v>
      </c>
      <c r="P217" s="111" t="e">
        <f>ROUND(Tableau16[[#This Row],[LEN]]*#REF!+#REF!,0)</f>
        <v>#REF!</v>
      </c>
    </row>
    <row r="218" spans="1:16" s="97" customFormat="1" x14ac:dyDescent="0.25">
      <c r="A218" s="25" t="s">
        <v>765</v>
      </c>
      <c r="B218" s="26" t="s">
        <v>249</v>
      </c>
      <c r="C218" s="27" t="s">
        <v>783</v>
      </c>
      <c r="D218" s="70" t="s">
        <v>1177</v>
      </c>
      <c r="E218" s="27" t="s">
        <v>663</v>
      </c>
      <c r="F218" s="27" t="s">
        <v>1177</v>
      </c>
      <c r="G218" s="70" t="s">
        <v>166</v>
      </c>
      <c r="H218" s="70" t="s">
        <v>655</v>
      </c>
      <c r="I218" s="27"/>
      <c r="J218" s="28" t="s">
        <v>708</v>
      </c>
      <c r="K218" s="109">
        <f>ROUND(Tableau16[[#This Row],[LEN]]*7.27,0)</f>
        <v>138</v>
      </c>
      <c r="L218" s="109">
        <v>15</v>
      </c>
      <c r="M218" s="127" t="str">
        <f t="shared" si="1"/>
        <v>none</v>
      </c>
      <c r="N218" s="109">
        <f>LEN(Tableau16[[#This Row],[LABEL]])</f>
        <v>19</v>
      </c>
      <c r="O218" s="109">
        <v>15</v>
      </c>
      <c r="P218" s="109" t="e">
        <f>ROUND(Tableau16[[#This Row],[LEN]]*#REF!+#REF!,0)</f>
        <v>#REF!</v>
      </c>
    </row>
    <row r="219" spans="1:16" s="97" customFormat="1" x14ac:dyDescent="0.25">
      <c r="A219" s="29" t="s">
        <v>813</v>
      </c>
      <c r="B219" s="30" t="s">
        <v>765</v>
      </c>
      <c r="C219" s="31" t="s">
        <v>817</v>
      </c>
      <c r="D219" s="71" t="s">
        <v>1177</v>
      </c>
      <c r="E219" s="31" t="s">
        <v>663</v>
      </c>
      <c r="F219" s="31" t="s">
        <v>1177</v>
      </c>
      <c r="G219" s="71" t="s">
        <v>166</v>
      </c>
      <c r="H219" s="85" t="s">
        <v>656</v>
      </c>
      <c r="I219" s="31"/>
      <c r="J219" s="103" t="s">
        <v>708</v>
      </c>
      <c r="K219" s="110">
        <f>ROUND(Tableau16[[#This Row],[LEN]]*7.27,0)</f>
        <v>313</v>
      </c>
      <c r="L219" s="110">
        <v>15</v>
      </c>
      <c r="M219" s="128" t="str">
        <f t="shared" si="1"/>
        <v>none</v>
      </c>
      <c r="N219" s="111">
        <f>LEN(Tableau16[[#This Row],[LABEL]])</f>
        <v>43</v>
      </c>
      <c r="O219" s="111">
        <v>15</v>
      </c>
      <c r="P219" s="111" t="e">
        <f>ROUND(Tableau16[[#This Row],[LEN]]*#REF!+#REF!,0)</f>
        <v>#REF!</v>
      </c>
    </row>
    <row r="220" spans="1:16" s="97" customFormat="1" x14ac:dyDescent="0.25">
      <c r="A220" s="29" t="s">
        <v>814</v>
      </c>
      <c r="B220" s="30" t="s">
        <v>765</v>
      </c>
      <c r="C220" s="31" t="s">
        <v>818</v>
      </c>
      <c r="D220" s="71" t="s">
        <v>1177</v>
      </c>
      <c r="E220" s="31" t="s">
        <v>663</v>
      </c>
      <c r="F220" s="31" t="s">
        <v>1177</v>
      </c>
      <c r="G220" s="71" t="s">
        <v>166</v>
      </c>
      <c r="H220" s="85" t="s">
        <v>656</v>
      </c>
      <c r="I220" s="31"/>
      <c r="J220" s="103" t="s">
        <v>708</v>
      </c>
      <c r="K220" s="110">
        <f>ROUND(Tableau16[[#This Row],[LEN]]*7.27,0)</f>
        <v>349</v>
      </c>
      <c r="L220" s="110">
        <v>15</v>
      </c>
      <c r="M220" s="128" t="str">
        <f t="shared" si="1"/>
        <v>none</v>
      </c>
      <c r="N220" s="111">
        <f>LEN(Tableau16[[#This Row],[LABEL]])</f>
        <v>48</v>
      </c>
      <c r="O220" s="111">
        <v>15</v>
      </c>
      <c r="P220" s="111" t="e">
        <f>ROUND(Tableau16[[#This Row],[LEN]]*#REF!+#REF!,0)</f>
        <v>#REF!</v>
      </c>
    </row>
    <row r="221" spans="1:16" s="97" customFormat="1" x14ac:dyDescent="0.25">
      <c r="A221" s="29" t="s">
        <v>815</v>
      </c>
      <c r="B221" s="30" t="s">
        <v>765</v>
      </c>
      <c r="C221" s="31" t="s">
        <v>819</v>
      </c>
      <c r="D221" s="71" t="s">
        <v>1177</v>
      </c>
      <c r="E221" s="31" t="s">
        <v>663</v>
      </c>
      <c r="F221" s="31" t="s">
        <v>1177</v>
      </c>
      <c r="G221" s="71" t="s">
        <v>166</v>
      </c>
      <c r="H221" s="85" t="s">
        <v>656</v>
      </c>
      <c r="I221" s="31"/>
      <c r="J221" s="103" t="s">
        <v>708</v>
      </c>
      <c r="K221" s="110">
        <f>ROUND(Tableau16[[#This Row],[LEN]]*7.27,0)</f>
        <v>189</v>
      </c>
      <c r="L221" s="110">
        <v>15</v>
      </c>
      <c r="M221" s="128" t="str">
        <f t="shared" si="1"/>
        <v>none</v>
      </c>
      <c r="N221" s="111">
        <f>LEN(Tableau16[[#This Row],[LABEL]])</f>
        <v>26</v>
      </c>
      <c r="O221" s="111">
        <v>15</v>
      </c>
      <c r="P221" s="111" t="e">
        <f>ROUND(Tableau16[[#This Row],[LEN]]*#REF!+#REF!,0)</f>
        <v>#REF!</v>
      </c>
    </row>
    <row r="222" spans="1:16" s="97" customFormat="1" x14ac:dyDescent="0.25">
      <c r="A222" s="29" t="s">
        <v>816</v>
      </c>
      <c r="B222" s="30" t="s">
        <v>765</v>
      </c>
      <c r="C222" s="31" t="s">
        <v>820</v>
      </c>
      <c r="D222" s="71" t="s">
        <v>1177</v>
      </c>
      <c r="E222" s="31" t="s">
        <v>663</v>
      </c>
      <c r="F222" s="31" t="s">
        <v>1177</v>
      </c>
      <c r="G222" s="71" t="s">
        <v>166</v>
      </c>
      <c r="H222" s="85" t="s">
        <v>18</v>
      </c>
      <c r="I222" s="31"/>
      <c r="J222" s="103" t="s">
        <v>708</v>
      </c>
      <c r="K222" s="110">
        <f>ROUND(Tableau16[[#This Row],[LEN]]*7.27,0)</f>
        <v>124</v>
      </c>
      <c r="L222" s="110">
        <v>15</v>
      </c>
      <c r="M222" s="128" t="str">
        <f t="shared" si="1"/>
        <v>none</v>
      </c>
      <c r="N222" s="111">
        <f>LEN(Tableau16[[#This Row],[LABEL]])</f>
        <v>17</v>
      </c>
      <c r="O222" s="111">
        <v>15</v>
      </c>
      <c r="P222" s="111" t="e">
        <f>ROUND(Tableau16[[#This Row],[LEN]]*#REF!+#REF!,0)</f>
        <v>#REF!</v>
      </c>
    </row>
    <row r="223" spans="1:16" s="97" customFormat="1" x14ac:dyDescent="0.25">
      <c r="A223" s="25" t="s">
        <v>766</v>
      </c>
      <c r="B223" s="26" t="s">
        <v>249</v>
      </c>
      <c r="C223" s="27" t="s">
        <v>1165</v>
      </c>
      <c r="D223" s="70" t="s">
        <v>1177</v>
      </c>
      <c r="E223" s="27" t="s">
        <v>663</v>
      </c>
      <c r="F223" s="27" t="s">
        <v>1177</v>
      </c>
      <c r="G223" s="70" t="s">
        <v>166</v>
      </c>
      <c r="H223" s="70" t="s">
        <v>654</v>
      </c>
      <c r="I223" s="27"/>
      <c r="J223" s="28" t="s">
        <v>708</v>
      </c>
      <c r="K223" s="109">
        <f>ROUND(Tableau16[[#This Row],[LEN]]*7.27,0)</f>
        <v>211</v>
      </c>
      <c r="L223" s="109">
        <v>15</v>
      </c>
      <c r="M223" s="127" t="str">
        <f t="shared" si="1"/>
        <v>none</v>
      </c>
      <c r="N223" s="109">
        <f>LEN(Tableau16[[#This Row],[LABEL]])</f>
        <v>29</v>
      </c>
      <c r="O223" s="109">
        <v>15</v>
      </c>
      <c r="P223" s="109" t="e">
        <f>ROUND(Tableau16[[#This Row],[LEN]]*#REF!+#REF!,0)</f>
        <v>#REF!</v>
      </c>
    </row>
    <row r="224" spans="1:16" s="97" customFormat="1" x14ac:dyDescent="0.25">
      <c r="A224" s="25" t="s">
        <v>767</v>
      </c>
      <c r="B224" s="26" t="s">
        <v>249</v>
      </c>
      <c r="C224" s="27" t="s">
        <v>777</v>
      </c>
      <c r="D224" s="70" t="s">
        <v>1177</v>
      </c>
      <c r="E224" s="27" t="s">
        <v>663</v>
      </c>
      <c r="F224" s="27" t="s">
        <v>1177</v>
      </c>
      <c r="G224" s="70" t="s">
        <v>166</v>
      </c>
      <c r="H224" s="70" t="s">
        <v>656</v>
      </c>
      <c r="I224" s="27"/>
      <c r="J224" s="28" t="s">
        <v>708</v>
      </c>
      <c r="K224" s="109">
        <f>ROUND(Tableau16[[#This Row],[LEN]]*7.27,0)</f>
        <v>378</v>
      </c>
      <c r="L224" s="109">
        <v>15</v>
      </c>
      <c r="M224" s="127" t="str">
        <f t="shared" si="1"/>
        <v>none</v>
      </c>
      <c r="N224" s="109">
        <f>LEN(Tableau16[[#This Row],[LABEL]])</f>
        <v>52</v>
      </c>
      <c r="O224" s="109">
        <v>15</v>
      </c>
      <c r="P224" s="109" t="e">
        <f>ROUND(Tableau16[[#This Row],[LEN]]*#REF!+#REF!,0)</f>
        <v>#REF!</v>
      </c>
    </row>
    <row r="225" spans="1:16" s="97" customFormat="1" x14ac:dyDescent="0.25">
      <c r="A225" s="25" t="s">
        <v>768</v>
      </c>
      <c r="B225" s="26" t="s">
        <v>249</v>
      </c>
      <c r="C225" s="27" t="s">
        <v>778</v>
      </c>
      <c r="D225" s="70" t="s">
        <v>1177</v>
      </c>
      <c r="E225" s="27" t="s">
        <v>673</v>
      </c>
      <c r="F225" s="27" t="s">
        <v>2000</v>
      </c>
      <c r="G225" s="70" t="s">
        <v>166</v>
      </c>
      <c r="H225" s="70" t="s">
        <v>17</v>
      </c>
      <c r="I225" s="27"/>
      <c r="J225" s="28" t="s">
        <v>708</v>
      </c>
      <c r="K225" s="109">
        <f>ROUND(Tableau16[[#This Row],[LEN]]*7.27,0)</f>
        <v>211</v>
      </c>
      <c r="L225" s="109">
        <v>15</v>
      </c>
      <c r="M225" s="127" t="str">
        <f t="shared" si="1"/>
        <v>none</v>
      </c>
      <c r="N225" s="109">
        <f>LEN(Tableau16[[#This Row],[LABEL]])</f>
        <v>29</v>
      </c>
      <c r="O225" s="109">
        <v>15</v>
      </c>
      <c r="P225" s="109" t="e">
        <f>ROUND(Tableau16[[#This Row],[LEN]]*#REF!+#REF!,0)</f>
        <v>#REF!</v>
      </c>
    </row>
    <row r="226" spans="1:16" s="97" customFormat="1" x14ac:dyDescent="0.25">
      <c r="A226" s="25" t="s">
        <v>769</v>
      </c>
      <c r="B226" s="26" t="s">
        <v>249</v>
      </c>
      <c r="C226" s="27" t="s">
        <v>92</v>
      </c>
      <c r="D226" s="70" t="s">
        <v>1177</v>
      </c>
      <c r="E226" s="27" t="s">
        <v>663</v>
      </c>
      <c r="F226" s="27" t="s">
        <v>2080</v>
      </c>
      <c r="G226" s="70" t="s">
        <v>166</v>
      </c>
      <c r="H226" s="70" t="s">
        <v>655</v>
      </c>
      <c r="I226" s="27"/>
      <c r="J226" s="28" t="s">
        <v>708</v>
      </c>
      <c r="K226" s="109">
        <f>ROUND(Tableau16[[#This Row],[LEN]]*7.27,0)</f>
        <v>262</v>
      </c>
      <c r="L226" s="109">
        <v>15</v>
      </c>
      <c r="M226" s="127" t="str">
        <f t="shared" si="1"/>
        <v>none</v>
      </c>
      <c r="N226" s="109">
        <f>LEN(Tableau16[[#This Row],[LABEL]])</f>
        <v>36</v>
      </c>
      <c r="O226" s="109">
        <v>15</v>
      </c>
      <c r="P226" s="109" t="e">
        <f>ROUND(Tableau16[[#This Row],[LEN]]*#REF!+#REF!,0)</f>
        <v>#REF!</v>
      </c>
    </row>
    <row r="227" spans="1:16" s="97" customFormat="1" x14ac:dyDescent="0.25">
      <c r="A227" s="29" t="s">
        <v>821</v>
      </c>
      <c r="B227" s="30" t="s">
        <v>769</v>
      </c>
      <c r="C227" s="31" t="s">
        <v>95</v>
      </c>
      <c r="D227" s="71" t="s">
        <v>1177</v>
      </c>
      <c r="E227" s="31" t="s">
        <v>663</v>
      </c>
      <c r="F227" s="31" t="s">
        <v>2080</v>
      </c>
      <c r="G227" s="71" t="s">
        <v>166</v>
      </c>
      <c r="H227" s="85" t="s">
        <v>17</v>
      </c>
      <c r="I227" s="31"/>
      <c r="J227" s="103" t="s">
        <v>708</v>
      </c>
      <c r="K227" s="110">
        <f>ROUND(Tableau16[[#This Row],[LEN]]*7.27,0)</f>
        <v>254</v>
      </c>
      <c r="L227" s="110">
        <v>15</v>
      </c>
      <c r="M227" s="128" t="str">
        <f t="shared" ref="M227:M381" si="2">IF(J227="javascript:void(0)","none","new")</f>
        <v>none</v>
      </c>
      <c r="N227" s="111">
        <f>LEN(Tableau16[[#This Row],[LABEL]])</f>
        <v>35</v>
      </c>
      <c r="O227" s="111">
        <v>15</v>
      </c>
      <c r="P227" s="111" t="e">
        <f>ROUND(Tableau16[[#This Row],[LEN]]*#REF!+#REF!,0)</f>
        <v>#REF!</v>
      </c>
    </row>
    <row r="228" spans="1:16" s="97" customFormat="1" x14ac:dyDescent="0.25">
      <c r="A228" s="29" t="s">
        <v>822</v>
      </c>
      <c r="B228" s="30" t="s">
        <v>769</v>
      </c>
      <c r="C228" s="31" t="s">
        <v>96</v>
      </c>
      <c r="D228" s="71" t="s">
        <v>1177</v>
      </c>
      <c r="E228" s="31" t="s">
        <v>663</v>
      </c>
      <c r="F228" s="31" t="s">
        <v>2080</v>
      </c>
      <c r="G228" s="71" t="s">
        <v>166</v>
      </c>
      <c r="H228" s="85" t="s">
        <v>570</v>
      </c>
      <c r="I228" s="31"/>
      <c r="J228" s="103" t="s">
        <v>708</v>
      </c>
      <c r="K228" s="110">
        <f>ROUND(Tableau16[[#This Row],[LEN]]*7.27,0)</f>
        <v>233</v>
      </c>
      <c r="L228" s="110">
        <v>15</v>
      </c>
      <c r="M228" s="128" t="str">
        <f t="shared" si="2"/>
        <v>none</v>
      </c>
      <c r="N228" s="111">
        <f>LEN(Tableau16[[#This Row],[LABEL]])</f>
        <v>32</v>
      </c>
      <c r="O228" s="111">
        <v>15</v>
      </c>
      <c r="P228" s="111" t="e">
        <f>ROUND(Tableau16[[#This Row],[LEN]]*#REF!+#REF!,0)</f>
        <v>#REF!</v>
      </c>
    </row>
    <row r="229" spans="1:16" s="97" customFormat="1" x14ac:dyDescent="0.25">
      <c r="A229" s="29" t="s">
        <v>823</v>
      </c>
      <c r="B229" s="30" t="s">
        <v>769</v>
      </c>
      <c r="C229" s="31" t="s">
        <v>97</v>
      </c>
      <c r="D229" s="71" t="s">
        <v>1177</v>
      </c>
      <c r="E229" s="31" t="s">
        <v>663</v>
      </c>
      <c r="F229" s="31" t="s">
        <v>2080</v>
      </c>
      <c r="G229" s="71" t="s">
        <v>166</v>
      </c>
      <c r="H229" s="85" t="s">
        <v>656</v>
      </c>
      <c r="I229" s="31"/>
      <c r="J229" s="103" t="s">
        <v>708</v>
      </c>
      <c r="K229" s="110">
        <f>ROUND(Tableau16[[#This Row],[LEN]]*7.27,0)</f>
        <v>145</v>
      </c>
      <c r="L229" s="110">
        <v>15</v>
      </c>
      <c r="M229" s="128" t="str">
        <f t="shared" si="2"/>
        <v>none</v>
      </c>
      <c r="N229" s="111">
        <f>LEN(Tableau16[[#This Row],[LABEL]])</f>
        <v>20</v>
      </c>
      <c r="O229" s="111">
        <v>15</v>
      </c>
      <c r="P229" s="111" t="e">
        <f>ROUND(Tableau16[[#This Row],[LEN]]*#REF!+#REF!,0)</f>
        <v>#REF!</v>
      </c>
    </row>
    <row r="230" spans="1:16" s="97" customFormat="1" x14ac:dyDescent="0.25">
      <c r="A230" s="25" t="s">
        <v>770</v>
      </c>
      <c r="B230" s="26" t="s">
        <v>249</v>
      </c>
      <c r="C230" s="27" t="s">
        <v>782</v>
      </c>
      <c r="D230" s="70" t="s">
        <v>1177</v>
      </c>
      <c r="E230" s="27" t="s">
        <v>667</v>
      </c>
      <c r="F230" s="27" t="s">
        <v>663</v>
      </c>
      <c r="G230" s="70" t="s">
        <v>166</v>
      </c>
      <c r="H230" s="70" t="s">
        <v>655</v>
      </c>
      <c r="I230" s="27"/>
      <c r="J230" s="28" t="s">
        <v>708</v>
      </c>
      <c r="K230" s="109">
        <f>ROUND(Tableau16[[#This Row],[LEN]]*7.27,0)</f>
        <v>182</v>
      </c>
      <c r="L230" s="109">
        <v>15</v>
      </c>
      <c r="M230" s="127" t="str">
        <f t="shared" si="2"/>
        <v>none</v>
      </c>
      <c r="N230" s="109">
        <f>LEN(Tableau16[[#This Row],[LABEL]])</f>
        <v>25</v>
      </c>
      <c r="O230" s="109">
        <v>15</v>
      </c>
      <c r="P230" s="109" t="e">
        <f>ROUND(Tableau16[[#This Row],[LEN]]*#REF!+#REF!,0)</f>
        <v>#REF!</v>
      </c>
    </row>
    <row r="231" spans="1:16" s="97" customFormat="1" x14ac:dyDescent="0.25">
      <c r="A231" s="29" t="s">
        <v>824</v>
      </c>
      <c r="B231" s="30" t="s">
        <v>770</v>
      </c>
      <c r="C231" s="31" t="s">
        <v>826</v>
      </c>
      <c r="D231" s="71" t="s">
        <v>1177</v>
      </c>
      <c r="E231" s="31" t="s">
        <v>667</v>
      </c>
      <c r="F231" s="31" t="s">
        <v>663</v>
      </c>
      <c r="G231" s="71" t="s">
        <v>166</v>
      </c>
      <c r="H231" s="85" t="s">
        <v>18</v>
      </c>
      <c r="I231" s="31"/>
      <c r="J231" s="103" t="s">
        <v>101</v>
      </c>
      <c r="K231" s="110">
        <f>ROUND(Tableau16[[#This Row],[LEN]]*7.27,0)</f>
        <v>174</v>
      </c>
      <c r="L231" s="110">
        <v>15</v>
      </c>
      <c r="M231" s="128" t="str">
        <f t="shared" si="2"/>
        <v>new</v>
      </c>
      <c r="N231" s="111">
        <f>LEN(Tableau16[[#This Row],[LABEL]])</f>
        <v>24</v>
      </c>
      <c r="O231" s="111">
        <v>15</v>
      </c>
      <c r="P231" s="111" t="e">
        <f>ROUND(Tableau16[[#This Row],[LEN]]*#REF!+#REF!,0)</f>
        <v>#REF!</v>
      </c>
    </row>
    <row r="232" spans="1:16" s="97" customFormat="1" x14ac:dyDescent="0.25">
      <c r="A232" s="29" t="s">
        <v>825</v>
      </c>
      <c r="B232" s="30" t="s">
        <v>770</v>
      </c>
      <c r="C232" s="31" t="s">
        <v>827</v>
      </c>
      <c r="D232" s="71" t="s">
        <v>1177</v>
      </c>
      <c r="E232" s="31" t="s">
        <v>667</v>
      </c>
      <c r="F232" s="31" t="s">
        <v>663</v>
      </c>
      <c r="G232" s="71" t="s">
        <v>166</v>
      </c>
      <c r="H232" s="85" t="s">
        <v>654</v>
      </c>
      <c r="I232" s="31"/>
      <c r="J232" s="103" t="s">
        <v>101</v>
      </c>
      <c r="K232" s="110">
        <f>ROUND(Tableau16[[#This Row],[LEN]]*7.27,0)</f>
        <v>262</v>
      </c>
      <c r="L232" s="110">
        <v>15</v>
      </c>
      <c r="M232" s="128" t="str">
        <f t="shared" si="2"/>
        <v>new</v>
      </c>
      <c r="N232" s="111">
        <f>LEN(Tableau16[[#This Row],[LABEL]])</f>
        <v>36</v>
      </c>
      <c r="O232" s="111">
        <v>15</v>
      </c>
      <c r="P232" s="111" t="e">
        <f>ROUND(Tableau16[[#This Row],[LEN]]*#REF!+#REF!,0)</f>
        <v>#REF!</v>
      </c>
    </row>
    <row r="233" spans="1:16" s="97" customFormat="1" x14ac:dyDescent="0.25">
      <c r="A233" s="25" t="s">
        <v>771</v>
      </c>
      <c r="B233" s="26" t="s">
        <v>249</v>
      </c>
      <c r="C233" s="27" t="s">
        <v>779</v>
      </c>
      <c r="D233" s="70" t="s">
        <v>1177</v>
      </c>
      <c r="E233" s="27" t="s">
        <v>663</v>
      </c>
      <c r="F233" s="27" t="s">
        <v>1177</v>
      </c>
      <c r="G233" s="70" t="s">
        <v>166</v>
      </c>
      <c r="H233" s="70" t="s">
        <v>655</v>
      </c>
      <c r="I233" s="27"/>
      <c r="J233" s="28" t="s">
        <v>708</v>
      </c>
      <c r="K233" s="109">
        <f>ROUND(Tableau16[[#This Row],[LEN]]*7.27,0)</f>
        <v>22</v>
      </c>
      <c r="L233" s="109">
        <v>15</v>
      </c>
      <c r="M233" s="127" t="str">
        <f t="shared" si="2"/>
        <v>none</v>
      </c>
      <c r="N233" s="109">
        <f>LEN(Tableau16[[#This Row],[LABEL]])</f>
        <v>3</v>
      </c>
      <c r="O233" s="109">
        <v>15</v>
      </c>
      <c r="P233" s="109" t="e">
        <f>ROUND(Tableau16[[#This Row],[LEN]]*#REF!+#REF!,0)</f>
        <v>#REF!</v>
      </c>
    </row>
    <row r="234" spans="1:16" s="97" customFormat="1" x14ac:dyDescent="0.25">
      <c r="A234" s="29" t="s">
        <v>832</v>
      </c>
      <c r="B234" s="30" t="s">
        <v>771</v>
      </c>
      <c r="C234" s="31" t="s">
        <v>836</v>
      </c>
      <c r="D234" s="71" t="s">
        <v>1177</v>
      </c>
      <c r="E234" s="31" t="s">
        <v>663</v>
      </c>
      <c r="F234" s="31" t="s">
        <v>1177</v>
      </c>
      <c r="G234" s="71" t="s">
        <v>166</v>
      </c>
      <c r="H234" s="85" t="s">
        <v>654</v>
      </c>
      <c r="I234" s="31"/>
      <c r="J234" s="103" t="s">
        <v>708</v>
      </c>
      <c r="K234" s="110">
        <f>ROUND(Tableau16[[#This Row],[LEN]]*7.27,0)</f>
        <v>131</v>
      </c>
      <c r="L234" s="110">
        <v>15</v>
      </c>
      <c r="M234" s="128" t="str">
        <f t="shared" si="2"/>
        <v>none</v>
      </c>
      <c r="N234" s="111">
        <f>LEN(Tableau16[[#This Row],[LABEL]])</f>
        <v>18</v>
      </c>
      <c r="O234" s="111">
        <v>15</v>
      </c>
      <c r="P234" s="111" t="e">
        <f>ROUND(Tableau16[[#This Row],[LEN]]*#REF!+#REF!,0)</f>
        <v>#REF!</v>
      </c>
    </row>
    <row r="235" spans="1:16" s="97" customFormat="1" x14ac:dyDescent="0.25">
      <c r="A235" s="29" t="s">
        <v>833</v>
      </c>
      <c r="B235" s="30" t="s">
        <v>771</v>
      </c>
      <c r="C235" s="31" t="s">
        <v>837</v>
      </c>
      <c r="D235" s="71" t="s">
        <v>1177</v>
      </c>
      <c r="E235" s="31" t="s">
        <v>663</v>
      </c>
      <c r="F235" s="31" t="s">
        <v>1177</v>
      </c>
      <c r="G235" s="71" t="s">
        <v>166</v>
      </c>
      <c r="H235" s="85" t="s">
        <v>654</v>
      </c>
      <c r="I235" s="31"/>
      <c r="J235" s="103" t="s">
        <v>708</v>
      </c>
      <c r="K235" s="110">
        <f>ROUND(Tableau16[[#This Row],[LEN]]*7.27,0)</f>
        <v>174</v>
      </c>
      <c r="L235" s="110">
        <v>15</v>
      </c>
      <c r="M235" s="128" t="str">
        <f t="shared" si="2"/>
        <v>none</v>
      </c>
      <c r="N235" s="111">
        <f>LEN(Tableau16[[#This Row],[LABEL]])</f>
        <v>24</v>
      </c>
      <c r="O235" s="111">
        <v>15</v>
      </c>
      <c r="P235" s="111" t="e">
        <f>ROUND(Tableau16[[#This Row],[LEN]]*#REF!+#REF!,0)</f>
        <v>#REF!</v>
      </c>
    </row>
    <row r="236" spans="1:16" s="97" customFormat="1" x14ac:dyDescent="0.25">
      <c r="A236" s="29" t="s">
        <v>834</v>
      </c>
      <c r="B236" s="30" t="s">
        <v>771</v>
      </c>
      <c r="C236" s="31" t="s">
        <v>838</v>
      </c>
      <c r="D236" s="71" t="s">
        <v>1177</v>
      </c>
      <c r="E236" s="31" t="s">
        <v>663</v>
      </c>
      <c r="F236" s="31" t="s">
        <v>1177</v>
      </c>
      <c r="G236" s="71" t="s">
        <v>166</v>
      </c>
      <c r="H236" s="85" t="s">
        <v>654</v>
      </c>
      <c r="I236" s="31"/>
      <c r="J236" s="103" t="s">
        <v>708</v>
      </c>
      <c r="K236" s="110">
        <f>ROUND(Tableau16[[#This Row],[LEN]]*7.27,0)</f>
        <v>167</v>
      </c>
      <c r="L236" s="110">
        <v>15</v>
      </c>
      <c r="M236" s="128" t="str">
        <f>IF(J236="javascript:void(0)","none","new")</f>
        <v>none</v>
      </c>
      <c r="N236" s="111">
        <f>LEN(Tableau16[[#This Row],[LABEL]])</f>
        <v>23</v>
      </c>
      <c r="O236" s="111">
        <v>15</v>
      </c>
      <c r="P236" s="111" t="e">
        <f>ROUND(Tableau16[[#This Row],[LEN]]*#REF!+#REF!,0)</f>
        <v>#REF!</v>
      </c>
    </row>
    <row r="237" spans="1:16" s="97" customFormat="1" x14ac:dyDescent="0.25">
      <c r="A237" s="29" t="s">
        <v>835</v>
      </c>
      <c r="B237" s="30" t="s">
        <v>771</v>
      </c>
      <c r="C237" s="31" t="s">
        <v>839</v>
      </c>
      <c r="D237" s="71" t="s">
        <v>1177</v>
      </c>
      <c r="E237" s="31" t="s">
        <v>663</v>
      </c>
      <c r="F237" s="31" t="s">
        <v>1177</v>
      </c>
      <c r="G237" s="71" t="s">
        <v>166</v>
      </c>
      <c r="H237" s="85" t="s">
        <v>656</v>
      </c>
      <c r="I237" s="31"/>
      <c r="J237" s="103" t="s">
        <v>708</v>
      </c>
      <c r="K237" s="110">
        <f>ROUND(Tableau16[[#This Row],[LEN]]*7.27,0)</f>
        <v>138</v>
      </c>
      <c r="L237" s="110">
        <v>15</v>
      </c>
      <c r="M237" s="128" t="str">
        <f>IF(J237="javascript:void(0)","none","new")</f>
        <v>none</v>
      </c>
      <c r="N237" s="111">
        <f>LEN(Tableau16[[#This Row],[LABEL]])</f>
        <v>19</v>
      </c>
      <c r="O237" s="111">
        <v>15</v>
      </c>
      <c r="P237" s="111" t="e">
        <f>ROUND(Tableau16[[#This Row],[LEN]]*#REF!+#REF!,0)</f>
        <v>#REF!</v>
      </c>
    </row>
    <row r="238" spans="1:16" s="97" customFormat="1" x14ac:dyDescent="0.25">
      <c r="A238" s="25" t="s">
        <v>772</v>
      </c>
      <c r="B238" s="26" t="s">
        <v>249</v>
      </c>
      <c r="C238" s="27" t="s">
        <v>780</v>
      </c>
      <c r="D238" s="70" t="s">
        <v>1177</v>
      </c>
      <c r="E238" s="27" t="s">
        <v>663</v>
      </c>
      <c r="F238" s="27" t="s">
        <v>1177</v>
      </c>
      <c r="G238" s="70" t="s">
        <v>166</v>
      </c>
      <c r="H238" s="70" t="s">
        <v>656</v>
      </c>
      <c r="I238" s="27"/>
      <c r="J238" s="28" t="s">
        <v>708</v>
      </c>
      <c r="K238" s="109">
        <f>ROUND(Tableau16[[#This Row],[LEN]]*7.27,0)</f>
        <v>385</v>
      </c>
      <c r="L238" s="109">
        <v>15</v>
      </c>
      <c r="M238" s="127" t="str">
        <f t="shared" si="2"/>
        <v>none</v>
      </c>
      <c r="N238" s="109">
        <f>LEN(Tableau16[[#This Row],[LABEL]])</f>
        <v>53</v>
      </c>
      <c r="O238" s="109">
        <v>15</v>
      </c>
      <c r="P238" s="109" t="e">
        <f>ROUND(Tableau16[[#This Row],[LEN]]*#REF!+#REF!,0)</f>
        <v>#REF!</v>
      </c>
    </row>
    <row r="239" spans="1:16" s="97" customFormat="1" x14ac:dyDescent="0.25">
      <c r="A239" s="25" t="s">
        <v>773</v>
      </c>
      <c r="B239" s="26" t="s">
        <v>249</v>
      </c>
      <c r="C239" s="27" t="s">
        <v>1167</v>
      </c>
      <c r="D239" s="70" t="s">
        <v>486</v>
      </c>
      <c r="E239" s="27" t="s">
        <v>1085</v>
      </c>
      <c r="F239" s="27" t="s">
        <v>1084</v>
      </c>
      <c r="G239" s="70" t="s">
        <v>1977</v>
      </c>
      <c r="H239" s="70" t="s">
        <v>1131</v>
      </c>
      <c r="I239" s="27"/>
      <c r="J239" s="28" t="s">
        <v>708</v>
      </c>
      <c r="K239" s="109">
        <f>ROUND(Tableau16[[#This Row],[LEN]]*7.27,0)</f>
        <v>196</v>
      </c>
      <c r="L239" s="109">
        <v>15</v>
      </c>
      <c r="M239" s="127" t="str">
        <f t="shared" si="2"/>
        <v>none</v>
      </c>
      <c r="N239" s="109">
        <f>LEN(Tableau16[[#This Row],[LABEL]])</f>
        <v>27</v>
      </c>
      <c r="O239" s="109">
        <v>15</v>
      </c>
      <c r="P239" s="109" t="e">
        <f>ROUND(Tableau16[[#This Row],[LEN]]*#REF!+#REF!,0)</f>
        <v>#REF!</v>
      </c>
    </row>
    <row r="240" spans="1:16" s="97" customFormat="1" x14ac:dyDescent="0.25">
      <c r="A240" s="29" t="s">
        <v>1201</v>
      </c>
      <c r="B240" s="30" t="s">
        <v>773</v>
      </c>
      <c r="C240" s="31" t="s">
        <v>93</v>
      </c>
      <c r="D240" s="71" t="s">
        <v>1177</v>
      </c>
      <c r="E240" s="31" t="s">
        <v>1085</v>
      </c>
      <c r="F240" s="31" t="s">
        <v>1084</v>
      </c>
      <c r="G240" s="71" t="s">
        <v>166</v>
      </c>
      <c r="H240" s="85" t="s">
        <v>18</v>
      </c>
      <c r="I240" s="31"/>
      <c r="J240" s="103" t="s">
        <v>101</v>
      </c>
      <c r="K240" s="110">
        <f>ROUND(Tableau16[[#This Row],[LEN]]*7.27,0)</f>
        <v>109</v>
      </c>
      <c r="L240" s="110">
        <v>15</v>
      </c>
      <c r="M240" s="128" t="str">
        <f t="shared" si="2"/>
        <v>new</v>
      </c>
      <c r="N240" s="111">
        <f>LEN(Tableau16[[#This Row],[LABEL]])</f>
        <v>15</v>
      </c>
      <c r="O240" s="111">
        <v>15</v>
      </c>
      <c r="P240" s="111" t="e">
        <f>ROUND(Tableau16[[#This Row],[LEN]]*#REF!+#REF!,0)</f>
        <v>#REF!</v>
      </c>
    </row>
    <row r="241" spans="1:16" s="97" customFormat="1" x14ac:dyDescent="0.25">
      <c r="A241" s="29" t="s">
        <v>1202</v>
      </c>
      <c r="B241" s="30" t="s">
        <v>773</v>
      </c>
      <c r="C241" s="31" t="s">
        <v>94</v>
      </c>
      <c r="D241" s="71" t="s">
        <v>1177</v>
      </c>
      <c r="E241" s="31" t="s">
        <v>1085</v>
      </c>
      <c r="F241" s="31" t="s">
        <v>1084</v>
      </c>
      <c r="G241" s="71" t="s">
        <v>166</v>
      </c>
      <c r="H241" s="85" t="s">
        <v>18</v>
      </c>
      <c r="I241" s="31"/>
      <c r="J241" s="103" t="s">
        <v>102</v>
      </c>
      <c r="K241" s="110">
        <f>ROUND(Tableau16[[#This Row],[LEN]]*7.27,0)</f>
        <v>58</v>
      </c>
      <c r="L241" s="110">
        <v>15</v>
      </c>
      <c r="M241" s="128" t="str">
        <f t="shared" si="2"/>
        <v>new</v>
      </c>
      <c r="N241" s="111">
        <f>LEN(Tableau16[[#This Row],[LABEL]])</f>
        <v>8</v>
      </c>
      <c r="O241" s="111">
        <v>15</v>
      </c>
      <c r="P241" s="111" t="e">
        <f>ROUND(Tableau16[[#This Row],[LEN]]*#REF!+#REF!,0)</f>
        <v>#REF!</v>
      </c>
    </row>
    <row r="242" spans="1:16" s="273" customFormat="1" x14ac:dyDescent="0.25">
      <c r="A242" s="288" t="s">
        <v>251</v>
      </c>
      <c r="B242" s="289" t="s">
        <v>206</v>
      </c>
      <c r="C242" s="290" t="s">
        <v>3</v>
      </c>
      <c r="D242" s="291" t="s">
        <v>1177</v>
      </c>
      <c r="E242" s="290" t="s">
        <v>661</v>
      </c>
      <c r="F242" s="290" t="s">
        <v>1177</v>
      </c>
      <c r="G242" s="291" t="s">
        <v>166</v>
      </c>
      <c r="H242" s="291" t="str">
        <f>IFERROR(IF(SEARCH(".00.00.00.00.00",Tableau16[[#This Row],[name]],1)=7,"Division",""),"")</f>
        <v>Division</v>
      </c>
      <c r="I242" s="290"/>
      <c r="J242" s="292" t="s">
        <v>708</v>
      </c>
      <c r="K242" s="293">
        <f>ROUND(Tableau16[[#This Row],[LEN]]*7.27,0)</f>
        <v>73</v>
      </c>
      <c r="L242" s="293">
        <v>15</v>
      </c>
      <c r="M242" s="294" t="str">
        <f t="shared" si="2"/>
        <v>none</v>
      </c>
      <c r="N242" s="293">
        <f>LEN(Tableau16[[#This Row],[LABEL]])</f>
        <v>10</v>
      </c>
      <c r="O242" s="293">
        <v>15</v>
      </c>
      <c r="P242" s="293" t="e">
        <f>ROUND(Tableau16[[#This Row],[LEN]]*#REF!+#REF!,0)</f>
        <v>#REF!</v>
      </c>
    </row>
    <row r="243" spans="1:16" s="97" customFormat="1" x14ac:dyDescent="0.25">
      <c r="A243" s="25" t="s">
        <v>396</v>
      </c>
      <c r="B243" s="26" t="s">
        <v>251</v>
      </c>
      <c r="C243" s="27" t="s">
        <v>86</v>
      </c>
      <c r="D243" s="70" t="s">
        <v>1177</v>
      </c>
      <c r="E243" s="27" t="s">
        <v>661</v>
      </c>
      <c r="F243" s="27" t="s">
        <v>1068</v>
      </c>
      <c r="G243" s="70" t="s">
        <v>166</v>
      </c>
      <c r="H243" s="70" t="s">
        <v>570</v>
      </c>
      <c r="I243" s="27"/>
      <c r="J243" s="28" t="s">
        <v>708</v>
      </c>
      <c r="K243" s="109">
        <f>ROUND(Tableau16[[#This Row],[LEN]]*7.27,0)</f>
        <v>269</v>
      </c>
      <c r="L243" s="109">
        <v>15</v>
      </c>
      <c r="M243" s="127" t="str">
        <f t="shared" si="2"/>
        <v>none</v>
      </c>
      <c r="N243" s="109">
        <f>LEN(Tableau16[[#This Row],[LABEL]])</f>
        <v>37</v>
      </c>
      <c r="O243" s="109">
        <v>15</v>
      </c>
      <c r="P243" s="109" t="e">
        <f>ROUND(Tableau16[[#This Row],[LEN]]*#REF!+#REF!,0)</f>
        <v>#REF!</v>
      </c>
    </row>
    <row r="244" spans="1:16" s="97" customFormat="1" x14ac:dyDescent="0.25">
      <c r="A244" s="25" t="s">
        <v>397</v>
      </c>
      <c r="B244" s="26" t="s">
        <v>251</v>
      </c>
      <c r="C244" s="27" t="s">
        <v>87</v>
      </c>
      <c r="D244" s="70" t="s">
        <v>1177</v>
      </c>
      <c r="E244" s="27" t="s">
        <v>661</v>
      </c>
      <c r="F244" s="27" t="s">
        <v>1177</v>
      </c>
      <c r="G244" s="70" t="s">
        <v>166</v>
      </c>
      <c r="H244" s="70" t="s">
        <v>570</v>
      </c>
      <c r="I244" s="27"/>
      <c r="J244" s="28" t="s">
        <v>708</v>
      </c>
      <c r="K244" s="109">
        <f>ROUND(Tableau16[[#This Row],[LEN]]*7.27,0)</f>
        <v>182</v>
      </c>
      <c r="L244" s="109">
        <v>15</v>
      </c>
      <c r="M244" s="127" t="str">
        <f t="shared" si="2"/>
        <v>none</v>
      </c>
      <c r="N244" s="109">
        <f>LEN(Tableau16[[#This Row],[LABEL]])</f>
        <v>25</v>
      </c>
      <c r="O244" s="109">
        <v>15</v>
      </c>
      <c r="P244" s="109" t="e">
        <f>ROUND(Tableau16[[#This Row],[LEN]]*#REF!+#REF!,0)</f>
        <v>#REF!</v>
      </c>
    </row>
    <row r="245" spans="1:16" s="97" customFormat="1" x14ac:dyDescent="0.25">
      <c r="A245" s="25" t="s">
        <v>398</v>
      </c>
      <c r="B245" s="26" t="s">
        <v>251</v>
      </c>
      <c r="C245" s="27" t="s">
        <v>88</v>
      </c>
      <c r="D245" s="70" t="s">
        <v>1177</v>
      </c>
      <c r="E245" s="27" t="s">
        <v>667</v>
      </c>
      <c r="F245" s="27" t="s">
        <v>1218</v>
      </c>
      <c r="G245" s="70" t="s">
        <v>166</v>
      </c>
      <c r="H245" s="70" t="s">
        <v>570</v>
      </c>
      <c r="I245" s="27"/>
      <c r="J245" s="28" t="s">
        <v>708</v>
      </c>
      <c r="K245" s="109">
        <f>ROUND(Tableau16[[#This Row],[LEN]]*7.27,0)</f>
        <v>342</v>
      </c>
      <c r="L245" s="109">
        <v>15</v>
      </c>
      <c r="M245" s="127" t="str">
        <f t="shared" si="2"/>
        <v>none</v>
      </c>
      <c r="N245" s="109">
        <f>LEN(Tableau16[[#This Row],[LABEL]])</f>
        <v>47</v>
      </c>
      <c r="O245" s="109">
        <v>15</v>
      </c>
      <c r="P245" s="109" t="e">
        <f>ROUND(Tableau16[[#This Row],[LEN]]*#REF!+#REF!,0)</f>
        <v>#REF!</v>
      </c>
    </row>
    <row r="246" spans="1:16" s="97" customFormat="1" x14ac:dyDescent="0.25">
      <c r="A246" s="25" t="s">
        <v>399</v>
      </c>
      <c r="B246" s="26" t="s">
        <v>251</v>
      </c>
      <c r="C246" s="27" t="s">
        <v>89</v>
      </c>
      <c r="D246" s="70" t="s">
        <v>1177</v>
      </c>
      <c r="E246" s="27" t="s">
        <v>661</v>
      </c>
      <c r="F246" s="27" t="s">
        <v>1177</v>
      </c>
      <c r="G246" s="70" t="s">
        <v>166</v>
      </c>
      <c r="H246" s="70" t="s">
        <v>570</v>
      </c>
      <c r="I246" s="27"/>
      <c r="J246" s="28" t="s">
        <v>708</v>
      </c>
      <c r="K246" s="109">
        <f>ROUND(Tableau16[[#This Row],[LEN]]*7.27,0)</f>
        <v>262</v>
      </c>
      <c r="L246" s="109">
        <v>15</v>
      </c>
      <c r="M246" s="127" t="str">
        <f t="shared" si="2"/>
        <v>none</v>
      </c>
      <c r="N246" s="109">
        <f>LEN(Tableau16[[#This Row],[LABEL]])</f>
        <v>36</v>
      </c>
      <c r="O246" s="109">
        <v>15</v>
      </c>
      <c r="P246" s="109" t="e">
        <f>ROUND(Tableau16[[#This Row],[LEN]]*#REF!+#REF!,0)</f>
        <v>#REF!</v>
      </c>
    </row>
    <row r="247" spans="1:16" s="97" customFormat="1" x14ac:dyDescent="0.25">
      <c r="A247" s="25" t="s">
        <v>400</v>
      </c>
      <c r="B247" s="26" t="s">
        <v>251</v>
      </c>
      <c r="C247" s="27" t="s">
        <v>1167</v>
      </c>
      <c r="D247" s="70" t="s">
        <v>486</v>
      </c>
      <c r="E247" s="27" t="s">
        <v>1085</v>
      </c>
      <c r="F247" s="27" t="s">
        <v>1084</v>
      </c>
      <c r="G247" s="70" t="s">
        <v>1977</v>
      </c>
      <c r="H247" s="70" t="s">
        <v>1131</v>
      </c>
      <c r="I247" s="27"/>
      <c r="J247" s="28" t="s">
        <v>708</v>
      </c>
      <c r="K247" s="109">
        <f>ROUND(Tableau16[[#This Row],[LEN]]*7.27,0)</f>
        <v>196</v>
      </c>
      <c r="L247" s="109">
        <v>15</v>
      </c>
      <c r="M247" s="127" t="str">
        <f t="shared" si="2"/>
        <v>none</v>
      </c>
      <c r="N247" s="109">
        <f>LEN(Tableau16[[#This Row],[LABEL]])</f>
        <v>27</v>
      </c>
      <c r="O247" s="109">
        <v>15</v>
      </c>
      <c r="P247" s="109" t="e">
        <f>ROUND(Tableau16[[#This Row],[LEN]]*#REF!+#REF!,0)</f>
        <v>#REF!</v>
      </c>
    </row>
    <row r="248" spans="1:16" s="97" customFormat="1" x14ac:dyDescent="0.25">
      <c r="A248" s="29" t="s">
        <v>412</v>
      </c>
      <c r="B248" s="30" t="s">
        <v>400</v>
      </c>
      <c r="C248" s="31" t="s">
        <v>93</v>
      </c>
      <c r="D248" s="71" t="s">
        <v>1177</v>
      </c>
      <c r="E248" s="31" t="s">
        <v>661</v>
      </c>
      <c r="F248" s="31" t="s">
        <v>1177</v>
      </c>
      <c r="G248" s="71" t="s">
        <v>166</v>
      </c>
      <c r="H248" s="71" t="s">
        <v>18</v>
      </c>
      <c r="I248" s="31"/>
      <c r="J248" s="32" t="s">
        <v>101</v>
      </c>
      <c r="K248" s="111">
        <f>ROUND(Tableau16[[#This Row],[LEN]]*7.27,0)</f>
        <v>109</v>
      </c>
      <c r="L248" s="111">
        <v>15</v>
      </c>
      <c r="M248" s="128" t="str">
        <f t="shared" si="2"/>
        <v>new</v>
      </c>
      <c r="N248" s="111">
        <f>LEN(Tableau16[[#This Row],[LABEL]])</f>
        <v>15</v>
      </c>
      <c r="O248" s="111">
        <v>15</v>
      </c>
      <c r="P248" s="111" t="e">
        <f>ROUND(Tableau16[[#This Row],[LEN]]*#REF!+#REF!,0)</f>
        <v>#REF!</v>
      </c>
    </row>
    <row r="249" spans="1:16" s="97" customFormat="1" x14ac:dyDescent="0.25">
      <c r="A249" s="29" t="s">
        <v>413</v>
      </c>
      <c r="B249" s="30" t="s">
        <v>400</v>
      </c>
      <c r="C249" s="31" t="s">
        <v>94</v>
      </c>
      <c r="D249" s="71" t="s">
        <v>1177</v>
      </c>
      <c r="E249" s="31" t="s">
        <v>661</v>
      </c>
      <c r="F249" s="31" t="s">
        <v>1177</v>
      </c>
      <c r="G249" s="71" t="s">
        <v>166</v>
      </c>
      <c r="H249" s="71" t="s">
        <v>18</v>
      </c>
      <c r="I249" s="31"/>
      <c r="J249" s="32" t="s">
        <v>102</v>
      </c>
      <c r="K249" s="111">
        <f>ROUND(Tableau16[[#This Row],[LEN]]*7.27,0)</f>
        <v>58</v>
      </c>
      <c r="L249" s="111">
        <v>15</v>
      </c>
      <c r="M249" s="128" t="str">
        <f t="shared" si="2"/>
        <v>new</v>
      </c>
      <c r="N249" s="111">
        <f>LEN(Tableau16[[#This Row],[LABEL]])</f>
        <v>8</v>
      </c>
      <c r="O249" s="111">
        <v>15</v>
      </c>
      <c r="P249" s="111" t="e">
        <f>ROUND(Tableau16[[#This Row],[LEN]]*#REF!+#REF!,0)</f>
        <v>#REF!</v>
      </c>
    </row>
    <row r="250" spans="1:16" s="97" customFormat="1" x14ac:dyDescent="0.25">
      <c r="A250" s="25" t="s">
        <v>401</v>
      </c>
      <c r="B250" s="26" t="s">
        <v>251</v>
      </c>
      <c r="C250" s="27" t="s">
        <v>90</v>
      </c>
      <c r="D250" s="70" t="s">
        <v>1177</v>
      </c>
      <c r="E250" s="27" t="s">
        <v>661</v>
      </c>
      <c r="F250" s="27" t="s">
        <v>1177</v>
      </c>
      <c r="G250" s="70" t="s">
        <v>166</v>
      </c>
      <c r="H250" s="70" t="s">
        <v>654</v>
      </c>
      <c r="I250" s="27"/>
      <c r="J250" s="28" t="s">
        <v>708</v>
      </c>
      <c r="K250" s="109">
        <f>ROUND(Tableau16[[#This Row],[LEN]]*7.27,0)</f>
        <v>284</v>
      </c>
      <c r="L250" s="109">
        <v>15</v>
      </c>
      <c r="M250" s="127" t="str">
        <f t="shared" si="2"/>
        <v>none</v>
      </c>
      <c r="N250" s="109">
        <f>LEN(Tableau16[[#This Row],[LABEL]])</f>
        <v>39</v>
      </c>
      <c r="O250" s="109">
        <v>15</v>
      </c>
      <c r="P250" s="109" t="e">
        <f>ROUND(Tableau16[[#This Row],[LEN]]*#REF!+#REF!,0)</f>
        <v>#REF!</v>
      </c>
    </row>
    <row r="251" spans="1:16" s="97" customFormat="1" x14ac:dyDescent="0.25">
      <c r="A251" s="25" t="s">
        <v>402</v>
      </c>
      <c r="B251" s="26" t="s">
        <v>251</v>
      </c>
      <c r="C251" s="27" t="s">
        <v>778</v>
      </c>
      <c r="D251" s="70" t="s">
        <v>1177</v>
      </c>
      <c r="E251" s="27" t="s">
        <v>673</v>
      </c>
      <c r="F251" s="27" t="s">
        <v>2000</v>
      </c>
      <c r="G251" s="70" t="s">
        <v>166</v>
      </c>
      <c r="H251" s="70" t="s">
        <v>17</v>
      </c>
      <c r="I251" s="27"/>
      <c r="J251" s="28" t="s">
        <v>708</v>
      </c>
      <c r="K251" s="109">
        <f>ROUND(Tableau16[[#This Row],[LEN]]*7.27,0)</f>
        <v>211</v>
      </c>
      <c r="L251" s="109">
        <v>15</v>
      </c>
      <c r="M251" s="127" t="str">
        <f t="shared" si="2"/>
        <v>none</v>
      </c>
      <c r="N251" s="109">
        <f>LEN(Tableau16[[#This Row],[LABEL]])</f>
        <v>29</v>
      </c>
      <c r="O251" s="109">
        <v>15</v>
      </c>
      <c r="P251" s="109" t="e">
        <f>ROUND(Tableau16[[#This Row],[LEN]]*#REF!+#REF!,0)</f>
        <v>#REF!</v>
      </c>
    </row>
    <row r="252" spans="1:16" s="97" customFormat="1" x14ac:dyDescent="0.25">
      <c r="A252" s="25" t="s">
        <v>403</v>
      </c>
      <c r="B252" s="26" t="s">
        <v>251</v>
      </c>
      <c r="C252" s="27" t="s">
        <v>92</v>
      </c>
      <c r="D252" s="70" t="s">
        <v>1177</v>
      </c>
      <c r="E252" s="27" t="s">
        <v>663</v>
      </c>
      <c r="F252" s="27" t="s">
        <v>2080</v>
      </c>
      <c r="G252" s="70" t="s">
        <v>166</v>
      </c>
      <c r="H252" s="70" t="s">
        <v>655</v>
      </c>
      <c r="I252" s="27"/>
      <c r="J252" s="28" t="s">
        <v>708</v>
      </c>
      <c r="K252" s="109">
        <f>ROUND(Tableau16[[#This Row],[LEN]]*7.27,0)</f>
        <v>262</v>
      </c>
      <c r="L252" s="109">
        <v>15</v>
      </c>
      <c r="M252" s="127" t="str">
        <f t="shared" si="2"/>
        <v>none</v>
      </c>
      <c r="N252" s="109">
        <f>LEN(Tableau16[[#This Row],[LABEL]])</f>
        <v>36</v>
      </c>
      <c r="O252" s="109">
        <v>15</v>
      </c>
      <c r="P252" s="109" t="e">
        <f>ROUND(Tableau16[[#This Row],[LEN]]*#REF!+#REF!,0)</f>
        <v>#REF!</v>
      </c>
    </row>
    <row r="253" spans="1:16" s="97" customFormat="1" x14ac:dyDescent="0.25">
      <c r="A253" s="29" t="s">
        <v>414</v>
      </c>
      <c r="B253" s="30" t="s">
        <v>403</v>
      </c>
      <c r="C253" s="31" t="s">
        <v>95</v>
      </c>
      <c r="D253" s="71" t="s">
        <v>1177</v>
      </c>
      <c r="E253" s="31" t="s">
        <v>663</v>
      </c>
      <c r="F253" s="31" t="s">
        <v>2080</v>
      </c>
      <c r="G253" s="71" t="s">
        <v>166</v>
      </c>
      <c r="H253" s="71" t="s">
        <v>17</v>
      </c>
      <c r="I253" s="31"/>
      <c r="J253" s="32" t="s">
        <v>708</v>
      </c>
      <c r="K253" s="111">
        <f>ROUND(Tableau16[[#This Row],[LEN]]*7.27,0)</f>
        <v>254</v>
      </c>
      <c r="L253" s="111">
        <v>15</v>
      </c>
      <c r="M253" s="128" t="str">
        <f t="shared" si="2"/>
        <v>none</v>
      </c>
      <c r="N253" s="111">
        <f>LEN(Tableau16[[#This Row],[LABEL]])</f>
        <v>35</v>
      </c>
      <c r="O253" s="111">
        <v>15</v>
      </c>
      <c r="P253" s="111" t="e">
        <f>ROUND(Tableau16[[#This Row],[LEN]]*#REF!+#REF!,0)</f>
        <v>#REF!</v>
      </c>
    </row>
    <row r="254" spans="1:16" s="97" customFormat="1" x14ac:dyDescent="0.25">
      <c r="A254" s="29" t="s">
        <v>415</v>
      </c>
      <c r="B254" s="30" t="s">
        <v>403</v>
      </c>
      <c r="C254" s="31" t="s">
        <v>96</v>
      </c>
      <c r="D254" s="71" t="s">
        <v>1177</v>
      </c>
      <c r="E254" s="31" t="s">
        <v>663</v>
      </c>
      <c r="F254" s="31" t="s">
        <v>2080</v>
      </c>
      <c r="G254" s="71" t="s">
        <v>166</v>
      </c>
      <c r="H254" s="71" t="s">
        <v>570</v>
      </c>
      <c r="I254" s="31"/>
      <c r="J254" s="32" t="s">
        <v>708</v>
      </c>
      <c r="K254" s="111">
        <f>ROUND(Tableau16[[#This Row],[LEN]]*7.27,0)</f>
        <v>233</v>
      </c>
      <c r="L254" s="111">
        <v>15</v>
      </c>
      <c r="M254" s="128" t="str">
        <f t="shared" si="2"/>
        <v>none</v>
      </c>
      <c r="N254" s="111">
        <f>LEN(Tableau16[[#This Row],[LABEL]])</f>
        <v>32</v>
      </c>
      <c r="O254" s="111">
        <v>15</v>
      </c>
      <c r="P254" s="111" t="e">
        <f>ROUND(Tableau16[[#This Row],[LEN]]*#REF!+#REF!,0)</f>
        <v>#REF!</v>
      </c>
    </row>
    <row r="255" spans="1:16" s="97" customFormat="1" x14ac:dyDescent="0.25">
      <c r="A255" s="29" t="s">
        <v>416</v>
      </c>
      <c r="B255" s="30" t="s">
        <v>403</v>
      </c>
      <c r="C255" s="31" t="s">
        <v>97</v>
      </c>
      <c r="D255" s="71" t="s">
        <v>1177</v>
      </c>
      <c r="E255" s="31" t="s">
        <v>663</v>
      </c>
      <c r="F255" s="31" t="s">
        <v>2080</v>
      </c>
      <c r="G255" s="71" t="s">
        <v>166</v>
      </c>
      <c r="H255" s="71" t="s">
        <v>656</v>
      </c>
      <c r="I255" s="31"/>
      <c r="J255" s="32" t="s">
        <v>708</v>
      </c>
      <c r="K255" s="111">
        <f>ROUND(Tableau16[[#This Row],[LEN]]*7.27,0)</f>
        <v>145</v>
      </c>
      <c r="L255" s="111">
        <v>15</v>
      </c>
      <c r="M255" s="128" t="str">
        <f t="shared" si="2"/>
        <v>none</v>
      </c>
      <c r="N255" s="111">
        <f>LEN(Tableau16[[#This Row],[LABEL]])</f>
        <v>20</v>
      </c>
      <c r="O255" s="111">
        <v>15</v>
      </c>
      <c r="P255" s="111" t="e">
        <f>ROUND(Tableau16[[#This Row],[LEN]]*#REF!+#REF!,0)</f>
        <v>#REF!</v>
      </c>
    </row>
    <row r="256" spans="1:16" s="97" customFormat="1" x14ac:dyDescent="0.25">
      <c r="A256" s="25" t="s">
        <v>404</v>
      </c>
      <c r="B256" s="26" t="s">
        <v>251</v>
      </c>
      <c r="C256" s="27" t="s">
        <v>91</v>
      </c>
      <c r="D256" s="70" t="s">
        <v>1177</v>
      </c>
      <c r="E256" s="27" t="s">
        <v>663</v>
      </c>
      <c r="F256" s="27" t="s">
        <v>2080</v>
      </c>
      <c r="G256" s="70" t="s">
        <v>166</v>
      </c>
      <c r="H256" s="70" t="s">
        <v>655</v>
      </c>
      <c r="I256" s="27"/>
      <c r="J256" s="28" t="s">
        <v>708</v>
      </c>
      <c r="K256" s="109">
        <f>ROUND(Tableau16[[#This Row],[LEN]]*7.27,0)</f>
        <v>269</v>
      </c>
      <c r="L256" s="109">
        <v>15</v>
      </c>
      <c r="M256" s="127" t="str">
        <f t="shared" si="2"/>
        <v>none</v>
      </c>
      <c r="N256" s="109">
        <f>LEN(Tableau16[[#This Row],[LABEL]])</f>
        <v>37</v>
      </c>
      <c r="O256" s="109">
        <v>15</v>
      </c>
      <c r="P256" s="109" t="e">
        <f>ROUND(Tableau16[[#This Row],[LEN]]*#REF!+#REF!,0)</f>
        <v>#REF!</v>
      </c>
    </row>
    <row r="257" spans="1:16" s="97" customFormat="1" x14ac:dyDescent="0.25">
      <c r="A257" s="29" t="s">
        <v>417</v>
      </c>
      <c r="B257" s="30" t="s">
        <v>404</v>
      </c>
      <c r="C257" s="31" t="s">
        <v>98</v>
      </c>
      <c r="D257" s="71" t="s">
        <v>1177</v>
      </c>
      <c r="E257" s="31" t="s">
        <v>663</v>
      </c>
      <c r="F257" s="31" t="s">
        <v>1358</v>
      </c>
      <c r="G257" s="71" t="s">
        <v>166</v>
      </c>
      <c r="H257" s="71" t="s">
        <v>18</v>
      </c>
      <c r="I257" s="31"/>
      <c r="J257" s="32" t="s">
        <v>708</v>
      </c>
      <c r="K257" s="111">
        <f>ROUND(Tableau16[[#This Row],[LEN]]*7.27,0)</f>
        <v>109</v>
      </c>
      <c r="L257" s="111">
        <v>15</v>
      </c>
      <c r="M257" s="128" t="str">
        <f t="shared" si="2"/>
        <v>none</v>
      </c>
      <c r="N257" s="111">
        <f>LEN(Tableau16[[#This Row],[LABEL]])</f>
        <v>15</v>
      </c>
      <c r="O257" s="111">
        <v>15</v>
      </c>
      <c r="P257" s="111" t="e">
        <f>ROUND(Tableau16[[#This Row],[LEN]]*#REF!+#REF!,0)</f>
        <v>#REF!</v>
      </c>
    </row>
    <row r="258" spans="1:16" s="97" customFormat="1" x14ac:dyDescent="0.25">
      <c r="A258" s="29" t="s">
        <v>418</v>
      </c>
      <c r="B258" s="30" t="s">
        <v>404</v>
      </c>
      <c r="C258" s="31" t="s">
        <v>99</v>
      </c>
      <c r="D258" s="71" t="s">
        <v>1177</v>
      </c>
      <c r="E258" s="31" t="s">
        <v>663</v>
      </c>
      <c r="F258" s="31" t="s">
        <v>1358</v>
      </c>
      <c r="G258" s="71" t="s">
        <v>166</v>
      </c>
      <c r="H258" s="71" t="s">
        <v>18</v>
      </c>
      <c r="I258" s="31"/>
      <c r="J258" s="32" t="s">
        <v>708</v>
      </c>
      <c r="K258" s="111">
        <f>ROUND(Tableau16[[#This Row],[LEN]]*7.27,0)</f>
        <v>80</v>
      </c>
      <c r="L258" s="111">
        <v>15</v>
      </c>
      <c r="M258" s="128" t="str">
        <f t="shared" si="2"/>
        <v>none</v>
      </c>
      <c r="N258" s="111">
        <f>LEN(Tableau16[[#This Row],[LABEL]])</f>
        <v>11</v>
      </c>
      <c r="O258" s="111">
        <v>15</v>
      </c>
      <c r="P258" s="111" t="e">
        <f>ROUND(Tableau16[[#This Row],[LEN]]*#REF!+#REF!,0)</f>
        <v>#REF!</v>
      </c>
    </row>
    <row r="259" spans="1:16" s="97" customFormat="1" x14ac:dyDescent="0.25">
      <c r="A259" s="25" t="s">
        <v>405</v>
      </c>
      <c r="B259" s="26" t="s">
        <v>251</v>
      </c>
      <c r="C259" s="27" t="s">
        <v>1167</v>
      </c>
      <c r="D259" s="70" t="s">
        <v>486</v>
      </c>
      <c r="E259" s="27" t="s">
        <v>1085</v>
      </c>
      <c r="F259" s="27" t="s">
        <v>1084</v>
      </c>
      <c r="G259" s="70" t="s">
        <v>1977</v>
      </c>
      <c r="H259" s="70" t="s">
        <v>1131</v>
      </c>
      <c r="I259" s="27"/>
      <c r="J259" s="28" t="s">
        <v>708</v>
      </c>
      <c r="K259" s="109">
        <f>ROUND(Tableau16[[#This Row],[LEN]]*7.27,0)</f>
        <v>196</v>
      </c>
      <c r="L259" s="109">
        <v>15</v>
      </c>
      <c r="M259" s="127" t="str">
        <f t="shared" si="2"/>
        <v>none</v>
      </c>
      <c r="N259" s="109">
        <f>LEN(Tableau16[[#This Row],[LABEL]])</f>
        <v>27</v>
      </c>
      <c r="O259" s="109">
        <v>15</v>
      </c>
      <c r="P259" s="109" t="e">
        <f>ROUND(Tableau16[[#This Row],[LEN]]*#REF!+#REF!,0)</f>
        <v>#REF!</v>
      </c>
    </row>
    <row r="260" spans="1:16" s="97" customFormat="1" x14ac:dyDescent="0.25">
      <c r="A260" s="29" t="s">
        <v>1203</v>
      </c>
      <c r="B260" s="30" t="s">
        <v>405</v>
      </c>
      <c r="C260" s="31" t="s">
        <v>93</v>
      </c>
      <c r="D260" s="71" t="s">
        <v>1177</v>
      </c>
      <c r="E260" s="31" t="s">
        <v>1085</v>
      </c>
      <c r="F260" s="31" t="s">
        <v>1084</v>
      </c>
      <c r="G260" s="71" t="s">
        <v>166</v>
      </c>
      <c r="H260" s="71" t="s">
        <v>18</v>
      </c>
      <c r="I260" s="31"/>
      <c r="J260" s="32" t="s">
        <v>101</v>
      </c>
      <c r="K260" s="111">
        <f>ROUND(Tableau16[[#This Row],[LEN]]*7.27,0)</f>
        <v>109</v>
      </c>
      <c r="L260" s="111">
        <v>15</v>
      </c>
      <c r="M260" s="128" t="str">
        <f t="shared" si="2"/>
        <v>new</v>
      </c>
      <c r="N260" s="111">
        <f>LEN(Tableau16[[#This Row],[LABEL]])</f>
        <v>15</v>
      </c>
      <c r="O260" s="111">
        <v>15</v>
      </c>
      <c r="P260" s="111" t="e">
        <f>ROUND(Tableau16[[#This Row],[LEN]]*#REF!+#REF!,0)</f>
        <v>#REF!</v>
      </c>
    </row>
    <row r="261" spans="1:16" s="97" customFormat="1" x14ac:dyDescent="0.25">
      <c r="A261" s="29" t="s">
        <v>1204</v>
      </c>
      <c r="B261" s="30" t="s">
        <v>405</v>
      </c>
      <c r="C261" s="31" t="s">
        <v>94</v>
      </c>
      <c r="D261" s="71" t="s">
        <v>1177</v>
      </c>
      <c r="E261" s="31" t="s">
        <v>1085</v>
      </c>
      <c r="F261" s="31" t="s">
        <v>1084</v>
      </c>
      <c r="G261" s="71" t="s">
        <v>166</v>
      </c>
      <c r="H261" s="71" t="s">
        <v>18</v>
      </c>
      <c r="I261" s="31"/>
      <c r="J261" s="32" t="s">
        <v>102</v>
      </c>
      <c r="K261" s="111">
        <f>ROUND(Tableau16[[#This Row],[LEN]]*7.27,0)</f>
        <v>58</v>
      </c>
      <c r="L261" s="111">
        <v>15</v>
      </c>
      <c r="M261" s="128" t="str">
        <f t="shared" si="2"/>
        <v>new</v>
      </c>
      <c r="N261" s="111">
        <f>LEN(Tableau16[[#This Row],[LABEL]])</f>
        <v>8</v>
      </c>
      <c r="O261" s="111">
        <v>15</v>
      </c>
      <c r="P261" s="111" t="e">
        <f>ROUND(Tableau16[[#This Row],[LEN]]*#REF!+#REF!,0)</f>
        <v>#REF!</v>
      </c>
    </row>
    <row r="262" spans="1:16" s="273" customFormat="1" x14ac:dyDescent="0.25">
      <c r="A262" s="288" t="s">
        <v>252</v>
      </c>
      <c r="B262" s="289" t="s">
        <v>206</v>
      </c>
      <c r="C262" s="290" t="s">
        <v>4</v>
      </c>
      <c r="D262" s="291" t="s">
        <v>1177</v>
      </c>
      <c r="E262" s="290" t="s">
        <v>666</v>
      </c>
      <c r="F262" s="290" t="s">
        <v>1177</v>
      </c>
      <c r="G262" s="291" t="s">
        <v>166</v>
      </c>
      <c r="H262" s="291" t="str">
        <f>IFERROR(IF(SEARCH(".00.00.00.00.00",Tableau16[[#This Row],[name]],1)=7,"Division",""),"")</f>
        <v>Division</v>
      </c>
      <c r="I262" s="290"/>
      <c r="J262" s="292" t="s">
        <v>708</v>
      </c>
      <c r="K262" s="293">
        <f>ROUND(Tableau16[[#This Row],[LEN]]*7.27,0)</f>
        <v>36</v>
      </c>
      <c r="L262" s="293">
        <v>15</v>
      </c>
      <c r="M262" s="294" t="str">
        <f t="shared" si="2"/>
        <v>none</v>
      </c>
      <c r="N262" s="293">
        <f>LEN(Tableau16[[#This Row],[LABEL]])</f>
        <v>5</v>
      </c>
      <c r="O262" s="293">
        <v>15</v>
      </c>
      <c r="P262" s="293" t="e">
        <f>ROUND(Tableau16[[#This Row],[LEN]]*#REF!+#REF!,0)</f>
        <v>#REF!</v>
      </c>
    </row>
    <row r="263" spans="1:16" s="97" customFormat="1" x14ac:dyDescent="0.25">
      <c r="A263" s="25" t="s">
        <v>1058</v>
      </c>
      <c r="B263" s="26" t="s">
        <v>252</v>
      </c>
      <c r="C263" s="27" t="s">
        <v>86</v>
      </c>
      <c r="D263" s="70" t="s">
        <v>1177</v>
      </c>
      <c r="E263" s="27" t="s">
        <v>666</v>
      </c>
      <c r="F263" s="27" t="s">
        <v>2081</v>
      </c>
      <c r="G263" s="70" t="s">
        <v>166</v>
      </c>
      <c r="H263" s="70" t="s">
        <v>570</v>
      </c>
      <c r="I263" s="27"/>
      <c r="J263" s="28" t="s">
        <v>708</v>
      </c>
      <c r="K263" s="109">
        <f>ROUND(Tableau16[[#This Row],[LEN]]*7.27,0)</f>
        <v>269</v>
      </c>
      <c r="L263" s="109">
        <v>15</v>
      </c>
      <c r="M263" s="127" t="str">
        <f t="shared" si="2"/>
        <v>none</v>
      </c>
      <c r="N263" s="109">
        <f>LEN(Tableau16[[#This Row],[LABEL]])</f>
        <v>37</v>
      </c>
      <c r="O263" s="109">
        <v>15</v>
      </c>
      <c r="P263" s="109" t="e">
        <f>ROUND(Tableau16[[#This Row],[LEN]]*#REF!+#REF!,0)</f>
        <v>#REF!</v>
      </c>
    </row>
    <row r="264" spans="1:16" s="97" customFormat="1" x14ac:dyDescent="0.25">
      <c r="A264" s="25" t="s">
        <v>1059</v>
      </c>
      <c r="B264" s="26" t="s">
        <v>252</v>
      </c>
      <c r="C264" s="27" t="s">
        <v>87</v>
      </c>
      <c r="D264" s="70" t="s">
        <v>1177</v>
      </c>
      <c r="E264" s="27" t="s">
        <v>663</v>
      </c>
      <c r="F264" s="27" t="s">
        <v>684</v>
      </c>
      <c r="G264" s="70" t="s">
        <v>166</v>
      </c>
      <c r="H264" s="70" t="s">
        <v>570</v>
      </c>
      <c r="I264" s="27"/>
      <c r="J264" s="28" t="s">
        <v>708</v>
      </c>
      <c r="K264" s="109">
        <f>ROUND(Tableau16[[#This Row],[LEN]]*7.27,0)</f>
        <v>182</v>
      </c>
      <c r="L264" s="109">
        <v>15</v>
      </c>
      <c r="M264" s="127" t="str">
        <f t="shared" si="2"/>
        <v>none</v>
      </c>
      <c r="N264" s="109">
        <f>LEN(Tableau16[[#This Row],[LABEL]])</f>
        <v>25</v>
      </c>
      <c r="O264" s="109">
        <v>15</v>
      </c>
      <c r="P264" s="109" t="e">
        <f>ROUND(Tableau16[[#This Row],[LEN]]*#REF!+#REF!,0)</f>
        <v>#REF!</v>
      </c>
    </row>
    <row r="265" spans="1:16" s="97" customFormat="1" x14ac:dyDescent="0.25">
      <c r="A265" s="25" t="s">
        <v>1060</v>
      </c>
      <c r="B265" s="26" t="s">
        <v>252</v>
      </c>
      <c r="C265" s="27" t="s">
        <v>88</v>
      </c>
      <c r="D265" s="70" t="s">
        <v>1177</v>
      </c>
      <c r="E265" s="27" t="s">
        <v>667</v>
      </c>
      <c r="F265" s="27" t="s">
        <v>1218</v>
      </c>
      <c r="G265" s="70" t="s">
        <v>166</v>
      </c>
      <c r="H265" s="70" t="s">
        <v>570</v>
      </c>
      <c r="I265" s="27"/>
      <c r="J265" s="28" t="s">
        <v>708</v>
      </c>
      <c r="K265" s="109">
        <f>ROUND(Tableau16[[#This Row],[LEN]]*7.27,0)</f>
        <v>342</v>
      </c>
      <c r="L265" s="109">
        <v>15</v>
      </c>
      <c r="M265" s="127" t="str">
        <f t="shared" si="2"/>
        <v>none</v>
      </c>
      <c r="N265" s="109">
        <f>LEN(Tableau16[[#This Row],[LABEL]])</f>
        <v>47</v>
      </c>
      <c r="O265" s="109">
        <v>15</v>
      </c>
      <c r="P265" s="109" t="e">
        <f>ROUND(Tableau16[[#This Row],[LEN]]*#REF!+#REF!,0)</f>
        <v>#REF!</v>
      </c>
    </row>
    <row r="266" spans="1:16" s="97" customFormat="1" x14ac:dyDescent="0.25">
      <c r="A266" s="25" t="s">
        <v>1061</v>
      </c>
      <c r="B266" s="26" t="s">
        <v>252</v>
      </c>
      <c r="C266" s="27" t="s">
        <v>1071</v>
      </c>
      <c r="D266" s="70" t="s">
        <v>1177</v>
      </c>
      <c r="E266" s="27" t="s">
        <v>666</v>
      </c>
      <c r="F266" s="27" t="s">
        <v>828</v>
      </c>
      <c r="G266" s="70" t="s">
        <v>166</v>
      </c>
      <c r="H266" s="70" t="s">
        <v>655</v>
      </c>
      <c r="I266" s="27"/>
      <c r="J266" s="28" t="s">
        <v>708</v>
      </c>
      <c r="K266" s="109">
        <f>ROUND(Tableau16[[#This Row],[LEN]]*7.27,0)</f>
        <v>247</v>
      </c>
      <c r="L266" s="109">
        <v>15</v>
      </c>
      <c r="M266" s="127" t="str">
        <f t="shared" si="2"/>
        <v>none</v>
      </c>
      <c r="N266" s="109">
        <f>LEN(Tableau16[[#This Row],[LABEL]])</f>
        <v>34</v>
      </c>
      <c r="O266" s="109">
        <v>15</v>
      </c>
      <c r="P266" s="109" t="e">
        <f>ROUND(Tableau16[[#This Row],[LEN]]*#REF!+#REF!,0)</f>
        <v>#REF!</v>
      </c>
    </row>
    <row r="267" spans="1:16" s="97" customFormat="1" x14ac:dyDescent="0.25">
      <c r="A267" s="29" t="s">
        <v>1074</v>
      </c>
      <c r="B267" s="30" t="s">
        <v>1061</v>
      </c>
      <c r="C267" s="31" t="s">
        <v>1086</v>
      </c>
      <c r="D267" s="71" t="s">
        <v>1177</v>
      </c>
      <c r="E267" s="31" t="s">
        <v>666</v>
      </c>
      <c r="F267" s="31" t="s">
        <v>828</v>
      </c>
      <c r="G267" s="71" t="s">
        <v>166</v>
      </c>
      <c r="H267" s="71" t="s">
        <v>655</v>
      </c>
      <c r="I267" s="31"/>
      <c r="J267" s="32" t="s">
        <v>708</v>
      </c>
      <c r="K267" s="111">
        <f>ROUND(Tableau16[[#This Row],[LEN]]*7.27,0)</f>
        <v>87</v>
      </c>
      <c r="L267" s="111">
        <v>15</v>
      </c>
      <c r="M267" s="128" t="str">
        <f t="shared" si="2"/>
        <v>none</v>
      </c>
      <c r="N267" s="111">
        <f>LEN(Tableau16[[#This Row],[LABEL]])</f>
        <v>12</v>
      </c>
      <c r="O267" s="111">
        <v>15</v>
      </c>
      <c r="P267" s="111" t="e">
        <f>ROUND(Tableau16[[#This Row],[LEN]]*#REF!+#REF!,0)</f>
        <v>#REF!</v>
      </c>
    </row>
    <row r="268" spans="1:16" s="97" customFormat="1" x14ac:dyDescent="0.25">
      <c r="A268" s="86" t="s">
        <v>1094</v>
      </c>
      <c r="B268" s="87" t="s">
        <v>1074</v>
      </c>
      <c r="C268" s="88" t="s">
        <v>1088</v>
      </c>
      <c r="D268" s="89" t="s">
        <v>1177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112">
        <f>ROUND(Tableau16[[#This Row],[LEN]]*7.27,0)</f>
        <v>196</v>
      </c>
      <c r="L268" s="112">
        <v>15</v>
      </c>
      <c r="M268" s="129" t="str">
        <f t="shared" si="2"/>
        <v>none</v>
      </c>
      <c r="N268" s="112">
        <f>LEN(Tableau16[[#This Row],[LABEL]])</f>
        <v>27</v>
      </c>
      <c r="O268" s="112">
        <v>15</v>
      </c>
      <c r="P268" s="112" t="e">
        <f>ROUND(Tableau16[[#This Row],[LEN]]*#REF!+#REF!,0)</f>
        <v>#REF!</v>
      </c>
    </row>
    <row r="269" spans="1:16" s="97" customFormat="1" x14ac:dyDescent="0.25">
      <c r="A269" s="86" t="s">
        <v>1095</v>
      </c>
      <c r="B269" s="87" t="s">
        <v>1074</v>
      </c>
      <c r="C269" s="88" t="s">
        <v>1089</v>
      </c>
      <c r="D269" s="89" t="s">
        <v>1177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112">
        <f>ROUND(Tableau16[[#This Row],[LEN]]*7.27,0)</f>
        <v>36</v>
      </c>
      <c r="L269" s="112">
        <v>15</v>
      </c>
      <c r="M269" s="129" t="str">
        <f t="shared" si="2"/>
        <v>none</v>
      </c>
      <c r="N269" s="112">
        <f>LEN(Tableau16[[#This Row],[LABEL]])</f>
        <v>5</v>
      </c>
      <c r="O269" s="112">
        <v>15</v>
      </c>
      <c r="P269" s="112" t="e">
        <f>ROUND(Tableau16[[#This Row],[LEN]]*#REF!+#REF!,0)</f>
        <v>#REF!</v>
      </c>
    </row>
    <row r="270" spans="1:16" s="97" customFormat="1" x14ac:dyDescent="0.25">
      <c r="A270" s="86" t="s">
        <v>1096</v>
      </c>
      <c r="B270" s="87" t="s">
        <v>1074</v>
      </c>
      <c r="C270" s="88" t="s">
        <v>1090</v>
      </c>
      <c r="D270" s="89" t="s">
        <v>1177</v>
      </c>
      <c r="E270" s="88" t="s">
        <v>666</v>
      </c>
      <c r="F270" s="88" t="s">
        <v>828</v>
      </c>
      <c r="G270" s="89" t="s">
        <v>166</v>
      </c>
      <c r="H270" s="90" t="s">
        <v>18</v>
      </c>
      <c r="I270" s="88"/>
      <c r="J270" s="91" t="s">
        <v>708</v>
      </c>
      <c r="K270" s="112">
        <f>ROUND(Tableau16[[#This Row],[LEN]]*7.27,0)</f>
        <v>29</v>
      </c>
      <c r="L270" s="112">
        <v>15</v>
      </c>
      <c r="M270" s="129" t="str">
        <f t="shared" si="2"/>
        <v>none</v>
      </c>
      <c r="N270" s="112">
        <f>LEN(Tableau16[[#This Row],[LABEL]])</f>
        <v>4</v>
      </c>
      <c r="O270" s="112">
        <v>15</v>
      </c>
      <c r="P270" s="112" t="e">
        <f>ROUND(Tableau16[[#This Row],[LEN]]*#REF!+#REF!,0)</f>
        <v>#REF!</v>
      </c>
    </row>
    <row r="271" spans="1:16" s="97" customFormat="1" x14ac:dyDescent="0.25">
      <c r="A271" s="86" t="s">
        <v>1097</v>
      </c>
      <c r="B271" s="87" t="s">
        <v>1074</v>
      </c>
      <c r="C271" s="88" t="s">
        <v>1091</v>
      </c>
      <c r="D271" s="89" t="s">
        <v>1177</v>
      </c>
      <c r="E271" s="88" t="s">
        <v>666</v>
      </c>
      <c r="F271" s="88" t="s">
        <v>828</v>
      </c>
      <c r="G271" s="89" t="s">
        <v>166</v>
      </c>
      <c r="H271" s="90" t="s">
        <v>18</v>
      </c>
      <c r="I271" s="88"/>
      <c r="J271" s="91" t="s">
        <v>708</v>
      </c>
      <c r="K271" s="112">
        <f>ROUND(Tableau16[[#This Row],[LEN]]*7.27,0)</f>
        <v>102</v>
      </c>
      <c r="L271" s="112">
        <v>15</v>
      </c>
      <c r="M271" s="129" t="str">
        <f t="shared" si="2"/>
        <v>none</v>
      </c>
      <c r="N271" s="112">
        <f>LEN(Tableau16[[#This Row],[LABEL]])</f>
        <v>14</v>
      </c>
      <c r="O271" s="112">
        <v>15</v>
      </c>
      <c r="P271" s="112" t="e">
        <f>ROUND(Tableau16[[#This Row],[LEN]]*#REF!+#REF!,0)</f>
        <v>#REF!</v>
      </c>
    </row>
    <row r="272" spans="1:16" s="97" customFormat="1" x14ac:dyDescent="0.25">
      <c r="A272" s="86" t="s">
        <v>1098</v>
      </c>
      <c r="B272" s="212" t="s">
        <v>1074</v>
      </c>
      <c r="C272" s="88" t="s">
        <v>1092</v>
      </c>
      <c r="D272" s="89" t="s">
        <v>1177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112">
        <f>ROUND(Tableau16[[#This Row],[LEN]]*7.27,0)</f>
        <v>153</v>
      </c>
      <c r="L272" s="112">
        <v>15</v>
      </c>
      <c r="M272" s="129" t="str">
        <f t="shared" si="2"/>
        <v>none</v>
      </c>
      <c r="N272" s="112">
        <f>LEN(Tableau16[[#This Row],[LABEL]])</f>
        <v>21</v>
      </c>
      <c r="O272" s="112">
        <v>15</v>
      </c>
      <c r="P272" s="112" t="e">
        <f>ROUND(Tableau16[[#This Row],[LEN]]*#REF!+#REF!,0)</f>
        <v>#REF!</v>
      </c>
    </row>
    <row r="273" spans="1:16" s="97" customFormat="1" x14ac:dyDescent="0.25">
      <c r="A273" s="86" t="s">
        <v>1099</v>
      </c>
      <c r="B273" s="212" t="s">
        <v>1074</v>
      </c>
      <c r="C273" s="88" t="s">
        <v>1093</v>
      </c>
      <c r="D273" s="89" t="s">
        <v>1177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112">
        <f>ROUND(Tableau16[[#This Row],[LEN]]*7.27,0)</f>
        <v>269</v>
      </c>
      <c r="L273" s="112">
        <v>15</v>
      </c>
      <c r="M273" s="129" t="str">
        <f t="shared" si="2"/>
        <v>none</v>
      </c>
      <c r="N273" s="112">
        <f>LEN(Tableau16[[#This Row],[LABEL]])</f>
        <v>37</v>
      </c>
      <c r="O273" s="112">
        <v>15</v>
      </c>
      <c r="P273" s="112" t="e">
        <f>ROUND(Tableau16[[#This Row],[LEN]]*#REF!+#REF!,0)</f>
        <v>#REF!</v>
      </c>
    </row>
    <row r="274" spans="1:16" s="97" customFormat="1" x14ac:dyDescent="0.25">
      <c r="A274" s="29" t="s">
        <v>1075</v>
      </c>
      <c r="B274" s="30" t="s">
        <v>1061</v>
      </c>
      <c r="C274" s="31" t="s">
        <v>1087</v>
      </c>
      <c r="D274" s="71" t="s">
        <v>1177</v>
      </c>
      <c r="E274" s="31" t="s">
        <v>666</v>
      </c>
      <c r="F274" s="31" t="s">
        <v>828</v>
      </c>
      <c r="G274" s="71" t="s">
        <v>166</v>
      </c>
      <c r="H274" s="71" t="s">
        <v>655</v>
      </c>
      <c r="I274" s="31"/>
      <c r="J274" s="32" t="s">
        <v>708</v>
      </c>
      <c r="K274" s="111">
        <f>ROUND(Tableau16[[#This Row],[LEN]]*7.27,0)</f>
        <v>109</v>
      </c>
      <c r="L274" s="111">
        <v>15</v>
      </c>
      <c r="M274" s="128" t="str">
        <f t="shared" si="2"/>
        <v>none</v>
      </c>
      <c r="N274" s="111">
        <f>LEN(Tableau16[[#This Row],[LABEL]])</f>
        <v>15</v>
      </c>
      <c r="O274" s="111">
        <v>15</v>
      </c>
      <c r="P274" s="111" t="e">
        <f>ROUND(Tableau16[[#This Row],[LEN]]*#REF!+#REF!,0)</f>
        <v>#REF!</v>
      </c>
    </row>
    <row r="275" spans="1:16" s="97" customFormat="1" x14ac:dyDescent="0.25">
      <c r="A275" s="86" t="s">
        <v>1102</v>
      </c>
      <c r="B275" s="87" t="s">
        <v>1075</v>
      </c>
      <c r="C275" s="88" t="s">
        <v>1100</v>
      </c>
      <c r="D275" s="89" t="s">
        <v>1177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112">
        <f>ROUND(Tableau16[[#This Row],[LEN]]*7.27,0)</f>
        <v>22</v>
      </c>
      <c r="L275" s="112">
        <v>15</v>
      </c>
      <c r="M275" s="129" t="str">
        <f t="shared" si="2"/>
        <v>none</v>
      </c>
      <c r="N275" s="112">
        <f>LEN(Tableau16[[#This Row],[LABEL]])</f>
        <v>3</v>
      </c>
      <c r="O275" s="112">
        <v>15</v>
      </c>
      <c r="P275" s="112" t="e">
        <f>ROUND(Tableau16[[#This Row],[LEN]]*#REF!+#REF!,0)</f>
        <v>#REF!</v>
      </c>
    </row>
    <row r="276" spans="1:16" s="97" customFormat="1" x14ac:dyDescent="0.25">
      <c r="A276" s="86" t="s">
        <v>1103</v>
      </c>
      <c r="B276" s="87" t="s">
        <v>1075</v>
      </c>
      <c r="C276" s="88" t="s">
        <v>1101</v>
      </c>
      <c r="D276" s="89" t="s">
        <v>1177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112">
        <f>ROUND(Tableau16[[#This Row],[LEN]]*7.27,0)</f>
        <v>36</v>
      </c>
      <c r="L276" s="112">
        <v>15</v>
      </c>
      <c r="M276" s="129" t="str">
        <f t="shared" si="2"/>
        <v>none</v>
      </c>
      <c r="N276" s="112">
        <f>LEN(Tableau16[[#This Row],[LABEL]])</f>
        <v>5</v>
      </c>
      <c r="O276" s="112">
        <v>15</v>
      </c>
      <c r="P276" s="112" t="e">
        <f>ROUND(Tableau16[[#This Row],[LEN]]*#REF!+#REF!,0)</f>
        <v>#REF!</v>
      </c>
    </row>
    <row r="277" spans="1:16" s="97" customFormat="1" x14ac:dyDescent="0.25">
      <c r="A277" s="86" t="s">
        <v>1104</v>
      </c>
      <c r="B277" s="87" t="s">
        <v>1075</v>
      </c>
      <c r="C277" s="88" t="s">
        <v>812</v>
      </c>
      <c r="D277" s="89" t="s">
        <v>1177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112">
        <f>ROUND(Tableau16[[#This Row],[LEN]]*7.27,0)</f>
        <v>131</v>
      </c>
      <c r="L277" s="112">
        <v>15</v>
      </c>
      <c r="M277" s="129" t="str">
        <f t="shared" si="2"/>
        <v>none</v>
      </c>
      <c r="N277" s="112">
        <f>LEN(Tableau16[[#This Row],[LABEL]])</f>
        <v>18</v>
      </c>
      <c r="O277" s="112">
        <v>15</v>
      </c>
      <c r="P277" s="112" t="e">
        <f>ROUND(Tableau16[[#This Row],[LEN]]*#REF!+#REF!,0)</f>
        <v>#REF!</v>
      </c>
    </row>
    <row r="278" spans="1:16" s="97" customFormat="1" x14ac:dyDescent="0.25">
      <c r="A278" s="29" t="s">
        <v>1076</v>
      </c>
      <c r="B278" s="30" t="s">
        <v>1061</v>
      </c>
      <c r="C278" s="31" t="s">
        <v>15</v>
      </c>
      <c r="D278" s="71" t="s">
        <v>1177</v>
      </c>
      <c r="E278" s="31" t="s">
        <v>666</v>
      </c>
      <c r="F278" s="31" t="s">
        <v>828</v>
      </c>
      <c r="G278" s="71" t="s">
        <v>166</v>
      </c>
      <c r="H278" s="71" t="s">
        <v>655</v>
      </c>
      <c r="I278" s="31"/>
      <c r="J278" s="32" t="s">
        <v>708</v>
      </c>
      <c r="K278" s="111">
        <f>ROUND(Tableau16[[#This Row],[LEN]]*7.27,0)</f>
        <v>174</v>
      </c>
      <c r="L278" s="111">
        <v>15</v>
      </c>
      <c r="M278" s="128" t="str">
        <f t="shared" si="2"/>
        <v>none</v>
      </c>
      <c r="N278" s="111">
        <f>LEN(Tableau16[[#This Row],[LABEL]])</f>
        <v>24</v>
      </c>
      <c r="O278" s="111">
        <v>15</v>
      </c>
      <c r="P278" s="111" t="e">
        <f>ROUND(Tableau16[[#This Row],[LEN]]*#REF!+#REF!,0)</f>
        <v>#REF!</v>
      </c>
    </row>
    <row r="279" spans="1:16" s="97" customFormat="1" x14ac:dyDescent="0.25">
      <c r="A279" s="86" t="s">
        <v>1105</v>
      </c>
      <c r="B279" s="87" t="s">
        <v>1076</v>
      </c>
      <c r="C279" s="88" t="s">
        <v>1100</v>
      </c>
      <c r="D279" s="89" t="s">
        <v>1177</v>
      </c>
      <c r="E279" s="88" t="s">
        <v>666</v>
      </c>
      <c r="F279" s="88" t="s">
        <v>828</v>
      </c>
      <c r="G279" s="89" t="s">
        <v>166</v>
      </c>
      <c r="H279" s="90" t="s">
        <v>18</v>
      </c>
      <c r="I279" s="88"/>
      <c r="J279" s="91" t="s">
        <v>708</v>
      </c>
      <c r="K279" s="112">
        <f>ROUND(Tableau16[[#This Row],[LEN]]*7.27,0)</f>
        <v>22</v>
      </c>
      <c r="L279" s="112">
        <v>15</v>
      </c>
      <c r="M279" s="129" t="str">
        <f t="shared" si="2"/>
        <v>none</v>
      </c>
      <c r="N279" s="112">
        <f>LEN(Tableau16[[#This Row],[LABEL]])</f>
        <v>3</v>
      </c>
      <c r="O279" s="112">
        <v>15</v>
      </c>
      <c r="P279" s="112" t="e">
        <f>ROUND(Tableau16[[#This Row],[LEN]]*#REF!+#REF!,0)</f>
        <v>#REF!</v>
      </c>
    </row>
    <row r="280" spans="1:16" s="97" customFormat="1" x14ac:dyDescent="0.25">
      <c r="A280" s="86" t="s">
        <v>1106</v>
      </c>
      <c r="B280" s="87" t="s">
        <v>1076</v>
      </c>
      <c r="C280" s="88" t="s">
        <v>807</v>
      </c>
      <c r="D280" s="89" t="s">
        <v>1177</v>
      </c>
      <c r="E280" s="88" t="s">
        <v>666</v>
      </c>
      <c r="F280" s="88" t="s">
        <v>828</v>
      </c>
      <c r="G280" s="89" t="s">
        <v>166</v>
      </c>
      <c r="H280" s="90" t="s">
        <v>18</v>
      </c>
      <c r="I280" s="88"/>
      <c r="J280" s="91" t="s">
        <v>708</v>
      </c>
      <c r="K280" s="112">
        <f>ROUND(Tableau16[[#This Row],[LEN]]*7.27,0)</f>
        <v>218</v>
      </c>
      <c r="L280" s="112">
        <v>15</v>
      </c>
      <c r="M280" s="129" t="str">
        <f t="shared" si="2"/>
        <v>none</v>
      </c>
      <c r="N280" s="112">
        <f>LEN(Tableau16[[#This Row],[LABEL]])</f>
        <v>30</v>
      </c>
      <c r="O280" s="112">
        <v>15</v>
      </c>
      <c r="P280" s="112" t="e">
        <f>ROUND(Tableau16[[#This Row],[LEN]]*#REF!+#REF!,0)</f>
        <v>#REF!</v>
      </c>
    </row>
    <row r="281" spans="1:16" s="97" customFormat="1" x14ac:dyDescent="0.25">
      <c r="A281" s="86" t="s">
        <v>1107</v>
      </c>
      <c r="B281" s="87" t="s">
        <v>1076</v>
      </c>
      <c r="C281" s="88" t="s">
        <v>1112</v>
      </c>
      <c r="D281" s="89" t="s">
        <v>1177</v>
      </c>
      <c r="E281" s="88" t="s">
        <v>666</v>
      </c>
      <c r="F281" s="88" t="s">
        <v>828</v>
      </c>
      <c r="G281" s="89" t="s">
        <v>166</v>
      </c>
      <c r="H281" s="90" t="s">
        <v>18</v>
      </c>
      <c r="I281" s="88"/>
      <c r="J281" s="91" t="s">
        <v>708</v>
      </c>
      <c r="K281" s="112">
        <f>ROUND(Tableau16[[#This Row],[LEN]]*7.27,0)</f>
        <v>240</v>
      </c>
      <c r="L281" s="112">
        <v>15</v>
      </c>
      <c r="M281" s="129" t="str">
        <f t="shared" si="2"/>
        <v>none</v>
      </c>
      <c r="N281" s="112">
        <f>LEN(Tableau16[[#This Row],[LABEL]])</f>
        <v>33</v>
      </c>
      <c r="O281" s="112">
        <v>15</v>
      </c>
      <c r="P281" s="112" t="e">
        <f>ROUND(Tableau16[[#This Row],[LEN]]*#REF!+#REF!,0)</f>
        <v>#REF!</v>
      </c>
    </row>
    <row r="282" spans="1:16" s="97" customFormat="1" x14ac:dyDescent="0.25">
      <c r="A282" s="86" t="s">
        <v>1108</v>
      </c>
      <c r="B282" s="87" t="s">
        <v>1076</v>
      </c>
      <c r="C282" s="88" t="s">
        <v>1113</v>
      </c>
      <c r="D282" s="89" t="s">
        <v>1177</v>
      </c>
      <c r="E282" s="88" t="s">
        <v>666</v>
      </c>
      <c r="F282" s="88" t="s">
        <v>828</v>
      </c>
      <c r="G282" s="89" t="s">
        <v>166</v>
      </c>
      <c r="H282" s="90" t="s">
        <v>18</v>
      </c>
      <c r="I282" s="88"/>
      <c r="J282" s="91" t="s">
        <v>708</v>
      </c>
      <c r="K282" s="112">
        <f>ROUND(Tableau16[[#This Row],[LEN]]*7.27,0)</f>
        <v>116</v>
      </c>
      <c r="L282" s="112">
        <v>15</v>
      </c>
      <c r="M282" s="129" t="str">
        <f t="shared" si="2"/>
        <v>none</v>
      </c>
      <c r="N282" s="112">
        <f>LEN(Tableau16[[#This Row],[LABEL]])</f>
        <v>16</v>
      </c>
      <c r="O282" s="112">
        <v>15</v>
      </c>
      <c r="P282" s="112" t="e">
        <f>ROUND(Tableau16[[#This Row],[LEN]]*#REF!+#REF!,0)</f>
        <v>#REF!</v>
      </c>
    </row>
    <row r="283" spans="1:16" s="97" customFormat="1" x14ac:dyDescent="0.25">
      <c r="A283" s="86" t="s">
        <v>1109</v>
      </c>
      <c r="B283" s="87" t="s">
        <v>1076</v>
      </c>
      <c r="C283" s="88" t="s">
        <v>1114</v>
      </c>
      <c r="D283" s="89" t="s">
        <v>1177</v>
      </c>
      <c r="E283" s="88" t="s">
        <v>666</v>
      </c>
      <c r="F283" s="88" t="s">
        <v>828</v>
      </c>
      <c r="G283" s="89" t="s">
        <v>166</v>
      </c>
      <c r="H283" s="90" t="s">
        <v>18</v>
      </c>
      <c r="I283" s="88"/>
      <c r="J283" s="91" t="s">
        <v>708</v>
      </c>
      <c r="K283" s="112">
        <f>ROUND(Tableau16[[#This Row],[LEN]]*7.27,0)</f>
        <v>116</v>
      </c>
      <c r="L283" s="112">
        <v>15</v>
      </c>
      <c r="M283" s="129" t="str">
        <f t="shared" si="2"/>
        <v>none</v>
      </c>
      <c r="N283" s="112">
        <f>LEN(Tableau16[[#This Row],[LABEL]])</f>
        <v>16</v>
      </c>
      <c r="O283" s="112">
        <v>15</v>
      </c>
      <c r="P283" s="112" t="e">
        <f>ROUND(Tableau16[[#This Row],[LEN]]*#REF!+#REF!,0)</f>
        <v>#REF!</v>
      </c>
    </row>
    <row r="284" spans="1:16" s="97" customFormat="1" x14ac:dyDescent="0.25">
      <c r="A284" s="86" t="s">
        <v>1110</v>
      </c>
      <c r="B284" s="87" t="s">
        <v>1076</v>
      </c>
      <c r="C284" s="88" t="s">
        <v>806</v>
      </c>
      <c r="D284" s="89" t="s">
        <v>1177</v>
      </c>
      <c r="E284" s="88" t="s">
        <v>666</v>
      </c>
      <c r="F284" s="88" t="s">
        <v>828</v>
      </c>
      <c r="G284" s="89" t="s">
        <v>166</v>
      </c>
      <c r="H284" s="90" t="s">
        <v>18</v>
      </c>
      <c r="I284" s="88"/>
      <c r="J284" s="91" t="s">
        <v>708</v>
      </c>
      <c r="K284" s="112">
        <f>ROUND(Tableau16[[#This Row],[LEN]]*7.27,0)</f>
        <v>174</v>
      </c>
      <c r="L284" s="112">
        <v>15</v>
      </c>
      <c r="M284" s="129" t="str">
        <f t="shared" si="2"/>
        <v>none</v>
      </c>
      <c r="N284" s="112">
        <f>LEN(Tableau16[[#This Row],[LABEL]])</f>
        <v>24</v>
      </c>
      <c r="O284" s="112">
        <v>15</v>
      </c>
      <c r="P284" s="112" t="e">
        <f>ROUND(Tableau16[[#This Row],[LEN]]*#REF!+#REF!,0)</f>
        <v>#REF!</v>
      </c>
    </row>
    <row r="285" spans="1:16" s="97" customFormat="1" x14ac:dyDescent="0.25">
      <c r="A285" s="86" t="s">
        <v>1111</v>
      </c>
      <c r="B285" s="87" t="s">
        <v>1076</v>
      </c>
      <c r="C285" s="88" t="s">
        <v>812</v>
      </c>
      <c r="D285" s="89" t="s">
        <v>1177</v>
      </c>
      <c r="E285" s="88" t="s">
        <v>666</v>
      </c>
      <c r="F285" s="88" t="s">
        <v>828</v>
      </c>
      <c r="G285" s="89" t="s">
        <v>166</v>
      </c>
      <c r="H285" s="90" t="s">
        <v>18</v>
      </c>
      <c r="I285" s="88"/>
      <c r="J285" s="91" t="s">
        <v>708</v>
      </c>
      <c r="K285" s="112">
        <f>ROUND(Tableau16[[#This Row],[LEN]]*7.27,0)</f>
        <v>131</v>
      </c>
      <c r="L285" s="112">
        <v>15</v>
      </c>
      <c r="M285" s="129" t="str">
        <f t="shared" si="2"/>
        <v>none</v>
      </c>
      <c r="N285" s="112">
        <f>LEN(Tableau16[[#This Row],[LABEL]])</f>
        <v>18</v>
      </c>
      <c r="O285" s="112">
        <v>15</v>
      </c>
      <c r="P285" s="112" t="e">
        <f>ROUND(Tableau16[[#This Row],[LEN]]*#REF!+#REF!,0)</f>
        <v>#REF!</v>
      </c>
    </row>
    <row r="286" spans="1:16" s="97" customFormat="1" x14ac:dyDescent="0.25">
      <c r="A286" s="25" t="s">
        <v>1062</v>
      </c>
      <c r="B286" s="26" t="s">
        <v>252</v>
      </c>
      <c r="C286" s="27" t="s">
        <v>1070</v>
      </c>
      <c r="D286" s="70" t="s">
        <v>1177</v>
      </c>
      <c r="E286" s="27" t="s">
        <v>666</v>
      </c>
      <c r="F286" s="27" t="s">
        <v>1177</v>
      </c>
      <c r="G286" s="70" t="s">
        <v>166</v>
      </c>
      <c r="H286" s="70" t="s">
        <v>656</v>
      </c>
      <c r="I286" s="27"/>
      <c r="J286" s="28" t="s">
        <v>708</v>
      </c>
      <c r="K286" s="109">
        <f>ROUND(Tableau16[[#This Row],[LEN]]*7.27,0)</f>
        <v>371</v>
      </c>
      <c r="L286" s="109">
        <v>15</v>
      </c>
      <c r="M286" s="127" t="str">
        <f t="shared" si="2"/>
        <v>none</v>
      </c>
      <c r="N286" s="109">
        <f>LEN(Tableau16[[#This Row],[LABEL]])</f>
        <v>51</v>
      </c>
      <c r="O286" s="109">
        <v>15</v>
      </c>
      <c r="P286" s="109" t="e">
        <f>ROUND(Tableau16[[#This Row],[LEN]]*#REF!+#REF!,0)</f>
        <v>#REF!</v>
      </c>
    </row>
    <row r="287" spans="1:16" s="97" customFormat="1" x14ac:dyDescent="0.25">
      <c r="A287" s="25" t="s">
        <v>1063</v>
      </c>
      <c r="B287" s="26" t="s">
        <v>252</v>
      </c>
      <c r="C287" s="27" t="s">
        <v>778</v>
      </c>
      <c r="D287" s="70" t="s">
        <v>1177</v>
      </c>
      <c r="E287" s="27" t="s">
        <v>673</v>
      </c>
      <c r="F287" s="27" t="s">
        <v>2000</v>
      </c>
      <c r="G287" s="70" t="s">
        <v>166</v>
      </c>
      <c r="H287" s="70" t="s">
        <v>17</v>
      </c>
      <c r="I287" s="27"/>
      <c r="J287" s="28" t="s">
        <v>708</v>
      </c>
      <c r="K287" s="109">
        <f>ROUND(Tableau16[[#This Row],[LEN]]*7.27,0)</f>
        <v>211</v>
      </c>
      <c r="L287" s="109">
        <v>15</v>
      </c>
      <c r="M287" s="127" t="str">
        <f t="shared" si="2"/>
        <v>none</v>
      </c>
      <c r="N287" s="109">
        <f>LEN(Tableau16[[#This Row],[LABEL]])</f>
        <v>29</v>
      </c>
      <c r="O287" s="109">
        <v>15</v>
      </c>
      <c r="P287" s="109" t="e">
        <f>ROUND(Tableau16[[#This Row],[LEN]]*#REF!+#REF!,0)</f>
        <v>#REF!</v>
      </c>
    </row>
    <row r="288" spans="1:16" s="97" customFormat="1" x14ac:dyDescent="0.25">
      <c r="A288" s="25" t="s">
        <v>1064</v>
      </c>
      <c r="B288" s="26" t="s">
        <v>252</v>
      </c>
      <c r="C288" s="27" t="s">
        <v>92</v>
      </c>
      <c r="D288" s="70" t="s">
        <v>1177</v>
      </c>
      <c r="E288" s="27" t="s">
        <v>663</v>
      </c>
      <c r="F288" s="27" t="s">
        <v>2080</v>
      </c>
      <c r="G288" s="70" t="s">
        <v>166</v>
      </c>
      <c r="H288" s="70" t="s">
        <v>655</v>
      </c>
      <c r="I288" s="27"/>
      <c r="J288" s="28" t="s">
        <v>708</v>
      </c>
      <c r="K288" s="109">
        <f>ROUND(Tableau16[[#This Row],[LEN]]*7.27,0)</f>
        <v>262</v>
      </c>
      <c r="L288" s="109">
        <v>15</v>
      </c>
      <c r="M288" s="127" t="str">
        <f t="shared" si="2"/>
        <v>none</v>
      </c>
      <c r="N288" s="109">
        <f>LEN(Tableau16[[#This Row],[LABEL]])</f>
        <v>36</v>
      </c>
      <c r="O288" s="109">
        <v>15</v>
      </c>
      <c r="P288" s="109" t="e">
        <f>ROUND(Tableau16[[#This Row],[LEN]]*#REF!+#REF!,0)</f>
        <v>#REF!</v>
      </c>
    </row>
    <row r="289" spans="1:16" s="97" customFormat="1" x14ac:dyDescent="0.25">
      <c r="A289" s="29" t="s">
        <v>1077</v>
      </c>
      <c r="B289" s="30" t="s">
        <v>1064</v>
      </c>
      <c r="C289" s="31" t="s">
        <v>95</v>
      </c>
      <c r="D289" s="71" t="s">
        <v>1177</v>
      </c>
      <c r="E289" s="31" t="s">
        <v>663</v>
      </c>
      <c r="F289" s="31" t="s">
        <v>2080</v>
      </c>
      <c r="G289" s="71" t="s">
        <v>166</v>
      </c>
      <c r="H289" s="71" t="s">
        <v>17</v>
      </c>
      <c r="I289" s="31"/>
      <c r="J289" s="32" t="s">
        <v>708</v>
      </c>
      <c r="K289" s="111">
        <f>ROUND(Tableau16[[#This Row],[LEN]]*7.27,0)</f>
        <v>254</v>
      </c>
      <c r="L289" s="111">
        <v>15</v>
      </c>
      <c r="M289" s="128" t="str">
        <f t="shared" si="2"/>
        <v>none</v>
      </c>
      <c r="N289" s="111">
        <f>LEN(Tableau16[[#This Row],[LABEL]])</f>
        <v>35</v>
      </c>
      <c r="O289" s="111">
        <v>15</v>
      </c>
      <c r="P289" s="111" t="e">
        <f>ROUND(Tableau16[[#This Row],[LEN]]*#REF!+#REF!,0)</f>
        <v>#REF!</v>
      </c>
    </row>
    <row r="290" spans="1:16" s="97" customFormat="1" x14ac:dyDescent="0.25">
      <c r="A290" s="29" t="s">
        <v>1078</v>
      </c>
      <c r="B290" s="30" t="s">
        <v>1064</v>
      </c>
      <c r="C290" s="31" t="s">
        <v>96</v>
      </c>
      <c r="D290" s="71" t="s">
        <v>1177</v>
      </c>
      <c r="E290" s="31" t="s">
        <v>663</v>
      </c>
      <c r="F290" s="31" t="s">
        <v>2080</v>
      </c>
      <c r="G290" s="71" t="s">
        <v>166</v>
      </c>
      <c r="H290" s="71" t="s">
        <v>654</v>
      </c>
      <c r="I290" s="31"/>
      <c r="J290" s="32" t="s">
        <v>708</v>
      </c>
      <c r="K290" s="111">
        <f>ROUND(Tableau16[[#This Row],[LEN]]*7.27,0)</f>
        <v>233</v>
      </c>
      <c r="L290" s="111">
        <v>15</v>
      </c>
      <c r="M290" s="128" t="str">
        <f t="shared" si="2"/>
        <v>none</v>
      </c>
      <c r="N290" s="111">
        <f>LEN(Tableau16[[#This Row],[LABEL]])</f>
        <v>32</v>
      </c>
      <c r="O290" s="111">
        <v>15</v>
      </c>
      <c r="P290" s="111" t="e">
        <f>ROUND(Tableau16[[#This Row],[LEN]]*#REF!+#REF!,0)</f>
        <v>#REF!</v>
      </c>
    </row>
    <row r="291" spans="1:16" s="97" customFormat="1" x14ac:dyDescent="0.25">
      <c r="A291" s="29" t="s">
        <v>1079</v>
      </c>
      <c r="B291" s="30" t="s">
        <v>1064</v>
      </c>
      <c r="C291" s="31" t="s">
        <v>97</v>
      </c>
      <c r="D291" s="71" t="s">
        <v>1177</v>
      </c>
      <c r="E291" s="31" t="s">
        <v>663</v>
      </c>
      <c r="F291" s="31" t="s">
        <v>2080</v>
      </c>
      <c r="G291" s="71" t="s">
        <v>166</v>
      </c>
      <c r="H291" s="71" t="s">
        <v>656</v>
      </c>
      <c r="I291" s="31"/>
      <c r="J291" s="32" t="s">
        <v>708</v>
      </c>
      <c r="K291" s="111">
        <f>ROUND(Tableau16[[#This Row],[LEN]]*7.27,0)</f>
        <v>145</v>
      </c>
      <c r="L291" s="111">
        <v>15</v>
      </c>
      <c r="M291" s="128" t="str">
        <f t="shared" si="2"/>
        <v>none</v>
      </c>
      <c r="N291" s="111">
        <f>LEN(Tableau16[[#This Row],[LABEL]])</f>
        <v>20</v>
      </c>
      <c r="O291" s="111">
        <v>15</v>
      </c>
      <c r="P291" s="111" t="e">
        <f>ROUND(Tableau16[[#This Row],[LEN]]*#REF!+#REF!,0)</f>
        <v>#REF!</v>
      </c>
    </row>
    <row r="292" spans="1:16" s="97" customFormat="1" x14ac:dyDescent="0.25">
      <c r="A292" s="25" t="s">
        <v>1065</v>
      </c>
      <c r="B292" s="26" t="s">
        <v>252</v>
      </c>
      <c r="C292" s="27" t="s">
        <v>1072</v>
      </c>
      <c r="D292" s="70" t="s">
        <v>1177</v>
      </c>
      <c r="E292" s="27" t="s">
        <v>666</v>
      </c>
      <c r="F292" s="27" t="s">
        <v>667</v>
      </c>
      <c r="G292" s="70" t="s">
        <v>166</v>
      </c>
      <c r="H292" s="70" t="s">
        <v>18</v>
      </c>
      <c r="I292" s="27"/>
      <c r="J292" s="28" t="s">
        <v>708</v>
      </c>
      <c r="K292" s="109">
        <f>ROUND(Tableau16[[#This Row],[LEN]]*7.27,0)</f>
        <v>422</v>
      </c>
      <c r="L292" s="109">
        <v>15</v>
      </c>
      <c r="M292" s="127" t="str">
        <f t="shared" si="2"/>
        <v>none</v>
      </c>
      <c r="N292" s="109">
        <f>LEN(Tableau16[[#This Row],[LABEL]])</f>
        <v>58</v>
      </c>
      <c r="O292" s="109">
        <v>15</v>
      </c>
      <c r="P292" s="109" t="e">
        <f>ROUND(Tableau16[[#This Row],[LEN]]*#REF!+#REF!,0)</f>
        <v>#REF!</v>
      </c>
    </row>
    <row r="293" spans="1:16" s="97" customFormat="1" x14ac:dyDescent="0.25">
      <c r="A293" s="25" t="s">
        <v>1066</v>
      </c>
      <c r="B293" s="26" t="s">
        <v>252</v>
      </c>
      <c r="C293" s="27" t="s">
        <v>1073</v>
      </c>
      <c r="D293" s="70" t="s">
        <v>1177</v>
      </c>
      <c r="E293" s="27" t="s">
        <v>666</v>
      </c>
      <c r="F293" s="27" t="s">
        <v>679</v>
      </c>
      <c r="G293" s="70" t="s">
        <v>166</v>
      </c>
      <c r="H293" s="70" t="s">
        <v>656</v>
      </c>
      <c r="I293" s="27"/>
      <c r="J293" s="28" t="s">
        <v>708</v>
      </c>
      <c r="K293" s="109">
        <f>ROUND(Tableau16[[#This Row],[LEN]]*7.27,0)</f>
        <v>393</v>
      </c>
      <c r="L293" s="109">
        <v>15</v>
      </c>
      <c r="M293" s="127" t="str">
        <f t="shared" si="2"/>
        <v>none</v>
      </c>
      <c r="N293" s="109">
        <f>LEN(Tableau16[[#This Row],[LABEL]])</f>
        <v>54</v>
      </c>
      <c r="O293" s="109">
        <v>15</v>
      </c>
      <c r="P293" s="109" t="e">
        <f>ROUND(Tableau16[[#This Row],[LEN]]*#REF!+#REF!,0)</f>
        <v>#REF!</v>
      </c>
    </row>
    <row r="294" spans="1:16" s="97" customFormat="1" x14ac:dyDescent="0.25">
      <c r="A294" s="25" t="s">
        <v>1067</v>
      </c>
      <c r="B294" s="26" t="s">
        <v>252</v>
      </c>
      <c r="C294" s="27" t="s">
        <v>1167</v>
      </c>
      <c r="D294" s="70" t="s">
        <v>486</v>
      </c>
      <c r="E294" s="27" t="s">
        <v>1085</v>
      </c>
      <c r="F294" s="27" t="s">
        <v>1084</v>
      </c>
      <c r="G294" s="70" t="s">
        <v>1977</v>
      </c>
      <c r="H294" s="70" t="s">
        <v>1131</v>
      </c>
      <c r="I294" s="27"/>
      <c r="J294" s="28" t="s">
        <v>708</v>
      </c>
      <c r="K294" s="109">
        <f>ROUND(Tableau16[[#This Row],[LEN]]*7.27,0)</f>
        <v>196</v>
      </c>
      <c r="L294" s="109">
        <v>15</v>
      </c>
      <c r="M294" s="127" t="str">
        <f t="shared" si="2"/>
        <v>none</v>
      </c>
      <c r="N294" s="109">
        <f>LEN(Tableau16[[#This Row],[LABEL]])</f>
        <v>27</v>
      </c>
      <c r="O294" s="109">
        <v>15</v>
      </c>
      <c r="P294" s="109" t="e">
        <f>ROUND(Tableau16[[#This Row],[LEN]]*#REF!+#REF!,0)</f>
        <v>#REF!</v>
      </c>
    </row>
    <row r="295" spans="1:16" s="97" customFormat="1" x14ac:dyDescent="0.25">
      <c r="A295" s="29" t="s">
        <v>1080</v>
      </c>
      <c r="B295" s="30" t="s">
        <v>1067</v>
      </c>
      <c r="C295" s="31" t="s">
        <v>93</v>
      </c>
      <c r="D295" s="71" t="s">
        <v>1177</v>
      </c>
      <c r="E295" s="31" t="s">
        <v>1085</v>
      </c>
      <c r="F295" s="31" t="s">
        <v>1084</v>
      </c>
      <c r="G295" s="71" t="s">
        <v>166</v>
      </c>
      <c r="H295" s="71" t="s">
        <v>18</v>
      </c>
      <c r="I295" s="31"/>
      <c r="J295" s="32" t="s">
        <v>101</v>
      </c>
      <c r="K295" s="111">
        <f>ROUND(Tableau16[[#This Row],[LEN]]*7.27,0)</f>
        <v>109</v>
      </c>
      <c r="L295" s="111">
        <v>15</v>
      </c>
      <c r="M295" s="128" t="str">
        <f t="shared" si="2"/>
        <v>new</v>
      </c>
      <c r="N295" s="111">
        <f>LEN(Tableau16[[#This Row],[LABEL]])</f>
        <v>15</v>
      </c>
      <c r="O295" s="111">
        <v>15</v>
      </c>
      <c r="P295" s="111" t="e">
        <f>ROUND(Tableau16[[#This Row],[LEN]]*#REF!+#REF!,0)</f>
        <v>#REF!</v>
      </c>
    </row>
    <row r="296" spans="1:16" s="97" customFormat="1" x14ac:dyDescent="0.25">
      <c r="A296" s="29" t="s">
        <v>1081</v>
      </c>
      <c r="B296" s="30" t="s">
        <v>1067</v>
      </c>
      <c r="C296" s="31" t="s">
        <v>94</v>
      </c>
      <c r="D296" s="71" t="s">
        <v>1177</v>
      </c>
      <c r="E296" s="31" t="s">
        <v>1085</v>
      </c>
      <c r="F296" s="31" t="s">
        <v>1084</v>
      </c>
      <c r="G296" s="71" t="s">
        <v>166</v>
      </c>
      <c r="H296" s="71" t="s">
        <v>18</v>
      </c>
      <c r="I296" s="31"/>
      <c r="J296" s="32" t="s">
        <v>102</v>
      </c>
      <c r="K296" s="111">
        <f>ROUND(Tableau16[[#This Row],[LEN]]*7.27,0)</f>
        <v>58</v>
      </c>
      <c r="L296" s="111">
        <v>15</v>
      </c>
      <c r="M296" s="128" t="str">
        <f t="shared" si="2"/>
        <v>new</v>
      </c>
      <c r="N296" s="111">
        <f>LEN(Tableau16[[#This Row],[LABEL]])</f>
        <v>8</v>
      </c>
      <c r="O296" s="111">
        <v>15</v>
      </c>
      <c r="P296" s="111" t="e">
        <f>ROUND(Tableau16[[#This Row],[LEN]]*#REF!+#REF!,0)</f>
        <v>#REF!</v>
      </c>
    </row>
    <row r="297" spans="1:16" s="273" customFormat="1" x14ac:dyDescent="0.25">
      <c r="A297" s="288" t="s">
        <v>253</v>
      </c>
      <c r="B297" s="289" t="s">
        <v>206</v>
      </c>
      <c r="C297" s="290" t="s">
        <v>80</v>
      </c>
      <c r="D297" s="291" t="s">
        <v>1177</v>
      </c>
      <c r="E297" s="290" t="s">
        <v>667</v>
      </c>
      <c r="F297" s="290" t="s">
        <v>1177</v>
      </c>
      <c r="G297" s="291" t="s">
        <v>166</v>
      </c>
      <c r="H297" s="291" t="str">
        <f>IFERROR(IF(SEARCH(".00.00.00.00.00",Tableau16[[#This Row],[name]],1)=7,"Division",""),"")</f>
        <v>Division</v>
      </c>
      <c r="I297" s="290"/>
      <c r="J297" s="292" t="s">
        <v>708</v>
      </c>
      <c r="K297" s="293">
        <f>ROUND(Tableau16[[#This Row],[LEN]]*7.27,0)</f>
        <v>116</v>
      </c>
      <c r="L297" s="293">
        <v>15</v>
      </c>
      <c r="M297" s="294" t="str">
        <f t="shared" si="2"/>
        <v>none</v>
      </c>
      <c r="N297" s="293">
        <f>LEN(Tableau16[[#This Row],[LABEL]])</f>
        <v>16</v>
      </c>
      <c r="O297" s="293">
        <v>15</v>
      </c>
      <c r="P297" s="293" t="e">
        <f>ROUND(Tableau16[[#This Row],[LEN]]*#REF!+#REF!,0)</f>
        <v>#REF!</v>
      </c>
    </row>
    <row r="298" spans="1:16" s="97" customFormat="1" x14ac:dyDescent="0.25">
      <c r="A298" s="25" t="s">
        <v>1115</v>
      </c>
      <c r="B298" s="26" t="s">
        <v>253</v>
      </c>
      <c r="C298" s="27" t="s">
        <v>1126</v>
      </c>
      <c r="D298" s="70" t="s">
        <v>1177</v>
      </c>
      <c r="E298" s="27" t="s">
        <v>666</v>
      </c>
      <c r="F298" s="27" t="s">
        <v>661</v>
      </c>
      <c r="G298" s="70" t="s">
        <v>166</v>
      </c>
      <c r="H298" s="70" t="s">
        <v>570</v>
      </c>
      <c r="I298" s="27"/>
      <c r="J298" s="28" t="s">
        <v>708</v>
      </c>
      <c r="K298" s="109">
        <f>ROUND(Tableau16[[#This Row],[LEN]]*7.27,0)</f>
        <v>284</v>
      </c>
      <c r="L298" s="109">
        <v>15</v>
      </c>
      <c r="M298" s="127" t="str">
        <f t="shared" si="2"/>
        <v>none</v>
      </c>
      <c r="N298" s="109">
        <f>LEN(Tableau16[[#This Row],[LABEL]])</f>
        <v>39</v>
      </c>
      <c r="O298" s="109">
        <v>15</v>
      </c>
      <c r="P298" s="109" t="e">
        <f>ROUND(Tableau16[[#This Row],[LEN]]*#REF!+#REF!,0)</f>
        <v>#REF!</v>
      </c>
    </row>
    <row r="299" spans="1:16" s="97" customFormat="1" x14ac:dyDescent="0.25">
      <c r="A299" s="25" t="s">
        <v>1116</v>
      </c>
      <c r="B299" s="26" t="s">
        <v>253</v>
      </c>
      <c r="C299" s="27" t="s">
        <v>88</v>
      </c>
      <c r="D299" s="70" t="s">
        <v>1177</v>
      </c>
      <c r="E299" s="27" t="s">
        <v>667</v>
      </c>
      <c r="F299" s="27" t="s">
        <v>1218</v>
      </c>
      <c r="G299" s="70" t="s">
        <v>166</v>
      </c>
      <c r="H299" s="70" t="s">
        <v>570</v>
      </c>
      <c r="I299" s="27"/>
      <c r="J299" s="28" t="s">
        <v>708</v>
      </c>
      <c r="K299" s="109">
        <f>ROUND(Tableau16[[#This Row],[LEN]]*7.27,0)</f>
        <v>342</v>
      </c>
      <c r="L299" s="109">
        <v>15</v>
      </c>
      <c r="M299" s="127" t="str">
        <f t="shared" si="2"/>
        <v>none</v>
      </c>
      <c r="N299" s="109">
        <f>LEN(Tableau16[[#This Row],[LABEL]])</f>
        <v>47</v>
      </c>
      <c r="O299" s="109">
        <v>15</v>
      </c>
      <c r="P299" s="109" t="e">
        <f>ROUND(Tableau16[[#This Row],[LEN]]*#REF!+#REF!,0)</f>
        <v>#REF!</v>
      </c>
    </row>
    <row r="300" spans="1:16" s="97" customFormat="1" x14ac:dyDescent="0.25">
      <c r="A300" s="25" t="s">
        <v>1117</v>
      </c>
      <c r="B300" s="26" t="s">
        <v>253</v>
      </c>
      <c r="C300" s="27" t="s">
        <v>1071</v>
      </c>
      <c r="D300" s="70" t="s">
        <v>1177</v>
      </c>
      <c r="E300" s="27" t="s">
        <v>666</v>
      </c>
      <c r="F300" s="27" t="s">
        <v>663</v>
      </c>
      <c r="G300" s="70" t="s">
        <v>166</v>
      </c>
      <c r="H300" s="70" t="s">
        <v>655</v>
      </c>
      <c r="I300" s="27"/>
      <c r="J300" s="28" t="s">
        <v>708</v>
      </c>
      <c r="K300" s="109">
        <f>ROUND(Tableau16[[#This Row],[LEN]]*7.27,0)</f>
        <v>247</v>
      </c>
      <c r="L300" s="109">
        <v>15</v>
      </c>
      <c r="M300" s="127" t="str">
        <f t="shared" si="2"/>
        <v>none</v>
      </c>
      <c r="N300" s="109">
        <f>LEN(Tableau16[[#This Row],[LABEL]])</f>
        <v>34</v>
      </c>
      <c r="O300" s="109">
        <v>15</v>
      </c>
      <c r="P300" s="109" t="e">
        <f>ROUND(Tableau16[[#This Row],[LEN]]*#REF!+#REF!,0)</f>
        <v>#REF!</v>
      </c>
    </row>
    <row r="301" spans="1:16" s="97" customFormat="1" x14ac:dyDescent="0.25">
      <c r="A301" s="29" t="s">
        <v>1135</v>
      </c>
      <c r="B301" s="30" t="s">
        <v>1117</v>
      </c>
      <c r="C301" s="31" t="s">
        <v>1086</v>
      </c>
      <c r="D301" s="71" t="s">
        <v>1177</v>
      </c>
      <c r="E301" s="31" t="s">
        <v>666</v>
      </c>
      <c r="F301" s="31" t="s">
        <v>828</v>
      </c>
      <c r="G301" s="71" t="s">
        <v>166</v>
      </c>
      <c r="H301" s="71" t="s">
        <v>655</v>
      </c>
      <c r="I301" s="31"/>
      <c r="J301" s="32" t="s">
        <v>708</v>
      </c>
      <c r="K301" s="111">
        <f>ROUND(Tableau16[[#This Row],[LEN]]*7.27,0)</f>
        <v>87</v>
      </c>
      <c r="L301" s="111">
        <v>15</v>
      </c>
      <c r="M301" s="128" t="str">
        <f t="shared" si="2"/>
        <v>none</v>
      </c>
      <c r="N301" s="111">
        <f>LEN(Tableau16[[#This Row],[LABEL]])</f>
        <v>12</v>
      </c>
      <c r="O301" s="111">
        <v>15</v>
      </c>
      <c r="P301" s="111" t="e">
        <f>ROUND(Tableau16[[#This Row],[LEN]]*#REF!+#REF!,0)</f>
        <v>#REF!</v>
      </c>
    </row>
    <row r="302" spans="1:16" s="97" customFormat="1" x14ac:dyDescent="0.25">
      <c r="A302" s="86" t="s">
        <v>1138</v>
      </c>
      <c r="B302" s="87" t="s">
        <v>1135</v>
      </c>
      <c r="C302" s="88" t="s">
        <v>1088</v>
      </c>
      <c r="D302" s="89" t="s">
        <v>1177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112">
        <f>ROUND(Tableau16[[#This Row],[LEN]]*7.27,0)</f>
        <v>196</v>
      </c>
      <c r="L302" s="112">
        <v>15</v>
      </c>
      <c r="M302" s="129" t="str">
        <f t="shared" si="2"/>
        <v>none</v>
      </c>
      <c r="N302" s="112">
        <f>LEN(Tableau16[[#This Row],[LABEL]])</f>
        <v>27</v>
      </c>
      <c r="O302" s="112">
        <v>15</v>
      </c>
      <c r="P302" s="112" t="e">
        <f>ROUND(Tableau16[[#This Row],[LEN]]*#REF!+#REF!,0)</f>
        <v>#REF!</v>
      </c>
    </row>
    <row r="303" spans="1:16" s="97" customFormat="1" x14ac:dyDescent="0.25">
      <c r="A303" s="86" t="s">
        <v>1139</v>
      </c>
      <c r="B303" s="87" t="s">
        <v>1135</v>
      </c>
      <c r="C303" s="88" t="s">
        <v>1089</v>
      </c>
      <c r="D303" s="89" t="s">
        <v>1177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112">
        <f>ROUND(Tableau16[[#This Row],[LEN]]*7.27,0)</f>
        <v>36</v>
      </c>
      <c r="L303" s="112">
        <v>15</v>
      </c>
      <c r="M303" s="129" t="str">
        <f t="shared" si="2"/>
        <v>none</v>
      </c>
      <c r="N303" s="112">
        <f>LEN(Tableau16[[#This Row],[LABEL]])</f>
        <v>5</v>
      </c>
      <c r="O303" s="112">
        <v>15</v>
      </c>
      <c r="P303" s="112" t="e">
        <f>ROUND(Tableau16[[#This Row],[LEN]]*#REF!+#REF!,0)</f>
        <v>#REF!</v>
      </c>
    </row>
    <row r="304" spans="1:16" s="97" customFormat="1" x14ac:dyDescent="0.25">
      <c r="A304" s="86" t="s">
        <v>1140</v>
      </c>
      <c r="B304" s="87" t="s">
        <v>1135</v>
      </c>
      <c r="C304" s="88" t="s">
        <v>1090</v>
      </c>
      <c r="D304" s="89" t="s">
        <v>1177</v>
      </c>
      <c r="E304" s="88" t="s">
        <v>666</v>
      </c>
      <c r="F304" s="88" t="s">
        <v>828</v>
      </c>
      <c r="G304" s="89" t="s">
        <v>166</v>
      </c>
      <c r="H304" s="90" t="s">
        <v>18</v>
      </c>
      <c r="I304" s="88"/>
      <c r="J304" s="91" t="s">
        <v>708</v>
      </c>
      <c r="K304" s="112">
        <f>ROUND(Tableau16[[#This Row],[LEN]]*7.27,0)</f>
        <v>29</v>
      </c>
      <c r="L304" s="112">
        <v>15</v>
      </c>
      <c r="M304" s="129" t="str">
        <f t="shared" si="2"/>
        <v>none</v>
      </c>
      <c r="N304" s="112">
        <f>LEN(Tableau16[[#This Row],[LABEL]])</f>
        <v>4</v>
      </c>
      <c r="O304" s="112">
        <v>15</v>
      </c>
      <c r="P304" s="112" t="e">
        <f>ROUND(Tableau16[[#This Row],[LEN]]*#REF!+#REF!,0)</f>
        <v>#REF!</v>
      </c>
    </row>
    <row r="305" spans="1:16" s="97" customFormat="1" x14ac:dyDescent="0.25">
      <c r="A305" s="86" t="s">
        <v>1141</v>
      </c>
      <c r="B305" s="87" t="s">
        <v>1135</v>
      </c>
      <c r="C305" s="88" t="s">
        <v>1091</v>
      </c>
      <c r="D305" s="89" t="s">
        <v>1177</v>
      </c>
      <c r="E305" s="88" t="s">
        <v>666</v>
      </c>
      <c r="F305" s="88" t="s">
        <v>828</v>
      </c>
      <c r="G305" s="89" t="s">
        <v>166</v>
      </c>
      <c r="H305" s="90" t="s">
        <v>18</v>
      </c>
      <c r="I305" s="88"/>
      <c r="J305" s="91" t="s">
        <v>708</v>
      </c>
      <c r="K305" s="112">
        <f>ROUND(Tableau16[[#This Row],[LEN]]*7.27,0)</f>
        <v>102</v>
      </c>
      <c r="L305" s="112">
        <v>15</v>
      </c>
      <c r="M305" s="129" t="str">
        <f t="shared" si="2"/>
        <v>none</v>
      </c>
      <c r="N305" s="112">
        <f>LEN(Tableau16[[#This Row],[LABEL]])</f>
        <v>14</v>
      </c>
      <c r="O305" s="112">
        <v>15</v>
      </c>
      <c r="P305" s="112" t="e">
        <f>ROUND(Tableau16[[#This Row],[LEN]]*#REF!+#REF!,0)</f>
        <v>#REF!</v>
      </c>
    </row>
    <row r="306" spans="1:16" s="97" customFormat="1" x14ac:dyDescent="0.25">
      <c r="A306" s="86" t="s">
        <v>1142</v>
      </c>
      <c r="B306" s="212" t="s">
        <v>1135</v>
      </c>
      <c r="C306" s="88" t="s">
        <v>1092</v>
      </c>
      <c r="D306" s="89" t="s">
        <v>1177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112">
        <f>ROUND(Tableau16[[#This Row],[LEN]]*7.27,0)</f>
        <v>153</v>
      </c>
      <c r="L306" s="112">
        <v>15</v>
      </c>
      <c r="M306" s="129" t="str">
        <f t="shared" si="2"/>
        <v>none</v>
      </c>
      <c r="N306" s="112">
        <f>LEN(Tableau16[[#This Row],[LABEL]])</f>
        <v>21</v>
      </c>
      <c r="O306" s="112">
        <v>15</v>
      </c>
      <c r="P306" s="112" t="e">
        <f>ROUND(Tableau16[[#This Row],[LEN]]*#REF!+#REF!,0)</f>
        <v>#REF!</v>
      </c>
    </row>
    <row r="307" spans="1:16" s="97" customFormat="1" x14ac:dyDescent="0.25">
      <c r="A307" s="86" t="s">
        <v>1143</v>
      </c>
      <c r="B307" s="212" t="s">
        <v>1135</v>
      </c>
      <c r="C307" s="88" t="s">
        <v>1093</v>
      </c>
      <c r="D307" s="89" t="s">
        <v>1177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112">
        <f>ROUND(Tableau16[[#This Row],[LEN]]*7.27,0)</f>
        <v>269</v>
      </c>
      <c r="L307" s="112">
        <v>15</v>
      </c>
      <c r="M307" s="129" t="str">
        <f t="shared" si="2"/>
        <v>none</v>
      </c>
      <c r="N307" s="112">
        <f>LEN(Tableau16[[#This Row],[LABEL]])</f>
        <v>37</v>
      </c>
      <c r="O307" s="112">
        <v>15</v>
      </c>
      <c r="P307" s="112" t="e">
        <f>ROUND(Tableau16[[#This Row],[LEN]]*#REF!+#REF!,0)</f>
        <v>#REF!</v>
      </c>
    </row>
    <row r="308" spans="1:16" s="97" customFormat="1" x14ac:dyDescent="0.25">
      <c r="A308" s="29" t="s">
        <v>1136</v>
      </c>
      <c r="B308" s="30" t="s">
        <v>1117</v>
      </c>
      <c r="C308" s="31" t="s">
        <v>1087</v>
      </c>
      <c r="D308" s="71" t="s">
        <v>1177</v>
      </c>
      <c r="E308" s="31" t="s">
        <v>666</v>
      </c>
      <c r="F308" s="31" t="s">
        <v>828</v>
      </c>
      <c r="G308" s="71" t="s">
        <v>166</v>
      </c>
      <c r="H308" s="71" t="s">
        <v>655</v>
      </c>
      <c r="I308" s="31"/>
      <c r="J308" s="32" t="s">
        <v>708</v>
      </c>
      <c r="K308" s="111">
        <f>ROUND(Tableau16[[#This Row],[LEN]]*7.27,0)</f>
        <v>109</v>
      </c>
      <c r="L308" s="111">
        <v>15</v>
      </c>
      <c r="M308" s="128" t="str">
        <f t="shared" si="2"/>
        <v>none</v>
      </c>
      <c r="N308" s="111">
        <f>LEN(Tableau16[[#This Row],[LABEL]])</f>
        <v>15</v>
      </c>
      <c r="O308" s="111">
        <v>15</v>
      </c>
      <c r="P308" s="111" t="e">
        <f>ROUND(Tableau16[[#This Row],[LEN]]*#REF!+#REF!,0)</f>
        <v>#REF!</v>
      </c>
    </row>
    <row r="309" spans="1:16" s="97" customFormat="1" x14ac:dyDescent="0.25">
      <c r="A309" s="86" t="s">
        <v>1144</v>
      </c>
      <c r="B309" s="87" t="s">
        <v>1136</v>
      </c>
      <c r="C309" s="88" t="s">
        <v>1100</v>
      </c>
      <c r="D309" s="89" t="s">
        <v>1177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112">
        <f>ROUND(Tableau16[[#This Row],[LEN]]*7.27,0)</f>
        <v>22</v>
      </c>
      <c r="L309" s="112">
        <v>15</v>
      </c>
      <c r="M309" s="129" t="str">
        <f t="shared" si="2"/>
        <v>none</v>
      </c>
      <c r="N309" s="112">
        <f>LEN(Tableau16[[#This Row],[LABEL]])</f>
        <v>3</v>
      </c>
      <c r="O309" s="112">
        <v>15</v>
      </c>
      <c r="P309" s="112" t="e">
        <f>ROUND(Tableau16[[#This Row],[LEN]]*#REF!+#REF!,0)</f>
        <v>#REF!</v>
      </c>
    </row>
    <row r="310" spans="1:16" s="97" customFormat="1" x14ac:dyDescent="0.25">
      <c r="A310" s="86" t="s">
        <v>1145</v>
      </c>
      <c r="B310" s="87" t="s">
        <v>1136</v>
      </c>
      <c r="C310" s="88" t="s">
        <v>1101</v>
      </c>
      <c r="D310" s="89" t="s">
        <v>1177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112">
        <f>ROUND(Tableau16[[#This Row],[LEN]]*7.27,0)</f>
        <v>36</v>
      </c>
      <c r="L310" s="112">
        <v>15</v>
      </c>
      <c r="M310" s="129" t="str">
        <f t="shared" si="2"/>
        <v>none</v>
      </c>
      <c r="N310" s="112">
        <f>LEN(Tableau16[[#This Row],[LABEL]])</f>
        <v>5</v>
      </c>
      <c r="O310" s="112">
        <v>15</v>
      </c>
      <c r="P310" s="112" t="e">
        <f>ROUND(Tableau16[[#This Row],[LEN]]*#REF!+#REF!,0)</f>
        <v>#REF!</v>
      </c>
    </row>
    <row r="311" spans="1:16" s="97" customFormat="1" x14ac:dyDescent="0.25">
      <c r="A311" s="86" t="s">
        <v>1146</v>
      </c>
      <c r="B311" s="87" t="s">
        <v>1136</v>
      </c>
      <c r="C311" s="88" t="s">
        <v>812</v>
      </c>
      <c r="D311" s="89" t="s">
        <v>1177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112">
        <f>ROUND(Tableau16[[#This Row],[LEN]]*7.27,0)</f>
        <v>131</v>
      </c>
      <c r="L311" s="112">
        <v>15</v>
      </c>
      <c r="M311" s="129" t="str">
        <f t="shared" si="2"/>
        <v>none</v>
      </c>
      <c r="N311" s="112">
        <f>LEN(Tableau16[[#This Row],[LABEL]])</f>
        <v>18</v>
      </c>
      <c r="O311" s="112">
        <v>15</v>
      </c>
      <c r="P311" s="112" t="e">
        <f>ROUND(Tableau16[[#This Row],[LEN]]*#REF!+#REF!,0)</f>
        <v>#REF!</v>
      </c>
    </row>
    <row r="312" spans="1:16" s="97" customFormat="1" x14ac:dyDescent="0.25">
      <c r="A312" s="29" t="s">
        <v>1137</v>
      </c>
      <c r="B312" s="30" t="s">
        <v>1117</v>
      </c>
      <c r="C312" s="31" t="s">
        <v>15</v>
      </c>
      <c r="D312" s="71" t="s">
        <v>1177</v>
      </c>
      <c r="E312" s="31" t="s">
        <v>666</v>
      </c>
      <c r="F312" s="31" t="s">
        <v>828</v>
      </c>
      <c r="G312" s="71" t="s">
        <v>166</v>
      </c>
      <c r="H312" s="71" t="s">
        <v>655</v>
      </c>
      <c r="I312" s="31"/>
      <c r="J312" s="32" t="s">
        <v>708</v>
      </c>
      <c r="K312" s="111">
        <f>ROUND(Tableau16[[#This Row],[LEN]]*7.27,0)</f>
        <v>174</v>
      </c>
      <c r="L312" s="111">
        <v>15</v>
      </c>
      <c r="M312" s="128" t="str">
        <f t="shared" si="2"/>
        <v>none</v>
      </c>
      <c r="N312" s="111">
        <f>LEN(Tableau16[[#This Row],[LABEL]])</f>
        <v>24</v>
      </c>
      <c r="O312" s="111">
        <v>15</v>
      </c>
      <c r="P312" s="111" t="e">
        <f>ROUND(Tableau16[[#This Row],[LEN]]*#REF!+#REF!,0)</f>
        <v>#REF!</v>
      </c>
    </row>
    <row r="313" spans="1:16" s="97" customFormat="1" x14ac:dyDescent="0.25">
      <c r="A313" s="86" t="s">
        <v>1147</v>
      </c>
      <c r="B313" s="87" t="s">
        <v>1137</v>
      </c>
      <c r="C313" s="88" t="s">
        <v>1100</v>
      </c>
      <c r="D313" s="89" t="s">
        <v>1177</v>
      </c>
      <c r="E313" s="88" t="s">
        <v>666</v>
      </c>
      <c r="F313" s="88" t="s">
        <v>828</v>
      </c>
      <c r="G313" s="89" t="s">
        <v>166</v>
      </c>
      <c r="H313" s="90" t="s">
        <v>18</v>
      </c>
      <c r="I313" s="88"/>
      <c r="J313" s="91" t="s">
        <v>708</v>
      </c>
      <c r="K313" s="112">
        <f>ROUND(Tableau16[[#This Row],[LEN]]*7.27,0)</f>
        <v>22</v>
      </c>
      <c r="L313" s="112">
        <v>15</v>
      </c>
      <c r="M313" s="129" t="str">
        <f t="shared" si="2"/>
        <v>none</v>
      </c>
      <c r="N313" s="112">
        <f>LEN(Tableau16[[#This Row],[LABEL]])</f>
        <v>3</v>
      </c>
      <c r="O313" s="112">
        <v>15</v>
      </c>
      <c r="P313" s="112" t="e">
        <f>ROUND(Tableau16[[#This Row],[LEN]]*#REF!+#REF!,0)</f>
        <v>#REF!</v>
      </c>
    </row>
    <row r="314" spans="1:16" s="97" customFormat="1" x14ac:dyDescent="0.25">
      <c r="A314" s="86" t="s">
        <v>1148</v>
      </c>
      <c r="B314" s="87" t="s">
        <v>1137</v>
      </c>
      <c r="C314" s="88" t="s">
        <v>807</v>
      </c>
      <c r="D314" s="89" t="s">
        <v>1177</v>
      </c>
      <c r="E314" s="88" t="s">
        <v>666</v>
      </c>
      <c r="F314" s="88" t="s">
        <v>828</v>
      </c>
      <c r="G314" s="89" t="s">
        <v>166</v>
      </c>
      <c r="H314" s="90" t="s">
        <v>18</v>
      </c>
      <c r="I314" s="88"/>
      <c r="J314" s="91" t="s">
        <v>708</v>
      </c>
      <c r="K314" s="112">
        <f>ROUND(Tableau16[[#This Row],[LEN]]*7.27,0)</f>
        <v>218</v>
      </c>
      <c r="L314" s="112">
        <v>15</v>
      </c>
      <c r="M314" s="129" t="str">
        <f t="shared" si="2"/>
        <v>none</v>
      </c>
      <c r="N314" s="112">
        <f>LEN(Tableau16[[#This Row],[LABEL]])</f>
        <v>30</v>
      </c>
      <c r="O314" s="112">
        <v>15</v>
      </c>
      <c r="P314" s="112" t="e">
        <f>ROUND(Tableau16[[#This Row],[LEN]]*#REF!+#REF!,0)</f>
        <v>#REF!</v>
      </c>
    </row>
    <row r="315" spans="1:16" s="97" customFormat="1" x14ac:dyDescent="0.25">
      <c r="A315" s="86" t="s">
        <v>1149</v>
      </c>
      <c r="B315" s="87" t="s">
        <v>1137</v>
      </c>
      <c r="C315" s="88" t="s">
        <v>1112</v>
      </c>
      <c r="D315" s="89" t="s">
        <v>1177</v>
      </c>
      <c r="E315" s="88" t="s">
        <v>666</v>
      </c>
      <c r="F315" s="88" t="s">
        <v>828</v>
      </c>
      <c r="G315" s="89" t="s">
        <v>166</v>
      </c>
      <c r="H315" s="90" t="s">
        <v>18</v>
      </c>
      <c r="I315" s="88"/>
      <c r="J315" s="91" t="s">
        <v>708</v>
      </c>
      <c r="K315" s="112">
        <f>ROUND(Tableau16[[#This Row],[LEN]]*7.27,0)</f>
        <v>240</v>
      </c>
      <c r="L315" s="112">
        <v>15</v>
      </c>
      <c r="M315" s="129" t="str">
        <f t="shared" si="2"/>
        <v>none</v>
      </c>
      <c r="N315" s="112">
        <f>LEN(Tableau16[[#This Row],[LABEL]])</f>
        <v>33</v>
      </c>
      <c r="O315" s="112">
        <v>15</v>
      </c>
      <c r="P315" s="112" t="e">
        <f>ROUND(Tableau16[[#This Row],[LEN]]*#REF!+#REF!,0)</f>
        <v>#REF!</v>
      </c>
    </row>
    <row r="316" spans="1:16" s="97" customFormat="1" x14ac:dyDescent="0.25">
      <c r="A316" s="86" t="s">
        <v>1150</v>
      </c>
      <c r="B316" s="87" t="s">
        <v>1137</v>
      </c>
      <c r="C316" s="88" t="s">
        <v>1113</v>
      </c>
      <c r="D316" s="89" t="s">
        <v>1177</v>
      </c>
      <c r="E316" s="88" t="s">
        <v>666</v>
      </c>
      <c r="F316" s="88" t="s">
        <v>828</v>
      </c>
      <c r="G316" s="89" t="s">
        <v>166</v>
      </c>
      <c r="H316" s="90" t="s">
        <v>18</v>
      </c>
      <c r="I316" s="88"/>
      <c r="J316" s="91" t="s">
        <v>708</v>
      </c>
      <c r="K316" s="112">
        <f>ROUND(Tableau16[[#This Row],[LEN]]*7.27,0)</f>
        <v>116</v>
      </c>
      <c r="L316" s="112">
        <v>15</v>
      </c>
      <c r="M316" s="129" t="str">
        <f t="shared" si="2"/>
        <v>none</v>
      </c>
      <c r="N316" s="112">
        <f>LEN(Tableau16[[#This Row],[LABEL]])</f>
        <v>16</v>
      </c>
      <c r="O316" s="112">
        <v>15</v>
      </c>
      <c r="P316" s="112" t="e">
        <f>ROUND(Tableau16[[#This Row],[LEN]]*#REF!+#REF!,0)</f>
        <v>#REF!</v>
      </c>
    </row>
    <row r="317" spans="1:16" s="97" customFormat="1" x14ac:dyDescent="0.25">
      <c r="A317" s="86" t="s">
        <v>1151</v>
      </c>
      <c r="B317" s="87" t="s">
        <v>1137</v>
      </c>
      <c r="C317" s="88" t="s">
        <v>1114</v>
      </c>
      <c r="D317" s="89" t="s">
        <v>1177</v>
      </c>
      <c r="E317" s="88" t="s">
        <v>666</v>
      </c>
      <c r="F317" s="88" t="s">
        <v>828</v>
      </c>
      <c r="G317" s="89" t="s">
        <v>166</v>
      </c>
      <c r="H317" s="90" t="s">
        <v>18</v>
      </c>
      <c r="I317" s="88"/>
      <c r="J317" s="91" t="s">
        <v>708</v>
      </c>
      <c r="K317" s="112">
        <f>ROUND(Tableau16[[#This Row],[LEN]]*7.27,0)</f>
        <v>116</v>
      </c>
      <c r="L317" s="112">
        <v>15</v>
      </c>
      <c r="M317" s="129" t="str">
        <f t="shared" si="2"/>
        <v>none</v>
      </c>
      <c r="N317" s="112">
        <f>LEN(Tableau16[[#This Row],[LABEL]])</f>
        <v>16</v>
      </c>
      <c r="O317" s="112">
        <v>15</v>
      </c>
      <c r="P317" s="112" t="e">
        <f>ROUND(Tableau16[[#This Row],[LEN]]*#REF!+#REF!,0)</f>
        <v>#REF!</v>
      </c>
    </row>
    <row r="318" spans="1:16" s="97" customFormat="1" x14ac:dyDescent="0.25">
      <c r="A318" s="86" t="s">
        <v>1152</v>
      </c>
      <c r="B318" s="87" t="s">
        <v>1137</v>
      </c>
      <c r="C318" s="88" t="s">
        <v>806</v>
      </c>
      <c r="D318" s="89" t="s">
        <v>1177</v>
      </c>
      <c r="E318" s="88" t="s">
        <v>666</v>
      </c>
      <c r="F318" s="88" t="s">
        <v>828</v>
      </c>
      <c r="G318" s="89" t="s">
        <v>166</v>
      </c>
      <c r="H318" s="90" t="s">
        <v>18</v>
      </c>
      <c r="I318" s="88"/>
      <c r="J318" s="91" t="s">
        <v>708</v>
      </c>
      <c r="K318" s="112">
        <f>ROUND(Tableau16[[#This Row],[LEN]]*7.27,0)</f>
        <v>174</v>
      </c>
      <c r="L318" s="112">
        <v>15</v>
      </c>
      <c r="M318" s="129" t="str">
        <f t="shared" si="2"/>
        <v>none</v>
      </c>
      <c r="N318" s="112">
        <f>LEN(Tableau16[[#This Row],[LABEL]])</f>
        <v>24</v>
      </c>
      <c r="O318" s="112">
        <v>15</v>
      </c>
      <c r="P318" s="112" t="e">
        <f>ROUND(Tableau16[[#This Row],[LEN]]*#REF!+#REF!,0)</f>
        <v>#REF!</v>
      </c>
    </row>
    <row r="319" spans="1:16" s="97" customFormat="1" x14ac:dyDescent="0.25">
      <c r="A319" s="86" t="s">
        <v>1153</v>
      </c>
      <c r="B319" s="87" t="s">
        <v>1137</v>
      </c>
      <c r="C319" s="88" t="s">
        <v>812</v>
      </c>
      <c r="D319" s="89" t="s">
        <v>1177</v>
      </c>
      <c r="E319" s="88" t="s">
        <v>666</v>
      </c>
      <c r="F319" s="88" t="s">
        <v>828</v>
      </c>
      <c r="G319" s="89" t="s">
        <v>166</v>
      </c>
      <c r="H319" s="90" t="s">
        <v>18</v>
      </c>
      <c r="I319" s="88"/>
      <c r="J319" s="91" t="s">
        <v>708</v>
      </c>
      <c r="K319" s="112">
        <f>ROUND(Tableau16[[#This Row],[LEN]]*7.27,0)</f>
        <v>131</v>
      </c>
      <c r="L319" s="112">
        <v>15</v>
      </c>
      <c r="M319" s="129" t="str">
        <f t="shared" si="2"/>
        <v>none</v>
      </c>
      <c r="N319" s="112">
        <f>LEN(Tableau16[[#This Row],[LABEL]])</f>
        <v>18</v>
      </c>
      <c r="O319" s="112">
        <v>15</v>
      </c>
      <c r="P319" s="112" t="e">
        <f>ROUND(Tableau16[[#This Row],[LEN]]*#REF!+#REF!,0)</f>
        <v>#REF!</v>
      </c>
    </row>
    <row r="320" spans="1:16" s="97" customFormat="1" x14ac:dyDescent="0.25">
      <c r="A320" s="25" t="s">
        <v>1118</v>
      </c>
      <c r="B320" s="26" t="s">
        <v>253</v>
      </c>
      <c r="C320" s="27" t="s">
        <v>1127</v>
      </c>
      <c r="D320" s="70" t="s">
        <v>1177</v>
      </c>
      <c r="E320" s="27" t="s">
        <v>667</v>
      </c>
      <c r="F320" s="27" t="s">
        <v>1132</v>
      </c>
      <c r="G320" s="70" t="s">
        <v>166</v>
      </c>
      <c r="H320" s="70" t="s">
        <v>654</v>
      </c>
      <c r="I320" s="27"/>
      <c r="J320" s="28" t="s">
        <v>708</v>
      </c>
      <c r="K320" s="109">
        <f>ROUND(Tableau16[[#This Row],[LEN]]*7.27,0)</f>
        <v>291</v>
      </c>
      <c r="L320" s="109">
        <v>15</v>
      </c>
      <c r="M320" s="127" t="str">
        <f t="shared" si="2"/>
        <v>none</v>
      </c>
      <c r="N320" s="109">
        <f>LEN(Tableau16[[#This Row],[LABEL]])</f>
        <v>40</v>
      </c>
      <c r="O320" s="109">
        <v>15</v>
      </c>
      <c r="P320" s="109" t="e">
        <f>ROUND(Tableau16[[#This Row],[LEN]]*#REF!+#REF!,0)</f>
        <v>#REF!</v>
      </c>
    </row>
    <row r="321" spans="1:16" s="97" customFormat="1" x14ac:dyDescent="0.25">
      <c r="A321" s="25" t="s">
        <v>1119</v>
      </c>
      <c r="B321" s="26" t="s">
        <v>253</v>
      </c>
      <c r="C321" s="27" t="s">
        <v>1128</v>
      </c>
      <c r="D321" s="70" t="s">
        <v>1177</v>
      </c>
      <c r="E321" s="27" t="s">
        <v>667</v>
      </c>
      <c r="F321" s="27" t="s">
        <v>1177</v>
      </c>
      <c r="G321" s="70" t="s">
        <v>166</v>
      </c>
      <c r="H321" s="70" t="s">
        <v>656</v>
      </c>
      <c r="I321" s="27"/>
      <c r="J321" s="28" t="s">
        <v>708</v>
      </c>
      <c r="K321" s="109">
        <f>ROUND(Tableau16[[#This Row],[LEN]]*7.27,0)</f>
        <v>422</v>
      </c>
      <c r="L321" s="109">
        <v>15</v>
      </c>
      <c r="M321" s="127" t="str">
        <f t="shared" si="2"/>
        <v>none</v>
      </c>
      <c r="N321" s="109">
        <f>LEN(Tableau16[[#This Row],[LABEL]])</f>
        <v>58</v>
      </c>
      <c r="O321" s="109">
        <v>15</v>
      </c>
      <c r="P321" s="109" t="e">
        <f>ROUND(Tableau16[[#This Row],[LEN]]*#REF!+#REF!,0)</f>
        <v>#REF!</v>
      </c>
    </row>
    <row r="322" spans="1:16" s="97" customFormat="1" x14ac:dyDescent="0.25">
      <c r="A322" s="25" t="s">
        <v>1120</v>
      </c>
      <c r="B322" s="26" t="s">
        <v>253</v>
      </c>
      <c r="C322" s="27" t="s">
        <v>1154</v>
      </c>
      <c r="D322" s="70" t="s">
        <v>1177</v>
      </c>
      <c r="E322" s="27" t="s">
        <v>667</v>
      </c>
      <c r="F322" s="27" t="s">
        <v>1133</v>
      </c>
      <c r="G322" s="70" t="s">
        <v>166</v>
      </c>
      <c r="H322" s="70" t="s">
        <v>18</v>
      </c>
      <c r="I322" s="27"/>
      <c r="J322" s="28" t="s">
        <v>102</v>
      </c>
      <c r="K322" s="109">
        <f>ROUND(Tableau16[[#This Row],[LEN]]*7.27,0)</f>
        <v>443</v>
      </c>
      <c r="L322" s="109">
        <v>15</v>
      </c>
      <c r="M322" s="127" t="str">
        <f t="shared" si="2"/>
        <v>new</v>
      </c>
      <c r="N322" s="109">
        <f>LEN(Tableau16[[#This Row],[LABEL]])</f>
        <v>61</v>
      </c>
      <c r="O322" s="109">
        <v>15</v>
      </c>
      <c r="P322" s="109" t="e">
        <f>ROUND(Tableau16[[#This Row],[LEN]]*#REF!+#REF!,0)</f>
        <v>#REF!</v>
      </c>
    </row>
    <row r="323" spans="1:16" s="97" customFormat="1" x14ac:dyDescent="0.25">
      <c r="A323" s="25" t="s">
        <v>1121</v>
      </c>
      <c r="B323" s="26" t="s">
        <v>253</v>
      </c>
      <c r="C323" s="27" t="s">
        <v>778</v>
      </c>
      <c r="D323" s="70" t="s">
        <v>1177</v>
      </c>
      <c r="E323" s="27" t="s">
        <v>673</v>
      </c>
      <c r="F323" s="27" t="s">
        <v>2000</v>
      </c>
      <c r="G323" s="70" t="s">
        <v>166</v>
      </c>
      <c r="H323" s="70" t="s">
        <v>17</v>
      </c>
      <c r="I323" s="27"/>
      <c r="J323" s="28" t="s">
        <v>708</v>
      </c>
      <c r="K323" s="109">
        <f>ROUND(Tableau16[[#This Row],[LEN]]*7.27,0)</f>
        <v>211</v>
      </c>
      <c r="L323" s="109">
        <v>15</v>
      </c>
      <c r="M323" s="127" t="str">
        <f t="shared" si="2"/>
        <v>none</v>
      </c>
      <c r="N323" s="109">
        <f>LEN(Tableau16[[#This Row],[LABEL]])</f>
        <v>29</v>
      </c>
      <c r="O323" s="109">
        <v>15</v>
      </c>
      <c r="P323" s="109" t="e">
        <f>ROUND(Tableau16[[#This Row],[LEN]]*#REF!+#REF!,0)</f>
        <v>#REF!</v>
      </c>
    </row>
    <row r="324" spans="1:16" s="97" customFormat="1" x14ac:dyDescent="0.25">
      <c r="A324" s="25" t="s">
        <v>1122</v>
      </c>
      <c r="B324" s="26" t="s">
        <v>253</v>
      </c>
      <c r="C324" s="27" t="s">
        <v>92</v>
      </c>
      <c r="D324" s="70" t="s">
        <v>1177</v>
      </c>
      <c r="E324" s="27" t="s">
        <v>663</v>
      </c>
      <c r="F324" s="27" t="s">
        <v>2080</v>
      </c>
      <c r="G324" s="70" t="s">
        <v>166</v>
      </c>
      <c r="H324" s="70" t="s">
        <v>655</v>
      </c>
      <c r="I324" s="27"/>
      <c r="J324" s="28" t="s">
        <v>708</v>
      </c>
      <c r="K324" s="109">
        <f>ROUND(Tableau16[[#This Row],[LEN]]*7.27,0)</f>
        <v>262</v>
      </c>
      <c r="L324" s="109">
        <v>15</v>
      </c>
      <c r="M324" s="127" t="str">
        <f t="shared" si="2"/>
        <v>none</v>
      </c>
      <c r="N324" s="109">
        <f>LEN(Tableau16[[#This Row],[LABEL]])</f>
        <v>36</v>
      </c>
      <c r="O324" s="109">
        <v>15</v>
      </c>
      <c r="P324" s="109" t="e">
        <f>ROUND(Tableau16[[#This Row],[LEN]]*#REF!+#REF!,0)</f>
        <v>#REF!</v>
      </c>
    </row>
    <row r="325" spans="1:16" s="97" customFormat="1" x14ac:dyDescent="0.25">
      <c r="A325" s="29" t="s">
        <v>1155</v>
      </c>
      <c r="B325" s="30" t="s">
        <v>1122</v>
      </c>
      <c r="C325" s="31" t="s">
        <v>95</v>
      </c>
      <c r="D325" s="71" t="s">
        <v>1177</v>
      </c>
      <c r="E325" s="31" t="s">
        <v>663</v>
      </c>
      <c r="F325" s="31" t="s">
        <v>2080</v>
      </c>
      <c r="G325" s="71" t="s">
        <v>166</v>
      </c>
      <c r="H325" s="71" t="s">
        <v>17</v>
      </c>
      <c r="I325" s="31"/>
      <c r="J325" s="32" t="s">
        <v>708</v>
      </c>
      <c r="K325" s="111">
        <f>ROUND(Tableau16[[#This Row],[LEN]]*7.27,0)</f>
        <v>254</v>
      </c>
      <c r="L325" s="111">
        <v>15</v>
      </c>
      <c r="M325" s="128" t="str">
        <f t="shared" si="2"/>
        <v>none</v>
      </c>
      <c r="N325" s="111">
        <f>LEN(Tableau16[[#This Row],[LABEL]])</f>
        <v>35</v>
      </c>
      <c r="O325" s="111">
        <v>15</v>
      </c>
      <c r="P325" s="111" t="e">
        <f>ROUND(Tableau16[[#This Row],[LEN]]*#REF!+#REF!,0)</f>
        <v>#REF!</v>
      </c>
    </row>
    <row r="326" spans="1:16" s="97" customFormat="1" x14ac:dyDescent="0.25">
      <c r="A326" s="29" t="s">
        <v>1156</v>
      </c>
      <c r="B326" s="30" t="s">
        <v>1122</v>
      </c>
      <c r="C326" s="31" t="s">
        <v>96</v>
      </c>
      <c r="D326" s="71" t="s">
        <v>1177</v>
      </c>
      <c r="E326" s="31" t="s">
        <v>663</v>
      </c>
      <c r="F326" s="31" t="s">
        <v>2080</v>
      </c>
      <c r="G326" s="71" t="s">
        <v>166</v>
      </c>
      <c r="H326" s="71" t="s">
        <v>654</v>
      </c>
      <c r="I326" s="31"/>
      <c r="J326" s="32" t="s">
        <v>708</v>
      </c>
      <c r="K326" s="111">
        <f>ROUND(Tableau16[[#This Row],[LEN]]*7.27,0)</f>
        <v>233</v>
      </c>
      <c r="L326" s="111">
        <v>15</v>
      </c>
      <c r="M326" s="128" t="str">
        <f t="shared" si="2"/>
        <v>none</v>
      </c>
      <c r="N326" s="111">
        <f>LEN(Tableau16[[#This Row],[LABEL]])</f>
        <v>32</v>
      </c>
      <c r="O326" s="111">
        <v>15</v>
      </c>
      <c r="P326" s="111" t="e">
        <f>ROUND(Tableau16[[#This Row],[LEN]]*#REF!+#REF!,0)</f>
        <v>#REF!</v>
      </c>
    </row>
    <row r="327" spans="1:16" s="97" customFormat="1" x14ac:dyDescent="0.25">
      <c r="A327" s="29" t="s">
        <v>1157</v>
      </c>
      <c r="B327" s="30" t="s">
        <v>1122</v>
      </c>
      <c r="C327" s="31" t="s">
        <v>97</v>
      </c>
      <c r="D327" s="71" t="s">
        <v>1177</v>
      </c>
      <c r="E327" s="31" t="s">
        <v>663</v>
      </c>
      <c r="F327" s="31" t="s">
        <v>2080</v>
      </c>
      <c r="G327" s="71" t="s">
        <v>166</v>
      </c>
      <c r="H327" s="71" t="s">
        <v>656</v>
      </c>
      <c r="I327" s="31"/>
      <c r="J327" s="32" t="s">
        <v>708</v>
      </c>
      <c r="K327" s="111">
        <f>ROUND(Tableau16[[#This Row],[LEN]]*7.27,0)</f>
        <v>145</v>
      </c>
      <c r="L327" s="111">
        <v>15</v>
      </c>
      <c r="M327" s="128" t="str">
        <f t="shared" si="2"/>
        <v>none</v>
      </c>
      <c r="N327" s="111">
        <f>LEN(Tableau16[[#This Row],[LABEL]])</f>
        <v>20</v>
      </c>
      <c r="O327" s="111">
        <v>15</v>
      </c>
      <c r="P327" s="111" t="e">
        <f>ROUND(Tableau16[[#This Row],[LEN]]*#REF!+#REF!,0)</f>
        <v>#REF!</v>
      </c>
    </row>
    <row r="328" spans="1:16" s="97" customFormat="1" x14ac:dyDescent="0.25">
      <c r="A328" s="25" t="s">
        <v>1123</v>
      </c>
      <c r="B328" s="26" t="s">
        <v>253</v>
      </c>
      <c r="C328" s="27" t="s">
        <v>1129</v>
      </c>
      <c r="D328" s="70" t="s">
        <v>1177</v>
      </c>
      <c r="E328" s="27" t="s">
        <v>667</v>
      </c>
      <c r="F328" s="27" t="s">
        <v>1134</v>
      </c>
      <c r="G328" s="70" t="s">
        <v>166</v>
      </c>
      <c r="H328" s="70" t="s">
        <v>18</v>
      </c>
      <c r="I328" s="27"/>
      <c r="J328" s="28" t="s">
        <v>101</v>
      </c>
      <c r="K328" s="109">
        <f>ROUND(Tableau16[[#This Row],[LEN]]*7.27,0)</f>
        <v>436</v>
      </c>
      <c r="L328" s="109">
        <v>15</v>
      </c>
      <c r="M328" s="127" t="str">
        <f t="shared" si="2"/>
        <v>new</v>
      </c>
      <c r="N328" s="109">
        <f>LEN(Tableau16[[#This Row],[LABEL]])</f>
        <v>60</v>
      </c>
      <c r="O328" s="109">
        <v>15</v>
      </c>
      <c r="P328" s="109" t="e">
        <f>ROUND(Tableau16[[#This Row],[LEN]]*#REF!+#REF!,0)</f>
        <v>#REF!</v>
      </c>
    </row>
    <row r="329" spans="1:16" s="97" customFormat="1" x14ac:dyDescent="0.25">
      <c r="A329" s="25" t="s">
        <v>1124</v>
      </c>
      <c r="B329" s="26" t="s">
        <v>253</v>
      </c>
      <c r="C329" s="27" t="s">
        <v>1130</v>
      </c>
      <c r="D329" s="70" t="s">
        <v>1177</v>
      </c>
      <c r="E329" s="27" t="s">
        <v>667</v>
      </c>
      <c r="F329" s="27" t="s">
        <v>1134</v>
      </c>
      <c r="G329" s="70" t="s">
        <v>166</v>
      </c>
      <c r="H329" s="70" t="s">
        <v>18</v>
      </c>
      <c r="I329" s="27"/>
      <c r="J329" s="28" t="s">
        <v>708</v>
      </c>
      <c r="K329" s="109">
        <f>ROUND(Tableau16[[#This Row],[LEN]]*7.27,0)</f>
        <v>291</v>
      </c>
      <c r="L329" s="109">
        <v>15</v>
      </c>
      <c r="M329" s="127" t="str">
        <f t="shared" si="2"/>
        <v>none</v>
      </c>
      <c r="N329" s="109">
        <f>LEN(Tableau16[[#This Row],[LABEL]])</f>
        <v>40</v>
      </c>
      <c r="O329" s="109">
        <v>15</v>
      </c>
      <c r="P329" s="109" t="e">
        <f>ROUND(Tableau16[[#This Row],[LEN]]*#REF!+#REF!,0)</f>
        <v>#REF!</v>
      </c>
    </row>
    <row r="330" spans="1:16" s="97" customFormat="1" x14ac:dyDescent="0.25">
      <c r="A330" s="25" t="s">
        <v>1125</v>
      </c>
      <c r="B330" s="26" t="s">
        <v>253</v>
      </c>
      <c r="C330" s="27" t="s">
        <v>1167</v>
      </c>
      <c r="D330" s="70" t="s">
        <v>486</v>
      </c>
      <c r="E330" s="27" t="s">
        <v>1085</v>
      </c>
      <c r="F330" s="27" t="s">
        <v>1084</v>
      </c>
      <c r="G330" s="70" t="s">
        <v>1977</v>
      </c>
      <c r="H330" s="70" t="s">
        <v>1131</v>
      </c>
      <c r="I330" s="27"/>
      <c r="J330" s="28" t="s">
        <v>708</v>
      </c>
      <c r="K330" s="109">
        <f>ROUND(Tableau16[[#This Row],[LEN]]*7.27,0)</f>
        <v>196</v>
      </c>
      <c r="L330" s="109">
        <v>15</v>
      </c>
      <c r="M330" s="127" t="str">
        <f t="shared" si="2"/>
        <v>none</v>
      </c>
      <c r="N330" s="109">
        <f>LEN(Tableau16[[#This Row],[LABEL]])</f>
        <v>27</v>
      </c>
      <c r="O330" s="109">
        <v>15</v>
      </c>
      <c r="P330" s="109" t="e">
        <f>ROUND(Tableau16[[#This Row],[LEN]]*#REF!+#REF!,0)</f>
        <v>#REF!</v>
      </c>
    </row>
    <row r="331" spans="1:16" s="97" customFormat="1" x14ac:dyDescent="0.25">
      <c r="A331" s="29" t="s">
        <v>1163</v>
      </c>
      <c r="B331" s="30" t="s">
        <v>1125</v>
      </c>
      <c r="C331" s="31" t="s">
        <v>93</v>
      </c>
      <c r="D331" s="71" t="s">
        <v>1177</v>
      </c>
      <c r="E331" s="31" t="s">
        <v>1085</v>
      </c>
      <c r="F331" s="31" t="s">
        <v>1084</v>
      </c>
      <c r="G331" s="71" t="s">
        <v>166</v>
      </c>
      <c r="H331" s="71" t="s">
        <v>18</v>
      </c>
      <c r="I331" s="31"/>
      <c r="J331" s="32" t="s">
        <v>101</v>
      </c>
      <c r="K331" s="111">
        <f>ROUND(Tableau16[[#This Row],[LEN]]*7.27,0)</f>
        <v>109</v>
      </c>
      <c r="L331" s="111">
        <v>15</v>
      </c>
      <c r="M331" s="128" t="str">
        <f t="shared" si="2"/>
        <v>new</v>
      </c>
      <c r="N331" s="111">
        <f>LEN(Tableau16[[#This Row],[LABEL]])</f>
        <v>15</v>
      </c>
      <c r="O331" s="111">
        <v>15</v>
      </c>
      <c r="P331" s="111" t="e">
        <f>ROUND(Tableau16[[#This Row],[LEN]]*#REF!+#REF!,0)</f>
        <v>#REF!</v>
      </c>
    </row>
    <row r="332" spans="1:16" s="97" customFormat="1" x14ac:dyDescent="0.25">
      <c r="A332" s="29" t="s">
        <v>1164</v>
      </c>
      <c r="B332" s="30" t="s">
        <v>1125</v>
      </c>
      <c r="C332" s="31" t="s">
        <v>94</v>
      </c>
      <c r="D332" s="71" t="s">
        <v>1177</v>
      </c>
      <c r="E332" s="31" t="s">
        <v>1085</v>
      </c>
      <c r="F332" s="31" t="s">
        <v>1084</v>
      </c>
      <c r="G332" s="71" t="s">
        <v>166</v>
      </c>
      <c r="H332" s="71" t="s">
        <v>18</v>
      </c>
      <c r="I332" s="31"/>
      <c r="J332" s="32" t="s">
        <v>102</v>
      </c>
      <c r="K332" s="111">
        <f>ROUND(Tableau16[[#This Row],[LEN]]*7.27,0)</f>
        <v>58</v>
      </c>
      <c r="L332" s="111">
        <v>15</v>
      </c>
      <c r="M332" s="128" t="str">
        <f t="shared" si="2"/>
        <v>new</v>
      </c>
      <c r="N332" s="111">
        <f>LEN(Tableau16[[#This Row],[LABEL]])</f>
        <v>8</v>
      </c>
      <c r="O332" s="111">
        <v>15</v>
      </c>
      <c r="P332" s="111" t="e">
        <f>ROUND(Tableau16[[#This Row],[LEN]]*#REF!+#REF!,0)</f>
        <v>#REF!</v>
      </c>
    </row>
    <row r="333" spans="1:16" s="273" customFormat="1" x14ac:dyDescent="0.25">
      <c r="A333" s="288" t="s">
        <v>254</v>
      </c>
      <c r="B333" s="289" t="s">
        <v>206</v>
      </c>
      <c r="C333" s="290" t="s">
        <v>5</v>
      </c>
      <c r="D333" s="291" t="s">
        <v>1177</v>
      </c>
      <c r="E333" s="290" t="s">
        <v>668</v>
      </c>
      <c r="F333" s="290" t="s">
        <v>1177</v>
      </c>
      <c r="G333" s="291" t="s">
        <v>166</v>
      </c>
      <c r="H333" s="291" t="str">
        <f>IFERROR(IF(SEARCH(".00.00.00.00.00",Tableau16[[#This Row],[name]],1)=7,"Division",""),"")</f>
        <v>Division</v>
      </c>
      <c r="I333" s="290"/>
      <c r="J333" s="292" t="s">
        <v>708</v>
      </c>
      <c r="K333" s="293">
        <f>ROUND(Tableau16[[#This Row],[LEN]]*7.27,0)</f>
        <v>73</v>
      </c>
      <c r="L333" s="293">
        <v>15</v>
      </c>
      <c r="M333" s="294" t="str">
        <f t="shared" si="2"/>
        <v>none</v>
      </c>
      <c r="N333" s="293">
        <f>LEN(Tableau16[[#This Row],[LABEL]])</f>
        <v>10</v>
      </c>
      <c r="O333" s="293">
        <v>15</v>
      </c>
      <c r="P333" s="293" t="e">
        <f>ROUND(Tableau16[[#This Row],[LEN]]*#REF!+#REF!,0)</f>
        <v>#REF!</v>
      </c>
    </row>
    <row r="334" spans="1:16" s="97" customFormat="1" x14ac:dyDescent="0.25">
      <c r="A334" s="25" t="s">
        <v>1171</v>
      </c>
      <c r="B334" s="26" t="s">
        <v>254</v>
      </c>
      <c r="C334" s="27" t="s">
        <v>1168</v>
      </c>
      <c r="D334" s="70" t="s">
        <v>1177</v>
      </c>
      <c r="E334" s="27" t="s">
        <v>668</v>
      </c>
      <c r="F334" s="27" t="s">
        <v>1178</v>
      </c>
      <c r="G334" s="70" t="s">
        <v>166</v>
      </c>
      <c r="H334" s="70" t="s">
        <v>654</v>
      </c>
      <c r="I334" s="27"/>
      <c r="J334" s="28" t="s">
        <v>708</v>
      </c>
      <c r="K334" s="109">
        <f>ROUND(Tableau16[[#This Row],[LEN]]*7.27,0)</f>
        <v>262</v>
      </c>
      <c r="L334" s="109">
        <v>15</v>
      </c>
      <c r="M334" s="127" t="str">
        <f t="shared" si="2"/>
        <v>none</v>
      </c>
      <c r="N334" s="109">
        <f>LEN(Tableau16[[#This Row],[LABEL]])</f>
        <v>36</v>
      </c>
      <c r="O334" s="109">
        <v>15</v>
      </c>
      <c r="P334" s="109" t="e">
        <f>ROUND(Tableau16[[#This Row],[LEN]]*#REF!+#REF!,0)</f>
        <v>#REF!</v>
      </c>
    </row>
    <row r="335" spans="1:16" s="97" customFormat="1" x14ac:dyDescent="0.25">
      <c r="A335" s="25" t="s">
        <v>1172</v>
      </c>
      <c r="B335" s="26" t="s">
        <v>254</v>
      </c>
      <c r="C335" s="27" t="s">
        <v>1170</v>
      </c>
      <c r="D335" s="70" t="s">
        <v>1177</v>
      </c>
      <c r="E335" s="27" t="s">
        <v>667</v>
      </c>
      <c r="F335" s="27" t="s">
        <v>2082</v>
      </c>
      <c r="G335" s="70" t="s">
        <v>166</v>
      </c>
      <c r="H335" s="70" t="s">
        <v>655</v>
      </c>
      <c r="I335" s="27"/>
      <c r="J335" s="28" t="s">
        <v>708</v>
      </c>
      <c r="K335" s="109">
        <f>ROUND(Tableau16[[#This Row],[LEN]]*7.27,0)</f>
        <v>138</v>
      </c>
      <c r="L335" s="109">
        <v>15</v>
      </c>
      <c r="M335" s="127" t="str">
        <f t="shared" si="2"/>
        <v>none</v>
      </c>
      <c r="N335" s="109">
        <f>LEN(Tableau16[[#This Row],[LABEL]])</f>
        <v>19</v>
      </c>
      <c r="O335" s="109">
        <v>15</v>
      </c>
      <c r="P335" s="109" t="e">
        <f>ROUND(Tableau16[[#This Row],[LEN]]*#REF!+#REF!,0)</f>
        <v>#REF!</v>
      </c>
    </row>
    <row r="336" spans="1:16" s="97" customFormat="1" x14ac:dyDescent="0.25">
      <c r="A336" s="29" t="s">
        <v>1180</v>
      </c>
      <c r="B336" s="30" t="s">
        <v>1172</v>
      </c>
      <c r="C336" s="31" t="s">
        <v>1184</v>
      </c>
      <c r="D336" s="71" t="s">
        <v>1177</v>
      </c>
      <c r="E336" s="31" t="s">
        <v>667</v>
      </c>
      <c r="F336" s="31" t="s">
        <v>2082</v>
      </c>
      <c r="G336" s="71" t="s">
        <v>166</v>
      </c>
      <c r="H336" s="71" t="s">
        <v>18</v>
      </c>
      <c r="I336" s="31"/>
      <c r="J336" s="32" t="s">
        <v>708</v>
      </c>
      <c r="K336" s="111">
        <f>ROUND(Tableau16[[#This Row],[LEN]]*7.27,0)</f>
        <v>211</v>
      </c>
      <c r="L336" s="111">
        <v>15</v>
      </c>
      <c r="M336" s="128" t="str">
        <f t="shared" si="2"/>
        <v>none</v>
      </c>
      <c r="N336" s="111">
        <f>LEN(Tableau16[[#This Row],[LABEL]])</f>
        <v>29</v>
      </c>
      <c r="O336" s="111">
        <v>15</v>
      </c>
      <c r="P336" s="111" t="e">
        <f>ROUND(Tableau16[[#This Row],[LEN]]*#REF!+#REF!,0)</f>
        <v>#REF!</v>
      </c>
    </row>
    <row r="337" spans="1:16" s="97" customFormat="1" x14ac:dyDescent="0.25">
      <c r="A337" s="29" t="s">
        <v>1181</v>
      </c>
      <c r="B337" s="30" t="s">
        <v>1172</v>
      </c>
      <c r="C337" s="31" t="s">
        <v>1185</v>
      </c>
      <c r="D337" s="71" t="s">
        <v>1177</v>
      </c>
      <c r="E337" s="31" t="s">
        <v>667</v>
      </c>
      <c r="F337" s="31" t="s">
        <v>2082</v>
      </c>
      <c r="G337" s="71" t="s">
        <v>166</v>
      </c>
      <c r="H337" s="71" t="s">
        <v>18</v>
      </c>
      <c r="I337" s="31"/>
      <c r="J337" s="32" t="s">
        <v>708</v>
      </c>
      <c r="K337" s="111">
        <f>ROUND(Tableau16[[#This Row],[LEN]]*7.27,0)</f>
        <v>291</v>
      </c>
      <c r="L337" s="111">
        <v>15</v>
      </c>
      <c r="M337" s="128" t="str">
        <f t="shared" si="2"/>
        <v>none</v>
      </c>
      <c r="N337" s="111">
        <f>LEN(Tableau16[[#This Row],[LABEL]])</f>
        <v>40</v>
      </c>
      <c r="O337" s="111">
        <v>15</v>
      </c>
      <c r="P337" s="111" t="e">
        <f>ROUND(Tableau16[[#This Row],[LEN]]*#REF!+#REF!,0)</f>
        <v>#REF!</v>
      </c>
    </row>
    <row r="338" spans="1:16" s="97" customFormat="1" x14ac:dyDescent="0.25">
      <c r="A338" s="29" t="s">
        <v>1182</v>
      </c>
      <c r="B338" s="30" t="s">
        <v>1172</v>
      </c>
      <c r="C338" s="31" t="s">
        <v>1186</v>
      </c>
      <c r="D338" s="71" t="s">
        <v>1177</v>
      </c>
      <c r="E338" s="31" t="s">
        <v>667</v>
      </c>
      <c r="F338" s="31" t="s">
        <v>2082</v>
      </c>
      <c r="G338" s="71" t="s">
        <v>166</v>
      </c>
      <c r="H338" s="71" t="s">
        <v>18</v>
      </c>
      <c r="I338" s="31"/>
      <c r="J338" s="32" t="s">
        <v>708</v>
      </c>
      <c r="K338" s="111">
        <f>ROUND(Tableau16[[#This Row],[LEN]]*7.27,0)</f>
        <v>240</v>
      </c>
      <c r="L338" s="111">
        <v>15</v>
      </c>
      <c r="M338" s="128" t="str">
        <f t="shared" si="2"/>
        <v>none</v>
      </c>
      <c r="N338" s="111">
        <f>LEN(Tableau16[[#This Row],[LABEL]])</f>
        <v>33</v>
      </c>
      <c r="O338" s="111">
        <v>15</v>
      </c>
      <c r="P338" s="111" t="e">
        <f>ROUND(Tableau16[[#This Row],[LEN]]*#REF!+#REF!,0)</f>
        <v>#REF!</v>
      </c>
    </row>
    <row r="339" spans="1:16" s="97" customFormat="1" x14ac:dyDescent="0.25">
      <c r="A339" s="29" t="s">
        <v>1183</v>
      </c>
      <c r="B339" s="30" t="s">
        <v>1172</v>
      </c>
      <c r="C339" s="31" t="s">
        <v>1187</v>
      </c>
      <c r="D339" s="71" t="s">
        <v>1177</v>
      </c>
      <c r="E339" s="31" t="s">
        <v>667</v>
      </c>
      <c r="F339" s="31" t="s">
        <v>2082</v>
      </c>
      <c r="G339" s="71" t="s">
        <v>166</v>
      </c>
      <c r="H339" s="71" t="s">
        <v>18</v>
      </c>
      <c r="I339" s="31"/>
      <c r="J339" s="32" t="s">
        <v>708</v>
      </c>
      <c r="K339" s="111">
        <f>ROUND(Tableau16[[#This Row],[LEN]]*7.27,0)</f>
        <v>356</v>
      </c>
      <c r="L339" s="111">
        <v>15</v>
      </c>
      <c r="M339" s="128" t="str">
        <f t="shared" si="2"/>
        <v>none</v>
      </c>
      <c r="N339" s="111">
        <f>LEN(Tableau16[[#This Row],[LABEL]])</f>
        <v>49</v>
      </c>
      <c r="O339" s="111">
        <v>15</v>
      </c>
      <c r="P339" s="111" t="e">
        <f>ROUND(Tableau16[[#This Row],[LEN]]*#REF!+#REF!,0)</f>
        <v>#REF!</v>
      </c>
    </row>
    <row r="340" spans="1:16" s="97" customFormat="1" x14ac:dyDescent="0.25">
      <c r="A340" s="25" t="s">
        <v>1173</v>
      </c>
      <c r="B340" s="26" t="s">
        <v>254</v>
      </c>
      <c r="C340" s="27" t="s">
        <v>778</v>
      </c>
      <c r="D340" s="70" t="s">
        <v>1177</v>
      </c>
      <c r="E340" s="27" t="s">
        <v>673</v>
      </c>
      <c r="F340" s="27" t="s">
        <v>2000</v>
      </c>
      <c r="G340" s="70" t="s">
        <v>166</v>
      </c>
      <c r="H340" s="70" t="s">
        <v>17</v>
      </c>
      <c r="I340" s="27"/>
      <c r="J340" s="28" t="s">
        <v>708</v>
      </c>
      <c r="K340" s="109">
        <f>ROUND(Tableau16[[#This Row],[LEN]]*7.27,0)</f>
        <v>211</v>
      </c>
      <c r="L340" s="109">
        <v>15</v>
      </c>
      <c r="M340" s="127" t="str">
        <f t="shared" si="2"/>
        <v>none</v>
      </c>
      <c r="N340" s="109">
        <f>LEN(Tableau16[[#This Row],[LABEL]])</f>
        <v>29</v>
      </c>
      <c r="O340" s="109">
        <v>15</v>
      </c>
      <c r="P340" s="109" t="e">
        <f>ROUND(Tableau16[[#This Row],[LEN]]*#REF!+#REF!,0)</f>
        <v>#REF!</v>
      </c>
    </row>
    <row r="341" spans="1:16" s="97" customFormat="1" x14ac:dyDescent="0.25">
      <c r="A341" s="25" t="s">
        <v>1174</v>
      </c>
      <c r="B341" s="26" t="s">
        <v>254</v>
      </c>
      <c r="C341" s="27" t="s">
        <v>92</v>
      </c>
      <c r="D341" s="70" t="s">
        <v>1177</v>
      </c>
      <c r="E341" s="27" t="s">
        <v>663</v>
      </c>
      <c r="F341" s="27" t="s">
        <v>2080</v>
      </c>
      <c r="G341" s="70" t="s">
        <v>166</v>
      </c>
      <c r="H341" s="70" t="s">
        <v>655</v>
      </c>
      <c r="I341" s="27"/>
      <c r="J341" s="28" t="s">
        <v>708</v>
      </c>
      <c r="K341" s="109">
        <f>ROUND(Tableau16[[#This Row],[LEN]]*7.27,0)</f>
        <v>262</v>
      </c>
      <c r="L341" s="109">
        <v>15</v>
      </c>
      <c r="M341" s="127" t="str">
        <f t="shared" si="2"/>
        <v>none</v>
      </c>
      <c r="N341" s="109">
        <f>LEN(Tableau16[[#This Row],[LABEL]])</f>
        <v>36</v>
      </c>
      <c r="O341" s="109">
        <v>15</v>
      </c>
      <c r="P341" s="109" t="e">
        <f>ROUND(Tableau16[[#This Row],[LEN]]*#REF!+#REF!,0)</f>
        <v>#REF!</v>
      </c>
    </row>
    <row r="342" spans="1:16" s="97" customFormat="1" x14ac:dyDescent="0.25">
      <c r="A342" s="29" t="s">
        <v>1188</v>
      </c>
      <c r="B342" s="30" t="s">
        <v>1174</v>
      </c>
      <c r="C342" s="31" t="s">
        <v>95</v>
      </c>
      <c r="D342" s="71" t="s">
        <v>1177</v>
      </c>
      <c r="E342" s="31" t="s">
        <v>663</v>
      </c>
      <c r="F342" s="31" t="s">
        <v>2080</v>
      </c>
      <c r="G342" s="71" t="s">
        <v>166</v>
      </c>
      <c r="H342" s="71" t="s">
        <v>17</v>
      </c>
      <c r="I342" s="31"/>
      <c r="J342" s="32" t="s">
        <v>708</v>
      </c>
      <c r="K342" s="111">
        <f>ROUND(Tableau16[[#This Row],[LEN]]*7.27,0)</f>
        <v>254</v>
      </c>
      <c r="L342" s="111">
        <v>15</v>
      </c>
      <c r="M342" s="128" t="str">
        <f t="shared" si="2"/>
        <v>none</v>
      </c>
      <c r="N342" s="111">
        <f>LEN(Tableau16[[#This Row],[LABEL]])</f>
        <v>35</v>
      </c>
      <c r="O342" s="111">
        <v>15</v>
      </c>
      <c r="P342" s="111" t="e">
        <f>ROUND(Tableau16[[#This Row],[LEN]]*#REF!+#REF!,0)</f>
        <v>#REF!</v>
      </c>
    </row>
    <row r="343" spans="1:16" s="97" customFormat="1" x14ac:dyDescent="0.25">
      <c r="A343" s="29" t="s">
        <v>1189</v>
      </c>
      <c r="B343" s="30" t="s">
        <v>1174</v>
      </c>
      <c r="C343" s="31" t="s">
        <v>96</v>
      </c>
      <c r="D343" s="71" t="s">
        <v>1177</v>
      </c>
      <c r="E343" s="31" t="s">
        <v>663</v>
      </c>
      <c r="F343" s="31" t="s">
        <v>2080</v>
      </c>
      <c r="G343" s="71" t="s">
        <v>166</v>
      </c>
      <c r="H343" s="71" t="s">
        <v>654</v>
      </c>
      <c r="I343" s="31"/>
      <c r="J343" s="32" t="s">
        <v>708</v>
      </c>
      <c r="K343" s="111">
        <f>ROUND(Tableau16[[#This Row],[LEN]]*7.27,0)</f>
        <v>233</v>
      </c>
      <c r="L343" s="111">
        <v>15</v>
      </c>
      <c r="M343" s="128" t="str">
        <f t="shared" si="2"/>
        <v>none</v>
      </c>
      <c r="N343" s="111">
        <f>LEN(Tableau16[[#This Row],[LABEL]])</f>
        <v>32</v>
      </c>
      <c r="O343" s="111">
        <v>15</v>
      </c>
      <c r="P343" s="111" t="e">
        <f>ROUND(Tableau16[[#This Row],[LEN]]*#REF!+#REF!,0)</f>
        <v>#REF!</v>
      </c>
    </row>
    <row r="344" spans="1:16" s="97" customFormat="1" x14ac:dyDescent="0.25">
      <c r="A344" s="29" t="s">
        <v>1190</v>
      </c>
      <c r="B344" s="30" t="s">
        <v>1174</v>
      </c>
      <c r="C344" s="31" t="s">
        <v>97</v>
      </c>
      <c r="D344" s="71" t="s">
        <v>1177</v>
      </c>
      <c r="E344" s="31" t="s">
        <v>663</v>
      </c>
      <c r="F344" s="31" t="s">
        <v>2080</v>
      </c>
      <c r="G344" s="71" t="s">
        <v>166</v>
      </c>
      <c r="H344" s="71" t="s">
        <v>656</v>
      </c>
      <c r="I344" s="31"/>
      <c r="J344" s="32" t="s">
        <v>708</v>
      </c>
      <c r="K344" s="111">
        <f>ROUND(Tableau16[[#This Row],[LEN]]*7.27,0)</f>
        <v>145</v>
      </c>
      <c r="L344" s="111">
        <v>15</v>
      </c>
      <c r="M344" s="128" t="str">
        <f t="shared" si="2"/>
        <v>none</v>
      </c>
      <c r="N344" s="111">
        <f>LEN(Tableau16[[#This Row],[LABEL]])</f>
        <v>20</v>
      </c>
      <c r="O344" s="111">
        <v>15</v>
      </c>
      <c r="P344" s="111" t="e">
        <f>ROUND(Tableau16[[#This Row],[LEN]]*#REF!+#REF!,0)</f>
        <v>#REF!</v>
      </c>
    </row>
    <row r="345" spans="1:16" s="97" customFormat="1" x14ac:dyDescent="0.25">
      <c r="A345" s="25" t="s">
        <v>1175</v>
      </c>
      <c r="B345" s="26" t="s">
        <v>254</v>
      </c>
      <c r="C345" s="27" t="s">
        <v>1169</v>
      </c>
      <c r="D345" s="70" t="s">
        <v>1177</v>
      </c>
      <c r="E345" s="27" t="s">
        <v>667</v>
      </c>
      <c r="F345" s="27" t="s">
        <v>673</v>
      </c>
      <c r="G345" s="70" t="s">
        <v>166</v>
      </c>
      <c r="H345" s="70" t="s">
        <v>656</v>
      </c>
      <c r="I345" s="27"/>
      <c r="J345" s="28" t="s">
        <v>708</v>
      </c>
      <c r="K345" s="109">
        <f>ROUND(Tableau16[[#This Row],[LEN]]*7.27,0)</f>
        <v>334</v>
      </c>
      <c r="L345" s="109">
        <v>15</v>
      </c>
      <c r="M345" s="127" t="str">
        <f t="shared" si="2"/>
        <v>none</v>
      </c>
      <c r="N345" s="109">
        <f>LEN(Tableau16[[#This Row],[LABEL]])</f>
        <v>46</v>
      </c>
      <c r="O345" s="109">
        <v>15</v>
      </c>
      <c r="P345" s="109" t="e">
        <f>ROUND(Tableau16[[#This Row],[LEN]]*#REF!+#REF!,0)</f>
        <v>#REF!</v>
      </c>
    </row>
    <row r="346" spans="1:16" s="97" customFormat="1" x14ac:dyDescent="0.25">
      <c r="A346" s="25" t="s">
        <v>1176</v>
      </c>
      <c r="B346" s="26" t="s">
        <v>254</v>
      </c>
      <c r="C346" s="27" t="s">
        <v>1167</v>
      </c>
      <c r="D346" s="70" t="s">
        <v>486</v>
      </c>
      <c r="E346" s="27" t="s">
        <v>1177</v>
      </c>
      <c r="F346" s="27" t="s">
        <v>1084</v>
      </c>
      <c r="G346" s="70" t="s">
        <v>1977</v>
      </c>
      <c r="H346" s="70" t="s">
        <v>1131</v>
      </c>
      <c r="I346" s="27"/>
      <c r="J346" s="28" t="s">
        <v>708</v>
      </c>
      <c r="K346" s="109">
        <f>ROUND(Tableau16[[#This Row],[LEN]]*7.27,0)</f>
        <v>196</v>
      </c>
      <c r="L346" s="109">
        <v>15</v>
      </c>
      <c r="M346" s="127" t="str">
        <f t="shared" si="2"/>
        <v>none</v>
      </c>
      <c r="N346" s="109">
        <f>LEN(Tableau16[[#This Row],[LABEL]])</f>
        <v>27</v>
      </c>
      <c r="O346" s="109">
        <v>15</v>
      </c>
      <c r="P346" s="109" t="e">
        <f>ROUND(Tableau16[[#This Row],[LEN]]*#REF!+#REF!,0)</f>
        <v>#REF!</v>
      </c>
    </row>
    <row r="347" spans="1:16" s="97" customFormat="1" x14ac:dyDescent="0.25">
      <c r="A347" s="29" t="s">
        <v>1191</v>
      </c>
      <c r="B347" s="30" t="s">
        <v>1176</v>
      </c>
      <c r="C347" s="31" t="s">
        <v>93</v>
      </c>
      <c r="D347" s="71" t="s">
        <v>1177</v>
      </c>
      <c r="E347" s="31" t="s">
        <v>1085</v>
      </c>
      <c r="F347" s="31" t="s">
        <v>1084</v>
      </c>
      <c r="G347" s="71" t="s">
        <v>166</v>
      </c>
      <c r="H347" s="71" t="s">
        <v>18</v>
      </c>
      <c r="I347" s="31"/>
      <c r="J347" s="32" t="s">
        <v>101</v>
      </c>
      <c r="K347" s="111">
        <f>ROUND(Tableau16[[#This Row],[LEN]]*7.27,0)</f>
        <v>109</v>
      </c>
      <c r="L347" s="111">
        <v>15</v>
      </c>
      <c r="M347" s="128" t="str">
        <f t="shared" si="2"/>
        <v>new</v>
      </c>
      <c r="N347" s="111">
        <f>LEN(Tableau16[[#This Row],[LABEL]])</f>
        <v>15</v>
      </c>
      <c r="O347" s="111">
        <v>15</v>
      </c>
      <c r="P347" s="111" t="e">
        <f>ROUND(Tableau16[[#This Row],[LEN]]*#REF!+#REF!,0)</f>
        <v>#REF!</v>
      </c>
    </row>
    <row r="348" spans="1:16" s="97" customFormat="1" x14ac:dyDescent="0.25">
      <c r="A348" s="29" t="s">
        <v>1192</v>
      </c>
      <c r="B348" s="30" t="s">
        <v>1176</v>
      </c>
      <c r="C348" s="31" t="s">
        <v>94</v>
      </c>
      <c r="D348" s="71" t="s">
        <v>1177</v>
      </c>
      <c r="E348" s="31" t="s">
        <v>1085</v>
      </c>
      <c r="F348" s="31" t="s">
        <v>1084</v>
      </c>
      <c r="G348" s="71" t="s">
        <v>166</v>
      </c>
      <c r="H348" s="71" t="s">
        <v>18</v>
      </c>
      <c r="I348" s="31"/>
      <c r="J348" s="32" t="s">
        <v>102</v>
      </c>
      <c r="K348" s="111">
        <f>ROUND(Tableau16[[#This Row],[LEN]]*7.27,0)</f>
        <v>58</v>
      </c>
      <c r="L348" s="111">
        <v>15</v>
      </c>
      <c r="M348" s="128" t="str">
        <f t="shared" si="2"/>
        <v>new</v>
      </c>
      <c r="N348" s="111">
        <f>LEN(Tableau16[[#This Row],[LABEL]])</f>
        <v>8</v>
      </c>
      <c r="O348" s="111">
        <v>15</v>
      </c>
      <c r="P348" s="111" t="e">
        <f>ROUND(Tableau16[[#This Row],[LEN]]*#REF!+#REF!,0)</f>
        <v>#REF!</v>
      </c>
    </row>
    <row r="349" spans="1:16" s="273" customFormat="1" x14ac:dyDescent="0.25">
      <c r="A349" s="288" t="s">
        <v>255</v>
      </c>
      <c r="B349" s="289" t="s">
        <v>206</v>
      </c>
      <c r="C349" s="290" t="s">
        <v>6</v>
      </c>
      <c r="D349" s="291" t="s">
        <v>1177</v>
      </c>
      <c r="E349" s="290" t="s">
        <v>669</v>
      </c>
      <c r="F349" s="290" t="s">
        <v>1177</v>
      </c>
      <c r="G349" s="291" t="s">
        <v>166</v>
      </c>
      <c r="H349" s="291" t="str">
        <f>IFERROR(IF(SEARCH(".00.00.00.00.00",Tableau16[[#This Row],[name]],1)=7,"Division",""),"")</f>
        <v>Division</v>
      </c>
      <c r="I349" s="290"/>
      <c r="J349" s="292" t="s">
        <v>708</v>
      </c>
      <c r="K349" s="293">
        <f>ROUND(Tableau16[[#This Row],[LEN]]*7.27,0)</f>
        <v>196</v>
      </c>
      <c r="L349" s="293">
        <v>15</v>
      </c>
      <c r="M349" s="294" t="str">
        <f t="shared" si="2"/>
        <v>none</v>
      </c>
      <c r="N349" s="293">
        <f>LEN(Tableau16[[#This Row],[LABEL]])</f>
        <v>27</v>
      </c>
      <c r="O349" s="293">
        <v>15</v>
      </c>
      <c r="P349" s="293" t="e">
        <f>ROUND(Tableau16[[#This Row],[LEN]]*#REF!+#REF!,0)</f>
        <v>#REF!</v>
      </c>
    </row>
    <row r="350" spans="1:16" s="97" customFormat="1" x14ac:dyDescent="0.25">
      <c r="A350" s="25" t="s">
        <v>436</v>
      </c>
      <c r="B350" s="26" t="s">
        <v>255</v>
      </c>
      <c r="C350" s="27" t="s">
        <v>137</v>
      </c>
      <c r="D350" s="70" t="s">
        <v>1177</v>
      </c>
      <c r="E350" s="27" t="s">
        <v>669</v>
      </c>
      <c r="F350" s="27" t="s">
        <v>1177</v>
      </c>
      <c r="G350" s="70" t="s">
        <v>166</v>
      </c>
      <c r="H350" s="70" t="s">
        <v>654</v>
      </c>
      <c r="I350" s="27"/>
      <c r="J350" s="28" t="s">
        <v>726</v>
      </c>
      <c r="K350" s="109">
        <f>ROUND(Tableau16[[#This Row],[LEN]]*7.27,0)</f>
        <v>269</v>
      </c>
      <c r="L350" s="109">
        <v>15</v>
      </c>
      <c r="M350" s="127" t="str">
        <f t="shared" si="2"/>
        <v>new</v>
      </c>
      <c r="N350" s="109">
        <f>LEN(Tableau16[[#This Row],[LABEL]])</f>
        <v>37</v>
      </c>
      <c r="O350" s="109">
        <v>15</v>
      </c>
      <c r="P350" s="109" t="e">
        <f>ROUND(Tableau16[[#This Row],[LEN]]*#REF!+#REF!,0)</f>
        <v>#REF!</v>
      </c>
    </row>
    <row r="351" spans="1:16" s="97" customFormat="1" x14ac:dyDescent="0.25">
      <c r="A351" s="25" t="s">
        <v>437</v>
      </c>
      <c r="B351" s="26" t="s">
        <v>255</v>
      </c>
      <c r="C351" s="27" t="s">
        <v>138</v>
      </c>
      <c r="D351" s="70" t="s">
        <v>1177</v>
      </c>
      <c r="E351" s="27" t="s">
        <v>669</v>
      </c>
      <c r="F351" s="27" t="s">
        <v>678</v>
      </c>
      <c r="G351" s="70" t="s">
        <v>166</v>
      </c>
      <c r="H351" s="70" t="s">
        <v>655</v>
      </c>
      <c r="I351" s="27"/>
      <c r="J351" s="28" t="s">
        <v>708</v>
      </c>
      <c r="K351" s="109">
        <f>ROUND(Tableau16[[#This Row],[LEN]]*7.27,0)</f>
        <v>225</v>
      </c>
      <c r="L351" s="109">
        <v>15</v>
      </c>
      <c r="M351" s="127" t="str">
        <f t="shared" si="2"/>
        <v>none</v>
      </c>
      <c r="N351" s="109">
        <f>LEN(Tableau16[[#This Row],[LABEL]])</f>
        <v>31</v>
      </c>
      <c r="O351" s="109">
        <v>15</v>
      </c>
      <c r="P351" s="109" t="e">
        <f>ROUND(Tableau16[[#This Row],[LEN]]*#REF!+#REF!,0)</f>
        <v>#REF!</v>
      </c>
    </row>
    <row r="352" spans="1:16" s="97" customFormat="1" x14ac:dyDescent="0.25">
      <c r="A352" s="29" t="s">
        <v>438</v>
      </c>
      <c r="B352" s="30" t="s">
        <v>437</v>
      </c>
      <c r="C352" s="31" t="s">
        <v>139</v>
      </c>
      <c r="D352" s="71" t="s">
        <v>1177</v>
      </c>
      <c r="E352" s="31" t="s">
        <v>669</v>
      </c>
      <c r="F352" s="31" t="s">
        <v>678</v>
      </c>
      <c r="G352" s="71" t="s">
        <v>166</v>
      </c>
      <c r="H352" s="71" t="s">
        <v>654</v>
      </c>
      <c r="I352" s="31"/>
      <c r="J352" s="32" t="s">
        <v>708</v>
      </c>
      <c r="K352" s="111">
        <f>ROUND(Tableau16[[#This Row],[LEN]]*7.27,0)</f>
        <v>327</v>
      </c>
      <c r="L352" s="111">
        <v>15</v>
      </c>
      <c r="M352" s="128" t="str">
        <f t="shared" si="2"/>
        <v>none</v>
      </c>
      <c r="N352" s="111">
        <f>LEN(Tableau16[[#This Row],[LABEL]])</f>
        <v>45</v>
      </c>
      <c r="O352" s="111">
        <v>15</v>
      </c>
      <c r="P352" s="111" t="e">
        <f>ROUND(Tableau16[[#This Row],[LEN]]*#REF!+#REF!,0)</f>
        <v>#REF!</v>
      </c>
    </row>
    <row r="353" spans="1:16" s="97" customFormat="1" x14ac:dyDescent="0.25">
      <c r="A353" s="29" t="s">
        <v>439</v>
      </c>
      <c r="B353" s="30" t="s">
        <v>437</v>
      </c>
      <c r="C353" s="31" t="s">
        <v>140</v>
      </c>
      <c r="D353" s="71" t="s">
        <v>1177</v>
      </c>
      <c r="E353" s="31" t="s">
        <v>669</v>
      </c>
      <c r="F353" s="31" t="s">
        <v>678</v>
      </c>
      <c r="G353" s="71" t="s">
        <v>166</v>
      </c>
      <c r="H353" s="71" t="s">
        <v>654</v>
      </c>
      <c r="I353" s="31"/>
      <c r="J353" s="32" t="s">
        <v>708</v>
      </c>
      <c r="K353" s="111">
        <f>ROUND(Tableau16[[#This Row],[LEN]]*7.27,0)</f>
        <v>385</v>
      </c>
      <c r="L353" s="111">
        <v>15</v>
      </c>
      <c r="M353" s="128" t="str">
        <f t="shared" si="2"/>
        <v>none</v>
      </c>
      <c r="N353" s="111">
        <f>LEN(Tableau16[[#This Row],[LABEL]])</f>
        <v>53</v>
      </c>
      <c r="O353" s="111">
        <v>15</v>
      </c>
      <c r="P353" s="111" t="e">
        <f>ROUND(Tableau16[[#This Row],[LEN]]*#REF!+#REF!,0)</f>
        <v>#REF!</v>
      </c>
    </row>
    <row r="354" spans="1:16" s="97" customFormat="1" x14ac:dyDescent="0.25">
      <c r="A354" s="29" t="s">
        <v>440</v>
      </c>
      <c r="B354" s="30" t="s">
        <v>437</v>
      </c>
      <c r="C354" s="31" t="s">
        <v>141</v>
      </c>
      <c r="D354" s="71" t="s">
        <v>1177</v>
      </c>
      <c r="E354" s="31" t="s">
        <v>669</v>
      </c>
      <c r="F354" s="31" t="s">
        <v>678</v>
      </c>
      <c r="G354" s="71" t="s">
        <v>166</v>
      </c>
      <c r="H354" s="71" t="s">
        <v>17</v>
      </c>
      <c r="I354" s="31"/>
      <c r="J354" s="32" t="s">
        <v>708</v>
      </c>
      <c r="K354" s="111">
        <f>ROUND(Tableau16[[#This Row],[LEN]]*7.27,0)</f>
        <v>313</v>
      </c>
      <c r="L354" s="111">
        <v>15</v>
      </c>
      <c r="M354" s="128" t="str">
        <f t="shared" si="2"/>
        <v>none</v>
      </c>
      <c r="N354" s="111">
        <f>LEN(Tableau16[[#This Row],[LABEL]])</f>
        <v>43</v>
      </c>
      <c r="O354" s="111">
        <v>15</v>
      </c>
      <c r="P354" s="111" t="e">
        <f>ROUND(Tableau16[[#This Row],[LEN]]*#REF!+#REF!,0)</f>
        <v>#REF!</v>
      </c>
    </row>
    <row r="355" spans="1:16" s="97" customFormat="1" x14ac:dyDescent="0.25">
      <c r="A355" s="25" t="s">
        <v>441</v>
      </c>
      <c r="B355" s="26" t="s">
        <v>255</v>
      </c>
      <c r="C355" s="27" t="s">
        <v>88</v>
      </c>
      <c r="D355" s="70" t="s">
        <v>1177</v>
      </c>
      <c r="E355" s="27" t="s">
        <v>667</v>
      </c>
      <c r="F355" s="27" t="s">
        <v>1218</v>
      </c>
      <c r="G355" s="70" t="s">
        <v>166</v>
      </c>
      <c r="H355" s="70" t="s">
        <v>570</v>
      </c>
      <c r="I355" s="27"/>
      <c r="J355" s="28" t="s">
        <v>708</v>
      </c>
      <c r="K355" s="109">
        <f>ROUND(Tableau16[[#This Row],[LEN]]*7.27,0)</f>
        <v>342</v>
      </c>
      <c r="L355" s="109">
        <v>15</v>
      </c>
      <c r="M355" s="127" t="str">
        <f t="shared" si="2"/>
        <v>none</v>
      </c>
      <c r="N355" s="109">
        <f>LEN(Tableau16[[#This Row],[LABEL]])</f>
        <v>47</v>
      </c>
      <c r="O355" s="109">
        <v>15</v>
      </c>
      <c r="P355" s="109" t="e">
        <f>ROUND(Tableau16[[#This Row],[LEN]]*#REF!+#REF!,0)</f>
        <v>#REF!</v>
      </c>
    </row>
    <row r="356" spans="1:16" s="97" customFormat="1" x14ac:dyDescent="0.25">
      <c r="A356" s="25" t="s">
        <v>442</v>
      </c>
      <c r="B356" s="26" t="s">
        <v>255</v>
      </c>
      <c r="C356" s="27" t="s">
        <v>142</v>
      </c>
      <c r="D356" s="70" t="s">
        <v>1177</v>
      </c>
      <c r="E356" s="27" t="s">
        <v>669</v>
      </c>
      <c r="F356" s="27" t="s">
        <v>677</v>
      </c>
      <c r="G356" s="70" t="s">
        <v>166</v>
      </c>
      <c r="H356" s="70" t="s">
        <v>655</v>
      </c>
      <c r="I356" s="27"/>
      <c r="J356" s="28" t="s">
        <v>708</v>
      </c>
      <c r="K356" s="109">
        <f>ROUND(Tableau16[[#This Row],[LEN]]*7.27,0)</f>
        <v>109</v>
      </c>
      <c r="L356" s="109">
        <v>15</v>
      </c>
      <c r="M356" s="127" t="str">
        <f t="shared" si="2"/>
        <v>none</v>
      </c>
      <c r="N356" s="109">
        <f>LEN(Tableau16[[#This Row],[LABEL]])</f>
        <v>15</v>
      </c>
      <c r="O356" s="109">
        <v>15</v>
      </c>
      <c r="P356" s="109" t="e">
        <f>ROUND(Tableau16[[#This Row],[LEN]]*#REF!+#REF!,0)</f>
        <v>#REF!</v>
      </c>
    </row>
    <row r="357" spans="1:16" s="97" customFormat="1" x14ac:dyDescent="0.25">
      <c r="A357" s="25" t="s">
        <v>487</v>
      </c>
      <c r="B357" s="26" t="s">
        <v>255</v>
      </c>
      <c r="C357" s="27" t="s">
        <v>143</v>
      </c>
      <c r="D357" s="70" t="s">
        <v>1177</v>
      </c>
      <c r="E357" s="27" t="s">
        <v>669</v>
      </c>
      <c r="F357" s="27" t="s">
        <v>1177</v>
      </c>
      <c r="G357" s="70" t="s">
        <v>166</v>
      </c>
      <c r="H357" s="70" t="s">
        <v>656</v>
      </c>
      <c r="I357" s="27"/>
      <c r="J357" s="28" t="s">
        <v>727</v>
      </c>
      <c r="K357" s="109">
        <f>ROUND(Tableau16[[#This Row],[LEN]]*7.27,0)</f>
        <v>436</v>
      </c>
      <c r="L357" s="109">
        <v>15</v>
      </c>
      <c r="M357" s="127" t="str">
        <f t="shared" si="2"/>
        <v>new</v>
      </c>
      <c r="N357" s="109">
        <f>LEN(Tableau16[[#This Row],[LABEL]])</f>
        <v>60</v>
      </c>
      <c r="O357" s="109">
        <v>15</v>
      </c>
      <c r="P357" s="109" t="e">
        <f>ROUND(Tableau16[[#This Row],[LEN]]*#REF!+#REF!,0)</f>
        <v>#REF!</v>
      </c>
    </row>
    <row r="358" spans="1:16" s="97" customFormat="1" x14ac:dyDescent="0.25">
      <c r="A358" s="25" t="s">
        <v>488</v>
      </c>
      <c r="B358" s="26" t="s">
        <v>255</v>
      </c>
      <c r="C358" s="27" t="s">
        <v>144</v>
      </c>
      <c r="D358" s="70" t="s">
        <v>1177</v>
      </c>
      <c r="E358" s="27" t="s">
        <v>669</v>
      </c>
      <c r="F358" s="27" t="s">
        <v>1177</v>
      </c>
      <c r="G358" s="70" t="s">
        <v>166</v>
      </c>
      <c r="H358" s="70" t="s">
        <v>655</v>
      </c>
      <c r="I358" s="27"/>
      <c r="J358" s="28" t="s">
        <v>708</v>
      </c>
      <c r="K358" s="109">
        <f>ROUND(Tableau16[[#This Row],[LEN]]*7.27,0)</f>
        <v>44</v>
      </c>
      <c r="L358" s="109">
        <v>15</v>
      </c>
      <c r="M358" s="127" t="str">
        <f t="shared" si="2"/>
        <v>none</v>
      </c>
      <c r="N358" s="109">
        <f>LEN(Tableau16[[#This Row],[LABEL]])</f>
        <v>6</v>
      </c>
      <c r="O358" s="109">
        <v>15</v>
      </c>
      <c r="P358" s="109" t="e">
        <f>ROUND(Tableau16[[#This Row],[LEN]]*#REF!+#REF!,0)</f>
        <v>#REF!</v>
      </c>
    </row>
    <row r="359" spans="1:16" s="97" customFormat="1" x14ac:dyDescent="0.25">
      <c r="A359" s="29" t="s">
        <v>658</v>
      </c>
      <c r="B359" s="30" t="s">
        <v>488</v>
      </c>
      <c r="C359" s="31" t="s">
        <v>685</v>
      </c>
      <c r="D359" s="71" t="s">
        <v>1177</v>
      </c>
      <c r="E359" s="31" t="s">
        <v>669</v>
      </c>
      <c r="F359" s="31" t="s">
        <v>1177</v>
      </c>
      <c r="G359" s="71" t="s">
        <v>166</v>
      </c>
      <c r="H359" s="71" t="s">
        <v>655</v>
      </c>
      <c r="I359" s="31"/>
      <c r="J359" s="32" t="s">
        <v>708</v>
      </c>
      <c r="K359" s="111">
        <f>ROUND(Tableau16[[#This Row],[LEN]]*7.27,0)</f>
        <v>58</v>
      </c>
      <c r="L359" s="111">
        <v>15</v>
      </c>
      <c r="M359" s="128" t="str">
        <f t="shared" si="2"/>
        <v>none</v>
      </c>
      <c r="N359" s="111">
        <f>LEN(Tableau16[[#This Row],[LABEL]])</f>
        <v>8</v>
      </c>
      <c r="O359" s="111">
        <v>15</v>
      </c>
      <c r="P359" s="111" t="e">
        <f>ROUND(Tableau16[[#This Row],[LEN]]*#REF!+#REF!,0)</f>
        <v>#REF!</v>
      </c>
    </row>
    <row r="360" spans="1:16" s="97" customFormat="1" x14ac:dyDescent="0.25">
      <c r="A360" s="86" t="s">
        <v>688</v>
      </c>
      <c r="B360" s="87" t="s">
        <v>658</v>
      </c>
      <c r="C360" s="88" t="s">
        <v>145</v>
      </c>
      <c r="D360" s="89" t="s">
        <v>1177</v>
      </c>
      <c r="E360" s="88" t="s">
        <v>669</v>
      </c>
      <c r="F360" s="88" t="s">
        <v>1177</v>
      </c>
      <c r="G360" s="89" t="s">
        <v>166</v>
      </c>
      <c r="H360" s="90" t="s">
        <v>654</v>
      </c>
      <c r="I360" s="88"/>
      <c r="J360" s="91" t="s">
        <v>708</v>
      </c>
      <c r="K360" s="112">
        <f>ROUND(Tableau16[[#This Row],[LEN]]*7.27,0)</f>
        <v>342</v>
      </c>
      <c r="L360" s="112">
        <v>15</v>
      </c>
      <c r="M360" s="129" t="str">
        <f t="shared" si="2"/>
        <v>none</v>
      </c>
      <c r="N360" s="112">
        <f>LEN(Tableau16[[#This Row],[LABEL]])</f>
        <v>47</v>
      </c>
      <c r="O360" s="112">
        <v>15</v>
      </c>
      <c r="P360" s="112" t="e">
        <f>ROUND(Tableau16[[#This Row],[LEN]]*#REF!+#REF!,0)</f>
        <v>#REF!</v>
      </c>
    </row>
    <row r="361" spans="1:16" s="97" customFormat="1" x14ac:dyDescent="0.25">
      <c r="A361" s="86" t="s">
        <v>689</v>
      </c>
      <c r="B361" s="87" t="s">
        <v>658</v>
      </c>
      <c r="C361" s="88" t="s">
        <v>146</v>
      </c>
      <c r="D361" s="89" t="s">
        <v>1177</v>
      </c>
      <c r="E361" s="88" t="s">
        <v>669</v>
      </c>
      <c r="F361" s="88" t="s">
        <v>1177</v>
      </c>
      <c r="G361" s="89" t="s">
        <v>166</v>
      </c>
      <c r="H361" s="90" t="s">
        <v>654</v>
      </c>
      <c r="I361" s="88"/>
      <c r="J361" s="91" t="s">
        <v>708</v>
      </c>
      <c r="K361" s="112">
        <f>ROUND(Tableau16[[#This Row],[LEN]]*7.27,0)</f>
        <v>291</v>
      </c>
      <c r="L361" s="112">
        <v>15</v>
      </c>
      <c r="M361" s="129" t="str">
        <f t="shared" si="2"/>
        <v>none</v>
      </c>
      <c r="N361" s="112">
        <f>LEN(Tableau16[[#This Row],[LABEL]])</f>
        <v>40</v>
      </c>
      <c r="O361" s="112">
        <v>15</v>
      </c>
      <c r="P361" s="112" t="e">
        <f>ROUND(Tableau16[[#This Row],[LEN]]*#REF!+#REF!,0)</f>
        <v>#REF!</v>
      </c>
    </row>
    <row r="362" spans="1:16" s="97" customFormat="1" x14ac:dyDescent="0.25">
      <c r="A362" s="86" t="s">
        <v>690</v>
      </c>
      <c r="B362" s="87" t="s">
        <v>658</v>
      </c>
      <c r="C362" s="88" t="s">
        <v>147</v>
      </c>
      <c r="D362" s="89" t="s">
        <v>1177</v>
      </c>
      <c r="E362" s="88" t="s">
        <v>669</v>
      </c>
      <c r="F362" s="88" t="s">
        <v>1177</v>
      </c>
      <c r="G362" s="89" t="s">
        <v>166</v>
      </c>
      <c r="H362" s="90" t="s">
        <v>654</v>
      </c>
      <c r="I362" s="88"/>
      <c r="J362" s="91" t="s">
        <v>708</v>
      </c>
      <c r="K362" s="112">
        <f>ROUND(Tableau16[[#This Row],[LEN]]*7.27,0)</f>
        <v>174</v>
      </c>
      <c r="L362" s="112">
        <v>15</v>
      </c>
      <c r="M362" s="129" t="str">
        <f t="shared" si="2"/>
        <v>none</v>
      </c>
      <c r="N362" s="112">
        <f>LEN(Tableau16[[#This Row],[LABEL]])</f>
        <v>24</v>
      </c>
      <c r="O362" s="112">
        <v>15</v>
      </c>
      <c r="P362" s="112" t="e">
        <f>ROUND(Tableau16[[#This Row],[LEN]]*#REF!+#REF!,0)</f>
        <v>#REF!</v>
      </c>
    </row>
    <row r="363" spans="1:16" s="97" customFormat="1" x14ac:dyDescent="0.25">
      <c r="A363" s="86" t="s">
        <v>691</v>
      </c>
      <c r="B363" s="87" t="s">
        <v>658</v>
      </c>
      <c r="C363" s="88" t="s">
        <v>148</v>
      </c>
      <c r="D363" s="89" t="s">
        <v>1177</v>
      </c>
      <c r="E363" s="88" t="s">
        <v>669</v>
      </c>
      <c r="F363" s="88" t="s">
        <v>1177</v>
      </c>
      <c r="G363" s="89" t="s">
        <v>166</v>
      </c>
      <c r="H363" s="90" t="s">
        <v>654</v>
      </c>
      <c r="I363" s="88"/>
      <c r="J363" s="91" t="s">
        <v>708</v>
      </c>
      <c r="K363" s="112">
        <f>ROUND(Tableau16[[#This Row],[LEN]]*7.27,0)</f>
        <v>225</v>
      </c>
      <c r="L363" s="112">
        <v>15</v>
      </c>
      <c r="M363" s="129" t="str">
        <f t="shared" si="2"/>
        <v>none</v>
      </c>
      <c r="N363" s="112">
        <f>LEN(Tableau16[[#This Row],[LABEL]])</f>
        <v>31</v>
      </c>
      <c r="O363" s="112">
        <v>15</v>
      </c>
      <c r="P363" s="112" t="e">
        <f>ROUND(Tableau16[[#This Row],[LEN]]*#REF!+#REF!,0)</f>
        <v>#REF!</v>
      </c>
    </row>
    <row r="364" spans="1:16" s="97" customFormat="1" x14ac:dyDescent="0.25">
      <c r="A364" s="29" t="s">
        <v>659</v>
      </c>
      <c r="B364" s="30" t="s">
        <v>488</v>
      </c>
      <c r="C364" s="31" t="s">
        <v>686</v>
      </c>
      <c r="D364" s="71" t="s">
        <v>1177</v>
      </c>
      <c r="E364" s="31" t="s">
        <v>669</v>
      </c>
      <c r="F364" s="31" t="s">
        <v>1177</v>
      </c>
      <c r="G364" s="71" t="s">
        <v>166</v>
      </c>
      <c r="H364" s="71" t="s">
        <v>655</v>
      </c>
      <c r="I364" s="31"/>
      <c r="J364" s="32" t="s">
        <v>708</v>
      </c>
      <c r="K364" s="111">
        <f>ROUND(Tableau16[[#This Row],[LEN]]*7.27,0)</f>
        <v>29</v>
      </c>
      <c r="L364" s="111">
        <v>15</v>
      </c>
      <c r="M364" s="128" t="str">
        <f t="shared" si="2"/>
        <v>none</v>
      </c>
      <c r="N364" s="111">
        <f>LEN(Tableau16[[#This Row],[LABEL]])</f>
        <v>4</v>
      </c>
      <c r="O364" s="111">
        <v>15</v>
      </c>
      <c r="P364" s="111" t="e">
        <f>ROUND(Tableau16[[#This Row],[LEN]]*#REF!+#REF!,0)</f>
        <v>#REF!</v>
      </c>
    </row>
    <row r="365" spans="1:16" s="97" customFormat="1" x14ac:dyDescent="0.25">
      <c r="A365" s="86" t="s">
        <v>692</v>
      </c>
      <c r="B365" s="87" t="s">
        <v>659</v>
      </c>
      <c r="C365" s="88" t="s">
        <v>149</v>
      </c>
      <c r="D365" s="89" t="s">
        <v>1177</v>
      </c>
      <c r="E365" s="88" t="s">
        <v>669</v>
      </c>
      <c r="F365" s="88" t="s">
        <v>1177</v>
      </c>
      <c r="G365" s="89" t="s">
        <v>166</v>
      </c>
      <c r="H365" s="90" t="s">
        <v>654</v>
      </c>
      <c r="I365" s="88"/>
      <c r="J365" s="91" t="s">
        <v>708</v>
      </c>
      <c r="K365" s="112">
        <f>ROUND(Tableau16[[#This Row],[LEN]]*7.27,0)</f>
        <v>167</v>
      </c>
      <c r="L365" s="112">
        <v>15</v>
      </c>
      <c r="M365" s="129" t="str">
        <f t="shared" si="2"/>
        <v>none</v>
      </c>
      <c r="N365" s="112">
        <f>LEN(Tableau16[[#This Row],[LABEL]])</f>
        <v>23</v>
      </c>
      <c r="O365" s="112">
        <v>15</v>
      </c>
      <c r="P365" s="112" t="e">
        <f>ROUND(Tableau16[[#This Row],[LEN]]*#REF!+#REF!,0)</f>
        <v>#REF!</v>
      </c>
    </row>
    <row r="366" spans="1:16" s="97" customFormat="1" x14ac:dyDescent="0.25">
      <c r="A366" s="86" t="s">
        <v>693</v>
      </c>
      <c r="B366" s="87" t="s">
        <v>659</v>
      </c>
      <c r="C366" s="88" t="s">
        <v>150</v>
      </c>
      <c r="D366" s="89" t="s">
        <v>1177</v>
      </c>
      <c r="E366" s="88" t="s">
        <v>669</v>
      </c>
      <c r="F366" s="88" t="s">
        <v>1177</v>
      </c>
      <c r="G366" s="89" t="s">
        <v>166</v>
      </c>
      <c r="H366" s="90" t="s">
        <v>570</v>
      </c>
      <c r="I366" s="88"/>
      <c r="J366" s="91" t="s">
        <v>708</v>
      </c>
      <c r="K366" s="112">
        <f>ROUND(Tableau16[[#This Row],[LEN]]*7.27,0)</f>
        <v>247</v>
      </c>
      <c r="L366" s="112">
        <v>15</v>
      </c>
      <c r="M366" s="129" t="str">
        <f t="shared" si="2"/>
        <v>none</v>
      </c>
      <c r="N366" s="112">
        <f>LEN(Tableau16[[#This Row],[LABEL]])</f>
        <v>34</v>
      </c>
      <c r="O366" s="112">
        <v>15</v>
      </c>
      <c r="P366" s="112" t="e">
        <f>ROUND(Tableau16[[#This Row],[LEN]]*#REF!+#REF!,0)</f>
        <v>#REF!</v>
      </c>
    </row>
    <row r="367" spans="1:16" s="97" customFormat="1" x14ac:dyDescent="0.25">
      <c r="A367" s="86" t="s">
        <v>694</v>
      </c>
      <c r="B367" s="87" t="s">
        <v>659</v>
      </c>
      <c r="C367" s="88" t="s">
        <v>151</v>
      </c>
      <c r="D367" s="89" t="s">
        <v>1177</v>
      </c>
      <c r="E367" s="88" t="s">
        <v>669</v>
      </c>
      <c r="F367" s="88" t="s">
        <v>1177</v>
      </c>
      <c r="G367" s="89" t="s">
        <v>166</v>
      </c>
      <c r="H367" s="90" t="s">
        <v>654</v>
      </c>
      <c r="I367" s="88"/>
      <c r="J367" s="91" t="s">
        <v>708</v>
      </c>
      <c r="K367" s="112">
        <f>ROUND(Tableau16[[#This Row],[LEN]]*7.27,0)</f>
        <v>233</v>
      </c>
      <c r="L367" s="112">
        <v>15</v>
      </c>
      <c r="M367" s="129" t="str">
        <f t="shared" si="2"/>
        <v>none</v>
      </c>
      <c r="N367" s="112">
        <f>LEN(Tableau16[[#This Row],[LABEL]])</f>
        <v>32</v>
      </c>
      <c r="O367" s="112">
        <v>15</v>
      </c>
      <c r="P367" s="112" t="e">
        <f>ROUND(Tableau16[[#This Row],[LEN]]*#REF!+#REF!,0)</f>
        <v>#REF!</v>
      </c>
    </row>
    <row r="368" spans="1:16" s="97" customFormat="1" x14ac:dyDescent="0.25">
      <c r="A368" s="86" t="s">
        <v>695</v>
      </c>
      <c r="B368" s="87" t="s">
        <v>659</v>
      </c>
      <c r="C368" s="88" t="s">
        <v>152</v>
      </c>
      <c r="D368" s="89" t="s">
        <v>1177</v>
      </c>
      <c r="E368" s="88" t="s">
        <v>669</v>
      </c>
      <c r="F368" s="88" t="s">
        <v>1177</v>
      </c>
      <c r="G368" s="89" t="s">
        <v>166</v>
      </c>
      <c r="H368" s="90" t="s">
        <v>654</v>
      </c>
      <c r="I368" s="88"/>
      <c r="J368" s="91" t="s">
        <v>708</v>
      </c>
      <c r="K368" s="112">
        <f>ROUND(Tableau16[[#This Row],[LEN]]*7.27,0)</f>
        <v>174</v>
      </c>
      <c r="L368" s="112">
        <v>15</v>
      </c>
      <c r="M368" s="129" t="str">
        <f t="shared" si="2"/>
        <v>none</v>
      </c>
      <c r="N368" s="112">
        <f>LEN(Tableau16[[#This Row],[LABEL]])</f>
        <v>24</v>
      </c>
      <c r="O368" s="112">
        <v>15</v>
      </c>
      <c r="P368" s="112" t="e">
        <f>ROUND(Tableau16[[#This Row],[LEN]]*#REF!+#REF!,0)</f>
        <v>#REF!</v>
      </c>
    </row>
    <row r="369" spans="1:16" s="97" customFormat="1" x14ac:dyDescent="0.25">
      <c r="A369" s="29" t="s">
        <v>660</v>
      </c>
      <c r="B369" s="30" t="s">
        <v>488</v>
      </c>
      <c r="C369" s="31" t="s">
        <v>687</v>
      </c>
      <c r="D369" s="71" t="s">
        <v>1177</v>
      </c>
      <c r="E369" s="31" t="s">
        <v>669</v>
      </c>
      <c r="F369" s="31" t="s">
        <v>1177</v>
      </c>
      <c r="G369" s="71" t="s">
        <v>166</v>
      </c>
      <c r="H369" s="71" t="s">
        <v>655</v>
      </c>
      <c r="I369" s="31"/>
      <c r="J369" s="32" t="s">
        <v>708</v>
      </c>
      <c r="K369" s="111">
        <f>ROUND(Tableau16[[#This Row],[LEN]]*7.27,0)</f>
        <v>51</v>
      </c>
      <c r="L369" s="111">
        <v>15</v>
      </c>
      <c r="M369" s="128" t="str">
        <f t="shared" si="2"/>
        <v>none</v>
      </c>
      <c r="N369" s="111">
        <f>LEN(Tableau16[[#This Row],[LABEL]])</f>
        <v>7</v>
      </c>
      <c r="O369" s="111">
        <v>15</v>
      </c>
      <c r="P369" s="111" t="e">
        <f>ROUND(Tableau16[[#This Row],[LEN]]*#REF!+#REF!,0)</f>
        <v>#REF!</v>
      </c>
    </row>
    <row r="370" spans="1:16" s="97" customFormat="1" x14ac:dyDescent="0.25">
      <c r="A370" s="86" t="s">
        <v>696</v>
      </c>
      <c r="B370" s="87" t="s">
        <v>660</v>
      </c>
      <c r="C370" s="88" t="s">
        <v>153</v>
      </c>
      <c r="D370" s="89" t="s">
        <v>1177</v>
      </c>
      <c r="E370" s="88" t="s">
        <v>669</v>
      </c>
      <c r="F370" s="88" t="s">
        <v>1177</v>
      </c>
      <c r="G370" s="89" t="s">
        <v>166</v>
      </c>
      <c r="H370" s="90" t="s">
        <v>654</v>
      </c>
      <c r="I370" s="88"/>
      <c r="J370" s="91" t="s">
        <v>728</v>
      </c>
      <c r="K370" s="112">
        <f>ROUND(Tableau16[[#This Row],[LEN]]*7.27,0)</f>
        <v>276</v>
      </c>
      <c r="L370" s="112">
        <v>15</v>
      </c>
      <c r="M370" s="129" t="str">
        <f t="shared" si="2"/>
        <v>new</v>
      </c>
      <c r="N370" s="112">
        <f>LEN(Tableau16[[#This Row],[LABEL]])</f>
        <v>38</v>
      </c>
      <c r="O370" s="112">
        <v>15</v>
      </c>
      <c r="P370" s="112" t="e">
        <f>ROUND(Tableau16[[#This Row],[LEN]]*#REF!+#REF!,0)</f>
        <v>#REF!</v>
      </c>
    </row>
    <row r="371" spans="1:16" s="97" customFormat="1" x14ac:dyDescent="0.25">
      <c r="A371" s="86" t="s">
        <v>697</v>
      </c>
      <c r="B371" s="87" t="s">
        <v>660</v>
      </c>
      <c r="C371" s="88" t="s">
        <v>154</v>
      </c>
      <c r="D371" s="89" t="s">
        <v>1177</v>
      </c>
      <c r="E371" s="88" t="s">
        <v>669</v>
      </c>
      <c r="F371" s="88" t="s">
        <v>1177</v>
      </c>
      <c r="G371" s="89" t="s">
        <v>166</v>
      </c>
      <c r="H371" s="90" t="s">
        <v>654</v>
      </c>
      <c r="I371" s="88"/>
      <c r="J371" s="91" t="s">
        <v>708</v>
      </c>
      <c r="K371" s="112">
        <f>ROUND(Tableau16[[#This Row],[LEN]]*7.27,0)</f>
        <v>262</v>
      </c>
      <c r="L371" s="112">
        <v>15</v>
      </c>
      <c r="M371" s="129" t="str">
        <f t="shared" si="2"/>
        <v>none</v>
      </c>
      <c r="N371" s="112">
        <f>LEN(Tableau16[[#This Row],[LABEL]])</f>
        <v>36</v>
      </c>
      <c r="O371" s="112">
        <v>15</v>
      </c>
      <c r="P371" s="112" t="e">
        <f>ROUND(Tableau16[[#This Row],[LEN]]*#REF!+#REF!,0)</f>
        <v>#REF!</v>
      </c>
    </row>
    <row r="372" spans="1:16" s="97" customFormat="1" x14ac:dyDescent="0.25">
      <c r="A372" s="86" t="s">
        <v>698</v>
      </c>
      <c r="B372" s="87" t="s">
        <v>660</v>
      </c>
      <c r="C372" s="88" t="s">
        <v>155</v>
      </c>
      <c r="D372" s="89" t="s">
        <v>1177</v>
      </c>
      <c r="E372" s="88" t="s">
        <v>669</v>
      </c>
      <c r="F372" s="88" t="s">
        <v>1177</v>
      </c>
      <c r="G372" s="89" t="s">
        <v>166</v>
      </c>
      <c r="H372" s="90" t="s">
        <v>570</v>
      </c>
      <c r="I372" s="88"/>
      <c r="J372" s="91" t="s">
        <v>708</v>
      </c>
      <c r="K372" s="112">
        <f>ROUND(Tableau16[[#This Row],[LEN]]*7.27,0)</f>
        <v>218</v>
      </c>
      <c r="L372" s="112">
        <v>15</v>
      </c>
      <c r="M372" s="129" t="str">
        <f t="shared" si="2"/>
        <v>none</v>
      </c>
      <c r="N372" s="112">
        <f>LEN(Tableau16[[#This Row],[LABEL]])</f>
        <v>30</v>
      </c>
      <c r="O372" s="112">
        <v>15</v>
      </c>
      <c r="P372" s="112" t="e">
        <f>ROUND(Tableau16[[#This Row],[LEN]]*#REF!+#REF!,0)</f>
        <v>#REF!</v>
      </c>
    </row>
    <row r="373" spans="1:16" s="97" customFormat="1" x14ac:dyDescent="0.25">
      <c r="A373" s="25" t="s">
        <v>489</v>
      </c>
      <c r="B373" s="26" t="s">
        <v>255</v>
      </c>
      <c r="C373" s="27" t="s">
        <v>778</v>
      </c>
      <c r="D373" s="70" t="s">
        <v>1177</v>
      </c>
      <c r="E373" s="27" t="s">
        <v>673</v>
      </c>
      <c r="F373" s="27" t="s">
        <v>2000</v>
      </c>
      <c r="G373" s="70" t="s">
        <v>166</v>
      </c>
      <c r="H373" s="70" t="s">
        <v>17</v>
      </c>
      <c r="I373" s="27"/>
      <c r="J373" s="28" t="s">
        <v>708</v>
      </c>
      <c r="K373" s="109">
        <f>ROUND(Tableau16[[#This Row],[LEN]]*7.27,0)</f>
        <v>211</v>
      </c>
      <c r="L373" s="109">
        <v>15</v>
      </c>
      <c r="M373" s="127" t="str">
        <f t="shared" si="2"/>
        <v>none</v>
      </c>
      <c r="N373" s="109">
        <f>LEN(Tableau16[[#This Row],[LABEL]])</f>
        <v>29</v>
      </c>
      <c r="O373" s="109">
        <v>15</v>
      </c>
      <c r="P373" s="109" t="e">
        <f>ROUND(Tableau16[[#This Row],[LEN]]*#REF!+#REF!,0)</f>
        <v>#REF!</v>
      </c>
    </row>
    <row r="374" spans="1:16" s="97" customFormat="1" x14ac:dyDescent="0.25">
      <c r="A374" s="25" t="s">
        <v>490</v>
      </c>
      <c r="B374" s="26" t="s">
        <v>255</v>
      </c>
      <c r="C374" s="27" t="s">
        <v>92</v>
      </c>
      <c r="D374" s="70" t="s">
        <v>1177</v>
      </c>
      <c r="E374" s="27" t="s">
        <v>663</v>
      </c>
      <c r="F374" s="27" t="s">
        <v>2080</v>
      </c>
      <c r="G374" s="70" t="s">
        <v>166</v>
      </c>
      <c r="H374" s="70" t="s">
        <v>655</v>
      </c>
      <c r="I374" s="27"/>
      <c r="J374" s="28" t="s">
        <v>708</v>
      </c>
      <c r="K374" s="109">
        <f>ROUND(Tableau16[[#This Row],[LEN]]*7.27,0)</f>
        <v>262</v>
      </c>
      <c r="L374" s="109">
        <v>15</v>
      </c>
      <c r="M374" s="127" t="str">
        <f t="shared" si="2"/>
        <v>none</v>
      </c>
      <c r="N374" s="109">
        <f>LEN(Tableau16[[#This Row],[LABEL]])</f>
        <v>36</v>
      </c>
      <c r="O374" s="109">
        <v>15</v>
      </c>
      <c r="P374" s="109" t="e">
        <f>ROUND(Tableau16[[#This Row],[LEN]]*#REF!+#REF!,0)</f>
        <v>#REF!</v>
      </c>
    </row>
    <row r="375" spans="1:16" s="97" customFormat="1" x14ac:dyDescent="0.25">
      <c r="A375" s="29" t="s">
        <v>699</v>
      </c>
      <c r="B375" s="30" t="s">
        <v>490</v>
      </c>
      <c r="C375" s="31" t="s">
        <v>95</v>
      </c>
      <c r="D375" s="71" t="s">
        <v>1177</v>
      </c>
      <c r="E375" s="31" t="s">
        <v>663</v>
      </c>
      <c r="F375" s="31" t="s">
        <v>2080</v>
      </c>
      <c r="G375" s="71" t="s">
        <v>166</v>
      </c>
      <c r="H375" s="71" t="s">
        <v>18</v>
      </c>
      <c r="I375" s="31"/>
      <c r="J375" s="32" t="s">
        <v>708</v>
      </c>
      <c r="K375" s="111">
        <f>ROUND(Tableau16[[#This Row],[LEN]]*7.27,0)</f>
        <v>254</v>
      </c>
      <c r="L375" s="111">
        <v>15</v>
      </c>
      <c r="M375" s="128" t="str">
        <f t="shared" si="2"/>
        <v>none</v>
      </c>
      <c r="N375" s="111">
        <f>LEN(Tableau16[[#This Row],[LABEL]])</f>
        <v>35</v>
      </c>
      <c r="O375" s="111">
        <v>15</v>
      </c>
      <c r="P375" s="111" t="e">
        <f>ROUND(Tableau16[[#This Row],[LEN]]*#REF!+#REF!,0)</f>
        <v>#REF!</v>
      </c>
    </row>
    <row r="376" spans="1:16" s="97" customFormat="1" x14ac:dyDescent="0.25">
      <c r="A376" s="29" t="s">
        <v>700</v>
      </c>
      <c r="B376" s="30" t="s">
        <v>490</v>
      </c>
      <c r="C376" s="31" t="s">
        <v>96</v>
      </c>
      <c r="D376" s="71" t="s">
        <v>1177</v>
      </c>
      <c r="E376" s="31" t="s">
        <v>663</v>
      </c>
      <c r="F376" s="31" t="s">
        <v>2080</v>
      </c>
      <c r="G376" s="71" t="s">
        <v>166</v>
      </c>
      <c r="H376" s="71" t="s">
        <v>18</v>
      </c>
      <c r="I376" s="31"/>
      <c r="J376" s="32" t="s">
        <v>708</v>
      </c>
      <c r="K376" s="111">
        <f>ROUND(Tableau16[[#This Row],[LEN]]*7.27,0)</f>
        <v>233</v>
      </c>
      <c r="L376" s="111">
        <v>15</v>
      </c>
      <c r="M376" s="128" t="str">
        <f t="shared" si="2"/>
        <v>none</v>
      </c>
      <c r="N376" s="111">
        <f>LEN(Tableau16[[#This Row],[LABEL]])</f>
        <v>32</v>
      </c>
      <c r="O376" s="111">
        <v>15</v>
      </c>
      <c r="P376" s="111" t="e">
        <f>ROUND(Tableau16[[#This Row],[LEN]]*#REF!+#REF!,0)</f>
        <v>#REF!</v>
      </c>
    </row>
    <row r="377" spans="1:16" s="97" customFormat="1" x14ac:dyDescent="0.25">
      <c r="A377" s="29" t="s">
        <v>1391</v>
      </c>
      <c r="B377" s="30" t="s">
        <v>490</v>
      </c>
      <c r="C377" s="31" t="s">
        <v>97</v>
      </c>
      <c r="D377" s="71" t="s">
        <v>1177</v>
      </c>
      <c r="E377" s="31" t="s">
        <v>663</v>
      </c>
      <c r="F377" s="31" t="s">
        <v>2080</v>
      </c>
      <c r="G377" s="71" t="s">
        <v>166</v>
      </c>
      <c r="H377" s="71" t="s">
        <v>656</v>
      </c>
      <c r="I377" s="31"/>
      <c r="J377" s="32" t="s">
        <v>708</v>
      </c>
      <c r="K377" s="111">
        <f>ROUND(Tableau16[[#This Row],[LEN]]*7.27,0)</f>
        <v>145</v>
      </c>
      <c r="L377" s="111">
        <v>15</v>
      </c>
      <c r="M377" s="128" t="str">
        <f t="shared" si="2"/>
        <v>none</v>
      </c>
      <c r="N377" s="111">
        <f>LEN(Tableau16[[#This Row],[LABEL]])</f>
        <v>20</v>
      </c>
      <c r="O377" s="111">
        <v>15</v>
      </c>
      <c r="P377" s="111" t="e">
        <f>ROUND(Tableau16[[#This Row],[LEN]]*#REF!+#REF!,0)</f>
        <v>#REF!</v>
      </c>
    </row>
    <row r="378" spans="1:16" s="97" customFormat="1" x14ac:dyDescent="0.25">
      <c r="A378" s="25" t="s">
        <v>491</v>
      </c>
      <c r="B378" s="26" t="s">
        <v>255</v>
      </c>
      <c r="C378" s="27" t="s">
        <v>1167</v>
      </c>
      <c r="D378" s="70" t="s">
        <v>486</v>
      </c>
      <c r="E378" s="27" t="s">
        <v>1085</v>
      </c>
      <c r="F378" s="27" t="s">
        <v>1084</v>
      </c>
      <c r="G378" s="70" t="s">
        <v>1977</v>
      </c>
      <c r="H378" s="70" t="s">
        <v>1131</v>
      </c>
      <c r="I378" s="27"/>
      <c r="J378" s="28" t="s">
        <v>708</v>
      </c>
      <c r="K378" s="109">
        <f>ROUND(Tableau16[[#This Row],[LEN]]*7.27,0)</f>
        <v>196</v>
      </c>
      <c r="L378" s="109">
        <v>15</v>
      </c>
      <c r="M378" s="127" t="str">
        <f t="shared" si="2"/>
        <v>none</v>
      </c>
      <c r="N378" s="109">
        <f>LEN(Tableau16[[#This Row],[LABEL]])</f>
        <v>27</v>
      </c>
      <c r="O378" s="109">
        <v>15</v>
      </c>
      <c r="P378" s="109" t="e">
        <f>ROUND(Tableau16[[#This Row],[LEN]]*#REF!+#REF!,0)</f>
        <v>#REF!</v>
      </c>
    </row>
    <row r="379" spans="1:16" s="97" customFormat="1" x14ac:dyDescent="0.25">
      <c r="A379" s="29" t="s">
        <v>1205</v>
      </c>
      <c r="B379" s="30" t="s">
        <v>491</v>
      </c>
      <c r="C379" s="31" t="s">
        <v>93</v>
      </c>
      <c r="D379" s="71" t="s">
        <v>1177</v>
      </c>
      <c r="E379" s="31" t="s">
        <v>1085</v>
      </c>
      <c r="F379" s="31" t="s">
        <v>1084</v>
      </c>
      <c r="G379" s="71" t="s">
        <v>166</v>
      </c>
      <c r="H379" s="71" t="s">
        <v>18</v>
      </c>
      <c r="I379" s="31"/>
      <c r="J379" s="32" t="s">
        <v>101</v>
      </c>
      <c r="K379" s="111">
        <f>ROUND(Tableau16[[#This Row],[LEN]]*7.27,0)</f>
        <v>109</v>
      </c>
      <c r="L379" s="111">
        <v>15</v>
      </c>
      <c r="M379" s="128" t="str">
        <f t="shared" si="2"/>
        <v>new</v>
      </c>
      <c r="N379" s="111">
        <f>LEN(Tableau16[[#This Row],[LABEL]])</f>
        <v>15</v>
      </c>
      <c r="O379" s="111">
        <v>15</v>
      </c>
      <c r="P379" s="111" t="e">
        <f>ROUND(Tableau16[[#This Row],[LEN]]*#REF!+#REF!,0)</f>
        <v>#REF!</v>
      </c>
    </row>
    <row r="380" spans="1:16" s="97" customFormat="1" x14ac:dyDescent="0.25">
      <c r="A380" s="29" t="s">
        <v>1206</v>
      </c>
      <c r="B380" s="30" t="s">
        <v>491</v>
      </c>
      <c r="C380" s="31" t="s">
        <v>94</v>
      </c>
      <c r="D380" s="71" t="s">
        <v>1177</v>
      </c>
      <c r="E380" s="31" t="s">
        <v>1085</v>
      </c>
      <c r="F380" s="31" t="s">
        <v>1084</v>
      </c>
      <c r="G380" s="71" t="s">
        <v>166</v>
      </c>
      <c r="H380" s="71" t="s">
        <v>18</v>
      </c>
      <c r="I380" s="31"/>
      <c r="J380" s="32" t="s">
        <v>102</v>
      </c>
      <c r="K380" s="111">
        <f>ROUND(Tableau16[[#This Row],[LEN]]*7.27,0)</f>
        <v>58</v>
      </c>
      <c r="L380" s="111">
        <v>15</v>
      </c>
      <c r="M380" s="128" t="str">
        <f t="shared" si="2"/>
        <v>new</v>
      </c>
      <c r="N380" s="111">
        <f>LEN(Tableau16[[#This Row],[LABEL]])</f>
        <v>8</v>
      </c>
      <c r="O380" s="111">
        <v>15</v>
      </c>
      <c r="P380" s="111" t="e">
        <f>ROUND(Tableau16[[#This Row],[LEN]]*#REF!+#REF!,0)</f>
        <v>#REF!</v>
      </c>
    </row>
    <row r="381" spans="1:16" s="273" customFormat="1" x14ac:dyDescent="0.25">
      <c r="A381" s="288" t="s">
        <v>256</v>
      </c>
      <c r="B381" s="289" t="s">
        <v>206</v>
      </c>
      <c r="C381" s="290" t="s">
        <v>7</v>
      </c>
      <c r="D381" s="291" t="s">
        <v>1177</v>
      </c>
      <c r="E381" s="290" t="s">
        <v>663</v>
      </c>
      <c r="F381" s="290" t="s">
        <v>670</v>
      </c>
      <c r="G381" s="291" t="s">
        <v>166</v>
      </c>
      <c r="H381" s="291" t="str">
        <f>IFERROR(IF(SEARCH(".00.00.00.00.00",Tableau16[[#This Row],[name]],1)=7,"Division",""),"")</f>
        <v>Division</v>
      </c>
      <c r="I381" s="290"/>
      <c r="J381" s="292" t="s">
        <v>708</v>
      </c>
      <c r="K381" s="293">
        <f>ROUND(Tableau16[[#This Row],[LEN]]*7.27,0)</f>
        <v>189</v>
      </c>
      <c r="L381" s="293">
        <v>15</v>
      </c>
      <c r="M381" s="294" t="str">
        <f t="shared" si="2"/>
        <v>none</v>
      </c>
      <c r="N381" s="293">
        <f>LEN(Tableau16[[#This Row],[LABEL]])</f>
        <v>26</v>
      </c>
      <c r="O381" s="293">
        <v>15</v>
      </c>
      <c r="P381" s="293" t="e">
        <f>ROUND(Tableau16[[#This Row],[LEN]]*#REF!+#REF!,0)</f>
        <v>#REF!</v>
      </c>
    </row>
    <row r="382" spans="1:16" s="97" customFormat="1" x14ac:dyDescent="0.25">
      <c r="A382" s="25" t="s">
        <v>1193</v>
      </c>
      <c r="B382" s="26" t="s">
        <v>256</v>
      </c>
      <c r="C382" s="27" t="s">
        <v>1198</v>
      </c>
      <c r="D382" s="70" t="s">
        <v>1177</v>
      </c>
      <c r="E382" s="27" t="s">
        <v>670</v>
      </c>
      <c r="F382" s="27" t="s">
        <v>678</v>
      </c>
      <c r="G382" s="70" t="s">
        <v>166</v>
      </c>
      <c r="H382" s="70" t="s">
        <v>656</v>
      </c>
      <c r="I382" s="27"/>
      <c r="J382" s="28" t="s">
        <v>708</v>
      </c>
      <c r="K382" s="109">
        <f>ROUND(Tableau16[[#This Row],[LEN]]*7.27,0)</f>
        <v>204</v>
      </c>
      <c r="L382" s="109">
        <v>15</v>
      </c>
      <c r="M382" s="127" t="str">
        <f t="shared" ref="M382:M445" si="3">IF(J382="javascript:void(0)","none","new")</f>
        <v>none</v>
      </c>
      <c r="N382" s="109">
        <f>LEN(Tableau16[[#This Row],[LABEL]])</f>
        <v>28</v>
      </c>
      <c r="O382" s="109">
        <v>15</v>
      </c>
      <c r="P382" s="109" t="e">
        <f>ROUND(Tableau16[[#This Row],[LEN]]*#REF!+#REF!,0)</f>
        <v>#REF!</v>
      </c>
    </row>
    <row r="383" spans="1:16" s="97" customFormat="1" x14ac:dyDescent="0.25">
      <c r="A383" s="25" t="s">
        <v>1194</v>
      </c>
      <c r="B383" s="26" t="s">
        <v>256</v>
      </c>
      <c r="C383" s="27" t="s">
        <v>1199</v>
      </c>
      <c r="D383" s="70" t="s">
        <v>1177</v>
      </c>
      <c r="E383" s="27" t="s">
        <v>670</v>
      </c>
      <c r="F383" s="27" t="s">
        <v>1177</v>
      </c>
      <c r="G383" s="70" t="s">
        <v>166</v>
      </c>
      <c r="H383" s="70" t="s">
        <v>17</v>
      </c>
      <c r="I383" s="27"/>
      <c r="J383" s="28" t="s">
        <v>708</v>
      </c>
      <c r="K383" s="109">
        <f>ROUND(Tableau16[[#This Row],[LEN]]*7.27,0)</f>
        <v>305</v>
      </c>
      <c r="L383" s="109">
        <v>15</v>
      </c>
      <c r="M383" s="127" t="str">
        <f t="shared" si="3"/>
        <v>none</v>
      </c>
      <c r="N383" s="109">
        <f>LEN(Tableau16[[#This Row],[LABEL]])</f>
        <v>42</v>
      </c>
      <c r="O383" s="109">
        <v>15</v>
      </c>
      <c r="P383" s="109" t="e">
        <f>ROUND(Tableau16[[#This Row],[LEN]]*#REF!+#REF!,0)</f>
        <v>#REF!</v>
      </c>
    </row>
    <row r="384" spans="1:16" s="97" customFormat="1" x14ac:dyDescent="0.25">
      <c r="A384" s="25" t="s">
        <v>1195</v>
      </c>
      <c r="B384" s="26" t="s">
        <v>256</v>
      </c>
      <c r="C384" s="27" t="s">
        <v>88</v>
      </c>
      <c r="D384" s="70" t="s">
        <v>1177</v>
      </c>
      <c r="E384" s="27" t="s">
        <v>667</v>
      </c>
      <c r="F384" s="27" t="s">
        <v>1218</v>
      </c>
      <c r="G384" s="70" t="s">
        <v>166</v>
      </c>
      <c r="H384" s="70" t="s">
        <v>570</v>
      </c>
      <c r="I384" s="27"/>
      <c r="J384" s="28" t="s">
        <v>708</v>
      </c>
      <c r="K384" s="109">
        <f>ROUND(Tableau16[[#This Row],[LEN]]*7.27,0)</f>
        <v>342</v>
      </c>
      <c r="L384" s="109">
        <v>15</v>
      </c>
      <c r="M384" s="127" t="str">
        <f t="shared" si="3"/>
        <v>none</v>
      </c>
      <c r="N384" s="109">
        <f>LEN(Tableau16[[#This Row],[LABEL]])</f>
        <v>47</v>
      </c>
      <c r="O384" s="109">
        <v>15</v>
      </c>
      <c r="P384" s="109" t="e">
        <f>ROUND(Tableau16[[#This Row],[LEN]]*#REF!+#REF!,0)</f>
        <v>#REF!</v>
      </c>
    </row>
    <row r="385" spans="1:16" s="97" customFormat="1" x14ac:dyDescent="0.25">
      <c r="A385" s="25" t="s">
        <v>1196</v>
      </c>
      <c r="B385" s="26" t="s">
        <v>256</v>
      </c>
      <c r="C385" s="27" t="s">
        <v>1200</v>
      </c>
      <c r="D385" s="70" t="s">
        <v>1177</v>
      </c>
      <c r="E385" s="27" t="s">
        <v>670</v>
      </c>
      <c r="F385" s="27" t="s">
        <v>1177</v>
      </c>
      <c r="G385" s="70" t="s">
        <v>166</v>
      </c>
      <c r="H385" s="70" t="s">
        <v>655</v>
      </c>
      <c r="I385" s="27"/>
      <c r="J385" s="28" t="s">
        <v>708</v>
      </c>
      <c r="K385" s="109">
        <f>ROUND(Tableau16[[#This Row],[LEN]]*7.27,0)</f>
        <v>298</v>
      </c>
      <c r="L385" s="109">
        <v>15</v>
      </c>
      <c r="M385" s="127" t="str">
        <f t="shared" si="3"/>
        <v>none</v>
      </c>
      <c r="N385" s="109">
        <f>LEN(Tableau16[[#This Row],[LABEL]])</f>
        <v>41</v>
      </c>
      <c r="O385" s="109">
        <v>15</v>
      </c>
      <c r="P385" s="109" t="e">
        <f>ROUND(Tableau16[[#This Row],[LEN]]*#REF!+#REF!,0)</f>
        <v>#REF!</v>
      </c>
    </row>
    <row r="386" spans="1:16" s="97" customFormat="1" x14ac:dyDescent="0.25">
      <c r="A386" s="29" t="s">
        <v>1214</v>
      </c>
      <c r="B386" s="30" t="s">
        <v>1196</v>
      </c>
      <c r="C386" s="31" t="s">
        <v>1211</v>
      </c>
      <c r="D386" s="71" t="s">
        <v>1177</v>
      </c>
      <c r="E386" s="31" t="s">
        <v>670</v>
      </c>
      <c r="F386" s="31" t="s">
        <v>1177</v>
      </c>
      <c r="G386" s="71" t="s">
        <v>166</v>
      </c>
      <c r="H386" s="71" t="s">
        <v>654</v>
      </c>
      <c r="I386" s="31"/>
      <c r="J386" s="32" t="s">
        <v>708</v>
      </c>
      <c r="K386" s="111">
        <f>ROUND(Tableau16[[#This Row],[LEN]]*7.27,0)</f>
        <v>240</v>
      </c>
      <c r="L386" s="111">
        <v>15</v>
      </c>
      <c r="M386" s="128" t="str">
        <f t="shared" si="3"/>
        <v>none</v>
      </c>
      <c r="N386" s="111">
        <f>LEN(Tableau16[[#This Row],[LABEL]])</f>
        <v>33</v>
      </c>
      <c r="O386" s="111">
        <v>15</v>
      </c>
      <c r="P386" s="111" t="e">
        <f>ROUND(Tableau16[[#This Row],[LEN]]*#REF!+#REF!,0)</f>
        <v>#REF!</v>
      </c>
    </row>
    <row r="387" spans="1:16" s="97" customFormat="1" x14ac:dyDescent="0.25">
      <c r="A387" s="29" t="s">
        <v>1215</v>
      </c>
      <c r="B387" s="30" t="s">
        <v>1196</v>
      </c>
      <c r="C387" s="31" t="s">
        <v>1212</v>
      </c>
      <c r="D387" s="71" t="s">
        <v>1177</v>
      </c>
      <c r="E387" s="31" t="s">
        <v>670</v>
      </c>
      <c r="F387" s="31" t="s">
        <v>1177</v>
      </c>
      <c r="G387" s="71" t="s">
        <v>166</v>
      </c>
      <c r="H387" s="71" t="s">
        <v>654</v>
      </c>
      <c r="I387" s="31"/>
      <c r="J387" s="32" t="s">
        <v>708</v>
      </c>
      <c r="K387" s="111">
        <f>ROUND(Tableau16[[#This Row],[LEN]]*7.27,0)</f>
        <v>327</v>
      </c>
      <c r="L387" s="111">
        <v>15</v>
      </c>
      <c r="M387" s="128" t="str">
        <f t="shared" si="3"/>
        <v>none</v>
      </c>
      <c r="N387" s="111">
        <f>LEN(Tableau16[[#This Row],[LABEL]])</f>
        <v>45</v>
      </c>
      <c r="O387" s="111">
        <v>15</v>
      </c>
      <c r="P387" s="111" t="e">
        <f>ROUND(Tableau16[[#This Row],[LEN]]*#REF!+#REF!,0)</f>
        <v>#REF!</v>
      </c>
    </row>
    <row r="388" spans="1:16" s="97" customFormat="1" x14ac:dyDescent="0.25">
      <c r="A388" s="29" t="s">
        <v>1216</v>
      </c>
      <c r="B388" s="30" t="s">
        <v>1196</v>
      </c>
      <c r="C388" s="31" t="s">
        <v>1213</v>
      </c>
      <c r="D388" s="71" t="s">
        <v>1177</v>
      </c>
      <c r="E388" s="31" t="s">
        <v>670</v>
      </c>
      <c r="F388" s="31" t="s">
        <v>1177</v>
      </c>
      <c r="G388" s="71" t="s">
        <v>166</v>
      </c>
      <c r="H388" s="71" t="s">
        <v>654</v>
      </c>
      <c r="I388" s="31"/>
      <c r="J388" s="32" t="s">
        <v>708</v>
      </c>
      <c r="K388" s="111">
        <f>ROUND(Tableau16[[#This Row],[LEN]]*7.27,0)</f>
        <v>334</v>
      </c>
      <c r="L388" s="111">
        <v>15</v>
      </c>
      <c r="M388" s="128" t="str">
        <f t="shared" si="3"/>
        <v>none</v>
      </c>
      <c r="N388" s="111">
        <f>LEN(Tableau16[[#This Row],[LABEL]])</f>
        <v>46</v>
      </c>
      <c r="O388" s="111">
        <v>15</v>
      </c>
      <c r="P388" s="111" t="e">
        <f>ROUND(Tableau16[[#This Row],[LEN]]*#REF!+#REF!,0)</f>
        <v>#REF!</v>
      </c>
    </row>
    <row r="389" spans="1:16" s="97" customFormat="1" x14ac:dyDescent="0.25">
      <c r="A389" s="25" t="s">
        <v>1197</v>
      </c>
      <c r="B389" s="26" t="s">
        <v>256</v>
      </c>
      <c r="C389" s="27" t="s">
        <v>1167</v>
      </c>
      <c r="D389" s="70" t="s">
        <v>486</v>
      </c>
      <c r="E389" s="27" t="s">
        <v>1085</v>
      </c>
      <c r="F389" s="27" t="s">
        <v>1084</v>
      </c>
      <c r="G389" s="70" t="s">
        <v>1977</v>
      </c>
      <c r="H389" s="70" t="s">
        <v>1131</v>
      </c>
      <c r="I389" s="27"/>
      <c r="J389" s="28" t="s">
        <v>708</v>
      </c>
      <c r="K389" s="109">
        <f>ROUND(Tableau16[[#This Row],[LEN]]*7.27,0)</f>
        <v>196</v>
      </c>
      <c r="L389" s="109">
        <v>15</v>
      </c>
      <c r="M389" s="127" t="str">
        <f t="shared" si="3"/>
        <v>none</v>
      </c>
      <c r="N389" s="109">
        <f>LEN(Tableau16[[#This Row],[LABEL]])</f>
        <v>27</v>
      </c>
      <c r="O389" s="109">
        <v>15</v>
      </c>
      <c r="P389" s="109" t="e">
        <f>ROUND(Tableau16[[#This Row],[LEN]]*#REF!+#REF!,0)</f>
        <v>#REF!</v>
      </c>
    </row>
    <row r="390" spans="1:16" s="97" customFormat="1" x14ac:dyDescent="0.25">
      <c r="A390" s="29" t="s">
        <v>1207</v>
      </c>
      <c r="B390" s="30" t="s">
        <v>1197</v>
      </c>
      <c r="C390" s="31" t="s">
        <v>93</v>
      </c>
      <c r="D390" s="71" t="s">
        <v>1177</v>
      </c>
      <c r="E390" s="31" t="s">
        <v>1085</v>
      </c>
      <c r="F390" s="31" t="s">
        <v>1084</v>
      </c>
      <c r="G390" s="71" t="s">
        <v>166</v>
      </c>
      <c r="H390" s="71" t="s">
        <v>18</v>
      </c>
      <c r="I390" s="31"/>
      <c r="J390" s="32" t="s">
        <v>101</v>
      </c>
      <c r="K390" s="111">
        <f>ROUND(Tableau16[[#This Row],[LEN]]*7.27,0)</f>
        <v>109</v>
      </c>
      <c r="L390" s="111">
        <v>15</v>
      </c>
      <c r="M390" s="128" t="str">
        <f t="shared" si="3"/>
        <v>new</v>
      </c>
      <c r="N390" s="111">
        <f>LEN(Tableau16[[#This Row],[LABEL]])</f>
        <v>15</v>
      </c>
      <c r="O390" s="111">
        <v>15</v>
      </c>
      <c r="P390" s="111" t="e">
        <f>ROUND(Tableau16[[#This Row],[LEN]]*#REF!+#REF!,0)</f>
        <v>#REF!</v>
      </c>
    </row>
    <row r="391" spans="1:16" s="97" customFormat="1" x14ac:dyDescent="0.25">
      <c r="A391" s="29" t="s">
        <v>1208</v>
      </c>
      <c r="B391" s="30" t="s">
        <v>1197</v>
      </c>
      <c r="C391" s="31" t="s">
        <v>94</v>
      </c>
      <c r="D391" s="71" t="s">
        <v>1177</v>
      </c>
      <c r="E391" s="31" t="s">
        <v>1085</v>
      </c>
      <c r="F391" s="31" t="s">
        <v>1084</v>
      </c>
      <c r="G391" s="71" t="s">
        <v>166</v>
      </c>
      <c r="H391" s="71" t="s">
        <v>18</v>
      </c>
      <c r="I391" s="31"/>
      <c r="J391" s="32" t="s">
        <v>102</v>
      </c>
      <c r="K391" s="111">
        <f>ROUND(Tableau16[[#This Row],[LEN]]*7.27,0)</f>
        <v>58</v>
      </c>
      <c r="L391" s="111">
        <v>15</v>
      </c>
      <c r="M391" s="128" t="str">
        <f t="shared" si="3"/>
        <v>new</v>
      </c>
      <c r="N391" s="111">
        <f>LEN(Tableau16[[#This Row],[LABEL]])</f>
        <v>8</v>
      </c>
      <c r="O391" s="111">
        <v>15</v>
      </c>
      <c r="P391" s="111" t="e">
        <f>ROUND(Tableau16[[#This Row],[LEN]]*#REF!+#REF!,0)</f>
        <v>#REF!</v>
      </c>
    </row>
    <row r="392" spans="1:16" s="273" customFormat="1" x14ac:dyDescent="0.25">
      <c r="A392" s="288" t="s">
        <v>257</v>
      </c>
      <c r="B392" s="289" t="s">
        <v>206</v>
      </c>
      <c r="C392" s="290" t="s">
        <v>8</v>
      </c>
      <c r="D392" s="291" t="s">
        <v>1177</v>
      </c>
      <c r="E392" s="290" t="s">
        <v>671</v>
      </c>
      <c r="F392" s="290" t="s">
        <v>1177</v>
      </c>
      <c r="G392" s="291" t="s">
        <v>166</v>
      </c>
      <c r="H392" s="291" t="str">
        <f>IFERROR(IF(SEARCH(".00.00.00.00.00",Tableau16[[#This Row],[name]],1)=7,"Division",""),"")</f>
        <v>Division</v>
      </c>
      <c r="I392" s="290"/>
      <c r="J392" s="292" t="s">
        <v>708</v>
      </c>
      <c r="K392" s="293">
        <f>ROUND(Tableau16[[#This Row],[LEN]]*7.27,0)</f>
        <v>116</v>
      </c>
      <c r="L392" s="293">
        <v>15</v>
      </c>
      <c r="M392" s="294" t="str">
        <f t="shared" si="3"/>
        <v>none</v>
      </c>
      <c r="N392" s="293">
        <f>LEN(Tableau16[[#This Row],[LABEL]])</f>
        <v>16</v>
      </c>
      <c r="O392" s="293">
        <v>15</v>
      </c>
      <c r="P392" s="293" t="e">
        <f>ROUND(Tableau16[[#This Row],[LEN]]*#REF!+#REF!,0)</f>
        <v>#REF!</v>
      </c>
    </row>
    <row r="393" spans="1:16" s="97" customFormat="1" x14ac:dyDescent="0.25">
      <c r="A393" s="25" t="s">
        <v>1220</v>
      </c>
      <c r="B393" s="26" t="s">
        <v>257</v>
      </c>
      <c r="C393" s="27" t="s">
        <v>1217</v>
      </c>
      <c r="D393" s="70" t="s">
        <v>1177</v>
      </c>
      <c r="E393" s="27" t="s">
        <v>671</v>
      </c>
      <c r="F393" s="27" t="s">
        <v>678</v>
      </c>
      <c r="G393" s="70" t="s">
        <v>166</v>
      </c>
      <c r="H393" s="70" t="s">
        <v>654</v>
      </c>
      <c r="I393" s="27"/>
      <c r="J393" s="28" t="s">
        <v>708</v>
      </c>
      <c r="K393" s="109">
        <f>ROUND(Tableau16[[#This Row],[LEN]]*7.27,0)</f>
        <v>160</v>
      </c>
      <c r="L393" s="109">
        <v>15</v>
      </c>
      <c r="M393" s="127" t="str">
        <f t="shared" si="3"/>
        <v>none</v>
      </c>
      <c r="N393" s="109">
        <f>LEN(Tableau16[[#This Row],[LABEL]])</f>
        <v>22</v>
      </c>
      <c r="O393" s="109">
        <v>15</v>
      </c>
      <c r="P393" s="109" t="e">
        <f>ROUND(Tableau16[[#This Row],[LEN]]*#REF!+#REF!,0)</f>
        <v>#REF!</v>
      </c>
    </row>
    <row r="394" spans="1:16" s="97" customFormat="1" x14ac:dyDescent="0.25">
      <c r="A394" s="25" t="s">
        <v>1221</v>
      </c>
      <c r="B394" s="26" t="s">
        <v>257</v>
      </c>
      <c r="C394" s="27" t="s">
        <v>88</v>
      </c>
      <c r="D394" s="70" t="s">
        <v>1177</v>
      </c>
      <c r="E394" s="27" t="s">
        <v>667</v>
      </c>
      <c r="F394" s="27" t="s">
        <v>1218</v>
      </c>
      <c r="G394" s="70" t="s">
        <v>166</v>
      </c>
      <c r="H394" s="70" t="s">
        <v>570</v>
      </c>
      <c r="I394" s="27"/>
      <c r="J394" s="28" t="s">
        <v>708</v>
      </c>
      <c r="K394" s="109">
        <f>ROUND(Tableau16[[#This Row],[LEN]]*7.27,0)</f>
        <v>342</v>
      </c>
      <c r="L394" s="109">
        <v>15</v>
      </c>
      <c r="M394" s="127" t="str">
        <f t="shared" si="3"/>
        <v>none</v>
      </c>
      <c r="N394" s="109">
        <f>LEN(Tableau16[[#This Row],[LABEL]])</f>
        <v>47</v>
      </c>
      <c r="O394" s="109">
        <v>15</v>
      </c>
      <c r="P394" s="109" t="e">
        <f>ROUND(Tableau16[[#This Row],[LEN]]*#REF!+#REF!,0)</f>
        <v>#REF!</v>
      </c>
    </row>
    <row r="395" spans="1:16" s="97" customFormat="1" x14ac:dyDescent="0.25">
      <c r="A395" s="25" t="s">
        <v>1222</v>
      </c>
      <c r="B395" s="26" t="s">
        <v>257</v>
      </c>
      <c r="C395" s="27" t="s">
        <v>1219</v>
      </c>
      <c r="D395" s="70" t="s">
        <v>1177</v>
      </c>
      <c r="E395" s="27" t="s">
        <v>671</v>
      </c>
      <c r="F395" s="27" t="s">
        <v>678</v>
      </c>
      <c r="G395" s="70" t="s">
        <v>166</v>
      </c>
      <c r="H395" s="70" t="s">
        <v>656</v>
      </c>
      <c r="I395" s="27"/>
      <c r="J395" s="28" t="s">
        <v>708</v>
      </c>
      <c r="K395" s="109">
        <f>ROUND(Tableau16[[#This Row],[LEN]]*7.27,0)</f>
        <v>240</v>
      </c>
      <c r="L395" s="109">
        <v>15</v>
      </c>
      <c r="M395" s="127" t="str">
        <f t="shared" si="3"/>
        <v>none</v>
      </c>
      <c r="N395" s="109">
        <f>LEN(Tableau16[[#This Row],[LABEL]])</f>
        <v>33</v>
      </c>
      <c r="O395" s="109">
        <v>15</v>
      </c>
      <c r="P395" s="109" t="e">
        <f>ROUND(Tableau16[[#This Row],[LEN]]*#REF!+#REF!,0)</f>
        <v>#REF!</v>
      </c>
    </row>
    <row r="396" spans="1:16" s="97" customFormat="1" x14ac:dyDescent="0.25">
      <c r="A396" s="25" t="s">
        <v>1223</v>
      </c>
      <c r="B396" s="26" t="s">
        <v>257</v>
      </c>
      <c r="C396" s="27" t="s">
        <v>1167</v>
      </c>
      <c r="D396" s="70" t="s">
        <v>486</v>
      </c>
      <c r="E396" s="27" t="s">
        <v>1085</v>
      </c>
      <c r="F396" s="27" t="s">
        <v>1084</v>
      </c>
      <c r="G396" s="70" t="s">
        <v>1977</v>
      </c>
      <c r="H396" s="70" t="s">
        <v>1131</v>
      </c>
      <c r="I396" s="27"/>
      <c r="J396" s="28" t="s">
        <v>708</v>
      </c>
      <c r="K396" s="109">
        <f>ROUND(Tableau16[[#This Row],[LEN]]*7.27,0)</f>
        <v>196</v>
      </c>
      <c r="L396" s="109">
        <v>15</v>
      </c>
      <c r="M396" s="127" t="str">
        <f t="shared" si="3"/>
        <v>none</v>
      </c>
      <c r="N396" s="109">
        <f>LEN(Tableau16[[#This Row],[LABEL]])</f>
        <v>27</v>
      </c>
      <c r="O396" s="109">
        <v>15</v>
      </c>
      <c r="P396" s="109" t="e">
        <f>ROUND(Tableau16[[#This Row],[LEN]]*#REF!+#REF!,0)</f>
        <v>#REF!</v>
      </c>
    </row>
    <row r="397" spans="1:16" s="97" customFormat="1" x14ac:dyDescent="0.25">
      <c r="A397" s="29" t="s">
        <v>1224</v>
      </c>
      <c r="B397" s="30" t="s">
        <v>1223</v>
      </c>
      <c r="C397" s="31" t="s">
        <v>93</v>
      </c>
      <c r="D397" s="71" t="s">
        <v>1177</v>
      </c>
      <c r="E397" s="31" t="s">
        <v>1085</v>
      </c>
      <c r="F397" s="31" t="s">
        <v>1084</v>
      </c>
      <c r="G397" s="71" t="s">
        <v>166</v>
      </c>
      <c r="H397" s="71" t="s">
        <v>18</v>
      </c>
      <c r="I397" s="31"/>
      <c r="J397" s="32" t="s">
        <v>101</v>
      </c>
      <c r="K397" s="111">
        <f>ROUND(Tableau16[[#This Row],[LEN]]*7.27,0)</f>
        <v>109</v>
      </c>
      <c r="L397" s="111">
        <v>15</v>
      </c>
      <c r="M397" s="128" t="str">
        <f t="shared" si="3"/>
        <v>new</v>
      </c>
      <c r="N397" s="111">
        <f>LEN(Tableau16[[#This Row],[LABEL]])</f>
        <v>15</v>
      </c>
      <c r="O397" s="111">
        <v>15</v>
      </c>
      <c r="P397" s="111" t="e">
        <f>ROUND(Tableau16[[#This Row],[LEN]]*#REF!+#REF!,0)</f>
        <v>#REF!</v>
      </c>
    </row>
    <row r="398" spans="1:16" s="97" customFormat="1" x14ac:dyDescent="0.25">
      <c r="A398" s="29" t="s">
        <v>1225</v>
      </c>
      <c r="B398" s="30" t="s">
        <v>1223</v>
      </c>
      <c r="C398" s="31" t="s">
        <v>94</v>
      </c>
      <c r="D398" s="71" t="s">
        <v>1177</v>
      </c>
      <c r="E398" s="31" t="s">
        <v>1085</v>
      </c>
      <c r="F398" s="31" t="s">
        <v>1084</v>
      </c>
      <c r="G398" s="71" t="s">
        <v>166</v>
      </c>
      <c r="H398" s="71" t="s">
        <v>18</v>
      </c>
      <c r="I398" s="31"/>
      <c r="J398" s="32" t="s">
        <v>102</v>
      </c>
      <c r="K398" s="111">
        <f>ROUND(Tableau16[[#This Row],[LEN]]*7.27,0)</f>
        <v>58</v>
      </c>
      <c r="L398" s="111">
        <v>15</v>
      </c>
      <c r="M398" s="128" t="str">
        <f t="shared" si="3"/>
        <v>new</v>
      </c>
      <c r="N398" s="111">
        <f>LEN(Tableau16[[#This Row],[LABEL]])</f>
        <v>8</v>
      </c>
      <c r="O398" s="111">
        <v>15</v>
      </c>
      <c r="P398" s="111" t="e">
        <f>ROUND(Tableau16[[#This Row],[LEN]]*#REF!+#REF!,0)</f>
        <v>#REF!</v>
      </c>
    </row>
    <row r="399" spans="1:16" s="273" customFormat="1" x14ac:dyDescent="0.25">
      <c r="A399" s="288" t="s">
        <v>258</v>
      </c>
      <c r="B399" s="289" t="s">
        <v>206</v>
      </c>
      <c r="C399" s="290" t="s">
        <v>9</v>
      </c>
      <c r="D399" s="291" t="s">
        <v>1177</v>
      </c>
      <c r="E399" s="290" t="s">
        <v>672</v>
      </c>
      <c r="F399" s="290" t="s">
        <v>1177</v>
      </c>
      <c r="G399" s="291" t="s">
        <v>166</v>
      </c>
      <c r="H399" s="291" t="str">
        <f>IFERROR(IF(SEARCH(".00.00.00.00.00",Tableau16[[#This Row],[name]],1)=7,"Division",""),"")</f>
        <v>Division</v>
      </c>
      <c r="I399" s="290"/>
      <c r="J399" s="292" t="s">
        <v>718</v>
      </c>
      <c r="K399" s="293">
        <f>ROUND(Tableau16[[#This Row],[LEN]]*7.27,0)</f>
        <v>80</v>
      </c>
      <c r="L399" s="293">
        <v>15</v>
      </c>
      <c r="M399" s="294" t="str">
        <f t="shared" si="3"/>
        <v>new</v>
      </c>
      <c r="N399" s="293">
        <f>LEN(Tableau16[[#This Row],[LABEL]])</f>
        <v>11</v>
      </c>
      <c r="O399" s="293">
        <v>15</v>
      </c>
      <c r="P399" s="293" t="e">
        <f>ROUND(Tableau16[[#This Row],[LEN]]*#REF!+#REF!,0)</f>
        <v>#REF!</v>
      </c>
    </row>
    <row r="400" spans="1:16" s="97" customFormat="1" x14ac:dyDescent="0.25">
      <c r="A400" s="25" t="s">
        <v>476</v>
      </c>
      <c r="B400" s="26" t="s">
        <v>258</v>
      </c>
      <c r="C400" s="27" t="s">
        <v>483</v>
      </c>
      <c r="D400" s="70" t="s">
        <v>1177</v>
      </c>
      <c r="E400" s="27" t="s">
        <v>672</v>
      </c>
      <c r="F400" s="27" t="s">
        <v>678</v>
      </c>
      <c r="G400" s="70" t="s">
        <v>166</v>
      </c>
      <c r="H400" s="70" t="s">
        <v>655</v>
      </c>
      <c r="I400" s="27"/>
      <c r="J400" s="28" t="s">
        <v>708</v>
      </c>
      <c r="K400" s="109">
        <f>ROUND(Tableau16[[#This Row],[LEN]]*7.27,0)</f>
        <v>247</v>
      </c>
      <c r="L400" s="109">
        <v>15</v>
      </c>
      <c r="M400" s="127" t="str">
        <f t="shared" si="3"/>
        <v>none</v>
      </c>
      <c r="N400" s="109">
        <f>LEN(Tableau16[[#This Row],[LABEL]])</f>
        <v>34</v>
      </c>
      <c r="O400" s="109">
        <v>15</v>
      </c>
      <c r="P400" s="109" t="e">
        <f>ROUND(Tableau16[[#This Row],[LEN]]*#REF!+#REF!,0)</f>
        <v>#REF!</v>
      </c>
    </row>
    <row r="401" spans="1:16" s="97" customFormat="1" x14ac:dyDescent="0.25">
      <c r="A401" s="29" t="s">
        <v>492</v>
      </c>
      <c r="B401" s="30" t="s">
        <v>476</v>
      </c>
      <c r="C401" s="31" t="s">
        <v>498</v>
      </c>
      <c r="D401" s="71" t="s">
        <v>1177</v>
      </c>
      <c r="E401" s="31" t="s">
        <v>672</v>
      </c>
      <c r="F401" s="31" t="s">
        <v>678</v>
      </c>
      <c r="G401" s="71" t="s">
        <v>166</v>
      </c>
      <c r="H401" s="71" t="s">
        <v>656</v>
      </c>
      <c r="I401" s="31"/>
      <c r="J401" s="32" t="s">
        <v>708</v>
      </c>
      <c r="K401" s="111">
        <f>ROUND(Tableau16[[#This Row],[LEN]]*7.27,0)</f>
        <v>349</v>
      </c>
      <c r="L401" s="111">
        <v>15</v>
      </c>
      <c r="M401" s="128" t="str">
        <f t="shared" si="3"/>
        <v>none</v>
      </c>
      <c r="N401" s="111">
        <f>LEN(Tableau16[[#This Row],[LABEL]])</f>
        <v>48</v>
      </c>
      <c r="O401" s="111">
        <v>15</v>
      </c>
      <c r="P401" s="111" t="e">
        <f>ROUND(Tableau16[[#This Row],[LEN]]*#REF!+#REF!,0)</f>
        <v>#REF!</v>
      </c>
    </row>
    <row r="402" spans="1:16" s="97" customFormat="1" x14ac:dyDescent="0.25">
      <c r="A402" s="29" t="s">
        <v>493</v>
      </c>
      <c r="B402" s="30" t="s">
        <v>476</v>
      </c>
      <c r="C402" s="31" t="s">
        <v>499</v>
      </c>
      <c r="D402" s="71" t="s">
        <v>1177</v>
      </c>
      <c r="E402" s="31" t="s">
        <v>672</v>
      </c>
      <c r="F402" s="31" t="s">
        <v>678</v>
      </c>
      <c r="G402" s="71" t="s">
        <v>166</v>
      </c>
      <c r="H402" s="71" t="s">
        <v>570</v>
      </c>
      <c r="I402" s="31"/>
      <c r="J402" s="32" t="s">
        <v>708</v>
      </c>
      <c r="K402" s="111">
        <f>ROUND(Tableau16[[#This Row],[LEN]]*7.27,0)</f>
        <v>225</v>
      </c>
      <c r="L402" s="111">
        <v>15</v>
      </c>
      <c r="M402" s="128" t="str">
        <f t="shared" si="3"/>
        <v>none</v>
      </c>
      <c r="N402" s="111">
        <f>LEN(Tableau16[[#This Row],[LABEL]])</f>
        <v>31</v>
      </c>
      <c r="O402" s="111">
        <v>15</v>
      </c>
      <c r="P402" s="111" t="e">
        <f>ROUND(Tableau16[[#This Row],[LEN]]*#REF!+#REF!,0)</f>
        <v>#REF!</v>
      </c>
    </row>
    <row r="403" spans="1:16" s="97" customFormat="1" x14ac:dyDescent="0.25">
      <c r="A403" s="29" t="s">
        <v>494</v>
      </c>
      <c r="B403" s="30" t="s">
        <v>476</v>
      </c>
      <c r="C403" s="31" t="s">
        <v>500</v>
      </c>
      <c r="D403" s="71" t="s">
        <v>1177</v>
      </c>
      <c r="E403" s="31" t="s">
        <v>672</v>
      </c>
      <c r="F403" s="31" t="s">
        <v>678</v>
      </c>
      <c r="G403" s="71" t="s">
        <v>166</v>
      </c>
      <c r="H403" s="71" t="s">
        <v>656</v>
      </c>
      <c r="I403" s="31"/>
      <c r="J403" s="32" t="s">
        <v>708</v>
      </c>
      <c r="K403" s="111">
        <f>ROUND(Tableau16[[#This Row],[LEN]]*7.27,0)</f>
        <v>254</v>
      </c>
      <c r="L403" s="111">
        <v>15</v>
      </c>
      <c r="M403" s="128" t="str">
        <f t="shared" si="3"/>
        <v>none</v>
      </c>
      <c r="N403" s="111">
        <f>LEN(Tableau16[[#This Row],[LABEL]])</f>
        <v>35</v>
      </c>
      <c r="O403" s="111">
        <v>15</v>
      </c>
      <c r="P403" s="111" t="e">
        <f>ROUND(Tableau16[[#This Row],[LEN]]*#REF!+#REF!,0)</f>
        <v>#REF!</v>
      </c>
    </row>
    <row r="404" spans="1:16" s="97" customFormat="1" x14ac:dyDescent="0.25">
      <c r="A404" s="29" t="s">
        <v>495</v>
      </c>
      <c r="B404" s="30" t="s">
        <v>476</v>
      </c>
      <c r="C404" s="31" t="s">
        <v>501</v>
      </c>
      <c r="D404" s="71" t="s">
        <v>1177</v>
      </c>
      <c r="E404" s="31" t="s">
        <v>672</v>
      </c>
      <c r="F404" s="31" t="s">
        <v>678</v>
      </c>
      <c r="G404" s="71" t="s">
        <v>166</v>
      </c>
      <c r="H404" s="71" t="s">
        <v>656</v>
      </c>
      <c r="I404" s="31"/>
      <c r="J404" s="32" t="s">
        <v>708</v>
      </c>
      <c r="K404" s="111">
        <f>ROUND(Tableau16[[#This Row],[LEN]]*7.27,0)</f>
        <v>313</v>
      </c>
      <c r="L404" s="111">
        <v>15</v>
      </c>
      <c r="M404" s="128" t="str">
        <f t="shared" si="3"/>
        <v>none</v>
      </c>
      <c r="N404" s="111">
        <f>LEN(Tableau16[[#This Row],[LABEL]])</f>
        <v>43</v>
      </c>
      <c r="O404" s="111">
        <v>15</v>
      </c>
      <c r="P404" s="111" t="e">
        <f>ROUND(Tableau16[[#This Row],[LEN]]*#REF!+#REF!,0)</f>
        <v>#REF!</v>
      </c>
    </row>
    <row r="405" spans="1:16" s="97" customFormat="1" x14ac:dyDescent="0.25">
      <c r="A405" s="29" t="s">
        <v>496</v>
      </c>
      <c r="B405" s="30" t="s">
        <v>476</v>
      </c>
      <c r="C405" s="31" t="s">
        <v>502</v>
      </c>
      <c r="D405" s="71" t="s">
        <v>1177</v>
      </c>
      <c r="E405" s="31" t="s">
        <v>672</v>
      </c>
      <c r="F405" s="31" t="s">
        <v>678</v>
      </c>
      <c r="G405" s="71" t="s">
        <v>166</v>
      </c>
      <c r="H405" s="71" t="s">
        <v>654</v>
      </c>
      <c r="I405" s="31"/>
      <c r="J405" s="32" t="s">
        <v>708</v>
      </c>
      <c r="K405" s="111">
        <f>ROUND(Tableau16[[#This Row],[LEN]]*7.27,0)</f>
        <v>247</v>
      </c>
      <c r="L405" s="111">
        <v>15</v>
      </c>
      <c r="M405" s="128" t="str">
        <f t="shared" si="3"/>
        <v>none</v>
      </c>
      <c r="N405" s="111">
        <f>LEN(Tableau16[[#This Row],[LABEL]])</f>
        <v>34</v>
      </c>
      <c r="O405" s="111">
        <v>15</v>
      </c>
      <c r="P405" s="111" t="e">
        <f>ROUND(Tableau16[[#This Row],[LEN]]*#REF!+#REF!,0)</f>
        <v>#REF!</v>
      </c>
    </row>
    <row r="406" spans="1:16" s="97" customFormat="1" x14ac:dyDescent="0.25">
      <c r="A406" s="29" t="s">
        <v>497</v>
      </c>
      <c r="B406" s="30" t="s">
        <v>476</v>
      </c>
      <c r="C406" s="31" t="s">
        <v>503</v>
      </c>
      <c r="D406" s="71" t="s">
        <v>1177</v>
      </c>
      <c r="E406" s="31" t="s">
        <v>672</v>
      </c>
      <c r="F406" s="31" t="s">
        <v>678</v>
      </c>
      <c r="G406" s="71" t="s">
        <v>166</v>
      </c>
      <c r="H406" s="71" t="s">
        <v>656</v>
      </c>
      <c r="I406" s="31"/>
      <c r="J406" s="32" t="s">
        <v>708</v>
      </c>
      <c r="K406" s="111">
        <f>ROUND(Tableau16[[#This Row],[LEN]]*7.27,0)</f>
        <v>371</v>
      </c>
      <c r="L406" s="111">
        <v>15</v>
      </c>
      <c r="M406" s="128" t="str">
        <f t="shared" si="3"/>
        <v>none</v>
      </c>
      <c r="N406" s="111">
        <f>LEN(Tableau16[[#This Row],[LABEL]])</f>
        <v>51</v>
      </c>
      <c r="O406" s="111">
        <v>15</v>
      </c>
      <c r="P406" s="111" t="e">
        <f>ROUND(Tableau16[[#This Row],[LEN]]*#REF!+#REF!,0)</f>
        <v>#REF!</v>
      </c>
    </row>
    <row r="407" spans="1:16" s="97" customFormat="1" x14ac:dyDescent="0.25">
      <c r="A407" s="25" t="s">
        <v>477</v>
      </c>
      <c r="B407" s="26" t="s">
        <v>258</v>
      </c>
      <c r="C407" s="27" t="s">
        <v>88</v>
      </c>
      <c r="D407" s="70" t="s">
        <v>1177</v>
      </c>
      <c r="E407" s="27" t="s">
        <v>667</v>
      </c>
      <c r="F407" s="27" t="s">
        <v>1218</v>
      </c>
      <c r="G407" s="70" t="s">
        <v>166</v>
      </c>
      <c r="H407" s="70" t="s">
        <v>570</v>
      </c>
      <c r="I407" s="27"/>
      <c r="J407" s="28" t="s">
        <v>708</v>
      </c>
      <c r="K407" s="109">
        <f>ROUND(Tableau16[[#This Row],[LEN]]*7.27,0)</f>
        <v>342</v>
      </c>
      <c r="L407" s="109">
        <v>15</v>
      </c>
      <c r="M407" s="127" t="str">
        <f t="shared" si="3"/>
        <v>none</v>
      </c>
      <c r="N407" s="109">
        <f>LEN(Tableau16[[#This Row],[LABEL]])</f>
        <v>47</v>
      </c>
      <c r="O407" s="109">
        <v>15</v>
      </c>
      <c r="P407" s="109" t="e">
        <f>ROUND(Tableau16[[#This Row],[LEN]]*#REF!+#REF!,0)</f>
        <v>#REF!</v>
      </c>
    </row>
    <row r="408" spans="1:16" s="97" customFormat="1" x14ac:dyDescent="0.25">
      <c r="A408" s="25" t="s">
        <v>478</v>
      </c>
      <c r="B408" s="26" t="s">
        <v>258</v>
      </c>
      <c r="C408" s="27" t="s">
        <v>484</v>
      </c>
      <c r="D408" s="70" t="s">
        <v>1177</v>
      </c>
      <c r="E408" s="27" t="s">
        <v>672</v>
      </c>
      <c r="F408" s="27" t="s">
        <v>1285</v>
      </c>
      <c r="G408" s="70" t="s">
        <v>166</v>
      </c>
      <c r="H408" s="70" t="s">
        <v>655</v>
      </c>
      <c r="I408" s="27"/>
      <c r="J408" s="28" t="s">
        <v>727</v>
      </c>
      <c r="K408" s="109">
        <f>ROUND(Tableau16[[#This Row],[LEN]]*7.27,0)</f>
        <v>80</v>
      </c>
      <c r="L408" s="109">
        <v>15</v>
      </c>
      <c r="M408" s="127" t="str">
        <f t="shared" si="3"/>
        <v>new</v>
      </c>
      <c r="N408" s="109">
        <f>LEN(Tableau16[[#This Row],[LABEL]])</f>
        <v>11</v>
      </c>
      <c r="O408" s="109">
        <v>15</v>
      </c>
      <c r="P408" s="109" t="e">
        <f>ROUND(Tableau16[[#This Row],[LEN]]*#REF!+#REF!,0)</f>
        <v>#REF!</v>
      </c>
    </row>
    <row r="409" spans="1:16" s="97" customFormat="1" x14ac:dyDescent="0.25">
      <c r="A409" s="29" t="s">
        <v>504</v>
      </c>
      <c r="B409" s="30" t="s">
        <v>478</v>
      </c>
      <c r="C409" s="31" t="s">
        <v>505</v>
      </c>
      <c r="D409" s="71" t="s">
        <v>1177</v>
      </c>
      <c r="E409" s="31" t="s">
        <v>672</v>
      </c>
      <c r="F409" s="31" t="s">
        <v>1285</v>
      </c>
      <c r="G409" s="71" t="s">
        <v>166</v>
      </c>
      <c r="H409" s="71" t="s">
        <v>18</v>
      </c>
      <c r="I409" s="31"/>
      <c r="J409" s="32" t="s">
        <v>705</v>
      </c>
      <c r="K409" s="111">
        <f>ROUND(Tableau16[[#This Row],[LEN]]*7.27,0)</f>
        <v>73</v>
      </c>
      <c r="L409" s="111">
        <v>15</v>
      </c>
      <c r="M409" s="128" t="str">
        <f t="shared" si="3"/>
        <v>new</v>
      </c>
      <c r="N409" s="111">
        <f>LEN(Tableau16[[#This Row],[LABEL]])</f>
        <v>10</v>
      </c>
      <c r="O409" s="111">
        <v>15</v>
      </c>
      <c r="P409" s="111" t="e">
        <f>ROUND(Tableau16[[#This Row],[LEN]]*#REF!+#REF!,0)</f>
        <v>#REF!</v>
      </c>
    </row>
    <row r="410" spans="1:16" s="97" customFormat="1" x14ac:dyDescent="0.25">
      <c r="A410" s="29" t="s">
        <v>504</v>
      </c>
      <c r="B410" s="30" t="s">
        <v>478</v>
      </c>
      <c r="C410" s="31" t="s">
        <v>1284</v>
      </c>
      <c r="D410" s="71" t="s">
        <v>1177</v>
      </c>
      <c r="E410" s="31" t="s">
        <v>672</v>
      </c>
      <c r="F410" s="31" t="s">
        <v>1285</v>
      </c>
      <c r="G410" s="71" t="s">
        <v>166</v>
      </c>
      <c r="H410" s="71" t="s">
        <v>18</v>
      </c>
      <c r="I410" s="31"/>
      <c r="J410" s="32" t="s">
        <v>705</v>
      </c>
      <c r="K410" s="111">
        <f>ROUND(Tableau16[[#This Row],[LEN]]*7.27,0)</f>
        <v>153</v>
      </c>
      <c r="L410" s="111">
        <v>15</v>
      </c>
      <c r="M410" s="128" t="str">
        <f t="shared" si="3"/>
        <v>new</v>
      </c>
      <c r="N410" s="111">
        <f>LEN(Tableau16[[#This Row],[LABEL]])</f>
        <v>21</v>
      </c>
      <c r="O410" s="111">
        <v>15</v>
      </c>
      <c r="P410" s="111" t="e">
        <f>ROUND(Tableau16[[#This Row],[LEN]]*#REF!+#REF!,0)</f>
        <v>#REF!</v>
      </c>
    </row>
    <row r="411" spans="1:16" s="97" customFormat="1" x14ac:dyDescent="0.25">
      <c r="A411" s="25" t="s">
        <v>479</v>
      </c>
      <c r="B411" s="26" t="s">
        <v>258</v>
      </c>
      <c r="C411" s="27" t="s">
        <v>485</v>
      </c>
      <c r="D411" s="70" t="s">
        <v>1177</v>
      </c>
      <c r="E411" s="27" t="s">
        <v>672</v>
      </c>
      <c r="F411" s="27" t="s">
        <v>1177</v>
      </c>
      <c r="G411" s="70" t="s">
        <v>166</v>
      </c>
      <c r="H411" s="70" t="s">
        <v>654</v>
      </c>
      <c r="I411" s="27"/>
      <c r="J411" s="28" t="s">
        <v>708</v>
      </c>
      <c r="K411" s="109">
        <f>ROUND(Tableau16[[#This Row],[LEN]]*7.27,0)</f>
        <v>87</v>
      </c>
      <c r="L411" s="109">
        <v>15</v>
      </c>
      <c r="M411" s="127" t="str">
        <f t="shared" si="3"/>
        <v>none</v>
      </c>
      <c r="N411" s="109">
        <f>LEN(Tableau16[[#This Row],[LABEL]])</f>
        <v>12</v>
      </c>
      <c r="O411" s="109">
        <v>15</v>
      </c>
      <c r="P411" s="109" t="e">
        <f>ROUND(Tableau16[[#This Row],[LEN]]*#REF!+#REF!,0)</f>
        <v>#REF!</v>
      </c>
    </row>
    <row r="412" spans="1:16" s="97" customFormat="1" x14ac:dyDescent="0.25">
      <c r="A412" s="25" t="s">
        <v>480</v>
      </c>
      <c r="B412" s="26" t="s">
        <v>258</v>
      </c>
      <c r="C412" s="27" t="s">
        <v>778</v>
      </c>
      <c r="D412" s="70" t="s">
        <v>1177</v>
      </c>
      <c r="E412" s="27" t="s">
        <v>673</v>
      </c>
      <c r="F412" s="27" t="s">
        <v>2000</v>
      </c>
      <c r="G412" s="70" t="s">
        <v>166</v>
      </c>
      <c r="H412" s="70" t="s">
        <v>17</v>
      </c>
      <c r="I412" s="27"/>
      <c r="J412" s="28" t="s">
        <v>708</v>
      </c>
      <c r="K412" s="109">
        <f>ROUND(Tableau16[[#This Row],[LEN]]*7.27,0)</f>
        <v>211</v>
      </c>
      <c r="L412" s="109">
        <v>15</v>
      </c>
      <c r="M412" s="127" t="str">
        <f t="shared" si="3"/>
        <v>none</v>
      </c>
      <c r="N412" s="109">
        <f>LEN(Tableau16[[#This Row],[LABEL]])</f>
        <v>29</v>
      </c>
      <c r="O412" s="109">
        <v>15</v>
      </c>
      <c r="P412" s="109" t="e">
        <f>ROUND(Tableau16[[#This Row],[LEN]]*#REF!+#REF!,0)</f>
        <v>#REF!</v>
      </c>
    </row>
    <row r="413" spans="1:16" s="97" customFormat="1" x14ac:dyDescent="0.25">
      <c r="A413" s="25" t="s">
        <v>481</v>
      </c>
      <c r="B413" s="26" t="s">
        <v>258</v>
      </c>
      <c r="C413" s="27" t="s">
        <v>92</v>
      </c>
      <c r="D413" s="70" t="s">
        <v>1177</v>
      </c>
      <c r="E413" s="27" t="s">
        <v>663</v>
      </c>
      <c r="F413" s="27" t="s">
        <v>2080</v>
      </c>
      <c r="G413" s="70" t="s">
        <v>166</v>
      </c>
      <c r="H413" s="70" t="s">
        <v>655</v>
      </c>
      <c r="I413" s="27"/>
      <c r="J413" s="28" t="s">
        <v>708</v>
      </c>
      <c r="K413" s="109">
        <f>ROUND(Tableau16[[#This Row],[LEN]]*7.27,0)</f>
        <v>262</v>
      </c>
      <c r="L413" s="109">
        <v>15</v>
      </c>
      <c r="M413" s="127" t="str">
        <f t="shared" si="3"/>
        <v>none</v>
      </c>
      <c r="N413" s="109">
        <f>LEN(Tableau16[[#This Row],[LABEL]])</f>
        <v>36</v>
      </c>
      <c r="O413" s="109">
        <v>15</v>
      </c>
      <c r="P413" s="109" t="e">
        <f>ROUND(Tableau16[[#This Row],[LEN]]*#REF!+#REF!,0)</f>
        <v>#REF!</v>
      </c>
    </row>
    <row r="414" spans="1:16" s="97" customFormat="1" x14ac:dyDescent="0.25">
      <c r="A414" s="29" t="s">
        <v>506</v>
      </c>
      <c r="B414" s="30" t="s">
        <v>481</v>
      </c>
      <c r="C414" s="31" t="s">
        <v>95</v>
      </c>
      <c r="D414" s="71" t="s">
        <v>1177</v>
      </c>
      <c r="E414" s="31" t="s">
        <v>663</v>
      </c>
      <c r="F414" s="31" t="s">
        <v>2080</v>
      </c>
      <c r="G414" s="71" t="s">
        <v>166</v>
      </c>
      <c r="H414" s="71" t="s">
        <v>18</v>
      </c>
      <c r="I414" s="31"/>
      <c r="J414" s="32" t="s">
        <v>708</v>
      </c>
      <c r="K414" s="111">
        <f>ROUND(Tableau16[[#This Row],[LEN]]*7.27,0)</f>
        <v>254</v>
      </c>
      <c r="L414" s="111">
        <v>15</v>
      </c>
      <c r="M414" s="128" t="str">
        <f t="shared" si="3"/>
        <v>none</v>
      </c>
      <c r="N414" s="111">
        <f>LEN(Tableau16[[#This Row],[LABEL]])</f>
        <v>35</v>
      </c>
      <c r="O414" s="111">
        <v>15</v>
      </c>
      <c r="P414" s="111" t="e">
        <f>ROUND(Tableau16[[#This Row],[LEN]]*#REF!+#REF!,0)</f>
        <v>#REF!</v>
      </c>
    </row>
    <row r="415" spans="1:16" s="97" customFormat="1" x14ac:dyDescent="0.25">
      <c r="A415" s="29" t="s">
        <v>507</v>
      </c>
      <c r="B415" s="30" t="s">
        <v>481</v>
      </c>
      <c r="C415" s="31" t="s">
        <v>96</v>
      </c>
      <c r="D415" s="71" t="s">
        <v>1177</v>
      </c>
      <c r="E415" s="31" t="s">
        <v>663</v>
      </c>
      <c r="F415" s="31" t="s">
        <v>2080</v>
      </c>
      <c r="G415" s="71" t="s">
        <v>166</v>
      </c>
      <c r="H415" s="71" t="s">
        <v>18</v>
      </c>
      <c r="I415" s="31"/>
      <c r="J415" s="32" t="s">
        <v>708</v>
      </c>
      <c r="K415" s="111">
        <f>ROUND(Tableau16[[#This Row],[LEN]]*7.27,0)</f>
        <v>233</v>
      </c>
      <c r="L415" s="111">
        <v>15</v>
      </c>
      <c r="M415" s="128" t="str">
        <f t="shared" si="3"/>
        <v>none</v>
      </c>
      <c r="N415" s="111">
        <f>LEN(Tableau16[[#This Row],[LABEL]])</f>
        <v>32</v>
      </c>
      <c r="O415" s="111">
        <v>15</v>
      </c>
      <c r="P415" s="111" t="e">
        <f>ROUND(Tableau16[[#This Row],[LEN]]*#REF!+#REF!,0)</f>
        <v>#REF!</v>
      </c>
    </row>
    <row r="416" spans="1:16" s="97" customFormat="1" x14ac:dyDescent="0.25">
      <c r="A416" s="29" t="s">
        <v>508</v>
      </c>
      <c r="B416" s="30" t="s">
        <v>481</v>
      </c>
      <c r="C416" s="31" t="s">
        <v>97</v>
      </c>
      <c r="D416" s="71" t="s">
        <v>1177</v>
      </c>
      <c r="E416" s="31" t="s">
        <v>663</v>
      </c>
      <c r="F416" s="31" t="s">
        <v>2080</v>
      </c>
      <c r="G416" s="71" t="s">
        <v>166</v>
      </c>
      <c r="H416" s="71" t="s">
        <v>656</v>
      </c>
      <c r="I416" s="31"/>
      <c r="J416" s="32" t="s">
        <v>708</v>
      </c>
      <c r="K416" s="111">
        <f>ROUND(Tableau16[[#This Row],[LEN]]*7.27,0)</f>
        <v>145</v>
      </c>
      <c r="L416" s="111">
        <v>15</v>
      </c>
      <c r="M416" s="128" t="str">
        <f t="shared" si="3"/>
        <v>none</v>
      </c>
      <c r="N416" s="111">
        <f>LEN(Tableau16[[#This Row],[LABEL]])</f>
        <v>20</v>
      </c>
      <c r="O416" s="111">
        <v>15</v>
      </c>
      <c r="P416" s="111" t="e">
        <f>ROUND(Tableau16[[#This Row],[LEN]]*#REF!+#REF!,0)</f>
        <v>#REF!</v>
      </c>
    </row>
    <row r="417" spans="1:16" s="97" customFormat="1" x14ac:dyDescent="0.25">
      <c r="A417" s="25" t="s">
        <v>482</v>
      </c>
      <c r="B417" s="26" t="s">
        <v>258</v>
      </c>
      <c r="C417" s="27" t="s">
        <v>1167</v>
      </c>
      <c r="D417" s="70" t="s">
        <v>486</v>
      </c>
      <c r="E417" s="27" t="s">
        <v>1085</v>
      </c>
      <c r="F417" s="27" t="s">
        <v>1084</v>
      </c>
      <c r="G417" s="70" t="s">
        <v>1977</v>
      </c>
      <c r="H417" s="70" t="s">
        <v>1131</v>
      </c>
      <c r="I417" s="27"/>
      <c r="J417" s="28" t="s">
        <v>708</v>
      </c>
      <c r="K417" s="109">
        <f>ROUND(Tableau16[[#This Row],[LEN]]*7.27,0)</f>
        <v>196</v>
      </c>
      <c r="L417" s="109">
        <v>15</v>
      </c>
      <c r="M417" s="127" t="str">
        <f t="shared" si="3"/>
        <v>none</v>
      </c>
      <c r="N417" s="109">
        <f>LEN(Tableau16[[#This Row],[LABEL]])</f>
        <v>27</v>
      </c>
      <c r="O417" s="109">
        <v>15</v>
      </c>
      <c r="P417" s="109" t="e">
        <f>ROUND(Tableau16[[#This Row],[LEN]]*#REF!+#REF!,0)</f>
        <v>#REF!</v>
      </c>
    </row>
    <row r="418" spans="1:16" s="97" customFormat="1" x14ac:dyDescent="0.25">
      <c r="A418" s="29" t="s">
        <v>1209</v>
      </c>
      <c r="B418" s="30" t="s">
        <v>482</v>
      </c>
      <c r="C418" s="31" t="s">
        <v>93</v>
      </c>
      <c r="D418" s="71" t="s">
        <v>1177</v>
      </c>
      <c r="E418" s="31" t="s">
        <v>1085</v>
      </c>
      <c r="F418" s="31" t="s">
        <v>1084</v>
      </c>
      <c r="G418" s="71" t="s">
        <v>166</v>
      </c>
      <c r="H418" s="71" t="s">
        <v>18</v>
      </c>
      <c r="I418" s="31"/>
      <c r="J418" s="32" t="s">
        <v>101</v>
      </c>
      <c r="K418" s="111">
        <f>ROUND(Tableau16[[#This Row],[LEN]]*7.27,0)</f>
        <v>109</v>
      </c>
      <c r="L418" s="111">
        <v>15</v>
      </c>
      <c r="M418" s="128" t="str">
        <f t="shared" si="3"/>
        <v>new</v>
      </c>
      <c r="N418" s="111">
        <f>LEN(Tableau16[[#This Row],[LABEL]])</f>
        <v>15</v>
      </c>
      <c r="O418" s="111">
        <v>15</v>
      </c>
      <c r="P418" s="111" t="e">
        <f>ROUND(Tableau16[[#This Row],[LEN]]*#REF!+#REF!,0)</f>
        <v>#REF!</v>
      </c>
    </row>
    <row r="419" spans="1:16" s="97" customFormat="1" x14ac:dyDescent="0.25">
      <c r="A419" s="29" t="s">
        <v>1210</v>
      </c>
      <c r="B419" s="30" t="s">
        <v>482</v>
      </c>
      <c r="C419" s="31" t="s">
        <v>94</v>
      </c>
      <c r="D419" s="71" t="s">
        <v>1177</v>
      </c>
      <c r="E419" s="31" t="s">
        <v>1085</v>
      </c>
      <c r="F419" s="31" t="s">
        <v>1084</v>
      </c>
      <c r="G419" s="71" t="s">
        <v>166</v>
      </c>
      <c r="H419" s="71" t="s">
        <v>18</v>
      </c>
      <c r="I419" s="31"/>
      <c r="J419" s="32" t="s">
        <v>102</v>
      </c>
      <c r="K419" s="111">
        <f>ROUND(Tableau16[[#This Row],[LEN]]*7.27,0)</f>
        <v>58</v>
      </c>
      <c r="L419" s="111">
        <v>15</v>
      </c>
      <c r="M419" s="128" t="str">
        <f t="shared" si="3"/>
        <v>new</v>
      </c>
      <c r="N419" s="111">
        <f>LEN(Tableau16[[#This Row],[LABEL]])</f>
        <v>8</v>
      </c>
      <c r="O419" s="111">
        <v>15</v>
      </c>
      <c r="P419" s="111" t="e">
        <f>ROUND(Tableau16[[#This Row],[LEN]]*#REF!+#REF!,0)</f>
        <v>#REF!</v>
      </c>
    </row>
    <row r="420" spans="1:16" s="273" customFormat="1" x14ac:dyDescent="0.25">
      <c r="A420" s="288" t="s">
        <v>259</v>
      </c>
      <c r="B420" s="289" t="s">
        <v>206</v>
      </c>
      <c r="C420" s="290" t="s">
        <v>10</v>
      </c>
      <c r="D420" s="291" t="s">
        <v>1177</v>
      </c>
      <c r="E420" s="290" t="s">
        <v>673</v>
      </c>
      <c r="F420" s="290" t="s">
        <v>1177</v>
      </c>
      <c r="G420" s="291" t="s">
        <v>166</v>
      </c>
      <c r="H420" s="291" t="str">
        <f>IFERROR(IF(SEARCH(".00.00.00.00.00",Tableau16[[#This Row],[name]],1)=7,"Division",""),"")</f>
        <v>Division</v>
      </c>
      <c r="I420" s="290"/>
      <c r="J420" s="292" t="s">
        <v>719</v>
      </c>
      <c r="K420" s="293">
        <f>ROUND(Tableau16[[#This Row],[LEN]]*7.27,0)</f>
        <v>109</v>
      </c>
      <c r="L420" s="293">
        <v>15</v>
      </c>
      <c r="M420" s="294" t="str">
        <f t="shared" si="3"/>
        <v>new</v>
      </c>
      <c r="N420" s="293">
        <f>LEN(Tableau16[[#This Row],[LABEL]])</f>
        <v>15</v>
      </c>
      <c r="O420" s="293">
        <v>15</v>
      </c>
      <c r="P420" s="293" t="e">
        <f>ROUND(Tableau16[[#This Row],[LEN]]*#REF!+#REF!,0)</f>
        <v>#REF!</v>
      </c>
    </row>
    <row r="421" spans="1:16" s="97" customFormat="1" x14ac:dyDescent="0.25">
      <c r="A421" s="25" t="s">
        <v>1226</v>
      </c>
      <c r="B421" s="26" t="s">
        <v>259</v>
      </c>
      <c r="C421" s="27" t="s">
        <v>1238</v>
      </c>
      <c r="D421" s="70" t="s">
        <v>1177</v>
      </c>
      <c r="E421" s="27" t="s">
        <v>673</v>
      </c>
      <c r="F421" s="27" t="s">
        <v>1177</v>
      </c>
      <c r="G421" s="70" t="s">
        <v>166</v>
      </c>
      <c r="H421" s="70" t="s">
        <v>655</v>
      </c>
      <c r="I421" s="27"/>
      <c r="J421" s="28" t="s">
        <v>708</v>
      </c>
      <c r="K421" s="109">
        <f>ROUND(Tableau16[[#This Row],[LEN]]*7.27,0)</f>
        <v>196</v>
      </c>
      <c r="L421" s="109">
        <v>15</v>
      </c>
      <c r="M421" s="127" t="str">
        <f t="shared" si="3"/>
        <v>none</v>
      </c>
      <c r="N421" s="109">
        <f>LEN(Tableau16[[#This Row],[LABEL]])</f>
        <v>27</v>
      </c>
      <c r="O421" s="109">
        <v>15</v>
      </c>
      <c r="P421" s="109" t="e">
        <f>ROUND(Tableau16[[#This Row],[LEN]]*#REF!+#REF!,0)</f>
        <v>#REF!</v>
      </c>
    </row>
    <row r="422" spans="1:16" s="97" customFormat="1" x14ac:dyDescent="0.25">
      <c r="A422" s="29" t="s">
        <v>1251</v>
      </c>
      <c r="B422" s="30" t="s">
        <v>1226</v>
      </c>
      <c r="C422" s="31" t="s">
        <v>1255</v>
      </c>
      <c r="D422" s="71" t="s">
        <v>1177</v>
      </c>
      <c r="E422" s="31" t="s">
        <v>673</v>
      </c>
      <c r="F422" s="31" t="s">
        <v>1177</v>
      </c>
      <c r="G422" s="71" t="s">
        <v>166</v>
      </c>
      <c r="H422" s="71" t="s">
        <v>654</v>
      </c>
      <c r="I422" s="31"/>
      <c r="J422" s="32" t="s">
        <v>708</v>
      </c>
      <c r="K422" s="111">
        <f>ROUND(Tableau16[[#This Row],[LEN]]*7.27,0)</f>
        <v>356</v>
      </c>
      <c r="L422" s="111">
        <v>15</v>
      </c>
      <c r="M422" s="128" t="str">
        <f t="shared" si="3"/>
        <v>none</v>
      </c>
      <c r="N422" s="111">
        <f>LEN(Tableau16[[#This Row],[LABEL]])</f>
        <v>49</v>
      </c>
      <c r="O422" s="111">
        <v>15</v>
      </c>
      <c r="P422" s="111" t="e">
        <f>ROUND(Tableau16[[#This Row],[LEN]]*#REF!+#REF!,0)</f>
        <v>#REF!</v>
      </c>
    </row>
    <row r="423" spans="1:16" s="97" customFormat="1" x14ac:dyDescent="0.25">
      <c r="A423" s="29" t="s">
        <v>1252</v>
      </c>
      <c r="B423" s="30" t="s">
        <v>1226</v>
      </c>
      <c r="C423" s="31" t="s">
        <v>1256</v>
      </c>
      <c r="D423" s="71" t="s">
        <v>1177</v>
      </c>
      <c r="E423" s="31" t="s">
        <v>673</v>
      </c>
      <c r="F423" s="31" t="s">
        <v>1177</v>
      </c>
      <c r="G423" s="71" t="s">
        <v>166</v>
      </c>
      <c r="H423" s="71" t="s">
        <v>656</v>
      </c>
      <c r="I423" s="31"/>
      <c r="J423" s="32" t="s">
        <v>708</v>
      </c>
      <c r="K423" s="111">
        <f>ROUND(Tableau16[[#This Row],[LEN]]*7.27,0)</f>
        <v>291</v>
      </c>
      <c r="L423" s="111">
        <v>15</v>
      </c>
      <c r="M423" s="128" t="str">
        <f t="shared" si="3"/>
        <v>none</v>
      </c>
      <c r="N423" s="111">
        <f>LEN(Tableau16[[#This Row],[LABEL]])</f>
        <v>40</v>
      </c>
      <c r="O423" s="111">
        <v>15</v>
      </c>
      <c r="P423" s="111" t="e">
        <f>ROUND(Tableau16[[#This Row],[LEN]]*#REF!+#REF!,0)</f>
        <v>#REF!</v>
      </c>
    </row>
    <row r="424" spans="1:16" s="97" customFormat="1" x14ac:dyDescent="0.25">
      <c r="A424" s="29" t="s">
        <v>1253</v>
      </c>
      <c r="B424" s="30" t="s">
        <v>1226</v>
      </c>
      <c r="C424" s="31" t="s">
        <v>1257</v>
      </c>
      <c r="D424" s="71" t="s">
        <v>1177</v>
      </c>
      <c r="E424" s="31" t="s">
        <v>673</v>
      </c>
      <c r="F424" s="31" t="s">
        <v>1177</v>
      </c>
      <c r="G424" s="71" t="s">
        <v>166</v>
      </c>
      <c r="H424" s="71" t="s">
        <v>654</v>
      </c>
      <c r="I424" s="31"/>
      <c r="J424" s="32" t="s">
        <v>708</v>
      </c>
      <c r="K424" s="111">
        <f>ROUND(Tableau16[[#This Row],[LEN]]*7.27,0)</f>
        <v>211</v>
      </c>
      <c r="L424" s="111">
        <v>15</v>
      </c>
      <c r="M424" s="128" t="str">
        <f t="shared" si="3"/>
        <v>none</v>
      </c>
      <c r="N424" s="111">
        <f>LEN(Tableau16[[#This Row],[LABEL]])</f>
        <v>29</v>
      </c>
      <c r="O424" s="111">
        <v>15</v>
      </c>
      <c r="P424" s="111" t="e">
        <f>ROUND(Tableau16[[#This Row],[LEN]]*#REF!+#REF!,0)</f>
        <v>#REF!</v>
      </c>
    </row>
    <row r="425" spans="1:16" s="97" customFormat="1" x14ac:dyDescent="0.25">
      <c r="A425" s="29" t="s">
        <v>1254</v>
      </c>
      <c r="B425" s="30" t="s">
        <v>1226</v>
      </c>
      <c r="C425" s="31" t="s">
        <v>1258</v>
      </c>
      <c r="D425" s="71" t="s">
        <v>1177</v>
      </c>
      <c r="E425" s="31" t="s">
        <v>673</v>
      </c>
      <c r="F425" s="31" t="s">
        <v>1177</v>
      </c>
      <c r="G425" s="71" t="s">
        <v>166</v>
      </c>
      <c r="H425" s="71" t="s">
        <v>18</v>
      </c>
      <c r="I425" s="31"/>
      <c r="J425" s="32" t="s">
        <v>102</v>
      </c>
      <c r="K425" s="111">
        <f>ROUND(Tableau16[[#This Row],[LEN]]*7.27,0)</f>
        <v>327</v>
      </c>
      <c r="L425" s="111">
        <v>15</v>
      </c>
      <c r="M425" s="128" t="str">
        <f t="shared" si="3"/>
        <v>new</v>
      </c>
      <c r="N425" s="111">
        <f>LEN(Tableau16[[#This Row],[LABEL]])</f>
        <v>45</v>
      </c>
      <c r="O425" s="111">
        <v>15</v>
      </c>
      <c r="P425" s="111" t="e">
        <f>ROUND(Tableau16[[#This Row],[LEN]]*#REF!+#REF!,0)</f>
        <v>#REF!</v>
      </c>
    </row>
    <row r="426" spans="1:16" s="97" customFormat="1" x14ac:dyDescent="0.25">
      <c r="A426" s="25" t="s">
        <v>1227</v>
      </c>
      <c r="B426" s="26" t="s">
        <v>259</v>
      </c>
      <c r="C426" s="27" t="s">
        <v>1239</v>
      </c>
      <c r="D426" s="70" t="s">
        <v>1177</v>
      </c>
      <c r="E426" s="27" t="s">
        <v>673</v>
      </c>
      <c r="F426" s="27" t="s">
        <v>1177</v>
      </c>
      <c r="G426" s="70" t="s">
        <v>166</v>
      </c>
      <c r="H426" s="70" t="s">
        <v>570</v>
      </c>
      <c r="I426" s="27"/>
      <c r="J426" s="28" t="s">
        <v>1240</v>
      </c>
      <c r="K426" s="109">
        <f>ROUND(Tableau16[[#This Row],[LEN]]*7.27,0)</f>
        <v>276</v>
      </c>
      <c r="L426" s="109">
        <v>15</v>
      </c>
      <c r="M426" s="127" t="str">
        <f t="shared" si="3"/>
        <v>new</v>
      </c>
      <c r="N426" s="109">
        <f>LEN(Tableau16[[#This Row],[LABEL]])</f>
        <v>38</v>
      </c>
      <c r="O426" s="109">
        <v>15</v>
      </c>
      <c r="P426" s="109" t="e">
        <f>ROUND(Tableau16[[#This Row],[LEN]]*#REF!+#REF!,0)</f>
        <v>#REF!</v>
      </c>
    </row>
    <row r="427" spans="1:16" s="97" customFormat="1" x14ac:dyDescent="0.25">
      <c r="A427" s="25" t="s">
        <v>1228</v>
      </c>
      <c r="B427" s="26" t="s">
        <v>259</v>
      </c>
      <c r="C427" s="27" t="s">
        <v>88</v>
      </c>
      <c r="D427" s="70" t="s">
        <v>1177</v>
      </c>
      <c r="E427" s="27" t="s">
        <v>667</v>
      </c>
      <c r="F427" s="27" t="s">
        <v>1218</v>
      </c>
      <c r="G427" s="70" t="s">
        <v>166</v>
      </c>
      <c r="H427" s="70" t="s">
        <v>570</v>
      </c>
      <c r="I427" s="27"/>
      <c r="J427" s="28" t="s">
        <v>708</v>
      </c>
      <c r="K427" s="109">
        <f>ROUND(Tableau16[[#This Row],[LEN]]*7.27,0)</f>
        <v>342</v>
      </c>
      <c r="L427" s="109">
        <v>15</v>
      </c>
      <c r="M427" s="127" t="str">
        <f t="shared" si="3"/>
        <v>none</v>
      </c>
      <c r="N427" s="109">
        <f>LEN(Tableau16[[#This Row],[LABEL]])</f>
        <v>47</v>
      </c>
      <c r="O427" s="109">
        <v>15</v>
      </c>
      <c r="P427" s="109" t="e">
        <f>ROUND(Tableau16[[#This Row],[LEN]]*#REF!+#REF!,0)</f>
        <v>#REF!</v>
      </c>
    </row>
    <row r="428" spans="1:16" s="97" customFormat="1" x14ac:dyDescent="0.25">
      <c r="A428" s="25" t="s">
        <v>1229</v>
      </c>
      <c r="B428" s="26" t="s">
        <v>259</v>
      </c>
      <c r="C428" s="27" t="s">
        <v>1241</v>
      </c>
      <c r="D428" s="70" t="s">
        <v>1177</v>
      </c>
      <c r="E428" s="27" t="s">
        <v>1242</v>
      </c>
      <c r="F428" s="27" t="s">
        <v>1248</v>
      </c>
      <c r="G428" s="70" t="s">
        <v>166</v>
      </c>
      <c r="H428" s="70" t="s">
        <v>656</v>
      </c>
      <c r="I428" s="27"/>
      <c r="J428" s="28" t="s">
        <v>708</v>
      </c>
      <c r="K428" s="109">
        <f>ROUND(Tableau16[[#This Row],[LEN]]*7.27,0)</f>
        <v>131</v>
      </c>
      <c r="L428" s="109">
        <v>15</v>
      </c>
      <c r="M428" s="127" t="str">
        <f t="shared" si="3"/>
        <v>none</v>
      </c>
      <c r="N428" s="109">
        <f>LEN(Tableau16[[#This Row],[LABEL]])</f>
        <v>18</v>
      </c>
      <c r="O428" s="109">
        <v>15</v>
      </c>
      <c r="P428" s="109" t="e">
        <f>ROUND(Tableau16[[#This Row],[LEN]]*#REF!+#REF!,0)</f>
        <v>#REF!</v>
      </c>
    </row>
    <row r="429" spans="1:16" s="97" customFormat="1" x14ac:dyDescent="0.25">
      <c r="A429" s="25" t="s">
        <v>1230</v>
      </c>
      <c r="B429" s="26" t="s">
        <v>259</v>
      </c>
      <c r="C429" s="27" t="s">
        <v>1243</v>
      </c>
      <c r="D429" s="70" t="s">
        <v>1177</v>
      </c>
      <c r="E429" s="27" t="s">
        <v>673</v>
      </c>
      <c r="F429" s="27" t="s">
        <v>1177</v>
      </c>
      <c r="G429" s="70" t="s">
        <v>166</v>
      </c>
      <c r="H429" s="70" t="s">
        <v>655</v>
      </c>
      <c r="I429" s="27"/>
      <c r="J429" s="28" t="s">
        <v>708</v>
      </c>
      <c r="K429" s="109">
        <f>ROUND(Tableau16[[#This Row],[LEN]]*7.27,0)</f>
        <v>218</v>
      </c>
      <c r="L429" s="109">
        <v>15</v>
      </c>
      <c r="M429" s="127" t="str">
        <f t="shared" si="3"/>
        <v>none</v>
      </c>
      <c r="N429" s="109">
        <f>LEN(Tableau16[[#This Row],[LABEL]])</f>
        <v>30</v>
      </c>
      <c r="O429" s="109">
        <v>15</v>
      </c>
      <c r="P429" s="109" t="e">
        <f>ROUND(Tableau16[[#This Row],[LEN]]*#REF!+#REF!,0)</f>
        <v>#REF!</v>
      </c>
    </row>
    <row r="430" spans="1:16" s="97" customFormat="1" x14ac:dyDescent="0.25">
      <c r="A430" s="29" t="s">
        <v>1259</v>
      </c>
      <c r="B430" s="30" t="s">
        <v>1230</v>
      </c>
      <c r="C430" s="31" t="s">
        <v>1263</v>
      </c>
      <c r="D430" s="71" t="s">
        <v>1177</v>
      </c>
      <c r="E430" s="31" t="s">
        <v>673</v>
      </c>
      <c r="F430" s="31" t="s">
        <v>1177</v>
      </c>
      <c r="G430" s="71" t="s">
        <v>166</v>
      </c>
      <c r="H430" s="71" t="s">
        <v>656</v>
      </c>
      <c r="I430" s="31"/>
      <c r="J430" s="32" t="s">
        <v>719</v>
      </c>
      <c r="K430" s="111">
        <f>ROUND(Tableau16[[#This Row],[LEN]]*7.27,0)</f>
        <v>327</v>
      </c>
      <c r="L430" s="111">
        <v>15</v>
      </c>
      <c r="M430" s="128" t="str">
        <f t="shared" si="3"/>
        <v>new</v>
      </c>
      <c r="N430" s="111">
        <f>LEN(Tableau16[[#This Row],[LABEL]])</f>
        <v>45</v>
      </c>
      <c r="O430" s="111">
        <v>15</v>
      </c>
      <c r="P430" s="111" t="e">
        <f>ROUND(Tableau16[[#This Row],[LEN]]*#REF!+#REF!,0)</f>
        <v>#REF!</v>
      </c>
    </row>
    <row r="431" spans="1:16" s="97" customFormat="1" x14ac:dyDescent="0.25">
      <c r="A431" s="29" t="s">
        <v>1260</v>
      </c>
      <c r="B431" s="30" t="s">
        <v>1230</v>
      </c>
      <c r="C431" s="31" t="s">
        <v>1264</v>
      </c>
      <c r="D431" s="71" t="s">
        <v>1177</v>
      </c>
      <c r="E431" s="31" t="s">
        <v>673</v>
      </c>
      <c r="F431" s="31" t="s">
        <v>1177</v>
      </c>
      <c r="G431" s="71" t="s">
        <v>166</v>
      </c>
      <c r="H431" s="71" t="s">
        <v>18</v>
      </c>
      <c r="I431" s="31"/>
      <c r="J431" s="32" t="s">
        <v>708</v>
      </c>
      <c r="K431" s="111">
        <f>ROUND(Tableau16[[#This Row],[LEN]]*7.27,0)</f>
        <v>262</v>
      </c>
      <c r="L431" s="111">
        <v>15</v>
      </c>
      <c r="M431" s="128" t="str">
        <f t="shared" si="3"/>
        <v>none</v>
      </c>
      <c r="N431" s="111">
        <f>LEN(Tableau16[[#This Row],[LABEL]])</f>
        <v>36</v>
      </c>
      <c r="O431" s="111">
        <v>15</v>
      </c>
      <c r="P431" s="111" t="e">
        <f>ROUND(Tableau16[[#This Row],[LEN]]*#REF!+#REF!,0)</f>
        <v>#REF!</v>
      </c>
    </row>
    <row r="432" spans="1:16" s="97" customFormat="1" x14ac:dyDescent="0.25">
      <c r="A432" s="29" t="s">
        <v>1261</v>
      </c>
      <c r="B432" s="30" t="s">
        <v>1230</v>
      </c>
      <c r="C432" s="31" t="s">
        <v>1265</v>
      </c>
      <c r="D432" s="71" t="s">
        <v>1177</v>
      </c>
      <c r="E432" s="31" t="s">
        <v>673</v>
      </c>
      <c r="F432" s="31" t="s">
        <v>1177</v>
      </c>
      <c r="G432" s="71" t="s">
        <v>166</v>
      </c>
      <c r="H432" s="71" t="s">
        <v>18</v>
      </c>
      <c r="I432" s="31"/>
      <c r="J432" s="32" t="s">
        <v>708</v>
      </c>
      <c r="K432" s="111">
        <f>ROUND(Tableau16[[#This Row],[LEN]]*7.27,0)</f>
        <v>218</v>
      </c>
      <c r="L432" s="111">
        <v>15</v>
      </c>
      <c r="M432" s="128" t="str">
        <f t="shared" si="3"/>
        <v>none</v>
      </c>
      <c r="N432" s="111">
        <f>LEN(Tableau16[[#This Row],[LABEL]])</f>
        <v>30</v>
      </c>
      <c r="O432" s="111">
        <v>15</v>
      </c>
      <c r="P432" s="111" t="e">
        <f>ROUND(Tableau16[[#This Row],[LEN]]*#REF!+#REF!,0)</f>
        <v>#REF!</v>
      </c>
    </row>
    <row r="433" spans="1:16" s="97" customFormat="1" x14ac:dyDescent="0.25">
      <c r="A433" s="29" t="s">
        <v>1262</v>
      </c>
      <c r="B433" s="30" t="s">
        <v>1230</v>
      </c>
      <c r="C433" s="31" t="s">
        <v>1266</v>
      </c>
      <c r="D433" s="71" t="s">
        <v>1177</v>
      </c>
      <c r="E433" s="31" t="s">
        <v>673</v>
      </c>
      <c r="F433" s="31" t="s">
        <v>1177</v>
      </c>
      <c r="G433" s="71" t="s">
        <v>166</v>
      </c>
      <c r="H433" s="71" t="s">
        <v>654</v>
      </c>
      <c r="I433" s="31"/>
      <c r="J433" s="32" t="s">
        <v>708</v>
      </c>
      <c r="K433" s="111">
        <f>ROUND(Tableau16[[#This Row],[LEN]]*7.27,0)</f>
        <v>291</v>
      </c>
      <c r="L433" s="111">
        <v>15</v>
      </c>
      <c r="M433" s="128" t="str">
        <f t="shared" si="3"/>
        <v>none</v>
      </c>
      <c r="N433" s="111">
        <f>LEN(Tableau16[[#This Row],[LABEL]])</f>
        <v>40</v>
      </c>
      <c r="O433" s="111">
        <v>15</v>
      </c>
      <c r="P433" s="111" t="e">
        <f>ROUND(Tableau16[[#This Row],[LEN]]*#REF!+#REF!,0)</f>
        <v>#REF!</v>
      </c>
    </row>
    <row r="434" spans="1:16" s="97" customFormat="1" x14ac:dyDescent="0.25">
      <c r="A434" s="25" t="s">
        <v>1231</v>
      </c>
      <c r="B434" s="26" t="s">
        <v>259</v>
      </c>
      <c r="C434" s="27" t="s">
        <v>1267</v>
      </c>
      <c r="D434" s="70" t="s">
        <v>1177</v>
      </c>
      <c r="E434" s="27" t="s">
        <v>673</v>
      </c>
      <c r="F434" s="27" t="s">
        <v>1249</v>
      </c>
      <c r="G434" s="70" t="s">
        <v>166</v>
      </c>
      <c r="H434" s="70" t="s">
        <v>655</v>
      </c>
      <c r="I434" s="27"/>
      <c r="J434" s="28" t="s">
        <v>708</v>
      </c>
      <c r="K434" s="109">
        <f>ROUND(Tableau16[[#This Row],[LEN]]*7.27,0)</f>
        <v>305</v>
      </c>
      <c r="L434" s="109">
        <v>15</v>
      </c>
      <c r="M434" s="127" t="str">
        <f t="shared" si="3"/>
        <v>none</v>
      </c>
      <c r="N434" s="109">
        <f>LEN(Tableau16[[#This Row],[LABEL]])</f>
        <v>42</v>
      </c>
      <c r="O434" s="109">
        <v>15</v>
      </c>
      <c r="P434" s="109" t="e">
        <f>ROUND(Tableau16[[#This Row],[LEN]]*#REF!+#REF!,0)</f>
        <v>#REF!</v>
      </c>
    </row>
    <row r="435" spans="1:16" s="97" customFormat="1" x14ac:dyDescent="0.25">
      <c r="A435" s="29" t="s">
        <v>1268</v>
      </c>
      <c r="B435" s="30" t="s">
        <v>1231</v>
      </c>
      <c r="C435" s="31" t="s">
        <v>1271</v>
      </c>
      <c r="D435" s="71" t="s">
        <v>1177</v>
      </c>
      <c r="E435" s="31" t="s">
        <v>673</v>
      </c>
      <c r="F435" s="31" t="s">
        <v>1249</v>
      </c>
      <c r="G435" s="71" t="s">
        <v>166</v>
      </c>
      <c r="H435" s="71" t="s">
        <v>570</v>
      </c>
      <c r="I435" s="31"/>
      <c r="J435" s="32" t="s">
        <v>708</v>
      </c>
      <c r="K435" s="111">
        <f>ROUND(Tableau16[[#This Row],[LEN]]*7.27,0)</f>
        <v>145</v>
      </c>
      <c r="L435" s="111">
        <v>15</v>
      </c>
      <c r="M435" s="128" t="str">
        <f t="shared" si="3"/>
        <v>none</v>
      </c>
      <c r="N435" s="111">
        <f>LEN(Tableau16[[#This Row],[LABEL]])</f>
        <v>20</v>
      </c>
      <c r="O435" s="111">
        <v>15</v>
      </c>
      <c r="P435" s="111" t="e">
        <f>ROUND(Tableau16[[#This Row],[LEN]]*#REF!+#REF!,0)</f>
        <v>#REF!</v>
      </c>
    </row>
    <row r="436" spans="1:16" s="97" customFormat="1" x14ac:dyDescent="0.25">
      <c r="A436" s="29" t="s">
        <v>1269</v>
      </c>
      <c r="B436" s="30" t="s">
        <v>1231</v>
      </c>
      <c r="C436" s="31" t="s">
        <v>1272</v>
      </c>
      <c r="D436" s="71" t="s">
        <v>1177</v>
      </c>
      <c r="E436" s="31" t="s">
        <v>673</v>
      </c>
      <c r="F436" s="31" t="s">
        <v>1249</v>
      </c>
      <c r="G436" s="71" t="s">
        <v>166</v>
      </c>
      <c r="H436" s="71" t="s">
        <v>570</v>
      </c>
      <c r="I436" s="31"/>
      <c r="J436" s="32" t="s">
        <v>708</v>
      </c>
      <c r="K436" s="111">
        <f>ROUND(Tableau16[[#This Row],[LEN]]*7.27,0)</f>
        <v>305</v>
      </c>
      <c r="L436" s="111">
        <v>15</v>
      </c>
      <c r="M436" s="128" t="str">
        <f t="shared" si="3"/>
        <v>none</v>
      </c>
      <c r="N436" s="111">
        <f>LEN(Tableau16[[#This Row],[LABEL]])</f>
        <v>42</v>
      </c>
      <c r="O436" s="111">
        <v>15</v>
      </c>
      <c r="P436" s="111" t="e">
        <f>ROUND(Tableau16[[#This Row],[LEN]]*#REF!+#REF!,0)</f>
        <v>#REF!</v>
      </c>
    </row>
    <row r="437" spans="1:16" s="97" customFormat="1" x14ac:dyDescent="0.25">
      <c r="A437" s="29" t="s">
        <v>1270</v>
      </c>
      <c r="B437" s="30" t="s">
        <v>1231</v>
      </c>
      <c r="C437" s="31" t="s">
        <v>1273</v>
      </c>
      <c r="D437" s="71" t="s">
        <v>1177</v>
      </c>
      <c r="E437" s="31" t="s">
        <v>673</v>
      </c>
      <c r="F437" s="31" t="s">
        <v>1249</v>
      </c>
      <c r="G437" s="71" t="s">
        <v>166</v>
      </c>
      <c r="H437" s="71" t="s">
        <v>570</v>
      </c>
      <c r="I437" s="31"/>
      <c r="J437" s="32" t="s">
        <v>708</v>
      </c>
      <c r="K437" s="111">
        <f>ROUND(Tableau16[[#This Row],[LEN]]*7.27,0)</f>
        <v>87</v>
      </c>
      <c r="L437" s="111">
        <v>15</v>
      </c>
      <c r="M437" s="128" t="str">
        <f t="shared" si="3"/>
        <v>none</v>
      </c>
      <c r="N437" s="111">
        <f>LEN(Tableau16[[#This Row],[LABEL]])</f>
        <v>12</v>
      </c>
      <c r="O437" s="111">
        <v>15</v>
      </c>
      <c r="P437" s="111" t="e">
        <f>ROUND(Tableau16[[#This Row],[LEN]]*#REF!+#REF!,0)</f>
        <v>#REF!</v>
      </c>
    </row>
    <row r="438" spans="1:16" s="97" customFormat="1" x14ac:dyDescent="0.25">
      <c r="A438" s="25" t="s">
        <v>1232</v>
      </c>
      <c r="B438" s="26" t="s">
        <v>259</v>
      </c>
      <c r="C438" s="27" t="s">
        <v>1244</v>
      </c>
      <c r="D438" s="70" t="s">
        <v>1177</v>
      </c>
      <c r="E438" s="27" t="s">
        <v>673</v>
      </c>
      <c r="F438" s="27" t="s">
        <v>1177</v>
      </c>
      <c r="G438" s="70" t="s">
        <v>166</v>
      </c>
      <c r="H438" s="70" t="s">
        <v>18</v>
      </c>
      <c r="I438" s="27"/>
      <c r="J438" s="28" t="s">
        <v>708</v>
      </c>
      <c r="K438" s="109">
        <f>ROUND(Tableau16[[#This Row],[LEN]]*7.27,0)</f>
        <v>247</v>
      </c>
      <c r="L438" s="109">
        <v>15</v>
      </c>
      <c r="M438" s="127" t="str">
        <f t="shared" si="3"/>
        <v>none</v>
      </c>
      <c r="N438" s="109">
        <f>LEN(Tableau16[[#This Row],[LABEL]])</f>
        <v>34</v>
      </c>
      <c r="O438" s="109">
        <v>15</v>
      </c>
      <c r="P438" s="109" t="e">
        <f>ROUND(Tableau16[[#This Row],[LEN]]*#REF!+#REF!,0)</f>
        <v>#REF!</v>
      </c>
    </row>
    <row r="439" spans="1:16" s="97" customFormat="1" x14ac:dyDescent="0.25">
      <c r="A439" s="25" t="s">
        <v>1233</v>
      </c>
      <c r="B439" s="26" t="s">
        <v>259</v>
      </c>
      <c r="C439" s="27" t="s">
        <v>1245</v>
      </c>
      <c r="D439" s="70" t="s">
        <v>1177</v>
      </c>
      <c r="E439" s="27" t="s">
        <v>673</v>
      </c>
      <c r="F439" s="27" t="s">
        <v>1177</v>
      </c>
      <c r="G439" s="70" t="s">
        <v>166</v>
      </c>
      <c r="H439" s="70" t="s">
        <v>570</v>
      </c>
      <c r="I439" s="27"/>
      <c r="J439" s="28" t="s">
        <v>708</v>
      </c>
      <c r="K439" s="109">
        <f>ROUND(Tableau16[[#This Row],[LEN]]*7.27,0)</f>
        <v>364</v>
      </c>
      <c r="L439" s="109">
        <v>15</v>
      </c>
      <c r="M439" s="127" t="str">
        <f t="shared" si="3"/>
        <v>none</v>
      </c>
      <c r="N439" s="109">
        <f>LEN(Tableau16[[#This Row],[LABEL]])</f>
        <v>50</v>
      </c>
      <c r="O439" s="109">
        <v>15</v>
      </c>
      <c r="P439" s="109" t="e">
        <f>ROUND(Tableau16[[#This Row],[LEN]]*#REF!+#REF!,0)</f>
        <v>#REF!</v>
      </c>
    </row>
    <row r="440" spans="1:16" s="97" customFormat="1" x14ac:dyDescent="0.25">
      <c r="A440" s="25" t="s">
        <v>1234</v>
      </c>
      <c r="B440" s="26" t="s">
        <v>259</v>
      </c>
      <c r="C440" s="27" t="s">
        <v>778</v>
      </c>
      <c r="D440" s="70" t="s">
        <v>1177</v>
      </c>
      <c r="E440" s="27" t="s">
        <v>673</v>
      </c>
      <c r="F440" s="27" t="s">
        <v>2000</v>
      </c>
      <c r="G440" s="70" t="s">
        <v>166</v>
      </c>
      <c r="H440" s="70" t="s">
        <v>17</v>
      </c>
      <c r="I440" s="27"/>
      <c r="J440" s="28" t="s">
        <v>708</v>
      </c>
      <c r="K440" s="109">
        <f>ROUND(Tableau16[[#This Row],[LEN]]*7.27,0)</f>
        <v>211</v>
      </c>
      <c r="L440" s="109">
        <v>15</v>
      </c>
      <c r="M440" s="127" t="str">
        <f t="shared" si="3"/>
        <v>none</v>
      </c>
      <c r="N440" s="109">
        <f>LEN(Tableau16[[#This Row],[LABEL]])</f>
        <v>29</v>
      </c>
      <c r="O440" s="109">
        <v>15</v>
      </c>
      <c r="P440" s="109" t="e">
        <f>ROUND(Tableau16[[#This Row],[LEN]]*#REF!+#REF!,0)</f>
        <v>#REF!</v>
      </c>
    </row>
    <row r="441" spans="1:16" s="97" customFormat="1" x14ac:dyDescent="0.25">
      <c r="A441" s="25" t="s">
        <v>1235</v>
      </c>
      <c r="B441" s="26" t="s">
        <v>259</v>
      </c>
      <c r="C441" s="27" t="s">
        <v>1246</v>
      </c>
      <c r="D441" s="70" t="s">
        <v>1177</v>
      </c>
      <c r="E441" s="27" t="s">
        <v>673</v>
      </c>
      <c r="F441" s="27" t="s">
        <v>667</v>
      </c>
      <c r="G441" s="70" t="s">
        <v>166</v>
      </c>
      <c r="H441" s="70" t="s">
        <v>655</v>
      </c>
      <c r="I441" s="27"/>
      <c r="J441" s="28" t="s">
        <v>708</v>
      </c>
      <c r="K441" s="109">
        <f>ROUND(Tableau16[[#This Row],[LEN]]*7.27,0)</f>
        <v>153</v>
      </c>
      <c r="L441" s="109">
        <v>15</v>
      </c>
      <c r="M441" s="127" t="str">
        <f t="shared" si="3"/>
        <v>none</v>
      </c>
      <c r="N441" s="109">
        <f>LEN(Tableau16[[#This Row],[LABEL]])</f>
        <v>21</v>
      </c>
      <c r="O441" s="109">
        <v>15</v>
      </c>
      <c r="P441" s="109" t="e">
        <f>ROUND(Tableau16[[#This Row],[LEN]]*#REF!+#REF!,0)</f>
        <v>#REF!</v>
      </c>
    </row>
    <row r="442" spans="1:16" s="97" customFormat="1" x14ac:dyDescent="0.25">
      <c r="A442" s="29" t="s">
        <v>1274</v>
      </c>
      <c r="B442" s="30" t="s">
        <v>1235</v>
      </c>
      <c r="C442" s="31" t="s">
        <v>1276</v>
      </c>
      <c r="D442" s="71" t="s">
        <v>1177</v>
      </c>
      <c r="E442" s="31" t="s">
        <v>673</v>
      </c>
      <c r="F442" s="31" t="s">
        <v>667</v>
      </c>
      <c r="G442" s="71" t="s">
        <v>166</v>
      </c>
      <c r="H442" s="71" t="s">
        <v>18</v>
      </c>
      <c r="I442" s="31"/>
      <c r="J442" s="32" t="s">
        <v>708</v>
      </c>
      <c r="K442" s="111">
        <f>ROUND(Tableau16[[#This Row],[LEN]]*7.27,0)</f>
        <v>131</v>
      </c>
      <c r="L442" s="111">
        <v>15</v>
      </c>
      <c r="M442" s="128" t="str">
        <f t="shared" si="3"/>
        <v>none</v>
      </c>
      <c r="N442" s="111">
        <f>LEN(Tableau16[[#This Row],[LABEL]])</f>
        <v>18</v>
      </c>
      <c r="O442" s="111">
        <v>15</v>
      </c>
      <c r="P442" s="111" t="e">
        <f>ROUND(Tableau16[[#This Row],[LEN]]*#REF!+#REF!,0)</f>
        <v>#REF!</v>
      </c>
    </row>
    <row r="443" spans="1:16" s="97" customFormat="1" x14ac:dyDescent="0.25">
      <c r="A443" s="29" t="s">
        <v>1275</v>
      </c>
      <c r="B443" s="30" t="s">
        <v>1235</v>
      </c>
      <c r="C443" s="31" t="s">
        <v>1277</v>
      </c>
      <c r="D443" s="71" t="s">
        <v>1177</v>
      </c>
      <c r="E443" s="31" t="s">
        <v>673</v>
      </c>
      <c r="F443" s="31" t="s">
        <v>667</v>
      </c>
      <c r="G443" s="71" t="s">
        <v>166</v>
      </c>
      <c r="H443" s="71" t="s">
        <v>18</v>
      </c>
      <c r="I443" s="31"/>
      <c r="J443" s="32" t="s">
        <v>708</v>
      </c>
      <c r="K443" s="111">
        <f>ROUND(Tableau16[[#This Row],[LEN]]*7.27,0)</f>
        <v>422</v>
      </c>
      <c r="L443" s="111">
        <v>15</v>
      </c>
      <c r="M443" s="128" t="str">
        <f t="shared" si="3"/>
        <v>none</v>
      </c>
      <c r="N443" s="111">
        <f>LEN(Tableau16[[#This Row],[LABEL]])</f>
        <v>58</v>
      </c>
      <c r="O443" s="111">
        <v>15</v>
      </c>
      <c r="P443" s="111" t="e">
        <f>ROUND(Tableau16[[#This Row],[LEN]]*#REF!+#REF!,0)</f>
        <v>#REF!</v>
      </c>
    </row>
    <row r="444" spans="1:16" s="97" customFormat="1" x14ac:dyDescent="0.25">
      <c r="A444" s="25" t="s">
        <v>1236</v>
      </c>
      <c r="B444" s="26" t="s">
        <v>259</v>
      </c>
      <c r="C444" s="27" t="s">
        <v>1247</v>
      </c>
      <c r="D444" s="70" t="s">
        <v>1250</v>
      </c>
      <c r="E444" s="27" t="s">
        <v>673</v>
      </c>
      <c r="F444" s="27" t="s">
        <v>667</v>
      </c>
      <c r="G444" s="70" t="s">
        <v>166</v>
      </c>
      <c r="H444" s="70" t="s">
        <v>656</v>
      </c>
      <c r="I444" s="27"/>
      <c r="J444" s="28" t="s">
        <v>708</v>
      </c>
      <c r="K444" s="109">
        <f>ROUND(Tableau16[[#This Row],[LEN]]*7.27,0)</f>
        <v>160</v>
      </c>
      <c r="L444" s="109">
        <v>15</v>
      </c>
      <c r="M444" s="127" t="str">
        <f t="shared" si="3"/>
        <v>none</v>
      </c>
      <c r="N444" s="109">
        <f>LEN(Tableau16[[#This Row],[LABEL]])</f>
        <v>22</v>
      </c>
      <c r="O444" s="109">
        <v>15</v>
      </c>
      <c r="P444" s="109" t="e">
        <f>ROUND(Tableau16[[#This Row],[LEN]]*#REF!+#REF!,0)</f>
        <v>#REF!</v>
      </c>
    </row>
    <row r="445" spans="1:16" s="97" customFormat="1" x14ac:dyDescent="0.25">
      <c r="A445" s="25" t="s">
        <v>1237</v>
      </c>
      <c r="B445" s="26" t="s">
        <v>259</v>
      </c>
      <c r="C445" s="27" t="s">
        <v>1167</v>
      </c>
      <c r="D445" s="70" t="s">
        <v>486</v>
      </c>
      <c r="E445" s="27" t="s">
        <v>1085</v>
      </c>
      <c r="F445" s="27" t="s">
        <v>1084</v>
      </c>
      <c r="G445" s="70" t="s">
        <v>1977</v>
      </c>
      <c r="H445" s="70" t="s">
        <v>1131</v>
      </c>
      <c r="I445" s="27"/>
      <c r="J445" s="28" t="s">
        <v>708</v>
      </c>
      <c r="K445" s="109">
        <f>ROUND(Tableau16[[#This Row],[LEN]]*7.27,0)</f>
        <v>196</v>
      </c>
      <c r="L445" s="109">
        <v>15</v>
      </c>
      <c r="M445" s="127" t="str">
        <f t="shared" si="3"/>
        <v>none</v>
      </c>
      <c r="N445" s="109">
        <f>LEN(Tableau16[[#This Row],[LABEL]])</f>
        <v>27</v>
      </c>
      <c r="O445" s="109">
        <v>15</v>
      </c>
      <c r="P445" s="109" t="e">
        <f>ROUND(Tableau16[[#This Row],[LEN]]*#REF!+#REF!,0)</f>
        <v>#REF!</v>
      </c>
    </row>
    <row r="446" spans="1:16" s="273" customFormat="1" x14ac:dyDescent="0.25">
      <c r="A446" s="288" t="s">
        <v>260</v>
      </c>
      <c r="B446" s="289" t="s">
        <v>206</v>
      </c>
      <c r="C446" s="290" t="s">
        <v>11</v>
      </c>
      <c r="D446" s="291" t="s">
        <v>1177</v>
      </c>
      <c r="E446" s="290" t="s">
        <v>674</v>
      </c>
      <c r="F446" s="290" t="s">
        <v>1177</v>
      </c>
      <c r="G446" s="291" t="s">
        <v>166</v>
      </c>
      <c r="H446" s="291" t="str">
        <f>IFERROR(IF(SEARCH(".00.00.00.00.00",Tableau16[[#This Row],[name]],1)=7,"Division",""),"")</f>
        <v>Division</v>
      </c>
      <c r="I446" s="290"/>
      <c r="J446" s="292" t="s">
        <v>720</v>
      </c>
      <c r="K446" s="293">
        <f>ROUND(Tableau16[[#This Row],[LEN]]*7.27,0)</f>
        <v>51</v>
      </c>
      <c r="L446" s="293">
        <v>15</v>
      </c>
      <c r="M446" s="294" t="str">
        <f t="shared" ref="M446:M700" si="4">IF(J446="javascript:void(0)","none","new")</f>
        <v>new</v>
      </c>
      <c r="N446" s="293">
        <f>LEN(Tableau16[[#This Row],[LABEL]])</f>
        <v>7</v>
      </c>
      <c r="O446" s="293">
        <v>15</v>
      </c>
      <c r="P446" s="293" t="e">
        <f>ROUND(Tableau16[[#This Row],[LEN]]*#REF!+#REF!,0)</f>
        <v>#REF!</v>
      </c>
    </row>
    <row r="447" spans="1:16" s="97" customFormat="1" x14ac:dyDescent="0.25">
      <c r="A447" s="25" t="s">
        <v>1278</v>
      </c>
      <c r="B447" s="26" t="s">
        <v>260</v>
      </c>
      <c r="C447" s="27" t="s">
        <v>88</v>
      </c>
      <c r="D447" s="70" t="s">
        <v>1177</v>
      </c>
      <c r="E447" s="27" t="s">
        <v>667</v>
      </c>
      <c r="F447" s="27" t="s">
        <v>1218</v>
      </c>
      <c r="G447" s="70" t="s">
        <v>166</v>
      </c>
      <c r="H447" s="70" t="s">
        <v>570</v>
      </c>
      <c r="I447" s="27"/>
      <c r="J447" s="28" t="s">
        <v>708</v>
      </c>
      <c r="K447" s="109">
        <f>ROUND(Tableau16[[#This Row],[LEN]]*7.27,0)</f>
        <v>342</v>
      </c>
      <c r="L447" s="109">
        <v>15</v>
      </c>
      <c r="M447" s="127" t="str">
        <f t="shared" si="4"/>
        <v>none</v>
      </c>
      <c r="N447" s="109">
        <f>LEN(Tableau16[[#This Row],[LABEL]])</f>
        <v>47</v>
      </c>
      <c r="O447" s="109">
        <v>15</v>
      </c>
      <c r="P447" s="109" t="e">
        <f>ROUND(Tableau16[[#This Row],[LEN]]*#REF!+#REF!,0)</f>
        <v>#REF!</v>
      </c>
    </row>
    <row r="448" spans="1:16" s="97" customFormat="1" x14ac:dyDescent="0.25">
      <c r="A448" s="25" t="s">
        <v>1279</v>
      </c>
      <c r="B448" s="26" t="s">
        <v>260</v>
      </c>
      <c r="C448" s="27" t="s">
        <v>484</v>
      </c>
      <c r="D448" s="70" t="s">
        <v>1177</v>
      </c>
      <c r="E448" s="27" t="s">
        <v>672</v>
      </c>
      <c r="F448" s="27" t="s">
        <v>1285</v>
      </c>
      <c r="G448" s="70" t="s">
        <v>166</v>
      </c>
      <c r="H448" s="70" t="s">
        <v>655</v>
      </c>
      <c r="I448" s="27"/>
      <c r="J448" s="28" t="s">
        <v>727</v>
      </c>
      <c r="K448" s="109">
        <f>ROUND(Tableau16[[#This Row],[LEN]]*7.27,0)</f>
        <v>80</v>
      </c>
      <c r="L448" s="109">
        <v>15</v>
      </c>
      <c r="M448" s="127" t="str">
        <f t="shared" si="4"/>
        <v>new</v>
      </c>
      <c r="N448" s="109">
        <f>LEN(Tableau16[[#This Row],[LABEL]])</f>
        <v>11</v>
      </c>
      <c r="O448" s="109">
        <v>15</v>
      </c>
      <c r="P448" s="109" t="e">
        <f>ROUND(Tableau16[[#This Row],[LEN]]*#REF!+#REF!,0)</f>
        <v>#REF!</v>
      </c>
    </row>
    <row r="449" spans="1:16" s="97" customFormat="1" x14ac:dyDescent="0.25">
      <c r="A449" s="29" t="s">
        <v>1288</v>
      </c>
      <c r="B449" s="30" t="s">
        <v>1279</v>
      </c>
      <c r="C449" s="31" t="s">
        <v>505</v>
      </c>
      <c r="D449" s="71" t="s">
        <v>1177</v>
      </c>
      <c r="E449" s="31" t="s">
        <v>672</v>
      </c>
      <c r="F449" s="31" t="s">
        <v>1285</v>
      </c>
      <c r="G449" s="71" t="s">
        <v>166</v>
      </c>
      <c r="H449" s="71" t="s">
        <v>18</v>
      </c>
      <c r="I449" s="31"/>
      <c r="J449" s="32" t="s">
        <v>705</v>
      </c>
      <c r="K449" s="111">
        <f>ROUND(Tableau16[[#This Row],[LEN]]*7.27,0)</f>
        <v>73</v>
      </c>
      <c r="L449" s="111">
        <v>15</v>
      </c>
      <c r="M449" s="128" t="str">
        <f t="shared" si="4"/>
        <v>new</v>
      </c>
      <c r="N449" s="111">
        <f>LEN(Tableau16[[#This Row],[LABEL]])</f>
        <v>10</v>
      </c>
      <c r="O449" s="111">
        <v>15</v>
      </c>
      <c r="P449" s="111" t="e">
        <f>ROUND(Tableau16[[#This Row],[LEN]]*#REF!+#REF!,0)</f>
        <v>#REF!</v>
      </c>
    </row>
    <row r="450" spans="1:16" s="97" customFormat="1" x14ac:dyDescent="0.25">
      <c r="A450" s="29" t="s">
        <v>1289</v>
      </c>
      <c r="B450" s="30" t="s">
        <v>1279</v>
      </c>
      <c r="C450" s="31" t="s">
        <v>1284</v>
      </c>
      <c r="D450" s="71" t="s">
        <v>1177</v>
      </c>
      <c r="E450" s="31" t="s">
        <v>672</v>
      </c>
      <c r="F450" s="31" t="s">
        <v>1285</v>
      </c>
      <c r="G450" s="71" t="s">
        <v>166</v>
      </c>
      <c r="H450" s="71" t="s">
        <v>18</v>
      </c>
      <c r="I450" s="31"/>
      <c r="J450" s="32" t="s">
        <v>705</v>
      </c>
      <c r="K450" s="111">
        <f>ROUND(Tableau16[[#This Row],[LEN]]*7.27,0)</f>
        <v>153</v>
      </c>
      <c r="L450" s="111">
        <v>15</v>
      </c>
      <c r="M450" s="128" t="str">
        <f t="shared" si="4"/>
        <v>new</v>
      </c>
      <c r="N450" s="111">
        <f>LEN(Tableau16[[#This Row],[LABEL]])</f>
        <v>21</v>
      </c>
      <c r="O450" s="111">
        <v>15</v>
      </c>
      <c r="P450" s="111" t="e">
        <f>ROUND(Tableau16[[#This Row],[LEN]]*#REF!+#REF!,0)</f>
        <v>#REF!</v>
      </c>
    </row>
    <row r="451" spans="1:16" s="97" customFormat="1" x14ac:dyDescent="0.25">
      <c r="A451" s="25" t="s">
        <v>1280</v>
      </c>
      <c r="B451" s="26" t="s">
        <v>260</v>
      </c>
      <c r="C451" s="27" t="s">
        <v>1286</v>
      </c>
      <c r="D451" s="70" t="s">
        <v>1177</v>
      </c>
      <c r="E451" s="27" t="s">
        <v>674</v>
      </c>
      <c r="F451" s="27" t="s">
        <v>1177</v>
      </c>
      <c r="G451" s="70" t="s">
        <v>166</v>
      </c>
      <c r="H451" s="70" t="s">
        <v>655</v>
      </c>
      <c r="I451" s="27"/>
      <c r="J451" s="28" t="s">
        <v>708</v>
      </c>
      <c r="K451" s="109">
        <f>ROUND(Tableau16[[#This Row],[LEN]]*7.27,0)</f>
        <v>429</v>
      </c>
      <c r="L451" s="109">
        <v>15</v>
      </c>
      <c r="M451" s="127" t="str">
        <f t="shared" si="4"/>
        <v>none</v>
      </c>
      <c r="N451" s="109">
        <f>LEN(Tableau16[[#This Row],[LABEL]])</f>
        <v>59</v>
      </c>
      <c r="O451" s="109">
        <v>15</v>
      </c>
      <c r="P451" s="109" t="e">
        <f>ROUND(Tableau16[[#This Row],[LEN]]*#REF!+#REF!,0)</f>
        <v>#REF!</v>
      </c>
    </row>
    <row r="452" spans="1:16" s="97" customFormat="1" x14ac:dyDescent="0.25">
      <c r="A452" s="29" t="s">
        <v>1290</v>
      </c>
      <c r="B452" s="30" t="s">
        <v>1280</v>
      </c>
      <c r="C452" s="31" t="s">
        <v>1293</v>
      </c>
      <c r="D452" s="71" t="s">
        <v>1177</v>
      </c>
      <c r="E452" s="31" t="s">
        <v>674</v>
      </c>
      <c r="F452" s="31" t="s">
        <v>1177</v>
      </c>
      <c r="G452" s="71" t="s">
        <v>166</v>
      </c>
      <c r="H452" s="71" t="s">
        <v>654</v>
      </c>
      <c r="I452" s="31"/>
      <c r="J452" s="32" t="s">
        <v>708</v>
      </c>
      <c r="K452" s="111">
        <f>ROUND(Tableau16[[#This Row],[LEN]]*7.27,0)</f>
        <v>116</v>
      </c>
      <c r="L452" s="111">
        <v>15</v>
      </c>
      <c r="M452" s="128" t="str">
        <f t="shared" si="4"/>
        <v>none</v>
      </c>
      <c r="N452" s="111">
        <f>LEN(Tableau16[[#This Row],[LABEL]])</f>
        <v>16</v>
      </c>
      <c r="O452" s="111">
        <v>15</v>
      </c>
      <c r="P452" s="111" t="e">
        <f>ROUND(Tableau16[[#This Row],[LEN]]*#REF!+#REF!,0)</f>
        <v>#REF!</v>
      </c>
    </row>
    <row r="453" spans="1:16" s="97" customFormat="1" x14ac:dyDescent="0.25">
      <c r="A453" s="29" t="s">
        <v>1291</v>
      </c>
      <c r="B453" s="30" t="s">
        <v>1280</v>
      </c>
      <c r="C453" s="31" t="s">
        <v>1294</v>
      </c>
      <c r="D453" s="71" t="s">
        <v>1177</v>
      </c>
      <c r="E453" s="31" t="s">
        <v>674</v>
      </c>
      <c r="F453" s="31" t="s">
        <v>1177</v>
      </c>
      <c r="G453" s="71" t="s">
        <v>166</v>
      </c>
      <c r="H453" s="71" t="s">
        <v>654</v>
      </c>
      <c r="I453" s="31"/>
      <c r="J453" s="32" t="s">
        <v>708</v>
      </c>
      <c r="K453" s="111">
        <f>ROUND(Tableau16[[#This Row],[LEN]]*7.27,0)</f>
        <v>87</v>
      </c>
      <c r="L453" s="111">
        <v>15</v>
      </c>
      <c r="M453" s="128" t="str">
        <f t="shared" si="4"/>
        <v>none</v>
      </c>
      <c r="N453" s="111">
        <f>LEN(Tableau16[[#This Row],[LABEL]])</f>
        <v>12</v>
      </c>
      <c r="O453" s="111">
        <v>15</v>
      </c>
      <c r="P453" s="111" t="e">
        <f>ROUND(Tableau16[[#This Row],[LEN]]*#REF!+#REF!,0)</f>
        <v>#REF!</v>
      </c>
    </row>
    <row r="454" spans="1:16" s="97" customFormat="1" x14ac:dyDescent="0.25">
      <c r="A454" s="29" t="s">
        <v>1292</v>
      </c>
      <c r="B454" s="30" t="s">
        <v>1280</v>
      </c>
      <c r="C454" s="31" t="s">
        <v>1295</v>
      </c>
      <c r="D454" s="71" t="s">
        <v>1177</v>
      </c>
      <c r="E454" s="31" t="s">
        <v>674</v>
      </c>
      <c r="F454" s="31" t="s">
        <v>1177</v>
      </c>
      <c r="G454" s="71" t="s">
        <v>166</v>
      </c>
      <c r="H454" s="71" t="s">
        <v>654</v>
      </c>
      <c r="I454" s="31"/>
      <c r="J454" s="32" t="s">
        <v>708</v>
      </c>
      <c r="K454" s="111">
        <f>ROUND(Tableau16[[#This Row],[LEN]]*7.27,0)</f>
        <v>145</v>
      </c>
      <c r="L454" s="111">
        <v>15</v>
      </c>
      <c r="M454" s="128" t="str">
        <f t="shared" si="4"/>
        <v>none</v>
      </c>
      <c r="N454" s="111">
        <f>LEN(Tableau16[[#This Row],[LABEL]])</f>
        <v>20</v>
      </c>
      <c r="O454" s="111">
        <v>15</v>
      </c>
      <c r="P454" s="111" t="e">
        <f>ROUND(Tableau16[[#This Row],[LEN]]*#REF!+#REF!,0)</f>
        <v>#REF!</v>
      </c>
    </row>
    <row r="455" spans="1:16" s="97" customFormat="1" x14ac:dyDescent="0.25">
      <c r="A455" s="25" t="s">
        <v>1281</v>
      </c>
      <c r="B455" s="26" t="s">
        <v>260</v>
      </c>
      <c r="C455" s="27" t="s">
        <v>1287</v>
      </c>
      <c r="D455" s="70" t="s">
        <v>1177</v>
      </c>
      <c r="E455" s="27" t="s">
        <v>674</v>
      </c>
      <c r="F455" s="27" t="s">
        <v>678</v>
      </c>
      <c r="G455" s="70" t="s">
        <v>166</v>
      </c>
      <c r="H455" s="70" t="s">
        <v>655</v>
      </c>
      <c r="I455" s="27"/>
      <c r="J455" s="28" t="s">
        <v>708</v>
      </c>
      <c r="K455" s="109">
        <f>ROUND(Tableau16[[#This Row],[LEN]]*7.27,0)</f>
        <v>320</v>
      </c>
      <c r="L455" s="109">
        <v>15</v>
      </c>
      <c r="M455" s="127" t="str">
        <f t="shared" si="4"/>
        <v>none</v>
      </c>
      <c r="N455" s="109">
        <f>LEN(Tableau16[[#This Row],[LABEL]])</f>
        <v>44</v>
      </c>
      <c r="O455" s="109">
        <v>15</v>
      </c>
      <c r="P455" s="109" t="e">
        <f>ROUND(Tableau16[[#This Row],[LEN]]*#REF!+#REF!,0)</f>
        <v>#REF!</v>
      </c>
    </row>
    <row r="456" spans="1:16" s="97" customFormat="1" x14ac:dyDescent="0.25">
      <c r="A456" s="29" t="s">
        <v>1296</v>
      </c>
      <c r="B456" s="30" t="s">
        <v>1281</v>
      </c>
      <c r="C456" s="31" t="s">
        <v>1298</v>
      </c>
      <c r="D456" s="71" t="s">
        <v>1177</v>
      </c>
      <c r="E456" s="31" t="s">
        <v>674</v>
      </c>
      <c r="F456" s="31" t="s">
        <v>678</v>
      </c>
      <c r="G456" s="71" t="s">
        <v>166</v>
      </c>
      <c r="H456" s="71" t="s">
        <v>654</v>
      </c>
      <c r="I456" s="31"/>
      <c r="J456" s="32" t="s">
        <v>708</v>
      </c>
      <c r="K456" s="111">
        <f>ROUND(Tableau16[[#This Row],[LEN]]*7.27,0)</f>
        <v>284</v>
      </c>
      <c r="L456" s="111">
        <v>15</v>
      </c>
      <c r="M456" s="128" t="str">
        <f t="shared" si="4"/>
        <v>none</v>
      </c>
      <c r="N456" s="111">
        <f>LEN(Tableau16[[#This Row],[LABEL]])</f>
        <v>39</v>
      </c>
      <c r="O456" s="111">
        <v>15</v>
      </c>
      <c r="P456" s="111" t="e">
        <f>ROUND(Tableau16[[#This Row],[LEN]]*#REF!+#REF!,0)</f>
        <v>#REF!</v>
      </c>
    </row>
    <row r="457" spans="1:16" s="97" customFormat="1" x14ac:dyDescent="0.25">
      <c r="A457" s="29" t="s">
        <v>1297</v>
      </c>
      <c r="B457" s="30" t="s">
        <v>1281</v>
      </c>
      <c r="C457" s="31" t="s">
        <v>1299</v>
      </c>
      <c r="D457" s="71" t="s">
        <v>1177</v>
      </c>
      <c r="E457" s="31" t="s">
        <v>674</v>
      </c>
      <c r="F457" s="31" t="s">
        <v>678</v>
      </c>
      <c r="G457" s="71" t="s">
        <v>166</v>
      </c>
      <c r="H457" s="71" t="s">
        <v>654</v>
      </c>
      <c r="I457" s="31"/>
      <c r="J457" s="32" t="s">
        <v>708</v>
      </c>
      <c r="K457" s="111">
        <f>ROUND(Tableau16[[#This Row],[LEN]]*7.27,0)</f>
        <v>124</v>
      </c>
      <c r="L457" s="111">
        <v>15</v>
      </c>
      <c r="M457" s="128" t="str">
        <f t="shared" si="4"/>
        <v>none</v>
      </c>
      <c r="N457" s="111">
        <f>LEN(Tableau16[[#This Row],[LABEL]])</f>
        <v>17</v>
      </c>
      <c r="O457" s="111">
        <v>15</v>
      </c>
      <c r="P457" s="111" t="e">
        <f>ROUND(Tableau16[[#This Row],[LEN]]*#REF!+#REF!,0)</f>
        <v>#REF!</v>
      </c>
    </row>
    <row r="458" spans="1:16" s="97" customFormat="1" x14ac:dyDescent="0.25">
      <c r="A458" s="25" t="s">
        <v>1282</v>
      </c>
      <c r="B458" s="26" t="s">
        <v>260</v>
      </c>
      <c r="C458" s="27" t="s">
        <v>1154</v>
      </c>
      <c r="D458" s="70" t="s">
        <v>1177</v>
      </c>
      <c r="E458" s="27" t="s">
        <v>667</v>
      </c>
      <c r="F458" s="27" t="s">
        <v>1133</v>
      </c>
      <c r="G458" s="70" t="s">
        <v>166</v>
      </c>
      <c r="H458" s="70" t="s">
        <v>18</v>
      </c>
      <c r="I458" s="27"/>
      <c r="J458" s="28" t="s">
        <v>102</v>
      </c>
      <c r="K458" s="109">
        <f>ROUND(Tableau16[[#This Row],[LEN]]*7.27,0)</f>
        <v>443</v>
      </c>
      <c r="L458" s="109">
        <v>15</v>
      </c>
      <c r="M458" s="127" t="str">
        <f t="shared" si="4"/>
        <v>new</v>
      </c>
      <c r="N458" s="109">
        <f>LEN(Tableau16[[#This Row],[LABEL]])</f>
        <v>61</v>
      </c>
      <c r="O458" s="109">
        <v>15</v>
      </c>
      <c r="P458" s="109" t="e">
        <f>ROUND(Tableau16[[#This Row],[LEN]]*#REF!+#REF!,0)</f>
        <v>#REF!</v>
      </c>
    </row>
    <row r="459" spans="1:16" s="97" customFormat="1" x14ac:dyDescent="0.25">
      <c r="A459" s="25" t="s">
        <v>1283</v>
      </c>
      <c r="B459" s="26" t="s">
        <v>260</v>
      </c>
      <c r="C459" s="27" t="s">
        <v>1167</v>
      </c>
      <c r="D459" s="70" t="s">
        <v>486</v>
      </c>
      <c r="E459" s="27" t="s">
        <v>1085</v>
      </c>
      <c r="F459" s="27" t="s">
        <v>1084</v>
      </c>
      <c r="G459" s="70" t="s">
        <v>1977</v>
      </c>
      <c r="H459" s="70" t="s">
        <v>1131</v>
      </c>
      <c r="I459" s="27"/>
      <c r="J459" s="28" t="s">
        <v>708</v>
      </c>
      <c r="K459" s="109">
        <f>ROUND(Tableau16[[#This Row],[LEN]]*7.27,0)</f>
        <v>196</v>
      </c>
      <c r="L459" s="109">
        <v>15</v>
      </c>
      <c r="M459" s="127" t="str">
        <f t="shared" si="4"/>
        <v>none</v>
      </c>
      <c r="N459" s="109">
        <f>LEN(Tableau16[[#This Row],[LABEL]])</f>
        <v>27</v>
      </c>
      <c r="O459" s="109">
        <v>15</v>
      </c>
      <c r="P459" s="109" t="e">
        <f>ROUND(Tableau16[[#This Row],[LEN]]*#REF!+#REF!,0)</f>
        <v>#REF!</v>
      </c>
    </row>
    <row r="460" spans="1:16" s="97" customFormat="1" x14ac:dyDescent="0.25">
      <c r="A460" s="29" t="s">
        <v>1300</v>
      </c>
      <c r="B460" s="30" t="s">
        <v>1283</v>
      </c>
      <c r="C460" s="31" t="s">
        <v>93</v>
      </c>
      <c r="D460" s="71" t="s">
        <v>1177</v>
      </c>
      <c r="E460" s="31" t="s">
        <v>1085</v>
      </c>
      <c r="F460" s="31" t="s">
        <v>1084</v>
      </c>
      <c r="G460" s="71" t="s">
        <v>166</v>
      </c>
      <c r="H460" s="71" t="s">
        <v>18</v>
      </c>
      <c r="I460" s="31"/>
      <c r="J460" s="32" t="s">
        <v>101</v>
      </c>
      <c r="K460" s="111">
        <f>ROUND(Tableau16[[#This Row],[LEN]]*7.27,0)</f>
        <v>109</v>
      </c>
      <c r="L460" s="111">
        <v>15</v>
      </c>
      <c r="M460" s="128" t="str">
        <f t="shared" si="4"/>
        <v>new</v>
      </c>
      <c r="N460" s="111">
        <f>LEN(Tableau16[[#This Row],[LABEL]])</f>
        <v>15</v>
      </c>
      <c r="O460" s="111">
        <v>15</v>
      </c>
      <c r="P460" s="111" t="e">
        <f>ROUND(Tableau16[[#This Row],[LEN]]*#REF!+#REF!,0)</f>
        <v>#REF!</v>
      </c>
    </row>
    <row r="461" spans="1:16" s="97" customFormat="1" x14ac:dyDescent="0.25">
      <c r="A461" s="29" t="s">
        <v>1301</v>
      </c>
      <c r="B461" s="30" t="s">
        <v>1283</v>
      </c>
      <c r="C461" s="31" t="s">
        <v>94</v>
      </c>
      <c r="D461" s="71" t="s">
        <v>1177</v>
      </c>
      <c r="E461" s="31" t="s">
        <v>1085</v>
      </c>
      <c r="F461" s="31" t="s">
        <v>1084</v>
      </c>
      <c r="G461" s="71" t="s">
        <v>166</v>
      </c>
      <c r="H461" s="71" t="s">
        <v>18</v>
      </c>
      <c r="I461" s="31"/>
      <c r="J461" s="32" t="s">
        <v>102</v>
      </c>
      <c r="K461" s="111">
        <f>ROUND(Tableau16[[#This Row],[LEN]]*7.27,0)</f>
        <v>58</v>
      </c>
      <c r="L461" s="111">
        <v>15</v>
      </c>
      <c r="M461" s="128" t="str">
        <f t="shared" si="4"/>
        <v>new</v>
      </c>
      <c r="N461" s="111">
        <f>LEN(Tableau16[[#This Row],[LABEL]])</f>
        <v>8</v>
      </c>
      <c r="O461" s="111">
        <v>15</v>
      </c>
      <c r="P461" s="111" t="e">
        <f>ROUND(Tableau16[[#This Row],[LEN]]*#REF!+#REF!,0)</f>
        <v>#REF!</v>
      </c>
    </row>
    <row r="462" spans="1:16" s="273" customFormat="1" x14ac:dyDescent="0.25">
      <c r="A462" s="288" t="s">
        <v>261</v>
      </c>
      <c r="B462" s="289" t="s">
        <v>206</v>
      </c>
      <c r="C462" s="290" t="s">
        <v>12</v>
      </c>
      <c r="D462" s="291" t="s">
        <v>1177</v>
      </c>
      <c r="E462" s="290" t="s">
        <v>675</v>
      </c>
      <c r="F462" s="290" t="s">
        <v>1177</v>
      </c>
      <c r="G462" s="291" t="s">
        <v>166</v>
      </c>
      <c r="H462" s="291" t="str">
        <f>IFERROR(IF(SEARCH(".00.00.00.00.00",Tableau16[[#This Row],[name]],1)=7,"Division",""),"")</f>
        <v>Division</v>
      </c>
      <c r="I462" s="290"/>
      <c r="J462" s="292" t="s">
        <v>721</v>
      </c>
      <c r="K462" s="293">
        <f>ROUND(Tableau16[[#This Row],[LEN]]*7.27,0)</f>
        <v>15</v>
      </c>
      <c r="L462" s="293">
        <v>15</v>
      </c>
      <c r="M462" s="294" t="str">
        <f t="shared" si="4"/>
        <v>new</v>
      </c>
      <c r="N462" s="293">
        <f>LEN(Tableau16[[#This Row],[LABEL]])</f>
        <v>2</v>
      </c>
      <c r="O462" s="293">
        <v>15</v>
      </c>
      <c r="P462" s="293" t="e">
        <f>ROUND(Tableau16[[#This Row],[LEN]]*#REF!+#REF!,0)</f>
        <v>#REF!</v>
      </c>
    </row>
    <row r="463" spans="1:16" s="97" customFormat="1" x14ac:dyDescent="0.25">
      <c r="A463" s="25" t="s">
        <v>1302</v>
      </c>
      <c r="B463" s="26" t="s">
        <v>261</v>
      </c>
      <c r="C463" s="27" t="s">
        <v>88</v>
      </c>
      <c r="D463" s="70" t="s">
        <v>1177</v>
      </c>
      <c r="E463" s="27" t="s">
        <v>667</v>
      </c>
      <c r="F463" s="27" t="s">
        <v>1218</v>
      </c>
      <c r="G463" s="70" t="s">
        <v>166</v>
      </c>
      <c r="H463" s="70" t="s">
        <v>570</v>
      </c>
      <c r="I463" s="27"/>
      <c r="J463" s="28" t="s">
        <v>708</v>
      </c>
      <c r="K463" s="109">
        <f>ROUND(Tableau16[[#This Row],[LEN]]*7.27,0)</f>
        <v>342</v>
      </c>
      <c r="L463" s="109">
        <v>15</v>
      </c>
      <c r="M463" s="127" t="str">
        <f t="shared" si="4"/>
        <v>none</v>
      </c>
      <c r="N463" s="109">
        <f>LEN(Tableau16[[#This Row],[LABEL]])</f>
        <v>47</v>
      </c>
      <c r="O463" s="109">
        <v>15</v>
      </c>
      <c r="P463" s="109" t="e">
        <f>ROUND(Tableau16[[#This Row],[LEN]]*#REF!+#REF!,0)</f>
        <v>#REF!</v>
      </c>
    </row>
    <row r="464" spans="1:16" s="97" customFormat="1" x14ac:dyDescent="0.25">
      <c r="A464" s="213" t="s">
        <v>1303</v>
      </c>
      <c r="B464" s="214" t="s">
        <v>261</v>
      </c>
      <c r="C464" s="215" t="s">
        <v>1310</v>
      </c>
      <c r="D464" s="70" t="s">
        <v>1177</v>
      </c>
      <c r="E464" s="229" t="s">
        <v>675</v>
      </c>
      <c r="F464" s="215" t="s">
        <v>678</v>
      </c>
      <c r="G464" s="70" t="s">
        <v>166</v>
      </c>
      <c r="H464" s="216" t="s">
        <v>655</v>
      </c>
      <c r="I464" s="215"/>
      <c r="J464" s="217" t="s">
        <v>708</v>
      </c>
      <c r="K464" s="218">
        <f>ROUND(Tableau16[[#This Row],[LEN]]*7.27,0)</f>
        <v>233</v>
      </c>
      <c r="L464" s="218">
        <v>15</v>
      </c>
      <c r="M464" s="219" t="str">
        <f t="shared" si="4"/>
        <v>none</v>
      </c>
      <c r="N464" s="218">
        <f>LEN(Tableau16[[#This Row],[LABEL]])</f>
        <v>32</v>
      </c>
      <c r="O464" s="218">
        <v>15</v>
      </c>
      <c r="P464" s="218" t="e">
        <f>ROUND(Tableau16[[#This Row],[LEN]]*#REF!+#REF!,0)</f>
        <v>#REF!</v>
      </c>
    </row>
    <row r="465" spans="1:16" s="97" customFormat="1" x14ac:dyDescent="0.25">
      <c r="A465" s="29" t="s">
        <v>1312</v>
      </c>
      <c r="B465" s="30" t="s">
        <v>1303</v>
      </c>
      <c r="C465" s="31" t="s">
        <v>1321</v>
      </c>
      <c r="D465" s="71" t="s">
        <v>1177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111">
        <f>ROUND(Tableau16[[#This Row],[LEN]]*7.27,0)</f>
        <v>349</v>
      </c>
      <c r="L465" s="111">
        <v>15</v>
      </c>
      <c r="M465" s="128" t="str">
        <f t="shared" si="4"/>
        <v>none</v>
      </c>
      <c r="N465" s="111">
        <f>LEN(Tableau16[[#This Row],[LABEL]])</f>
        <v>48</v>
      </c>
      <c r="O465" s="111">
        <v>15</v>
      </c>
      <c r="P465" s="111" t="e">
        <f>ROUND(Tableau16[[#This Row],[LEN]]*#REF!+#REF!,0)</f>
        <v>#REF!</v>
      </c>
    </row>
    <row r="466" spans="1:16" s="97" customFormat="1" x14ac:dyDescent="0.25">
      <c r="A466" s="29" t="s">
        <v>1313</v>
      </c>
      <c r="B466" s="30" t="s">
        <v>1303</v>
      </c>
      <c r="C466" s="31" t="s">
        <v>1322</v>
      </c>
      <c r="D466" s="71" t="s">
        <v>1177</v>
      </c>
      <c r="E466" s="31" t="s">
        <v>675</v>
      </c>
      <c r="F466" s="31" t="s">
        <v>678</v>
      </c>
      <c r="G466" s="71" t="s">
        <v>166</v>
      </c>
      <c r="H466" s="71" t="s">
        <v>654</v>
      </c>
      <c r="I466" s="31"/>
      <c r="J466" s="32" t="s">
        <v>708</v>
      </c>
      <c r="K466" s="111">
        <f>ROUND(Tableau16[[#This Row],[LEN]]*7.27,0)</f>
        <v>254</v>
      </c>
      <c r="L466" s="111">
        <v>15</v>
      </c>
      <c r="M466" s="128" t="str">
        <f t="shared" si="4"/>
        <v>none</v>
      </c>
      <c r="N466" s="111">
        <f>LEN(Tableau16[[#This Row],[LABEL]])</f>
        <v>35</v>
      </c>
      <c r="O466" s="111">
        <v>15</v>
      </c>
      <c r="P466" s="111" t="e">
        <f>ROUND(Tableau16[[#This Row],[LEN]]*#REF!+#REF!,0)</f>
        <v>#REF!</v>
      </c>
    </row>
    <row r="467" spans="1:16" s="97" customFormat="1" x14ac:dyDescent="0.25">
      <c r="A467" s="29" t="s">
        <v>1314</v>
      </c>
      <c r="B467" s="30" t="s">
        <v>1303</v>
      </c>
      <c r="C467" s="31" t="s">
        <v>1323</v>
      </c>
      <c r="D467" s="71" t="s">
        <v>1177</v>
      </c>
      <c r="E467" s="31" t="s">
        <v>675</v>
      </c>
      <c r="F467" s="31" t="s">
        <v>678</v>
      </c>
      <c r="G467" s="71" t="s">
        <v>166</v>
      </c>
      <c r="H467" s="71" t="s">
        <v>654</v>
      </c>
      <c r="I467" s="31"/>
      <c r="J467" s="32" t="s">
        <v>708</v>
      </c>
      <c r="K467" s="111">
        <f>ROUND(Tableau16[[#This Row],[LEN]]*7.27,0)</f>
        <v>320</v>
      </c>
      <c r="L467" s="111">
        <v>15</v>
      </c>
      <c r="M467" s="128" t="str">
        <f t="shared" si="4"/>
        <v>none</v>
      </c>
      <c r="N467" s="111">
        <f>LEN(Tableau16[[#This Row],[LABEL]])</f>
        <v>44</v>
      </c>
      <c r="O467" s="111">
        <v>15</v>
      </c>
      <c r="P467" s="111" t="e">
        <f>ROUND(Tableau16[[#This Row],[LEN]]*#REF!+#REF!,0)</f>
        <v>#REF!</v>
      </c>
    </row>
    <row r="468" spans="1:16" s="97" customFormat="1" x14ac:dyDescent="0.25">
      <c r="A468" s="235" t="s">
        <v>1304</v>
      </c>
      <c r="B468" s="237" t="s">
        <v>261</v>
      </c>
      <c r="C468" s="236" t="s">
        <v>1007</v>
      </c>
      <c r="D468" s="70" t="s">
        <v>1177</v>
      </c>
      <c r="E468" s="229" t="s">
        <v>675</v>
      </c>
      <c r="F468" s="215" t="s">
        <v>1177</v>
      </c>
      <c r="G468" s="70" t="s">
        <v>166</v>
      </c>
      <c r="H468" s="230" t="s">
        <v>655</v>
      </c>
      <c r="I468" s="229"/>
      <c r="J468" s="231" t="s">
        <v>708</v>
      </c>
      <c r="K468" s="232">
        <f>ROUND(Tableau16[[#This Row],[LEN]]*7.27,0)</f>
        <v>305</v>
      </c>
      <c r="L468" s="232">
        <v>15</v>
      </c>
      <c r="M468" s="233" t="str">
        <f t="shared" si="4"/>
        <v>none</v>
      </c>
      <c r="N468" s="232">
        <f>LEN(Tableau16[[#This Row],[LABEL]])</f>
        <v>42</v>
      </c>
      <c r="O468" s="232">
        <v>15</v>
      </c>
      <c r="P468" s="234" t="e">
        <f>ROUND(Tableau16[[#This Row],[LEN]]*#REF!+#REF!,0)</f>
        <v>#REF!</v>
      </c>
    </row>
    <row r="469" spans="1:16" s="97" customFormat="1" x14ac:dyDescent="0.25">
      <c r="A469" s="29" t="s">
        <v>1315</v>
      </c>
      <c r="B469" s="30" t="s">
        <v>1304</v>
      </c>
      <c r="C469" s="31" t="s">
        <v>1324</v>
      </c>
      <c r="D469" s="71" t="s">
        <v>1177</v>
      </c>
      <c r="E469" s="31" t="s">
        <v>675</v>
      </c>
      <c r="F469" s="31" t="s">
        <v>1177</v>
      </c>
      <c r="G469" s="71" t="s">
        <v>166</v>
      </c>
      <c r="H469" s="71" t="s">
        <v>654</v>
      </c>
      <c r="I469" s="31"/>
      <c r="J469" s="32" t="s">
        <v>708</v>
      </c>
      <c r="K469" s="111">
        <f>ROUND(Tableau16[[#This Row],[LEN]]*7.27,0)</f>
        <v>218</v>
      </c>
      <c r="L469" s="111">
        <v>15</v>
      </c>
      <c r="M469" s="128" t="str">
        <f t="shared" si="4"/>
        <v>none</v>
      </c>
      <c r="N469" s="111">
        <f>LEN(Tableau16[[#This Row],[LABEL]])</f>
        <v>30</v>
      </c>
      <c r="O469" s="111">
        <v>15</v>
      </c>
      <c r="P469" s="111" t="e">
        <f>ROUND(Tableau16[[#This Row],[LEN]]*#REF!+#REF!,0)</f>
        <v>#REF!</v>
      </c>
    </row>
    <row r="470" spans="1:16" s="97" customFormat="1" x14ac:dyDescent="0.25">
      <c r="A470" s="29" t="s">
        <v>1316</v>
      </c>
      <c r="B470" s="30" t="s">
        <v>1304</v>
      </c>
      <c r="C470" s="31" t="s">
        <v>1013</v>
      </c>
      <c r="D470" s="71" t="s">
        <v>1177</v>
      </c>
      <c r="E470" s="31" t="s">
        <v>675</v>
      </c>
      <c r="F470" s="31" t="s">
        <v>1177</v>
      </c>
      <c r="G470" s="71" t="s">
        <v>166</v>
      </c>
      <c r="H470" s="71" t="s">
        <v>654</v>
      </c>
      <c r="I470" s="31"/>
      <c r="J470" s="32" t="s">
        <v>708</v>
      </c>
      <c r="K470" s="111">
        <f>ROUND(Tableau16[[#This Row],[LEN]]*7.27,0)</f>
        <v>284</v>
      </c>
      <c r="L470" s="111">
        <v>15</v>
      </c>
      <c r="M470" s="128" t="str">
        <f t="shared" si="4"/>
        <v>none</v>
      </c>
      <c r="N470" s="111">
        <f>LEN(Tableau16[[#This Row],[LABEL]])</f>
        <v>39</v>
      </c>
      <c r="O470" s="111">
        <v>15</v>
      </c>
      <c r="P470" s="111" t="e">
        <f>ROUND(Tableau16[[#This Row],[LEN]]*#REF!+#REF!,0)</f>
        <v>#REF!</v>
      </c>
    </row>
    <row r="471" spans="1:16" s="97" customFormat="1" x14ac:dyDescent="0.25">
      <c r="A471" s="29" t="s">
        <v>1317</v>
      </c>
      <c r="B471" s="30" t="s">
        <v>1304</v>
      </c>
      <c r="C471" s="31" t="s">
        <v>1014</v>
      </c>
      <c r="D471" s="71" t="s">
        <v>1177</v>
      </c>
      <c r="E471" s="31" t="s">
        <v>675</v>
      </c>
      <c r="F471" s="31" t="s">
        <v>1177</v>
      </c>
      <c r="G471" s="71" t="s">
        <v>166</v>
      </c>
      <c r="H471" s="71" t="s">
        <v>654</v>
      </c>
      <c r="I471" s="31"/>
      <c r="J471" s="32" t="s">
        <v>708</v>
      </c>
      <c r="K471" s="111">
        <f>ROUND(Tableau16[[#This Row],[LEN]]*7.27,0)</f>
        <v>327</v>
      </c>
      <c r="L471" s="111">
        <v>15</v>
      </c>
      <c r="M471" s="128" t="str">
        <f t="shared" si="4"/>
        <v>none</v>
      </c>
      <c r="N471" s="111">
        <f>LEN(Tableau16[[#This Row],[LABEL]])</f>
        <v>45</v>
      </c>
      <c r="O471" s="111">
        <v>15</v>
      </c>
      <c r="P471" s="111" t="e">
        <f>ROUND(Tableau16[[#This Row],[LEN]]*#REF!+#REF!,0)</f>
        <v>#REF!</v>
      </c>
    </row>
    <row r="472" spans="1:16" s="97" customFormat="1" x14ac:dyDescent="0.25">
      <c r="A472" s="29" t="s">
        <v>1318</v>
      </c>
      <c r="B472" s="30" t="s">
        <v>1304</v>
      </c>
      <c r="C472" s="31" t="s">
        <v>1325</v>
      </c>
      <c r="D472" s="71" t="s">
        <v>1177</v>
      </c>
      <c r="E472" s="31" t="s">
        <v>675</v>
      </c>
      <c r="F472" s="31" t="s">
        <v>1177</v>
      </c>
      <c r="G472" s="71" t="s">
        <v>166</v>
      </c>
      <c r="H472" s="71" t="s">
        <v>654</v>
      </c>
      <c r="I472" s="31"/>
      <c r="J472" s="32" t="s">
        <v>708</v>
      </c>
      <c r="K472" s="111">
        <f>ROUND(Tableau16[[#This Row],[LEN]]*7.27,0)</f>
        <v>327</v>
      </c>
      <c r="L472" s="111">
        <v>15</v>
      </c>
      <c r="M472" s="128" t="str">
        <f t="shared" si="4"/>
        <v>none</v>
      </c>
      <c r="N472" s="111">
        <f>LEN(Tableau16[[#This Row],[LABEL]])</f>
        <v>45</v>
      </c>
      <c r="O472" s="111">
        <v>15</v>
      </c>
      <c r="P472" s="111" t="e">
        <f>ROUND(Tableau16[[#This Row],[LEN]]*#REF!+#REF!,0)</f>
        <v>#REF!</v>
      </c>
    </row>
    <row r="473" spans="1:16" s="97" customFormat="1" x14ac:dyDescent="0.25">
      <c r="A473" s="227" t="s">
        <v>1305</v>
      </c>
      <c r="B473" s="228" t="s">
        <v>261</v>
      </c>
      <c r="C473" s="229" t="s">
        <v>1311</v>
      </c>
      <c r="D473" s="70" t="s">
        <v>1177</v>
      </c>
      <c r="E473" s="229" t="s">
        <v>675</v>
      </c>
      <c r="F473" s="215" t="s">
        <v>1177</v>
      </c>
      <c r="G473" s="70" t="s">
        <v>166</v>
      </c>
      <c r="H473" s="230" t="s">
        <v>655</v>
      </c>
      <c r="I473" s="229"/>
      <c r="J473" s="231" t="s">
        <v>708</v>
      </c>
      <c r="K473" s="232">
        <f>ROUND(Tableau16[[#This Row],[LEN]]*7.27,0)</f>
        <v>211</v>
      </c>
      <c r="L473" s="232">
        <v>15</v>
      </c>
      <c r="M473" s="233" t="str">
        <f t="shared" si="4"/>
        <v>none</v>
      </c>
      <c r="N473" s="232">
        <f>LEN(Tableau16[[#This Row],[LABEL]])</f>
        <v>29</v>
      </c>
      <c r="O473" s="232">
        <v>15</v>
      </c>
      <c r="P473" s="234" t="e">
        <f>ROUND(Tableau16[[#This Row],[LEN]]*#REF!+#REF!,0)</f>
        <v>#REF!</v>
      </c>
    </row>
    <row r="474" spans="1:16" s="97" customFormat="1" x14ac:dyDescent="0.25">
      <c r="A474" s="29" t="s">
        <v>1319</v>
      </c>
      <c r="B474" s="30" t="s">
        <v>1305</v>
      </c>
      <c r="C474" s="31" t="s">
        <v>1326</v>
      </c>
      <c r="D474" s="71" t="s">
        <v>1177</v>
      </c>
      <c r="E474" s="31" t="s">
        <v>675</v>
      </c>
      <c r="F474" s="31" t="s">
        <v>1177</v>
      </c>
      <c r="G474" s="71" t="s">
        <v>166</v>
      </c>
      <c r="H474" s="71" t="s">
        <v>654</v>
      </c>
      <c r="I474" s="31"/>
      <c r="J474" s="32" t="s">
        <v>708</v>
      </c>
      <c r="K474" s="111">
        <f>ROUND(Tableau16[[#This Row],[LEN]]*7.27,0)</f>
        <v>480</v>
      </c>
      <c r="L474" s="111">
        <v>15</v>
      </c>
      <c r="M474" s="128" t="str">
        <f t="shared" si="4"/>
        <v>none</v>
      </c>
      <c r="N474" s="111">
        <f>LEN(Tableau16[[#This Row],[LABEL]])</f>
        <v>66</v>
      </c>
      <c r="O474" s="111">
        <v>15</v>
      </c>
      <c r="P474" s="111" t="e">
        <f>ROUND(Tableau16[[#This Row],[LEN]]*#REF!+#REF!,0)</f>
        <v>#REF!</v>
      </c>
    </row>
    <row r="475" spans="1:16" s="97" customFormat="1" x14ac:dyDescent="0.25">
      <c r="A475" s="29" t="s">
        <v>1320</v>
      </c>
      <c r="B475" s="30" t="s">
        <v>1305</v>
      </c>
      <c r="C475" s="31" t="s">
        <v>1327</v>
      </c>
      <c r="D475" s="71" t="s">
        <v>1328</v>
      </c>
      <c r="E475" s="31" t="s">
        <v>675</v>
      </c>
      <c r="F475" s="31" t="s">
        <v>1177</v>
      </c>
      <c r="G475" s="71" t="s">
        <v>166</v>
      </c>
      <c r="H475" s="71" t="s">
        <v>654</v>
      </c>
      <c r="I475" s="31"/>
      <c r="J475" s="32" t="s">
        <v>708</v>
      </c>
      <c r="K475" s="111">
        <f>ROUND(Tableau16[[#This Row],[LEN]]*7.27,0)</f>
        <v>254</v>
      </c>
      <c r="L475" s="111">
        <v>15</v>
      </c>
      <c r="M475" s="128" t="str">
        <f t="shared" si="4"/>
        <v>none</v>
      </c>
      <c r="N475" s="111">
        <f>LEN(Tableau16[[#This Row],[LABEL]])</f>
        <v>35</v>
      </c>
      <c r="O475" s="111">
        <v>15</v>
      </c>
      <c r="P475" s="111" t="e">
        <f>ROUND(Tableau16[[#This Row],[LEN]]*#REF!+#REF!,0)</f>
        <v>#REF!</v>
      </c>
    </row>
    <row r="476" spans="1:16" s="97" customFormat="1" x14ac:dyDescent="0.25">
      <c r="A476" s="220" t="s">
        <v>1306</v>
      </c>
      <c r="B476" s="221" t="s">
        <v>261</v>
      </c>
      <c r="C476" s="222" t="s">
        <v>1405</v>
      </c>
      <c r="D476" s="70" t="s">
        <v>1177</v>
      </c>
      <c r="E476" s="229" t="s">
        <v>675</v>
      </c>
      <c r="F476" s="215" t="s">
        <v>678</v>
      </c>
      <c r="G476" s="70" t="s">
        <v>166</v>
      </c>
      <c r="H476" s="223" t="s">
        <v>656</v>
      </c>
      <c r="I476" s="222"/>
      <c r="J476" s="224" t="s">
        <v>708</v>
      </c>
      <c r="K476" s="225">
        <f>ROUND(Tableau16[[#This Row],[LEN]]*7.27,0)</f>
        <v>443</v>
      </c>
      <c r="L476" s="225">
        <v>15</v>
      </c>
      <c r="M476" s="226" t="str">
        <f t="shared" si="4"/>
        <v>none</v>
      </c>
      <c r="N476" s="225">
        <f>LEN(Tableau16[[#This Row],[LABEL]])</f>
        <v>61</v>
      </c>
      <c r="O476" s="225">
        <v>15</v>
      </c>
      <c r="P476" s="225" t="e">
        <f>ROUND(Tableau16[[#This Row],[LEN]]*#REF!+#REF!,0)</f>
        <v>#REF!</v>
      </c>
    </row>
    <row r="477" spans="1:16" s="97" customFormat="1" x14ac:dyDescent="0.25">
      <c r="A477" s="25" t="s">
        <v>1307</v>
      </c>
      <c r="B477" s="26" t="s">
        <v>261</v>
      </c>
      <c r="C477" s="27" t="s">
        <v>1167</v>
      </c>
      <c r="D477" s="70" t="s">
        <v>486</v>
      </c>
      <c r="E477" s="27" t="s">
        <v>1085</v>
      </c>
      <c r="F477" s="27" t="s">
        <v>1084</v>
      </c>
      <c r="G477" s="70" t="s">
        <v>1977</v>
      </c>
      <c r="H477" s="70" t="s">
        <v>1131</v>
      </c>
      <c r="I477" s="27"/>
      <c r="J477" s="28" t="s">
        <v>708</v>
      </c>
      <c r="K477" s="109">
        <f>ROUND(Tableau16[[#This Row],[LEN]]*7.27,0)</f>
        <v>196</v>
      </c>
      <c r="L477" s="109">
        <v>15</v>
      </c>
      <c r="M477" s="127" t="str">
        <f t="shared" si="4"/>
        <v>none</v>
      </c>
      <c r="N477" s="109">
        <f>LEN(Tableau16[[#This Row],[LABEL]])</f>
        <v>27</v>
      </c>
      <c r="O477" s="109">
        <v>15</v>
      </c>
      <c r="P477" s="109" t="e">
        <f>ROUND(Tableau16[[#This Row],[LEN]]*#REF!+#REF!,0)</f>
        <v>#REF!</v>
      </c>
    </row>
    <row r="478" spans="1:16" s="97" customFormat="1" x14ac:dyDescent="0.25">
      <c r="A478" s="29" t="s">
        <v>1308</v>
      </c>
      <c r="B478" s="30" t="s">
        <v>1307</v>
      </c>
      <c r="C478" s="31" t="s">
        <v>93</v>
      </c>
      <c r="D478" s="71" t="s">
        <v>1177</v>
      </c>
      <c r="E478" s="31" t="s">
        <v>1085</v>
      </c>
      <c r="F478" s="31" t="s">
        <v>1084</v>
      </c>
      <c r="G478" s="71" t="s">
        <v>166</v>
      </c>
      <c r="H478" s="71" t="s">
        <v>18</v>
      </c>
      <c r="I478" s="31"/>
      <c r="J478" s="32" t="s">
        <v>101</v>
      </c>
      <c r="K478" s="111">
        <f>ROUND(Tableau16[[#This Row],[LEN]]*7.27,0)</f>
        <v>109</v>
      </c>
      <c r="L478" s="111">
        <v>15</v>
      </c>
      <c r="M478" s="128" t="str">
        <f t="shared" si="4"/>
        <v>new</v>
      </c>
      <c r="N478" s="111">
        <f>LEN(Tableau16[[#This Row],[LABEL]])</f>
        <v>15</v>
      </c>
      <c r="O478" s="111">
        <v>15</v>
      </c>
      <c r="P478" s="111" t="e">
        <f>ROUND(Tableau16[[#This Row],[LEN]]*#REF!+#REF!,0)</f>
        <v>#REF!</v>
      </c>
    </row>
    <row r="479" spans="1:16" s="97" customFormat="1" x14ac:dyDescent="0.25">
      <c r="A479" s="29" t="s">
        <v>1309</v>
      </c>
      <c r="B479" s="30" t="s">
        <v>1307</v>
      </c>
      <c r="C479" s="31" t="s">
        <v>94</v>
      </c>
      <c r="D479" s="71" t="s">
        <v>1177</v>
      </c>
      <c r="E479" s="31" t="s">
        <v>1085</v>
      </c>
      <c r="F479" s="31" t="s">
        <v>1084</v>
      </c>
      <c r="G479" s="71" t="s">
        <v>166</v>
      </c>
      <c r="H479" s="71" t="s">
        <v>18</v>
      </c>
      <c r="I479" s="31"/>
      <c r="J479" s="32" t="s">
        <v>102</v>
      </c>
      <c r="K479" s="111">
        <f>ROUND(Tableau16[[#This Row],[LEN]]*7.27,0)</f>
        <v>58</v>
      </c>
      <c r="L479" s="111">
        <v>15</v>
      </c>
      <c r="M479" s="128" t="str">
        <f t="shared" si="4"/>
        <v>new</v>
      </c>
      <c r="N479" s="111">
        <f>LEN(Tableau16[[#This Row],[LABEL]])</f>
        <v>8</v>
      </c>
      <c r="O479" s="111">
        <v>15</v>
      </c>
      <c r="P479" s="111" t="e">
        <f>ROUND(Tableau16[[#This Row],[LEN]]*#REF!+#REF!,0)</f>
        <v>#REF!</v>
      </c>
    </row>
    <row r="480" spans="1:16" s="273" customFormat="1" x14ac:dyDescent="0.25">
      <c r="A480" s="288" t="s">
        <v>262</v>
      </c>
      <c r="B480" s="289" t="s">
        <v>206</v>
      </c>
      <c r="C480" s="290" t="s">
        <v>71</v>
      </c>
      <c r="D480" s="291" t="s">
        <v>1177</v>
      </c>
      <c r="E480" s="290" t="s">
        <v>676</v>
      </c>
      <c r="F480" s="290" t="s">
        <v>1177</v>
      </c>
      <c r="G480" s="291" t="s">
        <v>166</v>
      </c>
      <c r="H480" s="291" t="str">
        <f>IFERROR(IF(SEARCH(".00.00.00.00.00",Tableau16[[#This Row],[name]],1)=7,"Division",""),"")</f>
        <v>Division</v>
      </c>
      <c r="I480" s="290"/>
      <c r="J480" s="292" t="s">
        <v>722</v>
      </c>
      <c r="K480" s="293">
        <f>ROUND(Tableau16[[#This Row],[LEN]]*7.27,0)</f>
        <v>29</v>
      </c>
      <c r="L480" s="293">
        <v>15</v>
      </c>
      <c r="M480" s="294" t="str">
        <f t="shared" si="4"/>
        <v>new</v>
      </c>
      <c r="N480" s="293">
        <f>LEN(Tableau16[[#This Row],[LABEL]])</f>
        <v>4</v>
      </c>
      <c r="O480" s="293">
        <v>15</v>
      </c>
      <c r="P480" s="293" t="e">
        <f>ROUND(Tableau16[[#This Row],[LEN]]*#REF!+#REF!,0)</f>
        <v>#REF!</v>
      </c>
    </row>
    <row r="481" spans="1:16" s="97" customFormat="1" x14ac:dyDescent="0.25">
      <c r="A481" s="220" t="s">
        <v>1329</v>
      </c>
      <c r="B481" s="221" t="s">
        <v>262</v>
      </c>
      <c r="C481" s="222" t="s">
        <v>1337</v>
      </c>
      <c r="D481" s="70" t="s">
        <v>1338</v>
      </c>
      <c r="E481" s="229" t="s">
        <v>676</v>
      </c>
      <c r="F481" s="215" t="s">
        <v>1339</v>
      </c>
      <c r="G481" s="70" t="s">
        <v>166</v>
      </c>
      <c r="H481" s="223" t="s">
        <v>656</v>
      </c>
      <c r="I481" s="222"/>
      <c r="J481" s="224" t="s">
        <v>708</v>
      </c>
      <c r="K481" s="225">
        <f>ROUND(Tableau16[[#This Row],[LEN]]*7.27,0)</f>
        <v>378</v>
      </c>
      <c r="L481" s="225">
        <v>15</v>
      </c>
      <c r="M481" s="226" t="str">
        <f t="shared" si="4"/>
        <v>none</v>
      </c>
      <c r="N481" s="225">
        <f>LEN(Tableau16[[#This Row],[LABEL]])</f>
        <v>52</v>
      </c>
      <c r="O481" s="225">
        <v>15</v>
      </c>
      <c r="P481" s="225" t="e">
        <f>ROUND(Tableau16[[#This Row],[LEN]]*#REF!+#REF!,0)</f>
        <v>#REF!</v>
      </c>
    </row>
    <row r="482" spans="1:16" s="97" customFormat="1" x14ac:dyDescent="0.25">
      <c r="A482" s="220" t="s">
        <v>1330</v>
      </c>
      <c r="B482" s="221" t="s">
        <v>262</v>
      </c>
      <c r="C482" s="222" t="s">
        <v>88</v>
      </c>
      <c r="D482" s="70" t="s">
        <v>1177</v>
      </c>
      <c r="E482" s="229" t="s">
        <v>667</v>
      </c>
      <c r="F482" s="215" t="s">
        <v>1218</v>
      </c>
      <c r="G482" s="70" t="s">
        <v>166</v>
      </c>
      <c r="H482" s="223" t="s">
        <v>570</v>
      </c>
      <c r="I482" s="222"/>
      <c r="J482" s="224" t="s">
        <v>708</v>
      </c>
      <c r="K482" s="225">
        <f>ROUND(Tableau16[[#This Row],[LEN]]*7.27,0)</f>
        <v>342</v>
      </c>
      <c r="L482" s="225">
        <v>15</v>
      </c>
      <c r="M482" s="226" t="str">
        <f t="shared" si="4"/>
        <v>none</v>
      </c>
      <c r="N482" s="225">
        <f>LEN(Tableau16[[#This Row],[LABEL]])</f>
        <v>47</v>
      </c>
      <c r="O482" s="225">
        <v>15</v>
      </c>
      <c r="P482" s="225" t="e">
        <f>ROUND(Tableau16[[#This Row],[LEN]]*#REF!+#REF!,0)</f>
        <v>#REF!</v>
      </c>
    </row>
    <row r="483" spans="1:16" s="97" customFormat="1" x14ac:dyDescent="0.25">
      <c r="A483" s="220" t="s">
        <v>1331</v>
      </c>
      <c r="B483" s="221" t="s">
        <v>262</v>
      </c>
      <c r="C483" s="222" t="s">
        <v>484</v>
      </c>
      <c r="D483" s="70" t="s">
        <v>1177</v>
      </c>
      <c r="E483" s="229" t="s">
        <v>672</v>
      </c>
      <c r="F483" s="215" t="s">
        <v>1285</v>
      </c>
      <c r="G483" s="70" t="s">
        <v>166</v>
      </c>
      <c r="H483" s="223" t="s">
        <v>655</v>
      </c>
      <c r="I483" s="222"/>
      <c r="J483" s="224" t="s">
        <v>727</v>
      </c>
      <c r="K483" s="225">
        <f>ROUND(Tableau16[[#This Row],[LEN]]*7.27,0)</f>
        <v>80</v>
      </c>
      <c r="L483" s="225">
        <v>15</v>
      </c>
      <c r="M483" s="226" t="str">
        <f t="shared" si="4"/>
        <v>new</v>
      </c>
      <c r="N483" s="225">
        <f>LEN(Tableau16[[#This Row],[LABEL]])</f>
        <v>11</v>
      </c>
      <c r="O483" s="225">
        <v>15</v>
      </c>
      <c r="P483" s="225" t="e">
        <f>ROUND(Tableau16[[#This Row],[LEN]]*#REF!+#REF!,0)</f>
        <v>#REF!</v>
      </c>
    </row>
    <row r="484" spans="1:16" s="97" customFormat="1" x14ac:dyDescent="0.25">
      <c r="A484" s="29" t="s">
        <v>1340</v>
      </c>
      <c r="B484" s="30" t="s">
        <v>1331</v>
      </c>
      <c r="C484" s="31" t="s">
        <v>505</v>
      </c>
      <c r="D484" s="71" t="s">
        <v>1177</v>
      </c>
      <c r="E484" s="31" t="s">
        <v>672</v>
      </c>
      <c r="F484" s="31" t="s">
        <v>1285</v>
      </c>
      <c r="G484" s="71" t="s">
        <v>166</v>
      </c>
      <c r="H484" s="71" t="s">
        <v>18</v>
      </c>
      <c r="I484" s="31"/>
      <c r="J484" s="32" t="s">
        <v>705</v>
      </c>
      <c r="K484" s="111">
        <f>ROUND(Tableau16[[#This Row],[LEN]]*7.27,0)</f>
        <v>73</v>
      </c>
      <c r="L484" s="111">
        <v>15</v>
      </c>
      <c r="M484" s="128" t="str">
        <f t="shared" si="4"/>
        <v>new</v>
      </c>
      <c r="N484" s="111">
        <f>LEN(Tableau16[[#This Row],[LABEL]])</f>
        <v>10</v>
      </c>
      <c r="O484" s="111">
        <v>15</v>
      </c>
      <c r="P484" s="111" t="e">
        <f>ROUND(Tableau16[[#This Row],[LEN]]*#REF!+#REF!,0)</f>
        <v>#REF!</v>
      </c>
    </row>
    <row r="485" spans="1:16" s="97" customFormat="1" x14ac:dyDescent="0.25">
      <c r="A485" s="29" t="s">
        <v>1341</v>
      </c>
      <c r="B485" s="30" t="s">
        <v>1331</v>
      </c>
      <c r="C485" s="31" t="s">
        <v>1284</v>
      </c>
      <c r="D485" s="71" t="s">
        <v>1177</v>
      </c>
      <c r="E485" s="31" t="s">
        <v>672</v>
      </c>
      <c r="F485" s="31" t="s">
        <v>1285</v>
      </c>
      <c r="G485" s="71" t="s">
        <v>166</v>
      </c>
      <c r="H485" s="71" t="s">
        <v>18</v>
      </c>
      <c r="I485" s="31"/>
      <c r="J485" s="32" t="s">
        <v>705</v>
      </c>
      <c r="K485" s="111">
        <f>ROUND(Tableau16[[#This Row],[LEN]]*7.27,0)</f>
        <v>153</v>
      </c>
      <c r="L485" s="111">
        <v>15</v>
      </c>
      <c r="M485" s="128" t="str">
        <f t="shared" si="4"/>
        <v>new</v>
      </c>
      <c r="N485" s="111">
        <f>LEN(Tableau16[[#This Row],[LABEL]])</f>
        <v>21</v>
      </c>
      <c r="O485" s="111">
        <v>15</v>
      </c>
      <c r="P485" s="111" t="e">
        <f>ROUND(Tableau16[[#This Row],[LEN]]*#REF!+#REF!,0)</f>
        <v>#REF!</v>
      </c>
    </row>
    <row r="486" spans="1:16" s="97" customFormat="1" x14ac:dyDescent="0.25">
      <c r="A486" s="220" t="s">
        <v>1332</v>
      </c>
      <c r="B486" s="221" t="s">
        <v>262</v>
      </c>
      <c r="C486" s="222" t="s">
        <v>1342</v>
      </c>
      <c r="D486" s="70" t="s">
        <v>1177</v>
      </c>
      <c r="E486" s="229" t="s">
        <v>676</v>
      </c>
      <c r="F486" s="215" t="s">
        <v>1177</v>
      </c>
      <c r="G486" s="70" t="s">
        <v>166</v>
      </c>
      <c r="H486" s="223" t="s">
        <v>656</v>
      </c>
      <c r="I486" s="222"/>
      <c r="J486" s="224" t="s">
        <v>708</v>
      </c>
      <c r="K486" s="225">
        <f>ROUND(Tableau16[[#This Row],[LEN]]*7.27,0)</f>
        <v>473</v>
      </c>
      <c r="L486" s="225">
        <v>15</v>
      </c>
      <c r="M486" s="226" t="str">
        <f t="shared" si="4"/>
        <v>none</v>
      </c>
      <c r="N486" s="225">
        <f>LEN(Tableau16[[#This Row],[LABEL]])</f>
        <v>65</v>
      </c>
      <c r="O486" s="225">
        <v>15</v>
      </c>
      <c r="P486" s="225" t="e">
        <f>ROUND(Tableau16[[#This Row],[LEN]]*#REF!+#REF!,0)</f>
        <v>#REF!</v>
      </c>
    </row>
    <row r="487" spans="1:16" s="97" customFormat="1" x14ac:dyDescent="0.25">
      <c r="A487" s="220" t="s">
        <v>1333</v>
      </c>
      <c r="B487" s="221" t="s">
        <v>262</v>
      </c>
      <c r="C487" s="222" t="s">
        <v>1343</v>
      </c>
      <c r="D487" s="70" t="s">
        <v>1177</v>
      </c>
      <c r="E487" s="229" t="s">
        <v>676</v>
      </c>
      <c r="F487" s="215" t="s">
        <v>1339</v>
      </c>
      <c r="G487" s="70" t="s">
        <v>166</v>
      </c>
      <c r="H487" s="223" t="s">
        <v>654</v>
      </c>
      <c r="I487" s="222"/>
      <c r="J487" s="224" t="s">
        <v>708</v>
      </c>
      <c r="K487" s="225">
        <f>ROUND(Tableau16[[#This Row],[LEN]]*7.27,0)</f>
        <v>269</v>
      </c>
      <c r="L487" s="225">
        <v>15</v>
      </c>
      <c r="M487" s="226" t="str">
        <f t="shared" si="4"/>
        <v>none</v>
      </c>
      <c r="N487" s="225">
        <f>LEN(Tableau16[[#This Row],[LABEL]])</f>
        <v>37</v>
      </c>
      <c r="O487" s="225">
        <v>15</v>
      </c>
      <c r="P487" s="225" t="e">
        <f>ROUND(Tableau16[[#This Row],[LEN]]*#REF!+#REF!,0)</f>
        <v>#REF!</v>
      </c>
    </row>
    <row r="488" spans="1:16" s="97" customFormat="1" x14ac:dyDescent="0.25">
      <c r="A488" s="220" t="s">
        <v>1334</v>
      </c>
      <c r="B488" s="221" t="s">
        <v>262</v>
      </c>
      <c r="C488" s="222" t="s">
        <v>1154</v>
      </c>
      <c r="D488" s="70" t="s">
        <v>1177</v>
      </c>
      <c r="E488" s="229" t="s">
        <v>667</v>
      </c>
      <c r="F488" s="215" t="s">
        <v>1133</v>
      </c>
      <c r="G488" s="70" t="s">
        <v>166</v>
      </c>
      <c r="H488" s="223" t="s">
        <v>18</v>
      </c>
      <c r="I488" s="222"/>
      <c r="J488" s="224" t="s">
        <v>102</v>
      </c>
      <c r="K488" s="225">
        <f>ROUND(Tableau16[[#This Row],[LEN]]*7.27,0)</f>
        <v>443</v>
      </c>
      <c r="L488" s="225">
        <v>15</v>
      </c>
      <c r="M488" s="226" t="str">
        <f t="shared" si="4"/>
        <v>new</v>
      </c>
      <c r="N488" s="225">
        <f>LEN(Tableau16[[#This Row],[LABEL]])</f>
        <v>61</v>
      </c>
      <c r="O488" s="225">
        <v>15</v>
      </c>
      <c r="P488" s="225" t="e">
        <f>ROUND(Tableau16[[#This Row],[LEN]]*#REF!+#REF!,0)</f>
        <v>#REF!</v>
      </c>
    </row>
    <row r="489" spans="1:16" s="97" customFormat="1" x14ac:dyDescent="0.25">
      <c r="A489" s="220" t="s">
        <v>1335</v>
      </c>
      <c r="B489" s="221" t="s">
        <v>262</v>
      </c>
      <c r="C489" s="222" t="s">
        <v>778</v>
      </c>
      <c r="D489" s="70" t="s">
        <v>1177</v>
      </c>
      <c r="E489" s="229" t="s">
        <v>673</v>
      </c>
      <c r="F489" s="27" t="s">
        <v>2000</v>
      </c>
      <c r="G489" s="70" t="s">
        <v>166</v>
      </c>
      <c r="H489" s="223" t="s">
        <v>17</v>
      </c>
      <c r="I489" s="222"/>
      <c r="J489" s="224" t="s">
        <v>708</v>
      </c>
      <c r="K489" s="225">
        <f>ROUND(Tableau16[[#This Row],[LEN]]*7.27,0)</f>
        <v>211</v>
      </c>
      <c r="L489" s="225">
        <v>15</v>
      </c>
      <c r="M489" s="226" t="str">
        <f t="shared" si="4"/>
        <v>none</v>
      </c>
      <c r="N489" s="225">
        <f>LEN(Tableau16[[#This Row],[LABEL]])</f>
        <v>29</v>
      </c>
      <c r="O489" s="225">
        <v>15</v>
      </c>
      <c r="P489" s="225" t="e">
        <f>ROUND(Tableau16[[#This Row],[LEN]]*#REF!+#REF!,0)</f>
        <v>#REF!</v>
      </c>
    </row>
    <row r="490" spans="1:16" s="97" customFormat="1" x14ac:dyDescent="0.25">
      <c r="A490" s="220" t="s">
        <v>1336</v>
      </c>
      <c r="B490" s="221" t="s">
        <v>262</v>
      </c>
      <c r="C490" s="222" t="s">
        <v>1167</v>
      </c>
      <c r="D490" s="70" t="s">
        <v>486</v>
      </c>
      <c r="E490" s="229" t="s">
        <v>1085</v>
      </c>
      <c r="F490" s="215" t="s">
        <v>1084</v>
      </c>
      <c r="G490" s="70" t="s">
        <v>1977</v>
      </c>
      <c r="H490" s="223" t="s">
        <v>1131</v>
      </c>
      <c r="I490" s="222"/>
      <c r="J490" s="224" t="s">
        <v>708</v>
      </c>
      <c r="K490" s="225">
        <f>ROUND(Tableau16[[#This Row],[LEN]]*7.27,0)</f>
        <v>196</v>
      </c>
      <c r="L490" s="225">
        <v>15</v>
      </c>
      <c r="M490" s="226" t="str">
        <f t="shared" si="4"/>
        <v>none</v>
      </c>
      <c r="N490" s="225">
        <f>LEN(Tableau16[[#This Row],[LABEL]])</f>
        <v>27</v>
      </c>
      <c r="O490" s="225">
        <v>15</v>
      </c>
      <c r="P490" s="225" t="e">
        <f>ROUND(Tableau16[[#This Row],[LEN]]*#REF!+#REF!,0)</f>
        <v>#REF!</v>
      </c>
    </row>
    <row r="491" spans="1:16" s="97" customFormat="1" x14ac:dyDescent="0.25">
      <c r="A491" s="29" t="s">
        <v>1344</v>
      </c>
      <c r="B491" s="30" t="s">
        <v>1336</v>
      </c>
      <c r="C491" s="31" t="s">
        <v>93</v>
      </c>
      <c r="D491" s="71" t="s">
        <v>1177</v>
      </c>
      <c r="E491" s="31" t="s">
        <v>1085</v>
      </c>
      <c r="F491" s="31" t="s">
        <v>1084</v>
      </c>
      <c r="G491" s="71" t="s">
        <v>166</v>
      </c>
      <c r="H491" s="71" t="s">
        <v>18</v>
      </c>
      <c r="I491" s="31"/>
      <c r="J491" s="32" t="s">
        <v>101</v>
      </c>
      <c r="K491" s="111">
        <f>ROUND(Tableau16[[#This Row],[LEN]]*7.27,0)</f>
        <v>109</v>
      </c>
      <c r="L491" s="111">
        <v>15</v>
      </c>
      <c r="M491" s="128" t="str">
        <f t="shared" si="4"/>
        <v>new</v>
      </c>
      <c r="N491" s="111">
        <f>LEN(Tableau16[[#This Row],[LABEL]])</f>
        <v>15</v>
      </c>
      <c r="O491" s="111">
        <v>15</v>
      </c>
      <c r="P491" s="111" t="e">
        <f>ROUND(Tableau16[[#This Row],[LEN]]*#REF!+#REF!,0)</f>
        <v>#REF!</v>
      </c>
    </row>
    <row r="492" spans="1:16" s="97" customFormat="1" x14ac:dyDescent="0.25">
      <c r="A492" s="29" t="s">
        <v>1345</v>
      </c>
      <c r="B492" s="30" t="s">
        <v>1336</v>
      </c>
      <c r="C492" s="31" t="s">
        <v>94</v>
      </c>
      <c r="D492" s="71" t="s">
        <v>1177</v>
      </c>
      <c r="E492" s="31" t="s">
        <v>1085</v>
      </c>
      <c r="F492" s="31" t="s">
        <v>1084</v>
      </c>
      <c r="G492" s="71" t="s">
        <v>166</v>
      </c>
      <c r="H492" s="71" t="s">
        <v>18</v>
      </c>
      <c r="I492" s="31"/>
      <c r="J492" s="32" t="s">
        <v>102</v>
      </c>
      <c r="K492" s="111">
        <f>ROUND(Tableau16[[#This Row],[LEN]]*7.27,0)</f>
        <v>58</v>
      </c>
      <c r="L492" s="111">
        <v>15</v>
      </c>
      <c r="M492" s="128" t="str">
        <f t="shared" si="4"/>
        <v>new</v>
      </c>
      <c r="N492" s="111">
        <f>LEN(Tableau16[[#This Row],[LABEL]])</f>
        <v>8</v>
      </c>
      <c r="O492" s="111">
        <v>15</v>
      </c>
      <c r="P492" s="111" t="e">
        <f>ROUND(Tableau16[[#This Row],[LEN]]*#REF!+#REF!,0)</f>
        <v>#REF!</v>
      </c>
    </row>
    <row r="493" spans="1:16" s="273" customFormat="1" x14ac:dyDescent="0.25">
      <c r="A493" s="288" t="s">
        <v>263</v>
      </c>
      <c r="B493" s="289" t="s">
        <v>206</v>
      </c>
      <c r="C493" s="290" t="s">
        <v>13</v>
      </c>
      <c r="D493" s="291" t="s">
        <v>1177</v>
      </c>
      <c r="E493" s="290" t="s">
        <v>677</v>
      </c>
      <c r="F493" s="290" t="s">
        <v>1177</v>
      </c>
      <c r="G493" s="291" t="s">
        <v>166</v>
      </c>
      <c r="H493" s="291" t="str">
        <f>IFERROR(IF(SEARCH(".00.00.00.00.00",Tableau16[[#This Row],[name]],1)=7,"Division",""),"")</f>
        <v>Division</v>
      </c>
      <c r="I493" s="290"/>
      <c r="J493" s="292" t="s">
        <v>708</v>
      </c>
      <c r="K493" s="293">
        <f>ROUND(Tableau16[[#This Row],[LEN]]*7.27,0)</f>
        <v>80</v>
      </c>
      <c r="L493" s="293">
        <v>15</v>
      </c>
      <c r="M493" s="294" t="str">
        <f t="shared" si="4"/>
        <v>none</v>
      </c>
      <c r="N493" s="293">
        <f>LEN(Tableau16[[#This Row],[LABEL]])</f>
        <v>11</v>
      </c>
      <c r="O493" s="293">
        <v>15</v>
      </c>
      <c r="P493" s="293" t="e">
        <f>ROUND(Tableau16[[#This Row],[LEN]]*#REF!+#REF!,0)</f>
        <v>#REF!</v>
      </c>
    </row>
    <row r="494" spans="1:16" s="97" customFormat="1" x14ac:dyDescent="0.25">
      <c r="A494" s="220" t="s">
        <v>1346</v>
      </c>
      <c r="B494" s="221" t="s">
        <v>263</v>
      </c>
      <c r="C494" s="222" t="s">
        <v>1355</v>
      </c>
      <c r="D494" s="70" t="s">
        <v>1177</v>
      </c>
      <c r="E494" s="229" t="s">
        <v>677</v>
      </c>
      <c r="F494" s="215" t="s">
        <v>1177</v>
      </c>
      <c r="G494" s="70" t="s">
        <v>166</v>
      </c>
      <c r="H494" s="223" t="s">
        <v>655</v>
      </c>
      <c r="I494" s="222"/>
      <c r="J494" s="224" t="s">
        <v>708</v>
      </c>
      <c r="K494" s="225">
        <f>ROUND(Tableau16[[#This Row],[LEN]]*7.27,0)</f>
        <v>233</v>
      </c>
      <c r="L494" s="225">
        <v>15</v>
      </c>
      <c r="M494" s="226" t="str">
        <f t="shared" si="4"/>
        <v>none</v>
      </c>
      <c r="N494" s="225">
        <f>LEN(Tableau16[[#This Row],[LABEL]])</f>
        <v>32</v>
      </c>
      <c r="O494" s="225">
        <v>15</v>
      </c>
      <c r="P494" s="225" t="e">
        <f>ROUND(Tableau16[[#This Row],[LEN]]*#REF!+#REF!,0)</f>
        <v>#REF!</v>
      </c>
    </row>
    <row r="495" spans="1:16" s="97" customFormat="1" x14ac:dyDescent="0.25">
      <c r="A495" s="29" t="s">
        <v>1363</v>
      </c>
      <c r="B495" s="30" t="s">
        <v>1346</v>
      </c>
      <c r="C495" s="31" t="s">
        <v>1368</v>
      </c>
      <c r="D495" s="71" t="s">
        <v>1177</v>
      </c>
      <c r="E495" s="31" t="s">
        <v>677</v>
      </c>
      <c r="F495" s="31" t="s">
        <v>1177</v>
      </c>
      <c r="G495" s="71" t="s">
        <v>166</v>
      </c>
      <c r="H495" s="71" t="s">
        <v>654</v>
      </c>
      <c r="I495" s="31"/>
      <c r="J495" s="32" t="s">
        <v>708</v>
      </c>
      <c r="K495" s="111">
        <f>ROUND(Tableau16[[#This Row],[LEN]]*7.27,0)</f>
        <v>109</v>
      </c>
      <c r="L495" s="111">
        <v>15</v>
      </c>
      <c r="M495" s="128" t="str">
        <f t="shared" si="4"/>
        <v>none</v>
      </c>
      <c r="N495" s="111">
        <f>LEN(Tableau16[[#This Row],[LABEL]])</f>
        <v>15</v>
      </c>
      <c r="O495" s="111">
        <v>15</v>
      </c>
      <c r="P495" s="111" t="e">
        <f>ROUND(Tableau16[[#This Row],[LEN]]*#REF!+#REF!,0)</f>
        <v>#REF!</v>
      </c>
    </row>
    <row r="496" spans="1:16" s="97" customFormat="1" x14ac:dyDescent="0.25">
      <c r="A496" s="29" t="s">
        <v>1364</v>
      </c>
      <c r="B496" s="30" t="s">
        <v>1346</v>
      </c>
      <c r="C496" s="31" t="s">
        <v>1369</v>
      </c>
      <c r="D496" s="71" t="s">
        <v>1177</v>
      </c>
      <c r="E496" s="31" t="s">
        <v>677</v>
      </c>
      <c r="F496" s="31" t="s">
        <v>1177</v>
      </c>
      <c r="G496" s="71" t="s">
        <v>166</v>
      </c>
      <c r="H496" s="71" t="s">
        <v>654</v>
      </c>
      <c r="I496" s="31"/>
      <c r="J496" s="32" t="s">
        <v>708</v>
      </c>
      <c r="K496" s="111">
        <f>ROUND(Tableau16[[#This Row],[LEN]]*7.27,0)</f>
        <v>153</v>
      </c>
      <c r="L496" s="111">
        <v>15</v>
      </c>
      <c r="M496" s="128" t="str">
        <f t="shared" si="4"/>
        <v>none</v>
      </c>
      <c r="N496" s="111">
        <f>LEN(Tableau16[[#This Row],[LABEL]])</f>
        <v>21</v>
      </c>
      <c r="O496" s="111">
        <v>15</v>
      </c>
      <c r="P496" s="111" t="e">
        <f>ROUND(Tableau16[[#This Row],[LEN]]*#REF!+#REF!,0)</f>
        <v>#REF!</v>
      </c>
    </row>
    <row r="497" spans="1:16" s="97" customFormat="1" x14ac:dyDescent="0.25">
      <c r="A497" s="29" t="s">
        <v>1365</v>
      </c>
      <c r="B497" s="30" t="s">
        <v>1346</v>
      </c>
      <c r="C497" s="31" t="s">
        <v>1370</v>
      </c>
      <c r="D497" s="71" t="s">
        <v>1177</v>
      </c>
      <c r="E497" s="31" t="s">
        <v>677</v>
      </c>
      <c r="F497" s="31" t="s">
        <v>1177</v>
      </c>
      <c r="G497" s="71" t="s">
        <v>166</v>
      </c>
      <c r="H497" s="71" t="s">
        <v>654</v>
      </c>
      <c r="I497" s="31"/>
      <c r="J497" s="32" t="s">
        <v>708</v>
      </c>
      <c r="K497" s="111">
        <f>ROUND(Tableau16[[#This Row],[LEN]]*7.27,0)</f>
        <v>51</v>
      </c>
      <c r="L497" s="111">
        <v>15</v>
      </c>
      <c r="M497" s="128" t="str">
        <f t="shared" si="4"/>
        <v>none</v>
      </c>
      <c r="N497" s="111">
        <f>LEN(Tableau16[[#This Row],[LABEL]])</f>
        <v>7</v>
      </c>
      <c r="O497" s="111">
        <v>15</v>
      </c>
      <c r="P497" s="111" t="e">
        <f>ROUND(Tableau16[[#This Row],[LEN]]*#REF!+#REF!,0)</f>
        <v>#REF!</v>
      </c>
    </row>
    <row r="498" spans="1:16" s="97" customFormat="1" x14ac:dyDescent="0.25">
      <c r="A498" s="29" t="s">
        <v>1366</v>
      </c>
      <c r="B498" s="30" t="s">
        <v>1346</v>
      </c>
      <c r="C498" s="31" t="s">
        <v>1371</v>
      </c>
      <c r="D498" s="71" t="s">
        <v>1177</v>
      </c>
      <c r="E498" s="31" t="s">
        <v>677</v>
      </c>
      <c r="F498" s="31" t="s">
        <v>1177</v>
      </c>
      <c r="G498" s="71" t="s">
        <v>166</v>
      </c>
      <c r="H498" s="71" t="s">
        <v>654</v>
      </c>
      <c r="I498" s="31"/>
      <c r="J498" s="32" t="s">
        <v>708</v>
      </c>
      <c r="K498" s="111">
        <f>ROUND(Tableau16[[#This Row],[LEN]]*7.27,0)</f>
        <v>131</v>
      </c>
      <c r="L498" s="111">
        <v>15</v>
      </c>
      <c r="M498" s="128" t="str">
        <f t="shared" si="4"/>
        <v>none</v>
      </c>
      <c r="N498" s="111">
        <f>LEN(Tableau16[[#This Row],[LABEL]])</f>
        <v>18</v>
      </c>
      <c r="O498" s="111">
        <v>15</v>
      </c>
      <c r="P498" s="111" t="e">
        <f>ROUND(Tableau16[[#This Row],[LEN]]*#REF!+#REF!,0)</f>
        <v>#REF!</v>
      </c>
    </row>
    <row r="499" spans="1:16" s="97" customFormat="1" x14ac:dyDescent="0.25">
      <c r="A499" s="29" t="s">
        <v>1367</v>
      </c>
      <c r="B499" s="30" t="s">
        <v>1346</v>
      </c>
      <c r="C499" s="31" t="s">
        <v>1372</v>
      </c>
      <c r="D499" s="71" t="s">
        <v>1177</v>
      </c>
      <c r="E499" s="31" t="s">
        <v>677</v>
      </c>
      <c r="F499" s="31" t="s">
        <v>1177</v>
      </c>
      <c r="G499" s="71" t="s">
        <v>166</v>
      </c>
      <c r="H499" s="71" t="s">
        <v>654</v>
      </c>
      <c r="I499" s="31"/>
      <c r="J499" s="32" t="s">
        <v>708</v>
      </c>
      <c r="K499" s="111">
        <f>ROUND(Tableau16[[#This Row],[LEN]]*7.27,0)</f>
        <v>80</v>
      </c>
      <c r="L499" s="111">
        <v>15</v>
      </c>
      <c r="M499" s="128" t="str">
        <f t="shared" si="4"/>
        <v>none</v>
      </c>
      <c r="N499" s="111">
        <f>LEN(Tableau16[[#This Row],[LABEL]])</f>
        <v>11</v>
      </c>
      <c r="O499" s="111">
        <v>15</v>
      </c>
      <c r="P499" s="111" t="e">
        <f>ROUND(Tableau16[[#This Row],[LEN]]*#REF!+#REF!,0)</f>
        <v>#REF!</v>
      </c>
    </row>
    <row r="500" spans="1:16" s="97" customFormat="1" x14ac:dyDescent="0.25">
      <c r="A500" s="220" t="s">
        <v>1347</v>
      </c>
      <c r="B500" s="221" t="s">
        <v>263</v>
      </c>
      <c r="C500" s="222" t="s">
        <v>1337</v>
      </c>
      <c r="D500" s="70" t="s">
        <v>1338</v>
      </c>
      <c r="E500" s="229" t="s">
        <v>676</v>
      </c>
      <c r="F500" s="215" t="s">
        <v>1339</v>
      </c>
      <c r="G500" s="70" t="s">
        <v>166</v>
      </c>
      <c r="H500" s="223" t="s">
        <v>656</v>
      </c>
      <c r="I500" s="222"/>
      <c r="J500" s="224" t="s">
        <v>708</v>
      </c>
      <c r="K500" s="225">
        <f>ROUND(Tableau16[[#This Row],[LEN]]*7.27,0)</f>
        <v>378</v>
      </c>
      <c r="L500" s="225">
        <v>15</v>
      </c>
      <c r="M500" s="226" t="str">
        <f t="shared" si="4"/>
        <v>none</v>
      </c>
      <c r="N500" s="225">
        <f>LEN(Tableau16[[#This Row],[LABEL]])</f>
        <v>52</v>
      </c>
      <c r="O500" s="225">
        <v>15</v>
      </c>
      <c r="P500" s="225" t="e">
        <f>ROUND(Tableau16[[#This Row],[LEN]]*#REF!+#REF!,0)</f>
        <v>#REF!</v>
      </c>
    </row>
    <row r="501" spans="1:16" s="97" customFormat="1" x14ac:dyDescent="0.25">
      <c r="A501" s="220" t="s">
        <v>1348</v>
      </c>
      <c r="B501" s="221" t="s">
        <v>263</v>
      </c>
      <c r="C501" s="222" t="s">
        <v>88</v>
      </c>
      <c r="D501" s="70" t="s">
        <v>1177</v>
      </c>
      <c r="E501" s="229" t="s">
        <v>667</v>
      </c>
      <c r="F501" s="215" t="s">
        <v>1218</v>
      </c>
      <c r="G501" s="70" t="s">
        <v>166</v>
      </c>
      <c r="H501" s="223" t="s">
        <v>570</v>
      </c>
      <c r="I501" s="222"/>
      <c r="J501" s="224" t="s">
        <v>708</v>
      </c>
      <c r="K501" s="225">
        <f>ROUND(Tableau16[[#This Row],[LEN]]*7.27,0)</f>
        <v>342</v>
      </c>
      <c r="L501" s="225">
        <v>15</v>
      </c>
      <c r="M501" s="226" t="str">
        <f t="shared" si="4"/>
        <v>none</v>
      </c>
      <c r="N501" s="225">
        <f>LEN(Tableau16[[#This Row],[LABEL]])</f>
        <v>47</v>
      </c>
      <c r="O501" s="225">
        <v>15</v>
      </c>
      <c r="P501" s="225" t="e">
        <f>ROUND(Tableau16[[#This Row],[LEN]]*#REF!+#REF!,0)</f>
        <v>#REF!</v>
      </c>
    </row>
    <row r="502" spans="1:16" s="97" customFormat="1" x14ac:dyDescent="0.25">
      <c r="A502" s="220" t="s">
        <v>1349</v>
      </c>
      <c r="B502" s="221" t="s">
        <v>263</v>
      </c>
      <c r="C502" s="222" t="s">
        <v>142</v>
      </c>
      <c r="D502" s="70" t="s">
        <v>1177</v>
      </c>
      <c r="E502" s="229" t="s">
        <v>669</v>
      </c>
      <c r="F502" s="215" t="s">
        <v>677</v>
      </c>
      <c r="G502" s="70" t="s">
        <v>166</v>
      </c>
      <c r="H502" s="223" t="s">
        <v>655</v>
      </c>
      <c r="I502" s="222"/>
      <c r="J502" s="224" t="s">
        <v>708</v>
      </c>
      <c r="K502" s="225">
        <f>ROUND(Tableau16[[#This Row],[LEN]]*7.27,0)</f>
        <v>109</v>
      </c>
      <c r="L502" s="225">
        <v>15</v>
      </c>
      <c r="M502" s="226" t="str">
        <f t="shared" si="4"/>
        <v>none</v>
      </c>
      <c r="N502" s="225">
        <f>LEN(Tableau16[[#This Row],[LABEL]])</f>
        <v>15</v>
      </c>
      <c r="O502" s="225">
        <v>15</v>
      </c>
      <c r="P502" s="225" t="e">
        <f>ROUND(Tableau16[[#This Row],[LEN]]*#REF!+#REF!,0)</f>
        <v>#REF!</v>
      </c>
    </row>
    <row r="503" spans="1:16" s="97" customFormat="1" x14ac:dyDescent="0.25">
      <c r="A503" s="220" t="s">
        <v>1350</v>
      </c>
      <c r="B503" s="221" t="s">
        <v>263</v>
      </c>
      <c r="C503" s="222" t="s">
        <v>1357</v>
      </c>
      <c r="D503" s="70" t="s">
        <v>1177</v>
      </c>
      <c r="E503" s="229" t="s">
        <v>673</v>
      </c>
      <c r="F503" s="215" t="s">
        <v>1249</v>
      </c>
      <c r="G503" s="70" t="s">
        <v>166</v>
      </c>
      <c r="H503" s="223" t="s">
        <v>655</v>
      </c>
      <c r="I503" s="222"/>
      <c r="J503" s="224" t="s">
        <v>708</v>
      </c>
      <c r="K503" s="225">
        <f>ROUND(Tableau16[[#This Row],[LEN]]*7.27,0)</f>
        <v>298</v>
      </c>
      <c r="L503" s="225">
        <v>15</v>
      </c>
      <c r="M503" s="226" t="str">
        <f t="shared" si="4"/>
        <v>none</v>
      </c>
      <c r="N503" s="225">
        <f>LEN(Tableau16[[#This Row],[LABEL]])</f>
        <v>41</v>
      </c>
      <c r="O503" s="225">
        <v>15</v>
      </c>
      <c r="P503" s="225" t="e">
        <f>ROUND(Tableau16[[#This Row],[LEN]]*#REF!+#REF!,0)</f>
        <v>#REF!</v>
      </c>
    </row>
    <row r="504" spans="1:16" s="97" customFormat="1" x14ac:dyDescent="0.25">
      <c r="A504" s="220" t="s">
        <v>1351</v>
      </c>
      <c r="B504" s="221" t="s">
        <v>263</v>
      </c>
      <c r="C504" s="222" t="s">
        <v>1343</v>
      </c>
      <c r="D504" s="70" t="s">
        <v>1177</v>
      </c>
      <c r="E504" s="229" t="s">
        <v>676</v>
      </c>
      <c r="F504" s="215" t="s">
        <v>677</v>
      </c>
      <c r="G504" s="70" t="s">
        <v>166</v>
      </c>
      <c r="H504" s="223" t="s">
        <v>654</v>
      </c>
      <c r="I504" s="222"/>
      <c r="J504" s="224" t="s">
        <v>708</v>
      </c>
      <c r="K504" s="225">
        <f>ROUND(Tableau16[[#This Row],[LEN]]*7.27,0)</f>
        <v>269</v>
      </c>
      <c r="L504" s="225">
        <v>15</v>
      </c>
      <c r="M504" s="226" t="str">
        <f t="shared" si="4"/>
        <v>none</v>
      </c>
      <c r="N504" s="225">
        <f>LEN(Tableau16[[#This Row],[LABEL]])</f>
        <v>37</v>
      </c>
      <c r="O504" s="225">
        <v>15</v>
      </c>
      <c r="P504" s="225" t="e">
        <f>ROUND(Tableau16[[#This Row],[LEN]]*#REF!+#REF!,0)</f>
        <v>#REF!</v>
      </c>
    </row>
    <row r="505" spans="1:16" s="97" customFormat="1" x14ac:dyDescent="0.25">
      <c r="A505" s="220" t="s">
        <v>1352</v>
      </c>
      <c r="B505" s="221" t="s">
        <v>263</v>
      </c>
      <c r="C505" s="222" t="s">
        <v>778</v>
      </c>
      <c r="D505" s="70" t="s">
        <v>1177</v>
      </c>
      <c r="E505" s="229" t="s">
        <v>673</v>
      </c>
      <c r="F505" s="27" t="s">
        <v>2000</v>
      </c>
      <c r="G505" s="70" t="s">
        <v>166</v>
      </c>
      <c r="H505" s="223" t="s">
        <v>17</v>
      </c>
      <c r="I505" s="222"/>
      <c r="J505" s="224" t="s">
        <v>708</v>
      </c>
      <c r="K505" s="225">
        <f>ROUND(Tableau16[[#This Row],[LEN]]*7.27,0)</f>
        <v>211</v>
      </c>
      <c r="L505" s="225">
        <v>15</v>
      </c>
      <c r="M505" s="226" t="str">
        <f t="shared" si="4"/>
        <v>none</v>
      </c>
      <c r="N505" s="225">
        <f>LEN(Tableau16[[#This Row],[LABEL]])</f>
        <v>29</v>
      </c>
      <c r="O505" s="225">
        <v>15</v>
      </c>
      <c r="P505" s="225" t="e">
        <f>ROUND(Tableau16[[#This Row],[LEN]]*#REF!+#REF!,0)</f>
        <v>#REF!</v>
      </c>
    </row>
    <row r="506" spans="1:16" s="97" customFormat="1" x14ac:dyDescent="0.25">
      <c r="A506" s="220" t="s">
        <v>1353</v>
      </c>
      <c r="B506" s="221" t="s">
        <v>263</v>
      </c>
      <c r="C506" s="222" t="s">
        <v>91</v>
      </c>
      <c r="D506" s="70" t="s">
        <v>1177</v>
      </c>
      <c r="E506" s="229" t="s">
        <v>663</v>
      </c>
      <c r="F506" s="215" t="s">
        <v>2080</v>
      </c>
      <c r="G506" s="70" t="s">
        <v>166</v>
      </c>
      <c r="H506" s="223" t="s">
        <v>655</v>
      </c>
      <c r="I506" s="222"/>
      <c r="J506" s="224" t="s">
        <v>708</v>
      </c>
      <c r="K506" s="225">
        <f>ROUND(Tableau16[[#This Row],[LEN]]*7.27,0)</f>
        <v>269</v>
      </c>
      <c r="L506" s="225">
        <v>15</v>
      </c>
      <c r="M506" s="226" t="str">
        <f t="shared" si="4"/>
        <v>none</v>
      </c>
      <c r="N506" s="225">
        <f>LEN(Tableau16[[#This Row],[LABEL]])</f>
        <v>37</v>
      </c>
      <c r="O506" s="225">
        <v>15</v>
      </c>
      <c r="P506" s="225" t="e">
        <f>ROUND(Tableau16[[#This Row],[LEN]]*#REF!+#REF!,0)</f>
        <v>#REF!</v>
      </c>
    </row>
    <row r="507" spans="1:16" s="97" customFormat="1" x14ac:dyDescent="0.25">
      <c r="A507" s="29" t="s">
        <v>1359</v>
      </c>
      <c r="B507" s="30" t="s">
        <v>1353</v>
      </c>
      <c r="C507" s="31" t="s">
        <v>98</v>
      </c>
      <c r="D507" s="71" t="s">
        <v>1177</v>
      </c>
      <c r="E507" s="31" t="s">
        <v>663</v>
      </c>
      <c r="F507" s="31" t="s">
        <v>1358</v>
      </c>
      <c r="G507" s="71" t="s">
        <v>166</v>
      </c>
      <c r="H507" s="71" t="s">
        <v>18</v>
      </c>
      <c r="I507" s="31"/>
      <c r="J507" s="32" t="s">
        <v>708</v>
      </c>
      <c r="K507" s="111">
        <f>ROUND(Tableau16[[#This Row],[LEN]]*7.27,0)</f>
        <v>109</v>
      </c>
      <c r="L507" s="111">
        <v>15</v>
      </c>
      <c r="M507" s="128" t="str">
        <f t="shared" si="4"/>
        <v>none</v>
      </c>
      <c r="N507" s="111">
        <f>LEN(Tableau16[[#This Row],[LABEL]])</f>
        <v>15</v>
      </c>
      <c r="O507" s="111">
        <v>15</v>
      </c>
      <c r="P507" s="111" t="e">
        <f>ROUND(Tableau16[[#This Row],[LEN]]*#REF!+#REF!,0)</f>
        <v>#REF!</v>
      </c>
    </row>
    <row r="508" spans="1:16" s="97" customFormat="1" x14ac:dyDescent="0.25">
      <c r="A508" s="29" t="s">
        <v>1360</v>
      </c>
      <c r="B508" s="30" t="s">
        <v>1353</v>
      </c>
      <c r="C508" s="31" t="s">
        <v>99</v>
      </c>
      <c r="D508" s="71" t="s">
        <v>1177</v>
      </c>
      <c r="E508" s="31" t="s">
        <v>663</v>
      </c>
      <c r="F508" s="31" t="s">
        <v>1358</v>
      </c>
      <c r="G508" s="71" t="s">
        <v>166</v>
      </c>
      <c r="H508" s="71" t="s">
        <v>18</v>
      </c>
      <c r="I508" s="31"/>
      <c r="J508" s="32" t="s">
        <v>708</v>
      </c>
      <c r="K508" s="111">
        <f>ROUND(Tableau16[[#This Row],[LEN]]*7.27,0)</f>
        <v>80</v>
      </c>
      <c r="L508" s="111">
        <v>15</v>
      </c>
      <c r="M508" s="128" t="str">
        <f t="shared" si="4"/>
        <v>none</v>
      </c>
      <c r="N508" s="111">
        <f>LEN(Tableau16[[#This Row],[LABEL]])</f>
        <v>11</v>
      </c>
      <c r="O508" s="111">
        <v>15</v>
      </c>
      <c r="P508" s="111" t="e">
        <f>ROUND(Tableau16[[#This Row],[LEN]]*#REF!+#REF!,0)</f>
        <v>#REF!</v>
      </c>
    </row>
    <row r="509" spans="1:16" s="97" customFormat="1" x14ac:dyDescent="0.25">
      <c r="A509" s="220" t="s">
        <v>1354</v>
      </c>
      <c r="B509" s="221" t="s">
        <v>263</v>
      </c>
      <c r="C509" s="222" t="s">
        <v>1167</v>
      </c>
      <c r="D509" s="70" t="s">
        <v>486</v>
      </c>
      <c r="E509" s="229" t="s">
        <v>1085</v>
      </c>
      <c r="F509" s="215" t="s">
        <v>1084</v>
      </c>
      <c r="G509" s="70" t="s">
        <v>1977</v>
      </c>
      <c r="H509" s="223" t="s">
        <v>1131</v>
      </c>
      <c r="I509" s="222"/>
      <c r="J509" s="224" t="s">
        <v>708</v>
      </c>
      <c r="K509" s="225">
        <f>ROUND(Tableau16[[#This Row],[LEN]]*7.27,0)</f>
        <v>196</v>
      </c>
      <c r="L509" s="225">
        <v>15</v>
      </c>
      <c r="M509" s="226" t="str">
        <f t="shared" si="4"/>
        <v>none</v>
      </c>
      <c r="N509" s="225">
        <f>LEN(Tableau16[[#This Row],[LABEL]])</f>
        <v>27</v>
      </c>
      <c r="O509" s="225">
        <v>15</v>
      </c>
      <c r="P509" s="225" t="e">
        <f>ROUND(Tableau16[[#This Row],[LEN]]*#REF!+#REF!,0)</f>
        <v>#REF!</v>
      </c>
    </row>
    <row r="510" spans="1:16" s="97" customFormat="1" x14ac:dyDescent="0.25">
      <c r="A510" s="29" t="s">
        <v>1361</v>
      </c>
      <c r="B510" s="30" t="s">
        <v>1354</v>
      </c>
      <c r="C510" s="31" t="s">
        <v>93</v>
      </c>
      <c r="D510" s="71" t="s">
        <v>1177</v>
      </c>
      <c r="E510" s="31" t="s">
        <v>1085</v>
      </c>
      <c r="F510" s="31" t="s">
        <v>1084</v>
      </c>
      <c r="G510" s="71" t="s">
        <v>166</v>
      </c>
      <c r="H510" s="71" t="s">
        <v>18</v>
      </c>
      <c r="I510" s="31"/>
      <c r="J510" s="32" t="s">
        <v>101</v>
      </c>
      <c r="K510" s="111">
        <f>ROUND(Tableau16[[#This Row],[LEN]]*7.27,0)</f>
        <v>109</v>
      </c>
      <c r="L510" s="111">
        <v>15</v>
      </c>
      <c r="M510" s="128" t="str">
        <f t="shared" si="4"/>
        <v>new</v>
      </c>
      <c r="N510" s="111">
        <f>LEN(Tableau16[[#This Row],[LABEL]])</f>
        <v>15</v>
      </c>
      <c r="O510" s="111">
        <v>15</v>
      </c>
      <c r="P510" s="111" t="e">
        <f>ROUND(Tableau16[[#This Row],[LEN]]*#REF!+#REF!,0)</f>
        <v>#REF!</v>
      </c>
    </row>
    <row r="511" spans="1:16" s="97" customFormat="1" x14ac:dyDescent="0.25">
      <c r="A511" s="29" t="s">
        <v>1362</v>
      </c>
      <c r="B511" s="30" t="s">
        <v>1354</v>
      </c>
      <c r="C511" s="31" t="s">
        <v>94</v>
      </c>
      <c r="D511" s="71" t="s">
        <v>1177</v>
      </c>
      <c r="E511" s="31" t="s">
        <v>1085</v>
      </c>
      <c r="F511" s="31" t="s">
        <v>1084</v>
      </c>
      <c r="G511" s="71" t="s">
        <v>166</v>
      </c>
      <c r="H511" s="71" t="s">
        <v>18</v>
      </c>
      <c r="I511" s="31"/>
      <c r="J511" s="32" t="s">
        <v>102</v>
      </c>
      <c r="K511" s="111">
        <f>ROUND(Tableau16[[#This Row],[LEN]]*7.27,0)</f>
        <v>58</v>
      </c>
      <c r="L511" s="111">
        <v>15</v>
      </c>
      <c r="M511" s="128" t="str">
        <f t="shared" si="4"/>
        <v>new</v>
      </c>
      <c r="N511" s="111">
        <f>LEN(Tableau16[[#This Row],[LABEL]])</f>
        <v>8</v>
      </c>
      <c r="O511" s="111">
        <v>15</v>
      </c>
      <c r="P511" s="111" t="e">
        <f>ROUND(Tableau16[[#This Row],[LEN]]*#REF!+#REF!,0)</f>
        <v>#REF!</v>
      </c>
    </row>
    <row r="512" spans="1:16" s="273" customFormat="1" x14ac:dyDescent="0.25">
      <c r="A512" s="288" t="s">
        <v>264</v>
      </c>
      <c r="B512" s="289" t="s">
        <v>206</v>
      </c>
      <c r="C512" s="290" t="s">
        <v>14</v>
      </c>
      <c r="D512" s="291" t="s">
        <v>1177</v>
      </c>
      <c r="E512" s="290" t="s">
        <v>678</v>
      </c>
      <c r="F512" s="290" t="s">
        <v>1177</v>
      </c>
      <c r="G512" s="291" t="s">
        <v>166</v>
      </c>
      <c r="H512" s="291" t="str">
        <f>IFERROR(IF(SEARCH(".00.00.00.00.00",Tableau16[[#This Row],[name]],1)=7,"Division",""),"")</f>
        <v>Division</v>
      </c>
      <c r="I512" s="290"/>
      <c r="J512" s="292" t="s">
        <v>724</v>
      </c>
      <c r="K512" s="293">
        <f>ROUND(Tableau16[[#This Row],[LEN]]*7.27,0)</f>
        <v>240</v>
      </c>
      <c r="L512" s="293">
        <v>15</v>
      </c>
      <c r="M512" s="294" t="str">
        <f t="shared" si="4"/>
        <v>new</v>
      </c>
      <c r="N512" s="293">
        <f>LEN(Tableau16[[#This Row],[LABEL]])</f>
        <v>33</v>
      </c>
      <c r="O512" s="293">
        <v>15</v>
      </c>
      <c r="P512" s="293" t="e">
        <f>ROUND(Tableau16[[#This Row],[LEN]]*#REF!+#REF!,0)</f>
        <v>#REF!</v>
      </c>
    </row>
    <row r="513" spans="1:16" s="97" customFormat="1" x14ac:dyDescent="0.25">
      <c r="A513" s="220" t="s">
        <v>1373</v>
      </c>
      <c r="B513" s="221" t="s">
        <v>264</v>
      </c>
      <c r="C513" s="222" t="s">
        <v>1168</v>
      </c>
      <c r="D513" s="70" t="s">
        <v>1177</v>
      </c>
      <c r="E513" s="229" t="s">
        <v>668</v>
      </c>
      <c r="F513" s="215" t="s">
        <v>1178</v>
      </c>
      <c r="G513" s="70" t="s">
        <v>166</v>
      </c>
      <c r="H513" s="223" t="s">
        <v>654</v>
      </c>
      <c r="I513" s="222"/>
      <c r="J513" s="224" t="s">
        <v>708</v>
      </c>
      <c r="K513" s="225">
        <f>ROUND(Tableau16[[#This Row],[LEN]]*7.27,0)</f>
        <v>262</v>
      </c>
      <c r="L513" s="225">
        <v>15</v>
      </c>
      <c r="M513" s="226" t="str">
        <f t="shared" si="4"/>
        <v>none</v>
      </c>
      <c r="N513" s="225">
        <f>LEN(Tableau16[[#This Row],[LABEL]])</f>
        <v>36</v>
      </c>
      <c r="O513" s="225">
        <v>15</v>
      </c>
      <c r="P513" s="225" t="e">
        <f>ROUND(Tableau16[[#This Row],[LEN]]*#REF!+#REF!,0)</f>
        <v>#REF!</v>
      </c>
    </row>
    <row r="514" spans="1:16" s="97" customFormat="1" x14ac:dyDescent="0.25">
      <c r="A514" s="220" t="s">
        <v>1374</v>
      </c>
      <c r="B514" s="221" t="s">
        <v>264</v>
      </c>
      <c r="C514" s="222" t="s">
        <v>1337</v>
      </c>
      <c r="D514" s="70" t="s">
        <v>1338</v>
      </c>
      <c r="E514" s="229" t="s">
        <v>676</v>
      </c>
      <c r="F514" s="215" t="s">
        <v>1339</v>
      </c>
      <c r="G514" s="70" t="s">
        <v>166</v>
      </c>
      <c r="H514" s="223" t="s">
        <v>656</v>
      </c>
      <c r="I514" s="222"/>
      <c r="J514" s="224" t="s">
        <v>708</v>
      </c>
      <c r="K514" s="225">
        <f>ROUND(Tableau16[[#This Row],[LEN]]*7.27,0)</f>
        <v>378</v>
      </c>
      <c r="L514" s="225">
        <v>15</v>
      </c>
      <c r="M514" s="226" t="str">
        <f t="shared" si="4"/>
        <v>none</v>
      </c>
      <c r="N514" s="225">
        <f>LEN(Tableau16[[#This Row],[LABEL]])</f>
        <v>52</v>
      </c>
      <c r="O514" s="225">
        <v>15</v>
      </c>
      <c r="P514" s="225" t="e">
        <f>ROUND(Tableau16[[#This Row],[LEN]]*#REF!+#REF!,0)</f>
        <v>#REF!</v>
      </c>
    </row>
    <row r="515" spans="1:16" s="97" customFormat="1" x14ac:dyDescent="0.25">
      <c r="A515" s="220" t="s">
        <v>1375</v>
      </c>
      <c r="B515" s="221" t="s">
        <v>264</v>
      </c>
      <c r="C515" s="222" t="s">
        <v>138</v>
      </c>
      <c r="D515" s="70" t="s">
        <v>1177</v>
      </c>
      <c r="E515" s="229" t="s">
        <v>669</v>
      </c>
      <c r="F515" s="215" t="s">
        <v>678</v>
      </c>
      <c r="G515" s="70" t="s">
        <v>166</v>
      </c>
      <c r="H515" s="223" t="s">
        <v>655</v>
      </c>
      <c r="I515" s="222"/>
      <c r="J515" s="224" t="s">
        <v>708</v>
      </c>
      <c r="K515" s="225">
        <f>ROUND(Tableau16[[#This Row],[LEN]]*7.27,0)</f>
        <v>225</v>
      </c>
      <c r="L515" s="225">
        <v>15</v>
      </c>
      <c r="M515" s="226" t="str">
        <f t="shared" si="4"/>
        <v>none</v>
      </c>
      <c r="N515" s="225">
        <f>LEN(Tableau16[[#This Row],[LABEL]])</f>
        <v>31</v>
      </c>
      <c r="O515" s="225">
        <v>15</v>
      </c>
      <c r="P515" s="225" t="e">
        <f>ROUND(Tableau16[[#This Row],[LEN]]*#REF!+#REF!,0)</f>
        <v>#REF!</v>
      </c>
    </row>
    <row r="516" spans="1:16" s="97" customFormat="1" x14ac:dyDescent="0.25">
      <c r="A516" s="29" t="s">
        <v>1392</v>
      </c>
      <c r="B516" s="30" t="s">
        <v>1375</v>
      </c>
      <c r="C516" s="31" t="s">
        <v>139</v>
      </c>
      <c r="D516" s="71" t="s">
        <v>1177</v>
      </c>
      <c r="E516" s="31" t="s">
        <v>669</v>
      </c>
      <c r="F516" s="31" t="s">
        <v>678</v>
      </c>
      <c r="G516" s="71" t="s">
        <v>166</v>
      </c>
      <c r="H516" s="71" t="s">
        <v>654</v>
      </c>
      <c r="I516" s="31"/>
      <c r="J516" s="32" t="s">
        <v>708</v>
      </c>
      <c r="K516" s="111">
        <f>ROUND(Tableau16[[#This Row],[LEN]]*7.27,0)</f>
        <v>327</v>
      </c>
      <c r="L516" s="111">
        <v>15</v>
      </c>
      <c r="M516" s="128" t="str">
        <f t="shared" si="4"/>
        <v>none</v>
      </c>
      <c r="N516" s="111">
        <f>LEN(Tableau16[[#This Row],[LABEL]])</f>
        <v>45</v>
      </c>
      <c r="O516" s="111">
        <v>15</v>
      </c>
      <c r="P516" s="111" t="e">
        <f>ROUND(Tableau16[[#This Row],[LEN]]*#REF!+#REF!,0)</f>
        <v>#REF!</v>
      </c>
    </row>
    <row r="517" spans="1:16" s="97" customFormat="1" x14ac:dyDescent="0.25">
      <c r="A517" s="29" t="s">
        <v>1393</v>
      </c>
      <c r="B517" s="30" t="s">
        <v>1375</v>
      </c>
      <c r="C517" s="31" t="s">
        <v>140</v>
      </c>
      <c r="D517" s="71" t="s">
        <v>1177</v>
      </c>
      <c r="E517" s="31" t="s">
        <v>669</v>
      </c>
      <c r="F517" s="31" t="s">
        <v>678</v>
      </c>
      <c r="G517" s="71" t="s">
        <v>166</v>
      </c>
      <c r="H517" s="71" t="s">
        <v>654</v>
      </c>
      <c r="I517" s="31"/>
      <c r="J517" s="32" t="s">
        <v>708</v>
      </c>
      <c r="K517" s="111">
        <f>ROUND(Tableau16[[#This Row],[LEN]]*7.27,0)</f>
        <v>385</v>
      </c>
      <c r="L517" s="111">
        <v>15</v>
      </c>
      <c r="M517" s="128" t="str">
        <f t="shared" si="4"/>
        <v>none</v>
      </c>
      <c r="N517" s="111">
        <f>LEN(Tableau16[[#This Row],[LABEL]])</f>
        <v>53</v>
      </c>
      <c r="O517" s="111">
        <v>15</v>
      </c>
      <c r="P517" s="111" t="e">
        <f>ROUND(Tableau16[[#This Row],[LEN]]*#REF!+#REF!,0)</f>
        <v>#REF!</v>
      </c>
    </row>
    <row r="518" spans="1:16" s="97" customFormat="1" x14ac:dyDescent="0.25">
      <c r="A518" s="29" t="s">
        <v>1394</v>
      </c>
      <c r="B518" s="30" t="s">
        <v>1375</v>
      </c>
      <c r="C518" s="31" t="s">
        <v>141</v>
      </c>
      <c r="D518" s="71" t="s">
        <v>1177</v>
      </c>
      <c r="E518" s="31" t="s">
        <v>669</v>
      </c>
      <c r="F518" s="31" t="s">
        <v>678</v>
      </c>
      <c r="G518" s="71" t="s">
        <v>166</v>
      </c>
      <c r="H518" s="71" t="s">
        <v>17</v>
      </c>
      <c r="I518" s="31"/>
      <c r="J518" s="32" t="s">
        <v>708</v>
      </c>
      <c r="K518" s="111">
        <f>ROUND(Tableau16[[#This Row],[LEN]]*7.27,0)</f>
        <v>313</v>
      </c>
      <c r="L518" s="111">
        <v>15</v>
      </c>
      <c r="M518" s="128" t="str">
        <f t="shared" si="4"/>
        <v>none</v>
      </c>
      <c r="N518" s="111">
        <f>LEN(Tableau16[[#This Row],[LABEL]])</f>
        <v>43</v>
      </c>
      <c r="O518" s="111">
        <v>15</v>
      </c>
      <c r="P518" s="111" t="e">
        <f>ROUND(Tableau16[[#This Row],[LEN]]*#REF!+#REF!,0)</f>
        <v>#REF!</v>
      </c>
    </row>
    <row r="519" spans="1:16" s="97" customFormat="1" x14ac:dyDescent="0.25">
      <c r="A519" s="220" t="s">
        <v>1376</v>
      </c>
      <c r="B519" s="221" t="s">
        <v>264</v>
      </c>
      <c r="C519" s="222" t="s">
        <v>483</v>
      </c>
      <c r="D519" s="70" t="s">
        <v>1177</v>
      </c>
      <c r="E519" s="229" t="s">
        <v>672</v>
      </c>
      <c r="F519" s="215" t="s">
        <v>678</v>
      </c>
      <c r="G519" s="70" t="s">
        <v>166</v>
      </c>
      <c r="H519" s="223" t="s">
        <v>655</v>
      </c>
      <c r="I519" s="222"/>
      <c r="J519" s="224" t="s">
        <v>708</v>
      </c>
      <c r="K519" s="225">
        <f>ROUND(Tableau16[[#This Row],[LEN]]*7.27,0)</f>
        <v>247</v>
      </c>
      <c r="L519" s="225">
        <v>15</v>
      </c>
      <c r="M519" s="226" t="str">
        <f t="shared" si="4"/>
        <v>none</v>
      </c>
      <c r="N519" s="225">
        <f>LEN(Tableau16[[#This Row],[LABEL]])</f>
        <v>34</v>
      </c>
      <c r="O519" s="225">
        <v>15</v>
      </c>
      <c r="P519" s="225" t="e">
        <f>ROUND(Tableau16[[#This Row],[LEN]]*#REF!+#REF!,0)</f>
        <v>#REF!</v>
      </c>
    </row>
    <row r="520" spans="1:16" s="97" customFormat="1" x14ac:dyDescent="0.25">
      <c r="A520" s="29" t="s">
        <v>1396</v>
      </c>
      <c r="B520" s="30" t="s">
        <v>1376</v>
      </c>
      <c r="C520" s="31" t="s">
        <v>498</v>
      </c>
      <c r="D520" s="71" t="s">
        <v>1177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111">
        <f>ROUND(Tableau16[[#This Row],[LEN]]*7.27,0)</f>
        <v>349</v>
      </c>
      <c r="L520" s="111">
        <v>15</v>
      </c>
      <c r="M520" s="128" t="str">
        <f t="shared" si="4"/>
        <v>none</v>
      </c>
      <c r="N520" s="111">
        <f>LEN(Tableau16[[#This Row],[LABEL]])</f>
        <v>48</v>
      </c>
      <c r="O520" s="111">
        <v>15</v>
      </c>
      <c r="P520" s="111" t="e">
        <f>ROUND(Tableau16[[#This Row],[LEN]]*#REF!+#REF!,0)</f>
        <v>#REF!</v>
      </c>
    </row>
    <row r="521" spans="1:16" s="97" customFormat="1" x14ac:dyDescent="0.25">
      <c r="A521" s="29" t="s">
        <v>1397</v>
      </c>
      <c r="B521" s="30" t="s">
        <v>1376</v>
      </c>
      <c r="C521" s="31" t="s">
        <v>499</v>
      </c>
      <c r="D521" s="71" t="s">
        <v>1177</v>
      </c>
      <c r="E521" s="31" t="s">
        <v>672</v>
      </c>
      <c r="F521" s="31" t="s">
        <v>678</v>
      </c>
      <c r="G521" s="71" t="s">
        <v>166</v>
      </c>
      <c r="H521" s="71" t="s">
        <v>570</v>
      </c>
      <c r="I521" s="31"/>
      <c r="J521" s="32" t="s">
        <v>708</v>
      </c>
      <c r="K521" s="111">
        <f>ROUND(Tableau16[[#This Row],[LEN]]*7.27,0)</f>
        <v>225</v>
      </c>
      <c r="L521" s="111">
        <v>15</v>
      </c>
      <c r="M521" s="128" t="str">
        <f t="shared" si="4"/>
        <v>none</v>
      </c>
      <c r="N521" s="111">
        <f>LEN(Tableau16[[#This Row],[LABEL]])</f>
        <v>31</v>
      </c>
      <c r="O521" s="111">
        <v>15</v>
      </c>
      <c r="P521" s="111" t="e">
        <f>ROUND(Tableau16[[#This Row],[LEN]]*#REF!+#REF!,0)</f>
        <v>#REF!</v>
      </c>
    </row>
    <row r="522" spans="1:16" s="97" customFormat="1" x14ac:dyDescent="0.25">
      <c r="A522" s="29" t="s">
        <v>1398</v>
      </c>
      <c r="B522" s="30" t="s">
        <v>1376</v>
      </c>
      <c r="C522" s="31" t="s">
        <v>500</v>
      </c>
      <c r="D522" s="71" t="s">
        <v>1177</v>
      </c>
      <c r="E522" s="31" t="s">
        <v>672</v>
      </c>
      <c r="F522" s="31" t="s">
        <v>678</v>
      </c>
      <c r="G522" s="71" t="s">
        <v>166</v>
      </c>
      <c r="H522" s="71" t="s">
        <v>656</v>
      </c>
      <c r="I522" s="31"/>
      <c r="J522" s="32" t="s">
        <v>708</v>
      </c>
      <c r="K522" s="111">
        <f>ROUND(Tableau16[[#This Row],[LEN]]*7.27,0)</f>
        <v>254</v>
      </c>
      <c r="L522" s="111">
        <v>15</v>
      </c>
      <c r="M522" s="128" t="str">
        <f t="shared" si="4"/>
        <v>none</v>
      </c>
      <c r="N522" s="111">
        <f>LEN(Tableau16[[#This Row],[LABEL]])</f>
        <v>35</v>
      </c>
      <c r="O522" s="111">
        <v>15</v>
      </c>
      <c r="P522" s="111" t="e">
        <f>ROUND(Tableau16[[#This Row],[LEN]]*#REF!+#REF!,0)</f>
        <v>#REF!</v>
      </c>
    </row>
    <row r="523" spans="1:16" s="97" customFormat="1" x14ac:dyDescent="0.25">
      <c r="A523" s="29" t="s">
        <v>1399</v>
      </c>
      <c r="B523" s="30" t="s">
        <v>1376</v>
      </c>
      <c r="C523" s="31" t="s">
        <v>501</v>
      </c>
      <c r="D523" s="71" t="s">
        <v>1177</v>
      </c>
      <c r="E523" s="31" t="s">
        <v>672</v>
      </c>
      <c r="F523" s="31" t="s">
        <v>678</v>
      </c>
      <c r="G523" s="71" t="s">
        <v>166</v>
      </c>
      <c r="H523" s="71" t="s">
        <v>656</v>
      </c>
      <c r="I523" s="31"/>
      <c r="J523" s="32" t="s">
        <v>708</v>
      </c>
      <c r="K523" s="111">
        <f>ROUND(Tableau16[[#This Row],[LEN]]*7.27,0)</f>
        <v>313</v>
      </c>
      <c r="L523" s="111">
        <v>15</v>
      </c>
      <c r="M523" s="128" t="str">
        <f t="shared" si="4"/>
        <v>none</v>
      </c>
      <c r="N523" s="111">
        <f>LEN(Tableau16[[#This Row],[LABEL]])</f>
        <v>43</v>
      </c>
      <c r="O523" s="111">
        <v>15</v>
      </c>
      <c r="P523" s="111" t="e">
        <f>ROUND(Tableau16[[#This Row],[LEN]]*#REF!+#REF!,0)</f>
        <v>#REF!</v>
      </c>
    </row>
    <row r="524" spans="1:16" s="97" customFormat="1" x14ac:dyDescent="0.25">
      <c r="A524" s="29" t="s">
        <v>1400</v>
      </c>
      <c r="B524" s="30" t="s">
        <v>1376</v>
      </c>
      <c r="C524" s="31" t="s">
        <v>502</v>
      </c>
      <c r="D524" s="71" t="s">
        <v>1177</v>
      </c>
      <c r="E524" s="31" t="s">
        <v>672</v>
      </c>
      <c r="F524" s="31" t="s">
        <v>678</v>
      </c>
      <c r="G524" s="71" t="s">
        <v>166</v>
      </c>
      <c r="H524" s="71" t="s">
        <v>654</v>
      </c>
      <c r="I524" s="31"/>
      <c r="J524" s="32" t="s">
        <v>708</v>
      </c>
      <c r="K524" s="111">
        <f>ROUND(Tableau16[[#This Row],[LEN]]*7.27,0)</f>
        <v>247</v>
      </c>
      <c r="L524" s="111">
        <v>15</v>
      </c>
      <c r="M524" s="128" t="str">
        <f t="shared" si="4"/>
        <v>none</v>
      </c>
      <c r="N524" s="111">
        <f>LEN(Tableau16[[#This Row],[LABEL]])</f>
        <v>34</v>
      </c>
      <c r="O524" s="111">
        <v>15</v>
      </c>
      <c r="P524" s="111" t="e">
        <f>ROUND(Tableau16[[#This Row],[LEN]]*#REF!+#REF!,0)</f>
        <v>#REF!</v>
      </c>
    </row>
    <row r="525" spans="1:16" s="97" customFormat="1" x14ac:dyDescent="0.25">
      <c r="A525" s="29" t="s">
        <v>1401</v>
      </c>
      <c r="B525" s="30" t="s">
        <v>1376</v>
      </c>
      <c r="C525" s="31" t="s">
        <v>503</v>
      </c>
      <c r="D525" s="71" t="s">
        <v>1177</v>
      </c>
      <c r="E525" s="31" t="s">
        <v>672</v>
      </c>
      <c r="F525" s="31" t="s">
        <v>678</v>
      </c>
      <c r="G525" s="71" t="s">
        <v>166</v>
      </c>
      <c r="H525" s="71" t="s">
        <v>656</v>
      </c>
      <c r="I525" s="31"/>
      <c r="J525" s="32" t="s">
        <v>708</v>
      </c>
      <c r="K525" s="111">
        <f>ROUND(Tableau16[[#This Row],[LEN]]*7.27,0)</f>
        <v>371</v>
      </c>
      <c r="L525" s="111">
        <v>15</v>
      </c>
      <c r="M525" s="128" t="str">
        <f t="shared" si="4"/>
        <v>none</v>
      </c>
      <c r="N525" s="111">
        <f>LEN(Tableau16[[#This Row],[LABEL]])</f>
        <v>51</v>
      </c>
      <c r="O525" s="111">
        <v>15</v>
      </c>
      <c r="P525" s="111" t="e">
        <f>ROUND(Tableau16[[#This Row],[LEN]]*#REF!+#REF!,0)</f>
        <v>#REF!</v>
      </c>
    </row>
    <row r="526" spans="1:16" s="97" customFormat="1" x14ac:dyDescent="0.25">
      <c r="A526" s="220" t="s">
        <v>1377</v>
      </c>
      <c r="B526" s="221" t="s">
        <v>264</v>
      </c>
      <c r="C526" s="222" t="s">
        <v>88</v>
      </c>
      <c r="D526" s="70" t="s">
        <v>1177</v>
      </c>
      <c r="E526" s="229" t="s">
        <v>667</v>
      </c>
      <c r="F526" s="215" t="s">
        <v>1218</v>
      </c>
      <c r="G526" s="70" t="s">
        <v>166</v>
      </c>
      <c r="H526" s="223" t="s">
        <v>570</v>
      </c>
      <c r="I526" s="222"/>
      <c r="J526" s="224" t="s">
        <v>708</v>
      </c>
      <c r="K526" s="225">
        <f>ROUND(Tableau16[[#This Row],[LEN]]*7.27,0)</f>
        <v>342</v>
      </c>
      <c r="L526" s="225">
        <v>15</v>
      </c>
      <c r="M526" s="226" t="str">
        <f t="shared" si="4"/>
        <v>none</v>
      </c>
      <c r="N526" s="225">
        <f>LEN(Tableau16[[#This Row],[LABEL]])</f>
        <v>47</v>
      </c>
      <c r="O526" s="225">
        <v>15</v>
      </c>
      <c r="P526" s="225" t="e">
        <f>ROUND(Tableau16[[#This Row],[LEN]]*#REF!+#REF!,0)</f>
        <v>#REF!</v>
      </c>
    </row>
    <row r="527" spans="1:16" s="97" customFormat="1" x14ac:dyDescent="0.25">
      <c r="A527" s="220" t="s">
        <v>1378</v>
      </c>
      <c r="B527" s="221" t="s">
        <v>264</v>
      </c>
      <c r="C527" s="222" t="s">
        <v>484</v>
      </c>
      <c r="D527" s="70" t="s">
        <v>1177</v>
      </c>
      <c r="E527" s="229" t="s">
        <v>672</v>
      </c>
      <c r="F527" s="215" t="s">
        <v>1285</v>
      </c>
      <c r="G527" s="70" t="s">
        <v>166</v>
      </c>
      <c r="H527" s="223" t="s">
        <v>655</v>
      </c>
      <c r="I527" s="222"/>
      <c r="J527" s="224" t="s">
        <v>727</v>
      </c>
      <c r="K527" s="225">
        <f>ROUND(Tableau16[[#This Row],[LEN]]*7.27,0)</f>
        <v>80</v>
      </c>
      <c r="L527" s="225">
        <v>15</v>
      </c>
      <c r="M527" s="226" t="str">
        <f t="shared" si="4"/>
        <v>new</v>
      </c>
      <c r="N527" s="225">
        <f>LEN(Tableau16[[#This Row],[LABEL]])</f>
        <v>11</v>
      </c>
      <c r="O527" s="225">
        <v>15</v>
      </c>
      <c r="P527" s="225" t="e">
        <f>ROUND(Tableau16[[#This Row],[LEN]]*#REF!+#REF!,0)</f>
        <v>#REF!</v>
      </c>
    </row>
    <row r="528" spans="1:16" s="97" customFormat="1" x14ac:dyDescent="0.25">
      <c r="A528" s="29" t="s">
        <v>1402</v>
      </c>
      <c r="B528" s="30" t="s">
        <v>1378</v>
      </c>
      <c r="C528" s="31" t="s">
        <v>505</v>
      </c>
      <c r="D528" s="71" t="s">
        <v>1177</v>
      </c>
      <c r="E528" s="31" t="s">
        <v>672</v>
      </c>
      <c r="F528" s="31" t="s">
        <v>1285</v>
      </c>
      <c r="G528" s="71" t="s">
        <v>166</v>
      </c>
      <c r="H528" s="71" t="s">
        <v>18</v>
      </c>
      <c r="I528" s="31"/>
      <c r="J528" s="32" t="s">
        <v>705</v>
      </c>
      <c r="K528" s="111">
        <f>ROUND(Tableau16[[#This Row],[LEN]]*7.27,0)</f>
        <v>73</v>
      </c>
      <c r="L528" s="111">
        <v>15</v>
      </c>
      <c r="M528" s="128" t="str">
        <f t="shared" si="4"/>
        <v>new</v>
      </c>
      <c r="N528" s="111">
        <f>LEN(Tableau16[[#This Row],[LABEL]])</f>
        <v>10</v>
      </c>
      <c r="O528" s="111">
        <v>15</v>
      </c>
      <c r="P528" s="111" t="e">
        <f>ROUND(Tableau16[[#This Row],[LEN]]*#REF!+#REF!,0)</f>
        <v>#REF!</v>
      </c>
    </row>
    <row r="529" spans="1:16" s="97" customFormat="1" x14ac:dyDescent="0.25">
      <c r="A529" s="29" t="s">
        <v>1403</v>
      </c>
      <c r="B529" s="30" t="s">
        <v>1378</v>
      </c>
      <c r="C529" s="31" t="s">
        <v>1284</v>
      </c>
      <c r="D529" s="71" t="s">
        <v>1177</v>
      </c>
      <c r="E529" s="31" t="s">
        <v>672</v>
      </c>
      <c r="F529" s="31" t="s">
        <v>1285</v>
      </c>
      <c r="G529" s="71" t="s">
        <v>166</v>
      </c>
      <c r="H529" s="71" t="s">
        <v>18</v>
      </c>
      <c r="I529" s="31"/>
      <c r="J529" s="32" t="s">
        <v>705</v>
      </c>
      <c r="K529" s="111">
        <f>ROUND(Tableau16[[#This Row],[LEN]]*7.27,0)</f>
        <v>153</v>
      </c>
      <c r="L529" s="111">
        <v>15</v>
      </c>
      <c r="M529" s="128" t="str">
        <f t="shared" si="4"/>
        <v>new</v>
      </c>
      <c r="N529" s="111">
        <f>LEN(Tableau16[[#This Row],[LABEL]])</f>
        <v>21</v>
      </c>
      <c r="O529" s="111">
        <v>15</v>
      </c>
      <c r="P529" s="111" t="e">
        <f>ROUND(Tableau16[[#This Row],[LEN]]*#REF!+#REF!,0)</f>
        <v>#REF!</v>
      </c>
    </row>
    <row r="530" spans="1:16" s="97" customFormat="1" x14ac:dyDescent="0.25">
      <c r="A530" s="220" t="s">
        <v>1379</v>
      </c>
      <c r="B530" s="221" t="s">
        <v>264</v>
      </c>
      <c r="C530" s="222" t="s">
        <v>1357</v>
      </c>
      <c r="D530" s="70" t="s">
        <v>1177</v>
      </c>
      <c r="E530" s="229" t="s">
        <v>673</v>
      </c>
      <c r="F530" s="215" t="s">
        <v>1249</v>
      </c>
      <c r="G530" s="70" t="s">
        <v>166</v>
      </c>
      <c r="H530" s="223" t="s">
        <v>655</v>
      </c>
      <c r="I530" s="222"/>
      <c r="J530" s="224" t="s">
        <v>708</v>
      </c>
      <c r="K530" s="225">
        <f>ROUND(Tableau16[[#This Row],[LEN]]*7.27,0)</f>
        <v>298</v>
      </c>
      <c r="L530" s="225">
        <v>15</v>
      </c>
      <c r="M530" s="226" t="str">
        <f t="shared" si="4"/>
        <v>none</v>
      </c>
      <c r="N530" s="225">
        <f>LEN(Tableau16[[#This Row],[LABEL]])</f>
        <v>41</v>
      </c>
      <c r="O530" s="225">
        <v>15</v>
      </c>
      <c r="P530" s="225" t="e">
        <f>ROUND(Tableau16[[#This Row],[LEN]]*#REF!+#REF!,0)</f>
        <v>#REF!</v>
      </c>
    </row>
    <row r="531" spans="1:16" s="97" customFormat="1" x14ac:dyDescent="0.25">
      <c r="A531" s="220" t="s">
        <v>1380</v>
      </c>
      <c r="B531" s="221" t="s">
        <v>264</v>
      </c>
      <c r="C531" s="222" t="s">
        <v>1404</v>
      </c>
      <c r="D531" s="70" t="s">
        <v>1177</v>
      </c>
      <c r="E531" s="229" t="s">
        <v>678</v>
      </c>
      <c r="F531" s="215" t="s">
        <v>1177</v>
      </c>
      <c r="G531" s="70" t="s">
        <v>166</v>
      </c>
      <c r="H531" s="223" t="s">
        <v>656</v>
      </c>
      <c r="I531" s="222"/>
      <c r="J531" s="224" t="s">
        <v>708</v>
      </c>
      <c r="K531" s="225">
        <f>ROUND(Tableau16[[#This Row],[LEN]]*7.27,0)</f>
        <v>371</v>
      </c>
      <c r="L531" s="225">
        <v>15</v>
      </c>
      <c r="M531" s="226" t="str">
        <f t="shared" si="4"/>
        <v>none</v>
      </c>
      <c r="N531" s="225">
        <f>LEN(Tableau16[[#This Row],[LABEL]])</f>
        <v>51</v>
      </c>
      <c r="O531" s="225">
        <v>15</v>
      </c>
      <c r="P531" s="225" t="e">
        <f>ROUND(Tableau16[[#This Row],[LEN]]*#REF!+#REF!,0)</f>
        <v>#REF!</v>
      </c>
    </row>
    <row r="532" spans="1:16" s="97" customFormat="1" x14ac:dyDescent="0.25">
      <c r="A532" s="220" t="s">
        <v>1381</v>
      </c>
      <c r="B532" s="221" t="s">
        <v>264</v>
      </c>
      <c r="C532" s="222" t="s">
        <v>1310</v>
      </c>
      <c r="D532" s="70" t="s">
        <v>1177</v>
      </c>
      <c r="E532" s="229" t="s">
        <v>675</v>
      </c>
      <c r="F532" s="215" t="s">
        <v>678</v>
      </c>
      <c r="G532" s="70" t="s">
        <v>166</v>
      </c>
      <c r="H532" s="223" t="s">
        <v>655</v>
      </c>
      <c r="I532" s="222"/>
      <c r="J532" s="224" t="s">
        <v>708</v>
      </c>
      <c r="K532" s="225">
        <f>ROUND(Tableau16[[#This Row],[LEN]]*7.27,0)</f>
        <v>233</v>
      </c>
      <c r="L532" s="225">
        <v>15</v>
      </c>
      <c r="M532" s="226" t="str">
        <f t="shared" si="4"/>
        <v>none</v>
      </c>
      <c r="N532" s="225">
        <f>LEN(Tableau16[[#This Row],[LABEL]])</f>
        <v>32</v>
      </c>
      <c r="O532" s="225">
        <v>15</v>
      </c>
      <c r="P532" s="225" t="e">
        <f>ROUND(Tableau16[[#This Row],[LEN]]*#REF!+#REF!,0)</f>
        <v>#REF!</v>
      </c>
    </row>
    <row r="533" spans="1:16" s="97" customFormat="1" x14ac:dyDescent="0.25">
      <c r="A533" s="220" t="s">
        <v>1382</v>
      </c>
      <c r="B533" s="221" t="s">
        <v>264</v>
      </c>
      <c r="C533" s="222" t="s">
        <v>1405</v>
      </c>
      <c r="D533" s="70" t="s">
        <v>1177</v>
      </c>
      <c r="E533" s="229" t="s">
        <v>675</v>
      </c>
      <c r="F533" s="215" t="s">
        <v>678</v>
      </c>
      <c r="G533" s="70" t="s">
        <v>166</v>
      </c>
      <c r="H533" s="223" t="s">
        <v>656</v>
      </c>
      <c r="I533" s="222"/>
      <c r="J533" s="224" t="s">
        <v>708</v>
      </c>
      <c r="K533" s="225">
        <f>ROUND(Tableau16[[#This Row],[LEN]]*7.27,0)</f>
        <v>443</v>
      </c>
      <c r="L533" s="225">
        <v>15</v>
      </c>
      <c r="M533" s="226" t="str">
        <f t="shared" si="4"/>
        <v>none</v>
      </c>
      <c r="N533" s="225">
        <f>LEN(Tableau16[[#This Row],[LABEL]])</f>
        <v>61</v>
      </c>
      <c r="O533" s="225">
        <v>15</v>
      </c>
      <c r="P533" s="225" t="e">
        <f>ROUND(Tableau16[[#This Row],[LEN]]*#REF!+#REF!,0)</f>
        <v>#REF!</v>
      </c>
    </row>
    <row r="534" spans="1:16" s="97" customFormat="1" x14ac:dyDescent="0.25">
      <c r="A534" s="220" t="s">
        <v>1383</v>
      </c>
      <c r="B534" s="221" t="s">
        <v>264</v>
      </c>
      <c r="C534" s="222" t="s">
        <v>1343</v>
      </c>
      <c r="D534" s="70" t="s">
        <v>1177</v>
      </c>
      <c r="E534" s="229" t="s">
        <v>676</v>
      </c>
      <c r="F534" s="215" t="s">
        <v>1339</v>
      </c>
      <c r="G534" s="70" t="s">
        <v>166</v>
      </c>
      <c r="H534" s="223" t="s">
        <v>654</v>
      </c>
      <c r="I534" s="222"/>
      <c r="J534" s="224" t="s">
        <v>708</v>
      </c>
      <c r="K534" s="225">
        <f>ROUND(Tableau16[[#This Row],[LEN]]*7.27,0)</f>
        <v>269</v>
      </c>
      <c r="L534" s="225">
        <v>15</v>
      </c>
      <c r="M534" s="226" t="str">
        <f t="shared" si="4"/>
        <v>none</v>
      </c>
      <c r="N534" s="225">
        <f>LEN(Tableau16[[#This Row],[LABEL]])</f>
        <v>37</v>
      </c>
      <c r="O534" s="225">
        <v>15</v>
      </c>
      <c r="P534" s="225" t="e">
        <f>ROUND(Tableau16[[#This Row],[LEN]]*#REF!+#REF!,0)</f>
        <v>#REF!</v>
      </c>
    </row>
    <row r="535" spans="1:16" s="97" customFormat="1" x14ac:dyDescent="0.25">
      <c r="A535" s="220" t="s">
        <v>1384</v>
      </c>
      <c r="B535" s="221" t="s">
        <v>264</v>
      </c>
      <c r="C535" s="222" t="s">
        <v>1154</v>
      </c>
      <c r="D535" s="70" t="s">
        <v>1177</v>
      </c>
      <c r="E535" s="229" t="s">
        <v>667</v>
      </c>
      <c r="F535" s="215" t="s">
        <v>1133</v>
      </c>
      <c r="G535" s="70" t="s">
        <v>166</v>
      </c>
      <c r="H535" s="223" t="s">
        <v>18</v>
      </c>
      <c r="I535" s="222"/>
      <c r="J535" s="224" t="s">
        <v>102</v>
      </c>
      <c r="K535" s="225">
        <f>ROUND(Tableau16[[#This Row],[LEN]]*7.27,0)</f>
        <v>443</v>
      </c>
      <c r="L535" s="225">
        <v>15</v>
      </c>
      <c r="M535" s="226" t="str">
        <f t="shared" si="4"/>
        <v>new</v>
      </c>
      <c r="N535" s="225">
        <f>LEN(Tableau16[[#This Row],[LABEL]])</f>
        <v>61</v>
      </c>
      <c r="O535" s="225">
        <v>15</v>
      </c>
      <c r="P535" s="225" t="e">
        <f>ROUND(Tableau16[[#This Row],[LEN]]*#REF!+#REF!,0)</f>
        <v>#REF!</v>
      </c>
    </row>
    <row r="536" spans="1:16" s="97" customFormat="1" x14ac:dyDescent="0.25">
      <c r="A536" s="220" t="s">
        <v>1385</v>
      </c>
      <c r="B536" s="221" t="s">
        <v>264</v>
      </c>
      <c r="C536" s="222" t="s">
        <v>778</v>
      </c>
      <c r="D536" s="70" t="s">
        <v>1177</v>
      </c>
      <c r="E536" s="229" t="s">
        <v>673</v>
      </c>
      <c r="F536" s="27" t="s">
        <v>2000</v>
      </c>
      <c r="G536" s="70" t="s">
        <v>166</v>
      </c>
      <c r="H536" s="223" t="s">
        <v>17</v>
      </c>
      <c r="I536" s="222"/>
      <c r="J536" s="224" t="s">
        <v>708</v>
      </c>
      <c r="K536" s="225">
        <f>ROUND(Tableau16[[#This Row],[LEN]]*7.27,0)</f>
        <v>211</v>
      </c>
      <c r="L536" s="225">
        <v>15</v>
      </c>
      <c r="M536" s="226" t="str">
        <f t="shared" si="4"/>
        <v>none</v>
      </c>
      <c r="N536" s="225">
        <f>LEN(Tableau16[[#This Row],[LABEL]])</f>
        <v>29</v>
      </c>
      <c r="O536" s="225">
        <v>15</v>
      </c>
      <c r="P536" s="225" t="e">
        <f>ROUND(Tableau16[[#This Row],[LEN]]*#REF!+#REF!,0)</f>
        <v>#REF!</v>
      </c>
    </row>
    <row r="537" spans="1:16" s="97" customFormat="1" x14ac:dyDescent="0.25">
      <c r="A537" s="220" t="s">
        <v>1386</v>
      </c>
      <c r="B537" s="221" t="s">
        <v>264</v>
      </c>
      <c r="C537" s="222" t="s">
        <v>91</v>
      </c>
      <c r="D537" s="70" t="s">
        <v>1177</v>
      </c>
      <c r="E537" s="229" t="s">
        <v>663</v>
      </c>
      <c r="F537" s="215" t="s">
        <v>2080</v>
      </c>
      <c r="G537" s="70" t="s">
        <v>166</v>
      </c>
      <c r="H537" s="223" t="s">
        <v>655</v>
      </c>
      <c r="I537" s="222"/>
      <c r="J537" s="224" t="s">
        <v>708</v>
      </c>
      <c r="K537" s="225">
        <f>ROUND(Tableau16[[#This Row],[LEN]]*7.27,0)</f>
        <v>269</v>
      </c>
      <c r="L537" s="225">
        <v>15</v>
      </c>
      <c r="M537" s="226" t="str">
        <f t="shared" si="4"/>
        <v>none</v>
      </c>
      <c r="N537" s="225">
        <f>LEN(Tableau16[[#This Row],[LABEL]])</f>
        <v>37</v>
      </c>
      <c r="O537" s="225">
        <v>15</v>
      </c>
      <c r="P537" s="225" t="e">
        <f>ROUND(Tableau16[[#This Row],[LEN]]*#REF!+#REF!,0)</f>
        <v>#REF!</v>
      </c>
    </row>
    <row r="538" spans="1:16" s="97" customFormat="1" x14ac:dyDescent="0.25">
      <c r="A538" s="29" t="s">
        <v>1406</v>
      </c>
      <c r="B538" s="30" t="s">
        <v>1386</v>
      </c>
      <c r="C538" s="31" t="s">
        <v>98</v>
      </c>
      <c r="D538" s="71" t="s">
        <v>1177</v>
      </c>
      <c r="E538" s="31" t="s">
        <v>663</v>
      </c>
      <c r="F538" s="31" t="s">
        <v>2080</v>
      </c>
      <c r="G538" s="71" t="s">
        <v>166</v>
      </c>
      <c r="H538" s="71" t="s">
        <v>18</v>
      </c>
      <c r="I538" s="31"/>
      <c r="J538" s="32" t="s">
        <v>708</v>
      </c>
      <c r="K538" s="111">
        <f>ROUND(Tableau16[[#This Row],[LEN]]*7.27,0)</f>
        <v>109</v>
      </c>
      <c r="L538" s="111">
        <v>15</v>
      </c>
      <c r="M538" s="128" t="str">
        <f t="shared" si="4"/>
        <v>none</v>
      </c>
      <c r="N538" s="111">
        <f>LEN(Tableau16[[#This Row],[LABEL]])</f>
        <v>15</v>
      </c>
      <c r="O538" s="111">
        <v>15</v>
      </c>
      <c r="P538" s="111" t="e">
        <f>ROUND(Tableau16[[#This Row],[LEN]]*#REF!+#REF!,0)</f>
        <v>#REF!</v>
      </c>
    </row>
    <row r="539" spans="1:16" s="97" customFormat="1" x14ac:dyDescent="0.25">
      <c r="A539" s="29" t="s">
        <v>1407</v>
      </c>
      <c r="B539" s="30" t="s">
        <v>1386</v>
      </c>
      <c r="C539" s="31" t="s">
        <v>99</v>
      </c>
      <c r="D539" s="71" t="s">
        <v>1177</v>
      </c>
      <c r="E539" s="31" t="s">
        <v>663</v>
      </c>
      <c r="F539" s="31" t="s">
        <v>2080</v>
      </c>
      <c r="G539" s="71" t="s">
        <v>166</v>
      </c>
      <c r="H539" s="71" t="s">
        <v>18</v>
      </c>
      <c r="I539" s="31"/>
      <c r="J539" s="32" t="s">
        <v>708</v>
      </c>
      <c r="K539" s="111">
        <f>ROUND(Tableau16[[#This Row],[LEN]]*7.27,0)</f>
        <v>80</v>
      </c>
      <c r="L539" s="111">
        <v>15</v>
      </c>
      <c r="M539" s="128" t="str">
        <f t="shared" si="4"/>
        <v>none</v>
      </c>
      <c r="N539" s="111">
        <f>LEN(Tableau16[[#This Row],[LABEL]])</f>
        <v>11</v>
      </c>
      <c r="O539" s="111">
        <v>15</v>
      </c>
      <c r="P539" s="111" t="e">
        <f>ROUND(Tableau16[[#This Row],[LEN]]*#REF!+#REF!,0)</f>
        <v>#REF!</v>
      </c>
    </row>
    <row r="540" spans="1:16" s="97" customFormat="1" x14ac:dyDescent="0.25">
      <c r="A540" s="220" t="s">
        <v>1387</v>
      </c>
      <c r="B540" s="221" t="s">
        <v>264</v>
      </c>
      <c r="C540" s="222" t="s">
        <v>1408</v>
      </c>
      <c r="D540" s="70" t="s">
        <v>1409</v>
      </c>
      <c r="E540" s="229" t="s">
        <v>678</v>
      </c>
      <c r="F540" s="215" t="s">
        <v>671</v>
      </c>
      <c r="G540" s="70" t="s">
        <v>166</v>
      </c>
      <c r="H540" s="223" t="s">
        <v>18</v>
      </c>
      <c r="I540" s="222"/>
      <c r="J540" s="224" t="s">
        <v>708</v>
      </c>
      <c r="K540" s="225">
        <f>ROUND(Tableau16[[#This Row],[LEN]]*7.27,0)</f>
        <v>364</v>
      </c>
      <c r="L540" s="225">
        <v>15</v>
      </c>
      <c r="M540" s="226" t="str">
        <f t="shared" si="4"/>
        <v>none</v>
      </c>
      <c r="N540" s="225">
        <f>LEN(Tableau16[[#This Row],[LABEL]])</f>
        <v>50</v>
      </c>
      <c r="O540" s="225">
        <v>15</v>
      </c>
      <c r="P540" s="225" t="e">
        <f>ROUND(Tableau16[[#This Row],[LEN]]*#REF!+#REF!,0)</f>
        <v>#REF!</v>
      </c>
    </row>
    <row r="541" spans="1:16" s="97" customFormat="1" x14ac:dyDescent="0.25">
      <c r="A541" s="220" t="s">
        <v>1388</v>
      </c>
      <c r="B541" s="221" t="s">
        <v>264</v>
      </c>
      <c r="C541" s="222" t="s">
        <v>1410</v>
      </c>
      <c r="D541" s="70" t="s">
        <v>1177</v>
      </c>
      <c r="E541" s="229" t="s">
        <v>678</v>
      </c>
      <c r="F541" s="215" t="s">
        <v>1177</v>
      </c>
      <c r="G541" s="70" t="s">
        <v>166</v>
      </c>
      <c r="H541" s="223" t="s">
        <v>570</v>
      </c>
      <c r="I541" s="222"/>
      <c r="J541" s="224" t="s">
        <v>708</v>
      </c>
      <c r="K541" s="225">
        <f>ROUND(Tableau16[[#This Row],[LEN]]*7.27,0)</f>
        <v>291</v>
      </c>
      <c r="L541" s="225">
        <v>15</v>
      </c>
      <c r="M541" s="226" t="str">
        <f t="shared" si="4"/>
        <v>none</v>
      </c>
      <c r="N541" s="225">
        <f>LEN(Tableau16[[#This Row],[LABEL]])</f>
        <v>40</v>
      </c>
      <c r="O541" s="225">
        <v>15</v>
      </c>
      <c r="P541" s="225" t="e">
        <f>ROUND(Tableau16[[#This Row],[LEN]]*#REF!+#REF!,0)</f>
        <v>#REF!</v>
      </c>
    </row>
    <row r="542" spans="1:16" s="97" customFormat="1" x14ac:dyDescent="0.25">
      <c r="A542" s="220" t="s">
        <v>1389</v>
      </c>
      <c r="B542" s="221" t="s">
        <v>264</v>
      </c>
      <c r="C542" s="222" t="s">
        <v>1411</v>
      </c>
      <c r="D542" s="70" t="s">
        <v>1177</v>
      </c>
      <c r="E542" s="229" t="s">
        <v>678</v>
      </c>
      <c r="F542" s="215" t="s">
        <v>1177</v>
      </c>
      <c r="G542" s="70" t="s">
        <v>166</v>
      </c>
      <c r="H542" s="223" t="s">
        <v>656</v>
      </c>
      <c r="I542" s="222"/>
      <c r="J542" s="224" t="s">
        <v>708</v>
      </c>
      <c r="K542" s="225">
        <f>ROUND(Tableau16[[#This Row],[LEN]]*7.27,0)</f>
        <v>473</v>
      </c>
      <c r="L542" s="225">
        <v>15</v>
      </c>
      <c r="M542" s="226" t="str">
        <f t="shared" si="4"/>
        <v>none</v>
      </c>
      <c r="N542" s="225">
        <f>LEN(Tableau16[[#This Row],[LABEL]])</f>
        <v>65</v>
      </c>
      <c r="O542" s="225">
        <v>15</v>
      </c>
      <c r="P542" s="225" t="e">
        <f>ROUND(Tableau16[[#This Row],[LEN]]*#REF!+#REF!,0)</f>
        <v>#REF!</v>
      </c>
    </row>
    <row r="543" spans="1:16" s="97" customFormat="1" x14ac:dyDescent="0.25">
      <c r="A543" s="220" t="s">
        <v>1390</v>
      </c>
      <c r="B543" s="221" t="s">
        <v>264</v>
      </c>
      <c r="C543" s="222" t="s">
        <v>1167</v>
      </c>
      <c r="D543" s="70" t="s">
        <v>486</v>
      </c>
      <c r="E543" s="229" t="s">
        <v>1085</v>
      </c>
      <c r="F543" s="215" t="s">
        <v>1084</v>
      </c>
      <c r="G543" s="70" t="s">
        <v>1977</v>
      </c>
      <c r="H543" s="223" t="s">
        <v>1131</v>
      </c>
      <c r="I543" s="222"/>
      <c r="J543" s="224" t="s">
        <v>708</v>
      </c>
      <c r="K543" s="225">
        <f>ROUND(Tableau16[[#This Row],[LEN]]*7.27,0)</f>
        <v>196</v>
      </c>
      <c r="L543" s="225">
        <v>15</v>
      </c>
      <c r="M543" s="226" t="str">
        <f t="shared" si="4"/>
        <v>none</v>
      </c>
      <c r="N543" s="225">
        <f>LEN(Tableau16[[#This Row],[LABEL]])</f>
        <v>27</v>
      </c>
      <c r="O543" s="225">
        <v>15</v>
      </c>
      <c r="P543" s="225" t="e">
        <f>ROUND(Tableau16[[#This Row],[LEN]]*#REF!+#REF!,0)</f>
        <v>#REF!</v>
      </c>
    </row>
    <row r="544" spans="1:16" s="97" customFormat="1" x14ac:dyDescent="0.25">
      <c r="A544" s="29" t="s">
        <v>1412</v>
      </c>
      <c r="B544" s="30" t="s">
        <v>1390</v>
      </c>
      <c r="C544" s="31" t="s">
        <v>93</v>
      </c>
      <c r="D544" s="71" t="s">
        <v>1177</v>
      </c>
      <c r="E544" s="31" t="s">
        <v>1085</v>
      </c>
      <c r="F544" s="31" t="s">
        <v>1084</v>
      </c>
      <c r="G544" s="71" t="s">
        <v>166</v>
      </c>
      <c r="H544" s="71" t="s">
        <v>18</v>
      </c>
      <c r="I544" s="31"/>
      <c r="J544" s="32" t="s">
        <v>101</v>
      </c>
      <c r="K544" s="111">
        <f>ROUND(Tableau16[[#This Row],[LEN]]*7.27,0)</f>
        <v>109</v>
      </c>
      <c r="L544" s="111">
        <v>15</v>
      </c>
      <c r="M544" s="128" t="str">
        <f t="shared" si="4"/>
        <v>new</v>
      </c>
      <c r="N544" s="111">
        <f>LEN(Tableau16[[#This Row],[LABEL]])</f>
        <v>15</v>
      </c>
      <c r="O544" s="111">
        <v>15</v>
      </c>
      <c r="P544" s="111" t="e">
        <f>ROUND(Tableau16[[#This Row],[LEN]]*#REF!+#REF!,0)</f>
        <v>#REF!</v>
      </c>
    </row>
    <row r="545" spans="1:16" s="97" customFormat="1" x14ac:dyDescent="0.25">
      <c r="A545" s="29" t="s">
        <v>1413</v>
      </c>
      <c r="B545" s="30" t="s">
        <v>1390</v>
      </c>
      <c r="C545" s="31" t="s">
        <v>94</v>
      </c>
      <c r="D545" s="71" t="s">
        <v>1177</v>
      </c>
      <c r="E545" s="31" t="s">
        <v>1085</v>
      </c>
      <c r="F545" s="31" t="s">
        <v>1084</v>
      </c>
      <c r="G545" s="71" t="s">
        <v>166</v>
      </c>
      <c r="H545" s="71" t="s">
        <v>18</v>
      </c>
      <c r="I545" s="31"/>
      <c r="J545" s="32" t="s">
        <v>102</v>
      </c>
      <c r="K545" s="111">
        <f>ROUND(Tableau16[[#This Row],[LEN]]*7.27,0)</f>
        <v>58</v>
      </c>
      <c r="L545" s="111">
        <v>15</v>
      </c>
      <c r="M545" s="128" t="str">
        <f t="shared" si="4"/>
        <v>new</v>
      </c>
      <c r="N545" s="111">
        <f>LEN(Tableau16[[#This Row],[LABEL]])</f>
        <v>8</v>
      </c>
      <c r="O545" s="111">
        <v>15</v>
      </c>
      <c r="P545" s="111" t="e">
        <f>ROUND(Tableau16[[#This Row],[LEN]]*#REF!+#REF!,0)</f>
        <v>#REF!</v>
      </c>
    </row>
    <row r="546" spans="1:16" s="273" customFormat="1" x14ac:dyDescent="0.25">
      <c r="A546" s="288" t="s">
        <v>265</v>
      </c>
      <c r="B546" s="289" t="s">
        <v>206</v>
      </c>
      <c r="C546" s="290" t="s">
        <v>15</v>
      </c>
      <c r="D546" s="291" t="s">
        <v>1177</v>
      </c>
      <c r="E546" s="290" t="s">
        <v>679</v>
      </c>
      <c r="F546" s="290" t="s">
        <v>1177</v>
      </c>
      <c r="G546" s="291" t="s">
        <v>166</v>
      </c>
      <c r="H546" s="291" t="str">
        <f>IFERROR(IF(SEARCH(".00.00.00.00.00",Tableau16[[#This Row],[name]],1)=7,"Division",""),"")</f>
        <v>Division</v>
      </c>
      <c r="I546" s="290"/>
      <c r="J546" s="292" t="s">
        <v>708</v>
      </c>
      <c r="K546" s="293">
        <f>ROUND(Tableau16[[#This Row],[LEN]]*7.27,0)</f>
        <v>174</v>
      </c>
      <c r="L546" s="293">
        <v>15</v>
      </c>
      <c r="M546" s="294" t="str">
        <f t="shared" si="4"/>
        <v>none</v>
      </c>
      <c r="N546" s="293">
        <f>LEN(Tableau16[[#This Row],[LABEL]])</f>
        <v>24</v>
      </c>
      <c r="O546" s="293">
        <v>15</v>
      </c>
      <c r="P546" s="293" t="e">
        <f>ROUND(Tableau16[[#This Row],[LEN]]*#REF!+#REF!,0)</f>
        <v>#REF!</v>
      </c>
    </row>
    <row r="547" spans="1:16" s="97" customFormat="1" x14ac:dyDescent="0.25">
      <c r="A547" s="220" t="s">
        <v>1414</v>
      </c>
      <c r="B547" s="221" t="s">
        <v>265</v>
      </c>
      <c r="C547" s="222" t="s">
        <v>88</v>
      </c>
      <c r="D547" s="70" t="s">
        <v>1177</v>
      </c>
      <c r="E547" s="229" t="s">
        <v>667</v>
      </c>
      <c r="F547" s="215" t="s">
        <v>1218</v>
      </c>
      <c r="G547" s="70" t="s">
        <v>166</v>
      </c>
      <c r="H547" s="223" t="s">
        <v>570</v>
      </c>
      <c r="I547" s="222"/>
      <c r="J547" s="224" t="s">
        <v>708</v>
      </c>
      <c r="K547" s="225">
        <f>ROUND(Tableau16[[#This Row],[LEN]]*7.27,0)</f>
        <v>342</v>
      </c>
      <c r="L547" s="225">
        <v>15</v>
      </c>
      <c r="M547" s="226" t="str">
        <f t="shared" si="4"/>
        <v>none</v>
      </c>
      <c r="N547" s="225">
        <f>LEN(Tableau16[[#This Row],[LABEL]])</f>
        <v>47</v>
      </c>
      <c r="O547" s="225">
        <v>15</v>
      </c>
      <c r="P547" s="225" t="e">
        <f>ROUND(Tableau16[[#This Row],[LEN]]*#REF!+#REF!,0)</f>
        <v>#REF!</v>
      </c>
    </row>
    <row r="548" spans="1:16" s="97" customFormat="1" x14ac:dyDescent="0.25">
      <c r="A548" s="220" t="s">
        <v>1415</v>
      </c>
      <c r="B548" s="221" t="s">
        <v>265</v>
      </c>
      <c r="C548" s="222" t="s">
        <v>1357</v>
      </c>
      <c r="D548" s="70" t="s">
        <v>1177</v>
      </c>
      <c r="E548" s="229" t="s">
        <v>673</v>
      </c>
      <c r="F548" s="215" t="s">
        <v>1249</v>
      </c>
      <c r="G548" s="70" t="s">
        <v>166</v>
      </c>
      <c r="H548" s="223" t="s">
        <v>655</v>
      </c>
      <c r="I548" s="222"/>
      <c r="J548" s="224" t="s">
        <v>708</v>
      </c>
      <c r="K548" s="225">
        <f>ROUND(Tableau16[[#This Row],[LEN]]*7.27,0)</f>
        <v>298</v>
      </c>
      <c r="L548" s="225">
        <v>15</v>
      </c>
      <c r="M548" s="226" t="str">
        <f t="shared" si="4"/>
        <v>none</v>
      </c>
      <c r="N548" s="225">
        <f>LEN(Tableau16[[#This Row],[LABEL]])</f>
        <v>41</v>
      </c>
      <c r="O548" s="225">
        <v>15</v>
      </c>
      <c r="P548" s="225" t="e">
        <f>ROUND(Tableau16[[#This Row],[LEN]]*#REF!+#REF!,0)</f>
        <v>#REF!</v>
      </c>
    </row>
    <row r="549" spans="1:16" s="97" customFormat="1" x14ac:dyDescent="0.25">
      <c r="A549" s="220" t="s">
        <v>1416</v>
      </c>
      <c r="B549" s="221" t="s">
        <v>265</v>
      </c>
      <c r="C549" s="222" t="s">
        <v>778</v>
      </c>
      <c r="D549" s="70" t="s">
        <v>1177</v>
      </c>
      <c r="E549" s="229" t="s">
        <v>673</v>
      </c>
      <c r="F549" s="27" t="s">
        <v>2000</v>
      </c>
      <c r="G549" s="70" t="s">
        <v>166</v>
      </c>
      <c r="H549" s="223" t="s">
        <v>17</v>
      </c>
      <c r="I549" s="222"/>
      <c r="J549" s="224" t="s">
        <v>708</v>
      </c>
      <c r="K549" s="225">
        <f>ROUND(Tableau16[[#This Row],[LEN]]*7.27,0)</f>
        <v>211</v>
      </c>
      <c r="L549" s="225">
        <v>15</v>
      </c>
      <c r="M549" s="226" t="str">
        <f t="shared" si="4"/>
        <v>none</v>
      </c>
      <c r="N549" s="225">
        <f>LEN(Tableau16[[#This Row],[LABEL]])</f>
        <v>29</v>
      </c>
      <c r="O549" s="225">
        <v>15</v>
      </c>
      <c r="P549" s="225" t="e">
        <f>ROUND(Tableau16[[#This Row],[LEN]]*#REF!+#REF!,0)</f>
        <v>#REF!</v>
      </c>
    </row>
    <row r="550" spans="1:16" s="97" customFormat="1" x14ac:dyDescent="0.25">
      <c r="A550" s="220" t="s">
        <v>1417</v>
      </c>
      <c r="B550" s="221" t="s">
        <v>265</v>
      </c>
      <c r="C550" s="222" t="s">
        <v>91</v>
      </c>
      <c r="D550" s="70" t="s">
        <v>1177</v>
      </c>
      <c r="E550" s="229" t="s">
        <v>663</v>
      </c>
      <c r="F550" s="215" t="s">
        <v>2080</v>
      </c>
      <c r="G550" s="70" t="s">
        <v>166</v>
      </c>
      <c r="H550" s="223" t="s">
        <v>655</v>
      </c>
      <c r="I550" s="222"/>
      <c r="J550" s="224" t="s">
        <v>708</v>
      </c>
      <c r="K550" s="225">
        <f>ROUND(Tableau16[[#This Row],[LEN]]*7.27,0)</f>
        <v>269</v>
      </c>
      <c r="L550" s="225">
        <v>15</v>
      </c>
      <c r="M550" s="226" t="str">
        <f t="shared" si="4"/>
        <v>none</v>
      </c>
      <c r="N550" s="225">
        <f>LEN(Tableau16[[#This Row],[LABEL]])</f>
        <v>37</v>
      </c>
      <c r="O550" s="225">
        <v>15</v>
      </c>
      <c r="P550" s="225" t="e">
        <f>ROUND(Tableau16[[#This Row],[LEN]]*#REF!+#REF!,0)</f>
        <v>#REF!</v>
      </c>
    </row>
    <row r="551" spans="1:16" s="97" customFormat="1" x14ac:dyDescent="0.25">
      <c r="A551" s="29" t="s">
        <v>1421</v>
      </c>
      <c r="B551" s="30" t="s">
        <v>1417</v>
      </c>
      <c r="C551" s="31" t="s">
        <v>98</v>
      </c>
      <c r="D551" s="71" t="s">
        <v>1177</v>
      </c>
      <c r="E551" s="31" t="s">
        <v>663</v>
      </c>
      <c r="F551" s="31" t="s">
        <v>2080</v>
      </c>
      <c r="G551" s="71" t="s">
        <v>166</v>
      </c>
      <c r="H551" s="71" t="s">
        <v>18</v>
      </c>
      <c r="I551" s="31"/>
      <c r="J551" s="32" t="s">
        <v>708</v>
      </c>
      <c r="K551" s="111">
        <f>ROUND(Tableau16[[#This Row],[LEN]]*7.27,0)</f>
        <v>109</v>
      </c>
      <c r="L551" s="111">
        <v>15</v>
      </c>
      <c r="M551" s="128" t="str">
        <f t="shared" si="4"/>
        <v>none</v>
      </c>
      <c r="N551" s="111">
        <f>LEN(Tableau16[[#This Row],[LABEL]])</f>
        <v>15</v>
      </c>
      <c r="O551" s="111">
        <v>15</v>
      </c>
      <c r="P551" s="111" t="e">
        <f>ROUND(Tableau16[[#This Row],[LEN]]*#REF!+#REF!,0)</f>
        <v>#REF!</v>
      </c>
    </row>
    <row r="552" spans="1:16" s="97" customFormat="1" x14ac:dyDescent="0.25">
      <c r="A552" s="29" t="s">
        <v>1422</v>
      </c>
      <c r="B552" s="30" t="s">
        <v>1417</v>
      </c>
      <c r="C552" s="31" t="s">
        <v>99</v>
      </c>
      <c r="D552" s="71" t="s">
        <v>1177</v>
      </c>
      <c r="E552" s="31" t="s">
        <v>663</v>
      </c>
      <c r="F552" s="31" t="s">
        <v>2080</v>
      </c>
      <c r="G552" s="71" t="s">
        <v>166</v>
      </c>
      <c r="H552" s="71" t="s">
        <v>18</v>
      </c>
      <c r="I552" s="31"/>
      <c r="J552" s="32" t="s">
        <v>708</v>
      </c>
      <c r="K552" s="111">
        <f>ROUND(Tableau16[[#This Row],[LEN]]*7.27,0)</f>
        <v>80</v>
      </c>
      <c r="L552" s="111">
        <v>15</v>
      </c>
      <c r="M552" s="128" t="str">
        <f t="shared" si="4"/>
        <v>none</v>
      </c>
      <c r="N552" s="111">
        <f>LEN(Tableau16[[#This Row],[LABEL]])</f>
        <v>11</v>
      </c>
      <c r="O552" s="111">
        <v>15</v>
      </c>
      <c r="P552" s="111" t="e">
        <f>ROUND(Tableau16[[#This Row],[LEN]]*#REF!+#REF!,0)</f>
        <v>#REF!</v>
      </c>
    </row>
    <row r="553" spans="1:16" s="97" customFormat="1" x14ac:dyDescent="0.25">
      <c r="A553" s="220" t="s">
        <v>1418</v>
      </c>
      <c r="B553" s="221" t="s">
        <v>265</v>
      </c>
      <c r="C553" s="222" t="s">
        <v>1423</v>
      </c>
      <c r="D553" s="70" t="s">
        <v>1177</v>
      </c>
      <c r="E553" s="229" t="s">
        <v>679</v>
      </c>
      <c r="F553" s="215" t="s">
        <v>1177</v>
      </c>
      <c r="G553" s="70" t="s">
        <v>166</v>
      </c>
      <c r="H553" s="223" t="s">
        <v>656</v>
      </c>
      <c r="I553" s="222"/>
      <c r="J553" s="224" t="s">
        <v>708</v>
      </c>
      <c r="K553" s="225">
        <f>ROUND(Tableau16[[#This Row],[LEN]]*7.27,0)</f>
        <v>87</v>
      </c>
      <c r="L553" s="225">
        <v>15</v>
      </c>
      <c r="M553" s="226" t="str">
        <f t="shared" si="4"/>
        <v>none</v>
      </c>
      <c r="N553" s="225">
        <f>LEN(Tableau16[[#This Row],[LABEL]])</f>
        <v>12</v>
      </c>
      <c r="O553" s="225">
        <v>15</v>
      </c>
      <c r="P553" s="225" t="e">
        <f>ROUND(Tableau16[[#This Row],[LEN]]*#REF!+#REF!,0)</f>
        <v>#REF!</v>
      </c>
    </row>
    <row r="554" spans="1:16" s="97" customFormat="1" x14ac:dyDescent="0.25">
      <c r="A554" s="220" t="s">
        <v>1419</v>
      </c>
      <c r="B554" s="221" t="s">
        <v>265</v>
      </c>
      <c r="C554" s="222" t="s">
        <v>1424</v>
      </c>
      <c r="D554" s="70" t="s">
        <v>1177</v>
      </c>
      <c r="E554" s="229" t="s">
        <v>679</v>
      </c>
      <c r="F554" s="215" t="s">
        <v>1177</v>
      </c>
      <c r="G554" s="70" t="s">
        <v>166</v>
      </c>
      <c r="H554" s="223" t="s">
        <v>18</v>
      </c>
      <c r="I554" s="222"/>
      <c r="J554" s="224" t="s">
        <v>708</v>
      </c>
      <c r="K554" s="225">
        <f>ROUND(Tableau16[[#This Row],[LEN]]*7.27,0)</f>
        <v>320</v>
      </c>
      <c r="L554" s="225">
        <v>15</v>
      </c>
      <c r="M554" s="226" t="str">
        <f t="shared" si="4"/>
        <v>none</v>
      </c>
      <c r="N554" s="225">
        <f>LEN(Tableau16[[#This Row],[LABEL]])</f>
        <v>44</v>
      </c>
      <c r="O554" s="225">
        <v>15</v>
      </c>
      <c r="P554" s="225" t="e">
        <f>ROUND(Tableau16[[#This Row],[LEN]]*#REF!+#REF!,0)</f>
        <v>#REF!</v>
      </c>
    </row>
    <row r="555" spans="1:16" s="97" customFormat="1" x14ac:dyDescent="0.25">
      <c r="A555" s="220" t="s">
        <v>1420</v>
      </c>
      <c r="B555" s="221" t="s">
        <v>265</v>
      </c>
      <c r="C555" s="222" t="s">
        <v>1167</v>
      </c>
      <c r="D555" s="70" t="s">
        <v>486</v>
      </c>
      <c r="E555" s="229" t="s">
        <v>1085</v>
      </c>
      <c r="F555" s="215" t="s">
        <v>1084</v>
      </c>
      <c r="G555" s="70" t="s">
        <v>1977</v>
      </c>
      <c r="H555" s="223" t="s">
        <v>1131</v>
      </c>
      <c r="I555" s="222"/>
      <c r="J555" s="224" t="s">
        <v>708</v>
      </c>
      <c r="K555" s="225">
        <f>ROUND(Tableau16[[#This Row],[LEN]]*7.27,0)</f>
        <v>196</v>
      </c>
      <c r="L555" s="225">
        <v>15</v>
      </c>
      <c r="M555" s="226" t="str">
        <f t="shared" si="4"/>
        <v>none</v>
      </c>
      <c r="N555" s="225">
        <f>LEN(Tableau16[[#This Row],[LABEL]])</f>
        <v>27</v>
      </c>
      <c r="O555" s="225">
        <v>15</v>
      </c>
      <c r="P555" s="225" t="e">
        <f>ROUND(Tableau16[[#This Row],[LEN]]*#REF!+#REF!,0)</f>
        <v>#REF!</v>
      </c>
    </row>
    <row r="556" spans="1:16" s="97" customFormat="1" x14ac:dyDescent="0.25">
      <c r="A556" s="29" t="s">
        <v>1425</v>
      </c>
      <c r="B556" s="30" t="s">
        <v>1420</v>
      </c>
      <c r="C556" s="31" t="s">
        <v>93</v>
      </c>
      <c r="D556" s="71" t="s">
        <v>1177</v>
      </c>
      <c r="E556" s="31" t="s">
        <v>1085</v>
      </c>
      <c r="F556" s="31" t="s">
        <v>1084</v>
      </c>
      <c r="G556" s="71" t="s">
        <v>166</v>
      </c>
      <c r="H556" s="71" t="s">
        <v>18</v>
      </c>
      <c r="I556" s="31"/>
      <c r="J556" s="32" t="s">
        <v>101</v>
      </c>
      <c r="K556" s="111">
        <f>ROUND(Tableau16[[#This Row],[LEN]]*7.27,0)</f>
        <v>109</v>
      </c>
      <c r="L556" s="111">
        <v>15</v>
      </c>
      <c r="M556" s="128" t="str">
        <f t="shared" si="4"/>
        <v>new</v>
      </c>
      <c r="N556" s="111">
        <f>LEN(Tableau16[[#This Row],[LABEL]])</f>
        <v>15</v>
      </c>
      <c r="O556" s="111">
        <v>15</v>
      </c>
      <c r="P556" s="111" t="e">
        <f>ROUND(Tableau16[[#This Row],[LEN]]*#REF!+#REF!,0)</f>
        <v>#REF!</v>
      </c>
    </row>
    <row r="557" spans="1:16" s="97" customFormat="1" x14ac:dyDescent="0.25">
      <c r="A557" s="29" t="s">
        <v>1426</v>
      </c>
      <c r="B557" s="30" t="s">
        <v>1420</v>
      </c>
      <c r="C557" s="31" t="s">
        <v>94</v>
      </c>
      <c r="D557" s="71" t="s">
        <v>1177</v>
      </c>
      <c r="E557" s="31" t="s">
        <v>1085</v>
      </c>
      <c r="F557" s="31" t="s">
        <v>1084</v>
      </c>
      <c r="G557" s="71" t="s">
        <v>166</v>
      </c>
      <c r="H557" s="71" t="s">
        <v>18</v>
      </c>
      <c r="I557" s="31"/>
      <c r="J557" s="32" t="s">
        <v>102</v>
      </c>
      <c r="K557" s="111">
        <f>ROUND(Tableau16[[#This Row],[LEN]]*7.27,0)</f>
        <v>58</v>
      </c>
      <c r="L557" s="111">
        <v>15</v>
      </c>
      <c r="M557" s="128" t="str">
        <f t="shared" si="4"/>
        <v>new</v>
      </c>
      <c r="N557" s="111">
        <f>LEN(Tableau16[[#This Row],[LABEL]])</f>
        <v>8</v>
      </c>
      <c r="O557" s="111">
        <v>15</v>
      </c>
      <c r="P557" s="111" t="e">
        <f>ROUND(Tableau16[[#This Row],[LEN]]*#REF!+#REF!,0)</f>
        <v>#REF!</v>
      </c>
    </row>
    <row r="558" spans="1:16" s="273" customFormat="1" x14ac:dyDescent="0.25">
      <c r="A558" s="288" t="s">
        <v>1979</v>
      </c>
      <c r="B558" s="289" t="s">
        <v>206</v>
      </c>
      <c r="C558" s="290" t="s">
        <v>1950</v>
      </c>
      <c r="D558" s="291" t="s">
        <v>1177</v>
      </c>
      <c r="E558" s="290" t="s">
        <v>1951</v>
      </c>
      <c r="F558" s="290" t="s">
        <v>1177</v>
      </c>
      <c r="G558" s="291" t="s">
        <v>166</v>
      </c>
      <c r="H558" s="291" t="s">
        <v>56</v>
      </c>
      <c r="I558" s="290"/>
      <c r="J558" s="292" t="s">
        <v>708</v>
      </c>
      <c r="K558" s="293">
        <f>ROUND(Tableau16[[#This Row],[LEN]]*7.27,0)</f>
        <v>51</v>
      </c>
      <c r="L558" s="293">
        <v>15</v>
      </c>
      <c r="M558" s="294" t="str">
        <f t="shared" si="4"/>
        <v>none</v>
      </c>
      <c r="N558" s="293">
        <f>LEN(Tableau16[[#This Row],[LABEL]])</f>
        <v>7</v>
      </c>
      <c r="O558" s="293">
        <v>15</v>
      </c>
      <c r="P558" s="293" t="e">
        <f>ROUND(Tableau16[[#This Row],[LEN]]*#REF!+#REF!,0)</f>
        <v>#REF!</v>
      </c>
    </row>
    <row r="559" spans="1:16" s="97" customFormat="1" x14ac:dyDescent="0.25">
      <c r="A559" s="220" t="s">
        <v>1980</v>
      </c>
      <c r="B559" s="221" t="s">
        <v>1979</v>
      </c>
      <c r="C559" s="222" t="s">
        <v>2001</v>
      </c>
      <c r="D559" s="70" t="s">
        <v>1990</v>
      </c>
      <c r="E559" s="229" t="s">
        <v>1951</v>
      </c>
      <c r="F559" s="215" t="s">
        <v>1177</v>
      </c>
      <c r="G559" s="70" t="s">
        <v>166</v>
      </c>
      <c r="H559" s="223" t="s">
        <v>570</v>
      </c>
      <c r="I559" s="222"/>
      <c r="J559" s="224" t="s">
        <v>708</v>
      </c>
      <c r="K559" s="225">
        <f>ROUND(Tableau16[[#This Row],[LEN]]*7.27,0)</f>
        <v>80</v>
      </c>
      <c r="L559" s="225">
        <v>15</v>
      </c>
      <c r="M559" s="226" t="str">
        <f t="shared" si="4"/>
        <v>none</v>
      </c>
      <c r="N559" s="225">
        <f>LEN(Tableau16[[#This Row],[LABEL]])</f>
        <v>11</v>
      </c>
      <c r="O559" s="225">
        <v>15</v>
      </c>
      <c r="P559" s="225" t="e">
        <f>ROUND(Tableau16[[#This Row],[LEN]]*#REF!+#REF!,0)</f>
        <v>#REF!</v>
      </c>
    </row>
    <row r="560" spans="1:16" s="97" customFormat="1" x14ac:dyDescent="0.25">
      <c r="A560" s="220" t="s">
        <v>1981</v>
      </c>
      <c r="B560" s="221" t="s">
        <v>1979</v>
      </c>
      <c r="C560" s="222" t="s">
        <v>1991</v>
      </c>
      <c r="D560" s="70" t="s">
        <v>1177</v>
      </c>
      <c r="E560" s="229" t="s">
        <v>1951</v>
      </c>
      <c r="F560" s="215" t="s">
        <v>1177</v>
      </c>
      <c r="G560" s="70" t="s">
        <v>166</v>
      </c>
      <c r="H560" s="223" t="s">
        <v>570</v>
      </c>
      <c r="I560" s="222"/>
      <c r="J560" s="224" t="s">
        <v>708</v>
      </c>
      <c r="K560" s="225">
        <f>ROUND(Tableau16[[#This Row],[LEN]]*7.27,0)</f>
        <v>458</v>
      </c>
      <c r="L560" s="225">
        <v>15</v>
      </c>
      <c r="M560" s="226" t="str">
        <f t="shared" si="4"/>
        <v>none</v>
      </c>
      <c r="N560" s="225">
        <f>LEN(Tableau16[[#This Row],[LABEL]])</f>
        <v>63</v>
      </c>
      <c r="O560" s="225">
        <v>15</v>
      </c>
      <c r="P560" s="225" t="e">
        <f>ROUND(Tableau16[[#This Row],[LEN]]*#REF!+#REF!,0)</f>
        <v>#REF!</v>
      </c>
    </row>
    <row r="561" spans="1:16" s="97" customFormat="1" x14ac:dyDescent="0.25">
      <c r="A561" s="220" t="s">
        <v>1982</v>
      </c>
      <c r="B561" s="221" t="s">
        <v>1979</v>
      </c>
      <c r="C561" s="222" t="s">
        <v>1992</v>
      </c>
      <c r="D561" s="70" t="s">
        <v>1177</v>
      </c>
      <c r="E561" s="229" t="s">
        <v>1951</v>
      </c>
      <c r="F561" s="215" t="s">
        <v>1177</v>
      </c>
      <c r="G561" s="70" t="s">
        <v>166</v>
      </c>
      <c r="H561" s="223" t="s">
        <v>570</v>
      </c>
      <c r="I561" s="222"/>
      <c r="J561" s="224" t="s">
        <v>708</v>
      </c>
      <c r="K561" s="225">
        <f>ROUND(Tableau16[[#This Row],[LEN]]*7.27,0)</f>
        <v>305</v>
      </c>
      <c r="L561" s="225">
        <v>15</v>
      </c>
      <c r="M561" s="226" t="str">
        <f t="shared" si="4"/>
        <v>none</v>
      </c>
      <c r="N561" s="225">
        <f>LEN(Tableau16[[#This Row],[LABEL]])</f>
        <v>42</v>
      </c>
      <c r="O561" s="225">
        <v>15</v>
      </c>
      <c r="P561" s="225" t="e">
        <f>ROUND(Tableau16[[#This Row],[LEN]]*#REF!+#REF!,0)</f>
        <v>#REF!</v>
      </c>
    </row>
    <row r="562" spans="1:16" s="97" customFormat="1" x14ac:dyDescent="0.25">
      <c r="A562" s="220" t="s">
        <v>1983</v>
      </c>
      <c r="B562" s="221" t="s">
        <v>1979</v>
      </c>
      <c r="C562" s="222" t="s">
        <v>1993</v>
      </c>
      <c r="D562" s="70" t="s">
        <v>1177</v>
      </c>
      <c r="E562" s="229" t="s">
        <v>1951</v>
      </c>
      <c r="F562" s="215" t="s">
        <v>1177</v>
      </c>
      <c r="G562" s="70" t="s">
        <v>166</v>
      </c>
      <c r="H562" s="223" t="s">
        <v>570</v>
      </c>
      <c r="I562" s="222"/>
      <c r="J562" s="224" t="s">
        <v>708</v>
      </c>
      <c r="K562" s="225">
        <f>ROUND(Tableau16[[#This Row],[LEN]]*7.27,0)</f>
        <v>385</v>
      </c>
      <c r="L562" s="225">
        <v>15</v>
      </c>
      <c r="M562" s="226" t="str">
        <f t="shared" si="4"/>
        <v>none</v>
      </c>
      <c r="N562" s="225">
        <f>LEN(Tableau16[[#This Row],[LABEL]])</f>
        <v>53</v>
      </c>
      <c r="O562" s="225">
        <v>15</v>
      </c>
      <c r="P562" s="225" t="e">
        <f>ROUND(Tableau16[[#This Row],[LEN]]*#REF!+#REF!,0)</f>
        <v>#REF!</v>
      </c>
    </row>
    <row r="563" spans="1:16" s="97" customFormat="1" x14ac:dyDescent="0.25">
      <c r="A563" s="220" t="s">
        <v>1984</v>
      </c>
      <c r="B563" s="221" t="s">
        <v>1979</v>
      </c>
      <c r="C563" s="222" t="s">
        <v>2002</v>
      </c>
      <c r="D563" s="70" t="s">
        <v>1994</v>
      </c>
      <c r="E563" s="229" t="s">
        <v>1951</v>
      </c>
      <c r="F563" s="215" t="s">
        <v>1177</v>
      </c>
      <c r="G563" s="70" t="s">
        <v>166</v>
      </c>
      <c r="H563" s="223" t="s">
        <v>18</v>
      </c>
      <c r="I563" s="222"/>
      <c r="J563" s="224" t="s">
        <v>708</v>
      </c>
      <c r="K563" s="225">
        <f>ROUND(Tableau16[[#This Row],[LEN]]*7.27,0)</f>
        <v>516</v>
      </c>
      <c r="L563" s="225">
        <v>15</v>
      </c>
      <c r="M563" s="226" t="str">
        <f t="shared" si="4"/>
        <v>none</v>
      </c>
      <c r="N563" s="225">
        <f>LEN(Tableau16[[#This Row],[LABEL]])</f>
        <v>71</v>
      </c>
      <c r="O563" s="225">
        <v>15</v>
      </c>
      <c r="P563" s="225" t="e">
        <f>ROUND(Tableau16[[#This Row],[LEN]]*#REF!+#REF!,0)</f>
        <v>#REF!</v>
      </c>
    </row>
    <row r="564" spans="1:16" s="97" customFormat="1" x14ac:dyDescent="0.25">
      <c r="A564" s="220" t="s">
        <v>1985</v>
      </c>
      <c r="B564" s="221" t="s">
        <v>1979</v>
      </c>
      <c r="C564" s="222" t="s">
        <v>1995</v>
      </c>
      <c r="D564" s="70" t="s">
        <v>1177</v>
      </c>
      <c r="E564" s="229" t="s">
        <v>1951</v>
      </c>
      <c r="F564" s="215" t="s">
        <v>1177</v>
      </c>
      <c r="G564" s="70" t="s">
        <v>166</v>
      </c>
      <c r="H564" s="223" t="s">
        <v>570</v>
      </c>
      <c r="I564" s="222"/>
      <c r="J564" s="224" t="s">
        <v>708</v>
      </c>
      <c r="K564" s="225">
        <f>ROUND(Tableau16[[#This Row],[LEN]]*7.27,0)</f>
        <v>196</v>
      </c>
      <c r="L564" s="225">
        <v>15</v>
      </c>
      <c r="M564" s="226" t="str">
        <f t="shared" si="4"/>
        <v>none</v>
      </c>
      <c r="N564" s="225">
        <f>LEN(Tableau16[[#This Row],[LABEL]])</f>
        <v>27</v>
      </c>
      <c r="O564" s="225">
        <v>15</v>
      </c>
      <c r="P564" s="225" t="e">
        <f>ROUND(Tableau16[[#This Row],[LEN]]*#REF!+#REF!,0)</f>
        <v>#REF!</v>
      </c>
    </row>
    <row r="565" spans="1:16" s="97" customFormat="1" x14ac:dyDescent="0.25">
      <c r="A565" s="220" t="s">
        <v>1986</v>
      </c>
      <c r="B565" s="221" t="s">
        <v>1979</v>
      </c>
      <c r="C565" s="222" t="s">
        <v>1996</v>
      </c>
      <c r="D565" s="70" t="s">
        <v>1177</v>
      </c>
      <c r="E565" s="229" t="s">
        <v>1951</v>
      </c>
      <c r="F565" s="215" t="s">
        <v>1177</v>
      </c>
      <c r="G565" s="70" t="s">
        <v>166</v>
      </c>
      <c r="H565" s="223" t="s">
        <v>570</v>
      </c>
      <c r="I565" s="222"/>
      <c r="J565" s="224" t="s">
        <v>708</v>
      </c>
      <c r="K565" s="225">
        <f>ROUND(Tableau16[[#This Row],[LEN]]*7.27,0)</f>
        <v>276</v>
      </c>
      <c r="L565" s="225">
        <v>15</v>
      </c>
      <c r="M565" s="226" t="str">
        <f t="shared" si="4"/>
        <v>none</v>
      </c>
      <c r="N565" s="225">
        <f>LEN(Tableau16[[#This Row],[LABEL]])</f>
        <v>38</v>
      </c>
      <c r="O565" s="225">
        <v>15</v>
      </c>
      <c r="P565" s="225" t="e">
        <f>ROUND(Tableau16[[#This Row],[LEN]]*#REF!+#REF!,0)</f>
        <v>#REF!</v>
      </c>
    </row>
    <row r="566" spans="1:16" s="97" customFormat="1" x14ac:dyDescent="0.25">
      <c r="A566" s="220" t="s">
        <v>1987</v>
      </c>
      <c r="B566" s="221" t="s">
        <v>1979</v>
      </c>
      <c r="C566" s="222" t="s">
        <v>778</v>
      </c>
      <c r="D566" s="70" t="s">
        <v>1177</v>
      </c>
      <c r="E566" s="229" t="s">
        <v>673</v>
      </c>
      <c r="F566" s="27" t="s">
        <v>2000</v>
      </c>
      <c r="G566" s="70" t="s">
        <v>166</v>
      </c>
      <c r="H566" s="223" t="s">
        <v>17</v>
      </c>
      <c r="I566" s="222"/>
      <c r="J566" s="224" t="s">
        <v>708</v>
      </c>
      <c r="K566" s="225">
        <f>ROUND(Tableau16[[#This Row],[LEN]]*7.27,0)</f>
        <v>211</v>
      </c>
      <c r="L566" s="225">
        <v>15</v>
      </c>
      <c r="M566" s="226" t="str">
        <f t="shared" si="4"/>
        <v>none</v>
      </c>
      <c r="N566" s="225">
        <f>LEN(Tableau16[[#This Row],[LABEL]])</f>
        <v>29</v>
      </c>
      <c r="O566" s="225">
        <v>15</v>
      </c>
      <c r="P566" s="225" t="e">
        <f>ROUND(Tableau16[[#This Row],[LEN]]*#REF!+#REF!,0)</f>
        <v>#REF!</v>
      </c>
    </row>
    <row r="567" spans="1:16" s="97" customFormat="1" x14ac:dyDescent="0.25">
      <c r="A567" s="220" t="s">
        <v>1988</v>
      </c>
      <c r="B567" s="221" t="s">
        <v>1979</v>
      </c>
      <c r="C567" s="222" t="s">
        <v>1997</v>
      </c>
      <c r="D567" s="70" t="s">
        <v>1177</v>
      </c>
      <c r="E567" s="229" t="s">
        <v>1951</v>
      </c>
      <c r="F567" s="215" t="s">
        <v>1177</v>
      </c>
      <c r="G567" s="70" t="s">
        <v>166</v>
      </c>
      <c r="H567" s="223" t="s">
        <v>570</v>
      </c>
      <c r="I567" s="222"/>
      <c r="J567" s="224" t="s">
        <v>708</v>
      </c>
      <c r="K567" s="225">
        <f>ROUND(Tableau16[[#This Row],[LEN]]*7.27,0)</f>
        <v>298</v>
      </c>
      <c r="L567" s="225">
        <v>15</v>
      </c>
      <c r="M567" s="226" t="str">
        <f t="shared" si="4"/>
        <v>none</v>
      </c>
      <c r="N567" s="225">
        <f>LEN(Tableau16[[#This Row],[LABEL]])</f>
        <v>41</v>
      </c>
      <c r="O567" s="225">
        <v>15</v>
      </c>
      <c r="P567" s="225" t="e">
        <f>ROUND(Tableau16[[#This Row],[LEN]]*#REF!+#REF!,0)</f>
        <v>#REF!</v>
      </c>
    </row>
    <row r="568" spans="1:16" s="97" customFormat="1" x14ac:dyDescent="0.25">
      <c r="A568" s="220" t="s">
        <v>1989</v>
      </c>
      <c r="B568" s="221" t="s">
        <v>1979</v>
      </c>
      <c r="C568" s="222" t="s">
        <v>2003</v>
      </c>
      <c r="D568" s="70" t="s">
        <v>1998</v>
      </c>
      <c r="E568" s="229" t="s">
        <v>1951</v>
      </c>
      <c r="F568" s="215" t="s">
        <v>1177</v>
      </c>
      <c r="G568" s="70" t="s">
        <v>166</v>
      </c>
      <c r="H568" s="223" t="s">
        <v>570</v>
      </c>
      <c r="I568" s="222"/>
      <c r="J568" s="224" t="s">
        <v>708</v>
      </c>
      <c r="K568" s="225">
        <f>ROUND(Tableau16[[#This Row],[LEN]]*7.27,0)</f>
        <v>131</v>
      </c>
      <c r="L568" s="225">
        <v>15</v>
      </c>
      <c r="M568" s="226" t="str">
        <f t="shared" si="4"/>
        <v>none</v>
      </c>
      <c r="N568" s="225">
        <f>LEN(Tableau16[[#This Row],[LABEL]])</f>
        <v>18</v>
      </c>
      <c r="O568" s="225">
        <v>15</v>
      </c>
      <c r="P568" s="225" t="e">
        <f>ROUND(Tableau16[[#This Row],[LEN]]*#REF!+#REF!,0)</f>
        <v>#REF!</v>
      </c>
    </row>
    <row r="569" spans="1:16" s="97" customFormat="1" x14ac:dyDescent="0.25">
      <c r="A569" s="220" t="s">
        <v>1999</v>
      </c>
      <c r="B569" s="221" t="s">
        <v>1979</v>
      </c>
      <c r="C569" s="222" t="s">
        <v>1167</v>
      </c>
      <c r="D569" s="70" t="s">
        <v>486</v>
      </c>
      <c r="E569" s="229" t="s">
        <v>1085</v>
      </c>
      <c r="F569" s="215" t="s">
        <v>1084</v>
      </c>
      <c r="G569" s="70" t="s">
        <v>1977</v>
      </c>
      <c r="H569" s="223" t="s">
        <v>1131</v>
      </c>
      <c r="I569" s="222"/>
      <c r="J569" s="224" t="s">
        <v>708</v>
      </c>
      <c r="K569" s="225">
        <f>ROUND(Tableau16[[#This Row],[LEN]]*7.27,0)</f>
        <v>196</v>
      </c>
      <c r="L569" s="225">
        <v>15</v>
      </c>
      <c r="M569" s="226" t="str">
        <f t="shared" si="4"/>
        <v>none</v>
      </c>
      <c r="N569" s="225">
        <f>LEN(Tableau16[[#This Row],[LABEL]])</f>
        <v>27</v>
      </c>
      <c r="O569" s="225">
        <v>15</v>
      </c>
      <c r="P569" s="225" t="e">
        <f>ROUND(Tableau16[[#This Row],[LEN]]*#REF!+#REF!,0)</f>
        <v>#REF!</v>
      </c>
    </row>
    <row r="570" spans="1:16" s="97" customFormat="1" x14ac:dyDescent="0.25">
      <c r="A570" s="29" t="s">
        <v>2004</v>
      </c>
      <c r="B570" s="30" t="s">
        <v>1999</v>
      </c>
      <c r="C570" s="31" t="s">
        <v>93</v>
      </c>
      <c r="D570" s="71" t="s">
        <v>1177</v>
      </c>
      <c r="E570" s="31" t="s">
        <v>1085</v>
      </c>
      <c r="F570" s="31" t="s">
        <v>1084</v>
      </c>
      <c r="G570" s="71" t="s">
        <v>166</v>
      </c>
      <c r="H570" s="71" t="s">
        <v>18</v>
      </c>
      <c r="I570" s="31"/>
      <c r="J570" s="32" t="s">
        <v>101</v>
      </c>
      <c r="K570" s="111">
        <f>ROUND(Tableau16[[#This Row],[LEN]]*7.27,0)</f>
        <v>109</v>
      </c>
      <c r="L570" s="111">
        <v>15</v>
      </c>
      <c r="M570" s="128" t="str">
        <f t="shared" si="4"/>
        <v>new</v>
      </c>
      <c r="N570" s="111">
        <f>LEN(Tableau16[[#This Row],[LABEL]])</f>
        <v>15</v>
      </c>
      <c r="O570" s="111">
        <v>15</v>
      </c>
      <c r="P570" s="111" t="e">
        <f>ROUND(Tableau16[[#This Row],[LEN]]*#REF!+#REF!,0)</f>
        <v>#REF!</v>
      </c>
    </row>
    <row r="571" spans="1:16" s="97" customFormat="1" ht="15.75" thickBot="1" x14ac:dyDescent="0.3">
      <c r="A571" s="29" t="s">
        <v>2005</v>
      </c>
      <c r="B571" s="30" t="s">
        <v>1999</v>
      </c>
      <c r="C571" s="31" t="s">
        <v>94</v>
      </c>
      <c r="D571" s="71" t="s">
        <v>1177</v>
      </c>
      <c r="E571" s="31" t="s">
        <v>1085</v>
      </c>
      <c r="F571" s="31" t="s">
        <v>1084</v>
      </c>
      <c r="G571" s="71" t="s">
        <v>166</v>
      </c>
      <c r="H571" s="71" t="s">
        <v>18</v>
      </c>
      <c r="I571" s="31"/>
      <c r="J571" s="32" t="s">
        <v>102</v>
      </c>
      <c r="K571" s="111">
        <f>ROUND(Tableau16[[#This Row],[LEN]]*7.27,0)</f>
        <v>58</v>
      </c>
      <c r="L571" s="111">
        <v>15</v>
      </c>
      <c r="M571" s="128" t="str">
        <f t="shared" si="4"/>
        <v>new</v>
      </c>
      <c r="N571" s="111">
        <f>LEN(Tableau16[[#This Row],[LABEL]])</f>
        <v>8</v>
      </c>
      <c r="O571" s="111">
        <v>15</v>
      </c>
      <c r="P571" s="111" t="e">
        <f>ROUND(Tableau16[[#This Row],[LEN]]*#REF!+#REF!,0)</f>
        <v>#REF!</v>
      </c>
    </row>
    <row r="572" spans="1:16" s="97" customFormat="1" ht="16.5" thickTop="1" thickBot="1" x14ac:dyDescent="0.3">
      <c r="A572" s="177" t="s">
        <v>207</v>
      </c>
      <c r="B572" s="177" t="s">
        <v>201</v>
      </c>
      <c r="C572" s="178" t="s">
        <v>175</v>
      </c>
      <c r="D572" s="179" t="s">
        <v>472</v>
      </c>
      <c r="E572" s="178" t="s">
        <v>1177</v>
      </c>
      <c r="F572" s="179" t="s">
        <v>1177</v>
      </c>
      <c r="G572" s="178" t="s">
        <v>168</v>
      </c>
      <c r="H572" s="178" t="s">
        <v>616</v>
      </c>
      <c r="I572" s="179"/>
      <c r="J572" s="180" t="s">
        <v>708</v>
      </c>
      <c r="K572" s="181">
        <f>ROUND(Tableau16[[#This Row],[LEN]]*7.27,0)</f>
        <v>160</v>
      </c>
      <c r="L572" s="181">
        <v>15</v>
      </c>
      <c r="M572" s="182" t="str">
        <f t="shared" si="4"/>
        <v>none</v>
      </c>
      <c r="N572" s="181">
        <f>LEN(Tableau16[[#This Row],[LABEL]])</f>
        <v>22</v>
      </c>
      <c r="O572" s="183">
        <v>15</v>
      </c>
      <c r="P572" s="183" t="e">
        <f>ROUND(Tableau16[[#This Row],[LEN]]*#REF!+#REF!,0)</f>
        <v>#REF!</v>
      </c>
    </row>
    <row r="573" spans="1:16" s="92" customFormat="1" ht="15.75" thickTop="1" x14ac:dyDescent="0.25">
      <c r="A573" s="309" t="s">
        <v>267</v>
      </c>
      <c r="B573" s="310" t="s">
        <v>207</v>
      </c>
      <c r="C573" s="311" t="s">
        <v>57</v>
      </c>
      <c r="D573" s="312" t="s">
        <v>1177</v>
      </c>
      <c r="E573" s="311" t="s">
        <v>663</v>
      </c>
      <c r="F573" s="311" t="s">
        <v>1177</v>
      </c>
      <c r="G573" s="312" t="s">
        <v>168</v>
      </c>
      <c r="H573" s="312" t="str">
        <f>IFERROR(IF(SEARCH(".00.00.00.00.00",Tableau16[[#This Row],[name]],1)=7,"Division",""),"")</f>
        <v>Division</v>
      </c>
      <c r="I573" s="311"/>
      <c r="J573" s="313" t="s">
        <v>708</v>
      </c>
      <c r="K573" s="314">
        <f>ROUND(Tableau16[[#This Row],[LEN]]*7.27,0)</f>
        <v>102</v>
      </c>
      <c r="L573" s="314">
        <v>15</v>
      </c>
      <c r="M573" s="315" t="str">
        <f t="shared" si="4"/>
        <v>none</v>
      </c>
      <c r="N573" s="314">
        <f>LEN(Tableau16[[#This Row],[LABEL]])</f>
        <v>14</v>
      </c>
      <c r="O573" s="314">
        <v>15</v>
      </c>
      <c r="P573" s="314" t="e">
        <f>ROUND(Tableau16[[#This Row],[LEN]]*#REF!+#REF!,0)</f>
        <v>#REF!</v>
      </c>
    </row>
    <row r="574" spans="1:16" s="97" customFormat="1" x14ac:dyDescent="0.25">
      <c r="A574" s="33" t="s">
        <v>841</v>
      </c>
      <c r="B574" s="34" t="s">
        <v>267</v>
      </c>
      <c r="C574" s="35" t="s">
        <v>111</v>
      </c>
      <c r="D574" s="72" t="s">
        <v>1177</v>
      </c>
      <c r="E574" s="35" t="s">
        <v>667</v>
      </c>
      <c r="F574" s="35" t="s">
        <v>2006</v>
      </c>
      <c r="G574" s="72" t="s">
        <v>168</v>
      </c>
      <c r="H574" s="72" t="s">
        <v>655</v>
      </c>
      <c r="I574" s="35"/>
      <c r="J574" s="36" t="s">
        <v>708</v>
      </c>
      <c r="K574" s="113">
        <f>ROUND(Tableau16[[#This Row],[LEN]]*7.27,0)</f>
        <v>167</v>
      </c>
      <c r="L574" s="113">
        <v>15</v>
      </c>
      <c r="M574" s="130" t="str">
        <f t="shared" si="4"/>
        <v>none</v>
      </c>
      <c r="N574" s="113">
        <f>LEN(Tableau16[[#This Row],[LABEL]])</f>
        <v>23</v>
      </c>
      <c r="O574" s="113">
        <v>15</v>
      </c>
      <c r="P574" s="113" t="e">
        <f>ROUND(Tableau16[[#This Row],[LEN]]*#REF!+#REF!,0)</f>
        <v>#REF!</v>
      </c>
    </row>
    <row r="575" spans="1:16" s="97" customFormat="1" x14ac:dyDescent="0.25">
      <c r="A575" s="37" t="s">
        <v>842</v>
      </c>
      <c r="B575" s="38" t="s">
        <v>841</v>
      </c>
      <c r="C575" s="39" t="s">
        <v>112</v>
      </c>
      <c r="D575" s="73" t="s">
        <v>1177</v>
      </c>
      <c r="E575" s="39" t="s">
        <v>667</v>
      </c>
      <c r="F575" s="39" t="s">
        <v>2006</v>
      </c>
      <c r="G575" s="73" t="s">
        <v>168</v>
      </c>
      <c r="H575" s="73" t="s">
        <v>654</v>
      </c>
      <c r="I575" s="39"/>
      <c r="J575" s="40" t="s">
        <v>708</v>
      </c>
      <c r="K575" s="114">
        <f>ROUND(Tableau16[[#This Row],[LEN]]*7.27,0)</f>
        <v>167</v>
      </c>
      <c r="L575" s="114">
        <v>15</v>
      </c>
      <c r="M575" s="131" t="str">
        <f t="shared" si="4"/>
        <v>none</v>
      </c>
      <c r="N575" s="114">
        <f>LEN(Tableau16[[#This Row],[LABEL]])</f>
        <v>23</v>
      </c>
      <c r="O575" s="114">
        <v>15</v>
      </c>
      <c r="P575" s="114" t="e">
        <f>ROUND(Tableau16[[#This Row],[LEN]]*#REF!+#REF!,0)</f>
        <v>#REF!</v>
      </c>
    </row>
    <row r="576" spans="1:16" s="97" customFormat="1" x14ac:dyDescent="0.25">
      <c r="A576" s="37" t="s">
        <v>843</v>
      </c>
      <c r="B576" s="38" t="s">
        <v>841</v>
      </c>
      <c r="C576" s="39" t="s">
        <v>113</v>
      </c>
      <c r="D576" s="73" t="s">
        <v>1177</v>
      </c>
      <c r="E576" s="39" t="s">
        <v>667</v>
      </c>
      <c r="F576" s="39" t="s">
        <v>2006</v>
      </c>
      <c r="G576" s="73" t="s">
        <v>168</v>
      </c>
      <c r="H576" s="73" t="s">
        <v>654</v>
      </c>
      <c r="I576" s="39"/>
      <c r="J576" s="40" t="s">
        <v>708</v>
      </c>
      <c r="K576" s="114">
        <f>ROUND(Tableau16[[#This Row],[LEN]]*7.27,0)</f>
        <v>233</v>
      </c>
      <c r="L576" s="114">
        <v>15</v>
      </c>
      <c r="M576" s="131" t="str">
        <f t="shared" si="4"/>
        <v>none</v>
      </c>
      <c r="N576" s="114">
        <f>LEN(Tableau16[[#This Row],[LABEL]])</f>
        <v>32</v>
      </c>
      <c r="O576" s="114">
        <v>15</v>
      </c>
      <c r="P576" s="114" t="e">
        <f>ROUND(Tableau16[[#This Row],[LEN]]*#REF!+#REF!,0)</f>
        <v>#REF!</v>
      </c>
    </row>
    <row r="577" spans="1:16" s="273" customFormat="1" x14ac:dyDescent="0.25">
      <c r="A577" s="309" t="s">
        <v>269</v>
      </c>
      <c r="B577" s="310" t="s">
        <v>207</v>
      </c>
      <c r="C577" s="311" t="s">
        <v>3</v>
      </c>
      <c r="D577" s="312" t="s">
        <v>1177</v>
      </c>
      <c r="E577" s="311" t="s">
        <v>661</v>
      </c>
      <c r="F577" s="311" t="s">
        <v>1177</v>
      </c>
      <c r="G577" s="312" t="s">
        <v>168</v>
      </c>
      <c r="H577" s="312" t="str">
        <f>IFERROR(IF(SEARCH(".00.00.00.00.00",Tableau16[[#This Row],[name]],1)=7,"Division",""),"")</f>
        <v>Division</v>
      </c>
      <c r="I577" s="311"/>
      <c r="J577" s="313" t="s">
        <v>708</v>
      </c>
      <c r="K577" s="314">
        <f>ROUND(Tableau16[[#This Row],[LEN]]*7.27,0)</f>
        <v>73</v>
      </c>
      <c r="L577" s="314">
        <v>15</v>
      </c>
      <c r="M577" s="315" t="str">
        <f t="shared" si="4"/>
        <v>none</v>
      </c>
      <c r="N577" s="314">
        <f>LEN(Tableau16[[#This Row],[LABEL]])</f>
        <v>10</v>
      </c>
      <c r="O577" s="314">
        <v>15</v>
      </c>
      <c r="P577" s="314" t="e">
        <f>ROUND(Tableau16[[#This Row],[LEN]]*#REF!+#REF!,0)</f>
        <v>#REF!</v>
      </c>
    </row>
    <row r="578" spans="1:16" s="97" customFormat="1" x14ac:dyDescent="0.25">
      <c r="A578" s="33" t="s">
        <v>419</v>
      </c>
      <c r="B578" s="34" t="s">
        <v>269</v>
      </c>
      <c r="C578" s="35" t="s">
        <v>111</v>
      </c>
      <c r="D578" s="72" t="s">
        <v>1177</v>
      </c>
      <c r="E578" s="35" t="s">
        <v>667</v>
      </c>
      <c r="F578" s="35" t="s">
        <v>2006</v>
      </c>
      <c r="G578" s="72" t="s">
        <v>168</v>
      </c>
      <c r="H578" s="72" t="s">
        <v>655</v>
      </c>
      <c r="I578" s="35"/>
      <c r="J578" s="36" t="s">
        <v>708</v>
      </c>
      <c r="K578" s="113">
        <f>ROUND(Tableau16[[#This Row],[LEN]]*7.27,0)</f>
        <v>167</v>
      </c>
      <c r="L578" s="113">
        <v>15</v>
      </c>
      <c r="M578" s="130" t="str">
        <f t="shared" si="4"/>
        <v>none</v>
      </c>
      <c r="N578" s="113">
        <f>LEN(Tableau16[[#This Row],[LABEL]])</f>
        <v>23</v>
      </c>
      <c r="O578" s="113">
        <v>15</v>
      </c>
      <c r="P578" s="113" t="e">
        <f>ROUND(Tableau16[[#This Row],[LEN]]*#REF!+#REF!,0)</f>
        <v>#REF!</v>
      </c>
    </row>
    <row r="579" spans="1:16" s="97" customFormat="1" x14ac:dyDescent="0.25">
      <c r="A579" s="37" t="s">
        <v>420</v>
      </c>
      <c r="B579" s="38" t="s">
        <v>419</v>
      </c>
      <c r="C579" s="39" t="s">
        <v>112</v>
      </c>
      <c r="D579" s="73" t="s">
        <v>1177</v>
      </c>
      <c r="E579" s="39" t="s">
        <v>667</v>
      </c>
      <c r="F579" s="39" t="s">
        <v>2006</v>
      </c>
      <c r="G579" s="73" t="s">
        <v>168</v>
      </c>
      <c r="H579" s="73" t="s">
        <v>654</v>
      </c>
      <c r="I579" s="39"/>
      <c r="J579" s="40" t="s">
        <v>708</v>
      </c>
      <c r="K579" s="114">
        <f>ROUND(Tableau16[[#This Row],[LEN]]*7.27,0)</f>
        <v>167</v>
      </c>
      <c r="L579" s="114">
        <v>15</v>
      </c>
      <c r="M579" s="131" t="str">
        <f t="shared" si="4"/>
        <v>none</v>
      </c>
      <c r="N579" s="114">
        <f>LEN(Tableau16[[#This Row],[LABEL]])</f>
        <v>23</v>
      </c>
      <c r="O579" s="114">
        <v>15</v>
      </c>
      <c r="P579" s="114" t="e">
        <f>ROUND(Tableau16[[#This Row],[LEN]]*#REF!+#REF!,0)</f>
        <v>#REF!</v>
      </c>
    </row>
    <row r="580" spans="1:16" s="97" customFormat="1" x14ac:dyDescent="0.25">
      <c r="A580" s="37" t="s">
        <v>421</v>
      </c>
      <c r="B580" s="38" t="s">
        <v>419</v>
      </c>
      <c r="C580" s="39" t="s">
        <v>113</v>
      </c>
      <c r="D580" s="73" t="s">
        <v>1177</v>
      </c>
      <c r="E580" s="39" t="s">
        <v>667</v>
      </c>
      <c r="F580" s="39" t="s">
        <v>2006</v>
      </c>
      <c r="G580" s="73" t="s">
        <v>168</v>
      </c>
      <c r="H580" s="73" t="s">
        <v>654</v>
      </c>
      <c r="I580" s="39"/>
      <c r="J580" s="40" t="s">
        <v>708</v>
      </c>
      <c r="K580" s="114">
        <f>ROUND(Tableau16[[#This Row],[LEN]]*7.27,0)</f>
        <v>233</v>
      </c>
      <c r="L580" s="114">
        <v>15</v>
      </c>
      <c r="M580" s="131" t="str">
        <f t="shared" si="4"/>
        <v>none</v>
      </c>
      <c r="N580" s="114">
        <f>LEN(Tableau16[[#This Row],[LABEL]])</f>
        <v>32</v>
      </c>
      <c r="O580" s="114">
        <v>15</v>
      </c>
      <c r="P580" s="114" t="e">
        <f>ROUND(Tableau16[[#This Row],[LEN]]*#REF!+#REF!,0)</f>
        <v>#REF!</v>
      </c>
    </row>
    <row r="581" spans="1:16" s="97" customFormat="1" x14ac:dyDescent="0.25">
      <c r="A581" s="33" t="s">
        <v>422</v>
      </c>
      <c r="B581" s="34" t="s">
        <v>269</v>
      </c>
      <c r="C581" s="35" t="s">
        <v>114</v>
      </c>
      <c r="D581" s="72" t="s">
        <v>1177</v>
      </c>
      <c r="E581" s="35" t="s">
        <v>661</v>
      </c>
      <c r="F581" s="35" t="s">
        <v>2083</v>
      </c>
      <c r="G581" s="72" t="s">
        <v>168</v>
      </c>
      <c r="H581" s="72" t="s">
        <v>654</v>
      </c>
      <c r="I581" s="35"/>
      <c r="J581" s="36" t="s">
        <v>708</v>
      </c>
      <c r="K581" s="113">
        <f>ROUND(Tableau16[[#This Row],[LEN]]*7.27,0)</f>
        <v>153</v>
      </c>
      <c r="L581" s="113">
        <v>15</v>
      </c>
      <c r="M581" s="130" t="str">
        <f t="shared" si="4"/>
        <v>none</v>
      </c>
      <c r="N581" s="113">
        <f>LEN(Tableau16[[#This Row],[LABEL]])</f>
        <v>21</v>
      </c>
      <c r="O581" s="113">
        <v>15</v>
      </c>
      <c r="P581" s="113" t="e">
        <f>ROUND(Tableau16[[#This Row],[LEN]]*#REF!+#REF!,0)</f>
        <v>#REF!</v>
      </c>
    </row>
    <row r="582" spans="1:16" s="273" customFormat="1" x14ac:dyDescent="0.25">
      <c r="A582" s="309" t="s">
        <v>270</v>
      </c>
      <c r="B582" s="310" t="s">
        <v>207</v>
      </c>
      <c r="C582" s="311" t="s">
        <v>4</v>
      </c>
      <c r="D582" s="312" t="s">
        <v>1177</v>
      </c>
      <c r="E582" s="311" t="s">
        <v>666</v>
      </c>
      <c r="F582" s="311" t="s">
        <v>1177</v>
      </c>
      <c r="G582" s="312" t="s">
        <v>168</v>
      </c>
      <c r="H582" s="312" t="str">
        <f>IFERROR(IF(SEARCH(".00.00.00.00.00",Tableau16[[#This Row],[name]],1)=7,"Division",""),"")</f>
        <v>Division</v>
      </c>
      <c r="I582" s="311"/>
      <c r="J582" s="313" t="s">
        <v>708</v>
      </c>
      <c r="K582" s="314">
        <f>ROUND(Tableau16[[#This Row],[LEN]]*7.27,0)</f>
        <v>36</v>
      </c>
      <c r="L582" s="314">
        <v>15</v>
      </c>
      <c r="M582" s="315" t="str">
        <f t="shared" si="4"/>
        <v>none</v>
      </c>
      <c r="N582" s="314">
        <f>LEN(Tableau16[[#This Row],[LABEL]])</f>
        <v>5</v>
      </c>
      <c r="O582" s="314">
        <v>15</v>
      </c>
      <c r="P582" s="314" t="e">
        <f>ROUND(Tableau16[[#This Row],[LEN]]*#REF!+#REF!,0)</f>
        <v>#REF!</v>
      </c>
    </row>
    <row r="583" spans="1:16" s="97" customFormat="1" x14ac:dyDescent="0.25">
      <c r="A583" s="33" t="s">
        <v>1427</v>
      </c>
      <c r="B583" s="34" t="s">
        <v>270</v>
      </c>
      <c r="C583" s="35" t="s">
        <v>111</v>
      </c>
      <c r="D583" s="72" t="s">
        <v>1177</v>
      </c>
      <c r="E583" s="35" t="s">
        <v>667</v>
      </c>
      <c r="F583" s="35" t="s">
        <v>2006</v>
      </c>
      <c r="G583" s="72" t="s">
        <v>168</v>
      </c>
      <c r="H583" s="72" t="s">
        <v>655</v>
      </c>
      <c r="I583" s="35"/>
      <c r="J583" s="36" t="s">
        <v>708</v>
      </c>
      <c r="K583" s="113">
        <f>ROUND(Tableau16[[#This Row],[LEN]]*7.27,0)</f>
        <v>167</v>
      </c>
      <c r="L583" s="113">
        <v>15</v>
      </c>
      <c r="M583" s="130" t="str">
        <f t="shared" si="4"/>
        <v>none</v>
      </c>
      <c r="N583" s="113">
        <f>LEN(Tableau16[[#This Row],[LABEL]])</f>
        <v>23</v>
      </c>
      <c r="O583" s="113">
        <v>15</v>
      </c>
      <c r="P583" s="113" t="e">
        <f>ROUND(Tableau16[[#This Row],[LEN]]*#REF!+#REF!,0)</f>
        <v>#REF!</v>
      </c>
    </row>
    <row r="584" spans="1:16" s="97" customFormat="1" x14ac:dyDescent="0.25">
      <c r="A584" s="37" t="s">
        <v>1428</v>
      </c>
      <c r="B584" s="38" t="s">
        <v>1427</v>
      </c>
      <c r="C584" s="39" t="s">
        <v>112</v>
      </c>
      <c r="D584" s="73" t="s">
        <v>1177</v>
      </c>
      <c r="E584" s="39" t="s">
        <v>667</v>
      </c>
      <c r="F584" s="39" t="s">
        <v>2006</v>
      </c>
      <c r="G584" s="73" t="s">
        <v>168</v>
      </c>
      <c r="H584" s="73" t="s">
        <v>654</v>
      </c>
      <c r="I584" s="39"/>
      <c r="J584" s="40" t="s">
        <v>708</v>
      </c>
      <c r="K584" s="114">
        <f>ROUND(Tableau16[[#This Row],[LEN]]*7.27,0)</f>
        <v>167</v>
      </c>
      <c r="L584" s="114">
        <v>15</v>
      </c>
      <c r="M584" s="131" t="str">
        <f t="shared" si="4"/>
        <v>none</v>
      </c>
      <c r="N584" s="114">
        <f>LEN(Tableau16[[#This Row],[LABEL]])</f>
        <v>23</v>
      </c>
      <c r="O584" s="114">
        <v>15</v>
      </c>
      <c r="P584" s="114" t="e">
        <f>ROUND(Tableau16[[#This Row],[LEN]]*#REF!+#REF!,0)</f>
        <v>#REF!</v>
      </c>
    </row>
    <row r="585" spans="1:16" s="97" customFormat="1" x14ac:dyDescent="0.25">
      <c r="A585" s="37" t="s">
        <v>1429</v>
      </c>
      <c r="B585" s="38" t="s">
        <v>1427</v>
      </c>
      <c r="C585" s="39" t="s">
        <v>113</v>
      </c>
      <c r="D585" s="73" t="s">
        <v>1177</v>
      </c>
      <c r="E585" s="39" t="s">
        <v>667</v>
      </c>
      <c r="F585" s="39" t="s">
        <v>2006</v>
      </c>
      <c r="G585" s="73" t="s">
        <v>168</v>
      </c>
      <c r="H585" s="73" t="s">
        <v>654</v>
      </c>
      <c r="I585" s="39"/>
      <c r="J585" s="40" t="s">
        <v>708</v>
      </c>
      <c r="K585" s="114">
        <f>ROUND(Tableau16[[#This Row],[LEN]]*7.27,0)</f>
        <v>233</v>
      </c>
      <c r="L585" s="114">
        <v>15</v>
      </c>
      <c r="M585" s="131" t="str">
        <f t="shared" si="4"/>
        <v>none</v>
      </c>
      <c r="N585" s="114">
        <f>LEN(Tableau16[[#This Row],[LABEL]])</f>
        <v>32</v>
      </c>
      <c r="O585" s="114">
        <v>15</v>
      </c>
      <c r="P585" s="114" t="e">
        <f>ROUND(Tableau16[[#This Row],[LEN]]*#REF!+#REF!,0)</f>
        <v>#REF!</v>
      </c>
    </row>
    <row r="586" spans="1:16" s="273" customFormat="1" x14ac:dyDescent="0.25">
      <c r="A586" s="309" t="s">
        <v>271</v>
      </c>
      <c r="B586" s="310" t="s">
        <v>207</v>
      </c>
      <c r="C586" s="311" t="s">
        <v>80</v>
      </c>
      <c r="D586" s="312" t="s">
        <v>1177</v>
      </c>
      <c r="E586" s="311" t="s">
        <v>667</v>
      </c>
      <c r="F586" s="311" t="s">
        <v>1177</v>
      </c>
      <c r="G586" s="312" t="s">
        <v>168</v>
      </c>
      <c r="H586" s="312" t="str">
        <f>IFERROR(IF(SEARCH(".00.00.00.00.00",Tableau16[[#This Row],[name]],1)=7,"Division",""),"")</f>
        <v>Division</v>
      </c>
      <c r="I586" s="311"/>
      <c r="J586" s="313" t="s">
        <v>708</v>
      </c>
      <c r="K586" s="314">
        <f>ROUND(Tableau16[[#This Row],[LEN]]*7.27,0)</f>
        <v>116</v>
      </c>
      <c r="L586" s="314">
        <v>15</v>
      </c>
      <c r="M586" s="315" t="str">
        <f t="shared" si="4"/>
        <v>none</v>
      </c>
      <c r="N586" s="314">
        <f>LEN(Tableau16[[#This Row],[LABEL]])</f>
        <v>16</v>
      </c>
      <c r="O586" s="314">
        <v>15</v>
      </c>
      <c r="P586" s="314" t="e">
        <f>ROUND(Tableau16[[#This Row],[LEN]]*#REF!+#REF!,0)</f>
        <v>#REF!</v>
      </c>
    </row>
    <row r="587" spans="1:16" s="97" customFormat="1" x14ac:dyDescent="0.25">
      <c r="A587" s="33" t="s">
        <v>1430</v>
      </c>
      <c r="B587" s="34" t="s">
        <v>271</v>
      </c>
      <c r="C587" s="35" t="s">
        <v>111</v>
      </c>
      <c r="D587" s="72" t="s">
        <v>1177</v>
      </c>
      <c r="E587" s="35" t="s">
        <v>667</v>
      </c>
      <c r="F587" s="35" t="s">
        <v>2006</v>
      </c>
      <c r="G587" s="72" t="s">
        <v>168</v>
      </c>
      <c r="H587" s="72" t="s">
        <v>655</v>
      </c>
      <c r="I587" s="35"/>
      <c r="J587" s="36" t="s">
        <v>708</v>
      </c>
      <c r="K587" s="113">
        <f>ROUND(Tableau16[[#This Row],[LEN]]*7.27,0)</f>
        <v>167</v>
      </c>
      <c r="L587" s="113">
        <v>15</v>
      </c>
      <c r="M587" s="130" t="str">
        <f t="shared" si="4"/>
        <v>none</v>
      </c>
      <c r="N587" s="113">
        <f>LEN(Tableau16[[#This Row],[LABEL]])</f>
        <v>23</v>
      </c>
      <c r="O587" s="113">
        <v>15</v>
      </c>
      <c r="P587" s="113" t="e">
        <f>ROUND(Tableau16[[#This Row],[LEN]]*#REF!+#REF!,0)</f>
        <v>#REF!</v>
      </c>
    </row>
    <row r="588" spans="1:16" s="97" customFormat="1" x14ac:dyDescent="0.25">
      <c r="A588" s="37" t="s">
        <v>1431</v>
      </c>
      <c r="B588" s="38" t="s">
        <v>1430</v>
      </c>
      <c r="C588" s="39" t="s">
        <v>112</v>
      </c>
      <c r="D588" s="73" t="s">
        <v>1177</v>
      </c>
      <c r="E588" s="39" t="s">
        <v>667</v>
      </c>
      <c r="F588" s="39" t="s">
        <v>2006</v>
      </c>
      <c r="G588" s="73" t="s">
        <v>168</v>
      </c>
      <c r="H588" s="73" t="s">
        <v>654</v>
      </c>
      <c r="I588" s="39"/>
      <c r="J588" s="40" t="s">
        <v>708</v>
      </c>
      <c r="K588" s="114">
        <f>ROUND(Tableau16[[#This Row],[LEN]]*7.27,0)</f>
        <v>167</v>
      </c>
      <c r="L588" s="114">
        <v>15</v>
      </c>
      <c r="M588" s="131" t="str">
        <f t="shared" si="4"/>
        <v>none</v>
      </c>
      <c r="N588" s="114">
        <f>LEN(Tableau16[[#This Row],[LABEL]])</f>
        <v>23</v>
      </c>
      <c r="O588" s="114">
        <v>15</v>
      </c>
      <c r="P588" s="114" t="e">
        <f>ROUND(Tableau16[[#This Row],[LEN]]*#REF!+#REF!,0)</f>
        <v>#REF!</v>
      </c>
    </row>
    <row r="589" spans="1:16" s="97" customFormat="1" x14ac:dyDescent="0.25">
      <c r="A589" s="37" t="s">
        <v>1432</v>
      </c>
      <c r="B589" s="38" t="s">
        <v>1430</v>
      </c>
      <c r="C589" s="39" t="s">
        <v>113</v>
      </c>
      <c r="D589" s="73" t="s">
        <v>1177</v>
      </c>
      <c r="E589" s="39" t="s">
        <v>667</v>
      </c>
      <c r="F589" s="39" t="s">
        <v>2006</v>
      </c>
      <c r="G589" s="73" t="s">
        <v>168</v>
      </c>
      <c r="H589" s="73" t="s">
        <v>654</v>
      </c>
      <c r="I589" s="39"/>
      <c r="J589" s="40" t="s">
        <v>708</v>
      </c>
      <c r="K589" s="114">
        <f>ROUND(Tableau16[[#This Row],[LEN]]*7.27,0)</f>
        <v>233</v>
      </c>
      <c r="L589" s="114">
        <v>15</v>
      </c>
      <c r="M589" s="131" t="str">
        <f t="shared" si="4"/>
        <v>none</v>
      </c>
      <c r="N589" s="114">
        <f>LEN(Tableau16[[#This Row],[LABEL]])</f>
        <v>32</v>
      </c>
      <c r="O589" s="114">
        <v>15</v>
      </c>
      <c r="P589" s="114" t="e">
        <f>ROUND(Tableau16[[#This Row],[LEN]]*#REF!+#REF!,0)</f>
        <v>#REF!</v>
      </c>
    </row>
    <row r="590" spans="1:16" s="273" customFormat="1" x14ac:dyDescent="0.25">
      <c r="A590" s="309" t="s">
        <v>272</v>
      </c>
      <c r="B590" s="310" t="s">
        <v>207</v>
      </c>
      <c r="C590" s="311" t="s">
        <v>5</v>
      </c>
      <c r="D590" s="312" t="s">
        <v>1177</v>
      </c>
      <c r="E590" s="311" t="s">
        <v>668</v>
      </c>
      <c r="F590" s="311" t="s">
        <v>1177</v>
      </c>
      <c r="G590" s="312" t="s">
        <v>168</v>
      </c>
      <c r="H590" s="312" t="str">
        <f>IFERROR(IF(SEARCH(".00.00.00.00.00",Tableau16[[#This Row],[name]],1)=7,"Division",""),"")</f>
        <v>Division</v>
      </c>
      <c r="I590" s="311"/>
      <c r="J590" s="313" t="s">
        <v>708</v>
      </c>
      <c r="K590" s="314">
        <f>ROUND(Tableau16[[#This Row],[LEN]]*7.27,0)</f>
        <v>73</v>
      </c>
      <c r="L590" s="314">
        <v>15</v>
      </c>
      <c r="M590" s="315" t="str">
        <f t="shared" si="4"/>
        <v>none</v>
      </c>
      <c r="N590" s="314">
        <f>LEN(Tableau16[[#This Row],[LABEL]])</f>
        <v>10</v>
      </c>
      <c r="O590" s="314">
        <v>15</v>
      </c>
      <c r="P590" s="314" t="e">
        <f>ROUND(Tableau16[[#This Row],[LEN]]*#REF!+#REF!,0)</f>
        <v>#REF!</v>
      </c>
    </row>
    <row r="591" spans="1:16" s="97" customFormat="1" x14ac:dyDescent="0.25">
      <c r="A591" s="33" t="s">
        <v>1433</v>
      </c>
      <c r="B591" s="34" t="s">
        <v>272</v>
      </c>
      <c r="C591" s="35" t="s">
        <v>111</v>
      </c>
      <c r="D591" s="72" t="s">
        <v>1177</v>
      </c>
      <c r="E591" s="35" t="s">
        <v>667</v>
      </c>
      <c r="F591" s="35" t="s">
        <v>2006</v>
      </c>
      <c r="G591" s="72" t="s">
        <v>168</v>
      </c>
      <c r="H591" s="72" t="s">
        <v>655</v>
      </c>
      <c r="I591" s="35"/>
      <c r="J591" s="36" t="s">
        <v>708</v>
      </c>
      <c r="K591" s="113">
        <f>ROUND(Tableau16[[#This Row],[LEN]]*7.27,0)</f>
        <v>167</v>
      </c>
      <c r="L591" s="113">
        <v>15</v>
      </c>
      <c r="M591" s="130" t="str">
        <f t="shared" si="4"/>
        <v>none</v>
      </c>
      <c r="N591" s="113">
        <f>LEN(Tableau16[[#This Row],[LABEL]])</f>
        <v>23</v>
      </c>
      <c r="O591" s="113">
        <v>15</v>
      </c>
      <c r="P591" s="113" t="e">
        <f>ROUND(Tableau16[[#This Row],[LEN]]*#REF!+#REF!,0)</f>
        <v>#REF!</v>
      </c>
    </row>
    <row r="592" spans="1:16" s="97" customFormat="1" x14ac:dyDescent="0.25">
      <c r="A592" s="37" t="s">
        <v>1434</v>
      </c>
      <c r="B592" s="38" t="s">
        <v>1433</v>
      </c>
      <c r="C592" s="39" t="s">
        <v>112</v>
      </c>
      <c r="D592" s="73" t="s">
        <v>1177</v>
      </c>
      <c r="E592" s="39" t="s">
        <v>667</v>
      </c>
      <c r="F592" s="39" t="s">
        <v>2006</v>
      </c>
      <c r="G592" s="73" t="s">
        <v>168</v>
      </c>
      <c r="H592" s="73" t="s">
        <v>654</v>
      </c>
      <c r="I592" s="39"/>
      <c r="J592" s="40" t="s">
        <v>708</v>
      </c>
      <c r="K592" s="114">
        <f>ROUND(Tableau16[[#This Row],[LEN]]*7.27,0)</f>
        <v>167</v>
      </c>
      <c r="L592" s="114">
        <v>15</v>
      </c>
      <c r="M592" s="131" t="str">
        <f t="shared" si="4"/>
        <v>none</v>
      </c>
      <c r="N592" s="114">
        <f>LEN(Tableau16[[#This Row],[LABEL]])</f>
        <v>23</v>
      </c>
      <c r="O592" s="114">
        <v>15</v>
      </c>
      <c r="P592" s="114" t="e">
        <f>ROUND(Tableau16[[#This Row],[LEN]]*#REF!+#REF!,0)</f>
        <v>#REF!</v>
      </c>
    </row>
    <row r="593" spans="1:16" s="97" customFormat="1" x14ac:dyDescent="0.25">
      <c r="A593" s="37" t="s">
        <v>1435</v>
      </c>
      <c r="B593" s="38" t="s">
        <v>1433</v>
      </c>
      <c r="C593" s="39" t="s">
        <v>113</v>
      </c>
      <c r="D593" s="73" t="s">
        <v>1177</v>
      </c>
      <c r="E593" s="39" t="s">
        <v>667</v>
      </c>
      <c r="F593" s="39" t="s">
        <v>2006</v>
      </c>
      <c r="G593" s="73" t="s">
        <v>168</v>
      </c>
      <c r="H593" s="73" t="s">
        <v>654</v>
      </c>
      <c r="I593" s="39"/>
      <c r="J593" s="40" t="s">
        <v>708</v>
      </c>
      <c r="K593" s="114">
        <f>ROUND(Tableau16[[#This Row],[LEN]]*7.27,0)</f>
        <v>233</v>
      </c>
      <c r="L593" s="114">
        <v>15</v>
      </c>
      <c r="M593" s="131" t="str">
        <f t="shared" si="4"/>
        <v>none</v>
      </c>
      <c r="N593" s="114">
        <f>LEN(Tableau16[[#This Row],[LABEL]])</f>
        <v>32</v>
      </c>
      <c r="O593" s="114">
        <v>15</v>
      </c>
      <c r="P593" s="114" t="e">
        <f>ROUND(Tableau16[[#This Row],[LEN]]*#REF!+#REF!,0)</f>
        <v>#REF!</v>
      </c>
    </row>
    <row r="594" spans="1:16" s="273" customFormat="1" x14ac:dyDescent="0.25">
      <c r="A594" s="309" t="s">
        <v>273</v>
      </c>
      <c r="B594" s="310" t="s">
        <v>207</v>
      </c>
      <c r="C594" s="311" t="s">
        <v>6</v>
      </c>
      <c r="D594" s="312" t="s">
        <v>1177</v>
      </c>
      <c r="E594" s="311" t="s">
        <v>669</v>
      </c>
      <c r="F594" s="311" t="s">
        <v>1177</v>
      </c>
      <c r="G594" s="312" t="s">
        <v>168</v>
      </c>
      <c r="H594" s="312" t="str">
        <f>IFERROR(IF(SEARCH(".00.00.00.00.00",Tableau16[[#This Row],[name]],1)=7,"Division",""),"")</f>
        <v>Division</v>
      </c>
      <c r="I594" s="311"/>
      <c r="J594" s="313" t="s">
        <v>708</v>
      </c>
      <c r="K594" s="314">
        <f>ROUND(Tableau16[[#This Row],[LEN]]*7.27,0)</f>
        <v>196</v>
      </c>
      <c r="L594" s="314">
        <v>15</v>
      </c>
      <c r="M594" s="315" t="str">
        <f t="shared" si="4"/>
        <v>none</v>
      </c>
      <c r="N594" s="314">
        <f>LEN(Tableau16[[#This Row],[LABEL]])</f>
        <v>27</v>
      </c>
      <c r="O594" s="314">
        <v>15</v>
      </c>
      <c r="P594" s="314" t="e">
        <f>ROUND(Tableau16[[#This Row],[LEN]]*#REF!+#REF!,0)</f>
        <v>#REF!</v>
      </c>
    </row>
    <row r="595" spans="1:16" s="97" customFormat="1" x14ac:dyDescent="0.25">
      <c r="A595" s="33" t="s">
        <v>423</v>
      </c>
      <c r="B595" s="34" t="s">
        <v>273</v>
      </c>
      <c r="C595" s="35" t="s">
        <v>111</v>
      </c>
      <c r="D595" s="72" t="s">
        <v>1177</v>
      </c>
      <c r="E595" s="35" t="s">
        <v>667</v>
      </c>
      <c r="F595" s="35" t="s">
        <v>2006</v>
      </c>
      <c r="G595" s="72" t="s">
        <v>168</v>
      </c>
      <c r="H595" s="72" t="s">
        <v>655</v>
      </c>
      <c r="I595" s="35"/>
      <c r="J595" s="36" t="s">
        <v>708</v>
      </c>
      <c r="K595" s="113">
        <f>ROUND(Tableau16[[#This Row],[LEN]]*7.27,0)</f>
        <v>167</v>
      </c>
      <c r="L595" s="113">
        <v>15</v>
      </c>
      <c r="M595" s="130" t="str">
        <f t="shared" si="4"/>
        <v>none</v>
      </c>
      <c r="N595" s="113">
        <f>LEN(Tableau16[[#This Row],[LABEL]])</f>
        <v>23</v>
      </c>
      <c r="O595" s="113">
        <v>15</v>
      </c>
      <c r="P595" s="113" t="e">
        <f>ROUND(Tableau16[[#This Row],[LEN]]*#REF!+#REF!,0)</f>
        <v>#REF!</v>
      </c>
    </row>
    <row r="596" spans="1:16" s="97" customFormat="1" x14ac:dyDescent="0.25">
      <c r="A596" s="37" t="s">
        <v>426</v>
      </c>
      <c r="B596" s="38" t="s">
        <v>423</v>
      </c>
      <c r="C596" s="39" t="s">
        <v>112</v>
      </c>
      <c r="D596" s="73" t="s">
        <v>1177</v>
      </c>
      <c r="E596" s="39" t="s">
        <v>667</v>
      </c>
      <c r="F596" s="39" t="s">
        <v>2006</v>
      </c>
      <c r="G596" s="73" t="s">
        <v>168</v>
      </c>
      <c r="H596" s="73" t="s">
        <v>654</v>
      </c>
      <c r="I596" s="39"/>
      <c r="J596" s="40" t="s">
        <v>708</v>
      </c>
      <c r="K596" s="114">
        <f>ROUND(Tableau16[[#This Row],[LEN]]*7.27,0)</f>
        <v>167</v>
      </c>
      <c r="L596" s="114">
        <v>15</v>
      </c>
      <c r="M596" s="131" t="str">
        <f t="shared" si="4"/>
        <v>none</v>
      </c>
      <c r="N596" s="114">
        <f>LEN(Tableau16[[#This Row],[LABEL]])</f>
        <v>23</v>
      </c>
      <c r="O596" s="114">
        <v>15</v>
      </c>
      <c r="P596" s="114" t="e">
        <f>ROUND(Tableau16[[#This Row],[LEN]]*#REF!+#REF!,0)</f>
        <v>#REF!</v>
      </c>
    </row>
    <row r="597" spans="1:16" s="97" customFormat="1" x14ac:dyDescent="0.25">
      <c r="A597" s="37" t="s">
        <v>427</v>
      </c>
      <c r="B597" s="38" t="s">
        <v>423</v>
      </c>
      <c r="C597" s="39" t="s">
        <v>113</v>
      </c>
      <c r="D597" s="73" t="s">
        <v>1177</v>
      </c>
      <c r="E597" s="39" t="s">
        <v>667</v>
      </c>
      <c r="F597" s="39" t="s">
        <v>2006</v>
      </c>
      <c r="G597" s="73" t="s">
        <v>168</v>
      </c>
      <c r="H597" s="73" t="s">
        <v>654</v>
      </c>
      <c r="I597" s="39"/>
      <c r="J597" s="40" t="s">
        <v>708</v>
      </c>
      <c r="K597" s="114">
        <f>ROUND(Tableau16[[#This Row],[LEN]]*7.27,0)</f>
        <v>233</v>
      </c>
      <c r="L597" s="114">
        <v>15</v>
      </c>
      <c r="M597" s="131" t="str">
        <f t="shared" si="4"/>
        <v>none</v>
      </c>
      <c r="N597" s="114">
        <f>LEN(Tableau16[[#This Row],[LABEL]])</f>
        <v>32</v>
      </c>
      <c r="O597" s="114">
        <v>15</v>
      </c>
      <c r="P597" s="114" t="e">
        <f>ROUND(Tableau16[[#This Row],[LEN]]*#REF!+#REF!,0)</f>
        <v>#REF!</v>
      </c>
    </row>
    <row r="598" spans="1:16" s="97" customFormat="1" x14ac:dyDescent="0.25">
      <c r="A598" s="33" t="s">
        <v>424</v>
      </c>
      <c r="B598" s="34" t="s">
        <v>273</v>
      </c>
      <c r="C598" s="35" t="s">
        <v>156</v>
      </c>
      <c r="D598" s="72" t="s">
        <v>1177</v>
      </c>
      <c r="E598" s="35" t="s">
        <v>669</v>
      </c>
      <c r="F598" s="35" t="s">
        <v>1177</v>
      </c>
      <c r="G598" s="72" t="s">
        <v>168</v>
      </c>
      <c r="H598" s="72" t="s">
        <v>655</v>
      </c>
      <c r="I598" s="35"/>
      <c r="J598" s="36" t="s">
        <v>708</v>
      </c>
      <c r="K598" s="113">
        <f>ROUND(Tableau16[[#This Row],[LEN]]*7.27,0)</f>
        <v>131</v>
      </c>
      <c r="L598" s="113">
        <v>15</v>
      </c>
      <c r="M598" s="130" t="str">
        <f t="shared" si="4"/>
        <v>none</v>
      </c>
      <c r="N598" s="113">
        <f>LEN(Tableau16[[#This Row],[LABEL]])</f>
        <v>18</v>
      </c>
      <c r="O598" s="113">
        <v>15</v>
      </c>
      <c r="P598" s="113" t="e">
        <f>ROUND(Tableau16[[#This Row],[LEN]]*#REF!+#REF!,0)</f>
        <v>#REF!</v>
      </c>
    </row>
    <row r="599" spans="1:16" s="97" customFormat="1" x14ac:dyDescent="0.25">
      <c r="A599" s="37" t="s">
        <v>428</v>
      </c>
      <c r="B599" s="38" t="s">
        <v>424</v>
      </c>
      <c r="C599" s="39" t="s">
        <v>137</v>
      </c>
      <c r="D599" s="73" t="s">
        <v>1177</v>
      </c>
      <c r="E599" s="39" t="s">
        <v>669</v>
      </c>
      <c r="F599" s="39" t="s">
        <v>1177</v>
      </c>
      <c r="G599" s="73" t="s">
        <v>168</v>
      </c>
      <c r="H599" s="73" t="s">
        <v>654</v>
      </c>
      <c r="I599" s="39"/>
      <c r="J599" s="40" t="s">
        <v>726</v>
      </c>
      <c r="K599" s="114">
        <f>ROUND(Tableau16[[#This Row],[LEN]]*7.27,0)</f>
        <v>269</v>
      </c>
      <c r="L599" s="114">
        <v>15</v>
      </c>
      <c r="M599" s="131" t="str">
        <f t="shared" si="4"/>
        <v>new</v>
      </c>
      <c r="N599" s="114">
        <f>LEN(Tableau16[[#This Row],[LABEL]])</f>
        <v>37</v>
      </c>
      <c r="O599" s="114">
        <v>15</v>
      </c>
      <c r="P599" s="114" t="e">
        <f>ROUND(Tableau16[[#This Row],[LEN]]*#REF!+#REF!,0)</f>
        <v>#REF!</v>
      </c>
    </row>
    <row r="600" spans="1:16" s="97" customFormat="1" x14ac:dyDescent="0.25">
      <c r="A600" s="37" t="s">
        <v>429</v>
      </c>
      <c r="B600" s="38" t="s">
        <v>424</v>
      </c>
      <c r="C600" s="39" t="s">
        <v>157</v>
      </c>
      <c r="D600" s="73" t="s">
        <v>1177</v>
      </c>
      <c r="E600" s="39" t="s">
        <v>669</v>
      </c>
      <c r="F600" s="39" t="s">
        <v>1177</v>
      </c>
      <c r="G600" s="73" t="s">
        <v>168</v>
      </c>
      <c r="H600" s="73" t="s">
        <v>656</v>
      </c>
      <c r="I600" s="39"/>
      <c r="J600" s="40" t="s">
        <v>708</v>
      </c>
      <c r="K600" s="114">
        <f>ROUND(Tableau16[[#This Row],[LEN]]*7.27,0)</f>
        <v>538</v>
      </c>
      <c r="L600" s="114">
        <v>15</v>
      </c>
      <c r="M600" s="131" t="str">
        <f t="shared" si="4"/>
        <v>none</v>
      </c>
      <c r="N600" s="114">
        <f>LEN(Tableau16[[#This Row],[LABEL]])</f>
        <v>74</v>
      </c>
      <c r="O600" s="114">
        <v>15</v>
      </c>
      <c r="P600" s="114" t="e">
        <f>ROUND(Tableau16[[#This Row],[LEN]]*#REF!+#REF!,0)</f>
        <v>#REF!</v>
      </c>
    </row>
    <row r="601" spans="1:16" s="97" customFormat="1" x14ac:dyDescent="0.25">
      <c r="A601" s="37" t="s">
        <v>430</v>
      </c>
      <c r="B601" s="38" t="s">
        <v>424</v>
      </c>
      <c r="C601" s="39" t="s">
        <v>158</v>
      </c>
      <c r="D601" s="73" t="s">
        <v>1177</v>
      </c>
      <c r="E601" s="39" t="s">
        <v>669</v>
      </c>
      <c r="F601" s="39" t="s">
        <v>1177</v>
      </c>
      <c r="G601" s="73" t="s">
        <v>168</v>
      </c>
      <c r="H601" s="73" t="s">
        <v>656</v>
      </c>
      <c r="I601" s="39"/>
      <c r="J601" s="40" t="s">
        <v>708</v>
      </c>
      <c r="K601" s="114">
        <f>ROUND(Tableau16[[#This Row],[LEN]]*7.27,0)</f>
        <v>320</v>
      </c>
      <c r="L601" s="114">
        <v>15</v>
      </c>
      <c r="M601" s="131" t="str">
        <f t="shared" si="4"/>
        <v>none</v>
      </c>
      <c r="N601" s="114">
        <f>LEN(Tableau16[[#This Row],[LABEL]])</f>
        <v>44</v>
      </c>
      <c r="O601" s="114">
        <v>15</v>
      </c>
      <c r="P601" s="114" t="e">
        <f>ROUND(Tableau16[[#This Row],[LEN]]*#REF!+#REF!,0)</f>
        <v>#REF!</v>
      </c>
    </row>
    <row r="602" spans="1:16" s="97" customFormat="1" x14ac:dyDescent="0.25">
      <c r="A602" s="37" t="s">
        <v>431</v>
      </c>
      <c r="B602" s="38" t="s">
        <v>424</v>
      </c>
      <c r="C602" s="39" t="s">
        <v>159</v>
      </c>
      <c r="D602" s="73" t="s">
        <v>1177</v>
      </c>
      <c r="E602" s="39" t="s">
        <v>669</v>
      </c>
      <c r="F602" s="39" t="s">
        <v>1177</v>
      </c>
      <c r="G602" s="73" t="s">
        <v>168</v>
      </c>
      <c r="H602" s="73" t="s">
        <v>18</v>
      </c>
      <c r="I602" s="39"/>
      <c r="J602" s="40" t="s">
        <v>708</v>
      </c>
      <c r="K602" s="114">
        <f>ROUND(Tableau16[[#This Row],[LEN]]*7.27,0)</f>
        <v>407</v>
      </c>
      <c r="L602" s="114">
        <v>15</v>
      </c>
      <c r="M602" s="131" t="str">
        <f t="shared" si="4"/>
        <v>none</v>
      </c>
      <c r="N602" s="114">
        <f>LEN(Tableau16[[#This Row],[LABEL]])</f>
        <v>56</v>
      </c>
      <c r="O602" s="114">
        <v>15</v>
      </c>
      <c r="P602" s="114" t="e">
        <f>ROUND(Tableau16[[#This Row],[LEN]]*#REF!+#REF!,0)</f>
        <v>#REF!</v>
      </c>
    </row>
    <row r="603" spans="1:16" s="97" customFormat="1" x14ac:dyDescent="0.25">
      <c r="A603" s="37" t="s">
        <v>432</v>
      </c>
      <c r="B603" s="38" t="s">
        <v>424</v>
      </c>
      <c r="C603" s="39" t="s">
        <v>160</v>
      </c>
      <c r="D603" s="73" t="s">
        <v>1177</v>
      </c>
      <c r="E603" s="39" t="s">
        <v>669</v>
      </c>
      <c r="F603" s="39" t="s">
        <v>1177</v>
      </c>
      <c r="G603" s="73" t="s">
        <v>168</v>
      </c>
      <c r="H603" s="73" t="s">
        <v>18</v>
      </c>
      <c r="I603" s="39"/>
      <c r="J603" s="40" t="s">
        <v>708</v>
      </c>
      <c r="K603" s="114">
        <f>ROUND(Tableau16[[#This Row],[LEN]]*7.27,0)</f>
        <v>371</v>
      </c>
      <c r="L603" s="114">
        <v>15</v>
      </c>
      <c r="M603" s="131" t="str">
        <f t="shared" si="4"/>
        <v>none</v>
      </c>
      <c r="N603" s="114">
        <f>LEN(Tableau16[[#This Row],[LABEL]])</f>
        <v>51</v>
      </c>
      <c r="O603" s="114">
        <v>15</v>
      </c>
      <c r="P603" s="114" t="e">
        <f>ROUND(Tableau16[[#This Row],[LEN]]*#REF!+#REF!,0)</f>
        <v>#REF!</v>
      </c>
    </row>
    <row r="604" spans="1:16" s="97" customFormat="1" x14ac:dyDescent="0.25">
      <c r="A604" s="37" t="s">
        <v>433</v>
      </c>
      <c r="B604" s="38" t="s">
        <v>424</v>
      </c>
      <c r="C604" s="39" t="s">
        <v>161</v>
      </c>
      <c r="D604" s="73" t="s">
        <v>1177</v>
      </c>
      <c r="E604" s="39" t="s">
        <v>669</v>
      </c>
      <c r="F604" s="39" t="s">
        <v>1177</v>
      </c>
      <c r="G604" s="73" t="s">
        <v>168</v>
      </c>
      <c r="H604" s="73" t="s">
        <v>656</v>
      </c>
      <c r="I604" s="39"/>
      <c r="J604" s="40" t="s">
        <v>708</v>
      </c>
      <c r="K604" s="114">
        <f>ROUND(Tableau16[[#This Row],[LEN]]*7.27,0)</f>
        <v>276</v>
      </c>
      <c r="L604" s="114">
        <v>15</v>
      </c>
      <c r="M604" s="131" t="str">
        <f t="shared" si="4"/>
        <v>none</v>
      </c>
      <c r="N604" s="114">
        <f>LEN(Tableau16[[#This Row],[LABEL]])</f>
        <v>38</v>
      </c>
      <c r="O604" s="114">
        <v>15</v>
      </c>
      <c r="P604" s="114" t="e">
        <f>ROUND(Tableau16[[#This Row],[LEN]]*#REF!+#REF!,0)</f>
        <v>#REF!</v>
      </c>
    </row>
    <row r="605" spans="1:16" s="97" customFormat="1" x14ac:dyDescent="0.25">
      <c r="A605" s="37" t="s">
        <v>434</v>
      </c>
      <c r="B605" s="38" t="s">
        <v>424</v>
      </c>
      <c r="C605" s="39" t="s">
        <v>162</v>
      </c>
      <c r="D605" s="73" t="s">
        <v>1177</v>
      </c>
      <c r="E605" s="39" t="s">
        <v>669</v>
      </c>
      <c r="F605" s="39" t="s">
        <v>1177</v>
      </c>
      <c r="G605" s="73" t="s">
        <v>168</v>
      </c>
      <c r="H605" s="73" t="s">
        <v>656</v>
      </c>
      <c r="I605" s="39"/>
      <c r="J605" s="40" t="s">
        <v>708</v>
      </c>
      <c r="K605" s="114">
        <f>ROUND(Tableau16[[#This Row],[LEN]]*7.27,0)</f>
        <v>393</v>
      </c>
      <c r="L605" s="114">
        <v>15</v>
      </c>
      <c r="M605" s="131" t="str">
        <f t="shared" si="4"/>
        <v>none</v>
      </c>
      <c r="N605" s="114">
        <f>LEN(Tableau16[[#This Row],[LABEL]])</f>
        <v>54</v>
      </c>
      <c r="O605" s="114">
        <v>15</v>
      </c>
      <c r="P605" s="114" t="e">
        <f>ROUND(Tableau16[[#This Row],[LEN]]*#REF!+#REF!,0)</f>
        <v>#REF!</v>
      </c>
    </row>
    <row r="606" spans="1:16" s="97" customFormat="1" x14ac:dyDescent="0.25">
      <c r="A606" s="37" t="s">
        <v>435</v>
      </c>
      <c r="B606" s="38" t="s">
        <v>424</v>
      </c>
      <c r="C606" s="39" t="s">
        <v>163</v>
      </c>
      <c r="D606" s="73" t="s">
        <v>1177</v>
      </c>
      <c r="E606" s="39" t="s">
        <v>669</v>
      </c>
      <c r="F606" s="39" t="s">
        <v>1177</v>
      </c>
      <c r="G606" s="73" t="s">
        <v>168</v>
      </c>
      <c r="H606" s="73" t="s">
        <v>654</v>
      </c>
      <c r="I606" s="39"/>
      <c r="J606" s="40" t="s">
        <v>708</v>
      </c>
      <c r="K606" s="114">
        <f>ROUND(Tableau16[[#This Row],[LEN]]*7.27,0)</f>
        <v>153</v>
      </c>
      <c r="L606" s="114">
        <v>15</v>
      </c>
      <c r="M606" s="131" t="str">
        <f t="shared" si="4"/>
        <v>none</v>
      </c>
      <c r="N606" s="114">
        <f>LEN(Tableau16[[#This Row],[LABEL]])</f>
        <v>21</v>
      </c>
      <c r="O606" s="114">
        <v>15</v>
      </c>
      <c r="P606" s="114" t="e">
        <f>ROUND(Tableau16[[#This Row],[LEN]]*#REF!+#REF!,0)</f>
        <v>#REF!</v>
      </c>
    </row>
    <row r="607" spans="1:16" s="97" customFormat="1" x14ac:dyDescent="0.25">
      <c r="A607" s="33" t="s">
        <v>425</v>
      </c>
      <c r="B607" s="34" t="s">
        <v>273</v>
      </c>
      <c r="C607" s="35" t="s">
        <v>114</v>
      </c>
      <c r="D607" s="72" t="s">
        <v>1177</v>
      </c>
      <c r="E607" s="35" t="s">
        <v>661</v>
      </c>
      <c r="F607" s="35" t="s">
        <v>2083</v>
      </c>
      <c r="G607" s="72" t="s">
        <v>168</v>
      </c>
      <c r="H607" s="72" t="s">
        <v>654</v>
      </c>
      <c r="I607" s="35"/>
      <c r="J607" s="36" t="s">
        <v>708</v>
      </c>
      <c r="K607" s="113">
        <f>ROUND(Tableau16[[#This Row],[LEN]]*7.27,0)</f>
        <v>153</v>
      </c>
      <c r="L607" s="113">
        <v>15</v>
      </c>
      <c r="M607" s="130" t="str">
        <f t="shared" si="4"/>
        <v>none</v>
      </c>
      <c r="N607" s="113">
        <f>LEN(Tableau16[[#This Row],[LABEL]])</f>
        <v>21</v>
      </c>
      <c r="O607" s="113">
        <v>15</v>
      </c>
      <c r="P607" s="113" t="e">
        <f>ROUND(Tableau16[[#This Row],[LEN]]*#REF!+#REF!,0)</f>
        <v>#REF!</v>
      </c>
    </row>
    <row r="608" spans="1:16" s="273" customFormat="1" x14ac:dyDescent="0.25">
      <c r="A608" s="309" t="s">
        <v>274</v>
      </c>
      <c r="B608" s="310" t="s">
        <v>207</v>
      </c>
      <c r="C608" s="311" t="s">
        <v>7</v>
      </c>
      <c r="D608" s="312" t="s">
        <v>1177</v>
      </c>
      <c r="E608" s="311" t="s">
        <v>670</v>
      </c>
      <c r="F608" s="311" t="s">
        <v>1177</v>
      </c>
      <c r="G608" s="312" t="s">
        <v>168</v>
      </c>
      <c r="H608" s="312" t="str">
        <f>IFERROR(IF(SEARCH(".00.00.00.00.00",Tableau16[[#This Row],[name]],1)=7,"Division",""),"")</f>
        <v>Division</v>
      </c>
      <c r="I608" s="311"/>
      <c r="J608" s="313" t="s">
        <v>708</v>
      </c>
      <c r="K608" s="314">
        <f>ROUND(Tableau16[[#This Row],[LEN]]*7.27,0)</f>
        <v>189</v>
      </c>
      <c r="L608" s="314">
        <v>15</v>
      </c>
      <c r="M608" s="315" t="str">
        <f t="shared" si="4"/>
        <v>none</v>
      </c>
      <c r="N608" s="314">
        <f>LEN(Tableau16[[#This Row],[LABEL]])</f>
        <v>26</v>
      </c>
      <c r="O608" s="314">
        <v>15</v>
      </c>
      <c r="P608" s="314" t="e">
        <f>ROUND(Tableau16[[#This Row],[LEN]]*#REF!+#REF!,0)</f>
        <v>#REF!</v>
      </c>
    </row>
    <row r="609" spans="1:16" s="97" customFormat="1" x14ac:dyDescent="0.25">
      <c r="A609" s="33" t="s">
        <v>1436</v>
      </c>
      <c r="B609" s="34" t="s">
        <v>274</v>
      </c>
      <c r="C609" s="35" t="s">
        <v>1440</v>
      </c>
      <c r="D609" s="72" t="s">
        <v>1177</v>
      </c>
      <c r="E609" s="35" t="s">
        <v>670</v>
      </c>
      <c r="F609" s="35" t="s">
        <v>1177</v>
      </c>
      <c r="G609" s="72" t="s">
        <v>168</v>
      </c>
      <c r="H609" s="72" t="s">
        <v>656</v>
      </c>
      <c r="I609" s="35"/>
      <c r="J609" s="36" t="s">
        <v>708</v>
      </c>
      <c r="K609" s="113">
        <f>ROUND(Tableau16[[#This Row],[LEN]]*7.27,0)</f>
        <v>342</v>
      </c>
      <c r="L609" s="113">
        <v>15</v>
      </c>
      <c r="M609" s="130" t="str">
        <f t="shared" si="4"/>
        <v>none</v>
      </c>
      <c r="N609" s="113">
        <f>LEN(Tableau16[[#This Row],[LABEL]])</f>
        <v>47</v>
      </c>
      <c r="O609" s="113">
        <v>15</v>
      </c>
      <c r="P609" s="113" t="e">
        <f>ROUND(Tableau16[[#This Row],[LEN]]*#REF!+#REF!,0)</f>
        <v>#REF!</v>
      </c>
    </row>
    <row r="610" spans="1:16" s="97" customFormat="1" x14ac:dyDescent="0.25">
      <c r="A610" s="33" t="s">
        <v>1437</v>
      </c>
      <c r="B610" s="34" t="s">
        <v>274</v>
      </c>
      <c r="C610" s="35" t="s">
        <v>1441</v>
      </c>
      <c r="D610" s="72" t="s">
        <v>1177</v>
      </c>
      <c r="E610" s="35" t="s">
        <v>670</v>
      </c>
      <c r="F610" s="35" t="s">
        <v>1177</v>
      </c>
      <c r="G610" s="72" t="s">
        <v>168</v>
      </c>
      <c r="H610" s="72" t="s">
        <v>656</v>
      </c>
      <c r="I610" s="35"/>
      <c r="J610" s="36" t="s">
        <v>708</v>
      </c>
      <c r="K610" s="113">
        <f>ROUND(Tableau16[[#This Row],[LEN]]*7.27,0)</f>
        <v>305</v>
      </c>
      <c r="L610" s="113">
        <v>15</v>
      </c>
      <c r="M610" s="130" t="str">
        <f t="shared" si="4"/>
        <v>none</v>
      </c>
      <c r="N610" s="113">
        <f>LEN(Tableau16[[#This Row],[LABEL]])</f>
        <v>42</v>
      </c>
      <c r="O610" s="113">
        <v>15</v>
      </c>
      <c r="P610" s="113" t="e">
        <f>ROUND(Tableau16[[#This Row],[LEN]]*#REF!+#REF!,0)</f>
        <v>#REF!</v>
      </c>
    </row>
    <row r="611" spans="1:16" s="97" customFormat="1" x14ac:dyDescent="0.25">
      <c r="A611" s="33" t="s">
        <v>1438</v>
      </c>
      <c r="B611" s="34" t="s">
        <v>274</v>
      </c>
      <c r="C611" s="35" t="s">
        <v>1442</v>
      </c>
      <c r="D611" s="72" t="s">
        <v>1177</v>
      </c>
      <c r="E611" s="35" t="s">
        <v>670</v>
      </c>
      <c r="F611" s="35" t="s">
        <v>1177</v>
      </c>
      <c r="G611" s="72" t="s">
        <v>168</v>
      </c>
      <c r="H611" s="72" t="s">
        <v>656</v>
      </c>
      <c r="I611" s="35"/>
      <c r="J611" s="36" t="s">
        <v>708</v>
      </c>
      <c r="K611" s="113">
        <f>ROUND(Tableau16[[#This Row],[LEN]]*7.27,0)</f>
        <v>167</v>
      </c>
      <c r="L611" s="113">
        <v>15</v>
      </c>
      <c r="M611" s="130" t="str">
        <f t="shared" si="4"/>
        <v>none</v>
      </c>
      <c r="N611" s="113">
        <f>LEN(Tableau16[[#This Row],[LABEL]])</f>
        <v>23</v>
      </c>
      <c r="O611" s="113">
        <v>15</v>
      </c>
      <c r="P611" s="113" t="e">
        <f>ROUND(Tableau16[[#This Row],[LEN]]*#REF!+#REF!,0)</f>
        <v>#REF!</v>
      </c>
    </row>
    <row r="612" spans="1:16" s="97" customFormat="1" x14ac:dyDescent="0.25">
      <c r="A612" s="33" t="s">
        <v>1439</v>
      </c>
      <c r="B612" s="34" t="s">
        <v>274</v>
      </c>
      <c r="C612" s="35" t="s">
        <v>1443</v>
      </c>
      <c r="D612" s="72" t="s">
        <v>1177</v>
      </c>
      <c r="E612" s="35" t="s">
        <v>670</v>
      </c>
      <c r="F612" s="35" t="s">
        <v>1177</v>
      </c>
      <c r="G612" s="72" t="s">
        <v>168</v>
      </c>
      <c r="H612" s="72" t="s">
        <v>656</v>
      </c>
      <c r="I612" s="35"/>
      <c r="J612" s="36" t="s">
        <v>708</v>
      </c>
      <c r="K612" s="113">
        <f>ROUND(Tableau16[[#This Row],[LEN]]*7.27,0)</f>
        <v>385</v>
      </c>
      <c r="L612" s="113">
        <v>15</v>
      </c>
      <c r="M612" s="130" t="str">
        <f t="shared" si="4"/>
        <v>none</v>
      </c>
      <c r="N612" s="113">
        <f>LEN(Tableau16[[#This Row],[LABEL]])</f>
        <v>53</v>
      </c>
      <c r="O612" s="113">
        <v>15</v>
      </c>
      <c r="P612" s="113" t="e">
        <f>ROUND(Tableau16[[#This Row],[LEN]]*#REF!+#REF!,0)</f>
        <v>#REF!</v>
      </c>
    </row>
    <row r="613" spans="1:16" s="273" customFormat="1" x14ac:dyDescent="0.25">
      <c r="A613" s="309" t="s">
        <v>276</v>
      </c>
      <c r="B613" s="310" t="s">
        <v>207</v>
      </c>
      <c r="C613" s="311" t="s">
        <v>9</v>
      </c>
      <c r="D613" s="312" t="s">
        <v>1177</v>
      </c>
      <c r="E613" s="311" t="s">
        <v>672</v>
      </c>
      <c r="F613" s="311" t="s">
        <v>1177</v>
      </c>
      <c r="G613" s="312" t="s">
        <v>168</v>
      </c>
      <c r="H613" s="312" t="str">
        <f>IFERROR(IF(SEARCH(".00.00.00.00.00",Tableau16[[#This Row],[name]],1)=7,"Division",""),"")</f>
        <v>Division</v>
      </c>
      <c r="I613" s="311"/>
      <c r="J613" s="313" t="s">
        <v>718</v>
      </c>
      <c r="K613" s="314">
        <f>ROUND(Tableau16[[#This Row],[LEN]]*7.27,0)</f>
        <v>80</v>
      </c>
      <c r="L613" s="314">
        <v>15</v>
      </c>
      <c r="M613" s="315" t="str">
        <f t="shared" si="4"/>
        <v>new</v>
      </c>
      <c r="N613" s="314">
        <f>LEN(Tableau16[[#This Row],[LABEL]])</f>
        <v>11</v>
      </c>
      <c r="O613" s="314">
        <v>15</v>
      </c>
      <c r="P613" s="314" t="e">
        <f>ROUND(Tableau16[[#This Row],[LEN]]*#REF!+#REF!,0)</f>
        <v>#REF!</v>
      </c>
    </row>
    <row r="614" spans="1:16" s="97" customFormat="1" x14ac:dyDescent="0.25">
      <c r="A614" s="33" t="s">
        <v>1444</v>
      </c>
      <c r="B614" s="34" t="s">
        <v>276</v>
      </c>
      <c r="C614" s="35" t="s">
        <v>111</v>
      </c>
      <c r="D614" s="72" t="s">
        <v>1177</v>
      </c>
      <c r="E614" s="35" t="s">
        <v>667</v>
      </c>
      <c r="F614" s="35" t="s">
        <v>2006</v>
      </c>
      <c r="G614" s="72" t="s">
        <v>168</v>
      </c>
      <c r="H614" s="72" t="s">
        <v>655</v>
      </c>
      <c r="I614" s="35"/>
      <c r="J614" s="36" t="s">
        <v>708</v>
      </c>
      <c r="K614" s="113">
        <f>ROUND(Tableau16[[#This Row],[LEN]]*7.27,0)</f>
        <v>167</v>
      </c>
      <c r="L614" s="113">
        <v>15</v>
      </c>
      <c r="M614" s="130" t="str">
        <f t="shared" si="4"/>
        <v>none</v>
      </c>
      <c r="N614" s="113">
        <f>LEN(Tableau16[[#This Row],[LABEL]])</f>
        <v>23</v>
      </c>
      <c r="O614" s="113">
        <v>15</v>
      </c>
      <c r="P614" s="113" t="e">
        <f>ROUND(Tableau16[[#This Row],[LEN]]*#REF!+#REF!,0)</f>
        <v>#REF!</v>
      </c>
    </row>
    <row r="615" spans="1:16" s="97" customFormat="1" x14ac:dyDescent="0.25">
      <c r="A615" s="37" t="s">
        <v>509</v>
      </c>
      <c r="B615" s="38" t="s">
        <v>1444</v>
      </c>
      <c r="C615" s="39" t="s">
        <v>112</v>
      </c>
      <c r="D615" s="73" t="s">
        <v>1177</v>
      </c>
      <c r="E615" s="39" t="s">
        <v>667</v>
      </c>
      <c r="F615" s="39" t="s">
        <v>2006</v>
      </c>
      <c r="G615" s="73" t="s">
        <v>168</v>
      </c>
      <c r="H615" s="73" t="s">
        <v>654</v>
      </c>
      <c r="I615" s="39"/>
      <c r="J615" s="40" t="s">
        <v>708</v>
      </c>
      <c r="K615" s="114">
        <f>ROUND(Tableau16[[#This Row],[LEN]]*7.27,0)</f>
        <v>167</v>
      </c>
      <c r="L615" s="114">
        <v>15</v>
      </c>
      <c r="M615" s="131" t="str">
        <f t="shared" si="4"/>
        <v>none</v>
      </c>
      <c r="N615" s="114">
        <f>LEN(Tableau16[[#This Row],[LABEL]])</f>
        <v>23</v>
      </c>
      <c r="O615" s="114">
        <v>15</v>
      </c>
      <c r="P615" s="114" t="e">
        <f>ROUND(Tableau16[[#This Row],[LEN]]*#REF!+#REF!,0)</f>
        <v>#REF!</v>
      </c>
    </row>
    <row r="616" spans="1:16" s="97" customFormat="1" x14ac:dyDescent="0.25">
      <c r="A616" s="37" t="s">
        <v>510</v>
      </c>
      <c r="B616" s="38" t="s">
        <v>1444</v>
      </c>
      <c r="C616" s="39" t="s">
        <v>113</v>
      </c>
      <c r="D616" s="73" t="s">
        <v>1177</v>
      </c>
      <c r="E616" s="39" t="s">
        <v>667</v>
      </c>
      <c r="F616" s="39" t="s">
        <v>2006</v>
      </c>
      <c r="G616" s="73" t="s">
        <v>168</v>
      </c>
      <c r="H616" s="73" t="s">
        <v>654</v>
      </c>
      <c r="I616" s="39"/>
      <c r="J616" s="40" t="s">
        <v>708</v>
      </c>
      <c r="K616" s="114">
        <f>ROUND(Tableau16[[#This Row],[LEN]]*7.27,0)</f>
        <v>233</v>
      </c>
      <c r="L616" s="114">
        <v>15</v>
      </c>
      <c r="M616" s="131" t="str">
        <f t="shared" si="4"/>
        <v>none</v>
      </c>
      <c r="N616" s="114">
        <f>LEN(Tableau16[[#This Row],[LABEL]])</f>
        <v>32</v>
      </c>
      <c r="O616" s="114">
        <v>15</v>
      </c>
      <c r="P616" s="114" t="e">
        <f>ROUND(Tableau16[[#This Row],[LEN]]*#REF!+#REF!,0)</f>
        <v>#REF!</v>
      </c>
    </row>
    <row r="617" spans="1:16" s="273" customFormat="1" x14ac:dyDescent="0.25">
      <c r="A617" s="309" t="s">
        <v>277</v>
      </c>
      <c r="B617" s="310" t="s">
        <v>207</v>
      </c>
      <c r="C617" s="311" t="s">
        <v>10</v>
      </c>
      <c r="D617" s="312" t="s">
        <v>1177</v>
      </c>
      <c r="E617" s="311" t="s">
        <v>673</v>
      </c>
      <c r="F617" s="311" t="s">
        <v>1177</v>
      </c>
      <c r="G617" s="312" t="s">
        <v>168</v>
      </c>
      <c r="H617" s="312" t="str">
        <f>IFERROR(IF(SEARCH(".00.00.00.00.00",Tableau16[[#This Row],[name]],1)=7,"Division",""),"")</f>
        <v>Division</v>
      </c>
      <c r="I617" s="311"/>
      <c r="J617" s="313" t="s">
        <v>719</v>
      </c>
      <c r="K617" s="314">
        <f>ROUND(Tableau16[[#This Row],[LEN]]*7.27,0)</f>
        <v>109</v>
      </c>
      <c r="L617" s="314">
        <v>15</v>
      </c>
      <c r="M617" s="315" t="str">
        <f t="shared" si="4"/>
        <v>new</v>
      </c>
      <c r="N617" s="314">
        <f>LEN(Tableau16[[#This Row],[LABEL]])</f>
        <v>15</v>
      </c>
      <c r="O617" s="314">
        <v>15</v>
      </c>
      <c r="P617" s="314" t="e">
        <f>ROUND(Tableau16[[#This Row],[LEN]]*#REF!+#REF!,0)</f>
        <v>#REF!</v>
      </c>
    </row>
    <row r="618" spans="1:16" s="97" customFormat="1" x14ac:dyDescent="0.25">
      <c r="A618" s="33" t="s">
        <v>1446</v>
      </c>
      <c r="B618" s="34" t="s">
        <v>277</v>
      </c>
      <c r="C618" s="35" t="s">
        <v>111</v>
      </c>
      <c r="D618" s="72" t="s">
        <v>1177</v>
      </c>
      <c r="E618" s="35" t="s">
        <v>667</v>
      </c>
      <c r="F618" s="35" t="s">
        <v>2006</v>
      </c>
      <c r="G618" s="72" t="s">
        <v>168</v>
      </c>
      <c r="H618" s="72" t="s">
        <v>655</v>
      </c>
      <c r="I618" s="35"/>
      <c r="J618" s="36" t="s">
        <v>708</v>
      </c>
      <c r="K618" s="113">
        <f>ROUND(Tableau16[[#This Row],[LEN]]*7.27,0)</f>
        <v>167</v>
      </c>
      <c r="L618" s="113">
        <v>15</v>
      </c>
      <c r="M618" s="130" t="str">
        <f t="shared" si="4"/>
        <v>none</v>
      </c>
      <c r="N618" s="113">
        <f>LEN(Tableau16[[#This Row],[LABEL]])</f>
        <v>23</v>
      </c>
      <c r="O618" s="113">
        <v>15</v>
      </c>
      <c r="P618" s="113" t="e">
        <f>ROUND(Tableau16[[#This Row],[LEN]]*#REF!+#REF!,0)</f>
        <v>#REF!</v>
      </c>
    </row>
    <row r="619" spans="1:16" s="97" customFormat="1" x14ac:dyDescent="0.25">
      <c r="A619" s="37" t="s">
        <v>1448</v>
      </c>
      <c r="B619" s="38" t="s">
        <v>1446</v>
      </c>
      <c r="C619" s="39" t="s">
        <v>112</v>
      </c>
      <c r="D619" s="73" t="s">
        <v>1177</v>
      </c>
      <c r="E619" s="39" t="s">
        <v>667</v>
      </c>
      <c r="F619" s="39" t="s">
        <v>2006</v>
      </c>
      <c r="G619" s="73" t="s">
        <v>168</v>
      </c>
      <c r="H619" s="73" t="s">
        <v>654</v>
      </c>
      <c r="I619" s="39"/>
      <c r="J619" s="40" t="s">
        <v>708</v>
      </c>
      <c r="K619" s="114">
        <f>ROUND(Tableau16[[#This Row],[LEN]]*7.27,0)</f>
        <v>167</v>
      </c>
      <c r="L619" s="114">
        <v>15</v>
      </c>
      <c r="M619" s="131" t="str">
        <f t="shared" si="4"/>
        <v>none</v>
      </c>
      <c r="N619" s="114">
        <f>LEN(Tableau16[[#This Row],[LABEL]])</f>
        <v>23</v>
      </c>
      <c r="O619" s="114">
        <v>15</v>
      </c>
      <c r="P619" s="114" t="e">
        <f>ROUND(Tableau16[[#This Row],[LEN]]*#REF!+#REF!,0)</f>
        <v>#REF!</v>
      </c>
    </row>
    <row r="620" spans="1:16" s="97" customFormat="1" x14ac:dyDescent="0.25">
      <c r="A620" s="37" t="s">
        <v>1449</v>
      </c>
      <c r="B620" s="38" t="s">
        <v>1446</v>
      </c>
      <c r="C620" s="39" t="s">
        <v>113</v>
      </c>
      <c r="D620" s="73" t="s">
        <v>1177</v>
      </c>
      <c r="E620" s="39" t="s">
        <v>667</v>
      </c>
      <c r="F620" s="39" t="s">
        <v>2006</v>
      </c>
      <c r="G620" s="73" t="s">
        <v>168</v>
      </c>
      <c r="H620" s="73" t="s">
        <v>654</v>
      </c>
      <c r="I620" s="39"/>
      <c r="J620" s="40" t="s">
        <v>708</v>
      </c>
      <c r="K620" s="114">
        <f>ROUND(Tableau16[[#This Row],[LEN]]*7.27,0)</f>
        <v>233</v>
      </c>
      <c r="L620" s="114">
        <v>15</v>
      </c>
      <c r="M620" s="131" t="str">
        <f t="shared" si="4"/>
        <v>none</v>
      </c>
      <c r="N620" s="114">
        <f>LEN(Tableau16[[#This Row],[LABEL]])</f>
        <v>32</v>
      </c>
      <c r="O620" s="114">
        <v>15</v>
      </c>
      <c r="P620" s="114" t="e">
        <f>ROUND(Tableau16[[#This Row],[LEN]]*#REF!+#REF!,0)</f>
        <v>#REF!</v>
      </c>
    </row>
    <row r="621" spans="1:16" s="97" customFormat="1" x14ac:dyDescent="0.25">
      <c r="A621" s="33" t="s">
        <v>1447</v>
      </c>
      <c r="B621" s="34" t="s">
        <v>277</v>
      </c>
      <c r="C621" s="35" t="s">
        <v>114</v>
      </c>
      <c r="D621" s="72" t="s">
        <v>1177</v>
      </c>
      <c r="E621" s="35" t="s">
        <v>661</v>
      </c>
      <c r="F621" s="35" t="s">
        <v>2083</v>
      </c>
      <c r="G621" s="72" t="s">
        <v>168</v>
      </c>
      <c r="H621" s="72" t="s">
        <v>654</v>
      </c>
      <c r="I621" s="35"/>
      <c r="J621" s="36" t="s">
        <v>708</v>
      </c>
      <c r="K621" s="113">
        <f>ROUND(Tableau16[[#This Row],[LEN]]*7.27,0)</f>
        <v>153</v>
      </c>
      <c r="L621" s="113">
        <v>15</v>
      </c>
      <c r="M621" s="130" t="str">
        <f t="shared" si="4"/>
        <v>none</v>
      </c>
      <c r="N621" s="113">
        <f>LEN(Tableau16[[#This Row],[LABEL]])</f>
        <v>21</v>
      </c>
      <c r="O621" s="113">
        <v>15</v>
      </c>
      <c r="P621" s="113" t="e">
        <f>ROUND(Tableau16[[#This Row],[LEN]]*#REF!+#REF!,0)</f>
        <v>#REF!</v>
      </c>
    </row>
    <row r="622" spans="1:16" s="273" customFormat="1" x14ac:dyDescent="0.25">
      <c r="A622" s="309" t="s">
        <v>278</v>
      </c>
      <c r="B622" s="310" t="s">
        <v>207</v>
      </c>
      <c r="C622" s="311" t="s">
        <v>11</v>
      </c>
      <c r="D622" s="312" t="s">
        <v>1177</v>
      </c>
      <c r="E622" s="311" t="s">
        <v>674</v>
      </c>
      <c r="F622" s="311" t="s">
        <v>1177</v>
      </c>
      <c r="G622" s="312" t="s">
        <v>168</v>
      </c>
      <c r="H622" s="312" t="str">
        <f>IFERROR(IF(SEARCH(".00.00.00.00.00",Tableau16[[#This Row],[name]],1)=7,"Division",""),"")</f>
        <v>Division</v>
      </c>
      <c r="I622" s="311"/>
      <c r="J622" s="313" t="s">
        <v>720</v>
      </c>
      <c r="K622" s="314">
        <f>ROUND(Tableau16[[#This Row],[LEN]]*7.27,0)</f>
        <v>51</v>
      </c>
      <c r="L622" s="314">
        <v>15</v>
      </c>
      <c r="M622" s="315" t="str">
        <f t="shared" si="4"/>
        <v>new</v>
      </c>
      <c r="N622" s="314">
        <f>LEN(Tableau16[[#This Row],[LABEL]])</f>
        <v>7</v>
      </c>
      <c r="O622" s="314">
        <v>15</v>
      </c>
      <c r="P622" s="314" t="e">
        <f>ROUND(Tableau16[[#This Row],[LEN]]*#REF!+#REF!,0)</f>
        <v>#REF!</v>
      </c>
    </row>
    <row r="623" spans="1:16" s="97" customFormat="1" x14ac:dyDescent="0.25">
      <c r="A623" s="33" t="s">
        <v>1450</v>
      </c>
      <c r="B623" s="34" t="s">
        <v>278</v>
      </c>
      <c r="C623" s="35" t="s">
        <v>111</v>
      </c>
      <c r="D623" s="72" t="s">
        <v>1177</v>
      </c>
      <c r="E623" s="35" t="s">
        <v>667</v>
      </c>
      <c r="F623" s="35" t="s">
        <v>2006</v>
      </c>
      <c r="G623" s="72" t="s">
        <v>168</v>
      </c>
      <c r="H623" s="72" t="s">
        <v>655</v>
      </c>
      <c r="I623" s="35"/>
      <c r="J623" s="36" t="s">
        <v>708</v>
      </c>
      <c r="K623" s="113">
        <f>ROUND(Tableau16[[#This Row],[LEN]]*7.27,0)</f>
        <v>167</v>
      </c>
      <c r="L623" s="113">
        <v>15</v>
      </c>
      <c r="M623" s="130" t="str">
        <f t="shared" si="4"/>
        <v>none</v>
      </c>
      <c r="N623" s="113">
        <f>LEN(Tableau16[[#This Row],[LABEL]])</f>
        <v>23</v>
      </c>
      <c r="O623" s="113">
        <v>15</v>
      </c>
      <c r="P623" s="113" t="e">
        <f>ROUND(Tableau16[[#This Row],[LEN]]*#REF!+#REF!,0)</f>
        <v>#REF!</v>
      </c>
    </row>
    <row r="624" spans="1:16" s="97" customFormat="1" x14ac:dyDescent="0.25">
      <c r="A624" s="37" t="s">
        <v>1451</v>
      </c>
      <c r="B624" s="38" t="s">
        <v>1450</v>
      </c>
      <c r="C624" s="39" t="s">
        <v>112</v>
      </c>
      <c r="D624" s="73" t="s">
        <v>1177</v>
      </c>
      <c r="E624" s="39" t="s">
        <v>667</v>
      </c>
      <c r="F624" s="39" t="s">
        <v>2006</v>
      </c>
      <c r="G624" s="73" t="s">
        <v>168</v>
      </c>
      <c r="H624" s="73" t="s">
        <v>654</v>
      </c>
      <c r="I624" s="39"/>
      <c r="J624" s="40" t="s">
        <v>708</v>
      </c>
      <c r="K624" s="114">
        <f>ROUND(Tableau16[[#This Row],[LEN]]*7.27,0)</f>
        <v>167</v>
      </c>
      <c r="L624" s="114">
        <v>15</v>
      </c>
      <c r="M624" s="131" t="str">
        <f t="shared" si="4"/>
        <v>none</v>
      </c>
      <c r="N624" s="114">
        <f>LEN(Tableau16[[#This Row],[LABEL]])</f>
        <v>23</v>
      </c>
      <c r="O624" s="114">
        <v>15</v>
      </c>
      <c r="P624" s="114" t="e">
        <f>ROUND(Tableau16[[#This Row],[LEN]]*#REF!+#REF!,0)</f>
        <v>#REF!</v>
      </c>
    </row>
    <row r="625" spans="1:16" s="97" customFormat="1" x14ac:dyDescent="0.25">
      <c r="A625" s="37" t="s">
        <v>1452</v>
      </c>
      <c r="B625" s="38" t="s">
        <v>1450</v>
      </c>
      <c r="C625" s="39" t="s">
        <v>113</v>
      </c>
      <c r="D625" s="73" t="s">
        <v>1177</v>
      </c>
      <c r="E625" s="39" t="s">
        <v>667</v>
      </c>
      <c r="F625" s="39" t="s">
        <v>2006</v>
      </c>
      <c r="G625" s="73" t="s">
        <v>168</v>
      </c>
      <c r="H625" s="73" t="s">
        <v>654</v>
      </c>
      <c r="I625" s="39"/>
      <c r="J625" s="40" t="s">
        <v>708</v>
      </c>
      <c r="K625" s="114">
        <f>ROUND(Tableau16[[#This Row],[LEN]]*7.27,0)</f>
        <v>233</v>
      </c>
      <c r="L625" s="114">
        <v>15</v>
      </c>
      <c r="M625" s="131" t="str">
        <f t="shared" si="4"/>
        <v>none</v>
      </c>
      <c r="N625" s="114">
        <f>LEN(Tableau16[[#This Row],[LABEL]])</f>
        <v>32</v>
      </c>
      <c r="O625" s="114">
        <v>15</v>
      </c>
      <c r="P625" s="114" t="e">
        <f>ROUND(Tableau16[[#This Row],[LEN]]*#REF!+#REF!,0)</f>
        <v>#REF!</v>
      </c>
    </row>
    <row r="626" spans="1:16" s="97" customFormat="1" x14ac:dyDescent="0.25">
      <c r="A626" s="33" t="s">
        <v>1450</v>
      </c>
      <c r="B626" s="34" t="s">
        <v>278</v>
      </c>
      <c r="C626" s="35" t="s">
        <v>1456</v>
      </c>
      <c r="D626" s="72" t="s">
        <v>1177</v>
      </c>
      <c r="E626" s="35" t="s">
        <v>674</v>
      </c>
      <c r="F626" s="35" t="s">
        <v>1177</v>
      </c>
      <c r="G626" s="72" t="s">
        <v>168</v>
      </c>
      <c r="H626" s="72" t="s">
        <v>656</v>
      </c>
      <c r="I626" s="35"/>
      <c r="J626" s="36" t="s">
        <v>708</v>
      </c>
      <c r="K626" s="113">
        <f>ROUND(Tableau16[[#This Row],[LEN]]*7.27,0)</f>
        <v>342</v>
      </c>
      <c r="L626" s="113">
        <v>15</v>
      </c>
      <c r="M626" s="130" t="str">
        <f t="shared" si="4"/>
        <v>none</v>
      </c>
      <c r="N626" s="113">
        <f>LEN(Tableau16[[#This Row],[LABEL]])</f>
        <v>47</v>
      </c>
      <c r="O626" s="113">
        <v>15</v>
      </c>
      <c r="P626" s="113" t="e">
        <f>ROUND(Tableau16[[#This Row],[LEN]]*#REF!+#REF!,0)</f>
        <v>#REF!</v>
      </c>
    </row>
    <row r="627" spans="1:16" s="97" customFormat="1" x14ac:dyDescent="0.25">
      <c r="A627" s="33" t="s">
        <v>1453</v>
      </c>
      <c r="B627" s="34" t="s">
        <v>278</v>
      </c>
      <c r="C627" s="35" t="s">
        <v>1457</v>
      </c>
      <c r="D627" s="72" t="s">
        <v>1177</v>
      </c>
      <c r="E627" s="35" t="s">
        <v>674</v>
      </c>
      <c r="F627" s="35" t="s">
        <v>1177</v>
      </c>
      <c r="G627" s="72" t="s">
        <v>168</v>
      </c>
      <c r="H627" s="72" t="s">
        <v>656</v>
      </c>
      <c r="I627" s="35"/>
      <c r="J627" s="36" t="s">
        <v>708</v>
      </c>
      <c r="K627" s="113">
        <f>ROUND(Tableau16[[#This Row],[LEN]]*7.27,0)</f>
        <v>414</v>
      </c>
      <c r="L627" s="113">
        <v>15</v>
      </c>
      <c r="M627" s="130" t="str">
        <f t="shared" si="4"/>
        <v>none</v>
      </c>
      <c r="N627" s="113">
        <f>LEN(Tableau16[[#This Row],[LABEL]])</f>
        <v>57</v>
      </c>
      <c r="O627" s="113">
        <v>15</v>
      </c>
      <c r="P627" s="113" t="e">
        <f>ROUND(Tableau16[[#This Row],[LEN]]*#REF!+#REF!,0)</f>
        <v>#REF!</v>
      </c>
    </row>
    <row r="628" spans="1:16" s="97" customFormat="1" x14ac:dyDescent="0.25">
      <c r="A628" s="33" t="s">
        <v>1454</v>
      </c>
      <c r="B628" s="34" t="s">
        <v>278</v>
      </c>
      <c r="C628" s="35" t="s">
        <v>1455</v>
      </c>
      <c r="D628" s="72" t="s">
        <v>1177</v>
      </c>
      <c r="E628" s="35" t="s">
        <v>674</v>
      </c>
      <c r="F628" s="35" t="s">
        <v>1177</v>
      </c>
      <c r="G628" s="72" t="s">
        <v>168</v>
      </c>
      <c r="H628" s="72" t="s">
        <v>656</v>
      </c>
      <c r="I628" s="35"/>
      <c r="J628" s="36" t="s">
        <v>708</v>
      </c>
      <c r="K628" s="113">
        <f>ROUND(Tableau16[[#This Row],[LEN]]*7.27,0)</f>
        <v>160</v>
      </c>
      <c r="L628" s="113">
        <v>15</v>
      </c>
      <c r="M628" s="130" t="str">
        <f t="shared" si="4"/>
        <v>none</v>
      </c>
      <c r="N628" s="113">
        <f>LEN(Tableau16[[#This Row],[LABEL]])</f>
        <v>22</v>
      </c>
      <c r="O628" s="113">
        <v>15</v>
      </c>
      <c r="P628" s="113" t="e">
        <f>ROUND(Tableau16[[#This Row],[LEN]]*#REF!+#REF!,0)</f>
        <v>#REF!</v>
      </c>
    </row>
    <row r="629" spans="1:16" s="97" customFormat="1" x14ac:dyDescent="0.25">
      <c r="A629" s="33" t="s">
        <v>1450</v>
      </c>
      <c r="B629" s="34" t="s">
        <v>278</v>
      </c>
      <c r="C629" s="35" t="s">
        <v>114</v>
      </c>
      <c r="D629" s="72" t="s">
        <v>1177</v>
      </c>
      <c r="E629" s="35" t="s">
        <v>661</v>
      </c>
      <c r="F629" s="35" t="s">
        <v>2083</v>
      </c>
      <c r="G629" s="72" t="s">
        <v>168</v>
      </c>
      <c r="H629" s="72" t="s">
        <v>655</v>
      </c>
      <c r="I629" s="35"/>
      <c r="J629" s="36" t="s">
        <v>708</v>
      </c>
      <c r="K629" s="113">
        <f>ROUND(Tableau16[[#This Row],[LEN]]*7.27,0)</f>
        <v>153</v>
      </c>
      <c r="L629" s="113">
        <v>15</v>
      </c>
      <c r="M629" s="130" t="str">
        <f t="shared" si="4"/>
        <v>none</v>
      </c>
      <c r="N629" s="113">
        <f>LEN(Tableau16[[#This Row],[LABEL]])</f>
        <v>21</v>
      </c>
      <c r="O629" s="113">
        <v>15</v>
      </c>
      <c r="P629" s="113" t="e">
        <f>ROUND(Tableau16[[#This Row],[LEN]]*#REF!+#REF!,0)</f>
        <v>#REF!</v>
      </c>
    </row>
    <row r="630" spans="1:16" s="97" customFormat="1" x14ac:dyDescent="0.25">
      <c r="A630" s="37" t="s">
        <v>1451</v>
      </c>
      <c r="B630" s="38" t="s">
        <v>1450</v>
      </c>
      <c r="C630" s="39" t="s">
        <v>1458</v>
      </c>
      <c r="D630" s="73" t="s">
        <v>1177</v>
      </c>
      <c r="E630" s="39" t="s">
        <v>661</v>
      </c>
      <c r="F630" s="39" t="s">
        <v>2083</v>
      </c>
      <c r="G630" s="73" t="s">
        <v>168</v>
      </c>
      <c r="H630" s="73" t="s">
        <v>654</v>
      </c>
      <c r="I630" s="39"/>
      <c r="J630" s="40" t="s">
        <v>708</v>
      </c>
      <c r="K630" s="114">
        <f>ROUND(Tableau16[[#This Row],[LEN]]*7.27,0)</f>
        <v>189</v>
      </c>
      <c r="L630" s="114">
        <v>15</v>
      </c>
      <c r="M630" s="131" t="str">
        <f t="shared" si="4"/>
        <v>none</v>
      </c>
      <c r="N630" s="114">
        <f>LEN(Tableau16[[#This Row],[LABEL]])</f>
        <v>26</v>
      </c>
      <c r="O630" s="114">
        <v>15</v>
      </c>
      <c r="P630" s="114" t="e">
        <f>ROUND(Tableau16[[#This Row],[LEN]]*#REF!+#REF!,0)</f>
        <v>#REF!</v>
      </c>
    </row>
    <row r="631" spans="1:16" s="97" customFormat="1" x14ac:dyDescent="0.25">
      <c r="A631" s="37" t="s">
        <v>1452</v>
      </c>
      <c r="B631" s="38" t="s">
        <v>1450</v>
      </c>
      <c r="C631" s="39" t="s">
        <v>1459</v>
      </c>
      <c r="D631" s="73" t="s">
        <v>1177</v>
      </c>
      <c r="E631" s="39" t="s">
        <v>661</v>
      </c>
      <c r="F631" s="39" t="s">
        <v>2083</v>
      </c>
      <c r="G631" s="73" t="s">
        <v>168</v>
      </c>
      <c r="H631" s="73" t="s">
        <v>654</v>
      </c>
      <c r="I631" s="39"/>
      <c r="J631" s="40" t="s">
        <v>708</v>
      </c>
      <c r="K631" s="114">
        <f>ROUND(Tableau16[[#This Row],[LEN]]*7.27,0)</f>
        <v>204</v>
      </c>
      <c r="L631" s="114">
        <v>15</v>
      </c>
      <c r="M631" s="131" t="str">
        <f t="shared" si="4"/>
        <v>none</v>
      </c>
      <c r="N631" s="114">
        <f>LEN(Tableau16[[#This Row],[LABEL]])</f>
        <v>28</v>
      </c>
      <c r="O631" s="114">
        <v>15</v>
      </c>
      <c r="P631" s="114" t="e">
        <f>ROUND(Tableau16[[#This Row],[LEN]]*#REF!+#REF!,0)</f>
        <v>#REF!</v>
      </c>
    </row>
    <row r="632" spans="1:16" s="273" customFormat="1" x14ac:dyDescent="0.25">
      <c r="A632" s="309" t="s">
        <v>279</v>
      </c>
      <c r="B632" s="310" t="s">
        <v>207</v>
      </c>
      <c r="C632" s="311" t="s">
        <v>12</v>
      </c>
      <c r="D632" s="312" t="s">
        <v>1177</v>
      </c>
      <c r="E632" s="311" t="s">
        <v>675</v>
      </c>
      <c r="F632" s="311" t="s">
        <v>1177</v>
      </c>
      <c r="G632" s="312" t="s">
        <v>168</v>
      </c>
      <c r="H632" s="312" t="str">
        <f>IFERROR(IF(SEARCH(".00.00.00.00.00",Tableau16[[#This Row],[name]],1)=7,"Division",""),"")</f>
        <v>Division</v>
      </c>
      <c r="I632" s="311"/>
      <c r="J632" s="313" t="s">
        <v>721</v>
      </c>
      <c r="K632" s="314">
        <f>ROUND(Tableau16[[#This Row],[LEN]]*7.27,0)</f>
        <v>15</v>
      </c>
      <c r="L632" s="314">
        <v>15</v>
      </c>
      <c r="M632" s="315" t="str">
        <f t="shared" si="4"/>
        <v>new</v>
      </c>
      <c r="N632" s="314">
        <f>LEN(Tableau16[[#This Row],[LABEL]])</f>
        <v>2</v>
      </c>
      <c r="O632" s="314">
        <v>15</v>
      </c>
      <c r="P632" s="314" t="e">
        <f>ROUND(Tableau16[[#This Row],[LEN]]*#REF!+#REF!,0)</f>
        <v>#REF!</v>
      </c>
    </row>
    <row r="633" spans="1:16" s="97" customFormat="1" x14ac:dyDescent="0.25">
      <c r="A633" s="33" t="s">
        <v>1460</v>
      </c>
      <c r="B633" s="34" t="s">
        <v>279</v>
      </c>
      <c r="C633" s="35" t="s">
        <v>111</v>
      </c>
      <c r="D633" s="72" t="s">
        <v>1177</v>
      </c>
      <c r="E633" s="35" t="s">
        <v>667</v>
      </c>
      <c r="F633" s="35" t="s">
        <v>2006</v>
      </c>
      <c r="G633" s="72" t="s">
        <v>168</v>
      </c>
      <c r="H633" s="72" t="s">
        <v>655</v>
      </c>
      <c r="I633" s="35"/>
      <c r="J633" s="36" t="s">
        <v>708</v>
      </c>
      <c r="K633" s="113">
        <f>ROUND(Tableau16[[#This Row],[LEN]]*7.27,0)</f>
        <v>167</v>
      </c>
      <c r="L633" s="113">
        <v>15</v>
      </c>
      <c r="M633" s="130" t="str">
        <f t="shared" si="4"/>
        <v>none</v>
      </c>
      <c r="N633" s="113">
        <f>LEN(Tableau16[[#This Row],[LABEL]])</f>
        <v>23</v>
      </c>
      <c r="O633" s="113">
        <v>15</v>
      </c>
      <c r="P633" s="113" t="e">
        <f>ROUND(Tableau16[[#This Row],[LEN]]*#REF!+#REF!,0)</f>
        <v>#REF!</v>
      </c>
    </row>
    <row r="634" spans="1:16" s="97" customFormat="1" x14ac:dyDescent="0.25">
      <c r="A634" s="37" t="s">
        <v>1463</v>
      </c>
      <c r="B634" s="38" t="s">
        <v>1460</v>
      </c>
      <c r="C634" s="39" t="s">
        <v>112</v>
      </c>
      <c r="D634" s="73" t="s">
        <v>1177</v>
      </c>
      <c r="E634" s="39" t="s">
        <v>667</v>
      </c>
      <c r="F634" s="39" t="s">
        <v>2006</v>
      </c>
      <c r="G634" s="73" t="s">
        <v>168</v>
      </c>
      <c r="H634" s="73" t="s">
        <v>654</v>
      </c>
      <c r="I634" s="39"/>
      <c r="J634" s="40" t="s">
        <v>708</v>
      </c>
      <c r="K634" s="114">
        <f>ROUND(Tableau16[[#This Row],[LEN]]*7.27,0)</f>
        <v>167</v>
      </c>
      <c r="L634" s="114">
        <v>15</v>
      </c>
      <c r="M634" s="131" t="str">
        <f t="shared" si="4"/>
        <v>none</v>
      </c>
      <c r="N634" s="114">
        <f>LEN(Tableau16[[#This Row],[LABEL]])</f>
        <v>23</v>
      </c>
      <c r="O634" s="114">
        <v>15</v>
      </c>
      <c r="P634" s="114" t="e">
        <f>ROUND(Tableau16[[#This Row],[LEN]]*#REF!+#REF!,0)</f>
        <v>#REF!</v>
      </c>
    </row>
    <row r="635" spans="1:16" s="97" customFormat="1" x14ac:dyDescent="0.25">
      <c r="A635" s="37" t="s">
        <v>1464</v>
      </c>
      <c r="B635" s="38" t="s">
        <v>1460</v>
      </c>
      <c r="C635" s="39" t="s">
        <v>113</v>
      </c>
      <c r="D635" s="73" t="s">
        <v>1177</v>
      </c>
      <c r="E635" s="39" t="s">
        <v>667</v>
      </c>
      <c r="F635" s="39" t="s">
        <v>2006</v>
      </c>
      <c r="G635" s="73" t="s">
        <v>168</v>
      </c>
      <c r="H635" s="73" t="s">
        <v>654</v>
      </c>
      <c r="I635" s="39"/>
      <c r="J635" s="40" t="s">
        <v>708</v>
      </c>
      <c r="K635" s="114">
        <f>ROUND(Tableau16[[#This Row],[LEN]]*7.27,0)</f>
        <v>233</v>
      </c>
      <c r="L635" s="114">
        <v>15</v>
      </c>
      <c r="M635" s="131" t="str">
        <f t="shared" si="4"/>
        <v>none</v>
      </c>
      <c r="N635" s="114">
        <f>LEN(Tableau16[[#This Row],[LABEL]])</f>
        <v>32</v>
      </c>
      <c r="O635" s="114">
        <v>15</v>
      </c>
      <c r="P635" s="114" t="e">
        <f>ROUND(Tableau16[[#This Row],[LEN]]*#REF!+#REF!,0)</f>
        <v>#REF!</v>
      </c>
    </row>
    <row r="636" spans="1:16" s="97" customFormat="1" x14ac:dyDescent="0.25">
      <c r="A636" s="33" t="s">
        <v>1461</v>
      </c>
      <c r="B636" s="34" t="s">
        <v>279</v>
      </c>
      <c r="C636" s="35" t="s">
        <v>1483</v>
      </c>
      <c r="D636" s="72" t="s">
        <v>1177</v>
      </c>
      <c r="E636" s="35" t="s">
        <v>661</v>
      </c>
      <c r="F636" s="35" t="s">
        <v>2083</v>
      </c>
      <c r="G636" s="72" t="s">
        <v>168</v>
      </c>
      <c r="H636" s="72" t="s">
        <v>655</v>
      </c>
      <c r="I636" s="35"/>
      <c r="J636" s="36" t="s">
        <v>708</v>
      </c>
      <c r="K636" s="113">
        <f>ROUND(Tableau16[[#This Row],[LEN]]*7.27,0)</f>
        <v>240</v>
      </c>
      <c r="L636" s="113">
        <v>15</v>
      </c>
      <c r="M636" s="130" t="str">
        <f t="shared" si="4"/>
        <v>none</v>
      </c>
      <c r="N636" s="113">
        <f>LEN(Tableau16[[#This Row],[LABEL]])</f>
        <v>33</v>
      </c>
      <c r="O636" s="113">
        <v>15</v>
      </c>
      <c r="P636" s="113" t="e">
        <f>ROUND(Tableau16[[#This Row],[LEN]]*#REF!+#REF!,0)</f>
        <v>#REF!</v>
      </c>
    </row>
    <row r="637" spans="1:16" s="97" customFormat="1" x14ac:dyDescent="0.25">
      <c r="A637" s="37" t="s">
        <v>1465</v>
      </c>
      <c r="B637" s="38" t="s">
        <v>1461</v>
      </c>
      <c r="C637" s="39" t="s">
        <v>1458</v>
      </c>
      <c r="D637" s="73" t="s">
        <v>1177</v>
      </c>
      <c r="E637" s="39" t="s">
        <v>661</v>
      </c>
      <c r="F637" s="39" t="s">
        <v>2083</v>
      </c>
      <c r="G637" s="73" t="s">
        <v>168</v>
      </c>
      <c r="H637" s="73" t="s">
        <v>654</v>
      </c>
      <c r="I637" s="39"/>
      <c r="J637" s="40" t="s">
        <v>708</v>
      </c>
      <c r="K637" s="114">
        <f>ROUND(Tableau16[[#This Row],[LEN]]*7.27,0)</f>
        <v>189</v>
      </c>
      <c r="L637" s="114">
        <v>15</v>
      </c>
      <c r="M637" s="131" t="str">
        <f t="shared" si="4"/>
        <v>none</v>
      </c>
      <c r="N637" s="114">
        <f>LEN(Tableau16[[#This Row],[LABEL]])</f>
        <v>26</v>
      </c>
      <c r="O637" s="114">
        <v>15</v>
      </c>
      <c r="P637" s="114" t="e">
        <f>ROUND(Tableau16[[#This Row],[LEN]]*#REF!+#REF!,0)</f>
        <v>#REF!</v>
      </c>
    </row>
    <row r="638" spans="1:16" s="97" customFormat="1" x14ac:dyDescent="0.25">
      <c r="A638" s="37" t="s">
        <v>1466</v>
      </c>
      <c r="B638" s="38" t="s">
        <v>1461</v>
      </c>
      <c r="C638" s="39" t="s">
        <v>1459</v>
      </c>
      <c r="D638" s="73" t="s">
        <v>1177</v>
      </c>
      <c r="E638" s="39" t="s">
        <v>661</v>
      </c>
      <c r="F638" s="39" t="s">
        <v>2083</v>
      </c>
      <c r="G638" s="73" t="s">
        <v>168</v>
      </c>
      <c r="H638" s="73" t="s">
        <v>654</v>
      </c>
      <c r="I638" s="39"/>
      <c r="J638" s="40" t="s">
        <v>708</v>
      </c>
      <c r="K638" s="114">
        <f>ROUND(Tableau16[[#This Row],[LEN]]*7.27,0)</f>
        <v>204</v>
      </c>
      <c r="L638" s="114">
        <v>15</v>
      </c>
      <c r="M638" s="131" t="str">
        <f t="shared" si="4"/>
        <v>none</v>
      </c>
      <c r="N638" s="114">
        <f>LEN(Tableau16[[#This Row],[LABEL]])</f>
        <v>28</v>
      </c>
      <c r="O638" s="114">
        <v>15</v>
      </c>
      <c r="P638" s="114" t="e">
        <f>ROUND(Tableau16[[#This Row],[LEN]]*#REF!+#REF!,0)</f>
        <v>#REF!</v>
      </c>
    </row>
    <row r="639" spans="1:16" s="273" customFormat="1" x14ac:dyDescent="0.25">
      <c r="A639" s="309" t="s">
        <v>280</v>
      </c>
      <c r="B639" s="310" t="s">
        <v>207</v>
      </c>
      <c r="C639" s="311" t="s">
        <v>71</v>
      </c>
      <c r="D639" s="312" t="s">
        <v>1177</v>
      </c>
      <c r="E639" s="311" t="s">
        <v>676</v>
      </c>
      <c r="F639" s="311" t="s">
        <v>1177</v>
      </c>
      <c r="G639" s="312" t="s">
        <v>168</v>
      </c>
      <c r="H639" s="312" t="str">
        <f>IFERROR(IF(SEARCH(".00.00.00.00.00",Tableau16[[#This Row],[name]],1)=7,"Division",""),"")</f>
        <v>Division</v>
      </c>
      <c r="I639" s="311"/>
      <c r="J639" s="313" t="s">
        <v>722</v>
      </c>
      <c r="K639" s="314">
        <f>ROUND(Tableau16[[#This Row],[LEN]]*7.27,0)</f>
        <v>29</v>
      </c>
      <c r="L639" s="314">
        <v>15</v>
      </c>
      <c r="M639" s="315" t="str">
        <f t="shared" si="4"/>
        <v>new</v>
      </c>
      <c r="N639" s="314">
        <f>LEN(Tableau16[[#This Row],[LABEL]])</f>
        <v>4</v>
      </c>
      <c r="O639" s="314">
        <v>15</v>
      </c>
      <c r="P639" s="314" t="e">
        <f>ROUND(Tableau16[[#This Row],[LEN]]*#REF!+#REF!,0)</f>
        <v>#REF!</v>
      </c>
    </row>
    <row r="640" spans="1:16" s="97" customFormat="1" x14ac:dyDescent="0.25">
      <c r="A640" s="33" t="s">
        <v>1471</v>
      </c>
      <c r="B640" s="34" t="s">
        <v>280</v>
      </c>
      <c r="C640" s="35" t="s">
        <v>111</v>
      </c>
      <c r="D640" s="72" t="s">
        <v>1177</v>
      </c>
      <c r="E640" s="35" t="s">
        <v>667</v>
      </c>
      <c r="F640" s="35" t="s">
        <v>2006</v>
      </c>
      <c r="G640" s="72" t="s">
        <v>168</v>
      </c>
      <c r="H640" s="72" t="s">
        <v>654</v>
      </c>
      <c r="I640" s="35"/>
      <c r="J640" s="36" t="s">
        <v>708</v>
      </c>
      <c r="K640" s="113">
        <f>ROUND(Tableau16[[#This Row],[LEN]]*7.27,0)</f>
        <v>167</v>
      </c>
      <c r="L640" s="113">
        <v>15</v>
      </c>
      <c r="M640" s="130" t="str">
        <f t="shared" si="4"/>
        <v>none</v>
      </c>
      <c r="N640" s="113">
        <f>LEN(Tableau16[[#This Row],[LABEL]])</f>
        <v>23</v>
      </c>
      <c r="O640" s="113">
        <v>15</v>
      </c>
      <c r="P640" s="113" t="e">
        <f>ROUND(Tableau16[[#This Row],[LEN]]*#REF!+#REF!,0)</f>
        <v>#REF!</v>
      </c>
    </row>
    <row r="641" spans="1:16" s="97" customFormat="1" x14ac:dyDescent="0.25">
      <c r="A641" s="37" t="s">
        <v>1472</v>
      </c>
      <c r="B641" s="38" t="s">
        <v>1471</v>
      </c>
      <c r="C641" s="39" t="s">
        <v>112</v>
      </c>
      <c r="D641" s="73" t="s">
        <v>1177</v>
      </c>
      <c r="E641" s="39" t="s">
        <v>667</v>
      </c>
      <c r="F641" s="39" t="s">
        <v>2006</v>
      </c>
      <c r="G641" s="73" t="s">
        <v>168</v>
      </c>
      <c r="H641" s="73" t="s">
        <v>654</v>
      </c>
      <c r="I641" s="39"/>
      <c r="J641" s="40" t="s">
        <v>708</v>
      </c>
      <c r="K641" s="114">
        <f>ROUND(Tableau16[[#This Row],[LEN]]*7.27,0)</f>
        <v>167</v>
      </c>
      <c r="L641" s="114">
        <v>15</v>
      </c>
      <c r="M641" s="131" t="str">
        <f t="shared" si="4"/>
        <v>none</v>
      </c>
      <c r="N641" s="114">
        <f>LEN(Tableau16[[#This Row],[LABEL]])</f>
        <v>23</v>
      </c>
      <c r="O641" s="114">
        <v>15</v>
      </c>
      <c r="P641" s="114" t="e">
        <f>ROUND(Tableau16[[#This Row],[LEN]]*#REF!+#REF!,0)</f>
        <v>#REF!</v>
      </c>
    </row>
    <row r="642" spans="1:16" s="97" customFormat="1" x14ac:dyDescent="0.25">
      <c r="A642" s="37" t="s">
        <v>1473</v>
      </c>
      <c r="B642" s="38" t="s">
        <v>1471</v>
      </c>
      <c r="C642" s="39" t="s">
        <v>113</v>
      </c>
      <c r="D642" s="73" t="s">
        <v>1177</v>
      </c>
      <c r="E642" s="39" t="s">
        <v>667</v>
      </c>
      <c r="F642" s="39" t="s">
        <v>2006</v>
      </c>
      <c r="G642" s="73" t="s">
        <v>168</v>
      </c>
      <c r="H642" s="73" t="s">
        <v>654</v>
      </c>
      <c r="I642" s="39"/>
      <c r="J642" s="40" t="s">
        <v>708</v>
      </c>
      <c r="K642" s="114">
        <f>ROUND(Tableau16[[#This Row],[LEN]]*7.27,0)</f>
        <v>233</v>
      </c>
      <c r="L642" s="114">
        <v>15</v>
      </c>
      <c r="M642" s="131" t="str">
        <f t="shared" si="4"/>
        <v>none</v>
      </c>
      <c r="N642" s="114">
        <f>LEN(Tableau16[[#This Row],[LABEL]])</f>
        <v>32</v>
      </c>
      <c r="O642" s="114">
        <v>15</v>
      </c>
      <c r="P642" s="114" t="e">
        <f>ROUND(Tableau16[[#This Row],[LEN]]*#REF!+#REF!,0)</f>
        <v>#REF!</v>
      </c>
    </row>
    <row r="643" spans="1:16" s="97" customFormat="1" x14ac:dyDescent="0.25">
      <c r="A643" s="33" t="s">
        <v>1474</v>
      </c>
      <c r="B643" s="34" t="s">
        <v>280</v>
      </c>
      <c r="C643" s="35" t="s">
        <v>1586</v>
      </c>
      <c r="D643" s="72" t="s">
        <v>1477</v>
      </c>
      <c r="E643" s="35" t="s">
        <v>676</v>
      </c>
      <c r="F643" s="35" t="s">
        <v>1177</v>
      </c>
      <c r="G643" s="72" t="s">
        <v>168</v>
      </c>
      <c r="H643" s="72" t="s">
        <v>654</v>
      </c>
      <c r="I643" s="35"/>
      <c r="J643" s="36" t="s">
        <v>708</v>
      </c>
      <c r="K643" s="113">
        <f>ROUND(Tableau16[[#This Row],[LEN]]*7.27,0)</f>
        <v>414</v>
      </c>
      <c r="L643" s="113">
        <v>15</v>
      </c>
      <c r="M643" s="130" t="str">
        <f t="shared" si="4"/>
        <v>none</v>
      </c>
      <c r="N643" s="113">
        <f>LEN(Tableau16[[#This Row],[LABEL]])</f>
        <v>57</v>
      </c>
      <c r="O643" s="113">
        <v>15</v>
      </c>
      <c r="P643" s="113" t="e">
        <f>ROUND(Tableau16[[#This Row],[LEN]]*#REF!+#REF!,0)</f>
        <v>#REF!</v>
      </c>
    </row>
    <row r="644" spans="1:16" s="97" customFormat="1" x14ac:dyDescent="0.25">
      <c r="A644" s="33" t="s">
        <v>1475</v>
      </c>
      <c r="B644" s="34" t="s">
        <v>280</v>
      </c>
      <c r="C644" s="35" t="s">
        <v>1478</v>
      </c>
      <c r="D644" s="72" t="s">
        <v>1177</v>
      </c>
      <c r="E644" s="35" t="s">
        <v>676</v>
      </c>
      <c r="F644" s="35" t="s">
        <v>678</v>
      </c>
      <c r="G644" s="72" t="s">
        <v>168</v>
      </c>
      <c r="H644" s="72" t="s">
        <v>654</v>
      </c>
      <c r="I644" s="35"/>
      <c r="J644" s="36" t="s">
        <v>708</v>
      </c>
      <c r="K644" s="113">
        <f>ROUND(Tableau16[[#This Row],[LEN]]*7.27,0)</f>
        <v>327</v>
      </c>
      <c r="L644" s="113">
        <v>15</v>
      </c>
      <c r="M644" s="130" t="str">
        <f t="shared" si="4"/>
        <v>none</v>
      </c>
      <c r="N644" s="113">
        <f>LEN(Tableau16[[#This Row],[LABEL]])</f>
        <v>45</v>
      </c>
      <c r="O644" s="113">
        <v>15</v>
      </c>
      <c r="P644" s="113" t="e">
        <f>ROUND(Tableau16[[#This Row],[LEN]]*#REF!+#REF!,0)</f>
        <v>#REF!</v>
      </c>
    </row>
    <row r="645" spans="1:16" s="273" customFormat="1" x14ac:dyDescent="0.25">
      <c r="A645" s="309" t="s">
        <v>281</v>
      </c>
      <c r="B645" s="310" t="s">
        <v>207</v>
      </c>
      <c r="C645" s="311" t="s">
        <v>13</v>
      </c>
      <c r="D645" s="312" t="s">
        <v>1177</v>
      </c>
      <c r="E645" s="311" t="s">
        <v>677</v>
      </c>
      <c r="F645" s="311" t="s">
        <v>1177</v>
      </c>
      <c r="G645" s="312" t="s">
        <v>168</v>
      </c>
      <c r="H645" s="312" t="str">
        <f>IFERROR(IF(SEARCH(".00.00.00.00.00",Tableau16[[#This Row],[name]],1)=7,"Division",""),"")</f>
        <v>Division</v>
      </c>
      <c r="I645" s="311"/>
      <c r="J645" s="313" t="s">
        <v>708</v>
      </c>
      <c r="K645" s="314">
        <f>ROUND(Tableau16[[#This Row],[LEN]]*7.27,0)</f>
        <v>80</v>
      </c>
      <c r="L645" s="314">
        <v>15</v>
      </c>
      <c r="M645" s="315" t="str">
        <f t="shared" si="4"/>
        <v>none</v>
      </c>
      <c r="N645" s="314">
        <f>LEN(Tableau16[[#This Row],[LABEL]])</f>
        <v>11</v>
      </c>
      <c r="O645" s="314">
        <v>15</v>
      </c>
      <c r="P645" s="314" t="e">
        <f>ROUND(Tableau16[[#This Row],[LEN]]*#REF!+#REF!,0)</f>
        <v>#REF!</v>
      </c>
    </row>
    <row r="646" spans="1:16" s="97" customFormat="1" x14ac:dyDescent="0.25">
      <c r="A646" s="33" t="s">
        <v>1479</v>
      </c>
      <c r="B646" s="34" t="s">
        <v>281</v>
      </c>
      <c r="C646" s="35" t="s">
        <v>111</v>
      </c>
      <c r="D646" s="72" t="s">
        <v>1177</v>
      </c>
      <c r="E646" s="35" t="s">
        <v>667</v>
      </c>
      <c r="F646" s="35" t="s">
        <v>2006</v>
      </c>
      <c r="G646" s="72" t="s">
        <v>168</v>
      </c>
      <c r="H646" s="72" t="s">
        <v>655</v>
      </c>
      <c r="I646" s="35"/>
      <c r="J646" s="36" t="s">
        <v>708</v>
      </c>
      <c r="K646" s="113">
        <f>ROUND(Tableau16[[#This Row],[LEN]]*7.27,0)</f>
        <v>167</v>
      </c>
      <c r="L646" s="113">
        <v>15</v>
      </c>
      <c r="M646" s="130" t="str">
        <f t="shared" si="4"/>
        <v>none</v>
      </c>
      <c r="N646" s="113">
        <f>LEN(Tableau16[[#This Row],[LABEL]])</f>
        <v>23</v>
      </c>
      <c r="O646" s="113">
        <v>15</v>
      </c>
      <c r="P646" s="113" t="e">
        <f>ROUND(Tableau16[[#This Row],[LEN]]*#REF!+#REF!,0)</f>
        <v>#REF!</v>
      </c>
    </row>
    <row r="647" spans="1:16" s="97" customFormat="1" x14ac:dyDescent="0.25">
      <c r="A647" s="37" t="s">
        <v>1484</v>
      </c>
      <c r="B647" s="38" t="s">
        <v>1479</v>
      </c>
      <c r="C647" s="39" t="s">
        <v>112</v>
      </c>
      <c r="D647" s="73" t="s">
        <v>1177</v>
      </c>
      <c r="E647" s="39" t="s">
        <v>667</v>
      </c>
      <c r="F647" s="39" t="s">
        <v>2006</v>
      </c>
      <c r="G647" s="73" t="s">
        <v>168</v>
      </c>
      <c r="H647" s="73" t="s">
        <v>654</v>
      </c>
      <c r="I647" s="39"/>
      <c r="J647" s="40" t="s">
        <v>708</v>
      </c>
      <c r="K647" s="114">
        <f>ROUND(Tableau16[[#This Row],[LEN]]*7.27,0)</f>
        <v>167</v>
      </c>
      <c r="L647" s="114">
        <v>15</v>
      </c>
      <c r="M647" s="131" t="str">
        <f t="shared" si="4"/>
        <v>none</v>
      </c>
      <c r="N647" s="114">
        <f>LEN(Tableau16[[#This Row],[LABEL]])</f>
        <v>23</v>
      </c>
      <c r="O647" s="114">
        <v>15</v>
      </c>
      <c r="P647" s="114" t="e">
        <f>ROUND(Tableau16[[#This Row],[LEN]]*#REF!+#REF!,0)</f>
        <v>#REF!</v>
      </c>
    </row>
    <row r="648" spans="1:16" s="97" customFormat="1" x14ac:dyDescent="0.25">
      <c r="A648" s="37" t="s">
        <v>1485</v>
      </c>
      <c r="B648" s="38" t="s">
        <v>1479</v>
      </c>
      <c r="C648" s="39" t="s">
        <v>113</v>
      </c>
      <c r="D648" s="73" t="s">
        <v>1177</v>
      </c>
      <c r="E648" s="39" t="s">
        <v>667</v>
      </c>
      <c r="F648" s="39" t="s">
        <v>2006</v>
      </c>
      <c r="G648" s="73" t="s">
        <v>168</v>
      </c>
      <c r="H648" s="73" t="s">
        <v>654</v>
      </c>
      <c r="I648" s="39"/>
      <c r="J648" s="40" t="s">
        <v>708</v>
      </c>
      <c r="K648" s="114">
        <f>ROUND(Tableau16[[#This Row],[LEN]]*7.27,0)</f>
        <v>233</v>
      </c>
      <c r="L648" s="114">
        <v>15</v>
      </c>
      <c r="M648" s="131" t="str">
        <f t="shared" si="4"/>
        <v>none</v>
      </c>
      <c r="N648" s="114">
        <f>LEN(Tableau16[[#This Row],[LABEL]])</f>
        <v>32</v>
      </c>
      <c r="O648" s="114">
        <v>15</v>
      </c>
      <c r="P648" s="114" t="e">
        <f>ROUND(Tableau16[[#This Row],[LEN]]*#REF!+#REF!,0)</f>
        <v>#REF!</v>
      </c>
    </row>
    <row r="649" spans="1:16" s="97" customFormat="1" x14ac:dyDescent="0.25">
      <c r="A649" s="33" t="s">
        <v>1480</v>
      </c>
      <c r="B649" s="34" t="s">
        <v>281</v>
      </c>
      <c r="C649" s="35" t="s">
        <v>1483</v>
      </c>
      <c r="D649" s="72" t="s">
        <v>1177</v>
      </c>
      <c r="E649" s="35" t="s">
        <v>661</v>
      </c>
      <c r="F649" s="35" t="s">
        <v>2083</v>
      </c>
      <c r="G649" s="72" t="s">
        <v>168</v>
      </c>
      <c r="H649" s="72" t="s">
        <v>655</v>
      </c>
      <c r="I649" s="35"/>
      <c r="J649" s="36" t="s">
        <v>708</v>
      </c>
      <c r="K649" s="113">
        <f>ROUND(Tableau16[[#This Row],[LEN]]*7.27,0)</f>
        <v>240</v>
      </c>
      <c r="L649" s="113">
        <v>15</v>
      </c>
      <c r="M649" s="130" t="str">
        <f t="shared" si="4"/>
        <v>none</v>
      </c>
      <c r="N649" s="113">
        <f>LEN(Tableau16[[#This Row],[LABEL]])</f>
        <v>33</v>
      </c>
      <c r="O649" s="113">
        <v>15</v>
      </c>
      <c r="P649" s="113" t="e">
        <f>ROUND(Tableau16[[#This Row],[LEN]]*#REF!+#REF!,0)</f>
        <v>#REF!</v>
      </c>
    </row>
    <row r="650" spans="1:16" s="97" customFormat="1" x14ac:dyDescent="0.25">
      <c r="A650" s="37" t="s">
        <v>1486</v>
      </c>
      <c r="B650" s="38" t="s">
        <v>1480</v>
      </c>
      <c r="C650" s="39" t="s">
        <v>1458</v>
      </c>
      <c r="D650" s="73" t="s">
        <v>1177</v>
      </c>
      <c r="E650" s="39" t="s">
        <v>661</v>
      </c>
      <c r="F650" s="39" t="s">
        <v>2083</v>
      </c>
      <c r="G650" s="73" t="s">
        <v>168</v>
      </c>
      <c r="H650" s="73" t="s">
        <v>654</v>
      </c>
      <c r="I650" s="39"/>
      <c r="J650" s="40" t="s">
        <v>708</v>
      </c>
      <c r="K650" s="114">
        <f>ROUND(Tableau16[[#This Row],[LEN]]*7.27,0)</f>
        <v>189</v>
      </c>
      <c r="L650" s="114">
        <v>15</v>
      </c>
      <c r="M650" s="131" t="str">
        <f t="shared" si="4"/>
        <v>none</v>
      </c>
      <c r="N650" s="114">
        <f>LEN(Tableau16[[#This Row],[LABEL]])</f>
        <v>26</v>
      </c>
      <c r="O650" s="114">
        <v>15</v>
      </c>
      <c r="P650" s="114" t="e">
        <f>ROUND(Tableau16[[#This Row],[LEN]]*#REF!+#REF!,0)</f>
        <v>#REF!</v>
      </c>
    </row>
    <row r="651" spans="1:16" s="97" customFormat="1" x14ac:dyDescent="0.25">
      <c r="A651" s="37" t="s">
        <v>1486</v>
      </c>
      <c r="B651" s="38" t="s">
        <v>1480</v>
      </c>
      <c r="C651" s="39" t="s">
        <v>1459</v>
      </c>
      <c r="D651" s="73" t="s">
        <v>1177</v>
      </c>
      <c r="E651" s="39" t="s">
        <v>661</v>
      </c>
      <c r="F651" s="39" t="s">
        <v>2083</v>
      </c>
      <c r="G651" s="73" t="s">
        <v>168</v>
      </c>
      <c r="H651" s="73" t="s">
        <v>654</v>
      </c>
      <c r="I651" s="39"/>
      <c r="J651" s="40" t="s">
        <v>708</v>
      </c>
      <c r="K651" s="114">
        <f>ROUND(Tableau16[[#This Row],[LEN]]*7.27,0)</f>
        <v>204</v>
      </c>
      <c r="L651" s="114">
        <v>15</v>
      </c>
      <c r="M651" s="131" t="str">
        <f t="shared" si="4"/>
        <v>none</v>
      </c>
      <c r="N651" s="114">
        <f>LEN(Tableau16[[#This Row],[LABEL]])</f>
        <v>28</v>
      </c>
      <c r="O651" s="114">
        <v>15</v>
      </c>
      <c r="P651" s="114" t="e">
        <f>ROUND(Tableau16[[#This Row],[LEN]]*#REF!+#REF!,0)</f>
        <v>#REF!</v>
      </c>
    </row>
    <row r="652" spans="1:16" s="97" customFormat="1" x14ac:dyDescent="0.25">
      <c r="A652" s="33" t="s">
        <v>1481</v>
      </c>
      <c r="B652" s="34" t="s">
        <v>281</v>
      </c>
      <c r="C652" s="35" t="s">
        <v>1482</v>
      </c>
      <c r="D652" s="72" t="s">
        <v>1177</v>
      </c>
      <c r="E652" s="35" t="s">
        <v>677</v>
      </c>
      <c r="F652" s="35" t="s">
        <v>1177</v>
      </c>
      <c r="G652" s="72" t="s">
        <v>168</v>
      </c>
      <c r="H652" s="72" t="s">
        <v>654</v>
      </c>
      <c r="I652" s="35"/>
      <c r="J652" s="36" t="s">
        <v>708</v>
      </c>
      <c r="K652" s="113">
        <f>ROUND(Tableau16[[#This Row],[LEN]]*7.27,0)</f>
        <v>131</v>
      </c>
      <c r="L652" s="113">
        <v>15</v>
      </c>
      <c r="M652" s="130" t="str">
        <f t="shared" si="4"/>
        <v>none</v>
      </c>
      <c r="N652" s="113">
        <f>LEN(Tableau16[[#This Row],[LABEL]])</f>
        <v>18</v>
      </c>
      <c r="O652" s="113">
        <v>15</v>
      </c>
      <c r="P652" s="113" t="e">
        <f>ROUND(Tableau16[[#This Row],[LEN]]*#REF!+#REF!,0)</f>
        <v>#REF!</v>
      </c>
    </row>
    <row r="653" spans="1:16" s="273" customFormat="1" x14ac:dyDescent="0.25">
      <c r="A653" s="309" t="s">
        <v>282</v>
      </c>
      <c r="B653" s="310" t="s">
        <v>207</v>
      </c>
      <c r="C653" s="311" t="s">
        <v>14</v>
      </c>
      <c r="D653" s="312" t="s">
        <v>1177</v>
      </c>
      <c r="E653" s="311" t="s">
        <v>678</v>
      </c>
      <c r="F653" s="311" t="s">
        <v>1177</v>
      </c>
      <c r="G653" s="312" t="s">
        <v>168</v>
      </c>
      <c r="H653" s="312" t="str">
        <f>IFERROR(IF(SEARCH(".00.00.00.00.00",Tableau16[[#This Row],[name]],1)=7,"Division",""),"")</f>
        <v>Division</v>
      </c>
      <c r="I653" s="311"/>
      <c r="J653" s="313" t="s">
        <v>724</v>
      </c>
      <c r="K653" s="314">
        <f>ROUND(Tableau16[[#This Row],[LEN]]*7.27,0)</f>
        <v>240</v>
      </c>
      <c r="L653" s="314">
        <v>15</v>
      </c>
      <c r="M653" s="315" t="str">
        <f t="shared" si="4"/>
        <v>new</v>
      </c>
      <c r="N653" s="314">
        <f>LEN(Tableau16[[#This Row],[LABEL]])</f>
        <v>33</v>
      </c>
      <c r="O653" s="314">
        <v>15</v>
      </c>
      <c r="P653" s="314" t="e">
        <f>ROUND(Tableau16[[#This Row],[LEN]]*#REF!+#REF!,0)</f>
        <v>#REF!</v>
      </c>
    </row>
    <row r="654" spans="1:16" s="97" customFormat="1" x14ac:dyDescent="0.25">
      <c r="A654" s="33" t="s">
        <v>1487</v>
      </c>
      <c r="B654" s="34" t="s">
        <v>282</v>
      </c>
      <c r="C654" s="35" t="s">
        <v>111</v>
      </c>
      <c r="D654" s="72" t="s">
        <v>1177</v>
      </c>
      <c r="E654" s="35" t="s">
        <v>667</v>
      </c>
      <c r="F654" s="35" t="s">
        <v>2006</v>
      </c>
      <c r="G654" s="72" t="s">
        <v>168</v>
      </c>
      <c r="H654" s="72" t="s">
        <v>655</v>
      </c>
      <c r="I654" s="35"/>
      <c r="J654" s="36" t="s">
        <v>708</v>
      </c>
      <c r="K654" s="113">
        <f>ROUND(Tableau16[[#This Row],[LEN]]*7.27,0)</f>
        <v>167</v>
      </c>
      <c r="L654" s="113">
        <v>15</v>
      </c>
      <c r="M654" s="130" t="str">
        <f t="shared" si="4"/>
        <v>none</v>
      </c>
      <c r="N654" s="113">
        <f>LEN(Tableau16[[#This Row],[LABEL]])</f>
        <v>23</v>
      </c>
      <c r="O654" s="113">
        <v>15</v>
      </c>
      <c r="P654" s="113" t="e">
        <f>ROUND(Tableau16[[#This Row],[LEN]]*#REF!+#REF!,0)</f>
        <v>#REF!</v>
      </c>
    </row>
    <row r="655" spans="1:16" s="97" customFormat="1" x14ac:dyDescent="0.25">
      <c r="A655" s="37" t="s">
        <v>1492</v>
      </c>
      <c r="B655" s="38" t="s">
        <v>1487</v>
      </c>
      <c r="C655" s="39" t="s">
        <v>112</v>
      </c>
      <c r="D655" s="73" t="s">
        <v>1177</v>
      </c>
      <c r="E655" s="39" t="s">
        <v>667</v>
      </c>
      <c r="F655" s="39" t="s">
        <v>2006</v>
      </c>
      <c r="G655" s="73" t="s">
        <v>168</v>
      </c>
      <c r="H655" s="73" t="s">
        <v>654</v>
      </c>
      <c r="I655" s="39"/>
      <c r="J655" s="40" t="s">
        <v>708</v>
      </c>
      <c r="K655" s="114">
        <f>ROUND(Tableau16[[#This Row],[LEN]]*7.27,0)</f>
        <v>167</v>
      </c>
      <c r="L655" s="114">
        <v>15</v>
      </c>
      <c r="M655" s="131" t="str">
        <f t="shared" si="4"/>
        <v>none</v>
      </c>
      <c r="N655" s="114">
        <f>LEN(Tableau16[[#This Row],[LABEL]])</f>
        <v>23</v>
      </c>
      <c r="O655" s="114">
        <v>15</v>
      </c>
      <c r="P655" s="114" t="e">
        <f>ROUND(Tableau16[[#This Row],[LEN]]*#REF!+#REF!,0)</f>
        <v>#REF!</v>
      </c>
    </row>
    <row r="656" spans="1:16" s="97" customFormat="1" x14ac:dyDescent="0.25">
      <c r="A656" s="37" t="s">
        <v>1493</v>
      </c>
      <c r="B656" s="38" t="s">
        <v>1487</v>
      </c>
      <c r="C656" s="39" t="s">
        <v>113</v>
      </c>
      <c r="D656" s="73" t="s">
        <v>1177</v>
      </c>
      <c r="E656" s="39" t="s">
        <v>667</v>
      </c>
      <c r="F656" s="39" t="s">
        <v>2006</v>
      </c>
      <c r="G656" s="73" t="s">
        <v>168</v>
      </c>
      <c r="H656" s="73" t="s">
        <v>654</v>
      </c>
      <c r="I656" s="39"/>
      <c r="J656" s="40" t="s">
        <v>708</v>
      </c>
      <c r="K656" s="114">
        <f>ROUND(Tableau16[[#This Row],[LEN]]*7.27,0)</f>
        <v>233</v>
      </c>
      <c r="L656" s="114">
        <v>15</v>
      </c>
      <c r="M656" s="131" t="str">
        <f t="shared" si="4"/>
        <v>none</v>
      </c>
      <c r="N656" s="114">
        <f>LEN(Tableau16[[#This Row],[LABEL]])</f>
        <v>32</v>
      </c>
      <c r="O656" s="114">
        <v>15</v>
      </c>
      <c r="P656" s="114" t="e">
        <f>ROUND(Tableau16[[#This Row],[LEN]]*#REF!+#REF!,0)</f>
        <v>#REF!</v>
      </c>
    </row>
    <row r="657" spans="1:16" s="97" customFormat="1" x14ac:dyDescent="0.25">
      <c r="A657" s="33" t="s">
        <v>1488</v>
      </c>
      <c r="B657" s="34" t="s">
        <v>282</v>
      </c>
      <c r="C657" s="35" t="s">
        <v>1478</v>
      </c>
      <c r="D657" s="72" t="s">
        <v>1177</v>
      </c>
      <c r="E657" s="35" t="s">
        <v>676</v>
      </c>
      <c r="F657" s="35" t="s">
        <v>678</v>
      </c>
      <c r="G657" s="72" t="s">
        <v>168</v>
      </c>
      <c r="H657" s="72" t="s">
        <v>654</v>
      </c>
      <c r="I657" s="35"/>
      <c r="J657" s="36" t="s">
        <v>708</v>
      </c>
      <c r="K657" s="113">
        <f>ROUND(Tableau16[[#This Row],[LEN]]*7.27,0)</f>
        <v>327</v>
      </c>
      <c r="L657" s="113">
        <v>15</v>
      </c>
      <c r="M657" s="130" t="str">
        <f t="shared" si="4"/>
        <v>none</v>
      </c>
      <c r="N657" s="113">
        <f>LEN(Tableau16[[#This Row],[LABEL]])</f>
        <v>45</v>
      </c>
      <c r="O657" s="113">
        <v>15</v>
      </c>
      <c r="P657" s="113" t="e">
        <f>ROUND(Tableau16[[#This Row],[LEN]]*#REF!+#REF!,0)</f>
        <v>#REF!</v>
      </c>
    </row>
    <row r="658" spans="1:16" s="97" customFormat="1" x14ac:dyDescent="0.25">
      <c r="A658" s="33" t="s">
        <v>1489</v>
      </c>
      <c r="B658" s="34" t="s">
        <v>282</v>
      </c>
      <c r="C658" s="35" t="s">
        <v>1483</v>
      </c>
      <c r="D658" s="72" t="s">
        <v>1177</v>
      </c>
      <c r="E658" s="35" t="s">
        <v>661</v>
      </c>
      <c r="F658" s="35" t="s">
        <v>2083</v>
      </c>
      <c r="G658" s="72" t="s">
        <v>168</v>
      </c>
      <c r="H658" s="72" t="s">
        <v>655</v>
      </c>
      <c r="I658" s="35"/>
      <c r="J658" s="36" t="s">
        <v>708</v>
      </c>
      <c r="K658" s="113">
        <f>ROUND(Tableau16[[#This Row],[LEN]]*7.27,0)</f>
        <v>240</v>
      </c>
      <c r="L658" s="113">
        <v>15</v>
      </c>
      <c r="M658" s="130" t="str">
        <f t="shared" si="4"/>
        <v>none</v>
      </c>
      <c r="N658" s="113">
        <f>LEN(Tableau16[[#This Row],[LABEL]])</f>
        <v>33</v>
      </c>
      <c r="O658" s="113">
        <v>15</v>
      </c>
      <c r="P658" s="113" t="e">
        <f>ROUND(Tableau16[[#This Row],[LEN]]*#REF!+#REF!,0)</f>
        <v>#REF!</v>
      </c>
    </row>
    <row r="659" spans="1:16" s="97" customFormat="1" x14ac:dyDescent="0.25">
      <c r="A659" s="37" t="s">
        <v>1494</v>
      </c>
      <c r="B659" s="38" t="s">
        <v>1489</v>
      </c>
      <c r="C659" s="39" t="s">
        <v>1458</v>
      </c>
      <c r="D659" s="73" t="s">
        <v>1177</v>
      </c>
      <c r="E659" s="39" t="s">
        <v>661</v>
      </c>
      <c r="F659" s="39" t="s">
        <v>2083</v>
      </c>
      <c r="G659" s="73" t="s">
        <v>168</v>
      </c>
      <c r="H659" s="73" t="s">
        <v>654</v>
      </c>
      <c r="I659" s="39"/>
      <c r="J659" s="40" t="s">
        <v>708</v>
      </c>
      <c r="K659" s="114">
        <f>ROUND(Tableau16[[#This Row],[LEN]]*7.27,0)</f>
        <v>189</v>
      </c>
      <c r="L659" s="114">
        <v>15</v>
      </c>
      <c r="M659" s="131" t="str">
        <f t="shared" si="4"/>
        <v>none</v>
      </c>
      <c r="N659" s="114">
        <f>LEN(Tableau16[[#This Row],[LABEL]])</f>
        <v>26</v>
      </c>
      <c r="O659" s="114">
        <v>15</v>
      </c>
      <c r="P659" s="114" t="e">
        <f>ROUND(Tableau16[[#This Row],[LEN]]*#REF!+#REF!,0)</f>
        <v>#REF!</v>
      </c>
    </row>
    <row r="660" spans="1:16" s="97" customFormat="1" x14ac:dyDescent="0.25">
      <c r="A660" s="37" t="s">
        <v>1495</v>
      </c>
      <c r="B660" s="38" t="s">
        <v>1489</v>
      </c>
      <c r="C660" s="39" t="s">
        <v>1459</v>
      </c>
      <c r="D660" s="73" t="s">
        <v>1177</v>
      </c>
      <c r="E660" s="39" t="s">
        <v>661</v>
      </c>
      <c r="F660" s="39" t="s">
        <v>2083</v>
      </c>
      <c r="G660" s="73" t="s">
        <v>168</v>
      </c>
      <c r="H660" s="73" t="s">
        <v>654</v>
      </c>
      <c r="I660" s="39"/>
      <c r="J660" s="40" t="s">
        <v>708</v>
      </c>
      <c r="K660" s="114">
        <f>ROUND(Tableau16[[#This Row],[LEN]]*7.27,0)</f>
        <v>204</v>
      </c>
      <c r="L660" s="114">
        <v>15</v>
      </c>
      <c r="M660" s="131" t="str">
        <f t="shared" si="4"/>
        <v>none</v>
      </c>
      <c r="N660" s="114">
        <f>LEN(Tableau16[[#This Row],[LABEL]])</f>
        <v>28</v>
      </c>
      <c r="O660" s="114">
        <v>15</v>
      </c>
      <c r="P660" s="114" t="e">
        <f>ROUND(Tableau16[[#This Row],[LEN]]*#REF!+#REF!,0)</f>
        <v>#REF!</v>
      </c>
    </row>
    <row r="661" spans="1:16" s="97" customFormat="1" x14ac:dyDescent="0.25">
      <c r="A661" s="33" t="s">
        <v>1490</v>
      </c>
      <c r="B661" s="34" t="s">
        <v>282</v>
      </c>
      <c r="C661" s="35" t="s">
        <v>1491</v>
      </c>
      <c r="D661" s="72" t="s">
        <v>1177</v>
      </c>
      <c r="E661" s="35" t="s">
        <v>678</v>
      </c>
      <c r="F661" s="35" t="s">
        <v>1177</v>
      </c>
      <c r="G661" s="72" t="s">
        <v>168</v>
      </c>
      <c r="H661" s="72" t="s">
        <v>656</v>
      </c>
      <c r="I661" s="35"/>
      <c r="J661" s="36" t="s">
        <v>708</v>
      </c>
      <c r="K661" s="113">
        <f>ROUND(Tableau16[[#This Row],[LEN]]*7.27,0)</f>
        <v>247</v>
      </c>
      <c r="L661" s="113">
        <v>16</v>
      </c>
      <c r="M661" s="130" t="str">
        <f t="shared" si="4"/>
        <v>none</v>
      </c>
      <c r="N661" s="113">
        <f>LEN(Tableau16[[#This Row],[LABEL]])</f>
        <v>34</v>
      </c>
      <c r="O661" s="113">
        <v>16</v>
      </c>
      <c r="P661" s="113" t="e">
        <f>ROUND(Tableau16[[#This Row],[LEN]]*#REF!+#REF!,0)</f>
        <v>#REF!</v>
      </c>
    </row>
    <row r="662" spans="1:16" s="273" customFormat="1" x14ac:dyDescent="0.25">
      <c r="A662" s="316" t="s">
        <v>283</v>
      </c>
      <c r="B662" s="317" t="s">
        <v>207</v>
      </c>
      <c r="C662" s="318" t="s">
        <v>15</v>
      </c>
      <c r="D662" s="319" t="s">
        <v>1177</v>
      </c>
      <c r="E662" s="318" t="s">
        <v>679</v>
      </c>
      <c r="F662" s="318" t="s">
        <v>1177</v>
      </c>
      <c r="G662" s="319" t="s">
        <v>168</v>
      </c>
      <c r="H662" s="319" t="str">
        <f>IFERROR(IF(SEARCH(".00.00.00.00.00",Tableau16[[#This Row],[name]],1)=7,"Division",""),"")</f>
        <v>Division</v>
      </c>
      <c r="I662" s="318"/>
      <c r="J662" s="320" t="s">
        <v>708</v>
      </c>
      <c r="K662" s="321">
        <f>ROUND(Tableau16[[#This Row],[LEN]]*7.27,0)</f>
        <v>174</v>
      </c>
      <c r="L662" s="321">
        <v>15</v>
      </c>
      <c r="M662" s="322" t="str">
        <f t="shared" si="4"/>
        <v>none</v>
      </c>
      <c r="N662" s="321">
        <f>LEN(Tableau16[[#This Row],[LABEL]])</f>
        <v>24</v>
      </c>
      <c r="O662" s="321">
        <v>15</v>
      </c>
      <c r="P662" s="321" t="e">
        <f>ROUND(Tableau16[[#This Row],[LEN]]*#REF!+#REF!,0)</f>
        <v>#REF!</v>
      </c>
    </row>
    <row r="663" spans="1:16" s="97" customFormat="1" x14ac:dyDescent="0.25">
      <c r="A663" s="33" t="s">
        <v>1496</v>
      </c>
      <c r="B663" s="34" t="s">
        <v>283</v>
      </c>
      <c r="C663" s="35" t="s">
        <v>111</v>
      </c>
      <c r="D663" s="72" t="s">
        <v>1177</v>
      </c>
      <c r="E663" s="35" t="s">
        <v>667</v>
      </c>
      <c r="F663" s="35" t="s">
        <v>2006</v>
      </c>
      <c r="G663" s="72" t="s">
        <v>168</v>
      </c>
      <c r="H663" s="72" t="s">
        <v>655</v>
      </c>
      <c r="I663" s="35"/>
      <c r="J663" s="36" t="s">
        <v>708</v>
      </c>
      <c r="K663" s="113">
        <f>ROUND(Tableau16[[#This Row],[LEN]]*7.27,0)</f>
        <v>167</v>
      </c>
      <c r="L663" s="113">
        <v>15</v>
      </c>
      <c r="M663" s="130" t="str">
        <f t="shared" si="4"/>
        <v>none</v>
      </c>
      <c r="N663" s="113">
        <f>LEN(Tableau16[[#This Row],[LABEL]])</f>
        <v>23</v>
      </c>
      <c r="O663" s="113">
        <v>15</v>
      </c>
      <c r="P663" s="113" t="e">
        <f>ROUND(Tableau16[[#This Row],[LEN]]*#REF!+#REF!,0)</f>
        <v>#REF!</v>
      </c>
    </row>
    <row r="664" spans="1:16" s="97" customFormat="1" x14ac:dyDescent="0.25">
      <c r="A664" s="37" t="s">
        <v>1498</v>
      </c>
      <c r="B664" s="38" t="s">
        <v>1496</v>
      </c>
      <c r="C664" s="39" t="s">
        <v>112</v>
      </c>
      <c r="D664" s="73" t="s">
        <v>1177</v>
      </c>
      <c r="E664" s="39" t="s">
        <v>667</v>
      </c>
      <c r="F664" s="39" t="s">
        <v>2006</v>
      </c>
      <c r="G664" s="73" t="s">
        <v>168</v>
      </c>
      <c r="H664" s="73" t="s">
        <v>654</v>
      </c>
      <c r="I664" s="39"/>
      <c r="J664" s="40" t="s">
        <v>708</v>
      </c>
      <c r="K664" s="114">
        <f>ROUND(Tableau16[[#This Row],[LEN]]*7.27,0)</f>
        <v>167</v>
      </c>
      <c r="L664" s="114">
        <v>15</v>
      </c>
      <c r="M664" s="131" t="str">
        <f t="shared" si="4"/>
        <v>none</v>
      </c>
      <c r="N664" s="114">
        <f>LEN(Tableau16[[#This Row],[LABEL]])</f>
        <v>23</v>
      </c>
      <c r="O664" s="114">
        <v>15</v>
      </c>
      <c r="P664" s="114" t="e">
        <f>ROUND(Tableau16[[#This Row],[LEN]]*#REF!+#REF!,0)</f>
        <v>#REF!</v>
      </c>
    </row>
    <row r="665" spans="1:16" s="97" customFormat="1" x14ac:dyDescent="0.25">
      <c r="A665" s="37" t="s">
        <v>1499</v>
      </c>
      <c r="B665" s="38" t="s">
        <v>1496</v>
      </c>
      <c r="C665" s="39" t="s">
        <v>113</v>
      </c>
      <c r="D665" s="73" t="s">
        <v>1177</v>
      </c>
      <c r="E665" s="39" t="s">
        <v>667</v>
      </c>
      <c r="F665" s="39" t="s">
        <v>2006</v>
      </c>
      <c r="G665" s="73" t="s">
        <v>168</v>
      </c>
      <c r="H665" s="73" t="s">
        <v>654</v>
      </c>
      <c r="I665" s="39"/>
      <c r="J665" s="40" t="s">
        <v>708</v>
      </c>
      <c r="K665" s="114">
        <f>ROUND(Tableau16[[#This Row],[LEN]]*7.27,0)</f>
        <v>233</v>
      </c>
      <c r="L665" s="114">
        <v>15</v>
      </c>
      <c r="M665" s="131" t="str">
        <f t="shared" si="4"/>
        <v>none</v>
      </c>
      <c r="N665" s="114">
        <f>LEN(Tableau16[[#This Row],[LABEL]])</f>
        <v>32</v>
      </c>
      <c r="O665" s="114">
        <v>15</v>
      </c>
      <c r="P665" s="114" t="e">
        <f>ROUND(Tableau16[[#This Row],[LEN]]*#REF!+#REF!,0)</f>
        <v>#REF!</v>
      </c>
    </row>
    <row r="666" spans="1:16" s="97" customFormat="1" x14ac:dyDescent="0.25">
      <c r="A666" s="33" t="s">
        <v>1497</v>
      </c>
      <c r="B666" s="34" t="s">
        <v>283</v>
      </c>
      <c r="C666" s="35" t="s">
        <v>1483</v>
      </c>
      <c r="D666" s="72" t="s">
        <v>1177</v>
      </c>
      <c r="E666" s="35" t="s">
        <v>661</v>
      </c>
      <c r="F666" s="35" t="s">
        <v>2083</v>
      </c>
      <c r="G666" s="72" t="s">
        <v>168</v>
      </c>
      <c r="H666" s="72" t="s">
        <v>655</v>
      </c>
      <c r="I666" s="35"/>
      <c r="J666" s="36" t="s">
        <v>708</v>
      </c>
      <c r="K666" s="113">
        <f>ROUND(Tableau16[[#This Row],[LEN]]*7.27,0)</f>
        <v>240</v>
      </c>
      <c r="L666" s="113">
        <v>15</v>
      </c>
      <c r="M666" s="130" t="str">
        <f t="shared" si="4"/>
        <v>none</v>
      </c>
      <c r="N666" s="113">
        <f>LEN(Tableau16[[#This Row],[LABEL]])</f>
        <v>33</v>
      </c>
      <c r="O666" s="113">
        <v>15</v>
      </c>
      <c r="P666" s="113" t="e">
        <f>ROUND(Tableau16[[#This Row],[LEN]]*#REF!+#REF!,0)</f>
        <v>#REF!</v>
      </c>
    </row>
    <row r="667" spans="1:16" s="97" customFormat="1" x14ac:dyDescent="0.25">
      <c r="A667" s="37" t="s">
        <v>1500</v>
      </c>
      <c r="B667" s="38" t="s">
        <v>1497</v>
      </c>
      <c r="C667" s="39" t="s">
        <v>1458</v>
      </c>
      <c r="D667" s="73" t="s">
        <v>1177</v>
      </c>
      <c r="E667" s="39" t="s">
        <v>661</v>
      </c>
      <c r="F667" s="39" t="s">
        <v>2083</v>
      </c>
      <c r="G667" s="73" t="s">
        <v>168</v>
      </c>
      <c r="H667" s="73" t="s">
        <v>654</v>
      </c>
      <c r="I667" s="39"/>
      <c r="J667" s="40" t="s">
        <v>708</v>
      </c>
      <c r="K667" s="114">
        <f>ROUND(Tableau16[[#This Row],[LEN]]*7.27,0)</f>
        <v>189</v>
      </c>
      <c r="L667" s="114">
        <v>15</v>
      </c>
      <c r="M667" s="131" t="str">
        <f t="shared" si="4"/>
        <v>none</v>
      </c>
      <c r="N667" s="114">
        <f>LEN(Tableau16[[#This Row],[LABEL]])</f>
        <v>26</v>
      </c>
      <c r="O667" s="114">
        <v>15</v>
      </c>
      <c r="P667" s="114" t="e">
        <f>ROUND(Tableau16[[#This Row],[LEN]]*#REF!+#REF!,0)</f>
        <v>#REF!</v>
      </c>
    </row>
    <row r="668" spans="1:16" s="97" customFormat="1" x14ac:dyDescent="0.25">
      <c r="A668" s="37" t="s">
        <v>1501</v>
      </c>
      <c r="B668" s="38" t="s">
        <v>1497</v>
      </c>
      <c r="C668" s="39" t="s">
        <v>1459</v>
      </c>
      <c r="D668" s="73" t="s">
        <v>1177</v>
      </c>
      <c r="E668" s="39" t="s">
        <v>661</v>
      </c>
      <c r="F668" s="39" t="s">
        <v>2083</v>
      </c>
      <c r="G668" s="73" t="s">
        <v>168</v>
      </c>
      <c r="H668" s="73" t="s">
        <v>654</v>
      </c>
      <c r="I668" s="39"/>
      <c r="J668" s="40" t="s">
        <v>708</v>
      </c>
      <c r="K668" s="114">
        <f>ROUND(Tableau16[[#This Row],[LEN]]*7.27,0)</f>
        <v>204</v>
      </c>
      <c r="L668" s="114">
        <v>15</v>
      </c>
      <c r="M668" s="131" t="str">
        <f t="shared" si="4"/>
        <v>none</v>
      </c>
      <c r="N668" s="114">
        <f>LEN(Tableau16[[#This Row],[LABEL]])</f>
        <v>28</v>
      </c>
      <c r="O668" s="114">
        <v>15</v>
      </c>
      <c r="P668" s="114" t="e">
        <f>ROUND(Tableau16[[#This Row],[LEN]]*#REF!+#REF!,0)</f>
        <v>#REF!</v>
      </c>
    </row>
    <row r="669" spans="1:16" s="273" customFormat="1" x14ac:dyDescent="0.25">
      <c r="A669" s="316" t="s">
        <v>2007</v>
      </c>
      <c r="B669" s="317" t="s">
        <v>207</v>
      </c>
      <c r="C669" s="318" t="s">
        <v>1950</v>
      </c>
      <c r="D669" s="319" t="s">
        <v>1177</v>
      </c>
      <c r="E669" s="318" t="s">
        <v>1951</v>
      </c>
      <c r="F669" s="318" t="s">
        <v>1177</v>
      </c>
      <c r="G669" s="319" t="s">
        <v>168</v>
      </c>
      <c r="H669" s="319" t="s">
        <v>56</v>
      </c>
      <c r="I669" s="318"/>
      <c r="J669" s="320" t="s">
        <v>708</v>
      </c>
      <c r="K669" s="321">
        <f>ROUND(Tableau16[[#This Row],[LEN]]*7.27,0)</f>
        <v>51</v>
      </c>
      <c r="L669" s="321">
        <v>15</v>
      </c>
      <c r="M669" s="322" t="str">
        <f t="shared" si="4"/>
        <v>none</v>
      </c>
      <c r="N669" s="321">
        <f>LEN(Tableau16[[#This Row],[LABEL]])</f>
        <v>7</v>
      </c>
      <c r="O669" s="321">
        <v>15</v>
      </c>
      <c r="P669" s="321" t="e">
        <f>ROUND(Tableau16[[#This Row],[LEN]]*#REF!+#REF!,0)</f>
        <v>#REF!</v>
      </c>
    </row>
    <row r="670" spans="1:16" s="97" customFormat="1" x14ac:dyDescent="0.25">
      <c r="A670" s="33" t="s">
        <v>2008</v>
      </c>
      <c r="B670" s="34" t="s">
        <v>2007</v>
      </c>
      <c r="C670" s="35" t="s">
        <v>111</v>
      </c>
      <c r="D670" s="72" t="s">
        <v>1177</v>
      </c>
      <c r="E670" s="35" t="s">
        <v>667</v>
      </c>
      <c r="F670" s="35" t="s">
        <v>2006</v>
      </c>
      <c r="G670" s="72" t="s">
        <v>168</v>
      </c>
      <c r="H670" s="72" t="s">
        <v>655</v>
      </c>
      <c r="I670" s="35"/>
      <c r="J670" s="36" t="s">
        <v>708</v>
      </c>
      <c r="K670" s="113">
        <f>ROUND(Tableau16[[#This Row],[LEN]]*7.27,0)</f>
        <v>167</v>
      </c>
      <c r="L670" s="113">
        <v>15</v>
      </c>
      <c r="M670" s="130" t="str">
        <f t="shared" si="4"/>
        <v>none</v>
      </c>
      <c r="N670" s="113">
        <f>LEN(Tableau16[[#This Row],[LABEL]])</f>
        <v>23</v>
      </c>
      <c r="O670" s="113">
        <v>15</v>
      </c>
      <c r="P670" s="113" t="e">
        <f>ROUND(Tableau16[[#This Row],[LEN]]*#REF!+#REF!,0)</f>
        <v>#REF!</v>
      </c>
    </row>
    <row r="671" spans="1:16" s="97" customFormat="1" x14ac:dyDescent="0.25">
      <c r="A671" s="37" t="s">
        <v>2009</v>
      </c>
      <c r="B671" s="38" t="s">
        <v>2008</v>
      </c>
      <c r="C671" s="39" t="s">
        <v>2014</v>
      </c>
      <c r="D671" s="73" t="s">
        <v>2015</v>
      </c>
      <c r="E671" s="39" t="s">
        <v>667</v>
      </c>
      <c r="F671" s="39" t="s">
        <v>2006</v>
      </c>
      <c r="G671" s="73" t="s">
        <v>168</v>
      </c>
      <c r="H671" s="73" t="s">
        <v>654</v>
      </c>
      <c r="I671" s="39"/>
      <c r="J671" s="40" t="s">
        <v>708</v>
      </c>
      <c r="K671" s="114">
        <f>ROUND(Tableau16[[#This Row],[LEN]]*7.27,0)</f>
        <v>124</v>
      </c>
      <c r="L671" s="114">
        <v>15</v>
      </c>
      <c r="M671" s="131" t="str">
        <f t="shared" si="4"/>
        <v>none</v>
      </c>
      <c r="N671" s="114">
        <f>LEN(Tableau16[[#This Row],[LABEL]])</f>
        <v>17</v>
      </c>
      <c r="O671" s="114">
        <v>15</v>
      </c>
      <c r="P671" s="114" t="e">
        <f>ROUND(Tableau16[[#This Row],[LEN]]*#REF!+#REF!,0)</f>
        <v>#REF!</v>
      </c>
    </row>
    <row r="672" spans="1:16" s="97" customFormat="1" ht="15.75" thickBot="1" x14ac:dyDescent="0.3">
      <c r="A672" s="37" t="s">
        <v>2010</v>
      </c>
      <c r="B672" s="38" t="s">
        <v>2008</v>
      </c>
      <c r="C672" s="39" t="s">
        <v>113</v>
      </c>
      <c r="D672" s="73" t="s">
        <v>1177</v>
      </c>
      <c r="E672" s="39" t="s">
        <v>667</v>
      </c>
      <c r="F672" s="39" t="s">
        <v>2006</v>
      </c>
      <c r="G672" s="73" t="s">
        <v>168</v>
      </c>
      <c r="H672" s="73" t="s">
        <v>654</v>
      </c>
      <c r="I672" s="39"/>
      <c r="J672" s="40" t="s">
        <v>708</v>
      </c>
      <c r="K672" s="114">
        <f>ROUND(Tableau16[[#This Row],[LEN]]*7.27,0)</f>
        <v>233</v>
      </c>
      <c r="L672" s="114">
        <v>15</v>
      </c>
      <c r="M672" s="131" t="str">
        <f t="shared" si="4"/>
        <v>none</v>
      </c>
      <c r="N672" s="114">
        <f>LEN(Tableau16[[#This Row],[LABEL]])</f>
        <v>32</v>
      </c>
      <c r="O672" s="114">
        <v>15</v>
      </c>
      <c r="P672" s="114" t="e">
        <f>ROUND(Tableau16[[#This Row],[LEN]]*#REF!+#REF!,0)</f>
        <v>#REF!</v>
      </c>
    </row>
    <row r="673" spans="1:16" s="97" customFormat="1" ht="15.75" thickTop="1" x14ac:dyDescent="0.25">
      <c r="A673" s="156" t="s">
        <v>202</v>
      </c>
      <c r="B673" s="156" t="s">
        <v>198</v>
      </c>
      <c r="C673" s="157" t="s">
        <v>1161</v>
      </c>
      <c r="D673" s="157" t="s">
        <v>183</v>
      </c>
      <c r="E673" s="158" t="s">
        <v>1177</v>
      </c>
      <c r="F673" s="157" t="s">
        <v>1084</v>
      </c>
      <c r="G673" s="158" t="s">
        <v>171</v>
      </c>
      <c r="H673" s="158" t="s">
        <v>615</v>
      </c>
      <c r="I673" s="157"/>
      <c r="J673" s="159" t="s">
        <v>707</v>
      </c>
      <c r="K673" s="160">
        <f>ROUND(Tableau16[[#This Row],[LEN]]*7.27,0)</f>
        <v>131</v>
      </c>
      <c r="L673" s="160">
        <v>15</v>
      </c>
      <c r="M673" s="161" t="str">
        <f t="shared" si="4"/>
        <v>new</v>
      </c>
      <c r="N673" s="160">
        <f>LEN(Tableau16[[#This Row],[LABEL]])</f>
        <v>18</v>
      </c>
      <c r="O673" s="162">
        <v>15</v>
      </c>
      <c r="P673" s="162" t="e">
        <f>ROUND(Tableau16[[#This Row],[LEN]]*#REF!+#REF!,0)</f>
        <v>#REF!</v>
      </c>
    </row>
    <row r="674" spans="1:16" s="97" customFormat="1" ht="15.75" thickBot="1" x14ac:dyDescent="0.3">
      <c r="A674" s="184" t="s">
        <v>208</v>
      </c>
      <c r="B674" s="184" t="s">
        <v>202</v>
      </c>
      <c r="C674" s="185" t="s">
        <v>176</v>
      </c>
      <c r="D674" s="186" t="s">
        <v>473</v>
      </c>
      <c r="E674" s="185" t="s">
        <v>1177</v>
      </c>
      <c r="F674" s="186" t="s">
        <v>1177</v>
      </c>
      <c r="G674" s="185" t="s">
        <v>68</v>
      </c>
      <c r="H674" s="185" t="s">
        <v>616</v>
      </c>
      <c r="I674" s="186"/>
      <c r="J674" s="187" t="s">
        <v>708</v>
      </c>
      <c r="K674" s="188">
        <f>ROUND(Tableau16[[#This Row],[LEN]]*7.27,0)</f>
        <v>160</v>
      </c>
      <c r="L674" s="188">
        <v>15</v>
      </c>
      <c r="M674" s="189" t="str">
        <f t="shared" si="4"/>
        <v>none</v>
      </c>
      <c r="N674" s="188">
        <f>LEN(Tableau16[[#This Row],[LABEL]])</f>
        <v>22</v>
      </c>
      <c r="O674" s="190">
        <v>15</v>
      </c>
      <c r="P674" s="190" t="e">
        <f>ROUND(Tableau16[[#This Row],[LEN]]*#REF!+#REF!,0)</f>
        <v>#REF!</v>
      </c>
    </row>
    <row r="675" spans="1:16" s="273" customFormat="1" ht="15.75" thickTop="1" x14ac:dyDescent="0.25">
      <c r="A675" s="330" t="s">
        <v>285</v>
      </c>
      <c r="B675" s="331" t="s">
        <v>208</v>
      </c>
      <c r="C675" s="332" t="s">
        <v>57</v>
      </c>
      <c r="D675" s="333" t="s">
        <v>1177</v>
      </c>
      <c r="E675" s="332" t="s">
        <v>663</v>
      </c>
      <c r="F675" s="332" t="s">
        <v>1177</v>
      </c>
      <c r="G675" s="333" t="s">
        <v>68</v>
      </c>
      <c r="H675" s="333" t="str">
        <f>IFERROR(IF(SEARCH(".00.00.00.00.00",Tableau16[[#This Row],[name]],1)=7,"Division",""),"")</f>
        <v>Division</v>
      </c>
      <c r="I675" s="332"/>
      <c r="J675" s="334" t="s">
        <v>708</v>
      </c>
      <c r="K675" s="335">
        <f>ROUND(Tableau16[[#This Row],[LEN]]*7.27,0)</f>
        <v>102</v>
      </c>
      <c r="L675" s="335">
        <v>15</v>
      </c>
      <c r="M675" s="336" t="str">
        <f t="shared" si="4"/>
        <v>none</v>
      </c>
      <c r="N675" s="335">
        <f>LEN(Tableau16[[#This Row],[LABEL]])</f>
        <v>14</v>
      </c>
      <c r="O675" s="335">
        <v>15</v>
      </c>
      <c r="P675" s="335" t="e">
        <f>ROUND(Tableau16[[#This Row],[LEN]]*#REF!+#REF!,0)</f>
        <v>#REF!</v>
      </c>
    </row>
    <row r="676" spans="1:16" s="97" customFormat="1" x14ac:dyDescent="0.25">
      <c r="A676" s="41" t="s">
        <v>844</v>
      </c>
      <c r="B676" s="42" t="s">
        <v>285</v>
      </c>
      <c r="C676" s="43" t="s">
        <v>848</v>
      </c>
      <c r="D676" s="74" t="s">
        <v>1177</v>
      </c>
      <c r="E676" s="43" t="s">
        <v>663</v>
      </c>
      <c r="F676" s="43" t="s">
        <v>684</v>
      </c>
      <c r="G676" s="74" t="s">
        <v>68</v>
      </c>
      <c r="H676" s="74" t="s">
        <v>655</v>
      </c>
      <c r="I676" s="43"/>
      <c r="J676" s="44" t="s">
        <v>708</v>
      </c>
      <c r="K676" s="115">
        <f>ROUND(Tableau16[[#This Row],[LEN]]*7.27,0)</f>
        <v>153</v>
      </c>
      <c r="L676" s="115">
        <v>15</v>
      </c>
      <c r="M676" s="132" t="str">
        <f t="shared" si="4"/>
        <v>none</v>
      </c>
      <c r="N676" s="115">
        <f>LEN(Tableau16[[#This Row],[LABEL]])</f>
        <v>21</v>
      </c>
      <c r="O676" s="115">
        <v>15</v>
      </c>
      <c r="P676" s="115" t="e">
        <f>ROUND(Tableau16[[#This Row],[LEN]]*#REF!+#REF!,0)</f>
        <v>#REF!</v>
      </c>
    </row>
    <row r="677" spans="1:16" s="97" customFormat="1" x14ac:dyDescent="0.25">
      <c r="A677" s="45" t="s">
        <v>852</v>
      </c>
      <c r="B677" s="46" t="s">
        <v>844</v>
      </c>
      <c r="C677" s="47" t="s">
        <v>864</v>
      </c>
      <c r="D677" s="75" t="s">
        <v>1177</v>
      </c>
      <c r="E677" s="47" t="s">
        <v>663</v>
      </c>
      <c r="F677" s="47" t="s">
        <v>684</v>
      </c>
      <c r="G677" s="75" t="s">
        <v>68</v>
      </c>
      <c r="H677" s="75" t="s">
        <v>656</v>
      </c>
      <c r="I677" s="47"/>
      <c r="J677" s="48" t="s">
        <v>708</v>
      </c>
      <c r="K677" s="116">
        <f>ROUND(Tableau16[[#This Row],[LEN]]*7.27,0)</f>
        <v>102</v>
      </c>
      <c r="L677" s="116">
        <v>15</v>
      </c>
      <c r="M677" s="133" t="str">
        <f t="shared" si="4"/>
        <v>none</v>
      </c>
      <c r="N677" s="116">
        <f>LEN(Tableau16[[#This Row],[LABEL]])</f>
        <v>14</v>
      </c>
      <c r="O677" s="116">
        <v>15</v>
      </c>
      <c r="P677" s="116" t="e">
        <f>ROUND(Tableau16[[#This Row],[LEN]]*#REF!+#REF!,0)</f>
        <v>#REF!</v>
      </c>
    </row>
    <row r="678" spans="1:16" s="97" customFormat="1" x14ac:dyDescent="0.25">
      <c r="A678" s="45" t="s">
        <v>853</v>
      </c>
      <c r="B678" s="46" t="s">
        <v>844</v>
      </c>
      <c r="C678" s="47" t="s">
        <v>865</v>
      </c>
      <c r="D678" s="75" t="s">
        <v>1177</v>
      </c>
      <c r="E678" s="47" t="s">
        <v>663</v>
      </c>
      <c r="F678" s="47" t="s">
        <v>684</v>
      </c>
      <c r="G678" s="75" t="s">
        <v>68</v>
      </c>
      <c r="H678" s="75" t="s">
        <v>656</v>
      </c>
      <c r="I678" s="47"/>
      <c r="J678" s="48" t="s">
        <v>708</v>
      </c>
      <c r="K678" s="116">
        <f>ROUND(Tableau16[[#This Row],[LEN]]*7.27,0)</f>
        <v>211</v>
      </c>
      <c r="L678" s="116">
        <v>15</v>
      </c>
      <c r="M678" s="133" t="str">
        <f t="shared" si="4"/>
        <v>none</v>
      </c>
      <c r="N678" s="116">
        <f>LEN(Tableau16[[#This Row],[LABEL]])</f>
        <v>29</v>
      </c>
      <c r="O678" s="116">
        <v>15</v>
      </c>
      <c r="P678" s="116" t="e">
        <f>ROUND(Tableau16[[#This Row],[LEN]]*#REF!+#REF!,0)</f>
        <v>#REF!</v>
      </c>
    </row>
    <row r="679" spans="1:16" s="97" customFormat="1" x14ac:dyDescent="0.25">
      <c r="A679" s="41" t="s">
        <v>845</v>
      </c>
      <c r="B679" s="42" t="s">
        <v>285</v>
      </c>
      <c r="C679" s="43" t="s">
        <v>849</v>
      </c>
      <c r="D679" s="74" t="s">
        <v>1177</v>
      </c>
      <c r="E679" s="43" t="s">
        <v>667</v>
      </c>
      <c r="F679" s="43" t="s">
        <v>840</v>
      </c>
      <c r="G679" s="74" t="s">
        <v>68</v>
      </c>
      <c r="H679" s="74" t="s">
        <v>655</v>
      </c>
      <c r="I679" s="43"/>
      <c r="J679" s="44" t="s">
        <v>708</v>
      </c>
      <c r="K679" s="115">
        <f>ROUND(Tableau16[[#This Row],[LEN]]*7.27,0)</f>
        <v>80</v>
      </c>
      <c r="L679" s="115">
        <v>15</v>
      </c>
      <c r="M679" s="132" t="str">
        <f t="shared" si="4"/>
        <v>none</v>
      </c>
      <c r="N679" s="115">
        <f>LEN(Tableau16[[#This Row],[LABEL]])</f>
        <v>11</v>
      </c>
      <c r="O679" s="115">
        <v>15</v>
      </c>
      <c r="P679" s="115" t="e">
        <f>ROUND(Tableau16[[#This Row],[LEN]]*#REF!+#REF!,0)</f>
        <v>#REF!</v>
      </c>
    </row>
    <row r="680" spans="1:16" s="97" customFormat="1" x14ac:dyDescent="0.25">
      <c r="A680" s="45" t="s">
        <v>854</v>
      </c>
      <c r="B680" s="46" t="s">
        <v>845</v>
      </c>
      <c r="C680" s="47" t="s">
        <v>112</v>
      </c>
      <c r="D680" s="75" t="s">
        <v>1177</v>
      </c>
      <c r="E680" s="47" t="s">
        <v>667</v>
      </c>
      <c r="F680" s="47" t="s">
        <v>2006</v>
      </c>
      <c r="G680" s="75" t="s">
        <v>68</v>
      </c>
      <c r="H680" s="75" t="s">
        <v>654</v>
      </c>
      <c r="I680" s="47"/>
      <c r="J680" s="48" t="s">
        <v>708</v>
      </c>
      <c r="K680" s="116">
        <f>ROUND(Tableau16[[#This Row],[LEN]]*7.27,0)</f>
        <v>167</v>
      </c>
      <c r="L680" s="116">
        <v>15</v>
      </c>
      <c r="M680" s="133" t="str">
        <f t="shared" si="4"/>
        <v>none</v>
      </c>
      <c r="N680" s="116">
        <f>LEN(Tableau16[[#This Row],[LABEL]])</f>
        <v>23</v>
      </c>
      <c r="O680" s="116">
        <v>15</v>
      </c>
      <c r="P680" s="116" t="e">
        <f>ROUND(Tableau16[[#This Row],[LEN]]*#REF!+#REF!,0)</f>
        <v>#REF!</v>
      </c>
    </row>
    <row r="681" spans="1:16" s="97" customFormat="1" x14ac:dyDescent="0.25">
      <c r="A681" s="45" t="s">
        <v>855</v>
      </c>
      <c r="B681" s="46" t="s">
        <v>845</v>
      </c>
      <c r="C681" s="47" t="s">
        <v>113</v>
      </c>
      <c r="D681" s="75" t="s">
        <v>1177</v>
      </c>
      <c r="E681" s="47" t="s">
        <v>667</v>
      </c>
      <c r="F681" s="47" t="s">
        <v>2006</v>
      </c>
      <c r="G681" s="75" t="s">
        <v>68</v>
      </c>
      <c r="H681" s="75" t="s">
        <v>654</v>
      </c>
      <c r="I681" s="47"/>
      <c r="J681" s="48" t="s">
        <v>708</v>
      </c>
      <c r="K681" s="116">
        <f>ROUND(Tableau16[[#This Row],[LEN]]*7.27,0)</f>
        <v>233</v>
      </c>
      <c r="L681" s="116">
        <v>15</v>
      </c>
      <c r="M681" s="133" t="str">
        <f t="shared" si="4"/>
        <v>none</v>
      </c>
      <c r="N681" s="116">
        <f>LEN(Tableau16[[#This Row],[LABEL]])</f>
        <v>32</v>
      </c>
      <c r="O681" s="116">
        <v>15</v>
      </c>
      <c r="P681" s="116" t="e">
        <f>ROUND(Tableau16[[#This Row],[LEN]]*#REF!+#REF!,0)</f>
        <v>#REF!</v>
      </c>
    </row>
    <row r="682" spans="1:16" s="97" customFormat="1" x14ac:dyDescent="0.25">
      <c r="A682" s="41" t="s">
        <v>846</v>
      </c>
      <c r="B682" s="42" t="s">
        <v>285</v>
      </c>
      <c r="C682" s="43" t="s">
        <v>850</v>
      </c>
      <c r="D682" s="74" t="s">
        <v>1177</v>
      </c>
      <c r="E682" s="43" t="s">
        <v>663</v>
      </c>
      <c r="F682" s="43" t="s">
        <v>1177</v>
      </c>
      <c r="G682" s="74" t="s">
        <v>68</v>
      </c>
      <c r="H682" s="74" t="s">
        <v>655</v>
      </c>
      <c r="I682" s="43"/>
      <c r="J682" s="44" t="s">
        <v>708</v>
      </c>
      <c r="K682" s="115">
        <f>ROUND(Tableau16[[#This Row],[LEN]]*7.27,0)</f>
        <v>109</v>
      </c>
      <c r="L682" s="115">
        <v>15</v>
      </c>
      <c r="M682" s="132" t="str">
        <f t="shared" si="4"/>
        <v>none</v>
      </c>
      <c r="N682" s="115">
        <f>LEN(Tableau16[[#This Row],[LABEL]])</f>
        <v>15</v>
      </c>
      <c r="O682" s="115">
        <v>15</v>
      </c>
      <c r="P682" s="115" t="e">
        <f>ROUND(Tableau16[[#This Row],[LEN]]*#REF!+#REF!,0)</f>
        <v>#REF!</v>
      </c>
    </row>
    <row r="683" spans="1:16" s="97" customFormat="1" x14ac:dyDescent="0.25">
      <c r="A683" s="45" t="s">
        <v>856</v>
      </c>
      <c r="B683" s="46" t="s">
        <v>846</v>
      </c>
      <c r="C683" s="47" t="s">
        <v>866</v>
      </c>
      <c r="D683" s="75" t="s">
        <v>1177</v>
      </c>
      <c r="E683" s="47" t="s">
        <v>663</v>
      </c>
      <c r="F683" s="47" t="s">
        <v>1177</v>
      </c>
      <c r="G683" s="75" t="s">
        <v>68</v>
      </c>
      <c r="H683" s="75" t="s">
        <v>18</v>
      </c>
      <c r="I683" s="47"/>
      <c r="J683" s="48" t="s">
        <v>708</v>
      </c>
      <c r="K683" s="116">
        <f>ROUND(Tableau16[[#This Row],[LEN]]*7.27,0)</f>
        <v>145</v>
      </c>
      <c r="L683" s="116">
        <v>15</v>
      </c>
      <c r="M683" s="133" t="str">
        <f t="shared" si="4"/>
        <v>none</v>
      </c>
      <c r="N683" s="116">
        <f>LEN(Tableau16[[#This Row],[LABEL]])</f>
        <v>20</v>
      </c>
      <c r="O683" s="116">
        <v>15</v>
      </c>
      <c r="P683" s="116" t="e">
        <f>ROUND(Tableau16[[#This Row],[LEN]]*#REF!+#REF!,0)</f>
        <v>#REF!</v>
      </c>
    </row>
    <row r="684" spans="1:16" s="97" customFormat="1" x14ac:dyDescent="0.25">
      <c r="A684" s="45" t="s">
        <v>857</v>
      </c>
      <c r="B684" s="46" t="s">
        <v>846</v>
      </c>
      <c r="C684" s="47" t="s">
        <v>867</v>
      </c>
      <c r="D684" s="75" t="s">
        <v>1177</v>
      </c>
      <c r="E684" s="47" t="s">
        <v>663</v>
      </c>
      <c r="F684" s="47" t="s">
        <v>1177</v>
      </c>
      <c r="G684" s="75" t="s">
        <v>68</v>
      </c>
      <c r="H684" s="75" t="s">
        <v>18</v>
      </c>
      <c r="I684" s="47"/>
      <c r="J684" s="48" t="s">
        <v>708</v>
      </c>
      <c r="K684" s="116">
        <f>ROUND(Tableau16[[#This Row],[LEN]]*7.27,0)</f>
        <v>153</v>
      </c>
      <c r="L684" s="116">
        <v>15</v>
      </c>
      <c r="M684" s="133" t="str">
        <f t="shared" si="4"/>
        <v>none</v>
      </c>
      <c r="N684" s="116">
        <f>LEN(Tableau16[[#This Row],[LABEL]])</f>
        <v>21</v>
      </c>
      <c r="O684" s="116">
        <v>15</v>
      </c>
      <c r="P684" s="116" t="e">
        <f>ROUND(Tableau16[[#This Row],[LEN]]*#REF!+#REF!,0)</f>
        <v>#REF!</v>
      </c>
    </row>
    <row r="685" spans="1:16" s="97" customFormat="1" x14ac:dyDescent="0.25">
      <c r="A685" s="45" t="s">
        <v>858</v>
      </c>
      <c r="B685" s="46" t="s">
        <v>846</v>
      </c>
      <c r="C685" s="47" t="s">
        <v>868</v>
      </c>
      <c r="D685" s="75" t="s">
        <v>1177</v>
      </c>
      <c r="E685" s="47" t="s">
        <v>663</v>
      </c>
      <c r="F685" s="47" t="s">
        <v>1177</v>
      </c>
      <c r="G685" s="75" t="s">
        <v>68</v>
      </c>
      <c r="H685" s="75" t="s">
        <v>18</v>
      </c>
      <c r="I685" s="47"/>
      <c r="J685" s="48" t="s">
        <v>708</v>
      </c>
      <c r="K685" s="116">
        <f>ROUND(Tableau16[[#This Row],[LEN]]*7.27,0)</f>
        <v>87</v>
      </c>
      <c r="L685" s="116">
        <v>15</v>
      </c>
      <c r="M685" s="133" t="str">
        <f t="shared" si="4"/>
        <v>none</v>
      </c>
      <c r="N685" s="116">
        <f>LEN(Tableau16[[#This Row],[LABEL]])</f>
        <v>12</v>
      </c>
      <c r="O685" s="116">
        <v>15</v>
      </c>
      <c r="P685" s="116" t="e">
        <f>ROUND(Tableau16[[#This Row],[LEN]]*#REF!+#REF!,0)</f>
        <v>#REF!</v>
      </c>
    </row>
    <row r="686" spans="1:16" s="97" customFormat="1" x14ac:dyDescent="0.25">
      <c r="A686" s="45" t="s">
        <v>859</v>
      </c>
      <c r="B686" s="46" t="s">
        <v>846</v>
      </c>
      <c r="C686" s="47" t="s">
        <v>869</v>
      </c>
      <c r="D686" s="75" t="s">
        <v>1177</v>
      </c>
      <c r="E686" s="47" t="s">
        <v>663</v>
      </c>
      <c r="F686" s="47" t="s">
        <v>1177</v>
      </c>
      <c r="G686" s="75" t="s">
        <v>68</v>
      </c>
      <c r="H686" s="75" t="s">
        <v>18</v>
      </c>
      <c r="I686" s="47"/>
      <c r="J686" s="48" t="s">
        <v>708</v>
      </c>
      <c r="K686" s="116">
        <f>ROUND(Tableau16[[#This Row],[LEN]]*7.27,0)</f>
        <v>145</v>
      </c>
      <c r="L686" s="116">
        <v>15</v>
      </c>
      <c r="M686" s="133" t="str">
        <f t="shared" si="4"/>
        <v>none</v>
      </c>
      <c r="N686" s="116">
        <f>LEN(Tableau16[[#This Row],[LABEL]])</f>
        <v>20</v>
      </c>
      <c r="O686" s="116">
        <v>15</v>
      </c>
      <c r="P686" s="116" t="e">
        <f>ROUND(Tableau16[[#This Row],[LEN]]*#REF!+#REF!,0)</f>
        <v>#REF!</v>
      </c>
    </row>
    <row r="687" spans="1:16" s="97" customFormat="1" x14ac:dyDescent="0.25">
      <c r="A687" s="41" t="s">
        <v>847</v>
      </c>
      <c r="B687" s="42" t="s">
        <v>285</v>
      </c>
      <c r="C687" s="43" t="s">
        <v>851</v>
      </c>
      <c r="D687" s="74" t="s">
        <v>1177</v>
      </c>
      <c r="E687" s="43" t="s">
        <v>663</v>
      </c>
      <c r="F687" s="43" t="s">
        <v>1177</v>
      </c>
      <c r="G687" s="74" t="s">
        <v>68</v>
      </c>
      <c r="H687" s="74" t="s">
        <v>655</v>
      </c>
      <c r="I687" s="43"/>
      <c r="J687" s="44" t="s">
        <v>708</v>
      </c>
      <c r="K687" s="115">
        <f>ROUND(Tableau16[[#This Row],[LEN]]*7.27,0)</f>
        <v>124</v>
      </c>
      <c r="L687" s="115">
        <v>15</v>
      </c>
      <c r="M687" s="132" t="str">
        <f t="shared" si="4"/>
        <v>none</v>
      </c>
      <c r="N687" s="115">
        <f>LEN(Tableau16[[#This Row],[LABEL]])</f>
        <v>17</v>
      </c>
      <c r="O687" s="115">
        <v>15</v>
      </c>
      <c r="P687" s="115" t="e">
        <f>ROUND(Tableau16[[#This Row],[LEN]]*#REF!+#REF!,0)</f>
        <v>#REF!</v>
      </c>
    </row>
    <row r="688" spans="1:16" s="97" customFormat="1" x14ac:dyDescent="0.25">
      <c r="A688" s="45" t="s">
        <v>860</v>
      </c>
      <c r="B688" s="46" t="s">
        <v>847</v>
      </c>
      <c r="C688" s="47" t="s">
        <v>870</v>
      </c>
      <c r="D688" s="75" t="s">
        <v>1177</v>
      </c>
      <c r="E688" s="47" t="s">
        <v>663</v>
      </c>
      <c r="F688" s="47" t="s">
        <v>1177</v>
      </c>
      <c r="G688" s="75" t="s">
        <v>68</v>
      </c>
      <c r="H688" s="75" t="s">
        <v>18</v>
      </c>
      <c r="I688" s="47"/>
      <c r="J688" s="48" t="s">
        <v>708</v>
      </c>
      <c r="K688" s="116">
        <f>ROUND(Tableau16[[#This Row],[LEN]]*7.27,0)</f>
        <v>65</v>
      </c>
      <c r="L688" s="116">
        <v>15</v>
      </c>
      <c r="M688" s="133" t="str">
        <f t="shared" si="4"/>
        <v>none</v>
      </c>
      <c r="N688" s="116">
        <f>LEN(Tableau16[[#This Row],[LABEL]])</f>
        <v>9</v>
      </c>
      <c r="O688" s="116">
        <v>15</v>
      </c>
      <c r="P688" s="116" t="e">
        <f>ROUND(Tableau16[[#This Row],[LEN]]*#REF!+#REF!,0)</f>
        <v>#REF!</v>
      </c>
    </row>
    <row r="689" spans="1:16" s="97" customFormat="1" x14ac:dyDescent="0.25">
      <c r="A689" s="45" t="s">
        <v>861</v>
      </c>
      <c r="B689" s="46" t="s">
        <v>847</v>
      </c>
      <c r="C689" s="47" t="s">
        <v>871</v>
      </c>
      <c r="D689" s="75" t="s">
        <v>1177</v>
      </c>
      <c r="E689" s="47" t="s">
        <v>663</v>
      </c>
      <c r="F689" s="47" t="s">
        <v>1177</v>
      </c>
      <c r="G689" s="75" t="s">
        <v>68</v>
      </c>
      <c r="H689" s="75" t="s">
        <v>18</v>
      </c>
      <c r="I689" s="47"/>
      <c r="J689" s="48" t="s">
        <v>708</v>
      </c>
      <c r="K689" s="116">
        <f>ROUND(Tableau16[[#This Row],[LEN]]*7.27,0)</f>
        <v>116</v>
      </c>
      <c r="L689" s="116">
        <v>15</v>
      </c>
      <c r="M689" s="133" t="str">
        <f t="shared" si="4"/>
        <v>none</v>
      </c>
      <c r="N689" s="116">
        <f>LEN(Tableau16[[#This Row],[LABEL]])</f>
        <v>16</v>
      </c>
      <c r="O689" s="116">
        <v>15</v>
      </c>
      <c r="P689" s="116" t="e">
        <f>ROUND(Tableau16[[#This Row],[LEN]]*#REF!+#REF!,0)</f>
        <v>#REF!</v>
      </c>
    </row>
    <row r="690" spans="1:16" s="97" customFormat="1" x14ac:dyDescent="0.25">
      <c r="A690" s="45" t="s">
        <v>862</v>
      </c>
      <c r="B690" s="46" t="s">
        <v>847</v>
      </c>
      <c r="C690" s="47" t="s">
        <v>872</v>
      </c>
      <c r="D690" s="75" t="s">
        <v>1177</v>
      </c>
      <c r="E690" s="47" t="s">
        <v>663</v>
      </c>
      <c r="F690" s="47" t="s">
        <v>1177</v>
      </c>
      <c r="G690" s="75" t="s">
        <v>68</v>
      </c>
      <c r="H690" s="75" t="s">
        <v>18</v>
      </c>
      <c r="I690" s="47"/>
      <c r="J690" s="48" t="s">
        <v>708</v>
      </c>
      <c r="K690" s="116">
        <f>ROUND(Tableau16[[#This Row],[LEN]]*7.27,0)</f>
        <v>145</v>
      </c>
      <c r="L690" s="116">
        <v>15</v>
      </c>
      <c r="M690" s="133" t="str">
        <f t="shared" si="4"/>
        <v>none</v>
      </c>
      <c r="N690" s="116">
        <f>LEN(Tableau16[[#This Row],[LABEL]])</f>
        <v>20</v>
      </c>
      <c r="O690" s="116">
        <v>15</v>
      </c>
      <c r="P690" s="116" t="e">
        <f>ROUND(Tableau16[[#This Row],[LEN]]*#REF!+#REF!,0)</f>
        <v>#REF!</v>
      </c>
    </row>
    <row r="691" spans="1:16" s="97" customFormat="1" x14ac:dyDescent="0.25">
      <c r="A691" s="45" t="s">
        <v>863</v>
      </c>
      <c r="B691" s="46" t="s">
        <v>847</v>
      </c>
      <c r="C691" s="47" t="s">
        <v>873</v>
      </c>
      <c r="D691" s="75" t="s">
        <v>1177</v>
      </c>
      <c r="E691" s="47" t="s">
        <v>663</v>
      </c>
      <c r="F691" s="47" t="s">
        <v>1177</v>
      </c>
      <c r="G691" s="75" t="s">
        <v>68</v>
      </c>
      <c r="H691" s="75" t="s">
        <v>18</v>
      </c>
      <c r="I691" s="47"/>
      <c r="J691" s="48" t="s">
        <v>708</v>
      </c>
      <c r="K691" s="116">
        <f>ROUND(Tableau16[[#This Row],[LEN]]*7.27,0)</f>
        <v>116</v>
      </c>
      <c r="L691" s="116">
        <v>15</v>
      </c>
      <c r="M691" s="133" t="str">
        <f t="shared" si="4"/>
        <v>none</v>
      </c>
      <c r="N691" s="116">
        <f>LEN(Tableau16[[#This Row],[LABEL]])</f>
        <v>16</v>
      </c>
      <c r="O691" s="116">
        <v>15</v>
      </c>
      <c r="P691" s="116" t="e">
        <f>ROUND(Tableau16[[#This Row],[LEN]]*#REF!+#REF!,0)</f>
        <v>#REF!</v>
      </c>
    </row>
    <row r="692" spans="1:16" s="273" customFormat="1" x14ac:dyDescent="0.25">
      <c r="A692" s="330" t="s">
        <v>286</v>
      </c>
      <c r="B692" s="331" t="s">
        <v>208</v>
      </c>
      <c r="C692" s="332" t="s">
        <v>2</v>
      </c>
      <c r="D692" s="333" t="s">
        <v>1177</v>
      </c>
      <c r="E692" s="332" t="s">
        <v>662</v>
      </c>
      <c r="F692" s="332" t="s">
        <v>1177</v>
      </c>
      <c r="G692" s="333" t="s">
        <v>68</v>
      </c>
      <c r="H692" s="333" t="str">
        <f>IFERROR(IF(SEARCH(".00.00.00.00.00",Tableau16[[#This Row],[name]],1)=7,"Division",""),"")</f>
        <v>Division</v>
      </c>
      <c r="I692" s="332"/>
      <c r="J692" s="334" t="s">
        <v>708</v>
      </c>
      <c r="K692" s="335">
        <f>ROUND(Tableau16[[#This Row],[LEN]]*7.27,0)</f>
        <v>65</v>
      </c>
      <c r="L692" s="335">
        <v>15</v>
      </c>
      <c r="M692" s="336" t="str">
        <f t="shared" si="4"/>
        <v>none</v>
      </c>
      <c r="N692" s="335">
        <f>LEN(Tableau16[[#This Row],[LABEL]])</f>
        <v>9</v>
      </c>
      <c r="O692" s="335">
        <v>15</v>
      </c>
      <c r="P692" s="335" t="e">
        <f>ROUND(Tableau16[[#This Row],[LEN]]*#REF!+#REF!,0)</f>
        <v>#REF!</v>
      </c>
    </row>
    <row r="693" spans="1:16" s="97" customFormat="1" x14ac:dyDescent="0.25">
      <c r="A693" s="41" t="s">
        <v>737</v>
      </c>
      <c r="B693" s="42" t="s">
        <v>286</v>
      </c>
      <c r="C693" s="43" t="s">
        <v>738</v>
      </c>
      <c r="D693" s="74" t="s">
        <v>1177</v>
      </c>
      <c r="E693" s="43" t="s">
        <v>662</v>
      </c>
      <c r="F693" s="43" t="s">
        <v>667</v>
      </c>
      <c r="G693" s="74" t="s">
        <v>68</v>
      </c>
      <c r="H693" s="74" t="s">
        <v>56</v>
      </c>
      <c r="I693" s="43"/>
      <c r="J693" s="44" t="s">
        <v>708</v>
      </c>
      <c r="K693" s="115">
        <f>ROUND(Tableau16[[#This Row],[LEN]]*7.27,0)</f>
        <v>247</v>
      </c>
      <c r="L693" s="115">
        <v>15</v>
      </c>
      <c r="M693" s="132" t="str">
        <f t="shared" si="4"/>
        <v>none</v>
      </c>
      <c r="N693" s="115">
        <f>LEN(Tableau16[[#This Row],[LABEL]])</f>
        <v>34</v>
      </c>
      <c r="O693" s="115">
        <v>15</v>
      </c>
      <c r="P693" s="115" t="e">
        <f>ROUND(Tableau16[[#This Row],[LEN]]*#REF!+#REF!,0)</f>
        <v>#REF!</v>
      </c>
    </row>
    <row r="694" spans="1:16" s="273" customFormat="1" x14ac:dyDescent="0.25">
      <c r="A694" s="330" t="s">
        <v>287</v>
      </c>
      <c r="B694" s="331" t="s">
        <v>208</v>
      </c>
      <c r="C694" s="332" t="s">
        <v>3</v>
      </c>
      <c r="D694" s="333" t="s">
        <v>1177</v>
      </c>
      <c r="E694" s="332" t="s">
        <v>661</v>
      </c>
      <c r="F694" s="332" t="s">
        <v>1177</v>
      </c>
      <c r="G694" s="333" t="s">
        <v>68</v>
      </c>
      <c r="H694" s="333" t="str">
        <f>IFERROR(IF(SEARCH(".00.00.00.00.00",Tableau16[[#This Row],[name]],1)=7,"Division",""),"")</f>
        <v>Division</v>
      </c>
      <c r="I694" s="332"/>
      <c r="J694" s="334" t="s">
        <v>708</v>
      </c>
      <c r="K694" s="335">
        <f>ROUND(Tableau16[[#This Row],[LEN]]*7.27,0)</f>
        <v>73</v>
      </c>
      <c r="L694" s="335">
        <v>15</v>
      </c>
      <c r="M694" s="336" t="str">
        <f t="shared" si="4"/>
        <v>none</v>
      </c>
      <c r="N694" s="335">
        <f>LEN(Tableau16[[#This Row],[LABEL]])</f>
        <v>10</v>
      </c>
      <c r="O694" s="335">
        <v>15</v>
      </c>
      <c r="P694" s="335" t="e">
        <f>ROUND(Tableau16[[#This Row],[LEN]]*#REF!+#REF!,0)</f>
        <v>#REF!</v>
      </c>
    </row>
    <row r="695" spans="1:16" s="97" customFormat="1" x14ac:dyDescent="0.25">
      <c r="A695" s="41" t="s">
        <v>443</v>
      </c>
      <c r="B695" s="42" t="s">
        <v>287</v>
      </c>
      <c r="C695" s="43" t="s">
        <v>75</v>
      </c>
      <c r="D695" s="74" t="s">
        <v>1177</v>
      </c>
      <c r="E695" s="43" t="s">
        <v>661</v>
      </c>
      <c r="F695" s="43" t="s">
        <v>666</v>
      </c>
      <c r="G695" s="74" t="s">
        <v>68</v>
      </c>
      <c r="H695" s="74" t="s">
        <v>655</v>
      </c>
      <c r="I695" s="43"/>
      <c r="J695" s="44" t="s">
        <v>708</v>
      </c>
      <c r="K695" s="115">
        <f>ROUND(Tableau16[[#This Row],[LEN]]*7.27,0)</f>
        <v>262</v>
      </c>
      <c r="L695" s="115">
        <v>15</v>
      </c>
      <c r="M695" s="132" t="str">
        <f t="shared" si="4"/>
        <v>none</v>
      </c>
      <c r="N695" s="115">
        <f>LEN(Tableau16[[#This Row],[LABEL]])</f>
        <v>36</v>
      </c>
      <c r="O695" s="115">
        <v>15</v>
      </c>
      <c r="P695" s="115" t="e">
        <f>ROUND(Tableau16[[#This Row],[LEN]]*#REF!+#REF!,0)</f>
        <v>#REF!</v>
      </c>
    </row>
    <row r="696" spans="1:16" s="97" customFormat="1" x14ac:dyDescent="0.25">
      <c r="A696" s="45" t="s">
        <v>453</v>
      </c>
      <c r="B696" s="46" t="s">
        <v>443</v>
      </c>
      <c r="C696" s="47" t="s">
        <v>115</v>
      </c>
      <c r="D696" s="75" t="s">
        <v>1177</v>
      </c>
      <c r="E696" s="47" t="s">
        <v>661</v>
      </c>
      <c r="F696" s="47" t="s">
        <v>666</v>
      </c>
      <c r="G696" s="75" t="s">
        <v>68</v>
      </c>
      <c r="H696" s="75" t="s">
        <v>656</v>
      </c>
      <c r="I696" s="47"/>
      <c r="J696" s="48" t="s">
        <v>708</v>
      </c>
      <c r="K696" s="116">
        <f>ROUND(Tableau16[[#This Row],[LEN]]*7.27,0)</f>
        <v>291</v>
      </c>
      <c r="L696" s="116">
        <v>15</v>
      </c>
      <c r="M696" s="133" t="str">
        <f t="shared" si="4"/>
        <v>none</v>
      </c>
      <c r="N696" s="116">
        <f>LEN(Tableau16[[#This Row],[LABEL]])</f>
        <v>40</v>
      </c>
      <c r="O696" s="116">
        <v>15</v>
      </c>
      <c r="P696" s="116" t="e">
        <f>ROUND(Tableau16[[#This Row],[LEN]]*#REF!+#REF!,0)</f>
        <v>#REF!</v>
      </c>
    </row>
    <row r="697" spans="1:16" s="97" customFormat="1" x14ac:dyDescent="0.25">
      <c r="A697" s="45" t="s">
        <v>454</v>
      </c>
      <c r="B697" s="46" t="s">
        <v>443</v>
      </c>
      <c r="C697" s="47" t="s">
        <v>116</v>
      </c>
      <c r="D697" s="75" t="s">
        <v>1177</v>
      </c>
      <c r="E697" s="47" t="s">
        <v>661</v>
      </c>
      <c r="F697" s="47" t="s">
        <v>666</v>
      </c>
      <c r="G697" s="75" t="s">
        <v>68</v>
      </c>
      <c r="H697" s="75" t="s">
        <v>656</v>
      </c>
      <c r="I697" s="47"/>
      <c r="J697" s="48" t="s">
        <v>708</v>
      </c>
      <c r="K697" s="116">
        <f>ROUND(Tableau16[[#This Row],[LEN]]*7.27,0)</f>
        <v>313</v>
      </c>
      <c r="L697" s="116">
        <v>15</v>
      </c>
      <c r="M697" s="133" t="str">
        <f t="shared" si="4"/>
        <v>none</v>
      </c>
      <c r="N697" s="116">
        <f>LEN(Tableau16[[#This Row],[LABEL]])</f>
        <v>43</v>
      </c>
      <c r="O697" s="116">
        <v>15</v>
      </c>
      <c r="P697" s="116" t="e">
        <f>ROUND(Tableau16[[#This Row],[LEN]]*#REF!+#REF!,0)</f>
        <v>#REF!</v>
      </c>
    </row>
    <row r="698" spans="1:16" s="97" customFormat="1" x14ac:dyDescent="0.25">
      <c r="A698" s="45" t="s">
        <v>455</v>
      </c>
      <c r="B698" s="46" t="s">
        <v>443</v>
      </c>
      <c r="C698" s="47" t="s">
        <v>117</v>
      </c>
      <c r="D698" s="75" t="s">
        <v>1177</v>
      </c>
      <c r="E698" s="47" t="s">
        <v>661</v>
      </c>
      <c r="F698" s="47" t="s">
        <v>666</v>
      </c>
      <c r="G698" s="75" t="s">
        <v>68</v>
      </c>
      <c r="H698" s="75" t="s">
        <v>656</v>
      </c>
      <c r="I698" s="47"/>
      <c r="J698" s="48" t="s">
        <v>708</v>
      </c>
      <c r="K698" s="116">
        <f>ROUND(Tableau16[[#This Row],[LEN]]*7.27,0)</f>
        <v>225</v>
      </c>
      <c r="L698" s="116">
        <v>15</v>
      </c>
      <c r="M698" s="133" t="str">
        <f t="shared" si="4"/>
        <v>none</v>
      </c>
      <c r="N698" s="116">
        <f>LEN(Tableau16[[#This Row],[LABEL]])</f>
        <v>31</v>
      </c>
      <c r="O698" s="116">
        <v>15</v>
      </c>
      <c r="P698" s="116" t="e">
        <f>ROUND(Tableau16[[#This Row],[LEN]]*#REF!+#REF!,0)</f>
        <v>#REF!</v>
      </c>
    </row>
    <row r="699" spans="1:16" s="97" customFormat="1" x14ac:dyDescent="0.25">
      <c r="A699" s="41" t="s">
        <v>444</v>
      </c>
      <c r="B699" s="42" t="s">
        <v>287</v>
      </c>
      <c r="C699" s="43" t="s">
        <v>512</v>
      </c>
      <c r="D699" s="74" t="s">
        <v>1177</v>
      </c>
      <c r="E699" s="43" t="s">
        <v>667</v>
      </c>
      <c r="F699" s="43" t="s">
        <v>661</v>
      </c>
      <c r="G699" s="74" t="s">
        <v>68</v>
      </c>
      <c r="H699" s="74" t="s">
        <v>655</v>
      </c>
      <c r="I699" s="43"/>
      <c r="J699" s="44" t="s">
        <v>708</v>
      </c>
      <c r="K699" s="115">
        <f>ROUND(Tableau16[[#This Row],[LEN]]*7.27,0)</f>
        <v>80</v>
      </c>
      <c r="L699" s="115">
        <v>15</v>
      </c>
      <c r="M699" s="132" t="str">
        <f t="shared" si="4"/>
        <v>none</v>
      </c>
      <c r="N699" s="115">
        <f>LEN(Tableau16[[#This Row],[LABEL]])</f>
        <v>11</v>
      </c>
      <c r="O699" s="115">
        <v>15</v>
      </c>
      <c r="P699" s="115" t="e">
        <f>ROUND(Tableau16[[#This Row],[LEN]]*#REF!+#REF!,0)</f>
        <v>#REF!</v>
      </c>
    </row>
    <row r="700" spans="1:16" s="97" customFormat="1" x14ac:dyDescent="0.25">
      <c r="A700" s="45" t="s">
        <v>456</v>
      </c>
      <c r="B700" s="46" t="s">
        <v>444</v>
      </c>
      <c r="C700" s="47" t="s">
        <v>112</v>
      </c>
      <c r="D700" s="75" t="s">
        <v>1177</v>
      </c>
      <c r="E700" s="47" t="s">
        <v>667</v>
      </c>
      <c r="F700" s="47" t="s">
        <v>2006</v>
      </c>
      <c r="G700" s="75" t="s">
        <v>68</v>
      </c>
      <c r="H700" s="75" t="s">
        <v>654</v>
      </c>
      <c r="I700" s="47"/>
      <c r="J700" s="48" t="s">
        <v>708</v>
      </c>
      <c r="K700" s="116">
        <f>ROUND(Tableau16[[#This Row],[LEN]]*7.27,0)</f>
        <v>167</v>
      </c>
      <c r="L700" s="116">
        <v>15</v>
      </c>
      <c r="M700" s="133" t="str">
        <f t="shared" si="4"/>
        <v>none</v>
      </c>
      <c r="N700" s="116">
        <f>LEN(Tableau16[[#This Row],[LABEL]])</f>
        <v>23</v>
      </c>
      <c r="O700" s="116">
        <v>15</v>
      </c>
      <c r="P700" s="116" t="e">
        <f>ROUND(Tableau16[[#This Row],[LEN]]*#REF!+#REF!,0)</f>
        <v>#REF!</v>
      </c>
    </row>
    <row r="701" spans="1:16" s="97" customFormat="1" x14ac:dyDescent="0.25">
      <c r="A701" s="45" t="s">
        <v>457</v>
      </c>
      <c r="B701" s="46" t="s">
        <v>444</v>
      </c>
      <c r="C701" s="47" t="s">
        <v>113</v>
      </c>
      <c r="D701" s="75" t="s">
        <v>1177</v>
      </c>
      <c r="E701" s="47" t="s">
        <v>667</v>
      </c>
      <c r="F701" s="47" t="s">
        <v>2006</v>
      </c>
      <c r="G701" s="75" t="s">
        <v>68</v>
      </c>
      <c r="H701" s="75" t="s">
        <v>654</v>
      </c>
      <c r="I701" s="47"/>
      <c r="J701" s="48" t="s">
        <v>708</v>
      </c>
      <c r="K701" s="116">
        <f>ROUND(Tableau16[[#This Row],[LEN]]*7.27,0)</f>
        <v>233</v>
      </c>
      <c r="L701" s="116">
        <v>15</v>
      </c>
      <c r="M701" s="133" t="str">
        <f t="shared" ref="M701:M890" si="5">IF(J701="javascript:void(0)","none","new")</f>
        <v>none</v>
      </c>
      <c r="N701" s="116">
        <f>LEN(Tableau16[[#This Row],[LABEL]])</f>
        <v>32</v>
      </c>
      <c r="O701" s="116">
        <v>15</v>
      </c>
      <c r="P701" s="116" t="e">
        <f>ROUND(Tableau16[[#This Row],[LEN]]*#REF!+#REF!,0)</f>
        <v>#REF!</v>
      </c>
    </row>
    <row r="702" spans="1:16" s="97" customFormat="1" x14ac:dyDescent="0.25">
      <c r="A702" s="41" t="s">
        <v>445</v>
      </c>
      <c r="B702" s="42" t="s">
        <v>287</v>
      </c>
      <c r="C702" s="43" t="s">
        <v>849</v>
      </c>
      <c r="D702" s="74" t="s">
        <v>1177</v>
      </c>
      <c r="E702" s="43" t="s">
        <v>667</v>
      </c>
      <c r="F702" s="43" t="s">
        <v>840</v>
      </c>
      <c r="G702" s="74" t="s">
        <v>68</v>
      </c>
      <c r="H702" s="74" t="s">
        <v>655</v>
      </c>
      <c r="I702" s="43"/>
      <c r="J702" s="44" t="s">
        <v>708</v>
      </c>
      <c r="K702" s="115">
        <f>ROUND(Tableau16[[#This Row],[LEN]]*7.27,0)</f>
        <v>80</v>
      </c>
      <c r="L702" s="115">
        <v>15</v>
      </c>
      <c r="M702" s="132" t="str">
        <f t="shared" si="5"/>
        <v>none</v>
      </c>
      <c r="N702" s="115">
        <f>LEN(Tableau16[[#This Row],[LABEL]])</f>
        <v>11</v>
      </c>
      <c r="O702" s="115">
        <v>15</v>
      </c>
      <c r="P702" s="115" t="e">
        <f>ROUND(Tableau16[[#This Row],[LEN]]*#REF!+#REF!,0)</f>
        <v>#REF!</v>
      </c>
    </row>
    <row r="703" spans="1:16" s="97" customFormat="1" x14ac:dyDescent="0.25">
      <c r="A703" s="41" t="s">
        <v>446</v>
      </c>
      <c r="B703" s="42" t="s">
        <v>287</v>
      </c>
      <c r="C703" s="43" t="s">
        <v>1516</v>
      </c>
      <c r="D703" s="74" t="s">
        <v>1177</v>
      </c>
      <c r="E703" s="43" t="s">
        <v>661</v>
      </c>
      <c r="F703" s="43" t="s">
        <v>666</v>
      </c>
      <c r="G703" s="74" t="s">
        <v>68</v>
      </c>
      <c r="H703" s="74" t="s">
        <v>655</v>
      </c>
      <c r="I703" s="43"/>
      <c r="J703" s="44" t="s">
        <v>708</v>
      </c>
      <c r="K703" s="115">
        <f>ROUND(Tableau16[[#This Row],[LEN]]*7.27,0)</f>
        <v>305</v>
      </c>
      <c r="L703" s="115">
        <v>15</v>
      </c>
      <c r="M703" s="132" t="str">
        <f t="shared" si="5"/>
        <v>none</v>
      </c>
      <c r="N703" s="115">
        <f>LEN(Tableau16[[#This Row],[LABEL]])</f>
        <v>42</v>
      </c>
      <c r="O703" s="115">
        <v>15</v>
      </c>
      <c r="P703" s="115" t="e">
        <f>ROUND(Tableau16[[#This Row],[LEN]]*#REF!+#REF!,0)</f>
        <v>#REF!</v>
      </c>
    </row>
    <row r="704" spans="1:16" s="97" customFormat="1" x14ac:dyDescent="0.25">
      <c r="A704" s="45" t="s">
        <v>458</v>
      </c>
      <c r="B704" s="46" t="s">
        <v>446</v>
      </c>
      <c r="C704" s="47" t="s">
        <v>118</v>
      </c>
      <c r="D704" s="75" t="s">
        <v>1177</v>
      </c>
      <c r="E704" s="47" t="s">
        <v>661</v>
      </c>
      <c r="F704" s="47" t="s">
        <v>666</v>
      </c>
      <c r="G704" s="75" t="s">
        <v>68</v>
      </c>
      <c r="H704" s="75" t="s">
        <v>18</v>
      </c>
      <c r="I704" s="47"/>
      <c r="J704" s="48" t="s">
        <v>708</v>
      </c>
      <c r="K704" s="116">
        <f>ROUND(Tableau16[[#This Row],[LEN]]*7.27,0)</f>
        <v>204</v>
      </c>
      <c r="L704" s="116">
        <v>15</v>
      </c>
      <c r="M704" s="133" t="str">
        <f t="shared" si="5"/>
        <v>none</v>
      </c>
      <c r="N704" s="116">
        <f>LEN(Tableau16[[#This Row],[LABEL]])</f>
        <v>28</v>
      </c>
      <c r="O704" s="116">
        <v>15</v>
      </c>
      <c r="P704" s="116" t="e">
        <f>ROUND(Tableau16[[#This Row],[LEN]]*#REF!+#REF!,0)</f>
        <v>#REF!</v>
      </c>
    </row>
    <row r="705" spans="1:16" s="97" customFormat="1" x14ac:dyDescent="0.25">
      <c r="A705" s="45" t="s">
        <v>459</v>
      </c>
      <c r="B705" s="46" t="s">
        <v>446</v>
      </c>
      <c r="C705" s="47" t="s">
        <v>119</v>
      </c>
      <c r="D705" s="75" t="s">
        <v>1177</v>
      </c>
      <c r="E705" s="47" t="s">
        <v>661</v>
      </c>
      <c r="F705" s="47" t="s">
        <v>666</v>
      </c>
      <c r="G705" s="75" t="s">
        <v>68</v>
      </c>
      <c r="H705" s="75" t="s">
        <v>18</v>
      </c>
      <c r="I705" s="47"/>
      <c r="J705" s="48" t="s">
        <v>708</v>
      </c>
      <c r="K705" s="116">
        <f>ROUND(Tableau16[[#This Row],[LEN]]*7.27,0)</f>
        <v>218</v>
      </c>
      <c r="L705" s="116">
        <v>15</v>
      </c>
      <c r="M705" s="133" t="str">
        <f t="shared" si="5"/>
        <v>none</v>
      </c>
      <c r="N705" s="116">
        <f>LEN(Tableau16[[#This Row],[LABEL]])</f>
        <v>30</v>
      </c>
      <c r="O705" s="116">
        <v>15</v>
      </c>
      <c r="P705" s="116" t="e">
        <f>ROUND(Tableau16[[#This Row],[LEN]]*#REF!+#REF!,0)</f>
        <v>#REF!</v>
      </c>
    </row>
    <row r="706" spans="1:16" s="97" customFormat="1" x14ac:dyDescent="0.25">
      <c r="A706" s="45" t="s">
        <v>460</v>
      </c>
      <c r="B706" s="46" t="s">
        <v>446</v>
      </c>
      <c r="C706" s="47" t="s">
        <v>120</v>
      </c>
      <c r="D706" s="75" t="s">
        <v>1177</v>
      </c>
      <c r="E706" s="47" t="s">
        <v>661</v>
      </c>
      <c r="F706" s="47" t="s">
        <v>666</v>
      </c>
      <c r="G706" s="75" t="s">
        <v>68</v>
      </c>
      <c r="H706" s="75" t="s">
        <v>18</v>
      </c>
      <c r="I706" s="47"/>
      <c r="J706" s="48" t="s">
        <v>708</v>
      </c>
      <c r="K706" s="116">
        <f>ROUND(Tableau16[[#This Row],[LEN]]*7.27,0)</f>
        <v>131</v>
      </c>
      <c r="L706" s="116">
        <v>15</v>
      </c>
      <c r="M706" s="133" t="str">
        <f t="shared" si="5"/>
        <v>none</v>
      </c>
      <c r="N706" s="116">
        <f>LEN(Tableau16[[#This Row],[LABEL]])</f>
        <v>18</v>
      </c>
      <c r="O706" s="116">
        <v>15</v>
      </c>
      <c r="P706" s="116" t="e">
        <f>ROUND(Tableau16[[#This Row],[LEN]]*#REF!+#REF!,0)</f>
        <v>#REF!</v>
      </c>
    </row>
    <row r="707" spans="1:16" s="97" customFormat="1" x14ac:dyDescent="0.25">
      <c r="A707" s="45" t="s">
        <v>461</v>
      </c>
      <c r="B707" s="46" t="s">
        <v>446</v>
      </c>
      <c r="C707" s="47" t="s">
        <v>121</v>
      </c>
      <c r="D707" s="75" t="s">
        <v>1177</v>
      </c>
      <c r="E707" s="47" t="s">
        <v>661</v>
      </c>
      <c r="F707" s="47" t="s">
        <v>666</v>
      </c>
      <c r="G707" s="75" t="s">
        <v>68</v>
      </c>
      <c r="H707" s="75" t="s">
        <v>18</v>
      </c>
      <c r="I707" s="47"/>
      <c r="J707" s="48" t="s">
        <v>708</v>
      </c>
      <c r="K707" s="116">
        <f>ROUND(Tableau16[[#This Row],[LEN]]*7.27,0)</f>
        <v>174</v>
      </c>
      <c r="L707" s="116">
        <v>15</v>
      </c>
      <c r="M707" s="133" t="str">
        <f t="shared" si="5"/>
        <v>none</v>
      </c>
      <c r="N707" s="116">
        <f>LEN(Tableau16[[#This Row],[LABEL]])</f>
        <v>24</v>
      </c>
      <c r="O707" s="116">
        <v>15</v>
      </c>
      <c r="P707" s="116" t="e">
        <f>ROUND(Tableau16[[#This Row],[LEN]]*#REF!+#REF!,0)</f>
        <v>#REF!</v>
      </c>
    </row>
    <row r="708" spans="1:16" s="97" customFormat="1" x14ac:dyDescent="0.25">
      <c r="A708" s="41" t="s">
        <v>447</v>
      </c>
      <c r="B708" s="42" t="s">
        <v>287</v>
      </c>
      <c r="C708" s="43" t="s">
        <v>122</v>
      </c>
      <c r="D708" s="74" t="s">
        <v>1514</v>
      </c>
      <c r="E708" s="43" t="s">
        <v>667</v>
      </c>
      <c r="F708" s="43" t="s">
        <v>2084</v>
      </c>
      <c r="G708" s="74" t="s">
        <v>68</v>
      </c>
      <c r="H708" s="74" t="s">
        <v>656</v>
      </c>
      <c r="I708" s="43"/>
      <c r="J708" s="44" t="s">
        <v>708</v>
      </c>
      <c r="K708" s="115">
        <f>ROUND(Tableau16[[#This Row],[LEN]]*7.27,0)</f>
        <v>145</v>
      </c>
      <c r="L708" s="115">
        <v>15</v>
      </c>
      <c r="M708" s="132" t="str">
        <f t="shared" si="5"/>
        <v>none</v>
      </c>
      <c r="N708" s="115">
        <f>LEN(Tableau16[[#This Row],[LABEL]])</f>
        <v>20</v>
      </c>
      <c r="O708" s="115">
        <v>15</v>
      </c>
      <c r="P708" s="115" t="e">
        <f>ROUND(Tableau16[[#This Row],[LEN]]*#REF!+#REF!,0)</f>
        <v>#REF!</v>
      </c>
    </row>
    <row r="709" spans="1:16" s="97" customFormat="1" x14ac:dyDescent="0.25">
      <c r="A709" s="41" t="s">
        <v>448</v>
      </c>
      <c r="B709" s="42" t="s">
        <v>287</v>
      </c>
      <c r="C709" s="43" t="s">
        <v>538</v>
      </c>
      <c r="D709" s="74" t="s">
        <v>1177</v>
      </c>
      <c r="E709" s="43" t="s">
        <v>684</v>
      </c>
      <c r="F709" s="43" t="s">
        <v>1177</v>
      </c>
      <c r="G709" s="74" t="s">
        <v>68</v>
      </c>
      <c r="H709" s="74" t="s">
        <v>655</v>
      </c>
      <c r="I709" s="43"/>
      <c r="J709" s="44" t="s">
        <v>708</v>
      </c>
      <c r="K709" s="115">
        <f>ROUND(Tableau16[[#This Row],[LEN]]*7.27,0)</f>
        <v>305</v>
      </c>
      <c r="L709" s="115">
        <v>15</v>
      </c>
      <c r="M709" s="132" t="str">
        <f t="shared" si="5"/>
        <v>none</v>
      </c>
      <c r="N709" s="115">
        <f>LEN(Tableau16[[#This Row],[LABEL]])</f>
        <v>42</v>
      </c>
      <c r="O709" s="115">
        <v>15</v>
      </c>
      <c r="P709" s="115" t="e">
        <f>ROUND(Tableau16[[#This Row],[LEN]]*#REF!+#REF!,0)</f>
        <v>#REF!</v>
      </c>
    </row>
    <row r="710" spans="1:16" s="97" customFormat="1" x14ac:dyDescent="0.25">
      <c r="A710" s="45" t="s">
        <v>462</v>
      </c>
      <c r="B710" s="46" t="s">
        <v>448</v>
      </c>
      <c r="C710" s="47" t="s">
        <v>123</v>
      </c>
      <c r="D710" s="75" t="s">
        <v>1177</v>
      </c>
      <c r="E710" s="47" t="s">
        <v>684</v>
      </c>
      <c r="F710" s="47" t="s">
        <v>1177</v>
      </c>
      <c r="G710" s="75" t="s">
        <v>68</v>
      </c>
      <c r="H710" s="75" t="s">
        <v>18</v>
      </c>
      <c r="I710" s="47"/>
      <c r="J710" s="48" t="s">
        <v>708</v>
      </c>
      <c r="K710" s="116">
        <f>ROUND(Tableau16[[#This Row],[LEN]]*7.27,0)</f>
        <v>182</v>
      </c>
      <c r="L710" s="116">
        <v>15</v>
      </c>
      <c r="M710" s="133" t="str">
        <f t="shared" si="5"/>
        <v>none</v>
      </c>
      <c r="N710" s="116">
        <f>LEN(Tableau16[[#This Row],[LABEL]])</f>
        <v>25</v>
      </c>
      <c r="O710" s="116">
        <v>15</v>
      </c>
      <c r="P710" s="116" t="e">
        <f>ROUND(Tableau16[[#This Row],[LEN]]*#REF!+#REF!,0)</f>
        <v>#REF!</v>
      </c>
    </row>
    <row r="711" spans="1:16" s="97" customFormat="1" x14ac:dyDescent="0.25">
      <c r="A711" s="45" t="s">
        <v>463</v>
      </c>
      <c r="B711" s="46" t="s">
        <v>448</v>
      </c>
      <c r="C711" s="47" t="s">
        <v>124</v>
      </c>
      <c r="D711" s="75" t="s">
        <v>1177</v>
      </c>
      <c r="E711" s="47" t="s">
        <v>684</v>
      </c>
      <c r="F711" s="47" t="s">
        <v>1177</v>
      </c>
      <c r="G711" s="75" t="s">
        <v>68</v>
      </c>
      <c r="H711" s="75" t="s">
        <v>18</v>
      </c>
      <c r="I711" s="47"/>
      <c r="J711" s="48" t="s">
        <v>708</v>
      </c>
      <c r="K711" s="116">
        <f>ROUND(Tableau16[[#This Row],[LEN]]*7.27,0)</f>
        <v>116</v>
      </c>
      <c r="L711" s="116">
        <v>15</v>
      </c>
      <c r="M711" s="133" t="str">
        <f t="shared" si="5"/>
        <v>none</v>
      </c>
      <c r="N711" s="116">
        <f>LEN(Tableau16[[#This Row],[LABEL]])</f>
        <v>16</v>
      </c>
      <c r="O711" s="116">
        <v>15</v>
      </c>
      <c r="P711" s="116" t="e">
        <f>ROUND(Tableau16[[#This Row],[LEN]]*#REF!+#REF!,0)</f>
        <v>#REF!</v>
      </c>
    </row>
    <row r="712" spans="1:16" s="97" customFormat="1" x14ac:dyDescent="0.25">
      <c r="A712" s="45" t="s">
        <v>464</v>
      </c>
      <c r="B712" s="46" t="s">
        <v>448</v>
      </c>
      <c r="C712" s="47" t="s">
        <v>125</v>
      </c>
      <c r="D712" s="75" t="s">
        <v>1177</v>
      </c>
      <c r="E712" s="47" t="s">
        <v>684</v>
      </c>
      <c r="F712" s="47" t="s">
        <v>1177</v>
      </c>
      <c r="G712" s="75" t="s">
        <v>68</v>
      </c>
      <c r="H712" s="75" t="s">
        <v>18</v>
      </c>
      <c r="I712" s="47"/>
      <c r="J712" s="48" t="s">
        <v>708</v>
      </c>
      <c r="K712" s="116">
        <f>ROUND(Tableau16[[#This Row],[LEN]]*7.27,0)</f>
        <v>116</v>
      </c>
      <c r="L712" s="116">
        <v>15</v>
      </c>
      <c r="M712" s="133" t="str">
        <f t="shared" si="5"/>
        <v>none</v>
      </c>
      <c r="N712" s="116">
        <f>LEN(Tableau16[[#This Row],[LABEL]])</f>
        <v>16</v>
      </c>
      <c r="O712" s="116">
        <v>15</v>
      </c>
      <c r="P712" s="116" t="e">
        <f>ROUND(Tableau16[[#This Row],[LEN]]*#REF!+#REF!,0)</f>
        <v>#REF!</v>
      </c>
    </row>
    <row r="713" spans="1:16" s="97" customFormat="1" x14ac:dyDescent="0.25">
      <c r="A713" s="45" t="s">
        <v>465</v>
      </c>
      <c r="B713" s="46" t="s">
        <v>448</v>
      </c>
      <c r="C713" s="47" t="s">
        <v>126</v>
      </c>
      <c r="D713" s="75" t="s">
        <v>1177</v>
      </c>
      <c r="E713" s="47" t="s">
        <v>684</v>
      </c>
      <c r="F713" s="47" t="s">
        <v>1177</v>
      </c>
      <c r="G713" s="75" t="s">
        <v>68</v>
      </c>
      <c r="H713" s="75" t="s">
        <v>18</v>
      </c>
      <c r="I713" s="47"/>
      <c r="J713" s="48" t="s">
        <v>708</v>
      </c>
      <c r="K713" s="116">
        <f>ROUND(Tableau16[[#This Row],[LEN]]*7.27,0)</f>
        <v>80</v>
      </c>
      <c r="L713" s="116">
        <v>15</v>
      </c>
      <c r="M713" s="133" t="str">
        <f t="shared" si="5"/>
        <v>none</v>
      </c>
      <c r="N713" s="116">
        <f>LEN(Tableau16[[#This Row],[LABEL]])</f>
        <v>11</v>
      </c>
      <c r="O713" s="116">
        <v>15</v>
      </c>
      <c r="P713" s="116" t="e">
        <f>ROUND(Tableau16[[#This Row],[LEN]]*#REF!+#REF!,0)</f>
        <v>#REF!</v>
      </c>
    </row>
    <row r="714" spans="1:16" s="97" customFormat="1" x14ac:dyDescent="0.25">
      <c r="A714" s="45" t="s">
        <v>466</v>
      </c>
      <c r="B714" s="46" t="s">
        <v>448</v>
      </c>
      <c r="C714" s="47" t="s">
        <v>127</v>
      </c>
      <c r="D714" s="75" t="s">
        <v>1177</v>
      </c>
      <c r="E714" s="47" t="s">
        <v>684</v>
      </c>
      <c r="F714" s="47" t="s">
        <v>1177</v>
      </c>
      <c r="G714" s="75" t="s">
        <v>68</v>
      </c>
      <c r="H714" s="75" t="s">
        <v>18</v>
      </c>
      <c r="I714" s="47"/>
      <c r="J714" s="48" t="s">
        <v>708</v>
      </c>
      <c r="K714" s="116">
        <f>ROUND(Tableau16[[#This Row],[LEN]]*7.27,0)</f>
        <v>95</v>
      </c>
      <c r="L714" s="116">
        <v>15</v>
      </c>
      <c r="M714" s="133" t="str">
        <f t="shared" si="5"/>
        <v>none</v>
      </c>
      <c r="N714" s="116">
        <f>LEN(Tableau16[[#This Row],[LABEL]])</f>
        <v>13</v>
      </c>
      <c r="O714" s="116">
        <v>15</v>
      </c>
      <c r="P714" s="116" t="e">
        <f>ROUND(Tableau16[[#This Row],[LEN]]*#REF!+#REF!,0)</f>
        <v>#REF!</v>
      </c>
    </row>
    <row r="715" spans="1:16" s="97" customFormat="1" x14ac:dyDescent="0.25">
      <c r="A715" s="45" t="s">
        <v>467</v>
      </c>
      <c r="B715" s="46" t="s">
        <v>448</v>
      </c>
      <c r="C715" s="47" t="s">
        <v>1527</v>
      </c>
      <c r="D715" s="75" t="s">
        <v>1177</v>
      </c>
      <c r="E715" s="47" t="s">
        <v>684</v>
      </c>
      <c r="F715" s="47" t="s">
        <v>1177</v>
      </c>
      <c r="G715" s="75" t="s">
        <v>68</v>
      </c>
      <c r="H715" s="75" t="s">
        <v>18</v>
      </c>
      <c r="I715" s="47"/>
      <c r="J715" s="48" t="s">
        <v>708</v>
      </c>
      <c r="K715" s="116">
        <f>ROUND(Tableau16[[#This Row],[LEN]]*7.27,0)</f>
        <v>233</v>
      </c>
      <c r="L715" s="116">
        <v>15</v>
      </c>
      <c r="M715" s="133" t="str">
        <f t="shared" si="5"/>
        <v>none</v>
      </c>
      <c r="N715" s="116">
        <f>LEN(Tableau16[[#This Row],[LABEL]])</f>
        <v>32</v>
      </c>
      <c r="O715" s="116">
        <v>15</v>
      </c>
      <c r="P715" s="116" t="e">
        <f>ROUND(Tableau16[[#This Row],[LEN]]*#REF!+#REF!,0)</f>
        <v>#REF!</v>
      </c>
    </row>
    <row r="716" spans="1:16" s="273" customFormat="1" x14ac:dyDescent="0.25">
      <c r="A716" s="330" t="s">
        <v>288</v>
      </c>
      <c r="B716" s="331" t="s">
        <v>208</v>
      </c>
      <c r="C716" s="332" t="s">
        <v>4</v>
      </c>
      <c r="D716" s="333" t="s">
        <v>1177</v>
      </c>
      <c r="E716" s="332" t="s">
        <v>666</v>
      </c>
      <c r="F716" s="332" t="s">
        <v>1177</v>
      </c>
      <c r="G716" s="333" t="s">
        <v>68</v>
      </c>
      <c r="H716" s="333" t="str">
        <f>IFERROR(IF(SEARCH(".00.00.00.00.00",Tableau16[[#This Row],[name]],1)=7,"Division",""),"")</f>
        <v>Division</v>
      </c>
      <c r="I716" s="332"/>
      <c r="J716" s="334" t="s">
        <v>708</v>
      </c>
      <c r="K716" s="335">
        <f>ROUND(Tableau16[[#This Row],[LEN]]*7.27,0)</f>
        <v>36</v>
      </c>
      <c r="L716" s="335">
        <v>15</v>
      </c>
      <c r="M716" s="336" t="str">
        <f t="shared" si="5"/>
        <v>none</v>
      </c>
      <c r="N716" s="335">
        <f>LEN(Tableau16[[#This Row],[LABEL]])</f>
        <v>5</v>
      </c>
      <c r="O716" s="335">
        <v>15</v>
      </c>
      <c r="P716" s="335" t="e">
        <f>ROUND(Tableau16[[#This Row],[LEN]]*#REF!+#REF!,0)</f>
        <v>#REF!</v>
      </c>
    </row>
    <row r="717" spans="1:16" s="97" customFormat="1" x14ac:dyDescent="0.25">
      <c r="A717" s="41" t="s">
        <v>1502</v>
      </c>
      <c r="B717" s="42" t="s">
        <v>288</v>
      </c>
      <c r="C717" s="43" t="s">
        <v>75</v>
      </c>
      <c r="D717" s="74" t="s">
        <v>1177</v>
      </c>
      <c r="E717" s="43" t="s">
        <v>661</v>
      </c>
      <c r="F717" s="43" t="s">
        <v>666</v>
      </c>
      <c r="G717" s="74" t="s">
        <v>68</v>
      </c>
      <c r="H717" s="74" t="s">
        <v>655</v>
      </c>
      <c r="I717" s="43"/>
      <c r="J717" s="44" t="s">
        <v>708</v>
      </c>
      <c r="K717" s="115">
        <f>ROUND(Tableau16[[#This Row],[LEN]]*7.27,0)</f>
        <v>262</v>
      </c>
      <c r="L717" s="115">
        <v>15</v>
      </c>
      <c r="M717" s="132" t="str">
        <f t="shared" si="5"/>
        <v>none</v>
      </c>
      <c r="N717" s="115">
        <f>LEN(Tableau16[[#This Row],[LABEL]])</f>
        <v>36</v>
      </c>
      <c r="O717" s="115">
        <v>15</v>
      </c>
      <c r="P717" s="115" t="e">
        <f>ROUND(Tableau16[[#This Row],[LEN]]*#REF!+#REF!,0)</f>
        <v>#REF!</v>
      </c>
    </row>
    <row r="718" spans="1:16" s="97" customFormat="1" x14ac:dyDescent="0.25">
      <c r="A718" s="45" t="s">
        <v>1509</v>
      </c>
      <c r="B718" s="46" t="s">
        <v>1502</v>
      </c>
      <c r="C718" s="47" t="s">
        <v>115</v>
      </c>
      <c r="D718" s="75" t="s">
        <v>1177</v>
      </c>
      <c r="E718" s="47" t="s">
        <v>661</v>
      </c>
      <c r="F718" s="47" t="s">
        <v>666</v>
      </c>
      <c r="G718" s="75" t="s">
        <v>68</v>
      </c>
      <c r="H718" s="75" t="s">
        <v>656</v>
      </c>
      <c r="I718" s="47"/>
      <c r="J718" s="48" t="s">
        <v>708</v>
      </c>
      <c r="K718" s="116">
        <f>ROUND(Tableau16[[#This Row],[LEN]]*7.27,0)</f>
        <v>291</v>
      </c>
      <c r="L718" s="116">
        <v>15</v>
      </c>
      <c r="M718" s="133" t="str">
        <f t="shared" si="5"/>
        <v>none</v>
      </c>
      <c r="N718" s="116">
        <f>LEN(Tableau16[[#This Row],[LABEL]])</f>
        <v>40</v>
      </c>
      <c r="O718" s="116">
        <v>15</v>
      </c>
      <c r="P718" s="116" t="e">
        <f>ROUND(Tableau16[[#This Row],[LEN]]*#REF!+#REF!,0)</f>
        <v>#REF!</v>
      </c>
    </row>
    <row r="719" spans="1:16" s="97" customFormat="1" x14ac:dyDescent="0.25">
      <c r="A719" s="45" t="s">
        <v>1510</v>
      </c>
      <c r="B719" s="46" t="s">
        <v>1502</v>
      </c>
      <c r="C719" s="47" t="s">
        <v>116</v>
      </c>
      <c r="D719" s="75" t="s">
        <v>1177</v>
      </c>
      <c r="E719" s="47" t="s">
        <v>661</v>
      </c>
      <c r="F719" s="47" t="s">
        <v>666</v>
      </c>
      <c r="G719" s="75" t="s">
        <v>68</v>
      </c>
      <c r="H719" s="75" t="s">
        <v>656</v>
      </c>
      <c r="I719" s="47"/>
      <c r="J719" s="48" t="s">
        <v>708</v>
      </c>
      <c r="K719" s="116">
        <f>ROUND(Tableau16[[#This Row],[LEN]]*7.27,0)</f>
        <v>313</v>
      </c>
      <c r="L719" s="116">
        <v>15</v>
      </c>
      <c r="M719" s="133" t="str">
        <f t="shared" si="5"/>
        <v>none</v>
      </c>
      <c r="N719" s="116">
        <f>LEN(Tableau16[[#This Row],[LABEL]])</f>
        <v>43</v>
      </c>
      <c r="O719" s="116">
        <v>15</v>
      </c>
      <c r="P719" s="116" t="e">
        <f>ROUND(Tableau16[[#This Row],[LEN]]*#REF!+#REF!,0)</f>
        <v>#REF!</v>
      </c>
    </row>
    <row r="720" spans="1:16" s="97" customFormat="1" x14ac:dyDescent="0.25">
      <c r="A720" s="45" t="s">
        <v>1511</v>
      </c>
      <c r="B720" s="46" t="s">
        <v>1502</v>
      </c>
      <c r="C720" s="47" t="s">
        <v>117</v>
      </c>
      <c r="D720" s="75" t="s">
        <v>1177</v>
      </c>
      <c r="E720" s="47" t="s">
        <v>661</v>
      </c>
      <c r="F720" s="47" t="s">
        <v>666</v>
      </c>
      <c r="G720" s="75" t="s">
        <v>68</v>
      </c>
      <c r="H720" s="75" t="s">
        <v>656</v>
      </c>
      <c r="I720" s="47"/>
      <c r="J720" s="48" t="s">
        <v>708</v>
      </c>
      <c r="K720" s="116">
        <f>ROUND(Tableau16[[#This Row],[LEN]]*7.27,0)</f>
        <v>225</v>
      </c>
      <c r="L720" s="116">
        <v>15</v>
      </c>
      <c r="M720" s="133" t="str">
        <f t="shared" si="5"/>
        <v>none</v>
      </c>
      <c r="N720" s="116">
        <f>LEN(Tableau16[[#This Row],[LABEL]])</f>
        <v>31</v>
      </c>
      <c r="O720" s="116">
        <v>15</v>
      </c>
      <c r="P720" s="116" t="e">
        <f>ROUND(Tableau16[[#This Row],[LEN]]*#REF!+#REF!,0)</f>
        <v>#REF!</v>
      </c>
    </row>
    <row r="721" spans="1:16" s="97" customFormat="1" x14ac:dyDescent="0.25">
      <c r="A721" s="41" t="s">
        <v>1503</v>
      </c>
      <c r="B721" s="42" t="s">
        <v>288</v>
      </c>
      <c r="C721" s="43" t="s">
        <v>849</v>
      </c>
      <c r="D721" s="74" t="s">
        <v>1177</v>
      </c>
      <c r="E721" s="43" t="s">
        <v>667</v>
      </c>
      <c r="F721" s="43" t="s">
        <v>840</v>
      </c>
      <c r="G721" s="74" t="s">
        <v>68</v>
      </c>
      <c r="H721" s="74" t="s">
        <v>655</v>
      </c>
      <c r="I721" s="43"/>
      <c r="J721" s="44" t="s">
        <v>708</v>
      </c>
      <c r="K721" s="115">
        <f>ROUND(Tableau16[[#This Row],[LEN]]*7.27,0)</f>
        <v>80</v>
      </c>
      <c r="L721" s="115">
        <v>15</v>
      </c>
      <c r="M721" s="132" t="str">
        <f t="shared" si="5"/>
        <v>none</v>
      </c>
      <c r="N721" s="115">
        <f>LEN(Tableau16[[#This Row],[LABEL]])</f>
        <v>11</v>
      </c>
      <c r="O721" s="115">
        <v>15</v>
      </c>
      <c r="P721" s="115" t="e">
        <f>ROUND(Tableau16[[#This Row],[LEN]]*#REF!+#REF!,0)</f>
        <v>#REF!</v>
      </c>
    </row>
    <row r="722" spans="1:16" s="97" customFormat="1" x14ac:dyDescent="0.25">
      <c r="A722" s="45" t="s">
        <v>1512</v>
      </c>
      <c r="B722" s="46" t="s">
        <v>1503</v>
      </c>
      <c r="C722" s="47" t="s">
        <v>112</v>
      </c>
      <c r="D722" s="75" t="s">
        <v>1177</v>
      </c>
      <c r="E722" s="47" t="s">
        <v>667</v>
      </c>
      <c r="F722" s="47" t="s">
        <v>2006</v>
      </c>
      <c r="G722" s="75" t="s">
        <v>68</v>
      </c>
      <c r="H722" s="75" t="s">
        <v>654</v>
      </c>
      <c r="I722" s="47"/>
      <c r="J722" s="48" t="s">
        <v>708</v>
      </c>
      <c r="K722" s="116">
        <f>ROUND(Tableau16[[#This Row],[LEN]]*7.27,0)</f>
        <v>167</v>
      </c>
      <c r="L722" s="116">
        <v>15</v>
      </c>
      <c r="M722" s="133" t="str">
        <f t="shared" si="5"/>
        <v>none</v>
      </c>
      <c r="N722" s="116">
        <f>LEN(Tableau16[[#This Row],[LABEL]])</f>
        <v>23</v>
      </c>
      <c r="O722" s="116">
        <v>15</v>
      </c>
      <c r="P722" s="116" t="e">
        <f>ROUND(Tableau16[[#This Row],[LEN]]*#REF!+#REF!,0)</f>
        <v>#REF!</v>
      </c>
    </row>
    <row r="723" spans="1:16" s="97" customFormat="1" x14ac:dyDescent="0.25">
      <c r="A723" s="45" t="s">
        <v>1513</v>
      </c>
      <c r="B723" s="46" t="s">
        <v>1503</v>
      </c>
      <c r="C723" s="47" t="s">
        <v>113</v>
      </c>
      <c r="D723" s="75" t="s">
        <v>1177</v>
      </c>
      <c r="E723" s="47" t="s">
        <v>667</v>
      </c>
      <c r="F723" s="47" t="s">
        <v>2006</v>
      </c>
      <c r="G723" s="75" t="s">
        <v>68</v>
      </c>
      <c r="H723" s="75" t="s">
        <v>654</v>
      </c>
      <c r="I723" s="47"/>
      <c r="J723" s="48" t="s">
        <v>708</v>
      </c>
      <c r="K723" s="116">
        <f>ROUND(Tableau16[[#This Row],[LEN]]*7.27,0)</f>
        <v>233</v>
      </c>
      <c r="L723" s="116">
        <v>15</v>
      </c>
      <c r="M723" s="133" t="str">
        <f t="shared" si="5"/>
        <v>none</v>
      </c>
      <c r="N723" s="116">
        <f>LEN(Tableau16[[#This Row],[LABEL]])</f>
        <v>32</v>
      </c>
      <c r="O723" s="116">
        <v>15</v>
      </c>
      <c r="P723" s="116" t="e">
        <f>ROUND(Tableau16[[#This Row],[LEN]]*#REF!+#REF!,0)</f>
        <v>#REF!</v>
      </c>
    </row>
    <row r="724" spans="1:16" s="97" customFormat="1" x14ac:dyDescent="0.25">
      <c r="A724" s="41" t="s">
        <v>1504</v>
      </c>
      <c r="B724" s="42" t="s">
        <v>288</v>
      </c>
      <c r="C724" s="43" t="s">
        <v>122</v>
      </c>
      <c r="D724" s="74" t="s">
        <v>1514</v>
      </c>
      <c r="E724" s="43" t="s">
        <v>667</v>
      </c>
      <c r="F724" s="43" t="s">
        <v>2084</v>
      </c>
      <c r="G724" s="74" t="s">
        <v>68</v>
      </c>
      <c r="H724" s="74" t="s">
        <v>656</v>
      </c>
      <c r="I724" s="43"/>
      <c r="J724" s="44" t="s">
        <v>708</v>
      </c>
      <c r="K724" s="115">
        <f>ROUND(Tableau16[[#This Row],[LEN]]*7.27,0)</f>
        <v>145</v>
      </c>
      <c r="L724" s="115">
        <v>15</v>
      </c>
      <c r="M724" s="132" t="str">
        <f t="shared" si="5"/>
        <v>none</v>
      </c>
      <c r="N724" s="115">
        <f>LEN(Tableau16[[#This Row],[LABEL]])</f>
        <v>20</v>
      </c>
      <c r="O724" s="115">
        <v>15</v>
      </c>
      <c r="P724" s="115" t="e">
        <f>ROUND(Tableau16[[#This Row],[LEN]]*#REF!+#REF!,0)</f>
        <v>#REF!</v>
      </c>
    </row>
    <row r="725" spans="1:16" s="97" customFormat="1" x14ac:dyDescent="0.25">
      <c r="A725" s="41" t="s">
        <v>1505</v>
      </c>
      <c r="B725" s="42" t="s">
        <v>288</v>
      </c>
      <c r="C725" s="43" t="s">
        <v>1516</v>
      </c>
      <c r="D725" s="74" t="s">
        <v>1177</v>
      </c>
      <c r="E725" s="43" t="s">
        <v>661</v>
      </c>
      <c r="F725" s="43" t="s">
        <v>666</v>
      </c>
      <c r="G725" s="74" t="s">
        <v>68</v>
      </c>
      <c r="H725" s="74" t="s">
        <v>655</v>
      </c>
      <c r="I725" s="43"/>
      <c r="J725" s="44" t="s">
        <v>708</v>
      </c>
      <c r="K725" s="115">
        <f>ROUND(Tableau16[[#This Row],[LEN]]*7.27,0)</f>
        <v>305</v>
      </c>
      <c r="L725" s="115">
        <v>15</v>
      </c>
      <c r="M725" s="132" t="str">
        <f t="shared" si="5"/>
        <v>none</v>
      </c>
      <c r="N725" s="115">
        <f>LEN(Tableau16[[#This Row],[LABEL]])</f>
        <v>42</v>
      </c>
      <c r="O725" s="115">
        <v>15</v>
      </c>
      <c r="P725" s="115" t="e">
        <f>ROUND(Tableau16[[#This Row],[LEN]]*#REF!+#REF!,0)</f>
        <v>#REF!</v>
      </c>
    </row>
    <row r="726" spans="1:16" s="97" customFormat="1" x14ac:dyDescent="0.25">
      <c r="A726" s="45" t="s">
        <v>1517</v>
      </c>
      <c r="B726" s="46" t="s">
        <v>1505</v>
      </c>
      <c r="C726" s="47" t="s">
        <v>118</v>
      </c>
      <c r="D726" s="75" t="s">
        <v>1177</v>
      </c>
      <c r="E726" s="47" t="s">
        <v>661</v>
      </c>
      <c r="F726" s="47" t="s">
        <v>666</v>
      </c>
      <c r="G726" s="75" t="s">
        <v>68</v>
      </c>
      <c r="H726" s="75" t="s">
        <v>18</v>
      </c>
      <c r="I726" s="47"/>
      <c r="J726" s="48" t="s">
        <v>708</v>
      </c>
      <c r="K726" s="116">
        <f>ROUND(Tableau16[[#This Row],[LEN]]*7.27,0)</f>
        <v>204</v>
      </c>
      <c r="L726" s="116">
        <v>15</v>
      </c>
      <c r="M726" s="133" t="str">
        <f t="shared" si="5"/>
        <v>none</v>
      </c>
      <c r="N726" s="116">
        <f>LEN(Tableau16[[#This Row],[LABEL]])</f>
        <v>28</v>
      </c>
      <c r="O726" s="116">
        <v>15</v>
      </c>
      <c r="P726" s="116" t="e">
        <f>ROUND(Tableau16[[#This Row],[LEN]]*#REF!+#REF!,0)</f>
        <v>#REF!</v>
      </c>
    </row>
    <row r="727" spans="1:16" s="97" customFormat="1" x14ac:dyDescent="0.25">
      <c r="A727" s="45" t="s">
        <v>1518</v>
      </c>
      <c r="B727" s="46" t="s">
        <v>1505</v>
      </c>
      <c r="C727" s="47" t="s">
        <v>119</v>
      </c>
      <c r="D727" s="75" t="s">
        <v>1177</v>
      </c>
      <c r="E727" s="47" t="s">
        <v>661</v>
      </c>
      <c r="F727" s="47" t="s">
        <v>666</v>
      </c>
      <c r="G727" s="75" t="s">
        <v>68</v>
      </c>
      <c r="H727" s="75" t="s">
        <v>18</v>
      </c>
      <c r="I727" s="47"/>
      <c r="J727" s="48" t="s">
        <v>708</v>
      </c>
      <c r="K727" s="116">
        <f>ROUND(Tableau16[[#This Row],[LEN]]*7.27,0)</f>
        <v>218</v>
      </c>
      <c r="L727" s="116">
        <v>15</v>
      </c>
      <c r="M727" s="133" t="str">
        <f t="shared" si="5"/>
        <v>none</v>
      </c>
      <c r="N727" s="116">
        <f>LEN(Tableau16[[#This Row],[LABEL]])</f>
        <v>30</v>
      </c>
      <c r="O727" s="116">
        <v>15</v>
      </c>
      <c r="P727" s="116" t="e">
        <f>ROUND(Tableau16[[#This Row],[LEN]]*#REF!+#REF!,0)</f>
        <v>#REF!</v>
      </c>
    </row>
    <row r="728" spans="1:16" s="97" customFormat="1" x14ac:dyDescent="0.25">
      <c r="A728" s="45" t="s">
        <v>1519</v>
      </c>
      <c r="B728" s="46" t="s">
        <v>1505</v>
      </c>
      <c r="C728" s="47" t="s">
        <v>120</v>
      </c>
      <c r="D728" s="75" t="s">
        <v>1177</v>
      </c>
      <c r="E728" s="47" t="s">
        <v>661</v>
      </c>
      <c r="F728" s="47" t="s">
        <v>666</v>
      </c>
      <c r="G728" s="75" t="s">
        <v>68</v>
      </c>
      <c r="H728" s="75" t="s">
        <v>18</v>
      </c>
      <c r="I728" s="47"/>
      <c r="J728" s="48" t="s">
        <v>708</v>
      </c>
      <c r="K728" s="116">
        <f>ROUND(Tableau16[[#This Row],[LEN]]*7.27,0)</f>
        <v>131</v>
      </c>
      <c r="L728" s="116">
        <v>15</v>
      </c>
      <c r="M728" s="133" t="str">
        <f t="shared" si="5"/>
        <v>none</v>
      </c>
      <c r="N728" s="116">
        <f>LEN(Tableau16[[#This Row],[LABEL]])</f>
        <v>18</v>
      </c>
      <c r="O728" s="116">
        <v>15</v>
      </c>
      <c r="P728" s="116" t="e">
        <f>ROUND(Tableau16[[#This Row],[LEN]]*#REF!+#REF!,0)</f>
        <v>#REF!</v>
      </c>
    </row>
    <row r="729" spans="1:16" s="97" customFormat="1" x14ac:dyDescent="0.25">
      <c r="A729" s="45" t="s">
        <v>1520</v>
      </c>
      <c r="B729" s="46" t="s">
        <v>1505</v>
      </c>
      <c r="C729" s="47" t="s">
        <v>121</v>
      </c>
      <c r="D729" s="75" t="s">
        <v>1177</v>
      </c>
      <c r="E729" s="47" t="s">
        <v>661</v>
      </c>
      <c r="F729" s="47" t="s">
        <v>666</v>
      </c>
      <c r="G729" s="75" t="s">
        <v>68</v>
      </c>
      <c r="H729" s="75" t="s">
        <v>18</v>
      </c>
      <c r="I729" s="47"/>
      <c r="J729" s="48" t="s">
        <v>708</v>
      </c>
      <c r="K729" s="116">
        <f>ROUND(Tableau16[[#This Row],[LEN]]*7.27,0)</f>
        <v>174</v>
      </c>
      <c r="L729" s="116">
        <v>15</v>
      </c>
      <c r="M729" s="133" t="str">
        <f t="shared" si="5"/>
        <v>none</v>
      </c>
      <c r="N729" s="116">
        <f>LEN(Tableau16[[#This Row],[LABEL]])</f>
        <v>24</v>
      </c>
      <c r="O729" s="116">
        <v>15</v>
      </c>
      <c r="P729" s="116" t="e">
        <f>ROUND(Tableau16[[#This Row],[LEN]]*#REF!+#REF!,0)</f>
        <v>#REF!</v>
      </c>
    </row>
    <row r="730" spans="1:16" s="97" customFormat="1" x14ac:dyDescent="0.25">
      <c r="A730" s="41" t="s">
        <v>1506</v>
      </c>
      <c r="B730" s="42" t="s">
        <v>288</v>
      </c>
      <c r="C730" s="43" t="s">
        <v>538</v>
      </c>
      <c r="D730" s="74" t="s">
        <v>1177</v>
      </c>
      <c r="E730" s="43" t="s">
        <v>684</v>
      </c>
      <c r="F730" s="43" t="s">
        <v>1177</v>
      </c>
      <c r="G730" s="74" t="s">
        <v>68</v>
      </c>
      <c r="H730" s="74" t="s">
        <v>655</v>
      </c>
      <c r="I730" s="43"/>
      <c r="J730" s="44" t="s">
        <v>708</v>
      </c>
      <c r="K730" s="115">
        <f>ROUND(Tableau16[[#This Row],[LEN]]*7.27,0)</f>
        <v>305</v>
      </c>
      <c r="L730" s="115">
        <v>15</v>
      </c>
      <c r="M730" s="132" t="str">
        <f t="shared" si="5"/>
        <v>none</v>
      </c>
      <c r="N730" s="115">
        <f>LEN(Tableau16[[#This Row],[LABEL]])</f>
        <v>42</v>
      </c>
      <c r="O730" s="115">
        <v>15</v>
      </c>
      <c r="P730" s="115" t="e">
        <f>ROUND(Tableau16[[#This Row],[LEN]]*#REF!+#REF!,0)</f>
        <v>#REF!</v>
      </c>
    </row>
    <row r="731" spans="1:16" s="97" customFormat="1" x14ac:dyDescent="0.25">
      <c r="A731" s="45" t="s">
        <v>1521</v>
      </c>
      <c r="B731" s="46" t="s">
        <v>1506</v>
      </c>
      <c r="C731" s="47" t="s">
        <v>123</v>
      </c>
      <c r="D731" s="75" t="s">
        <v>1177</v>
      </c>
      <c r="E731" s="47" t="s">
        <v>684</v>
      </c>
      <c r="F731" s="47" t="s">
        <v>1177</v>
      </c>
      <c r="G731" s="75" t="s">
        <v>68</v>
      </c>
      <c r="H731" s="75" t="s">
        <v>18</v>
      </c>
      <c r="I731" s="47"/>
      <c r="J731" s="48" t="s">
        <v>708</v>
      </c>
      <c r="K731" s="116">
        <f>ROUND(Tableau16[[#This Row],[LEN]]*7.27,0)</f>
        <v>182</v>
      </c>
      <c r="L731" s="116">
        <v>15</v>
      </c>
      <c r="M731" s="133" t="str">
        <f t="shared" si="5"/>
        <v>none</v>
      </c>
      <c r="N731" s="116">
        <f>LEN(Tableau16[[#This Row],[LABEL]])</f>
        <v>25</v>
      </c>
      <c r="O731" s="116">
        <v>15</v>
      </c>
      <c r="P731" s="116" t="e">
        <f>ROUND(Tableau16[[#This Row],[LEN]]*#REF!+#REF!,0)</f>
        <v>#REF!</v>
      </c>
    </row>
    <row r="732" spans="1:16" s="97" customFormat="1" x14ac:dyDescent="0.25">
      <c r="A732" s="45" t="s">
        <v>1522</v>
      </c>
      <c r="B732" s="46" t="s">
        <v>1506</v>
      </c>
      <c r="C732" s="47" t="s">
        <v>124</v>
      </c>
      <c r="D732" s="75" t="s">
        <v>1177</v>
      </c>
      <c r="E732" s="47" t="s">
        <v>684</v>
      </c>
      <c r="F732" s="47" t="s">
        <v>1177</v>
      </c>
      <c r="G732" s="75" t="s">
        <v>68</v>
      </c>
      <c r="H732" s="75" t="s">
        <v>18</v>
      </c>
      <c r="I732" s="47"/>
      <c r="J732" s="48" t="s">
        <v>708</v>
      </c>
      <c r="K732" s="116">
        <f>ROUND(Tableau16[[#This Row],[LEN]]*7.27,0)</f>
        <v>116</v>
      </c>
      <c r="L732" s="116">
        <v>15</v>
      </c>
      <c r="M732" s="133" t="str">
        <f t="shared" si="5"/>
        <v>none</v>
      </c>
      <c r="N732" s="116">
        <f>LEN(Tableau16[[#This Row],[LABEL]])</f>
        <v>16</v>
      </c>
      <c r="O732" s="116">
        <v>15</v>
      </c>
      <c r="P732" s="116" t="e">
        <f>ROUND(Tableau16[[#This Row],[LEN]]*#REF!+#REF!,0)</f>
        <v>#REF!</v>
      </c>
    </row>
    <row r="733" spans="1:16" s="97" customFormat="1" x14ac:dyDescent="0.25">
      <c r="A733" s="45" t="s">
        <v>1523</v>
      </c>
      <c r="B733" s="46" t="s">
        <v>1506</v>
      </c>
      <c r="C733" s="47" t="s">
        <v>125</v>
      </c>
      <c r="D733" s="75" t="s">
        <v>1177</v>
      </c>
      <c r="E733" s="47" t="s">
        <v>684</v>
      </c>
      <c r="F733" s="47" t="s">
        <v>1177</v>
      </c>
      <c r="G733" s="75" t="s">
        <v>68</v>
      </c>
      <c r="H733" s="75" t="s">
        <v>18</v>
      </c>
      <c r="I733" s="47"/>
      <c r="J733" s="48" t="s">
        <v>708</v>
      </c>
      <c r="K733" s="116">
        <f>ROUND(Tableau16[[#This Row],[LEN]]*7.27,0)</f>
        <v>116</v>
      </c>
      <c r="L733" s="116">
        <v>15</v>
      </c>
      <c r="M733" s="133" t="str">
        <f t="shared" si="5"/>
        <v>none</v>
      </c>
      <c r="N733" s="116">
        <f>LEN(Tableau16[[#This Row],[LABEL]])</f>
        <v>16</v>
      </c>
      <c r="O733" s="116">
        <v>15</v>
      </c>
      <c r="P733" s="116" t="e">
        <f>ROUND(Tableau16[[#This Row],[LEN]]*#REF!+#REF!,0)</f>
        <v>#REF!</v>
      </c>
    </row>
    <row r="734" spans="1:16" s="97" customFormat="1" x14ac:dyDescent="0.25">
      <c r="A734" s="45" t="s">
        <v>1524</v>
      </c>
      <c r="B734" s="46" t="s">
        <v>1506</v>
      </c>
      <c r="C734" s="47" t="s">
        <v>126</v>
      </c>
      <c r="D734" s="75" t="s">
        <v>1177</v>
      </c>
      <c r="E734" s="47" t="s">
        <v>684</v>
      </c>
      <c r="F734" s="47" t="s">
        <v>1177</v>
      </c>
      <c r="G734" s="75" t="s">
        <v>68</v>
      </c>
      <c r="H734" s="75" t="s">
        <v>18</v>
      </c>
      <c r="I734" s="47"/>
      <c r="J734" s="48" t="s">
        <v>708</v>
      </c>
      <c r="K734" s="116">
        <f>ROUND(Tableau16[[#This Row],[LEN]]*7.27,0)</f>
        <v>80</v>
      </c>
      <c r="L734" s="116">
        <v>15</v>
      </c>
      <c r="M734" s="133" t="str">
        <f t="shared" si="5"/>
        <v>none</v>
      </c>
      <c r="N734" s="116">
        <f>LEN(Tableau16[[#This Row],[LABEL]])</f>
        <v>11</v>
      </c>
      <c r="O734" s="116">
        <v>15</v>
      </c>
      <c r="P734" s="116" t="e">
        <f>ROUND(Tableau16[[#This Row],[LEN]]*#REF!+#REF!,0)</f>
        <v>#REF!</v>
      </c>
    </row>
    <row r="735" spans="1:16" s="97" customFormat="1" x14ac:dyDescent="0.25">
      <c r="A735" s="45" t="s">
        <v>1525</v>
      </c>
      <c r="B735" s="46" t="s">
        <v>1506</v>
      </c>
      <c r="C735" s="47" t="s">
        <v>127</v>
      </c>
      <c r="D735" s="75" t="s">
        <v>1177</v>
      </c>
      <c r="E735" s="47" t="s">
        <v>684</v>
      </c>
      <c r="F735" s="47" t="s">
        <v>1177</v>
      </c>
      <c r="G735" s="75" t="s">
        <v>68</v>
      </c>
      <c r="H735" s="75" t="s">
        <v>18</v>
      </c>
      <c r="I735" s="47"/>
      <c r="J735" s="48" t="s">
        <v>708</v>
      </c>
      <c r="K735" s="116">
        <f>ROUND(Tableau16[[#This Row],[LEN]]*7.27,0)</f>
        <v>95</v>
      </c>
      <c r="L735" s="116">
        <v>15</v>
      </c>
      <c r="M735" s="133" t="str">
        <f t="shared" si="5"/>
        <v>none</v>
      </c>
      <c r="N735" s="116">
        <f>LEN(Tableau16[[#This Row],[LABEL]])</f>
        <v>13</v>
      </c>
      <c r="O735" s="116">
        <v>15</v>
      </c>
      <c r="P735" s="116" t="e">
        <f>ROUND(Tableau16[[#This Row],[LEN]]*#REF!+#REF!,0)</f>
        <v>#REF!</v>
      </c>
    </row>
    <row r="736" spans="1:16" s="97" customFormat="1" x14ac:dyDescent="0.25">
      <c r="A736" s="45" t="s">
        <v>1526</v>
      </c>
      <c r="B736" s="46" t="s">
        <v>1506</v>
      </c>
      <c r="C736" s="47" t="s">
        <v>1527</v>
      </c>
      <c r="D736" s="75" t="s">
        <v>1177</v>
      </c>
      <c r="E736" s="47" t="s">
        <v>684</v>
      </c>
      <c r="F736" s="47" t="s">
        <v>1177</v>
      </c>
      <c r="G736" s="75" t="s">
        <v>68</v>
      </c>
      <c r="H736" s="75" t="s">
        <v>18</v>
      </c>
      <c r="I736" s="47"/>
      <c r="J736" s="48" t="s">
        <v>708</v>
      </c>
      <c r="K736" s="116">
        <f>ROUND(Tableau16[[#This Row],[LEN]]*7.27,0)</f>
        <v>233</v>
      </c>
      <c r="L736" s="116">
        <v>15</v>
      </c>
      <c r="M736" s="133" t="str">
        <f t="shared" si="5"/>
        <v>none</v>
      </c>
      <c r="N736" s="116">
        <f>LEN(Tableau16[[#This Row],[LABEL]])</f>
        <v>32</v>
      </c>
      <c r="O736" s="116">
        <v>15</v>
      </c>
      <c r="P736" s="116" t="e">
        <f>ROUND(Tableau16[[#This Row],[LEN]]*#REF!+#REF!,0)</f>
        <v>#REF!</v>
      </c>
    </row>
    <row r="737" spans="1:16" s="97" customFormat="1" x14ac:dyDescent="0.25">
      <c r="A737" s="41" t="s">
        <v>1507</v>
      </c>
      <c r="B737" s="42" t="s">
        <v>288</v>
      </c>
      <c r="C737" s="43" t="s">
        <v>1528</v>
      </c>
      <c r="D737" s="74" t="s">
        <v>1177</v>
      </c>
      <c r="E737" s="43" t="s">
        <v>667</v>
      </c>
      <c r="F737" s="43" t="s">
        <v>1084</v>
      </c>
      <c r="G737" s="74" t="s">
        <v>1977</v>
      </c>
      <c r="H737" s="74" t="s">
        <v>1131</v>
      </c>
      <c r="I737" s="43"/>
      <c r="J737" s="44" t="s">
        <v>708</v>
      </c>
      <c r="K737" s="115">
        <f>ROUND(Tableau16[[#This Row],[LEN]]*7.27,0)</f>
        <v>174</v>
      </c>
      <c r="L737" s="115">
        <v>15</v>
      </c>
      <c r="M737" s="132" t="str">
        <f t="shared" si="5"/>
        <v>none</v>
      </c>
      <c r="N737" s="115">
        <f>LEN(Tableau16[[#This Row],[LABEL]])</f>
        <v>24</v>
      </c>
      <c r="O737" s="115">
        <v>15</v>
      </c>
      <c r="P737" s="115" t="e">
        <f>ROUND(Tableau16[[#This Row],[LEN]]*#REF!+#REF!,0)</f>
        <v>#REF!</v>
      </c>
    </row>
    <row r="738" spans="1:16" s="97" customFormat="1" x14ac:dyDescent="0.25">
      <c r="A738" s="41" t="s">
        <v>1508</v>
      </c>
      <c r="B738" s="42" t="s">
        <v>288</v>
      </c>
      <c r="C738" s="43" t="s">
        <v>1529</v>
      </c>
      <c r="D738" s="74" t="s">
        <v>1177</v>
      </c>
      <c r="E738" s="43" t="s">
        <v>672</v>
      </c>
      <c r="F738" s="43" t="s">
        <v>666</v>
      </c>
      <c r="G738" s="74" t="s">
        <v>68</v>
      </c>
      <c r="H738" s="74" t="s">
        <v>656</v>
      </c>
      <c r="I738" s="43"/>
      <c r="J738" s="44" t="s">
        <v>708</v>
      </c>
      <c r="K738" s="115">
        <f>ROUND(Tableau16[[#This Row],[LEN]]*7.27,0)</f>
        <v>218</v>
      </c>
      <c r="L738" s="115">
        <v>15</v>
      </c>
      <c r="M738" s="132" t="str">
        <f t="shared" si="5"/>
        <v>none</v>
      </c>
      <c r="N738" s="115">
        <f>LEN(Tableau16[[#This Row],[LABEL]])</f>
        <v>30</v>
      </c>
      <c r="O738" s="115">
        <v>15</v>
      </c>
      <c r="P738" s="115" t="e">
        <f>ROUND(Tableau16[[#This Row],[LEN]]*#REF!+#REF!,0)</f>
        <v>#REF!</v>
      </c>
    </row>
    <row r="739" spans="1:16" s="273" customFormat="1" x14ac:dyDescent="0.25">
      <c r="A739" s="330" t="s">
        <v>289</v>
      </c>
      <c r="B739" s="331" t="s">
        <v>208</v>
      </c>
      <c r="C739" s="332" t="s">
        <v>80</v>
      </c>
      <c r="D739" s="333" t="s">
        <v>1177</v>
      </c>
      <c r="E739" s="332" t="s">
        <v>667</v>
      </c>
      <c r="F739" s="332" t="s">
        <v>1177</v>
      </c>
      <c r="G739" s="333" t="s">
        <v>68</v>
      </c>
      <c r="H739" s="333" t="str">
        <f>IFERROR(IF(SEARCH(".00.00.00.00.00",Tableau16[[#This Row],[name]],1)=7,"Division",""),"")</f>
        <v>Division</v>
      </c>
      <c r="I739" s="332"/>
      <c r="J739" s="334" t="s">
        <v>708</v>
      </c>
      <c r="K739" s="335">
        <f>ROUND(Tableau16[[#This Row],[LEN]]*7.27,0)</f>
        <v>116</v>
      </c>
      <c r="L739" s="335">
        <v>15</v>
      </c>
      <c r="M739" s="336" t="str">
        <f t="shared" si="5"/>
        <v>none</v>
      </c>
      <c r="N739" s="335">
        <f>LEN(Tableau16[[#This Row],[LABEL]])</f>
        <v>16</v>
      </c>
      <c r="O739" s="335">
        <v>15</v>
      </c>
      <c r="P739" s="335" t="e">
        <f>ROUND(Tableau16[[#This Row],[LEN]]*#REF!+#REF!,0)</f>
        <v>#REF!</v>
      </c>
    </row>
    <row r="740" spans="1:16" s="97" customFormat="1" x14ac:dyDescent="0.25">
      <c r="A740" s="41" t="s">
        <v>1531</v>
      </c>
      <c r="B740" s="42" t="s">
        <v>289</v>
      </c>
      <c r="C740" s="43" t="s">
        <v>738</v>
      </c>
      <c r="D740" s="74" t="s">
        <v>1177</v>
      </c>
      <c r="E740" s="43" t="s">
        <v>662</v>
      </c>
      <c r="F740" s="43" t="s">
        <v>2085</v>
      </c>
      <c r="G740" s="74" t="s">
        <v>68</v>
      </c>
      <c r="H740" s="74" t="s">
        <v>56</v>
      </c>
      <c r="I740" s="43"/>
      <c r="J740" s="44" t="s">
        <v>708</v>
      </c>
      <c r="K740" s="115">
        <f>ROUND(Tableau16[[#This Row],[LEN]]*7.27,0)</f>
        <v>247</v>
      </c>
      <c r="L740" s="115">
        <v>15</v>
      </c>
      <c r="M740" s="132" t="str">
        <f t="shared" si="5"/>
        <v>none</v>
      </c>
      <c r="N740" s="115">
        <f>LEN(Tableau16[[#This Row],[LABEL]])</f>
        <v>34</v>
      </c>
      <c r="O740" s="115">
        <v>15</v>
      </c>
      <c r="P740" s="115" t="e">
        <f>ROUND(Tableau16[[#This Row],[LEN]]*#REF!+#REF!,0)</f>
        <v>#REF!</v>
      </c>
    </row>
    <row r="741" spans="1:16" s="97" customFormat="1" x14ac:dyDescent="0.25">
      <c r="A741" s="41" t="s">
        <v>1532</v>
      </c>
      <c r="B741" s="42" t="s">
        <v>289</v>
      </c>
      <c r="C741" s="43" t="s">
        <v>849</v>
      </c>
      <c r="D741" s="74" t="s">
        <v>1177</v>
      </c>
      <c r="E741" s="43" t="s">
        <v>667</v>
      </c>
      <c r="F741" s="43" t="s">
        <v>840</v>
      </c>
      <c r="G741" s="74" t="s">
        <v>68</v>
      </c>
      <c r="H741" s="74" t="s">
        <v>655</v>
      </c>
      <c r="I741" s="43"/>
      <c r="J741" s="44" t="s">
        <v>708</v>
      </c>
      <c r="K741" s="115">
        <f>ROUND(Tableau16[[#This Row],[LEN]]*7.27,0)</f>
        <v>80</v>
      </c>
      <c r="L741" s="115">
        <v>15</v>
      </c>
      <c r="M741" s="132" t="str">
        <f t="shared" si="5"/>
        <v>none</v>
      </c>
      <c r="N741" s="115">
        <f>LEN(Tableau16[[#This Row],[LABEL]])</f>
        <v>11</v>
      </c>
      <c r="O741" s="115">
        <v>15</v>
      </c>
      <c r="P741" s="115" t="e">
        <f>ROUND(Tableau16[[#This Row],[LEN]]*#REF!+#REF!,0)</f>
        <v>#REF!</v>
      </c>
    </row>
    <row r="742" spans="1:16" s="97" customFormat="1" x14ac:dyDescent="0.25">
      <c r="A742" s="45" t="s">
        <v>1536</v>
      </c>
      <c r="B742" s="46" t="s">
        <v>1532</v>
      </c>
      <c r="C742" s="47" t="s">
        <v>112</v>
      </c>
      <c r="D742" s="75" t="s">
        <v>1177</v>
      </c>
      <c r="E742" s="47" t="s">
        <v>667</v>
      </c>
      <c r="F742" s="47" t="s">
        <v>2006</v>
      </c>
      <c r="G742" s="75" t="s">
        <v>68</v>
      </c>
      <c r="H742" s="75" t="s">
        <v>654</v>
      </c>
      <c r="I742" s="47"/>
      <c r="J742" s="48" t="s">
        <v>708</v>
      </c>
      <c r="K742" s="116">
        <f>ROUND(Tableau16[[#This Row],[LEN]]*7.27,0)</f>
        <v>167</v>
      </c>
      <c r="L742" s="116">
        <v>15</v>
      </c>
      <c r="M742" s="133" t="str">
        <f t="shared" si="5"/>
        <v>none</v>
      </c>
      <c r="N742" s="116">
        <f>LEN(Tableau16[[#This Row],[LABEL]])</f>
        <v>23</v>
      </c>
      <c r="O742" s="116">
        <v>15</v>
      </c>
      <c r="P742" s="116" t="e">
        <f>ROUND(Tableau16[[#This Row],[LEN]]*#REF!+#REF!,0)</f>
        <v>#REF!</v>
      </c>
    </row>
    <row r="743" spans="1:16" s="97" customFormat="1" x14ac:dyDescent="0.25">
      <c r="A743" s="45" t="s">
        <v>1537</v>
      </c>
      <c r="B743" s="46" t="s">
        <v>1532</v>
      </c>
      <c r="C743" s="47" t="s">
        <v>113</v>
      </c>
      <c r="D743" s="75" t="s">
        <v>1177</v>
      </c>
      <c r="E743" s="47" t="s">
        <v>667</v>
      </c>
      <c r="F743" s="47" t="s">
        <v>2006</v>
      </c>
      <c r="G743" s="75" t="s">
        <v>68</v>
      </c>
      <c r="H743" s="75" t="s">
        <v>654</v>
      </c>
      <c r="I743" s="47"/>
      <c r="J743" s="48" t="s">
        <v>708</v>
      </c>
      <c r="K743" s="116">
        <f>ROUND(Tableau16[[#This Row],[LEN]]*7.27,0)</f>
        <v>233</v>
      </c>
      <c r="L743" s="116">
        <v>15</v>
      </c>
      <c r="M743" s="133" t="str">
        <f t="shared" si="5"/>
        <v>none</v>
      </c>
      <c r="N743" s="116">
        <f>LEN(Tableau16[[#This Row],[LABEL]])</f>
        <v>32</v>
      </c>
      <c r="O743" s="116">
        <v>15</v>
      </c>
      <c r="P743" s="116" t="e">
        <f>ROUND(Tableau16[[#This Row],[LEN]]*#REF!+#REF!,0)</f>
        <v>#REF!</v>
      </c>
    </row>
    <row r="744" spans="1:16" s="97" customFormat="1" x14ac:dyDescent="0.25">
      <c r="A744" s="41" t="s">
        <v>1533</v>
      </c>
      <c r="B744" s="42" t="s">
        <v>289</v>
      </c>
      <c r="C744" s="43" t="s">
        <v>122</v>
      </c>
      <c r="D744" s="74" t="s">
        <v>1514</v>
      </c>
      <c r="E744" s="43" t="s">
        <v>667</v>
      </c>
      <c r="F744" s="43" t="s">
        <v>2084</v>
      </c>
      <c r="G744" s="74" t="s">
        <v>68</v>
      </c>
      <c r="H744" s="74" t="s">
        <v>656</v>
      </c>
      <c r="I744" s="43"/>
      <c r="J744" s="44" t="s">
        <v>708</v>
      </c>
      <c r="K744" s="115">
        <f>ROUND(Tableau16[[#This Row],[LEN]]*7.27,0)</f>
        <v>145</v>
      </c>
      <c r="L744" s="115">
        <v>15</v>
      </c>
      <c r="M744" s="132" t="str">
        <f t="shared" si="5"/>
        <v>none</v>
      </c>
      <c r="N744" s="115">
        <f>LEN(Tableau16[[#This Row],[LABEL]])</f>
        <v>20</v>
      </c>
      <c r="O744" s="115">
        <v>15</v>
      </c>
      <c r="P744" s="115" t="e">
        <f>ROUND(Tableau16[[#This Row],[LEN]]*#REF!+#REF!,0)</f>
        <v>#REF!</v>
      </c>
    </row>
    <row r="745" spans="1:16" s="97" customFormat="1" x14ac:dyDescent="0.25">
      <c r="A745" s="41" t="s">
        <v>1534</v>
      </c>
      <c r="B745" s="42" t="s">
        <v>289</v>
      </c>
      <c r="C745" s="43" t="s">
        <v>1538</v>
      </c>
      <c r="D745" s="74" t="s">
        <v>1539</v>
      </c>
      <c r="E745" s="43" t="s">
        <v>1177</v>
      </c>
      <c r="F745" s="43" t="s">
        <v>1084</v>
      </c>
      <c r="G745" s="74" t="s">
        <v>1977</v>
      </c>
      <c r="H745" s="74" t="s">
        <v>1131</v>
      </c>
      <c r="I745" s="43"/>
      <c r="J745" s="44" t="s">
        <v>708</v>
      </c>
      <c r="K745" s="115">
        <f>ROUND(Tableau16[[#This Row],[LEN]]*7.27,0)</f>
        <v>240</v>
      </c>
      <c r="L745" s="115">
        <v>15</v>
      </c>
      <c r="M745" s="132" t="str">
        <f t="shared" si="5"/>
        <v>none</v>
      </c>
      <c r="N745" s="115">
        <f>LEN(Tableau16[[#This Row],[LABEL]])</f>
        <v>33</v>
      </c>
      <c r="O745" s="115">
        <v>15</v>
      </c>
      <c r="P745" s="115" t="e">
        <f>ROUND(Tableau16[[#This Row],[LEN]]*#REF!+#REF!,0)</f>
        <v>#REF!</v>
      </c>
    </row>
    <row r="746" spans="1:16" s="97" customFormat="1" x14ac:dyDescent="0.25">
      <c r="A746" s="41" t="s">
        <v>1535</v>
      </c>
      <c r="B746" s="42" t="s">
        <v>289</v>
      </c>
      <c r="C746" s="43" t="s">
        <v>1540</v>
      </c>
      <c r="D746" s="74" t="s">
        <v>1177</v>
      </c>
      <c r="E746" s="43" t="s">
        <v>667</v>
      </c>
      <c r="F746" s="43" t="s">
        <v>684</v>
      </c>
      <c r="G746" s="74" t="s">
        <v>68</v>
      </c>
      <c r="H746" s="74" t="s">
        <v>656</v>
      </c>
      <c r="I746" s="43"/>
      <c r="J746" s="44" t="s">
        <v>708</v>
      </c>
      <c r="K746" s="115">
        <f>ROUND(Tableau16[[#This Row],[LEN]]*7.27,0)</f>
        <v>407</v>
      </c>
      <c r="L746" s="115">
        <v>15</v>
      </c>
      <c r="M746" s="132" t="str">
        <f t="shared" si="5"/>
        <v>none</v>
      </c>
      <c r="N746" s="115">
        <f>LEN(Tableau16[[#This Row],[LABEL]])</f>
        <v>56</v>
      </c>
      <c r="O746" s="115">
        <v>15</v>
      </c>
      <c r="P746" s="115" t="e">
        <f>ROUND(Tableau16[[#This Row],[LEN]]*#REF!+#REF!,0)</f>
        <v>#REF!</v>
      </c>
    </row>
    <row r="747" spans="1:16" s="273" customFormat="1" x14ac:dyDescent="0.25">
      <c r="A747" s="330" t="s">
        <v>290</v>
      </c>
      <c r="B747" s="331" t="s">
        <v>208</v>
      </c>
      <c r="C747" s="332" t="s">
        <v>5</v>
      </c>
      <c r="D747" s="333" t="s">
        <v>1177</v>
      </c>
      <c r="E747" s="332" t="s">
        <v>668</v>
      </c>
      <c r="F747" s="332" t="s">
        <v>1177</v>
      </c>
      <c r="G747" s="333" t="s">
        <v>68</v>
      </c>
      <c r="H747" s="333" t="str">
        <f>IFERROR(IF(SEARCH(".00.00.00.00.00",Tableau16[[#This Row],[name]],1)=7,"Division",""),"")</f>
        <v>Division</v>
      </c>
      <c r="I747" s="332"/>
      <c r="J747" s="334" t="s">
        <v>708</v>
      </c>
      <c r="K747" s="335">
        <f>ROUND(Tableau16[[#This Row],[LEN]]*7.27,0)</f>
        <v>73</v>
      </c>
      <c r="L747" s="335">
        <v>15</v>
      </c>
      <c r="M747" s="336" t="str">
        <f t="shared" si="5"/>
        <v>none</v>
      </c>
      <c r="N747" s="335">
        <f>LEN(Tableau16[[#This Row],[LABEL]])</f>
        <v>10</v>
      </c>
      <c r="O747" s="335">
        <v>15</v>
      </c>
      <c r="P747" s="335" t="e">
        <f>ROUND(Tableau16[[#This Row],[LEN]]*#REF!+#REF!,0)</f>
        <v>#REF!</v>
      </c>
    </row>
    <row r="748" spans="1:16" s="97" customFormat="1" x14ac:dyDescent="0.25">
      <c r="A748" s="41" t="s">
        <v>1541</v>
      </c>
      <c r="B748" s="42" t="s">
        <v>290</v>
      </c>
      <c r="C748" s="43" t="s">
        <v>738</v>
      </c>
      <c r="D748" s="74" t="s">
        <v>1177</v>
      </c>
      <c r="E748" s="43" t="s">
        <v>662</v>
      </c>
      <c r="F748" s="43" t="s">
        <v>2085</v>
      </c>
      <c r="G748" s="74" t="s">
        <v>68</v>
      </c>
      <c r="H748" s="74" t="s">
        <v>56</v>
      </c>
      <c r="I748" s="43"/>
      <c r="J748" s="44" t="s">
        <v>708</v>
      </c>
      <c r="K748" s="115">
        <f>ROUND(Tableau16[[#This Row],[LEN]]*7.27,0)</f>
        <v>247</v>
      </c>
      <c r="L748" s="115">
        <v>15</v>
      </c>
      <c r="M748" s="132" t="str">
        <f t="shared" si="5"/>
        <v>none</v>
      </c>
      <c r="N748" s="115">
        <f>LEN(Tableau16[[#This Row],[LABEL]])</f>
        <v>34</v>
      </c>
      <c r="O748" s="115">
        <v>15</v>
      </c>
      <c r="P748" s="115" t="e">
        <f>ROUND(Tableau16[[#This Row],[LEN]]*#REF!+#REF!,0)</f>
        <v>#REF!</v>
      </c>
    </row>
    <row r="749" spans="1:16" s="97" customFormat="1" x14ac:dyDescent="0.25">
      <c r="A749" s="41" t="s">
        <v>1542</v>
      </c>
      <c r="B749" s="42" t="s">
        <v>290</v>
      </c>
      <c r="C749" s="43" t="s">
        <v>122</v>
      </c>
      <c r="D749" s="74" t="s">
        <v>1514</v>
      </c>
      <c r="E749" s="43" t="s">
        <v>667</v>
      </c>
      <c r="F749" s="43" t="s">
        <v>2084</v>
      </c>
      <c r="G749" s="74" t="s">
        <v>68</v>
      </c>
      <c r="H749" s="74" t="s">
        <v>656</v>
      </c>
      <c r="I749" s="43"/>
      <c r="J749" s="44" t="s">
        <v>708</v>
      </c>
      <c r="K749" s="115">
        <f>ROUND(Tableau16[[#This Row],[LEN]]*7.27,0)</f>
        <v>145</v>
      </c>
      <c r="L749" s="115">
        <v>15</v>
      </c>
      <c r="M749" s="132" t="str">
        <f t="shared" si="5"/>
        <v>none</v>
      </c>
      <c r="N749" s="115">
        <f>LEN(Tableau16[[#This Row],[LABEL]])</f>
        <v>20</v>
      </c>
      <c r="O749" s="115">
        <v>15</v>
      </c>
      <c r="P749" s="115" t="e">
        <f>ROUND(Tableau16[[#This Row],[LEN]]*#REF!+#REF!,0)</f>
        <v>#REF!</v>
      </c>
    </row>
    <row r="750" spans="1:16" s="273" customFormat="1" x14ac:dyDescent="0.25">
      <c r="A750" s="330" t="s">
        <v>291</v>
      </c>
      <c r="B750" s="331" t="s">
        <v>208</v>
      </c>
      <c r="C750" s="332" t="s">
        <v>6</v>
      </c>
      <c r="D750" s="333" t="s">
        <v>1177</v>
      </c>
      <c r="E750" s="332" t="s">
        <v>669</v>
      </c>
      <c r="F750" s="332" t="s">
        <v>1177</v>
      </c>
      <c r="G750" s="333" t="s">
        <v>68</v>
      </c>
      <c r="H750" s="333" t="str">
        <f>IFERROR(IF(SEARCH(".00.00.00.00.00",Tableau16[[#This Row],[name]],1)=7,"Division",""),"")</f>
        <v>Division</v>
      </c>
      <c r="I750" s="332"/>
      <c r="J750" s="334" t="s">
        <v>708</v>
      </c>
      <c r="K750" s="335">
        <f>ROUND(Tableau16[[#This Row],[LEN]]*7.27,0)</f>
        <v>196</v>
      </c>
      <c r="L750" s="335">
        <v>15</v>
      </c>
      <c r="M750" s="336" t="str">
        <f t="shared" si="5"/>
        <v>none</v>
      </c>
      <c r="N750" s="335">
        <f>LEN(Tableau16[[#This Row],[LABEL]])</f>
        <v>27</v>
      </c>
      <c r="O750" s="335">
        <v>15</v>
      </c>
      <c r="P750" s="335" t="e">
        <f>ROUND(Tableau16[[#This Row],[LEN]]*#REF!+#REF!,0)</f>
        <v>#REF!</v>
      </c>
    </row>
    <row r="751" spans="1:16" s="97" customFormat="1" x14ac:dyDescent="0.25">
      <c r="A751" s="41" t="s">
        <v>449</v>
      </c>
      <c r="B751" s="42" t="s">
        <v>291</v>
      </c>
      <c r="C751" s="43" t="s">
        <v>164</v>
      </c>
      <c r="D751" s="74" t="s">
        <v>1177</v>
      </c>
      <c r="E751" s="43" t="s">
        <v>669</v>
      </c>
      <c r="F751" s="43" t="s">
        <v>1177</v>
      </c>
      <c r="G751" s="74" t="s">
        <v>68</v>
      </c>
      <c r="H751" s="74" t="s">
        <v>18</v>
      </c>
      <c r="I751" s="43"/>
      <c r="J751" s="44" t="s">
        <v>708</v>
      </c>
      <c r="K751" s="115">
        <f>ROUND(Tableau16[[#This Row],[LEN]]*7.27,0)</f>
        <v>131</v>
      </c>
      <c r="L751" s="115">
        <v>15</v>
      </c>
      <c r="M751" s="132" t="str">
        <f t="shared" si="5"/>
        <v>none</v>
      </c>
      <c r="N751" s="115">
        <f>LEN(Tableau16[[#This Row],[LABEL]])</f>
        <v>18</v>
      </c>
      <c r="O751" s="115">
        <v>15</v>
      </c>
      <c r="P751" s="115" t="e">
        <f>ROUND(Tableau16[[#This Row],[LEN]]*#REF!+#REF!,0)</f>
        <v>#REF!</v>
      </c>
    </row>
    <row r="752" spans="1:16" s="97" customFormat="1" x14ac:dyDescent="0.25">
      <c r="A752" s="41" t="s">
        <v>450</v>
      </c>
      <c r="B752" s="42" t="s">
        <v>291</v>
      </c>
      <c r="C752" s="43" t="s">
        <v>849</v>
      </c>
      <c r="D752" s="74" t="s">
        <v>1177</v>
      </c>
      <c r="E752" s="43" t="s">
        <v>667</v>
      </c>
      <c r="F752" s="43" t="s">
        <v>840</v>
      </c>
      <c r="G752" s="74" t="s">
        <v>68</v>
      </c>
      <c r="H752" s="74" t="s">
        <v>655</v>
      </c>
      <c r="I752" s="43"/>
      <c r="J752" s="44" t="s">
        <v>708</v>
      </c>
      <c r="K752" s="115">
        <f>ROUND(Tableau16[[#This Row],[LEN]]*7.27,0)</f>
        <v>80</v>
      </c>
      <c r="L752" s="115">
        <v>15</v>
      </c>
      <c r="M752" s="132" t="str">
        <f t="shared" si="5"/>
        <v>none</v>
      </c>
      <c r="N752" s="115">
        <f>LEN(Tableau16[[#This Row],[LABEL]])</f>
        <v>11</v>
      </c>
      <c r="O752" s="115">
        <v>15</v>
      </c>
      <c r="P752" s="115" t="e">
        <f>ROUND(Tableau16[[#This Row],[LEN]]*#REF!+#REF!,0)</f>
        <v>#REF!</v>
      </c>
    </row>
    <row r="753" spans="1:16" s="97" customFormat="1" x14ac:dyDescent="0.25">
      <c r="A753" s="45" t="s">
        <v>468</v>
      </c>
      <c r="B753" s="46" t="s">
        <v>450</v>
      </c>
      <c r="C753" s="47" t="s">
        <v>112</v>
      </c>
      <c r="D753" s="75" t="s">
        <v>1177</v>
      </c>
      <c r="E753" s="47" t="s">
        <v>667</v>
      </c>
      <c r="F753" s="47" t="s">
        <v>2006</v>
      </c>
      <c r="G753" s="75" t="s">
        <v>68</v>
      </c>
      <c r="H753" s="75" t="s">
        <v>654</v>
      </c>
      <c r="I753" s="47"/>
      <c r="J753" s="48" t="s">
        <v>708</v>
      </c>
      <c r="K753" s="116">
        <f>ROUND(Tableau16[[#This Row],[LEN]]*7.27,0)</f>
        <v>167</v>
      </c>
      <c r="L753" s="116">
        <v>15</v>
      </c>
      <c r="M753" s="133" t="str">
        <f t="shared" si="5"/>
        <v>none</v>
      </c>
      <c r="N753" s="116">
        <f>LEN(Tableau16[[#This Row],[LABEL]])</f>
        <v>23</v>
      </c>
      <c r="O753" s="116">
        <v>15</v>
      </c>
      <c r="P753" s="116" t="e">
        <f>ROUND(Tableau16[[#This Row],[LEN]]*#REF!+#REF!,0)</f>
        <v>#REF!</v>
      </c>
    </row>
    <row r="754" spans="1:16" s="97" customFormat="1" x14ac:dyDescent="0.25">
      <c r="A754" s="45" t="s">
        <v>469</v>
      </c>
      <c r="B754" s="46" t="s">
        <v>450</v>
      </c>
      <c r="C754" s="47" t="s">
        <v>113</v>
      </c>
      <c r="D754" s="75" t="s">
        <v>1177</v>
      </c>
      <c r="E754" s="47" t="s">
        <v>667</v>
      </c>
      <c r="F754" s="47" t="s">
        <v>2006</v>
      </c>
      <c r="G754" s="75" t="s">
        <v>68</v>
      </c>
      <c r="H754" s="75" t="s">
        <v>654</v>
      </c>
      <c r="I754" s="47"/>
      <c r="J754" s="48" t="s">
        <v>708</v>
      </c>
      <c r="K754" s="116">
        <f>ROUND(Tableau16[[#This Row],[LEN]]*7.27,0)</f>
        <v>233</v>
      </c>
      <c r="L754" s="116">
        <v>15</v>
      </c>
      <c r="M754" s="133" t="str">
        <f t="shared" si="5"/>
        <v>none</v>
      </c>
      <c r="N754" s="116">
        <f>LEN(Tableau16[[#This Row],[LABEL]])</f>
        <v>32</v>
      </c>
      <c r="O754" s="116">
        <v>15</v>
      </c>
      <c r="P754" s="116" t="e">
        <f>ROUND(Tableau16[[#This Row],[LEN]]*#REF!+#REF!,0)</f>
        <v>#REF!</v>
      </c>
    </row>
    <row r="755" spans="1:16" s="97" customFormat="1" x14ac:dyDescent="0.25">
      <c r="A755" s="41" t="s">
        <v>451</v>
      </c>
      <c r="B755" s="42" t="s">
        <v>291</v>
      </c>
      <c r="C755" s="43" t="s">
        <v>122</v>
      </c>
      <c r="D755" s="74" t="s">
        <v>1514</v>
      </c>
      <c r="E755" s="43" t="s">
        <v>667</v>
      </c>
      <c r="F755" s="43" t="s">
        <v>2084</v>
      </c>
      <c r="G755" s="74" t="s">
        <v>68</v>
      </c>
      <c r="H755" s="74" t="s">
        <v>656</v>
      </c>
      <c r="I755" s="43"/>
      <c r="J755" s="44" t="s">
        <v>708</v>
      </c>
      <c r="K755" s="115">
        <f>ROUND(Tableau16[[#This Row],[LEN]]*7.27,0)</f>
        <v>145</v>
      </c>
      <c r="L755" s="115">
        <v>15</v>
      </c>
      <c r="M755" s="132" t="str">
        <f t="shared" si="5"/>
        <v>none</v>
      </c>
      <c r="N755" s="115">
        <f>LEN(Tableau16[[#This Row],[LABEL]])</f>
        <v>20</v>
      </c>
      <c r="O755" s="115">
        <v>15</v>
      </c>
      <c r="P755" s="115" t="e">
        <f>ROUND(Tableau16[[#This Row],[LEN]]*#REF!+#REF!,0)</f>
        <v>#REF!</v>
      </c>
    </row>
    <row r="756" spans="1:16" s="97" customFormat="1" x14ac:dyDescent="0.25">
      <c r="A756" s="41" t="s">
        <v>452</v>
      </c>
      <c r="B756" s="42" t="s">
        <v>291</v>
      </c>
      <c r="C756" s="43" t="s">
        <v>165</v>
      </c>
      <c r="D756" s="74" t="s">
        <v>1177</v>
      </c>
      <c r="E756" s="43" t="s">
        <v>669</v>
      </c>
      <c r="F756" s="43" t="s">
        <v>1177</v>
      </c>
      <c r="G756" s="74" t="s">
        <v>68</v>
      </c>
      <c r="H756" s="74" t="s">
        <v>656</v>
      </c>
      <c r="I756" s="43"/>
      <c r="J756" s="44" t="s">
        <v>708</v>
      </c>
      <c r="K756" s="115">
        <f>ROUND(Tableau16[[#This Row],[LEN]]*7.27,0)</f>
        <v>189</v>
      </c>
      <c r="L756" s="115">
        <v>15</v>
      </c>
      <c r="M756" s="132" t="str">
        <f t="shared" si="5"/>
        <v>none</v>
      </c>
      <c r="N756" s="115">
        <f>LEN(Tableau16[[#This Row],[LABEL]])</f>
        <v>26</v>
      </c>
      <c r="O756" s="115">
        <v>15</v>
      </c>
      <c r="P756" s="115" t="e">
        <f>ROUND(Tableau16[[#This Row],[LEN]]*#REF!+#REF!,0)</f>
        <v>#REF!</v>
      </c>
    </row>
    <row r="757" spans="1:16" s="97" customFormat="1" x14ac:dyDescent="0.25">
      <c r="A757" s="41" t="s">
        <v>1619</v>
      </c>
      <c r="B757" s="42" t="s">
        <v>291</v>
      </c>
      <c r="C757" s="43" t="s">
        <v>1618</v>
      </c>
      <c r="D757" s="74" t="s">
        <v>1177</v>
      </c>
      <c r="E757" s="43" t="s">
        <v>669</v>
      </c>
      <c r="F757" s="43" t="s">
        <v>678</v>
      </c>
      <c r="G757" s="74" t="s">
        <v>68</v>
      </c>
      <c r="H757" s="74" t="s">
        <v>656</v>
      </c>
      <c r="I757" s="43"/>
      <c r="J757" s="44" t="s">
        <v>708</v>
      </c>
      <c r="K757" s="115">
        <f>ROUND(Tableau16[[#This Row],[LEN]]*7.27,0)</f>
        <v>225</v>
      </c>
      <c r="L757" s="115">
        <v>15</v>
      </c>
      <c r="M757" s="132" t="str">
        <f t="shared" si="5"/>
        <v>none</v>
      </c>
      <c r="N757" s="115">
        <f>LEN(Tableau16[[#This Row],[LABEL]])</f>
        <v>31</v>
      </c>
      <c r="O757" s="115">
        <v>15</v>
      </c>
      <c r="P757" s="115" t="e">
        <f>ROUND(Tableau16[[#This Row],[LEN]]*#REF!+#REF!,0)</f>
        <v>#REF!</v>
      </c>
    </row>
    <row r="758" spans="1:16" s="273" customFormat="1" x14ac:dyDescent="0.25">
      <c r="A758" s="330" t="s">
        <v>292</v>
      </c>
      <c r="B758" s="331" t="s">
        <v>208</v>
      </c>
      <c r="C758" s="332" t="s">
        <v>7</v>
      </c>
      <c r="D758" s="333" t="s">
        <v>1177</v>
      </c>
      <c r="E758" s="332" t="s">
        <v>670</v>
      </c>
      <c r="F758" s="332" t="s">
        <v>1177</v>
      </c>
      <c r="G758" s="333" t="s">
        <v>68</v>
      </c>
      <c r="H758" s="333" t="str">
        <f>IFERROR(IF(SEARCH(".00.00.00.00.00",Tableau16[[#This Row],[name]],1)=7,"Division",""),"")</f>
        <v>Division</v>
      </c>
      <c r="I758" s="332"/>
      <c r="J758" s="334" t="s">
        <v>708</v>
      </c>
      <c r="K758" s="335">
        <f>ROUND(Tableau16[[#This Row],[LEN]]*7.27,0)</f>
        <v>189</v>
      </c>
      <c r="L758" s="335">
        <v>15</v>
      </c>
      <c r="M758" s="336" t="str">
        <f t="shared" si="5"/>
        <v>none</v>
      </c>
      <c r="N758" s="335">
        <f>LEN(Tableau16[[#This Row],[LABEL]])</f>
        <v>26</v>
      </c>
      <c r="O758" s="335">
        <v>15</v>
      </c>
      <c r="P758" s="335" t="e">
        <f>ROUND(Tableau16[[#This Row],[LEN]]*#REF!+#REF!,0)</f>
        <v>#REF!</v>
      </c>
    </row>
    <row r="759" spans="1:16" s="97" customFormat="1" x14ac:dyDescent="0.25">
      <c r="A759" s="41" t="s">
        <v>1544</v>
      </c>
      <c r="B759" s="42" t="s">
        <v>292</v>
      </c>
      <c r="C759" s="43" t="s">
        <v>1547</v>
      </c>
      <c r="D759" s="74" t="s">
        <v>1177</v>
      </c>
      <c r="E759" s="43" t="s">
        <v>670</v>
      </c>
      <c r="F759" s="43" t="s">
        <v>1177</v>
      </c>
      <c r="G759" s="74" t="s">
        <v>68</v>
      </c>
      <c r="H759" s="74" t="s">
        <v>656</v>
      </c>
      <c r="I759" s="43"/>
      <c r="J759" s="44" t="s">
        <v>708</v>
      </c>
      <c r="K759" s="115">
        <f>ROUND(Tableau16[[#This Row],[LEN]]*7.27,0)</f>
        <v>436</v>
      </c>
      <c r="L759" s="115">
        <v>13</v>
      </c>
      <c r="M759" s="132" t="str">
        <f t="shared" si="5"/>
        <v>none</v>
      </c>
      <c r="N759" s="115">
        <f>LEN(Tableau16[[#This Row],[LABEL]])</f>
        <v>60</v>
      </c>
      <c r="O759" s="115">
        <v>13</v>
      </c>
      <c r="P759" s="115" t="e">
        <f>ROUND(Tableau16[[#This Row],[LEN]]*#REF!+#REF!,0)</f>
        <v>#REF!</v>
      </c>
    </row>
    <row r="760" spans="1:16" s="97" customFormat="1" x14ac:dyDescent="0.25">
      <c r="A760" s="41" t="s">
        <v>1545</v>
      </c>
      <c r="B760" s="42" t="s">
        <v>292</v>
      </c>
      <c r="C760" s="43" t="s">
        <v>1548</v>
      </c>
      <c r="D760" s="74" t="s">
        <v>1177</v>
      </c>
      <c r="E760" s="43" t="s">
        <v>670</v>
      </c>
      <c r="F760" s="43" t="s">
        <v>1177</v>
      </c>
      <c r="G760" s="74" t="s">
        <v>68</v>
      </c>
      <c r="H760" s="74" t="s">
        <v>656</v>
      </c>
      <c r="I760" s="43"/>
      <c r="J760" s="44" t="s">
        <v>708</v>
      </c>
      <c r="K760" s="115">
        <f>ROUND(Tableau16[[#This Row],[LEN]]*7.27,0)</f>
        <v>414</v>
      </c>
      <c r="L760" s="115">
        <v>14</v>
      </c>
      <c r="M760" s="132" t="str">
        <f t="shared" si="5"/>
        <v>none</v>
      </c>
      <c r="N760" s="115">
        <f>LEN(Tableau16[[#This Row],[LABEL]])</f>
        <v>57</v>
      </c>
      <c r="O760" s="115">
        <v>14</v>
      </c>
      <c r="P760" s="115" t="e">
        <f>ROUND(Tableau16[[#This Row],[LEN]]*#REF!+#REF!,0)</f>
        <v>#REF!</v>
      </c>
    </row>
    <row r="761" spans="1:16" s="97" customFormat="1" x14ac:dyDescent="0.25">
      <c r="A761" s="41" t="s">
        <v>1546</v>
      </c>
      <c r="B761" s="42" t="s">
        <v>292</v>
      </c>
      <c r="C761" s="43" t="s">
        <v>122</v>
      </c>
      <c r="D761" s="74" t="s">
        <v>1514</v>
      </c>
      <c r="E761" s="43" t="s">
        <v>667</v>
      </c>
      <c r="F761" s="43" t="s">
        <v>2084</v>
      </c>
      <c r="G761" s="74" t="s">
        <v>68</v>
      </c>
      <c r="H761" s="74" t="s">
        <v>656</v>
      </c>
      <c r="I761" s="43"/>
      <c r="J761" s="44" t="s">
        <v>708</v>
      </c>
      <c r="K761" s="115">
        <f>ROUND(Tableau16[[#This Row],[LEN]]*7.27,0)</f>
        <v>145</v>
      </c>
      <c r="L761" s="115">
        <v>15</v>
      </c>
      <c r="M761" s="132" t="str">
        <f t="shared" si="5"/>
        <v>none</v>
      </c>
      <c r="N761" s="115">
        <f>LEN(Tableau16[[#This Row],[LABEL]])</f>
        <v>20</v>
      </c>
      <c r="O761" s="115">
        <v>15</v>
      </c>
      <c r="P761" s="115" t="e">
        <f>ROUND(Tableau16[[#This Row],[LEN]]*#REF!+#REF!,0)</f>
        <v>#REF!</v>
      </c>
    </row>
    <row r="762" spans="1:16" s="273" customFormat="1" x14ac:dyDescent="0.25">
      <c r="A762" s="330" t="s">
        <v>293</v>
      </c>
      <c r="B762" s="331" t="s">
        <v>208</v>
      </c>
      <c r="C762" s="332" t="s">
        <v>8</v>
      </c>
      <c r="D762" s="333" t="s">
        <v>1177</v>
      </c>
      <c r="E762" s="332" t="s">
        <v>671</v>
      </c>
      <c r="F762" s="332" t="s">
        <v>1177</v>
      </c>
      <c r="G762" s="333" t="s">
        <v>68</v>
      </c>
      <c r="H762" s="333" t="str">
        <f>IFERROR(IF(SEARCH(".00.00.00.00.00",Tableau16[[#This Row],[name]],1)=7,"Division",""),"")</f>
        <v>Division</v>
      </c>
      <c r="I762" s="332"/>
      <c r="J762" s="334" t="s">
        <v>708</v>
      </c>
      <c r="K762" s="335">
        <f>ROUND(Tableau16[[#This Row],[LEN]]*7.27,0)</f>
        <v>116</v>
      </c>
      <c r="L762" s="335">
        <v>15</v>
      </c>
      <c r="M762" s="336" t="str">
        <f t="shared" si="5"/>
        <v>none</v>
      </c>
      <c r="N762" s="335">
        <f>LEN(Tableau16[[#This Row],[LABEL]])</f>
        <v>16</v>
      </c>
      <c r="O762" s="335">
        <v>15</v>
      </c>
      <c r="P762" s="335" t="e">
        <f>ROUND(Tableau16[[#This Row],[LEN]]*#REF!+#REF!,0)</f>
        <v>#REF!</v>
      </c>
    </row>
    <row r="763" spans="1:16" s="97" customFormat="1" x14ac:dyDescent="0.25">
      <c r="A763" s="41" t="s">
        <v>1549</v>
      </c>
      <c r="B763" s="42" t="s">
        <v>293</v>
      </c>
      <c r="C763" s="43" t="s">
        <v>1552</v>
      </c>
      <c r="D763" s="74" t="s">
        <v>1177</v>
      </c>
      <c r="E763" s="43" t="s">
        <v>671</v>
      </c>
      <c r="F763" s="43" t="s">
        <v>1177</v>
      </c>
      <c r="G763" s="74" t="s">
        <v>68</v>
      </c>
      <c r="H763" s="74" t="s">
        <v>654</v>
      </c>
      <c r="I763" s="43"/>
      <c r="J763" s="44" t="s">
        <v>708</v>
      </c>
      <c r="K763" s="115">
        <f>ROUND(Tableau16[[#This Row],[LEN]]*7.27,0)</f>
        <v>291</v>
      </c>
      <c r="L763" s="115">
        <v>13</v>
      </c>
      <c r="M763" s="132" t="str">
        <f t="shared" si="5"/>
        <v>none</v>
      </c>
      <c r="N763" s="115">
        <f>LEN(Tableau16[[#This Row],[LABEL]])</f>
        <v>40</v>
      </c>
      <c r="O763" s="115">
        <v>13</v>
      </c>
      <c r="P763" s="115" t="e">
        <f>ROUND(Tableau16[[#This Row],[LEN]]*#REF!+#REF!,0)</f>
        <v>#REF!</v>
      </c>
    </row>
    <row r="764" spans="1:16" s="97" customFormat="1" x14ac:dyDescent="0.25">
      <c r="A764" s="41" t="s">
        <v>1550</v>
      </c>
      <c r="B764" s="42" t="s">
        <v>293</v>
      </c>
      <c r="C764" s="43" t="s">
        <v>1553</v>
      </c>
      <c r="D764" s="74" t="s">
        <v>1177</v>
      </c>
      <c r="E764" s="43" t="s">
        <v>671</v>
      </c>
      <c r="F764" s="43" t="s">
        <v>1177</v>
      </c>
      <c r="G764" s="74" t="s">
        <v>68</v>
      </c>
      <c r="H764" s="74" t="s">
        <v>656</v>
      </c>
      <c r="I764" s="43"/>
      <c r="J764" s="44" t="s">
        <v>708</v>
      </c>
      <c r="K764" s="115">
        <f>ROUND(Tableau16[[#This Row],[LEN]]*7.27,0)</f>
        <v>305</v>
      </c>
      <c r="L764" s="115">
        <v>14</v>
      </c>
      <c r="M764" s="132" t="str">
        <f t="shared" si="5"/>
        <v>none</v>
      </c>
      <c r="N764" s="115">
        <f>LEN(Tableau16[[#This Row],[LABEL]])</f>
        <v>42</v>
      </c>
      <c r="O764" s="115">
        <v>14</v>
      </c>
      <c r="P764" s="115" t="e">
        <f>ROUND(Tableau16[[#This Row],[LEN]]*#REF!+#REF!,0)</f>
        <v>#REF!</v>
      </c>
    </row>
    <row r="765" spans="1:16" s="97" customFormat="1" x14ac:dyDescent="0.25">
      <c r="A765" s="41" t="s">
        <v>1551</v>
      </c>
      <c r="B765" s="42" t="s">
        <v>293</v>
      </c>
      <c r="C765" s="43" t="s">
        <v>122</v>
      </c>
      <c r="D765" s="74" t="s">
        <v>1514</v>
      </c>
      <c r="E765" s="43" t="s">
        <v>667</v>
      </c>
      <c r="F765" s="43" t="s">
        <v>2084</v>
      </c>
      <c r="G765" s="74" t="s">
        <v>68</v>
      </c>
      <c r="H765" s="74" t="s">
        <v>656</v>
      </c>
      <c r="I765" s="43"/>
      <c r="J765" s="44" t="s">
        <v>708</v>
      </c>
      <c r="K765" s="115">
        <f>ROUND(Tableau16[[#This Row],[LEN]]*7.27,0)</f>
        <v>145</v>
      </c>
      <c r="L765" s="115">
        <v>15</v>
      </c>
      <c r="M765" s="132" t="str">
        <f t="shared" si="5"/>
        <v>none</v>
      </c>
      <c r="N765" s="115">
        <f>LEN(Tableau16[[#This Row],[LABEL]])</f>
        <v>20</v>
      </c>
      <c r="O765" s="115">
        <v>15</v>
      </c>
      <c r="P765" s="115" t="e">
        <f>ROUND(Tableau16[[#This Row],[LEN]]*#REF!+#REF!,0)</f>
        <v>#REF!</v>
      </c>
    </row>
    <row r="766" spans="1:16" s="273" customFormat="1" x14ac:dyDescent="0.25">
      <c r="A766" s="330" t="s">
        <v>294</v>
      </c>
      <c r="B766" s="331" t="s">
        <v>208</v>
      </c>
      <c r="C766" s="332" t="s">
        <v>9</v>
      </c>
      <c r="D766" s="333" t="s">
        <v>1177</v>
      </c>
      <c r="E766" s="332" t="s">
        <v>672</v>
      </c>
      <c r="F766" s="332" t="s">
        <v>1177</v>
      </c>
      <c r="G766" s="333" t="s">
        <v>68</v>
      </c>
      <c r="H766" s="333" t="str">
        <f>IFERROR(IF(SEARCH(".00.00.00.00.00",Tableau16[[#This Row],[name]],1)=7,"Division",""),"")</f>
        <v>Division</v>
      </c>
      <c r="I766" s="332"/>
      <c r="J766" s="334" t="s">
        <v>718</v>
      </c>
      <c r="K766" s="335">
        <f>ROUND(Tableau16[[#This Row],[LEN]]*7.27,0)</f>
        <v>80</v>
      </c>
      <c r="L766" s="335">
        <v>15</v>
      </c>
      <c r="M766" s="336" t="str">
        <f t="shared" si="5"/>
        <v>new</v>
      </c>
      <c r="N766" s="335">
        <f>LEN(Tableau16[[#This Row],[LABEL]])</f>
        <v>11</v>
      </c>
      <c r="O766" s="335">
        <v>15</v>
      </c>
      <c r="P766" s="335" t="e">
        <f>ROUND(Tableau16[[#This Row],[LEN]]*#REF!+#REF!,0)</f>
        <v>#REF!</v>
      </c>
    </row>
    <row r="767" spans="1:16" s="97" customFormat="1" x14ac:dyDescent="0.25">
      <c r="A767" s="41" t="s">
        <v>515</v>
      </c>
      <c r="B767" s="42" t="s">
        <v>294</v>
      </c>
      <c r="C767" s="43" t="s">
        <v>511</v>
      </c>
      <c r="D767" s="74" t="s">
        <v>1177</v>
      </c>
      <c r="E767" s="43" t="s">
        <v>672</v>
      </c>
      <c r="F767" s="43" t="s">
        <v>1177</v>
      </c>
      <c r="G767" s="74" t="s">
        <v>68</v>
      </c>
      <c r="H767" s="74" t="s">
        <v>654</v>
      </c>
      <c r="I767" s="43"/>
      <c r="J767" s="44" t="s">
        <v>708</v>
      </c>
      <c r="K767" s="115">
        <f>ROUND(Tableau16[[#This Row],[LEN]]*7.27,0)</f>
        <v>305</v>
      </c>
      <c r="L767" s="115">
        <v>15</v>
      </c>
      <c r="M767" s="132" t="str">
        <f t="shared" si="5"/>
        <v>none</v>
      </c>
      <c r="N767" s="115">
        <f>LEN(Tableau16[[#This Row],[LABEL]])</f>
        <v>42</v>
      </c>
      <c r="O767" s="115">
        <v>15</v>
      </c>
      <c r="P767" s="115" t="e">
        <f>ROUND(Tableau16[[#This Row],[LEN]]*#REF!+#REF!,0)</f>
        <v>#REF!</v>
      </c>
    </row>
    <row r="768" spans="1:16" s="97" customFormat="1" x14ac:dyDescent="0.25">
      <c r="A768" s="41" t="s">
        <v>516</v>
      </c>
      <c r="B768" s="42" t="s">
        <v>294</v>
      </c>
      <c r="C768" s="43" t="s">
        <v>521</v>
      </c>
      <c r="D768" s="74" t="s">
        <v>1177</v>
      </c>
      <c r="E768" s="43" t="s">
        <v>672</v>
      </c>
      <c r="F768" s="43" t="s">
        <v>1177</v>
      </c>
      <c r="G768" s="74" t="s">
        <v>68</v>
      </c>
      <c r="H768" s="74" t="s">
        <v>655</v>
      </c>
      <c r="I768" s="43"/>
      <c r="J768" s="44" t="s">
        <v>708</v>
      </c>
      <c r="K768" s="115">
        <f>ROUND(Tableau16[[#This Row],[LEN]]*7.27,0)</f>
        <v>138</v>
      </c>
      <c r="L768" s="115">
        <v>15</v>
      </c>
      <c r="M768" s="132" t="str">
        <f t="shared" si="5"/>
        <v>none</v>
      </c>
      <c r="N768" s="115">
        <f>LEN(Tableau16[[#This Row],[LABEL]])</f>
        <v>19</v>
      </c>
      <c r="O768" s="115">
        <v>15</v>
      </c>
      <c r="P768" s="115" t="e">
        <f>ROUND(Tableau16[[#This Row],[LEN]]*#REF!+#REF!,0)</f>
        <v>#REF!</v>
      </c>
    </row>
    <row r="769" spans="1:16" s="97" customFormat="1" x14ac:dyDescent="0.25">
      <c r="A769" s="45" t="s">
        <v>522</v>
      </c>
      <c r="B769" s="46" t="s">
        <v>516</v>
      </c>
      <c r="C769" s="47" t="s">
        <v>536</v>
      </c>
      <c r="D769" s="75" t="s">
        <v>1177</v>
      </c>
      <c r="E769" s="47" t="s">
        <v>672</v>
      </c>
      <c r="F769" s="47" t="s">
        <v>1177</v>
      </c>
      <c r="G769" s="75" t="s">
        <v>68</v>
      </c>
      <c r="H769" s="75" t="s">
        <v>654</v>
      </c>
      <c r="I769" s="47"/>
      <c r="J769" s="48" t="s">
        <v>708</v>
      </c>
      <c r="K769" s="116">
        <f>ROUND(Tableau16[[#This Row],[LEN]]*7.27,0)</f>
        <v>174</v>
      </c>
      <c r="L769" s="116">
        <v>15</v>
      </c>
      <c r="M769" s="133" t="str">
        <f t="shared" si="5"/>
        <v>none</v>
      </c>
      <c r="N769" s="116">
        <f>LEN(Tableau16[[#This Row],[LABEL]])</f>
        <v>24</v>
      </c>
      <c r="O769" s="116">
        <v>15</v>
      </c>
      <c r="P769" s="116" t="e">
        <f>ROUND(Tableau16[[#This Row],[LEN]]*#REF!+#REF!,0)</f>
        <v>#REF!</v>
      </c>
    </row>
    <row r="770" spans="1:16" s="97" customFormat="1" x14ac:dyDescent="0.25">
      <c r="A770" s="45" t="s">
        <v>523</v>
      </c>
      <c r="B770" s="46" t="s">
        <v>516</v>
      </c>
      <c r="C770" s="47" t="s">
        <v>535</v>
      </c>
      <c r="D770" s="75" t="s">
        <v>1177</v>
      </c>
      <c r="E770" s="47" t="s">
        <v>672</v>
      </c>
      <c r="F770" s="47" t="s">
        <v>1177</v>
      </c>
      <c r="G770" s="75" t="s">
        <v>68</v>
      </c>
      <c r="H770" s="75" t="s">
        <v>654</v>
      </c>
      <c r="I770" s="47"/>
      <c r="J770" s="48" t="s">
        <v>708</v>
      </c>
      <c r="K770" s="116">
        <f>ROUND(Tableau16[[#This Row],[LEN]]*7.27,0)</f>
        <v>218</v>
      </c>
      <c r="L770" s="116">
        <v>15</v>
      </c>
      <c r="M770" s="133" t="str">
        <f t="shared" si="5"/>
        <v>none</v>
      </c>
      <c r="N770" s="116">
        <f>LEN(Tableau16[[#This Row],[LABEL]])</f>
        <v>30</v>
      </c>
      <c r="O770" s="116">
        <v>15</v>
      </c>
      <c r="P770" s="116" t="e">
        <f>ROUND(Tableau16[[#This Row],[LEN]]*#REF!+#REF!,0)</f>
        <v>#REF!</v>
      </c>
    </row>
    <row r="771" spans="1:16" s="97" customFormat="1" x14ac:dyDescent="0.25">
      <c r="A771" s="45" t="s">
        <v>524</v>
      </c>
      <c r="B771" s="46" t="s">
        <v>516</v>
      </c>
      <c r="C771" s="47" t="s">
        <v>530</v>
      </c>
      <c r="D771" s="75" t="s">
        <v>1177</v>
      </c>
      <c r="E771" s="47" t="s">
        <v>672</v>
      </c>
      <c r="F771" s="47" t="s">
        <v>1177</v>
      </c>
      <c r="G771" s="75" t="s">
        <v>68</v>
      </c>
      <c r="H771" s="75" t="s">
        <v>656</v>
      </c>
      <c r="I771" s="47"/>
      <c r="J771" s="48" t="s">
        <v>708</v>
      </c>
      <c r="K771" s="116">
        <f>ROUND(Tableau16[[#This Row],[LEN]]*7.27,0)</f>
        <v>327</v>
      </c>
      <c r="L771" s="116">
        <v>15</v>
      </c>
      <c r="M771" s="133" t="str">
        <f t="shared" si="5"/>
        <v>none</v>
      </c>
      <c r="N771" s="116">
        <f>LEN(Tableau16[[#This Row],[LABEL]])</f>
        <v>45</v>
      </c>
      <c r="O771" s="116">
        <v>15</v>
      </c>
      <c r="P771" s="116" t="e">
        <f>ROUND(Tableau16[[#This Row],[LEN]]*#REF!+#REF!,0)</f>
        <v>#REF!</v>
      </c>
    </row>
    <row r="772" spans="1:16" s="97" customFormat="1" x14ac:dyDescent="0.25">
      <c r="A772" s="45" t="s">
        <v>525</v>
      </c>
      <c r="B772" s="46" t="s">
        <v>516</v>
      </c>
      <c r="C772" s="47" t="s">
        <v>531</v>
      </c>
      <c r="D772" s="75" t="s">
        <v>1177</v>
      </c>
      <c r="E772" s="47" t="s">
        <v>672</v>
      </c>
      <c r="F772" s="47" t="s">
        <v>1177</v>
      </c>
      <c r="G772" s="75" t="s">
        <v>68</v>
      </c>
      <c r="H772" s="75" t="s">
        <v>654</v>
      </c>
      <c r="I772" s="47"/>
      <c r="J772" s="48" t="s">
        <v>708</v>
      </c>
      <c r="K772" s="116">
        <f>ROUND(Tableau16[[#This Row],[LEN]]*7.27,0)</f>
        <v>400</v>
      </c>
      <c r="L772" s="116">
        <v>15</v>
      </c>
      <c r="M772" s="133" t="str">
        <f t="shared" si="5"/>
        <v>none</v>
      </c>
      <c r="N772" s="116">
        <f>LEN(Tableau16[[#This Row],[LABEL]])</f>
        <v>55</v>
      </c>
      <c r="O772" s="116">
        <v>15</v>
      </c>
      <c r="P772" s="116" t="e">
        <f>ROUND(Tableau16[[#This Row],[LEN]]*#REF!+#REF!,0)</f>
        <v>#REF!</v>
      </c>
    </row>
    <row r="773" spans="1:16" s="97" customFormat="1" x14ac:dyDescent="0.25">
      <c r="A773" s="45" t="s">
        <v>526</v>
      </c>
      <c r="B773" s="46" t="s">
        <v>516</v>
      </c>
      <c r="C773" s="47" t="s">
        <v>532</v>
      </c>
      <c r="D773" s="75" t="s">
        <v>1177</v>
      </c>
      <c r="E773" s="47" t="s">
        <v>672</v>
      </c>
      <c r="F773" s="47" t="s">
        <v>1177</v>
      </c>
      <c r="G773" s="75" t="s">
        <v>68</v>
      </c>
      <c r="H773" s="75" t="s">
        <v>18</v>
      </c>
      <c r="I773" s="47"/>
      <c r="J773" s="48" t="s">
        <v>708</v>
      </c>
      <c r="K773" s="116">
        <f>ROUND(Tableau16[[#This Row],[LEN]]*7.27,0)</f>
        <v>589</v>
      </c>
      <c r="L773" s="116">
        <v>15</v>
      </c>
      <c r="M773" s="133" t="str">
        <f t="shared" si="5"/>
        <v>none</v>
      </c>
      <c r="N773" s="116">
        <f>LEN(Tableau16[[#This Row],[LABEL]])</f>
        <v>81</v>
      </c>
      <c r="O773" s="116">
        <v>15</v>
      </c>
      <c r="P773" s="116" t="e">
        <f>ROUND(Tableau16[[#This Row],[LEN]]*#REF!+#REF!,0)</f>
        <v>#REF!</v>
      </c>
    </row>
    <row r="774" spans="1:16" s="97" customFormat="1" x14ac:dyDescent="0.25">
      <c r="A774" s="45" t="s">
        <v>527</v>
      </c>
      <c r="B774" s="46" t="s">
        <v>516</v>
      </c>
      <c r="C774" s="47" t="s">
        <v>533</v>
      </c>
      <c r="D774" s="75" t="s">
        <v>1177</v>
      </c>
      <c r="E774" s="47" t="s">
        <v>672</v>
      </c>
      <c r="F774" s="47" t="s">
        <v>1177</v>
      </c>
      <c r="G774" s="75" t="s">
        <v>68</v>
      </c>
      <c r="H774" s="75" t="s">
        <v>654</v>
      </c>
      <c r="I774" s="47"/>
      <c r="J774" s="48" t="s">
        <v>708</v>
      </c>
      <c r="K774" s="116">
        <f>ROUND(Tableau16[[#This Row],[LEN]]*7.27,0)</f>
        <v>400</v>
      </c>
      <c r="L774" s="116">
        <v>15</v>
      </c>
      <c r="M774" s="133" t="str">
        <f t="shared" si="5"/>
        <v>none</v>
      </c>
      <c r="N774" s="116">
        <f>LEN(Tableau16[[#This Row],[LABEL]])</f>
        <v>55</v>
      </c>
      <c r="O774" s="116">
        <v>15</v>
      </c>
      <c r="P774" s="116" t="e">
        <f>ROUND(Tableau16[[#This Row],[LEN]]*#REF!+#REF!,0)</f>
        <v>#REF!</v>
      </c>
    </row>
    <row r="775" spans="1:16" s="97" customFormat="1" x14ac:dyDescent="0.25">
      <c r="A775" s="45" t="s">
        <v>528</v>
      </c>
      <c r="B775" s="46" t="s">
        <v>516</v>
      </c>
      <c r="C775" s="47" t="s">
        <v>534</v>
      </c>
      <c r="D775" s="75" t="s">
        <v>1177</v>
      </c>
      <c r="E775" s="47" t="s">
        <v>672</v>
      </c>
      <c r="F775" s="47" t="s">
        <v>1177</v>
      </c>
      <c r="G775" s="75" t="s">
        <v>68</v>
      </c>
      <c r="H775" s="75" t="s">
        <v>656</v>
      </c>
      <c r="I775" s="47"/>
      <c r="J775" s="48" t="s">
        <v>708</v>
      </c>
      <c r="K775" s="116">
        <f>ROUND(Tableau16[[#This Row],[LEN]]*7.27,0)</f>
        <v>356</v>
      </c>
      <c r="L775" s="116">
        <v>15</v>
      </c>
      <c r="M775" s="133" t="str">
        <f t="shared" si="5"/>
        <v>none</v>
      </c>
      <c r="N775" s="116">
        <f>LEN(Tableau16[[#This Row],[LABEL]])</f>
        <v>49</v>
      </c>
      <c r="O775" s="116">
        <v>15</v>
      </c>
      <c r="P775" s="116" t="e">
        <f>ROUND(Tableau16[[#This Row],[LEN]]*#REF!+#REF!,0)</f>
        <v>#REF!</v>
      </c>
    </row>
    <row r="776" spans="1:16" s="97" customFormat="1" x14ac:dyDescent="0.25">
      <c r="A776" s="45" t="s">
        <v>529</v>
      </c>
      <c r="B776" s="46" t="s">
        <v>516</v>
      </c>
      <c r="C776" s="47" t="s">
        <v>537</v>
      </c>
      <c r="D776" s="75" t="s">
        <v>1177</v>
      </c>
      <c r="E776" s="47" t="s">
        <v>672</v>
      </c>
      <c r="F776" s="47" t="s">
        <v>1177</v>
      </c>
      <c r="G776" s="75" t="s">
        <v>68</v>
      </c>
      <c r="H776" s="75" t="s">
        <v>654</v>
      </c>
      <c r="I776" s="47"/>
      <c r="J776" s="48" t="s">
        <v>708</v>
      </c>
      <c r="K776" s="116">
        <f>ROUND(Tableau16[[#This Row],[LEN]]*7.27,0)</f>
        <v>225</v>
      </c>
      <c r="L776" s="116">
        <v>15</v>
      </c>
      <c r="M776" s="133" t="str">
        <f t="shared" si="5"/>
        <v>none</v>
      </c>
      <c r="N776" s="116">
        <f>LEN(Tableau16[[#This Row],[LABEL]])</f>
        <v>31</v>
      </c>
      <c r="O776" s="116">
        <v>15</v>
      </c>
      <c r="P776" s="116" t="e">
        <f>ROUND(Tableau16[[#This Row],[LEN]]*#REF!+#REF!,0)</f>
        <v>#REF!</v>
      </c>
    </row>
    <row r="777" spans="1:16" s="97" customFormat="1" x14ac:dyDescent="0.25">
      <c r="A777" s="41" t="s">
        <v>517</v>
      </c>
      <c r="B777" s="42" t="s">
        <v>294</v>
      </c>
      <c r="C777" s="43" t="s">
        <v>512</v>
      </c>
      <c r="D777" s="74" t="s">
        <v>1177</v>
      </c>
      <c r="E777" s="43" t="s">
        <v>667</v>
      </c>
      <c r="F777" s="43" t="s">
        <v>672</v>
      </c>
      <c r="G777" s="74" t="s">
        <v>68</v>
      </c>
      <c r="H777" s="74" t="s">
        <v>654</v>
      </c>
      <c r="I777" s="43"/>
      <c r="J777" s="44" t="s">
        <v>708</v>
      </c>
      <c r="K777" s="115">
        <f>ROUND(Tableau16[[#This Row],[LEN]]*7.27,0)</f>
        <v>80</v>
      </c>
      <c r="L777" s="115">
        <v>15</v>
      </c>
      <c r="M777" s="132" t="str">
        <f t="shared" si="5"/>
        <v>none</v>
      </c>
      <c r="N777" s="115">
        <f>LEN(Tableau16[[#This Row],[LABEL]])</f>
        <v>11</v>
      </c>
      <c r="O777" s="115">
        <v>15</v>
      </c>
      <c r="P777" s="115" t="e">
        <f>ROUND(Tableau16[[#This Row],[LEN]]*#REF!+#REF!,0)</f>
        <v>#REF!</v>
      </c>
    </row>
    <row r="778" spans="1:16" s="97" customFormat="1" x14ac:dyDescent="0.25">
      <c r="A778" s="41" t="s">
        <v>518</v>
      </c>
      <c r="B778" s="42" t="s">
        <v>294</v>
      </c>
      <c r="C778" s="43" t="s">
        <v>513</v>
      </c>
      <c r="D778" s="74" t="s">
        <v>1177</v>
      </c>
      <c r="E778" s="43" t="s">
        <v>672</v>
      </c>
      <c r="F778" s="43" t="s">
        <v>1177</v>
      </c>
      <c r="G778" s="74" t="s">
        <v>68</v>
      </c>
      <c r="H778" s="74" t="s">
        <v>654</v>
      </c>
      <c r="I778" s="43"/>
      <c r="J778" s="44" t="s">
        <v>708</v>
      </c>
      <c r="K778" s="115">
        <f>ROUND(Tableau16[[#This Row],[LEN]]*7.27,0)</f>
        <v>378</v>
      </c>
      <c r="L778" s="115">
        <v>15</v>
      </c>
      <c r="M778" s="132" t="str">
        <f t="shared" si="5"/>
        <v>none</v>
      </c>
      <c r="N778" s="115">
        <f>LEN(Tableau16[[#This Row],[LABEL]])</f>
        <v>52</v>
      </c>
      <c r="O778" s="115">
        <v>15</v>
      </c>
      <c r="P778" s="115" t="e">
        <f>ROUND(Tableau16[[#This Row],[LEN]]*#REF!+#REF!,0)</f>
        <v>#REF!</v>
      </c>
    </row>
    <row r="779" spans="1:16" s="97" customFormat="1" x14ac:dyDescent="0.25">
      <c r="A779" s="41" t="s">
        <v>519</v>
      </c>
      <c r="B779" s="42" t="s">
        <v>294</v>
      </c>
      <c r="C779" s="43" t="s">
        <v>514</v>
      </c>
      <c r="D779" s="74" t="s">
        <v>1177</v>
      </c>
      <c r="E779" s="43" t="s">
        <v>672</v>
      </c>
      <c r="F779" s="43" t="s">
        <v>1177</v>
      </c>
      <c r="G779" s="74" t="s">
        <v>68</v>
      </c>
      <c r="H779" s="74" t="s">
        <v>656</v>
      </c>
      <c r="I779" s="43"/>
      <c r="J779" s="44" t="s">
        <v>708</v>
      </c>
      <c r="K779" s="115">
        <f>ROUND(Tableau16[[#This Row],[LEN]]*7.27,0)</f>
        <v>334</v>
      </c>
      <c r="L779" s="115">
        <v>15</v>
      </c>
      <c r="M779" s="132" t="str">
        <f t="shared" si="5"/>
        <v>none</v>
      </c>
      <c r="N779" s="115">
        <f>LEN(Tableau16[[#This Row],[LABEL]])</f>
        <v>46</v>
      </c>
      <c r="O779" s="115">
        <v>15</v>
      </c>
      <c r="P779" s="115" t="e">
        <f>ROUND(Tableau16[[#This Row],[LEN]]*#REF!+#REF!,0)</f>
        <v>#REF!</v>
      </c>
    </row>
    <row r="780" spans="1:16" s="97" customFormat="1" x14ac:dyDescent="0.25">
      <c r="A780" s="41" t="s">
        <v>520</v>
      </c>
      <c r="B780" s="42" t="s">
        <v>294</v>
      </c>
      <c r="C780" s="43" t="s">
        <v>1529</v>
      </c>
      <c r="D780" s="74" t="s">
        <v>1177</v>
      </c>
      <c r="E780" s="43" t="s">
        <v>672</v>
      </c>
      <c r="F780" s="43" t="s">
        <v>666</v>
      </c>
      <c r="G780" s="74" t="s">
        <v>68</v>
      </c>
      <c r="H780" s="74" t="s">
        <v>656</v>
      </c>
      <c r="I780" s="43"/>
      <c r="J780" s="44" t="s">
        <v>708</v>
      </c>
      <c r="K780" s="115">
        <f>ROUND(Tableau16[[#This Row],[LEN]]*7.27,0)</f>
        <v>218</v>
      </c>
      <c r="L780" s="115">
        <v>15</v>
      </c>
      <c r="M780" s="132" t="str">
        <f t="shared" si="5"/>
        <v>none</v>
      </c>
      <c r="N780" s="115">
        <f>LEN(Tableau16[[#This Row],[LABEL]])</f>
        <v>30</v>
      </c>
      <c r="O780" s="115">
        <v>15</v>
      </c>
      <c r="P780" s="115" t="e">
        <f>ROUND(Tableau16[[#This Row],[LEN]]*#REF!+#REF!,0)</f>
        <v>#REF!</v>
      </c>
    </row>
    <row r="781" spans="1:16" s="273" customFormat="1" x14ac:dyDescent="0.25">
      <c r="A781" s="330" t="s">
        <v>295</v>
      </c>
      <c r="B781" s="331" t="s">
        <v>208</v>
      </c>
      <c r="C781" s="332" t="s">
        <v>10</v>
      </c>
      <c r="D781" s="333" t="s">
        <v>1177</v>
      </c>
      <c r="E781" s="332" t="s">
        <v>673</v>
      </c>
      <c r="F781" s="332" t="s">
        <v>1177</v>
      </c>
      <c r="G781" s="333" t="s">
        <v>68</v>
      </c>
      <c r="H781" s="333" t="str">
        <f>IFERROR(IF(SEARCH(".00.00.00.00.00",Tableau16[[#This Row],[name]],1)=7,"Division",""),"")</f>
        <v>Division</v>
      </c>
      <c r="I781" s="332"/>
      <c r="J781" s="334" t="s">
        <v>719</v>
      </c>
      <c r="K781" s="335">
        <f>ROUND(Tableau16[[#This Row],[LEN]]*7.27,0)</f>
        <v>109</v>
      </c>
      <c r="L781" s="335">
        <v>15</v>
      </c>
      <c r="M781" s="336" t="str">
        <f t="shared" si="5"/>
        <v>new</v>
      </c>
      <c r="N781" s="335">
        <f>LEN(Tableau16[[#This Row],[LABEL]])</f>
        <v>15</v>
      </c>
      <c r="O781" s="335">
        <v>15</v>
      </c>
      <c r="P781" s="335" t="e">
        <f>ROUND(Tableau16[[#This Row],[LEN]]*#REF!+#REF!,0)</f>
        <v>#REF!</v>
      </c>
    </row>
    <row r="782" spans="1:16" s="97" customFormat="1" x14ac:dyDescent="0.25">
      <c r="A782" s="41" t="s">
        <v>1554</v>
      </c>
      <c r="B782" s="42" t="s">
        <v>295</v>
      </c>
      <c r="C782" s="43" t="s">
        <v>849</v>
      </c>
      <c r="D782" s="74" t="s">
        <v>1177</v>
      </c>
      <c r="E782" s="43" t="s">
        <v>667</v>
      </c>
      <c r="F782" s="43" t="s">
        <v>840</v>
      </c>
      <c r="G782" s="74" t="s">
        <v>68</v>
      </c>
      <c r="H782" s="74" t="s">
        <v>655</v>
      </c>
      <c r="I782" s="43"/>
      <c r="J782" s="44" t="s">
        <v>708</v>
      </c>
      <c r="K782" s="115">
        <f>ROUND(Tableau16[[#This Row],[LEN]]*7.27,0)</f>
        <v>80</v>
      </c>
      <c r="L782" s="115">
        <v>15</v>
      </c>
      <c r="M782" s="132" t="str">
        <f t="shared" si="5"/>
        <v>none</v>
      </c>
      <c r="N782" s="115">
        <f>LEN(Tableau16[[#This Row],[LABEL]])</f>
        <v>11</v>
      </c>
      <c r="O782" s="115">
        <v>15</v>
      </c>
      <c r="P782" s="115" t="e">
        <f>ROUND(Tableau16[[#This Row],[LEN]]*#REF!+#REF!,0)</f>
        <v>#REF!</v>
      </c>
    </row>
    <row r="783" spans="1:16" s="97" customFormat="1" x14ac:dyDescent="0.25">
      <c r="A783" s="45" t="s">
        <v>1557</v>
      </c>
      <c r="B783" s="46" t="s">
        <v>1554</v>
      </c>
      <c r="C783" s="47" t="s">
        <v>112</v>
      </c>
      <c r="D783" s="75" t="s">
        <v>1177</v>
      </c>
      <c r="E783" s="47" t="s">
        <v>667</v>
      </c>
      <c r="F783" s="47" t="s">
        <v>2006</v>
      </c>
      <c r="G783" s="75" t="s">
        <v>68</v>
      </c>
      <c r="H783" s="75" t="s">
        <v>654</v>
      </c>
      <c r="I783" s="47"/>
      <c r="J783" s="48" t="s">
        <v>708</v>
      </c>
      <c r="K783" s="116">
        <f>ROUND(Tableau16[[#This Row],[LEN]]*7.27,0)</f>
        <v>167</v>
      </c>
      <c r="L783" s="116">
        <v>15</v>
      </c>
      <c r="M783" s="133" t="str">
        <f t="shared" si="5"/>
        <v>none</v>
      </c>
      <c r="N783" s="116">
        <f>LEN(Tableau16[[#This Row],[LABEL]])</f>
        <v>23</v>
      </c>
      <c r="O783" s="116">
        <v>15</v>
      </c>
      <c r="P783" s="116" t="e">
        <f>ROUND(Tableau16[[#This Row],[LEN]]*#REF!+#REF!,0)</f>
        <v>#REF!</v>
      </c>
    </row>
    <row r="784" spans="1:16" s="97" customFormat="1" x14ac:dyDescent="0.25">
      <c r="A784" s="45" t="s">
        <v>1558</v>
      </c>
      <c r="B784" s="46" t="s">
        <v>1554</v>
      </c>
      <c r="C784" s="47" t="s">
        <v>113</v>
      </c>
      <c r="D784" s="75" t="s">
        <v>1177</v>
      </c>
      <c r="E784" s="47" t="s">
        <v>667</v>
      </c>
      <c r="F784" s="47" t="s">
        <v>2006</v>
      </c>
      <c r="G784" s="75" t="s">
        <v>68</v>
      </c>
      <c r="H784" s="75" t="s">
        <v>654</v>
      </c>
      <c r="I784" s="47"/>
      <c r="J784" s="48" t="s">
        <v>708</v>
      </c>
      <c r="K784" s="116">
        <f>ROUND(Tableau16[[#This Row],[LEN]]*7.27,0)</f>
        <v>233</v>
      </c>
      <c r="L784" s="116">
        <v>15</v>
      </c>
      <c r="M784" s="133" t="str">
        <f t="shared" si="5"/>
        <v>none</v>
      </c>
      <c r="N784" s="116">
        <f>LEN(Tableau16[[#This Row],[LABEL]])</f>
        <v>32</v>
      </c>
      <c r="O784" s="116">
        <v>15</v>
      </c>
      <c r="P784" s="116" t="e">
        <f>ROUND(Tableau16[[#This Row],[LEN]]*#REF!+#REF!,0)</f>
        <v>#REF!</v>
      </c>
    </row>
    <row r="785" spans="1:16" s="97" customFormat="1" x14ac:dyDescent="0.25">
      <c r="A785" s="41" t="s">
        <v>1555</v>
      </c>
      <c r="B785" s="42" t="s">
        <v>295</v>
      </c>
      <c r="C785" s="43" t="s">
        <v>1559</v>
      </c>
      <c r="D785" s="74" t="s">
        <v>1177</v>
      </c>
      <c r="E785" s="43" t="s">
        <v>673</v>
      </c>
      <c r="F785" s="43" t="s">
        <v>1177</v>
      </c>
      <c r="G785" s="74" t="s">
        <v>68</v>
      </c>
      <c r="H785" s="74" t="s">
        <v>654</v>
      </c>
      <c r="I785" s="43"/>
      <c r="J785" s="44" t="s">
        <v>708</v>
      </c>
      <c r="K785" s="115">
        <f>ROUND(Tableau16[[#This Row],[LEN]]*7.27,0)</f>
        <v>473</v>
      </c>
      <c r="L785" s="115">
        <v>15</v>
      </c>
      <c r="M785" s="132" t="str">
        <f t="shared" si="5"/>
        <v>none</v>
      </c>
      <c r="N785" s="115">
        <f>LEN(Tableau16[[#This Row],[LABEL]])</f>
        <v>65</v>
      </c>
      <c r="O785" s="115">
        <v>15</v>
      </c>
      <c r="P785" s="115" t="e">
        <f>ROUND(Tableau16[[#This Row],[LEN]]*#REF!+#REF!,0)</f>
        <v>#REF!</v>
      </c>
    </row>
    <row r="786" spans="1:16" s="97" customFormat="1" x14ac:dyDescent="0.25">
      <c r="A786" s="41" t="s">
        <v>1556</v>
      </c>
      <c r="B786" s="42" t="s">
        <v>295</v>
      </c>
      <c r="C786" s="43" t="s">
        <v>1560</v>
      </c>
      <c r="D786" s="74" t="s">
        <v>1177</v>
      </c>
      <c r="E786" s="43" t="s">
        <v>673</v>
      </c>
      <c r="F786" s="43" t="s">
        <v>1177</v>
      </c>
      <c r="G786" s="74" t="s">
        <v>68</v>
      </c>
      <c r="H786" s="74" t="s">
        <v>654</v>
      </c>
      <c r="I786" s="43"/>
      <c r="J786" s="44" t="s">
        <v>708</v>
      </c>
      <c r="K786" s="115">
        <f>ROUND(Tableau16[[#This Row],[LEN]]*7.27,0)</f>
        <v>225</v>
      </c>
      <c r="L786" s="115">
        <v>15</v>
      </c>
      <c r="M786" s="132" t="str">
        <f t="shared" si="5"/>
        <v>none</v>
      </c>
      <c r="N786" s="115">
        <f>LEN(Tableau16[[#This Row],[LABEL]])</f>
        <v>31</v>
      </c>
      <c r="O786" s="115">
        <v>15</v>
      </c>
      <c r="P786" s="115" t="e">
        <f>ROUND(Tableau16[[#This Row],[LEN]]*#REF!+#REF!,0)</f>
        <v>#REF!</v>
      </c>
    </row>
    <row r="787" spans="1:16" s="273" customFormat="1" x14ac:dyDescent="0.25">
      <c r="A787" s="330" t="s">
        <v>296</v>
      </c>
      <c r="B787" s="331" t="s">
        <v>208</v>
      </c>
      <c r="C787" s="332" t="s">
        <v>11</v>
      </c>
      <c r="D787" s="333" t="s">
        <v>1177</v>
      </c>
      <c r="E787" s="332" t="s">
        <v>674</v>
      </c>
      <c r="F787" s="332" t="s">
        <v>1177</v>
      </c>
      <c r="G787" s="333" t="s">
        <v>68</v>
      </c>
      <c r="H787" s="333" t="str">
        <f>IFERROR(IF(SEARCH(".00.00.00.00.00",Tableau16[[#This Row],[name]],1)=7,"Division",""),"")</f>
        <v>Division</v>
      </c>
      <c r="I787" s="332"/>
      <c r="J787" s="334" t="s">
        <v>720</v>
      </c>
      <c r="K787" s="335">
        <f>ROUND(Tableau16[[#This Row],[LEN]]*7.27,0)</f>
        <v>51</v>
      </c>
      <c r="L787" s="335">
        <v>15</v>
      </c>
      <c r="M787" s="336" t="str">
        <f t="shared" si="5"/>
        <v>new</v>
      </c>
      <c r="N787" s="335">
        <f>LEN(Tableau16[[#This Row],[LABEL]])</f>
        <v>7</v>
      </c>
      <c r="O787" s="335">
        <v>15</v>
      </c>
      <c r="P787" s="335" t="e">
        <f>ROUND(Tableau16[[#This Row],[LEN]]*#REF!+#REF!,0)</f>
        <v>#REF!</v>
      </c>
    </row>
    <row r="788" spans="1:16" s="97" customFormat="1" x14ac:dyDescent="0.25">
      <c r="A788" s="41" t="s">
        <v>1561</v>
      </c>
      <c r="B788" s="42" t="s">
        <v>296</v>
      </c>
      <c r="C788" s="43" t="s">
        <v>1564</v>
      </c>
      <c r="D788" s="74" t="s">
        <v>1177</v>
      </c>
      <c r="E788" s="43" t="s">
        <v>674</v>
      </c>
      <c r="F788" s="43" t="s">
        <v>1177</v>
      </c>
      <c r="G788" s="74" t="s">
        <v>68</v>
      </c>
      <c r="H788" s="74" t="s">
        <v>656</v>
      </c>
      <c r="I788" s="43"/>
      <c r="J788" s="44" t="s">
        <v>708</v>
      </c>
      <c r="K788" s="115">
        <f>ROUND(Tableau16[[#This Row],[LEN]]*7.27,0)</f>
        <v>218</v>
      </c>
      <c r="L788" s="115">
        <v>15</v>
      </c>
      <c r="M788" s="132" t="str">
        <f t="shared" si="5"/>
        <v>none</v>
      </c>
      <c r="N788" s="115">
        <f>LEN(Tableau16[[#This Row],[LABEL]])</f>
        <v>30</v>
      </c>
      <c r="O788" s="115">
        <v>15</v>
      </c>
      <c r="P788" s="115" t="e">
        <f>ROUND(Tableau16[[#This Row],[LEN]]*#REF!+#REF!,0)</f>
        <v>#REF!</v>
      </c>
    </row>
    <row r="789" spans="1:16" s="97" customFormat="1" x14ac:dyDescent="0.25">
      <c r="A789" s="41" t="s">
        <v>1562</v>
      </c>
      <c r="B789" s="42" t="s">
        <v>296</v>
      </c>
      <c r="C789" s="43" t="s">
        <v>1565</v>
      </c>
      <c r="D789" s="74" t="s">
        <v>1566</v>
      </c>
      <c r="E789" s="43" t="s">
        <v>674</v>
      </c>
      <c r="F789" s="43" t="s">
        <v>1177</v>
      </c>
      <c r="G789" s="74" t="s">
        <v>68</v>
      </c>
      <c r="H789" s="74" t="s">
        <v>656</v>
      </c>
      <c r="I789" s="43"/>
      <c r="J789" s="44" t="s">
        <v>708</v>
      </c>
      <c r="K789" s="115">
        <f>ROUND(Tableau16[[#This Row],[LEN]]*7.27,0)</f>
        <v>211</v>
      </c>
      <c r="L789" s="115">
        <v>15</v>
      </c>
      <c r="M789" s="132" t="str">
        <f t="shared" si="5"/>
        <v>none</v>
      </c>
      <c r="N789" s="115">
        <f>LEN(Tableau16[[#This Row],[LABEL]])</f>
        <v>29</v>
      </c>
      <c r="O789" s="115">
        <v>15</v>
      </c>
      <c r="P789" s="115" t="e">
        <f>ROUND(Tableau16[[#This Row],[LEN]]*#REF!+#REF!,0)</f>
        <v>#REF!</v>
      </c>
    </row>
    <row r="790" spans="1:16" s="97" customFormat="1" x14ac:dyDescent="0.25">
      <c r="A790" s="41" t="s">
        <v>1563</v>
      </c>
      <c r="B790" s="42" t="s">
        <v>296</v>
      </c>
      <c r="C790" s="43" t="s">
        <v>849</v>
      </c>
      <c r="D790" s="74" t="s">
        <v>1177</v>
      </c>
      <c r="E790" s="43" t="s">
        <v>667</v>
      </c>
      <c r="F790" s="43" t="s">
        <v>840</v>
      </c>
      <c r="G790" s="74" t="s">
        <v>68</v>
      </c>
      <c r="H790" s="74" t="s">
        <v>655</v>
      </c>
      <c r="I790" s="43"/>
      <c r="J790" s="44" t="s">
        <v>708</v>
      </c>
      <c r="K790" s="115">
        <f>ROUND(Tableau16[[#This Row],[LEN]]*7.27,0)</f>
        <v>80</v>
      </c>
      <c r="L790" s="115">
        <v>15</v>
      </c>
      <c r="M790" s="132" t="str">
        <f t="shared" si="5"/>
        <v>none</v>
      </c>
      <c r="N790" s="115">
        <f>LEN(Tableau16[[#This Row],[LABEL]])</f>
        <v>11</v>
      </c>
      <c r="O790" s="115">
        <v>15</v>
      </c>
      <c r="P790" s="115" t="e">
        <f>ROUND(Tableau16[[#This Row],[LEN]]*#REF!+#REF!,0)</f>
        <v>#REF!</v>
      </c>
    </row>
    <row r="791" spans="1:16" s="97" customFormat="1" x14ac:dyDescent="0.25">
      <c r="A791" s="45" t="s">
        <v>1567</v>
      </c>
      <c r="B791" s="46" t="s">
        <v>1563</v>
      </c>
      <c r="C791" s="47" t="s">
        <v>112</v>
      </c>
      <c r="D791" s="75" t="s">
        <v>1177</v>
      </c>
      <c r="E791" s="47" t="s">
        <v>667</v>
      </c>
      <c r="F791" s="47" t="s">
        <v>2006</v>
      </c>
      <c r="G791" s="75" t="s">
        <v>68</v>
      </c>
      <c r="H791" s="75" t="s">
        <v>654</v>
      </c>
      <c r="I791" s="47"/>
      <c r="J791" s="48" t="s">
        <v>708</v>
      </c>
      <c r="K791" s="116">
        <f>ROUND(Tableau16[[#This Row],[LEN]]*7.27,0)</f>
        <v>167</v>
      </c>
      <c r="L791" s="116">
        <v>15</v>
      </c>
      <c r="M791" s="133" t="str">
        <f t="shared" si="5"/>
        <v>none</v>
      </c>
      <c r="N791" s="116">
        <f>LEN(Tableau16[[#This Row],[LABEL]])</f>
        <v>23</v>
      </c>
      <c r="O791" s="116">
        <v>15</v>
      </c>
      <c r="P791" s="116" t="e">
        <f>ROUND(Tableau16[[#This Row],[LEN]]*#REF!+#REF!,0)</f>
        <v>#REF!</v>
      </c>
    </row>
    <row r="792" spans="1:16" s="97" customFormat="1" x14ac:dyDescent="0.25">
      <c r="A792" s="45" t="s">
        <v>1568</v>
      </c>
      <c r="B792" s="46" t="s">
        <v>1563</v>
      </c>
      <c r="C792" s="47" t="s">
        <v>113</v>
      </c>
      <c r="D792" s="75" t="s">
        <v>1177</v>
      </c>
      <c r="E792" s="47" t="s">
        <v>667</v>
      </c>
      <c r="F792" s="47" t="s">
        <v>2006</v>
      </c>
      <c r="G792" s="75" t="s">
        <v>68</v>
      </c>
      <c r="H792" s="75" t="s">
        <v>654</v>
      </c>
      <c r="I792" s="47"/>
      <c r="J792" s="48" t="s">
        <v>708</v>
      </c>
      <c r="K792" s="116">
        <f>ROUND(Tableau16[[#This Row],[LEN]]*7.27,0)</f>
        <v>233</v>
      </c>
      <c r="L792" s="116">
        <v>15</v>
      </c>
      <c r="M792" s="133" t="str">
        <f t="shared" si="5"/>
        <v>none</v>
      </c>
      <c r="N792" s="116">
        <f>LEN(Tableau16[[#This Row],[LABEL]])</f>
        <v>32</v>
      </c>
      <c r="O792" s="116">
        <v>15</v>
      </c>
      <c r="P792" s="116" t="e">
        <f>ROUND(Tableau16[[#This Row],[LEN]]*#REF!+#REF!,0)</f>
        <v>#REF!</v>
      </c>
    </row>
    <row r="793" spans="1:16" s="273" customFormat="1" x14ac:dyDescent="0.25">
      <c r="A793" s="330" t="s">
        <v>297</v>
      </c>
      <c r="B793" s="331" t="s">
        <v>208</v>
      </c>
      <c r="C793" s="332" t="s">
        <v>12</v>
      </c>
      <c r="D793" s="333" t="s">
        <v>1177</v>
      </c>
      <c r="E793" s="332" t="s">
        <v>675</v>
      </c>
      <c r="F793" s="332" t="s">
        <v>1177</v>
      </c>
      <c r="G793" s="333" t="s">
        <v>68</v>
      </c>
      <c r="H793" s="333" t="str">
        <f>IFERROR(IF(SEARCH(".00.00.00.00.00",Tableau16[[#This Row],[name]],1)=7,"Division",""),"")</f>
        <v>Division</v>
      </c>
      <c r="I793" s="332"/>
      <c r="J793" s="334" t="s">
        <v>721</v>
      </c>
      <c r="K793" s="335">
        <f>ROUND(Tableau16[[#This Row],[LEN]]*7.27,0)</f>
        <v>15</v>
      </c>
      <c r="L793" s="335">
        <v>15</v>
      </c>
      <c r="M793" s="336" t="str">
        <f t="shared" si="5"/>
        <v>new</v>
      </c>
      <c r="N793" s="335">
        <f>LEN(Tableau16[[#This Row],[LABEL]])</f>
        <v>2</v>
      </c>
      <c r="O793" s="335">
        <v>15</v>
      </c>
      <c r="P793" s="335" t="e">
        <f>ROUND(Tableau16[[#This Row],[LEN]]*#REF!+#REF!,0)</f>
        <v>#REF!</v>
      </c>
    </row>
    <row r="794" spans="1:16" s="97" customFormat="1" x14ac:dyDescent="0.25">
      <c r="A794" s="41" t="s">
        <v>1569</v>
      </c>
      <c r="B794" s="42" t="s">
        <v>297</v>
      </c>
      <c r="C794" s="43" t="s">
        <v>1620</v>
      </c>
      <c r="D794" s="74" t="s">
        <v>1177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115">
        <f>ROUND(Tableau16[[#This Row],[LEN]]*7.27,0)</f>
        <v>262</v>
      </c>
      <c r="L794" s="115">
        <v>15</v>
      </c>
      <c r="M794" s="132" t="str">
        <f t="shared" si="5"/>
        <v>none</v>
      </c>
      <c r="N794" s="115">
        <f>LEN(Tableau16[[#This Row],[LABEL]])</f>
        <v>36</v>
      </c>
      <c r="O794" s="115">
        <v>15</v>
      </c>
      <c r="P794" s="115" t="e">
        <f>ROUND(Tableau16[[#This Row],[LEN]]*#REF!+#REF!,0)</f>
        <v>#REF!</v>
      </c>
    </row>
    <row r="795" spans="1:16" s="97" customFormat="1" x14ac:dyDescent="0.25">
      <c r="A795" s="45" t="s">
        <v>1574</v>
      </c>
      <c r="B795" s="46" t="s">
        <v>1569</v>
      </c>
      <c r="C795" s="47" t="s">
        <v>1467</v>
      </c>
      <c r="D795" s="75" t="s">
        <v>1177</v>
      </c>
      <c r="E795" s="47" t="s">
        <v>675</v>
      </c>
      <c r="F795" s="47" t="s">
        <v>678</v>
      </c>
      <c r="G795" s="75" t="s">
        <v>68</v>
      </c>
      <c r="H795" s="75" t="s">
        <v>656</v>
      </c>
      <c r="I795" s="47"/>
      <c r="J795" s="48" t="s">
        <v>708</v>
      </c>
      <c r="K795" s="116">
        <f>ROUND(Tableau16[[#This Row],[LEN]]*7.27,0)</f>
        <v>102</v>
      </c>
      <c r="L795" s="116">
        <v>15</v>
      </c>
      <c r="M795" s="133" t="str">
        <f t="shared" si="5"/>
        <v>none</v>
      </c>
      <c r="N795" s="116">
        <f>LEN(Tableau16[[#This Row],[LABEL]])</f>
        <v>14</v>
      </c>
      <c r="O795" s="116">
        <v>15</v>
      </c>
      <c r="P795" s="116" t="e">
        <f>ROUND(Tableau16[[#This Row],[LEN]]*#REF!+#REF!,0)</f>
        <v>#REF!</v>
      </c>
    </row>
    <row r="796" spans="1:16" s="97" customFormat="1" x14ac:dyDescent="0.25">
      <c r="A796" s="45" t="s">
        <v>1575</v>
      </c>
      <c r="B796" s="46" t="s">
        <v>1569</v>
      </c>
      <c r="C796" s="47" t="s">
        <v>1573</v>
      </c>
      <c r="D796" s="75" t="s">
        <v>1177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116">
        <f>ROUND(Tableau16[[#This Row],[LEN]]*7.27,0)</f>
        <v>422</v>
      </c>
      <c r="L796" s="116">
        <v>15</v>
      </c>
      <c r="M796" s="133" t="str">
        <f t="shared" si="5"/>
        <v>none</v>
      </c>
      <c r="N796" s="116">
        <f>LEN(Tableau16[[#This Row],[LABEL]])</f>
        <v>58</v>
      </c>
      <c r="O796" s="116">
        <v>15</v>
      </c>
      <c r="P796" s="116" t="e">
        <f>ROUND(Tableau16[[#This Row],[LEN]]*#REF!+#REF!,0)</f>
        <v>#REF!</v>
      </c>
    </row>
    <row r="797" spans="1:16" s="97" customFormat="1" x14ac:dyDescent="0.25">
      <c r="A797" s="45" t="s">
        <v>1576</v>
      </c>
      <c r="B797" s="46" t="s">
        <v>1569</v>
      </c>
      <c r="C797" s="47" t="s">
        <v>1468</v>
      </c>
      <c r="D797" s="75" t="s">
        <v>1177</v>
      </c>
      <c r="E797" s="47" t="s">
        <v>675</v>
      </c>
      <c r="F797" s="47" t="s">
        <v>678</v>
      </c>
      <c r="G797" s="75" t="s">
        <v>68</v>
      </c>
      <c r="H797" s="75" t="s">
        <v>656</v>
      </c>
      <c r="I797" s="47"/>
      <c r="J797" s="48" t="s">
        <v>708</v>
      </c>
      <c r="K797" s="116">
        <f>ROUND(Tableau16[[#This Row],[LEN]]*7.27,0)</f>
        <v>167</v>
      </c>
      <c r="L797" s="116">
        <v>15</v>
      </c>
      <c r="M797" s="133" t="str">
        <f t="shared" si="5"/>
        <v>none</v>
      </c>
      <c r="N797" s="116">
        <f>LEN(Tableau16[[#This Row],[LABEL]])</f>
        <v>23</v>
      </c>
      <c r="O797" s="116">
        <v>15</v>
      </c>
      <c r="P797" s="116" t="e">
        <f>ROUND(Tableau16[[#This Row],[LEN]]*#REF!+#REF!,0)</f>
        <v>#REF!</v>
      </c>
    </row>
    <row r="798" spans="1:16" s="97" customFormat="1" x14ac:dyDescent="0.25">
      <c r="A798" s="41" t="s">
        <v>1570</v>
      </c>
      <c r="B798" s="42" t="s">
        <v>297</v>
      </c>
      <c r="C798" s="43" t="s">
        <v>849</v>
      </c>
      <c r="D798" s="74" t="s">
        <v>1177</v>
      </c>
      <c r="E798" s="43" t="s">
        <v>667</v>
      </c>
      <c r="F798" s="43" t="s">
        <v>840</v>
      </c>
      <c r="G798" s="74" t="s">
        <v>68</v>
      </c>
      <c r="H798" s="74" t="s">
        <v>655</v>
      </c>
      <c r="I798" s="43"/>
      <c r="J798" s="44" t="s">
        <v>708</v>
      </c>
      <c r="K798" s="115">
        <f>ROUND(Tableau16[[#This Row],[LEN]]*7.27,0)</f>
        <v>80</v>
      </c>
      <c r="L798" s="115">
        <v>15</v>
      </c>
      <c r="M798" s="132" t="str">
        <f t="shared" si="5"/>
        <v>none</v>
      </c>
      <c r="N798" s="115">
        <f>LEN(Tableau16[[#This Row],[LABEL]])</f>
        <v>11</v>
      </c>
      <c r="O798" s="115">
        <v>15</v>
      </c>
      <c r="P798" s="115" t="e">
        <f>ROUND(Tableau16[[#This Row],[LEN]]*#REF!+#REF!,0)</f>
        <v>#REF!</v>
      </c>
    </row>
    <row r="799" spans="1:16" s="97" customFormat="1" x14ac:dyDescent="0.25">
      <c r="A799" s="45" t="s">
        <v>1577</v>
      </c>
      <c r="B799" s="46" t="s">
        <v>1570</v>
      </c>
      <c r="C799" s="47" t="s">
        <v>112</v>
      </c>
      <c r="D799" s="75" t="s">
        <v>1177</v>
      </c>
      <c r="E799" s="47" t="s">
        <v>667</v>
      </c>
      <c r="F799" s="47" t="s">
        <v>2006</v>
      </c>
      <c r="G799" s="75" t="s">
        <v>68</v>
      </c>
      <c r="H799" s="75" t="s">
        <v>654</v>
      </c>
      <c r="I799" s="47"/>
      <c r="J799" s="48" t="s">
        <v>708</v>
      </c>
      <c r="K799" s="116">
        <f>ROUND(Tableau16[[#This Row],[LEN]]*7.27,0)</f>
        <v>167</v>
      </c>
      <c r="L799" s="116">
        <v>15</v>
      </c>
      <c r="M799" s="133" t="str">
        <f t="shared" si="5"/>
        <v>none</v>
      </c>
      <c r="N799" s="116">
        <f>LEN(Tableau16[[#This Row],[LABEL]])</f>
        <v>23</v>
      </c>
      <c r="O799" s="116">
        <v>15</v>
      </c>
      <c r="P799" s="116" t="e">
        <f>ROUND(Tableau16[[#This Row],[LEN]]*#REF!+#REF!,0)</f>
        <v>#REF!</v>
      </c>
    </row>
    <row r="800" spans="1:16" s="97" customFormat="1" x14ac:dyDescent="0.25">
      <c r="A800" s="45" t="s">
        <v>1578</v>
      </c>
      <c r="B800" s="46" t="s">
        <v>1570</v>
      </c>
      <c r="C800" s="47" t="s">
        <v>113</v>
      </c>
      <c r="D800" s="75" t="s">
        <v>1177</v>
      </c>
      <c r="E800" s="47" t="s">
        <v>667</v>
      </c>
      <c r="F800" s="47" t="s">
        <v>2006</v>
      </c>
      <c r="G800" s="75" t="s">
        <v>68</v>
      </c>
      <c r="H800" s="75" t="s">
        <v>654</v>
      </c>
      <c r="I800" s="47"/>
      <c r="J800" s="48" t="s">
        <v>708</v>
      </c>
      <c r="K800" s="116">
        <f>ROUND(Tableau16[[#This Row],[LEN]]*7.27,0)</f>
        <v>233</v>
      </c>
      <c r="L800" s="116">
        <v>15</v>
      </c>
      <c r="M800" s="133" t="str">
        <f t="shared" si="5"/>
        <v>none</v>
      </c>
      <c r="N800" s="116">
        <f>LEN(Tableau16[[#This Row],[LABEL]])</f>
        <v>32</v>
      </c>
      <c r="O800" s="116">
        <v>15</v>
      </c>
      <c r="P800" s="116" t="e">
        <f>ROUND(Tableau16[[#This Row],[LEN]]*#REF!+#REF!,0)</f>
        <v>#REF!</v>
      </c>
    </row>
    <row r="801" spans="1:16" s="97" customFormat="1" x14ac:dyDescent="0.25">
      <c r="A801" s="41" t="s">
        <v>1571</v>
      </c>
      <c r="B801" s="42" t="s">
        <v>297</v>
      </c>
      <c r="C801" s="43" t="s">
        <v>1621</v>
      </c>
      <c r="D801" s="74" t="s">
        <v>1177</v>
      </c>
      <c r="E801" s="43" t="s">
        <v>675</v>
      </c>
      <c r="F801" s="43" t="s">
        <v>678</v>
      </c>
      <c r="G801" s="74" t="s">
        <v>68</v>
      </c>
      <c r="H801" s="74" t="s">
        <v>655</v>
      </c>
      <c r="I801" s="43"/>
      <c r="J801" s="44" t="s">
        <v>708</v>
      </c>
      <c r="K801" s="115">
        <f>ROUND(Tableau16[[#This Row],[LEN]]*7.27,0)</f>
        <v>262</v>
      </c>
      <c r="L801" s="115">
        <v>15</v>
      </c>
      <c r="M801" s="132" t="str">
        <f t="shared" si="5"/>
        <v>none</v>
      </c>
      <c r="N801" s="115">
        <f>LEN(Tableau16[[#This Row],[LABEL]])</f>
        <v>36</v>
      </c>
      <c r="O801" s="115">
        <v>15</v>
      </c>
      <c r="P801" s="115" t="e">
        <f>ROUND(Tableau16[[#This Row],[LEN]]*#REF!+#REF!,0)</f>
        <v>#REF!</v>
      </c>
    </row>
    <row r="802" spans="1:16" s="97" customFormat="1" x14ac:dyDescent="0.25">
      <c r="A802" s="45" t="s">
        <v>1579</v>
      </c>
      <c r="B802" s="46" t="s">
        <v>1571</v>
      </c>
      <c r="C802" s="47" t="s">
        <v>1469</v>
      </c>
      <c r="D802" s="75" t="s">
        <v>1177</v>
      </c>
      <c r="E802" s="47" t="s">
        <v>675</v>
      </c>
      <c r="F802" s="47" t="s">
        <v>678</v>
      </c>
      <c r="G802" s="75" t="s">
        <v>68</v>
      </c>
      <c r="H802" s="75" t="s">
        <v>654</v>
      </c>
      <c r="I802" s="47"/>
      <c r="J802" s="48" t="s">
        <v>708</v>
      </c>
      <c r="K802" s="116">
        <f>ROUND(Tableau16[[#This Row],[LEN]]*7.27,0)</f>
        <v>291</v>
      </c>
      <c r="L802" s="116">
        <v>15</v>
      </c>
      <c r="M802" s="133" t="str">
        <f t="shared" si="5"/>
        <v>none</v>
      </c>
      <c r="N802" s="116">
        <f>LEN(Tableau16[[#This Row],[LABEL]])</f>
        <v>40</v>
      </c>
      <c r="O802" s="116">
        <v>15</v>
      </c>
      <c r="P802" s="116" t="e">
        <f>ROUND(Tableau16[[#This Row],[LEN]]*#REF!+#REF!,0)</f>
        <v>#REF!</v>
      </c>
    </row>
    <row r="803" spans="1:16" s="97" customFormat="1" x14ac:dyDescent="0.25">
      <c r="A803" s="45" t="s">
        <v>1580</v>
      </c>
      <c r="B803" s="46" t="s">
        <v>1571</v>
      </c>
      <c r="C803" s="47" t="s">
        <v>1470</v>
      </c>
      <c r="D803" s="75" t="s">
        <v>1177</v>
      </c>
      <c r="E803" s="47" t="s">
        <v>675</v>
      </c>
      <c r="F803" s="47" t="s">
        <v>678</v>
      </c>
      <c r="G803" s="75" t="s">
        <v>68</v>
      </c>
      <c r="H803" s="75" t="s">
        <v>656</v>
      </c>
      <c r="I803" s="47"/>
      <c r="J803" s="48" t="s">
        <v>708</v>
      </c>
      <c r="K803" s="116">
        <f>ROUND(Tableau16[[#This Row],[LEN]]*7.27,0)</f>
        <v>313</v>
      </c>
      <c r="L803" s="116">
        <v>15</v>
      </c>
      <c r="M803" s="133" t="str">
        <f t="shared" si="5"/>
        <v>none</v>
      </c>
      <c r="N803" s="116">
        <f>LEN(Tableau16[[#This Row],[LABEL]])</f>
        <v>43</v>
      </c>
      <c r="O803" s="116">
        <v>15</v>
      </c>
      <c r="P803" s="116" t="e">
        <f>ROUND(Tableau16[[#This Row],[LEN]]*#REF!+#REF!,0)</f>
        <v>#REF!</v>
      </c>
    </row>
    <row r="804" spans="1:16" s="97" customFormat="1" x14ac:dyDescent="0.25">
      <c r="A804" s="41" t="s">
        <v>1572</v>
      </c>
      <c r="B804" s="42" t="s">
        <v>297</v>
      </c>
      <c r="C804" s="43" t="s">
        <v>1462</v>
      </c>
      <c r="D804" s="74" t="s">
        <v>1177</v>
      </c>
      <c r="E804" s="43" t="s">
        <v>675</v>
      </c>
      <c r="F804" s="43" t="s">
        <v>679</v>
      </c>
      <c r="G804" s="74" t="s">
        <v>68</v>
      </c>
      <c r="H804" s="74" t="s">
        <v>656</v>
      </c>
      <c r="I804" s="43"/>
      <c r="J804" s="44" t="s">
        <v>708</v>
      </c>
      <c r="K804" s="115">
        <f>ROUND(Tableau16[[#This Row],[LEN]]*7.27,0)</f>
        <v>218</v>
      </c>
      <c r="L804" s="115">
        <v>15</v>
      </c>
      <c r="M804" s="132" t="str">
        <f t="shared" si="5"/>
        <v>none</v>
      </c>
      <c r="N804" s="115">
        <f>LEN(Tableau16[[#This Row],[LABEL]])</f>
        <v>30</v>
      </c>
      <c r="O804" s="115">
        <v>15</v>
      </c>
      <c r="P804" s="115" t="e">
        <f>ROUND(Tableau16[[#This Row],[LEN]]*#REF!+#REF!,0)</f>
        <v>#REF!</v>
      </c>
    </row>
    <row r="805" spans="1:16" s="273" customFormat="1" x14ac:dyDescent="0.25">
      <c r="A805" s="330" t="s">
        <v>298</v>
      </c>
      <c r="B805" s="331" t="s">
        <v>208</v>
      </c>
      <c r="C805" s="332" t="s">
        <v>71</v>
      </c>
      <c r="D805" s="333" t="s">
        <v>1177</v>
      </c>
      <c r="E805" s="332" t="s">
        <v>676</v>
      </c>
      <c r="F805" s="332" t="s">
        <v>1177</v>
      </c>
      <c r="G805" s="333" t="s">
        <v>68</v>
      </c>
      <c r="H805" s="333" t="str">
        <f>IFERROR(IF(SEARCH(".00.00.00.00.00",Tableau16[[#This Row],[name]],1)=7,"Division",""),"")</f>
        <v>Division</v>
      </c>
      <c r="I805" s="332"/>
      <c r="J805" s="334" t="s">
        <v>722</v>
      </c>
      <c r="K805" s="335">
        <f>ROUND(Tableau16[[#This Row],[LEN]]*7.27,0)</f>
        <v>29</v>
      </c>
      <c r="L805" s="335">
        <v>15</v>
      </c>
      <c r="M805" s="336" t="str">
        <f t="shared" si="5"/>
        <v>new</v>
      </c>
      <c r="N805" s="335">
        <f>LEN(Tableau16[[#This Row],[LABEL]])</f>
        <v>4</v>
      </c>
      <c r="O805" s="335">
        <v>15</v>
      </c>
      <c r="P805" s="335" t="e">
        <f>ROUND(Tableau16[[#This Row],[LEN]]*#REF!+#REF!,0)</f>
        <v>#REF!</v>
      </c>
    </row>
    <row r="806" spans="1:16" s="97" customFormat="1" x14ac:dyDescent="0.25">
      <c r="A806" s="41" t="s">
        <v>1581</v>
      </c>
      <c r="B806" s="42" t="s">
        <v>298</v>
      </c>
      <c r="C806" s="43" t="s">
        <v>1476</v>
      </c>
      <c r="D806" s="74" t="s">
        <v>1477</v>
      </c>
      <c r="E806" s="43" t="s">
        <v>676</v>
      </c>
      <c r="F806" s="43" t="s">
        <v>1177</v>
      </c>
      <c r="G806" s="74" t="s">
        <v>68</v>
      </c>
      <c r="H806" s="74" t="s">
        <v>656</v>
      </c>
      <c r="I806" s="43"/>
      <c r="J806" s="44" t="s">
        <v>708</v>
      </c>
      <c r="K806" s="115">
        <f>ROUND(Tableau16[[#This Row],[LEN]]*7.27,0)</f>
        <v>371</v>
      </c>
      <c r="L806" s="115">
        <v>15</v>
      </c>
      <c r="M806" s="132" t="str">
        <f t="shared" si="5"/>
        <v>none</v>
      </c>
      <c r="N806" s="115">
        <f>LEN(Tableau16[[#This Row],[LABEL]])</f>
        <v>51</v>
      </c>
      <c r="O806" s="115">
        <v>15</v>
      </c>
      <c r="P806" s="115" t="e">
        <f>ROUND(Tableau16[[#This Row],[LEN]]*#REF!+#REF!,0)</f>
        <v>#REF!</v>
      </c>
    </row>
    <row r="807" spans="1:16" s="97" customFormat="1" x14ac:dyDescent="0.25">
      <c r="A807" s="41" t="s">
        <v>1582</v>
      </c>
      <c r="B807" s="42" t="s">
        <v>298</v>
      </c>
      <c r="C807" s="43" t="s">
        <v>849</v>
      </c>
      <c r="D807" s="74" t="s">
        <v>1177</v>
      </c>
      <c r="E807" s="43" t="s">
        <v>667</v>
      </c>
      <c r="F807" s="43" t="s">
        <v>840</v>
      </c>
      <c r="G807" s="74" t="s">
        <v>68</v>
      </c>
      <c r="H807" s="74" t="s">
        <v>655</v>
      </c>
      <c r="I807" s="43"/>
      <c r="J807" s="44" t="s">
        <v>708</v>
      </c>
      <c r="K807" s="115">
        <f>ROUND(Tableau16[[#This Row],[LEN]]*7.27,0)</f>
        <v>80</v>
      </c>
      <c r="L807" s="115">
        <v>15</v>
      </c>
      <c r="M807" s="132" t="str">
        <f t="shared" si="5"/>
        <v>none</v>
      </c>
      <c r="N807" s="115">
        <f>LEN(Tableau16[[#This Row],[LABEL]])</f>
        <v>11</v>
      </c>
      <c r="O807" s="115">
        <v>15</v>
      </c>
      <c r="P807" s="115" t="e">
        <f>ROUND(Tableau16[[#This Row],[LEN]]*#REF!+#REF!,0)</f>
        <v>#REF!</v>
      </c>
    </row>
    <row r="808" spans="1:16" s="97" customFormat="1" x14ac:dyDescent="0.25">
      <c r="A808" s="45" t="s">
        <v>1587</v>
      </c>
      <c r="B808" s="46" t="s">
        <v>1582</v>
      </c>
      <c r="C808" s="47" t="s">
        <v>112</v>
      </c>
      <c r="D808" s="75" t="s">
        <v>1177</v>
      </c>
      <c r="E808" s="47" t="s">
        <v>667</v>
      </c>
      <c r="F808" s="47" t="s">
        <v>2006</v>
      </c>
      <c r="G808" s="75" t="s">
        <v>68</v>
      </c>
      <c r="H808" s="75" t="s">
        <v>654</v>
      </c>
      <c r="I808" s="47"/>
      <c r="J808" s="48" t="s">
        <v>708</v>
      </c>
      <c r="K808" s="116">
        <f>ROUND(Tableau16[[#This Row],[LEN]]*7.27,0)</f>
        <v>167</v>
      </c>
      <c r="L808" s="116">
        <v>15</v>
      </c>
      <c r="M808" s="133" t="str">
        <f t="shared" si="5"/>
        <v>none</v>
      </c>
      <c r="N808" s="116">
        <f>LEN(Tableau16[[#This Row],[LABEL]])</f>
        <v>23</v>
      </c>
      <c r="O808" s="116">
        <v>15</v>
      </c>
      <c r="P808" s="116" t="e">
        <f>ROUND(Tableau16[[#This Row],[LEN]]*#REF!+#REF!,0)</f>
        <v>#REF!</v>
      </c>
    </row>
    <row r="809" spans="1:16" s="97" customFormat="1" x14ac:dyDescent="0.25">
      <c r="A809" s="45" t="s">
        <v>1588</v>
      </c>
      <c r="B809" s="46" t="s">
        <v>1582</v>
      </c>
      <c r="C809" s="47" t="s">
        <v>113</v>
      </c>
      <c r="D809" s="75" t="s">
        <v>1177</v>
      </c>
      <c r="E809" s="47" t="s">
        <v>667</v>
      </c>
      <c r="F809" s="47" t="s">
        <v>2006</v>
      </c>
      <c r="G809" s="75" t="s">
        <v>68</v>
      </c>
      <c r="H809" s="75" t="s">
        <v>654</v>
      </c>
      <c r="I809" s="47"/>
      <c r="J809" s="48" t="s">
        <v>708</v>
      </c>
      <c r="K809" s="116">
        <f>ROUND(Tableau16[[#This Row],[LEN]]*7.27,0)</f>
        <v>233</v>
      </c>
      <c r="L809" s="116">
        <v>15</v>
      </c>
      <c r="M809" s="133" t="str">
        <f t="shared" si="5"/>
        <v>none</v>
      </c>
      <c r="N809" s="116">
        <f>LEN(Tableau16[[#This Row],[LABEL]])</f>
        <v>32</v>
      </c>
      <c r="O809" s="116">
        <v>15</v>
      </c>
      <c r="P809" s="116" t="e">
        <f>ROUND(Tableau16[[#This Row],[LEN]]*#REF!+#REF!,0)</f>
        <v>#REF!</v>
      </c>
    </row>
    <row r="810" spans="1:16" s="97" customFormat="1" x14ac:dyDescent="0.25">
      <c r="A810" s="41" t="s">
        <v>1583</v>
      </c>
      <c r="B810" s="42" t="s">
        <v>298</v>
      </c>
      <c r="C810" s="43" t="s">
        <v>1589</v>
      </c>
      <c r="D810" s="74" t="s">
        <v>1177</v>
      </c>
      <c r="E810" s="43" t="s">
        <v>676</v>
      </c>
      <c r="F810" s="43" t="s">
        <v>1177</v>
      </c>
      <c r="G810" s="74" t="s">
        <v>68</v>
      </c>
      <c r="H810" s="74" t="s">
        <v>656</v>
      </c>
      <c r="I810" s="43"/>
      <c r="J810" s="44" t="s">
        <v>708</v>
      </c>
      <c r="K810" s="115">
        <f>ROUND(Tableau16[[#This Row],[LEN]]*7.27,0)</f>
        <v>487</v>
      </c>
      <c r="L810" s="115">
        <v>15</v>
      </c>
      <c r="M810" s="132" t="str">
        <f t="shared" si="5"/>
        <v>none</v>
      </c>
      <c r="N810" s="115">
        <f>LEN(Tableau16[[#This Row],[LABEL]])</f>
        <v>67</v>
      </c>
      <c r="O810" s="115">
        <v>15</v>
      </c>
      <c r="P810" s="115" t="e">
        <f>ROUND(Tableau16[[#This Row],[LEN]]*#REF!+#REF!,0)</f>
        <v>#REF!</v>
      </c>
    </row>
    <row r="811" spans="1:16" s="97" customFormat="1" x14ac:dyDescent="0.25">
      <c r="A811" s="41" t="s">
        <v>1584</v>
      </c>
      <c r="B811" s="42" t="s">
        <v>298</v>
      </c>
      <c r="C811" s="43" t="s">
        <v>1590</v>
      </c>
      <c r="D811" s="74" t="s">
        <v>1177</v>
      </c>
      <c r="E811" s="43" t="s">
        <v>676</v>
      </c>
      <c r="F811" s="43" t="s">
        <v>1177</v>
      </c>
      <c r="G811" s="74" t="s">
        <v>68</v>
      </c>
      <c r="H811" s="74" t="s">
        <v>656</v>
      </c>
      <c r="I811" s="43"/>
      <c r="J811" s="44" t="s">
        <v>708</v>
      </c>
      <c r="K811" s="115">
        <f>ROUND(Tableau16[[#This Row],[LEN]]*7.27,0)</f>
        <v>364</v>
      </c>
      <c r="L811" s="115">
        <v>15</v>
      </c>
      <c r="M811" s="132" t="str">
        <f t="shared" si="5"/>
        <v>none</v>
      </c>
      <c r="N811" s="115">
        <f>LEN(Tableau16[[#This Row],[LABEL]])</f>
        <v>50</v>
      </c>
      <c r="O811" s="115">
        <v>15</v>
      </c>
      <c r="P811" s="115" t="e">
        <f>ROUND(Tableau16[[#This Row],[LEN]]*#REF!+#REF!,0)</f>
        <v>#REF!</v>
      </c>
    </row>
    <row r="812" spans="1:16" s="97" customFormat="1" x14ac:dyDescent="0.25">
      <c r="A812" s="41" t="s">
        <v>1585</v>
      </c>
      <c r="B812" s="42" t="s">
        <v>298</v>
      </c>
      <c r="C812" s="43" t="s">
        <v>1591</v>
      </c>
      <c r="D812" s="74" t="s">
        <v>1177</v>
      </c>
      <c r="E812" s="43" t="s">
        <v>676</v>
      </c>
      <c r="F812" s="43" t="s">
        <v>1177</v>
      </c>
      <c r="G812" s="74" t="s">
        <v>68</v>
      </c>
      <c r="H812" s="74" t="s">
        <v>656</v>
      </c>
      <c r="I812" s="43"/>
      <c r="J812" s="44" t="s">
        <v>708</v>
      </c>
      <c r="K812" s="115">
        <f>ROUND(Tableau16[[#This Row],[LEN]]*7.27,0)</f>
        <v>407</v>
      </c>
      <c r="L812" s="115">
        <v>15</v>
      </c>
      <c r="M812" s="132" t="str">
        <f t="shared" si="5"/>
        <v>none</v>
      </c>
      <c r="N812" s="115">
        <f>LEN(Tableau16[[#This Row],[LABEL]])</f>
        <v>56</v>
      </c>
      <c r="O812" s="115">
        <v>15</v>
      </c>
      <c r="P812" s="115" t="e">
        <f>ROUND(Tableau16[[#This Row],[LEN]]*#REF!+#REF!,0)</f>
        <v>#REF!</v>
      </c>
    </row>
    <row r="813" spans="1:16" s="273" customFormat="1" x14ac:dyDescent="0.25">
      <c r="A813" s="330" t="s">
        <v>299</v>
      </c>
      <c r="B813" s="331" t="s">
        <v>208</v>
      </c>
      <c r="C813" s="332" t="s">
        <v>13</v>
      </c>
      <c r="D813" s="333" t="s">
        <v>1177</v>
      </c>
      <c r="E813" s="332" t="s">
        <v>677</v>
      </c>
      <c r="F813" s="332" t="s">
        <v>1177</v>
      </c>
      <c r="G813" s="333" t="s">
        <v>68</v>
      </c>
      <c r="H813" s="333" t="str">
        <f>IFERROR(IF(SEARCH(".00.00.00.00.00",Tableau16[[#This Row],[name]],1)=7,"Division",""),"")</f>
        <v>Division</v>
      </c>
      <c r="I813" s="332"/>
      <c r="J813" s="334" t="s">
        <v>708</v>
      </c>
      <c r="K813" s="335">
        <f>ROUND(Tableau16[[#This Row],[LEN]]*7.27,0)</f>
        <v>80</v>
      </c>
      <c r="L813" s="335">
        <v>15</v>
      </c>
      <c r="M813" s="336" t="str">
        <f t="shared" si="5"/>
        <v>none</v>
      </c>
      <c r="N813" s="335">
        <f>LEN(Tableau16[[#This Row],[LABEL]])</f>
        <v>11</v>
      </c>
      <c r="O813" s="335">
        <v>15</v>
      </c>
      <c r="P813" s="335" t="e">
        <f>ROUND(Tableau16[[#This Row],[LEN]]*#REF!+#REF!,0)</f>
        <v>#REF!</v>
      </c>
    </row>
    <row r="814" spans="1:16" s="97" customFormat="1" x14ac:dyDescent="0.25">
      <c r="A814" s="41" t="s">
        <v>1592</v>
      </c>
      <c r="B814" s="42" t="s">
        <v>299</v>
      </c>
      <c r="C814" s="43" t="s">
        <v>1595</v>
      </c>
      <c r="D814" s="74" t="s">
        <v>1177</v>
      </c>
      <c r="E814" s="43" t="s">
        <v>677</v>
      </c>
      <c r="F814" s="43" t="s">
        <v>1177</v>
      </c>
      <c r="G814" s="74" t="s">
        <v>68</v>
      </c>
      <c r="H814" s="74" t="s">
        <v>654</v>
      </c>
      <c r="I814" s="43"/>
      <c r="J814" s="44" t="s">
        <v>708</v>
      </c>
      <c r="K814" s="115">
        <f>ROUND(Tableau16[[#This Row],[LEN]]*7.27,0)</f>
        <v>400</v>
      </c>
      <c r="L814" s="115">
        <v>15</v>
      </c>
      <c r="M814" s="132" t="str">
        <f t="shared" si="5"/>
        <v>none</v>
      </c>
      <c r="N814" s="115">
        <f>LEN(Tableau16[[#This Row],[LABEL]])</f>
        <v>55</v>
      </c>
      <c r="O814" s="115">
        <v>15</v>
      </c>
      <c r="P814" s="115" t="e">
        <f>ROUND(Tableau16[[#This Row],[LEN]]*#REF!+#REF!,0)</f>
        <v>#REF!</v>
      </c>
    </row>
    <row r="815" spans="1:16" s="97" customFormat="1" x14ac:dyDescent="0.25">
      <c r="A815" s="41" t="s">
        <v>1593</v>
      </c>
      <c r="B815" s="42" t="s">
        <v>299</v>
      </c>
      <c r="C815" s="43" t="s">
        <v>849</v>
      </c>
      <c r="D815" s="74" t="s">
        <v>1177</v>
      </c>
      <c r="E815" s="43" t="s">
        <v>667</v>
      </c>
      <c r="F815" s="43" t="s">
        <v>840</v>
      </c>
      <c r="G815" s="74" t="s">
        <v>68</v>
      </c>
      <c r="H815" s="74" t="s">
        <v>655</v>
      </c>
      <c r="I815" s="43"/>
      <c r="J815" s="44" t="s">
        <v>708</v>
      </c>
      <c r="K815" s="115">
        <f>ROUND(Tableau16[[#This Row],[LEN]]*7.27,0)</f>
        <v>80</v>
      </c>
      <c r="L815" s="115">
        <v>15</v>
      </c>
      <c r="M815" s="132" t="str">
        <f t="shared" si="5"/>
        <v>none</v>
      </c>
      <c r="N815" s="115">
        <f>LEN(Tableau16[[#This Row],[LABEL]])</f>
        <v>11</v>
      </c>
      <c r="O815" s="115">
        <v>15</v>
      </c>
      <c r="P815" s="115" t="e">
        <f>ROUND(Tableau16[[#This Row],[LEN]]*#REF!+#REF!,0)</f>
        <v>#REF!</v>
      </c>
    </row>
    <row r="816" spans="1:16" s="97" customFormat="1" x14ac:dyDescent="0.25">
      <c r="A816" s="45" t="s">
        <v>1597</v>
      </c>
      <c r="B816" s="46" t="s">
        <v>1593</v>
      </c>
      <c r="C816" s="47" t="s">
        <v>112</v>
      </c>
      <c r="D816" s="75" t="s">
        <v>1177</v>
      </c>
      <c r="E816" s="47" t="s">
        <v>667</v>
      </c>
      <c r="F816" s="47" t="s">
        <v>2006</v>
      </c>
      <c r="G816" s="75" t="s">
        <v>68</v>
      </c>
      <c r="H816" s="75" t="s">
        <v>654</v>
      </c>
      <c r="I816" s="47"/>
      <c r="J816" s="48" t="s">
        <v>708</v>
      </c>
      <c r="K816" s="116">
        <f>ROUND(Tableau16[[#This Row],[LEN]]*7.27,0)</f>
        <v>167</v>
      </c>
      <c r="L816" s="116">
        <v>15</v>
      </c>
      <c r="M816" s="133" t="str">
        <f t="shared" si="5"/>
        <v>none</v>
      </c>
      <c r="N816" s="116">
        <f>LEN(Tableau16[[#This Row],[LABEL]])</f>
        <v>23</v>
      </c>
      <c r="O816" s="116">
        <v>15</v>
      </c>
      <c r="P816" s="116" t="e">
        <f>ROUND(Tableau16[[#This Row],[LEN]]*#REF!+#REF!,0)</f>
        <v>#REF!</v>
      </c>
    </row>
    <row r="817" spans="1:16" s="97" customFormat="1" x14ac:dyDescent="0.25">
      <c r="A817" s="45" t="s">
        <v>1598</v>
      </c>
      <c r="B817" s="46" t="s">
        <v>1593</v>
      </c>
      <c r="C817" s="47" t="s">
        <v>113</v>
      </c>
      <c r="D817" s="75" t="s">
        <v>1177</v>
      </c>
      <c r="E817" s="47" t="s">
        <v>667</v>
      </c>
      <c r="F817" s="47" t="s">
        <v>2006</v>
      </c>
      <c r="G817" s="75" t="s">
        <v>68</v>
      </c>
      <c r="H817" s="75" t="s">
        <v>654</v>
      </c>
      <c r="I817" s="47"/>
      <c r="J817" s="48" t="s">
        <v>708</v>
      </c>
      <c r="K817" s="116">
        <f>ROUND(Tableau16[[#This Row],[LEN]]*7.27,0)</f>
        <v>233</v>
      </c>
      <c r="L817" s="116">
        <v>15</v>
      </c>
      <c r="M817" s="133" t="str">
        <f t="shared" si="5"/>
        <v>none</v>
      </c>
      <c r="N817" s="116">
        <f>LEN(Tableau16[[#This Row],[LABEL]])</f>
        <v>32</v>
      </c>
      <c r="O817" s="116">
        <v>15</v>
      </c>
      <c r="P817" s="116" t="e">
        <f>ROUND(Tableau16[[#This Row],[LEN]]*#REF!+#REF!,0)</f>
        <v>#REF!</v>
      </c>
    </row>
    <row r="818" spans="1:16" s="97" customFormat="1" x14ac:dyDescent="0.25">
      <c r="A818" s="41" t="s">
        <v>1594</v>
      </c>
      <c r="B818" s="42" t="s">
        <v>299</v>
      </c>
      <c r="C818" s="43" t="s">
        <v>1596</v>
      </c>
      <c r="D818" s="74" t="s">
        <v>1177</v>
      </c>
      <c r="E818" s="43" t="s">
        <v>672</v>
      </c>
      <c r="F818" s="43" t="s">
        <v>677</v>
      </c>
      <c r="G818" s="74" t="s">
        <v>68</v>
      </c>
      <c r="H818" s="74" t="s">
        <v>654</v>
      </c>
      <c r="I818" s="43"/>
      <c r="J818" s="44" t="s">
        <v>708</v>
      </c>
      <c r="K818" s="115">
        <f>ROUND(Tableau16[[#This Row],[LEN]]*7.27,0)</f>
        <v>342</v>
      </c>
      <c r="L818" s="115">
        <v>15</v>
      </c>
      <c r="M818" s="132" t="str">
        <f t="shared" si="5"/>
        <v>none</v>
      </c>
      <c r="N818" s="115">
        <f>LEN(Tableau16[[#This Row],[LABEL]])</f>
        <v>47</v>
      </c>
      <c r="O818" s="115">
        <v>15</v>
      </c>
      <c r="P818" s="115" t="e">
        <f>ROUND(Tableau16[[#This Row],[LEN]]*#REF!+#REF!,0)</f>
        <v>#REF!</v>
      </c>
    </row>
    <row r="819" spans="1:16" s="273" customFormat="1" x14ac:dyDescent="0.25">
      <c r="A819" s="330" t="s">
        <v>300</v>
      </c>
      <c r="B819" s="331" t="s">
        <v>208</v>
      </c>
      <c r="C819" s="332" t="s">
        <v>14</v>
      </c>
      <c r="D819" s="333" t="s">
        <v>1177</v>
      </c>
      <c r="E819" s="332" t="s">
        <v>678</v>
      </c>
      <c r="F819" s="332" t="s">
        <v>1177</v>
      </c>
      <c r="G819" s="333" t="s">
        <v>68</v>
      </c>
      <c r="H819" s="333" t="str">
        <f>IFERROR(IF(SEARCH(".00.00.00.00.00",Tableau16[[#This Row],[name]],1)=7,"Division",""),"")</f>
        <v>Division</v>
      </c>
      <c r="I819" s="332"/>
      <c r="J819" s="334" t="s">
        <v>724</v>
      </c>
      <c r="K819" s="335">
        <f>ROUND(Tableau16[[#This Row],[LEN]]*7.27,0)</f>
        <v>240</v>
      </c>
      <c r="L819" s="335">
        <v>15</v>
      </c>
      <c r="M819" s="336" t="str">
        <f t="shared" si="5"/>
        <v>new</v>
      </c>
      <c r="N819" s="335">
        <f>LEN(Tableau16[[#This Row],[LABEL]])</f>
        <v>33</v>
      </c>
      <c r="O819" s="335">
        <v>15</v>
      </c>
      <c r="P819" s="335" t="e">
        <f>ROUND(Tableau16[[#This Row],[LEN]]*#REF!+#REF!,0)</f>
        <v>#REF!</v>
      </c>
    </row>
    <row r="820" spans="1:16" s="97" customFormat="1" x14ac:dyDescent="0.25">
      <c r="A820" s="41" t="s">
        <v>1599</v>
      </c>
      <c r="B820" s="42" t="s">
        <v>300</v>
      </c>
      <c r="C820" s="43" t="s">
        <v>1611</v>
      </c>
      <c r="D820" s="74" t="s">
        <v>1177</v>
      </c>
      <c r="E820" s="43" t="s">
        <v>678</v>
      </c>
      <c r="F820" s="43" t="s">
        <v>1177</v>
      </c>
      <c r="G820" s="74" t="s">
        <v>68</v>
      </c>
      <c r="H820" s="74" t="s">
        <v>656</v>
      </c>
      <c r="I820" s="43"/>
      <c r="J820" s="44" t="s">
        <v>708</v>
      </c>
      <c r="K820" s="115">
        <f>ROUND(Tableau16[[#This Row],[LEN]]*7.27,0)</f>
        <v>334</v>
      </c>
      <c r="L820" s="115">
        <v>15</v>
      </c>
      <c r="M820" s="132" t="str">
        <f t="shared" si="5"/>
        <v>none</v>
      </c>
      <c r="N820" s="115">
        <f>LEN(Tableau16[[#This Row],[LABEL]])</f>
        <v>46</v>
      </c>
      <c r="O820" s="115">
        <v>15</v>
      </c>
      <c r="P820" s="115" t="e">
        <f>ROUND(Tableau16[[#This Row],[LEN]]*#REF!+#REF!,0)</f>
        <v>#REF!</v>
      </c>
    </row>
    <row r="821" spans="1:16" s="97" customFormat="1" x14ac:dyDescent="0.25">
      <c r="A821" s="41" t="s">
        <v>1600</v>
      </c>
      <c r="B821" s="42" t="s">
        <v>300</v>
      </c>
      <c r="C821" s="43" t="s">
        <v>1612</v>
      </c>
      <c r="D821" s="74" t="s">
        <v>1177</v>
      </c>
      <c r="E821" s="43" t="s">
        <v>678</v>
      </c>
      <c r="F821" s="43" t="s">
        <v>1177</v>
      </c>
      <c r="G821" s="74" t="s">
        <v>68</v>
      </c>
      <c r="H821" s="74" t="s">
        <v>656</v>
      </c>
      <c r="I821" s="43"/>
      <c r="J821" s="44" t="s">
        <v>708</v>
      </c>
      <c r="K821" s="115">
        <f>ROUND(Tableau16[[#This Row],[LEN]]*7.27,0)</f>
        <v>174</v>
      </c>
      <c r="L821" s="115">
        <v>15</v>
      </c>
      <c r="M821" s="132" t="str">
        <f t="shared" si="5"/>
        <v>none</v>
      </c>
      <c r="N821" s="115">
        <f>LEN(Tableau16[[#This Row],[LABEL]])</f>
        <v>24</v>
      </c>
      <c r="O821" s="115">
        <v>15</v>
      </c>
      <c r="P821" s="115" t="e">
        <f>ROUND(Tableau16[[#This Row],[LEN]]*#REF!+#REF!,0)</f>
        <v>#REF!</v>
      </c>
    </row>
    <row r="822" spans="1:16" s="97" customFormat="1" x14ac:dyDescent="0.25">
      <c r="A822" s="41" t="s">
        <v>1601</v>
      </c>
      <c r="B822" s="42" t="s">
        <v>300</v>
      </c>
      <c r="C822" s="43" t="s">
        <v>1613</v>
      </c>
      <c r="D822" s="74" t="s">
        <v>1177</v>
      </c>
      <c r="E822" s="43" t="s">
        <v>678</v>
      </c>
      <c r="F822" s="43" t="s">
        <v>1177</v>
      </c>
      <c r="G822" s="74" t="s">
        <v>68</v>
      </c>
      <c r="H822" s="74" t="s">
        <v>656</v>
      </c>
      <c r="I822" s="43"/>
      <c r="J822" s="44" t="s">
        <v>708</v>
      </c>
      <c r="K822" s="115">
        <f>ROUND(Tableau16[[#This Row],[LEN]]*7.27,0)</f>
        <v>160</v>
      </c>
      <c r="L822" s="115">
        <v>15</v>
      </c>
      <c r="M822" s="132" t="str">
        <f t="shared" si="5"/>
        <v>none</v>
      </c>
      <c r="N822" s="115">
        <f>LEN(Tableau16[[#This Row],[LABEL]])</f>
        <v>22</v>
      </c>
      <c r="O822" s="115">
        <v>15</v>
      </c>
      <c r="P822" s="115" t="e">
        <f>ROUND(Tableau16[[#This Row],[LEN]]*#REF!+#REF!,0)</f>
        <v>#REF!</v>
      </c>
    </row>
    <row r="823" spans="1:16" s="97" customFormat="1" x14ac:dyDescent="0.25">
      <c r="A823" s="41" t="s">
        <v>1602</v>
      </c>
      <c r="B823" s="42" t="s">
        <v>300</v>
      </c>
      <c r="C823" s="43" t="s">
        <v>1614</v>
      </c>
      <c r="D823" s="74" t="s">
        <v>1177</v>
      </c>
      <c r="E823" s="43" t="s">
        <v>678</v>
      </c>
      <c r="F823" s="43" t="s">
        <v>1177</v>
      </c>
      <c r="G823" s="74" t="s">
        <v>68</v>
      </c>
      <c r="H823" s="74" t="s">
        <v>656</v>
      </c>
      <c r="I823" s="43"/>
      <c r="J823" s="44" t="s">
        <v>708</v>
      </c>
      <c r="K823" s="115">
        <f>ROUND(Tableau16[[#This Row],[LEN]]*7.27,0)</f>
        <v>465</v>
      </c>
      <c r="L823" s="115">
        <v>15</v>
      </c>
      <c r="M823" s="132" t="str">
        <f t="shared" si="5"/>
        <v>none</v>
      </c>
      <c r="N823" s="115">
        <f>LEN(Tableau16[[#This Row],[LABEL]])</f>
        <v>64</v>
      </c>
      <c r="O823" s="115">
        <v>15</v>
      </c>
      <c r="P823" s="115" t="e">
        <f>ROUND(Tableau16[[#This Row],[LEN]]*#REF!+#REF!,0)</f>
        <v>#REF!</v>
      </c>
    </row>
    <row r="824" spans="1:16" s="97" customFormat="1" x14ac:dyDescent="0.25">
      <c r="A824" s="41" t="s">
        <v>1603</v>
      </c>
      <c r="B824" s="42" t="s">
        <v>300</v>
      </c>
      <c r="C824" s="43" t="s">
        <v>1615</v>
      </c>
      <c r="D824" s="74" t="s">
        <v>1177</v>
      </c>
      <c r="E824" s="43" t="s">
        <v>678</v>
      </c>
      <c r="F824" s="43" t="s">
        <v>1177</v>
      </c>
      <c r="G824" s="74" t="s">
        <v>68</v>
      </c>
      <c r="H824" s="74" t="s">
        <v>656</v>
      </c>
      <c r="I824" s="43"/>
      <c r="J824" s="44" t="s">
        <v>708</v>
      </c>
      <c r="K824" s="115">
        <f>ROUND(Tableau16[[#This Row],[LEN]]*7.27,0)</f>
        <v>291</v>
      </c>
      <c r="L824" s="115">
        <v>15</v>
      </c>
      <c r="M824" s="132" t="str">
        <f t="shared" si="5"/>
        <v>none</v>
      </c>
      <c r="N824" s="115">
        <f>LEN(Tableau16[[#This Row],[LABEL]])</f>
        <v>40</v>
      </c>
      <c r="O824" s="115">
        <v>15</v>
      </c>
      <c r="P824" s="115" t="e">
        <f>ROUND(Tableau16[[#This Row],[LEN]]*#REF!+#REF!,0)</f>
        <v>#REF!</v>
      </c>
    </row>
    <row r="825" spans="1:16" s="97" customFormat="1" x14ac:dyDescent="0.25">
      <c r="A825" s="41" t="s">
        <v>1604</v>
      </c>
      <c r="B825" s="42" t="s">
        <v>300</v>
      </c>
      <c r="C825" s="43" t="s">
        <v>849</v>
      </c>
      <c r="D825" s="74" t="s">
        <v>1177</v>
      </c>
      <c r="E825" s="43" t="s">
        <v>667</v>
      </c>
      <c r="F825" s="43" t="s">
        <v>840</v>
      </c>
      <c r="G825" s="74" t="s">
        <v>68</v>
      </c>
      <c r="H825" s="74" t="s">
        <v>655</v>
      </c>
      <c r="I825" s="43"/>
      <c r="J825" s="44" t="s">
        <v>708</v>
      </c>
      <c r="K825" s="115">
        <f>ROUND(Tableau16[[#This Row],[LEN]]*7.27,0)</f>
        <v>80</v>
      </c>
      <c r="L825" s="115">
        <v>15</v>
      </c>
      <c r="M825" s="132" t="str">
        <f t="shared" si="5"/>
        <v>none</v>
      </c>
      <c r="N825" s="115">
        <f>LEN(Tableau16[[#This Row],[LABEL]])</f>
        <v>11</v>
      </c>
      <c r="O825" s="115">
        <v>15</v>
      </c>
      <c r="P825" s="115" t="e">
        <f>ROUND(Tableau16[[#This Row],[LEN]]*#REF!+#REF!,0)</f>
        <v>#REF!</v>
      </c>
    </row>
    <row r="826" spans="1:16" s="97" customFormat="1" x14ac:dyDescent="0.25">
      <c r="A826" s="45" t="s">
        <v>1616</v>
      </c>
      <c r="B826" s="46" t="s">
        <v>1604</v>
      </c>
      <c r="C826" s="47" t="s">
        <v>112</v>
      </c>
      <c r="D826" s="75" t="s">
        <v>1177</v>
      </c>
      <c r="E826" s="47" t="s">
        <v>667</v>
      </c>
      <c r="F826" s="47" t="s">
        <v>2006</v>
      </c>
      <c r="G826" s="75" t="s">
        <v>68</v>
      </c>
      <c r="H826" s="75" t="s">
        <v>654</v>
      </c>
      <c r="I826" s="47"/>
      <c r="J826" s="48" t="s">
        <v>708</v>
      </c>
      <c r="K826" s="116">
        <f>ROUND(Tableau16[[#This Row],[LEN]]*7.27,0)</f>
        <v>167</v>
      </c>
      <c r="L826" s="116">
        <v>15</v>
      </c>
      <c r="M826" s="133" t="str">
        <f t="shared" si="5"/>
        <v>none</v>
      </c>
      <c r="N826" s="116">
        <f>LEN(Tableau16[[#This Row],[LABEL]])</f>
        <v>23</v>
      </c>
      <c r="O826" s="116">
        <v>15</v>
      </c>
      <c r="P826" s="116" t="e">
        <f>ROUND(Tableau16[[#This Row],[LEN]]*#REF!+#REF!,0)</f>
        <v>#REF!</v>
      </c>
    </row>
    <row r="827" spans="1:16" s="97" customFormat="1" x14ac:dyDescent="0.25">
      <c r="A827" s="45" t="s">
        <v>1617</v>
      </c>
      <c r="B827" s="46" t="s">
        <v>1604</v>
      </c>
      <c r="C827" s="47" t="s">
        <v>113</v>
      </c>
      <c r="D827" s="75" t="s">
        <v>1177</v>
      </c>
      <c r="E827" s="47" t="s">
        <v>667</v>
      </c>
      <c r="F827" s="47" t="s">
        <v>2006</v>
      </c>
      <c r="G827" s="75" t="s">
        <v>68</v>
      </c>
      <c r="H827" s="75" t="s">
        <v>654</v>
      </c>
      <c r="I827" s="47"/>
      <c r="J827" s="48" t="s">
        <v>708</v>
      </c>
      <c r="K827" s="116">
        <f>ROUND(Tableau16[[#This Row],[LEN]]*7.27,0)</f>
        <v>233</v>
      </c>
      <c r="L827" s="116">
        <v>15</v>
      </c>
      <c r="M827" s="133" t="str">
        <f t="shared" si="5"/>
        <v>none</v>
      </c>
      <c r="N827" s="116">
        <f>LEN(Tableau16[[#This Row],[LABEL]])</f>
        <v>32</v>
      </c>
      <c r="O827" s="116">
        <v>15</v>
      </c>
      <c r="P827" s="116" t="e">
        <f>ROUND(Tableau16[[#This Row],[LEN]]*#REF!+#REF!,0)</f>
        <v>#REF!</v>
      </c>
    </row>
    <row r="828" spans="1:16" s="97" customFormat="1" x14ac:dyDescent="0.25">
      <c r="A828" s="41" t="s">
        <v>1605</v>
      </c>
      <c r="B828" s="42" t="s">
        <v>300</v>
      </c>
      <c r="C828" s="43" t="s">
        <v>1618</v>
      </c>
      <c r="D828" s="74" t="s">
        <v>1177</v>
      </c>
      <c r="E828" s="43" t="s">
        <v>669</v>
      </c>
      <c r="F828" s="43" t="s">
        <v>678</v>
      </c>
      <c r="G828" s="74" t="s">
        <v>68</v>
      </c>
      <c r="H828" s="74" t="s">
        <v>656</v>
      </c>
      <c r="I828" s="43"/>
      <c r="J828" s="44" t="s">
        <v>708</v>
      </c>
      <c r="K828" s="115">
        <f>ROUND(Tableau16[[#This Row],[LEN]]*7.27,0)</f>
        <v>225</v>
      </c>
      <c r="L828" s="115">
        <v>15</v>
      </c>
      <c r="M828" s="132" t="str">
        <f t="shared" si="5"/>
        <v>none</v>
      </c>
      <c r="N828" s="115">
        <f>LEN(Tableau16[[#This Row],[LABEL]])</f>
        <v>31</v>
      </c>
      <c r="O828" s="115">
        <v>15</v>
      </c>
      <c r="P828" s="115" t="e">
        <f>ROUND(Tableau16[[#This Row],[LEN]]*#REF!+#REF!,0)</f>
        <v>#REF!</v>
      </c>
    </row>
    <row r="829" spans="1:16" s="97" customFormat="1" x14ac:dyDescent="0.25">
      <c r="A829" s="41" t="s">
        <v>1606</v>
      </c>
      <c r="B829" s="42" t="s">
        <v>300</v>
      </c>
      <c r="C829" s="43" t="s">
        <v>1620</v>
      </c>
      <c r="D829" s="74" t="s">
        <v>1177</v>
      </c>
      <c r="E829" s="43" t="s">
        <v>675</v>
      </c>
      <c r="F829" s="43" t="s">
        <v>678</v>
      </c>
      <c r="G829" s="74" t="s">
        <v>68</v>
      </c>
      <c r="H829" s="74" t="s">
        <v>654</v>
      </c>
      <c r="I829" s="43"/>
      <c r="J829" s="44" t="s">
        <v>708</v>
      </c>
      <c r="K829" s="115">
        <f>ROUND(Tableau16[[#This Row],[LEN]]*7.27,0)</f>
        <v>262</v>
      </c>
      <c r="L829" s="115">
        <v>15</v>
      </c>
      <c r="M829" s="132" t="str">
        <f t="shared" si="5"/>
        <v>none</v>
      </c>
      <c r="N829" s="115">
        <f>LEN(Tableau16[[#This Row],[LABEL]])</f>
        <v>36</v>
      </c>
      <c r="O829" s="115">
        <v>15</v>
      </c>
      <c r="P829" s="115" t="e">
        <f>ROUND(Tableau16[[#This Row],[LEN]]*#REF!+#REF!,0)</f>
        <v>#REF!</v>
      </c>
    </row>
    <row r="830" spans="1:16" s="97" customFormat="1" x14ac:dyDescent="0.25">
      <c r="A830" s="41" t="s">
        <v>1607</v>
      </c>
      <c r="B830" s="42" t="s">
        <v>300</v>
      </c>
      <c r="C830" s="43" t="s">
        <v>1622</v>
      </c>
      <c r="D830" s="74" t="s">
        <v>1177</v>
      </c>
      <c r="E830" s="43" t="s">
        <v>678</v>
      </c>
      <c r="F830" s="43" t="s">
        <v>1177</v>
      </c>
      <c r="G830" s="74" t="s">
        <v>68</v>
      </c>
      <c r="H830" s="74" t="s">
        <v>654</v>
      </c>
      <c r="I830" s="43"/>
      <c r="J830" s="44" t="s">
        <v>708</v>
      </c>
      <c r="K830" s="115">
        <f>ROUND(Tableau16[[#This Row],[LEN]]*7.27,0)</f>
        <v>465</v>
      </c>
      <c r="L830" s="115">
        <v>15</v>
      </c>
      <c r="M830" s="132" t="str">
        <f t="shared" si="5"/>
        <v>none</v>
      </c>
      <c r="N830" s="115">
        <f>LEN(Tableau16[[#This Row],[LABEL]])</f>
        <v>64</v>
      </c>
      <c r="O830" s="115">
        <v>15</v>
      </c>
      <c r="P830" s="115" t="e">
        <f>ROUND(Tableau16[[#This Row],[LEN]]*#REF!+#REF!,0)</f>
        <v>#REF!</v>
      </c>
    </row>
    <row r="831" spans="1:16" s="97" customFormat="1" x14ac:dyDescent="0.25">
      <c r="A831" s="41" t="s">
        <v>1608</v>
      </c>
      <c r="B831" s="42" t="s">
        <v>300</v>
      </c>
      <c r="C831" s="43" t="s">
        <v>1372</v>
      </c>
      <c r="D831" s="74" t="s">
        <v>1177</v>
      </c>
      <c r="E831" s="43" t="s">
        <v>678</v>
      </c>
      <c r="F831" s="43" t="s">
        <v>1177</v>
      </c>
      <c r="G831" s="74" t="s">
        <v>68</v>
      </c>
      <c r="H831" s="74" t="s">
        <v>655</v>
      </c>
      <c r="I831" s="43"/>
      <c r="J831" s="44" t="s">
        <v>708</v>
      </c>
      <c r="K831" s="115">
        <f>ROUND(Tableau16[[#This Row],[LEN]]*7.27,0)</f>
        <v>80</v>
      </c>
      <c r="L831" s="115">
        <v>15</v>
      </c>
      <c r="M831" s="132" t="str">
        <f t="shared" si="5"/>
        <v>none</v>
      </c>
      <c r="N831" s="115">
        <f>LEN(Tableau16[[#This Row],[LABEL]])</f>
        <v>11</v>
      </c>
      <c r="O831" s="115">
        <v>15</v>
      </c>
      <c r="P831" s="115" t="e">
        <f>ROUND(Tableau16[[#This Row],[LEN]]*#REF!+#REF!,0)</f>
        <v>#REF!</v>
      </c>
    </row>
    <row r="832" spans="1:16" s="97" customFormat="1" x14ac:dyDescent="0.25">
      <c r="A832" s="45" t="s">
        <v>1623</v>
      </c>
      <c r="B832" s="46" t="s">
        <v>1608</v>
      </c>
      <c r="C832" s="47" t="s">
        <v>1625</v>
      </c>
      <c r="D832" s="75" t="s">
        <v>1177</v>
      </c>
      <c r="E832" s="47" t="s">
        <v>678</v>
      </c>
      <c r="F832" s="47" t="s">
        <v>1177</v>
      </c>
      <c r="G832" s="75" t="s">
        <v>68</v>
      </c>
      <c r="H832" s="75" t="s">
        <v>654</v>
      </c>
      <c r="I832" s="47"/>
      <c r="J832" s="48" t="s">
        <v>708</v>
      </c>
      <c r="K832" s="116">
        <f>ROUND(Tableau16[[#This Row],[LEN]]*7.27,0)</f>
        <v>109</v>
      </c>
      <c r="L832" s="116">
        <v>15</v>
      </c>
      <c r="M832" s="133" t="str">
        <f t="shared" si="5"/>
        <v>none</v>
      </c>
      <c r="N832" s="116">
        <f>LEN(Tableau16[[#This Row],[LABEL]])</f>
        <v>15</v>
      </c>
      <c r="O832" s="116">
        <v>15</v>
      </c>
      <c r="P832" s="116" t="e">
        <f>ROUND(Tableau16[[#This Row],[LEN]]*#REF!+#REF!,0)</f>
        <v>#REF!</v>
      </c>
    </row>
    <row r="833" spans="1:16" s="97" customFormat="1" x14ac:dyDescent="0.25">
      <c r="A833" s="45" t="s">
        <v>1624</v>
      </c>
      <c r="B833" s="46" t="s">
        <v>1608</v>
      </c>
      <c r="C833" s="47" t="s">
        <v>1626</v>
      </c>
      <c r="D833" s="75" t="s">
        <v>1177</v>
      </c>
      <c r="E833" s="47" t="s">
        <v>678</v>
      </c>
      <c r="F833" s="47" t="s">
        <v>1177</v>
      </c>
      <c r="G833" s="75" t="s">
        <v>68</v>
      </c>
      <c r="H833" s="75" t="s">
        <v>654</v>
      </c>
      <c r="I833" s="47"/>
      <c r="J833" s="48" t="s">
        <v>708</v>
      </c>
      <c r="K833" s="116">
        <f>ROUND(Tableau16[[#This Row],[LEN]]*7.27,0)</f>
        <v>124</v>
      </c>
      <c r="L833" s="116">
        <v>15</v>
      </c>
      <c r="M833" s="133" t="str">
        <f t="shared" si="5"/>
        <v>none</v>
      </c>
      <c r="N833" s="116">
        <f>LEN(Tableau16[[#This Row],[LABEL]])</f>
        <v>17</v>
      </c>
      <c r="O833" s="116">
        <v>15</v>
      </c>
      <c r="P833" s="116" t="e">
        <f>ROUND(Tableau16[[#This Row],[LEN]]*#REF!+#REF!,0)</f>
        <v>#REF!</v>
      </c>
    </row>
    <row r="834" spans="1:16" s="97" customFormat="1" x14ac:dyDescent="0.25">
      <c r="A834" s="41" t="s">
        <v>1609</v>
      </c>
      <c r="B834" s="42" t="s">
        <v>300</v>
      </c>
      <c r="C834" s="43" t="s">
        <v>1627</v>
      </c>
      <c r="D834" s="74" t="s">
        <v>1177</v>
      </c>
      <c r="E834" s="43" t="s">
        <v>678</v>
      </c>
      <c r="F834" s="43" t="s">
        <v>1177</v>
      </c>
      <c r="G834" s="74" t="s">
        <v>68</v>
      </c>
      <c r="H834" s="74" t="s">
        <v>654</v>
      </c>
      <c r="I834" s="43"/>
      <c r="J834" s="44" t="s">
        <v>708</v>
      </c>
      <c r="K834" s="115">
        <f>ROUND(Tableau16[[#This Row],[LEN]]*7.27,0)</f>
        <v>334</v>
      </c>
      <c r="L834" s="115">
        <v>15</v>
      </c>
      <c r="M834" s="132" t="str">
        <f t="shared" si="5"/>
        <v>none</v>
      </c>
      <c r="N834" s="115">
        <f>LEN(Tableau16[[#This Row],[LABEL]])</f>
        <v>46</v>
      </c>
      <c r="O834" s="115">
        <v>15</v>
      </c>
      <c r="P834" s="115" t="e">
        <f>ROUND(Tableau16[[#This Row],[LEN]]*#REF!+#REF!,0)</f>
        <v>#REF!</v>
      </c>
    </row>
    <row r="835" spans="1:16" s="97" customFormat="1" x14ac:dyDescent="0.25">
      <c r="A835" s="41" t="s">
        <v>1610</v>
      </c>
      <c r="B835" s="42" t="s">
        <v>300</v>
      </c>
      <c r="C835" s="43" t="s">
        <v>1628</v>
      </c>
      <c r="D835" s="74" t="s">
        <v>1177</v>
      </c>
      <c r="E835" s="43" t="s">
        <v>678</v>
      </c>
      <c r="F835" s="43" t="s">
        <v>1177</v>
      </c>
      <c r="G835" s="74" t="s">
        <v>68</v>
      </c>
      <c r="H835" s="74" t="s">
        <v>655</v>
      </c>
      <c r="I835" s="43"/>
      <c r="J835" s="44" t="s">
        <v>708</v>
      </c>
      <c r="K835" s="115">
        <f>ROUND(Tableau16[[#This Row],[LEN]]*7.27,0)</f>
        <v>225</v>
      </c>
      <c r="L835" s="115">
        <v>15</v>
      </c>
      <c r="M835" s="132" t="str">
        <f t="shared" si="5"/>
        <v>none</v>
      </c>
      <c r="N835" s="115">
        <f>LEN(Tableau16[[#This Row],[LABEL]])</f>
        <v>31</v>
      </c>
      <c r="O835" s="115">
        <v>15</v>
      </c>
      <c r="P835" s="115" t="e">
        <f>ROUND(Tableau16[[#This Row],[LEN]]*#REF!+#REF!,0)</f>
        <v>#REF!</v>
      </c>
    </row>
    <row r="836" spans="1:16" s="97" customFormat="1" x14ac:dyDescent="0.25">
      <c r="A836" s="45" t="s">
        <v>1629</v>
      </c>
      <c r="B836" s="46" t="s">
        <v>1610</v>
      </c>
      <c r="C836" s="47" t="s">
        <v>1633</v>
      </c>
      <c r="D836" s="75" t="s">
        <v>1177</v>
      </c>
      <c r="E836" s="47" t="s">
        <v>678</v>
      </c>
      <c r="F836" s="47" t="s">
        <v>1177</v>
      </c>
      <c r="G836" s="75" t="s">
        <v>68</v>
      </c>
      <c r="H836" s="75" t="s">
        <v>656</v>
      </c>
      <c r="I836" s="47"/>
      <c r="J836" s="48" t="s">
        <v>708</v>
      </c>
      <c r="K836" s="116">
        <f>ROUND(Tableau16[[#This Row],[LEN]]*7.27,0)</f>
        <v>22</v>
      </c>
      <c r="L836" s="116">
        <v>15</v>
      </c>
      <c r="M836" s="133" t="str">
        <f t="shared" si="5"/>
        <v>none</v>
      </c>
      <c r="N836" s="116">
        <f>LEN(Tableau16[[#This Row],[LABEL]])</f>
        <v>3</v>
      </c>
      <c r="O836" s="116">
        <v>15</v>
      </c>
      <c r="P836" s="116" t="e">
        <f>ROUND(Tableau16[[#This Row],[LEN]]*#REF!+#REF!,0)</f>
        <v>#REF!</v>
      </c>
    </row>
    <row r="837" spans="1:16" s="97" customFormat="1" x14ac:dyDescent="0.25">
      <c r="A837" s="45" t="s">
        <v>1630</v>
      </c>
      <c r="B837" s="46" t="s">
        <v>1610</v>
      </c>
      <c r="C837" s="47" t="s">
        <v>1634</v>
      </c>
      <c r="D837" s="75" t="s">
        <v>1177</v>
      </c>
      <c r="E837" s="47" t="s">
        <v>678</v>
      </c>
      <c r="F837" s="47" t="s">
        <v>1177</v>
      </c>
      <c r="G837" s="75" t="s">
        <v>68</v>
      </c>
      <c r="H837" s="75" t="s">
        <v>656</v>
      </c>
      <c r="I837" s="47"/>
      <c r="J837" s="48" t="s">
        <v>708</v>
      </c>
      <c r="K837" s="116">
        <f>ROUND(Tableau16[[#This Row],[LEN]]*7.27,0)</f>
        <v>80</v>
      </c>
      <c r="L837" s="116">
        <v>15</v>
      </c>
      <c r="M837" s="133" t="str">
        <f t="shared" si="5"/>
        <v>none</v>
      </c>
      <c r="N837" s="116">
        <f>LEN(Tableau16[[#This Row],[LABEL]])</f>
        <v>11</v>
      </c>
      <c r="O837" s="116">
        <v>15</v>
      </c>
      <c r="P837" s="116" t="e">
        <f>ROUND(Tableau16[[#This Row],[LEN]]*#REF!+#REF!,0)</f>
        <v>#REF!</v>
      </c>
    </row>
    <row r="838" spans="1:16" s="97" customFormat="1" x14ac:dyDescent="0.25">
      <c r="A838" s="45" t="s">
        <v>1631</v>
      </c>
      <c r="B838" s="46" t="s">
        <v>1610</v>
      </c>
      <c r="C838" s="47" t="s">
        <v>1635</v>
      </c>
      <c r="D838" s="75" t="s">
        <v>1177</v>
      </c>
      <c r="E838" s="47" t="s">
        <v>678</v>
      </c>
      <c r="F838" s="47" t="s">
        <v>1177</v>
      </c>
      <c r="G838" s="75" t="s">
        <v>68</v>
      </c>
      <c r="H838" s="75" t="s">
        <v>656</v>
      </c>
      <c r="I838" s="47"/>
      <c r="J838" s="48" t="s">
        <v>708</v>
      </c>
      <c r="K838" s="116">
        <f>ROUND(Tableau16[[#This Row],[LEN]]*7.27,0)</f>
        <v>131</v>
      </c>
      <c r="L838" s="116">
        <v>15</v>
      </c>
      <c r="M838" s="133" t="str">
        <f t="shared" si="5"/>
        <v>none</v>
      </c>
      <c r="N838" s="116">
        <f>LEN(Tableau16[[#This Row],[LABEL]])</f>
        <v>18</v>
      </c>
      <c r="O838" s="116">
        <v>15</v>
      </c>
      <c r="P838" s="116" t="e">
        <f>ROUND(Tableau16[[#This Row],[LEN]]*#REF!+#REF!,0)</f>
        <v>#REF!</v>
      </c>
    </row>
    <row r="839" spans="1:16" s="97" customFormat="1" x14ac:dyDescent="0.25">
      <c r="A839" s="45" t="s">
        <v>1632</v>
      </c>
      <c r="B839" s="46" t="s">
        <v>1610</v>
      </c>
      <c r="C839" s="47" t="s">
        <v>1636</v>
      </c>
      <c r="D839" s="75" t="s">
        <v>1177</v>
      </c>
      <c r="E839" s="47" t="s">
        <v>678</v>
      </c>
      <c r="F839" s="47" t="s">
        <v>1177</v>
      </c>
      <c r="G839" s="75" t="s">
        <v>68</v>
      </c>
      <c r="H839" s="75" t="s">
        <v>656</v>
      </c>
      <c r="I839" s="47"/>
      <c r="J839" s="48" t="s">
        <v>708</v>
      </c>
      <c r="K839" s="116">
        <f>ROUND(Tableau16[[#This Row],[LEN]]*7.27,0)</f>
        <v>95</v>
      </c>
      <c r="L839" s="116">
        <v>15</v>
      </c>
      <c r="M839" s="133" t="str">
        <f t="shared" si="5"/>
        <v>none</v>
      </c>
      <c r="N839" s="116">
        <f>LEN(Tableau16[[#This Row],[LABEL]])</f>
        <v>13</v>
      </c>
      <c r="O839" s="116">
        <v>15</v>
      </c>
      <c r="P839" s="116" t="e">
        <f>ROUND(Tableau16[[#This Row],[LEN]]*#REF!+#REF!,0)</f>
        <v>#REF!</v>
      </c>
    </row>
    <row r="840" spans="1:16" s="273" customFormat="1" x14ac:dyDescent="0.25">
      <c r="A840" s="337" t="s">
        <v>301</v>
      </c>
      <c r="B840" s="338" t="s">
        <v>208</v>
      </c>
      <c r="C840" s="339" t="s">
        <v>15</v>
      </c>
      <c r="D840" s="340" t="s">
        <v>1177</v>
      </c>
      <c r="E840" s="339" t="s">
        <v>679</v>
      </c>
      <c r="F840" s="339" t="s">
        <v>1177</v>
      </c>
      <c r="G840" s="340" t="s">
        <v>68</v>
      </c>
      <c r="H840" s="340" t="str">
        <f>IFERROR(IF(SEARCH(".00.00.00.00.00",Tableau16[[#This Row],[name]],1)=7,"Division",""),"")</f>
        <v>Division</v>
      </c>
      <c r="I840" s="339"/>
      <c r="J840" s="341" t="s">
        <v>708</v>
      </c>
      <c r="K840" s="342">
        <f>ROUND(Tableau16[[#This Row],[LEN]]*7.27,0)</f>
        <v>174</v>
      </c>
      <c r="L840" s="342">
        <v>15</v>
      </c>
      <c r="M840" s="343" t="str">
        <f t="shared" si="5"/>
        <v>none</v>
      </c>
      <c r="N840" s="342">
        <f>LEN(Tableau16[[#This Row],[LABEL]])</f>
        <v>24</v>
      </c>
      <c r="O840" s="342">
        <v>15</v>
      </c>
      <c r="P840" s="342" t="e">
        <f>ROUND(Tableau16[[#This Row],[LEN]]*#REF!+#REF!,0)</f>
        <v>#REF!</v>
      </c>
    </row>
    <row r="841" spans="1:16" s="97" customFormat="1" x14ac:dyDescent="0.25">
      <c r="A841" s="41" t="s">
        <v>1637</v>
      </c>
      <c r="B841" s="42" t="s">
        <v>301</v>
      </c>
      <c r="C841" s="43" t="s">
        <v>849</v>
      </c>
      <c r="D841" s="74" t="s">
        <v>1177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115">
        <f>ROUND(Tableau16[[#This Row],[LEN]]*7.27,0)</f>
        <v>80</v>
      </c>
      <c r="L841" s="115">
        <v>15</v>
      </c>
      <c r="M841" s="132" t="str">
        <f t="shared" si="5"/>
        <v>none</v>
      </c>
      <c r="N841" s="115">
        <f>LEN(Tableau16[[#This Row],[LABEL]])</f>
        <v>11</v>
      </c>
      <c r="O841" s="115">
        <v>15</v>
      </c>
      <c r="P841" s="115" t="e">
        <f>ROUND(Tableau16[[#This Row],[LEN]]*#REF!+#REF!,0)</f>
        <v>#REF!</v>
      </c>
    </row>
    <row r="842" spans="1:16" s="97" customFormat="1" x14ac:dyDescent="0.25">
      <c r="A842" s="45" t="s">
        <v>1640</v>
      </c>
      <c r="B842" s="46" t="s">
        <v>1637</v>
      </c>
      <c r="C842" s="47" t="s">
        <v>112</v>
      </c>
      <c r="D842" s="75" t="s">
        <v>1177</v>
      </c>
      <c r="E842" s="47" t="s">
        <v>667</v>
      </c>
      <c r="F842" s="47" t="s">
        <v>2006</v>
      </c>
      <c r="G842" s="75" t="s">
        <v>68</v>
      </c>
      <c r="H842" s="75" t="s">
        <v>654</v>
      </c>
      <c r="I842" s="47"/>
      <c r="J842" s="48" t="s">
        <v>708</v>
      </c>
      <c r="K842" s="116">
        <f>ROUND(Tableau16[[#This Row],[LEN]]*7.27,0)</f>
        <v>167</v>
      </c>
      <c r="L842" s="116">
        <v>15</v>
      </c>
      <c r="M842" s="133" t="str">
        <f t="shared" si="5"/>
        <v>none</v>
      </c>
      <c r="N842" s="116">
        <f>LEN(Tableau16[[#This Row],[LABEL]])</f>
        <v>23</v>
      </c>
      <c r="O842" s="116">
        <v>15</v>
      </c>
      <c r="P842" s="116" t="e">
        <f>ROUND(Tableau16[[#This Row],[LEN]]*#REF!+#REF!,0)</f>
        <v>#REF!</v>
      </c>
    </row>
    <row r="843" spans="1:16" s="97" customFormat="1" x14ac:dyDescent="0.25">
      <c r="A843" s="45" t="s">
        <v>1641</v>
      </c>
      <c r="B843" s="46" t="s">
        <v>1637</v>
      </c>
      <c r="C843" s="47" t="s">
        <v>113</v>
      </c>
      <c r="D843" s="75" t="s">
        <v>1177</v>
      </c>
      <c r="E843" s="47" t="s">
        <v>667</v>
      </c>
      <c r="F843" s="47" t="s">
        <v>2006</v>
      </c>
      <c r="G843" s="75" t="s">
        <v>68</v>
      </c>
      <c r="H843" s="75" t="s">
        <v>654</v>
      </c>
      <c r="I843" s="47"/>
      <c r="J843" s="48" t="s">
        <v>708</v>
      </c>
      <c r="K843" s="116">
        <f>ROUND(Tableau16[[#This Row],[LEN]]*7.27,0)</f>
        <v>233</v>
      </c>
      <c r="L843" s="116">
        <v>15</v>
      </c>
      <c r="M843" s="133" t="str">
        <f t="shared" si="5"/>
        <v>none</v>
      </c>
      <c r="N843" s="116">
        <f>LEN(Tableau16[[#This Row],[LABEL]])</f>
        <v>32</v>
      </c>
      <c r="O843" s="116">
        <v>15</v>
      </c>
      <c r="P843" s="116" t="e">
        <f>ROUND(Tableau16[[#This Row],[LEN]]*#REF!+#REF!,0)</f>
        <v>#REF!</v>
      </c>
    </row>
    <row r="844" spans="1:16" s="97" customFormat="1" x14ac:dyDescent="0.25">
      <c r="A844" s="41" t="s">
        <v>1638</v>
      </c>
      <c r="B844" s="42" t="s">
        <v>301</v>
      </c>
      <c r="C844" s="43" t="s">
        <v>1639</v>
      </c>
      <c r="D844" s="74" t="s">
        <v>1177</v>
      </c>
      <c r="E844" s="43" t="s">
        <v>679</v>
      </c>
      <c r="F844" s="43" t="s">
        <v>675</v>
      </c>
      <c r="G844" s="74" t="s">
        <v>68</v>
      </c>
      <c r="H844" s="74" t="s">
        <v>654</v>
      </c>
      <c r="I844" s="43"/>
      <c r="J844" s="44" t="s">
        <v>708</v>
      </c>
      <c r="K844" s="115">
        <f>ROUND(Tableau16[[#This Row],[LEN]]*7.27,0)</f>
        <v>247</v>
      </c>
      <c r="L844" s="115">
        <v>15</v>
      </c>
      <c r="M844" s="132" t="str">
        <f t="shared" si="5"/>
        <v>none</v>
      </c>
      <c r="N844" s="115">
        <f>LEN(Tableau16[[#This Row],[LABEL]])</f>
        <v>34</v>
      </c>
      <c r="O844" s="115">
        <v>15</v>
      </c>
      <c r="P844" s="115" t="e">
        <f>ROUND(Tableau16[[#This Row],[LEN]]*#REF!+#REF!,0)</f>
        <v>#REF!</v>
      </c>
    </row>
    <row r="845" spans="1:16" s="273" customFormat="1" x14ac:dyDescent="0.25">
      <c r="A845" s="338" t="s">
        <v>284</v>
      </c>
      <c r="B845" s="338" t="s">
        <v>208</v>
      </c>
      <c r="C845" s="339" t="s">
        <v>1950</v>
      </c>
      <c r="D845" s="340" t="s">
        <v>1177</v>
      </c>
      <c r="E845" s="339" t="s">
        <v>1951</v>
      </c>
      <c r="F845" s="339" t="s">
        <v>1177</v>
      </c>
      <c r="G845" s="340" t="s">
        <v>68</v>
      </c>
      <c r="H845" s="340" t="str">
        <f>IFERROR(IF(SEARCH(".00.00.00.00.00",Tableau16[[#This Row],[name]],1)=7,"Division",""),"")</f>
        <v>Division</v>
      </c>
      <c r="I845" s="339"/>
      <c r="J845" s="341" t="s">
        <v>708</v>
      </c>
      <c r="K845" s="342">
        <f>ROUND(Tableau16[[#This Row],[LEN]]*7.27,0)</f>
        <v>51</v>
      </c>
      <c r="L845" s="342">
        <v>15</v>
      </c>
      <c r="M845" s="343" t="str">
        <f t="shared" si="5"/>
        <v>none</v>
      </c>
      <c r="N845" s="342">
        <f>LEN(Tableau16[[#This Row],[LABEL]])</f>
        <v>7</v>
      </c>
      <c r="O845" s="342">
        <v>15</v>
      </c>
      <c r="P845" s="342" t="e">
        <f>ROUND(Tableau16[[#This Row],[LEN]]*#REF!+#REF!,0)</f>
        <v>#REF!</v>
      </c>
    </row>
    <row r="846" spans="1:16" s="97" customFormat="1" x14ac:dyDescent="0.25">
      <c r="A846" s="41" t="s">
        <v>2011</v>
      </c>
      <c r="B846" s="42" t="s">
        <v>284</v>
      </c>
      <c r="C846" s="43" t="s">
        <v>2016</v>
      </c>
      <c r="D846" s="74" t="s">
        <v>1177</v>
      </c>
      <c r="E846" s="43" t="s">
        <v>1951</v>
      </c>
      <c r="F846" s="43" t="s">
        <v>1177</v>
      </c>
      <c r="G846" s="74" t="s">
        <v>68</v>
      </c>
      <c r="H846" s="74" t="s">
        <v>654</v>
      </c>
      <c r="I846" s="43"/>
      <c r="J846" s="44" t="s">
        <v>708</v>
      </c>
      <c r="K846" s="115">
        <f>ROUND(Tableau16[[#This Row],[LEN]]*7.27,0)</f>
        <v>538</v>
      </c>
      <c r="L846" s="115">
        <v>15</v>
      </c>
      <c r="M846" s="132" t="str">
        <f t="shared" si="5"/>
        <v>none</v>
      </c>
      <c r="N846" s="115">
        <f>LEN(Tableau16[[#This Row],[LABEL]])</f>
        <v>74</v>
      </c>
      <c r="O846" s="115">
        <v>15</v>
      </c>
      <c r="P846" s="115" t="e">
        <f>ROUND(Tableau16[[#This Row],[LEN]]*#REF!+#REF!,0)</f>
        <v>#REF!</v>
      </c>
    </row>
    <row r="847" spans="1:16" s="97" customFormat="1" x14ac:dyDescent="0.25">
      <c r="A847" s="41" t="s">
        <v>2012</v>
      </c>
      <c r="B847" s="42" t="s">
        <v>284</v>
      </c>
      <c r="C847" s="43" t="s">
        <v>2017</v>
      </c>
      <c r="D847" s="74" t="s">
        <v>1177</v>
      </c>
      <c r="E847" s="43" t="s">
        <v>1951</v>
      </c>
      <c r="F847" s="43" t="s">
        <v>1177</v>
      </c>
      <c r="G847" s="74" t="s">
        <v>68</v>
      </c>
      <c r="H847" s="74" t="s">
        <v>570</v>
      </c>
      <c r="I847" s="43"/>
      <c r="J847" s="44" t="s">
        <v>708</v>
      </c>
      <c r="K847" s="115">
        <f>ROUND(Tableau16[[#This Row],[LEN]]*7.27,0)</f>
        <v>422</v>
      </c>
      <c r="L847" s="115">
        <v>15</v>
      </c>
      <c r="M847" s="132" t="str">
        <f t="shared" si="5"/>
        <v>none</v>
      </c>
      <c r="N847" s="115">
        <f>LEN(Tableau16[[#This Row],[LABEL]])</f>
        <v>58</v>
      </c>
      <c r="O847" s="115">
        <v>15</v>
      </c>
      <c r="P847" s="115" t="e">
        <f>ROUND(Tableau16[[#This Row],[LEN]]*#REF!+#REF!,0)</f>
        <v>#REF!</v>
      </c>
    </row>
    <row r="848" spans="1:16" s="97" customFormat="1" x14ac:dyDescent="0.25">
      <c r="A848" s="41" t="s">
        <v>2013</v>
      </c>
      <c r="B848" s="42" t="s">
        <v>284</v>
      </c>
      <c r="C848" s="43" t="s">
        <v>849</v>
      </c>
      <c r="D848" s="74" t="s">
        <v>1177</v>
      </c>
      <c r="E848" s="43" t="s">
        <v>667</v>
      </c>
      <c r="F848" s="43" t="s">
        <v>840</v>
      </c>
      <c r="G848" s="74" t="s">
        <v>68</v>
      </c>
      <c r="H848" s="74" t="s">
        <v>655</v>
      </c>
      <c r="I848" s="43"/>
      <c r="J848" s="44" t="s">
        <v>708</v>
      </c>
      <c r="K848" s="115">
        <f>ROUND(Tableau16[[#This Row],[LEN]]*7.27,0)</f>
        <v>80</v>
      </c>
      <c r="L848" s="115">
        <v>15</v>
      </c>
      <c r="M848" s="132" t="str">
        <f t="shared" si="5"/>
        <v>none</v>
      </c>
      <c r="N848" s="115">
        <f>LEN(Tableau16[[#This Row],[LABEL]])</f>
        <v>11</v>
      </c>
      <c r="O848" s="115">
        <v>15</v>
      </c>
      <c r="P848" s="115" t="e">
        <f>ROUND(Tableau16[[#This Row],[LEN]]*#REF!+#REF!,0)</f>
        <v>#REF!</v>
      </c>
    </row>
    <row r="849" spans="1:16" s="97" customFormat="1" x14ac:dyDescent="0.25">
      <c r="A849" s="45" t="s">
        <v>2018</v>
      </c>
      <c r="B849" s="46" t="s">
        <v>2013</v>
      </c>
      <c r="C849" s="47" t="s">
        <v>112</v>
      </c>
      <c r="D849" s="75" t="s">
        <v>1177</v>
      </c>
      <c r="E849" s="47" t="s">
        <v>667</v>
      </c>
      <c r="F849" s="47" t="s">
        <v>2006</v>
      </c>
      <c r="G849" s="75" t="s">
        <v>68</v>
      </c>
      <c r="H849" s="75" t="s">
        <v>654</v>
      </c>
      <c r="I849" s="47"/>
      <c r="J849" s="48" t="s">
        <v>708</v>
      </c>
      <c r="K849" s="116">
        <f>ROUND(Tableau16[[#This Row],[LEN]]*7.27,0)</f>
        <v>167</v>
      </c>
      <c r="L849" s="116">
        <v>15</v>
      </c>
      <c r="M849" s="133" t="str">
        <f t="shared" si="5"/>
        <v>none</v>
      </c>
      <c r="N849" s="116">
        <f>LEN(Tableau16[[#This Row],[LABEL]])</f>
        <v>23</v>
      </c>
      <c r="O849" s="116">
        <v>15</v>
      </c>
      <c r="P849" s="116" t="e">
        <f>ROUND(Tableau16[[#This Row],[LEN]]*#REF!+#REF!,0)</f>
        <v>#REF!</v>
      </c>
    </row>
    <row r="850" spans="1:16" s="97" customFormat="1" ht="15.75" thickBot="1" x14ac:dyDescent="0.3">
      <c r="A850" s="45" t="s">
        <v>2019</v>
      </c>
      <c r="B850" s="46" t="s">
        <v>2013</v>
      </c>
      <c r="C850" s="47" t="s">
        <v>113</v>
      </c>
      <c r="D850" s="75" t="s">
        <v>1177</v>
      </c>
      <c r="E850" s="47" t="s">
        <v>667</v>
      </c>
      <c r="F850" s="47" t="s">
        <v>2006</v>
      </c>
      <c r="G850" s="75" t="s">
        <v>68</v>
      </c>
      <c r="H850" s="75" t="s">
        <v>654</v>
      </c>
      <c r="I850" s="47"/>
      <c r="J850" s="48" t="s">
        <v>708</v>
      </c>
      <c r="K850" s="116">
        <f>ROUND(Tableau16[[#This Row],[LEN]]*7.27,0)</f>
        <v>233</v>
      </c>
      <c r="L850" s="116">
        <v>15</v>
      </c>
      <c r="M850" s="133" t="str">
        <f t="shared" si="5"/>
        <v>none</v>
      </c>
      <c r="N850" s="116">
        <f>LEN(Tableau16[[#This Row],[LABEL]])</f>
        <v>32</v>
      </c>
      <c r="O850" s="116">
        <v>15</v>
      </c>
      <c r="P850" s="116" t="e">
        <f>ROUND(Tableau16[[#This Row],[LEN]]*#REF!+#REF!,0)</f>
        <v>#REF!</v>
      </c>
    </row>
    <row r="851" spans="1:16" s="97" customFormat="1" ht="15.75" thickTop="1" x14ac:dyDescent="0.25">
      <c r="A851" s="156" t="s">
        <v>203</v>
      </c>
      <c r="B851" s="156" t="s">
        <v>198</v>
      </c>
      <c r="C851" s="157" t="s">
        <v>1162</v>
      </c>
      <c r="D851" s="158" t="s">
        <v>471</v>
      </c>
      <c r="E851" s="158" t="s">
        <v>1177</v>
      </c>
      <c r="F851" s="157" t="s">
        <v>1084</v>
      </c>
      <c r="G851" s="158" t="s">
        <v>171</v>
      </c>
      <c r="H851" s="158" t="s">
        <v>615</v>
      </c>
      <c r="I851" s="157"/>
      <c r="J851" s="159" t="s">
        <v>707</v>
      </c>
      <c r="K851" s="160">
        <f>ROUND(Tableau16[[#This Row],[LEN]]*7.27,0)</f>
        <v>124</v>
      </c>
      <c r="L851" s="160">
        <v>15</v>
      </c>
      <c r="M851" s="161" t="str">
        <f t="shared" si="5"/>
        <v>new</v>
      </c>
      <c r="N851" s="160">
        <f>LEN(Tableau16[[#This Row],[LABEL]])</f>
        <v>17</v>
      </c>
      <c r="O851" s="162">
        <v>15</v>
      </c>
      <c r="P851" s="162" t="e">
        <f>ROUND(Tableau16[[#This Row],[LEN]]*#REF!+#REF!,0)</f>
        <v>#REF!</v>
      </c>
    </row>
    <row r="852" spans="1:16" s="92" customFormat="1" ht="15.75" thickBot="1" x14ac:dyDescent="0.3">
      <c r="A852" s="191" t="s">
        <v>209</v>
      </c>
      <c r="B852" s="191" t="s">
        <v>203</v>
      </c>
      <c r="C852" s="192" t="s">
        <v>177</v>
      </c>
      <c r="D852" s="193" t="s">
        <v>0</v>
      </c>
      <c r="E852" s="192" t="s">
        <v>1177</v>
      </c>
      <c r="F852" s="193" t="s">
        <v>1177</v>
      </c>
      <c r="G852" s="192" t="s">
        <v>169</v>
      </c>
      <c r="H852" s="192" t="s">
        <v>616</v>
      </c>
      <c r="I852" s="193"/>
      <c r="J852" s="194" t="s">
        <v>708</v>
      </c>
      <c r="K852" s="195">
        <f>ROUND(Tableau16[[#This Row],[LEN]]*7.27,0)</f>
        <v>153</v>
      </c>
      <c r="L852" s="195">
        <v>15</v>
      </c>
      <c r="M852" s="196" t="str">
        <f t="shared" si="5"/>
        <v>none</v>
      </c>
      <c r="N852" s="195">
        <f>LEN(Tableau16[[#This Row],[LABEL]])</f>
        <v>21</v>
      </c>
      <c r="O852" s="197">
        <v>15</v>
      </c>
      <c r="P852" s="197" t="e">
        <f>ROUND(Tableau16[[#This Row],[LEN]]*#REF!+#REF!,0)</f>
        <v>#REF!</v>
      </c>
    </row>
    <row r="853" spans="1:16" s="273" customFormat="1" ht="15.75" thickTop="1" x14ac:dyDescent="0.25">
      <c r="A853" s="351" t="s">
        <v>303</v>
      </c>
      <c r="B853" s="352" t="s">
        <v>209</v>
      </c>
      <c r="C853" s="353" t="s">
        <v>57</v>
      </c>
      <c r="D853" s="354" t="s">
        <v>1177</v>
      </c>
      <c r="E853" s="353" t="s">
        <v>663</v>
      </c>
      <c r="F853" s="353" t="s">
        <v>1177</v>
      </c>
      <c r="G853" s="354" t="s">
        <v>169</v>
      </c>
      <c r="H853" s="354" t="str">
        <f>IFERROR(IF(SEARCH(".00.00.00.00.00",Tableau16[[#This Row],[name]],1)=7,"Division",""),"")</f>
        <v>Division</v>
      </c>
      <c r="I853" s="353"/>
      <c r="J853" s="355" t="s">
        <v>708</v>
      </c>
      <c r="K853" s="356">
        <f>ROUND(Tableau16[[#This Row],[LEN]]*7.27,0)</f>
        <v>102</v>
      </c>
      <c r="L853" s="356">
        <v>15</v>
      </c>
      <c r="M853" s="357" t="str">
        <f t="shared" si="5"/>
        <v>none</v>
      </c>
      <c r="N853" s="356">
        <f>LEN(Tableau16[[#This Row],[LABEL]])</f>
        <v>14</v>
      </c>
      <c r="O853" s="356">
        <v>15</v>
      </c>
      <c r="P853" s="356" t="e">
        <f>ROUND(Tableau16[[#This Row],[LEN]]*#REF!+#REF!,0)</f>
        <v>#REF!</v>
      </c>
    </row>
    <row r="854" spans="1:16" s="97" customFormat="1" x14ac:dyDescent="0.25">
      <c r="A854" s="49" t="s">
        <v>876</v>
      </c>
      <c r="B854" s="50" t="s">
        <v>303</v>
      </c>
      <c r="C854" s="51" t="s">
        <v>891</v>
      </c>
      <c r="D854" s="76" t="s">
        <v>1177</v>
      </c>
      <c r="E854" s="51" t="s">
        <v>663</v>
      </c>
      <c r="F854" s="51" t="s">
        <v>1177</v>
      </c>
      <c r="G854" s="76" t="s">
        <v>169</v>
      </c>
      <c r="H854" s="76" t="s">
        <v>655</v>
      </c>
      <c r="I854" s="51"/>
      <c r="J854" s="52" t="s">
        <v>708</v>
      </c>
      <c r="K854" s="117">
        <f>ROUND(Tableau16[[#This Row],[LEN]]*7.27,0)</f>
        <v>124</v>
      </c>
      <c r="L854" s="117">
        <v>15</v>
      </c>
      <c r="M854" s="134" t="str">
        <f t="shared" si="5"/>
        <v>none</v>
      </c>
      <c r="N854" s="117">
        <f>LEN(Tableau16[[#This Row],[LABEL]])</f>
        <v>17</v>
      </c>
      <c r="O854" s="117">
        <v>15</v>
      </c>
      <c r="P854" s="117" t="e">
        <f>ROUND(Tableau16[[#This Row],[LEN]]*#REF!+#REF!,0)</f>
        <v>#REF!</v>
      </c>
    </row>
    <row r="855" spans="1:16" s="97" customFormat="1" x14ac:dyDescent="0.25">
      <c r="A855" s="53" t="s">
        <v>884</v>
      </c>
      <c r="B855" s="54" t="s">
        <v>876</v>
      </c>
      <c r="C855" s="55" t="s">
        <v>890</v>
      </c>
      <c r="D855" s="77" t="s">
        <v>1177</v>
      </c>
      <c r="E855" s="55" t="s">
        <v>663</v>
      </c>
      <c r="F855" s="55" t="s">
        <v>1177</v>
      </c>
      <c r="G855" s="77" t="s">
        <v>169</v>
      </c>
      <c r="H855" s="77" t="s">
        <v>654</v>
      </c>
      <c r="I855" s="55"/>
      <c r="J855" s="56" t="s">
        <v>708</v>
      </c>
      <c r="K855" s="118">
        <f>ROUND(Tableau16[[#This Row],[LEN]]*7.27,0)</f>
        <v>138</v>
      </c>
      <c r="L855" s="118">
        <v>15</v>
      </c>
      <c r="M855" s="135" t="str">
        <f t="shared" si="5"/>
        <v>none</v>
      </c>
      <c r="N855" s="118">
        <f>LEN(Tableau16[[#This Row],[LABEL]])</f>
        <v>19</v>
      </c>
      <c r="O855" s="118">
        <v>15</v>
      </c>
      <c r="P855" s="118" t="e">
        <f>ROUND(Tableau16[[#This Row],[LEN]]*#REF!+#REF!,0)</f>
        <v>#REF!</v>
      </c>
    </row>
    <row r="856" spans="1:16" s="97" customFormat="1" x14ac:dyDescent="0.25">
      <c r="A856" s="53" t="s">
        <v>885</v>
      </c>
      <c r="B856" s="54" t="s">
        <v>876</v>
      </c>
      <c r="C856" s="55" t="s">
        <v>893</v>
      </c>
      <c r="D856" s="77" t="s">
        <v>1177</v>
      </c>
      <c r="E856" s="55" t="s">
        <v>663</v>
      </c>
      <c r="F856" s="55" t="s">
        <v>1177</v>
      </c>
      <c r="G856" s="77" t="s">
        <v>169</v>
      </c>
      <c r="H856" s="77" t="s">
        <v>656</v>
      </c>
      <c r="I856" s="55"/>
      <c r="J856" s="56" t="s">
        <v>708</v>
      </c>
      <c r="K856" s="118">
        <f>ROUND(Tableau16[[#This Row],[LEN]]*7.27,0)</f>
        <v>182</v>
      </c>
      <c r="L856" s="118">
        <v>15</v>
      </c>
      <c r="M856" s="135" t="str">
        <f t="shared" si="5"/>
        <v>none</v>
      </c>
      <c r="N856" s="118">
        <f>LEN(Tableau16[[#This Row],[LABEL]])</f>
        <v>25</v>
      </c>
      <c r="O856" s="118">
        <v>15</v>
      </c>
      <c r="P856" s="118" t="e">
        <f>ROUND(Tableau16[[#This Row],[LEN]]*#REF!+#REF!,0)</f>
        <v>#REF!</v>
      </c>
    </row>
    <row r="857" spans="1:16" s="97" customFormat="1" x14ac:dyDescent="0.25">
      <c r="A857" s="53" t="s">
        <v>886</v>
      </c>
      <c r="B857" s="54" t="s">
        <v>876</v>
      </c>
      <c r="C857" s="55" t="s">
        <v>894</v>
      </c>
      <c r="D857" s="77" t="s">
        <v>1177</v>
      </c>
      <c r="E857" s="55" t="s">
        <v>663</v>
      </c>
      <c r="F857" s="55" t="s">
        <v>1177</v>
      </c>
      <c r="G857" s="77" t="s">
        <v>169</v>
      </c>
      <c r="H857" s="77" t="s">
        <v>655</v>
      </c>
      <c r="I857" s="55"/>
      <c r="J857" s="56" t="s">
        <v>708</v>
      </c>
      <c r="K857" s="118">
        <f>ROUND(Tableau16[[#This Row],[LEN]]*7.27,0)</f>
        <v>153</v>
      </c>
      <c r="L857" s="118">
        <v>15</v>
      </c>
      <c r="M857" s="135" t="str">
        <f t="shared" si="5"/>
        <v>none</v>
      </c>
      <c r="N857" s="118">
        <f>LEN(Tableau16[[#This Row],[LABEL]])</f>
        <v>21</v>
      </c>
      <c r="O857" s="118">
        <v>15</v>
      </c>
      <c r="P857" s="118" t="e">
        <f>ROUND(Tableau16[[#This Row],[LEN]]*#REF!+#REF!,0)</f>
        <v>#REF!</v>
      </c>
    </row>
    <row r="858" spans="1:16" s="97" customFormat="1" x14ac:dyDescent="0.25">
      <c r="A858" s="57" t="s">
        <v>896</v>
      </c>
      <c r="B858" s="58" t="s">
        <v>886</v>
      </c>
      <c r="C858" s="59" t="s">
        <v>898</v>
      </c>
      <c r="D858" s="78" t="s">
        <v>1177</v>
      </c>
      <c r="E858" s="59" t="s">
        <v>663</v>
      </c>
      <c r="F858" s="59" t="s">
        <v>1177</v>
      </c>
      <c r="G858" s="78" t="s">
        <v>169</v>
      </c>
      <c r="H858" s="78" t="s">
        <v>656</v>
      </c>
      <c r="I858" s="59"/>
      <c r="J858" s="60" t="s">
        <v>708</v>
      </c>
      <c r="K858" s="119">
        <f>ROUND(Tableau16[[#This Row],[LEN]]*7.27,0)</f>
        <v>160</v>
      </c>
      <c r="L858" s="119">
        <v>15</v>
      </c>
      <c r="M858" s="136" t="str">
        <f t="shared" si="5"/>
        <v>none</v>
      </c>
      <c r="N858" s="119">
        <f>LEN(Tableau16[[#This Row],[LABEL]])</f>
        <v>22</v>
      </c>
      <c r="O858" s="119">
        <v>15</v>
      </c>
      <c r="P858" s="119" t="e">
        <f>ROUND(Tableau16[[#This Row],[LEN]]*#REF!+#REF!,0)</f>
        <v>#REF!</v>
      </c>
    </row>
    <row r="859" spans="1:16" s="97" customFormat="1" x14ac:dyDescent="0.25">
      <c r="A859" s="57" t="s">
        <v>897</v>
      </c>
      <c r="B859" s="58" t="s">
        <v>886</v>
      </c>
      <c r="C859" s="59" t="s">
        <v>899</v>
      </c>
      <c r="D859" s="78" t="s">
        <v>1177</v>
      </c>
      <c r="E859" s="59" t="s">
        <v>663</v>
      </c>
      <c r="F859" s="59" t="s">
        <v>1177</v>
      </c>
      <c r="G859" s="78" t="s">
        <v>169</v>
      </c>
      <c r="H859" s="78" t="s">
        <v>656</v>
      </c>
      <c r="I859" s="59"/>
      <c r="J859" s="60" t="s">
        <v>708</v>
      </c>
      <c r="K859" s="119">
        <f>ROUND(Tableau16[[#This Row],[LEN]]*7.27,0)</f>
        <v>204</v>
      </c>
      <c r="L859" s="119">
        <v>15</v>
      </c>
      <c r="M859" s="136" t="str">
        <f t="shared" si="5"/>
        <v>none</v>
      </c>
      <c r="N859" s="119">
        <f>LEN(Tableau16[[#This Row],[LABEL]])</f>
        <v>28</v>
      </c>
      <c r="O859" s="119">
        <v>15</v>
      </c>
      <c r="P859" s="119" t="e">
        <f>ROUND(Tableau16[[#This Row],[LEN]]*#REF!+#REF!,0)</f>
        <v>#REF!</v>
      </c>
    </row>
    <row r="860" spans="1:16" s="97" customFormat="1" x14ac:dyDescent="0.25">
      <c r="A860" s="53" t="s">
        <v>887</v>
      </c>
      <c r="B860" s="54" t="s">
        <v>876</v>
      </c>
      <c r="C860" s="55" t="s">
        <v>895</v>
      </c>
      <c r="D860" s="77" t="s">
        <v>1177</v>
      </c>
      <c r="E860" s="55" t="s">
        <v>663</v>
      </c>
      <c r="F860" s="55" t="s">
        <v>1177</v>
      </c>
      <c r="G860" s="77" t="s">
        <v>169</v>
      </c>
      <c r="H860" s="77" t="s">
        <v>654</v>
      </c>
      <c r="I860" s="55"/>
      <c r="J860" s="56" t="s">
        <v>708</v>
      </c>
      <c r="K860" s="118">
        <f>ROUND(Tableau16[[#This Row],[LEN]]*7.27,0)</f>
        <v>153</v>
      </c>
      <c r="L860" s="118">
        <v>15</v>
      </c>
      <c r="M860" s="135" t="str">
        <f t="shared" si="5"/>
        <v>none</v>
      </c>
      <c r="N860" s="118">
        <f>LEN(Tableau16[[#This Row],[LABEL]])</f>
        <v>21</v>
      </c>
      <c r="O860" s="118">
        <v>15</v>
      </c>
      <c r="P860" s="118" t="e">
        <f>ROUND(Tableau16[[#This Row],[LEN]]*#REF!+#REF!,0)</f>
        <v>#REF!</v>
      </c>
    </row>
    <row r="861" spans="1:16" s="97" customFormat="1" x14ac:dyDescent="0.25">
      <c r="A861" s="49" t="s">
        <v>877</v>
      </c>
      <c r="B861" s="50" t="s">
        <v>303</v>
      </c>
      <c r="C861" s="51" t="s">
        <v>881</v>
      </c>
      <c r="D861" s="76" t="s">
        <v>1177</v>
      </c>
      <c r="E861" s="51" t="s">
        <v>663</v>
      </c>
      <c r="F861" s="51" t="s">
        <v>1177</v>
      </c>
      <c r="G861" s="76" t="s">
        <v>169</v>
      </c>
      <c r="H861" s="76" t="s">
        <v>654</v>
      </c>
      <c r="I861" s="51"/>
      <c r="J861" s="52" t="s">
        <v>708</v>
      </c>
      <c r="K861" s="117">
        <f>ROUND(Tableau16[[#This Row],[LEN]]*7.27,0)</f>
        <v>189</v>
      </c>
      <c r="L861" s="117">
        <v>15</v>
      </c>
      <c r="M861" s="134" t="str">
        <f t="shared" si="5"/>
        <v>none</v>
      </c>
      <c r="N861" s="117">
        <f>LEN(Tableau16[[#This Row],[LABEL]])</f>
        <v>26</v>
      </c>
      <c r="O861" s="117">
        <v>15</v>
      </c>
      <c r="P861" s="117" t="e">
        <f>ROUND(Tableau16[[#This Row],[LEN]]*#REF!+#REF!,0)</f>
        <v>#REF!</v>
      </c>
    </row>
    <row r="862" spans="1:16" s="97" customFormat="1" x14ac:dyDescent="0.25">
      <c r="A862" s="49" t="s">
        <v>878</v>
      </c>
      <c r="B862" s="50" t="s">
        <v>303</v>
      </c>
      <c r="C862" s="51" t="s">
        <v>882</v>
      </c>
      <c r="D862" s="76" t="s">
        <v>1177</v>
      </c>
      <c r="E862" s="51" t="s">
        <v>663</v>
      </c>
      <c r="F862" s="51" t="s">
        <v>1177</v>
      </c>
      <c r="G862" s="76" t="s">
        <v>169</v>
      </c>
      <c r="H862" s="76" t="s">
        <v>654</v>
      </c>
      <c r="I862" s="51"/>
      <c r="J862" s="52" t="s">
        <v>708</v>
      </c>
      <c r="K862" s="117">
        <f>ROUND(Tableau16[[#This Row],[LEN]]*7.27,0)</f>
        <v>240</v>
      </c>
      <c r="L862" s="117">
        <v>15</v>
      </c>
      <c r="M862" s="134" t="str">
        <f t="shared" si="5"/>
        <v>none</v>
      </c>
      <c r="N862" s="117">
        <f>LEN(Tableau16[[#This Row],[LABEL]])</f>
        <v>33</v>
      </c>
      <c r="O862" s="117">
        <v>15</v>
      </c>
      <c r="P862" s="117" t="e">
        <f>ROUND(Tableau16[[#This Row],[LEN]]*#REF!+#REF!,0)</f>
        <v>#REF!</v>
      </c>
    </row>
    <row r="863" spans="1:16" s="97" customFormat="1" x14ac:dyDescent="0.25">
      <c r="A863" s="49" t="s">
        <v>879</v>
      </c>
      <c r="B863" s="50" t="s">
        <v>303</v>
      </c>
      <c r="C863" s="51" t="s">
        <v>883</v>
      </c>
      <c r="D863" s="76" t="s">
        <v>1177</v>
      </c>
      <c r="E863" s="51" t="s">
        <v>663</v>
      </c>
      <c r="F863" s="51" t="s">
        <v>1177</v>
      </c>
      <c r="G863" s="76" t="s">
        <v>169</v>
      </c>
      <c r="H863" s="76" t="s">
        <v>17</v>
      </c>
      <c r="I863" s="51"/>
      <c r="J863" s="52" t="s">
        <v>708</v>
      </c>
      <c r="K863" s="117">
        <f>ROUND(Tableau16[[#This Row],[LEN]]*7.27,0)</f>
        <v>276</v>
      </c>
      <c r="L863" s="117">
        <v>15</v>
      </c>
      <c r="M863" s="134" t="str">
        <f t="shared" si="5"/>
        <v>none</v>
      </c>
      <c r="N863" s="117">
        <f>LEN(Tableau16[[#This Row],[LABEL]])</f>
        <v>38</v>
      </c>
      <c r="O863" s="117">
        <v>15</v>
      </c>
      <c r="P863" s="117" t="e">
        <f>ROUND(Tableau16[[#This Row],[LEN]]*#REF!+#REF!,0)</f>
        <v>#REF!</v>
      </c>
    </row>
    <row r="864" spans="1:16" s="97" customFormat="1" x14ac:dyDescent="0.25">
      <c r="A864" s="49" t="s">
        <v>880</v>
      </c>
      <c r="B864" s="50" t="s">
        <v>303</v>
      </c>
      <c r="C864" s="51" t="s">
        <v>892</v>
      </c>
      <c r="D864" s="76" t="s">
        <v>1177</v>
      </c>
      <c r="E864" s="51" t="s">
        <v>663</v>
      </c>
      <c r="F864" s="51" t="s">
        <v>1177</v>
      </c>
      <c r="G864" s="76" t="s">
        <v>169</v>
      </c>
      <c r="H864" s="76" t="s">
        <v>655</v>
      </c>
      <c r="I864" s="51"/>
      <c r="J864" s="52" t="s">
        <v>708</v>
      </c>
      <c r="K864" s="117">
        <f>ROUND(Tableau16[[#This Row],[LEN]]*7.27,0)</f>
        <v>131</v>
      </c>
      <c r="L864" s="117">
        <v>15</v>
      </c>
      <c r="M864" s="134" t="str">
        <f t="shared" si="5"/>
        <v>none</v>
      </c>
      <c r="N864" s="117">
        <f>LEN(Tableau16[[#This Row],[LABEL]])</f>
        <v>18</v>
      </c>
      <c r="O864" s="117">
        <v>15</v>
      </c>
      <c r="P864" s="117" t="e">
        <f>ROUND(Tableau16[[#This Row],[LEN]]*#REF!+#REF!,0)</f>
        <v>#REF!</v>
      </c>
    </row>
    <row r="865" spans="1:16" s="97" customFormat="1" x14ac:dyDescent="0.25">
      <c r="A865" s="53" t="s">
        <v>888</v>
      </c>
      <c r="B865" s="54" t="s">
        <v>880</v>
      </c>
      <c r="C865" s="55" t="s">
        <v>900</v>
      </c>
      <c r="D865" s="77" t="s">
        <v>1177</v>
      </c>
      <c r="E865" s="55" t="s">
        <v>663</v>
      </c>
      <c r="F865" s="55" t="s">
        <v>1177</v>
      </c>
      <c r="G865" s="77" t="s">
        <v>169</v>
      </c>
      <c r="H865" s="77" t="s">
        <v>570</v>
      </c>
      <c r="I865" s="55"/>
      <c r="J865" s="56" t="s">
        <v>708</v>
      </c>
      <c r="K865" s="118">
        <f>ROUND(Tableau16[[#This Row],[LEN]]*7.27,0)</f>
        <v>73</v>
      </c>
      <c r="L865" s="118">
        <v>15</v>
      </c>
      <c r="M865" s="135" t="str">
        <f t="shared" si="5"/>
        <v>none</v>
      </c>
      <c r="N865" s="118">
        <f>LEN(Tableau16[[#This Row],[LABEL]])</f>
        <v>10</v>
      </c>
      <c r="O865" s="118">
        <v>15</v>
      </c>
      <c r="P865" s="118" t="e">
        <f>ROUND(Tableau16[[#This Row],[LEN]]*#REF!+#REF!,0)</f>
        <v>#REF!</v>
      </c>
    </row>
    <row r="866" spans="1:16" s="97" customFormat="1" x14ac:dyDescent="0.25">
      <c r="A866" s="53" t="s">
        <v>889</v>
      </c>
      <c r="B866" s="54" t="s">
        <v>880</v>
      </c>
      <c r="C866" s="55" t="s">
        <v>901</v>
      </c>
      <c r="D866" s="77" t="s">
        <v>1177</v>
      </c>
      <c r="E866" s="55" t="s">
        <v>663</v>
      </c>
      <c r="F866" s="55" t="s">
        <v>1177</v>
      </c>
      <c r="G866" s="77" t="s">
        <v>169</v>
      </c>
      <c r="H866" s="77" t="s">
        <v>654</v>
      </c>
      <c r="I866" s="55"/>
      <c r="J866" s="56" t="s">
        <v>708</v>
      </c>
      <c r="K866" s="118">
        <f>ROUND(Tableau16[[#This Row],[LEN]]*7.27,0)</f>
        <v>116</v>
      </c>
      <c r="L866" s="118">
        <v>15</v>
      </c>
      <c r="M866" s="135" t="str">
        <f t="shared" si="5"/>
        <v>none</v>
      </c>
      <c r="N866" s="118">
        <f>LEN(Tableau16[[#This Row],[LABEL]])</f>
        <v>16</v>
      </c>
      <c r="O866" s="118">
        <v>15</v>
      </c>
      <c r="P866" s="118" t="e">
        <f>ROUND(Tableau16[[#This Row],[LEN]]*#REF!+#REF!,0)</f>
        <v>#REF!</v>
      </c>
    </row>
    <row r="867" spans="1:16" s="273" customFormat="1" x14ac:dyDescent="0.25">
      <c r="A867" s="351" t="s">
        <v>305</v>
      </c>
      <c r="B867" s="352" t="s">
        <v>209</v>
      </c>
      <c r="C867" s="353" t="s">
        <v>3</v>
      </c>
      <c r="D867" s="354" t="s">
        <v>1177</v>
      </c>
      <c r="E867" s="353" t="s">
        <v>661</v>
      </c>
      <c r="F867" s="353" t="s">
        <v>1177</v>
      </c>
      <c r="G867" s="354" t="s">
        <v>169</v>
      </c>
      <c r="H867" s="354" t="str">
        <f>IFERROR(IF(SEARCH(".00.00.00.00.00",Tableau16[[#This Row],[name]],1)=7,"Division",""),"")</f>
        <v>Division</v>
      </c>
      <c r="I867" s="353"/>
      <c r="J867" s="355" t="s">
        <v>708</v>
      </c>
      <c r="K867" s="356">
        <f>ROUND(Tableau16[[#This Row],[LEN]]*7.27,0)</f>
        <v>73</v>
      </c>
      <c r="L867" s="356">
        <v>15</v>
      </c>
      <c r="M867" s="357" t="str">
        <f t="shared" si="5"/>
        <v>none</v>
      </c>
      <c r="N867" s="356">
        <f>LEN(Tableau16[[#This Row],[LABEL]])</f>
        <v>10</v>
      </c>
      <c r="O867" s="356">
        <v>15</v>
      </c>
      <c r="P867" s="356" t="e">
        <f>ROUND(Tableau16[[#This Row],[LEN]]*#REF!+#REF!,0)</f>
        <v>#REF!</v>
      </c>
    </row>
    <row r="868" spans="1:16" s="97" customFormat="1" x14ac:dyDescent="0.25">
      <c r="A868" s="49" t="s">
        <v>406</v>
      </c>
      <c r="B868" s="50" t="s">
        <v>305</v>
      </c>
      <c r="C868" s="51" t="s">
        <v>128</v>
      </c>
      <c r="D868" s="76" t="s">
        <v>1177</v>
      </c>
      <c r="E868" s="51" t="s">
        <v>669</v>
      </c>
      <c r="F868" s="51" t="s">
        <v>2029</v>
      </c>
      <c r="G868" s="76" t="s">
        <v>169</v>
      </c>
      <c r="H868" s="76" t="s">
        <v>570</v>
      </c>
      <c r="I868" s="51"/>
      <c r="J868" s="52" t="s">
        <v>708</v>
      </c>
      <c r="K868" s="117">
        <f>ROUND(Tableau16[[#This Row],[LEN]]*7.27,0)</f>
        <v>182</v>
      </c>
      <c r="L868" s="117">
        <v>15</v>
      </c>
      <c r="M868" s="134" t="str">
        <f t="shared" si="5"/>
        <v>none</v>
      </c>
      <c r="N868" s="117">
        <f>LEN(Tableau16[[#This Row],[LABEL]])</f>
        <v>25</v>
      </c>
      <c r="O868" s="117">
        <v>15</v>
      </c>
      <c r="P868" s="117" t="e">
        <f>ROUND(Tableau16[[#This Row],[LEN]]*#REF!+#REF!,0)</f>
        <v>#REF!</v>
      </c>
    </row>
    <row r="869" spans="1:16" s="97" customFormat="1" x14ac:dyDescent="0.25">
      <c r="A869" s="49" t="s">
        <v>406</v>
      </c>
      <c r="B869" s="50" t="s">
        <v>305</v>
      </c>
      <c r="C869" s="51" t="s">
        <v>130</v>
      </c>
      <c r="D869" s="76" t="s">
        <v>1177</v>
      </c>
      <c r="E869" s="51" t="s">
        <v>1951</v>
      </c>
      <c r="F869" s="51" t="s">
        <v>661</v>
      </c>
      <c r="G869" s="76" t="s">
        <v>169</v>
      </c>
      <c r="H869" s="76" t="s">
        <v>655</v>
      </c>
      <c r="I869" s="51"/>
      <c r="J869" s="52" t="s">
        <v>708</v>
      </c>
      <c r="K869" s="117">
        <f>ROUND(Tableau16[[#This Row],[LEN]]*7.27,0)</f>
        <v>131</v>
      </c>
      <c r="L869" s="117">
        <v>15</v>
      </c>
      <c r="M869" s="134" t="str">
        <f t="shared" si="5"/>
        <v>none</v>
      </c>
      <c r="N869" s="117">
        <f>LEN(Tableau16[[#This Row],[LABEL]])</f>
        <v>18</v>
      </c>
      <c r="O869" s="117">
        <v>15</v>
      </c>
      <c r="P869" s="117" t="e">
        <f>ROUND(Tableau16[[#This Row],[LEN]]*#REF!+#REF!,0)</f>
        <v>#REF!</v>
      </c>
    </row>
    <row r="870" spans="1:16" s="97" customFormat="1" x14ac:dyDescent="0.25">
      <c r="A870" s="53" t="s">
        <v>410</v>
      </c>
      <c r="B870" s="54" t="s">
        <v>406</v>
      </c>
      <c r="C870" s="55" t="s">
        <v>2030</v>
      </c>
      <c r="D870" s="77" t="s">
        <v>1177</v>
      </c>
      <c r="E870" s="55" t="s">
        <v>1951</v>
      </c>
      <c r="F870" s="55" t="s">
        <v>661</v>
      </c>
      <c r="G870" s="77" t="s">
        <v>169</v>
      </c>
      <c r="H870" s="77" t="s">
        <v>654</v>
      </c>
      <c r="I870" s="55"/>
      <c r="J870" s="56" t="s">
        <v>708</v>
      </c>
      <c r="K870" s="118">
        <f>ROUND(Tableau16[[#This Row],[LEN]]*7.27,0)</f>
        <v>211</v>
      </c>
      <c r="L870" s="118">
        <v>15</v>
      </c>
      <c r="M870" s="135" t="str">
        <f t="shared" si="5"/>
        <v>none</v>
      </c>
      <c r="N870" s="118">
        <f>LEN(Tableau16[[#This Row],[LABEL]])</f>
        <v>29</v>
      </c>
      <c r="O870" s="118">
        <v>15</v>
      </c>
      <c r="P870" s="118" t="e">
        <f>ROUND(Tableau16[[#This Row],[LEN]]*#REF!+#REF!,0)</f>
        <v>#REF!</v>
      </c>
    </row>
    <row r="871" spans="1:16" s="97" customFormat="1" x14ac:dyDescent="0.25">
      <c r="A871" s="53" t="s">
        <v>411</v>
      </c>
      <c r="B871" s="54" t="s">
        <v>406</v>
      </c>
      <c r="C871" s="55" t="s">
        <v>2031</v>
      </c>
      <c r="D871" s="77" t="s">
        <v>1177</v>
      </c>
      <c r="E871" s="55" t="s">
        <v>1951</v>
      </c>
      <c r="F871" s="55" t="s">
        <v>661</v>
      </c>
      <c r="G871" s="77" t="s">
        <v>169</v>
      </c>
      <c r="H871" s="77" t="s">
        <v>654</v>
      </c>
      <c r="I871" s="55"/>
      <c r="J871" s="56" t="s">
        <v>708</v>
      </c>
      <c r="K871" s="118">
        <f>ROUND(Tableau16[[#This Row],[LEN]]*7.27,0)</f>
        <v>313</v>
      </c>
      <c r="L871" s="118">
        <v>15</v>
      </c>
      <c r="M871" s="135" t="str">
        <f t="shared" si="5"/>
        <v>none</v>
      </c>
      <c r="N871" s="118">
        <f>LEN(Tableau16[[#This Row],[LABEL]])</f>
        <v>43</v>
      </c>
      <c r="O871" s="118">
        <v>15</v>
      </c>
      <c r="P871" s="118" t="e">
        <f>ROUND(Tableau16[[#This Row],[LEN]]*#REF!+#REF!,0)</f>
        <v>#REF!</v>
      </c>
    </row>
    <row r="872" spans="1:16" s="97" customFormat="1" x14ac:dyDescent="0.25">
      <c r="A872" s="49" t="s">
        <v>407</v>
      </c>
      <c r="B872" s="50" t="s">
        <v>305</v>
      </c>
      <c r="C872" s="51" t="s">
        <v>129</v>
      </c>
      <c r="D872" s="76" t="s">
        <v>1177</v>
      </c>
      <c r="E872" s="51" t="s">
        <v>673</v>
      </c>
      <c r="F872" s="51" t="s">
        <v>2035</v>
      </c>
      <c r="G872" s="76" t="s">
        <v>169</v>
      </c>
      <c r="H872" s="76" t="s">
        <v>655</v>
      </c>
      <c r="I872" s="51"/>
      <c r="J872" s="52" t="s">
        <v>708</v>
      </c>
      <c r="K872" s="117">
        <f>ROUND(Tableau16[[#This Row],[LEN]]*7.27,0)</f>
        <v>87</v>
      </c>
      <c r="L872" s="117">
        <v>15</v>
      </c>
      <c r="M872" s="134" t="str">
        <f t="shared" si="5"/>
        <v>none</v>
      </c>
      <c r="N872" s="117">
        <f>LEN(Tableau16[[#This Row],[LABEL]])</f>
        <v>12</v>
      </c>
      <c r="O872" s="117">
        <v>15</v>
      </c>
      <c r="P872" s="117" t="e">
        <f>ROUND(Tableau16[[#This Row],[LEN]]*#REF!+#REF!,0)</f>
        <v>#REF!</v>
      </c>
    </row>
    <row r="873" spans="1:16" s="97" customFormat="1" x14ac:dyDescent="0.25">
      <c r="A873" s="53" t="s">
        <v>408</v>
      </c>
      <c r="B873" s="54" t="s">
        <v>407</v>
      </c>
      <c r="C873" s="55" t="s">
        <v>131</v>
      </c>
      <c r="D873" s="77" t="s">
        <v>1177</v>
      </c>
      <c r="E873" s="55" t="s">
        <v>673</v>
      </c>
      <c r="F873" s="55" t="s">
        <v>2035</v>
      </c>
      <c r="G873" s="77" t="s">
        <v>169</v>
      </c>
      <c r="H873" s="77" t="s">
        <v>570</v>
      </c>
      <c r="I873" s="55"/>
      <c r="J873" s="56" t="s">
        <v>708</v>
      </c>
      <c r="K873" s="118">
        <f>ROUND(Tableau16[[#This Row],[LEN]]*7.27,0)</f>
        <v>262</v>
      </c>
      <c r="L873" s="118">
        <v>15</v>
      </c>
      <c r="M873" s="135" t="str">
        <f t="shared" si="5"/>
        <v>none</v>
      </c>
      <c r="N873" s="118">
        <f>LEN(Tableau16[[#This Row],[LABEL]])</f>
        <v>36</v>
      </c>
      <c r="O873" s="118">
        <v>15</v>
      </c>
      <c r="P873" s="118" t="e">
        <f>ROUND(Tableau16[[#This Row],[LEN]]*#REF!+#REF!,0)</f>
        <v>#REF!</v>
      </c>
    </row>
    <row r="874" spans="1:16" s="97" customFormat="1" x14ac:dyDescent="0.25">
      <c r="A874" s="53" t="s">
        <v>409</v>
      </c>
      <c r="B874" s="54" t="s">
        <v>407</v>
      </c>
      <c r="C874" s="55" t="s">
        <v>132</v>
      </c>
      <c r="D874" s="77" t="s">
        <v>1177</v>
      </c>
      <c r="E874" s="55" t="s">
        <v>673</v>
      </c>
      <c r="F874" s="55" t="s">
        <v>2035</v>
      </c>
      <c r="G874" s="77" t="s">
        <v>169</v>
      </c>
      <c r="H874" s="77" t="s">
        <v>570</v>
      </c>
      <c r="I874" s="55"/>
      <c r="J874" s="56" t="s">
        <v>708</v>
      </c>
      <c r="K874" s="118">
        <f>ROUND(Tableau16[[#This Row],[LEN]]*7.27,0)</f>
        <v>298</v>
      </c>
      <c r="L874" s="118">
        <v>15</v>
      </c>
      <c r="M874" s="135" t="str">
        <f t="shared" si="5"/>
        <v>none</v>
      </c>
      <c r="N874" s="118">
        <f>LEN(Tableau16[[#This Row],[LABEL]])</f>
        <v>41</v>
      </c>
      <c r="O874" s="118">
        <v>15</v>
      </c>
      <c r="P874" s="118" t="e">
        <f>ROUND(Tableau16[[#This Row],[LEN]]*#REF!+#REF!,0)</f>
        <v>#REF!</v>
      </c>
    </row>
    <row r="875" spans="1:16" s="273" customFormat="1" x14ac:dyDescent="0.25">
      <c r="A875" s="351" t="s">
        <v>306</v>
      </c>
      <c r="B875" s="352" t="s">
        <v>209</v>
      </c>
      <c r="C875" s="353" t="s">
        <v>4</v>
      </c>
      <c r="D875" s="354" t="s">
        <v>1177</v>
      </c>
      <c r="E875" s="353" t="s">
        <v>666</v>
      </c>
      <c r="F875" s="353" t="s">
        <v>1177</v>
      </c>
      <c r="G875" s="354" t="s">
        <v>169</v>
      </c>
      <c r="H875" s="354" t="str">
        <f>IFERROR(IF(SEARCH(".00.00.00.00.00",Tableau16[[#This Row],[name]],1)=7,"Division",""),"")</f>
        <v>Division</v>
      </c>
      <c r="I875" s="353"/>
      <c r="J875" s="355" t="s">
        <v>708</v>
      </c>
      <c r="K875" s="356">
        <f>ROUND(Tableau16[[#This Row],[LEN]]*7.27,0)</f>
        <v>36</v>
      </c>
      <c r="L875" s="356">
        <v>15</v>
      </c>
      <c r="M875" s="357" t="str">
        <f t="shared" si="5"/>
        <v>none</v>
      </c>
      <c r="N875" s="356">
        <f>LEN(Tableau16[[#This Row],[LABEL]])</f>
        <v>5</v>
      </c>
      <c r="O875" s="356">
        <v>15</v>
      </c>
      <c r="P875" s="356" t="e">
        <f>ROUND(Tableau16[[#This Row],[LEN]]*#REF!+#REF!,0)</f>
        <v>#REF!</v>
      </c>
    </row>
    <row r="876" spans="1:16" s="97" customFormat="1" x14ac:dyDescent="0.25">
      <c r="A876" s="49" t="s">
        <v>1642</v>
      </c>
      <c r="B876" s="50" t="s">
        <v>306</v>
      </c>
      <c r="C876" s="51" t="s">
        <v>129</v>
      </c>
      <c r="D876" s="76" t="s">
        <v>1177</v>
      </c>
      <c r="E876" s="51" t="s">
        <v>673</v>
      </c>
      <c r="F876" s="51" t="s">
        <v>2035</v>
      </c>
      <c r="G876" s="76" t="s">
        <v>169</v>
      </c>
      <c r="H876" s="76" t="s">
        <v>655</v>
      </c>
      <c r="I876" s="51"/>
      <c r="J876" s="52" t="s">
        <v>708</v>
      </c>
      <c r="K876" s="117">
        <f>ROUND(Tableau16[[#This Row],[LEN]]*7.27,0)</f>
        <v>87</v>
      </c>
      <c r="L876" s="117">
        <v>15</v>
      </c>
      <c r="M876" s="134" t="str">
        <f t="shared" si="5"/>
        <v>none</v>
      </c>
      <c r="N876" s="117">
        <f>LEN(Tableau16[[#This Row],[LABEL]])</f>
        <v>12</v>
      </c>
      <c r="O876" s="117">
        <v>15</v>
      </c>
      <c r="P876" s="117" t="e">
        <f>ROUND(Tableau16[[#This Row],[LEN]]*#REF!+#REF!,0)</f>
        <v>#REF!</v>
      </c>
    </row>
    <row r="877" spans="1:16" s="97" customFormat="1" x14ac:dyDescent="0.25">
      <c r="A877" s="53" t="s">
        <v>1647</v>
      </c>
      <c r="B877" s="54" t="s">
        <v>1642</v>
      </c>
      <c r="C877" s="55" t="s">
        <v>131</v>
      </c>
      <c r="D877" s="77" t="s">
        <v>1177</v>
      </c>
      <c r="E877" s="55" t="s">
        <v>673</v>
      </c>
      <c r="F877" s="55" t="s">
        <v>2035</v>
      </c>
      <c r="G877" s="77" t="s">
        <v>169</v>
      </c>
      <c r="H877" s="77" t="s">
        <v>570</v>
      </c>
      <c r="I877" s="55"/>
      <c r="J877" s="56" t="s">
        <v>708</v>
      </c>
      <c r="K877" s="118">
        <f>ROUND(Tableau16[[#This Row],[LEN]]*7.27,0)</f>
        <v>262</v>
      </c>
      <c r="L877" s="118">
        <v>15</v>
      </c>
      <c r="M877" s="135" t="str">
        <f t="shared" si="5"/>
        <v>none</v>
      </c>
      <c r="N877" s="118">
        <f>LEN(Tableau16[[#This Row],[LABEL]])</f>
        <v>36</v>
      </c>
      <c r="O877" s="118">
        <v>15</v>
      </c>
      <c r="P877" s="118" t="e">
        <f>ROUND(Tableau16[[#This Row],[LEN]]*#REF!+#REF!,0)</f>
        <v>#REF!</v>
      </c>
    </row>
    <row r="878" spans="1:16" s="97" customFormat="1" x14ac:dyDescent="0.25">
      <c r="A878" s="53" t="s">
        <v>1648</v>
      </c>
      <c r="B878" s="54" t="s">
        <v>1642</v>
      </c>
      <c r="C878" s="55" t="s">
        <v>132</v>
      </c>
      <c r="D878" s="77" t="s">
        <v>1177</v>
      </c>
      <c r="E878" s="55" t="s">
        <v>673</v>
      </c>
      <c r="F878" s="55" t="s">
        <v>2035</v>
      </c>
      <c r="G878" s="77" t="s">
        <v>169</v>
      </c>
      <c r="H878" s="77" t="s">
        <v>570</v>
      </c>
      <c r="I878" s="55"/>
      <c r="J878" s="56" t="s">
        <v>708</v>
      </c>
      <c r="K878" s="118">
        <f>ROUND(Tableau16[[#This Row],[LEN]]*7.27,0)</f>
        <v>298</v>
      </c>
      <c r="L878" s="118">
        <v>15</v>
      </c>
      <c r="M878" s="135" t="str">
        <f t="shared" si="5"/>
        <v>none</v>
      </c>
      <c r="N878" s="118">
        <f>LEN(Tableau16[[#This Row],[LABEL]])</f>
        <v>41</v>
      </c>
      <c r="O878" s="118">
        <v>15</v>
      </c>
      <c r="P878" s="118" t="e">
        <f>ROUND(Tableau16[[#This Row],[LEN]]*#REF!+#REF!,0)</f>
        <v>#REF!</v>
      </c>
    </row>
    <row r="879" spans="1:16" s="97" customFormat="1" x14ac:dyDescent="0.25">
      <c r="A879" s="49" t="s">
        <v>1643</v>
      </c>
      <c r="B879" s="50" t="s">
        <v>306</v>
      </c>
      <c r="C879" s="51" t="s">
        <v>1649</v>
      </c>
      <c r="D879" s="76" t="s">
        <v>1177</v>
      </c>
      <c r="E879" s="51" t="s">
        <v>666</v>
      </c>
      <c r="F879" s="51" t="s">
        <v>1177</v>
      </c>
      <c r="G879" s="76" t="s">
        <v>169</v>
      </c>
      <c r="H879" s="76" t="s">
        <v>655</v>
      </c>
      <c r="I879" s="51"/>
      <c r="J879" s="52" t="s">
        <v>708</v>
      </c>
      <c r="K879" s="117">
        <f>ROUND(Tableau16[[#This Row],[LEN]]*7.27,0)</f>
        <v>145</v>
      </c>
      <c r="L879" s="117">
        <v>15</v>
      </c>
      <c r="M879" s="134" t="str">
        <f t="shared" si="5"/>
        <v>none</v>
      </c>
      <c r="N879" s="117">
        <f>LEN(Tableau16[[#This Row],[LABEL]])</f>
        <v>20</v>
      </c>
      <c r="O879" s="117">
        <v>15</v>
      </c>
      <c r="P879" s="117" t="e">
        <f>ROUND(Tableau16[[#This Row],[LEN]]*#REF!+#REF!,0)</f>
        <v>#REF!</v>
      </c>
    </row>
    <row r="880" spans="1:16" s="97" customFormat="1" x14ac:dyDescent="0.25">
      <c r="A880" s="53" t="s">
        <v>1650</v>
      </c>
      <c r="B880" s="54" t="s">
        <v>1643</v>
      </c>
      <c r="C880" s="55" t="s">
        <v>1657</v>
      </c>
      <c r="D880" s="77" t="s">
        <v>1177</v>
      </c>
      <c r="E880" s="55" t="s">
        <v>666</v>
      </c>
      <c r="F880" s="55" t="s">
        <v>1177</v>
      </c>
      <c r="G880" s="77" t="s">
        <v>169</v>
      </c>
      <c r="H880" s="77" t="s">
        <v>654</v>
      </c>
      <c r="I880" s="55"/>
      <c r="J880" s="56" t="s">
        <v>708</v>
      </c>
      <c r="K880" s="118">
        <f>ROUND(Tableau16[[#This Row],[LEN]]*7.27,0)</f>
        <v>364</v>
      </c>
      <c r="L880" s="118">
        <v>15</v>
      </c>
      <c r="M880" s="135" t="str">
        <f t="shared" si="5"/>
        <v>none</v>
      </c>
      <c r="N880" s="118">
        <f>LEN(Tableau16[[#This Row],[LABEL]])</f>
        <v>50</v>
      </c>
      <c r="O880" s="118">
        <v>15</v>
      </c>
      <c r="P880" s="118" t="e">
        <f>ROUND(Tableau16[[#This Row],[LEN]]*#REF!+#REF!,0)</f>
        <v>#REF!</v>
      </c>
    </row>
    <row r="881" spans="1:16" s="97" customFormat="1" x14ac:dyDescent="0.25">
      <c r="A881" s="53" t="s">
        <v>1651</v>
      </c>
      <c r="B881" s="54" t="s">
        <v>1643</v>
      </c>
      <c r="C881" s="55" t="s">
        <v>1658</v>
      </c>
      <c r="D881" s="77" t="s">
        <v>1177</v>
      </c>
      <c r="E881" s="55" t="s">
        <v>666</v>
      </c>
      <c r="F881" s="55" t="s">
        <v>1177</v>
      </c>
      <c r="G881" s="77" t="s">
        <v>169</v>
      </c>
      <c r="H881" s="77" t="s">
        <v>654</v>
      </c>
      <c r="I881" s="55"/>
      <c r="J881" s="56" t="s">
        <v>708</v>
      </c>
      <c r="K881" s="118">
        <f>ROUND(Tableau16[[#This Row],[LEN]]*7.27,0)</f>
        <v>131</v>
      </c>
      <c r="L881" s="118">
        <v>15</v>
      </c>
      <c r="M881" s="135" t="str">
        <f t="shared" si="5"/>
        <v>none</v>
      </c>
      <c r="N881" s="118">
        <f>LEN(Tableau16[[#This Row],[LABEL]])</f>
        <v>18</v>
      </c>
      <c r="O881" s="118">
        <v>15</v>
      </c>
      <c r="P881" s="118" t="e">
        <f>ROUND(Tableau16[[#This Row],[LEN]]*#REF!+#REF!,0)</f>
        <v>#REF!</v>
      </c>
    </row>
    <row r="882" spans="1:16" s="97" customFormat="1" x14ac:dyDescent="0.25">
      <c r="A882" s="53" t="s">
        <v>1652</v>
      </c>
      <c r="B882" s="54" t="s">
        <v>1643</v>
      </c>
      <c r="C882" s="55" t="s">
        <v>1659</v>
      </c>
      <c r="D882" s="77" t="s">
        <v>1177</v>
      </c>
      <c r="E882" s="55" t="s">
        <v>666</v>
      </c>
      <c r="F882" s="55" t="s">
        <v>1177</v>
      </c>
      <c r="G882" s="77" t="s">
        <v>169</v>
      </c>
      <c r="H882" s="77" t="s">
        <v>654</v>
      </c>
      <c r="I882" s="55"/>
      <c r="J882" s="56" t="s">
        <v>708</v>
      </c>
      <c r="K882" s="118">
        <f>ROUND(Tableau16[[#This Row],[LEN]]*7.27,0)</f>
        <v>109</v>
      </c>
      <c r="L882" s="118">
        <v>15</v>
      </c>
      <c r="M882" s="135" t="str">
        <f t="shared" si="5"/>
        <v>none</v>
      </c>
      <c r="N882" s="118">
        <f>LEN(Tableau16[[#This Row],[LABEL]])</f>
        <v>15</v>
      </c>
      <c r="O882" s="118">
        <v>15</v>
      </c>
      <c r="P882" s="118" t="e">
        <f>ROUND(Tableau16[[#This Row],[LEN]]*#REF!+#REF!,0)</f>
        <v>#REF!</v>
      </c>
    </row>
    <row r="883" spans="1:16" s="97" customFormat="1" x14ac:dyDescent="0.25">
      <c r="A883" s="53" t="s">
        <v>1653</v>
      </c>
      <c r="B883" s="54" t="s">
        <v>1643</v>
      </c>
      <c r="C883" s="55" t="s">
        <v>134</v>
      </c>
      <c r="D883" s="77" t="s">
        <v>1177</v>
      </c>
      <c r="E883" s="55" t="s">
        <v>666</v>
      </c>
      <c r="F883" s="55" t="s">
        <v>1177</v>
      </c>
      <c r="G883" s="77" t="s">
        <v>169</v>
      </c>
      <c r="H883" s="77" t="s">
        <v>654</v>
      </c>
      <c r="I883" s="55"/>
      <c r="J883" s="56" t="s">
        <v>708</v>
      </c>
      <c r="K883" s="118">
        <f>ROUND(Tableau16[[#This Row],[LEN]]*7.27,0)</f>
        <v>124</v>
      </c>
      <c r="L883" s="118">
        <v>15</v>
      </c>
      <c r="M883" s="135" t="str">
        <f t="shared" si="5"/>
        <v>none</v>
      </c>
      <c r="N883" s="118">
        <f>LEN(Tableau16[[#This Row],[LABEL]])</f>
        <v>17</v>
      </c>
      <c r="O883" s="118">
        <v>15</v>
      </c>
      <c r="P883" s="118" t="e">
        <f>ROUND(Tableau16[[#This Row],[LEN]]*#REF!+#REF!,0)</f>
        <v>#REF!</v>
      </c>
    </row>
    <row r="884" spans="1:16" s="97" customFormat="1" x14ac:dyDescent="0.25">
      <c r="A884" s="49" t="s">
        <v>1644</v>
      </c>
      <c r="B884" s="50" t="s">
        <v>306</v>
      </c>
      <c r="C884" s="51" t="s">
        <v>1654</v>
      </c>
      <c r="D884" s="76" t="s">
        <v>1177</v>
      </c>
      <c r="E884" s="51" t="s">
        <v>666</v>
      </c>
      <c r="F884" s="51" t="s">
        <v>661</v>
      </c>
      <c r="G884" s="76" t="s">
        <v>169</v>
      </c>
      <c r="H884" s="76" t="s">
        <v>654</v>
      </c>
      <c r="I884" s="51"/>
      <c r="J884" s="52" t="s">
        <v>708</v>
      </c>
      <c r="K884" s="117">
        <f>ROUND(Tableau16[[#This Row],[LEN]]*7.27,0)</f>
        <v>160</v>
      </c>
      <c r="L884" s="117">
        <v>15</v>
      </c>
      <c r="M884" s="134" t="str">
        <f t="shared" si="5"/>
        <v>none</v>
      </c>
      <c r="N884" s="117">
        <f>LEN(Tableau16[[#This Row],[LABEL]])</f>
        <v>22</v>
      </c>
      <c r="O884" s="117">
        <v>15</v>
      </c>
      <c r="P884" s="117" t="e">
        <f>ROUND(Tableau16[[#This Row],[LEN]]*#REF!+#REF!,0)</f>
        <v>#REF!</v>
      </c>
    </row>
    <row r="885" spans="1:16" s="97" customFormat="1" x14ac:dyDescent="0.25">
      <c r="A885" s="49" t="s">
        <v>1645</v>
      </c>
      <c r="B885" s="50" t="s">
        <v>306</v>
      </c>
      <c r="C885" s="51" t="s">
        <v>1655</v>
      </c>
      <c r="D885" s="76" t="s">
        <v>1656</v>
      </c>
      <c r="E885" s="51" t="s">
        <v>673</v>
      </c>
      <c r="F885" s="51" t="s">
        <v>1660</v>
      </c>
      <c r="G885" s="76" t="s">
        <v>169</v>
      </c>
      <c r="H885" s="76" t="s">
        <v>654</v>
      </c>
      <c r="I885" s="51"/>
      <c r="J885" s="52" t="s">
        <v>708</v>
      </c>
      <c r="K885" s="117">
        <f>ROUND(Tableau16[[#This Row],[LEN]]*7.27,0)</f>
        <v>291</v>
      </c>
      <c r="L885" s="117">
        <v>15</v>
      </c>
      <c r="M885" s="134" t="str">
        <f t="shared" si="5"/>
        <v>none</v>
      </c>
      <c r="N885" s="117">
        <f>LEN(Tableau16[[#This Row],[LABEL]])</f>
        <v>40</v>
      </c>
      <c r="O885" s="117">
        <v>15</v>
      </c>
      <c r="P885" s="117" t="e">
        <f>ROUND(Tableau16[[#This Row],[LEN]]*#REF!+#REF!,0)</f>
        <v>#REF!</v>
      </c>
    </row>
    <row r="886" spans="1:16" s="273" customFormat="1" x14ac:dyDescent="0.25">
      <c r="A886" s="351" t="s">
        <v>308</v>
      </c>
      <c r="B886" s="352" t="s">
        <v>209</v>
      </c>
      <c r="C886" s="353" t="s">
        <v>5</v>
      </c>
      <c r="D886" s="354" t="s">
        <v>1177</v>
      </c>
      <c r="E886" s="353" t="s">
        <v>668</v>
      </c>
      <c r="F886" s="353" t="s">
        <v>1177</v>
      </c>
      <c r="G886" s="354" t="s">
        <v>169</v>
      </c>
      <c r="H886" s="354" t="str">
        <f>IFERROR(IF(SEARCH(".00.00.00.00.00",Tableau16[[#This Row],[name]],1)=7,"Division",""),"")</f>
        <v>Division</v>
      </c>
      <c r="I886" s="353"/>
      <c r="J886" s="355" t="s">
        <v>708</v>
      </c>
      <c r="K886" s="356">
        <f>ROUND(Tableau16[[#This Row],[LEN]]*7.27,0)</f>
        <v>73</v>
      </c>
      <c r="L886" s="356">
        <v>15</v>
      </c>
      <c r="M886" s="357" t="str">
        <f t="shared" si="5"/>
        <v>none</v>
      </c>
      <c r="N886" s="356">
        <f>LEN(Tableau16[[#This Row],[LABEL]])</f>
        <v>10</v>
      </c>
      <c r="O886" s="356">
        <v>15</v>
      </c>
      <c r="P886" s="356" t="e">
        <f>ROUND(Tableau16[[#This Row],[LEN]]*#REF!+#REF!,0)</f>
        <v>#REF!</v>
      </c>
    </row>
    <row r="887" spans="1:16" s="97" customFormat="1" x14ac:dyDescent="0.25">
      <c r="A887" s="49" t="s">
        <v>1661</v>
      </c>
      <c r="B887" s="50" t="s">
        <v>308</v>
      </c>
      <c r="C887" s="51" t="s">
        <v>1662</v>
      </c>
      <c r="D887" s="76" t="s">
        <v>1177</v>
      </c>
      <c r="E887" s="51" t="s">
        <v>668</v>
      </c>
      <c r="F887" s="51" t="s">
        <v>1339</v>
      </c>
      <c r="G887" s="76" t="s">
        <v>169</v>
      </c>
      <c r="H887" s="76" t="s">
        <v>56</v>
      </c>
      <c r="I887" s="51"/>
      <c r="J887" s="52" t="s">
        <v>708</v>
      </c>
      <c r="K887" s="117">
        <f>ROUND(Tableau16[[#This Row],[LEN]]*7.27,0)</f>
        <v>218</v>
      </c>
      <c r="L887" s="117">
        <v>15</v>
      </c>
      <c r="M887" s="134" t="str">
        <f t="shared" si="5"/>
        <v>none</v>
      </c>
      <c r="N887" s="117">
        <f>LEN(Tableau16[[#This Row],[LABEL]])</f>
        <v>30</v>
      </c>
      <c r="O887" s="117">
        <v>15</v>
      </c>
      <c r="P887" s="117" t="e">
        <f>ROUND(Tableau16[[#This Row],[LEN]]*#REF!+#REF!,0)</f>
        <v>#REF!</v>
      </c>
    </row>
    <row r="888" spans="1:16" s="273" customFormat="1" x14ac:dyDescent="0.25">
      <c r="A888" s="351" t="s">
        <v>309</v>
      </c>
      <c r="B888" s="352" t="s">
        <v>209</v>
      </c>
      <c r="C888" s="353" t="s">
        <v>6</v>
      </c>
      <c r="D888" s="354" t="s">
        <v>1177</v>
      </c>
      <c r="E888" s="353" t="s">
        <v>669</v>
      </c>
      <c r="F888" s="353" t="s">
        <v>1177</v>
      </c>
      <c r="G888" s="354" t="s">
        <v>169</v>
      </c>
      <c r="H888" s="354" t="str">
        <f>IFERROR(IF(SEARCH(".00.00.00.00.00",Tableau16[[#This Row],[name]],1)=7,"Division",""),"")</f>
        <v>Division</v>
      </c>
      <c r="I888" s="353"/>
      <c r="J888" s="355" t="s">
        <v>708</v>
      </c>
      <c r="K888" s="356">
        <f>ROUND(Tableau16[[#This Row],[LEN]]*7.27,0)</f>
        <v>196</v>
      </c>
      <c r="L888" s="356">
        <v>15</v>
      </c>
      <c r="M888" s="357" t="str">
        <f t="shared" si="5"/>
        <v>none</v>
      </c>
      <c r="N888" s="356">
        <f>LEN(Tableau16[[#This Row],[LABEL]])</f>
        <v>27</v>
      </c>
      <c r="O888" s="356">
        <v>15</v>
      </c>
      <c r="P888" s="356" t="e">
        <f>ROUND(Tableau16[[#This Row],[LEN]]*#REF!+#REF!,0)</f>
        <v>#REF!</v>
      </c>
    </row>
    <row r="889" spans="1:16" s="97" customFormat="1" x14ac:dyDescent="0.25">
      <c r="A889" s="49" t="s">
        <v>1663</v>
      </c>
      <c r="B889" s="50" t="s">
        <v>309</v>
      </c>
      <c r="C889" s="51" t="s">
        <v>128</v>
      </c>
      <c r="D889" s="76" t="s">
        <v>1177</v>
      </c>
      <c r="E889" s="51" t="s">
        <v>669</v>
      </c>
      <c r="F889" s="51" t="s">
        <v>2029</v>
      </c>
      <c r="G889" s="76" t="s">
        <v>169</v>
      </c>
      <c r="H889" s="76" t="s">
        <v>570</v>
      </c>
      <c r="I889" s="51"/>
      <c r="J889" s="52" t="s">
        <v>708</v>
      </c>
      <c r="K889" s="117">
        <f>ROUND(Tableau16[[#This Row],[LEN]]*7.27,0)</f>
        <v>182</v>
      </c>
      <c r="L889" s="117">
        <v>15</v>
      </c>
      <c r="M889" s="134" t="str">
        <f t="shared" si="5"/>
        <v>none</v>
      </c>
      <c r="N889" s="117">
        <f>LEN(Tableau16[[#This Row],[LABEL]])</f>
        <v>25</v>
      </c>
      <c r="O889" s="117">
        <v>15</v>
      </c>
      <c r="P889" s="117" t="e">
        <f>ROUND(Tableau16[[#This Row],[LEN]]*#REF!+#REF!,0)</f>
        <v>#REF!</v>
      </c>
    </row>
    <row r="890" spans="1:16" s="97" customFormat="1" x14ac:dyDescent="0.25">
      <c r="A890" s="49" t="s">
        <v>1664</v>
      </c>
      <c r="B890" s="50" t="s">
        <v>309</v>
      </c>
      <c r="C890" s="51" t="s">
        <v>129</v>
      </c>
      <c r="D890" s="76" t="s">
        <v>1177</v>
      </c>
      <c r="E890" s="51" t="s">
        <v>673</v>
      </c>
      <c r="F890" s="51" t="s">
        <v>2035</v>
      </c>
      <c r="G890" s="76" t="s">
        <v>169</v>
      </c>
      <c r="H890" s="76" t="s">
        <v>655</v>
      </c>
      <c r="I890" s="51"/>
      <c r="J890" s="52" t="s">
        <v>708</v>
      </c>
      <c r="K890" s="117">
        <f>ROUND(Tableau16[[#This Row],[LEN]]*7.27,0)</f>
        <v>87</v>
      </c>
      <c r="L890" s="117">
        <v>15</v>
      </c>
      <c r="M890" s="134" t="str">
        <f t="shared" si="5"/>
        <v>none</v>
      </c>
      <c r="N890" s="117">
        <f>LEN(Tableau16[[#This Row],[LABEL]])</f>
        <v>12</v>
      </c>
      <c r="O890" s="117">
        <v>15</v>
      </c>
      <c r="P890" s="117" t="e">
        <f>ROUND(Tableau16[[#This Row],[LEN]]*#REF!+#REF!,0)</f>
        <v>#REF!</v>
      </c>
    </row>
    <row r="891" spans="1:16" s="97" customFormat="1" x14ac:dyDescent="0.25">
      <c r="A891" s="53" t="s">
        <v>1675</v>
      </c>
      <c r="B891" s="54" t="s">
        <v>1664</v>
      </c>
      <c r="C891" s="55" t="s">
        <v>131</v>
      </c>
      <c r="D891" s="77" t="s">
        <v>1177</v>
      </c>
      <c r="E891" s="55" t="s">
        <v>673</v>
      </c>
      <c r="F891" s="55" t="s">
        <v>2035</v>
      </c>
      <c r="G891" s="77" t="s">
        <v>169</v>
      </c>
      <c r="H891" s="77" t="s">
        <v>570</v>
      </c>
      <c r="I891" s="55"/>
      <c r="J891" s="56" t="s">
        <v>708</v>
      </c>
      <c r="K891" s="118">
        <f>ROUND(Tableau16[[#This Row],[LEN]]*7.27,0)</f>
        <v>262</v>
      </c>
      <c r="L891" s="118">
        <v>15</v>
      </c>
      <c r="M891" s="135" t="str">
        <f t="shared" ref="M891:M954" si="6">IF(J891="javascript:void(0)","none","new")</f>
        <v>none</v>
      </c>
      <c r="N891" s="118">
        <f>LEN(Tableau16[[#This Row],[LABEL]])</f>
        <v>36</v>
      </c>
      <c r="O891" s="118">
        <v>15</v>
      </c>
      <c r="P891" s="118" t="e">
        <f>ROUND(Tableau16[[#This Row],[LEN]]*#REF!+#REF!,0)</f>
        <v>#REF!</v>
      </c>
    </row>
    <row r="892" spans="1:16" s="97" customFormat="1" x14ac:dyDescent="0.25">
      <c r="A892" s="53" t="s">
        <v>1676</v>
      </c>
      <c r="B892" s="54" t="s">
        <v>1664</v>
      </c>
      <c r="C892" s="55" t="s">
        <v>132</v>
      </c>
      <c r="D892" s="77" t="s">
        <v>1177</v>
      </c>
      <c r="E892" s="55" t="s">
        <v>673</v>
      </c>
      <c r="F892" s="55" t="s">
        <v>2035</v>
      </c>
      <c r="G892" s="77" t="s">
        <v>169</v>
      </c>
      <c r="H892" s="77" t="s">
        <v>570</v>
      </c>
      <c r="I892" s="55"/>
      <c r="J892" s="56" t="s">
        <v>708</v>
      </c>
      <c r="K892" s="118">
        <f>ROUND(Tableau16[[#This Row],[LEN]]*7.27,0)</f>
        <v>298</v>
      </c>
      <c r="L892" s="118">
        <v>15</v>
      </c>
      <c r="M892" s="135" t="str">
        <f t="shared" si="6"/>
        <v>none</v>
      </c>
      <c r="N892" s="118">
        <f>LEN(Tableau16[[#This Row],[LABEL]])</f>
        <v>41</v>
      </c>
      <c r="O892" s="118">
        <v>15</v>
      </c>
      <c r="P892" s="118" t="e">
        <f>ROUND(Tableau16[[#This Row],[LEN]]*#REF!+#REF!,0)</f>
        <v>#REF!</v>
      </c>
    </row>
    <row r="893" spans="1:16" s="97" customFormat="1" x14ac:dyDescent="0.25">
      <c r="A893" s="49" t="s">
        <v>1665</v>
      </c>
      <c r="B893" s="50" t="s">
        <v>309</v>
      </c>
      <c r="C893" s="51" t="s">
        <v>1677</v>
      </c>
      <c r="D893" s="76" t="s">
        <v>1177</v>
      </c>
      <c r="E893" s="51" t="s">
        <v>669</v>
      </c>
      <c r="F893" s="51" t="s">
        <v>1177</v>
      </c>
      <c r="G893" s="76" t="s">
        <v>169</v>
      </c>
      <c r="H893" s="76" t="s">
        <v>654</v>
      </c>
      <c r="I893" s="51"/>
      <c r="J893" s="52" t="s">
        <v>708</v>
      </c>
      <c r="K893" s="117">
        <f>ROUND(Tableau16[[#This Row],[LEN]]*7.27,0)</f>
        <v>109</v>
      </c>
      <c r="L893" s="117">
        <v>15</v>
      </c>
      <c r="M893" s="134" t="str">
        <f t="shared" si="6"/>
        <v>none</v>
      </c>
      <c r="N893" s="117">
        <f>LEN(Tableau16[[#This Row],[LABEL]])</f>
        <v>15</v>
      </c>
      <c r="O893" s="117">
        <v>15</v>
      </c>
      <c r="P893" s="117" t="e">
        <f>ROUND(Tableau16[[#This Row],[LEN]]*#REF!+#REF!,0)</f>
        <v>#REF!</v>
      </c>
    </row>
    <row r="894" spans="1:16" s="97" customFormat="1" x14ac:dyDescent="0.25">
      <c r="A894" s="49" t="s">
        <v>1666</v>
      </c>
      <c r="B894" s="50" t="s">
        <v>309</v>
      </c>
      <c r="C894" s="51" t="s">
        <v>1678</v>
      </c>
      <c r="D894" s="76" t="s">
        <v>1177</v>
      </c>
      <c r="E894" s="51" t="s">
        <v>669</v>
      </c>
      <c r="F894" s="51" t="s">
        <v>1177</v>
      </c>
      <c r="G894" s="76" t="s">
        <v>169</v>
      </c>
      <c r="H894" s="76" t="s">
        <v>654</v>
      </c>
      <c r="I894" s="51"/>
      <c r="J894" s="52" t="s">
        <v>708</v>
      </c>
      <c r="K894" s="117">
        <f>ROUND(Tableau16[[#This Row],[LEN]]*7.27,0)</f>
        <v>196</v>
      </c>
      <c r="L894" s="117">
        <v>15</v>
      </c>
      <c r="M894" s="134" t="str">
        <f t="shared" si="6"/>
        <v>none</v>
      </c>
      <c r="N894" s="117">
        <f>LEN(Tableau16[[#This Row],[LABEL]])</f>
        <v>27</v>
      </c>
      <c r="O894" s="117">
        <v>15</v>
      </c>
      <c r="P894" s="117" t="e">
        <f>ROUND(Tableau16[[#This Row],[LEN]]*#REF!+#REF!,0)</f>
        <v>#REF!</v>
      </c>
    </row>
    <row r="895" spans="1:16" s="97" customFormat="1" x14ac:dyDescent="0.25">
      <c r="A895" s="49" t="s">
        <v>1667</v>
      </c>
      <c r="B895" s="50" t="s">
        <v>309</v>
      </c>
      <c r="C895" s="51" t="s">
        <v>1679</v>
      </c>
      <c r="D895" s="76" t="s">
        <v>1177</v>
      </c>
      <c r="E895" s="51" t="s">
        <v>669</v>
      </c>
      <c r="F895" s="51" t="s">
        <v>1177</v>
      </c>
      <c r="G895" s="76" t="s">
        <v>169</v>
      </c>
      <c r="H895" s="76" t="s">
        <v>654</v>
      </c>
      <c r="I895" s="51"/>
      <c r="J895" s="52" t="s">
        <v>708</v>
      </c>
      <c r="K895" s="117">
        <f>ROUND(Tableau16[[#This Row],[LEN]]*7.27,0)</f>
        <v>254</v>
      </c>
      <c r="L895" s="117">
        <v>15</v>
      </c>
      <c r="M895" s="134" t="str">
        <f t="shared" si="6"/>
        <v>none</v>
      </c>
      <c r="N895" s="117">
        <f>LEN(Tableau16[[#This Row],[LABEL]])</f>
        <v>35</v>
      </c>
      <c r="O895" s="117">
        <v>15</v>
      </c>
      <c r="P895" s="117" t="e">
        <f>ROUND(Tableau16[[#This Row],[LEN]]*#REF!+#REF!,0)</f>
        <v>#REF!</v>
      </c>
    </row>
    <row r="896" spans="1:16" s="97" customFormat="1" x14ac:dyDescent="0.25">
      <c r="A896" s="49" t="s">
        <v>1668</v>
      </c>
      <c r="B896" s="50" t="s">
        <v>309</v>
      </c>
      <c r="C896" s="51" t="s">
        <v>1680</v>
      </c>
      <c r="D896" s="76" t="s">
        <v>1177</v>
      </c>
      <c r="E896" s="51" t="s">
        <v>669</v>
      </c>
      <c r="F896" s="51" t="s">
        <v>1177</v>
      </c>
      <c r="G896" s="76" t="s">
        <v>169</v>
      </c>
      <c r="H896" s="76" t="s">
        <v>654</v>
      </c>
      <c r="I896" s="51"/>
      <c r="J896" s="52" t="s">
        <v>708</v>
      </c>
      <c r="K896" s="117">
        <f>ROUND(Tableau16[[#This Row],[LEN]]*7.27,0)</f>
        <v>269</v>
      </c>
      <c r="L896" s="117">
        <v>15</v>
      </c>
      <c r="M896" s="134" t="str">
        <f t="shared" si="6"/>
        <v>none</v>
      </c>
      <c r="N896" s="117">
        <f>LEN(Tableau16[[#This Row],[LABEL]])</f>
        <v>37</v>
      </c>
      <c r="O896" s="117">
        <v>15</v>
      </c>
      <c r="P896" s="117" t="e">
        <f>ROUND(Tableau16[[#This Row],[LEN]]*#REF!+#REF!,0)</f>
        <v>#REF!</v>
      </c>
    </row>
    <row r="897" spans="1:16" s="97" customFormat="1" x14ac:dyDescent="0.25">
      <c r="A897" s="49" t="s">
        <v>1669</v>
      </c>
      <c r="B897" s="50" t="s">
        <v>309</v>
      </c>
      <c r="C897" s="51" t="s">
        <v>1681</v>
      </c>
      <c r="D897" s="76" t="s">
        <v>1177</v>
      </c>
      <c r="E897" s="51" t="s">
        <v>669</v>
      </c>
      <c r="F897" s="51" t="s">
        <v>1177</v>
      </c>
      <c r="G897" s="76" t="s">
        <v>169</v>
      </c>
      <c r="H897" s="76" t="s">
        <v>655</v>
      </c>
      <c r="I897" s="51"/>
      <c r="J897" s="52" t="s">
        <v>708</v>
      </c>
      <c r="K897" s="117">
        <f>ROUND(Tableau16[[#This Row],[LEN]]*7.27,0)</f>
        <v>305</v>
      </c>
      <c r="L897" s="117">
        <v>15</v>
      </c>
      <c r="M897" s="134" t="str">
        <f t="shared" si="6"/>
        <v>none</v>
      </c>
      <c r="N897" s="117">
        <f>LEN(Tableau16[[#This Row],[LABEL]])</f>
        <v>42</v>
      </c>
      <c r="O897" s="117">
        <v>15</v>
      </c>
      <c r="P897" s="117" t="e">
        <f>ROUND(Tableau16[[#This Row],[LEN]]*#REF!+#REF!,0)</f>
        <v>#REF!</v>
      </c>
    </row>
    <row r="898" spans="1:16" s="97" customFormat="1" x14ac:dyDescent="0.25">
      <c r="A898" s="53" t="s">
        <v>1682</v>
      </c>
      <c r="B898" s="54" t="s">
        <v>1669</v>
      </c>
      <c r="C898" s="55" t="s">
        <v>1688</v>
      </c>
      <c r="D898" s="77" t="s">
        <v>1687</v>
      </c>
      <c r="E898" s="55" t="s">
        <v>669</v>
      </c>
      <c r="F898" s="55" t="s">
        <v>1177</v>
      </c>
      <c r="G898" s="77" t="s">
        <v>169</v>
      </c>
      <c r="H898" s="77" t="s">
        <v>654</v>
      </c>
      <c r="I898" s="55"/>
      <c r="J898" s="56" t="s">
        <v>708</v>
      </c>
      <c r="K898" s="118">
        <f>ROUND(Tableau16[[#This Row],[LEN]]*7.27,0)</f>
        <v>465</v>
      </c>
      <c r="L898" s="118">
        <v>15</v>
      </c>
      <c r="M898" s="135" t="str">
        <f t="shared" si="6"/>
        <v>none</v>
      </c>
      <c r="N898" s="118">
        <f>LEN(Tableau16[[#This Row],[LABEL]])</f>
        <v>64</v>
      </c>
      <c r="O898" s="118">
        <v>15</v>
      </c>
      <c r="P898" s="118" t="e">
        <f>ROUND(Tableau16[[#This Row],[LEN]]*#REF!+#REF!,0)</f>
        <v>#REF!</v>
      </c>
    </row>
    <row r="899" spans="1:16" s="97" customFormat="1" x14ac:dyDescent="0.25">
      <c r="A899" s="53" t="s">
        <v>1683</v>
      </c>
      <c r="B899" s="54" t="s">
        <v>1669</v>
      </c>
      <c r="C899" s="55" t="s">
        <v>1689</v>
      </c>
      <c r="D899" s="77" t="s">
        <v>1177</v>
      </c>
      <c r="E899" s="55" t="s">
        <v>669</v>
      </c>
      <c r="F899" s="55" t="s">
        <v>1177</v>
      </c>
      <c r="G899" s="77" t="s">
        <v>169</v>
      </c>
      <c r="H899" s="77" t="s">
        <v>654</v>
      </c>
      <c r="I899" s="55"/>
      <c r="J899" s="56" t="s">
        <v>708</v>
      </c>
      <c r="K899" s="118">
        <f>ROUND(Tableau16[[#This Row],[LEN]]*7.27,0)</f>
        <v>422</v>
      </c>
      <c r="L899" s="118">
        <v>15</v>
      </c>
      <c r="M899" s="135" t="str">
        <f t="shared" si="6"/>
        <v>none</v>
      </c>
      <c r="N899" s="118">
        <f>LEN(Tableau16[[#This Row],[LABEL]])</f>
        <v>58</v>
      </c>
      <c r="O899" s="118">
        <v>15</v>
      </c>
      <c r="P899" s="118" t="e">
        <f>ROUND(Tableau16[[#This Row],[LEN]]*#REF!+#REF!,0)</f>
        <v>#REF!</v>
      </c>
    </row>
    <row r="900" spans="1:16" s="97" customFormat="1" x14ac:dyDescent="0.25">
      <c r="A900" s="53" t="s">
        <v>1684</v>
      </c>
      <c r="B900" s="54" t="s">
        <v>1669</v>
      </c>
      <c r="C900" s="55" t="s">
        <v>1690</v>
      </c>
      <c r="D900" s="77" t="s">
        <v>1177</v>
      </c>
      <c r="E900" s="55" t="s">
        <v>669</v>
      </c>
      <c r="F900" s="55" t="s">
        <v>1177</v>
      </c>
      <c r="G900" s="77" t="s">
        <v>169</v>
      </c>
      <c r="H900" s="77" t="s">
        <v>654</v>
      </c>
      <c r="I900" s="55"/>
      <c r="J900" s="56" t="s">
        <v>708</v>
      </c>
      <c r="K900" s="118">
        <f>ROUND(Tableau16[[#This Row],[LEN]]*7.27,0)</f>
        <v>313</v>
      </c>
      <c r="L900" s="118">
        <v>15</v>
      </c>
      <c r="M900" s="135" t="str">
        <f t="shared" si="6"/>
        <v>none</v>
      </c>
      <c r="N900" s="118">
        <f>LEN(Tableau16[[#This Row],[LABEL]])</f>
        <v>43</v>
      </c>
      <c r="O900" s="118">
        <v>15</v>
      </c>
      <c r="P900" s="118" t="e">
        <f>ROUND(Tableau16[[#This Row],[LEN]]*#REF!+#REF!,0)</f>
        <v>#REF!</v>
      </c>
    </row>
    <row r="901" spans="1:16" s="97" customFormat="1" x14ac:dyDescent="0.25">
      <c r="A901" s="53" t="s">
        <v>1685</v>
      </c>
      <c r="B901" s="54" t="s">
        <v>1669</v>
      </c>
      <c r="C901" s="55" t="s">
        <v>1691</v>
      </c>
      <c r="D901" s="77" t="s">
        <v>1701</v>
      </c>
      <c r="E901" s="55" t="s">
        <v>669</v>
      </c>
      <c r="F901" s="55" t="s">
        <v>1177</v>
      </c>
      <c r="G901" s="77" t="s">
        <v>169</v>
      </c>
      <c r="H901" s="77" t="s">
        <v>654</v>
      </c>
      <c r="I901" s="55"/>
      <c r="J901" s="56" t="s">
        <v>708</v>
      </c>
      <c r="K901" s="118">
        <f>ROUND(Tableau16[[#This Row],[LEN]]*7.27,0)</f>
        <v>523</v>
      </c>
      <c r="L901" s="118">
        <v>15</v>
      </c>
      <c r="M901" s="135" t="str">
        <f t="shared" si="6"/>
        <v>none</v>
      </c>
      <c r="N901" s="118">
        <f>LEN(Tableau16[[#This Row],[LABEL]])</f>
        <v>72</v>
      </c>
      <c r="O901" s="118">
        <v>15</v>
      </c>
      <c r="P901" s="118" t="e">
        <f>ROUND(Tableau16[[#This Row],[LEN]]*#REF!+#REF!,0)</f>
        <v>#REF!</v>
      </c>
    </row>
    <row r="902" spans="1:16" s="97" customFormat="1" x14ac:dyDescent="0.25">
      <c r="A902" s="53" t="s">
        <v>1686</v>
      </c>
      <c r="B902" s="54" t="s">
        <v>1669</v>
      </c>
      <c r="C902" s="55" t="s">
        <v>1692</v>
      </c>
      <c r="D902" s="77" t="s">
        <v>1177</v>
      </c>
      <c r="E902" s="55" t="s">
        <v>669</v>
      </c>
      <c r="F902" s="55" t="s">
        <v>1177</v>
      </c>
      <c r="G902" s="77" t="s">
        <v>169</v>
      </c>
      <c r="H902" s="77" t="s">
        <v>655</v>
      </c>
      <c r="I902" s="55"/>
      <c r="J902" s="56" t="s">
        <v>708</v>
      </c>
      <c r="K902" s="118">
        <f>ROUND(Tableau16[[#This Row],[LEN]]*7.27,0)</f>
        <v>233</v>
      </c>
      <c r="L902" s="118">
        <v>15</v>
      </c>
      <c r="M902" s="135" t="str">
        <f t="shared" si="6"/>
        <v>none</v>
      </c>
      <c r="N902" s="118">
        <f>LEN(Tableau16[[#This Row],[LABEL]])</f>
        <v>32</v>
      </c>
      <c r="O902" s="118">
        <v>15</v>
      </c>
      <c r="P902" s="118" t="e">
        <f>ROUND(Tableau16[[#This Row],[LEN]]*#REF!+#REF!,0)</f>
        <v>#REF!</v>
      </c>
    </row>
    <row r="903" spans="1:16" s="97" customFormat="1" x14ac:dyDescent="0.25">
      <c r="A903" s="410" t="s">
        <v>1693</v>
      </c>
      <c r="B903" s="411" t="s">
        <v>1686</v>
      </c>
      <c r="C903" s="412" t="s">
        <v>1697</v>
      </c>
      <c r="D903" s="413" t="s">
        <v>1177</v>
      </c>
      <c r="E903" s="412" t="s">
        <v>669</v>
      </c>
      <c r="F903" s="412" t="s">
        <v>1177</v>
      </c>
      <c r="G903" s="413" t="s">
        <v>169</v>
      </c>
      <c r="H903" s="414" t="s">
        <v>654</v>
      </c>
      <c r="I903" s="412"/>
      <c r="J903" s="415" t="s">
        <v>708</v>
      </c>
      <c r="K903" s="416">
        <f>ROUND(Tableau16[[#This Row],[LEN]]*7.27,0)</f>
        <v>145</v>
      </c>
      <c r="L903" s="416">
        <v>15</v>
      </c>
      <c r="M903" s="417" t="str">
        <f t="shared" si="6"/>
        <v>none</v>
      </c>
      <c r="N903" s="416">
        <f>LEN(Tableau16[[#This Row],[LABEL]])</f>
        <v>20</v>
      </c>
      <c r="O903" s="416">
        <v>15</v>
      </c>
      <c r="P903" s="416" t="e">
        <f>ROUND(Tableau16[[#This Row],[LEN]]*#REF!+#REF!,0)</f>
        <v>#REF!</v>
      </c>
    </row>
    <row r="904" spans="1:16" s="97" customFormat="1" x14ac:dyDescent="0.25">
      <c r="A904" s="410" t="s">
        <v>1694</v>
      </c>
      <c r="B904" s="411" t="s">
        <v>1686</v>
      </c>
      <c r="C904" s="412" t="s">
        <v>1698</v>
      </c>
      <c r="D904" s="413" t="s">
        <v>1177</v>
      </c>
      <c r="E904" s="412" t="s">
        <v>669</v>
      </c>
      <c r="F904" s="412" t="s">
        <v>1177</v>
      </c>
      <c r="G904" s="413" t="s">
        <v>169</v>
      </c>
      <c r="H904" s="414" t="s">
        <v>654</v>
      </c>
      <c r="I904" s="412"/>
      <c r="J904" s="415" t="s">
        <v>708</v>
      </c>
      <c r="K904" s="416">
        <f>ROUND(Tableau16[[#This Row],[LEN]]*7.27,0)</f>
        <v>174</v>
      </c>
      <c r="L904" s="416">
        <v>15</v>
      </c>
      <c r="M904" s="417" t="str">
        <f t="shared" si="6"/>
        <v>none</v>
      </c>
      <c r="N904" s="416">
        <f>LEN(Tableau16[[#This Row],[LABEL]])</f>
        <v>24</v>
      </c>
      <c r="O904" s="416">
        <v>15</v>
      </c>
      <c r="P904" s="416" t="e">
        <f>ROUND(Tableau16[[#This Row],[LEN]]*#REF!+#REF!,0)</f>
        <v>#REF!</v>
      </c>
    </row>
    <row r="905" spans="1:16" s="97" customFormat="1" x14ac:dyDescent="0.25">
      <c r="A905" s="410" t="s">
        <v>1695</v>
      </c>
      <c r="B905" s="411" t="s">
        <v>1686</v>
      </c>
      <c r="C905" s="412" t="s">
        <v>1699</v>
      </c>
      <c r="D905" s="413" t="s">
        <v>1177</v>
      </c>
      <c r="E905" s="412" t="s">
        <v>669</v>
      </c>
      <c r="F905" s="412" t="s">
        <v>1177</v>
      </c>
      <c r="G905" s="413" t="s">
        <v>169</v>
      </c>
      <c r="H905" s="414" t="s">
        <v>654</v>
      </c>
      <c r="I905" s="412"/>
      <c r="J905" s="415" t="s">
        <v>708</v>
      </c>
      <c r="K905" s="416">
        <f>ROUND(Tableau16[[#This Row],[LEN]]*7.27,0)</f>
        <v>138</v>
      </c>
      <c r="L905" s="416">
        <v>15</v>
      </c>
      <c r="M905" s="417" t="str">
        <f t="shared" si="6"/>
        <v>none</v>
      </c>
      <c r="N905" s="416">
        <f>LEN(Tableau16[[#This Row],[LABEL]])</f>
        <v>19</v>
      </c>
      <c r="O905" s="416">
        <v>15</v>
      </c>
      <c r="P905" s="416" t="e">
        <f>ROUND(Tableau16[[#This Row],[LEN]]*#REF!+#REF!,0)</f>
        <v>#REF!</v>
      </c>
    </row>
    <row r="906" spans="1:16" s="97" customFormat="1" x14ac:dyDescent="0.25">
      <c r="A906" s="410" t="s">
        <v>1696</v>
      </c>
      <c r="B906" s="411" t="s">
        <v>1686</v>
      </c>
      <c r="C906" s="412" t="s">
        <v>1700</v>
      </c>
      <c r="D906" s="413" t="s">
        <v>1177</v>
      </c>
      <c r="E906" s="412" t="s">
        <v>669</v>
      </c>
      <c r="F906" s="412" t="s">
        <v>1177</v>
      </c>
      <c r="G906" s="413" t="s">
        <v>169</v>
      </c>
      <c r="H906" s="414" t="s">
        <v>654</v>
      </c>
      <c r="I906" s="412"/>
      <c r="J906" s="415" t="s">
        <v>708</v>
      </c>
      <c r="K906" s="416">
        <f>ROUND(Tableau16[[#This Row],[LEN]]*7.27,0)</f>
        <v>131</v>
      </c>
      <c r="L906" s="416">
        <v>15</v>
      </c>
      <c r="M906" s="417" t="str">
        <f t="shared" si="6"/>
        <v>none</v>
      </c>
      <c r="N906" s="416">
        <f>LEN(Tableau16[[#This Row],[LABEL]])</f>
        <v>18</v>
      </c>
      <c r="O906" s="416">
        <v>15</v>
      </c>
      <c r="P906" s="416" t="e">
        <f>ROUND(Tableau16[[#This Row],[LEN]]*#REF!+#REF!,0)</f>
        <v>#REF!</v>
      </c>
    </row>
    <row r="907" spans="1:16" s="97" customFormat="1" x14ac:dyDescent="0.25">
      <c r="A907" s="49" t="s">
        <v>1670</v>
      </c>
      <c r="B907" s="50" t="s">
        <v>309</v>
      </c>
      <c r="C907" s="51" t="s">
        <v>1702</v>
      </c>
      <c r="D907" s="76" t="s">
        <v>1703</v>
      </c>
      <c r="E907" s="51" t="s">
        <v>669</v>
      </c>
      <c r="F907" s="51" t="s">
        <v>661</v>
      </c>
      <c r="G907" s="76" t="s">
        <v>169</v>
      </c>
      <c r="H907" s="76" t="s">
        <v>654</v>
      </c>
      <c r="I907" s="51"/>
      <c r="J907" s="52" t="s">
        <v>708</v>
      </c>
      <c r="K907" s="117">
        <f>ROUND(Tableau16[[#This Row],[LEN]]*7.27,0)</f>
        <v>247</v>
      </c>
      <c r="L907" s="117">
        <v>15</v>
      </c>
      <c r="M907" s="134" t="str">
        <f t="shared" si="6"/>
        <v>none</v>
      </c>
      <c r="N907" s="117">
        <f>LEN(Tableau16[[#This Row],[LABEL]])</f>
        <v>34</v>
      </c>
      <c r="O907" s="117">
        <v>15</v>
      </c>
      <c r="P907" s="117" t="e">
        <f>ROUND(Tableau16[[#This Row],[LEN]]*#REF!+#REF!,0)</f>
        <v>#REF!</v>
      </c>
    </row>
    <row r="908" spans="1:16" s="97" customFormat="1" x14ac:dyDescent="0.25">
      <c r="A908" s="49" t="s">
        <v>1671</v>
      </c>
      <c r="B908" s="50" t="s">
        <v>309</v>
      </c>
      <c r="C908" s="51" t="s">
        <v>549</v>
      </c>
      <c r="D908" s="76" t="s">
        <v>1177</v>
      </c>
      <c r="E908" s="51" t="s">
        <v>673</v>
      </c>
      <c r="F908" s="51" t="s">
        <v>1704</v>
      </c>
      <c r="G908" s="76" t="s">
        <v>169</v>
      </c>
      <c r="H908" s="76" t="s">
        <v>655</v>
      </c>
      <c r="I908" s="51"/>
      <c r="J908" s="52" t="s">
        <v>708</v>
      </c>
      <c r="K908" s="117">
        <f>ROUND(Tableau16[[#This Row],[LEN]]*7.27,0)</f>
        <v>145</v>
      </c>
      <c r="L908" s="117">
        <v>15</v>
      </c>
      <c r="M908" s="134" t="str">
        <f t="shared" si="6"/>
        <v>none</v>
      </c>
      <c r="N908" s="117">
        <f>LEN(Tableau16[[#This Row],[LABEL]])</f>
        <v>20</v>
      </c>
      <c r="O908" s="117">
        <v>15</v>
      </c>
      <c r="P908" s="117" t="e">
        <f>ROUND(Tableau16[[#This Row],[LEN]]*#REF!+#REF!,0)</f>
        <v>#REF!</v>
      </c>
    </row>
    <row r="909" spans="1:16" s="97" customFormat="1" x14ac:dyDescent="0.25">
      <c r="A909" s="53" t="s">
        <v>1705</v>
      </c>
      <c r="B909" s="54" t="s">
        <v>1671</v>
      </c>
      <c r="C909" s="55" t="s">
        <v>590</v>
      </c>
      <c r="D909" s="77" t="s">
        <v>1177</v>
      </c>
      <c r="E909" s="55" t="s">
        <v>673</v>
      </c>
      <c r="F909" s="55" t="s">
        <v>1704</v>
      </c>
      <c r="G909" s="77" t="s">
        <v>169</v>
      </c>
      <c r="H909" s="77" t="s">
        <v>570</v>
      </c>
      <c r="I909" s="55"/>
      <c r="J909" s="56" t="s">
        <v>708</v>
      </c>
      <c r="K909" s="118">
        <f>ROUND(Tableau16[[#This Row],[LEN]]*7.27,0)</f>
        <v>102</v>
      </c>
      <c r="L909" s="118">
        <v>15</v>
      </c>
      <c r="M909" s="135" t="str">
        <f t="shared" si="6"/>
        <v>none</v>
      </c>
      <c r="N909" s="118">
        <f>LEN(Tableau16[[#This Row],[LABEL]])</f>
        <v>14</v>
      </c>
      <c r="O909" s="118">
        <v>15</v>
      </c>
      <c r="P909" s="118" t="e">
        <f>ROUND(Tableau16[[#This Row],[LEN]]*#REF!+#REF!,0)</f>
        <v>#REF!</v>
      </c>
    </row>
    <row r="910" spans="1:16" s="97" customFormat="1" x14ac:dyDescent="0.25">
      <c r="A910" s="53" t="s">
        <v>1706</v>
      </c>
      <c r="B910" s="54" t="s">
        <v>1671</v>
      </c>
      <c r="C910" s="55" t="s">
        <v>591</v>
      </c>
      <c r="D910" s="77" t="s">
        <v>1177</v>
      </c>
      <c r="E910" s="55" t="s">
        <v>673</v>
      </c>
      <c r="F910" s="55" t="s">
        <v>1704</v>
      </c>
      <c r="G910" s="77" t="s">
        <v>169</v>
      </c>
      <c r="H910" s="77" t="s">
        <v>570</v>
      </c>
      <c r="I910" s="55"/>
      <c r="J910" s="56" t="s">
        <v>708</v>
      </c>
      <c r="K910" s="118">
        <f>ROUND(Tableau16[[#This Row],[LEN]]*7.27,0)</f>
        <v>262</v>
      </c>
      <c r="L910" s="118">
        <v>15</v>
      </c>
      <c r="M910" s="135" t="str">
        <f t="shared" si="6"/>
        <v>none</v>
      </c>
      <c r="N910" s="118">
        <f>LEN(Tableau16[[#This Row],[LABEL]])</f>
        <v>36</v>
      </c>
      <c r="O910" s="118">
        <v>15</v>
      </c>
      <c r="P910" s="118" t="e">
        <f>ROUND(Tableau16[[#This Row],[LEN]]*#REF!+#REF!,0)</f>
        <v>#REF!</v>
      </c>
    </row>
    <row r="911" spans="1:16" s="97" customFormat="1" x14ac:dyDescent="0.25">
      <c r="A911" s="53" t="s">
        <v>1707</v>
      </c>
      <c r="B911" s="54" t="s">
        <v>1671</v>
      </c>
      <c r="C911" s="55" t="s">
        <v>592</v>
      </c>
      <c r="D911" s="77" t="s">
        <v>1177</v>
      </c>
      <c r="E911" s="55" t="s">
        <v>673</v>
      </c>
      <c r="F911" s="55" t="s">
        <v>1704</v>
      </c>
      <c r="G911" s="77" t="s">
        <v>169</v>
      </c>
      <c r="H911" s="77" t="s">
        <v>570</v>
      </c>
      <c r="I911" s="55"/>
      <c r="J911" s="56" t="s">
        <v>708</v>
      </c>
      <c r="K911" s="118">
        <f>ROUND(Tableau16[[#This Row],[LEN]]*7.27,0)</f>
        <v>189</v>
      </c>
      <c r="L911" s="118">
        <v>15</v>
      </c>
      <c r="M911" s="135" t="str">
        <f t="shared" si="6"/>
        <v>none</v>
      </c>
      <c r="N911" s="118">
        <f>LEN(Tableau16[[#This Row],[LABEL]])</f>
        <v>26</v>
      </c>
      <c r="O911" s="118">
        <v>15</v>
      </c>
      <c r="P911" s="118" t="e">
        <f>ROUND(Tableau16[[#This Row],[LEN]]*#REF!+#REF!,0)</f>
        <v>#REF!</v>
      </c>
    </row>
    <row r="912" spans="1:16" s="97" customFormat="1" x14ac:dyDescent="0.25">
      <c r="A912" s="53" t="s">
        <v>1708</v>
      </c>
      <c r="B912" s="54" t="s">
        <v>1671</v>
      </c>
      <c r="C912" s="55" t="s">
        <v>597</v>
      </c>
      <c r="D912" s="77" t="s">
        <v>1177</v>
      </c>
      <c r="E912" s="55" t="s">
        <v>673</v>
      </c>
      <c r="F912" s="55" t="s">
        <v>1704</v>
      </c>
      <c r="G912" s="77" t="s">
        <v>169</v>
      </c>
      <c r="H912" s="77" t="s">
        <v>570</v>
      </c>
      <c r="I912" s="55"/>
      <c r="J912" s="56" t="s">
        <v>708</v>
      </c>
      <c r="K912" s="118">
        <f>ROUND(Tableau16[[#This Row],[LEN]]*7.27,0)</f>
        <v>465</v>
      </c>
      <c r="L912" s="118">
        <v>15</v>
      </c>
      <c r="M912" s="135" t="str">
        <f t="shared" si="6"/>
        <v>none</v>
      </c>
      <c r="N912" s="118">
        <f>LEN(Tableau16[[#This Row],[LABEL]])</f>
        <v>64</v>
      </c>
      <c r="O912" s="118">
        <v>15</v>
      </c>
      <c r="P912" s="118" t="e">
        <f>ROUND(Tableau16[[#This Row],[LEN]]*#REF!+#REF!,0)</f>
        <v>#REF!</v>
      </c>
    </row>
    <row r="913" spans="1:16" s="97" customFormat="1" x14ac:dyDescent="0.25">
      <c r="A913" s="49" t="s">
        <v>1672</v>
      </c>
      <c r="B913" s="50" t="s">
        <v>309</v>
      </c>
      <c r="C913" s="51" t="s">
        <v>1709</v>
      </c>
      <c r="D913" s="76" t="s">
        <v>1177</v>
      </c>
      <c r="E913" s="51" t="s">
        <v>669</v>
      </c>
      <c r="F913" s="51" t="s">
        <v>1177</v>
      </c>
      <c r="G913" s="76" t="s">
        <v>169</v>
      </c>
      <c r="H913" s="76" t="s">
        <v>655</v>
      </c>
      <c r="I913" s="51"/>
      <c r="J913" s="52" t="s">
        <v>708</v>
      </c>
      <c r="K913" s="117">
        <f>ROUND(Tableau16[[#This Row],[LEN]]*7.27,0)</f>
        <v>138</v>
      </c>
      <c r="L913" s="117">
        <v>15</v>
      </c>
      <c r="M913" s="134" t="str">
        <f t="shared" si="6"/>
        <v>none</v>
      </c>
      <c r="N913" s="117">
        <f>LEN(Tableau16[[#This Row],[LABEL]])</f>
        <v>19</v>
      </c>
      <c r="O913" s="117">
        <v>15</v>
      </c>
      <c r="P913" s="117" t="e">
        <f>ROUND(Tableau16[[#This Row],[LEN]]*#REF!+#REF!,0)</f>
        <v>#REF!</v>
      </c>
    </row>
    <row r="914" spans="1:16" s="97" customFormat="1" x14ac:dyDescent="0.25">
      <c r="A914" s="53" t="s">
        <v>1710</v>
      </c>
      <c r="B914" s="54" t="s">
        <v>1672</v>
      </c>
      <c r="C914" s="55" t="s">
        <v>1713</v>
      </c>
      <c r="D914" s="77" t="s">
        <v>1177</v>
      </c>
      <c r="E914" s="55" t="s">
        <v>669</v>
      </c>
      <c r="F914" s="55" t="s">
        <v>1177</v>
      </c>
      <c r="G914" s="77" t="s">
        <v>169</v>
      </c>
      <c r="H914" s="77" t="s">
        <v>654</v>
      </c>
      <c r="I914" s="55"/>
      <c r="J914" s="56" t="s">
        <v>708</v>
      </c>
      <c r="K914" s="118">
        <f>ROUND(Tableau16[[#This Row],[LEN]]*7.27,0)</f>
        <v>422</v>
      </c>
      <c r="L914" s="118">
        <v>15</v>
      </c>
      <c r="M914" s="135" t="str">
        <f t="shared" si="6"/>
        <v>none</v>
      </c>
      <c r="N914" s="118">
        <f>LEN(Tableau16[[#This Row],[LABEL]])</f>
        <v>58</v>
      </c>
      <c r="O914" s="118">
        <v>15</v>
      </c>
      <c r="P914" s="118" t="e">
        <f>ROUND(Tableau16[[#This Row],[LEN]]*#REF!+#REF!,0)</f>
        <v>#REF!</v>
      </c>
    </row>
    <row r="915" spans="1:16" s="97" customFormat="1" x14ac:dyDescent="0.25">
      <c r="A915" s="53" t="s">
        <v>1711</v>
      </c>
      <c r="B915" s="54" t="s">
        <v>1672</v>
      </c>
      <c r="C915" s="55" t="s">
        <v>1714</v>
      </c>
      <c r="D915" s="77" t="s">
        <v>1177</v>
      </c>
      <c r="E915" s="55" t="s">
        <v>669</v>
      </c>
      <c r="F915" s="55" t="s">
        <v>1177</v>
      </c>
      <c r="G915" s="77" t="s">
        <v>169</v>
      </c>
      <c r="H915" s="77" t="s">
        <v>654</v>
      </c>
      <c r="I915" s="55"/>
      <c r="J915" s="56" t="s">
        <v>708</v>
      </c>
      <c r="K915" s="118">
        <f>ROUND(Tableau16[[#This Row],[LEN]]*7.27,0)</f>
        <v>174</v>
      </c>
      <c r="L915" s="118">
        <v>15</v>
      </c>
      <c r="M915" s="135" t="str">
        <f t="shared" si="6"/>
        <v>none</v>
      </c>
      <c r="N915" s="118">
        <f>LEN(Tableau16[[#This Row],[LABEL]])</f>
        <v>24</v>
      </c>
      <c r="O915" s="118">
        <v>15</v>
      </c>
      <c r="P915" s="118" t="e">
        <f>ROUND(Tableau16[[#This Row],[LEN]]*#REF!+#REF!,0)</f>
        <v>#REF!</v>
      </c>
    </row>
    <row r="916" spans="1:16" s="97" customFormat="1" x14ac:dyDescent="0.25">
      <c r="A916" s="53" t="s">
        <v>1712</v>
      </c>
      <c r="B916" s="54" t="s">
        <v>1672</v>
      </c>
      <c r="C916" s="55" t="s">
        <v>1715</v>
      </c>
      <c r="D916" s="77" t="s">
        <v>1177</v>
      </c>
      <c r="E916" s="55" t="s">
        <v>669</v>
      </c>
      <c r="F916" s="55" t="s">
        <v>1177</v>
      </c>
      <c r="G916" s="77" t="s">
        <v>169</v>
      </c>
      <c r="H916" s="77" t="s">
        <v>654</v>
      </c>
      <c r="I916" s="55"/>
      <c r="J916" s="56" t="s">
        <v>708</v>
      </c>
      <c r="K916" s="118">
        <f>ROUND(Tableau16[[#This Row],[LEN]]*7.27,0)</f>
        <v>145</v>
      </c>
      <c r="L916" s="118">
        <v>15</v>
      </c>
      <c r="M916" s="135" t="str">
        <f t="shared" si="6"/>
        <v>none</v>
      </c>
      <c r="N916" s="118">
        <f>LEN(Tableau16[[#This Row],[LABEL]])</f>
        <v>20</v>
      </c>
      <c r="O916" s="118">
        <v>15</v>
      </c>
      <c r="P916" s="118" t="e">
        <f>ROUND(Tableau16[[#This Row],[LEN]]*#REF!+#REF!,0)</f>
        <v>#REF!</v>
      </c>
    </row>
    <row r="917" spans="1:16" s="97" customFormat="1" x14ac:dyDescent="0.25">
      <c r="A917" s="49" t="s">
        <v>1673</v>
      </c>
      <c r="B917" s="50" t="s">
        <v>309</v>
      </c>
      <c r="C917" s="51" t="s">
        <v>598</v>
      </c>
      <c r="D917" s="76" t="s">
        <v>1177</v>
      </c>
      <c r="E917" s="51" t="s">
        <v>673</v>
      </c>
      <c r="F917" s="51" t="s">
        <v>2035</v>
      </c>
      <c r="G917" s="76" t="s">
        <v>169</v>
      </c>
      <c r="H917" s="76" t="s">
        <v>654</v>
      </c>
      <c r="I917" s="51"/>
      <c r="J917" s="52" t="s">
        <v>708</v>
      </c>
      <c r="K917" s="117">
        <f>ROUND(Tableau16[[#This Row],[LEN]]*7.27,0)</f>
        <v>553</v>
      </c>
      <c r="L917" s="117">
        <v>15</v>
      </c>
      <c r="M917" s="134" t="str">
        <f t="shared" si="6"/>
        <v>none</v>
      </c>
      <c r="N917" s="117">
        <f>LEN(Tableau16[[#This Row],[LABEL]])</f>
        <v>76</v>
      </c>
      <c r="O917" s="117">
        <v>15</v>
      </c>
      <c r="P917" s="117" t="e">
        <f>ROUND(Tableau16[[#This Row],[LEN]]*#REF!+#REF!,0)</f>
        <v>#REF!</v>
      </c>
    </row>
    <row r="918" spans="1:16" s="273" customFormat="1" x14ac:dyDescent="0.25">
      <c r="A918" s="351" t="s">
        <v>310</v>
      </c>
      <c r="B918" s="352" t="s">
        <v>209</v>
      </c>
      <c r="C918" s="353" t="s">
        <v>7</v>
      </c>
      <c r="D918" s="354" t="s">
        <v>1177</v>
      </c>
      <c r="E918" s="353" t="s">
        <v>670</v>
      </c>
      <c r="F918" s="353" t="s">
        <v>1177</v>
      </c>
      <c r="G918" s="354" t="s">
        <v>169</v>
      </c>
      <c r="H918" s="354" t="str">
        <f>IFERROR(IF(SEARCH(".00.00.00.00.00",Tableau16[[#This Row],[name]],1)=7,"Division",""),"")</f>
        <v>Division</v>
      </c>
      <c r="I918" s="353"/>
      <c r="J918" s="355" t="s">
        <v>708</v>
      </c>
      <c r="K918" s="356">
        <f>ROUND(Tableau16[[#This Row],[LEN]]*7.27,0)</f>
        <v>189</v>
      </c>
      <c r="L918" s="356">
        <v>15</v>
      </c>
      <c r="M918" s="357" t="str">
        <f t="shared" si="6"/>
        <v>none</v>
      </c>
      <c r="N918" s="356">
        <f>LEN(Tableau16[[#This Row],[LABEL]])</f>
        <v>26</v>
      </c>
      <c r="O918" s="356">
        <v>15</v>
      </c>
      <c r="P918" s="356" t="e">
        <f>ROUND(Tableau16[[#This Row],[LEN]]*#REF!+#REF!,0)</f>
        <v>#REF!</v>
      </c>
    </row>
    <row r="919" spans="1:16" s="97" customFormat="1" x14ac:dyDescent="0.25">
      <c r="A919" s="49" t="s">
        <v>1716</v>
      </c>
      <c r="B919" s="50" t="s">
        <v>310</v>
      </c>
      <c r="C919" s="51" t="s">
        <v>1717</v>
      </c>
      <c r="D919" s="76" t="s">
        <v>1177</v>
      </c>
      <c r="E919" s="51" t="s">
        <v>670</v>
      </c>
      <c r="F919" s="51" t="s">
        <v>1177</v>
      </c>
      <c r="G919" s="76" t="s">
        <v>169</v>
      </c>
      <c r="H919" s="76" t="s">
        <v>656</v>
      </c>
      <c r="I919" s="51"/>
      <c r="J919" s="52" t="s">
        <v>708</v>
      </c>
      <c r="K919" s="117">
        <f>ROUND(Tableau16[[#This Row],[LEN]]*7.27,0)</f>
        <v>422</v>
      </c>
      <c r="L919" s="117">
        <v>15</v>
      </c>
      <c r="M919" s="134" t="str">
        <f t="shared" si="6"/>
        <v>none</v>
      </c>
      <c r="N919" s="117">
        <f>LEN(Tableau16[[#This Row],[LABEL]])</f>
        <v>58</v>
      </c>
      <c r="O919" s="117">
        <v>15</v>
      </c>
      <c r="P919" s="117" t="e">
        <f>ROUND(Tableau16[[#This Row],[LEN]]*#REF!+#REF!,0)</f>
        <v>#REF!</v>
      </c>
    </row>
    <row r="920" spans="1:16" s="273" customFormat="1" x14ac:dyDescent="0.25">
      <c r="A920" s="351" t="s">
        <v>311</v>
      </c>
      <c r="B920" s="352" t="s">
        <v>209</v>
      </c>
      <c r="C920" s="353" t="s">
        <v>8</v>
      </c>
      <c r="D920" s="354" t="s">
        <v>1177</v>
      </c>
      <c r="E920" s="353" t="s">
        <v>671</v>
      </c>
      <c r="F920" s="353" t="s">
        <v>1177</v>
      </c>
      <c r="G920" s="354" t="s">
        <v>169</v>
      </c>
      <c r="H920" s="354" t="str">
        <f>IFERROR(IF(SEARCH(".00.00.00.00.00",Tableau16[[#This Row],[name]],1)=7,"Division",""),"")</f>
        <v>Division</v>
      </c>
      <c r="I920" s="353"/>
      <c r="J920" s="355" t="s">
        <v>708</v>
      </c>
      <c r="K920" s="356">
        <f>ROUND(Tableau16[[#This Row],[LEN]]*7.27,0)</f>
        <v>116</v>
      </c>
      <c r="L920" s="356">
        <v>15</v>
      </c>
      <c r="M920" s="357" t="str">
        <f t="shared" si="6"/>
        <v>none</v>
      </c>
      <c r="N920" s="356">
        <f>LEN(Tableau16[[#This Row],[LABEL]])</f>
        <v>16</v>
      </c>
      <c r="O920" s="356">
        <v>15</v>
      </c>
      <c r="P920" s="356" t="e">
        <f>ROUND(Tableau16[[#This Row],[LEN]]*#REF!+#REF!,0)</f>
        <v>#REF!</v>
      </c>
    </row>
    <row r="921" spans="1:16" s="97" customFormat="1" x14ac:dyDescent="0.25">
      <c r="A921" s="49" t="s">
        <v>1718</v>
      </c>
      <c r="B921" s="50" t="s">
        <v>311</v>
      </c>
      <c r="C921" s="51" t="s">
        <v>1720</v>
      </c>
      <c r="D921" s="76" t="s">
        <v>1177</v>
      </c>
      <c r="E921" s="51" t="s">
        <v>671</v>
      </c>
      <c r="F921" s="51" t="s">
        <v>1177</v>
      </c>
      <c r="G921" s="76" t="s">
        <v>169</v>
      </c>
      <c r="H921" s="76" t="s">
        <v>656</v>
      </c>
      <c r="I921" s="51"/>
      <c r="J921" s="52" t="s">
        <v>708</v>
      </c>
      <c r="K921" s="117">
        <f>ROUND(Tableau16[[#This Row],[LEN]]*7.27,0)</f>
        <v>487</v>
      </c>
      <c r="L921" s="117">
        <v>15</v>
      </c>
      <c r="M921" s="134" t="str">
        <f t="shared" si="6"/>
        <v>none</v>
      </c>
      <c r="N921" s="117">
        <f>LEN(Tableau16[[#This Row],[LABEL]])</f>
        <v>67</v>
      </c>
      <c r="O921" s="117">
        <v>15</v>
      </c>
      <c r="P921" s="117" t="e">
        <f>ROUND(Tableau16[[#This Row],[LEN]]*#REF!+#REF!,0)</f>
        <v>#REF!</v>
      </c>
    </row>
    <row r="922" spans="1:16" s="97" customFormat="1" x14ac:dyDescent="0.25">
      <c r="A922" s="49" t="s">
        <v>1719</v>
      </c>
      <c r="B922" s="50" t="s">
        <v>311</v>
      </c>
      <c r="C922" s="51" t="s">
        <v>1721</v>
      </c>
      <c r="D922" s="76" t="s">
        <v>1177</v>
      </c>
      <c r="E922" s="51" t="s">
        <v>671</v>
      </c>
      <c r="F922" s="51" t="s">
        <v>1177</v>
      </c>
      <c r="G922" s="76" t="s">
        <v>169</v>
      </c>
      <c r="H922" s="76" t="s">
        <v>654</v>
      </c>
      <c r="I922" s="51"/>
      <c r="J922" s="52" t="s">
        <v>708</v>
      </c>
      <c r="K922" s="117">
        <f>ROUND(Tableau16[[#This Row],[LEN]]*7.27,0)</f>
        <v>320</v>
      </c>
      <c r="L922" s="117">
        <v>15</v>
      </c>
      <c r="M922" s="134" t="str">
        <f t="shared" si="6"/>
        <v>none</v>
      </c>
      <c r="N922" s="117">
        <f>LEN(Tableau16[[#This Row],[LABEL]])</f>
        <v>44</v>
      </c>
      <c r="O922" s="117">
        <v>15</v>
      </c>
      <c r="P922" s="117" t="e">
        <f>ROUND(Tableau16[[#This Row],[LEN]]*#REF!+#REF!,0)</f>
        <v>#REF!</v>
      </c>
    </row>
    <row r="923" spans="1:16" s="273" customFormat="1" x14ac:dyDescent="0.25">
      <c r="A923" s="351" t="s">
        <v>312</v>
      </c>
      <c r="B923" s="352" t="s">
        <v>209</v>
      </c>
      <c r="C923" s="353" t="s">
        <v>9</v>
      </c>
      <c r="D923" s="354" t="s">
        <v>1177</v>
      </c>
      <c r="E923" s="353" t="s">
        <v>672</v>
      </c>
      <c r="F923" s="353" t="s">
        <v>1177</v>
      </c>
      <c r="G923" s="354" t="s">
        <v>169</v>
      </c>
      <c r="H923" s="354" t="str">
        <f>IFERROR(IF(SEARCH(".00.00.00.00.00",Tableau16[[#This Row],[name]],1)=7,"Division",""),"")</f>
        <v>Division</v>
      </c>
      <c r="I923" s="353"/>
      <c r="J923" s="355" t="s">
        <v>718</v>
      </c>
      <c r="K923" s="356">
        <f>ROUND(Tableau16[[#This Row],[LEN]]*7.27,0)</f>
        <v>80</v>
      </c>
      <c r="L923" s="356">
        <v>15</v>
      </c>
      <c r="M923" s="357" t="str">
        <f t="shared" si="6"/>
        <v>new</v>
      </c>
      <c r="N923" s="356">
        <f>LEN(Tableau16[[#This Row],[LABEL]])</f>
        <v>11</v>
      </c>
      <c r="O923" s="356">
        <v>15</v>
      </c>
      <c r="P923" s="356" t="e">
        <f>ROUND(Tableau16[[#This Row],[LEN]]*#REF!+#REF!,0)</f>
        <v>#REF!</v>
      </c>
    </row>
    <row r="924" spans="1:16" s="97" customFormat="1" x14ac:dyDescent="0.25">
      <c r="A924" s="49" t="s">
        <v>539</v>
      </c>
      <c r="B924" s="50" t="s">
        <v>312</v>
      </c>
      <c r="C924" s="51" t="s">
        <v>128</v>
      </c>
      <c r="D924" s="76" t="s">
        <v>1177</v>
      </c>
      <c r="E924" s="51" t="s">
        <v>669</v>
      </c>
      <c r="F924" s="51" t="s">
        <v>2029</v>
      </c>
      <c r="G924" s="76" t="s">
        <v>169</v>
      </c>
      <c r="H924" s="76" t="s">
        <v>570</v>
      </c>
      <c r="I924" s="51"/>
      <c r="J924" s="52" t="s">
        <v>708</v>
      </c>
      <c r="K924" s="117">
        <f>ROUND(Tableau16[[#This Row],[LEN]]*7.27,0)</f>
        <v>182</v>
      </c>
      <c r="L924" s="117">
        <v>15</v>
      </c>
      <c r="M924" s="134" t="str">
        <f t="shared" si="6"/>
        <v>none</v>
      </c>
      <c r="N924" s="117">
        <f>LEN(Tableau16[[#This Row],[LABEL]])</f>
        <v>25</v>
      </c>
      <c r="O924" s="117">
        <v>15</v>
      </c>
      <c r="P924" s="117" t="e">
        <f>ROUND(Tableau16[[#This Row],[LEN]]*#REF!+#REF!,0)</f>
        <v>#REF!</v>
      </c>
    </row>
    <row r="925" spans="1:16" s="97" customFormat="1" x14ac:dyDescent="0.25">
      <c r="A925" s="49" t="s">
        <v>540</v>
      </c>
      <c r="B925" s="50" t="s">
        <v>312</v>
      </c>
      <c r="C925" s="51" t="s">
        <v>129</v>
      </c>
      <c r="D925" s="76" t="s">
        <v>1177</v>
      </c>
      <c r="E925" s="51" t="s">
        <v>673</v>
      </c>
      <c r="F925" s="51" t="s">
        <v>2035</v>
      </c>
      <c r="G925" s="76" t="s">
        <v>169</v>
      </c>
      <c r="H925" s="76" t="s">
        <v>655</v>
      </c>
      <c r="I925" s="51"/>
      <c r="J925" s="52" t="s">
        <v>708</v>
      </c>
      <c r="K925" s="117">
        <f>ROUND(Tableau16[[#This Row],[LEN]]*7.27,0)</f>
        <v>87</v>
      </c>
      <c r="L925" s="117">
        <v>15</v>
      </c>
      <c r="M925" s="134" t="str">
        <f t="shared" si="6"/>
        <v>none</v>
      </c>
      <c r="N925" s="117">
        <f>LEN(Tableau16[[#This Row],[LABEL]])</f>
        <v>12</v>
      </c>
      <c r="O925" s="117">
        <v>15</v>
      </c>
      <c r="P925" s="117" t="e">
        <f>ROUND(Tableau16[[#This Row],[LEN]]*#REF!+#REF!,0)</f>
        <v>#REF!</v>
      </c>
    </row>
    <row r="926" spans="1:16" s="97" customFormat="1" x14ac:dyDescent="0.25">
      <c r="A926" s="53" t="s">
        <v>550</v>
      </c>
      <c r="B926" s="54" t="s">
        <v>540</v>
      </c>
      <c r="C926" s="55" t="s">
        <v>131</v>
      </c>
      <c r="D926" s="77" t="s">
        <v>1177</v>
      </c>
      <c r="E926" s="55" t="s">
        <v>673</v>
      </c>
      <c r="F926" s="55" t="s">
        <v>2035</v>
      </c>
      <c r="G926" s="77" t="s">
        <v>169</v>
      </c>
      <c r="H926" s="77" t="s">
        <v>570</v>
      </c>
      <c r="I926" s="55"/>
      <c r="J926" s="56" t="s">
        <v>708</v>
      </c>
      <c r="K926" s="118">
        <f>ROUND(Tableau16[[#This Row],[LEN]]*7.27,0)</f>
        <v>262</v>
      </c>
      <c r="L926" s="118">
        <v>15</v>
      </c>
      <c r="M926" s="135" t="str">
        <f t="shared" si="6"/>
        <v>none</v>
      </c>
      <c r="N926" s="118">
        <f>LEN(Tableau16[[#This Row],[LABEL]])</f>
        <v>36</v>
      </c>
      <c r="O926" s="118">
        <v>15</v>
      </c>
      <c r="P926" s="118" t="e">
        <f>ROUND(Tableau16[[#This Row],[LEN]]*#REF!+#REF!,0)</f>
        <v>#REF!</v>
      </c>
    </row>
    <row r="927" spans="1:16" s="97" customFormat="1" x14ac:dyDescent="0.25">
      <c r="A927" s="53" t="s">
        <v>551</v>
      </c>
      <c r="B927" s="54" t="s">
        <v>540</v>
      </c>
      <c r="C927" s="55" t="s">
        <v>132</v>
      </c>
      <c r="D927" s="77" t="s">
        <v>1177</v>
      </c>
      <c r="E927" s="55" t="s">
        <v>673</v>
      </c>
      <c r="F927" s="55" t="s">
        <v>2035</v>
      </c>
      <c r="G927" s="77" t="s">
        <v>169</v>
      </c>
      <c r="H927" s="77" t="s">
        <v>570</v>
      </c>
      <c r="I927" s="55"/>
      <c r="J927" s="56" t="s">
        <v>708</v>
      </c>
      <c r="K927" s="118">
        <f>ROUND(Tableau16[[#This Row],[LEN]]*7.27,0)</f>
        <v>298</v>
      </c>
      <c r="L927" s="118">
        <v>15</v>
      </c>
      <c r="M927" s="135" t="str">
        <f t="shared" si="6"/>
        <v>none</v>
      </c>
      <c r="N927" s="118">
        <f>LEN(Tableau16[[#This Row],[LABEL]])</f>
        <v>41</v>
      </c>
      <c r="O927" s="118">
        <v>15</v>
      </c>
      <c r="P927" s="118" t="e">
        <f>ROUND(Tableau16[[#This Row],[LEN]]*#REF!+#REF!,0)</f>
        <v>#REF!</v>
      </c>
    </row>
    <row r="928" spans="1:16" s="97" customFormat="1" x14ac:dyDescent="0.25">
      <c r="A928" s="49" t="s">
        <v>541</v>
      </c>
      <c r="B928" s="50" t="s">
        <v>312</v>
      </c>
      <c r="C928" s="51" t="s">
        <v>546</v>
      </c>
      <c r="D928" s="76" t="s">
        <v>1177</v>
      </c>
      <c r="E928" s="51" t="s">
        <v>672</v>
      </c>
      <c r="F928" s="51" t="s">
        <v>1177</v>
      </c>
      <c r="G928" s="76" t="s">
        <v>169</v>
      </c>
      <c r="H928" s="76" t="s">
        <v>655</v>
      </c>
      <c r="I928" s="51"/>
      <c r="J928" s="52" t="s">
        <v>708</v>
      </c>
      <c r="K928" s="117">
        <f>ROUND(Tableau16[[#This Row],[LEN]]*7.27,0)</f>
        <v>167</v>
      </c>
      <c r="L928" s="117">
        <v>15</v>
      </c>
      <c r="M928" s="134" t="str">
        <f t="shared" si="6"/>
        <v>none</v>
      </c>
      <c r="N928" s="117">
        <f>LEN(Tableau16[[#This Row],[LABEL]])</f>
        <v>23</v>
      </c>
      <c r="O928" s="117">
        <v>15</v>
      </c>
      <c r="P928" s="117" t="e">
        <f>ROUND(Tableau16[[#This Row],[LEN]]*#REF!+#REF!,0)</f>
        <v>#REF!</v>
      </c>
    </row>
    <row r="929" spans="1:16" s="97" customFormat="1" x14ac:dyDescent="0.25">
      <c r="A929" s="53" t="s">
        <v>552</v>
      </c>
      <c r="B929" s="54" t="s">
        <v>541</v>
      </c>
      <c r="C929" s="55" t="s">
        <v>555</v>
      </c>
      <c r="D929" s="77" t="s">
        <v>1177</v>
      </c>
      <c r="E929" s="55" t="s">
        <v>672</v>
      </c>
      <c r="F929" s="55" t="s">
        <v>1177</v>
      </c>
      <c r="G929" s="77" t="s">
        <v>169</v>
      </c>
      <c r="H929" s="77" t="s">
        <v>656</v>
      </c>
      <c r="I929" s="55"/>
      <c r="J929" s="56" t="s">
        <v>708</v>
      </c>
      <c r="K929" s="118">
        <f>ROUND(Tableau16[[#This Row],[LEN]]*7.27,0)</f>
        <v>356</v>
      </c>
      <c r="L929" s="118">
        <v>15</v>
      </c>
      <c r="M929" s="135" t="str">
        <f t="shared" si="6"/>
        <v>none</v>
      </c>
      <c r="N929" s="118">
        <f>LEN(Tableau16[[#This Row],[LABEL]])</f>
        <v>49</v>
      </c>
      <c r="O929" s="118">
        <v>15</v>
      </c>
      <c r="P929" s="118" t="e">
        <f>ROUND(Tableau16[[#This Row],[LEN]]*#REF!+#REF!,0)</f>
        <v>#REF!</v>
      </c>
    </row>
    <row r="930" spans="1:16" s="97" customFormat="1" x14ac:dyDescent="0.25">
      <c r="A930" s="53" t="s">
        <v>553</v>
      </c>
      <c r="B930" s="54" t="s">
        <v>541</v>
      </c>
      <c r="C930" s="55" t="s">
        <v>556</v>
      </c>
      <c r="D930" s="77" t="s">
        <v>1177</v>
      </c>
      <c r="E930" s="55" t="s">
        <v>672</v>
      </c>
      <c r="F930" s="55" t="s">
        <v>1177</v>
      </c>
      <c r="G930" s="77" t="s">
        <v>169</v>
      </c>
      <c r="H930" s="77" t="s">
        <v>654</v>
      </c>
      <c r="I930" s="55"/>
      <c r="J930" s="56" t="s">
        <v>708</v>
      </c>
      <c r="K930" s="118">
        <f>ROUND(Tableau16[[#This Row],[LEN]]*7.27,0)</f>
        <v>451</v>
      </c>
      <c r="L930" s="118">
        <v>15</v>
      </c>
      <c r="M930" s="135" t="str">
        <f t="shared" si="6"/>
        <v>none</v>
      </c>
      <c r="N930" s="118">
        <f>LEN(Tableau16[[#This Row],[LABEL]])</f>
        <v>62</v>
      </c>
      <c r="O930" s="118">
        <v>15</v>
      </c>
      <c r="P930" s="118" t="e">
        <f>ROUND(Tableau16[[#This Row],[LEN]]*#REF!+#REF!,0)</f>
        <v>#REF!</v>
      </c>
    </row>
    <row r="931" spans="1:16" s="97" customFormat="1" x14ac:dyDescent="0.25">
      <c r="A931" s="53" t="s">
        <v>554</v>
      </c>
      <c r="B931" s="54" t="s">
        <v>541</v>
      </c>
      <c r="C931" s="55" t="s">
        <v>557</v>
      </c>
      <c r="D931" s="77" t="s">
        <v>1177</v>
      </c>
      <c r="E931" s="55" t="s">
        <v>672</v>
      </c>
      <c r="F931" s="55" t="s">
        <v>1177</v>
      </c>
      <c r="G931" s="77" t="s">
        <v>169</v>
      </c>
      <c r="H931" s="77" t="s">
        <v>656</v>
      </c>
      <c r="I931" s="55"/>
      <c r="J931" s="56" t="s">
        <v>708</v>
      </c>
      <c r="K931" s="118">
        <f>ROUND(Tableau16[[#This Row],[LEN]]*7.27,0)</f>
        <v>240</v>
      </c>
      <c r="L931" s="118">
        <v>15</v>
      </c>
      <c r="M931" s="135" t="str">
        <f t="shared" si="6"/>
        <v>none</v>
      </c>
      <c r="N931" s="118">
        <f>LEN(Tableau16[[#This Row],[LABEL]])</f>
        <v>33</v>
      </c>
      <c r="O931" s="118">
        <v>15</v>
      </c>
      <c r="P931" s="118" t="e">
        <f>ROUND(Tableau16[[#This Row],[LEN]]*#REF!+#REF!,0)</f>
        <v>#REF!</v>
      </c>
    </row>
    <row r="932" spans="1:16" s="97" customFormat="1" x14ac:dyDescent="0.25">
      <c r="A932" s="49" t="s">
        <v>542</v>
      </c>
      <c r="B932" s="50" t="s">
        <v>312</v>
      </c>
      <c r="C932" s="51" t="s">
        <v>547</v>
      </c>
      <c r="D932" s="76" t="s">
        <v>1177</v>
      </c>
      <c r="E932" s="51" t="s">
        <v>672</v>
      </c>
      <c r="F932" s="51" t="s">
        <v>1177</v>
      </c>
      <c r="G932" s="76" t="s">
        <v>169</v>
      </c>
      <c r="H932" s="76" t="s">
        <v>655</v>
      </c>
      <c r="I932" s="51"/>
      <c r="J932" s="52" t="s">
        <v>708</v>
      </c>
      <c r="K932" s="117">
        <f>ROUND(Tableau16[[#This Row],[LEN]]*7.27,0)</f>
        <v>95</v>
      </c>
      <c r="L932" s="117">
        <v>15</v>
      </c>
      <c r="M932" s="134" t="str">
        <f t="shared" si="6"/>
        <v>none</v>
      </c>
      <c r="N932" s="117">
        <f>LEN(Tableau16[[#This Row],[LABEL]])</f>
        <v>13</v>
      </c>
      <c r="O932" s="117">
        <v>15</v>
      </c>
      <c r="P932" s="117" t="e">
        <f>ROUND(Tableau16[[#This Row],[LEN]]*#REF!+#REF!,0)</f>
        <v>#REF!</v>
      </c>
    </row>
    <row r="933" spans="1:16" s="97" customFormat="1" x14ac:dyDescent="0.25">
      <c r="A933" s="53" t="s">
        <v>558</v>
      </c>
      <c r="B933" s="54" t="s">
        <v>542</v>
      </c>
      <c r="C933" s="55" t="s">
        <v>562</v>
      </c>
      <c r="D933" s="77" t="s">
        <v>1177</v>
      </c>
      <c r="E933" s="55" t="s">
        <v>672</v>
      </c>
      <c r="F933" s="55" t="s">
        <v>1177</v>
      </c>
      <c r="G933" s="77" t="s">
        <v>169</v>
      </c>
      <c r="H933" s="77" t="s">
        <v>654</v>
      </c>
      <c r="I933" s="55"/>
      <c r="J933" s="56" t="s">
        <v>708</v>
      </c>
      <c r="K933" s="118">
        <f>ROUND(Tableau16[[#This Row],[LEN]]*7.27,0)</f>
        <v>58</v>
      </c>
      <c r="L933" s="118">
        <v>15</v>
      </c>
      <c r="M933" s="135" t="str">
        <f t="shared" si="6"/>
        <v>none</v>
      </c>
      <c r="N933" s="118">
        <f>LEN(Tableau16[[#This Row],[LABEL]])</f>
        <v>8</v>
      </c>
      <c r="O933" s="118">
        <v>15</v>
      </c>
      <c r="P933" s="118" t="e">
        <f>ROUND(Tableau16[[#This Row],[LEN]]*#REF!+#REF!,0)</f>
        <v>#REF!</v>
      </c>
    </row>
    <row r="934" spans="1:16" s="97" customFormat="1" x14ac:dyDescent="0.25">
      <c r="A934" s="53" t="s">
        <v>559</v>
      </c>
      <c r="B934" s="54" t="s">
        <v>542</v>
      </c>
      <c r="C934" s="55" t="s">
        <v>563</v>
      </c>
      <c r="D934" s="77" t="s">
        <v>1177</v>
      </c>
      <c r="E934" s="55" t="s">
        <v>672</v>
      </c>
      <c r="F934" s="55" t="s">
        <v>1177</v>
      </c>
      <c r="G934" s="77" t="s">
        <v>169</v>
      </c>
      <c r="H934" s="77" t="s">
        <v>654</v>
      </c>
      <c r="I934" s="55"/>
      <c r="J934" s="56" t="s">
        <v>708</v>
      </c>
      <c r="K934" s="118">
        <f>ROUND(Tableau16[[#This Row],[LEN]]*7.27,0)</f>
        <v>58</v>
      </c>
      <c r="L934" s="118">
        <v>15</v>
      </c>
      <c r="M934" s="135" t="str">
        <f t="shared" si="6"/>
        <v>none</v>
      </c>
      <c r="N934" s="118">
        <f>LEN(Tableau16[[#This Row],[LABEL]])</f>
        <v>8</v>
      </c>
      <c r="O934" s="118">
        <v>15</v>
      </c>
      <c r="P934" s="118" t="e">
        <f>ROUND(Tableau16[[#This Row],[LEN]]*#REF!+#REF!,0)</f>
        <v>#REF!</v>
      </c>
    </row>
    <row r="935" spans="1:16" s="97" customFormat="1" x14ac:dyDescent="0.25">
      <c r="A935" s="53" t="s">
        <v>560</v>
      </c>
      <c r="B935" s="54" t="s">
        <v>542</v>
      </c>
      <c r="C935" s="55" t="s">
        <v>564</v>
      </c>
      <c r="D935" s="77" t="s">
        <v>1177</v>
      </c>
      <c r="E935" s="55" t="s">
        <v>672</v>
      </c>
      <c r="F935" s="55" t="s">
        <v>1177</v>
      </c>
      <c r="G935" s="77" t="s">
        <v>169</v>
      </c>
      <c r="H935" s="77" t="s">
        <v>654</v>
      </c>
      <c r="I935" s="55"/>
      <c r="J935" s="56" t="s">
        <v>708</v>
      </c>
      <c r="K935" s="118">
        <f>ROUND(Tableau16[[#This Row],[LEN]]*7.27,0)</f>
        <v>58</v>
      </c>
      <c r="L935" s="118">
        <v>15</v>
      </c>
      <c r="M935" s="135" t="str">
        <f t="shared" si="6"/>
        <v>none</v>
      </c>
      <c r="N935" s="118">
        <f>LEN(Tableau16[[#This Row],[LABEL]])</f>
        <v>8</v>
      </c>
      <c r="O935" s="118">
        <v>15</v>
      </c>
      <c r="P935" s="118" t="e">
        <f>ROUND(Tableau16[[#This Row],[LEN]]*#REF!+#REF!,0)</f>
        <v>#REF!</v>
      </c>
    </row>
    <row r="936" spans="1:16" s="97" customFormat="1" x14ac:dyDescent="0.25">
      <c r="A936" s="53" t="s">
        <v>561</v>
      </c>
      <c r="B936" s="54" t="s">
        <v>542</v>
      </c>
      <c r="C936" s="55" t="s">
        <v>565</v>
      </c>
      <c r="D936" s="77" t="s">
        <v>1177</v>
      </c>
      <c r="E936" s="55" t="s">
        <v>672</v>
      </c>
      <c r="F936" s="55" t="s">
        <v>1177</v>
      </c>
      <c r="G936" s="77" t="s">
        <v>169</v>
      </c>
      <c r="H936" s="77" t="s">
        <v>654</v>
      </c>
      <c r="I936" s="55"/>
      <c r="J936" s="56" t="s">
        <v>708</v>
      </c>
      <c r="K936" s="118">
        <f>ROUND(Tableau16[[#This Row],[LEN]]*7.27,0)</f>
        <v>51</v>
      </c>
      <c r="L936" s="118">
        <v>15</v>
      </c>
      <c r="M936" s="135" t="str">
        <f t="shared" si="6"/>
        <v>none</v>
      </c>
      <c r="N936" s="118">
        <f>LEN(Tableau16[[#This Row],[LABEL]])</f>
        <v>7</v>
      </c>
      <c r="O936" s="118">
        <v>15</v>
      </c>
      <c r="P936" s="118" t="e">
        <f>ROUND(Tableau16[[#This Row],[LEN]]*#REF!+#REF!,0)</f>
        <v>#REF!</v>
      </c>
    </row>
    <row r="937" spans="1:16" s="97" customFormat="1" x14ac:dyDescent="0.25">
      <c r="A937" s="53" t="s">
        <v>566</v>
      </c>
      <c r="B937" s="54" t="s">
        <v>542</v>
      </c>
      <c r="C937" s="55" t="s">
        <v>570</v>
      </c>
      <c r="D937" s="77" t="s">
        <v>1177</v>
      </c>
      <c r="E937" s="55" t="s">
        <v>672</v>
      </c>
      <c r="F937" s="55" t="s">
        <v>1177</v>
      </c>
      <c r="G937" s="77" t="s">
        <v>169</v>
      </c>
      <c r="H937" s="77" t="s">
        <v>654</v>
      </c>
      <c r="I937" s="55"/>
      <c r="J937" s="56" t="s">
        <v>708</v>
      </c>
      <c r="K937" s="118">
        <f>ROUND(Tableau16[[#This Row],[LEN]]*7.27,0)</f>
        <v>44</v>
      </c>
      <c r="L937" s="118">
        <v>15</v>
      </c>
      <c r="M937" s="135" t="str">
        <f t="shared" si="6"/>
        <v>none</v>
      </c>
      <c r="N937" s="118">
        <f>LEN(Tableau16[[#This Row],[LABEL]])</f>
        <v>6</v>
      </c>
      <c r="O937" s="118">
        <v>15</v>
      </c>
      <c r="P937" s="118" t="e">
        <f>ROUND(Tableau16[[#This Row],[LEN]]*#REF!+#REF!,0)</f>
        <v>#REF!</v>
      </c>
    </row>
    <row r="938" spans="1:16" s="97" customFormat="1" x14ac:dyDescent="0.25">
      <c r="A938" s="53" t="s">
        <v>567</v>
      </c>
      <c r="B938" s="54" t="s">
        <v>542</v>
      </c>
      <c r="C938" s="55" t="s">
        <v>571</v>
      </c>
      <c r="D938" s="77" t="s">
        <v>1177</v>
      </c>
      <c r="E938" s="55" t="s">
        <v>672</v>
      </c>
      <c r="F938" s="55" t="s">
        <v>1177</v>
      </c>
      <c r="G938" s="77" t="s">
        <v>169</v>
      </c>
      <c r="H938" s="77" t="s">
        <v>654</v>
      </c>
      <c r="I938" s="55"/>
      <c r="J938" s="56" t="s">
        <v>708</v>
      </c>
      <c r="K938" s="118">
        <f>ROUND(Tableau16[[#This Row],[LEN]]*7.27,0)</f>
        <v>44</v>
      </c>
      <c r="L938" s="118">
        <v>15</v>
      </c>
      <c r="M938" s="135" t="str">
        <f t="shared" si="6"/>
        <v>none</v>
      </c>
      <c r="N938" s="118">
        <f>LEN(Tableau16[[#This Row],[LABEL]])</f>
        <v>6</v>
      </c>
      <c r="O938" s="118">
        <v>15</v>
      </c>
      <c r="P938" s="118" t="e">
        <f>ROUND(Tableau16[[#This Row],[LEN]]*#REF!+#REF!,0)</f>
        <v>#REF!</v>
      </c>
    </row>
    <row r="939" spans="1:16" s="97" customFormat="1" x14ac:dyDescent="0.25">
      <c r="A939" s="53" t="s">
        <v>568</v>
      </c>
      <c r="B939" s="54" t="s">
        <v>542</v>
      </c>
      <c r="C939" s="55" t="s">
        <v>572</v>
      </c>
      <c r="D939" s="77" t="s">
        <v>1177</v>
      </c>
      <c r="E939" s="55" t="s">
        <v>672</v>
      </c>
      <c r="F939" s="55" t="s">
        <v>1177</v>
      </c>
      <c r="G939" s="77" t="s">
        <v>169</v>
      </c>
      <c r="H939" s="77" t="s">
        <v>654</v>
      </c>
      <c r="I939" s="55"/>
      <c r="J939" s="56" t="s">
        <v>708</v>
      </c>
      <c r="K939" s="118">
        <f>ROUND(Tableau16[[#This Row],[LEN]]*7.27,0)</f>
        <v>95</v>
      </c>
      <c r="L939" s="118">
        <v>15</v>
      </c>
      <c r="M939" s="135" t="str">
        <f t="shared" si="6"/>
        <v>none</v>
      </c>
      <c r="N939" s="118">
        <f>LEN(Tableau16[[#This Row],[LABEL]])</f>
        <v>13</v>
      </c>
      <c r="O939" s="118">
        <v>15</v>
      </c>
      <c r="P939" s="118" t="e">
        <f>ROUND(Tableau16[[#This Row],[LEN]]*#REF!+#REF!,0)</f>
        <v>#REF!</v>
      </c>
    </row>
    <row r="940" spans="1:16" s="97" customFormat="1" x14ac:dyDescent="0.25">
      <c r="A940" s="53" t="s">
        <v>569</v>
      </c>
      <c r="B940" s="54" t="s">
        <v>542</v>
      </c>
      <c r="C940" s="55" t="s">
        <v>573</v>
      </c>
      <c r="D940" s="77" t="s">
        <v>1177</v>
      </c>
      <c r="E940" s="55" t="s">
        <v>672</v>
      </c>
      <c r="F940" s="55" t="s">
        <v>1177</v>
      </c>
      <c r="G940" s="77" t="s">
        <v>169</v>
      </c>
      <c r="H940" s="77" t="s">
        <v>654</v>
      </c>
      <c r="I940" s="55"/>
      <c r="J940" s="56" t="s">
        <v>708</v>
      </c>
      <c r="K940" s="118">
        <f>ROUND(Tableau16[[#This Row],[LEN]]*7.27,0)</f>
        <v>109</v>
      </c>
      <c r="L940" s="118">
        <v>15</v>
      </c>
      <c r="M940" s="135" t="str">
        <f t="shared" si="6"/>
        <v>none</v>
      </c>
      <c r="N940" s="118">
        <f>LEN(Tableau16[[#This Row],[LABEL]])</f>
        <v>15</v>
      </c>
      <c r="O940" s="118">
        <v>15</v>
      </c>
      <c r="P940" s="118" t="e">
        <f>ROUND(Tableau16[[#This Row],[LEN]]*#REF!+#REF!,0)</f>
        <v>#REF!</v>
      </c>
    </row>
    <row r="941" spans="1:16" s="97" customFormat="1" x14ac:dyDescent="0.25">
      <c r="A941" s="49" t="s">
        <v>543</v>
      </c>
      <c r="B941" s="50" t="s">
        <v>312</v>
      </c>
      <c r="C941" s="51" t="s">
        <v>548</v>
      </c>
      <c r="D941" s="76" t="s">
        <v>1177</v>
      </c>
      <c r="E941" s="51" t="s">
        <v>672</v>
      </c>
      <c r="F941" s="51" t="s">
        <v>1177</v>
      </c>
      <c r="G941" s="76" t="s">
        <v>169</v>
      </c>
      <c r="H941" s="76" t="s">
        <v>655</v>
      </c>
      <c r="I941" s="51"/>
      <c r="J941" s="52" t="s">
        <v>708</v>
      </c>
      <c r="K941" s="117">
        <f>ROUND(Tableau16[[#This Row],[LEN]]*7.27,0)</f>
        <v>218</v>
      </c>
      <c r="L941" s="117">
        <v>15</v>
      </c>
      <c r="M941" s="134" t="str">
        <f t="shared" si="6"/>
        <v>none</v>
      </c>
      <c r="N941" s="117">
        <f>LEN(Tableau16[[#This Row],[LABEL]])</f>
        <v>30</v>
      </c>
      <c r="O941" s="117">
        <v>15</v>
      </c>
      <c r="P941" s="117" t="e">
        <f>ROUND(Tableau16[[#This Row],[LEN]]*#REF!+#REF!,0)</f>
        <v>#REF!</v>
      </c>
    </row>
    <row r="942" spans="1:16" s="97" customFormat="1" x14ac:dyDescent="0.25">
      <c r="A942" s="53" t="s">
        <v>574</v>
      </c>
      <c r="B942" s="54" t="s">
        <v>543</v>
      </c>
      <c r="C942" s="55" t="s">
        <v>576</v>
      </c>
      <c r="D942" s="77" t="s">
        <v>1177</v>
      </c>
      <c r="E942" s="55" t="s">
        <v>672</v>
      </c>
      <c r="F942" s="55" t="s">
        <v>1177</v>
      </c>
      <c r="G942" s="77" t="s">
        <v>169</v>
      </c>
      <c r="H942" s="77" t="s">
        <v>655</v>
      </c>
      <c r="I942" s="55"/>
      <c r="J942" s="56" t="s">
        <v>708</v>
      </c>
      <c r="K942" s="118">
        <f>ROUND(Tableau16[[#This Row],[LEN]]*7.27,0)</f>
        <v>65</v>
      </c>
      <c r="L942" s="118">
        <v>15</v>
      </c>
      <c r="M942" s="135" t="str">
        <f t="shared" si="6"/>
        <v>none</v>
      </c>
      <c r="N942" s="118">
        <f>LEN(Tableau16[[#This Row],[LABEL]])</f>
        <v>9</v>
      </c>
      <c r="O942" s="118">
        <v>15</v>
      </c>
      <c r="P942" s="118" t="e">
        <f>ROUND(Tableau16[[#This Row],[LEN]]*#REF!+#REF!,0)</f>
        <v>#REF!</v>
      </c>
    </row>
    <row r="943" spans="1:16" s="97" customFormat="1" x14ac:dyDescent="0.25">
      <c r="A943" s="57" t="s">
        <v>580</v>
      </c>
      <c r="B943" s="58" t="s">
        <v>574</v>
      </c>
      <c r="C943" s="59" t="s">
        <v>578</v>
      </c>
      <c r="D943" s="78" t="s">
        <v>1177</v>
      </c>
      <c r="E943" s="59" t="s">
        <v>672</v>
      </c>
      <c r="F943" s="59" t="s">
        <v>1177</v>
      </c>
      <c r="G943" s="78" t="s">
        <v>169</v>
      </c>
      <c r="H943" s="78" t="s">
        <v>654</v>
      </c>
      <c r="I943" s="59"/>
      <c r="J943" s="60" t="s">
        <v>708</v>
      </c>
      <c r="K943" s="119">
        <f>ROUND(Tableau16[[#This Row],[LEN]]*7.27,0)</f>
        <v>73</v>
      </c>
      <c r="L943" s="119">
        <v>15</v>
      </c>
      <c r="M943" s="136" t="str">
        <f t="shared" si="6"/>
        <v>none</v>
      </c>
      <c r="N943" s="119">
        <f>LEN(Tableau16[[#This Row],[LABEL]])</f>
        <v>10</v>
      </c>
      <c r="O943" s="119">
        <v>15</v>
      </c>
      <c r="P943" s="119" t="e">
        <f>ROUND(Tableau16[[#This Row],[LEN]]*#REF!+#REF!,0)</f>
        <v>#REF!</v>
      </c>
    </row>
    <row r="944" spans="1:16" s="97" customFormat="1" x14ac:dyDescent="0.25">
      <c r="A944" s="57" t="s">
        <v>581</v>
      </c>
      <c r="B944" s="58" t="s">
        <v>574</v>
      </c>
      <c r="C944" s="59" t="s">
        <v>579</v>
      </c>
      <c r="D944" s="78" t="s">
        <v>1177</v>
      </c>
      <c r="E944" s="59" t="s">
        <v>672</v>
      </c>
      <c r="F944" s="59" t="s">
        <v>1177</v>
      </c>
      <c r="G944" s="78" t="s">
        <v>169</v>
      </c>
      <c r="H944" s="78" t="s">
        <v>654</v>
      </c>
      <c r="I944" s="59"/>
      <c r="J944" s="60" t="s">
        <v>708</v>
      </c>
      <c r="K944" s="119">
        <f>ROUND(Tableau16[[#This Row],[LEN]]*7.27,0)</f>
        <v>153</v>
      </c>
      <c r="L944" s="119">
        <v>15</v>
      </c>
      <c r="M944" s="136" t="str">
        <f t="shared" si="6"/>
        <v>none</v>
      </c>
      <c r="N944" s="119">
        <f>LEN(Tableau16[[#This Row],[LABEL]])</f>
        <v>21</v>
      </c>
      <c r="O944" s="119">
        <v>15</v>
      </c>
      <c r="P944" s="119" t="e">
        <f>ROUND(Tableau16[[#This Row],[LEN]]*#REF!+#REF!,0)</f>
        <v>#REF!</v>
      </c>
    </row>
    <row r="945" spans="1:16" s="97" customFormat="1" x14ac:dyDescent="0.25">
      <c r="A945" s="53" t="s">
        <v>575</v>
      </c>
      <c r="B945" s="54" t="s">
        <v>543</v>
      </c>
      <c r="C945" s="55" t="s">
        <v>577</v>
      </c>
      <c r="D945" s="77" t="s">
        <v>1177</v>
      </c>
      <c r="E945" s="55" t="s">
        <v>672</v>
      </c>
      <c r="F945" s="55" t="s">
        <v>1177</v>
      </c>
      <c r="G945" s="77" t="s">
        <v>169</v>
      </c>
      <c r="H945" s="77" t="s">
        <v>655</v>
      </c>
      <c r="I945" s="55"/>
      <c r="J945" s="56" t="s">
        <v>708</v>
      </c>
      <c r="K945" s="118">
        <f>ROUND(Tableau16[[#This Row],[LEN]]*7.27,0)</f>
        <v>73</v>
      </c>
      <c r="L945" s="118">
        <v>15</v>
      </c>
      <c r="M945" s="135" t="str">
        <f t="shared" si="6"/>
        <v>none</v>
      </c>
      <c r="N945" s="118">
        <f>LEN(Tableau16[[#This Row],[LABEL]])</f>
        <v>10</v>
      </c>
      <c r="O945" s="118">
        <v>15</v>
      </c>
      <c r="P945" s="118" t="e">
        <f>ROUND(Tableau16[[#This Row],[LEN]]*#REF!+#REF!,0)</f>
        <v>#REF!</v>
      </c>
    </row>
    <row r="946" spans="1:16" s="97" customFormat="1" x14ac:dyDescent="0.25">
      <c r="A946" s="57" t="s">
        <v>582</v>
      </c>
      <c r="B946" s="58" t="s">
        <v>575</v>
      </c>
      <c r="C946" s="59" t="s">
        <v>586</v>
      </c>
      <c r="D946" s="78" t="s">
        <v>1177</v>
      </c>
      <c r="E946" s="59" t="s">
        <v>672</v>
      </c>
      <c r="F946" s="59" t="s">
        <v>1177</v>
      </c>
      <c r="G946" s="78" t="s">
        <v>169</v>
      </c>
      <c r="H946" s="78" t="s">
        <v>654</v>
      </c>
      <c r="I946" s="59"/>
      <c r="J946" s="60" t="s">
        <v>708</v>
      </c>
      <c r="K946" s="119">
        <f>ROUND(Tableau16[[#This Row],[LEN]]*7.27,0)</f>
        <v>189</v>
      </c>
      <c r="L946" s="119">
        <v>15</v>
      </c>
      <c r="M946" s="136" t="str">
        <f t="shared" si="6"/>
        <v>none</v>
      </c>
      <c r="N946" s="119">
        <f>LEN(Tableau16[[#This Row],[LABEL]])</f>
        <v>26</v>
      </c>
      <c r="O946" s="119">
        <v>15</v>
      </c>
      <c r="P946" s="119" t="e">
        <f>ROUND(Tableau16[[#This Row],[LEN]]*#REF!+#REF!,0)</f>
        <v>#REF!</v>
      </c>
    </row>
    <row r="947" spans="1:16" s="97" customFormat="1" x14ac:dyDescent="0.25">
      <c r="A947" s="57" t="s">
        <v>583</v>
      </c>
      <c r="B947" s="58" t="s">
        <v>575</v>
      </c>
      <c r="C947" s="59" t="s">
        <v>587</v>
      </c>
      <c r="D947" s="78" t="s">
        <v>1177</v>
      </c>
      <c r="E947" s="59" t="s">
        <v>672</v>
      </c>
      <c r="F947" s="59" t="s">
        <v>1177</v>
      </c>
      <c r="G947" s="78" t="s">
        <v>169</v>
      </c>
      <c r="H947" s="78" t="s">
        <v>654</v>
      </c>
      <c r="I947" s="59"/>
      <c r="J947" s="60" t="s">
        <v>708</v>
      </c>
      <c r="K947" s="119">
        <f>ROUND(Tableau16[[#This Row],[LEN]]*7.27,0)</f>
        <v>73</v>
      </c>
      <c r="L947" s="119">
        <v>15</v>
      </c>
      <c r="M947" s="136" t="str">
        <f t="shared" si="6"/>
        <v>none</v>
      </c>
      <c r="N947" s="119">
        <f>LEN(Tableau16[[#This Row],[LABEL]])</f>
        <v>10</v>
      </c>
      <c r="O947" s="119">
        <v>15</v>
      </c>
      <c r="P947" s="119" t="e">
        <f>ROUND(Tableau16[[#This Row],[LEN]]*#REF!+#REF!,0)</f>
        <v>#REF!</v>
      </c>
    </row>
    <row r="948" spans="1:16" s="97" customFormat="1" x14ac:dyDescent="0.25">
      <c r="A948" s="57" t="s">
        <v>584</v>
      </c>
      <c r="B948" s="58" t="s">
        <v>575</v>
      </c>
      <c r="C948" s="59" t="s">
        <v>588</v>
      </c>
      <c r="D948" s="78" t="s">
        <v>1177</v>
      </c>
      <c r="E948" s="59" t="s">
        <v>672</v>
      </c>
      <c r="F948" s="59" t="s">
        <v>1177</v>
      </c>
      <c r="G948" s="78" t="s">
        <v>169</v>
      </c>
      <c r="H948" s="78" t="s">
        <v>654</v>
      </c>
      <c r="I948" s="59"/>
      <c r="J948" s="60" t="s">
        <v>708</v>
      </c>
      <c r="K948" s="119">
        <f>ROUND(Tableau16[[#This Row],[LEN]]*7.27,0)</f>
        <v>65</v>
      </c>
      <c r="L948" s="119">
        <v>15</v>
      </c>
      <c r="M948" s="136" t="str">
        <f t="shared" si="6"/>
        <v>none</v>
      </c>
      <c r="N948" s="119">
        <f>LEN(Tableau16[[#This Row],[LABEL]])</f>
        <v>9</v>
      </c>
      <c r="O948" s="119">
        <v>15</v>
      </c>
      <c r="P948" s="119" t="e">
        <f>ROUND(Tableau16[[#This Row],[LEN]]*#REF!+#REF!,0)</f>
        <v>#REF!</v>
      </c>
    </row>
    <row r="949" spans="1:16" s="97" customFormat="1" x14ac:dyDescent="0.25">
      <c r="A949" s="57" t="s">
        <v>585</v>
      </c>
      <c r="B949" s="58" t="s">
        <v>575</v>
      </c>
      <c r="C949" s="59" t="s">
        <v>589</v>
      </c>
      <c r="D949" s="78" t="s">
        <v>1177</v>
      </c>
      <c r="E949" s="59" t="s">
        <v>672</v>
      </c>
      <c r="F949" s="59" t="s">
        <v>1177</v>
      </c>
      <c r="G949" s="78" t="s">
        <v>169</v>
      </c>
      <c r="H949" s="78" t="s">
        <v>654</v>
      </c>
      <c r="I949" s="59"/>
      <c r="J949" s="60" t="s">
        <v>708</v>
      </c>
      <c r="K949" s="119">
        <f>ROUND(Tableau16[[#This Row],[LEN]]*7.27,0)</f>
        <v>145</v>
      </c>
      <c r="L949" s="119">
        <v>15</v>
      </c>
      <c r="M949" s="136" t="str">
        <f t="shared" si="6"/>
        <v>none</v>
      </c>
      <c r="N949" s="119">
        <f>LEN(Tableau16[[#This Row],[LABEL]])</f>
        <v>20</v>
      </c>
      <c r="O949" s="119">
        <v>15</v>
      </c>
      <c r="P949" s="119" t="e">
        <f>ROUND(Tableau16[[#This Row],[LEN]]*#REF!+#REF!,0)</f>
        <v>#REF!</v>
      </c>
    </row>
    <row r="950" spans="1:16" s="97" customFormat="1" x14ac:dyDescent="0.25">
      <c r="A950" s="49" t="s">
        <v>544</v>
      </c>
      <c r="B950" s="50" t="s">
        <v>312</v>
      </c>
      <c r="C950" s="51" t="s">
        <v>549</v>
      </c>
      <c r="D950" s="76" t="s">
        <v>1177</v>
      </c>
      <c r="E950" s="51" t="s">
        <v>673</v>
      </c>
      <c r="F950" s="51" t="s">
        <v>1704</v>
      </c>
      <c r="G950" s="76" t="s">
        <v>169</v>
      </c>
      <c r="H950" s="76" t="s">
        <v>655</v>
      </c>
      <c r="I950" s="51"/>
      <c r="J950" s="52" t="s">
        <v>708</v>
      </c>
      <c r="K950" s="117">
        <f>ROUND(Tableau16[[#This Row],[LEN]]*7.27,0)</f>
        <v>145</v>
      </c>
      <c r="L950" s="117">
        <v>15</v>
      </c>
      <c r="M950" s="134" t="str">
        <f t="shared" si="6"/>
        <v>none</v>
      </c>
      <c r="N950" s="117">
        <f>LEN(Tableau16[[#This Row],[LABEL]])</f>
        <v>20</v>
      </c>
      <c r="O950" s="117">
        <v>15</v>
      </c>
      <c r="P950" s="117" t="e">
        <f>ROUND(Tableau16[[#This Row],[LEN]]*#REF!+#REF!,0)</f>
        <v>#REF!</v>
      </c>
    </row>
    <row r="951" spans="1:16" s="97" customFormat="1" x14ac:dyDescent="0.25">
      <c r="A951" s="53" t="s">
        <v>593</v>
      </c>
      <c r="B951" s="54" t="s">
        <v>544</v>
      </c>
      <c r="C951" s="55" t="s">
        <v>590</v>
      </c>
      <c r="D951" s="77" t="s">
        <v>1177</v>
      </c>
      <c r="E951" s="55" t="s">
        <v>673</v>
      </c>
      <c r="F951" s="55" t="s">
        <v>1704</v>
      </c>
      <c r="G951" s="77" t="s">
        <v>169</v>
      </c>
      <c r="H951" s="77" t="s">
        <v>570</v>
      </c>
      <c r="I951" s="55"/>
      <c r="J951" s="56" t="s">
        <v>708</v>
      </c>
      <c r="K951" s="118">
        <f>ROUND(Tableau16[[#This Row],[LEN]]*7.27,0)</f>
        <v>102</v>
      </c>
      <c r="L951" s="118">
        <v>15</v>
      </c>
      <c r="M951" s="135" t="str">
        <f t="shared" si="6"/>
        <v>none</v>
      </c>
      <c r="N951" s="118">
        <f>LEN(Tableau16[[#This Row],[LABEL]])</f>
        <v>14</v>
      </c>
      <c r="O951" s="118">
        <v>15</v>
      </c>
      <c r="P951" s="118" t="e">
        <f>ROUND(Tableau16[[#This Row],[LEN]]*#REF!+#REF!,0)</f>
        <v>#REF!</v>
      </c>
    </row>
    <row r="952" spans="1:16" s="97" customFormat="1" x14ac:dyDescent="0.25">
      <c r="A952" s="53" t="s">
        <v>594</v>
      </c>
      <c r="B952" s="54" t="s">
        <v>544</v>
      </c>
      <c r="C952" s="55" t="s">
        <v>591</v>
      </c>
      <c r="D952" s="77" t="s">
        <v>1177</v>
      </c>
      <c r="E952" s="55" t="s">
        <v>673</v>
      </c>
      <c r="F952" s="55" t="s">
        <v>1704</v>
      </c>
      <c r="G952" s="77" t="s">
        <v>169</v>
      </c>
      <c r="H952" s="77" t="s">
        <v>570</v>
      </c>
      <c r="I952" s="55"/>
      <c r="J952" s="56" t="s">
        <v>708</v>
      </c>
      <c r="K952" s="118">
        <f>ROUND(Tableau16[[#This Row],[LEN]]*7.27,0)</f>
        <v>262</v>
      </c>
      <c r="L952" s="118">
        <v>15</v>
      </c>
      <c r="M952" s="135" t="str">
        <f t="shared" si="6"/>
        <v>none</v>
      </c>
      <c r="N952" s="118">
        <f>LEN(Tableau16[[#This Row],[LABEL]])</f>
        <v>36</v>
      </c>
      <c r="O952" s="118">
        <v>15</v>
      </c>
      <c r="P952" s="118" t="e">
        <f>ROUND(Tableau16[[#This Row],[LEN]]*#REF!+#REF!,0)</f>
        <v>#REF!</v>
      </c>
    </row>
    <row r="953" spans="1:16" s="97" customFormat="1" x14ac:dyDescent="0.25">
      <c r="A953" s="53" t="s">
        <v>595</v>
      </c>
      <c r="B953" s="54" t="s">
        <v>544</v>
      </c>
      <c r="C953" s="55" t="s">
        <v>592</v>
      </c>
      <c r="D953" s="77" t="s">
        <v>1177</v>
      </c>
      <c r="E953" s="55" t="s">
        <v>673</v>
      </c>
      <c r="F953" s="55" t="s">
        <v>1704</v>
      </c>
      <c r="G953" s="77" t="s">
        <v>169</v>
      </c>
      <c r="H953" s="77" t="s">
        <v>570</v>
      </c>
      <c r="I953" s="55"/>
      <c r="J953" s="56" t="s">
        <v>708</v>
      </c>
      <c r="K953" s="118">
        <f>ROUND(Tableau16[[#This Row],[LEN]]*7.27,0)</f>
        <v>189</v>
      </c>
      <c r="L953" s="118">
        <v>15</v>
      </c>
      <c r="M953" s="135" t="str">
        <f t="shared" si="6"/>
        <v>none</v>
      </c>
      <c r="N953" s="118">
        <f>LEN(Tableau16[[#This Row],[LABEL]])</f>
        <v>26</v>
      </c>
      <c r="O953" s="118">
        <v>15</v>
      </c>
      <c r="P953" s="118" t="e">
        <f>ROUND(Tableau16[[#This Row],[LEN]]*#REF!+#REF!,0)</f>
        <v>#REF!</v>
      </c>
    </row>
    <row r="954" spans="1:16" s="97" customFormat="1" x14ac:dyDescent="0.25">
      <c r="A954" s="53" t="s">
        <v>596</v>
      </c>
      <c r="B954" s="54" t="s">
        <v>544</v>
      </c>
      <c r="C954" s="55" t="s">
        <v>597</v>
      </c>
      <c r="D954" s="77" t="s">
        <v>1177</v>
      </c>
      <c r="E954" s="55" t="s">
        <v>673</v>
      </c>
      <c r="F954" s="55" t="s">
        <v>1704</v>
      </c>
      <c r="G954" s="77" t="s">
        <v>169</v>
      </c>
      <c r="H954" s="77" t="s">
        <v>570</v>
      </c>
      <c r="I954" s="55"/>
      <c r="J954" s="56" t="s">
        <v>708</v>
      </c>
      <c r="K954" s="118">
        <f>ROUND(Tableau16[[#This Row],[LEN]]*7.27,0)</f>
        <v>465</v>
      </c>
      <c r="L954" s="118">
        <v>15</v>
      </c>
      <c r="M954" s="135" t="str">
        <f t="shared" si="6"/>
        <v>none</v>
      </c>
      <c r="N954" s="118">
        <f>LEN(Tableau16[[#This Row],[LABEL]])</f>
        <v>64</v>
      </c>
      <c r="O954" s="118">
        <v>15</v>
      </c>
      <c r="P954" s="118" t="e">
        <f>ROUND(Tableau16[[#This Row],[LEN]]*#REF!+#REF!,0)</f>
        <v>#REF!</v>
      </c>
    </row>
    <row r="955" spans="1:16" s="97" customFormat="1" x14ac:dyDescent="0.25">
      <c r="A955" s="49" t="s">
        <v>545</v>
      </c>
      <c r="B955" s="50" t="s">
        <v>312</v>
      </c>
      <c r="C955" s="51" t="s">
        <v>598</v>
      </c>
      <c r="D955" s="76" t="s">
        <v>1177</v>
      </c>
      <c r="E955" s="51" t="s">
        <v>673</v>
      </c>
      <c r="F955" s="51" t="s">
        <v>2035</v>
      </c>
      <c r="G955" s="76" t="s">
        <v>169</v>
      </c>
      <c r="H955" s="76" t="s">
        <v>654</v>
      </c>
      <c r="I955" s="51"/>
      <c r="J955" s="52" t="s">
        <v>708</v>
      </c>
      <c r="K955" s="117">
        <f>ROUND(Tableau16[[#This Row],[LEN]]*7.27,0)</f>
        <v>553</v>
      </c>
      <c r="L955" s="117">
        <v>15</v>
      </c>
      <c r="M955" s="134" t="str">
        <f t="shared" ref="M955:M1193" si="7">IF(J955="javascript:void(0)","none","new")</f>
        <v>none</v>
      </c>
      <c r="N955" s="117">
        <f>LEN(Tableau16[[#This Row],[LABEL]])</f>
        <v>76</v>
      </c>
      <c r="O955" s="117">
        <v>15</v>
      </c>
      <c r="P955" s="117" t="e">
        <f>ROUND(Tableau16[[#This Row],[LEN]]*#REF!+#REF!,0)</f>
        <v>#REF!</v>
      </c>
    </row>
    <row r="956" spans="1:16" s="273" customFormat="1" x14ac:dyDescent="0.25">
      <c r="A956" s="351" t="s">
        <v>313</v>
      </c>
      <c r="B956" s="352" t="s">
        <v>209</v>
      </c>
      <c r="C956" s="353" t="s">
        <v>10</v>
      </c>
      <c r="D956" s="354" t="s">
        <v>1177</v>
      </c>
      <c r="E956" s="353" t="s">
        <v>673</v>
      </c>
      <c r="F956" s="353" t="s">
        <v>1177</v>
      </c>
      <c r="G956" s="354" t="s">
        <v>169</v>
      </c>
      <c r="H956" s="354" t="str">
        <f>IFERROR(IF(SEARCH(".00.00.00.00.00",Tableau16[[#This Row],[name]],1)=7,"Division",""),"")</f>
        <v>Division</v>
      </c>
      <c r="I956" s="353"/>
      <c r="J956" s="355" t="s">
        <v>719</v>
      </c>
      <c r="K956" s="356">
        <f>ROUND(Tableau16[[#This Row],[LEN]]*7.27,0)</f>
        <v>109</v>
      </c>
      <c r="L956" s="356">
        <v>15</v>
      </c>
      <c r="M956" s="357" t="str">
        <f t="shared" si="7"/>
        <v>new</v>
      </c>
      <c r="N956" s="356">
        <f>LEN(Tableau16[[#This Row],[LABEL]])</f>
        <v>15</v>
      </c>
      <c r="O956" s="356">
        <v>15</v>
      </c>
      <c r="P956" s="356" t="e">
        <f>ROUND(Tableau16[[#This Row],[LEN]]*#REF!+#REF!,0)</f>
        <v>#REF!</v>
      </c>
    </row>
    <row r="957" spans="1:16" s="97" customFormat="1" x14ac:dyDescent="0.25">
      <c r="A957" s="49" t="s">
        <v>1722</v>
      </c>
      <c r="B957" s="50" t="s">
        <v>313</v>
      </c>
      <c r="C957" s="51" t="s">
        <v>128</v>
      </c>
      <c r="D957" s="76" t="s">
        <v>1177</v>
      </c>
      <c r="E957" s="51" t="s">
        <v>669</v>
      </c>
      <c r="F957" s="51" t="s">
        <v>2029</v>
      </c>
      <c r="G957" s="76" t="s">
        <v>169</v>
      </c>
      <c r="H957" s="76" t="s">
        <v>570</v>
      </c>
      <c r="I957" s="51"/>
      <c r="J957" s="52" t="s">
        <v>708</v>
      </c>
      <c r="K957" s="117">
        <f>ROUND(Tableau16[[#This Row],[LEN]]*7.27,0)</f>
        <v>182</v>
      </c>
      <c r="L957" s="117">
        <v>15</v>
      </c>
      <c r="M957" s="134" t="str">
        <f t="shared" si="7"/>
        <v>none</v>
      </c>
      <c r="N957" s="117">
        <f>LEN(Tableau16[[#This Row],[LABEL]])</f>
        <v>25</v>
      </c>
      <c r="O957" s="117">
        <v>15</v>
      </c>
      <c r="P957" s="117" t="e">
        <f>ROUND(Tableau16[[#This Row],[LEN]]*#REF!+#REF!,0)</f>
        <v>#REF!</v>
      </c>
    </row>
    <row r="958" spans="1:16" s="97" customFormat="1" x14ac:dyDescent="0.25">
      <c r="A958" s="49" t="s">
        <v>1723</v>
      </c>
      <c r="B958" s="50" t="s">
        <v>313</v>
      </c>
      <c r="C958" s="51" t="s">
        <v>129</v>
      </c>
      <c r="D958" s="76" t="s">
        <v>1177</v>
      </c>
      <c r="E958" s="51" t="s">
        <v>673</v>
      </c>
      <c r="F958" s="51" t="s">
        <v>2035</v>
      </c>
      <c r="G958" s="76" t="s">
        <v>169</v>
      </c>
      <c r="H958" s="76" t="s">
        <v>655</v>
      </c>
      <c r="I958" s="51"/>
      <c r="J958" s="52" t="s">
        <v>708</v>
      </c>
      <c r="K958" s="117">
        <f>ROUND(Tableau16[[#This Row],[LEN]]*7.27,0)</f>
        <v>87</v>
      </c>
      <c r="L958" s="117">
        <v>15</v>
      </c>
      <c r="M958" s="134" t="str">
        <f t="shared" si="7"/>
        <v>none</v>
      </c>
      <c r="N958" s="117">
        <f>LEN(Tableau16[[#This Row],[LABEL]])</f>
        <v>12</v>
      </c>
      <c r="O958" s="117">
        <v>15</v>
      </c>
      <c r="P958" s="117" t="e">
        <f>ROUND(Tableau16[[#This Row],[LEN]]*#REF!+#REF!,0)</f>
        <v>#REF!</v>
      </c>
    </row>
    <row r="959" spans="1:16" s="97" customFormat="1" x14ac:dyDescent="0.25">
      <c r="A959" s="53" t="s">
        <v>1728</v>
      </c>
      <c r="B959" s="54" t="s">
        <v>1723</v>
      </c>
      <c r="C959" s="55" t="s">
        <v>131</v>
      </c>
      <c r="D959" s="77" t="s">
        <v>1177</v>
      </c>
      <c r="E959" s="55" t="s">
        <v>673</v>
      </c>
      <c r="F959" s="55" t="s">
        <v>2035</v>
      </c>
      <c r="G959" s="77" t="s">
        <v>169</v>
      </c>
      <c r="H959" s="77" t="s">
        <v>570</v>
      </c>
      <c r="I959" s="55"/>
      <c r="J959" s="56" t="s">
        <v>708</v>
      </c>
      <c r="K959" s="118">
        <f>ROUND(Tableau16[[#This Row],[LEN]]*7.27,0)</f>
        <v>262</v>
      </c>
      <c r="L959" s="118">
        <v>15</v>
      </c>
      <c r="M959" s="135" t="str">
        <f t="shared" si="7"/>
        <v>none</v>
      </c>
      <c r="N959" s="118">
        <f>LEN(Tableau16[[#This Row],[LABEL]])</f>
        <v>36</v>
      </c>
      <c r="O959" s="118">
        <v>15</v>
      </c>
      <c r="P959" s="118" t="e">
        <f>ROUND(Tableau16[[#This Row],[LEN]]*#REF!+#REF!,0)</f>
        <v>#REF!</v>
      </c>
    </row>
    <row r="960" spans="1:16" s="97" customFormat="1" x14ac:dyDescent="0.25">
      <c r="A960" s="53" t="s">
        <v>1729</v>
      </c>
      <c r="B960" s="54" t="s">
        <v>1723</v>
      </c>
      <c r="C960" s="55" t="s">
        <v>132</v>
      </c>
      <c r="D960" s="77" t="s">
        <v>1177</v>
      </c>
      <c r="E960" s="55" t="s">
        <v>673</v>
      </c>
      <c r="F960" s="55" t="s">
        <v>2035</v>
      </c>
      <c r="G960" s="77" t="s">
        <v>169</v>
      </c>
      <c r="H960" s="77" t="s">
        <v>570</v>
      </c>
      <c r="I960" s="55"/>
      <c r="J960" s="56" t="s">
        <v>708</v>
      </c>
      <c r="K960" s="118">
        <f>ROUND(Tableau16[[#This Row],[LEN]]*7.27,0)</f>
        <v>298</v>
      </c>
      <c r="L960" s="118">
        <v>15</v>
      </c>
      <c r="M960" s="135" t="str">
        <f t="shared" si="7"/>
        <v>none</v>
      </c>
      <c r="N960" s="118">
        <f>LEN(Tableau16[[#This Row],[LABEL]])</f>
        <v>41</v>
      </c>
      <c r="O960" s="118">
        <v>15</v>
      </c>
      <c r="P960" s="118" t="e">
        <f>ROUND(Tableau16[[#This Row],[LEN]]*#REF!+#REF!,0)</f>
        <v>#REF!</v>
      </c>
    </row>
    <row r="961" spans="1:16" s="97" customFormat="1" x14ac:dyDescent="0.25">
      <c r="A961" s="49" t="s">
        <v>1724</v>
      </c>
      <c r="B961" s="50" t="s">
        <v>313</v>
      </c>
      <c r="C961" s="51" t="s">
        <v>10</v>
      </c>
      <c r="D961" s="76" t="s">
        <v>1177</v>
      </c>
      <c r="E961" s="51" t="s">
        <v>673</v>
      </c>
      <c r="F961" s="51" t="s">
        <v>1177</v>
      </c>
      <c r="G961" s="76" t="s">
        <v>169</v>
      </c>
      <c r="H961" s="76" t="s">
        <v>655</v>
      </c>
      <c r="I961" s="51"/>
      <c r="J961" s="52" t="s">
        <v>708</v>
      </c>
      <c r="K961" s="117">
        <f>ROUND(Tableau16[[#This Row],[LEN]]*7.27,0)</f>
        <v>109</v>
      </c>
      <c r="L961" s="117">
        <v>15</v>
      </c>
      <c r="M961" s="134" t="str">
        <f t="shared" si="7"/>
        <v>none</v>
      </c>
      <c r="N961" s="117">
        <f>LEN(Tableau16[[#This Row],[LABEL]])</f>
        <v>15</v>
      </c>
      <c r="O961" s="117">
        <v>15</v>
      </c>
      <c r="P961" s="117" t="e">
        <f>ROUND(Tableau16[[#This Row],[LEN]]*#REF!+#REF!,0)</f>
        <v>#REF!</v>
      </c>
    </row>
    <row r="962" spans="1:16" s="97" customFormat="1" x14ac:dyDescent="0.25">
      <c r="A962" s="53" t="s">
        <v>1730</v>
      </c>
      <c r="B962" s="54" t="s">
        <v>1724</v>
      </c>
      <c r="C962" s="55" t="s">
        <v>1733</v>
      </c>
      <c r="D962" s="77" t="s">
        <v>1177</v>
      </c>
      <c r="E962" s="55" t="s">
        <v>673</v>
      </c>
      <c r="F962" s="55" t="s">
        <v>1177</v>
      </c>
      <c r="G962" s="77" t="s">
        <v>169</v>
      </c>
      <c r="H962" s="77" t="s">
        <v>654</v>
      </c>
      <c r="I962" s="55"/>
      <c r="J962" s="56" t="s">
        <v>708</v>
      </c>
      <c r="K962" s="118">
        <f>ROUND(Tableau16[[#This Row],[LEN]]*7.27,0)</f>
        <v>276</v>
      </c>
      <c r="L962" s="118">
        <v>15</v>
      </c>
      <c r="M962" s="135" t="str">
        <f t="shared" si="7"/>
        <v>none</v>
      </c>
      <c r="N962" s="118">
        <f>LEN(Tableau16[[#This Row],[LABEL]])</f>
        <v>38</v>
      </c>
      <c r="O962" s="118">
        <v>15</v>
      </c>
      <c r="P962" s="118" t="e">
        <f>ROUND(Tableau16[[#This Row],[LEN]]*#REF!+#REF!,0)</f>
        <v>#REF!</v>
      </c>
    </row>
    <row r="963" spans="1:16" s="97" customFormat="1" x14ac:dyDescent="0.25">
      <c r="A963" s="53" t="s">
        <v>1731</v>
      </c>
      <c r="B963" s="54" t="s">
        <v>1724</v>
      </c>
      <c r="C963" s="55" t="s">
        <v>1734</v>
      </c>
      <c r="D963" s="77" t="s">
        <v>1177</v>
      </c>
      <c r="E963" s="55" t="s">
        <v>673</v>
      </c>
      <c r="F963" s="55" t="s">
        <v>1177</v>
      </c>
      <c r="G963" s="77" t="s">
        <v>169</v>
      </c>
      <c r="H963" s="77" t="s">
        <v>654</v>
      </c>
      <c r="I963" s="55"/>
      <c r="J963" s="56" t="s">
        <v>708</v>
      </c>
      <c r="K963" s="118">
        <f>ROUND(Tableau16[[#This Row],[LEN]]*7.27,0)</f>
        <v>320</v>
      </c>
      <c r="L963" s="118">
        <v>15</v>
      </c>
      <c r="M963" s="135" t="str">
        <f t="shared" si="7"/>
        <v>none</v>
      </c>
      <c r="N963" s="118">
        <f>LEN(Tableau16[[#This Row],[LABEL]])</f>
        <v>44</v>
      </c>
      <c r="O963" s="118">
        <v>15</v>
      </c>
      <c r="P963" s="118" t="e">
        <f>ROUND(Tableau16[[#This Row],[LEN]]*#REF!+#REF!,0)</f>
        <v>#REF!</v>
      </c>
    </row>
    <row r="964" spans="1:16" s="97" customFormat="1" x14ac:dyDescent="0.25">
      <c r="A964" s="53" t="s">
        <v>1732</v>
      </c>
      <c r="B964" s="54" t="s">
        <v>1724</v>
      </c>
      <c r="C964" s="55" t="s">
        <v>1735</v>
      </c>
      <c r="D964" s="77" t="s">
        <v>1177</v>
      </c>
      <c r="E964" s="55" t="s">
        <v>673</v>
      </c>
      <c r="F964" s="55" t="s">
        <v>1177</v>
      </c>
      <c r="G964" s="77" t="s">
        <v>169</v>
      </c>
      <c r="H964" s="77" t="s">
        <v>654</v>
      </c>
      <c r="I964" s="55"/>
      <c r="J964" s="56" t="s">
        <v>708</v>
      </c>
      <c r="K964" s="118">
        <f>ROUND(Tableau16[[#This Row],[LEN]]*7.27,0)</f>
        <v>473</v>
      </c>
      <c r="L964" s="118">
        <v>15</v>
      </c>
      <c r="M964" s="135" t="str">
        <f t="shared" si="7"/>
        <v>none</v>
      </c>
      <c r="N964" s="118">
        <f>LEN(Tableau16[[#This Row],[LABEL]])</f>
        <v>65</v>
      </c>
      <c r="O964" s="118">
        <v>15</v>
      </c>
      <c r="P964" s="118" t="e">
        <f>ROUND(Tableau16[[#This Row],[LEN]]*#REF!+#REF!,0)</f>
        <v>#REF!</v>
      </c>
    </row>
    <row r="965" spans="1:16" s="97" customFormat="1" x14ac:dyDescent="0.25">
      <c r="A965" s="49" t="s">
        <v>1725</v>
      </c>
      <c r="B965" s="50" t="s">
        <v>313</v>
      </c>
      <c r="C965" s="51" t="s">
        <v>1736</v>
      </c>
      <c r="D965" s="76" t="s">
        <v>1177</v>
      </c>
      <c r="E965" s="51" t="s">
        <v>673</v>
      </c>
      <c r="F965" s="51" t="s">
        <v>1177</v>
      </c>
      <c r="G965" s="76" t="s">
        <v>169</v>
      </c>
      <c r="H965" s="76" t="s">
        <v>656</v>
      </c>
      <c r="I965" s="51"/>
      <c r="J965" s="52" t="s">
        <v>1737</v>
      </c>
      <c r="K965" s="117">
        <f>ROUND(Tableau16[[#This Row],[LEN]]*7.27,0)</f>
        <v>233</v>
      </c>
      <c r="L965" s="117">
        <v>15</v>
      </c>
      <c r="M965" s="134" t="str">
        <f t="shared" si="7"/>
        <v>new</v>
      </c>
      <c r="N965" s="117">
        <f>LEN(Tableau16[[#This Row],[LABEL]])</f>
        <v>32</v>
      </c>
      <c r="O965" s="117">
        <v>15</v>
      </c>
      <c r="P965" s="117" t="e">
        <f>ROUND(Tableau16[[#This Row],[LEN]]*#REF!+#REF!,0)</f>
        <v>#REF!</v>
      </c>
    </row>
    <row r="966" spans="1:16" s="97" customFormat="1" x14ac:dyDescent="0.25">
      <c r="A966" s="49" t="s">
        <v>1726</v>
      </c>
      <c r="B966" s="50" t="s">
        <v>313</v>
      </c>
      <c r="C966" s="51" t="s">
        <v>549</v>
      </c>
      <c r="D966" s="76" t="s">
        <v>1177</v>
      </c>
      <c r="E966" s="51" t="s">
        <v>673</v>
      </c>
      <c r="F966" s="51" t="s">
        <v>1704</v>
      </c>
      <c r="G966" s="76" t="s">
        <v>169</v>
      </c>
      <c r="H966" s="76" t="s">
        <v>655</v>
      </c>
      <c r="I966" s="51"/>
      <c r="J966" s="52" t="s">
        <v>708</v>
      </c>
      <c r="K966" s="117">
        <f>ROUND(Tableau16[[#This Row],[LEN]]*7.27,0)</f>
        <v>145</v>
      </c>
      <c r="L966" s="117">
        <v>15</v>
      </c>
      <c r="M966" s="134" t="str">
        <f t="shared" si="7"/>
        <v>none</v>
      </c>
      <c r="N966" s="117">
        <f>LEN(Tableau16[[#This Row],[LABEL]])</f>
        <v>20</v>
      </c>
      <c r="O966" s="117">
        <v>15</v>
      </c>
      <c r="P966" s="117" t="e">
        <f>ROUND(Tableau16[[#This Row],[LEN]]*#REF!+#REF!,0)</f>
        <v>#REF!</v>
      </c>
    </row>
    <row r="967" spans="1:16" s="97" customFormat="1" x14ac:dyDescent="0.25">
      <c r="A967" s="53" t="s">
        <v>1738</v>
      </c>
      <c r="B967" s="54" t="s">
        <v>1726</v>
      </c>
      <c r="C967" s="55" t="s">
        <v>590</v>
      </c>
      <c r="D967" s="77" t="s">
        <v>1177</v>
      </c>
      <c r="E967" s="55" t="s">
        <v>673</v>
      </c>
      <c r="F967" s="55" t="s">
        <v>1704</v>
      </c>
      <c r="G967" s="77" t="s">
        <v>169</v>
      </c>
      <c r="H967" s="77" t="s">
        <v>570</v>
      </c>
      <c r="I967" s="55"/>
      <c r="J967" s="56" t="s">
        <v>708</v>
      </c>
      <c r="K967" s="118">
        <f>ROUND(Tableau16[[#This Row],[LEN]]*7.27,0)</f>
        <v>102</v>
      </c>
      <c r="L967" s="118">
        <v>15</v>
      </c>
      <c r="M967" s="135" t="str">
        <f t="shared" si="7"/>
        <v>none</v>
      </c>
      <c r="N967" s="118">
        <f>LEN(Tableau16[[#This Row],[LABEL]])</f>
        <v>14</v>
      </c>
      <c r="O967" s="118">
        <v>15</v>
      </c>
      <c r="P967" s="118" t="e">
        <f>ROUND(Tableau16[[#This Row],[LEN]]*#REF!+#REF!,0)</f>
        <v>#REF!</v>
      </c>
    </row>
    <row r="968" spans="1:16" s="97" customFormat="1" x14ac:dyDescent="0.25">
      <c r="A968" s="53" t="s">
        <v>1739</v>
      </c>
      <c r="B968" s="54" t="s">
        <v>1726</v>
      </c>
      <c r="C968" s="55" t="s">
        <v>591</v>
      </c>
      <c r="D968" s="77" t="s">
        <v>1177</v>
      </c>
      <c r="E968" s="55" t="s">
        <v>673</v>
      </c>
      <c r="F968" s="55" t="s">
        <v>1704</v>
      </c>
      <c r="G968" s="77" t="s">
        <v>169</v>
      </c>
      <c r="H968" s="77" t="s">
        <v>570</v>
      </c>
      <c r="I968" s="55"/>
      <c r="J968" s="56" t="s">
        <v>708</v>
      </c>
      <c r="K968" s="118">
        <f>ROUND(Tableau16[[#This Row],[LEN]]*7.27,0)</f>
        <v>262</v>
      </c>
      <c r="L968" s="118">
        <v>15</v>
      </c>
      <c r="M968" s="135" t="str">
        <f t="shared" si="7"/>
        <v>none</v>
      </c>
      <c r="N968" s="118">
        <f>LEN(Tableau16[[#This Row],[LABEL]])</f>
        <v>36</v>
      </c>
      <c r="O968" s="118">
        <v>15</v>
      </c>
      <c r="P968" s="118" t="e">
        <f>ROUND(Tableau16[[#This Row],[LEN]]*#REF!+#REF!,0)</f>
        <v>#REF!</v>
      </c>
    </row>
    <row r="969" spans="1:16" s="97" customFormat="1" x14ac:dyDescent="0.25">
      <c r="A969" s="53" t="s">
        <v>1740</v>
      </c>
      <c r="B969" s="54" t="s">
        <v>1726</v>
      </c>
      <c r="C969" s="55" t="s">
        <v>592</v>
      </c>
      <c r="D969" s="77" t="s">
        <v>1177</v>
      </c>
      <c r="E969" s="55" t="s">
        <v>673</v>
      </c>
      <c r="F969" s="55" t="s">
        <v>1704</v>
      </c>
      <c r="G969" s="77" t="s">
        <v>169</v>
      </c>
      <c r="H969" s="77" t="s">
        <v>570</v>
      </c>
      <c r="I969" s="55"/>
      <c r="J969" s="56" t="s">
        <v>708</v>
      </c>
      <c r="K969" s="118">
        <f>ROUND(Tableau16[[#This Row],[LEN]]*7.27,0)</f>
        <v>189</v>
      </c>
      <c r="L969" s="118">
        <v>15</v>
      </c>
      <c r="M969" s="135" t="str">
        <f t="shared" si="7"/>
        <v>none</v>
      </c>
      <c r="N969" s="118">
        <f>LEN(Tableau16[[#This Row],[LABEL]])</f>
        <v>26</v>
      </c>
      <c r="O969" s="118">
        <v>15</v>
      </c>
      <c r="P969" s="118" t="e">
        <f>ROUND(Tableau16[[#This Row],[LEN]]*#REF!+#REF!,0)</f>
        <v>#REF!</v>
      </c>
    </row>
    <row r="970" spans="1:16" s="97" customFormat="1" x14ac:dyDescent="0.25">
      <c r="A970" s="53" t="s">
        <v>1741</v>
      </c>
      <c r="B970" s="54" t="s">
        <v>1726</v>
      </c>
      <c r="C970" s="55" t="s">
        <v>597</v>
      </c>
      <c r="D970" s="77" t="s">
        <v>1177</v>
      </c>
      <c r="E970" s="55" t="s">
        <v>673</v>
      </c>
      <c r="F970" s="55" t="s">
        <v>1704</v>
      </c>
      <c r="G970" s="77" t="s">
        <v>169</v>
      </c>
      <c r="H970" s="77" t="s">
        <v>570</v>
      </c>
      <c r="I970" s="55"/>
      <c r="J970" s="56" t="s">
        <v>708</v>
      </c>
      <c r="K970" s="118">
        <f>ROUND(Tableau16[[#This Row],[LEN]]*7.27,0)</f>
        <v>465</v>
      </c>
      <c r="L970" s="118">
        <v>15</v>
      </c>
      <c r="M970" s="135" t="str">
        <f t="shared" si="7"/>
        <v>none</v>
      </c>
      <c r="N970" s="118">
        <f>LEN(Tableau16[[#This Row],[LABEL]])</f>
        <v>64</v>
      </c>
      <c r="O970" s="118">
        <v>15</v>
      </c>
      <c r="P970" s="118" t="e">
        <f>ROUND(Tableau16[[#This Row],[LEN]]*#REF!+#REF!,0)</f>
        <v>#REF!</v>
      </c>
    </row>
    <row r="971" spans="1:16" s="97" customFormat="1" x14ac:dyDescent="0.25">
      <c r="A971" s="49" t="s">
        <v>1727</v>
      </c>
      <c r="B971" s="50" t="s">
        <v>313</v>
      </c>
      <c r="C971" s="51" t="s">
        <v>598</v>
      </c>
      <c r="D971" s="76" t="s">
        <v>1177</v>
      </c>
      <c r="E971" s="51" t="s">
        <v>673</v>
      </c>
      <c r="F971" s="51" t="s">
        <v>2035</v>
      </c>
      <c r="G971" s="76" t="s">
        <v>169</v>
      </c>
      <c r="H971" s="76" t="s">
        <v>654</v>
      </c>
      <c r="I971" s="51"/>
      <c r="J971" s="52" t="s">
        <v>708</v>
      </c>
      <c r="K971" s="117">
        <f>ROUND(Tableau16[[#This Row],[LEN]]*7.27,0)</f>
        <v>553</v>
      </c>
      <c r="L971" s="117">
        <v>15</v>
      </c>
      <c r="M971" s="134" t="str">
        <f t="shared" si="7"/>
        <v>none</v>
      </c>
      <c r="N971" s="117">
        <f>LEN(Tableau16[[#This Row],[LABEL]])</f>
        <v>76</v>
      </c>
      <c r="O971" s="117">
        <v>15</v>
      </c>
      <c r="P971" s="117" t="e">
        <f>ROUND(Tableau16[[#This Row],[LEN]]*#REF!+#REF!,0)</f>
        <v>#REF!</v>
      </c>
    </row>
    <row r="972" spans="1:16" s="273" customFormat="1" x14ac:dyDescent="0.25">
      <c r="A972" s="351" t="s">
        <v>314</v>
      </c>
      <c r="B972" s="352" t="s">
        <v>209</v>
      </c>
      <c r="C972" s="353" t="s">
        <v>11</v>
      </c>
      <c r="D972" s="354" t="s">
        <v>1177</v>
      </c>
      <c r="E972" s="353" t="s">
        <v>674</v>
      </c>
      <c r="F972" s="353" t="s">
        <v>1177</v>
      </c>
      <c r="G972" s="354" t="s">
        <v>169</v>
      </c>
      <c r="H972" s="354" t="str">
        <f>IFERROR(IF(SEARCH(".00.00.00.00.00",Tableau16[[#This Row],[name]],1)=7,"Division",""),"")</f>
        <v>Division</v>
      </c>
      <c r="I972" s="353"/>
      <c r="J972" s="355" t="s">
        <v>720</v>
      </c>
      <c r="K972" s="356">
        <f>ROUND(Tableau16[[#This Row],[LEN]]*7.27,0)</f>
        <v>51</v>
      </c>
      <c r="L972" s="356">
        <v>15</v>
      </c>
      <c r="M972" s="357" t="str">
        <f t="shared" si="7"/>
        <v>new</v>
      </c>
      <c r="N972" s="356">
        <f>LEN(Tableau16[[#This Row],[LABEL]])</f>
        <v>7</v>
      </c>
      <c r="O972" s="356">
        <v>15</v>
      </c>
      <c r="P972" s="356" t="e">
        <f>ROUND(Tableau16[[#This Row],[LEN]]*#REF!+#REF!,0)</f>
        <v>#REF!</v>
      </c>
    </row>
    <row r="973" spans="1:16" s="97" customFormat="1" x14ac:dyDescent="0.25">
      <c r="A973" s="49" t="s">
        <v>1742</v>
      </c>
      <c r="B973" s="50" t="s">
        <v>314</v>
      </c>
      <c r="C973" s="51" t="s">
        <v>129</v>
      </c>
      <c r="D973" s="76" t="s">
        <v>1177</v>
      </c>
      <c r="E973" s="51" t="s">
        <v>673</v>
      </c>
      <c r="F973" s="51" t="s">
        <v>2035</v>
      </c>
      <c r="G973" s="76" t="s">
        <v>169</v>
      </c>
      <c r="H973" s="76" t="s">
        <v>655</v>
      </c>
      <c r="I973" s="51"/>
      <c r="J973" s="52" t="s">
        <v>708</v>
      </c>
      <c r="K973" s="117">
        <f>ROUND(Tableau16[[#This Row],[LEN]]*7.27,0)</f>
        <v>87</v>
      </c>
      <c r="L973" s="117">
        <v>15</v>
      </c>
      <c r="M973" s="134" t="str">
        <f t="shared" si="7"/>
        <v>none</v>
      </c>
      <c r="N973" s="117">
        <f>LEN(Tableau16[[#This Row],[LABEL]])</f>
        <v>12</v>
      </c>
      <c r="O973" s="117">
        <v>15</v>
      </c>
      <c r="P973" s="117" t="e">
        <f>ROUND(Tableau16[[#This Row],[LEN]]*#REF!+#REF!,0)</f>
        <v>#REF!</v>
      </c>
    </row>
    <row r="974" spans="1:16" s="97" customFormat="1" x14ac:dyDescent="0.25">
      <c r="A974" s="53" t="s">
        <v>1747</v>
      </c>
      <c r="B974" s="54" t="s">
        <v>1742</v>
      </c>
      <c r="C974" s="55" t="s">
        <v>131</v>
      </c>
      <c r="D974" s="77" t="s">
        <v>1177</v>
      </c>
      <c r="E974" s="55" t="s">
        <v>673</v>
      </c>
      <c r="F974" s="55" t="s">
        <v>2035</v>
      </c>
      <c r="G974" s="77" t="s">
        <v>169</v>
      </c>
      <c r="H974" s="77" t="s">
        <v>570</v>
      </c>
      <c r="I974" s="55"/>
      <c r="J974" s="56" t="s">
        <v>708</v>
      </c>
      <c r="K974" s="118">
        <f>ROUND(Tableau16[[#This Row],[LEN]]*7.27,0)</f>
        <v>262</v>
      </c>
      <c r="L974" s="118">
        <v>15</v>
      </c>
      <c r="M974" s="135" t="str">
        <f t="shared" si="7"/>
        <v>none</v>
      </c>
      <c r="N974" s="118">
        <f>LEN(Tableau16[[#This Row],[LABEL]])</f>
        <v>36</v>
      </c>
      <c r="O974" s="118">
        <v>15</v>
      </c>
      <c r="P974" s="118" t="e">
        <f>ROUND(Tableau16[[#This Row],[LEN]]*#REF!+#REF!,0)</f>
        <v>#REF!</v>
      </c>
    </row>
    <row r="975" spans="1:16" s="97" customFormat="1" x14ac:dyDescent="0.25">
      <c r="A975" s="53" t="s">
        <v>1748</v>
      </c>
      <c r="B975" s="54" t="s">
        <v>1742</v>
      </c>
      <c r="C975" s="55" t="s">
        <v>132</v>
      </c>
      <c r="D975" s="77" t="s">
        <v>1177</v>
      </c>
      <c r="E975" s="55" t="s">
        <v>673</v>
      </c>
      <c r="F975" s="55" t="s">
        <v>2035</v>
      </c>
      <c r="G975" s="77" t="s">
        <v>169</v>
      </c>
      <c r="H975" s="77" t="s">
        <v>570</v>
      </c>
      <c r="I975" s="55"/>
      <c r="J975" s="56" t="s">
        <v>708</v>
      </c>
      <c r="K975" s="118">
        <f>ROUND(Tableau16[[#This Row],[LEN]]*7.27,0)</f>
        <v>298</v>
      </c>
      <c r="L975" s="118">
        <v>15</v>
      </c>
      <c r="M975" s="135" t="str">
        <f t="shared" si="7"/>
        <v>none</v>
      </c>
      <c r="N975" s="118">
        <f>LEN(Tableau16[[#This Row],[LABEL]])</f>
        <v>41</v>
      </c>
      <c r="O975" s="118">
        <v>15</v>
      </c>
      <c r="P975" s="118" t="e">
        <f>ROUND(Tableau16[[#This Row],[LEN]]*#REF!+#REF!,0)</f>
        <v>#REF!</v>
      </c>
    </row>
    <row r="976" spans="1:16" s="97" customFormat="1" x14ac:dyDescent="0.25">
      <c r="A976" s="49" t="s">
        <v>1743</v>
      </c>
      <c r="B976" s="50" t="s">
        <v>314</v>
      </c>
      <c r="C976" s="51" t="s">
        <v>1749</v>
      </c>
      <c r="D976" s="76" t="s">
        <v>1177</v>
      </c>
      <c r="E976" s="51" t="s">
        <v>674</v>
      </c>
      <c r="F976" s="51" t="s">
        <v>1177</v>
      </c>
      <c r="G976" s="76" t="s">
        <v>169</v>
      </c>
      <c r="H976" s="76" t="s">
        <v>656</v>
      </c>
      <c r="I976" s="51"/>
      <c r="J976" s="52" t="s">
        <v>708</v>
      </c>
      <c r="K976" s="117">
        <f>ROUND(Tableau16[[#This Row],[LEN]]*7.27,0)</f>
        <v>196</v>
      </c>
      <c r="L976" s="117">
        <v>15</v>
      </c>
      <c r="M976" s="134" t="str">
        <f t="shared" si="7"/>
        <v>none</v>
      </c>
      <c r="N976" s="117">
        <f>LEN(Tableau16[[#This Row],[LABEL]])</f>
        <v>27</v>
      </c>
      <c r="O976" s="117">
        <v>15</v>
      </c>
      <c r="P976" s="117" t="e">
        <f>ROUND(Tableau16[[#This Row],[LEN]]*#REF!+#REF!,0)</f>
        <v>#REF!</v>
      </c>
    </row>
    <row r="977" spans="1:16" s="97" customFormat="1" x14ac:dyDescent="0.25">
      <c r="A977" s="49" t="s">
        <v>1744</v>
      </c>
      <c r="B977" s="50" t="s">
        <v>314</v>
      </c>
      <c r="C977" s="51" t="s">
        <v>549</v>
      </c>
      <c r="D977" s="76" t="s">
        <v>1177</v>
      </c>
      <c r="E977" s="51" t="s">
        <v>673</v>
      </c>
      <c r="F977" s="51" t="s">
        <v>1704</v>
      </c>
      <c r="G977" s="76" t="s">
        <v>169</v>
      </c>
      <c r="H977" s="76" t="s">
        <v>655</v>
      </c>
      <c r="I977" s="51"/>
      <c r="J977" s="52" t="s">
        <v>708</v>
      </c>
      <c r="K977" s="117">
        <f>ROUND(Tableau16[[#This Row],[LEN]]*7.27,0)</f>
        <v>145</v>
      </c>
      <c r="L977" s="117">
        <v>15</v>
      </c>
      <c r="M977" s="134" t="str">
        <f t="shared" si="7"/>
        <v>none</v>
      </c>
      <c r="N977" s="117">
        <f>LEN(Tableau16[[#This Row],[LABEL]])</f>
        <v>20</v>
      </c>
      <c r="O977" s="117">
        <v>15</v>
      </c>
      <c r="P977" s="117" t="e">
        <f>ROUND(Tableau16[[#This Row],[LEN]]*#REF!+#REF!,0)</f>
        <v>#REF!</v>
      </c>
    </row>
    <row r="978" spans="1:16" s="97" customFormat="1" x14ac:dyDescent="0.25">
      <c r="A978" s="53" t="s">
        <v>1750</v>
      </c>
      <c r="B978" s="54" t="s">
        <v>1744</v>
      </c>
      <c r="C978" s="55" t="s">
        <v>590</v>
      </c>
      <c r="D978" s="77" t="s">
        <v>1177</v>
      </c>
      <c r="E978" s="55" t="s">
        <v>673</v>
      </c>
      <c r="F978" s="55" t="s">
        <v>1704</v>
      </c>
      <c r="G978" s="77" t="s">
        <v>169</v>
      </c>
      <c r="H978" s="77" t="s">
        <v>570</v>
      </c>
      <c r="I978" s="55"/>
      <c r="J978" s="56" t="s">
        <v>708</v>
      </c>
      <c r="K978" s="118">
        <f>ROUND(Tableau16[[#This Row],[LEN]]*7.27,0)</f>
        <v>102</v>
      </c>
      <c r="L978" s="118">
        <v>15</v>
      </c>
      <c r="M978" s="135" t="str">
        <f t="shared" si="7"/>
        <v>none</v>
      </c>
      <c r="N978" s="118">
        <f>LEN(Tableau16[[#This Row],[LABEL]])</f>
        <v>14</v>
      </c>
      <c r="O978" s="118">
        <v>15</v>
      </c>
      <c r="P978" s="118" t="e">
        <f>ROUND(Tableau16[[#This Row],[LEN]]*#REF!+#REF!,0)</f>
        <v>#REF!</v>
      </c>
    </row>
    <row r="979" spans="1:16" s="97" customFormat="1" x14ac:dyDescent="0.25">
      <c r="A979" s="53" t="s">
        <v>1751</v>
      </c>
      <c r="B979" s="54" t="s">
        <v>1744</v>
      </c>
      <c r="C979" s="55" t="s">
        <v>591</v>
      </c>
      <c r="D979" s="77" t="s">
        <v>1177</v>
      </c>
      <c r="E979" s="55" t="s">
        <v>673</v>
      </c>
      <c r="F979" s="55" t="s">
        <v>1704</v>
      </c>
      <c r="G979" s="77" t="s">
        <v>169</v>
      </c>
      <c r="H979" s="77" t="s">
        <v>570</v>
      </c>
      <c r="I979" s="55"/>
      <c r="J979" s="56" t="s">
        <v>708</v>
      </c>
      <c r="K979" s="118">
        <f>ROUND(Tableau16[[#This Row],[LEN]]*7.27,0)</f>
        <v>262</v>
      </c>
      <c r="L979" s="118">
        <v>15</v>
      </c>
      <c r="M979" s="135" t="str">
        <f t="shared" si="7"/>
        <v>none</v>
      </c>
      <c r="N979" s="118">
        <f>LEN(Tableau16[[#This Row],[LABEL]])</f>
        <v>36</v>
      </c>
      <c r="O979" s="118">
        <v>15</v>
      </c>
      <c r="P979" s="118" t="e">
        <f>ROUND(Tableau16[[#This Row],[LEN]]*#REF!+#REF!,0)</f>
        <v>#REF!</v>
      </c>
    </row>
    <row r="980" spans="1:16" s="97" customFormat="1" x14ac:dyDescent="0.25">
      <c r="A980" s="53" t="s">
        <v>1752</v>
      </c>
      <c r="B980" s="54" t="s">
        <v>1744</v>
      </c>
      <c r="C980" s="55" t="s">
        <v>592</v>
      </c>
      <c r="D980" s="77" t="s">
        <v>1177</v>
      </c>
      <c r="E980" s="55" t="s">
        <v>673</v>
      </c>
      <c r="F980" s="55" t="s">
        <v>1704</v>
      </c>
      <c r="G980" s="77" t="s">
        <v>169</v>
      </c>
      <c r="H980" s="77" t="s">
        <v>570</v>
      </c>
      <c r="I980" s="55"/>
      <c r="J980" s="56" t="s">
        <v>708</v>
      </c>
      <c r="K980" s="118">
        <f>ROUND(Tableau16[[#This Row],[LEN]]*7.27,0)</f>
        <v>189</v>
      </c>
      <c r="L980" s="118">
        <v>15</v>
      </c>
      <c r="M980" s="135" t="str">
        <f t="shared" si="7"/>
        <v>none</v>
      </c>
      <c r="N980" s="118">
        <f>LEN(Tableau16[[#This Row],[LABEL]])</f>
        <v>26</v>
      </c>
      <c r="O980" s="118">
        <v>15</v>
      </c>
      <c r="P980" s="118" t="e">
        <f>ROUND(Tableau16[[#This Row],[LEN]]*#REF!+#REF!,0)</f>
        <v>#REF!</v>
      </c>
    </row>
    <row r="981" spans="1:16" s="97" customFormat="1" x14ac:dyDescent="0.25">
      <c r="A981" s="53" t="s">
        <v>1753</v>
      </c>
      <c r="B981" s="54" t="s">
        <v>1744</v>
      </c>
      <c r="C981" s="55" t="s">
        <v>597</v>
      </c>
      <c r="D981" s="77" t="s">
        <v>1177</v>
      </c>
      <c r="E981" s="55" t="s">
        <v>673</v>
      </c>
      <c r="F981" s="55" t="s">
        <v>1704</v>
      </c>
      <c r="G981" s="77" t="s">
        <v>169</v>
      </c>
      <c r="H981" s="77" t="s">
        <v>570</v>
      </c>
      <c r="I981" s="55"/>
      <c r="J981" s="56" t="s">
        <v>708</v>
      </c>
      <c r="K981" s="118">
        <f>ROUND(Tableau16[[#This Row],[LEN]]*7.27,0)</f>
        <v>465</v>
      </c>
      <c r="L981" s="118">
        <v>15</v>
      </c>
      <c r="M981" s="135" t="str">
        <f t="shared" si="7"/>
        <v>none</v>
      </c>
      <c r="N981" s="118">
        <f>LEN(Tableau16[[#This Row],[LABEL]])</f>
        <v>64</v>
      </c>
      <c r="O981" s="118">
        <v>15</v>
      </c>
      <c r="P981" s="118" t="e">
        <f>ROUND(Tableau16[[#This Row],[LEN]]*#REF!+#REF!,0)</f>
        <v>#REF!</v>
      </c>
    </row>
    <row r="982" spans="1:16" s="97" customFormat="1" x14ac:dyDescent="0.25">
      <c r="A982" s="49" t="s">
        <v>1745</v>
      </c>
      <c r="B982" s="50" t="s">
        <v>314</v>
      </c>
      <c r="C982" s="51" t="s">
        <v>1754</v>
      </c>
      <c r="D982" s="76" t="s">
        <v>1755</v>
      </c>
      <c r="E982" s="51" t="s">
        <v>674</v>
      </c>
      <c r="F982" s="51" t="s">
        <v>679</v>
      </c>
      <c r="G982" s="76" t="s">
        <v>169</v>
      </c>
      <c r="H982" s="76" t="s">
        <v>656</v>
      </c>
      <c r="I982" s="51"/>
      <c r="J982" s="52" t="s">
        <v>708</v>
      </c>
      <c r="K982" s="117">
        <f>ROUND(Tableau16[[#This Row],[LEN]]*7.27,0)</f>
        <v>327</v>
      </c>
      <c r="L982" s="117">
        <v>15</v>
      </c>
      <c r="M982" s="134" t="str">
        <f t="shared" si="7"/>
        <v>none</v>
      </c>
      <c r="N982" s="117">
        <f>LEN(Tableau16[[#This Row],[LABEL]])</f>
        <v>45</v>
      </c>
      <c r="O982" s="117">
        <v>15</v>
      </c>
      <c r="P982" s="117" t="e">
        <f>ROUND(Tableau16[[#This Row],[LEN]]*#REF!+#REF!,0)</f>
        <v>#REF!</v>
      </c>
    </row>
    <row r="983" spans="1:16" s="97" customFormat="1" x14ac:dyDescent="0.25">
      <c r="A983" s="49" t="s">
        <v>1746</v>
      </c>
      <c r="B983" s="50" t="s">
        <v>314</v>
      </c>
      <c r="C983" s="51" t="s">
        <v>598</v>
      </c>
      <c r="D983" s="76" t="s">
        <v>1177</v>
      </c>
      <c r="E983" s="51" t="s">
        <v>673</v>
      </c>
      <c r="F983" s="51" t="s">
        <v>2035</v>
      </c>
      <c r="G983" s="76" t="s">
        <v>169</v>
      </c>
      <c r="H983" s="76" t="s">
        <v>654</v>
      </c>
      <c r="I983" s="51"/>
      <c r="J983" s="52" t="s">
        <v>708</v>
      </c>
      <c r="K983" s="117">
        <f>ROUND(Tableau16[[#This Row],[LEN]]*7.27,0)</f>
        <v>553</v>
      </c>
      <c r="L983" s="117">
        <v>15</v>
      </c>
      <c r="M983" s="134" t="str">
        <f t="shared" si="7"/>
        <v>none</v>
      </c>
      <c r="N983" s="117">
        <f>LEN(Tableau16[[#This Row],[LABEL]])</f>
        <v>76</v>
      </c>
      <c r="O983" s="117">
        <v>15</v>
      </c>
      <c r="P983" s="117" t="e">
        <f>ROUND(Tableau16[[#This Row],[LEN]]*#REF!+#REF!,0)</f>
        <v>#REF!</v>
      </c>
    </row>
    <row r="984" spans="1:16" s="273" customFormat="1" x14ac:dyDescent="0.25">
      <c r="A984" s="351" t="s">
        <v>315</v>
      </c>
      <c r="B984" s="352" t="s">
        <v>209</v>
      </c>
      <c r="C984" s="353" t="s">
        <v>12</v>
      </c>
      <c r="D984" s="354" t="s">
        <v>1177</v>
      </c>
      <c r="E984" s="353" t="s">
        <v>675</v>
      </c>
      <c r="F984" s="353" t="s">
        <v>1177</v>
      </c>
      <c r="G984" s="354" t="s">
        <v>169</v>
      </c>
      <c r="H984" s="354" t="str">
        <f>IFERROR(IF(SEARCH(".00.00.00.00.00",Tableau16[[#This Row],[name]],1)=7,"Division",""),"")</f>
        <v>Division</v>
      </c>
      <c r="I984" s="353"/>
      <c r="J984" s="355" t="s">
        <v>721</v>
      </c>
      <c r="K984" s="356">
        <f>ROUND(Tableau16[[#This Row],[LEN]]*7.27,0)</f>
        <v>15</v>
      </c>
      <c r="L984" s="356">
        <v>15</v>
      </c>
      <c r="M984" s="357" t="str">
        <f t="shared" si="7"/>
        <v>new</v>
      </c>
      <c r="N984" s="356">
        <f>LEN(Tableau16[[#This Row],[LABEL]])</f>
        <v>2</v>
      </c>
      <c r="O984" s="356">
        <v>15</v>
      </c>
      <c r="P984" s="356" t="e">
        <f>ROUND(Tableau16[[#This Row],[LEN]]*#REF!+#REF!,0)</f>
        <v>#REF!</v>
      </c>
    </row>
    <row r="985" spans="1:16" s="97" customFormat="1" x14ac:dyDescent="0.25">
      <c r="A985" s="49" t="s">
        <v>1756</v>
      </c>
      <c r="B985" s="50" t="s">
        <v>315</v>
      </c>
      <c r="C985" s="51" t="s">
        <v>129</v>
      </c>
      <c r="D985" s="76" t="s">
        <v>1177</v>
      </c>
      <c r="E985" s="51" t="s">
        <v>673</v>
      </c>
      <c r="F985" s="51" t="s">
        <v>2035</v>
      </c>
      <c r="G985" s="76" t="s">
        <v>169</v>
      </c>
      <c r="H985" s="76" t="s">
        <v>655</v>
      </c>
      <c r="I985" s="51"/>
      <c r="J985" s="52" t="s">
        <v>708</v>
      </c>
      <c r="K985" s="117">
        <f>ROUND(Tableau16[[#This Row],[LEN]]*7.27,0)</f>
        <v>87</v>
      </c>
      <c r="L985" s="117">
        <v>15</v>
      </c>
      <c r="M985" s="134" t="str">
        <f t="shared" si="7"/>
        <v>none</v>
      </c>
      <c r="N985" s="117">
        <f>LEN(Tableau16[[#This Row],[LABEL]])</f>
        <v>12</v>
      </c>
      <c r="O985" s="117">
        <v>15</v>
      </c>
      <c r="P985" s="117" t="e">
        <f>ROUND(Tableau16[[#This Row],[LEN]]*#REF!+#REF!,0)</f>
        <v>#REF!</v>
      </c>
    </row>
    <row r="986" spans="1:16" s="97" customFormat="1" x14ac:dyDescent="0.25">
      <c r="A986" s="53" t="s">
        <v>1764</v>
      </c>
      <c r="B986" s="54" t="s">
        <v>1756</v>
      </c>
      <c r="C986" s="55" t="s">
        <v>131</v>
      </c>
      <c r="D986" s="77" t="s">
        <v>1177</v>
      </c>
      <c r="E986" s="55" t="s">
        <v>673</v>
      </c>
      <c r="F986" s="55" t="s">
        <v>2035</v>
      </c>
      <c r="G986" s="77" t="s">
        <v>169</v>
      </c>
      <c r="H986" s="77" t="s">
        <v>570</v>
      </c>
      <c r="I986" s="55"/>
      <c r="J986" s="56" t="s">
        <v>708</v>
      </c>
      <c r="K986" s="118">
        <f>ROUND(Tableau16[[#This Row],[LEN]]*7.27,0)</f>
        <v>262</v>
      </c>
      <c r="L986" s="118">
        <v>15</v>
      </c>
      <c r="M986" s="135" t="str">
        <f t="shared" si="7"/>
        <v>none</v>
      </c>
      <c r="N986" s="118">
        <f>LEN(Tableau16[[#This Row],[LABEL]])</f>
        <v>36</v>
      </c>
      <c r="O986" s="118">
        <v>15</v>
      </c>
      <c r="P986" s="118" t="e">
        <f>ROUND(Tableau16[[#This Row],[LEN]]*#REF!+#REF!,0)</f>
        <v>#REF!</v>
      </c>
    </row>
    <row r="987" spans="1:16" s="97" customFormat="1" x14ac:dyDescent="0.25">
      <c r="A987" s="53" t="s">
        <v>1765</v>
      </c>
      <c r="B987" s="54" t="s">
        <v>1756</v>
      </c>
      <c r="C987" s="55" t="s">
        <v>132</v>
      </c>
      <c r="D987" s="77" t="s">
        <v>1177</v>
      </c>
      <c r="E987" s="55" t="s">
        <v>673</v>
      </c>
      <c r="F987" s="55" t="s">
        <v>2035</v>
      </c>
      <c r="G987" s="77" t="s">
        <v>169</v>
      </c>
      <c r="H987" s="77" t="s">
        <v>570</v>
      </c>
      <c r="I987" s="55"/>
      <c r="J987" s="56" t="s">
        <v>708</v>
      </c>
      <c r="K987" s="118">
        <f>ROUND(Tableau16[[#This Row],[LEN]]*7.27,0)</f>
        <v>298</v>
      </c>
      <c r="L987" s="118">
        <v>15</v>
      </c>
      <c r="M987" s="135" t="str">
        <f t="shared" si="7"/>
        <v>none</v>
      </c>
      <c r="N987" s="118">
        <f>LEN(Tableau16[[#This Row],[LABEL]])</f>
        <v>41</v>
      </c>
      <c r="O987" s="118">
        <v>15</v>
      </c>
      <c r="P987" s="118" t="e">
        <f>ROUND(Tableau16[[#This Row],[LEN]]*#REF!+#REF!,0)</f>
        <v>#REF!</v>
      </c>
    </row>
    <row r="988" spans="1:16" s="97" customFormat="1" x14ac:dyDescent="0.25">
      <c r="A988" s="49" t="s">
        <v>1757</v>
      </c>
      <c r="B988" s="50" t="s">
        <v>315</v>
      </c>
      <c r="C988" s="51" t="s">
        <v>1772</v>
      </c>
      <c r="D988" s="76" t="s">
        <v>1177</v>
      </c>
      <c r="E988" s="51" t="s">
        <v>675</v>
      </c>
      <c r="F988" s="51" t="s">
        <v>679</v>
      </c>
      <c r="G988" s="76" t="s">
        <v>169</v>
      </c>
      <c r="H988" s="76" t="s">
        <v>655</v>
      </c>
      <c r="I988" s="51"/>
      <c r="J988" s="52" t="s">
        <v>708</v>
      </c>
      <c r="K988" s="117">
        <f>ROUND(Tableau16[[#This Row],[LEN]]*7.27,0)</f>
        <v>182</v>
      </c>
      <c r="L988" s="117">
        <v>15</v>
      </c>
      <c r="M988" s="134" t="str">
        <f t="shared" si="7"/>
        <v>none</v>
      </c>
      <c r="N988" s="117">
        <f>LEN(Tableau16[[#This Row],[LABEL]])</f>
        <v>25</v>
      </c>
      <c r="O988" s="117">
        <v>15</v>
      </c>
      <c r="P988" s="117" t="e">
        <f>ROUND(Tableau16[[#This Row],[LEN]]*#REF!+#REF!,0)</f>
        <v>#REF!</v>
      </c>
    </row>
    <row r="989" spans="1:16" s="97" customFormat="1" x14ac:dyDescent="0.25">
      <c r="A989" s="53" t="s">
        <v>1766</v>
      </c>
      <c r="B989" s="54" t="s">
        <v>1757</v>
      </c>
      <c r="C989" s="55" t="s">
        <v>1467</v>
      </c>
      <c r="D989" s="77" t="s">
        <v>1177</v>
      </c>
      <c r="E989" s="55" t="s">
        <v>675</v>
      </c>
      <c r="F989" s="55" t="s">
        <v>679</v>
      </c>
      <c r="G989" s="77" t="s">
        <v>169</v>
      </c>
      <c r="H989" s="77" t="s">
        <v>654</v>
      </c>
      <c r="I989" s="55"/>
      <c r="J989" s="56" t="s">
        <v>708</v>
      </c>
      <c r="K989" s="118">
        <f>ROUND(Tableau16[[#This Row],[LEN]]*7.27,0)</f>
        <v>102</v>
      </c>
      <c r="L989" s="118">
        <v>15</v>
      </c>
      <c r="M989" s="135" t="str">
        <f t="shared" si="7"/>
        <v>none</v>
      </c>
      <c r="N989" s="118">
        <f>LEN(Tableau16[[#This Row],[LABEL]])</f>
        <v>14</v>
      </c>
      <c r="O989" s="118">
        <v>15</v>
      </c>
      <c r="P989" s="118" t="e">
        <f>ROUND(Tableau16[[#This Row],[LEN]]*#REF!+#REF!,0)</f>
        <v>#REF!</v>
      </c>
    </row>
    <row r="990" spans="1:16" s="97" customFormat="1" x14ac:dyDescent="0.25">
      <c r="A990" s="53" t="s">
        <v>1767</v>
      </c>
      <c r="B990" s="54" t="s">
        <v>1757</v>
      </c>
      <c r="C990" s="55" t="s">
        <v>1769</v>
      </c>
      <c r="D990" s="77" t="s">
        <v>1177</v>
      </c>
      <c r="E990" s="55" t="s">
        <v>675</v>
      </c>
      <c r="F990" s="55" t="s">
        <v>679</v>
      </c>
      <c r="G990" s="77" t="s">
        <v>169</v>
      </c>
      <c r="H990" s="77" t="s">
        <v>654</v>
      </c>
      <c r="I990" s="55"/>
      <c r="J990" s="56" t="s">
        <v>708</v>
      </c>
      <c r="K990" s="118">
        <f>ROUND(Tableau16[[#This Row],[LEN]]*7.27,0)</f>
        <v>211</v>
      </c>
      <c r="L990" s="118">
        <v>15</v>
      </c>
      <c r="M990" s="135" t="str">
        <f t="shared" si="7"/>
        <v>none</v>
      </c>
      <c r="N990" s="118">
        <f>LEN(Tableau16[[#This Row],[LABEL]])</f>
        <v>29</v>
      </c>
      <c r="O990" s="118">
        <v>15</v>
      </c>
      <c r="P990" s="118" t="e">
        <f>ROUND(Tableau16[[#This Row],[LEN]]*#REF!+#REF!,0)</f>
        <v>#REF!</v>
      </c>
    </row>
    <row r="991" spans="1:16" s="97" customFormat="1" x14ac:dyDescent="0.25">
      <c r="A991" s="53" t="s">
        <v>1768</v>
      </c>
      <c r="B991" s="54" t="s">
        <v>1757</v>
      </c>
      <c r="C991" s="55" t="s">
        <v>1468</v>
      </c>
      <c r="D991" s="77" t="s">
        <v>1177</v>
      </c>
      <c r="E991" s="55" t="s">
        <v>675</v>
      </c>
      <c r="F991" s="55" t="s">
        <v>679</v>
      </c>
      <c r="G991" s="77" t="s">
        <v>169</v>
      </c>
      <c r="H991" s="77" t="s">
        <v>654</v>
      </c>
      <c r="I991" s="55"/>
      <c r="J991" s="56" t="s">
        <v>708</v>
      </c>
      <c r="K991" s="118">
        <f>ROUND(Tableau16[[#This Row],[LEN]]*7.27,0)</f>
        <v>167</v>
      </c>
      <c r="L991" s="118">
        <v>15</v>
      </c>
      <c r="M991" s="135" t="str">
        <f t="shared" si="7"/>
        <v>none</v>
      </c>
      <c r="N991" s="118">
        <f>LEN(Tableau16[[#This Row],[LABEL]])</f>
        <v>23</v>
      </c>
      <c r="O991" s="118">
        <v>15</v>
      </c>
      <c r="P991" s="118" t="e">
        <f>ROUND(Tableau16[[#This Row],[LEN]]*#REF!+#REF!,0)</f>
        <v>#REF!</v>
      </c>
    </row>
    <row r="992" spans="1:16" s="97" customFormat="1" x14ac:dyDescent="0.25">
      <c r="A992" s="49" t="s">
        <v>1758</v>
      </c>
      <c r="B992" s="50" t="s">
        <v>315</v>
      </c>
      <c r="C992" s="51" t="s">
        <v>1770</v>
      </c>
      <c r="D992" s="76" t="s">
        <v>1771</v>
      </c>
      <c r="E992" s="51" t="s">
        <v>675</v>
      </c>
      <c r="F992" s="51" t="s">
        <v>1177</v>
      </c>
      <c r="G992" s="76" t="s">
        <v>169</v>
      </c>
      <c r="H992" s="76" t="s">
        <v>654</v>
      </c>
      <c r="I992" s="51"/>
      <c r="J992" s="52" t="s">
        <v>708</v>
      </c>
      <c r="K992" s="117">
        <f>ROUND(Tableau16[[#This Row],[LEN]]*7.27,0)</f>
        <v>487</v>
      </c>
      <c r="L992" s="117">
        <v>15</v>
      </c>
      <c r="M992" s="134" t="str">
        <f t="shared" si="7"/>
        <v>none</v>
      </c>
      <c r="N992" s="117">
        <f>LEN(Tableau16[[#This Row],[LABEL]])</f>
        <v>67</v>
      </c>
      <c r="O992" s="117">
        <v>15</v>
      </c>
      <c r="P992" s="117" t="e">
        <f>ROUND(Tableau16[[#This Row],[LEN]]*#REF!+#REF!,0)</f>
        <v>#REF!</v>
      </c>
    </row>
    <row r="993" spans="1:16" s="97" customFormat="1" x14ac:dyDescent="0.25">
      <c r="A993" s="49" t="s">
        <v>1759</v>
      </c>
      <c r="B993" s="50" t="s">
        <v>315</v>
      </c>
      <c r="C993" s="51" t="s">
        <v>1773</v>
      </c>
      <c r="D993" s="76" t="s">
        <v>1177</v>
      </c>
      <c r="E993" s="51" t="s">
        <v>675</v>
      </c>
      <c r="F993" s="51" t="s">
        <v>1177</v>
      </c>
      <c r="G993" s="76" t="s">
        <v>169</v>
      </c>
      <c r="H993" s="76" t="s">
        <v>655</v>
      </c>
      <c r="I993" s="51"/>
      <c r="J993" s="52" t="s">
        <v>708</v>
      </c>
      <c r="K993" s="117">
        <f>ROUND(Tableau16[[#This Row],[LEN]]*7.27,0)</f>
        <v>153</v>
      </c>
      <c r="L993" s="117">
        <v>15</v>
      </c>
      <c r="M993" s="134" t="str">
        <f t="shared" si="7"/>
        <v>none</v>
      </c>
      <c r="N993" s="117">
        <f>LEN(Tableau16[[#This Row],[LABEL]])</f>
        <v>21</v>
      </c>
      <c r="O993" s="117">
        <v>15</v>
      </c>
      <c r="P993" s="117" t="e">
        <f>ROUND(Tableau16[[#This Row],[LEN]]*#REF!+#REF!,0)</f>
        <v>#REF!</v>
      </c>
    </row>
    <row r="994" spans="1:16" s="97" customFormat="1" x14ac:dyDescent="0.25">
      <c r="A994" s="53" t="s">
        <v>1774</v>
      </c>
      <c r="B994" s="54" t="s">
        <v>1759</v>
      </c>
      <c r="C994" s="55" t="s">
        <v>1778</v>
      </c>
      <c r="D994" s="77" t="s">
        <v>1177</v>
      </c>
      <c r="E994" s="55" t="s">
        <v>675</v>
      </c>
      <c r="F994" s="55" t="s">
        <v>1177</v>
      </c>
      <c r="G994" s="77" t="s">
        <v>169</v>
      </c>
      <c r="H994" s="77" t="s">
        <v>654</v>
      </c>
      <c r="I994" s="55"/>
      <c r="J994" s="56" t="s">
        <v>708</v>
      </c>
      <c r="K994" s="118">
        <f>ROUND(Tableau16[[#This Row],[LEN]]*7.27,0)</f>
        <v>225</v>
      </c>
      <c r="L994" s="118">
        <v>15</v>
      </c>
      <c r="M994" s="135" t="str">
        <f t="shared" si="7"/>
        <v>none</v>
      </c>
      <c r="N994" s="118">
        <f>LEN(Tableau16[[#This Row],[LABEL]])</f>
        <v>31</v>
      </c>
      <c r="O994" s="118">
        <v>15</v>
      </c>
      <c r="P994" s="118" t="e">
        <f>ROUND(Tableau16[[#This Row],[LEN]]*#REF!+#REF!,0)</f>
        <v>#REF!</v>
      </c>
    </row>
    <row r="995" spans="1:16" s="97" customFormat="1" x14ac:dyDescent="0.25">
      <c r="A995" s="53" t="s">
        <v>1775</v>
      </c>
      <c r="B995" s="54" t="s">
        <v>1759</v>
      </c>
      <c r="C995" s="55" t="s">
        <v>1779</v>
      </c>
      <c r="D995" s="77" t="s">
        <v>1177</v>
      </c>
      <c r="E995" s="55" t="s">
        <v>675</v>
      </c>
      <c r="F995" s="55" t="s">
        <v>1177</v>
      </c>
      <c r="G995" s="77" t="s">
        <v>169</v>
      </c>
      <c r="H995" s="77" t="s">
        <v>654</v>
      </c>
      <c r="I995" s="55"/>
      <c r="J995" s="56" t="s">
        <v>708</v>
      </c>
      <c r="K995" s="118">
        <f>ROUND(Tableau16[[#This Row],[LEN]]*7.27,0)</f>
        <v>124</v>
      </c>
      <c r="L995" s="118">
        <v>15</v>
      </c>
      <c r="M995" s="135" t="str">
        <f t="shared" si="7"/>
        <v>none</v>
      </c>
      <c r="N995" s="118">
        <f>LEN(Tableau16[[#This Row],[LABEL]])</f>
        <v>17</v>
      </c>
      <c r="O995" s="118">
        <v>15</v>
      </c>
      <c r="P995" s="118" t="e">
        <f>ROUND(Tableau16[[#This Row],[LEN]]*#REF!+#REF!,0)</f>
        <v>#REF!</v>
      </c>
    </row>
    <row r="996" spans="1:16" s="97" customFormat="1" x14ac:dyDescent="0.25">
      <c r="A996" s="53" t="s">
        <v>1776</v>
      </c>
      <c r="B996" s="54" t="s">
        <v>1759</v>
      </c>
      <c r="C996" s="55" t="s">
        <v>1780</v>
      </c>
      <c r="D996" s="77" t="s">
        <v>1177</v>
      </c>
      <c r="E996" s="55" t="s">
        <v>675</v>
      </c>
      <c r="F996" s="55" t="s">
        <v>1177</v>
      </c>
      <c r="G996" s="77" t="s">
        <v>169</v>
      </c>
      <c r="H996" s="77" t="s">
        <v>654</v>
      </c>
      <c r="I996" s="55"/>
      <c r="J996" s="56" t="s">
        <v>708</v>
      </c>
      <c r="K996" s="118">
        <f>ROUND(Tableau16[[#This Row],[LEN]]*7.27,0)</f>
        <v>160</v>
      </c>
      <c r="L996" s="118">
        <v>15</v>
      </c>
      <c r="M996" s="135" t="str">
        <f t="shared" si="7"/>
        <v>none</v>
      </c>
      <c r="N996" s="118">
        <f>LEN(Tableau16[[#This Row],[LABEL]])</f>
        <v>22</v>
      </c>
      <c r="O996" s="118">
        <v>15</v>
      </c>
      <c r="P996" s="118" t="e">
        <f>ROUND(Tableau16[[#This Row],[LEN]]*#REF!+#REF!,0)</f>
        <v>#REF!</v>
      </c>
    </row>
    <row r="997" spans="1:16" s="97" customFormat="1" x14ac:dyDescent="0.25">
      <c r="A997" s="53" t="s">
        <v>1777</v>
      </c>
      <c r="B997" s="54" t="s">
        <v>1759</v>
      </c>
      <c r="C997" s="55" t="s">
        <v>1781</v>
      </c>
      <c r="D997" s="77" t="s">
        <v>1177</v>
      </c>
      <c r="E997" s="55" t="s">
        <v>675</v>
      </c>
      <c r="F997" s="55" t="s">
        <v>1177</v>
      </c>
      <c r="G997" s="77" t="s">
        <v>169</v>
      </c>
      <c r="H997" s="77" t="s">
        <v>654</v>
      </c>
      <c r="I997" s="55"/>
      <c r="J997" s="56" t="s">
        <v>708</v>
      </c>
      <c r="K997" s="118">
        <f>ROUND(Tableau16[[#This Row],[LEN]]*7.27,0)</f>
        <v>145</v>
      </c>
      <c r="L997" s="118">
        <v>15</v>
      </c>
      <c r="M997" s="135" t="str">
        <f t="shared" si="7"/>
        <v>none</v>
      </c>
      <c r="N997" s="118">
        <f>LEN(Tableau16[[#This Row],[LABEL]])</f>
        <v>20</v>
      </c>
      <c r="O997" s="118">
        <v>15</v>
      </c>
      <c r="P997" s="118" t="e">
        <f>ROUND(Tableau16[[#This Row],[LEN]]*#REF!+#REF!,0)</f>
        <v>#REF!</v>
      </c>
    </row>
    <row r="998" spans="1:16" s="97" customFormat="1" x14ac:dyDescent="0.25">
      <c r="A998" s="49" t="s">
        <v>1760</v>
      </c>
      <c r="B998" s="50" t="s">
        <v>315</v>
      </c>
      <c r="C998" s="51" t="s">
        <v>1782</v>
      </c>
      <c r="D998" s="76" t="s">
        <v>1177</v>
      </c>
      <c r="E998" s="51" t="s">
        <v>675</v>
      </c>
      <c r="F998" s="51" t="s">
        <v>679</v>
      </c>
      <c r="G998" s="76" t="s">
        <v>169</v>
      </c>
      <c r="H998" s="76" t="s">
        <v>655</v>
      </c>
      <c r="I998" s="51"/>
      <c r="J998" s="52" t="s">
        <v>708</v>
      </c>
      <c r="K998" s="117">
        <f>ROUND(Tableau16[[#This Row],[LEN]]*7.27,0)</f>
        <v>182</v>
      </c>
      <c r="L998" s="117">
        <v>15</v>
      </c>
      <c r="M998" s="134" t="str">
        <f t="shared" si="7"/>
        <v>none</v>
      </c>
      <c r="N998" s="117">
        <f>LEN(Tableau16[[#This Row],[LABEL]])</f>
        <v>25</v>
      </c>
      <c r="O998" s="117">
        <v>15</v>
      </c>
      <c r="P998" s="117" t="e">
        <f>ROUND(Tableau16[[#This Row],[LEN]]*#REF!+#REF!,0)</f>
        <v>#REF!</v>
      </c>
    </row>
    <row r="999" spans="1:16" s="97" customFormat="1" x14ac:dyDescent="0.25">
      <c r="A999" s="53" t="s">
        <v>1783</v>
      </c>
      <c r="B999" s="54" t="s">
        <v>1760</v>
      </c>
      <c r="C999" s="55" t="s">
        <v>1785</v>
      </c>
      <c r="D999" s="77" t="s">
        <v>1177</v>
      </c>
      <c r="E999" s="55" t="s">
        <v>675</v>
      </c>
      <c r="F999" s="55" t="s">
        <v>679</v>
      </c>
      <c r="G999" s="77" t="s">
        <v>169</v>
      </c>
      <c r="H999" s="77" t="s">
        <v>656</v>
      </c>
      <c r="I999" s="55"/>
      <c r="J999" s="56" t="s">
        <v>708</v>
      </c>
      <c r="K999" s="118">
        <f>ROUND(Tableau16[[#This Row],[LEN]]*7.27,0)</f>
        <v>167</v>
      </c>
      <c r="L999" s="118">
        <v>15</v>
      </c>
      <c r="M999" s="135" t="str">
        <f t="shared" si="7"/>
        <v>none</v>
      </c>
      <c r="N999" s="118">
        <f>LEN(Tableau16[[#This Row],[LABEL]])</f>
        <v>23</v>
      </c>
      <c r="O999" s="118">
        <v>15</v>
      </c>
      <c r="P999" s="118" t="e">
        <f>ROUND(Tableau16[[#This Row],[LEN]]*#REF!+#REF!,0)</f>
        <v>#REF!</v>
      </c>
    </row>
    <row r="1000" spans="1:16" s="97" customFormat="1" x14ac:dyDescent="0.25">
      <c r="A1000" s="53" t="s">
        <v>1784</v>
      </c>
      <c r="B1000" s="54" t="s">
        <v>1760</v>
      </c>
      <c r="C1000" s="55" t="s">
        <v>1470</v>
      </c>
      <c r="D1000" s="77" t="s">
        <v>1177</v>
      </c>
      <c r="E1000" s="55" t="s">
        <v>675</v>
      </c>
      <c r="F1000" s="55" t="s">
        <v>679</v>
      </c>
      <c r="G1000" s="77" t="s">
        <v>169</v>
      </c>
      <c r="H1000" s="77" t="s">
        <v>656</v>
      </c>
      <c r="I1000" s="55"/>
      <c r="J1000" s="56" t="s">
        <v>708</v>
      </c>
      <c r="K1000" s="118">
        <f>ROUND(Tableau16[[#This Row],[LEN]]*7.27,0)</f>
        <v>313</v>
      </c>
      <c r="L1000" s="118">
        <v>15</v>
      </c>
      <c r="M1000" s="135" t="str">
        <f t="shared" si="7"/>
        <v>none</v>
      </c>
      <c r="N1000" s="118">
        <f>LEN(Tableau16[[#This Row],[LABEL]])</f>
        <v>43</v>
      </c>
      <c r="O1000" s="118">
        <v>15</v>
      </c>
      <c r="P1000" s="118" t="e">
        <f>ROUND(Tableau16[[#This Row],[LEN]]*#REF!+#REF!,0)</f>
        <v>#REF!</v>
      </c>
    </row>
    <row r="1001" spans="1:16" s="97" customFormat="1" x14ac:dyDescent="0.25">
      <c r="A1001" s="49" t="s">
        <v>1761</v>
      </c>
      <c r="B1001" s="50" t="s">
        <v>315</v>
      </c>
      <c r="C1001" s="51" t="s">
        <v>1786</v>
      </c>
      <c r="D1001" s="76" t="s">
        <v>1177</v>
      </c>
      <c r="E1001" s="51" t="s">
        <v>675</v>
      </c>
      <c r="F1001" s="51" t="s">
        <v>679</v>
      </c>
      <c r="G1001" s="76" t="s">
        <v>169</v>
      </c>
      <c r="H1001" s="76" t="s">
        <v>655</v>
      </c>
      <c r="I1001" s="51"/>
      <c r="J1001" s="52" t="s">
        <v>708</v>
      </c>
      <c r="K1001" s="117">
        <f>ROUND(Tableau16[[#This Row],[LEN]]*7.27,0)</f>
        <v>262</v>
      </c>
      <c r="L1001" s="117">
        <v>15</v>
      </c>
      <c r="M1001" s="134" t="str">
        <f t="shared" si="7"/>
        <v>none</v>
      </c>
      <c r="N1001" s="117">
        <f>LEN(Tableau16[[#This Row],[LABEL]])</f>
        <v>36</v>
      </c>
      <c r="O1001" s="117">
        <v>15</v>
      </c>
      <c r="P1001" s="117" t="e">
        <f>ROUND(Tableau16[[#This Row],[LEN]]*#REF!+#REF!,0)</f>
        <v>#REF!</v>
      </c>
    </row>
    <row r="1002" spans="1:16" s="97" customFormat="1" x14ac:dyDescent="0.25">
      <c r="A1002" s="53" t="s">
        <v>1787</v>
      </c>
      <c r="B1002" s="54" t="s">
        <v>1761</v>
      </c>
      <c r="C1002" s="55" t="s">
        <v>1789</v>
      </c>
      <c r="D1002" s="77" t="s">
        <v>1177</v>
      </c>
      <c r="E1002" s="55" t="s">
        <v>675</v>
      </c>
      <c r="F1002" s="55" t="s">
        <v>679</v>
      </c>
      <c r="G1002" s="77" t="s">
        <v>169</v>
      </c>
      <c r="H1002" s="77" t="s">
        <v>654</v>
      </c>
      <c r="I1002" s="55"/>
      <c r="J1002" s="56" t="s">
        <v>708</v>
      </c>
      <c r="K1002" s="118">
        <f>ROUND(Tableau16[[#This Row],[LEN]]*7.27,0)</f>
        <v>487</v>
      </c>
      <c r="L1002" s="118">
        <v>15</v>
      </c>
      <c r="M1002" s="135" t="str">
        <f t="shared" si="7"/>
        <v>none</v>
      </c>
      <c r="N1002" s="118">
        <f>LEN(Tableau16[[#This Row],[LABEL]])</f>
        <v>67</v>
      </c>
      <c r="O1002" s="118">
        <v>15</v>
      </c>
      <c r="P1002" s="118" t="e">
        <f>ROUND(Tableau16[[#This Row],[LEN]]*#REF!+#REF!,0)</f>
        <v>#REF!</v>
      </c>
    </row>
    <row r="1003" spans="1:16" s="97" customFormat="1" x14ac:dyDescent="0.25">
      <c r="A1003" s="53" t="s">
        <v>1788</v>
      </c>
      <c r="B1003" s="54" t="s">
        <v>1761</v>
      </c>
      <c r="C1003" s="55" t="s">
        <v>1790</v>
      </c>
      <c r="D1003" s="77" t="s">
        <v>1177</v>
      </c>
      <c r="E1003" s="55" t="s">
        <v>675</v>
      </c>
      <c r="F1003" s="55" t="s">
        <v>679</v>
      </c>
      <c r="G1003" s="77" t="s">
        <v>169</v>
      </c>
      <c r="H1003" s="77" t="s">
        <v>654</v>
      </c>
      <c r="I1003" s="55"/>
      <c r="J1003" s="56" t="s">
        <v>708</v>
      </c>
      <c r="K1003" s="118">
        <f>ROUND(Tableau16[[#This Row],[LEN]]*7.27,0)</f>
        <v>313</v>
      </c>
      <c r="L1003" s="118">
        <v>15</v>
      </c>
      <c r="M1003" s="135" t="str">
        <f t="shared" si="7"/>
        <v>none</v>
      </c>
      <c r="N1003" s="118">
        <f>LEN(Tableau16[[#This Row],[LABEL]])</f>
        <v>43</v>
      </c>
      <c r="O1003" s="118">
        <v>15</v>
      </c>
      <c r="P1003" s="118" t="e">
        <f>ROUND(Tableau16[[#This Row],[LEN]]*#REF!+#REF!,0)</f>
        <v>#REF!</v>
      </c>
    </row>
    <row r="1004" spans="1:16" s="97" customFormat="1" x14ac:dyDescent="0.25">
      <c r="A1004" s="49" t="s">
        <v>1762</v>
      </c>
      <c r="B1004" s="50" t="s">
        <v>315</v>
      </c>
      <c r="C1004" s="51" t="s">
        <v>1791</v>
      </c>
      <c r="D1004" s="76" t="s">
        <v>1177</v>
      </c>
      <c r="E1004" s="51" t="s">
        <v>675</v>
      </c>
      <c r="F1004" s="51" t="s">
        <v>679</v>
      </c>
      <c r="G1004" s="76" t="s">
        <v>169</v>
      </c>
      <c r="H1004" s="76" t="s">
        <v>655</v>
      </c>
      <c r="I1004" s="51"/>
      <c r="J1004" s="52" t="s">
        <v>708</v>
      </c>
      <c r="K1004" s="117">
        <f>ROUND(Tableau16[[#This Row],[LEN]]*7.27,0)</f>
        <v>153</v>
      </c>
      <c r="L1004" s="117">
        <v>15</v>
      </c>
      <c r="M1004" s="134" t="str">
        <f t="shared" si="7"/>
        <v>none</v>
      </c>
      <c r="N1004" s="117">
        <f>LEN(Tableau16[[#This Row],[LABEL]])</f>
        <v>21</v>
      </c>
      <c r="O1004" s="117">
        <v>15</v>
      </c>
      <c r="P1004" s="117" t="e">
        <f>ROUND(Tableau16[[#This Row],[LEN]]*#REF!+#REF!,0)</f>
        <v>#REF!</v>
      </c>
    </row>
    <row r="1005" spans="1:16" s="97" customFormat="1" x14ac:dyDescent="0.25">
      <c r="A1005" s="53" t="s">
        <v>1792</v>
      </c>
      <c r="B1005" s="54" t="s">
        <v>1762</v>
      </c>
      <c r="C1005" s="55" t="s">
        <v>1778</v>
      </c>
      <c r="D1005" s="77" t="s">
        <v>1177</v>
      </c>
      <c r="E1005" s="55" t="s">
        <v>675</v>
      </c>
      <c r="F1005" s="55" t="s">
        <v>679</v>
      </c>
      <c r="G1005" s="77" t="s">
        <v>169</v>
      </c>
      <c r="H1005" s="77" t="s">
        <v>654</v>
      </c>
      <c r="I1005" s="55"/>
      <c r="J1005" s="56" t="s">
        <v>708</v>
      </c>
      <c r="K1005" s="118">
        <f>ROUND(Tableau16[[#This Row],[LEN]]*7.27,0)</f>
        <v>225</v>
      </c>
      <c r="L1005" s="118">
        <v>15</v>
      </c>
      <c r="M1005" s="135" t="str">
        <f t="shared" si="7"/>
        <v>none</v>
      </c>
      <c r="N1005" s="118">
        <f>LEN(Tableau16[[#This Row],[LABEL]])</f>
        <v>31</v>
      </c>
      <c r="O1005" s="118">
        <v>15</v>
      </c>
      <c r="P1005" s="118" t="e">
        <f>ROUND(Tableau16[[#This Row],[LEN]]*#REF!+#REF!,0)</f>
        <v>#REF!</v>
      </c>
    </row>
    <row r="1006" spans="1:16" s="97" customFormat="1" x14ac:dyDescent="0.25">
      <c r="A1006" s="53" t="s">
        <v>1793</v>
      </c>
      <c r="B1006" s="54" t="s">
        <v>1762</v>
      </c>
      <c r="C1006" s="55" t="s">
        <v>1779</v>
      </c>
      <c r="D1006" s="77" t="s">
        <v>1177</v>
      </c>
      <c r="E1006" s="55" t="s">
        <v>675</v>
      </c>
      <c r="F1006" s="55" t="s">
        <v>679</v>
      </c>
      <c r="G1006" s="77" t="s">
        <v>169</v>
      </c>
      <c r="H1006" s="77" t="s">
        <v>654</v>
      </c>
      <c r="I1006" s="55"/>
      <c r="J1006" s="56" t="s">
        <v>708</v>
      </c>
      <c r="K1006" s="118">
        <f>ROUND(Tableau16[[#This Row],[LEN]]*7.27,0)</f>
        <v>124</v>
      </c>
      <c r="L1006" s="118">
        <v>15</v>
      </c>
      <c r="M1006" s="135" t="str">
        <f t="shared" si="7"/>
        <v>none</v>
      </c>
      <c r="N1006" s="118">
        <f>LEN(Tableau16[[#This Row],[LABEL]])</f>
        <v>17</v>
      </c>
      <c r="O1006" s="118">
        <v>15</v>
      </c>
      <c r="P1006" s="118" t="e">
        <f>ROUND(Tableau16[[#This Row],[LEN]]*#REF!+#REF!,0)</f>
        <v>#REF!</v>
      </c>
    </row>
    <row r="1007" spans="1:16" s="97" customFormat="1" x14ac:dyDescent="0.25">
      <c r="A1007" s="53" t="s">
        <v>1794</v>
      </c>
      <c r="B1007" s="54" t="s">
        <v>1762</v>
      </c>
      <c r="C1007" s="55" t="s">
        <v>1780</v>
      </c>
      <c r="D1007" s="77" t="s">
        <v>1177</v>
      </c>
      <c r="E1007" s="55" t="s">
        <v>675</v>
      </c>
      <c r="F1007" s="55" t="s">
        <v>679</v>
      </c>
      <c r="G1007" s="77" t="s">
        <v>169</v>
      </c>
      <c r="H1007" s="77" t="s">
        <v>654</v>
      </c>
      <c r="I1007" s="55"/>
      <c r="J1007" s="56" t="s">
        <v>708</v>
      </c>
      <c r="K1007" s="118">
        <f>ROUND(Tableau16[[#This Row],[LEN]]*7.27,0)</f>
        <v>160</v>
      </c>
      <c r="L1007" s="118">
        <v>15</v>
      </c>
      <c r="M1007" s="135" t="str">
        <f t="shared" si="7"/>
        <v>none</v>
      </c>
      <c r="N1007" s="118">
        <f>LEN(Tableau16[[#This Row],[LABEL]])</f>
        <v>22</v>
      </c>
      <c r="O1007" s="118">
        <v>15</v>
      </c>
      <c r="P1007" s="118" t="e">
        <f>ROUND(Tableau16[[#This Row],[LEN]]*#REF!+#REF!,0)</f>
        <v>#REF!</v>
      </c>
    </row>
    <row r="1008" spans="1:16" s="97" customFormat="1" x14ac:dyDescent="0.25">
      <c r="A1008" s="53" t="s">
        <v>1795</v>
      </c>
      <c r="B1008" s="54" t="s">
        <v>1762</v>
      </c>
      <c r="C1008" s="55" t="s">
        <v>1781</v>
      </c>
      <c r="D1008" s="77" t="s">
        <v>1177</v>
      </c>
      <c r="E1008" s="55" t="s">
        <v>675</v>
      </c>
      <c r="F1008" s="55" t="s">
        <v>679</v>
      </c>
      <c r="G1008" s="77" t="s">
        <v>169</v>
      </c>
      <c r="H1008" s="77" t="s">
        <v>654</v>
      </c>
      <c r="I1008" s="55"/>
      <c r="J1008" s="56" t="s">
        <v>708</v>
      </c>
      <c r="K1008" s="118">
        <f>ROUND(Tableau16[[#This Row],[LEN]]*7.27,0)</f>
        <v>145</v>
      </c>
      <c r="L1008" s="118">
        <v>15</v>
      </c>
      <c r="M1008" s="135" t="str">
        <f t="shared" si="7"/>
        <v>none</v>
      </c>
      <c r="N1008" s="118">
        <f>LEN(Tableau16[[#This Row],[LABEL]])</f>
        <v>20</v>
      </c>
      <c r="O1008" s="118">
        <v>15</v>
      </c>
      <c r="P1008" s="118" t="e">
        <f>ROUND(Tableau16[[#This Row],[LEN]]*#REF!+#REF!,0)</f>
        <v>#REF!</v>
      </c>
    </row>
    <row r="1009" spans="1:16" s="97" customFormat="1" x14ac:dyDescent="0.25">
      <c r="A1009" s="49" t="s">
        <v>1763</v>
      </c>
      <c r="B1009" s="50" t="s">
        <v>315</v>
      </c>
      <c r="C1009" s="51" t="s">
        <v>598</v>
      </c>
      <c r="D1009" s="76" t="s">
        <v>1177</v>
      </c>
      <c r="E1009" s="51" t="s">
        <v>673</v>
      </c>
      <c r="F1009" s="51" t="s">
        <v>2035</v>
      </c>
      <c r="G1009" s="76" t="s">
        <v>169</v>
      </c>
      <c r="H1009" s="76" t="s">
        <v>654</v>
      </c>
      <c r="I1009" s="51"/>
      <c r="J1009" s="52" t="s">
        <v>708</v>
      </c>
      <c r="K1009" s="117">
        <f>ROUND(Tableau16[[#This Row],[LEN]]*7.27,0)</f>
        <v>553</v>
      </c>
      <c r="L1009" s="117">
        <v>15</v>
      </c>
      <c r="M1009" s="134" t="str">
        <f t="shared" si="7"/>
        <v>none</v>
      </c>
      <c r="N1009" s="117">
        <f>LEN(Tableau16[[#This Row],[LABEL]])</f>
        <v>76</v>
      </c>
      <c r="O1009" s="117">
        <v>15</v>
      </c>
      <c r="P1009" s="117" t="e">
        <f>ROUND(Tableau16[[#This Row],[LEN]]*#REF!+#REF!,0)</f>
        <v>#REF!</v>
      </c>
    </row>
    <row r="1010" spans="1:16" s="273" customFormat="1" x14ac:dyDescent="0.25">
      <c r="A1010" s="351" t="s">
        <v>316</v>
      </c>
      <c r="B1010" s="352" t="s">
        <v>209</v>
      </c>
      <c r="C1010" s="353" t="s">
        <v>71</v>
      </c>
      <c r="D1010" s="354" t="s">
        <v>1177</v>
      </c>
      <c r="E1010" s="353" t="s">
        <v>676</v>
      </c>
      <c r="F1010" s="353" t="s">
        <v>1177</v>
      </c>
      <c r="G1010" s="354" t="s">
        <v>169</v>
      </c>
      <c r="H1010" s="354" t="str">
        <f>IFERROR(IF(SEARCH(".00.00.00.00.00",Tableau16[[#This Row],[name]],1)=7,"Division",""),"")</f>
        <v>Division</v>
      </c>
      <c r="I1010" s="353"/>
      <c r="J1010" s="355" t="s">
        <v>722</v>
      </c>
      <c r="K1010" s="356">
        <f>ROUND(Tableau16[[#This Row],[LEN]]*7.27,0)</f>
        <v>29</v>
      </c>
      <c r="L1010" s="356">
        <v>15</v>
      </c>
      <c r="M1010" s="357" t="str">
        <f t="shared" si="7"/>
        <v>new</v>
      </c>
      <c r="N1010" s="356">
        <f>LEN(Tableau16[[#This Row],[LABEL]])</f>
        <v>4</v>
      </c>
      <c r="O1010" s="356">
        <v>15</v>
      </c>
      <c r="P1010" s="356" t="e">
        <f>ROUND(Tableau16[[#This Row],[LEN]]*#REF!+#REF!,0)</f>
        <v>#REF!</v>
      </c>
    </row>
    <row r="1011" spans="1:16" s="97" customFormat="1" x14ac:dyDescent="0.25">
      <c r="A1011" s="49" t="s">
        <v>1796</v>
      </c>
      <c r="B1011" s="50" t="s">
        <v>316</v>
      </c>
      <c r="C1011" s="51" t="s">
        <v>129</v>
      </c>
      <c r="D1011" s="76" t="s">
        <v>1177</v>
      </c>
      <c r="E1011" s="51" t="s">
        <v>673</v>
      </c>
      <c r="F1011" s="51" t="s">
        <v>2035</v>
      </c>
      <c r="G1011" s="76" t="s">
        <v>169</v>
      </c>
      <c r="H1011" s="76" t="s">
        <v>655</v>
      </c>
      <c r="I1011" s="51"/>
      <c r="J1011" s="52" t="s">
        <v>708</v>
      </c>
      <c r="K1011" s="117">
        <f>ROUND(Tableau16[[#This Row],[LEN]]*7.27,0)</f>
        <v>87</v>
      </c>
      <c r="L1011" s="117">
        <v>15</v>
      </c>
      <c r="M1011" s="134" t="str">
        <f t="shared" si="7"/>
        <v>none</v>
      </c>
      <c r="N1011" s="117">
        <f>LEN(Tableau16[[#This Row],[LABEL]])</f>
        <v>12</v>
      </c>
      <c r="O1011" s="117">
        <v>15</v>
      </c>
      <c r="P1011" s="117" t="e">
        <f>ROUND(Tableau16[[#This Row],[LEN]]*#REF!+#REF!,0)</f>
        <v>#REF!</v>
      </c>
    </row>
    <row r="1012" spans="1:16" s="97" customFormat="1" x14ac:dyDescent="0.25">
      <c r="A1012" s="53" t="s">
        <v>1802</v>
      </c>
      <c r="B1012" s="54" t="s">
        <v>1796</v>
      </c>
      <c r="C1012" s="55" t="s">
        <v>131</v>
      </c>
      <c r="D1012" s="77" t="s">
        <v>1177</v>
      </c>
      <c r="E1012" s="55" t="s">
        <v>673</v>
      </c>
      <c r="F1012" s="55" t="s">
        <v>2035</v>
      </c>
      <c r="G1012" s="77" t="s">
        <v>169</v>
      </c>
      <c r="H1012" s="77" t="s">
        <v>570</v>
      </c>
      <c r="I1012" s="55"/>
      <c r="J1012" s="56" t="s">
        <v>708</v>
      </c>
      <c r="K1012" s="118">
        <f>ROUND(Tableau16[[#This Row],[LEN]]*7.27,0)</f>
        <v>262</v>
      </c>
      <c r="L1012" s="118">
        <v>15</v>
      </c>
      <c r="M1012" s="135" t="str">
        <f t="shared" si="7"/>
        <v>none</v>
      </c>
      <c r="N1012" s="118">
        <f>LEN(Tableau16[[#This Row],[LABEL]])</f>
        <v>36</v>
      </c>
      <c r="O1012" s="118">
        <v>15</v>
      </c>
      <c r="P1012" s="118" t="e">
        <f>ROUND(Tableau16[[#This Row],[LEN]]*#REF!+#REF!,0)</f>
        <v>#REF!</v>
      </c>
    </row>
    <row r="1013" spans="1:16" s="97" customFormat="1" x14ac:dyDescent="0.25">
      <c r="A1013" s="53" t="s">
        <v>1803</v>
      </c>
      <c r="B1013" s="54" t="s">
        <v>1796</v>
      </c>
      <c r="C1013" s="55" t="s">
        <v>132</v>
      </c>
      <c r="D1013" s="77" t="s">
        <v>1177</v>
      </c>
      <c r="E1013" s="55" t="s">
        <v>673</v>
      </c>
      <c r="F1013" s="55" t="s">
        <v>2035</v>
      </c>
      <c r="G1013" s="77" t="s">
        <v>169</v>
      </c>
      <c r="H1013" s="77" t="s">
        <v>570</v>
      </c>
      <c r="I1013" s="55"/>
      <c r="J1013" s="56" t="s">
        <v>708</v>
      </c>
      <c r="K1013" s="118">
        <f>ROUND(Tableau16[[#This Row],[LEN]]*7.27,0)</f>
        <v>298</v>
      </c>
      <c r="L1013" s="118">
        <v>15</v>
      </c>
      <c r="M1013" s="135" t="str">
        <f t="shared" si="7"/>
        <v>none</v>
      </c>
      <c r="N1013" s="118">
        <f>LEN(Tableau16[[#This Row],[LABEL]])</f>
        <v>41</v>
      </c>
      <c r="O1013" s="118">
        <v>15</v>
      </c>
      <c r="P1013" s="118" t="e">
        <f>ROUND(Tableau16[[#This Row],[LEN]]*#REF!+#REF!,0)</f>
        <v>#REF!</v>
      </c>
    </row>
    <row r="1014" spans="1:16" s="97" customFormat="1" x14ac:dyDescent="0.25">
      <c r="A1014" s="49" t="s">
        <v>1797</v>
      </c>
      <c r="B1014" s="50" t="s">
        <v>316</v>
      </c>
      <c r="C1014" s="51" t="s">
        <v>1808</v>
      </c>
      <c r="D1014" s="76" t="s">
        <v>1177</v>
      </c>
      <c r="E1014" s="51" t="s">
        <v>676</v>
      </c>
      <c r="F1014" s="51" t="s">
        <v>1177</v>
      </c>
      <c r="G1014" s="76" t="s">
        <v>169</v>
      </c>
      <c r="H1014" s="76" t="s">
        <v>654</v>
      </c>
      <c r="I1014" s="51"/>
      <c r="J1014" s="52" t="s">
        <v>708</v>
      </c>
      <c r="K1014" s="117">
        <f>ROUND(Tableau16[[#This Row],[LEN]]*7.27,0)</f>
        <v>364</v>
      </c>
      <c r="L1014" s="117">
        <v>15</v>
      </c>
      <c r="M1014" s="134" t="str">
        <f t="shared" si="7"/>
        <v>none</v>
      </c>
      <c r="N1014" s="117">
        <f>LEN(Tableau16[[#This Row],[LABEL]])</f>
        <v>50</v>
      </c>
      <c r="O1014" s="117">
        <v>15</v>
      </c>
      <c r="P1014" s="117" t="e">
        <f>ROUND(Tableau16[[#This Row],[LEN]]*#REF!+#REF!,0)</f>
        <v>#REF!</v>
      </c>
    </row>
    <row r="1015" spans="1:16" s="97" customFormat="1" x14ac:dyDescent="0.25">
      <c r="A1015" s="49" t="s">
        <v>1798</v>
      </c>
      <c r="B1015" s="50" t="s">
        <v>316</v>
      </c>
      <c r="C1015" s="51" t="s">
        <v>1810</v>
      </c>
      <c r="D1015" s="76" t="s">
        <v>1177</v>
      </c>
      <c r="E1015" s="51" t="s">
        <v>676</v>
      </c>
      <c r="F1015" s="51" t="s">
        <v>1177</v>
      </c>
      <c r="G1015" s="76" t="s">
        <v>169</v>
      </c>
      <c r="H1015" s="76" t="s">
        <v>656</v>
      </c>
      <c r="I1015" s="51"/>
      <c r="J1015" s="52" t="s">
        <v>708</v>
      </c>
      <c r="K1015" s="117">
        <f>ROUND(Tableau16[[#This Row],[LEN]]*7.27,0)</f>
        <v>124</v>
      </c>
      <c r="L1015" s="117">
        <v>15</v>
      </c>
      <c r="M1015" s="134" t="str">
        <f t="shared" si="7"/>
        <v>none</v>
      </c>
      <c r="N1015" s="117">
        <f>LEN(Tableau16[[#This Row],[LABEL]])</f>
        <v>17</v>
      </c>
      <c r="O1015" s="117">
        <v>15</v>
      </c>
      <c r="P1015" s="117" t="e">
        <f>ROUND(Tableau16[[#This Row],[LEN]]*#REF!+#REF!,0)</f>
        <v>#REF!</v>
      </c>
    </row>
    <row r="1016" spans="1:16" s="97" customFormat="1" x14ac:dyDescent="0.25">
      <c r="A1016" s="49" t="s">
        <v>1799</v>
      </c>
      <c r="B1016" s="50" t="s">
        <v>316</v>
      </c>
      <c r="C1016" s="51" t="s">
        <v>1809</v>
      </c>
      <c r="D1016" s="76" t="s">
        <v>1177</v>
      </c>
      <c r="E1016" s="51" t="s">
        <v>676</v>
      </c>
      <c r="F1016" s="51" t="s">
        <v>1177</v>
      </c>
      <c r="G1016" s="76" t="s">
        <v>169</v>
      </c>
      <c r="H1016" s="76" t="s">
        <v>656</v>
      </c>
      <c r="I1016" s="51"/>
      <c r="J1016" s="52" t="s">
        <v>708</v>
      </c>
      <c r="K1016" s="117">
        <f>ROUND(Tableau16[[#This Row],[LEN]]*7.27,0)</f>
        <v>189</v>
      </c>
      <c r="L1016" s="117">
        <v>15</v>
      </c>
      <c r="M1016" s="134" t="str">
        <f t="shared" si="7"/>
        <v>none</v>
      </c>
      <c r="N1016" s="117">
        <f>LEN(Tableau16[[#This Row],[LABEL]])</f>
        <v>26</v>
      </c>
      <c r="O1016" s="117">
        <v>15</v>
      </c>
      <c r="P1016" s="117" t="e">
        <f>ROUND(Tableau16[[#This Row],[LEN]]*#REF!+#REF!,0)</f>
        <v>#REF!</v>
      </c>
    </row>
    <row r="1017" spans="1:16" s="97" customFormat="1" x14ac:dyDescent="0.25">
      <c r="A1017" s="49" t="s">
        <v>1800</v>
      </c>
      <c r="B1017" s="50" t="s">
        <v>316</v>
      </c>
      <c r="C1017" s="51" t="s">
        <v>549</v>
      </c>
      <c r="D1017" s="76" t="s">
        <v>1177</v>
      </c>
      <c r="E1017" s="51" t="s">
        <v>673</v>
      </c>
      <c r="F1017" s="51" t="s">
        <v>1704</v>
      </c>
      <c r="G1017" s="76" t="s">
        <v>169</v>
      </c>
      <c r="H1017" s="76" t="s">
        <v>655</v>
      </c>
      <c r="I1017" s="51"/>
      <c r="J1017" s="52" t="s">
        <v>708</v>
      </c>
      <c r="K1017" s="117">
        <f>ROUND(Tableau16[[#This Row],[LEN]]*7.27,0)</f>
        <v>145</v>
      </c>
      <c r="L1017" s="117">
        <v>15</v>
      </c>
      <c r="M1017" s="134" t="str">
        <f t="shared" si="7"/>
        <v>none</v>
      </c>
      <c r="N1017" s="117">
        <f>LEN(Tableau16[[#This Row],[LABEL]])</f>
        <v>20</v>
      </c>
      <c r="O1017" s="117">
        <v>15</v>
      </c>
      <c r="P1017" s="117" t="e">
        <f>ROUND(Tableau16[[#This Row],[LEN]]*#REF!+#REF!,0)</f>
        <v>#REF!</v>
      </c>
    </row>
    <row r="1018" spans="1:16" s="97" customFormat="1" x14ac:dyDescent="0.25">
      <c r="A1018" s="53" t="s">
        <v>1804</v>
      </c>
      <c r="B1018" s="54" t="s">
        <v>1800</v>
      </c>
      <c r="C1018" s="55" t="s">
        <v>590</v>
      </c>
      <c r="D1018" s="77" t="s">
        <v>1177</v>
      </c>
      <c r="E1018" s="55" t="s">
        <v>673</v>
      </c>
      <c r="F1018" s="55" t="s">
        <v>1704</v>
      </c>
      <c r="G1018" s="77" t="s">
        <v>169</v>
      </c>
      <c r="H1018" s="77" t="s">
        <v>570</v>
      </c>
      <c r="I1018" s="55"/>
      <c r="J1018" s="56" t="s">
        <v>708</v>
      </c>
      <c r="K1018" s="118">
        <f>ROUND(Tableau16[[#This Row],[LEN]]*7.27,0)</f>
        <v>102</v>
      </c>
      <c r="L1018" s="118">
        <v>15</v>
      </c>
      <c r="M1018" s="135" t="str">
        <f t="shared" si="7"/>
        <v>none</v>
      </c>
      <c r="N1018" s="118">
        <f>LEN(Tableau16[[#This Row],[LABEL]])</f>
        <v>14</v>
      </c>
      <c r="O1018" s="118">
        <v>15</v>
      </c>
      <c r="P1018" s="118" t="e">
        <f>ROUND(Tableau16[[#This Row],[LEN]]*#REF!+#REF!,0)</f>
        <v>#REF!</v>
      </c>
    </row>
    <row r="1019" spans="1:16" s="97" customFormat="1" x14ac:dyDescent="0.25">
      <c r="A1019" s="53" t="s">
        <v>1805</v>
      </c>
      <c r="B1019" s="54" t="s">
        <v>1800</v>
      </c>
      <c r="C1019" s="55" t="s">
        <v>591</v>
      </c>
      <c r="D1019" s="77" t="s">
        <v>1177</v>
      </c>
      <c r="E1019" s="55" t="s">
        <v>673</v>
      </c>
      <c r="F1019" s="55" t="s">
        <v>1704</v>
      </c>
      <c r="G1019" s="77" t="s">
        <v>169</v>
      </c>
      <c r="H1019" s="77" t="s">
        <v>570</v>
      </c>
      <c r="I1019" s="55"/>
      <c r="J1019" s="56" t="s">
        <v>708</v>
      </c>
      <c r="K1019" s="118">
        <f>ROUND(Tableau16[[#This Row],[LEN]]*7.27,0)</f>
        <v>262</v>
      </c>
      <c r="L1019" s="118">
        <v>15</v>
      </c>
      <c r="M1019" s="135" t="str">
        <f t="shared" si="7"/>
        <v>none</v>
      </c>
      <c r="N1019" s="118">
        <f>LEN(Tableau16[[#This Row],[LABEL]])</f>
        <v>36</v>
      </c>
      <c r="O1019" s="118">
        <v>15</v>
      </c>
      <c r="P1019" s="118" t="e">
        <f>ROUND(Tableau16[[#This Row],[LEN]]*#REF!+#REF!,0)</f>
        <v>#REF!</v>
      </c>
    </row>
    <row r="1020" spans="1:16" s="97" customFormat="1" x14ac:dyDescent="0.25">
      <c r="A1020" s="53" t="s">
        <v>1806</v>
      </c>
      <c r="B1020" s="54" t="s">
        <v>1800</v>
      </c>
      <c r="C1020" s="55" t="s">
        <v>592</v>
      </c>
      <c r="D1020" s="77" t="s">
        <v>1177</v>
      </c>
      <c r="E1020" s="55" t="s">
        <v>673</v>
      </c>
      <c r="F1020" s="55" t="s">
        <v>1704</v>
      </c>
      <c r="G1020" s="77" t="s">
        <v>169</v>
      </c>
      <c r="H1020" s="77" t="s">
        <v>570</v>
      </c>
      <c r="I1020" s="55"/>
      <c r="J1020" s="56" t="s">
        <v>708</v>
      </c>
      <c r="K1020" s="118">
        <f>ROUND(Tableau16[[#This Row],[LEN]]*7.27,0)</f>
        <v>189</v>
      </c>
      <c r="L1020" s="118">
        <v>15</v>
      </c>
      <c r="M1020" s="135" t="str">
        <f t="shared" si="7"/>
        <v>none</v>
      </c>
      <c r="N1020" s="118">
        <f>LEN(Tableau16[[#This Row],[LABEL]])</f>
        <v>26</v>
      </c>
      <c r="O1020" s="118">
        <v>15</v>
      </c>
      <c r="P1020" s="118" t="e">
        <f>ROUND(Tableau16[[#This Row],[LEN]]*#REF!+#REF!,0)</f>
        <v>#REF!</v>
      </c>
    </row>
    <row r="1021" spans="1:16" s="97" customFormat="1" x14ac:dyDescent="0.25">
      <c r="A1021" s="53" t="s">
        <v>1807</v>
      </c>
      <c r="B1021" s="54" t="s">
        <v>1800</v>
      </c>
      <c r="C1021" s="55" t="s">
        <v>597</v>
      </c>
      <c r="D1021" s="77" t="s">
        <v>1177</v>
      </c>
      <c r="E1021" s="55" t="s">
        <v>673</v>
      </c>
      <c r="F1021" s="55" t="s">
        <v>1704</v>
      </c>
      <c r="G1021" s="77" t="s">
        <v>169</v>
      </c>
      <c r="H1021" s="77" t="s">
        <v>570</v>
      </c>
      <c r="I1021" s="55"/>
      <c r="J1021" s="56" t="s">
        <v>708</v>
      </c>
      <c r="K1021" s="118">
        <f>ROUND(Tableau16[[#This Row],[LEN]]*7.27,0)</f>
        <v>465</v>
      </c>
      <c r="L1021" s="118">
        <v>15</v>
      </c>
      <c r="M1021" s="135" t="str">
        <f t="shared" si="7"/>
        <v>none</v>
      </c>
      <c r="N1021" s="118">
        <f>LEN(Tableau16[[#This Row],[LABEL]])</f>
        <v>64</v>
      </c>
      <c r="O1021" s="118">
        <v>15</v>
      </c>
      <c r="P1021" s="118" t="e">
        <f>ROUND(Tableau16[[#This Row],[LEN]]*#REF!+#REF!,0)</f>
        <v>#REF!</v>
      </c>
    </row>
    <row r="1022" spans="1:16" s="97" customFormat="1" x14ac:dyDescent="0.25">
      <c r="A1022" s="49" t="s">
        <v>1801</v>
      </c>
      <c r="B1022" s="50" t="s">
        <v>316</v>
      </c>
      <c r="C1022" s="51" t="s">
        <v>598</v>
      </c>
      <c r="D1022" s="76" t="s">
        <v>1177</v>
      </c>
      <c r="E1022" s="51" t="s">
        <v>673</v>
      </c>
      <c r="F1022" s="51" t="s">
        <v>2035</v>
      </c>
      <c r="G1022" s="76" t="s">
        <v>169</v>
      </c>
      <c r="H1022" s="76" t="s">
        <v>654</v>
      </c>
      <c r="I1022" s="51"/>
      <c r="J1022" s="52" t="s">
        <v>708</v>
      </c>
      <c r="K1022" s="117">
        <f>ROUND(Tableau16[[#This Row],[LEN]]*7.27,0)</f>
        <v>553</v>
      </c>
      <c r="L1022" s="117">
        <v>15</v>
      </c>
      <c r="M1022" s="134" t="str">
        <f t="shared" si="7"/>
        <v>none</v>
      </c>
      <c r="N1022" s="117">
        <f>LEN(Tableau16[[#This Row],[LABEL]])</f>
        <v>76</v>
      </c>
      <c r="O1022" s="117">
        <v>15</v>
      </c>
      <c r="P1022" s="117" t="e">
        <f>ROUND(Tableau16[[#This Row],[LEN]]*#REF!+#REF!,0)</f>
        <v>#REF!</v>
      </c>
    </row>
    <row r="1023" spans="1:16" s="273" customFormat="1" x14ac:dyDescent="0.25">
      <c r="A1023" s="351" t="s">
        <v>317</v>
      </c>
      <c r="B1023" s="352" t="s">
        <v>209</v>
      </c>
      <c r="C1023" s="353" t="s">
        <v>13</v>
      </c>
      <c r="D1023" s="354" t="s">
        <v>1177</v>
      </c>
      <c r="E1023" s="353" t="s">
        <v>677</v>
      </c>
      <c r="F1023" s="353" t="s">
        <v>1177</v>
      </c>
      <c r="G1023" s="354" t="s">
        <v>169</v>
      </c>
      <c r="H1023" s="354" t="str">
        <f>IFERROR(IF(SEARCH(".00.00.00.00.00",Tableau16[[#This Row],[name]],1)=7,"Division",""),"")</f>
        <v>Division</v>
      </c>
      <c r="I1023" s="353"/>
      <c r="J1023" s="355" t="s">
        <v>708</v>
      </c>
      <c r="K1023" s="356">
        <f>ROUND(Tableau16[[#This Row],[LEN]]*7.27,0)</f>
        <v>80</v>
      </c>
      <c r="L1023" s="356">
        <v>15</v>
      </c>
      <c r="M1023" s="357" t="str">
        <f t="shared" si="7"/>
        <v>none</v>
      </c>
      <c r="N1023" s="356">
        <f>LEN(Tableau16[[#This Row],[LABEL]])</f>
        <v>11</v>
      </c>
      <c r="O1023" s="356">
        <v>15</v>
      </c>
      <c r="P1023" s="356" t="e">
        <f>ROUND(Tableau16[[#This Row],[LEN]]*#REF!+#REF!,0)</f>
        <v>#REF!</v>
      </c>
    </row>
    <row r="1024" spans="1:16" s="97" customFormat="1" x14ac:dyDescent="0.25">
      <c r="A1024" s="49" t="s">
        <v>1811</v>
      </c>
      <c r="B1024" s="50" t="s">
        <v>317</v>
      </c>
      <c r="C1024" s="51" t="s">
        <v>129</v>
      </c>
      <c r="D1024" s="76" t="s">
        <v>1177</v>
      </c>
      <c r="E1024" s="51" t="s">
        <v>673</v>
      </c>
      <c r="F1024" s="51" t="s">
        <v>2035</v>
      </c>
      <c r="G1024" s="76" t="s">
        <v>169</v>
      </c>
      <c r="H1024" s="76" t="s">
        <v>655</v>
      </c>
      <c r="I1024" s="51"/>
      <c r="J1024" s="52" t="s">
        <v>708</v>
      </c>
      <c r="K1024" s="117">
        <f>ROUND(Tableau16[[#This Row],[LEN]]*7.27,0)</f>
        <v>87</v>
      </c>
      <c r="L1024" s="117">
        <v>15</v>
      </c>
      <c r="M1024" s="134" t="str">
        <f t="shared" si="7"/>
        <v>none</v>
      </c>
      <c r="N1024" s="117">
        <f>LEN(Tableau16[[#This Row],[LABEL]])</f>
        <v>12</v>
      </c>
      <c r="O1024" s="117">
        <v>15</v>
      </c>
      <c r="P1024" s="117" t="e">
        <f>ROUND(Tableau16[[#This Row],[LEN]]*#REF!+#REF!,0)</f>
        <v>#REF!</v>
      </c>
    </row>
    <row r="1025" spans="1:16" s="97" customFormat="1" x14ac:dyDescent="0.25">
      <c r="A1025" s="53" t="s">
        <v>1818</v>
      </c>
      <c r="B1025" s="54" t="s">
        <v>1811</v>
      </c>
      <c r="C1025" s="55" t="s">
        <v>131</v>
      </c>
      <c r="D1025" s="77" t="s">
        <v>1177</v>
      </c>
      <c r="E1025" s="55" t="s">
        <v>673</v>
      </c>
      <c r="F1025" s="55" t="s">
        <v>2035</v>
      </c>
      <c r="G1025" s="77" t="s">
        <v>169</v>
      </c>
      <c r="H1025" s="77" t="s">
        <v>570</v>
      </c>
      <c r="I1025" s="55"/>
      <c r="J1025" s="56" t="s">
        <v>708</v>
      </c>
      <c r="K1025" s="118">
        <f>ROUND(Tableau16[[#This Row],[LEN]]*7.27,0)</f>
        <v>262</v>
      </c>
      <c r="L1025" s="118">
        <v>15</v>
      </c>
      <c r="M1025" s="135" t="str">
        <f t="shared" si="7"/>
        <v>none</v>
      </c>
      <c r="N1025" s="118">
        <f>LEN(Tableau16[[#This Row],[LABEL]])</f>
        <v>36</v>
      </c>
      <c r="O1025" s="118">
        <v>15</v>
      </c>
      <c r="P1025" s="118" t="e">
        <f>ROUND(Tableau16[[#This Row],[LEN]]*#REF!+#REF!,0)</f>
        <v>#REF!</v>
      </c>
    </row>
    <row r="1026" spans="1:16" s="97" customFormat="1" x14ac:dyDescent="0.25">
      <c r="A1026" s="53" t="s">
        <v>1819</v>
      </c>
      <c r="B1026" s="54" t="s">
        <v>1811</v>
      </c>
      <c r="C1026" s="55" t="s">
        <v>132</v>
      </c>
      <c r="D1026" s="77" t="s">
        <v>1177</v>
      </c>
      <c r="E1026" s="55" t="s">
        <v>673</v>
      </c>
      <c r="F1026" s="55" t="s">
        <v>2035</v>
      </c>
      <c r="G1026" s="77" t="s">
        <v>169</v>
      </c>
      <c r="H1026" s="77" t="s">
        <v>570</v>
      </c>
      <c r="I1026" s="55"/>
      <c r="J1026" s="56" t="s">
        <v>708</v>
      </c>
      <c r="K1026" s="118">
        <f>ROUND(Tableau16[[#This Row],[LEN]]*7.27,0)</f>
        <v>298</v>
      </c>
      <c r="L1026" s="118">
        <v>15</v>
      </c>
      <c r="M1026" s="135" t="str">
        <f t="shared" si="7"/>
        <v>none</v>
      </c>
      <c r="N1026" s="118">
        <f>LEN(Tableau16[[#This Row],[LABEL]])</f>
        <v>41</v>
      </c>
      <c r="O1026" s="118">
        <v>15</v>
      </c>
      <c r="P1026" s="118" t="e">
        <f>ROUND(Tableau16[[#This Row],[LEN]]*#REF!+#REF!,0)</f>
        <v>#REF!</v>
      </c>
    </row>
    <row r="1027" spans="1:16" s="97" customFormat="1" x14ac:dyDescent="0.25">
      <c r="A1027" s="49" t="s">
        <v>1812</v>
      </c>
      <c r="B1027" s="50" t="s">
        <v>317</v>
      </c>
      <c r="C1027" s="51" t="s">
        <v>1825</v>
      </c>
      <c r="D1027" s="76" t="s">
        <v>1177</v>
      </c>
      <c r="E1027" s="51" t="s">
        <v>677</v>
      </c>
      <c r="F1027" s="51" t="s">
        <v>1847</v>
      </c>
      <c r="G1027" s="76" t="s">
        <v>169</v>
      </c>
      <c r="H1027" s="76" t="s">
        <v>656</v>
      </c>
      <c r="I1027" s="51"/>
      <c r="J1027" s="52" t="s">
        <v>708</v>
      </c>
      <c r="K1027" s="117">
        <f>ROUND(Tableau16[[#This Row],[LEN]]*7.27,0)</f>
        <v>320</v>
      </c>
      <c r="L1027" s="117">
        <v>15</v>
      </c>
      <c r="M1027" s="134" t="str">
        <f t="shared" si="7"/>
        <v>none</v>
      </c>
      <c r="N1027" s="117">
        <f>LEN(Tableau16[[#This Row],[LABEL]])</f>
        <v>44</v>
      </c>
      <c r="O1027" s="117">
        <v>15</v>
      </c>
      <c r="P1027" s="117" t="e">
        <f>ROUND(Tableau16[[#This Row],[LEN]]*#REF!+#REF!,0)</f>
        <v>#REF!</v>
      </c>
    </row>
    <row r="1028" spans="1:16" s="97" customFormat="1" x14ac:dyDescent="0.25">
      <c r="A1028" s="49" t="s">
        <v>1813</v>
      </c>
      <c r="B1028" s="50" t="s">
        <v>317</v>
      </c>
      <c r="C1028" s="51" t="s">
        <v>1826</v>
      </c>
      <c r="D1028" s="76" t="s">
        <v>1177</v>
      </c>
      <c r="E1028" s="51" t="s">
        <v>677</v>
      </c>
      <c r="F1028" s="51" t="s">
        <v>1177</v>
      </c>
      <c r="G1028" s="76" t="s">
        <v>169</v>
      </c>
      <c r="H1028" s="76" t="s">
        <v>656</v>
      </c>
      <c r="I1028" s="51"/>
      <c r="J1028" s="52" t="s">
        <v>708</v>
      </c>
      <c r="K1028" s="117">
        <f>ROUND(Tableau16[[#This Row],[LEN]]*7.27,0)</f>
        <v>320</v>
      </c>
      <c r="L1028" s="117">
        <v>15</v>
      </c>
      <c r="M1028" s="134" t="str">
        <f t="shared" si="7"/>
        <v>none</v>
      </c>
      <c r="N1028" s="117">
        <f>LEN(Tableau16[[#This Row],[LABEL]])</f>
        <v>44</v>
      </c>
      <c r="O1028" s="117">
        <v>15</v>
      </c>
      <c r="P1028" s="117" t="e">
        <f>ROUND(Tableau16[[#This Row],[LEN]]*#REF!+#REF!,0)</f>
        <v>#REF!</v>
      </c>
    </row>
    <row r="1029" spans="1:16" s="97" customFormat="1" x14ac:dyDescent="0.25">
      <c r="A1029" s="49" t="s">
        <v>1814</v>
      </c>
      <c r="B1029" s="50" t="s">
        <v>317</v>
      </c>
      <c r="C1029" s="51" t="s">
        <v>1827</v>
      </c>
      <c r="D1029" s="76" t="s">
        <v>1177</v>
      </c>
      <c r="E1029" s="51" t="s">
        <v>677</v>
      </c>
      <c r="F1029" s="51" t="s">
        <v>1177</v>
      </c>
      <c r="G1029" s="76" t="s">
        <v>169</v>
      </c>
      <c r="H1029" s="76" t="s">
        <v>656</v>
      </c>
      <c r="I1029" s="51"/>
      <c r="J1029" s="52" t="s">
        <v>708</v>
      </c>
      <c r="K1029" s="117">
        <f>ROUND(Tableau16[[#This Row],[LEN]]*7.27,0)</f>
        <v>145</v>
      </c>
      <c r="L1029" s="117">
        <v>15</v>
      </c>
      <c r="M1029" s="134" t="str">
        <f t="shared" si="7"/>
        <v>none</v>
      </c>
      <c r="N1029" s="117">
        <f>LEN(Tableau16[[#This Row],[LABEL]])</f>
        <v>20</v>
      </c>
      <c r="O1029" s="117">
        <v>15</v>
      </c>
      <c r="P1029" s="117" t="e">
        <f>ROUND(Tableau16[[#This Row],[LEN]]*#REF!+#REF!,0)</f>
        <v>#REF!</v>
      </c>
    </row>
    <row r="1030" spans="1:16" s="97" customFormat="1" x14ac:dyDescent="0.25">
      <c r="A1030" s="49" t="s">
        <v>1815</v>
      </c>
      <c r="B1030" s="50" t="s">
        <v>317</v>
      </c>
      <c r="C1030" s="51" t="s">
        <v>549</v>
      </c>
      <c r="D1030" s="76" t="s">
        <v>1177</v>
      </c>
      <c r="E1030" s="51" t="s">
        <v>673</v>
      </c>
      <c r="F1030" s="51" t="s">
        <v>1704</v>
      </c>
      <c r="G1030" s="76" t="s">
        <v>169</v>
      </c>
      <c r="H1030" s="76" t="s">
        <v>655</v>
      </c>
      <c r="I1030" s="51"/>
      <c r="J1030" s="52" t="s">
        <v>708</v>
      </c>
      <c r="K1030" s="117">
        <f>ROUND(Tableau16[[#This Row],[LEN]]*7.27,0)</f>
        <v>145</v>
      </c>
      <c r="L1030" s="117">
        <v>15</v>
      </c>
      <c r="M1030" s="134" t="str">
        <f t="shared" si="7"/>
        <v>none</v>
      </c>
      <c r="N1030" s="117">
        <f>LEN(Tableau16[[#This Row],[LABEL]])</f>
        <v>20</v>
      </c>
      <c r="O1030" s="117">
        <v>15</v>
      </c>
      <c r="P1030" s="117" t="e">
        <f>ROUND(Tableau16[[#This Row],[LEN]]*#REF!+#REF!,0)</f>
        <v>#REF!</v>
      </c>
    </row>
    <row r="1031" spans="1:16" s="97" customFormat="1" x14ac:dyDescent="0.25">
      <c r="A1031" s="53" t="s">
        <v>1820</v>
      </c>
      <c r="B1031" s="54" t="s">
        <v>1815</v>
      </c>
      <c r="C1031" s="55" t="s">
        <v>590</v>
      </c>
      <c r="D1031" s="77" t="s">
        <v>1177</v>
      </c>
      <c r="E1031" s="55" t="s">
        <v>673</v>
      </c>
      <c r="F1031" s="55" t="s">
        <v>1704</v>
      </c>
      <c r="G1031" s="77" t="s">
        <v>169</v>
      </c>
      <c r="H1031" s="77" t="s">
        <v>570</v>
      </c>
      <c r="I1031" s="55"/>
      <c r="J1031" s="56" t="s">
        <v>708</v>
      </c>
      <c r="K1031" s="118">
        <f>ROUND(Tableau16[[#This Row],[LEN]]*7.27,0)</f>
        <v>102</v>
      </c>
      <c r="L1031" s="118">
        <v>15</v>
      </c>
      <c r="M1031" s="135" t="str">
        <f t="shared" si="7"/>
        <v>none</v>
      </c>
      <c r="N1031" s="118">
        <f>LEN(Tableau16[[#This Row],[LABEL]])</f>
        <v>14</v>
      </c>
      <c r="O1031" s="118">
        <v>15</v>
      </c>
      <c r="P1031" s="118" t="e">
        <f>ROUND(Tableau16[[#This Row],[LEN]]*#REF!+#REF!,0)</f>
        <v>#REF!</v>
      </c>
    </row>
    <row r="1032" spans="1:16" s="97" customFormat="1" x14ac:dyDescent="0.25">
      <c r="A1032" s="53" t="s">
        <v>1821</v>
      </c>
      <c r="B1032" s="54" t="s">
        <v>1815</v>
      </c>
      <c r="C1032" s="55" t="s">
        <v>591</v>
      </c>
      <c r="D1032" s="77" t="s">
        <v>1177</v>
      </c>
      <c r="E1032" s="55" t="s">
        <v>673</v>
      </c>
      <c r="F1032" s="55" t="s">
        <v>1704</v>
      </c>
      <c r="G1032" s="77" t="s">
        <v>169</v>
      </c>
      <c r="H1032" s="77" t="s">
        <v>570</v>
      </c>
      <c r="I1032" s="55"/>
      <c r="J1032" s="56" t="s">
        <v>708</v>
      </c>
      <c r="K1032" s="118">
        <f>ROUND(Tableau16[[#This Row],[LEN]]*7.27,0)</f>
        <v>262</v>
      </c>
      <c r="L1032" s="118">
        <v>15</v>
      </c>
      <c r="M1032" s="135" t="str">
        <f t="shared" si="7"/>
        <v>none</v>
      </c>
      <c r="N1032" s="118">
        <f>LEN(Tableau16[[#This Row],[LABEL]])</f>
        <v>36</v>
      </c>
      <c r="O1032" s="118">
        <v>15</v>
      </c>
      <c r="P1032" s="118" t="e">
        <f>ROUND(Tableau16[[#This Row],[LEN]]*#REF!+#REF!,0)</f>
        <v>#REF!</v>
      </c>
    </row>
    <row r="1033" spans="1:16" s="97" customFormat="1" x14ac:dyDescent="0.25">
      <c r="A1033" s="53" t="s">
        <v>1822</v>
      </c>
      <c r="B1033" s="54" t="s">
        <v>1815</v>
      </c>
      <c r="C1033" s="55" t="s">
        <v>592</v>
      </c>
      <c r="D1033" s="77" t="s">
        <v>1177</v>
      </c>
      <c r="E1033" s="55" t="s">
        <v>673</v>
      </c>
      <c r="F1033" s="55" t="s">
        <v>1704</v>
      </c>
      <c r="G1033" s="77" t="s">
        <v>169</v>
      </c>
      <c r="H1033" s="77" t="s">
        <v>570</v>
      </c>
      <c r="I1033" s="55"/>
      <c r="J1033" s="56" t="s">
        <v>708</v>
      </c>
      <c r="K1033" s="118">
        <f>ROUND(Tableau16[[#This Row],[LEN]]*7.27,0)</f>
        <v>189</v>
      </c>
      <c r="L1033" s="118">
        <v>15</v>
      </c>
      <c r="M1033" s="135" t="str">
        <f t="shared" si="7"/>
        <v>none</v>
      </c>
      <c r="N1033" s="118">
        <f>LEN(Tableau16[[#This Row],[LABEL]])</f>
        <v>26</v>
      </c>
      <c r="O1033" s="118">
        <v>15</v>
      </c>
      <c r="P1033" s="118" t="e">
        <f>ROUND(Tableau16[[#This Row],[LEN]]*#REF!+#REF!,0)</f>
        <v>#REF!</v>
      </c>
    </row>
    <row r="1034" spans="1:16" s="97" customFormat="1" x14ac:dyDescent="0.25">
      <c r="A1034" s="53" t="s">
        <v>1823</v>
      </c>
      <c r="B1034" s="54" t="s">
        <v>1815</v>
      </c>
      <c r="C1034" s="55" t="s">
        <v>597</v>
      </c>
      <c r="D1034" s="77" t="s">
        <v>1177</v>
      </c>
      <c r="E1034" s="55" t="s">
        <v>673</v>
      </c>
      <c r="F1034" s="55" t="s">
        <v>1704</v>
      </c>
      <c r="G1034" s="77" t="s">
        <v>169</v>
      </c>
      <c r="H1034" s="77" t="s">
        <v>570</v>
      </c>
      <c r="I1034" s="55"/>
      <c r="J1034" s="56" t="s">
        <v>708</v>
      </c>
      <c r="K1034" s="118">
        <f>ROUND(Tableau16[[#This Row],[LEN]]*7.27,0)</f>
        <v>465</v>
      </c>
      <c r="L1034" s="118">
        <v>15</v>
      </c>
      <c r="M1034" s="135" t="str">
        <f t="shared" si="7"/>
        <v>none</v>
      </c>
      <c r="N1034" s="118">
        <f>LEN(Tableau16[[#This Row],[LABEL]])</f>
        <v>64</v>
      </c>
      <c r="O1034" s="118">
        <v>15</v>
      </c>
      <c r="P1034" s="118" t="e">
        <f>ROUND(Tableau16[[#This Row],[LEN]]*#REF!+#REF!,0)</f>
        <v>#REF!</v>
      </c>
    </row>
    <row r="1035" spans="1:16" s="97" customFormat="1" x14ac:dyDescent="0.25">
      <c r="A1035" s="49" t="s">
        <v>1816</v>
      </c>
      <c r="B1035" s="50" t="s">
        <v>317</v>
      </c>
      <c r="C1035" s="51" t="s">
        <v>1824</v>
      </c>
      <c r="D1035" s="76" t="s">
        <v>1177</v>
      </c>
      <c r="E1035" s="51" t="s">
        <v>677</v>
      </c>
      <c r="F1035" s="51" t="s">
        <v>1842</v>
      </c>
      <c r="G1035" s="76" t="s">
        <v>169</v>
      </c>
      <c r="H1035" s="76" t="s">
        <v>570</v>
      </c>
      <c r="I1035" s="51"/>
      <c r="J1035" s="52" t="s">
        <v>708</v>
      </c>
      <c r="K1035" s="117">
        <f>ROUND(Tableau16[[#This Row],[LEN]]*7.27,0)</f>
        <v>95</v>
      </c>
      <c r="L1035" s="117">
        <v>15</v>
      </c>
      <c r="M1035" s="134" t="str">
        <f t="shared" si="7"/>
        <v>none</v>
      </c>
      <c r="N1035" s="117">
        <f>LEN(Tableau16[[#This Row],[LABEL]])</f>
        <v>13</v>
      </c>
      <c r="O1035" s="117">
        <v>15</v>
      </c>
      <c r="P1035" s="117" t="e">
        <f>ROUND(Tableau16[[#This Row],[LEN]]*#REF!+#REF!,0)</f>
        <v>#REF!</v>
      </c>
    </row>
    <row r="1036" spans="1:16" s="97" customFormat="1" x14ac:dyDescent="0.25">
      <c r="A1036" s="49" t="s">
        <v>1817</v>
      </c>
      <c r="B1036" s="50" t="s">
        <v>317</v>
      </c>
      <c r="C1036" s="51" t="s">
        <v>598</v>
      </c>
      <c r="D1036" s="76" t="s">
        <v>1177</v>
      </c>
      <c r="E1036" s="51" t="s">
        <v>673</v>
      </c>
      <c r="F1036" s="51" t="s">
        <v>2035</v>
      </c>
      <c r="G1036" s="76" t="s">
        <v>169</v>
      </c>
      <c r="H1036" s="76" t="s">
        <v>654</v>
      </c>
      <c r="I1036" s="51"/>
      <c r="J1036" s="52" t="s">
        <v>708</v>
      </c>
      <c r="K1036" s="117">
        <f>ROUND(Tableau16[[#This Row],[LEN]]*7.27,0)</f>
        <v>553</v>
      </c>
      <c r="L1036" s="117">
        <v>15</v>
      </c>
      <c r="M1036" s="134" t="str">
        <f t="shared" si="7"/>
        <v>none</v>
      </c>
      <c r="N1036" s="117">
        <f>LEN(Tableau16[[#This Row],[LABEL]])</f>
        <v>76</v>
      </c>
      <c r="O1036" s="117">
        <v>15</v>
      </c>
      <c r="P1036" s="117" t="e">
        <f>ROUND(Tableau16[[#This Row],[LEN]]*#REF!+#REF!,0)</f>
        <v>#REF!</v>
      </c>
    </row>
    <row r="1037" spans="1:16" s="273" customFormat="1" x14ac:dyDescent="0.25">
      <c r="A1037" s="351" t="s">
        <v>318</v>
      </c>
      <c r="B1037" s="352" t="s">
        <v>209</v>
      </c>
      <c r="C1037" s="353" t="s">
        <v>14</v>
      </c>
      <c r="D1037" s="354" t="s">
        <v>1177</v>
      </c>
      <c r="E1037" s="353" t="s">
        <v>678</v>
      </c>
      <c r="F1037" s="353" t="s">
        <v>1177</v>
      </c>
      <c r="G1037" s="354" t="s">
        <v>169</v>
      </c>
      <c r="H1037" s="354" t="str">
        <f>IFERROR(IF(SEARCH(".00.00.00.00.00",Tableau16[[#This Row],[name]],1)=7,"Division",""),"")</f>
        <v>Division</v>
      </c>
      <c r="I1037" s="353"/>
      <c r="J1037" s="355" t="s">
        <v>724</v>
      </c>
      <c r="K1037" s="356">
        <f>ROUND(Tableau16[[#This Row],[LEN]]*7.27,0)</f>
        <v>240</v>
      </c>
      <c r="L1037" s="356">
        <v>15</v>
      </c>
      <c r="M1037" s="357" t="str">
        <f t="shared" si="7"/>
        <v>new</v>
      </c>
      <c r="N1037" s="356">
        <f>LEN(Tableau16[[#This Row],[LABEL]])</f>
        <v>33</v>
      </c>
      <c r="O1037" s="356">
        <v>15</v>
      </c>
      <c r="P1037" s="356" t="e">
        <f>ROUND(Tableau16[[#This Row],[LEN]]*#REF!+#REF!,0)</f>
        <v>#REF!</v>
      </c>
    </row>
    <row r="1038" spans="1:16" s="97" customFormat="1" x14ac:dyDescent="0.25">
      <c r="A1038" s="49" t="s">
        <v>1828</v>
      </c>
      <c r="B1038" s="50" t="s">
        <v>318</v>
      </c>
      <c r="C1038" s="51" t="s">
        <v>1848</v>
      </c>
      <c r="D1038" s="76" t="s">
        <v>1177</v>
      </c>
      <c r="E1038" s="51" t="s">
        <v>678</v>
      </c>
      <c r="F1038" s="51" t="s">
        <v>1177</v>
      </c>
      <c r="G1038" s="76" t="s">
        <v>169</v>
      </c>
      <c r="H1038" s="76" t="s">
        <v>654</v>
      </c>
      <c r="I1038" s="51"/>
      <c r="J1038" s="52" t="s">
        <v>708</v>
      </c>
      <c r="K1038" s="117">
        <f>ROUND(Tableau16[[#This Row],[LEN]]*7.27,0)</f>
        <v>364</v>
      </c>
      <c r="L1038" s="117">
        <v>15</v>
      </c>
      <c r="M1038" s="134" t="str">
        <f t="shared" si="7"/>
        <v>none</v>
      </c>
      <c r="N1038" s="117">
        <f>LEN(Tableau16[[#This Row],[LABEL]])</f>
        <v>50</v>
      </c>
      <c r="O1038" s="117">
        <v>15</v>
      </c>
      <c r="P1038" s="117" t="e">
        <f>ROUND(Tableau16[[#This Row],[LEN]]*#REF!+#REF!,0)</f>
        <v>#REF!</v>
      </c>
    </row>
    <row r="1039" spans="1:16" s="97" customFormat="1" x14ac:dyDescent="0.25">
      <c r="A1039" s="49" t="s">
        <v>1829</v>
      </c>
      <c r="B1039" s="50" t="s">
        <v>318</v>
      </c>
      <c r="C1039" s="51" t="s">
        <v>1849</v>
      </c>
      <c r="D1039" s="76" t="s">
        <v>1177</v>
      </c>
      <c r="E1039" s="51" t="s">
        <v>678</v>
      </c>
      <c r="F1039" s="51" t="s">
        <v>1177</v>
      </c>
      <c r="G1039" s="76" t="s">
        <v>169</v>
      </c>
      <c r="H1039" s="76" t="s">
        <v>654</v>
      </c>
      <c r="I1039" s="51"/>
      <c r="J1039" s="52" t="s">
        <v>708</v>
      </c>
      <c r="K1039" s="117">
        <f>ROUND(Tableau16[[#This Row],[LEN]]*7.27,0)</f>
        <v>269</v>
      </c>
      <c r="L1039" s="117">
        <v>15</v>
      </c>
      <c r="M1039" s="134" t="str">
        <f t="shared" si="7"/>
        <v>none</v>
      </c>
      <c r="N1039" s="117">
        <f>LEN(Tableau16[[#This Row],[LABEL]])</f>
        <v>37</v>
      </c>
      <c r="O1039" s="117">
        <v>15</v>
      </c>
      <c r="P1039" s="117" t="e">
        <f>ROUND(Tableau16[[#This Row],[LEN]]*#REF!+#REF!,0)</f>
        <v>#REF!</v>
      </c>
    </row>
    <row r="1040" spans="1:16" s="97" customFormat="1" x14ac:dyDescent="0.25">
      <c r="A1040" s="49" t="s">
        <v>1830</v>
      </c>
      <c r="B1040" s="50" t="s">
        <v>318</v>
      </c>
      <c r="C1040" s="51" t="s">
        <v>1850</v>
      </c>
      <c r="D1040" s="76" t="s">
        <v>1177</v>
      </c>
      <c r="E1040" s="51" t="s">
        <v>678</v>
      </c>
      <c r="F1040" s="51" t="s">
        <v>1177</v>
      </c>
      <c r="G1040" s="76" t="s">
        <v>169</v>
      </c>
      <c r="H1040" s="76" t="s">
        <v>654</v>
      </c>
      <c r="I1040" s="51"/>
      <c r="J1040" s="52" t="s">
        <v>708</v>
      </c>
      <c r="K1040" s="117">
        <f>ROUND(Tableau16[[#This Row],[LEN]]*7.27,0)</f>
        <v>305</v>
      </c>
      <c r="L1040" s="117">
        <v>15</v>
      </c>
      <c r="M1040" s="134" t="str">
        <f t="shared" si="7"/>
        <v>none</v>
      </c>
      <c r="N1040" s="117">
        <f>LEN(Tableau16[[#This Row],[LABEL]])</f>
        <v>42</v>
      </c>
      <c r="O1040" s="117">
        <v>15</v>
      </c>
      <c r="P1040" s="117" t="e">
        <f>ROUND(Tableau16[[#This Row],[LEN]]*#REF!+#REF!,0)</f>
        <v>#REF!</v>
      </c>
    </row>
    <row r="1041" spans="1:16" s="97" customFormat="1" x14ac:dyDescent="0.25">
      <c r="A1041" s="49" t="s">
        <v>1831</v>
      </c>
      <c r="B1041" s="50" t="s">
        <v>318</v>
      </c>
      <c r="C1041" s="51" t="s">
        <v>128</v>
      </c>
      <c r="D1041" s="76" t="s">
        <v>1177</v>
      </c>
      <c r="E1041" s="51" t="s">
        <v>669</v>
      </c>
      <c r="F1041" s="51" t="s">
        <v>2029</v>
      </c>
      <c r="G1041" s="76" t="s">
        <v>169</v>
      </c>
      <c r="H1041" s="76" t="s">
        <v>570</v>
      </c>
      <c r="I1041" s="51"/>
      <c r="J1041" s="52" t="s">
        <v>708</v>
      </c>
      <c r="K1041" s="117">
        <f>ROUND(Tableau16[[#This Row],[LEN]]*7.27,0)</f>
        <v>182</v>
      </c>
      <c r="L1041" s="117">
        <v>15</v>
      </c>
      <c r="M1041" s="134" t="str">
        <f t="shared" si="7"/>
        <v>none</v>
      </c>
      <c r="N1041" s="117">
        <f>LEN(Tableau16[[#This Row],[LABEL]])</f>
        <v>25</v>
      </c>
      <c r="O1041" s="117">
        <v>15</v>
      </c>
      <c r="P1041" s="117" t="e">
        <f>ROUND(Tableau16[[#This Row],[LEN]]*#REF!+#REF!,0)</f>
        <v>#REF!</v>
      </c>
    </row>
    <row r="1042" spans="1:16" s="97" customFormat="1" x14ac:dyDescent="0.25">
      <c r="A1042" s="49" t="s">
        <v>1832</v>
      </c>
      <c r="B1042" s="50" t="s">
        <v>318</v>
      </c>
      <c r="C1042" s="51" t="s">
        <v>129</v>
      </c>
      <c r="D1042" s="76" t="s">
        <v>1177</v>
      </c>
      <c r="E1042" s="51" t="s">
        <v>673</v>
      </c>
      <c r="F1042" s="51" t="s">
        <v>2035</v>
      </c>
      <c r="G1042" s="76" t="s">
        <v>169</v>
      </c>
      <c r="H1042" s="76" t="s">
        <v>655</v>
      </c>
      <c r="I1042" s="51"/>
      <c r="J1042" s="52" t="s">
        <v>708</v>
      </c>
      <c r="K1042" s="117">
        <f>ROUND(Tableau16[[#This Row],[LEN]]*7.27,0)</f>
        <v>87</v>
      </c>
      <c r="L1042" s="117">
        <v>15</v>
      </c>
      <c r="M1042" s="134" t="str">
        <f t="shared" si="7"/>
        <v>none</v>
      </c>
      <c r="N1042" s="117">
        <f>LEN(Tableau16[[#This Row],[LABEL]])</f>
        <v>12</v>
      </c>
      <c r="O1042" s="117">
        <v>15</v>
      </c>
      <c r="P1042" s="117" t="e">
        <f>ROUND(Tableau16[[#This Row],[LEN]]*#REF!+#REF!,0)</f>
        <v>#REF!</v>
      </c>
    </row>
    <row r="1043" spans="1:16" s="97" customFormat="1" x14ac:dyDescent="0.25">
      <c r="A1043" s="53" t="s">
        <v>1851</v>
      </c>
      <c r="B1043" s="54" t="s">
        <v>1832</v>
      </c>
      <c r="C1043" s="55" t="s">
        <v>131</v>
      </c>
      <c r="D1043" s="77" t="s">
        <v>1177</v>
      </c>
      <c r="E1043" s="55" t="s">
        <v>673</v>
      </c>
      <c r="F1043" s="55" t="s">
        <v>2035</v>
      </c>
      <c r="G1043" s="77" t="s">
        <v>169</v>
      </c>
      <c r="H1043" s="77" t="s">
        <v>570</v>
      </c>
      <c r="I1043" s="55"/>
      <c r="J1043" s="56" t="s">
        <v>708</v>
      </c>
      <c r="K1043" s="118">
        <f>ROUND(Tableau16[[#This Row],[LEN]]*7.27,0)</f>
        <v>262</v>
      </c>
      <c r="L1043" s="118">
        <v>15</v>
      </c>
      <c r="M1043" s="135" t="str">
        <f t="shared" si="7"/>
        <v>none</v>
      </c>
      <c r="N1043" s="118">
        <f>LEN(Tableau16[[#This Row],[LABEL]])</f>
        <v>36</v>
      </c>
      <c r="O1043" s="118">
        <v>15</v>
      </c>
      <c r="P1043" s="118" t="e">
        <f>ROUND(Tableau16[[#This Row],[LEN]]*#REF!+#REF!,0)</f>
        <v>#REF!</v>
      </c>
    </row>
    <row r="1044" spans="1:16" s="97" customFormat="1" x14ac:dyDescent="0.25">
      <c r="A1044" s="53" t="s">
        <v>1852</v>
      </c>
      <c r="B1044" s="54" t="s">
        <v>1832</v>
      </c>
      <c r="C1044" s="55" t="s">
        <v>132</v>
      </c>
      <c r="D1044" s="77" t="s">
        <v>1177</v>
      </c>
      <c r="E1044" s="55" t="s">
        <v>673</v>
      </c>
      <c r="F1044" s="55" t="s">
        <v>2035</v>
      </c>
      <c r="G1044" s="77" t="s">
        <v>169</v>
      </c>
      <c r="H1044" s="77" t="s">
        <v>570</v>
      </c>
      <c r="I1044" s="55"/>
      <c r="J1044" s="56" t="s">
        <v>708</v>
      </c>
      <c r="K1044" s="118">
        <f>ROUND(Tableau16[[#This Row],[LEN]]*7.27,0)</f>
        <v>298</v>
      </c>
      <c r="L1044" s="118">
        <v>15</v>
      </c>
      <c r="M1044" s="135" t="str">
        <f t="shared" si="7"/>
        <v>none</v>
      </c>
      <c r="N1044" s="118">
        <f>LEN(Tableau16[[#This Row],[LABEL]])</f>
        <v>41</v>
      </c>
      <c r="O1044" s="118">
        <v>15</v>
      </c>
      <c r="P1044" s="118" t="e">
        <f>ROUND(Tableau16[[#This Row],[LEN]]*#REF!+#REF!,0)</f>
        <v>#REF!</v>
      </c>
    </row>
    <row r="1045" spans="1:16" s="97" customFormat="1" x14ac:dyDescent="0.25">
      <c r="A1045" s="49" t="s">
        <v>1833</v>
      </c>
      <c r="B1045" s="50" t="s">
        <v>318</v>
      </c>
      <c r="C1045" s="51" t="s">
        <v>1825</v>
      </c>
      <c r="D1045" s="76" t="s">
        <v>1177</v>
      </c>
      <c r="E1045" s="51" t="s">
        <v>677</v>
      </c>
      <c r="F1045" s="51" t="s">
        <v>1847</v>
      </c>
      <c r="G1045" s="76" t="s">
        <v>169</v>
      </c>
      <c r="H1045" s="76" t="s">
        <v>656</v>
      </c>
      <c r="I1045" s="51"/>
      <c r="J1045" s="52" t="s">
        <v>708</v>
      </c>
      <c r="K1045" s="117">
        <f>ROUND(Tableau16[[#This Row],[LEN]]*7.27,0)</f>
        <v>320</v>
      </c>
      <c r="L1045" s="117">
        <v>15</v>
      </c>
      <c r="M1045" s="134" t="str">
        <f t="shared" si="7"/>
        <v>none</v>
      </c>
      <c r="N1045" s="117">
        <f>LEN(Tableau16[[#This Row],[LABEL]])</f>
        <v>44</v>
      </c>
      <c r="O1045" s="117">
        <v>15</v>
      </c>
      <c r="P1045" s="117" t="e">
        <f>ROUND(Tableau16[[#This Row],[LEN]]*#REF!+#REF!,0)</f>
        <v>#REF!</v>
      </c>
    </row>
    <row r="1046" spans="1:16" s="97" customFormat="1" x14ac:dyDescent="0.25">
      <c r="A1046" s="49" t="s">
        <v>1834</v>
      </c>
      <c r="B1046" s="50" t="s">
        <v>318</v>
      </c>
      <c r="C1046" s="51" t="s">
        <v>1853</v>
      </c>
      <c r="D1046" s="76" t="s">
        <v>1177</v>
      </c>
      <c r="E1046" s="51" t="s">
        <v>678</v>
      </c>
      <c r="F1046" s="51" t="s">
        <v>1177</v>
      </c>
      <c r="G1046" s="76" t="s">
        <v>169</v>
      </c>
      <c r="H1046" s="76" t="s">
        <v>656</v>
      </c>
      <c r="I1046" s="51"/>
      <c r="J1046" s="52" t="s">
        <v>708</v>
      </c>
      <c r="K1046" s="117">
        <f>ROUND(Tableau16[[#This Row],[LEN]]*7.27,0)</f>
        <v>400</v>
      </c>
      <c r="L1046" s="117">
        <v>15</v>
      </c>
      <c r="M1046" s="134" t="str">
        <f t="shared" si="7"/>
        <v>none</v>
      </c>
      <c r="N1046" s="117">
        <f>LEN(Tableau16[[#This Row],[LABEL]])</f>
        <v>55</v>
      </c>
      <c r="O1046" s="117">
        <v>15</v>
      </c>
      <c r="P1046" s="117" t="e">
        <f>ROUND(Tableau16[[#This Row],[LEN]]*#REF!+#REF!,0)</f>
        <v>#REF!</v>
      </c>
    </row>
    <row r="1047" spans="1:16" s="97" customFormat="1" x14ac:dyDescent="0.25">
      <c r="A1047" s="49" t="s">
        <v>1835</v>
      </c>
      <c r="B1047" s="50" t="s">
        <v>318</v>
      </c>
      <c r="C1047" s="51" t="s">
        <v>1854</v>
      </c>
      <c r="D1047" s="76" t="s">
        <v>1177</v>
      </c>
      <c r="E1047" s="51" t="s">
        <v>678</v>
      </c>
      <c r="F1047" s="51" t="s">
        <v>1177</v>
      </c>
      <c r="G1047" s="76" t="s">
        <v>169</v>
      </c>
      <c r="H1047" s="76" t="s">
        <v>654</v>
      </c>
      <c r="I1047" s="51"/>
      <c r="J1047" s="52" t="s">
        <v>708</v>
      </c>
      <c r="K1047" s="117">
        <f>ROUND(Tableau16[[#This Row],[LEN]]*7.27,0)</f>
        <v>225</v>
      </c>
      <c r="L1047" s="117">
        <v>15</v>
      </c>
      <c r="M1047" s="134" t="str">
        <f t="shared" si="7"/>
        <v>none</v>
      </c>
      <c r="N1047" s="117">
        <f>LEN(Tableau16[[#This Row],[LABEL]])</f>
        <v>31</v>
      </c>
      <c r="O1047" s="117">
        <v>15</v>
      </c>
      <c r="P1047" s="117" t="e">
        <f>ROUND(Tableau16[[#This Row],[LEN]]*#REF!+#REF!,0)</f>
        <v>#REF!</v>
      </c>
    </row>
    <row r="1048" spans="1:16" s="97" customFormat="1" x14ac:dyDescent="0.25">
      <c r="A1048" s="49" t="s">
        <v>1836</v>
      </c>
      <c r="B1048" s="50" t="s">
        <v>318</v>
      </c>
      <c r="C1048" s="51" t="s">
        <v>1855</v>
      </c>
      <c r="D1048" s="76" t="s">
        <v>1177</v>
      </c>
      <c r="E1048" s="51" t="s">
        <v>678</v>
      </c>
      <c r="F1048" s="51" t="s">
        <v>1177</v>
      </c>
      <c r="G1048" s="76" t="s">
        <v>169</v>
      </c>
      <c r="H1048" s="76" t="s">
        <v>654</v>
      </c>
      <c r="I1048" s="51"/>
      <c r="J1048" s="52" t="s">
        <v>708</v>
      </c>
      <c r="K1048" s="117">
        <f>ROUND(Tableau16[[#This Row],[LEN]]*7.27,0)</f>
        <v>320</v>
      </c>
      <c r="L1048" s="117">
        <v>15</v>
      </c>
      <c r="M1048" s="134" t="str">
        <f t="shared" si="7"/>
        <v>none</v>
      </c>
      <c r="N1048" s="117">
        <f>LEN(Tableau16[[#This Row],[LABEL]])</f>
        <v>44</v>
      </c>
      <c r="O1048" s="117">
        <v>15</v>
      </c>
      <c r="P1048" s="117" t="e">
        <f>ROUND(Tableau16[[#This Row],[LEN]]*#REF!+#REF!,0)</f>
        <v>#REF!</v>
      </c>
    </row>
    <row r="1049" spans="1:16" s="97" customFormat="1" x14ac:dyDescent="0.25">
      <c r="A1049" s="49" t="s">
        <v>1837</v>
      </c>
      <c r="B1049" s="50" t="s">
        <v>318</v>
      </c>
      <c r="C1049" s="51" t="s">
        <v>901</v>
      </c>
      <c r="D1049" s="76" t="s">
        <v>1177</v>
      </c>
      <c r="E1049" s="51" t="s">
        <v>678</v>
      </c>
      <c r="F1049" s="51" t="s">
        <v>1177</v>
      </c>
      <c r="G1049" s="76" t="s">
        <v>169</v>
      </c>
      <c r="H1049" s="76" t="s">
        <v>654</v>
      </c>
      <c r="I1049" s="51"/>
      <c r="J1049" s="52" t="s">
        <v>708</v>
      </c>
      <c r="K1049" s="117">
        <f>ROUND(Tableau16[[#This Row],[LEN]]*7.27,0)</f>
        <v>116</v>
      </c>
      <c r="L1049" s="117">
        <v>15</v>
      </c>
      <c r="M1049" s="134" t="str">
        <f t="shared" si="7"/>
        <v>none</v>
      </c>
      <c r="N1049" s="117">
        <f>LEN(Tableau16[[#This Row],[LABEL]])</f>
        <v>16</v>
      </c>
      <c r="O1049" s="117">
        <v>15</v>
      </c>
      <c r="P1049" s="117" t="e">
        <f>ROUND(Tableau16[[#This Row],[LEN]]*#REF!+#REF!,0)</f>
        <v>#REF!</v>
      </c>
    </row>
    <row r="1050" spans="1:16" s="97" customFormat="1" x14ac:dyDescent="0.25">
      <c r="A1050" s="49" t="s">
        <v>1838</v>
      </c>
      <c r="B1050" s="50" t="s">
        <v>318</v>
      </c>
      <c r="C1050" s="51" t="s">
        <v>1856</v>
      </c>
      <c r="D1050" s="76" t="s">
        <v>1177</v>
      </c>
      <c r="E1050" s="51" t="s">
        <v>678</v>
      </c>
      <c r="F1050" s="51" t="s">
        <v>1177</v>
      </c>
      <c r="G1050" s="76" t="s">
        <v>169</v>
      </c>
      <c r="H1050" s="76" t="s">
        <v>654</v>
      </c>
      <c r="I1050" s="51"/>
      <c r="J1050" s="52" t="s">
        <v>708</v>
      </c>
      <c r="K1050" s="117">
        <f>ROUND(Tableau16[[#This Row],[LEN]]*7.27,0)</f>
        <v>131</v>
      </c>
      <c r="L1050" s="117">
        <v>15</v>
      </c>
      <c r="M1050" s="134" t="str">
        <f t="shared" si="7"/>
        <v>none</v>
      </c>
      <c r="N1050" s="117">
        <f>LEN(Tableau16[[#This Row],[LABEL]])</f>
        <v>18</v>
      </c>
      <c r="O1050" s="117">
        <v>15</v>
      </c>
      <c r="P1050" s="117" t="e">
        <f>ROUND(Tableau16[[#This Row],[LEN]]*#REF!+#REF!,0)</f>
        <v>#REF!</v>
      </c>
    </row>
    <row r="1051" spans="1:16" s="97" customFormat="1" x14ac:dyDescent="0.25">
      <c r="A1051" s="49" t="s">
        <v>1839</v>
      </c>
      <c r="B1051" s="50" t="s">
        <v>318</v>
      </c>
      <c r="C1051" s="51" t="s">
        <v>549</v>
      </c>
      <c r="D1051" s="76" t="s">
        <v>1177</v>
      </c>
      <c r="E1051" s="51" t="s">
        <v>673</v>
      </c>
      <c r="F1051" s="51" t="s">
        <v>1704</v>
      </c>
      <c r="G1051" s="76" t="s">
        <v>169</v>
      </c>
      <c r="H1051" s="76" t="s">
        <v>655</v>
      </c>
      <c r="I1051" s="51"/>
      <c r="J1051" s="52" t="s">
        <v>708</v>
      </c>
      <c r="K1051" s="117">
        <f>ROUND(Tableau16[[#This Row],[LEN]]*7.27,0)</f>
        <v>145</v>
      </c>
      <c r="L1051" s="117">
        <v>15</v>
      </c>
      <c r="M1051" s="134" t="str">
        <f t="shared" si="7"/>
        <v>none</v>
      </c>
      <c r="N1051" s="117">
        <f>LEN(Tableau16[[#This Row],[LABEL]])</f>
        <v>20</v>
      </c>
      <c r="O1051" s="117">
        <v>15</v>
      </c>
      <c r="P1051" s="117" t="e">
        <f>ROUND(Tableau16[[#This Row],[LEN]]*#REF!+#REF!,0)</f>
        <v>#REF!</v>
      </c>
    </row>
    <row r="1052" spans="1:16" s="97" customFormat="1" x14ac:dyDescent="0.25">
      <c r="A1052" s="53" t="s">
        <v>1843</v>
      </c>
      <c r="B1052" s="54" t="s">
        <v>1839</v>
      </c>
      <c r="C1052" s="55" t="s">
        <v>590</v>
      </c>
      <c r="D1052" s="77" t="s">
        <v>1177</v>
      </c>
      <c r="E1052" s="55" t="s">
        <v>673</v>
      </c>
      <c r="F1052" s="55" t="s">
        <v>1704</v>
      </c>
      <c r="G1052" s="77" t="s">
        <v>169</v>
      </c>
      <c r="H1052" s="77" t="s">
        <v>570</v>
      </c>
      <c r="I1052" s="55"/>
      <c r="J1052" s="56" t="s">
        <v>708</v>
      </c>
      <c r="K1052" s="118">
        <f>ROUND(Tableau16[[#This Row],[LEN]]*7.27,0)</f>
        <v>102</v>
      </c>
      <c r="L1052" s="118">
        <v>15</v>
      </c>
      <c r="M1052" s="135" t="str">
        <f t="shared" si="7"/>
        <v>none</v>
      </c>
      <c r="N1052" s="118">
        <f>LEN(Tableau16[[#This Row],[LABEL]])</f>
        <v>14</v>
      </c>
      <c r="O1052" s="118">
        <v>15</v>
      </c>
      <c r="P1052" s="118" t="e">
        <f>ROUND(Tableau16[[#This Row],[LEN]]*#REF!+#REF!,0)</f>
        <v>#REF!</v>
      </c>
    </row>
    <row r="1053" spans="1:16" s="97" customFormat="1" x14ac:dyDescent="0.25">
      <c r="A1053" s="53" t="s">
        <v>1844</v>
      </c>
      <c r="B1053" s="54" t="s">
        <v>1839</v>
      </c>
      <c r="C1053" s="55" t="s">
        <v>591</v>
      </c>
      <c r="D1053" s="77" t="s">
        <v>1177</v>
      </c>
      <c r="E1053" s="55" t="s">
        <v>673</v>
      </c>
      <c r="F1053" s="55" t="s">
        <v>1704</v>
      </c>
      <c r="G1053" s="77" t="s">
        <v>169</v>
      </c>
      <c r="H1053" s="77" t="s">
        <v>570</v>
      </c>
      <c r="I1053" s="55"/>
      <c r="J1053" s="56" t="s">
        <v>708</v>
      </c>
      <c r="K1053" s="118">
        <f>ROUND(Tableau16[[#This Row],[LEN]]*7.27,0)</f>
        <v>262</v>
      </c>
      <c r="L1053" s="118">
        <v>15</v>
      </c>
      <c r="M1053" s="135" t="str">
        <f t="shared" si="7"/>
        <v>none</v>
      </c>
      <c r="N1053" s="118">
        <f>LEN(Tableau16[[#This Row],[LABEL]])</f>
        <v>36</v>
      </c>
      <c r="O1053" s="118">
        <v>15</v>
      </c>
      <c r="P1053" s="118" t="e">
        <f>ROUND(Tableau16[[#This Row],[LEN]]*#REF!+#REF!,0)</f>
        <v>#REF!</v>
      </c>
    </row>
    <row r="1054" spans="1:16" s="97" customFormat="1" x14ac:dyDescent="0.25">
      <c r="A1054" s="53" t="s">
        <v>1845</v>
      </c>
      <c r="B1054" s="54" t="s">
        <v>1839</v>
      </c>
      <c r="C1054" s="55" t="s">
        <v>592</v>
      </c>
      <c r="D1054" s="77" t="s">
        <v>1177</v>
      </c>
      <c r="E1054" s="55" t="s">
        <v>673</v>
      </c>
      <c r="F1054" s="55" t="s">
        <v>1704</v>
      </c>
      <c r="G1054" s="77" t="s">
        <v>169</v>
      </c>
      <c r="H1054" s="77" t="s">
        <v>570</v>
      </c>
      <c r="I1054" s="55"/>
      <c r="J1054" s="56" t="s">
        <v>708</v>
      </c>
      <c r="K1054" s="118">
        <f>ROUND(Tableau16[[#This Row],[LEN]]*7.27,0)</f>
        <v>189</v>
      </c>
      <c r="L1054" s="118">
        <v>15</v>
      </c>
      <c r="M1054" s="135" t="str">
        <f t="shared" si="7"/>
        <v>none</v>
      </c>
      <c r="N1054" s="118">
        <f>LEN(Tableau16[[#This Row],[LABEL]])</f>
        <v>26</v>
      </c>
      <c r="O1054" s="118">
        <v>15</v>
      </c>
      <c r="P1054" s="118" t="e">
        <f>ROUND(Tableau16[[#This Row],[LEN]]*#REF!+#REF!,0)</f>
        <v>#REF!</v>
      </c>
    </row>
    <row r="1055" spans="1:16" s="97" customFormat="1" x14ac:dyDescent="0.25">
      <c r="A1055" s="53" t="s">
        <v>1846</v>
      </c>
      <c r="B1055" s="54" t="s">
        <v>1839</v>
      </c>
      <c r="C1055" s="55" t="s">
        <v>597</v>
      </c>
      <c r="D1055" s="77" t="s">
        <v>1177</v>
      </c>
      <c r="E1055" s="55" t="s">
        <v>673</v>
      </c>
      <c r="F1055" s="55" t="s">
        <v>1704</v>
      </c>
      <c r="G1055" s="77" t="s">
        <v>169</v>
      </c>
      <c r="H1055" s="77" t="s">
        <v>570</v>
      </c>
      <c r="I1055" s="55"/>
      <c r="J1055" s="56" t="s">
        <v>708</v>
      </c>
      <c r="K1055" s="118">
        <f>ROUND(Tableau16[[#This Row],[LEN]]*7.27,0)</f>
        <v>465</v>
      </c>
      <c r="L1055" s="118">
        <v>15</v>
      </c>
      <c r="M1055" s="135" t="str">
        <f t="shared" si="7"/>
        <v>none</v>
      </c>
      <c r="N1055" s="118">
        <f>LEN(Tableau16[[#This Row],[LABEL]])</f>
        <v>64</v>
      </c>
      <c r="O1055" s="118">
        <v>15</v>
      </c>
      <c r="P1055" s="118" t="e">
        <f>ROUND(Tableau16[[#This Row],[LEN]]*#REF!+#REF!,0)</f>
        <v>#REF!</v>
      </c>
    </row>
    <row r="1056" spans="1:16" s="97" customFormat="1" x14ac:dyDescent="0.25">
      <c r="A1056" s="49" t="s">
        <v>1840</v>
      </c>
      <c r="B1056" s="50" t="s">
        <v>318</v>
      </c>
      <c r="C1056" s="51" t="s">
        <v>1824</v>
      </c>
      <c r="D1056" s="76" t="s">
        <v>1177</v>
      </c>
      <c r="E1056" s="51" t="s">
        <v>677</v>
      </c>
      <c r="F1056" s="51" t="s">
        <v>1842</v>
      </c>
      <c r="G1056" s="76" t="s">
        <v>169</v>
      </c>
      <c r="H1056" s="76" t="s">
        <v>570</v>
      </c>
      <c r="I1056" s="51"/>
      <c r="J1056" s="52" t="s">
        <v>708</v>
      </c>
      <c r="K1056" s="117">
        <f>ROUND(Tableau16[[#This Row],[LEN]]*7.27,0)</f>
        <v>95</v>
      </c>
      <c r="L1056" s="117">
        <v>15</v>
      </c>
      <c r="M1056" s="134" t="str">
        <f t="shared" si="7"/>
        <v>none</v>
      </c>
      <c r="N1056" s="117">
        <f>LEN(Tableau16[[#This Row],[LABEL]])</f>
        <v>13</v>
      </c>
      <c r="O1056" s="117">
        <v>15</v>
      </c>
      <c r="P1056" s="117" t="e">
        <f>ROUND(Tableau16[[#This Row],[LEN]]*#REF!+#REF!,0)</f>
        <v>#REF!</v>
      </c>
    </row>
    <row r="1057" spans="1:16" s="97" customFormat="1" x14ac:dyDescent="0.25">
      <c r="A1057" s="49" t="s">
        <v>1841</v>
      </c>
      <c r="B1057" s="50" t="s">
        <v>318</v>
      </c>
      <c r="C1057" s="51" t="s">
        <v>598</v>
      </c>
      <c r="D1057" s="76" t="s">
        <v>1177</v>
      </c>
      <c r="E1057" s="51" t="s">
        <v>673</v>
      </c>
      <c r="F1057" s="51" t="s">
        <v>2035</v>
      </c>
      <c r="G1057" s="76" t="s">
        <v>169</v>
      </c>
      <c r="H1057" s="76" t="s">
        <v>654</v>
      </c>
      <c r="I1057" s="51"/>
      <c r="J1057" s="52" t="s">
        <v>708</v>
      </c>
      <c r="K1057" s="117">
        <f>ROUND(Tableau16[[#This Row],[LEN]]*7.27,0)</f>
        <v>553</v>
      </c>
      <c r="L1057" s="117">
        <v>15</v>
      </c>
      <c r="M1057" s="134" t="str">
        <f t="shared" si="7"/>
        <v>none</v>
      </c>
      <c r="N1057" s="117">
        <f>LEN(Tableau16[[#This Row],[LABEL]])</f>
        <v>76</v>
      </c>
      <c r="O1057" s="117">
        <v>15</v>
      </c>
      <c r="P1057" s="117" t="e">
        <f>ROUND(Tableau16[[#This Row],[LEN]]*#REF!+#REF!,0)</f>
        <v>#REF!</v>
      </c>
    </row>
    <row r="1058" spans="1:16" s="273" customFormat="1" x14ac:dyDescent="0.25">
      <c r="A1058" s="358" t="s">
        <v>319</v>
      </c>
      <c r="B1058" s="359" t="s">
        <v>209</v>
      </c>
      <c r="C1058" s="360" t="s">
        <v>15</v>
      </c>
      <c r="D1058" s="361" t="s">
        <v>1177</v>
      </c>
      <c r="E1058" s="360" t="s">
        <v>679</v>
      </c>
      <c r="F1058" s="360" t="s">
        <v>1177</v>
      </c>
      <c r="G1058" s="361" t="s">
        <v>169</v>
      </c>
      <c r="H1058" s="361" t="str">
        <f>IFERROR(IF(SEARCH(".00.00.00.00.00",Tableau16[[#This Row],[name]],1)=7,"Division",""),"")</f>
        <v>Division</v>
      </c>
      <c r="I1058" s="360"/>
      <c r="J1058" s="362" t="s">
        <v>708</v>
      </c>
      <c r="K1058" s="363">
        <f>ROUND(Tableau16[[#This Row],[LEN]]*7.27,0)</f>
        <v>174</v>
      </c>
      <c r="L1058" s="363">
        <v>15</v>
      </c>
      <c r="M1058" s="364" t="str">
        <f t="shared" si="7"/>
        <v>none</v>
      </c>
      <c r="N1058" s="363">
        <f>LEN(Tableau16[[#This Row],[LABEL]])</f>
        <v>24</v>
      </c>
      <c r="O1058" s="363">
        <v>15</v>
      </c>
      <c r="P1058" s="363" t="e">
        <f>ROUND(Tableau16[[#This Row],[LEN]]*#REF!+#REF!,0)</f>
        <v>#REF!</v>
      </c>
    </row>
    <row r="1059" spans="1:16" s="97" customFormat="1" x14ac:dyDescent="0.25">
      <c r="A1059" s="49" t="s">
        <v>1857</v>
      </c>
      <c r="B1059" s="50" t="s">
        <v>319</v>
      </c>
      <c r="C1059" s="51" t="s">
        <v>1862</v>
      </c>
      <c r="D1059" s="76" t="s">
        <v>1863</v>
      </c>
      <c r="E1059" s="51" t="s">
        <v>679</v>
      </c>
      <c r="F1059" s="51" t="s">
        <v>1177</v>
      </c>
      <c r="G1059" s="76" t="s">
        <v>169</v>
      </c>
      <c r="H1059" s="76" t="s">
        <v>654</v>
      </c>
      <c r="I1059" s="51"/>
      <c r="J1059" s="52" t="s">
        <v>708</v>
      </c>
      <c r="K1059" s="117">
        <f>ROUND(Tableau16[[#This Row],[LEN]]*7.27,0)</f>
        <v>124</v>
      </c>
      <c r="L1059" s="117">
        <v>15</v>
      </c>
      <c r="M1059" s="134" t="str">
        <f t="shared" si="7"/>
        <v>none</v>
      </c>
      <c r="N1059" s="117">
        <f>LEN(Tableau16[[#This Row],[LABEL]])</f>
        <v>17</v>
      </c>
      <c r="O1059" s="117">
        <v>15</v>
      </c>
      <c r="P1059" s="117" t="e">
        <f>ROUND(Tableau16[[#This Row],[LEN]]*#REF!+#REF!,0)</f>
        <v>#REF!</v>
      </c>
    </row>
    <row r="1060" spans="1:16" s="97" customFormat="1" x14ac:dyDescent="0.25">
      <c r="A1060" s="49" t="s">
        <v>1858</v>
      </c>
      <c r="B1060" s="50" t="s">
        <v>319</v>
      </c>
      <c r="C1060" s="51" t="s">
        <v>1772</v>
      </c>
      <c r="D1060" s="76" t="s">
        <v>1177</v>
      </c>
      <c r="E1060" s="51" t="s">
        <v>675</v>
      </c>
      <c r="F1060" s="51" t="s">
        <v>679</v>
      </c>
      <c r="G1060" s="76" t="s">
        <v>169</v>
      </c>
      <c r="H1060" s="76" t="s">
        <v>655</v>
      </c>
      <c r="I1060" s="51"/>
      <c r="J1060" s="52" t="s">
        <v>708</v>
      </c>
      <c r="K1060" s="117">
        <f>ROUND(Tableau16[[#This Row],[LEN]]*7.27,0)</f>
        <v>182</v>
      </c>
      <c r="L1060" s="117">
        <v>15</v>
      </c>
      <c r="M1060" s="134" t="str">
        <f t="shared" si="7"/>
        <v>none</v>
      </c>
      <c r="N1060" s="117">
        <f>LEN(Tableau16[[#This Row],[LABEL]])</f>
        <v>25</v>
      </c>
      <c r="O1060" s="117">
        <v>15</v>
      </c>
      <c r="P1060" s="117" t="e">
        <f>ROUND(Tableau16[[#This Row],[LEN]]*#REF!+#REF!,0)</f>
        <v>#REF!</v>
      </c>
    </row>
    <row r="1061" spans="1:16" s="97" customFormat="1" x14ac:dyDescent="0.25">
      <c r="A1061" s="53" t="s">
        <v>1864</v>
      </c>
      <c r="B1061" s="54" t="s">
        <v>1858</v>
      </c>
      <c r="C1061" s="55" t="s">
        <v>1467</v>
      </c>
      <c r="D1061" s="77" t="s">
        <v>1177</v>
      </c>
      <c r="E1061" s="55" t="s">
        <v>675</v>
      </c>
      <c r="F1061" s="55" t="s">
        <v>679</v>
      </c>
      <c r="G1061" s="77" t="s">
        <v>169</v>
      </c>
      <c r="H1061" s="77" t="s">
        <v>654</v>
      </c>
      <c r="I1061" s="55"/>
      <c r="J1061" s="56" t="s">
        <v>708</v>
      </c>
      <c r="K1061" s="118">
        <f>ROUND(Tableau16[[#This Row],[LEN]]*7.27,0)</f>
        <v>102</v>
      </c>
      <c r="L1061" s="118">
        <v>15</v>
      </c>
      <c r="M1061" s="135" t="str">
        <f t="shared" si="7"/>
        <v>none</v>
      </c>
      <c r="N1061" s="118">
        <f>LEN(Tableau16[[#This Row],[LABEL]])</f>
        <v>14</v>
      </c>
      <c r="O1061" s="118">
        <v>15</v>
      </c>
      <c r="P1061" s="118" t="e">
        <f>ROUND(Tableau16[[#This Row],[LEN]]*#REF!+#REF!,0)</f>
        <v>#REF!</v>
      </c>
    </row>
    <row r="1062" spans="1:16" s="97" customFormat="1" x14ac:dyDescent="0.25">
      <c r="A1062" s="53" t="s">
        <v>1865</v>
      </c>
      <c r="B1062" s="54" t="s">
        <v>1858</v>
      </c>
      <c r="C1062" s="55" t="s">
        <v>1769</v>
      </c>
      <c r="D1062" s="77" t="s">
        <v>1177</v>
      </c>
      <c r="E1062" s="55" t="s">
        <v>675</v>
      </c>
      <c r="F1062" s="55" t="s">
        <v>679</v>
      </c>
      <c r="G1062" s="77" t="s">
        <v>169</v>
      </c>
      <c r="H1062" s="77" t="s">
        <v>654</v>
      </c>
      <c r="I1062" s="55"/>
      <c r="J1062" s="56" t="s">
        <v>708</v>
      </c>
      <c r="K1062" s="118">
        <f>ROUND(Tableau16[[#This Row],[LEN]]*7.27,0)</f>
        <v>211</v>
      </c>
      <c r="L1062" s="118">
        <v>15</v>
      </c>
      <c r="M1062" s="135" t="str">
        <f t="shared" si="7"/>
        <v>none</v>
      </c>
      <c r="N1062" s="118">
        <f>LEN(Tableau16[[#This Row],[LABEL]])</f>
        <v>29</v>
      </c>
      <c r="O1062" s="118">
        <v>15</v>
      </c>
      <c r="P1062" s="118" t="e">
        <f>ROUND(Tableau16[[#This Row],[LEN]]*#REF!+#REF!,0)</f>
        <v>#REF!</v>
      </c>
    </row>
    <row r="1063" spans="1:16" s="97" customFormat="1" x14ac:dyDescent="0.25">
      <c r="A1063" s="53" t="s">
        <v>1866</v>
      </c>
      <c r="B1063" s="54" t="s">
        <v>1858</v>
      </c>
      <c r="C1063" s="55" t="s">
        <v>1468</v>
      </c>
      <c r="D1063" s="77" t="s">
        <v>1177</v>
      </c>
      <c r="E1063" s="55" t="s">
        <v>675</v>
      </c>
      <c r="F1063" s="55" t="s">
        <v>679</v>
      </c>
      <c r="G1063" s="77" t="s">
        <v>169</v>
      </c>
      <c r="H1063" s="77" t="s">
        <v>654</v>
      </c>
      <c r="I1063" s="55"/>
      <c r="J1063" s="56" t="s">
        <v>708</v>
      </c>
      <c r="K1063" s="118">
        <f>ROUND(Tableau16[[#This Row],[LEN]]*7.27,0)</f>
        <v>167</v>
      </c>
      <c r="L1063" s="118">
        <v>15</v>
      </c>
      <c r="M1063" s="135" t="str">
        <f t="shared" si="7"/>
        <v>none</v>
      </c>
      <c r="N1063" s="118">
        <f>LEN(Tableau16[[#This Row],[LABEL]])</f>
        <v>23</v>
      </c>
      <c r="O1063" s="118">
        <v>15</v>
      </c>
      <c r="P1063" s="118" t="e">
        <f>ROUND(Tableau16[[#This Row],[LEN]]*#REF!+#REF!,0)</f>
        <v>#REF!</v>
      </c>
    </row>
    <row r="1064" spans="1:16" s="97" customFormat="1" x14ac:dyDescent="0.25">
      <c r="A1064" s="49" t="s">
        <v>1859</v>
      </c>
      <c r="B1064" s="50" t="s">
        <v>319</v>
      </c>
      <c r="C1064" s="51" t="s">
        <v>1824</v>
      </c>
      <c r="D1064" s="76" t="s">
        <v>1177</v>
      </c>
      <c r="E1064" s="51" t="s">
        <v>677</v>
      </c>
      <c r="F1064" s="51" t="s">
        <v>1842</v>
      </c>
      <c r="G1064" s="76" t="s">
        <v>169</v>
      </c>
      <c r="H1064" s="76" t="s">
        <v>570</v>
      </c>
      <c r="I1064" s="51"/>
      <c r="J1064" s="52" t="s">
        <v>708</v>
      </c>
      <c r="K1064" s="117">
        <f>ROUND(Tableau16[[#This Row],[LEN]]*7.27,0)</f>
        <v>95</v>
      </c>
      <c r="L1064" s="117">
        <v>15</v>
      </c>
      <c r="M1064" s="134" t="str">
        <f t="shared" si="7"/>
        <v>none</v>
      </c>
      <c r="N1064" s="117">
        <f>LEN(Tableau16[[#This Row],[LABEL]])</f>
        <v>13</v>
      </c>
      <c r="O1064" s="117">
        <v>15</v>
      </c>
      <c r="P1064" s="117" t="e">
        <f>ROUND(Tableau16[[#This Row],[LEN]]*#REF!+#REF!,0)</f>
        <v>#REF!</v>
      </c>
    </row>
    <row r="1065" spans="1:16" s="97" customFormat="1" x14ac:dyDescent="0.25">
      <c r="A1065" s="49" t="s">
        <v>1860</v>
      </c>
      <c r="B1065" s="50" t="s">
        <v>319</v>
      </c>
      <c r="C1065" s="51" t="s">
        <v>1867</v>
      </c>
      <c r="D1065" s="76" t="s">
        <v>1177</v>
      </c>
      <c r="E1065" s="51" t="s">
        <v>679</v>
      </c>
      <c r="F1065" s="51" t="s">
        <v>1177</v>
      </c>
      <c r="G1065" s="76" t="s">
        <v>169</v>
      </c>
      <c r="H1065" s="76" t="s">
        <v>570</v>
      </c>
      <c r="I1065" s="51"/>
      <c r="J1065" s="52" t="s">
        <v>708</v>
      </c>
      <c r="K1065" s="117">
        <f>ROUND(Tableau16[[#This Row],[LEN]]*7.27,0)</f>
        <v>313</v>
      </c>
      <c r="L1065" s="117">
        <v>15</v>
      </c>
      <c r="M1065" s="134" t="str">
        <f t="shared" si="7"/>
        <v>none</v>
      </c>
      <c r="N1065" s="117">
        <f>LEN(Tableau16[[#This Row],[LABEL]])</f>
        <v>43</v>
      </c>
      <c r="O1065" s="117">
        <v>15</v>
      </c>
      <c r="P1065" s="117" t="e">
        <f>ROUND(Tableau16[[#This Row],[LEN]]*#REF!+#REF!,0)</f>
        <v>#REF!</v>
      </c>
    </row>
    <row r="1066" spans="1:16" s="97" customFormat="1" x14ac:dyDescent="0.25">
      <c r="A1066" s="49" t="s">
        <v>1861</v>
      </c>
      <c r="B1066" s="50" t="s">
        <v>319</v>
      </c>
      <c r="C1066" s="51" t="s">
        <v>1868</v>
      </c>
      <c r="D1066" s="76" t="s">
        <v>1177</v>
      </c>
      <c r="E1066" s="51" t="s">
        <v>679</v>
      </c>
      <c r="F1066" s="51" t="s">
        <v>1177</v>
      </c>
      <c r="G1066" s="76" t="s">
        <v>169</v>
      </c>
      <c r="H1066" s="76" t="s">
        <v>654</v>
      </c>
      <c r="I1066" s="51"/>
      <c r="J1066" s="52" t="s">
        <v>708</v>
      </c>
      <c r="K1066" s="117">
        <f>ROUND(Tableau16[[#This Row],[LEN]]*7.27,0)</f>
        <v>189</v>
      </c>
      <c r="L1066" s="117">
        <v>15</v>
      </c>
      <c r="M1066" s="134" t="str">
        <f t="shared" si="7"/>
        <v>none</v>
      </c>
      <c r="N1066" s="117">
        <f>LEN(Tableau16[[#This Row],[LABEL]])</f>
        <v>26</v>
      </c>
      <c r="O1066" s="117">
        <v>15</v>
      </c>
      <c r="P1066" s="117" t="e">
        <f>ROUND(Tableau16[[#This Row],[LEN]]*#REF!+#REF!,0)</f>
        <v>#REF!</v>
      </c>
    </row>
    <row r="1067" spans="1:16" s="273" customFormat="1" x14ac:dyDescent="0.25">
      <c r="A1067" s="358" t="s">
        <v>2020</v>
      </c>
      <c r="B1067" s="359" t="s">
        <v>209</v>
      </c>
      <c r="C1067" s="360" t="s">
        <v>1950</v>
      </c>
      <c r="D1067" s="361" t="s">
        <v>1177</v>
      </c>
      <c r="E1067" s="360" t="s">
        <v>1951</v>
      </c>
      <c r="F1067" s="360" t="s">
        <v>1177</v>
      </c>
      <c r="G1067" s="361" t="s">
        <v>169</v>
      </c>
      <c r="H1067" s="361" t="s">
        <v>56</v>
      </c>
      <c r="I1067" s="360"/>
      <c r="J1067" s="362" t="s">
        <v>708</v>
      </c>
      <c r="K1067" s="363">
        <f>ROUND(Tableau16[[#This Row],[LEN]]*7.27,0)</f>
        <v>51</v>
      </c>
      <c r="L1067" s="363">
        <v>15</v>
      </c>
      <c r="M1067" s="364" t="str">
        <f t="shared" si="7"/>
        <v>none</v>
      </c>
      <c r="N1067" s="363">
        <f>LEN(Tableau16[[#This Row],[LABEL]])</f>
        <v>7</v>
      </c>
      <c r="O1067" s="363">
        <v>15</v>
      </c>
      <c r="P1067" s="363" t="e">
        <f>ROUND(Tableau16[[#This Row],[LEN]]*#REF!+#REF!,0)</f>
        <v>#REF!</v>
      </c>
    </row>
    <row r="1068" spans="1:16" s="97" customFormat="1" x14ac:dyDescent="0.25">
      <c r="A1068" s="49" t="s">
        <v>2021</v>
      </c>
      <c r="B1068" s="50" t="s">
        <v>2020</v>
      </c>
      <c r="C1068" s="51" t="s">
        <v>2088</v>
      </c>
      <c r="D1068" s="76" t="s">
        <v>2032</v>
      </c>
      <c r="E1068" s="51" t="s">
        <v>1951</v>
      </c>
      <c r="F1068" s="51" t="s">
        <v>1177</v>
      </c>
      <c r="G1068" s="76" t="s">
        <v>169</v>
      </c>
      <c r="H1068" s="76" t="s">
        <v>654</v>
      </c>
      <c r="I1068" s="51"/>
      <c r="J1068" s="52" t="s">
        <v>708</v>
      </c>
      <c r="K1068" s="117">
        <f>ROUND(Tableau16[[#This Row],[LEN]]*7.27,0)</f>
        <v>414</v>
      </c>
      <c r="L1068" s="117">
        <v>15</v>
      </c>
      <c r="M1068" s="134" t="str">
        <f t="shared" si="7"/>
        <v>none</v>
      </c>
      <c r="N1068" s="117">
        <f>LEN(Tableau16[[#This Row],[LABEL]])</f>
        <v>57</v>
      </c>
      <c r="O1068" s="117">
        <v>15</v>
      </c>
      <c r="P1068" s="117" t="e">
        <f>ROUND(Tableau16[[#This Row],[LEN]]*#REF!+#REF!,0)</f>
        <v>#REF!</v>
      </c>
    </row>
    <row r="1069" spans="1:16" s="97" customFormat="1" x14ac:dyDescent="0.25">
      <c r="A1069" s="49" t="s">
        <v>2022</v>
      </c>
      <c r="B1069" s="50" t="s">
        <v>2020</v>
      </c>
      <c r="C1069" s="51" t="s">
        <v>2033</v>
      </c>
      <c r="D1069" s="76" t="s">
        <v>1177</v>
      </c>
      <c r="E1069" s="51" t="s">
        <v>1951</v>
      </c>
      <c r="F1069" s="51" t="s">
        <v>1177</v>
      </c>
      <c r="G1069" s="76" t="s">
        <v>169</v>
      </c>
      <c r="H1069" s="76" t="s">
        <v>654</v>
      </c>
      <c r="I1069" s="51"/>
      <c r="J1069" s="52" t="s">
        <v>708</v>
      </c>
      <c r="K1069" s="117">
        <f>ROUND(Tableau16[[#This Row],[LEN]]*7.27,0)</f>
        <v>320</v>
      </c>
      <c r="L1069" s="117">
        <v>15</v>
      </c>
      <c r="M1069" s="134" t="str">
        <f t="shared" si="7"/>
        <v>none</v>
      </c>
      <c r="N1069" s="117">
        <f>LEN(Tableau16[[#This Row],[LABEL]])</f>
        <v>44</v>
      </c>
      <c r="O1069" s="117">
        <v>15</v>
      </c>
      <c r="P1069" s="117" t="e">
        <f>ROUND(Tableau16[[#This Row],[LEN]]*#REF!+#REF!,0)</f>
        <v>#REF!</v>
      </c>
    </row>
    <row r="1070" spans="1:16" s="97" customFormat="1" x14ac:dyDescent="0.25">
      <c r="A1070" s="49" t="s">
        <v>2023</v>
      </c>
      <c r="B1070" s="50" t="s">
        <v>2020</v>
      </c>
      <c r="C1070" s="51" t="s">
        <v>128</v>
      </c>
      <c r="D1070" s="76" t="s">
        <v>1177</v>
      </c>
      <c r="E1070" s="51" t="s">
        <v>669</v>
      </c>
      <c r="F1070" s="51" t="s">
        <v>2029</v>
      </c>
      <c r="G1070" s="76" t="s">
        <v>169</v>
      </c>
      <c r="H1070" s="76" t="s">
        <v>570</v>
      </c>
      <c r="I1070" s="51"/>
      <c r="J1070" s="52" t="s">
        <v>708</v>
      </c>
      <c r="K1070" s="117">
        <f>ROUND(Tableau16[[#This Row],[LEN]]*7.27,0)</f>
        <v>182</v>
      </c>
      <c r="L1070" s="117">
        <v>15</v>
      </c>
      <c r="M1070" s="134" t="str">
        <f t="shared" si="7"/>
        <v>none</v>
      </c>
      <c r="N1070" s="117">
        <f>LEN(Tableau16[[#This Row],[LABEL]])</f>
        <v>25</v>
      </c>
      <c r="O1070" s="117">
        <v>15</v>
      </c>
      <c r="P1070" s="117" t="e">
        <f>ROUND(Tableau16[[#This Row],[LEN]]*#REF!+#REF!,0)</f>
        <v>#REF!</v>
      </c>
    </row>
    <row r="1071" spans="1:16" s="97" customFormat="1" x14ac:dyDescent="0.25">
      <c r="A1071" s="49" t="s">
        <v>2024</v>
      </c>
      <c r="B1071" s="50" t="s">
        <v>2020</v>
      </c>
      <c r="C1071" s="51" t="s">
        <v>129</v>
      </c>
      <c r="D1071" s="76" t="s">
        <v>1177</v>
      </c>
      <c r="E1071" s="51" t="s">
        <v>673</v>
      </c>
      <c r="F1071" s="51" t="s">
        <v>2035</v>
      </c>
      <c r="G1071" s="76" t="s">
        <v>169</v>
      </c>
      <c r="H1071" s="76" t="s">
        <v>655</v>
      </c>
      <c r="I1071" s="51"/>
      <c r="J1071" s="52" t="s">
        <v>708</v>
      </c>
      <c r="K1071" s="117">
        <f>ROUND(Tableau16[[#This Row],[LEN]]*7.27,0)</f>
        <v>87</v>
      </c>
      <c r="L1071" s="117">
        <v>15</v>
      </c>
      <c r="M1071" s="134" t="str">
        <f t="shared" si="7"/>
        <v>none</v>
      </c>
      <c r="N1071" s="117">
        <f>LEN(Tableau16[[#This Row],[LABEL]])</f>
        <v>12</v>
      </c>
      <c r="O1071" s="117">
        <v>15</v>
      </c>
      <c r="P1071" s="117" t="e">
        <f>ROUND(Tableau16[[#This Row],[LEN]]*#REF!+#REF!,0)</f>
        <v>#REF!</v>
      </c>
    </row>
    <row r="1072" spans="1:16" s="97" customFormat="1" x14ac:dyDescent="0.25">
      <c r="A1072" s="53" t="s">
        <v>2034</v>
      </c>
      <c r="B1072" s="54" t="s">
        <v>2024</v>
      </c>
      <c r="C1072" s="55" t="s">
        <v>131</v>
      </c>
      <c r="D1072" s="77" t="s">
        <v>1177</v>
      </c>
      <c r="E1072" s="55" t="s">
        <v>673</v>
      </c>
      <c r="F1072" s="55" t="s">
        <v>2035</v>
      </c>
      <c r="G1072" s="77" t="s">
        <v>169</v>
      </c>
      <c r="H1072" s="77" t="s">
        <v>570</v>
      </c>
      <c r="I1072" s="55"/>
      <c r="J1072" s="56" t="s">
        <v>708</v>
      </c>
      <c r="K1072" s="118">
        <f>ROUND(Tableau16[[#This Row],[LEN]]*7.27,0)</f>
        <v>262</v>
      </c>
      <c r="L1072" s="118">
        <v>15</v>
      </c>
      <c r="M1072" s="135" t="str">
        <f t="shared" si="7"/>
        <v>none</v>
      </c>
      <c r="N1072" s="118">
        <f>LEN(Tableau16[[#This Row],[LABEL]])</f>
        <v>36</v>
      </c>
      <c r="O1072" s="118">
        <v>15</v>
      </c>
      <c r="P1072" s="118" t="e">
        <f>ROUND(Tableau16[[#This Row],[LEN]]*#REF!+#REF!,0)</f>
        <v>#REF!</v>
      </c>
    </row>
    <row r="1073" spans="1:16" s="97" customFormat="1" x14ac:dyDescent="0.25">
      <c r="A1073" s="53" t="s">
        <v>2034</v>
      </c>
      <c r="B1073" s="54" t="s">
        <v>2024</v>
      </c>
      <c r="C1073" s="55" t="s">
        <v>132</v>
      </c>
      <c r="D1073" s="77" t="s">
        <v>1177</v>
      </c>
      <c r="E1073" s="55" t="s">
        <v>673</v>
      </c>
      <c r="F1073" s="55" t="s">
        <v>2035</v>
      </c>
      <c r="G1073" s="77" t="s">
        <v>169</v>
      </c>
      <c r="H1073" s="77" t="s">
        <v>570</v>
      </c>
      <c r="I1073" s="55"/>
      <c r="J1073" s="56" t="s">
        <v>708</v>
      </c>
      <c r="K1073" s="118">
        <f>ROUND(Tableau16[[#This Row],[LEN]]*7.27,0)</f>
        <v>298</v>
      </c>
      <c r="L1073" s="118">
        <v>15</v>
      </c>
      <c r="M1073" s="135" t="str">
        <f t="shared" si="7"/>
        <v>none</v>
      </c>
      <c r="N1073" s="118">
        <f>LEN(Tableau16[[#This Row],[LABEL]])</f>
        <v>41</v>
      </c>
      <c r="O1073" s="118">
        <v>15</v>
      </c>
      <c r="P1073" s="118" t="e">
        <f>ROUND(Tableau16[[#This Row],[LEN]]*#REF!+#REF!,0)</f>
        <v>#REF!</v>
      </c>
    </row>
    <row r="1074" spans="1:16" s="97" customFormat="1" x14ac:dyDescent="0.25">
      <c r="A1074" s="49" t="s">
        <v>2025</v>
      </c>
      <c r="B1074" s="50" t="s">
        <v>2020</v>
      </c>
      <c r="C1074" s="51" t="s">
        <v>2040</v>
      </c>
      <c r="D1074" s="76" t="s">
        <v>1177</v>
      </c>
      <c r="E1074" s="51" t="s">
        <v>1951</v>
      </c>
      <c r="F1074" s="51" t="s">
        <v>661</v>
      </c>
      <c r="G1074" s="76" t="s">
        <v>169</v>
      </c>
      <c r="H1074" s="76" t="s">
        <v>655</v>
      </c>
      <c r="I1074" s="51"/>
      <c r="J1074" s="52" t="s">
        <v>708</v>
      </c>
      <c r="K1074" s="117">
        <f>ROUND(Tableau16[[#This Row],[LEN]]*7.27,0)</f>
        <v>204</v>
      </c>
      <c r="L1074" s="117">
        <v>10</v>
      </c>
      <c r="M1074" s="134" t="str">
        <f t="shared" si="7"/>
        <v>none</v>
      </c>
      <c r="N1074" s="117">
        <f>LEN(Tableau16[[#This Row],[LABEL]])</f>
        <v>28</v>
      </c>
      <c r="O1074" s="117">
        <v>10</v>
      </c>
      <c r="P1074" s="117" t="e">
        <f>ROUND(Tableau16[[#This Row],[LEN]]*#REF!+#REF!,0)</f>
        <v>#REF!</v>
      </c>
    </row>
    <row r="1075" spans="1:16" s="97" customFormat="1" x14ac:dyDescent="0.25">
      <c r="A1075" s="53" t="s">
        <v>2041</v>
      </c>
      <c r="B1075" s="54" t="s">
        <v>2025</v>
      </c>
      <c r="C1075" s="55" t="s">
        <v>2036</v>
      </c>
      <c r="D1075" s="77" t="s">
        <v>1177</v>
      </c>
      <c r="E1075" s="55" t="s">
        <v>1951</v>
      </c>
      <c r="F1075" s="55" t="s">
        <v>661</v>
      </c>
      <c r="G1075" s="77" t="s">
        <v>169</v>
      </c>
      <c r="H1075" s="77" t="s">
        <v>654</v>
      </c>
      <c r="I1075" s="55"/>
      <c r="J1075" s="56" t="s">
        <v>708</v>
      </c>
      <c r="K1075" s="118">
        <f>ROUND(Tableau16[[#This Row],[LEN]]*7.27,0)</f>
        <v>196</v>
      </c>
      <c r="L1075" s="118">
        <v>10</v>
      </c>
      <c r="M1075" s="135" t="str">
        <f t="shared" si="7"/>
        <v>none</v>
      </c>
      <c r="N1075" s="118">
        <f>LEN(Tableau16[[#This Row],[LABEL]])</f>
        <v>27</v>
      </c>
      <c r="O1075" s="118">
        <v>10</v>
      </c>
      <c r="P1075" s="118" t="e">
        <f>ROUND(Tableau16[[#This Row],[LEN]]*#REF!+#REF!,0)</f>
        <v>#REF!</v>
      </c>
    </row>
    <row r="1076" spans="1:16" s="97" customFormat="1" x14ac:dyDescent="0.25">
      <c r="A1076" s="53" t="s">
        <v>2042</v>
      </c>
      <c r="B1076" s="54" t="s">
        <v>2025</v>
      </c>
      <c r="C1076" s="55" t="s">
        <v>2037</v>
      </c>
      <c r="D1076" s="77" t="s">
        <v>1177</v>
      </c>
      <c r="E1076" s="55" t="s">
        <v>1951</v>
      </c>
      <c r="F1076" s="55" t="s">
        <v>661</v>
      </c>
      <c r="G1076" s="77" t="s">
        <v>169</v>
      </c>
      <c r="H1076" s="77" t="s">
        <v>654</v>
      </c>
      <c r="I1076" s="55"/>
      <c r="J1076" s="56" t="s">
        <v>708</v>
      </c>
      <c r="K1076" s="118">
        <f>ROUND(Tableau16[[#This Row],[LEN]]*7.27,0)</f>
        <v>334</v>
      </c>
      <c r="L1076" s="118">
        <v>11</v>
      </c>
      <c r="M1076" s="135" t="str">
        <f t="shared" si="7"/>
        <v>none</v>
      </c>
      <c r="N1076" s="118">
        <f>LEN(Tableau16[[#This Row],[LABEL]])</f>
        <v>46</v>
      </c>
      <c r="O1076" s="118">
        <v>11</v>
      </c>
      <c r="P1076" s="118" t="e">
        <f>ROUND(Tableau16[[#This Row],[LEN]]*#REF!+#REF!,0)</f>
        <v>#REF!</v>
      </c>
    </row>
    <row r="1077" spans="1:16" s="97" customFormat="1" x14ac:dyDescent="0.25">
      <c r="A1077" s="53" t="s">
        <v>2043</v>
      </c>
      <c r="B1077" s="54" t="s">
        <v>2025</v>
      </c>
      <c r="C1077" s="55" t="s">
        <v>2038</v>
      </c>
      <c r="D1077" s="77" t="s">
        <v>1177</v>
      </c>
      <c r="E1077" s="55" t="s">
        <v>1951</v>
      </c>
      <c r="F1077" s="55" t="s">
        <v>661</v>
      </c>
      <c r="G1077" s="77" t="s">
        <v>169</v>
      </c>
      <c r="H1077" s="77" t="s">
        <v>654</v>
      </c>
      <c r="I1077" s="55"/>
      <c r="J1077" s="56" t="s">
        <v>708</v>
      </c>
      <c r="K1077" s="118">
        <f>ROUND(Tableau16[[#This Row],[LEN]]*7.27,0)</f>
        <v>95</v>
      </c>
      <c r="L1077" s="118">
        <v>12</v>
      </c>
      <c r="M1077" s="135" t="str">
        <f t="shared" si="7"/>
        <v>none</v>
      </c>
      <c r="N1077" s="118">
        <f>LEN(Tableau16[[#This Row],[LABEL]])</f>
        <v>13</v>
      </c>
      <c r="O1077" s="118">
        <v>12</v>
      </c>
      <c r="P1077" s="118" t="e">
        <f>ROUND(Tableau16[[#This Row],[LEN]]*#REF!+#REF!,0)</f>
        <v>#REF!</v>
      </c>
    </row>
    <row r="1078" spans="1:16" s="97" customFormat="1" x14ac:dyDescent="0.25">
      <c r="A1078" s="53" t="s">
        <v>2044</v>
      </c>
      <c r="B1078" s="54" t="s">
        <v>2025</v>
      </c>
      <c r="C1078" s="55" t="s">
        <v>2039</v>
      </c>
      <c r="D1078" s="77" t="s">
        <v>1177</v>
      </c>
      <c r="E1078" s="55" t="s">
        <v>1951</v>
      </c>
      <c r="F1078" s="55" t="s">
        <v>661</v>
      </c>
      <c r="G1078" s="77" t="s">
        <v>169</v>
      </c>
      <c r="H1078" s="77" t="s">
        <v>654</v>
      </c>
      <c r="I1078" s="55"/>
      <c r="J1078" s="56" t="s">
        <v>708</v>
      </c>
      <c r="K1078" s="118">
        <f>ROUND(Tableau16[[#This Row],[LEN]]*7.27,0)</f>
        <v>589</v>
      </c>
      <c r="L1078" s="118">
        <v>13</v>
      </c>
      <c r="M1078" s="135" t="str">
        <f t="shared" si="7"/>
        <v>none</v>
      </c>
      <c r="N1078" s="118">
        <f>LEN(Tableau16[[#This Row],[LABEL]])</f>
        <v>81</v>
      </c>
      <c r="O1078" s="118">
        <v>13</v>
      </c>
      <c r="P1078" s="118" t="e">
        <f>ROUND(Tableau16[[#This Row],[LEN]]*#REF!+#REF!,0)</f>
        <v>#REF!</v>
      </c>
    </row>
    <row r="1079" spans="1:16" s="97" customFormat="1" x14ac:dyDescent="0.25">
      <c r="A1079" s="53" t="s">
        <v>2045</v>
      </c>
      <c r="B1079" s="54" t="s">
        <v>2025</v>
      </c>
      <c r="C1079" s="55" t="s">
        <v>2030</v>
      </c>
      <c r="D1079" s="77" t="s">
        <v>1177</v>
      </c>
      <c r="E1079" s="55" t="s">
        <v>1951</v>
      </c>
      <c r="F1079" s="55" t="s">
        <v>661</v>
      </c>
      <c r="G1079" s="77" t="s">
        <v>169</v>
      </c>
      <c r="H1079" s="77" t="s">
        <v>654</v>
      </c>
      <c r="I1079" s="55"/>
      <c r="J1079" s="56" t="s">
        <v>708</v>
      </c>
      <c r="K1079" s="118">
        <f>ROUND(Tableau16[[#This Row],[LEN]]*7.27,0)</f>
        <v>211</v>
      </c>
      <c r="L1079" s="118">
        <v>14</v>
      </c>
      <c r="M1079" s="135" t="str">
        <f t="shared" si="7"/>
        <v>none</v>
      </c>
      <c r="N1079" s="118">
        <f>LEN(Tableau16[[#This Row],[LABEL]])</f>
        <v>29</v>
      </c>
      <c r="O1079" s="118">
        <v>14</v>
      </c>
      <c r="P1079" s="118" t="e">
        <f>ROUND(Tableau16[[#This Row],[LEN]]*#REF!+#REF!,0)</f>
        <v>#REF!</v>
      </c>
    </row>
    <row r="1080" spans="1:16" s="97" customFormat="1" x14ac:dyDescent="0.25">
      <c r="A1080" s="53" t="s">
        <v>2046</v>
      </c>
      <c r="B1080" s="54" t="s">
        <v>2025</v>
      </c>
      <c r="C1080" s="55" t="s">
        <v>2031</v>
      </c>
      <c r="D1080" s="77" t="s">
        <v>1177</v>
      </c>
      <c r="E1080" s="55" t="s">
        <v>1951</v>
      </c>
      <c r="F1080" s="55" t="s">
        <v>661</v>
      </c>
      <c r="G1080" s="77" t="s">
        <v>169</v>
      </c>
      <c r="H1080" s="77" t="s">
        <v>654</v>
      </c>
      <c r="I1080" s="55"/>
      <c r="J1080" s="56" t="s">
        <v>708</v>
      </c>
      <c r="K1080" s="118">
        <f>ROUND(Tableau16[[#This Row],[LEN]]*7.27,0)</f>
        <v>313</v>
      </c>
      <c r="L1080" s="118">
        <v>15</v>
      </c>
      <c r="M1080" s="135" t="str">
        <f t="shared" si="7"/>
        <v>none</v>
      </c>
      <c r="N1080" s="118">
        <f>LEN(Tableau16[[#This Row],[LABEL]])</f>
        <v>43</v>
      </c>
      <c r="O1080" s="118">
        <v>15</v>
      </c>
      <c r="P1080" s="118" t="e">
        <f>ROUND(Tableau16[[#This Row],[LEN]]*#REF!+#REF!,0)</f>
        <v>#REF!</v>
      </c>
    </row>
    <row r="1081" spans="1:16" s="97" customFormat="1" x14ac:dyDescent="0.25">
      <c r="A1081" s="49" t="s">
        <v>2026</v>
      </c>
      <c r="B1081" s="50" t="s">
        <v>2020</v>
      </c>
      <c r="C1081" s="51" t="s">
        <v>598</v>
      </c>
      <c r="D1081" s="76" t="s">
        <v>1177</v>
      </c>
      <c r="E1081" s="51" t="s">
        <v>673</v>
      </c>
      <c r="F1081" s="51" t="s">
        <v>2035</v>
      </c>
      <c r="G1081" s="76" t="s">
        <v>169</v>
      </c>
      <c r="H1081" s="76" t="s">
        <v>654</v>
      </c>
      <c r="I1081" s="51"/>
      <c r="J1081" s="52" t="s">
        <v>708</v>
      </c>
      <c r="K1081" s="117">
        <f>ROUND(Tableau16[[#This Row],[LEN]]*7.27,0)</f>
        <v>553</v>
      </c>
      <c r="L1081" s="117">
        <v>15</v>
      </c>
      <c r="M1081" s="134" t="str">
        <f t="shared" si="7"/>
        <v>none</v>
      </c>
      <c r="N1081" s="117">
        <f>LEN(Tableau16[[#This Row],[LABEL]])</f>
        <v>76</v>
      </c>
      <c r="O1081" s="117">
        <v>15</v>
      </c>
      <c r="P1081" s="117" t="e">
        <f>ROUND(Tableau16[[#This Row],[LEN]]*#REF!+#REF!,0)</f>
        <v>#REF!</v>
      </c>
    </row>
    <row r="1082" spans="1:16" s="97" customFormat="1" x14ac:dyDescent="0.25">
      <c r="A1082" s="49" t="s">
        <v>2027</v>
      </c>
      <c r="B1082" s="50" t="s">
        <v>2020</v>
      </c>
      <c r="C1082" s="51" t="s">
        <v>2047</v>
      </c>
      <c r="D1082" s="76" t="s">
        <v>1177</v>
      </c>
      <c r="E1082" s="51" t="s">
        <v>1951</v>
      </c>
      <c r="F1082" s="51" t="s">
        <v>1177</v>
      </c>
      <c r="G1082" s="76" t="s">
        <v>169</v>
      </c>
      <c r="H1082" s="76" t="s">
        <v>654</v>
      </c>
      <c r="I1082" s="51"/>
      <c r="J1082" s="52" t="s">
        <v>708</v>
      </c>
      <c r="K1082" s="117">
        <f>ROUND(Tableau16[[#This Row],[LEN]]*7.27,0)</f>
        <v>233</v>
      </c>
      <c r="L1082" s="117">
        <v>15</v>
      </c>
      <c r="M1082" s="134" t="str">
        <f t="shared" si="7"/>
        <v>none</v>
      </c>
      <c r="N1082" s="117">
        <f>LEN(Tableau16[[#This Row],[LABEL]])</f>
        <v>32</v>
      </c>
      <c r="O1082" s="117">
        <v>15</v>
      </c>
      <c r="P1082" s="117" t="e">
        <f>ROUND(Tableau16[[#This Row],[LEN]]*#REF!+#REF!,0)</f>
        <v>#REF!</v>
      </c>
    </row>
    <row r="1083" spans="1:16" s="97" customFormat="1" ht="15.75" thickBot="1" x14ac:dyDescent="0.3">
      <c r="A1083" s="49" t="s">
        <v>2028</v>
      </c>
      <c r="B1083" s="50" t="s">
        <v>2020</v>
      </c>
      <c r="C1083" s="51" t="s">
        <v>2048</v>
      </c>
      <c r="D1083" s="76" t="s">
        <v>1177</v>
      </c>
      <c r="E1083" s="51" t="s">
        <v>1951</v>
      </c>
      <c r="F1083" s="51" t="s">
        <v>1177</v>
      </c>
      <c r="G1083" s="76" t="s">
        <v>169</v>
      </c>
      <c r="H1083" s="76" t="s">
        <v>654</v>
      </c>
      <c r="I1083" s="51"/>
      <c r="J1083" s="52" t="s">
        <v>708</v>
      </c>
      <c r="K1083" s="117">
        <f>ROUND(Tableau16[[#This Row],[LEN]]*7.27,0)</f>
        <v>225</v>
      </c>
      <c r="L1083" s="117">
        <v>15</v>
      </c>
      <c r="M1083" s="134" t="str">
        <f t="shared" si="7"/>
        <v>none</v>
      </c>
      <c r="N1083" s="117">
        <f>LEN(Tableau16[[#This Row],[LABEL]])</f>
        <v>31</v>
      </c>
      <c r="O1083" s="117">
        <v>15</v>
      </c>
      <c r="P1083" s="117" t="e">
        <f>ROUND(Tableau16[[#This Row],[LEN]]*#REF!+#REF!,0)</f>
        <v>#REF!</v>
      </c>
    </row>
    <row r="1084" spans="1:16" s="92" customFormat="1" ht="16.5" thickTop="1" thickBot="1" x14ac:dyDescent="0.3">
      <c r="A1084" s="198" t="s">
        <v>210</v>
      </c>
      <c r="B1084" s="198" t="s">
        <v>203</v>
      </c>
      <c r="C1084" s="199" t="s">
        <v>178</v>
      </c>
      <c r="D1084" s="200" t="s">
        <v>474</v>
      </c>
      <c r="E1084" s="199" t="s">
        <v>1177</v>
      </c>
      <c r="F1084" s="200" t="s">
        <v>1084</v>
      </c>
      <c r="G1084" s="199" t="s">
        <v>170</v>
      </c>
      <c r="H1084" s="199" t="s">
        <v>616</v>
      </c>
      <c r="I1084" s="200"/>
      <c r="J1084" s="201" t="s">
        <v>708</v>
      </c>
      <c r="K1084" s="202">
        <f>ROUND(Tableau16[[#This Row],[LEN]]*7.27,0)</f>
        <v>102</v>
      </c>
      <c r="L1084" s="202">
        <v>15</v>
      </c>
      <c r="M1084" s="203" t="str">
        <f t="shared" si="7"/>
        <v>none</v>
      </c>
      <c r="N1084" s="202">
        <f>LEN(Tableau16[[#This Row],[LABEL]])</f>
        <v>14</v>
      </c>
      <c r="O1084" s="204">
        <v>15</v>
      </c>
      <c r="P1084" s="204" t="e">
        <f>ROUND(Tableau16[[#This Row],[LEN]]*#REF!+#REF!,0)</f>
        <v>#REF!</v>
      </c>
    </row>
    <row r="1085" spans="1:16" s="273" customFormat="1" ht="15.75" thickTop="1" x14ac:dyDescent="0.25">
      <c r="A1085" s="372" t="s">
        <v>321</v>
      </c>
      <c r="B1085" s="373" t="s">
        <v>210</v>
      </c>
      <c r="C1085" s="374" t="s">
        <v>57</v>
      </c>
      <c r="D1085" s="375" t="s">
        <v>1177</v>
      </c>
      <c r="E1085" s="374" t="s">
        <v>663</v>
      </c>
      <c r="F1085" s="374" t="s">
        <v>1177</v>
      </c>
      <c r="G1085" s="375" t="s">
        <v>170</v>
      </c>
      <c r="H1085" s="375" t="str">
        <f>IFERROR(IF(SEARCH(".00.00.00.00.00",Tableau16[[#This Row],[name]],1)=7,"Division",""),"")</f>
        <v>Division</v>
      </c>
      <c r="I1085" s="374"/>
      <c r="J1085" s="376" t="s">
        <v>708</v>
      </c>
      <c r="K1085" s="377">
        <f>ROUND(Tableau16[[#This Row],[LEN]]*7.27,0)</f>
        <v>102</v>
      </c>
      <c r="L1085" s="377">
        <v>15</v>
      </c>
      <c r="M1085" s="378" t="str">
        <f t="shared" si="7"/>
        <v>none</v>
      </c>
      <c r="N1085" s="377">
        <f>LEN(Tableau16[[#This Row],[LABEL]])</f>
        <v>14</v>
      </c>
      <c r="O1085" s="377">
        <v>15</v>
      </c>
      <c r="P1085" s="377" t="e">
        <f>ROUND(Tableau16[[#This Row],[LEN]]*#REF!+#REF!,0)</f>
        <v>#REF!</v>
      </c>
    </row>
    <row r="1086" spans="1:16" s="97" customFormat="1" x14ac:dyDescent="0.25">
      <c r="A1086" s="61" t="s">
        <v>906</v>
      </c>
      <c r="B1086" s="62" t="s">
        <v>321</v>
      </c>
      <c r="C1086" s="63" t="s">
        <v>1875</v>
      </c>
      <c r="D1086" s="79" t="s">
        <v>1177</v>
      </c>
      <c r="E1086" s="63" t="s">
        <v>684</v>
      </c>
      <c r="F1086" s="63" t="s">
        <v>2086</v>
      </c>
      <c r="G1086" s="79" t="s">
        <v>170</v>
      </c>
      <c r="H1086" s="79" t="s">
        <v>656</v>
      </c>
      <c r="I1086" s="63"/>
      <c r="J1086" s="64" t="s">
        <v>708</v>
      </c>
      <c r="K1086" s="120">
        <f>ROUND(Tableau16[[#This Row],[LEN]]*7.27,0)</f>
        <v>291</v>
      </c>
      <c r="L1086" s="120">
        <v>15</v>
      </c>
      <c r="M1086" s="137" t="str">
        <f t="shared" si="7"/>
        <v>none</v>
      </c>
      <c r="N1086" s="120">
        <f>LEN(Tableau16[[#This Row],[LABEL]])</f>
        <v>40</v>
      </c>
      <c r="O1086" s="120">
        <v>15</v>
      </c>
      <c r="P1086" s="120" t="e">
        <f>ROUND(Tableau16[[#This Row],[LEN]]*#REF!+#REF!,0)</f>
        <v>#REF!</v>
      </c>
    </row>
    <row r="1087" spans="1:16" s="97" customFormat="1" x14ac:dyDescent="0.25">
      <c r="A1087" s="61" t="s">
        <v>907</v>
      </c>
      <c r="B1087" s="62" t="s">
        <v>321</v>
      </c>
      <c r="C1087" s="63" t="s">
        <v>903</v>
      </c>
      <c r="D1087" s="79" t="s">
        <v>1177</v>
      </c>
      <c r="E1087" s="63" t="s">
        <v>663</v>
      </c>
      <c r="F1087" s="63" t="s">
        <v>1177</v>
      </c>
      <c r="G1087" s="79" t="s">
        <v>170</v>
      </c>
      <c r="H1087" s="79" t="s">
        <v>654</v>
      </c>
      <c r="I1087" s="63"/>
      <c r="J1087" s="64" t="s">
        <v>708</v>
      </c>
      <c r="K1087" s="120">
        <f>ROUND(Tableau16[[#This Row],[LEN]]*7.27,0)</f>
        <v>225</v>
      </c>
      <c r="L1087" s="120">
        <v>15</v>
      </c>
      <c r="M1087" s="137" t="str">
        <f t="shared" si="7"/>
        <v>none</v>
      </c>
      <c r="N1087" s="120">
        <f>LEN(Tableau16[[#This Row],[LABEL]])</f>
        <v>31</v>
      </c>
      <c r="O1087" s="120">
        <v>15</v>
      </c>
      <c r="P1087" s="120" t="e">
        <f>ROUND(Tableau16[[#This Row],[LEN]]*#REF!+#REF!,0)</f>
        <v>#REF!</v>
      </c>
    </row>
    <row r="1088" spans="1:16" s="97" customFormat="1" x14ac:dyDescent="0.25">
      <c r="A1088" s="61" t="s">
        <v>908</v>
      </c>
      <c r="B1088" s="62" t="s">
        <v>321</v>
      </c>
      <c r="C1088" s="63" t="s">
        <v>904</v>
      </c>
      <c r="D1088" s="79" t="s">
        <v>1177</v>
      </c>
      <c r="E1088" s="63" t="s">
        <v>663</v>
      </c>
      <c r="F1088" s="63" t="s">
        <v>1177</v>
      </c>
      <c r="G1088" s="79" t="s">
        <v>170</v>
      </c>
      <c r="H1088" s="79" t="s">
        <v>654</v>
      </c>
      <c r="I1088" s="63"/>
      <c r="J1088" s="64" t="s">
        <v>708</v>
      </c>
      <c r="K1088" s="120">
        <f>ROUND(Tableau16[[#This Row],[LEN]]*7.27,0)</f>
        <v>247</v>
      </c>
      <c r="L1088" s="120">
        <v>15</v>
      </c>
      <c r="M1088" s="137" t="str">
        <f t="shared" si="7"/>
        <v>none</v>
      </c>
      <c r="N1088" s="120">
        <f>LEN(Tableau16[[#This Row],[LABEL]])</f>
        <v>34</v>
      </c>
      <c r="O1088" s="120">
        <v>15</v>
      </c>
      <c r="P1088" s="120" t="e">
        <f>ROUND(Tableau16[[#This Row],[LEN]]*#REF!+#REF!,0)</f>
        <v>#REF!</v>
      </c>
    </row>
    <row r="1089" spans="1:16" s="97" customFormat="1" x14ac:dyDescent="0.25">
      <c r="A1089" s="61" t="s">
        <v>909</v>
      </c>
      <c r="B1089" s="62" t="s">
        <v>321</v>
      </c>
      <c r="C1089" s="63" t="s">
        <v>905</v>
      </c>
      <c r="D1089" s="79" t="s">
        <v>1177</v>
      </c>
      <c r="E1089" s="63" t="s">
        <v>663</v>
      </c>
      <c r="F1089" s="63" t="s">
        <v>1177</v>
      </c>
      <c r="G1089" s="79" t="s">
        <v>170</v>
      </c>
      <c r="H1089" s="79" t="s">
        <v>654</v>
      </c>
      <c r="I1089" s="63"/>
      <c r="J1089" s="64" t="s">
        <v>708</v>
      </c>
      <c r="K1089" s="120">
        <f>ROUND(Tableau16[[#This Row],[LEN]]*7.27,0)</f>
        <v>124</v>
      </c>
      <c r="L1089" s="120">
        <v>15</v>
      </c>
      <c r="M1089" s="137" t="str">
        <f t="shared" si="7"/>
        <v>none</v>
      </c>
      <c r="N1089" s="120">
        <f>LEN(Tableau16[[#This Row],[LABEL]])</f>
        <v>17</v>
      </c>
      <c r="O1089" s="120">
        <v>15</v>
      </c>
      <c r="P1089" s="120" t="e">
        <f>ROUND(Tableau16[[#This Row],[LEN]]*#REF!+#REF!,0)</f>
        <v>#REF!</v>
      </c>
    </row>
    <row r="1090" spans="1:16" s="97" customFormat="1" x14ac:dyDescent="0.25">
      <c r="A1090" s="61" t="s">
        <v>910</v>
      </c>
      <c r="B1090" s="62" t="s">
        <v>321</v>
      </c>
      <c r="C1090" s="63" t="s">
        <v>602</v>
      </c>
      <c r="D1090" s="79" t="s">
        <v>1177</v>
      </c>
      <c r="E1090" s="63" t="s">
        <v>661</v>
      </c>
      <c r="F1090" s="63" t="s">
        <v>1874</v>
      </c>
      <c r="G1090" s="79" t="s">
        <v>170</v>
      </c>
      <c r="H1090" s="79" t="s">
        <v>656</v>
      </c>
      <c r="I1090" s="63"/>
      <c r="J1090" s="64" t="s">
        <v>708</v>
      </c>
      <c r="K1090" s="120">
        <f>ROUND(Tableau16[[#This Row],[LEN]]*7.27,0)</f>
        <v>553</v>
      </c>
      <c r="L1090" s="120">
        <v>15</v>
      </c>
      <c r="M1090" s="137" t="str">
        <f t="shared" si="7"/>
        <v>none</v>
      </c>
      <c r="N1090" s="120">
        <f>LEN(Tableau16[[#This Row],[LABEL]])</f>
        <v>76</v>
      </c>
      <c r="O1090" s="120">
        <v>15</v>
      </c>
      <c r="P1090" s="120" t="e">
        <f>ROUND(Tableau16[[#This Row],[LEN]]*#REF!+#REF!,0)</f>
        <v>#REF!</v>
      </c>
    </row>
    <row r="1091" spans="1:16" s="97" customFormat="1" x14ac:dyDescent="0.25">
      <c r="A1091" s="61" t="s">
        <v>911</v>
      </c>
      <c r="B1091" s="62" t="s">
        <v>321</v>
      </c>
      <c r="C1091" s="63" t="s">
        <v>50</v>
      </c>
      <c r="D1091" s="79" t="s">
        <v>1177</v>
      </c>
      <c r="E1091" s="63" t="s">
        <v>1177</v>
      </c>
      <c r="F1091" s="63" t="s">
        <v>1084</v>
      </c>
      <c r="G1091" s="79" t="s">
        <v>1978</v>
      </c>
      <c r="H1091" s="79" t="s">
        <v>1131</v>
      </c>
      <c r="I1091" s="63"/>
      <c r="J1091" s="64" t="s">
        <v>708</v>
      </c>
      <c r="K1091" s="120">
        <f>ROUND(Tableau16[[#This Row],[LEN]]*7.27,0)</f>
        <v>87</v>
      </c>
      <c r="L1091" s="120">
        <v>15</v>
      </c>
      <c r="M1091" s="137" t="str">
        <f t="shared" si="7"/>
        <v>none</v>
      </c>
      <c r="N1091" s="120">
        <f>LEN(Tableau16[[#This Row],[LABEL]])</f>
        <v>12</v>
      </c>
      <c r="O1091" s="120">
        <v>15</v>
      </c>
      <c r="P1091" s="120" t="e">
        <f>ROUND(Tableau16[[#This Row],[LEN]]*#REF!+#REF!,0)</f>
        <v>#REF!</v>
      </c>
    </row>
    <row r="1092" spans="1:16" s="97" customFormat="1" x14ac:dyDescent="0.25">
      <c r="A1092" s="61" t="s">
        <v>912</v>
      </c>
      <c r="B1092" s="62" t="s">
        <v>321</v>
      </c>
      <c r="C1092" s="63" t="s">
        <v>603</v>
      </c>
      <c r="D1092" s="79" t="s">
        <v>1177</v>
      </c>
      <c r="E1092" s="63" t="s">
        <v>1177</v>
      </c>
      <c r="F1092" s="63" t="s">
        <v>1084</v>
      </c>
      <c r="G1092" s="79" t="s">
        <v>1977</v>
      </c>
      <c r="H1092" s="79" t="s">
        <v>1131</v>
      </c>
      <c r="I1092" s="63"/>
      <c r="J1092" s="64" t="s">
        <v>708</v>
      </c>
      <c r="K1092" s="120">
        <f>ROUND(Tableau16[[#This Row],[LEN]]*7.27,0)</f>
        <v>247</v>
      </c>
      <c r="L1092" s="120">
        <v>15</v>
      </c>
      <c r="M1092" s="137" t="str">
        <f t="shared" si="7"/>
        <v>none</v>
      </c>
      <c r="N1092" s="120">
        <f>LEN(Tableau16[[#This Row],[LABEL]])</f>
        <v>34</v>
      </c>
      <c r="O1092" s="120">
        <v>15</v>
      </c>
      <c r="P1092" s="120" t="e">
        <f>ROUND(Tableau16[[#This Row],[LEN]]*#REF!+#REF!,0)</f>
        <v>#REF!</v>
      </c>
    </row>
    <row r="1093" spans="1:16" s="273" customFormat="1" x14ac:dyDescent="0.25">
      <c r="A1093" s="372" t="s">
        <v>323</v>
      </c>
      <c r="B1093" s="373" t="s">
        <v>210</v>
      </c>
      <c r="C1093" s="374" t="s">
        <v>3</v>
      </c>
      <c r="D1093" s="375" t="s">
        <v>1177</v>
      </c>
      <c r="E1093" s="374" t="s">
        <v>661</v>
      </c>
      <c r="F1093" s="374" t="s">
        <v>1177</v>
      </c>
      <c r="G1093" s="375" t="s">
        <v>170</v>
      </c>
      <c r="H1093" s="375" t="str">
        <f>IFERROR(IF(SEARCH(".00.00.00.00.00",Tableau16[[#This Row],[name]],1)=7,"Division",""),"")</f>
        <v>Division</v>
      </c>
      <c r="I1093" s="374"/>
      <c r="J1093" s="376" t="s">
        <v>708</v>
      </c>
      <c r="K1093" s="377">
        <f>ROUND(Tableau16[[#This Row],[LEN]]*7.27,0)</f>
        <v>73</v>
      </c>
      <c r="L1093" s="377">
        <v>15</v>
      </c>
      <c r="M1093" s="378" t="str">
        <f t="shared" si="7"/>
        <v>none</v>
      </c>
      <c r="N1093" s="377">
        <f>LEN(Tableau16[[#This Row],[LABEL]])</f>
        <v>10</v>
      </c>
      <c r="O1093" s="377">
        <v>15</v>
      </c>
      <c r="P1093" s="377" t="e">
        <f>ROUND(Tableau16[[#This Row],[LEN]]*#REF!+#REF!,0)</f>
        <v>#REF!</v>
      </c>
    </row>
    <row r="1094" spans="1:16" s="97" customFormat="1" x14ac:dyDescent="0.25">
      <c r="A1094" s="61" t="s">
        <v>604</v>
      </c>
      <c r="B1094" s="62" t="s">
        <v>323</v>
      </c>
      <c r="C1094" s="63" t="s">
        <v>1875</v>
      </c>
      <c r="D1094" s="79" t="s">
        <v>1177</v>
      </c>
      <c r="E1094" s="63" t="s">
        <v>684</v>
      </c>
      <c r="F1094" s="63" t="s">
        <v>2086</v>
      </c>
      <c r="G1094" s="79" t="s">
        <v>170</v>
      </c>
      <c r="H1094" s="79" t="s">
        <v>656</v>
      </c>
      <c r="I1094" s="63"/>
      <c r="J1094" s="64" t="s">
        <v>708</v>
      </c>
      <c r="K1094" s="120">
        <f>ROUND(Tableau16[[#This Row],[LEN]]*7.27,0)</f>
        <v>291</v>
      </c>
      <c r="L1094" s="120">
        <v>15</v>
      </c>
      <c r="M1094" s="137" t="str">
        <f t="shared" si="7"/>
        <v>none</v>
      </c>
      <c r="N1094" s="120">
        <f>LEN(Tableau16[[#This Row],[LABEL]])</f>
        <v>40</v>
      </c>
      <c r="O1094" s="120">
        <v>15</v>
      </c>
      <c r="P1094" s="120" t="e">
        <f>ROUND(Tableau16[[#This Row],[LEN]]*#REF!+#REF!,0)</f>
        <v>#REF!</v>
      </c>
    </row>
    <row r="1095" spans="1:16" s="97" customFormat="1" x14ac:dyDescent="0.25">
      <c r="A1095" s="61" t="s">
        <v>605</v>
      </c>
      <c r="B1095" s="62" t="s">
        <v>323</v>
      </c>
      <c r="C1095" s="63" t="s">
        <v>135</v>
      </c>
      <c r="D1095" s="79" t="s">
        <v>1177</v>
      </c>
      <c r="E1095" s="63" t="s">
        <v>665</v>
      </c>
      <c r="F1095" s="63" t="s">
        <v>661</v>
      </c>
      <c r="G1095" s="79" t="s">
        <v>170</v>
      </c>
      <c r="H1095" s="79" t="s">
        <v>18</v>
      </c>
      <c r="I1095" s="63"/>
      <c r="J1095" s="64" t="s">
        <v>708</v>
      </c>
      <c r="K1095" s="120">
        <f>ROUND(Tableau16[[#This Row],[LEN]]*7.27,0)</f>
        <v>211</v>
      </c>
      <c r="L1095" s="120">
        <v>15</v>
      </c>
      <c r="M1095" s="137" t="str">
        <f t="shared" si="7"/>
        <v>none</v>
      </c>
      <c r="N1095" s="120">
        <f>LEN(Tableau16[[#This Row],[LABEL]])</f>
        <v>29</v>
      </c>
      <c r="O1095" s="120">
        <v>15</v>
      </c>
      <c r="P1095" s="120" t="e">
        <f>ROUND(Tableau16[[#This Row],[LEN]]*#REF!+#REF!,0)</f>
        <v>#REF!</v>
      </c>
    </row>
    <row r="1096" spans="1:16" s="97" customFormat="1" x14ac:dyDescent="0.25">
      <c r="A1096" s="61" t="s">
        <v>606</v>
      </c>
      <c r="B1096" s="62" t="s">
        <v>323</v>
      </c>
      <c r="C1096" s="63" t="s">
        <v>602</v>
      </c>
      <c r="D1096" s="79" t="s">
        <v>1177</v>
      </c>
      <c r="E1096" s="63" t="s">
        <v>661</v>
      </c>
      <c r="F1096" s="63" t="s">
        <v>1874</v>
      </c>
      <c r="G1096" s="79" t="s">
        <v>170</v>
      </c>
      <c r="H1096" s="79" t="s">
        <v>656</v>
      </c>
      <c r="I1096" s="63"/>
      <c r="J1096" s="64" t="s">
        <v>708</v>
      </c>
      <c r="K1096" s="120">
        <f>ROUND(Tableau16[[#This Row],[LEN]]*7.27,0)</f>
        <v>553</v>
      </c>
      <c r="L1096" s="120">
        <v>15</v>
      </c>
      <c r="M1096" s="137" t="str">
        <f t="shared" si="7"/>
        <v>none</v>
      </c>
      <c r="N1096" s="120">
        <f>LEN(Tableau16[[#This Row],[LABEL]])</f>
        <v>76</v>
      </c>
      <c r="O1096" s="120">
        <v>15</v>
      </c>
      <c r="P1096" s="120" t="e">
        <f>ROUND(Tableau16[[#This Row],[LEN]]*#REF!+#REF!,0)</f>
        <v>#REF!</v>
      </c>
    </row>
    <row r="1097" spans="1:16" s="97" customFormat="1" x14ac:dyDescent="0.25">
      <c r="A1097" s="61" t="s">
        <v>607</v>
      </c>
      <c r="B1097" s="62" t="s">
        <v>323</v>
      </c>
      <c r="C1097" s="63" t="s">
        <v>50</v>
      </c>
      <c r="D1097" s="79" t="s">
        <v>1177</v>
      </c>
      <c r="E1097" s="63" t="s">
        <v>1177</v>
      </c>
      <c r="F1097" s="63" t="s">
        <v>1084</v>
      </c>
      <c r="G1097" s="79" t="s">
        <v>1978</v>
      </c>
      <c r="H1097" s="79" t="s">
        <v>1131</v>
      </c>
      <c r="I1097" s="63"/>
      <c r="J1097" s="64" t="s">
        <v>708</v>
      </c>
      <c r="K1097" s="120">
        <f>ROUND(Tableau16[[#This Row],[LEN]]*7.27,0)</f>
        <v>87</v>
      </c>
      <c r="L1097" s="120">
        <v>15</v>
      </c>
      <c r="M1097" s="137" t="str">
        <f t="shared" si="7"/>
        <v>none</v>
      </c>
      <c r="N1097" s="120">
        <f>LEN(Tableau16[[#This Row],[LABEL]])</f>
        <v>12</v>
      </c>
      <c r="O1097" s="120">
        <v>15</v>
      </c>
      <c r="P1097" s="120" t="e">
        <f>ROUND(Tableau16[[#This Row],[LEN]]*#REF!+#REF!,0)</f>
        <v>#REF!</v>
      </c>
    </row>
    <row r="1098" spans="1:16" s="97" customFormat="1" x14ac:dyDescent="0.25">
      <c r="A1098" s="61" t="s">
        <v>608</v>
      </c>
      <c r="B1098" s="62" t="s">
        <v>323</v>
      </c>
      <c r="C1098" s="63" t="s">
        <v>603</v>
      </c>
      <c r="D1098" s="79" t="s">
        <v>1177</v>
      </c>
      <c r="E1098" s="63" t="s">
        <v>1177</v>
      </c>
      <c r="F1098" s="63" t="s">
        <v>1084</v>
      </c>
      <c r="G1098" s="79" t="s">
        <v>1977</v>
      </c>
      <c r="H1098" s="79" t="s">
        <v>1131</v>
      </c>
      <c r="I1098" s="63"/>
      <c r="J1098" s="64" t="s">
        <v>708</v>
      </c>
      <c r="K1098" s="120">
        <f>ROUND(Tableau16[[#This Row],[LEN]]*7.27,0)</f>
        <v>247</v>
      </c>
      <c r="L1098" s="120">
        <v>15</v>
      </c>
      <c r="M1098" s="137" t="str">
        <f t="shared" si="7"/>
        <v>none</v>
      </c>
      <c r="N1098" s="120">
        <f>LEN(Tableau16[[#This Row],[LABEL]])</f>
        <v>34</v>
      </c>
      <c r="O1098" s="120">
        <v>15</v>
      </c>
      <c r="P1098" s="120" t="e">
        <f>ROUND(Tableau16[[#This Row],[LEN]]*#REF!+#REF!,0)</f>
        <v>#REF!</v>
      </c>
    </row>
    <row r="1099" spans="1:16" s="273" customFormat="1" x14ac:dyDescent="0.25">
      <c r="A1099" s="372" t="s">
        <v>324</v>
      </c>
      <c r="B1099" s="373" t="s">
        <v>210</v>
      </c>
      <c r="C1099" s="374" t="s">
        <v>4</v>
      </c>
      <c r="D1099" s="375" t="s">
        <v>1177</v>
      </c>
      <c r="E1099" s="374" t="s">
        <v>666</v>
      </c>
      <c r="F1099" s="374" t="s">
        <v>1177</v>
      </c>
      <c r="G1099" s="375" t="s">
        <v>170</v>
      </c>
      <c r="H1099" s="375" t="str">
        <f>IFERROR(IF(SEARCH(".00.00.00.00.00",Tableau16[[#This Row],[name]],1)=7,"Division",""),"")</f>
        <v>Division</v>
      </c>
      <c r="I1099" s="374"/>
      <c r="J1099" s="376" t="s">
        <v>708</v>
      </c>
      <c r="K1099" s="377">
        <f>ROUND(Tableau16[[#This Row],[LEN]]*7.27,0)</f>
        <v>36</v>
      </c>
      <c r="L1099" s="377">
        <v>15</v>
      </c>
      <c r="M1099" s="378" t="str">
        <f t="shared" si="7"/>
        <v>none</v>
      </c>
      <c r="N1099" s="377">
        <f>LEN(Tableau16[[#This Row],[LABEL]])</f>
        <v>5</v>
      </c>
      <c r="O1099" s="377">
        <v>15</v>
      </c>
      <c r="P1099" s="377" t="e">
        <f>ROUND(Tableau16[[#This Row],[LEN]]*#REF!+#REF!,0)</f>
        <v>#REF!</v>
      </c>
    </row>
    <row r="1100" spans="1:16" s="97" customFormat="1" x14ac:dyDescent="0.25">
      <c r="A1100" s="61" t="s">
        <v>1869</v>
      </c>
      <c r="B1100" s="62" t="s">
        <v>324</v>
      </c>
      <c r="C1100" s="63" t="s">
        <v>1876</v>
      </c>
      <c r="D1100" s="79" t="s">
        <v>1177</v>
      </c>
      <c r="E1100" s="63" t="s">
        <v>666</v>
      </c>
      <c r="F1100" s="63" t="s">
        <v>1177</v>
      </c>
      <c r="G1100" s="79" t="s">
        <v>170</v>
      </c>
      <c r="H1100" s="79" t="s">
        <v>654</v>
      </c>
      <c r="I1100" s="63"/>
      <c r="J1100" s="64" t="s">
        <v>708</v>
      </c>
      <c r="K1100" s="120">
        <f>ROUND(Tableau16[[#This Row],[LEN]]*7.27,0)</f>
        <v>342</v>
      </c>
      <c r="L1100" s="120">
        <v>15</v>
      </c>
      <c r="M1100" s="137" t="str">
        <f t="shared" si="7"/>
        <v>none</v>
      </c>
      <c r="N1100" s="120">
        <f>LEN(Tableau16[[#This Row],[LABEL]])</f>
        <v>47</v>
      </c>
      <c r="O1100" s="120">
        <v>15</v>
      </c>
      <c r="P1100" s="120" t="e">
        <f>ROUND(Tableau16[[#This Row],[LEN]]*#REF!+#REF!,0)</f>
        <v>#REF!</v>
      </c>
    </row>
    <row r="1101" spans="1:16" s="97" customFormat="1" x14ac:dyDescent="0.25">
      <c r="A1101" s="61" t="s">
        <v>1870</v>
      </c>
      <c r="B1101" s="62" t="s">
        <v>324</v>
      </c>
      <c r="C1101" s="63" t="s">
        <v>1875</v>
      </c>
      <c r="D1101" s="79" t="s">
        <v>1177</v>
      </c>
      <c r="E1101" s="63" t="s">
        <v>684</v>
      </c>
      <c r="F1101" s="63" t="s">
        <v>2086</v>
      </c>
      <c r="G1101" s="79" t="s">
        <v>170</v>
      </c>
      <c r="H1101" s="79" t="s">
        <v>656</v>
      </c>
      <c r="I1101" s="63"/>
      <c r="J1101" s="64" t="s">
        <v>708</v>
      </c>
      <c r="K1101" s="120">
        <f>ROUND(Tableau16[[#This Row],[LEN]]*7.27,0)</f>
        <v>291</v>
      </c>
      <c r="L1101" s="120">
        <v>15</v>
      </c>
      <c r="M1101" s="137" t="str">
        <f t="shared" si="7"/>
        <v>none</v>
      </c>
      <c r="N1101" s="120">
        <f>LEN(Tableau16[[#This Row],[LABEL]])</f>
        <v>40</v>
      </c>
      <c r="O1101" s="120">
        <v>15</v>
      </c>
      <c r="P1101" s="120" t="e">
        <f>ROUND(Tableau16[[#This Row],[LEN]]*#REF!+#REF!,0)</f>
        <v>#REF!</v>
      </c>
    </row>
    <row r="1102" spans="1:16" s="97" customFormat="1" x14ac:dyDescent="0.25">
      <c r="A1102" s="61" t="s">
        <v>1871</v>
      </c>
      <c r="B1102" s="62" t="s">
        <v>324</v>
      </c>
      <c r="C1102" s="63" t="s">
        <v>602</v>
      </c>
      <c r="D1102" s="79" t="s">
        <v>1177</v>
      </c>
      <c r="E1102" s="63" t="s">
        <v>661</v>
      </c>
      <c r="F1102" s="63" t="s">
        <v>1874</v>
      </c>
      <c r="G1102" s="79" t="s">
        <v>170</v>
      </c>
      <c r="H1102" s="79" t="s">
        <v>656</v>
      </c>
      <c r="I1102" s="63"/>
      <c r="J1102" s="64" t="s">
        <v>708</v>
      </c>
      <c r="K1102" s="120">
        <f>ROUND(Tableau16[[#This Row],[LEN]]*7.27,0)</f>
        <v>553</v>
      </c>
      <c r="L1102" s="120">
        <v>15</v>
      </c>
      <c r="M1102" s="137" t="str">
        <f t="shared" si="7"/>
        <v>none</v>
      </c>
      <c r="N1102" s="120">
        <f>LEN(Tableau16[[#This Row],[LABEL]])</f>
        <v>76</v>
      </c>
      <c r="O1102" s="120">
        <v>15</v>
      </c>
      <c r="P1102" s="120" t="e">
        <f>ROUND(Tableau16[[#This Row],[LEN]]*#REF!+#REF!,0)</f>
        <v>#REF!</v>
      </c>
    </row>
    <row r="1103" spans="1:16" s="97" customFormat="1" x14ac:dyDescent="0.25">
      <c r="A1103" s="61" t="s">
        <v>1872</v>
      </c>
      <c r="B1103" s="62" t="s">
        <v>324</v>
      </c>
      <c r="C1103" s="63" t="s">
        <v>50</v>
      </c>
      <c r="D1103" s="79" t="s">
        <v>1177</v>
      </c>
      <c r="E1103" s="63" t="s">
        <v>1177</v>
      </c>
      <c r="F1103" s="63" t="s">
        <v>1084</v>
      </c>
      <c r="G1103" s="79" t="s">
        <v>1978</v>
      </c>
      <c r="H1103" s="79" t="s">
        <v>1131</v>
      </c>
      <c r="I1103" s="63"/>
      <c r="J1103" s="64" t="s">
        <v>708</v>
      </c>
      <c r="K1103" s="120">
        <f>ROUND(Tableau16[[#This Row],[LEN]]*7.27,0)</f>
        <v>87</v>
      </c>
      <c r="L1103" s="120">
        <v>15</v>
      </c>
      <c r="M1103" s="137" t="str">
        <f t="shared" si="7"/>
        <v>none</v>
      </c>
      <c r="N1103" s="120">
        <f>LEN(Tableau16[[#This Row],[LABEL]])</f>
        <v>12</v>
      </c>
      <c r="O1103" s="120">
        <v>15</v>
      </c>
      <c r="P1103" s="120" t="e">
        <f>ROUND(Tableau16[[#This Row],[LEN]]*#REF!+#REF!,0)</f>
        <v>#REF!</v>
      </c>
    </row>
    <row r="1104" spans="1:16" s="97" customFormat="1" x14ac:dyDescent="0.25">
      <c r="A1104" s="61" t="s">
        <v>1873</v>
      </c>
      <c r="B1104" s="62" t="s">
        <v>324</v>
      </c>
      <c r="C1104" s="63" t="s">
        <v>603</v>
      </c>
      <c r="D1104" s="79" t="s">
        <v>1177</v>
      </c>
      <c r="E1104" s="63" t="s">
        <v>1177</v>
      </c>
      <c r="F1104" s="63" t="s">
        <v>1084</v>
      </c>
      <c r="G1104" s="79" t="s">
        <v>1977</v>
      </c>
      <c r="H1104" s="79" t="s">
        <v>1131</v>
      </c>
      <c r="I1104" s="63"/>
      <c r="J1104" s="64" t="s">
        <v>708</v>
      </c>
      <c r="K1104" s="120">
        <f>ROUND(Tableau16[[#This Row],[LEN]]*7.27,0)</f>
        <v>247</v>
      </c>
      <c r="L1104" s="120">
        <v>15</v>
      </c>
      <c r="M1104" s="137" t="str">
        <f t="shared" si="7"/>
        <v>none</v>
      </c>
      <c r="N1104" s="120">
        <f>LEN(Tableau16[[#This Row],[LABEL]])</f>
        <v>34</v>
      </c>
      <c r="O1104" s="120">
        <v>15</v>
      </c>
      <c r="P1104" s="120" t="e">
        <f>ROUND(Tableau16[[#This Row],[LEN]]*#REF!+#REF!,0)</f>
        <v>#REF!</v>
      </c>
    </row>
    <row r="1105" spans="1:16" s="273" customFormat="1" x14ac:dyDescent="0.25">
      <c r="A1105" s="372" t="s">
        <v>326</v>
      </c>
      <c r="B1105" s="373" t="s">
        <v>210</v>
      </c>
      <c r="C1105" s="374" t="s">
        <v>5</v>
      </c>
      <c r="D1105" s="375" t="s">
        <v>1177</v>
      </c>
      <c r="E1105" s="374" t="s">
        <v>668</v>
      </c>
      <c r="F1105" s="374" t="s">
        <v>1177</v>
      </c>
      <c r="G1105" s="375" t="s">
        <v>170</v>
      </c>
      <c r="H1105" s="375" t="str">
        <f>IFERROR(IF(SEARCH(".00.00.00.00.00",Tableau16[[#This Row],[name]],1)=7,"Division",""),"")</f>
        <v>Division</v>
      </c>
      <c r="I1105" s="374"/>
      <c r="J1105" s="376" t="s">
        <v>708</v>
      </c>
      <c r="K1105" s="377">
        <f>ROUND(Tableau16[[#This Row],[LEN]]*7.27,0)</f>
        <v>73</v>
      </c>
      <c r="L1105" s="377">
        <v>15</v>
      </c>
      <c r="M1105" s="378" t="str">
        <f t="shared" si="7"/>
        <v>none</v>
      </c>
      <c r="N1105" s="377">
        <f>LEN(Tableau16[[#This Row],[LABEL]])</f>
        <v>10</v>
      </c>
      <c r="O1105" s="377">
        <v>15</v>
      </c>
      <c r="P1105" s="377" t="e">
        <f>ROUND(Tableau16[[#This Row],[LEN]]*#REF!+#REF!,0)</f>
        <v>#REF!</v>
      </c>
    </row>
    <row r="1106" spans="1:16" s="97" customFormat="1" x14ac:dyDescent="0.25">
      <c r="A1106" s="61" t="s">
        <v>1877</v>
      </c>
      <c r="B1106" s="62" t="s">
        <v>326</v>
      </c>
      <c r="C1106" s="63" t="s">
        <v>602</v>
      </c>
      <c r="D1106" s="79" t="s">
        <v>1177</v>
      </c>
      <c r="E1106" s="63" t="s">
        <v>661</v>
      </c>
      <c r="F1106" s="63" t="s">
        <v>1874</v>
      </c>
      <c r="G1106" s="79" t="s">
        <v>170</v>
      </c>
      <c r="H1106" s="79" t="s">
        <v>656</v>
      </c>
      <c r="I1106" s="63"/>
      <c r="J1106" s="64" t="s">
        <v>708</v>
      </c>
      <c r="K1106" s="120">
        <f>ROUND(Tableau16[[#This Row],[LEN]]*7.27,0)</f>
        <v>553</v>
      </c>
      <c r="L1106" s="120">
        <v>15</v>
      </c>
      <c r="M1106" s="137" t="str">
        <f t="shared" si="7"/>
        <v>none</v>
      </c>
      <c r="N1106" s="120">
        <f>LEN(Tableau16[[#This Row],[LABEL]])</f>
        <v>76</v>
      </c>
      <c r="O1106" s="120">
        <v>15</v>
      </c>
      <c r="P1106" s="120" t="e">
        <f>ROUND(Tableau16[[#This Row],[LEN]]*#REF!+#REF!,0)</f>
        <v>#REF!</v>
      </c>
    </row>
    <row r="1107" spans="1:16" s="273" customFormat="1" x14ac:dyDescent="0.25">
      <c r="A1107" s="372" t="s">
        <v>327</v>
      </c>
      <c r="B1107" s="373" t="s">
        <v>210</v>
      </c>
      <c r="C1107" s="374" t="s">
        <v>6</v>
      </c>
      <c r="D1107" s="375" t="s">
        <v>1177</v>
      </c>
      <c r="E1107" s="374" t="s">
        <v>669</v>
      </c>
      <c r="F1107" s="374" t="s">
        <v>1177</v>
      </c>
      <c r="G1107" s="375" t="s">
        <v>170</v>
      </c>
      <c r="H1107" s="375" t="str">
        <f>IFERROR(IF(SEARCH(".00.00.00.00.00",Tableau16[[#This Row],[name]],1)=7,"Division",""),"")</f>
        <v>Division</v>
      </c>
      <c r="I1107" s="374"/>
      <c r="J1107" s="376" t="s">
        <v>708</v>
      </c>
      <c r="K1107" s="377">
        <f>ROUND(Tableau16[[#This Row],[LEN]]*7.27,0)</f>
        <v>196</v>
      </c>
      <c r="L1107" s="377">
        <v>15</v>
      </c>
      <c r="M1107" s="378" t="str">
        <f t="shared" si="7"/>
        <v>none</v>
      </c>
      <c r="N1107" s="377">
        <f>LEN(Tableau16[[#This Row],[LABEL]])</f>
        <v>27</v>
      </c>
      <c r="O1107" s="377">
        <v>15</v>
      </c>
      <c r="P1107" s="377" t="e">
        <f>ROUND(Tableau16[[#This Row],[LEN]]*#REF!+#REF!,0)</f>
        <v>#REF!</v>
      </c>
    </row>
    <row r="1108" spans="1:16" s="97" customFormat="1" x14ac:dyDescent="0.25">
      <c r="A1108" s="61" t="s">
        <v>1886</v>
      </c>
      <c r="B1108" s="62" t="s">
        <v>327</v>
      </c>
      <c r="C1108" s="63" t="s">
        <v>1890</v>
      </c>
      <c r="D1108" s="79" t="s">
        <v>1891</v>
      </c>
      <c r="E1108" s="63" t="s">
        <v>669</v>
      </c>
      <c r="F1108" s="63" t="s">
        <v>1177</v>
      </c>
      <c r="G1108" s="79" t="s">
        <v>170</v>
      </c>
      <c r="H1108" s="79" t="s">
        <v>570</v>
      </c>
      <c r="I1108" s="63"/>
      <c r="J1108" s="64" t="s">
        <v>708</v>
      </c>
      <c r="K1108" s="120">
        <f>ROUND(Tableau16[[#This Row],[LEN]]*7.27,0)</f>
        <v>327</v>
      </c>
      <c r="L1108" s="120">
        <v>15</v>
      </c>
      <c r="M1108" s="137" t="str">
        <f t="shared" si="7"/>
        <v>none</v>
      </c>
      <c r="N1108" s="120">
        <f>LEN(Tableau16[[#This Row],[LABEL]])</f>
        <v>45</v>
      </c>
      <c r="O1108" s="120">
        <v>15</v>
      </c>
      <c r="P1108" s="120" t="e">
        <f>ROUND(Tableau16[[#This Row],[LEN]]*#REF!+#REF!,0)</f>
        <v>#REF!</v>
      </c>
    </row>
    <row r="1109" spans="1:16" s="97" customFormat="1" x14ac:dyDescent="0.25">
      <c r="A1109" s="61" t="s">
        <v>1887</v>
      </c>
      <c r="B1109" s="62" t="s">
        <v>327</v>
      </c>
      <c r="C1109" s="63" t="s">
        <v>602</v>
      </c>
      <c r="D1109" s="79" t="s">
        <v>1177</v>
      </c>
      <c r="E1109" s="63" t="s">
        <v>661</v>
      </c>
      <c r="F1109" s="63" t="s">
        <v>1874</v>
      </c>
      <c r="G1109" s="79" t="s">
        <v>170</v>
      </c>
      <c r="H1109" s="79" t="s">
        <v>656</v>
      </c>
      <c r="I1109" s="63"/>
      <c r="J1109" s="64" t="s">
        <v>708</v>
      </c>
      <c r="K1109" s="120">
        <f>ROUND(Tableau16[[#This Row],[LEN]]*7.27,0)</f>
        <v>553</v>
      </c>
      <c r="L1109" s="120">
        <v>15</v>
      </c>
      <c r="M1109" s="137" t="str">
        <f t="shared" si="7"/>
        <v>none</v>
      </c>
      <c r="N1109" s="120">
        <f>LEN(Tableau16[[#This Row],[LABEL]])</f>
        <v>76</v>
      </c>
      <c r="O1109" s="120">
        <v>15</v>
      </c>
      <c r="P1109" s="120" t="e">
        <f>ROUND(Tableau16[[#This Row],[LEN]]*#REF!+#REF!,0)</f>
        <v>#REF!</v>
      </c>
    </row>
    <row r="1110" spans="1:16" s="97" customFormat="1" x14ac:dyDescent="0.25">
      <c r="A1110" s="61" t="s">
        <v>1888</v>
      </c>
      <c r="B1110" s="62" t="s">
        <v>327</v>
      </c>
      <c r="C1110" s="63" t="s">
        <v>50</v>
      </c>
      <c r="D1110" s="79" t="s">
        <v>1177</v>
      </c>
      <c r="E1110" s="63" t="s">
        <v>1177</v>
      </c>
      <c r="F1110" s="63" t="s">
        <v>1084</v>
      </c>
      <c r="G1110" s="79" t="s">
        <v>1978</v>
      </c>
      <c r="H1110" s="79" t="s">
        <v>1131</v>
      </c>
      <c r="I1110" s="63"/>
      <c r="J1110" s="64" t="s">
        <v>708</v>
      </c>
      <c r="K1110" s="120">
        <f>ROUND(Tableau16[[#This Row],[LEN]]*7.27,0)</f>
        <v>87</v>
      </c>
      <c r="L1110" s="120">
        <v>15</v>
      </c>
      <c r="M1110" s="137" t="str">
        <f t="shared" si="7"/>
        <v>none</v>
      </c>
      <c r="N1110" s="120">
        <f>LEN(Tableau16[[#This Row],[LABEL]])</f>
        <v>12</v>
      </c>
      <c r="O1110" s="120">
        <v>15</v>
      </c>
      <c r="P1110" s="120" t="e">
        <f>ROUND(Tableau16[[#This Row],[LEN]]*#REF!+#REF!,0)</f>
        <v>#REF!</v>
      </c>
    </row>
    <row r="1111" spans="1:16" s="97" customFormat="1" x14ac:dyDescent="0.25">
      <c r="A1111" s="61" t="s">
        <v>1889</v>
      </c>
      <c r="B1111" s="62" t="s">
        <v>327</v>
      </c>
      <c r="C1111" s="63" t="s">
        <v>603</v>
      </c>
      <c r="D1111" s="79" t="s">
        <v>1177</v>
      </c>
      <c r="E1111" s="63" t="s">
        <v>1177</v>
      </c>
      <c r="F1111" s="63" t="s">
        <v>1084</v>
      </c>
      <c r="G1111" s="79" t="s">
        <v>1977</v>
      </c>
      <c r="H1111" s="79" t="s">
        <v>1131</v>
      </c>
      <c r="I1111" s="63"/>
      <c r="J1111" s="64" t="s">
        <v>708</v>
      </c>
      <c r="K1111" s="120">
        <f>ROUND(Tableau16[[#This Row],[LEN]]*7.27,0)</f>
        <v>247</v>
      </c>
      <c r="L1111" s="120">
        <v>15</v>
      </c>
      <c r="M1111" s="137" t="str">
        <f t="shared" si="7"/>
        <v>none</v>
      </c>
      <c r="N1111" s="120">
        <f>LEN(Tableau16[[#This Row],[LABEL]])</f>
        <v>34</v>
      </c>
      <c r="O1111" s="120">
        <v>15</v>
      </c>
      <c r="P1111" s="120" t="e">
        <f>ROUND(Tableau16[[#This Row],[LEN]]*#REF!+#REF!,0)</f>
        <v>#REF!</v>
      </c>
    </row>
    <row r="1112" spans="1:16" s="273" customFormat="1" x14ac:dyDescent="0.25">
      <c r="A1112" s="372" t="s">
        <v>329</v>
      </c>
      <c r="B1112" s="373" t="s">
        <v>210</v>
      </c>
      <c r="C1112" s="374" t="s">
        <v>8</v>
      </c>
      <c r="D1112" s="375" t="s">
        <v>1177</v>
      </c>
      <c r="E1112" s="374" t="s">
        <v>671</v>
      </c>
      <c r="F1112" s="374" t="s">
        <v>1177</v>
      </c>
      <c r="G1112" s="375" t="s">
        <v>170</v>
      </c>
      <c r="H1112" s="375" t="str">
        <f>IFERROR(IF(SEARCH(".00.00.00.00.00",Tableau16[[#This Row],[name]],1)=7,"Division",""),"")</f>
        <v>Division</v>
      </c>
      <c r="I1112" s="374"/>
      <c r="J1112" s="376" t="s">
        <v>708</v>
      </c>
      <c r="K1112" s="377">
        <f>ROUND(Tableau16[[#This Row],[LEN]]*7.27,0)</f>
        <v>116</v>
      </c>
      <c r="L1112" s="377">
        <v>15</v>
      </c>
      <c r="M1112" s="378" t="str">
        <f t="shared" si="7"/>
        <v>none</v>
      </c>
      <c r="N1112" s="377">
        <f>LEN(Tableau16[[#This Row],[LABEL]])</f>
        <v>16</v>
      </c>
      <c r="O1112" s="377">
        <v>15</v>
      </c>
      <c r="P1112" s="377" t="e">
        <f>ROUND(Tableau16[[#This Row],[LEN]]*#REF!+#REF!,0)</f>
        <v>#REF!</v>
      </c>
    </row>
    <row r="1113" spans="1:16" s="97" customFormat="1" x14ac:dyDescent="0.25">
      <c r="A1113" s="61" t="s">
        <v>1893</v>
      </c>
      <c r="B1113" s="62" t="s">
        <v>329</v>
      </c>
      <c r="C1113" s="63" t="s">
        <v>1892</v>
      </c>
      <c r="D1113" s="79" t="s">
        <v>1177</v>
      </c>
      <c r="E1113" s="63" t="s">
        <v>679</v>
      </c>
      <c r="F1113" s="63" t="s">
        <v>1920</v>
      </c>
      <c r="G1113" s="79" t="s">
        <v>170</v>
      </c>
      <c r="H1113" s="79" t="s">
        <v>656</v>
      </c>
      <c r="I1113" s="63"/>
      <c r="J1113" s="64" t="s">
        <v>708</v>
      </c>
      <c r="K1113" s="120">
        <f>ROUND(Tableau16[[#This Row],[LEN]]*7.27,0)</f>
        <v>204</v>
      </c>
      <c r="L1113" s="120">
        <v>15</v>
      </c>
      <c r="M1113" s="137" t="str">
        <f t="shared" si="7"/>
        <v>none</v>
      </c>
      <c r="N1113" s="120">
        <f>LEN(Tableau16[[#This Row],[LABEL]])</f>
        <v>28</v>
      </c>
      <c r="O1113" s="120">
        <v>15</v>
      </c>
      <c r="P1113" s="120" t="e">
        <f>ROUND(Tableau16[[#This Row],[LEN]]*#REF!+#REF!,0)</f>
        <v>#REF!</v>
      </c>
    </row>
    <row r="1114" spans="1:16" s="97" customFormat="1" x14ac:dyDescent="0.25">
      <c r="A1114" s="61" t="s">
        <v>1894</v>
      </c>
      <c r="B1114" s="62" t="s">
        <v>329</v>
      </c>
      <c r="C1114" s="63" t="s">
        <v>602</v>
      </c>
      <c r="D1114" s="79" t="s">
        <v>1177</v>
      </c>
      <c r="E1114" s="63" t="s">
        <v>661</v>
      </c>
      <c r="F1114" s="63" t="s">
        <v>1874</v>
      </c>
      <c r="G1114" s="79" t="s">
        <v>170</v>
      </c>
      <c r="H1114" s="79" t="s">
        <v>656</v>
      </c>
      <c r="I1114" s="63"/>
      <c r="J1114" s="64" t="s">
        <v>708</v>
      </c>
      <c r="K1114" s="120">
        <f>ROUND(Tableau16[[#This Row],[LEN]]*7.27,0)</f>
        <v>553</v>
      </c>
      <c r="L1114" s="120">
        <v>15</v>
      </c>
      <c r="M1114" s="137" t="str">
        <f t="shared" si="7"/>
        <v>none</v>
      </c>
      <c r="N1114" s="120">
        <f>LEN(Tableau16[[#This Row],[LABEL]])</f>
        <v>76</v>
      </c>
      <c r="O1114" s="120">
        <v>15</v>
      </c>
      <c r="P1114" s="120" t="e">
        <f>ROUND(Tableau16[[#This Row],[LEN]]*#REF!+#REF!,0)</f>
        <v>#REF!</v>
      </c>
    </row>
    <row r="1115" spans="1:16" s="97" customFormat="1" x14ac:dyDescent="0.25">
      <c r="A1115" s="61" t="s">
        <v>1895</v>
      </c>
      <c r="B1115" s="62" t="s">
        <v>329</v>
      </c>
      <c r="C1115" s="63" t="s">
        <v>50</v>
      </c>
      <c r="D1115" s="79" t="s">
        <v>1177</v>
      </c>
      <c r="E1115" s="63" t="s">
        <v>1177</v>
      </c>
      <c r="F1115" s="63" t="s">
        <v>1084</v>
      </c>
      <c r="G1115" s="79" t="s">
        <v>1978</v>
      </c>
      <c r="H1115" s="79" t="s">
        <v>1131</v>
      </c>
      <c r="I1115" s="63"/>
      <c r="J1115" s="64" t="s">
        <v>708</v>
      </c>
      <c r="K1115" s="120">
        <f>ROUND(Tableau16[[#This Row],[LEN]]*7.27,0)</f>
        <v>87</v>
      </c>
      <c r="L1115" s="120">
        <v>15</v>
      </c>
      <c r="M1115" s="137" t="str">
        <f t="shared" si="7"/>
        <v>none</v>
      </c>
      <c r="N1115" s="120">
        <f>LEN(Tableau16[[#This Row],[LABEL]])</f>
        <v>12</v>
      </c>
      <c r="O1115" s="120">
        <v>15</v>
      </c>
      <c r="P1115" s="120" t="e">
        <f>ROUND(Tableau16[[#This Row],[LEN]]*#REF!+#REF!,0)</f>
        <v>#REF!</v>
      </c>
    </row>
    <row r="1116" spans="1:16" s="97" customFormat="1" x14ac:dyDescent="0.25">
      <c r="A1116" s="61" t="s">
        <v>1896</v>
      </c>
      <c r="B1116" s="62" t="s">
        <v>329</v>
      </c>
      <c r="C1116" s="63" t="s">
        <v>603</v>
      </c>
      <c r="D1116" s="79" t="s">
        <v>1177</v>
      </c>
      <c r="E1116" s="63" t="s">
        <v>1177</v>
      </c>
      <c r="F1116" s="63" t="s">
        <v>1084</v>
      </c>
      <c r="G1116" s="79" t="s">
        <v>1977</v>
      </c>
      <c r="H1116" s="79" t="s">
        <v>1131</v>
      </c>
      <c r="I1116" s="63"/>
      <c r="J1116" s="64" t="s">
        <v>708</v>
      </c>
      <c r="K1116" s="120">
        <f>ROUND(Tableau16[[#This Row],[LEN]]*7.27,0)</f>
        <v>247</v>
      </c>
      <c r="L1116" s="120">
        <v>15</v>
      </c>
      <c r="M1116" s="137" t="str">
        <f t="shared" si="7"/>
        <v>none</v>
      </c>
      <c r="N1116" s="120">
        <f>LEN(Tableau16[[#This Row],[LABEL]])</f>
        <v>34</v>
      </c>
      <c r="O1116" s="120">
        <v>15</v>
      </c>
      <c r="P1116" s="120" t="e">
        <f>ROUND(Tableau16[[#This Row],[LEN]]*#REF!+#REF!,0)</f>
        <v>#REF!</v>
      </c>
    </row>
    <row r="1117" spans="1:16" s="273" customFormat="1" x14ac:dyDescent="0.25">
      <c r="A1117" s="372" t="s">
        <v>330</v>
      </c>
      <c r="B1117" s="373" t="s">
        <v>210</v>
      </c>
      <c r="C1117" s="374" t="s">
        <v>9</v>
      </c>
      <c r="D1117" s="375" t="s">
        <v>1177</v>
      </c>
      <c r="E1117" s="374" t="s">
        <v>672</v>
      </c>
      <c r="F1117" s="374" t="s">
        <v>1177</v>
      </c>
      <c r="G1117" s="375" t="s">
        <v>170</v>
      </c>
      <c r="H1117" s="375" t="str">
        <f>IFERROR(IF(SEARCH(".00.00.00.00.00",Tableau16[[#This Row],[name]],1)=7,"Division",""),"")</f>
        <v>Division</v>
      </c>
      <c r="I1117" s="374"/>
      <c r="J1117" s="376" t="s">
        <v>718</v>
      </c>
      <c r="K1117" s="377">
        <f>ROUND(Tableau16[[#This Row],[LEN]]*7.27,0)</f>
        <v>80</v>
      </c>
      <c r="L1117" s="377">
        <v>15</v>
      </c>
      <c r="M1117" s="378" t="str">
        <f t="shared" si="7"/>
        <v>new</v>
      </c>
      <c r="N1117" s="377">
        <f>LEN(Tableau16[[#This Row],[LABEL]])</f>
        <v>11</v>
      </c>
      <c r="O1117" s="377">
        <v>15</v>
      </c>
      <c r="P1117" s="377" t="e">
        <f>ROUND(Tableau16[[#This Row],[LEN]]*#REF!+#REF!,0)</f>
        <v>#REF!</v>
      </c>
    </row>
    <row r="1118" spans="1:16" s="97" customFormat="1" x14ac:dyDescent="0.25">
      <c r="A1118" s="61" t="s">
        <v>599</v>
      </c>
      <c r="B1118" s="62" t="s">
        <v>330</v>
      </c>
      <c r="C1118" s="63" t="s">
        <v>602</v>
      </c>
      <c r="D1118" s="79" t="s">
        <v>1177</v>
      </c>
      <c r="E1118" s="63" t="s">
        <v>661</v>
      </c>
      <c r="F1118" s="63" t="s">
        <v>1874</v>
      </c>
      <c r="G1118" s="79" t="s">
        <v>170</v>
      </c>
      <c r="H1118" s="79" t="s">
        <v>656</v>
      </c>
      <c r="I1118" s="63"/>
      <c r="J1118" s="64" t="s">
        <v>708</v>
      </c>
      <c r="K1118" s="120">
        <f>ROUND(Tableau16[[#This Row],[LEN]]*7.27,0)</f>
        <v>553</v>
      </c>
      <c r="L1118" s="120">
        <v>15</v>
      </c>
      <c r="M1118" s="137" t="str">
        <f t="shared" si="7"/>
        <v>none</v>
      </c>
      <c r="N1118" s="120">
        <f>LEN(Tableau16[[#This Row],[LABEL]])</f>
        <v>76</v>
      </c>
      <c r="O1118" s="120">
        <v>15</v>
      </c>
      <c r="P1118" s="120" t="e">
        <f>ROUND(Tableau16[[#This Row],[LEN]]*#REF!+#REF!,0)</f>
        <v>#REF!</v>
      </c>
    </row>
    <row r="1119" spans="1:16" s="97" customFormat="1" x14ac:dyDescent="0.25">
      <c r="A1119" s="61" t="s">
        <v>600</v>
      </c>
      <c r="B1119" s="62" t="s">
        <v>330</v>
      </c>
      <c r="C1119" s="63" t="s">
        <v>50</v>
      </c>
      <c r="D1119" s="79" t="s">
        <v>1177</v>
      </c>
      <c r="E1119" s="63" t="s">
        <v>1177</v>
      </c>
      <c r="F1119" s="63" t="s">
        <v>1084</v>
      </c>
      <c r="G1119" s="79" t="s">
        <v>1978</v>
      </c>
      <c r="H1119" s="79" t="s">
        <v>1131</v>
      </c>
      <c r="I1119" s="63"/>
      <c r="J1119" s="64" t="s">
        <v>708</v>
      </c>
      <c r="K1119" s="120">
        <f>ROUND(Tableau16[[#This Row],[LEN]]*7.27,0)</f>
        <v>87</v>
      </c>
      <c r="L1119" s="120">
        <v>15</v>
      </c>
      <c r="M1119" s="137" t="str">
        <f t="shared" si="7"/>
        <v>none</v>
      </c>
      <c r="N1119" s="120">
        <f>LEN(Tableau16[[#This Row],[LABEL]])</f>
        <v>12</v>
      </c>
      <c r="O1119" s="120">
        <v>15</v>
      </c>
      <c r="P1119" s="120" t="e">
        <f>ROUND(Tableau16[[#This Row],[LEN]]*#REF!+#REF!,0)</f>
        <v>#REF!</v>
      </c>
    </row>
    <row r="1120" spans="1:16" s="97" customFormat="1" x14ac:dyDescent="0.25">
      <c r="A1120" s="61" t="s">
        <v>601</v>
      </c>
      <c r="B1120" s="62" t="s">
        <v>330</v>
      </c>
      <c r="C1120" s="63" t="s">
        <v>603</v>
      </c>
      <c r="D1120" s="79" t="s">
        <v>1177</v>
      </c>
      <c r="E1120" s="63" t="s">
        <v>1177</v>
      </c>
      <c r="F1120" s="63" t="s">
        <v>1084</v>
      </c>
      <c r="G1120" s="79" t="s">
        <v>1977</v>
      </c>
      <c r="H1120" s="79" t="s">
        <v>1131</v>
      </c>
      <c r="I1120" s="63"/>
      <c r="J1120" s="64" t="s">
        <v>708</v>
      </c>
      <c r="K1120" s="120">
        <f>ROUND(Tableau16[[#This Row],[LEN]]*7.27,0)</f>
        <v>247</v>
      </c>
      <c r="L1120" s="120">
        <v>15</v>
      </c>
      <c r="M1120" s="137" t="str">
        <f t="shared" si="7"/>
        <v>none</v>
      </c>
      <c r="N1120" s="120">
        <f>LEN(Tableau16[[#This Row],[LABEL]])</f>
        <v>34</v>
      </c>
      <c r="O1120" s="120">
        <v>15</v>
      </c>
      <c r="P1120" s="120" t="e">
        <f>ROUND(Tableau16[[#This Row],[LEN]]*#REF!+#REF!,0)</f>
        <v>#REF!</v>
      </c>
    </row>
    <row r="1121" spans="1:16" s="273" customFormat="1" x14ac:dyDescent="0.25">
      <c r="A1121" s="372" t="s">
        <v>331</v>
      </c>
      <c r="B1121" s="373" t="s">
        <v>210</v>
      </c>
      <c r="C1121" s="374" t="s">
        <v>10</v>
      </c>
      <c r="D1121" s="375" t="s">
        <v>1177</v>
      </c>
      <c r="E1121" s="374" t="s">
        <v>673</v>
      </c>
      <c r="F1121" s="374" t="s">
        <v>1177</v>
      </c>
      <c r="G1121" s="375" t="s">
        <v>170</v>
      </c>
      <c r="H1121" s="375" t="str">
        <f>IFERROR(IF(SEARCH(".00.00.00.00.00",Tableau16[[#This Row],[name]],1)=7,"Division",""),"")</f>
        <v>Division</v>
      </c>
      <c r="I1121" s="374"/>
      <c r="J1121" s="376" t="s">
        <v>719</v>
      </c>
      <c r="K1121" s="377">
        <f>ROUND(Tableau16[[#This Row],[LEN]]*7.27,0)</f>
        <v>109</v>
      </c>
      <c r="L1121" s="377">
        <v>15</v>
      </c>
      <c r="M1121" s="378" t="str">
        <f t="shared" si="7"/>
        <v>new</v>
      </c>
      <c r="N1121" s="377">
        <f>LEN(Tableau16[[#This Row],[LABEL]])</f>
        <v>15</v>
      </c>
      <c r="O1121" s="377">
        <v>15</v>
      </c>
      <c r="P1121" s="377" t="e">
        <f>ROUND(Tableau16[[#This Row],[LEN]]*#REF!+#REF!,0)</f>
        <v>#REF!</v>
      </c>
    </row>
    <row r="1122" spans="1:16" s="97" customFormat="1" x14ac:dyDescent="0.25">
      <c r="A1122" s="61" t="s">
        <v>1878</v>
      </c>
      <c r="B1122" s="62" t="s">
        <v>331</v>
      </c>
      <c r="C1122" s="63" t="s">
        <v>1882</v>
      </c>
      <c r="D1122" s="79" t="s">
        <v>1177</v>
      </c>
      <c r="E1122" s="63" t="s">
        <v>673</v>
      </c>
      <c r="F1122" s="63" t="s">
        <v>2087</v>
      </c>
      <c r="G1122" s="79" t="s">
        <v>170</v>
      </c>
      <c r="H1122" s="79" t="s">
        <v>656</v>
      </c>
      <c r="I1122" s="63"/>
      <c r="J1122" s="64" t="s">
        <v>708</v>
      </c>
      <c r="K1122" s="120">
        <f>ROUND(Tableau16[[#This Row],[LEN]]*7.27,0)</f>
        <v>233</v>
      </c>
      <c r="L1122" s="120">
        <v>15</v>
      </c>
      <c r="M1122" s="137" t="str">
        <f t="shared" si="7"/>
        <v>none</v>
      </c>
      <c r="N1122" s="120">
        <f>LEN(Tableau16[[#This Row],[LABEL]])</f>
        <v>32</v>
      </c>
      <c r="O1122" s="120">
        <v>15</v>
      </c>
      <c r="P1122" s="120" t="e">
        <f>ROUND(Tableau16[[#This Row],[LEN]]*#REF!+#REF!,0)</f>
        <v>#REF!</v>
      </c>
    </row>
    <row r="1123" spans="1:16" s="97" customFormat="1" x14ac:dyDescent="0.25">
      <c r="A1123" s="61" t="s">
        <v>1879</v>
      </c>
      <c r="B1123" s="62" t="s">
        <v>331</v>
      </c>
      <c r="C1123" s="63" t="s">
        <v>602</v>
      </c>
      <c r="D1123" s="79" t="s">
        <v>1177</v>
      </c>
      <c r="E1123" s="63" t="s">
        <v>661</v>
      </c>
      <c r="F1123" s="63" t="s">
        <v>1874</v>
      </c>
      <c r="G1123" s="79" t="s">
        <v>170</v>
      </c>
      <c r="H1123" s="79" t="s">
        <v>656</v>
      </c>
      <c r="I1123" s="63"/>
      <c r="J1123" s="64" t="s">
        <v>708</v>
      </c>
      <c r="K1123" s="120">
        <f>ROUND(Tableau16[[#This Row],[LEN]]*7.27,0)</f>
        <v>553</v>
      </c>
      <c r="L1123" s="120">
        <v>15</v>
      </c>
      <c r="M1123" s="137" t="str">
        <f t="shared" si="7"/>
        <v>none</v>
      </c>
      <c r="N1123" s="120">
        <f>LEN(Tableau16[[#This Row],[LABEL]])</f>
        <v>76</v>
      </c>
      <c r="O1123" s="120">
        <v>15</v>
      </c>
      <c r="P1123" s="120" t="e">
        <f>ROUND(Tableau16[[#This Row],[LEN]]*#REF!+#REF!,0)</f>
        <v>#REF!</v>
      </c>
    </row>
    <row r="1124" spans="1:16" s="97" customFormat="1" x14ac:dyDescent="0.25">
      <c r="A1124" s="61" t="s">
        <v>1880</v>
      </c>
      <c r="B1124" s="62" t="s">
        <v>331</v>
      </c>
      <c r="C1124" s="63" t="s">
        <v>50</v>
      </c>
      <c r="D1124" s="79" t="s">
        <v>1177</v>
      </c>
      <c r="E1124" s="63" t="s">
        <v>1177</v>
      </c>
      <c r="F1124" s="63" t="s">
        <v>1084</v>
      </c>
      <c r="G1124" s="79" t="s">
        <v>1978</v>
      </c>
      <c r="H1124" s="79" t="s">
        <v>1131</v>
      </c>
      <c r="I1124" s="63"/>
      <c r="J1124" s="64" t="s">
        <v>708</v>
      </c>
      <c r="K1124" s="120">
        <f>ROUND(Tableau16[[#This Row],[LEN]]*7.27,0)</f>
        <v>87</v>
      </c>
      <c r="L1124" s="120">
        <v>15</v>
      </c>
      <c r="M1124" s="137" t="str">
        <f t="shared" si="7"/>
        <v>none</v>
      </c>
      <c r="N1124" s="120">
        <f>LEN(Tableau16[[#This Row],[LABEL]])</f>
        <v>12</v>
      </c>
      <c r="O1124" s="120">
        <v>15</v>
      </c>
      <c r="P1124" s="120" t="e">
        <f>ROUND(Tableau16[[#This Row],[LEN]]*#REF!+#REF!,0)</f>
        <v>#REF!</v>
      </c>
    </row>
    <row r="1125" spans="1:16" s="97" customFormat="1" x14ac:dyDescent="0.25">
      <c r="A1125" s="61" t="s">
        <v>1881</v>
      </c>
      <c r="B1125" s="62" t="s">
        <v>331</v>
      </c>
      <c r="C1125" s="63" t="s">
        <v>603</v>
      </c>
      <c r="D1125" s="79" t="s">
        <v>1177</v>
      </c>
      <c r="E1125" s="63" t="s">
        <v>1177</v>
      </c>
      <c r="F1125" s="63" t="s">
        <v>1084</v>
      </c>
      <c r="G1125" s="79" t="s">
        <v>1977</v>
      </c>
      <c r="H1125" s="79" t="s">
        <v>1131</v>
      </c>
      <c r="I1125" s="63"/>
      <c r="J1125" s="64" t="s">
        <v>708</v>
      </c>
      <c r="K1125" s="120">
        <f>ROUND(Tableau16[[#This Row],[LEN]]*7.27,0)</f>
        <v>247</v>
      </c>
      <c r="L1125" s="120">
        <v>15</v>
      </c>
      <c r="M1125" s="137" t="str">
        <f t="shared" si="7"/>
        <v>none</v>
      </c>
      <c r="N1125" s="120">
        <f>LEN(Tableau16[[#This Row],[LABEL]])</f>
        <v>34</v>
      </c>
      <c r="O1125" s="120">
        <v>15</v>
      </c>
      <c r="P1125" s="120" t="e">
        <f>ROUND(Tableau16[[#This Row],[LEN]]*#REF!+#REF!,0)</f>
        <v>#REF!</v>
      </c>
    </row>
    <row r="1126" spans="1:16" s="273" customFormat="1" x14ac:dyDescent="0.25">
      <c r="A1126" s="372" t="s">
        <v>332</v>
      </c>
      <c r="B1126" s="373" t="s">
        <v>210</v>
      </c>
      <c r="C1126" s="374" t="s">
        <v>11</v>
      </c>
      <c r="D1126" s="375" t="s">
        <v>1177</v>
      </c>
      <c r="E1126" s="374" t="s">
        <v>674</v>
      </c>
      <c r="F1126" s="374" t="s">
        <v>1177</v>
      </c>
      <c r="G1126" s="375" t="s">
        <v>170</v>
      </c>
      <c r="H1126" s="375" t="str">
        <f>IFERROR(IF(SEARCH(".00.00.00.00.00",Tableau16[[#This Row],[name]],1)=7,"Division",""),"")</f>
        <v>Division</v>
      </c>
      <c r="I1126" s="374"/>
      <c r="J1126" s="376" t="s">
        <v>720</v>
      </c>
      <c r="K1126" s="377">
        <f>ROUND(Tableau16[[#This Row],[LEN]]*7.27,0)</f>
        <v>51</v>
      </c>
      <c r="L1126" s="377">
        <v>15</v>
      </c>
      <c r="M1126" s="378" t="str">
        <f t="shared" si="7"/>
        <v>new</v>
      </c>
      <c r="N1126" s="377">
        <f>LEN(Tableau16[[#This Row],[LABEL]])</f>
        <v>7</v>
      </c>
      <c r="O1126" s="377">
        <v>15</v>
      </c>
      <c r="P1126" s="377" t="e">
        <f>ROUND(Tableau16[[#This Row],[LEN]]*#REF!+#REF!,0)</f>
        <v>#REF!</v>
      </c>
    </row>
    <row r="1127" spans="1:16" s="97" customFormat="1" x14ac:dyDescent="0.25">
      <c r="A1127" s="61" t="s">
        <v>1883</v>
      </c>
      <c r="B1127" s="62" t="s">
        <v>332</v>
      </c>
      <c r="C1127" s="63" t="s">
        <v>602</v>
      </c>
      <c r="D1127" s="79" t="s">
        <v>1177</v>
      </c>
      <c r="E1127" s="63" t="s">
        <v>661</v>
      </c>
      <c r="F1127" s="63" t="s">
        <v>1874</v>
      </c>
      <c r="G1127" s="79" t="s">
        <v>170</v>
      </c>
      <c r="H1127" s="79" t="s">
        <v>656</v>
      </c>
      <c r="I1127" s="63"/>
      <c r="J1127" s="64" t="s">
        <v>708</v>
      </c>
      <c r="K1127" s="120">
        <f>ROUND(Tableau16[[#This Row],[LEN]]*7.27,0)</f>
        <v>553</v>
      </c>
      <c r="L1127" s="120">
        <v>15</v>
      </c>
      <c r="M1127" s="137" t="str">
        <f t="shared" si="7"/>
        <v>none</v>
      </c>
      <c r="N1127" s="120">
        <f>LEN(Tableau16[[#This Row],[LABEL]])</f>
        <v>76</v>
      </c>
      <c r="O1127" s="120">
        <v>15</v>
      </c>
      <c r="P1127" s="120" t="e">
        <f>ROUND(Tableau16[[#This Row],[LEN]]*#REF!+#REF!,0)</f>
        <v>#REF!</v>
      </c>
    </row>
    <row r="1128" spans="1:16" s="97" customFormat="1" x14ac:dyDescent="0.25">
      <c r="A1128" s="61" t="s">
        <v>1884</v>
      </c>
      <c r="B1128" s="62" t="s">
        <v>332</v>
      </c>
      <c r="C1128" s="63" t="s">
        <v>50</v>
      </c>
      <c r="D1128" s="79" t="s">
        <v>1177</v>
      </c>
      <c r="E1128" s="63" t="s">
        <v>1177</v>
      </c>
      <c r="F1128" s="63" t="s">
        <v>1084</v>
      </c>
      <c r="G1128" s="79" t="s">
        <v>1978</v>
      </c>
      <c r="H1128" s="79" t="s">
        <v>1131</v>
      </c>
      <c r="I1128" s="63"/>
      <c r="J1128" s="64" t="s">
        <v>708</v>
      </c>
      <c r="K1128" s="120">
        <f>ROUND(Tableau16[[#This Row],[LEN]]*7.27,0)</f>
        <v>87</v>
      </c>
      <c r="L1128" s="120">
        <v>15</v>
      </c>
      <c r="M1128" s="137" t="str">
        <f t="shared" si="7"/>
        <v>none</v>
      </c>
      <c r="N1128" s="120">
        <f>LEN(Tableau16[[#This Row],[LABEL]])</f>
        <v>12</v>
      </c>
      <c r="O1128" s="120">
        <v>15</v>
      </c>
      <c r="P1128" s="120" t="e">
        <f>ROUND(Tableau16[[#This Row],[LEN]]*#REF!+#REF!,0)</f>
        <v>#REF!</v>
      </c>
    </row>
    <row r="1129" spans="1:16" s="97" customFormat="1" x14ac:dyDescent="0.25">
      <c r="A1129" s="61" t="s">
        <v>1885</v>
      </c>
      <c r="B1129" s="62" t="s">
        <v>332</v>
      </c>
      <c r="C1129" s="63" t="s">
        <v>603</v>
      </c>
      <c r="D1129" s="79" t="s">
        <v>1177</v>
      </c>
      <c r="E1129" s="63" t="s">
        <v>1177</v>
      </c>
      <c r="F1129" s="63" t="s">
        <v>1084</v>
      </c>
      <c r="G1129" s="79" t="s">
        <v>1977</v>
      </c>
      <c r="H1129" s="79" t="s">
        <v>1131</v>
      </c>
      <c r="I1129" s="63"/>
      <c r="J1129" s="64" t="s">
        <v>708</v>
      </c>
      <c r="K1129" s="120">
        <f>ROUND(Tableau16[[#This Row],[LEN]]*7.27,0)</f>
        <v>247</v>
      </c>
      <c r="L1129" s="120">
        <v>15</v>
      </c>
      <c r="M1129" s="137" t="str">
        <f t="shared" si="7"/>
        <v>none</v>
      </c>
      <c r="N1129" s="120">
        <f>LEN(Tableau16[[#This Row],[LABEL]])</f>
        <v>34</v>
      </c>
      <c r="O1129" s="120">
        <v>15</v>
      </c>
      <c r="P1129" s="120" t="e">
        <f>ROUND(Tableau16[[#This Row],[LEN]]*#REF!+#REF!,0)</f>
        <v>#REF!</v>
      </c>
    </row>
    <row r="1130" spans="1:16" s="273" customFormat="1" x14ac:dyDescent="0.25">
      <c r="A1130" s="372" t="s">
        <v>333</v>
      </c>
      <c r="B1130" s="373" t="s">
        <v>210</v>
      </c>
      <c r="C1130" s="374" t="s">
        <v>12</v>
      </c>
      <c r="D1130" s="375" t="s">
        <v>1177</v>
      </c>
      <c r="E1130" s="374" t="s">
        <v>675</v>
      </c>
      <c r="F1130" s="374" t="s">
        <v>1177</v>
      </c>
      <c r="G1130" s="375" t="s">
        <v>170</v>
      </c>
      <c r="H1130" s="375" t="str">
        <f>IFERROR(IF(SEARCH(".00.00.00.00.00",Tableau16[[#This Row],[name]],1)=7,"Division",""),"")</f>
        <v>Division</v>
      </c>
      <c r="I1130" s="374"/>
      <c r="J1130" s="376" t="s">
        <v>721</v>
      </c>
      <c r="K1130" s="377">
        <f>ROUND(Tableau16[[#This Row],[LEN]]*7.27,0)</f>
        <v>15</v>
      </c>
      <c r="L1130" s="377">
        <v>15</v>
      </c>
      <c r="M1130" s="378" t="str">
        <f t="shared" si="7"/>
        <v>new</v>
      </c>
      <c r="N1130" s="377">
        <f>LEN(Tableau16[[#This Row],[LABEL]])</f>
        <v>2</v>
      </c>
      <c r="O1130" s="377">
        <v>15</v>
      </c>
      <c r="P1130" s="377" t="e">
        <f>ROUND(Tableau16[[#This Row],[LEN]]*#REF!+#REF!,0)</f>
        <v>#REF!</v>
      </c>
    </row>
    <row r="1131" spans="1:16" s="97" customFormat="1" x14ac:dyDescent="0.25">
      <c r="A1131" s="61" t="s">
        <v>1898</v>
      </c>
      <c r="B1131" s="62" t="s">
        <v>333</v>
      </c>
      <c r="C1131" s="63" t="s">
        <v>1897</v>
      </c>
      <c r="D1131" s="79" t="s">
        <v>1177</v>
      </c>
      <c r="E1131" s="63" t="s">
        <v>675</v>
      </c>
      <c r="F1131" s="63" t="s">
        <v>1177</v>
      </c>
      <c r="G1131" s="79" t="s">
        <v>170</v>
      </c>
      <c r="H1131" s="79" t="s">
        <v>656</v>
      </c>
      <c r="I1131" s="63"/>
      <c r="J1131" s="64" t="s">
        <v>708</v>
      </c>
      <c r="K1131" s="120">
        <f>ROUND(Tableau16[[#This Row],[LEN]]*7.27,0)</f>
        <v>465</v>
      </c>
      <c r="L1131" s="120">
        <v>15</v>
      </c>
      <c r="M1131" s="137" t="str">
        <f t="shared" si="7"/>
        <v>none</v>
      </c>
      <c r="N1131" s="120">
        <f>LEN(Tableau16[[#This Row],[LABEL]])</f>
        <v>64</v>
      </c>
      <c r="O1131" s="120">
        <v>15</v>
      </c>
      <c r="P1131" s="120" t="e">
        <f>ROUND(Tableau16[[#This Row],[LEN]]*#REF!+#REF!,0)</f>
        <v>#REF!</v>
      </c>
    </row>
    <row r="1132" spans="1:16" s="97" customFormat="1" x14ac:dyDescent="0.25">
      <c r="A1132" s="61" t="s">
        <v>1899</v>
      </c>
      <c r="B1132" s="62" t="s">
        <v>333</v>
      </c>
      <c r="C1132" s="63" t="s">
        <v>602</v>
      </c>
      <c r="D1132" s="79" t="s">
        <v>1177</v>
      </c>
      <c r="E1132" s="63" t="s">
        <v>661</v>
      </c>
      <c r="F1132" s="63" t="s">
        <v>1874</v>
      </c>
      <c r="G1132" s="79" t="s">
        <v>170</v>
      </c>
      <c r="H1132" s="79" t="s">
        <v>656</v>
      </c>
      <c r="I1132" s="63"/>
      <c r="J1132" s="64" t="s">
        <v>708</v>
      </c>
      <c r="K1132" s="120">
        <f>ROUND(Tableau16[[#This Row],[LEN]]*7.27,0)</f>
        <v>553</v>
      </c>
      <c r="L1132" s="120">
        <v>15</v>
      </c>
      <c r="M1132" s="137" t="str">
        <f t="shared" si="7"/>
        <v>none</v>
      </c>
      <c r="N1132" s="120">
        <f>LEN(Tableau16[[#This Row],[LABEL]])</f>
        <v>76</v>
      </c>
      <c r="O1132" s="120">
        <v>15</v>
      </c>
      <c r="P1132" s="120" t="e">
        <f>ROUND(Tableau16[[#This Row],[LEN]]*#REF!+#REF!,0)</f>
        <v>#REF!</v>
      </c>
    </row>
    <row r="1133" spans="1:16" s="97" customFormat="1" x14ac:dyDescent="0.25">
      <c r="A1133" s="61" t="s">
        <v>1900</v>
      </c>
      <c r="B1133" s="62" t="s">
        <v>333</v>
      </c>
      <c r="C1133" s="63" t="s">
        <v>50</v>
      </c>
      <c r="D1133" s="79" t="s">
        <v>1177</v>
      </c>
      <c r="E1133" s="63" t="s">
        <v>1177</v>
      </c>
      <c r="F1133" s="63" t="s">
        <v>1084</v>
      </c>
      <c r="G1133" s="79" t="s">
        <v>1978</v>
      </c>
      <c r="H1133" s="79" t="s">
        <v>1131</v>
      </c>
      <c r="I1133" s="63"/>
      <c r="J1133" s="64" t="s">
        <v>708</v>
      </c>
      <c r="K1133" s="120">
        <f>ROUND(Tableau16[[#This Row],[LEN]]*7.27,0)</f>
        <v>87</v>
      </c>
      <c r="L1133" s="120">
        <v>15</v>
      </c>
      <c r="M1133" s="137" t="str">
        <f t="shared" si="7"/>
        <v>none</v>
      </c>
      <c r="N1133" s="120">
        <f>LEN(Tableau16[[#This Row],[LABEL]])</f>
        <v>12</v>
      </c>
      <c r="O1133" s="120">
        <v>15</v>
      </c>
      <c r="P1133" s="120" t="e">
        <f>ROUND(Tableau16[[#This Row],[LEN]]*#REF!+#REF!,0)</f>
        <v>#REF!</v>
      </c>
    </row>
    <row r="1134" spans="1:16" s="97" customFormat="1" x14ac:dyDescent="0.25">
      <c r="A1134" s="61" t="s">
        <v>1901</v>
      </c>
      <c r="B1134" s="62" t="s">
        <v>333</v>
      </c>
      <c r="C1134" s="63" t="s">
        <v>603</v>
      </c>
      <c r="D1134" s="79" t="s">
        <v>1177</v>
      </c>
      <c r="E1134" s="63" t="s">
        <v>1177</v>
      </c>
      <c r="F1134" s="63" t="s">
        <v>1084</v>
      </c>
      <c r="G1134" s="79" t="s">
        <v>1977</v>
      </c>
      <c r="H1134" s="79" t="s">
        <v>1131</v>
      </c>
      <c r="I1134" s="63"/>
      <c r="J1134" s="64" t="s">
        <v>708</v>
      </c>
      <c r="K1134" s="120">
        <f>ROUND(Tableau16[[#This Row],[LEN]]*7.27,0)</f>
        <v>247</v>
      </c>
      <c r="L1134" s="120">
        <v>15</v>
      </c>
      <c r="M1134" s="137" t="str">
        <f t="shared" si="7"/>
        <v>none</v>
      </c>
      <c r="N1134" s="120">
        <f>LEN(Tableau16[[#This Row],[LABEL]])</f>
        <v>34</v>
      </c>
      <c r="O1134" s="120">
        <v>15</v>
      </c>
      <c r="P1134" s="120" t="e">
        <f>ROUND(Tableau16[[#This Row],[LEN]]*#REF!+#REF!,0)</f>
        <v>#REF!</v>
      </c>
    </row>
    <row r="1135" spans="1:16" s="273" customFormat="1" x14ac:dyDescent="0.25">
      <c r="A1135" s="372" t="s">
        <v>334</v>
      </c>
      <c r="B1135" s="373" t="s">
        <v>210</v>
      </c>
      <c r="C1135" s="374" t="s">
        <v>71</v>
      </c>
      <c r="D1135" s="375" t="s">
        <v>1177</v>
      </c>
      <c r="E1135" s="374" t="s">
        <v>676</v>
      </c>
      <c r="F1135" s="374" t="s">
        <v>1177</v>
      </c>
      <c r="G1135" s="375" t="s">
        <v>170</v>
      </c>
      <c r="H1135" s="375" t="str">
        <f>IFERROR(IF(SEARCH(".00.00.00.00.00",Tableau16[[#This Row],[name]],1)=7,"Division",""),"")</f>
        <v>Division</v>
      </c>
      <c r="I1135" s="374"/>
      <c r="J1135" s="376" t="s">
        <v>722</v>
      </c>
      <c r="K1135" s="377">
        <f>ROUND(Tableau16[[#This Row],[LEN]]*7.27,0)</f>
        <v>29</v>
      </c>
      <c r="L1135" s="377">
        <v>15</v>
      </c>
      <c r="M1135" s="378" t="str">
        <f t="shared" si="7"/>
        <v>new</v>
      </c>
      <c r="N1135" s="377">
        <f>LEN(Tableau16[[#This Row],[LABEL]])</f>
        <v>4</v>
      </c>
      <c r="O1135" s="377">
        <v>15</v>
      </c>
      <c r="P1135" s="377" t="e">
        <f>ROUND(Tableau16[[#This Row],[LEN]]*#REF!+#REF!,0)</f>
        <v>#REF!</v>
      </c>
    </row>
    <row r="1136" spans="1:16" s="97" customFormat="1" x14ac:dyDescent="0.25">
      <c r="A1136" s="61" t="s">
        <v>1902</v>
      </c>
      <c r="B1136" s="62" t="s">
        <v>334</v>
      </c>
      <c r="C1136" s="63" t="s">
        <v>1906</v>
      </c>
      <c r="D1136" s="79" t="s">
        <v>1908</v>
      </c>
      <c r="E1136" s="63" t="s">
        <v>676</v>
      </c>
      <c r="F1136" s="63" t="s">
        <v>1907</v>
      </c>
      <c r="G1136" s="79" t="s">
        <v>170</v>
      </c>
      <c r="H1136" s="79" t="s">
        <v>656</v>
      </c>
      <c r="I1136" s="63"/>
      <c r="J1136" s="64" t="s">
        <v>708</v>
      </c>
      <c r="K1136" s="120">
        <f>ROUND(Tableau16[[#This Row],[LEN]]*7.27,0)</f>
        <v>240</v>
      </c>
      <c r="L1136" s="120">
        <v>15</v>
      </c>
      <c r="M1136" s="137" t="str">
        <f t="shared" si="7"/>
        <v>none</v>
      </c>
      <c r="N1136" s="120">
        <f>LEN(Tableau16[[#This Row],[LABEL]])</f>
        <v>33</v>
      </c>
      <c r="O1136" s="120">
        <v>15</v>
      </c>
      <c r="P1136" s="120" t="e">
        <f>ROUND(Tableau16[[#This Row],[LEN]]*#REF!+#REF!,0)</f>
        <v>#REF!</v>
      </c>
    </row>
    <row r="1137" spans="1:16" s="97" customFormat="1" x14ac:dyDescent="0.25">
      <c r="A1137" s="61" t="s">
        <v>1903</v>
      </c>
      <c r="B1137" s="62" t="s">
        <v>334</v>
      </c>
      <c r="C1137" s="63" t="s">
        <v>602</v>
      </c>
      <c r="D1137" s="79" t="s">
        <v>1177</v>
      </c>
      <c r="E1137" s="63" t="s">
        <v>661</v>
      </c>
      <c r="F1137" s="63" t="s">
        <v>1874</v>
      </c>
      <c r="G1137" s="79" t="s">
        <v>170</v>
      </c>
      <c r="H1137" s="79" t="s">
        <v>656</v>
      </c>
      <c r="I1137" s="63"/>
      <c r="J1137" s="64" t="s">
        <v>708</v>
      </c>
      <c r="K1137" s="120">
        <f>ROUND(Tableau16[[#This Row],[LEN]]*7.27,0)</f>
        <v>553</v>
      </c>
      <c r="L1137" s="120">
        <v>15</v>
      </c>
      <c r="M1137" s="137" t="str">
        <f t="shared" si="7"/>
        <v>none</v>
      </c>
      <c r="N1137" s="120">
        <f>LEN(Tableau16[[#This Row],[LABEL]])</f>
        <v>76</v>
      </c>
      <c r="O1137" s="120">
        <v>15</v>
      </c>
      <c r="P1137" s="120" t="e">
        <f>ROUND(Tableau16[[#This Row],[LEN]]*#REF!+#REF!,0)</f>
        <v>#REF!</v>
      </c>
    </row>
    <row r="1138" spans="1:16" s="97" customFormat="1" x14ac:dyDescent="0.25">
      <c r="A1138" s="61" t="s">
        <v>1904</v>
      </c>
      <c r="B1138" s="62" t="s">
        <v>334</v>
      </c>
      <c r="C1138" s="63" t="s">
        <v>50</v>
      </c>
      <c r="D1138" s="79" t="s">
        <v>1177</v>
      </c>
      <c r="E1138" s="63" t="s">
        <v>1177</v>
      </c>
      <c r="F1138" s="63" t="s">
        <v>1084</v>
      </c>
      <c r="G1138" s="79" t="s">
        <v>1978</v>
      </c>
      <c r="H1138" s="79" t="s">
        <v>1131</v>
      </c>
      <c r="I1138" s="63"/>
      <c r="J1138" s="64" t="s">
        <v>708</v>
      </c>
      <c r="K1138" s="120">
        <f>ROUND(Tableau16[[#This Row],[LEN]]*7.27,0)</f>
        <v>87</v>
      </c>
      <c r="L1138" s="120">
        <v>15</v>
      </c>
      <c r="M1138" s="137" t="str">
        <f t="shared" si="7"/>
        <v>none</v>
      </c>
      <c r="N1138" s="120">
        <f>LEN(Tableau16[[#This Row],[LABEL]])</f>
        <v>12</v>
      </c>
      <c r="O1138" s="120">
        <v>15</v>
      </c>
      <c r="P1138" s="120" t="e">
        <f>ROUND(Tableau16[[#This Row],[LEN]]*#REF!+#REF!,0)</f>
        <v>#REF!</v>
      </c>
    </row>
    <row r="1139" spans="1:16" s="97" customFormat="1" x14ac:dyDescent="0.25">
      <c r="A1139" s="61" t="s">
        <v>1905</v>
      </c>
      <c r="B1139" s="62" t="s">
        <v>334</v>
      </c>
      <c r="C1139" s="63" t="s">
        <v>603</v>
      </c>
      <c r="D1139" s="79" t="s">
        <v>1177</v>
      </c>
      <c r="E1139" s="63" t="s">
        <v>1177</v>
      </c>
      <c r="F1139" s="63" t="s">
        <v>1084</v>
      </c>
      <c r="G1139" s="79" t="s">
        <v>1977</v>
      </c>
      <c r="H1139" s="79" t="s">
        <v>1131</v>
      </c>
      <c r="I1139" s="63"/>
      <c r="J1139" s="64" t="s">
        <v>708</v>
      </c>
      <c r="K1139" s="120">
        <f>ROUND(Tableau16[[#This Row],[LEN]]*7.27,0)</f>
        <v>247</v>
      </c>
      <c r="L1139" s="120">
        <v>15</v>
      </c>
      <c r="M1139" s="137" t="str">
        <f t="shared" si="7"/>
        <v>none</v>
      </c>
      <c r="N1139" s="120">
        <f>LEN(Tableau16[[#This Row],[LABEL]])</f>
        <v>34</v>
      </c>
      <c r="O1139" s="120">
        <v>15</v>
      </c>
      <c r="P1139" s="120" t="e">
        <f>ROUND(Tableau16[[#This Row],[LEN]]*#REF!+#REF!,0)</f>
        <v>#REF!</v>
      </c>
    </row>
    <row r="1140" spans="1:16" s="273" customFormat="1" x14ac:dyDescent="0.25">
      <c r="A1140" s="372" t="s">
        <v>335</v>
      </c>
      <c r="B1140" s="373" t="s">
        <v>210</v>
      </c>
      <c r="C1140" s="374" t="s">
        <v>13</v>
      </c>
      <c r="D1140" s="375" t="s">
        <v>1177</v>
      </c>
      <c r="E1140" s="374" t="s">
        <v>677</v>
      </c>
      <c r="F1140" s="374" t="s">
        <v>1177</v>
      </c>
      <c r="G1140" s="375" t="s">
        <v>170</v>
      </c>
      <c r="H1140" s="375" t="str">
        <f>IFERROR(IF(SEARCH(".00.00.00.00.00",Tableau16[[#This Row],[name]],1)=7,"Division",""),"")</f>
        <v>Division</v>
      </c>
      <c r="I1140" s="374"/>
      <c r="J1140" s="376" t="s">
        <v>708</v>
      </c>
      <c r="K1140" s="377">
        <f>ROUND(Tableau16[[#This Row],[LEN]]*7.27,0)</f>
        <v>80</v>
      </c>
      <c r="L1140" s="377">
        <v>15</v>
      </c>
      <c r="M1140" s="378" t="str">
        <f t="shared" si="7"/>
        <v>none</v>
      </c>
      <c r="N1140" s="377">
        <f>LEN(Tableau16[[#This Row],[LABEL]])</f>
        <v>11</v>
      </c>
      <c r="O1140" s="377">
        <v>15</v>
      </c>
      <c r="P1140" s="377" t="e">
        <f>ROUND(Tableau16[[#This Row],[LEN]]*#REF!+#REF!,0)</f>
        <v>#REF!</v>
      </c>
    </row>
    <row r="1141" spans="1:16" s="97" customFormat="1" x14ac:dyDescent="0.25">
      <c r="A1141" s="61" t="s">
        <v>1909</v>
      </c>
      <c r="B1141" s="62" t="s">
        <v>335</v>
      </c>
      <c r="C1141" s="63" t="s">
        <v>602</v>
      </c>
      <c r="D1141" s="79" t="s">
        <v>1177</v>
      </c>
      <c r="E1141" s="63" t="s">
        <v>661</v>
      </c>
      <c r="F1141" s="63" t="s">
        <v>1874</v>
      </c>
      <c r="G1141" s="79" t="s">
        <v>170</v>
      </c>
      <c r="H1141" s="79" t="s">
        <v>656</v>
      </c>
      <c r="I1141" s="63"/>
      <c r="J1141" s="64" t="s">
        <v>708</v>
      </c>
      <c r="K1141" s="120">
        <f>ROUND(Tableau16[[#This Row],[LEN]]*7.27,0)</f>
        <v>553</v>
      </c>
      <c r="L1141" s="120">
        <v>15</v>
      </c>
      <c r="M1141" s="137" t="str">
        <f t="shared" si="7"/>
        <v>none</v>
      </c>
      <c r="N1141" s="120">
        <f>LEN(Tableau16[[#This Row],[LABEL]])</f>
        <v>76</v>
      </c>
      <c r="O1141" s="120">
        <v>15</v>
      </c>
      <c r="P1141" s="120" t="e">
        <f>ROUND(Tableau16[[#This Row],[LEN]]*#REF!+#REF!,0)</f>
        <v>#REF!</v>
      </c>
    </row>
    <row r="1142" spans="1:16" s="97" customFormat="1" x14ac:dyDescent="0.25">
      <c r="A1142" s="61" t="s">
        <v>1910</v>
      </c>
      <c r="B1142" s="62" t="s">
        <v>335</v>
      </c>
      <c r="C1142" s="63" t="s">
        <v>50</v>
      </c>
      <c r="D1142" s="79" t="s">
        <v>1177</v>
      </c>
      <c r="E1142" s="63" t="s">
        <v>1177</v>
      </c>
      <c r="F1142" s="63" t="s">
        <v>1084</v>
      </c>
      <c r="G1142" s="79" t="s">
        <v>1978</v>
      </c>
      <c r="H1142" s="79" t="s">
        <v>1131</v>
      </c>
      <c r="I1142" s="63"/>
      <c r="J1142" s="64" t="s">
        <v>708</v>
      </c>
      <c r="K1142" s="120">
        <f>ROUND(Tableau16[[#This Row],[LEN]]*7.27,0)</f>
        <v>87</v>
      </c>
      <c r="L1142" s="120">
        <v>15</v>
      </c>
      <c r="M1142" s="137" t="str">
        <f t="shared" si="7"/>
        <v>none</v>
      </c>
      <c r="N1142" s="120">
        <f>LEN(Tableau16[[#This Row],[LABEL]])</f>
        <v>12</v>
      </c>
      <c r="O1142" s="120">
        <v>15</v>
      </c>
      <c r="P1142" s="120" t="e">
        <f>ROUND(Tableau16[[#This Row],[LEN]]*#REF!+#REF!,0)</f>
        <v>#REF!</v>
      </c>
    </row>
    <row r="1143" spans="1:16" s="97" customFormat="1" x14ac:dyDescent="0.25">
      <c r="A1143" s="61" t="s">
        <v>1911</v>
      </c>
      <c r="B1143" s="62" t="s">
        <v>335</v>
      </c>
      <c r="C1143" s="63" t="s">
        <v>603</v>
      </c>
      <c r="D1143" s="79" t="s">
        <v>1177</v>
      </c>
      <c r="E1143" s="63" t="s">
        <v>1177</v>
      </c>
      <c r="F1143" s="63" t="s">
        <v>1084</v>
      </c>
      <c r="G1143" s="79" t="s">
        <v>1977</v>
      </c>
      <c r="H1143" s="79" t="s">
        <v>1131</v>
      </c>
      <c r="I1143" s="63"/>
      <c r="J1143" s="64" t="s">
        <v>708</v>
      </c>
      <c r="K1143" s="120">
        <f>ROUND(Tableau16[[#This Row],[LEN]]*7.27,0)</f>
        <v>247</v>
      </c>
      <c r="L1143" s="120">
        <v>15</v>
      </c>
      <c r="M1143" s="137" t="str">
        <f t="shared" si="7"/>
        <v>none</v>
      </c>
      <c r="N1143" s="120">
        <f>LEN(Tableau16[[#This Row],[LABEL]])</f>
        <v>34</v>
      </c>
      <c r="O1143" s="120">
        <v>15</v>
      </c>
      <c r="P1143" s="120" t="e">
        <f>ROUND(Tableau16[[#This Row],[LEN]]*#REF!+#REF!,0)</f>
        <v>#REF!</v>
      </c>
    </row>
    <row r="1144" spans="1:16" s="273" customFormat="1" x14ac:dyDescent="0.25">
      <c r="A1144" s="372" t="s">
        <v>336</v>
      </c>
      <c r="B1144" s="373" t="s">
        <v>210</v>
      </c>
      <c r="C1144" s="374" t="s">
        <v>14</v>
      </c>
      <c r="D1144" s="375" t="s">
        <v>1177</v>
      </c>
      <c r="E1144" s="374" t="s">
        <v>678</v>
      </c>
      <c r="F1144" s="374" t="s">
        <v>1177</v>
      </c>
      <c r="G1144" s="375" t="s">
        <v>170</v>
      </c>
      <c r="H1144" s="375" t="str">
        <f>IFERROR(IF(SEARCH(".00.00.00.00.00",Tableau16[[#This Row],[name]],1)=7,"Division",""),"")</f>
        <v>Division</v>
      </c>
      <c r="I1144" s="374"/>
      <c r="J1144" s="376" t="s">
        <v>724</v>
      </c>
      <c r="K1144" s="377">
        <f>ROUND(Tableau16[[#This Row],[LEN]]*7.27,0)</f>
        <v>240</v>
      </c>
      <c r="L1144" s="377">
        <v>15</v>
      </c>
      <c r="M1144" s="378" t="str">
        <f t="shared" si="7"/>
        <v>new</v>
      </c>
      <c r="N1144" s="377">
        <f>LEN(Tableau16[[#This Row],[LABEL]])</f>
        <v>33</v>
      </c>
      <c r="O1144" s="377">
        <v>15</v>
      </c>
      <c r="P1144" s="377" t="e">
        <f>ROUND(Tableau16[[#This Row],[LEN]]*#REF!+#REF!,0)</f>
        <v>#REF!</v>
      </c>
    </row>
    <row r="1145" spans="1:16" s="97" customFormat="1" x14ac:dyDescent="0.25">
      <c r="A1145" s="61" t="s">
        <v>1912</v>
      </c>
      <c r="B1145" s="62" t="s">
        <v>336</v>
      </c>
      <c r="C1145" s="63" t="s">
        <v>1917</v>
      </c>
      <c r="D1145" s="79" t="s">
        <v>1177</v>
      </c>
      <c r="E1145" s="63" t="s">
        <v>678</v>
      </c>
      <c r="F1145" s="63" t="s">
        <v>1177</v>
      </c>
      <c r="G1145" s="79" t="s">
        <v>170</v>
      </c>
      <c r="H1145" s="79" t="s">
        <v>654</v>
      </c>
      <c r="I1145" s="63"/>
      <c r="J1145" s="64" t="s">
        <v>708</v>
      </c>
      <c r="K1145" s="120">
        <f>ROUND(Tableau16[[#This Row],[LEN]]*7.27,0)</f>
        <v>211</v>
      </c>
      <c r="L1145" s="120">
        <v>15</v>
      </c>
      <c r="M1145" s="137" t="str">
        <f t="shared" si="7"/>
        <v>none</v>
      </c>
      <c r="N1145" s="120">
        <f>LEN(Tableau16[[#This Row],[LABEL]])</f>
        <v>29</v>
      </c>
      <c r="O1145" s="120">
        <v>15</v>
      </c>
      <c r="P1145" s="120" t="e">
        <f>ROUND(Tableau16[[#This Row],[LEN]]*#REF!+#REF!,0)</f>
        <v>#REF!</v>
      </c>
    </row>
    <row r="1146" spans="1:16" s="97" customFormat="1" x14ac:dyDescent="0.25">
      <c r="A1146" s="61" t="s">
        <v>1913</v>
      </c>
      <c r="B1146" s="62" t="s">
        <v>336</v>
      </c>
      <c r="C1146" s="63" t="s">
        <v>1918</v>
      </c>
      <c r="D1146" s="79" t="s">
        <v>1177</v>
      </c>
      <c r="E1146" s="63" t="s">
        <v>678</v>
      </c>
      <c r="F1146" s="63" t="s">
        <v>1177</v>
      </c>
      <c r="G1146" s="79" t="s">
        <v>170</v>
      </c>
      <c r="H1146" s="79" t="s">
        <v>654</v>
      </c>
      <c r="I1146" s="63"/>
      <c r="J1146" s="64" t="s">
        <v>708</v>
      </c>
      <c r="K1146" s="120">
        <f>ROUND(Tableau16[[#This Row],[LEN]]*7.27,0)</f>
        <v>189</v>
      </c>
      <c r="L1146" s="120">
        <v>15</v>
      </c>
      <c r="M1146" s="137" t="str">
        <f t="shared" si="7"/>
        <v>none</v>
      </c>
      <c r="N1146" s="120">
        <f>LEN(Tableau16[[#This Row],[LABEL]])</f>
        <v>26</v>
      </c>
      <c r="O1146" s="120">
        <v>15</v>
      </c>
      <c r="P1146" s="120" t="e">
        <f>ROUND(Tableau16[[#This Row],[LEN]]*#REF!+#REF!,0)</f>
        <v>#REF!</v>
      </c>
    </row>
    <row r="1147" spans="1:16" s="97" customFormat="1" x14ac:dyDescent="0.25">
      <c r="A1147" s="61" t="s">
        <v>1914</v>
      </c>
      <c r="B1147" s="62" t="s">
        <v>336</v>
      </c>
      <c r="C1147" s="63" t="s">
        <v>602</v>
      </c>
      <c r="D1147" s="79" t="s">
        <v>1177</v>
      </c>
      <c r="E1147" s="63" t="s">
        <v>661</v>
      </c>
      <c r="F1147" s="63" t="s">
        <v>1874</v>
      </c>
      <c r="G1147" s="79" t="s">
        <v>170</v>
      </c>
      <c r="H1147" s="79" t="s">
        <v>656</v>
      </c>
      <c r="I1147" s="63"/>
      <c r="J1147" s="64" t="s">
        <v>708</v>
      </c>
      <c r="K1147" s="120">
        <f>ROUND(Tableau16[[#This Row],[LEN]]*7.27,0)</f>
        <v>553</v>
      </c>
      <c r="L1147" s="120">
        <v>15</v>
      </c>
      <c r="M1147" s="137" t="str">
        <f t="shared" si="7"/>
        <v>none</v>
      </c>
      <c r="N1147" s="120">
        <f>LEN(Tableau16[[#This Row],[LABEL]])</f>
        <v>76</v>
      </c>
      <c r="O1147" s="120">
        <v>15</v>
      </c>
      <c r="P1147" s="120" t="e">
        <f>ROUND(Tableau16[[#This Row],[LEN]]*#REF!+#REF!,0)</f>
        <v>#REF!</v>
      </c>
    </row>
    <row r="1148" spans="1:16" s="97" customFormat="1" x14ac:dyDescent="0.25">
      <c r="A1148" s="61" t="s">
        <v>1915</v>
      </c>
      <c r="B1148" s="62" t="s">
        <v>336</v>
      </c>
      <c r="C1148" s="63" t="s">
        <v>50</v>
      </c>
      <c r="D1148" s="79" t="s">
        <v>1177</v>
      </c>
      <c r="E1148" s="63" t="s">
        <v>1177</v>
      </c>
      <c r="F1148" s="63" t="s">
        <v>1084</v>
      </c>
      <c r="G1148" s="79" t="s">
        <v>1978</v>
      </c>
      <c r="H1148" s="79" t="s">
        <v>1131</v>
      </c>
      <c r="I1148" s="63"/>
      <c r="J1148" s="64" t="s">
        <v>708</v>
      </c>
      <c r="K1148" s="120">
        <f>ROUND(Tableau16[[#This Row],[LEN]]*7.27,0)</f>
        <v>87</v>
      </c>
      <c r="L1148" s="120">
        <v>15</v>
      </c>
      <c r="M1148" s="137" t="str">
        <f t="shared" si="7"/>
        <v>none</v>
      </c>
      <c r="N1148" s="120">
        <f>LEN(Tableau16[[#This Row],[LABEL]])</f>
        <v>12</v>
      </c>
      <c r="O1148" s="120">
        <v>15</v>
      </c>
      <c r="P1148" s="120" t="e">
        <f>ROUND(Tableau16[[#This Row],[LEN]]*#REF!+#REF!,0)</f>
        <v>#REF!</v>
      </c>
    </row>
    <row r="1149" spans="1:16" s="97" customFormat="1" x14ac:dyDescent="0.25">
      <c r="A1149" s="61" t="s">
        <v>1916</v>
      </c>
      <c r="B1149" s="62" t="s">
        <v>336</v>
      </c>
      <c r="C1149" s="63" t="s">
        <v>603</v>
      </c>
      <c r="D1149" s="79" t="s">
        <v>1177</v>
      </c>
      <c r="E1149" s="63" t="s">
        <v>1177</v>
      </c>
      <c r="F1149" s="63" t="s">
        <v>1084</v>
      </c>
      <c r="G1149" s="79" t="s">
        <v>1977</v>
      </c>
      <c r="H1149" s="79" t="s">
        <v>1131</v>
      </c>
      <c r="I1149" s="63"/>
      <c r="J1149" s="64" t="s">
        <v>708</v>
      </c>
      <c r="K1149" s="120">
        <f>ROUND(Tableau16[[#This Row],[LEN]]*7.27,0)</f>
        <v>247</v>
      </c>
      <c r="L1149" s="120">
        <v>15</v>
      </c>
      <c r="M1149" s="137" t="str">
        <f t="shared" si="7"/>
        <v>none</v>
      </c>
      <c r="N1149" s="120">
        <f>LEN(Tableau16[[#This Row],[LABEL]])</f>
        <v>34</v>
      </c>
      <c r="O1149" s="120">
        <v>15</v>
      </c>
      <c r="P1149" s="120" t="e">
        <f>ROUND(Tableau16[[#This Row],[LEN]]*#REF!+#REF!,0)</f>
        <v>#REF!</v>
      </c>
    </row>
    <row r="1150" spans="1:16" s="273" customFormat="1" x14ac:dyDescent="0.25">
      <c r="A1150" s="379" t="s">
        <v>337</v>
      </c>
      <c r="B1150" s="380" t="s">
        <v>210</v>
      </c>
      <c r="C1150" s="381" t="s">
        <v>15</v>
      </c>
      <c r="D1150" s="382" t="s">
        <v>1177</v>
      </c>
      <c r="E1150" s="381" t="s">
        <v>679</v>
      </c>
      <c r="F1150" s="381" t="s">
        <v>1177</v>
      </c>
      <c r="G1150" s="382" t="s">
        <v>170</v>
      </c>
      <c r="H1150" s="382" t="str">
        <f>IFERROR(IF(SEARCH(".00.00.00.00.00",Tableau16[[#This Row],[name]],1)=7,"Division",""),"")</f>
        <v>Division</v>
      </c>
      <c r="I1150" s="381"/>
      <c r="J1150" s="383" t="s">
        <v>708</v>
      </c>
      <c r="K1150" s="384">
        <f>ROUND(Tableau16[[#This Row],[LEN]]*7.27,0)</f>
        <v>174</v>
      </c>
      <c r="L1150" s="384">
        <v>15</v>
      </c>
      <c r="M1150" s="385" t="str">
        <f t="shared" si="7"/>
        <v>none</v>
      </c>
      <c r="N1150" s="384">
        <f>LEN(Tableau16[[#This Row],[LABEL]])</f>
        <v>24</v>
      </c>
      <c r="O1150" s="384">
        <v>15</v>
      </c>
      <c r="P1150" s="384" t="e">
        <f>ROUND(Tableau16[[#This Row],[LEN]]*#REF!+#REF!,0)</f>
        <v>#REF!</v>
      </c>
    </row>
    <row r="1151" spans="1:16" s="97" customFormat="1" x14ac:dyDescent="0.25">
      <c r="A1151" s="61" t="s">
        <v>1921</v>
      </c>
      <c r="B1151" s="62" t="s">
        <v>337</v>
      </c>
      <c r="C1151" s="63" t="s">
        <v>1919</v>
      </c>
      <c r="D1151" s="79" t="s">
        <v>1177</v>
      </c>
      <c r="E1151" s="63" t="s">
        <v>679</v>
      </c>
      <c r="F1151" s="63" t="s">
        <v>1920</v>
      </c>
      <c r="G1151" s="79" t="s">
        <v>170</v>
      </c>
      <c r="H1151" s="79" t="s">
        <v>656</v>
      </c>
      <c r="I1151" s="63"/>
      <c r="J1151" s="64" t="s">
        <v>708</v>
      </c>
      <c r="K1151" s="120">
        <f>ROUND(Tableau16[[#This Row],[LEN]]*7.27,0)</f>
        <v>225</v>
      </c>
      <c r="L1151" s="120">
        <v>15</v>
      </c>
      <c r="M1151" s="137" t="str">
        <f t="shared" si="7"/>
        <v>none</v>
      </c>
      <c r="N1151" s="120">
        <f>LEN(Tableau16[[#This Row],[LABEL]])</f>
        <v>31</v>
      </c>
      <c r="O1151" s="120">
        <v>15</v>
      </c>
      <c r="P1151" s="120" t="e">
        <f>ROUND(Tableau16[[#This Row],[LEN]]*#REF!+#REF!,0)</f>
        <v>#REF!</v>
      </c>
    </row>
    <row r="1152" spans="1:16" s="97" customFormat="1" x14ac:dyDescent="0.25">
      <c r="A1152" s="61" t="s">
        <v>1922</v>
      </c>
      <c r="B1152" s="62" t="s">
        <v>337</v>
      </c>
      <c r="C1152" s="63" t="s">
        <v>602</v>
      </c>
      <c r="D1152" s="79" t="s">
        <v>1177</v>
      </c>
      <c r="E1152" s="63" t="s">
        <v>661</v>
      </c>
      <c r="F1152" s="63" t="s">
        <v>1874</v>
      </c>
      <c r="G1152" s="79" t="s">
        <v>170</v>
      </c>
      <c r="H1152" s="79" t="s">
        <v>656</v>
      </c>
      <c r="I1152" s="63"/>
      <c r="J1152" s="64" t="s">
        <v>708</v>
      </c>
      <c r="K1152" s="120">
        <f>ROUND(Tableau16[[#This Row],[LEN]]*7.27,0)</f>
        <v>553</v>
      </c>
      <c r="L1152" s="120">
        <v>15</v>
      </c>
      <c r="M1152" s="137" t="str">
        <f t="shared" si="7"/>
        <v>none</v>
      </c>
      <c r="N1152" s="120">
        <f>LEN(Tableau16[[#This Row],[LABEL]])</f>
        <v>76</v>
      </c>
      <c r="O1152" s="120">
        <v>15</v>
      </c>
      <c r="P1152" s="120" t="e">
        <f>ROUND(Tableau16[[#This Row],[LEN]]*#REF!+#REF!,0)</f>
        <v>#REF!</v>
      </c>
    </row>
    <row r="1153" spans="1:16" s="97" customFormat="1" x14ac:dyDescent="0.25">
      <c r="A1153" s="61" t="s">
        <v>1923</v>
      </c>
      <c r="B1153" s="62" t="s">
        <v>337</v>
      </c>
      <c r="C1153" s="63" t="s">
        <v>50</v>
      </c>
      <c r="D1153" s="79" t="s">
        <v>1177</v>
      </c>
      <c r="E1153" s="63" t="s">
        <v>1177</v>
      </c>
      <c r="F1153" s="63" t="s">
        <v>1084</v>
      </c>
      <c r="G1153" s="79" t="s">
        <v>1978</v>
      </c>
      <c r="H1153" s="79" t="s">
        <v>1131</v>
      </c>
      <c r="I1153" s="63"/>
      <c r="J1153" s="64" t="s">
        <v>708</v>
      </c>
      <c r="K1153" s="120">
        <f>ROUND(Tableau16[[#This Row],[LEN]]*7.27,0)</f>
        <v>87</v>
      </c>
      <c r="L1153" s="120">
        <v>15</v>
      </c>
      <c r="M1153" s="137" t="str">
        <f t="shared" si="7"/>
        <v>none</v>
      </c>
      <c r="N1153" s="120">
        <f>LEN(Tableau16[[#This Row],[LABEL]])</f>
        <v>12</v>
      </c>
      <c r="O1153" s="120">
        <v>15</v>
      </c>
      <c r="P1153" s="120" t="e">
        <f>ROUND(Tableau16[[#This Row],[LEN]]*#REF!+#REF!,0)</f>
        <v>#REF!</v>
      </c>
    </row>
    <row r="1154" spans="1:16" s="97" customFormat="1" x14ac:dyDescent="0.25">
      <c r="A1154" s="61" t="s">
        <v>1924</v>
      </c>
      <c r="B1154" s="62" t="s">
        <v>337</v>
      </c>
      <c r="C1154" s="63" t="s">
        <v>603</v>
      </c>
      <c r="D1154" s="79" t="s">
        <v>1177</v>
      </c>
      <c r="E1154" s="63" t="s">
        <v>1177</v>
      </c>
      <c r="F1154" s="63" t="s">
        <v>1084</v>
      </c>
      <c r="G1154" s="79" t="s">
        <v>1977</v>
      </c>
      <c r="H1154" s="79" t="s">
        <v>1131</v>
      </c>
      <c r="I1154" s="63"/>
      <c r="J1154" s="64" t="s">
        <v>708</v>
      </c>
      <c r="K1154" s="120">
        <f>ROUND(Tableau16[[#This Row],[LEN]]*7.27,0)</f>
        <v>247</v>
      </c>
      <c r="L1154" s="120">
        <v>15</v>
      </c>
      <c r="M1154" s="137" t="str">
        <f t="shared" si="7"/>
        <v>none</v>
      </c>
      <c r="N1154" s="120">
        <f>LEN(Tableau16[[#This Row],[LABEL]])</f>
        <v>34</v>
      </c>
      <c r="O1154" s="120">
        <v>15</v>
      </c>
      <c r="P1154" s="120" t="e">
        <f>ROUND(Tableau16[[#This Row],[LEN]]*#REF!+#REF!,0)</f>
        <v>#REF!</v>
      </c>
    </row>
    <row r="1155" spans="1:16" s="273" customFormat="1" x14ac:dyDescent="0.25">
      <c r="A1155" s="379" t="s">
        <v>2049</v>
      </c>
      <c r="B1155" s="380" t="s">
        <v>210</v>
      </c>
      <c r="C1155" s="381" t="s">
        <v>1950</v>
      </c>
      <c r="D1155" s="382" t="s">
        <v>1177</v>
      </c>
      <c r="E1155" s="381" t="s">
        <v>1951</v>
      </c>
      <c r="F1155" s="381" t="s">
        <v>1177</v>
      </c>
      <c r="G1155" s="382" t="s">
        <v>170</v>
      </c>
      <c r="H1155" s="382" t="s">
        <v>56</v>
      </c>
      <c r="I1155" s="381"/>
      <c r="J1155" s="383" t="s">
        <v>708</v>
      </c>
      <c r="K1155" s="384">
        <f>ROUND(Tableau16[[#This Row],[LEN]]*7.27,0)</f>
        <v>51</v>
      </c>
      <c r="L1155" s="384">
        <v>15</v>
      </c>
      <c r="M1155" s="385" t="str">
        <f t="shared" si="7"/>
        <v>none</v>
      </c>
      <c r="N1155" s="384">
        <f>LEN(Tableau16[[#This Row],[LABEL]])</f>
        <v>7</v>
      </c>
      <c r="O1155" s="384">
        <v>15</v>
      </c>
      <c r="P1155" s="384" t="e">
        <f>ROUND(Tableau16[[#This Row],[LEN]]*#REF!+#REF!,0)</f>
        <v>#REF!</v>
      </c>
    </row>
    <row r="1156" spans="1:16" s="97" customFormat="1" x14ac:dyDescent="0.25">
      <c r="A1156" s="61" t="s">
        <v>2050</v>
      </c>
      <c r="B1156" s="62" t="s">
        <v>2049</v>
      </c>
      <c r="C1156" s="63" t="s">
        <v>2055</v>
      </c>
      <c r="D1156" s="79" t="s">
        <v>1177</v>
      </c>
      <c r="E1156" s="63" t="s">
        <v>1951</v>
      </c>
      <c r="F1156" s="63" t="s">
        <v>1177</v>
      </c>
      <c r="G1156" s="79" t="s">
        <v>170</v>
      </c>
      <c r="H1156" s="79" t="s">
        <v>654</v>
      </c>
      <c r="I1156" s="63"/>
      <c r="J1156" s="64" t="s">
        <v>708</v>
      </c>
      <c r="K1156" s="120">
        <f>ROUND(Tableau16[[#This Row],[LEN]]*7.27,0)</f>
        <v>502</v>
      </c>
      <c r="L1156" s="120">
        <v>15</v>
      </c>
      <c r="M1156" s="137" t="str">
        <f t="shared" si="7"/>
        <v>none</v>
      </c>
      <c r="N1156" s="120">
        <f>LEN(Tableau16[[#This Row],[LABEL]])</f>
        <v>69</v>
      </c>
      <c r="O1156" s="120">
        <v>15</v>
      </c>
      <c r="P1156" s="120" t="e">
        <f>ROUND(Tableau16[[#This Row],[LEN]]*#REF!+#REF!,0)</f>
        <v>#REF!</v>
      </c>
    </row>
    <row r="1157" spans="1:16" s="97" customFormat="1" x14ac:dyDescent="0.25">
      <c r="A1157" s="61" t="s">
        <v>2051</v>
      </c>
      <c r="B1157" s="62" t="s">
        <v>2049</v>
      </c>
      <c r="C1157" s="63" t="s">
        <v>2056</v>
      </c>
      <c r="D1157" s="79" t="s">
        <v>1177</v>
      </c>
      <c r="E1157" s="63" t="s">
        <v>1951</v>
      </c>
      <c r="F1157" s="63" t="s">
        <v>1177</v>
      </c>
      <c r="G1157" s="79" t="s">
        <v>170</v>
      </c>
      <c r="H1157" s="79" t="s">
        <v>654</v>
      </c>
      <c r="I1157" s="63"/>
      <c r="J1157" s="64" t="s">
        <v>708</v>
      </c>
      <c r="K1157" s="120">
        <f>ROUND(Tableau16[[#This Row],[LEN]]*7.27,0)</f>
        <v>582</v>
      </c>
      <c r="L1157" s="120">
        <v>15</v>
      </c>
      <c r="M1157" s="137" t="str">
        <f t="shared" si="7"/>
        <v>none</v>
      </c>
      <c r="N1157" s="120">
        <f>LEN(Tableau16[[#This Row],[LABEL]])</f>
        <v>80</v>
      </c>
      <c r="O1157" s="120">
        <v>15</v>
      </c>
      <c r="P1157" s="120" t="e">
        <f>ROUND(Tableau16[[#This Row],[LEN]]*#REF!+#REF!,0)</f>
        <v>#REF!</v>
      </c>
    </row>
    <row r="1158" spans="1:16" s="97" customFormat="1" x14ac:dyDescent="0.25">
      <c r="A1158" s="61" t="s">
        <v>2052</v>
      </c>
      <c r="B1158" s="62" t="s">
        <v>2049</v>
      </c>
      <c r="C1158" s="63" t="s">
        <v>2057</v>
      </c>
      <c r="D1158" s="79" t="s">
        <v>1177</v>
      </c>
      <c r="E1158" s="63" t="s">
        <v>1951</v>
      </c>
      <c r="F1158" s="63" t="s">
        <v>1177</v>
      </c>
      <c r="G1158" s="79" t="s">
        <v>170</v>
      </c>
      <c r="H1158" s="79" t="s">
        <v>654</v>
      </c>
      <c r="I1158" s="63"/>
      <c r="J1158" s="64" t="s">
        <v>708</v>
      </c>
      <c r="K1158" s="120">
        <f>ROUND(Tableau16[[#This Row],[LEN]]*7.27,0)</f>
        <v>254</v>
      </c>
      <c r="L1158" s="120">
        <v>15</v>
      </c>
      <c r="M1158" s="137" t="str">
        <f t="shared" si="7"/>
        <v>none</v>
      </c>
      <c r="N1158" s="120">
        <f>LEN(Tableau16[[#This Row],[LABEL]])</f>
        <v>35</v>
      </c>
      <c r="O1158" s="120">
        <v>15</v>
      </c>
      <c r="P1158" s="120" t="e">
        <f>ROUND(Tableau16[[#This Row],[LEN]]*#REF!+#REF!,0)</f>
        <v>#REF!</v>
      </c>
    </row>
    <row r="1159" spans="1:16" s="97" customFormat="1" x14ac:dyDescent="0.25">
      <c r="A1159" s="61" t="s">
        <v>2053</v>
      </c>
      <c r="B1159" s="62" t="s">
        <v>2049</v>
      </c>
      <c r="C1159" s="63" t="s">
        <v>2058</v>
      </c>
      <c r="D1159" s="79" t="s">
        <v>1177</v>
      </c>
      <c r="E1159" s="63" t="s">
        <v>1951</v>
      </c>
      <c r="F1159" s="63" t="s">
        <v>1177</v>
      </c>
      <c r="G1159" s="79" t="s">
        <v>170</v>
      </c>
      <c r="H1159" s="79" t="s">
        <v>654</v>
      </c>
      <c r="I1159" s="63"/>
      <c r="J1159" s="64" t="s">
        <v>708</v>
      </c>
      <c r="K1159" s="120">
        <f>ROUND(Tableau16[[#This Row],[LEN]]*7.27,0)</f>
        <v>189</v>
      </c>
      <c r="L1159" s="120">
        <v>15</v>
      </c>
      <c r="M1159" s="137" t="str">
        <f t="shared" si="7"/>
        <v>none</v>
      </c>
      <c r="N1159" s="120">
        <f>LEN(Tableau16[[#This Row],[LABEL]])</f>
        <v>26</v>
      </c>
      <c r="O1159" s="120">
        <v>15</v>
      </c>
      <c r="P1159" s="120" t="e">
        <f>ROUND(Tableau16[[#This Row],[LEN]]*#REF!+#REF!,0)</f>
        <v>#REF!</v>
      </c>
    </row>
    <row r="1160" spans="1:16" s="97" customFormat="1" ht="15.75" thickBot="1" x14ac:dyDescent="0.3">
      <c r="A1160" s="61" t="s">
        <v>2054</v>
      </c>
      <c r="B1160" s="62" t="s">
        <v>2049</v>
      </c>
      <c r="C1160" s="63" t="s">
        <v>603</v>
      </c>
      <c r="D1160" s="79" t="s">
        <v>1177</v>
      </c>
      <c r="E1160" s="63" t="s">
        <v>1177</v>
      </c>
      <c r="F1160" s="63" t="s">
        <v>1084</v>
      </c>
      <c r="G1160" s="79" t="s">
        <v>1977</v>
      </c>
      <c r="H1160" s="79" t="s">
        <v>1131</v>
      </c>
      <c r="I1160" s="63"/>
      <c r="J1160" s="64" t="s">
        <v>708</v>
      </c>
      <c r="K1160" s="120">
        <f>ROUND(Tableau16[[#This Row],[LEN]]*7.27,0)</f>
        <v>247</v>
      </c>
      <c r="L1160" s="120">
        <v>15</v>
      </c>
      <c r="M1160" s="137" t="str">
        <f t="shared" si="7"/>
        <v>none</v>
      </c>
      <c r="N1160" s="120">
        <f>LEN(Tableau16[[#This Row],[LABEL]])</f>
        <v>34</v>
      </c>
      <c r="O1160" s="120">
        <v>15</v>
      </c>
      <c r="P1160" s="120" t="e">
        <f>ROUND(Tableau16[[#This Row],[LEN]]*#REF!+#REF!,0)</f>
        <v>#REF!</v>
      </c>
    </row>
    <row r="1161" spans="1:16" s="92" customFormat="1" ht="16.5" thickTop="1" thickBot="1" x14ac:dyDescent="0.3">
      <c r="A1161" s="205" t="s">
        <v>211</v>
      </c>
      <c r="B1161" s="205" t="s">
        <v>203</v>
      </c>
      <c r="C1161" s="206" t="s">
        <v>179</v>
      </c>
      <c r="D1161" s="207" t="s">
        <v>475</v>
      </c>
      <c r="E1161" s="206" t="s">
        <v>1177</v>
      </c>
      <c r="F1161" s="207" t="s">
        <v>1177</v>
      </c>
      <c r="G1161" s="206" t="s">
        <v>171</v>
      </c>
      <c r="H1161" s="206" t="s">
        <v>616</v>
      </c>
      <c r="I1161" s="207"/>
      <c r="J1161" s="208" t="s">
        <v>708</v>
      </c>
      <c r="K1161" s="209">
        <f>ROUND(Tableau16[[#This Row],[LEN]]*7.27,0)</f>
        <v>116</v>
      </c>
      <c r="L1161" s="209">
        <v>15</v>
      </c>
      <c r="M1161" s="210" t="str">
        <f t="shared" si="7"/>
        <v>none</v>
      </c>
      <c r="N1161" s="209">
        <f>LEN(Tableau16[[#This Row],[LABEL]])</f>
        <v>16</v>
      </c>
      <c r="O1161" s="211">
        <v>15</v>
      </c>
      <c r="P1161" s="211" t="e">
        <f>ROUND(Tableau16[[#This Row],[LEN]]*#REF!+#REF!,0)</f>
        <v>#REF!</v>
      </c>
    </row>
    <row r="1162" spans="1:16" s="92" customFormat="1" ht="15.75" thickTop="1" x14ac:dyDescent="0.25">
      <c r="A1162" s="394" t="s">
        <v>339</v>
      </c>
      <c r="B1162" s="395" t="s">
        <v>211</v>
      </c>
      <c r="C1162" s="396" t="s">
        <v>57</v>
      </c>
      <c r="D1162" s="397" t="s">
        <v>1177</v>
      </c>
      <c r="E1162" s="398" t="s">
        <v>663</v>
      </c>
      <c r="F1162" s="396" t="s">
        <v>1177</v>
      </c>
      <c r="G1162" s="397" t="s">
        <v>171</v>
      </c>
      <c r="H1162" s="397" t="str">
        <f>IFERROR(IF(SEARCH(".00.00.00.00.00",Tableau16[[#This Row],[name]],1)=7,"Division",""),"")</f>
        <v>Division</v>
      </c>
      <c r="I1162" s="396"/>
      <c r="J1162" s="399" t="s">
        <v>708</v>
      </c>
      <c r="K1162" s="400">
        <f>ROUND(Tableau16[[#This Row],[LEN]]*7.27,0)</f>
        <v>102</v>
      </c>
      <c r="L1162" s="400">
        <v>15</v>
      </c>
      <c r="M1162" s="401" t="str">
        <f t="shared" si="7"/>
        <v>none</v>
      </c>
      <c r="N1162" s="400">
        <f>LEN(Tableau16[[#This Row],[LABEL]])</f>
        <v>14</v>
      </c>
      <c r="O1162" s="400">
        <v>15</v>
      </c>
      <c r="P1162" s="400" t="e">
        <f>ROUND(Tableau16[[#This Row],[LEN]]*#REF!+#REF!,0)</f>
        <v>#REF!</v>
      </c>
    </row>
    <row r="1163" spans="1:16" x14ac:dyDescent="0.25">
      <c r="A1163" s="98" t="s">
        <v>913</v>
      </c>
      <c r="B1163" s="99" t="s">
        <v>339</v>
      </c>
      <c r="C1163" s="100" t="s">
        <v>914</v>
      </c>
      <c r="D1163" s="80" t="s">
        <v>1177</v>
      </c>
      <c r="E1163" s="82" t="s">
        <v>663</v>
      </c>
      <c r="F1163" s="100" t="s">
        <v>1177</v>
      </c>
      <c r="G1163" s="80" t="s">
        <v>171</v>
      </c>
      <c r="H1163" s="80" t="s">
        <v>56</v>
      </c>
      <c r="I1163" s="100"/>
      <c r="J1163" s="101" t="s">
        <v>708</v>
      </c>
      <c r="K1163" s="121">
        <f>ROUND(Tableau16[[#This Row],[LEN]]*7.27,0)</f>
        <v>313</v>
      </c>
      <c r="L1163" s="121">
        <v>15</v>
      </c>
      <c r="M1163" s="138" t="str">
        <f t="shared" si="7"/>
        <v>none</v>
      </c>
      <c r="N1163" s="121">
        <f>LEN(Tableau16[[#This Row],[LABEL]])</f>
        <v>43</v>
      </c>
      <c r="O1163" s="121">
        <v>15</v>
      </c>
      <c r="P1163" s="121" t="e">
        <f>ROUND(Tableau16[[#This Row],[LEN]]*#REF!+#REF!,0)</f>
        <v>#REF!</v>
      </c>
    </row>
    <row r="1164" spans="1:16" s="92" customFormat="1" x14ac:dyDescent="0.25">
      <c r="A1164" s="394" t="s">
        <v>345</v>
      </c>
      <c r="B1164" s="395" t="s">
        <v>211</v>
      </c>
      <c r="C1164" s="396" t="s">
        <v>6</v>
      </c>
      <c r="D1164" s="397" t="s">
        <v>1177</v>
      </c>
      <c r="E1164" s="398" t="s">
        <v>669</v>
      </c>
      <c r="F1164" s="396" t="s">
        <v>1177</v>
      </c>
      <c r="G1164" s="397" t="s">
        <v>171</v>
      </c>
      <c r="H1164" s="397" t="str">
        <f>IFERROR(IF(SEARCH(".00.00.00.00.00",Tableau16[[#This Row],[name]],1)=7,"Division",""),"")</f>
        <v>Division</v>
      </c>
      <c r="I1164" s="396"/>
      <c r="J1164" s="399" t="s">
        <v>708</v>
      </c>
      <c r="K1164" s="400">
        <f>ROUND(Tableau16[[#This Row],[LEN]]*7.27,0)</f>
        <v>196</v>
      </c>
      <c r="L1164" s="400">
        <v>15</v>
      </c>
      <c r="M1164" s="401" t="str">
        <f t="shared" si="7"/>
        <v>none</v>
      </c>
      <c r="N1164" s="400">
        <f>LEN(Tableau16[[#This Row],[LABEL]])</f>
        <v>27</v>
      </c>
      <c r="O1164" s="400">
        <v>15</v>
      </c>
      <c r="P1164" s="400" t="e">
        <f>ROUND(Tableau16[[#This Row],[LEN]]*#REF!+#REF!,0)</f>
        <v>#REF!</v>
      </c>
    </row>
    <row r="1165" spans="1:16" x14ac:dyDescent="0.25">
      <c r="A1165" s="98" t="s">
        <v>1925</v>
      </c>
      <c r="B1165" s="99" t="s">
        <v>345</v>
      </c>
      <c r="C1165" s="100" t="s">
        <v>1930</v>
      </c>
      <c r="D1165" s="80" t="s">
        <v>1177</v>
      </c>
      <c r="E1165" s="82" t="s">
        <v>669</v>
      </c>
      <c r="F1165" s="100" t="s">
        <v>1177</v>
      </c>
      <c r="G1165" s="80" t="s">
        <v>171</v>
      </c>
      <c r="H1165" s="80" t="s">
        <v>656</v>
      </c>
      <c r="I1165" s="100"/>
      <c r="J1165" s="101" t="s">
        <v>708</v>
      </c>
      <c r="K1165" s="121">
        <f>ROUND(Tableau16[[#This Row],[LEN]]*7.27,0)</f>
        <v>436</v>
      </c>
      <c r="L1165" s="121">
        <v>15</v>
      </c>
      <c r="M1165" s="138" t="str">
        <f t="shared" si="7"/>
        <v>none</v>
      </c>
      <c r="N1165" s="121">
        <f>LEN(Tableau16[[#This Row],[LABEL]])</f>
        <v>60</v>
      </c>
      <c r="O1165" s="121">
        <v>15</v>
      </c>
      <c r="P1165" s="121" t="e">
        <f>ROUND(Tableau16[[#This Row],[LEN]]*#REF!+#REF!,0)</f>
        <v>#REF!</v>
      </c>
    </row>
    <row r="1166" spans="1:16" x14ac:dyDescent="0.25">
      <c r="A1166" s="98" t="s">
        <v>1928</v>
      </c>
      <c r="B1166" s="99" t="s">
        <v>1926</v>
      </c>
      <c r="C1166" s="100" t="s">
        <v>1931</v>
      </c>
      <c r="D1166" s="80" t="s">
        <v>1177</v>
      </c>
      <c r="E1166" s="82" t="s">
        <v>669</v>
      </c>
      <c r="F1166" s="100" t="s">
        <v>1177</v>
      </c>
      <c r="G1166" s="80" t="s">
        <v>171</v>
      </c>
      <c r="H1166" s="80" t="s">
        <v>656</v>
      </c>
      <c r="I1166" s="100"/>
      <c r="J1166" s="101" t="s">
        <v>708</v>
      </c>
      <c r="K1166" s="121">
        <f>ROUND(Tableau16[[#This Row],[LEN]]*7.27,0)</f>
        <v>211</v>
      </c>
      <c r="L1166" s="121">
        <v>15</v>
      </c>
      <c r="M1166" s="138" t="str">
        <f t="shared" si="7"/>
        <v>none</v>
      </c>
      <c r="N1166" s="121">
        <f>LEN(Tableau16[[#This Row],[LABEL]])</f>
        <v>29</v>
      </c>
      <c r="O1166" s="121">
        <v>15</v>
      </c>
      <c r="P1166" s="121" t="e">
        <f>ROUND(Tableau16[[#This Row],[LEN]]*#REF!+#REF!,0)</f>
        <v>#REF!</v>
      </c>
    </row>
    <row r="1167" spans="1:16" x14ac:dyDescent="0.25">
      <c r="A1167" s="98" t="s">
        <v>1929</v>
      </c>
      <c r="B1167" s="99" t="s">
        <v>1927</v>
      </c>
      <c r="C1167" s="100" t="s">
        <v>1932</v>
      </c>
      <c r="D1167" s="80" t="s">
        <v>1177</v>
      </c>
      <c r="E1167" s="82" t="s">
        <v>669</v>
      </c>
      <c r="F1167" s="100" t="s">
        <v>1177</v>
      </c>
      <c r="G1167" s="80" t="s">
        <v>171</v>
      </c>
      <c r="H1167" s="80" t="s">
        <v>656</v>
      </c>
      <c r="I1167" s="100"/>
      <c r="J1167" s="101" t="s">
        <v>708</v>
      </c>
      <c r="K1167" s="121">
        <f>ROUND(Tableau16[[#This Row],[LEN]]*7.27,0)</f>
        <v>124</v>
      </c>
      <c r="L1167" s="121">
        <v>15</v>
      </c>
      <c r="M1167" s="138" t="str">
        <f t="shared" si="7"/>
        <v>none</v>
      </c>
      <c r="N1167" s="121">
        <f>LEN(Tableau16[[#This Row],[LABEL]])</f>
        <v>17</v>
      </c>
      <c r="O1167" s="121">
        <v>15</v>
      </c>
      <c r="P1167" s="121" t="e">
        <f>ROUND(Tableau16[[#This Row],[LEN]]*#REF!+#REF!,0)</f>
        <v>#REF!</v>
      </c>
    </row>
    <row r="1168" spans="1:16" s="92" customFormat="1" x14ac:dyDescent="0.25">
      <c r="A1168" s="394" t="s">
        <v>346</v>
      </c>
      <c r="B1168" s="395" t="s">
        <v>211</v>
      </c>
      <c r="C1168" s="396" t="s">
        <v>7</v>
      </c>
      <c r="D1168" s="397" t="s">
        <v>1177</v>
      </c>
      <c r="E1168" s="398" t="s">
        <v>670</v>
      </c>
      <c r="F1168" s="396" t="s">
        <v>1177</v>
      </c>
      <c r="G1168" s="397" t="s">
        <v>171</v>
      </c>
      <c r="H1168" s="397" t="str">
        <f>IFERROR(IF(SEARCH(".00.00.00.00.00",Tableau16[[#This Row],[name]],1)=7,"Division",""),"")</f>
        <v>Division</v>
      </c>
      <c r="I1168" s="396"/>
      <c r="J1168" s="399" t="s">
        <v>708</v>
      </c>
      <c r="K1168" s="400">
        <f>ROUND(Tableau16[[#This Row],[LEN]]*7.27,0)</f>
        <v>189</v>
      </c>
      <c r="L1168" s="400">
        <v>15</v>
      </c>
      <c r="M1168" s="401" t="str">
        <f t="shared" si="7"/>
        <v>none</v>
      </c>
      <c r="N1168" s="400">
        <f>LEN(Tableau16[[#This Row],[LABEL]])</f>
        <v>26</v>
      </c>
      <c r="O1168" s="400">
        <v>15</v>
      </c>
      <c r="P1168" s="400" t="e">
        <f>ROUND(Tableau16[[#This Row],[LEN]]*#REF!+#REF!,0)</f>
        <v>#REF!</v>
      </c>
    </row>
    <row r="1169" spans="1:16" x14ac:dyDescent="0.25">
      <c r="A1169" s="98" t="s">
        <v>1933</v>
      </c>
      <c r="B1169" s="99" t="s">
        <v>346</v>
      </c>
      <c r="C1169" s="100" t="s">
        <v>1934</v>
      </c>
      <c r="D1169" s="80" t="s">
        <v>1177</v>
      </c>
      <c r="E1169" s="82" t="s">
        <v>670</v>
      </c>
      <c r="F1169" s="100" t="s">
        <v>1177</v>
      </c>
      <c r="G1169" s="80" t="s">
        <v>171</v>
      </c>
      <c r="H1169" s="80" t="s">
        <v>656</v>
      </c>
      <c r="I1169" s="100"/>
      <c r="J1169" s="101" t="s">
        <v>708</v>
      </c>
      <c r="K1169" s="121">
        <f>ROUND(Tableau16[[#This Row],[LEN]]*7.27,0)</f>
        <v>138</v>
      </c>
      <c r="L1169" s="121">
        <v>15</v>
      </c>
      <c r="M1169" s="138" t="str">
        <f t="shared" si="7"/>
        <v>none</v>
      </c>
      <c r="N1169" s="121">
        <f>LEN(Tableau16[[#This Row],[LABEL]])</f>
        <v>19</v>
      </c>
      <c r="O1169" s="121">
        <v>15</v>
      </c>
      <c r="P1169" s="121" t="e">
        <f>ROUND(Tableau16[[#This Row],[LEN]]*#REF!+#REF!,0)</f>
        <v>#REF!</v>
      </c>
    </row>
    <row r="1170" spans="1:16" s="92" customFormat="1" x14ac:dyDescent="0.25">
      <c r="A1170" s="394" t="s">
        <v>348</v>
      </c>
      <c r="B1170" s="395" t="s">
        <v>211</v>
      </c>
      <c r="C1170" s="396" t="s">
        <v>9</v>
      </c>
      <c r="D1170" s="397" t="s">
        <v>1177</v>
      </c>
      <c r="E1170" s="398" t="s">
        <v>672</v>
      </c>
      <c r="F1170" s="396" t="s">
        <v>1177</v>
      </c>
      <c r="G1170" s="397" t="s">
        <v>171</v>
      </c>
      <c r="H1170" s="397" t="str">
        <f>IFERROR(IF(SEARCH(".00.00.00.00.00",Tableau16[[#This Row],[name]],1)=7,"Division",""),"")</f>
        <v>Division</v>
      </c>
      <c r="I1170" s="396"/>
      <c r="J1170" s="399" t="s">
        <v>718</v>
      </c>
      <c r="K1170" s="400">
        <f>ROUND(Tableau16[[#This Row],[LEN]]*7.27,0)</f>
        <v>80</v>
      </c>
      <c r="L1170" s="400">
        <v>15</v>
      </c>
      <c r="M1170" s="401" t="str">
        <f t="shared" si="7"/>
        <v>new</v>
      </c>
      <c r="N1170" s="400">
        <f>LEN(Tableau16[[#This Row],[LABEL]])</f>
        <v>11</v>
      </c>
      <c r="O1170" s="400">
        <v>15</v>
      </c>
      <c r="P1170" s="400" t="e">
        <f>ROUND(Tableau16[[#This Row],[LEN]]*#REF!+#REF!,0)</f>
        <v>#REF!</v>
      </c>
    </row>
    <row r="1171" spans="1:16" x14ac:dyDescent="0.25">
      <c r="A1171" s="98" t="s">
        <v>609</v>
      </c>
      <c r="B1171" s="99" t="s">
        <v>348</v>
      </c>
      <c r="C1171" s="100" t="s">
        <v>611</v>
      </c>
      <c r="D1171" s="80" t="s">
        <v>1177</v>
      </c>
      <c r="E1171" s="82" t="s">
        <v>672</v>
      </c>
      <c r="F1171" s="100" t="s">
        <v>1177</v>
      </c>
      <c r="G1171" s="80" t="s">
        <v>171</v>
      </c>
      <c r="H1171" s="80" t="s">
        <v>656</v>
      </c>
      <c r="I1171" s="100"/>
      <c r="J1171" s="101" t="s">
        <v>708</v>
      </c>
      <c r="K1171" s="121">
        <f>ROUND(Tableau16[[#This Row],[LEN]]*7.27,0)</f>
        <v>233</v>
      </c>
      <c r="L1171" s="121">
        <v>15</v>
      </c>
      <c r="M1171" s="138" t="str">
        <f t="shared" si="7"/>
        <v>none</v>
      </c>
      <c r="N1171" s="121">
        <f>LEN(Tableau16[[#This Row],[LABEL]])</f>
        <v>32</v>
      </c>
      <c r="O1171" s="121">
        <v>15</v>
      </c>
      <c r="P1171" s="121" t="e">
        <f>ROUND(Tableau16[[#This Row],[LEN]]*#REF!+#REF!,0)</f>
        <v>#REF!</v>
      </c>
    </row>
    <row r="1172" spans="1:16" x14ac:dyDescent="0.25">
      <c r="A1172" s="98" t="s">
        <v>610</v>
      </c>
      <c r="B1172" s="99" t="s">
        <v>348</v>
      </c>
      <c r="C1172" s="100" t="s">
        <v>612</v>
      </c>
      <c r="D1172" s="80" t="s">
        <v>1177</v>
      </c>
      <c r="E1172" s="82" t="s">
        <v>672</v>
      </c>
      <c r="F1172" s="100" t="s">
        <v>1177</v>
      </c>
      <c r="G1172" s="80" t="s">
        <v>171</v>
      </c>
      <c r="H1172" s="80" t="s">
        <v>656</v>
      </c>
      <c r="I1172" s="100"/>
      <c r="J1172" s="101" t="s">
        <v>708</v>
      </c>
      <c r="K1172" s="121">
        <f>ROUND(Tableau16[[#This Row],[LEN]]*7.27,0)</f>
        <v>182</v>
      </c>
      <c r="L1172" s="121">
        <v>15</v>
      </c>
      <c r="M1172" s="138" t="str">
        <f t="shared" si="7"/>
        <v>none</v>
      </c>
      <c r="N1172" s="121">
        <f>LEN(Tableau16[[#This Row],[LABEL]])</f>
        <v>25</v>
      </c>
      <c r="O1172" s="121">
        <v>15</v>
      </c>
      <c r="P1172" s="121" t="e">
        <f>ROUND(Tableau16[[#This Row],[LEN]]*#REF!+#REF!,0)</f>
        <v>#REF!</v>
      </c>
    </row>
    <row r="1173" spans="1:16" x14ac:dyDescent="0.25">
      <c r="A1173" s="98" t="s">
        <v>613</v>
      </c>
      <c r="B1173" s="99" t="s">
        <v>348</v>
      </c>
      <c r="C1173" s="100" t="s">
        <v>614</v>
      </c>
      <c r="D1173" s="80" t="s">
        <v>1177</v>
      </c>
      <c r="E1173" s="82" t="s">
        <v>672</v>
      </c>
      <c r="F1173" s="100" t="s">
        <v>1177</v>
      </c>
      <c r="G1173" s="80" t="s">
        <v>171</v>
      </c>
      <c r="H1173" s="80" t="s">
        <v>654</v>
      </c>
      <c r="I1173" s="100"/>
      <c r="J1173" s="101" t="s">
        <v>708</v>
      </c>
      <c r="K1173" s="121">
        <f>ROUND(Tableau16[[#This Row],[LEN]]*7.27,0)</f>
        <v>153</v>
      </c>
      <c r="L1173" s="121">
        <v>15</v>
      </c>
      <c r="M1173" s="138" t="str">
        <f t="shared" si="7"/>
        <v>none</v>
      </c>
      <c r="N1173" s="121">
        <f>LEN(Tableau16[[#This Row],[LABEL]])</f>
        <v>21</v>
      </c>
      <c r="O1173" s="121">
        <v>15</v>
      </c>
      <c r="P1173" s="121" t="e">
        <f>ROUND(Tableau16[[#This Row],[LEN]]*#REF!+#REF!,0)</f>
        <v>#REF!</v>
      </c>
    </row>
    <row r="1174" spans="1:16" s="92" customFormat="1" x14ac:dyDescent="0.25">
      <c r="A1174" s="394" t="s">
        <v>349</v>
      </c>
      <c r="B1174" s="395" t="s">
        <v>211</v>
      </c>
      <c r="C1174" s="396" t="s">
        <v>10</v>
      </c>
      <c r="D1174" s="397" t="s">
        <v>1177</v>
      </c>
      <c r="E1174" s="398" t="s">
        <v>673</v>
      </c>
      <c r="F1174" s="396" t="s">
        <v>1177</v>
      </c>
      <c r="G1174" s="397" t="s">
        <v>171</v>
      </c>
      <c r="H1174" s="397" t="str">
        <f>IFERROR(IF(SEARCH(".00.00.00.00.00",Tableau16[[#This Row],[name]],1)=7,"Division",""),"")</f>
        <v>Division</v>
      </c>
      <c r="I1174" s="396"/>
      <c r="J1174" s="399" t="s">
        <v>719</v>
      </c>
      <c r="K1174" s="400">
        <f>ROUND(Tableau16[[#This Row],[LEN]]*7.27,0)</f>
        <v>109</v>
      </c>
      <c r="L1174" s="400">
        <v>15</v>
      </c>
      <c r="M1174" s="401" t="str">
        <f t="shared" si="7"/>
        <v>new</v>
      </c>
      <c r="N1174" s="400">
        <f>LEN(Tableau16[[#This Row],[LABEL]])</f>
        <v>15</v>
      </c>
      <c r="O1174" s="400">
        <v>15</v>
      </c>
      <c r="P1174" s="400" t="e">
        <f>ROUND(Tableau16[[#This Row],[LEN]]*#REF!+#REF!,0)</f>
        <v>#REF!</v>
      </c>
    </row>
    <row r="1175" spans="1:16" x14ac:dyDescent="0.25">
      <c r="A1175" s="98" t="s">
        <v>1935</v>
      </c>
      <c r="B1175" s="99" t="s">
        <v>349</v>
      </c>
      <c r="C1175" s="100" t="s">
        <v>1936</v>
      </c>
      <c r="D1175" s="80" t="s">
        <v>1177</v>
      </c>
      <c r="E1175" s="82" t="s">
        <v>673</v>
      </c>
      <c r="F1175" s="100" t="s">
        <v>1177</v>
      </c>
      <c r="G1175" s="80" t="s">
        <v>171</v>
      </c>
      <c r="H1175" s="80" t="s">
        <v>656</v>
      </c>
      <c r="I1175" s="100"/>
      <c r="J1175" s="101" t="s">
        <v>708</v>
      </c>
      <c r="K1175" s="121">
        <f>ROUND(Tableau16[[#This Row],[LEN]]*7.27,0)</f>
        <v>356</v>
      </c>
      <c r="L1175" s="121">
        <v>15</v>
      </c>
      <c r="M1175" s="138" t="str">
        <f t="shared" si="7"/>
        <v>none</v>
      </c>
      <c r="N1175" s="121">
        <f>LEN(Tableau16[[#This Row],[LABEL]])</f>
        <v>49</v>
      </c>
      <c r="O1175" s="121">
        <v>15</v>
      </c>
      <c r="P1175" s="121" t="e">
        <f>ROUND(Tableau16[[#This Row],[LEN]]*#REF!+#REF!,0)</f>
        <v>#REF!</v>
      </c>
    </row>
    <row r="1176" spans="1:16" s="92" customFormat="1" x14ac:dyDescent="0.25">
      <c r="A1176" s="394" t="s">
        <v>351</v>
      </c>
      <c r="B1176" s="395" t="s">
        <v>211</v>
      </c>
      <c r="C1176" s="396" t="s">
        <v>12</v>
      </c>
      <c r="D1176" s="397" t="s">
        <v>1177</v>
      </c>
      <c r="E1176" s="398" t="s">
        <v>675</v>
      </c>
      <c r="F1176" s="396" t="s">
        <v>1177</v>
      </c>
      <c r="G1176" s="397" t="s">
        <v>171</v>
      </c>
      <c r="H1176" s="397" t="str">
        <f>IFERROR(IF(SEARCH(".00.00.00.00.00",Tableau16[[#This Row],[name]],1)=7,"Division",""),"")</f>
        <v>Division</v>
      </c>
      <c r="I1176" s="396"/>
      <c r="J1176" s="399" t="s">
        <v>721</v>
      </c>
      <c r="K1176" s="400">
        <f>ROUND(Tableau16[[#This Row],[LEN]]*7.27,0)</f>
        <v>15</v>
      </c>
      <c r="L1176" s="400">
        <v>15</v>
      </c>
      <c r="M1176" s="401" t="str">
        <f t="shared" si="7"/>
        <v>new</v>
      </c>
      <c r="N1176" s="400">
        <f>LEN(Tableau16[[#This Row],[LABEL]])</f>
        <v>2</v>
      </c>
      <c r="O1176" s="400">
        <v>15</v>
      </c>
      <c r="P1176" s="400" t="e">
        <f>ROUND(Tableau16[[#This Row],[LEN]]*#REF!+#REF!,0)</f>
        <v>#REF!</v>
      </c>
    </row>
    <row r="1177" spans="1:16" x14ac:dyDescent="0.25">
      <c r="A1177" s="98" t="s">
        <v>1937</v>
      </c>
      <c r="B1177" s="99" t="s">
        <v>351</v>
      </c>
      <c r="C1177" s="100" t="s">
        <v>1938</v>
      </c>
      <c r="D1177" s="80" t="s">
        <v>1939</v>
      </c>
      <c r="E1177" s="82" t="s">
        <v>675</v>
      </c>
      <c r="F1177" s="100" t="s">
        <v>1177</v>
      </c>
      <c r="G1177" s="80" t="s">
        <v>171</v>
      </c>
      <c r="H1177" s="80" t="s">
        <v>656</v>
      </c>
      <c r="I1177" s="100"/>
      <c r="J1177" s="101" t="s">
        <v>708</v>
      </c>
      <c r="K1177" s="121">
        <f>ROUND(Tableau16[[#This Row],[LEN]]*7.27,0)</f>
        <v>269</v>
      </c>
      <c r="L1177" s="121">
        <v>15</v>
      </c>
      <c r="M1177" s="138" t="str">
        <f t="shared" si="7"/>
        <v>none</v>
      </c>
      <c r="N1177" s="121">
        <f>LEN(Tableau16[[#This Row],[LABEL]])</f>
        <v>37</v>
      </c>
      <c r="O1177" s="121">
        <v>15</v>
      </c>
      <c r="P1177" s="121" t="e">
        <f>ROUND(Tableau16[[#This Row],[LEN]]*#REF!+#REF!,0)</f>
        <v>#REF!</v>
      </c>
    </row>
    <row r="1178" spans="1:16" s="92" customFormat="1" x14ac:dyDescent="0.25">
      <c r="A1178" s="394" t="s">
        <v>353</v>
      </c>
      <c r="B1178" s="395" t="s">
        <v>211</v>
      </c>
      <c r="C1178" s="396" t="s">
        <v>13</v>
      </c>
      <c r="D1178" s="397" t="s">
        <v>1177</v>
      </c>
      <c r="E1178" s="398" t="s">
        <v>677</v>
      </c>
      <c r="F1178" s="396" t="s">
        <v>1177</v>
      </c>
      <c r="G1178" s="397" t="s">
        <v>171</v>
      </c>
      <c r="H1178" s="397" t="str">
        <f>IFERROR(IF(SEARCH(".00.00.00.00.00",Tableau16[[#This Row],[name]],1)=7,"Division",""),"")</f>
        <v>Division</v>
      </c>
      <c r="I1178" s="396"/>
      <c r="J1178" s="399" t="s">
        <v>708</v>
      </c>
      <c r="K1178" s="400">
        <f>ROUND(Tableau16[[#This Row],[LEN]]*7.27,0)</f>
        <v>80</v>
      </c>
      <c r="L1178" s="400">
        <v>15</v>
      </c>
      <c r="M1178" s="401" t="str">
        <f t="shared" si="7"/>
        <v>none</v>
      </c>
      <c r="N1178" s="400">
        <f>LEN(Tableau16[[#This Row],[LABEL]])</f>
        <v>11</v>
      </c>
      <c r="O1178" s="400">
        <v>15</v>
      </c>
      <c r="P1178" s="400" t="e">
        <f>ROUND(Tableau16[[#This Row],[LEN]]*#REF!+#REF!,0)</f>
        <v>#REF!</v>
      </c>
    </row>
    <row r="1179" spans="1:16" x14ac:dyDescent="0.25">
      <c r="A1179" s="98" t="s">
        <v>1940</v>
      </c>
      <c r="B1179" s="99" t="s">
        <v>353</v>
      </c>
      <c r="C1179" s="100" t="s">
        <v>1941</v>
      </c>
      <c r="D1179" s="80" t="s">
        <v>1177</v>
      </c>
      <c r="E1179" s="82" t="s">
        <v>677</v>
      </c>
      <c r="F1179" s="100" t="s">
        <v>1177</v>
      </c>
      <c r="G1179" s="80" t="s">
        <v>171</v>
      </c>
      <c r="H1179" s="80" t="s">
        <v>656</v>
      </c>
      <c r="I1179" s="100"/>
      <c r="J1179" s="101" t="s">
        <v>708</v>
      </c>
      <c r="K1179" s="121">
        <f>ROUND(Tableau16[[#This Row],[LEN]]*7.27,0)</f>
        <v>356</v>
      </c>
      <c r="L1179" s="121">
        <v>15</v>
      </c>
      <c r="M1179" s="138" t="str">
        <f t="shared" si="7"/>
        <v>none</v>
      </c>
      <c r="N1179" s="121">
        <f>LEN(Tableau16[[#This Row],[LABEL]])</f>
        <v>49</v>
      </c>
      <c r="O1179" s="121">
        <v>15</v>
      </c>
      <c r="P1179" s="121" t="e">
        <f>ROUND(Tableau16[[#This Row],[LEN]]*#REF!+#REF!,0)</f>
        <v>#REF!</v>
      </c>
    </row>
    <row r="1180" spans="1:16" s="92" customFormat="1" x14ac:dyDescent="0.25">
      <c r="A1180" s="394" t="s">
        <v>354</v>
      </c>
      <c r="B1180" s="395" t="s">
        <v>211</v>
      </c>
      <c r="C1180" s="396" t="s">
        <v>14</v>
      </c>
      <c r="D1180" s="397" t="s">
        <v>1177</v>
      </c>
      <c r="E1180" s="398" t="s">
        <v>678</v>
      </c>
      <c r="F1180" s="396" t="s">
        <v>1177</v>
      </c>
      <c r="G1180" s="397" t="s">
        <v>171</v>
      </c>
      <c r="H1180" s="397" t="str">
        <f>IFERROR(IF(SEARCH(".00.00.00.00.00",Tableau16[[#This Row],[name]],1)=7,"Division",""),"")</f>
        <v>Division</v>
      </c>
      <c r="I1180" s="396"/>
      <c r="J1180" s="399" t="s">
        <v>724</v>
      </c>
      <c r="K1180" s="400">
        <f>ROUND(Tableau16[[#This Row],[LEN]]*7.27,0)</f>
        <v>240</v>
      </c>
      <c r="L1180" s="400">
        <v>15</v>
      </c>
      <c r="M1180" s="401" t="str">
        <f t="shared" si="7"/>
        <v>new</v>
      </c>
      <c r="N1180" s="400">
        <f>LEN(Tableau16[[#This Row],[LABEL]])</f>
        <v>33</v>
      </c>
      <c r="O1180" s="400">
        <v>15</v>
      </c>
      <c r="P1180" s="400" t="e">
        <f>ROUND(Tableau16[[#This Row],[LEN]]*#REF!+#REF!,0)</f>
        <v>#REF!</v>
      </c>
    </row>
    <row r="1181" spans="1:16" x14ac:dyDescent="0.25">
      <c r="A1181" s="98" t="s">
        <v>1942</v>
      </c>
      <c r="B1181" s="99" t="s">
        <v>354</v>
      </c>
      <c r="C1181" s="100" t="s">
        <v>1943</v>
      </c>
      <c r="D1181" s="80" t="s">
        <v>1177</v>
      </c>
      <c r="E1181" s="82" t="s">
        <v>678</v>
      </c>
      <c r="F1181" s="100" t="s">
        <v>1177</v>
      </c>
      <c r="G1181" s="80" t="s">
        <v>171</v>
      </c>
      <c r="H1181" s="80" t="s">
        <v>656</v>
      </c>
      <c r="I1181" s="100"/>
      <c r="J1181" s="101" t="s">
        <v>708</v>
      </c>
      <c r="K1181" s="121">
        <f>ROUND(Tableau16[[#This Row],[LEN]]*7.27,0)</f>
        <v>196</v>
      </c>
      <c r="L1181" s="121">
        <v>15</v>
      </c>
      <c r="M1181" s="138" t="str">
        <f t="shared" si="7"/>
        <v>none</v>
      </c>
      <c r="N1181" s="121">
        <f>LEN(Tableau16[[#This Row],[LABEL]])</f>
        <v>27</v>
      </c>
      <c r="O1181" s="121">
        <v>15</v>
      </c>
      <c r="P1181" s="121" t="e">
        <f>ROUND(Tableau16[[#This Row],[LEN]]*#REF!+#REF!,0)</f>
        <v>#REF!</v>
      </c>
    </row>
    <row r="1182" spans="1:16" s="92" customFormat="1" x14ac:dyDescent="0.25">
      <c r="A1182" s="402" t="s">
        <v>355</v>
      </c>
      <c r="B1182" s="403" t="s">
        <v>211</v>
      </c>
      <c r="C1182" s="404" t="s">
        <v>15</v>
      </c>
      <c r="D1182" s="405" t="s">
        <v>1177</v>
      </c>
      <c r="E1182" s="406" t="s">
        <v>679</v>
      </c>
      <c r="F1182" s="404" t="s">
        <v>1177</v>
      </c>
      <c r="G1182" s="405" t="s">
        <v>171</v>
      </c>
      <c r="H1182" s="405" t="str">
        <f>IFERROR(IF(SEARCH(".00.00.00.00.00",Tableau16[[#This Row],[name]],1)=7,"Division",""),"")</f>
        <v>Division</v>
      </c>
      <c r="I1182" s="404"/>
      <c r="J1182" s="407" t="s">
        <v>708</v>
      </c>
      <c r="K1182" s="408">
        <f>ROUND(Tableau16[[#This Row],[LEN]]*7.27,0)</f>
        <v>174</v>
      </c>
      <c r="L1182" s="408">
        <v>15</v>
      </c>
      <c r="M1182" s="409" t="str">
        <f t="shared" si="7"/>
        <v>none</v>
      </c>
      <c r="N1182" s="408">
        <f>LEN(Tableau16[[#This Row],[LABEL]])</f>
        <v>24</v>
      </c>
      <c r="O1182" s="408">
        <v>15</v>
      </c>
      <c r="P1182" s="408" t="e">
        <f>ROUND(Tableau16[[#This Row],[LEN]]*#REF!+#REF!,0)</f>
        <v>#REF!</v>
      </c>
    </row>
    <row r="1183" spans="1:16" x14ac:dyDescent="0.25">
      <c r="A1183" s="98" t="s">
        <v>1944</v>
      </c>
      <c r="B1183" s="99" t="s">
        <v>355</v>
      </c>
      <c r="C1183" s="100" t="s">
        <v>1946</v>
      </c>
      <c r="D1183" s="80" t="s">
        <v>1177</v>
      </c>
      <c r="E1183" s="82" t="s">
        <v>679</v>
      </c>
      <c r="F1183" s="100" t="s">
        <v>1177</v>
      </c>
      <c r="G1183" s="80" t="s">
        <v>171</v>
      </c>
      <c r="H1183" s="80" t="s">
        <v>656</v>
      </c>
      <c r="I1183" s="100"/>
      <c r="J1183" s="101" t="s">
        <v>708</v>
      </c>
      <c r="K1183" s="121">
        <f>ROUND(Tableau16[[#This Row],[LEN]]*7.27,0)</f>
        <v>313</v>
      </c>
      <c r="L1183" s="121">
        <v>15</v>
      </c>
      <c r="M1183" s="138" t="str">
        <f t="shared" si="7"/>
        <v>none</v>
      </c>
      <c r="N1183" s="121">
        <f>LEN(Tableau16[[#This Row],[LABEL]])</f>
        <v>43</v>
      </c>
      <c r="O1183" s="121">
        <v>15</v>
      </c>
      <c r="P1183" s="121" t="e">
        <f>ROUND(Tableau16[[#This Row],[LEN]]*#REF!+#REF!,0)</f>
        <v>#REF!</v>
      </c>
    </row>
    <row r="1184" spans="1:16" x14ac:dyDescent="0.25">
      <c r="A1184" s="98" t="s">
        <v>1945</v>
      </c>
      <c r="B1184" s="99" t="s">
        <v>355</v>
      </c>
      <c r="C1184" s="100" t="s">
        <v>1947</v>
      </c>
      <c r="D1184" s="80" t="s">
        <v>1948</v>
      </c>
      <c r="E1184" s="82" t="s">
        <v>679</v>
      </c>
      <c r="F1184" s="100" t="s">
        <v>1177</v>
      </c>
      <c r="G1184" s="80" t="s">
        <v>171</v>
      </c>
      <c r="H1184" s="80" t="s">
        <v>656</v>
      </c>
      <c r="I1184" s="100"/>
      <c r="J1184" s="101" t="s">
        <v>708</v>
      </c>
      <c r="K1184" s="121">
        <f>ROUND(Tableau16[[#This Row],[LEN]]*7.27,0)</f>
        <v>262</v>
      </c>
      <c r="L1184" s="121">
        <v>15</v>
      </c>
      <c r="M1184" s="138" t="str">
        <f t="shared" si="7"/>
        <v>none</v>
      </c>
      <c r="N1184" s="121">
        <f>LEN(Tableau16[[#This Row],[LABEL]])</f>
        <v>36</v>
      </c>
      <c r="O1184" s="121">
        <v>15</v>
      </c>
      <c r="P1184" s="121" t="e">
        <f>ROUND(Tableau16[[#This Row],[LEN]]*#REF!+#REF!,0)</f>
        <v>#REF!</v>
      </c>
    </row>
    <row r="1185" spans="1:16" s="92" customFormat="1" x14ac:dyDescent="0.25">
      <c r="A1185" s="402" t="s">
        <v>2059</v>
      </c>
      <c r="B1185" s="403" t="s">
        <v>211</v>
      </c>
      <c r="C1185" s="404" t="s">
        <v>1950</v>
      </c>
      <c r="D1185" s="405" t="s">
        <v>1177</v>
      </c>
      <c r="E1185" s="406" t="s">
        <v>1951</v>
      </c>
      <c r="F1185" s="404" t="s">
        <v>1177</v>
      </c>
      <c r="G1185" s="405" t="s">
        <v>171</v>
      </c>
      <c r="H1185" s="405" t="str">
        <f>IFERROR(IF(SEARCH(".00.00.00.00.00",Tableau16[[#This Row],[name]],1)=7,"Division",""),"")</f>
        <v>Division</v>
      </c>
      <c r="I1185" s="404"/>
      <c r="J1185" s="407" t="s">
        <v>708</v>
      </c>
      <c r="K1185" s="408">
        <f>ROUND(Tableau16[[#This Row],[LEN]]*7.27,0)</f>
        <v>51</v>
      </c>
      <c r="L1185" s="408">
        <v>15</v>
      </c>
      <c r="M1185" s="409" t="str">
        <f t="shared" si="7"/>
        <v>none</v>
      </c>
      <c r="N1185" s="408">
        <f>LEN(Tableau16[[#This Row],[LABEL]])</f>
        <v>7</v>
      </c>
      <c r="O1185" s="408">
        <v>15</v>
      </c>
      <c r="P1185" s="408" t="e">
        <f>ROUND(Tableau16[[#This Row],[LEN]]*#REF!+#REF!,0)</f>
        <v>#REF!</v>
      </c>
    </row>
    <row r="1186" spans="1:16" x14ac:dyDescent="0.25">
      <c r="A1186" s="98" t="s">
        <v>2060</v>
      </c>
      <c r="B1186" s="99" t="s">
        <v>2059</v>
      </c>
      <c r="C1186" s="100" t="s">
        <v>2068</v>
      </c>
      <c r="D1186" s="80" t="s">
        <v>1177</v>
      </c>
      <c r="E1186" s="82" t="s">
        <v>1951</v>
      </c>
      <c r="F1186" s="100" t="s">
        <v>1177</v>
      </c>
      <c r="G1186" s="80" t="s">
        <v>170</v>
      </c>
      <c r="H1186" s="80" t="s">
        <v>656</v>
      </c>
      <c r="I1186" s="100"/>
      <c r="J1186" s="101" t="s">
        <v>708</v>
      </c>
      <c r="K1186" s="121">
        <f>ROUND(Tableau16[[#This Row],[LEN]]*7.27,0)</f>
        <v>422</v>
      </c>
      <c r="L1186" s="121">
        <v>15</v>
      </c>
      <c r="M1186" s="138" t="str">
        <f t="shared" si="7"/>
        <v>none</v>
      </c>
      <c r="N1186" s="121">
        <f>LEN(Tableau16[[#This Row],[LABEL]])</f>
        <v>58</v>
      </c>
      <c r="O1186" s="121">
        <v>15</v>
      </c>
      <c r="P1186" s="121" t="e">
        <f>ROUND(Tableau16[[#This Row],[LEN]]*#REF!+#REF!,0)</f>
        <v>#REF!</v>
      </c>
    </row>
    <row r="1187" spans="1:16" x14ac:dyDescent="0.25">
      <c r="A1187" s="98" t="s">
        <v>2061</v>
      </c>
      <c r="B1187" s="99" t="s">
        <v>2059</v>
      </c>
      <c r="C1187" s="100" t="s">
        <v>2069</v>
      </c>
      <c r="D1187" s="80" t="s">
        <v>1177</v>
      </c>
      <c r="E1187" s="82" t="s">
        <v>1951</v>
      </c>
      <c r="F1187" s="100" t="s">
        <v>1177</v>
      </c>
      <c r="G1187" s="80" t="s">
        <v>170</v>
      </c>
      <c r="H1187" s="80" t="s">
        <v>656</v>
      </c>
      <c r="I1187" s="100"/>
      <c r="J1187" s="101" t="s">
        <v>708</v>
      </c>
      <c r="K1187" s="121">
        <f>ROUND(Tableau16[[#This Row],[LEN]]*7.27,0)</f>
        <v>116</v>
      </c>
      <c r="L1187" s="121">
        <v>15</v>
      </c>
      <c r="M1187" s="138" t="str">
        <f t="shared" si="7"/>
        <v>none</v>
      </c>
      <c r="N1187" s="121">
        <f>LEN(Tableau16[[#This Row],[LABEL]])</f>
        <v>16</v>
      </c>
      <c r="O1187" s="121">
        <v>15</v>
      </c>
      <c r="P1187" s="121" t="e">
        <f>ROUND(Tableau16[[#This Row],[LEN]]*#REF!+#REF!,0)</f>
        <v>#REF!</v>
      </c>
    </row>
    <row r="1188" spans="1:16" x14ac:dyDescent="0.25">
      <c r="A1188" s="98" t="s">
        <v>2062</v>
      </c>
      <c r="B1188" s="99" t="s">
        <v>2059</v>
      </c>
      <c r="C1188" s="100" t="s">
        <v>2070</v>
      </c>
      <c r="D1188" s="80" t="s">
        <v>1177</v>
      </c>
      <c r="E1188" s="82" t="s">
        <v>1951</v>
      </c>
      <c r="F1188" s="100" t="s">
        <v>1177</v>
      </c>
      <c r="G1188" s="80" t="s">
        <v>170</v>
      </c>
      <c r="H1188" s="80" t="s">
        <v>656</v>
      </c>
      <c r="I1188" s="100"/>
      <c r="J1188" s="101" t="s">
        <v>708</v>
      </c>
      <c r="K1188" s="121">
        <f>ROUND(Tableau16[[#This Row],[LEN]]*7.27,0)</f>
        <v>429</v>
      </c>
      <c r="L1188" s="121">
        <v>15</v>
      </c>
      <c r="M1188" s="138" t="str">
        <f t="shared" si="7"/>
        <v>none</v>
      </c>
      <c r="N1188" s="121">
        <f>LEN(Tableau16[[#This Row],[LABEL]])</f>
        <v>59</v>
      </c>
      <c r="O1188" s="121">
        <v>15</v>
      </c>
      <c r="P1188" s="121" t="e">
        <f>ROUND(Tableau16[[#This Row],[LEN]]*#REF!+#REF!,0)</f>
        <v>#REF!</v>
      </c>
    </row>
    <row r="1189" spans="1:16" x14ac:dyDescent="0.25">
      <c r="A1189" s="98" t="s">
        <v>2063</v>
      </c>
      <c r="B1189" s="99" t="s">
        <v>2059</v>
      </c>
      <c r="C1189" s="100" t="s">
        <v>2071</v>
      </c>
      <c r="D1189" s="80" t="s">
        <v>1177</v>
      </c>
      <c r="E1189" s="82" t="s">
        <v>1951</v>
      </c>
      <c r="F1189" s="100" t="s">
        <v>1177</v>
      </c>
      <c r="G1189" s="80" t="s">
        <v>170</v>
      </c>
      <c r="H1189" s="80" t="s">
        <v>656</v>
      </c>
      <c r="I1189" s="100"/>
      <c r="J1189" s="101" t="s">
        <v>708</v>
      </c>
      <c r="K1189" s="121">
        <f>ROUND(Tableau16[[#This Row],[LEN]]*7.27,0)</f>
        <v>385</v>
      </c>
      <c r="L1189" s="121">
        <v>15</v>
      </c>
      <c r="M1189" s="138" t="str">
        <f t="shared" si="7"/>
        <v>none</v>
      </c>
      <c r="N1189" s="121">
        <f>LEN(Tableau16[[#This Row],[LABEL]])</f>
        <v>53</v>
      </c>
      <c r="O1189" s="121">
        <v>15</v>
      </c>
      <c r="P1189" s="121" t="e">
        <f>ROUND(Tableau16[[#This Row],[LEN]]*#REF!+#REF!,0)</f>
        <v>#REF!</v>
      </c>
    </row>
    <row r="1190" spans="1:16" x14ac:dyDescent="0.25">
      <c r="A1190" s="98" t="s">
        <v>2064</v>
      </c>
      <c r="B1190" s="99" t="s">
        <v>2059</v>
      </c>
      <c r="C1190" s="100" t="s">
        <v>2072</v>
      </c>
      <c r="D1190" s="80" t="s">
        <v>1177</v>
      </c>
      <c r="E1190" s="82" t="s">
        <v>1951</v>
      </c>
      <c r="F1190" s="100" t="s">
        <v>1177</v>
      </c>
      <c r="G1190" s="80" t="s">
        <v>170</v>
      </c>
      <c r="H1190" s="80" t="s">
        <v>656</v>
      </c>
      <c r="I1190" s="100"/>
      <c r="J1190" s="101" t="s">
        <v>708</v>
      </c>
      <c r="K1190" s="121">
        <f>ROUND(Tableau16[[#This Row],[LEN]]*7.27,0)</f>
        <v>494</v>
      </c>
      <c r="L1190" s="121">
        <v>15</v>
      </c>
      <c r="M1190" s="138" t="str">
        <f t="shared" si="7"/>
        <v>none</v>
      </c>
      <c r="N1190" s="121">
        <f>LEN(Tableau16[[#This Row],[LABEL]])</f>
        <v>68</v>
      </c>
      <c r="O1190" s="121">
        <v>15</v>
      </c>
      <c r="P1190" s="121" t="e">
        <f>ROUND(Tableau16[[#This Row],[LEN]]*#REF!+#REF!,0)</f>
        <v>#REF!</v>
      </c>
    </row>
    <row r="1191" spans="1:16" x14ac:dyDescent="0.25">
      <c r="A1191" s="98" t="s">
        <v>2065</v>
      </c>
      <c r="B1191" s="99" t="s">
        <v>2059</v>
      </c>
      <c r="C1191" s="100" t="s">
        <v>2073</v>
      </c>
      <c r="D1191" s="80" t="s">
        <v>1177</v>
      </c>
      <c r="E1191" s="82" t="s">
        <v>1951</v>
      </c>
      <c r="F1191" s="100" t="s">
        <v>1177</v>
      </c>
      <c r="G1191" s="80" t="s">
        <v>170</v>
      </c>
      <c r="H1191" s="80" t="s">
        <v>656</v>
      </c>
      <c r="I1191" s="100"/>
      <c r="J1191" s="101" t="s">
        <v>708</v>
      </c>
      <c r="K1191" s="121">
        <f>ROUND(Tableau16[[#This Row],[LEN]]*7.27,0)</f>
        <v>196</v>
      </c>
      <c r="L1191" s="121">
        <v>15</v>
      </c>
      <c r="M1191" s="138" t="str">
        <f t="shared" si="7"/>
        <v>none</v>
      </c>
      <c r="N1191" s="121">
        <f>LEN(Tableau16[[#This Row],[LABEL]])</f>
        <v>27</v>
      </c>
      <c r="O1191" s="121">
        <v>15</v>
      </c>
      <c r="P1191" s="121" t="e">
        <f>ROUND(Tableau16[[#This Row],[LEN]]*#REF!+#REF!,0)</f>
        <v>#REF!</v>
      </c>
    </row>
    <row r="1192" spans="1:16" x14ac:dyDescent="0.25">
      <c r="A1192" s="98" t="s">
        <v>2066</v>
      </c>
      <c r="B1192" s="99" t="s">
        <v>2059</v>
      </c>
      <c r="C1192" s="100" t="s">
        <v>602</v>
      </c>
      <c r="D1192" s="80" t="s">
        <v>1177</v>
      </c>
      <c r="E1192" s="82" t="s">
        <v>1951</v>
      </c>
      <c r="F1192" s="100" t="s">
        <v>1177</v>
      </c>
      <c r="G1192" s="80" t="s">
        <v>170</v>
      </c>
      <c r="H1192" s="80" t="s">
        <v>656</v>
      </c>
      <c r="I1192" s="100"/>
      <c r="J1192" s="101" t="s">
        <v>708</v>
      </c>
      <c r="K1192" s="121">
        <f>ROUND(Tableau16[[#This Row],[LEN]]*7.27,0)</f>
        <v>553</v>
      </c>
      <c r="L1192" s="121">
        <v>15</v>
      </c>
      <c r="M1192" s="138" t="str">
        <f t="shared" si="7"/>
        <v>none</v>
      </c>
      <c r="N1192" s="121">
        <f>LEN(Tableau16[[#This Row],[LABEL]])</f>
        <v>76</v>
      </c>
      <c r="O1192" s="121">
        <v>15</v>
      </c>
      <c r="P1192" s="121" t="e">
        <f>ROUND(Tableau16[[#This Row],[LEN]]*#REF!+#REF!,0)</f>
        <v>#REF!</v>
      </c>
    </row>
    <row r="1193" spans="1:16" x14ac:dyDescent="0.25">
      <c r="A1193" s="98" t="s">
        <v>2067</v>
      </c>
      <c r="B1193" s="99" t="s">
        <v>2059</v>
      </c>
      <c r="C1193" s="100" t="s">
        <v>2074</v>
      </c>
      <c r="D1193" s="80" t="s">
        <v>1177</v>
      </c>
      <c r="E1193" s="82" t="s">
        <v>1951</v>
      </c>
      <c r="F1193" s="100" t="s">
        <v>1177</v>
      </c>
      <c r="G1193" s="80" t="s">
        <v>170</v>
      </c>
      <c r="H1193" s="80" t="s">
        <v>656</v>
      </c>
      <c r="I1193" s="100"/>
      <c r="J1193" s="101" t="s">
        <v>708</v>
      </c>
      <c r="K1193" s="121">
        <f>ROUND(Tableau16[[#This Row],[LEN]]*7.27,0)</f>
        <v>502</v>
      </c>
      <c r="L1193" s="121">
        <v>15</v>
      </c>
      <c r="M1193" s="138" t="str">
        <f t="shared" si="7"/>
        <v>none</v>
      </c>
      <c r="N1193" s="121">
        <f>LEN(Tableau16[[#This Row],[LABEL]])</f>
        <v>69</v>
      </c>
      <c r="O1193" s="121">
        <v>15</v>
      </c>
      <c r="P1193" s="121" t="e">
        <f>ROUND(Tableau16[[#This Row],[LEN]]*#REF!+#REF!,0)</f>
        <v>#REF!</v>
      </c>
    </row>
  </sheetData>
  <dataValidations count="1">
    <dataValidation type="list" allowBlank="1" showInputMessage="1" showErrorMessage="1" sqref="H2:H1193">
      <formula1>listType</formula1>
    </dataValidation>
  </dataValidations>
  <hyperlinks>
    <hyperlink ref="J425" r:id="rId1"/>
    <hyperlink ref="J96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Q1202"/>
  <sheetViews>
    <sheetView zoomScale="85" zoomScaleNormal="85" workbookViewId="0">
      <pane xSplit="3" ySplit="1" topLeftCell="D2" activePane="bottomRight" state="frozen"/>
      <selection activeCell="J26" sqref="J26"/>
      <selection pane="topRight" activeCell="J26" sqref="J26"/>
      <selection pane="bottomLeft" activeCell="J26" sqref="J26"/>
      <selection pane="bottomRight" activeCell="J26" sqref="J26"/>
    </sheetView>
  </sheetViews>
  <sheetFormatPr defaultColWidth="21.140625" defaultRowHeight="15" x14ac:dyDescent="0.25"/>
  <cols>
    <col min="1" max="1" width="19.85546875" style="102" customWidth="1"/>
    <col min="2" max="2" width="18.85546875" style="102" customWidth="1"/>
    <col min="3" max="3" width="63.85546875" style="96" customWidth="1"/>
    <col min="4" max="4" width="20.42578125" style="96" customWidth="1"/>
    <col min="5" max="5" width="34.28515625" style="84" bestFit="1" customWidth="1"/>
    <col min="6" max="6" width="23.7109375" style="96" customWidth="1"/>
    <col min="7" max="7" width="15.28515625" style="84" customWidth="1"/>
    <col min="8" max="8" width="24.140625" style="84" customWidth="1"/>
    <col min="9" max="9" width="12" style="96" customWidth="1"/>
    <col min="10" max="11" width="22.85546875" style="96" customWidth="1"/>
    <col min="12" max="12" width="8.42578125" style="139" customWidth="1"/>
    <col min="13" max="13" width="9.85546875" style="139" customWidth="1"/>
    <col min="14" max="14" width="11.5703125" style="84" customWidth="1"/>
    <col min="15" max="15" width="7.140625" style="139" customWidth="1"/>
    <col min="16" max="16" width="14.42578125" style="139" customWidth="1"/>
    <col min="17" max="17" width="10.7109375" style="139" customWidth="1"/>
    <col min="18" max="16384" width="21.140625" style="96"/>
  </cols>
  <sheetData>
    <row r="1" spans="1:17" s="4" customFormat="1" ht="43.5" customHeight="1" thickTop="1" thickBot="1" x14ac:dyDescent="0.3">
      <c r="A1" s="140" t="s">
        <v>54</v>
      </c>
      <c r="B1" s="140" t="s">
        <v>55</v>
      </c>
      <c r="C1" s="140" t="s">
        <v>60</v>
      </c>
      <c r="D1" s="140" t="s">
        <v>61</v>
      </c>
      <c r="E1" s="140" t="s">
        <v>62</v>
      </c>
      <c r="F1" s="140" t="s">
        <v>63</v>
      </c>
      <c r="G1" s="140" t="s">
        <v>67</v>
      </c>
      <c r="H1" s="140" t="s">
        <v>830</v>
      </c>
      <c r="I1" s="140" t="s">
        <v>66</v>
      </c>
      <c r="J1" s="140" t="s">
        <v>100</v>
      </c>
      <c r="K1" s="140" t="s">
        <v>2110</v>
      </c>
      <c r="L1" s="140" t="s">
        <v>729</v>
      </c>
      <c r="M1" s="140" t="s">
        <v>730</v>
      </c>
      <c r="N1" s="140" t="s">
        <v>829</v>
      </c>
      <c r="O1" s="140" t="s">
        <v>831</v>
      </c>
      <c r="P1" s="140" t="s">
        <v>874</v>
      </c>
      <c r="Q1" s="140" t="s">
        <v>875</v>
      </c>
    </row>
    <row r="2" spans="1:17" s="92" customFormat="1" ht="15.75" thickTop="1" x14ac:dyDescent="0.25">
      <c r="A2" s="141" t="s">
        <v>198</v>
      </c>
      <c r="B2" s="141"/>
      <c r="C2" s="142" t="s">
        <v>59</v>
      </c>
      <c r="D2" s="142" t="s">
        <v>1177</v>
      </c>
      <c r="E2" s="142" t="s">
        <v>1177</v>
      </c>
      <c r="F2" s="143" t="s">
        <v>1084</v>
      </c>
      <c r="G2" s="142" t="s">
        <v>69</v>
      </c>
      <c r="H2" s="142" t="s">
        <v>657</v>
      </c>
      <c r="I2" s="143"/>
      <c r="J2" s="144" t="s">
        <v>708</v>
      </c>
      <c r="K2" s="1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" s="145">
        <f>ROUND(Tableau17[[#This Row],[LEN]]*7.27,0)</f>
        <v>44</v>
      </c>
      <c r="M2" s="145">
        <v>15</v>
      </c>
      <c r="N2" s="146" t="str">
        <f t="shared" ref="N2:N89" si="0">IF(J2="javascript:void(0)","none","new")</f>
        <v>none</v>
      </c>
      <c r="O2" s="145">
        <f>LEN(Tableau17[[#This Row],[LABEL]])</f>
        <v>6</v>
      </c>
      <c r="P2" s="147">
        <v>15</v>
      </c>
      <c r="Q2" s="147" t="e">
        <f>ROUND(Tableau17[[#This Row],[LEN]]*#REF!+#REF!,0)</f>
        <v>#REF!</v>
      </c>
    </row>
    <row r="3" spans="1:17" x14ac:dyDescent="0.25">
      <c r="A3" s="93" t="s">
        <v>199</v>
      </c>
      <c r="B3" s="93" t="s">
        <v>198</v>
      </c>
      <c r="C3" s="81" t="s">
        <v>1158</v>
      </c>
      <c r="D3" s="83" t="s">
        <v>180</v>
      </c>
      <c r="E3" s="83" t="s">
        <v>1177</v>
      </c>
      <c r="F3" s="94" t="s">
        <v>1084</v>
      </c>
      <c r="G3" s="83" t="s">
        <v>171</v>
      </c>
      <c r="H3" s="83" t="s">
        <v>615</v>
      </c>
      <c r="I3" s="94"/>
      <c r="J3" s="95" t="s">
        <v>707</v>
      </c>
      <c r="K3" s="9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" s="104">
        <f>ROUND(Tableau17[[#This Row],[LEN]]*7.27,0)</f>
        <v>102</v>
      </c>
      <c r="M3" s="104">
        <v>15</v>
      </c>
      <c r="N3" s="122" t="str">
        <f t="shared" si="0"/>
        <v>new</v>
      </c>
      <c r="O3" s="104">
        <f>LEN(Tableau17[[#This Row],[LABEL]])</f>
        <v>14</v>
      </c>
      <c r="P3" s="148">
        <v>15</v>
      </c>
      <c r="Q3" s="148" t="e">
        <f>ROUND(Tableau17[[#This Row],[LEN]]*#REF!+#REF!,0)</f>
        <v>#REF!</v>
      </c>
    </row>
    <row r="4" spans="1:17" ht="15.75" thickBot="1" x14ac:dyDescent="0.3">
      <c r="A4" s="149" t="s">
        <v>204</v>
      </c>
      <c r="B4" s="149" t="s">
        <v>199</v>
      </c>
      <c r="C4" s="150" t="s">
        <v>172</v>
      </c>
      <c r="D4" s="151" t="s">
        <v>184</v>
      </c>
      <c r="E4" s="150" t="s">
        <v>1177</v>
      </c>
      <c r="F4" s="151" t="s">
        <v>1177</v>
      </c>
      <c r="G4" s="150" t="s">
        <v>70</v>
      </c>
      <c r="H4" s="150" t="s">
        <v>616</v>
      </c>
      <c r="I4" s="151"/>
      <c r="J4" s="152" t="s">
        <v>708</v>
      </c>
      <c r="K4" s="15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" s="153">
        <f>ROUND(Tableau17[[#This Row],[LEN]]*7.27,0)</f>
        <v>80</v>
      </c>
      <c r="M4" s="153">
        <v>15</v>
      </c>
      <c r="N4" s="154" t="str">
        <f t="shared" si="0"/>
        <v>none</v>
      </c>
      <c r="O4" s="153">
        <f>LEN(Tableau17[[#This Row],[LABEL]])</f>
        <v>11</v>
      </c>
      <c r="P4" s="155">
        <v>15</v>
      </c>
      <c r="Q4" s="155" t="e">
        <f>ROUND(Tableau17[[#This Row],[LEN]]*#REF!+#REF!,0)</f>
        <v>#REF!</v>
      </c>
    </row>
    <row r="5" spans="1:17" s="92" customFormat="1" ht="15.75" thickTop="1" x14ac:dyDescent="0.25">
      <c r="A5" s="245" t="s">
        <v>213</v>
      </c>
      <c r="B5" s="246" t="s">
        <v>204</v>
      </c>
      <c r="C5" s="247" t="s">
        <v>57</v>
      </c>
      <c r="D5" s="248" t="s">
        <v>1177</v>
      </c>
      <c r="E5" s="247" t="s">
        <v>663</v>
      </c>
      <c r="F5" s="247" t="s">
        <v>1177</v>
      </c>
      <c r="G5" s="248" t="s">
        <v>70</v>
      </c>
      <c r="H5" s="248" t="str">
        <f>IFERROR(IF(SEARCH(".00.00.00.00.00",Tableau17[[#This Row],[name]],1)=7,"Division",""),"")</f>
        <v>Division</v>
      </c>
      <c r="I5" s="247"/>
      <c r="J5" s="249" t="s">
        <v>708</v>
      </c>
      <c r="K5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" s="250">
        <f>ROUND(Tableau17[[#This Row],[LEN]]*7.27,0)</f>
        <v>102</v>
      </c>
      <c r="M5" s="250">
        <v>15</v>
      </c>
      <c r="N5" s="251" t="str">
        <f t="shared" si="0"/>
        <v>none</v>
      </c>
      <c r="O5" s="250">
        <f>LEN(Tableau17[[#This Row],[LABEL]])</f>
        <v>14</v>
      </c>
      <c r="P5" s="250">
        <v>15</v>
      </c>
      <c r="Q5" s="250" t="e">
        <f>ROUND(Tableau17[[#This Row],[LEN]]*#REF!+#REF!,0)</f>
        <v>#REF!</v>
      </c>
    </row>
    <row r="6" spans="1:17" x14ac:dyDescent="0.25">
      <c r="A6" s="6" t="s">
        <v>740</v>
      </c>
      <c r="B6" s="7" t="s">
        <v>213</v>
      </c>
      <c r="C6" s="8" t="s">
        <v>746</v>
      </c>
      <c r="D6" s="65" t="s">
        <v>1177</v>
      </c>
      <c r="E6" s="8" t="s">
        <v>663</v>
      </c>
      <c r="F6" s="8" t="s">
        <v>1177</v>
      </c>
      <c r="G6" s="65" t="s">
        <v>70</v>
      </c>
      <c r="H6" s="65" t="s">
        <v>654</v>
      </c>
      <c r="I6" s="8"/>
      <c r="J6" s="9" t="s">
        <v>708</v>
      </c>
      <c r="K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" s="105">
        <f>ROUND(Tableau17[[#This Row],[LEN]]*7.27,0)</f>
        <v>233</v>
      </c>
      <c r="M6" s="105">
        <v>15</v>
      </c>
      <c r="N6" s="123" t="str">
        <f t="shared" si="0"/>
        <v>none</v>
      </c>
      <c r="O6" s="105">
        <f>LEN(Tableau17[[#This Row],[LABEL]])</f>
        <v>32</v>
      </c>
      <c r="P6" s="105">
        <v>15</v>
      </c>
      <c r="Q6" s="105" t="e">
        <f>ROUND(Tableau17[[#This Row],[LEN]]*#REF!+#REF!,0)</f>
        <v>#REF!</v>
      </c>
    </row>
    <row r="7" spans="1:17" x14ac:dyDescent="0.25">
      <c r="A7" s="6" t="s">
        <v>741</v>
      </c>
      <c r="B7" s="7" t="s">
        <v>213</v>
      </c>
      <c r="C7" s="8" t="s">
        <v>64</v>
      </c>
      <c r="D7" s="65" t="s">
        <v>1177</v>
      </c>
      <c r="E7" s="8" t="s">
        <v>662</v>
      </c>
      <c r="F7" s="8" t="s">
        <v>1956</v>
      </c>
      <c r="G7" s="65" t="s">
        <v>70</v>
      </c>
      <c r="H7" s="65" t="s">
        <v>17</v>
      </c>
      <c r="I7" s="8"/>
      <c r="J7" s="9" t="s">
        <v>708</v>
      </c>
      <c r="K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" s="105">
        <f>ROUND(Tableau17[[#This Row],[LEN]]*7.27,0)</f>
        <v>291</v>
      </c>
      <c r="M7" s="105">
        <v>15</v>
      </c>
      <c r="N7" s="123" t="str">
        <f t="shared" si="0"/>
        <v>none</v>
      </c>
      <c r="O7" s="105">
        <f>LEN(Tableau17[[#This Row],[LABEL]])</f>
        <v>40</v>
      </c>
      <c r="P7" s="105">
        <v>15</v>
      </c>
      <c r="Q7" s="105" t="e">
        <f>ROUND(Tableau17[[#This Row],[LEN]]*#REF!+#REF!,0)</f>
        <v>#REF!</v>
      </c>
    </row>
    <row r="8" spans="1:17" x14ac:dyDescent="0.25">
      <c r="A8" s="6" t="s">
        <v>742</v>
      </c>
      <c r="B8" s="7" t="s">
        <v>213</v>
      </c>
      <c r="C8" s="8" t="s">
        <v>747</v>
      </c>
      <c r="D8" s="65" t="s">
        <v>1177</v>
      </c>
      <c r="E8" s="8" t="s">
        <v>663</v>
      </c>
      <c r="F8" s="8" t="s">
        <v>1177</v>
      </c>
      <c r="G8" s="65" t="s">
        <v>70</v>
      </c>
      <c r="H8" s="65" t="s">
        <v>656</v>
      </c>
      <c r="I8" s="8"/>
      <c r="J8" s="9" t="s">
        <v>708</v>
      </c>
      <c r="K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" s="105">
        <f>ROUND(Tableau17[[#This Row],[LEN]]*7.27,0)</f>
        <v>451</v>
      </c>
      <c r="M8" s="105">
        <v>15</v>
      </c>
      <c r="N8" s="123" t="str">
        <f t="shared" si="0"/>
        <v>none</v>
      </c>
      <c r="O8" s="105">
        <f>LEN(Tableau17[[#This Row],[LABEL]])</f>
        <v>62</v>
      </c>
      <c r="P8" s="105">
        <v>15</v>
      </c>
      <c r="Q8" s="105" t="e">
        <f>ROUND(Tableau17[[#This Row],[LEN]]*#REF!+#REF!,0)</f>
        <v>#REF!</v>
      </c>
    </row>
    <row r="9" spans="1:17" x14ac:dyDescent="0.25">
      <c r="A9" s="6" t="s">
        <v>743</v>
      </c>
      <c r="B9" s="7" t="s">
        <v>213</v>
      </c>
      <c r="C9" s="8" t="s">
        <v>65</v>
      </c>
      <c r="D9" s="65" t="s">
        <v>1177</v>
      </c>
      <c r="E9" s="8" t="s">
        <v>662</v>
      </c>
      <c r="F9" s="8" t="s">
        <v>1957</v>
      </c>
      <c r="G9" s="65" t="s">
        <v>70</v>
      </c>
      <c r="H9" s="65" t="s">
        <v>17</v>
      </c>
      <c r="I9" s="8"/>
      <c r="J9" s="9" t="s">
        <v>708</v>
      </c>
      <c r="K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" s="105">
        <f>ROUND(Tableau17[[#This Row],[LEN]]*7.27,0)</f>
        <v>291</v>
      </c>
      <c r="M9" s="105">
        <v>15</v>
      </c>
      <c r="N9" s="123" t="str">
        <f t="shared" si="0"/>
        <v>none</v>
      </c>
      <c r="O9" s="105">
        <f>LEN(Tableau17[[#This Row],[LABEL]])</f>
        <v>40</v>
      </c>
      <c r="P9" s="105">
        <v>15</v>
      </c>
      <c r="Q9" s="105" t="e">
        <f>ROUND(Tableau17[[#This Row],[LEN]]*#REF!+#REF!,0)</f>
        <v>#REF!</v>
      </c>
    </row>
    <row r="10" spans="1:17" x14ac:dyDescent="0.25">
      <c r="A10" s="6" t="s">
        <v>744</v>
      </c>
      <c r="B10" s="7" t="s">
        <v>213</v>
      </c>
      <c r="C10" s="8" t="s">
        <v>748</v>
      </c>
      <c r="D10" s="65" t="s">
        <v>1177</v>
      </c>
      <c r="E10" s="8" t="s">
        <v>663</v>
      </c>
      <c r="F10" s="8" t="s">
        <v>1177</v>
      </c>
      <c r="G10" s="65" t="s">
        <v>70</v>
      </c>
      <c r="H10" s="65" t="s">
        <v>656</v>
      </c>
      <c r="I10" s="8"/>
      <c r="J10" s="9" t="s">
        <v>708</v>
      </c>
      <c r="K10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" s="105">
        <f>ROUND(Tableau17[[#This Row],[LEN]]*7.27,0)</f>
        <v>247</v>
      </c>
      <c r="M10" s="105">
        <v>15</v>
      </c>
      <c r="N10" s="123" t="str">
        <f t="shared" si="0"/>
        <v>none</v>
      </c>
      <c r="O10" s="105">
        <f>LEN(Tableau17[[#This Row],[LABEL]])</f>
        <v>34</v>
      </c>
      <c r="P10" s="105">
        <v>15</v>
      </c>
      <c r="Q10" s="105" t="e">
        <f>ROUND(Tableau17[[#This Row],[LEN]]*#REF!+#REF!,0)</f>
        <v>#REF!</v>
      </c>
    </row>
    <row r="11" spans="1:17" x14ac:dyDescent="0.25">
      <c r="A11" s="6" t="s">
        <v>745</v>
      </c>
      <c r="B11" s="7" t="s">
        <v>213</v>
      </c>
      <c r="C11" s="8" t="s">
        <v>1166</v>
      </c>
      <c r="D11" s="65" t="s">
        <v>1177</v>
      </c>
      <c r="E11" s="8" t="s">
        <v>663</v>
      </c>
      <c r="F11" s="8" t="s">
        <v>1177</v>
      </c>
      <c r="G11" s="65" t="s">
        <v>70</v>
      </c>
      <c r="H11" s="65" t="s">
        <v>656</v>
      </c>
      <c r="I11" s="8"/>
      <c r="J11" s="9" t="s">
        <v>708</v>
      </c>
      <c r="K1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" s="105">
        <f>ROUND(Tableau17[[#This Row],[LEN]]*7.27,0)</f>
        <v>364</v>
      </c>
      <c r="M11" s="105">
        <v>15</v>
      </c>
      <c r="N11" s="123" t="str">
        <f t="shared" si="0"/>
        <v>none</v>
      </c>
      <c r="O11" s="105">
        <f>LEN(Tableau17[[#This Row],[LABEL]])</f>
        <v>50</v>
      </c>
      <c r="P11" s="105">
        <v>15</v>
      </c>
      <c r="Q11" s="105" t="e">
        <f>ROUND(Tableau17[[#This Row],[LEN]]*#REF!+#REF!,0)</f>
        <v>#REF!</v>
      </c>
    </row>
    <row r="12" spans="1:17" s="92" customFormat="1" x14ac:dyDescent="0.25">
      <c r="A12" s="245" t="s">
        <v>214</v>
      </c>
      <c r="B12" s="246" t="s">
        <v>204</v>
      </c>
      <c r="C12" s="247" t="s">
        <v>2</v>
      </c>
      <c r="D12" s="248" t="s">
        <v>1177</v>
      </c>
      <c r="E12" s="247" t="s">
        <v>662</v>
      </c>
      <c r="F12" s="247" t="s">
        <v>1177</v>
      </c>
      <c r="G12" s="248" t="s">
        <v>70</v>
      </c>
      <c r="H12" s="248" t="str">
        <f>IFERROR(IF(SEARCH(".00.00.00.00.00",Tableau17[[#This Row],[name]],1)=7,"Division",""),"")</f>
        <v>Division</v>
      </c>
      <c r="I12" s="247"/>
      <c r="J12" s="249" t="s">
        <v>708</v>
      </c>
      <c r="K12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2" s="250">
        <f>ROUND(Tableau17[[#This Row],[LEN]]*7.27,0)</f>
        <v>65</v>
      </c>
      <c r="M12" s="250">
        <v>15</v>
      </c>
      <c r="N12" s="251" t="str">
        <f t="shared" si="0"/>
        <v>none</v>
      </c>
      <c r="O12" s="250">
        <f>LEN(Tableau17[[#This Row],[LABEL]])</f>
        <v>9</v>
      </c>
      <c r="P12" s="250">
        <v>15</v>
      </c>
      <c r="Q12" s="250" t="e">
        <f>ROUND(Tableau17[[#This Row],[LEN]]*#REF!+#REF!,0)</f>
        <v>#REF!</v>
      </c>
    </row>
    <row r="13" spans="1:17" x14ac:dyDescent="0.25">
      <c r="A13" s="6" t="s">
        <v>734</v>
      </c>
      <c r="B13" s="7" t="s">
        <v>214</v>
      </c>
      <c r="C13" s="8" t="s">
        <v>64</v>
      </c>
      <c r="D13" s="65" t="s">
        <v>1177</v>
      </c>
      <c r="E13" s="8" t="s">
        <v>662</v>
      </c>
      <c r="F13" s="8" t="s">
        <v>1956</v>
      </c>
      <c r="G13" s="65" t="s">
        <v>70</v>
      </c>
      <c r="H13" s="65" t="s">
        <v>17</v>
      </c>
      <c r="I13" s="8"/>
      <c r="J13" s="9" t="s">
        <v>708</v>
      </c>
      <c r="K1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" s="105">
        <f>ROUND(Tableau17[[#This Row],[LEN]]*7.27,0)</f>
        <v>291</v>
      </c>
      <c r="M13" s="105">
        <v>15</v>
      </c>
      <c r="N13" s="123" t="str">
        <f t="shared" si="0"/>
        <v>none</v>
      </c>
      <c r="O13" s="105">
        <f>LEN(Tableau17[[#This Row],[LABEL]])</f>
        <v>40</v>
      </c>
      <c r="P13" s="105">
        <v>15</v>
      </c>
      <c r="Q13" s="105" t="e">
        <f>ROUND(Tableau17[[#This Row],[LEN]]*#REF!+#REF!,0)</f>
        <v>#REF!</v>
      </c>
    </row>
    <row r="14" spans="1:17" x14ac:dyDescent="0.25">
      <c r="A14" s="6" t="s">
        <v>735</v>
      </c>
      <c r="B14" s="7" t="s">
        <v>214</v>
      </c>
      <c r="C14" s="8" t="s">
        <v>65</v>
      </c>
      <c r="D14" s="65" t="s">
        <v>1177</v>
      </c>
      <c r="E14" s="8" t="s">
        <v>662</v>
      </c>
      <c r="F14" s="8" t="s">
        <v>1957</v>
      </c>
      <c r="G14" s="65" t="s">
        <v>70</v>
      </c>
      <c r="H14" s="65" t="s">
        <v>17</v>
      </c>
      <c r="I14" s="8"/>
      <c r="J14" s="9" t="s">
        <v>708</v>
      </c>
      <c r="K1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" s="105">
        <f>ROUND(Tableau17[[#This Row],[LEN]]*7.27,0)</f>
        <v>291</v>
      </c>
      <c r="M14" s="105">
        <v>15</v>
      </c>
      <c r="N14" s="123" t="str">
        <f t="shared" si="0"/>
        <v>none</v>
      </c>
      <c r="O14" s="105">
        <f>LEN(Tableau17[[#This Row],[LABEL]])</f>
        <v>40</v>
      </c>
      <c r="P14" s="105">
        <v>15</v>
      </c>
      <c r="Q14" s="105" t="e">
        <f>ROUND(Tableau17[[#This Row],[LEN]]*#REF!+#REF!,0)</f>
        <v>#REF!</v>
      </c>
    </row>
    <row r="15" spans="1:17" x14ac:dyDescent="0.25">
      <c r="A15" s="6" t="s">
        <v>736</v>
      </c>
      <c r="B15" s="7" t="s">
        <v>214</v>
      </c>
      <c r="C15" s="8" t="s">
        <v>72</v>
      </c>
      <c r="D15" s="65" t="s">
        <v>1177</v>
      </c>
      <c r="E15" s="8" t="s">
        <v>662</v>
      </c>
      <c r="F15" s="8" t="s">
        <v>2075</v>
      </c>
      <c r="G15" s="65" t="s">
        <v>70</v>
      </c>
      <c r="H15" s="65" t="s">
        <v>654</v>
      </c>
      <c r="I15" s="8"/>
      <c r="J15" s="9" t="s">
        <v>708</v>
      </c>
      <c r="K15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" s="105">
        <f>ROUND(Tableau17[[#This Row],[LEN]]*7.27,0)</f>
        <v>400</v>
      </c>
      <c r="M15" s="105">
        <v>15</v>
      </c>
      <c r="N15" s="123" t="str">
        <f t="shared" si="0"/>
        <v>none</v>
      </c>
      <c r="O15" s="105">
        <f>LEN(Tableau17[[#This Row],[LABEL]])</f>
        <v>55</v>
      </c>
      <c r="P15" s="105">
        <v>15</v>
      </c>
      <c r="Q15" s="105" t="e">
        <f>ROUND(Tableau17[[#This Row],[LEN]]*#REF!+#REF!,0)</f>
        <v>#REF!</v>
      </c>
    </row>
    <row r="16" spans="1:17" s="92" customFormat="1" x14ac:dyDescent="0.25">
      <c r="A16" s="245" t="s">
        <v>215</v>
      </c>
      <c r="B16" s="246" t="s">
        <v>204</v>
      </c>
      <c r="C16" s="247" t="s">
        <v>3</v>
      </c>
      <c r="D16" s="248" t="s">
        <v>1177</v>
      </c>
      <c r="E16" s="247" t="s">
        <v>661</v>
      </c>
      <c r="F16" s="247" t="s">
        <v>1177</v>
      </c>
      <c r="G16" s="248" t="s">
        <v>70</v>
      </c>
      <c r="H16" s="248" t="str">
        <f>IFERROR(IF(SEARCH(".00.00.00.00.00",Tableau17[[#This Row],[name]],1)=7,"Division",""),"")</f>
        <v>Division</v>
      </c>
      <c r="I16" s="247"/>
      <c r="J16" s="249" t="s">
        <v>708</v>
      </c>
      <c r="K16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6" s="250">
        <f>ROUND(Tableau17[[#This Row],[LEN]]*7.27,0)</f>
        <v>73</v>
      </c>
      <c r="M16" s="250">
        <v>15</v>
      </c>
      <c r="N16" s="251" t="str">
        <f t="shared" si="0"/>
        <v>none</v>
      </c>
      <c r="O16" s="250">
        <f>LEN(Tableau17[[#This Row],[LABEL]])</f>
        <v>10</v>
      </c>
      <c r="P16" s="250">
        <v>15</v>
      </c>
      <c r="Q16" s="250" t="e">
        <f>ROUND(Tableau17[[#This Row],[LEN]]*#REF!+#REF!,0)</f>
        <v>#REF!</v>
      </c>
    </row>
    <row r="17" spans="1:17" x14ac:dyDescent="0.25">
      <c r="A17" s="6" t="s">
        <v>356</v>
      </c>
      <c r="B17" s="7" t="s">
        <v>215</v>
      </c>
      <c r="C17" s="8" t="s">
        <v>64</v>
      </c>
      <c r="D17" s="65" t="s">
        <v>1177</v>
      </c>
      <c r="E17" s="8" t="s">
        <v>662</v>
      </c>
      <c r="F17" s="8" t="s">
        <v>1956</v>
      </c>
      <c r="G17" s="65" t="s">
        <v>70</v>
      </c>
      <c r="H17" s="65" t="s">
        <v>17</v>
      </c>
      <c r="I17" s="8"/>
      <c r="J17" s="9" t="s">
        <v>708</v>
      </c>
      <c r="K1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" s="105">
        <f>ROUND(Tableau17[[#This Row],[LEN]]*7.27,0)</f>
        <v>291</v>
      </c>
      <c r="M17" s="105">
        <v>15</v>
      </c>
      <c r="N17" s="123" t="str">
        <f t="shared" si="0"/>
        <v>none</v>
      </c>
      <c r="O17" s="105">
        <f>LEN(Tableau17[[#This Row],[LABEL]])</f>
        <v>40</v>
      </c>
      <c r="P17" s="105">
        <v>15</v>
      </c>
      <c r="Q17" s="105" t="e">
        <f>ROUND(Tableau17[[#This Row],[LEN]]*#REF!+#REF!,0)</f>
        <v>#REF!</v>
      </c>
    </row>
    <row r="18" spans="1:17" x14ac:dyDescent="0.25">
      <c r="A18" s="6" t="s">
        <v>357</v>
      </c>
      <c r="B18" s="7" t="s">
        <v>215</v>
      </c>
      <c r="C18" s="8" t="s">
        <v>75</v>
      </c>
      <c r="D18" s="65" t="s">
        <v>1177</v>
      </c>
      <c r="E18" s="8" t="s">
        <v>684</v>
      </c>
      <c r="F18" s="8" t="s">
        <v>663</v>
      </c>
      <c r="G18" s="65" t="s">
        <v>70</v>
      </c>
      <c r="H18" s="65" t="s">
        <v>655</v>
      </c>
      <c r="I18" s="8"/>
      <c r="J18" s="9" t="s">
        <v>708</v>
      </c>
      <c r="K1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" s="105">
        <f>ROUND(Tableau17[[#This Row],[LEN]]*7.27,0)</f>
        <v>262</v>
      </c>
      <c r="M18" s="105">
        <v>15</v>
      </c>
      <c r="N18" s="123" t="str">
        <f t="shared" si="0"/>
        <v>none</v>
      </c>
      <c r="O18" s="105">
        <f>LEN(Tableau17[[#This Row],[LABEL]])</f>
        <v>36</v>
      </c>
      <c r="P18" s="105">
        <v>15</v>
      </c>
      <c r="Q18" s="105" t="e">
        <f>ROUND(Tableau17[[#This Row],[LEN]]*#REF!+#REF!,0)</f>
        <v>#REF!</v>
      </c>
    </row>
    <row r="19" spans="1:17" x14ac:dyDescent="0.25">
      <c r="A19" s="10" t="s">
        <v>365</v>
      </c>
      <c r="B19" s="11" t="s">
        <v>357</v>
      </c>
      <c r="C19" s="12" t="s">
        <v>76</v>
      </c>
      <c r="D19" s="66" t="s">
        <v>1177</v>
      </c>
      <c r="E19" s="12" t="s">
        <v>684</v>
      </c>
      <c r="F19" s="12" t="s">
        <v>663</v>
      </c>
      <c r="G19" s="66" t="s">
        <v>70</v>
      </c>
      <c r="H19" s="66" t="s">
        <v>18</v>
      </c>
      <c r="I19" s="12"/>
      <c r="J19" s="13" t="s">
        <v>708</v>
      </c>
      <c r="K19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" s="106">
        <f>ROUND(Tableau17[[#This Row],[LEN]]*7.27,0)</f>
        <v>443</v>
      </c>
      <c r="M19" s="106">
        <v>15</v>
      </c>
      <c r="N19" s="124" t="str">
        <f t="shared" si="0"/>
        <v>none</v>
      </c>
      <c r="O19" s="106">
        <f>LEN(Tableau17[[#This Row],[LABEL]])</f>
        <v>61</v>
      </c>
      <c r="P19" s="106">
        <v>15</v>
      </c>
      <c r="Q19" s="106" t="e">
        <f>ROUND(Tableau17[[#This Row],[LEN]]*#REF!+#REF!,0)</f>
        <v>#REF!</v>
      </c>
    </row>
    <row r="20" spans="1:17" x14ac:dyDescent="0.25">
      <c r="A20" s="10" t="s">
        <v>366</v>
      </c>
      <c r="B20" s="11" t="s">
        <v>357</v>
      </c>
      <c r="C20" s="12" t="s">
        <v>77</v>
      </c>
      <c r="D20" s="66" t="s">
        <v>1177</v>
      </c>
      <c r="E20" s="12" t="s">
        <v>684</v>
      </c>
      <c r="F20" s="12" t="s">
        <v>663</v>
      </c>
      <c r="G20" s="66" t="s">
        <v>70</v>
      </c>
      <c r="H20" s="66" t="s">
        <v>18</v>
      </c>
      <c r="I20" s="12"/>
      <c r="J20" s="13" t="s">
        <v>708</v>
      </c>
      <c r="K20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" s="106">
        <f>ROUND(Tableau17[[#This Row],[LEN]]*7.27,0)</f>
        <v>473</v>
      </c>
      <c r="M20" s="106">
        <v>15</v>
      </c>
      <c r="N20" s="124" t="str">
        <f t="shared" si="0"/>
        <v>none</v>
      </c>
      <c r="O20" s="106">
        <f>LEN(Tableau17[[#This Row],[LABEL]])</f>
        <v>65</v>
      </c>
      <c r="P20" s="106">
        <v>15</v>
      </c>
      <c r="Q20" s="106" t="e">
        <f>ROUND(Tableau17[[#This Row],[LEN]]*#REF!+#REF!,0)</f>
        <v>#REF!</v>
      </c>
    </row>
    <row r="21" spans="1:17" x14ac:dyDescent="0.25">
      <c r="A21" s="10" t="s">
        <v>367</v>
      </c>
      <c r="B21" s="11" t="s">
        <v>357</v>
      </c>
      <c r="C21" s="12" t="s">
        <v>78</v>
      </c>
      <c r="D21" s="66" t="s">
        <v>1177</v>
      </c>
      <c r="E21" s="12" t="s">
        <v>684</v>
      </c>
      <c r="F21" s="12" t="s">
        <v>663</v>
      </c>
      <c r="G21" s="66" t="s">
        <v>70</v>
      </c>
      <c r="H21" s="66" t="s">
        <v>18</v>
      </c>
      <c r="I21" s="12"/>
      <c r="J21" s="13" t="s">
        <v>708</v>
      </c>
      <c r="K21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" s="106">
        <f>ROUND(Tableau17[[#This Row],[LEN]]*7.27,0)</f>
        <v>385</v>
      </c>
      <c r="M21" s="106">
        <v>15</v>
      </c>
      <c r="N21" s="124" t="str">
        <f t="shared" si="0"/>
        <v>none</v>
      </c>
      <c r="O21" s="106">
        <f>LEN(Tableau17[[#This Row],[LABEL]])</f>
        <v>53</v>
      </c>
      <c r="P21" s="106">
        <v>15</v>
      </c>
      <c r="Q21" s="106" t="e">
        <f>ROUND(Tableau17[[#This Row],[LEN]]*#REF!+#REF!,0)</f>
        <v>#REF!</v>
      </c>
    </row>
    <row r="22" spans="1:17" x14ac:dyDescent="0.25">
      <c r="A22" s="6" t="s">
        <v>358</v>
      </c>
      <c r="B22" s="7" t="s">
        <v>215</v>
      </c>
      <c r="C22" s="8" t="s">
        <v>65</v>
      </c>
      <c r="D22" s="65" t="s">
        <v>1177</v>
      </c>
      <c r="E22" s="8" t="s">
        <v>662</v>
      </c>
      <c r="F22" s="8" t="s">
        <v>1957</v>
      </c>
      <c r="G22" s="65" t="s">
        <v>70</v>
      </c>
      <c r="H22" s="65" t="s">
        <v>17</v>
      </c>
      <c r="I22" s="8"/>
      <c r="J22" s="9" t="s">
        <v>708</v>
      </c>
      <c r="K2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" s="105">
        <f>ROUND(Tableau17[[#This Row],[LEN]]*7.27,0)</f>
        <v>291</v>
      </c>
      <c r="M22" s="105">
        <v>15</v>
      </c>
      <c r="N22" s="123" t="str">
        <f t="shared" si="0"/>
        <v>none</v>
      </c>
      <c r="O22" s="105">
        <f>LEN(Tableau17[[#This Row],[LABEL]])</f>
        <v>40</v>
      </c>
      <c r="P22" s="105">
        <v>15</v>
      </c>
      <c r="Q22" s="105" t="e">
        <f>ROUND(Tableau17[[#This Row],[LEN]]*#REF!+#REF!,0)</f>
        <v>#REF!</v>
      </c>
    </row>
    <row r="23" spans="1:17" x14ac:dyDescent="0.25">
      <c r="A23" s="6" t="s">
        <v>359</v>
      </c>
      <c r="B23" s="7" t="s">
        <v>215</v>
      </c>
      <c r="C23" s="8" t="s">
        <v>72</v>
      </c>
      <c r="D23" s="65" t="s">
        <v>1177</v>
      </c>
      <c r="E23" s="8" t="s">
        <v>662</v>
      </c>
      <c r="F23" s="8" t="s">
        <v>2075</v>
      </c>
      <c r="G23" s="65" t="s">
        <v>70</v>
      </c>
      <c r="H23" s="65" t="s">
        <v>654</v>
      </c>
      <c r="I23" s="8"/>
      <c r="J23" s="9" t="s">
        <v>708</v>
      </c>
      <c r="K2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" s="105">
        <f>ROUND(Tableau17[[#This Row],[LEN]]*7.27,0)</f>
        <v>400</v>
      </c>
      <c r="M23" s="105">
        <v>15</v>
      </c>
      <c r="N23" s="123" t="str">
        <f t="shared" si="0"/>
        <v>none</v>
      </c>
      <c r="O23" s="105">
        <f>LEN(Tableau17[[#This Row],[LABEL]])</f>
        <v>55</v>
      </c>
      <c r="P23" s="105">
        <v>15</v>
      </c>
      <c r="Q23" s="105" t="e">
        <f>ROUND(Tableau17[[#This Row],[LEN]]*#REF!+#REF!,0)</f>
        <v>#REF!</v>
      </c>
    </row>
    <row r="24" spans="1:17" x14ac:dyDescent="0.25">
      <c r="A24" s="6" t="s">
        <v>360</v>
      </c>
      <c r="B24" s="7" t="s">
        <v>215</v>
      </c>
      <c r="C24" s="8" t="s">
        <v>79</v>
      </c>
      <c r="D24" s="65" t="s">
        <v>1177</v>
      </c>
      <c r="E24" s="8" t="s">
        <v>661</v>
      </c>
      <c r="F24" s="8" t="s">
        <v>666</v>
      </c>
      <c r="G24" s="65" t="s">
        <v>70</v>
      </c>
      <c r="H24" s="65" t="s">
        <v>18</v>
      </c>
      <c r="I24" s="8"/>
      <c r="J24" s="9" t="s">
        <v>708</v>
      </c>
      <c r="K2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" s="105">
        <f>ROUND(Tableau17[[#This Row],[LEN]]*7.27,0)</f>
        <v>218</v>
      </c>
      <c r="M24" s="105">
        <v>15</v>
      </c>
      <c r="N24" s="123" t="str">
        <f t="shared" si="0"/>
        <v>none</v>
      </c>
      <c r="O24" s="105">
        <f>LEN(Tableau17[[#This Row],[LABEL]])</f>
        <v>30</v>
      </c>
      <c r="P24" s="105">
        <v>15</v>
      </c>
      <c r="Q24" s="105" t="e">
        <f>ROUND(Tableau17[[#This Row],[LEN]]*#REF!+#REF!,0)</f>
        <v>#REF!</v>
      </c>
    </row>
    <row r="25" spans="1:17" s="92" customFormat="1" x14ac:dyDescent="0.25">
      <c r="A25" s="245" t="s">
        <v>216</v>
      </c>
      <c r="B25" s="246" t="s">
        <v>204</v>
      </c>
      <c r="C25" s="247" t="s">
        <v>4</v>
      </c>
      <c r="D25" s="248" t="s">
        <v>1177</v>
      </c>
      <c r="E25" s="247" t="s">
        <v>666</v>
      </c>
      <c r="F25" s="247" t="s">
        <v>1177</v>
      </c>
      <c r="G25" s="248" t="s">
        <v>70</v>
      </c>
      <c r="H25" s="248" t="str">
        <f>IFERROR(IF(SEARCH(".00.00.00.00.00",Tableau17[[#This Row],[name]],1)=7,"Division",""),"")</f>
        <v>Division</v>
      </c>
      <c r="I25" s="247"/>
      <c r="J25" s="249" t="s">
        <v>708</v>
      </c>
      <c r="K25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5" s="250">
        <f>ROUND(Tableau17[[#This Row],[LEN]]*7.27,0)</f>
        <v>36</v>
      </c>
      <c r="M25" s="250">
        <v>15</v>
      </c>
      <c r="N25" s="251" t="str">
        <f t="shared" si="0"/>
        <v>none</v>
      </c>
      <c r="O25" s="250">
        <f>LEN(Tableau17[[#This Row],[LABEL]])</f>
        <v>5</v>
      </c>
      <c r="P25" s="250">
        <v>15</v>
      </c>
      <c r="Q25" s="250" t="e">
        <f>ROUND(Tableau17[[#This Row],[LEN]]*#REF!+#REF!,0)</f>
        <v>#REF!</v>
      </c>
    </row>
    <row r="26" spans="1:17" x14ac:dyDescent="0.25">
      <c r="A26" s="6" t="s">
        <v>918</v>
      </c>
      <c r="B26" s="7" t="s">
        <v>216</v>
      </c>
      <c r="C26" s="8" t="s">
        <v>64</v>
      </c>
      <c r="D26" s="65" t="s">
        <v>1177</v>
      </c>
      <c r="E26" s="8" t="s">
        <v>662</v>
      </c>
      <c r="F26" s="8" t="s">
        <v>1956</v>
      </c>
      <c r="G26" s="65" t="s">
        <v>70</v>
      </c>
      <c r="H26" s="65" t="s">
        <v>17</v>
      </c>
      <c r="I26" s="8"/>
      <c r="J26" s="9" t="s">
        <v>708</v>
      </c>
      <c r="K2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" s="105">
        <f>ROUND(Tableau17[[#This Row],[LEN]]*7.27,0)</f>
        <v>291</v>
      </c>
      <c r="M26" s="105">
        <v>15</v>
      </c>
      <c r="N26" s="123" t="str">
        <f t="shared" si="0"/>
        <v>none</v>
      </c>
      <c r="O26" s="105">
        <f>LEN(Tableau17[[#This Row],[LABEL]])</f>
        <v>40</v>
      </c>
      <c r="P26" s="105">
        <v>15</v>
      </c>
      <c r="Q26" s="105" t="e">
        <f>ROUND(Tableau17[[#This Row],[LEN]]*#REF!+#REF!,0)</f>
        <v>#REF!</v>
      </c>
    </row>
    <row r="27" spans="1:17" x14ac:dyDescent="0.25">
      <c r="A27" s="6" t="s">
        <v>919</v>
      </c>
      <c r="B27" s="7" t="s">
        <v>216</v>
      </c>
      <c r="C27" s="8" t="s">
        <v>75</v>
      </c>
      <c r="D27" s="65" t="s">
        <v>1177</v>
      </c>
      <c r="E27" s="8" t="s">
        <v>684</v>
      </c>
      <c r="F27" s="8" t="s">
        <v>663</v>
      </c>
      <c r="G27" s="65" t="s">
        <v>70</v>
      </c>
      <c r="H27" s="65" t="s">
        <v>655</v>
      </c>
      <c r="I27" s="8"/>
      <c r="J27" s="9" t="s">
        <v>708</v>
      </c>
      <c r="K2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" s="105">
        <f>ROUND(Tableau17[[#This Row],[LEN]]*7.27,0)</f>
        <v>262</v>
      </c>
      <c r="M27" s="105">
        <v>15</v>
      </c>
      <c r="N27" s="123" t="str">
        <f t="shared" si="0"/>
        <v>none</v>
      </c>
      <c r="O27" s="105">
        <f>LEN(Tableau17[[#This Row],[LABEL]])</f>
        <v>36</v>
      </c>
      <c r="P27" s="105">
        <v>15</v>
      </c>
      <c r="Q27" s="105" t="e">
        <f>ROUND(Tableau17[[#This Row],[LEN]]*#REF!+#REF!,0)</f>
        <v>#REF!</v>
      </c>
    </row>
    <row r="28" spans="1:17" x14ac:dyDescent="0.25">
      <c r="A28" s="12" t="s">
        <v>924</v>
      </c>
      <c r="B28" s="12" t="s">
        <v>919</v>
      </c>
      <c r="C28" s="12" t="s">
        <v>76</v>
      </c>
      <c r="D28" s="66" t="s">
        <v>1177</v>
      </c>
      <c r="E28" s="12" t="s">
        <v>684</v>
      </c>
      <c r="F28" s="12" t="s">
        <v>663</v>
      </c>
      <c r="G28" s="66" t="s">
        <v>70</v>
      </c>
      <c r="H28" s="66" t="s">
        <v>18</v>
      </c>
      <c r="I28" s="12"/>
      <c r="J28" s="13" t="s">
        <v>708</v>
      </c>
      <c r="K28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" s="106">
        <f>ROUND(Tableau17[[#This Row],[LEN]]*7.27,0)</f>
        <v>443</v>
      </c>
      <c r="M28" s="106">
        <v>15</v>
      </c>
      <c r="N28" s="124" t="str">
        <f t="shared" si="0"/>
        <v>none</v>
      </c>
      <c r="O28" s="106">
        <f>LEN(Tableau17[[#This Row],[LABEL]])</f>
        <v>61</v>
      </c>
      <c r="P28" s="106">
        <v>15</v>
      </c>
      <c r="Q28" s="106" t="e">
        <f>ROUND(Tableau17[[#This Row],[LEN]]*#REF!+#REF!,0)</f>
        <v>#REF!</v>
      </c>
    </row>
    <row r="29" spans="1:17" x14ac:dyDescent="0.25">
      <c r="A29" s="12" t="s">
        <v>925</v>
      </c>
      <c r="B29" s="12" t="s">
        <v>919</v>
      </c>
      <c r="C29" s="12" t="s">
        <v>77</v>
      </c>
      <c r="D29" s="66" t="s">
        <v>1177</v>
      </c>
      <c r="E29" s="12" t="s">
        <v>684</v>
      </c>
      <c r="F29" s="12" t="s">
        <v>663</v>
      </c>
      <c r="G29" s="66" t="s">
        <v>70</v>
      </c>
      <c r="H29" s="66" t="s">
        <v>18</v>
      </c>
      <c r="I29" s="12"/>
      <c r="J29" s="13" t="s">
        <v>708</v>
      </c>
      <c r="K29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" s="106">
        <f>ROUND(Tableau17[[#This Row],[LEN]]*7.27,0)</f>
        <v>473</v>
      </c>
      <c r="M29" s="106">
        <v>15</v>
      </c>
      <c r="N29" s="124" t="str">
        <f t="shared" si="0"/>
        <v>none</v>
      </c>
      <c r="O29" s="106">
        <f>LEN(Tableau17[[#This Row],[LABEL]])</f>
        <v>65</v>
      </c>
      <c r="P29" s="106">
        <v>15</v>
      </c>
      <c r="Q29" s="106" t="e">
        <f>ROUND(Tableau17[[#This Row],[LEN]]*#REF!+#REF!,0)</f>
        <v>#REF!</v>
      </c>
    </row>
    <row r="30" spans="1:17" x14ac:dyDescent="0.25">
      <c r="A30" s="12" t="s">
        <v>926</v>
      </c>
      <c r="B30" s="12" t="s">
        <v>919</v>
      </c>
      <c r="C30" s="12" t="s">
        <v>78</v>
      </c>
      <c r="D30" s="66" t="s">
        <v>1177</v>
      </c>
      <c r="E30" s="12" t="s">
        <v>684</v>
      </c>
      <c r="F30" s="12" t="s">
        <v>663</v>
      </c>
      <c r="G30" s="66" t="s">
        <v>70</v>
      </c>
      <c r="H30" s="66" t="s">
        <v>18</v>
      </c>
      <c r="I30" s="12"/>
      <c r="J30" s="13" t="s">
        <v>708</v>
      </c>
      <c r="K30" s="1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" s="106">
        <f>ROUND(Tableau17[[#This Row],[LEN]]*7.27,0)</f>
        <v>385</v>
      </c>
      <c r="M30" s="106">
        <v>15</v>
      </c>
      <c r="N30" s="124" t="str">
        <f t="shared" si="0"/>
        <v>none</v>
      </c>
      <c r="O30" s="106">
        <f>LEN(Tableau17[[#This Row],[LABEL]])</f>
        <v>53</v>
      </c>
      <c r="P30" s="106">
        <v>15</v>
      </c>
      <c r="Q30" s="106" t="e">
        <f>ROUND(Tableau17[[#This Row],[LEN]]*#REF!+#REF!,0)</f>
        <v>#REF!</v>
      </c>
    </row>
    <row r="31" spans="1:17" x14ac:dyDescent="0.25">
      <c r="A31" s="6" t="s">
        <v>920</v>
      </c>
      <c r="B31" s="7" t="s">
        <v>216</v>
      </c>
      <c r="C31" s="8" t="s">
        <v>65</v>
      </c>
      <c r="D31" s="65" t="s">
        <v>1177</v>
      </c>
      <c r="E31" s="8" t="s">
        <v>662</v>
      </c>
      <c r="F31" s="8" t="s">
        <v>1957</v>
      </c>
      <c r="G31" s="65" t="s">
        <v>70</v>
      </c>
      <c r="H31" s="65" t="s">
        <v>17</v>
      </c>
      <c r="I31" s="8"/>
      <c r="J31" s="9" t="s">
        <v>708</v>
      </c>
      <c r="K3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" s="105">
        <f>ROUND(Tableau17[[#This Row],[LEN]]*7.27,0)</f>
        <v>291</v>
      </c>
      <c r="M31" s="105">
        <v>15</v>
      </c>
      <c r="N31" s="123" t="str">
        <f t="shared" si="0"/>
        <v>none</v>
      </c>
      <c r="O31" s="105">
        <f>LEN(Tableau17[[#This Row],[LABEL]])</f>
        <v>40</v>
      </c>
      <c r="P31" s="105">
        <v>15</v>
      </c>
      <c r="Q31" s="105" t="e">
        <f>ROUND(Tableau17[[#This Row],[LEN]]*#REF!+#REF!,0)</f>
        <v>#REF!</v>
      </c>
    </row>
    <row r="32" spans="1:17" x14ac:dyDescent="0.25">
      <c r="A32" s="6" t="s">
        <v>921</v>
      </c>
      <c r="B32" s="7" t="s">
        <v>216</v>
      </c>
      <c r="C32" s="8" t="s">
        <v>915</v>
      </c>
      <c r="D32" s="65" t="s">
        <v>1177</v>
      </c>
      <c r="E32" s="8" t="s">
        <v>666</v>
      </c>
      <c r="F32" s="8" t="s">
        <v>667</v>
      </c>
      <c r="G32" s="65" t="s">
        <v>70</v>
      </c>
      <c r="H32" s="65" t="s">
        <v>18</v>
      </c>
      <c r="I32" s="8"/>
      <c r="J32" s="9" t="s">
        <v>708</v>
      </c>
      <c r="K3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" s="105">
        <f>ROUND(Tableau17[[#This Row],[LEN]]*7.27,0)</f>
        <v>225</v>
      </c>
      <c r="M32" s="105">
        <v>15</v>
      </c>
      <c r="N32" s="123" t="str">
        <f t="shared" si="0"/>
        <v>none</v>
      </c>
      <c r="O32" s="105">
        <f>LEN(Tableau17[[#This Row],[LABEL]])</f>
        <v>31</v>
      </c>
      <c r="P32" s="105">
        <v>15</v>
      </c>
      <c r="Q32" s="105" t="e">
        <f>ROUND(Tableau17[[#This Row],[LEN]]*#REF!+#REF!,0)</f>
        <v>#REF!</v>
      </c>
    </row>
    <row r="33" spans="1:17" x14ac:dyDescent="0.25">
      <c r="A33" s="6" t="s">
        <v>922</v>
      </c>
      <c r="B33" s="7" t="s">
        <v>216</v>
      </c>
      <c r="C33" s="8" t="s">
        <v>917</v>
      </c>
      <c r="D33" s="65" t="s">
        <v>1177</v>
      </c>
      <c r="E33" s="8" t="s">
        <v>666</v>
      </c>
      <c r="F33" s="8" t="s">
        <v>667</v>
      </c>
      <c r="G33" s="65" t="s">
        <v>70</v>
      </c>
      <c r="H33" s="65" t="s">
        <v>656</v>
      </c>
      <c r="I33" s="8"/>
      <c r="J33" s="9" t="s">
        <v>708</v>
      </c>
      <c r="K3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" s="105">
        <f>ROUND(Tableau17[[#This Row],[LEN]]*7.27,0)</f>
        <v>225</v>
      </c>
      <c r="M33" s="105">
        <v>15</v>
      </c>
      <c r="N33" s="123" t="str">
        <f t="shared" si="0"/>
        <v>none</v>
      </c>
      <c r="O33" s="105">
        <f>LEN(Tableau17[[#This Row],[LABEL]])</f>
        <v>31</v>
      </c>
      <c r="P33" s="105">
        <v>15</v>
      </c>
      <c r="Q33" s="105" t="e">
        <f>ROUND(Tableau17[[#This Row],[LEN]]*#REF!+#REF!,0)</f>
        <v>#REF!</v>
      </c>
    </row>
    <row r="34" spans="1:17" x14ac:dyDescent="0.25">
      <c r="A34" s="6" t="s">
        <v>923</v>
      </c>
      <c r="B34" s="7" t="s">
        <v>216</v>
      </c>
      <c r="C34" s="8" t="s">
        <v>916</v>
      </c>
      <c r="D34" s="65" t="s">
        <v>1177</v>
      </c>
      <c r="E34" s="8" t="s">
        <v>666</v>
      </c>
      <c r="F34" s="8" t="s">
        <v>661</v>
      </c>
      <c r="G34" s="65" t="s">
        <v>70</v>
      </c>
      <c r="H34" s="65" t="s">
        <v>18</v>
      </c>
      <c r="I34" s="8"/>
      <c r="J34" s="9" t="s">
        <v>708</v>
      </c>
      <c r="K3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" s="105">
        <f>ROUND(Tableau17[[#This Row],[LEN]]*7.27,0)</f>
        <v>109</v>
      </c>
      <c r="M34" s="105">
        <v>15</v>
      </c>
      <c r="N34" s="123" t="str">
        <f t="shared" si="0"/>
        <v>none</v>
      </c>
      <c r="O34" s="105">
        <f>LEN(Tableau17[[#This Row],[LABEL]])</f>
        <v>15</v>
      </c>
      <c r="P34" s="105">
        <v>15</v>
      </c>
      <c r="Q34" s="105" t="e">
        <f>ROUND(Tableau17[[#This Row],[LEN]]*#REF!+#REF!,0)</f>
        <v>#REF!</v>
      </c>
    </row>
    <row r="35" spans="1:17" s="92" customFormat="1" x14ac:dyDescent="0.25">
      <c r="A35" s="245" t="s">
        <v>217</v>
      </c>
      <c r="B35" s="246" t="s">
        <v>204</v>
      </c>
      <c r="C35" s="247" t="s">
        <v>80</v>
      </c>
      <c r="D35" s="248" t="s">
        <v>1177</v>
      </c>
      <c r="E35" s="247" t="s">
        <v>667</v>
      </c>
      <c r="F35" s="247" t="s">
        <v>1177</v>
      </c>
      <c r="G35" s="248" t="s">
        <v>70</v>
      </c>
      <c r="H35" s="248" t="str">
        <f>IFERROR(IF(SEARCH(".00.00.00.00.00",Tableau17[[#This Row],[name]],1)=7,"Division",""),"")</f>
        <v>Division</v>
      </c>
      <c r="I35" s="247"/>
      <c r="J35" s="249" t="s">
        <v>708</v>
      </c>
      <c r="K35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5" s="250">
        <f>ROUND(Tableau17[[#This Row],[LEN]]*7.27,0)</f>
        <v>116</v>
      </c>
      <c r="M35" s="250">
        <v>15</v>
      </c>
      <c r="N35" s="251" t="str">
        <f t="shared" si="0"/>
        <v>none</v>
      </c>
      <c r="O35" s="250">
        <f>LEN(Tableau17[[#This Row],[LABEL]])</f>
        <v>16</v>
      </c>
      <c r="P35" s="250">
        <v>15</v>
      </c>
      <c r="Q35" s="250" t="e">
        <f>ROUND(Tableau17[[#This Row],[LEN]]*#REF!+#REF!,0)</f>
        <v>#REF!</v>
      </c>
    </row>
    <row r="36" spans="1:17" x14ac:dyDescent="0.25">
      <c r="A36" s="6" t="s">
        <v>933</v>
      </c>
      <c r="B36" s="7" t="s">
        <v>217</v>
      </c>
      <c r="C36" s="8" t="s">
        <v>64</v>
      </c>
      <c r="D36" s="65" t="s">
        <v>1177</v>
      </c>
      <c r="E36" s="8" t="s">
        <v>662</v>
      </c>
      <c r="F36" s="8" t="s">
        <v>1956</v>
      </c>
      <c r="G36" s="65" t="s">
        <v>70</v>
      </c>
      <c r="H36" s="65" t="s">
        <v>17</v>
      </c>
      <c r="I36" s="8"/>
      <c r="J36" s="9" t="s">
        <v>708</v>
      </c>
      <c r="K3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" s="105">
        <f>ROUND(Tableau17[[#This Row],[LEN]]*7.27,0)</f>
        <v>291</v>
      </c>
      <c r="M36" s="105">
        <v>15</v>
      </c>
      <c r="N36" s="123" t="str">
        <f t="shared" si="0"/>
        <v>none</v>
      </c>
      <c r="O36" s="105">
        <f>LEN(Tableau17[[#This Row],[LABEL]])</f>
        <v>40</v>
      </c>
      <c r="P36" s="105">
        <v>15</v>
      </c>
      <c r="Q36" s="105" t="e">
        <f>ROUND(Tableau17[[#This Row],[LEN]]*#REF!+#REF!,0)</f>
        <v>#REF!</v>
      </c>
    </row>
    <row r="37" spans="1:17" x14ac:dyDescent="0.25">
      <c r="A37" s="6" t="s">
        <v>934</v>
      </c>
      <c r="B37" s="7" t="s">
        <v>217</v>
      </c>
      <c r="C37" s="8" t="s">
        <v>927</v>
      </c>
      <c r="D37" s="65" t="s">
        <v>1177</v>
      </c>
      <c r="E37" s="8" t="s">
        <v>667</v>
      </c>
      <c r="F37" s="8" t="s">
        <v>2076</v>
      </c>
      <c r="G37" s="65" t="s">
        <v>70</v>
      </c>
      <c r="H37" s="65" t="s">
        <v>656</v>
      </c>
      <c r="I37" s="8"/>
      <c r="J37" s="9" t="s">
        <v>708</v>
      </c>
      <c r="K3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" s="105">
        <f>ROUND(Tableau17[[#This Row],[LEN]]*7.27,0)</f>
        <v>298</v>
      </c>
      <c r="M37" s="105">
        <v>15</v>
      </c>
      <c r="N37" s="123" t="str">
        <f t="shared" si="0"/>
        <v>none</v>
      </c>
      <c r="O37" s="105">
        <f>LEN(Tableau17[[#This Row],[LABEL]])</f>
        <v>41</v>
      </c>
      <c r="P37" s="105">
        <v>15</v>
      </c>
      <c r="Q37" s="105" t="e">
        <f>ROUND(Tableau17[[#This Row],[LEN]]*#REF!+#REF!,0)</f>
        <v>#REF!</v>
      </c>
    </row>
    <row r="38" spans="1:17" x14ac:dyDescent="0.25">
      <c r="A38" s="6" t="s">
        <v>935</v>
      </c>
      <c r="B38" s="7" t="s">
        <v>217</v>
      </c>
      <c r="C38" s="8" t="s">
        <v>65</v>
      </c>
      <c r="D38" s="65" t="s">
        <v>1177</v>
      </c>
      <c r="E38" s="8" t="s">
        <v>662</v>
      </c>
      <c r="F38" s="8" t="s">
        <v>1957</v>
      </c>
      <c r="G38" s="65" t="s">
        <v>70</v>
      </c>
      <c r="H38" s="65" t="s">
        <v>17</v>
      </c>
      <c r="I38" s="8"/>
      <c r="J38" s="9" t="s">
        <v>708</v>
      </c>
      <c r="K3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" s="105">
        <f>ROUND(Tableau17[[#This Row],[LEN]]*7.27,0)</f>
        <v>291</v>
      </c>
      <c r="M38" s="105">
        <v>15</v>
      </c>
      <c r="N38" s="123" t="str">
        <f t="shared" si="0"/>
        <v>none</v>
      </c>
      <c r="O38" s="105">
        <f>LEN(Tableau17[[#This Row],[LABEL]])</f>
        <v>40</v>
      </c>
      <c r="P38" s="105">
        <v>15</v>
      </c>
      <c r="Q38" s="105" t="e">
        <f>ROUND(Tableau17[[#This Row],[LEN]]*#REF!+#REF!,0)</f>
        <v>#REF!</v>
      </c>
    </row>
    <row r="39" spans="1:17" x14ac:dyDescent="0.25">
      <c r="A39" s="6" t="s">
        <v>936</v>
      </c>
      <c r="B39" s="7" t="s">
        <v>217</v>
      </c>
      <c r="C39" s="8" t="s">
        <v>928</v>
      </c>
      <c r="D39" s="65" t="s">
        <v>1177</v>
      </c>
      <c r="E39" s="8" t="s">
        <v>667</v>
      </c>
      <c r="F39" s="8" t="s">
        <v>674</v>
      </c>
      <c r="G39" s="65" t="s">
        <v>70</v>
      </c>
      <c r="H39" s="65" t="s">
        <v>18</v>
      </c>
      <c r="I39" s="8"/>
      <c r="J39" s="9" t="s">
        <v>708</v>
      </c>
      <c r="K3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" s="105">
        <f>ROUND(Tableau17[[#This Row],[LEN]]*7.27,0)</f>
        <v>284</v>
      </c>
      <c r="M39" s="105">
        <v>15</v>
      </c>
      <c r="N39" s="123" t="str">
        <f t="shared" si="0"/>
        <v>none</v>
      </c>
      <c r="O39" s="105">
        <f>LEN(Tableau17[[#This Row],[LABEL]])</f>
        <v>39</v>
      </c>
      <c r="P39" s="105">
        <v>15</v>
      </c>
      <c r="Q39" s="105" t="e">
        <f>ROUND(Tableau17[[#This Row],[LEN]]*#REF!+#REF!,0)</f>
        <v>#REF!</v>
      </c>
    </row>
    <row r="40" spans="1:17" x14ac:dyDescent="0.25">
      <c r="A40" s="6" t="s">
        <v>937</v>
      </c>
      <c r="B40" s="7" t="s">
        <v>217</v>
      </c>
      <c r="C40" s="8" t="s">
        <v>929</v>
      </c>
      <c r="D40" s="65" t="s">
        <v>1177</v>
      </c>
      <c r="E40" s="8" t="s">
        <v>667</v>
      </c>
      <c r="F40" s="8" t="s">
        <v>1177</v>
      </c>
      <c r="G40" s="65" t="s">
        <v>70</v>
      </c>
      <c r="H40" s="65" t="s">
        <v>656</v>
      </c>
      <c r="I40" s="8"/>
      <c r="J40" s="9" t="s">
        <v>708</v>
      </c>
      <c r="K40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" s="105">
        <f>ROUND(Tableau17[[#This Row],[LEN]]*7.27,0)</f>
        <v>276</v>
      </c>
      <c r="M40" s="105">
        <v>15</v>
      </c>
      <c r="N40" s="123" t="str">
        <f t="shared" si="0"/>
        <v>none</v>
      </c>
      <c r="O40" s="105">
        <f>LEN(Tableau17[[#This Row],[LABEL]])</f>
        <v>38</v>
      </c>
      <c r="P40" s="105">
        <v>15</v>
      </c>
      <c r="Q40" s="105" t="e">
        <f>ROUND(Tableau17[[#This Row],[LEN]]*#REF!+#REF!,0)</f>
        <v>#REF!</v>
      </c>
    </row>
    <row r="41" spans="1:17" x14ac:dyDescent="0.25">
      <c r="A41" s="6" t="s">
        <v>938</v>
      </c>
      <c r="B41" s="7" t="s">
        <v>217</v>
      </c>
      <c r="C41" s="8" t="s">
        <v>930</v>
      </c>
      <c r="D41" s="65" t="s">
        <v>1177</v>
      </c>
      <c r="E41" s="8" t="s">
        <v>667</v>
      </c>
      <c r="F41" s="8" t="s">
        <v>1177</v>
      </c>
      <c r="G41" s="65" t="s">
        <v>70</v>
      </c>
      <c r="H41" s="65" t="s">
        <v>654</v>
      </c>
      <c r="I41" s="8"/>
      <c r="J41" s="9" t="s">
        <v>706</v>
      </c>
      <c r="K4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" s="105">
        <f>ROUND(Tableau17[[#This Row],[LEN]]*7.27,0)</f>
        <v>465</v>
      </c>
      <c r="M41" s="105">
        <v>15</v>
      </c>
      <c r="N41" s="123" t="str">
        <f t="shared" si="0"/>
        <v>new</v>
      </c>
      <c r="O41" s="105">
        <f>LEN(Tableau17[[#This Row],[LABEL]])</f>
        <v>64</v>
      </c>
      <c r="P41" s="105">
        <v>15</v>
      </c>
      <c r="Q41" s="105" t="e">
        <f>ROUND(Tableau17[[#This Row],[LEN]]*#REF!+#REF!,0)</f>
        <v>#REF!</v>
      </c>
    </row>
    <row r="42" spans="1:17" s="92" customFormat="1" x14ac:dyDescent="0.25">
      <c r="A42" s="245" t="s">
        <v>219</v>
      </c>
      <c r="B42" s="246" t="s">
        <v>204</v>
      </c>
      <c r="C42" s="247" t="s">
        <v>6</v>
      </c>
      <c r="D42" s="248" t="s">
        <v>1177</v>
      </c>
      <c r="E42" s="247" t="s">
        <v>669</v>
      </c>
      <c r="F42" s="247" t="s">
        <v>1177</v>
      </c>
      <c r="G42" s="248" t="s">
        <v>70</v>
      </c>
      <c r="H42" s="248" t="str">
        <f>IFERROR(IF(SEARCH(".00.00.00.00.00",Tableau17[[#This Row],[name]],1)=7,"Division",""),"")</f>
        <v>Division</v>
      </c>
      <c r="I42" s="247"/>
      <c r="J42" s="249" t="s">
        <v>708</v>
      </c>
      <c r="K42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2" s="250">
        <f>ROUND(Tableau17[[#This Row],[LEN]]*7.27,0)</f>
        <v>196</v>
      </c>
      <c r="M42" s="250">
        <v>15</v>
      </c>
      <c r="N42" s="251" t="str">
        <f t="shared" si="0"/>
        <v>none</v>
      </c>
      <c r="O42" s="250">
        <f>LEN(Tableau17[[#This Row],[LABEL]])</f>
        <v>27</v>
      </c>
      <c r="P42" s="250">
        <v>15</v>
      </c>
      <c r="Q42" s="250" t="e">
        <f>ROUND(Tableau17[[#This Row],[LEN]]*#REF!+#REF!,0)</f>
        <v>#REF!</v>
      </c>
    </row>
    <row r="43" spans="1:17" x14ac:dyDescent="0.25">
      <c r="A43" s="14" t="s">
        <v>361</v>
      </c>
      <c r="B43" s="15" t="s">
        <v>219</v>
      </c>
      <c r="C43" s="8" t="s">
        <v>64</v>
      </c>
      <c r="D43" s="67" t="s">
        <v>1177</v>
      </c>
      <c r="E43" s="16" t="s">
        <v>662</v>
      </c>
      <c r="F43" s="8" t="s">
        <v>1956</v>
      </c>
      <c r="G43" s="67" t="s">
        <v>70</v>
      </c>
      <c r="H43" s="67" t="s">
        <v>17</v>
      </c>
      <c r="I43" s="8"/>
      <c r="J43" s="9" t="s">
        <v>708</v>
      </c>
      <c r="K4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" s="105">
        <f>ROUND(Tableau17[[#This Row],[LEN]]*7.27,0)</f>
        <v>291</v>
      </c>
      <c r="M43" s="105">
        <v>15</v>
      </c>
      <c r="N43" s="123" t="str">
        <f t="shared" si="0"/>
        <v>none</v>
      </c>
      <c r="O43" s="105">
        <f>LEN(Tableau17[[#This Row],[LABEL]])</f>
        <v>40</v>
      </c>
      <c r="P43" s="105">
        <v>15</v>
      </c>
      <c r="Q43" s="105" t="e">
        <f>ROUND(Tableau17[[#This Row],[LEN]]*#REF!+#REF!,0)</f>
        <v>#REF!</v>
      </c>
    </row>
    <row r="44" spans="1:17" x14ac:dyDescent="0.25">
      <c r="A44" s="14" t="s">
        <v>362</v>
      </c>
      <c r="B44" s="15" t="s">
        <v>219</v>
      </c>
      <c r="C44" s="8" t="s">
        <v>65</v>
      </c>
      <c r="D44" s="67" t="s">
        <v>1177</v>
      </c>
      <c r="E44" s="16" t="s">
        <v>662</v>
      </c>
      <c r="F44" s="8" t="s">
        <v>1957</v>
      </c>
      <c r="G44" s="67" t="s">
        <v>70</v>
      </c>
      <c r="H44" s="67" t="s">
        <v>17</v>
      </c>
      <c r="I44" s="8"/>
      <c r="J44" s="9" t="s">
        <v>708</v>
      </c>
      <c r="K4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" s="105">
        <f>ROUND(Tableau17[[#This Row],[LEN]]*7.27,0)</f>
        <v>291</v>
      </c>
      <c r="M44" s="105">
        <v>15</v>
      </c>
      <c r="N44" s="123" t="str">
        <f t="shared" si="0"/>
        <v>none</v>
      </c>
      <c r="O44" s="105">
        <f>LEN(Tableau17[[#This Row],[LABEL]])</f>
        <v>40</v>
      </c>
      <c r="P44" s="105">
        <v>15</v>
      </c>
      <c r="Q44" s="105" t="e">
        <f>ROUND(Tableau17[[#This Row],[LEN]]*#REF!+#REF!,0)</f>
        <v>#REF!</v>
      </c>
    </row>
    <row r="45" spans="1:17" s="92" customFormat="1" x14ac:dyDescent="0.25">
      <c r="A45" s="245" t="s">
        <v>220</v>
      </c>
      <c r="B45" s="246" t="s">
        <v>204</v>
      </c>
      <c r="C45" s="247" t="s">
        <v>7</v>
      </c>
      <c r="D45" s="248" t="s">
        <v>1177</v>
      </c>
      <c r="E45" s="247" t="s">
        <v>670</v>
      </c>
      <c r="F45" s="247" t="s">
        <v>1177</v>
      </c>
      <c r="G45" s="248" t="s">
        <v>70</v>
      </c>
      <c r="H45" s="248" t="str">
        <f>IFERROR(IF(SEARCH(".00.00.00.00.00",Tableau17[[#This Row],[name]],1)=7,"Division",""),"")</f>
        <v>Division</v>
      </c>
      <c r="I45" s="247"/>
      <c r="J45" s="249" t="s">
        <v>708</v>
      </c>
      <c r="K45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5" s="250">
        <f>ROUND(Tableau17[[#This Row],[LEN]]*7.27,0)</f>
        <v>189</v>
      </c>
      <c r="M45" s="250">
        <v>15</v>
      </c>
      <c r="N45" s="251" t="str">
        <f t="shared" si="0"/>
        <v>none</v>
      </c>
      <c r="O45" s="250">
        <f>LEN(Tableau17[[#This Row],[LABEL]])</f>
        <v>26</v>
      </c>
      <c r="P45" s="250">
        <v>15</v>
      </c>
      <c r="Q45" s="250" t="e">
        <f>ROUND(Tableau17[[#This Row],[LEN]]*#REF!+#REF!,0)</f>
        <v>#REF!</v>
      </c>
    </row>
    <row r="46" spans="1:17" x14ac:dyDescent="0.25">
      <c r="A46" s="14" t="s">
        <v>942</v>
      </c>
      <c r="B46" s="15" t="s">
        <v>220</v>
      </c>
      <c r="C46" s="16" t="s">
        <v>939</v>
      </c>
      <c r="D46" s="67" t="s">
        <v>1177</v>
      </c>
      <c r="E46" s="16" t="s">
        <v>670</v>
      </c>
      <c r="F46" s="16" t="s">
        <v>671</v>
      </c>
      <c r="G46" s="67" t="s">
        <v>70</v>
      </c>
      <c r="H46" s="67" t="s">
        <v>656</v>
      </c>
      <c r="I46" s="8"/>
      <c r="J46" s="9" t="s">
        <v>708</v>
      </c>
      <c r="K4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" s="105">
        <f>ROUND(Tableau17[[#This Row],[LEN]]*7.27,0)</f>
        <v>182</v>
      </c>
      <c r="M46" s="105">
        <v>15</v>
      </c>
      <c r="N46" s="123" t="str">
        <f t="shared" si="0"/>
        <v>none</v>
      </c>
      <c r="O46" s="105">
        <f>LEN(Tableau17[[#This Row],[LABEL]])</f>
        <v>25</v>
      </c>
      <c r="P46" s="105">
        <v>15</v>
      </c>
      <c r="Q46" s="105" t="e">
        <f>ROUND(Tableau17[[#This Row],[LEN]]*#REF!+#REF!,0)</f>
        <v>#REF!</v>
      </c>
    </row>
    <row r="47" spans="1:17" x14ac:dyDescent="0.25">
      <c r="A47" s="14" t="s">
        <v>943</v>
      </c>
      <c r="B47" s="15" t="s">
        <v>220</v>
      </c>
      <c r="C47" s="16" t="s">
        <v>940</v>
      </c>
      <c r="D47" s="67" t="s">
        <v>1177</v>
      </c>
      <c r="E47" s="16" t="s">
        <v>670</v>
      </c>
      <c r="F47" s="16" t="s">
        <v>671</v>
      </c>
      <c r="G47" s="67" t="s">
        <v>70</v>
      </c>
      <c r="H47" s="67" t="s">
        <v>656</v>
      </c>
      <c r="I47" s="8"/>
      <c r="J47" s="9" t="s">
        <v>708</v>
      </c>
      <c r="K4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" s="105">
        <f>ROUND(Tableau17[[#This Row],[LEN]]*7.27,0)</f>
        <v>182</v>
      </c>
      <c r="M47" s="105">
        <v>15</v>
      </c>
      <c r="N47" s="123" t="str">
        <f t="shared" si="0"/>
        <v>none</v>
      </c>
      <c r="O47" s="105">
        <f>LEN(Tableau17[[#This Row],[LABEL]])</f>
        <v>25</v>
      </c>
      <c r="P47" s="105">
        <v>15</v>
      </c>
      <c r="Q47" s="105" t="e">
        <f>ROUND(Tableau17[[#This Row],[LEN]]*#REF!+#REF!,0)</f>
        <v>#REF!</v>
      </c>
    </row>
    <row r="48" spans="1:17" s="92" customFormat="1" x14ac:dyDescent="0.25">
      <c r="A48" s="245" t="s">
        <v>221</v>
      </c>
      <c r="B48" s="246" t="s">
        <v>204</v>
      </c>
      <c r="C48" s="247" t="s">
        <v>8</v>
      </c>
      <c r="D48" s="248" t="s">
        <v>1177</v>
      </c>
      <c r="E48" s="247" t="s">
        <v>671</v>
      </c>
      <c r="F48" s="247" t="s">
        <v>1177</v>
      </c>
      <c r="G48" s="248" t="s">
        <v>70</v>
      </c>
      <c r="H48" s="248" t="str">
        <f>IFERROR(IF(SEARCH(".00.00.00.00.00",Tableau17[[#This Row],[name]],1)=7,"Division",""),"")</f>
        <v>Division</v>
      </c>
      <c r="I48" s="247"/>
      <c r="J48" s="249" t="s">
        <v>708</v>
      </c>
      <c r="K48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8" s="250">
        <f>ROUND(Tableau17[[#This Row],[LEN]]*7.27,0)</f>
        <v>116</v>
      </c>
      <c r="M48" s="250">
        <v>15</v>
      </c>
      <c r="N48" s="251" t="str">
        <f t="shared" si="0"/>
        <v>none</v>
      </c>
      <c r="O48" s="250">
        <f>LEN(Tableau17[[#This Row],[LABEL]])</f>
        <v>16</v>
      </c>
      <c r="P48" s="250">
        <v>15</v>
      </c>
      <c r="Q48" s="250" t="e">
        <f>ROUND(Tableau17[[#This Row],[LEN]]*#REF!+#REF!,0)</f>
        <v>#REF!</v>
      </c>
    </row>
    <row r="49" spans="1:17" x14ac:dyDescent="0.25">
      <c r="A49" s="14" t="s">
        <v>944</v>
      </c>
      <c r="B49" s="15" t="s">
        <v>221</v>
      </c>
      <c r="C49" s="16" t="s">
        <v>945</v>
      </c>
      <c r="D49" s="67" t="s">
        <v>1177</v>
      </c>
      <c r="E49" s="16" t="s">
        <v>671</v>
      </c>
      <c r="F49" s="16" t="s">
        <v>670</v>
      </c>
      <c r="G49" s="67" t="s">
        <v>70</v>
      </c>
      <c r="H49" s="67" t="s">
        <v>654</v>
      </c>
      <c r="I49" s="8"/>
      <c r="J49" s="9" t="s">
        <v>708</v>
      </c>
      <c r="K4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" s="105">
        <f>ROUND(Tableau17[[#This Row],[LEN]]*7.27,0)</f>
        <v>371</v>
      </c>
      <c r="M49" s="105">
        <v>15</v>
      </c>
      <c r="N49" s="123" t="str">
        <f t="shared" si="0"/>
        <v>none</v>
      </c>
      <c r="O49" s="105">
        <f>LEN(Tableau17[[#This Row],[LABEL]])</f>
        <v>51</v>
      </c>
      <c r="P49" s="105">
        <v>15</v>
      </c>
      <c r="Q49" s="105" t="e">
        <f>ROUND(Tableau17[[#This Row],[LEN]]*#REF!+#REF!,0)</f>
        <v>#REF!</v>
      </c>
    </row>
    <row r="50" spans="1:17" s="92" customFormat="1" x14ac:dyDescent="0.25">
      <c r="A50" s="245" t="s">
        <v>222</v>
      </c>
      <c r="B50" s="246" t="s">
        <v>204</v>
      </c>
      <c r="C50" s="247" t="s">
        <v>9</v>
      </c>
      <c r="D50" s="248" t="s">
        <v>1177</v>
      </c>
      <c r="E50" s="247" t="s">
        <v>672</v>
      </c>
      <c r="F50" s="247" t="s">
        <v>1177</v>
      </c>
      <c r="G50" s="248" t="s">
        <v>70</v>
      </c>
      <c r="H50" s="248" t="str">
        <f>IFERROR(IF(SEARCH(".00.00.00.00.00",Tableau17[[#This Row],[name]],1)=7,"Division",""),"")</f>
        <v>Division</v>
      </c>
      <c r="I50" s="247"/>
      <c r="J50" s="249" t="s">
        <v>718</v>
      </c>
      <c r="K50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0" s="250">
        <f>ROUND(Tableau17[[#This Row],[LEN]]*7.27,0)</f>
        <v>80</v>
      </c>
      <c r="M50" s="250">
        <v>15</v>
      </c>
      <c r="N50" s="251" t="str">
        <f t="shared" si="0"/>
        <v>new</v>
      </c>
      <c r="O50" s="250">
        <f>LEN(Tableau17[[#This Row],[LABEL]])</f>
        <v>11</v>
      </c>
      <c r="P50" s="250">
        <v>15</v>
      </c>
      <c r="Q50" s="250" t="e">
        <f>ROUND(Tableau17[[#This Row],[LEN]]*#REF!+#REF!,0)</f>
        <v>#REF!</v>
      </c>
    </row>
    <row r="51" spans="1:17" x14ac:dyDescent="0.25">
      <c r="A51" s="14" t="s">
        <v>363</v>
      </c>
      <c r="B51" s="15" t="s">
        <v>222</v>
      </c>
      <c r="C51" s="8" t="s">
        <v>64</v>
      </c>
      <c r="D51" s="67" t="s">
        <v>1177</v>
      </c>
      <c r="E51" s="16" t="s">
        <v>662</v>
      </c>
      <c r="F51" s="8" t="s">
        <v>1956</v>
      </c>
      <c r="G51" s="67" t="s">
        <v>70</v>
      </c>
      <c r="H51" s="67" t="s">
        <v>17</v>
      </c>
      <c r="I51" s="8"/>
      <c r="J51" s="9" t="s">
        <v>708</v>
      </c>
      <c r="K5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" s="105">
        <f>ROUND(Tableau17[[#This Row],[LEN]]*7.27,0)</f>
        <v>291</v>
      </c>
      <c r="M51" s="105">
        <v>15</v>
      </c>
      <c r="N51" s="123" t="str">
        <f t="shared" si="0"/>
        <v>none</v>
      </c>
      <c r="O51" s="105">
        <f>LEN(Tableau17[[#This Row],[LABEL]])</f>
        <v>40</v>
      </c>
      <c r="P51" s="105">
        <v>15</v>
      </c>
      <c r="Q51" s="105" t="e">
        <f>ROUND(Tableau17[[#This Row],[LEN]]*#REF!+#REF!,0)</f>
        <v>#REF!</v>
      </c>
    </row>
    <row r="52" spans="1:17" x14ac:dyDescent="0.25">
      <c r="A52" s="14" t="s">
        <v>364</v>
      </c>
      <c r="B52" s="15" t="s">
        <v>222</v>
      </c>
      <c r="C52" s="8" t="s">
        <v>65</v>
      </c>
      <c r="D52" s="67" t="s">
        <v>1177</v>
      </c>
      <c r="E52" s="16" t="s">
        <v>662</v>
      </c>
      <c r="F52" s="8" t="s">
        <v>1957</v>
      </c>
      <c r="G52" s="67" t="s">
        <v>70</v>
      </c>
      <c r="H52" s="67" t="s">
        <v>17</v>
      </c>
      <c r="I52" s="8"/>
      <c r="J52" s="9" t="s">
        <v>708</v>
      </c>
      <c r="K5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" s="105">
        <f>ROUND(Tableau17[[#This Row],[LEN]]*7.27,0)</f>
        <v>291</v>
      </c>
      <c r="M52" s="105">
        <v>15</v>
      </c>
      <c r="N52" s="123" t="str">
        <f t="shared" si="0"/>
        <v>none</v>
      </c>
      <c r="O52" s="105">
        <f>LEN(Tableau17[[#This Row],[LABEL]])</f>
        <v>40</v>
      </c>
      <c r="P52" s="105">
        <v>15</v>
      </c>
      <c r="Q52" s="105" t="e">
        <f>ROUND(Tableau17[[#This Row],[LEN]]*#REF!+#REF!,0)</f>
        <v>#REF!</v>
      </c>
    </row>
    <row r="53" spans="1:17" s="92" customFormat="1" x14ac:dyDescent="0.25">
      <c r="A53" s="245" t="s">
        <v>223</v>
      </c>
      <c r="B53" s="246" t="s">
        <v>204</v>
      </c>
      <c r="C53" s="247" t="s">
        <v>10</v>
      </c>
      <c r="D53" s="248" t="s">
        <v>1177</v>
      </c>
      <c r="E53" s="247" t="s">
        <v>673</v>
      </c>
      <c r="F53" s="247" t="s">
        <v>1177</v>
      </c>
      <c r="G53" s="248" t="s">
        <v>70</v>
      </c>
      <c r="H53" s="248" t="str">
        <f>IFERROR(IF(SEARCH(".00.00.00.00.00",Tableau17[[#This Row],[name]],1)=7,"Division",""),"")</f>
        <v>Division</v>
      </c>
      <c r="I53" s="247"/>
      <c r="J53" s="249" t="s">
        <v>719</v>
      </c>
      <c r="K53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3" s="250">
        <f>ROUND(Tableau17[[#This Row],[LEN]]*7.27,0)</f>
        <v>109</v>
      </c>
      <c r="M53" s="250">
        <v>15</v>
      </c>
      <c r="N53" s="251" t="str">
        <f t="shared" si="0"/>
        <v>new</v>
      </c>
      <c r="O53" s="250">
        <f>LEN(Tableau17[[#This Row],[LABEL]])</f>
        <v>15</v>
      </c>
      <c r="P53" s="250">
        <v>15</v>
      </c>
      <c r="Q53" s="250" t="e">
        <f>ROUND(Tableau17[[#This Row],[LEN]]*#REF!+#REF!,0)</f>
        <v>#REF!</v>
      </c>
    </row>
    <row r="54" spans="1:17" x14ac:dyDescent="0.25">
      <c r="A54" s="14" t="s">
        <v>946</v>
      </c>
      <c r="B54" s="15" t="s">
        <v>223</v>
      </c>
      <c r="C54" s="8" t="s">
        <v>64</v>
      </c>
      <c r="D54" s="67" t="s">
        <v>1177</v>
      </c>
      <c r="E54" s="16" t="s">
        <v>662</v>
      </c>
      <c r="F54" s="8" t="s">
        <v>1956</v>
      </c>
      <c r="G54" s="67" t="s">
        <v>70</v>
      </c>
      <c r="H54" s="67" t="s">
        <v>17</v>
      </c>
      <c r="I54" s="8"/>
      <c r="J54" s="9" t="s">
        <v>708</v>
      </c>
      <c r="K5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" s="105">
        <f>ROUND(Tableau17[[#This Row],[LEN]]*7.27,0)</f>
        <v>291</v>
      </c>
      <c r="M54" s="105">
        <v>15</v>
      </c>
      <c r="N54" s="123" t="str">
        <f t="shared" si="0"/>
        <v>none</v>
      </c>
      <c r="O54" s="105">
        <f>LEN(Tableau17[[#This Row],[LABEL]])</f>
        <v>40</v>
      </c>
      <c r="P54" s="105">
        <v>15</v>
      </c>
      <c r="Q54" s="105" t="e">
        <f>ROUND(Tableau17[[#This Row],[LEN]]*#REF!+#REF!,0)</f>
        <v>#REF!</v>
      </c>
    </row>
    <row r="55" spans="1:17" x14ac:dyDescent="0.25">
      <c r="A55" s="14" t="s">
        <v>947</v>
      </c>
      <c r="B55" s="15" t="s">
        <v>223</v>
      </c>
      <c r="C55" s="8" t="s">
        <v>65</v>
      </c>
      <c r="D55" s="67" t="s">
        <v>1177</v>
      </c>
      <c r="E55" s="16" t="s">
        <v>662</v>
      </c>
      <c r="F55" s="8" t="s">
        <v>1957</v>
      </c>
      <c r="G55" s="67" t="s">
        <v>70</v>
      </c>
      <c r="H55" s="67" t="s">
        <v>17</v>
      </c>
      <c r="I55" s="8"/>
      <c r="J55" s="9" t="s">
        <v>708</v>
      </c>
      <c r="K55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" s="105">
        <f>ROUND(Tableau17[[#This Row],[LEN]]*7.27,0)</f>
        <v>291</v>
      </c>
      <c r="M55" s="105">
        <v>15</v>
      </c>
      <c r="N55" s="123" t="str">
        <f t="shared" si="0"/>
        <v>none</v>
      </c>
      <c r="O55" s="105">
        <f>LEN(Tableau17[[#This Row],[LABEL]])</f>
        <v>40</v>
      </c>
      <c r="P55" s="105">
        <v>15</v>
      </c>
      <c r="Q55" s="105" t="e">
        <f>ROUND(Tableau17[[#This Row],[LEN]]*#REF!+#REF!,0)</f>
        <v>#REF!</v>
      </c>
    </row>
    <row r="56" spans="1:17" s="92" customFormat="1" x14ac:dyDescent="0.25">
      <c r="A56" s="245" t="s">
        <v>225</v>
      </c>
      <c r="B56" s="246" t="s">
        <v>204</v>
      </c>
      <c r="C56" s="247" t="s">
        <v>12</v>
      </c>
      <c r="D56" s="248" t="s">
        <v>1177</v>
      </c>
      <c r="E56" s="247" t="s">
        <v>675</v>
      </c>
      <c r="F56" s="247" t="s">
        <v>1177</v>
      </c>
      <c r="G56" s="248" t="s">
        <v>70</v>
      </c>
      <c r="H56" s="248" t="str">
        <f>IFERROR(IF(SEARCH(".00.00.00.00.00",Tableau17[[#This Row],[name]],1)=7,"Division",""),"")</f>
        <v>Division</v>
      </c>
      <c r="I56" s="247"/>
      <c r="J56" s="249" t="s">
        <v>721</v>
      </c>
      <c r="K56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6" s="250">
        <f>ROUND(Tableau17[[#This Row],[LEN]]*7.27,0)</f>
        <v>15</v>
      </c>
      <c r="M56" s="250">
        <v>15</v>
      </c>
      <c r="N56" s="251" t="str">
        <f t="shared" si="0"/>
        <v>new</v>
      </c>
      <c r="O56" s="250">
        <f>LEN(Tableau17[[#This Row],[LABEL]])</f>
        <v>2</v>
      </c>
      <c r="P56" s="250">
        <v>15</v>
      </c>
      <c r="Q56" s="250" t="e">
        <f>ROUND(Tableau17[[#This Row],[LEN]]*#REF!+#REF!,0)</f>
        <v>#REF!</v>
      </c>
    </row>
    <row r="57" spans="1:17" x14ac:dyDescent="0.25">
      <c r="A57" s="14" t="s">
        <v>950</v>
      </c>
      <c r="B57" s="14" t="s">
        <v>225</v>
      </c>
      <c r="C57" s="8" t="s">
        <v>65</v>
      </c>
      <c r="D57" s="67" t="s">
        <v>1177</v>
      </c>
      <c r="E57" s="16" t="s">
        <v>662</v>
      </c>
      <c r="F57" s="8" t="s">
        <v>1957</v>
      </c>
      <c r="G57" s="67" t="s">
        <v>70</v>
      </c>
      <c r="H57" s="67" t="s">
        <v>17</v>
      </c>
      <c r="I57" s="8"/>
      <c r="J57" s="9" t="s">
        <v>708</v>
      </c>
      <c r="K5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" s="105">
        <f>ROUND(Tableau17[[#This Row],[LEN]]*7.27,0)</f>
        <v>291</v>
      </c>
      <c r="M57" s="105">
        <v>15</v>
      </c>
      <c r="N57" s="123" t="str">
        <f t="shared" si="0"/>
        <v>none</v>
      </c>
      <c r="O57" s="105">
        <f>LEN(Tableau17[[#This Row],[LABEL]])</f>
        <v>40</v>
      </c>
      <c r="P57" s="105">
        <v>15</v>
      </c>
      <c r="Q57" s="105" t="e">
        <f>ROUND(Tableau17[[#This Row],[LEN]]*#REF!+#REF!,0)</f>
        <v>#REF!</v>
      </c>
    </row>
    <row r="58" spans="1:17" x14ac:dyDescent="0.25">
      <c r="A58" s="14" t="s">
        <v>951</v>
      </c>
      <c r="B58" s="14" t="s">
        <v>225</v>
      </c>
      <c r="C58" s="16" t="s">
        <v>72</v>
      </c>
      <c r="D58" s="67" t="s">
        <v>1177</v>
      </c>
      <c r="E58" s="16" t="s">
        <v>662</v>
      </c>
      <c r="F58" s="8" t="s">
        <v>2075</v>
      </c>
      <c r="G58" s="67" t="s">
        <v>70</v>
      </c>
      <c r="H58" s="67" t="s">
        <v>654</v>
      </c>
      <c r="I58" s="8"/>
      <c r="J58" s="9" t="s">
        <v>708</v>
      </c>
      <c r="K5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" s="105">
        <f>ROUND(Tableau17[[#This Row],[LEN]]*7.27,0)</f>
        <v>400</v>
      </c>
      <c r="M58" s="105">
        <v>15</v>
      </c>
      <c r="N58" s="123" t="str">
        <f t="shared" si="0"/>
        <v>none</v>
      </c>
      <c r="O58" s="105">
        <f>LEN(Tableau17[[#This Row],[LABEL]])</f>
        <v>55</v>
      </c>
      <c r="P58" s="105">
        <v>15</v>
      </c>
      <c r="Q58" s="105" t="e">
        <f>ROUND(Tableau17[[#This Row],[LEN]]*#REF!+#REF!,0)</f>
        <v>#REF!</v>
      </c>
    </row>
    <row r="59" spans="1:17" s="92" customFormat="1" x14ac:dyDescent="0.25">
      <c r="A59" s="245" t="s">
        <v>228</v>
      </c>
      <c r="B59" s="246" t="s">
        <v>204</v>
      </c>
      <c r="C59" s="247" t="s">
        <v>14</v>
      </c>
      <c r="D59" s="248" t="s">
        <v>1177</v>
      </c>
      <c r="E59" s="247" t="s">
        <v>678</v>
      </c>
      <c r="F59" s="247" t="s">
        <v>1177</v>
      </c>
      <c r="G59" s="248" t="s">
        <v>70</v>
      </c>
      <c r="H59" s="248" t="str">
        <f>IFERROR(IF(SEARCH(".00.00.00.00.00",Tableau17[[#This Row],[name]],1)=7,"Division",""),"")</f>
        <v>Division</v>
      </c>
      <c r="I59" s="247"/>
      <c r="J59" s="249" t="s">
        <v>724</v>
      </c>
      <c r="K59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9" s="250">
        <f>ROUND(Tableau17[[#This Row],[LEN]]*7.27,0)</f>
        <v>240</v>
      </c>
      <c r="M59" s="250">
        <v>15</v>
      </c>
      <c r="N59" s="251" t="str">
        <f t="shared" si="0"/>
        <v>new</v>
      </c>
      <c r="O59" s="250">
        <f>LEN(Tableau17[[#This Row],[LABEL]])</f>
        <v>33</v>
      </c>
      <c r="P59" s="250">
        <v>15</v>
      </c>
      <c r="Q59" s="250" t="e">
        <f>ROUND(Tableau17[[#This Row],[LEN]]*#REF!+#REF!,0)</f>
        <v>#REF!</v>
      </c>
    </row>
    <row r="60" spans="1:17" x14ac:dyDescent="0.25">
      <c r="A60" s="14" t="s">
        <v>952</v>
      </c>
      <c r="B60" s="14" t="s">
        <v>228</v>
      </c>
      <c r="C60" s="8" t="s">
        <v>64</v>
      </c>
      <c r="D60" s="67" t="s">
        <v>1177</v>
      </c>
      <c r="E60" s="16" t="s">
        <v>662</v>
      </c>
      <c r="F60" s="8" t="s">
        <v>1956</v>
      </c>
      <c r="G60" s="67" t="s">
        <v>70</v>
      </c>
      <c r="H60" s="67" t="s">
        <v>17</v>
      </c>
      <c r="I60" s="8"/>
      <c r="J60" s="9" t="s">
        <v>708</v>
      </c>
      <c r="K60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" s="105">
        <f>ROUND(Tableau17[[#This Row],[LEN]]*7.27,0)</f>
        <v>291</v>
      </c>
      <c r="M60" s="105">
        <v>15</v>
      </c>
      <c r="N60" s="123" t="str">
        <f t="shared" si="0"/>
        <v>none</v>
      </c>
      <c r="O60" s="105">
        <f>LEN(Tableau17[[#This Row],[LABEL]])</f>
        <v>40</v>
      </c>
      <c r="P60" s="105">
        <v>15</v>
      </c>
      <c r="Q60" s="105" t="e">
        <f>ROUND(Tableau17[[#This Row],[LEN]]*#REF!+#REF!,0)</f>
        <v>#REF!</v>
      </c>
    </row>
    <row r="61" spans="1:17" x14ac:dyDescent="0.25">
      <c r="A61" s="14" t="s">
        <v>953</v>
      </c>
      <c r="B61" s="14" t="s">
        <v>228</v>
      </c>
      <c r="C61" s="16" t="s">
        <v>927</v>
      </c>
      <c r="D61" s="67" t="s">
        <v>1177</v>
      </c>
      <c r="E61" s="16" t="s">
        <v>667</v>
      </c>
      <c r="F61" s="16" t="s">
        <v>2076</v>
      </c>
      <c r="G61" s="67" t="s">
        <v>70</v>
      </c>
      <c r="H61" s="67" t="s">
        <v>656</v>
      </c>
      <c r="I61" s="8"/>
      <c r="J61" s="9" t="s">
        <v>708</v>
      </c>
      <c r="K61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" s="105">
        <f>ROUND(Tableau17[[#This Row],[LEN]]*7.27,0)</f>
        <v>298</v>
      </c>
      <c r="M61" s="105">
        <v>15</v>
      </c>
      <c r="N61" s="123" t="str">
        <f t="shared" si="0"/>
        <v>none</v>
      </c>
      <c r="O61" s="105">
        <f>LEN(Tableau17[[#This Row],[LABEL]])</f>
        <v>41</v>
      </c>
      <c r="P61" s="105">
        <v>15</v>
      </c>
      <c r="Q61" s="105" t="e">
        <f>ROUND(Tableau17[[#This Row],[LEN]]*#REF!+#REF!,0)</f>
        <v>#REF!</v>
      </c>
    </row>
    <row r="62" spans="1:17" x14ac:dyDescent="0.25">
      <c r="A62" s="14" t="s">
        <v>954</v>
      </c>
      <c r="B62" s="14" t="s">
        <v>228</v>
      </c>
      <c r="C62" s="8" t="s">
        <v>65</v>
      </c>
      <c r="D62" s="67" t="s">
        <v>1177</v>
      </c>
      <c r="E62" s="16" t="s">
        <v>662</v>
      </c>
      <c r="F62" s="8" t="s">
        <v>1957</v>
      </c>
      <c r="G62" s="67" t="s">
        <v>70</v>
      </c>
      <c r="H62" s="67" t="s">
        <v>17</v>
      </c>
      <c r="I62" s="8"/>
      <c r="J62" s="9" t="s">
        <v>708</v>
      </c>
      <c r="K62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" s="105">
        <f>ROUND(Tableau17[[#This Row],[LEN]]*7.27,0)</f>
        <v>291</v>
      </c>
      <c r="M62" s="105">
        <v>15</v>
      </c>
      <c r="N62" s="123" t="str">
        <f t="shared" si="0"/>
        <v>none</v>
      </c>
      <c r="O62" s="105">
        <f>LEN(Tableau17[[#This Row],[LABEL]])</f>
        <v>40</v>
      </c>
      <c r="P62" s="105">
        <v>15</v>
      </c>
      <c r="Q62" s="105" t="e">
        <f>ROUND(Tableau17[[#This Row],[LEN]]*#REF!+#REF!,0)</f>
        <v>#REF!</v>
      </c>
    </row>
    <row r="63" spans="1:17" x14ac:dyDescent="0.25">
      <c r="A63" s="14" t="s">
        <v>955</v>
      </c>
      <c r="B63" s="14" t="s">
        <v>228</v>
      </c>
      <c r="C63" s="16" t="s">
        <v>72</v>
      </c>
      <c r="D63" s="67" t="s">
        <v>1177</v>
      </c>
      <c r="E63" s="16" t="s">
        <v>662</v>
      </c>
      <c r="F63" s="8" t="s">
        <v>2075</v>
      </c>
      <c r="G63" s="67" t="s">
        <v>70</v>
      </c>
      <c r="H63" s="67" t="s">
        <v>654</v>
      </c>
      <c r="I63" s="8"/>
      <c r="J63" s="9" t="s">
        <v>708</v>
      </c>
      <c r="K63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" s="105">
        <f>ROUND(Tableau17[[#This Row],[LEN]]*7.27,0)</f>
        <v>400</v>
      </c>
      <c r="M63" s="105">
        <v>15</v>
      </c>
      <c r="N63" s="123" t="str">
        <f t="shared" si="0"/>
        <v>none</v>
      </c>
      <c r="O63" s="105">
        <f>LEN(Tableau17[[#This Row],[LABEL]])</f>
        <v>55</v>
      </c>
      <c r="P63" s="105">
        <v>15</v>
      </c>
      <c r="Q63" s="105" t="e">
        <f>ROUND(Tableau17[[#This Row],[LEN]]*#REF!+#REF!,0)</f>
        <v>#REF!</v>
      </c>
    </row>
    <row r="64" spans="1:17" x14ac:dyDescent="0.25">
      <c r="A64" s="14" t="s">
        <v>956</v>
      </c>
      <c r="B64" s="14" t="s">
        <v>228</v>
      </c>
      <c r="C64" s="16" t="s">
        <v>930</v>
      </c>
      <c r="D64" s="67" t="s">
        <v>1177</v>
      </c>
      <c r="E64" s="16" t="s">
        <v>678</v>
      </c>
      <c r="F64" s="16" t="s">
        <v>1177</v>
      </c>
      <c r="G64" s="67" t="s">
        <v>70</v>
      </c>
      <c r="H64" s="67" t="s">
        <v>654</v>
      </c>
      <c r="I64" s="8"/>
      <c r="J64" s="9" t="s">
        <v>706</v>
      </c>
      <c r="K64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" s="105">
        <f>ROUND(Tableau17[[#This Row],[LEN]]*7.27,0)</f>
        <v>465</v>
      </c>
      <c r="M64" s="105">
        <v>15</v>
      </c>
      <c r="N64" s="123" t="str">
        <f t="shared" si="0"/>
        <v>new</v>
      </c>
      <c r="O64" s="105">
        <f>LEN(Tableau17[[#This Row],[LABEL]])</f>
        <v>64</v>
      </c>
      <c r="P64" s="105">
        <v>15</v>
      </c>
      <c r="Q64" s="105" t="e">
        <f>ROUND(Tableau17[[#This Row],[LEN]]*#REF!+#REF!,0)</f>
        <v>#REF!</v>
      </c>
    </row>
    <row r="65" spans="1:17" s="92" customFormat="1" x14ac:dyDescent="0.25">
      <c r="A65" s="245" t="s">
        <v>229</v>
      </c>
      <c r="B65" s="246" t="s">
        <v>204</v>
      </c>
      <c r="C65" s="247" t="s">
        <v>1950</v>
      </c>
      <c r="D65" s="248" t="s">
        <v>1177</v>
      </c>
      <c r="E65" s="247" t="s">
        <v>1951</v>
      </c>
      <c r="F65" s="247" t="s">
        <v>1177</v>
      </c>
      <c r="G65" s="248" t="s">
        <v>70</v>
      </c>
      <c r="H65" s="248" t="s">
        <v>56</v>
      </c>
      <c r="I65" s="247"/>
      <c r="J65" s="249" t="s">
        <v>708</v>
      </c>
      <c r="K65" s="24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5" s="250">
        <f>ROUND(Tableau17[[#This Row],[LEN]]*7.27,0)</f>
        <v>51</v>
      </c>
      <c r="M65" s="250">
        <v>15</v>
      </c>
      <c r="N65" s="251" t="str">
        <f t="shared" si="0"/>
        <v>none</v>
      </c>
      <c r="O65" s="250">
        <f>LEN(Tableau17[[#This Row],[LABEL]])</f>
        <v>7</v>
      </c>
      <c r="P65" s="250">
        <v>15</v>
      </c>
      <c r="Q65" s="250" t="e">
        <f>ROUND(Tableau17[[#This Row],[LEN]]*#REF!+#REF!,0)</f>
        <v>#REF!</v>
      </c>
    </row>
    <row r="66" spans="1:17" x14ac:dyDescent="0.25">
      <c r="A66" s="14" t="s">
        <v>1952</v>
      </c>
      <c r="B66" s="14" t="s">
        <v>229</v>
      </c>
      <c r="C66" s="8" t="s">
        <v>64</v>
      </c>
      <c r="D66" s="67" t="s">
        <v>1177</v>
      </c>
      <c r="E66" s="16" t="s">
        <v>662</v>
      </c>
      <c r="F66" s="8" t="s">
        <v>1956</v>
      </c>
      <c r="G66" s="67" t="s">
        <v>70</v>
      </c>
      <c r="H66" s="67" t="s">
        <v>17</v>
      </c>
      <c r="I66" s="8"/>
      <c r="J66" s="9" t="s">
        <v>708</v>
      </c>
      <c r="K66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" s="105">
        <f>ROUND(Tableau17[[#This Row],[LEN]]*7.27,0)</f>
        <v>291</v>
      </c>
      <c r="M66" s="105">
        <v>15</v>
      </c>
      <c r="N66" s="123" t="str">
        <f t="shared" si="0"/>
        <v>none</v>
      </c>
      <c r="O66" s="105">
        <f>LEN(Tableau17[[#This Row],[LABEL]])</f>
        <v>40</v>
      </c>
      <c r="P66" s="105">
        <v>15</v>
      </c>
      <c r="Q66" s="105" t="e">
        <f>ROUND(Tableau17[[#This Row],[LEN]]*#REF!+#REF!,0)</f>
        <v>#REF!</v>
      </c>
    </row>
    <row r="67" spans="1:17" x14ac:dyDescent="0.25">
      <c r="A67" s="14" t="s">
        <v>1953</v>
      </c>
      <c r="B67" s="14" t="s">
        <v>229</v>
      </c>
      <c r="C67" s="8" t="s">
        <v>65</v>
      </c>
      <c r="D67" s="67" t="s">
        <v>1177</v>
      </c>
      <c r="E67" s="16" t="s">
        <v>662</v>
      </c>
      <c r="F67" s="8" t="s">
        <v>1957</v>
      </c>
      <c r="G67" s="67" t="s">
        <v>70</v>
      </c>
      <c r="H67" s="67" t="s">
        <v>17</v>
      </c>
      <c r="I67" s="8"/>
      <c r="J67" s="9" t="s">
        <v>708</v>
      </c>
      <c r="K67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" s="105">
        <f>ROUND(Tableau17[[#This Row],[LEN]]*7.27,0)</f>
        <v>291</v>
      </c>
      <c r="M67" s="105">
        <v>15</v>
      </c>
      <c r="N67" s="123" t="str">
        <f t="shared" si="0"/>
        <v>none</v>
      </c>
      <c r="O67" s="105">
        <f>LEN(Tableau17[[#This Row],[LABEL]])</f>
        <v>40</v>
      </c>
      <c r="P67" s="105">
        <v>15</v>
      </c>
      <c r="Q67" s="105" t="e">
        <f>ROUND(Tableau17[[#This Row],[LEN]]*#REF!+#REF!,0)</f>
        <v>#REF!</v>
      </c>
    </row>
    <row r="68" spans="1:17" x14ac:dyDescent="0.25">
      <c r="A68" s="14" t="s">
        <v>1954</v>
      </c>
      <c r="B68" s="14" t="s">
        <v>229</v>
      </c>
      <c r="C68" s="16" t="s">
        <v>1958</v>
      </c>
      <c r="D68" s="67" t="s">
        <v>1177</v>
      </c>
      <c r="E68" s="16" t="s">
        <v>1951</v>
      </c>
      <c r="F68" s="16" t="s">
        <v>1177</v>
      </c>
      <c r="G68" s="67" t="s">
        <v>70</v>
      </c>
      <c r="H68" s="67" t="s">
        <v>570</v>
      </c>
      <c r="I68" s="8"/>
      <c r="J68" s="9" t="s">
        <v>708</v>
      </c>
      <c r="K68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" s="105">
        <f>ROUND(Tableau17[[#This Row],[LEN]]*7.27,0)</f>
        <v>320</v>
      </c>
      <c r="M68" s="105">
        <v>15</v>
      </c>
      <c r="N68" s="123" t="str">
        <f t="shared" si="0"/>
        <v>none</v>
      </c>
      <c r="O68" s="105">
        <f>LEN(Tableau17[[#This Row],[LABEL]])</f>
        <v>44</v>
      </c>
      <c r="P68" s="105">
        <v>15</v>
      </c>
      <c r="Q68" s="105" t="e">
        <f>ROUND(Tableau17[[#This Row],[LEN]]*#REF!+#REF!,0)</f>
        <v>#REF!</v>
      </c>
    </row>
    <row r="69" spans="1:17" ht="15.75" thickBot="1" x14ac:dyDescent="0.3">
      <c r="A69" s="14" t="s">
        <v>1955</v>
      </c>
      <c r="B69" s="14" t="s">
        <v>229</v>
      </c>
      <c r="C69" s="16" t="s">
        <v>72</v>
      </c>
      <c r="D69" s="67" t="s">
        <v>1177</v>
      </c>
      <c r="E69" s="16" t="s">
        <v>662</v>
      </c>
      <c r="F69" s="8" t="s">
        <v>2075</v>
      </c>
      <c r="G69" s="67" t="s">
        <v>70</v>
      </c>
      <c r="H69" s="67" t="s">
        <v>654</v>
      </c>
      <c r="I69" s="8"/>
      <c r="J69" s="9" t="s">
        <v>708</v>
      </c>
      <c r="K69" s="9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" s="105">
        <f>ROUND(Tableau17[[#This Row],[LEN]]*7.27,0)</f>
        <v>400</v>
      </c>
      <c r="M69" s="105">
        <v>15</v>
      </c>
      <c r="N69" s="123" t="str">
        <f t="shared" si="0"/>
        <v>none</v>
      </c>
      <c r="O69" s="105">
        <f>LEN(Tableau17[[#This Row],[LABEL]])</f>
        <v>55</v>
      </c>
      <c r="P69" s="105">
        <v>15</v>
      </c>
      <c r="Q69" s="105" t="e">
        <f>ROUND(Tableau17[[#This Row],[LEN]]*#REF!+#REF!,0)</f>
        <v>#REF!</v>
      </c>
    </row>
    <row r="70" spans="1:17" ht="15.75" thickTop="1" x14ac:dyDescent="0.25">
      <c r="A70" s="156" t="s">
        <v>200</v>
      </c>
      <c r="B70" s="156" t="s">
        <v>198</v>
      </c>
      <c r="C70" s="157" t="s">
        <v>1159</v>
      </c>
      <c r="D70" s="157" t="s">
        <v>181</v>
      </c>
      <c r="E70" s="158" t="s">
        <v>1177</v>
      </c>
      <c r="F70" s="157" t="s">
        <v>1084</v>
      </c>
      <c r="G70" s="158" t="s">
        <v>171</v>
      </c>
      <c r="H70" s="158" t="s">
        <v>615</v>
      </c>
      <c r="I70" s="157"/>
      <c r="J70" s="159" t="s">
        <v>707</v>
      </c>
      <c r="K70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0" s="160">
        <f>ROUND(Tableau17[[#This Row],[LEN]]*7.27,0)</f>
        <v>95</v>
      </c>
      <c r="M70" s="160">
        <v>15</v>
      </c>
      <c r="N70" s="161" t="str">
        <f t="shared" si="0"/>
        <v>new</v>
      </c>
      <c r="O70" s="160">
        <f>LEN(Tableau17[[#This Row],[LABEL]])</f>
        <v>13</v>
      </c>
      <c r="P70" s="162">
        <v>15</v>
      </c>
      <c r="Q70" s="162" t="e">
        <f>ROUND(Tableau17[[#This Row],[LEN]]*#REF!+#REF!,0)</f>
        <v>#REF!</v>
      </c>
    </row>
    <row r="71" spans="1:17" ht="15.75" thickBot="1" x14ac:dyDescent="0.3">
      <c r="A71" s="163" t="s">
        <v>205</v>
      </c>
      <c r="B71" s="163" t="s">
        <v>200</v>
      </c>
      <c r="C71" s="164" t="s">
        <v>173</v>
      </c>
      <c r="D71" s="165" t="s">
        <v>185</v>
      </c>
      <c r="E71" s="164" t="s">
        <v>1177</v>
      </c>
      <c r="F71" s="165" t="s">
        <v>1177</v>
      </c>
      <c r="G71" s="164" t="s">
        <v>167</v>
      </c>
      <c r="H71" s="164" t="s">
        <v>616</v>
      </c>
      <c r="I71" s="165"/>
      <c r="J71" s="166" t="s">
        <v>708</v>
      </c>
      <c r="K71" s="16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1" s="167">
        <f>ROUND(Tableau17[[#This Row],[LEN]]*7.27,0)</f>
        <v>58</v>
      </c>
      <c r="M71" s="167">
        <v>15</v>
      </c>
      <c r="N71" s="168" t="str">
        <f t="shared" si="0"/>
        <v>none</v>
      </c>
      <c r="O71" s="167">
        <f>LEN(Tableau17[[#This Row],[LABEL]])</f>
        <v>8</v>
      </c>
      <c r="P71" s="169">
        <v>15</v>
      </c>
      <c r="Q71" s="169" t="e">
        <f>ROUND(Tableau17[[#This Row],[LEN]]*#REF!+#REF!,0)</f>
        <v>#REF!</v>
      </c>
    </row>
    <row r="72" spans="1:17" s="92" customFormat="1" ht="15.75" thickTop="1" x14ac:dyDescent="0.25">
      <c r="A72" s="266" t="s">
        <v>231</v>
      </c>
      <c r="B72" s="267" t="s">
        <v>205</v>
      </c>
      <c r="C72" s="268" t="s">
        <v>57</v>
      </c>
      <c r="D72" s="269" t="s">
        <v>1177</v>
      </c>
      <c r="E72" s="268" t="s">
        <v>663</v>
      </c>
      <c r="F72" s="268" t="s">
        <v>1177</v>
      </c>
      <c r="G72" s="269" t="s">
        <v>167</v>
      </c>
      <c r="H72" s="269" t="str">
        <f>IFERROR(IF(SEARCH(".00.00.00.00.00",Tableau17[[#This Row],[name]],1)=7,"Division",""),"")</f>
        <v>Division</v>
      </c>
      <c r="I72" s="268"/>
      <c r="J72" s="270" t="s">
        <v>708</v>
      </c>
      <c r="K72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2" s="271">
        <f>ROUND(Tableau17[[#This Row],[LEN]]*7.27,0)</f>
        <v>102</v>
      </c>
      <c r="M72" s="271">
        <v>15</v>
      </c>
      <c r="N72" s="272" t="str">
        <f t="shared" si="0"/>
        <v>none</v>
      </c>
      <c r="O72" s="271">
        <f>LEN(Tableau17[[#This Row],[LABEL]])</f>
        <v>14</v>
      </c>
      <c r="P72" s="271">
        <v>15</v>
      </c>
      <c r="Q72" s="271" t="e">
        <f>ROUND(Tableau17[[#This Row],[LEN]]*#REF!+#REF!,0)</f>
        <v>#REF!</v>
      </c>
    </row>
    <row r="73" spans="1:17" s="97" customFormat="1" x14ac:dyDescent="0.25">
      <c r="A73" s="17" t="s">
        <v>749</v>
      </c>
      <c r="B73" s="18" t="s">
        <v>231</v>
      </c>
      <c r="C73" s="19" t="s">
        <v>755</v>
      </c>
      <c r="D73" s="68" t="s">
        <v>1177</v>
      </c>
      <c r="E73" s="19" t="s">
        <v>663</v>
      </c>
      <c r="F73" s="19" t="s">
        <v>1177</v>
      </c>
      <c r="G73" s="68" t="s">
        <v>167</v>
      </c>
      <c r="H73" s="68" t="s">
        <v>570</v>
      </c>
      <c r="I73" s="19"/>
      <c r="J73" s="20" t="s">
        <v>708</v>
      </c>
      <c r="K7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" s="107">
        <f>ROUND(Tableau17[[#This Row],[LEN]]*7.27,0)</f>
        <v>254</v>
      </c>
      <c r="M73" s="107">
        <v>15</v>
      </c>
      <c r="N73" s="125" t="str">
        <f t="shared" si="0"/>
        <v>none</v>
      </c>
      <c r="O73" s="107">
        <f>LEN(Tableau17[[#This Row],[LABEL]])</f>
        <v>35</v>
      </c>
      <c r="P73" s="107">
        <v>15</v>
      </c>
      <c r="Q73" s="107" t="e">
        <f>ROUND(Tableau17[[#This Row],[LEN]]*#REF!+#REF!,0)</f>
        <v>#REF!</v>
      </c>
    </row>
    <row r="74" spans="1:17" s="97" customFormat="1" x14ac:dyDescent="0.25">
      <c r="A74" s="17" t="s">
        <v>750</v>
      </c>
      <c r="B74" s="18" t="s">
        <v>231</v>
      </c>
      <c r="C74" s="19" t="s">
        <v>756</v>
      </c>
      <c r="D74" s="68" t="s">
        <v>1177</v>
      </c>
      <c r="E74" s="19" t="s">
        <v>663</v>
      </c>
      <c r="F74" s="19" t="s">
        <v>1177</v>
      </c>
      <c r="G74" s="68" t="s">
        <v>167</v>
      </c>
      <c r="H74" s="68" t="s">
        <v>654</v>
      </c>
      <c r="I74" s="19"/>
      <c r="J74" s="20" t="s">
        <v>708</v>
      </c>
      <c r="K7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" s="107">
        <f>ROUND(Tableau17[[#This Row],[LEN]]*7.27,0)</f>
        <v>131</v>
      </c>
      <c r="M74" s="107">
        <v>15</v>
      </c>
      <c r="N74" s="125" t="str">
        <f t="shared" si="0"/>
        <v>none</v>
      </c>
      <c r="O74" s="107">
        <f>LEN(Tableau17[[#This Row],[LABEL]])</f>
        <v>18</v>
      </c>
      <c r="P74" s="107">
        <v>15</v>
      </c>
      <c r="Q74" s="107" t="e">
        <f>ROUND(Tableau17[[#This Row],[LEN]]*#REF!+#REF!,0)</f>
        <v>#REF!</v>
      </c>
    </row>
    <row r="75" spans="1:17" s="97" customFormat="1" x14ac:dyDescent="0.25">
      <c r="A75" s="17" t="s">
        <v>751</v>
      </c>
      <c r="B75" s="18" t="s">
        <v>231</v>
      </c>
      <c r="C75" s="19" t="s">
        <v>757</v>
      </c>
      <c r="D75" s="68" t="s">
        <v>1177</v>
      </c>
      <c r="E75" s="19" t="s">
        <v>663</v>
      </c>
      <c r="F75" s="19" t="s">
        <v>1177</v>
      </c>
      <c r="G75" s="68" t="s">
        <v>167</v>
      </c>
      <c r="H75" s="68" t="s">
        <v>656</v>
      </c>
      <c r="I75" s="19"/>
      <c r="J75" s="20" t="s">
        <v>708</v>
      </c>
      <c r="K7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" s="107">
        <f>ROUND(Tableau17[[#This Row],[LEN]]*7.27,0)</f>
        <v>298</v>
      </c>
      <c r="M75" s="107">
        <v>15</v>
      </c>
      <c r="N75" s="125" t="str">
        <f t="shared" si="0"/>
        <v>none</v>
      </c>
      <c r="O75" s="107">
        <f>LEN(Tableau17[[#This Row],[LABEL]])</f>
        <v>41</v>
      </c>
      <c r="P75" s="107">
        <v>15</v>
      </c>
      <c r="Q75" s="107" t="e">
        <f>ROUND(Tableau17[[#This Row],[LEN]]*#REF!+#REF!,0)</f>
        <v>#REF!</v>
      </c>
    </row>
    <row r="76" spans="1:17" s="97" customFormat="1" x14ac:dyDescent="0.25">
      <c r="A76" s="17" t="s">
        <v>752</v>
      </c>
      <c r="B76" s="18" t="s">
        <v>231</v>
      </c>
      <c r="C76" s="19" t="s">
        <v>758</v>
      </c>
      <c r="D76" s="68" t="s">
        <v>1177</v>
      </c>
      <c r="E76" s="19" t="s">
        <v>663</v>
      </c>
      <c r="F76" s="19" t="s">
        <v>1177</v>
      </c>
      <c r="G76" s="68" t="s">
        <v>167</v>
      </c>
      <c r="H76" s="68" t="s">
        <v>656</v>
      </c>
      <c r="I76" s="19"/>
      <c r="J76" s="20" t="s">
        <v>708</v>
      </c>
      <c r="K76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" s="107">
        <f>ROUND(Tableau17[[#This Row],[LEN]]*7.27,0)</f>
        <v>254</v>
      </c>
      <c r="M76" s="107">
        <v>15</v>
      </c>
      <c r="N76" s="125" t="str">
        <f t="shared" si="0"/>
        <v>none</v>
      </c>
      <c r="O76" s="107">
        <f>LEN(Tableau17[[#This Row],[LABEL]])</f>
        <v>35</v>
      </c>
      <c r="P76" s="107">
        <v>15</v>
      </c>
      <c r="Q76" s="107" t="e">
        <f>ROUND(Tableau17[[#This Row],[LEN]]*#REF!+#REF!,0)</f>
        <v>#REF!</v>
      </c>
    </row>
    <row r="77" spans="1:17" s="97" customFormat="1" x14ac:dyDescent="0.25">
      <c r="A77" s="17" t="s">
        <v>753</v>
      </c>
      <c r="B77" s="18" t="s">
        <v>231</v>
      </c>
      <c r="C77" s="19" t="s">
        <v>759</v>
      </c>
      <c r="D77" s="68" t="s">
        <v>1177</v>
      </c>
      <c r="E77" s="19" t="s">
        <v>663</v>
      </c>
      <c r="F77" s="19" t="s">
        <v>1177</v>
      </c>
      <c r="G77" s="68" t="s">
        <v>167</v>
      </c>
      <c r="H77" s="68" t="s">
        <v>654</v>
      </c>
      <c r="I77" s="19"/>
      <c r="J77" s="20" t="s">
        <v>708</v>
      </c>
      <c r="K7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" s="107">
        <f>ROUND(Tableau17[[#This Row],[LEN]]*7.27,0)</f>
        <v>298</v>
      </c>
      <c r="M77" s="107">
        <v>15</v>
      </c>
      <c r="N77" s="125" t="str">
        <f t="shared" si="0"/>
        <v>none</v>
      </c>
      <c r="O77" s="107">
        <f>LEN(Tableau17[[#This Row],[LABEL]])</f>
        <v>41</v>
      </c>
      <c r="P77" s="107">
        <v>15</v>
      </c>
      <c r="Q77" s="107" t="e">
        <f>ROUND(Tableau17[[#This Row],[LEN]]*#REF!+#REF!,0)</f>
        <v>#REF!</v>
      </c>
    </row>
    <row r="78" spans="1:17" s="97" customFormat="1" x14ac:dyDescent="0.25">
      <c r="A78" s="17" t="s">
        <v>754</v>
      </c>
      <c r="B78" s="18" t="s">
        <v>231</v>
      </c>
      <c r="C78" s="19" t="s">
        <v>110</v>
      </c>
      <c r="D78" s="68" t="s">
        <v>1177</v>
      </c>
      <c r="E78" s="19" t="s">
        <v>1177</v>
      </c>
      <c r="F78" s="19" t="s">
        <v>1084</v>
      </c>
      <c r="G78" s="68" t="s">
        <v>1977</v>
      </c>
      <c r="H78" s="68" t="s">
        <v>1131</v>
      </c>
      <c r="I78" s="19"/>
      <c r="J78" s="20" t="s">
        <v>708</v>
      </c>
      <c r="K7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" s="107">
        <f>ROUND(Tableau17[[#This Row],[LEN]]*7.27,0)</f>
        <v>102</v>
      </c>
      <c r="M78" s="107">
        <v>15</v>
      </c>
      <c r="N78" s="125" t="str">
        <f t="shared" si="0"/>
        <v>none</v>
      </c>
      <c r="O78" s="107">
        <f>LEN(Tableau17[[#This Row],[LABEL]])</f>
        <v>14</v>
      </c>
      <c r="P78" s="107">
        <v>15</v>
      </c>
      <c r="Q78" s="107" t="e">
        <f>ROUND(Tableau17[[#This Row],[LEN]]*#REF!+#REF!,0)</f>
        <v>#REF!</v>
      </c>
    </row>
    <row r="79" spans="1:17" s="273" customFormat="1" x14ac:dyDescent="0.25">
      <c r="A79" s="266" t="s">
        <v>233</v>
      </c>
      <c r="B79" s="267" t="s">
        <v>205</v>
      </c>
      <c r="C79" s="268" t="s">
        <v>3</v>
      </c>
      <c r="D79" s="269" t="s">
        <v>1177</v>
      </c>
      <c r="E79" s="268" t="s">
        <v>661</v>
      </c>
      <c r="F79" s="268" t="s">
        <v>1177</v>
      </c>
      <c r="G79" s="269" t="s">
        <v>167</v>
      </c>
      <c r="H79" s="269" t="str">
        <f>IFERROR(IF(SEARCH(".00.00.00.00.00",Tableau17[[#This Row],[name]],1)=7,"Division",""),"")</f>
        <v>Division</v>
      </c>
      <c r="I79" s="268"/>
      <c r="J79" s="270" t="s">
        <v>708</v>
      </c>
      <c r="K79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9" s="271">
        <f>ROUND(Tableau17[[#This Row],[LEN]]*7.27,0)</f>
        <v>73</v>
      </c>
      <c r="M79" s="271">
        <v>15</v>
      </c>
      <c r="N79" s="272" t="str">
        <f t="shared" si="0"/>
        <v>none</v>
      </c>
      <c r="O79" s="271">
        <f>LEN(Tableau17[[#This Row],[LABEL]])</f>
        <v>10</v>
      </c>
      <c r="P79" s="271">
        <v>15</v>
      </c>
      <c r="Q79" s="271" t="e">
        <f>ROUND(Tableau17[[#This Row],[LEN]]*#REF!+#REF!,0)</f>
        <v>#REF!</v>
      </c>
    </row>
    <row r="80" spans="1:17" s="97" customFormat="1" x14ac:dyDescent="0.25">
      <c r="A80" s="17" t="s">
        <v>368</v>
      </c>
      <c r="B80" s="18" t="s">
        <v>233</v>
      </c>
      <c r="C80" s="19" t="s">
        <v>81</v>
      </c>
      <c r="D80" s="68" t="s">
        <v>1177</v>
      </c>
      <c r="E80" s="19" t="s">
        <v>667</v>
      </c>
      <c r="F80" s="19" t="s">
        <v>1963</v>
      </c>
      <c r="G80" s="68" t="s">
        <v>167</v>
      </c>
      <c r="H80" s="68" t="s">
        <v>655</v>
      </c>
      <c r="I80" s="19"/>
      <c r="J80" s="20" t="s">
        <v>708</v>
      </c>
      <c r="K8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" s="107">
        <f>ROUND(Tableau17[[#This Row],[LEN]]*7.27,0)</f>
        <v>73</v>
      </c>
      <c r="M80" s="107">
        <v>15</v>
      </c>
      <c r="N80" s="125" t="str">
        <f t="shared" si="0"/>
        <v>none</v>
      </c>
      <c r="O80" s="107">
        <f>LEN(Tableau17[[#This Row],[LABEL]])</f>
        <v>10</v>
      </c>
      <c r="P80" s="107">
        <v>15</v>
      </c>
      <c r="Q80" s="107" t="e">
        <f>ROUND(Tableau17[[#This Row],[LEN]]*#REF!+#REF!,0)</f>
        <v>#REF!</v>
      </c>
    </row>
    <row r="81" spans="1:17" s="97" customFormat="1" x14ac:dyDescent="0.25">
      <c r="A81" s="21" t="s">
        <v>373</v>
      </c>
      <c r="B81" s="22" t="s">
        <v>368</v>
      </c>
      <c r="C81" s="23" t="s">
        <v>103</v>
      </c>
      <c r="D81" s="69" t="s">
        <v>1177</v>
      </c>
      <c r="E81" s="23" t="s">
        <v>667</v>
      </c>
      <c r="F81" s="23" t="s">
        <v>1963</v>
      </c>
      <c r="G81" s="69" t="s">
        <v>167</v>
      </c>
      <c r="H81" s="69" t="s">
        <v>570</v>
      </c>
      <c r="I81" s="23"/>
      <c r="J81" s="24" t="s">
        <v>708</v>
      </c>
      <c r="K8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" s="108">
        <f>ROUND(Tableau17[[#This Row],[LEN]]*7.27,0)</f>
        <v>138</v>
      </c>
      <c r="M81" s="108">
        <v>15</v>
      </c>
      <c r="N81" s="126" t="str">
        <f t="shared" si="0"/>
        <v>none</v>
      </c>
      <c r="O81" s="108">
        <f>LEN(Tableau17[[#This Row],[LABEL]])</f>
        <v>19</v>
      </c>
      <c r="P81" s="108">
        <v>15</v>
      </c>
      <c r="Q81" s="108" t="e">
        <f>ROUND(Tableau17[[#This Row],[LEN]]*#REF!+#REF!,0)</f>
        <v>#REF!</v>
      </c>
    </row>
    <row r="82" spans="1:17" s="97" customFormat="1" x14ac:dyDescent="0.25">
      <c r="A82" s="21" t="s">
        <v>374</v>
      </c>
      <c r="B82" s="22" t="s">
        <v>368</v>
      </c>
      <c r="C82" s="23" t="s">
        <v>104</v>
      </c>
      <c r="D82" s="69" t="s">
        <v>1177</v>
      </c>
      <c r="E82" s="23" t="s">
        <v>667</v>
      </c>
      <c r="F82" s="23" t="s">
        <v>1963</v>
      </c>
      <c r="G82" s="69" t="s">
        <v>167</v>
      </c>
      <c r="H82" s="69" t="s">
        <v>570</v>
      </c>
      <c r="I82" s="23"/>
      <c r="J82" s="24" t="s">
        <v>708</v>
      </c>
      <c r="K8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" s="108">
        <f>ROUND(Tableau17[[#This Row],[LEN]]*7.27,0)</f>
        <v>145</v>
      </c>
      <c r="M82" s="108">
        <v>15</v>
      </c>
      <c r="N82" s="126" t="str">
        <f t="shared" si="0"/>
        <v>none</v>
      </c>
      <c r="O82" s="108">
        <f>LEN(Tableau17[[#This Row],[LABEL]])</f>
        <v>20</v>
      </c>
      <c r="P82" s="108">
        <v>15</v>
      </c>
      <c r="Q82" s="108" t="e">
        <f>ROUND(Tableau17[[#This Row],[LEN]]*#REF!+#REF!,0)</f>
        <v>#REF!</v>
      </c>
    </row>
    <row r="83" spans="1:17" s="97" customFormat="1" x14ac:dyDescent="0.25">
      <c r="A83" s="21" t="s">
        <v>375</v>
      </c>
      <c r="B83" s="22" t="s">
        <v>368</v>
      </c>
      <c r="C83" s="23" t="s">
        <v>105</v>
      </c>
      <c r="D83" s="69" t="s">
        <v>1177</v>
      </c>
      <c r="E83" s="23" t="s">
        <v>667</v>
      </c>
      <c r="F83" s="23" t="s">
        <v>1963</v>
      </c>
      <c r="G83" s="69" t="s">
        <v>167</v>
      </c>
      <c r="H83" s="69" t="s">
        <v>570</v>
      </c>
      <c r="I83" s="23"/>
      <c r="J83" s="24" t="s">
        <v>708</v>
      </c>
      <c r="K8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" s="108">
        <f>ROUND(Tableau17[[#This Row],[LEN]]*7.27,0)</f>
        <v>138</v>
      </c>
      <c r="M83" s="108">
        <v>15</v>
      </c>
      <c r="N83" s="126" t="str">
        <f t="shared" si="0"/>
        <v>none</v>
      </c>
      <c r="O83" s="108">
        <f>LEN(Tableau17[[#This Row],[LABEL]])</f>
        <v>19</v>
      </c>
      <c r="P83" s="108">
        <v>15</v>
      </c>
      <c r="Q83" s="108" t="e">
        <f>ROUND(Tableau17[[#This Row],[LEN]]*#REF!+#REF!,0)</f>
        <v>#REF!</v>
      </c>
    </row>
    <row r="84" spans="1:17" s="97" customFormat="1" x14ac:dyDescent="0.25">
      <c r="A84" s="21" t="s">
        <v>376</v>
      </c>
      <c r="B84" s="22" t="s">
        <v>368</v>
      </c>
      <c r="C84" s="23" t="s">
        <v>106</v>
      </c>
      <c r="D84" s="69" t="s">
        <v>1177</v>
      </c>
      <c r="E84" s="23" t="s">
        <v>667</v>
      </c>
      <c r="F84" s="23" t="s">
        <v>1963</v>
      </c>
      <c r="G84" s="69" t="s">
        <v>167</v>
      </c>
      <c r="H84" s="69" t="s">
        <v>570</v>
      </c>
      <c r="I84" s="23"/>
      <c r="J84" s="24" t="s">
        <v>708</v>
      </c>
      <c r="K8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" s="108">
        <f>ROUND(Tableau17[[#This Row],[LEN]]*7.27,0)</f>
        <v>36</v>
      </c>
      <c r="M84" s="108">
        <v>15</v>
      </c>
      <c r="N84" s="126" t="str">
        <f t="shared" si="0"/>
        <v>none</v>
      </c>
      <c r="O84" s="108">
        <f>LEN(Tableau17[[#This Row],[LABEL]])</f>
        <v>5</v>
      </c>
      <c r="P84" s="108">
        <v>15</v>
      </c>
      <c r="Q84" s="108" t="e">
        <f>ROUND(Tableau17[[#This Row],[LEN]]*#REF!+#REF!,0)</f>
        <v>#REF!</v>
      </c>
    </row>
    <row r="85" spans="1:17" s="97" customFormat="1" x14ac:dyDescent="0.25">
      <c r="A85" s="21" t="s">
        <v>377</v>
      </c>
      <c r="B85" s="22" t="s">
        <v>368</v>
      </c>
      <c r="C85" s="23" t="s">
        <v>107</v>
      </c>
      <c r="D85" s="69" t="s">
        <v>1177</v>
      </c>
      <c r="E85" s="23" t="s">
        <v>667</v>
      </c>
      <c r="F85" s="23" t="s">
        <v>1963</v>
      </c>
      <c r="G85" s="69" t="s">
        <v>167</v>
      </c>
      <c r="H85" s="69" t="s">
        <v>570</v>
      </c>
      <c r="I85" s="23"/>
      <c r="J85" s="24" t="s">
        <v>708</v>
      </c>
      <c r="K8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" s="108">
        <f>ROUND(Tableau17[[#This Row],[LEN]]*7.27,0)</f>
        <v>160</v>
      </c>
      <c r="M85" s="108">
        <v>15</v>
      </c>
      <c r="N85" s="126" t="str">
        <f t="shared" si="0"/>
        <v>none</v>
      </c>
      <c r="O85" s="108">
        <f>LEN(Tableau17[[#This Row],[LABEL]])</f>
        <v>22</v>
      </c>
      <c r="P85" s="108">
        <v>15</v>
      </c>
      <c r="Q85" s="108" t="e">
        <f>ROUND(Tableau17[[#This Row],[LEN]]*#REF!+#REF!,0)</f>
        <v>#REF!</v>
      </c>
    </row>
    <row r="86" spans="1:17" s="97" customFormat="1" x14ac:dyDescent="0.25">
      <c r="A86" s="21" t="s">
        <v>378</v>
      </c>
      <c r="B86" s="22" t="s">
        <v>368</v>
      </c>
      <c r="C86" s="23" t="s">
        <v>108</v>
      </c>
      <c r="D86" s="69" t="s">
        <v>1177</v>
      </c>
      <c r="E86" s="23" t="s">
        <v>667</v>
      </c>
      <c r="F86" s="23" t="s">
        <v>1963</v>
      </c>
      <c r="G86" s="69" t="s">
        <v>167</v>
      </c>
      <c r="H86" s="69" t="s">
        <v>570</v>
      </c>
      <c r="I86" s="23"/>
      <c r="J86" s="24" t="s">
        <v>708</v>
      </c>
      <c r="K8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" s="108">
        <f>ROUND(Tableau17[[#This Row],[LEN]]*7.27,0)</f>
        <v>182</v>
      </c>
      <c r="M86" s="108">
        <v>15</v>
      </c>
      <c r="N86" s="126" t="str">
        <f t="shared" si="0"/>
        <v>none</v>
      </c>
      <c r="O86" s="108">
        <f>LEN(Tableau17[[#This Row],[LABEL]])</f>
        <v>25</v>
      </c>
      <c r="P86" s="108">
        <v>15</v>
      </c>
      <c r="Q86" s="108" t="e">
        <f>ROUND(Tableau17[[#This Row],[LEN]]*#REF!+#REF!,0)</f>
        <v>#REF!</v>
      </c>
    </row>
    <row r="87" spans="1:17" s="97" customFormat="1" x14ac:dyDescent="0.25">
      <c r="A87" s="17" t="s">
        <v>369</v>
      </c>
      <c r="B87" s="18" t="s">
        <v>233</v>
      </c>
      <c r="C87" s="19" t="s">
        <v>82</v>
      </c>
      <c r="D87" s="68" t="s">
        <v>1177</v>
      </c>
      <c r="E87" s="19" t="s">
        <v>684</v>
      </c>
      <c r="F87" s="19" t="s">
        <v>1177</v>
      </c>
      <c r="G87" s="68" t="s">
        <v>167</v>
      </c>
      <c r="H87" s="68" t="s">
        <v>655</v>
      </c>
      <c r="I87" s="19"/>
      <c r="J87" s="20" t="s">
        <v>708</v>
      </c>
      <c r="K8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" s="107">
        <f>ROUND(Tableau17[[#This Row],[LEN]]*7.27,0)</f>
        <v>269</v>
      </c>
      <c r="M87" s="107">
        <v>15</v>
      </c>
      <c r="N87" s="125" t="str">
        <f t="shared" si="0"/>
        <v>none</v>
      </c>
      <c r="O87" s="107">
        <f>LEN(Tableau17[[#This Row],[LABEL]])</f>
        <v>37</v>
      </c>
      <c r="P87" s="107">
        <v>15</v>
      </c>
      <c r="Q87" s="107" t="e">
        <f>ROUND(Tableau17[[#This Row],[LEN]]*#REF!+#REF!,0)</f>
        <v>#REF!</v>
      </c>
    </row>
    <row r="88" spans="1:17" s="97" customFormat="1" x14ac:dyDescent="0.25">
      <c r="A88" s="21" t="s">
        <v>379</v>
      </c>
      <c r="B88" s="22" t="s">
        <v>369</v>
      </c>
      <c r="C88" s="23" t="s">
        <v>83</v>
      </c>
      <c r="D88" s="69" t="s">
        <v>1177</v>
      </c>
      <c r="E88" s="23" t="s">
        <v>684</v>
      </c>
      <c r="F88" s="23" t="s">
        <v>1177</v>
      </c>
      <c r="G88" s="69" t="s">
        <v>167</v>
      </c>
      <c r="H88" s="69" t="s">
        <v>18</v>
      </c>
      <c r="I88" s="23"/>
      <c r="J88" s="24" t="s">
        <v>708</v>
      </c>
      <c r="K8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" s="108">
        <f>ROUND(Tableau17[[#This Row],[LEN]]*7.27,0)</f>
        <v>269</v>
      </c>
      <c r="M88" s="108">
        <v>15</v>
      </c>
      <c r="N88" s="126" t="str">
        <f t="shared" si="0"/>
        <v>none</v>
      </c>
      <c r="O88" s="108">
        <f>LEN(Tableau17[[#This Row],[LABEL]])</f>
        <v>37</v>
      </c>
      <c r="P88" s="108">
        <v>15</v>
      </c>
      <c r="Q88" s="108" t="e">
        <f>ROUND(Tableau17[[#This Row],[LEN]]*#REF!+#REF!,0)</f>
        <v>#REF!</v>
      </c>
    </row>
    <row r="89" spans="1:17" s="97" customFormat="1" x14ac:dyDescent="0.25">
      <c r="A89" s="21" t="s">
        <v>380</v>
      </c>
      <c r="B89" s="22" t="s">
        <v>369</v>
      </c>
      <c r="C89" s="23" t="s">
        <v>84</v>
      </c>
      <c r="D89" s="69" t="s">
        <v>1177</v>
      </c>
      <c r="E89" s="23" t="s">
        <v>684</v>
      </c>
      <c r="F89" s="23" t="s">
        <v>1177</v>
      </c>
      <c r="G89" s="69" t="s">
        <v>167</v>
      </c>
      <c r="H89" s="69" t="s">
        <v>18</v>
      </c>
      <c r="I89" s="23"/>
      <c r="J89" s="24" t="s">
        <v>708</v>
      </c>
      <c r="K8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" s="108">
        <f>ROUND(Tableau17[[#This Row],[LEN]]*7.27,0)</f>
        <v>313</v>
      </c>
      <c r="M89" s="108">
        <v>15</v>
      </c>
      <c r="N89" s="126" t="str">
        <f t="shared" si="0"/>
        <v>none</v>
      </c>
      <c r="O89" s="108">
        <f>LEN(Tableau17[[#This Row],[LABEL]])</f>
        <v>43</v>
      </c>
      <c r="P89" s="108">
        <v>15</v>
      </c>
      <c r="Q89" s="108" t="e">
        <f>ROUND(Tableau17[[#This Row],[LEN]]*#REF!+#REF!,0)</f>
        <v>#REF!</v>
      </c>
    </row>
    <row r="90" spans="1:17" s="97" customFormat="1" x14ac:dyDescent="0.25">
      <c r="A90" s="21" t="s">
        <v>381</v>
      </c>
      <c r="B90" s="22" t="s">
        <v>369</v>
      </c>
      <c r="C90" s="23" t="s">
        <v>85</v>
      </c>
      <c r="D90" s="69" t="s">
        <v>1177</v>
      </c>
      <c r="E90" s="23" t="s">
        <v>684</v>
      </c>
      <c r="F90" s="23" t="s">
        <v>1177</v>
      </c>
      <c r="G90" s="69" t="s">
        <v>167</v>
      </c>
      <c r="H90" s="69" t="s">
        <v>18</v>
      </c>
      <c r="I90" s="23"/>
      <c r="J90" s="24" t="s">
        <v>708</v>
      </c>
      <c r="K9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" s="108">
        <f>ROUND(Tableau17[[#This Row],[LEN]]*7.27,0)</f>
        <v>218</v>
      </c>
      <c r="M90" s="108">
        <v>15</v>
      </c>
      <c r="N90" s="126" t="str">
        <f t="shared" ref="N90:N222" si="1">IF(J90="javascript:void(0)","none","new")</f>
        <v>none</v>
      </c>
      <c r="O90" s="108">
        <f>LEN(Tableau17[[#This Row],[LABEL]])</f>
        <v>30</v>
      </c>
      <c r="P90" s="108">
        <v>15</v>
      </c>
      <c r="Q90" s="108" t="e">
        <f>ROUND(Tableau17[[#This Row],[LEN]]*#REF!+#REF!,0)</f>
        <v>#REF!</v>
      </c>
    </row>
    <row r="91" spans="1:17" s="97" customFormat="1" x14ac:dyDescent="0.25">
      <c r="A91" s="17" t="s">
        <v>370</v>
      </c>
      <c r="B91" s="18" t="s">
        <v>233</v>
      </c>
      <c r="C91" s="19" t="s">
        <v>109</v>
      </c>
      <c r="D91" s="68" t="s">
        <v>1177</v>
      </c>
      <c r="E91" s="19" t="s">
        <v>684</v>
      </c>
      <c r="F91" s="19" t="s">
        <v>1177</v>
      </c>
      <c r="G91" s="68" t="s">
        <v>167</v>
      </c>
      <c r="H91" s="68" t="s">
        <v>656</v>
      </c>
      <c r="I91" s="19"/>
      <c r="J91" s="20" t="s">
        <v>708</v>
      </c>
      <c r="K91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" s="107">
        <f>ROUND(Tableau17[[#This Row],[LEN]]*7.27,0)</f>
        <v>131</v>
      </c>
      <c r="M91" s="107">
        <v>15</v>
      </c>
      <c r="N91" s="125" t="str">
        <f t="shared" si="1"/>
        <v>none</v>
      </c>
      <c r="O91" s="107">
        <f>LEN(Tableau17[[#This Row],[LABEL]])</f>
        <v>18</v>
      </c>
      <c r="P91" s="107">
        <v>15</v>
      </c>
      <c r="Q91" s="107" t="e">
        <f>ROUND(Tableau17[[#This Row],[LEN]]*#REF!+#REF!,0)</f>
        <v>#REF!</v>
      </c>
    </row>
    <row r="92" spans="1:17" s="97" customFormat="1" x14ac:dyDescent="0.25">
      <c r="A92" s="17" t="s">
        <v>371</v>
      </c>
      <c r="B92" s="18" t="s">
        <v>233</v>
      </c>
      <c r="C92" s="19" t="s">
        <v>110</v>
      </c>
      <c r="D92" s="68" t="s">
        <v>1177</v>
      </c>
      <c r="E92" s="19" t="s">
        <v>1177</v>
      </c>
      <c r="F92" s="19" t="s">
        <v>1084</v>
      </c>
      <c r="G92" s="68" t="s">
        <v>1977</v>
      </c>
      <c r="H92" s="68" t="s">
        <v>1131</v>
      </c>
      <c r="I92" s="19"/>
      <c r="J92" s="20" t="s">
        <v>708</v>
      </c>
      <c r="K9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" s="107">
        <f>ROUND(Tableau17[[#This Row],[LEN]]*7.27,0)</f>
        <v>102</v>
      </c>
      <c r="M92" s="107">
        <v>15</v>
      </c>
      <c r="N92" s="125" t="str">
        <f t="shared" si="1"/>
        <v>none</v>
      </c>
      <c r="O92" s="107">
        <f>LEN(Tableau17[[#This Row],[LABEL]])</f>
        <v>14</v>
      </c>
      <c r="P92" s="107">
        <v>15</v>
      </c>
      <c r="Q92" s="107" t="e">
        <f>ROUND(Tableau17[[#This Row],[LEN]]*#REF!+#REF!,0)</f>
        <v>#REF!</v>
      </c>
    </row>
    <row r="93" spans="1:17" s="273" customFormat="1" x14ac:dyDescent="0.25">
      <c r="A93" s="266" t="s">
        <v>234</v>
      </c>
      <c r="B93" s="267" t="s">
        <v>205</v>
      </c>
      <c r="C93" s="268" t="s">
        <v>4</v>
      </c>
      <c r="D93" s="269" t="s">
        <v>1177</v>
      </c>
      <c r="E93" s="268" t="s">
        <v>666</v>
      </c>
      <c r="F93" s="268" t="s">
        <v>1177</v>
      </c>
      <c r="G93" s="269" t="s">
        <v>167</v>
      </c>
      <c r="H93" s="269" t="str">
        <f>IFERROR(IF(SEARCH(".00.00.00.00.00",Tableau17[[#This Row],[name]],1)=7,"Division",""),"")</f>
        <v>Division</v>
      </c>
      <c r="I93" s="268"/>
      <c r="J93" s="270" t="s">
        <v>708</v>
      </c>
      <c r="K93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3" s="271">
        <f>ROUND(Tableau17[[#This Row],[LEN]]*7.27,0)</f>
        <v>36</v>
      </c>
      <c r="M93" s="271">
        <v>15</v>
      </c>
      <c r="N93" s="272" t="str">
        <f t="shared" si="1"/>
        <v>none</v>
      </c>
      <c r="O93" s="271">
        <f>LEN(Tableau17[[#This Row],[LABEL]])</f>
        <v>5</v>
      </c>
      <c r="P93" s="271">
        <v>15</v>
      </c>
      <c r="Q93" s="271" t="e">
        <f>ROUND(Tableau17[[#This Row],[LEN]]*#REF!+#REF!,0)</f>
        <v>#REF!</v>
      </c>
    </row>
    <row r="94" spans="1:17" s="97" customFormat="1" x14ac:dyDescent="0.25">
      <c r="A94" s="17" t="s">
        <v>957</v>
      </c>
      <c r="B94" s="18" t="s">
        <v>234</v>
      </c>
      <c r="C94" s="19" t="s">
        <v>961</v>
      </c>
      <c r="D94" s="68" t="s">
        <v>1177</v>
      </c>
      <c r="E94" s="19" t="s">
        <v>970</v>
      </c>
      <c r="F94" s="19" t="s">
        <v>1177</v>
      </c>
      <c r="G94" s="68" t="s">
        <v>167</v>
      </c>
      <c r="H94" s="68" t="s">
        <v>656</v>
      </c>
      <c r="I94" s="19"/>
      <c r="J94" s="20" t="s">
        <v>708</v>
      </c>
      <c r="K9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" s="107">
        <f>ROUND(Tableau17[[#This Row],[LEN]]*7.27,0)</f>
        <v>305</v>
      </c>
      <c r="M94" s="107">
        <v>15</v>
      </c>
      <c r="N94" s="125" t="str">
        <f t="shared" si="1"/>
        <v>none</v>
      </c>
      <c r="O94" s="107">
        <f>LEN(Tableau17[[#This Row],[LABEL]])</f>
        <v>42</v>
      </c>
      <c r="P94" s="107">
        <v>15</v>
      </c>
      <c r="Q94" s="107" t="e">
        <f>ROUND(Tableau17[[#This Row],[LEN]]*#REF!+#REF!,0)</f>
        <v>#REF!</v>
      </c>
    </row>
    <row r="95" spans="1:17" s="97" customFormat="1" x14ac:dyDescent="0.25">
      <c r="A95" s="17" t="s">
        <v>958</v>
      </c>
      <c r="B95" s="18" t="s">
        <v>234</v>
      </c>
      <c r="C95" s="19" t="s">
        <v>82</v>
      </c>
      <c r="D95" s="68" t="s">
        <v>1177</v>
      </c>
      <c r="E95" s="19" t="s">
        <v>684</v>
      </c>
      <c r="F95" s="19" t="s">
        <v>1177</v>
      </c>
      <c r="G95" s="68" t="s">
        <v>167</v>
      </c>
      <c r="H95" s="68" t="s">
        <v>655</v>
      </c>
      <c r="I95" s="19"/>
      <c r="J95" s="20" t="s">
        <v>708</v>
      </c>
      <c r="K9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" s="107">
        <f>ROUND(Tableau17[[#This Row],[LEN]]*7.27,0)</f>
        <v>269</v>
      </c>
      <c r="M95" s="107">
        <v>15</v>
      </c>
      <c r="N95" s="125" t="str">
        <f t="shared" si="1"/>
        <v>none</v>
      </c>
      <c r="O95" s="107">
        <f>LEN(Tableau17[[#This Row],[LABEL]])</f>
        <v>37</v>
      </c>
      <c r="P95" s="107">
        <v>15</v>
      </c>
      <c r="Q95" s="107" t="e">
        <f>ROUND(Tableau17[[#This Row],[LEN]]*#REF!+#REF!,0)</f>
        <v>#REF!</v>
      </c>
    </row>
    <row r="96" spans="1:17" s="97" customFormat="1" x14ac:dyDescent="0.25">
      <c r="A96" s="21" t="s">
        <v>962</v>
      </c>
      <c r="B96" s="22" t="s">
        <v>958</v>
      </c>
      <c r="C96" s="23" t="s">
        <v>83</v>
      </c>
      <c r="D96" s="69" t="s">
        <v>1177</v>
      </c>
      <c r="E96" s="23" t="s">
        <v>684</v>
      </c>
      <c r="F96" s="23" t="s">
        <v>1177</v>
      </c>
      <c r="G96" s="69" t="s">
        <v>167</v>
      </c>
      <c r="H96" s="69" t="s">
        <v>18</v>
      </c>
      <c r="I96" s="23"/>
      <c r="J96" s="24" t="s">
        <v>708</v>
      </c>
      <c r="K9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" s="108">
        <f>ROUND(Tableau17[[#This Row],[LEN]]*7.27,0)</f>
        <v>269</v>
      </c>
      <c r="M96" s="108">
        <v>15</v>
      </c>
      <c r="N96" s="126" t="str">
        <f t="shared" si="1"/>
        <v>none</v>
      </c>
      <c r="O96" s="108">
        <f>LEN(Tableau17[[#This Row],[LABEL]])</f>
        <v>37</v>
      </c>
      <c r="P96" s="108">
        <v>15</v>
      </c>
      <c r="Q96" s="108" t="e">
        <f>ROUND(Tableau17[[#This Row],[LEN]]*#REF!+#REF!,0)</f>
        <v>#REF!</v>
      </c>
    </row>
    <row r="97" spans="1:17" s="97" customFormat="1" x14ac:dyDescent="0.25">
      <c r="A97" s="21" t="s">
        <v>963</v>
      </c>
      <c r="B97" s="22" t="s">
        <v>958</v>
      </c>
      <c r="C97" s="23" t="s">
        <v>84</v>
      </c>
      <c r="D97" s="69" t="s">
        <v>1177</v>
      </c>
      <c r="E97" s="23" t="s">
        <v>684</v>
      </c>
      <c r="F97" s="23" t="s">
        <v>1177</v>
      </c>
      <c r="G97" s="69" t="s">
        <v>167</v>
      </c>
      <c r="H97" s="69" t="s">
        <v>18</v>
      </c>
      <c r="I97" s="23"/>
      <c r="J97" s="24" t="s">
        <v>708</v>
      </c>
      <c r="K9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" s="108">
        <f>ROUND(Tableau17[[#This Row],[LEN]]*7.27,0)</f>
        <v>313</v>
      </c>
      <c r="M97" s="108">
        <v>15</v>
      </c>
      <c r="N97" s="126" t="str">
        <f t="shared" si="1"/>
        <v>none</v>
      </c>
      <c r="O97" s="108">
        <f>LEN(Tableau17[[#This Row],[LABEL]])</f>
        <v>43</v>
      </c>
      <c r="P97" s="108">
        <v>15</v>
      </c>
      <c r="Q97" s="108" t="e">
        <f>ROUND(Tableau17[[#This Row],[LEN]]*#REF!+#REF!,0)</f>
        <v>#REF!</v>
      </c>
    </row>
    <row r="98" spans="1:17" s="97" customFormat="1" x14ac:dyDescent="0.25">
      <c r="A98" s="21" t="s">
        <v>964</v>
      </c>
      <c r="B98" s="22" t="s">
        <v>958</v>
      </c>
      <c r="C98" s="23" t="s">
        <v>85</v>
      </c>
      <c r="D98" s="69" t="s">
        <v>1177</v>
      </c>
      <c r="E98" s="23" t="s">
        <v>684</v>
      </c>
      <c r="F98" s="23" t="s">
        <v>1177</v>
      </c>
      <c r="G98" s="69" t="s">
        <v>167</v>
      </c>
      <c r="H98" s="69" t="s">
        <v>18</v>
      </c>
      <c r="I98" s="23"/>
      <c r="J98" s="24" t="s">
        <v>708</v>
      </c>
      <c r="K9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" s="108">
        <f>ROUND(Tableau17[[#This Row],[LEN]]*7.27,0)</f>
        <v>218</v>
      </c>
      <c r="M98" s="108">
        <v>15</v>
      </c>
      <c r="N98" s="126" t="str">
        <f t="shared" si="1"/>
        <v>none</v>
      </c>
      <c r="O98" s="108">
        <f>LEN(Tableau17[[#This Row],[LABEL]])</f>
        <v>30</v>
      </c>
      <c r="P98" s="108">
        <v>15</v>
      </c>
      <c r="Q98" s="108" t="e">
        <f>ROUND(Tableau17[[#This Row],[LEN]]*#REF!+#REF!,0)</f>
        <v>#REF!</v>
      </c>
    </row>
    <row r="99" spans="1:17" s="97" customFormat="1" x14ac:dyDescent="0.25">
      <c r="A99" s="17" t="s">
        <v>959</v>
      </c>
      <c r="B99" s="18" t="s">
        <v>234</v>
      </c>
      <c r="C99" s="19" t="s">
        <v>109</v>
      </c>
      <c r="D99" s="68" t="s">
        <v>1177</v>
      </c>
      <c r="E99" s="19" t="s">
        <v>684</v>
      </c>
      <c r="F99" s="19" t="s">
        <v>1177</v>
      </c>
      <c r="G99" s="68" t="s">
        <v>167</v>
      </c>
      <c r="H99" s="68" t="s">
        <v>656</v>
      </c>
      <c r="I99" s="19"/>
      <c r="J99" s="20" t="s">
        <v>708</v>
      </c>
      <c r="K99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" s="107">
        <f>ROUND(Tableau17[[#This Row],[LEN]]*7.27,0)</f>
        <v>131</v>
      </c>
      <c r="M99" s="107">
        <v>15</v>
      </c>
      <c r="N99" s="125" t="str">
        <f t="shared" si="1"/>
        <v>none</v>
      </c>
      <c r="O99" s="107">
        <f>LEN(Tableau17[[#This Row],[LABEL]])</f>
        <v>18</v>
      </c>
      <c r="P99" s="107">
        <v>15</v>
      </c>
      <c r="Q99" s="107" t="e">
        <f>ROUND(Tableau17[[#This Row],[LEN]]*#REF!+#REF!,0)</f>
        <v>#REF!</v>
      </c>
    </row>
    <row r="100" spans="1:17" s="97" customFormat="1" x14ac:dyDescent="0.25">
      <c r="A100" s="17" t="s">
        <v>960</v>
      </c>
      <c r="B100" s="18" t="s">
        <v>234</v>
      </c>
      <c r="C100" s="19" t="s">
        <v>110</v>
      </c>
      <c r="D100" s="68" t="s">
        <v>1177</v>
      </c>
      <c r="E100" s="19" t="s">
        <v>1177</v>
      </c>
      <c r="F100" s="19" t="s">
        <v>1084</v>
      </c>
      <c r="G100" s="68" t="s">
        <v>1977</v>
      </c>
      <c r="H100" s="68" t="s">
        <v>1131</v>
      </c>
      <c r="I100" s="19"/>
      <c r="J100" s="20" t="s">
        <v>708</v>
      </c>
      <c r="K10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" s="107">
        <f>ROUND(Tableau17[[#This Row],[LEN]]*7.27,0)</f>
        <v>102</v>
      </c>
      <c r="M100" s="107">
        <v>15</v>
      </c>
      <c r="N100" s="125" t="str">
        <f t="shared" si="1"/>
        <v>none</v>
      </c>
      <c r="O100" s="107">
        <f>LEN(Tableau17[[#This Row],[LABEL]])</f>
        <v>14</v>
      </c>
      <c r="P100" s="107">
        <v>15</v>
      </c>
      <c r="Q100" s="107" t="e">
        <f>ROUND(Tableau17[[#This Row],[LEN]]*#REF!+#REF!,0)</f>
        <v>#REF!</v>
      </c>
    </row>
    <row r="101" spans="1:17" s="273" customFormat="1" x14ac:dyDescent="0.25">
      <c r="A101" s="266" t="s">
        <v>235</v>
      </c>
      <c r="B101" s="267" t="s">
        <v>205</v>
      </c>
      <c r="C101" s="268" t="s">
        <v>80</v>
      </c>
      <c r="D101" s="269" t="s">
        <v>1177</v>
      </c>
      <c r="E101" s="268" t="s">
        <v>667</v>
      </c>
      <c r="F101" s="268" t="s">
        <v>1177</v>
      </c>
      <c r="G101" s="269" t="s">
        <v>167</v>
      </c>
      <c r="H101" s="269" t="str">
        <f>IFERROR(IF(SEARCH(".00.00.00.00.00",Tableau17[[#This Row],[name]],1)=7,"Division",""),"")</f>
        <v>Division</v>
      </c>
      <c r="I101" s="268"/>
      <c r="J101" s="270" t="s">
        <v>708</v>
      </c>
      <c r="K101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1" s="271">
        <f>ROUND(Tableau17[[#This Row],[LEN]]*7.27,0)</f>
        <v>116</v>
      </c>
      <c r="M101" s="271">
        <v>15</v>
      </c>
      <c r="N101" s="272" t="str">
        <f t="shared" si="1"/>
        <v>none</v>
      </c>
      <c r="O101" s="271">
        <f>LEN(Tableau17[[#This Row],[LABEL]])</f>
        <v>16</v>
      </c>
      <c r="P101" s="271">
        <v>15</v>
      </c>
      <c r="Q101" s="271" t="e">
        <f>ROUND(Tableau17[[#This Row],[LEN]]*#REF!+#REF!,0)</f>
        <v>#REF!</v>
      </c>
    </row>
    <row r="102" spans="1:17" s="97" customFormat="1" x14ac:dyDescent="0.25">
      <c r="A102" s="17" t="s">
        <v>965</v>
      </c>
      <c r="B102" s="18" t="s">
        <v>235</v>
      </c>
      <c r="C102" s="19" t="s">
        <v>81</v>
      </c>
      <c r="D102" s="68" t="s">
        <v>1177</v>
      </c>
      <c r="E102" s="19" t="s">
        <v>667</v>
      </c>
      <c r="F102" s="19" t="s">
        <v>1963</v>
      </c>
      <c r="G102" s="68" t="s">
        <v>167</v>
      </c>
      <c r="H102" s="68" t="s">
        <v>655</v>
      </c>
      <c r="I102" s="19"/>
      <c r="J102" s="20" t="s">
        <v>708</v>
      </c>
      <c r="K10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" s="107">
        <f>ROUND(Tableau17[[#This Row],[LEN]]*7.27,0)</f>
        <v>73</v>
      </c>
      <c r="M102" s="107">
        <v>15</v>
      </c>
      <c r="N102" s="125" t="str">
        <f t="shared" si="1"/>
        <v>none</v>
      </c>
      <c r="O102" s="107">
        <f>LEN(Tableau17[[#This Row],[LABEL]])</f>
        <v>10</v>
      </c>
      <c r="P102" s="107">
        <v>15</v>
      </c>
      <c r="Q102" s="107" t="e">
        <f>ROUND(Tableau17[[#This Row],[LEN]]*#REF!+#REF!,0)</f>
        <v>#REF!</v>
      </c>
    </row>
    <row r="103" spans="1:17" s="97" customFormat="1" x14ac:dyDescent="0.25">
      <c r="A103" s="21" t="s">
        <v>974</v>
      </c>
      <c r="B103" s="22" t="s">
        <v>965</v>
      </c>
      <c r="C103" s="23" t="s">
        <v>978</v>
      </c>
      <c r="D103" s="69" t="s">
        <v>1177</v>
      </c>
      <c r="E103" s="23" t="s">
        <v>667</v>
      </c>
      <c r="F103" s="23" t="s">
        <v>1963</v>
      </c>
      <c r="G103" s="69" t="s">
        <v>167</v>
      </c>
      <c r="H103" s="69" t="s">
        <v>570</v>
      </c>
      <c r="I103" s="23"/>
      <c r="J103" s="24" t="s">
        <v>708</v>
      </c>
      <c r="K10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" s="108">
        <f>ROUND(Tableau17[[#This Row],[LEN]]*7.27,0)</f>
        <v>87</v>
      </c>
      <c r="M103" s="108">
        <v>15</v>
      </c>
      <c r="N103" s="126" t="str">
        <f t="shared" si="1"/>
        <v>none</v>
      </c>
      <c r="O103" s="108">
        <f>LEN(Tableau17[[#This Row],[LABEL]])</f>
        <v>12</v>
      </c>
      <c r="P103" s="108">
        <v>15</v>
      </c>
      <c r="Q103" s="108" t="e">
        <f>ROUND(Tableau17[[#This Row],[LEN]]*#REF!+#REF!,0)</f>
        <v>#REF!</v>
      </c>
    </row>
    <row r="104" spans="1:17" s="97" customFormat="1" x14ac:dyDescent="0.25">
      <c r="A104" s="21" t="s">
        <v>975</v>
      </c>
      <c r="B104" s="22" t="s">
        <v>965</v>
      </c>
      <c r="C104" s="23" t="s">
        <v>979</v>
      </c>
      <c r="D104" s="69" t="s">
        <v>1177</v>
      </c>
      <c r="E104" s="23" t="s">
        <v>667</v>
      </c>
      <c r="F104" s="23" t="s">
        <v>1963</v>
      </c>
      <c r="G104" s="69" t="s">
        <v>167</v>
      </c>
      <c r="H104" s="69" t="s">
        <v>570</v>
      </c>
      <c r="I104" s="23"/>
      <c r="J104" s="24" t="s">
        <v>708</v>
      </c>
      <c r="K10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" s="108">
        <f>ROUND(Tableau17[[#This Row],[LEN]]*7.27,0)</f>
        <v>211</v>
      </c>
      <c r="M104" s="108">
        <v>15</v>
      </c>
      <c r="N104" s="126" t="str">
        <f t="shared" si="1"/>
        <v>none</v>
      </c>
      <c r="O104" s="108">
        <f>LEN(Tableau17[[#This Row],[LABEL]])</f>
        <v>29</v>
      </c>
      <c r="P104" s="108">
        <v>15</v>
      </c>
      <c r="Q104" s="108" t="e">
        <f>ROUND(Tableau17[[#This Row],[LEN]]*#REF!+#REF!,0)</f>
        <v>#REF!</v>
      </c>
    </row>
    <row r="105" spans="1:17" s="97" customFormat="1" x14ac:dyDescent="0.25">
      <c r="A105" s="21" t="s">
        <v>976</v>
      </c>
      <c r="B105" s="22" t="s">
        <v>965</v>
      </c>
      <c r="C105" s="23" t="s">
        <v>980</v>
      </c>
      <c r="D105" s="69" t="s">
        <v>1177</v>
      </c>
      <c r="E105" s="23" t="s">
        <v>667</v>
      </c>
      <c r="F105" s="23" t="s">
        <v>1963</v>
      </c>
      <c r="G105" s="69" t="s">
        <v>167</v>
      </c>
      <c r="H105" s="69" t="s">
        <v>570</v>
      </c>
      <c r="I105" s="23"/>
      <c r="J105" s="24" t="s">
        <v>708</v>
      </c>
      <c r="K10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" s="108">
        <f>ROUND(Tableau17[[#This Row],[LEN]]*7.27,0)</f>
        <v>182</v>
      </c>
      <c r="M105" s="108">
        <v>15</v>
      </c>
      <c r="N105" s="126" t="str">
        <f t="shared" si="1"/>
        <v>none</v>
      </c>
      <c r="O105" s="108">
        <f>LEN(Tableau17[[#This Row],[LABEL]])</f>
        <v>25</v>
      </c>
      <c r="P105" s="108">
        <v>15</v>
      </c>
      <c r="Q105" s="108" t="e">
        <f>ROUND(Tableau17[[#This Row],[LEN]]*#REF!+#REF!,0)</f>
        <v>#REF!</v>
      </c>
    </row>
    <row r="106" spans="1:17" s="97" customFormat="1" x14ac:dyDescent="0.25">
      <c r="A106" s="21" t="s">
        <v>977</v>
      </c>
      <c r="B106" s="22" t="s">
        <v>965</v>
      </c>
      <c r="C106" s="23" t="s">
        <v>981</v>
      </c>
      <c r="D106" s="69" t="s">
        <v>1177</v>
      </c>
      <c r="E106" s="23" t="s">
        <v>667</v>
      </c>
      <c r="F106" s="23" t="s">
        <v>1963</v>
      </c>
      <c r="G106" s="69" t="s">
        <v>167</v>
      </c>
      <c r="H106" s="69" t="s">
        <v>570</v>
      </c>
      <c r="I106" s="23"/>
      <c r="J106" s="24" t="s">
        <v>708</v>
      </c>
      <c r="K10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" s="108">
        <f>ROUND(Tableau17[[#This Row],[LEN]]*7.27,0)</f>
        <v>305</v>
      </c>
      <c r="M106" s="108">
        <v>15</v>
      </c>
      <c r="N106" s="126" t="str">
        <f t="shared" si="1"/>
        <v>none</v>
      </c>
      <c r="O106" s="108">
        <f>LEN(Tableau17[[#This Row],[LABEL]])</f>
        <v>42</v>
      </c>
      <c r="P106" s="108">
        <v>15</v>
      </c>
      <c r="Q106" s="108" t="e">
        <f>ROUND(Tableau17[[#This Row],[LEN]]*#REF!+#REF!,0)</f>
        <v>#REF!</v>
      </c>
    </row>
    <row r="107" spans="1:17" s="97" customFormat="1" x14ac:dyDescent="0.25">
      <c r="A107" s="17" t="s">
        <v>966</v>
      </c>
      <c r="B107" s="18" t="s">
        <v>235</v>
      </c>
      <c r="C107" s="19" t="s">
        <v>961</v>
      </c>
      <c r="D107" s="68" t="s">
        <v>1177</v>
      </c>
      <c r="E107" s="19" t="s">
        <v>970</v>
      </c>
      <c r="F107" s="19" t="s">
        <v>1177</v>
      </c>
      <c r="G107" s="68" t="s">
        <v>167</v>
      </c>
      <c r="H107" s="68" t="s">
        <v>656</v>
      </c>
      <c r="I107" s="19"/>
      <c r="J107" s="20" t="s">
        <v>708</v>
      </c>
      <c r="K10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" s="107">
        <f>ROUND(Tableau17[[#This Row],[LEN]]*7.27,0)</f>
        <v>305</v>
      </c>
      <c r="M107" s="107">
        <v>15</v>
      </c>
      <c r="N107" s="125" t="str">
        <f t="shared" si="1"/>
        <v>none</v>
      </c>
      <c r="O107" s="107">
        <f>LEN(Tableau17[[#This Row],[LABEL]])</f>
        <v>42</v>
      </c>
      <c r="P107" s="107">
        <v>15</v>
      </c>
      <c r="Q107" s="107" t="e">
        <f>ROUND(Tableau17[[#This Row],[LEN]]*#REF!+#REF!,0)</f>
        <v>#REF!</v>
      </c>
    </row>
    <row r="108" spans="1:17" s="97" customFormat="1" x14ac:dyDescent="0.25">
      <c r="A108" s="17" t="s">
        <v>967</v>
      </c>
      <c r="B108" s="18" t="s">
        <v>235</v>
      </c>
      <c r="C108" s="19" t="s">
        <v>971</v>
      </c>
      <c r="D108" s="68" t="s">
        <v>1177</v>
      </c>
      <c r="E108" s="19" t="s">
        <v>667</v>
      </c>
      <c r="F108" s="19" t="s">
        <v>678</v>
      </c>
      <c r="G108" s="68" t="s">
        <v>167</v>
      </c>
      <c r="H108" s="68" t="s">
        <v>570</v>
      </c>
      <c r="I108" s="19"/>
      <c r="J108" s="20" t="s">
        <v>708</v>
      </c>
      <c r="K10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" s="107">
        <f>ROUND(Tableau17[[#This Row],[LEN]]*7.27,0)</f>
        <v>385</v>
      </c>
      <c r="M108" s="107">
        <v>15</v>
      </c>
      <c r="N108" s="125" t="str">
        <f t="shared" si="1"/>
        <v>none</v>
      </c>
      <c r="O108" s="107">
        <f>LEN(Tableau17[[#This Row],[LABEL]])</f>
        <v>53</v>
      </c>
      <c r="P108" s="107">
        <v>15</v>
      </c>
      <c r="Q108" s="107" t="e">
        <f>ROUND(Tableau17[[#This Row],[LEN]]*#REF!+#REF!,0)</f>
        <v>#REF!</v>
      </c>
    </row>
    <row r="109" spans="1:17" s="97" customFormat="1" x14ac:dyDescent="0.25">
      <c r="A109" s="17" t="s">
        <v>968</v>
      </c>
      <c r="B109" s="18" t="s">
        <v>235</v>
      </c>
      <c r="C109" s="19" t="s">
        <v>972</v>
      </c>
      <c r="D109" s="68" t="s">
        <v>1177</v>
      </c>
      <c r="E109" s="19" t="s">
        <v>667</v>
      </c>
      <c r="F109" s="19" t="s">
        <v>1177</v>
      </c>
      <c r="G109" s="68" t="s">
        <v>167</v>
      </c>
      <c r="H109" s="68" t="s">
        <v>18</v>
      </c>
      <c r="I109" s="19"/>
      <c r="J109" s="20" t="s">
        <v>708</v>
      </c>
      <c r="K109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" s="107">
        <f>ROUND(Tableau17[[#This Row],[LEN]]*7.27,0)</f>
        <v>182</v>
      </c>
      <c r="M109" s="107">
        <v>15</v>
      </c>
      <c r="N109" s="125" t="str">
        <f t="shared" si="1"/>
        <v>none</v>
      </c>
      <c r="O109" s="107">
        <f>LEN(Tableau17[[#This Row],[LABEL]])</f>
        <v>25</v>
      </c>
      <c r="P109" s="107">
        <v>15</v>
      </c>
      <c r="Q109" s="107" t="e">
        <f>ROUND(Tableau17[[#This Row],[LEN]]*#REF!+#REF!,0)</f>
        <v>#REF!</v>
      </c>
    </row>
    <row r="110" spans="1:17" s="97" customFormat="1" x14ac:dyDescent="0.25">
      <c r="A110" s="17" t="s">
        <v>969</v>
      </c>
      <c r="B110" s="18" t="s">
        <v>235</v>
      </c>
      <c r="C110" s="19" t="s">
        <v>110</v>
      </c>
      <c r="D110" s="68" t="s">
        <v>1177</v>
      </c>
      <c r="E110" s="19" t="s">
        <v>1177</v>
      </c>
      <c r="F110" s="19" t="s">
        <v>1084</v>
      </c>
      <c r="G110" s="68" t="s">
        <v>1977</v>
      </c>
      <c r="H110" s="68" t="s">
        <v>1131</v>
      </c>
      <c r="I110" s="19"/>
      <c r="J110" s="20" t="s">
        <v>708</v>
      </c>
      <c r="K11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" s="107">
        <f>ROUND(Tableau17[[#This Row],[LEN]]*7.27,0)</f>
        <v>102</v>
      </c>
      <c r="M110" s="107">
        <v>15</v>
      </c>
      <c r="N110" s="125" t="str">
        <f t="shared" si="1"/>
        <v>none</v>
      </c>
      <c r="O110" s="107">
        <f>LEN(Tableau17[[#This Row],[LABEL]])</f>
        <v>14</v>
      </c>
      <c r="P110" s="107">
        <v>15</v>
      </c>
      <c r="Q110" s="107" t="e">
        <f>ROUND(Tableau17[[#This Row],[LEN]]*#REF!+#REF!,0)</f>
        <v>#REF!</v>
      </c>
    </row>
    <row r="111" spans="1:17" s="273" customFormat="1" x14ac:dyDescent="0.25">
      <c r="A111" s="266" t="s">
        <v>236</v>
      </c>
      <c r="B111" s="267" t="s">
        <v>205</v>
      </c>
      <c r="C111" s="268" t="s">
        <v>5</v>
      </c>
      <c r="D111" s="269" t="s">
        <v>1177</v>
      </c>
      <c r="E111" s="268" t="s">
        <v>668</v>
      </c>
      <c r="F111" s="268" t="s">
        <v>1177</v>
      </c>
      <c r="G111" s="269" t="s">
        <v>167</v>
      </c>
      <c r="H111" s="269" t="str">
        <f>IFERROR(IF(SEARCH(".00.00.00.00.00",Tableau17[[#This Row],[name]],1)=7,"Division",""),"")</f>
        <v>Division</v>
      </c>
      <c r="I111" s="268"/>
      <c r="J111" s="270" t="s">
        <v>708</v>
      </c>
      <c r="K111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" s="271">
        <f>ROUND(Tableau17[[#This Row],[LEN]]*7.27,0)</f>
        <v>73</v>
      </c>
      <c r="M111" s="271">
        <v>15</v>
      </c>
      <c r="N111" s="272" t="str">
        <f t="shared" si="1"/>
        <v>none</v>
      </c>
      <c r="O111" s="271">
        <f>LEN(Tableau17[[#This Row],[LABEL]])</f>
        <v>10</v>
      </c>
      <c r="P111" s="271">
        <v>15</v>
      </c>
      <c r="Q111" s="271" t="e">
        <f>ROUND(Tableau17[[#This Row],[LEN]]*#REF!+#REF!,0)</f>
        <v>#REF!</v>
      </c>
    </row>
    <row r="112" spans="1:17" s="97" customFormat="1" x14ac:dyDescent="0.25">
      <c r="A112" s="17" t="s">
        <v>982</v>
      </c>
      <c r="B112" s="18" t="s">
        <v>236</v>
      </c>
      <c r="C112" s="19" t="s">
        <v>983</v>
      </c>
      <c r="D112" s="68" t="s">
        <v>1177</v>
      </c>
      <c r="E112" s="19" t="s">
        <v>668</v>
      </c>
      <c r="F112" s="19" t="s">
        <v>1177</v>
      </c>
      <c r="G112" s="68" t="s">
        <v>167</v>
      </c>
      <c r="H112" s="68" t="s">
        <v>18</v>
      </c>
      <c r="I112" s="19"/>
      <c r="J112" s="20" t="s">
        <v>708</v>
      </c>
      <c r="K11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" s="107">
        <f>ROUND(Tableau17[[#This Row],[LEN]]*7.27,0)</f>
        <v>371</v>
      </c>
      <c r="M112" s="107">
        <v>15</v>
      </c>
      <c r="N112" s="125" t="str">
        <f t="shared" si="1"/>
        <v>none</v>
      </c>
      <c r="O112" s="107">
        <f>LEN(Tableau17[[#This Row],[LABEL]])</f>
        <v>51</v>
      </c>
      <c r="P112" s="107">
        <v>15</v>
      </c>
      <c r="Q112" s="107" t="e">
        <f>ROUND(Tableau17[[#This Row],[LEN]]*#REF!+#REF!,0)</f>
        <v>#REF!</v>
      </c>
    </row>
    <row r="113" spans="1:17" s="273" customFormat="1" x14ac:dyDescent="0.25">
      <c r="A113" s="266" t="s">
        <v>237</v>
      </c>
      <c r="B113" s="267" t="s">
        <v>205</v>
      </c>
      <c r="C113" s="268" t="s">
        <v>6</v>
      </c>
      <c r="D113" s="269" t="s">
        <v>1177</v>
      </c>
      <c r="E113" s="268" t="s">
        <v>669</v>
      </c>
      <c r="F113" s="268" t="s">
        <v>1177</v>
      </c>
      <c r="G113" s="269" t="s">
        <v>167</v>
      </c>
      <c r="H113" s="269" t="str">
        <f>IFERROR(IF(SEARCH(".00.00.00.00.00",Tableau17[[#This Row],[name]],1)=7,"Division",""),"")</f>
        <v>Division</v>
      </c>
      <c r="I113" s="268"/>
      <c r="J113" s="270" t="s">
        <v>708</v>
      </c>
      <c r="K113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3" s="271">
        <f>ROUND(Tableau17[[#This Row],[LEN]]*7.27,0)</f>
        <v>196</v>
      </c>
      <c r="M113" s="271">
        <v>15</v>
      </c>
      <c r="N113" s="272" t="str">
        <f t="shared" si="1"/>
        <v>none</v>
      </c>
      <c r="O113" s="271">
        <f>LEN(Tableau17[[#This Row],[LABEL]])</f>
        <v>27</v>
      </c>
      <c r="P113" s="271">
        <v>15</v>
      </c>
      <c r="Q113" s="271" t="e">
        <f>ROUND(Tableau17[[#This Row],[LEN]]*#REF!+#REF!,0)</f>
        <v>#REF!</v>
      </c>
    </row>
    <row r="114" spans="1:17" s="97" customFormat="1" x14ac:dyDescent="0.25">
      <c r="A114" s="17" t="s">
        <v>382</v>
      </c>
      <c r="B114" s="18" t="s">
        <v>237</v>
      </c>
      <c r="C114" s="19" t="s">
        <v>81</v>
      </c>
      <c r="D114" s="68" t="s">
        <v>1177</v>
      </c>
      <c r="E114" s="19" t="s">
        <v>667</v>
      </c>
      <c r="F114" s="19" t="s">
        <v>702</v>
      </c>
      <c r="G114" s="68" t="s">
        <v>167</v>
      </c>
      <c r="H114" s="68" t="s">
        <v>654</v>
      </c>
      <c r="I114" s="19"/>
      <c r="J114" s="20" t="s">
        <v>708</v>
      </c>
      <c r="K11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" s="107">
        <f>ROUND(Tableau17[[#This Row],[LEN]]*7.27,0)</f>
        <v>73</v>
      </c>
      <c r="M114" s="107">
        <v>15</v>
      </c>
      <c r="N114" s="125" t="str">
        <f t="shared" si="1"/>
        <v>none</v>
      </c>
      <c r="O114" s="107">
        <f>LEN(Tableau17[[#This Row],[LABEL]])</f>
        <v>10</v>
      </c>
      <c r="P114" s="107">
        <v>15</v>
      </c>
      <c r="Q114" s="107" t="e">
        <f>ROUND(Tableau17[[#This Row],[LEN]]*#REF!+#REF!,0)</f>
        <v>#REF!</v>
      </c>
    </row>
    <row r="115" spans="1:17" s="97" customFormat="1" x14ac:dyDescent="0.25">
      <c r="A115" s="17" t="s">
        <v>383</v>
      </c>
      <c r="B115" s="18" t="s">
        <v>237</v>
      </c>
      <c r="C115" s="19" t="s">
        <v>136</v>
      </c>
      <c r="D115" s="68" t="s">
        <v>1177</v>
      </c>
      <c r="E115" s="19" t="s">
        <v>669</v>
      </c>
      <c r="F115" s="19" t="s">
        <v>678</v>
      </c>
      <c r="G115" s="68" t="s">
        <v>167</v>
      </c>
      <c r="H115" s="68" t="s">
        <v>656</v>
      </c>
      <c r="I115" s="19"/>
      <c r="J115" s="20" t="s">
        <v>708</v>
      </c>
      <c r="K11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" s="107">
        <f>ROUND(Tableau17[[#This Row],[LEN]]*7.27,0)</f>
        <v>174</v>
      </c>
      <c r="M115" s="107">
        <v>15</v>
      </c>
      <c r="N115" s="125" t="str">
        <f t="shared" si="1"/>
        <v>none</v>
      </c>
      <c r="O115" s="107">
        <f>LEN(Tableau17[[#This Row],[LABEL]])</f>
        <v>24</v>
      </c>
      <c r="P115" s="107">
        <v>15</v>
      </c>
      <c r="Q115" s="107" t="e">
        <f>ROUND(Tableau17[[#This Row],[LEN]]*#REF!+#REF!,0)</f>
        <v>#REF!</v>
      </c>
    </row>
    <row r="116" spans="1:17" s="97" customFormat="1" x14ac:dyDescent="0.25">
      <c r="A116" s="17" t="s">
        <v>384</v>
      </c>
      <c r="B116" s="18" t="s">
        <v>237</v>
      </c>
      <c r="C116" s="19" t="s">
        <v>110</v>
      </c>
      <c r="D116" s="68" t="s">
        <v>1177</v>
      </c>
      <c r="E116" s="19" t="s">
        <v>1177</v>
      </c>
      <c r="F116" s="19" t="s">
        <v>1084</v>
      </c>
      <c r="G116" s="68" t="s">
        <v>1977</v>
      </c>
      <c r="H116" s="68" t="s">
        <v>1131</v>
      </c>
      <c r="I116" s="19"/>
      <c r="J116" s="20" t="s">
        <v>708</v>
      </c>
      <c r="K116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" s="107">
        <f>ROUND(Tableau17[[#This Row],[LEN]]*7.27,0)</f>
        <v>102</v>
      </c>
      <c r="M116" s="107">
        <v>15</v>
      </c>
      <c r="N116" s="125" t="str">
        <f t="shared" si="1"/>
        <v>none</v>
      </c>
      <c r="O116" s="107">
        <f>LEN(Tableau17[[#This Row],[LABEL]])</f>
        <v>14</v>
      </c>
      <c r="P116" s="107">
        <v>15</v>
      </c>
      <c r="Q116" s="107" t="e">
        <f>ROUND(Tableau17[[#This Row],[LEN]]*#REF!+#REF!,0)</f>
        <v>#REF!</v>
      </c>
    </row>
    <row r="117" spans="1:17" s="273" customFormat="1" x14ac:dyDescent="0.25">
      <c r="A117" s="266" t="s">
        <v>240</v>
      </c>
      <c r="B117" s="267" t="s">
        <v>205</v>
      </c>
      <c r="C117" s="268" t="s">
        <v>9</v>
      </c>
      <c r="D117" s="269" t="s">
        <v>1177</v>
      </c>
      <c r="E117" s="268" t="s">
        <v>672</v>
      </c>
      <c r="F117" s="268" t="s">
        <v>1177</v>
      </c>
      <c r="G117" s="269" t="s">
        <v>167</v>
      </c>
      <c r="H117" s="269" t="str">
        <f>IFERROR(IF(SEARCH(".00.00.00.00.00",Tableau17[[#This Row],[name]],1)=7,"Division",""),"")</f>
        <v>Division</v>
      </c>
      <c r="I117" s="268"/>
      <c r="J117" s="270" t="s">
        <v>718</v>
      </c>
      <c r="K117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" s="271">
        <f>ROUND(Tableau17[[#This Row],[LEN]]*7.27,0)</f>
        <v>80</v>
      </c>
      <c r="M117" s="271">
        <v>15</v>
      </c>
      <c r="N117" s="272" t="str">
        <f t="shared" si="1"/>
        <v>new</v>
      </c>
      <c r="O117" s="271">
        <f>LEN(Tableau17[[#This Row],[LABEL]])</f>
        <v>11</v>
      </c>
      <c r="P117" s="271">
        <v>15</v>
      </c>
      <c r="Q117" s="271" t="e">
        <f>ROUND(Tableau17[[#This Row],[LEN]]*#REF!+#REF!,0)</f>
        <v>#REF!</v>
      </c>
    </row>
    <row r="118" spans="1:17" s="97" customFormat="1" x14ac:dyDescent="0.25">
      <c r="A118" s="17" t="s">
        <v>372</v>
      </c>
      <c r="B118" s="18" t="s">
        <v>240</v>
      </c>
      <c r="C118" s="19" t="s">
        <v>81</v>
      </c>
      <c r="D118" s="68" t="s">
        <v>1177</v>
      </c>
      <c r="E118" s="19" t="s">
        <v>672</v>
      </c>
      <c r="F118" s="19" t="s">
        <v>2077</v>
      </c>
      <c r="G118" s="68" t="s">
        <v>167</v>
      </c>
      <c r="H118" s="68" t="s">
        <v>655</v>
      </c>
      <c r="I118" s="19"/>
      <c r="J118" s="20" t="s">
        <v>708</v>
      </c>
      <c r="K11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" s="107">
        <f>ROUND(Tableau17[[#This Row],[LEN]]*7.27,0)</f>
        <v>73</v>
      </c>
      <c r="M118" s="107">
        <v>15</v>
      </c>
      <c r="N118" s="125" t="str">
        <f t="shared" si="1"/>
        <v>none</v>
      </c>
      <c r="O118" s="107">
        <f>LEN(Tableau17[[#This Row],[LABEL]])</f>
        <v>10</v>
      </c>
      <c r="P118" s="107">
        <v>15</v>
      </c>
      <c r="Q118" s="107" t="e">
        <f>ROUND(Tableau17[[#This Row],[LEN]]*#REF!+#REF!,0)</f>
        <v>#REF!</v>
      </c>
    </row>
    <row r="119" spans="1:17" s="97" customFormat="1" x14ac:dyDescent="0.25">
      <c r="A119" s="21" t="s">
        <v>385</v>
      </c>
      <c r="B119" s="22" t="s">
        <v>372</v>
      </c>
      <c r="C119" s="23" t="s">
        <v>187</v>
      </c>
      <c r="D119" s="69" t="s">
        <v>1177</v>
      </c>
      <c r="E119" s="23" t="s">
        <v>672</v>
      </c>
      <c r="F119" s="23" t="s">
        <v>2077</v>
      </c>
      <c r="G119" s="69" t="s">
        <v>167</v>
      </c>
      <c r="H119" s="69" t="s">
        <v>570</v>
      </c>
      <c r="I119" s="23"/>
      <c r="J119" s="24" t="s">
        <v>708</v>
      </c>
      <c r="K11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" s="108">
        <f>ROUND(Tableau17[[#This Row],[LEN]]*7.27,0)</f>
        <v>305</v>
      </c>
      <c r="M119" s="108">
        <v>15</v>
      </c>
      <c r="N119" s="126" t="str">
        <f t="shared" si="1"/>
        <v>none</v>
      </c>
      <c r="O119" s="108">
        <f>LEN(Tableau17[[#This Row],[LABEL]])</f>
        <v>42</v>
      </c>
      <c r="P119" s="108">
        <v>15</v>
      </c>
      <c r="Q119" s="108" t="e">
        <f>ROUND(Tableau17[[#This Row],[LEN]]*#REF!+#REF!,0)</f>
        <v>#REF!</v>
      </c>
    </row>
    <row r="120" spans="1:17" s="97" customFormat="1" x14ac:dyDescent="0.25">
      <c r="A120" s="21" t="s">
        <v>386</v>
      </c>
      <c r="B120" s="22" t="s">
        <v>372</v>
      </c>
      <c r="C120" s="23" t="s">
        <v>188</v>
      </c>
      <c r="D120" s="69" t="s">
        <v>1177</v>
      </c>
      <c r="E120" s="23" t="s">
        <v>672</v>
      </c>
      <c r="F120" s="23" t="s">
        <v>2077</v>
      </c>
      <c r="G120" s="69" t="s">
        <v>167</v>
      </c>
      <c r="H120" s="69" t="s">
        <v>570</v>
      </c>
      <c r="I120" s="23"/>
      <c r="J120" s="24" t="s">
        <v>708</v>
      </c>
      <c r="K12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" s="108">
        <f>ROUND(Tableau17[[#This Row],[LEN]]*7.27,0)</f>
        <v>196</v>
      </c>
      <c r="M120" s="108">
        <v>15</v>
      </c>
      <c r="N120" s="126" t="str">
        <f t="shared" si="1"/>
        <v>none</v>
      </c>
      <c r="O120" s="108">
        <f>LEN(Tableau17[[#This Row],[LABEL]])</f>
        <v>27</v>
      </c>
      <c r="P120" s="108">
        <v>15</v>
      </c>
      <c r="Q120" s="108" t="e">
        <f>ROUND(Tableau17[[#This Row],[LEN]]*#REF!+#REF!,0)</f>
        <v>#REF!</v>
      </c>
    </row>
    <row r="121" spans="1:17" s="97" customFormat="1" x14ac:dyDescent="0.25">
      <c r="A121" s="21" t="s">
        <v>387</v>
      </c>
      <c r="B121" s="22" t="s">
        <v>372</v>
      </c>
      <c r="C121" s="23" t="s">
        <v>189</v>
      </c>
      <c r="D121" s="69" t="s">
        <v>1177</v>
      </c>
      <c r="E121" s="23" t="s">
        <v>672</v>
      </c>
      <c r="F121" s="23" t="s">
        <v>2077</v>
      </c>
      <c r="G121" s="69" t="s">
        <v>167</v>
      </c>
      <c r="H121" s="69" t="s">
        <v>570</v>
      </c>
      <c r="I121" s="23"/>
      <c r="J121" s="24" t="s">
        <v>708</v>
      </c>
      <c r="K12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1" s="108">
        <f>ROUND(Tableau17[[#This Row],[LEN]]*7.27,0)</f>
        <v>291</v>
      </c>
      <c r="M121" s="108">
        <v>15</v>
      </c>
      <c r="N121" s="126" t="str">
        <f t="shared" si="1"/>
        <v>none</v>
      </c>
      <c r="O121" s="108">
        <f>LEN(Tableau17[[#This Row],[LABEL]])</f>
        <v>40</v>
      </c>
      <c r="P121" s="108">
        <v>15</v>
      </c>
      <c r="Q121" s="108" t="e">
        <f>ROUND(Tableau17[[#This Row],[LEN]]*#REF!+#REF!,0)</f>
        <v>#REF!</v>
      </c>
    </row>
    <row r="122" spans="1:17" s="97" customFormat="1" x14ac:dyDescent="0.25">
      <c r="A122" s="21" t="s">
        <v>388</v>
      </c>
      <c r="B122" s="22" t="s">
        <v>372</v>
      </c>
      <c r="C122" s="23" t="s">
        <v>190</v>
      </c>
      <c r="D122" s="69" t="s">
        <v>1177</v>
      </c>
      <c r="E122" s="23" t="s">
        <v>672</v>
      </c>
      <c r="F122" s="23" t="s">
        <v>2077</v>
      </c>
      <c r="G122" s="69" t="s">
        <v>167</v>
      </c>
      <c r="H122" s="69" t="s">
        <v>570</v>
      </c>
      <c r="I122" s="23"/>
      <c r="J122" s="24" t="s">
        <v>708</v>
      </c>
      <c r="K12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2" s="108">
        <f>ROUND(Tableau17[[#This Row],[LEN]]*7.27,0)</f>
        <v>240</v>
      </c>
      <c r="M122" s="108">
        <v>15</v>
      </c>
      <c r="N122" s="126" t="str">
        <f t="shared" si="1"/>
        <v>none</v>
      </c>
      <c r="O122" s="108">
        <f>LEN(Tableau17[[#This Row],[LABEL]])</f>
        <v>33</v>
      </c>
      <c r="P122" s="108">
        <v>15</v>
      </c>
      <c r="Q122" s="108" t="e">
        <f>ROUND(Tableau17[[#This Row],[LEN]]*#REF!+#REF!,0)</f>
        <v>#REF!</v>
      </c>
    </row>
    <row r="123" spans="1:17" s="97" customFormat="1" x14ac:dyDescent="0.25">
      <c r="A123" s="21" t="s">
        <v>389</v>
      </c>
      <c r="B123" s="22" t="s">
        <v>372</v>
      </c>
      <c r="C123" s="23" t="s">
        <v>191</v>
      </c>
      <c r="D123" s="69" t="s">
        <v>1177</v>
      </c>
      <c r="E123" s="23" t="s">
        <v>672</v>
      </c>
      <c r="F123" s="23" t="s">
        <v>2077</v>
      </c>
      <c r="G123" s="69" t="s">
        <v>167</v>
      </c>
      <c r="H123" s="69" t="s">
        <v>570</v>
      </c>
      <c r="I123" s="23"/>
      <c r="J123" s="24" t="s">
        <v>708</v>
      </c>
      <c r="K12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3" s="108">
        <f>ROUND(Tableau17[[#This Row],[LEN]]*7.27,0)</f>
        <v>233</v>
      </c>
      <c r="M123" s="108">
        <v>15</v>
      </c>
      <c r="N123" s="126" t="str">
        <f t="shared" si="1"/>
        <v>none</v>
      </c>
      <c r="O123" s="108">
        <f>LEN(Tableau17[[#This Row],[LABEL]])</f>
        <v>32</v>
      </c>
      <c r="P123" s="108">
        <v>15</v>
      </c>
      <c r="Q123" s="108" t="e">
        <f>ROUND(Tableau17[[#This Row],[LEN]]*#REF!+#REF!,0)</f>
        <v>#REF!</v>
      </c>
    </row>
    <row r="124" spans="1:17" s="97" customFormat="1" x14ac:dyDescent="0.25">
      <c r="A124" s="21" t="s">
        <v>390</v>
      </c>
      <c r="B124" s="22" t="s">
        <v>372</v>
      </c>
      <c r="C124" s="23" t="s">
        <v>192</v>
      </c>
      <c r="D124" s="69" t="s">
        <v>1177</v>
      </c>
      <c r="E124" s="23" t="s">
        <v>672</v>
      </c>
      <c r="F124" s="23" t="s">
        <v>2077</v>
      </c>
      <c r="G124" s="69" t="s">
        <v>167</v>
      </c>
      <c r="H124" s="69" t="s">
        <v>570</v>
      </c>
      <c r="I124" s="23"/>
      <c r="J124" s="24" t="s">
        <v>708</v>
      </c>
      <c r="K12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4" s="108">
        <f>ROUND(Tableau17[[#This Row],[LEN]]*7.27,0)</f>
        <v>225</v>
      </c>
      <c r="M124" s="108">
        <v>15</v>
      </c>
      <c r="N124" s="126" t="str">
        <f t="shared" si="1"/>
        <v>none</v>
      </c>
      <c r="O124" s="108">
        <f>LEN(Tableau17[[#This Row],[LABEL]])</f>
        <v>31</v>
      </c>
      <c r="P124" s="108">
        <v>15</v>
      </c>
      <c r="Q124" s="108" t="e">
        <f>ROUND(Tableau17[[#This Row],[LEN]]*#REF!+#REF!,0)</f>
        <v>#REF!</v>
      </c>
    </row>
    <row r="125" spans="1:17" s="97" customFormat="1" x14ac:dyDescent="0.25">
      <c r="A125" s="21" t="s">
        <v>391</v>
      </c>
      <c r="B125" s="22" t="s">
        <v>372</v>
      </c>
      <c r="C125" s="23" t="s">
        <v>193</v>
      </c>
      <c r="D125" s="69" t="s">
        <v>1177</v>
      </c>
      <c r="E125" s="23" t="s">
        <v>672</v>
      </c>
      <c r="F125" s="23" t="s">
        <v>2077</v>
      </c>
      <c r="G125" s="69" t="s">
        <v>167</v>
      </c>
      <c r="H125" s="69" t="s">
        <v>570</v>
      </c>
      <c r="I125" s="23"/>
      <c r="J125" s="24" t="s">
        <v>708</v>
      </c>
      <c r="K12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5" s="108">
        <f>ROUND(Tableau17[[#This Row],[LEN]]*7.27,0)</f>
        <v>196</v>
      </c>
      <c r="M125" s="108">
        <v>15</v>
      </c>
      <c r="N125" s="126" t="str">
        <f t="shared" si="1"/>
        <v>none</v>
      </c>
      <c r="O125" s="108">
        <f>LEN(Tableau17[[#This Row],[LABEL]])</f>
        <v>27</v>
      </c>
      <c r="P125" s="108">
        <v>15</v>
      </c>
      <c r="Q125" s="108" t="e">
        <f>ROUND(Tableau17[[#This Row],[LEN]]*#REF!+#REF!,0)</f>
        <v>#REF!</v>
      </c>
    </row>
    <row r="126" spans="1:17" s="97" customFormat="1" x14ac:dyDescent="0.25">
      <c r="A126" s="21" t="s">
        <v>392</v>
      </c>
      <c r="B126" s="22" t="s">
        <v>372</v>
      </c>
      <c r="C126" s="23" t="s">
        <v>194</v>
      </c>
      <c r="D126" s="69" t="s">
        <v>1177</v>
      </c>
      <c r="E126" s="23" t="s">
        <v>672</v>
      </c>
      <c r="F126" s="23" t="s">
        <v>2077</v>
      </c>
      <c r="G126" s="69" t="s">
        <v>167</v>
      </c>
      <c r="H126" s="69" t="s">
        <v>570</v>
      </c>
      <c r="I126" s="23"/>
      <c r="J126" s="24" t="s">
        <v>708</v>
      </c>
      <c r="K12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6" s="108">
        <f>ROUND(Tableau17[[#This Row],[LEN]]*7.27,0)</f>
        <v>109</v>
      </c>
      <c r="M126" s="108">
        <v>15</v>
      </c>
      <c r="N126" s="126" t="str">
        <f t="shared" si="1"/>
        <v>none</v>
      </c>
      <c r="O126" s="108">
        <f>LEN(Tableau17[[#This Row],[LABEL]])</f>
        <v>15</v>
      </c>
      <c r="P126" s="108">
        <v>15</v>
      </c>
      <c r="Q126" s="108" t="e">
        <f>ROUND(Tableau17[[#This Row],[LEN]]*#REF!+#REF!,0)</f>
        <v>#REF!</v>
      </c>
    </row>
    <row r="127" spans="1:17" s="97" customFormat="1" x14ac:dyDescent="0.25">
      <c r="A127" s="21" t="s">
        <v>393</v>
      </c>
      <c r="B127" s="22" t="s">
        <v>372</v>
      </c>
      <c r="C127" s="23" t="s">
        <v>195</v>
      </c>
      <c r="D127" s="69" t="s">
        <v>1177</v>
      </c>
      <c r="E127" s="23" t="s">
        <v>672</v>
      </c>
      <c r="F127" s="23" t="s">
        <v>2077</v>
      </c>
      <c r="G127" s="69" t="s">
        <v>167</v>
      </c>
      <c r="H127" s="69" t="s">
        <v>570</v>
      </c>
      <c r="I127" s="23"/>
      <c r="J127" s="24" t="s">
        <v>708</v>
      </c>
      <c r="K12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7" s="108">
        <f>ROUND(Tableau17[[#This Row],[LEN]]*7.27,0)</f>
        <v>240</v>
      </c>
      <c r="M127" s="108">
        <v>15</v>
      </c>
      <c r="N127" s="126" t="str">
        <f t="shared" si="1"/>
        <v>none</v>
      </c>
      <c r="O127" s="108">
        <f>LEN(Tableau17[[#This Row],[LABEL]])</f>
        <v>33</v>
      </c>
      <c r="P127" s="108">
        <v>15</v>
      </c>
      <c r="Q127" s="108" t="e">
        <f>ROUND(Tableau17[[#This Row],[LEN]]*#REF!+#REF!,0)</f>
        <v>#REF!</v>
      </c>
    </row>
    <row r="128" spans="1:17" s="97" customFormat="1" x14ac:dyDescent="0.25">
      <c r="A128" s="21" t="s">
        <v>394</v>
      </c>
      <c r="B128" s="22" t="s">
        <v>372</v>
      </c>
      <c r="C128" s="23" t="s">
        <v>196</v>
      </c>
      <c r="D128" s="69" t="s">
        <v>1177</v>
      </c>
      <c r="E128" s="23" t="s">
        <v>672</v>
      </c>
      <c r="F128" s="23" t="s">
        <v>2077</v>
      </c>
      <c r="G128" s="69" t="s">
        <v>167</v>
      </c>
      <c r="H128" s="69" t="s">
        <v>570</v>
      </c>
      <c r="I128" s="23"/>
      <c r="J128" s="24" t="s">
        <v>708</v>
      </c>
      <c r="K12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8" s="108">
        <f>ROUND(Tableau17[[#This Row],[LEN]]*7.27,0)</f>
        <v>269</v>
      </c>
      <c r="M128" s="108">
        <v>15</v>
      </c>
      <c r="N128" s="126" t="str">
        <f t="shared" si="1"/>
        <v>none</v>
      </c>
      <c r="O128" s="108">
        <f>LEN(Tableau17[[#This Row],[LABEL]])</f>
        <v>37</v>
      </c>
      <c r="P128" s="108">
        <v>15</v>
      </c>
      <c r="Q128" s="108" t="e">
        <f>ROUND(Tableau17[[#This Row],[LEN]]*#REF!+#REF!,0)</f>
        <v>#REF!</v>
      </c>
    </row>
    <row r="129" spans="1:17" s="97" customFormat="1" x14ac:dyDescent="0.25">
      <c r="A129" s="21" t="s">
        <v>395</v>
      </c>
      <c r="B129" s="22" t="s">
        <v>372</v>
      </c>
      <c r="C129" s="23" t="s">
        <v>197</v>
      </c>
      <c r="D129" s="69" t="s">
        <v>1177</v>
      </c>
      <c r="E129" s="23" t="s">
        <v>672</v>
      </c>
      <c r="F129" s="23" t="s">
        <v>2077</v>
      </c>
      <c r="G129" s="69" t="s">
        <v>167</v>
      </c>
      <c r="H129" s="69" t="s">
        <v>570</v>
      </c>
      <c r="I129" s="23"/>
      <c r="J129" s="24" t="s">
        <v>708</v>
      </c>
      <c r="K12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9" s="108">
        <f>ROUND(Tableau17[[#This Row],[LEN]]*7.27,0)</f>
        <v>196</v>
      </c>
      <c r="M129" s="108">
        <v>15</v>
      </c>
      <c r="N129" s="126" t="str">
        <f t="shared" si="1"/>
        <v>none</v>
      </c>
      <c r="O129" s="108">
        <f>LEN(Tableau17[[#This Row],[LABEL]])</f>
        <v>27</v>
      </c>
      <c r="P129" s="108">
        <v>15</v>
      </c>
      <c r="Q129" s="108" t="e">
        <f>ROUND(Tableau17[[#This Row],[LEN]]*#REF!+#REF!,0)</f>
        <v>#REF!</v>
      </c>
    </row>
    <row r="130" spans="1:17" s="97" customFormat="1" x14ac:dyDescent="0.25">
      <c r="A130" s="17" t="s">
        <v>470</v>
      </c>
      <c r="B130" s="18" t="s">
        <v>240</v>
      </c>
      <c r="C130" s="19" t="s">
        <v>110</v>
      </c>
      <c r="D130" s="68" t="s">
        <v>1177</v>
      </c>
      <c r="E130" s="19" t="s">
        <v>1177</v>
      </c>
      <c r="F130" s="19" t="s">
        <v>1084</v>
      </c>
      <c r="G130" s="68" t="s">
        <v>1977</v>
      </c>
      <c r="H130" s="68" t="s">
        <v>1131</v>
      </c>
      <c r="I130" s="19"/>
      <c r="J130" s="20" t="s">
        <v>708</v>
      </c>
      <c r="K13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0" s="107">
        <f>ROUND(Tableau17[[#This Row],[LEN]]*7.27,0)</f>
        <v>102</v>
      </c>
      <c r="M130" s="107">
        <v>15</v>
      </c>
      <c r="N130" s="125" t="str">
        <f t="shared" si="1"/>
        <v>none</v>
      </c>
      <c r="O130" s="107">
        <f>LEN(Tableau17[[#This Row],[LABEL]])</f>
        <v>14</v>
      </c>
      <c r="P130" s="107">
        <v>15</v>
      </c>
      <c r="Q130" s="107" t="e">
        <f>ROUND(Tableau17[[#This Row],[LEN]]*#REF!+#REF!,0)</f>
        <v>#REF!</v>
      </c>
    </row>
    <row r="131" spans="1:17" s="273" customFormat="1" x14ac:dyDescent="0.25">
      <c r="A131" s="266" t="s">
        <v>241</v>
      </c>
      <c r="B131" s="267" t="s">
        <v>205</v>
      </c>
      <c r="C131" s="268" t="s">
        <v>10</v>
      </c>
      <c r="D131" s="269" t="s">
        <v>1177</v>
      </c>
      <c r="E131" s="268" t="s">
        <v>673</v>
      </c>
      <c r="F131" s="268" t="s">
        <v>1177</v>
      </c>
      <c r="G131" s="269" t="s">
        <v>167</v>
      </c>
      <c r="H131" s="269" t="str">
        <f>IFERROR(IF(SEARCH(".00.00.00.00.00",Tableau17[[#This Row],[name]],1)=7,"Division",""),"")</f>
        <v>Division</v>
      </c>
      <c r="I131" s="268"/>
      <c r="J131" s="270" t="s">
        <v>719</v>
      </c>
      <c r="K131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31" s="271">
        <f>ROUND(Tableau17[[#This Row],[LEN]]*7.27,0)</f>
        <v>109</v>
      </c>
      <c r="M131" s="271">
        <v>15</v>
      </c>
      <c r="N131" s="272" t="str">
        <f t="shared" si="1"/>
        <v>new</v>
      </c>
      <c r="O131" s="271">
        <f>LEN(Tableau17[[#This Row],[LABEL]])</f>
        <v>15</v>
      </c>
      <c r="P131" s="271">
        <v>15</v>
      </c>
      <c r="Q131" s="271" t="e">
        <f>ROUND(Tableau17[[#This Row],[LEN]]*#REF!+#REF!,0)</f>
        <v>#REF!</v>
      </c>
    </row>
    <row r="132" spans="1:17" s="97" customFormat="1" x14ac:dyDescent="0.25">
      <c r="A132" s="17" t="s">
        <v>984</v>
      </c>
      <c r="B132" s="18" t="s">
        <v>241</v>
      </c>
      <c r="C132" s="19" t="s">
        <v>81</v>
      </c>
      <c r="D132" s="68" t="s">
        <v>1177</v>
      </c>
      <c r="E132" s="19" t="s">
        <v>667</v>
      </c>
      <c r="F132" s="19" t="s">
        <v>2078</v>
      </c>
      <c r="G132" s="68" t="s">
        <v>167</v>
      </c>
      <c r="H132" s="68" t="s">
        <v>655</v>
      </c>
      <c r="I132" s="19"/>
      <c r="J132" s="20" t="s">
        <v>708</v>
      </c>
      <c r="K13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2" s="107">
        <f>ROUND(Tableau17[[#This Row],[LEN]]*7.27,0)</f>
        <v>73</v>
      </c>
      <c r="M132" s="107">
        <v>15</v>
      </c>
      <c r="N132" s="125" t="str">
        <f t="shared" si="1"/>
        <v>none</v>
      </c>
      <c r="O132" s="107">
        <f>LEN(Tableau17[[#This Row],[LABEL]])</f>
        <v>10</v>
      </c>
      <c r="P132" s="107">
        <v>15</v>
      </c>
      <c r="Q132" s="107" t="e">
        <f>ROUND(Tableau17[[#This Row],[LEN]]*#REF!+#REF!,0)</f>
        <v>#REF!</v>
      </c>
    </row>
    <row r="133" spans="1:17" s="97" customFormat="1" x14ac:dyDescent="0.25">
      <c r="A133" s="21" t="s">
        <v>987</v>
      </c>
      <c r="B133" s="22" t="s">
        <v>984</v>
      </c>
      <c r="C133" s="23" t="s">
        <v>992</v>
      </c>
      <c r="D133" s="69" t="s">
        <v>1177</v>
      </c>
      <c r="E133" s="23" t="s">
        <v>667</v>
      </c>
      <c r="F133" s="23" t="s">
        <v>2078</v>
      </c>
      <c r="G133" s="69" t="s">
        <v>167</v>
      </c>
      <c r="H133" s="69" t="s">
        <v>570</v>
      </c>
      <c r="I133" s="23"/>
      <c r="J133" s="24" t="s">
        <v>708</v>
      </c>
      <c r="K13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3" s="108">
        <f>ROUND(Tableau17[[#This Row],[LEN]]*7.27,0)</f>
        <v>138</v>
      </c>
      <c r="M133" s="108">
        <v>15</v>
      </c>
      <c r="N133" s="126" t="str">
        <f t="shared" si="1"/>
        <v>none</v>
      </c>
      <c r="O133" s="108">
        <f>LEN(Tableau17[[#This Row],[LABEL]])</f>
        <v>19</v>
      </c>
      <c r="P133" s="108">
        <v>15</v>
      </c>
      <c r="Q133" s="108" t="e">
        <f>ROUND(Tableau17[[#This Row],[LEN]]*#REF!+#REF!,0)</f>
        <v>#REF!</v>
      </c>
    </row>
    <row r="134" spans="1:17" s="97" customFormat="1" x14ac:dyDescent="0.25">
      <c r="A134" s="21" t="s">
        <v>988</v>
      </c>
      <c r="B134" s="22" t="s">
        <v>984</v>
      </c>
      <c r="C134" s="23" t="s">
        <v>993</v>
      </c>
      <c r="D134" s="69" t="s">
        <v>1177</v>
      </c>
      <c r="E134" s="23" t="s">
        <v>667</v>
      </c>
      <c r="F134" s="23" t="s">
        <v>2078</v>
      </c>
      <c r="G134" s="69" t="s">
        <v>167</v>
      </c>
      <c r="H134" s="69" t="s">
        <v>570</v>
      </c>
      <c r="I134" s="23"/>
      <c r="J134" s="24" t="s">
        <v>708</v>
      </c>
      <c r="K13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4" s="108">
        <f>ROUND(Tableau17[[#This Row],[LEN]]*7.27,0)</f>
        <v>225</v>
      </c>
      <c r="M134" s="108">
        <v>15</v>
      </c>
      <c r="N134" s="126" t="str">
        <f t="shared" si="1"/>
        <v>none</v>
      </c>
      <c r="O134" s="108">
        <f>LEN(Tableau17[[#This Row],[LABEL]])</f>
        <v>31</v>
      </c>
      <c r="P134" s="108">
        <v>15</v>
      </c>
      <c r="Q134" s="108" t="e">
        <f>ROUND(Tableau17[[#This Row],[LEN]]*#REF!+#REF!,0)</f>
        <v>#REF!</v>
      </c>
    </row>
    <row r="135" spans="1:17" s="97" customFormat="1" x14ac:dyDescent="0.25">
      <c r="A135" s="21" t="s">
        <v>989</v>
      </c>
      <c r="B135" s="22" t="s">
        <v>984</v>
      </c>
      <c r="C135" s="23" t="s">
        <v>994</v>
      </c>
      <c r="D135" s="69" t="s">
        <v>1177</v>
      </c>
      <c r="E135" s="23" t="s">
        <v>667</v>
      </c>
      <c r="F135" s="23" t="s">
        <v>2078</v>
      </c>
      <c r="G135" s="69" t="s">
        <v>167</v>
      </c>
      <c r="H135" s="69" t="s">
        <v>570</v>
      </c>
      <c r="I135" s="23"/>
      <c r="J135" s="24" t="s">
        <v>708</v>
      </c>
      <c r="K13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5" s="108">
        <f>ROUND(Tableau17[[#This Row],[LEN]]*7.27,0)</f>
        <v>153</v>
      </c>
      <c r="M135" s="108">
        <v>15</v>
      </c>
      <c r="N135" s="126" t="str">
        <f t="shared" si="1"/>
        <v>none</v>
      </c>
      <c r="O135" s="108">
        <f>LEN(Tableau17[[#This Row],[LABEL]])</f>
        <v>21</v>
      </c>
      <c r="P135" s="108">
        <v>15</v>
      </c>
      <c r="Q135" s="108" t="e">
        <f>ROUND(Tableau17[[#This Row],[LEN]]*#REF!+#REF!,0)</f>
        <v>#REF!</v>
      </c>
    </row>
    <row r="136" spans="1:17" s="97" customFormat="1" x14ac:dyDescent="0.25">
      <c r="A136" s="21" t="s">
        <v>990</v>
      </c>
      <c r="B136" s="22" t="s">
        <v>984</v>
      </c>
      <c r="C136" s="23" t="s">
        <v>995</v>
      </c>
      <c r="D136" s="69" t="s">
        <v>1177</v>
      </c>
      <c r="E136" s="23" t="s">
        <v>667</v>
      </c>
      <c r="F136" s="23" t="s">
        <v>2078</v>
      </c>
      <c r="G136" s="69" t="s">
        <v>167</v>
      </c>
      <c r="H136" s="69" t="s">
        <v>570</v>
      </c>
      <c r="I136" s="23"/>
      <c r="J136" s="24" t="s">
        <v>708</v>
      </c>
      <c r="K13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6" s="108">
        <f>ROUND(Tableau17[[#This Row],[LEN]]*7.27,0)</f>
        <v>327</v>
      </c>
      <c r="M136" s="108">
        <v>15</v>
      </c>
      <c r="N136" s="126" t="str">
        <f t="shared" si="1"/>
        <v>none</v>
      </c>
      <c r="O136" s="108">
        <f>LEN(Tableau17[[#This Row],[LABEL]])</f>
        <v>45</v>
      </c>
      <c r="P136" s="108">
        <v>15</v>
      </c>
      <c r="Q136" s="108" t="e">
        <f>ROUND(Tableau17[[#This Row],[LEN]]*#REF!+#REF!,0)</f>
        <v>#REF!</v>
      </c>
    </row>
    <row r="137" spans="1:17" s="97" customFormat="1" x14ac:dyDescent="0.25">
      <c r="A137" s="21" t="s">
        <v>991</v>
      </c>
      <c r="B137" s="22" t="s">
        <v>984</v>
      </c>
      <c r="C137" s="23" t="s">
        <v>996</v>
      </c>
      <c r="D137" s="69" t="s">
        <v>1177</v>
      </c>
      <c r="E137" s="23" t="s">
        <v>667</v>
      </c>
      <c r="F137" s="23" t="s">
        <v>2078</v>
      </c>
      <c r="G137" s="69" t="s">
        <v>167</v>
      </c>
      <c r="H137" s="69" t="s">
        <v>570</v>
      </c>
      <c r="I137" s="23"/>
      <c r="J137" s="24" t="s">
        <v>708</v>
      </c>
      <c r="K13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7" s="108">
        <f>ROUND(Tableau17[[#This Row],[LEN]]*7.27,0)</f>
        <v>211</v>
      </c>
      <c r="M137" s="108">
        <v>15</v>
      </c>
      <c r="N137" s="126" t="str">
        <f t="shared" si="1"/>
        <v>none</v>
      </c>
      <c r="O137" s="108">
        <f>LEN(Tableau17[[#This Row],[LABEL]])</f>
        <v>29</v>
      </c>
      <c r="P137" s="108">
        <v>15</v>
      </c>
      <c r="Q137" s="108" t="e">
        <f>ROUND(Tableau17[[#This Row],[LEN]]*#REF!+#REF!,0)</f>
        <v>#REF!</v>
      </c>
    </row>
    <row r="138" spans="1:17" s="97" customFormat="1" x14ac:dyDescent="0.25">
      <c r="A138" s="17" t="s">
        <v>985</v>
      </c>
      <c r="B138" s="18" t="s">
        <v>241</v>
      </c>
      <c r="C138" s="19" t="s">
        <v>110</v>
      </c>
      <c r="D138" s="68" t="s">
        <v>1177</v>
      </c>
      <c r="E138" s="19" t="s">
        <v>1177</v>
      </c>
      <c r="F138" s="19" t="s">
        <v>1084</v>
      </c>
      <c r="G138" s="68" t="s">
        <v>1977</v>
      </c>
      <c r="H138" s="68" t="s">
        <v>1131</v>
      </c>
      <c r="I138" s="19"/>
      <c r="J138" s="20" t="s">
        <v>708</v>
      </c>
      <c r="K13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38" s="107">
        <f>ROUND(Tableau17[[#This Row],[LEN]]*7.27,0)</f>
        <v>102</v>
      </c>
      <c r="M138" s="107">
        <v>15</v>
      </c>
      <c r="N138" s="125" t="str">
        <f t="shared" si="1"/>
        <v>none</v>
      </c>
      <c r="O138" s="107">
        <f>LEN(Tableau17[[#This Row],[LABEL]])</f>
        <v>14</v>
      </c>
      <c r="P138" s="107">
        <v>15</v>
      </c>
      <c r="Q138" s="107" t="e">
        <f>ROUND(Tableau17[[#This Row],[LEN]]*#REF!+#REF!,0)</f>
        <v>#REF!</v>
      </c>
    </row>
    <row r="139" spans="1:17" s="273" customFormat="1" x14ac:dyDescent="0.25">
      <c r="A139" s="266" t="s">
        <v>242</v>
      </c>
      <c r="B139" s="267" t="s">
        <v>205</v>
      </c>
      <c r="C139" s="268" t="s">
        <v>11</v>
      </c>
      <c r="D139" s="269" t="s">
        <v>1177</v>
      </c>
      <c r="E139" s="268" t="s">
        <v>674</v>
      </c>
      <c r="F139" s="268" t="s">
        <v>1177</v>
      </c>
      <c r="G139" s="269" t="s">
        <v>167</v>
      </c>
      <c r="H139" s="269" t="str">
        <f>IFERROR(IF(SEARCH(".00.00.00.00.00",Tableau17[[#This Row],[name]],1)=7,"Division",""),"")</f>
        <v>Division</v>
      </c>
      <c r="I139" s="268"/>
      <c r="J139" s="270" t="s">
        <v>720</v>
      </c>
      <c r="K139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39" s="271">
        <f>ROUND(Tableau17[[#This Row],[LEN]]*7.27,0)</f>
        <v>51</v>
      </c>
      <c r="M139" s="271">
        <v>15</v>
      </c>
      <c r="N139" s="272" t="str">
        <f t="shared" si="1"/>
        <v>new</v>
      </c>
      <c r="O139" s="271">
        <f>LEN(Tableau17[[#This Row],[LABEL]])</f>
        <v>7</v>
      </c>
      <c r="P139" s="271">
        <v>15</v>
      </c>
      <c r="Q139" s="271" t="e">
        <f>ROUND(Tableau17[[#This Row],[LEN]]*#REF!+#REF!,0)</f>
        <v>#REF!</v>
      </c>
    </row>
    <row r="140" spans="1:17" s="97" customFormat="1" x14ac:dyDescent="0.25">
      <c r="A140" s="17" t="s">
        <v>997</v>
      </c>
      <c r="B140" s="18" t="s">
        <v>242</v>
      </c>
      <c r="C140" s="19" t="s">
        <v>2089</v>
      </c>
      <c r="D140" s="68" t="s">
        <v>1177</v>
      </c>
      <c r="E140" s="19" t="s">
        <v>667</v>
      </c>
      <c r="F140" s="19" t="s">
        <v>2079</v>
      </c>
      <c r="G140" s="68" t="s">
        <v>167</v>
      </c>
      <c r="H140" s="68" t="s">
        <v>655</v>
      </c>
      <c r="I140" s="19"/>
      <c r="J140" s="20" t="s">
        <v>708</v>
      </c>
      <c r="K14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0" s="107">
        <f>ROUND(Tableau17[[#This Row],[LEN]]*7.27,0)</f>
        <v>276</v>
      </c>
      <c r="M140" s="107">
        <v>15</v>
      </c>
      <c r="N140" s="125" t="str">
        <f t="shared" si="1"/>
        <v>none</v>
      </c>
      <c r="O140" s="107">
        <f>LEN(Tableau17[[#This Row],[LABEL]])</f>
        <v>38</v>
      </c>
      <c r="P140" s="107">
        <v>15</v>
      </c>
      <c r="Q140" s="107" t="e">
        <f>ROUND(Tableau17[[#This Row],[LEN]]*#REF!+#REF!,0)</f>
        <v>#REF!</v>
      </c>
    </row>
    <row r="141" spans="1:17" s="97" customFormat="1" x14ac:dyDescent="0.25">
      <c r="A141" s="17" t="s">
        <v>998</v>
      </c>
      <c r="B141" s="18" t="s">
        <v>242</v>
      </c>
      <c r="C141" s="19" t="s">
        <v>1001</v>
      </c>
      <c r="D141" s="68" t="s">
        <v>1177</v>
      </c>
      <c r="E141" s="19" t="s">
        <v>1177</v>
      </c>
      <c r="F141" s="19" t="s">
        <v>1084</v>
      </c>
      <c r="G141" s="68" t="s">
        <v>1977</v>
      </c>
      <c r="H141" s="68" t="s">
        <v>1131</v>
      </c>
      <c r="I141" s="19"/>
      <c r="J141" s="20" t="s">
        <v>708</v>
      </c>
      <c r="K141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1" s="107">
        <f>ROUND(Tableau17[[#This Row],[LEN]]*7.27,0)</f>
        <v>174</v>
      </c>
      <c r="M141" s="107">
        <v>15</v>
      </c>
      <c r="N141" s="125" t="str">
        <f t="shared" si="1"/>
        <v>none</v>
      </c>
      <c r="O141" s="107">
        <f>LEN(Tableau17[[#This Row],[LABEL]])</f>
        <v>24</v>
      </c>
      <c r="P141" s="107">
        <v>15</v>
      </c>
      <c r="Q141" s="107" t="e">
        <f>ROUND(Tableau17[[#This Row],[LEN]]*#REF!+#REF!,0)</f>
        <v>#REF!</v>
      </c>
    </row>
    <row r="142" spans="1:17" s="273" customFormat="1" x14ac:dyDescent="0.25">
      <c r="A142" s="266" t="s">
        <v>243</v>
      </c>
      <c r="B142" s="267" t="s">
        <v>205</v>
      </c>
      <c r="C142" s="268" t="s">
        <v>12</v>
      </c>
      <c r="D142" s="269" t="s">
        <v>1177</v>
      </c>
      <c r="E142" s="268" t="s">
        <v>675</v>
      </c>
      <c r="F142" s="268" t="s">
        <v>1177</v>
      </c>
      <c r="G142" s="269" t="s">
        <v>167</v>
      </c>
      <c r="H142" s="269" t="str">
        <f>IFERROR(IF(SEARCH(".00.00.00.00.00",Tableau17[[#This Row],[name]],1)=7,"Division",""),"")</f>
        <v>Division</v>
      </c>
      <c r="I142" s="268"/>
      <c r="J142" s="270" t="s">
        <v>721</v>
      </c>
      <c r="K142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42" s="271">
        <f>ROUND(Tableau17[[#This Row],[LEN]]*7.27,0)</f>
        <v>15</v>
      </c>
      <c r="M142" s="271">
        <v>15</v>
      </c>
      <c r="N142" s="272" t="str">
        <f t="shared" si="1"/>
        <v>new</v>
      </c>
      <c r="O142" s="271">
        <f>LEN(Tableau17[[#This Row],[LABEL]])</f>
        <v>2</v>
      </c>
      <c r="P142" s="271">
        <v>15</v>
      </c>
      <c r="Q142" s="271" t="e">
        <f>ROUND(Tableau17[[#This Row],[LEN]]*#REF!+#REF!,0)</f>
        <v>#REF!</v>
      </c>
    </row>
    <row r="143" spans="1:17" s="97" customFormat="1" x14ac:dyDescent="0.25">
      <c r="A143" s="17" t="s">
        <v>1004</v>
      </c>
      <c r="B143" s="18" t="s">
        <v>243</v>
      </c>
      <c r="C143" s="19" t="s">
        <v>1007</v>
      </c>
      <c r="D143" s="68" t="s">
        <v>1177</v>
      </c>
      <c r="E143" s="19" t="s">
        <v>675</v>
      </c>
      <c r="F143" s="19" t="s">
        <v>1177</v>
      </c>
      <c r="G143" s="68" t="s">
        <v>167</v>
      </c>
      <c r="H143" s="68" t="s">
        <v>655</v>
      </c>
      <c r="I143" s="19"/>
      <c r="J143" s="20" t="s">
        <v>708</v>
      </c>
      <c r="K14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3" s="107">
        <f>ROUND(Tableau17[[#This Row],[LEN]]*7.27,0)</f>
        <v>305</v>
      </c>
      <c r="M143" s="107">
        <v>15</v>
      </c>
      <c r="N143" s="125" t="str">
        <f t="shared" si="1"/>
        <v>none</v>
      </c>
      <c r="O143" s="107">
        <f>LEN(Tableau17[[#This Row],[LABEL]])</f>
        <v>42</v>
      </c>
      <c r="P143" s="107">
        <v>15</v>
      </c>
      <c r="Q143" s="107" t="e">
        <f>ROUND(Tableau17[[#This Row],[LEN]]*#REF!+#REF!,0)</f>
        <v>#REF!</v>
      </c>
    </row>
    <row r="144" spans="1:17" s="97" customFormat="1" x14ac:dyDescent="0.25">
      <c r="A144" s="21" t="s">
        <v>1009</v>
      </c>
      <c r="B144" s="22" t="s">
        <v>1004</v>
      </c>
      <c r="C144" s="23" t="s">
        <v>1012</v>
      </c>
      <c r="D144" s="69" t="s">
        <v>1177</v>
      </c>
      <c r="E144" s="23" t="s">
        <v>675</v>
      </c>
      <c r="F144" s="23" t="s">
        <v>1177</v>
      </c>
      <c r="G144" s="69" t="s">
        <v>167</v>
      </c>
      <c r="H144" s="69" t="s">
        <v>656</v>
      </c>
      <c r="I144" s="23"/>
      <c r="J144" s="24" t="s">
        <v>708</v>
      </c>
      <c r="K14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4" s="108">
        <f>ROUND(Tableau17[[#This Row],[LEN]]*7.27,0)</f>
        <v>276</v>
      </c>
      <c r="M144" s="108">
        <v>15</v>
      </c>
      <c r="N144" s="126" t="str">
        <f t="shared" si="1"/>
        <v>none</v>
      </c>
      <c r="O144" s="108">
        <f>LEN(Tableau17[[#This Row],[LABEL]])</f>
        <v>38</v>
      </c>
      <c r="P144" s="108">
        <v>15</v>
      </c>
      <c r="Q144" s="108" t="e">
        <f>ROUND(Tableau17[[#This Row],[LEN]]*#REF!+#REF!,0)</f>
        <v>#REF!</v>
      </c>
    </row>
    <row r="145" spans="1:17" s="97" customFormat="1" x14ac:dyDescent="0.25">
      <c r="A145" s="21" t="s">
        <v>1010</v>
      </c>
      <c r="B145" s="22" t="s">
        <v>1004</v>
      </c>
      <c r="C145" s="23" t="s">
        <v>1013</v>
      </c>
      <c r="D145" s="69" t="s">
        <v>1177</v>
      </c>
      <c r="E145" s="23" t="s">
        <v>675</v>
      </c>
      <c r="F145" s="23" t="s">
        <v>1177</v>
      </c>
      <c r="G145" s="69" t="s">
        <v>167</v>
      </c>
      <c r="H145" s="69" t="s">
        <v>656</v>
      </c>
      <c r="I145" s="23"/>
      <c r="J145" s="24" t="s">
        <v>708</v>
      </c>
      <c r="K14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5" s="108">
        <f>ROUND(Tableau17[[#This Row],[LEN]]*7.27,0)</f>
        <v>284</v>
      </c>
      <c r="M145" s="108">
        <v>15</v>
      </c>
      <c r="N145" s="126" t="str">
        <f t="shared" si="1"/>
        <v>none</v>
      </c>
      <c r="O145" s="108">
        <f>LEN(Tableau17[[#This Row],[LABEL]])</f>
        <v>39</v>
      </c>
      <c r="P145" s="108">
        <v>15</v>
      </c>
      <c r="Q145" s="108" t="e">
        <f>ROUND(Tableau17[[#This Row],[LEN]]*#REF!+#REF!,0)</f>
        <v>#REF!</v>
      </c>
    </row>
    <row r="146" spans="1:17" s="97" customFormat="1" x14ac:dyDescent="0.25">
      <c r="A146" s="21" t="s">
        <v>1011</v>
      </c>
      <c r="B146" s="22" t="s">
        <v>1004</v>
      </c>
      <c r="C146" s="23" t="s">
        <v>1014</v>
      </c>
      <c r="D146" s="69" t="s">
        <v>1177</v>
      </c>
      <c r="E146" s="23" t="s">
        <v>675</v>
      </c>
      <c r="F146" s="23" t="s">
        <v>1177</v>
      </c>
      <c r="G146" s="69" t="s">
        <v>167</v>
      </c>
      <c r="H146" s="69" t="s">
        <v>656</v>
      </c>
      <c r="I146" s="23"/>
      <c r="J146" s="24" t="s">
        <v>708</v>
      </c>
      <c r="K14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6" s="108">
        <f>ROUND(Tableau17[[#This Row],[LEN]]*7.27,0)</f>
        <v>327</v>
      </c>
      <c r="M146" s="108">
        <v>15</v>
      </c>
      <c r="N146" s="126" t="str">
        <f t="shared" si="1"/>
        <v>none</v>
      </c>
      <c r="O146" s="108">
        <f>LEN(Tableau17[[#This Row],[LABEL]])</f>
        <v>45</v>
      </c>
      <c r="P146" s="108">
        <v>15</v>
      </c>
      <c r="Q146" s="108" t="e">
        <f>ROUND(Tableau17[[#This Row],[LEN]]*#REF!+#REF!,0)</f>
        <v>#REF!</v>
      </c>
    </row>
    <row r="147" spans="1:17" s="97" customFormat="1" x14ac:dyDescent="0.25">
      <c r="A147" s="17" t="s">
        <v>1005</v>
      </c>
      <c r="B147" s="18" t="s">
        <v>243</v>
      </c>
      <c r="C147" s="19" t="s">
        <v>1008</v>
      </c>
      <c r="D147" s="68" t="s">
        <v>1177</v>
      </c>
      <c r="E147" s="19" t="s">
        <v>675</v>
      </c>
      <c r="F147" s="19" t="s">
        <v>1177</v>
      </c>
      <c r="G147" s="68" t="s">
        <v>167</v>
      </c>
      <c r="H147" s="68" t="s">
        <v>654</v>
      </c>
      <c r="I147" s="19"/>
      <c r="J147" s="20" t="s">
        <v>708</v>
      </c>
      <c r="K14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7" s="107">
        <f>ROUND(Tableau17[[#This Row],[LEN]]*7.27,0)</f>
        <v>305</v>
      </c>
      <c r="M147" s="107">
        <v>15</v>
      </c>
      <c r="N147" s="125" t="str">
        <f t="shared" si="1"/>
        <v>none</v>
      </c>
      <c r="O147" s="107">
        <f>LEN(Tableau17[[#This Row],[LABEL]])</f>
        <v>42</v>
      </c>
      <c r="P147" s="107">
        <v>15</v>
      </c>
      <c r="Q147" s="107" t="e">
        <f>ROUND(Tableau17[[#This Row],[LEN]]*#REF!+#REF!,0)</f>
        <v>#REF!</v>
      </c>
    </row>
    <row r="148" spans="1:17" s="97" customFormat="1" x14ac:dyDescent="0.25">
      <c r="A148" s="17" t="s">
        <v>1006</v>
      </c>
      <c r="B148" s="18" t="s">
        <v>243</v>
      </c>
      <c r="C148" s="19" t="s">
        <v>110</v>
      </c>
      <c r="D148" s="68" t="s">
        <v>1177</v>
      </c>
      <c r="E148" s="19" t="s">
        <v>1177</v>
      </c>
      <c r="F148" s="19" t="s">
        <v>1084</v>
      </c>
      <c r="G148" s="68" t="s">
        <v>1977</v>
      </c>
      <c r="H148" s="68" t="s">
        <v>1131</v>
      </c>
      <c r="I148" s="19"/>
      <c r="J148" s="20" t="s">
        <v>708</v>
      </c>
      <c r="K148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48" s="107">
        <f>ROUND(Tableau17[[#This Row],[LEN]]*7.27,0)</f>
        <v>102</v>
      </c>
      <c r="M148" s="107">
        <v>15</v>
      </c>
      <c r="N148" s="125" t="str">
        <f t="shared" si="1"/>
        <v>none</v>
      </c>
      <c r="O148" s="107">
        <f>LEN(Tableau17[[#This Row],[LABEL]])</f>
        <v>14</v>
      </c>
      <c r="P148" s="107">
        <v>15</v>
      </c>
      <c r="Q148" s="107" t="e">
        <f>ROUND(Tableau17[[#This Row],[LEN]]*#REF!+#REF!,0)</f>
        <v>#REF!</v>
      </c>
    </row>
    <row r="149" spans="1:17" s="273" customFormat="1" x14ac:dyDescent="0.25">
      <c r="A149" s="266" t="s">
        <v>244</v>
      </c>
      <c r="B149" s="267" t="s">
        <v>205</v>
      </c>
      <c r="C149" s="268" t="s">
        <v>71</v>
      </c>
      <c r="D149" s="269" t="s">
        <v>1177</v>
      </c>
      <c r="E149" s="268" t="s">
        <v>676</v>
      </c>
      <c r="F149" s="268" t="s">
        <v>1177</v>
      </c>
      <c r="G149" s="269" t="s">
        <v>167</v>
      </c>
      <c r="H149" s="269" t="str">
        <f>IFERROR(IF(SEARCH(".00.00.00.00.00",Tableau17[[#This Row],[name]],1)=7,"Division",""),"")</f>
        <v>Division</v>
      </c>
      <c r="I149" s="268"/>
      <c r="J149" s="270" t="s">
        <v>722</v>
      </c>
      <c r="K149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49" s="271">
        <f>ROUND(Tableau17[[#This Row],[LEN]]*7.27,0)</f>
        <v>29</v>
      </c>
      <c r="M149" s="271">
        <v>15</v>
      </c>
      <c r="N149" s="272" t="str">
        <f t="shared" si="1"/>
        <v>new</v>
      </c>
      <c r="O149" s="271">
        <f>LEN(Tableau17[[#This Row],[LABEL]])</f>
        <v>4</v>
      </c>
      <c r="P149" s="271">
        <v>15</v>
      </c>
      <c r="Q149" s="271" t="e">
        <f>ROUND(Tableau17[[#This Row],[LEN]]*#REF!+#REF!,0)</f>
        <v>#REF!</v>
      </c>
    </row>
    <row r="150" spans="1:17" s="97" customFormat="1" x14ac:dyDescent="0.25">
      <c r="A150" s="17" t="s">
        <v>1017</v>
      </c>
      <c r="B150" s="18" t="s">
        <v>244</v>
      </c>
      <c r="C150" s="19" t="s">
        <v>1016</v>
      </c>
      <c r="D150" s="68" t="s">
        <v>1177</v>
      </c>
      <c r="E150" s="19" t="s">
        <v>676</v>
      </c>
      <c r="F150" s="19" t="s">
        <v>1177</v>
      </c>
      <c r="G150" s="68" t="s">
        <v>167</v>
      </c>
      <c r="H150" s="68" t="s">
        <v>656</v>
      </c>
      <c r="I150" s="19"/>
      <c r="J150" s="20" t="s">
        <v>722</v>
      </c>
      <c r="K150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0" s="107">
        <f>ROUND(Tableau17[[#This Row],[LEN]]*7.27,0)</f>
        <v>342</v>
      </c>
      <c r="M150" s="107">
        <v>15</v>
      </c>
      <c r="N150" s="125" t="str">
        <f t="shared" si="1"/>
        <v>new</v>
      </c>
      <c r="O150" s="107">
        <f>LEN(Tableau17[[#This Row],[LABEL]])</f>
        <v>47</v>
      </c>
      <c r="P150" s="107">
        <v>15</v>
      </c>
      <c r="Q150" s="107" t="e">
        <f>ROUND(Tableau17[[#This Row],[LEN]]*#REF!+#REF!,0)</f>
        <v>#REF!</v>
      </c>
    </row>
    <row r="151" spans="1:17" s="97" customFormat="1" x14ac:dyDescent="0.25">
      <c r="A151" s="17" t="s">
        <v>1018</v>
      </c>
      <c r="B151" s="18" t="s">
        <v>244</v>
      </c>
      <c r="C151" s="19" t="s">
        <v>1015</v>
      </c>
      <c r="D151" s="68" t="s">
        <v>1177</v>
      </c>
      <c r="E151" s="19" t="s">
        <v>676</v>
      </c>
      <c r="F151" s="19" t="s">
        <v>1177</v>
      </c>
      <c r="G151" s="68" t="s">
        <v>167</v>
      </c>
      <c r="H151" s="68" t="s">
        <v>656</v>
      </c>
      <c r="I151" s="19"/>
      <c r="J151" s="20" t="s">
        <v>722</v>
      </c>
      <c r="K151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1" s="107">
        <f>ROUND(Tableau17[[#This Row],[LEN]]*7.27,0)</f>
        <v>269</v>
      </c>
      <c r="M151" s="107">
        <v>15</v>
      </c>
      <c r="N151" s="125" t="str">
        <f t="shared" si="1"/>
        <v>new</v>
      </c>
      <c r="O151" s="107">
        <f>LEN(Tableau17[[#This Row],[LABEL]])</f>
        <v>37</v>
      </c>
      <c r="P151" s="107">
        <v>15</v>
      </c>
      <c r="Q151" s="107" t="e">
        <f>ROUND(Tableau17[[#This Row],[LEN]]*#REF!+#REF!,0)</f>
        <v>#REF!</v>
      </c>
    </row>
    <row r="152" spans="1:17" s="97" customFormat="1" x14ac:dyDescent="0.25">
      <c r="A152" s="17" t="s">
        <v>1019</v>
      </c>
      <c r="B152" s="18" t="s">
        <v>244</v>
      </c>
      <c r="C152" s="19" t="s">
        <v>110</v>
      </c>
      <c r="D152" s="68" t="s">
        <v>1177</v>
      </c>
      <c r="E152" s="19" t="s">
        <v>1177</v>
      </c>
      <c r="F152" s="19" t="s">
        <v>1084</v>
      </c>
      <c r="G152" s="68" t="s">
        <v>1977</v>
      </c>
      <c r="H152" s="68" t="s">
        <v>1131</v>
      </c>
      <c r="I152" s="19"/>
      <c r="J152" s="20" t="s">
        <v>708</v>
      </c>
      <c r="K15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2" s="107">
        <f>ROUND(Tableau17[[#This Row],[LEN]]*7.27,0)</f>
        <v>102</v>
      </c>
      <c r="M152" s="107">
        <v>15</v>
      </c>
      <c r="N152" s="125" t="str">
        <f t="shared" si="1"/>
        <v>none</v>
      </c>
      <c r="O152" s="107">
        <f>LEN(Tableau17[[#This Row],[LABEL]])</f>
        <v>14</v>
      </c>
      <c r="P152" s="107">
        <v>15</v>
      </c>
      <c r="Q152" s="107" t="e">
        <f>ROUND(Tableau17[[#This Row],[LEN]]*#REF!+#REF!,0)</f>
        <v>#REF!</v>
      </c>
    </row>
    <row r="153" spans="1:17" s="273" customFormat="1" x14ac:dyDescent="0.25">
      <c r="A153" s="266" t="s">
        <v>245</v>
      </c>
      <c r="B153" s="267" t="s">
        <v>205</v>
      </c>
      <c r="C153" s="268" t="s">
        <v>13</v>
      </c>
      <c r="D153" s="269" t="s">
        <v>1177</v>
      </c>
      <c r="E153" s="268" t="s">
        <v>677</v>
      </c>
      <c r="F153" s="268" t="s">
        <v>1177</v>
      </c>
      <c r="G153" s="269" t="s">
        <v>167</v>
      </c>
      <c r="H153" s="269" t="str">
        <f>IFERROR(IF(SEARCH(".00.00.00.00.00",Tableau17[[#This Row],[name]],1)=7,"Division",""),"")</f>
        <v>Division</v>
      </c>
      <c r="I153" s="268"/>
      <c r="J153" s="270" t="s">
        <v>708</v>
      </c>
      <c r="K153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53" s="271">
        <f>ROUND(Tableau17[[#This Row],[LEN]]*7.27,0)</f>
        <v>80</v>
      </c>
      <c r="M153" s="271">
        <v>15</v>
      </c>
      <c r="N153" s="272" t="str">
        <f t="shared" si="1"/>
        <v>none</v>
      </c>
      <c r="O153" s="271">
        <f>LEN(Tableau17[[#This Row],[LABEL]])</f>
        <v>11</v>
      </c>
      <c r="P153" s="271">
        <v>15</v>
      </c>
      <c r="Q153" s="271" t="e">
        <f>ROUND(Tableau17[[#This Row],[LEN]]*#REF!+#REF!,0)</f>
        <v>#REF!</v>
      </c>
    </row>
    <row r="154" spans="1:17" s="97" customFormat="1" x14ac:dyDescent="0.25">
      <c r="A154" s="17" t="s">
        <v>1020</v>
      </c>
      <c r="B154" s="18" t="s">
        <v>245</v>
      </c>
      <c r="C154" s="19" t="s">
        <v>81</v>
      </c>
      <c r="D154" s="68" t="s">
        <v>1177</v>
      </c>
      <c r="E154" s="19" t="s">
        <v>667</v>
      </c>
      <c r="F154" s="19" t="s">
        <v>1963</v>
      </c>
      <c r="G154" s="68" t="s">
        <v>167</v>
      </c>
      <c r="H154" s="68" t="s">
        <v>655</v>
      </c>
      <c r="I154" s="19"/>
      <c r="J154" s="20" t="s">
        <v>708</v>
      </c>
      <c r="K15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4" s="107">
        <f>ROUND(Tableau17[[#This Row],[LEN]]*7.27,0)</f>
        <v>73</v>
      </c>
      <c r="M154" s="107">
        <v>15</v>
      </c>
      <c r="N154" s="125" t="str">
        <f t="shared" si="1"/>
        <v>none</v>
      </c>
      <c r="O154" s="107">
        <f>LEN(Tableau17[[#This Row],[LABEL]])</f>
        <v>10</v>
      </c>
      <c r="P154" s="107">
        <v>15</v>
      </c>
      <c r="Q154" s="107" t="e">
        <f>ROUND(Tableau17[[#This Row],[LEN]]*#REF!+#REF!,0)</f>
        <v>#REF!</v>
      </c>
    </row>
    <row r="155" spans="1:17" s="97" customFormat="1" x14ac:dyDescent="0.25">
      <c r="A155" s="21" t="s">
        <v>1024</v>
      </c>
      <c r="B155" s="22" t="s">
        <v>1020</v>
      </c>
      <c r="C155" s="23" t="s">
        <v>1031</v>
      </c>
      <c r="D155" s="69" t="s">
        <v>1177</v>
      </c>
      <c r="E155" s="23" t="s">
        <v>667</v>
      </c>
      <c r="F155" s="23" t="s">
        <v>1963</v>
      </c>
      <c r="G155" s="69" t="s">
        <v>167</v>
      </c>
      <c r="H155" s="69" t="s">
        <v>570</v>
      </c>
      <c r="I155" s="23"/>
      <c r="J155" s="24" t="s">
        <v>708</v>
      </c>
      <c r="K155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5" s="108">
        <f>ROUND(Tableau17[[#This Row],[LEN]]*7.27,0)</f>
        <v>167</v>
      </c>
      <c r="M155" s="108">
        <v>15</v>
      </c>
      <c r="N155" s="126" t="str">
        <f t="shared" si="1"/>
        <v>none</v>
      </c>
      <c r="O155" s="108">
        <f>LEN(Tableau17[[#This Row],[LABEL]])</f>
        <v>23</v>
      </c>
      <c r="P155" s="108">
        <v>15</v>
      </c>
      <c r="Q155" s="108" t="e">
        <f>ROUND(Tableau17[[#This Row],[LEN]]*#REF!+#REF!,0)</f>
        <v>#REF!</v>
      </c>
    </row>
    <row r="156" spans="1:17" s="97" customFormat="1" x14ac:dyDescent="0.25">
      <c r="A156" s="21" t="s">
        <v>1025</v>
      </c>
      <c r="B156" s="22" t="s">
        <v>1020</v>
      </c>
      <c r="C156" s="23" t="s">
        <v>1032</v>
      </c>
      <c r="D156" s="69" t="s">
        <v>1177</v>
      </c>
      <c r="E156" s="23" t="s">
        <v>667</v>
      </c>
      <c r="F156" s="23" t="s">
        <v>1963</v>
      </c>
      <c r="G156" s="69" t="s">
        <v>167</v>
      </c>
      <c r="H156" s="69" t="s">
        <v>570</v>
      </c>
      <c r="I156" s="23"/>
      <c r="J156" s="24" t="s">
        <v>708</v>
      </c>
      <c r="K15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6" s="108">
        <f>ROUND(Tableau17[[#This Row],[LEN]]*7.27,0)</f>
        <v>153</v>
      </c>
      <c r="M156" s="108">
        <v>15</v>
      </c>
      <c r="N156" s="126" t="str">
        <f t="shared" si="1"/>
        <v>none</v>
      </c>
      <c r="O156" s="108">
        <f>LEN(Tableau17[[#This Row],[LABEL]])</f>
        <v>21</v>
      </c>
      <c r="P156" s="108">
        <v>15</v>
      </c>
      <c r="Q156" s="108" t="e">
        <f>ROUND(Tableau17[[#This Row],[LEN]]*#REF!+#REF!,0)</f>
        <v>#REF!</v>
      </c>
    </row>
    <row r="157" spans="1:17" s="97" customFormat="1" x14ac:dyDescent="0.25">
      <c r="A157" s="21" t="s">
        <v>1026</v>
      </c>
      <c r="B157" s="22" t="s">
        <v>1020</v>
      </c>
      <c r="C157" s="23" t="s">
        <v>1033</v>
      </c>
      <c r="D157" s="69" t="s">
        <v>1177</v>
      </c>
      <c r="E157" s="23" t="s">
        <v>667</v>
      </c>
      <c r="F157" s="23" t="s">
        <v>1963</v>
      </c>
      <c r="G157" s="69" t="s">
        <v>167</v>
      </c>
      <c r="H157" s="69" t="s">
        <v>570</v>
      </c>
      <c r="I157" s="23"/>
      <c r="J157" s="24" t="s">
        <v>708</v>
      </c>
      <c r="K15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7" s="108">
        <f>ROUND(Tableau17[[#This Row],[LEN]]*7.27,0)</f>
        <v>334</v>
      </c>
      <c r="M157" s="108">
        <v>15</v>
      </c>
      <c r="N157" s="126" t="str">
        <f t="shared" si="1"/>
        <v>none</v>
      </c>
      <c r="O157" s="108">
        <f>LEN(Tableau17[[#This Row],[LABEL]])</f>
        <v>46</v>
      </c>
      <c r="P157" s="108">
        <v>15</v>
      </c>
      <c r="Q157" s="108" t="e">
        <f>ROUND(Tableau17[[#This Row],[LEN]]*#REF!+#REF!,0)</f>
        <v>#REF!</v>
      </c>
    </row>
    <row r="158" spans="1:17" s="97" customFormat="1" x14ac:dyDescent="0.25">
      <c r="A158" s="21" t="s">
        <v>1027</v>
      </c>
      <c r="B158" s="22" t="s">
        <v>1020</v>
      </c>
      <c r="C158" s="23" t="s">
        <v>1034</v>
      </c>
      <c r="D158" s="69" t="s">
        <v>1177</v>
      </c>
      <c r="E158" s="23" t="s">
        <v>667</v>
      </c>
      <c r="F158" s="23" t="s">
        <v>1963</v>
      </c>
      <c r="G158" s="69" t="s">
        <v>167</v>
      </c>
      <c r="H158" s="69" t="s">
        <v>570</v>
      </c>
      <c r="I158" s="23"/>
      <c r="J158" s="24" t="s">
        <v>708</v>
      </c>
      <c r="K15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8" s="108">
        <f>ROUND(Tableau17[[#This Row],[LEN]]*7.27,0)</f>
        <v>393</v>
      </c>
      <c r="M158" s="108">
        <v>15</v>
      </c>
      <c r="N158" s="126" t="str">
        <f t="shared" si="1"/>
        <v>none</v>
      </c>
      <c r="O158" s="108">
        <f>LEN(Tableau17[[#This Row],[LABEL]])</f>
        <v>54</v>
      </c>
      <c r="P158" s="108">
        <v>15</v>
      </c>
      <c r="Q158" s="108" t="e">
        <f>ROUND(Tableau17[[#This Row],[LEN]]*#REF!+#REF!,0)</f>
        <v>#REF!</v>
      </c>
    </row>
    <row r="159" spans="1:17" s="97" customFormat="1" x14ac:dyDescent="0.25">
      <c r="A159" s="21" t="s">
        <v>1028</v>
      </c>
      <c r="B159" s="22" t="s">
        <v>1020</v>
      </c>
      <c r="C159" s="23" t="s">
        <v>1035</v>
      </c>
      <c r="D159" s="69" t="s">
        <v>1177</v>
      </c>
      <c r="E159" s="23" t="s">
        <v>667</v>
      </c>
      <c r="F159" s="23" t="s">
        <v>1963</v>
      </c>
      <c r="G159" s="69" t="s">
        <v>167</v>
      </c>
      <c r="H159" s="69" t="s">
        <v>570</v>
      </c>
      <c r="I159" s="23"/>
      <c r="J159" s="24" t="s">
        <v>708</v>
      </c>
      <c r="K15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59" s="108">
        <f>ROUND(Tableau17[[#This Row],[LEN]]*7.27,0)</f>
        <v>320</v>
      </c>
      <c r="M159" s="108">
        <v>15</v>
      </c>
      <c r="N159" s="126" t="str">
        <f t="shared" si="1"/>
        <v>none</v>
      </c>
      <c r="O159" s="108">
        <f>LEN(Tableau17[[#This Row],[LABEL]])</f>
        <v>44</v>
      </c>
      <c r="P159" s="108">
        <v>15</v>
      </c>
      <c r="Q159" s="108" t="e">
        <f>ROUND(Tableau17[[#This Row],[LEN]]*#REF!+#REF!,0)</f>
        <v>#REF!</v>
      </c>
    </row>
    <row r="160" spans="1:17" s="97" customFormat="1" x14ac:dyDescent="0.25">
      <c r="A160" s="21" t="s">
        <v>1029</v>
      </c>
      <c r="B160" s="22" t="s">
        <v>1020</v>
      </c>
      <c r="C160" s="23" t="s">
        <v>1036</v>
      </c>
      <c r="D160" s="69" t="s">
        <v>1177</v>
      </c>
      <c r="E160" s="23" t="s">
        <v>667</v>
      </c>
      <c r="F160" s="23" t="s">
        <v>1963</v>
      </c>
      <c r="G160" s="69" t="s">
        <v>167</v>
      </c>
      <c r="H160" s="69" t="s">
        <v>570</v>
      </c>
      <c r="I160" s="23"/>
      <c r="J160" s="24" t="s">
        <v>708</v>
      </c>
      <c r="K16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0" s="108">
        <f>ROUND(Tableau17[[#This Row],[LEN]]*7.27,0)</f>
        <v>95</v>
      </c>
      <c r="M160" s="108">
        <v>15</v>
      </c>
      <c r="N160" s="126" t="str">
        <f t="shared" si="1"/>
        <v>none</v>
      </c>
      <c r="O160" s="108">
        <f>LEN(Tableau17[[#This Row],[LABEL]])</f>
        <v>13</v>
      </c>
      <c r="P160" s="108">
        <v>15</v>
      </c>
      <c r="Q160" s="108" t="e">
        <f>ROUND(Tableau17[[#This Row],[LEN]]*#REF!+#REF!,0)</f>
        <v>#REF!</v>
      </c>
    </row>
    <row r="161" spans="1:17" s="97" customFormat="1" x14ac:dyDescent="0.25">
      <c r="A161" s="21" t="s">
        <v>1030</v>
      </c>
      <c r="B161" s="22" t="s">
        <v>1020</v>
      </c>
      <c r="C161" s="23" t="s">
        <v>1037</v>
      </c>
      <c r="D161" s="69" t="s">
        <v>1177</v>
      </c>
      <c r="E161" s="23" t="s">
        <v>667</v>
      </c>
      <c r="F161" s="23" t="s">
        <v>1963</v>
      </c>
      <c r="G161" s="69" t="s">
        <v>167</v>
      </c>
      <c r="H161" s="69" t="s">
        <v>570</v>
      </c>
      <c r="I161" s="23"/>
      <c r="J161" s="24" t="s">
        <v>708</v>
      </c>
      <c r="K16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1" s="108">
        <f>ROUND(Tableau17[[#This Row],[LEN]]*7.27,0)</f>
        <v>124</v>
      </c>
      <c r="M161" s="108">
        <v>15</v>
      </c>
      <c r="N161" s="126" t="str">
        <f t="shared" si="1"/>
        <v>none</v>
      </c>
      <c r="O161" s="108">
        <f>LEN(Tableau17[[#This Row],[LABEL]])</f>
        <v>17</v>
      </c>
      <c r="P161" s="108">
        <v>15</v>
      </c>
      <c r="Q161" s="108" t="e">
        <f>ROUND(Tableau17[[#This Row],[LEN]]*#REF!+#REF!,0)</f>
        <v>#REF!</v>
      </c>
    </row>
    <row r="162" spans="1:17" s="97" customFormat="1" x14ac:dyDescent="0.25">
      <c r="A162" s="17" t="s">
        <v>1021</v>
      </c>
      <c r="B162" s="18" t="s">
        <v>245</v>
      </c>
      <c r="C162" s="19" t="s">
        <v>1023</v>
      </c>
      <c r="D162" s="68" t="s">
        <v>1177</v>
      </c>
      <c r="E162" s="19" t="s">
        <v>677</v>
      </c>
      <c r="F162" s="19" t="s">
        <v>1177</v>
      </c>
      <c r="G162" s="68" t="s">
        <v>167</v>
      </c>
      <c r="H162" s="68" t="s">
        <v>654</v>
      </c>
      <c r="I162" s="19"/>
      <c r="J162" s="20" t="s">
        <v>708</v>
      </c>
      <c r="K16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2" s="107">
        <f>ROUND(Tableau17[[#This Row],[LEN]]*7.27,0)</f>
        <v>196</v>
      </c>
      <c r="M162" s="107">
        <v>15</v>
      </c>
      <c r="N162" s="125" t="str">
        <f t="shared" si="1"/>
        <v>none</v>
      </c>
      <c r="O162" s="107">
        <f>LEN(Tableau17[[#This Row],[LABEL]])</f>
        <v>27</v>
      </c>
      <c r="P162" s="107">
        <v>15</v>
      </c>
      <c r="Q162" s="107" t="e">
        <f>ROUND(Tableau17[[#This Row],[LEN]]*#REF!+#REF!,0)</f>
        <v>#REF!</v>
      </c>
    </row>
    <row r="163" spans="1:17" s="97" customFormat="1" x14ac:dyDescent="0.25">
      <c r="A163" s="17" t="s">
        <v>1022</v>
      </c>
      <c r="B163" s="18" t="s">
        <v>245</v>
      </c>
      <c r="C163" s="19" t="s">
        <v>110</v>
      </c>
      <c r="D163" s="68" t="s">
        <v>1177</v>
      </c>
      <c r="E163" s="19" t="s">
        <v>1177</v>
      </c>
      <c r="F163" s="19" t="s">
        <v>1084</v>
      </c>
      <c r="G163" s="68" t="s">
        <v>1977</v>
      </c>
      <c r="H163" s="68" t="s">
        <v>1131</v>
      </c>
      <c r="I163" s="19"/>
      <c r="J163" s="20" t="s">
        <v>708</v>
      </c>
      <c r="K16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3" s="107">
        <f>ROUND(Tableau17[[#This Row],[LEN]]*7.27,0)</f>
        <v>102</v>
      </c>
      <c r="M163" s="107">
        <v>15</v>
      </c>
      <c r="N163" s="125" t="str">
        <f t="shared" si="1"/>
        <v>none</v>
      </c>
      <c r="O163" s="107">
        <f>LEN(Tableau17[[#This Row],[LABEL]])</f>
        <v>14</v>
      </c>
      <c r="P163" s="107">
        <v>15</v>
      </c>
      <c r="Q163" s="107" t="e">
        <f>ROUND(Tableau17[[#This Row],[LEN]]*#REF!+#REF!,0)</f>
        <v>#REF!</v>
      </c>
    </row>
    <row r="164" spans="1:17" s="273" customFormat="1" x14ac:dyDescent="0.25">
      <c r="A164" s="266" t="s">
        <v>246</v>
      </c>
      <c r="B164" s="267" t="s">
        <v>205</v>
      </c>
      <c r="C164" s="268" t="s">
        <v>14</v>
      </c>
      <c r="D164" s="269" t="s">
        <v>1177</v>
      </c>
      <c r="E164" s="268" t="s">
        <v>678</v>
      </c>
      <c r="F164" s="268" t="s">
        <v>1177</v>
      </c>
      <c r="G164" s="269" t="s">
        <v>167</v>
      </c>
      <c r="H164" s="269" t="str">
        <f>IFERROR(IF(SEARCH(".00.00.00.00.00",Tableau17[[#This Row],[name]],1)=7,"Division",""),"")</f>
        <v>Division</v>
      </c>
      <c r="I164" s="268"/>
      <c r="J164" s="270" t="s">
        <v>724</v>
      </c>
      <c r="K164" s="27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64" s="271">
        <f>ROUND(Tableau17[[#This Row],[LEN]]*7.27,0)</f>
        <v>240</v>
      </c>
      <c r="M164" s="271">
        <v>15</v>
      </c>
      <c r="N164" s="272" t="str">
        <f t="shared" si="1"/>
        <v>new</v>
      </c>
      <c r="O164" s="271">
        <f>LEN(Tableau17[[#This Row],[LABEL]])</f>
        <v>33</v>
      </c>
      <c r="P164" s="271">
        <v>15</v>
      </c>
      <c r="Q164" s="271" t="e">
        <f>ROUND(Tableau17[[#This Row],[LEN]]*#REF!+#REF!,0)</f>
        <v>#REF!</v>
      </c>
    </row>
    <row r="165" spans="1:17" s="97" customFormat="1" x14ac:dyDescent="0.25">
      <c r="A165" s="17" t="s">
        <v>1038</v>
      </c>
      <c r="B165" s="18" t="s">
        <v>246</v>
      </c>
      <c r="C165" s="19" t="s">
        <v>81</v>
      </c>
      <c r="D165" s="68" t="s">
        <v>1177</v>
      </c>
      <c r="E165" s="19" t="s">
        <v>667</v>
      </c>
      <c r="F165" s="19" t="s">
        <v>1963</v>
      </c>
      <c r="G165" s="68" t="s">
        <v>167</v>
      </c>
      <c r="H165" s="68" t="s">
        <v>655</v>
      </c>
      <c r="I165" s="19"/>
      <c r="J165" s="20" t="s">
        <v>708</v>
      </c>
      <c r="K16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5" s="107">
        <f>ROUND(Tableau17[[#This Row],[LEN]]*7.27,0)</f>
        <v>73</v>
      </c>
      <c r="M165" s="107">
        <v>15</v>
      </c>
      <c r="N165" s="125" t="str">
        <f t="shared" si="1"/>
        <v>none</v>
      </c>
      <c r="O165" s="107">
        <f>LEN(Tableau17[[#This Row],[LABEL]])</f>
        <v>10</v>
      </c>
      <c r="P165" s="107">
        <v>15</v>
      </c>
      <c r="Q165" s="107" t="e">
        <f>ROUND(Tableau17[[#This Row],[LEN]]*#REF!+#REF!,0)</f>
        <v>#REF!</v>
      </c>
    </row>
    <row r="166" spans="1:17" s="97" customFormat="1" x14ac:dyDescent="0.25">
      <c r="A166" s="21" t="s">
        <v>1042</v>
      </c>
      <c r="B166" s="22" t="s">
        <v>1038</v>
      </c>
      <c r="C166" s="23" t="s">
        <v>1031</v>
      </c>
      <c r="D166" s="69" t="s">
        <v>1177</v>
      </c>
      <c r="E166" s="23" t="s">
        <v>667</v>
      </c>
      <c r="F166" s="23" t="s">
        <v>1963</v>
      </c>
      <c r="G166" s="69" t="s">
        <v>167</v>
      </c>
      <c r="H166" s="69" t="s">
        <v>570</v>
      </c>
      <c r="I166" s="23"/>
      <c r="J166" s="24" t="s">
        <v>708</v>
      </c>
      <c r="K166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6" s="108">
        <f>ROUND(Tableau17[[#This Row],[LEN]]*7.27,0)</f>
        <v>167</v>
      </c>
      <c r="M166" s="108">
        <v>15</v>
      </c>
      <c r="N166" s="126" t="str">
        <f t="shared" si="1"/>
        <v>none</v>
      </c>
      <c r="O166" s="108">
        <f>LEN(Tableau17[[#This Row],[LABEL]])</f>
        <v>23</v>
      </c>
      <c r="P166" s="108">
        <v>15</v>
      </c>
      <c r="Q166" s="108" t="e">
        <f>ROUND(Tableau17[[#This Row],[LEN]]*#REF!+#REF!,0)</f>
        <v>#REF!</v>
      </c>
    </row>
    <row r="167" spans="1:17" s="97" customFormat="1" x14ac:dyDescent="0.25">
      <c r="A167" s="21" t="s">
        <v>1043</v>
      </c>
      <c r="B167" s="22" t="s">
        <v>1038</v>
      </c>
      <c r="C167" s="23" t="s">
        <v>1032</v>
      </c>
      <c r="D167" s="69" t="s">
        <v>1177</v>
      </c>
      <c r="E167" s="23" t="s">
        <v>667</v>
      </c>
      <c r="F167" s="23" t="s">
        <v>1963</v>
      </c>
      <c r="G167" s="69" t="s">
        <v>167</v>
      </c>
      <c r="H167" s="69" t="s">
        <v>570</v>
      </c>
      <c r="I167" s="23"/>
      <c r="J167" s="24" t="s">
        <v>708</v>
      </c>
      <c r="K167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7" s="108">
        <f>ROUND(Tableau17[[#This Row],[LEN]]*7.27,0)</f>
        <v>153</v>
      </c>
      <c r="M167" s="108">
        <v>15</v>
      </c>
      <c r="N167" s="126" t="str">
        <f t="shared" si="1"/>
        <v>none</v>
      </c>
      <c r="O167" s="108">
        <f>LEN(Tableau17[[#This Row],[LABEL]])</f>
        <v>21</v>
      </c>
      <c r="P167" s="108">
        <v>15</v>
      </c>
      <c r="Q167" s="108" t="e">
        <f>ROUND(Tableau17[[#This Row],[LEN]]*#REF!+#REF!,0)</f>
        <v>#REF!</v>
      </c>
    </row>
    <row r="168" spans="1:17" s="97" customFormat="1" x14ac:dyDescent="0.25">
      <c r="A168" s="21" t="s">
        <v>1044</v>
      </c>
      <c r="B168" s="22" t="s">
        <v>1038</v>
      </c>
      <c r="C168" s="23" t="s">
        <v>1033</v>
      </c>
      <c r="D168" s="69" t="s">
        <v>1177</v>
      </c>
      <c r="E168" s="23" t="s">
        <v>667</v>
      </c>
      <c r="F168" s="23" t="s">
        <v>1963</v>
      </c>
      <c r="G168" s="69" t="s">
        <v>167</v>
      </c>
      <c r="H168" s="69" t="s">
        <v>570</v>
      </c>
      <c r="I168" s="23"/>
      <c r="J168" s="24" t="s">
        <v>708</v>
      </c>
      <c r="K16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8" s="108">
        <f>ROUND(Tableau17[[#This Row],[LEN]]*7.27,0)</f>
        <v>334</v>
      </c>
      <c r="M168" s="108">
        <v>15</v>
      </c>
      <c r="N168" s="126" t="str">
        <f t="shared" si="1"/>
        <v>none</v>
      </c>
      <c r="O168" s="108">
        <f>LEN(Tableau17[[#This Row],[LABEL]])</f>
        <v>46</v>
      </c>
      <c r="P168" s="108">
        <v>15</v>
      </c>
      <c r="Q168" s="108" t="e">
        <f>ROUND(Tableau17[[#This Row],[LEN]]*#REF!+#REF!,0)</f>
        <v>#REF!</v>
      </c>
    </row>
    <row r="169" spans="1:17" s="97" customFormat="1" x14ac:dyDescent="0.25">
      <c r="A169" s="21" t="s">
        <v>1045</v>
      </c>
      <c r="B169" s="22" t="s">
        <v>1038</v>
      </c>
      <c r="C169" s="23" t="s">
        <v>1034</v>
      </c>
      <c r="D169" s="69" t="s">
        <v>1177</v>
      </c>
      <c r="E169" s="23" t="s">
        <v>667</v>
      </c>
      <c r="F169" s="23" t="s">
        <v>1963</v>
      </c>
      <c r="G169" s="69" t="s">
        <v>167</v>
      </c>
      <c r="H169" s="69" t="s">
        <v>570</v>
      </c>
      <c r="I169" s="23"/>
      <c r="J169" s="24" t="s">
        <v>708</v>
      </c>
      <c r="K16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69" s="108">
        <f>ROUND(Tableau17[[#This Row],[LEN]]*7.27,0)</f>
        <v>393</v>
      </c>
      <c r="M169" s="108">
        <v>15</v>
      </c>
      <c r="N169" s="126" t="str">
        <f t="shared" si="1"/>
        <v>none</v>
      </c>
      <c r="O169" s="108">
        <f>LEN(Tableau17[[#This Row],[LABEL]])</f>
        <v>54</v>
      </c>
      <c r="P169" s="108">
        <v>15</v>
      </c>
      <c r="Q169" s="108" t="e">
        <f>ROUND(Tableau17[[#This Row],[LEN]]*#REF!+#REF!,0)</f>
        <v>#REF!</v>
      </c>
    </row>
    <row r="170" spans="1:17" s="97" customFormat="1" x14ac:dyDescent="0.25">
      <c r="A170" s="21" t="s">
        <v>1046</v>
      </c>
      <c r="B170" s="22" t="s">
        <v>1038</v>
      </c>
      <c r="C170" s="23" t="s">
        <v>1035</v>
      </c>
      <c r="D170" s="69" t="s">
        <v>1177</v>
      </c>
      <c r="E170" s="23" t="s">
        <v>667</v>
      </c>
      <c r="F170" s="23" t="s">
        <v>1963</v>
      </c>
      <c r="G170" s="69" t="s">
        <v>167</v>
      </c>
      <c r="H170" s="69" t="s">
        <v>570</v>
      </c>
      <c r="I170" s="23"/>
      <c r="J170" s="24" t="s">
        <v>708</v>
      </c>
      <c r="K17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0" s="108">
        <f>ROUND(Tableau17[[#This Row],[LEN]]*7.27,0)</f>
        <v>320</v>
      </c>
      <c r="M170" s="108">
        <v>15</v>
      </c>
      <c r="N170" s="126" t="str">
        <f t="shared" si="1"/>
        <v>none</v>
      </c>
      <c r="O170" s="108">
        <f>LEN(Tableau17[[#This Row],[LABEL]])</f>
        <v>44</v>
      </c>
      <c r="P170" s="108">
        <v>15</v>
      </c>
      <c r="Q170" s="108" t="e">
        <f>ROUND(Tableau17[[#This Row],[LEN]]*#REF!+#REF!,0)</f>
        <v>#REF!</v>
      </c>
    </row>
    <row r="171" spans="1:17" s="97" customFormat="1" x14ac:dyDescent="0.25">
      <c r="A171" s="21" t="s">
        <v>1047</v>
      </c>
      <c r="B171" s="22" t="s">
        <v>1038</v>
      </c>
      <c r="C171" s="23" t="s">
        <v>1036</v>
      </c>
      <c r="D171" s="69" t="s">
        <v>1177</v>
      </c>
      <c r="E171" s="23" t="s">
        <v>667</v>
      </c>
      <c r="F171" s="23" t="s">
        <v>1963</v>
      </c>
      <c r="G171" s="69" t="s">
        <v>167</v>
      </c>
      <c r="H171" s="69" t="s">
        <v>570</v>
      </c>
      <c r="I171" s="23"/>
      <c r="J171" s="24" t="s">
        <v>708</v>
      </c>
      <c r="K17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1" s="108">
        <f>ROUND(Tableau17[[#This Row],[LEN]]*7.27,0)</f>
        <v>95</v>
      </c>
      <c r="M171" s="108">
        <v>15</v>
      </c>
      <c r="N171" s="126" t="str">
        <f t="shared" si="1"/>
        <v>none</v>
      </c>
      <c r="O171" s="108">
        <f>LEN(Tableau17[[#This Row],[LABEL]])</f>
        <v>13</v>
      </c>
      <c r="P171" s="108">
        <v>15</v>
      </c>
      <c r="Q171" s="108" t="e">
        <f>ROUND(Tableau17[[#This Row],[LEN]]*#REF!+#REF!,0)</f>
        <v>#REF!</v>
      </c>
    </row>
    <row r="172" spans="1:17" s="97" customFormat="1" x14ac:dyDescent="0.25">
      <c r="A172" s="21" t="s">
        <v>1048</v>
      </c>
      <c r="B172" s="22" t="s">
        <v>1038</v>
      </c>
      <c r="C172" s="23" t="s">
        <v>1037</v>
      </c>
      <c r="D172" s="69" t="s">
        <v>1177</v>
      </c>
      <c r="E172" s="23" t="s">
        <v>667</v>
      </c>
      <c r="F172" s="23" t="s">
        <v>1963</v>
      </c>
      <c r="G172" s="69" t="s">
        <v>167</v>
      </c>
      <c r="H172" s="69" t="s">
        <v>570</v>
      </c>
      <c r="I172" s="23"/>
      <c r="J172" s="24" t="s">
        <v>708</v>
      </c>
      <c r="K17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2" s="108">
        <f>ROUND(Tableau17[[#This Row],[LEN]]*7.27,0)</f>
        <v>124</v>
      </c>
      <c r="M172" s="108">
        <v>15</v>
      </c>
      <c r="N172" s="126" t="str">
        <f t="shared" si="1"/>
        <v>none</v>
      </c>
      <c r="O172" s="108">
        <f>LEN(Tableau17[[#This Row],[LABEL]])</f>
        <v>17</v>
      </c>
      <c r="P172" s="108">
        <v>15</v>
      </c>
      <c r="Q172" s="108" t="e">
        <f>ROUND(Tableau17[[#This Row],[LEN]]*#REF!+#REF!,0)</f>
        <v>#REF!</v>
      </c>
    </row>
    <row r="173" spans="1:17" s="97" customFormat="1" x14ac:dyDescent="0.25">
      <c r="A173" s="17" t="s">
        <v>1039</v>
      </c>
      <c r="B173" s="18" t="s">
        <v>246</v>
      </c>
      <c r="C173" s="19" t="s">
        <v>136</v>
      </c>
      <c r="D173" s="68" t="s">
        <v>1177</v>
      </c>
      <c r="E173" s="19" t="s">
        <v>669</v>
      </c>
      <c r="F173" s="19" t="s">
        <v>678</v>
      </c>
      <c r="G173" s="68" t="s">
        <v>167</v>
      </c>
      <c r="H173" s="68" t="s">
        <v>656</v>
      </c>
      <c r="I173" s="19"/>
      <c r="J173" s="20" t="s">
        <v>708</v>
      </c>
      <c r="K173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3" s="107">
        <f>ROUND(Tableau17[[#This Row],[LEN]]*7.27,0)</f>
        <v>174</v>
      </c>
      <c r="M173" s="107">
        <v>15</v>
      </c>
      <c r="N173" s="125" t="str">
        <f t="shared" si="1"/>
        <v>none</v>
      </c>
      <c r="O173" s="107">
        <f>LEN(Tableau17[[#This Row],[LABEL]])</f>
        <v>24</v>
      </c>
      <c r="P173" s="107">
        <v>15</v>
      </c>
      <c r="Q173" s="107" t="e">
        <f>ROUND(Tableau17[[#This Row],[LEN]]*#REF!+#REF!,0)</f>
        <v>#REF!</v>
      </c>
    </row>
    <row r="174" spans="1:17" s="97" customFormat="1" x14ac:dyDescent="0.25">
      <c r="A174" s="17" t="s">
        <v>1040</v>
      </c>
      <c r="B174" s="18" t="s">
        <v>246</v>
      </c>
      <c r="C174" s="19" t="s">
        <v>971</v>
      </c>
      <c r="D174" s="68" t="s">
        <v>1177</v>
      </c>
      <c r="E174" s="19" t="s">
        <v>667</v>
      </c>
      <c r="F174" s="19" t="s">
        <v>678</v>
      </c>
      <c r="G174" s="68" t="s">
        <v>167</v>
      </c>
      <c r="H174" s="68" t="s">
        <v>570</v>
      </c>
      <c r="I174" s="19"/>
      <c r="J174" s="20" t="s">
        <v>708</v>
      </c>
      <c r="K174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4" s="107">
        <f>ROUND(Tableau17[[#This Row],[LEN]]*7.27,0)</f>
        <v>385</v>
      </c>
      <c r="M174" s="107">
        <v>15</v>
      </c>
      <c r="N174" s="125" t="str">
        <f t="shared" si="1"/>
        <v>none</v>
      </c>
      <c r="O174" s="107">
        <f>LEN(Tableau17[[#This Row],[LABEL]])</f>
        <v>53</v>
      </c>
      <c r="P174" s="107">
        <v>15</v>
      </c>
      <c r="Q174" s="107" t="e">
        <f>ROUND(Tableau17[[#This Row],[LEN]]*#REF!+#REF!,0)</f>
        <v>#REF!</v>
      </c>
    </row>
    <row r="175" spans="1:17" s="97" customFormat="1" x14ac:dyDescent="0.25">
      <c r="A175" s="17" t="s">
        <v>1041</v>
      </c>
      <c r="B175" s="18" t="s">
        <v>246</v>
      </c>
      <c r="C175" s="19" t="s">
        <v>110</v>
      </c>
      <c r="D175" s="68" t="s">
        <v>1177</v>
      </c>
      <c r="E175" s="19" t="s">
        <v>1177</v>
      </c>
      <c r="F175" s="19" t="s">
        <v>1084</v>
      </c>
      <c r="G175" s="68" t="s">
        <v>1977</v>
      </c>
      <c r="H175" s="68" t="s">
        <v>1131</v>
      </c>
      <c r="I175" s="19"/>
      <c r="J175" s="20" t="s">
        <v>708</v>
      </c>
      <c r="K17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5" s="107">
        <f>ROUND(Tableau17[[#This Row],[LEN]]*7.27,0)</f>
        <v>102</v>
      </c>
      <c r="M175" s="107">
        <v>15</v>
      </c>
      <c r="N175" s="125" t="str">
        <f t="shared" si="1"/>
        <v>none</v>
      </c>
      <c r="O175" s="107">
        <f>LEN(Tableau17[[#This Row],[LABEL]])</f>
        <v>14</v>
      </c>
      <c r="P175" s="107">
        <v>15</v>
      </c>
      <c r="Q175" s="107" t="e">
        <f>ROUND(Tableau17[[#This Row],[LEN]]*#REF!+#REF!,0)</f>
        <v>#REF!</v>
      </c>
    </row>
    <row r="176" spans="1:17" s="273" customFormat="1" x14ac:dyDescent="0.25">
      <c r="A176" s="274" t="s">
        <v>247</v>
      </c>
      <c r="B176" s="275" t="s">
        <v>205</v>
      </c>
      <c r="C176" s="276" t="s">
        <v>15</v>
      </c>
      <c r="D176" s="277" t="s">
        <v>1177</v>
      </c>
      <c r="E176" s="276" t="s">
        <v>679</v>
      </c>
      <c r="F176" s="276" t="s">
        <v>1177</v>
      </c>
      <c r="G176" s="277" t="s">
        <v>167</v>
      </c>
      <c r="H176" s="277" t="str">
        <f>IFERROR(IF(SEARCH(".00.00.00.00.00",Tableau17[[#This Row],[name]],1)=7,"Division",""),"")</f>
        <v>Division</v>
      </c>
      <c r="I176" s="276"/>
      <c r="J176" s="278" t="s">
        <v>708</v>
      </c>
      <c r="K176" s="27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76" s="279">
        <f>ROUND(Tableau17[[#This Row],[LEN]]*7.27,0)</f>
        <v>174</v>
      </c>
      <c r="M176" s="279">
        <v>15</v>
      </c>
      <c r="N176" s="280" t="str">
        <f t="shared" si="1"/>
        <v>none</v>
      </c>
      <c r="O176" s="279">
        <f>LEN(Tableau17[[#This Row],[LABEL]])</f>
        <v>24</v>
      </c>
      <c r="P176" s="279">
        <v>15</v>
      </c>
      <c r="Q176" s="279" t="e">
        <f>ROUND(Tableau17[[#This Row],[LEN]]*#REF!+#REF!,0)</f>
        <v>#REF!</v>
      </c>
    </row>
    <row r="177" spans="1:17" s="97" customFormat="1" x14ac:dyDescent="0.25">
      <c r="A177" s="17" t="s">
        <v>1049</v>
      </c>
      <c r="B177" s="18" t="s">
        <v>247</v>
      </c>
      <c r="C177" s="19" t="s">
        <v>81</v>
      </c>
      <c r="D177" s="68" t="s">
        <v>1177</v>
      </c>
      <c r="E177" s="19" t="s">
        <v>667</v>
      </c>
      <c r="F177" s="19" t="s">
        <v>1963</v>
      </c>
      <c r="G177" s="68" t="s">
        <v>167</v>
      </c>
      <c r="H177" s="68" t="s">
        <v>655</v>
      </c>
      <c r="I177" s="19"/>
      <c r="J177" s="20" t="s">
        <v>708</v>
      </c>
      <c r="K17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7" s="107">
        <f>ROUND(Tableau17[[#This Row],[LEN]]*7.27,0)</f>
        <v>73</v>
      </c>
      <c r="M177" s="107">
        <v>15</v>
      </c>
      <c r="N177" s="125" t="str">
        <f t="shared" si="1"/>
        <v>none</v>
      </c>
      <c r="O177" s="107">
        <f>LEN(Tableau17[[#This Row],[LABEL]])</f>
        <v>10</v>
      </c>
      <c r="P177" s="107">
        <v>15</v>
      </c>
      <c r="Q177" s="107" t="e">
        <f>ROUND(Tableau17[[#This Row],[LEN]]*#REF!+#REF!,0)</f>
        <v>#REF!</v>
      </c>
    </row>
    <row r="178" spans="1:17" s="97" customFormat="1" x14ac:dyDescent="0.25">
      <c r="A178" s="21" t="s">
        <v>1051</v>
      </c>
      <c r="B178" s="22" t="s">
        <v>1049</v>
      </c>
      <c r="C178" s="23" t="s">
        <v>1031</v>
      </c>
      <c r="D178" s="69" t="s">
        <v>1177</v>
      </c>
      <c r="E178" s="23" t="s">
        <v>667</v>
      </c>
      <c r="F178" s="23" t="s">
        <v>1963</v>
      </c>
      <c r="G178" s="69" t="s">
        <v>167</v>
      </c>
      <c r="H178" s="69" t="s">
        <v>570</v>
      </c>
      <c r="I178" s="23"/>
      <c r="J178" s="24" t="s">
        <v>708</v>
      </c>
      <c r="K17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8" s="108">
        <f>ROUND(Tableau17[[#This Row],[LEN]]*7.27,0)</f>
        <v>167</v>
      </c>
      <c r="M178" s="108">
        <v>15</v>
      </c>
      <c r="N178" s="126" t="str">
        <f t="shared" si="1"/>
        <v>none</v>
      </c>
      <c r="O178" s="108">
        <f>LEN(Tableau17[[#This Row],[LABEL]])</f>
        <v>23</v>
      </c>
      <c r="P178" s="108">
        <v>15</v>
      </c>
      <c r="Q178" s="108" t="e">
        <f>ROUND(Tableau17[[#This Row],[LEN]]*#REF!+#REF!,0)</f>
        <v>#REF!</v>
      </c>
    </row>
    <row r="179" spans="1:17" s="97" customFormat="1" x14ac:dyDescent="0.25">
      <c r="A179" s="21" t="s">
        <v>1052</v>
      </c>
      <c r="B179" s="22" t="s">
        <v>1049</v>
      </c>
      <c r="C179" s="23" t="s">
        <v>1032</v>
      </c>
      <c r="D179" s="69" t="s">
        <v>1177</v>
      </c>
      <c r="E179" s="23" t="s">
        <v>667</v>
      </c>
      <c r="F179" s="23" t="s">
        <v>1963</v>
      </c>
      <c r="G179" s="69" t="s">
        <v>167</v>
      </c>
      <c r="H179" s="69" t="s">
        <v>570</v>
      </c>
      <c r="I179" s="23"/>
      <c r="J179" s="24" t="s">
        <v>708</v>
      </c>
      <c r="K17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79" s="108">
        <f>ROUND(Tableau17[[#This Row],[LEN]]*7.27,0)</f>
        <v>153</v>
      </c>
      <c r="M179" s="108">
        <v>15</v>
      </c>
      <c r="N179" s="126" t="str">
        <f t="shared" si="1"/>
        <v>none</v>
      </c>
      <c r="O179" s="108">
        <f>LEN(Tableau17[[#This Row],[LABEL]])</f>
        <v>21</v>
      </c>
      <c r="P179" s="108">
        <v>15</v>
      </c>
      <c r="Q179" s="108" t="e">
        <f>ROUND(Tableau17[[#This Row],[LEN]]*#REF!+#REF!,0)</f>
        <v>#REF!</v>
      </c>
    </row>
    <row r="180" spans="1:17" s="97" customFormat="1" x14ac:dyDescent="0.25">
      <c r="A180" s="21" t="s">
        <v>1053</v>
      </c>
      <c r="B180" s="22" t="s">
        <v>1049</v>
      </c>
      <c r="C180" s="23" t="s">
        <v>1033</v>
      </c>
      <c r="D180" s="69" t="s">
        <v>1177</v>
      </c>
      <c r="E180" s="23" t="s">
        <v>667</v>
      </c>
      <c r="F180" s="23" t="s">
        <v>1963</v>
      </c>
      <c r="G180" s="69" t="s">
        <v>167</v>
      </c>
      <c r="H180" s="69" t="s">
        <v>570</v>
      </c>
      <c r="I180" s="23"/>
      <c r="J180" s="24" t="s">
        <v>708</v>
      </c>
      <c r="K18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0" s="108">
        <f>ROUND(Tableau17[[#This Row],[LEN]]*7.27,0)</f>
        <v>334</v>
      </c>
      <c r="M180" s="108">
        <v>15</v>
      </c>
      <c r="N180" s="126" t="str">
        <f t="shared" si="1"/>
        <v>none</v>
      </c>
      <c r="O180" s="108">
        <f>LEN(Tableau17[[#This Row],[LABEL]])</f>
        <v>46</v>
      </c>
      <c r="P180" s="108">
        <v>15</v>
      </c>
      <c r="Q180" s="108" t="e">
        <f>ROUND(Tableau17[[#This Row],[LEN]]*#REF!+#REF!,0)</f>
        <v>#REF!</v>
      </c>
    </row>
    <row r="181" spans="1:17" s="97" customFormat="1" x14ac:dyDescent="0.25">
      <c r="A181" s="21" t="s">
        <v>1054</v>
      </c>
      <c r="B181" s="22" t="s">
        <v>1049</v>
      </c>
      <c r="C181" s="23" t="s">
        <v>1034</v>
      </c>
      <c r="D181" s="69" t="s">
        <v>1177</v>
      </c>
      <c r="E181" s="23" t="s">
        <v>667</v>
      </c>
      <c r="F181" s="23" t="s">
        <v>1963</v>
      </c>
      <c r="G181" s="69" t="s">
        <v>167</v>
      </c>
      <c r="H181" s="69" t="s">
        <v>570</v>
      </c>
      <c r="I181" s="23"/>
      <c r="J181" s="24" t="s">
        <v>708</v>
      </c>
      <c r="K18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1" s="108">
        <f>ROUND(Tableau17[[#This Row],[LEN]]*7.27,0)</f>
        <v>393</v>
      </c>
      <c r="M181" s="108">
        <v>15</v>
      </c>
      <c r="N181" s="126" t="str">
        <f t="shared" si="1"/>
        <v>none</v>
      </c>
      <c r="O181" s="108">
        <f>LEN(Tableau17[[#This Row],[LABEL]])</f>
        <v>54</v>
      </c>
      <c r="P181" s="108">
        <v>15</v>
      </c>
      <c r="Q181" s="108" t="e">
        <f>ROUND(Tableau17[[#This Row],[LEN]]*#REF!+#REF!,0)</f>
        <v>#REF!</v>
      </c>
    </row>
    <row r="182" spans="1:17" s="97" customFormat="1" x14ac:dyDescent="0.25">
      <c r="A182" s="21" t="s">
        <v>1055</v>
      </c>
      <c r="B182" s="22" t="s">
        <v>1049</v>
      </c>
      <c r="C182" s="23" t="s">
        <v>1035</v>
      </c>
      <c r="D182" s="69" t="s">
        <v>1177</v>
      </c>
      <c r="E182" s="23" t="s">
        <v>667</v>
      </c>
      <c r="F182" s="23" t="s">
        <v>1963</v>
      </c>
      <c r="G182" s="69" t="s">
        <v>167</v>
      </c>
      <c r="H182" s="69" t="s">
        <v>570</v>
      </c>
      <c r="I182" s="23"/>
      <c r="J182" s="24" t="s">
        <v>708</v>
      </c>
      <c r="K182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2" s="108">
        <f>ROUND(Tableau17[[#This Row],[LEN]]*7.27,0)</f>
        <v>320</v>
      </c>
      <c r="M182" s="108">
        <v>15</v>
      </c>
      <c r="N182" s="126" t="str">
        <f t="shared" si="1"/>
        <v>none</v>
      </c>
      <c r="O182" s="108">
        <f>LEN(Tableau17[[#This Row],[LABEL]])</f>
        <v>44</v>
      </c>
      <c r="P182" s="108">
        <v>15</v>
      </c>
      <c r="Q182" s="108" t="e">
        <f>ROUND(Tableau17[[#This Row],[LEN]]*#REF!+#REF!,0)</f>
        <v>#REF!</v>
      </c>
    </row>
    <row r="183" spans="1:17" s="97" customFormat="1" x14ac:dyDescent="0.25">
      <c r="A183" s="21" t="s">
        <v>1056</v>
      </c>
      <c r="B183" s="22" t="s">
        <v>1049</v>
      </c>
      <c r="C183" s="23" t="s">
        <v>1036</v>
      </c>
      <c r="D183" s="69" t="s">
        <v>1177</v>
      </c>
      <c r="E183" s="23" t="s">
        <v>667</v>
      </c>
      <c r="F183" s="23" t="s">
        <v>1963</v>
      </c>
      <c r="G183" s="69" t="s">
        <v>167</v>
      </c>
      <c r="H183" s="69" t="s">
        <v>570</v>
      </c>
      <c r="I183" s="23"/>
      <c r="J183" s="24" t="s">
        <v>708</v>
      </c>
      <c r="K183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3" s="108">
        <f>ROUND(Tableau17[[#This Row],[LEN]]*7.27,0)</f>
        <v>95</v>
      </c>
      <c r="M183" s="108">
        <v>15</v>
      </c>
      <c r="N183" s="126" t="str">
        <f t="shared" si="1"/>
        <v>none</v>
      </c>
      <c r="O183" s="108">
        <f>LEN(Tableau17[[#This Row],[LABEL]])</f>
        <v>13</v>
      </c>
      <c r="P183" s="108">
        <v>15</v>
      </c>
      <c r="Q183" s="108" t="e">
        <f>ROUND(Tableau17[[#This Row],[LEN]]*#REF!+#REF!,0)</f>
        <v>#REF!</v>
      </c>
    </row>
    <row r="184" spans="1:17" s="97" customFormat="1" x14ac:dyDescent="0.25">
      <c r="A184" s="21" t="s">
        <v>1057</v>
      </c>
      <c r="B184" s="22" t="s">
        <v>1049</v>
      </c>
      <c r="C184" s="23" t="s">
        <v>1037</v>
      </c>
      <c r="D184" s="69" t="s">
        <v>1177</v>
      </c>
      <c r="E184" s="23" t="s">
        <v>667</v>
      </c>
      <c r="F184" s="23" t="s">
        <v>1963</v>
      </c>
      <c r="G184" s="69" t="s">
        <v>167</v>
      </c>
      <c r="H184" s="69" t="s">
        <v>570</v>
      </c>
      <c r="I184" s="23"/>
      <c r="J184" s="24" t="s">
        <v>708</v>
      </c>
      <c r="K184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4" s="108">
        <f>ROUND(Tableau17[[#This Row],[LEN]]*7.27,0)</f>
        <v>124</v>
      </c>
      <c r="M184" s="108">
        <v>15</v>
      </c>
      <c r="N184" s="126" t="str">
        <f t="shared" si="1"/>
        <v>none</v>
      </c>
      <c r="O184" s="108">
        <f>LEN(Tableau17[[#This Row],[LABEL]])</f>
        <v>17</v>
      </c>
      <c r="P184" s="108">
        <v>15</v>
      </c>
      <c r="Q184" s="108" t="e">
        <f>ROUND(Tableau17[[#This Row],[LEN]]*#REF!+#REF!,0)</f>
        <v>#REF!</v>
      </c>
    </row>
    <row r="185" spans="1:17" s="97" customFormat="1" x14ac:dyDescent="0.25">
      <c r="A185" s="17" t="s">
        <v>1050</v>
      </c>
      <c r="B185" s="18" t="s">
        <v>247</v>
      </c>
      <c r="C185" s="19" t="s">
        <v>110</v>
      </c>
      <c r="D185" s="68" t="s">
        <v>1177</v>
      </c>
      <c r="E185" s="19" t="s">
        <v>1177</v>
      </c>
      <c r="F185" s="19" t="s">
        <v>1084</v>
      </c>
      <c r="G185" s="68" t="s">
        <v>1977</v>
      </c>
      <c r="H185" s="68" t="s">
        <v>1131</v>
      </c>
      <c r="I185" s="19"/>
      <c r="J185" s="20" t="s">
        <v>708</v>
      </c>
      <c r="K185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5" s="107">
        <f>ROUND(Tableau17[[#This Row],[LEN]]*7.27,0)</f>
        <v>102</v>
      </c>
      <c r="M185" s="107">
        <v>15</v>
      </c>
      <c r="N185" s="125" t="str">
        <f t="shared" si="1"/>
        <v>none</v>
      </c>
      <c r="O185" s="107">
        <f>LEN(Tableau17[[#This Row],[LABEL]])</f>
        <v>14</v>
      </c>
      <c r="P185" s="107">
        <v>15</v>
      </c>
      <c r="Q185" s="107" t="e">
        <f>ROUND(Tableau17[[#This Row],[LEN]]*#REF!+#REF!,0)</f>
        <v>#REF!</v>
      </c>
    </row>
    <row r="186" spans="1:17" s="273" customFormat="1" x14ac:dyDescent="0.25">
      <c r="A186" s="274" t="s">
        <v>1960</v>
      </c>
      <c r="B186" s="275" t="s">
        <v>205</v>
      </c>
      <c r="C186" s="276" t="s">
        <v>1950</v>
      </c>
      <c r="D186" s="277"/>
      <c r="E186" s="276" t="s">
        <v>1951</v>
      </c>
      <c r="F186" s="276" t="s">
        <v>1177</v>
      </c>
      <c r="G186" s="277" t="s">
        <v>167</v>
      </c>
      <c r="H186" s="277" t="s">
        <v>56</v>
      </c>
      <c r="I186" s="276"/>
      <c r="J186" s="278" t="s">
        <v>708</v>
      </c>
      <c r="K186" s="27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86" s="279">
        <f>ROUND(Tableau17[[#This Row],[LEN]]*7.27,0)</f>
        <v>51</v>
      </c>
      <c r="M186" s="279">
        <v>15</v>
      </c>
      <c r="N186" s="280" t="str">
        <f t="shared" si="1"/>
        <v>none</v>
      </c>
      <c r="O186" s="279">
        <f>LEN(Tableau17[[#This Row],[LABEL]])</f>
        <v>7</v>
      </c>
      <c r="P186" s="279">
        <v>15</v>
      </c>
      <c r="Q186" s="279" t="e">
        <f>ROUND(Tableau17[[#This Row],[LEN]]*#REF!+#REF!,0)</f>
        <v>#REF!</v>
      </c>
    </row>
    <row r="187" spans="1:17" s="97" customFormat="1" x14ac:dyDescent="0.25">
      <c r="A187" s="17" t="s">
        <v>1961</v>
      </c>
      <c r="B187" s="18" t="s">
        <v>1960</v>
      </c>
      <c r="C187" s="19" t="s">
        <v>81</v>
      </c>
      <c r="D187" s="68" t="s">
        <v>1177</v>
      </c>
      <c r="E187" s="19" t="s">
        <v>667</v>
      </c>
      <c r="F187" s="19" t="s">
        <v>1963</v>
      </c>
      <c r="G187" s="68" t="s">
        <v>167</v>
      </c>
      <c r="H187" s="68" t="s">
        <v>655</v>
      </c>
      <c r="I187" s="19"/>
      <c r="J187" s="20" t="s">
        <v>708</v>
      </c>
      <c r="K187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7" s="107">
        <f>ROUND(Tableau17[[#This Row],[LEN]]*7.27,0)</f>
        <v>73</v>
      </c>
      <c r="M187" s="107">
        <v>15</v>
      </c>
      <c r="N187" s="125" t="str">
        <f t="shared" si="1"/>
        <v>none</v>
      </c>
      <c r="O187" s="107">
        <f>LEN(Tableau17[[#This Row],[LABEL]])</f>
        <v>10</v>
      </c>
      <c r="P187" s="107">
        <v>15</v>
      </c>
      <c r="Q187" s="107" t="e">
        <f>ROUND(Tableau17[[#This Row],[LEN]]*#REF!+#REF!,0)</f>
        <v>#REF!</v>
      </c>
    </row>
    <row r="188" spans="1:17" s="97" customFormat="1" x14ac:dyDescent="0.25">
      <c r="A188" s="21" t="s">
        <v>1970</v>
      </c>
      <c r="B188" s="22" t="s">
        <v>1961</v>
      </c>
      <c r="C188" s="23" t="s">
        <v>1967</v>
      </c>
      <c r="D188" s="69" t="s">
        <v>1177</v>
      </c>
      <c r="E188" s="23" t="s">
        <v>667</v>
      </c>
      <c r="F188" s="23" t="s">
        <v>1963</v>
      </c>
      <c r="G188" s="69" t="s">
        <v>167</v>
      </c>
      <c r="H188" s="69" t="s">
        <v>570</v>
      </c>
      <c r="I188" s="23"/>
      <c r="J188" s="24" t="s">
        <v>708</v>
      </c>
      <c r="K188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8" s="108">
        <f>ROUND(Tableau17[[#This Row],[LEN]]*7.27,0)</f>
        <v>334</v>
      </c>
      <c r="M188" s="108">
        <v>15</v>
      </c>
      <c r="N188" s="126" t="str">
        <f t="shared" si="1"/>
        <v>none</v>
      </c>
      <c r="O188" s="108">
        <f>LEN(Tableau17[[#This Row],[LABEL]])</f>
        <v>46</v>
      </c>
      <c r="P188" s="108">
        <v>15</v>
      </c>
      <c r="Q188" s="108" t="e">
        <f>ROUND(Tableau17[[#This Row],[LEN]]*#REF!+#REF!,0)</f>
        <v>#REF!</v>
      </c>
    </row>
    <row r="189" spans="1:17" s="97" customFormat="1" x14ac:dyDescent="0.25">
      <c r="A189" s="21" t="s">
        <v>1971</v>
      </c>
      <c r="B189" s="22" t="s">
        <v>1961</v>
      </c>
      <c r="C189" s="23" t="s">
        <v>1974</v>
      </c>
      <c r="D189" s="69" t="s">
        <v>1969</v>
      </c>
      <c r="E189" s="23" t="s">
        <v>667</v>
      </c>
      <c r="F189" s="23" t="s">
        <v>1963</v>
      </c>
      <c r="G189" s="69" t="s">
        <v>167</v>
      </c>
      <c r="H189" s="69" t="s">
        <v>570</v>
      </c>
      <c r="I189" s="23"/>
      <c r="J189" s="24" t="s">
        <v>708</v>
      </c>
      <c r="K189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89" s="108">
        <f>ROUND(Tableau17[[#This Row],[LEN]]*7.27,0)</f>
        <v>262</v>
      </c>
      <c r="M189" s="108">
        <v>15</v>
      </c>
      <c r="N189" s="126" t="str">
        <f t="shared" si="1"/>
        <v>none</v>
      </c>
      <c r="O189" s="108">
        <f>LEN(Tableau17[[#This Row],[LABEL]])</f>
        <v>36</v>
      </c>
      <c r="P189" s="108">
        <v>15</v>
      </c>
      <c r="Q189" s="108" t="e">
        <f>ROUND(Tableau17[[#This Row],[LEN]]*#REF!+#REF!,0)</f>
        <v>#REF!</v>
      </c>
    </row>
    <row r="190" spans="1:17" s="97" customFormat="1" x14ac:dyDescent="0.25">
      <c r="A190" s="21" t="s">
        <v>1972</v>
      </c>
      <c r="B190" s="22" t="s">
        <v>1961</v>
      </c>
      <c r="C190" s="23" t="s">
        <v>1976</v>
      </c>
      <c r="D190" s="69" t="s">
        <v>1177</v>
      </c>
      <c r="E190" s="23" t="s">
        <v>667</v>
      </c>
      <c r="F190" s="23" t="s">
        <v>1963</v>
      </c>
      <c r="G190" s="69" t="s">
        <v>167</v>
      </c>
      <c r="H190" s="69" t="s">
        <v>570</v>
      </c>
      <c r="I190" s="23"/>
      <c r="J190" s="24" t="s">
        <v>708</v>
      </c>
      <c r="K190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0" s="108">
        <f>ROUND(Tableau17[[#This Row],[LEN]]*7.27,0)</f>
        <v>443</v>
      </c>
      <c r="M190" s="108">
        <v>15</v>
      </c>
      <c r="N190" s="126" t="str">
        <f t="shared" si="1"/>
        <v>none</v>
      </c>
      <c r="O190" s="108">
        <f>LEN(Tableau17[[#This Row],[LABEL]])</f>
        <v>61</v>
      </c>
      <c r="P190" s="108">
        <v>15</v>
      </c>
      <c r="Q190" s="108" t="e">
        <f>ROUND(Tableau17[[#This Row],[LEN]]*#REF!+#REF!,0)</f>
        <v>#REF!</v>
      </c>
    </row>
    <row r="191" spans="1:17" s="97" customFormat="1" x14ac:dyDescent="0.25">
      <c r="A191" s="21" t="s">
        <v>1973</v>
      </c>
      <c r="B191" s="22" t="s">
        <v>1961</v>
      </c>
      <c r="C191" s="23" t="s">
        <v>1975</v>
      </c>
      <c r="D191" s="69" t="s">
        <v>1968</v>
      </c>
      <c r="E191" s="23" t="s">
        <v>667</v>
      </c>
      <c r="F191" s="23" t="s">
        <v>1963</v>
      </c>
      <c r="G191" s="69" t="s">
        <v>167</v>
      </c>
      <c r="H191" s="69" t="s">
        <v>570</v>
      </c>
      <c r="I191" s="23"/>
      <c r="J191" s="24" t="s">
        <v>708</v>
      </c>
      <c r="K191" s="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1" s="108">
        <f>ROUND(Tableau17[[#This Row],[LEN]]*7.27,0)</f>
        <v>167</v>
      </c>
      <c r="M191" s="108">
        <v>15</v>
      </c>
      <c r="N191" s="126" t="str">
        <f t="shared" si="1"/>
        <v>none</v>
      </c>
      <c r="O191" s="108">
        <f>LEN(Tableau17[[#This Row],[LABEL]])</f>
        <v>23</v>
      </c>
      <c r="P191" s="108">
        <v>15</v>
      </c>
      <c r="Q191" s="108" t="e">
        <f>ROUND(Tableau17[[#This Row],[LEN]]*#REF!+#REF!,0)</f>
        <v>#REF!</v>
      </c>
    </row>
    <row r="192" spans="1:17" s="97" customFormat="1" ht="15.75" thickBot="1" x14ac:dyDescent="0.3">
      <c r="A192" s="17" t="s">
        <v>1962</v>
      </c>
      <c r="B192" s="18" t="s">
        <v>1960</v>
      </c>
      <c r="C192" s="19" t="s">
        <v>110</v>
      </c>
      <c r="D192" s="68" t="s">
        <v>1177</v>
      </c>
      <c r="E192" s="19" t="s">
        <v>1177</v>
      </c>
      <c r="F192" s="19" t="s">
        <v>1084</v>
      </c>
      <c r="G192" s="68" t="s">
        <v>1977</v>
      </c>
      <c r="H192" s="68" t="s">
        <v>1131</v>
      </c>
      <c r="I192" s="19"/>
      <c r="J192" s="20" t="s">
        <v>708</v>
      </c>
      <c r="K192" s="2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2" s="107">
        <f>ROUND(Tableau17[[#This Row],[LEN]]*7.27,0)</f>
        <v>102</v>
      </c>
      <c r="M192" s="107">
        <v>15</v>
      </c>
      <c r="N192" s="125" t="str">
        <f t="shared" si="1"/>
        <v>none</v>
      </c>
      <c r="O192" s="107">
        <f>LEN(Tableau17[[#This Row],[LABEL]])</f>
        <v>14</v>
      </c>
      <c r="P192" s="107">
        <v>15</v>
      </c>
      <c r="Q192" s="107" t="e">
        <f>ROUND(Tableau17[[#This Row],[LEN]]*#REF!+#REF!,0)</f>
        <v>#REF!</v>
      </c>
    </row>
    <row r="193" spans="1:17" s="97" customFormat="1" ht="15.75" thickTop="1" x14ac:dyDescent="0.25">
      <c r="A193" s="156" t="s">
        <v>201</v>
      </c>
      <c r="B193" s="156" t="s">
        <v>198</v>
      </c>
      <c r="C193" s="157" t="s">
        <v>1160</v>
      </c>
      <c r="D193" s="157" t="s">
        <v>182</v>
      </c>
      <c r="E193" s="158" t="s">
        <v>1177</v>
      </c>
      <c r="F193" s="157" t="s">
        <v>1084</v>
      </c>
      <c r="G193" s="158" t="s">
        <v>171</v>
      </c>
      <c r="H193" s="158" t="s">
        <v>615</v>
      </c>
      <c r="I193" s="157"/>
      <c r="J193" s="159" t="s">
        <v>707</v>
      </c>
      <c r="K193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93" s="160">
        <f>ROUND(Tableau17[[#This Row],[LEN]]*7.27,0)</f>
        <v>58</v>
      </c>
      <c r="M193" s="160">
        <v>15</v>
      </c>
      <c r="N193" s="161" t="str">
        <f t="shared" si="1"/>
        <v>new</v>
      </c>
      <c r="O193" s="160">
        <f>LEN(Tableau17[[#This Row],[LABEL]])</f>
        <v>8</v>
      </c>
      <c r="P193" s="162">
        <v>15</v>
      </c>
      <c r="Q193" s="162" t="e">
        <f>ROUND(Tableau17[[#This Row],[LEN]]*#REF!+#REF!,0)</f>
        <v>#REF!</v>
      </c>
    </row>
    <row r="194" spans="1:17" s="97" customFormat="1" ht="15.75" thickBot="1" x14ac:dyDescent="0.3">
      <c r="A194" s="170" t="s">
        <v>206</v>
      </c>
      <c r="B194" s="170" t="s">
        <v>201</v>
      </c>
      <c r="C194" s="171" t="s">
        <v>174</v>
      </c>
      <c r="D194" s="172" t="s">
        <v>186</v>
      </c>
      <c r="E194" s="171" t="s">
        <v>1177</v>
      </c>
      <c r="F194" s="172" t="s">
        <v>1177</v>
      </c>
      <c r="G194" s="171" t="s">
        <v>166</v>
      </c>
      <c r="H194" s="171" t="s">
        <v>616</v>
      </c>
      <c r="I194" s="172"/>
      <c r="J194" s="173" t="s">
        <v>708</v>
      </c>
      <c r="K194" s="17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94" s="174">
        <f>ROUND(Tableau17[[#This Row],[LEN]]*7.27,0)</f>
        <v>65</v>
      </c>
      <c r="M194" s="174">
        <v>15</v>
      </c>
      <c r="N194" s="175" t="str">
        <f t="shared" si="1"/>
        <v>none</v>
      </c>
      <c r="O194" s="174">
        <f>LEN(Tableau17[[#This Row],[LABEL]])</f>
        <v>9</v>
      </c>
      <c r="P194" s="176">
        <v>15</v>
      </c>
      <c r="Q194" s="176" t="e">
        <f>ROUND(Tableau17[[#This Row],[LEN]]*#REF!+#REF!,0)</f>
        <v>#REF!</v>
      </c>
    </row>
    <row r="195" spans="1:17" s="92" customFormat="1" ht="15.75" thickTop="1" x14ac:dyDescent="0.25">
      <c r="A195" s="288" t="s">
        <v>249</v>
      </c>
      <c r="B195" s="289" t="s">
        <v>206</v>
      </c>
      <c r="C195" s="290" t="s">
        <v>57</v>
      </c>
      <c r="D195" s="291" t="s">
        <v>1177</v>
      </c>
      <c r="E195" s="290" t="s">
        <v>663</v>
      </c>
      <c r="F195" s="290" t="s">
        <v>1177</v>
      </c>
      <c r="G195" s="291" t="s">
        <v>166</v>
      </c>
      <c r="H195" s="291" t="str">
        <f>IFERROR(IF(SEARCH(".00.00.00.00.00",Tableau17[[#This Row],[name]],1)=7,"Division",""),"")</f>
        <v>Division</v>
      </c>
      <c r="I195" s="290"/>
      <c r="J195" s="292" t="s">
        <v>708</v>
      </c>
      <c r="K195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95" s="293">
        <f>ROUND(Tableau17[[#This Row],[LEN]]*7.27,0)</f>
        <v>102</v>
      </c>
      <c r="M195" s="293">
        <v>15</v>
      </c>
      <c r="N195" s="294" t="str">
        <f t="shared" si="1"/>
        <v>none</v>
      </c>
      <c r="O195" s="293">
        <f>LEN(Tableau17[[#This Row],[LABEL]])</f>
        <v>14</v>
      </c>
      <c r="P195" s="293">
        <v>15</v>
      </c>
      <c r="Q195" s="293" t="e">
        <f>ROUND(Tableau17[[#This Row],[LEN]]*#REF!+#REF!,0)</f>
        <v>#REF!</v>
      </c>
    </row>
    <row r="196" spans="1:17" s="97" customFormat="1" x14ac:dyDescent="0.25">
      <c r="A196" s="25" t="s">
        <v>760</v>
      </c>
      <c r="B196" s="26" t="s">
        <v>249</v>
      </c>
      <c r="C196" s="27" t="s">
        <v>774</v>
      </c>
      <c r="D196" s="70" t="s">
        <v>1177</v>
      </c>
      <c r="E196" s="27" t="s">
        <v>663</v>
      </c>
      <c r="F196" s="27" t="s">
        <v>1177</v>
      </c>
      <c r="G196" s="70" t="s">
        <v>166</v>
      </c>
      <c r="H196" s="70" t="s">
        <v>656</v>
      </c>
      <c r="I196" s="27"/>
      <c r="J196" s="28" t="s">
        <v>708</v>
      </c>
      <c r="K19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6" s="109">
        <f>ROUND(Tableau17[[#This Row],[LEN]]*7.27,0)</f>
        <v>393</v>
      </c>
      <c r="M196" s="109">
        <v>15</v>
      </c>
      <c r="N196" s="127" t="str">
        <f t="shared" si="1"/>
        <v>none</v>
      </c>
      <c r="O196" s="109">
        <f>LEN(Tableau17[[#This Row],[LABEL]])</f>
        <v>54</v>
      </c>
      <c r="P196" s="109">
        <v>15</v>
      </c>
      <c r="Q196" s="109" t="e">
        <f>ROUND(Tableau17[[#This Row],[LEN]]*#REF!+#REF!,0)</f>
        <v>#REF!</v>
      </c>
    </row>
    <row r="197" spans="1:17" s="97" customFormat="1" x14ac:dyDescent="0.25">
      <c r="A197" s="25" t="s">
        <v>761</v>
      </c>
      <c r="B197" s="26" t="s">
        <v>249</v>
      </c>
      <c r="C197" s="27" t="s">
        <v>781</v>
      </c>
      <c r="D197" s="70" t="s">
        <v>1177</v>
      </c>
      <c r="E197" s="27" t="s">
        <v>663</v>
      </c>
      <c r="F197" s="27" t="s">
        <v>1177</v>
      </c>
      <c r="G197" s="70" t="s">
        <v>166</v>
      </c>
      <c r="H197" s="70" t="s">
        <v>655</v>
      </c>
      <c r="I197" s="27"/>
      <c r="J197" s="28" t="s">
        <v>708</v>
      </c>
      <c r="K19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7" s="109">
        <f>ROUND(Tableau17[[#This Row],[LEN]]*7.27,0)</f>
        <v>218</v>
      </c>
      <c r="M197" s="109">
        <v>15</v>
      </c>
      <c r="N197" s="127" t="str">
        <f t="shared" si="1"/>
        <v>none</v>
      </c>
      <c r="O197" s="109">
        <f>LEN(Tableau17[[#This Row],[LABEL]])</f>
        <v>30</v>
      </c>
      <c r="P197" s="109">
        <v>15</v>
      </c>
      <c r="Q197" s="109" t="e">
        <f>ROUND(Tableau17[[#This Row],[LEN]]*#REF!+#REF!,0)</f>
        <v>#REF!</v>
      </c>
    </row>
    <row r="198" spans="1:17" s="97" customFormat="1" x14ac:dyDescent="0.25">
      <c r="A198" s="29" t="s">
        <v>787</v>
      </c>
      <c r="B198" s="30" t="s">
        <v>761</v>
      </c>
      <c r="C198" s="31" t="s">
        <v>789</v>
      </c>
      <c r="D198" s="71" t="s">
        <v>1177</v>
      </c>
      <c r="E198" s="31" t="s">
        <v>663</v>
      </c>
      <c r="F198" s="31" t="s">
        <v>1177</v>
      </c>
      <c r="G198" s="71" t="s">
        <v>166</v>
      </c>
      <c r="H198" s="85" t="s">
        <v>654</v>
      </c>
      <c r="I198" s="31"/>
      <c r="J198" s="103" t="s">
        <v>708</v>
      </c>
      <c r="K19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8" s="110">
        <f>ROUND(Tableau17[[#This Row],[LEN]]*7.27,0)</f>
        <v>189</v>
      </c>
      <c r="M198" s="110">
        <v>15</v>
      </c>
      <c r="N198" s="128" t="str">
        <f t="shared" si="1"/>
        <v>none</v>
      </c>
      <c r="O198" s="111">
        <f>LEN(Tableau17[[#This Row],[LABEL]])</f>
        <v>26</v>
      </c>
      <c r="P198" s="111">
        <v>15</v>
      </c>
      <c r="Q198" s="111" t="e">
        <f>ROUND(Tableau17[[#This Row],[LEN]]*#REF!+#REF!,0)</f>
        <v>#REF!</v>
      </c>
    </row>
    <row r="199" spans="1:17" s="97" customFormat="1" x14ac:dyDescent="0.25">
      <c r="A199" s="29" t="s">
        <v>788</v>
      </c>
      <c r="B199" s="30" t="s">
        <v>761</v>
      </c>
      <c r="C199" s="31" t="s">
        <v>790</v>
      </c>
      <c r="D199" s="71" t="s">
        <v>1177</v>
      </c>
      <c r="E199" s="31" t="s">
        <v>663</v>
      </c>
      <c r="F199" s="31" t="s">
        <v>1177</v>
      </c>
      <c r="G199" s="71" t="s">
        <v>166</v>
      </c>
      <c r="H199" s="85" t="s">
        <v>654</v>
      </c>
      <c r="I199" s="31"/>
      <c r="J199" s="103" t="s">
        <v>708</v>
      </c>
      <c r="K199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99" s="110">
        <f>ROUND(Tableau17[[#This Row],[LEN]]*7.27,0)</f>
        <v>349</v>
      </c>
      <c r="M199" s="110">
        <v>15</v>
      </c>
      <c r="N199" s="128" t="str">
        <f t="shared" si="1"/>
        <v>none</v>
      </c>
      <c r="O199" s="111">
        <f>LEN(Tableau17[[#This Row],[LABEL]])</f>
        <v>48</v>
      </c>
      <c r="P199" s="111">
        <v>15</v>
      </c>
      <c r="Q199" s="111" t="e">
        <f>ROUND(Tableau17[[#This Row],[LEN]]*#REF!+#REF!,0)</f>
        <v>#REF!</v>
      </c>
    </row>
    <row r="200" spans="1:17" s="97" customFormat="1" x14ac:dyDescent="0.25">
      <c r="A200" s="25" t="s">
        <v>762</v>
      </c>
      <c r="B200" s="26" t="s">
        <v>249</v>
      </c>
      <c r="C200" s="27" t="s">
        <v>775</v>
      </c>
      <c r="D200" s="70" t="s">
        <v>1177</v>
      </c>
      <c r="E200" s="27" t="s">
        <v>663</v>
      </c>
      <c r="F200" s="27" t="s">
        <v>1177</v>
      </c>
      <c r="G200" s="70" t="s">
        <v>166</v>
      </c>
      <c r="H200" s="70" t="s">
        <v>654</v>
      </c>
      <c r="I200" s="27"/>
      <c r="J200" s="28" t="s">
        <v>708</v>
      </c>
      <c r="K20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0" s="109">
        <f>ROUND(Tableau17[[#This Row],[LEN]]*7.27,0)</f>
        <v>378</v>
      </c>
      <c r="M200" s="109">
        <v>15</v>
      </c>
      <c r="N200" s="127" t="str">
        <f t="shared" si="1"/>
        <v>none</v>
      </c>
      <c r="O200" s="109">
        <f>LEN(Tableau17[[#This Row],[LABEL]])</f>
        <v>52</v>
      </c>
      <c r="P200" s="109">
        <v>15</v>
      </c>
      <c r="Q200" s="109" t="e">
        <f>ROUND(Tableau17[[#This Row],[LEN]]*#REF!+#REF!,0)</f>
        <v>#REF!</v>
      </c>
    </row>
    <row r="201" spans="1:17" s="97" customFormat="1" x14ac:dyDescent="0.25">
      <c r="A201" s="25" t="s">
        <v>763</v>
      </c>
      <c r="B201" s="26" t="s">
        <v>249</v>
      </c>
      <c r="C201" s="27" t="s">
        <v>88</v>
      </c>
      <c r="D201" s="70" t="s">
        <v>1177</v>
      </c>
      <c r="E201" s="27" t="s">
        <v>667</v>
      </c>
      <c r="F201" s="27" t="s">
        <v>1218</v>
      </c>
      <c r="G201" s="70" t="s">
        <v>166</v>
      </c>
      <c r="H201" s="70" t="s">
        <v>570</v>
      </c>
      <c r="I201" s="27"/>
      <c r="J201" s="28" t="s">
        <v>708</v>
      </c>
      <c r="K20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1" s="109">
        <f>ROUND(Tableau17[[#This Row],[LEN]]*7.27,0)</f>
        <v>342</v>
      </c>
      <c r="M201" s="109">
        <v>15</v>
      </c>
      <c r="N201" s="127" t="str">
        <f t="shared" si="1"/>
        <v>none</v>
      </c>
      <c r="O201" s="109">
        <f>LEN(Tableau17[[#This Row],[LABEL]])</f>
        <v>47</v>
      </c>
      <c r="P201" s="109">
        <v>15</v>
      </c>
      <c r="Q201" s="109" t="e">
        <f>ROUND(Tableau17[[#This Row],[LEN]]*#REF!+#REF!,0)</f>
        <v>#REF!</v>
      </c>
    </row>
    <row r="202" spans="1:17" s="97" customFormat="1" x14ac:dyDescent="0.25">
      <c r="A202" s="25" t="s">
        <v>764</v>
      </c>
      <c r="B202" s="26" t="s">
        <v>249</v>
      </c>
      <c r="C202" s="27" t="s">
        <v>776</v>
      </c>
      <c r="D202" s="70" t="s">
        <v>1177</v>
      </c>
      <c r="E202" s="27" t="s">
        <v>663</v>
      </c>
      <c r="F202" s="27" t="s">
        <v>970</v>
      </c>
      <c r="G202" s="70" t="s">
        <v>166</v>
      </c>
      <c r="H202" s="70" t="s">
        <v>655</v>
      </c>
      <c r="I202" s="27"/>
      <c r="J202" s="28" t="s">
        <v>708</v>
      </c>
      <c r="K20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2" s="109">
        <f>ROUND(Tableau17[[#This Row],[LEN]]*7.27,0)</f>
        <v>44</v>
      </c>
      <c r="M202" s="109">
        <v>15</v>
      </c>
      <c r="N202" s="127" t="str">
        <f t="shared" si="1"/>
        <v>none</v>
      </c>
      <c r="O202" s="109">
        <f>LEN(Tableau17[[#This Row],[LABEL]])</f>
        <v>6</v>
      </c>
      <c r="P202" s="109">
        <v>15</v>
      </c>
      <c r="Q202" s="109" t="e">
        <f>ROUND(Tableau17[[#This Row],[LEN]]*#REF!+#REF!,0)</f>
        <v>#REF!</v>
      </c>
    </row>
    <row r="203" spans="1:17" s="97" customFormat="1" x14ac:dyDescent="0.25">
      <c r="A203" s="29" t="s">
        <v>791</v>
      </c>
      <c r="B203" s="30" t="s">
        <v>764</v>
      </c>
      <c r="C203" s="31" t="s">
        <v>794</v>
      </c>
      <c r="D203" s="71" t="s">
        <v>1177</v>
      </c>
      <c r="E203" s="31" t="s">
        <v>663</v>
      </c>
      <c r="F203" s="31" t="s">
        <v>970</v>
      </c>
      <c r="G203" s="71" t="s">
        <v>166</v>
      </c>
      <c r="H203" s="85" t="s">
        <v>18</v>
      </c>
      <c r="I203" s="31"/>
      <c r="J203" s="103" t="s">
        <v>708</v>
      </c>
      <c r="K20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3" s="110">
        <f>ROUND(Tableau17[[#This Row],[LEN]]*7.27,0)</f>
        <v>65</v>
      </c>
      <c r="M203" s="110">
        <v>15</v>
      </c>
      <c r="N203" s="128" t="str">
        <f t="shared" si="1"/>
        <v>none</v>
      </c>
      <c r="O203" s="111">
        <f>LEN(Tableau17[[#This Row],[LABEL]])</f>
        <v>9</v>
      </c>
      <c r="P203" s="111">
        <v>15</v>
      </c>
      <c r="Q203" s="111" t="e">
        <f>ROUND(Tableau17[[#This Row],[LEN]]*#REF!+#REF!,0)</f>
        <v>#REF!</v>
      </c>
    </row>
    <row r="204" spans="1:17" s="97" customFormat="1" x14ac:dyDescent="0.25">
      <c r="A204" s="29" t="s">
        <v>792</v>
      </c>
      <c r="B204" s="30" t="s">
        <v>764</v>
      </c>
      <c r="C204" s="31" t="s">
        <v>795</v>
      </c>
      <c r="D204" s="71" t="s">
        <v>1177</v>
      </c>
      <c r="E204" s="31" t="s">
        <v>663</v>
      </c>
      <c r="F204" s="31" t="s">
        <v>970</v>
      </c>
      <c r="G204" s="71" t="s">
        <v>166</v>
      </c>
      <c r="H204" s="85" t="s">
        <v>18</v>
      </c>
      <c r="I204" s="31"/>
      <c r="J204" s="103" t="s">
        <v>708</v>
      </c>
      <c r="K204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4" s="110">
        <f>ROUND(Tableau17[[#This Row],[LEN]]*7.27,0)</f>
        <v>65</v>
      </c>
      <c r="M204" s="110">
        <v>15</v>
      </c>
      <c r="N204" s="128" t="str">
        <f t="shared" si="1"/>
        <v>none</v>
      </c>
      <c r="O204" s="111">
        <f>LEN(Tableau17[[#This Row],[LABEL]])</f>
        <v>9</v>
      </c>
      <c r="P204" s="111">
        <v>15</v>
      </c>
      <c r="Q204" s="111" t="e">
        <f>ROUND(Tableau17[[#This Row],[LEN]]*#REF!+#REF!,0)</f>
        <v>#REF!</v>
      </c>
    </row>
    <row r="205" spans="1:17" s="97" customFormat="1" x14ac:dyDescent="0.25">
      <c r="A205" s="29" t="s">
        <v>793</v>
      </c>
      <c r="B205" s="30" t="s">
        <v>764</v>
      </c>
      <c r="C205" s="31" t="s">
        <v>796</v>
      </c>
      <c r="D205" s="71" t="s">
        <v>1177</v>
      </c>
      <c r="E205" s="31" t="s">
        <v>663</v>
      </c>
      <c r="F205" s="31" t="s">
        <v>970</v>
      </c>
      <c r="G205" s="71" t="s">
        <v>166</v>
      </c>
      <c r="H205" s="85" t="s">
        <v>18</v>
      </c>
      <c r="I205" s="31"/>
      <c r="J205" s="103" t="s">
        <v>708</v>
      </c>
      <c r="K205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5" s="110">
        <f>ROUND(Tableau17[[#This Row],[LEN]]*7.27,0)</f>
        <v>73</v>
      </c>
      <c r="M205" s="110">
        <v>15</v>
      </c>
      <c r="N205" s="128" t="str">
        <f t="shared" si="1"/>
        <v>none</v>
      </c>
      <c r="O205" s="111">
        <f>LEN(Tableau17[[#This Row],[LABEL]])</f>
        <v>10</v>
      </c>
      <c r="P205" s="111">
        <v>15</v>
      </c>
      <c r="Q205" s="111" t="e">
        <f>ROUND(Tableau17[[#This Row],[LEN]]*#REF!+#REF!,0)</f>
        <v>#REF!</v>
      </c>
    </row>
    <row r="206" spans="1:17" s="97" customFormat="1" x14ac:dyDescent="0.25">
      <c r="A206" s="29" t="s">
        <v>797</v>
      </c>
      <c r="B206" s="30" t="s">
        <v>764</v>
      </c>
      <c r="C206" s="31" t="s">
        <v>801</v>
      </c>
      <c r="D206" s="71" t="s">
        <v>1177</v>
      </c>
      <c r="E206" s="31" t="s">
        <v>663</v>
      </c>
      <c r="F206" s="31" t="s">
        <v>970</v>
      </c>
      <c r="G206" s="71" t="s">
        <v>166</v>
      </c>
      <c r="H206" s="85" t="s">
        <v>18</v>
      </c>
      <c r="I206" s="31"/>
      <c r="J206" s="103" t="s">
        <v>708</v>
      </c>
      <c r="K206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6" s="110">
        <f>ROUND(Tableau17[[#This Row],[LEN]]*7.27,0)</f>
        <v>73</v>
      </c>
      <c r="M206" s="110">
        <v>15</v>
      </c>
      <c r="N206" s="128" t="str">
        <f t="shared" si="1"/>
        <v>none</v>
      </c>
      <c r="O206" s="111">
        <f>LEN(Tableau17[[#This Row],[LABEL]])</f>
        <v>10</v>
      </c>
      <c r="P206" s="111">
        <v>15</v>
      </c>
      <c r="Q206" s="111" t="e">
        <f>ROUND(Tableau17[[#This Row],[LEN]]*#REF!+#REF!,0)</f>
        <v>#REF!</v>
      </c>
    </row>
    <row r="207" spans="1:17" s="97" customFormat="1" x14ac:dyDescent="0.25">
      <c r="A207" s="29" t="s">
        <v>798</v>
      </c>
      <c r="B207" s="30" t="s">
        <v>764</v>
      </c>
      <c r="C207" s="31" t="s">
        <v>806</v>
      </c>
      <c r="D207" s="71" t="s">
        <v>1177</v>
      </c>
      <c r="E207" s="31" t="s">
        <v>663</v>
      </c>
      <c r="F207" s="31" t="s">
        <v>970</v>
      </c>
      <c r="G207" s="71" t="s">
        <v>166</v>
      </c>
      <c r="H207" s="85" t="s">
        <v>18</v>
      </c>
      <c r="I207" s="31"/>
      <c r="J207" s="103" t="s">
        <v>708</v>
      </c>
      <c r="K20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7" s="110">
        <f>ROUND(Tableau17[[#This Row],[LEN]]*7.27,0)</f>
        <v>174</v>
      </c>
      <c r="M207" s="110">
        <v>15</v>
      </c>
      <c r="N207" s="128" t="str">
        <f t="shared" si="1"/>
        <v>none</v>
      </c>
      <c r="O207" s="111">
        <f>LEN(Tableau17[[#This Row],[LABEL]])</f>
        <v>24</v>
      </c>
      <c r="P207" s="111">
        <v>15</v>
      </c>
      <c r="Q207" s="111" t="e">
        <f>ROUND(Tableau17[[#This Row],[LEN]]*#REF!+#REF!,0)</f>
        <v>#REF!</v>
      </c>
    </row>
    <row r="208" spans="1:17" s="97" customFormat="1" x14ac:dyDescent="0.25">
      <c r="A208" s="29" t="s">
        <v>799</v>
      </c>
      <c r="B208" s="30" t="s">
        <v>764</v>
      </c>
      <c r="C208" s="31" t="s">
        <v>807</v>
      </c>
      <c r="D208" s="71" t="s">
        <v>1177</v>
      </c>
      <c r="E208" s="31" t="s">
        <v>663</v>
      </c>
      <c r="F208" s="31" t="s">
        <v>970</v>
      </c>
      <c r="G208" s="71" t="s">
        <v>166</v>
      </c>
      <c r="H208" s="85" t="s">
        <v>18</v>
      </c>
      <c r="I208" s="31"/>
      <c r="J208" s="103" t="s">
        <v>708</v>
      </c>
      <c r="K20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8" s="110">
        <f>ROUND(Tableau17[[#This Row],[LEN]]*7.27,0)</f>
        <v>218</v>
      </c>
      <c r="M208" s="110">
        <v>15</v>
      </c>
      <c r="N208" s="128" t="str">
        <f t="shared" si="1"/>
        <v>none</v>
      </c>
      <c r="O208" s="111">
        <f>LEN(Tableau17[[#This Row],[LABEL]])</f>
        <v>30</v>
      </c>
      <c r="P208" s="111">
        <v>15</v>
      </c>
      <c r="Q208" s="111" t="e">
        <f>ROUND(Tableau17[[#This Row],[LEN]]*#REF!+#REF!,0)</f>
        <v>#REF!</v>
      </c>
    </row>
    <row r="209" spans="1:17" s="97" customFormat="1" x14ac:dyDescent="0.25">
      <c r="A209" s="29" t="s">
        <v>800</v>
      </c>
      <c r="B209" s="30" t="s">
        <v>764</v>
      </c>
      <c r="C209" s="31" t="s">
        <v>808</v>
      </c>
      <c r="D209" s="71" t="s">
        <v>1177</v>
      </c>
      <c r="E209" s="31" t="s">
        <v>663</v>
      </c>
      <c r="F209" s="31" t="s">
        <v>970</v>
      </c>
      <c r="G209" s="71" t="s">
        <v>166</v>
      </c>
      <c r="H209" s="85" t="s">
        <v>18</v>
      </c>
      <c r="I209" s="31"/>
      <c r="J209" s="103" t="s">
        <v>708</v>
      </c>
      <c r="K209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09" s="110">
        <f>ROUND(Tableau17[[#This Row],[LEN]]*7.27,0)</f>
        <v>15</v>
      </c>
      <c r="M209" s="110">
        <v>15</v>
      </c>
      <c r="N209" s="128" t="str">
        <f t="shared" si="1"/>
        <v>none</v>
      </c>
      <c r="O209" s="111">
        <f>LEN(Tableau17[[#This Row],[LABEL]])</f>
        <v>2</v>
      </c>
      <c r="P209" s="111">
        <v>15</v>
      </c>
      <c r="Q209" s="111" t="e">
        <f>ROUND(Tableau17[[#This Row],[LEN]]*#REF!+#REF!,0)</f>
        <v>#REF!</v>
      </c>
    </row>
    <row r="210" spans="1:17" s="97" customFormat="1" x14ac:dyDescent="0.25">
      <c r="A210" s="29" t="s">
        <v>802</v>
      </c>
      <c r="B210" s="30" t="s">
        <v>764</v>
      </c>
      <c r="C210" s="31" t="s">
        <v>809</v>
      </c>
      <c r="D210" s="71" t="s">
        <v>1177</v>
      </c>
      <c r="E210" s="31" t="s">
        <v>663</v>
      </c>
      <c r="F210" s="31" t="s">
        <v>970</v>
      </c>
      <c r="G210" s="71" t="s">
        <v>166</v>
      </c>
      <c r="H210" s="85" t="s">
        <v>18</v>
      </c>
      <c r="I210" s="31"/>
      <c r="J210" s="103" t="s">
        <v>708</v>
      </c>
      <c r="K210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0" s="110">
        <f>ROUND(Tableau17[[#This Row],[LEN]]*7.27,0)</f>
        <v>65</v>
      </c>
      <c r="M210" s="110">
        <v>15</v>
      </c>
      <c r="N210" s="128" t="str">
        <f t="shared" si="1"/>
        <v>none</v>
      </c>
      <c r="O210" s="111">
        <f>LEN(Tableau17[[#This Row],[LABEL]])</f>
        <v>9</v>
      </c>
      <c r="P210" s="111">
        <v>15</v>
      </c>
      <c r="Q210" s="111" t="e">
        <f>ROUND(Tableau17[[#This Row],[LEN]]*#REF!+#REF!,0)</f>
        <v>#REF!</v>
      </c>
    </row>
    <row r="211" spans="1:17" s="97" customFormat="1" x14ac:dyDescent="0.25">
      <c r="A211" s="29" t="s">
        <v>803</v>
      </c>
      <c r="B211" s="30" t="s">
        <v>764</v>
      </c>
      <c r="C211" s="31" t="s">
        <v>810</v>
      </c>
      <c r="D211" s="71" t="s">
        <v>1177</v>
      </c>
      <c r="E211" s="31" t="s">
        <v>663</v>
      </c>
      <c r="F211" s="31" t="s">
        <v>970</v>
      </c>
      <c r="G211" s="71" t="s">
        <v>166</v>
      </c>
      <c r="H211" s="85" t="s">
        <v>18</v>
      </c>
      <c r="I211" s="31"/>
      <c r="J211" s="103" t="s">
        <v>708</v>
      </c>
      <c r="K211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1" s="110">
        <f>ROUND(Tableau17[[#This Row],[LEN]]*7.27,0)</f>
        <v>225</v>
      </c>
      <c r="M211" s="110">
        <v>15</v>
      </c>
      <c r="N211" s="128" t="str">
        <f t="shared" si="1"/>
        <v>none</v>
      </c>
      <c r="O211" s="111">
        <f>LEN(Tableau17[[#This Row],[LABEL]])</f>
        <v>31</v>
      </c>
      <c r="P211" s="111">
        <v>15</v>
      </c>
      <c r="Q211" s="111" t="e">
        <f>ROUND(Tableau17[[#This Row],[LEN]]*#REF!+#REF!,0)</f>
        <v>#REF!</v>
      </c>
    </row>
    <row r="212" spans="1:17" s="97" customFormat="1" x14ac:dyDescent="0.25">
      <c r="A212" s="29" t="s">
        <v>804</v>
      </c>
      <c r="B212" s="30" t="s">
        <v>764</v>
      </c>
      <c r="C212" s="31" t="s">
        <v>811</v>
      </c>
      <c r="D212" s="71" t="s">
        <v>1177</v>
      </c>
      <c r="E212" s="31" t="s">
        <v>663</v>
      </c>
      <c r="F212" s="31" t="s">
        <v>970</v>
      </c>
      <c r="G212" s="71" t="s">
        <v>166</v>
      </c>
      <c r="H212" s="85" t="s">
        <v>18</v>
      </c>
      <c r="I212" s="31"/>
      <c r="J212" s="103" t="s">
        <v>708</v>
      </c>
      <c r="K212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2" s="110">
        <f>ROUND(Tableau17[[#This Row],[LEN]]*7.27,0)</f>
        <v>160</v>
      </c>
      <c r="M212" s="110">
        <v>15</v>
      </c>
      <c r="N212" s="128" t="str">
        <f t="shared" si="1"/>
        <v>none</v>
      </c>
      <c r="O212" s="111">
        <f>LEN(Tableau17[[#This Row],[LABEL]])</f>
        <v>22</v>
      </c>
      <c r="P212" s="111">
        <v>15</v>
      </c>
      <c r="Q212" s="111" t="e">
        <f>ROUND(Tableau17[[#This Row],[LEN]]*#REF!+#REF!,0)</f>
        <v>#REF!</v>
      </c>
    </row>
    <row r="213" spans="1:17" s="97" customFormat="1" x14ac:dyDescent="0.25">
      <c r="A213" s="29" t="s">
        <v>805</v>
      </c>
      <c r="B213" s="30" t="s">
        <v>764</v>
      </c>
      <c r="C213" s="31" t="s">
        <v>812</v>
      </c>
      <c r="D213" s="71" t="s">
        <v>1177</v>
      </c>
      <c r="E213" s="31" t="s">
        <v>663</v>
      </c>
      <c r="F213" s="31" t="s">
        <v>970</v>
      </c>
      <c r="G213" s="71" t="s">
        <v>166</v>
      </c>
      <c r="H213" s="85" t="s">
        <v>18</v>
      </c>
      <c r="I213" s="31"/>
      <c r="J213" s="103" t="s">
        <v>708</v>
      </c>
      <c r="K21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3" s="110">
        <f>ROUND(Tableau17[[#This Row],[LEN]]*7.27,0)</f>
        <v>131</v>
      </c>
      <c r="M213" s="110">
        <v>15</v>
      </c>
      <c r="N213" s="128" t="str">
        <f t="shared" si="1"/>
        <v>none</v>
      </c>
      <c r="O213" s="111">
        <f>LEN(Tableau17[[#This Row],[LABEL]])</f>
        <v>18</v>
      </c>
      <c r="P213" s="111">
        <v>15</v>
      </c>
      <c r="Q213" s="111" t="e">
        <f>ROUND(Tableau17[[#This Row],[LEN]]*#REF!+#REF!,0)</f>
        <v>#REF!</v>
      </c>
    </row>
    <row r="214" spans="1:17" s="97" customFormat="1" x14ac:dyDescent="0.25">
      <c r="A214" s="25" t="s">
        <v>765</v>
      </c>
      <c r="B214" s="26" t="s">
        <v>249</v>
      </c>
      <c r="C214" s="27" t="s">
        <v>783</v>
      </c>
      <c r="D214" s="70" t="s">
        <v>1177</v>
      </c>
      <c r="E214" s="27" t="s">
        <v>663</v>
      </c>
      <c r="F214" s="27" t="s">
        <v>1177</v>
      </c>
      <c r="G214" s="70" t="s">
        <v>166</v>
      </c>
      <c r="H214" s="70" t="s">
        <v>655</v>
      </c>
      <c r="I214" s="27"/>
      <c r="J214" s="28" t="s">
        <v>708</v>
      </c>
      <c r="K21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4" s="109">
        <f>ROUND(Tableau17[[#This Row],[LEN]]*7.27,0)</f>
        <v>138</v>
      </c>
      <c r="M214" s="109">
        <v>15</v>
      </c>
      <c r="N214" s="127" t="str">
        <f t="shared" si="1"/>
        <v>none</v>
      </c>
      <c r="O214" s="109">
        <f>LEN(Tableau17[[#This Row],[LABEL]])</f>
        <v>19</v>
      </c>
      <c r="P214" s="109">
        <v>15</v>
      </c>
      <c r="Q214" s="109" t="e">
        <f>ROUND(Tableau17[[#This Row],[LEN]]*#REF!+#REF!,0)</f>
        <v>#REF!</v>
      </c>
    </row>
    <row r="215" spans="1:17" s="97" customFormat="1" x14ac:dyDescent="0.25">
      <c r="A215" s="29" t="s">
        <v>813</v>
      </c>
      <c r="B215" s="30" t="s">
        <v>765</v>
      </c>
      <c r="C215" s="31" t="s">
        <v>817</v>
      </c>
      <c r="D215" s="71" t="s">
        <v>1177</v>
      </c>
      <c r="E215" s="31" t="s">
        <v>663</v>
      </c>
      <c r="F215" s="31" t="s">
        <v>1177</v>
      </c>
      <c r="G215" s="71" t="s">
        <v>166</v>
      </c>
      <c r="H215" s="85" t="s">
        <v>656</v>
      </c>
      <c r="I215" s="31"/>
      <c r="J215" s="103" t="s">
        <v>708</v>
      </c>
      <c r="K215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5" s="110">
        <f>ROUND(Tableau17[[#This Row],[LEN]]*7.27,0)</f>
        <v>313</v>
      </c>
      <c r="M215" s="110">
        <v>15</v>
      </c>
      <c r="N215" s="128" t="str">
        <f t="shared" si="1"/>
        <v>none</v>
      </c>
      <c r="O215" s="111">
        <f>LEN(Tableau17[[#This Row],[LABEL]])</f>
        <v>43</v>
      </c>
      <c r="P215" s="111">
        <v>15</v>
      </c>
      <c r="Q215" s="111" t="e">
        <f>ROUND(Tableau17[[#This Row],[LEN]]*#REF!+#REF!,0)</f>
        <v>#REF!</v>
      </c>
    </row>
    <row r="216" spans="1:17" s="97" customFormat="1" x14ac:dyDescent="0.25">
      <c r="A216" s="29" t="s">
        <v>814</v>
      </c>
      <c r="B216" s="30" t="s">
        <v>765</v>
      </c>
      <c r="C216" s="31" t="s">
        <v>818</v>
      </c>
      <c r="D216" s="71" t="s">
        <v>1177</v>
      </c>
      <c r="E216" s="31" t="s">
        <v>663</v>
      </c>
      <c r="F216" s="31" t="s">
        <v>1177</v>
      </c>
      <c r="G216" s="71" t="s">
        <v>166</v>
      </c>
      <c r="H216" s="85" t="s">
        <v>656</v>
      </c>
      <c r="I216" s="31"/>
      <c r="J216" s="103" t="s">
        <v>708</v>
      </c>
      <c r="K216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6" s="110">
        <f>ROUND(Tableau17[[#This Row],[LEN]]*7.27,0)</f>
        <v>349</v>
      </c>
      <c r="M216" s="110">
        <v>15</v>
      </c>
      <c r="N216" s="128" t="str">
        <f t="shared" si="1"/>
        <v>none</v>
      </c>
      <c r="O216" s="111">
        <f>LEN(Tableau17[[#This Row],[LABEL]])</f>
        <v>48</v>
      </c>
      <c r="P216" s="111">
        <v>15</v>
      </c>
      <c r="Q216" s="111" t="e">
        <f>ROUND(Tableau17[[#This Row],[LEN]]*#REF!+#REF!,0)</f>
        <v>#REF!</v>
      </c>
    </row>
    <row r="217" spans="1:17" s="97" customFormat="1" x14ac:dyDescent="0.25">
      <c r="A217" s="29" t="s">
        <v>815</v>
      </c>
      <c r="B217" s="30" t="s">
        <v>765</v>
      </c>
      <c r="C217" s="31" t="s">
        <v>819</v>
      </c>
      <c r="D217" s="71" t="s">
        <v>1177</v>
      </c>
      <c r="E217" s="31" t="s">
        <v>663</v>
      </c>
      <c r="F217" s="31" t="s">
        <v>1177</v>
      </c>
      <c r="G217" s="71" t="s">
        <v>166</v>
      </c>
      <c r="H217" s="85" t="s">
        <v>656</v>
      </c>
      <c r="I217" s="31"/>
      <c r="J217" s="103" t="s">
        <v>708</v>
      </c>
      <c r="K21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7" s="110">
        <f>ROUND(Tableau17[[#This Row],[LEN]]*7.27,0)</f>
        <v>189</v>
      </c>
      <c r="M217" s="110">
        <v>15</v>
      </c>
      <c r="N217" s="128" t="str">
        <f t="shared" si="1"/>
        <v>none</v>
      </c>
      <c r="O217" s="111">
        <f>LEN(Tableau17[[#This Row],[LABEL]])</f>
        <v>26</v>
      </c>
      <c r="P217" s="111">
        <v>15</v>
      </c>
      <c r="Q217" s="111" t="e">
        <f>ROUND(Tableau17[[#This Row],[LEN]]*#REF!+#REF!,0)</f>
        <v>#REF!</v>
      </c>
    </row>
    <row r="218" spans="1:17" s="97" customFormat="1" x14ac:dyDescent="0.25">
      <c r="A218" s="29" t="s">
        <v>816</v>
      </c>
      <c r="B218" s="30" t="s">
        <v>765</v>
      </c>
      <c r="C218" s="31" t="s">
        <v>820</v>
      </c>
      <c r="D218" s="71" t="s">
        <v>1177</v>
      </c>
      <c r="E218" s="31" t="s">
        <v>663</v>
      </c>
      <c r="F218" s="31" t="s">
        <v>1177</v>
      </c>
      <c r="G218" s="71" t="s">
        <v>166</v>
      </c>
      <c r="H218" s="85" t="s">
        <v>18</v>
      </c>
      <c r="I218" s="31"/>
      <c r="J218" s="103" t="s">
        <v>708</v>
      </c>
      <c r="K21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8" s="110">
        <f>ROUND(Tableau17[[#This Row],[LEN]]*7.27,0)</f>
        <v>124</v>
      </c>
      <c r="M218" s="110">
        <v>15</v>
      </c>
      <c r="N218" s="128" t="str">
        <f t="shared" si="1"/>
        <v>none</v>
      </c>
      <c r="O218" s="111">
        <f>LEN(Tableau17[[#This Row],[LABEL]])</f>
        <v>17</v>
      </c>
      <c r="P218" s="111">
        <v>15</v>
      </c>
      <c r="Q218" s="111" t="e">
        <f>ROUND(Tableau17[[#This Row],[LEN]]*#REF!+#REF!,0)</f>
        <v>#REF!</v>
      </c>
    </row>
    <row r="219" spans="1:17" s="97" customFormat="1" x14ac:dyDescent="0.25">
      <c r="A219" s="25" t="s">
        <v>766</v>
      </c>
      <c r="B219" s="26" t="s">
        <v>249</v>
      </c>
      <c r="C219" s="27" t="s">
        <v>1165</v>
      </c>
      <c r="D219" s="70" t="s">
        <v>1177</v>
      </c>
      <c r="E219" s="27" t="s">
        <v>663</v>
      </c>
      <c r="F219" s="27" t="s">
        <v>1177</v>
      </c>
      <c r="G219" s="70" t="s">
        <v>166</v>
      </c>
      <c r="H219" s="70" t="s">
        <v>654</v>
      </c>
      <c r="I219" s="27"/>
      <c r="J219" s="28" t="s">
        <v>708</v>
      </c>
      <c r="K21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19" s="109">
        <f>ROUND(Tableau17[[#This Row],[LEN]]*7.27,0)</f>
        <v>211</v>
      </c>
      <c r="M219" s="109">
        <v>15</v>
      </c>
      <c r="N219" s="127" t="str">
        <f t="shared" si="1"/>
        <v>none</v>
      </c>
      <c r="O219" s="109">
        <f>LEN(Tableau17[[#This Row],[LABEL]])</f>
        <v>29</v>
      </c>
      <c r="P219" s="109">
        <v>15</v>
      </c>
      <c r="Q219" s="109" t="e">
        <f>ROUND(Tableau17[[#This Row],[LEN]]*#REF!+#REF!,0)</f>
        <v>#REF!</v>
      </c>
    </row>
    <row r="220" spans="1:17" s="97" customFormat="1" x14ac:dyDescent="0.25">
      <c r="A220" s="25" t="s">
        <v>767</v>
      </c>
      <c r="B220" s="26" t="s">
        <v>249</v>
      </c>
      <c r="C220" s="27" t="s">
        <v>777</v>
      </c>
      <c r="D220" s="70" t="s">
        <v>1177</v>
      </c>
      <c r="E220" s="27" t="s">
        <v>663</v>
      </c>
      <c r="F220" s="27" t="s">
        <v>1177</v>
      </c>
      <c r="G220" s="70" t="s">
        <v>166</v>
      </c>
      <c r="H220" s="70" t="s">
        <v>656</v>
      </c>
      <c r="I220" s="27"/>
      <c r="J220" s="28" t="s">
        <v>708</v>
      </c>
      <c r="K22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0" s="109">
        <f>ROUND(Tableau17[[#This Row],[LEN]]*7.27,0)</f>
        <v>378</v>
      </c>
      <c r="M220" s="109">
        <v>15</v>
      </c>
      <c r="N220" s="127" t="str">
        <f t="shared" si="1"/>
        <v>none</v>
      </c>
      <c r="O220" s="109">
        <f>LEN(Tableau17[[#This Row],[LABEL]])</f>
        <v>52</v>
      </c>
      <c r="P220" s="109">
        <v>15</v>
      </c>
      <c r="Q220" s="109" t="e">
        <f>ROUND(Tableau17[[#This Row],[LEN]]*#REF!+#REF!,0)</f>
        <v>#REF!</v>
      </c>
    </row>
    <row r="221" spans="1:17" s="97" customFormat="1" x14ac:dyDescent="0.25">
      <c r="A221" s="25" t="s">
        <v>768</v>
      </c>
      <c r="B221" s="26" t="s">
        <v>249</v>
      </c>
      <c r="C221" s="27" t="s">
        <v>778</v>
      </c>
      <c r="D221" s="70" t="s">
        <v>1177</v>
      </c>
      <c r="E221" s="27" t="s">
        <v>673</v>
      </c>
      <c r="F221" s="27" t="s">
        <v>2000</v>
      </c>
      <c r="G221" s="70" t="s">
        <v>166</v>
      </c>
      <c r="H221" s="70" t="s">
        <v>17</v>
      </c>
      <c r="I221" s="27"/>
      <c r="J221" s="28" t="s">
        <v>708</v>
      </c>
      <c r="K22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1" s="109">
        <f>ROUND(Tableau17[[#This Row],[LEN]]*7.27,0)</f>
        <v>211</v>
      </c>
      <c r="M221" s="109">
        <v>15</v>
      </c>
      <c r="N221" s="127" t="str">
        <f t="shared" si="1"/>
        <v>none</v>
      </c>
      <c r="O221" s="109">
        <f>LEN(Tableau17[[#This Row],[LABEL]])</f>
        <v>29</v>
      </c>
      <c r="P221" s="109">
        <v>15</v>
      </c>
      <c r="Q221" s="109" t="e">
        <f>ROUND(Tableau17[[#This Row],[LEN]]*#REF!+#REF!,0)</f>
        <v>#REF!</v>
      </c>
    </row>
    <row r="222" spans="1:17" s="97" customFormat="1" x14ac:dyDescent="0.25">
      <c r="A222" s="25" t="s">
        <v>769</v>
      </c>
      <c r="B222" s="26" t="s">
        <v>249</v>
      </c>
      <c r="C222" s="27" t="s">
        <v>92</v>
      </c>
      <c r="D222" s="70" t="s">
        <v>1177</v>
      </c>
      <c r="E222" s="27" t="s">
        <v>663</v>
      </c>
      <c r="F222" s="27" t="s">
        <v>2080</v>
      </c>
      <c r="G222" s="70" t="s">
        <v>166</v>
      </c>
      <c r="H222" s="70" t="s">
        <v>655</v>
      </c>
      <c r="I222" s="27"/>
      <c r="J222" s="28" t="s">
        <v>708</v>
      </c>
      <c r="K22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2" s="109">
        <f>ROUND(Tableau17[[#This Row],[LEN]]*7.27,0)</f>
        <v>262</v>
      </c>
      <c r="M222" s="109">
        <v>15</v>
      </c>
      <c r="N222" s="127" t="str">
        <f t="shared" si="1"/>
        <v>none</v>
      </c>
      <c r="O222" s="109">
        <f>LEN(Tableau17[[#This Row],[LABEL]])</f>
        <v>36</v>
      </c>
      <c r="P222" s="109">
        <v>15</v>
      </c>
      <c r="Q222" s="109" t="e">
        <f>ROUND(Tableau17[[#This Row],[LEN]]*#REF!+#REF!,0)</f>
        <v>#REF!</v>
      </c>
    </row>
    <row r="223" spans="1:17" s="97" customFormat="1" x14ac:dyDescent="0.25">
      <c r="A223" s="29" t="s">
        <v>821</v>
      </c>
      <c r="B223" s="30" t="s">
        <v>769</v>
      </c>
      <c r="C223" s="31" t="s">
        <v>95</v>
      </c>
      <c r="D223" s="71" t="s">
        <v>1177</v>
      </c>
      <c r="E223" s="31" t="s">
        <v>663</v>
      </c>
      <c r="F223" s="31" t="s">
        <v>2080</v>
      </c>
      <c r="G223" s="71" t="s">
        <v>166</v>
      </c>
      <c r="H223" s="85" t="s">
        <v>17</v>
      </c>
      <c r="I223" s="31"/>
      <c r="J223" s="103" t="s">
        <v>708</v>
      </c>
      <c r="K22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3" s="110">
        <f>ROUND(Tableau17[[#This Row],[LEN]]*7.27,0)</f>
        <v>254</v>
      </c>
      <c r="M223" s="110">
        <v>15</v>
      </c>
      <c r="N223" s="128" t="str">
        <f t="shared" ref="N223:N377" si="2">IF(J223="javascript:void(0)","none","new")</f>
        <v>none</v>
      </c>
      <c r="O223" s="111">
        <f>LEN(Tableau17[[#This Row],[LABEL]])</f>
        <v>35</v>
      </c>
      <c r="P223" s="111">
        <v>15</v>
      </c>
      <c r="Q223" s="111" t="e">
        <f>ROUND(Tableau17[[#This Row],[LEN]]*#REF!+#REF!,0)</f>
        <v>#REF!</v>
      </c>
    </row>
    <row r="224" spans="1:17" s="97" customFormat="1" x14ac:dyDescent="0.25">
      <c r="A224" s="29" t="s">
        <v>822</v>
      </c>
      <c r="B224" s="30" t="s">
        <v>769</v>
      </c>
      <c r="C224" s="31" t="s">
        <v>96</v>
      </c>
      <c r="D224" s="71" t="s">
        <v>1177</v>
      </c>
      <c r="E224" s="31" t="s">
        <v>663</v>
      </c>
      <c r="F224" s="31" t="s">
        <v>2080</v>
      </c>
      <c r="G224" s="71" t="s">
        <v>166</v>
      </c>
      <c r="H224" s="85" t="s">
        <v>570</v>
      </c>
      <c r="I224" s="31"/>
      <c r="J224" s="103" t="s">
        <v>708</v>
      </c>
      <c r="K224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4" s="110">
        <f>ROUND(Tableau17[[#This Row],[LEN]]*7.27,0)</f>
        <v>233</v>
      </c>
      <c r="M224" s="110">
        <v>15</v>
      </c>
      <c r="N224" s="128" t="str">
        <f t="shared" si="2"/>
        <v>none</v>
      </c>
      <c r="O224" s="111">
        <f>LEN(Tableau17[[#This Row],[LABEL]])</f>
        <v>32</v>
      </c>
      <c r="P224" s="111">
        <v>15</v>
      </c>
      <c r="Q224" s="111" t="e">
        <f>ROUND(Tableau17[[#This Row],[LEN]]*#REF!+#REF!,0)</f>
        <v>#REF!</v>
      </c>
    </row>
    <row r="225" spans="1:17" s="97" customFormat="1" x14ac:dyDescent="0.25">
      <c r="A225" s="29" t="s">
        <v>823</v>
      </c>
      <c r="B225" s="30" t="s">
        <v>769</v>
      </c>
      <c r="C225" s="31" t="s">
        <v>97</v>
      </c>
      <c r="D225" s="71" t="s">
        <v>1177</v>
      </c>
      <c r="E225" s="31" t="s">
        <v>663</v>
      </c>
      <c r="F225" s="31" t="s">
        <v>2080</v>
      </c>
      <c r="G225" s="71" t="s">
        <v>166</v>
      </c>
      <c r="H225" s="85" t="s">
        <v>656</v>
      </c>
      <c r="I225" s="31"/>
      <c r="J225" s="103" t="s">
        <v>708</v>
      </c>
      <c r="K225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5" s="110">
        <f>ROUND(Tableau17[[#This Row],[LEN]]*7.27,0)</f>
        <v>145</v>
      </c>
      <c r="M225" s="110">
        <v>15</v>
      </c>
      <c r="N225" s="128" t="str">
        <f t="shared" si="2"/>
        <v>none</v>
      </c>
      <c r="O225" s="111">
        <f>LEN(Tableau17[[#This Row],[LABEL]])</f>
        <v>20</v>
      </c>
      <c r="P225" s="111">
        <v>15</v>
      </c>
      <c r="Q225" s="111" t="e">
        <f>ROUND(Tableau17[[#This Row],[LEN]]*#REF!+#REF!,0)</f>
        <v>#REF!</v>
      </c>
    </row>
    <row r="226" spans="1:17" s="97" customFormat="1" x14ac:dyDescent="0.25">
      <c r="A226" s="25" t="s">
        <v>770</v>
      </c>
      <c r="B226" s="26" t="s">
        <v>249</v>
      </c>
      <c r="C226" s="27" t="s">
        <v>782</v>
      </c>
      <c r="D226" s="70" t="s">
        <v>1177</v>
      </c>
      <c r="E226" s="27" t="s">
        <v>667</v>
      </c>
      <c r="F226" s="27" t="s">
        <v>663</v>
      </c>
      <c r="G226" s="70" t="s">
        <v>166</v>
      </c>
      <c r="H226" s="70" t="s">
        <v>655</v>
      </c>
      <c r="I226" s="27"/>
      <c r="J226" s="28" t="s">
        <v>708</v>
      </c>
      <c r="K22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6" s="109">
        <f>ROUND(Tableau17[[#This Row],[LEN]]*7.27,0)</f>
        <v>182</v>
      </c>
      <c r="M226" s="109">
        <v>15</v>
      </c>
      <c r="N226" s="127" t="str">
        <f t="shared" si="2"/>
        <v>none</v>
      </c>
      <c r="O226" s="109">
        <f>LEN(Tableau17[[#This Row],[LABEL]])</f>
        <v>25</v>
      </c>
      <c r="P226" s="109">
        <v>15</v>
      </c>
      <c r="Q226" s="109" t="e">
        <f>ROUND(Tableau17[[#This Row],[LEN]]*#REF!+#REF!,0)</f>
        <v>#REF!</v>
      </c>
    </row>
    <row r="227" spans="1:17" s="97" customFormat="1" x14ac:dyDescent="0.25">
      <c r="A227" s="29" t="s">
        <v>824</v>
      </c>
      <c r="B227" s="30" t="s">
        <v>770</v>
      </c>
      <c r="C227" s="31" t="s">
        <v>826</v>
      </c>
      <c r="D227" s="71" t="s">
        <v>1177</v>
      </c>
      <c r="E227" s="31" t="s">
        <v>667</v>
      </c>
      <c r="F227" s="31" t="s">
        <v>663</v>
      </c>
      <c r="G227" s="71" t="s">
        <v>166</v>
      </c>
      <c r="H227" s="85" t="s">
        <v>18</v>
      </c>
      <c r="I227" s="31"/>
      <c r="J227" s="103" t="s">
        <v>101</v>
      </c>
      <c r="K22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7" s="110">
        <f>ROUND(Tableau17[[#This Row],[LEN]]*7.27,0)</f>
        <v>174</v>
      </c>
      <c r="M227" s="110">
        <v>15</v>
      </c>
      <c r="N227" s="128" t="str">
        <f t="shared" si="2"/>
        <v>new</v>
      </c>
      <c r="O227" s="111">
        <f>LEN(Tableau17[[#This Row],[LABEL]])</f>
        <v>24</v>
      </c>
      <c r="P227" s="111">
        <v>15</v>
      </c>
      <c r="Q227" s="111" t="e">
        <f>ROUND(Tableau17[[#This Row],[LEN]]*#REF!+#REF!,0)</f>
        <v>#REF!</v>
      </c>
    </row>
    <row r="228" spans="1:17" s="97" customFormat="1" x14ac:dyDescent="0.25">
      <c r="A228" s="29" t="s">
        <v>825</v>
      </c>
      <c r="B228" s="30" t="s">
        <v>770</v>
      </c>
      <c r="C228" s="31" t="s">
        <v>827</v>
      </c>
      <c r="D228" s="71" t="s">
        <v>1177</v>
      </c>
      <c r="E228" s="31" t="s">
        <v>667</v>
      </c>
      <c r="F228" s="31" t="s">
        <v>663</v>
      </c>
      <c r="G228" s="71" t="s">
        <v>166</v>
      </c>
      <c r="H228" s="85" t="s">
        <v>654</v>
      </c>
      <c r="I228" s="31"/>
      <c r="J228" s="103" t="s">
        <v>101</v>
      </c>
      <c r="K228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8" s="110">
        <f>ROUND(Tableau17[[#This Row],[LEN]]*7.27,0)</f>
        <v>262</v>
      </c>
      <c r="M228" s="110">
        <v>15</v>
      </c>
      <c r="N228" s="128" t="str">
        <f t="shared" si="2"/>
        <v>new</v>
      </c>
      <c r="O228" s="111">
        <f>LEN(Tableau17[[#This Row],[LABEL]])</f>
        <v>36</v>
      </c>
      <c r="P228" s="111">
        <v>15</v>
      </c>
      <c r="Q228" s="111" t="e">
        <f>ROUND(Tableau17[[#This Row],[LEN]]*#REF!+#REF!,0)</f>
        <v>#REF!</v>
      </c>
    </row>
    <row r="229" spans="1:17" s="97" customFormat="1" x14ac:dyDescent="0.25">
      <c r="A229" s="25" t="s">
        <v>771</v>
      </c>
      <c r="B229" s="26" t="s">
        <v>249</v>
      </c>
      <c r="C229" s="27" t="s">
        <v>779</v>
      </c>
      <c r="D229" s="70" t="s">
        <v>1177</v>
      </c>
      <c r="E229" s="27" t="s">
        <v>663</v>
      </c>
      <c r="F229" s="27" t="s">
        <v>1177</v>
      </c>
      <c r="G229" s="70" t="s">
        <v>166</v>
      </c>
      <c r="H229" s="70" t="s">
        <v>655</v>
      </c>
      <c r="I229" s="27"/>
      <c r="J229" s="28" t="s">
        <v>708</v>
      </c>
      <c r="K22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29" s="109">
        <f>ROUND(Tableau17[[#This Row],[LEN]]*7.27,0)</f>
        <v>22</v>
      </c>
      <c r="M229" s="109">
        <v>15</v>
      </c>
      <c r="N229" s="127" t="str">
        <f t="shared" si="2"/>
        <v>none</v>
      </c>
      <c r="O229" s="109">
        <f>LEN(Tableau17[[#This Row],[LABEL]])</f>
        <v>3</v>
      </c>
      <c r="P229" s="109">
        <v>15</v>
      </c>
      <c r="Q229" s="109" t="e">
        <f>ROUND(Tableau17[[#This Row],[LEN]]*#REF!+#REF!,0)</f>
        <v>#REF!</v>
      </c>
    </row>
    <row r="230" spans="1:17" s="97" customFormat="1" x14ac:dyDescent="0.25">
      <c r="A230" s="29" t="s">
        <v>832</v>
      </c>
      <c r="B230" s="30" t="s">
        <v>771</v>
      </c>
      <c r="C230" s="31" t="s">
        <v>836</v>
      </c>
      <c r="D230" s="71" t="s">
        <v>1177</v>
      </c>
      <c r="E230" s="31" t="s">
        <v>663</v>
      </c>
      <c r="F230" s="31" t="s">
        <v>1177</v>
      </c>
      <c r="G230" s="71" t="s">
        <v>166</v>
      </c>
      <c r="H230" s="85" t="s">
        <v>654</v>
      </c>
      <c r="I230" s="31"/>
      <c r="J230" s="103" t="s">
        <v>708</v>
      </c>
      <c r="K230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0" s="110">
        <f>ROUND(Tableau17[[#This Row],[LEN]]*7.27,0)</f>
        <v>131</v>
      </c>
      <c r="M230" s="110">
        <v>15</v>
      </c>
      <c r="N230" s="128" t="str">
        <f t="shared" si="2"/>
        <v>none</v>
      </c>
      <c r="O230" s="111">
        <f>LEN(Tableau17[[#This Row],[LABEL]])</f>
        <v>18</v>
      </c>
      <c r="P230" s="111">
        <v>15</v>
      </c>
      <c r="Q230" s="111" t="e">
        <f>ROUND(Tableau17[[#This Row],[LEN]]*#REF!+#REF!,0)</f>
        <v>#REF!</v>
      </c>
    </row>
    <row r="231" spans="1:17" s="97" customFormat="1" x14ac:dyDescent="0.25">
      <c r="A231" s="29" t="s">
        <v>833</v>
      </c>
      <c r="B231" s="30" t="s">
        <v>771</v>
      </c>
      <c r="C231" s="31" t="s">
        <v>837</v>
      </c>
      <c r="D231" s="71" t="s">
        <v>1177</v>
      </c>
      <c r="E231" s="31" t="s">
        <v>663</v>
      </c>
      <c r="F231" s="31" t="s">
        <v>1177</v>
      </c>
      <c r="G231" s="71" t="s">
        <v>166</v>
      </c>
      <c r="H231" s="85" t="s">
        <v>654</v>
      </c>
      <c r="I231" s="31"/>
      <c r="J231" s="103" t="s">
        <v>708</v>
      </c>
      <c r="K231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1" s="110">
        <f>ROUND(Tableau17[[#This Row],[LEN]]*7.27,0)</f>
        <v>174</v>
      </c>
      <c r="M231" s="110">
        <v>15</v>
      </c>
      <c r="N231" s="128" t="str">
        <f t="shared" si="2"/>
        <v>none</v>
      </c>
      <c r="O231" s="111">
        <f>LEN(Tableau17[[#This Row],[LABEL]])</f>
        <v>24</v>
      </c>
      <c r="P231" s="111">
        <v>15</v>
      </c>
      <c r="Q231" s="111" t="e">
        <f>ROUND(Tableau17[[#This Row],[LEN]]*#REF!+#REF!,0)</f>
        <v>#REF!</v>
      </c>
    </row>
    <row r="232" spans="1:17" s="97" customFormat="1" x14ac:dyDescent="0.25">
      <c r="A232" s="29" t="s">
        <v>834</v>
      </c>
      <c r="B232" s="30" t="s">
        <v>771</v>
      </c>
      <c r="C232" s="31" t="s">
        <v>838</v>
      </c>
      <c r="D232" s="71" t="s">
        <v>1177</v>
      </c>
      <c r="E232" s="31" t="s">
        <v>663</v>
      </c>
      <c r="F232" s="31" t="s">
        <v>1177</v>
      </c>
      <c r="G232" s="71" t="s">
        <v>166</v>
      </c>
      <c r="H232" s="85" t="s">
        <v>654</v>
      </c>
      <c r="I232" s="31"/>
      <c r="J232" s="103" t="s">
        <v>708</v>
      </c>
      <c r="K232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2" s="110">
        <f>ROUND(Tableau17[[#This Row],[LEN]]*7.27,0)</f>
        <v>167</v>
      </c>
      <c r="M232" s="110">
        <v>15</v>
      </c>
      <c r="N232" s="128" t="str">
        <f>IF(J232="javascript:void(0)","none","new")</f>
        <v>none</v>
      </c>
      <c r="O232" s="111">
        <f>LEN(Tableau17[[#This Row],[LABEL]])</f>
        <v>23</v>
      </c>
      <c r="P232" s="111">
        <v>15</v>
      </c>
      <c r="Q232" s="111" t="e">
        <f>ROUND(Tableau17[[#This Row],[LEN]]*#REF!+#REF!,0)</f>
        <v>#REF!</v>
      </c>
    </row>
    <row r="233" spans="1:17" s="97" customFormat="1" x14ac:dyDescent="0.25">
      <c r="A233" s="29" t="s">
        <v>835</v>
      </c>
      <c r="B233" s="30" t="s">
        <v>771</v>
      </c>
      <c r="C233" s="31" t="s">
        <v>839</v>
      </c>
      <c r="D233" s="71" t="s">
        <v>1177</v>
      </c>
      <c r="E233" s="31" t="s">
        <v>663</v>
      </c>
      <c r="F233" s="31" t="s">
        <v>1177</v>
      </c>
      <c r="G233" s="71" t="s">
        <v>166</v>
      </c>
      <c r="H233" s="85" t="s">
        <v>656</v>
      </c>
      <c r="I233" s="31"/>
      <c r="J233" s="103" t="s">
        <v>708</v>
      </c>
      <c r="K233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3" s="110">
        <f>ROUND(Tableau17[[#This Row],[LEN]]*7.27,0)</f>
        <v>138</v>
      </c>
      <c r="M233" s="110">
        <v>15</v>
      </c>
      <c r="N233" s="128" t="str">
        <f>IF(J233="javascript:void(0)","none","new")</f>
        <v>none</v>
      </c>
      <c r="O233" s="111">
        <f>LEN(Tableau17[[#This Row],[LABEL]])</f>
        <v>19</v>
      </c>
      <c r="P233" s="111">
        <v>15</v>
      </c>
      <c r="Q233" s="111" t="e">
        <f>ROUND(Tableau17[[#This Row],[LEN]]*#REF!+#REF!,0)</f>
        <v>#REF!</v>
      </c>
    </row>
    <row r="234" spans="1:17" s="97" customFormat="1" x14ac:dyDescent="0.25">
      <c r="A234" s="25" t="s">
        <v>772</v>
      </c>
      <c r="B234" s="26" t="s">
        <v>249</v>
      </c>
      <c r="C234" s="27" t="s">
        <v>780</v>
      </c>
      <c r="D234" s="70" t="s">
        <v>1177</v>
      </c>
      <c r="E234" s="27" t="s">
        <v>663</v>
      </c>
      <c r="F234" s="27" t="s">
        <v>1177</v>
      </c>
      <c r="G234" s="70" t="s">
        <v>166</v>
      </c>
      <c r="H234" s="70" t="s">
        <v>656</v>
      </c>
      <c r="I234" s="27"/>
      <c r="J234" s="28" t="s">
        <v>708</v>
      </c>
      <c r="K23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4" s="109">
        <f>ROUND(Tableau17[[#This Row],[LEN]]*7.27,0)</f>
        <v>385</v>
      </c>
      <c r="M234" s="109">
        <v>15</v>
      </c>
      <c r="N234" s="127" t="str">
        <f t="shared" si="2"/>
        <v>none</v>
      </c>
      <c r="O234" s="109">
        <f>LEN(Tableau17[[#This Row],[LABEL]])</f>
        <v>53</v>
      </c>
      <c r="P234" s="109">
        <v>15</v>
      </c>
      <c r="Q234" s="109" t="e">
        <f>ROUND(Tableau17[[#This Row],[LEN]]*#REF!+#REF!,0)</f>
        <v>#REF!</v>
      </c>
    </row>
    <row r="235" spans="1:17" s="97" customFormat="1" x14ac:dyDescent="0.25">
      <c r="A235" s="25" t="s">
        <v>773</v>
      </c>
      <c r="B235" s="26" t="s">
        <v>249</v>
      </c>
      <c r="C235" s="27" t="s">
        <v>1167</v>
      </c>
      <c r="D235" s="70" t="s">
        <v>486</v>
      </c>
      <c r="E235" s="27" t="s">
        <v>1085</v>
      </c>
      <c r="F235" s="27" t="s">
        <v>1084</v>
      </c>
      <c r="G235" s="70" t="s">
        <v>1977</v>
      </c>
      <c r="H235" s="70" t="s">
        <v>1131</v>
      </c>
      <c r="I235" s="27"/>
      <c r="J235" s="28" t="s">
        <v>708</v>
      </c>
      <c r="K23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5" s="109">
        <f>ROUND(Tableau17[[#This Row],[LEN]]*7.27,0)</f>
        <v>196</v>
      </c>
      <c r="M235" s="109">
        <v>15</v>
      </c>
      <c r="N235" s="127" t="str">
        <f t="shared" si="2"/>
        <v>none</v>
      </c>
      <c r="O235" s="109">
        <f>LEN(Tableau17[[#This Row],[LABEL]])</f>
        <v>27</v>
      </c>
      <c r="P235" s="109">
        <v>15</v>
      </c>
      <c r="Q235" s="109" t="e">
        <f>ROUND(Tableau17[[#This Row],[LEN]]*#REF!+#REF!,0)</f>
        <v>#REF!</v>
      </c>
    </row>
    <row r="236" spans="1:17" s="97" customFormat="1" x14ac:dyDescent="0.25">
      <c r="A236" s="29" t="s">
        <v>1201</v>
      </c>
      <c r="B236" s="30" t="s">
        <v>773</v>
      </c>
      <c r="C236" s="31" t="s">
        <v>93</v>
      </c>
      <c r="D236" s="71" t="s">
        <v>1177</v>
      </c>
      <c r="E236" s="31" t="s">
        <v>1085</v>
      </c>
      <c r="F236" s="31" t="s">
        <v>1084</v>
      </c>
      <c r="G236" s="71" t="s">
        <v>166</v>
      </c>
      <c r="H236" s="85" t="s">
        <v>18</v>
      </c>
      <c r="I236" s="31"/>
      <c r="J236" s="103" t="s">
        <v>101</v>
      </c>
      <c r="K236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6" s="110">
        <f>ROUND(Tableau17[[#This Row],[LEN]]*7.27,0)</f>
        <v>109</v>
      </c>
      <c r="M236" s="110">
        <v>15</v>
      </c>
      <c r="N236" s="128" t="str">
        <f t="shared" si="2"/>
        <v>new</v>
      </c>
      <c r="O236" s="111">
        <f>LEN(Tableau17[[#This Row],[LABEL]])</f>
        <v>15</v>
      </c>
      <c r="P236" s="111">
        <v>15</v>
      </c>
      <c r="Q236" s="111" t="e">
        <f>ROUND(Tableau17[[#This Row],[LEN]]*#REF!+#REF!,0)</f>
        <v>#REF!</v>
      </c>
    </row>
    <row r="237" spans="1:17" s="97" customFormat="1" x14ac:dyDescent="0.25">
      <c r="A237" s="29" t="s">
        <v>1202</v>
      </c>
      <c r="B237" s="30" t="s">
        <v>773</v>
      </c>
      <c r="C237" s="31" t="s">
        <v>94</v>
      </c>
      <c r="D237" s="71" t="s">
        <v>1177</v>
      </c>
      <c r="E237" s="31" t="s">
        <v>1085</v>
      </c>
      <c r="F237" s="31" t="s">
        <v>1084</v>
      </c>
      <c r="G237" s="71" t="s">
        <v>166</v>
      </c>
      <c r="H237" s="85" t="s">
        <v>18</v>
      </c>
      <c r="I237" s="31"/>
      <c r="J237" s="103" t="s">
        <v>102</v>
      </c>
      <c r="K237" s="103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7" s="110">
        <f>ROUND(Tableau17[[#This Row],[LEN]]*7.27,0)</f>
        <v>58</v>
      </c>
      <c r="M237" s="110">
        <v>15</v>
      </c>
      <c r="N237" s="128" t="str">
        <f t="shared" si="2"/>
        <v>new</v>
      </c>
      <c r="O237" s="111">
        <f>LEN(Tableau17[[#This Row],[LABEL]])</f>
        <v>8</v>
      </c>
      <c r="P237" s="111">
        <v>15</v>
      </c>
      <c r="Q237" s="111" t="e">
        <f>ROUND(Tableau17[[#This Row],[LEN]]*#REF!+#REF!,0)</f>
        <v>#REF!</v>
      </c>
    </row>
    <row r="238" spans="1:17" s="273" customFormat="1" x14ac:dyDescent="0.25">
      <c r="A238" s="288" t="s">
        <v>251</v>
      </c>
      <c r="B238" s="289" t="s">
        <v>206</v>
      </c>
      <c r="C238" s="290" t="s">
        <v>3</v>
      </c>
      <c r="D238" s="291" t="s">
        <v>1177</v>
      </c>
      <c r="E238" s="290" t="s">
        <v>661</v>
      </c>
      <c r="F238" s="290" t="s">
        <v>1177</v>
      </c>
      <c r="G238" s="291" t="s">
        <v>166</v>
      </c>
      <c r="H238" s="291" t="str">
        <f>IFERROR(IF(SEARCH(".00.00.00.00.00",Tableau17[[#This Row],[name]],1)=7,"Division",""),"")</f>
        <v>Division</v>
      </c>
      <c r="I238" s="290"/>
      <c r="J238" s="292" t="s">
        <v>708</v>
      </c>
      <c r="K238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38" s="293">
        <f>ROUND(Tableau17[[#This Row],[LEN]]*7.27,0)</f>
        <v>73</v>
      </c>
      <c r="M238" s="293">
        <v>15</v>
      </c>
      <c r="N238" s="294" t="str">
        <f t="shared" si="2"/>
        <v>none</v>
      </c>
      <c r="O238" s="293">
        <f>LEN(Tableau17[[#This Row],[LABEL]])</f>
        <v>10</v>
      </c>
      <c r="P238" s="293">
        <v>15</v>
      </c>
      <c r="Q238" s="293" t="e">
        <f>ROUND(Tableau17[[#This Row],[LEN]]*#REF!+#REF!,0)</f>
        <v>#REF!</v>
      </c>
    </row>
    <row r="239" spans="1:17" s="97" customFormat="1" x14ac:dyDescent="0.25">
      <c r="A239" s="25" t="s">
        <v>396</v>
      </c>
      <c r="B239" s="26" t="s">
        <v>251</v>
      </c>
      <c r="C239" s="27" t="s">
        <v>86</v>
      </c>
      <c r="D239" s="70" t="s">
        <v>1177</v>
      </c>
      <c r="E239" s="27" t="s">
        <v>661</v>
      </c>
      <c r="F239" s="27" t="s">
        <v>1068</v>
      </c>
      <c r="G239" s="70" t="s">
        <v>166</v>
      </c>
      <c r="H239" s="70" t="s">
        <v>570</v>
      </c>
      <c r="I239" s="27"/>
      <c r="J239" s="28" t="s">
        <v>708</v>
      </c>
      <c r="K23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39" s="109">
        <f>ROUND(Tableau17[[#This Row],[LEN]]*7.27,0)</f>
        <v>269</v>
      </c>
      <c r="M239" s="109">
        <v>15</v>
      </c>
      <c r="N239" s="127" t="str">
        <f t="shared" si="2"/>
        <v>none</v>
      </c>
      <c r="O239" s="109">
        <f>LEN(Tableau17[[#This Row],[LABEL]])</f>
        <v>37</v>
      </c>
      <c r="P239" s="109">
        <v>15</v>
      </c>
      <c r="Q239" s="109" t="e">
        <f>ROUND(Tableau17[[#This Row],[LEN]]*#REF!+#REF!,0)</f>
        <v>#REF!</v>
      </c>
    </row>
    <row r="240" spans="1:17" s="97" customFormat="1" x14ac:dyDescent="0.25">
      <c r="A240" s="25" t="s">
        <v>397</v>
      </c>
      <c r="B240" s="26" t="s">
        <v>251</v>
      </c>
      <c r="C240" s="27" t="s">
        <v>87</v>
      </c>
      <c r="D240" s="70" t="s">
        <v>1177</v>
      </c>
      <c r="E240" s="27" t="s">
        <v>661</v>
      </c>
      <c r="F240" s="27" t="s">
        <v>1177</v>
      </c>
      <c r="G240" s="70" t="s">
        <v>166</v>
      </c>
      <c r="H240" s="70" t="s">
        <v>570</v>
      </c>
      <c r="I240" s="27"/>
      <c r="J240" s="28" t="s">
        <v>708</v>
      </c>
      <c r="K24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0" s="109">
        <f>ROUND(Tableau17[[#This Row],[LEN]]*7.27,0)</f>
        <v>182</v>
      </c>
      <c r="M240" s="109">
        <v>15</v>
      </c>
      <c r="N240" s="127" t="str">
        <f t="shared" si="2"/>
        <v>none</v>
      </c>
      <c r="O240" s="109">
        <f>LEN(Tableau17[[#This Row],[LABEL]])</f>
        <v>25</v>
      </c>
      <c r="P240" s="109">
        <v>15</v>
      </c>
      <c r="Q240" s="109" t="e">
        <f>ROUND(Tableau17[[#This Row],[LEN]]*#REF!+#REF!,0)</f>
        <v>#REF!</v>
      </c>
    </row>
    <row r="241" spans="1:17" s="97" customFormat="1" x14ac:dyDescent="0.25">
      <c r="A241" s="25" t="s">
        <v>398</v>
      </c>
      <c r="B241" s="26" t="s">
        <v>251</v>
      </c>
      <c r="C241" s="27" t="s">
        <v>88</v>
      </c>
      <c r="D241" s="70" t="s">
        <v>1177</v>
      </c>
      <c r="E241" s="27" t="s">
        <v>667</v>
      </c>
      <c r="F241" s="27" t="s">
        <v>1218</v>
      </c>
      <c r="G241" s="70" t="s">
        <v>166</v>
      </c>
      <c r="H241" s="70" t="s">
        <v>570</v>
      </c>
      <c r="I241" s="27"/>
      <c r="J241" s="28" t="s">
        <v>708</v>
      </c>
      <c r="K24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1" s="109">
        <f>ROUND(Tableau17[[#This Row],[LEN]]*7.27,0)</f>
        <v>342</v>
      </c>
      <c r="M241" s="109">
        <v>15</v>
      </c>
      <c r="N241" s="127" t="str">
        <f t="shared" si="2"/>
        <v>none</v>
      </c>
      <c r="O241" s="109">
        <f>LEN(Tableau17[[#This Row],[LABEL]])</f>
        <v>47</v>
      </c>
      <c r="P241" s="109">
        <v>15</v>
      </c>
      <c r="Q241" s="109" t="e">
        <f>ROUND(Tableau17[[#This Row],[LEN]]*#REF!+#REF!,0)</f>
        <v>#REF!</v>
      </c>
    </row>
    <row r="242" spans="1:17" s="97" customFormat="1" x14ac:dyDescent="0.25">
      <c r="A242" s="25" t="s">
        <v>399</v>
      </c>
      <c r="B242" s="26" t="s">
        <v>251</v>
      </c>
      <c r="C242" s="27" t="s">
        <v>89</v>
      </c>
      <c r="D242" s="70" t="s">
        <v>1177</v>
      </c>
      <c r="E242" s="27" t="s">
        <v>661</v>
      </c>
      <c r="F242" s="27" t="s">
        <v>1177</v>
      </c>
      <c r="G242" s="70" t="s">
        <v>166</v>
      </c>
      <c r="H242" s="70" t="s">
        <v>570</v>
      </c>
      <c r="I242" s="27"/>
      <c r="J242" s="28" t="s">
        <v>708</v>
      </c>
      <c r="K24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2" s="109">
        <f>ROUND(Tableau17[[#This Row],[LEN]]*7.27,0)</f>
        <v>262</v>
      </c>
      <c r="M242" s="109">
        <v>15</v>
      </c>
      <c r="N242" s="127" t="str">
        <f t="shared" si="2"/>
        <v>none</v>
      </c>
      <c r="O242" s="109">
        <f>LEN(Tableau17[[#This Row],[LABEL]])</f>
        <v>36</v>
      </c>
      <c r="P242" s="109">
        <v>15</v>
      </c>
      <c r="Q242" s="109" t="e">
        <f>ROUND(Tableau17[[#This Row],[LEN]]*#REF!+#REF!,0)</f>
        <v>#REF!</v>
      </c>
    </row>
    <row r="243" spans="1:17" s="97" customFormat="1" x14ac:dyDescent="0.25">
      <c r="A243" s="25" t="s">
        <v>400</v>
      </c>
      <c r="B243" s="26" t="s">
        <v>251</v>
      </c>
      <c r="C243" s="27" t="s">
        <v>1167</v>
      </c>
      <c r="D243" s="70" t="s">
        <v>486</v>
      </c>
      <c r="E243" s="27" t="s">
        <v>1085</v>
      </c>
      <c r="F243" s="27" t="s">
        <v>1084</v>
      </c>
      <c r="G243" s="70" t="s">
        <v>1977</v>
      </c>
      <c r="H243" s="70" t="s">
        <v>1131</v>
      </c>
      <c r="I243" s="27"/>
      <c r="J243" s="28" t="s">
        <v>708</v>
      </c>
      <c r="K24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3" s="109">
        <f>ROUND(Tableau17[[#This Row],[LEN]]*7.27,0)</f>
        <v>196</v>
      </c>
      <c r="M243" s="109">
        <v>15</v>
      </c>
      <c r="N243" s="127" t="str">
        <f t="shared" si="2"/>
        <v>none</v>
      </c>
      <c r="O243" s="109">
        <f>LEN(Tableau17[[#This Row],[LABEL]])</f>
        <v>27</v>
      </c>
      <c r="P243" s="109">
        <v>15</v>
      </c>
      <c r="Q243" s="109" t="e">
        <f>ROUND(Tableau17[[#This Row],[LEN]]*#REF!+#REF!,0)</f>
        <v>#REF!</v>
      </c>
    </row>
    <row r="244" spans="1:17" s="97" customFormat="1" x14ac:dyDescent="0.25">
      <c r="A244" s="29" t="s">
        <v>412</v>
      </c>
      <c r="B244" s="30" t="s">
        <v>400</v>
      </c>
      <c r="C244" s="31" t="s">
        <v>93</v>
      </c>
      <c r="D244" s="71" t="s">
        <v>1177</v>
      </c>
      <c r="E244" s="31" t="s">
        <v>661</v>
      </c>
      <c r="F244" s="31" t="s">
        <v>1177</v>
      </c>
      <c r="G244" s="71" t="s">
        <v>166</v>
      </c>
      <c r="H244" s="71" t="s">
        <v>18</v>
      </c>
      <c r="I244" s="31"/>
      <c r="J244" s="32" t="s">
        <v>101</v>
      </c>
      <c r="K24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4" s="111">
        <f>ROUND(Tableau17[[#This Row],[LEN]]*7.27,0)</f>
        <v>109</v>
      </c>
      <c r="M244" s="111">
        <v>15</v>
      </c>
      <c r="N244" s="128" t="str">
        <f t="shared" si="2"/>
        <v>new</v>
      </c>
      <c r="O244" s="111">
        <f>LEN(Tableau17[[#This Row],[LABEL]])</f>
        <v>15</v>
      </c>
      <c r="P244" s="111">
        <v>15</v>
      </c>
      <c r="Q244" s="111" t="e">
        <f>ROUND(Tableau17[[#This Row],[LEN]]*#REF!+#REF!,0)</f>
        <v>#REF!</v>
      </c>
    </row>
    <row r="245" spans="1:17" s="97" customFormat="1" x14ac:dyDescent="0.25">
      <c r="A245" s="29" t="s">
        <v>413</v>
      </c>
      <c r="B245" s="30" t="s">
        <v>400</v>
      </c>
      <c r="C245" s="31" t="s">
        <v>94</v>
      </c>
      <c r="D245" s="71" t="s">
        <v>1177</v>
      </c>
      <c r="E245" s="31" t="s">
        <v>661</v>
      </c>
      <c r="F245" s="31" t="s">
        <v>1177</v>
      </c>
      <c r="G245" s="71" t="s">
        <v>166</v>
      </c>
      <c r="H245" s="71" t="s">
        <v>18</v>
      </c>
      <c r="I245" s="31"/>
      <c r="J245" s="32" t="s">
        <v>102</v>
      </c>
      <c r="K24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5" s="111">
        <f>ROUND(Tableau17[[#This Row],[LEN]]*7.27,0)</f>
        <v>58</v>
      </c>
      <c r="M245" s="111">
        <v>15</v>
      </c>
      <c r="N245" s="128" t="str">
        <f t="shared" si="2"/>
        <v>new</v>
      </c>
      <c r="O245" s="111">
        <f>LEN(Tableau17[[#This Row],[LABEL]])</f>
        <v>8</v>
      </c>
      <c r="P245" s="111">
        <v>15</v>
      </c>
      <c r="Q245" s="111" t="e">
        <f>ROUND(Tableau17[[#This Row],[LEN]]*#REF!+#REF!,0)</f>
        <v>#REF!</v>
      </c>
    </row>
    <row r="246" spans="1:17" s="97" customFormat="1" x14ac:dyDescent="0.25">
      <c r="A246" s="25" t="s">
        <v>401</v>
      </c>
      <c r="B246" s="26" t="s">
        <v>251</v>
      </c>
      <c r="C246" s="27" t="s">
        <v>90</v>
      </c>
      <c r="D246" s="70" t="s">
        <v>1177</v>
      </c>
      <c r="E246" s="27" t="s">
        <v>661</v>
      </c>
      <c r="F246" s="27" t="s">
        <v>1177</v>
      </c>
      <c r="G246" s="70" t="s">
        <v>166</v>
      </c>
      <c r="H246" s="70" t="s">
        <v>654</v>
      </c>
      <c r="I246" s="27"/>
      <c r="J246" s="28" t="s">
        <v>708</v>
      </c>
      <c r="K24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6" s="109">
        <f>ROUND(Tableau17[[#This Row],[LEN]]*7.27,0)</f>
        <v>284</v>
      </c>
      <c r="M246" s="109">
        <v>15</v>
      </c>
      <c r="N246" s="127" t="str">
        <f t="shared" si="2"/>
        <v>none</v>
      </c>
      <c r="O246" s="109">
        <f>LEN(Tableau17[[#This Row],[LABEL]])</f>
        <v>39</v>
      </c>
      <c r="P246" s="109">
        <v>15</v>
      </c>
      <c r="Q246" s="109" t="e">
        <f>ROUND(Tableau17[[#This Row],[LEN]]*#REF!+#REF!,0)</f>
        <v>#REF!</v>
      </c>
    </row>
    <row r="247" spans="1:17" s="97" customFormat="1" x14ac:dyDescent="0.25">
      <c r="A247" s="25" t="s">
        <v>402</v>
      </c>
      <c r="B247" s="26" t="s">
        <v>251</v>
      </c>
      <c r="C247" s="27" t="s">
        <v>778</v>
      </c>
      <c r="D247" s="70" t="s">
        <v>1177</v>
      </c>
      <c r="E247" s="27" t="s">
        <v>673</v>
      </c>
      <c r="F247" s="27" t="s">
        <v>2000</v>
      </c>
      <c r="G247" s="70" t="s">
        <v>166</v>
      </c>
      <c r="H247" s="70" t="s">
        <v>17</v>
      </c>
      <c r="I247" s="27"/>
      <c r="J247" s="28" t="s">
        <v>708</v>
      </c>
      <c r="K24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7" s="109">
        <f>ROUND(Tableau17[[#This Row],[LEN]]*7.27,0)</f>
        <v>211</v>
      </c>
      <c r="M247" s="109">
        <v>15</v>
      </c>
      <c r="N247" s="127" t="str">
        <f t="shared" si="2"/>
        <v>none</v>
      </c>
      <c r="O247" s="109">
        <f>LEN(Tableau17[[#This Row],[LABEL]])</f>
        <v>29</v>
      </c>
      <c r="P247" s="109">
        <v>15</v>
      </c>
      <c r="Q247" s="109" t="e">
        <f>ROUND(Tableau17[[#This Row],[LEN]]*#REF!+#REF!,0)</f>
        <v>#REF!</v>
      </c>
    </row>
    <row r="248" spans="1:17" s="97" customFormat="1" x14ac:dyDescent="0.25">
      <c r="A248" s="25" t="s">
        <v>403</v>
      </c>
      <c r="B248" s="26" t="s">
        <v>251</v>
      </c>
      <c r="C248" s="27" t="s">
        <v>92</v>
      </c>
      <c r="D248" s="70" t="s">
        <v>1177</v>
      </c>
      <c r="E248" s="27" t="s">
        <v>663</v>
      </c>
      <c r="F248" s="27" t="s">
        <v>2080</v>
      </c>
      <c r="G248" s="70" t="s">
        <v>166</v>
      </c>
      <c r="H248" s="70" t="s">
        <v>655</v>
      </c>
      <c r="I248" s="27"/>
      <c r="J248" s="28" t="s">
        <v>708</v>
      </c>
      <c r="K24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8" s="109">
        <f>ROUND(Tableau17[[#This Row],[LEN]]*7.27,0)</f>
        <v>262</v>
      </c>
      <c r="M248" s="109">
        <v>15</v>
      </c>
      <c r="N248" s="127" t="str">
        <f t="shared" si="2"/>
        <v>none</v>
      </c>
      <c r="O248" s="109">
        <f>LEN(Tableau17[[#This Row],[LABEL]])</f>
        <v>36</v>
      </c>
      <c r="P248" s="109">
        <v>15</v>
      </c>
      <c r="Q248" s="109" t="e">
        <f>ROUND(Tableau17[[#This Row],[LEN]]*#REF!+#REF!,0)</f>
        <v>#REF!</v>
      </c>
    </row>
    <row r="249" spans="1:17" s="97" customFormat="1" x14ac:dyDescent="0.25">
      <c r="A249" s="29" t="s">
        <v>414</v>
      </c>
      <c r="B249" s="30" t="s">
        <v>403</v>
      </c>
      <c r="C249" s="31" t="s">
        <v>95</v>
      </c>
      <c r="D249" s="71" t="s">
        <v>1177</v>
      </c>
      <c r="E249" s="31" t="s">
        <v>663</v>
      </c>
      <c r="F249" s="31" t="s">
        <v>2080</v>
      </c>
      <c r="G249" s="71" t="s">
        <v>166</v>
      </c>
      <c r="H249" s="71" t="s">
        <v>17</v>
      </c>
      <c r="I249" s="31"/>
      <c r="J249" s="32" t="s">
        <v>708</v>
      </c>
      <c r="K2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49" s="111">
        <f>ROUND(Tableau17[[#This Row],[LEN]]*7.27,0)</f>
        <v>254</v>
      </c>
      <c r="M249" s="111">
        <v>15</v>
      </c>
      <c r="N249" s="128" t="str">
        <f t="shared" si="2"/>
        <v>none</v>
      </c>
      <c r="O249" s="111">
        <f>LEN(Tableau17[[#This Row],[LABEL]])</f>
        <v>35</v>
      </c>
      <c r="P249" s="111">
        <v>15</v>
      </c>
      <c r="Q249" s="111" t="e">
        <f>ROUND(Tableau17[[#This Row],[LEN]]*#REF!+#REF!,0)</f>
        <v>#REF!</v>
      </c>
    </row>
    <row r="250" spans="1:17" s="97" customFormat="1" x14ac:dyDescent="0.25">
      <c r="A250" s="29" t="s">
        <v>415</v>
      </c>
      <c r="B250" s="30" t="s">
        <v>403</v>
      </c>
      <c r="C250" s="31" t="s">
        <v>96</v>
      </c>
      <c r="D250" s="71" t="s">
        <v>1177</v>
      </c>
      <c r="E250" s="31" t="s">
        <v>663</v>
      </c>
      <c r="F250" s="31" t="s">
        <v>2080</v>
      </c>
      <c r="G250" s="71" t="s">
        <v>166</v>
      </c>
      <c r="H250" s="71" t="s">
        <v>570</v>
      </c>
      <c r="I250" s="31"/>
      <c r="J250" s="32" t="s">
        <v>708</v>
      </c>
      <c r="K2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0" s="111">
        <f>ROUND(Tableau17[[#This Row],[LEN]]*7.27,0)</f>
        <v>233</v>
      </c>
      <c r="M250" s="111">
        <v>15</v>
      </c>
      <c r="N250" s="128" t="str">
        <f t="shared" si="2"/>
        <v>none</v>
      </c>
      <c r="O250" s="111">
        <f>LEN(Tableau17[[#This Row],[LABEL]])</f>
        <v>32</v>
      </c>
      <c r="P250" s="111">
        <v>15</v>
      </c>
      <c r="Q250" s="111" t="e">
        <f>ROUND(Tableau17[[#This Row],[LEN]]*#REF!+#REF!,0)</f>
        <v>#REF!</v>
      </c>
    </row>
    <row r="251" spans="1:17" s="97" customFormat="1" x14ac:dyDescent="0.25">
      <c r="A251" s="29" t="s">
        <v>416</v>
      </c>
      <c r="B251" s="30" t="s">
        <v>403</v>
      </c>
      <c r="C251" s="31" t="s">
        <v>97</v>
      </c>
      <c r="D251" s="71" t="s">
        <v>1177</v>
      </c>
      <c r="E251" s="31" t="s">
        <v>663</v>
      </c>
      <c r="F251" s="31" t="s">
        <v>2080</v>
      </c>
      <c r="G251" s="71" t="s">
        <v>166</v>
      </c>
      <c r="H251" s="71" t="s">
        <v>656</v>
      </c>
      <c r="I251" s="31"/>
      <c r="J251" s="32" t="s">
        <v>708</v>
      </c>
      <c r="K25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1" s="111">
        <f>ROUND(Tableau17[[#This Row],[LEN]]*7.27,0)</f>
        <v>145</v>
      </c>
      <c r="M251" s="111">
        <v>15</v>
      </c>
      <c r="N251" s="128" t="str">
        <f t="shared" si="2"/>
        <v>none</v>
      </c>
      <c r="O251" s="111">
        <f>LEN(Tableau17[[#This Row],[LABEL]])</f>
        <v>20</v>
      </c>
      <c r="P251" s="111">
        <v>15</v>
      </c>
      <c r="Q251" s="111" t="e">
        <f>ROUND(Tableau17[[#This Row],[LEN]]*#REF!+#REF!,0)</f>
        <v>#REF!</v>
      </c>
    </row>
    <row r="252" spans="1:17" s="97" customFormat="1" x14ac:dyDescent="0.25">
      <c r="A252" s="25" t="s">
        <v>404</v>
      </c>
      <c r="B252" s="26" t="s">
        <v>251</v>
      </c>
      <c r="C252" s="27" t="s">
        <v>91</v>
      </c>
      <c r="D252" s="70" t="s">
        <v>1177</v>
      </c>
      <c r="E252" s="27" t="s">
        <v>663</v>
      </c>
      <c r="F252" s="27" t="s">
        <v>2080</v>
      </c>
      <c r="G252" s="70" t="s">
        <v>166</v>
      </c>
      <c r="H252" s="70" t="s">
        <v>655</v>
      </c>
      <c r="I252" s="27"/>
      <c r="J252" s="28" t="s">
        <v>708</v>
      </c>
      <c r="K25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2" s="109">
        <f>ROUND(Tableau17[[#This Row],[LEN]]*7.27,0)</f>
        <v>269</v>
      </c>
      <c r="M252" s="109">
        <v>15</v>
      </c>
      <c r="N252" s="127" t="str">
        <f t="shared" si="2"/>
        <v>none</v>
      </c>
      <c r="O252" s="109">
        <f>LEN(Tableau17[[#This Row],[LABEL]])</f>
        <v>37</v>
      </c>
      <c r="P252" s="109">
        <v>15</v>
      </c>
      <c r="Q252" s="109" t="e">
        <f>ROUND(Tableau17[[#This Row],[LEN]]*#REF!+#REF!,0)</f>
        <v>#REF!</v>
      </c>
    </row>
    <row r="253" spans="1:17" s="97" customFormat="1" x14ac:dyDescent="0.25">
      <c r="A253" s="29" t="s">
        <v>417</v>
      </c>
      <c r="B253" s="30" t="s">
        <v>404</v>
      </c>
      <c r="C253" s="31" t="s">
        <v>98</v>
      </c>
      <c r="D253" s="71" t="s">
        <v>1177</v>
      </c>
      <c r="E253" s="31" t="s">
        <v>663</v>
      </c>
      <c r="F253" s="31" t="s">
        <v>1358</v>
      </c>
      <c r="G253" s="71" t="s">
        <v>166</v>
      </c>
      <c r="H253" s="71" t="s">
        <v>18</v>
      </c>
      <c r="I253" s="31"/>
      <c r="J253" s="32" t="s">
        <v>708</v>
      </c>
      <c r="K25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3" s="111">
        <f>ROUND(Tableau17[[#This Row],[LEN]]*7.27,0)</f>
        <v>109</v>
      </c>
      <c r="M253" s="111">
        <v>15</v>
      </c>
      <c r="N253" s="128" t="str">
        <f t="shared" si="2"/>
        <v>none</v>
      </c>
      <c r="O253" s="111">
        <f>LEN(Tableau17[[#This Row],[LABEL]])</f>
        <v>15</v>
      </c>
      <c r="P253" s="111">
        <v>15</v>
      </c>
      <c r="Q253" s="111" t="e">
        <f>ROUND(Tableau17[[#This Row],[LEN]]*#REF!+#REF!,0)</f>
        <v>#REF!</v>
      </c>
    </row>
    <row r="254" spans="1:17" s="97" customFormat="1" x14ac:dyDescent="0.25">
      <c r="A254" s="29" t="s">
        <v>418</v>
      </c>
      <c r="B254" s="30" t="s">
        <v>404</v>
      </c>
      <c r="C254" s="31" t="s">
        <v>99</v>
      </c>
      <c r="D254" s="71" t="s">
        <v>1177</v>
      </c>
      <c r="E254" s="31" t="s">
        <v>663</v>
      </c>
      <c r="F254" s="31" t="s">
        <v>1358</v>
      </c>
      <c r="G254" s="71" t="s">
        <v>166</v>
      </c>
      <c r="H254" s="71" t="s">
        <v>18</v>
      </c>
      <c r="I254" s="31"/>
      <c r="J254" s="32" t="s">
        <v>708</v>
      </c>
      <c r="K25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4" s="111">
        <f>ROUND(Tableau17[[#This Row],[LEN]]*7.27,0)</f>
        <v>80</v>
      </c>
      <c r="M254" s="111">
        <v>15</v>
      </c>
      <c r="N254" s="128" t="str">
        <f t="shared" si="2"/>
        <v>none</v>
      </c>
      <c r="O254" s="111">
        <f>LEN(Tableau17[[#This Row],[LABEL]])</f>
        <v>11</v>
      </c>
      <c r="P254" s="111">
        <v>15</v>
      </c>
      <c r="Q254" s="111" t="e">
        <f>ROUND(Tableau17[[#This Row],[LEN]]*#REF!+#REF!,0)</f>
        <v>#REF!</v>
      </c>
    </row>
    <row r="255" spans="1:17" s="97" customFormat="1" x14ac:dyDescent="0.25">
      <c r="A255" s="25" t="s">
        <v>405</v>
      </c>
      <c r="B255" s="26" t="s">
        <v>251</v>
      </c>
      <c r="C255" s="27" t="s">
        <v>1167</v>
      </c>
      <c r="D255" s="70" t="s">
        <v>486</v>
      </c>
      <c r="E255" s="27" t="s">
        <v>1085</v>
      </c>
      <c r="F255" s="27" t="s">
        <v>1084</v>
      </c>
      <c r="G255" s="70" t="s">
        <v>1977</v>
      </c>
      <c r="H255" s="70" t="s">
        <v>1131</v>
      </c>
      <c r="I255" s="27"/>
      <c r="J255" s="28" t="s">
        <v>708</v>
      </c>
      <c r="K25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5" s="109">
        <f>ROUND(Tableau17[[#This Row],[LEN]]*7.27,0)</f>
        <v>196</v>
      </c>
      <c r="M255" s="109">
        <v>15</v>
      </c>
      <c r="N255" s="127" t="str">
        <f t="shared" si="2"/>
        <v>none</v>
      </c>
      <c r="O255" s="109">
        <f>LEN(Tableau17[[#This Row],[LABEL]])</f>
        <v>27</v>
      </c>
      <c r="P255" s="109">
        <v>15</v>
      </c>
      <c r="Q255" s="109" t="e">
        <f>ROUND(Tableau17[[#This Row],[LEN]]*#REF!+#REF!,0)</f>
        <v>#REF!</v>
      </c>
    </row>
    <row r="256" spans="1:17" s="97" customFormat="1" x14ac:dyDescent="0.25">
      <c r="A256" s="29" t="s">
        <v>1203</v>
      </c>
      <c r="B256" s="30" t="s">
        <v>405</v>
      </c>
      <c r="C256" s="31" t="s">
        <v>93</v>
      </c>
      <c r="D256" s="71" t="s">
        <v>1177</v>
      </c>
      <c r="E256" s="31" t="s">
        <v>1085</v>
      </c>
      <c r="F256" s="31" t="s">
        <v>1084</v>
      </c>
      <c r="G256" s="71" t="s">
        <v>166</v>
      </c>
      <c r="H256" s="71" t="s">
        <v>18</v>
      </c>
      <c r="I256" s="31"/>
      <c r="J256" s="32" t="s">
        <v>101</v>
      </c>
      <c r="K25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6" s="111">
        <f>ROUND(Tableau17[[#This Row],[LEN]]*7.27,0)</f>
        <v>109</v>
      </c>
      <c r="M256" s="111">
        <v>15</v>
      </c>
      <c r="N256" s="128" t="str">
        <f t="shared" si="2"/>
        <v>new</v>
      </c>
      <c r="O256" s="111">
        <f>LEN(Tableau17[[#This Row],[LABEL]])</f>
        <v>15</v>
      </c>
      <c r="P256" s="111">
        <v>15</v>
      </c>
      <c r="Q256" s="111" t="e">
        <f>ROUND(Tableau17[[#This Row],[LEN]]*#REF!+#REF!,0)</f>
        <v>#REF!</v>
      </c>
    </row>
    <row r="257" spans="1:17" s="97" customFormat="1" x14ac:dyDescent="0.25">
      <c r="A257" s="29" t="s">
        <v>1204</v>
      </c>
      <c r="B257" s="30" t="s">
        <v>405</v>
      </c>
      <c r="C257" s="31" t="s">
        <v>94</v>
      </c>
      <c r="D257" s="71" t="s">
        <v>1177</v>
      </c>
      <c r="E257" s="31" t="s">
        <v>1085</v>
      </c>
      <c r="F257" s="31" t="s">
        <v>1084</v>
      </c>
      <c r="G257" s="71" t="s">
        <v>166</v>
      </c>
      <c r="H257" s="71" t="s">
        <v>18</v>
      </c>
      <c r="I257" s="31"/>
      <c r="J257" s="32" t="s">
        <v>102</v>
      </c>
      <c r="K25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7" s="111">
        <f>ROUND(Tableau17[[#This Row],[LEN]]*7.27,0)</f>
        <v>58</v>
      </c>
      <c r="M257" s="111">
        <v>15</v>
      </c>
      <c r="N257" s="128" t="str">
        <f t="shared" si="2"/>
        <v>new</v>
      </c>
      <c r="O257" s="111">
        <f>LEN(Tableau17[[#This Row],[LABEL]])</f>
        <v>8</v>
      </c>
      <c r="P257" s="111">
        <v>15</v>
      </c>
      <c r="Q257" s="111" t="e">
        <f>ROUND(Tableau17[[#This Row],[LEN]]*#REF!+#REF!,0)</f>
        <v>#REF!</v>
      </c>
    </row>
    <row r="258" spans="1:17" s="273" customFormat="1" x14ac:dyDescent="0.25">
      <c r="A258" s="288" t="s">
        <v>252</v>
      </c>
      <c r="B258" s="289" t="s">
        <v>206</v>
      </c>
      <c r="C258" s="290" t="s">
        <v>4</v>
      </c>
      <c r="D258" s="291" t="s">
        <v>1177</v>
      </c>
      <c r="E258" s="290" t="s">
        <v>666</v>
      </c>
      <c r="F258" s="290" t="s">
        <v>1177</v>
      </c>
      <c r="G258" s="291" t="s">
        <v>166</v>
      </c>
      <c r="H258" s="291" t="str">
        <f>IFERROR(IF(SEARCH(".00.00.00.00.00",Tableau17[[#This Row],[name]],1)=7,"Division",""),"")</f>
        <v>Division</v>
      </c>
      <c r="I258" s="290"/>
      <c r="J258" s="292" t="s">
        <v>708</v>
      </c>
      <c r="K258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58" s="293">
        <f>ROUND(Tableau17[[#This Row],[LEN]]*7.27,0)</f>
        <v>36</v>
      </c>
      <c r="M258" s="293">
        <v>15</v>
      </c>
      <c r="N258" s="294" t="str">
        <f t="shared" si="2"/>
        <v>none</v>
      </c>
      <c r="O258" s="293">
        <f>LEN(Tableau17[[#This Row],[LABEL]])</f>
        <v>5</v>
      </c>
      <c r="P258" s="293">
        <v>15</v>
      </c>
      <c r="Q258" s="293" t="e">
        <f>ROUND(Tableau17[[#This Row],[LEN]]*#REF!+#REF!,0)</f>
        <v>#REF!</v>
      </c>
    </row>
    <row r="259" spans="1:17" s="97" customFormat="1" x14ac:dyDescent="0.25">
      <c r="A259" s="25" t="s">
        <v>1058</v>
      </c>
      <c r="B259" s="26" t="s">
        <v>252</v>
      </c>
      <c r="C259" s="27" t="s">
        <v>86</v>
      </c>
      <c r="D259" s="70" t="s">
        <v>1177</v>
      </c>
      <c r="E259" s="27" t="s">
        <v>666</v>
      </c>
      <c r="F259" s="27" t="s">
        <v>2081</v>
      </c>
      <c r="G259" s="70" t="s">
        <v>166</v>
      </c>
      <c r="H259" s="70" t="s">
        <v>570</v>
      </c>
      <c r="I259" s="27"/>
      <c r="J259" s="28" t="s">
        <v>708</v>
      </c>
      <c r="K25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59" s="109">
        <f>ROUND(Tableau17[[#This Row],[LEN]]*7.27,0)</f>
        <v>269</v>
      </c>
      <c r="M259" s="109">
        <v>15</v>
      </c>
      <c r="N259" s="127" t="str">
        <f t="shared" si="2"/>
        <v>none</v>
      </c>
      <c r="O259" s="109">
        <f>LEN(Tableau17[[#This Row],[LABEL]])</f>
        <v>37</v>
      </c>
      <c r="P259" s="109">
        <v>15</v>
      </c>
      <c r="Q259" s="109" t="e">
        <f>ROUND(Tableau17[[#This Row],[LEN]]*#REF!+#REF!,0)</f>
        <v>#REF!</v>
      </c>
    </row>
    <row r="260" spans="1:17" s="97" customFormat="1" x14ac:dyDescent="0.25">
      <c r="A260" s="25" t="s">
        <v>1059</v>
      </c>
      <c r="B260" s="26" t="s">
        <v>252</v>
      </c>
      <c r="C260" s="27" t="s">
        <v>87</v>
      </c>
      <c r="D260" s="70" t="s">
        <v>1177</v>
      </c>
      <c r="E260" s="27" t="s">
        <v>663</v>
      </c>
      <c r="F260" s="27" t="s">
        <v>684</v>
      </c>
      <c r="G260" s="70" t="s">
        <v>166</v>
      </c>
      <c r="H260" s="70" t="s">
        <v>570</v>
      </c>
      <c r="I260" s="27"/>
      <c r="J260" s="28" t="s">
        <v>708</v>
      </c>
      <c r="K26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0" s="109">
        <f>ROUND(Tableau17[[#This Row],[LEN]]*7.27,0)</f>
        <v>182</v>
      </c>
      <c r="M260" s="109">
        <v>15</v>
      </c>
      <c r="N260" s="127" t="str">
        <f t="shared" si="2"/>
        <v>none</v>
      </c>
      <c r="O260" s="109">
        <f>LEN(Tableau17[[#This Row],[LABEL]])</f>
        <v>25</v>
      </c>
      <c r="P260" s="109">
        <v>15</v>
      </c>
      <c r="Q260" s="109" t="e">
        <f>ROUND(Tableau17[[#This Row],[LEN]]*#REF!+#REF!,0)</f>
        <v>#REF!</v>
      </c>
    </row>
    <row r="261" spans="1:17" s="97" customFormat="1" x14ac:dyDescent="0.25">
      <c r="A261" s="25" t="s">
        <v>1060</v>
      </c>
      <c r="B261" s="26" t="s">
        <v>252</v>
      </c>
      <c r="C261" s="27" t="s">
        <v>88</v>
      </c>
      <c r="D261" s="70" t="s">
        <v>1177</v>
      </c>
      <c r="E261" s="27" t="s">
        <v>667</v>
      </c>
      <c r="F261" s="27" t="s">
        <v>1218</v>
      </c>
      <c r="G261" s="70" t="s">
        <v>166</v>
      </c>
      <c r="H261" s="70" t="s">
        <v>570</v>
      </c>
      <c r="I261" s="27"/>
      <c r="J261" s="28" t="s">
        <v>708</v>
      </c>
      <c r="K26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1" s="109">
        <f>ROUND(Tableau17[[#This Row],[LEN]]*7.27,0)</f>
        <v>342</v>
      </c>
      <c r="M261" s="109">
        <v>15</v>
      </c>
      <c r="N261" s="127" t="str">
        <f t="shared" si="2"/>
        <v>none</v>
      </c>
      <c r="O261" s="109">
        <f>LEN(Tableau17[[#This Row],[LABEL]])</f>
        <v>47</v>
      </c>
      <c r="P261" s="109">
        <v>15</v>
      </c>
      <c r="Q261" s="109" t="e">
        <f>ROUND(Tableau17[[#This Row],[LEN]]*#REF!+#REF!,0)</f>
        <v>#REF!</v>
      </c>
    </row>
    <row r="262" spans="1:17" s="97" customFormat="1" x14ac:dyDescent="0.25">
      <c r="A262" s="25" t="s">
        <v>1061</v>
      </c>
      <c r="B262" s="26" t="s">
        <v>252</v>
      </c>
      <c r="C262" s="27" t="s">
        <v>1071</v>
      </c>
      <c r="D262" s="70" t="s">
        <v>1177</v>
      </c>
      <c r="E262" s="27" t="s">
        <v>666</v>
      </c>
      <c r="F262" s="27" t="s">
        <v>828</v>
      </c>
      <c r="G262" s="70" t="s">
        <v>166</v>
      </c>
      <c r="H262" s="70" t="s">
        <v>655</v>
      </c>
      <c r="I262" s="27"/>
      <c r="J262" s="28" t="s">
        <v>708</v>
      </c>
      <c r="K26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2" s="109">
        <f>ROUND(Tableau17[[#This Row],[LEN]]*7.27,0)</f>
        <v>247</v>
      </c>
      <c r="M262" s="109">
        <v>15</v>
      </c>
      <c r="N262" s="127" t="str">
        <f t="shared" si="2"/>
        <v>none</v>
      </c>
      <c r="O262" s="109">
        <f>LEN(Tableau17[[#This Row],[LABEL]])</f>
        <v>34</v>
      </c>
      <c r="P262" s="109">
        <v>15</v>
      </c>
      <c r="Q262" s="109" t="e">
        <f>ROUND(Tableau17[[#This Row],[LEN]]*#REF!+#REF!,0)</f>
        <v>#REF!</v>
      </c>
    </row>
    <row r="263" spans="1:17" s="97" customFormat="1" x14ac:dyDescent="0.25">
      <c r="A263" s="29" t="s">
        <v>1074</v>
      </c>
      <c r="B263" s="30" t="s">
        <v>1061</v>
      </c>
      <c r="C263" s="31" t="s">
        <v>1086</v>
      </c>
      <c r="D263" s="71" t="s">
        <v>1177</v>
      </c>
      <c r="E263" s="31" t="s">
        <v>666</v>
      </c>
      <c r="F263" s="31" t="s">
        <v>828</v>
      </c>
      <c r="G263" s="71" t="s">
        <v>166</v>
      </c>
      <c r="H263" s="71" t="s">
        <v>655</v>
      </c>
      <c r="I263" s="31"/>
      <c r="J263" s="32" t="s">
        <v>708</v>
      </c>
      <c r="K26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3" s="111">
        <f>ROUND(Tableau17[[#This Row],[LEN]]*7.27,0)</f>
        <v>87</v>
      </c>
      <c r="M263" s="111">
        <v>15</v>
      </c>
      <c r="N263" s="128" t="str">
        <f t="shared" si="2"/>
        <v>none</v>
      </c>
      <c r="O263" s="111">
        <f>LEN(Tableau17[[#This Row],[LABEL]])</f>
        <v>12</v>
      </c>
      <c r="P263" s="111">
        <v>15</v>
      </c>
      <c r="Q263" s="111" t="e">
        <f>ROUND(Tableau17[[#This Row],[LEN]]*#REF!+#REF!,0)</f>
        <v>#REF!</v>
      </c>
    </row>
    <row r="264" spans="1:17" s="97" customFormat="1" x14ac:dyDescent="0.25">
      <c r="A264" s="86" t="s">
        <v>1094</v>
      </c>
      <c r="B264" s="87" t="s">
        <v>1074</v>
      </c>
      <c r="C264" s="88" t="s">
        <v>1088</v>
      </c>
      <c r="D264" s="89" t="s">
        <v>1177</v>
      </c>
      <c r="E264" s="88" t="s">
        <v>666</v>
      </c>
      <c r="F264" s="88" t="s">
        <v>828</v>
      </c>
      <c r="G264" s="89" t="s">
        <v>166</v>
      </c>
      <c r="H264" s="90" t="s">
        <v>18</v>
      </c>
      <c r="I264" s="88"/>
      <c r="J264" s="91" t="s">
        <v>708</v>
      </c>
      <c r="K264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4" s="112">
        <f>ROUND(Tableau17[[#This Row],[LEN]]*7.27,0)</f>
        <v>196</v>
      </c>
      <c r="M264" s="112">
        <v>15</v>
      </c>
      <c r="N264" s="129" t="str">
        <f t="shared" si="2"/>
        <v>none</v>
      </c>
      <c r="O264" s="112">
        <f>LEN(Tableau17[[#This Row],[LABEL]])</f>
        <v>27</v>
      </c>
      <c r="P264" s="112">
        <v>15</v>
      </c>
      <c r="Q264" s="112" t="e">
        <f>ROUND(Tableau17[[#This Row],[LEN]]*#REF!+#REF!,0)</f>
        <v>#REF!</v>
      </c>
    </row>
    <row r="265" spans="1:17" s="97" customFormat="1" x14ac:dyDescent="0.25">
      <c r="A265" s="86" t="s">
        <v>1095</v>
      </c>
      <c r="B265" s="87" t="s">
        <v>1074</v>
      </c>
      <c r="C265" s="88" t="s">
        <v>1089</v>
      </c>
      <c r="D265" s="89" t="s">
        <v>1177</v>
      </c>
      <c r="E265" s="88" t="s">
        <v>666</v>
      </c>
      <c r="F265" s="88" t="s">
        <v>828</v>
      </c>
      <c r="G265" s="89" t="s">
        <v>166</v>
      </c>
      <c r="H265" s="90" t="s">
        <v>18</v>
      </c>
      <c r="I265" s="88"/>
      <c r="J265" s="91" t="s">
        <v>708</v>
      </c>
      <c r="K26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5" s="112">
        <f>ROUND(Tableau17[[#This Row],[LEN]]*7.27,0)</f>
        <v>36</v>
      </c>
      <c r="M265" s="112">
        <v>15</v>
      </c>
      <c r="N265" s="129" t="str">
        <f t="shared" si="2"/>
        <v>none</v>
      </c>
      <c r="O265" s="112">
        <f>LEN(Tableau17[[#This Row],[LABEL]])</f>
        <v>5</v>
      </c>
      <c r="P265" s="112">
        <v>15</v>
      </c>
      <c r="Q265" s="112" t="e">
        <f>ROUND(Tableau17[[#This Row],[LEN]]*#REF!+#REF!,0)</f>
        <v>#REF!</v>
      </c>
    </row>
    <row r="266" spans="1:17" s="97" customFormat="1" x14ac:dyDescent="0.25">
      <c r="A266" s="86" t="s">
        <v>1096</v>
      </c>
      <c r="B266" s="87" t="s">
        <v>1074</v>
      </c>
      <c r="C266" s="88" t="s">
        <v>1090</v>
      </c>
      <c r="D266" s="89" t="s">
        <v>1177</v>
      </c>
      <c r="E266" s="88" t="s">
        <v>666</v>
      </c>
      <c r="F266" s="88" t="s">
        <v>828</v>
      </c>
      <c r="G266" s="89" t="s">
        <v>166</v>
      </c>
      <c r="H266" s="90" t="s">
        <v>18</v>
      </c>
      <c r="I266" s="88"/>
      <c r="J266" s="91" t="s">
        <v>708</v>
      </c>
      <c r="K26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6" s="112">
        <f>ROUND(Tableau17[[#This Row],[LEN]]*7.27,0)</f>
        <v>29</v>
      </c>
      <c r="M266" s="112">
        <v>15</v>
      </c>
      <c r="N266" s="129" t="str">
        <f t="shared" si="2"/>
        <v>none</v>
      </c>
      <c r="O266" s="112">
        <f>LEN(Tableau17[[#This Row],[LABEL]])</f>
        <v>4</v>
      </c>
      <c r="P266" s="112">
        <v>15</v>
      </c>
      <c r="Q266" s="112" t="e">
        <f>ROUND(Tableau17[[#This Row],[LEN]]*#REF!+#REF!,0)</f>
        <v>#REF!</v>
      </c>
    </row>
    <row r="267" spans="1:17" s="97" customFormat="1" x14ac:dyDescent="0.25">
      <c r="A267" s="86" t="s">
        <v>1097</v>
      </c>
      <c r="B267" s="87" t="s">
        <v>1074</v>
      </c>
      <c r="C267" s="88" t="s">
        <v>1091</v>
      </c>
      <c r="D267" s="89" t="s">
        <v>1177</v>
      </c>
      <c r="E267" s="88" t="s">
        <v>666</v>
      </c>
      <c r="F267" s="88" t="s">
        <v>828</v>
      </c>
      <c r="G267" s="89" t="s">
        <v>166</v>
      </c>
      <c r="H267" s="90" t="s">
        <v>18</v>
      </c>
      <c r="I267" s="88"/>
      <c r="J267" s="91" t="s">
        <v>708</v>
      </c>
      <c r="K26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7" s="112">
        <f>ROUND(Tableau17[[#This Row],[LEN]]*7.27,0)</f>
        <v>102</v>
      </c>
      <c r="M267" s="112">
        <v>15</v>
      </c>
      <c r="N267" s="129" t="str">
        <f t="shared" si="2"/>
        <v>none</v>
      </c>
      <c r="O267" s="112">
        <f>LEN(Tableau17[[#This Row],[LABEL]])</f>
        <v>14</v>
      </c>
      <c r="P267" s="112">
        <v>15</v>
      </c>
      <c r="Q267" s="112" t="e">
        <f>ROUND(Tableau17[[#This Row],[LEN]]*#REF!+#REF!,0)</f>
        <v>#REF!</v>
      </c>
    </row>
    <row r="268" spans="1:17" s="97" customFormat="1" x14ac:dyDescent="0.25">
      <c r="A268" s="86" t="s">
        <v>1098</v>
      </c>
      <c r="B268" s="212" t="s">
        <v>1074</v>
      </c>
      <c r="C268" s="88" t="s">
        <v>1092</v>
      </c>
      <c r="D268" s="89" t="s">
        <v>1177</v>
      </c>
      <c r="E268" s="88" t="s">
        <v>666</v>
      </c>
      <c r="F268" s="88" t="s">
        <v>828</v>
      </c>
      <c r="G268" s="89" t="s">
        <v>166</v>
      </c>
      <c r="H268" s="90" t="s">
        <v>18</v>
      </c>
      <c r="I268" s="88"/>
      <c r="J268" s="91" t="s">
        <v>708</v>
      </c>
      <c r="K26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8" s="112">
        <f>ROUND(Tableau17[[#This Row],[LEN]]*7.27,0)</f>
        <v>153</v>
      </c>
      <c r="M268" s="112">
        <v>15</v>
      </c>
      <c r="N268" s="129" t="str">
        <f t="shared" si="2"/>
        <v>none</v>
      </c>
      <c r="O268" s="112">
        <f>LEN(Tableau17[[#This Row],[LABEL]])</f>
        <v>21</v>
      </c>
      <c r="P268" s="112">
        <v>15</v>
      </c>
      <c r="Q268" s="112" t="e">
        <f>ROUND(Tableau17[[#This Row],[LEN]]*#REF!+#REF!,0)</f>
        <v>#REF!</v>
      </c>
    </row>
    <row r="269" spans="1:17" s="97" customFormat="1" x14ac:dyDescent="0.25">
      <c r="A269" s="86" t="s">
        <v>1099</v>
      </c>
      <c r="B269" s="212" t="s">
        <v>1074</v>
      </c>
      <c r="C269" s="88" t="s">
        <v>1093</v>
      </c>
      <c r="D269" s="89" t="s">
        <v>1177</v>
      </c>
      <c r="E269" s="88" t="s">
        <v>666</v>
      </c>
      <c r="F269" s="88" t="s">
        <v>828</v>
      </c>
      <c r="G269" s="89" t="s">
        <v>166</v>
      </c>
      <c r="H269" s="90" t="s">
        <v>18</v>
      </c>
      <c r="I269" s="88"/>
      <c r="J269" s="91" t="s">
        <v>708</v>
      </c>
      <c r="K26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69" s="112">
        <f>ROUND(Tableau17[[#This Row],[LEN]]*7.27,0)</f>
        <v>269</v>
      </c>
      <c r="M269" s="112">
        <v>15</v>
      </c>
      <c r="N269" s="129" t="str">
        <f t="shared" si="2"/>
        <v>none</v>
      </c>
      <c r="O269" s="112">
        <f>LEN(Tableau17[[#This Row],[LABEL]])</f>
        <v>37</v>
      </c>
      <c r="P269" s="112">
        <v>15</v>
      </c>
      <c r="Q269" s="112" t="e">
        <f>ROUND(Tableau17[[#This Row],[LEN]]*#REF!+#REF!,0)</f>
        <v>#REF!</v>
      </c>
    </row>
    <row r="270" spans="1:17" s="97" customFormat="1" x14ac:dyDescent="0.25">
      <c r="A270" s="29" t="s">
        <v>1075</v>
      </c>
      <c r="B270" s="30" t="s">
        <v>1061</v>
      </c>
      <c r="C270" s="31" t="s">
        <v>1087</v>
      </c>
      <c r="D270" s="71" t="s">
        <v>1177</v>
      </c>
      <c r="E270" s="31" t="s">
        <v>666</v>
      </c>
      <c r="F270" s="31" t="s">
        <v>828</v>
      </c>
      <c r="G270" s="71" t="s">
        <v>166</v>
      </c>
      <c r="H270" s="71" t="s">
        <v>655</v>
      </c>
      <c r="I270" s="31"/>
      <c r="J270" s="32" t="s">
        <v>708</v>
      </c>
      <c r="K27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0" s="111">
        <f>ROUND(Tableau17[[#This Row],[LEN]]*7.27,0)</f>
        <v>109</v>
      </c>
      <c r="M270" s="111">
        <v>15</v>
      </c>
      <c r="N270" s="128" t="str">
        <f t="shared" si="2"/>
        <v>none</v>
      </c>
      <c r="O270" s="111">
        <f>LEN(Tableau17[[#This Row],[LABEL]])</f>
        <v>15</v>
      </c>
      <c r="P270" s="111">
        <v>15</v>
      </c>
      <c r="Q270" s="111" t="e">
        <f>ROUND(Tableau17[[#This Row],[LEN]]*#REF!+#REF!,0)</f>
        <v>#REF!</v>
      </c>
    </row>
    <row r="271" spans="1:17" s="97" customFormat="1" x14ac:dyDescent="0.25">
      <c r="A271" s="86" t="s">
        <v>1102</v>
      </c>
      <c r="B271" s="87" t="s">
        <v>1075</v>
      </c>
      <c r="C271" s="88" t="s">
        <v>1100</v>
      </c>
      <c r="D271" s="89" t="s">
        <v>1177</v>
      </c>
      <c r="E271" s="88" t="s">
        <v>666</v>
      </c>
      <c r="F271" s="88" t="s">
        <v>828</v>
      </c>
      <c r="G271" s="89" t="s">
        <v>166</v>
      </c>
      <c r="H271" s="90" t="s">
        <v>18</v>
      </c>
      <c r="I271" s="88"/>
      <c r="J271" s="91" t="s">
        <v>708</v>
      </c>
      <c r="K27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1" s="112">
        <f>ROUND(Tableau17[[#This Row],[LEN]]*7.27,0)</f>
        <v>22</v>
      </c>
      <c r="M271" s="112">
        <v>15</v>
      </c>
      <c r="N271" s="129" t="str">
        <f t="shared" si="2"/>
        <v>none</v>
      </c>
      <c r="O271" s="112">
        <f>LEN(Tableau17[[#This Row],[LABEL]])</f>
        <v>3</v>
      </c>
      <c r="P271" s="112">
        <v>15</v>
      </c>
      <c r="Q271" s="112" t="e">
        <f>ROUND(Tableau17[[#This Row],[LEN]]*#REF!+#REF!,0)</f>
        <v>#REF!</v>
      </c>
    </row>
    <row r="272" spans="1:17" s="97" customFormat="1" x14ac:dyDescent="0.25">
      <c r="A272" s="86" t="s">
        <v>1103</v>
      </c>
      <c r="B272" s="87" t="s">
        <v>1075</v>
      </c>
      <c r="C272" s="88" t="s">
        <v>1101</v>
      </c>
      <c r="D272" s="89" t="s">
        <v>1177</v>
      </c>
      <c r="E272" s="88" t="s">
        <v>666</v>
      </c>
      <c r="F272" s="88" t="s">
        <v>828</v>
      </c>
      <c r="G272" s="89" t="s">
        <v>166</v>
      </c>
      <c r="H272" s="90" t="s">
        <v>18</v>
      </c>
      <c r="I272" s="88"/>
      <c r="J272" s="91" t="s">
        <v>708</v>
      </c>
      <c r="K27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2" s="112">
        <f>ROUND(Tableau17[[#This Row],[LEN]]*7.27,0)</f>
        <v>36</v>
      </c>
      <c r="M272" s="112">
        <v>15</v>
      </c>
      <c r="N272" s="129" t="str">
        <f t="shared" si="2"/>
        <v>none</v>
      </c>
      <c r="O272" s="112">
        <f>LEN(Tableau17[[#This Row],[LABEL]])</f>
        <v>5</v>
      </c>
      <c r="P272" s="112">
        <v>15</v>
      </c>
      <c r="Q272" s="112" t="e">
        <f>ROUND(Tableau17[[#This Row],[LEN]]*#REF!+#REF!,0)</f>
        <v>#REF!</v>
      </c>
    </row>
    <row r="273" spans="1:17" s="97" customFormat="1" x14ac:dyDescent="0.25">
      <c r="A273" s="86" t="s">
        <v>1104</v>
      </c>
      <c r="B273" s="87" t="s">
        <v>1075</v>
      </c>
      <c r="C273" s="88" t="s">
        <v>812</v>
      </c>
      <c r="D273" s="89" t="s">
        <v>1177</v>
      </c>
      <c r="E273" s="88" t="s">
        <v>666</v>
      </c>
      <c r="F273" s="88" t="s">
        <v>828</v>
      </c>
      <c r="G273" s="89" t="s">
        <v>166</v>
      </c>
      <c r="H273" s="90" t="s">
        <v>18</v>
      </c>
      <c r="I273" s="88"/>
      <c r="J273" s="91" t="s">
        <v>708</v>
      </c>
      <c r="K27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3" s="112">
        <f>ROUND(Tableau17[[#This Row],[LEN]]*7.27,0)</f>
        <v>131</v>
      </c>
      <c r="M273" s="112">
        <v>15</v>
      </c>
      <c r="N273" s="129" t="str">
        <f t="shared" si="2"/>
        <v>none</v>
      </c>
      <c r="O273" s="112">
        <f>LEN(Tableau17[[#This Row],[LABEL]])</f>
        <v>18</v>
      </c>
      <c r="P273" s="112">
        <v>15</v>
      </c>
      <c r="Q273" s="112" t="e">
        <f>ROUND(Tableau17[[#This Row],[LEN]]*#REF!+#REF!,0)</f>
        <v>#REF!</v>
      </c>
    </row>
    <row r="274" spans="1:17" s="97" customFormat="1" x14ac:dyDescent="0.25">
      <c r="A274" s="29" t="s">
        <v>1076</v>
      </c>
      <c r="B274" s="30" t="s">
        <v>1061</v>
      </c>
      <c r="C274" s="31" t="s">
        <v>15</v>
      </c>
      <c r="D274" s="71" t="s">
        <v>1177</v>
      </c>
      <c r="E274" s="31" t="s">
        <v>666</v>
      </c>
      <c r="F274" s="31" t="s">
        <v>828</v>
      </c>
      <c r="G274" s="71" t="s">
        <v>166</v>
      </c>
      <c r="H274" s="71" t="s">
        <v>655</v>
      </c>
      <c r="I274" s="31"/>
      <c r="J274" s="32" t="s">
        <v>708</v>
      </c>
      <c r="K27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4" s="111">
        <f>ROUND(Tableau17[[#This Row],[LEN]]*7.27,0)</f>
        <v>174</v>
      </c>
      <c r="M274" s="111">
        <v>15</v>
      </c>
      <c r="N274" s="128" t="str">
        <f t="shared" si="2"/>
        <v>none</v>
      </c>
      <c r="O274" s="111">
        <f>LEN(Tableau17[[#This Row],[LABEL]])</f>
        <v>24</v>
      </c>
      <c r="P274" s="111">
        <v>15</v>
      </c>
      <c r="Q274" s="111" t="e">
        <f>ROUND(Tableau17[[#This Row],[LEN]]*#REF!+#REF!,0)</f>
        <v>#REF!</v>
      </c>
    </row>
    <row r="275" spans="1:17" s="97" customFormat="1" x14ac:dyDescent="0.25">
      <c r="A275" s="86" t="s">
        <v>1105</v>
      </c>
      <c r="B275" s="87" t="s">
        <v>1076</v>
      </c>
      <c r="C275" s="88" t="s">
        <v>1100</v>
      </c>
      <c r="D275" s="89" t="s">
        <v>1177</v>
      </c>
      <c r="E275" s="88" t="s">
        <v>666</v>
      </c>
      <c r="F275" s="88" t="s">
        <v>828</v>
      </c>
      <c r="G275" s="89" t="s">
        <v>166</v>
      </c>
      <c r="H275" s="90" t="s">
        <v>18</v>
      </c>
      <c r="I275" s="88"/>
      <c r="J275" s="91" t="s">
        <v>708</v>
      </c>
      <c r="K27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5" s="112">
        <f>ROUND(Tableau17[[#This Row],[LEN]]*7.27,0)</f>
        <v>22</v>
      </c>
      <c r="M275" s="112">
        <v>15</v>
      </c>
      <c r="N275" s="129" t="str">
        <f t="shared" si="2"/>
        <v>none</v>
      </c>
      <c r="O275" s="112">
        <f>LEN(Tableau17[[#This Row],[LABEL]])</f>
        <v>3</v>
      </c>
      <c r="P275" s="112">
        <v>15</v>
      </c>
      <c r="Q275" s="112" t="e">
        <f>ROUND(Tableau17[[#This Row],[LEN]]*#REF!+#REF!,0)</f>
        <v>#REF!</v>
      </c>
    </row>
    <row r="276" spans="1:17" s="97" customFormat="1" x14ac:dyDescent="0.25">
      <c r="A276" s="86" t="s">
        <v>1106</v>
      </c>
      <c r="B276" s="87" t="s">
        <v>1076</v>
      </c>
      <c r="C276" s="88" t="s">
        <v>807</v>
      </c>
      <c r="D276" s="89" t="s">
        <v>1177</v>
      </c>
      <c r="E276" s="88" t="s">
        <v>666</v>
      </c>
      <c r="F276" s="88" t="s">
        <v>828</v>
      </c>
      <c r="G276" s="89" t="s">
        <v>166</v>
      </c>
      <c r="H276" s="90" t="s">
        <v>18</v>
      </c>
      <c r="I276" s="88"/>
      <c r="J276" s="91" t="s">
        <v>708</v>
      </c>
      <c r="K27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6" s="112">
        <f>ROUND(Tableau17[[#This Row],[LEN]]*7.27,0)</f>
        <v>218</v>
      </c>
      <c r="M276" s="112">
        <v>15</v>
      </c>
      <c r="N276" s="129" t="str">
        <f t="shared" si="2"/>
        <v>none</v>
      </c>
      <c r="O276" s="112">
        <f>LEN(Tableau17[[#This Row],[LABEL]])</f>
        <v>30</v>
      </c>
      <c r="P276" s="112">
        <v>15</v>
      </c>
      <c r="Q276" s="112" t="e">
        <f>ROUND(Tableau17[[#This Row],[LEN]]*#REF!+#REF!,0)</f>
        <v>#REF!</v>
      </c>
    </row>
    <row r="277" spans="1:17" s="97" customFormat="1" x14ac:dyDescent="0.25">
      <c r="A277" s="86" t="s">
        <v>1107</v>
      </c>
      <c r="B277" s="87" t="s">
        <v>1076</v>
      </c>
      <c r="C277" s="88" t="s">
        <v>1112</v>
      </c>
      <c r="D277" s="89" t="s">
        <v>1177</v>
      </c>
      <c r="E277" s="88" t="s">
        <v>666</v>
      </c>
      <c r="F277" s="88" t="s">
        <v>828</v>
      </c>
      <c r="G277" s="89" t="s">
        <v>166</v>
      </c>
      <c r="H277" s="90" t="s">
        <v>18</v>
      </c>
      <c r="I277" s="88"/>
      <c r="J277" s="91" t="s">
        <v>708</v>
      </c>
      <c r="K27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7" s="112">
        <f>ROUND(Tableau17[[#This Row],[LEN]]*7.27,0)</f>
        <v>240</v>
      </c>
      <c r="M277" s="112">
        <v>15</v>
      </c>
      <c r="N277" s="129" t="str">
        <f t="shared" si="2"/>
        <v>none</v>
      </c>
      <c r="O277" s="112">
        <f>LEN(Tableau17[[#This Row],[LABEL]])</f>
        <v>33</v>
      </c>
      <c r="P277" s="112">
        <v>15</v>
      </c>
      <c r="Q277" s="112" t="e">
        <f>ROUND(Tableau17[[#This Row],[LEN]]*#REF!+#REF!,0)</f>
        <v>#REF!</v>
      </c>
    </row>
    <row r="278" spans="1:17" s="97" customFormat="1" x14ac:dyDescent="0.25">
      <c r="A278" s="86" t="s">
        <v>1108</v>
      </c>
      <c r="B278" s="87" t="s">
        <v>1076</v>
      </c>
      <c r="C278" s="88" t="s">
        <v>1113</v>
      </c>
      <c r="D278" s="89" t="s">
        <v>1177</v>
      </c>
      <c r="E278" s="88" t="s">
        <v>666</v>
      </c>
      <c r="F278" s="88" t="s">
        <v>828</v>
      </c>
      <c r="G278" s="89" t="s">
        <v>166</v>
      </c>
      <c r="H278" s="90" t="s">
        <v>18</v>
      </c>
      <c r="I278" s="88"/>
      <c r="J278" s="91" t="s">
        <v>708</v>
      </c>
      <c r="K27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8" s="112">
        <f>ROUND(Tableau17[[#This Row],[LEN]]*7.27,0)</f>
        <v>116</v>
      </c>
      <c r="M278" s="112">
        <v>15</v>
      </c>
      <c r="N278" s="129" t="str">
        <f t="shared" si="2"/>
        <v>none</v>
      </c>
      <c r="O278" s="112">
        <f>LEN(Tableau17[[#This Row],[LABEL]])</f>
        <v>16</v>
      </c>
      <c r="P278" s="112">
        <v>15</v>
      </c>
      <c r="Q278" s="112" t="e">
        <f>ROUND(Tableau17[[#This Row],[LEN]]*#REF!+#REF!,0)</f>
        <v>#REF!</v>
      </c>
    </row>
    <row r="279" spans="1:17" s="97" customFormat="1" x14ac:dyDescent="0.25">
      <c r="A279" s="86" t="s">
        <v>1109</v>
      </c>
      <c r="B279" s="87" t="s">
        <v>1076</v>
      </c>
      <c r="C279" s="88" t="s">
        <v>1114</v>
      </c>
      <c r="D279" s="89" t="s">
        <v>1177</v>
      </c>
      <c r="E279" s="88" t="s">
        <v>666</v>
      </c>
      <c r="F279" s="88" t="s">
        <v>828</v>
      </c>
      <c r="G279" s="89" t="s">
        <v>166</v>
      </c>
      <c r="H279" s="90" t="s">
        <v>18</v>
      </c>
      <c r="I279" s="88"/>
      <c r="J279" s="91" t="s">
        <v>708</v>
      </c>
      <c r="K27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79" s="112">
        <f>ROUND(Tableau17[[#This Row],[LEN]]*7.27,0)</f>
        <v>116</v>
      </c>
      <c r="M279" s="112">
        <v>15</v>
      </c>
      <c r="N279" s="129" t="str">
        <f t="shared" si="2"/>
        <v>none</v>
      </c>
      <c r="O279" s="112">
        <f>LEN(Tableau17[[#This Row],[LABEL]])</f>
        <v>16</v>
      </c>
      <c r="P279" s="112">
        <v>15</v>
      </c>
      <c r="Q279" s="112" t="e">
        <f>ROUND(Tableau17[[#This Row],[LEN]]*#REF!+#REF!,0)</f>
        <v>#REF!</v>
      </c>
    </row>
    <row r="280" spans="1:17" s="97" customFormat="1" x14ac:dyDescent="0.25">
      <c r="A280" s="86" t="s">
        <v>1110</v>
      </c>
      <c r="B280" s="87" t="s">
        <v>1076</v>
      </c>
      <c r="C280" s="88" t="s">
        <v>806</v>
      </c>
      <c r="D280" s="89" t="s">
        <v>1177</v>
      </c>
      <c r="E280" s="88" t="s">
        <v>666</v>
      </c>
      <c r="F280" s="88" t="s">
        <v>828</v>
      </c>
      <c r="G280" s="89" t="s">
        <v>166</v>
      </c>
      <c r="H280" s="90" t="s">
        <v>18</v>
      </c>
      <c r="I280" s="88"/>
      <c r="J280" s="91" t="s">
        <v>708</v>
      </c>
      <c r="K280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0" s="112">
        <f>ROUND(Tableau17[[#This Row],[LEN]]*7.27,0)</f>
        <v>174</v>
      </c>
      <c r="M280" s="112">
        <v>15</v>
      </c>
      <c r="N280" s="129" t="str">
        <f t="shared" si="2"/>
        <v>none</v>
      </c>
      <c r="O280" s="112">
        <f>LEN(Tableau17[[#This Row],[LABEL]])</f>
        <v>24</v>
      </c>
      <c r="P280" s="112">
        <v>15</v>
      </c>
      <c r="Q280" s="112" t="e">
        <f>ROUND(Tableau17[[#This Row],[LEN]]*#REF!+#REF!,0)</f>
        <v>#REF!</v>
      </c>
    </row>
    <row r="281" spans="1:17" s="97" customFormat="1" x14ac:dyDescent="0.25">
      <c r="A281" s="86" t="s">
        <v>1111</v>
      </c>
      <c r="B281" s="87" t="s">
        <v>1076</v>
      </c>
      <c r="C281" s="88" t="s">
        <v>812</v>
      </c>
      <c r="D281" s="89" t="s">
        <v>1177</v>
      </c>
      <c r="E281" s="88" t="s">
        <v>666</v>
      </c>
      <c r="F281" s="88" t="s">
        <v>828</v>
      </c>
      <c r="G281" s="89" t="s">
        <v>166</v>
      </c>
      <c r="H281" s="90" t="s">
        <v>18</v>
      </c>
      <c r="I281" s="88"/>
      <c r="J281" s="91" t="s">
        <v>708</v>
      </c>
      <c r="K28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1" s="112">
        <f>ROUND(Tableau17[[#This Row],[LEN]]*7.27,0)</f>
        <v>131</v>
      </c>
      <c r="M281" s="112">
        <v>15</v>
      </c>
      <c r="N281" s="129" t="str">
        <f t="shared" si="2"/>
        <v>none</v>
      </c>
      <c r="O281" s="112">
        <f>LEN(Tableau17[[#This Row],[LABEL]])</f>
        <v>18</v>
      </c>
      <c r="P281" s="112">
        <v>15</v>
      </c>
      <c r="Q281" s="112" t="e">
        <f>ROUND(Tableau17[[#This Row],[LEN]]*#REF!+#REF!,0)</f>
        <v>#REF!</v>
      </c>
    </row>
    <row r="282" spans="1:17" s="97" customFormat="1" x14ac:dyDescent="0.25">
      <c r="A282" s="25" t="s">
        <v>1062</v>
      </c>
      <c r="B282" s="26" t="s">
        <v>252</v>
      </c>
      <c r="C282" s="27" t="s">
        <v>1070</v>
      </c>
      <c r="D282" s="70" t="s">
        <v>1177</v>
      </c>
      <c r="E282" s="27" t="s">
        <v>666</v>
      </c>
      <c r="F282" s="27" t="s">
        <v>1177</v>
      </c>
      <c r="G282" s="70" t="s">
        <v>166</v>
      </c>
      <c r="H282" s="70" t="s">
        <v>656</v>
      </c>
      <c r="I282" s="27"/>
      <c r="J282" s="28" t="s">
        <v>708</v>
      </c>
      <c r="K28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2" s="109">
        <f>ROUND(Tableau17[[#This Row],[LEN]]*7.27,0)</f>
        <v>371</v>
      </c>
      <c r="M282" s="109">
        <v>15</v>
      </c>
      <c r="N282" s="127" t="str">
        <f t="shared" si="2"/>
        <v>none</v>
      </c>
      <c r="O282" s="109">
        <f>LEN(Tableau17[[#This Row],[LABEL]])</f>
        <v>51</v>
      </c>
      <c r="P282" s="109">
        <v>15</v>
      </c>
      <c r="Q282" s="109" t="e">
        <f>ROUND(Tableau17[[#This Row],[LEN]]*#REF!+#REF!,0)</f>
        <v>#REF!</v>
      </c>
    </row>
    <row r="283" spans="1:17" s="97" customFormat="1" x14ac:dyDescent="0.25">
      <c r="A283" s="25" t="s">
        <v>1063</v>
      </c>
      <c r="B283" s="26" t="s">
        <v>252</v>
      </c>
      <c r="C283" s="27" t="s">
        <v>778</v>
      </c>
      <c r="D283" s="70" t="s">
        <v>1177</v>
      </c>
      <c r="E283" s="27" t="s">
        <v>673</v>
      </c>
      <c r="F283" s="27" t="s">
        <v>2000</v>
      </c>
      <c r="G283" s="70" t="s">
        <v>166</v>
      </c>
      <c r="H283" s="70" t="s">
        <v>17</v>
      </c>
      <c r="I283" s="27"/>
      <c r="J283" s="28" t="s">
        <v>708</v>
      </c>
      <c r="K28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3" s="109">
        <f>ROUND(Tableau17[[#This Row],[LEN]]*7.27,0)</f>
        <v>211</v>
      </c>
      <c r="M283" s="109">
        <v>15</v>
      </c>
      <c r="N283" s="127" t="str">
        <f t="shared" si="2"/>
        <v>none</v>
      </c>
      <c r="O283" s="109">
        <f>LEN(Tableau17[[#This Row],[LABEL]])</f>
        <v>29</v>
      </c>
      <c r="P283" s="109">
        <v>15</v>
      </c>
      <c r="Q283" s="109" t="e">
        <f>ROUND(Tableau17[[#This Row],[LEN]]*#REF!+#REF!,0)</f>
        <v>#REF!</v>
      </c>
    </row>
    <row r="284" spans="1:17" s="97" customFormat="1" x14ac:dyDescent="0.25">
      <c r="A284" s="25" t="s">
        <v>1064</v>
      </c>
      <c r="B284" s="26" t="s">
        <v>252</v>
      </c>
      <c r="C284" s="27" t="s">
        <v>92</v>
      </c>
      <c r="D284" s="70" t="s">
        <v>1177</v>
      </c>
      <c r="E284" s="27" t="s">
        <v>663</v>
      </c>
      <c r="F284" s="27" t="s">
        <v>2080</v>
      </c>
      <c r="G284" s="70" t="s">
        <v>166</v>
      </c>
      <c r="H284" s="70" t="s">
        <v>655</v>
      </c>
      <c r="I284" s="27"/>
      <c r="J284" s="28" t="s">
        <v>708</v>
      </c>
      <c r="K28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4" s="109">
        <f>ROUND(Tableau17[[#This Row],[LEN]]*7.27,0)</f>
        <v>262</v>
      </c>
      <c r="M284" s="109">
        <v>15</v>
      </c>
      <c r="N284" s="127" t="str">
        <f t="shared" si="2"/>
        <v>none</v>
      </c>
      <c r="O284" s="109">
        <f>LEN(Tableau17[[#This Row],[LABEL]])</f>
        <v>36</v>
      </c>
      <c r="P284" s="109">
        <v>15</v>
      </c>
      <c r="Q284" s="109" t="e">
        <f>ROUND(Tableau17[[#This Row],[LEN]]*#REF!+#REF!,0)</f>
        <v>#REF!</v>
      </c>
    </row>
    <row r="285" spans="1:17" s="97" customFormat="1" x14ac:dyDescent="0.25">
      <c r="A285" s="29" t="s">
        <v>1077</v>
      </c>
      <c r="B285" s="30" t="s">
        <v>1064</v>
      </c>
      <c r="C285" s="31" t="s">
        <v>95</v>
      </c>
      <c r="D285" s="71" t="s">
        <v>1177</v>
      </c>
      <c r="E285" s="31" t="s">
        <v>663</v>
      </c>
      <c r="F285" s="31" t="s">
        <v>2080</v>
      </c>
      <c r="G285" s="71" t="s">
        <v>166</v>
      </c>
      <c r="H285" s="71" t="s">
        <v>17</v>
      </c>
      <c r="I285" s="31"/>
      <c r="J285" s="32" t="s">
        <v>708</v>
      </c>
      <c r="K28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5" s="111">
        <f>ROUND(Tableau17[[#This Row],[LEN]]*7.27,0)</f>
        <v>254</v>
      </c>
      <c r="M285" s="111">
        <v>15</v>
      </c>
      <c r="N285" s="128" t="str">
        <f t="shared" si="2"/>
        <v>none</v>
      </c>
      <c r="O285" s="111">
        <f>LEN(Tableau17[[#This Row],[LABEL]])</f>
        <v>35</v>
      </c>
      <c r="P285" s="111">
        <v>15</v>
      </c>
      <c r="Q285" s="111" t="e">
        <f>ROUND(Tableau17[[#This Row],[LEN]]*#REF!+#REF!,0)</f>
        <v>#REF!</v>
      </c>
    </row>
    <row r="286" spans="1:17" s="97" customFormat="1" x14ac:dyDescent="0.25">
      <c r="A286" s="29" t="s">
        <v>1078</v>
      </c>
      <c r="B286" s="30" t="s">
        <v>1064</v>
      </c>
      <c r="C286" s="31" t="s">
        <v>96</v>
      </c>
      <c r="D286" s="71" t="s">
        <v>1177</v>
      </c>
      <c r="E286" s="31" t="s">
        <v>663</v>
      </c>
      <c r="F286" s="31" t="s">
        <v>2080</v>
      </c>
      <c r="G286" s="71" t="s">
        <v>166</v>
      </c>
      <c r="H286" s="71" t="s">
        <v>654</v>
      </c>
      <c r="I286" s="31"/>
      <c r="J286" s="32" t="s">
        <v>708</v>
      </c>
      <c r="K28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6" s="111">
        <f>ROUND(Tableau17[[#This Row],[LEN]]*7.27,0)</f>
        <v>233</v>
      </c>
      <c r="M286" s="111">
        <v>15</v>
      </c>
      <c r="N286" s="128" t="str">
        <f t="shared" si="2"/>
        <v>none</v>
      </c>
      <c r="O286" s="111">
        <f>LEN(Tableau17[[#This Row],[LABEL]])</f>
        <v>32</v>
      </c>
      <c r="P286" s="111">
        <v>15</v>
      </c>
      <c r="Q286" s="111" t="e">
        <f>ROUND(Tableau17[[#This Row],[LEN]]*#REF!+#REF!,0)</f>
        <v>#REF!</v>
      </c>
    </row>
    <row r="287" spans="1:17" s="97" customFormat="1" x14ac:dyDescent="0.25">
      <c r="A287" s="29" t="s">
        <v>1079</v>
      </c>
      <c r="B287" s="30" t="s">
        <v>1064</v>
      </c>
      <c r="C287" s="31" t="s">
        <v>97</v>
      </c>
      <c r="D287" s="71" t="s">
        <v>1177</v>
      </c>
      <c r="E287" s="31" t="s">
        <v>663</v>
      </c>
      <c r="F287" s="31" t="s">
        <v>2080</v>
      </c>
      <c r="G287" s="71" t="s">
        <v>166</v>
      </c>
      <c r="H287" s="71" t="s">
        <v>656</v>
      </c>
      <c r="I287" s="31"/>
      <c r="J287" s="32" t="s">
        <v>708</v>
      </c>
      <c r="K28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7" s="111">
        <f>ROUND(Tableau17[[#This Row],[LEN]]*7.27,0)</f>
        <v>145</v>
      </c>
      <c r="M287" s="111">
        <v>15</v>
      </c>
      <c r="N287" s="128" t="str">
        <f t="shared" si="2"/>
        <v>none</v>
      </c>
      <c r="O287" s="111">
        <f>LEN(Tableau17[[#This Row],[LABEL]])</f>
        <v>20</v>
      </c>
      <c r="P287" s="111">
        <v>15</v>
      </c>
      <c r="Q287" s="111" t="e">
        <f>ROUND(Tableau17[[#This Row],[LEN]]*#REF!+#REF!,0)</f>
        <v>#REF!</v>
      </c>
    </row>
    <row r="288" spans="1:17" s="97" customFormat="1" x14ac:dyDescent="0.25">
      <c r="A288" s="25" t="s">
        <v>1065</v>
      </c>
      <c r="B288" s="26" t="s">
        <v>252</v>
      </c>
      <c r="C288" s="27" t="s">
        <v>1072</v>
      </c>
      <c r="D288" s="70" t="s">
        <v>1177</v>
      </c>
      <c r="E288" s="27" t="s">
        <v>666</v>
      </c>
      <c r="F288" s="27" t="s">
        <v>667</v>
      </c>
      <c r="G288" s="70" t="s">
        <v>166</v>
      </c>
      <c r="H288" s="70" t="s">
        <v>18</v>
      </c>
      <c r="I288" s="27"/>
      <c r="J288" s="28" t="s">
        <v>708</v>
      </c>
      <c r="K28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8" s="109">
        <f>ROUND(Tableau17[[#This Row],[LEN]]*7.27,0)</f>
        <v>422</v>
      </c>
      <c r="M288" s="109">
        <v>15</v>
      </c>
      <c r="N288" s="127" t="str">
        <f t="shared" si="2"/>
        <v>none</v>
      </c>
      <c r="O288" s="109">
        <f>LEN(Tableau17[[#This Row],[LABEL]])</f>
        <v>58</v>
      </c>
      <c r="P288" s="109">
        <v>15</v>
      </c>
      <c r="Q288" s="109" t="e">
        <f>ROUND(Tableau17[[#This Row],[LEN]]*#REF!+#REF!,0)</f>
        <v>#REF!</v>
      </c>
    </row>
    <row r="289" spans="1:17" s="97" customFormat="1" x14ac:dyDescent="0.25">
      <c r="A289" s="25" t="s">
        <v>1066</v>
      </c>
      <c r="B289" s="26" t="s">
        <v>252</v>
      </c>
      <c r="C289" s="27" t="s">
        <v>1073</v>
      </c>
      <c r="D289" s="70" t="s">
        <v>1177</v>
      </c>
      <c r="E289" s="27" t="s">
        <v>666</v>
      </c>
      <c r="F289" s="27" t="s">
        <v>679</v>
      </c>
      <c r="G289" s="70" t="s">
        <v>166</v>
      </c>
      <c r="H289" s="70" t="s">
        <v>656</v>
      </c>
      <c r="I289" s="27"/>
      <c r="J289" s="28" t="s">
        <v>708</v>
      </c>
      <c r="K28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89" s="109">
        <f>ROUND(Tableau17[[#This Row],[LEN]]*7.27,0)</f>
        <v>393</v>
      </c>
      <c r="M289" s="109">
        <v>15</v>
      </c>
      <c r="N289" s="127" t="str">
        <f t="shared" si="2"/>
        <v>none</v>
      </c>
      <c r="O289" s="109">
        <f>LEN(Tableau17[[#This Row],[LABEL]])</f>
        <v>54</v>
      </c>
      <c r="P289" s="109">
        <v>15</v>
      </c>
      <c r="Q289" s="109" t="e">
        <f>ROUND(Tableau17[[#This Row],[LEN]]*#REF!+#REF!,0)</f>
        <v>#REF!</v>
      </c>
    </row>
    <row r="290" spans="1:17" s="97" customFormat="1" x14ac:dyDescent="0.25">
      <c r="A290" s="25" t="s">
        <v>1067</v>
      </c>
      <c r="B290" s="26" t="s">
        <v>252</v>
      </c>
      <c r="C290" s="27" t="s">
        <v>1167</v>
      </c>
      <c r="D290" s="70" t="s">
        <v>486</v>
      </c>
      <c r="E290" s="27" t="s">
        <v>1085</v>
      </c>
      <c r="F290" s="27" t="s">
        <v>1084</v>
      </c>
      <c r="G290" s="70" t="s">
        <v>1977</v>
      </c>
      <c r="H290" s="70" t="s">
        <v>1131</v>
      </c>
      <c r="I290" s="27"/>
      <c r="J290" s="28" t="s">
        <v>708</v>
      </c>
      <c r="K29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0" s="109">
        <f>ROUND(Tableau17[[#This Row],[LEN]]*7.27,0)</f>
        <v>196</v>
      </c>
      <c r="M290" s="109">
        <v>15</v>
      </c>
      <c r="N290" s="127" t="str">
        <f t="shared" si="2"/>
        <v>none</v>
      </c>
      <c r="O290" s="109">
        <f>LEN(Tableau17[[#This Row],[LABEL]])</f>
        <v>27</v>
      </c>
      <c r="P290" s="109">
        <v>15</v>
      </c>
      <c r="Q290" s="109" t="e">
        <f>ROUND(Tableau17[[#This Row],[LEN]]*#REF!+#REF!,0)</f>
        <v>#REF!</v>
      </c>
    </row>
    <row r="291" spans="1:17" s="97" customFormat="1" x14ac:dyDescent="0.25">
      <c r="A291" s="29" t="s">
        <v>1080</v>
      </c>
      <c r="B291" s="30" t="s">
        <v>1067</v>
      </c>
      <c r="C291" s="31" t="s">
        <v>93</v>
      </c>
      <c r="D291" s="71" t="s">
        <v>1177</v>
      </c>
      <c r="E291" s="31" t="s">
        <v>1085</v>
      </c>
      <c r="F291" s="31" t="s">
        <v>1084</v>
      </c>
      <c r="G291" s="71" t="s">
        <v>166</v>
      </c>
      <c r="H291" s="71" t="s">
        <v>18</v>
      </c>
      <c r="I291" s="31"/>
      <c r="J291" s="32" t="s">
        <v>101</v>
      </c>
      <c r="K29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1" s="111">
        <f>ROUND(Tableau17[[#This Row],[LEN]]*7.27,0)</f>
        <v>109</v>
      </c>
      <c r="M291" s="111">
        <v>15</v>
      </c>
      <c r="N291" s="128" t="str">
        <f t="shared" si="2"/>
        <v>new</v>
      </c>
      <c r="O291" s="111">
        <f>LEN(Tableau17[[#This Row],[LABEL]])</f>
        <v>15</v>
      </c>
      <c r="P291" s="111">
        <v>15</v>
      </c>
      <c r="Q291" s="111" t="e">
        <f>ROUND(Tableau17[[#This Row],[LEN]]*#REF!+#REF!,0)</f>
        <v>#REF!</v>
      </c>
    </row>
    <row r="292" spans="1:17" s="97" customFormat="1" x14ac:dyDescent="0.25">
      <c r="A292" s="29" t="s">
        <v>1081</v>
      </c>
      <c r="B292" s="30" t="s">
        <v>1067</v>
      </c>
      <c r="C292" s="31" t="s">
        <v>94</v>
      </c>
      <c r="D292" s="71" t="s">
        <v>1177</v>
      </c>
      <c r="E292" s="31" t="s">
        <v>1085</v>
      </c>
      <c r="F292" s="31" t="s">
        <v>1084</v>
      </c>
      <c r="G292" s="71" t="s">
        <v>166</v>
      </c>
      <c r="H292" s="71" t="s">
        <v>18</v>
      </c>
      <c r="I292" s="31"/>
      <c r="J292" s="32" t="s">
        <v>102</v>
      </c>
      <c r="K29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2" s="111">
        <f>ROUND(Tableau17[[#This Row],[LEN]]*7.27,0)</f>
        <v>58</v>
      </c>
      <c r="M292" s="111">
        <v>15</v>
      </c>
      <c r="N292" s="128" t="str">
        <f t="shared" si="2"/>
        <v>new</v>
      </c>
      <c r="O292" s="111">
        <f>LEN(Tableau17[[#This Row],[LABEL]])</f>
        <v>8</v>
      </c>
      <c r="P292" s="111">
        <v>15</v>
      </c>
      <c r="Q292" s="111" t="e">
        <f>ROUND(Tableau17[[#This Row],[LEN]]*#REF!+#REF!,0)</f>
        <v>#REF!</v>
      </c>
    </row>
    <row r="293" spans="1:17" s="273" customFormat="1" x14ac:dyDescent="0.25">
      <c r="A293" s="288" t="s">
        <v>253</v>
      </c>
      <c r="B293" s="289" t="s">
        <v>206</v>
      </c>
      <c r="C293" s="290" t="s">
        <v>80</v>
      </c>
      <c r="D293" s="291" t="s">
        <v>1177</v>
      </c>
      <c r="E293" s="290" t="s">
        <v>667</v>
      </c>
      <c r="F293" s="290" t="s">
        <v>1177</v>
      </c>
      <c r="G293" s="291" t="s">
        <v>166</v>
      </c>
      <c r="H293" s="291" t="str">
        <f>IFERROR(IF(SEARCH(".00.00.00.00.00",Tableau17[[#This Row],[name]],1)=7,"Division",""),"")</f>
        <v>Division</v>
      </c>
      <c r="I293" s="290"/>
      <c r="J293" s="292" t="s">
        <v>708</v>
      </c>
      <c r="K293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293" s="293">
        <f>ROUND(Tableau17[[#This Row],[LEN]]*7.27,0)</f>
        <v>116</v>
      </c>
      <c r="M293" s="293">
        <v>15</v>
      </c>
      <c r="N293" s="294" t="str">
        <f t="shared" si="2"/>
        <v>none</v>
      </c>
      <c r="O293" s="293">
        <f>LEN(Tableau17[[#This Row],[LABEL]])</f>
        <v>16</v>
      </c>
      <c r="P293" s="293">
        <v>15</v>
      </c>
      <c r="Q293" s="293" t="e">
        <f>ROUND(Tableau17[[#This Row],[LEN]]*#REF!+#REF!,0)</f>
        <v>#REF!</v>
      </c>
    </row>
    <row r="294" spans="1:17" s="97" customFormat="1" x14ac:dyDescent="0.25">
      <c r="A294" s="25" t="s">
        <v>1115</v>
      </c>
      <c r="B294" s="26" t="s">
        <v>253</v>
      </c>
      <c r="C294" s="27" t="s">
        <v>1126</v>
      </c>
      <c r="D294" s="70" t="s">
        <v>1177</v>
      </c>
      <c r="E294" s="27" t="s">
        <v>666</v>
      </c>
      <c r="F294" s="27" t="s">
        <v>661</v>
      </c>
      <c r="G294" s="70" t="s">
        <v>166</v>
      </c>
      <c r="H294" s="70" t="s">
        <v>570</v>
      </c>
      <c r="I294" s="27"/>
      <c r="J294" s="28" t="s">
        <v>708</v>
      </c>
      <c r="K29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4" s="109">
        <f>ROUND(Tableau17[[#This Row],[LEN]]*7.27,0)</f>
        <v>284</v>
      </c>
      <c r="M294" s="109">
        <v>15</v>
      </c>
      <c r="N294" s="127" t="str">
        <f t="shared" si="2"/>
        <v>none</v>
      </c>
      <c r="O294" s="109">
        <f>LEN(Tableau17[[#This Row],[LABEL]])</f>
        <v>39</v>
      </c>
      <c r="P294" s="109">
        <v>15</v>
      </c>
      <c r="Q294" s="109" t="e">
        <f>ROUND(Tableau17[[#This Row],[LEN]]*#REF!+#REF!,0)</f>
        <v>#REF!</v>
      </c>
    </row>
    <row r="295" spans="1:17" s="97" customFormat="1" x14ac:dyDescent="0.25">
      <c r="A295" s="25" t="s">
        <v>1116</v>
      </c>
      <c r="B295" s="26" t="s">
        <v>253</v>
      </c>
      <c r="C295" s="27" t="s">
        <v>88</v>
      </c>
      <c r="D295" s="70" t="s">
        <v>1177</v>
      </c>
      <c r="E295" s="27" t="s">
        <v>667</v>
      </c>
      <c r="F295" s="27" t="s">
        <v>1218</v>
      </c>
      <c r="G295" s="70" t="s">
        <v>166</v>
      </c>
      <c r="H295" s="70" t="s">
        <v>570</v>
      </c>
      <c r="I295" s="27"/>
      <c r="J295" s="28" t="s">
        <v>708</v>
      </c>
      <c r="K29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5" s="109">
        <f>ROUND(Tableau17[[#This Row],[LEN]]*7.27,0)</f>
        <v>342</v>
      </c>
      <c r="M295" s="109">
        <v>15</v>
      </c>
      <c r="N295" s="127" t="str">
        <f t="shared" si="2"/>
        <v>none</v>
      </c>
      <c r="O295" s="109">
        <f>LEN(Tableau17[[#This Row],[LABEL]])</f>
        <v>47</v>
      </c>
      <c r="P295" s="109">
        <v>15</v>
      </c>
      <c r="Q295" s="109" t="e">
        <f>ROUND(Tableau17[[#This Row],[LEN]]*#REF!+#REF!,0)</f>
        <v>#REF!</v>
      </c>
    </row>
    <row r="296" spans="1:17" s="97" customFormat="1" x14ac:dyDescent="0.25">
      <c r="A296" s="25" t="s">
        <v>1117</v>
      </c>
      <c r="B296" s="26" t="s">
        <v>253</v>
      </c>
      <c r="C296" s="27" t="s">
        <v>1071</v>
      </c>
      <c r="D296" s="70" t="s">
        <v>1177</v>
      </c>
      <c r="E296" s="27" t="s">
        <v>666</v>
      </c>
      <c r="F296" s="27" t="s">
        <v>663</v>
      </c>
      <c r="G296" s="70" t="s">
        <v>166</v>
      </c>
      <c r="H296" s="70" t="s">
        <v>655</v>
      </c>
      <c r="I296" s="27"/>
      <c r="J296" s="28" t="s">
        <v>708</v>
      </c>
      <c r="K29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6" s="109">
        <f>ROUND(Tableau17[[#This Row],[LEN]]*7.27,0)</f>
        <v>247</v>
      </c>
      <c r="M296" s="109">
        <v>15</v>
      </c>
      <c r="N296" s="127" t="str">
        <f t="shared" si="2"/>
        <v>none</v>
      </c>
      <c r="O296" s="109">
        <f>LEN(Tableau17[[#This Row],[LABEL]])</f>
        <v>34</v>
      </c>
      <c r="P296" s="109">
        <v>15</v>
      </c>
      <c r="Q296" s="109" t="e">
        <f>ROUND(Tableau17[[#This Row],[LEN]]*#REF!+#REF!,0)</f>
        <v>#REF!</v>
      </c>
    </row>
    <row r="297" spans="1:17" s="97" customFormat="1" x14ac:dyDescent="0.25">
      <c r="A297" s="29" t="s">
        <v>1135</v>
      </c>
      <c r="B297" s="30" t="s">
        <v>1117</v>
      </c>
      <c r="C297" s="31" t="s">
        <v>1086</v>
      </c>
      <c r="D297" s="71" t="s">
        <v>1177</v>
      </c>
      <c r="E297" s="31" t="s">
        <v>666</v>
      </c>
      <c r="F297" s="31" t="s">
        <v>828</v>
      </c>
      <c r="G297" s="71" t="s">
        <v>166</v>
      </c>
      <c r="H297" s="71" t="s">
        <v>655</v>
      </c>
      <c r="I297" s="31"/>
      <c r="J297" s="32" t="s">
        <v>708</v>
      </c>
      <c r="K29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7" s="111">
        <f>ROUND(Tableau17[[#This Row],[LEN]]*7.27,0)</f>
        <v>87</v>
      </c>
      <c r="M297" s="111">
        <v>15</v>
      </c>
      <c r="N297" s="128" t="str">
        <f t="shared" si="2"/>
        <v>none</v>
      </c>
      <c r="O297" s="111">
        <f>LEN(Tableau17[[#This Row],[LABEL]])</f>
        <v>12</v>
      </c>
      <c r="P297" s="111">
        <v>15</v>
      </c>
      <c r="Q297" s="111" t="e">
        <f>ROUND(Tableau17[[#This Row],[LEN]]*#REF!+#REF!,0)</f>
        <v>#REF!</v>
      </c>
    </row>
    <row r="298" spans="1:17" s="97" customFormat="1" x14ac:dyDescent="0.25">
      <c r="A298" s="86" t="s">
        <v>1138</v>
      </c>
      <c r="B298" s="87" t="s">
        <v>1135</v>
      </c>
      <c r="C298" s="88" t="s">
        <v>1088</v>
      </c>
      <c r="D298" s="89" t="s">
        <v>1177</v>
      </c>
      <c r="E298" s="88" t="s">
        <v>666</v>
      </c>
      <c r="F298" s="88" t="s">
        <v>828</v>
      </c>
      <c r="G298" s="89" t="s">
        <v>166</v>
      </c>
      <c r="H298" s="90" t="s">
        <v>18</v>
      </c>
      <c r="I298" s="88"/>
      <c r="J298" s="91" t="s">
        <v>708</v>
      </c>
      <c r="K29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8" s="112">
        <f>ROUND(Tableau17[[#This Row],[LEN]]*7.27,0)</f>
        <v>196</v>
      </c>
      <c r="M298" s="112">
        <v>15</v>
      </c>
      <c r="N298" s="129" t="str">
        <f t="shared" si="2"/>
        <v>none</v>
      </c>
      <c r="O298" s="112">
        <f>LEN(Tableau17[[#This Row],[LABEL]])</f>
        <v>27</v>
      </c>
      <c r="P298" s="112">
        <v>15</v>
      </c>
      <c r="Q298" s="112" t="e">
        <f>ROUND(Tableau17[[#This Row],[LEN]]*#REF!+#REF!,0)</f>
        <v>#REF!</v>
      </c>
    </row>
    <row r="299" spans="1:17" s="97" customFormat="1" x14ac:dyDescent="0.25">
      <c r="A299" s="86" t="s">
        <v>1139</v>
      </c>
      <c r="B299" s="87" t="s">
        <v>1135</v>
      </c>
      <c r="C299" s="88" t="s">
        <v>1089</v>
      </c>
      <c r="D299" s="89" t="s">
        <v>1177</v>
      </c>
      <c r="E299" s="88" t="s">
        <v>666</v>
      </c>
      <c r="F299" s="88" t="s">
        <v>828</v>
      </c>
      <c r="G299" s="89" t="s">
        <v>166</v>
      </c>
      <c r="H299" s="90" t="s">
        <v>18</v>
      </c>
      <c r="I299" s="88"/>
      <c r="J299" s="91" t="s">
        <v>708</v>
      </c>
      <c r="K29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299" s="112">
        <f>ROUND(Tableau17[[#This Row],[LEN]]*7.27,0)</f>
        <v>36</v>
      </c>
      <c r="M299" s="112">
        <v>15</v>
      </c>
      <c r="N299" s="129" t="str">
        <f t="shared" si="2"/>
        <v>none</v>
      </c>
      <c r="O299" s="112">
        <f>LEN(Tableau17[[#This Row],[LABEL]])</f>
        <v>5</v>
      </c>
      <c r="P299" s="112">
        <v>15</v>
      </c>
      <c r="Q299" s="112" t="e">
        <f>ROUND(Tableau17[[#This Row],[LEN]]*#REF!+#REF!,0)</f>
        <v>#REF!</v>
      </c>
    </row>
    <row r="300" spans="1:17" s="97" customFormat="1" x14ac:dyDescent="0.25">
      <c r="A300" s="86" t="s">
        <v>1140</v>
      </c>
      <c r="B300" s="87" t="s">
        <v>1135</v>
      </c>
      <c r="C300" s="88" t="s">
        <v>1090</v>
      </c>
      <c r="D300" s="89" t="s">
        <v>1177</v>
      </c>
      <c r="E300" s="88" t="s">
        <v>666</v>
      </c>
      <c r="F300" s="88" t="s">
        <v>828</v>
      </c>
      <c r="G300" s="89" t="s">
        <v>166</v>
      </c>
      <c r="H300" s="90" t="s">
        <v>18</v>
      </c>
      <c r="I300" s="88"/>
      <c r="J300" s="91" t="s">
        <v>708</v>
      </c>
      <c r="K300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0" s="112">
        <f>ROUND(Tableau17[[#This Row],[LEN]]*7.27,0)</f>
        <v>29</v>
      </c>
      <c r="M300" s="112">
        <v>15</v>
      </c>
      <c r="N300" s="129" t="str">
        <f t="shared" si="2"/>
        <v>none</v>
      </c>
      <c r="O300" s="112">
        <f>LEN(Tableau17[[#This Row],[LABEL]])</f>
        <v>4</v>
      </c>
      <c r="P300" s="112">
        <v>15</v>
      </c>
      <c r="Q300" s="112" t="e">
        <f>ROUND(Tableau17[[#This Row],[LEN]]*#REF!+#REF!,0)</f>
        <v>#REF!</v>
      </c>
    </row>
    <row r="301" spans="1:17" s="97" customFormat="1" x14ac:dyDescent="0.25">
      <c r="A301" s="86" t="s">
        <v>1141</v>
      </c>
      <c r="B301" s="87" t="s">
        <v>1135</v>
      </c>
      <c r="C301" s="88" t="s">
        <v>1091</v>
      </c>
      <c r="D301" s="89" t="s">
        <v>1177</v>
      </c>
      <c r="E301" s="88" t="s">
        <v>666</v>
      </c>
      <c r="F301" s="88" t="s">
        <v>828</v>
      </c>
      <c r="G301" s="89" t="s">
        <v>166</v>
      </c>
      <c r="H301" s="90" t="s">
        <v>18</v>
      </c>
      <c r="I301" s="88"/>
      <c r="J301" s="91" t="s">
        <v>708</v>
      </c>
      <c r="K30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1" s="112">
        <f>ROUND(Tableau17[[#This Row],[LEN]]*7.27,0)</f>
        <v>102</v>
      </c>
      <c r="M301" s="112">
        <v>15</v>
      </c>
      <c r="N301" s="129" t="str">
        <f t="shared" si="2"/>
        <v>none</v>
      </c>
      <c r="O301" s="112">
        <f>LEN(Tableau17[[#This Row],[LABEL]])</f>
        <v>14</v>
      </c>
      <c r="P301" s="112">
        <v>15</v>
      </c>
      <c r="Q301" s="112" t="e">
        <f>ROUND(Tableau17[[#This Row],[LEN]]*#REF!+#REF!,0)</f>
        <v>#REF!</v>
      </c>
    </row>
    <row r="302" spans="1:17" s="97" customFormat="1" x14ac:dyDescent="0.25">
      <c r="A302" s="86" t="s">
        <v>1142</v>
      </c>
      <c r="B302" s="212" t="s">
        <v>1135</v>
      </c>
      <c r="C302" s="88" t="s">
        <v>1092</v>
      </c>
      <c r="D302" s="89" t="s">
        <v>1177</v>
      </c>
      <c r="E302" s="88" t="s">
        <v>666</v>
      </c>
      <c r="F302" s="88" t="s">
        <v>828</v>
      </c>
      <c r="G302" s="89" t="s">
        <v>166</v>
      </c>
      <c r="H302" s="90" t="s">
        <v>18</v>
      </c>
      <c r="I302" s="88"/>
      <c r="J302" s="91" t="s">
        <v>708</v>
      </c>
      <c r="K30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2" s="112">
        <f>ROUND(Tableau17[[#This Row],[LEN]]*7.27,0)</f>
        <v>153</v>
      </c>
      <c r="M302" s="112">
        <v>15</v>
      </c>
      <c r="N302" s="129" t="str">
        <f t="shared" si="2"/>
        <v>none</v>
      </c>
      <c r="O302" s="112">
        <f>LEN(Tableau17[[#This Row],[LABEL]])</f>
        <v>21</v>
      </c>
      <c r="P302" s="112">
        <v>15</v>
      </c>
      <c r="Q302" s="112" t="e">
        <f>ROUND(Tableau17[[#This Row],[LEN]]*#REF!+#REF!,0)</f>
        <v>#REF!</v>
      </c>
    </row>
    <row r="303" spans="1:17" s="97" customFormat="1" x14ac:dyDescent="0.25">
      <c r="A303" s="86" t="s">
        <v>1143</v>
      </c>
      <c r="B303" s="212" t="s">
        <v>1135</v>
      </c>
      <c r="C303" s="88" t="s">
        <v>1093</v>
      </c>
      <c r="D303" s="89" t="s">
        <v>1177</v>
      </c>
      <c r="E303" s="88" t="s">
        <v>666</v>
      </c>
      <c r="F303" s="88" t="s">
        <v>828</v>
      </c>
      <c r="G303" s="89" t="s">
        <v>166</v>
      </c>
      <c r="H303" s="90" t="s">
        <v>18</v>
      </c>
      <c r="I303" s="88"/>
      <c r="J303" s="91" t="s">
        <v>708</v>
      </c>
      <c r="K30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3" s="112">
        <f>ROUND(Tableau17[[#This Row],[LEN]]*7.27,0)</f>
        <v>269</v>
      </c>
      <c r="M303" s="112">
        <v>15</v>
      </c>
      <c r="N303" s="129" t="str">
        <f t="shared" si="2"/>
        <v>none</v>
      </c>
      <c r="O303" s="112">
        <f>LEN(Tableau17[[#This Row],[LABEL]])</f>
        <v>37</v>
      </c>
      <c r="P303" s="112">
        <v>15</v>
      </c>
      <c r="Q303" s="112" t="e">
        <f>ROUND(Tableau17[[#This Row],[LEN]]*#REF!+#REF!,0)</f>
        <v>#REF!</v>
      </c>
    </row>
    <row r="304" spans="1:17" s="97" customFormat="1" x14ac:dyDescent="0.25">
      <c r="A304" s="29" t="s">
        <v>1136</v>
      </c>
      <c r="B304" s="30" t="s">
        <v>1117</v>
      </c>
      <c r="C304" s="31" t="s">
        <v>1087</v>
      </c>
      <c r="D304" s="71" t="s">
        <v>1177</v>
      </c>
      <c r="E304" s="31" t="s">
        <v>666</v>
      </c>
      <c r="F304" s="31" t="s">
        <v>828</v>
      </c>
      <c r="G304" s="71" t="s">
        <v>166</v>
      </c>
      <c r="H304" s="71" t="s">
        <v>655</v>
      </c>
      <c r="I304" s="31"/>
      <c r="J304" s="32" t="s">
        <v>708</v>
      </c>
      <c r="K30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4" s="111">
        <f>ROUND(Tableau17[[#This Row],[LEN]]*7.27,0)</f>
        <v>109</v>
      </c>
      <c r="M304" s="111">
        <v>15</v>
      </c>
      <c r="N304" s="128" t="str">
        <f t="shared" si="2"/>
        <v>none</v>
      </c>
      <c r="O304" s="111">
        <f>LEN(Tableau17[[#This Row],[LABEL]])</f>
        <v>15</v>
      </c>
      <c r="P304" s="111">
        <v>15</v>
      </c>
      <c r="Q304" s="111" t="e">
        <f>ROUND(Tableau17[[#This Row],[LEN]]*#REF!+#REF!,0)</f>
        <v>#REF!</v>
      </c>
    </row>
    <row r="305" spans="1:17" s="97" customFormat="1" x14ac:dyDescent="0.25">
      <c r="A305" s="86" t="s">
        <v>1144</v>
      </c>
      <c r="B305" s="87" t="s">
        <v>1136</v>
      </c>
      <c r="C305" s="88" t="s">
        <v>1100</v>
      </c>
      <c r="D305" s="89" t="s">
        <v>1177</v>
      </c>
      <c r="E305" s="88" t="s">
        <v>666</v>
      </c>
      <c r="F305" s="88" t="s">
        <v>828</v>
      </c>
      <c r="G305" s="89" t="s">
        <v>166</v>
      </c>
      <c r="H305" s="90" t="s">
        <v>18</v>
      </c>
      <c r="I305" s="88"/>
      <c r="J305" s="91" t="s">
        <v>708</v>
      </c>
      <c r="K30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5" s="112">
        <f>ROUND(Tableau17[[#This Row],[LEN]]*7.27,0)</f>
        <v>22</v>
      </c>
      <c r="M305" s="112">
        <v>15</v>
      </c>
      <c r="N305" s="129" t="str">
        <f t="shared" si="2"/>
        <v>none</v>
      </c>
      <c r="O305" s="112">
        <f>LEN(Tableau17[[#This Row],[LABEL]])</f>
        <v>3</v>
      </c>
      <c r="P305" s="112">
        <v>15</v>
      </c>
      <c r="Q305" s="112" t="e">
        <f>ROUND(Tableau17[[#This Row],[LEN]]*#REF!+#REF!,0)</f>
        <v>#REF!</v>
      </c>
    </row>
    <row r="306" spans="1:17" s="97" customFormat="1" x14ac:dyDescent="0.25">
      <c r="A306" s="86" t="s">
        <v>1145</v>
      </c>
      <c r="B306" s="87" t="s">
        <v>1136</v>
      </c>
      <c r="C306" s="88" t="s">
        <v>1101</v>
      </c>
      <c r="D306" s="89" t="s">
        <v>1177</v>
      </c>
      <c r="E306" s="88" t="s">
        <v>666</v>
      </c>
      <c r="F306" s="88" t="s">
        <v>828</v>
      </c>
      <c r="G306" s="89" t="s">
        <v>166</v>
      </c>
      <c r="H306" s="90" t="s">
        <v>18</v>
      </c>
      <c r="I306" s="88"/>
      <c r="J306" s="91" t="s">
        <v>708</v>
      </c>
      <c r="K30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6" s="112">
        <f>ROUND(Tableau17[[#This Row],[LEN]]*7.27,0)</f>
        <v>36</v>
      </c>
      <c r="M306" s="112">
        <v>15</v>
      </c>
      <c r="N306" s="129" t="str">
        <f t="shared" si="2"/>
        <v>none</v>
      </c>
      <c r="O306" s="112">
        <f>LEN(Tableau17[[#This Row],[LABEL]])</f>
        <v>5</v>
      </c>
      <c r="P306" s="112">
        <v>15</v>
      </c>
      <c r="Q306" s="112" t="e">
        <f>ROUND(Tableau17[[#This Row],[LEN]]*#REF!+#REF!,0)</f>
        <v>#REF!</v>
      </c>
    </row>
    <row r="307" spans="1:17" s="97" customFormat="1" x14ac:dyDescent="0.25">
      <c r="A307" s="86" t="s">
        <v>1146</v>
      </c>
      <c r="B307" s="87" t="s">
        <v>1136</v>
      </c>
      <c r="C307" s="88" t="s">
        <v>812</v>
      </c>
      <c r="D307" s="89" t="s">
        <v>1177</v>
      </c>
      <c r="E307" s="88" t="s">
        <v>666</v>
      </c>
      <c r="F307" s="88" t="s">
        <v>828</v>
      </c>
      <c r="G307" s="89" t="s">
        <v>166</v>
      </c>
      <c r="H307" s="90" t="s">
        <v>18</v>
      </c>
      <c r="I307" s="88"/>
      <c r="J307" s="91" t="s">
        <v>708</v>
      </c>
      <c r="K30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7" s="112">
        <f>ROUND(Tableau17[[#This Row],[LEN]]*7.27,0)</f>
        <v>131</v>
      </c>
      <c r="M307" s="112">
        <v>15</v>
      </c>
      <c r="N307" s="129" t="str">
        <f t="shared" si="2"/>
        <v>none</v>
      </c>
      <c r="O307" s="112">
        <f>LEN(Tableau17[[#This Row],[LABEL]])</f>
        <v>18</v>
      </c>
      <c r="P307" s="112">
        <v>15</v>
      </c>
      <c r="Q307" s="112" t="e">
        <f>ROUND(Tableau17[[#This Row],[LEN]]*#REF!+#REF!,0)</f>
        <v>#REF!</v>
      </c>
    </row>
    <row r="308" spans="1:17" s="97" customFormat="1" x14ac:dyDescent="0.25">
      <c r="A308" s="29" t="s">
        <v>1137</v>
      </c>
      <c r="B308" s="30" t="s">
        <v>1117</v>
      </c>
      <c r="C308" s="31" t="s">
        <v>15</v>
      </c>
      <c r="D308" s="71" t="s">
        <v>1177</v>
      </c>
      <c r="E308" s="31" t="s">
        <v>666</v>
      </c>
      <c r="F308" s="31" t="s">
        <v>828</v>
      </c>
      <c r="G308" s="71" t="s">
        <v>166</v>
      </c>
      <c r="H308" s="71" t="s">
        <v>655</v>
      </c>
      <c r="I308" s="31"/>
      <c r="J308" s="32" t="s">
        <v>708</v>
      </c>
      <c r="K30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8" s="111">
        <f>ROUND(Tableau17[[#This Row],[LEN]]*7.27,0)</f>
        <v>174</v>
      </c>
      <c r="M308" s="111">
        <v>15</v>
      </c>
      <c r="N308" s="128" t="str">
        <f t="shared" si="2"/>
        <v>none</v>
      </c>
      <c r="O308" s="111">
        <f>LEN(Tableau17[[#This Row],[LABEL]])</f>
        <v>24</v>
      </c>
      <c r="P308" s="111">
        <v>15</v>
      </c>
      <c r="Q308" s="111" t="e">
        <f>ROUND(Tableau17[[#This Row],[LEN]]*#REF!+#REF!,0)</f>
        <v>#REF!</v>
      </c>
    </row>
    <row r="309" spans="1:17" s="97" customFormat="1" x14ac:dyDescent="0.25">
      <c r="A309" s="86" t="s">
        <v>1147</v>
      </c>
      <c r="B309" s="87" t="s">
        <v>1137</v>
      </c>
      <c r="C309" s="88" t="s">
        <v>1100</v>
      </c>
      <c r="D309" s="89" t="s">
        <v>1177</v>
      </c>
      <c r="E309" s="88" t="s">
        <v>666</v>
      </c>
      <c r="F309" s="88" t="s">
        <v>828</v>
      </c>
      <c r="G309" s="89" t="s">
        <v>166</v>
      </c>
      <c r="H309" s="90" t="s">
        <v>18</v>
      </c>
      <c r="I309" s="88"/>
      <c r="J309" s="91" t="s">
        <v>708</v>
      </c>
      <c r="K30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09" s="112">
        <f>ROUND(Tableau17[[#This Row],[LEN]]*7.27,0)</f>
        <v>22</v>
      </c>
      <c r="M309" s="112">
        <v>15</v>
      </c>
      <c r="N309" s="129" t="str">
        <f t="shared" si="2"/>
        <v>none</v>
      </c>
      <c r="O309" s="112">
        <f>LEN(Tableau17[[#This Row],[LABEL]])</f>
        <v>3</v>
      </c>
      <c r="P309" s="112">
        <v>15</v>
      </c>
      <c r="Q309" s="112" t="e">
        <f>ROUND(Tableau17[[#This Row],[LEN]]*#REF!+#REF!,0)</f>
        <v>#REF!</v>
      </c>
    </row>
    <row r="310" spans="1:17" s="97" customFormat="1" x14ac:dyDescent="0.25">
      <c r="A310" s="86" t="s">
        <v>1148</v>
      </c>
      <c r="B310" s="87" t="s">
        <v>1137</v>
      </c>
      <c r="C310" s="88" t="s">
        <v>807</v>
      </c>
      <c r="D310" s="89" t="s">
        <v>1177</v>
      </c>
      <c r="E310" s="88" t="s">
        <v>666</v>
      </c>
      <c r="F310" s="88" t="s">
        <v>828</v>
      </c>
      <c r="G310" s="89" t="s">
        <v>166</v>
      </c>
      <c r="H310" s="90" t="s">
        <v>18</v>
      </c>
      <c r="I310" s="88"/>
      <c r="J310" s="91" t="s">
        <v>708</v>
      </c>
      <c r="K310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0" s="112">
        <f>ROUND(Tableau17[[#This Row],[LEN]]*7.27,0)</f>
        <v>218</v>
      </c>
      <c r="M310" s="112">
        <v>15</v>
      </c>
      <c r="N310" s="129" t="str">
        <f t="shared" si="2"/>
        <v>none</v>
      </c>
      <c r="O310" s="112">
        <f>LEN(Tableau17[[#This Row],[LABEL]])</f>
        <v>30</v>
      </c>
      <c r="P310" s="112">
        <v>15</v>
      </c>
      <c r="Q310" s="112" t="e">
        <f>ROUND(Tableau17[[#This Row],[LEN]]*#REF!+#REF!,0)</f>
        <v>#REF!</v>
      </c>
    </row>
    <row r="311" spans="1:17" s="97" customFormat="1" x14ac:dyDescent="0.25">
      <c r="A311" s="86" t="s">
        <v>1149</v>
      </c>
      <c r="B311" s="87" t="s">
        <v>1137</v>
      </c>
      <c r="C311" s="88" t="s">
        <v>1112</v>
      </c>
      <c r="D311" s="89" t="s">
        <v>1177</v>
      </c>
      <c r="E311" s="88" t="s">
        <v>666</v>
      </c>
      <c r="F311" s="88" t="s">
        <v>828</v>
      </c>
      <c r="G311" s="89" t="s">
        <v>166</v>
      </c>
      <c r="H311" s="90" t="s">
        <v>18</v>
      </c>
      <c r="I311" s="88"/>
      <c r="J311" s="91" t="s">
        <v>708</v>
      </c>
      <c r="K31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1" s="112">
        <f>ROUND(Tableau17[[#This Row],[LEN]]*7.27,0)</f>
        <v>240</v>
      </c>
      <c r="M311" s="112">
        <v>15</v>
      </c>
      <c r="N311" s="129" t="str">
        <f t="shared" si="2"/>
        <v>none</v>
      </c>
      <c r="O311" s="112">
        <f>LEN(Tableau17[[#This Row],[LABEL]])</f>
        <v>33</v>
      </c>
      <c r="P311" s="112">
        <v>15</v>
      </c>
      <c r="Q311" s="112" t="e">
        <f>ROUND(Tableau17[[#This Row],[LEN]]*#REF!+#REF!,0)</f>
        <v>#REF!</v>
      </c>
    </row>
    <row r="312" spans="1:17" s="97" customFormat="1" x14ac:dyDescent="0.25">
      <c r="A312" s="86" t="s">
        <v>1150</v>
      </c>
      <c r="B312" s="87" t="s">
        <v>1137</v>
      </c>
      <c r="C312" s="88" t="s">
        <v>1113</v>
      </c>
      <c r="D312" s="89" t="s">
        <v>1177</v>
      </c>
      <c r="E312" s="88" t="s">
        <v>666</v>
      </c>
      <c r="F312" s="88" t="s">
        <v>828</v>
      </c>
      <c r="G312" s="89" t="s">
        <v>166</v>
      </c>
      <c r="H312" s="90" t="s">
        <v>18</v>
      </c>
      <c r="I312" s="88"/>
      <c r="J312" s="91" t="s">
        <v>708</v>
      </c>
      <c r="K31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2" s="112">
        <f>ROUND(Tableau17[[#This Row],[LEN]]*7.27,0)</f>
        <v>116</v>
      </c>
      <c r="M312" s="112">
        <v>15</v>
      </c>
      <c r="N312" s="129" t="str">
        <f t="shared" si="2"/>
        <v>none</v>
      </c>
      <c r="O312" s="112">
        <f>LEN(Tableau17[[#This Row],[LABEL]])</f>
        <v>16</v>
      </c>
      <c r="P312" s="112">
        <v>15</v>
      </c>
      <c r="Q312" s="112" t="e">
        <f>ROUND(Tableau17[[#This Row],[LEN]]*#REF!+#REF!,0)</f>
        <v>#REF!</v>
      </c>
    </row>
    <row r="313" spans="1:17" s="97" customFormat="1" x14ac:dyDescent="0.25">
      <c r="A313" s="86" t="s">
        <v>1151</v>
      </c>
      <c r="B313" s="87" t="s">
        <v>1137</v>
      </c>
      <c r="C313" s="88" t="s">
        <v>1114</v>
      </c>
      <c r="D313" s="89" t="s">
        <v>1177</v>
      </c>
      <c r="E313" s="88" t="s">
        <v>666</v>
      </c>
      <c r="F313" s="88" t="s">
        <v>828</v>
      </c>
      <c r="G313" s="89" t="s">
        <v>166</v>
      </c>
      <c r="H313" s="90" t="s">
        <v>18</v>
      </c>
      <c r="I313" s="88"/>
      <c r="J313" s="91" t="s">
        <v>708</v>
      </c>
      <c r="K31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3" s="112">
        <f>ROUND(Tableau17[[#This Row],[LEN]]*7.27,0)</f>
        <v>116</v>
      </c>
      <c r="M313" s="112">
        <v>15</v>
      </c>
      <c r="N313" s="129" t="str">
        <f t="shared" si="2"/>
        <v>none</v>
      </c>
      <c r="O313" s="112">
        <f>LEN(Tableau17[[#This Row],[LABEL]])</f>
        <v>16</v>
      </c>
      <c r="P313" s="112">
        <v>15</v>
      </c>
      <c r="Q313" s="112" t="e">
        <f>ROUND(Tableau17[[#This Row],[LEN]]*#REF!+#REF!,0)</f>
        <v>#REF!</v>
      </c>
    </row>
    <row r="314" spans="1:17" s="97" customFormat="1" x14ac:dyDescent="0.25">
      <c r="A314" s="86" t="s">
        <v>1152</v>
      </c>
      <c r="B314" s="87" t="s">
        <v>1137</v>
      </c>
      <c r="C314" s="88" t="s">
        <v>806</v>
      </c>
      <c r="D314" s="89" t="s">
        <v>1177</v>
      </c>
      <c r="E314" s="88" t="s">
        <v>666</v>
      </c>
      <c r="F314" s="88" t="s">
        <v>828</v>
      </c>
      <c r="G314" s="89" t="s">
        <v>166</v>
      </c>
      <c r="H314" s="90" t="s">
        <v>18</v>
      </c>
      <c r="I314" s="88"/>
      <c r="J314" s="91" t="s">
        <v>708</v>
      </c>
      <c r="K314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4" s="112">
        <f>ROUND(Tableau17[[#This Row],[LEN]]*7.27,0)</f>
        <v>174</v>
      </c>
      <c r="M314" s="112">
        <v>15</v>
      </c>
      <c r="N314" s="129" t="str">
        <f t="shared" si="2"/>
        <v>none</v>
      </c>
      <c r="O314" s="112">
        <f>LEN(Tableau17[[#This Row],[LABEL]])</f>
        <v>24</v>
      </c>
      <c r="P314" s="112">
        <v>15</v>
      </c>
      <c r="Q314" s="112" t="e">
        <f>ROUND(Tableau17[[#This Row],[LEN]]*#REF!+#REF!,0)</f>
        <v>#REF!</v>
      </c>
    </row>
    <row r="315" spans="1:17" s="97" customFormat="1" x14ac:dyDescent="0.25">
      <c r="A315" s="86" t="s">
        <v>1153</v>
      </c>
      <c r="B315" s="87" t="s">
        <v>1137</v>
      </c>
      <c r="C315" s="88" t="s">
        <v>812</v>
      </c>
      <c r="D315" s="89" t="s">
        <v>1177</v>
      </c>
      <c r="E315" s="88" t="s">
        <v>666</v>
      </c>
      <c r="F315" s="88" t="s">
        <v>828</v>
      </c>
      <c r="G315" s="89" t="s">
        <v>166</v>
      </c>
      <c r="H315" s="90" t="s">
        <v>18</v>
      </c>
      <c r="I315" s="88"/>
      <c r="J315" s="91" t="s">
        <v>708</v>
      </c>
      <c r="K315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5" s="112">
        <f>ROUND(Tableau17[[#This Row],[LEN]]*7.27,0)</f>
        <v>131</v>
      </c>
      <c r="M315" s="112">
        <v>15</v>
      </c>
      <c r="N315" s="129" t="str">
        <f t="shared" si="2"/>
        <v>none</v>
      </c>
      <c r="O315" s="112">
        <f>LEN(Tableau17[[#This Row],[LABEL]])</f>
        <v>18</v>
      </c>
      <c r="P315" s="112">
        <v>15</v>
      </c>
      <c r="Q315" s="112" t="e">
        <f>ROUND(Tableau17[[#This Row],[LEN]]*#REF!+#REF!,0)</f>
        <v>#REF!</v>
      </c>
    </row>
    <row r="316" spans="1:17" s="97" customFormat="1" x14ac:dyDescent="0.25">
      <c r="A316" s="25" t="s">
        <v>1118</v>
      </c>
      <c r="B316" s="26" t="s">
        <v>253</v>
      </c>
      <c r="C316" s="27" t="s">
        <v>1127</v>
      </c>
      <c r="D316" s="70" t="s">
        <v>1177</v>
      </c>
      <c r="E316" s="27" t="s">
        <v>667</v>
      </c>
      <c r="F316" s="27" t="s">
        <v>1132</v>
      </c>
      <c r="G316" s="70" t="s">
        <v>166</v>
      </c>
      <c r="H316" s="70" t="s">
        <v>654</v>
      </c>
      <c r="I316" s="27"/>
      <c r="J316" s="28" t="s">
        <v>708</v>
      </c>
      <c r="K31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6" s="109">
        <f>ROUND(Tableau17[[#This Row],[LEN]]*7.27,0)</f>
        <v>291</v>
      </c>
      <c r="M316" s="109">
        <v>15</v>
      </c>
      <c r="N316" s="127" t="str">
        <f t="shared" si="2"/>
        <v>none</v>
      </c>
      <c r="O316" s="109">
        <f>LEN(Tableau17[[#This Row],[LABEL]])</f>
        <v>40</v>
      </c>
      <c r="P316" s="109">
        <v>15</v>
      </c>
      <c r="Q316" s="109" t="e">
        <f>ROUND(Tableau17[[#This Row],[LEN]]*#REF!+#REF!,0)</f>
        <v>#REF!</v>
      </c>
    </row>
    <row r="317" spans="1:17" s="97" customFormat="1" x14ac:dyDescent="0.25">
      <c r="A317" s="25" t="s">
        <v>1119</v>
      </c>
      <c r="B317" s="26" t="s">
        <v>253</v>
      </c>
      <c r="C317" s="27" t="s">
        <v>1128</v>
      </c>
      <c r="D317" s="70" t="s">
        <v>1177</v>
      </c>
      <c r="E317" s="27" t="s">
        <v>667</v>
      </c>
      <c r="F317" s="27" t="s">
        <v>1177</v>
      </c>
      <c r="G317" s="70" t="s">
        <v>166</v>
      </c>
      <c r="H317" s="70" t="s">
        <v>656</v>
      </c>
      <c r="I317" s="27"/>
      <c r="J317" s="28" t="s">
        <v>708</v>
      </c>
      <c r="K31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7" s="109">
        <f>ROUND(Tableau17[[#This Row],[LEN]]*7.27,0)</f>
        <v>422</v>
      </c>
      <c r="M317" s="109">
        <v>15</v>
      </c>
      <c r="N317" s="127" t="str">
        <f t="shared" si="2"/>
        <v>none</v>
      </c>
      <c r="O317" s="109">
        <f>LEN(Tableau17[[#This Row],[LABEL]])</f>
        <v>58</v>
      </c>
      <c r="P317" s="109">
        <v>15</v>
      </c>
      <c r="Q317" s="109" t="e">
        <f>ROUND(Tableau17[[#This Row],[LEN]]*#REF!+#REF!,0)</f>
        <v>#REF!</v>
      </c>
    </row>
    <row r="318" spans="1:17" s="97" customFormat="1" x14ac:dyDescent="0.25">
      <c r="A318" s="25" t="s">
        <v>1120</v>
      </c>
      <c r="B318" s="26" t="s">
        <v>253</v>
      </c>
      <c r="C318" s="27" t="s">
        <v>1154</v>
      </c>
      <c r="D318" s="70" t="s">
        <v>1177</v>
      </c>
      <c r="E318" s="27" t="s">
        <v>667</v>
      </c>
      <c r="F318" s="27" t="s">
        <v>1133</v>
      </c>
      <c r="G318" s="70" t="s">
        <v>166</v>
      </c>
      <c r="H318" s="70" t="s">
        <v>18</v>
      </c>
      <c r="I318" s="27"/>
      <c r="J318" s="28" t="s">
        <v>102</v>
      </c>
      <c r="K31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8" s="109">
        <f>ROUND(Tableau17[[#This Row],[LEN]]*7.27,0)</f>
        <v>443</v>
      </c>
      <c r="M318" s="109">
        <v>15</v>
      </c>
      <c r="N318" s="127" t="str">
        <f t="shared" si="2"/>
        <v>new</v>
      </c>
      <c r="O318" s="109">
        <f>LEN(Tableau17[[#This Row],[LABEL]])</f>
        <v>61</v>
      </c>
      <c r="P318" s="109">
        <v>15</v>
      </c>
      <c r="Q318" s="109" t="e">
        <f>ROUND(Tableau17[[#This Row],[LEN]]*#REF!+#REF!,0)</f>
        <v>#REF!</v>
      </c>
    </row>
    <row r="319" spans="1:17" s="97" customFormat="1" x14ac:dyDescent="0.25">
      <c r="A319" s="25" t="s">
        <v>1121</v>
      </c>
      <c r="B319" s="26" t="s">
        <v>253</v>
      </c>
      <c r="C319" s="27" t="s">
        <v>778</v>
      </c>
      <c r="D319" s="70" t="s">
        <v>1177</v>
      </c>
      <c r="E319" s="27" t="s">
        <v>673</v>
      </c>
      <c r="F319" s="27" t="s">
        <v>2000</v>
      </c>
      <c r="G319" s="70" t="s">
        <v>166</v>
      </c>
      <c r="H319" s="70" t="s">
        <v>17</v>
      </c>
      <c r="I319" s="27"/>
      <c r="J319" s="28" t="s">
        <v>708</v>
      </c>
      <c r="K31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19" s="109">
        <f>ROUND(Tableau17[[#This Row],[LEN]]*7.27,0)</f>
        <v>211</v>
      </c>
      <c r="M319" s="109">
        <v>15</v>
      </c>
      <c r="N319" s="127" t="str">
        <f t="shared" si="2"/>
        <v>none</v>
      </c>
      <c r="O319" s="109">
        <f>LEN(Tableau17[[#This Row],[LABEL]])</f>
        <v>29</v>
      </c>
      <c r="P319" s="109">
        <v>15</v>
      </c>
      <c r="Q319" s="109" t="e">
        <f>ROUND(Tableau17[[#This Row],[LEN]]*#REF!+#REF!,0)</f>
        <v>#REF!</v>
      </c>
    </row>
    <row r="320" spans="1:17" s="97" customFormat="1" x14ac:dyDescent="0.25">
      <c r="A320" s="25" t="s">
        <v>1122</v>
      </c>
      <c r="B320" s="26" t="s">
        <v>253</v>
      </c>
      <c r="C320" s="27" t="s">
        <v>92</v>
      </c>
      <c r="D320" s="70" t="s">
        <v>1177</v>
      </c>
      <c r="E320" s="27" t="s">
        <v>663</v>
      </c>
      <c r="F320" s="27" t="s">
        <v>2080</v>
      </c>
      <c r="G320" s="70" t="s">
        <v>166</v>
      </c>
      <c r="H320" s="70" t="s">
        <v>655</v>
      </c>
      <c r="I320" s="27"/>
      <c r="J320" s="28" t="s">
        <v>708</v>
      </c>
      <c r="K32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0" s="109">
        <f>ROUND(Tableau17[[#This Row],[LEN]]*7.27,0)</f>
        <v>262</v>
      </c>
      <c r="M320" s="109">
        <v>15</v>
      </c>
      <c r="N320" s="127" t="str">
        <f t="shared" si="2"/>
        <v>none</v>
      </c>
      <c r="O320" s="109">
        <f>LEN(Tableau17[[#This Row],[LABEL]])</f>
        <v>36</v>
      </c>
      <c r="P320" s="109">
        <v>15</v>
      </c>
      <c r="Q320" s="109" t="e">
        <f>ROUND(Tableau17[[#This Row],[LEN]]*#REF!+#REF!,0)</f>
        <v>#REF!</v>
      </c>
    </row>
    <row r="321" spans="1:17" s="97" customFormat="1" x14ac:dyDescent="0.25">
      <c r="A321" s="29" t="s">
        <v>1155</v>
      </c>
      <c r="B321" s="30" t="s">
        <v>1122</v>
      </c>
      <c r="C321" s="31" t="s">
        <v>95</v>
      </c>
      <c r="D321" s="71" t="s">
        <v>1177</v>
      </c>
      <c r="E321" s="31" t="s">
        <v>663</v>
      </c>
      <c r="F321" s="31" t="s">
        <v>2080</v>
      </c>
      <c r="G321" s="71" t="s">
        <v>166</v>
      </c>
      <c r="H321" s="71" t="s">
        <v>17</v>
      </c>
      <c r="I321" s="31"/>
      <c r="J321" s="32" t="s">
        <v>708</v>
      </c>
      <c r="K32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1" s="111">
        <f>ROUND(Tableau17[[#This Row],[LEN]]*7.27,0)</f>
        <v>254</v>
      </c>
      <c r="M321" s="111">
        <v>15</v>
      </c>
      <c r="N321" s="128" t="str">
        <f t="shared" si="2"/>
        <v>none</v>
      </c>
      <c r="O321" s="111">
        <f>LEN(Tableau17[[#This Row],[LABEL]])</f>
        <v>35</v>
      </c>
      <c r="P321" s="111">
        <v>15</v>
      </c>
      <c r="Q321" s="111" t="e">
        <f>ROUND(Tableau17[[#This Row],[LEN]]*#REF!+#REF!,0)</f>
        <v>#REF!</v>
      </c>
    </row>
    <row r="322" spans="1:17" s="97" customFormat="1" x14ac:dyDescent="0.25">
      <c r="A322" s="29" t="s">
        <v>1156</v>
      </c>
      <c r="B322" s="30" t="s">
        <v>1122</v>
      </c>
      <c r="C322" s="31" t="s">
        <v>96</v>
      </c>
      <c r="D322" s="71" t="s">
        <v>1177</v>
      </c>
      <c r="E322" s="31" t="s">
        <v>663</v>
      </c>
      <c r="F322" s="31" t="s">
        <v>2080</v>
      </c>
      <c r="G322" s="71" t="s">
        <v>166</v>
      </c>
      <c r="H322" s="71" t="s">
        <v>654</v>
      </c>
      <c r="I322" s="31"/>
      <c r="J322" s="32" t="s">
        <v>708</v>
      </c>
      <c r="K32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2" s="111">
        <f>ROUND(Tableau17[[#This Row],[LEN]]*7.27,0)</f>
        <v>233</v>
      </c>
      <c r="M322" s="111">
        <v>15</v>
      </c>
      <c r="N322" s="128" t="str">
        <f t="shared" si="2"/>
        <v>none</v>
      </c>
      <c r="O322" s="111">
        <f>LEN(Tableau17[[#This Row],[LABEL]])</f>
        <v>32</v>
      </c>
      <c r="P322" s="111">
        <v>15</v>
      </c>
      <c r="Q322" s="111" t="e">
        <f>ROUND(Tableau17[[#This Row],[LEN]]*#REF!+#REF!,0)</f>
        <v>#REF!</v>
      </c>
    </row>
    <row r="323" spans="1:17" s="97" customFormat="1" x14ac:dyDescent="0.25">
      <c r="A323" s="29" t="s">
        <v>1157</v>
      </c>
      <c r="B323" s="30" t="s">
        <v>1122</v>
      </c>
      <c r="C323" s="31" t="s">
        <v>97</v>
      </c>
      <c r="D323" s="71" t="s">
        <v>1177</v>
      </c>
      <c r="E323" s="31" t="s">
        <v>663</v>
      </c>
      <c r="F323" s="31" t="s">
        <v>2080</v>
      </c>
      <c r="G323" s="71" t="s">
        <v>166</v>
      </c>
      <c r="H323" s="71" t="s">
        <v>656</v>
      </c>
      <c r="I323" s="31"/>
      <c r="J323" s="32" t="s">
        <v>708</v>
      </c>
      <c r="K32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3" s="111">
        <f>ROUND(Tableau17[[#This Row],[LEN]]*7.27,0)</f>
        <v>145</v>
      </c>
      <c r="M323" s="111">
        <v>15</v>
      </c>
      <c r="N323" s="128" t="str">
        <f t="shared" si="2"/>
        <v>none</v>
      </c>
      <c r="O323" s="111">
        <f>LEN(Tableau17[[#This Row],[LABEL]])</f>
        <v>20</v>
      </c>
      <c r="P323" s="111">
        <v>15</v>
      </c>
      <c r="Q323" s="111" t="e">
        <f>ROUND(Tableau17[[#This Row],[LEN]]*#REF!+#REF!,0)</f>
        <v>#REF!</v>
      </c>
    </row>
    <row r="324" spans="1:17" s="97" customFormat="1" x14ac:dyDescent="0.25">
      <c r="A324" s="25" t="s">
        <v>1123</v>
      </c>
      <c r="B324" s="26" t="s">
        <v>253</v>
      </c>
      <c r="C324" s="27" t="s">
        <v>1129</v>
      </c>
      <c r="D324" s="70" t="s">
        <v>1177</v>
      </c>
      <c r="E324" s="27" t="s">
        <v>667</v>
      </c>
      <c r="F324" s="27" t="s">
        <v>1134</v>
      </c>
      <c r="G324" s="70" t="s">
        <v>166</v>
      </c>
      <c r="H324" s="70" t="s">
        <v>18</v>
      </c>
      <c r="I324" s="27"/>
      <c r="J324" s="28" t="s">
        <v>101</v>
      </c>
      <c r="K32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4" s="109">
        <f>ROUND(Tableau17[[#This Row],[LEN]]*7.27,0)</f>
        <v>436</v>
      </c>
      <c r="M324" s="109">
        <v>15</v>
      </c>
      <c r="N324" s="127" t="str">
        <f t="shared" si="2"/>
        <v>new</v>
      </c>
      <c r="O324" s="109">
        <f>LEN(Tableau17[[#This Row],[LABEL]])</f>
        <v>60</v>
      </c>
      <c r="P324" s="109">
        <v>15</v>
      </c>
      <c r="Q324" s="109" t="e">
        <f>ROUND(Tableau17[[#This Row],[LEN]]*#REF!+#REF!,0)</f>
        <v>#REF!</v>
      </c>
    </row>
    <row r="325" spans="1:17" s="97" customFormat="1" x14ac:dyDescent="0.25">
      <c r="A325" s="25" t="s">
        <v>1124</v>
      </c>
      <c r="B325" s="26" t="s">
        <v>253</v>
      </c>
      <c r="C325" s="27" t="s">
        <v>1130</v>
      </c>
      <c r="D325" s="70" t="s">
        <v>1177</v>
      </c>
      <c r="E325" s="27" t="s">
        <v>667</v>
      </c>
      <c r="F325" s="27" t="s">
        <v>1134</v>
      </c>
      <c r="G325" s="70" t="s">
        <v>166</v>
      </c>
      <c r="H325" s="70" t="s">
        <v>18</v>
      </c>
      <c r="I325" s="27"/>
      <c r="J325" s="28" t="s">
        <v>708</v>
      </c>
      <c r="K32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5" s="109">
        <f>ROUND(Tableau17[[#This Row],[LEN]]*7.27,0)</f>
        <v>291</v>
      </c>
      <c r="M325" s="109">
        <v>15</v>
      </c>
      <c r="N325" s="127" t="str">
        <f t="shared" si="2"/>
        <v>none</v>
      </c>
      <c r="O325" s="109">
        <f>LEN(Tableau17[[#This Row],[LABEL]])</f>
        <v>40</v>
      </c>
      <c r="P325" s="109">
        <v>15</v>
      </c>
      <c r="Q325" s="109" t="e">
        <f>ROUND(Tableau17[[#This Row],[LEN]]*#REF!+#REF!,0)</f>
        <v>#REF!</v>
      </c>
    </row>
    <row r="326" spans="1:17" s="97" customFormat="1" x14ac:dyDescent="0.25">
      <c r="A326" s="25" t="s">
        <v>1125</v>
      </c>
      <c r="B326" s="26" t="s">
        <v>253</v>
      </c>
      <c r="C326" s="27" t="s">
        <v>1167</v>
      </c>
      <c r="D326" s="70" t="s">
        <v>486</v>
      </c>
      <c r="E326" s="27" t="s">
        <v>1085</v>
      </c>
      <c r="F326" s="27" t="s">
        <v>1084</v>
      </c>
      <c r="G326" s="70" t="s">
        <v>1977</v>
      </c>
      <c r="H326" s="70" t="s">
        <v>1131</v>
      </c>
      <c r="I326" s="27"/>
      <c r="J326" s="28" t="s">
        <v>708</v>
      </c>
      <c r="K32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6" s="109">
        <f>ROUND(Tableau17[[#This Row],[LEN]]*7.27,0)</f>
        <v>196</v>
      </c>
      <c r="M326" s="109">
        <v>15</v>
      </c>
      <c r="N326" s="127" t="str">
        <f t="shared" si="2"/>
        <v>none</v>
      </c>
      <c r="O326" s="109">
        <f>LEN(Tableau17[[#This Row],[LABEL]])</f>
        <v>27</v>
      </c>
      <c r="P326" s="109">
        <v>15</v>
      </c>
      <c r="Q326" s="109" t="e">
        <f>ROUND(Tableau17[[#This Row],[LEN]]*#REF!+#REF!,0)</f>
        <v>#REF!</v>
      </c>
    </row>
    <row r="327" spans="1:17" s="97" customFormat="1" x14ac:dyDescent="0.25">
      <c r="A327" s="29" t="s">
        <v>1163</v>
      </c>
      <c r="B327" s="30" t="s">
        <v>1125</v>
      </c>
      <c r="C327" s="31" t="s">
        <v>93</v>
      </c>
      <c r="D327" s="71" t="s">
        <v>1177</v>
      </c>
      <c r="E327" s="31" t="s">
        <v>1085</v>
      </c>
      <c r="F327" s="31" t="s">
        <v>1084</v>
      </c>
      <c r="G327" s="71" t="s">
        <v>166</v>
      </c>
      <c r="H327" s="71" t="s">
        <v>18</v>
      </c>
      <c r="I327" s="31"/>
      <c r="J327" s="32" t="s">
        <v>101</v>
      </c>
      <c r="K32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7" s="111">
        <f>ROUND(Tableau17[[#This Row],[LEN]]*7.27,0)</f>
        <v>109</v>
      </c>
      <c r="M327" s="111">
        <v>15</v>
      </c>
      <c r="N327" s="128" t="str">
        <f t="shared" si="2"/>
        <v>new</v>
      </c>
      <c r="O327" s="111">
        <f>LEN(Tableau17[[#This Row],[LABEL]])</f>
        <v>15</v>
      </c>
      <c r="P327" s="111">
        <v>15</v>
      </c>
      <c r="Q327" s="111" t="e">
        <f>ROUND(Tableau17[[#This Row],[LEN]]*#REF!+#REF!,0)</f>
        <v>#REF!</v>
      </c>
    </row>
    <row r="328" spans="1:17" s="97" customFormat="1" x14ac:dyDescent="0.25">
      <c r="A328" s="29" t="s">
        <v>1164</v>
      </c>
      <c r="B328" s="30" t="s">
        <v>1125</v>
      </c>
      <c r="C328" s="31" t="s">
        <v>94</v>
      </c>
      <c r="D328" s="71" t="s">
        <v>1177</v>
      </c>
      <c r="E328" s="31" t="s">
        <v>1085</v>
      </c>
      <c r="F328" s="31" t="s">
        <v>1084</v>
      </c>
      <c r="G328" s="71" t="s">
        <v>166</v>
      </c>
      <c r="H328" s="71" t="s">
        <v>18</v>
      </c>
      <c r="I328" s="31"/>
      <c r="J328" s="32" t="s">
        <v>102</v>
      </c>
      <c r="K32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28" s="111">
        <f>ROUND(Tableau17[[#This Row],[LEN]]*7.27,0)</f>
        <v>58</v>
      </c>
      <c r="M328" s="111">
        <v>15</v>
      </c>
      <c r="N328" s="128" t="str">
        <f t="shared" si="2"/>
        <v>new</v>
      </c>
      <c r="O328" s="111">
        <f>LEN(Tableau17[[#This Row],[LABEL]])</f>
        <v>8</v>
      </c>
      <c r="P328" s="111">
        <v>15</v>
      </c>
      <c r="Q328" s="111" t="e">
        <f>ROUND(Tableau17[[#This Row],[LEN]]*#REF!+#REF!,0)</f>
        <v>#REF!</v>
      </c>
    </row>
    <row r="329" spans="1:17" s="273" customFormat="1" x14ac:dyDescent="0.25">
      <c r="A329" s="288" t="s">
        <v>254</v>
      </c>
      <c r="B329" s="289" t="s">
        <v>206</v>
      </c>
      <c r="C329" s="290" t="s">
        <v>5</v>
      </c>
      <c r="D329" s="291" t="s">
        <v>1177</v>
      </c>
      <c r="E329" s="290" t="s">
        <v>668</v>
      </c>
      <c r="F329" s="290" t="s">
        <v>1177</v>
      </c>
      <c r="G329" s="291" t="s">
        <v>166</v>
      </c>
      <c r="H329" s="291" t="str">
        <f>IFERROR(IF(SEARCH(".00.00.00.00.00",Tableau17[[#This Row],[name]],1)=7,"Division",""),"")</f>
        <v>Division</v>
      </c>
      <c r="I329" s="290"/>
      <c r="J329" s="292" t="s">
        <v>708</v>
      </c>
      <c r="K329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29" s="293">
        <f>ROUND(Tableau17[[#This Row],[LEN]]*7.27,0)</f>
        <v>73</v>
      </c>
      <c r="M329" s="293">
        <v>15</v>
      </c>
      <c r="N329" s="294" t="str">
        <f t="shared" si="2"/>
        <v>none</v>
      </c>
      <c r="O329" s="293">
        <f>LEN(Tableau17[[#This Row],[LABEL]])</f>
        <v>10</v>
      </c>
      <c r="P329" s="293">
        <v>15</v>
      </c>
      <c r="Q329" s="293" t="e">
        <f>ROUND(Tableau17[[#This Row],[LEN]]*#REF!+#REF!,0)</f>
        <v>#REF!</v>
      </c>
    </row>
    <row r="330" spans="1:17" s="97" customFormat="1" x14ac:dyDescent="0.25">
      <c r="A330" s="25" t="s">
        <v>1171</v>
      </c>
      <c r="B330" s="26" t="s">
        <v>254</v>
      </c>
      <c r="C330" s="27" t="s">
        <v>1168</v>
      </c>
      <c r="D330" s="70" t="s">
        <v>1177</v>
      </c>
      <c r="E330" s="27" t="s">
        <v>668</v>
      </c>
      <c r="F330" s="27" t="s">
        <v>1178</v>
      </c>
      <c r="G330" s="70" t="s">
        <v>166</v>
      </c>
      <c r="H330" s="70" t="s">
        <v>654</v>
      </c>
      <c r="I330" s="27"/>
      <c r="J330" s="28" t="s">
        <v>708</v>
      </c>
      <c r="K33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0" s="109">
        <f>ROUND(Tableau17[[#This Row],[LEN]]*7.27,0)</f>
        <v>262</v>
      </c>
      <c r="M330" s="109">
        <v>15</v>
      </c>
      <c r="N330" s="127" t="str">
        <f t="shared" si="2"/>
        <v>none</v>
      </c>
      <c r="O330" s="109">
        <f>LEN(Tableau17[[#This Row],[LABEL]])</f>
        <v>36</v>
      </c>
      <c r="P330" s="109">
        <v>15</v>
      </c>
      <c r="Q330" s="109" t="e">
        <f>ROUND(Tableau17[[#This Row],[LEN]]*#REF!+#REF!,0)</f>
        <v>#REF!</v>
      </c>
    </row>
    <row r="331" spans="1:17" s="97" customFormat="1" x14ac:dyDescent="0.25">
      <c r="A331" s="25" t="s">
        <v>1172</v>
      </c>
      <c r="B331" s="26" t="s">
        <v>254</v>
      </c>
      <c r="C331" s="27" t="s">
        <v>1170</v>
      </c>
      <c r="D331" s="70" t="s">
        <v>1177</v>
      </c>
      <c r="E331" s="27" t="s">
        <v>667</v>
      </c>
      <c r="F331" s="27" t="s">
        <v>2082</v>
      </c>
      <c r="G331" s="70" t="s">
        <v>166</v>
      </c>
      <c r="H331" s="70" t="s">
        <v>655</v>
      </c>
      <c r="I331" s="27"/>
      <c r="J331" s="28" t="s">
        <v>708</v>
      </c>
      <c r="K33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1" s="109">
        <f>ROUND(Tableau17[[#This Row],[LEN]]*7.27,0)</f>
        <v>138</v>
      </c>
      <c r="M331" s="109">
        <v>15</v>
      </c>
      <c r="N331" s="127" t="str">
        <f t="shared" si="2"/>
        <v>none</v>
      </c>
      <c r="O331" s="109">
        <f>LEN(Tableau17[[#This Row],[LABEL]])</f>
        <v>19</v>
      </c>
      <c r="P331" s="109">
        <v>15</v>
      </c>
      <c r="Q331" s="109" t="e">
        <f>ROUND(Tableau17[[#This Row],[LEN]]*#REF!+#REF!,0)</f>
        <v>#REF!</v>
      </c>
    </row>
    <row r="332" spans="1:17" s="97" customFormat="1" x14ac:dyDescent="0.25">
      <c r="A332" s="29" t="s">
        <v>1180</v>
      </c>
      <c r="B332" s="30" t="s">
        <v>1172</v>
      </c>
      <c r="C332" s="31" t="s">
        <v>1184</v>
      </c>
      <c r="D332" s="71" t="s">
        <v>1177</v>
      </c>
      <c r="E332" s="31" t="s">
        <v>667</v>
      </c>
      <c r="F332" s="31" t="s">
        <v>2082</v>
      </c>
      <c r="G332" s="71" t="s">
        <v>166</v>
      </c>
      <c r="H332" s="71" t="s">
        <v>18</v>
      </c>
      <c r="I332" s="31"/>
      <c r="J332" s="32" t="s">
        <v>708</v>
      </c>
      <c r="K33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2" s="111">
        <f>ROUND(Tableau17[[#This Row],[LEN]]*7.27,0)</f>
        <v>211</v>
      </c>
      <c r="M332" s="111">
        <v>15</v>
      </c>
      <c r="N332" s="128" t="str">
        <f t="shared" si="2"/>
        <v>none</v>
      </c>
      <c r="O332" s="111">
        <f>LEN(Tableau17[[#This Row],[LABEL]])</f>
        <v>29</v>
      </c>
      <c r="P332" s="111">
        <v>15</v>
      </c>
      <c r="Q332" s="111" t="e">
        <f>ROUND(Tableau17[[#This Row],[LEN]]*#REF!+#REF!,0)</f>
        <v>#REF!</v>
      </c>
    </row>
    <row r="333" spans="1:17" s="97" customFormat="1" x14ac:dyDescent="0.25">
      <c r="A333" s="29" t="s">
        <v>1181</v>
      </c>
      <c r="B333" s="30" t="s">
        <v>1172</v>
      </c>
      <c r="C333" s="31" t="s">
        <v>1185</v>
      </c>
      <c r="D333" s="71" t="s">
        <v>1177</v>
      </c>
      <c r="E333" s="31" t="s">
        <v>667</v>
      </c>
      <c r="F333" s="31" t="s">
        <v>2082</v>
      </c>
      <c r="G333" s="71" t="s">
        <v>166</v>
      </c>
      <c r="H333" s="71" t="s">
        <v>18</v>
      </c>
      <c r="I333" s="31"/>
      <c r="J333" s="32" t="s">
        <v>708</v>
      </c>
      <c r="K33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3" s="111">
        <f>ROUND(Tableau17[[#This Row],[LEN]]*7.27,0)</f>
        <v>291</v>
      </c>
      <c r="M333" s="111">
        <v>15</v>
      </c>
      <c r="N333" s="128" t="str">
        <f t="shared" si="2"/>
        <v>none</v>
      </c>
      <c r="O333" s="111">
        <f>LEN(Tableau17[[#This Row],[LABEL]])</f>
        <v>40</v>
      </c>
      <c r="P333" s="111">
        <v>15</v>
      </c>
      <c r="Q333" s="111" t="e">
        <f>ROUND(Tableau17[[#This Row],[LEN]]*#REF!+#REF!,0)</f>
        <v>#REF!</v>
      </c>
    </row>
    <row r="334" spans="1:17" s="97" customFormat="1" x14ac:dyDescent="0.25">
      <c r="A334" s="29" t="s">
        <v>1182</v>
      </c>
      <c r="B334" s="30" t="s">
        <v>1172</v>
      </c>
      <c r="C334" s="31" t="s">
        <v>1186</v>
      </c>
      <c r="D334" s="71" t="s">
        <v>1177</v>
      </c>
      <c r="E334" s="31" t="s">
        <v>667</v>
      </c>
      <c r="F334" s="31" t="s">
        <v>2082</v>
      </c>
      <c r="G334" s="71" t="s">
        <v>166</v>
      </c>
      <c r="H334" s="71" t="s">
        <v>18</v>
      </c>
      <c r="I334" s="31"/>
      <c r="J334" s="32" t="s">
        <v>708</v>
      </c>
      <c r="K33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4" s="111">
        <f>ROUND(Tableau17[[#This Row],[LEN]]*7.27,0)</f>
        <v>240</v>
      </c>
      <c r="M334" s="111">
        <v>15</v>
      </c>
      <c r="N334" s="128" t="str">
        <f t="shared" si="2"/>
        <v>none</v>
      </c>
      <c r="O334" s="111">
        <f>LEN(Tableau17[[#This Row],[LABEL]])</f>
        <v>33</v>
      </c>
      <c r="P334" s="111">
        <v>15</v>
      </c>
      <c r="Q334" s="111" t="e">
        <f>ROUND(Tableau17[[#This Row],[LEN]]*#REF!+#REF!,0)</f>
        <v>#REF!</v>
      </c>
    </row>
    <row r="335" spans="1:17" s="97" customFormat="1" x14ac:dyDescent="0.25">
      <c r="A335" s="29" t="s">
        <v>1183</v>
      </c>
      <c r="B335" s="30" t="s">
        <v>1172</v>
      </c>
      <c r="C335" s="31" t="s">
        <v>1187</v>
      </c>
      <c r="D335" s="71" t="s">
        <v>1177</v>
      </c>
      <c r="E335" s="31" t="s">
        <v>667</v>
      </c>
      <c r="F335" s="31" t="s">
        <v>2082</v>
      </c>
      <c r="G335" s="71" t="s">
        <v>166</v>
      </c>
      <c r="H335" s="71" t="s">
        <v>18</v>
      </c>
      <c r="I335" s="31"/>
      <c r="J335" s="32" t="s">
        <v>708</v>
      </c>
      <c r="K33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5" s="111">
        <f>ROUND(Tableau17[[#This Row],[LEN]]*7.27,0)</f>
        <v>356</v>
      </c>
      <c r="M335" s="111">
        <v>15</v>
      </c>
      <c r="N335" s="128" t="str">
        <f t="shared" si="2"/>
        <v>none</v>
      </c>
      <c r="O335" s="111">
        <f>LEN(Tableau17[[#This Row],[LABEL]])</f>
        <v>49</v>
      </c>
      <c r="P335" s="111">
        <v>15</v>
      </c>
      <c r="Q335" s="111" t="e">
        <f>ROUND(Tableau17[[#This Row],[LEN]]*#REF!+#REF!,0)</f>
        <v>#REF!</v>
      </c>
    </row>
    <row r="336" spans="1:17" s="97" customFormat="1" x14ac:dyDescent="0.25">
      <c r="A336" s="25" t="s">
        <v>1173</v>
      </c>
      <c r="B336" s="26" t="s">
        <v>254</v>
      </c>
      <c r="C336" s="27" t="s">
        <v>778</v>
      </c>
      <c r="D336" s="70" t="s">
        <v>1177</v>
      </c>
      <c r="E336" s="27" t="s">
        <v>673</v>
      </c>
      <c r="F336" s="27" t="s">
        <v>2000</v>
      </c>
      <c r="G336" s="70" t="s">
        <v>166</v>
      </c>
      <c r="H336" s="70" t="s">
        <v>17</v>
      </c>
      <c r="I336" s="27"/>
      <c r="J336" s="28" t="s">
        <v>708</v>
      </c>
      <c r="K33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6" s="109">
        <f>ROUND(Tableau17[[#This Row],[LEN]]*7.27,0)</f>
        <v>211</v>
      </c>
      <c r="M336" s="109">
        <v>15</v>
      </c>
      <c r="N336" s="127" t="str">
        <f t="shared" si="2"/>
        <v>none</v>
      </c>
      <c r="O336" s="109">
        <f>LEN(Tableau17[[#This Row],[LABEL]])</f>
        <v>29</v>
      </c>
      <c r="P336" s="109">
        <v>15</v>
      </c>
      <c r="Q336" s="109" t="e">
        <f>ROUND(Tableau17[[#This Row],[LEN]]*#REF!+#REF!,0)</f>
        <v>#REF!</v>
      </c>
    </row>
    <row r="337" spans="1:17" s="97" customFormat="1" x14ac:dyDescent="0.25">
      <c r="A337" s="25" t="s">
        <v>1174</v>
      </c>
      <c r="B337" s="26" t="s">
        <v>254</v>
      </c>
      <c r="C337" s="27" t="s">
        <v>92</v>
      </c>
      <c r="D337" s="70" t="s">
        <v>1177</v>
      </c>
      <c r="E337" s="27" t="s">
        <v>663</v>
      </c>
      <c r="F337" s="27" t="s">
        <v>2080</v>
      </c>
      <c r="G337" s="70" t="s">
        <v>166</v>
      </c>
      <c r="H337" s="70" t="s">
        <v>655</v>
      </c>
      <c r="I337" s="27"/>
      <c r="J337" s="28" t="s">
        <v>708</v>
      </c>
      <c r="K33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7" s="109">
        <f>ROUND(Tableau17[[#This Row],[LEN]]*7.27,0)</f>
        <v>262</v>
      </c>
      <c r="M337" s="109">
        <v>15</v>
      </c>
      <c r="N337" s="127" t="str">
        <f t="shared" si="2"/>
        <v>none</v>
      </c>
      <c r="O337" s="109">
        <f>LEN(Tableau17[[#This Row],[LABEL]])</f>
        <v>36</v>
      </c>
      <c r="P337" s="109">
        <v>15</v>
      </c>
      <c r="Q337" s="109" t="e">
        <f>ROUND(Tableau17[[#This Row],[LEN]]*#REF!+#REF!,0)</f>
        <v>#REF!</v>
      </c>
    </row>
    <row r="338" spans="1:17" s="97" customFormat="1" x14ac:dyDescent="0.25">
      <c r="A338" s="29" t="s">
        <v>1188</v>
      </c>
      <c r="B338" s="30" t="s">
        <v>1174</v>
      </c>
      <c r="C338" s="31" t="s">
        <v>95</v>
      </c>
      <c r="D338" s="71" t="s">
        <v>1177</v>
      </c>
      <c r="E338" s="31" t="s">
        <v>663</v>
      </c>
      <c r="F338" s="31" t="s">
        <v>2080</v>
      </c>
      <c r="G338" s="71" t="s">
        <v>166</v>
      </c>
      <c r="H338" s="71" t="s">
        <v>17</v>
      </c>
      <c r="I338" s="31"/>
      <c r="J338" s="32" t="s">
        <v>708</v>
      </c>
      <c r="K33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8" s="111">
        <f>ROUND(Tableau17[[#This Row],[LEN]]*7.27,0)</f>
        <v>254</v>
      </c>
      <c r="M338" s="111">
        <v>15</v>
      </c>
      <c r="N338" s="128" t="str">
        <f t="shared" si="2"/>
        <v>none</v>
      </c>
      <c r="O338" s="111">
        <f>LEN(Tableau17[[#This Row],[LABEL]])</f>
        <v>35</v>
      </c>
      <c r="P338" s="111">
        <v>15</v>
      </c>
      <c r="Q338" s="111" t="e">
        <f>ROUND(Tableau17[[#This Row],[LEN]]*#REF!+#REF!,0)</f>
        <v>#REF!</v>
      </c>
    </row>
    <row r="339" spans="1:17" s="97" customFormat="1" x14ac:dyDescent="0.25">
      <c r="A339" s="29" t="s">
        <v>1189</v>
      </c>
      <c r="B339" s="30" t="s">
        <v>1174</v>
      </c>
      <c r="C339" s="31" t="s">
        <v>96</v>
      </c>
      <c r="D339" s="71" t="s">
        <v>1177</v>
      </c>
      <c r="E339" s="31" t="s">
        <v>663</v>
      </c>
      <c r="F339" s="31" t="s">
        <v>2080</v>
      </c>
      <c r="G339" s="71" t="s">
        <v>166</v>
      </c>
      <c r="H339" s="71" t="s">
        <v>654</v>
      </c>
      <c r="I339" s="31"/>
      <c r="J339" s="32" t="s">
        <v>708</v>
      </c>
      <c r="K33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39" s="111">
        <f>ROUND(Tableau17[[#This Row],[LEN]]*7.27,0)</f>
        <v>233</v>
      </c>
      <c r="M339" s="111">
        <v>15</v>
      </c>
      <c r="N339" s="128" t="str">
        <f t="shared" si="2"/>
        <v>none</v>
      </c>
      <c r="O339" s="111">
        <f>LEN(Tableau17[[#This Row],[LABEL]])</f>
        <v>32</v>
      </c>
      <c r="P339" s="111">
        <v>15</v>
      </c>
      <c r="Q339" s="111" t="e">
        <f>ROUND(Tableau17[[#This Row],[LEN]]*#REF!+#REF!,0)</f>
        <v>#REF!</v>
      </c>
    </row>
    <row r="340" spans="1:17" s="97" customFormat="1" x14ac:dyDescent="0.25">
      <c r="A340" s="29" t="s">
        <v>1190</v>
      </c>
      <c r="B340" s="30" t="s">
        <v>1174</v>
      </c>
      <c r="C340" s="31" t="s">
        <v>97</v>
      </c>
      <c r="D340" s="71" t="s">
        <v>1177</v>
      </c>
      <c r="E340" s="31" t="s">
        <v>663</v>
      </c>
      <c r="F340" s="31" t="s">
        <v>2080</v>
      </c>
      <c r="G340" s="71" t="s">
        <v>166</v>
      </c>
      <c r="H340" s="71" t="s">
        <v>656</v>
      </c>
      <c r="I340" s="31"/>
      <c r="J340" s="32" t="s">
        <v>708</v>
      </c>
      <c r="K34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0" s="111">
        <f>ROUND(Tableau17[[#This Row],[LEN]]*7.27,0)</f>
        <v>145</v>
      </c>
      <c r="M340" s="111">
        <v>15</v>
      </c>
      <c r="N340" s="128" t="str">
        <f t="shared" si="2"/>
        <v>none</v>
      </c>
      <c r="O340" s="111">
        <f>LEN(Tableau17[[#This Row],[LABEL]])</f>
        <v>20</v>
      </c>
      <c r="P340" s="111">
        <v>15</v>
      </c>
      <c r="Q340" s="111" t="e">
        <f>ROUND(Tableau17[[#This Row],[LEN]]*#REF!+#REF!,0)</f>
        <v>#REF!</v>
      </c>
    </row>
    <row r="341" spans="1:17" s="97" customFormat="1" x14ac:dyDescent="0.25">
      <c r="A341" s="25" t="s">
        <v>1175</v>
      </c>
      <c r="B341" s="26" t="s">
        <v>254</v>
      </c>
      <c r="C341" s="27" t="s">
        <v>1169</v>
      </c>
      <c r="D341" s="70" t="s">
        <v>1177</v>
      </c>
      <c r="E341" s="27" t="s">
        <v>667</v>
      </c>
      <c r="F341" s="27" t="s">
        <v>673</v>
      </c>
      <c r="G341" s="70" t="s">
        <v>166</v>
      </c>
      <c r="H341" s="70" t="s">
        <v>656</v>
      </c>
      <c r="I341" s="27"/>
      <c r="J341" s="28" t="s">
        <v>708</v>
      </c>
      <c r="K34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1" s="109">
        <f>ROUND(Tableau17[[#This Row],[LEN]]*7.27,0)</f>
        <v>334</v>
      </c>
      <c r="M341" s="109">
        <v>15</v>
      </c>
      <c r="N341" s="127" t="str">
        <f t="shared" si="2"/>
        <v>none</v>
      </c>
      <c r="O341" s="109">
        <f>LEN(Tableau17[[#This Row],[LABEL]])</f>
        <v>46</v>
      </c>
      <c r="P341" s="109">
        <v>15</v>
      </c>
      <c r="Q341" s="109" t="e">
        <f>ROUND(Tableau17[[#This Row],[LEN]]*#REF!+#REF!,0)</f>
        <v>#REF!</v>
      </c>
    </row>
    <row r="342" spans="1:17" s="97" customFormat="1" x14ac:dyDescent="0.25">
      <c r="A342" s="25" t="s">
        <v>1176</v>
      </c>
      <c r="B342" s="26" t="s">
        <v>254</v>
      </c>
      <c r="C342" s="27" t="s">
        <v>1167</v>
      </c>
      <c r="D342" s="70" t="s">
        <v>486</v>
      </c>
      <c r="E342" s="27" t="s">
        <v>1177</v>
      </c>
      <c r="F342" s="27" t="s">
        <v>1084</v>
      </c>
      <c r="G342" s="70" t="s">
        <v>1977</v>
      </c>
      <c r="H342" s="70" t="s">
        <v>1131</v>
      </c>
      <c r="I342" s="27"/>
      <c r="J342" s="28" t="s">
        <v>708</v>
      </c>
      <c r="K34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2" s="109">
        <f>ROUND(Tableau17[[#This Row],[LEN]]*7.27,0)</f>
        <v>196</v>
      </c>
      <c r="M342" s="109">
        <v>15</v>
      </c>
      <c r="N342" s="127" t="str">
        <f t="shared" si="2"/>
        <v>none</v>
      </c>
      <c r="O342" s="109">
        <f>LEN(Tableau17[[#This Row],[LABEL]])</f>
        <v>27</v>
      </c>
      <c r="P342" s="109">
        <v>15</v>
      </c>
      <c r="Q342" s="109" t="e">
        <f>ROUND(Tableau17[[#This Row],[LEN]]*#REF!+#REF!,0)</f>
        <v>#REF!</v>
      </c>
    </row>
    <row r="343" spans="1:17" s="97" customFormat="1" x14ac:dyDescent="0.25">
      <c r="A343" s="29" t="s">
        <v>1191</v>
      </c>
      <c r="B343" s="30" t="s">
        <v>1176</v>
      </c>
      <c r="C343" s="31" t="s">
        <v>93</v>
      </c>
      <c r="D343" s="71" t="s">
        <v>1177</v>
      </c>
      <c r="E343" s="31" t="s">
        <v>1085</v>
      </c>
      <c r="F343" s="31" t="s">
        <v>1084</v>
      </c>
      <c r="G343" s="71" t="s">
        <v>166</v>
      </c>
      <c r="H343" s="71" t="s">
        <v>18</v>
      </c>
      <c r="I343" s="31"/>
      <c r="J343" s="32" t="s">
        <v>101</v>
      </c>
      <c r="K34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3" s="111">
        <f>ROUND(Tableau17[[#This Row],[LEN]]*7.27,0)</f>
        <v>109</v>
      </c>
      <c r="M343" s="111">
        <v>15</v>
      </c>
      <c r="N343" s="128" t="str">
        <f t="shared" si="2"/>
        <v>new</v>
      </c>
      <c r="O343" s="111">
        <f>LEN(Tableau17[[#This Row],[LABEL]])</f>
        <v>15</v>
      </c>
      <c r="P343" s="111">
        <v>15</v>
      </c>
      <c r="Q343" s="111" t="e">
        <f>ROUND(Tableau17[[#This Row],[LEN]]*#REF!+#REF!,0)</f>
        <v>#REF!</v>
      </c>
    </row>
    <row r="344" spans="1:17" s="97" customFormat="1" x14ac:dyDescent="0.25">
      <c r="A344" s="29" t="s">
        <v>1192</v>
      </c>
      <c r="B344" s="30" t="s">
        <v>1176</v>
      </c>
      <c r="C344" s="31" t="s">
        <v>94</v>
      </c>
      <c r="D344" s="71" t="s">
        <v>1177</v>
      </c>
      <c r="E344" s="31" t="s">
        <v>1085</v>
      </c>
      <c r="F344" s="31" t="s">
        <v>1084</v>
      </c>
      <c r="G344" s="71" t="s">
        <v>166</v>
      </c>
      <c r="H344" s="71" t="s">
        <v>18</v>
      </c>
      <c r="I344" s="31"/>
      <c r="J344" s="32" t="s">
        <v>102</v>
      </c>
      <c r="K34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4" s="111">
        <f>ROUND(Tableau17[[#This Row],[LEN]]*7.27,0)</f>
        <v>58</v>
      </c>
      <c r="M344" s="111">
        <v>15</v>
      </c>
      <c r="N344" s="128" t="str">
        <f t="shared" si="2"/>
        <v>new</v>
      </c>
      <c r="O344" s="111">
        <f>LEN(Tableau17[[#This Row],[LABEL]])</f>
        <v>8</v>
      </c>
      <c r="P344" s="111">
        <v>15</v>
      </c>
      <c r="Q344" s="111" t="e">
        <f>ROUND(Tableau17[[#This Row],[LEN]]*#REF!+#REF!,0)</f>
        <v>#REF!</v>
      </c>
    </row>
    <row r="345" spans="1:17" s="273" customFormat="1" x14ac:dyDescent="0.25">
      <c r="A345" s="288" t="s">
        <v>255</v>
      </c>
      <c r="B345" s="289" t="s">
        <v>206</v>
      </c>
      <c r="C345" s="290" t="s">
        <v>6</v>
      </c>
      <c r="D345" s="291" t="s">
        <v>1177</v>
      </c>
      <c r="E345" s="290" t="s">
        <v>669</v>
      </c>
      <c r="F345" s="290" t="s">
        <v>1177</v>
      </c>
      <c r="G345" s="291" t="s">
        <v>166</v>
      </c>
      <c r="H345" s="291" t="str">
        <f>IFERROR(IF(SEARCH(".00.00.00.00.00",Tableau17[[#This Row],[name]],1)=7,"Division",""),"")</f>
        <v>Division</v>
      </c>
      <c r="I345" s="290"/>
      <c r="J345" s="292" t="s">
        <v>708</v>
      </c>
      <c r="K345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45" s="293">
        <f>ROUND(Tableau17[[#This Row],[LEN]]*7.27,0)</f>
        <v>196</v>
      </c>
      <c r="M345" s="293">
        <v>15</v>
      </c>
      <c r="N345" s="294" t="str">
        <f t="shared" si="2"/>
        <v>none</v>
      </c>
      <c r="O345" s="293">
        <f>LEN(Tableau17[[#This Row],[LABEL]])</f>
        <v>27</v>
      </c>
      <c r="P345" s="293">
        <v>15</v>
      </c>
      <c r="Q345" s="293" t="e">
        <f>ROUND(Tableau17[[#This Row],[LEN]]*#REF!+#REF!,0)</f>
        <v>#REF!</v>
      </c>
    </row>
    <row r="346" spans="1:17" s="97" customFormat="1" x14ac:dyDescent="0.25">
      <c r="A346" s="25" t="s">
        <v>436</v>
      </c>
      <c r="B346" s="26" t="s">
        <v>255</v>
      </c>
      <c r="C346" s="27" t="s">
        <v>137</v>
      </c>
      <c r="D346" s="70" t="s">
        <v>1177</v>
      </c>
      <c r="E346" s="27" t="s">
        <v>669</v>
      </c>
      <c r="F346" s="27" t="s">
        <v>1177</v>
      </c>
      <c r="G346" s="70" t="s">
        <v>166</v>
      </c>
      <c r="H346" s="70" t="s">
        <v>654</v>
      </c>
      <c r="I346" s="27"/>
      <c r="J346" s="28" t="s">
        <v>726</v>
      </c>
      <c r="K34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6" s="109">
        <f>ROUND(Tableau17[[#This Row],[LEN]]*7.27,0)</f>
        <v>269</v>
      </c>
      <c r="M346" s="109">
        <v>15</v>
      </c>
      <c r="N346" s="127" t="str">
        <f t="shared" si="2"/>
        <v>new</v>
      </c>
      <c r="O346" s="109">
        <f>LEN(Tableau17[[#This Row],[LABEL]])</f>
        <v>37</v>
      </c>
      <c r="P346" s="109">
        <v>15</v>
      </c>
      <c r="Q346" s="109" t="e">
        <f>ROUND(Tableau17[[#This Row],[LEN]]*#REF!+#REF!,0)</f>
        <v>#REF!</v>
      </c>
    </row>
    <row r="347" spans="1:17" s="97" customFormat="1" x14ac:dyDescent="0.25">
      <c r="A347" s="25" t="s">
        <v>437</v>
      </c>
      <c r="B347" s="26" t="s">
        <v>255</v>
      </c>
      <c r="C347" s="27" t="s">
        <v>138</v>
      </c>
      <c r="D347" s="70" t="s">
        <v>1177</v>
      </c>
      <c r="E347" s="27" t="s">
        <v>669</v>
      </c>
      <c r="F347" s="27" t="s">
        <v>678</v>
      </c>
      <c r="G347" s="70" t="s">
        <v>166</v>
      </c>
      <c r="H347" s="70" t="s">
        <v>655</v>
      </c>
      <c r="I347" s="27"/>
      <c r="J347" s="28" t="s">
        <v>708</v>
      </c>
      <c r="K34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7" s="109">
        <f>ROUND(Tableau17[[#This Row],[LEN]]*7.27,0)</f>
        <v>225</v>
      </c>
      <c r="M347" s="109">
        <v>15</v>
      </c>
      <c r="N347" s="127" t="str">
        <f t="shared" si="2"/>
        <v>none</v>
      </c>
      <c r="O347" s="109">
        <f>LEN(Tableau17[[#This Row],[LABEL]])</f>
        <v>31</v>
      </c>
      <c r="P347" s="109">
        <v>15</v>
      </c>
      <c r="Q347" s="109" t="e">
        <f>ROUND(Tableau17[[#This Row],[LEN]]*#REF!+#REF!,0)</f>
        <v>#REF!</v>
      </c>
    </row>
    <row r="348" spans="1:17" s="97" customFormat="1" x14ac:dyDescent="0.25">
      <c r="A348" s="29" t="s">
        <v>438</v>
      </c>
      <c r="B348" s="30" t="s">
        <v>437</v>
      </c>
      <c r="C348" s="31" t="s">
        <v>139</v>
      </c>
      <c r="D348" s="71" t="s">
        <v>1177</v>
      </c>
      <c r="E348" s="31" t="s">
        <v>669</v>
      </c>
      <c r="F348" s="31" t="s">
        <v>678</v>
      </c>
      <c r="G348" s="71" t="s">
        <v>166</v>
      </c>
      <c r="H348" s="71" t="s">
        <v>654</v>
      </c>
      <c r="I348" s="31"/>
      <c r="J348" s="32" t="s">
        <v>708</v>
      </c>
      <c r="K34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8" s="111">
        <f>ROUND(Tableau17[[#This Row],[LEN]]*7.27,0)</f>
        <v>327</v>
      </c>
      <c r="M348" s="111">
        <v>15</v>
      </c>
      <c r="N348" s="128" t="str">
        <f t="shared" si="2"/>
        <v>none</v>
      </c>
      <c r="O348" s="111">
        <f>LEN(Tableau17[[#This Row],[LABEL]])</f>
        <v>45</v>
      </c>
      <c r="P348" s="111">
        <v>15</v>
      </c>
      <c r="Q348" s="111" t="e">
        <f>ROUND(Tableau17[[#This Row],[LEN]]*#REF!+#REF!,0)</f>
        <v>#REF!</v>
      </c>
    </row>
    <row r="349" spans="1:17" s="97" customFormat="1" x14ac:dyDescent="0.25">
      <c r="A349" s="29" t="s">
        <v>439</v>
      </c>
      <c r="B349" s="30" t="s">
        <v>437</v>
      </c>
      <c r="C349" s="31" t="s">
        <v>140</v>
      </c>
      <c r="D349" s="71" t="s">
        <v>1177</v>
      </c>
      <c r="E349" s="31" t="s">
        <v>669</v>
      </c>
      <c r="F349" s="31" t="s">
        <v>678</v>
      </c>
      <c r="G349" s="71" t="s">
        <v>166</v>
      </c>
      <c r="H349" s="71" t="s">
        <v>654</v>
      </c>
      <c r="I349" s="31"/>
      <c r="J349" s="32" t="s">
        <v>708</v>
      </c>
      <c r="K3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49" s="111">
        <f>ROUND(Tableau17[[#This Row],[LEN]]*7.27,0)</f>
        <v>385</v>
      </c>
      <c r="M349" s="111">
        <v>15</v>
      </c>
      <c r="N349" s="128" t="str">
        <f t="shared" si="2"/>
        <v>none</v>
      </c>
      <c r="O349" s="111">
        <f>LEN(Tableau17[[#This Row],[LABEL]])</f>
        <v>53</v>
      </c>
      <c r="P349" s="111">
        <v>15</v>
      </c>
      <c r="Q349" s="111" t="e">
        <f>ROUND(Tableau17[[#This Row],[LEN]]*#REF!+#REF!,0)</f>
        <v>#REF!</v>
      </c>
    </row>
    <row r="350" spans="1:17" s="97" customFormat="1" x14ac:dyDescent="0.25">
      <c r="A350" s="29" t="s">
        <v>440</v>
      </c>
      <c r="B350" s="30" t="s">
        <v>437</v>
      </c>
      <c r="C350" s="31" t="s">
        <v>141</v>
      </c>
      <c r="D350" s="71" t="s">
        <v>1177</v>
      </c>
      <c r="E350" s="31" t="s">
        <v>669</v>
      </c>
      <c r="F350" s="31" t="s">
        <v>678</v>
      </c>
      <c r="G350" s="71" t="s">
        <v>166</v>
      </c>
      <c r="H350" s="71" t="s">
        <v>17</v>
      </c>
      <c r="I350" s="31"/>
      <c r="J350" s="32" t="s">
        <v>708</v>
      </c>
      <c r="K3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0" s="111">
        <f>ROUND(Tableau17[[#This Row],[LEN]]*7.27,0)</f>
        <v>313</v>
      </c>
      <c r="M350" s="111">
        <v>15</v>
      </c>
      <c r="N350" s="128" t="str">
        <f t="shared" si="2"/>
        <v>none</v>
      </c>
      <c r="O350" s="111">
        <f>LEN(Tableau17[[#This Row],[LABEL]])</f>
        <v>43</v>
      </c>
      <c r="P350" s="111">
        <v>15</v>
      </c>
      <c r="Q350" s="111" t="e">
        <f>ROUND(Tableau17[[#This Row],[LEN]]*#REF!+#REF!,0)</f>
        <v>#REF!</v>
      </c>
    </row>
    <row r="351" spans="1:17" s="97" customFormat="1" x14ac:dyDescent="0.25">
      <c r="A351" s="25" t="s">
        <v>441</v>
      </c>
      <c r="B351" s="26" t="s">
        <v>255</v>
      </c>
      <c r="C351" s="27" t="s">
        <v>88</v>
      </c>
      <c r="D351" s="70" t="s">
        <v>1177</v>
      </c>
      <c r="E351" s="27" t="s">
        <v>667</v>
      </c>
      <c r="F351" s="27" t="s">
        <v>1218</v>
      </c>
      <c r="G351" s="70" t="s">
        <v>166</v>
      </c>
      <c r="H351" s="70" t="s">
        <v>570</v>
      </c>
      <c r="I351" s="27"/>
      <c r="J351" s="28" t="s">
        <v>708</v>
      </c>
      <c r="K35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1" s="109">
        <f>ROUND(Tableau17[[#This Row],[LEN]]*7.27,0)</f>
        <v>342</v>
      </c>
      <c r="M351" s="109">
        <v>15</v>
      </c>
      <c r="N351" s="127" t="str">
        <f t="shared" si="2"/>
        <v>none</v>
      </c>
      <c r="O351" s="109">
        <f>LEN(Tableau17[[#This Row],[LABEL]])</f>
        <v>47</v>
      </c>
      <c r="P351" s="109">
        <v>15</v>
      </c>
      <c r="Q351" s="109" t="e">
        <f>ROUND(Tableau17[[#This Row],[LEN]]*#REF!+#REF!,0)</f>
        <v>#REF!</v>
      </c>
    </row>
    <row r="352" spans="1:17" s="97" customFormat="1" x14ac:dyDescent="0.25">
      <c r="A352" s="25" t="s">
        <v>442</v>
      </c>
      <c r="B352" s="26" t="s">
        <v>255</v>
      </c>
      <c r="C352" s="27" t="s">
        <v>142</v>
      </c>
      <c r="D352" s="70" t="s">
        <v>1177</v>
      </c>
      <c r="E352" s="27" t="s">
        <v>669</v>
      </c>
      <c r="F352" s="27" t="s">
        <v>677</v>
      </c>
      <c r="G352" s="70" t="s">
        <v>166</v>
      </c>
      <c r="H352" s="70" t="s">
        <v>655</v>
      </c>
      <c r="I352" s="27"/>
      <c r="J352" s="28" t="s">
        <v>708</v>
      </c>
      <c r="K35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2" s="109">
        <f>ROUND(Tableau17[[#This Row],[LEN]]*7.27,0)</f>
        <v>109</v>
      </c>
      <c r="M352" s="109">
        <v>15</v>
      </c>
      <c r="N352" s="127" t="str">
        <f t="shared" si="2"/>
        <v>none</v>
      </c>
      <c r="O352" s="109">
        <f>LEN(Tableau17[[#This Row],[LABEL]])</f>
        <v>15</v>
      </c>
      <c r="P352" s="109">
        <v>15</v>
      </c>
      <c r="Q352" s="109" t="e">
        <f>ROUND(Tableau17[[#This Row],[LEN]]*#REF!+#REF!,0)</f>
        <v>#REF!</v>
      </c>
    </row>
    <row r="353" spans="1:17" s="97" customFormat="1" x14ac:dyDescent="0.25">
      <c r="A353" s="25" t="s">
        <v>487</v>
      </c>
      <c r="B353" s="26" t="s">
        <v>255</v>
      </c>
      <c r="C353" s="27" t="s">
        <v>143</v>
      </c>
      <c r="D353" s="70" t="s">
        <v>1177</v>
      </c>
      <c r="E353" s="27" t="s">
        <v>669</v>
      </c>
      <c r="F353" s="27" t="s">
        <v>1177</v>
      </c>
      <c r="G353" s="70" t="s">
        <v>166</v>
      </c>
      <c r="H353" s="70" t="s">
        <v>656</v>
      </c>
      <c r="I353" s="27"/>
      <c r="J353" s="28" t="s">
        <v>727</v>
      </c>
      <c r="K35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3" s="109">
        <f>ROUND(Tableau17[[#This Row],[LEN]]*7.27,0)</f>
        <v>436</v>
      </c>
      <c r="M353" s="109">
        <v>15</v>
      </c>
      <c r="N353" s="127" t="str">
        <f t="shared" si="2"/>
        <v>new</v>
      </c>
      <c r="O353" s="109">
        <f>LEN(Tableau17[[#This Row],[LABEL]])</f>
        <v>60</v>
      </c>
      <c r="P353" s="109">
        <v>15</v>
      </c>
      <c r="Q353" s="109" t="e">
        <f>ROUND(Tableau17[[#This Row],[LEN]]*#REF!+#REF!,0)</f>
        <v>#REF!</v>
      </c>
    </row>
    <row r="354" spans="1:17" s="97" customFormat="1" x14ac:dyDescent="0.25">
      <c r="A354" s="25" t="s">
        <v>488</v>
      </c>
      <c r="B354" s="26" t="s">
        <v>255</v>
      </c>
      <c r="C354" s="27" t="s">
        <v>144</v>
      </c>
      <c r="D354" s="70" t="s">
        <v>1177</v>
      </c>
      <c r="E354" s="27" t="s">
        <v>669</v>
      </c>
      <c r="F354" s="27" t="s">
        <v>1177</v>
      </c>
      <c r="G354" s="70" t="s">
        <v>166</v>
      </c>
      <c r="H354" s="70" t="s">
        <v>655</v>
      </c>
      <c r="I354" s="27"/>
      <c r="J354" s="28" t="s">
        <v>708</v>
      </c>
      <c r="K35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4" s="109">
        <f>ROUND(Tableau17[[#This Row],[LEN]]*7.27,0)</f>
        <v>44</v>
      </c>
      <c r="M354" s="109">
        <v>15</v>
      </c>
      <c r="N354" s="127" t="str">
        <f t="shared" si="2"/>
        <v>none</v>
      </c>
      <c r="O354" s="109">
        <f>LEN(Tableau17[[#This Row],[LABEL]])</f>
        <v>6</v>
      </c>
      <c r="P354" s="109">
        <v>15</v>
      </c>
      <c r="Q354" s="109" t="e">
        <f>ROUND(Tableau17[[#This Row],[LEN]]*#REF!+#REF!,0)</f>
        <v>#REF!</v>
      </c>
    </row>
    <row r="355" spans="1:17" s="97" customFormat="1" x14ac:dyDescent="0.25">
      <c r="A355" s="29" t="s">
        <v>658</v>
      </c>
      <c r="B355" s="30" t="s">
        <v>488</v>
      </c>
      <c r="C355" s="31" t="s">
        <v>685</v>
      </c>
      <c r="D355" s="71" t="s">
        <v>1177</v>
      </c>
      <c r="E355" s="31" t="s">
        <v>669</v>
      </c>
      <c r="F355" s="31" t="s">
        <v>1177</v>
      </c>
      <c r="G355" s="71" t="s">
        <v>166</v>
      </c>
      <c r="H355" s="71" t="s">
        <v>655</v>
      </c>
      <c r="I355" s="31"/>
      <c r="J355" s="32" t="s">
        <v>708</v>
      </c>
      <c r="K35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5" s="111">
        <f>ROUND(Tableau17[[#This Row],[LEN]]*7.27,0)</f>
        <v>58</v>
      </c>
      <c r="M355" s="111">
        <v>15</v>
      </c>
      <c r="N355" s="128" t="str">
        <f t="shared" si="2"/>
        <v>none</v>
      </c>
      <c r="O355" s="111">
        <f>LEN(Tableau17[[#This Row],[LABEL]])</f>
        <v>8</v>
      </c>
      <c r="P355" s="111">
        <v>15</v>
      </c>
      <c r="Q355" s="111" t="e">
        <f>ROUND(Tableau17[[#This Row],[LEN]]*#REF!+#REF!,0)</f>
        <v>#REF!</v>
      </c>
    </row>
    <row r="356" spans="1:17" s="97" customFormat="1" x14ac:dyDescent="0.25">
      <c r="A356" s="86" t="s">
        <v>688</v>
      </c>
      <c r="B356" s="87" t="s">
        <v>658</v>
      </c>
      <c r="C356" s="88" t="s">
        <v>145</v>
      </c>
      <c r="D356" s="89" t="s">
        <v>1177</v>
      </c>
      <c r="E356" s="88" t="s">
        <v>669</v>
      </c>
      <c r="F356" s="88" t="s">
        <v>1177</v>
      </c>
      <c r="G356" s="89" t="s">
        <v>166</v>
      </c>
      <c r="H356" s="90" t="s">
        <v>654</v>
      </c>
      <c r="I356" s="88"/>
      <c r="J356" s="91" t="s">
        <v>708</v>
      </c>
      <c r="K35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6" s="112">
        <f>ROUND(Tableau17[[#This Row],[LEN]]*7.27,0)</f>
        <v>342</v>
      </c>
      <c r="M356" s="112">
        <v>15</v>
      </c>
      <c r="N356" s="129" t="str">
        <f t="shared" si="2"/>
        <v>none</v>
      </c>
      <c r="O356" s="112">
        <f>LEN(Tableau17[[#This Row],[LABEL]])</f>
        <v>47</v>
      </c>
      <c r="P356" s="112">
        <v>15</v>
      </c>
      <c r="Q356" s="112" t="e">
        <f>ROUND(Tableau17[[#This Row],[LEN]]*#REF!+#REF!,0)</f>
        <v>#REF!</v>
      </c>
    </row>
    <row r="357" spans="1:17" s="97" customFormat="1" x14ac:dyDescent="0.25">
      <c r="A357" s="86" t="s">
        <v>689</v>
      </c>
      <c r="B357" s="87" t="s">
        <v>658</v>
      </c>
      <c r="C357" s="88" t="s">
        <v>146</v>
      </c>
      <c r="D357" s="89" t="s">
        <v>1177</v>
      </c>
      <c r="E357" s="88" t="s">
        <v>669</v>
      </c>
      <c r="F357" s="88" t="s">
        <v>1177</v>
      </c>
      <c r="G357" s="89" t="s">
        <v>166</v>
      </c>
      <c r="H357" s="90" t="s">
        <v>654</v>
      </c>
      <c r="I357" s="88"/>
      <c r="J357" s="91" t="s">
        <v>708</v>
      </c>
      <c r="K35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7" s="112">
        <f>ROUND(Tableau17[[#This Row],[LEN]]*7.27,0)</f>
        <v>291</v>
      </c>
      <c r="M357" s="112">
        <v>15</v>
      </c>
      <c r="N357" s="129" t="str">
        <f t="shared" si="2"/>
        <v>none</v>
      </c>
      <c r="O357" s="112">
        <f>LEN(Tableau17[[#This Row],[LABEL]])</f>
        <v>40</v>
      </c>
      <c r="P357" s="112">
        <v>15</v>
      </c>
      <c r="Q357" s="112" t="e">
        <f>ROUND(Tableau17[[#This Row],[LEN]]*#REF!+#REF!,0)</f>
        <v>#REF!</v>
      </c>
    </row>
    <row r="358" spans="1:17" s="97" customFormat="1" x14ac:dyDescent="0.25">
      <c r="A358" s="86" t="s">
        <v>690</v>
      </c>
      <c r="B358" s="87" t="s">
        <v>658</v>
      </c>
      <c r="C358" s="88" t="s">
        <v>147</v>
      </c>
      <c r="D358" s="89" t="s">
        <v>1177</v>
      </c>
      <c r="E358" s="88" t="s">
        <v>669</v>
      </c>
      <c r="F358" s="88" t="s">
        <v>1177</v>
      </c>
      <c r="G358" s="89" t="s">
        <v>166</v>
      </c>
      <c r="H358" s="90" t="s">
        <v>654</v>
      </c>
      <c r="I358" s="88"/>
      <c r="J358" s="91" t="s">
        <v>708</v>
      </c>
      <c r="K35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8" s="112">
        <f>ROUND(Tableau17[[#This Row],[LEN]]*7.27,0)</f>
        <v>174</v>
      </c>
      <c r="M358" s="112">
        <v>15</v>
      </c>
      <c r="N358" s="129" t="str">
        <f t="shared" si="2"/>
        <v>none</v>
      </c>
      <c r="O358" s="112">
        <f>LEN(Tableau17[[#This Row],[LABEL]])</f>
        <v>24</v>
      </c>
      <c r="P358" s="112">
        <v>15</v>
      </c>
      <c r="Q358" s="112" t="e">
        <f>ROUND(Tableau17[[#This Row],[LEN]]*#REF!+#REF!,0)</f>
        <v>#REF!</v>
      </c>
    </row>
    <row r="359" spans="1:17" s="97" customFormat="1" x14ac:dyDescent="0.25">
      <c r="A359" s="86" t="s">
        <v>691</v>
      </c>
      <c r="B359" s="87" t="s">
        <v>658</v>
      </c>
      <c r="C359" s="88" t="s">
        <v>148</v>
      </c>
      <c r="D359" s="89" t="s">
        <v>1177</v>
      </c>
      <c r="E359" s="88" t="s">
        <v>669</v>
      </c>
      <c r="F359" s="88" t="s">
        <v>1177</v>
      </c>
      <c r="G359" s="89" t="s">
        <v>166</v>
      </c>
      <c r="H359" s="90" t="s">
        <v>654</v>
      </c>
      <c r="I359" s="88"/>
      <c r="J359" s="91" t="s">
        <v>708</v>
      </c>
      <c r="K359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59" s="112">
        <f>ROUND(Tableau17[[#This Row],[LEN]]*7.27,0)</f>
        <v>225</v>
      </c>
      <c r="M359" s="112">
        <v>15</v>
      </c>
      <c r="N359" s="129" t="str">
        <f t="shared" si="2"/>
        <v>none</v>
      </c>
      <c r="O359" s="112">
        <f>LEN(Tableau17[[#This Row],[LABEL]])</f>
        <v>31</v>
      </c>
      <c r="P359" s="112">
        <v>15</v>
      </c>
      <c r="Q359" s="112" t="e">
        <f>ROUND(Tableau17[[#This Row],[LEN]]*#REF!+#REF!,0)</f>
        <v>#REF!</v>
      </c>
    </row>
    <row r="360" spans="1:17" s="97" customFormat="1" x14ac:dyDescent="0.25">
      <c r="A360" s="29" t="s">
        <v>659</v>
      </c>
      <c r="B360" s="30" t="s">
        <v>488</v>
      </c>
      <c r="C360" s="31" t="s">
        <v>686</v>
      </c>
      <c r="D360" s="71" t="s">
        <v>1177</v>
      </c>
      <c r="E360" s="31" t="s">
        <v>669</v>
      </c>
      <c r="F360" s="31" t="s">
        <v>1177</v>
      </c>
      <c r="G360" s="71" t="s">
        <v>166</v>
      </c>
      <c r="H360" s="71" t="s">
        <v>655</v>
      </c>
      <c r="I360" s="31"/>
      <c r="J360" s="32" t="s">
        <v>708</v>
      </c>
      <c r="K36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0" s="111">
        <f>ROUND(Tableau17[[#This Row],[LEN]]*7.27,0)</f>
        <v>29</v>
      </c>
      <c r="M360" s="111">
        <v>15</v>
      </c>
      <c r="N360" s="128" t="str">
        <f t="shared" si="2"/>
        <v>none</v>
      </c>
      <c r="O360" s="111">
        <f>LEN(Tableau17[[#This Row],[LABEL]])</f>
        <v>4</v>
      </c>
      <c r="P360" s="111">
        <v>15</v>
      </c>
      <c r="Q360" s="111" t="e">
        <f>ROUND(Tableau17[[#This Row],[LEN]]*#REF!+#REF!,0)</f>
        <v>#REF!</v>
      </c>
    </row>
    <row r="361" spans="1:17" s="97" customFormat="1" x14ac:dyDescent="0.25">
      <c r="A361" s="86" t="s">
        <v>692</v>
      </c>
      <c r="B361" s="87" t="s">
        <v>659</v>
      </c>
      <c r="C361" s="88" t="s">
        <v>149</v>
      </c>
      <c r="D361" s="89" t="s">
        <v>1177</v>
      </c>
      <c r="E361" s="88" t="s">
        <v>669</v>
      </c>
      <c r="F361" s="88" t="s">
        <v>1177</v>
      </c>
      <c r="G361" s="89" t="s">
        <v>166</v>
      </c>
      <c r="H361" s="90" t="s">
        <v>654</v>
      </c>
      <c r="I361" s="88"/>
      <c r="J361" s="91" t="s">
        <v>708</v>
      </c>
      <c r="K361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1" s="112">
        <f>ROUND(Tableau17[[#This Row],[LEN]]*7.27,0)</f>
        <v>167</v>
      </c>
      <c r="M361" s="112">
        <v>15</v>
      </c>
      <c r="N361" s="129" t="str">
        <f t="shared" si="2"/>
        <v>none</v>
      </c>
      <c r="O361" s="112">
        <f>LEN(Tableau17[[#This Row],[LABEL]])</f>
        <v>23</v>
      </c>
      <c r="P361" s="112">
        <v>15</v>
      </c>
      <c r="Q361" s="112" t="e">
        <f>ROUND(Tableau17[[#This Row],[LEN]]*#REF!+#REF!,0)</f>
        <v>#REF!</v>
      </c>
    </row>
    <row r="362" spans="1:17" s="97" customFormat="1" x14ac:dyDescent="0.25">
      <c r="A362" s="86" t="s">
        <v>693</v>
      </c>
      <c r="B362" s="87" t="s">
        <v>659</v>
      </c>
      <c r="C362" s="88" t="s">
        <v>150</v>
      </c>
      <c r="D362" s="89" t="s">
        <v>1177</v>
      </c>
      <c r="E362" s="88" t="s">
        <v>669</v>
      </c>
      <c r="F362" s="88" t="s">
        <v>1177</v>
      </c>
      <c r="G362" s="89" t="s">
        <v>166</v>
      </c>
      <c r="H362" s="90" t="s">
        <v>570</v>
      </c>
      <c r="I362" s="88"/>
      <c r="J362" s="91" t="s">
        <v>708</v>
      </c>
      <c r="K362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2" s="112">
        <f>ROUND(Tableau17[[#This Row],[LEN]]*7.27,0)</f>
        <v>247</v>
      </c>
      <c r="M362" s="112">
        <v>15</v>
      </c>
      <c r="N362" s="129" t="str">
        <f t="shared" si="2"/>
        <v>none</v>
      </c>
      <c r="O362" s="112">
        <f>LEN(Tableau17[[#This Row],[LABEL]])</f>
        <v>34</v>
      </c>
      <c r="P362" s="112">
        <v>15</v>
      </c>
      <c r="Q362" s="112" t="e">
        <f>ROUND(Tableau17[[#This Row],[LEN]]*#REF!+#REF!,0)</f>
        <v>#REF!</v>
      </c>
    </row>
    <row r="363" spans="1:17" s="97" customFormat="1" x14ac:dyDescent="0.25">
      <c r="A363" s="86" t="s">
        <v>694</v>
      </c>
      <c r="B363" s="87" t="s">
        <v>659</v>
      </c>
      <c r="C363" s="88" t="s">
        <v>151</v>
      </c>
      <c r="D363" s="89" t="s">
        <v>1177</v>
      </c>
      <c r="E363" s="88" t="s">
        <v>669</v>
      </c>
      <c r="F363" s="88" t="s">
        <v>1177</v>
      </c>
      <c r="G363" s="89" t="s">
        <v>166</v>
      </c>
      <c r="H363" s="90" t="s">
        <v>654</v>
      </c>
      <c r="I363" s="88"/>
      <c r="J363" s="91" t="s">
        <v>708</v>
      </c>
      <c r="K363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3" s="112">
        <f>ROUND(Tableau17[[#This Row],[LEN]]*7.27,0)</f>
        <v>233</v>
      </c>
      <c r="M363" s="112">
        <v>15</v>
      </c>
      <c r="N363" s="129" t="str">
        <f t="shared" si="2"/>
        <v>none</v>
      </c>
      <c r="O363" s="112">
        <f>LEN(Tableau17[[#This Row],[LABEL]])</f>
        <v>32</v>
      </c>
      <c r="P363" s="112">
        <v>15</v>
      </c>
      <c r="Q363" s="112" t="e">
        <f>ROUND(Tableau17[[#This Row],[LEN]]*#REF!+#REF!,0)</f>
        <v>#REF!</v>
      </c>
    </row>
    <row r="364" spans="1:17" s="97" customFormat="1" x14ac:dyDescent="0.25">
      <c r="A364" s="86" t="s">
        <v>695</v>
      </c>
      <c r="B364" s="87" t="s">
        <v>659</v>
      </c>
      <c r="C364" s="88" t="s">
        <v>152</v>
      </c>
      <c r="D364" s="89" t="s">
        <v>1177</v>
      </c>
      <c r="E364" s="88" t="s">
        <v>669</v>
      </c>
      <c r="F364" s="88" t="s">
        <v>1177</v>
      </c>
      <c r="G364" s="89" t="s">
        <v>166</v>
      </c>
      <c r="H364" s="90" t="s">
        <v>654</v>
      </c>
      <c r="I364" s="88"/>
      <c r="J364" s="91" t="s">
        <v>708</v>
      </c>
      <c r="K364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4" s="112">
        <f>ROUND(Tableau17[[#This Row],[LEN]]*7.27,0)</f>
        <v>174</v>
      </c>
      <c r="M364" s="112">
        <v>15</v>
      </c>
      <c r="N364" s="129" t="str">
        <f t="shared" si="2"/>
        <v>none</v>
      </c>
      <c r="O364" s="112">
        <f>LEN(Tableau17[[#This Row],[LABEL]])</f>
        <v>24</v>
      </c>
      <c r="P364" s="112">
        <v>15</v>
      </c>
      <c r="Q364" s="112" t="e">
        <f>ROUND(Tableau17[[#This Row],[LEN]]*#REF!+#REF!,0)</f>
        <v>#REF!</v>
      </c>
    </row>
    <row r="365" spans="1:17" s="97" customFormat="1" x14ac:dyDescent="0.25">
      <c r="A365" s="29" t="s">
        <v>660</v>
      </c>
      <c r="B365" s="30" t="s">
        <v>488</v>
      </c>
      <c r="C365" s="31" t="s">
        <v>687</v>
      </c>
      <c r="D365" s="71" t="s">
        <v>1177</v>
      </c>
      <c r="E365" s="31" t="s">
        <v>669</v>
      </c>
      <c r="F365" s="31" t="s">
        <v>1177</v>
      </c>
      <c r="G365" s="71" t="s">
        <v>166</v>
      </c>
      <c r="H365" s="71" t="s">
        <v>655</v>
      </c>
      <c r="I365" s="31"/>
      <c r="J365" s="32" t="s">
        <v>708</v>
      </c>
      <c r="K36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5" s="111">
        <f>ROUND(Tableau17[[#This Row],[LEN]]*7.27,0)</f>
        <v>51</v>
      </c>
      <c r="M365" s="111">
        <v>15</v>
      </c>
      <c r="N365" s="128" t="str">
        <f t="shared" si="2"/>
        <v>none</v>
      </c>
      <c r="O365" s="111">
        <f>LEN(Tableau17[[#This Row],[LABEL]])</f>
        <v>7</v>
      </c>
      <c r="P365" s="111">
        <v>15</v>
      </c>
      <c r="Q365" s="111" t="e">
        <f>ROUND(Tableau17[[#This Row],[LEN]]*#REF!+#REF!,0)</f>
        <v>#REF!</v>
      </c>
    </row>
    <row r="366" spans="1:17" s="97" customFormat="1" x14ac:dyDescent="0.25">
      <c r="A366" s="86" t="s">
        <v>696</v>
      </c>
      <c r="B366" s="87" t="s">
        <v>660</v>
      </c>
      <c r="C366" s="88" t="s">
        <v>153</v>
      </c>
      <c r="D366" s="89" t="s">
        <v>1177</v>
      </c>
      <c r="E366" s="88" t="s">
        <v>669</v>
      </c>
      <c r="F366" s="88" t="s">
        <v>1177</v>
      </c>
      <c r="G366" s="89" t="s">
        <v>166</v>
      </c>
      <c r="H366" s="90" t="s">
        <v>654</v>
      </c>
      <c r="I366" s="88"/>
      <c r="J366" s="91" t="s">
        <v>728</v>
      </c>
      <c r="K366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6" s="112">
        <f>ROUND(Tableau17[[#This Row],[LEN]]*7.27,0)</f>
        <v>276</v>
      </c>
      <c r="M366" s="112">
        <v>15</v>
      </c>
      <c r="N366" s="129" t="str">
        <f t="shared" si="2"/>
        <v>new</v>
      </c>
      <c r="O366" s="112">
        <f>LEN(Tableau17[[#This Row],[LABEL]])</f>
        <v>38</v>
      </c>
      <c r="P366" s="112">
        <v>15</v>
      </c>
      <c r="Q366" s="112" t="e">
        <f>ROUND(Tableau17[[#This Row],[LEN]]*#REF!+#REF!,0)</f>
        <v>#REF!</v>
      </c>
    </row>
    <row r="367" spans="1:17" s="97" customFormat="1" x14ac:dyDescent="0.25">
      <c r="A367" s="86" t="s">
        <v>697</v>
      </c>
      <c r="B367" s="87" t="s">
        <v>660</v>
      </c>
      <c r="C367" s="88" t="s">
        <v>154</v>
      </c>
      <c r="D367" s="89" t="s">
        <v>1177</v>
      </c>
      <c r="E367" s="88" t="s">
        <v>669</v>
      </c>
      <c r="F367" s="88" t="s">
        <v>1177</v>
      </c>
      <c r="G367" s="89" t="s">
        <v>166</v>
      </c>
      <c r="H367" s="90" t="s">
        <v>654</v>
      </c>
      <c r="I367" s="88"/>
      <c r="J367" s="91" t="s">
        <v>708</v>
      </c>
      <c r="K367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7" s="112">
        <f>ROUND(Tableau17[[#This Row],[LEN]]*7.27,0)</f>
        <v>262</v>
      </c>
      <c r="M367" s="112">
        <v>15</v>
      </c>
      <c r="N367" s="129" t="str">
        <f t="shared" si="2"/>
        <v>none</v>
      </c>
      <c r="O367" s="112">
        <f>LEN(Tableau17[[#This Row],[LABEL]])</f>
        <v>36</v>
      </c>
      <c r="P367" s="112">
        <v>15</v>
      </c>
      <c r="Q367" s="112" t="e">
        <f>ROUND(Tableau17[[#This Row],[LEN]]*#REF!+#REF!,0)</f>
        <v>#REF!</v>
      </c>
    </row>
    <row r="368" spans="1:17" s="97" customFormat="1" x14ac:dyDescent="0.25">
      <c r="A368" s="86" t="s">
        <v>698</v>
      </c>
      <c r="B368" s="87" t="s">
        <v>660</v>
      </c>
      <c r="C368" s="88" t="s">
        <v>155</v>
      </c>
      <c r="D368" s="89" t="s">
        <v>1177</v>
      </c>
      <c r="E368" s="88" t="s">
        <v>669</v>
      </c>
      <c r="F368" s="88" t="s">
        <v>1177</v>
      </c>
      <c r="G368" s="89" t="s">
        <v>166</v>
      </c>
      <c r="H368" s="90" t="s">
        <v>570</v>
      </c>
      <c r="I368" s="88"/>
      <c r="J368" s="91" t="s">
        <v>708</v>
      </c>
      <c r="K368" s="9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8" s="112">
        <f>ROUND(Tableau17[[#This Row],[LEN]]*7.27,0)</f>
        <v>218</v>
      </c>
      <c r="M368" s="112">
        <v>15</v>
      </c>
      <c r="N368" s="129" t="str">
        <f t="shared" si="2"/>
        <v>none</v>
      </c>
      <c r="O368" s="112">
        <f>LEN(Tableau17[[#This Row],[LABEL]])</f>
        <v>30</v>
      </c>
      <c r="P368" s="112">
        <v>15</v>
      </c>
      <c r="Q368" s="112" t="e">
        <f>ROUND(Tableau17[[#This Row],[LEN]]*#REF!+#REF!,0)</f>
        <v>#REF!</v>
      </c>
    </row>
    <row r="369" spans="1:17" s="97" customFormat="1" x14ac:dyDescent="0.25">
      <c r="A369" s="25" t="s">
        <v>489</v>
      </c>
      <c r="B369" s="26" t="s">
        <v>255</v>
      </c>
      <c r="C369" s="27" t="s">
        <v>778</v>
      </c>
      <c r="D369" s="70" t="s">
        <v>1177</v>
      </c>
      <c r="E369" s="27" t="s">
        <v>673</v>
      </c>
      <c r="F369" s="27" t="s">
        <v>2000</v>
      </c>
      <c r="G369" s="70" t="s">
        <v>166</v>
      </c>
      <c r="H369" s="70" t="s">
        <v>17</v>
      </c>
      <c r="I369" s="27"/>
      <c r="J369" s="28" t="s">
        <v>708</v>
      </c>
      <c r="K36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69" s="109">
        <f>ROUND(Tableau17[[#This Row],[LEN]]*7.27,0)</f>
        <v>211</v>
      </c>
      <c r="M369" s="109">
        <v>15</v>
      </c>
      <c r="N369" s="127" t="str">
        <f t="shared" si="2"/>
        <v>none</v>
      </c>
      <c r="O369" s="109">
        <f>LEN(Tableau17[[#This Row],[LABEL]])</f>
        <v>29</v>
      </c>
      <c r="P369" s="109">
        <v>15</v>
      </c>
      <c r="Q369" s="109" t="e">
        <f>ROUND(Tableau17[[#This Row],[LEN]]*#REF!+#REF!,0)</f>
        <v>#REF!</v>
      </c>
    </row>
    <row r="370" spans="1:17" s="97" customFormat="1" x14ac:dyDescent="0.25">
      <c r="A370" s="25" t="s">
        <v>490</v>
      </c>
      <c r="B370" s="26" t="s">
        <v>255</v>
      </c>
      <c r="C370" s="27" t="s">
        <v>92</v>
      </c>
      <c r="D370" s="70" t="s">
        <v>1177</v>
      </c>
      <c r="E370" s="27" t="s">
        <v>663</v>
      </c>
      <c r="F370" s="27" t="s">
        <v>2080</v>
      </c>
      <c r="G370" s="70" t="s">
        <v>166</v>
      </c>
      <c r="H370" s="70" t="s">
        <v>655</v>
      </c>
      <c r="I370" s="27"/>
      <c r="J370" s="28" t="s">
        <v>708</v>
      </c>
      <c r="K37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0" s="109">
        <f>ROUND(Tableau17[[#This Row],[LEN]]*7.27,0)</f>
        <v>262</v>
      </c>
      <c r="M370" s="109">
        <v>15</v>
      </c>
      <c r="N370" s="127" t="str">
        <f t="shared" si="2"/>
        <v>none</v>
      </c>
      <c r="O370" s="109">
        <f>LEN(Tableau17[[#This Row],[LABEL]])</f>
        <v>36</v>
      </c>
      <c r="P370" s="109">
        <v>15</v>
      </c>
      <c r="Q370" s="109" t="e">
        <f>ROUND(Tableau17[[#This Row],[LEN]]*#REF!+#REF!,0)</f>
        <v>#REF!</v>
      </c>
    </row>
    <row r="371" spans="1:17" s="97" customFormat="1" x14ac:dyDescent="0.25">
      <c r="A371" s="29" t="s">
        <v>699</v>
      </c>
      <c r="B371" s="30" t="s">
        <v>490</v>
      </c>
      <c r="C371" s="31" t="s">
        <v>95</v>
      </c>
      <c r="D371" s="71" t="s">
        <v>1177</v>
      </c>
      <c r="E371" s="31" t="s">
        <v>663</v>
      </c>
      <c r="F371" s="31" t="s">
        <v>2080</v>
      </c>
      <c r="G371" s="71" t="s">
        <v>166</v>
      </c>
      <c r="H371" s="71" t="s">
        <v>18</v>
      </c>
      <c r="I371" s="31"/>
      <c r="J371" s="32" t="s">
        <v>708</v>
      </c>
      <c r="K37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1" s="111">
        <f>ROUND(Tableau17[[#This Row],[LEN]]*7.27,0)</f>
        <v>254</v>
      </c>
      <c r="M371" s="111">
        <v>15</v>
      </c>
      <c r="N371" s="128" t="str">
        <f t="shared" si="2"/>
        <v>none</v>
      </c>
      <c r="O371" s="111">
        <f>LEN(Tableau17[[#This Row],[LABEL]])</f>
        <v>35</v>
      </c>
      <c r="P371" s="111">
        <v>15</v>
      </c>
      <c r="Q371" s="111" t="e">
        <f>ROUND(Tableau17[[#This Row],[LEN]]*#REF!+#REF!,0)</f>
        <v>#REF!</v>
      </c>
    </row>
    <row r="372" spans="1:17" s="97" customFormat="1" x14ac:dyDescent="0.25">
      <c r="A372" s="29" t="s">
        <v>700</v>
      </c>
      <c r="B372" s="30" t="s">
        <v>490</v>
      </c>
      <c r="C372" s="31" t="s">
        <v>96</v>
      </c>
      <c r="D372" s="71" t="s">
        <v>1177</v>
      </c>
      <c r="E372" s="31" t="s">
        <v>663</v>
      </c>
      <c r="F372" s="31" t="s">
        <v>2080</v>
      </c>
      <c r="G372" s="71" t="s">
        <v>166</v>
      </c>
      <c r="H372" s="71" t="s">
        <v>18</v>
      </c>
      <c r="I372" s="31"/>
      <c r="J372" s="32" t="s">
        <v>708</v>
      </c>
      <c r="K37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2" s="111">
        <f>ROUND(Tableau17[[#This Row],[LEN]]*7.27,0)</f>
        <v>233</v>
      </c>
      <c r="M372" s="111">
        <v>15</v>
      </c>
      <c r="N372" s="128" t="str">
        <f t="shared" si="2"/>
        <v>none</v>
      </c>
      <c r="O372" s="111">
        <f>LEN(Tableau17[[#This Row],[LABEL]])</f>
        <v>32</v>
      </c>
      <c r="P372" s="111">
        <v>15</v>
      </c>
      <c r="Q372" s="111" t="e">
        <f>ROUND(Tableau17[[#This Row],[LEN]]*#REF!+#REF!,0)</f>
        <v>#REF!</v>
      </c>
    </row>
    <row r="373" spans="1:17" s="97" customFormat="1" x14ac:dyDescent="0.25">
      <c r="A373" s="29" t="s">
        <v>1391</v>
      </c>
      <c r="B373" s="30" t="s">
        <v>490</v>
      </c>
      <c r="C373" s="31" t="s">
        <v>97</v>
      </c>
      <c r="D373" s="71" t="s">
        <v>1177</v>
      </c>
      <c r="E373" s="31" t="s">
        <v>663</v>
      </c>
      <c r="F373" s="31" t="s">
        <v>2080</v>
      </c>
      <c r="G373" s="71" t="s">
        <v>166</v>
      </c>
      <c r="H373" s="71" t="s">
        <v>656</v>
      </c>
      <c r="I373" s="31"/>
      <c r="J373" s="32" t="s">
        <v>708</v>
      </c>
      <c r="K37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3" s="111">
        <f>ROUND(Tableau17[[#This Row],[LEN]]*7.27,0)</f>
        <v>145</v>
      </c>
      <c r="M373" s="111">
        <v>15</v>
      </c>
      <c r="N373" s="128" t="str">
        <f t="shared" si="2"/>
        <v>none</v>
      </c>
      <c r="O373" s="111">
        <f>LEN(Tableau17[[#This Row],[LABEL]])</f>
        <v>20</v>
      </c>
      <c r="P373" s="111">
        <v>15</v>
      </c>
      <c r="Q373" s="111" t="e">
        <f>ROUND(Tableau17[[#This Row],[LEN]]*#REF!+#REF!,0)</f>
        <v>#REF!</v>
      </c>
    </row>
    <row r="374" spans="1:17" s="97" customFormat="1" x14ac:dyDescent="0.25">
      <c r="A374" s="25" t="s">
        <v>491</v>
      </c>
      <c r="B374" s="26" t="s">
        <v>255</v>
      </c>
      <c r="C374" s="27" t="s">
        <v>1167</v>
      </c>
      <c r="D374" s="70" t="s">
        <v>486</v>
      </c>
      <c r="E374" s="27" t="s">
        <v>1085</v>
      </c>
      <c r="F374" s="27" t="s">
        <v>1084</v>
      </c>
      <c r="G374" s="70" t="s">
        <v>1977</v>
      </c>
      <c r="H374" s="70" t="s">
        <v>1131</v>
      </c>
      <c r="I374" s="27"/>
      <c r="J374" s="28" t="s">
        <v>708</v>
      </c>
      <c r="K37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4" s="109">
        <f>ROUND(Tableau17[[#This Row],[LEN]]*7.27,0)</f>
        <v>196</v>
      </c>
      <c r="M374" s="109">
        <v>15</v>
      </c>
      <c r="N374" s="127" t="str">
        <f t="shared" si="2"/>
        <v>none</v>
      </c>
      <c r="O374" s="109">
        <f>LEN(Tableau17[[#This Row],[LABEL]])</f>
        <v>27</v>
      </c>
      <c r="P374" s="109">
        <v>15</v>
      </c>
      <c r="Q374" s="109" t="e">
        <f>ROUND(Tableau17[[#This Row],[LEN]]*#REF!+#REF!,0)</f>
        <v>#REF!</v>
      </c>
    </row>
    <row r="375" spans="1:17" s="97" customFormat="1" x14ac:dyDescent="0.25">
      <c r="A375" s="29" t="s">
        <v>1205</v>
      </c>
      <c r="B375" s="30" t="s">
        <v>491</v>
      </c>
      <c r="C375" s="31" t="s">
        <v>93</v>
      </c>
      <c r="D375" s="71" t="s">
        <v>1177</v>
      </c>
      <c r="E375" s="31" t="s">
        <v>1085</v>
      </c>
      <c r="F375" s="31" t="s">
        <v>1084</v>
      </c>
      <c r="G375" s="71" t="s">
        <v>166</v>
      </c>
      <c r="H375" s="71" t="s">
        <v>18</v>
      </c>
      <c r="I375" s="31"/>
      <c r="J375" s="32" t="s">
        <v>101</v>
      </c>
      <c r="K37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5" s="111">
        <f>ROUND(Tableau17[[#This Row],[LEN]]*7.27,0)</f>
        <v>109</v>
      </c>
      <c r="M375" s="111">
        <v>15</v>
      </c>
      <c r="N375" s="128" t="str">
        <f t="shared" si="2"/>
        <v>new</v>
      </c>
      <c r="O375" s="111">
        <f>LEN(Tableau17[[#This Row],[LABEL]])</f>
        <v>15</v>
      </c>
      <c r="P375" s="111">
        <v>15</v>
      </c>
      <c r="Q375" s="111" t="e">
        <f>ROUND(Tableau17[[#This Row],[LEN]]*#REF!+#REF!,0)</f>
        <v>#REF!</v>
      </c>
    </row>
    <row r="376" spans="1:17" s="97" customFormat="1" x14ac:dyDescent="0.25">
      <c r="A376" s="29" t="s">
        <v>1206</v>
      </c>
      <c r="B376" s="30" t="s">
        <v>491</v>
      </c>
      <c r="C376" s="31" t="s">
        <v>94</v>
      </c>
      <c r="D376" s="71" t="s">
        <v>1177</v>
      </c>
      <c r="E376" s="31" t="s">
        <v>1085</v>
      </c>
      <c r="F376" s="31" t="s">
        <v>1084</v>
      </c>
      <c r="G376" s="71" t="s">
        <v>166</v>
      </c>
      <c r="H376" s="71" t="s">
        <v>18</v>
      </c>
      <c r="I376" s="31"/>
      <c r="J376" s="32" t="s">
        <v>102</v>
      </c>
      <c r="K37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6" s="111">
        <f>ROUND(Tableau17[[#This Row],[LEN]]*7.27,0)</f>
        <v>58</v>
      </c>
      <c r="M376" s="111">
        <v>15</v>
      </c>
      <c r="N376" s="128" t="str">
        <f t="shared" si="2"/>
        <v>new</v>
      </c>
      <c r="O376" s="111">
        <f>LEN(Tableau17[[#This Row],[LABEL]])</f>
        <v>8</v>
      </c>
      <c r="P376" s="111">
        <v>15</v>
      </c>
      <c r="Q376" s="111" t="e">
        <f>ROUND(Tableau17[[#This Row],[LEN]]*#REF!+#REF!,0)</f>
        <v>#REF!</v>
      </c>
    </row>
    <row r="377" spans="1:17" s="273" customFormat="1" x14ac:dyDescent="0.25">
      <c r="A377" s="288" t="s">
        <v>256</v>
      </c>
      <c r="B377" s="289" t="s">
        <v>206</v>
      </c>
      <c r="C377" s="290" t="s">
        <v>7</v>
      </c>
      <c r="D377" s="291" t="s">
        <v>1177</v>
      </c>
      <c r="E377" s="290" t="s">
        <v>663</v>
      </c>
      <c r="F377" s="290" t="s">
        <v>670</v>
      </c>
      <c r="G377" s="291" t="s">
        <v>166</v>
      </c>
      <c r="H377" s="291" t="str">
        <f>IFERROR(IF(SEARCH(".00.00.00.00.00",Tableau17[[#This Row],[name]],1)=7,"Division",""),"")</f>
        <v>Division</v>
      </c>
      <c r="I377" s="290"/>
      <c r="J377" s="292" t="s">
        <v>708</v>
      </c>
      <c r="K377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77" s="293">
        <f>ROUND(Tableau17[[#This Row],[LEN]]*7.27,0)</f>
        <v>189</v>
      </c>
      <c r="M377" s="293">
        <v>15</v>
      </c>
      <c r="N377" s="294" t="str">
        <f t="shared" si="2"/>
        <v>none</v>
      </c>
      <c r="O377" s="293">
        <f>LEN(Tableau17[[#This Row],[LABEL]])</f>
        <v>26</v>
      </c>
      <c r="P377" s="293">
        <v>15</v>
      </c>
      <c r="Q377" s="293" t="e">
        <f>ROUND(Tableau17[[#This Row],[LEN]]*#REF!+#REF!,0)</f>
        <v>#REF!</v>
      </c>
    </row>
    <row r="378" spans="1:17" s="97" customFormat="1" x14ac:dyDescent="0.25">
      <c r="A378" s="25" t="s">
        <v>1193</v>
      </c>
      <c r="B378" s="26" t="s">
        <v>256</v>
      </c>
      <c r="C378" s="27" t="s">
        <v>1198</v>
      </c>
      <c r="D378" s="70" t="s">
        <v>1177</v>
      </c>
      <c r="E378" s="27" t="s">
        <v>670</v>
      </c>
      <c r="F378" s="27" t="s">
        <v>678</v>
      </c>
      <c r="G378" s="70" t="s">
        <v>166</v>
      </c>
      <c r="H378" s="70" t="s">
        <v>656</v>
      </c>
      <c r="I378" s="27"/>
      <c r="J378" s="28" t="s">
        <v>708</v>
      </c>
      <c r="K37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8" s="109">
        <f>ROUND(Tableau17[[#This Row],[LEN]]*7.27,0)</f>
        <v>204</v>
      </c>
      <c r="M378" s="109">
        <v>15</v>
      </c>
      <c r="N378" s="127" t="str">
        <f t="shared" ref="N378:N441" si="3">IF(J378="javascript:void(0)","none","new")</f>
        <v>none</v>
      </c>
      <c r="O378" s="109">
        <f>LEN(Tableau17[[#This Row],[LABEL]])</f>
        <v>28</v>
      </c>
      <c r="P378" s="109">
        <v>15</v>
      </c>
      <c r="Q378" s="109" t="e">
        <f>ROUND(Tableau17[[#This Row],[LEN]]*#REF!+#REF!,0)</f>
        <v>#REF!</v>
      </c>
    </row>
    <row r="379" spans="1:17" s="97" customFormat="1" x14ac:dyDescent="0.25">
      <c r="A379" s="25" t="s">
        <v>1194</v>
      </c>
      <c r="B379" s="26" t="s">
        <v>256</v>
      </c>
      <c r="C379" s="27" t="s">
        <v>1199</v>
      </c>
      <c r="D379" s="70" t="s">
        <v>1177</v>
      </c>
      <c r="E379" s="27" t="s">
        <v>670</v>
      </c>
      <c r="F379" s="27" t="s">
        <v>1177</v>
      </c>
      <c r="G379" s="70" t="s">
        <v>166</v>
      </c>
      <c r="H379" s="70" t="s">
        <v>17</v>
      </c>
      <c r="I379" s="27"/>
      <c r="J379" s="28" t="s">
        <v>708</v>
      </c>
      <c r="K37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79" s="109">
        <f>ROUND(Tableau17[[#This Row],[LEN]]*7.27,0)</f>
        <v>305</v>
      </c>
      <c r="M379" s="109">
        <v>15</v>
      </c>
      <c r="N379" s="127" t="str">
        <f t="shared" si="3"/>
        <v>none</v>
      </c>
      <c r="O379" s="109">
        <f>LEN(Tableau17[[#This Row],[LABEL]])</f>
        <v>42</v>
      </c>
      <c r="P379" s="109">
        <v>15</v>
      </c>
      <c r="Q379" s="109" t="e">
        <f>ROUND(Tableau17[[#This Row],[LEN]]*#REF!+#REF!,0)</f>
        <v>#REF!</v>
      </c>
    </row>
    <row r="380" spans="1:17" s="97" customFormat="1" x14ac:dyDescent="0.25">
      <c r="A380" s="25" t="s">
        <v>1195</v>
      </c>
      <c r="B380" s="26" t="s">
        <v>256</v>
      </c>
      <c r="C380" s="27" t="s">
        <v>88</v>
      </c>
      <c r="D380" s="70" t="s">
        <v>1177</v>
      </c>
      <c r="E380" s="27" t="s">
        <v>667</v>
      </c>
      <c r="F380" s="27" t="s">
        <v>1218</v>
      </c>
      <c r="G380" s="70" t="s">
        <v>166</v>
      </c>
      <c r="H380" s="70" t="s">
        <v>570</v>
      </c>
      <c r="I380" s="27"/>
      <c r="J380" s="28" t="s">
        <v>708</v>
      </c>
      <c r="K38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0" s="109">
        <f>ROUND(Tableau17[[#This Row],[LEN]]*7.27,0)</f>
        <v>342</v>
      </c>
      <c r="M380" s="109">
        <v>15</v>
      </c>
      <c r="N380" s="127" t="str">
        <f t="shared" si="3"/>
        <v>none</v>
      </c>
      <c r="O380" s="109">
        <f>LEN(Tableau17[[#This Row],[LABEL]])</f>
        <v>47</v>
      </c>
      <c r="P380" s="109">
        <v>15</v>
      </c>
      <c r="Q380" s="109" t="e">
        <f>ROUND(Tableau17[[#This Row],[LEN]]*#REF!+#REF!,0)</f>
        <v>#REF!</v>
      </c>
    </row>
    <row r="381" spans="1:17" s="97" customFormat="1" x14ac:dyDescent="0.25">
      <c r="A381" s="25" t="s">
        <v>1196</v>
      </c>
      <c r="B381" s="26" t="s">
        <v>256</v>
      </c>
      <c r="C381" s="27" t="s">
        <v>1200</v>
      </c>
      <c r="D381" s="70" t="s">
        <v>1177</v>
      </c>
      <c r="E381" s="27" t="s">
        <v>670</v>
      </c>
      <c r="F381" s="27" t="s">
        <v>1177</v>
      </c>
      <c r="G381" s="70" t="s">
        <v>166</v>
      </c>
      <c r="H381" s="70" t="s">
        <v>655</v>
      </c>
      <c r="I381" s="27"/>
      <c r="J381" s="28" t="s">
        <v>708</v>
      </c>
      <c r="K38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1" s="109">
        <f>ROUND(Tableau17[[#This Row],[LEN]]*7.27,0)</f>
        <v>298</v>
      </c>
      <c r="M381" s="109">
        <v>15</v>
      </c>
      <c r="N381" s="127" t="str">
        <f t="shared" si="3"/>
        <v>none</v>
      </c>
      <c r="O381" s="109">
        <f>LEN(Tableau17[[#This Row],[LABEL]])</f>
        <v>41</v>
      </c>
      <c r="P381" s="109">
        <v>15</v>
      </c>
      <c r="Q381" s="109" t="e">
        <f>ROUND(Tableau17[[#This Row],[LEN]]*#REF!+#REF!,0)</f>
        <v>#REF!</v>
      </c>
    </row>
    <row r="382" spans="1:17" s="97" customFormat="1" x14ac:dyDescent="0.25">
      <c r="A382" s="29" t="s">
        <v>1214</v>
      </c>
      <c r="B382" s="30" t="s">
        <v>1196</v>
      </c>
      <c r="C382" s="31" t="s">
        <v>1211</v>
      </c>
      <c r="D382" s="71" t="s">
        <v>1177</v>
      </c>
      <c r="E382" s="31" t="s">
        <v>670</v>
      </c>
      <c r="F382" s="31" t="s">
        <v>1177</v>
      </c>
      <c r="G382" s="71" t="s">
        <v>166</v>
      </c>
      <c r="H382" s="71" t="s">
        <v>654</v>
      </c>
      <c r="I382" s="31"/>
      <c r="J382" s="32" t="s">
        <v>708</v>
      </c>
      <c r="K38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2" s="111">
        <f>ROUND(Tableau17[[#This Row],[LEN]]*7.27,0)</f>
        <v>240</v>
      </c>
      <c r="M382" s="111">
        <v>15</v>
      </c>
      <c r="N382" s="128" t="str">
        <f t="shared" si="3"/>
        <v>none</v>
      </c>
      <c r="O382" s="111">
        <f>LEN(Tableau17[[#This Row],[LABEL]])</f>
        <v>33</v>
      </c>
      <c r="P382" s="111">
        <v>15</v>
      </c>
      <c r="Q382" s="111" t="e">
        <f>ROUND(Tableau17[[#This Row],[LEN]]*#REF!+#REF!,0)</f>
        <v>#REF!</v>
      </c>
    </row>
    <row r="383" spans="1:17" s="97" customFormat="1" x14ac:dyDescent="0.25">
      <c r="A383" s="29" t="s">
        <v>1215</v>
      </c>
      <c r="B383" s="30" t="s">
        <v>1196</v>
      </c>
      <c r="C383" s="31" t="s">
        <v>1212</v>
      </c>
      <c r="D383" s="71" t="s">
        <v>1177</v>
      </c>
      <c r="E383" s="31" t="s">
        <v>670</v>
      </c>
      <c r="F383" s="31" t="s">
        <v>1177</v>
      </c>
      <c r="G383" s="71" t="s">
        <v>166</v>
      </c>
      <c r="H383" s="71" t="s">
        <v>654</v>
      </c>
      <c r="I383" s="31"/>
      <c r="J383" s="32" t="s">
        <v>708</v>
      </c>
      <c r="K38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3" s="111">
        <f>ROUND(Tableau17[[#This Row],[LEN]]*7.27,0)</f>
        <v>327</v>
      </c>
      <c r="M383" s="111">
        <v>15</v>
      </c>
      <c r="N383" s="128" t="str">
        <f t="shared" si="3"/>
        <v>none</v>
      </c>
      <c r="O383" s="111">
        <f>LEN(Tableau17[[#This Row],[LABEL]])</f>
        <v>45</v>
      </c>
      <c r="P383" s="111">
        <v>15</v>
      </c>
      <c r="Q383" s="111" t="e">
        <f>ROUND(Tableau17[[#This Row],[LEN]]*#REF!+#REF!,0)</f>
        <v>#REF!</v>
      </c>
    </row>
    <row r="384" spans="1:17" s="97" customFormat="1" x14ac:dyDescent="0.25">
      <c r="A384" s="29" t="s">
        <v>1216</v>
      </c>
      <c r="B384" s="30" t="s">
        <v>1196</v>
      </c>
      <c r="C384" s="31" t="s">
        <v>1213</v>
      </c>
      <c r="D384" s="71" t="s">
        <v>1177</v>
      </c>
      <c r="E384" s="31" t="s">
        <v>670</v>
      </c>
      <c r="F384" s="31" t="s">
        <v>1177</v>
      </c>
      <c r="G384" s="71" t="s">
        <v>166</v>
      </c>
      <c r="H384" s="71" t="s">
        <v>654</v>
      </c>
      <c r="I384" s="31"/>
      <c r="J384" s="32" t="s">
        <v>708</v>
      </c>
      <c r="K38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4" s="111">
        <f>ROUND(Tableau17[[#This Row],[LEN]]*7.27,0)</f>
        <v>334</v>
      </c>
      <c r="M384" s="111">
        <v>15</v>
      </c>
      <c r="N384" s="128" t="str">
        <f t="shared" si="3"/>
        <v>none</v>
      </c>
      <c r="O384" s="111">
        <f>LEN(Tableau17[[#This Row],[LABEL]])</f>
        <v>46</v>
      </c>
      <c r="P384" s="111">
        <v>15</v>
      </c>
      <c r="Q384" s="111" t="e">
        <f>ROUND(Tableau17[[#This Row],[LEN]]*#REF!+#REF!,0)</f>
        <v>#REF!</v>
      </c>
    </row>
    <row r="385" spans="1:17" s="97" customFormat="1" x14ac:dyDescent="0.25">
      <c r="A385" s="25" t="s">
        <v>1197</v>
      </c>
      <c r="B385" s="26" t="s">
        <v>256</v>
      </c>
      <c r="C385" s="27" t="s">
        <v>1167</v>
      </c>
      <c r="D385" s="70" t="s">
        <v>486</v>
      </c>
      <c r="E385" s="27" t="s">
        <v>1085</v>
      </c>
      <c r="F385" s="27" t="s">
        <v>1084</v>
      </c>
      <c r="G385" s="70" t="s">
        <v>1977</v>
      </c>
      <c r="H385" s="70" t="s">
        <v>1131</v>
      </c>
      <c r="I385" s="27"/>
      <c r="J385" s="28" t="s">
        <v>708</v>
      </c>
      <c r="K38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5" s="109">
        <f>ROUND(Tableau17[[#This Row],[LEN]]*7.27,0)</f>
        <v>196</v>
      </c>
      <c r="M385" s="109">
        <v>15</v>
      </c>
      <c r="N385" s="127" t="str">
        <f t="shared" si="3"/>
        <v>none</v>
      </c>
      <c r="O385" s="109">
        <f>LEN(Tableau17[[#This Row],[LABEL]])</f>
        <v>27</v>
      </c>
      <c r="P385" s="109">
        <v>15</v>
      </c>
      <c r="Q385" s="109" t="e">
        <f>ROUND(Tableau17[[#This Row],[LEN]]*#REF!+#REF!,0)</f>
        <v>#REF!</v>
      </c>
    </row>
    <row r="386" spans="1:17" s="97" customFormat="1" x14ac:dyDescent="0.25">
      <c r="A386" s="29" t="s">
        <v>1207</v>
      </c>
      <c r="B386" s="30" t="s">
        <v>1197</v>
      </c>
      <c r="C386" s="31" t="s">
        <v>93</v>
      </c>
      <c r="D386" s="71" t="s">
        <v>1177</v>
      </c>
      <c r="E386" s="31" t="s">
        <v>1085</v>
      </c>
      <c r="F386" s="31" t="s">
        <v>1084</v>
      </c>
      <c r="G386" s="71" t="s">
        <v>166</v>
      </c>
      <c r="H386" s="71" t="s">
        <v>18</v>
      </c>
      <c r="I386" s="31"/>
      <c r="J386" s="32" t="s">
        <v>101</v>
      </c>
      <c r="K38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6" s="111">
        <f>ROUND(Tableau17[[#This Row],[LEN]]*7.27,0)</f>
        <v>109</v>
      </c>
      <c r="M386" s="111">
        <v>15</v>
      </c>
      <c r="N386" s="128" t="str">
        <f t="shared" si="3"/>
        <v>new</v>
      </c>
      <c r="O386" s="111">
        <f>LEN(Tableau17[[#This Row],[LABEL]])</f>
        <v>15</v>
      </c>
      <c r="P386" s="111">
        <v>15</v>
      </c>
      <c r="Q386" s="111" t="e">
        <f>ROUND(Tableau17[[#This Row],[LEN]]*#REF!+#REF!,0)</f>
        <v>#REF!</v>
      </c>
    </row>
    <row r="387" spans="1:17" s="97" customFormat="1" x14ac:dyDescent="0.25">
      <c r="A387" s="29" t="s">
        <v>1208</v>
      </c>
      <c r="B387" s="30" t="s">
        <v>1197</v>
      </c>
      <c r="C387" s="31" t="s">
        <v>94</v>
      </c>
      <c r="D387" s="71" t="s">
        <v>1177</v>
      </c>
      <c r="E387" s="31" t="s">
        <v>1085</v>
      </c>
      <c r="F387" s="31" t="s">
        <v>1084</v>
      </c>
      <c r="G387" s="71" t="s">
        <v>166</v>
      </c>
      <c r="H387" s="71" t="s">
        <v>18</v>
      </c>
      <c r="I387" s="31"/>
      <c r="J387" s="32" t="s">
        <v>102</v>
      </c>
      <c r="K38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7" s="111">
        <f>ROUND(Tableau17[[#This Row],[LEN]]*7.27,0)</f>
        <v>58</v>
      </c>
      <c r="M387" s="111">
        <v>15</v>
      </c>
      <c r="N387" s="128" t="str">
        <f t="shared" si="3"/>
        <v>new</v>
      </c>
      <c r="O387" s="111">
        <f>LEN(Tableau17[[#This Row],[LABEL]])</f>
        <v>8</v>
      </c>
      <c r="P387" s="111">
        <v>15</v>
      </c>
      <c r="Q387" s="111" t="e">
        <f>ROUND(Tableau17[[#This Row],[LEN]]*#REF!+#REF!,0)</f>
        <v>#REF!</v>
      </c>
    </row>
    <row r="388" spans="1:17" s="273" customFormat="1" x14ac:dyDescent="0.25">
      <c r="A388" s="288" t="s">
        <v>257</v>
      </c>
      <c r="B388" s="289" t="s">
        <v>206</v>
      </c>
      <c r="C388" s="290" t="s">
        <v>8</v>
      </c>
      <c r="D388" s="291" t="s">
        <v>1177</v>
      </c>
      <c r="E388" s="290" t="s">
        <v>671</v>
      </c>
      <c r="F388" s="290" t="s">
        <v>1177</v>
      </c>
      <c r="G388" s="291" t="s">
        <v>166</v>
      </c>
      <c r="H388" s="291" t="str">
        <f>IFERROR(IF(SEARCH(".00.00.00.00.00",Tableau17[[#This Row],[name]],1)=7,"Division",""),"")</f>
        <v>Division</v>
      </c>
      <c r="I388" s="290"/>
      <c r="J388" s="292" t="s">
        <v>708</v>
      </c>
      <c r="K388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88" s="293">
        <f>ROUND(Tableau17[[#This Row],[LEN]]*7.27,0)</f>
        <v>116</v>
      </c>
      <c r="M388" s="293">
        <v>15</v>
      </c>
      <c r="N388" s="294" t="str">
        <f t="shared" si="3"/>
        <v>none</v>
      </c>
      <c r="O388" s="293">
        <f>LEN(Tableau17[[#This Row],[LABEL]])</f>
        <v>16</v>
      </c>
      <c r="P388" s="293">
        <v>15</v>
      </c>
      <c r="Q388" s="293" t="e">
        <f>ROUND(Tableau17[[#This Row],[LEN]]*#REF!+#REF!,0)</f>
        <v>#REF!</v>
      </c>
    </row>
    <row r="389" spans="1:17" s="97" customFormat="1" x14ac:dyDescent="0.25">
      <c r="A389" s="25" t="s">
        <v>1220</v>
      </c>
      <c r="B389" s="26" t="s">
        <v>257</v>
      </c>
      <c r="C389" s="27" t="s">
        <v>1217</v>
      </c>
      <c r="D389" s="70" t="s">
        <v>1177</v>
      </c>
      <c r="E389" s="27" t="s">
        <v>671</v>
      </c>
      <c r="F389" s="27" t="s">
        <v>678</v>
      </c>
      <c r="G389" s="70" t="s">
        <v>166</v>
      </c>
      <c r="H389" s="70" t="s">
        <v>654</v>
      </c>
      <c r="I389" s="27"/>
      <c r="J389" s="28" t="s">
        <v>708</v>
      </c>
      <c r="K38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89" s="109">
        <f>ROUND(Tableau17[[#This Row],[LEN]]*7.27,0)</f>
        <v>160</v>
      </c>
      <c r="M389" s="109">
        <v>15</v>
      </c>
      <c r="N389" s="127" t="str">
        <f t="shared" si="3"/>
        <v>none</v>
      </c>
      <c r="O389" s="109">
        <f>LEN(Tableau17[[#This Row],[LABEL]])</f>
        <v>22</v>
      </c>
      <c r="P389" s="109">
        <v>15</v>
      </c>
      <c r="Q389" s="109" t="e">
        <f>ROUND(Tableau17[[#This Row],[LEN]]*#REF!+#REF!,0)</f>
        <v>#REF!</v>
      </c>
    </row>
    <row r="390" spans="1:17" s="97" customFormat="1" x14ac:dyDescent="0.25">
      <c r="A390" s="25" t="s">
        <v>1221</v>
      </c>
      <c r="B390" s="26" t="s">
        <v>257</v>
      </c>
      <c r="C390" s="27" t="s">
        <v>88</v>
      </c>
      <c r="D390" s="70" t="s">
        <v>1177</v>
      </c>
      <c r="E390" s="27" t="s">
        <v>667</v>
      </c>
      <c r="F390" s="27" t="s">
        <v>1218</v>
      </c>
      <c r="G390" s="70" t="s">
        <v>166</v>
      </c>
      <c r="H390" s="70" t="s">
        <v>570</v>
      </c>
      <c r="I390" s="27"/>
      <c r="J390" s="28" t="s">
        <v>708</v>
      </c>
      <c r="K39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0" s="109">
        <f>ROUND(Tableau17[[#This Row],[LEN]]*7.27,0)</f>
        <v>342</v>
      </c>
      <c r="M390" s="109">
        <v>15</v>
      </c>
      <c r="N390" s="127" t="str">
        <f t="shared" si="3"/>
        <v>none</v>
      </c>
      <c r="O390" s="109">
        <f>LEN(Tableau17[[#This Row],[LABEL]])</f>
        <v>47</v>
      </c>
      <c r="P390" s="109">
        <v>15</v>
      </c>
      <c r="Q390" s="109" t="e">
        <f>ROUND(Tableau17[[#This Row],[LEN]]*#REF!+#REF!,0)</f>
        <v>#REF!</v>
      </c>
    </row>
    <row r="391" spans="1:17" s="97" customFormat="1" x14ac:dyDescent="0.25">
      <c r="A391" s="25" t="s">
        <v>1222</v>
      </c>
      <c r="B391" s="26" t="s">
        <v>257</v>
      </c>
      <c r="C391" s="27" t="s">
        <v>1219</v>
      </c>
      <c r="D391" s="70" t="s">
        <v>1177</v>
      </c>
      <c r="E391" s="27" t="s">
        <v>671</v>
      </c>
      <c r="F391" s="27" t="s">
        <v>678</v>
      </c>
      <c r="G391" s="70" t="s">
        <v>166</v>
      </c>
      <c r="H391" s="70" t="s">
        <v>656</v>
      </c>
      <c r="I391" s="27"/>
      <c r="J391" s="28" t="s">
        <v>708</v>
      </c>
      <c r="K39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1" s="109">
        <f>ROUND(Tableau17[[#This Row],[LEN]]*7.27,0)</f>
        <v>240</v>
      </c>
      <c r="M391" s="109">
        <v>15</v>
      </c>
      <c r="N391" s="127" t="str">
        <f t="shared" si="3"/>
        <v>none</v>
      </c>
      <c r="O391" s="109">
        <f>LEN(Tableau17[[#This Row],[LABEL]])</f>
        <v>33</v>
      </c>
      <c r="P391" s="109">
        <v>15</v>
      </c>
      <c r="Q391" s="109" t="e">
        <f>ROUND(Tableau17[[#This Row],[LEN]]*#REF!+#REF!,0)</f>
        <v>#REF!</v>
      </c>
    </row>
    <row r="392" spans="1:17" s="97" customFormat="1" x14ac:dyDescent="0.25">
      <c r="A392" s="25" t="s">
        <v>1223</v>
      </c>
      <c r="B392" s="26" t="s">
        <v>257</v>
      </c>
      <c r="C392" s="27" t="s">
        <v>1167</v>
      </c>
      <c r="D392" s="70" t="s">
        <v>486</v>
      </c>
      <c r="E392" s="27" t="s">
        <v>1085</v>
      </c>
      <c r="F392" s="27" t="s">
        <v>1084</v>
      </c>
      <c r="G392" s="70" t="s">
        <v>1977</v>
      </c>
      <c r="H392" s="70" t="s">
        <v>1131</v>
      </c>
      <c r="I392" s="27"/>
      <c r="J392" s="28" t="s">
        <v>708</v>
      </c>
      <c r="K39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2" s="109">
        <f>ROUND(Tableau17[[#This Row],[LEN]]*7.27,0)</f>
        <v>196</v>
      </c>
      <c r="M392" s="109">
        <v>15</v>
      </c>
      <c r="N392" s="127" t="str">
        <f t="shared" si="3"/>
        <v>none</v>
      </c>
      <c r="O392" s="109">
        <f>LEN(Tableau17[[#This Row],[LABEL]])</f>
        <v>27</v>
      </c>
      <c r="P392" s="109">
        <v>15</v>
      </c>
      <c r="Q392" s="109" t="e">
        <f>ROUND(Tableau17[[#This Row],[LEN]]*#REF!+#REF!,0)</f>
        <v>#REF!</v>
      </c>
    </row>
    <row r="393" spans="1:17" s="97" customFormat="1" x14ac:dyDescent="0.25">
      <c r="A393" s="29" t="s">
        <v>1224</v>
      </c>
      <c r="B393" s="30" t="s">
        <v>1223</v>
      </c>
      <c r="C393" s="31" t="s">
        <v>93</v>
      </c>
      <c r="D393" s="71" t="s">
        <v>1177</v>
      </c>
      <c r="E393" s="31" t="s">
        <v>1085</v>
      </c>
      <c r="F393" s="31" t="s">
        <v>1084</v>
      </c>
      <c r="G393" s="71" t="s">
        <v>166</v>
      </c>
      <c r="H393" s="71" t="s">
        <v>18</v>
      </c>
      <c r="I393" s="31"/>
      <c r="J393" s="32" t="s">
        <v>101</v>
      </c>
      <c r="K39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3" s="111">
        <f>ROUND(Tableau17[[#This Row],[LEN]]*7.27,0)</f>
        <v>109</v>
      </c>
      <c r="M393" s="111">
        <v>15</v>
      </c>
      <c r="N393" s="128" t="str">
        <f t="shared" si="3"/>
        <v>new</v>
      </c>
      <c r="O393" s="111">
        <f>LEN(Tableau17[[#This Row],[LABEL]])</f>
        <v>15</v>
      </c>
      <c r="P393" s="111">
        <v>15</v>
      </c>
      <c r="Q393" s="111" t="e">
        <f>ROUND(Tableau17[[#This Row],[LEN]]*#REF!+#REF!,0)</f>
        <v>#REF!</v>
      </c>
    </row>
    <row r="394" spans="1:17" s="97" customFormat="1" x14ac:dyDescent="0.25">
      <c r="A394" s="29" t="s">
        <v>1225</v>
      </c>
      <c r="B394" s="30" t="s">
        <v>1223</v>
      </c>
      <c r="C394" s="31" t="s">
        <v>94</v>
      </c>
      <c r="D394" s="71" t="s">
        <v>1177</v>
      </c>
      <c r="E394" s="31" t="s">
        <v>1085</v>
      </c>
      <c r="F394" s="31" t="s">
        <v>1084</v>
      </c>
      <c r="G394" s="71" t="s">
        <v>166</v>
      </c>
      <c r="H394" s="71" t="s">
        <v>18</v>
      </c>
      <c r="I394" s="31"/>
      <c r="J394" s="32" t="s">
        <v>102</v>
      </c>
      <c r="K39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4" s="111">
        <f>ROUND(Tableau17[[#This Row],[LEN]]*7.27,0)</f>
        <v>58</v>
      </c>
      <c r="M394" s="111">
        <v>15</v>
      </c>
      <c r="N394" s="128" t="str">
        <f t="shared" si="3"/>
        <v>new</v>
      </c>
      <c r="O394" s="111">
        <f>LEN(Tableau17[[#This Row],[LABEL]])</f>
        <v>8</v>
      </c>
      <c r="P394" s="111">
        <v>15</v>
      </c>
      <c r="Q394" s="111" t="e">
        <f>ROUND(Tableau17[[#This Row],[LEN]]*#REF!+#REF!,0)</f>
        <v>#REF!</v>
      </c>
    </row>
    <row r="395" spans="1:17" s="273" customFormat="1" x14ac:dyDescent="0.25">
      <c r="A395" s="288" t="s">
        <v>258</v>
      </c>
      <c r="B395" s="289" t="s">
        <v>206</v>
      </c>
      <c r="C395" s="290" t="s">
        <v>9</v>
      </c>
      <c r="D395" s="291" t="s">
        <v>1177</v>
      </c>
      <c r="E395" s="290" t="s">
        <v>672</v>
      </c>
      <c r="F395" s="290" t="s">
        <v>1177</v>
      </c>
      <c r="G395" s="291" t="s">
        <v>166</v>
      </c>
      <c r="H395" s="291" t="str">
        <f>IFERROR(IF(SEARCH(".00.00.00.00.00",Tableau17[[#This Row],[name]],1)=7,"Division",""),"")</f>
        <v>Division</v>
      </c>
      <c r="I395" s="290"/>
      <c r="J395" s="292" t="s">
        <v>718</v>
      </c>
      <c r="K395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395" s="293">
        <f>ROUND(Tableau17[[#This Row],[LEN]]*7.27,0)</f>
        <v>80</v>
      </c>
      <c r="M395" s="293">
        <v>15</v>
      </c>
      <c r="N395" s="294" t="str">
        <f t="shared" si="3"/>
        <v>new</v>
      </c>
      <c r="O395" s="293">
        <f>LEN(Tableau17[[#This Row],[LABEL]])</f>
        <v>11</v>
      </c>
      <c r="P395" s="293">
        <v>15</v>
      </c>
      <c r="Q395" s="293" t="e">
        <f>ROUND(Tableau17[[#This Row],[LEN]]*#REF!+#REF!,0)</f>
        <v>#REF!</v>
      </c>
    </row>
    <row r="396" spans="1:17" s="97" customFormat="1" x14ac:dyDescent="0.25">
      <c r="A396" s="25" t="s">
        <v>476</v>
      </c>
      <c r="B396" s="26" t="s">
        <v>258</v>
      </c>
      <c r="C396" s="27" t="s">
        <v>483</v>
      </c>
      <c r="D396" s="70" t="s">
        <v>1177</v>
      </c>
      <c r="E396" s="27" t="s">
        <v>672</v>
      </c>
      <c r="F396" s="27" t="s">
        <v>678</v>
      </c>
      <c r="G396" s="70" t="s">
        <v>166</v>
      </c>
      <c r="H396" s="70" t="s">
        <v>655</v>
      </c>
      <c r="I396" s="27"/>
      <c r="J396" s="28" t="s">
        <v>708</v>
      </c>
      <c r="K39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6" s="109">
        <f>ROUND(Tableau17[[#This Row],[LEN]]*7.27,0)</f>
        <v>247</v>
      </c>
      <c r="M396" s="109">
        <v>15</v>
      </c>
      <c r="N396" s="127" t="str">
        <f t="shared" si="3"/>
        <v>none</v>
      </c>
      <c r="O396" s="109">
        <f>LEN(Tableau17[[#This Row],[LABEL]])</f>
        <v>34</v>
      </c>
      <c r="P396" s="109">
        <v>15</v>
      </c>
      <c r="Q396" s="109" t="e">
        <f>ROUND(Tableau17[[#This Row],[LEN]]*#REF!+#REF!,0)</f>
        <v>#REF!</v>
      </c>
    </row>
    <row r="397" spans="1:17" s="97" customFormat="1" x14ac:dyDescent="0.25">
      <c r="A397" s="29" t="s">
        <v>492</v>
      </c>
      <c r="B397" s="30" t="s">
        <v>476</v>
      </c>
      <c r="C397" s="31" t="s">
        <v>498</v>
      </c>
      <c r="D397" s="71" t="s">
        <v>1177</v>
      </c>
      <c r="E397" s="31" t="s">
        <v>672</v>
      </c>
      <c r="F397" s="31" t="s">
        <v>678</v>
      </c>
      <c r="G397" s="71" t="s">
        <v>166</v>
      </c>
      <c r="H397" s="71" t="s">
        <v>656</v>
      </c>
      <c r="I397" s="31"/>
      <c r="J397" s="32" t="s">
        <v>708</v>
      </c>
      <c r="K39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7" s="111">
        <f>ROUND(Tableau17[[#This Row],[LEN]]*7.27,0)</f>
        <v>349</v>
      </c>
      <c r="M397" s="111">
        <v>15</v>
      </c>
      <c r="N397" s="128" t="str">
        <f t="shared" si="3"/>
        <v>none</v>
      </c>
      <c r="O397" s="111">
        <f>LEN(Tableau17[[#This Row],[LABEL]])</f>
        <v>48</v>
      </c>
      <c r="P397" s="111">
        <v>15</v>
      </c>
      <c r="Q397" s="111" t="e">
        <f>ROUND(Tableau17[[#This Row],[LEN]]*#REF!+#REF!,0)</f>
        <v>#REF!</v>
      </c>
    </row>
    <row r="398" spans="1:17" s="97" customFormat="1" x14ac:dyDescent="0.25">
      <c r="A398" s="29" t="s">
        <v>493</v>
      </c>
      <c r="B398" s="30" t="s">
        <v>476</v>
      </c>
      <c r="C398" s="31" t="s">
        <v>499</v>
      </c>
      <c r="D398" s="71" t="s">
        <v>1177</v>
      </c>
      <c r="E398" s="31" t="s">
        <v>672</v>
      </c>
      <c r="F398" s="31" t="s">
        <v>678</v>
      </c>
      <c r="G398" s="71" t="s">
        <v>166</v>
      </c>
      <c r="H398" s="71" t="s">
        <v>570</v>
      </c>
      <c r="I398" s="31"/>
      <c r="J398" s="32" t="s">
        <v>708</v>
      </c>
      <c r="K39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8" s="111">
        <f>ROUND(Tableau17[[#This Row],[LEN]]*7.27,0)</f>
        <v>225</v>
      </c>
      <c r="M398" s="111">
        <v>15</v>
      </c>
      <c r="N398" s="128" t="str">
        <f t="shared" si="3"/>
        <v>none</v>
      </c>
      <c r="O398" s="111">
        <f>LEN(Tableau17[[#This Row],[LABEL]])</f>
        <v>31</v>
      </c>
      <c r="P398" s="111">
        <v>15</v>
      </c>
      <c r="Q398" s="111" t="e">
        <f>ROUND(Tableau17[[#This Row],[LEN]]*#REF!+#REF!,0)</f>
        <v>#REF!</v>
      </c>
    </row>
    <row r="399" spans="1:17" s="97" customFormat="1" x14ac:dyDescent="0.25">
      <c r="A399" s="29" t="s">
        <v>494</v>
      </c>
      <c r="B399" s="30" t="s">
        <v>476</v>
      </c>
      <c r="C399" s="31" t="s">
        <v>500</v>
      </c>
      <c r="D399" s="71" t="s">
        <v>1177</v>
      </c>
      <c r="E399" s="31" t="s">
        <v>672</v>
      </c>
      <c r="F399" s="31" t="s">
        <v>678</v>
      </c>
      <c r="G399" s="71" t="s">
        <v>166</v>
      </c>
      <c r="H399" s="71" t="s">
        <v>656</v>
      </c>
      <c r="I399" s="31"/>
      <c r="J399" s="32" t="s">
        <v>708</v>
      </c>
      <c r="K39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399" s="111">
        <f>ROUND(Tableau17[[#This Row],[LEN]]*7.27,0)</f>
        <v>254</v>
      </c>
      <c r="M399" s="111">
        <v>15</v>
      </c>
      <c r="N399" s="128" t="str">
        <f t="shared" si="3"/>
        <v>none</v>
      </c>
      <c r="O399" s="111">
        <f>LEN(Tableau17[[#This Row],[LABEL]])</f>
        <v>35</v>
      </c>
      <c r="P399" s="111">
        <v>15</v>
      </c>
      <c r="Q399" s="111" t="e">
        <f>ROUND(Tableau17[[#This Row],[LEN]]*#REF!+#REF!,0)</f>
        <v>#REF!</v>
      </c>
    </row>
    <row r="400" spans="1:17" s="97" customFormat="1" x14ac:dyDescent="0.25">
      <c r="A400" s="29" t="s">
        <v>495</v>
      </c>
      <c r="B400" s="30" t="s">
        <v>476</v>
      </c>
      <c r="C400" s="31" t="s">
        <v>501</v>
      </c>
      <c r="D400" s="71" t="s">
        <v>1177</v>
      </c>
      <c r="E400" s="31" t="s">
        <v>672</v>
      </c>
      <c r="F400" s="31" t="s">
        <v>678</v>
      </c>
      <c r="G400" s="71" t="s">
        <v>166</v>
      </c>
      <c r="H400" s="71" t="s">
        <v>656</v>
      </c>
      <c r="I400" s="31"/>
      <c r="J400" s="32" t="s">
        <v>708</v>
      </c>
      <c r="K40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0" s="111">
        <f>ROUND(Tableau17[[#This Row],[LEN]]*7.27,0)</f>
        <v>313</v>
      </c>
      <c r="M400" s="111">
        <v>15</v>
      </c>
      <c r="N400" s="128" t="str">
        <f t="shared" si="3"/>
        <v>none</v>
      </c>
      <c r="O400" s="111">
        <f>LEN(Tableau17[[#This Row],[LABEL]])</f>
        <v>43</v>
      </c>
      <c r="P400" s="111">
        <v>15</v>
      </c>
      <c r="Q400" s="111" t="e">
        <f>ROUND(Tableau17[[#This Row],[LEN]]*#REF!+#REF!,0)</f>
        <v>#REF!</v>
      </c>
    </row>
    <row r="401" spans="1:17" s="97" customFormat="1" x14ac:dyDescent="0.25">
      <c r="A401" s="29" t="s">
        <v>496</v>
      </c>
      <c r="B401" s="30" t="s">
        <v>476</v>
      </c>
      <c r="C401" s="31" t="s">
        <v>502</v>
      </c>
      <c r="D401" s="71" t="s">
        <v>1177</v>
      </c>
      <c r="E401" s="31" t="s">
        <v>672</v>
      </c>
      <c r="F401" s="31" t="s">
        <v>678</v>
      </c>
      <c r="G401" s="71" t="s">
        <v>166</v>
      </c>
      <c r="H401" s="71" t="s">
        <v>654</v>
      </c>
      <c r="I401" s="31"/>
      <c r="J401" s="32" t="s">
        <v>708</v>
      </c>
      <c r="K40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1" s="111">
        <f>ROUND(Tableau17[[#This Row],[LEN]]*7.27,0)</f>
        <v>247</v>
      </c>
      <c r="M401" s="111">
        <v>15</v>
      </c>
      <c r="N401" s="128" t="str">
        <f t="shared" si="3"/>
        <v>none</v>
      </c>
      <c r="O401" s="111">
        <f>LEN(Tableau17[[#This Row],[LABEL]])</f>
        <v>34</v>
      </c>
      <c r="P401" s="111">
        <v>15</v>
      </c>
      <c r="Q401" s="111" t="e">
        <f>ROUND(Tableau17[[#This Row],[LEN]]*#REF!+#REF!,0)</f>
        <v>#REF!</v>
      </c>
    </row>
    <row r="402" spans="1:17" s="97" customFormat="1" x14ac:dyDescent="0.25">
      <c r="A402" s="29" t="s">
        <v>497</v>
      </c>
      <c r="B402" s="30" t="s">
        <v>476</v>
      </c>
      <c r="C402" s="31" t="s">
        <v>503</v>
      </c>
      <c r="D402" s="71" t="s">
        <v>1177</v>
      </c>
      <c r="E402" s="31" t="s">
        <v>672</v>
      </c>
      <c r="F402" s="31" t="s">
        <v>678</v>
      </c>
      <c r="G402" s="71" t="s">
        <v>166</v>
      </c>
      <c r="H402" s="71" t="s">
        <v>656</v>
      </c>
      <c r="I402" s="31"/>
      <c r="J402" s="32" t="s">
        <v>708</v>
      </c>
      <c r="K40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2" s="111">
        <f>ROUND(Tableau17[[#This Row],[LEN]]*7.27,0)</f>
        <v>371</v>
      </c>
      <c r="M402" s="111">
        <v>15</v>
      </c>
      <c r="N402" s="128" t="str">
        <f t="shared" si="3"/>
        <v>none</v>
      </c>
      <c r="O402" s="111">
        <f>LEN(Tableau17[[#This Row],[LABEL]])</f>
        <v>51</v>
      </c>
      <c r="P402" s="111">
        <v>15</v>
      </c>
      <c r="Q402" s="111" t="e">
        <f>ROUND(Tableau17[[#This Row],[LEN]]*#REF!+#REF!,0)</f>
        <v>#REF!</v>
      </c>
    </row>
    <row r="403" spans="1:17" s="97" customFormat="1" x14ac:dyDescent="0.25">
      <c r="A403" s="25" t="s">
        <v>477</v>
      </c>
      <c r="B403" s="26" t="s">
        <v>258</v>
      </c>
      <c r="C403" s="27" t="s">
        <v>88</v>
      </c>
      <c r="D403" s="70" t="s">
        <v>1177</v>
      </c>
      <c r="E403" s="27" t="s">
        <v>667</v>
      </c>
      <c r="F403" s="27" t="s">
        <v>1218</v>
      </c>
      <c r="G403" s="70" t="s">
        <v>166</v>
      </c>
      <c r="H403" s="70" t="s">
        <v>570</v>
      </c>
      <c r="I403" s="27"/>
      <c r="J403" s="28" t="s">
        <v>708</v>
      </c>
      <c r="K40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3" s="109">
        <f>ROUND(Tableau17[[#This Row],[LEN]]*7.27,0)</f>
        <v>342</v>
      </c>
      <c r="M403" s="109">
        <v>15</v>
      </c>
      <c r="N403" s="127" t="str">
        <f t="shared" si="3"/>
        <v>none</v>
      </c>
      <c r="O403" s="109">
        <f>LEN(Tableau17[[#This Row],[LABEL]])</f>
        <v>47</v>
      </c>
      <c r="P403" s="109">
        <v>15</v>
      </c>
      <c r="Q403" s="109" t="e">
        <f>ROUND(Tableau17[[#This Row],[LEN]]*#REF!+#REF!,0)</f>
        <v>#REF!</v>
      </c>
    </row>
    <row r="404" spans="1:17" s="97" customFormat="1" x14ac:dyDescent="0.25">
      <c r="A404" s="25" t="s">
        <v>478</v>
      </c>
      <c r="B404" s="26" t="s">
        <v>258</v>
      </c>
      <c r="C404" s="27" t="s">
        <v>484</v>
      </c>
      <c r="D404" s="70" t="s">
        <v>1177</v>
      </c>
      <c r="E404" s="27" t="s">
        <v>672</v>
      </c>
      <c r="F404" s="27" t="s">
        <v>1285</v>
      </c>
      <c r="G404" s="70" t="s">
        <v>166</v>
      </c>
      <c r="H404" s="70" t="s">
        <v>655</v>
      </c>
      <c r="I404" s="27"/>
      <c r="J404" s="28" t="s">
        <v>727</v>
      </c>
      <c r="K40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4" s="109">
        <f>ROUND(Tableau17[[#This Row],[LEN]]*7.27,0)</f>
        <v>80</v>
      </c>
      <c r="M404" s="109">
        <v>15</v>
      </c>
      <c r="N404" s="127" t="str">
        <f t="shared" si="3"/>
        <v>new</v>
      </c>
      <c r="O404" s="109">
        <f>LEN(Tableau17[[#This Row],[LABEL]])</f>
        <v>11</v>
      </c>
      <c r="P404" s="109">
        <v>15</v>
      </c>
      <c r="Q404" s="109" t="e">
        <f>ROUND(Tableau17[[#This Row],[LEN]]*#REF!+#REF!,0)</f>
        <v>#REF!</v>
      </c>
    </row>
    <row r="405" spans="1:17" s="97" customFormat="1" x14ac:dyDescent="0.25">
      <c r="A405" s="29" t="s">
        <v>504</v>
      </c>
      <c r="B405" s="30" t="s">
        <v>478</v>
      </c>
      <c r="C405" s="31" t="s">
        <v>505</v>
      </c>
      <c r="D405" s="71" t="s">
        <v>1177</v>
      </c>
      <c r="E405" s="31" t="s">
        <v>672</v>
      </c>
      <c r="F405" s="31" t="s">
        <v>1285</v>
      </c>
      <c r="G405" s="71" t="s">
        <v>166</v>
      </c>
      <c r="H405" s="71" t="s">
        <v>18</v>
      </c>
      <c r="I405" s="31"/>
      <c r="J405" s="32" t="s">
        <v>705</v>
      </c>
      <c r="K40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5" s="111">
        <f>ROUND(Tableau17[[#This Row],[LEN]]*7.27,0)</f>
        <v>73</v>
      </c>
      <c r="M405" s="111">
        <v>15</v>
      </c>
      <c r="N405" s="128" t="str">
        <f t="shared" si="3"/>
        <v>new</v>
      </c>
      <c r="O405" s="111">
        <f>LEN(Tableau17[[#This Row],[LABEL]])</f>
        <v>10</v>
      </c>
      <c r="P405" s="111">
        <v>15</v>
      </c>
      <c r="Q405" s="111" t="e">
        <f>ROUND(Tableau17[[#This Row],[LEN]]*#REF!+#REF!,0)</f>
        <v>#REF!</v>
      </c>
    </row>
    <row r="406" spans="1:17" s="97" customFormat="1" x14ac:dyDescent="0.25">
      <c r="A406" s="29" t="s">
        <v>504</v>
      </c>
      <c r="B406" s="30" t="s">
        <v>478</v>
      </c>
      <c r="C406" s="31" t="s">
        <v>1284</v>
      </c>
      <c r="D406" s="71" t="s">
        <v>1177</v>
      </c>
      <c r="E406" s="31" t="s">
        <v>672</v>
      </c>
      <c r="F406" s="31" t="s">
        <v>1285</v>
      </c>
      <c r="G406" s="71" t="s">
        <v>166</v>
      </c>
      <c r="H406" s="71" t="s">
        <v>18</v>
      </c>
      <c r="I406" s="31"/>
      <c r="J406" s="32" t="s">
        <v>705</v>
      </c>
      <c r="K40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6" s="111">
        <f>ROUND(Tableau17[[#This Row],[LEN]]*7.27,0)</f>
        <v>153</v>
      </c>
      <c r="M406" s="111">
        <v>15</v>
      </c>
      <c r="N406" s="128" t="str">
        <f t="shared" si="3"/>
        <v>new</v>
      </c>
      <c r="O406" s="111">
        <f>LEN(Tableau17[[#This Row],[LABEL]])</f>
        <v>21</v>
      </c>
      <c r="P406" s="111">
        <v>15</v>
      </c>
      <c r="Q406" s="111" t="e">
        <f>ROUND(Tableau17[[#This Row],[LEN]]*#REF!+#REF!,0)</f>
        <v>#REF!</v>
      </c>
    </row>
    <row r="407" spans="1:17" s="97" customFormat="1" x14ac:dyDescent="0.25">
      <c r="A407" s="25" t="s">
        <v>479</v>
      </c>
      <c r="B407" s="26" t="s">
        <v>258</v>
      </c>
      <c r="C407" s="27" t="s">
        <v>485</v>
      </c>
      <c r="D407" s="70" t="s">
        <v>1177</v>
      </c>
      <c r="E407" s="27" t="s">
        <v>672</v>
      </c>
      <c r="F407" s="27" t="s">
        <v>1177</v>
      </c>
      <c r="G407" s="70" t="s">
        <v>166</v>
      </c>
      <c r="H407" s="70" t="s">
        <v>654</v>
      </c>
      <c r="I407" s="27"/>
      <c r="J407" s="28" t="s">
        <v>708</v>
      </c>
      <c r="K40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7" s="109">
        <f>ROUND(Tableau17[[#This Row],[LEN]]*7.27,0)</f>
        <v>87</v>
      </c>
      <c r="M407" s="109">
        <v>15</v>
      </c>
      <c r="N407" s="127" t="str">
        <f t="shared" si="3"/>
        <v>none</v>
      </c>
      <c r="O407" s="109">
        <f>LEN(Tableau17[[#This Row],[LABEL]])</f>
        <v>12</v>
      </c>
      <c r="P407" s="109">
        <v>15</v>
      </c>
      <c r="Q407" s="109" t="e">
        <f>ROUND(Tableau17[[#This Row],[LEN]]*#REF!+#REF!,0)</f>
        <v>#REF!</v>
      </c>
    </row>
    <row r="408" spans="1:17" s="97" customFormat="1" x14ac:dyDescent="0.25">
      <c r="A408" s="25" t="s">
        <v>480</v>
      </c>
      <c r="B408" s="26" t="s">
        <v>258</v>
      </c>
      <c r="C408" s="27" t="s">
        <v>778</v>
      </c>
      <c r="D408" s="70" t="s">
        <v>1177</v>
      </c>
      <c r="E408" s="27" t="s">
        <v>673</v>
      </c>
      <c r="F408" s="27" t="s">
        <v>2000</v>
      </c>
      <c r="G408" s="70" t="s">
        <v>166</v>
      </c>
      <c r="H408" s="70" t="s">
        <v>17</v>
      </c>
      <c r="I408" s="27"/>
      <c r="J408" s="28" t="s">
        <v>708</v>
      </c>
      <c r="K40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8" s="109">
        <f>ROUND(Tableau17[[#This Row],[LEN]]*7.27,0)</f>
        <v>211</v>
      </c>
      <c r="M408" s="109">
        <v>15</v>
      </c>
      <c r="N408" s="127" t="str">
        <f t="shared" si="3"/>
        <v>none</v>
      </c>
      <c r="O408" s="109">
        <f>LEN(Tableau17[[#This Row],[LABEL]])</f>
        <v>29</v>
      </c>
      <c r="P408" s="109">
        <v>15</v>
      </c>
      <c r="Q408" s="109" t="e">
        <f>ROUND(Tableau17[[#This Row],[LEN]]*#REF!+#REF!,0)</f>
        <v>#REF!</v>
      </c>
    </row>
    <row r="409" spans="1:17" s="97" customFormat="1" x14ac:dyDescent="0.25">
      <c r="A409" s="25" t="s">
        <v>481</v>
      </c>
      <c r="B409" s="26" t="s">
        <v>258</v>
      </c>
      <c r="C409" s="27" t="s">
        <v>92</v>
      </c>
      <c r="D409" s="70" t="s">
        <v>1177</v>
      </c>
      <c r="E409" s="27" t="s">
        <v>663</v>
      </c>
      <c r="F409" s="27" t="s">
        <v>2080</v>
      </c>
      <c r="G409" s="70" t="s">
        <v>166</v>
      </c>
      <c r="H409" s="70" t="s">
        <v>655</v>
      </c>
      <c r="I409" s="27"/>
      <c r="J409" s="28" t="s">
        <v>708</v>
      </c>
      <c r="K409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09" s="109">
        <f>ROUND(Tableau17[[#This Row],[LEN]]*7.27,0)</f>
        <v>262</v>
      </c>
      <c r="M409" s="109">
        <v>15</v>
      </c>
      <c r="N409" s="127" t="str">
        <f t="shared" si="3"/>
        <v>none</v>
      </c>
      <c r="O409" s="109">
        <f>LEN(Tableau17[[#This Row],[LABEL]])</f>
        <v>36</v>
      </c>
      <c r="P409" s="109">
        <v>15</v>
      </c>
      <c r="Q409" s="109" t="e">
        <f>ROUND(Tableau17[[#This Row],[LEN]]*#REF!+#REF!,0)</f>
        <v>#REF!</v>
      </c>
    </row>
    <row r="410" spans="1:17" s="97" customFormat="1" x14ac:dyDescent="0.25">
      <c r="A410" s="29" t="s">
        <v>506</v>
      </c>
      <c r="B410" s="30" t="s">
        <v>481</v>
      </c>
      <c r="C410" s="31" t="s">
        <v>95</v>
      </c>
      <c r="D410" s="71" t="s">
        <v>1177</v>
      </c>
      <c r="E410" s="31" t="s">
        <v>663</v>
      </c>
      <c r="F410" s="31" t="s">
        <v>2080</v>
      </c>
      <c r="G410" s="71" t="s">
        <v>166</v>
      </c>
      <c r="H410" s="71" t="s">
        <v>18</v>
      </c>
      <c r="I410" s="31"/>
      <c r="J410" s="32" t="s">
        <v>708</v>
      </c>
      <c r="K41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0" s="111">
        <f>ROUND(Tableau17[[#This Row],[LEN]]*7.27,0)</f>
        <v>254</v>
      </c>
      <c r="M410" s="111">
        <v>15</v>
      </c>
      <c r="N410" s="128" t="str">
        <f t="shared" si="3"/>
        <v>none</v>
      </c>
      <c r="O410" s="111">
        <f>LEN(Tableau17[[#This Row],[LABEL]])</f>
        <v>35</v>
      </c>
      <c r="P410" s="111">
        <v>15</v>
      </c>
      <c r="Q410" s="111" t="e">
        <f>ROUND(Tableau17[[#This Row],[LEN]]*#REF!+#REF!,0)</f>
        <v>#REF!</v>
      </c>
    </row>
    <row r="411" spans="1:17" s="97" customFormat="1" x14ac:dyDescent="0.25">
      <c r="A411" s="29" t="s">
        <v>507</v>
      </c>
      <c r="B411" s="30" t="s">
        <v>481</v>
      </c>
      <c r="C411" s="31" t="s">
        <v>96</v>
      </c>
      <c r="D411" s="71" t="s">
        <v>1177</v>
      </c>
      <c r="E411" s="31" t="s">
        <v>663</v>
      </c>
      <c r="F411" s="31" t="s">
        <v>2080</v>
      </c>
      <c r="G411" s="71" t="s">
        <v>166</v>
      </c>
      <c r="H411" s="71" t="s">
        <v>18</v>
      </c>
      <c r="I411" s="31"/>
      <c r="J411" s="32" t="s">
        <v>708</v>
      </c>
      <c r="K41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1" s="111">
        <f>ROUND(Tableau17[[#This Row],[LEN]]*7.27,0)</f>
        <v>233</v>
      </c>
      <c r="M411" s="111">
        <v>15</v>
      </c>
      <c r="N411" s="128" t="str">
        <f t="shared" si="3"/>
        <v>none</v>
      </c>
      <c r="O411" s="111">
        <f>LEN(Tableau17[[#This Row],[LABEL]])</f>
        <v>32</v>
      </c>
      <c r="P411" s="111">
        <v>15</v>
      </c>
      <c r="Q411" s="111" t="e">
        <f>ROUND(Tableau17[[#This Row],[LEN]]*#REF!+#REF!,0)</f>
        <v>#REF!</v>
      </c>
    </row>
    <row r="412" spans="1:17" s="97" customFormat="1" x14ac:dyDescent="0.25">
      <c r="A412" s="29" t="s">
        <v>508</v>
      </c>
      <c r="B412" s="30" t="s">
        <v>481</v>
      </c>
      <c r="C412" s="31" t="s">
        <v>97</v>
      </c>
      <c r="D412" s="71" t="s">
        <v>1177</v>
      </c>
      <c r="E412" s="31" t="s">
        <v>663</v>
      </c>
      <c r="F412" s="31" t="s">
        <v>2080</v>
      </c>
      <c r="G412" s="71" t="s">
        <v>166</v>
      </c>
      <c r="H412" s="71" t="s">
        <v>656</v>
      </c>
      <c r="I412" s="31"/>
      <c r="J412" s="32" t="s">
        <v>708</v>
      </c>
      <c r="K41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2" s="111">
        <f>ROUND(Tableau17[[#This Row],[LEN]]*7.27,0)</f>
        <v>145</v>
      </c>
      <c r="M412" s="111">
        <v>15</v>
      </c>
      <c r="N412" s="128" t="str">
        <f t="shared" si="3"/>
        <v>none</v>
      </c>
      <c r="O412" s="111">
        <f>LEN(Tableau17[[#This Row],[LABEL]])</f>
        <v>20</v>
      </c>
      <c r="P412" s="111">
        <v>15</v>
      </c>
      <c r="Q412" s="111" t="e">
        <f>ROUND(Tableau17[[#This Row],[LEN]]*#REF!+#REF!,0)</f>
        <v>#REF!</v>
      </c>
    </row>
    <row r="413" spans="1:17" s="97" customFormat="1" x14ac:dyDescent="0.25">
      <c r="A413" s="25" t="s">
        <v>482</v>
      </c>
      <c r="B413" s="26" t="s">
        <v>258</v>
      </c>
      <c r="C413" s="27" t="s">
        <v>1167</v>
      </c>
      <c r="D413" s="70" t="s">
        <v>486</v>
      </c>
      <c r="E413" s="27" t="s">
        <v>1085</v>
      </c>
      <c r="F413" s="27" t="s">
        <v>1084</v>
      </c>
      <c r="G413" s="70" t="s">
        <v>1977</v>
      </c>
      <c r="H413" s="70" t="s">
        <v>1131</v>
      </c>
      <c r="I413" s="27"/>
      <c r="J413" s="28" t="s">
        <v>708</v>
      </c>
      <c r="K41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3" s="109">
        <f>ROUND(Tableau17[[#This Row],[LEN]]*7.27,0)</f>
        <v>196</v>
      </c>
      <c r="M413" s="109">
        <v>15</v>
      </c>
      <c r="N413" s="127" t="str">
        <f t="shared" si="3"/>
        <v>none</v>
      </c>
      <c r="O413" s="109">
        <f>LEN(Tableau17[[#This Row],[LABEL]])</f>
        <v>27</v>
      </c>
      <c r="P413" s="109">
        <v>15</v>
      </c>
      <c r="Q413" s="109" t="e">
        <f>ROUND(Tableau17[[#This Row],[LEN]]*#REF!+#REF!,0)</f>
        <v>#REF!</v>
      </c>
    </row>
    <row r="414" spans="1:17" s="97" customFormat="1" x14ac:dyDescent="0.25">
      <c r="A414" s="29" t="s">
        <v>1209</v>
      </c>
      <c r="B414" s="30" t="s">
        <v>482</v>
      </c>
      <c r="C414" s="31" t="s">
        <v>93</v>
      </c>
      <c r="D414" s="71" t="s">
        <v>1177</v>
      </c>
      <c r="E414" s="31" t="s">
        <v>1085</v>
      </c>
      <c r="F414" s="31" t="s">
        <v>1084</v>
      </c>
      <c r="G414" s="71" t="s">
        <v>166</v>
      </c>
      <c r="H414" s="71" t="s">
        <v>18</v>
      </c>
      <c r="I414" s="31"/>
      <c r="J414" s="32" t="s">
        <v>101</v>
      </c>
      <c r="K41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4" s="111">
        <f>ROUND(Tableau17[[#This Row],[LEN]]*7.27,0)</f>
        <v>109</v>
      </c>
      <c r="M414" s="111">
        <v>15</v>
      </c>
      <c r="N414" s="128" t="str">
        <f t="shared" si="3"/>
        <v>new</v>
      </c>
      <c r="O414" s="111">
        <f>LEN(Tableau17[[#This Row],[LABEL]])</f>
        <v>15</v>
      </c>
      <c r="P414" s="111">
        <v>15</v>
      </c>
      <c r="Q414" s="111" t="e">
        <f>ROUND(Tableau17[[#This Row],[LEN]]*#REF!+#REF!,0)</f>
        <v>#REF!</v>
      </c>
    </row>
    <row r="415" spans="1:17" s="97" customFormat="1" x14ac:dyDescent="0.25">
      <c r="A415" s="29" t="s">
        <v>1210</v>
      </c>
      <c r="B415" s="30" t="s">
        <v>482</v>
      </c>
      <c r="C415" s="31" t="s">
        <v>94</v>
      </c>
      <c r="D415" s="71" t="s">
        <v>1177</v>
      </c>
      <c r="E415" s="31" t="s">
        <v>1085</v>
      </c>
      <c r="F415" s="31" t="s">
        <v>1084</v>
      </c>
      <c r="G415" s="71" t="s">
        <v>166</v>
      </c>
      <c r="H415" s="71" t="s">
        <v>18</v>
      </c>
      <c r="I415" s="31"/>
      <c r="J415" s="32" t="s">
        <v>102</v>
      </c>
      <c r="K41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5" s="111">
        <f>ROUND(Tableau17[[#This Row],[LEN]]*7.27,0)</f>
        <v>58</v>
      </c>
      <c r="M415" s="111">
        <v>15</v>
      </c>
      <c r="N415" s="128" t="str">
        <f t="shared" si="3"/>
        <v>new</v>
      </c>
      <c r="O415" s="111">
        <f>LEN(Tableau17[[#This Row],[LABEL]])</f>
        <v>8</v>
      </c>
      <c r="P415" s="111">
        <v>15</v>
      </c>
      <c r="Q415" s="111" t="e">
        <f>ROUND(Tableau17[[#This Row],[LEN]]*#REF!+#REF!,0)</f>
        <v>#REF!</v>
      </c>
    </row>
    <row r="416" spans="1:17" s="273" customFormat="1" x14ac:dyDescent="0.25">
      <c r="A416" s="288" t="s">
        <v>259</v>
      </c>
      <c r="B416" s="289" t="s">
        <v>206</v>
      </c>
      <c r="C416" s="290" t="s">
        <v>10</v>
      </c>
      <c r="D416" s="291" t="s">
        <v>1177</v>
      </c>
      <c r="E416" s="290" t="s">
        <v>673</v>
      </c>
      <c r="F416" s="290" t="s">
        <v>1177</v>
      </c>
      <c r="G416" s="291" t="s">
        <v>166</v>
      </c>
      <c r="H416" s="291" t="str">
        <f>IFERROR(IF(SEARCH(".00.00.00.00.00",Tableau17[[#This Row],[name]],1)=7,"Division",""),"")</f>
        <v>Division</v>
      </c>
      <c r="I416" s="290"/>
      <c r="J416" s="292" t="s">
        <v>719</v>
      </c>
      <c r="K416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16" s="293">
        <f>ROUND(Tableau17[[#This Row],[LEN]]*7.27,0)</f>
        <v>109</v>
      </c>
      <c r="M416" s="293">
        <v>15</v>
      </c>
      <c r="N416" s="294" t="str">
        <f t="shared" si="3"/>
        <v>new</v>
      </c>
      <c r="O416" s="293">
        <f>LEN(Tableau17[[#This Row],[LABEL]])</f>
        <v>15</v>
      </c>
      <c r="P416" s="293">
        <v>15</v>
      </c>
      <c r="Q416" s="293" t="e">
        <f>ROUND(Tableau17[[#This Row],[LEN]]*#REF!+#REF!,0)</f>
        <v>#REF!</v>
      </c>
    </row>
    <row r="417" spans="1:17" s="97" customFormat="1" x14ac:dyDescent="0.25">
      <c r="A417" s="25" t="s">
        <v>1226</v>
      </c>
      <c r="B417" s="26" t="s">
        <v>259</v>
      </c>
      <c r="C417" s="27" t="s">
        <v>1238</v>
      </c>
      <c r="D417" s="70" t="s">
        <v>1177</v>
      </c>
      <c r="E417" s="27" t="s">
        <v>673</v>
      </c>
      <c r="F417" s="27" t="s">
        <v>1177</v>
      </c>
      <c r="G417" s="70" t="s">
        <v>166</v>
      </c>
      <c r="H417" s="70" t="s">
        <v>655</v>
      </c>
      <c r="I417" s="27"/>
      <c r="J417" s="28" t="s">
        <v>708</v>
      </c>
      <c r="K41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7" s="109">
        <f>ROUND(Tableau17[[#This Row],[LEN]]*7.27,0)</f>
        <v>196</v>
      </c>
      <c r="M417" s="109">
        <v>15</v>
      </c>
      <c r="N417" s="127" t="str">
        <f t="shared" si="3"/>
        <v>none</v>
      </c>
      <c r="O417" s="109">
        <f>LEN(Tableau17[[#This Row],[LABEL]])</f>
        <v>27</v>
      </c>
      <c r="P417" s="109">
        <v>15</v>
      </c>
      <c r="Q417" s="109" t="e">
        <f>ROUND(Tableau17[[#This Row],[LEN]]*#REF!+#REF!,0)</f>
        <v>#REF!</v>
      </c>
    </row>
    <row r="418" spans="1:17" s="97" customFormat="1" x14ac:dyDescent="0.25">
      <c r="A418" s="29" t="s">
        <v>1251</v>
      </c>
      <c r="B418" s="30" t="s">
        <v>1226</v>
      </c>
      <c r="C418" s="31" t="s">
        <v>1255</v>
      </c>
      <c r="D418" s="71" t="s">
        <v>1177</v>
      </c>
      <c r="E418" s="31" t="s">
        <v>673</v>
      </c>
      <c r="F418" s="31" t="s">
        <v>1177</v>
      </c>
      <c r="G418" s="71" t="s">
        <v>166</v>
      </c>
      <c r="H418" s="71" t="s">
        <v>654</v>
      </c>
      <c r="I418" s="31"/>
      <c r="J418" s="32" t="s">
        <v>708</v>
      </c>
      <c r="K41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8" s="111">
        <f>ROUND(Tableau17[[#This Row],[LEN]]*7.27,0)</f>
        <v>356</v>
      </c>
      <c r="M418" s="111">
        <v>15</v>
      </c>
      <c r="N418" s="128" t="str">
        <f t="shared" si="3"/>
        <v>none</v>
      </c>
      <c r="O418" s="111">
        <f>LEN(Tableau17[[#This Row],[LABEL]])</f>
        <v>49</v>
      </c>
      <c r="P418" s="111">
        <v>15</v>
      </c>
      <c r="Q418" s="111" t="e">
        <f>ROUND(Tableau17[[#This Row],[LEN]]*#REF!+#REF!,0)</f>
        <v>#REF!</v>
      </c>
    </row>
    <row r="419" spans="1:17" s="97" customFormat="1" x14ac:dyDescent="0.25">
      <c r="A419" s="29" t="s">
        <v>1252</v>
      </c>
      <c r="B419" s="30" t="s">
        <v>1226</v>
      </c>
      <c r="C419" s="31" t="s">
        <v>1256</v>
      </c>
      <c r="D419" s="71" t="s">
        <v>1177</v>
      </c>
      <c r="E419" s="31" t="s">
        <v>673</v>
      </c>
      <c r="F419" s="31" t="s">
        <v>1177</v>
      </c>
      <c r="G419" s="71" t="s">
        <v>166</v>
      </c>
      <c r="H419" s="71" t="s">
        <v>656</v>
      </c>
      <c r="I419" s="31"/>
      <c r="J419" s="32" t="s">
        <v>708</v>
      </c>
      <c r="K41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19" s="111">
        <f>ROUND(Tableau17[[#This Row],[LEN]]*7.27,0)</f>
        <v>291</v>
      </c>
      <c r="M419" s="111">
        <v>15</v>
      </c>
      <c r="N419" s="128" t="str">
        <f t="shared" si="3"/>
        <v>none</v>
      </c>
      <c r="O419" s="111">
        <f>LEN(Tableau17[[#This Row],[LABEL]])</f>
        <v>40</v>
      </c>
      <c r="P419" s="111">
        <v>15</v>
      </c>
      <c r="Q419" s="111" t="e">
        <f>ROUND(Tableau17[[#This Row],[LEN]]*#REF!+#REF!,0)</f>
        <v>#REF!</v>
      </c>
    </row>
    <row r="420" spans="1:17" s="97" customFormat="1" x14ac:dyDescent="0.25">
      <c r="A420" s="29" t="s">
        <v>1253</v>
      </c>
      <c r="B420" s="30" t="s">
        <v>1226</v>
      </c>
      <c r="C420" s="31" t="s">
        <v>1257</v>
      </c>
      <c r="D420" s="71" t="s">
        <v>1177</v>
      </c>
      <c r="E420" s="31" t="s">
        <v>673</v>
      </c>
      <c r="F420" s="31" t="s">
        <v>1177</v>
      </c>
      <c r="G420" s="71" t="s">
        <v>166</v>
      </c>
      <c r="H420" s="71" t="s">
        <v>654</v>
      </c>
      <c r="I420" s="31"/>
      <c r="J420" s="32" t="s">
        <v>708</v>
      </c>
      <c r="K42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0" s="111">
        <f>ROUND(Tableau17[[#This Row],[LEN]]*7.27,0)</f>
        <v>211</v>
      </c>
      <c r="M420" s="111">
        <v>15</v>
      </c>
      <c r="N420" s="128" t="str">
        <f t="shared" si="3"/>
        <v>none</v>
      </c>
      <c r="O420" s="111">
        <f>LEN(Tableau17[[#This Row],[LABEL]])</f>
        <v>29</v>
      </c>
      <c r="P420" s="111">
        <v>15</v>
      </c>
      <c r="Q420" s="111" t="e">
        <f>ROUND(Tableau17[[#This Row],[LEN]]*#REF!+#REF!,0)</f>
        <v>#REF!</v>
      </c>
    </row>
    <row r="421" spans="1:17" s="97" customFormat="1" x14ac:dyDescent="0.25">
      <c r="A421" s="29" t="s">
        <v>1254</v>
      </c>
      <c r="B421" s="30" t="s">
        <v>1226</v>
      </c>
      <c r="C421" s="31" t="s">
        <v>1258</v>
      </c>
      <c r="D421" s="71" t="s">
        <v>1177</v>
      </c>
      <c r="E421" s="31" t="s">
        <v>673</v>
      </c>
      <c r="F421" s="31" t="s">
        <v>1177</v>
      </c>
      <c r="G421" s="71" t="s">
        <v>166</v>
      </c>
      <c r="H421" s="71" t="s">
        <v>18</v>
      </c>
      <c r="I421" s="31"/>
      <c r="J421" s="32" t="s">
        <v>102</v>
      </c>
      <c r="K42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1" s="111">
        <f>ROUND(Tableau17[[#This Row],[LEN]]*7.27,0)</f>
        <v>327</v>
      </c>
      <c r="M421" s="111">
        <v>15</v>
      </c>
      <c r="N421" s="128" t="str">
        <f t="shared" si="3"/>
        <v>new</v>
      </c>
      <c r="O421" s="111">
        <f>LEN(Tableau17[[#This Row],[LABEL]])</f>
        <v>45</v>
      </c>
      <c r="P421" s="111">
        <v>15</v>
      </c>
      <c r="Q421" s="111" t="e">
        <f>ROUND(Tableau17[[#This Row],[LEN]]*#REF!+#REF!,0)</f>
        <v>#REF!</v>
      </c>
    </row>
    <row r="422" spans="1:17" s="97" customFormat="1" x14ac:dyDescent="0.25">
      <c r="A422" s="25" t="s">
        <v>1227</v>
      </c>
      <c r="B422" s="26" t="s">
        <v>259</v>
      </c>
      <c r="C422" s="27" t="s">
        <v>1239</v>
      </c>
      <c r="D422" s="70" t="s">
        <v>1177</v>
      </c>
      <c r="E422" s="27" t="s">
        <v>673</v>
      </c>
      <c r="F422" s="27" t="s">
        <v>1177</v>
      </c>
      <c r="G422" s="70" t="s">
        <v>166</v>
      </c>
      <c r="H422" s="70" t="s">
        <v>570</v>
      </c>
      <c r="I422" s="27"/>
      <c r="J422" s="28" t="s">
        <v>1240</v>
      </c>
      <c r="K422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2" s="109">
        <f>ROUND(Tableau17[[#This Row],[LEN]]*7.27,0)</f>
        <v>276</v>
      </c>
      <c r="M422" s="109">
        <v>15</v>
      </c>
      <c r="N422" s="127" t="str">
        <f t="shared" si="3"/>
        <v>new</v>
      </c>
      <c r="O422" s="109">
        <f>LEN(Tableau17[[#This Row],[LABEL]])</f>
        <v>38</v>
      </c>
      <c r="P422" s="109">
        <v>15</v>
      </c>
      <c r="Q422" s="109" t="e">
        <f>ROUND(Tableau17[[#This Row],[LEN]]*#REF!+#REF!,0)</f>
        <v>#REF!</v>
      </c>
    </row>
    <row r="423" spans="1:17" s="97" customFormat="1" x14ac:dyDescent="0.25">
      <c r="A423" s="25" t="s">
        <v>1228</v>
      </c>
      <c r="B423" s="26" t="s">
        <v>259</v>
      </c>
      <c r="C423" s="27" t="s">
        <v>88</v>
      </c>
      <c r="D423" s="70" t="s">
        <v>1177</v>
      </c>
      <c r="E423" s="27" t="s">
        <v>667</v>
      </c>
      <c r="F423" s="27" t="s">
        <v>1218</v>
      </c>
      <c r="G423" s="70" t="s">
        <v>166</v>
      </c>
      <c r="H423" s="70" t="s">
        <v>570</v>
      </c>
      <c r="I423" s="27"/>
      <c r="J423" s="28" t="s">
        <v>708</v>
      </c>
      <c r="K42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3" s="109">
        <f>ROUND(Tableau17[[#This Row],[LEN]]*7.27,0)</f>
        <v>342</v>
      </c>
      <c r="M423" s="109">
        <v>15</v>
      </c>
      <c r="N423" s="127" t="str">
        <f t="shared" si="3"/>
        <v>none</v>
      </c>
      <c r="O423" s="109">
        <f>LEN(Tableau17[[#This Row],[LABEL]])</f>
        <v>47</v>
      </c>
      <c r="P423" s="109">
        <v>15</v>
      </c>
      <c r="Q423" s="109" t="e">
        <f>ROUND(Tableau17[[#This Row],[LEN]]*#REF!+#REF!,0)</f>
        <v>#REF!</v>
      </c>
    </row>
    <row r="424" spans="1:17" s="97" customFormat="1" x14ac:dyDescent="0.25">
      <c r="A424" s="25" t="s">
        <v>1229</v>
      </c>
      <c r="B424" s="26" t="s">
        <v>259</v>
      </c>
      <c r="C424" s="27" t="s">
        <v>1241</v>
      </c>
      <c r="D424" s="70" t="s">
        <v>1177</v>
      </c>
      <c r="E424" s="27" t="s">
        <v>1242</v>
      </c>
      <c r="F424" s="27" t="s">
        <v>1248</v>
      </c>
      <c r="G424" s="70" t="s">
        <v>166</v>
      </c>
      <c r="H424" s="70" t="s">
        <v>656</v>
      </c>
      <c r="I424" s="27"/>
      <c r="J424" s="28" t="s">
        <v>708</v>
      </c>
      <c r="K42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4" s="109">
        <f>ROUND(Tableau17[[#This Row],[LEN]]*7.27,0)</f>
        <v>131</v>
      </c>
      <c r="M424" s="109">
        <v>15</v>
      </c>
      <c r="N424" s="127" t="str">
        <f t="shared" si="3"/>
        <v>none</v>
      </c>
      <c r="O424" s="109">
        <f>LEN(Tableau17[[#This Row],[LABEL]])</f>
        <v>18</v>
      </c>
      <c r="P424" s="109">
        <v>15</v>
      </c>
      <c r="Q424" s="109" t="e">
        <f>ROUND(Tableau17[[#This Row],[LEN]]*#REF!+#REF!,0)</f>
        <v>#REF!</v>
      </c>
    </row>
    <row r="425" spans="1:17" s="97" customFormat="1" x14ac:dyDescent="0.25">
      <c r="A425" s="25" t="s">
        <v>1230</v>
      </c>
      <c r="B425" s="26" t="s">
        <v>259</v>
      </c>
      <c r="C425" s="27" t="s">
        <v>1243</v>
      </c>
      <c r="D425" s="70" t="s">
        <v>1177</v>
      </c>
      <c r="E425" s="27" t="s">
        <v>673</v>
      </c>
      <c r="F425" s="27" t="s">
        <v>1177</v>
      </c>
      <c r="G425" s="70" t="s">
        <v>166</v>
      </c>
      <c r="H425" s="70" t="s">
        <v>655</v>
      </c>
      <c r="I425" s="27"/>
      <c r="J425" s="28" t="s">
        <v>708</v>
      </c>
      <c r="K42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5" s="109">
        <f>ROUND(Tableau17[[#This Row],[LEN]]*7.27,0)</f>
        <v>218</v>
      </c>
      <c r="M425" s="109">
        <v>15</v>
      </c>
      <c r="N425" s="127" t="str">
        <f t="shared" si="3"/>
        <v>none</v>
      </c>
      <c r="O425" s="109">
        <f>LEN(Tableau17[[#This Row],[LABEL]])</f>
        <v>30</v>
      </c>
      <c r="P425" s="109">
        <v>15</v>
      </c>
      <c r="Q425" s="109" t="e">
        <f>ROUND(Tableau17[[#This Row],[LEN]]*#REF!+#REF!,0)</f>
        <v>#REF!</v>
      </c>
    </row>
    <row r="426" spans="1:17" s="97" customFormat="1" x14ac:dyDescent="0.25">
      <c r="A426" s="29" t="s">
        <v>1259</v>
      </c>
      <c r="B426" s="30" t="s">
        <v>1230</v>
      </c>
      <c r="C426" s="31" t="s">
        <v>1263</v>
      </c>
      <c r="D426" s="71" t="s">
        <v>1177</v>
      </c>
      <c r="E426" s="31" t="s">
        <v>673</v>
      </c>
      <c r="F426" s="31" t="s">
        <v>1177</v>
      </c>
      <c r="G426" s="71" t="s">
        <v>166</v>
      </c>
      <c r="H426" s="71" t="s">
        <v>656</v>
      </c>
      <c r="I426" s="31"/>
      <c r="J426" s="32" t="s">
        <v>719</v>
      </c>
      <c r="K42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6" s="111">
        <f>ROUND(Tableau17[[#This Row],[LEN]]*7.27,0)</f>
        <v>327</v>
      </c>
      <c r="M426" s="111">
        <v>15</v>
      </c>
      <c r="N426" s="128" t="str">
        <f t="shared" si="3"/>
        <v>new</v>
      </c>
      <c r="O426" s="111">
        <f>LEN(Tableau17[[#This Row],[LABEL]])</f>
        <v>45</v>
      </c>
      <c r="P426" s="111">
        <v>15</v>
      </c>
      <c r="Q426" s="111" t="e">
        <f>ROUND(Tableau17[[#This Row],[LEN]]*#REF!+#REF!,0)</f>
        <v>#REF!</v>
      </c>
    </row>
    <row r="427" spans="1:17" s="97" customFormat="1" x14ac:dyDescent="0.25">
      <c r="A427" s="29" t="s">
        <v>1260</v>
      </c>
      <c r="B427" s="30" t="s">
        <v>1230</v>
      </c>
      <c r="C427" s="31" t="s">
        <v>1264</v>
      </c>
      <c r="D427" s="71" t="s">
        <v>1177</v>
      </c>
      <c r="E427" s="31" t="s">
        <v>673</v>
      </c>
      <c r="F427" s="31" t="s">
        <v>1177</v>
      </c>
      <c r="G427" s="71" t="s">
        <v>166</v>
      </c>
      <c r="H427" s="71" t="s">
        <v>18</v>
      </c>
      <c r="I427" s="31"/>
      <c r="J427" s="32" t="s">
        <v>708</v>
      </c>
      <c r="K42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7" s="111">
        <f>ROUND(Tableau17[[#This Row],[LEN]]*7.27,0)</f>
        <v>262</v>
      </c>
      <c r="M427" s="111">
        <v>15</v>
      </c>
      <c r="N427" s="128" t="str">
        <f t="shared" si="3"/>
        <v>none</v>
      </c>
      <c r="O427" s="111">
        <f>LEN(Tableau17[[#This Row],[LABEL]])</f>
        <v>36</v>
      </c>
      <c r="P427" s="111">
        <v>15</v>
      </c>
      <c r="Q427" s="111" t="e">
        <f>ROUND(Tableau17[[#This Row],[LEN]]*#REF!+#REF!,0)</f>
        <v>#REF!</v>
      </c>
    </row>
    <row r="428" spans="1:17" s="97" customFormat="1" x14ac:dyDescent="0.25">
      <c r="A428" s="29" t="s">
        <v>1261</v>
      </c>
      <c r="B428" s="30" t="s">
        <v>1230</v>
      </c>
      <c r="C428" s="31" t="s">
        <v>1265</v>
      </c>
      <c r="D428" s="71" t="s">
        <v>1177</v>
      </c>
      <c r="E428" s="31" t="s">
        <v>673</v>
      </c>
      <c r="F428" s="31" t="s">
        <v>1177</v>
      </c>
      <c r="G428" s="71" t="s">
        <v>166</v>
      </c>
      <c r="H428" s="71" t="s">
        <v>18</v>
      </c>
      <c r="I428" s="31"/>
      <c r="J428" s="32" t="s">
        <v>708</v>
      </c>
      <c r="K42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8" s="111">
        <f>ROUND(Tableau17[[#This Row],[LEN]]*7.27,0)</f>
        <v>218</v>
      </c>
      <c r="M428" s="111">
        <v>15</v>
      </c>
      <c r="N428" s="128" t="str">
        <f t="shared" si="3"/>
        <v>none</v>
      </c>
      <c r="O428" s="111">
        <f>LEN(Tableau17[[#This Row],[LABEL]])</f>
        <v>30</v>
      </c>
      <c r="P428" s="111">
        <v>15</v>
      </c>
      <c r="Q428" s="111" t="e">
        <f>ROUND(Tableau17[[#This Row],[LEN]]*#REF!+#REF!,0)</f>
        <v>#REF!</v>
      </c>
    </row>
    <row r="429" spans="1:17" s="97" customFormat="1" x14ac:dyDescent="0.25">
      <c r="A429" s="29" t="s">
        <v>1262</v>
      </c>
      <c r="B429" s="30" t="s">
        <v>1230</v>
      </c>
      <c r="C429" s="31" t="s">
        <v>1266</v>
      </c>
      <c r="D429" s="71" t="s">
        <v>1177</v>
      </c>
      <c r="E429" s="31" t="s">
        <v>673</v>
      </c>
      <c r="F429" s="31" t="s">
        <v>1177</v>
      </c>
      <c r="G429" s="71" t="s">
        <v>166</v>
      </c>
      <c r="H429" s="71" t="s">
        <v>654</v>
      </c>
      <c r="I429" s="31"/>
      <c r="J429" s="32" t="s">
        <v>708</v>
      </c>
      <c r="K42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29" s="111">
        <f>ROUND(Tableau17[[#This Row],[LEN]]*7.27,0)</f>
        <v>291</v>
      </c>
      <c r="M429" s="111">
        <v>15</v>
      </c>
      <c r="N429" s="128" t="str">
        <f t="shared" si="3"/>
        <v>none</v>
      </c>
      <c r="O429" s="111">
        <f>LEN(Tableau17[[#This Row],[LABEL]])</f>
        <v>40</v>
      </c>
      <c r="P429" s="111">
        <v>15</v>
      </c>
      <c r="Q429" s="111" t="e">
        <f>ROUND(Tableau17[[#This Row],[LEN]]*#REF!+#REF!,0)</f>
        <v>#REF!</v>
      </c>
    </row>
    <row r="430" spans="1:17" s="97" customFormat="1" x14ac:dyDescent="0.25">
      <c r="A430" s="25" t="s">
        <v>1231</v>
      </c>
      <c r="B430" s="26" t="s">
        <v>259</v>
      </c>
      <c r="C430" s="27" t="s">
        <v>1267</v>
      </c>
      <c r="D430" s="70" t="s">
        <v>1177</v>
      </c>
      <c r="E430" s="27" t="s">
        <v>673</v>
      </c>
      <c r="F430" s="27" t="s">
        <v>1249</v>
      </c>
      <c r="G430" s="70" t="s">
        <v>166</v>
      </c>
      <c r="H430" s="70" t="s">
        <v>655</v>
      </c>
      <c r="I430" s="27"/>
      <c r="J430" s="28" t="s">
        <v>708</v>
      </c>
      <c r="K43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0" s="109">
        <f>ROUND(Tableau17[[#This Row],[LEN]]*7.27,0)</f>
        <v>305</v>
      </c>
      <c r="M430" s="109">
        <v>15</v>
      </c>
      <c r="N430" s="127" t="str">
        <f t="shared" si="3"/>
        <v>none</v>
      </c>
      <c r="O430" s="109">
        <f>LEN(Tableau17[[#This Row],[LABEL]])</f>
        <v>42</v>
      </c>
      <c r="P430" s="109">
        <v>15</v>
      </c>
      <c r="Q430" s="109" t="e">
        <f>ROUND(Tableau17[[#This Row],[LEN]]*#REF!+#REF!,0)</f>
        <v>#REF!</v>
      </c>
    </row>
    <row r="431" spans="1:17" s="97" customFormat="1" x14ac:dyDescent="0.25">
      <c r="A431" s="29" t="s">
        <v>1268</v>
      </c>
      <c r="B431" s="30" t="s">
        <v>1231</v>
      </c>
      <c r="C431" s="31" t="s">
        <v>1271</v>
      </c>
      <c r="D431" s="71" t="s">
        <v>1177</v>
      </c>
      <c r="E431" s="31" t="s">
        <v>673</v>
      </c>
      <c r="F431" s="31" t="s">
        <v>1249</v>
      </c>
      <c r="G431" s="71" t="s">
        <v>166</v>
      </c>
      <c r="H431" s="71" t="s">
        <v>570</v>
      </c>
      <c r="I431" s="31"/>
      <c r="J431" s="32" t="s">
        <v>708</v>
      </c>
      <c r="K43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1" s="111">
        <f>ROUND(Tableau17[[#This Row],[LEN]]*7.27,0)</f>
        <v>145</v>
      </c>
      <c r="M431" s="111">
        <v>15</v>
      </c>
      <c r="N431" s="128" t="str">
        <f t="shared" si="3"/>
        <v>none</v>
      </c>
      <c r="O431" s="111">
        <f>LEN(Tableau17[[#This Row],[LABEL]])</f>
        <v>20</v>
      </c>
      <c r="P431" s="111">
        <v>15</v>
      </c>
      <c r="Q431" s="111" t="e">
        <f>ROUND(Tableau17[[#This Row],[LEN]]*#REF!+#REF!,0)</f>
        <v>#REF!</v>
      </c>
    </row>
    <row r="432" spans="1:17" s="97" customFormat="1" x14ac:dyDescent="0.25">
      <c r="A432" s="29" t="s">
        <v>1269</v>
      </c>
      <c r="B432" s="30" t="s">
        <v>1231</v>
      </c>
      <c r="C432" s="31" t="s">
        <v>1272</v>
      </c>
      <c r="D432" s="71" t="s">
        <v>1177</v>
      </c>
      <c r="E432" s="31" t="s">
        <v>673</v>
      </c>
      <c r="F432" s="31" t="s">
        <v>1249</v>
      </c>
      <c r="G432" s="71" t="s">
        <v>166</v>
      </c>
      <c r="H432" s="71" t="s">
        <v>570</v>
      </c>
      <c r="I432" s="31"/>
      <c r="J432" s="32" t="s">
        <v>708</v>
      </c>
      <c r="K43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2" s="111">
        <f>ROUND(Tableau17[[#This Row],[LEN]]*7.27,0)</f>
        <v>305</v>
      </c>
      <c r="M432" s="111">
        <v>15</v>
      </c>
      <c r="N432" s="128" t="str">
        <f t="shared" si="3"/>
        <v>none</v>
      </c>
      <c r="O432" s="111">
        <f>LEN(Tableau17[[#This Row],[LABEL]])</f>
        <v>42</v>
      </c>
      <c r="P432" s="111">
        <v>15</v>
      </c>
      <c r="Q432" s="111" t="e">
        <f>ROUND(Tableau17[[#This Row],[LEN]]*#REF!+#REF!,0)</f>
        <v>#REF!</v>
      </c>
    </row>
    <row r="433" spans="1:17" s="97" customFormat="1" x14ac:dyDescent="0.25">
      <c r="A433" s="29" t="s">
        <v>1270</v>
      </c>
      <c r="B433" s="30" t="s">
        <v>1231</v>
      </c>
      <c r="C433" s="31" t="s">
        <v>1273</v>
      </c>
      <c r="D433" s="71" t="s">
        <v>1177</v>
      </c>
      <c r="E433" s="31" t="s">
        <v>673</v>
      </c>
      <c r="F433" s="31" t="s">
        <v>1249</v>
      </c>
      <c r="G433" s="71" t="s">
        <v>166</v>
      </c>
      <c r="H433" s="71" t="s">
        <v>570</v>
      </c>
      <c r="I433" s="31"/>
      <c r="J433" s="32" t="s">
        <v>708</v>
      </c>
      <c r="K43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3" s="111">
        <f>ROUND(Tableau17[[#This Row],[LEN]]*7.27,0)</f>
        <v>87</v>
      </c>
      <c r="M433" s="111">
        <v>15</v>
      </c>
      <c r="N433" s="128" t="str">
        <f t="shared" si="3"/>
        <v>none</v>
      </c>
      <c r="O433" s="111">
        <f>LEN(Tableau17[[#This Row],[LABEL]])</f>
        <v>12</v>
      </c>
      <c r="P433" s="111">
        <v>15</v>
      </c>
      <c r="Q433" s="111" t="e">
        <f>ROUND(Tableau17[[#This Row],[LEN]]*#REF!+#REF!,0)</f>
        <v>#REF!</v>
      </c>
    </row>
    <row r="434" spans="1:17" s="97" customFormat="1" x14ac:dyDescent="0.25">
      <c r="A434" s="25" t="s">
        <v>1232</v>
      </c>
      <c r="B434" s="26" t="s">
        <v>259</v>
      </c>
      <c r="C434" s="27" t="s">
        <v>1244</v>
      </c>
      <c r="D434" s="70" t="s">
        <v>1177</v>
      </c>
      <c r="E434" s="27" t="s">
        <v>673</v>
      </c>
      <c r="F434" s="27" t="s">
        <v>1177</v>
      </c>
      <c r="G434" s="70" t="s">
        <v>166</v>
      </c>
      <c r="H434" s="70" t="s">
        <v>18</v>
      </c>
      <c r="I434" s="27"/>
      <c r="J434" s="28" t="s">
        <v>708</v>
      </c>
      <c r="K43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4" s="109">
        <f>ROUND(Tableau17[[#This Row],[LEN]]*7.27,0)</f>
        <v>247</v>
      </c>
      <c r="M434" s="109">
        <v>15</v>
      </c>
      <c r="N434" s="127" t="str">
        <f t="shared" si="3"/>
        <v>none</v>
      </c>
      <c r="O434" s="109">
        <f>LEN(Tableau17[[#This Row],[LABEL]])</f>
        <v>34</v>
      </c>
      <c r="P434" s="109">
        <v>15</v>
      </c>
      <c r="Q434" s="109" t="e">
        <f>ROUND(Tableau17[[#This Row],[LEN]]*#REF!+#REF!,0)</f>
        <v>#REF!</v>
      </c>
    </row>
    <row r="435" spans="1:17" s="97" customFormat="1" x14ac:dyDescent="0.25">
      <c r="A435" s="25" t="s">
        <v>1233</v>
      </c>
      <c r="B435" s="26" t="s">
        <v>259</v>
      </c>
      <c r="C435" s="27" t="s">
        <v>1245</v>
      </c>
      <c r="D435" s="70" t="s">
        <v>1177</v>
      </c>
      <c r="E435" s="27" t="s">
        <v>673</v>
      </c>
      <c r="F435" s="27" t="s">
        <v>1177</v>
      </c>
      <c r="G435" s="70" t="s">
        <v>166</v>
      </c>
      <c r="H435" s="70" t="s">
        <v>570</v>
      </c>
      <c r="I435" s="27"/>
      <c r="J435" s="28" t="s">
        <v>708</v>
      </c>
      <c r="K43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5" s="109">
        <f>ROUND(Tableau17[[#This Row],[LEN]]*7.27,0)</f>
        <v>364</v>
      </c>
      <c r="M435" s="109">
        <v>15</v>
      </c>
      <c r="N435" s="127" t="str">
        <f t="shared" si="3"/>
        <v>none</v>
      </c>
      <c r="O435" s="109">
        <f>LEN(Tableau17[[#This Row],[LABEL]])</f>
        <v>50</v>
      </c>
      <c r="P435" s="109">
        <v>15</v>
      </c>
      <c r="Q435" s="109" t="e">
        <f>ROUND(Tableau17[[#This Row],[LEN]]*#REF!+#REF!,0)</f>
        <v>#REF!</v>
      </c>
    </row>
    <row r="436" spans="1:17" s="97" customFormat="1" x14ac:dyDescent="0.25">
      <c r="A436" s="25" t="s">
        <v>1234</v>
      </c>
      <c r="B436" s="26" t="s">
        <v>259</v>
      </c>
      <c r="C436" s="27" t="s">
        <v>778</v>
      </c>
      <c r="D436" s="70" t="s">
        <v>1177</v>
      </c>
      <c r="E436" s="27" t="s">
        <v>673</v>
      </c>
      <c r="F436" s="27" t="s">
        <v>2000</v>
      </c>
      <c r="G436" s="70" t="s">
        <v>166</v>
      </c>
      <c r="H436" s="70" t="s">
        <v>17</v>
      </c>
      <c r="I436" s="27"/>
      <c r="J436" s="28" t="s">
        <v>708</v>
      </c>
      <c r="K43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6" s="109">
        <f>ROUND(Tableau17[[#This Row],[LEN]]*7.27,0)</f>
        <v>211</v>
      </c>
      <c r="M436" s="109">
        <v>15</v>
      </c>
      <c r="N436" s="127" t="str">
        <f t="shared" si="3"/>
        <v>none</v>
      </c>
      <c r="O436" s="109">
        <f>LEN(Tableau17[[#This Row],[LABEL]])</f>
        <v>29</v>
      </c>
      <c r="P436" s="109">
        <v>15</v>
      </c>
      <c r="Q436" s="109" t="e">
        <f>ROUND(Tableau17[[#This Row],[LEN]]*#REF!+#REF!,0)</f>
        <v>#REF!</v>
      </c>
    </row>
    <row r="437" spans="1:17" s="97" customFormat="1" x14ac:dyDescent="0.25">
      <c r="A437" s="25" t="s">
        <v>1235</v>
      </c>
      <c r="B437" s="26" t="s">
        <v>259</v>
      </c>
      <c r="C437" s="27" t="s">
        <v>1246</v>
      </c>
      <c r="D437" s="70" t="s">
        <v>1177</v>
      </c>
      <c r="E437" s="27" t="s">
        <v>673</v>
      </c>
      <c r="F437" s="27" t="s">
        <v>667</v>
      </c>
      <c r="G437" s="70" t="s">
        <v>166</v>
      </c>
      <c r="H437" s="70" t="s">
        <v>655</v>
      </c>
      <c r="I437" s="27"/>
      <c r="J437" s="28" t="s">
        <v>708</v>
      </c>
      <c r="K43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7" s="109">
        <f>ROUND(Tableau17[[#This Row],[LEN]]*7.27,0)</f>
        <v>153</v>
      </c>
      <c r="M437" s="109">
        <v>15</v>
      </c>
      <c r="N437" s="127" t="str">
        <f t="shared" si="3"/>
        <v>none</v>
      </c>
      <c r="O437" s="109">
        <f>LEN(Tableau17[[#This Row],[LABEL]])</f>
        <v>21</v>
      </c>
      <c r="P437" s="109">
        <v>15</v>
      </c>
      <c r="Q437" s="109" t="e">
        <f>ROUND(Tableau17[[#This Row],[LEN]]*#REF!+#REF!,0)</f>
        <v>#REF!</v>
      </c>
    </row>
    <row r="438" spans="1:17" s="97" customFormat="1" x14ac:dyDescent="0.25">
      <c r="A438" s="29" t="s">
        <v>1274</v>
      </c>
      <c r="B438" s="30" t="s">
        <v>1235</v>
      </c>
      <c r="C438" s="31" t="s">
        <v>1276</v>
      </c>
      <c r="D438" s="71" t="s">
        <v>1177</v>
      </c>
      <c r="E438" s="31" t="s">
        <v>673</v>
      </c>
      <c r="F438" s="31" t="s">
        <v>667</v>
      </c>
      <c r="G438" s="71" t="s">
        <v>166</v>
      </c>
      <c r="H438" s="71" t="s">
        <v>18</v>
      </c>
      <c r="I438" s="31"/>
      <c r="J438" s="32" t="s">
        <v>708</v>
      </c>
      <c r="K43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8" s="111">
        <f>ROUND(Tableau17[[#This Row],[LEN]]*7.27,0)</f>
        <v>131</v>
      </c>
      <c r="M438" s="111">
        <v>15</v>
      </c>
      <c r="N438" s="128" t="str">
        <f t="shared" si="3"/>
        <v>none</v>
      </c>
      <c r="O438" s="111">
        <f>LEN(Tableau17[[#This Row],[LABEL]])</f>
        <v>18</v>
      </c>
      <c r="P438" s="111">
        <v>15</v>
      </c>
      <c r="Q438" s="111" t="e">
        <f>ROUND(Tableau17[[#This Row],[LEN]]*#REF!+#REF!,0)</f>
        <v>#REF!</v>
      </c>
    </row>
    <row r="439" spans="1:17" s="97" customFormat="1" x14ac:dyDescent="0.25">
      <c r="A439" s="29" t="s">
        <v>1275</v>
      </c>
      <c r="B439" s="30" t="s">
        <v>1235</v>
      </c>
      <c r="C439" s="31" t="s">
        <v>1277</v>
      </c>
      <c r="D439" s="71" t="s">
        <v>1177</v>
      </c>
      <c r="E439" s="31" t="s">
        <v>673</v>
      </c>
      <c r="F439" s="31" t="s">
        <v>667</v>
      </c>
      <c r="G439" s="71" t="s">
        <v>166</v>
      </c>
      <c r="H439" s="71" t="s">
        <v>18</v>
      </c>
      <c r="I439" s="31"/>
      <c r="J439" s="32" t="s">
        <v>708</v>
      </c>
      <c r="K43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39" s="111">
        <f>ROUND(Tableau17[[#This Row],[LEN]]*7.27,0)</f>
        <v>422</v>
      </c>
      <c r="M439" s="111">
        <v>15</v>
      </c>
      <c r="N439" s="128" t="str">
        <f t="shared" si="3"/>
        <v>none</v>
      </c>
      <c r="O439" s="111">
        <f>LEN(Tableau17[[#This Row],[LABEL]])</f>
        <v>58</v>
      </c>
      <c r="P439" s="111">
        <v>15</v>
      </c>
      <c r="Q439" s="111" t="e">
        <f>ROUND(Tableau17[[#This Row],[LEN]]*#REF!+#REF!,0)</f>
        <v>#REF!</v>
      </c>
    </row>
    <row r="440" spans="1:17" s="97" customFormat="1" x14ac:dyDescent="0.25">
      <c r="A440" s="25" t="s">
        <v>1236</v>
      </c>
      <c r="B440" s="26" t="s">
        <v>259</v>
      </c>
      <c r="C440" s="27" t="s">
        <v>1247</v>
      </c>
      <c r="D440" s="70" t="s">
        <v>1250</v>
      </c>
      <c r="E440" s="27" t="s">
        <v>673</v>
      </c>
      <c r="F440" s="27" t="s">
        <v>667</v>
      </c>
      <c r="G440" s="70" t="s">
        <v>166</v>
      </c>
      <c r="H440" s="70" t="s">
        <v>656</v>
      </c>
      <c r="I440" s="27"/>
      <c r="J440" s="28" t="s">
        <v>708</v>
      </c>
      <c r="K440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0" s="109">
        <f>ROUND(Tableau17[[#This Row],[LEN]]*7.27,0)</f>
        <v>160</v>
      </c>
      <c r="M440" s="109">
        <v>15</v>
      </c>
      <c r="N440" s="127" t="str">
        <f t="shared" si="3"/>
        <v>none</v>
      </c>
      <c r="O440" s="109">
        <f>LEN(Tableau17[[#This Row],[LABEL]])</f>
        <v>22</v>
      </c>
      <c r="P440" s="109">
        <v>15</v>
      </c>
      <c r="Q440" s="109" t="e">
        <f>ROUND(Tableau17[[#This Row],[LEN]]*#REF!+#REF!,0)</f>
        <v>#REF!</v>
      </c>
    </row>
    <row r="441" spans="1:17" s="97" customFormat="1" x14ac:dyDescent="0.25">
      <c r="A441" s="25" t="s">
        <v>1237</v>
      </c>
      <c r="B441" s="26" t="s">
        <v>259</v>
      </c>
      <c r="C441" s="27" t="s">
        <v>1167</v>
      </c>
      <c r="D441" s="70" t="s">
        <v>486</v>
      </c>
      <c r="E441" s="27" t="s">
        <v>1085</v>
      </c>
      <c r="F441" s="27" t="s">
        <v>1084</v>
      </c>
      <c r="G441" s="70" t="s">
        <v>1977</v>
      </c>
      <c r="H441" s="70" t="s">
        <v>1131</v>
      </c>
      <c r="I441" s="27"/>
      <c r="J441" s="28" t="s">
        <v>708</v>
      </c>
      <c r="K44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1" s="109">
        <f>ROUND(Tableau17[[#This Row],[LEN]]*7.27,0)</f>
        <v>196</v>
      </c>
      <c r="M441" s="109">
        <v>15</v>
      </c>
      <c r="N441" s="127" t="str">
        <f t="shared" si="3"/>
        <v>none</v>
      </c>
      <c r="O441" s="109">
        <f>LEN(Tableau17[[#This Row],[LABEL]])</f>
        <v>27</v>
      </c>
      <c r="P441" s="109">
        <v>15</v>
      </c>
      <c r="Q441" s="109" t="e">
        <f>ROUND(Tableau17[[#This Row],[LEN]]*#REF!+#REF!,0)</f>
        <v>#REF!</v>
      </c>
    </row>
    <row r="442" spans="1:17" s="273" customFormat="1" x14ac:dyDescent="0.25">
      <c r="A442" s="288" t="s">
        <v>260</v>
      </c>
      <c r="B442" s="289" t="s">
        <v>206</v>
      </c>
      <c r="C442" s="290" t="s">
        <v>11</v>
      </c>
      <c r="D442" s="291" t="s">
        <v>1177</v>
      </c>
      <c r="E442" s="290" t="s">
        <v>674</v>
      </c>
      <c r="F442" s="290" t="s">
        <v>1177</v>
      </c>
      <c r="G442" s="291" t="s">
        <v>166</v>
      </c>
      <c r="H442" s="291" t="str">
        <f>IFERROR(IF(SEARCH(".00.00.00.00.00",Tableau17[[#This Row],[name]],1)=7,"Division",""),"")</f>
        <v>Division</v>
      </c>
      <c r="I442" s="290"/>
      <c r="J442" s="292" t="s">
        <v>720</v>
      </c>
      <c r="K442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42" s="293">
        <f>ROUND(Tableau17[[#This Row],[LEN]]*7.27,0)</f>
        <v>51</v>
      </c>
      <c r="M442" s="293">
        <v>15</v>
      </c>
      <c r="N442" s="294" t="str">
        <f t="shared" ref="N442:N697" si="4">IF(J442="javascript:void(0)","none","new")</f>
        <v>new</v>
      </c>
      <c r="O442" s="293">
        <f>LEN(Tableau17[[#This Row],[LABEL]])</f>
        <v>7</v>
      </c>
      <c r="P442" s="293">
        <v>15</v>
      </c>
      <c r="Q442" s="293" t="e">
        <f>ROUND(Tableau17[[#This Row],[LEN]]*#REF!+#REF!,0)</f>
        <v>#REF!</v>
      </c>
    </row>
    <row r="443" spans="1:17" s="97" customFormat="1" x14ac:dyDescent="0.25">
      <c r="A443" s="25" t="s">
        <v>1278</v>
      </c>
      <c r="B443" s="26" t="s">
        <v>260</v>
      </c>
      <c r="C443" s="27" t="s">
        <v>88</v>
      </c>
      <c r="D443" s="70" t="s">
        <v>1177</v>
      </c>
      <c r="E443" s="27" t="s">
        <v>667</v>
      </c>
      <c r="F443" s="27" t="s">
        <v>1218</v>
      </c>
      <c r="G443" s="70" t="s">
        <v>166</v>
      </c>
      <c r="H443" s="70" t="s">
        <v>570</v>
      </c>
      <c r="I443" s="27"/>
      <c r="J443" s="28" t="s">
        <v>708</v>
      </c>
      <c r="K44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3" s="109">
        <f>ROUND(Tableau17[[#This Row],[LEN]]*7.27,0)</f>
        <v>342</v>
      </c>
      <c r="M443" s="109">
        <v>15</v>
      </c>
      <c r="N443" s="127" t="str">
        <f t="shared" si="4"/>
        <v>none</v>
      </c>
      <c r="O443" s="109">
        <f>LEN(Tableau17[[#This Row],[LABEL]])</f>
        <v>47</v>
      </c>
      <c r="P443" s="109">
        <v>15</v>
      </c>
      <c r="Q443" s="109" t="e">
        <f>ROUND(Tableau17[[#This Row],[LEN]]*#REF!+#REF!,0)</f>
        <v>#REF!</v>
      </c>
    </row>
    <row r="444" spans="1:17" s="97" customFormat="1" x14ac:dyDescent="0.25">
      <c r="A444" s="25" t="s">
        <v>1279</v>
      </c>
      <c r="B444" s="26" t="s">
        <v>260</v>
      </c>
      <c r="C444" s="27" t="s">
        <v>484</v>
      </c>
      <c r="D444" s="70" t="s">
        <v>1177</v>
      </c>
      <c r="E444" s="27" t="s">
        <v>672</v>
      </c>
      <c r="F444" s="27" t="s">
        <v>1285</v>
      </c>
      <c r="G444" s="70" t="s">
        <v>166</v>
      </c>
      <c r="H444" s="70" t="s">
        <v>655</v>
      </c>
      <c r="I444" s="27"/>
      <c r="J444" s="28" t="s">
        <v>727</v>
      </c>
      <c r="K444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4" s="109">
        <f>ROUND(Tableau17[[#This Row],[LEN]]*7.27,0)</f>
        <v>80</v>
      </c>
      <c r="M444" s="109">
        <v>15</v>
      </c>
      <c r="N444" s="127" t="str">
        <f t="shared" si="4"/>
        <v>new</v>
      </c>
      <c r="O444" s="109">
        <f>LEN(Tableau17[[#This Row],[LABEL]])</f>
        <v>11</v>
      </c>
      <c r="P444" s="109">
        <v>15</v>
      </c>
      <c r="Q444" s="109" t="e">
        <f>ROUND(Tableau17[[#This Row],[LEN]]*#REF!+#REF!,0)</f>
        <v>#REF!</v>
      </c>
    </row>
    <row r="445" spans="1:17" s="97" customFormat="1" x14ac:dyDescent="0.25">
      <c r="A445" s="29" t="s">
        <v>1288</v>
      </c>
      <c r="B445" s="30" t="s">
        <v>1279</v>
      </c>
      <c r="C445" s="31" t="s">
        <v>505</v>
      </c>
      <c r="D445" s="71" t="s">
        <v>1177</v>
      </c>
      <c r="E445" s="31" t="s">
        <v>672</v>
      </c>
      <c r="F445" s="31" t="s">
        <v>1285</v>
      </c>
      <c r="G445" s="71" t="s">
        <v>166</v>
      </c>
      <c r="H445" s="71" t="s">
        <v>18</v>
      </c>
      <c r="I445" s="31"/>
      <c r="J445" s="32" t="s">
        <v>705</v>
      </c>
      <c r="K44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5" s="111">
        <f>ROUND(Tableau17[[#This Row],[LEN]]*7.27,0)</f>
        <v>73</v>
      </c>
      <c r="M445" s="111">
        <v>15</v>
      </c>
      <c r="N445" s="128" t="str">
        <f t="shared" si="4"/>
        <v>new</v>
      </c>
      <c r="O445" s="111">
        <f>LEN(Tableau17[[#This Row],[LABEL]])</f>
        <v>10</v>
      </c>
      <c r="P445" s="111">
        <v>15</v>
      </c>
      <c r="Q445" s="111" t="e">
        <f>ROUND(Tableau17[[#This Row],[LEN]]*#REF!+#REF!,0)</f>
        <v>#REF!</v>
      </c>
    </row>
    <row r="446" spans="1:17" s="97" customFormat="1" x14ac:dyDescent="0.25">
      <c r="A446" s="29" t="s">
        <v>1289</v>
      </c>
      <c r="B446" s="30" t="s">
        <v>1279</v>
      </c>
      <c r="C446" s="31" t="s">
        <v>1284</v>
      </c>
      <c r="D446" s="71" t="s">
        <v>1177</v>
      </c>
      <c r="E446" s="31" t="s">
        <v>672</v>
      </c>
      <c r="F446" s="31" t="s">
        <v>1285</v>
      </c>
      <c r="G446" s="71" t="s">
        <v>166</v>
      </c>
      <c r="H446" s="71" t="s">
        <v>18</v>
      </c>
      <c r="I446" s="31"/>
      <c r="J446" s="32" t="s">
        <v>705</v>
      </c>
      <c r="K44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6" s="111">
        <f>ROUND(Tableau17[[#This Row],[LEN]]*7.27,0)</f>
        <v>153</v>
      </c>
      <c r="M446" s="111">
        <v>15</v>
      </c>
      <c r="N446" s="128" t="str">
        <f t="shared" si="4"/>
        <v>new</v>
      </c>
      <c r="O446" s="111">
        <f>LEN(Tableau17[[#This Row],[LABEL]])</f>
        <v>21</v>
      </c>
      <c r="P446" s="111">
        <v>15</v>
      </c>
      <c r="Q446" s="111" t="e">
        <f>ROUND(Tableau17[[#This Row],[LEN]]*#REF!+#REF!,0)</f>
        <v>#REF!</v>
      </c>
    </row>
    <row r="447" spans="1:17" s="97" customFormat="1" x14ac:dyDescent="0.25">
      <c r="A447" s="29" t="s">
        <v>2092</v>
      </c>
      <c r="B447" s="30" t="s">
        <v>1279</v>
      </c>
      <c r="C447" s="31" t="s">
        <v>2093</v>
      </c>
      <c r="D447" s="71" t="s">
        <v>1177</v>
      </c>
      <c r="E447" s="31" t="s">
        <v>674</v>
      </c>
      <c r="F447" s="31" t="s">
        <v>674</v>
      </c>
      <c r="G447" s="71" t="s">
        <v>166</v>
      </c>
      <c r="H447" s="71" t="s">
        <v>18</v>
      </c>
      <c r="I447" s="31"/>
      <c r="J447" s="32" t="s">
        <v>705</v>
      </c>
      <c r="K44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7" s="111">
        <v>153</v>
      </c>
      <c r="M447" s="111">
        <v>15</v>
      </c>
      <c r="N447" s="128" t="s">
        <v>2091</v>
      </c>
      <c r="O447" s="111">
        <v>21</v>
      </c>
      <c r="P447" s="111">
        <v>15</v>
      </c>
      <c r="Q447" s="111">
        <v>-163</v>
      </c>
    </row>
    <row r="448" spans="1:17" s="97" customFormat="1" x14ac:dyDescent="0.25">
      <c r="A448" s="25" t="s">
        <v>1280</v>
      </c>
      <c r="B448" s="26" t="s">
        <v>260</v>
      </c>
      <c r="C448" s="27" t="s">
        <v>2094</v>
      </c>
      <c r="D448" s="70" t="s">
        <v>1177</v>
      </c>
      <c r="E448" s="27" t="s">
        <v>674</v>
      </c>
      <c r="F448" s="27" t="s">
        <v>1177</v>
      </c>
      <c r="G448" s="70" t="s">
        <v>166</v>
      </c>
      <c r="H448" s="70" t="s">
        <v>655</v>
      </c>
      <c r="I448" s="27"/>
      <c r="J448" s="28" t="s">
        <v>708</v>
      </c>
      <c r="K448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8" s="109">
        <f>ROUND(Tableau17[[#This Row],[LEN]]*7.27,0)</f>
        <v>422</v>
      </c>
      <c r="M448" s="109">
        <v>15</v>
      </c>
      <c r="N448" s="127" t="str">
        <f t="shared" si="4"/>
        <v>none</v>
      </c>
      <c r="O448" s="109">
        <f>LEN(Tableau17[[#This Row],[LABEL]])</f>
        <v>58</v>
      </c>
      <c r="P448" s="109">
        <v>15</v>
      </c>
      <c r="Q448" s="109" t="e">
        <f>ROUND(Tableau17[[#This Row],[LEN]]*#REF!+#REF!,0)</f>
        <v>#REF!</v>
      </c>
    </row>
    <row r="449" spans="1:17" s="97" customFormat="1" x14ac:dyDescent="0.25">
      <c r="A449" s="29" t="s">
        <v>1290</v>
      </c>
      <c r="B449" s="30" t="s">
        <v>1280</v>
      </c>
      <c r="C449" s="31" t="s">
        <v>1293</v>
      </c>
      <c r="D449" s="71" t="s">
        <v>1177</v>
      </c>
      <c r="E449" s="31" t="s">
        <v>674</v>
      </c>
      <c r="F449" s="31" t="s">
        <v>1177</v>
      </c>
      <c r="G449" s="71" t="s">
        <v>166</v>
      </c>
      <c r="H449" s="71" t="s">
        <v>654</v>
      </c>
      <c r="I449" s="31"/>
      <c r="J449" s="32" t="s">
        <v>708</v>
      </c>
      <c r="K4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49" s="111">
        <f>ROUND(Tableau17[[#This Row],[LEN]]*7.27,0)</f>
        <v>116</v>
      </c>
      <c r="M449" s="111">
        <v>15</v>
      </c>
      <c r="N449" s="128" t="str">
        <f t="shared" si="4"/>
        <v>none</v>
      </c>
      <c r="O449" s="111">
        <f>LEN(Tableau17[[#This Row],[LABEL]])</f>
        <v>16</v>
      </c>
      <c r="P449" s="111">
        <v>15</v>
      </c>
      <c r="Q449" s="111" t="e">
        <f>ROUND(Tableau17[[#This Row],[LEN]]*#REF!+#REF!,0)</f>
        <v>#REF!</v>
      </c>
    </row>
    <row r="450" spans="1:17" s="97" customFormat="1" x14ac:dyDescent="0.25">
      <c r="A450" s="29" t="s">
        <v>1291</v>
      </c>
      <c r="B450" s="30" t="s">
        <v>1280</v>
      </c>
      <c r="C450" s="31" t="s">
        <v>1294</v>
      </c>
      <c r="D450" s="71" t="s">
        <v>1177</v>
      </c>
      <c r="E450" s="31" t="s">
        <v>674</v>
      </c>
      <c r="F450" s="31" t="s">
        <v>1177</v>
      </c>
      <c r="G450" s="71" t="s">
        <v>166</v>
      </c>
      <c r="H450" s="71" t="s">
        <v>654</v>
      </c>
      <c r="I450" s="31"/>
      <c r="J450" s="32" t="s">
        <v>708</v>
      </c>
      <c r="K4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0" s="111">
        <f>ROUND(Tableau17[[#This Row],[LEN]]*7.27,0)</f>
        <v>87</v>
      </c>
      <c r="M450" s="111">
        <v>15</v>
      </c>
      <c r="N450" s="128" t="str">
        <f t="shared" si="4"/>
        <v>none</v>
      </c>
      <c r="O450" s="111">
        <f>LEN(Tableau17[[#This Row],[LABEL]])</f>
        <v>12</v>
      </c>
      <c r="P450" s="111">
        <v>15</v>
      </c>
      <c r="Q450" s="111" t="e">
        <f>ROUND(Tableau17[[#This Row],[LEN]]*#REF!+#REF!,0)</f>
        <v>#REF!</v>
      </c>
    </row>
    <row r="451" spans="1:17" s="97" customFormat="1" x14ac:dyDescent="0.25">
      <c r="A451" s="29" t="s">
        <v>1292</v>
      </c>
      <c r="B451" s="30" t="s">
        <v>1280</v>
      </c>
      <c r="C451" s="31" t="s">
        <v>571</v>
      </c>
      <c r="D451" s="71" t="s">
        <v>1177</v>
      </c>
      <c r="E451" s="31" t="s">
        <v>674</v>
      </c>
      <c r="F451" s="31" t="s">
        <v>1177</v>
      </c>
      <c r="G451" s="71" t="s">
        <v>166</v>
      </c>
      <c r="H451" s="71" t="s">
        <v>654</v>
      </c>
      <c r="I451" s="31"/>
      <c r="J451" s="32" t="s">
        <v>708</v>
      </c>
      <c r="K45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1" s="111">
        <f>ROUND(Tableau17[[#This Row],[LEN]]*7.27,0)</f>
        <v>44</v>
      </c>
      <c r="M451" s="111">
        <v>15</v>
      </c>
      <c r="N451" s="128" t="str">
        <f t="shared" si="4"/>
        <v>none</v>
      </c>
      <c r="O451" s="111">
        <f>LEN(Tableau17[[#This Row],[LABEL]])</f>
        <v>6</v>
      </c>
      <c r="P451" s="111">
        <v>15</v>
      </c>
      <c r="Q451" s="111" t="e">
        <f>ROUND(Tableau17[[#This Row],[LEN]]*#REF!+#REF!,0)</f>
        <v>#REF!</v>
      </c>
    </row>
    <row r="452" spans="1:17" s="97" customFormat="1" x14ac:dyDescent="0.25">
      <c r="A452" s="29" t="s">
        <v>2095</v>
      </c>
      <c r="B452" s="30" t="s">
        <v>1280</v>
      </c>
      <c r="C452" s="31" t="s">
        <v>1295</v>
      </c>
      <c r="D452" s="71" t="s">
        <v>1177</v>
      </c>
      <c r="E452" s="31" t="s">
        <v>674</v>
      </c>
      <c r="F452" s="31" t="s">
        <v>1177</v>
      </c>
      <c r="G452" s="71" t="s">
        <v>166</v>
      </c>
      <c r="H452" s="71" t="s">
        <v>654</v>
      </c>
      <c r="I452" s="31"/>
      <c r="J452" s="32" t="s">
        <v>708</v>
      </c>
      <c r="K45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2" s="111">
        <f>ROUND(Tableau17[[#This Row],[LEN]]*7.27,0)</f>
        <v>145</v>
      </c>
      <c r="M452" s="111">
        <v>15</v>
      </c>
      <c r="N452" s="128" t="str">
        <f t="shared" si="4"/>
        <v>none</v>
      </c>
      <c r="O452" s="111">
        <f>LEN(Tableau17[[#This Row],[LABEL]])</f>
        <v>20</v>
      </c>
      <c r="P452" s="111">
        <v>15</v>
      </c>
      <c r="Q452" s="111" t="e">
        <f>ROUND(Tableau17[[#This Row],[LEN]]*#REF!+#REF!,0)</f>
        <v>#REF!</v>
      </c>
    </row>
    <row r="453" spans="1:17" s="97" customFormat="1" x14ac:dyDescent="0.25">
      <c r="A453" s="25" t="s">
        <v>1281</v>
      </c>
      <c r="B453" s="26" t="s">
        <v>260</v>
      </c>
      <c r="C453" s="27" t="s">
        <v>1287</v>
      </c>
      <c r="D453" s="70" t="s">
        <v>1177</v>
      </c>
      <c r="E453" s="27" t="s">
        <v>674</v>
      </c>
      <c r="F453" s="27" t="s">
        <v>678</v>
      </c>
      <c r="G453" s="70" t="s">
        <v>166</v>
      </c>
      <c r="H453" s="70" t="s">
        <v>655</v>
      </c>
      <c r="I453" s="27"/>
      <c r="J453" s="28" t="s">
        <v>708</v>
      </c>
      <c r="K453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3" s="109">
        <f>ROUND(Tableau17[[#This Row],[LEN]]*7.27,0)</f>
        <v>320</v>
      </c>
      <c r="M453" s="109">
        <v>15</v>
      </c>
      <c r="N453" s="127" t="str">
        <f t="shared" si="4"/>
        <v>none</v>
      </c>
      <c r="O453" s="109">
        <f>LEN(Tableau17[[#This Row],[LABEL]])</f>
        <v>44</v>
      </c>
      <c r="P453" s="109">
        <v>15</v>
      </c>
      <c r="Q453" s="109" t="e">
        <f>ROUND(Tableau17[[#This Row],[LEN]]*#REF!+#REF!,0)</f>
        <v>#REF!</v>
      </c>
    </row>
    <row r="454" spans="1:17" s="97" customFormat="1" x14ac:dyDescent="0.25">
      <c r="A454" s="29" t="s">
        <v>1296</v>
      </c>
      <c r="B454" s="30" t="s">
        <v>1281</v>
      </c>
      <c r="C454" s="31" t="s">
        <v>1298</v>
      </c>
      <c r="D454" s="71" t="s">
        <v>1177</v>
      </c>
      <c r="E454" s="31" t="s">
        <v>674</v>
      </c>
      <c r="F454" s="31" t="s">
        <v>678</v>
      </c>
      <c r="G454" s="71" t="s">
        <v>166</v>
      </c>
      <c r="H454" s="71" t="s">
        <v>654</v>
      </c>
      <c r="I454" s="31"/>
      <c r="J454" s="32" t="s">
        <v>708</v>
      </c>
      <c r="K45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4" s="111">
        <f>ROUND(Tableau17[[#This Row],[LEN]]*7.27,0)</f>
        <v>284</v>
      </c>
      <c r="M454" s="111">
        <v>15</v>
      </c>
      <c r="N454" s="128" t="str">
        <f t="shared" si="4"/>
        <v>none</v>
      </c>
      <c r="O454" s="111">
        <f>LEN(Tableau17[[#This Row],[LABEL]])</f>
        <v>39</v>
      </c>
      <c r="P454" s="111">
        <v>15</v>
      </c>
      <c r="Q454" s="111" t="e">
        <f>ROUND(Tableau17[[#This Row],[LEN]]*#REF!+#REF!,0)</f>
        <v>#REF!</v>
      </c>
    </row>
    <row r="455" spans="1:17" s="97" customFormat="1" x14ac:dyDescent="0.25">
      <c r="A455" s="29" t="s">
        <v>1297</v>
      </c>
      <c r="B455" s="30" t="s">
        <v>1281</v>
      </c>
      <c r="C455" s="31" t="s">
        <v>1299</v>
      </c>
      <c r="D455" s="71" t="s">
        <v>1177</v>
      </c>
      <c r="E455" s="31" t="s">
        <v>674</v>
      </c>
      <c r="F455" s="31" t="s">
        <v>678</v>
      </c>
      <c r="G455" s="71" t="s">
        <v>166</v>
      </c>
      <c r="H455" s="71" t="s">
        <v>654</v>
      </c>
      <c r="I455" s="31"/>
      <c r="J455" s="32" t="s">
        <v>708</v>
      </c>
      <c r="K45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5" s="111">
        <f>ROUND(Tableau17[[#This Row],[LEN]]*7.27,0)</f>
        <v>124</v>
      </c>
      <c r="M455" s="111">
        <v>15</v>
      </c>
      <c r="N455" s="128" t="str">
        <f t="shared" si="4"/>
        <v>none</v>
      </c>
      <c r="O455" s="111">
        <f>LEN(Tableau17[[#This Row],[LABEL]])</f>
        <v>17</v>
      </c>
      <c r="P455" s="111">
        <v>15</v>
      </c>
      <c r="Q455" s="111" t="e">
        <f>ROUND(Tableau17[[#This Row],[LEN]]*#REF!+#REF!,0)</f>
        <v>#REF!</v>
      </c>
    </row>
    <row r="456" spans="1:17" s="97" customFormat="1" x14ac:dyDescent="0.25">
      <c r="A456" s="25" t="s">
        <v>1282</v>
      </c>
      <c r="B456" s="26" t="s">
        <v>260</v>
      </c>
      <c r="C456" s="27" t="s">
        <v>2090</v>
      </c>
      <c r="D456" s="70" t="s">
        <v>1177</v>
      </c>
      <c r="E456" s="27" t="s">
        <v>667</v>
      </c>
      <c r="F456" s="27" t="s">
        <v>1133</v>
      </c>
      <c r="G456" s="70" t="s">
        <v>166</v>
      </c>
      <c r="H456" s="70" t="s">
        <v>18</v>
      </c>
      <c r="I456" s="27"/>
      <c r="J456" s="28" t="s">
        <v>102</v>
      </c>
      <c r="K456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6" s="109">
        <f>ROUND(Tableau17[[#This Row],[LEN]]*7.27,0)</f>
        <v>153</v>
      </c>
      <c r="M456" s="109">
        <v>15</v>
      </c>
      <c r="N456" s="127" t="str">
        <f t="shared" si="4"/>
        <v>new</v>
      </c>
      <c r="O456" s="109">
        <f>LEN(Tableau17[[#This Row],[LABEL]])</f>
        <v>21</v>
      </c>
      <c r="P456" s="109">
        <v>15</v>
      </c>
      <c r="Q456" s="109" t="e">
        <f>ROUND(Tableau17[[#This Row],[LEN]]*#REF!+#REF!,0)</f>
        <v>#REF!</v>
      </c>
    </row>
    <row r="457" spans="1:17" s="97" customFormat="1" x14ac:dyDescent="0.25">
      <c r="A457" s="25" t="s">
        <v>1283</v>
      </c>
      <c r="B457" s="26" t="s">
        <v>260</v>
      </c>
      <c r="C457" s="27" t="s">
        <v>1167</v>
      </c>
      <c r="D457" s="70" t="s">
        <v>486</v>
      </c>
      <c r="E457" s="27" t="s">
        <v>1085</v>
      </c>
      <c r="F457" s="27" t="s">
        <v>1084</v>
      </c>
      <c r="G457" s="70" t="s">
        <v>1977</v>
      </c>
      <c r="H457" s="70" t="s">
        <v>1131</v>
      </c>
      <c r="I457" s="27"/>
      <c r="J457" s="28" t="s">
        <v>708</v>
      </c>
      <c r="K457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7" s="109">
        <f>ROUND(Tableau17[[#This Row],[LEN]]*7.27,0)</f>
        <v>196</v>
      </c>
      <c r="M457" s="109">
        <v>15</v>
      </c>
      <c r="N457" s="127" t="str">
        <f t="shared" si="4"/>
        <v>none</v>
      </c>
      <c r="O457" s="109">
        <f>LEN(Tableau17[[#This Row],[LABEL]])</f>
        <v>27</v>
      </c>
      <c r="P457" s="109">
        <v>15</v>
      </c>
      <c r="Q457" s="109" t="e">
        <f>ROUND(Tableau17[[#This Row],[LEN]]*#REF!+#REF!,0)</f>
        <v>#REF!</v>
      </c>
    </row>
    <row r="458" spans="1:17" s="97" customFormat="1" x14ac:dyDescent="0.25">
      <c r="A458" s="29" t="s">
        <v>1300</v>
      </c>
      <c r="B458" s="30" t="s">
        <v>1283</v>
      </c>
      <c r="C458" s="31" t="s">
        <v>93</v>
      </c>
      <c r="D458" s="71" t="s">
        <v>1177</v>
      </c>
      <c r="E458" s="31" t="s">
        <v>1085</v>
      </c>
      <c r="F458" s="31" t="s">
        <v>1084</v>
      </c>
      <c r="G458" s="71" t="s">
        <v>166</v>
      </c>
      <c r="H458" s="71" t="s">
        <v>18</v>
      </c>
      <c r="I458" s="31"/>
      <c r="J458" s="32" t="s">
        <v>101</v>
      </c>
      <c r="K45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8" s="111">
        <f>ROUND(Tableau17[[#This Row],[LEN]]*7.27,0)</f>
        <v>109</v>
      </c>
      <c r="M458" s="111">
        <v>15</v>
      </c>
      <c r="N458" s="128" t="str">
        <f t="shared" si="4"/>
        <v>new</v>
      </c>
      <c r="O458" s="111">
        <f>LEN(Tableau17[[#This Row],[LABEL]])</f>
        <v>15</v>
      </c>
      <c r="P458" s="111">
        <v>15</v>
      </c>
      <c r="Q458" s="111" t="e">
        <f>ROUND(Tableau17[[#This Row],[LEN]]*#REF!+#REF!,0)</f>
        <v>#REF!</v>
      </c>
    </row>
    <row r="459" spans="1:17" s="97" customFormat="1" x14ac:dyDescent="0.25">
      <c r="A459" s="29" t="s">
        <v>1301</v>
      </c>
      <c r="B459" s="30" t="s">
        <v>1283</v>
      </c>
      <c r="C459" s="31" t="s">
        <v>94</v>
      </c>
      <c r="D459" s="71" t="s">
        <v>1177</v>
      </c>
      <c r="E459" s="31" t="s">
        <v>1085</v>
      </c>
      <c r="F459" s="31" t="s">
        <v>1084</v>
      </c>
      <c r="G459" s="71" t="s">
        <v>166</v>
      </c>
      <c r="H459" s="71" t="s">
        <v>18</v>
      </c>
      <c r="I459" s="31"/>
      <c r="J459" s="32" t="s">
        <v>102</v>
      </c>
      <c r="K45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59" s="111">
        <f>ROUND(Tableau17[[#This Row],[LEN]]*7.27,0)</f>
        <v>58</v>
      </c>
      <c r="M459" s="111">
        <v>15</v>
      </c>
      <c r="N459" s="128" t="str">
        <f t="shared" si="4"/>
        <v>new</v>
      </c>
      <c r="O459" s="111">
        <f>LEN(Tableau17[[#This Row],[LABEL]])</f>
        <v>8</v>
      </c>
      <c r="P459" s="111">
        <v>15</v>
      </c>
      <c r="Q459" s="111" t="e">
        <f>ROUND(Tableau17[[#This Row],[LEN]]*#REF!+#REF!,0)</f>
        <v>#REF!</v>
      </c>
    </row>
    <row r="460" spans="1:17" s="273" customFormat="1" x14ac:dyDescent="0.25">
      <c r="A460" s="288" t="s">
        <v>261</v>
      </c>
      <c r="B460" s="289" t="s">
        <v>206</v>
      </c>
      <c r="C460" s="290" t="s">
        <v>12</v>
      </c>
      <c r="D460" s="291" t="s">
        <v>1177</v>
      </c>
      <c r="E460" s="290" t="s">
        <v>675</v>
      </c>
      <c r="F460" s="290" t="s">
        <v>1177</v>
      </c>
      <c r="G460" s="291" t="s">
        <v>166</v>
      </c>
      <c r="H460" s="291" t="str">
        <f>IFERROR(IF(SEARCH(".00.00.00.00.00",Tableau17[[#This Row],[name]],1)=7,"Division",""),"")</f>
        <v>Division</v>
      </c>
      <c r="I460" s="290"/>
      <c r="J460" s="292" t="s">
        <v>721</v>
      </c>
      <c r="K460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60" s="293">
        <f>ROUND(Tableau17[[#This Row],[LEN]]*7.27,0)</f>
        <v>15</v>
      </c>
      <c r="M460" s="293">
        <v>15</v>
      </c>
      <c r="N460" s="294" t="str">
        <f t="shared" si="4"/>
        <v>new</v>
      </c>
      <c r="O460" s="293">
        <f>LEN(Tableau17[[#This Row],[LABEL]])</f>
        <v>2</v>
      </c>
      <c r="P460" s="293">
        <v>15</v>
      </c>
      <c r="Q460" s="293" t="e">
        <f>ROUND(Tableau17[[#This Row],[LEN]]*#REF!+#REF!,0)</f>
        <v>#REF!</v>
      </c>
    </row>
    <row r="461" spans="1:17" s="97" customFormat="1" x14ac:dyDescent="0.25">
      <c r="A461" s="25" t="s">
        <v>1302</v>
      </c>
      <c r="B461" s="26" t="s">
        <v>261</v>
      </c>
      <c r="C461" s="27" t="s">
        <v>88</v>
      </c>
      <c r="D461" s="70" t="s">
        <v>1177</v>
      </c>
      <c r="E461" s="27" t="s">
        <v>667</v>
      </c>
      <c r="F461" s="27" t="s">
        <v>1218</v>
      </c>
      <c r="G461" s="70" t="s">
        <v>166</v>
      </c>
      <c r="H461" s="70" t="s">
        <v>570</v>
      </c>
      <c r="I461" s="27"/>
      <c r="J461" s="28" t="s">
        <v>708</v>
      </c>
      <c r="K461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1" s="109">
        <f>ROUND(Tableau17[[#This Row],[LEN]]*7.27,0)</f>
        <v>342</v>
      </c>
      <c r="M461" s="109">
        <v>15</v>
      </c>
      <c r="N461" s="127" t="str">
        <f t="shared" si="4"/>
        <v>none</v>
      </c>
      <c r="O461" s="109">
        <f>LEN(Tableau17[[#This Row],[LABEL]])</f>
        <v>47</v>
      </c>
      <c r="P461" s="109">
        <v>15</v>
      </c>
      <c r="Q461" s="109" t="e">
        <f>ROUND(Tableau17[[#This Row],[LEN]]*#REF!+#REF!,0)</f>
        <v>#REF!</v>
      </c>
    </row>
    <row r="462" spans="1:17" s="97" customFormat="1" x14ac:dyDescent="0.25">
      <c r="A462" s="213" t="s">
        <v>1303</v>
      </c>
      <c r="B462" s="214" t="s">
        <v>261</v>
      </c>
      <c r="C462" s="215" t="s">
        <v>1310</v>
      </c>
      <c r="D462" s="70" t="s">
        <v>1177</v>
      </c>
      <c r="E462" s="229" t="s">
        <v>675</v>
      </c>
      <c r="F462" s="215" t="s">
        <v>678</v>
      </c>
      <c r="G462" s="70" t="s">
        <v>166</v>
      </c>
      <c r="H462" s="216" t="s">
        <v>655</v>
      </c>
      <c r="I462" s="215"/>
      <c r="J462" s="217" t="s">
        <v>708</v>
      </c>
      <c r="K462" s="217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2" s="218">
        <f>ROUND(Tableau17[[#This Row],[LEN]]*7.27,0)</f>
        <v>233</v>
      </c>
      <c r="M462" s="218">
        <v>15</v>
      </c>
      <c r="N462" s="219" t="str">
        <f t="shared" si="4"/>
        <v>none</v>
      </c>
      <c r="O462" s="218">
        <f>LEN(Tableau17[[#This Row],[LABEL]])</f>
        <v>32</v>
      </c>
      <c r="P462" s="218">
        <v>15</v>
      </c>
      <c r="Q462" s="218" t="e">
        <f>ROUND(Tableau17[[#This Row],[LEN]]*#REF!+#REF!,0)</f>
        <v>#REF!</v>
      </c>
    </row>
    <row r="463" spans="1:17" s="97" customFormat="1" x14ac:dyDescent="0.25">
      <c r="A463" s="29" t="s">
        <v>1312</v>
      </c>
      <c r="B463" s="30" t="s">
        <v>1303</v>
      </c>
      <c r="C463" s="31" t="s">
        <v>1321</v>
      </c>
      <c r="D463" s="71" t="s">
        <v>1177</v>
      </c>
      <c r="E463" s="31" t="s">
        <v>675</v>
      </c>
      <c r="F463" s="31" t="s">
        <v>678</v>
      </c>
      <c r="G463" s="71" t="s">
        <v>166</v>
      </c>
      <c r="H463" s="71" t="s">
        <v>654</v>
      </c>
      <c r="I463" s="31"/>
      <c r="J463" s="32" t="s">
        <v>708</v>
      </c>
      <c r="K46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3" s="111">
        <f>ROUND(Tableau17[[#This Row],[LEN]]*7.27,0)</f>
        <v>349</v>
      </c>
      <c r="M463" s="111">
        <v>15</v>
      </c>
      <c r="N463" s="128" t="str">
        <f t="shared" si="4"/>
        <v>none</v>
      </c>
      <c r="O463" s="111">
        <f>LEN(Tableau17[[#This Row],[LABEL]])</f>
        <v>48</v>
      </c>
      <c r="P463" s="111">
        <v>15</v>
      </c>
      <c r="Q463" s="111" t="e">
        <f>ROUND(Tableau17[[#This Row],[LEN]]*#REF!+#REF!,0)</f>
        <v>#REF!</v>
      </c>
    </row>
    <row r="464" spans="1:17" s="97" customFormat="1" x14ac:dyDescent="0.25">
      <c r="A464" s="29" t="s">
        <v>1313</v>
      </c>
      <c r="B464" s="30" t="s">
        <v>1303</v>
      </c>
      <c r="C464" s="31" t="s">
        <v>1322</v>
      </c>
      <c r="D464" s="71" t="s">
        <v>1177</v>
      </c>
      <c r="E464" s="31" t="s">
        <v>675</v>
      </c>
      <c r="F464" s="31" t="s">
        <v>678</v>
      </c>
      <c r="G464" s="71" t="s">
        <v>166</v>
      </c>
      <c r="H464" s="71" t="s">
        <v>654</v>
      </c>
      <c r="I464" s="31"/>
      <c r="J464" s="32" t="s">
        <v>708</v>
      </c>
      <c r="K46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4" s="111">
        <f>ROUND(Tableau17[[#This Row],[LEN]]*7.27,0)</f>
        <v>254</v>
      </c>
      <c r="M464" s="111">
        <v>15</v>
      </c>
      <c r="N464" s="128" t="str">
        <f t="shared" si="4"/>
        <v>none</v>
      </c>
      <c r="O464" s="111">
        <f>LEN(Tableau17[[#This Row],[LABEL]])</f>
        <v>35</v>
      </c>
      <c r="P464" s="111">
        <v>15</v>
      </c>
      <c r="Q464" s="111" t="e">
        <f>ROUND(Tableau17[[#This Row],[LEN]]*#REF!+#REF!,0)</f>
        <v>#REF!</v>
      </c>
    </row>
    <row r="465" spans="1:17" s="97" customFormat="1" x14ac:dyDescent="0.25">
      <c r="A465" s="29" t="s">
        <v>1314</v>
      </c>
      <c r="B465" s="30" t="s">
        <v>1303</v>
      </c>
      <c r="C465" s="31" t="s">
        <v>1323</v>
      </c>
      <c r="D465" s="71" t="s">
        <v>1177</v>
      </c>
      <c r="E465" s="31" t="s">
        <v>675</v>
      </c>
      <c r="F465" s="31" t="s">
        <v>678</v>
      </c>
      <c r="G465" s="71" t="s">
        <v>166</v>
      </c>
      <c r="H465" s="71" t="s">
        <v>654</v>
      </c>
      <c r="I465" s="31"/>
      <c r="J465" s="32" t="s">
        <v>708</v>
      </c>
      <c r="K46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5" s="111">
        <f>ROUND(Tableau17[[#This Row],[LEN]]*7.27,0)</f>
        <v>320</v>
      </c>
      <c r="M465" s="111">
        <v>15</v>
      </c>
      <c r="N465" s="128" t="str">
        <f t="shared" si="4"/>
        <v>none</v>
      </c>
      <c r="O465" s="111">
        <f>LEN(Tableau17[[#This Row],[LABEL]])</f>
        <v>44</v>
      </c>
      <c r="P465" s="111">
        <v>15</v>
      </c>
      <c r="Q465" s="111" t="e">
        <f>ROUND(Tableau17[[#This Row],[LEN]]*#REF!+#REF!,0)</f>
        <v>#REF!</v>
      </c>
    </row>
    <row r="466" spans="1:17" s="97" customFormat="1" x14ac:dyDescent="0.25">
      <c r="A466" s="235" t="s">
        <v>1304</v>
      </c>
      <c r="B466" s="237" t="s">
        <v>261</v>
      </c>
      <c r="C466" s="236" t="s">
        <v>1007</v>
      </c>
      <c r="D466" s="70" t="s">
        <v>1177</v>
      </c>
      <c r="E466" s="229" t="s">
        <v>675</v>
      </c>
      <c r="F466" s="215" t="s">
        <v>1177</v>
      </c>
      <c r="G466" s="70" t="s">
        <v>166</v>
      </c>
      <c r="H466" s="230" t="s">
        <v>655</v>
      </c>
      <c r="I466" s="229"/>
      <c r="J466" s="231" t="s">
        <v>708</v>
      </c>
      <c r="K466" s="23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6" s="232">
        <f>ROUND(Tableau17[[#This Row],[LEN]]*7.27,0)</f>
        <v>305</v>
      </c>
      <c r="M466" s="232">
        <v>15</v>
      </c>
      <c r="N466" s="233" t="str">
        <f t="shared" si="4"/>
        <v>none</v>
      </c>
      <c r="O466" s="232">
        <f>LEN(Tableau17[[#This Row],[LABEL]])</f>
        <v>42</v>
      </c>
      <c r="P466" s="232">
        <v>15</v>
      </c>
      <c r="Q466" s="234" t="e">
        <f>ROUND(Tableau17[[#This Row],[LEN]]*#REF!+#REF!,0)</f>
        <v>#REF!</v>
      </c>
    </row>
    <row r="467" spans="1:17" s="97" customFormat="1" x14ac:dyDescent="0.25">
      <c r="A467" s="29" t="s">
        <v>1315</v>
      </c>
      <c r="B467" s="30" t="s">
        <v>1304</v>
      </c>
      <c r="C467" s="31" t="s">
        <v>1324</v>
      </c>
      <c r="D467" s="71" t="s">
        <v>1177</v>
      </c>
      <c r="E467" s="31" t="s">
        <v>675</v>
      </c>
      <c r="F467" s="31" t="s">
        <v>1177</v>
      </c>
      <c r="G467" s="71" t="s">
        <v>166</v>
      </c>
      <c r="H467" s="71" t="s">
        <v>654</v>
      </c>
      <c r="I467" s="31"/>
      <c r="J467" s="32" t="s">
        <v>708</v>
      </c>
      <c r="K46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7" s="111">
        <f>ROUND(Tableau17[[#This Row],[LEN]]*7.27,0)</f>
        <v>218</v>
      </c>
      <c r="M467" s="111">
        <v>15</v>
      </c>
      <c r="N467" s="128" t="str">
        <f t="shared" si="4"/>
        <v>none</v>
      </c>
      <c r="O467" s="111">
        <f>LEN(Tableau17[[#This Row],[LABEL]])</f>
        <v>30</v>
      </c>
      <c r="P467" s="111">
        <v>15</v>
      </c>
      <c r="Q467" s="111" t="e">
        <f>ROUND(Tableau17[[#This Row],[LEN]]*#REF!+#REF!,0)</f>
        <v>#REF!</v>
      </c>
    </row>
    <row r="468" spans="1:17" s="97" customFormat="1" x14ac:dyDescent="0.25">
      <c r="A468" s="29" t="s">
        <v>1316</v>
      </c>
      <c r="B468" s="30" t="s">
        <v>1304</v>
      </c>
      <c r="C468" s="31" t="s">
        <v>1013</v>
      </c>
      <c r="D468" s="71" t="s">
        <v>1177</v>
      </c>
      <c r="E468" s="31" t="s">
        <v>675</v>
      </c>
      <c r="F468" s="31" t="s">
        <v>1177</v>
      </c>
      <c r="G468" s="71" t="s">
        <v>166</v>
      </c>
      <c r="H468" s="71" t="s">
        <v>654</v>
      </c>
      <c r="I468" s="31"/>
      <c r="J468" s="32" t="s">
        <v>708</v>
      </c>
      <c r="K46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8" s="111">
        <f>ROUND(Tableau17[[#This Row],[LEN]]*7.27,0)</f>
        <v>284</v>
      </c>
      <c r="M468" s="111">
        <v>15</v>
      </c>
      <c r="N468" s="128" t="str">
        <f t="shared" si="4"/>
        <v>none</v>
      </c>
      <c r="O468" s="111">
        <f>LEN(Tableau17[[#This Row],[LABEL]])</f>
        <v>39</v>
      </c>
      <c r="P468" s="111">
        <v>15</v>
      </c>
      <c r="Q468" s="111" t="e">
        <f>ROUND(Tableau17[[#This Row],[LEN]]*#REF!+#REF!,0)</f>
        <v>#REF!</v>
      </c>
    </row>
    <row r="469" spans="1:17" s="97" customFormat="1" x14ac:dyDescent="0.25">
      <c r="A469" s="29" t="s">
        <v>1317</v>
      </c>
      <c r="B469" s="30" t="s">
        <v>1304</v>
      </c>
      <c r="C469" s="31" t="s">
        <v>1014</v>
      </c>
      <c r="D469" s="71" t="s">
        <v>1177</v>
      </c>
      <c r="E469" s="31" t="s">
        <v>675</v>
      </c>
      <c r="F469" s="31" t="s">
        <v>1177</v>
      </c>
      <c r="G469" s="71" t="s">
        <v>166</v>
      </c>
      <c r="H469" s="71" t="s">
        <v>654</v>
      </c>
      <c r="I469" s="31"/>
      <c r="J469" s="32" t="s">
        <v>708</v>
      </c>
      <c r="K46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69" s="111">
        <f>ROUND(Tableau17[[#This Row],[LEN]]*7.27,0)</f>
        <v>327</v>
      </c>
      <c r="M469" s="111">
        <v>15</v>
      </c>
      <c r="N469" s="128" t="str">
        <f t="shared" si="4"/>
        <v>none</v>
      </c>
      <c r="O469" s="111">
        <f>LEN(Tableau17[[#This Row],[LABEL]])</f>
        <v>45</v>
      </c>
      <c r="P469" s="111">
        <v>15</v>
      </c>
      <c r="Q469" s="111" t="e">
        <f>ROUND(Tableau17[[#This Row],[LEN]]*#REF!+#REF!,0)</f>
        <v>#REF!</v>
      </c>
    </row>
    <row r="470" spans="1:17" s="97" customFormat="1" x14ac:dyDescent="0.25">
      <c r="A470" s="29" t="s">
        <v>1318</v>
      </c>
      <c r="B470" s="30" t="s">
        <v>1304</v>
      </c>
      <c r="C470" s="31" t="s">
        <v>1325</v>
      </c>
      <c r="D470" s="71" t="s">
        <v>1177</v>
      </c>
      <c r="E470" s="31" t="s">
        <v>675</v>
      </c>
      <c r="F470" s="31" t="s">
        <v>1177</v>
      </c>
      <c r="G470" s="71" t="s">
        <v>166</v>
      </c>
      <c r="H470" s="71" t="s">
        <v>654</v>
      </c>
      <c r="I470" s="31"/>
      <c r="J470" s="32" t="s">
        <v>708</v>
      </c>
      <c r="K47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0" s="111">
        <f>ROUND(Tableau17[[#This Row],[LEN]]*7.27,0)</f>
        <v>327</v>
      </c>
      <c r="M470" s="111">
        <v>15</v>
      </c>
      <c r="N470" s="128" t="str">
        <f t="shared" si="4"/>
        <v>none</v>
      </c>
      <c r="O470" s="111">
        <f>LEN(Tableau17[[#This Row],[LABEL]])</f>
        <v>45</v>
      </c>
      <c r="P470" s="111">
        <v>15</v>
      </c>
      <c r="Q470" s="111" t="e">
        <f>ROUND(Tableau17[[#This Row],[LEN]]*#REF!+#REF!,0)</f>
        <v>#REF!</v>
      </c>
    </row>
    <row r="471" spans="1:17" s="97" customFormat="1" x14ac:dyDescent="0.25">
      <c r="A471" s="227" t="s">
        <v>1305</v>
      </c>
      <c r="B471" s="228" t="s">
        <v>261</v>
      </c>
      <c r="C471" s="229" t="s">
        <v>1311</v>
      </c>
      <c r="D471" s="70" t="s">
        <v>1177</v>
      </c>
      <c r="E471" s="229" t="s">
        <v>675</v>
      </c>
      <c r="F471" s="215" t="s">
        <v>1177</v>
      </c>
      <c r="G471" s="70" t="s">
        <v>166</v>
      </c>
      <c r="H471" s="230" t="s">
        <v>655</v>
      </c>
      <c r="I471" s="229"/>
      <c r="J471" s="231" t="s">
        <v>708</v>
      </c>
      <c r="K471" s="23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1" s="232">
        <f>ROUND(Tableau17[[#This Row],[LEN]]*7.27,0)</f>
        <v>211</v>
      </c>
      <c r="M471" s="232">
        <v>15</v>
      </c>
      <c r="N471" s="233" t="str">
        <f t="shared" si="4"/>
        <v>none</v>
      </c>
      <c r="O471" s="232">
        <f>LEN(Tableau17[[#This Row],[LABEL]])</f>
        <v>29</v>
      </c>
      <c r="P471" s="232">
        <v>15</v>
      </c>
      <c r="Q471" s="234" t="e">
        <f>ROUND(Tableau17[[#This Row],[LEN]]*#REF!+#REF!,0)</f>
        <v>#REF!</v>
      </c>
    </row>
    <row r="472" spans="1:17" s="97" customFormat="1" x14ac:dyDescent="0.25">
      <c r="A472" s="29" t="s">
        <v>1319</v>
      </c>
      <c r="B472" s="30" t="s">
        <v>1305</v>
      </c>
      <c r="C472" s="31" t="s">
        <v>1326</v>
      </c>
      <c r="D472" s="71" t="s">
        <v>1177</v>
      </c>
      <c r="E472" s="31" t="s">
        <v>675</v>
      </c>
      <c r="F472" s="31" t="s">
        <v>1177</v>
      </c>
      <c r="G472" s="71" t="s">
        <v>166</v>
      </c>
      <c r="H472" s="71" t="s">
        <v>654</v>
      </c>
      <c r="I472" s="31"/>
      <c r="J472" s="32" t="s">
        <v>708</v>
      </c>
      <c r="K47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2" s="111">
        <f>ROUND(Tableau17[[#This Row],[LEN]]*7.27,0)</f>
        <v>480</v>
      </c>
      <c r="M472" s="111">
        <v>15</v>
      </c>
      <c r="N472" s="128" t="str">
        <f t="shared" si="4"/>
        <v>none</v>
      </c>
      <c r="O472" s="111">
        <f>LEN(Tableau17[[#This Row],[LABEL]])</f>
        <v>66</v>
      </c>
      <c r="P472" s="111">
        <v>15</v>
      </c>
      <c r="Q472" s="111" t="e">
        <f>ROUND(Tableau17[[#This Row],[LEN]]*#REF!+#REF!,0)</f>
        <v>#REF!</v>
      </c>
    </row>
    <row r="473" spans="1:17" s="97" customFormat="1" x14ac:dyDescent="0.25">
      <c r="A473" s="29" t="s">
        <v>1320</v>
      </c>
      <c r="B473" s="30" t="s">
        <v>1305</v>
      </c>
      <c r="C473" s="31" t="s">
        <v>1327</v>
      </c>
      <c r="D473" s="71" t="s">
        <v>1328</v>
      </c>
      <c r="E473" s="31" t="s">
        <v>675</v>
      </c>
      <c r="F473" s="31" t="s">
        <v>1177</v>
      </c>
      <c r="G473" s="71" t="s">
        <v>166</v>
      </c>
      <c r="H473" s="71" t="s">
        <v>654</v>
      </c>
      <c r="I473" s="31"/>
      <c r="J473" s="32" t="s">
        <v>708</v>
      </c>
      <c r="K47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3" s="111">
        <f>ROUND(Tableau17[[#This Row],[LEN]]*7.27,0)</f>
        <v>254</v>
      </c>
      <c r="M473" s="111">
        <v>15</v>
      </c>
      <c r="N473" s="128" t="str">
        <f t="shared" si="4"/>
        <v>none</v>
      </c>
      <c r="O473" s="111">
        <f>LEN(Tableau17[[#This Row],[LABEL]])</f>
        <v>35</v>
      </c>
      <c r="P473" s="111">
        <v>15</v>
      </c>
      <c r="Q473" s="111" t="e">
        <f>ROUND(Tableau17[[#This Row],[LEN]]*#REF!+#REF!,0)</f>
        <v>#REF!</v>
      </c>
    </row>
    <row r="474" spans="1:17" s="97" customFormat="1" x14ac:dyDescent="0.25">
      <c r="A474" s="220" t="s">
        <v>1306</v>
      </c>
      <c r="B474" s="221" t="s">
        <v>261</v>
      </c>
      <c r="C474" s="222" t="s">
        <v>1405</v>
      </c>
      <c r="D474" s="70" t="s">
        <v>1177</v>
      </c>
      <c r="E474" s="229" t="s">
        <v>675</v>
      </c>
      <c r="F474" s="215" t="s">
        <v>678</v>
      </c>
      <c r="G474" s="70" t="s">
        <v>166</v>
      </c>
      <c r="H474" s="223" t="s">
        <v>656</v>
      </c>
      <c r="I474" s="222"/>
      <c r="J474" s="224" t="s">
        <v>708</v>
      </c>
      <c r="K474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4" s="225">
        <f>ROUND(Tableau17[[#This Row],[LEN]]*7.27,0)</f>
        <v>443</v>
      </c>
      <c r="M474" s="225">
        <v>15</v>
      </c>
      <c r="N474" s="226" t="str">
        <f t="shared" si="4"/>
        <v>none</v>
      </c>
      <c r="O474" s="225">
        <f>LEN(Tableau17[[#This Row],[LABEL]])</f>
        <v>61</v>
      </c>
      <c r="P474" s="225">
        <v>15</v>
      </c>
      <c r="Q474" s="225" t="e">
        <f>ROUND(Tableau17[[#This Row],[LEN]]*#REF!+#REF!,0)</f>
        <v>#REF!</v>
      </c>
    </row>
    <row r="475" spans="1:17" s="97" customFormat="1" x14ac:dyDescent="0.25">
      <c r="A475" s="25" t="s">
        <v>1307</v>
      </c>
      <c r="B475" s="26" t="s">
        <v>261</v>
      </c>
      <c r="C475" s="27" t="s">
        <v>1167</v>
      </c>
      <c r="D475" s="70" t="s">
        <v>486</v>
      </c>
      <c r="E475" s="27" t="s">
        <v>1085</v>
      </c>
      <c r="F475" s="27" t="s">
        <v>1084</v>
      </c>
      <c r="G475" s="70" t="s">
        <v>1977</v>
      </c>
      <c r="H475" s="70" t="s">
        <v>1131</v>
      </c>
      <c r="I475" s="27"/>
      <c r="J475" s="28" t="s">
        <v>708</v>
      </c>
      <c r="K475" s="2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5" s="109">
        <f>ROUND(Tableau17[[#This Row],[LEN]]*7.27,0)</f>
        <v>196</v>
      </c>
      <c r="M475" s="109">
        <v>15</v>
      </c>
      <c r="N475" s="127" t="str">
        <f t="shared" si="4"/>
        <v>none</v>
      </c>
      <c r="O475" s="109">
        <f>LEN(Tableau17[[#This Row],[LABEL]])</f>
        <v>27</v>
      </c>
      <c r="P475" s="109">
        <v>15</v>
      </c>
      <c r="Q475" s="109" t="e">
        <f>ROUND(Tableau17[[#This Row],[LEN]]*#REF!+#REF!,0)</f>
        <v>#REF!</v>
      </c>
    </row>
    <row r="476" spans="1:17" s="97" customFormat="1" x14ac:dyDescent="0.25">
      <c r="A476" s="29" t="s">
        <v>1308</v>
      </c>
      <c r="B476" s="30" t="s">
        <v>1307</v>
      </c>
      <c r="C476" s="31" t="s">
        <v>93</v>
      </c>
      <c r="D476" s="71" t="s">
        <v>1177</v>
      </c>
      <c r="E476" s="31" t="s">
        <v>1085</v>
      </c>
      <c r="F476" s="31" t="s">
        <v>1084</v>
      </c>
      <c r="G476" s="71" t="s">
        <v>166</v>
      </c>
      <c r="H476" s="71" t="s">
        <v>18</v>
      </c>
      <c r="I476" s="31"/>
      <c r="J476" s="32" t="s">
        <v>101</v>
      </c>
      <c r="K47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6" s="111">
        <f>ROUND(Tableau17[[#This Row],[LEN]]*7.27,0)</f>
        <v>109</v>
      </c>
      <c r="M476" s="111">
        <v>15</v>
      </c>
      <c r="N476" s="128" t="str">
        <f t="shared" si="4"/>
        <v>new</v>
      </c>
      <c r="O476" s="111">
        <f>LEN(Tableau17[[#This Row],[LABEL]])</f>
        <v>15</v>
      </c>
      <c r="P476" s="111">
        <v>15</v>
      </c>
      <c r="Q476" s="111" t="e">
        <f>ROUND(Tableau17[[#This Row],[LEN]]*#REF!+#REF!,0)</f>
        <v>#REF!</v>
      </c>
    </row>
    <row r="477" spans="1:17" s="97" customFormat="1" x14ac:dyDescent="0.25">
      <c r="A477" s="29" t="s">
        <v>1309</v>
      </c>
      <c r="B477" s="30" t="s">
        <v>1307</v>
      </c>
      <c r="C477" s="31" t="s">
        <v>94</v>
      </c>
      <c r="D477" s="71" t="s">
        <v>1177</v>
      </c>
      <c r="E477" s="31" t="s">
        <v>1085</v>
      </c>
      <c r="F477" s="31" t="s">
        <v>1084</v>
      </c>
      <c r="G477" s="71" t="s">
        <v>166</v>
      </c>
      <c r="H477" s="71" t="s">
        <v>18</v>
      </c>
      <c r="I477" s="31"/>
      <c r="J477" s="32" t="s">
        <v>102</v>
      </c>
      <c r="K47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7" s="111">
        <f>ROUND(Tableau17[[#This Row],[LEN]]*7.27,0)</f>
        <v>58</v>
      </c>
      <c r="M477" s="111">
        <v>15</v>
      </c>
      <c r="N477" s="128" t="str">
        <f t="shared" si="4"/>
        <v>new</v>
      </c>
      <c r="O477" s="111">
        <f>LEN(Tableau17[[#This Row],[LABEL]])</f>
        <v>8</v>
      </c>
      <c r="P477" s="111">
        <v>15</v>
      </c>
      <c r="Q477" s="111" t="e">
        <f>ROUND(Tableau17[[#This Row],[LEN]]*#REF!+#REF!,0)</f>
        <v>#REF!</v>
      </c>
    </row>
    <row r="478" spans="1:17" s="273" customFormat="1" x14ac:dyDescent="0.25">
      <c r="A478" s="288" t="s">
        <v>262</v>
      </c>
      <c r="B478" s="289" t="s">
        <v>206</v>
      </c>
      <c r="C478" s="290" t="s">
        <v>71</v>
      </c>
      <c r="D478" s="291" t="s">
        <v>1177</v>
      </c>
      <c r="E478" s="290" t="s">
        <v>676</v>
      </c>
      <c r="F478" s="290" t="s">
        <v>1177</v>
      </c>
      <c r="G478" s="291" t="s">
        <v>166</v>
      </c>
      <c r="H478" s="291" t="str">
        <f>IFERROR(IF(SEARCH(".00.00.00.00.00",Tableau17[[#This Row],[name]],1)=7,"Division",""),"")</f>
        <v>Division</v>
      </c>
      <c r="I478" s="290"/>
      <c r="J478" s="292" t="s">
        <v>722</v>
      </c>
      <c r="K478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78" s="293">
        <f>ROUND(Tableau17[[#This Row],[LEN]]*7.27,0)</f>
        <v>29</v>
      </c>
      <c r="M478" s="293">
        <v>15</v>
      </c>
      <c r="N478" s="294" t="str">
        <f t="shared" si="4"/>
        <v>new</v>
      </c>
      <c r="O478" s="293">
        <f>LEN(Tableau17[[#This Row],[LABEL]])</f>
        <v>4</v>
      </c>
      <c r="P478" s="293">
        <v>15</v>
      </c>
      <c r="Q478" s="293" t="e">
        <f>ROUND(Tableau17[[#This Row],[LEN]]*#REF!+#REF!,0)</f>
        <v>#REF!</v>
      </c>
    </row>
    <row r="479" spans="1:17" s="97" customFormat="1" x14ac:dyDescent="0.25">
      <c r="A479" s="220" t="s">
        <v>1329</v>
      </c>
      <c r="B479" s="221" t="s">
        <v>262</v>
      </c>
      <c r="C479" s="222" t="s">
        <v>1337</v>
      </c>
      <c r="D479" s="70" t="s">
        <v>1338</v>
      </c>
      <c r="E479" s="229" t="s">
        <v>676</v>
      </c>
      <c r="F479" s="215" t="s">
        <v>1339</v>
      </c>
      <c r="G479" s="70" t="s">
        <v>166</v>
      </c>
      <c r="H479" s="223" t="s">
        <v>656</v>
      </c>
      <c r="I479" s="222"/>
      <c r="J479" s="224" t="s">
        <v>708</v>
      </c>
      <c r="K479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79" s="225">
        <f>ROUND(Tableau17[[#This Row],[LEN]]*7.27,0)</f>
        <v>378</v>
      </c>
      <c r="M479" s="225">
        <v>15</v>
      </c>
      <c r="N479" s="226" t="str">
        <f t="shared" si="4"/>
        <v>none</v>
      </c>
      <c r="O479" s="225">
        <f>LEN(Tableau17[[#This Row],[LABEL]])</f>
        <v>52</v>
      </c>
      <c r="P479" s="225">
        <v>15</v>
      </c>
      <c r="Q479" s="225" t="e">
        <f>ROUND(Tableau17[[#This Row],[LEN]]*#REF!+#REF!,0)</f>
        <v>#REF!</v>
      </c>
    </row>
    <row r="480" spans="1:17" s="97" customFormat="1" x14ac:dyDescent="0.25">
      <c r="A480" s="220" t="s">
        <v>1330</v>
      </c>
      <c r="B480" s="221" t="s">
        <v>262</v>
      </c>
      <c r="C480" s="222" t="s">
        <v>88</v>
      </c>
      <c r="D480" s="70" t="s">
        <v>1177</v>
      </c>
      <c r="E480" s="229" t="s">
        <v>667</v>
      </c>
      <c r="F480" s="215" t="s">
        <v>1218</v>
      </c>
      <c r="G480" s="70" t="s">
        <v>166</v>
      </c>
      <c r="H480" s="223" t="s">
        <v>570</v>
      </c>
      <c r="I480" s="222"/>
      <c r="J480" s="224" t="s">
        <v>708</v>
      </c>
      <c r="K480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0" s="225">
        <f>ROUND(Tableau17[[#This Row],[LEN]]*7.27,0)</f>
        <v>342</v>
      </c>
      <c r="M480" s="225">
        <v>15</v>
      </c>
      <c r="N480" s="226" t="str">
        <f t="shared" si="4"/>
        <v>none</v>
      </c>
      <c r="O480" s="225">
        <f>LEN(Tableau17[[#This Row],[LABEL]])</f>
        <v>47</v>
      </c>
      <c r="P480" s="225">
        <v>15</v>
      </c>
      <c r="Q480" s="225" t="e">
        <f>ROUND(Tableau17[[#This Row],[LEN]]*#REF!+#REF!,0)</f>
        <v>#REF!</v>
      </c>
    </row>
    <row r="481" spans="1:17" s="97" customFormat="1" x14ac:dyDescent="0.25">
      <c r="A481" s="220" t="s">
        <v>1331</v>
      </c>
      <c r="B481" s="221" t="s">
        <v>262</v>
      </c>
      <c r="C481" s="222" t="s">
        <v>484</v>
      </c>
      <c r="D481" s="70" t="s">
        <v>1177</v>
      </c>
      <c r="E481" s="229" t="s">
        <v>672</v>
      </c>
      <c r="F481" s="215" t="s">
        <v>1285</v>
      </c>
      <c r="G481" s="70" t="s">
        <v>166</v>
      </c>
      <c r="H481" s="223" t="s">
        <v>655</v>
      </c>
      <c r="I481" s="222"/>
      <c r="J481" s="224" t="s">
        <v>727</v>
      </c>
      <c r="K481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1" s="225">
        <f>ROUND(Tableau17[[#This Row],[LEN]]*7.27,0)</f>
        <v>80</v>
      </c>
      <c r="M481" s="225">
        <v>15</v>
      </c>
      <c r="N481" s="226" t="str">
        <f t="shared" si="4"/>
        <v>new</v>
      </c>
      <c r="O481" s="225">
        <f>LEN(Tableau17[[#This Row],[LABEL]])</f>
        <v>11</v>
      </c>
      <c r="P481" s="225">
        <v>15</v>
      </c>
      <c r="Q481" s="225" t="e">
        <f>ROUND(Tableau17[[#This Row],[LEN]]*#REF!+#REF!,0)</f>
        <v>#REF!</v>
      </c>
    </row>
    <row r="482" spans="1:17" s="97" customFormat="1" x14ac:dyDescent="0.25">
      <c r="A482" s="29" t="s">
        <v>1340</v>
      </c>
      <c r="B482" s="30" t="s">
        <v>1331</v>
      </c>
      <c r="C482" s="31" t="s">
        <v>505</v>
      </c>
      <c r="D482" s="71" t="s">
        <v>1177</v>
      </c>
      <c r="E482" s="31" t="s">
        <v>672</v>
      </c>
      <c r="F482" s="31" t="s">
        <v>1285</v>
      </c>
      <c r="G482" s="71" t="s">
        <v>166</v>
      </c>
      <c r="H482" s="71" t="s">
        <v>18</v>
      </c>
      <c r="I482" s="31"/>
      <c r="J482" s="32" t="s">
        <v>705</v>
      </c>
      <c r="K48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2" s="111">
        <f>ROUND(Tableau17[[#This Row],[LEN]]*7.27,0)</f>
        <v>73</v>
      </c>
      <c r="M482" s="111">
        <v>15</v>
      </c>
      <c r="N482" s="128" t="str">
        <f t="shared" si="4"/>
        <v>new</v>
      </c>
      <c r="O482" s="111">
        <f>LEN(Tableau17[[#This Row],[LABEL]])</f>
        <v>10</v>
      </c>
      <c r="P482" s="111">
        <v>15</v>
      </c>
      <c r="Q482" s="111" t="e">
        <f>ROUND(Tableau17[[#This Row],[LEN]]*#REF!+#REF!,0)</f>
        <v>#REF!</v>
      </c>
    </row>
    <row r="483" spans="1:17" s="97" customFormat="1" x14ac:dyDescent="0.25">
      <c r="A483" s="29" t="s">
        <v>1341</v>
      </c>
      <c r="B483" s="30" t="s">
        <v>1331</v>
      </c>
      <c r="C483" s="31" t="s">
        <v>1284</v>
      </c>
      <c r="D483" s="71" t="s">
        <v>1177</v>
      </c>
      <c r="E483" s="31" t="s">
        <v>672</v>
      </c>
      <c r="F483" s="31" t="s">
        <v>1285</v>
      </c>
      <c r="G483" s="71" t="s">
        <v>166</v>
      </c>
      <c r="H483" s="71" t="s">
        <v>18</v>
      </c>
      <c r="I483" s="31"/>
      <c r="J483" s="32" t="s">
        <v>705</v>
      </c>
      <c r="K48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3" s="111">
        <f>ROUND(Tableau17[[#This Row],[LEN]]*7.27,0)</f>
        <v>153</v>
      </c>
      <c r="M483" s="111">
        <v>15</v>
      </c>
      <c r="N483" s="128" t="str">
        <f t="shared" si="4"/>
        <v>new</v>
      </c>
      <c r="O483" s="111">
        <f>LEN(Tableau17[[#This Row],[LABEL]])</f>
        <v>21</v>
      </c>
      <c r="P483" s="111">
        <v>15</v>
      </c>
      <c r="Q483" s="111" t="e">
        <f>ROUND(Tableau17[[#This Row],[LEN]]*#REF!+#REF!,0)</f>
        <v>#REF!</v>
      </c>
    </row>
    <row r="484" spans="1:17" s="97" customFormat="1" x14ac:dyDescent="0.25">
      <c r="A484" s="220" t="s">
        <v>1332</v>
      </c>
      <c r="B484" s="221" t="s">
        <v>262</v>
      </c>
      <c r="C484" s="222" t="s">
        <v>1342</v>
      </c>
      <c r="D484" s="70" t="s">
        <v>1177</v>
      </c>
      <c r="E484" s="229" t="s">
        <v>676</v>
      </c>
      <c r="F484" s="215" t="s">
        <v>1177</v>
      </c>
      <c r="G484" s="70" t="s">
        <v>166</v>
      </c>
      <c r="H484" s="223" t="s">
        <v>656</v>
      </c>
      <c r="I484" s="222"/>
      <c r="J484" s="224" t="s">
        <v>708</v>
      </c>
      <c r="K484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4" s="225">
        <f>ROUND(Tableau17[[#This Row],[LEN]]*7.27,0)</f>
        <v>473</v>
      </c>
      <c r="M484" s="225">
        <v>15</v>
      </c>
      <c r="N484" s="226" t="str">
        <f t="shared" si="4"/>
        <v>none</v>
      </c>
      <c r="O484" s="225">
        <f>LEN(Tableau17[[#This Row],[LABEL]])</f>
        <v>65</v>
      </c>
      <c r="P484" s="225">
        <v>15</v>
      </c>
      <c r="Q484" s="225" t="e">
        <f>ROUND(Tableau17[[#This Row],[LEN]]*#REF!+#REF!,0)</f>
        <v>#REF!</v>
      </c>
    </row>
    <row r="485" spans="1:17" s="97" customFormat="1" x14ac:dyDescent="0.25">
      <c r="A485" s="220" t="s">
        <v>1333</v>
      </c>
      <c r="B485" s="221" t="s">
        <v>262</v>
      </c>
      <c r="C485" s="222" t="s">
        <v>1343</v>
      </c>
      <c r="D485" s="70" t="s">
        <v>1177</v>
      </c>
      <c r="E485" s="229" t="s">
        <v>676</v>
      </c>
      <c r="F485" s="215" t="s">
        <v>1339</v>
      </c>
      <c r="G485" s="70" t="s">
        <v>166</v>
      </c>
      <c r="H485" s="223" t="s">
        <v>654</v>
      </c>
      <c r="I485" s="222"/>
      <c r="J485" s="224" t="s">
        <v>708</v>
      </c>
      <c r="K485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5" s="225">
        <f>ROUND(Tableau17[[#This Row],[LEN]]*7.27,0)</f>
        <v>269</v>
      </c>
      <c r="M485" s="225">
        <v>15</v>
      </c>
      <c r="N485" s="226" t="str">
        <f t="shared" si="4"/>
        <v>none</v>
      </c>
      <c r="O485" s="225">
        <f>LEN(Tableau17[[#This Row],[LABEL]])</f>
        <v>37</v>
      </c>
      <c r="P485" s="225">
        <v>15</v>
      </c>
      <c r="Q485" s="225" t="e">
        <f>ROUND(Tableau17[[#This Row],[LEN]]*#REF!+#REF!,0)</f>
        <v>#REF!</v>
      </c>
    </row>
    <row r="486" spans="1:17" s="97" customFormat="1" x14ac:dyDescent="0.25">
      <c r="A486" s="220" t="s">
        <v>1334</v>
      </c>
      <c r="B486" s="221" t="s">
        <v>262</v>
      </c>
      <c r="C486" s="222" t="s">
        <v>1154</v>
      </c>
      <c r="D486" s="70" t="s">
        <v>1177</v>
      </c>
      <c r="E486" s="229" t="s">
        <v>667</v>
      </c>
      <c r="F486" s="215" t="s">
        <v>1133</v>
      </c>
      <c r="G486" s="70" t="s">
        <v>166</v>
      </c>
      <c r="H486" s="223" t="s">
        <v>18</v>
      </c>
      <c r="I486" s="222"/>
      <c r="J486" s="224" t="s">
        <v>102</v>
      </c>
      <c r="K486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6" s="225">
        <f>ROUND(Tableau17[[#This Row],[LEN]]*7.27,0)</f>
        <v>443</v>
      </c>
      <c r="M486" s="225">
        <v>15</v>
      </c>
      <c r="N486" s="226" t="str">
        <f t="shared" si="4"/>
        <v>new</v>
      </c>
      <c r="O486" s="225">
        <f>LEN(Tableau17[[#This Row],[LABEL]])</f>
        <v>61</v>
      </c>
      <c r="P486" s="225">
        <v>15</v>
      </c>
      <c r="Q486" s="225" t="e">
        <f>ROUND(Tableau17[[#This Row],[LEN]]*#REF!+#REF!,0)</f>
        <v>#REF!</v>
      </c>
    </row>
    <row r="487" spans="1:17" s="97" customFormat="1" x14ac:dyDescent="0.25">
      <c r="A487" s="220" t="s">
        <v>1335</v>
      </c>
      <c r="B487" s="221" t="s">
        <v>262</v>
      </c>
      <c r="C487" s="222" t="s">
        <v>778</v>
      </c>
      <c r="D487" s="70" t="s">
        <v>1177</v>
      </c>
      <c r="E487" s="229" t="s">
        <v>673</v>
      </c>
      <c r="F487" s="27" t="s">
        <v>2000</v>
      </c>
      <c r="G487" s="70" t="s">
        <v>166</v>
      </c>
      <c r="H487" s="223" t="s">
        <v>17</v>
      </c>
      <c r="I487" s="222"/>
      <c r="J487" s="224" t="s">
        <v>708</v>
      </c>
      <c r="K487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7" s="225">
        <f>ROUND(Tableau17[[#This Row],[LEN]]*7.27,0)</f>
        <v>211</v>
      </c>
      <c r="M487" s="225">
        <v>15</v>
      </c>
      <c r="N487" s="226" t="str">
        <f t="shared" si="4"/>
        <v>none</v>
      </c>
      <c r="O487" s="225">
        <f>LEN(Tableau17[[#This Row],[LABEL]])</f>
        <v>29</v>
      </c>
      <c r="P487" s="225">
        <v>15</v>
      </c>
      <c r="Q487" s="225" t="e">
        <f>ROUND(Tableau17[[#This Row],[LEN]]*#REF!+#REF!,0)</f>
        <v>#REF!</v>
      </c>
    </row>
    <row r="488" spans="1:17" s="97" customFormat="1" x14ac:dyDescent="0.25">
      <c r="A488" s="220" t="s">
        <v>1336</v>
      </c>
      <c r="B488" s="221" t="s">
        <v>262</v>
      </c>
      <c r="C488" s="222" t="s">
        <v>1167</v>
      </c>
      <c r="D488" s="70" t="s">
        <v>486</v>
      </c>
      <c r="E488" s="229" t="s">
        <v>1085</v>
      </c>
      <c r="F488" s="215" t="s">
        <v>1084</v>
      </c>
      <c r="G488" s="70" t="s">
        <v>1977</v>
      </c>
      <c r="H488" s="223" t="s">
        <v>1131</v>
      </c>
      <c r="I488" s="222"/>
      <c r="J488" s="224" t="s">
        <v>708</v>
      </c>
      <c r="K488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8" s="225">
        <f>ROUND(Tableau17[[#This Row],[LEN]]*7.27,0)</f>
        <v>196</v>
      </c>
      <c r="M488" s="225">
        <v>15</v>
      </c>
      <c r="N488" s="226" t="str">
        <f t="shared" si="4"/>
        <v>none</v>
      </c>
      <c r="O488" s="225">
        <f>LEN(Tableau17[[#This Row],[LABEL]])</f>
        <v>27</v>
      </c>
      <c r="P488" s="225">
        <v>15</v>
      </c>
      <c r="Q488" s="225" t="e">
        <f>ROUND(Tableau17[[#This Row],[LEN]]*#REF!+#REF!,0)</f>
        <v>#REF!</v>
      </c>
    </row>
    <row r="489" spans="1:17" s="97" customFormat="1" x14ac:dyDescent="0.25">
      <c r="A489" s="29" t="s">
        <v>1344</v>
      </c>
      <c r="B489" s="30" t="s">
        <v>1336</v>
      </c>
      <c r="C489" s="31" t="s">
        <v>93</v>
      </c>
      <c r="D489" s="71" t="s">
        <v>1177</v>
      </c>
      <c r="E489" s="31" t="s">
        <v>1085</v>
      </c>
      <c r="F489" s="31" t="s">
        <v>1084</v>
      </c>
      <c r="G489" s="71" t="s">
        <v>166</v>
      </c>
      <c r="H489" s="71" t="s">
        <v>18</v>
      </c>
      <c r="I489" s="31"/>
      <c r="J489" s="32" t="s">
        <v>101</v>
      </c>
      <c r="K48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89" s="111">
        <f>ROUND(Tableau17[[#This Row],[LEN]]*7.27,0)</f>
        <v>109</v>
      </c>
      <c r="M489" s="111">
        <v>15</v>
      </c>
      <c r="N489" s="128" t="str">
        <f t="shared" si="4"/>
        <v>new</v>
      </c>
      <c r="O489" s="111">
        <f>LEN(Tableau17[[#This Row],[LABEL]])</f>
        <v>15</v>
      </c>
      <c r="P489" s="111">
        <v>15</v>
      </c>
      <c r="Q489" s="111" t="e">
        <f>ROUND(Tableau17[[#This Row],[LEN]]*#REF!+#REF!,0)</f>
        <v>#REF!</v>
      </c>
    </row>
    <row r="490" spans="1:17" s="97" customFormat="1" x14ac:dyDescent="0.25">
      <c r="A490" s="29" t="s">
        <v>1345</v>
      </c>
      <c r="B490" s="30" t="s">
        <v>1336</v>
      </c>
      <c r="C490" s="31" t="s">
        <v>94</v>
      </c>
      <c r="D490" s="71" t="s">
        <v>1177</v>
      </c>
      <c r="E490" s="31" t="s">
        <v>1085</v>
      </c>
      <c r="F490" s="31" t="s">
        <v>1084</v>
      </c>
      <c r="G490" s="71" t="s">
        <v>166</v>
      </c>
      <c r="H490" s="71" t="s">
        <v>18</v>
      </c>
      <c r="I490" s="31"/>
      <c r="J490" s="32" t="s">
        <v>102</v>
      </c>
      <c r="K49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0" s="111">
        <f>ROUND(Tableau17[[#This Row],[LEN]]*7.27,0)</f>
        <v>58</v>
      </c>
      <c r="M490" s="111">
        <v>15</v>
      </c>
      <c r="N490" s="128" t="str">
        <f t="shared" si="4"/>
        <v>new</v>
      </c>
      <c r="O490" s="111">
        <f>LEN(Tableau17[[#This Row],[LABEL]])</f>
        <v>8</v>
      </c>
      <c r="P490" s="111">
        <v>15</v>
      </c>
      <c r="Q490" s="111" t="e">
        <f>ROUND(Tableau17[[#This Row],[LEN]]*#REF!+#REF!,0)</f>
        <v>#REF!</v>
      </c>
    </row>
    <row r="491" spans="1:17" s="273" customFormat="1" x14ac:dyDescent="0.25">
      <c r="A491" s="288" t="s">
        <v>263</v>
      </c>
      <c r="B491" s="289" t="s">
        <v>206</v>
      </c>
      <c r="C491" s="290" t="s">
        <v>13</v>
      </c>
      <c r="D491" s="291" t="s">
        <v>1177</v>
      </c>
      <c r="E491" s="290" t="s">
        <v>677</v>
      </c>
      <c r="F491" s="290" t="s">
        <v>1177</v>
      </c>
      <c r="G491" s="291" t="s">
        <v>166</v>
      </c>
      <c r="H491" s="291" t="str">
        <f>IFERROR(IF(SEARCH(".00.00.00.00.00",Tableau17[[#This Row],[name]],1)=7,"Division",""),"")</f>
        <v>Division</v>
      </c>
      <c r="I491" s="290"/>
      <c r="J491" s="292" t="s">
        <v>708</v>
      </c>
      <c r="K491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491" s="293">
        <f>ROUND(Tableau17[[#This Row],[LEN]]*7.27,0)</f>
        <v>80</v>
      </c>
      <c r="M491" s="293">
        <v>15</v>
      </c>
      <c r="N491" s="294" t="str">
        <f t="shared" si="4"/>
        <v>none</v>
      </c>
      <c r="O491" s="293">
        <f>LEN(Tableau17[[#This Row],[LABEL]])</f>
        <v>11</v>
      </c>
      <c r="P491" s="293">
        <v>15</v>
      </c>
      <c r="Q491" s="293" t="e">
        <f>ROUND(Tableau17[[#This Row],[LEN]]*#REF!+#REF!,0)</f>
        <v>#REF!</v>
      </c>
    </row>
    <row r="492" spans="1:17" s="97" customFormat="1" x14ac:dyDescent="0.25">
      <c r="A492" s="220" t="s">
        <v>1346</v>
      </c>
      <c r="B492" s="221" t="s">
        <v>263</v>
      </c>
      <c r="C492" s="222" t="s">
        <v>1355</v>
      </c>
      <c r="D492" s="70" t="s">
        <v>1177</v>
      </c>
      <c r="E492" s="229" t="s">
        <v>677</v>
      </c>
      <c r="F492" s="215" t="s">
        <v>1177</v>
      </c>
      <c r="G492" s="70" t="s">
        <v>166</v>
      </c>
      <c r="H492" s="223" t="s">
        <v>655</v>
      </c>
      <c r="I492" s="222"/>
      <c r="J492" s="224" t="s">
        <v>708</v>
      </c>
      <c r="K492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2" s="225">
        <f>ROUND(Tableau17[[#This Row],[LEN]]*7.27,0)</f>
        <v>233</v>
      </c>
      <c r="M492" s="225">
        <v>15</v>
      </c>
      <c r="N492" s="226" t="str">
        <f t="shared" si="4"/>
        <v>none</v>
      </c>
      <c r="O492" s="225">
        <f>LEN(Tableau17[[#This Row],[LABEL]])</f>
        <v>32</v>
      </c>
      <c r="P492" s="225">
        <v>15</v>
      </c>
      <c r="Q492" s="225" t="e">
        <f>ROUND(Tableau17[[#This Row],[LEN]]*#REF!+#REF!,0)</f>
        <v>#REF!</v>
      </c>
    </row>
    <row r="493" spans="1:17" s="97" customFormat="1" x14ac:dyDescent="0.25">
      <c r="A493" s="29" t="s">
        <v>1363</v>
      </c>
      <c r="B493" s="30" t="s">
        <v>1346</v>
      </c>
      <c r="C493" s="31" t="s">
        <v>1368</v>
      </c>
      <c r="D493" s="71" t="s">
        <v>1177</v>
      </c>
      <c r="E493" s="31" t="s">
        <v>677</v>
      </c>
      <c r="F493" s="31" t="s">
        <v>1177</v>
      </c>
      <c r="G493" s="71" t="s">
        <v>166</v>
      </c>
      <c r="H493" s="71" t="s">
        <v>654</v>
      </c>
      <c r="I493" s="31"/>
      <c r="J493" s="32" t="s">
        <v>708</v>
      </c>
      <c r="K49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3" s="111">
        <f>ROUND(Tableau17[[#This Row],[LEN]]*7.27,0)</f>
        <v>109</v>
      </c>
      <c r="M493" s="111">
        <v>15</v>
      </c>
      <c r="N493" s="128" t="str">
        <f t="shared" si="4"/>
        <v>none</v>
      </c>
      <c r="O493" s="111">
        <f>LEN(Tableau17[[#This Row],[LABEL]])</f>
        <v>15</v>
      </c>
      <c r="P493" s="111">
        <v>15</v>
      </c>
      <c r="Q493" s="111" t="e">
        <f>ROUND(Tableau17[[#This Row],[LEN]]*#REF!+#REF!,0)</f>
        <v>#REF!</v>
      </c>
    </row>
    <row r="494" spans="1:17" s="97" customFormat="1" x14ac:dyDescent="0.25">
      <c r="A494" s="29" t="s">
        <v>1364</v>
      </c>
      <c r="B494" s="30" t="s">
        <v>1346</v>
      </c>
      <c r="C494" s="31" t="s">
        <v>1369</v>
      </c>
      <c r="D494" s="71" t="s">
        <v>1177</v>
      </c>
      <c r="E494" s="31" t="s">
        <v>677</v>
      </c>
      <c r="F494" s="31" t="s">
        <v>1177</v>
      </c>
      <c r="G494" s="71" t="s">
        <v>166</v>
      </c>
      <c r="H494" s="71" t="s">
        <v>654</v>
      </c>
      <c r="I494" s="31"/>
      <c r="J494" s="32" t="s">
        <v>708</v>
      </c>
      <c r="K49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4" s="111">
        <f>ROUND(Tableau17[[#This Row],[LEN]]*7.27,0)</f>
        <v>153</v>
      </c>
      <c r="M494" s="111">
        <v>15</v>
      </c>
      <c r="N494" s="128" t="str">
        <f t="shared" si="4"/>
        <v>none</v>
      </c>
      <c r="O494" s="111">
        <f>LEN(Tableau17[[#This Row],[LABEL]])</f>
        <v>21</v>
      </c>
      <c r="P494" s="111">
        <v>15</v>
      </c>
      <c r="Q494" s="111" t="e">
        <f>ROUND(Tableau17[[#This Row],[LEN]]*#REF!+#REF!,0)</f>
        <v>#REF!</v>
      </c>
    </row>
    <row r="495" spans="1:17" s="97" customFormat="1" x14ac:dyDescent="0.25">
      <c r="A495" s="29" t="s">
        <v>1365</v>
      </c>
      <c r="B495" s="30" t="s">
        <v>1346</v>
      </c>
      <c r="C495" s="31" t="s">
        <v>1370</v>
      </c>
      <c r="D495" s="71" t="s">
        <v>1177</v>
      </c>
      <c r="E495" s="31" t="s">
        <v>677</v>
      </c>
      <c r="F495" s="31" t="s">
        <v>1177</v>
      </c>
      <c r="G495" s="71" t="s">
        <v>166</v>
      </c>
      <c r="H495" s="71" t="s">
        <v>654</v>
      </c>
      <c r="I495" s="31"/>
      <c r="J495" s="32" t="s">
        <v>708</v>
      </c>
      <c r="K49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5" s="111">
        <f>ROUND(Tableau17[[#This Row],[LEN]]*7.27,0)</f>
        <v>51</v>
      </c>
      <c r="M495" s="111">
        <v>15</v>
      </c>
      <c r="N495" s="128" t="str">
        <f t="shared" si="4"/>
        <v>none</v>
      </c>
      <c r="O495" s="111">
        <f>LEN(Tableau17[[#This Row],[LABEL]])</f>
        <v>7</v>
      </c>
      <c r="P495" s="111">
        <v>15</v>
      </c>
      <c r="Q495" s="111" t="e">
        <f>ROUND(Tableau17[[#This Row],[LEN]]*#REF!+#REF!,0)</f>
        <v>#REF!</v>
      </c>
    </row>
    <row r="496" spans="1:17" s="97" customFormat="1" x14ac:dyDescent="0.25">
      <c r="A496" s="29" t="s">
        <v>1366</v>
      </c>
      <c r="B496" s="30" t="s">
        <v>1346</v>
      </c>
      <c r="C496" s="31" t="s">
        <v>1371</v>
      </c>
      <c r="D496" s="71" t="s">
        <v>1177</v>
      </c>
      <c r="E496" s="31" t="s">
        <v>677</v>
      </c>
      <c r="F496" s="31" t="s">
        <v>1177</v>
      </c>
      <c r="G496" s="71" t="s">
        <v>166</v>
      </c>
      <c r="H496" s="71" t="s">
        <v>654</v>
      </c>
      <c r="I496" s="31"/>
      <c r="J496" s="32" t="s">
        <v>708</v>
      </c>
      <c r="K49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6" s="111">
        <f>ROUND(Tableau17[[#This Row],[LEN]]*7.27,0)</f>
        <v>131</v>
      </c>
      <c r="M496" s="111">
        <v>15</v>
      </c>
      <c r="N496" s="128" t="str">
        <f t="shared" si="4"/>
        <v>none</v>
      </c>
      <c r="O496" s="111">
        <f>LEN(Tableau17[[#This Row],[LABEL]])</f>
        <v>18</v>
      </c>
      <c r="P496" s="111">
        <v>15</v>
      </c>
      <c r="Q496" s="111" t="e">
        <f>ROUND(Tableau17[[#This Row],[LEN]]*#REF!+#REF!,0)</f>
        <v>#REF!</v>
      </c>
    </row>
    <row r="497" spans="1:17" s="97" customFormat="1" x14ac:dyDescent="0.25">
      <c r="A497" s="29" t="s">
        <v>1367</v>
      </c>
      <c r="B497" s="30" t="s">
        <v>1346</v>
      </c>
      <c r="C497" s="31" t="s">
        <v>1372</v>
      </c>
      <c r="D497" s="71" t="s">
        <v>1177</v>
      </c>
      <c r="E497" s="31" t="s">
        <v>677</v>
      </c>
      <c r="F497" s="31" t="s">
        <v>1177</v>
      </c>
      <c r="G497" s="71" t="s">
        <v>166</v>
      </c>
      <c r="H497" s="71" t="s">
        <v>654</v>
      </c>
      <c r="I497" s="31"/>
      <c r="J497" s="32" t="s">
        <v>708</v>
      </c>
      <c r="K49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7" s="111">
        <f>ROUND(Tableau17[[#This Row],[LEN]]*7.27,0)</f>
        <v>80</v>
      </c>
      <c r="M497" s="111">
        <v>15</v>
      </c>
      <c r="N497" s="128" t="str">
        <f t="shared" si="4"/>
        <v>none</v>
      </c>
      <c r="O497" s="111">
        <f>LEN(Tableau17[[#This Row],[LABEL]])</f>
        <v>11</v>
      </c>
      <c r="P497" s="111">
        <v>15</v>
      </c>
      <c r="Q497" s="111" t="e">
        <f>ROUND(Tableau17[[#This Row],[LEN]]*#REF!+#REF!,0)</f>
        <v>#REF!</v>
      </c>
    </row>
    <row r="498" spans="1:17" s="97" customFormat="1" x14ac:dyDescent="0.25">
      <c r="A498" s="220" t="s">
        <v>1347</v>
      </c>
      <c r="B498" s="221" t="s">
        <v>263</v>
      </c>
      <c r="C498" s="222" t="s">
        <v>1337</v>
      </c>
      <c r="D498" s="70" t="s">
        <v>1338</v>
      </c>
      <c r="E498" s="229" t="s">
        <v>676</v>
      </c>
      <c r="F498" s="215" t="s">
        <v>1339</v>
      </c>
      <c r="G498" s="70" t="s">
        <v>166</v>
      </c>
      <c r="H498" s="223" t="s">
        <v>656</v>
      </c>
      <c r="I498" s="222"/>
      <c r="J498" s="224" t="s">
        <v>708</v>
      </c>
      <c r="K498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8" s="225">
        <f>ROUND(Tableau17[[#This Row],[LEN]]*7.27,0)</f>
        <v>378</v>
      </c>
      <c r="M498" s="225">
        <v>15</v>
      </c>
      <c r="N498" s="226" t="str">
        <f t="shared" si="4"/>
        <v>none</v>
      </c>
      <c r="O498" s="225">
        <f>LEN(Tableau17[[#This Row],[LABEL]])</f>
        <v>52</v>
      </c>
      <c r="P498" s="225">
        <v>15</v>
      </c>
      <c r="Q498" s="225" t="e">
        <f>ROUND(Tableau17[[#This Row],[LEN]]*#REF!+#REF!,0)</f>
        <v>#REF!</v>
      </c>
    </row>
    <row r="499" spans="1:17" s="97" customFormat="1" x14ac:dyDescent="0.25">
      <c r="A499" s="220" t="s">
        <v>1348</v>
      </c>
      <c r="B499" s="221" t="s">
        <v>263</v>
      </c>
      <c r="C499" s="222" t="s">
        <v>88</v>
      </c>
      <c r="D499" s="70" t="s">
        <v>1177</v>
      </c>
      <c r="E499" s="229" t="s">
        <v>667</v>
      </c>
      <c r="F499" s="215" t="s">
        <v>1218</v>
      </c>
      <c r="G499" s="70" t="s">
        <v>166</v>
      </c>
      <c r="H499" s="223" t="s">
        <v>570</v>
      </c>
      <c r="I499" s="222"/>
      <c r="J499" s="224" t="s">
        <v>708</v>
      </c>
      <c r="K499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499" s="225">
        <f>ROUND(Tableau17[[#This Row],[LEN]]*7.27,0)</f>
        <v>342</v>
      </c>
      <c r="M499" s="225">
        <v>15</v>
      </c>
      <c r="N499" s="226" t="str">
        <f t="shared" si="4"/>
        <v>none</v>
      </c>
      <c r="O499" s="225">
        <f>LEN(Tableau17[[#This Row],[LABEL]])</f>
        <v>47</v>
      </c>
      <c r="P499" s="225">
        <v>15</v>
      </c>
      <c r="Q499" s="225" t="e">
        <f>ROUND(Tableau17[[#This Row],[LEN]]*#REF!+#REF!,0)</f>
        <v>#REF!</v>
      </c>
    </row>
    <row r="500" spans="1:17" s="97" customFormat="1" x14ac:dyDescent="0.25">
      <c r="A500" s="220" t="s">
        <v>1349</v>
      </c>
      <c r="B500" s="221" t="s">
        <v>263</v>
      </c>
      <c r="C500" s="222" t="s">
        <v>142</v>
      </c>
      <c r="D500" s="70" t="s">
        <v>1177</v>
      </c>
      <c r="E500" s="229" t="s">
        <v>669</v>
      </c>
      <c r="F500" s="215" t="s">
        <v>677</v>
      </c>
      <c r="G500" s="70" t="s">
        <v>166</v>
      </c>
      <c r="H500" s="223" t="s">
        <v>655</v>
      </c>
      <c r="I500" s="222"/>
      <c r="J500" s="224" t="s">
        <v>708</v>
      </c>
      <c r="K500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0" s="225">
        <f>ROUND(Tableau17[[#This Row],[LEN]]*7.27,0)</f>
        <v>109</v>
      </c>
      <c r="M500" s="225">
        <v>15</v>
      </c>
      <c r="N500" s="226" t="str">
        <f t="shared" si="4"/>
        <v>none</v>
      </c>
      <c r="O500" s="225">
        <f>LEN(Tableau17[[#This Row],[LABEL]])</f>
        <v>15</v>
      </c>
      <c r="P500" s="225">
        <v>15</v>
      </c>
      <c r="Q500" s="225" t="e">
        <f>ROUND(Tableau17[[#This Row],[LEN]]*#REF!+#REF!,0)</f>
        <v>#REF!</v>
      </c>
    </row>
    <row r="501" spans="1:17" s="97" customFormat="1" x14ac:dyDescent="0.25">
      <c r="A501" s="220" t="s">
        <v>1350</v>
      </c>
      <c r="B501" s="221" t="s">
        <v>263</v>
      </c>
      <c r="C501" s="222" t="s">
        <v>1357</v>
      </c>
      <c r="D501" s="70" t="s">
        <v>1177</v>
      </c>
      <c r="E501" s="229" t="s">
        <v>673</v>
      </c>
      <c r="F501" s="215" t="s">
        <v>1249</v>
      </c>
      <c r="G501" s="70" t="s">
        <v>166</v>
      </c>
      <c r="H501" s="223" t="s">
        <v>655</v>
      </c>
      <c r="I501" s="222"/>
      <c r="J501" s="224" t="s">
        <v>708</v>
      </c>
      <c r="K501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1" s="225">
        <f>ROUND(Tableau17[[#This Row],[LEN]]*7.27,0)</f>
        <v>298</v>
      </c>
      <c r="M501" s="225">
        <v>15</v>
      </c>
      <c r="N501" s="226" t="str">
        <f t="shared" si="4"/>
        <v>none</v>
      </c>
      <c r="O501" s="225">
        <f>LEN(Tableau17[[#This Row],[LABEL]])</f>
        <v>41</v>
      </c>
      <c r="P501" s="225">
        <v>15</v>
      </c>
      <c r="Q501" s="225" t="e">
        <f>ROUND(Tableau17[[#This Row],[LEN]]*#REF!+#REF!,0)</f>
        <v>#REF!</v>
      </c>
    </row>
    <row r="502" spans="1:17" s="97" customFormat="1" x14ac:dyDescent="0.25">
      <c r="A502" s="220" t="s">
        <v>1351</v>
      </c>
      <c r="B502" s="221" t="s">
        <v>263</v>
      </c>
      <c r="C502" s="222" t="s">
        <v>1343</v>
      </c>
      <c r="D502" s="70" t="s">
        <v>1177</v>
      </c>
      <c r="E502" s="229" t="s">
        <v>676</v>
      </c>
      <c r="F502" s="215" t="s">
        <v>677</v>
      </c>
      <c r="G502" s="70" t="s">
        <v>166</v>
      </c>
      <c r="H502" s="223" t="s">
        <v>654</v>
      </c>
      <c r="I502" s="222"/>
      <c r="J502" s="224" t="s">
        <v>708</v>
      </c>
      <c r="K502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2" s="225">
        <f>ROUND(Tableau17[[#This Row],[LEN]]*7.27,0)</f>
        <v>269</v>
      </c>
      <c r="M502" s="225">
        <v>15</v>
      </c>
      <c r="N502" s="226" t="str">
        <f t="shared" si="4"/>
        <v>none</v>
      </c>
      <c r="O502" s="225">
        <f>LEN(Tableau17[[#This Row],[LABEL]])</f>
        <v>37</v>
      </c>
      <c r="P502" s="225">
        <v>15</v>
      </c>
      <c r="Q502" s="225" t="e">
        <f>ROUND(Tableau17[[#This Row],[LEN]]*#REF!+#REF!,0)</f>
        <v>#REF!</v>
      </c>
    </row>
    <row r="503" spans="1:17" s="97" customFormat="1" x14ac:dyDescent="0.25">
      <c r="A503" s="220" t="s">
        <v>1352</v>
      </c>
      <c r="B503" s="221" t="s">
        <v>263</v>
      </c>
      <c r="C503" s="222" t="s">
        <v>778</v>
      </c>
      <c r="D503" s="70" t="s">
        <v>1177</v>
      </c>
      <c r="E503" s="229" t="s">
        <v>673</v>
      </c>
      <c r="F503" s="27" t="s">
        <v>2000</v>
      </c>
      <c r="G503" s="70" t="s">
        <v>166</v>
      </c>
      <c r="H503" s="223" t="s">
        <v>17</v>
      </c>
      <c r="I503" s="222"/>
      <c r="J503" s="224" t="s">
        <v>708</v>
      </c>
      <c r="K503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3" s="225">
        <f>ROUND(Tableau17[[#This Row],[LEN]]*7.27,0)</f>
        <v>211</v>
      </c>
      <c r="M503" s="225">
        <v>15</v>
      </c>
      <c r="N503" s="226" t="str">
        <f t="shared" si="4"/>
        <v>none</v>
      </c>
      <c r="O503" s="225">
        <f>LEN(Tableau17[[#This Row],[LABEL]])</f>
        <v>29</v>
      </c>
      <c r="P503" s="225">
        <v>15</v>
      </c>
      <c r="Q503" s="225" t="e">
        <f>ROUND(Tableau17[[#This Row],[LEN]]*#REF!+#REF!,0)</f>
        <v>#REF!</v>
      </c>
    </row>
    <row r="504" spans="1:17" s="97" customFormat="1" x14ac:dyDescent="0.25">
      <c r="A504" s="220" t="s">
        <v>1353</v>
      </c>
      <c r="B504" s="221" t="s">
        <v>263</v>
      </c>
      <c r="C504" s="222" t="s">
        <v>91</v>
      </c>
      <c r="D504" s="70" t="s">
        <v>1177</v>
      </c>
      <c r="E504" s="229" t="s">
        <v>663</v>
      </c>
      <c r="F504" s="215" t="s">
        <v>2080</v>
      </c>
      <c r="G504" s="70" t="s">
        <v>166</v>
      </c>
      <c r="H504" s="223" t="s">
        <v>655</v>
      </c>
      <c r="I504" s="222"/>
      <c r="J504" s="224" t="s">
        <v>708</v>
      </c>
      <c r="K504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4" s="225">
        <f>ROUND(Tableau17[[#This Row],[LEN]]*7.27,0)</f>
        <v>269</v>
      </c>
      <c r="M504" s="225">
        <v>15</v>
      </c>
      <c r="N504" s="226" t="str">
        <f t="shared" si="4"/>
        <v>none</v>
      </c>
      <c r="O504" s="225">
        <f>LEN(Tableau17[[#This Row],[LABEL]])</f>
        <v>37</v>
      </c>
      <c r="P504" s="225">
        <v>15</v>
      </c>
      <c r="Q504" s="225" t="e">
        <f>ROUND(Tableau17[[#This Row],[LEN]]*#REF!+#REF!,0)</f>
        <v>#REF!</v>
      </c>
    </row>
    <row r="505" spans="1:17" s="97" customFormat="1" x14ac:dyDescent="0.25">
      <c r="A505" s="29" t="s">
        <v>1359</v>
      </c>
      <c r="B505" s="30" t="s">
        <v>1353</v>
      </c>
      <c r="C505" s="31" t="s">
        <v>98</v>
      </c>
      <c r="D505" s="71" t="s">
        <v>1177</v>
      </c>
      <c r="E505" s="31" t="s">
        <v>663</v>
      </c>
      <c r="F505" s="31" t="s">
        <v>1358</v>
      </c>
      <c r="G505" s="71" t="s">
        <v>166</v>
      </c>
      <c r="H505" s="71" t="s">
        <v>18</v>
      </c>
      <c r="I505" s="31"/>
      <c r="J505" s="32" t="s">
        <v>708</v>
      </c>
      <c r="K50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5" s="111">
        <f>ROUND(Tableau17[[#This Row],[LEN]]*7.27,0)</f>
        <v>109</v>
      </c>
      <c r="M505" s="111">
        <v>15</v>
      </c>
      <c r="N505" s="128" t="str">
        <f t="shared" si="4"/>
        <v>none</v>
      </c>
      <c r="O505" s="111">
        <f>LEN(Tableau17[[#This Row],[LABEL]])</f>
        <v>15</v>
      </c>
      <c r="P505" s="111">
        <v>15</v>
      </c>
      <c r="Q505" s="111" t="e">
        <f>ROUND(Tableau17[[#This Row],[LEN]]*#REF!+#REF!,0)</f>
        <v>#REF!</v>
      </c>
    </row>
    <row r="506" spans="1:17" s="97" customFormat="1" x14ac:dyDescent="0.25">
      <c r="A506" s="29" t="s">
        <v>1360</v>
      </c>
      <c r="B506" s="30" t="s">
        <v>1353</v>
      </c>
      <c r="C506" s="31" t="s">
        <v>99</v>
      </c>
      <c r="D506" s="71" t="s">
        <v>1177</v>
      </c>
      <c r="E506" s="31" t="s">
        <v>663</v>
      </c>
      <c r="F506" s="31" t="s">
        <v>1358</v>
      </c>
      <c r="G506" s="71" t="s">
        <v>166</v>
      </c>
      <c r="H506" s="71" t="s">
        <v>18</v>
      </c>
      <c r="I506" s="31"/>
      <c r="J506" s="32" t="s">
        <v>708</v>
      </c>
      <c r="K50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6" s="111">
        <f>ROUND(Tableau17[[#This Row],[LEN]]*7.27,0)</f>
        <v>80</v>
      </c>
      <c r="M506" s="111">
        <v>15</v>
      </c>
      <c r="N506" s="128" t="str">
        <f t="shared" si="4"/>
        <v>none</v>
      </c>
      <c r="O506" s="111">
        <f>LEN(Tableau17[[#This Row],[LABEL]])</f>
        <v>11</v>
      </c>
      <c r="P506" s="111">
        <v>15</v>
      </c>
      <c r="Q506" s="111" t="e">
        <f>ROUND(Tableau17[[#This Row],[LEN]]*#REF!+#REF!,0)</f>
        <v>#REF!</v>
      </c>
    </row>
    <row r="507" spans="1:17" s="97" customFormat="1" x14ac:dyDescent="0.25">
      <c r="A507" s="220" t="s">
        <v>1354</v>
      </c>
      <c r="B507" s="221" t="s">
        <v>263</v>
      </c>
      <c r="C507" s="222" t="s">
        <v>1167</v>
      </c>
      <c r="D507" s="70" t="s">
        <v>486</v>
      </c>
      <c r="E507" s="229" t="s">
        <v>1085</v>
      </c>
      <c r="F507" s="215" t="s">
        <v>1084</v>
      </c>
      <c r="G507" s="70" t="s">
        <v>1977</v>
      </c>
      <c r="H507" s="223" t="s">
        <v>1131</v>
      </c>
      <c r="I507" s="222"/>
      <c r="J507" s="224" t="s">
        <v>708</v>
      </c>
      <c r="K507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7" s="225">
        <f>ROUND(Tableau17[[#This Row],[LEN]]*7.27,0)</f>
        <v>196</v>
      </c>
      <c r="M507" s="225">
        <v>15</v>
      </c>
      <c r="N507" s="226" t="str">
        <f t="shared" si="4"/>
        <v>none</v>
      </c>
      <c r="O507" s="225">
        <f>LEN(Tableau17[[#This Row],[LABEL]])</f>
        <v>27</v>
      </c>
      <c r="P507" s="225">
        <v>15</v>
      </c>
      <c r="Q507" s="225" t="e">
        <f>ROUND(Tableau17[[#This Row],[LEN]]*#REF!+#REF!,0)</f>
        <v>#REF!</v>
      </c>
    </row>
    <row r="508" spans="1:17" s="97" customFormat="1" x14ac:dyDescent="0.25">
      <c r="A508" s="29" t="s">
        <v>1361</v>
      </c>
      <c r="B508" s="30" t="s">
        <v>1354</v>
      </c>
      <c r="C508" s="31" t="s">
        <v>93</v>
      </c>
      <c r="D508" s="71" t="s">
        <v>1177</v>
      </c>
      <c r="E508" s="31" t="s">
        <v>1085</v>
      </c>
      <c r="F508" s="31" t="s">
        <v>1084</v>
      </c>
      <c r="G508" s="71" t="s">
        <v>166</v>
      </c>
      <c r="H508" s="71" t="s">
        <v>18</v>
      </c>
      <c r="I508" s="31"/>
      <c r="J508" s="32" t="s">
        <v>101</v>
      </c>
      <c r="K50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8" s="111">
        <f>ROUND(Tableau17[[#This Row],[LEN]]*7.27,0)</f>
        <v>109</v>
      </c>
      <c r="M508" s="111">
        <v>15</v>
      </c>
      <c r="N508" s="128" t="str">
        <f t="shared" si="4"/>
        <v>new</v>
      </c>
      <c r="O508" s="111">
        <f>LEN(Tableau17[[#This Row],[LABEL]])</f>
        <v>15</v>
      </c>
      <c r="P508" s="111">
        <v>15</v>
      </c>
      <c r="Q508" s="111" t="e">
        <f>ROUND(Tableau17[[#This Row],[LEN]]*#REF!+#REF!,0)</f>
        <v>#REF!</v>
      </c>
    </row>
    <row r="509" spans="1:17" s="97" customFormat="1" x14ac:dyDescent="0.25">
      <c r="A509" s="29" t="s">
        <v>1362</v>
      </c>
      <c r="B509" s="30" t="s">
        <v>1354</v>
      </c>
      <c r="C509" s="31" t="s">
        <v>94</v>
      </c>
      <c r="D509" s="71" t="s">
        <v>1177</v>
      </c>
      <c r="E509" s="31" t="s">
        <v>1085</v>
      </c>
      <c r="F509" s="31" t="s">
        <v>1084</v>
      </c>
      <c r="G509" s="71" t="s">
        <v>166</v>
      </c>
      <c r="H509" s="71" t="s">
        <v>18</v>
      </c>
      <c r="I509" s="31"/>
      <c r="J509" s="32" t="s">
        <v>102</v>
      </c>
      <c r="K50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09" s="111">
        <f>ROUND(Tableau17[[#This Row],[LEN]]*7.27,0)</f>
        <v>58</v>
      </c>
      <c r="M509" s="111">
        <v>15</v>
      </c>
      <c r="N509" s="128" t="str">
        <f t="shared" si="4"/>
        <v>new</v>
      </c>
      <c r="O509" s="111">
        <f>LEN(Tableau17[[#This Row],[LABEL]])</f>
        <v>8</v>
      </c>
      <c r="P509" s="111">
        <v>15</v>
      </c>
      <c r="Q509" s="111" t="e">
        <f>ROUND(Tableau17[[#This Row],[LEN]]*#REF!+#REF!,0)</f>
        <v>#REF!</v>
      </c>
    </row>
    <row r="510" spans="1:17" s="273" customFormat="1" x14ac:dyDescent="0.25">
      <c r="A510" s="288" t="s">
        <v>264</v>
      </c>
      <c r="B510" s="289" t="s">
        <v>206</v>
      </c>
      <c r="C510" s="290" t="s">
        <v>14</v>
      </c>
      <c r="D510" s="291" t="s">
        <v>1177</v>
      </c>
      <c r="E510" s="290" t="s">
        <v>678</v>
      </c>
      <c r="F510" s="290" t="s">
        <v>1177</v>
      </c>
      <c r="G510" s="291" t="s">
        <v>166</v>
      </c>
      <c r="H510" s="291" t="str">
        <f>IFERROR(IF(SEARCH(".00.00.00.00.00",Tableau17[[#This Row],[name]],1)=7,"Division",""),"")</f>
        <v>Division</v>
      </c>
      <c r="I510" s="290"/>
      <c r="J510" s="292" t="s">
        <v>724</v>
      </c>
      <c r="K510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10" s="293">
        <f>ROUND(Tableau17[[#This Row],[LEN]]*7.27,0)</f>
        <v>240</v>
      </c>
      <c r="M510" s="293">
        <v>15</v>
      </c>
      <c r="N510" s="294" t="str">
        <f t="shared" si="4"/>
        <v>new</v>
      </c>
      <c r="O510" s="293">
        <f>LEN(Tableau17[[#This Row],[LABEL]])</f>
        <v>33</v>
      </c>
      <c r="P510" s="293">
        <v>15</v>
      </c>
      <c r="Q510" s="293" t="e">
        <f>ROUND(Tableau17[[#This Row],[LEN]]*#REF!+#REF!,0)</f>
        <v>#REF!</v>
      </c>
    </row>
    <row r="511" spans="1:17" s="97" customFormat="1" x14ac:dyDescent="0.25">
      <c r="A511" s="220" t="s">
        <v>1373</v>
      </c>
      <c r="B511" s="221" t="s">
        <v>264</v>
      </c>
      <c r="C511" s="222" t="s">
        <v>1168</v>
      </c>
      <c r="D511" s="70" t="s">
        <v>1177</v>
      </c>
      <c r="E511" s="229" t="s">
        <v>668</v>
      </c>
      <c r="F511" s="215" t="s">
        <v>1178</v>
      </c>
      <c r="G511" s="70" t="s">
        <v>166</v>
      </c>
      <c r="H511" s="223" t="s">
        <v>654</v>
      </c>
      <c r="I511" s="222"/>
      <c r="J511" s="224" t="s">
        <v>708</v>
      </c>
      <c r="K511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1" s="225">
        <f>ROUND(Tableau17[[#This Row],[LEN]]*7.27,0)</f>
        <v>262</v>
      </c>
      <c r="M511" s="225">
        <v>15</v>
      </c>
      <c r="N511" s="226" t="str">
        <f t="shared" si="4"/>
        <v>none</v>
      </c>
      <c r="O511" s="225">
        <f>LEN(Tableau17[[#This Row],[LABEL]])</f>
        <v>36</v>
      </c>
      <c r="P511" s="225">
        <v>15</v>
      </c>
      <c r="Q511" s="225" t="e">
        <f>ROUND(Tableau17[[#This Row],[LEN]]*#REF!+#REF!,0)</f>
        <v>#REF!</v>
      </c>
    </row>
    <row r="512" spans="1:17" s="97" customFormat="1" x14ac:dyDescent="0.25">
      <c r="A512" s="220" t="s">
        <v>1374</v>
      </c>
      <c r="B512" s="221" t="s">
        <v>264</v>
      </c>
      <c r="C512" s="222" t="s">
        <v>1337</v>
      </c>
      <c r="D512" s="70" t="s">
        <v>1338</v>
      </c>
      <c r="E512" s="229" t="s">
        <v>676</v>
      </c>
      <c r="F512" s="215" t="s">
        <v>1339</v>
      </c>
      <c r="G512" s="70" t="s">
        <v>166</v>
      </c>
      <c r="H512" s="223" t="s">
        <v>656</v>
      </c>
      <c r="I512" s="222"/>
      <c r="J512" s="224" t="s">
        <v>708</v>
      </c>
      <c r="K512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2" s="225">
        <f>ROUND(Tableau17[[#This Row],[LEN]]*7.27,0)</f>
        <v>378</v>
      </c>
      <c r="M512" s="225">
        <v>15</v>
      </c>
      <c r="N512" s="226" t="str">
        <f t="shared" si="4"/>
        <v>none</v>
      </c>
      <c r="O512" s="225">
        <f>LEN(Tableau17[[#This Row],[LABEL]])</f>
        <v>52</v>
      </c>
      <c r="P512" s="225">
        <v>15</v>
      </c>
      <c r="Q512" s="225" t="e">
        <f>ROUND(Tableau17[[#This Row],[LEN]]*#REF!+#REF!,0)</f>
        <v>#REF!</v>
      </c>
    </row>
    <row r="513" spans="1:17" s="97" customFormat="1" x14ac:dyDescent="0.25">
      <c r="A513" s="220" t="s">
        <v>1375</v>
      </c>
      <c r="B513" s="221" t="s">
        <v>264</v>
      </c>
      <c r="C513" s="222" t="s">
        <v>138</v>
      </c>
      <c r="D513" s="70" t="s">
        <v>1177</v>
      </c>
      <c r="E513" s="229" t="s">
        <v>669</v>
      </c>
      <c r="F513" s="215" t="s">
        <v>678</v>
      </c>
      <c r="G513" s="70" t="s">
        <v>166</v>
      </c>
      <c r="H513" s="223" t="s">
        <v>655</v>
      </c>
      <c r="I513" s="222"/>
      <c r="J513" s="224" t="s">
        <v>708</v>
      </c>
      <c r="K513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3" s="225">
        <f>ROUND(Tableau17[[#This Row],[LEN]]*7.27,0)</f>
        <v>225</v>
      </c>
      <c r="M513" s="225">
        <v>15</v>
      </c>
      <c r="N513" s="226" t="str">
        <f t="shared" si="4"/>
        <v>none</v>
      </c>
      <c r="O513" s="225">
        <f>LEN(Tableau17[[#This Row],[LABEL]])</f>
        <v>31</v>
      </c>
      <c r="P513" s="225">
        <v>15</v>
      </c>
      <c r="Q513" s="225" t="e">
        <f>ROUND(Tableau17[[#This Row],[LEN]]*#REF!+#REF!,0)</f>
        <v>#REF!</v>
      </c>
    </row>
    <row r="514" spans="1:17" s="97" customFormat="1" x14ac:dyDescent="0.25">
      <c r="A514" s="29" t="s">
        <v>1392</v>
      </c>
      <c r="B514" s="30" t="s">
        <v>1375</v>
      </c>
      <c r="C514" s="31" t="s">
        <v>139</v>
      </c>
      <c r="D514" s="71" t="s">
        <v>1177</v>
      </c>
      <c r="E514" s="31" t="s">
        <v>669</v>
      </c>
      <c r="F514" s="31" t="s">
        <v>678</v>
      </c>
      <c r="G514" s="71" t="s">
        <v>166</v>
      </c>
      <c r="H514" s="71" t="s">
        <v>654</v>
      </c>
      <c r="I514" s="31"/>
      <c r="J514" s="32" t="s">
        <v>708</v>
      </c>
      <c r="K51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4" s="111">
        <f>ROUND(Tableau17[[#This Row],[LEN]]*7.27,0)</f>
        <v>327</v>
      </c>
      <c r="M514" s="111">
        <v>15</v>
      </c>
      <c r="N514" s="128" t="str">
        <f t="shared" si="4"/>
        <v>none</v>
      </c>
      <c r="O514" s="111">
        <f>LEN(Tableau17[[#This Row],[LABEL]])</f>
        <v>45</v>
      </c>
      <c r="P514" s="111">
        <v>15</v>
      </c>
      <c r="Q514" s="111" t="e">
        <f>ROUND(Tableau17[[#This Row],[LEN]]*#REF!+#REF!,0)</f>
        <v>#REF!</v>
      </c>
    </row>
    <row r="515" spans="1:17" s="97" customFormat="1" x14ac:dyDescent="0.25">
      <c r="A515" s="29" t="s">
        <v>1393</v>
      </c>
      <c r="B515" s="30" t="s">
        <v>1375</v>
      </c>
      <c r="C515" s="31" t="s">
        <v>140</v>
      </c>
      <c r="D515" s="71" t="s">
        <v>1177</v>
      </c>
      <c r="E515" s="31" t="s">
        <v>669</v>
      </c>
      <c r="F515" s="31" t="s">
        <v>678</v>
      </c>
      <c r="G515" s="71" t="s">
        <v>166</v>
      </c>
      <c r="H515" s="71" t="s">
        <v>654</v>
      </c>
      <c r="I515" s="31"/>
      <c r="J515" s="32" t="s">
        <v>708</v>
      </c>
      <c r="K51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5" s="111">
        <f>ROUND(Tableau17[[#This Row],[LEN]]*7.27,0)</f>
        <v>385</v>
      </c>
      <c r="M515" s="111">
        <v>15</v>
      </c>
      <c r="N515" s="128" t="str">
        <f t="shared" si="4"/>
        <v>none</v>
      </c>
      <c r="O515" s="111">
        <f>LEN(Tableau17[[#This Row],[LABEL]])</f>
        <v>53</v>
      </c>
      <c r="P515" s="111">
        <v>15</v>
      </c>
      <c r="Q515" s="111" t="e">
        <f>ROUND(Tableau17[[#This Row],[LEN]]*#REF!+#REF!,0)</f>
        <v>#REF!</v>
      </c>
    </row>
    <row r="516" spans="1:17" s="97" customFormat="1" x14ac:dyDescent="0.25">
      <c r="A516" s="29" t="s">
        <v>1394</v>
      </c>
      <c r="B516" s="30" t="s">
        <v>1375</v>
      </c>
      <c r="C516" s="31" t="s">
        <v>141</v>
      </c>
      <c r="D516" s="71" t="s">
        <v>1177</v>
      </c>
      <c r="E516" s="31" t="s">
        <v>669</v>
      </c>
      <c r="F516" s="31" t="s">
        <v>678</v>
      </c>
      <c r="G516" s="71" t="s">
        <v>166</v>
      </c>
      <c r="H516" s="71" t="s">
        <v>17</v>
      </c>
      <c r="I516" s="31"/>
      <c r="J516" s="32" t="s">
        <v>708</v>
      </c>
      <c r="K51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6" s="111">
        <f>ROUND(Tableau17[[#This Row],[LEN]]*7.27,0)</f>
        <v>313</v>
      </c>
      <c r="M516" s="111">
        <v>15</v>
      </c>
      <c r="N516" s="128" t="str">
        <f t="shared" si="4"/>
        <v>none</v>
      </c>
      <c r="O516" s="111">
        <f>LEN(Tableau17[[#This Row],[LABEL]])</f>
        <v>43</v>
      </c>
      <c r="P516" s="111">
        <v>15</v>
      </c>
      <c r="Q516" s="111" t="e">
        <f>ROUND(Tableau17[[#This Row],[LEN]]*#REF!+#REF!,0)</f>
        <v>#REF!</v>
      </c>
    </row>
    <row r="517" spans="1:17" s="97" customFormat="1" x14ac:dyDescent="0.25">
      <c r="A517" s="220" t="s">
        <v>1376</v>
      </c>
      <c r="B517" s="221" t="s">
        <v>264</v>
      </c>
      <c r="C517" s="222" t="s">
        <v>483</v>
      </c>
      <c r="D517" s="70" t="s">
        <v>1177</v>
      </c>
      <c r="E517" s="229" t="s">
        <v>672</v>
      </c>
      <c r="F517" s="215" t="s">
        <v>678</v>
      </c>
      <c r="G517" s="70" t="s">
        <v>166</v>
      </c>
      <c r="H517" s="223" t="s">
        <v>655</v>
      </c>
      <c r="I517" s="222"/>
      <c r="J517" s="224" t="s">
        <v>708</v>
      </c>
      <c r="K517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7" s="225">
        <f>ROUND(Tableau17[[#This Row],[LEN]]*7.27,0)</f>
        <v>247</v>
      </c>
      <c r="M517" s="225">
        <v>15</v>
      </c>
      <c r="N517" s="226" t="str">
        <f t="shared" si="4"/>
        <v>none</v>
      </c>
      <c r="O517" s="225">
        <f>LEN(Tableau17[[#This Row],[LABEL]])</f>
        <v>34</v>
      </c>
      <c r="P517" s="225">
        <v>15</v>
      </c>
      <c r="Q517" s="225" t="e">
        <f>ROUND(Tableau17[[#This Row],[LEN]]*#REF!+#REF!,0)</f>
        <v>#REF!</v>
      </c>
    </row>
    <row r="518" spans="1:17" s="97" customFormat="1" x14ac:dyDescent="0.25">
      <c r="A518" s="29" t="s">
        <v>1396</v>
      </c>
      <c r="B518" s="30" t="s">
        <v>1376</v>
      </c>
      <c r="C518" s="31" t="s">
        <v>498</v>
      </c>
      <c r="D518" s="71" t="s">
        <v>1177</v>
      </c>
      <c r="E518" s="31" t="s">
        <v>672</v>
      </c>
      <c r="F518" s="31" t="s">
        <v>678</v>
      </c>
      <c r="G518" s="71" t="s">
        <v>166</v>
      </c>
      <c r="H518" s="71" t="s">
        <v>656</v>
      </c>
      <c r="I518" s="31"/>
      <c r="J518" s="32" t="s">
        <v>708</v>
      </c>
      <c r="K51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8" s="111">
        <f>ROUND(Tableau17[[#This Row],[LEN]]*7.27,0)</f>
        <v>349</v>
      </c>
      <c r="M518" s="111">
        <v>15</v>
      </c>
      <c r="N518" s="128" t="str">
        <f t="shared" si="4"/>
        <v>none</v>
      </c>
      <c r="O518" s="111">
        <f>LEN(Tableau17[[#This Row],[LABEL]])</f>
        <v>48</v>
      </c>
      <c r="P518" s="111">
        <v>15</v>
      </c>
      <c r="Q518" s="111" t="e">
        <f>ROUND(Tableau17[[#This Row],[LEN]]*#REF!+#REF!,0)</f>
        <v>#REF!</v>
      </c>
    </row>
    <row r="519" spans="1:17" s="97" customFormat="1" x14ac:dyDescent="0.25">
      <c r="A519" s="29" t="s">
        <v>1397</v>
      </c>
      <c r="B519" s="30" t="s">
        <v>1376</v>
      </c>
      <c r="C519" s="31" t="s">
        <v>499</v>
      </c>
      <c r="D519" s="71" t="s">
        <v>1177</v>
      </c>
      <c r="E519" s="31" t="s">
        <v>672</v>
      </c>
      <c r="F519" s="31" t="s">
        <v>678</v>
      </c>
      <c r="G519" s="71" t="s">
        <v>166</v>
      </c>
      <c r="H519" s="71" t="s">
        <v>570</v>
      </c>
      <c r="I519" s="31"/>
      <c r="J519" s="32" t="s">
        <v>708</v>
      </c>
      <c r="K51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19" s="111">
        <f>ROUND(Tableau17[[#This Row],[LEN]]*7.27,0)</f>
        <v>225</v>
      </c>
      <c r="M519" s="111">
        <v>15</v>
      </c>
      <c r="N519" s="128" t="str">
        <f t="shared" si="4"/>
        <v>none</v>
      </c>
      <c r="O519" s="111">
        <f>LEN(Tableau17[[#This Row],[LABEL]])</f>
        <v>31</v>
      </c>
      <c r="P519" s="111">
        <v>15</v>
      </c>
      <c r="Q519" s="111" t="e">
        <f>ROUND(Tableau17[[#This Row],[LEN]]*#REF!+#REF!,0)</f>
        <v>#REF!</v>
      </c>
    </row>
    <row r="520" spans="1:17" s="97" customFormat="1" x14ac:dyDescent="0.25">
      <c r="A520" s="29" t="s">
        <v>1398</v>
      </c>
      <c r="B520" s="30" t="s">
        <v>1376</v>
      </c>
      <c r="C520" s="31" t="s">
        <v>500</v>
      </c>
      <c r="D520" s="71" t="s">
        <v>1177</v>
      </c>
      <c r="E520" s="31" t="s">
        <v>672</v>
      </c>
      <c r="F520" s="31" t="s">
        <v>678</v>
      </c>
      <c r="G520" s="71" t="s">
        <v>166</v>
      </c>
      <c r="H520" s="71" t="s">
        <v>656</v>
      </c>
      <c r="I520" s="31"/>
      <c r="J520" s="32" t="s">
        <v>708</v>
      </c>
      <c r="K52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0" s="111">
        <f>ROUND(Tableau17[[#This Row],[LEN]]*7.27,0)</f>
        <v>254</v>
      </c>
      <c r="M520" s="111">
        <v>15</v>
      </c>
      <c r="N520" s="128" t="str">
        <f t="shared" si="4"/>
        <v>none</v>
      </c>
      <c r="O520" s="111">
        <f>LEN(Tableau17[[#This Row],[LABEL]])</f>
        <v>35</v>
      </c>
      <c r="P520" s="111">
        <v>15</v>
      </c>
      <c r="Q520" s="111" t="e">
        <f>ROUND(Tableau17[[#This Row],[LEN]]*#REF!+#REF!,0)</f>
        <v>#REF!</v>
      </c>
    </row>
    <row r="521" spans="1:17" s="97" customFormat="1" x14ac:dyDescent="0.25">
      <c r="A521" s="29" t="s">
        <v>1399</v>
      </c>
      <c r="B521" s="30" t="s">
        <v>1376</v>
      </c>
      <c r="C521" s="31" t="s">
        <v>501</v>
      </c>
      <c r="D521" s="71" t="s">
        <v>1177</v>
      </c>
      <c r="E521" s="31" t="s">
        <v>672</v>
      </c>
      <c r="F521" s="31" t="s">
        <v>678</v>
      </c>
      <c r="G521" s="71" t="s">
        <v>166</v>
      </c>
      <c r="H521" s="71" t="s">
        <v>656</v>
      </c>
      <c r="I521" s="31"/>
      <c r="J521" s="32" t="s">
        <v>708</v>
      </c>
      <c r="K521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1" s="111">
        <f>ROUND(Tableau17[[#This Row],[LEN]]*7.27,0)</f>
        <v>313</v>
      </c>
      <c r="M521" s="111">
        <v>15</v>
      </c>
      <c r="N521" s="128" t="str">
        <f t="shared" si="4"/>
        <v>none</v>
      </c>
      <c r="O521" s="111">
        <f>LEN(Tableau17[[#This Row],[LABEL]])</f>
        <v>43</v>
      </c>
      <c r="P521" s="111">
        <v>15</v>
      </c>
      <c r="Q521" s="111" t="e">
        <f>ROUND(Tableau17[[#This Row],[LEN]]*#REF!+#REF!,0)</f>
        <v>#REF!</v>
      </c>
    </row>
    <row r="522" spans="1:17" s="97" customFormat="1" x14ac:dyDescent="0.25">
      <c r="A522" s="29" t="s">
        <v>1400</v>
      </c>
      <c r="B522" s="30" t="s">
        <v>1376</v>
      </c>
      <c r="C522" s="31" t="s">
        <v>502</v>
      </c>
      <c r="D522" s="71" t="s">
        <v>1177</v>
      </c>
      <c r="E522" s="31" t="s">
        <v>672</v>
      </c>
      <c r="F522" s="31" t="s">
        <v>678</v>
      </c>
      <c r="G522" s="71" t="s">
        <v>166</v>
      </c>
      <c r="H522" s="71" t="s">
        <v>654</v>
      </c>
      <c r="I522" s="31"/>
      <c r="J522" s="32" t="s">
        <v>708</v>
      </c>
      <c r="K52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2" s="111">
        <f>ROUND(Tableau17[[#This Row],[LEN]]*7.27,0)</f>
        <v>247</v>
      </c>
      <c r="M522" s="111">
        <v>15</v>
      </c>
      <c r="N522" s="128" t="str">
        <f t="shared" si="4"/>
        <v>none</v>
      </c>
      <c r="O522" s="111">
        <f>LEN(Tableau17[[#This Row],[LABEL]])</f>
        <v>34</v>
      </c>
      <c r="P522" s="111">
        <v>15</v>
      </c>
      <c r="Q522" s="111" t="e">
        <f>ROUND(Tableau17[[#This Row],[LEN]]*#REF!+#REF!,0)</f>
        <v>#REF!</v>
      </c>
    </row>
    <row r="523" spans="1:17" s="97" customFormat="1" x14ac:dyDescent="0.25">
      <c r="A523" s="29" t="s">
        <v>1401</v>
      </c>
      <c r="B523" s="30" t="s">
        <v>1376</v>
      </c>
      <c r="C523" s="31" t="s">
        <v>503</v>
      </c>
      <c r="D523" s="71" t="s">
        <v>1177</v>
      </c>
      <c r="E523" s="31" t="s">
        <v>672</v>
      </c>
      <c r="F523" s="31" t="s">
        <v>678</v>
      </c>
      <c r="G523" s="71" t="s">
        <v>166</v>
      </c>
      <c r="H523" s="71" t="s">
        <v>656</v>
      </c>
      <c r="I523" s="31"/>
      <c r="J523" s="32" t="s">
        <v>708</v>
      </c>
      <c r="K52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3" s="111">
        <f>ROUND(Tableau17[[#This Row],[LEN]]*7.27,0)</f>
        <v>371</v>
      </c>
      <c r="M523" s="111">
        <v>15</v>
      </c>
      <c r="N523" s="128" t="str">
        <f t="shared" si="4"/>
        <v>none</v>
      </c>
      <c r="O523" s="111">
        <f>LEN(Tableau17[[#This Row],[LABEL]])</f>
        <v>51</v>
      </c>
      <c r="P523" s="111">
        <v>15</v>
      </c>
      <c r="Q523" s="111" t="e">
        <f>ROUND(Tableau17[[#This Row],[LEN]]*#REF!+#REF!,0)</f>
        <v>#REF!</v>
      </c>
    </row>
    <row r="524" spans="1:17" s="97" customFormat="1" x14ac:dyDescent="0.25">
      <c r="A524" s="220" t="s">
        <v>1377</v>
      </c>
      <c r="B524" s="221" t="s">
        <v>264</v>
      </c>
      <c r="C524" s="222" t="s">
        <v>88</v>
      </c>
      <c r="D524" s="70" t="s">
        <v>1177</v>
      </c>
      <c r="E524" s="229" t="s">
        <v>667</v>
      </c>
      <c r="F524" s="215" t="s">
        <v>1218</v>
      </c>
      <c r="G524" s="70" t="s">
        <v>166</v>
      </c>
      <c r="H524" s="223" t="s">
        <v>570</v>
      </c>
      <c r="I524" s="222"/>
      <c r="J524" s="224" t="s">
        <v>708</v>
      </c>
      <c r="K524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4" s="225">
        <f>ROUND(Tableau17[[#This Row],[LEN]]*7.27,0)</f>
        <v>342</v>
      </c>
      <c r="M524" s="225">
        <v>15</v>
      </c>
      <c r="N524" s="226" t="str">
        <f t="shared" si="4"/>
        <v>none</v>
      </c>
      <c r="O524" s="225">
        <f>LEN(Tableau17[[#This Row],[LABEL]])</f>
        <v>47</v>
      </c>
      <c r="P524" s="225">
        <v>15</v>
      </c>
      <c r="Q524" s="225" t="e">
        <f>ROUND(Tableau17[[#This Row],[LEN]]*#REF!+#REF!,0)</f>
        <v>#REF!</v>
      </c>
    </row>
    <row r="525" spans="1:17" s="97" customFormat="1" x14ac:dyDescent="0.25">
      <c r="A525" s="220" t="s">
        <v>1378</v>
      </c>
      <c r="B525" s="221" t="s">
        <v>264</v>
      </c>
      <c r="C525" s="222" t="s">
        <v>484</v>
      </c>
      <c r="D525" s="70" t="s">
        <v>1177</v>
      </c>
      <c r="E525" s="229" t="s">
        <v>672</v>
      </c>
      <c r="F525" s="215" t="s">
        <v>1285</v>
      </c>
      <c r="G525" s="70" t="s">
        <v>166</v>
      </c>
      <c r="H525" s="223" t="s">
        <v>655</v>
      </c>
      <c r="I525" s="222"/>
      <c r="J525" s="224" t="s">
        <v>727</v>
      </c>
      <c r="K525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5" s="225">
        <f>ROUND(Tableau17[[#This Row],[LEN]]*7.27,0)</f>
        <v>80</v>
      </c>
      <c r="M525" s="225">
        <v>15</v>
      </c>
      <c r="N525" s="226" t="str">
        <f t="shared" si="4"/>
        <v>new</v>
      </c>
      <c r="O525" s="225">
        <f>LEN(Tableau17[[#This Row],[LABEL]])</f>
        <v>11</v>
      </c>
      <c r="P525" s="225">
        <v>15</v>
      </c>
      <c r="Q525" s="225" t="e">
        <f>ROUND(Tableau17[[#This Row],[LEN]]*#REF!+#REF!,0)</f>
        <v>#REF!</v>
      </c>
    </row>
    <row r="526" spans="1:17" s="97" customFormat="1" x14ac:dyDescent="0.25">
      <c r="A526" s="29" t="s">
        <v>1402</v>
      </c>
      <c r="B526" s="30" t="s">
        <v>1378</v>
      </c>
      <c r="C526" s="31" t="s">
        <v>505</v>
      </c>
      <c r="D526" s="71" t="s">
        <v>1177</v>
      </c>
      <c r="E526" s="31" t="s">
        <v>672</v>
      </c>
      <c r="F526" s="31" t="s">
        <v>1285</v>
      </c>
      <c r="G526" s="71" t="s">
        <v>166</v>
      </c>
      <c r="H526" s="71" t="s">
        <v>18</v>
      </c>
      <c r="I526" s="31"/>
      <c r="J526" s="32" t="s">
        <v>705</v>
      </c>
      <c r="K52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6" s="111">
        <f>ROUND(Tableau17[[#This Row],[LEN]]*7.27,0)</f>
        <v>73</v>
      </c>
      <c r="M526" s="111">
        <v>15</v>
      </c>
      <c r="N526" s="128" t="str">
        <f t="shared" si="4"/>
        <v>new</v>
      </c>
      <c r="O526" s="111">
        <f>LEN(Tableau17[[#This Row],[LABEL]])</f>
        <v>10</v>
      </c>
      <c r="P526" s="111">
        <v>15</v>
      </c>
      <c r="Q526" s="111" t="e">
        <f>ROUND(Tableau17[[#This Row],[LEN]]*#REF!+#REF!,0)</f>
        <v>#REF!</v>
      </c>
    </row>
    <row r="527" spans="1:17" s="97" customFormat="1" x14ac:dyDescent="0.25">
      <c r="A527" s="29" t="s">
        <v>1403</v>
      </c>
      <c r="B527" s="30" t="s">
        <v>1378</v>
      </c>
      <c r="C527" s="31" t="s">
        <v>1284</v>
      </c>
      <c r="D527" s="71" t="s">
        <v>1177</v>
      </c>
      <c r="E527" s="31" t="s">
        <v>672</v>
      </c>
      <c r="F527" s="31" t="s">
        <v>1285</v>
      </c>
      <c r="G527" s="71" t="s">
        <v>166</v>
      </c>
      <c r="H527" s="71" t="s">
        <v>18</v>
      </c>
      <c r="I527" s="31"/>
      <c r="J527" s="32" t="s">
        <v>705</v>
      </c>
      <c r="K52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7" s="111">
        <f>ROUND(Tableau17[[#This Row],[LEN]]*7.27,0)</f>
        <v>153</v>
      </c>
      <c r="M527" s="111">
        <v>15</v>
      </c>
      <c r="N527" s="128" t="str">
        <f t="shared" si="4"/>
        <v>new</v>
      </c>
      <c r="O527" s="111">
        <f>LEN(Tableau17[[#This Row],[LABEL]])</f>
        <v>21</v>
      </c>
      <c r="P527" s="111">
        <v>15</v>
      </c>
      <c r="Q527" s="111" t="e">
        <f>ROUND(Tableau17[[#This Row],[LEN]]*#REF!+#REF!,0)</f>
        <v>#REF!</v>
      </c>
    </row>
    <row r="528" spans="1:17" s="97" customFormat="1" x14ac:dyDescent="0.25">
      <c r="A528" s="220" t="s">
        <v>1379</v>
      </c>
      <c r="B528" s="221" t="s">
        <v>264</v>
      </c>
      <c r="C528" s="222" t="s">
        <v>1357</v>
      </c>
      <c r="D528" s="70" t="s">
        <v>1177</v>
      </c>
      <c r="E528" s="229" t="s">
        <v>673</v>
      </c>
      <c r="F528" s="215" t="s">
        <v>1249</v>
      </c>
      <c r="G528" s="70" t="s">
        <v>166</v>
      </c>
      <c r="H528" s="223" t="s">
        <v>655</v>
      </c>
      <c r="I528" s="222"/>
      <c r="J528" s="224" t="s">
        <v>708</v>
      </c>
      <c r="K528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8" s="225">
        <f>ROUND(Tableau17[[#This Row],[LEN]]*7.27,0)</f>
        <v>298</v>
      </c>
      <c r="M528" s="225">
        <v>15</v>
      </c>
      <c r="N528" s="226" t="str">
        <f t="shared" si="4"/>
        <v>none</v>
      </c>
      <c r="O528" s="225">
        <f>LEN(Tableau17[[#This Row],[LABEL]])</f>
        <v>41</v>
      </c>
      <c r="P528" s="225">
        <v>15</v>
      </c>
      <c r="Q528" s="225" t="e">
        <f>ROUND(Tableau17[[#This Row],[LEN]]*#REF!+#REF!,0)</f>
        <v>#REF!</v>
      </c>
    </row>
    <row r="529" spans="1:17" s="97" customFormat="1" x14ac:dyDescent="0.25">
      <c r="A529" s="220" t="s">
        <v>1380</v>
      </c>
      <c r="B529" s="221" t="s">
        <v>264</v>
      </c>
      <c r="C529" s="222" t="s">
        <v>1404</v>
      </c>
      <c r="D529" s="70" t="s">
        <v>1177</v>
      </c>
      <c r="E529" s="229" t="s">
        <v>678</v>
      </c>
      <c r="F529" s="215" t="s">
        <v>1177</v>
      </c>
      <c r="G529" s="70" t="s">
        <v>166</v>
      </c>
      <c r="H529" s="223" t="s">
        <v>656</v>
      </c>
      <c r="I529" s="222"/>
      <c r="J529" s="224" t="s">
        <v>708</v>
      </c>
      <c r="K529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29" s="225">
        <f>ROUND(Tableau17[[#This Row],[LEN]]*7.27,0)</f>
        <v>371</v>
      </c>
      <c r="M529" s="225">
        <v>15</v>
      </c>
      <c r="N529" s="226" t="str">
        <f t="shared" si="4"/>
        <v>none</v>
      </c>
      <c r="O529" s="225">
        <f>LEN(Tableau17[[#This Row],[LABEL]])</f>
        <v>51</v>
      </c>
      <c r="P529" s="225">
        <v>15</v>
      </c>
      <c r="Q529" s="225" t="e">
        <f>ROUND(Tableau17[[#This Row],[LEN]]*#REF!+#REF!,0)</f>
        <v>#REF!</v>
      </c>
    </row>
    <row r="530" spans="1:17" s="97" customFormat="1" x14ac:dyDescent="0.25">
      <c r="A530" s="220" t="s">
        <v>1381</v>
      </c>
      <c r="B530" s="221" t="s">
        <v>264</v>
      </c>
      <c r="C530" s="222" t="s">
        <v>1310</v>
      </c>
      <c r="D530" s="70" t="s">
        <v>1177</v>
      </c>
      <c r="E530" s="229" t="s">
        <v>675</v>
      </c>
      <c r="F530" s="215" t="s">
        <v>678</v>
      </c>
      <c r="G530" s="70" t="s">
        <v>166</v>
      </c>
      <c r="H530" s="223" t="s">
        <v>655</v>
      </c>
      <c r="I530" s="222"/>
      <c r="J530" s="224" t="s">
        <v>708</v>
      </c>
      <c r="K530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0" s="225">
        <f>ROUND(Tableau17[[#This Row],[LEN]]*7.27,0)</f>
        <v>233</v>
      </c>
      <c r="M530" s="225">
        <v>15</v>
      </c>
      <c r="N530" s="226" t="str">
        <f t="shared" si="4"/>
        <v>none</v>
      </c>
      <c r="O530" s="225">
        <f>LEN(Tableau17[[#This Row],[LABEL]])</f>
        <v>32</v>
      </c>
      <c r="P530" s="225">
        <v>15</v>
      </c>
      <c r="Q530" s="225" t="e">
        <f>ROUND(Tableau17[[#This Row],[LEN]]*#REF!+#REF!,0)</f>
        <v>#REF!</v>
      </c>
    </row>
    <row r="531" spans="1:17" s="97" customFormat="1" x14ac:dyDescent="0.25">
      <c r="A531" s="220" t="s">
        <v>1382</v>
      </c>
      <c r="B531" s="221" t="s">
        <v>264</v>
      </c>
      <c r="C531" s="222" t="s">
        <v>1405</v>
      </c>
      <c r="D531" s="70" t="s">
        <v>1177</v>
      </c>
      <c r="E531" s="229" t="s">
        <v>675</v>
      </c>
      <c r="F531" s="215" t="s">
        <v>678</v>
      </c>
      <c r="G531" s="70" t="s">
        <v>166</v>
      </c>
      <c r="H531" s="223" t="s">
        <v>656</v>
      </c>
      <c r="I531" s="222"/>
      <c r="J531" s="224" t="s">
        <v>708</v>
      </c>
      <c r="K531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1" s="225">
        <f>ROUND(Tableau17[[#This Row],[LEN]]*7.27,0)</f>
        <v>443</v>
      </c>
      <c r="M531" s="225">
        <v>15</v>
      </c>
      <c r="N531" s="226" t="str">
        <f t="shared" si="4"/>
        <v>none</v>
      </c>
      <c r="O531" s="225">
        <f>LEN(Tableau17[[#This Row],[LABEL]])</f>
        <v>61</v>
      </c>
      <c r="P531" s="225">
        <v>15</v>
      </c>
      <c r="Q531" s="225" t="e">
        <f>ROUND(Tableau17[[#This Row],[LEN]]*#REF!+#REF!,0)</f>
        <v>#REF!</v>
      </c>
    </row>
    <row r="532" spans="1:17" s="97" customFormat="1" x14ac:dyDescent="0.25">
      <c r="A532" s="220" t="s">
        <v>1383</v>
      </c>
      <c r="B532" s="221" t="s">
        <v>264</v>
      </c>
      <c r="C532" s="222" t="s">
        <v>1343</v>
      </c>
      <c r="D532" s="70" t="s">
        <v>1177</v>
      </c>
      <c r="E532" s="229" t="s">
        <v>676</v>
      </c>
      <c r="F532" s="215" t="s">
        <v>1339</v>
      </c>
      <c r="G532" s="70" t="s">
        <v>166</v>
      </c>
      <c r="H532" s="223" t="s">
        <v>654</v>
      </c>
      <c r="I532" s="222"/>
      <c r="J532" s="224" t="s">
        <v>708</v>
      </c>
      <c r="K532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2" s="225">
        <f>ROUND(Tableau17[[#This Row],[LEN]]*7.27,0)</f>
        <v>269</v>
      </c>
      <c r="M532" s="225">
        <v>15</v>
      </c>
      <c r="N532" s="226" t="str">
        <f t="shared" si="4"/>
        <v>none</v>
      </c>
      <c r="O532" s="225">
        <f>LEN(Tableau17[[#This Row],[LABEL]])</f>
        <v>37</v>
      </c>
      <c r="P532" s="225">
        <v>15</v>
      </c>
      <c r="Q532" s="225" t="e">
        <f>ROUND(Tableau17[[#This Row],[LEN]]*#REF!+#REF!,0)</f>
        <v>#REF!</v>
      </c>
    </row>
    <row r="533" spans="1:17" s="97" customFormat="1" x14ac:dyDescent="0.25">
      <c r="A533" s="220" t="s">
        <v>1384</v>
      </c>
      <c r="B533" s="221" t="s">
        <v>264</v>
      </c>
      <c r="C533" s="222" t="s">
        <v>1154</v>
      </c>
      <c r="D533" s="70" t="s">
        <v>1177</v>
      </c>
      <c r="E533" s="229" t="s">
        <v>667</v>
      </c>
      <c r="F533" s="215" t="s">
        <v>1133</v>
      </c>
      <c r="G533" s="70" t="s">
        <v>166</v>
      </c>
      <c r="H533" s="223" t="s">
        <v>18</v>
      </c>
      <c r="I533" s="222"/>
      <c r="J533" s="224" t="s">
        <v>102</v>
      </c>
      <c r="K533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3" s="225">
        <f>ROUND(Tableau17[[#This Row],[LEN]]*7.27,0)</f>
        <v>443</v>
      </c>
      <c r="M533" s="225">
        <v>15</v>
      </c>
      <c r="N533" s="226" t="str">
        <f t="shared" si="4"/>
        <v>new</v>
      </c>
      <c r="O533" s="225">
        <f>LEN(Tableau17[[#This Row],[LABEL]])</f>
        <v>61</v>
      </c>
      <c r="P533" s="225">
        <v>15</v>
      </c>
      <c r="Q533" s="225" t="e">
        <f>ROUND(Tableau17[[#This Row],[LEN]]*#REF!+#REF!,0)</f>
        <v>#REF!</v>
      </c>
    </row>
    <row r="534" spans="1:17" s="97" customFormat="1" x14ac:dyDescent="0.25">
      <c r="A534" s="220" t="s">
        <v>1385</v>
      </c>
      <c r="B534" s="221" t="s">
        <v>264</v>
      </c>
      <c r="C534" s="222" t="s">
        <v>778</v>
      </c>
      <c r="D534" s="70" t="s">
        <v>1177</v>
      </c>
      <c r="E534" s="229" t="s">
        <v>673</v>
      </c>
      <c r="F534" s="27" t="s">
        <v>2000</v>
      </c>
      <c r="G534" s="70" t="s">
        <v>166</v>
      </c>
      <c r="H534" s="223" t="s">
        <v>17</v>
      </c>
      <c r="I534" s="222"/>
      <c r="J534" s="224" t="s">
        <v>708</v>
      </c>
      <c r="K534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4" s="225">
        <f>ROUND(Tableau17[[#This Row],[LEN]]*7.27,0)</f>
        <v>211</v>
      </c>
      <c r="M534" s="225">
        <v>15</v>
      </c>
      <c r="N534" s="226" t="str">
        <f t="shared" si="4"/>
        <v>none</v>
      </c>
      <c r="O534" s="225">
        <f>LEN(Tableau17[[#This Row],[LABEL]])</f>
        <v>29</v>
      </c>
      <c r="P534" s="225">
        <v>15</v>
      </c>
      <c r="Q534" s="225" t="e">
        <f>ROUND(Tableau17[[#This Row],[LEN]]*#REF!+#REF!,0)</f>
        <v>#REF!</v>
      </c>
    </row>
    <row r="535" spans="1:17" s="97" customFormat="1" x14ac:dyDescent="0.25">
      <c r="A535" s="220" t="s">
        <v>1386</v>
      </c>
      <c r="B535" s="221" t="s">
        <v>264</v>
      </c>
      <c r="C535" s="222" t="s">
        <v>91</v>
      </c>
      <c r="D535" s="70" t="s">
        <v>1177</v>
      </c>
      <c r="E535" s="229" t="s">
        <v>663</v>
      </c>
      <c r="F535" s="215" t="s">
        <v>2080</v>
      </c>
      <c r="G535" s="70" t="s">
        <v>166</v>
      </c>
      <c r="H535" s="223" t="s">
        <v>655</v>
      </c>
      <c r="I535" s="222"/>
      <c r="J535" s="224" t="s">
        <v>708</v>
      </c>
      <c r="K535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5" s="225">
        <f>ROUND(Tableau17[[#This Row],[LEN]]*7.27,0)</f>
        <v>269</v>
      </c>
      <c r="M535" s="225">
        <v>15</v>
      </c>
      <c r="N535" s="226" t="str">
        <f t="shared" si="4"/>
        <v>none</v>
      </c>
      <c r="O535" s="225">
        <f>LEN(Tableau17[[#This Row],[LABEL]])</f>
        <v>37</v>
      </c>
      <c r="P535" s="225">
        <v>15</v>
      </c>
      <c r="Q535" s="225" t="e">
        <f>ROUND(Tableau17[[#This Row],[LEN]]*#REF!+#REF!,0)</f>
        <v>#REF!</v>
      </c>
    </row>
    <row r="536" spans="1:17" s="97" customFormat="1" x14ac:dyDescent="0.25">
      <c r="A536" s="29" t="s">
        <v>1406</v>
      </c>
      <c r="B536" s="30" t="s">
        <v>1386</v>
      </c>
      <c r="C536" s="31" t="s">
        <v>98</v>
      </c>
      <c r="D536" s="71" t="s">
        <v>1177</v>
      </c>
      <c r="E536" s="31" t="s">
        <v>663</v>
      </c>
      <c r="F536" s="31" t="s">
        <v>2080</v>
      </c>
      <c r="G536" s="71" t="s">
        <v>166</v>
      </c>
      <c r="H536" s="71" t="s">
        <v>18</v>
      </c>
      <c r="I536" s="31"/>
      <c r="J536" s="32" t="s">
        <v>708</v>
      </c>
      <c r="K536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6" s="111">
        <f>ROUND(Tableau17[[#This Row],[LEN]]*7.27,0)</f>
        <v>109</v>
      </c>
      <c r="M536" s="111">
        <v>15</v>
      </c>
      <c r="N536" s="128" t="str">
        <f t="shared" si="4"/>
        <v>none</v>
      </c>
      <c r="O536" s="111">
        <f>LEN(Tableau17[[#This Row],[LABEL]])</f>
        <v>15</v>
      </c>
      <c r="P536" s="111">
        <v>15</v>
      </c>
      <c r="Q536" s="111" t="e">
        <f>ROUND(Tableau17[[#This Row],[LEN]]*#REF!+#REF!,0)</f>
        <v>#REF!</v>
      </c>
    </row>
    <row r="537" spans="1:17" s="97" customFormat="1" x14ac:dyDescent="0.25">
      <c r="A537" s="29" t="s">
        <v>1407</v>
      </c>
      <c r="B537" s="30" t="s">
        <v>1386</v>
      </c>
      <c r="C537" s="31" t="s">
        <v>99</v>
      </c>
      <c r="D537" s="71" t="s">
        <v>1177</v>
      </c>
      <c r="E537" s="31" t="s">
        <v>663</v>
      </c>
      <c r="F537" s="31" t="s">
        <v>2080</v>
      </c>
      <c r="G537" s="71" t="s">
        <v>166</v>
      </c>
      <c r="H537" s="71" t="s">
        <v>18</v>
      </c>
      <c r="I537" s="31"/>
      <c r="J537" s="32" t="s">
        <v>708</v>
      </c>
      <c r="K537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7" s="111">
        <f>ROUND(Tableau17[[#This Row],[LEN]]*7.27,0)</f>
        <v>80</v>
      </c>
      <c r="M537" s="111">
        <v>15</v>
      </c>
      <c r="N537" s="128" t="str">
        <f t="shared" si="4"/>
        <v>none</v>
      </c>
      <c r="O537" s="111">
        <f>LEN(Tableau17[[#This Row],[LABEL]])</f>
        <v>11</v>
      </c>
      <c r="P537" s="111">
        <v>15</v>
      </c>
      <c r="Q537" s="111" t="e">
        <f>ROUND(Tableau17[[#This Row],[LEN]]*#REF!+#REF!,0)</f>
        <v>#REF!</v>
      </c>
    </row>
    <row r="538" spans="1:17" s="97" customFormat="1" x14ac:dyDescent="0.25">
      <c r="A538" s="220" t="s">
        <v>1387</v>
      </c>
      <c r="B538" s="221" t="s">
        <v>264</v>
      </c>
      <c r="C538" s="222" t="s">
        <v>1408</v>
      </c>
      <c r="D538" s="70" t="s">
        <v>1409</v>
      </c>
      <c r="E538" s="229" t="s">
        <v>678</v>
      </c>
      <c r="F538" s="215" t="s">
        <v>671</v>
      </c>
      <c r="G538" s="70" t="s">
        <v>166</v>
      </c>
      <c r="H538" s="223" t="s">
        <v>18</v>
      </c>
      <c r="I538" s="222"/>
      <c r="J538" s="224" t="s">
        <v>708</v>
      </c>
      <c r="K538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8" s="225">
        <f>ROUND(Tableau17[[#This Row],[LEN]]*7.27,0)</f>
        <v>364</v>
      </c>
      <c r="M538" s="225">
        <v>15</v>
      </c>
      <c r="N538" s="226" t="str">
        <f t="shared" si="4"/>
        <v>none</v>
      </c>
      <c r="O538" s="225">
        <f>LEN(Tableau17[[#This Row],[LABEL]])</f>
        <v>50</v>
      </c>
      <c r="P538" s="225">
        <v>15</v>
      </c>
      <c r="Q538" s="225" t="e">
        <f>ROUND(Tableau17[[#This Row],[LEN]]*#REF!+#REF!,0)</f>
        <v>#REF!</v>
      </c>
    </row>
    <row r="539" spans="1:17" s="97" customFormat="1" x14ac:dyDescent="0.25">
      <c r="A539" s="220" t="s">
        <v>1388</v>
      </c>
      <c r="B539" s="221" t="s">
        <v>264</v>
      </c>
      <c r="C539" s="222" t="s">
        <v>1410</v>
      </c>
      <c r="D539" s="70" t="s">
        <v>1177</v>
      </c>
      <c r="E539" s="229" t="s">
        <v>678</v>
      </c>
      <c r="F539" s="215" t="s">
        <v>1177</v>
      </c>
      <c r="G539" s="70" t="s">
        <v>166</v>
      </c>
      <c r="H539" s="223" t="s">
        <v>570</v>
      </c>
      <c r="I539" s="222"/>
      <c r="J539" s="224" t="s">
        <v>708</v>
      </c>
      <c r="K539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39" s="225">
        <f>ROUND(Tableau17[[#This Row],[LEN]]*7.27,0)</f>
        <v>291</v>
      </c>
      <c r="M539" s="225">
        <v>15</v>
      </c>
      <c r="N539" s="226" t="str">
        <f t="shared" si="4"/>
        <v>none</v>
      </c>
      <c r="O539" s="225">
        <f>LEN(Tableau17[[#This Row],[LABEL]])</f>
        <v>40</v>
      </c>
      <c r="P539" s="225">
        <v>15</v>
      </c>
      <c r="Q539" s="225" t="e">
        <f>ROUND(Tableau17[[#This Row],[LEN]]*#REF!+#REF!,0)</f>
        <v>#REF!</v>
      </c>
    </row>
    <row r="540" spans="1:17" s="97" customFormat="1" x14ac:dyDescent="0.25">
      <c r="A540" s="220" t="s">
        <v>1389</v>
      </c>
      <c r="B540" s="221" t="s">
        <v>264</v>
      </c>
      <c r="C540" s="222" t="s">
        <v>1411</v>
      </c>
      <c r="D540" s="70" t="s">
        <v>1177</v>
      </c>
      <c r="E540" s="229" t="s">
        <v>678</v>
      </c>
      <c r="F540" s="215" t="s">
        <v>1177</v>
      </c>
      <c r="G540" s="70" t="s">
        <v>166</v>
      </c>
      <c r="H540" s="223" t="s">
        <v>656</v>
      </c>
      <c r="I540" s="222"/>
      <c r="J540" s="224" t="s">
        <v>708</v>
      </c>
      <c r="K540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0" s="225">
        <f>ROUND(Tableau17[[#This Row],[LEN]]*7.27,0)</f>
        <v>473</v>
      </c>
      <c r="M540" s="225">
        <v>15</v>
      </c>
      <c r="N540" s="226" t="str">
        <f t="shared" si="4"/>
        <v>none</v>
      </c>
      <c r="O540" s="225">
        <f>LEN(Tableau17[[#This Row],[LABEL]])</f>
        <v>65</v>
      </c>
      <c r="P540" s="225">
        <v>15</v>
      </c>
      <c r="Q540" s="225" t="e">
        <f>ROUND(Tableau17[[#This Row],[LEN]]*#REF!+#REF!,0)</f>
        <v>#REF!</v>
      </c>
    </row>
    <row r="541" spans="1:17" s="97" customFormat="1" x14ac:dyDescent="0.25">
      <c r="A541" s="220" t="s">
        <v>1390</v>
      </c>
      <c r="B541" s="221" t="s">
        <v>264</v>
      </c>
      <c r="C541" s="222" t="s">
        <v>1167</v>
      </c>
      <c r="D541" s="70" t="s">
        <v>486</v>
      </c>
      <c r="E541" s="229" t="s">
        <v>1085</v>
      </c>
      <c r="F541" s="215" t="s">
        <v>1084</v>
      </c>
      <c r="G541" s="70" t="s">
        <v>1977</v>
      </c>
      <c r="H541" s="223" t="s">
        <v>1131</v>
      </c>
      <c r="I541" s="222"/>
      <c r="J541" s="224" t="s">
        <v>708</v>
      </c>
      <c r="K541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1" s="225">
        <f>ROUND(Tableau17[[#This Row],[LEN]]*7.27,0)</f>
        <v>196</v>
      </c>
      <c r="M541" s="225">
        <v>15</v>
      </c>
      <c r="N541" s="226" t="str">
        <f t="shared" si="4"/>
        <v>none</v>
      </c>
      <c r="O541" s="225">
        <f>LEN(Tableau17[[#This Row],[LABEL]])</f>
        <v>27</v>
      </c>
      <c r="P541" s="225">
        <v>15</v>
      </c>
      <c r="Q541" s="225" t="e">
        <f>ROUND(Tableau17[[#This Row],[LEN]]*#REF!+#REF!,0)</f>
        <v>#REF!</v>
      </c>
    </row>
    <row r="542" spans="1:17" s="97" customFormat="1" x14ac:dyDescent="0.25">
      <c r="A542" s="29" t="s">
        <v>1412</v>
      </c>
      <c r="B542" s="30" t="s">
        <v>1390</v>
      </c>
      <c r="C542" s="31" t="s">
        <v>93</v>
      </c>
      <c r="D542" s="71" t="s">
        <v>1177</v>
      </c>
      <c r="E542" s="31" t="s">
        <v>1085</v>
      </c>
      <c r="F542" s="31" t="s">
        <v>1084</v>
      </c>
      <c r="G542" s="71" t="s">
        <v>166</v>
      </c>
      <c r="H542" s="71" t="s">
        <v>18</v>
      </c>
      <c r="I542" s="31"/>
      <c r="J542" s="32" t="s">
        <v>101</v>
      </c>
      <c r="K542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2" s="111">
        <f>ROUND(Tableau17[[#This Row],[LEN]]*7.27,0)</f>
        <v>109</v>
      </c>
      <c r="M542" s="111">
        <v>15</v>
      </c>
      <c r="N542" s="128" t="str">
        <f t="shared" si="4"/>
        <v>new</v>
      </c>
      <c r="O542" s="111">
        <f>LEN(Tableau17[[#This Row],[LABEL]])</f>
        <v>15</v>
      </c>
      <c r="P542" s="111">
        <v>15</v>
      </c>
      <c r="Q542" s="111" t="e">
        <f>ROUND(Tableau17[[#This Row],[LEN]]*#REF!+#REF!,0)</f>
        <v>#REF!</v>
      </c>
    </row>
    <row r="543" spans="1:17" s="97" customFormat="1" x14ac:dyDescent="0.25">
      <c r="A543" s="29" t="s">
        <v>1413</v>
      </c>
      <c r="B543" s="30" t="s">
        <v>1390</v>
      </c>
      <c r="C543" s="31" t="s">
        <v>94</v>
      </c>
      <c r="D543" s="71" t="s">
        <v>1177</v>
      </c>
      <c r="E543" s="31" t="s">
        <v>1085</v>
      </c>
      <c r="F543" s="31" t="s">
        <v>1084</v>
      </c>
      <c r="G543" s="71" t="s">
        <v>166</v>
      </c>
      <c r="H543" s="71" t="s">
        <v>18</v>
      </c>
      <c r="I543" s="31"/>
      <c r="J543" s="32" t="s">
        <v>102</v>
      </c>
      <c r="K543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3" s="111">
        <f>ROUND(Tableau17[[#This Row],[LEN]]*7.27,0)</f>
        <v>58</v>
      </c>
      <c r="M543" s="111">
        <v>15</v>
      </c>
      <c r="N543" s="128" t="str">
        <f t="shared" si="4"/>
        <v>new</v>
      </c>
      <c r="O543" s="111">
        <f>LEN(Tableau17[[#This Row],[LABEL]])</f>
        <v>8</v>
      </c>
      <c r="P543" s="111">
        <v>15</v>
      </c>
      <c r="Q543" s="111" t="e">
        <f>ROUND(Tableau17[[#This Row],[LEN]]*#REF!+#REF!,0)</f>
        <v>#REF!</v>
      </c>
    </row>
    <row r="544" spans="1:17" s="273" customFormat="1" x14ac:dyDescent="0.25">
      <c r="A544" s="288" t="s">
        <v>265</v>
      </c>
      <c r="B544" s="289" t="s">
        <v>206</v>
      </c>
      <c r="C544" s="290" t="s">
        <v>15</v>
      </c>
      <c r="D544" s="291" t="s">
        <v>1177</v>
      </c>
      <c r="E544" s="290" t="s">
        <v>679</v>
      </c>
      <c r="F544" s="290" t="s">
        <v>1177</v>
      </c>
      <c r="G544" s="291" t="s">
        <v>166</v>
      </c>
      <c r="H544" s="291" t="str">
        <f>IFERROR(IF(SEARCH(".00.00.00.00.00",Tableau17[[#This Row],[name]],1)=7,"Division",""),"")</f>
        <v>Division</v>
      </c>
      <c r="I544" s="290"/>
      <c r="J544" s="292" t="s">
        <v>708</v>
      </c>
      <c r="K544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44" s="293">
        <f>ROUND(Tableau17[[#This Row],[LEN]]*7.27,0)</f>
        <v>174</v>
      </c>
      <c r="M544" s="293">
        <v>15</v>
      </c>
      <c r="N544" s="294" t="str">
        <f t="shared" si="4"/>
        <v>none</v>
      </c>
      <c r="O544" s="293">
        <f>LEN(Tableau17[[#This Row],[LABEL]])</f>
        <v>24</v>
      </c>
      <c r="P544" s="293">
        <v>15</v>
      </c>
      <c r="Q544" s="293" t="e">
        <f>ROUND(Tableau17[[#This Row],[LEN]]*#REF!+#REF!,0)</f>
        <v>#REF!</v>
      </c>
    </row>
    <row r="545" spans="1:17" s="97" customFormat="1" x14ac:dyDescent="0.25">
      <c r="A545" s="220" t="s">
        <v>1414</v>
      </c>
      <c r="B545" s="221" t="s">
        <v>265</v>
      </c>
      <c r="C545" s="222" t="s">
        <v>88</v>
      </c>
      <c r="D545" s="70" t="s">
        <v>1177</v>
      </c>
      <c r="E545" s="229" t="s">
        <v>667</v>
      </c>
      <c r="F545" s="215" t="s">
        <v>1218</v>
      </c>
      <c r="G545" s="70" t="s">
        <v>166</v>
      </c>
      <c r="H545" s="223" t="s">
        <v>570</v>
      </c>
      <c r="I545" s="222"/>
      <c r="J545" s="224" t="s">
        <v>708</v>
      </c>
      <c r="K545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5" s="225">
        <f>ROUND(Tableau17[[#This Row],[LEN]]*7.27,0)</f>
        <v>342</v>
      </c>
      <c r="M545" s="225">
        <v>15</v>
      </c>
      <c r="N545" s="226" t="str">
        <f t="shared" si="4"/>
        <v>none</v>
      </c>
      <c r="O545" s="225">
        <f>LEN(Tableau17[[#This Row],[LABEL]])</f>
        <v>47</v>
      </c>
      <c r="P545" s="225">
        <v>15</v>
      </c>
      <c r="Q545" s="225" t="e">
        <f>ROUND(Tableau17[[#This Row],[LEN]]*#REF!+#REF!,0)</f>
        <v>#REF!</v>
      </c>
    </row>
    <row r="546" spans="1:17" s="97" customFormat="1" x14ac:dyDescent="0.25">
      <c r="A546" s="220" t="s">
        <v>1415</v>
      </c>
      <c r="B546" s="221" t="s">
        <v>265</v>
      </c>
      <c r="C546" s="222" t="s">
        <v>1357</v>
      </c>
      <c r="D546" s="70" t="s">
        <v>1177</v>
      </c>
      <c r="E546" s="229" t="s">
        <v>673</v>
      </c>
      <c r="F546" s="215" t="s">
        <v>1249</v>
      </c>
      <c r="G546" s="70" t="s">
        <v>166</v>
      </c>
      <c r="H546" s="223" t="s">
        <v>655</v>
      </c>
      <c r="I546" s="222"/>
      <c r="J546" s="224" t="s">
        <v>708</v>
      </c>
      <c r="K546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6" s="225">
        <f>ROUND(Tableau17[[#This Row],[LEN]]*7.27,0)</f>
        <v>298</v>
      </c>
      <c r="M546" s="225">
        <v>15</v>
      </c>
      <c r="N546" s="226" t="str">
        <f t="shared" si="4"/>
        <v>none</v>
      </c>
      <c r="O546" s="225">
        <f>LEN(Tableau17[[#This Row],[LABEL]])</f>
        <v>41</v>
      </c>
      <c r="P546" s="225">
        <v>15</v>
      </c>
      <c r="Q546" s="225" t="e">
        <f>ROUND(Tableau17[[#This Row],[LEN]]*#REF!+#REF!,0)</f>
        <v>#REF!</v>
      </c>
    </row>
    <row r="547" spans="1:17" s="97" customFormat="1" x14ac:dyDescent="0.25">
      <c r="A547" s="220" t="s">
        <v>1416</v>
      </c>
      <c r="B547" s="221" t="s">
        <v>265</v>
      </c>
      <c r="C547" s="222" t="s">
        <v>778</v>
      </c>
      <c r="D547" s="70" t="s">
        <v>1177</v>
      </c>
      <c r="E547" s="229" t="s">
        <v>673</v>
      </c>
      <c r="F547" s="27" t="s">
        <v>2000</v>
      </c>
      <c r="G547" s="70" t="s">
        <v>166</v>
      </c>
      <c r="H547" s="223" t="s">
        <v>17</v>
      </c>
      <c r="I547" s="222"/>
      <c r="J547" s="224" t="s">
        <v>708</v>
      </c>
      <c r="K547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7" s="225">
        <f>ROUND(Tableau17[[#This Row],[LEN]]*7.27,0)</f>
        <v>211</v>
      </c>
      <c r="M547" s="225">
        <v>15</v>
      </c>
      <c r="N547" s="226" t="str">
        <f t="shared" si="4"/>
        <v>none</v>
      </c>
      <c r="O547" s="225">
        <f>LEN(Tableau17[[#This Row],[LABEL]])</f>
        <v>29</v>
      </c>
      <c r="P547" s="225">
        <v>15</v>
      </c>
      <c r="Q547" s="225" t="e">
        <f>ROUND(Tableau17[[#This Row],[LEN]]*#REF!+#REF!,0)</f>
        <v>#REF!</v>
      </c>
    </row>
    <row r="548" spans="1:17" s="97" customFormat="1" x14ac:dyDescent="0.25">
      <c r="A548" s="220" t="s">
        <v>1417</v>
      </c>
      <c r="B548" s="221" t="s">
        <v>265</v>
      </c>
      <c r="C548" s="222" t="s">
        <v>91</v>
      </c>
      <c r="D548" s="70" t="s">
        <v>1177</v>
      </c>
      <c r="E548" s="229" t="s">
        <v>663</v>
      </c>
      <c r="F548" s="215" t="s">
        <v>2080</v>
      </c>
      <c r="G548" s="70" t="s">
        <v>166</v>
      </c>
      <c r="H548" s="223" t="s">
        <v>655</v>
      </c>
      <c r="I548" s="222"/>
      <c r="J548" s="224" t="s">
        <v>708</v>
      </c>
      <c r="K548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8" s="225">
        <f>ROUND(Tableau17[[#This Row],[LEN]]*7.27,0)</f>
        <v>269</v>
      </c>
      <c r="M548" s="225">
        <v>15</v>
      </c>
      <c r="N548" s="226" t="str">
        <f t="shared" si="4"/>
        <v>none</v>
      </c>
      <c r="O548" s="225">
        <f>LEN(Tableau17[[#This Row],[LABEL]])</f>
        <v>37</v>
      </c>
      <c r="P548" s="225">
        <v>15</v>
      </c>
      <c r="Q548" s="225" t="e">
        <f>ROUND(Tableau17[[#This Row],[LEN]]*#REF!+#REF!,0)</f>
        <v>#REF!</v>
      </c>
    </row>
    <row r="549" spans="1:17" s="97" customFormat="1" x14ac:dyDescent="0.25">
      <c r="A549" s="29" t="s">
        <v>1421</v>
      </c>
      <c r="B549" s="30" t="s">
        <v>1417</v>
      </c>
      <c r="C549" s="31" t="s">
        <v>98</v>
      </c>
      <c r="D549" s="71" t="s">
        <v>1177</v>
      </c>
      <c r="E549" s="31" t="s">
        <v>663</v>
      </c>
      <c r="F549" s="31" t="s">
        <v>2080</v>
      </c>
      <c r="G549" s="71" t="s">
        <v>166</v>
      </c>
      <c r="H549" s="71" t="s">
        <v>18</v>
      </c>
      <c r="I549" s="31"/>
      <c r="J549" s="32" t="s">
        <v>708</v>
      </c>
      <c r="K54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49" s="111">
        <f>ROUND(Tableau17[[#This Row],[LEN]]*7.27,0)</f>
        <v>109</v>
      </c>
      <c r="M549" s="111">
        <v>15</v>
      </c>
      <c r="N549" s="128" t="str">
        <f t="shared" si="4"/>
        <v>none</v>
      </c>
      <c r="O549" s="111">
        <f>LEN(Tableau17[[#This Row],[LABEL]])</f>
        <v>15</v>
      </c>
      <c r="P549" s="111">
        <v>15</v>
      </c>
      <c r="Q549" s="111" t="e">
        <f>ROUND(Tableau17[[#This Row],[LEN]]*#REF!+#REF!,0)</f>
        <v>#REF!</v>
      </c>
    </row>
    <row r="550" spans="1:17" s="97" customFormat="1" x14ac:dyDescent="0.25">
      <c r="A550" s="29" t="s">
        <v>1422</v>
      </c>
      <c r="B550" s="30" t="s">
        <v>1417</v>
      </c>
      <c r="C550" s="31" t="s">
        <v>99</v>
      </c>
      <c r="D550" s="71" t="s">
        <v>1177</v>
      </c>
      <c r="E550" s="31" t="s">
        <v>663</v>
      </c>
      <c r="F550" s="31" t="s">
        <v>2080</v>
      </c>
      <c r="G550" s="71" t="s">
        <v>166</v>
      </c>
      <c r="H550" s="71" t="s">
        <v>18</v>
      </c>
      <c r="I550" s="31"/>
      <c r="J550" s="32" t="s">
        <v>708</v>
      </c>
      <c r="K550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0" s="111">
        <f>ROUND(Tableau17[[#This Row],[LEN]]*7.27,0)</f>
        <v>80</v>
      </c>
      <c r="M550" s="111">
        <v>15</v>
      </c>
      <c r="N550" s="128" t="str">
        <f t="shared" si="4"/>
        <v>none</v>
      </c>
      <c r="O550" s="111">
        <f>LEN(Tableau17[[#This Row],[LABEL]])</f>
        <v>11</v>
      </c>
      <c r="P550" s="111">
        <v>15</v>
      </c>
      <c r="Q550" s="111" t="e">
        <f>ROUND(Tableau17[[#This Row],[LEN]]*#REF!+#REF!,0)</f>
        <v>#REF!</v>
      </c>
    </row>
    <row r="551" spans="1:17" s="97" customFormat="1" x14ac:dyDescent="0.25">
      <c r="A551" s="220" t="s">
        <v>1418</v>
      </c>
      <c r="B551" s="221" t="s">
        <v>265</v>
      </c>
      <c r="C551" s="222" t="s">
        <v>1423</v>
      </c>
      <c r="D551" s="70" t="s">
        <v>1177</v>
      </c>
      <c r="E551" s="229" t="s">
        <v>679</v>
      </c>
      <c r="F551" s="215" t="s">
        <v>1177</v>
      </c>
      <c r="G551" s="70" t="s">
        <v>166</v>
      </c>
      <c r="H551" s="223" t="s">
        <v>656</v>
      </c>
      <c r="I551" s="222"/>
      <c r="J551" s="224" t="s">
        <v>708</v>
      </c>
      <c r="K551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1" s="225">
        <f>ROUND(Tableau17[[#This Row],[LEN]]*7.27,0)</f>
        <v>87</v>
      </c>
      <c r="M551" s="225">
        <v>15</v>
      </c>
      <c r="N551" s="226" t="str">
        <f t="shared" si="4"/>
        <v>none</v>
      </c>
      <c r="O551" s="225">
        <f>LEN(Tableau17[[#This Row],[LABEL]])</f>
        <v>12</v>
      </c>
      <c r="P551" s="225">
        <v>15</v>
      </c>
      <c r="Q551" s="225" t="e">
        <f>ROUND(Tableau17[[#This Row],[LEN]]*#REF!+#REF!,0)</f>
        <v>#REF!</v>
      </c>
    </row>
    <row r="552" spans="1:17" s="97" customFormat="1" x14ac:dyDescent="0.25">
      <c r="A552" s="220" t="s">
        <v>1419</v>
      </c>
      <c r="B552" s="221" t="s">
        <v>265</v>
      </c>
      <c r="C552" s="222" t="s">
        <v>1424</v>
      </c>
      <c r="D552" s="70" t="s">
        <v>1177</v>
      </c>
      <c r="E552" s="229" t="s">
        <v>679</v>
      </c>
      <c r="F552" s="215" t="s">
        <v>1177</v>
      </c>
      <c r="G552" s="70" t="s">
        <v>166</v>
      </c>
      <c r="H552" s="223" t="s">
        <v>18</v>
      </c>
      <c r="I552" s="222"/>
      <c r="J552" s="224" t="s">
        <v>708</v>
      </c>
      <c r="K552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2" s="225">
        <f>ROUND(Tableau17[[#This Row],[LEN]]*7.27,0)</f>
        <v>320</v>
      </c>
      <c r="M552" s="225">
        <v>15</v>
      </c>
      <c r="N552" s="226" t="str">
        <f t="shared" si="4"/>
        <v>none</v>
      </c>
      <c r="O552" s="225">
        <f>LEN(Tableau17[[#This Row],[LABEL]])</f>
        <v>44</v>
      </c>
      <c r="P552" s="225">
        <v>15</v>
      </c>
      <c r="Q552" s="225" t="e">
        <f>ROUND(Tableau17[[#This Row],[LEN]]*#REF!+#REF!,0)</f>
        <v>#REF!</v>
      </c>
    </row>
    <row r="553" spans="1:17" s="97" customFormat="1" x14ac:dyDescent="0.25">
      <c r="A553" s="220" t="s">
        <v>1420</v>
      </c>
      <c r="B553" s="221" t="s">
        <v>265</v>
      </c>
      <c r="C553" s="222" t="s">
        <v>1167</v>
      </c>
      <c r="D553" s="70" t="s">
        <v>486</v>
      </c>
      <c r="E553" s="229" t="s">
        <v>1085</v>
      </c>
      <c r="F553" s="215" t="s">
        <v>1084</v>
      </c>
      <c r="G553" s="70" t="s">
        <v>1977</v>
      </c>
      <c r="H553" s="223" t="s">
        <v>1131</v>
      </c>
      <c r="I553" s="222"/>
      <c r="J553" s="224" t="s">
        <v>708</v>
      </c>
      <c r="K553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3" s="225">
        <f>ROUND(Tableau17[[#This Row],[LEN]]*7.27,0)</f>
        <v>196</v>
      </c>
      <c r="M553" s="225">
        <v>15</v>
      </c>
      <c r="N553" s="226" t="str">
        <f t="shared" si="4"/>
        <v>none</v>
      </c>
      <c r="O553" s="225">
        <f>LEN(Tableau17[[#This Row],[LABEL]])</f>
        <v>27</v>
      </c>
      <c r="P553" s="225">
        <v>15</v>
      </c>
      <c r="Q553" s="225" t="e">
        <f>ROUND(Tableau17[[#This Row],[LEN]]*#REF!+#REF!,0)</f>
        <v>#REF!</v>
      </c>
    </row>
    <row r="554" spans="1:17" s="97" customFormat="1" x14ac:dyDescent="0.25">
      <c r="A554" s="29" t="s">
        <v>1425</v>
      </c>
      <c r="B554" s="30" t="s">
        <v>1420</v>
      </c>
      <c r="C554" s="31" t="s">
        <v>93</v>
      </c>
      <c r="D554" s="71" t="s">
        <v>1177</v>
      </c>
      <c r="E554" s="31" t="s">
        <v>1085</v>
      </c>
      <c r="F554" s="31" t="s">
        <v>1084</v>
      </c>
      <c r="G554" s="71" t="s">
        <v>166</v>
      </c>
      <c r="H554" s="71" t="s">
        <v>18</v>
      </c>
      <c r="I554" s="31"/>
      <c r="J554" s="32" t="s">
        <v>101</v>
      </c>
      <c r="K554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4" s="111">
        <f>ROUND(Tableau17[[#This Row],[LEN]]*7.27,0)</f>
        <v>109</v>
      </c>
      <c r="M554" s="111">
        <v>15</v>
      </c>
      <c r="N554" s="128" t="str">
        <f t="shared" si="4"/>
        <v>new</v>
      </c>
      <c r="O554" s="111">
        <f>LEN(Tableau17[[#This Row],[LABEL]])</f>
        <v>15</v>
      </c>
      <c r="P554" s="111">
        <v>15</v>
      </c>
      <c r="Q554" s="111" t="e">
        <f>ROUND(Tableau17[[#This Row],[LEN]]*#REF!+#REF!,0)</f>
        <v>#REF!</v>
      </c>
    </row>
    <row r="555" spans="1:17" s="97" customFormat="1" x14ac:dyDescent="0.25">
      <c r="A555" s="29" t="s">
        <v>1426</v>
      </c>
      <c r="B555" s="30" t="s">
        <v>1420</v>
      </c>
      <c r="C555" s="31" t="s">
        <v>94</v>
      </c>
      <c r="D555" s="71" t="s">
        <v>1177</v>
      </c>
      <c r="E555" s="31" t="s">
        <v>1085</v>
      </c>
      <c r="F555" s="31" t="s">
        <v>1084</v>
      </c>
      <c r="G555" s="71" t="s">
        <v>166</v>
      </c>
      <c r="H555" s="71" t="s">
        <v>18</v>
      </c>
      <c r="I555" s="31"/>
      <c r="J555" s="32" t="s">
        <v>102</v>
      </c>
      <c r="K555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5" s="111">
        <f>ROUND(Tableau17[[#This Row],[LEN]]*7.27,0)</f>
        <v>58</v>
      </c>
      <c r="M555" s="111">
        <v>15</v>
      </c>
      <c r="N555" s="128" t="str">
        <f t="shared" si="4"/>
        <v>new</v>
      </c>
      <c r="O555" s="111">
        <f>LEN(Tableau17[[#This Row],[LABEL]])</f>
        <v>8</v>
      </c>
      <c r="P555" s="111">
        <v>15</v>
      </c>
      <c r="Q555" s="111" t="e">
        <f>ROUND(Tableau17[[#This Row],[LEN]]*#REF!+#REF!,0)</f>
        <v>#REF!</v>
      </c>
    </row>
    <row r="556" spans="1:17" s="273" customFormat="1" x14ac:dyDescent="0.25">
      <c r="A556" s="288" t="s">
        <v>1979</v>
      </c>
      <c r="B556" s="289" t="s">
        <v>206</v>
      </c>
      <c r="C556" s="290" t="s">
        <v>1950</v>
      </c>
      <c r="D556" s="291" t="s">
        <v>1177</v>
      </c>
      <c r="E556" s="290" t="s">
        <v>1951</v>
      </c>
      <c r="F556" s="290" t="s">
        <v>1177</v>
      </c>
      <c r="G556" s="291" t="s">
        <v>166</v>
      </c>
      <c r="H556" s="291" t="s">
        <v>56</v>
      </c>
      <c r="I556" s="290"/>
      <c r="J556" s="292" t="s">
        <v>708</v>
      </c>
      <c r="K556" s="29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56" s="293">
        <f>ROUND(Tableau17[[#This Row],[LEN]]*7.27,0)</f>
        <v>51</v>
      </c>
      <c r="M556" s="293">
        <v>15</v>
      </c>
      <c r="N556" s="294" t="str">
        <f t="shared" si="4"/>
        <v>none</v>
      </c>
      <c r="O556" s="293">
        <f>LEN(Tableau17[[#This Row],[LABEL]])</f>
        <v>7</v>
      </c>
      <c r="P556" s="293">
        <v>15</v>
      </c>
      <c r="Q556" s="293" t="e">
        <f>ROUND(Tableau17[[#This Row],[LEN]]*#REF!+#REF!,0)</f>
        <v>#REF!</v>
      </c>
    </row>
    <row r="557" spans="1:17" s="97" customFormat="1" x14ac:dyDescent="0.25">
      <c r="A557" s="220" t="s">
        <v>1980</v>
      </c>
      <c r="B557" s="221" t="s">
        <v>1979</v>
      </c>
      <c r="C557" s="222" t="s">
        <v>2001</v>
      </c>
      <c r="D557" s="70" t="s">
        <v>1990</v>
      </c>
      <c r="E557" s="229" t="s">
        <v>1951</v>
      </c>
      <c r="F557" s="215" t="s">
        <v>1177</v>
      </c>
      <c r="G557" s="70" t="s">
        <v>166</v>
      </c>
      <c r="H557" s="223" t="s">
        <v>570</v>
      </c>
      <c r="I557" s="222"/>
      <c r="J557" s="224" t="s">
        <v>708</v>
      </c>
      <c r="K557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7" s="225">
        <f>ROUND(Tableau17[[#This Row],[LEN]]*7.27,0)</f>
        <v>80</v>
      </c>
      <c r="M557" s="225">
        <v>15</v>
      </c>
      <c r="N557" s="226" t="str">
        <f t="shared" si="4"/>
        <v>none</v>
      </c>
      <c r="O557" s="225">
        <f>LEN(Tableau17[[#This Row],[LABEL]])</f>
        <v>11</v>
      </c>
      <c r="P557" s="225">
        <v>15</v>
      </c>
      <c r="Q557" s="225" t="e">
        <f>ROUND(Tableau17[[#This Row],[LEN]]*#REF!+#REF!,0)</f>
        <v>#REF!</v>
      </c>
    </row>
    <row r="558" spans="1:17" s="97" customFormat="1" x14ac:dyDescent="0.25">
      <c r="A558" s="220" t="s">
        <v>1981</v>
      </c>
      <c r="B558" s="221" t="s">
        <v>1979</v>
      </c>
      <c r="C558" s="222" t="s">
        <v>1991</v>
      </c>
      <c r="D558" s="70" t="s">
        <v>1177</v>
      </c>
      <c r="E558" s="229" t="s">
        <v>1951</v>
      </c>
      <c r="F558" s="215" t="s">
        <v>1177</v>
      </c>
      <c r="G558" s="70" t="s">
        <v>166</v>
      </c>
      <c r="H558" s="223" t="s">
        <v>570</v>
      </c>
      <c r="I558" s="222"/>
      <c r="J558" s="224" t="s">
        <v>708</v>
      </c>
      <c r="K558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8" s="225">
        <f>ROUND(Tableau17[[#This Row],[LEN]]*7.27,0)</f>
        <v>458</v>
      </c>
      <c r="M558" s="225">
        <v>15</v>
      </c>
      <c r="N558" s="226" t="str">
        <f t="shared" si="4"/>
        <v>none</v>
      </c>
      <c r="O558" s="225">
        <f>LEN(Tableau17[[#This Row],[LABEL]])</f>
        <v>63</v>
      </c>
      <c r="P558" s="225">
        <v>15</v>
      </c>
      <c r="Q558" s="225" t="e">
        <f>ROUND(Tableau17[[#This Row],[LEN]]*#REF!+#REF!,0)</f>
        <v>#REF!</v>
      </c>
    </row>
    <row r="559" spans="1:17" s="97" customFormat="1" x14ac:dyDescent="0.25">
      <c r="A559" s="220" t="s">
        <v>1982</v>
      </c>
      <c r="B559" s="221" t="s">
        <v>1979</v>
      </c>
      <c r="C559" s="222" t="s">
        <v>1992</v>
      </c>
      <c r="D559" s="70" t="s">
        <v>1177</v>
      </c>
      <c r="E559" s="229" t="s">
        <v>1951</v>
      </c>
      <c r="F559" s="215" t="s">
        <v>1177</v>
      </c>
      <c r="G559" s="70" t="s">
        <v>166</v>
      </c>
      <c r="H559" s="223" t="s">
        <v>570</v>
      </c>
      <c r="I559" s="222"/>
      <c r="J559" s="224" t="s">
        <v>708</v>
      </c>
      <c r="K559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59" s="225">
        <f>ROUND(Tableau17[[#This Row],[LEN]]*7.27,0)</f>
        <v>305</v>
      </c>
      <c r="M559" s="225">
        <v>15</v>
      </c>
      <c r="N559" s="226" t="str">
        <f t="shared" si="4"/>
        <v>none</v>
      </c>
      <c r="O559" s="225">
        <f>LEN(Tableau17[[#This Row],[LABEL]])</f>
        <v>42</v>
      </c>
      <c r="P559" s="225">
        <v>15</v>
      </c>
      <c r="Q559" s="225" t="e">
        <f>ROUND(Tableau17[[#This Row],[LEN]]*#REF!+#REF!,0)</f>
        <v>#REF!</v>
      </c>
    </row>
    <row r="560" spans="1:17" s="97" customFormat="1" x14ac:dyDescent="0.25">
      <c r="A560" s="220" t="s">
        <v>1983</v>
      </c>
      <c r="B560" s="221" t="s">
        <v>1979</v>
      </c>
      <c r="C560" s="222" t="s">
        <v>1993</v>
      </c>
      <c r="D560" s="70" t="s">
        <v>1177</v>
      </c>
      <c r="E560" s="229" t="s">
        <v>1951</v>
      </c>
      <c r="F560" s="215" t="s">
        <v>1177</v>
      </c>
      <c r="G560" s="70" t="s">
        <v>166</v>
      </c>
      <c r="H560" s="223" t="s">
        <v>570</v>
      </c>
      <c r="I560" s="222"/>
      <c r="J560" s="224" t="s">
        <v>708</v>
      </c>
      <c r="K560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0" s="225">
        <f>ROUND(Tableau17[[#This Row],[LEN]]*7.27,0)</f>
        <v>385</v>
      </c>
      <c r="M560" s="225">
        <v>15</v>
      </c>
      <c r="N560" s="226" t="str">
        <f t="shared" si="4"/>
        <v>none</v>
      </c>
      <c r="O560" s="225">
        <f>LEN(Tableau17[[#This Row],[LABEL]])</f>
        <v>53</v>
      </c>
      <c r="P560" s="225">
        <v>15</v>
      </c>
      <c r="Q560" s="225" t="e">
        <f>ROUND(Tableau17[[#This Row],[LEN]]*#REF!+#REF!,0)</f>
        <v>#REF!</v>
      </c>
    </row>
    <row r="561" spans="1:17" s="97" customFormat="1" x14ac:dyDescent="0.25">
      <c r="A561" s="220" t="s">
        <v>1984</v>
      </c>
      <c r="B561" s="221" t="s">
        <v>1979</v>
      </c>
      <c r="C561" s="222" t="s">
        <v>2002</v>
      </c>
      <c r="D561" s="70" t="s">
        <v>1994</v>
      </c>
      <c r="E561" s="229" t="s">
        <v>1951</v>
      </c>
      <c r="F561" s="215" t="s">
        <v>1177</v>
      </c>
      <c r="G561" s="70" t="s">
        <v>166</v>
      </c>
      <c r="H561" s="223" t="s">
        <v>18</v>
      </c>
      <c r="I561" s="222"/>
      <c r="J561" s="224" t="s">
        <v>708</v>
      </c>
      <c r="K561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1" s="225">
        <f>ROUND(Tableau17[[#This Row],[LEN]]*7.27,0)</f>
        <v>516</v>
      </c>
      <c r="M561" s="225">
        <v>15</v>
      </c>
      <c r="N561" s="226" t="str">
        <f t="shared" si="4"/>
        <v>none</v>
      </c>
      <c r="O561" s="225">
        <f>LEN(Tableau17[[#This Row],[LABEL]])</f>
        <v>71</v>
      </c>
      <c r="P561" s="225">
        <v>15</v>
      </c>
      <c r="Q561" s="225" t="e">
        <f>ROUND(Tableau17[[#This Row],[LEN]]*#REF!+#REF!,0)</f>
        <v>#REF!</v>
      </c>
    </row>
    <row r="562" spans="1:17" s="97" customFormat="1" x14ac:dyDescent="0.25">
      <c r="A562" s="220" t="s">
        <v>1985</v>
      </c>
      <c r="B562" s="221" t="s">
        <v>1979</v>
      </c>
      <c r="C562" s="222" t="s">
        <v>1995</v>
      </c>
      <c r="D562" s="70" t="s">
        <v>1177</v>
      </c>
      <c r="E562" s="229" t="s">
        <v>1951</v>
      </c>
      <c r="F562" s="215" t="s">
        <v>1177</v>
      </c>
      <c r="G562" s="70" t="s">
        <v>166</v>
      </c>
      <c r="H562" s="223" t="s">
        <v>570</v>
      </c>
      <c r="I562" s="222"/>
      <c r="J562" s="224" t="s">
        <v>708</v>
      </c>
      <c r="K562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2" s="225">
        <f>ROUND(Tableau17[[#This Row],[LEN]]*7.27,0)</f>
        <v>196</v>
      </c>
      <c r="M562" s="225">
        <v>15</v>
      </c>
      <c r="N562" s="226" t="str">
        <f t="shared" si="4"/>
        <v>none</v>
      </c>
      <c r="O562" s="225">
        <f>LEN(Tableau17[[#This Row],[LABEL]])</f>
        <v>27</v>
      </c>
      <c r="P562" s="225">
        <v>15</v>
      </c>
      <c r="Q562" s="225" t="e">
        <f>ROUND(Tableau17[[#This Row],[LEN]]*#REF!+#REF!,0)</f>
        <v>#REF!</v>
      </c>
    </row>
    <row r="563" spans="1:17" s="97" customFormat="1" x14ac:dyDescent="0.25">
      <c r="A563" s="220" t="s">
        <v>1986</v>
      </c>
      <c r="B563" s="221" t="s">
        <v>1979</v>
      </c>
      <c r="C563" s="222" t="s">
        <v>1996</v>
      </c>
      <c r="D563" s="70" t="s">
        <v>1177</v>
      </c>
      <c r="E563" s="229" t="s">
        <v>1951</v>
      </c>
      <c r="F563" s="215" t="s">
        <v>1177</v>
      </c>
      <c r="G563" s="70" t="s">
        <v>166</v>
      </c>
      <c r="H563" s="223" t="s">
        <v>570</v>
      </c>
      <c r="I563" s="222"/>
      <c r="J563" s="224" t="s">
        <v>708</v>
      </c>
      <c r="K563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3" s="225">
        <f>ROUND(Tableau17[[#This Row],[LEN]]*7.27,0)</f>
        <v>276</v>
      </c>
      <c r="M563" s="225">
        <v>15</v>
      </c>
      <c r="N563" s="226" t="str">
        <f t="shared" si="4"/>
        <v>none</v>
      </c>
      <c r="O563" s="225">
        <f>LEN(Tableau17[[#This Row],[LABEL]])</f>
        <v>38</v>
      </c>
      <c r="P563" s="225">
        <v>15</v>
      </c>
      <c r="Q563" s="225" t="e">
        <f>ROUND(Tableau17[[#This Row],[LEN]]*#REF!+#REF!,0)</f>
        <v>#REF!</v>
      </c>
    </row>
    <row r="564" spans="1:17" s="97" customFormat="1" x14ac:dyDescent="0.25">
      <c r="A564" s="220" t="s">
        <v>1987</v>
      </c>
      <c r="B564" s="221" t="s">
        <v>1979</v>
      </c>
      <c r="C564" s="222" t="s">
        <v>778</v>
      </c>
      <c r="D564" s="70" t="s">
        <v>1177</v>
      </c>
      <c r="E564" s="229" t="s">
        <v>673</v>
      </c>
      <c r="F564" s="27" t="s">
        <v>2000</v>
      </c>
      <c r="G564" s="70" t="s">
        <v>166</v>
      </c>
      <c r="H564" s="223" t="s">
        <v>17</v>
      </c>
      <c r="I564" s="222"/>
      <c r="J564" s="224" t="s">
        <v>708</v>
      </c>
      <c r="K564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4" s="225">
        <f>ROUND(Tableau17[[#This Row],[LEN]]*7.27,0)</f>
        <v>211</v>
      </c>
      <c r="M564" s="225">
        <v>15</v>
      </c>
      <c r="N564" s="226" t="str">
        <f t="shared" si="4"/>
        <v>none</v>
      </c>
      <c r="O564" s="225">
        <f>LEN(Tableau17[[#This Row],[LABEL]])</f>
        <v>29</v>
      </c>
      <c r="P564" s="225">
        <v>15</v>
      </c>
      <c r="Q564" s="225" t="e">
        <f>ROUND(Tableau17[[#This Row],[LEN]]*#REF!+#REF!,0)</f>
        <v>#REF!</v>
      </c>
    </row>
    <row r="565" spans="1:17" s="97" customFormat="1" x14ac:dyDescent="0.25">
      <c r="A565" s="220" t="s">
        <v>1988</v>
      </c>
      <c r="B565" s="221" t="s">
        <v>1979</v>
      </c>
      <c r="C565" s="222" t="s">
        <v>1997</v>
      </c>
      <c r="D565" s="70" t="s">
        <v>1177</v>
      </c>
      <c r="E565" s="229" t="s">
        <v>1951</v>
      </c>
      <c r="F565" s="215" t="s">
        <v>1177</v>
      </c>
      <c r="G565" s="70" t="s">
        <v>166</v>
      </c>
      <c r="H565" s="223" t="s">
        <v>570</v>
      </c>
      <c r="I565" s="222"/>
      <c r="J565" s="224" t="s">
        <v>708</v>
      </c>
      <c r="K565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5" s="225">
        <f>ROUND(Tableau17[[#This Row],[LEN]]*7.27,0)</f>
        <v>298</v>
      </c>
      <c r="M565" s="225">
        <v>15</v>
      </c>
      <c r="N565" s="226" t="str">
        <f t="shared" si="4"/>
        <v>none</v>
      </c>
      <c r="O565" s="225">
        <f>LEN(Tableau17[[#This Row],[LABEL]])</f>
        <v>41</v>
      </c>
      <c r="P565" s="225">
        <v>15</v>
      </c>
      <c r="Q565" s="225" t="e">
        <f>ROUND(Tableau17[[#This Row],[LEN]]*#REF!+#REF!,0)</f>
        <v>#REF!</v>
      </c>
    </row>
    <row r="566" spans="1:17" s="97" customFormat="1" x14ac:dyDescent="0.25">
      <c r="A566" s="220" t="s">
        <v>1989</v>
      </c>
      <c r="B566" s="221" t="s">
        <v>1979</v>
      </c>
      <c r="C566" s="222" t="s">
        <v>2003</v>
      </c>
      <c r="D566" s="70" t="s">
        <v>1998</v>
      </c>
      <c r="E566" s="229" t="s">
        <v>1951</v>
      </c>
      <c r="F566" s="215" t="s">
        <v>1177</v>
      </c>
      <c r="G566" s="70" t="s">
        <v>166</v>
      </c>
      <c r="H566" s="223" t="s">
        <v>570</v>
      </c>
      <c r="I566" s="222"/>
      <c r="J566" s="224" t="s">
        <v>708</v>
      </c>
      <c r="K566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6" s="225">
        <f>ROUND(Tableau17[[#This Row],[LEN]]*7.27,0)</f>
        <v>131</v>
      </c>
      <c r="M566" s="225">
        <v>15</v>
      </c>
      <c r="N566" s="226" t="str">
        <f t="shared" si="4"/>
        <v>none</v>
      </c>
      <c r="O566" s="225">
        <f>LEN(Tableau17[[#This Row],[LABEL]])</f>
        <v>18</v>
      </c>
      <c r="P566" s="225">
        <v>15</v>
      </c>
      <c r="Q566" s="225" t="e">
        <f>ROUND(Tableau17[[#This Row],[LEN]]*#REF!+#REF!,0)</f>
        <v>#REF!</v>
      </c>
    </row>
    <row r="567" spans="1:17" s="97" customFormat="1" x14ac:dyDescent="0.25">
      <c r="A567" s="220" t="s">
        <v>1999</v>
      </c>
      <c r="B567" s="221" t="s">
        <v>1979</v>
      </c>
      <c r="C567" s="222" t="s">
        <v>1167</v>
      </c>
      <c r="D567" s="70" t="s">
        <v>486</v>
      </c>
      <c r="E567" s="229" t="s">
        <v>1085</v>
      </c>
      <c r="F567" s="215" t="s">
        <v>1084</v>
      </c>
      <c r="G567" s="70" t="s">
        <v>1977</v>
      </c>
      <c r="H567" s="223" t="s">
        <v>1131</v>
      </c>
      <c r="I567" s="222"/>
      <c r="J567" s="224" t="s">
        <v>708</v>
      </c>
      <c r="K567" s="22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7" s="225">
        <f>ROUND(Tableau17[[#This Row],[LEN]]*7.27,0)</f>
        <v>196</v>
      </c>
      <c r="M567" s="225">
        <v>15</v>
      </c>
      <c r="N567" s="226" t="str">
        <f t="shared" si="4"/>
        <v>none</v>
      </c>
      <c r="O567" s="225">
        <f>LEN(Tableau17[[#This Row],[LABEL]])</f>
        <v>27</v>
      </c>
      <c r="P567" s="225">
        <v>15</v>
      </c>
      <c r="Q567" s="225" t="e">
        <f>ROUND(Tableau17[[#This Row],[LEN]]*#REF!+#REF!,0)</f>
        <v>#REF!</v>
      </c>
    </row>
    <row r="568" spans="1:17" s="97" customFormat="1" x14ac:dyDescent="0.25">
      <c r="A568" s="29" t="s">
        <v>2004</v>
      </c>
      <c r="B568" s="30" t="s">
        <v>1999</v>
      </c>
      <c r="C568" s="31" t="s">
        <v>93</v>
      </c>
      <c r="D568" s="71" t="s">
        <v>1177</v>
      </c>
      <c r="E568" s="31" t="s">
        <v>1085</v>
      </c>
      <c r="F568" s="31" t="s">
        <v>1084</v>
      </c>
      <c r="G568" s="71" t="s">
        <v>166</v>
      </c>
      <c r="H568" s="71" t="s">
        <v>18</v>
      </c>
      <c r="I568" s="31"/>
      <c r="J568" s="32" t="s">
        <v>101</v>
      </c>
      <c r="K568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8" s="111">
        <f>ROUND(Tableau17[[#This Row],[LEN]]*7.27,0)</f>
        <v>109</v>
      </c>
      <c r="M568" s="111">
        <v>15</v>
      </c>
      <c r="N568" s="128" t="str">
        <f t="shared" si="4"/>
        <v>new</v>
      </c>
      <c r="O568" s="111">
        <f>LEN(Tableau17[[#This Row],[LABEL]])</f>
        <v>15</v>
      </c>
      <c r="P568" s="111">
        <v>15</v>
      </c>
      <c r="Q568" s="111" t="e">
        <f>ROUND(Tableau17[[#This Row],[LEN]]*#REF!+#REF!,0)</f>
        <v>#REF!</v>
      </c>
    </row>
    <row r="569" spans="1:17" s="97" customFormat="1" ht="15.75" thickBot="1" x14ac:dyDescent="0.3">
      <c r="A569" s="29" t="s">
        <v>2005</v>
      </c>
      <c r="B569" s="30" t="s">
        <v>1999</v>
      </c>
      <c r="C569" s="31" t="s">
        <v>94</v>
      </c>
      <c r="D569" s="71" t="s">
        <v>1177</v>
      </c>
      <c r="E569" s="31" t="s">
        <v>1085</v>
      </c>
      <c r="F569" s="31" t="s">
        <v>1084</v>
      </c>
      <c r="G569" s="71" t="s">
        <v>166</v>
      </c>
      <c r="H569" s="71" t="s">
        <v>18</v>
      </c>
      <c r="I569" s="31"/>
      <c r="J569" s="32" t="s">
        <v>102</v>
      </c>
      <c r="K569" s="3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69" s="111">
        <f>ROUND(Tableau17[[#This Row],[LEN]]*7.27,0)</f>
        <v>58</v>
      </c>
      <c r="M569" s="111">
        <v>15</v>
      </c>
      <c r="N569" s="128" t="str">
        <f t="shared" si="4"/>
        <v>new</v>
      </c>
      <c r="O569" s="111">
        <f>LEN(Tableau17[[#This Row],[LABEL]])</f>
        <v>8</v>
      </c>
      <c r="P569" s="111">
        <v>15</v>
      </c>
      <c r="Q569" s="111" t="e">
        <f>ROUND(Tableau17[[#This Row],[LEN]]*#REF!+#REF!,0)</f>
        <v>#REF!</v>
      </c>
    </row>
    <row r="570" spans="1:17" s="97" customFormat="1" ht="16.5" thickTop="1" thickBot="1" x14ac:dyDescent="0.3">
      <c r="A570" s="177" t="s">
        <v>207</v>
      </c>
      <c r="B570" s="177" t="s">
        <v>201</v>
      </c>
      <c r="C570" s="178" t="s">
        <v>175</v>
      </c>
      <c r="D570" s="179" t="s">
        <v>472</v>
      </c>
      <c r="E570" s="178" t="s">
        <v>1177</v>
      </c>
      <c r="F570" s="179" t="s">
        <v>1177</v>
      </c>
      <c r="G570" s="178" t="s">
        <v>2096</v>
      </c>
      <c r="H570" s="178" t="s">
        <v>616</v>
      </c>
      <c r="I570" s="179"/>
      <c r="J570" s="180" t="s">
        <v>708</v>
      </c>
      <c r="K570" s="18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70" s="181">
        <f>ROUND(Tableau17[[#This Row],[LEN]]*7.27,0)</f>
        <v>160</v>
      </c>
      <c r="M570" s="181">
        <v>15</v>
      </c>
      <c r="N570" s="182" t="str">
        <f t="shared" si="4"/>
        <v>none</v>
      </c>
      <c r="O570" s="181">
        <f>LEN(Tableau17[[#This Row],[LABEL]])</f>
        <v>22</v>
      </c>
      <c r="P570" s="183">
        <v>15</v>
      </c>
      <c r="Q570" s="183" t="e">
        <f>ROUND(Tableau17[[#This Row],[LEN]]*#REF!+#REF!,0)</f>
        <v>#REF!</v>
      </c>
    </row>
    <row r="571" spans="1:17" s="92" customFormat="1" ht="15.75" thickTop="1" x14ac:dyDescent="0.25">
      <c r="A571" s="309" t="s">
        <v>267</v>
      </c>
      <c r="B571" s="310" t="s">
        <v>207</v>
      </c>
      <c r="C571" s="311" t="s">
        <v>57</v>
      </c>
      <c r="D571" s="312" t="s">
        <v>1177</v>
      </c>
      <c r="E571" s="311" t="s">
        <v>663</v>
      </c>
      <c r="F571" s="311" t="s">
        <v>1177</v>
      </c>
      <c r="G571" s="312" t="s">
        <v>2096</v>
      </c>
      <c r="H571" s="312" t="str">
        <f>IFERROR(IF(SEARCH(".00.00.00.00.00",Tableau17[[#This Row],[name]],1)=7,"Division",""),"")</f>
        <v>Division</v>
      </c>
      <c r="I571" s="311"/>
      <c r="J571" s="313" t="s">
        <v>708</v>
      </c>
      <c r="K571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71" s="314">
        <f>ROUND(Tableau17[[#This Row],[LEN]]*7.27,0)</f>
        <v>102</v>
      </c>
      <c r="M571" s="314">
        <v>15</v>
      </c>
      <c r="N571" s="315" t="str">
        <f t="shared" si="4"/>
        <v>none</v>
      </c>
      <c r="O571" s="314">
        <f>LEN(Tableau17[[#This Row],[LABEL]])</f>
        <v>14</v>
      </c>
      <c r="P571" s="314">
        <v>15</v>
      </c>
      <c r="Q571" s="314" t="e">
        <f>ROUND(Tableau17[[#This Row],[LEN]]*#REF!+#REF!,0)</f>
        <v>#REF!</v>
      </c>
    </row>
    <row r="572" spans="1:17" s="97" customFormat="1" x14ac:dyDescent="0.25">
      <c r="A572" s="33" t="s">
        <v>841</v>
      </c>
      <c r="B572" s="34" t="s">
        <v>267</v>
      </c>
      <c r="C572" s="35" t="s">
        <v>111</v>
      </c>
      <c r="D572" s="72" t="s">
        <v>1177</v>
      </c>
      <c r="E572" s="35" t="s">
        <v>667</v>
      </c>
      <c r="F572" s="35" t="s">
        <v>2006</v>
      </c>
      <c r="G572" s="72" t="s">
        <v>2096</v>
      </c>
      <c r="H572" s="72" t="s">
        <v>655</v>
      </c>
      <c r="I572" s="35"/>
      <c r="J572" s="36" t="s">
        <v>708</v>
      </c>
      <c r="K57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2" s="113">
        <f>ROUND(Tableau17[[#This Row],[LEN]]*7.27,0)</f>
        <v>167</v>
      </c>
      <c r="M572" s="113">
        <v>15</v>
      </c>
      <c r="N572" s="130" t="str">
        <f t="shared" si="4"/>
        <v>none</v>
      </c>
      <c r="O572" s="113">
        <f>LEN(Tableau17[[#This Row],[LABEL]])</f>
        <v>23</v>
      </c>
      <c r="P572" s="113">
        <v>15</v>
      </c>
      <c r="Q572" s="113" t="e">
        <f>ROUND(Tableau17[[#This Row],[LEN]]*#REF!+#REF!,0)</f>
        <v>#REF!</v>
      </c>
    </row>
    <row r="573" spans="1:17" s="97" customFormat="1" x14ac:dyDescent="0.25">
      <c r="A573" s="37" t="s">
        <v>842</v>
      </c>
      <c r="B573" s="38" t="s">
        <v>841</v>
      </c>
      <c r="C573" s="39" t="s">
        <v>112</v>
      </c>
      <c r="D573" s="73" t="s">
        <v>1177</v>
      </c>
      <c r="E573" s="39" t="s">
        <v>667</v>
      </c>
      <c r="F573" s="39" t="s">
        <v>2006</v>
      </c>
      <c r="G573" s="73" t="s">
        <v>2096</v>
      </c>
      <c r="H573" s="73" t="s">
        <v>654</v>
      </c>
      <c r="I573" s="39"/>
      <c r="J573" s="40" t="s">
        <v>708</v>
      </c>
      <c r="K57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3" s="114">
        <f>ROUND(Tableau17[[#This Row],[LEN]]*7.27,0)</f>
        <v>167</v>
      </c>
      <c r="M573" s="114">
        <v>15</v>
      </c>
      <c r="N573" s="131" t="str">
        <f t="shared" si="4"/>
        <v>none</v>
      </c>
      <c r="O573" s="114">
        <f>LEN(Tableau17[[#This Row],[LABEL]])</f>
        <v>23</v>
      </c>
      <c r="P573" s="114">
        <v>15</v>
      </c>
      <c r="Q573" s="114" t="e">
        <f>ROUND(Tableau17[[#This Row],[LEN]]*#REF!+#REF!,0)</f>
        <v>#REF!</v>
      </c>
    </row>
    <row r="574" spans="1:17" s="97" customFormat="1" x14ac:dyDescent="0.25">
      <c r="A574" s="37" t="s">
        <v>843</v>
      </c>
      <c r="B574" s="38" t="s">
        <v>841</v>
      </c>
      <c r="C574" s="39" t="s">
        <v>113</v>
      </c>
      <c r="D574" s="73" t="s">
        <v>1177</v>
      </c>
      <c r="E574" s="39" t="s">
        <v>667</v>
      </c>
      <c r="F574" s="39" t="s">
        <v>2006</v>
      </c>
      <c r="G574" s="73" t="s">
        <v>2096</v>
      </c>
      <c r="H574" s="73" t="s">
        <v>654</v>
      </c>
      <c r="I574" s="39"/>
      <c r="J574" s="40" t="s">
        <v>708</v>
      </c>
      <c r="K57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4" s="114">
        <f>ROUND(Tableau17[[#This Row],[LEN]]*7.27,0)</f>
        <v>233</v>
      </c>
      <c r="M574" s="114">
        <v>15</v>
      </c>
      <c r="N574" s="131" t="str">
        <f t="shared" si="4"/>
        <v>none</v>
      </c>
      <c r="O574" s="114">
        <f>LEN(Tableau17[[#This Row],[LABEL]])</f>
        <v>32</v>
      </c>
      <c r="P574" s="114">
        <v>15</v>
      </c>
      <c r="Q574" s="114" t="e">
        <f>ROUND(Tableau17[[#This Row],[LEN]]*#REF!+#REF!,0)</f>
        <v>#REF!</v>
      </c>
    </row>
    <row r="575" spans="1:17" s="273" customFormat="1" x14ac:dyDescent="0.25">
      <c r="A575" s="309" t="s">
        <v>269</v>
      </c>
      <c r="B575" s="310" t="s">
        <v>207</v>
      </c>
      <c r="C575" s="311" t="s">
        <v>3</v>
      </c>
      <c r="D575" s="312" t="s">
        <v>1177</v>
      </c>
      <c r="E575" s="311" t="s">
        <v>661</v>
      </c>
      <c r="F575" s="311" t="s">
        <v>1177</v>
      </c>
      <c r="G575" s="312" t="s">
        <v>2096</v>
      </c>
      <c r="H575" s="312" t="str">
        <f>IFERROR(IF(SEARCH(".00.00.00.00.00",Tableau17[[#This Row],[name]],1)=7,"Division",""),"")</f>
        <v>Division</v>
      </c>
      <c r="I575" s="311"/>
      <c r="J575" s="313" t="s">
        <v>708</v>
      </c>
      <c r="K575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75" s="314">
        <f>ROUND(Tableau17[[#This Row],[LEN]]*7.27,0)</f>
        <v>73</v>
      </c>
      <c r="M575" s="314">
        <v>15</v>
      </c>
      <c r="N575" s="315" t="str">
        <f t="shared" si="4"/>
        <v>none</v>
      </c>
      <c r="O575" s="314">
        <f>LEN(Tableau17[[#This Row],[LABEL]])</f>
        <v>10</v>
      </c>
      <c r="P575" s="314">
        <v>15</v>
      </c>
      <c r="Q575" s="314" t="e">
        <f>ROUND(Tableau17[[#This Row],[LEN]]*#REF!+#REF!,0)</f>
        <v>#REF!</v>
      </c>
    </row>
    <row r="576" spans="1:17" s="97" customFormat="1" x14ac:dyDescent="0.25">
      <c r="A576" s="33" t="s">
        <v>419</v>
      </c>
      <c r="B576" s="34" t="s">
        <v>269</v>
      </c>
      <c r="C576" s="35" t="s">
        <v>111</v>
      </c>
      <c r="D576" s="72" t="s">
        <v>1177</v>
      </c>
      <c r="E576" s="35" t="s">
        <v>667</v>
      </c>
      <c r="F576" s="35" t="s">
        <v>2006</v>
      </c>
      <c r="G576" s="72" t="s">
        <v>2096</v>
      </c>
      <c r="H576" s="72" t="s">
        <v>655</v>
      </c>
      <c r="I576" s="35"/>
      <c r="J576" s="36" t="s">
        <v>708</v>
      </c>
      <c r="K57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6" s="113">
        <f>ROUND(Tableau17[[#This Row],[LEN]]*7.27,0)</f>
        <v>167</v>
      </c>
      <c r="M576" s="113">
        <v>15</v>
      </c>
      <c r="N576" s="130" t="str">
        <f t="shared" si="4"/>
        <v>none</v>
      </c>
      <c r="O576" s="113">
        <f>LEN(Tableau17[[#This Row],[LABEL]])</f>
        <v>23</v>
      </c>
      <c r="P576" s="113">
        <v>15</v>
      </c>
      <c r="Q576" s="113" t="e">
        <f>ROUND(Tableau17[[#This Row],[LEN]]*#REF!+#REF!,0)</f>
        <v>#REF!</v>
      </c>
    </row>
    <row r="577" spans="1:17" s="97" customFormat="1" x14ac:dyDescent="0.25">
      <c r="A577" s="37" t="s">
        <v>420</v>
      </c>
      <c r="B577" s="38" t="s">
        <v>419</v>
      </c>
      <c r="C577" s="39" t="s">
        <v>112</v>
      </c>
      <c r="D577" s="73" t="s">
        <v>1177</v>
      </c>
      <c r="E577" s="39" t="s">
        <v>667</v>
      </c>
      <c r="F577" s="39" t="s">
        <v>2006</v>
      </c>
      <c r="G577" s="73" t="s">
        <v>2096</v>
      </c>
      <c r="H577" s="73" t="s">
        <v>654</v>
      </c>
      <c r="I577" s="39"/>
      <c r="J577" s="40" t="s">
        <v>708</v>
      </c>
      <c r="K57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7" s="114">
        <f>ROUND(Tableau17[[#This Row],[LEN]]*7.27,0)</f>
        <v>167</v>
      </c>
      <c r="M577" s="114">
        <v>15</v>
      </c>
      <c r="N577" s="131" t="str">
        <f t="shared" si="4"/>
        <v>none</v>
      </c>
      <c r="O577" s="114">
        <f>LEN(Tableau17[[#This Row],[LABEL]])</f>
        <v>23</v>
      </c>
      <c r="P577" s="114">
        <v>15</v>
      </c>
      <c r="Q577" s="114" t="e">
        <f>ROUND(Tableau17[[#This Row],[LEN]]*#REF!+#REF!,0)</f>
        <v>#REF!</v>
      </c>
    </row>
    <row r="578" spans="1:17" s="97" customFormat="1" x14ac:dyDescent="0.25">
      <c r="A578" s="37" t="s">
        <v>421</v>
      </c>
      <c r="B578" s="38" t="s">
        <v>419</v>
      </c>
      <c r="C578" s="39" t="s">
        <v>113</v>
      </c>
      <c r="D578" s="73" t="s">
        <v>1177</v>
      </c>
      <c r="E578" s="39" t="s">
        <v>667</v>
      </c>
      <c r="F578" s="39" t="s">
        <v>2006</v>
      </c>
      <c r="G578" s="73" t="s">
        <v>2096</v>
      </c>
      <c r="H578" s="73" t="s">
        <v>654</v>
      </c>
      <c r="I578" s="39"/>
      <c r="J578" s="40" t="s">
        <v>708</v>
      </c>
      <c r="K57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8" s="114">
        <f>ROUND(Tableau17[[#This Row],[LEN]]*7.27,0)</f>
        <v>233</v>
      </c>
      <c r="M578" s="114">
        <v>15</v>
      </c>
      <c r="N578" s="131" t="str">
        <f t="shared" si="4"/>
        <v>none</v>
      </c>
      <c r="O578" s="114">
        <f>LEN(Tableau17[[#This Row],[LABEL]])</f>
        <v>32</v>
      </c>
      <c r="P578" s="114">
        <v>15</v>
      </c>
      <c r="Q578" s="114" t="e">
        <f>ROUND(Tableau17[[#This Row],[LEN]]*#REF!+#REF!,0)</f>
        <v>#REF!</v>
      </c>
    </row>
    <row r="579" spans="1:17" s="97" customFormat="1" x14ac:dyDescent="0.25">
      <c r="A579" s="33" t="s">
        <v>422</v>
      </c>
      <c r="B579" s="34" t="s">
        <v>269</v>
      </c>
      <c r="C579" s="35" t="s">
        <v>114</v>
      </c>
      <c r="D579" s="72" t="s">
        <v>1177</v>
      </c>
      <c r="E579" s="35" t="s">
        <v>661</v>
      </c>
      <c r="F579" s="35" t="s">
        <v>2083</v>
      </c>
      <c r="G579" s="72" t="s">
        <v>2096</v>
      </c>
      <c r="H579" s="72" t="s">
        <v>654</v>
      </c>
      <c r="I579" s="35"/>
      <c r="J579" s="36" t="s">
        <v>708</v>
      </c>
      <c r="K57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79" s="113">
        <f>ROUND(Tableau17[[#This Row],[LEN]]*7.27,0)</f>
        <v>153</v>
      </c>
      <c r="M579" s="113">
        <v>15</v>
      </c>
      <c r="N579" s="130" t="str">
        <f t="shared" si="4"/>
        <v>none</v>
      </c>
      <c r="O579" s="113">
        <f>LEN(Tableau17[[#This Row],[LABEL]])</f>
        <v>21</v>
      </c>
      <c r="P579" s="113">
        <v>15</v>
      </c>
      <c r="Q579" s="113" t="e">
        <f>ROUND(Tableau17[[#This Row],[LEN]]*#REF!+#REF!,0)</f>
        <v>#REF!</v>
      </c>
    </row>
    <row r="580" spans="1:17" s="273" customFormat="1" x14ac:dyDescent="0.25">
      <c r="A580" s="309" t="s">
        <v>270</v>
      </c>
      <c r="B580" s="310" t="s">
        <v>207</v>
      </c>
      <c r="C580" s="311" t="s">
        <v>4</v>
      </c>
      <c r="D580" s="312" t="s">
        <v>1177</v>
      </c>
      <c r="E580" s="311" t="s">
        <v>666</v>
      </c>
      <c r="F580" s="311" t="s">
        <v>1177</v>
      </c>
      <c r="G580" s="312" t="s">
        <v>2096</v>
      </c>
      <c r="H580" s="312" t="str">
        <f>IFERROR(IF(SEARCH(".00.00.00.00.00",Tableau17[[#This Row],[name]],1)=7,"Division",""),"")</f>
        <v>Division</v>
      </c>
      <c r="I580" s="311"/>
      <c r="J580" s="313" t="s">
        <v>708</v>
      </c>
      <c r="K580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80" s="314">
        <f>ROUND(Tableau17[[#This Row],[LEN]]*7.27,0)</f>
        <v>36</v>
      </c>
      <c r="M580" s="314">
        <v>15</v>
      </c>
      <c r="N580" s="315" t="str">
        <f t="shared" si="4"/>
        <v>none</v>
      </c>
      <c r="O580" s="314">
        <f>LEN(Tableau17[[#This Row],[LABEL]])</f>
        <v>5</v>
      </c>
      <c r="P580" s="314">
        <v>15</v>
      </c>
      <c r="Q580" s="314" t="e">
        <f>ROUND(Tableau17[[#This Row],[LEN]]*#REF!+#REF!,0)</f>
        <v>#REF!</v>
      </c>
    </row>
    <row r="581" spans="1:17" s="97" customFormat="1" x14ac:dyDescent="0.25">
      <c r="A581" s="33" t="s">
        <v>1427</v>
      </c>
      <c r="B581" s="34" t="s">
        <v>270</v>
      </c>
      <c r="C581" s="35" t="s">
        <v>111</v>
      </c>
      <c r="D581" s="72" t="s">
        <v>1177</v>
      </c>
      <c r="E581" s="35" t="s">
        <v>667</v>
      </c>
      <c r="F581" s="35" t="s">
        <v>2006</v>
      </c>
      <c r="G581" s="72" t="s">
        <v>2096</v>
      </c>
      <c r="H581" s="72" t="s">
        <v>655</v>
      </c>
      <c r="I581" s="35"/>
      <c r="J581" s="36" t="s">
        <v>708</v>
      </c>
      <c r="K581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1" s="113">
        <f>ROUND(Tableau17[[#This Row],[LEN]]*7.27,0)</f>
        <v>167</v>
      </c>
      <c r="M581" s="113">
        <v>15</v>
      </c>
      <c r="N581" s="130" t="str">
        <f t="shared" si="4"/>
        <v>none</v>
      </c>
      <c r="O581" s="113">
        <f>LEN(Tableau17[[#This Row],[LABEL]])</f>
        <v>23</v>
      </c>
      <c r="P581" s="113">
        <v>15</v>
      </c>
      <c r="Q581" s="113" t="e">
        <f>ROUND(Tableau17[[#This Row],[LEN]]*#REF!+#REF!,0)</f>
        <v>#REF!</v>
      </c>
    </row>
    <row r="582" spans="1:17" s="97" customFormat="1" x14ac:dyDescent="0.25">
      <c r="A582" s="37" t="s">
        <v>1428</v>
      </c>
      <c r="B582" s="38" t="s">
        <v>1427</v>
      </c>
      <c r="C582" s="39" t="s">
        <v>112</v>
      </c>
      <c r="D582" s="73" t="s">
        <v>1177</v>
      </c>
      <c r="E582" s="39" t="s">
        <v>667</v>
      </c>
      <c r="F582" s="39" t="s">
        <v>2006</v>
      </c>
      <c r="G582" s="73" t="s">
        <v>2096</v>
      </c>
      <c r="H582" s="73" t="s">
        <v>654</v>
      </c>
      <c r="I582" s="39"/>
      <c r="J582" s="40" t="s">
        <v>708</v>
      </c>
      <c r="K58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2" s="114">
        <f>ROUND(Tableau17[[#This Row],[LEN]]*7.27,0)</f>
        <v>167</v>
      </c>
      <c r="M582" s="114">
        <v>15</v>
      </c>
      <c r="N582" s="131" t="str">
        <f t="shared" si="4"/>
        <v>none</v>
      </c>
      <c r="O582" s="114">
        <f>LEN(Tableau17[[#This Row],[LABEL]])</f>
        <v>23</v>
      </c>
      <c r="P582" s="114">
        <v>15</v>
      </c>
      <c r="Q582" s="114" t="e">
        <f>ROUND(Tableau17[[#This Row],[LEN]]*#REF!+#REF!,0)</f>
        <v>#REF!</v>
      </c>
    </row>
    <row r="583" spans="1:17" s="97" customFormat="1" x14ac:dyDescent="0.25">
      <c r="A583" s="37" t="s">
        <v>1429</v>
      </c>
      <c r="B583" s="38" t="s">
        <v>1427</v>
      </c>
      <c r="C583" s="39" t="s">
        <v>113</v>
      </c>
      <c r="D583" s="73" t="s">
        <v>1177</v>
      </c>
      <c r="E583" s="39" t="s">
        <v>667</v>
      </c>
      <c r="F583" s="39" t="s">
        <v>2006</v>
      </c>
      <c r="G583" s="73" t="s">
        <v>2096</v>
      </c>
      <c r="H583" s="73" t="s">
        <v>654</v>
      </c>
      <c r="I583" s="39"/>
      <c r="J583" s="40" t="s">
        <v>708</v>
      </c>
      <c r="K58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3" s="114">
        <f>ROUND(Tableau17[[#This Row],[LEN]]*7.27,0)</f>
        <v>233</v>
      </c>
      <c r="M583" s="114">
        <v>15</v>
      </c>
      <c r="N583" s="131" t="str">
        <f t="shared" si="4"/>
        <v>none</v>
      </c>
      <c r="O583" s="114">
        <f>LEN(Tableau17[[#This Row],[LABEL]])</f>
        <v>32</v>
      </c>
      <c r="P583" s="114">
        <v>15</v>
      </c>
      <c r="Q583" s="114" t="e">
        <f>ROUND(Tableau17[[#This Row],[LEN]]*#REF!+#REF!,0)</f>
        <v>#REF!</v>
      </c>
    </row>
    <row r="584" spans="1:17" s="273" customFormat="1" x14ac:dyDescent="0.25">
      <c r="A584" s="309" t="s">
        <v>271</v>
      </c>
      <c r="B584" s="310" t="s">
        <v>207</v>
      </c>
      <c r="C584" s="311" t="s">
        <v>80</v>
      </c>
      <c r="D584" s="312" t="s">
        <v>1177</v>
      </c>
      <c r="E584" s="311" t="s">
        <v>667</v>
      </c>
      <c r="F584" s="311" t="s">
        <v>1177</v>
      </c>
      <c r="G584" s="312" t="s">
        <v>2096</v>
      </c>
      <c r="H584" s="312" t="str">
        <f>IFERROR(IF(SEARCH(".00.00.00.00.00",Tableau17[[#This Row],[name]],1)=7,"Division",""),"")</f>
        <v>Division</v>
      </c>
      <c r="I584" s="311"/>
      <c r="J584" s="313" t="s">
        <v>708</v>
      </c>
      <c r="K584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84" s="314">
        <f>ROUND(Tableau17[[#This Row],[LEN]]*7.27,0)</f>
        <v>116</v>
      </c>
      <c r="M584" s="314">
        <v>15</v>
      </c>
      <c r="N584" s="315" t="str">
        <f t="shared" si="4"/>
        <v>none</v>
      </c>
      <c r="O584" s="314">
        <f>LEN(Tableau17[[#This Row],[LABEL]])</f>
        <v>16</v>
      </c>
      <c r="P584" s="314">
        <v>15</v>
      </c>
      <c r="Q584" s="314" t="e">
        <f>ROUND(Tableau17[[#This Row],[LEN]]*#REF!+#REF!,0)</f>
        <v>#REF!</v>
      </c>
    </row>
    <row r="585" spans="1:17" s="97" customFormat="1" x14ac:dyDescent="0.25">
      <c r="A585" s="33" t="s">
        <v>1430</v>
      </c>
      <c r="B585" s="34" t="s">
        <v>271</v>
      </c>
      <c r="C585" s="35" t="s">
        <v>111</v>
      </c>
      <c r="D585" s="72" t="s">
        <v>1177</v>
      </c>
      <c r="E585" s="35" t="s">
        <v>667</v>
      </c>
      <c r="F585" s="35" t="s">
        <v>2006</v>
      </c>
      <c r="G585" s="72" t="s">
        <v>2096</v>
      </c>
      <c r="H585" s="72" t="s">
        <v>655</v>
      </c>
      <c r="I585" s="35"/>
      <c r="J585" s="36" t="s">
        <v>708</v>
      </c>
      <c r="K58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5" s="113">
        <f>ROUND(Tableau17[[#This Row],[LEN]]*7.27,0)</f>
        <v>167</v>
      </c>
      <c r="M585" s="113">
        <v>15</v>
      </c>
      <c r="N585" s="130" t="str">
        <f t="shared" si="4"/>
        <v>none</v>
      </c>
      <c r="O585" s="113">
        <f>LEN(Tableau17[[#This Row],[LABEL]])</f>
        <v>23</v>
      </c>
      <c r="P585" s="113">
        <v>15</v>
      </c>
      <c r="Q585" s="113" t="e">
        <f>ROUND(Tableau17[[#This Row],[LEN]]*#REF!+#REF!,0)</f>
        <v>#REF!</v>
      </c>
    </row>
    <row r="586" spans="1:17" s="97" customFormat="1" x14ac:dyDescent="0.25">
      <c r="A586" s="37" t="s">
        <v>1431</v>
      </c>
      <c r="B586" s="38" t="s">
        <v>1430</v>
      </c>
      <c r="C586" s="39" t="s">
        <v>112</v>
      </c>
      <c r="D586" s="73" t="s">
        <v>1177</v>
      </c>
      <c r="E586" s="39" t="s">
        <v>667</v>
      </c>
      <c r="F586" s="39" t="s">
        <v>2006</v>
      </c>
      <c r="G586" s="73" t="s">
        <v>2096</v>
      </c>
      <c r="H586" s="73" t="s">
        <v>654</v>
      </c>
      <c r="I586" s="39"/>
      <c r="J586" s="40" t="s">
        <v>708</v>
      </c>
      <c r="K586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6" s="114">
        <f>ROUND(Tableau17[[#This Row],[LEN]]*7.27,0)</f>
        <v>167</v>
      </c>
      <c r="M586" s="114">
        <v>15</v>
      </c>
      <c r="N586" s="131" t="str">
        <f t="shared" si="4"/>
        <v>none</v>
      </c>
      <c r="O586" s="114">
        <f>LEN(Tableau17[[#This Row],[LABEL]])</f>
        <v>23</v>
      </c>
      <c r="P586" s="114">
        <v>15</v>
      </c>
      <c r="Q586" s="114" t="e">
        <f>ROUND(Tableau17[[#This Row],[LEN]]*#REF!+#REF!,0)</f>
        <v>#REF!</v>
      </c>
    </row>
    <row r="587" spans="1:17" s="97" customFormat="1" x14ac:dyDescent="0.25">
      <c r="A587" s="37" t="s">
        <v>1432</v>
      </c>
      <c r="B587" s="38" t="s">
        <v>1430</v>
      </c>
      <c r="C587" s="39" t="s">
        <v>113</v>
      </c>
      <c r="D587" s="73" t="s">
        <v>1177</v>
      </c>
      <c r="E587" s="39" t="s">
        <v>667</v>
      </c>
      <c r="F587" s="39" t="s">
        <v>2006</v>
      </c>
      <c r="G587" s="73" t="s">
        <v>2096</v>
      </c>
      <c r="H587" s="73" t="s">
        <v>654</v>
      </c>
      <c r="I587" s="39"/>
      <c r="J587" s="40" t="s">
        <v>708</v>
      </c>
      <c r="K58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7" s="114">
        <f>ROUND(Tableau17[[#This Row],[LEN]]*7.27,0)</f>
        <v>233</v>
      </c>
      <c r="M587" s="114">
        <v>15</v>
      </c>
      <c r="N587" s="131" t="str">
        <f t="shared" si="4"/>
        <v>none</v>
      </c>
      <c r="O587" s="114">
        <f>LEN(Tableau17[[#This Row],[LABEL]])</f>
        <v>32</v>
      </c>
      <c r="P587" s="114">
        <v>15</v>
      </c>
      <c r="Q587" s="114" t="e">
        <f>ROUND(Tableau17[[#This Row],[LEN]]*#REF!+#REF!,0)</f>
        <v>#REF!</v>
      </c>
    </row>
    <row r="588" spans="1:17" s="273" customFormat="1" x14ac:dyDescent="0.25">
      <c r="A588" s="309" t="s">
        <v>272</v>
      </c>
      <c r="B588" s="310" t="s">
        <v>207</v>
      </c>
      <c r="C588" s="311" t="s">
        <v>5</v>
      </c>
      <c r="D588" s="312" t="s">
        <v>1177</v>
      </c>
      <c r="E588" s="311" t="s">
        <v>668</v>
      </c>
      <c r="F588" s="311" t="s">
        <v>1177</v>
      </c>
      <c r="G588" s="312" t="s">
        <v>2096</v>
      </c>
      <c r="H588" s="312" t="str">
        <f>IFERROR(IF(SEARCH(".00.00.00.00.00",Tableau17[[#This Row],[name]],1)=7,"Division",""),"")</f>
        <v>Division</v>
      </c>
      <c r="I588" s="311"/>
      <c r="J588" s="313" t="s">
        <v>708</v>
      </c>
      <c r="K588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88" s="314">
        <f>ROUND(Tableau17[[#This Row],[LEN]]*7.27,0)</f>
        <v>73</v>
      </c>
      <c r="M588" s="314">
        <v>15</v>
      </c>
      <c r="N588" s="315" t="str">
        <f t="shared" si="4"/>
        <v>none</v>
      </c>
      <c r="O588" s="314">
        <f>LEN(Tableau17[[#This Row],[LABEL]])</f>
        <v>10</v>
      </c>
      <c r="P588" s="314">
        <v>15</v>
      </c>
      <c r="Q588" s="314" t="e">
        <f>ROUND(Tableau17[[#This Row],[LEN]]*#REF!+#REF!,0)</f>
        <v>#REF!</v>
      </c>
    </row>
    <row r="589" spans="1:17" s="97" customFormat="1" x14ac:dyDescent="0.25">
      <c r="A589" s="33" t="s">
        <v>1433</v>
      </c>
      <c r="B589" s="34" t="s">
        <v>272</v>
      </c>
      <c r="C589" s="35" t="s">
        <v>111</v>
      </c>
      <c r="D589" s="72" t="s">
        <v>1177</v>
      </c>
      <c r="E589" s="35" t="s">
        <v>667</v>
      </c>
      <c r="F589" s="35" t="s">
        <v>2006</v>
      </c>
      <c r="G589" s="72" t="s">
        <v>2096</v>
      </c>
      <c r="H589" s="72" t="s">
        <v>655</v>
      </c>
      <c r="I589" s="35"/>
      <c r="J589" s="36" t="s">
        <v>708</v>
      </c>
      <c r="K58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89" s="113">
        <f>ROUND(Tableau17[[#This Row],[LEN]]*7.27,0)</f>
        <v>167</v>
      </c>
      <c r="M589" s="113">
        <v>15</v>
      </c>
      <c r="N589" s="130" t="str">
        <f t="shared" si="4"/>
        <v>none</v>
      </c>
      <c r="O589" s="113">
        <f>LEN(Tableau17[[#This Row],[LABEL]])</f>
        <v>23</v>
      </c>
      <c r="P589" s="113">
        <v>15</v>
      </c>
      <c r="Q589" s="113" t="e">
        <f>ROUND(Tableau17[[#This Row],[LEN]]*#REF!+#REF!,0)</f>
        <v>#REF!</v>
      </c>
    </row>
    <row r="590" spans="1:17" s="97" customFormat="1" x14ac:dyDescent="0.25">
      <c r="A590" s="37" t="s">
        <v>1434</v>
      </c>
      <c r="B590" s="38" t="s">
        <v>1433</v>
      </c>
      <c r="C590" s="39" t="s">
        <v>112</v>
      </c>
      <c r="D590" s="73" t="s">
        <v>1177</v>
      </c>
      <c r="E590" s="39" t="s">
        <v>667</v>
      </c>
      <c r="F590" s="39" t="s">
        <v>2006</v>
      </c>
      <c r="G590" s="73" t="s">
        <v>2096</v>
      </c>
      <c r="H590" s="73" t="s">
        <v>654</v>
      </c>
      <c r="I590" s="39"/>
      <c r="J590" s="40" t="s">
        <v>708</v>
      </c>
      <c r="K59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0" s="114">
        <f>ROUND(Tableau17[[#This Row],[LEN]]*7.27,0)</f>
        <v>167</v>
      </c>
      <c r="M590" s="114">
        <v>15</v>
      </c>
      <c r="N590" s="131" t="str">
        <f t="shared" si="4"/>
        <v>none</v>
      </c>
      <c r="O590" s="114">
        <f>LEN(Tableau17[[#This Row],[LABEL]])</f>
        <v>23</v>
      </c>
      <c r="P590" s="114">
        <v>15</v>
      </c>
      <c r="Q590" s="114" t="e">
        <f>ROUND(Tableau17[[#This Row],[LEN]]*#REF!+#REF!,0)</f>
        <v>#REF!</v>
      </c>
    </row>
    <row r="591" spans="1:17" s="97" customFormat="1" x14ac:dyDescent="0.25">
      <c r="A591" s="37" t="s">
        <v>1435</v>
      </c>
      <c r="B591" s="38" t="s">
        <v>1433</v>
      </c>
      <c r="C591" s="39" t="s">
        <v>113</v>
      </c>
      <c r="D591" s="73" t="s">
        <v>1177</v>
      </c>
      <c r="E591" s="39" t="s">
        <v>667</v>
      </c>
      <c r="F591" s="39" t="s">
        <v>2006</v>
      </c>
      <c r="G591" s="73" t="s">
        <v>2096</v>
      </c>
      <c r="H591" s="73" t="s">
        <v>654</v>
      </c>
      <c r="I591" s="39"/>
      <c r="J591" s="40" t="s">
        <v>708</v>
      </c>
      <c r="K591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1" s="114">
        <f>ROUND(Tableau17[[#This Row],[LEN]]*7.27,0)</f>
        <v>233</v>
      </c>
      <c r="M591" s="114">
        <v>15</v>
      </c>
      <c r="N591" s="131" t="str">
        <f t="shared" si="4"/>
        <v>none</v>
      </c>
      <c r="O591" s="114">
        <f>LEN(Tableau17[[#This Row],[LABEL]])</f>
        <v>32</v>
      </c>
      <c r="P591" s="114">
        <v>15</v>
      </c>
      <c r="Q591" s="114" t="e">
        <f>ROUND(Tableau17[[#This Row],[LEN]]*#REF!+#REF!,0)</f>
        <v>#REF!</v>
      </c>
    </row>
    <row r="592" spans="1:17" s="273" customFormat="1" x14ac:dyDescent="0.25">
      <c r="A592" s="309" t="s">
        <v>273</v>
      </c>
      <c r="B592" s="310" t="s">
        <v>207</v>
      </c>
      <c r="C592" s="311" t="s">
        <v>6</v>
      </c>
      <c r="D592" s="312" t="s">
        <v>1177</v>
      </c>
      <c r="E592" s="311" t="s">
        <v>669</v>
      </c>
      <c r="F592" s="311" t="s">
        <v>1177</v>
      </c>
      <c r="G592" s="312" t="s">
        <v>2096</v>
      </c>
      <c r="H592" s="312" t="str">
        <f>IFERROR(IF(SEARCH(".00.00.00.00.00",Tableau17[[#This Row],[name]],1)=7,"Division",""),"")</f>
        <v>Division</v>
      </c>
      <c r="I592" s="311"/>
      <c r="J592" s="313" t="s">
        <v>708</v>
      </c>
      <c r="K592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592" s="314">
        <f>ROUND(Tableau17[[#This Row],[LEN]]*7.27,0)</f>
        <v>196</v>
      </c>
      <c r="M592" s="314">
        <v>15</v>
      </c>
      <c r="N592" s="315" t="str">
        <f t="shared" si="4"/>
        <v>none</v>
      </c>
      <c r="O592" s="314">
        <f>LEN(Tableau17[[#This Row],[LABEL]])</f>
        <v>27</v>
      </c>
      <c r="P592" s="314">
        <v>15</v>
      </c>
      <c r="Q592" s="314" t="e">
        <f>ROUND(Tableau17[[#This Row],[LEN]]*#REF!+#REF!,0)</f>
        <v>#REF!</v>
      </c>
    </row>
    <row r="593" spans="1:17" s="97" customFormat="1" x14ac:dyDescent="0.25">
      <c r="A593" s="33" t="s">
        <v>423</v>
      </c>
      <c r="B593" s="34" t="s">
        <v>273</v>
      </c>
      <c r="C593" s="35" t="s">
        <v>111</v>
      </c>
      <c r="D593" s="72" t="s">
        <v>1177</v>
      </c>
      <c r="E593" s="35" t="s">
        <v>667</v>
      </c>
      <c r="F593" s="35" t="s">
        <v>2006</v>
      </c>
      <c r="G593" s="72" t="s">
        <v>2096</v>
      </c>
      <c r="H593" s="72" t="s">
        <v>655</v>
      </c>
      <c r="I593" s="35"/>
      <c r="J593" s="36" t="s">
        <v>708</v>
      </c>
      <c r="K593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3" s="113">
        <f>ROUND(Tableau17[[#This Row],[LEN]]*7.27,0)</f>
        <v>167</v>
      </c>
      <c r="M593" s="113">
        <v>15</v>
      </c>
      <c r="N593" s="130" t="str">
        <f t="shared" si="4"/>
        <v>none</v>
      </c>
      <c r="O593" s="113">
        <f>LEN(Tableau17[[#This Row],[LABEL]])</f>
        <v>23</v>
      </c>
      <c r="P593" s="113">
        <v>15</v>
      </c>
      <c r="Q593" s="113" t="e">
        <f>ROUND(Tableau17[[#This Row],[LEN]]*#REF!+#REF!,0)</f>
        <v>#REF!</v>
      </c>
    </row>
    <row r="594" spans="1:17" s="97" customFormat="1" x14ac:dyDescent="0.25">
      <c r="A594" s="37" t="s">
        <v>426</v>
      </c>
      <c r="B594" s="38" t="s">
        <v>423</v>
      </c>
      <c r="C594" s="39" t="s">
        <v>112</v>
      </c>
      <c r="D594" s="73" t="s">
        <v>1177</v>
      </c>
      <c r="E594" s="39" t="s">
        <v>667</v>
      </c>
      <c r="F594" s="39" t="s">
        <v>2006</v>
      </c>
      <c r="G594" s="73" t="s">
        <v>2096</v>
      </c>
      <c r="H594" s="73" t="s">
        <v>654</v>
      </c>
      <c r="I594" s="39"/>
      <c r="J594" s="40" t="s">
        <v>708</v>
      </c>
      <c r="K59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4" s="114">
        <f>ROUND(Tableau17[[#This Row],[LEN]]*7.27,0)</f>
        <v>167</v>
      </c>
      <c r="M594" s="114">
        <v>15</v>
      </c>
      <c r="N594" s="131" t="str">
        <f t="shared" si="4"/>
        <v>none</v>
      </c>
      <c r="O594" s="114">
        <f>LEN(Tableau17[[#This Row],[LABEL]])</f>
        <v>23</v>
      </c>
      <c r="P594" s="114">
        <v>15</v>
      </c>
      <c r="Q594" s="114" t="e">
        <f>ROUND(Tableau17[[#This Row],[LEN]]*#REF!+#REF!,0)</f>
        <v>#REF!</v>
      </c>
    </row>
    <row r="595" spans="1:17" s="97" customFormat="1" x14ac:dyDescent="0.25">
      <c r="A595" s="37" t="s">
        <v>427</v>
      </c>
      <c r="B595" s="38" t="s">
        <v>423</v>
      </c>
      <c r="C595" s="39" t="s">
        <v>113</v>
      </c>
      <c r="D595" s="73" t="s">
        <v>1177</v>
      </c>
      <c r="E595" s="39" t="s">
        <v>667</v>
      </c>
      <c r="F595" s="39" t="s">
        <v>2006</v>
      </c>
      <c r="G595" s="73" t="s">
        <v>2096</v>
      </c>
      <c r="H595" s="73" t="s">
        <v>654</v>
      </c>
      <c r="I595" s="39"/>
      <c r="J595" s="40" t="s">
        <v>708</v>
      </c>
      <c r="K595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5" s="114">
        <f>ROUND(Tableau17[[#This Row],[LEN]]*7.27,0)</f>
        <v>233</v>
      </c>
      <c r="M595" s="114">
        <v>15</v>
      </c>
      <c r="N595" s="131" t="str">
        <f t="shared" si="4"/>
        <v>none</v>
      </c>
      <c r="O595" s="114">
        <f>LEN(Tableau17[[#This Row],[LABEL]])</f>
        <v>32</v>
      </c>
      <c r="P595" s="114">
        <v>15</v>
      </c>
      <c r="Q595" s="114" t="e">
        <f>ROUND(Tableau17[[#This Row],[LEN]]*#REF!+#REF!,0)</f>
        <v>#REF!</v>
      </c>
    </row>
    <row r="596" spans="1:17" s="97" customFormat="1" x14ac:dyDescent="0.25">
      <c r="A596" s="33" t="s">
        <v>424</v>
      </c>
      <c r="B596" s="34" t="s">
        <v>273</v>
      </c>
      <c r="C596" s="35" t="s">
        <v>156</v>
      </c>
      <c r="D596" s="72" t="s">
        <v>1177</v>
      </c>
      <c r="E596" s="35" t="s">
        <v>669</v>
      </c>
      <c r="F596" s="35" t="s">
        <v>1177</v>
      </c>
      <c r="G596" s="72" t="s">
        <v>2096</v>
      </c>
      <c r="H596" s="72" t="s">
        <v>655</v>
      </c>
      <c r="I596" s="35"/>
      <c r="J596" s="36" t="s">
        <v>708</v>
      </c>
      <c r="K59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6" s="113">
        <f>ROUND(Tableau17[[#This Row],[LEN]]*7.27,0)</f>
        <v>131</v>
      </c>
      <c r="M596" s="113">
        <v>15</v>
      </c>
      <c r="N596" s="130" t="str">
        <f t="shared" si="4"/>
        <v>none</v>
      </c>
      <c r="O596" s="113">
        <f>LEN(Tableau17[[#This Row],[LABEL]])</f>
        <v>18</v>
      </c>
      <c r="P596" s="113">
        <v>15</v>
      </c>
      <c r="Q596" s="113" t="e">
        <f>ROUND(Tableau17[[#This Row],[LEN]]*#REF!+#REF!,0)</f>
        <v>#REF!</v>
      </c>
    </row>
    <row r="597" spans="1:17" s="97" customFormat="1" x14ac:dyDescent="0.25">
      <c r="A597" s="37" t="s">
        <v>428</v>
      </c>
      <c r="B597" s="38" t="s">
        <v>424</v>
      </c>
      <c r="C597" s="39" t="s">
        <v>137</v>
      </c>
      <c r="D597" s="73" t="s">
        <v>1177</v>
      </c>
      <c r="E597" s="39" t="s">
        <v>669</v>
      </c>
      <c r="F597" s="39" t="s">
        <v>1177</v>
      </c>
      <c r="G597" s="73" t="s">
        <v>2096</v>
      </c>
      <c r="H597" s="73" t="s">
        <v>654</v>
      </c>
      <c r="I597" s="39"/>
      <c r="J597" s="40" t="s">
        <v>726</v>
      </c>
      <c r="K59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7" s="114">
        <f>ROUND(Tableau17[[#This Row],[LEN]]*7.27,0)</f>
        <v>269</v>
      </c>
      <c r="M597" s="114">
        <v>15</v>
      </c>
      <c r="N597" s="131" t="str">
        <f t="shared" si="4"/>
        <v>new</v>
      </c>
      <c r="O597" s="114">
        <f>LEN(Tableau17[[#This Row],[LABEL]])</f>
        <v>37</v>
      </c>
      <c r="P597" s="114">
        <v>15</v>
      </c>
      <c r="Q597" s="114" t="e">
        <f>ROUND(Tableau17[[#This Row],[LEN]]*#REF!+#REF!,0)</f>
        <v>#REF!</v>
      </c>
    </row>
    <row r="598" spans="1:17" s="97" customFormat="1" x14ac:dyDescent="0.25">
      <c r="A598" s="37" t="s">
        <v>429</v>
      </c>
      <c r="B598" s="38" t="s">
        <v>424</v>
      </c>
      <c r="C598" s="39" t="s">
        <v>157</v>
      </c>
      <c r="D598" s="73" t="s">
        <v>1177</v>
      </c>
      <c r="E598" s="39" t="s">
        <v>669</v>
      </c>
      <c r="F598" s="39" t="s">
        <v>1177</v>
      </c>
      <c r="G598" s="73" t="s">
        <v>2096</v>
      </c>
      <c r="H598" s="73" t="s">
        <v>656</v>
      </c>
      <c r="I598" s="39"/>
      <c r="J598" s="40" t="s">
        <v>708</v>
      </c>
      <c r="K59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8" s="114">
        <f>ROUND(Tableau17[[#This Row],[LEN]]*7.27,0)</f>
        <v>538</v>
      </c>
      <c r="M598" s="114">
        <v>15</v>
      </c>
      <c r="N598" s="131" t="str">
        <f t="shared" si="4"/>
        <v>none</v>
      </c>
      <c r="O598" s="114">
        <f>LEN(Tableau17[[#This Row],[LABEL]])</f>
        <v>74</v>
      </c>
      <c r="P598" s="114">
        <v>15</v>
      </c>
      <c r="Q598" s="114" t="e">
        <f>ROUND(Tableau17[[#This Row],[LEN]]*#REF!+#REF!,0)</f>
        <v>#REF!</v>
      </c>
    </row>
    <row r="599" spans="1:17" s="97" customFormat="1" x14ac:dyDescent="0.25">
      <c r="A599" s="37" t="s">
        <v>430</v>
      </c>
      <c r="B599" s="38" t="s">
        <v>424</v>
      </c>
      <c r="C599" s="39" t="s">
        <v>158</v>
      </c>
      <c r="D599" s="73" t="s">
        <v>1177</v>
      </c>
      <c r="E599" s="39" t="s">
        <v>669</v>
      </c>
      <c r="F599" s="39" t="s">
        <v>1177</v>
      </c>
      <c r="G599" s="73" t="s">
        <v>2096</v>
      </c>
      <c r="H599" s="73" t="s">
        <v>656</v>
      </c>
      <c r="I599" s="39"/>
      <c r="J599" s="40" t="s">
        <v>708</v>
      </c>
      <c r="K59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599" s="114">
        <f>ROUND(Tableau17[[#This Row],[LEN]]*7.27,0)</f>
        <v>320</v>
      </c>
      <c r="M599" s="114">
        <v>15</v>
      </c>
      <c r="N599" s="131" t="str">
        <f t="shared" si="4"/>
        <v>none</v>
      </c>
      <c r="O599" s="114">
        <f>LEN(Tableau17[[#This Row],[LABEL]])</f>
        <v>44</v>
      </c>
      <c r="P599" s="114">
        <v>15</v>
      </c>
      <c r="Q599" s="114" t="e">
        <f>ROUND(Tableau17[[#This Row],[LEN]]*#REF!+#REF!,0)</f>
        <v>#REF!</v>
      </c>
    </row>
    <row r="600" spans="1:17" s="97" customFormat="1" x14ac:dyDescent="0.25">
      <c r="A600" s="37" t="s">
        <v>431</v>
      </c>
      <c r="B600" s="38" t="s">
        <v>424</v>
      </c>
      <c r="C600" s="39" t="s">
        <v>159</v>
      </c>
      <c r="D600" s="73" t="s">
        <v>1177</v>
      </c>
      <c r="E600" s="39" t="s">
        <v>669</v>
      </c>
      <c r="F600" s="39" t="s">
        <v>1177</v>
      </c>
      <c r="G600" s="73" t="s">
        <v>2096</v>
      </c>
      <c r="H600" s="73" t="s">
        <v>18</v>
      </c>
      <c r="I600" s="39"/>
      <c r="J600" s="40" t="s">
        <v>708</v>
      </c>
      <c r="K60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0" s="114">
        <f>ROUND(Tableau17[[#This Row],[LEN]]*7.27,0)</f>
        <v>407</v>
      </c>
      <c r="M600" s="114">
        <v>15</v>
      </c>
      <c r="N600" s="131" t="str">
        <f t="shared" si="4"/>
        <v>none</v>
      </c>
      <c r="O600" s="114">
        <f>LEN(Tableau17[[#This Row],[LABEL]])</f>
        <v>56</v>
      </c>
      <c r="P600" s="114">
        <v>15</v>
      </c>
      <c r="Q600" s="114" t="e">
        <f>ROUND(Tableau17[[#This Row],[LEN]]*#REF!+#REF!,0)</f>
        <v>#REF!</v>
      </c>
    </row>
    <row r="601" spans="1:17" s="97" customFormat="1" x14ac:dyDescent="0.25">
      <c r="A601" s="37" t="s">
        <v>432</v>
      </c>
      <c r="B601" s="38" t="s">
        <v>424</v>
      </c>
      <c r="C601" s="39" t="s">
        <v>160</v>
      </c>
      <c r="D601" s="73" t="s">
        <v>1177</v>
      </c>
      <c r="E601" s="39" t="s">
        <v>669</v>
      </c>
      <c r="F601" s="39" t="s">
        <v>1177</v>
      </c>
      <c r="G601" s="73" t="s">
        <v>2096</v>
      </c>
      <c r="H601" s="73" t="s">
        <v>18</v>
      </c>
      <c r="I601" s="39"/>
      <c r="J601" s="40" t="s">
        <v>708</v>
      </c>
      <c r="K601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1" s="114">
        <f>ROUND(Tableau17[[#This Row],[LEN]]*7.27,0)</f>
        <v>371</v>
      </c>
      <c r="M601" s="114">
        <v>15</v>
      </c>
      <c r="N601" s="131" t="str">
        <f t="shared" si="4"/>
        <v>none</v>
      </c>
      <c r="O601" s="114">
        <f>LEN(Tableau17[[#This Row],[LABEL]])</f>
        <v>51</v>
      </c>
      <c r="P601" s="114">
        <v>15</v>
      </c>
      <c r="Q601" s="114" t="e">
        <f>ROUND(Tableau17[[#This Row],[LEN]]*#REF!+#REF!,0)</f>
        <v>#REF!</v>
      </c>
    </row>
    <row r="602" spans="1:17" s="97" customFormat="1" x14ac:dyDescent="0.25">
      <c r="A602" s="37" t="s">
        <v>433</v>
      </c>
      <c r="B602" s="38" t="s">
        <v>424</v>
      </c>
      <c r="C602" s="39" t="s">
        <v>161</v>
      </c>
      <c r="D602" s="73" t="s">
        <v>1177</v>
      </c>
      <c r="E602" s="39" t="s">
        <v>669</v>
      </c>
      <c r="F602" s="39" t="s">
        <v>1177</v>
      </c>
      <c r="G602" s="73" t="s">
        <v>2096</v>
      </c>
      <c r="H602" s="73" t="s">
        <v>656</v>
      </c>
      <c r="I602" s="39"/>
      <c r="J602" s="40" t="s">
        <v>708</v>
      </c>
      <c r="K60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2" s="114">
        <f>ROUND(Tableau17[[#This Row],[LEN]]*7.27,0)</f>
        <v>276</v>
      </c>
      <c r="M602" s="114">
        <v>15</v>
      </c>
      <c r="N602" s="131" t="str">
        <f t="shared" si="4"/>
        <v>none</v>
      </c>
      <c r="O602" s="114">
        <f>LEN(Tableau17[[#This Row],[LABEL]])</f>
        <v>38</v>
      </c>
      <c r="P602" s="114">
        <v>15</v>
      </c>
      <c r="Q602" s="114" t="e">
        <f>ROUND(Tableau17[[#This Row],[LEN]]*#REF!+#REF!,0)</f>
        <v>#REF!</v>
      </c>
    </row>
    <row r="603" spans="1:17" s="97" customFormat="1" x14ac:dyDescent="0.25">
      <c r="A603" s="37" t="s">
        <v>434</v>
      </c>
      <c r="B603" s="38" t="s">
        <v>424</v>
      </c>
      <c r="C603" s="39" t="s">
        <v>162</v>
      </c>
      <c r="D603" s="73" t="s">
        <v>1177</v>
      </c>
      <c r="E603" s="39" t="s">
        <v>669</v>
      </c>
      <c r="F603" s="39" t="s">
        <v>1177</v>
      </c>
      <c r="G603" s="73" t="s">
        <v>2096</v>
      </c>
      <c r="H603" s="73" t="s">
        <v>656</v>
      </c>
      <c r="I603" s="39"/>
      <c r="J603" s="40" t="s">
        <v>708</v>
      </c>
      <c r="K60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3" s="114">
        <f>ROUND(Tableau17[[#This Row],[LEN]]*7.27,0)</f>
        <v>393</v>
      </c>
      <c r="M603" s="114">
        <v>15</v>
      </c>
      <c r="N603" s="131" t="str">
        <f t="shared" si="4"/>
        <v>none</v>
      </c>
      <c r="O603" s="114">
        <f>LEN(Tableau17[[#This Row],[LABEL]])</f>
        <v>54</v>
      </c>
      <c r="P603" s="114">
        <v>15</v>
      </c>
      <c r="Q603" s="114" t="e">
        <f>ROUND(Tableau17[[#This Row],[LEN]]*#REF!+#REF!,0)</f>
        <v>#REF!</v>
      </c>
    </row>
    <row r="604" spans="1:17" s="97" customFormat="1" x14ac:dyDescent="0.25">
      <c r="A604" s="37" t="s">
        <v>435</v>
      </c>
      <c r="B604" s="38" t="s">
        <v>424</v>
      </c>
      <c r="C604" s="39" t="s">
        <v>163</v>
      </c>
      <c r="D604" s="73" t="s">
        <v>1177</v>
      </c>
      <c r="E604" s="39" t="s">
        <v>669</v>
      </c>
      <c r="F604" s="39" t="s">
        <v>1177</v>
      </c>
      <c r="G604" s="73" t="s">
        <v>2096</v>
      </c>
      <c r="H604" s="73" t="s">
        <v>654</v>
      </c>
      <c r="I604" s="39"/>
      <c r="J604" s="40" t="s">
        <v>708</v>
      </c>
      <c r="K60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4" s="114">
        <f>ROUND(Tableau17[[#This Row],[LEN]]*7.27,0)</f>
        <v>153</v>
      </c>
      <c r="M604" s="114">
        <v>15</v>
      </c>
      <c r="N604" s="131" t="str">
        <f t="shared" si="4"/>
        <v>none</v>
      </c>
      <c r="O604" s="114">
        <f>LEN(Tableau17[[#This Row],[LABEL]])</f>
        <v>21</v>
      </c>
      <c r="P604" s="114">
        <v>15</v>
      </c>
      <c r="Q604" s="114" t="e">
        <f>ROUND(Tableau17[[#This Row],[LEN]]*#REF!+#REF!,0)</f>
        <v>#REF!</v>
      </c>
    </row>
    <row r="605" spans="1:17" s="97" customFormat="1" x14ac:dyDescent="0.25">
      <c r="A605" s="33" t="s">
        <v>425</v>
      </c>
      <c r="B605" s="34" t="s">
        <v>273</v>
      </c>
      <c r="C605" s="35" t="s">
        <v>114</v>
      </c>
      <c r="D605" s="72" t="s">
        <v>1177</v>
      </c>
      <c r="E605" s="35" t="s">
        <v>661</v>
      </c>
      <c r="F605" s="35" t="s">
        <v>2083</v>
      </c>
      <c r="G605" s="72" t="s">
        <v>2096</v>
      </c>
      <c r="H605" s="72" t="s">
        <v>654</v>
      </c>
      <c r="I605" s="35"/>
      <c r="J605" s="36" t="s">
        <v>708</v>
      </c>
      <c r="K60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5" s="113">
        <f>ROUND(Tableau17[[#This Row],[LEN]]*7.27,0)</f>
        <v>153</v>
      </c>
      <c r="M605" s="113">
        <v>15</v>
      </c>
      <c r="N605" s="130" t="str">
        <f t="shared" si="4"/>
        <v>none</v>
      </c>
      <c r="O605" s="113">
        <f>LEN(Tableau17[[#This Row],[LABEL]])</f>
        <v>21</v>
      </c>
      <c r="P605" s="113">
        <v>15</v>
      </c>
      <c r="Q605" s="113" t="e">
        <f>ROUND(Tableau17[[#This Row],[LEN]]*#REF!+#REF!,0)</f>
        <v>#REF!</v>
      </c>
    </row>
    <row r="606" spans="1:17" s="273" customFormat="1" x14ac:dyDescent="0.25">
      <c r="A606" s="309" t="s">
        <v>274</v>
      </c>
      <c r="B606" s="310" t="s">
        <v>207</v>
      </c>
      <c r="C606" s="311" t="s">
        <v>7</v>
      </c>
      <c r="D606" s="312" t="s">
        <v>1177</v>
      </c>
      <c r="E606" s="311" t="s">
        <v>670</v>
      </c>
      <c r="F606" s="311" t="s">
        <v>1177</v>
      </c>
      <c r="G606" s="312" t="s">
        <v>2096</v>
      </c>
      <c r="H606" s="312" t="str">
        <f>IFERROR(IF(SEARCH(".00.00.00.00.00",Tableau17[[#This Row],[name]],1)=7,"Division",""),"")</f>
        <v>Division</v>
      </c>
      <c r="I606" s="311"/>
      <c r="J606" s="313" t="s">
        <v>708</v>
      </c>
      <c r="K606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06" s="314">
        <f>ROUND(Tableau17[[#This Row],[LEN]]*7.27,0)</f>
        <v>189</v>
      </c>
      <c r="M606" s="314">
        <v>15</v>
      </c>
      <c r="N606" s="315" t="str">
        <f t="shared" si="4"/>
        <v>none</v>
      </c>
      <c r="O606" s="314">
        <f>LEN(Tableau17[[#This Row],[LABEL]])</f>
        <v>26</v>
      </c>
      <c r="P606" s="314">
        <v>15</v>
      </c>
      <c r="Q606" s="314" t="e">
        <f>ROUND(Tableau17[[#This Row],[LEN]]*#REF!+#REF!,0)</f>
        <v>#REF!</v>
      </c>
    </row>
    <row r="607" spans="1:17" s="97" customFormat="1" x14ac:dyDescent="0.25">
      <c r="A607" s="33" t="s">
        <v>1436</v>
      </c>
      <c r="B607" s="34" t="s">
        <v>274</v>
      </c>
      <c r="C607" s="35" t="s">
        <v>1440</v>
      </c>
      <c r="D607" s="72" t="s">
        <v>1177</v>
      </c>
      <c r="E607" s="35" t="s">
        <v>670</v>
      </c>
      <c r="F607" s="35" t="s">
        <v>1177</v>
      </c>
      <c r="G607" s="72" t="s">
        <v>2096</v>
      </c>
      <c r="H607" s="72" t="s">
        <v>656</v>
      </c>
      <c r="I607" s="35"/>
      <c r="J607" s="36" t="s">
        <v>708</v>
      </c>
      <c r="K607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7" s="113">
        <f>ROUND(Tableau17[[#This Row],[LEN]]*7.27,0)</f>
        <v>342</v>
      </c>
      <c r="M607" s="113">
        <v>15</v>
      </c>
      <c r="N607" s="130" t="str">
        <f t="shared" si="4"/>
        <v>none</v>
      </c>
      <c r="O607" s="113">
        <f>LEN(Tableau17[[#This Row],[LABEL]])</f>
        <v>47</v>
      </c>
      <c r="P607" s="113">
        <v>15</v>
      </c>
      <c r="Q607" s="113" t="e">
        <f>ROUND(Tableau17[[#This Row],[LEN]]*#REF!+#REF!,0)</f>
        <v>#REF!</v>
      </c>
    </row>
    <row r="608" spans="1:17" s="97" customFormat="1" x14ac:dyDescent="0.25">
      <c r="A608" s="33" t="s">
        <v>1437</v>
      </c>
      <c r="B608" s="34" t="s">
        <v>274</v>
      </c>
      <c r="C608" s="35" t="s">
        <v>1441</v>
      </c>
      <c r="D608" s="72" t="s">
        <v>1177</v>
      </c>
      <c r="E608" s="35" t="s">
        <v>670</v>
      </c>
      <c r="F608" s="35" t="s">
        <v>1177</v>
      </c>
      <c r="G608" s="72" t="s">
        <v>2096</v>
      </c>
      <c r="H608" s="72" t="s">
        <v>656</v>
      </c>
      <c r="I608" s="35"/>
      <c r="J608" s="36" t="s">
        <v>708</v>
      </c>
      <c r="K60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8" s="113">
        <f>ROUND(Tableau17[[#This Row],[LEN]]*7.27,0)</f>
        <v>305</v>
      </c>
      <c r="M608" s="113">
        <v>15</v>
      </c>
      <c r="N608" s="130" t="str">
        <f t="shared" si="4"/>
        <v>none</v>
      </c>
      <c r="O608" s="113">
        <f>LEN(Tableau17[[#This Row],[LABEL]])</f>
        <v>42</v>
      </c>
      <c r="P608" s="113">
        <v>15</v>
      </c>
      <c r="Q608" s="113" t="e">
        <f>ROUND(Tableau17[[#This Row],[LEN]]*#REF!+#REF!,0)</f>
        <v>#REF!</v>
      </c>
    </row>
    <row r="609" spans="1:17" s="97" customFormat="1" x14ac:dyDescent="0.25">
      <c r="A609" s="33" t="s">
        <v>1438</v>
      </c>
      <c r="B609" s="34" t="s">
        <v>274</v>
      </c>
      <c r="C609" s="35" t="s">
        <v>1442</v>
      </c>
      <c r="D609" s="72" t="s">
        <v>1177</v>
      </c>
      <c r="E609" s="35" t="s">
        <v>670</v>
      </c>
      <c r="F609" s="35" t="s">
        <v>1177</v>
      </c>
      <c r="G609" s="72" t="s">
        <v>2096</v>
      </c>
      <c r="H609" s="72" t="s">
        <v>656</v>
      </c>
      <c r="I609" s="35"/>
      <c r="J609" s="36" t="s">
        <v>708</v>
      </c>
      <c r="K60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09" s="113">
        <f>ROUND(Tableau17[[#This Row],[LEN]]*7.27,0)</f>
        <v>167</v>
      </c>
      <c r="M609" s="113">
        <v>15</v>
      </c>
      <c r="N609" s="130" t="str">
        <f t="shared" si="4"/>
        <v>none</v>
      </c>
      <c r="O609" s="113">
        <f>LEN(Tableau17[[#This Row],[LABEL]])</f>
        <v>23</v>
      </c>
      <c r="P609" s="113">
        <v>15</v>
      </c>
      <c r="Q609" s="113" t="e">
        <f>ROUND(Tableau17[[#This Row],[LEN]]*#REF!+#REF!,0)</f>
        <v>#REF!</v>
      </c>
    </row>
    <row r="610" spans="1:17" s="97" customFormat="1" x14ac:dyDescent="0.25">
      <c r="A610" s="33" t="s">
        <v>1439</v>
      </c>
      <c r="B610" s="34" t="s">
        <v>274</v>
      </c>
      <c r="C610" s="35" t="s">
        <v>1443</v>
      </c>
      <c r="D610" s="72" t="s">
        <v>1177</v>
      </c>
      <c r="E610" s="35" t="s">
        <v>670</v>
      </c>
      <c r="F610" s="35" t="s">
        <v>1177</v>
      </c>
      <c r="G610" s="72" t="s">
        <v>2096</v>
      </c>
      <c r="H610" s="72" t="s">
        <v>656</v>
      </c>
      <c r="I610" s="35"/>
      <c r="J610" s="36" t="s">
        <v>708</v>
      </c>
      <c r="K610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0" s="113">
        <f>ROUND(Tableau17[[#This Row],[LEN]]*7.27,0)</f>
        <v>385</v>
      </c>
      <c r="M610" s="113">
        <v>15</v>
      </c>
      <c r="N610" s="130" t="str">
        <f t="shared" si="4"/>
        <v>none</v>
      </c>
      <c r="O610" s="113">
        <f>LEN(Tableau17[[#This Row],[LABEL]])</f>
        <v>53</v>
      </c>
      <c r="P610" s="113">
        <v>15</v>
      </c>
      <c r="Q610" s="113" t="e">
        <f>ROUND(Tableau17[[#This Row],[LEN]]*#REF!+#REF!,0)</f>
        <v>#REF!</v>
      </c>
    </row>
    <row r="611" spans="1:17" s="273" customFormat="1" x14ac:dyDescent="0.25">
      <c r="A611" s="309" t="s">
        <v>276</v>
      </c>
      <c r="B611" s="310" t="s">
        <v>207</v>
      </c>
      <c r="C611" s="311" t="s">
        <v>9</v>
      </c>
      <c r="D611" s="312" t="s">
        <v>1177</v>
      </c>
      <c r="E611" s="311" t="s">
        <v>672</v>
      </c>
      <c r="F611" s="311" t="s">
        <v>1177</v>
      </c>
      <c r="G611" s="312" t="s">
        <v>2096</v>
      </c>
      <c r="H611" s="312" t="str">
        <f>IFERROR(IF(SEARCH(".00.00.00.00.00",Tableau17[[#This Row],[name]],1)=7,"Division",""),"")</f>
        <v>Division</v>
      </c>
      <c r="I611" s="311"/>
      <c r="J611" s="313" t="s">
        <v>718</v>
      </c>
      <c r="K611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11" s="314">
        <f>ROUND(Tableau17[[#This Row],[LEN]]*7.27,0)</f>
        <v>80</v>
      </c>
      <c r="M611" s="314">
        <v>15</v>
      </c>
      <c r="N611" s="315" t="str">
        <f t="shared" si="4"/>
        <v>new</v>
      </c>
      <c r="O611" s="314">
        <f>LEN(Tableau17[[#This Row],[LABEL]])</f>
        <v>11</v>
      </c>
      <c r="P611" s="314">
        <v>15</v>
      </c>
      <c r="Q611" s="314" t="e">
        <f>ROUND(Tableau17[[#This Row],[LEN]]*#REF!+#REF!,0)</f>
        <v>#REF!</v>
      </c>
    </row>
    <row r="612" spans="1:17" s="97" customFormat="1" x14ac:dyDescent="0.25">
      <c r="A612" s="33" t="s">
        <v>1444</v>
      </c>
      <c r="B612" s="34" t="s">
        <v>276</v>
      </c>
      <c r="C612" s="35" t="s">
        <v>111</v>
      </c>
      <c r="D612" s="72" t="s">
        <v>1177</v>
      </c>
      <c r="E612" s="35" t="s">
        <v>667</v>
      </c>
      <c r="F612" s="35" t="s">
        <v>2006</v>
      </c>
      <c r="G612" s="72" t="s">
        <v>2096</v>
      </c>
      <c r="H612" s="72" t="s">
        <v>655</v>
      </c>
      <c r="I612" s="35"/>
      <c r="J612" s="36" t="s">
        <v>708</v>
      </c>
      <c r="K61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2" s="113">
        <f>ROUND(Tableau17[[#This Row],[LEN]]*7.27,0)</f>
        <v>167</v>
      </c>
      <c r="M612" s="113">
        <v>15</v>
      </c>
      <c r="N612" s="130" t="str">
        <f t="shared" si="4"/>
        <v>none</v>
      </c>
      <c r="O612" s="113">
        <f>LEN(Tableau17[[#This Row],[LABEL]])</f>
        <v>23</v>
      </c>
      <c r="P612" s="113">
        <v>15</v>
      </c>
      <c r="Q612" s="113" t="e">
        <f>ROUND(Tableau17[[#This Row],[LEN]]*#REF!+#REF!,0)</f>
        <v>#REF!</v>
      </c>
    </row>
    <row r="613" spans="1:17" s="97" customFormat="1" x14ac:dyDescent="0.25">
      <c r="A613" s="37" t="s">
        <v>509</v>
      </c>
      <c r="B613" s="38" t="s">
        <v>1444</v>
      </c>
      <c r="C613" s="39" t="s">
        <v>112</v>
      </c>
      <c r="D613" s="73" t="s">
        <v>1177</v>
      </c>
      <c r="E613" s="39" t="s">
        <v>667</v>
      </c>
      <c r="F613" s="39" t="s">
        <v>2006</v>
      </c>
      <c r="G613" s="73" t="s">
        <v>2096</v>
      </c>
      <c r="H613" s="73" t="s">
        <v>654</v>
      </c>
      <c r="I613" s="39"/>
      <c r="J613" s="40" t="s">
        <v>708</v>
      </c>
      <c r="K61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3" s="114">
        <f>ROUND(Tableau17[[#This Row],[LEN]]*7.27,0)</f>
        <v>167</v>
      </c>
      <c r="M613" s="114">
        <v>15</v>
      </c>
      <c r="N613" s="131" t="str">
        <f t="shared" si="4"/>
        <v>none</v>
      </c>
      <c r="O613" s="114">
        <f>LEN(Tableau17[[#This Row],[LABEL]])</f>
        <v>23</v>
      </c>
      <c r="P613" s="114">
        <v>15</v>
      </c>
      <c r="Q613" s="114" t="e">
        <f>ROUND(Tableau17[[#This Row],[LEN]]*#REF!+#REF!,0)</f>
        <v>#REF!</v>
      </c>
    </row>
    <row r="614" spans="1:17" s="97" customFormat="1" x14ac:dyDescent="0.25">
      <c r="A614" s="37" t="s">
        <v>510</v>
      </c>
      <c r="B614" s="38" t="s">
        <v>1444</v>
      </c>
      <c r="C614" s="39" t="s">
        <v>113</v>
      </c>
      <c r="D614" s="73" t="s">
        <v>1177</v>
      </c>
      <c r="E614" s="39" t="s">
        <v>667</v>
      </c>
      <c r="F614" s="39" t="s">
        <v>2006</v>
      </c>
      <c r="G614" s="73" t="s">
        <v>2096</v>
      </c>
      <c r="H614" s="73" t="s">
        <v>654</v>
      </c>
      <c r="I614" s="39"/>
      <c r="J614" s="40" t="s">
        <v>708</v>
      </c>
      <c r="K61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4" s="114">
        <f>ROUND(Tableau17[[#This Row],[LEN]]*7.27,0)</f>
        <v>233</v>
      </c>
      <c r="M614" s="114">
        <v>15</v>
      </c>
      <c r="N614" s="131" t="str">
        <f t="shared" si="4"/>
        <v>none</v>
      </c>
      <c r="O614" s="114">
        <f>LEN(Tableau17[[#This Row],[LABEL]])</f>
        <v>32</v>
      </c>
      <c r="P614" s="114">
        <v>15</v>
      </c>
      <c r="Q614" s="114" t="e">
        <f>ROUND(Tableau17[[#This Row],[LEN]]*#REF!+#REF!,0)</f>
        <v>#REF!</v>
      </c>
    </row>
    <row r="615" spans="1:17" s="273" customFormat="1" x14ac:dyDescent="0.25">
      <c r="A615" s="309" t="s">
        <v>277</v>
      </c>
      <c r="B615" s="310" t="s">
        <v>207</v>
      </c>
      <c r="C615" s="311" t="s">
        <v>10</v>
      </c>
      <c r="D615" s="312" t="s">
        <v>1177</v>
      </c>
      <c r="E615" s="311" t="s">
        <v>673</v>
      </c>
      <c r="F615" s="311" t="s">
        <v>1177</v>
      </c>
      <c r="G615" s="312" t="s">
        <v>2096</v>
      </c>
      <c r="H615" s="312" t="str">
        <f>IFERROR(IF(SEARCH(".00.00.00.00.00",Tableau17[[#This Row],[name]],1)=7,"Division",""),"")</f>
        <v>Division</v>
      </c>
      <c r="I615" s="311"/>
      <c r="J615" s="313" t="s">
        <v>719</v>
      </c>
      <c r="K615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15" s="314">
        <f>ROUND(Tableau17[[#This Row],[LEN]]*7.27,0)</f>
        <v>109</v>
      </c>
      <c r="M615" s="314">
        <v>15</v>
      </c>
      <c r="N615" s="315" t="str">
        <f t="shared" si="4"/>
        <v>new</v>
      </c>
      <c r="O615" s="314">
        <f>LEN(Tableau17[[#This Row],[LABEL]])</f>
        <v>15</v>
      </c>
      <c r="P615" s="314">
        <v>15</v>
      </c>
      <c r="Q615" s="314" t="e">
        <f>ROUND(Tableau17[[#This Row],[LEN]]*#REF!+#REF!,0)</f>
        <v>#REF!</v>
      </c>
    </row>
    <row r="616" spans="1:17" s="97" customFormat="1" x14ac:dyDescent="0.25">
      <c r="A616" s="33" t="s">
        <v>1446</v>
      </c>
      <c r="B616" s="34" t="s">
        <v>277</v>
      </c>
      <c r="C616" s="35" t="s">
        <v>111</v>
      </c>
      <c r="D616" s="72" t="s">
        <v>1177</v>
      </c>
      <c r="E616" s="35" t="s">
        <v>667</v>
      </c>
      <c r="F616" s="35" t="s">
        <v>2006</v>
      </c>
      <c r="G616" s="72" t="s">
        <v>2096</v>
      </c>
      <c r="H616" s="72" t="s">
        <v>655</v>
      </c>
      <c r="I616" s="35"/>
      <c r="J616" s="36" t="s">
        <v>708</v>
      </c>
      <c r="K61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6" s="113">
        <f>ROUND(Tableau17[[#This Row],[LEN]]*7.27,0)</f>
        <v>167</v>
      </c>
      <c r="M616" s="113">
        <v>15</v>
      </c>
      <c r="N616" s="130" t="str">
        <f t="shared" si="4"/>
        <v>none</v>
      </c>
      <c r="O616" s="113">
        <f>LEN(Tableau17[[#This Row],[LABEL]])</f>
        <v>23</v>
      </c>
      <c r="P616" s="113">
        <v>15</v>
      </c>
      <c r="Q616" s="113" t="e">
        <f>ROUND(Tableau17[[#This Row],[LEN]]*#REF!+#REF!,0)</f>
        <v>#REF!</v>
      </c>
    </row>
    <row r="617" spans="1:17" s="97" customFormat="1" x14ac:dyDescent="0.25">
      <c r="A617" s="37" t="s">
        <v>1448</v>
      </c>
      <c r="B617" s="38" t="s">
        <v>1446</v>
      </c>
      <c r="C617" s="39" t="s">
        <v>112</v>
      </c>
      <c r="D617" s="73" t="s">
        <v>1177</v>
      </c>
      <c r="E617" s="39" t="s">
        <v>667</v>
      </c>
      <c r="F617" s="39" t="s">
        <v>2006</v>
      </c>
      <c r="G617" s="73" t="s">
        <v>2096</v>
      </c>
      <c r="H617" s="73" t="s">
        <v>654</v>
      </c>
      <c r="I617" s="39"/>
      <c r="J617" s="40" t="s">
        <v>708</v>
      </c>
      <c r="K61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7" s="114">
        <f>ROUND(Tableau17[[#This Row],[LEN]]*7.27,0)</f>
        <v>167</v>
      </c>
      <c r="M617" s="114">
        <v>15</v>
      </c>
      <c r="N617" s="131" t="str">
        <f t="shared" si="4"/>
        <v>none</v>
      </c>
      <c r="O617" s="114">
        <f>LEN(Tableau17[[#This Row],[LABEL]])</f>
        <v>23</v>
      </c>
      <c r="P617" s="114">
        <v>15</v>
      </c>
      <c r="Q617" s="114" t="e">
        <f>ROUND(Tableau17[[#This Row],[LEN]]*#REF!+#REF!,0)</f>
        <v>#REF!</v>
      </c>
    </row>
    <row r="618" spans="1:17" s="97" customFormat="1" x14ac:dyDescent="0.25">
      <c r="A618" s="37" t="s">
        <v>1449</v>
      </c>
      <c r="B618" s="38" t="s">
        <v>1446</v>
      </c>
      <c r="C618" s="39" t="s">
        <v>113</v>
      </c>
      <c r="D618" s="73" t="s">
        <v>1177</v>
      </c>
      <c r="E618" s="39" t="s">
        <v>667</v>
      </c>
      <c r="F618" s="39" t="s">
        <v>2006</v>
      </c>
      <c r="G618" s="73" t="s">
        <v>2096</v>
      </c>
      <c r="H618" s="73" t="s">
        <v>654</v>
      </c>
      <c r="I618" s="39"/>
      <c r="J618" s="40" t="s">
        <v>708</v>
      </c>
      <c r="K61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8" s="114">
        <f>ROUND(Tableau17[[#This Row],[LEN]]*7.27,0)</f>
        <v>233</v>
      </c>
      <c r="M618" s="114">
        <v>15</v>
      </c>
      <c r="N618" s="131" t="str">
        <f t="shared" si="4"/>
        <v>none</v>
      </c>
      <c r="O618" s="114">
        <f>LEN(Tableau17[[#This Row],[LABEL]])</f>
        <v>32</v>
      </c>
      <c r="P618" s="114">
        <v>15</v>
      </c>
      <c r="Q618" s="114" t="e">
        <f>ROUND(Tableau17[[#This Row],[LEN]]*#REF!+#REF!,0)</f>
        <v>#REF!</v>
      </c>
    </row>
    <row r="619" spans="1:17" s="97" customFormat="1" x14ac:dyDescent="0.25">
      <c r="A619" s="33" t="s">
        <v>1447</v>
      </c>
      <c r="B619" s="34" t="s">
        <v>277</v>
      </c>
      <c r="C619" s="35" t="s">
        <v>114</v>
      </c>
      <c r="D619" s="72" t="s">
        <v>1177</v>
      </c>
      <c r="E619" s="35" t="s">
        <v>661</v>
      </c>
      <c r="F619" s="35" t="s">
        <v>2083</v>
      </c>
      <c r="G619" s="72" t="s">
        <v>2096</v>
      </c>
      <c r="H619" s="72" t="s">
        <v>654</v>
      </c>
      <c r="I619" s="35"/>
      <c r="J619" s="36" t="s">
        <v>708</v>
      </c>
      <c r="K61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19" s="113">
        <f>ROUND(Tableau17[[#This Row],[LEN]]*7.27,0)</f>
        <v>153</v>
      </c>
      <c r="M619" s="113">
        <v>15</v>
      </c>
      <c r="N619" s="130" t="str">
        <f t="shared" si="4"/>
        <v>none</v>
      </c>
      <c r="O619" s="113">
        <f>LEN(Tableau17[[#This Row],[LABEL]])</f>
        <v>21</v>
      </c>
      <c r="P619" s="113">
        <v>15</v>
      </c>
      <c r="Q619" s="113" t="e">
        <f>ROUND(Tableau17[[#This Row],[LEN]]*#REF!+#REF!,0)</f>
        <v>#REF!</v>
      </c>
    </row>
    <row r="620" spans="1:17" s="273" customFormat="1" x14ac:dyDescent="0.25">
      <c r="A620" s="309" t="s">
        <v>278</v>
      </c>
      <c r="B620" s="310" t="s">
        <v>207</v>
      </c>
      <c r="C620" s="311" t="s">
        <v>11</v>
      </c>
      <c r="D620" s="312" t="s">
        <v>1177</v>
      </c>
      <c r="E620" s="311" t="s">
        <v>674</v>
      </c>
      <c r="F620" s="311" t="s">
        <v>1177</v>
      </c>
      <c r="G620" s="312" t="s">
        <v>2096</v>
      </c>
      <c r="H620" s="312" t="str">
        <f>IFERROR(IF(SEARCH(".00.00.00.00.00",Tableau17[[#This Row],[name]],1)=7,"Division",""),"")</f>
        <v>Division</v>
      </c>
      <c r="I620" s="311"/>
      <c r="J620" s="313" t="s">
        <v>720</v>
      </c>
      <c r="K620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20" s="314">
        <f>ROUND(Tableau17[[#This Row],[LEN]]*7.27,0)</f>
        <v>51</v>
      </c>
      <c r="M620" s="314">
        <v>15</v>
      </c>
      <c r="N620" s="315" t="str">
        <f t="shared" si="4"/>
        <v>new</v>
      </c>
      <c r="O620" s="314">
        <f>LEN(Tableau17[[#This Row],[LABEL]])</f>
        <v>7</v>
      </c>
      <c r="P620" s="314">
        <v>15</v>
      </c>
      <c r="Q620" s="314" t="e">
        <f>ROUND(Tableau17[[#This Row],[LEN]]*#REF!+#REF!,0)</f>
        <v>#REF!</v>
      </c>
    </row>
    <row r="621" spans="1:17" s="97" customFormat="1" x14ac:dyDescent="0.25">
      <c r="A621" s="33" t="s">
        <v>1450</v>
      </c>
      <c r="B621" s="34" t="s">
        <v>278</v>
      </c>
      <c r="C621" s="35" t="s">
        <v>111</v>
      </c>
      <c r="D621" s="72" t="s">
        <v>1177</v>
      </c>
      <c r="E621" s="35" t="s">
        <v>667</v>
      </c>
      <c r="F621" s="35" t="s">
        <v>2006</v>
      </c>
      <c r="G621" s="72" t="s">
        <v>2096</v>
      </c>
      <c r="H621" s="72" t="s">
        <v>655</v>
      </c>
      <c r="I621" s="35"/>
      <c r="J621" s="36" t="s">
        <v>708</v>
      </c>
      <c r="K621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1" s="113">
        <f>ROUND(Tableau17[[#This Row],[LEN]]*7.27,0)</f>
        <v>167</v>
      </c>
      <c r="M621" s="113">
        <v>15</v>
      </c>
      <c r="N621" s="130" t="str">
        <f t="shared" si="4"/>
        <v>none</v>
      </c>
      <c r="O621" s="113">
        <f>LEN(Tableau17[[#This Row],[LABEL]])</f>
        <v>23</v>
      </c>
      <c r="P621" s="113">
        <v>15</v>
      </c>
      <c r="Q621" s="113" t="e">
        <f>ROUND(Tableau17[[#This Row],[LEN]]*#REF!+#REF!,0)</f>
        <v>#REF!</v>
      </c>
    </row>
    <row r="622" spans="1:17" s="97" customFormat="1" x14ac:dyDescent="0.25">
      <c r="A622" s="37" t="s">
        <v>1451</v>
      </c>
      <c r="B622" s="38" t="s">
        <v>1450</v>
      </c>
      <c r="C622" s="39" t="s">
        <v>112</v>
      </c>
      <c r="D622" s="73" t="s">
        <v>1177</v>
      </c>
      <c r="E622" s="39" t="s">
        <v>667</v>
      </c>
      <c r="F622" s="39" t="s">
        <v>2006</v>
      </c>
      <c r="G622" s="73" t="s">
        <v>2096</v>
      </c>
      <c r="H622" s="73" t="s">
        <v>654</v>
      </c>
      <c r="I622" s="39"/>
      <c r="J622" s="40" t="s">
        <v>708</v>
      </c>
      <c r="K62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2" s="114">
        <f>ROUND(Tableau17[[#This Row],[LEN]]*7.27,0)</f>
        <v>167</v>
      </c>
      <c r="M622" s="114">
        <v>15</v>
      </c>
      <c r="N622" s="131" t="str">
        <f t="shared" si="4"/>
        <v>none</v>
      </c>
      <c r="O622" s="114">
        <f>LEN(Tableau17[[#This Row],[LABEL]])</f>
        <v>23</v>
      </c>
      <c r="P622" s="114">
        <v>15</v>
      </c>
      <c r="Q622" s="114" t="e">
        <f>ROUND(Tableau17[[#This Row],[LEN]]*#REF!+#REF!,0)</f>
        <v>#REF!</v>
      </c>
    </row>
    <row r="623" spans="1:17" s="97" customFormat="1" x14ac:dyDescent="0.25">
      <c r="A623" s="37" t="s">
        <v>1452</v>
      </c>
      <c r="B623" s="38" t="s">
        <v>1450</v>
      </c>
      <c r="C623" s="39" t="s">
        <v>113</v>
      </c>
      <c r="D623" s="73" t="s">
        <v>1177</v>
      </c>
      <c r="E623" s="39" t="s">
        <v>667</v>
      </c>
      <c r="F623" s="39" t="s">
        <v>2006</v>
      </c>
      <c r="G623" s="73" t="s">
        <v>2096</v>
      </c>
      <c r="H623" s="73" t="s">
        <v>654</v>
      </c>
      <c r="I623" s="39"/>
      <c r="J623" s="40" t="s">
        <v>708</v>
      </c>
      <c r="K62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3" s="114">
        <f>ROUND(Tableau17[[#This Row],[LEN]]*7.27,0)</f>
        <v>233</v>
      </c>
      <c r="M623" s="114">
        <v>15</v>
      </c>
      <c r="N623" s="131" t="str">
        <f t="shared" si="4"/>
        <v>none</v>
      </c>
      <c r="O623" s="114">
        <f>LEN(Tableau17[[#This Row],[LABEL]])</f>
        <v>32</v>
      </c>
      <c r="P623" s="114">
        <v>15</v>
      </c>
      <c r="Q623" s="114" t="e">
        <f>ROUND(Tableau17[[#This Row],[LEN]]*#REF!+#REF!,0)</f>
        <v>#REF!</v>
      </c>
    </row>
    <row r="624" spans="1:17" s="273" customFormat="1" x14ac:dyDescent="0.25">
      <c r="A624" s="309" t="s">
        <v>279</v>
      </c>
      <c r="B624" s="310" t="s">
        <v>207</v>
      </c>
      <c r="C624" s="311" t="s">
        <v>12</v>
      </c>
      <c r="D624" s="312" t="s">
        <v>1177</v>
      </c>
      <c r="E624" s="311" t="s">
        <v>675</v>
      </c>
      <c r="F624" s="311" t="s">
        <v>1177</v>
      </c>
      <c r="G624" s="312" t="s">
        <v>2096</v>
      </c>
      <c r="H624" s="312" t="str">
        <f>IFERROR(IF(SEARCH(".00.00.00.00.00",Tableau17[[#This Row],[name]],1)=7,"Division",""),"")</f>
        <v>Division</v>
      </c>
      <c r="I624" s="311"/>
      <c r="J624" s="313" t="s">
        <v>721</v>
      </c>
      <c r="K624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24" s="314">
        <f>ROUND(Tableau17[[#This Row],[LEN]]*7.27,0)</f>
        <v>15</v>
      </c>
      <c r="M624" s="314">
        <v>15</v>
      </c>
      <c r="N624" s="315" t="str">
        <f t="shared" si="4"/>
        <v>new</v>
      </c>
      <c r="O624" s="314">
        <f>LEN(Tableau17[[#This Row],[LABEL]])</f>
        <v>2</v>
      </c>
      <c r="P624" s="314">
        <v>15</v>
      </c>
      <c r="Q624" s="314" t="e">
        <f>ROUND(Tableau17[[#This Row],[LEN]]*#REF!+#REF!,0)</f>
        <v>#REF!</v>
      </c>
    </row>
    <row r="625" spans="1:17" s="97" customFormat="1" x14ac:dyDescent="0.25">
      <c r="A625" s="33" t="s">
        <v>1460</v>
      </c>
      <c r="B625" s="34" t="s">
        <v>279</v>
      </c>
      <c r="C625" s="35" t="s">
        <v>111</v>
      </c>
      <c r="D625" s="72" t="s">
        <v>1177</v>
      </c>
      <c r="E625" s="35" t="s">
        <v>667</v>
      </c>
      <c r="F625" s="35" t="s">
        <v>2006</v>
      </c>
      <c r="G625" s="72" t="s">
        <v>2096</v>
      </c>
      <c r="H625" s="72" t="s">
        <v>655</v>
      </c>
      <c r="I625" s="35"/>
      <c r="J625" s="36" t="s">
        <v>708</v>
      </c>
      <c r="K62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5" s="113">
        <f>ROUND(Tableau17[[#This Row],[LEN]]*7.27,0)</f>
        <v>167</v>
      </c>
      <c r="M625" s="113">
        <v>15</v>
      </c>
      <c r="N625" s="130" t="str">
        <f t="shared" si="4"/>
        <v>none</v>
      </c>
      <c r="O625" s="113">
        <f>LEN(Tableau17[[#This Row],[LABEL]])</f>
        <v>23</v>
      </c>
      <c r="P625" s="113">
        <v>15</v>
      </c>
      <c r="Q625" s="113" t="e">
        <f>ROUND(Tableau17[[#This Row],[LEN]]*#REF!+#REF!,0)</f>
        <v>#REF!</v>
      </c>
    </row>
    <row r="626" spans="1:17" s="97" customFormat="1" x14ac:dyDescent="0.25">
      <c r="A626" s="37" t="s">
        <v>1463</v>
      </c>
      <c r="B626" s="38" t="s">
        <v>1460</v>
      </c>
      <c r="C626" s="39" t="s">
        <v>112</v>
      </c>
      <c r="D626" s="73" t="s">
        <v>1177</v>
      </c>
      <c r="E626" s="39" t="s">
        <v>667</v>
      </c>
      <c r="F626" s="39" t="s">
        <v>2006</v>
      </c>
      <c r="G626" s="73" t="s">
        <v>2096</v>
      </c>
      <c r="H626" s="73" t="s">
        <v>654</v>
      </c>
      <c r="I626" s="39"/>
      <c r="J626" s="40" t="s">
        <v>708</v>
      </c>
      <c r="K626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6" s="114">
        <f>ROUND(Tableau17[[#This Row],[LEN]]*7.27,0)</f>
        <v>167</v>
      </c>
      <c r="M626" s="114">
        <v>15</v>
      </c>
      <c r="N626" s="131" t="str">
        <f t="shared" si="4"/>
        <v>none</v>
      </c>
      <c r="O626" s="114">
        <f>LEN(Tableau17[[#This Row],[LABEL]])</f>
        <v>23</v>
      </c>
      <c r="P626" s="114">
        <v>15</v>
      </c>
      <c r="Q626" s="114" t="e">
        <f>ROUND(Tableau17[[#This Row],[LEN]]*#REF!+#REF!,0)</f>
        <v>#REF!</v>
      </c>
    </row>
    <row r="627" spans="1:17" s="97" customFormat="1" x14ac:dyDescent="0.25">
      <c r="A627" s="37" t="s">
        <v>1464</v>
      </c>
      <c r="B627" s="38" t="s">
        <v>1460</v>
      </c>
      <c r="C627" s="39" t="s">
        <v>113</v>
      </c>
      <c r="D627" s="73" t="s">
        <v>1177</v>
      </c>
      <c r="E627" s="39" t="s">
        <v>667</v>
      </c>
      <c r="F627" s="39" t="s">
        <v>2006</v>
      </c>
      <c r="G627" s="73" t="s">
        <v>2096</v>
      </c>
      <c r="H627" s="73" t="s">
        <v>654</v>
      </c>
      <c r="I627" s="39"/>
      <c r="J627" s="40" t="s">
        <v>708</v>
      </c>
      <c r="K62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7" s="114">
        <f>ROUND(Tableau17[[#This Row],[LEN]]*7.27,0)</f>
        <v>233</v>
      </c>
      <c r="M627" s="114">
        <v>15</v>
      </c>
      <c r="N627" s="131" t="str">
        <f t="shared" si="4"/>
        <v>none</v>
      </c>
      <c r="O627" s="114">
        <f>LEN(Tableau17[[#This Row],[LABEL]])</f>
        <v>32</v>
      </c>
      <c r="P627" s="114">
        <v>15</v>
      </c>
      <c r="Q627" s="114" t="e">
        <f>ROUND(Tableau17[[#This Row],[LEN]]*#REF!+#REF!,0)</f>
        <v>#REF!</v>
      </c>
    </row>
    <row r="628" spans="1:17" s="97" customFormat="1" x14ac:dyDescent="0.25">
      <c r="A628" s="33" t="s">
        <v>1461</v>
      </c>
      <c r="B628" s="34" t="s">
        <v>279</v>
      </c>
      <c r="C628" s="35" t="s">
        <v>1483</v>
      </c>
      <c r="D628" s="72" t="s">
        <v>1177</v>
      </c>
      <c r="E628" s="35" t="s">
        <v>661</v>
      </c>
      <c r="F628" s="35" t="s">
        <v>2083</v>
      </c>
      <c r="G628" s="72" t="s">
        <v>2096</v>
      </c>
      <c r="H628" s="72" t="s">
        <v>655</v>
      </c>
      <c r="I628" s="35"/>
      <c r="J628" s="36" t="s">
        <v>708</v>
      </c>
      <c r="K62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8" s="113">
        <f>ROUND(Tableau17[[#This Row],[LEN]]*7.27,0)</f>
        <v>240</v>
      </c>
      <c r="M628" s="113">
        <v>15</v>
      </c>
      <c r="N628" s="130" t="str">
        <f t="shared" si="4"/>
        <v>none</v>
      </c>
      <c r="O628" s="113">
        <f>LEN(Tableau17[[#This Row],[LABEL]])</f>
        <v>33</v>
      </c>
      <c r="P628" s="113">
        <v>15</v>
      </c>
      <c r="Q628" s="113" t="e">
        <f>ROUND(Tableau17[[#This Row],[LEN]]*#REF!+#REF!,0)</f>
        <v>#REF!</v>
      </c>
    </row>
    <row r="629" spans="1:17" s="97" customFormat="1" x14ac:dyDescent="0.25">
      <c r="A629" s="37" t="s">
        <v>1465</v>
      </c>
      <c r="B629" s="38" t="s">
        <v>1461</v>
      </c>
      <c r="C629" s="39" t="s">
        <v>1458</v>
      </c>
      <c r="D629" s="73" t="s">
        <v>1177</v>
      </c>
      <c r="E629" s="39" t="s">
        <v>661</v>
      </c>
      <c r="F629" s="39" t="s">
        <v>2083</v>
      </c>
      <c r="G629" s="73" t="s">
        <v>2096</v>
      </c>
      <c r="H629" s="73" t="s">
        <v>654</v>
      </c>
      <c r="I629" s="39"/>
      <c r="J629" s="40" t="s">
        <v>708</v>
      </c>
      <c r="K62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29" s="114">
        <f>ROUND(Tableau17[[#This Row],[LEN]]*7.27,0)</f>
        <v>189</v>
      </c>
      <c r="M629" s="114">
        <v>15</v>
      </c>
      <c r="N629" s="131" t="str">
        <f t="shared" si="4"/>
        <v>none</v>
      </c>
      <c r="O629" s="114">
        <f>LEN(Tableau17[[#This Row],[LABEL]])</f>
        <v>26</v>
      </c>
      <c r="P629" s="114">
        <v>15</v>
      </c>
      <c r="Q629" s="114" t="e">
        <f>ROUND(Tableau17[[#This Row],[LEN]]*#REF!+#REF!,0)</f>
        <v>#REF!</v>
      </c>
    </row>
    <row r="630" spans="1:17" s="97" customFormat="1" x14ac:dyDescent="0.25">
      <c r="A630" s="37" t="s">
        <v>1466</v>
      </c>
      <c r="B630" s="38" t="s">
        <v>1461</v>
      </c>
      <c r="C630" s="39" t="s">
        <v>1459</v>
      </c>
      <c r="D630" s="73" t="s">
        <v>1177</v>
      </c>
      <c r="E630" s="39" t="s">
        <v>661</v>
      </c>
      <c r="F630" s="39" t="s">
        <v>2083</v>
      </c>
      <c r="G630" s="73" t="s">
        <v>2096</v>
      </c>
      <c r="H630" s="73" t="s">
        <v>654</v>
      </c>
      <c r="I630" s="39"/>
      <c r="J630" s="40" t="s">
        <v>708</v>
      </c>
      <c r="K63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0" s="114">
        <f>ROUND(Tableau17[[#This Row],[LEN]]*7.27,0)</f>
        <v>204</v>
      </c>
      <c r="M630" s="114">
        <v>15</v>
      </c>
      <c r="N630" s="131" t="str">
        <f t="shared" si="4"/>
        <v>none</v>
      </c>
      <c r="O630" s="114">
        <f>LEN(Tableau17[[#This Row],[LABEL]])</f>
        <v>28</v>
      </c>
      <c r="P630" s="114">
        <v>15</v>
      </c>
      <c r="Q630" s="114" t="e">
        <f>ROUND(Tableau17[[#This Row],[LEN]]*#REF!+#REF!,0)</f>
        <v>#REF!</v>
      </c>
    </row>
    <row r="631" spans="1:17" s="273" customFormat="1" x14ac:dyDescent="0.25">
      <c r="A631" s="309" t="s">
        <v>280</v>
      </c>
      <c r="B631" s="310" t="s">
        <v>207</v>
      </c>
      <c r="C631" s="311" t="s">
        <v>71</v>
      </c>
      <c r="D631" s="312" t="s">
        <v>1177</v>
      </c>
      <c r="E631" s="311" t="s">
        <v>676</v>
      </c>
      <c r="F631" s="311" t="s">
        <v>1177</v>
      </c>
      <c r="G631" s="312" t="s">
        <v>2096</v>
      </c>
      <c r="H631" s="312" t="str">
        <f>IFERROR(IF(SEARCH(".00.00.00.00.00",Tableau17[[#This Row],[name]],1)=7,"Division",""),"")</f>
        <v>Division</v>
      </c>
      <c r="I631" s="311"/>
      <c r="J631" s="313" t="s">
        <v>722</v>
      </c>
      <c r="K631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31" s="314">
        <f>ROUND(Tableau17[[#This Row],[LEN]]*7.27,0)</f>
        <v>29</v>
      </c>
      <c r="M631" s="314">
        <v>15</v>
      </c>
      <c r="N631" s="315" t="str">
        <f t="shared" si="4"/>
        <v>new</v>
      </c>
      <c r="O631" s="314">
        <f>LEN(Tableau17[[#This Row],[LABEL]])</f>
        <v>4</v>
      </c>
      <c r="P631" s="314">
        <v>15</v>
      </c>
      <c r="Q631" s="314" t="e">
        <f>ROUND(Tableau17[[#This Row],[LEN]]*#REF!+#REF!,0)</f>
        <v>#REF!</v>
      </c>
    </row>
    <row r="632" spans="1:17" s="97" customFormat="1" x14ac:dyDescent="0.25">
      <c r="A632" s="33" t="s">
        <v>1471</v>
      </c>
      <c r="B632" s="34" t="s">
        <v>280</v>
      </c>
      <c r="C632" s="35" t="s">
        <v>111</v>
      </c>
      <c r="D632" s="72" t="s">
        <v>1177</v>
      </c>
      <c r="E632" s="35" t="s">
        <v>667</v>
      </c>
      <c r="F632" s="35" t="s">
        <v>2006</v>
      </c>
      <c r="G632" s="72" t="s">
        <v>2096</v>
      </c>
      <c r="H632" s="72" t="s">
        <v>654</v>
      </c>
      <c r="I632" s="35"/>
      <c r="J632" s="36" t="s">
        <v>708</v>
      </c>
      <c r="K63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2" s="113">
        <f>ROUND(Tableau17[[#This Row],[LEN]]*7.27,0)</f>
        <v>167</v>
      </c>
      <c r="M632" s="113">
        <v>15</v>
      </c>
      <c r="N632" s="130" t="str">
        <f t="shared" si="4"/>
        <v>none</v>
      </c>
      <c r="O632" s="113">
        <f>LEN(Tableau17[[#This Row],[LABEL]])</f>
        <v>23</v>
      </c>
      <c r="P632" s="113">
        <v>15</v>
      </c>
      <c r="Q632" s="113" t="e">
        <f>ROUND(Tableau17[[#This Row],[LEN]]*#REF!+#REF!,0)</f>
        <v>#REF!</v>
      </c>
    </row>
    <row r="633" spans="1:17" s="97" customFormat="1" x14ac:dyDescent="0.25">
      <c r="A633" s="37" t="s">
        <v>1472</v>
      </c>
      <c r="B633" s="38" t="s">
        <v>1471</v>
      </c>
      <c r="C633" s="39" t="s">
        <v>112</v>
      </c>
      <c r="D633" s="73" t="s">
        <v>1177</v>
      </c>
      <c r="E633" s="39" t="s">
        <v>667</v>
      </c>
      <c r="F633" s="39" t="s">
        <v>2006</v>
      </c>
      <c r="G633" s="73" t="s">
        <v>2096</v>
      </c>
      <c r="H633" s="73" t="s">
        <v>654</v>
      </c>
      <c r="I633" s="39"/>
      <c r="J633" s="40" t="s">
        <v>708</v>
      </c>
      <c r="K63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3" s="114">
        <f>ROUND(Tableau17[[#This Row],[LEN]]*7.27,0)</f>
        <v>167</v>
      </c>
      <c r="M633" s="114">
        <v>15</v>
      </c>
      <c r="N633" s="131" t="str">
        <f t="shared" si="4"/>
        <v>none</v>
      </c>
      <c r="O633" s="114">
        <f>LEN(Tableau17[[#This Row],[LABEL]])</f>
        <v>23</v>
      </c>
      <c r="P633" s="114">
        <v>15</v>
      </c>
      <c r="Q633" s="114" t="e">
        <f>ROUND(Tableau17[[#This Row],[LEN]]*#REF!+#REF!,0)</f>
        <v>#REF!</v>
      </c>
    </row>
    <row r="634" spans="1:17" s="97" customFormat="1" x14ac:dyDescent="0.25">
      <c r="A634" s="37" t="s">
        <v>1473</v>
      </c>
      <c r="B634" s="38" t="s">
        <v>1471</v>
      </c>
      <c r="C634" s="39" t="s">
        <v>113</v>
      </c>
      <c r="D634" s="73" t="s">
        <v>1177</v>
      </c>
      <c r="E634" s="39" t="s">
        <v>667</v>
      </c>
      <c r="F634" s="39" t="s">
        <v>2006</v>
      </c>
      <c r="G634" s="73" t="s">
        <v>2096</v>
      </c>
      <c r="H634" s="73" t="s">
        <v>654</v>
      </c>
      <c r="I634" s="39"/>
      <c r="J634" s="40" t="s">
        <v>708</v>
      </c>
      <c r="K63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4" s="114">
        <f>ROUND(Tableau17[[#This Row],[LEN]]*7.27,0)</f>
        <v>233</v>
      </c>
      <c r="M634" s="114">
        <v>15</v>
      </c>
      <c r="N634" s="131" t="str">
        <f t="shared" si="4"/>
        <v>none</v>
      </c>
      <c r="O634" s="114">
        <f>LEN(Tableau17[[#This Row],[LABEL]])</f>
        <v>32</v>
      </c>
      <c r="P634" s="114">
        <v>15</v>
      </c>
      <c r="Q634" s="114" t="e">
        <f>ROUND(Tableau17[[#This Row],[LEN]]*#REF!+#REF!,0)</f>
        <v>#REF!</v>
      </c>
    </row>
    <row r="635" spans="1:17" s="97" customFormat="1" x14ac:dyDescent="0.25">
      <c r="A635" s="33" t="s">
        <v>1474</v>
      </c>
      <c r="B635" s="34" t="s">
        <v>280</v>
      </c>
      <c r="C635" s="35" t="s">
        <v>1586</v>
      </c>
      <c r="D635" s="72" t="s">
        <v>1477</v>
      </c>
      <c r="E635" s="35" t="s">
        <v>676</v>
      </c>
      <c r="F635" s="35" t="s">
        <v>1177</v>
      </c>
      <c r="G635" s="72" t="s">
        <v>2096</v>
      </c>
      <c r="H635" s="72" t="s">
        <v>654</v>
      </c>
      <c r="I635" s="35"/>
      <c r="J635" s="36" t="s">
        <v>708</v>
      </c>
      <c r="K63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5" s="113">
        <f>ROUND(Tableau17[[#This Row],[LEN]]*7.27,0)</f>
        <v>414</v>
      </c>
      <c r="M635" s="113">
        <v>15</v>
      </c>
      <c r="N635" s="130" t="str">
        <f t="shared" si="4"/>
        <v>none</v>
      </c>
      <c r="O635" s="113">
        <f>LEN(Tableau17[[#This Row],[LABEL]])</f>
        <v>57</v>
      </c>
      <c r="P635" s="113">
        <v>15</v>
      </c>
      <c r="Q635" s="113" t="e">
        <f>ROUND(Tableau17[[#This Row],[LEN]]*#REF!+#REF!,0)</f>
        <v>#REF!</v>
      </c>
    </row>
    <row r="636" spans="1:17" s="97" customFormat="1" x14ac:dyDescent="0.25">
      <c r="A636" s="33" t="s">
        <v>1475</v>
      </c>
      <c r="B636" s="34" t="s">
        <v>280</v>
      </c>
      <c r="C636" s="35" t="s">
        <v>1478</v>
      </c>
      <c r="D636" s="72" t="s">
        <v>1177</v>
      </c>
      <c r="E636" s="35" t="s">
        <v>676</v>
      </c>
      <c r="F636" s="35" t="s">
        <v>678</v>
      </c>
      <c r="G636" s="72" t="s">
        <v>2096</v>
      </c>
      <c r="H636" s="72" t="s">
        <v>654</v>
      </c>
      <c r="I636" s="35"/>
      <c r="J636" s="36" t="s">
        <v>708</v>
      </c>
      <c r="K63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6" s="113">
        <f>ROUND(Tableau17[[#This Row],[LEN]]*7.27,0)</f>
        <v>327</v>
      </c>
      <c r="M636" s="113">
        <v>15</v>
      </c>
      <c r="N636" s="130" t="str">
        <f t="shared" si="4"/>
        <v>none</v>
      </c>
      <c r="O636" s="113">
        <f>LEN(Tableau17[[#This Row],[LABEL]])</f>
        <v>45</v>
      </c>
      <c r="P636" s="113">
        <v>15</v>
      </c>
      <c r="Q636" s="113" t="e">
        <f>ROUND(Tableau17[[#This Row],[LEN]]*#REF!+#REF!,0)</f>
        <v>#REF!</v>
      </c>
    </row>
    <row r="637" spans="1:17" s="273" customFormat="1" x14ac:dyDescent="0.25">
      <c r="A637" s="309" t="s">
        <v>281</v>
      </c>
      <c r="B637" s="310" t="s">
        <v>207</v>
      </c>
      <c r="C637" s="311" t="s">
        <v>13</v>
      </c>
      <c r="D637" s="312" t="s">
        <v>1177</v>
      </c>
      <c r="E637" s="311" t="s">
        <v>677</v>
      </c>
      <c r="F637" s="311" t="s">
        <v>1177</v>
      </c>
      <c r="G637" s="312" t="s">
        <v>2096</v>
      </c>
      <c r="H637" s="312" t="str">
        <f>IFERROR(IF(SEARCH(".00.00.00.00.00",Tableau17[[#This Row],[name]],1)=7,"Division",""),"")</f>
        <v>Division</v>
      </c>
      <c r="I637" s="311"/>
      <c r="J637" s="313" t="s">
        <v>708</v>
      </c>
      <c r="K637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37" s="314">
        <f>ROUND(Tableau17[[#This Row],[LEN]]*7.27,0)</f>
        <v>80</v>
      </c>
      <c r="M637" s="314">
        <v>15</v>
      </c>
      <c r="N637" s="315" t="str">
        <f t="shared" si="4"/>
        <v>none</v>
      </c>
      <c r="O637" s="314">
        <f>LEN(Tableau17[[#This Row],[LABEL]])</f>
        <v>11</v>
      </c>
      <c r="P637" s="314">
        <v>15</v>
      </c>
      <c r="Q637" s="314" t="e">
        <f>ROUND(Tableau17[[#This Row],[LEN]]*#REF!+#REF!,0)</f>
        <v>#REF!</v>
      </c>
    </row>
    <row r="638" spans="1:17" s="97" customFormat="1" x14ac:dyDescent="0.25">
      <c r="A638" s="33" t="s">
        <v>1479</v>
      </c>
      <c r="B638" s="34" t="s">
        <v>281</v>
      </c>
      <c r="C638" s="35" t="s">
        <v>111</v>
      </c>
      <c r="D638" s="72" t="s">
        <v>1177</v>
      </c>
      <c r="E638" s="35" t="s">
        <v>667</v>
      </c>
      <c r="F638" s="35" t="s">
        <v>2006</v>
      </c>
      <c r="G638" s="72" t="s">
        <v>2096</v>
      </c>
      <c r="H638" s="72" t="s">
        <v>655</v>
      </c>
      <c r="I638" s="35"/>
      <c r="J638" s="36" t="s">
        <v>708</v>
      </c>
      <c r="K63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8" s="113">
        <f>ROUND(Tableau17[[#This Row],[LEN]]*7.27,0)</f>
        <v>167</v>
      </c>
      <c r="M638" s="113">
        <v>15</v>
      </c>
      <c r="N638" s="130" t="str">
        <f t="shared" si="4"/>
        <v>none</v>
      </c>
      <c r="O638" s="113">
        <f>LEN(Tableau17[[#This Row],[LABEL]])</f>
        <v>23</v>
      </c>
      <c r="P638" s="113">
        <v>15</v>
      </c>
      <c r="Q638" s="113" t="e">
        <f>ROUND(Tableau17[[#This Row],[LEN]]*#REF!+#REF!,0)</f>
        <v>#REF!</v>
      </c>
    </row>
    <row r="639" spans="1:17" s="97" customFormat="1" x14ac:dyDescent="0.25">
      <c r="A639" s="37" t="s">
        <v>1484</v>
      </c>
      <c r="B639" s="38" t="s">
        <v>1479</v>
      </c>
      <c r="C639" s="39" t="s">
        <v>112</v>
      </c>
      <c r="D639" s="73" t="s">
        <v>1177</v>
      </c>
      <c r="E639" s="39" t="s">
        <v>667</v>
      </c>
      <c r="F639" s="39" t="s">
        <v>2006</v>
      </c>
      <c r="G639" s="73" t="s">
        <v>2096</v>
      </c>
      <c r="H639" s="73" t="s">
        <v>654</v>
      </c>
      <c r="I639" s="39"/>
      <c r="J639" s="40" t="s">
        <v>708</v>
      </c>
      <c r="K63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39" s="114">
        <f>ROUND(Tableau17[[#This Row],[LEN]]*7.27,0)</f>
        <v>167</v>
      </c>
      <c r="M639" s="114">
        <v>15</v>
      </c>
      <c r="N639" s="131" t="str">
        <f t="shared" si="4"/>
        <v>none</v>
      </c>
      <c r="O639" s="114">
        <f>LEN(Tableau17[[#This Row],[LABEL]])</f>
        <v>23</v>
      </c>
      <c r="P639" s="114">
        <v>15</v>
      </c>
      <c r="Q639" s="114" t="e">
        <f>ROUND(Tableau17[[#This Row],[LEN]]*#REF!+#REF!,0)</f>
        <v>#REF!</v>
      </c>
    </row>
    <row r="640" spans="1:17" s="97" customFormat="1" x14ac:dyDescent="0.25">
      <c r="A640" s="37" t="s">
        <v>1485</v>
      </c>
      <c r="B640" s="38" t="s">
        <v>1479</v>
      </c>
      <c r="C640" s="39" t="s">
        <v>113</v>
      </c>
      <c r="D640" s="73" t="s">
        <v>1177</v>
      </c>
      <c r="E640" s="39" t="s">
        <v>667</v>
      </c>
      <c r="F640" s="39" t="s">
        <v>2006</v>
      </c>
      <c r="G640" s="73" t="s">
        <v>2096</v>
      </c>
      <c r="H640" s="73" t="s">
        <v>654</v>
      </c>
      <c r="I640" s="39"/>
      <c r="J640" s="40" t="s">
        <v>708</v>
      </c>
      <c r="K64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0" s="114">
        <f>ROUND(Tableau17[[#This Row],[LEN]]*7.27,0)</f>
        <v>233</v>
      </c>
      <c r="M640" s="114">
        <v>15</v>
      </c>
      <c r="N640" s="131" t="str">
        <f t="shared" si="4"/>
        <v>none</v>
      </c>
      <c r="O640" s="114">
        <f>LEN(Tableau17[[#This Row],[LABEL]])</f>
        <v>32</v>
      </c>
      <c r="P640" s="114">
        <v>15</v>
      </c>
      <c r="Q640" s="114" t="e">
        <f>ROUND(Tableau17[[#This Row],[LEN]]*#REF!+#REF!,0)</f>
        <v>#REF!</v>
      </c>
    </row>
    <row r="641" spans="1:17" s="97" customFormat="1" x14ac:dyDescent="0.25">
      <c r="A641" s="33" t="s">
        <v>1480</v>
      </c>
      <c r="B641" s="34" t="s">
        <v>281</v>
      </c>
      <c r="C641" s="35" t="s">
        <v>1483</v>
      </c>
      <c r="D641" s="72" t="s">
        <v>1177</v>
      </c>
      <c r="E641" s="35" t="s">
        <v>661</v>
      </c>
      <c r="F641" s="35" t="s">
        <v>2083</v>
      </c>
      <c r="G641" s="72" t="s">
        <v>2096</v>
      </c>
      <c r="H641" s="72" t="s">
        <v>655</v>
      </c>
      <c r="I641" s="35"/>
      <c r="J641" s="36" t="s">
        <v>708</v>
      </c>
      <c r="K641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1" s="113">
        <f>ROUND(Tableau17[[#This Row],[LEN]]*7.27,0)</f>
        <v>240</v>
      </c>
      <c r="M641" s="113">
        <v>15</v>
      </c>
      <c r="N641" s="130" t="str">
        <f t="shared" si="4"/>
        <v>none</v>
      </c>
      <c r="O641" s="113">
        <f>LEN(Tableau17[[#This Row],[LABEL]])</f>
        <v>33</v>
      </c>
      <c r="P641" s="113">
        <v>15</v>
      </c>
      <c r="Q641" s="113" t="e">
        <f>ROUND(Tableau17[[#This Row],[LEN]]*#REF!+#REF!,0)</f>
        <v>#REF!</v>
      </c>
    </row>
    <row r="642" spans="1:17" s="97" customFormat="1" x14ac:dyDescent="0.25">
      <c r="A642" s="37" t="s">
        <v>1486</v>
      </c>
      <c r="B642" s="38" t="s">
        <v>1480</v>
      </c>
      <c r="C642" s="39" t="s">
        <v>1458</v>
      </c>
      <c r="D642" s="73" t="s">
        <v>1177</v>
      </c>
      <c r="E642" s="39" t="s">
        <v>661</v>
      </c>
      <c r="F642" s="39" t="s">
        <v>2083</v>
      </c>
      <c r="G642" s="73" t="s">
        <v>2096</v>
      </c>
      <c r="H642" s="73" t="s">
        <v>654</v>
      </c>
      <c r="I642" s="39"/>
      <c r="J642" s="40" t="s">
        <v>708</v>
      </c>
      <c r="K64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2" s="114">
        <f>ROUND(Tableau17[[#This Row],[LEN]]*7.27,0)</f>
        <v>189</v>
      </c>
      <c r="M642" s="114">
        <v>15</v>
      </c>
      <c r="N642" s="131" t="str">
        <f t="shared" si="4"/>
        <v>none</v>
      </c>
      <c r="O642" s="114">
        <f>LEN(Tableau17[[#This Row],[LABEL]])</f>
        <v>26</v>
      </c>
      <c r="P642" s="114">
        <v>15</v>
      </c>
      <c r="Q642" s="114" t="e">
        <f>ROUND(Tableau17[[#This Row],[LEN]]*#REF!+#REF!,0)</f>
        <v>#REF!</v>
      </c>
    </row>
    <row r="643" spans="1:17" s="97" customFormat="1" x14ac:dyDescent="0.25">
      <c r="A643" s="37" t="s">
        <v>1486</v>
      </c>
      <c r="B643" s="38" t="s">
        <v>1480</v>
      </c>
      <c r="C643" s="39" t="s">
        <v>1459</v>
      </c>
      <c r="D643" s="73" t="s">
        <v>1177</v>
      </c>
      <c r="E643" s="39" t="s">
        <v>661</v>
      </c>
      <c r="F643" s="39" t="s">
        <v>2083</v>
      </c>
      <c r="G643" s="73" t="s">
        <v>2096</v>
      </c>
      <c r="H643" s="73" t="s">
        <v>654</v>
      </c>
      <c r="I643" s="39"/>
      <c r="J643" s="40" t="s">
        <v>708</v>
      </c>
      <c r="K64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3" s="114">
        <f>ROUND(Tableau17[[#This Row],[LEN]]*7.27,0)</f>
        <v>204</v>
      </c>
      <c r="M643" s="114">
        <v>15</v>
      </c>
      <c r="N643" s="131" t="str">
        <f t="shared" si="4"/>
        <v>none</v>
      </c>
      <c r="O643" s="114">
        <f>LEN(Tableau17[[#This Row],[LABEL]])</f>
        <v>28</v>
      </c>
      <c r="P643" s="114">
        <v>15</v>
      </c>
      <c r="Q643" s="114" t="e">
        <f>ROUND(Tableau17[[#This Row],[LEN]]*#REF!+#REF!,0)</f>
        <v>#REF!</v>
      </c>
    </row>
    <row r="644" spans="1:17" s="97" customFormat="1" x14ac:dyDescent="0.25">
      <c r="A644" s="33" t="s">
        <v>1481</v>
      </c>
      <c r="B644" s="34" t="s">
        <v>281</v>
      </c>
      <c r="C644" s="35" t="s">
        <v>1482</v>
      </c>
      <c r="D644" s="72" t="s">
        <v>1177</v>
      </c>
      <c r="E644" s="35" t="s">
        <v>677</v>
      </c>
      <c r="F644" s="35" t="s">
        <v>1177</v>
      </c>
      <c r="G644" s="72" t="s">
        <v>2096</v>
      </c>
      <c r="H644" s="72" t="s">
        <v>654</v>
      </c>
      <c r="I644" s="35"/>
      <c r="J644" s="36" t="s">
        <v>708</v>
      </c>
      <c r="K644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4" s="113">
        <f>ROUND(Tableau17[[#This Row],[LEN]]*7.27,0)</f>
        <v>131</v>
      </c>
      <c r="M644" s="113">
        <v>15</v>
      </c>
      <c r="N644" s="130" t="str">
        <f t="shared" si="4"/>
        <v>none</v>
      </c>
      <c r="O644" s="113">
        <f>LEN(Tableau17[[#This Row],[LABEL]])</f>
        <v>18</v>
      </c>
      <c r="P644" s="113">
        <v>15</v>
      </c>
      <c r="Q644" s="113" t="e">
        <f>ROUND(Tableau17[[#This Row],[LEN]]*#REF!+#REF!,0)</f>
        <v>#REF!</v>
      </c>
    </row>
    <row r="645" spans="1:17" s="273" customFormat="1" x14ac:dyDescent="0.25">
      <c r="A645" s="309" t="s">
        <v>282</v>
      </c>
      <c r="B645" s="310" t="s">
        <v>207</v>
      </c>
      <c r="C645" s="311" t="s">
        <v>14</v>
      </c>
      <c r="D645" s="312" t="s">
        <v>1177</v>
      </c>
      <c r="E645" s="311" t="s">
        <v>678</v>
      </c>
      <c r="F645" s="311" t="s">
        <v>1177</v>
      </c>
      <c r="G645" s="312" t="s">
        <v>2096</v>
      </c>
      <c r="H645" s="312" t="str">
        <f>IFERROR(IF(SEARCH(".00.00.00.00.00",Tableau17[[#This Row],[name]],1)=7,"Division",""),"")</f>
        <v>Division</v>
      </c>
      <c r="I645" s="311"/>
      <c r="J645" s="313" t="s">
        <v>724</v>
      </c>
      <c r="K645" s="31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45" s="314">
        <f>ROUND(Tableau17[[#This Row],[LEN]]*7.27,0)</f>
        <v>240</v>
      </c>
      <c r="M645" s="314">
        <v>15</v>
      </c>
      <c r="N645" s="315" t="str">
        <f t="shared" si="4"/>
        <v>new</v>
      </c>
      <c r="O645" s="314">
        <f>LEN(Tableau17[[#This Row],[LABEL]])</f>
        <v>33</v>
      </c>
      <c r="P645" s="314">
        <v>15</v>
      </c>
      <c r="Q645" s="314" t="e">
        <f>ROUND(Tableau17[[#This Row],[LEN]]*#REF!+#REF!,0)</f>
        <v>#REF!</v>
      </c>
    </row>
    <row r="646" spans="1:17" s="97" customFormat="1" x14ac:dyDescent="0.25">
      <c r="A646" s="33" t="s">
        <v>1487</v>
      </c>
      <c r="B646" s="34" t="s">
        <v>282</v>
      </c>
      <c r="C646" s="35" t="s">
        <v>111</v>
      </c>
      <c r="D646" s="72" t="s">
        <v>1177</v>
      </c>
      <c r="E646" s="35" t="s">
        <v>667</v>
      </c>
      <c r="F646" s="35" t="s">
        <v>2006</v>
      </c>
      <c r="G646" s="72" t="s">
        <v>2096</v>
      </c>
      <c r="H646" s="72" t="s">
        <v>655</v>
      </c>
      <c r="I646" s="35"/>
      <c r="J646" s="36" t="s">
        <v>708</v>
      </c>
      <c r="K646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6" s="113">
        <f>ROUND(Tableau17[[#This Row],[LEN]]*7.27,0)</f>
        <v>167</v>
      </c>
      <c r="M646" s="113">
        <v>15</v>
      </c>
      <c r="N646" s="130" t="str">
        <f t="shared" si="4"/>
        <v>none</v>
      </c>
      <c r="O646" s="113">
        <f>LEN(Tableau17[[#This Row],[LABEL]])</f>
        <v>23</v>
      </c>
      <c r="P646" s="113">
        <v>15</v>
      </c>
      <c r="Q646" s="113" t="e">
        <f>ROUND(Tableau17[[#This Row],[LEN]]*#REF!+#REF!,0)</f>
        <v>#REF!</v>
      </c>
    </row>
    <row r="647" spans="1:17" s="97" customFormat="1" x14ac:dyDescent="0.25">
      <c r="A647" s="37" t="s">
        <v>1492</v>
      </c>
      <c r="B647" s="38" t="s">
        <v>1487</v>
      </c>
      <c r="C647" s="39" t="s">
        <v>112</v>
      </c>
      <c r="D647" s="73" t="s">
        <v>1177</v>
      </c>
      <c r="E647" s="39" t="s">
        <v>667</v>
      </c>
      <c r="F647" s="39" t="s">
        <v>2006</v>
      </c>
      <c r="G647" s="73" t="s">
        <v>2096</v>
      </c>
      <c r="H647" s="73" t="s">
        <v>654</v>
      </c>
      <c r="I647" s="39"/>
      <c r="J647" s="40" t="s">
        <v>708</v>
      </c>
      <c r="K64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7" s="114">
        <f>ROUND(Tableau17[[#This Row],[LEN]]*7.27,0)</f>
        <v>167</v>
      </c>
      <c r="M647" s="114">
        <v>15</v>
      </c>
      <c r="N647" s="131" t="str">
        <f t="shared" si="4"/>
        <v>none</v>
      </c>
      <c r="O647" s="114">
        <f>LEN(Tableau17[[#This Row],[LABEL]])</f>
        <v>23</v>
      </c>
      <c r="P647" s="114">
        <v>15</v>
      </c>
      <c r="Q647" s="114" t="e">
        <f>ROUND(Tableau17[[#This Row],[LEN]]*#REF!+#REF!,0)</f>
        <v>#REF!</v>
      </c>
    </row>
    <row r="648" spans="1:17" s="97" customFormat="1" x14ac:dyDescent="0.25">
      <c r="A648" s="37" t="s">
        <v>1493</v>
      </c>
      <c r="B648" s="38" t="s">
        <v>1487</v>
      </c>
      <c r="C648" s="39" t="s">
        <v>113</v>
      </c>
      <c r="D648" s="73" t="s">
        <v>1177</v>
      </c>
      <c r="E648" s="39" t="s">
        <v>667</v>
      </c>
      <c r="F648" s="39" t="s">
        <v>2006</v>
      </c>
      <c r="G648" s="73" t="s">
        <v>2096</v>
      </c>
      <c r="H648" s="73" t="s">
        <v>654</v>
      </c>
      <c r="I648" s="39"/>
      <c r="J648" s="40" t="s">
        <v>708</v>
      </c>
      <c r="K648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8" s="114">
        <f>ROUND(Tableau17[[#This Row],[LEN]]*7.27,0)</f>
        <v>233</v>
      </c>
      <c r="M648" s="114">
        <v>15</v>
      </c>
      <c r="N648" s="131" t="str">
        <f t="shared" si="4"/>
        <v>none</v>
      </c>
      <c r="O648" s="114">
        <f>LEN(Tableau17[[#This Row],[LABEL]])</f>
        <v>32</v>
      </c>
      <c r="P648" s="114">
        <v>15</v>
      </c>
      <c r="Q648" s="114" t="e">
        <f>ROUND(Tableau17[[#This Row],[LEN]]*#REF!+#REF!,0)</f>
        <v>#REF!</v>
      </c>
    </row>
    <row r="649" spans="1:17" s="97" customFormat="1" x14ac:dyDescent="0.25">
      <c r="A649" s="33" t="s">
        <v>1488</v>
      </c>
      <c r="B649" s="34" t="s">
        <v>282</v>
      </c>
      <c r="C649" s="35" t="s">
        <v>1478</v>
      </c>
      <c r="D649" s="72" t="s">
        <v>1177</v>
      </c>
      <c r="E649" s="35" t="s">
        <v>676</v>
      </c>
      <c r="F649" s="35" t="s">
        <v>678</v>
      </c>
      <c r="G649" s="72" t="s">
        <v>2096</v>
      </c>
      <c r="H649" s="72" t="s">
        <v>654</v>
      </c>
      <c r="I649" s="35"/>
      <c r="J649" s="36" t="s">
        <v>708</v>
      </c>
      <c r="K649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49" s="113">
        <f>ROUND(Tableau17[[#This Row],[LEN]]*7.27,0)</f>
        <v>327</v>
      </c>
      <c r="M649" s="113">
        <v>15</v>
      </c>
      <c r="N649" s="130" t="str">
        <f t="shared" si="4"/>
        <v>none</v>
      </c>
      <c r="O649" s="113">
        <f>LEN(Tableau17[[#This Row],[LABEL]])</f>
        <v>45</v>
      </c>
      <c r="P649" s="113">
        <v>15</v>
      </c>
      <c r="Q649" s="113" t="e">
        <f>ROUND(Tableau17[[#This Row],[LEN]]*#REF!+#REF!,0)</f>
        <v>#REF!</v>
      </c>
    </row>
    <row r="650" spans="1:17" s="97" customFormat="1" x14ac:dyDescent="0.25">
      <c r="A650" s="33" t="s">
        <v>1489</v>
      </c>
      <c r="B650" s="34" t="s">
        <v>282</v>
      </c>
      <c r="C650" s="35" t="s">
        <v>1483</v>
      </c>
      <c r="D650" s="72" t="s">
        <v>1177</v>
      </c>
      <c r="E650" s="35" t="s">
        <v>661</v>
      </c>
      <c r="F650" s="35" t="s">
        <v>2083</v>
      </c>
      <c r="G650" s="72" t="s">
        <v>2096</v>
      </c>
      <c r="H650" s="72" t="s">
        <v>655</v>
      </c>
      <c r="I650" s="35"/>
      <c r="J650" s="36" t="s">
        <v>708</v>
      </c>
      <c r="K650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0" s="113">
        <f>ROUND(Tableau17[[#This Row],[LEN]]*7.27,0)</f>
        <v>240</v>
      </c>
      <c r="M650" s="113">
        <v>15</v>
      </c>
      <c r="N650" s="130" t="str">
        <f t="shared" si="4"/>
        <v>none</v>
      </c>
      <c r="O650" s="113">
        <f>LEN(Tableau17[[#This Row],[LABEL]])</f>
        <v>33</v>
      </c>
      <c r="P650" s="113">
        <v>15</v>
      </c>
      <c r="Q650" s="113" t="e">
        <f>ROUND(Tableau17[[#This Row],[LEN]]*#REF!+#REF!,0)</f>
        <v>#REF!</v>
      </c>
    </row>
    <row r="651" spans="1:17" s="97" customFormat="1" x14ac:dyDescent="0.25">
      <c r="A651" s="37" t="s">
        <v>1494</v>
      </c>
      <c r="B651" s="38" t="s">
        <v>1489</v>
      </c>
      <c r="C651" s="39" t="s">
        <v>1458</v>
      </c>
      <c r="D651" s="73" t="s">
        <v>1177</v>
      </c>
      <c r="E651" s="39" t="s">
        <v>661</v>
      </c>
      <c r="F651" s="39" t="s">
        <v>2083</v>
      </c>
      <c r="G651" s="73" t="s">
        <v>2096</v>
      </c>
      <c r="H651" s="73" t="s">
        <v>654</v>
      </c>
      <c r="I651" s="39"/>
      <c r="J651" s="40" t="s">
        <v>708</v>
      </c>
      <c r="K651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1" s="114">
        <f>ROUND(Tableau17[[#This Row],[LEN]]*7.27,0)</f>
        <v>189</v>
      </c>
      <c r="M651" s="114">
        <v>15</v>
      </c>
      <c r="N651" s="131" t="str">
        <f t="shared" si="4"/>
        <v>none</v>
      </c>
      <c r="O651" s="114">
        <f>LEN(Tableau17[[#This Row],[LABEL]])</f>
        <v>26</v>
      </c>
      <c r="P651" s="114">
        <v>15</v>
      </c>
      <c r="Q651" s="114" t="e">
        <f>ROUND(Tableau17[[#This Row],[LEN]]*#REF!+#REF!,0)</f>
        <v>#REF!</v>
      </c>
    </row>
    <row r="652" spans="1:17" s="97" customFormat="1" x14ac:dyDescent="0.25">
      <c r="A652" s="37" t="s">
        <v>1495</v>
      </c>
      <c r="B652" s="38" t="s">
        <v>1489</v>
      </c>
      <c r="C652" s="39" t="s">
        <v>1459</v>
      </c>
      <c r="D652" s="73" t="s">
        <v>1177</v>
      </c>
      <c r="E652" s="39" t="s">
        <v>661</v>
      </c>
      <c r="F652" s="39" t="s">
        <v>2083</v>
      </c>
      <c r="G652" s="73" t="s">
        <v>2096</v>
      </c>
      <c r="H652" s="73" t="s">
        <v>654</v>
      </c>
      <c r="I652" s="39"/>
      <c r="J652" s="40" t="s">
        <v>708</v>
      </c>
      <c r="K652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2" s="114">
        <f>ROUND(Tableau17[[#This Row],[LEN]]*7.27,0)</f>
        <v>204</v>
      </c>
      <c r="M652" s="114">
        <v>15</v>
      </c>
      <c r="N652" s="131" t="str">
        <f t="shared" si="4"/>
        <v>none</v>
      </c>
      <c r="O652" s="114">
        <f>LEN(Tableau17[[#This Row],[LABEL]])</f>
        <v>28</v>
      </c>
      <c r="P652" s="114">
        <v>15</v>
      </c>
      <c r="Q652" s="114" t="e">
        <f>ROUND(Tableau17[[#This Row],[LEN]]*#REF!+#REF!,0)</f>
        <v>#REF!</v>
      </c>
    </row>
    <row r="653" spans="1:17" s="97" customFormat="1" x14ac:dyDescent="0.25">
      <c r="A653" s="33" t="s">
        <v>1490</v>
      </c>
      <c r="B653" s="34" t="s">
        <v>282</v>
      </c>
      <c r="C653" s="35" t="s">
        <v>1491</v>
      </c>
      <c r="D653" s="72" t="s">
        <v>1177</v>
      </c>
      <c r="E653" s="35" t="s">
        <v>678</v>
      </c>
      <c r="F653" s="35" t="s">
        <v>1177</v>
      </c>
      <c r="G653" s="72" t="s">
        <v>2096</v>
      </c>
      <c r="H653" s="72" t="s">
        <v>656</v>
      </c>
      <c r="I653" s="35"/>
      <c r="J653" s="36" t="s">
        <v>708</v>
      </c>
      <c r="K653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3" s="113">
        <f>ROUND(Tableau17[[#This Row],[LEN]]*7.27,0)</f>
        <v>247</v>
      </c>
      <c r="M653" s="113">
        <v>16</v>
      </c>
      <c r="N653" s="130" t="str">
        <f t="shared" si="4"/>
        <v>none</v>
      </c>
      <c r="O653" s="113">
        <f>LEN(Tableau17[[#This Row],[LABEL]])</f>
        <v>34</v>
      </c>
      <c r="P653" s="113">
        <v>16</v>
      </c>
      <c r="Q653" s="113" t="e">
        <f>ROUND(Tableau17[[#This Row],[LEN]]*#REF!+#REF!,0)</f>
        <v>#REF!</v>
      </c>
    </row>
    <row r="654" spans="1:17" s="273" customFormat="1" x14ac:dyDescent="0.25">
      <c r="A654" s="316" t="s">
        <v>283</v>
      </c>
      <c r="B654" s="317" t="s">
        <v>207</v>
      </c>
      <c r="C654" s="318" t="s">
        <v>15</v>
      </c>
      <c r="D654" s="319" t="s">
        <v>1177</v>
      </c>
      <c r="E654" s="318" t="s">
        <v>679</v>
      </c>
      <c r="F654" s="318" t="s">
        <v>1177</v>
      </c>
      <c r="G654" s="319" t="s">
        <v>2096</v>
      </c>
      <c r="H654" s="319" t="str">
        <f>IFERROR(IF(SEARCH(".00.00.00.00.00",Tableau17[[#This Row],[name]],1)=7,"Division",""),"")</f>
        <v>Division</v>
      </c>
      <c r="I654" s="318"/>
      <c r="J654" s="320" t="s">
        <v>708</v>
      </c>
      <c r="K654" s="32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54" s="321">
        <f>ROUND(Tableau17[[#This Row],[LEN]]*7.27,0)</f>
        <v>174</v>
      </c>
      <c r="M654" s="321">
        <v>15</v>
      </c>
      <c r="N654" s="322" t="str">
        <f t="shared" si="4"/>
        <v>none</v>
      </c>
      <c r="O654" s="321">
        <f>LEN(Tableau17[[#This Row],[LABEL]])</f>
        <v>24</v>
      </c>
      <c r="P654" s="321">
        <v>15</v>
      </c>
      <c r="Q654" s="321" t="e">
        <f>ROUND(Tableau17[[#This Row],[LEN]]*#REF!+#REF!,0)</f>
        <v>#REF!</v>
      </c>
    </row>
    <row r="655" spans="1:17" s="97" customFormat="1" x14ac:dyDescent="0.25">
      <c r="A655" s="33" t="s">
        <v>1496</v>
      </c>
      <c r="B655" s="34" t="s">
        <v>283</v>
      </c>
      <c r="C655" s="35" t="s">
        <v>111</v>
      </c>
      <c r="D655" s="72" t="s">
        <v>1177</v>
      </c>
      <c r="E655" s="35" t="s">
        <v>667</v>
      </c>
      <c r="F655" s="35" t="s">
        <v>2006</v>
      </c>
      <c r="G655" s="72" t="s">
        <v>2096</v>
      </c>
      <c r="H655" s="72" t="s">
        <v>655</v>
      </c>
      <c r="I655" s="35"/>
      <c r="J655" s="36" t="s">
        <v>708</v>
      </c>
      <c r="K655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5" s="113">
        <f>ROUND(Tableau17[[#This Row],[LEN]]*7.27,0)</f>
        <v>167</v>
      </c>
      <c r="M655" s="113">
        <v>15</v>
      </c>
      <c r="N655" s="130" t="str">
        <f t="shared" si="4"/>
        <v>none</v>
      </c>
      <c r="O655" s="113">
        <f>LEN(Tableau17[[#This Row],[LABEL]])</f>
        <v>23</v>
      </c>
      <c r="P655" s="113">
        <v>15</v>
      </c>
      <c r="Q655" s="113" t="e">
        <f>ROUND(Tableau17[[#This Row],[LEN]]*#REF!+#REF!,0)</f>
        <v>#REF!</v>
      </c>
    </row>
    <row r="656" spans="1:17" s="97" customFormat="1" x14ac:dyDescent="0.25">
      <c r="A656" s="37" t="s">
        <v>1498</v>
      </c>
      <c r="B656" s="38" t="s">
        <v>1496</v>
      </c>
      <c r="C656" s="39" t="s">
        <v>112</v>
      </c>
      <c r="D656" s="73" t="s">
        <v>1177</v>
      </c>
      <c r="E656" s="39" t="s">
        <v>667</v>
      </c>
      <c r="F656" s="39" t="s">
        <v>2006</v>
      </c>
      <c r="G656" s="73" t="s">
        <v>2096</v>
      </c>
      <c r="H656" s="73" t="s">
        <v>654</v>
      </c>
      <c r="I656" s="39"/>
      <c r="J656" s="40" t="s">
        <v>708</v>
      </c>
      <c r="K656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6" s="114">
        <f>ROUND(Tableau17[[#This Row],[LEN]]*7.27,0)</f>
        <v>167</v>
      </c>
      <c r="M656" s="114">
        <v>15</v>
      </c>
      <c r="N656" s="131" t="str">
        <f t="shared" si="4"/>
        <v>none</v>
      </c>
      <c r="O656" s="114">
        <f>LEN(Tableau17[[#This Row],[LABEL]])</f>
        <v>23</v>
      </c>
      <c r="P656" s="114">
        <v>15</v>
      </c>
      <c r="Q656" s="114" t="e">
        <f>ROUND(Tableau17[[#This Row],[LEN]]*#REF!+#REF!,0)</f>
        <v>#REF!</v>
      </c>
    </row>
    <row r="657" spans="1:17" s="97" customFormat="1" x14ac:dyDescent="0.25">
      <c r="A657" s="37" t="s">
        <v>1499</v>
      </c>
      <c r="B657" s="38" t="s">
        <v>1496</v>
      </c>
      <c r="C657" s="39" t="s">
        <v>113</v>
      </c>
      <c r="D657" s="73" t="s">
        <v>1177</v>
      </c>
      <c r="E657" s="39" t="s">
        <v>667</v>
      </c>
      <c r="F657" s="39" t="s">
        <v>2006</v>
      </c>
      <c r="G657" s="73" t="s">
        <v>2096</v>
      </c>
      <c r="H657" s="73" t="s">
        <v>654</v>
      </c>
      <c r="I657" s="39"/>
      <c r="J657" s="40" t="s">
        <v>708</v>
      </c>
      <c r="K657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7" s="114">
        <f>ROUND(Tableau17[[#This Row],[LEN]]*7.27,0)</f>
        <v>233</v>
      </c>
      <c r="M657" s="114">
        <v>15</v>
      </c>
      <c r="N657" s="131" t="str">
        <f t="shared" si="4"/>
        <v>none</v>
      </c>
      <c r="O657" s="114">
        <f>LEN(Tableau17[[#This Row],[LABEL]])</f>
        <v>32</v>
      </c>
      <c r="P657" s="114">
        <v>15</v>
      </c>
      <c r="Q657" s="114" t="e">
        <f>ROUND(Tableau17[[#This Row],[LEN]]*#REF!+#REF!,0)</f>
        <v>#REF!</v>
      </c>
    </row>
    <row r="658" spans="1:17" s="97" customFormat="1" x14ac:dyDescent="0.25">
      <c r="A658" s="33" t="s">
        <v>1497</v>
      </c>
      <c r="B658" s="34" t="s">
        <v>283</v>
      </c>
      <c r="C658" s="35" t="s">
        <v>1483</v>
      </c>
      <c r="D658" s="72" t="s">
        <v>1177</v>
      </c>
      <c r="E658" s="35" t="s">
        <v>661</v>
      </c>
      <c r="F658" s="35" t="s">
        <v>2083</v>
      </c>
      <c r="G658" s="72" t="s">
        <v>2096</v>
      </c>
      <c r="H658" s="72" t="s">
        <v>655</v>
      </c>
      <c r="I658" s="35"/>
      <c r="J658" s="36" t="s">
        <v>708</v>
      </c>
      <c r="K658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8" s="113">
        <f>ROUND(Tableau17[[#This Row],[LEN]]*7.27,0)</f>
        <v>240</v>
      </c>
      <c r="M658" s="113">
        <v>15</v>
      </c>
      <c r="N658" s="130" t="str">
        <f t="shared" si="4"/>
        <v>none</v>
      </c>
      <c r="O658" s="113">
        <f>LEN(Tableau17[[#This Row],[LABEL]])</f>
        <v>33</v>
      </c>
      <c r="P658" s="113">
        <v>15</v>
      </c>
      <c r="Q658" s="113" t="e">
        <f>ROUND(Tableau17[[#This Row],[LEN]]*#REF!+#REF!,0)</f>
        <v>#REF!</v>
      </c>
    </row>
    <row r="659" spans="1:17" s="97" customFormat="1" x14ac:dyDescent="0.25">
      <c r="A659" s="37" t="s">
        <v>1500</v>
      </c>
      <c r="B659" s="38" t="s">
        <v>1497</v>
      </c>
      <c r="C659" s="39" t="s">
        <v>1458</v>
      </c>
      <c r="D659" s="73" t="s">
        <v>1177</v>
      </c>
      <c r="E659" s="39" t="s">
        <v>661</v>
      </c>
      <c r="F659" s="39" t="s">
        <v>2083</v>
      </c>
      <c r="G659" s="73" t="s">
        <v>2096</v>
      </c>
      <c r="H659" s="73" t="s">
        <v>654</v>
      </c>
      <c r="I659" s="39"/>
      <c r="J659" s="40" t="s">
        <v>708</v>
      </c>
      <c r="K659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59" s="114">
        <f>ROUND(Tableau17[[#This Row],[LEN]]*7.27,0)</f>
        <v>189</v>
      </c>
      <c r="M659" s="114">
        <v>15</v>
      </c>
      <c r="N659" s="131" t="str">
        <f t="shared" si="4"/>
        <v>none</v>
      </c>
      <c r="O659" s="114">
        <f>LEN(Tableau17[[#This Row],[LABEL]])</f>
        <v>26</v>
      </c>
      <c r="P659" s="114">
        <v>15</v>
      </c>
      <c r="Q659" s="114" t="e">
        <f>ROUND(Tableau17[[#This Row],[LEN]]*#REF!+#REF!,0)</f>
        <v>#REF!</v>
      </c>
    </row>
    <row r="660" spans="1:17" s="97" customFormat="1" x14ac:dyDescent="0.25">
      <c r="A660" s="37" t="s">
        <v>1501</v>
      </c>
      <c r="B660" s="38" t="s">
        <v>1497</v>
      </c>
      <c r="C660" s="39" t="s">
        <v>1459</v>
      </c>
      <c r="D660" s="73" t="s">
        <v>1177</v>
      </c>
      <c r="E660" s="39" t="s">
        <v>661</v>
      </c>
      <c r="F660" s="39" t="s">
        <v>2083</v>
      </c>
      <c r="G660" s="73" t="s">
        <v>2096</v>
      </c>
      <c r="H660" s="73" t="s">
        <v>654</v>
      </c>
      <c r="I660" s="39"/>
      <c r="J660" s="40" t="s">
        <v>708</v>
      </c>
      <c r="K660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0" s="114">
        <f>ROUND(Tableau17[[#This Row],[LEN]]*7.27,0)</f>
        <v>204</v>
      </c>
      <c r="M660" s="114">
        <v>15</v>
      </c>
      <c r="N660" s="131" t="str">
        <f t="shared" si="4"/>
        <v>none</v>
      </c>
      <c r="O660" s="114">
        <f>LEN(Tableau17[[#This Row],[LABEL]])</f>
        <v>28</v>
      </c>
      <c r="P660" s="114">
        <v>15</v>
      </c>
      <c r="Q660" s="114" t="e">
        <f>ROUND(Tableau17[[#This Row],[LEN]]*#REF!+#REF!,0)</f>
        <v>#REF!</v>
      </c>
    </row>
    <row r="661" spans="1:17" s="273" customFormat="1" x14ac:dyDescent="0.25">
      <c r="A661" s="316" t="s">
        <v>2007</v>
      </c>
      <c r="B661" s="317" t="s">
        <v>207</v>
      </c>
      <c r="C661" s="318" t="s">
        <v>1950</v>
      </c>
      <c r="D661" s="319" t="s">
        <v>1177</v>
      </c>
      <c r="E661" s="318" t="s">
        <v>1951</v>
      </c>
      <c r="F661" s="318" t="s">
        <v>1177</v>
      </c>
      <c r="G661" s="319" t="s">
        <v>2096</v>
      </c>
      <c r="H661" s="319" t="s">
        <v>56</v>
      </c>
      <c r="I661" s="318"/>
      <c r="J661" s="320" t="s">
        <v>708</v>
      </c>
      <c r="K661" s="320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1" s="321">
        <f>ROUND(Tableau17[[#This Row],[LEN]]*7.27,0)</f>
        <v>51</v>
      </c>
      <c r="M661" s="321">
        <v>15</v>
      </c>
      <c r="N661" s="322" t="str">
        <f t="shared" si="4"/>
        <v>none</v>
      </c>
      <c r="O661" s="321">
        <f>LEN(Tableau17[[#This Row],[LABEL]])</f>
        <v>7</v>
      </c>
      <c r="P661" s="321">
        <v>15</v>
      </c>
      <c r="Q661" s="321" t="e">
        <f>ROUND(Tableau17[[#This Row],[LEN]]*#REF!+#REF!,0)</f>
        <v>#REF!</v>
      </c>
    </row>
    <row r="662" spans="1:17" s="97" customFormat="1" x14ac:dyDescent="0.25">
      <c r="A662" s="33" t="s">
        <v>2008</v>
      </c>
      <c r="B662" s="34" t="s">
        <v>2007</v>
      </c>
      <c r="C662" s="35" t="s">
        <v>111</v>
      </c>
      <c r="D662" s="72" t="s">
        <v>1177</v>
      </c>
      <c r="E662" s="35" t="s">
        <v>667</v>
      </c>
      <c r="F662" s="35" t="s">
        <v>2006</v>
      </c>
      <c r="G662" s="72" t="s">
        <v>2096</v>
      </c>
      <c r="H662" s="72" t="s">
        <v>655</v>
      </c>
      <c r="I662" s="35"/>
      <c r="J662" s="36" t="s">
        <v>708</v>
      </c>
      <c r="K662" s="3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2" s="113">
        <f>ROUND(Tableau17[[#This Row],[LEN]]*7.27,0)</f>
        <v>167</v>
      </c>
      <c r="M662" s="113">
        <v>15</v>
      </c>
      <c r="N662" s="130" t="str">
        <f t="shared" si="4"/>
        <v>none</v>
      </c>
      <c r="O662" s="113">
        <f>LEN(Tableau17[[#This Row],[LABEL]])</f>
        <v>23</v>
      </c>
      <c r="P662" s="113">
        <v>15</v>
      </c>
      <c r="Q662" s="113" t="e">
        <f>ROUND(Tableau17[[#This Row],[LEN]]*#REF!+#REF!,0)</f>
        <v>#REF!</v>
      </c>
    </row>
    <row r="663" spans="1:17" s="97" customFormat="1" x14ac:dyDescent="0.25">
      <c r="A663" s="37" t="s">
        <v>2009</v>
      </c>
      <c r="B663" s="38" t="s">
        <v>2008</v>
      </c>
      <c r="C663" s="39" t="s">
        <v>2014</v>
      </c>
      <c r="D663" s="73" t="s">
        <v>2015</v>
      </c>
      <c r="E663" s="39" t="s">
        <v>667</v>
      </c>
      <c r="F663" s="39" t="s">
        <v>2006</v>
      </c>
      <c r="G663" s="73" t="s">
        <v>2096</v>
      </c>
      <c r="H663" s="73" t="s">
        <v>654</v>
      </c>
      <c r="I663" s="39"/>
      <c r="J663" s="40" t="s">
        <v>708</v>
      </c>
      <c r="K663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3" s="114">
        <f>ROUND(Tableau17[[#This Row],[LEN]]*7.27,0)</f>
        <v>124</v>
      </c>
      <c r="M663" s="114">
        <v>15</v>
      </c>
      <c r="N663" s="131" t="str">
        <f t="shared" si="4"/>
        <v>none</v>
      </c>
      <c r="O663" s="114">
        <f>LEN(Tableau17[[#This Row],[LABEL]])</f>
        <v>17</v>
      </c>
      <c r="P663" s="114">
        <v>15</v>
      </c>
      <c r="Q663" s="114" t="e">
        <f>ROUND(Tableau17[[#This Row],[LEN]]*#REF!+#REF!,0)</f>
        <v>#REF!</v>
      </c>
    </row>
    <row r="664" spans="1:17" s="97" customFormat="1" ht="15.75" thickBot="1" x14ac:dyDescent="0.3">
      <c r="A664" s="37" t="s">
        <v>2010</v>
      </c>
      <c r="B664" s="38" t="s">
        <v>2008</v>
      </c>
      <c r="C664" s="39" t="s">
        <v>113</v>
      </c>
      <c r="D664" s="73" t="s">
        <v>1177</v>
      </c>
      <c r="E664" s="39" t="s">
        <v>667</v>
      </c>
      <c r="F664" s="39" t="s">
        <v>2006</v>
      </c>
      <c r="G664" s="73" t="s">
        <v>2096</v>
      </c>
      <c r="H664" s="73" t="s">
        <v>654</v>
      </c>
      <c r="I664" s="39"/>
      <c r="J664" s="40" t="s">
        <v>708</v>
      </c>
      <c r="K664" s="4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4" s="114">
        <f>ROUND(Tableau17[[#This Row],[LEN]]*7.27,0)</f>
        <v>233</v>
      </c>
      <c r="M664" s="114">
        <v>15</v>
      </c>
      <c r="N664" s="131" t="str">
        <f t="shared" si="4"/>
        <v>none</v>
      </c>
      <c r="O664" s="114">
        <f>LEN(Tableau17[[#This Row],[LABEL]])</f>
        <v>32</v>
      </c>
      <c r="P664" s="114">
        <v>15</v>
      </c>
      <c r="Q664" s="114" t="e">
        <f>ROUND(Tableau17[[#This Row],[LEN]]*#REF!+#REF!,0)</f>
        <v>#REF!</v>
      </c>
    </row>
    <row r="665" spans="1:17" s="97" customFormat="1" ht="15.75" thickTop="1" x14ac:dyDescent="0.25">
      <c r="A665" s="156" t="s">
        <v>202</v>
      </c>
      <c r="B665" s="156" t="s">
        <v>198</v>
      </c>
      <c r="C665" s="157" t="s">
        <v>1161</v>
      </c>
      <c r="D665" s="157" t="s">
        <v>183</v>
      </c>
      <c r="E665" s="158" t="s">
        <v>1177</v>
      </c>
      <c r="F665" s="157" t="s">
        <v>1084</v>
      </c>
      <c r="G665" s="158" t="s">
        <v>171</v>
      </c>
      <c r="H665" s="158" t="s">
        <v>615</v>
      </c>
      <c r="I665" s="157"/>
      <c r="J665" s="159" t="s">
        <v>707</v>
      </c>
      <c r="K665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5" s="160">
        <f>ROUND(Tableau17[[#This Row],[LEN]]*7.27,0)</f>
        <v>131</v>
      </c>
      <c r="M665" s="160">
        <v>15</v>
      </c>
      <c r="N665" s="161" t="str">
        <f t="shared" si="4"/>
        <v>new</v>
      </c>
      <c r="O665" s="160">
        <f>LEN(Tableau17[[#This Row],[LABEL]])</f>
        <v>18</v>
      </c>
      <c r="P665" s="162">
        <v>15</v>
      </c>
      <c r="Q665" s="162" t="e">
        <f>ROUND(Tableau17[[#This Row],[LEN]]*#REF!+#REF!,0)</f>
        <v>#REF!</v>
      </c>
    </row>
    <row r="666" spans="1:17" s="97" customFormat="1" ht="15.75" thickBot="1" x14ac:dyDescent="0.3">
      <c r="A666" s="184" t="s">
        <v>208</v>
      </c>
      <c r="B666" s="184" t="s">
        <v>202</v>
      </c>
      <c r="C666" s="185" t="s">
        <v>176</v>
      </c>
      <c r="D666" s="186" t="s">
        <v>473</v>
      </c>
      <c r="E666" s="185" t="s">
        <v>1177</v>
      </c>
      <c r="F666" s="186" t="s">
        <v>1177</v>
      </c>
      <c r="G666" s="185" t="s">
        <v>68</v>
      </c>
      <c r="H666" s="185" t="s">
        <v>616</v>
      </c>
      <c r="I666" s="186"/>
      <c r="J666" s="187" t="s">
        <v>708</v>
      </c>
      <c r="K666" s="187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6" s="188">
        <f>ROUND(Tableau17[[#This Row],[LEN]]*7.27,0)</f>
        <v>160</v>
      </c>
      <c r="M666" s="188">
        <v>15</v>
      </c>
      <c r="N666" s="189" t="str">
        <f t="shared" si="4"/>
        <v>none</v>
      </c>
      <c r="O666" s="188">
        <f>LEN(Tableau17[[#This Row],[LABEL]])</f>
        <v>22</v>
      </c>
      <c r="P666" s="190">
        <v>15</v>
      </c>
      <c r="Q666" s="190" t="e">
        <f>ROUND(Tableau17[[#This Row],[LEN]]*#REF!+#REF!,0)</f>
        <v>#REF!</v>
      </c>
    </row>
    <row r="667" spans="1:17" s="273" customFormat="1" ht="15.75" thickTop="1" x14ac:dyDescent="0.25">
      <c r="A667" s="330" t="s">
        <v>285</v>
      </c>
      <c r="B667" s="331" t="s">
        <v>208</v>
      </c>
      <c r="C667" s="332" t="s">
        <v>57</v>
      </c>
      <c r="D667" s="333" t="s">
        <v>1177</v>
      </c>
      <c r="E667" s="332" t="s">
        <v>663</v>
      </c>
      <c r="F667" s="332" t="s">
        <v>1177</v>
      </c>
      <c r="G667" s="333" t="s">
        <v>68</v>
      </c>
      <c r="H667" s="333" t="str">
        <f>IFERROR(IF(SEARCH(".00.00.00.00.00",Tableau17[[#This Row],[name]],1)=7,"Division",""),"")</f>
        <v>Division</v>
      </c>
      <c r="I667" s="332"/>
      <c r="J667" s="334" t="s">
        <v>708</v>
      </c>
      <c r="K667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67" s="335">
        <f>ROUND(Tableau17[[#This Row],[LEN]]*7.27,0)</f>
        <v>102</v>
      </c>
      <c r="M667" s="335">
        <v>15</v>
      </c>
      <c r="N667" s="336" t="str">
        <f t="shared" si="4"/>
        <v>none</v>
      </c>
      <c r="O667" s="335">
        <f>LEN(Tableau17[[#This Row],[LABEL]])</f>
        <v>14</v>
      </c>
      <c r="P667" s="335">
        <v>15</v>
      </c>
      <c r="Q667" s="335" t="e">
        <f>ROUND(Tableau17[[#This Row],[LEN]]*#REF!+#REF!,0)</f>
        <v>#REF!</v>
      </c>
    </row>
    <row r="668" spans="1:17" s="97" customFormat="1" x14ac:dyDescent="0.25">
      <c r="A668" s="41" t="s">
        <v>844</v>
      </c>
      <c r="B668" s="42" t="s">
        <v>285</v>
      </c>
      <c r="C668" s="43" t="s">
        <v>848</v>
      </c>
      <c r="D668" s="74" t="s">
        <v>1177</v>
      </c>
      <c r="E668" s="43" t="s">
        <v>663</v>
      </c>
      <c r="F668" s="43" t="s">
        <v>684</v>
      </c>
      <c r="G668" s="74" t="s">
        <v>68</v>
      </c>
      <c r="H668" s="74" t="s">
        <v>655</v>
      </c>
      <c r="I668" s="43"/>
      <c r="J668" s="44" t="s">
        <v>708</v>
      </c>
      <c r="K66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8" s="115">
        <f>ROUND(Tableau17[[#This Row],[LEN]]*7.27,0)</f>
        <v>153</v>
      </c>
      <c r="M668" s="115">
        <v>15</v>
      </c>
      <c r="N668" s="132" t="str">
        <f t="shared" si="4"/>
        <v>none</v>
      </c>
      <c r="O668" s="115">
        <f>LEN(Tableau17[[#This Row],[LABEL]])</f>
        <v>21</v>
      </c>
      <c r="P668" s="115">
        <v>15</v>
      </c>
      <c r="Q668" s="115" t="e">
        <f>ROUND(Tableau17[[#This Row],[LEN]]*#REF!+#REF!,0)</f>
        <v>#REF!</v>
      </c>
    </row>
    <row r="669" spans="1:17" s="97" customFormat="1" x14ac:dyDescent="0.25">
      <c r="A669" s="45" t="s">
        <v>852</v>
      </c>
      <c r="B669" s="46" t="s">
        <v>844</v>
      </c>
      <c r="C669" s="47" t="s">
        <v>864</v>
      </c>
      <c r="D669" s="75" t="s">
        <v>1177</v>
      </c>
      <c r="E669" s="47" t="s">
        <v>663</v>
      </c>
      <c r="F669" s="47" t="s">
        <v>684</v>
      </c>
      <c r="G669" s="75" t="s">
        <v>68</v>
      </c>
      <c r="H669" s="75" t="s">
        <v>656</v>
      </c>
      <c r="I669" s="47"/>
      <c r="J669" s="48" t="s">
        <v>708</v>
      </c>
      <c r="K66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69" s="116">
        <f>ROUND(Tableau17[[#This Row],[LEN]]*7.27,0)</f>
        <v>102</v>
      </c>
      <c r="M669" s="116">
        <v>15</v>
      </c>
      <c r="N669" s="133" t="str">
        <f t="shared" si="4"/>
        <v>none</v>
      </c>
      <c r="O669" s="116">
        <f>LEN(Tableau17[[#This Row],[LABEL]])</f>
        <v>14</v>
      </c>
      <c r="P669" s="116">
        <v>15</v>
      </c>
      <c r="Q669" s="116" t="e">
        <f>ROUND(Tableau17[[#This Row],[LEN]]*#REF!+#REF!,0)</f>
        <v>#REF!</v>
      </c>
    </row>
    <row r="670" spans="1:17" s="97" customFormat="1" x14ac:dyDescent="0.25">
      <c r="A670" s="45" t="s">
        <v>853</v>
      </c>
      <c r="B670" s="46" t="s">
        <v>844</v>
      </c>
      <c r="C670" s="47" t="s">
        <v>865</v>
      </c>
      <c r="D670" s="75" t="s">
        <v>1177</v>
      </c>
      <c r="E670" s="47" t="s">
        <v>663</v>
      </c>
      <c r="F670" s="47" t="s">
        <v>684</v>
      </c>
      <c r="G670" s="75" t="s">
        <v>68</v>
      </c>
      <c r="H670" s="75" t="s">
        <v>656</v>
      </c>
      <c r="I670" s="47"/>
      <c r="J670" s="48" t="s">
        <v>708</v>
      </c>
      <c r="K67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0" s="116">
        <f>ROUND(Tableau17[[#This Row],[LEN]]*7.27,0)</f>
        <v>211</v>
      </c>
      <c r="M670" s="116">
        <v>15</v>
      </c>
      <c r="N670" s="133" t="str">
        <f t="shared" si="4"/>
        <v>none</v>
      </c>
      <c r="O670" s="116">
        <f>LEN(Tableau17[[#This Row],[LABEL]])</f>
        <v>29</v>
      </c>
      <c r="P670" s="116">
        <v>15</v>
      </c>
      <c r="Q670" s="116" t="e">
        <f>ROUND(Tableau17[[#This Row],[LEN]]*#REF!+#REF!,0)</f>
        <v>#REF!</v>
      </c>
    </row>
    <row r="671" spans="1:17" s="97" customFormat="1" x14ac:dyDescent="0.25">
      <c r="A671" s="41" t="s">
        <v>845</v>
      </c>
      <c r="B671" s="42" t="s">
        <v>285</v>
      </c>
      <c r="C671" s="43" t="s">
        <v>849</v>
      </c>
      <c r="D671" s="74" t="s">
        <v>1177</v>
      </c>
      <c r="E671" s="43" t="s">
        <v>667</v>
      </c>
      <c r="F671" s="43" t="s">
        <v>840</v>
      </c>
      <c r="G671" s="74" t="s">
        <v>68</v>
      </c>
      <c r="H671" s="74" t="s">
        <v>655</v>
      </c>
      <c r="I671" s="43"/>
      <c r="J671" s="44" t="s">
        <v>708</v>
      </c>
      <c r="K67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1" s="115">
        <f>ROUND(Tableau17[[#This Row],[LEN]]*7.27,0)</f>
        <v>80</v>
      </c>
      <c r="M671" s="115">
        <v>15</v>
      </c>
      <c r="N671" s="132" t="str">
        <f t="shared" si="4"/>
        <v>none</v>
      </c>
      <c r="O671" s="115">
        <f>LEN(Tableau17[[#This Row],[LABEL]])</f>
        <v>11</v>
      </c>
      <c r="P671" s="115">
        <v>15</v>
      </c>
      <c r="Q671" s="115" t="e">
        <f>ROUND(Tableau17[[#This Row],[LEN]]*#REF!+#REF!,0)</f>
        <v>#REF!</v>
      </c>
    </row>
    <row r="672" spans="1:17" s="97" customFormat="1" x14ac:dyDescent="0.25">
      <c r="A672" s="45" t="s">
        <v>854</v>
      </c>
      <c r="B672" s="46" t="s">
        <v>845</v>
      </c>
      <c r="C672" s="47" t="s">
        <v>112</v>
      </c>
      <c r="D672" s="75" t="s">
        <v>1177</v>
      </c>
      <c r="E672" s="47" t="s">
        <v>667</v>
      </c>
      <c r="F672" s="47" t="s">
        <v>2006</v>
      </c>
      <c r="G672" s="75" t="s">
        <v>68</v>
      </c>
      <c r="H672" s="75" t="s">
        <v>654</v>
      </c>
      <c r="I672" s="47"/>
      <c r="J672" s="48" t="s">
        <v>708</v>
      </c>
      <c r="K67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2" s="116">
        <f>ROUND(Tableau17[[#This Row],[LEN]]*7.27,0)</f>
        <v>167</v>
      </c>
      <c r="M672" s="116">
        <v>15</v>
      </c>
      <c r="N672" s="133" t="str">
        <f t="shared" si="4"/>
        <v>none</v>
      </c>
      <c r="O672" s="116">
        <f>LEN(Tableau17[[#This Row],[LABEL]])</f>
        <v>23</v>
      </c>
      <c r="P672" s="116">
        <v>15</v>
      </c>
      <c r="Q672" s="116" t="e">
        <f>ROUND(Tableau17[[#This Row],[LEN]]*#REF!+#REF!,0)</f>
        <v>#REF!</v>
      </c>
    </row>
    <row r="673" spans="1:17" s="97" customFormat="1" x14ac:dyDescent="0.25">
      <c r="A673" s="45" t="s">
        <v>855</v>
      </c>
      <c r="B673" s="46" t="s">
        <v>845</v>
      </c>
      <c r="C673" s="47" t="s">
        <v>113</v>
      </c>
      <c r="D673" s="75" t="s">
        <v>1177</v>
      </c>
      <c r="E673" s="47" t="s">
        <v>667</v>
      </c>
      <c r="F673" s="47" t="s">
        <v>2006</v>
      </c>
      <c r="G673" s="75" t="s">
        <v>68</v>
      </c>
      <c r="H673" s="75" t="s">
        <v>654</v>
      </c>
      <c r="I673" s="47"/>
      <c r="J673" s="48" t="s">
        <v>708</v>
      </c>
      <c r="K67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3" s="116">
        <f>ROUND(Tableau17[[#This Row],[LEN]]*7.27,0)</f>
        <v>233</v>
      </c>
      <c r="M673" s="116">
        <v>15</v>
      </c>
      <c r="N673" s="133" t="str">
        <f t="shared" si="4"/>
        <v>none</v>
      </c>
      <c r="O673" s="116">
        <f>LEN(Tableau17[[#This Row],[LABEL]])</f>
        <v>32</v>
      </c>
      <c r="P673" s="116">
        <v>15</v>
      </c>
      <c r="Q673" s="116" t="e">
        <f>ROUND(Tableau17[[#This Row],[LEN]]*#REF!+#REF!,0)</f>
        <v>#REF!</v>
      </c>
    </row>
    <row r="674" spans="1:17" s="97" customFormat="1" x14ac:dyDescent="0.25">
      <c r="A674" s="41" t="s">
        <v>846</v>
      </c>
      <c r="B674" s="42" t="s">
        <v>285</v>
      </c>
      <c r="C674" s="43" t="s">
        <v>850</v>
      </c>
      <c r="D674" s="74" t="s">
        <v>1177</v>
      </c>
      <c r="E674" s="43" t="s">
        <v>663</v>
      </c>
      <c r="F674" s="43" t="s">
        <v>1177</v>
      </c>
      <c r="G674" s="74" t="s">
        <v>68</v>
      </c>
      <c r="H674" s="74" t="s">
        <v>655</v>
      </c>
      <c r="I674" s="43"/>
      <c r="J674" s="44" t="s">
        <v>708</v>
      </c>
      <c r="K67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4" s="115">
        <f>ROUND(Tableau17[[#This Row],[LEN]]*7.27,0)</f>
        <v>109</v>
      </c>
      <c r="M674" s="115">
        <v>15</v>
      </c>
      <c r="N674" s="132" t="str">
        <f t="shared" si="4"/>
        <v>none</v>
      </c>
      <c r="O674" s="115">
        <f>LEN(Tableau17[[#This Row],[LABEL]])</f>
        <v>15</v>
      </c>
      <c r="P674" s="115">
        <v>15</v>
      </c>
      <c r="Q674" s="115" t="e">
        <f>ROUND(Tableau17[[#This Row],[LEN]]*#REF!+#REF!,0)</f>
        <v>#REF!</v>
      </c>
    </row>
    <row r="675" spans="1:17" s="97" customFormat="1" x14ac:dyDescent="0.25">
      <c r="A675" s="45" t="s">
        <v>856</v>
      </c>
      <c r="B675" s="46" t="s">
        <v>846</v>
      </c>
      <c r="C675" s="47" t="s">
        <v>866</v>
      </c>
      <c r="D675" s="75" t="s">
        <v>1177</v>
      </c>
      <c r="E675" s="47" t="s">
        <v>663</v>
      </c>
      <c r="F675" s="47" t="s">
        <v>1177</v>
      </c>
      <c r="G675" s="75" t="s">
        <v>68</v>
      </c>
      <c r="H675" s="75" t="s">
        <v>18</v>
      </c>
      <c r="I675" s="47"/>
      <c r="J675" s="48" t="s">
        <v>708</v>
      </c>
      <c r="K67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5" s="116">
        <f>ROUND(Tableau17[[#This Row],[LEN]]*7.27,0)</f>
        <v>145</v>
      </c>
      <c r="M675" s="116">
        <v>15</v>
      </c>
      <c r="N675" s="133" t="str">
        <f t="shared" si="4"/>
        <v>none</v>
      </c>
      <c r="O675" s="116">
        <f>LEN(Tableau17[[#This Row],[LABEL]])</f>
        <v>20</v>
      </c>
      <c r="P675" s="116">
        <v>15</v>
      </c>
      <c r="Q675" s="116" t="e">
        <f>ROUND(Tableau17[[#This Row],[LEN]]*#REF!+#REF!,0)</f>
        <v>#REF!</v>
      </c>
    </row>
    <row r="676" spans="1:17" s="97" customFormat="1" x14ac:dyDescent="0.25">
      <c r="A676" s="45" t="s">
        <v>857</v>
      </c>
      <c r="B676" s="46" t="s">
        <v>846</v>
      </c>
      <c r="C676" s="47" t="s">
        <v>867</v>
      </c>
      <c r="D676" s="75" t="s">
        <v>1177</v>
      </c>
      <c r="E676" s="47" t="s">
        <v>663</v>
      </c>
      <c r="F676" s="47" t="s">
        <v>1177</v>
      </c>
      <c r="G676" s="75" t="s">
        <v>68</v>
      </c>
      <c r="H676" s="75" t="s">
        <v>18</v>
      </c>
      <c r="I676" s="47"/>
      <c r="J676" s="48" t="s">
        <v>708</v>
      </c>
      <c r="K67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6" s="116">
        <f>ROUND(Tableau17[[#This Row],[LEN]]*7.27,0)</f>
        <v>153</v>
      </c>
      <c r="M676" s="116">
        <v>15</v>
      </c>
      <c r="N676" s="133" t="str">
        <f t="shared" si="4"/>
        <v>none</v>
      </c>
      <c r="O676" s="116">
        <f>LEN(Tableau17[[#This Row],[LABEL]])</f>
        <v>21</v>
      </c>
      <c r="P676" s="116">
        <v>15</v>
      </c>
      <c r="Q676" s="116" t="e">
        <f>ROUND(Tableau17[[#This Row],[LEN]]*#REF!+#REF!,0)</f>
        <v>#REF!</v>
      </c>
    </row>
    <row r="677" spans="1:17" s="97" customFormat="1" x14ac:dyDescent="0.25">
      <c r="A677" s="45" t="s">
        <v>858</v>
      </c>
      <c r="B677" s="46" t="s">
        <v>846</v>
      </c>
      <c r="C677" s="47" t="s">
        <v>868</v>
      </c>
      <c r="D677" s="75" t="s">
        <v>1177</v>
      </c>
      <c r="E677" s="47" t="s">
        <v>663</v>
      </c>
      <c r="F677" s="47" t="s">
        <v>1177</v>
      </c>
      <c r="G677" s="75" t="s">
        <v>68</v>
      </c>
      <c r="H677" s="75" t="s">
        <v>18</v>
      </c>
      <c r="I677" s="47"/>
      <c r="J677" s="48" t="s">
        <v>708</v>
      </c>
      <c r="K67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7" s="116">
        <f>ROUND(Tableau17[[#This Row],[LEN]]*7.27,0)</f>
        <v>87</v>
      </c>
      <c r="M677" s="116">
        <v>15</v>
      </c>
      <c r="N677" s="133" t="str">
        <f t="shared" si="4"/>
        <v>none</v>
      </c>
      <c r="O677" s="116">
        <f>LEN(Tableau17[[#This Row],[LABEL]])</f>
        <v>12</v>
      </c>
      <c r="P677" s="116">
        <v>15</v>
      </c>
      <c r="Q677" s="116" t="e">
        <f>ROUND(Tableau17[[#This Row],[LEN]]*#REF!+#REF!,0)</f>
        <v>#REF!</v>
      </c>
    </row>
    <row r="678" spans="1:17" s="97" customFormat="1" x14ac:dyDescent="0.25">
      <c r="A678" s="45" t="s">
        <v>859</v>
      </c>
      <c r="B678" s="46" t="s">
        <v>846</v>
      </c>
      <c r="C678" s="47" t="s">
        <v>869</v>
      </c>
      <c r="D678" s="75" t="s">
        <v>1177</v>
      </c>
      <c r="E678" s="47" t="s">
        <v>663</v>
      </c>
      <c r="F678" s="47" t="s">
        <v>1177</v>
      </c>
      <c r="G678" s="75" t="s">
        <v>68</v>
      </c>
      <c r="H678" s="75" t="s">
        <v>18</v>
      </c>
      <c r="I678" s="47"/>
      <c r="J678" s="48" t="s">
        <v>708</v>
      </c>
      <c r="K67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8" s="116">
        <f>ROUND(Tableau17[[#This Row],[LEN]]*7.27,0)</f>
        <v>145</v>
      </c>
      <c r="M678" s="116">
        <v>15</v>
      </c>
      <c r="N678" s="133" t="str">
        <f t="shared" si="4"/>
        <v>none</v>
      </c>
      <c r="O678" s="116">
        <f>LEN(Tableau17[[#This Row],[LABEL]])</f>
        <v>20</v>
      </c>
      <c r="P678" s="116">
        <v>15</v>
      </c>
      <c r="Q678" s="116" t="e">
        <f>ROUND(Tableau17[[#This Row],[LEN]]*#REF!+#REF!,0)</f>
        <v>#REF!</v>
      </c>
    </row>
    <row r="679" spans="1:17" s="97" customFormat="1" x14ac:dyDescent="0.25">
      <c r="A679" s="41" t="s">
        <v>847</v>
      </c>
      <c r="B679" s="42" t="s">
        <v>285</v>
      </c>
      <c r="C679" s="43" t="s">
        <v>851</v>
      </c>
      <c r="D679" s="74" t="s">
        <v>1177</v>
      </c>
      <c r="E679" s="43" t="s">
        <v>663</v>
      </c>
      <c r="F679" s="43" t="s">
        <v>1177</v>
      </c>
      <c r="G679" s="74" t="s">
        <v>68</v>
      </c>
      <c r="H679" s="74" t="s">
        <v>655</v>
      </c>
      <c r="I679" s="43"/>
      <c r="J679" s="44" t="s">
        <v>708</v>
      </c>
      <c r="K67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79" s="115">
        <f>ROUND(Tableau17[[#This Row],[LEN]]*7.27,0)</f>
        <v>124</v>
      </c>
      <c r="M679" s="115">
        <v>15</v>
      </c>
      <c r="N679" s="132" t="str">
        <f t="shared" si="4"/>
        <v>none</v>
      </c>
      <c r="O679" s="115">
        <f>LEN(Tableau17[[#This Row],[LABEL]])</f>
        <v>17</v>
      </c>
      <c r="P679" s="115">
        <v>15</v>
      </c>
      <c r="Q679" s="115" t="e">
        <f>ROUND(Tableau17[[#This Row],[LEN]]*#REF!+#REF!,0)</f>
        <v>#REF!</v>
      </c>
    </row>
    <row r="680" spans="1:17" s="97" customFormat="1" x14ac:dyDescent="0.25">
      <c r="A680" s="45" t="s">
        <v>860</v>
      </c>
      <c r="B680" s="46" t="s">
        <v>847</v>
      </c>
      <c r="C680" s="47" t="s">
        <v>870</v>
      </c>
      <c r="D680" s="75" t="s">
        <v>1177</v>
      </c>
      <c r="E680" s="47" t="s">
        <v>663</v>
      </c>
      <c r="F680" s="47" t="s">
        <v>1177</v>
      </c>
      <c r="G680" s="75" t="s">
        <v>68</v>
      </c>
      <c r="H680" s="75" t="s">
        <v>18</v>
      </c>
      <c r="I680" s="47"/>
      <c r="J680" s="48" t="s">
        <v>708</v>
      </c>
      <c r="K68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0" s="116">
        <f>ROUND(Tableau17[[#This Row],[LEN]]*7.27,0)</f>
        <v>65</v>
      </c>
      <c r="M680" s="116">
        <v>15</v>
      </c>
      <c r="N680" s="133" t="str">
        <f t="shared" si="4"/>
        <v>none</v>
      </c>
      <c r="O680" s="116">
        <f>LEN(Tableau17[[#This Row],[LABEL]])</f>
        <v>9</v>
      </c>
      <c r="P680" s="116">
        <v>15</v>
      </c>
      <c r="Q680" s="116" t="e">
        <f>ROUND(Tableau17[[#This Row],[LEN]]*#REF!+#REF!,0)</f>
        <v>#REF!</v>
      </c>
    </row>
    <row r="681" spans="1:17" s="97" customFormat="1" x14ac:dyDescent="0.25">
      <c r="A681" s="45" t="s">
        <v>861</v>
      </c>
      <c r="B681" s="46" t="s">
        <v>847</v>
      </c>
      <c r="C681" s="47" t="s">
        <v>871</v>
      </c>
      <c r="D681" s="75" t="s">
        <v>1177</v>
      </c>
      <c r="E681" s="47" t="s">
        <v>663</v>
      </c>
      <c r="F681" s="47" t="s">
        <v>1177</v>
      </c>
      <c r="G681" s="75" t="s">
        <v>68</v>
      </c>
      <c r="H681" s="75" t="s">
        <v>18</v>
      </c>
      <c r="I681" s="47"/>
      <c r="J681" s="48" t="s">
        <v>708</v>
      </c>
      <c r="K68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1" s="116">
        <f>ROUND(Tableau17[[#This Row],[LEN]]*7.27,0)</f>
        <v>116</v>
      </c>
      <c r="M681" s="116">
        <v>15</v>
      </c>
      <c r="N681" s="133" t="str">
        <f t="shared" si="4"/>
        <v>none</v>
      </c>
      <c r="O681" s="116">
        <f>LEN(Tableau17[[#This Row],[LABEL]])</f>
        <v>16</v>
      </c>
      <c r="P681" s="116">
        <v>15</v>
      </c>
      <c r="Q681" s="116" t="e">
        <f>ROUND(Tableau17[[#This Row],[LEN]]*#REF!+#REF!,0)</f>
        <v>#REF!</v>
      </c>
    </row>
    <row r="682" spans="1:17" s="97" customFormat="1" x14ac:dyDescent="0.25">
      <c r="A682" s="45" t="s">
        <v>862</v>
      </c>
      <c r="B682" s="46" t="s">
        <v>847</v>
      </c>
      <c r="C682" s="47" t="s">
        <v>872</v>
      </c>
      <c r="D682" s="75" t="s">
        <v>1177</v>
      </c>
      <c r="E682" s="47" t="s">
        <v>663</v>
      </c>
      <c r="F682" s="47" t="s">
        <v>1177</v>
      </c>
      <c r="G682" s="75" t="s">
        <v>68</v>
      </c>
      <c r="H682" s="75" t="s">
        <v>18</v>
      </c>
      <c r="I682" s="47"/>
      <c r="J682" s="48" t="s">
        <v>708</v>
      </c>
      <c r="K68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2" s="116">
        <f>ROUND(Tableau17[[#This Row],[LEN]]*7.27,0)</f>
        <v>145</v>
      </c>
      <c r="M682" s="116">
        <v>15</v>
      </c>
      <c r="N682" s="133" t="str">
        <f t="shared" si="4"/>
        <v>none</v>
      </c>
      <c r="O682" s="116">
        <f>LEN(Tableau17[[#This Row],[LABEL]])</f>
        <v>20</v>
      </c>
      <c r="P682" s="116">
        <v>15</v>
      </c>
      <c r="Q682" s="116" t="e">
        <f>ROUND(Tableau17[[#This Row],[LEN]]*#REF!+#REF!,0)</f>
        <v>#REF!</v>
      </c>
    </row>
    <row r="683" spans="1:17" s="97" customFormat="1" x14ac:dyDescent="0.25">
      <c r="A683" s="45" t="s">
        <v>863</v>
      </c>
      <c r="B683" s="46" t="s">
        <v>847</v>
      </c>
      <c r="C683" s="47" t="s">
        <v>873</v>
      </c>
      <c r="D683" s="75" t="s">
        <v>1177</v>
      </c>
      <c r="E683" s="47" t="s">
        <v>663</v>
      </c>
      <c r="F683" s="47" t="s">
        <v>1177</v>
      </c>
      <c r="G683" s="75" t="s">
        <v>68</v>
      </c>
      <c r="H683" s="75" t="s">
        <v>18</v>
      </c>
      <c r="I683" s="47"/>
      <c r="J683" s="48" t="s">
        <v>708</v>
      </c>
      <c r="K68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3" s="116">
        <f>ROUND(Tableau17[[#This Row],[LEN]]*7.27,0)</f>
        <v>116</v>
      </c>
      <c r="M683" s="116">
        <v>15</v>
      </c>
      <c r="N683" s="133" t="str">
        <f t="shared" si="4"/>
        <v>none</v>
      </c>
      <c r="O683" s="116">
        <f>LEN(Tableau17[[#This Row],[LABEL]])</f>
        <v>16</v>
      </c>
      <c r="P683" s="116">
        <v>15</v>
      </c>
      <c r="Q683" s="116" t="e">
        <f>ROUND(Tableau17[[#This Row],[LEN]]*#REF!+#REF!,0)</f>
        <v>#REF!</v>
      </c>
    </row>
    <row r="684" spans="1:17" s="273" customFormat="1" x14ac:dyDescent="0.25">
      <c r="A684" s="330" t="s">
        <v>286</v>
      </c>
      <c r="B684" s="331" t="s">
        <v>208</v>
      </c>
      <c r="C684" s="332" t="s">
        <v>2</v>
      </c>
      <c r="D684" s="333" t="s">
        <v>1177</v>
      </c>
      <c r="E684" s="332" t="s">
        <v>662</v>
      </c>
      <c r="F684" s="332" t="s">
        <v>1177</v>
      </c>
      <c r="G684" s="333" t="s">
        <v>68</v>
      </c>
      <c r="H684" s="333" t="str">
        <f>IFERROR(IF(SEARCH(".00.00.00.00.00",Tableau17[[#This Row],[name]],1)=7,"Division",""),"")</f>
        <v>Division</v>
      </c>
      <c r="I684" s="332"/>
      <c r="J684" s="334" t="s">
        <v>708</v>
      </c>
      <c r="K684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84" s="335">
        <f>ROUND(Tableau17[[#This Row],[LEN]]*7.27,0)</f>
        <v>65</v>
      </c>
      <c r="M684" s="335">
        <v>15</v>
      </c>
      <c r="N684" s="336" t="str">
        <f t="shared" si="4"/>
        <v>none</v>
      </c>
      <c r="O684" s="335">
        <f>LEN(Tableau17[[#This Row],[LABEL]])</f>
        <v>9</v>
      </c>
      <c r="P684" s="335">
        <v>15</v>
      </c>
      <c r="Q684" s="335" t="e">
        <f>ROUND(Tableau17[[#This Row],[LEN]]*#REF!+#REF!,0)</f>
        <v>#REF!</v>
      </c>
    </row>
    <row r="685" spans="1:17" s="97" customFormat="1" x14ac:dyDescent="0.25">
      <c r="A685" s="41" t="s">
        <v>737</v>
      </c>
      <c r="B685" s="42" t="s">
        <v>286</v>
      </c>
      <c r="C685" s="43" t="s">
        <v>738</v>
      </c>
      <c r="D685" s="74" t="s">
        <v>1177</v>
      </c>
      <c r="E685" s="43" t="s">
        <v>662</v>
      </c>
      <c r="F685" s="43" t="s">
        <v>667</v>
      </c>
      <c r="G685" s="74" t="s">
        <v>68</v>
      </c>
      <c r="H685" s="74" t="s">
        <v>56</v>
      </c>
      <c r="I685" s="43"/>
      <c r="J685" s="44" t="s">
        <v>708</v>
      </c>
      <c r="K685" s="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85" s="115">
        <f>ROUND(Tableau17[[#This Row],[LEN]]*7.27,0)</f>
        <v>247</v>
      </c>
      <c r="M685" s="115">
        <v>15</v>
      </c>
      <c r="N685" s="132" t="str">
        <f t="shared" si="4"/>
        <v>none</v>
      </c>
      <c r="O685" s="115">
        <f>LEN(Tableau17[[#This Row],[LABEL]])</f>
        <v>34</v>
      </c>
      <c r="P685" s="115">
        <v>15</v>
      </c>
      <c r="Q685" s="115" t="e">
        <f>ROUND(Tableau17[[#This Row],[LEN]]*#REF!+#REF!,0)</f>
        <v>#REF!</v>
      </c>
    </row>
    <row r="686" spans="1:17" s="273" customFormat="1" x14ac:dyDescent="0.25">
      <c r="A686" s="330" t="s">
        <v>287</v>
      </c>
      <c r="B686" s="331" t="s">
        <v>208</v>
      </c>
      <c r="C686" s="332" t="s">
        <v>3</v>
      </c>
      <c r="D686" s="333" t="s">
        <v>1177</v>
      </c>
      <c r="E686" s="332" t="s">
        <v>661</v>
      </c>
      <c r="F686" s="332" t="s">
        <v>1177</v>
      </c>
      <c r="G686" s="333" t="s">
        <v>68</v>
      </c>
      <c r="H686" s="333" t="str">
        <f>IFERROR(IF(SEARCH(".00.00.00.00.00",Tableau17[[#This Row],[name]],1)=7,"Division",""),"")</f>
        <v>Division</v>
      </c>
      <c r="I686" s="332"/>
      <c r="J686" s="334" t="s">
        <v>708</v>
      </c>
      <c r="K686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686" s="335">
        <f>ROUND(Tableau17[[#This Row],[LEN]]*7.27,0)</f>
        <v>73</v>
      </c>
      <c r="M686" s="335">
        <v>15</v>
      </c>
      <c r="N686" s="336" t="str">
        <f t="shared" si="4"/>
        <v>none</v>
      </c>
      <c r="O686" s="335">
        <f>LEN(Tableau17[[#This Row],[LABEL]])</f>
        <v>10</v>
      </c>
      <c r="P686" s="335">
        <v>15</v>
      </c>
      <c r="Q686" s="335" t="e">
        <f>ROUND(Tableau17[[#This Row],[LEN]]*#REF!+#REF!,0)</f>
        <v>#REF!</v>
      </c>
    </row>
    <row r="687" spans="1:17" s="97" customFormat="1" x14ac:dyDescent="0.25">
      <c r="A687" s="41" t="s">
        <v>443</v>
      </c>
      <c r="B687" s="42" t="s">
        <v>287</v>
      </c>
      <c r="C687" s="43" t="s">
        <v>75</v>
      </c>
      <c r="D687" s="74" t="s">
        <v>1177</v>
      </c>
      <c r="E687" s="43" t="s">
        <v>661</v>
      </c>
      <c r="F687" s="43" t="s">
        <v>666</v>
      </c>
      <c r="G687" s="74" t="s">
        <v>68</v>
      </c>
      <c r="H687" s="74" t="s">
        <v>655</v>
      </c>
      <c r="I687" s="43"/>
      <c r="J687" s="44" t="s">
        <v>708</v>
      </c>
      <c r="K68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7" s="115">
        <f>ROUND(Tableau17[[#This Row],[LEN]]*7.27,0)</f>
        <v>262</v>
      </c>
      <c r="M687" s="115">
        <v>15</v>
      </c>
      <c r="N687" s="132" t="str">
        <f t="shared" si="4"/>
        <v>none</v>
      </c>
      <c r="O687" s="115">
        <f>LEN(Tableau17[[#This Row],[LABEL]])</f>
        <v>36</v>
      </c>
      <c r="P687" s="115">
        <v>15</v>
      </c>
      <c r="Q687" s="115" t="e">
        <f>ROUND(Tableau17[[#This Row],[LEN]]*#REF!+#REF!,0)</f>
        <v>#REF!</v>
      </c>
    </row>
    <row r="688" spans="1:17" s="97" customFormat="1" x14ac:dyDescent="0.25">
      <c r="A688" s="45" t="s">
        <v>453</v>
      </c>
      <c r="B688" s="46" t="s">
        <v>443</v>
      </c>
      <c r="C688" s="47" t="s">
        <v>115</v>
      </c>
      <c r="D688" s="75" t="s">
        <v>1177</v>
      </c>
      <c r="E688" s="47" t="s">
        <v>661</v>
      </c>
      <c r="F688" s="47" t="s">
        <v>666</v>
      </c>
      <c r="G688" s="75" t="s">
        <v>68</v>
      </c>
      <c r="H688" s="75" t="s">
        <v>656</v>
      </c>
      <c r="I688" s="47"/>
      <c r="J688" s="48" t="s">
        <v>708</v>
      </c>
      <c r="K68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8" s="116">
        <f>ROUND(Tableau17[[#This Row],[LEN]]*7.27,0)</f>
        <v>291</v>
      </c>
      <c r="M688" s="116">
        <v>15</v>
      </c>
      <c r="N688" s="133" t="str">
        <f t="shared" si="4"/>
        <v>none</v>
      </c>
      <c r="O688" s="116">
        <f>LEN(Tableau17[[#This Row],[LABEL]])</f>
        <v>40</v>
      </c>
      <c r="P688" s="116">
        <v>15</v>
      </c>
      <c r="Q688" s="116" t="e">
        <f>ROUND(Tableau17[[#This Row],[LEN]]*#REF!+#REF!,0)</f>
        <v>#REF!</v>
      </c>
    </row>
    <row r="689" spans="1:17" s="97" customFormat="1" x14ac:dyDescent="0.25">
      <c r="A689" s="45" t="s">
        <v>454</v>
      </c>
      <c r="B689" s="46" t="s">
        <v>443</v>
      </c>
      <c r="C689" s="47" t="s">
        <v>116</v>
      </c>
      <c r="D689" s="75" t="s">
        <v>1177</v>
      </c>
      <c r="E689" s="47" t="s">
        <v>661</v>
      </c>
      <c r="F689" s="47" t="s">
        <v>666</v>
      </c>
      <c r="G689" s="75" t="s">
        <v>68</v>
      </c>
      <c r="H689" s="75" t="s">
        <v>656</v>
      </c>
      <c r="I689" s="47"/>
      <c r="J689" s="48" t="s">
        <v>708</v>
      </c>
      <c r="K68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89" s="116">
        <f>ROUND(Tableau17[[#This Row],[LEN]]*7.27,0)</f>
        <v>313</v>
      </c>
      <c r="M689" s="116">
        <v>15</v>
      </c>
      <c r="N689" s="133" t="str">
        <f t="shared" si="4"/>
        <v>none</v>
      </c>
      <c r="O689" s="116">
        <f>LEN(Tableau17[[#This Row],[LABEL]])</f>
        <v>43</v>
      </c>
      <c r="P689" s="116">
        <v>15</v>
      </c>
      <c r="Q689" s="116" t="e">
        <f>ROUND(Tableau17[[#This Row],[LEN]]*#REF!+#REF!,0)</f>
        <v>#REF!</v>
      </c>
    </row>
    <row r="690" spans="1:17" s="97" customFormat="1" x14ac:dyDescent="0.25">
      <c r="A690" s="45" t="s">
        <v>455</v>
      </c>
      <c r="B690" s="46" t="s">
        <v>443</v>
      </c>
      <c r="C690" s="47" t="s">
        <v>117</v>
      </c>
      <c r="D690" s="75" t="s">
        <v>1177</v>
      </c>
      <c r="E690" s="47" t="s">
        <v>661</v>
      </c>
      <c r="F690" s="47" t="s">
        <v>666</v>
      </c>
      <c r="G690" s="75" t="s">
        <v>68</v>
      </c>
      <c r="H690" s="75" t="s">
        <v>656</v>
      </c>
      <c r="I690" s="47"/>
      <c r="J690" s="48" t="s">
        <v>708</v>
      </c>
      <c r="K69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0" s="116">
        <f>ROUND(Tableau17[[#This Row],[LEN]]*7.27,0)</f>
        <v>225</v>
      </c>
      <c r="M690" s="116">
        <v>15</v>
      </c>
      <c r="N690" s="133" t="str">
        <f t="shared" si="4"/>
        <v>none</v>
      </c>
      <c r="O690" s="116">
        <f>LEN(Tableau17[[#This Row],[LABEL]])</f>
        <v>31</v>
      </c>
      <c r="P690" s="116">
        <v>15</v>
      </c>
      <c r="Q690" s="116" t="e">
        <f>ROUND(Tableau17[[#This Row],[LEN]]*#REF!+#REF!,0)</f>
        <v>#REF!</v>
      </c>
    </row>
    <row r="691" spans="1:17" s="97" customFormat="1" x14ac:dyDescent="0.25">
      <c r="A691" s="41" t="s">
        <v>444</v>
      </c>
      <c r="B691" s="42" t="s">
        <v>287</v>
      </c>
      <c r="C691" s="43" t="s">
        <v>512</v>
      </c>
      <c r="D691" s="74" t="s">
        <v>1177</v>
      </c>
      <c r="E691" s="43" t="s">
        <v>667</v>
      </c>
      <c r="F691" s="43" t="s">
        <v>661</v>
      </c>
      <c r="G691" s="74" t="s">
        <v>68</v>
      </c>
      <c r="H691" s="74" t="s">
        <v>655</v>
      </c>
      <c r="I691" s="43"/>
      <c r="J691" s="44" t="s">
        <v>708</v>
      </c>
      <c r="K69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1" s="115">
        <f>ROUND(Tableau17[[#This Row],[LEN]]*7.27,0)</f>
        <v>80</v>
      </c>
      <c r="M691" s="115">
        <v>15</v>
      </c>
      <c r="N691" s="132" t="str">
        <f t="shared" si="4"/>
        <v>none</v>
      </c>
      <c r="O691" s="115">
        <f>LEN(Tableau17[[#This Row],[LABEL]])</f>
        <v>11</v>
      </c>
      <c r="P691" s="115">
        <v>15</v>
      </c>
      <c r="Q691" s="115" t="e">
        <f>ROUND(Tableau17[[#This Row],[LEN]]*#REF!+#REF!,0)</f>
        <v>#REF!</v>
      </c>
    </row>
    <row r="692" spans="1:17" s="97" customFormat="1" x14ac:dyDescent="0.25">
      <c r="A692" s="45" t="s">
        <v>456</v>
      </c>
      <c r="B692" s="46" t="s">
        <v>444</v>
      </c>
      <c r="C692" s="47" t="s">
        <v>112</v>
      </c>
      <c r="D692" s="75" t="s">
        <v>1177</v>
      </c>
      <c r="E692" s="47" t="s">
        <v>667</v>
      </c>
      <c r="F692" s="47" t="s">
        <v>2006</v>
      </c>
      <c r="G692" s="75" t="s">
        <v>68</v>
      </c>
      <c r="H692" s="75" t="s">
        <v>654</v>
      </c>
      <c r="I692" s="47"/>
      <c r="J692" s="48" t="s">
        <v>708</v>
      </c>
      <c r="K69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2" s="116">
        <f>ROUND(Tableau17[[#This Row],[LEN]]*7.27,0)</f>
        <v>167</v>
      </c>
      <c r="M692" s="116">
        <v>15</v>
      </c>
      <c r="N692" s="133" t="str">
        <f t="shared" si="4"/>
        <v>none</v>
      </c>
      <c r="O692" s="116">
        <f>LEN(Tableau17[[#This Row],[LABEL]])</f>
        <v>23</v>
      </c>
      <c r="P692" s="116">
        <v>15</v>
      </c>
      <c r="Q692" s="116" t="e">
        <f>ROUND(Tableau17[[#This Row],[LEN]]*#REF!+#REF!,0)</f>
        <v>#REF!</v>
      </c>
    </row>
    <row r="693" spans="1:17" s="97" customFormat="1" x14ac:dyDescent="0.25">
      <c r="A693" s="45" t="s">
        <v>457</v>
      </c>
      <c r="B693" s="46" t="s">
        <v>444</v>
      </c>
      <c r="C693" s="47" t="s">
        <v>113</v>
      </c>
      <c r="D693" s="75" t="s">
        <v>1177</v>
      </c>
      <c r="E693" s="47" t="s">
        <v>667</v>
      </c>
      <c r="F693" s="47" t="s">
        <v>2006</v>
      </c>
      <c r="G693" s="75" t="s">
        <v>68</v>
      </c>
      <c r="H693" s="75" t="s">
        <v>654</v>
      </c>
      <c r="I693" s="47"/>
      <c r="J693" s="48" t="s">
        <v>708</v>
      </c>
      <c r="K69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3" s="116">
        <f>ROUND(Tableau17[[#This Row],[LEN]]*7.27,0)</f>
        <v>233</v>
      </c>
      <c r="M693" s="116">
        <v>15</v>
      </c>
      <c r="N693" s="133" t="str">
        <f t="shared" si="4"/>
        <v>none</v>
      </c>
      <c r="O693" s="116">
        <f>LEN(Tableau17[[#This Row],[LABEL]])</f>
        <v>32</v>
      </c>
      <c r="P693" s="116">
        <v>15</v>
      </c>
      <c r="Q693" s="116" t="e">
        <f>ROUND(Tableau17[[#This Row],[LEN]]*#REF!+#REF!,0)</f>
        <v>#REF!</v>
      </c>
    </row>
    <row r="694" spans="1:17" s="97" customFormat="1" x14ac:dyDescent="0.25">
      <c r="A694" s="41" t="s">
        <v>445</v>
      </c>
      <c r="B694" s="42" t="s">
        <v>287</v>
      </c>
      <c r="C694" s="43" t="s">
        <v>849</v>
      </c>
      <c r="D694" s="74" t="s">
        <v>1177</v>
      </c>
      <c r="E694" s="43" t="s">
        <v>667</v>
      </c>
      <c r="F694" s="43" t="s">
        <v>840</v>
      </c>
      <c r="G694" s="74" t="s">
        <v>68</v>
      </c>
      <c r="H694" s="74" t="s">
        <v>655</v>
      </c>
      <c r="I694" s="43"/>
      <c r="J694" s="44" t="s">
        <v>708</v>
      </c>
      <c r="K69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4" s="115">
        <f>ROUND(Tableau17[[#This Row],[LEN]]*7.27,0)</f>
        <v>80</v>
      </c>
      <c r="M694" s="115">
        <v>15</v>
      </c>
      <c r="N694" s="132" t="str">
        <f t="shared" si="4"/>
        <v>none</v>
      </c>
      <c r="O694" s="115">
        <f>LEN(Tableau17[[#This Row],[LABEL]])</f>
        <v>11</v>
      </c>
      <c r="P694" s="115">
        <v>15</v>
      </c>
      <c r="Q694" s="115" t="e">
        <f>ROUND(Tableau17[[#This Row],[LEN]]*#REF!+#REF!,0)</f>
        <v>#REF!</v>
      </c>
    </row>
    <row r="695" spans="1:17" s="97" customFormat="1" x14ac:dyDescent="0.25">
      <c r="A695" s="41" t="s">
        <v>446</v>
      </c>
      <c r="B695" s="42" t="s">
        <v>287</v>
      </c>
      <c r="C695" s="43" t="s">
        <v>1516</v>
      </c>
      <c r="D695" s="74" t="s">
        <v>1177</v>
      </c>
      <c r="E695" s="43" t="s">
        <v>661</v>
      </c>
      <c r="F695" s="43" t="s">
        <v>666</v>
      </c>
      <c r="G695" s="74" t="s">
        <v>68</v>
      </c>
      <c r="H695" s="74" t="s">
        <v>655</v>
      </c>
      <c r="I695" s="43"/>
      <c r="J695" s="44" t="s">
        <v>708</v>
      </c>
      <c r="K69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5" s="115">
        <f>ROUND(Tableau17[[#This Row],[LEN]]*7.27,0)</f>
        <v>305</v>
      </c>
      <c r="M695" s="115">
        <v>15</v>
      </c>
      <c r="N695" s="132" t="str">
        <f t="shared" si="4"/>
        <v>none</v>
      </c>
      <c r="O695" s="115">
        <f>LEN(Tableau17[[#This Row],[LABEL]])</f>
        <v>42</v>
      </c>
      <c r="P695" s="115">
        <v>15</v>
      </c>
      <c r="Q695" s="115" t="e">
        <f>ROUND(Tableau17[[#This Row],[LEN]]*#REF!+#REF!,0)</f>
        <v>#REF!</v>
      </c>
    </row>
    <row r="696" spans="1:17" s="97" customFormat="1" x14ac:dyDescent="0.25">
      <c r="A696" s="45" t="s">
        <v>458</v>
      </c>
      <c r="B696" s="46" t="s">
        <v>446</v>
      </c>
      <c r="C696" s="47" t="s">
        <v>118</v>
      </c>
      <c r="D696" s="75" t="s">
        <v>1177</v>
      </c>
      <c r="E696" s="47" t="s">
        <v>661</v>
      </c>
      <c r="F696" s="47" t="s">
        <v>666</v>
      </c>
      <c r="G696" s="75" t="s">
        <v>68</v>
      </c>
      <c r="H696" s="75" t="s">
        <v>18</v>
      </c>
      <c r="I696" s="47"/>
      <c r="J696" s="48" t="s">
        <v>708</v>
      </c>
      <c r="K69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6" s="116">
        <f>ROUND(Tableau17[[#This Row],[LEN]]*7.27,0)</f>
        <v>204</v>
      </c>
      <c r="M696" s="116">
        <v>15</v>
      </c>
      <c r="N696" s="133" t="str">
        <f t="shared" si="4"/>
        <v>none</v>
      </c>
      <c r="O696" s="116">
        <f>LEN(Tableau17[[#This Row],[LABEL]])</f>
        <v>28</v>
      </c>
      <c r="P696" s="116">
        <v>15</v>
      </c>
      <c r="Q696" s="116" t="e">
        <f>ROUND(Tableau17[[#This Row],[LEN]]*#REF!+#REF!,0)</f>
        <v>#REF!</v>
      </c>
    </row>
    <row r="697" spans="1:17" s="97" customFormat="1" x14ac:dyDescent="0.25">
      <c r="A697" s="45" t="s">
        <v>459</v>
      </c>
      <c r="B697" s="46" t="s">
        <v>446</v>
      </c>
      <c r="C697" s="47" t="s">
        <v>119</v>
      </c>
      <c r="D697" s="75" t="s">
        <v>1177</v>
      </c>
      <c r="E697" s="47" t="s">
        <v>661</v>
      </c>
      <c r="F697" s="47" t="s">
        <v>666</v>
      </c>
      <c r="G697" s="75" t="s">
        <v>68</v>
      </c>
      <c r="H697" s="75" t="s">
        <v>18</v>
      </c>
      <c r="I697" s="47"/>
      <c r="J697" s="48" t="s">
        <v>708</v>
      </c>
      <c r="K69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7" s="116">
        <f>ROUND(Tableau17[[#This Row],[LEN]]*7.27,0)</f>
        <v>218</v>
      </c>
      <c r="M697" s="116">
        <v>15</v>
      </c>
      <c r="N697" s="133" t="str">
        <f t="shared" si="4"/>
        <v>none</v>
      </c>
      <c r="O697" s="116">
        <f>LEN(Tableau17[[#This Row],[LABEL]])</f>
        <v>30</v>
      </c>
      <c r="P697" s="116">
        <v>15</v>
      </c>
      <c r="Q697" s="116" t="e">
        <f>ROUND(Tableau17[[#This Row],[LEN]]*#REF!+#REF!,0)</f>
        <v>#REF!</v>
      </c>
    </row>
    <row r="698" spans="1:17" s="97" customFormat="1" x14ac:dyDescent="0.25">
      <c r="A698" s="45" t="s">
        <v>460</v>
      </c>
      <c r="B698" s="46" t="s">
        <v>446</v>
      </c>
      <c r="C698" s="47" t="s">
        <v>120</v>
      </c>
      <c r="D698" s="75" t="s">
        <v>1177</v>
      </c>
      <c r="E698" s="47" t="s">
        <v>661</v>
      </c>
      <c r="F698" s="47" t="s">
        <v>666</v>
      </c>
      <c r="G698" s="75" t="s">
        <v>68</v>
      </c>
      <c r="H698" s="75" t="s">
        <v>18</v>
      </c>
      <c r="I698" s="47"/>
      <c r="J698" s="48" t="s">
        <v>708</v>
      </c>
      <c r="K69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8" s="116">
        <f>ROUND(Tableau17[[#This Row],[LEN]]*7.27,0)</f>
        <v>131</v>
      </c>
      <c r="M698" s="116">
        <v>15</v>
      </c>
      <c r="N698" s="133" t="str">
        <f t="shared" ref="N698:N888" si="5">IF(J698="javascript:void(0)","none","new")</f>
        <v>none</v>
      </c>
      <c r="O698" s="116">
        <f>LEN(Tableau17[[#This Row],[LABEL]])</f>
        <v>18</v>
      </c>
      <c r="P698" s="116">
        <v>15</v>
      </c>
      <c r="Q698" s="116" t="e">
        <f>ROUND(Tableau17[[#This Row],[LEN]]*#REF!+#REF!,0)</f>
        <v>#REF!</v>
      </c>
    </row>
    <row r="699" spans="1:17" s="97" customFormat="1" x14ac:dyDescent="0.25">
      <c r="A699" s="45" t="s">
        <v>461</v>
      </c>
      <c r="B699" s="46" t="s">
        <v>446</v>
      </c>
      <c r="C699" s="47" t="s">
        <v>121</v>
      </c>
      <c r="D699" s="75" t="s">
        <v>1177</v>
      </c>
      <c r="E699" s="47" t="s">
        <v>661</v>
      </c>
      <c r="F699" s="47" t="s">
        <v>666</v>
      </c>
      <c r="G699" s="75" t="s">
        <v>68</v>
      </c>
      <c r="H699" s="75" t="s">
        <v>18</v>
      </c>
      <c r="I699" s="47"/>
      <c r="J699" s="48" t="s">
        <v>708</v>
      </c>
      <c r="K69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699" s="116">
        <f>ROUND(Tableau17[[#This Row],[LEN]]*7.27,0)</f>
        <v>174</v>
      </c>
      <c r="M699" s="116">
        <v>15</v>
      </c>
      <c r="N699" s="133" t="str">
        <f t="shared" si="5"/>
        <v>none</v>
      </c>
      <c r="O699" s="116">
        <f>LEN(Tableau17[[#This Row],[LABEL]])</f>
        <v>24</v>
      </c>
      <c r="P699" s="116">
        <v>15</v>
      </c>
      <c r="Q699" s="116" t="e">
        <f>ROUND(Tableau17[[#This Row],[LEN]]*#REF!+#REF!,0)</f>
        <v>#REF!</v>
      </c>
    </row>
    <row r="700" spans="1:17" s="97" customFormat="1" x14ac:dyDescent="0.25">
      <c r="A700" s="41" t="s">
        <v>447</v>
      </c>
      <c r="B700" s="42" t="s">
        <v>287</v>
      </c>
      <c r="C700" s="43" t="s">
        <v>122</v>
      </c>
      <c r="D700" s="74" t="s">
        <v>1514</v>
      </c>
      <c r="E700" s="43" t="s">
        <v>667</v>
      </c>
      <c r="F700" s="43" t="s">
        <v>2084</v>
      </c>
      <c r="G700" s="74" t="s">
        <v>68</v>
      </c>
      <c r="H700" s="74" t="s">
        <v>656</v>
      </c>
      <c r="I700" s="43"/>
      <c r="J700" s="44" t="s">
        <v>708</v>
      </c>
      <c r="K70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0" s="115">
        <f>ROUND(Tableau17[[#This Row],[LEN]]*7.27,0)</f>
        <v>145</v>
      </c>
      <c r="M700" s="115">
        <v>15</v>
      </c>
      <c r="N700" s="132" t="str">
        <f t="shared" si="5"/>
        <v>none</v>
      </c>
      <c r="O700" s="115">
        <f>LEN(Tableau17[[#This Row],[LABEL]])</f>
        <v>20</v>
      </c>
      <c r="P700" s="115">
        <v>15</v>
      </c>
      <c r="Q700" s="115" t="e">
        <f>ROUND(Tableau17[[#This Row],[LEN]]*#REF!+#REF!,0)</f>
        <v>#REF!</v>
      </c>
    </row>
    <row r="701" spans="1:17" s="97" customFormat="1" x14ac:dyDescent="0.25">
      <c r="A701" s="41" t="s">
        <v>448</v>
      </c>
      <c r="B701" s="42" t="s">
        <v>287</v>
      </c>
      <c r="C701" s="43" t="s">
        <v>538</v>
      </c>
      <c r="D701" s="74" t="s">
        <v>1177</v>
      </c>
      <c r="E701" s="43" t="s">
        <v>684</v>
      </c>
      <c r="F701" s="43" t="s">
        <v>1177</v>
      </c>
      <c r="G701" s="74" t="s">
        <v>68</v>
      </c>
      <c r="H701" s="74" t="s">
        <v>655</v>
      </c>
      <c r="I701" s="43"/>
      <c r="J701" s="44" t="s">
        <v>708</v>
      </c>
      <c r="K70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1" s="115">
        <f>ROUND(Tableau17[[#This Row],[LEN]]*7.27,0)</f>
        <v>305</v>
      </c>
      <c r="M701" s="115">
        <v>15</v>
      </c>
      <c r="N701" s="132" t="str">
        <f t="shared" si="5"/>
        <v>none</v>
      </c>
      <c r="O701" s="115">
        <f>LEN(Tableau17[[#This Row],[LABEL]])</f>
        <v>42</v>
      </c>
      <c r="P701" s="115">
        <v>15</v>
      </c>
      <c r="Q701" s="115" t="e">
        <f>ROUND(Tableau17[[#This Row],[LEN]]*#REF!+#REF!,0)</f>
        <v>#REF!</v>
      </c>
    </row>
    <row r="702" spans="1:17" s="97" customFormat="1" x14ac:dyDescent="0.25">
      <c r="A702" s="45" t="s">
        <v>462</v>
      </c>
      <c r="B702" s="46" t="s">
        <v>448</v>
      </c>
      <c r="C702" s="47" t="s">
        <v>123</v>
      </c>
      <c r="D702" s="75" t="s">
        <v>1177</v>
      </c>
      <c r="E702" s="47" t="s">
        <v>684</v>
      </c>
      <c r="F702" s="47" t="s">
        <v>1177</v>
      </c>
      <c r="G702" s="75" t="s">
        <v>68</v>
      </c>
      <c r="H702" s="75" t="s">
        <v>18</v>
      </c>
      <c r="I702" s="47"/>
      <c r="J702" s="48" t="s">
        <v>708</v>
      </c>
      <c r="K70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2" s="116">
        <f>ROUND(Tableau17[[#This Row],[LEN]]*7.27,0)</f>
        <v>182</v>
      </c>
      <c r="M702" s="116">
        <v>15</v>
      </c>
      <c r="N702" s="133" t="str">
        <f t="shared" si="5"/>
        <v>none</v>
      </c>
      <c r="O702" s="116">
        <f>LEN(Tableau17[[#This Row],[LABEL]])</f>
        <v>25</v>
      </c>
      <c r="P702" s="116">
        <v>15</v>
      </c>
      <c r="Q702" s="116" t="e">
        <f>ROUND(Tableau17[[#This Row],[LEN]]*#REF!+#REF!,0)</f>
        <v>#REF!</v>
      </c>
    </row>
    <row r="703" spans="1:17" s="97" customFormat="1" x14ac:dyDescent="0.25">
      <c r="A703" s="45" t="s">
        <v>463</v>
      </c>
      <c r="B703" s="46" t="s">
        <v>448</v>
      </c>
      <c r="C703" s="47" t="s">
        <v>124</v>
      </c>
      <c r="D703" s="75" t="s">
        <v>1177</v>
      </c>
      <c r="E703" s="47" t="s">
        <v>684</v>
      </c>
      <c r="F703" s="47" t="s">
        <v>1177</v>
      </c>
      <c r="G703" s="75" t="s">
        <v>68</v>
      </c>
      <c r="H703" s="75" t="s">
        <v>18</v>
      </c>
      <c r="I703" s="47"/>
      <c r="J703" s="48" t="s">
        <v>708</v>
      </c>
      <c r="K70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3" s="116">
        <f>ROUND(Tableau17[[#This Row],[LEN]]*7.27,0)</f>
        <v>116</v>
      </c>
      <c r="M703" s="116">
        <v>15</v>
      </c>
      <c r="N703" s="133" t="str">
        <f t="shared" si="5"/>
        <v>none</v>
      </c>
      <c r="O703" s="116">
        <f>LEN(Tableau17[[#This Row],[LABEL]])</f>
        <v>16</v>
      </c>
      <c r="P703" s="116">
        <v>15</v>
      </c>
      <c r="Q703" s="116" t="e">
        <f>ROUND(Tableau17[[#This Row],[LEN]]*#REF!+#REF!,0)</f>
        <v>#REF!</v>
      </c>
    </row>
    <row r="704" spans="1:17" s="97" customFormat="1" x14ac:dyDescent="0.25">
      <c r="A704" s="45" t="s">
        <v>464</v>
      </c>
      <c r="B704" s="46" t="s">
        <v>448</v>
      </c>
      <c r="C704" s="47" t="s">
        <v>125</v>
      </c>
      <c r="D704" s="75" t="s">
        <v>1177</v>
      </c>
      <c r="E704" s="47" t="s">
        <v>684</v>
      </c>
      <c r="F704" s="47" t="s">
        <v>1177</v>
      </c>
      <c r="G704" s="75" t="s">
        <v>68</v>
      </c>
      <c r="H704" s="75" t="s">
        <v>18</v>
      </c>
      <c r="I704" s="47"/>
      <c r="J704" s="48" t="s">
        <v>708</v>
      </c>
      <c r="K70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4" s="116">
        <f>ROUND(Tableau17[[#This Row],[LEN]]*7.27,0)</f>
        <v>116</v>
      </c>
      <c r="M704" s="116">
        <v>15</v>
      </c>
      <c r="N704" s="133" t="str">
        <f t="shared" si="5"/>
        <v>none</v>
      </c>
      <c r="O704" s="116">
        <f>LEN(Tableau17[[#This Row],[LABEL]])</f>
        <v>16</v>
      </c>
      <c r="P704" s="116">
        <v>15</v>
      </c>
      <c r="Q704" s="116" t="e">
        <f>ROUND(Tableau17[[#This Row],[LEN]]*#REF!+#REF!,0)</f>
        <v>#REF!</v>
      </c>
    </row>
    <row r="705" spans="1:17" s="97" customFormat="1" x14ac:dyDescent="0.25">
      <c r="A705" s="45" t="s">
        <v>465</v>
      </c>
      <c r="B705" s="46" t="s">
        <v>448</v>
      </c>
      <c r="C705" s="47" t="s">
        <v>126</v>
      </c>
      <c r="D705" s="75" t="s">
        <v>1177</v>
      </c>
      <c r="E705" s="47" t="s">
        <v>684</v>
      </c>
      <c r="F705" s="47" t="s">
        <v>1177</v>
      </c>
      <c r="G705" s="75" t="s">
        <v>68</v>
      </c>
      <c r="H705" s="75" t="s">
        <v>18</v>
      </c>
      <c r="I705" s="47"/>
      <c r="J705" s="48" t="s">
        <v>708</v>
      </c>
      <c r="K70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5" s="116">
        <f>ROUND(Tableau17[[#This Row],[LEN]]*7.27,0)</f>
        <v>80</v>
      </c>
      <c r="M705" s="116">
        <v>15</v>
      </c>
      <c r="N705" s="133" t="str">
        <f t="shared" si="5"/>
        <v>none</v>
      </c>
      <c r="O705" s="116">
        <f>LEN(Tableau17[[#This Row],[LABEL]])</f>
        <v>11</v>
      </c>
      <c r="P705" s="116">
        <v>15</v>
      </c>
      <c r="Q705" s="116" t="e">
        <f>ROUND(Tableau17[[#This Row],[LEN]]*#REF!+#REF!,0)</f>
        <v>#REF!</v>
      </c>
    </row>
    <row r="706" spans="1:17" s="97" customFormat="1" x14ac:dyDescent="0.25">
      <c r="A706" s="45" t="s">
        <v>466</v>
      </c>
      <c r="B706" s="46" t="s">
        <v>448</v>
      </c>
      <c r="C706" s="47" t="s">
        <v>127</v>
      </c>
      <c r="D706" s="75" t="s">
        <v>1177</v>
      </c>
      <c r="E706" s="47" t="s">
        <v>684</v>
      </c>
      <c r="F706" s="47" t="s">
        <v>1177</v>
      </c>
      <c r="G706" s="75" t="s">
        <v>68</v>
      </c>
      <c r="H706" s="75" t="s">
        <v>18</v>
      </c>
      <c r="I706" s="47"/>
      <c r="J706" s="48" t="s">
        <v>708</v>
      </c>
      <c r="K70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6" s="116">
        <f>ROUND(Tableau17[[#This Row],[LEN]]*7.27,0)</f>
        <v>95</v>
      </c>
      <c r="M706" s="116">
        <v>15</v>
      </c>
      <c r="N706" s="133" t="str">
        <f t="shared" si="5"/>
        <v>none</v>
      </c>
      <c r="O706" s="116">
        <f>LEN(Tableau17[[#This Row],[LABEL]])</f>
        <v>13</v>
      </c>
      <c r="P706" s="116">
        <v>15</v>
      </c>
      <c r="Q706" s="116" t="e">
        <f>ROUND(Tableau17[[#This Row],[LEN]]*#REF!+#REF!,0)</f>
        <v>#REF!</v>
      </c>
    </row>
    <row r="707" spans="1:17" s="97" customFormat="1" x14ac:dyDescent="0.25">
      <c r="A707" s="45" t="s">
        <v>467</v>
      </c>
      <c r="B707" s="46" t="s">
        <v>448</v>
      </c>
      <c r="C707" s="47" t="s">
        <v>1527</v>
      </c>
      <c r="D707" s="75" t="s">
        <v>1177</v>
      </c>
      <c r="E707" s="47" t="s">
        <v>684</v>
      </c>
      <c r="F707" s="47" t="s">
        <v>1177</v>
      </c>
      <c r="G707" s="75" t="s">
        <v>68</v>
      </c>
      <c r="H707" s="75" t="s">
        <v>18</v>
      </c>
      <c r="I707" s="47"/>
      <c r="J707" s="48" t="s">
        <v>708</v>
      </c>
      <c r="K70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7" s="116">
        <f>ROUND(Tableau17[[#This Row],[LEN]]*7.27,0)</f>
        <v>233</v>
      </c>
      <c r="M707" s="116">
        <v>15</v>
      </c>
      <c r="N707" s="133" t="str">
        <f t="shared" si="5"/>
        <v>none</v>
      </c>
      <c r="O707" s="116">
        <f>LEN(Tableau17[[#This Row],[LABEL]])</f>
        <v>32</v>
      </c>
      <c r="P707" s="116">
        <v>15</v>
      </c>
      <c r="Q707" s="116" t="e">
        <f>ROUND(Tableau17[[#This Row],[LEN]]*#REF!+#REF!,0)</f>
        <v>#REF!</v>
      </c>
    </row>
    <row r="708" spans="1:17" s="273" customFormat="1" x14ac:dyDescent="0.25">
      <c r="A708" s="330" t="s">
        <v>288</v>
      </c>
      <c r="B708" s="331" t="s">
        <v>208</v>
      </c>
      <c r="C708" s="332" t="s">
        <v>4</v>
      </c>
      <c r="D708" s="333" t="s">
        <v>1177</v>
      </c>
      <c r="E708" s="332" t="s">
        <v>666</v>
      </c>
      <c r="F708" s="332" t="s">
        <v>1177</v>
      </c>
      <c r="G708" s="333" t="s">
        <v>68</v>
      </c>
      <c r="H708" s="333" t="str">
        <f>IFERROR(IF(SEARCH(".00.00.00.00.00",Tableau17[[#This Row],[name]],1)=7,"Division",""),"")</f>
        <v>Division</v>
      </c>
      <c r="I708" s="332"/>
      <c r="J708" s="334" t="s">
        <v>708</v>
      </c>
      <c r="K708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08" s="335">
        <f>ROUND(Tableau17[[#This Row],[LEN]]*7.27,0)</f>
        <v>36</v>
      </c>
      <c r="M708" s="335">
        <v>15</v>
      </c>
      <c r="N708" s="336" t="str">
        <f t="shared" si="5"/>
        <v>none</v>
      </c>
      <c r="O708" s="335">
        <f>LEN(Tableau17[[#This Row],[LABEL]])</f>
        <v>5</v>
      </c>
      <c r="P708" s="335">
        <v>15</v>
      </c>
      <c r="Q708" s="335" t="e">
        <f>ROUND(Tableau17[[#This Row],[LEN]]*#REF!+#REF!,0)</f>
        <v>#REF!</v>
      </c>
    </row>
    <row r="709" spans="1:17" s="97" customFormat="1" x14ac:dyDescent="0.25">
      <c r="A709" s="41" t="s">
        <v>1502</v>
      </c>
      <c r="B709" s="42" t="s">
        <v>288</v>
      </c>
      <c r="C709" s="43" t="s">
        <v>75</v>
      </c>
      <c r="D709" s="74" t="s">
        <v>1177</v>
      </c>
      <c r="E709" s="43" t="s">
        <v>661</v>
      </c>
      <c r="F709" s="43" t="s">
        <v>666</v>
      </c>
      <c r="G709" s="74" t="s">
        <v>68</v>
      </c>
      <c r="H709" s="74" t="s">
        <v>655</v>
      </c>
      <c r="I709" s="43"/>
      <c r="J709" s="44" t="s">
        <v>708</v>
      </c>
      <c r="K70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09" s="115">
        <f>ROUND(Tableau17[[#This Row],[LEN]]*7.27,0)</f>
        <v>262</v>
      </c>
      <c r="M709" s="115">
        <v>15</v>
      </c>
      <c r="N709" s="132" t="str">
        <f t="shared" si="5"/>
        <v>none</v>
      </c>
      <c r="O709" s="115">
        <f>LEN(Tableau17[[#This Row],[LABEL]])</f>
        <v>36</v>
      </c>
      <c r="P709" s="115">
        <v>15</v>
      </c>
      <c r="Q709" s="115" t="e">
        <f>ROUND(Tableau17[[#This Row],[LEN]]*#REF!+#REF!,0)</f>
        <v>#REF!</v>
      </c>
    </row>
    <row r="710" spans="1:17" s="97" customFormat="1" x14ac:dyDescent="0.25">
      <c r="A710" s="45" t="s">
        <v>1509</v>
      </c>
      <c r="B710" s="46" t="s">
        <v>1502</v>
      </c>
      <c r="C710" s="47" t="s">
        <v>115</v>
      </c>
      <c r="D710" s="75" t="s">
        <v>1177</v>
      </c>
      <c r="E710" s="47" t="s">
        <v>661</v>
      </c>
      <c r="F710" s="47" t="s">
        <v>666</v>
      </c>
      <c r="G710" s="75" t="s">
        <v>68</v>
      </c>
      <c r="H710" s="75" t="s">
        <v>656</v>
      </c>
      <c r="I710" s="47"/>
      <c r="J710" s="48" t="s">
        <v>708</v>
      </c>
      <c r="K71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0" s="116">
        <f>ROUND(Tableau17[[#This Row],[LEN]]*7.27,0)</f>
        <v>291</v>
      </c>
      <c r="M710" s="116">
        <v>15</v>
      </c>
      <c r="N710" s="133" t="str">
        <f t="shared" si="5"/>
        <v>none</v>
      </c>
      <c r="O710" s="116">
        <f>LEN(Tableau17[[#This Row],[LABEL]])</f>
        <v>40</v>
      </c>
      <c r="P710" s="116">
        <v>15</v>
      </c>
      <c r="Q710" s="116" t="e">
        <f>ROUND(Tableau17[[#This Row],[LEN]]*#REF!+#REF!,0)</f>
        <v>#REF!</v>
      </c>
    </row>
    <row r="711" spans="1:17" s="97" customFormat="1" x14ac:dyDescent="0.25">
      <c r="A711" s="45" t="s">
        <v>1510</v>
      </c>
      <c r="B711" s="46" t="s">
        <v>1502</v>
      </c>
      <c r="C711" s="47" t="s">
        <v>116</v>
      </c>
      <c r="D711" s="75" t="s">
        <v>1177</v>
      </c>
      <c r="E711" s="47" t="s">
        <v>661</v>
      </c>
      <c r="F711" s="47" t="s">
        <v>666</v>
      </c>
      <c r="G711" s="75" t="s">
        <v>68</v>
      </c>
      <c r="H711" s="75" t="s">
        <v>656</v>
      </c>
      <c r="I711" s="47"/>
      <c r="J711" s="48" t="s">
        <v>708</v>
      </c>
      <c r="K71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1" s="116">
        <f>ROUND(Tableau17[[#This Row],[LEN]]*7.27,0)</f>
        <v>313</v>
      </c>
      <c r="M711" s="116">
        <v>15</v>
      </c>
      <c r="N711" s="133" t="str">
        <f t="shared" si="5"/>
        <v>none</v>
      </c>
      <c r="O711" s="116">
        <f>LEN(Tableau17[[#This Row],[LABEL]])</f>
        <v>43</v>
      </c>
      <c r="P711" s="116">
        <v>15</v>
      </c>
      <c r="Q711" s="116" t="e">
        <f>ROUND(Tableau17[[#This Row],[LEN]]*#REF!+#REF!,0)</f>
        <v>#REF!</v>
      </c>
    </row>
    <row r="712" spans="1:17" s="97" customFormat="1" x14ac:dyDescent="0.25">
      <c r="A712" s="45" t="s">
        <v>1511</v>
      </c>
      <c r="B712" s="46" t="s">
        <v>1502</v>
      </c>
      <c r="C712" s="47" t="s">
        <v>117</v>
      </c>
      <c r="D712" s="75" t="s">
        <v>1177</v>
      </c>
      <c r="E712" s="47" t="s">
        <v>661</v>
      </c>
      <c r="F712" s="47" t="s">
        <v>666</v>
      </c>
      <c r="G712" s="75" t="s">
        <v>68</v>
      </c>
      <c r="H712" s="75" t="s">
        <v>656</v>
      </c>
      <c r="I712" s="47"/>
      <c r="J712" s="48" t="s">
        <v>708</v>
      </c>
      <c r="K71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2" s="116">
        <f>ROUND(Tableau17[[#This Row],[LEN]]*7.27,0)</f>
        <v>225</v>
      </c>
      <c r="M712" s="116">
        <v>15</v>
      </c>
      <c r="N712" s="133" t="str">
        <f t="shared" si="5"/>
        <v>none</v>
      </c>
      <c r="O712" s="116">
        <f>LEN(Tableau17[[#This Row],[LABEL]])</f>
        <v>31</v>
      </c>
      <c r="P712" s="116">
        <v>15</v>
      </c>
      <c r="Q712" s="116" t="e">
        <f>ROUND(Tableau17[[#This Row],[LEN]]*#REF!+#REF!,0)</f>
        <v>#REF!</v>
      </c>
    </row>
    <row r="713" spans="1:17" s="97" customFormat="1" x14ac:dyDescent="0.25">
      <c r="A713" s="41" t="s">
        <v>1503</v>
      </c>
      <c r="B713" s="42" t="s">
        <v>288</v>
      </c>
      <c r="C713" s="43" t="s">
        <v>849</v>
      </c>
      <c r="D713" s="74" t="s">
        <v>1177</v>
      </c>
      <c r="E713" s="43" t="s">
        <v>667</v>
      </c>
      <c r="F713" s="43" t="s">
        <v>840</v>
      </c>
      <c r="G713" s="74" t="s">
        <v>68</v>
      </c>
      <c r="H713" s="74" t="s">
        <v>655</v>
      </c>
      <c r="I713" s="43"/>
      <c r="J713" s="44" t="s">
        <v>708</v>
      </c>
      <c r="K71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3" s="115">
        <f>ROUND(Tableau17[[#This Row],[LEN]]*7.27,0)</f>
        <v>80</v>
      </c>
      <c r="M713" s="115">
        <v>15</v>
      </c>
      <c r="N713" s="132" t="str">
        <f t="shared" si="5"/>
        <v>none</v>
      </c>
      <c r="O713" s="115">
        <f>LEN(Tableau17[[#This Row],[LABEL]])</f>
        <v>11</v>
      </c>
      <c r="P713" s="115">
        <v>15</v>
      </c>
      <c r="Q713" s="115" t="e">
        <f>ROUND(Tableau17[[#This Row],[LEN]]*#REF!+#REF!,0)</f>
        <v>#REF!</v>
      </c>
    </row>
    <row r="714" spans="1:17" s="97" customFormat="1" x14ac:dyDescent="0.25">
      <c r="A714" s="45" t="s">
        <v>1512</v>
      </c>
      <c r="B714" s="46" t="s">
        <v>1503</v>
      </c>
      <c r="C714" s="47" t="s">
        <v>112</v>
      </c>
      <c r="D714" s="75" t="s">
        <v>1177</v>
      </c>
      <c r="E714" s="47" t="s">
        <v>667</v>
      </c>
      <c r="F714" s="47" t="s">
        <v>2006</v>
      </c>
      <c r="G714" s="75" t="s">
        <v>68</v>
      </c>
      <c r="H714" s="75" t="s">
        <v>654</v>
      </c>
      <c r="I714" s="47"/>
      <c r="J714" s="48" t="s">
        <v>708</v>
      </c>
      <c r="K71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4" s="116">
        <f>ROUND(Tableau17[[#This Row],[LEN]]*7.27,0)</f>
        <v>167</v>
      </c>
      <c r="M714" s="116">
        <v>15</v>
      </c>
      <c r="N714" s="133" t="str">
        <f t="shared" si="5"/>
        <v>none</v>
      </c>
      <c r="O714" s="116">
        <f>LEN(Tableau17[[#This Row],[LABEL]])</f>
        <v>23</v>
      </c>
      <c r="P714" s="116">
        <v>15</v>
      </c>
      <c r="Q714" s="116" t="e">
        <f>ROUND(Tableau17[[#This Row],[LEN]]*#REF!+#REF!,0)</f>
        <v>#REF!</v>
      </c>
    </row>
    <row r="715" spans="1:17" s="97" customFormat="1" x14ac:dyDescent="0.25">
      <c r="A715" s="45" t="s">
        <v>1513</v>
      </c>
      <c r="B715" s="46" t="s">
        <v>1503</v>
      </c>
      <c r="C715" s="47" t="s">
        <v>113</v>
      </c>
      <c r="D715" s="75" t="s">
        <v>1177</v>
      </c>
      <c r="E715" s="47" t="s">
        <v>667</v>
      </c>
      <c r="F715" s="47" t="s">
        <v>2006</v>
      </c>
      <c r="G715" s="75" t="s">
        <v>68</v>
      </c>
      <c r="H715" s="75" t="s">
        <v>654</v>
      </c>
      <c r="I715" s="47"/>
      <c r="J715" s="48" t="s">
        <v>708</v>
      </c>
      <c r="K71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5" s="116">
        <f>ROUND(Tableau17[[#This Row],[LEN]]*7.27,0)</f>
        <v>233</v>
      </c>
      <c r="M715" s="116">
        <v>15</v>
      </c>
      <c r="N715" s="133" t="str">
        <f t="shared" si="5"/>
        <v>none</v>
      </c>
      <c r="O715" s="116">
        <f>LEN(Tableau17[[#This Row],[LABEL]])</f>
        <v>32</v>
      </c>
      <c r="P715" s="116">
        <v>15</v>
      </c>
      <c r="Q715" s="116" t="e">
        <f>ROUND(Tableau17[[#This Row],[LEN]]*#REF!+#REF!,0)</f>
        <v>#REF!</v>
      </c>
    </row>
    <row r="716" spans="1:17" s="97" customFormat="1" x14ac:dyDescent="0.25">
      <c r="A716" s="41" t="s">
        <v>1504</v>
      </c>
      <c r="B716" s="42" t="s">
        <v>288</v>
      </c>
      <c r="C716" s="43" t="s">
        <v>122</v>
      </c>
      <c r="D716" s="74" t="s">
        <v>1514</v>
      </c>
      <c r="E716" s="43" t="s">
        <v>667</v>
      </c>
      <c r="F716" s="43" t="s">
        <v>2084</v>
      </c>
      <c r="G716" s="74" t="s">
        <v>68</v>
      </c>
      <c r="H716" s="74" t="s">
        <v>656</v>
      </c>
      <c r="I716" s="43"/>
      <c r="J716" s="44" t="s">
        <v>708</v>
      </c>
      <c r="K71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6" s="115">
        <f>ROUND(Tableau17[[#This Row],[LEN]]*7.27,0)</f>
        <v>145</v>
      </c>
      <c r="M716" s="115">
        <v>15</v>
      </c>
      <c r="N716" s="132" t="str">
        <f t="shared" si="5"/>
        <v>none</v>
      </c>
      <c r="O716" s="115">
        <f>LEN(Tableau17[[#This Row],[LABEL]])</f>
        <v>20</v>
      </c>
      <c r="P716" s="115">
        <v>15</v>
      </c>
      <c r="Q716" s="115" t="e">
        <f>ROUND(Tableau17[[#This Row],[LEN]]*#REF!+#REF!,0)</f>
        <v>#REF!</v>
      </c>
    </row>
    <row r="717" spans="1:17" s="97" customFormat="1" x14ac:dyDescent="0.25">
      <c r="A717" s="41" t="s">
        <v>1505</v>
      </c>
      <c r="B717" s="42" t="s">
        <v>288</v>
      </c>
      <c r="C717" s="43" t="s">
        <v>1516</v>
      </c>
      <c r="D717" s="74" t="s">
        <v>1177</v>
      </c>
      <c r="E717" s="43" t="s">
        <v>661</v>
      </c>
      <c r="F717" s="43" t="s">
        <v>666</v>
      </c>
      <c r="G717" s="74" t="s">
        <v>68</v>
      </c>
      <c r="H717" s="74" t="s">
        <v>655</v>
      </c>
      <c r="I717" s="43"/>
      <c r="J717" s="44" t="s">
        <v>708</v>
      </c>
      <c r="K71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7" s="115">
        <f>ROUND(Tableau17[[#This Row],[LEN]]*7.27,0)</f>
        <v>305</v>
      </c>
      <c r="M717" s="115">
        <v>15</v>
      </c>
      <c r="N717" s="132" t="str">
        <f t="shared" si="5"/>
        <v>none</v>
      </c>
      <c r="O717" s="115">
        <f>LEN(Tableau17[[#This Row],[LABEL]])</f>
        <v>42</v>
      </c>
      <c r="P717" s="115">
        <v>15</v>
      </c>
      <c r="Q717" s="115" t="e">
        <f>ROUND(Tableau17[[#This Row],[LEN]]*#REF!+#REF!,0)</f>
        <v>#REF!</v>
      </c>
    </row>
    <row r="718" spans="1:17" s="97" customFormat="1" x14ac:dyDescent="0.25">
      <c r="A718" s="45" t="s">
        <v>1517</v>
      </c>
      <c r="B718" s="46" t="s">
        <v>1505</v>
      </c>
      <c r="C718" s="47" t="s">
        <v>118</v>
      </c>
      <c r="D718" s="75" t="s">
        <v>1177</v>
      </c>
      <c r="E718" s="47" t="s">
        <v>661</v>
      </c>
      <c r="F718" s="47" t="s">
        <v>666</v>
      </c>
      <c r="G718" s="75" t="s">
        <v>68</v>
      </c>
      <c r="H718" s="75" t="s">
        <v>18</v>
      </c>
      <c r="I718" s="47"/>
      <c r="J718" s="48" t="s">
        <v>708</v>
      </c>
      <c r="K71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8" s="116">
        <f>ROUND(Tableau17[[#This Row],[LEN]]*7.27,0)</f>
        <v>204</v>
      </c>
      <c r="M718" s="116">
        <v>15</v>
      </c>
      <c r="N718" s="133" t="str">
        <f t="shared" si="5"/>
        <v>none</v>
      </c>
      <c r="O718" s="116">
        <f>LEN(Tableau17[[#This Row],[LABEL]])</f>
        <v>28</v>
      </c>
      <c r="P718" s="116">
        <v>15</v>
      </c>
      <c r="Q718" s="116" t="e">
        <f>ROUND(Tableau17[[#This Row],[LEN]]*#REF!+#REF!,0)</f>
        <v>#REF!</v>
      </c>
    </row>
    <row r="719" spans="1:17" s="97" customFormat="1" x14ac:dyDescent="0.25">
      <c r="A719" s="45" t="s">
        <v>1518</v>
      </c>
      <c r="B719" s="46" t="s">
        <v>1505</v>
      </c>
      <c r="C719" s="47" t="s">
        <v>119</v>
      </c>
      <c r="D719" s="75" t="s">
        <v>1177</v>
      </c>
      <c r="E719" s="47" t="s">
        <v>661</v>
      </c>
      <c r="F719" s="47" t="s">
        <v>666</v>
      </c>
      <c r="G719" s="75" t="s">
        <v>68</v>
      </c>
      <c r="H719" s="75" t="s">
        <v>18</v>
      </c>
      <c r="I719" s="47"/>
      <c r="J719" s="48" t="s">
        <v>708</v>
      </c>
      <c r="K71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19" s="116">
        <f>ROUND(Tableau17[[#This Row],[LEN]]*7.27,0)</f>
        <v>218</v>
      </c>
      <c r="M719" s="116">
        <v>15</v>
      </c>
      <c r="N719" s="133" t="str">
        <f t="shared" si="5"/>
        <v>none</v>
      </c>
      <c r="O719" s="116">
        <f>LEN(Tableau17[[#This Row],[LABEL]])</f>
        <v>30</v>
      </c>
      <c r="P719" s="116">
        <v>15</v>
      </c>
      <c r="Q719" s="116" t="e">
        <f>ROUND(Tableau17[[#This Row],[LEN]]*#REF!+#REF!,0)</f>
        <v>#REF!</v>
      </c>
    </row>
    <row r="720" spans="1:17" s="97" customFormat="1" x14ac:dyDescent="0.25">
      <c r="A720" s="45" t="s">
        <v>1519</v>
      </c>
      <c r="B720" s="46" t="s">
        <v>1505</v>
      </c>
      <c r="C720" s="47" t="s">
        <v>120</v>
      </c>
      <c r="D720" s="75" t="s">
        <v>1177</v>
      </c>
      <c r="E720" s="47" t="s">
        <v>661</v>
      </c>
      <c r="F720" s="47" t="s">
        <v>666</v>
      </c>
      <c r="G720" s="75" t="s">
        <v>68</v>
      </c>
      <c r="H720" s="75" t="s">
        <v>18</v>
      </c>
      <c r="I720" s="47"/>
      <c r="J720" s="48" t="s">
        <v>708</v>
      </c>
      <c r="K72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0" s="116">
        <f>ROUND(Tableau17[[#This Row],[LEN]]*7.27,0)</f>
        <v>131</v>
      </c>
      <c r="M720" s="116">
        <v>15</v>
      </c>
      <c r="N720" s="133" t="str">
        <f t="shared" si="5"/>
        <v>none</v>
      </c>
      <c r="O720" s="116">
        <f>LEN(Tableau17[[#This Row],[LABEL]])</f>
        <v>18</v>
      </c>
      <c r="P720" s="116">
        <v>15</v>
      </c>
      <c r="Q720" s="116" t="e">
        <f>ROUND(Tableau17[[#This Row],[LEN]]*#REF!+#REF!,0)</f>
        <v>#REF!</v>
      </c>
    </row>
    <row r="721" spans="1:17" s="97" customFormat="1" x14ac:dyDescent="0.25">
      <c r="A721" s="45" t="s">
        <v>1520</v>
      </c>
      <c r="B721" s="46" t="s">
        <v>1505</v>
      </c>
      <c r="C721" s="47" t="s">
        <v>121</v>
      </c>
      <c r="D721" s="75" t="s">
        <v>1177</v>
      </c>
      <c r="E721" s="47" t="s">
        <v>661</v>
      </c>
      <c r="F721" s="47" t="s">
        <v>666</v>
      </c>
      <c r="G721" s="75" t="s">
        <v>68</v>
      </c>
      <c r="H721" s="75" t="s">
        <v>18</v>
      </c>
      <c r="I721" s="47"/>
      <c r="J721" s="48" t="s">
        <v>708</v>
      </c>
      <c r="K72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1" s="116">
        <f>ROUND(Tableau17[[#This Row],[LEN]]*7.27,0)</f>
        <v>174</v>
      </c>
      <c r="M721" s="116">
        <v>15</v>
      </c>
      <c r="N721" s="133" t="str">
        <f t="shared" si="5"/>
        <v>none</v>
      </c>
      <c r="O721" s="116">
        <f>LEN(Tableau17[[#This Row],[LABEL]])</f>
        <v>24</v>
      </c>
      <c r="P721" s="116">
        <v>15</v>
      </c>
      <c r="Q721" s="116" t="e">
        <f>ROUND(Tableau17[[#This Row],[LEN]]*#REF!+#REF!,0)</f>
        <v>#REF!</v>
      </c>
    </row>
    <row r="722" spans="1:17" s="97" customFormat="1" x14ac:dyDescent="0.25">
      <c r="A722" s="41" t="s">
        <v>1506</v>
      </c>
      <c r="B722" s="42" t="s">
        <v>288</v>
      </c>
      <c r="C722" s="43" t="s">
        <v>538</v>
      </c>
      <c r="D722" s="74" t="s">
        <v>1177</v>
      </c>
      <c r="E722" s="43" t="s">
        <v>684</v>
      </c>
      <c r="F722" s="43" t="s">
        <v>1177</v>
      </c>
      <c r="G722" s="74" t="s">
        <v>68</v>
      </c>
      <c r="H722" s="74" t="s">
        <v>655</v>
      </c>
      <c r="I722" s="43"/>
      <c r="J722" s="44" t="s">
        <v>708</v>
      </c>
      <c r="K72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2" s="115">
        <f>ROUND(Tableau17[[#This Row],[LEN]]*7.27,0)</f>
        <v>305</v>
      </c>
      <c r="M722" s="115">
        <v>15</v>
      </c>
      <c r="N722" s="132" t="str">
        <f t="shared" si="5"/>
        <v>none</v>
      </c>
      <c r="O722" s="115">
        <f>LEN(Tableau17[[#This Row],[LABEL]])</f>
        <v>42</v>
      </c>
      <c r="P722" s="115">
        <v>15</v>
      </c>
      <c r="Q722" s="115" t="e">
        <f>ROUND(Tableau17[[#This Row],[LEN]]*#REF!+#REF!,0)</f>
        <v>#REF!</v>
      </c>
    </row>
    <row r="723" spans="1:17" s="97" customFormat="1" x14ac:dyDescent="0.25">
      <c r="A723" s="45" t="s">
        <v>1521</v>
      </c>
      <c r="B723" s="46" t="s">
        <v>1506</v>
      </c>
      <c r="C723" s="47" t="s">
        <v>123</v>
      </c>
      <c r="D723" s="75" t="s">
        <v>1177</v>
      </c>
      <c r="E723" s="47" t="s">
        <v>684</v>
      </c>
      <c r="F723" s="47" t="s">
        <v>1177</v>
      </c>
      <c r="G723" s="75" t="s">
        <v>68</v>
      </c>
      <c r="H723" s="75" t="s">
        <v>18</v>
      </c>
      <c r="I723" s="47"/>
      <c r="J723" s="48" t="s">
        <v>708</v>
      </c>
      <c r="K72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3" s="116">
        <f>ROUND(Tableau17[[#This Row],[LEN]]*7.27,0)</f>
        <v>182</v>
      </c>
      <c r="M723" s="116">
        <v>15</v>
      </c>
      <c r="N723" s="133" t="str">
        <f t="shared" si="5"/>
        <v>none</v>
      </c>
      <c r="O723" s="116">
        <f>LEN(Tableau17[[#This Row],[LABEL]])</f>
        <v>25</v>
      </c>
      <c r="P723" s="116">
        <v>15</v>
      </c>
      <c r="Q723" s="116" t="e">
        <f>ROUND(Tableau17[[#This Row],[LEN]]*#REF!+#REF!,0)</f>
        <v>#REF!</v>
      </c>
    </row>
    <row r="724" spans="1:17" s="97" customFormat="1" x14ac:dyDescent="0.25">
      <c r="A724" s="45" t="s">
        <v>1522</v>
      </c>
      <c r="B724" s="46" t="s">
        <v>1506</v>
      </c>
      <c r="C724" s="47" t="s">
        <v>124</v>
      </c>
      <c r="D724" s="75" t="s">
        <v>1177</v>
      </c>
      <c r="E724" s="47" t="s">
        <v>684</v>
      </c>
      <c r="F724" s="47" t="s">
        <v>1177</v>
      </c>
      <c r="G724" s="75" t="s">
        <v>68</v>
      </c>
      <c r="H724" s="75" t="s">
        <v>18</v>
      </c>
      <c r="I724" s="47"/>
      <c r="J724" s="48" t="s">
        <v>708</v>
      </c>
      <c r="K72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4" s="116">
        <f>ROUND(Tableau17[[#This Row],[LEN]]*7.27,0)</f>
        <v>116</v>
      </c>
      <c r="M724" s="116">
        <v>15</v>
      </c>
      <c r="N724" s="133" t="str">
        <f t="shared" si="5"/>
        <v>none</v>
      </c>
      <c r="O724" s="116">
        <f>LEN(Tableau17[[#This Row],[LABEL]])</f>
        <v>16</v>
      </c>
      <c r="P724" s="116">
        <v>15</v>
      </c>
      <c r="Q724" s="116" t="e">
        <f>ROUND(Tableau17[[#This Row],[LEN]]*#REF!+#REF!,0)</f>
        <v>#REF!</v>
      </c>
    </row>
    <row r="725" spans="1:17" s="97" customFormat="1" x14ac:dyDescent="0.25">
      <c r="A725" s="45" t="s">
        <v>1523</v>
      </c>
      <c r="B725" s="46" t="s">
        <v>1506</v>
      </c>
      <c r="C725" s="47" t="s">
        <v>125</v>
      </c>
      <c r="D725" s="75" t="s">
        <v>1177</v>
      </c>
      <c r="E725" s="47" t="s">
        <v>684</v>
      </c>
      <c r="F725" s="47" t="s">
        <v>1177</v>
      </c>
      <c r="G725" s="75" t="s">
        <v>68</v>
      </c>
      <c r="H725" s="75" t="s">
        <v>18</v>
      </c>
      <c r="I725" s="47"/>
      <c r="J725" s="48" t="s">
        <v>708</v>
      </c>
      <c r="K72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5" s="116">
        <f>ROUND(Tableau17[[#This Row],[LEN]]*7.27,0)</f>
        <v>116</v>
      </c>
      <c r="M725" s="116">
        <v>15</v>
      </c>
      <c r="N725" s="133" t="str">
        <f t="shared" si="5"/>
        <v>none</v>
      </c>
      <c r="O725" s="116">
        <f>LEN(Tableau17[[#This Row],[LABEL]])</f>
        <v>16</v>
      </c>
      <c r="P725" s="116">
        <v>15</v>
      </c>
      <c r="Q725" s="116" t="e">
        <f>ROUND(Tableau17[[#This Row],[LEN]]*#REF!+#REF!,0)</f>
        <v>#REF!</v>
      </c>
    </row>
    <row r="726" spans="1:17" s="97" customFormat="1" x14ac:dyDescent="0.25">
      <c r="A726" s="45" t="s">
        <v>1524</v>
      </c>
      <c r="B726" s="46" t="s">
        <v>1506</v>
      </c>
      <c r="C726" s="47" t="s">
        <v>126</v>
      </c>
      <c r="D726" s="75" t="s">
        <v>1177</v>
      </c>
      <c r="E726" s="47" t="s">
        <v>684</v>
      </c>
      <c r="F726" s="47" t="s">
        <v>1177</v>
      </c>
      <c r="G726" s="75" t="s">
        <v>68</v>
      </c>
      <c r="H726" s="75" t="s">
        <v>18</v>
      </c>
      <c r="I726" s="47"/>
      <c r="J726" s="48" t="s">
        <v>708</v>
      </c>
      <c r="K72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6" s="116">
        <f>ROUND(Tableau17[[#This Row],[LEN]]*7.27,0)</f>
        <v>80</v>
      </c>
      <c r="M726" s="116">
        <v>15</v>
      </c>
      <c r="N726" s="133" t="str">
        <f t="shared" si="5"/>
        <v>none</v>
      </c>
      <c r="O726" s="116">
        <f>LEN(Tableau17[[#This Row],[LABEL]])</f>
        <v>11</v>
      </c>
      <c r="P726" s="116">
        <v>15</v>
      </c>
      <c r="Q726" s="116" t="e">
        <f>ROUND(Tableau17[[#This Row],[LEN]]*#REF!+#REF!,0)</f>
        <v>#REF!</v>
      </c>
    </row>
    <row r="727" spans="1:17" s="97" customFormat="1" x14ac:dyDescent="0.25">
      <c r="A727" s="45" t="s">
        <v>1525</v>
      </c>
      <c r="B727" s="46" t="s">
        <v>1506</v>
      </c>
      <c r="C727" s="47" t="s">
        <v>127</v>
      </c>
      <c r="D727" s="75" t="s">
        <v>1177</v>
      </c>
      <c r="E727" s="47" t="s">
        <v>684</v>
      </c>
      <c r="F727" s="47" t="s">
        <v>1177</v>
      </c>
      <c r="G727" s="75" t="s">
        <v>68</v>
      </c>
      <c r="H727" s="75" t="s">
        <v>18</v>
      </c>
      <c r="I727" s="47"/>
      <c r="J727" s="48" t="s">
        <v>708</v>
      </c>
      <c r="K72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7" s="116">
        <f>ROUND(Tableau17[[#This Row],[LEN]]*7.27,0)</f>
        <v>95</v>
      </c>
      <c r="M727" s="116">
        <v>15</v>
      </c>
      <c r="N727" s="133" t="str">
        <f t="shared" si="5"/>
        <v>none</v>
      </c>
      <c r="O727" s="116">
        <f>LEN(Tableau17[[#This Row],[LABEL]])</f>
        <v>13</v>
      </c>
      <c r="P727" s="116">
        <v>15</v>
      </c>
      <c r="Q727" s="116" t="e">
        <f>ROUND(Tableau17[[#This Row],[LEN]]*#REF!+#REF!,0)</f>
        <v>#REF!</v>
      </c>
    </row>
    <row r="728" spans="1:17" s="97" customFormat="1" x14ac:dyDescent="0.25">
      <c r="A728" s="45" t="s">
        <v>1526</v>
      </c>
      <c r="B728" s="46" t="s">
        <v>1506</v>
      </c>
      <c r="C728" s="47" t="s">
        <v>1527</v>
      </c>
      <c r="D728" s="75" t="s">
        <v>1177</v>
      </c>
      <c r="E728" s="47" t="s">
        <v>684</v>
      </c>
      <c r="F728" s="47" t="s">
        <v>1177</v>
      </c>
      <c r="G728" s="75" t="s">
        <v>68</v>
      </c>
      <c r="H728" s="75" t="s">
        <v>18</v>
      </c>
      <c r="I728" s="47"/>
      <c r="J728" s="48" t="s">
        <v>708</v>
      </c>
      <c r="K72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8" s="116">
        <f>ROUND(Tableau17[[#This Row],[LEN]]*7.27,0)</f>
        <v>233</v>
      </c>
      <c r="M728" s="116">
        <v>15</v>
      </c>
      <c r="N728" s="133" t="str">
        <f t="shared" si="5"/>
        <v>none</v>
      </c>
      <c r="O728" s="116">
        <f>LEN(Tableau17[[#This Row],[LABEL]])</f>
        <v>32</v>
      </c>
      <c r="P728" s="116">
        <v>15</v>
      </c>
      <c r="Q728" s="116" t="e">
        <f>ROUND(Tableau17[[#This Row],[LEN]]*#REF!+#REF!,0)</f>
        <v>#REF!</v>
      </c>
    </row>
    <row r="729" spans="1:17" s="97" customFormat="1" x14ac:dyDescent="0.25">
      <c r="A729" s="41" t="s">
        <v>1507</v>
      </c>
      <c r="B729" s="42" t="s">
        <v>288</v>
      </c>
      <c r="C729" s="43" t="s">
        <v>1528</v>
      </c>
      <c r="D729" s="74" t="s">
        <v>1177</v>
      </c>
      <c r="E729" s="43" t="s">
        <v>667</v>
      </c>
      <c r="F729" s="43" t="s">
        <v>1084</v>
      </c>
      <c r="G729" s="74" t="s">
        <v>1977</v>
      </c>
      <c r="H729" s="74" t="s">
        <v>1131</v>
      </c>
      <c r="I729" s="43"/>
      <c r="J729" s="44" t="s">
        <v>708</v>
      </c>
      <c r="K72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29" s="115">
        <f>ROUND(Tableau17[[#This Row],[LEN]]*7.27,0)</f>
        <v>174</v>
      </c>
      <c r="M729" s="115">
        <v>15</v>
      </c>
      <c r="N729" s="132" t="str">
        <f t="shared" si="5"/>
        <v>none</v>
      </c>
      <c r="O729" s="115">
        <f>LEN(Tableau17[[#This Row],[LABEL]])</f>
        <v>24</v>
      </c>
      <c r="P729" s="115">
        <v>15</v>
      </c>
      <c r="Q729" s="115" t="e">
        <f>ROUND(Tableau17[[#This Row],[LEN]]*#REF!+#REF!,0)</f>
        <v>#REF!</v>
      </c>
    </row>
    <row r="730" spans="1:17" s="97" customFormat="1" x14ac:dyDescent="0.25">
      <c r="A730" s="41" t="s">
        <v>1508</v>
      </c>
      <c r="B730" s="42" t="s">
        <v>288</v>
      </c>
      <c r="C730" s="43" t="s">
        <v>1529</v>
      </c>
      <c r="D730" s="74" t="s">
        <v>1177</v>
      </c>
      <c r="E730" s="43" t="s">
        <v>672</v>
      </c>
      <c r="F730" s="43" t="s">
        <v>666</v>
      </c>
      <c r="G730" s="74" t="s">
        <v>68</v>
      </c>
      <c r="H730" s="74" t="s">
        <v>656</v>
      </c>
      <c r="I730" s="43"/>
      <c r="J730" s="44" t="s">
        <v>708</v>
      </c>
      <c r="K73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0" s="115">
        <f>ROUND(Tableau17[[#This Row],[LEN]]*7.27,0)</f>
        <v>218</v>
      </c>
      <c r="M730" s="115">
        <v>15</v>
      </c>
      <c r="N730" s="132" t="str">
        <f t="shared" si="5"/>
        <v>none</v>
      </c>
      <c r="O730" s="115">
        <f>LEN(Tableau17[[#This Row],[LABEL]])</f>
        <v>30</v>
      </c>
      <c r="P730" s="115">
        <v>15</v>
      </c>
      <c r="Q730" s="115" t="e">
        <f>ROUND(Tableau17[[#This Row],[LEN]]*#REF!+#REF!,0)</f>
        <v>#REF!</v>
      </c>
    </row>
    <row r="731" spans="1:17" s="273" customFormat="1" x14ac:dyDescent="0.25">
      <c r="A731" s="330" t="s">
        <v>289</v>
      </c>
      <c r="B731" s="331" t="s">
        <v>208</v>
      </c>
      <c r="C731" s="332" t="s">
        <v>80</v>
      </c>
      <c r="D731" s="333" t="s">
        <v>1177</v>
      </c>
      <c r="E731" s="332" t="s">
        <v>667</v>
      </c>
      <c r="F731" s="332" t="s">
        <v>1177</v>
      </c>
      <c r="G731" s="333" t="s">
        <v>68</v>
      </c>
      <c r="H731" s="333" t="str">
        <f>IFERROR(IF(SEARCH(".00.00.00.00.00",Tableau17[[#This Row],[name]],1)=7,"Division",""),"")</f>
        <v>Division</v>
      </c>
      <c r="I731" s="332"/>
      <c r="J731" s="334" t="s">
        <v>708</v>
      </c>
      <c r="K731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31" s="335">
        <f>ROUND(Tableau17[[#This Row],[LEN]]*7.27,0)</f>
        <v>116</v>
      </c>
      <c r="M731" s="335">
        <v>15</v>
      </c>
      <c r="N731" s="336" t="str">
        <f t="shared" si="5"/>
        <v>none</v>
      </c>
      <c r="O731" s="335">
        <f>LEN(Tableau17[[#This Row],[LABEL]])</f>
        <v>16</v>
      </c>
      <c r="P731" s="335">
        <v>15</v>
      </c>
      <c r="Q731" s="335" t="e">
        <f>ROUND(Tableau17[[#This Row],[LEN]]*#REF!+#REF!,0)</f>
        <v>#REF!</v>
      </c>
    </row>
    <row r="732" spans="1:17" s="97" customFormat="1" x14ac:dyDescent="0.25">
      <c r="A732" s="41" t="s">
        <v>1531</v>
      </c>
      <c r="B732" s="42" t="s">
        <v>289</v>
      </c>
      <c r="C732" s="43" t="s">
        <v>738</v>
      </c>
      <c r="D732" s="74" t="s">
        <v>1177</v>
      </c>
      <c r="E732" s="43" t="s">
        <v>662</v>
      </c>
      <c r="F732" s="43" t="s">
        <v>2085</v>
      </c>
      <c r="G732" s="74" t="s">
        <v>68</v>
      </c>
      <c r="H732" s="74" t="s">
        <v>56</v>
      </c>
      <c r="I732" s="43"/>
      <c r="J732" s="44" t="s">
        <v>708</v>
      </c>
      <c r="K732" s="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32" s="115">
        <f>ROUND(Tableau17[[#This Row],[LEN]]*7.27,0)</f>
        <v>247</v>
      </c>
      <c r="M732" s="115">
        <v>15</v>
      </c>
      <c r="N732" s="132" t="str">
        <f t="shared" si="5"/>
        <v>none</v>
      </c>
      <c r="O732" s="115">
        <f>LEN(Tableau17[[#This Row],[LABEL]])</f>
        <v>34</v>
      </c>
      <c r="P732" s="115">
        <v>15</v>
      </c>
      <c r="Q732" s="115" t="e">
        <f>ROUND(Tableau17[[#This Row],[LEN]]*#REF!+#REF!,0)</f>
        <v>#REF!</v>
      </c>
    </row>
    <row r="733" spans="1:17" s="97" customFormat="1" x14ac:dyDescent="0.25">
      <c r="A733" s="41" t="s">
        <v>1532</v>
      </c>
      <c r="B733" s="42" t="s">
        <v>289</v>
      </c>
      <c r="C733" s="43" t="s">
        <v>849</v>
      </c>
      <c r="D733" s="74" t="s">
        <v>1177</v>
      </c>
      <c r="E733" s="43" t="s">
        <v>667</v>
      </c>
      <c r="F733" s="43" t="s">
        <v>840</v>
      </c>
      <c r="G733" s="74" t="s">
        <v>68</v>
      </c>
      <c r="H733" s="74" t="s">
        <v>655</v>
      </c>
      <c r="I733" s="43"/>
      <c r="J733" s="44" t="s">
        <v>708</v>
      </c>
      <c r="K73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3" s="115">
        <f>ROUND(Tableau17[[#This Row],[LEN]]*7.27,0)</f>
        <v>80</v>
      </c>
      <c r="M733" s="115">
        <v>15</v>
      </c>
      <c r="N733" s="132" t="str">
        <f t="shared" si="5"/>
        <v>none</v>
      </c>
      <c r="O733" s="115">
        <f>LEN(Tableau17[[#This Row],[LABEL]])</f>
        <v>11</v>
      </c>
      <c r="P733" s="115">
        <v>15</v>
      </c>
      <c r="Q733" s="115" t="e">
        <f>ROUND(Tableau17[[#This Row],[LEN]]*#REF!+#REF!,0)</f>
        <v>#REF!</v>
      </c>
    </row>
    <row r="734" spans="1:17" s="97" customFormat="1" x14ac:dyDescent="0.25">
      <c r="A734" s="45" t="s">
        <v>1536</v>
      </c>
      <c r="B734" s="46" t="s">
        <v>1532</v>
      </c>
      <c r="C734" s="47" t="s">
        <v>112</v>
      </c>
      <c r="D734" s="75" t="s">
        <v>1177</v>
      </c>
      <c r="E734" s="47" t="s">
        <v>667</v>
      </c>
      <c r="F734" s="47" t="s">
        <v>2006</v>
      </c>
      <c r="G734" s="75" t="s">
        <v>68</v>
      </c>
      <c r="H734" s="75" t="s">
        <v>654</v>
      </c>
      <c r="I734" s="47"/>
      <c r="J734" s="48" t="s">
        <v>708</v>
      </c>
      <c r="K73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4" s="116">
        <f>ROUND(Tableau17[[#This Row],[LEN]]*7.27,0)</f>
        <v>167</v>
      </c>
      <c r="M734" s="116">
        <v>15</v>
      </c>
      <c r="N734" s="133" t="str">
        <f t="shared" si="5"/>
        <v>none</v>
      </c>
      <c r="O734" s="116">
        <f>LEN(Tableau17[[#This Row],[LABEL]])</f>
        <v>23</v>
      </c>
      <c r="P734" s="116">
        <v>15</v>
      </c>
      <c r="Q734" s="116" t="e">
        <f>ROUND(Tableau17[[#This Row],[LEN]]*#REF!+#REF!,0)</f>
        <v>#REF!</v>
      </c>
    </row>
    <row r="735" spans="1:17" s="97" customFormat="1" x14ac:dyDescent="0.25">
      <c r="A735" s="45" t="s">
        <v>1537</v>
      </c>
      <c r="B735" s="46" t="s">
        <v>1532</v>
      </c>
      <c r="C735" s="47" t="s">
        <v>113</v>
      </c>
      <c r="D735" s="75" t="s">
        <v>1177</v>
      </c>
      <c r="E735" s="47" t="s">
        <v>667</v>
      </c>
      <c r="F735" s="47" t="s">
        <v>2006</v>
      </c>
      <c r="G735" s="75" t="s">
        <v>68</v>
      </c>
      <c r="H735" s="75" t="s">
        <v>654</v>
      </c>
      <c r="I735" s="47"/>
      <c r="J735" s="48" t="s">
        <v>708</v>
      </c>
      <c r="K73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5" s="116">
        <f>ROUND(Tableau17[[#This Row],[LEN]]*7.27,0)</f>
        <v>233</v>
      </c>
      <c r="M735" s="116">
        <v>15</v>
      </c>
      <c r="N735" s="133" t="str">
        <f t="shared" si="5"/>
        <v>none</v>
      </c>
      <c r="O735" s="116">
        <f>LEN(Tableau17[[#This Row],[LABEL]])</f>
        <v>32</v>
      </c>
      <c r="P735" s="116">
        <v>15</v>
      </c>
      <c r="Q735" s="116" t="e">
        <f>ROUND(Tableau17[[#This Row],[LEN]]*#REF!+#REF!,0)</f>
        <v>#REF!</v>
      </c>
    </row>
    <row r="736" spans="1:17" s="97" customFormat="1" x14ac:dyDescent="0.25">
      <c r="A736" s="41" t="s">
        <v>1533</v>
      </c>
      <c r="B736" s="42" t="s">
        <v>289</v>
      </c>
      <c r="C736" s="43" t="s">
        <v>122</v>
      </c>
      <c r="D736" s="74" t="s">
        <v>1514</v>
      </c>
      <c r="E736" s="43" t="s">
        <v>667</v>
      </c>
      <c r="F736" s="43" t="s">
        <v>2084</v>
      </c>
      <c r="G736" s="74" t="s">
        <v>68</v>
      </c>
      <c r="H736" s="74" t="s">
        <v>656</v>
      </c>
      <c r="I736" s="43"/>
      <c r="J736" s="44" t="s">
        <v>708</v>
      </c>
      <c r="K73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6" s="115">
        <f>ROUND(Tableau17[[#This Row],[LEN]]*7.27,0)</f>
        <v>145</v>
      </c>
      <c r="M736" s="115">
        <v>15</v>
      </c>
      <c r="N736" s="132" t="str">
        <f t="shared" si="5"/>
        <v>none</v>
      </c>
      <c r="O736" s="115">
        <f>LEN(Tableau17[[#This Row],[LABEL]])</f>
        <v>20</v>
      </c>
      <c r="P736" s="115">
        <v>15</v>
      </c>
      <c r="Q736" s="115" t="e">
        <f>ROUND(Tableau17[[#This Row],[LEN]]*#REF!+#REF!,0)</f>
        <v>#REF!</v>
      </c>
    </row>
    <row r="737" spans="1:17" s="97" customFormat="1" x14ac:dyDescent="0.25">
      <c r="A737" s="41" t="s">
        <v>1534</v>
      </c>
      <c r="B737" s="42" t="s">
        <v>289</v>
      </c>
      <c r="C737" s="43" t="s">
        <v>1538</v>
      </c>
      <c r="D737" s="74" t="s">
        <v>1539</v>
      </c>
      <c r="E737" s="43" t="s">
        <v>1177</v>
      </c>
      <c r="F737" s="43" t="s">
        <v>1084</v>
      </c>
      <c r="G737" s="74" t="s">
        <v>1977</v>
      </c>
      <c r="H737" s="74" t="s">
        <v>1131</v>
      </c>
      <c r="I737" s="43"/>
      <c r="J737" s="44" t="s">
        <v>708</v>
      </c>
      <c r="K73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7" s="115">
        <f>ROUND(Tableau17[[#This Row],[LEN]]*7.27,0)</f>
        <v>240</v>
      </c>
      <c r="M737" s="115">
        <v>15</v>
      </c>
      <c r="N737" s="132" t="str">
        <f t="shared" si="5"/>
        <v>none</v>
      </c>
      <c r="O737" s="115">
        <f>LEN(Tableau17[[#This Row],[LABEL]])</f>
        <v>33</v>
      </c>
      <c r="P737" s="115">
        <v>15</v>
      </c>
      <c r="Q737" s="115" t="e">
        <f>ROUND(Tableau17[[#This Row],[LEN]]*#REF!+#REF!,0)</f>
        <v>#REF!</v>
      </c>
    </row>
    <row r="738" spans="1:17" s="97" customFormat="1" x14ac:dyDescent="0.25">
      <c r="A738" s="41" t="s">
        <v>1535</v>
      </c>
      <c r="B738" s="42" t="s">
        <v>289</v>
      </c>
      <c r="C738" s="43" t="s">
        <v>1540</v>
      </c>
      <c r="D738" s="74" t="s">
        <v>1177</v>
      </c>
      <c r="E738" s="43" t="s">
        <v>667</v>
      </c>
      <c r="F738" s="43" t="s">
        <v>684</v>
      </c>
      <c r="G738" s="74" t="s">
        <v>68</v>
      </c>
      <c r="H738" s="74" t="s">
        <v>656</v>
      </c>
      <c r="I738" s="43"/>
      <c r="J738" s="44" t="s">
        <v>708</v>
      </c>
      <c r="K73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38" s="115">
        <f>ROUND(Tableau17[[#This Row],[LEN]]*7.27,0)</f>
        <v>407</v>
      </c>
      <c r="M738" s="115">
        <v>15</v>
      </c>
      <c r="N738" s="132" t="str">
        <f t="shared" si="5"/>
        <v>none</v>
      </c>
      <c r="O738" s="115">
        <f>LEN(Tableau17[[#This Row],[LABEL]])</f>
        <v>56</v>
      </c>
      <c r="P738" s="115">
        <v>15</v>
      </c>
      <c r="Q738" s="115" t="e">
        <f>ROUND(Tableau17[[#This Row],[LEN]]*#REF!+#REF!,0)</f>
        <v>#REF!</v>
      </c>
    </row>
    <row r="739" spans="1:17" s="273" customFormat="1" x14ac:dyDescent="0.25">
      <c r="A739" s="330" t="s">
        <v>290</v>
      </c>
      <c r="B739" s="331" t="s">
        <v>208</v>
      </c>
      <c r="C739" s="332" t="s">
        <v>5</v>
      </c>
      <c r="D739" s="333" t="s">
        <v>1177</v>
      </c>
      <c r="E739" s="332" t="s">
        <v>668</v>
      </c>
      <c r="F739" s="332" t="s">
        <v>1177</v>
      </c>
      <c r="G739" s="333" t="s">
        <v>68</v>
      </c>
      <c r="H739" s="333" t="str">
        <f>IFERROR(IF(SEARCH(".00.00.00.00.00",Tableau17[[#This Row],[name]],1)=7,"Division",""),"")</f>
        <v>Division</v>
      </c>
      <c r="I739" s="332"/>
      <c r="J739" s="334" t="s">
        <v>708</v>
      </c>
      <c r="K739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39" s="335">
        <f>ROUND(Tableau17[[#This Row],[LEN]]*7.27,0)</f>
        <v>73</v>
      </c>
      <c r="M739" s="335">
        <v>15</v>
      </c>
      <c r="N739" s="336" t="str">
        <f t="shared" si="5"/>
        <v>none</v>
      </c>
      <c r="O739" s="335">
        <f>LEN(Tableau17[[#This Row],[LABEL]])</f>
        <v>10</v>
      </c>
      <c r="P739" s="335">
        <v>15</v>
      </c>
      <c r="Q739" s="335" t="e">
        <f>ROUND(Tableau17[[#This Row],[LEN]]*#REF!+#REF!,0)</f>
        <v>#REF!</v>
      </c>
    </row>
    <row r="740" spans="1:17" s="97" customFormat="1" x14ac:dyDescent="0.25">
      <c r="A740" s="41" t="s">
        <v>1541</v>
      </c>
      <c r="B740" s="42" t="s">
        <v>290</v>
      </c>
      <c r="C740" s="43" t="s">
        <v>738</v>
      </c>
      <c r="D740" s="74" t="s">
        <v>1177</v>
      </c>
      <c r="E740" s="43" t="s">
        <v>662</v>
      </c>
      <c r="F740" s="43" t="s">
        <v>2085</v>
      </c>
      <c r="G740" s="74" t="s">
        <v>68</v>
      </c>
      <c r="H740" s="74" t="s">
        <v>56</v>
      </c>
      <c r="I740" s="43"/>
      <c r="J740" s="44" t="s">
        <v>708</v>
      </c>
      <c r="K740" s="4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40" s="115">
        <f>ROUND(Tableau17[[#This Row],[LEN]]*7.27,0)</f>
        <v>247</v>
      </c>
      <c r="M740" s="115">
        <v>15</v>
      </c>
      <c r="N740" s="132" t="str">
        <f t="shared" si="5"/>
        <v>none</v>
      </c>
      <c r="O740" s="115">
        <f>LEN(Tableau17[[#This Row],[LABEL]])</f>
        <v>34</v>
      </c>
      <c r="P740" s="115">
        <v>15</v>
      </c>
      <c r="Q740" s="115" t="e">
        <f>ROUND(Tableau17[[#This Row],[LEN]]*#REF!+#REF!,0)</f>
        <v>#REF!</v>
      </c>
    </row>
    <row r="741" spans="1:17" s="97" customFormat="1" x14ac:dyDescent="0.25">
      <c r="A741" s="41" t="s">
        <v>1542</v>
      </c>
      <c r="B741" s="42" t="s">
        <v>290</v>
      </c>
      <c r="C741" s="43" t="s">
        <v>122</v>
      </c>
      <c r="D741" s="74" t="s">
        <v>1514</v>
      </c>
      <c r="E741" s="43" t="s">
        <v>667</v>
      </c>
      <c r="F741" s="43" t="s">
        <v>2084</v>
      </c>
      <c r="G741" s="74" t="s">
        <v>68</v>
      </c>
      <c r="H741" s="74" t="s">
        <v>656</v>
      </c>
      <c r="I741" s="43"/>
      <c r="J741" s="44" t="s">
        <v>708</v>
      </c>
      <c r="K74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1" s="115">
        <f>ROUND(Tableau17[[#This Row],[LEN]]*7.27,0)</f>
        <v>145</v>
      </c>
      <c r="M741" s="115">
        <v>15</v>
      </c>
      <c r="N741" s="132" t="str">
        <f t="shared" si="5"/>
        <v>none</v>
      </c>
      <c r="O741" s="115">
        <f>LEN(Tableau17[[#This Row],[LABEL]])</f>
        <v>20</v>
      </c>
      <c r="P741" s="115">
        <v>15</v>
      </c>
      <c r="Q741" s="115" t="e">
        <f>ROUND(Tableau17[[#This Row],[LEN]]*#REF!+#REF!,0)</f>
        <v>#REF!</v>
      </c>
    </row>
    <row r="742" spans="1:17" s="273" customFormat="1" x14ac:dyDescent="0.25">
      <c r="A742" s="330" t="s">
        <v>291</v>
      </c>
      <c r="B742" s="331" t="s">
        <v>208</v>
      </c>
      <c r="C742" s="332" t="s">
        <v>6</v>
      </c>
      <c r="D742" s="333" t="s">
        <v>1177</v>
      </c>
      <c r="E742" s="332" t="s">
        <v>669</v>
      </c>
      <c r="F742" s="332" t="s">
        <v>1177</v>
      </c>
      <c r="G742" s="333" t="s">
        <v>68</v>
      </c>
      <c r="H742" s="333" t="str">
        <f>IFERROR(IF(SEARCH(".00.00.00.00.00",Tableau17[[#This Row],[name]],1)=7,"Division",""),"")</f>
        <v>Division</v>
      </c>
      <c r="I742" s="332"/>
      <c r="J742" s="334" t="s">
        <v>708</v>
      </c>
      <c r="K742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42" s="335">
        <f>ROUND(Tableau17[[#This Row],[LEN]]*7.27,0)</f>
        <v>196</v>
      </c>
      <c r="M742" s="335">
        <v>15</v>
      </c>
      <c r="N742" s="336" t="str">
        <f t="shared" si="5"/>
        <v>none</v>
      </c>
      <c r="O742" s="335">
        <f>LEN(Tableau17[[#This Row],[LABEL]])</f>
        <v>27</v>
      </c>
      <c r="P742" s="335">
        <v>15</v>
      </c>
      <c r="Q742" s="335" t="e">
        <f>ROUND(Tableau17[[#This Row],[LEN]]*#REF!+#REF!,0)</f>
        <v>#REF!</v>
      </c>
    </row>
    <row r="743" spans="1:17" s="97" customFormat="1" x14ac:dyDescent="0.25">
      <c r="A743" s="41" t="s">
        <v>449</v>
      </c>
      <c r="B743" s="42" t="s">
        <v>291</v>
      </c>
      <c r="C743" s="43" t="s">
        <v>164</v>
      </c>
      <c r="D743" s="74" t="s">
        <v>1177</v>
      </c>
      <c r="E743" s="43" t="s">
        <v>669</v>
      </c>
      <c r="F743" s="43" t="s">
        <v>1177</v>
      </c>
      <c r="G743" s="74" t="s">
        <v>68</v>
      </c>
      <c r="H743" s="74" t="s">
        <v>18</v>
      </c>
      <c r="I743" s="43"/>
      <c r="J743" s="44" t="s">
        <v>708</v>
      </c>
      <c r="K74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3" s="115">
        <f>ROUND(Tableau17[[#This Row],[LEN]]*7.27,0)</f>
        <v>131</v>
      </c>
      <c r="M743" s="115">
        <v>15</v>
      </c>
      <c r="N743" s="132" t="str">
        <f t="shared" si="5"/>
        <v>none</v>
      </c>
      <c r="O743" s="115">
        <f>LEN(Tableau17[[#This Row],[LABEL]])</f>
        <v>18</v>
      </c>
      <c r="P743" s="115">
        <v>15</v>
      </c>
      <c r="Q743" s="115" t="e">
        <f>ROUND(Tableau17[[#This Row],[LEN]]*#REF!+#REF!,0)</f>
        <v>#REF!</v>
      </c>
    </row>
    <row r="744" spans="1:17" s="97" customFormat="1" x14ac:dyDescent="0.25">
      <c r="A744" s="41" t="s">
        <v>450</v>
      </c>
      <c r="B744" s="42" t="s">
        <v>291</v>
      </c>
      <c r="C744" s="43" t="s">
        <v>849</v>
      </c>
      <c r="D744" s="74" t="s">
        <v>1177</v>
      </c>
      <c r="E744" s="43" t="s">
        <v>667</v>
      </c>
      <c r="F744" s="43" t="s">
        <v>840</v>
      </c>
      <c r="G744" s="74" t="s">
        <v>68</v>
      </c>
      <c r="H744" s="74" t="s">
        <v>655</v>
      </c>
      <c r="I744" s="43"/>
      <c r="J744" s="44" t="s">
        <v>708</v>
      </c>
      <c r="K74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4" s="115">
        <f>ROUND(Tableau17[[#This Row],[LEN]]*7.27,0)</f>
        <v>80</v>
      </c>
      <c r="M744" s="115">
        <v>15</v>
      </c>
      <c r="N744" s="132" t="str">
        <f t="shared" si="5"/>
        <v>none</v>
      </c>
      <c r="O744" s="115">
        <f>LEN(Tableau17[[#This Row],[LABEL]])</f>
        <v>11</v>
      </c>
      <c r="P744" s="115">
        <v>15</v>
      </c>
      <c r="Q744" s="115" t="e">
        <f>ROUND(Tableau17[[#This Row],[LEN]]*#REF!+#REF!,0)</f>
        <v>#REF!</v>
      </c>
    </row>
    <row r="745" spans="1:17" s="97" customFormat="1" x14ac:dyDescent="0.25">
      <c r="A745" s="45" t="s">
        <v>468</v>
      </c>
      <c r="B745" s="46" t="s">
        <v>450</v>
      </c>
      <c r="C745" s="47" t="s">
        <v>112</v>
      </c>
      <c r="D745" s="75" t="s">
        <v>1177</v>
      </c>
      <c r="E745" s="47" t="s">
        <v>667</v>
      </c>
      <c r="F745" s="47" t="s">
        <v>2006</v>
      </c>
      <c r="G745" s="75" t="s">
        <v>68</v>
      </c>
      <c r="H745" s="75" t="s">
        <v>654</v>
      </c>
      <c r="I745" s="47"/>
      <c r="J745" s="48" t="s">
        <v>708</v>
      </c>
      <c r="K74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5" s="116">
        <f>ROUND(Tableau17[[#This Row],[LEN]]*7.27,0)</f>
        <v>167</v>
      </c>
      <c r="M745" s="116">
        <v>15</v>
      </c>
      <c r="N745" s="133" t="str">
        <f t="shared" si="5"/>
        <v>none</v>
      </c>
      <c r="O745" s="116">
        <f>LEN(Tableau17[[#This Row],[LABEL]])</f>
        <v>23</v>
      </c>
      <c r="P745" s="116">
        <v>15</v>
      </c>
      <c r="Q745" s="116" t="e">
        <f>ROUND(Tableau17[[#This Row],[LEN]]*#REF!+#REF!,0)</f>
        <v>#REF!</v>
      </c>
    </row>
    <row r="746" spans="1:17" s="97" customFormat="1" x14ac:dyDescent="0.25">
      <c r="A746" s="45" t="s">
        <v>469</v>
      </c>
      <c r="B746" s="46" t="s">
        <v>450</v>
      </c>
      <c r="C746" s="47" t="s">
        <v>113</v>
      </c>
      <c r="D746" s="75" t="s">
        <v>1177</v>
      </c>
      <c r="E746" s="47" t="s">
        <v>667</v>
      </c>
      <c r="F746" s="47" t="s">
        <v>2006</v>
      </c>
      <c r="G746" s="75" t="s">
        <v>68</v>
      </c>
      <c r="H746" s="75" t="s">
        <v>654</v>
      </c>
      <c r="I746" s="47"/>
      <c r="J746" s="48" t="s">
        <v>708</v>
      </c>
      <c r="K74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6" s="116">
        <f>ROUND(Tableau17[[#This Row],[LEN]]*7.27,0)</f>
        <v>233</v>
      </c>
      <c r="M746" s="116">
        <v>15</v>
      </c>
      <c r="N746" s="133" t="str">
        <f t="shared" si="5"/>
        <v>none</v>
      </c>
      <c r="O746" s="116">
        <f>LEN(Tableau17[[#This Row],[LABEL]])</f>
        <v>32</v>
      </c>
      <c r="P746" s="116">
        <v>15</v>
      </c>
      <c r="Q746" s="116" t="e">
        <f>ROUND(Tableau17[[#This Row],[LEN]]*#REF!+#REF!,0)</f>
        <v>#REF!</v>
      </c>
    </row>
    <row r="747" spans="1:17" s="97" customFormat="1" x14ac:dyDescent="0.25">
      <c r="A747" s="41" t="s">
        <v>451</v>
      </c>
      <c r="B747" s="42" t="s">
        <v>291</v>
      </c>
      <c r="C747" s="43" t="s">
        <v>122</v>
      </c>
      <c r="D747" s="74" t="s">
        <v>1514</v>
      </c>
      <c r="E747" s="43" t="s">
        <v>667</v>
      </c>
      <c r="F747" s="43" t="s">
        <v>2084</v>
      </c>
      <c r="G747" s="74" t="s">
        <v>68</v>
      </c>
      <c r="H747" s="74" t="s">
        <v>656</v>
      </c>
      <c r="I747" s="43"/>
      <c r="J747" s="44" t="s">
        <v>708</v>
      </c>
      <c r="K74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7" s="115">
        <f>ROUND(Tableau17[[#This Row],[LEN]]*7.27,0)</f>
        <v>145</v>
      </c>
      <c r="M747" s="115">
        <v>15</v>
      </c>
      <c r="N747" s="132" t="str">
        <f t="shared" si="5"/>
        <v>none</v>
      </c>
      <c r="O747" s="115">
        <f>LEN(Tableau17[[#This Row],[LABEL]])</f>
        <v>20</v>
      </c>
      <c r="P747" s="115">
        <v>15</v>
      </c>
      <c r="Q747" s="115" t="e">
        <f>ROUND(Tableau17[[#This Row],[LEN]]*#REF!+#REF!,0)</f>
        <v>#REF!</v>
      </c>
    </row>
    <row r="748" spans="1:17" s="97" customFormat="1" x14ac:dyDescent="0.25">
      <c r="A748" s="41" t="s">
        <v>452</v>
      </c>
      <c r="B748" s="42" t="s">
        <v>291</v>
      </c>
      <c r="C748" s="43" t="s">
        <v>165</v>
      </c>
      <c r="D748" s="74" t="s">
        <v>1177</v>
      </c>
      <c r="E748" s="43" t="s">
        <v>669</v>
      </c>
      <c r="F748" s="43" t="s">
        <v>1177</v>
      </c>
      <c r="G748" s="74" t="s">
        <v>68</v>
      </c>
      <c r="H748" s="74" t="s">
        <v>656</v>
      </c>
      <c r="I748" s="43"/>
      <c r="J748" s="44" t="s">
        <v>708</v>
      </c>
      <c r="K74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8" s="115">
        <f>ROUND(Tableau17[[#This Row],[LEN]]*7.27,0)</f>
        <v>189</v>
      </c>
      <c r="M748" s="115">
        <v>15</v>
      </c>
      <c r="N748" s="132" t="str">
        <f t="shared" si="5"/>
        <v>none</v>
      </c>
      <c r="O748" s="115">
        <f>LEN(Tableau17[[#This Row],[LABEL]])</f>
        <v>26</v>
      </c>
      <c r="P748" s="115">
        <v>15</v>
      </c>
      <c r="Q748" s="115" t="e">
        <f>ROUND(Tableau17[[#This Row],[LEN]]*#REF!+#REF!,0)</f>
        <v>#REF!</v>
      </c>
    </row>
    <row r="749" spans="1:17" s="97" customFormat="1" x14ac:dyDescent="0.25">
      <c r="A749" s="41" t="s">
        <v>1619</v>
      </c>
      <c r="B749" s="42" t="s">
        <v>291</v>
      </c>
      <c r="C749" s="43" t="s">
        <v>1618</v>
      </c>
      <c r="D749" s="74" t="s">
        <v>1177</v>
      </c>
      <c r="E749" s="43" t="s">
        <v>669</v>
      </c>
      <c r="F749" s="43" t="s">
        <v>678</v>
      </c>
      <c r="G749" s="74" t="s">
        <v>68</v>
      </c>
      <c r="H749" s="74" t="s">
        <v>656</v>
      </c>
      <c r="I749" s="43"/>
      <c r="J749" s="44" t="s">
        <v>708</v>
      </c>
      <c r="K74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49" s="115">
        <f>ROUND(Tableau17[[#This Row],[LEN]]*7.27,0)</f>
        <v>225</v>
      </c>
      <c r="M749" s="115">
        <v>15</v>
      </c>
      <c r="N749" s="132" t="str">
        <f t="shared" si="5"/>
        <v>none</v>
      </c>
      <c r="O749" s="115">
        <f>LEN(Tableau17[[#This Row],[LABEL]])</f>
        <v>31</v>
      </c>
      <c r="P749" s="115">
        <v>15</v>
      </c>
      <c r="Q749" s="115" t="e">
        <f>ROUND(Tableau17[[#This Row],[LEN]]*#REF!+#REF!,0)</f>
        <v>#REF!</v>
      </c>
    </row>
    <row r="750" spans="1:17" s="273" customFormat="1" x14ac:dyDescent="0.25">
      <c r="A750" s="330" t="s">
        <v>292</v>
      </c>
      <c r="B750" s="331" t="s">
        <v>208</v>
      </c>
      <c r="C750" s="332" t="s">
        <v>7</v>
      </c>
      <c r="D750" s="333" t="s">
        <v>1177</v>
      </c>
      <c r="E750" s="332" t="s">
        <v>670</v>
      </c>
      <c r="F750" s="332" t="s">
        <v>1177</v>
      </c>
      <c r="G750" s="333" t="s">
        <v>68</v>
      </c>
      <c r="H750" s="333" t="str">
        <f>IFERROR(IF(SEARCH(".00.00.00.00.00",Tableau17[[#This Row],[name]],1)=7,"Division",""),"")</f>
        <v>Division</v>
      </c>
      <c r="I750" s="332"/>
      <c r="J750" s="334" t="s">
        <v>708</v>
      </c>
      <c r="K750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50" s="335">
        <f>ROUND(Tableau17[[#This Row],[LEN]]*7.27,0)</f>
        <v>189</v>
      </c>
      <c r="M750" s="335">
        <v>15</v>
      </c>
      <c r="N750" s="336" t="str">
        <f t="shared" si="5"/>
        <v>none</v>
      </c>
      <c r="O750" s="335">
        <f>LEN(Tableau17[[#This Row],[LABEL]])</f>
        <v>26</v>
      </c>
      <c r="P750" s="335">
        <v>15</v>
      </c>
      <c r="Q750" s="335" t="e">
        <f>ROUND(Tableau17[[#This Row],[LEN]]*#REF!+#REF!,0)</f>
        <v>#REF!</v>
      </c>
    </row>
    <row r="751" spans="1:17" s="97" customFormat="1" x14ac:dyDescent="0.25">
      <c r="A751" s="41" t="s">
        <v>1544</v>
      </c>
      <c r="B751" s="42" t="s">
        <v>292</v>
      </c>
      <c r="C751" s="43" t="s">
        <v>1547</v>
      </c>
      <c r="D751" s="74" t="s">
        <v>1177</v>
      </c>
      <c r="E751" s="43" t="s">
        <v>670</v>
      </c>
      <c r="F751" s="43" t="s">
        <v>1177</v>
      </c>
      <c r="G751" s="74" t="s">
        <v>68</v>
      </c>
      <c r="H751" s="74" t="s">
        <v>656</v>
      </c>
      <c r="I751" s="43"/>
      <c r="J751" s="44" t="s">
        <v>708</v>
      </c>
      <c r="K75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1" s="115">
        <f>ROUND(Tableau17[[#This Row],[LEN]]*7.27,0)</f>
        <v>436</v>
      </c>
      <c r="M751" s="115">
        <v>13</v>
      </c>
      <c r="N751" s="132" t="str">
        <f t="shared" si="5"/>
        <v>none</v>
      </c>
      <c r="O751" s="115">
        <f>LEN(Tableau17[[#This Row],[LABEL]])</f>
        <v>60</v>
      </c>
      <c r="P751" s="115">
        <v>13</v>
      </c>
      <c r="Q751" s="115" t="e">
        <f>ROUND(Tableau17[[#This Row],[LEN]]*#REF!+#REF!,0)</f>
        <v>#REF!</v>
      </c>
    </row>
    <row r="752" spans="1:17" s="97" customFormat="1" x14ac:dyDescent="0.25">
      <c r="A752" s="41" t="s">
        <v>1545</v>
      </c>
      <c r="B752" s="42" t="s">
        <v>292</v>
      </c>
      <c r="C752" s="43" t="s">
        <v>1548</v>
      </c>
      <c r="D752" s="74" t="s">
        <v>1177</v>
      </c>
      <c r="E752" s="43" t="s">
        <v>670</v>
      </c>
      <c r="F752" s="43" t="s">
        <v>1177</v>
      </c>
      <c r="G752" s="74" t="s">
        <v>68</v>
      </c>
      <c r="H752" s="74" t="s">
        <v>656</v>
      </c>
      <c r="I752" s="43"/>
      <c r="J752" s="44" t="s">
        <v>708</v>
      </c>
      <c r="K75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2" s="115">
        <f>ROUND(Tableau17[[#This Row],[LEN]]*7.27,0)</f>
        <v>414</v>
      </c>
      <c r="M752" s="115">
        <v>14</v>
      </c>
      <c r="N752" s="132" t="str">
        <f t="shared" si="5"/>
        <v>none</v>
      </c>
      <c r="O752" s="115">
        <f>LEN(Tableau17[[#This Row],[LABEL]])</f>
        <v>57</v>
      </c>
      <c r="P752" s="115">
        <v>14</v>
      </c>
      <c r="Q752" s="115" t="e">
        <f>ROUND(Tableau17[[#This Row],[LEN]]*#REF!+#REF!,0)</f>
        <v>#REF!</v>
      </c>
    </row>
    <row r="753" spans="1:17" s="97" customFormat="1" x14ac:dyDescent="0.25">
      <c r="A753" s="41" t="s">
        <v>1546</v>
      </c>
      <c r="B753" s="42" t="s">
        <v>292</v>
      </c>
      <c r="C753" s="43" t="s">
        <v>122</v>
      </c>
      <c r="D753" s="74" t="s">
        <v>1514</v>
      </c>
      <c r="E753" s="43" t="s">
        <v>667</v>
      </c>
      <c r="F753" s="43" t="s">
        <v>2084</v>
      </c>
      <c r="G753" s="74" t="s">
        <v>68</v>
      </c>
      <c r="H753" s="74" t="s">
        <v>656</v>
      </c>
      <c r="I753" s="43"/>
      <c r="J753" s="44" t="s">
        <v>708</v>
      </c>
      <c r="K75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3" s="115">
        <f>ROUND(Tableau17[[#This Row],[LEN]]*7.27,0)</f>
        <v>145</v>
      </c>
      <c r="M753" s="115">
        <v>15</v>
      </c>
      <c r="N753" s="132" t="str">
        <f t="shared" si="5"/>
        <v>none</v>
      </c>
      <c r="O753" s="115">
        <f>LEN(Tableau17[[#This Row],[LABEL]])</f>
        <v>20</v>
      </c>
      <c r="P753" s="115">
        <v>15</v>
      </c>
      <c r="Q753" s="115" t="e">
        <f>ROUND(Tableau17[[#This Row],[LEN]]*#REF!+#REF!,0)</f>
        <v>#REF!</v>
      </c>
    </row>
    <row r="754" spans="1:17" s="273" customFormat="1" x14ac:dyDescent="0.25">
      <c r="A754" s="330" t="s">
        <v>293</v>
      </c>
      <c r="B754" s="331" t="s">
        <v>208</v>
      </c>
      <c r="C754" s="332" t="s">
        <v>8</v>
      </c>
      <c r="D754" s="333" t="s">
        <v>1177</v>
      </c>
      <c r="E754" s="332" t="s">
        <v>671</v>
      </c>
      <c r="F754" s="332" t="s">
        <v>1177</v>
      </c>
      <c r="G754" s="333" t="s">
        <v>68</v>
      </c>
      <c r="H754" s="333" t="str">
        <f>IFERROR(IF(SEARCH(".00.00.00.00.00",Tableau17[[#This Row],[name]],1)=7,"Division",""),"")</f>
        <v>Division</v>
      </c>
      <c r="I754" s="332"/>
      <c r="J754" s="334" t="s">
        <v>708</v>
      </c>
      <c r="K754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54" s="335">
        <f>ROUND(Tableau17[[#This Row],[LEN]]*7.27,0)</f>
        <v>116</v>
      </c>
      <c r="M754" s="335">
        <v>15</v>
      </c>
      <c r="N754" s="336" t="str">
        <f t="shared" si="5"/>
        <v>none</v>
      </c>
      <c r="O754" s="335">
        <f>LEN(Tableau17[[#This Row],[LABEL]])</f>
        <v>16</v>
      </c>
      <c r="P754" s="335">
        <v>15</v>
      </c>
      <c r="Q754" s="335" t="e">
        <f>ROUND(Tableau17[[#This Row],[LEN]]*#REF!+#REF!,0)</f>
        <v>#REF!</v>
      </c>
    </row>
    <row r="755" spans="1:17" s="97" customFormat="1" x14ac:dyDescent="0.25">
      <c r="A755" s="41" t="s">
        <v>1549</v>
      </c>
      <c r="B755" s="42" t="s">
        <v>293</v>
      </c>
      <c r="C755" s="43" t="s">
        <v>1552</v>
      </c>
      <c r="D755" s="74" t="s">
        <v>1177</v>
      </c>
      <c r="E755" s="43" t="s">
        <v>671</v>
      </c>
      <c r="F755" s="43" t="s">
        <v>1177</v>
      </c>
      <c r="G755" s="74" t="s">
        <v>68</v>
      </c>
      <c r="H755" s="74" t="s">
        <v>654</v>
      </c>
      <c r="I755" s="43"/>
      <c r="J755" s="44" t="s">
        <v>708</v>
      </c>
      <c r="K75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5" s="115">
        <f>ROUND(Tableau17[[#This Row],[LEN]]*7.27,0)</f>
        <v>291</v>
      </c>
      <c r="M755" s="115">
        <v>13</v>
      </c>
      <c r="N755" s="132" t="str">
        <f t="shared" si="5"/>
        <v>none</v>
      </c>
      <c r="O755" s="115">
        <f>LEN(Tableau17[[#This Row],[LABEL]])</f>
        <v>40</v>
      </c>
      <c r="P755" s="115">
        <v>13</v>
      </c>
      <c r="Q755" s="115" t="e">
        <f>ROUND(Tableau17[[#This Row],[LEN]]*#REF!+#REF!,0)</f>
        <v>#REF!</v>
      </c>
    </row>
    <row r="756" spans="1:17" s="97" customFormat="1" x14ac:dyDescent="0.25">
      <c r="A756" s="41" t="s">
        <v>1550</v>
      </c>
      <c r="B756" s="42" t="s">
        <v>293</v>
      </c>
      <c r="C756" s="43" t="s">
        <v>1553</v>
      </c>
      <c r="D756" s="74" t="s">
        <v>1177</v>
      </c>
      <c r="E756" s="43" t="s">
        <v>671</v>
      </c>
      <c r="F756" s="43" t="s">
        <v>1177</v>
      </c>
      <c r="G756" s="74" t="s">
        <v>68</v>
      </c>
      <c r="H756" s="74" t="s">
        <v>656</v>
      </c>
      <c r="I756" s="43"/>
      <c r="J756" s="44" t="s">
        <v>708</v>
      </c>
      <c r="K75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6" s="115">
        <f>ROUND(Tableau17[[#This Row],[LEN]]*7.27,0)</f>
        <v>305</v>
      </c>
      <c r="M756" s="115">
        <v>14</v>
      </c>
      <c r="N756" s="132" t="str">
        <f t="shared" si="5"/>
        <v>none</v>
      </c>
      <c r="O756" s="115">
        <f>LEN(Tableau17[[#This Row],[LABEL]])</f>
        <v>42</v>
      </c>
      <c r="P756" s="115">
        <v>14</v>
      </c>
      <c r="Q756" s="115" t="e">
        <f>ROUND(Tableau17[[#This Row],[LEN]]*#REF!+#REF!,0)</f>
        <v>#REF!</v>
      </c>
    </row>
    <row r="757" spans="1:17" s="97" customFormat="1" x14ac:dyDescent="0.25">
      <c r="A757" s="41" t="s">
        <v>1551</v>
      </c>
      <c r="B757" s="42" t="s">
        <v>293</v>
      </c>
      <c r="C757" s="43" t="s">
        <v>122</v>
      </c>
      <c r="D757" s="74" t="s">
        <v>1514</v>
      </c>
      <c r="E757" s="43" t="s">
        <v>667</v>
      </c>
      <c r="F757" s="43" t="s">
        <v>2084</v>
      </c>
      <c r="G757" s="74" t="s">
        <v>68</v>
      </c>
      <c r="H757" s="74" t="s">
        <v>656</v>
      </c>
      <c r="I757" s="43"/>
      <c r="J757" s="44" t="s">
        <v>708</v>
      </c>
      <c r="K75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7" s="115">
        <f>ROUND(Tableau17[[#This Row],[LEN]]*7.27,0)</f>
        <v>145</v>
      </c>
      <c r="M757" s="115">
        <v>15</v>
      </c>
      <c r="N757" s="132" t="str">
        <f t="shared" si="5"/>
        <v>none</v>
      </c>
      <c r="O757" s="115">
        <f>LEN(Tableau17[[#This Row],[LABEL]])</f>
        <v>20</v>
      </c>
      <c r="P757" s="115">
        <v>15</v>
      </c>
      <c r="Q757" s="115" t="e">
        <f>ROUND(Tableau17[[#This Row],[LEN]]*#REF!+#REF!,0)</f>
        <v>#REF!</v>
      </c>
    </row>
    <row r="758" spans="1:17" s="273" customFormat="1" x14ac:dyDescent="0.25">
      <c r="A758" s="330" t="s">
        <v>294</v>
      </c>
      <c r="B758" s="331" t="s">
        <v>208</v>
      </c>
      <c r="C758" s="332" t="s">
        <v>9</v>
      </c>
      <c r="D758" s="333" t="s">
        <v>1177</v>
      </c>
      <c r="E758" s="332" t="s">
        <v>672</v>
      </c>
      <c r="F758" s="332" t="s">
        <v>1177</v>
      </c>
      <c r="G758" s="333" t="s">
        <v>68</v>
      </c>
      <c r="H758" s="333" t="str">
        <f>IFERROR(IF(SEARCH(".00.00.00.00.00",Tableau17[[#This Row],[name]],1)=7,"Division",""),"")</f>
        <v>Division</v>
      </c>
      <c r="I758" s="332"/>
      <c r="J758" s="334" t="s">
        <v>718</v>
      </c>
      <c r="K758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58" s="335">
        <f>ROUND(Tableau17[[#This Row],[LEN]]*7.27,0)</f>
        <v>80</v>
      </c>
      <c r="M758" s="335">
        <v>15</v>
      </c>
      <c r="N758" s="336" t="str">
        <f t="shared" si="5"/>
        <v>new</v>
      </c>
      <c r="O758" s="335">
        <f>LEN(Tableau17[[#This Row],[LABEL]])</f>
        <v>11</v>
      </c>
      <c r="P758" s="335">
        <v>15</v>
      </c>
      <c r="Q758" s="335" t="e">
        <f>ROUND(Tableau17[[#This Row],[LEN]]*#REF!+#REF!,0)</f>
        <v>#REF!</v>
      </c>
    </row>
    <row r="759" spans="1:17" s="97" customFormat="1" x14ac:dyDescent="0.25">
      <c r="A759" s="41" t="s">
        <v>515</v>
      </c>
      <c r="B759" s="42" t="s">
        <v>294</v>
      </c>
      <c r="C759" s="43" t="s">
        <v>511</v>
      </c>
      <c r="D759" s="74" t="s">
        <v>1177</v>
      </c>
      <c r="E759" s="43" t="s">
        <v>672</v>
      </c>
      <c r="F759" s="43" t="s">
        <v>1177</v>
      </c>
      <c r="G759" s="74" t="s">
        <v>68</v>
      </c>
      <c r="H759" s="74" t="s">
        <v>654</v>
      </c>
      <c r="I759" s="43"/>
      <c r="J759" s="44" t="s">
        <v>708</v>
      </c>
      <c r="K75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59" s="115">
        <f>ROUND(Tableau17[[#This Row],[LEN]]*7.27,0)</f>
        <v>305</v>
      </c>
      <c r="M759" s="115">
        <v>15</v>
      </c>
      <c r="N759" s="132" t="str">
        <f t="shared" si="5"/>
        <v>none</v>
      </c>
      <c r="O759" s="115">
        <f>LEN(Tableau17[[#This Row],[LABEL]])</f>
        <v>42</v>
      </c>
      <c r="P759" s="115">
        <v>15</v>
      </c>
      <c r="Q759" s="115" t="e">
        <f>ROUND(Tableau17[[#This Row],[LEN]]*#REF!+#REF!,0)</f>
        <v>#REF!</v>
      </c>
    </row>
    <row r="760" spans="1:17" s="97" customFormat="1" x14ac:dyDescent="0.25">
      <c r="A760" s="41" t="s">
        <v>516</v>
      </c>
      <c r="B760" s="42" t="s">
        <v>294</v>
      </c>
      <c r="C760" s="43" t="s">
        <v>521</v>
      </c>
      <c r="D760" s="74" t="s">
        <v>1177</v>
      </c>
      <c r="E760" s="43" t="s">
        <v>672</v>
      </c>
      <c r="F760" s="43" t="s">
        <v>1177</v>
      </c>
      <c r="G760" s="74" t="s">
        <v>68</v>
      </c>
      <c r="H760" s="74" t="s">
        <v>655</v>
      </c>
      <c r="I760" s="43"/>
      <c r="J760" s="44" t="s">
        <v>708</v>
      </c>
      <c r="K76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0" s="115">
        <f>ROUND(Tableau17[[#This Row],[LEN]]*7.27,0)</f>
        <v>138</v>
      </c>
      <c r="M760" s="115">
        <v>15</v>
      </c>
      <c r="N760" s="132" t="str">
        <f t="shared" si="5"/>
        <v>none</v>
      </c>
      <c r="O760" s="115">
        <f>LEN(Tableau17[[#This Row],[LABEL]])</f>
        <v>19</v>
      </c>
      <c r="P760" s="115">
        <v>15</v>
      </c>
      <c r="Q760" s="115" t="e">
        <f>ROUND(Tableau17[[#This Row],[LEN]]*#REF!+#REF!,0)</f>
        <v>#REF!</v>
      </c>
    </row>
    <row r="761" spans="1:17" s="97" customFormat="1" x14ac:dyDescent="0.25">
      <c r="A761" s="45" t="s">
        <v>522</v>
      </c>
      <c r="B761" s="46" t="s">
        <v>516</v>
      </c>
      <c r="C761" s="47" t="s">
        <v>536</v>
      </c>
      <c r="D761" s="75" t="s">
        <v>1177</v>
      </c>
      <c r="E761" s="47" t="s">
        <v>672</v>
      </c>
      <c r="F761" s="47" t="s">
        <v>1177</v>
      </c>
      <c r="G761" s="75" t="s">
        <v>68</v>
      </c>
      <c r="H761" s="75" t="s">
        <v>654</v>
      </c>
      <c r="I761" s="47"/>
      <c r="J761" s="48" t="s">
        <v>708</v>
      </c>
      <c r="K76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1" s="116">
        <f>ROUND(Tableau17[[#This Row],[LEN]]*7.27,0)</f>
        <v>174</v>
      </c>
      <c r="M761" s="116">
        <v>15</v>
      </c>
      <c r="N761" s="133" t="str">
        <f t="shared" si="5"/>
        <v>none</v>
      </c>
      <c r="O761" s="116">
        <f>LEN(Tableau17[[#This Row],[LABEL]])</f>
        <v>24</v>
      </c>
      <c r="P761" s="116">
        <v>15</v>
      </c>
      <c r="Q761" s="116" t="e">
        <f>ROUND(Tableau17[[#This Row],[LEN]]*#REF!+#REF!,0)</f>
        <v>#REF!</v>
      </c>
    </row>
    <row r="762" spans="1:17" s="97" customFormat="1" x14ac:dyDescent="0.25">
      <c r="A762" s="45" t="s">
        <v>523</v>
      </c>
      <c r="B762" s="46" t="s">
        <v>516</v>
      </c>
      <c r="C762" s="47" t="s">
        <v>535</v>
      </c>
      <c r="D762" s="75" t="s">
        <v>1177</v>
      </c>
      <c r="E762" s="47" t="s">
        <v>672</v>
      </c>
      <c r="F762" s="47" t="s">
        <v>1177</v>
      </c>
      <c r="G762" s="75" t="s">
        <v>68</v>
      </c>
      <c r="H762" s="75" t="s">
        <v>654</v>
      </c>
      <c r="I762" s="47"/>
      <c r="J762" s="48" t="s">
        <v>708</v>
      </c>
      <c r="K76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2" s="116">
        <f>ROUND(Tableau17[[#This Row],[LEN]]*7.27,0)</f>
        <v>218</v>
      </c>
      <c r="M762" s="116">
        <v>15</v>
      </c>
      <c r="N762" s="133" t="str">
        <f t="shared" si="5"/>
        <v>none</v>
      </c>
      <c r="O762" s="116">
        <f>LEN(Tableau17[[#This Row],[LABEL]])</f>
        <v>30</v>
      </c>
      <c r="P762" s="116">
        <v>15</v>
      </c>
      <c r="Q762" s="116" t="e">
        <f>ROUND(Tableau17[[#This Row],[LEN]]*#REF!+#REF!,0)</f>
        <v>#REF!</v>
      </c>
    </row>
    <row r="763" spans="1:17" s="97" customFormat="1" x14ac:dyDescent="0.25">
      <c r="A763" s="45" t="s">
        <v>524</v>
      </c>
      <c r="B763" s="46" t="s">
        <v>516</v>
      </c>
      <c r="C763" s="47" t="s">
        <v>530</v>
      </c>
      <c r="D763" s="75" t="s">
        <v>1177</v>
      </c>
      <c r="E763" s="47" t="s">
        <v>672</v>
      </c>
      <c r="F763" s="47" t="s">
        <v>1177</v>
      </c>
      <c r="G763" s="75" t="s">
        <v>68</v>
      </c>
      <c r="H763" s="75" t="s">
        <v>656</v>
      </c>
      <c r="I763" s="47"/>
      <c r="J763" s="48" t="s">
        <v>708</v>
      </c>
      <c r="K76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3" s="116">
        <f>ROUND(Tableau17[[#This Row],[LEN]]*7.27,0)</f>
        <v>327</v>
      </c>
      <c r="M763" s="116">
        <v>15</v>
      </c>
      <c r="N763" s="133" t="str">
        <f t="shared" si="5"/>
        <v>none</v>
      </c>
      <c r="O763" s="116">
        <f>LEN(Tableau17[[#This Row],[LABEL]])</f>
        <v>45</v>
      </c>
      <c r="P763" s="116">
        <v>15</v>
      </c>
      <c r="Q763" s="116" t="e">
        <f>ROUND(Tableau17[[#This Row],[LEN]]*#REF!+#REF!,0)</f>
        <v>#REF!</v>
      </c>
    </row>
    <row r="764" spans="1:17" s="97" customFormat="1" x14ac:dyDescent="0.25">
      <c r="A764" s="45" t="s">
        <v>525</v>
      </c>
      <c r="B764" s="46" t="s">
        <v>516</v>
      </c>
      <c r="C764" s="47" t="s">
        <v>531</v>
      </c>
      <c r="D764" s="75" t="s">
        <v>1177</v>
      </c>
      <c r="E764" s="47" t="s">
        <v>672</v>
      </c>
      <c r="F764" s="47" t="s">
        <v>1177</v>
      </c>
      <c r="G764" s="75" t="s">
        <v>68</v>
      </c>
      <c r="H764" s="75" t="s">
        <v>654</v>
      </c>
      <c r="I764" s="47"/>
      <c r="J764" s="48" t="s">
        <v>708</v>
      </c>
      <c r="K76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4" s="116">
        <f>ROUND(Tableau17[[#This Row],[LEN]]*7.27,0)</f>
        <v>400</v>
      </c>
      <c r="M764" s="116">
        <v>15</v>
      </c>
      <c r="N764" s="133" t="str">
        <f t="shared" si="5"/>
        <v>none</v>
      </c>
      <c r="O764" s="116">
        <f>LEN(Tableau17[[#This Row],[LABEL]])</f>
        <v>55</v>
      </c>
      <c r="P764" s="116">
        <v>15</v>
      </c>
      <c r="Q764" s="116" t="e">
        <f>ROUND(Tableau17[[#This Row],[LEN]]*#REF!+#REF!,0)</f>
        <v>#REF!</v>
      </c>
    </row>
    <row r="765" spans="1:17" s="97" customFormat="1" x14ac:dyDescent="0.25">
      <c r="A765" s="45" t="s">
        <v>526</v>
      </c>
      <c r="B765" s="46" t="s">
        <v>516</v>
      </c>
      <c r="C765" s="47" t="s">
        <v>532</v>
      </c>
      <c r="D765" s="75" t="s">
        <v>1177</v>
      </c>
      <c r="E765" s="47" t="s">
        <v>672</v>
      </c>
      <c r="F765" s="47" t="s">
        <v>1177</v>
      </c>
      <c r="G765" s="75" t="s">
        <v>68</v>
      </c>
      <c r="H765" s="75" t="s">
        <v>18</v>
      </c>
      <c r="I765" s="47"/>
      <c r="J765" s="48" t="s">
        <v>708</v>
      </c>
      <c r="K76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5" s="116">
        <f>ROUND(Tableau17[[#This Row],[LEN]]*7.27,0)</f>
        <v>589</v>
      </c>
      <c r="M765" s="116">
        <v>15</v>
      </c>
      <c r="N765" s="133" t="str">
        <f t="shared" si="5"/>
        <v>none</v>
      </c>
      <c r="O765" s="116">
        <f>LEN(Tableau17[[#This Row],[LABEL]])</f>
        <v>81</v>
      </c>
      <c r="P765" s="116">
        <v>15</v>
      </c>
      <c r="Q765" s="116" t="e">
        <f>ROUND(Tableau17[[#This Row],[LEN]]*#REF!+#REF!,0)</f>
        <v>#REF!</v>
      </c>
    </row>
    <row r="766" spans="1:17" s="97" customFormat="1" x14ac:dyDescent="0.25">
      <c r="A766" s="45" t="s">
        <v>527</v>
      </c>
      <c r="B766" s="46" t="s">
        <v>516</v>
      </c>
      <c r="C766" s="47" t="s">
        <v>533</v>
      </c>
      <c r="D766" s="75" t="s">
        <v>1177</v>
      </c>
      <c r="E766" s="47" t="s">
        <v>672</v>
      </c>
      <c r="F766" s="47" t="s">
        <v>1177</v>
      </c>
      <c r="G766" s="75" t="s">
        <v>68</v>
      </c>
      <c r="H766" s="75" t="s">
        <v>654</v>
      </c>
      <c r="I766" s="47"/>
      <c r="J766" s="48" t="s">
        <v>708</v>
      </c>
      <c r="K76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6" s="116">
        <f>ROUND(Tableau17[[#This Row],[LEN]]*7.27,0)</f>
        <v>400</v>
      </c>
      <c r="M766" s="116">
        <v>15</v>
      </c>
      <c r="N766" s="133" t="str">
        <f t="shared" si="5"/>
        <v>none</v>
      </c>
      <c r="O766" s="116">
        <f>LEN(Tableau17[[#This Row],[LABEL]])</f>
        <v>55</v>
      </c>
      <c r="P766" s="116">
        <v>15</v>
      </c>
      <c r="Q766" s="116" t="e">
        <f>ROUND(Tableau17[[#This Row],[LEN]]*#REF!+#REF!,0)</f>
        <v>#REF!</v>
      </c>
    </row>
    <row r="767" spans="1:17" s="97" customFormat="1" x14ac:dyDescent="0.25">
      <c r="A767" s="45" t="s">
        <v>528</v>
      </c>
      <c r="B767" s="46" t="s">
        <v>516</v>
      </c>
      <c r="C767" s="47" t="s">
        <v>534</v>
      </c>
      <c r="D767" s="75" t="s">
        <v>1177</v>
      </c>
      <c r="E767" s="47" t="s">
        <v>672</v>
      </c>
      <c r="F767" s="47" t="s">
        <v>1177</v>
      </c>
      <c r="G767" s="75" t="s">
        <v>68</v>
      </c>
      <c r="H767" s="75" t="s">
        <v>656</v>
      </c>
      <c r="I767" s="47"/>
      <c r="J767" s="48" t="s">
        <v>708</v>
      </c>
      <c r="K767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7" s="116">
        <f>ROUND(Tableau17[[#This Row],[LEN]]*7.27,0)</f>
        <v>356</v>
      </c>
      <c r="M767" s="116">
        <v>15</v>
      </c>
      <c r="N767" s="133" t="str">
        <f t="shared" si="5"/>
        <v>none</v>
      </c>
      <c r="O767" s="116">
        <f>LEN(Tableau17[[#This Row],[LABEL]])</f>
        <v>49</v>
      </c>
      <c r="P767" s="116">
        <v>15</v>
      </c>
      <c r="Q767" s="116" t="e">
        <f>ROUND(Tableau17[[#This Row],[LEN]]*#REF!+#REF!,0)</f>
        <v>#REF!</v>
      </c>
    </row>
    <row r="768" spans="1:17" s="97" customFormat="1" x14ac:dyDescent="0.25">
      <c r="A768" s="45" t="s">
        <v>529</v>
      </c>
      <c r="B768" s="46" t="s">
        <v>516</v>
      </c>
      <c r="C768" s="47" t="s">
        <v>537</v>
      </c>
      <c r="D768" s="75" t="s">
        <v>1177</v>
      </c>
      <c r="E768" s="47" t="s">
        <v>672</v>
      </c>
      <c r="F768" s="47" t="s">
        <v>1177</v>
      </c>
      <c r="G768" s="75" t="s">
        <v>68</v>
      </c>
      <c r="H768" s="75" t="s">
        <v>654</v>
      </c>
      <c r="I768" s="47"/>
      <c r="J768" s="48" t="s">
        <v>708</v>
      </c>
      <c r="K76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8" s="116">
        <f>ROUND(Tableau17[[#This Row],[LEN]]*7.27,0)</f>
        <v>225</v>
      </c>
      <c r="M768" s="116">
        <v>15</v>
      </c>
      <c r="N768" s="133" t="str">
        <f t="shared" si="5"/>
        <v>none</v>
      </c>
      <c r="O768" s="116">
        <f>LEN(Tableau17[[#This Row],[LABEL]])</f>
        <v>31</v>
      </c>
      <c r="P768" s="116">
        <v>15</v>
      </c>
      <c r="Q768" s="116" t="e">
        <f>ROUND(Tableau17[[#This Row],[LEN]]*#REF!+#REF!,0)</f>
        <v>#REF!</v>
      </c>
    </row>
    <row r="769" spans="1:17" s="97" customFormat="1" x14ac:dyDescent="0.25">
      <c r="A769" s="41" t="s">
        <v>517</v>
      </c>
      <c r="B769" s="42" t="s">
        <v>294</v>
      </c>
      <c r="C769" s="43" t="s">
        <v>512</v>
      </c>
      <c r="D769" s="74" t="s">
        <v>1177</v>
      </c>
      <c r="E769" s="43" t="s">
        <v>667</v>
      </c>
      <c r="F769" s="43" t="s">
        <v>672</v>
      </c>
      <c r="G769" s="74" t="s">
        <v>68</v>
      </c>
      <c r="H769" s="74" t="s">
        <v>654</v>
      </c>
      <c r="I769" s="43"/>
      <c r="J769" s="44" t="s">
        <v>708</v>
      </c>
      <c r="K76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69" s="115">
        <f>ROUND(Tableau17[[#This Row],[LEN]]*7.27,0)</f>
        <v>80</v>
      </c>
      <c r="M769" s="115">
        <v>15</v>
      </c>
      <c r="N769" s="132" t="str">
        <f t="shared" si="5"/>
        <v>none</v>
      </c>
      <c r="O769" s="115">
        <f>LEN(Tableau17[[#This Row],[LABEL]])</f>
        <v>11</v>
      </c>
      <c r="P769" s="115">
        <v>15</v>
      </c>
      <c r="Q769" s="115" t="e">
        <f>ROUND(Tableau17[[#This Row],[LEN]]*#REF!+#REF!,0)</f>
        <v>#REF!</v>
      </c>
    </row>
    <row r="770" spans="1:17" s="97" customFormat="1" x14ac:dyDescent="0.25">
      <c r="A770" s="41" t="s">
        <v>518</v>
      </c>
      <c r="B770" s="42" t="s">
        <v>294</v>
      </c>
      <c r="C770" s="43" t="s">
        <v>513</v>
      </c>
      <c r="D770" s="74" t="s">
        <v>1177</v>
      </c>
      <c r="E770" s="43" t="s">
        <v>672</v>
      </c>
      <c r="F770" s="43" t="s">
        <v>1177</v>
      </c>
      <c r="G770" s="74" t="s">
        <v>68</v>
      </c>
      <c r="H770" s="74" t="s">
        <v>654</v>
      </c>
      <c r="I770" s="43"/>
      <c r="J770" s="44" t="s">
        <v>708</v>
      </c>
      <c r="K77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0" s="115">
        <f>ROUND(Tableau17[[#This Row],[LEN]]*7.27,0)</f>
        <v>378</v>
      </c>
      <c r="M770" s="115">
        <v>15</v>
      </c>
      <c r="N770" s="132" t="str">
        <f t="shared" si="5"/>
        <v>none</v>
      </c>
      <c r="O770" s="115">
        <f>LEN(Tableau17[[#This Row],[LABEL]])</f>
        <v>52</v>
      </c>
      <c r="P770" s="115">
        <v>15</v>
      </c>
      <c r="Q770" s="115" t="e">
        <f>ROUND(Tableau17[[#This Row],[LEN]]*#REF!+#REF!,0)</f>
        <v>#REF!</v>
      </c>
    </row>
    <row r="771" spans="1:17" s="97" customFormat="1" x14ac:dyDescent="0.25">
      <c r="A771" s="41" t="s">
        <v>519</v>
      </c>
      <c r="B771" s="42" t="s">
        <v>294</v>
      </c>
      <c r="C771" s="43" t="s">
        <v>514</v>
      </c>
      <c r="D771" s="74" t="s">
        <v>1177</v>
      </c>
      <c r="E771" s="43" t="s">
        <v>672</v>
      </c>
      <c r="F771" s="43" t="s">
        <v>1177</v>
      </c>
      <c r="G771" s="74" t="s">
        <v>68</v>
      </c>
      <c r="H771" s="74" t="s">
        <v>656</v>
      </c>
      <c r="I771" s="43"/>
      <c r="J771" s="44" t="s">
        <v>708</v>
      </c>
      <c r="K77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1" s="115">
        <f>ROUND(Tableau17[[#This Row],[LEN]]*7.27,0)</f>
        <v>334</v>
      </c>
      <c r="M771" s="115">
        <v>15</v>
      </c>
      <c r="N771" s="132" t="str">
        <f t="shared" si="5"/>
        <v>none</v>
      </c>
      <c r="O771" s="115">
        <f>LEN(Tableau17[[#This Row],[LABEL]])</f>
        <v>46</v>
      </c>
      <c r="P771" s="115">
        <v>15</v>
      </c>
      <c r="Q771" s="115" t="e">
        <f>ROUND(Tableau17[[#This Row],[LEN]]*#REF!+#REF!,0)</f>
        <v>#REF!</v>
      </c>
    </row>
    <row r="772" spans="1:17" s="97" customFormat="1" x14ac:dyDescent="0.25">
      <c r="A772" s="41" t="s">
        <v>520</v>
      </c>
      <c r="B772" s="42" t="s">
        <v>294</v>
      </c>
      <c r="C772" s="43" t="s">
        <v>1529</v>
      </c>
      <c r="D772" s="74" t="s">
        <v>1177</v>
      </c>
      <c r="E772" s="43" t="s">
        <v>672</v>
      </c>
      <c r="F772" s="43" t="s">
        <v>666</v>
      </c>
      <c r="G772" s="74" t="s">
        <v>68</v>
      </c>
      <c r="H772" s="74" t="s">
        <v>656</v>
      </c>
      <c r="I772" s="43"/>
      <c r="J772" s="44" t="s">
        <v>708</v>
      </c>
      <c r="K77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2" s="115">
        <f>ROUND(Tableau17[[#This Row],[LEN]]*7.27,0)</f>
        <v>218</v>
      </c>
      <c r="M772" s="115">
        <v>15</v>
      </c>
      <c r="N772" s="132" t="str">
        <f t="shared" si="5"/>
        <v>none</v>
      </c>
      <c r="O772" s="115">
        <f>LEN(Tableau17[[#This Row],[LABEL]])</f>
        <v>30</v>
      </c>
      <c r="P772" s="115">
        <v>15</v>
      </c>
      <c r="Q772" s="115" t="e">
        <f>ROUND(Tableau17[[#This Row],[LEN]]*#REF!+#REF!,0)</f>
        <v>#REF!</v>
      </c>
    </row>
    <row r="773" spans="1:17" s="273" customFormat="1" x14ac:dyDescent="0.25">
      <c r="A773" s="330" t="s">
        <v>295</v>
      </c>
      <c r="B773" s="331" t="s">
        <v>208</v>
      </c>
      <c r="C773" s="332" t="s">
        <v>10</v>
      </c>
      <c r="D773" s="333" t="s">
        <v>1177</v>
      </c>
      <c r="E773" s="332" t="s">
        <v>673</v>
      </c>
      <c r="F773" s="332" t="s">
        <v>1177</v>
      </c>
      <c r="G773" s="333" t="s">
        <v>68</v>
      </c>
      <c r="H773" s="333" t="str">
        <f>IFERROR(IF(SEARCH(".00.00.00.00.00",Tableau17[[#This Row],[name]],1)=7,"Division",""),"")</f>
        <v>Division</v>
      </c>
      <c r="I773" s="332"/>
      <c r="J773" s="334" t="s">
        <v>719</v>
      </c>
      <c r="K773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73" s="335">
        <f>ROUND(Tableau17[[#This Row],[LEN]]*7.27,0)</f>
        <v>109</v>
      </c>
      <c r="M773" s="335">
        <v>15</v>
      </c>
      <c r="N773" s="336" t="str">
        <f t="shared" si="5"/>
        <v>new</v>
      </c>
      <c r="O773" s="335">
        <f>LEN(Tableau17[[#This Row],[LABEL]])</f>
        <v>15</v>
      </c>
      <c r="P773" s="335">
        <v>15</v>
      </c>
      <c r="Q773" s="335" t="e">
        <f>ROUND(Tableau17[[#This Row],[LEN]]*#REF!+#REF!,0)</f>
        <v>#REF!</v>
      </c>
    </row>
    <row r="774" spans="1:17" s="97" customFormat="1" x14ac:dyDescent="0.25">
      <c r="A774" s="41" t="s">
        <v>1554</v>
      </c>
      <c r="B774" s="42" t="s">
        <v>295</v>
      </c>
      <c r="C774" s="43" t="s">
        <v>849</v>
      </c>
      <c r="D774" s="74" t="s">
        <v>1177</v>
      </c>
      <c r="E774" s="43" t="s">
        <v>667</v>
      </c>
      <c r="F774" s="43" t="s">
        <v>840</v>
      </c>
      <c r="G774" s="74" t="s">
        <v>68</v>
      </c>
      <c r="H774" s="74" t="s">
        <v>655</v>
      </c>
      <c r="I774" s="43"/>
      <c r="J774" s="44" t="s">
        <v>708</v>
      </c>
      <c r="K77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4" s="115">
        <f>ROUND(Tableau17[[#This Row],[LEN]]*7.27,0)</f>
        <v>80</v>
      </c>
      <c r="M774" s="115">
        <v>15</v>
      </c>
      <c r="N774" s="132" t="str">
        <f t="shared" si="5"/>
        <v>none</v>
      </c>
      <c r="O774" s="115">
        <f>LEN(Tableau17[[#This Row],[LABEL]])</f>
        <v>11</v>
      </c>
      <c r="P774" s="115">
        <v>15</v>
      </c>
      <c r="Q774" s="115" t="e">
        <f>ROUND(Tableau17[[#This Row],[LEN]]*#REF!+#REF!,0)</f>
        <v>#REF!</v>
      </c>
    </row>
    <row r="775" spans="1:17" s="97" customFormat="1" x14ac:dyDescent="0.25">
      <c r="A775" s="45" t="s">
        <v>1557</v>
      </c>
      <c r="B775" s="46" t="s">
        <v>1554</v>
      </c>
      <c r="C775" s="47" t="s">
        <v>112</v>
      </c>
      <c r="D775" s="75" t="s">
        <v>1177</v>
      </c>
      <c r="E775" s="47" t="s">
        <v>667</v>
      </c>
      <c r="F775" s="47" t="s">
        <v>2006</v>
      </c>
      <c r="G775" s="75" t="s">
        <v>68</v>
      </c>
      <c r="H775" s="75" t="s">
        <v>654</v>
      </c>
      <c r="I775" s="47"/>
      <c r="J775" s="48" t="s">
        <v>708</v>
      </c>
      <c r="K77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5" s="116">
        <f>ROUND(Tableau17[[#This Row],[LEN]]*7.27,0)</f>
        <v>167</v>
      </c>
      <c r="M775" s="116">
        <v>15</v>
      </c>
      <c r="N775" s="133" t="str">
        <f t="shared" si="5"/>
        <v>none</v>
      </c>
      <c r="O775" s="116">
        <f>LEN(Tableau17[[#This Row],[LABEL]])</f>
        <v>23</v>
      </c>
      <c r="P775" s="116">
        <v>15</v>
      </c>
      <c r="Q775" s="116" t="e">
        <f>ROUND(Tableau17[[#This Row],[LEN]]*#REF!+#REF!,0)</f>
        <v>#REF!</v>
      </c>
    </row>
    <row r="776" spans="1:17" s="97" customFormat="1" x14ac:dyDescent="0.25">
      <c r="A776" s="45" t="s">
        <v>1558</v>
      </c>
      <c r="B776" s="46" t="s">
        <v>1554</v>
      </c>
      <c r="C776" s="47" t="s">
        <v>113</v>
      </c>
      <c r="D776" s="75" t="s">
        <v>1177</v>
      </c>
      <c r="E776" s="47" t="s">
        <v>667</v>
      </c>
      <c r="F776" s="47" t="s">
        <v>2006</v>
      </c>
      <c r="G776" s="75" t="s">
        <v>68</v>
      </c>
      <c r="H776" s="75" t="s">
        <v>654</v>
      </c>
      <c r="I776" s="47"/>
      <c r="J776" s="48" t="s">
        <v>708</v>
      </c>
      <c r="K77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6" s="116">
        <f>ROUND(Tableau17[[#This Row],[LEN]]*7.27,0)</f>
        <v>233</v>
      </c>
      <c r="M776" s="116">
        <v>15</v>
      </c>
      <c r="N776" s="133" t="str">
        <f t="shared" si="5"/>
        <v>none</v>
      </c>
      <c r="O776" s="116">
        <f>LEN(Tableau17[[#This Row],[LABEL]])</f>
        <v>32</v>
      </c>
      <c r="P776" s="116">
        <v>15</v>
      </c>
      <c r="Q776" s="116" t="e">
        <f>ROUND(Tableau17[[#This Row],[LEN]]*#REF!+#REF!,0)</f>
        <v>#REF!</v>
      </c>
    </row>
    <row r="777" spans="1:17" s="97" customFormat="1" x14ac:dyDescent="0.25">
      <c r="A777" s="41" t="s">
        <v>1555</v>
      </c>
      <c r="B777" s="42" t="s">
        <v>295</v>
      </c>
      <c r="C777" s="43" t="s">
        <v>1559</v>
      </c>
      <c r="D777" s="74" t="s">
        <v>1177</v>
      </c>
      <c r="E777" s="43" t="s">
        <v>673</v>
      </c>
      <c r="F777" s="43" t="s">
        <v>1177</v>
      </c>
      <c r="G777" s="74" t="s">
        <v>68</v>
      </c>
      <c r="H777" s="74" t="s">
        <v>654</v>
      </c>
      <c r="I777" s="43"/>
      <c r="J777" s="44" t="s">
        <v>708</v>
      </c>
      <c r="K77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7" s="115">
        <f>ROUND(Tableau17[[#This Row],[LEN]]*7.27,0)</f>
        <v>473</v>
      </c>
      <c r="M777" s="115">
        <v>15</v>
      </c>
      <c r="N777" s="132" t="str">
        <f t="shared" si="5"/>
        <v>none</v>
      </c>
      <c r="O777" s="115">
        <f>LEN(Tableau17[[#This Row],[LABEL]])</f>
        <v>65</v>
      </c>
      <c r="P777" s="115">
        <v>15</v>
      </c>
      <c r="Q777" s="115" t="e">
        <f>ROUND(Tableau17[[#This Row],[LEN]]*#REF!+#REF!,0)</f>
        <v>#REF!</v>
      </c>
    </row>
    <row r="778" spans="1:17" s="97" customFormat="1" x14ac:dyDescent="0.25">
      <c r="A778" s="41" t="s">
        <v>1556</v>
      </c>
      <c r="B778" s="42" t="s">
        <v>295</v>
      </c>
      <c r="C778" s="43" t="s">
        <v>1560</v>
      </c>
      <c r="D778" s="74" t="s">
        <v>1177</v>
      </c>
      <c r="E778" s="43" t="s">
        <v>673</v>
      </c>
      <c r="F778" s="43" t="s">
        <v>1177</v>
      </c>
      <c r="G778" s="74" t="s">
        <v>68</v>
      </c>
      <c r="H778" s="74" t="s">
        <v>654</v>
      </c>
      <c r="I778" s="43"/>
      <c r="J778" s="44" t="s">
        <v>708</v>
      </c>
      <c r="K77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78" s="115">
        <f>ROUND(Tableau17[[#This Row],[LEN]]*7.27,0)</f>
        <v>225</v>
      </c>
      <c r="M778" s="115">
        <v>15</v>
      </c>
      <c r="N778" s="132" t="str">
        <f t="shared" si="5"/>
        <v>none</v>
      </c>
      <c r="O778" s="115">
        <f>LEN(Tableau17[[#This Row],[LABEL]])</f>
        <v>31</v>
      </c>
      <c r="P778" s="115">
        <v>15</v>
      </c>
      <c r="Q778" s="115" t="e">
        <f>ROUND(Tableau17[[#This Row],[LEN]]*#REF!+#REF!,0)</f>
        <v>#REF!</v>
      </c>
    </row>
    <row r="779" spans="1:17" s="273" customFormat="1" x14ac:dyDescent="0.25">
      <c r="A779" s="330" t="s">
        <v>296</v>
      </c>
      <c r="B779" s="331" t="s">
        <v>208</v>
      </c>
      <c r="C779" s="332" t="s">
        <v>11</v>
      </c>
      <c r="D779" s="333" t="s">
        <v>1177</v>
      </c>
      <c r="E779" s="332" t="s">
        <v>674</v>
      </c>
      <c r="F779" s="332" t="s">
        <v>1177</v>
      </c>
      <c r="G779" s="333" t="s">
        <v>68</v>
      </c>
      <c r="H779" s="333" t="str">
        <f>IFERROR(IF(SEARCH(".00.00.00.00.00",Tableau17[[#This Row],[name]],1)=7,"Division",""),"")</f>
        <v>Division</v>
      </c>
      <c r="I779" s="332"/>
      <c r="J779" s="334" t="s">
        <v>720</v>
      </c>
      <c r="K779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79" s="335">
        <f>ROUND(Tableau17[[#This Row],[LEN]]*7.27,0)</f>
        <v>51</v>
      </c>
      <c r="M779" s="335">
        <v>15</v>
      </c>
      <c r="N779" s="336" t="str">
        <f t="shared" si="5"/>
        <v>new</v>
      </c>
      <c r="O779" s="335">
        <f>LEN(Tableau17[[#This Row],[LABEL]])</f>
        <v>7</v>
      </c>
      <c r="P779" s="335">
        <v>15</v>
      </c>
      <c r="Q779" s="335" t="e">
        <f>ROUND(Tableau17[[#This Row],[LEN]]*#REF!+#REF!,0)</f>
        <v>#REF!</v>
      </c>
    </row>
    <row r="780" spans="1:17" s="97" customFormat="1" x14ac:dyDescent="0.25">
      <c r="A780" s="41" t="s">
        <v>1561</v>
      </c>
      <c r="B780" s="42" t="s">
        <v>296</v>
      </c>
      <c r="C780" s="43" t="s">
        <v>1564</v>
      </c>
      <c r="D780" s="74" t="s">
        <v>1177</v>
      </c>
      <c r="E780" s="43" t="s">
        <v>674</v>
      </c>
      <c r="F780" s="43" t="s">
        <v>1177</v>
      </c>
      <c r="G780" s="74" t="s">
        <v>68</v>
      </c>
      <c r="H780" s="74" t="s">
        <v>656</v>
      </c>
      <c r="I780" s="43"/>
      <c r="J780" s="44" t="s">
        <v>708</v>
      </c>
      <c r="K78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0" s="115">
        <f>ROUND(Tableau17[[#This Row],[LEN]]*7.27,0)</f>
        <v>218</v>
      </c>
      <c r="M780" s="115">
        <v>15</v>
      </c>
      <c r="N780" s="132" t="str">
        <f t="shared" si="5"/>
        <v>none</v>
      </c>
      <c r="O780" s="115">
        <f>LEN(Tableau17[[#This Row],[LABEL]])</f>
        <v>30</v>
      </c>
      <c r="P780" s="115">
        <v>15</v>
      </c>
      <c r="Q780" s="115" t="e">
        <f>ROUND(Tableau17[[#This Row],[LEN]]*#REF!+#REF!,0)</f>
        <v>#REF!</v>
      </c>
    </row>
    <row r="781" spans="1:17" s="97" customFormat="1" x14ac:dyDescent="0.25">
      <c r="A781" s="41" t="s">
        <v>1562</v>
      </c>
      <c r="B781" s="42" t="s">
        <v>296</v>
      </c>
      <c r="C781" s="43" t="s">
        <v>1565</v>
      </c>
      <c r="D781" s="74" t="s">
        <v>1566</v>
      </c>
      <c r="E781" s="43" t="s">
        <v>674</v>
      </c>
      <c r="F781" s="43" t="s">
        <v>1177</v>
      </c>
      <c r="G781" s="74" t="s">
        <v>68</v>
      </c>
      <c r="H781" s="74" t="s">
        <v>656</v>
      </c>
      <c r="I781" s="43"/>
      <c r="J781" s="44" t="s">
        <v>708</v>
      </c>
      <c r="K78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1" s="115">
        <f>ROUND(Tableau17[[#This Row],[LEN]]*7.27,0)</f>
        <v>211</v>
      </c>
      <c r="M781" s="115">
        <v>15</v>
      </c>
      <c r="N781" s="132" t="str">
        <f t="shared" si="5"/>
        <v>none</v>
      </c>
      <c r="O781" s="115">
        <f>LEN(Tableau17[[#This Row],[LABEL]])</f>
        <v>29</v>
      </c>
      <c r="P781" s="115">
        <v>15</v>
      </c>
      <c r="Q781" s="115" t="e">
        <f>ROUND(Tableau17[[#This Row],[LEN]]*#REF!+#REF!,0)</f>
        <v>#REF!</v>
      </c>
    </row>
    <row r="782" spans="1:17" s="97" customFormat="1" x14ac:dyDescent="0.25">
      <c r="A782" s="41" t="s">
        <v>1563</v>
      </c>
      <c r="B782" s="42" t="s">
        <v>296</v>
      </c>
      <c r="C782" s="43" t="s">
        <v>2098</v>
      </c>
      <c r="D782" s="74" t="s">
        <v>1177</v>
      </c>
      <c r="E782" s="43" t="s">
        <v>661</v>
      </c>
      <c r="F782" s="43" t="s">
        <v>2083</v>
      </c>
      <c r="G782" s="74" t="s">
        <v>68</v>
      </c>
      <c r="H782" s="74" t="s">
        <v>655</v>
      </c>
      <c r="I782" s="43"/>
      <c r="J782" s="44" t="s">
        <v>708</v>
      </c>
      <c r="K78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2" s="115">
        <f>ROUND(Tableau17[[#This Row],[LEN]]*7.27,0)</f>
        <v>334</v>
      </c>
      <c r="M782" s="115">
        <v>15</v>
      </c>
      <c r="N782" s="132" t="str">
        <f t="shared" si="5"/>
        <v>none</v>
      </c>
      <c r="O782" s="115">
        <f>LEN(Tableau17[[#This Row],[LABEL]])</f>
        <v>46</v>
      </c>
      <c r="P782" s="115">
        <v>15</v>
      </c>
      <c r="Q782" s="115" t="e">
        <f>ROUND(Tableau17[[#This Row],[LEN]]*#REF!+#REF!,0)</f>
        <v>#REF!</v>
      </c>
    </row>
    <row r="783" spans="1:17" s="97" customFormat="1" x14ac:dyDescent="0.25">
      <c r="A783" s="45" t="s">
        <v>1567</v>
      </c>
      <c r="B783" s="46" t="s">
        <v>1563</v>
      </c>
      <c r="C783" s="47" t="s">
        <v>1458</v>
      </c>
      <c r="D783" s="75" t="s">
        <v>1177</v>
      </c>
      <c r="E783" s="47" t="s">
        <v>674</v>
      </c>
      <c r="F783" s="47" t="s">
        <v>2083</v>
      </c>
      <c r="G783" s="75" t="s">
        <v>68</v>
      </c>
      <c r="H783" s="75" t="s">
        <v>654</v>
      </c>
      <c r="I783" s="47"/>
      <c r="J783" s="48" t="s">
        <v>708</v>
      </c>
      <c r="K78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3" s="116">
        <f>ROUND(Tableau17[[#This Row],[LEN]]*7.27,0)</f>
        <v>189</v>
      </c>
      <c r="M783" s="116">
        <v>15</v>
      </c>
      <c r="N783" s="133" t="str">
        <f t="shared" si="5"/>
        <v>none</v>
      </c>
      <c r="O783" s="116">
        <f>LEN(Tableau17[[#This Row],[LABEL]])</f>
        <v>26</v>
      </c>
      <c r="P783" s="116">
        <v>15</v>
      </c>
      <c r="Q783" s="116" t="e">
        <f>ROUND(Tableau17[[#This Row],[LEN]]*#REF!+#REF!,0)</f>
        <v>#REF!</v>
      </c>
    </row>
    <row r="784" spans="1:17" s="97" customFormat="1" x14ac:dyDescent="0.25">
      <c r="A784" s="45" t="s">
        <v>1568</v>
      </c>
      <c r="B784" s="46" t="s">
        <v>1563</v>
      </c>
      <c r="C784" s="47" t="s">
        <v>2097</v>
      </c>
      <c r="D784" s="75" t="s">
        <v>1177</v>
      </c>
      <c r="E784" s="47" t="s">
        <v>674</v>
      </c>
      <c r="F784" s="47" t="s">
        <v>2083</v>
      </c>
      <c r="G784" s="75" t="s">
        <v>68</v>
      </c>
      <c r="H784" s="75" t="s">
        <v>654</v>
      </c>
      <c r="I784" s="47"/>
      <c r="J784" s="48" t="s">
        <v>708</v>
      </c>
      <c r="K784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4" s="116">
        <f>ROUND(Tableau17[[#This Row],[LEN]]*7.27,0)</f>
        <v>225</v>
      </c>
      <c r="M784" s="116">
        <v>15</v>
      </c>
      <c r="N784" s="133" t="str">
        <f t="shared" si="5"/>
        <v>none</v>
      </c>
      <c r="O784" s="116">
        <f>LEN(Tableau17[[#This Row],[LABEL]])</f>
        <v>31</v>
      </c>
      <c r="P784" s="116">
        <v>15</v>
      </c>
      <c r="Q784" s="116" t="e">
        <f>ROUND(Tableau17[[#This Row],[LEN]]*#REF!+#REF!,0)</f>
        <v>#REF!</v>
      </c>
    </row>
    <row r="785" spans="1:17" s="97" customFormat="1" x14ac:dyDescent="0.25">
      <c r="A785" s="41" t="s">
        <v>2099</v>
      </c>
      <c r="B785" s="42" t="s">
        <v>296</v>
      </c>
      <c r="C785" s="43" t="s">
        <v>2100</v>
      </c>
      <c r="D785" s="74" t="s">
        <v>1177</v>
      </c>
      <c r="E785" s="43" t="s">
        <v>674</v>
      </c>
      <c r="F785" s="43" t="s">
        <v>1177</v>
      </c>
      <c r="G785" s="74" t="s">
        <v>68</v>
      </c>
      <c r="H785" s="74" t="s">
        <v>656</v>
      </c>
      <c r="I785" s="43"/>
      <c r="J785" s="44" t="s">
        <v>708</v>
      </c>
      <c r="K78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5" s="115">
        <f>ROUND(Tableau17[[#This Row],[LEN]]*7.27,0)</f>
        <v>371</v>
      </c>
      <c r="M785" s="115">
        <v>15</v>
      </c>
      <c r="N785" s="132" t="str">
        <f t="shared" si="5"/>
        <v>none</v>
      </c>
      <c r="O785" s="115">
        <f>LEN(Tableau17[[#This Row],[LABEL]])</f>
        <v>51</v>
      </c>
      <c r="P785" s="115">
        <v>15</v>
      </c>
      <c r="Q785" s="115" t="e">
        <f>ROUND(Tableau17[[#This Row],[LEN]]*#REF!+#REF!,0)</f>
        <v>#REF!</v>
      </c>
    </row>
    <row r="786" spans="1:17" s="273" customFormat="1" x14ac:dyDescent="0.25">
      <c r="A786" s="330" t="s">
        <v>297</v>
      </c>
      <c r="B786" s="331" t="s">
        <v>208</v>
      </c>
      <c r="C786" s="332" t="s">
        <v>12</v>
      </c>
      <c r="D786" s="333" t="s">
        <v>1177</v>
      </c>
      <c r="E786" s="332" t="s">
        <v>675</v>
      </c>
      <c r="F786" s="332" t="s">
        <v>1177</v>
      </c>
      <c r="G786" s="333" t="s">
        <v>68</v>
      </c>
      <c r="H786" s="333" t="str">
        <f>IFERROR(IF(SEARCH(".00.00.00.00.00",Tableau17[[#This Row],[name]],1)=7,"Division",""),"")</f>
        <v>Division</v>
      </c>
      <c r="I786" s="332"/>
      <c r="J786" s="334" t="s">
        <v>721</v>
      </c>
      <c r="K786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86" s="335">
        <f>ROUND(Tableau17[[#This Row],[LEN]]*7.27,0)</f>
        <v>15</v>
      </c>
      <c r="M786" s="335">
        <v>15</v>
      </c>
      <c r="N786" s="336" t="str">
        <f t="shared" si="5"/>
        <v>new</v>
      </c>
      <c r="O786" s="335">
        <f>LEN(Tableau17[[#This Row],[LABEL]])</f>
        <v>2</v>
      </c>
      <c r="P786" s="335">
        <v>15</v>
      </c>
      <c r="Q786" s="335" t="e">
        <f>ROUND(Tableau17[[#This Row],[LEN]]*#REF!+#REF!,0)</f>
        <v>#REF!</v>
      </c>
    </row>
    <row r="787" spans="1:17" s="97" customFormat="1" x14ac:dyDescent="0.25">
      <c r="A787" s="41" t="s">
        <v>1569</v>
      </c>
      <c r="B787" s="42" t="s">
        <v>297</v>
      </c>
      <c r="C787" s="43" t="s">
        <v>1620</v>
      </c>
      <c r="D787" s="74" t="s">
        <v>1177</v>
      </c>
      <c r="E787" s="43" t="s">
        <v>675</v>
      </c>
      <c r="F787" s="43" t="s">
        <v>678</v>
      </c>
      <c r="G787" s="74" t="s">
        <v>68</v>
      </c>
      <c r="H787" s="74" t="s">
        <v>655</v>
      </c>
      <c r="I787" s="43"/>
      <c r="J787" s="44" t="s">
        <v>708</v>
      </c>
      <c r="K78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7" s="115">
        <f>ROUND(Tableau17[[#This Row],[LEN]]*7.27,0)</f>
        <v>262</v>
      </c>
      <c r="M787" s="115">
        <v>15</v>
      </c>
      <c r="N787" s="132" t="str">
        <f t="shared" si="5"/>
        <v>none</v>
      </c>
      <c r="O787" s="115">
        <f>LEN(Tableau17[[#This Row],[LABEL]])</f>
        <v>36</v>
      </c>
      <c r="P787" s="115">
        <v>15</v>
      </c>
      <c r="Q787" s="115" t="e">
        <f>ROUND(Tableau17[[#This Row],[LEN]]*#REF!+#REF!,0)</f>
        <v>#REF!</v>
      </c>
    </row>
    <row r="788" spans="1:17" s="97" customFormat="1" x14ac:dyDescent="0.25">
      <c r="A788" s="45" t="s">
        <v>1574</v>
      </c>
      <c r="B788" s="46" t="s">
        <v>1569</v>
      </c>
      <c r="C788" s="47" t="s">
        <v>1467</v>
      </c>
      <c r="D788" s="75" t="s">
        <v>1177</v>
      </c>
      <c r="E788" s="47" t="s">
        <v>675</v>
      </c>
      <c r="F788" s="47" t="s">
        <v>678</v>
      </c>
      <c r="G788" s="75" t="s">
        <v>68</v>
      </c>
      <c r="H788" s="75" t="s">
        <v>656</v>
      </c>
      <c r="I788" s="47"/>
      <c r="J788" s="48" t="s">
        <v>708</v>
      </c>
      <c r="K788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8" s="116">
        <f>ROUND(Tableau17[[#This Row],[LEN]]*7.27,0)</f>
        <v>102</v>
      </c>
      <c r="M788" s="116">
        <v>15</v>
      </c>
      <c r="N788" s="133" t="str">
        <f t="shared" si="5"/>
        <v>none</v>
      </c>
      <c r="O788" s="116">
        <f>LEN(Tableau17[[#This Row],[LABEL]])</f>
        <v>14</v>
      </c>
      <c r="P788" s="116">
        <v>15</v>
      </c>
      <c r="Q788" s="116" t="e">
        <f>ROUND(Tableau17[[#This Row],[LEN]]*#REF!+#REF!,0)</f>
        <v>#REF!</v>
      </c>
    </row>
    <row r="789" spans="1:17" s="97" customFormat="1" x14ac:dyDescent="0.25">
      <c r="A789" s="45" t="s">
        <v>1575</v>
      </c>
      <c r="B789" s="46" t="s">
        <v>1569</v>
      </c>
      <c r="C789" s="47" t="s">
        <v>1573</v>
      </c>
      <c r="D789" s="75" t="s">
        <v>1177</v>
      </c>
      <c r="E789" s="47" t="s">
        <v>675</v>
      </c>
      <c r="F789" s="47" t="s">
        <v>678</v>
      </c>
      <c r="G789" s="75" t="s">
        <v>68</v>
      </c>
      <c r="H789" s="75" t="s">
        <v>656</v>
      </c>
      <c r="I789" s="47"/>
      <c r="J789" s="48" t="s">
        <v>708</v>
      </c>
      <c r="K78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89" s="116">
        <f>ROUND(Tableau17[[#This Row],[LEN]]*7.27,0)</f>
        <v>422</v>
      </c>
      <c r="M789" s="116">
        <v>15</v>
      </c>
      <c r="N789" s="133" t="str">
        <f t="shared" si="5"/>
        <v>none</v>
      </c>
      <c r="O789" s="116">
        <f>LEN(Tableau17[[#This Row],[LABEL]])</f>
        <v>58</v>
      </c>
      <c r="P789" s="116">
        <v>15</v>
      </c>
      <c r="Q789" s="116" t="e">
        <f>ROUND(Tableau17[[#This Row],[LEN]]*#REF!+#REF!,0)</f>
        <v>#REF!</v>
      </c>
    </row>
    <row r="790" spans="1:17" s="97" customFormat="1" x14ac:dyDescent="0.25">
      <c r="A790" s="45" t="s">
        <v>1576</v>
      </c>
      <c r="B790" s="46" t="s">
        <v>1569</v>
      </c>
      <c r="C790" s="47" t="s">
        <v>1468</v>
      </c>
      <c r="D790" s="75" t="s">
        <v>1177</v>
      </c>
      <c r="E790" s="47" t="s">
        <v>675</v>
      </c>
      <c r="F790" s="47" t="s">
        <v>678</v>
      </c>
      <c r="G790" s="75" t="s">
        <v>68</v>
      </c>
      <c r="H790" s="75" t="s">
        <v>656</v>
      </c>
      <c r="I790" s="47"/>
      <c r="J790" s="48" t="s">
        <v>708</v>
      </c>
      <c r="K79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0" s="116">
        <f>ROUND(Tableau17[[#This Row],[LEN]]*7.27,0)</f>
        <v>167</v>
      </c>
      <c r="M790" s="116">
        <v>15</v>
      </c>
      <c r="N790" s="133" t="str">
        <f t="shared" si="5"/>
        <v>none</v>
      </c>
      <c r="O790" s="116">
        <f>LEN(Tableau17[[#This Row],[LABEL]])</f>
        <v>23</v>
      </c>
      <c r="P790" s="116">
        <v>15</v>
      </c>
      <c r="Q790" s="116" t="e">
        <f>ROUND(Tableau17[[#This Row],[LEN]]*#REF!+#REF!,0)</f>
        <v>#REF!</v>
      </c>
    </row>
    <row r="791" spans="1:17" s="97" customFormat="1" x14ac:dyDescent="0.25">
      <c r="A791" s="41" t="s">
        <v>1570</v>
      </c>
      <c r="B791" s="42" t="s">
        <v>297</v>
      </c>
      <c r="C791" s="43" t="s">
        <v>849</v>
      </c>
      <c r="D791" s="74" t="s">
        <v>1177</v>
      </c>
      <c r="E791" s="43" t="s">
        <v>667</v>
      </c>
      <c r="F791" s="43" t="s">
        <v>840</v>
      </c>
      <c r="G791" s="74" t="s">
        <v>68</v>
      </c>
      <c r="H791" s="74" t="s">
        <v>655</v>
      </c>
      <c r="I791" s="43"/>
      <c r="J791" s="44" t="s">
        <v>708</v>
      </c>
      <c r="K79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1" s="115">
        <f>ROUND(Tableau17[[#This Row],[LEN]]*7.27,0)</f>
        <v>80</v>
      </c>
      <c r="M791" s="115">
        <v>15</v>
      </c>
      <c r="N791" s="132" t="str">
        <f t="shared" si="5"/>
        <v>none</v>
      </c>
      <c r="O791" s="115">
        <f>LEN(Tableau17[[#This Row],[LABEL]])</f>
        <v>11</v>
      </c>
      <c r="P791" s="115">
        <v>15</v>
      </c>
      <c r="Q791" s="115" t="e">
        <f>ROUND(Tableau17[[#This Row],[LEN]]*#REF!+#REF!,0)</f>
        <v>#REF!</v>
      </c>
    </row>
    <row r="792" spans="1:17" s="97" customFormat="1" x14ac:dyDescent="0.25">
      <c r="A792" s="45" t="s">
        <v>1577</v>
      </c>
      <c r="B792" s="46" t="s">
        <v>1570</v>
      </c>
      <c r="C792" s="47" t="s">
        <v>112</v>
      </c>
      <c r="D792" s="75" t="s">
        <v>1177</v>
      </c>
      <c r="E792" s="47" t="s">
        <v>667</v>
      </c>
      <c r="F792" s="47" t="s">
        <v>2006</v>
      </c>
      <c r="G792" s="75" t="s">
        <v>68</v>
      </c>
      <c r="H792" s="75" t="s">
        <v>654</v>
      </c>
      <c r="I792" s="47"/>
      <c r="J792" s="48" t="s">
        <v>708</v>
      </c>
      <c r="K79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2" s="116">
        <f>ROUND(Tableau17[[#This Row],[LEN]]*7.27,0)</f>
        <v>167</v>
      </c>
      <c r="M792" s="116">
        <v>15</v>
      </c>
      <c r="N792" s="133" t="str">
        <f t="shared" si="5"/>
        <v>none</v>
      </c>
      <c r="O792" s="116">
        <f>LEN(Tableau17[[#This Row],[LABEL]])</f>
        <v>23</v>
      </c>
      <c r="P792" s="116">
        <v>15</v>
      </c>
      <c r="Q792" s="116" t="e">
        <f>ROUND(Tableau17[[#This Row],[LEN]]*#REF!+#REF!,0)</f>
        <v>#REF!</v>
      </c>
    </row>
    <row r="793" spans="1:17" s="97" customFormat="1" x14ac:dyDescent="0.25">
      <c r="A793" s="45" t="s">
        <v>1578</v>
      </c>
      <c r="B793" s="46" t="s">
        <v>1570</v>
      </c>
      <c r="C793" s="47" t="s">
        <v>113</v>
      </c>
      <c r="D793" s="75" t="s">
        <v>1177</v>
      </c>
      <c r="E793" s="47" t="s">
        <v>667</v>
      </c>
      <c r="F793" s="47" t="s">
        <v>2006</v>
      </c>
      <c r="G793" s="75" t="s">
        <v>68</v>
      </c>
      <c r="H793" s="75" t="s">
        <v>654</v>
      </c>
      <c r="I793" s="47"/>
      <c r="J793" s="48" t="s">
        <v>708</v>
      </c>
      <c r="K79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3" s="116">
        <f>ROUND(Tableau17[[#This Row],[LEN]]*7.27,0)</f>
        <v>233</v>
      </c>
      <c r="M793" s="116">
        <v>15</v>
      </c>
      <c r="N793" s="133" t="str">
        <f t="shared" si="5"/>
        <v>none</v>
      </c>
      <c r="O793" s="116">
        <f>LEN(Tableau17[[#This Row],[LABEL]])</f>
        <v>32</v>
      </c>
      <c r="P793" s="116">
        <v>15</v>
      </c>
      <c r="Q793" s="116" t="e">
        <f>ROUND(Tableau17[[#This Row],[LEN]]*#REF!+#REF!,0)</f>
        <v>#REF!</v>
      </c>
    </row>
    <row r="794" spans="1:17" s="97" customFormat="1" x14ac:dyDescent="0.25">
      <c r="A794" s="41" t="s">
        <v>1571</v>
      </c>
      <c r="B794" s="42" t="s">
        <v>297</v>
      </c>
      <c r="C794" s="43" t="s">
        <v>1621</v>
      </c>
      <c r="D794" s="74" t="s">
        <v>1177</v>
      </c>
      <c r="E794" s="43" t="s">
        <v>675</v>
      </c>
      <c r="F794" s="43" t="s">
        <v>678</v>
      </c>
      <c r="G794" s="74" t="s">
        <v>68</v>
      </c>
      <c r="H794" s="74" t="s">
        <v>655</v>
      </c>
      <c r="I794" s="43"/>
      <c r="J794" s="44" t="s">
        <v>708</v>
      </c>
      <c r="K79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4" s="115">
        <f>ROUND(Tableau17[[#This Row],[LEN]]*7.27,0)</f>
        <v>262</v>
      </c>
      <c r="M794" s="115">
        <v>15</v>
      </c>
      <c r="N794" s="132" t="str">
        <f t="shared" si="5"/>
        <v>none</v>
      </c>
      <c r="O794" s="115">
        <f>LEN(Tableau17[[#This Row],[LABEL]])</f>
        <v>36</v>
      </c>
      <c r="P794" s="115">
        <v>15</v>
      </c>
      <c r="Q794" s="115" t="e">
        <f>ROUND(Tableau17[[#This Row],[LEN]]*#REF!+#REF!,0)</f>
        <v>#REF!</v>
      </c>
    </row>
    <row r="795" spans="1:17" s="97" customFormat="1" x14ac:dyDescent="0.25">
      <c r="A795" s="45" t="s">
        <v>1579</v>
      </c>
      <c r="B795" s="46" t="s">
        <v>1571</v>
      </c>
      <c r="C795" s="47" t="s">
        <v>1469</v>
      </c>
      <c r="D795" s="75" t="s">
        <v>1177</v>
      </c>
      <c r="E795" s="47" t="s">
        <v>675</v>
      </c>
      <c r="F795" s="47" t="s">
        <v>678</v>
      </c>
      <c r="G795" s="75" t="s">
        <v>68</v>
      </c>
      <c r="H795" s="75" t="s">
        <v>654</v>
      </c>
      <c r="I795" s="47"/>
      <c r="J795" s="48" t="s">
        <v>708</v>
      </c>
      <c r="K79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5" s="116">
        <f>ROUND(Tableau17[[#This Row],[LEN]]*7.27,0)</f>
        <v>291</v>
      </c>
      <c r="M795" s="116">
        <v>15</v>
      </c>
      <c r="N795" s="133" t="str">
        <f t="shared" si="5"/>
        <v>none</v>
      </c>
      <c r="O795" s="116">
        <f>LEN(Tableau17[[#This Row],[LABEL]])</f>
        <v>40</v>
      </c>
      <c r="P795" s="116">
        <v>15</v>
      </c>
      <c r="Q795" s="116" t="e">
        <f>ROUND(Tableau17[[#This Row],[LEN]]*#REF!+#REF!,0)</f>
        <v>#REF!</v>
      </c>
    </row>
    <row r="796" spans="1:17" s="97" customFormat="1" x14ac:dyDescent="0.25">
      <c r="A796" s="45" t="s">
        <v>1580</v>
      </c>
      <c r="B796" s="46" t="s">
        <v>1571</v>
      </c>
      <c r="C796" s="47" t="s">
        <v>1470</v>
      </c>
      <c r="D796" s="75" t="s">
        <v>1177</v>
      </c>
      <c r="E796" s="47" t="s">
        <v>675</v>
      </c>
      <c r="F796" s="47" t="s">
        <v>678</v>
      </c>
      <c r="G796" s="75" t="s">
        <v>68</v>
      </c>
      <c r="H796" s="75" t="s">
        <v>656</v>
      </c>
      <c r="I796" s="47"/>
      <c r="J796" s="48" t="s">
        <v>708</v>
      </c>
      <c r="K79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6" s="116">
        <f>ROUND(Tableau17[[#This Row],[LEN]]*7.27,0)</f>
        <v>313</v>
      </c>
      <c r="M796" s="116">
        <v>15</v>
      </c>
      <c r="N796" s="133" t="str">
        <f t="shared" si="5"/>
        <v>none</v>
      </c>
      <c r="O796" s="116">
        <f>LEN(Tableau17[[#This Row],[LABEL]])</f>
        <v>43</v>
      </c>
      <c r="P796" s="116">
        <v>15</v>
      </c>
      <c r="Q796" s="116" t="e">
        <f>ROUND(Tableau17[[#This Row],[LEN]]*#REF!+#REF!,0)</f>
        <v>#REF!</v>
      </c>
    </row>
    <row r="797" spans="1:17" s="97" customFormat="1" x14ac:dyDescent="0.25">
      <c r="A797" s="41" t="s">
        <v>1572</v>
      </c>
      <c r="B797" s="42" t="s">
        <v>297</v>
      </c>
      <c r="C797" s="43" t="s">
        <v>1462</v>
      </c>
      <c r="D797" s="74" t="s">
        <v>1177</v>
      </c>
      <c r="E797" s="43" t="s">
        <v>675</v>
      </c>
      <c r="F797" s="43" t="s">
        <v>679</v>
      </c>
      <c r="G797" s="74" t="s">
        <v>68</v>
      </c>
      <c r="H797" s="74" t="s">
        <v>656</v>
      </c>
      <c r="I797" s="43"/>
      <c r="J797" s="44" t="s">
        <v>708</v>
      </c>
      <c r="K79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7" s="115">
        <f>ROUND(Tableau17[[#This Row],[LEN]]*7.27,0)</f>
        <v>218</v>
      </c>
      <c r="M797" s="115">
        <v>15</v>
      </c>
      <c r="N797" s="132" t="str">
        <f t="shared" si="5"/>
        <v>none</v>
      </c>
      <c r="O797" s="115">
        <f>LEN(Tableau17[[#This Row],[LABEL]])</f>
        <v>30</v>
      </c>
      <c r="P797" s="115">
        <v>15</v>
      </c>
      <c r="Q797" s="115" t="e">
        <f>ROUND(Tableau17[[#This Row],[LEN]]*#REF!+#REF!,0)</f>
        <v>#REF!</v>
      </c>
    </row>
    <row r="798" spans="1:17" s="273" customFormat="1" x14ac:dyDescent="0.25">
      <c r="A798" s="330" t="s">
        <v>298</v>
      </c>
      <c r="B798" s="331" t="s">
        <v>208</v>
      </c>
      <c r="C798" s="332" t="s">
        <v>71</v>
      </c>
      <c r="D798" s="333" t="s">
        <v>1177</v>
      </c>
      <c r="E798" s="332" t="s">
        <v>676</v>
      </c>
      <c r="F798" s="332" t="s">
        <v>1177</v>
      </c>
      <c r="G798" s="333" t="s">
        <v>68</v>
      </c>
      <c r="H798" s="333" t="str">
        <f>IFERROR(IF(SEARCH(".00.00.00.00.00",Tableau17[[#This Row],[name]],1)=7,"Division",""),"")</f>
        <v>Division</v>
      </c>
      <c r="I798" s="332"/>
      <c r="J798" s="334" t="s">
        <v>722</v>
      </c>
      <c r="K798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798" s="335">
        <f>ROUND(Tableau17[[#This Row],[LEN]]*7.27,0)</f>
        <v>29</v>
      </c>
      <c r="M798" s="335">
        <v>15</v>
      </c>
      <c r="N798" s="336" t="str">
        <f t="shared" si="5"/>
        <v>new</v>
      </c>
      <c r="O798" s="335">
        <f>LEN(Tableau17[[#This Row],[LABEL]])</f>
        <v>4</v>
      </c>
      <c r="P798" s="335">
        <v>15</v>
      </c>
      <c r="Q798" s="335" t="e">
        <f>ROUND(Tableau17[[#This Row],[LEN]]*#REF!+#REF!,0)</f>
        <v>#REF!</v>
      </c>
    </row>
    <row r="799" spans="1:17" s="97" customFormat="1" x14ac:dyDescent="0.25">
      <c r="A799" s="41" t="s">
        <v>1581</v>
      </c>
      <c r="B799" s="42" t="s">
        <v>298</v>
      </c>
      <c r="C799" s="43" t="s">
        <v>1476</v>
      </c>
      <c r="D799" s="74" t="s">
        <v>1477</v>
      </c>
      <c r="E799" s="43" t="s">
        <v>676</v>
      </c>
      <c r="F799" s="43" t="s">
        <v>1177</v>
      </c>
      <c r="G799" s="74" t="s">
        <v>68</v>
      </c>
      <c r="H799" s="74" t="s">
        <v>656</v>
      </c>
      <c r="I799" s="43"/>
      <c r="J799" s="44" t="s">
        <v>708</v>
      </c>
      <c r="K79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799" s="115">
        <f>ROUND(Tableau17[[#This Row],[LEN]]*7.27,0)</f>
        <v>371</v>
      </c>
      <c r="M799" s="115">
        <v>15</v>
      </c>
      <c r="N799" s="132" t="str">
        <f t="shared" si="5"/>
        <v>none</v>
      </c>
      <c r="O799" s="115">
        <f>LEN(Tableau17[[#This Row],[LABEL]])</f>
        <v>51</v>
      </c>
      <c r="P799" s="115">
        <v>15</v>
      </c>
      <c r="Q799" s="115" t="e">
        <f>ROUND(Tableau17[[#This Row],[LEN]]*#REF!+#REF!,0)</f>
        <v>#REF!</v>
      </c>
    </row>
    <row r="800" spans="1:17" s="97" customFormat="1" x14ac:dyDescent="0.25">
      <c r="A800" s="41" t="s">
        <v>1582</v>
      </c>
      <c r="B800" s="42" t="s">
        <v>298</v>
      </c>
      <c r="C800" s="43" t="s">
        <v>849</v>
      </c>
      <c r="D800" s="74" t="s">
        <v>1177</v>
      </c>
      <c r="E800" s="43" t="s">
        <v>667</v>
      </c>
      <c r="F800" s="43" t="s">
        <v>840</v>
      </c>
      <c r="G800" s="74" t="s">
        <v>68</v>
      </c>
      <c r="H800" s="74" t="s">
        <v>655</v>
      </c>
      <c r="I800" s="43"/>
      <c r="J800" s="44" t="s">
        <v>708</v>
      </c>
      <c r="K80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0" s="115">
        <f>ROUND(Tableau17[[#This Row],[LEN]]*7.27,0)</f>
        <v>80</v>
      </c>
      <c r="M800" s="115">
        <v>15</v>
      </c>
      <c r="N800" s="132" t="str">
        <f t="shared" si="5"/>
        <v>none</v>
      </c>
      <c r="O800" s="115">
        <f>LEN(Tableau17[[#This Row],[LABEL]])</f>
        <v>11</v>
      </c>
      <c r="P800" s="115">
        <v>15</v>
      </c>
      <c r="Q800" s="115" t="e">
        <f>ROUND(Tableau17[[#This Row],[LEN]]*#REF!+#REF!,0)</f>
        <v>#REF!</v>
      </c>
    </row>
    <row r="801" spans="1:17" s="97" customFormat="1" x14ac:dyDescent="0.25">
      <c r="A801" s="45" t="s">
        <v>1587</v>
      </c>
      <c r="B801" s="46" t="s">
        <v>1582</v>
      </c>
      <c r="C801" s="47" t="s">
        <v>112</v>
      </c>
      <c r="D801" s="75" t="s">
        <v>1177</v>
      </c>
      <c r="E801" s="47" t="s">
        <v>667</v>
      </c>
      <c r="F801" s="47" t="s">
        <v>2006</v>
      </c>
      <c r="G801" s="75" t="s">
        <v>68</v>
      </c>
      <c r="H801" s="75" t="s">
        <v>654</v>
      </c>
      <c r="I801" s="47"/>
      <c r="J801" s="48" t="s">
        <v>708</v>
      </c>
      <c r="K80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1" s="116">
        <f>ROUND(Tableau17[[#This Row],[LEN]]*7.27,0)</f>
        <v>167</v>
      </c>
      <c r="M801" s="116">
        <v>15</v>
      </c>
      <c r="N801" s="133" t="str">
        <f t="shared" si="5"/>
        <v>none</v>
      </c>
      <c r="O801" s="116">
        <f>LEN(Tableau17[[#This Row],[LABEL]])</f>
        <v>23</v>
      </c>
      <c r="P801" s="116">
        <v>15</v>
      </c>
      <c r="Q801" s="116" t="e">
        <f>ROUND(Tableau17[[#This Row],[LEN]]*#REF!+#REF!,0)</f>
        <v>#REF!</v>
      </c>
    </row>
    <row r="802" spans="1:17" s="97" customFormat="1" x14ac:dyDescent="0.25">
      <c r="A802" s="45" t="s">
        <v>1588</v>
      </c>
      <c r="B802" s="46" t="s">
        <v>1582</v>
      </c>
      <c r="C802" s="47" t="s">
        <v>113</v>
      </c>
      <c r="D802" s="75" t="s">
        <v>1177</v>
      </c>
      <c r="E802" s="47" t="s">
        <v>667</v>
      </c>
      <c r="F802" s="47" t="s">
        <v>2006</v>
      </c>
      <c r="G802" s="75" t="s">
        <v>68</v>
      </c>
      <c r="H802" s="75" t="s">
        <v>654</v>
      </c>
      <c r="I802" s="47"/>
      <c r="J802" s="48" t="s">
        <v>708</v>
      </c>
      <c r="K80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2" s="116">
        <f>ROUND(Tableau17[[#This Row],[LEN]]*7.27,0)</f>
        <v>233</v>
      </c>
      <c r="M802" s="116">
        <v>15</v>
      </c>
      <c r="N802" s="133" t="str">
        <f t="shared" si="5"/>
        <v>none</v>
      </c>
      <c r="O802" s="116">
        <f>LEN(Tableau17[[#This Row],[LABEL]])</f>
        <v>32</v>
      </c>
      <c r="P802" s="116">
        <v>15</v>
      </c>
      <c r="Q802" s="116" t="e">
        <f>ROUND(Tableau17[[#This Row],[LEN]]*#REF!+#REF!,0)</f>
        <v>#REF!</v>
      </c>
    </row>
    <row r="803" spans="1:17" s="97" customFormat="1" x14ac:dyDescent="0.25">
      <c r="A803" s="41" t="s">
        <v>1583</v>
      </c>
      <c r="B803" s="42" t="s">
        <v>298</v>
      </c>
      <c r="C803" s="43" t="s">
        <v>1589</v>
      </c>
      <c r="D803" s="74" t="s">
        <v>1177</v>
      </c>
      <c r="E803" s="43" t="s">
        <v>676</v>
      </c>
      <c r="F803" s="43" t="s">
        <v>1177</v>
      </c>
      <c r="G803" s="74" t="s">
        <v>68</v>
      </c>
      <c r="H803" s="74" t="s">
        <v>656</v>
      </c>
      <c r="I803" s="43"/>
      <c r="J803" s="44" t="s">
        <v>708</v>
      </c>
      <c r="K80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3" s="115">
        <f>ROUND(Tableau17[[#This Row],[LEN]]*7.27,0)</f>
        <v>487</v>
      </c>
      <c r="M803" s="115">
        <v>15</v>
      </c>
      <c r="N803" s="132" t="str">
        <f t="shared" si="5"/>
        <v>none</v>
      </c>
      <c r="O803" s="115">
        <f>LEN(Tableau17[[#This Row],[LABEL]])</f>
        <v>67</v>
      </c>
      <c r="P803" s="115">
        <v>15</v>
      </c>
      <c r="Q803" s="115" t="e">
        <f>ROUND(Tableau17[[#This Row],[LEN]]*#REF!+#REF!,0)</f>
        <v>#REF!</v>
      </c>
    </row>
    <row r="804" spans="1:17" s="97" customFormat="1" x14ac:dyDescent="0.25">
      <c r="A804" s="41" t="s">
        <v>1584</v>
      </c>
      <c r="B804" s="42" t="s">
        <v>298</v>
      </c>
      <c r="C804" s="43" t="s">
        <v>1590</v>
      </c>
      <c r="D804" s="74" t="s">
        <v>1177</v>
      </c>
      <c r="E804" s="43" t="s">
        <v>676</v>
      </c>
      <c r="F804" s="43" t="s">
        <v>1177</v>
      </c>
      <c r="G804" s="74" t="s">
        <v>68</v>
      </c>
      <c r="H804" s="74" t="s">
        <v>656</v>
      </c>
      <c r="I804" s="43"/>
      <c r="J804" s="44" t="s">
        <v>708</v>
      </c>
      <c r="K80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4" s="115">
        <f>ROUND(Tableau17[[#This Row],[LEN]]*7.27,0)</f>
        <v>364</v>
      </c>
      <c r="M804" s="115">
        <v>15</v>
      </c>
      <c r="N804" s="132" t="str">
        <f t="shared" si="5"/>
        <v>none</v>
      </c>
      <c r="O804" s="115">
        <f>LEN(Tableau17[[#This Row],[LABEL]])</f>
        <v>50</v>
      </c>
      <c r="P804" s="115">
        <v>15</v>
      </c>
      <c r="Q804" s="115" t="e">
        <f>ROUND(Tableau17[[#This Row],[LEN]]*#REF!+#REF!,0)</f>
        <v>#REF!</v>
      </c>
    </row>
    <row r="805" spans="1:17" s="97" customFormat="1" x14ac:dyDescent="0.25">
      <c r="A805" s="41" t="s">
        <v>1585</v>
      </c>
      <c r="B805" s="42" t="s">
        <v>298</v>
      </c>
      <c r="C805" s="43" t="s">
        <v>1591</v>
      </c>
      <c r="D805" s="74" t="s">
        <v>1177</v>
      </c>
      <c r="E805" s="43" t="s">
        <v>676</v>
      </c>
      <c r="F805" s="43" t="s">
        <v>1177</v>
      </c>
      <c r="G805" s="74" t="s">
        <v>68</v>
      </c>
      <c r="H805" s="74" t="s">
        <v>656</v>
      </c>
      <c r="I805" s="43"/>
      <c r="J805" s="44" t="s">
        <v>708</v>
      </c>
      <c r="K80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5" s="115">
        <f>ROUND(Tableau17[[#This Row],[LEN]]*7.27,0)</f>
        <v>407</v>
      </c>
      <c r="M805" s="115">
        <v>15</v>
      </c>
      <c r="N805" s="132" t="str">
        <f t="shared" si="5"/>
        <v>none</v>
      </c>
      <c r="O805" s="115">
        <f>LEN(Tableau17[[#This Row],[LABEL]])</f>
        <v>56</v>
      </c>
      <c r="P805" s="115">
        <v>15</v>
      </c>
      <c r="Q805" s="115" t="e">
        <f>ROUND(Tableau17[[#This Row],[LEN]]*#REF!+#REF!,0)</f>
        <v>#REF!</v>
      </c>
    </row>
    <row r="806" spans="1:17" s="273" customFormat="1" x14ac:dyDescent="0.25">
      <c r="A806" s="330" t="s">
        <v>299</v>
      </c>
      <c r="B806" s="331" t="s">
        <v>208</v>
      </c>
      <c r="C806" s="332" t="s">
        <v>13</v>
      </c>
      <c r="D806" s="333" t="s">
        <v>1177</v>
      </c>
      <c r="E806" s="332" t="s">
        <v>677</v>
      </c>
      <c r="F806" s="332" t="s">
        <v>1177</v>
      </c>
      <c r="G806" s="333" t="s">
        <v>68</v>
      </c>
      <c r="H806" s="333" t="str">
        <f>IFERROR(IF(SEARCH(".00.00.00.00.00",Tableau17[[#This Row],[name]],1)=7,"Division",""),"")</f>
        <v>Division</v>
      </c>
      <c r="I806" s="332"/>
      <c r="J806" s="334" t="s">
        <v>708</v>
      </c>
      <c r="K806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06" s="335">
        <f>ROUND(Tableau17[[#This Row],[LEN]]*7.27,0)</f>
        <v>80</v>
      </c>
      <c r="M806" s="335">
        <v>15</v>
      </c>
      <c r="N806" s="336" t="str">
        <f t="shared" si="5"/>
        <v>none</v>
      </c>
      <c r="O806" s="335">
        <f>LEN(Tableau17[[#This Row],[LABEL]])</f>
        <v>11</v>
      </c>
      <c r="P806" s="335">
        <v>15</v>
      </c>
      <c r="Q806" s="335" t="e">
        <f>ROUND(Tableau17[[#This Row],[LEN]]*#REF!+#REF!,0)</f>
        <v>#REF!</v>
      </c>
    </row>
    <row r="807" spans="1:17" s="97" customFormat="1" x14ac:dyDescent="0.25">
      <c r="A807" s="41" t="s">
        <v>1592</v>
      </c>
      <c r="B807" s="42" t="s">
        <v>299</v>
      </c>
      <c r="C807" s="43" t="s">
        <v>1595</v>
      </c>
      <c r="D807" s="74" t="s">
        <v>1177</v>
      </c>
      <c r="E807" s="43" t="s">
        <v>677</v>
      </c>
      <c r="F807" s="43" t="s">
        <v>1177</v>
      </c>
      <c r="G807" s="74" t="s">
        <v>68</v>
      </c>
      <c r="H807" s="74" t="s">
        <v>654</v>
      </c>
      <c r="I807" s="43"/>
      <c r="J807" s="44" t="s">
        <v>708</v>
      </c>
      <c r="K80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7" s="115">
        <f>ROUND(Tableau17[[#This Row],[LEN]]*7.27,0)</f>
        <v>400</v>
      </c>
      <c r="M807" s="115">
        <v>15</v>
      </c>
      <c r="N807" s="132" t="str">
        <f t="shared" si="5"/>
        <v>none</v>
      </c>
      <c r="O807" s="115">
        <f>LEN(Tableau17[[#This Row],[LABEL]])</f>
        <v>55</v>
      </c>
      <c r="P807" s="115">
        <v>15</v>
      </c>
      <c r="Q807" s="115" t="e">
        <f>ROUND(Tableau17[[#This Row],[LEN]]*#REF!+#REF!,0)</f>
        <v>#REF!</v>
      </c>
    </row>
    <row r="808" spans="1:17" s="97" customFormat="1" x14ac:dyDescent="0.25">
      <c r="A808" s="41" t="s">
        <v>1593</v>
      </c>
      <c r="B808" s="42" t="s">
        <v>299</v>
      </c>
      <c r="C808" s="43" t="s">
        <v>849</v>
      </c>
      <c r="D808" s="74" t="s">
        <v>1177</v>
      </c>
      <c r="E808" s="43" t="s">
        <v>667</v>
      </c>
      <c r="F808" s="43" t="s">
        <v>840</v>
      </c>
      <c r="G808" s="74" t="s">
        <v>68</v>
      </c>
      <c r="H808" s="74" t="s">
        <v>655</v>
      </c>
      <c r="I808" s="43"/>
      <c r="J808" s="44" t="s">
        <v>708</v>
      </c>
      <c r="K80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8" s="115">
        <f>ROUND(Tableau17[[#This Row],[LEN]]*7.27,0)</f>
        <v>80</v>
      </c>
      <c r="M808" s="115">
        <v>15</v>
      </c>
      <c r="N808" s="132" t="str">
        <f t="shared" si="5"/>
        <v>none</v>
      </c>
      <c r="O808" s="115">
        <f>LEN(Tableau17[[#This Row],[LABEL]])</f>
        <v>11</v>
      </c>
      <c r="P808" s="115">
        <v>15</v>
      </c>
      <c r="Q808" s="115" t="e">
        <f>ROUND(Tableau17[[#This Row],[LEN]]*#REF!+#REF!,0)</f>
        <v>#REF!</v>
      </c>
    </row>
    <row r="809" spans="1:17" s="97" customFormat="1" x14ac:dyDescent="0.25">
      <c r="A809" s="45" t="s">
        <v>1597</v>
      </c>
      <c r="B809" s="46" t="s">
        <v>1593</v>
      </c>
      <c r="C809" s="47" t="s">
        <v>112</v>
      </c>
      <c r="D809" s="75" t="s">
        <v>1177</v>
      </c>
      <c r="E809" s="47" t="s">
        <v>667</v>
      </c>
      <c r="F809" s="47" t="s">
        <v>2006</v>
      </c>
      <c r="G809" s="75" t="s">
        <v>68</v>
      </c>
      <c r="H809" s="75" t="s">
        <v>654</v>
      </c>
      <c r="I809" s="47"/>
      <c r="J809" s="48" t="s">
        <v>708</v>
      </c>
      <c r="K80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09" s="116">
        <f>ROUND(Tableau17[[#This Row],[LEN]]*7.27,0)</f>
        <v>167</v>
      </c>
      <c r="M809" s="116">
        <v>15</v>
      </c>
      <c r="N809" s="133" t="str">
        <f t="shared" si="5"/>
        <v>none</v>
      </c>
      <c r="O809" s="116">
        <f>LEN(Tableau17[[#This Row],[LABEL]])</f>
        <v>23</v>
      </c>
      <c r="P809" s="116">
        <v>15</v>
      </c>
      <c r="Q809" s="116" t="e">
        <f>ROUND(Tableau17[[#This Row],[LEN]]*#REF!+#REF!,0)</f>
        <v>#REF!</v>
      </c>
    </row>
    <row r="810" spans="1:17" s="97" customFormat="1" x14ac:dyDescent="0.25">
      <c r="A810" s="45" t="s">
        <v>1598</v>
      </c>
      <c r="B810" s="46" t="s">
        <v>1593</v>
      </c>
      <c r="C810" s="47" t="s">
        <v>113</v>
      </c>
      <c r="D810" s="75" t="s">
        <v>1177</v>
      </c>
      <c r="E810" s="47" t="s">
        <v>667</v>
      </c>
      <c r="F810" s="47" t="s">
        <v>2006</v>
      </c>
      <c r="G810" s="75" t="s">
        <v>68</v>
      </c>
      <c r="H810" s="75" t="s">
        <v>654</v>
      </c>
      <c r="I810" s="47"/>
      <c r="J810" s="48" t="s">
        <v>708</v>
      </c>
      <c r="K81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0" s="116">
        <f>ROUND(Tableau17[[#This Row],[LEN]]*7.27,0)</f>
        <v>233</v>
      </c>
      <c r="M810" s="116">
        <v>15</v>
      </c>
      <c r="N810" s="133" t="str">
        <f t="shared" si="5"/>
        <v>none</v>
      </c>
      <c r="O810" s="116">
        <f>LEN(Tableau17[[#This Row],[LABEL]])</f>
        <v>32</v>
      </c>
      <c r="P810" s="116">
        <v>15</v>
      </c>
      <c r="Q810" s="116" t="e">
        <f>ROUND(Tableau17[[#This Row],[LEN]]*#REF!+#REF!,0)</f>
        <v>#REF!</v>
      </c>
    </row>
    <row r="811" spans="1:17" s="97" customFormat="1" x14ac:dyDescent="0.25">
      <c r="A811" s="41" t="s">
        <v>1594</v>
      </c>
      <c r="B811" s="42" t="s">
        <v>299</v>
      </c>
      <c r="C811" s="43" t="s">
        <v>1596</v>
      </c>
      <c r="D811" s="74" t="s">
        <v>1177</v>
      </c>
      <c r="E811" s="43" t="s">
        <v>672</v>
      </c>
      <c r="F811" s="43" t="s">
        <v>677</v>
      </c>
      <c r="G811" s="74" t="s">
        <v>68</v>
      </c>
      <c r="H811" s="74" t="s">
        <v>654</v>
      </c>
      <c r="I811" s="43"/>
      <c r="J811" s="44" t="s">
        <v>708</v>
      </c>
      <c r="K81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1" s="115">
        <f>ROUND(Tableau17[[#This Row],[LEN]]*7.27,0)</f>
        <v>342</v>
      </c>
      <c r="M811" s="115">
        <v>15</v>
      </c>
      <c r="N811" s="132" t="str">
        <f t="shared" si="5"/>
        <v>none</v>
      </c>
      <c r="O811" s="115">
        <f>LEN(Tableau17[[#This Row],[LABEL]])</f>
        <v>47</v>
      </c>
      <c r="P811" s="115">
        <v>15</v>
      </c>
      <c r="Q811" s="115" t="e">
        <f>ROUND(Tableau17[[#This Row],[LEN]]*#REF!+#REF!,0)</f>
        <v>#REF!</v>
      </c>
    </row>
    <row r="812" spans="1:17" s="273" customFormat="1" x14ac:dyDescent="0.25">
      <c r="A812" s="330" t="s">
        <v>300</v>
      </c>
      <c r="B812" s="331" t="s">
        <v>208</v>
      </c>
      <c r="C812" s="332" t="s">
        <v>14</v>
      </c>
      <c r="D812" s="333" t="s">
        <v>1177</v>
      </c>
      <c r="E812" s="332" t="s">
        <v>678</v>
      </c>
      <c r="F812" s="332" t="s">
        <v>1177</v>
      </c>
      <c r="G812" s="333" t="s">
        <v>68</v>
      </c>
      <c r="H812" s="333" t="str">
        <f>IFERROR(IF(SEARCH(".00.00.00.00.00",Tableau17[[#This Row],[name]],1)=7,"Division",""),"")</f>
        <v>Division</v>
      </c>
      <c r="I812" s="332"/>
      <c r="J812" s="334" t="s">
        <v>724</v>
      </c>
      <c r="K812" s="33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12" s="335">
        <f>ROUND(Tableau17[[#This Row],[LEN]]*7.27,0)</f>
        <v>240</v>
      </c>
      <c r="M812" s="335">
        <v>15</v>
      </c>
      <c r="N812" s="336" t="str">
        <f t="shared" si="5"/>
        <v>new</v>
      </c>
      <c r="O812" s="335">
        <f>LEN(Tableau17[[#This Row],[LABEL]])</f>
        <v>33</v>
      </c>
      <c r="P812" s="335">
        <v>15</v>
      </c>
      <c r="Q812" s="335" t="e">
        <f>ROUND(Tableau17[[#This Row],[LEN]]*#REF!+#REF!,0)</f>
        <v>#REF!</v>
      </c>
    </row>
    <row r="813" spans="1:17" s="97" customFormat="1" x14ac:dyDescent="0.25">
      <c r="A813" s="41" t="s">
        <v>1599</v>
      </c>
      <c r="B813" s="42" t="s">
        <v>300</v>
      </c>
      <c r="C813" s="43" t="s">
        <v>1611</v>
      </c>
      <c r="D813" s="74" t="s">
        <v>1177</v>
      </c>
      <c r="E813" s="43" t="s">
        <v>678</v>
      </c>
      <c r="F813" s="43" t="s">
        <v>1177</v>
      </c>
      <c r="G813" s="74" t="s">
        <v>68</v>
      </c>
      <c r="H813" s="74" t="s">
        <v>656</v>
      </c>
      <c r="I813" s="43"/>
      <c r="J813" s="44" t="s">
        <v>708</v>
      </c>
      <c r="K81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3" s="115">
        <f>ROUND(Tableau17[[#This Row],[LEN]]*7.27,0)</f>
        <v>334</v>
      </c>
      <c r="M813" s="115">
        <v>15</v>
      </c>
      <c r="N813" s="132" t="str">
        <f t="shared" si="5"/>
        <v>none</v>
      </c>
      <c r="O813" s="115">
        <f>LEN(Tableau17[[#This Row],[LABEL]])</f>
        <v>46</v>
      </c>
      <c r="P813" s="115">
        <v>15</v>
      </c>
      <c r="Q813" s="115" t="e">
        <f>ROUND(Tableau17[[#This Row],[LEN]]*#REF!+#REF!,0)</f>
        <v>#REF!</v>
      </c>
    </row>
    <row r="814" spans="1:17" s="97" customFormat="1" x14ac:dyDescent="0.25">
      <c r="A814" s="41" t="s">
        <v>1600</v>
      </c>
      <c r="B814" s="42" t="s">
        <v>300</v>
      </c>
      <c r="C814" s="43" t="s">
        <v>1612</v>
      </c>
      <c r="D814" s="74" t="s">
        <v>1177</v>
      </c>
      <c r="E814" s="43" t="s">
        <v>678</v>
      </c>
      <c r="F814" s="43" t="s">
        <v>1177</v>
      </c>
      <c r="G814" s="74" t="s">
        <v>68</v>
      </c>
      <c r="H814" s="74" t="s">
        <v>656</v>
      </c>
      <c r="I814" s="43"/>
      <c r="J814" s="44" t="s">
        <v>708</v>
      </c>
      <c r="K81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4" s="115">
        <f>ROUND(Tableau17[[#This Row],[LEN]]*7.27,0)</f>
        <v>174</v>
      </c>
      <c r="M814" s="115">
        <v>15</v>
      </c>
      <c r="N814" s="132" t="str">
        <f t="shared" si="5"/>
        <v>none</v>
      </c>
      <c r="O814" s="115">
        <f>LEN(Tableau17[[#This Row],[LABEL]])</f>
        <v>24</v>
      </c>
      <c r="P814" s="115">
        <v>15</v>
      </c>
      <c r="Q814" s="115" t="e">
        <f>ROUND(Tableau17[[#This Row],[LEN]]*#REF!+#REF!,0)</f>
        <v>#REF!</v>
      </c>
    </row>
    <row r="815" spans="1:17" s="97" customFormat="1" x14ac:dyDescent="0.25">
      <c r="A815" s="41" t="s">
        <v>1601</v>
      </c>
      <c r="B815" s="42" t="s">
        <v>300</v>
      </c>
      <c r="C815" s="43" t="s">
        <v>1613</v>
      </c>
      <c r="D815" s="74" t="s">
        <v>1177</v>
      </c>
      <c r="E815" s="43" t="s">
        <v>678</v>
      </c>
      <c r="F815" s="43" t="s">
        <v>1177</v>
      </c>
      <c r="G815" s="74" t="s">
        <v>68</v>
      </c>
      <c r="H815" s="74" t="s">
        <v>656</v>
      </c>
      <c r="I815" s="43"/>
      <c r="J815" s="44" t="s">
        <v>708</v>
      </c>
      <c r="K815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5" s="115">
        <f>ROUND(Tableau17[[#This Row],[LEN]]*7.27,0)</f>
        <v>160</v>
      </c>
      <c r="M815" s="115">
        <v>15</v>
      </c>
      <c r="N815" s="132" t="str">
        <f t="shared" si="5"/>
        <v>none</v>
      </c>
      <c r="O815" s="115">
        <f>LEN(Tableau17[[#This Row],[LABEL]])</f>
        <v>22</v>
      </c>
      <c r="P815" s="115">
        <v>15</v>
      </c>
      <c r="Q815" s="115" t="e">
        <f>ROUND(Tableau17[[#This Row],[LEN]]*#REF!+#REF!,0)</f>
        <v>#REF!</v>
      </c>
    </row>
    <row r="816" spans="1:17" s="97" customFormat="1" x14ac:dyDescent="0.25">
      <c r="A816" s="41" t="s">
        <v>1602</v>
      </c>
      <c r="B816" s="42" t="s">
        <v>300</v>
      </c>
      <c r="C816" s="43" t="s">
        <v>1614</v>
      </c>
      <c r="D816" s="74" t="s">
        <v>1177</v>
      </c>
      <c r="E816" s="43" t="s">
        <v>678</v>
      </c>
      <c r="F816" s="43" t="s">
        <v>1177</v>
      </c>
      <c r="G816" s="74" t="s">
        <v>68</v>
      </c>
      <c r="H816" s="74" t="s">
        <v>656</v>
      </c>
      <c r="I816" s="43"/>
      <c r="J816" s="44" t="s">
        <v>708</v>
      </c>
      <c r="K816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6" s="115">
        <f>ROUND(Tableau17[[#This Row],[LEN]]*7.27,0)</f>
        <v>465</v>
      </c>
      <c r="M816" s="115">
        <v>15</v>
      </c>
      <c r="N816" s="132" t="str">
        <f t="shared" si="5"/>
        <v>none</v>
      </c>
      <c r="O816" s="115">
        <f>LEN(Tableau17[[#This Row],[LABEL]])</f>
        <v>64</v>
      </c>
      <c r="P816" s="115">
        <v>15</v>
      </c>
      <c r="Q816" s="115" t="e">
        <f>ROUND(Tableau17[[#This Row],[LEN]]*#REF!+#REF!,0)</f>
        <v>#REF!</v>
      </c>
    </row>
    <row r="817" spans="1:17" s="97" customFormat="1" x14ac:dyDescent="0.25">
      <c r="A817" s="41" t="s">
        <v>1603</v>
      </c>
      <c r="B817" s="42" t="s">
        <v>300</v>
      </c>
      <c r="C817" s="43" t="s">
        <v>1615</v>
      </c>
      <c r="D817" s="74" t="s">
        <v>1177</v>
      </c>
      <c r="E817" s="43" t="s">
        <v>678</v>
      </c>
      <c r="F817" s="43" t="s">
        <v>1177</v>
      </c>
      <c r="G817" s="74" t="s">
        <v>68</v>
      </c>
      <c r="H817" s="74" t="s">
        <v>656</v>
      </c>
      <c r="I817" s="43"/>
      <c r="J817" s="44" t="s">
        <v>708</v>
      </c>
      <c r="K81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7" s="115">
        <f>ROUND(Tableau17[[#This Row],[LEN]]*7.27,0)</f>
        <v>291</v>
      </c>
      <c r="M817" s="115">
        <v>15</v>
      </c>
      <c r="N817" s="132" t="str">
        <f t="shared" si="5"/>
        <v>none</v>
      </c>
      <c r="O817" s="115">
        <f>LEN(Tableau17[[#This Row],[LABEL]])</f>
        <v>40</v>
      </c>
      <c r="P817" s="115">
        <v>15</v>
      </c>
      <c r="Q817" s="115" t="e">
        <f>ROUND(Tableau17[[#This Row],[LEN]]*#REF!+#REF!,0)</f>
        <v>#REF!</v>
      </c>
    </row>
    <row r="818" spans="1:17" s="97" customFormat="1" x14ac:dyDescent="0.25">
      <c r="A818" s="41" t="s">
        <v>1604</v>
      </c>
      <c r="B818" s="42" t="s">
        <v>300</v>
      </c>
      <c r="C818" s="43" t="s">
        <v>849</v>
      </c>
      <c r="D818" s="74" t="s">
        <v>1177</v>
      </c>
      <c r="E818" s="43" t="s">
        <v>667</v>
      </c>
      <c r="F818" s="43" t="s">
        <v>840</v>
      </c>
      <c r="G818" s="74" t="s">
        <v>68</v>
      </c>
      <c r="H818" s="74" t="s">
        <v>655</v>
      </c>
      <c r="I818" s="43"/>
      <c r="J818" s="44" t="s">
        <v>708</v>
      </c>
      <c r="K81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8" s="115">
        <f>ROUND(Tableau17[[#This Row],[LEN]]*7.27,0)</f>
        <v>80</v>
      </c>
      <c r="M818" s="115">
        <v>15</v>
      </c>
      <c r="N818" s="132" t="str">
        <f t="shared" si="5"/>
        <v>none</v>
      </c>
      <c r="O818" s="115">
        <f>LEN(Tableau17[[#This Row],[LABEL]])</f>
        <v>11</v>
      </c>
      <c r="P818" s="115">
        <v>15</v>
      </c>
      <c r="Q818" s="115" t="e">
        <f>ROUND(Tableau17[[#This Row],[LEN]]*#REF!+#REF!,0)</f>
        <v>#REF!</v>
      </c>
    </row>
    <row r="819" spans="1:17" s="97" customFormat="1" x14ac:dyDescent="0.25">
      <c r="A819" s="45" t="s">
        <v>1616</v>
      </c>
      <c r="B819" s="46" t="s">
        <v>1604</v>
      </c>
      <c r="C819" s="47" t="s">
        <v>112</v>
      </c>
      <c r="D819" s="75" t="s">
        <v>1177</v>
      </c>
      <c r="E819" s="47" t="s">
        <v>667</v>
      </c>
      <c r="F819" s="47" t="s">
        <v>2006</v>
      </c>
      <c r="G819" s="75" t="s">
        <v>68</v>
      </c>
      <c r="H819" s="75" t="s">
        <v>654</v>
      </c>
      <c r="I819" s="47"/>
      <c r="J819" s="48" t="s">
        <v>708</v>
      </c>
      <c r="K81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19" s="116">
        <f>ROUND(Tableau17[[#This Row],[LEN]]*7.27,0)</f>
        <v>167</v>
      </c>
      <c r="M819" s="116">
        <v>15</v>
      </c>
      <c r="N819" s="133" t="str">
        <f t="shared" si="5"/>
        <v>none</v>
      </c>
      <c r="O819" s="116">
        <f>LEN(Tableau17[[#This Row],[LABEL]])</f>
        <v>23</v>
      </c>
      <c r="P819" s="116">
        <v>15</v>
      </c>
      <c r="Q819" s="116" t="e">
        <f>ROUND(Tableau17[[#This Row],[LEN]]*#REF!+#REF!,0)</f>
        <v>#REF!</v>
      </c>
    </row>
    <row r="820" spans="1:17" s="97" customFormat="1" x14ac:dyDescent="0.25">
      <c r="A820" s="45" t="s">
        <v>1617</v>
      </c>
      <c r="B820" s="46" t="s">
        <v>1604</v>
      </c>
      <c r="C820" s="47" t="s">
        <v>113</v>
      </c>
      <c r="D820" s="75" t="s">
        <v>1177</v>
      </c>
      <c r="E820" s="47" t="s">
        <v>667</v>
      </c>
      <c r="F820" s="47" t="s">
        <v>2006</v>
      </c>
      <c r="G820" s="75" t="s">
        <v>68</v>
      </c>
      <c r="H820" s="75" t="s">
        <v>654</v>
      </c>
      <c r="I820" s="47"/>
      <c r="J820" s="48" t="s">
        <v>708</v>
      </c>
      <c r="K82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0" s="116">
        <f>ROUND(Tableau17[[#This Row],[LEN]]*7.27,0)</f>
        <v>233</v>
      </c>
      <c r="M820" s="116">
        <v>15</v>
      </c>
      <c r="N820" s="133" t="str">
        <f t="shared" si="5"/>
        <v>none</v>
      </c>
      <c r="O820" s="116">
        <f>LEN(Tableau17[[#This Row],[LABEL]])</f>
        <v>32</v>
      </c>
      <c r="P820" s="116">
        <v>15</v>
      </c>
      <c r="Q820" s="116" t="e">
        <f>ROUND(Tableau17[[#This Row],[LEN]]*#REF!+#REF!,0)</f>
        <v>#REF!</v>
      </c>
    </row>
    <row r="821" spans="1:17" s="97" customFormat="1" x14ac:dyDescent="0.25">
      <c r="A821" s="41" t="s">
        <v>1605</v>
      </c>
      <c r="B821" s="42" t="s">
        <v>300</v>
      </c>
      <c r="C821" s="43" t="s">
        <v>1618</v>
      </c>
      <c r="D821" s="74" t="s">
        <v>1177</v>
      </c>
      <c r="E821" s="43" t="s">
        <v>669</v>
      </c>
      <c r="F821" s="43" t="s">
        <v>678</v>
      </c>
      <c r="G821" s="74" t="s">
        <v>68</v>
      </c>
      <c r="H821" s="74" t="s">
        <v>656</v>
      </c>
      <c r="I821" s="43"/>
      <c r="J821" s="44" t="s">
        <v>708</v>
      </c>
      <c r="K82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1" s="115">
        <f>ROUND(Tableau17[[#This Row],[LEN]]*7.27,0)</f>
        <v>225</v>
      </c>
      <c r="M821" s="115">
        <v>15</v>
      </c>
      <c r="N821" s="132" t="str">
        <f t="shared" si="5"/>
        <v>none</v>
      </c>
      <c r="O821" s="115">
        <f>LEN(Tableau17[[#This Row],[LABEL]])</f>
        <v>31</v>
      </c>
      <c r="P821" s="115">
        <v>15</v>
      </c>
      <c r="Q821" s="115" t="e">
        <f>ROUND(Tableau17[[#This Row],[LEN]]*#REF!+#REF!,0)</f>
        <v>#REF!</v>
      </c>
    </row>
    <row r="822" spans="1:17" s="97" customFormat="1" x14ac:dyDescent="0.25">
      <c r="A822" s="41" t="s">
        <v>1606</v>
      </c>
      <c r="B822" s="42" t="s">
        <v>300</v>
      </c>
      <c r="C822" s="43" t="s">
        <v>1620</v>
      </c>
      <c r="D822" s="74" t="s">
        <v>1177</v>
      </c>
      <c r="E822" s="43" t="s">
        <v>675</v>
      </c>
      <c r="F822" s="43" t="s">
        <v>678</v>
      </c>
      <c r="G822" s="74" t="s">
        <v>68</v>
      </c>
      <c r="H822" s="74" t="s">
        <v>654</v>
      </c>
      <c r="I822" s="43"/>
      <c r="J822" s="44" t="s">
        <v>708</v>
      </c>
      <c r="K822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2" s="115">
        <f>ROUND(Tableau17[[#This Row],[LEN]]*7.27,0)</f>
        <v>262</v>
      </c>
      <c r="M822" s="115">
        <v>15</v>
      </c>
      <c r="N822" s="132" t="str">
        <f t="shared" si="5"/>
        <v>none</v>
      </c>
      <c r="O822" s="115">
        <f>LEN(Tableau17[[#This Row],[LABEL]])</f>
        <v>36</v>
      </c>
      <c r="P822" s="115">
        <v>15</v>
      </c>
      <c r="Q822" s="115" t="e">
        <f>ROUND(Tableau17[[#This Row],[LEN]]*#REF!+#REF!,0)</f>
        <v>#REF!</v>
      </c>
    </row>
    <row r="823" spans="1:17" s="97" customFormat="1" x14ac:dyDescent="0.25">
      <c r="A823" s="41" t="s">
        <v>1607</v>
      </c>
      <c r="B823" s="42" t="s">
        <v>300</v>
      </c>
      <c r="C823" s="43" t="s">
        <v>1622</v>
      </c>
      <c r="D823" s="74" t="s">
        <v>1177</v>
      </c>
      <c r="E823" s="43" t="s">
        <v>678</v>
      </c>
      <c r="F823" s="43" t="s">
        <v>1177</v>
      </c>
      <c r="G823" s="74" t="s">
        <v>68</v>
      </c>
      <c r="H823" s="74" t="s">
        <v>654</v>
      </c>
      <c r="I823" s="43"/>
      <c r="J823" s="44" t="s">
        <v>708</v>
      </c>
      <c r="K823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3" s="115">
        <f>ROUND(Tableau17[[#This Row],[LEN]]*7.27,0)</f>
        <v>465</v>
      </c>
      <c r="M823" s="115">
        <v>15</v>
      </c>
      <c r="N823" s="132" t="str">
        <f t="shared" si="5"/>
        <v>none</v>
      </c>
      <c r="O823" s="115">
        <f>LEN(Tableau17[[#This Row],[LABEL]])</f>
        <v>64</v>
      </c>
      <c r="P823" s="115">
        <v>15</v>
      </c>
      <c r="Q823" s="115" t="e">
        <f>ROUND(Tableau17[[#This Row],[LEN]]*#REF!+#REF!,0)</f>
        <v>#REF!</v>
      </c>
    </row>
    <row r="824" spans="1:17" s="97" customFormat="1" x14ac:dyDescent="0.25">
      <c r="A824" s="41" t="s">
        <v>1608</v>
      </c>
      <c r="B824" s="42" t="s">
        <v>300</v>
      </c>
      <c r="C824" s="43" t="s">
        <v>1372</v>
      </c>
      <c r="D824" s="74" t="s">
        <v>1177</v>
      </c>
      <c r="E824" s="43" t="s">
        <v>678</v>
      </c>
      <c r="F824" s="43" t="s">
        <v>1177</v>
      </c>
      <c r="G824" s="74" t="s">
        <v>68</v>
      </c>
      <c r="H824" s="74" t="s">
        <v>655</v>
      </c>
      <c r="I824" s="43"/>
      <c r="J824" s="44" t="s">
        <v>708</v>
      </c>
      <c r="K82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4" s="115">
        <f>ROUND(Tableau17[[#This Row],[LEN]]*7.27,0)</f>
        <v>80</v>
      </c>
      <c r="M824" s="115">
        <v>15</v>
      </c>
      <c r="N824" s="132" t="str">
        <f t="shared" si="5"/>
        <v>none</v>
      </c>
      <c r="O824" s="115">
        <f>LEN(Tableau17[[#This Row],[LABEL]])</f>
        <v>11</v>
      </c>
      <c r="P824" s="115">
        <v>15</v>
      </c>
      <c r="Q824" s="115" t="e">
        <f>ROUND(Tableau17[[#This Row],[LEN]]*#REF!+#REF!,0)</f>
        <v>#REF!</v>
      </c>
    </row>
    <row r="825" spans="1:17" s="97" customFormat="1" x14ac:dyDescent="0.25">
      <c r="A825" s="45" t="s">
        <v>1623</v>
      </c>
      <c r="B825" s="46" t="s">
        <v>1608</v>
      </c>
      <c r="C825" s="47" t="s">
        <v>1625</v>
      </c>
      <c r="D825" s="75" t="s">
        <v>1177</v>
      </c>
      <c r="E825" s="47" t="s">
        <v>678</v>
      </c>
      <c r="F825" s="47" t="s">
        <v>1177</v>
      </c>
      <c r="G825" s="75" t="s">
        <v>68</v>
      </c>
      <c r="H825" s="75" t="s">
        <v>654</v>
      </c>
      <c r="I825" s="47"/>
      <c r="J825" s="48" t="s">
        <v>708</v>
      </c>
      <c r="K82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5" s="116">
        <f>ROUND(Tableau17[[#This Row],[LEN]]*7.27,0)</f>
        <v>109</v>
      </c>
      <c r="M825" s="116">
        <v>15</v>
      </c>
      <c r="N825" s="133" t="str">
        <f t="shared" si="5"/>
        <v>none</v>
      </c>
      <c r="O825" s="116">
        <f>LEN(Tableau17[[#This Row],[LABEL]])</f>
        <v>15</v>
      </c>
      <c r="P825" s="116">
        <v>15</v>
      </c>
      <c r="Q825" s="116" t="e">
        <f>ROUND(Tableau17[[#This Row],[LEN]]*#REF!+#REF!,0)</f>
        <v>#REF!</v>
      </c>
    </row>
    <row r="826" spans="1:17" s="97" customFormat="1" x14ac:dyDescent="0.25">
      <c r="A826" s="45" t="s">
        <v>1624</v>
      </c>
      <c r="B826" s="46" t="s">
        <v>1608</v>
      </c>
      <c r="C826" s="47" t="s">
        <v>1626</v>
      </c>
      <c r="D826" s="75" t="s">
        <v>1177</v>
      </c>
      <c r="E826" s="47" t="s">
        <v>678</v>
      </c>
      <c r="F826" s="47" t="s">
        <v>1177</v>
      </c>
      <c r="G826" s="75" t="s">
        <v>68</v>
      </c>
      <c r="H826" s="75" t="s">
        <v>654</v>
      </c>
      <c r="I826" s="47"/>
      <c r="J826" s="48" t="s">
        <v>708</v>
      </c>
      <c r="K82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6" s="116">
        <f>ROUND(Tableau17[[#This Row],[LEN]]*7.27,0)</f>
        <v>124</v>
      </c>
      <c r="M826" s="116">
        <v>15</v>
      </c>
      <c r="N826" s="133" t="str">
        <f t="shared" si="5"/>
        <v>none</v>
      </c>
      <c r="O826" s="116">
        <f>LEN(Tableau17[[#This Row],[LABEL]])</f>
        <v>17</v>
      </c>
      <c r="P826" s="116">
        <v>15</v>
      </c>
      <c r="Q826" s="116" t="e">
        <f>ROUND(Tableau17[[#This Row],[LEN]]*#REF!+#REF!,0)</f>
        <v>#REF!</v>
      </c>
    </row>
    <row r="827" spans="1:17" s="97" customFormat="1" x14ac:dyDescent="0.25">
      <c r="A827" s="41" t="s">
        <v>1609</v>
      </c>
      <c r="B827" s="42" t="s">
        <v>300</v>
      </c>
      <c r="C827" s="43" t="s">
        <v>1627</v>
      </c>
      <c r="D827" s="74" t="s">
        <v>1177</v>
      </c>
      <c r="E827" s="43" t="s">
        <v>678</v>
      </c>
      <c r="F827" s="43" t="s">
        <v>1177</v>
      </c>
      <c r="G827" s="74" t="s">
        <v>68</v>
      </c>
      <c r="H827" s="74" t="s">
        <v>654</v>
      </c>
      <c r="I827" s="43"/>
      <c r="J827" s="44" t="s">
        <v>708</v>
      </c>
      <c r="K82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7" s="115">
        <f>ROUND(Tableau17[[#This Row],[LEN]]*7.27,0)</f>
        <v>334</v>
      </c>
      <c r="M827" s="115">
        <v>15</v>
      </c>
      <c r="N827" s="132" t="str">
        <f t="shared" si="5"/>
        <v>none</v>
      </c>
      <c r="O827" s="115">
        <f>LEN(Tableau17[[#This Row],[LABEL]])</f>
        <v>46</v>
      </c>
      <c r="P827" s="115">
        <v>15</v>
      </c>
      <c r="Q827" s="115" t="e">
        <f>ROUND(Tableau17[[#This Row],[LEN]]*#REF!+#REF!,0)</f>
        <v>#REF!</v>
      </c>
    </row>
    <row r="828" spans="1:17" s="97" customFormat="1" x14ac:dyDescent="0.25">
      <c r="A828" s="41" t="s">
        <v>1610</v>
      </c>
      <c r="B828" s="42" t="s">
        <v>300</v>
      </c>
      <c r="C828" s="43" t="s">
        <v>1628</v>
      </c>
      <c r="D828" s="74" t="s">
        <v>1177</v>
      </c>
      <c r="E828" s="43" t="s">
        <v>678</v>
      </c>
      <c r="F828" s="43" t="s">
        <v>1177</v>
      </c>
      <c r="G828" s="74" t="s">
        <v>68</v>
      </c>
      <c r="H828" s="74" t="s">
        <v>655</v>
      </c>
      <c r="I828" s="43"/>
      <c r="J828" s="44" t="s">
        <v>708</v>
      </c>
      <c r="K828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8" s="115">
        <f>ROUND(Tableau17[[#This Row],[LEN]]*7.27,0)</f>
        <v>225</v>
      </c>
      <c r="M828" s="115">
        <v>15</v>
      </c>
      <c r="N828" s="132" t="str">
        <f t="shared" si="5"/>
        <v>none</v>
      </c>
      <c r="O828" s="115">
        <f>LEN(Tableau17[[#This Row],[LABEL]])</f>
        <v>31</v>
      </c>
      <c r="P828" s="115">
        <v>15</v>
      </c>
      <c r="Q828" s="115" t="e">
        <f>ROUND(Tableau17[[#This Row],[LEN]]*#REF!+#REF!,0)</f>
        <v>#REF!</v>
      </c>
    </row>
    <row r="829" spans="1:17" s="97" customFormat="1" x14ac:dyDescent="0.25">
      <c r="A829" s="45" t="s">
        <v>1629</v>
      </c>
      <c r="B829" s="46" t="s">
        <v>1610</v>
      </c>
      <c r="C829" s="47" t="s">
        <v>1633</v>
      </c>
      <c r="D829" s="75" t="s">
        <v>1177</v>
      </c>
      <c r="E829" s="47" t="s">
        <v>678</v>
      </c>
      <c r="F829" s="47" t="s">
        <v>1177</v>
      </c>
      <c r="G829" s="75" t="s">
        <v>68</v>
      </c>
      <c r="H829" s="75" t="s">
        <v>656</v>
      </c>
      <c r="I829" s="47"/>
      <c r="J829" s="48" t="s">
        <v>708</v>
      </c>
      <c r="K829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29" s="116">
        <f>ROUND(Tableau17[[#This Row],[LEN]]*7.27,0)</f>
        <v>22</v>
      </c>
      <c r="M829" s="116">
        <v>15</v>
      </c>
      <c r="N829" s="133" t="str">
        <f t="shared" si="5"/>
        <v>none</v>
      </c>
      <c r="O829" s="116">
        <f>LEN(Tableau17[[#This Row],[LABEL]])</f>
        <v>3</v>
      </c>
      <c r="P829" s="116">
        <v>15</v>
      </c>
      <c r="Q829" s="116" t="e">
        <f>ROUND(Tableau17[[#This Row],[LEN]]*#REF!+#REF!,0)</f>
        <v>#REF!</v>
      </c>
    </row>
    <row r="830" spans="1:17" s="97" customFormat="1" x14ac:dyDescent="0.25">
      <c r="A830" s="45" t="s">
        <v>1630</v>
      </c>
      <c r="B830" s="46" t="s">
        <v>1610</v>
      </c>
      <c r="C830" s="47" t="s">
        <v>1634</v>
      </c>
      <c r="D830" s="75" t="s">
        <v>1177</v>
      </c>
      <c r="E830" s="47" t="s">
        <v>678</v>
      </c>
      <c r="F830" s="47" t="s">
        <v>1177</v>
      </c>
      <c r="G830" s="75" t="s">
        <v>68</v>
      </c>
      <c r="H830" s="75" t="s">
        <v>656</v>
      </c>
      <c r="I830" s="47"/>
      <c r="J830" s="48" t="s">
        <v>708</v>
      </c>
      <c r="K830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0" s="116">
        <f>ROUND(Tableau17[[#This Row],[LEN]]*7.27,0)</f>
        <v>80</v>
      </c>
      <c r="M830" s="116">
        <v>15</v>
      </c>
      <c r="N830" s="133" t="str">
        <f t="shared" si="5"/>
        <v>none</v>
      </c>
      <c r="O830" s="116">
        <f>LEN(Tableau17[[#This Row],[LABEL]])</f>
        <v>11</v>
      </c>
      <c r="P830" s="116">
        <v>15</v>
      </c>
      <c r="Q830" s="116" t="e">
        <f>ROUND(Tableau17[[#This Row],[LEN]]*#REF!+#REF!,0)</f>
        <v>#REF!</v>
      </c>
    </row>
    <row r="831" spans="1:17" s="97" customFormat="1" x14ac:dyDescent="0.25">
      <c r="A831" s="45" t="s">
        <v>1631</v>
      </c>
      <c r="B831" s="46" t="s">
        <v>1610</v>
      </c>
      <c r="C831" s="47" t="s">
        <v>1635</v>
      </c>
      <c r="D831" s="75" t="s">
        <v>1177</v>
      </c>
      <c r="E831" s="47" t="s">
        <v>678</v>
      </c>
      <c r="F831" s="47" t="s">
        <v>1177</v>
      </c>
      <c r="G831" s="75" t="s">
        <v>68</v>
      </c>
      <c r="H831" s="75" t="s">
        <v>656</v>
      </c>
      <c r="I831" s="47"/>
      <c r="J831" s="48" t="s">
        <v>708</v>
      </c>
      <c r="K831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1" s="116">
        <f>ROUND(Tableau17[[#This Row],[LEN]]*7.27,0)</f>
        <v>131</v>
      </c>
      <c r="M831" s="116">
        <v>15</v>
      </c>
      <c r="N831" s="133" t="str">
        <f t="shared" si="5"/>
        <v>none</v>
      </c>
      <c r="O831" s="116">
        <f>LEN(Tableau17[[#This Row],[LABEL]])</f>
        <v>18</v>
      </c>
      <c r="P831" s="116">
        <v>15</v>
      </c>
      <c r="Q831" s="116" t="e">
        <f>ROUND(Tableau17[[#This Row],[LEN]]*#REF!+#REF!,0)</f>
        <v>#REF!</v>
      </c>
    </row>
    <row r="832" spans="1:17" s="97" customFormat="1" x14ac:dyDescent="0.25">
      <c r="A832" s="45" t="s">
        <v>1632</v>
      </c>
      <c r="B832" s="46" t="s">
        <v>1610</v>
      </c>
      <c r="C832" s="47" t="s">
        <v>1636</v>
      </c>
      <c r="D832" s="75" t="s">
        <v>1177</v>
      </c>
      <c r="E832" s="47" t="s">
        <v>678</v>
      </c>
      <c r="F832" s="47" t="s">
        <v>1177</v>
      </c>
      <c r="G832" s="75" t="s">
        <v>68</v>
      </c>
      <c r="H832" s="75" t="s">
        <v>656</v>
      </c>
      <c r="I832" s="47"/>
      <c r="J832" s="48" t="s">
        <v>708</v>
      </c>
      <c r="K83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2" s="116">
        <f>ROUND(Tableau17[[#This Row],[LEN]]*7.27,0)</f>
        <v>95</v>
      </c>
      <c r="M832" s="116">
        <v>15</v>
      </c>
      <c r="N832" s="133" t="str">
        <f t="shared" si="5"/>
        <v>none</v>
      </c>
      <c r="O832" s="116">
        <f>LEN(Tableau17[[#This Row],[LABEL]])</f>
        <v>13</v>
      </c>
      <c r="P832" s="116">
        <v>15</v>
      </c>
      <c r="Q832" s="116" t="e">
        <f>ROUND(Tableau17[[#This Row],[LEN]]*#REF!+#REF!,0)</f>
        <v>#REF!</v>
      </c>
    </row>
    <row r="833" spans="1:17" s="273" customFormat="1" x14ac:dyDescent="0.25">
      <c r="A833" s="337" t="s">
        <v>301</v>
      </c>
      <c r="B833" s="338" t="s">
        <v>208</v>
      </c>
      <c r="C833" s="339" t="s">
        <v>15</v>
      </c>
      <c r="D833" s="340" t="s">
        <v>1177</v>
      </c>
      <c r="E833" s="339" t="s">
        <v>679</v>
      </c>
      <c r="F833" s="339" t="s">
        <v>1177</v>
      </c>
      <c r="G833" s="340" t="s">
        <v>68</v>
      </c>
      <c r="H833" s="340" t="str">
        <f>IFERROR(IF(SEARCH(".00.00.00.00.00",Tableau17[[#This Row],[name]],1)=7,"Division",""),"")</f>
        <v>Division</v>
      </c>
      <c r="I833" s="339"/>
      <c r="J833" s="341" t="s">
        <v>708</v>
      </c>
      <c r="K833" s="34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33" s="342">
        <f>ROUND(Tableau17[[#This Row],[LEN]]*7.27,0)</f>
        <v>174</v>
      </c>
      <c r="M833" s="342">
        <v>15</v>
      </c>
      <c r="N833" s="343" t="str">
        <f t="shared" si="5"/>
        <v>none</v>
      </c>
      <c r="O833" s="342">
        <f>LEN(Tableau17[[#This Row],[LABEL]])</f>
        <v>24</v>
      </c>
      <c r="P833" s="342">
        <v>15</v>
      </c>
      <c r="Q833" s="342" t="e">
        <f>ROUND(Tableau17[[#This Row],[LEN]]*#REF!+#REF!,0)</f>
        <v>#REF!</v>
      </c>
    </row>
    <row r="834" spans="1:17" s="97" customFormat="1" x14ac:dyDescent="0.25">
      <c r="A834" s="41" t="s">
        <v>1637</v>
      </c>
      <c r="B834" s="42" t="s">
        <v>301</v>
      </c>
      <c r="C834" s="43" t="s">
        <v>849</v>
      </c>
      <c r="D834" s="74" t="s">
        <v>1177</v>
      </c>
      <c r="E834" s="43" t="s">
        <v>667</v>
      </c>
      <c r="F834" s="43" t="s">
        <v>840</v>
      </c>
      <c r="G834" s="74" t="s">
        <v>68</v>
      </c>
      <c r="H834" s="74" t="s">
        <v>655</v>
      </c>
      <c r="I834" s="43"/>
      <c r="J834" s="44" t="s">
        <v>708</v>
      </c>
      <c r="K834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4" s="115">
        <f>ROUND(Tableau17[[#This Row],[LEN]]*7.27,0)</f>
        <v>80</v>
      </c>
      <c r="M834" s="115">
        <v>15</v>
      </c>
      <c r="N834" s="132" t="str">
        <f t="shared" si="5"/>
        <v>none</v>
      </c>
      <c r="O834" s="115">
        <f>LEN(Tableau17[[#This Row],[LABEL]])</f>
        <v>11</v>
      </c>
      <c r="P834" s="115">
        <v>15</v>
      </c>
      <c r="Q834" s="115" t="e">
        <f>ROUND(Tableau17[[#This Row],[LEN]]*#REF!+#REF!,0)</f>
        <v>#REF!</v>
      </c>
    </row>
    <row r="835" spans="1:17" s="97" customFormat="1" x14ac:dyDescent="0.25">
      <c r="A835" s="45" t="s">
        <v>1640</v>
      </c>
      <c r="B835" s="46" t="s">
        <v>1637</v>
      </c>
      <c r="C835" s="47" t="s">
        <v>112</v>
      </c>
      <c r="D835" s="75" t="s">
        <v>1177</v>
      </c>
      <c r="E835" s="47" t="s">
        <v>667</v>
      </c>
      <c r="F835" s="47" t="s">
        <v>2006</v>
      </c>
      <c r="G835" s="75" t="s">
        <v>68</v>
      </c>
      <c r="H835" s="75" t="s">
        <v>654</v>
      </c>
      <c r="I835" s="47"/>
      <c r="J835" s="48" t="s">
        <v>708</v>
      </c>
      <c r="K835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5" s="116">
        <f>ROUND(Tableau17[[#This Row],[LEN]]*7.27,0)</f>
        <v>167</v>
      </c>
      <c r="M835" s="116">
        <v>15</v>
      </c>
      <c r="N835" s="133" t="str">
        <f t="shared" si="5"/>
        <v>none</v>
      </c>
      <c r="O835" s="116">
        <f>LEN(Tableau17[[#This Row],[LABEL]])</f>
        <v>23</v>
      </c>
      <c r="P835" s="116">
        <v>15</v>
      </c>
      <c r="Q835" s="116" t="e">
        <f>ROUND(Tableau17[[#This Row],[LEN]]*#REF!+#REF!,0)</f>
        <v>#REF!</v>
      </c>
    </row>
    <row r="836" spans="1:17" s="97" customFormat="1" x14ac:dyDescent="0.25">
      <c r="A836" s="45" t="s">
        <v>1641</v>
      </c>
      <c r="B836" s="46" t="s">
        <v>1637</v>
      </c>
      <c r="C836" s="47" t="s">
        <v>113</v>
      </c>
      <c r="D836" s="75" t="s">
        <v>1177</v>
      </c>
      <c r="E836" s="47" t="s">
        <v>667</v>
      </c>
      <c r="F836" s="47" t="s">
        <v>2006</v>
      </c>
      <c r="G836" s="75" t="s">
        <v>68</v>
      </c>
      <c r="H836" s="75" t="s">
        <v>654</v>
      </c>
      <c r="I836" s="47"/>
      <c r="J836" s="48" t="s">
        <v>708</v>
      </c>
      <c r="K836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6" s="116">
        <f>ROUND(Tableau17[[#This Row],[LEN]]*7.27,0)</f>
        <v>233</v>
      </c>
      <c r="M836" s="116">
        <v>15</v>
      </c>
      <c r="N836" s="133" t="str">
        <f t="shared" si="5"/>
        <v>none</v>
      </c>
      <c r="O836" s="116">
        <f>LEN(Tableau17[[#This Row],[LABEL]])</f>
        <v>32</v>
      </c>
      <c r="P836" s="116">
        <v>15</v>
      </c>
      <c r="Q836" s="116" t="e">
        <f>ROUND(Tableau17[[#This Row],[LEN]]*#REF!+#REF!,0)</f>
        <v>#REF!</v>
      </c>
    </row>
    <row r="837" spans="1:17" s="97" customFormat="1" x14ac:dyDescent="0.25">
      <c r="A837" s="41" t="s">
        <v>1638</v>
      </c>
      <c r="B837" s="42" t="s">
        <v>301</v>
      </c>
      <c r="C837" s="43" t="s">
        <v>1639</v>
      </c>
      <c r="D837" s="74" t="s">
        <v>1177</v>
      </c>
      <c r="E837" s="43" t="s">
        <v>679</v>
      </c>
      <c r="F837" s="43" t="s">
        <v>675</v>
      </c>
      <c r="G837" s="74" t="s">
        <v>68</v>
      </c>
      <c r="H837" s="74" t="s">
        <v>654</v>
      </c>
      <c r="I837" s="43"/>
      <c r="J837" s="44" t="s">
        <v>708</v>
      </c>
      <c r="K837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7" s="115">
        <f>ROUND(Tableau17[[#This Row],[LEN]]*7.27,0)</f>
        <v>247</v>
      </c>
      <c r="M837" s="115">
        <v>15</v>
      </c>
      <c r="N837" s="132" t="str">
        <f t="shared" si="5"/>
        <v>none</v>
      </c>
      <c r="O837" s="115">
        <f>LEN(Tableau17[[#This Row],[LABEL]])</f>
        <v>34</v>
      </c>
      <c r="P837" s="115">
        <v>15</v>
      </c>
      <c r="Q837" s="115" t="e">
        <f>ROUND(Tableau17[[#This Row],[LEN]]*#REF!+#REF!,0)</f>
        <v>#REF!</v>
      </c>
    </row>
    <row r="838" spans="1:17" s="273" customFormat="1" x14ac:dyDescent="0.25">
      <c r="A838" s="338" t="s">
        <v>284</v>
      </c>
      <c r="B838" s="338" t="s">
        <v>208</v>
      </c>
      <c r="C838" s="339" t="s">
        <v>1950</v>
      </c>
      <c r="D838" s="340" t="s">
        <v>1177</v>
      </c>
      <c r="E838" s="339" t="s">
        <v>1951</v>
      </c>
      <c r="F838" s="339" t="s">
        <v>1177</v>
      </c>
      <c r="G838" s="340" t="s">
        <v>68</v>
      </c>
      <c r="H838" s="340" t="str">
        <f>IFERROR(IF(SEARCH(".00.00.00.00.00",Tableau17[[#This Row],[name]],1)=7,"Division",""),"")</f>
        <v>Division</v>
      </c>
      <c r="I838" s="339"/>
      <c r="J838" s="341" t="s">
        <v>708</v>
      </c>
      <c r="K838" s="34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38" s="342">
        <f>ROUND(Tableau17[[#This Row],[LEN]]*7.27,0)</f>
        <v>51</v>
      </c>
      <c r="M838" s="342">
        <v>15</v>
      </c>
      <c r="N838" s="343" t="str">
        <f t="shared" si="5"/>
        <v>none</v>
      </c>
      <c r="O838" s="342">
        <f>LEN(Tableau17[[#This Row],[LABEL]])</f>
        <v>7</v>
      </c>
      <c r="P838" s="342">
        <v>15</v>
      </c>
      <c r="Q838" s="342" t="e">
        <f>ROUND(Tableau17[[#This Row],[LEN]]*#REF!+#REF!,0)</f>
        <v>#REF!</v>
      </c>
    </row>
    <row r="839" spans="1:17" s="97" customFormat="1" x14ac:dyDescent="0.25">
      <c r="A839" s="41" t="s">
        <v>2011</v>
      </c>
      <c r="B839" s="42" t="s">
        <v>284</v>
      </c>
      <c r="C839" s="43" t="s">
        <v>2016</v>
      </c>
      <c r="D839" s="74" t="s">
        <v>1177</v>
      </c>
      <c r="E839" s="43" t="s">
        <v>1951</v>
      </c>
      <c r="F839" s="43" t="s">
        <v>1177</v>
      </c>
      <c r="G839" s="74" t="s">
        <v>68</v>
      </c>
      <c r="H839" s="74" t="s">
        <v>654</v>
      </c>
      <c r="I839" s="43"/>
      <c r="J839" s="44" t="s">
        <v>708</v>
      </c>
      <c r="K839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39" s="115">
        <f>ROUND(Tableau17[[#This Row],[LEN]]*7.27,0)</f>
        <v>538</v>
      </c>
      <c r="M839" s="115">
        <v>15</v>
      </c>
      <c r="N839" s="132" t="str">
        <f t="shared" si="5"/>
        <v>none</v>
      </c>
      <c r="O839" s="115">
        <f>LEN(Tableau17[[#This Row],[LABEL]])</f>
        <v>74</v>
      </c>
      <c r="P839" s="115">
        <v>15</v>
      </c>
      <c r="Q839" s="115" t="e">
        <f>ROUND(Tableau17[[#This Row],[LEN]]*#REF!+#REF!,0)</f>
        <v>#REF!</v>
      </c>
    </row>
    <row r="840" spans="1:17" s="97" customFormat="1" x14ac:dyDescent="0.25">
      <c r="A840" s="41" t="s">
        <v>2012</v>
      </c>
      <c r="B840" s="42" t="s">
        <v>284</v>
      </c>
      <c r="C840" s="43" t="s">
        <v>2017</v>
      </c>
      <c r="D840" s="74" t="s">
        <v>1177</v>
      </c>
      <c r="E840" s="43" t="s">
        <v>1951</v>
      </c>
      <c r="F840" s="43" t="s">
        <v>1177</v>
      </c>
      <c r="G840" s="74" t="s">
        <v>68</v>
      </c>
      <c r="H840" s="74" t="s">
        <v>570</v>
      </c>
      <c r="I840" s="43"/>
      <c r="J840" s="44" t="s">
        <v>708</v>
      </c>
      <c r="K840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0" s="115">
        <f>ROUND(Tableau17[[#This Row],[LEN]]*7.27,0)</f>
        <v>422</v>
      </c>
      <c r="M840" s="115">
        <v>15</v>
      </c>
      <c r="N840" s="132" t="str">
        <f t="shared" si="5"/>
        <v>none</v>
      </c>
      <c r="O840" s="115">
        <f>LEN(Tableau17[[#This Row],[LABEL]])</f>
        <v>58</v>
      </c>
      <c r="P840" s="115">
        <v>15</v>
      </c>
      <c r="Q840" s="115" t="e">
        <f>ROUND(Tableau17[[#This Row],[LEN]]*#REF!+#REF!,0)</f>
        <v>#REF!</v>
      </c>
    </row>
    <row r="841" spans="1:17" s="97" customFormat="1" x14ac:dyDescent="0.25">
      <c r="A841" s="41" t="s">
        <v>2013</v>
      </c>
      <c r="B841" s="42" t="s">
        <v>284</v>
      </c>
      <c r="C841" s="43" t="s">
        <v>849</v>
      </c>
      <c r="D841" s="74" t="s">
        <v>1177</v>
      </c>
      <c r="E841" s="43" t="s">
        <v>667</v>
      </c>
      <c r="F841" s="43" t="s">
        <v>840</v>
      </c>
      <c r="G841" s="74" t="s">
        <v>68</v>
      </c>
      <c r="H841" s="74" t="s">
        <v>655</v>
      </c>
      <c r="I841" s="43"/>
      <c r="J841" s="44" t="s">
        <v>708</v>
      </c>
      <c r="K841" s="4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1" s="115">
        <f>ROUND(Tableau17[[#This Row],[LEN]]*7.27,0)</f>
        <v>80</v>
      </c>
      <c r="M841" s="115">
        <v>15</v>
      </c>
      <c r="N841" s="132" t="str">
        <f t="shared" si="5"/>
        <v>none</v>
      </c>
      <c r="O841" s="115">
        <f>LEN(Tableau17[[#This Row],[LABEL]])</f>
        <v>11</v>
      </c>
      <c r="P841" s="115">
        <v>15</v>
      </c>
      <c r="Q841" s="115" t="e">
        <f>ROUND(Tableau17[[#This Row],[LEN]]*#REF!+#REF!,0)</f>
        <v>#REF!</v>
      </c>
    </row>
    <row r="842" spans="1:17" s="97" customFormat="1" x14ac:dyDescent="0.25">
      <c r="A842" s="45" t="s">
        <v>2018</v>
      </c>
      <c r="B842" s="46" t="s">
        <v>2013</v>
      </c>
      <c r="C842" s="47" t="s">
        <v>112</v>
      </c>
      <c r="D842" s="75" t="s">
        <v>1177</v>
      </c>
      <c r="E842" s="47" t="s">
        <v>667</v>
      </c>
      <c r="F842" s="47" t="s">
        <v>2006</v>
      </c>
      <c r="G842" s="75" t="s">
        <v>68</v>
      </c>
      <c r="H842" s="75" t="s">
        <v>654</v>
      </c>
      <c r="I842" s="47"/>
      <c r="J842" s="48" t="s">
        <v>708</v>
      </c>
      <c r="K842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2" s="116">
        <f>ROUND(Tableau17[[#This Row],[LEN]]*7.27,0)</f>
        <v>167</v>
      </c>
      <c r="M842" s="116">
        <v>15</v>
      </c>
      <c r="N842" s="133" t="str">
        <f t="shared" si="5"/>
        <v>none</v>
      </c>
      <c r="O842" s="116">
        <f>LEN(Tableau17[[#This Row],[LABEL]])</f>
        <v>23</v>
      </c>
      <c r="P842" s="116">
        <v>15</v>
      </c>
      <c r="Q842" s="116" t="e">
        <f>ROUND(Tableau17[[#This Row],[LEN]]*#REF!+#REF!,0)</f>
        <v>#REF!</v>
      </c>
    </row>
    <row r="843" spans="1:17" s="97" customFormat="1" ht="15.75" thickBot="1" x14ac:dyDescent="0.3">
      <c r="A843" s="45" t="s">
        <v>2019</v>
      </c>
      <c r="B843" s="46" t="s">
        <v>2013</v>
      </c>
      <c r="C843" s="47" t="s">
        <v>113</v>
      </c>
      <c r="D843" s="75" t="s">
        <v>1177</v>
      </c>
      <c r="E843" s="47" t="s">
        <v>667</v>
      </c>
      <c r="F843" s="47" t="s">
        <v>2006</v>
      </c>
      <c r="G843" s="75" t="s">
        <v>68</v>
      </c>
      <c r="H843" s="75" t="s">
        <v>654</v>
      </c>
      <c r="I843" s="47"/>
      <c r="J843" s="48" t="s">
        <v>708</v>
      </c>
      <c r="K843" s="48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3" s="116">
        <f>ROUND(Tableau17[[#This Row],[LEN]]*7.27,0)</f>
        <v>233</v>
      </c>
      <c r="M843" s="116">
        <v>15</v>
      </c>
      <c r="N843" s="133" t="str">
        <f t="shared" si="5"/>
        <v>none</v>
      </c>
      <c r="O843" s="116">
        <f>LEN(Tableau17[[#This Row],[LABEL]])</f>
        <v>32</v>
      </c>
      <c r="P843" s="116">
        <v>15</v>
      </c>
      <c r="Q843" s="116" t="e">
        <f>ROUND(Tableau17[[#This Row],[LEN]]*#REF!+#REF!,0)</f>
        <v>#REF!</v>
      </c>
    </row>
    <row r="844" spans="1:17" s="97" customFormat="1" ht="15.75" thickTop="1" x14ac:dyDescent="0.25">
      <c r="A844" s="156" t="s">
        <v>203</v>
      </c>
      <c r="B844" s="156" t="s">
        <v>198</v>
      </c>
      <c r="C844" s="157" t="s">
        <v>1162</v>
      </c>
      <c r="D844" s="158" t="s">
        <v>471</v>
      </c>
      <c r="E844" s="158" t="s">
        <v>1177</v>
      </c>
      <c r="F844" s="157" t="s">
        <v>1084</v>
      </c>
      <c r="G844" s="158" t="s">
        <v>171</v>
      </c>
      <c r="H844" s="158" t="s">
        <v>615</v>
      </c>
      <c r="I844" s="157"/>
      <c r="J844" s="159" t="s">
        <v>707</v>
      </c>
      <c r="K844" s="15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44" s="160">
        <f>ROUND(Tableau17[[#This Row],[LEN]]*7.27,0)</f>
        <v>124</v>
      </c>
      <c r="M844" s="160">
        <v>15</v>
      </c>
      <c r="N844" s="161" t="str">
        <f t="shared" si="5"/>
        <v>new</v>
      </c>
      <c r="O844" s="160">
        <f>LEN(Tableau17[[#This Row],[LABEL]])</f>
        <v>17</v>
      </c>
      <c r="P844" s="162">
        <v>15</v>
      </c>
      <c r="Q844" s="162" t="e">
        <f>ROUND(Tableau17[[#This Row],[LEN]]*#REF!+#REF!,0)</f>
        <v>#REF!</v>
      </c>
    </row>
    <row r="845" spans="1:17" s="92" customFormat="1" ht="15.75" thickBot="1" x14ac:dyDescent="0.3">
      <c r="A845" s="191" t="s">
        <v>209</v>
      </c>
      <c r="B845" s="191" t="s">
        <v>203</v>
      </c>
      <c r="C845" s="192" t="s">
        <v>177</v>
      </c>
      <c r="D845" s="193" t="s">
        <v>0</v>
      </c>
      <c r="E845" s="192" t="s">
        <v>1177</v>
      </c>
      <c r="F845" s="193" t="s">
        <v>1177</v>
      </c>
      <c r="G845" s="192" t="s">
        <v>2101</v>
      </c>
      <c r="H845" s="192" t="s">
        <v>616</v>
      </c>
      <c r="I845" s="193"/>
      <c r="J845" s="194" t="s">
        <v>708</v>
      </c>
      <c r="K845" s="194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45" s="195">
        <f>ROUND(Tableau17[[#This Row],[LEN]]*7.27,0)</f>
        <v>153</v>
      </c>
      <c r="M845" s="195">
        <v>15</v>
      </c>
      <c r="N845" s="196" t="str">
        <f t="shared" si="5"/>
        <v>none</v>
      </c>
      <c r="O845" s="195">
        <f>LEN(Tableau17[[#This Row],[LABEL]])</f>
        <v>21</v>
      </c>
      <c r="P845" s="197">
        <v>15</v>
      </c>
      <c r="Q845" s="197" t="e">
        <f>ROUND(Tableau17[[#This Row],[LEN]]*#REF!+#REF!,0)</f>
        <v>#REF!</v>
      </c>
    </row>
    <row r="846" spans="1:17" s="273" customFormat="1" ht="15.75" thickTop="1" x14ac:dyDescent="0.25">
      <c r="A846" s="351" t="s">
        <v>303</v>
      </c>
      <c r="B846" s="352" t="s">
        <v>209</v>
      </c>
      <c r="C846" s="353" t="s">
        <v>57</v>
      </c>
      <c r="D846" s="354" t="s">
        <v>1177</v>
      </c>
      <c r="E846" s="353" t="s">
        <v>663</v>
      </c>
      <c r="F846" s="353" t="s">
        <v>1177</v>
      </c>
      <c r="G846" s="354" t="s">
        <v>2101</v>
      </c>
      <c r="H846" s="354" t="str">
        <f>IFERROR(IF(SEARCH(".00.00.00.00.00",Tableau17[[#This Row],[name]],1)=7,"Division",""),"")</f>
        <v>Division</v>
      </c>
      <c r="I846" s="353"/>
      <c r="J846" s="355" t="s">
        <v>708</v>
      </c>
      <c r="K846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46" s="356">
        <f>ROUND(Tableau17[[#This Row],[LEN]]*7.27,0)</f>
        <v>102</v>
      </c>
      <c r="M846" s="356">
        <v>15</v>
      </c>
      <c r="N846" s="357" t="str">
        <f t="shared" si="5"/>
        <v>none</v>
      </c>
      <c r="O846" s="356">
        <f>LEN(Tableau17[[#This Row],[LABEL]])</f>
        <v>14</v>
      </c>
      <c r="P846" s="356">
        <v>15</v>
      </c>
      <c r="Q846" s="356" t="e">
        <f>ROUND(Tableau17[[#This Row],[LEN]]*#REF!+#REF!,0)</f>
        <v>#REF!</v>
      </c>
    </row>
    <row r="847" spans="1:17" s="97" customFormat="1" x14ac:dyDescent="0.25">
      <c r="A847" s="49" t="s">
        <v>876</v>
      </c>
      <c r="B847" s="50" t="s">
        <v>303</v>
      </c>
      <c r="C847" s="51" t="s">
        <v>891</v>
      </c>
      <c r="D847" s="76" t="s">
        <v>1177</v>
      </c>
      <c r="E847" s="51" t="s">
        <v>663</v>
      </c>
      <c r="F847" s="51" t="s">
        <v>1177</v>
      </c>
      <c r="G847" s="76" t="s">
        <v>2101</v>
      </c>
      <c r="H847" s="76" t="s">
        <v>655</v>
      </c>
      <c r="I847" s="51"/>
      <c r="J847" s="52" t="s">
        <v>708</v>
      </c>
      <c r="K84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7" s="117">
        <f>ROUND(Tableau17[[#This Row],[LEN]]*7.27,0)</f>
        <v>124</v>
      </c>
      <c r="M847" s="117">
        <v>15</v>
      </c>
      <c r="N847" s="134" t="str">
        <f t="shared" si="5"/>
        <v>none</v>
      </c>
      <c r="O847" s="117">
        <f>LEN(Tableau17[[#This Row],[LABEL]])</f>
        <v>17</v>
      </c>
      <c r="P847" s="117">
        <v>15</v>
      </c>
      <c r="Q847" s="117" t="e">
        <f>ROUND(Tableau17[[#This Row],[LEN]]*#REF!+#REF!,0)</f>
        <v>#REF!</v>
      </c>
    </row>
    <row r="848" spans="1:17" s="97" customFormat="1" x14ac:dyDescent="0.25">
      <c r="A848" s="53" t="s">
        <v>884</v>
      </c>
      <c r="B848" s="54" t="s">
        <v>876</v>
      </c>
      <c r="C848" s="55" t="s">
        <v>890</v>
      </c>
      <c r="D848" s="77" t="s">
        <v>1177</v>
      </c>
      <c r="E848" s="55" t="s">
        <v>663</v>
      </c>
      <c r="F848" s="55" t="s">
        <v>1177</v>
      </c>
      <c r="G848" s="77" t="s">
        <v>2101</v>
      </c>
      <c r="H848" s="77" t="s">
        <v>654</v>
      </c>
      <c r="I848" s="55"/>
      <c r="J848" s="56" t="s">
        <v>708</v>
      </c>
      <c r="K84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8" s="118">
        <f>ROUND(Tableau17[[#This Row],[LEN]]*7.27,0)</f>
        <v>138</v>
      </c>
      <c r="M848" s="118">
        <v>15</v>
      </c>
      <c r="N848" s="135" t="str">
        <f t="shared" si="5"/>
        <v>none</v>
      </c>
      <c r="O848" s="118">
        <f>LEN(Tableau17[[#This Row],[LABEL]])</f>
        <v>19</v>
      </c>
      <c r="P848" s="118">
        <v>15</v>
      </c>
      <c r="Q848" s="118" t="e">
        <f>ROUND(Tableau17[[#This Row],[LEN]]*#REF!+#REF!,0)</f>
        <v>#REF!</v>
      </c>
    </row>
    <row r="849" spans="1:17" s="97" customFormat="1" x14ac:dyDescent="0.25">
      <c r="A849" s="53" t="s">
        <v>885</v>
      </c>
      <c r="B849" s="54" t="s">
        <v>876</v>
      </c>
      <c r="C849" s="55" t="s">
        <v>893</v>
      </c>
      <c r="D849" s="77" t="s">
        <v>1177</v>
      </c>
      <c r="E849" s="55" t="s">
        <v>663</v>
      </c>
      <c r="F849" s="55" t="s">
        <v>1177</v>
      </c>
      <c r="G849" s="77" t="s">
        <v>2101</v>
      </c>
      <c r="H849" s="77" t="s">
        <v>656</v>
      </c>
      <c r="I849" s="55"/>
      <c r="J849" s="56" t="s">
        <v>708</v>
      </c>
      <c r="K84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49" s="118">
        <f>ROUND(Tableau17[[#This Row],[LEN]]*7.27,0)</f>
        <v>182</v>
      </c>
      <c r="M849" s="118">
        <v>15</v>
      </c>
      <c r="N849" s="135" t="str">
        <f t="shared" si="5"/>
        <v>none</v>
      </c>
      <c r="O849" s="118">
        <f>LEN(Tableau17[[#This Row],[LABEL]])</f>
        <v>25</v>
      </c>
      <c r="P849" s="118">
        <v>15</v>
      </c>
      <c r="Q849" s="118" t="e">
        <f>ROUND(Tableau17[[#This Row],[LEN]]*#REF!+#REF!,0)</f>
        <v>#REF!</v>
      </c>
    </row>
    <row r="850" spans="1:17" s="97" customFormat="1" x14ac:dyDescent="0.25">
      <c r="A850" s="53" t="s">
        <v>886</v>
      </c>
      <c r="B850" s="54" t="s">
        <v>876</v>
      </c>
      <c r="C850" s="55" t="s">
        <v>894</v>
      </c>
      <c r="D850" s="77" t="s">
        <v>1177</v>
      </c>
      <c r="E850" s="55" t="s">
        <v>663</v>
      </c>
      <c r="F850" s="55" t="s">
        <v>1177</v>
      </c>
      <c r="G850" s="77" t="s">
        <v>2101</v>
      </c>
      <c r="H850" s="77" t="s">
        <v>655</v>
      </c>
      <c r="I850" s="55"/>
      <c r="J850" s="56" t="s">
        <v>708</v>
      </c>
      <c r="K85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0" s="118">
        <f>ROUND(Tableau17[[#This Row],[LEN]]*7.27,0)</f>
        <v>153</v>
      </c>
      <c r="M850" s="118">
        <v>15</v>
      </c>
      <c r="N850" s="135" t="str">
        <f t="shared" si="5"/>
        <v>none</v>
      </c>
      <c r="O850" s="118">
        <f>LEN(Tableau17[[#This Row],[LABEL]])</f>
        <v>21</v>
      </c>
      <c r="P850" s="118">
        <v>15</v>
      </c>
      <c r="Q850" s="118" t="e">
        <f>ROUND(Tableau17[[#This Row],[LEN]]*#REF!+#REF!,0)</f>
        <v>#REF!</v>
      </c>
    </row>
    <row r="851" spans="1:17" s="97" customFormat="1" x14ac:dyDescent="0.25">
      <c r="A851" s="57" t="s">
        <v>896</v>
      </c>
      <c r="B851" s="58" t="s">
        <v>886</v>
      </c>
      <c r="C851" s="59" t="s">
        <v>898</v>
      </c>
      <c r="D851" s="78" t="s">
        <v>1177</v>
      </c>
      <c r="E851" s="59" t="s">
        <v>663</v>
      </c>
      <c r="F851" s="59" t="s">
        <v>1177</v>
      </c>
      <c r="G851" s="78" t="s">
        <v>2101</v>
      </c>
      <c r="H851" s="78" t="s">
        <v>656</v>
      </c>
      <c r="I851" s="59"/>
      <c r="J851" s="60" t="s">
        <v>708</v>
      </c>
      <c r="K851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1" s="119">
        <f>ROUND(Tableau17[[#This Row],[LEN]]*7.27,0)</f>
        <v>160</v>
      </c>
      <c r="M851" s="119">
        <v>15</v>
      </c>
      <c r="N851" s="136" t="str">
        <f t="shared" si="5"/>
        <v>none</v>
      </c>
      <c r="O851" s="119">
        <f>LEN(Tableau17[[#This Row],[LABEL]])</f>
        <v>22</v>
      </c>
      <c r="P851" s="119">
        <v>15</v>
      </c>
      <c r="Q851" s="119" t="e">
        <f>ROUND(Tableau17[[#This Row],[LEN]]*#REF!+#REF!,0)</f>
        <v>#REF!</v>
      </c>
    </row>
    <row r="852" spans="1:17" s="97" customFormat="1" x14ac:dyDescent="0.25">
      <c r="A852" s="57" t="s">
        <v>897</v>
      </c>
      <c r="B852" s="58" t="s">
        <v>886</v>
      </c>
      <c r="C852" s="59" t="s">
        <v>899</v>
      </c>
      <c r="D852" s="78" t="s">
        <v>1177</v>
      </c>
      <c r="E852" s="59" t="s">
        <v>663</v>
      </c>
      <c r="F852" s="59" t="s">
        <v>1177</v>
      </c>
      <c r="G852" s="78" t="s">
        <v>2101</v>
      </c>
      <c r="H852" s="78" t="s">
        <v>656</v>
      </c>
      <c r="I852" s="59"/>
      <c r="J852" s="60" t="s">
        <v>708</v>
      </c>
      <c r="K852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2" s="119">
        <f>ROUND(Tableau17[[#This Row],[LEN]]*7.27,0)</f>
        <v>204</v>
      </c>
      <c r="M852" s="119">
        <v>15</v>
      </c>
      <c r="N852" s="136" t="str">
        <f t="shared" si="5"/>
        <v>none</v>
      </c>
      <c r="O852" s="119">
        <f>LEN(Tableau17[[#This Row],[LABEL]])</f>
        <v>28</v>
      </c>
      <c r="P852" s="119">
        <v>15</v>
      </c>
      <c r="Q852" s="119" t="e">
        <f>ROUND(Tableau17[[#This Row],[LEN]]*#REF!+#REF!,0)</f>
        <v>#REF!</v>
      </c>
    </row>
    <row r="853" spans="1:17" s="97" customFormat="1" x14ac:dyDescent="0.25">
      <c r="A853" s="53" t="s">
        <v>887</v>
      </c>
      <c r="B853" s="54" t="s">
        <v>876</v>
      </c>
      <c r="C853" s="55" t="s">
        <v>895</v>
      </c>
      <c r="D853" s="77" t="s">
        <v>1177</v>
      </c>
      <c r="E853" s="55" t="s">
        <v>663</v>
      </c>
      <c r="F853" s="55" t="s">
        <v>1177</v>
      </c>
      <c r="G853" s="77" t="s">
        <v>2101</v>
      </c>
      <c r="H853" s="77" t="s">
        <v>654</v>
      </c>
      <c r="I853" s="55"/>
      <c r="J853" s="56" t="s">
        <v>708</v>
      </c>
      <c r="K85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3" s="118">
        <f>ROUND(Tableau17[[#This Row],[LEN]]*7.27,0)</f>
        <v>153</v>
      </c>
      <c r="M853" s="118">
        <v>15</v>
      </c>
      <c r="N853" s="135" t="str">
        <f t="shared" si="5"/>
        <v>none</v>
      </c>
      <c r="O853" s="118">
        <f>LEN(Tableau17[[#This Row],[LABEL]])</f>
        <v>21</v>
      </c>
      <c r="P853" s="118">
        <v>15</v>
      </c>
      <c r="Q853" s="118" t="e">
        <f>ROUND(Tableau17[[#This Row],[LEN]]*#REF!+#REF!,0)</f>
        <v>#REF!</v>
      </c>
    </row>
    <row r="854" spans="1:17" s="97" customFormat="1" x14ac:dyDescent="0.25">
      <c r="A854" s="49" t="s">
        <v>877</v>
      </c>
      <c r="B854" s="50" t="s">
        <v>303</v>
      </c>
      <c r="C854" s="51" t="s">
        <v>881</v>
      </c>
      <c r="D854" s="76" t="s">
        <v>1177</v>
      </c>
      <c r="E854" s="51" t="s">
        <v>663</v>
      </c>
      <c r="F854" s="51" t="s">
        <v>1177</v>
      </c>
      <c r="G854" s="76" t="s">
        <v>2101</v>
      </c>
      <c r="H854" s="76" t="s">
        <v>654</v>
      </c>
      <c r="I854" s="51"/>
      <c r="J854" s="52" t="s">
        <v>708</v>
      </c>
      <c r="K85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4" s="117">
        <f>ROUND(Tableau17[[#This Row],[LEN]]*7.27,0)</f>
        <v>189</v>
      </c>
      <c r="M854" s="117">
        <v>15</v>
      </c>
      <c r="N854" s="134" t="str">
        <f t="shared" si="5"/>
        <v>none</v>
      </c>
      <c r="O854" s="117">
        <f>LEN(Tableau17[[#This Row],[LABEL]])</f>
        <v>26</v>
      </c>
      <c r="P854" s="117">
        <v>15</v>
      </c>
      <c r="Q854" s="117" t="e">
        <f>ROUND(Tableau17[[#This Row],[LEN]]*#REF!+#REF!,0)</f>
        <v>#REF!</v>
      </c>
    </row>
    <row r="855" spans="1:17" s="97" customFormat="1" x14ac:dyDescent="0.25">
      <c r="A855" s="49" t="s">
        <v>878</v>
      </c>
      <c r="B855" s="50" t="s">
        <v>303</v>
      </c>
      <c r="C855" s="51" t="s">
        <v>882</v>
      </c>
      <c r="D855" s="76" t="s">
        <v>1177</v>
      </c>
      <c r="E855" s="51" t="s">
        <v>663</v>
      </c>
      <c r="F855" s="51" t="s">
        <v>1177</v>
      </c>
      <c r="G855" s="76" t="s">
        <v>2101</v>
      </c>
      <c r="H855" s="76" t="s">
        <v>654</v>
      </c>
      <c r="I855" s="51"/>
      <c r="J855" s="52" t="s">
        <v>708</v>
      </c>
      <c r="K85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5" s="117">
        <f>ROUND(Tableau17[[#This Row],[LEN]]*7.27,0)</f>
        <v>240</v>
      </c>
      <c r="M855" s="117">
        <v>15</v>
      </c>
      <c r="N855" s="134" t="str">
        <f t="shared" si="5"/>
        <v>none</v>
      </c>
      <c r="O855" s="117">
        <f>LEN(Tableau17[[#This Row],[LABEL]])</f>
        <v>33</v>
      </c>
      <c r="P855" s="117">
        <v>15</v>
      </c>
      <c r="Q855" s="117" t="e">
        <f>ROUND(Tableau17[[#This Row],[LEN]]*#REF!+#REF!,0)</f>
        <v>#REF!</v>
      </c>
    </row>
    <row r="856" spans="1:17" s="97" customFormat="1" x14ac:dyDescent="0.25">
      <c r="A856" s="49" t="s">
        <v>879</v>
      </c>
      <c r="B856" s="50" t="s">
        <v>303</v>
      </c>
      <c r="C856" s="51" t="s">
        <v>883</v>
      </c>
      <c r="D856" s="76" t="s">
        <v>1177</v>
      </c>
      <c r="E856" s="51" t="s">
        <v>663</v>
      </c>
      <c r="F856" s="51" t="s">
        <v>1177</v>
      </c>
      <c r="G856" s="76" t="s">
        <v>2101</v>
      </c>
      <c r="H856" s="76" t="s">
        <v>17</v>
      </c>
      <c r="I856" s="51"/>
      <c r="J856" s="52" t="s">
        <v>708</v>
      </c>
      <c r="K85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6" s="117">
        <f>ROUND(Tableau17[[#This Row],[LEN]]*7.27,0)</f>
        <v>276</v>
      </c>
      <c r="M856" s="117">
        <v>15</v>
      </c>
      <c r="N856" s="134" t="str">
        <f t="shared" si="5"/>
        <v>none</v>
      </c>
      <c r="O856" s="117">
        <f>LEN(Tableau17[[#This Row],[LABEL]])</f>
        <v>38</v>
      </c>
      <c r="P856" s="117">
        <v>15</v>
      </c>
      <c r="Q856" s="117" t="e">
        <f>ROUND(Tableau17[[#This Row],[LEN]]*#REF!+#REF!,0)</f>
        <v>#REF!</v>
      </c>
    </row>
    <row r="857" spans="1:17" s="97" customFormat="1" x14ac:dyDescent="0.25">
      <c r="A857" s="49" t="s">
        <v>880</v>
      </c>
      <c r="B857" s="50" t="s">
        <v>303</v>
      </c>
      <c r="C857" s="51" t="s">
        <v>892</v>
      </c>
      <c r="D857" s="76" t="s">
        <v>1177</v>
      </c>
      <c r="E857" s="51" t="s">
        <v>663</v>
      </c>
      <c r="F857" s="51" t="s">
        <v>1177</v>
      </c>
      <c r="G857" s="76" t="s">
        <v>2101</v>
      </c>
      <c r="H857" s="76" t="s">
        <v>655</v>
      </c>
      <c r="I857" s="51"/>
      <c r="J857" s="52" t="s">
        <v>708</v>
      </c>
      <c r="K85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7" s="117">
        <f>ROUND(Tableau17[[#This Row],[LEN]]*7.27,0)</f>
        <v>131</v>
      </c>
      <c r="M857" s="117">
        <v>15</v>
      </c>
      <c r="N857" s="134" t="str">
        <f t="shared" si="5"/>
        <v>none</v>
      </c>
      <c r="O857" s="117">
        <f>LEN(Tableau17[[#This Row],[LABEL]])</f>
        <v>18</v>
      </c>
      <c r="P857" s="117">
        <v>15</v>
      </c>
      <c r="Q857" s="117" t="e">
        <f>ROUND(Tableau17[[#This Row],[LEN]]*#REF!+#REF!,0)</f>
        <v>#REF!</v>
      </c>
    </row>
    <row r="858" spans="1:17" s="97" customFormat="1" x14ac:dyDescent="0.25">
      <c r="A858" s="53" t="s">
        <v>888</v>
      </c>
      <c r="B858" s="54" t="s">
        <v>880</v>
      </c>
      <c r="C858" s="55" t="s">
        <v>900</v>
      </c>
      <c r="D858" s="77" t="s">
        <v>1177</v>
      </c>
      <c r="E858" s="55" t="s">
        <v>663</v>
      </c>
      <c r="F858" s="55" t="s">
        <v>1177</v>
      </c>
      <c r="G858" s="77" t="s">
        <v>2101</v>
      </c>
      <c r="H858" s="77" t="s">
        <v>570</v>
      </c>
      <c r="I858" s="55"/>
      <c r="J858" s="56" t="s">
        <v>708</v>
      </c>
      <c r="K85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8" s="118">
        <f>ROUND(Tableau17[[#This Row],[LEN]]*7.27,0)</f>
        <v>73</v>
      </c>
      <c r="M858" s="118">
        <v>15</v>
      </c>
      <c r="N858" s="135" t="str">
        <f t="shared" si="5"/>
        <v>none</v>
      </c>
      <c r="O858" s="118">
        <f>LEN(Tableau17[[#This Row],[LABEL]])</f>
        <v>10</v>
      </c>
      <c r="P858" s="118">
        <v>15</v>
      </c>
      <c r="Q858" s="118" t="e">
        <f>ROUND(Tableau17[[#This Row],[LEN]]*#REF!+#REF!,0)</f>
        <v>#REF!</v>
      </c>
    </row>
    <row r="859" spans="1:17" s="97" customFormat="1" x14ac:dyDescent="0.25">
      <c r="A859" s="53" t="s">
        <v>889</v>
      </c>
      <c r="B859" s="54" t="s">
        <v>880</v>
      </c>
      <c r="C859" s="55" t="s">
        <v>901</v>
      </c>
      <c r="D859" s="77" t="s">
        <v>1177</v>
      </c>
      <c r="E859" s="55" t="s">
        <v>663</v>
      </c>
      <c r="F859" s="55" t="s">
        <v>1177</v>
      </c>
      <c r="G859" s="77" t="s">
        <v>2101</v>
      </c>
      <c r="H859" s="77" t="s">
        <v>654</v>
      </c>
      <c r="I859" s="55"/>
      <c r="J859" s="56" t="s">
        <v>708</v>
      </c>
      <c r="K85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59" s="118">
        <f>ROUND(Tableau17[[#This Row],[LEN]]*7.27,0)</f>
        <v>116</v>
      </c>
      <c r="M859" s="118">
        <v>15</v>
      </c>
      <c r="N859" s="135" t="str">
        <f t="shared" si="5"/>
        <v>none</v>
      </c>
      <c r="O859" s="118">
        <f>LEN(Tableau17[[#This Row],[LABEL]])</f>
        <v>16</v>
      </c>
      <c r="P859" s="118">
        <v>15</v>
      </c>
      <c r="Q859" s="118" t="e">
        <f>ROUND(Tableau17[[#This Row],[LEN]]*#REF!+#REF!,0)</f>
        <v>#REF!</v>
      </c>
    </row>
    <row r="860" spans="1:17" s="273" customFormat="1" x14ac:dyDescent="0.25">
      <c r="A860" s="351" t="s">
        <v>305</v>
      </c>
      <c r="B860" s="352" t="s">
        <v>209</v>
      </c>
      <c r="C860" s="353" t="s">
        <v>3</v>
      </c>
      <c r="D860" s="354" t="s">
        <v>1177</v>
      </c>
      <c r="E860" s="353" t="s">
        <v>661</v>
      </c>
      <c r="F860" s="353" t="s">
        <v>1177</v>
      </c>
      <c r="G860" s="354" t="s">
        <v>2101</v>
      </c>
      <c r="H860" s="354" t="str">
        <f>IFERROR(IF(SEARCH(".00.00.00.00.00",Tableau17[[#This Row],[name]],1)=7,"Division",""),"")</f>
        <v>Division</v>
      </c>
      <c r="I860" s="353"/>
      <c r="J860" s="355" t="s">
        <v>708</v>
      </c>
      <c r="K860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60" s="356">
        <f>ROUND(Tableau17[[#This Row],[LEN]]*7.27,0)</f>
        <v>73</v>
      </c>
      <c r="M860" s="356">
        <v>15</v>
      </c>
      <c r="N860" s="357" t="str">
        <f t="shared" si="5"/>
        <v>none</v>
      </c>
      <c r="O860" s="356">
        <f>LEN(Tableau17[[#This Row],[LABEL]])</f>
        <v>10</v>
      </c>
      <c r="P860" s="356">
        <v>15</v>
      </c>
      <c r="Q860" s="356" t="e">
        <f>ROUND(Tableau17[[#This Row],[LEN]]*#REF!+#REF!,0)</f>
        <v>#REF!</v>
      </c>
    </row>
    <row r="861" spans="1:17" s="97" customFormat="1" x14ac:dyDescent="0.25">
      <c r="A861" s="49" t="s">
        <v>406</v>
      </c>
      <c r="B861" s="50" t="s">
        <v>305</v>
      </c>
      <c r="C861" s="51" t="s">
        <v>128</v>
      </c>
      <c r="D861" s="76" t="s">
        <v>1177</v>
      </c>
      <c r="E861" s="51" t="s">
        <v>669</v>
      </c>
      <c r="F861" s="51" t="s">
        <v>2029</v>
      </c>
      <c r="G861" s="76" t="s">
        <v>2101</v>
      </c>
      <c r="H861" s="76" t="s">
        <v>570</v>
      </c>
      <c r="I861" s="51"/>
      <c r="J861" s="52" t="s">
        <v>708</v>
      </c>
      <c r="K86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1" s="117">
        <f>ROUND(Tableau17[[#This Row],[LEN]]*7.27,0)</f>
        <v>182</v>
      </c>
      <c r="M861" s="117">
        <v>15</v>
      </c>
      <c r="N861" s="134" t="str">
        <f t="shared" si="5"/>
        <v>none</v>
      </c>
      <c r="O861" s="117">
        <f>LEN(Tableau17[[#This Row],[LABEL]])</f>
        <v>25</v>
      </c>
      <c r="P861" s="117">
        <v>15</v>
      </c>
      <c r="Q861" s="117" t="e">
        <f>ROUND(Tableau17[[#This Row],[LEN]]*#REF!+#REF!,0)</f>
        <v>#REF!</v>
      </c>
    </row>
    <row r="862" spans="1:17" s="97" customFormat="1" x14ac:dyDescent="0.25">
      <c r="A862" s="49" t="s">
        <v>406</v>
      </c>
      <c r="B862" s="50" t="s">
        <v>305</v>
      </c>
      <c r="C862" s="51" t="s">
        <v>130</v>
      </c>
      <c r="D862" s="76" t="s">
        <v>1177</v>
      </c>
      <c r="E862" s="51" t="s">
        <v>1951</v>
      </c>
      <c r="F862" s="51" t="s">
        <v>661</v>
      </c>
      <c r="G862" s="76" t="s">
        <v>2101</v>
      </c>
      <c r="H862" s="76" t="s">
        <v>655</v>
      </c>
      <c r="I862" s="51"/>
      <c r="J862" s="52" t="s">
        <v>708</v>
      </c>
      <c r="K86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2" s="117">
        <f>ROUND(Tableau17[[#This Row],[LEN]]*7.27,0)</f>
        <v>131</v>
      </c>
      <c r="M862" s="117">
        <v>15</v>
      </c>
      <c r="N862" s="134" t="str">
        <f t="shared" si="5"/>
        <v>none</v>
      </c>
      <c r="O862" s="117">
        <f>LEN(Tableau17[[#This Row],[LABEL]])</f>
        <v>18</v>
      </c>
      <c r="P862" s="117">
        <v>15</v>
      </c>
      <c r="Q862" s="117" t="e">
        <f>ROUND(Tableau17[[#This Row],[LEN]]*#REF!+#REF!,0)</f>
        <v>#REF!</v>
      </c>
    </row>
    <row r="863" spans="1:17" s="97" customFormat="1" x14ac:dyDescent="0.25">
      <c r="A863" s="53" t="s">
        <v>410</v>
      </c>
      <c r="B863" s="54" t="s">
        <v>406</v>
      </c>
      <c r="C863" s="55" t="s">
        <v>2030</v>
      </c>
      <c r="D863" s="77" t="s">
        <v>1177</v>
      </c>
      <c r="E863" s="55" t="s">
        <v>1951</v>
      </c>
      <c r="F863" s="55" t="s">
        <v>661</v>
      </c>
      <c r="G863" s="77" t="s">
        <v>2101</v>
      </c>
      <c r="H863" s="77" t="s">
        <v>654</v>
      </c>
      <c r="I863" s="55"/>
      <c r="J863" s="56" t="s">
        <v>708</v>
      </c>
      <c r="K86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3" s="118">
        <f>ROUND(Tableau17[[#This Row],[LEN]]*7.27,0)</f>
        <v>211</v>
      </c>
      <c r="M863" s="118">
        <v>15</v>
      </c>
      <c r="N863" s="135" t="str">
        <f t="shared" si="5"/>
        <v>none</v>
      </c>
      <c r="O863" s="118">
        <f>LEN(Tableau17[[#This Row],[LABEL]])</f>
        <v>29</v>
      </c>
      <c r="P863" s="118">
        <v>15</v>
      </c>
      <c r="Q863" s="118" t="e">
        <f>ROUND(Tableau17[[#This Row],[LEN]]*#REF!+#REF!,0)</f>
        <v>#REF!</v>
      </c>
    </row>
    <row r="864" spans="1:17" s="97" customFormat="1" x14ac:dyDescent="0.25">
      <c r="A864" s="53" t="s">
        <v>411</v>
      </c>
      <c r="B864" s="54" t="s">
        <v>406</v>
      </c>
      <c r="C864" s="55" t="s">
        <v>2031</v>
      </c>
      <c r="D864" s="77" t="s">
        <v>1177</v>
      </c>
      <c r="E864" s="55" t="s">
        <v>1951</v>
      </c>
      <c r="F864" s="55" t="s">
        <v>661</v>
      </c>
      <c r="G864" s="77" t="s">
        <v>2101</v>
      </c>
      <c r="H864" s="77" t="s">
        <v>654</v>
      </c>
      <c r="I864" s="55"/>
      <c r="J864" s="56" t="s">
        <v>708</v>
      </c>
      <c r="K86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4" s="118">
        <f>ROUND(Tableau17[[#This Row],[LEN]]*7.27,0)</f>
        <v>313</v>
      </c>
      <c r="M864" s="118">
        <v>15</v>
      </c>
      <c r="N864" s="135" t="str">
        <f t="shared" si="5"/>
        <v>none</v>
      </c>
      <c r="O864" s="118">
        <f>LEN(Tableau17[[#This Row],[LABEL]])</f>
        <v>43</v>
      </c>
      <c r="P864" s="118">
        <v>15</v>
      </c>
      <c r="Q864" s="118" t="e">
        <f>ROUND(Tableau17[[#This Row],[LEN]]*#REF!+#REF!,0)</f>
        <v>#REF!</v>
      </c>
    </row>
    <row r="865" spans="1:17" s="97" customFormat="1" x14ac:dyDescent="0.25">
      <c r="A865" s="49" t="s">
        <v>407</v>
      </c>
      <c r="B865" s="50" t="s">
        <v>305</v>
      </c>
      <c r="C865" s="51" t="s">
        <v>129</v>
      </c>
      <c r="D865" s="76" t="s">
        <v>1177</v>
      </c>
      <c r="E865" s="51" t="s">
        <v>673</v>
      </c>
      <c r="F865" s="51" t="s">
        <v>2035</v>
      </c>
      <c r="G865" s="76" t="s">
        <v>2101</v>
      </c>
      <c r="H865" s="76" t="s">
        <v>655</v>
      </c>
      <c r="I865" s="51"/>
      <c r="J865" s="52" t="s">
        <v>708</v>
      </c>
      <c r="K86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5" s="117">
        <f>ROUND(Tableau17[[#This Row],[LEN]]*7.27,0)</f>
        <v>87</v>
      </c>
      <c r="M865" s="117">
        <v>15</v>
      </c>
      <c r="N865" s="134" t="str">
        <f t="shared" si="5"/>
        <v>none</v>
      </c>
      <c r="O865" s="117">
        <f>LEN(Tableau17[[#This Row],[LABEL]])</f>
        <v>12</v>
      </c>
      <c r="P865" s="117">
        <v>15</v>
      </c>
      <c r="Q865" s="117" t="e">
        <f>ROUND(Tableau17[[#This Row],[LEN]]*#REF!+#REF!,0)</f>
        <v>#REF!</v>
      </c>
    </row>
    <row r="866" spans="1:17" s="97" customFormat="1" x14ac:dyDescent="0.25">
      <c r="A866" s="53" t="s">
        <v>408</v>
      </c>
      <c r="B866" s="54" t="s">
        <v>407</v>
      </c>
      <c r="C866" s="55" t="s">
        <v>131</v>
      </c>
      <c r="D866" s="77" t="s">
        <v>1177</v>
      </c>
      <c r="E866" s="55" t="s">
        <v>673</v>
      </c>
      <c r="F866" s="55" t="s">
        <v>2035</v>
      </c>
      <c r="G866" s="77" t="s">
        <v>2101</v>
      </c>
      <c r="H866" s="77" t="s">
        <v>570</v>
      </c>
      <c r="I866" s="55"/>
      <c r="J866" s="56" t="s">
        <v>708</v>
      </c>
      <c r="K86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6" s="118">
        <f>ROUND(Tableau17[[#This Row],[LEN]]*7.27,0)</f>
        <v>262</v>
      </c>
      <c r="M866" s="118">
        <v>15</v>
      </c>
      <c r="N866" s="135" t="str">
        <f t="shared" si="5"/>
        <v>none</v>
      </c>
      <c r="O866" s="118">
        <f>LEN(Tableau17[[#This Row],[LABEL]])</f>
        <v>36</v>
      </c>
      <c r="P866" s="118">
        <v>15</v>
      </c>
      <c r="Q866" s="118" t="e">
        <f>ROUND(Tableau17[[#This Row],[LEN]]*#REF!+#REF!,0)</f>
        <v>#REF!</v>
      </c>
    </row>
    <row r="867" spans="1:17" s="97" customFormat="1" x14ac:dyDescent="0.25">
      <c r="A867" s="53" t="s">
        <v>409</v>
      </c>
      <c r="B867" s="54" t="s">
        <v>407</v>
      </c>
      <c r="C867" s="55" t="s">
        <v>132</v>
      </c>
      <c r="D867" s="77" t="s">
        <v>1177</v>
      </c>
      <c r="E867" s="55" t="s">
        <v>673</v>
      </c>
      <c r="F867" s="55" t="s">
        <v>2035</v>
      </c>
      <c r="G867" s="77" t="s">
        <v>2101</v>
      </c>
      <c r="H867" s="77" t="s">
        <v>570</v>
      </c>
      <c r="I867" s="55"/>
      <c r="J867" s="56" t="s">
        <v>708</v>
      </c>
      <c r="K86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7" s="118">
        <f>ROUND(Tableau17[[#This Row],[LEN]]*7.27,0)</f>
        <v>298</v>
      </c>
      <c r="M867" s="118">
        <v>15</v>
      </c>
      <c r="N867" s="135" t="str">
        <f t="shared" si="5"/>
        <v>none</v>
      </c>
      <c r="O867" s="118">
        <f>LEN(Tableau17[[#This Row],[LABEL]])</f>
        <v>41</v>
      </c>
      <c r="P867" s="118">
        <v>15</v>
      </c>
      <c r="Q867" s="118" t="e">
        <f>ROUND(Tableau17[[#This Row],[LEN]]*#REF!+#REF!,0)</f>
        <v>#REF!</v>
      </c>
    </row>
    <row r="868" spans="1:17" s="273" customFormat="1" x14ac:dyDescent="0.25">
      <c r="A868" s="351" t="s">
        <v>306</v>
      </c>
      <c r="B868" s="352" t="s">
        <v>209</v>
      </c>
      <c r="C868" s="353" t="s">
        <v>4</v>
      </c>
      <c r="D868" s="354" t="s">
        <v>1177</v>
      </c>
      <c r="E868" s="353" t="s">
        <v>666</v>
      </c>
      <c r="F868" s="353" t="s">
        <v>1177</v>
      </c>
      <c r="G868" s="354" t="s">
        <v>2101</v>
      </c>
      <c r="H868" s="354" t="str">
        <f>IFERROR(IF(SEARCH(".00.00.00.00.00",Tableau17[[#This Row],[name]],1)=7,"Division",""),"")</f>
        <v>Division</v>
      </c>
      <c r="I868" s="353"/>
      <c r="J868" s="355" t="s">
        <v>708</v>
      </c>
      <c r="K868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68" s="356">
        <f>ROUND(Tableau17[[#This Row],[LEN]]*7.27,0)</f>
        <v>36</v>
      </c>
      <c r="M868" s="356">
        <v>15</v>
      </c>
      <c r="N868" s="357" t="str">
        <f t="shared" si="5"/>
        <v>none</v>
      </c>
      <c r="O868" s="356">
        <f>LEN(Tableau17[[#This Row],[LABEL]])</f>
        <v>5</v>
      </c>
      <c r="P868" s="356">
        <v>15</v>
      </c>
      <c r="Q868" s="356" t="e">
        <f>ROUND(Tableau17[[#This Row],[LEN]]*#REF!+#REF!,0)</f>
        <v>#REF!</v>
      </c>
    </row>
    <row r="869" spans="1:17" s="97" customFormat="1" x14ac:dyDescent="0.25">
      <c r="A869" s="49" t="s">
        <v>1642</v>
      </c>
      <c r="B869" s="50" t="s">
        <v>306</v>
      </c>
      <c r="C869" s="51" t="s">
        <v>129</v>
      </c>
      <c r="D869" s="76" t="s">
        <v>1177</v>
      </c>
      <c r="E869" s="51" t="s">
        <v>673</v>
      </c>
      <c r="F869" s="51" t="s">
        <v>2035</v>
      </c>
      <c r="G869" s="76" t="s">
        <v>2101</v>
      </c>
      <c r="H869" s="76" t="s">
        <v>655</v>
      </c>
      <c r="I869" s="51"/>
      <c r="J869" s="52" t="s">
        <v>708</v>
      </c>
      <c r="K86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69" s="117">
        <f>ROUND(Tableau17[[#This Row],[LEN]]*7.27,0)</f>
        <v>87</v>
      </c>
      <c r="M869" s="117">
        <v>15</v>
      </c>
      <c r="N869" s="134" t="str">
        <f t="shared" si="5"/>
        <v>none</v>
      </c>
      <c r="O869" s="117">
        <f>LEN(Tableau17[[#This Row],[LABEL]])</f>
        <v>12</v>
      </c>
      <c r="P869" s="117">
        <v>15</v>
      </c>
      <c r="Q869" s="117" t="e">
        <f>ROUND(Tableau17[[#This Row],[LEN]]*#REF!+#REF!,0)</f>
        <v>#REF!</v>
      </c>
    </row>
    <row r="870" spans="1:17" s="97" customFormat="1" x14ac:dyDescent="0.25">
      <c r="A870" s="53" t="s">
        <v>1647</v>
      </c>
      <c r="B870" s="54" t="s">
        <v>1642</v>
      </c>
      <c r="C870" s="55" t="s">
        <v>131</v>
      </c>
      <c r="D870" s="77" t="s">
        <v>1177</v>
      </c>
      <c r="E870" s="55" t="s">
        <v>673</v>
      </c>
      <c r="F870" s="55" t="s">
        <v>2035</v>
      </c>
      <c r="G870" s="77" t="s">
        <v>2101</v>
      </c>
      <c r="H870" s="77" t="s">
        <v>570</v>
      </c>
      <c r="I870" s="55"/>
      <c r="J870" s="56" t="s">
        <v>708</v>
      </c>
      <c r="K87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0" s="118">
        <f>ROUND(Tableau17[[#This Row],[LEN]]*7.27,0)</f>
        <v>262</v>
      </c>
      <c r="M870" s="118">
        <v>15</v>
      </c>
      <c r="N870" s="135" t="str">
        <f t="shared" si="5"/>
        <v>none</v>
      </c>
      <c r="O870" s="118">
        <f>LEN(Tableau17[[#This Row],[LABEL]])</f>
        <v>36</v>
      </c>
      <c r="P870" s="118">
        <v>15</v>
      </c>
      <c r="Q870" s="118" t="e">
        <f>ROUND(Tableau17[[#This Row],[LEN]]*#REF!+#REF!,0)</f>
        <v>#REF!</v>
      </c>
    </row>
    <row r="871" spans="1:17" s="97" customFormat="1" x14ac:dyDescent="0.25">
      <c r="A871" s="53" t="s">
        <v>1648</v>
      </c>
      <c r="B871" s="54" t="s">
        <v>1642</v>
      </c>
      <c r="C871" s="55" t="s">
        <v>132</v>
      </c>
      <c r="D871" s="77" t="s">
        <v>1177</v>
      </c>
      <c r="E871" s="55" t="s">
        <v>673</v>
      </c>
      <c r="F871" s="55" t="s">
        <v>2035</v>
      </c>
      <c r="G871" s="77" t="s">
        <v>2101</v>
      </c>
      <c r="H871" s="77" t="s">
        <v>570</v>
      </c>
      <c r="I871" s="55"/>
      <c r="J871" s="56" t="s">
        <v>708</v>
      </c>
      <c r="K87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1" s="118">
        <f>ROUND(Tableau17[[#This Row],[LEN]]*7.27,0)</f>
        <v>298</v>
      </c>
      <c r="M871" s="118">
        <v>15</v>
      </c>
      <c r="N871" s="135" t="str">
        <f t="shared" si="5"/>
        <v>none</v>
      </c>
      <c r="O871" s="118">
        <f>LEN(Tableau17[[#This Row],[LABEL]])</f>
        <v>41</v>
      </c>
      <c r="P871" s="118">
        <v>15</v>
      </c>
      <c r="Q871" s="118" t="e">
        <f>ROUND(Tableau17[[#This Row],[LEN]]*#REF!+#REF!,0)</f>
        <v>#REF!</v>
      </c>
    </row>
    <row r="872" spans="1:17" s="97" customFormat="1" x14ac:dyDescent="0.25">
      <c r="A872" s="49" t="s">
        <v>1643</v>
      </c>
      <c r="B872" s="50" t="s">
        <v>306</v>
      </c>
      <c r="C872" s="51" t="s">
        <v>1649</v>
      </c>
      <c r="D872" s="76" t="s">
        <v>1177</v>
      </c>
      <c r="E872" s="51" t="s">
        <v>666</v>
      </c>
      <c r="F872" s="51" t="s">
        <v>1177</v>
      </c>
      <c r="G872" s="76" t="s">
        <v>2101</v>
      </c>
      <c r="H872" s="76" t="s">
        <v>655</v>
      </c>
      <c r="I872" s="51"/>
      <c r="J872" s="52" t="s">
        <v>708</v>
      </c>
      <c r="K87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2" s="117">
        <f>ROUND(Tableau17[[#This Row],[LEN]]*7.27,0)</f>
        <v>145</v>
      </c>
      <c r="M872" s="117">
        <v>15</v>
      </c>
      <c r="N872" s="134" t="str">
        <f t="shared" si="5"/>
        <v>none</v>
      </c>
      <c r="O872" s="117">
        <f>LEN(Tableau17[[#This Row],[LABEL]])</f>
        <v>20</v>
      </c>
      <c r="P872" s="117">
        <v>15</v>
      </c>
      <c r="Q872" s="117" t="e">
        <f>ROUND(Tableau17[[#This Row],[LEN]]*#REF!+#REF!,0)</f>
        <v>#REF!</v>
      </c>
    </row>
    <row r="873" spans="1:17" s="97" customFormat="1" x14ac:dyDescent="0.25">
      <c r="A873" s="53" t="s">
        <v>1650</v>
      </c>
      <c r="B873" s="54" t="s">
        <v>1643</v>
      </c>
      <c r="C873" s="55" t="s">
        <v>1657</v>
      </c>
      <c r="D873" s="77" t="s">
        <v>1177</v>
      </c>
      <c r="E873" s="55" t="s">
        <v>666</v>
      </c>
      <c r="F873" s="55" t="s">
        <v>1177</v>
      </c>
      <c r="G873" s="77" t="s">
        <v>2101</v>
      </c>
      <c r="H873" s="77" t="s">
        <v>654</v>
      </c>
      <c r="I873" s="55"/>
      <c r="J873" s="56" t="s">
        <v>708</v>
      </c>
      <c r="K87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3" s="118">
        <f>ROUND(Tableau17[[#This Row],[LEN]]*7.27,0)</f>
        <v>364</v>
      </c>
      <c r="M873" s="118">
        <v>15</v>
      </c>
      <c r="N873" s="135" t="str">
        <f t="shared" si="5"/>
        <v>none</v>
      </c>
      <c r="O873" s="118">
        <f>LEN(Tableau17[[#This Row],[LABEL]])</f>
        <v>50</v>
      </c>
      <c r="P873" s="118">
        <v>15</v>
      </c>
      <c r="Q873" s="118" t="e">
        <f>ROUND(Tableau17[[#This Row],[LEN]]*#REF!+#REF!,0)</f>
        <v>#REF!</v>
      </c>
    </row>
    <row r="874" spans="1:17" s="97" customFormat="1" x14ac:dyDescent="0.25">
      <c r="A874" s="53" t="s">
        <v>1651</v>
      </c>
      <c r="B874" s="54" t="s">
        <v>1643</v>
      </c>
      <c r="C874" s="55" t="s">
        <v>1658</v>
      </c>
      <c r="D874" s="77" t="s">
        <v>1177</v>
      </c>
      <c r="E874" s="55" t="s">
        <v>666</v>
      </c>
      <c r="F874" s="55" t="s">
        <v>1177</v>
      </c>
      <c r="G874" s="77" t="s">
        <v>2101</v>
      </c>
      <c r="H874" s="77" t="s">
        <v>654</v>
      </c>
      <c r="I874" s="55"/>
      <c r="J874" s="56" t="s">
        <v>708</v>
      </c>
      <c r="K87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4" s="118">
        <f>ROUND(Tableau17[[#This Row],[LEN]]*7.27,0)</f>
        <v>131</v>
      </c>
      <c r="M874" s="118">
        <v>15</v>
      </c>
      <c r="N874" s="135" t="str">
        <f t="shared" si="5"/>
        <v>none</v>
      </c>
      <c r="O874" s="118">
        <f>LEN(Tableau17[[#This Row],[LABEL]])</f>
        <v>18</v>
      </c>
      <c r="P874" s="118">
        <v>15</v>
      </c>
      <c r="Q874" s="118" t="e">
        <f>ROUND(Tableau17[[#This Row],[LEN]]*#REF!+#REF!,0)</f>
        <v>#REF!</v>
      </c>
    </row>
    <row r="875" spans="1:17" s="97" customFormat="1" x14ac:dyDescent="0.25">
      <c r="A875" s="53" t="s">
        <v>1652</v>
      </c>
      <c r="B875" s="54" t="s">
        <v>1643</v>
      </c>
      <c r="C875" s="55" t="s">
        <v>1659</v>
      </c>
      <c r="D875" s="77" t="s">
        <v>1177</v>
      </c>
      <c r="E875" s="55" t="s">
        <v>666</v>
      </c>
      <c r="F875" s="55" t="s">
        <v>1177</v>
      </c>
      <c r="G875" s="77" t="s">
        <v>2101</v>
      </c>
      <c r="H875" s="77" t="s">
        <v>654</v>
      </c>
      <c r="I875" s="55"/>
      <c r="J875" s="56" t="s">
        <v>708</v>
      </c>
      <c r="K87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5" s="118">
        <f>ROUND(Tableau17[[#This Row],[LEN]]*7.27,0)</f>
        <v>109</v>
      </c>
      <c r="M875" s="118">
        <v>15</v>
      </c>
      <c r="N875" s="135" t="str">
        <f t="shared" si="5"/>
        <v>none</v>
      </c>
      <c r="O875" s="118">
        <f>LEN(Tableau17[[#This Row],[LABEL]])</f>
        <v>15</v>
      </c>
      <c r="P875" s="118">
        <v>15</v>
      </c>
      <c r="Q875" s="118" t="e">
        <f>ROUND(Tableau17[[#This Row],[LEN]]*#REF!+#REF!,0)</f>
        <v>#REF!</v>
      </c>
    </row>
    <row r="876" spans="1:17" s="97" customFormat="1" x14ac:dyDescent="0.25">
      <c r="A876" s="53" t="s">
        <v>1653</v>
      </c>
      <c r="B876" s="54" t="s">
        <v>1643</v>
      </c>
      <c r="C876" s="55" t="s">
        <v>134</v>
      </c>
      <c r="D876" s="77" t="s">
        <v>1177</v>
      </c>
      <c r="E876" s="55" t="s">
        <v>666</v>
      </c>
      <c r="F876" s="55" t="s">
        <v>1177</v>
      </c>
      <c r="G876" s="77" t="s">
        <v>2101</v>
      </c>
      <c r="H876" s="77" t="s">
        <v>654</v>
      </c>
      <c r="I876" s="55"/>
      <c r="J876" s="56" t="s">
        <v>708</v>
      </c>
      <c r="K87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6" s="118">
        <f>ROUND(Tableau17[[#This Row],[LEN]]*7.27,0)</f>
        <v>124</v>
      </c>
      <c r="M876" s="118">
        <v>15</v>
      </c>
      <c r="N876" s="135" t="str">
        <f t="shared" si="5"/>
        <v>none</v>
      </c>
      <c r="O876" s="118">
        <f>LEN(Tableau17[[#This Row],[LABEL]])</f>
        <v>17</v>
      </c>
      <c r="P876" s="118">
        <v>15</v>
      </c>
      <c r="Q876" s="118" t="e">
        <f>ROUND(Tableau17[[#This Row],[LEN]]*#REF!+#REF!,0)</f>
        <v>#REF!</v>
      </c>
    </row>
    <row r="877" spans="1:17" s="97" customFormat="1" x14ac:dyDescent="0.25">
      <c r="A877" s="49" t="s">
        <v>1644</v>
      </c>
      <c r="B877" s="50" t="s">
        <v>306</v>
      </c>
      <c r="C877" s="51" t="s">
        <v>1654</v>
      </c>
      <c r="D877" s="76" t="s">
        <v>1177</v>
      </c>
      <c r="E877" s="51" t="s">
        <v>666</v>
      </c>
      <c r="F877" s="51" t="s">
        <v>661</v>
      </c>
      <c r="G877" s="76" t="s">
        <v>2101</v>
      </c>
      <c r="H877" s="76" t="s">
        <v>654</v>
      </c>
      <c r="I877" s="51"/>
      <c r="J877" s="52" t="s">
        <v>708</v>
      </c>
      <c r="K87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7" s="117">
        <f>ROUND(Tableau17[[#This Row],[LEN]]*7.27,0)</f>
        <v>160</v>
      </c>
      <c r="M877" s="117">
        <v>15</v>
      </c>
      <c r="N877" s="134" t="str">
        <f t="shared" si="5"/>
        <v>none</v>
      </c>
      <c r="O877" s="117">
        <f>LEN(Tableau17[[#This Row],[LABEL]])</f>
        <v>22</v>
      </c>
      <c r="P877" s="117">
        <v>15</v>
      </c>
      <c r="Q877" s="117" t="e">
        <f>ROUND(Tableau17[[#This Row],[LEN]]*#REF!+#REF!,0)</f>
        <v>#REF!</v>
      </c>
    </row>
    <row r="878" spans="1:17" s="97" customFormat="1" x14ac:dyDescent="0.25">
      <c r="A878" s="49" t="s">
        <v>1645</v>
      </c>
      <c r="B878" s="50" t="s">
        <v>306</v>
      </c>
      <c r="C878" s="51" t="s">
        <v>1655</v>
      </c>
      <c r="D878" s="76" t="s">
        <v>1656</v>
      </c>
      <c r="E878" s="51" t="s">
        <v>673</v>
      </c>
      <c r="F878" s="51" t="s">
        <v>1660</v>
      </c>
      <c r="G878" s="76" t="s">
        <v>2101</v>
      </c>
      <c r="H878" s="76" t="s">
        <v>654</v>
      </c>
      <c r="I878" s="51"/>
      <c r="J878" s="52" t="s">
        <v>708</v>
      </c>
      <c r="K87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78" s="117">
        <f>ROUND(Tableau17[[#This Row],[LEN]]*7.27,0)</f>
        <v>291</v>
      </c>
      <c r="M878" s="117">
        <v>15</v>
      </c>
      <c r="N878" s="134" t="str">
        <f t="shared" si="5"/>
        <v>none</v>
      </c>
      <c r="O878" s="117">
        <f>LEN(Tableau17[[#This Row],[LABEL]])</f>
        <v>40</v>
      </c>
      <c r="P878" s="117">
        <v>15</v>
      </c>
      <c r="Q878" s="117" t="e">
        <f>ROUND(Tableau17[[#This Row],[LEN]]*#REF!+#REF!,0)</f>
        <v>#REF!</v>
      </c>
    </row>
    <row r="879" spans="1:17" s="273" customFormat="1" x14ac:dyDescent="0.25">
      <c r="A879" s="351" t="s">
        <v>308</v>
      </c>
      <c r="B879" s="352" t="s">
        <v>209</v>
      </c>
      <c r="C879" s="353" t="s">
        <v>5</v>
      </c>
      <c r="D879" s="354" t="s">
        <v>1177</v>
      </c>
      <c r="E879" s="353" t="s">
        <v>668</v>
      </c>
      <c r="F879" s="353" t="s">
        <v>1177</v>
      </c>
      <c r="G879" s="354" t="s">
        <v>2101</v>
      </c>
      <c r="H879" s="354" t="str">
        <f>IFERROR(IF(SEARCH(".00.00.00.00.00",Tableau17[[#This Row],[name]],1)=7,"Division",""),"")</f>
        <v>Division</v>
      </c>
      <c r="I879" s="353"/>
      <c r="J879" s="355" t="s">
        <v>708</v>
      </c>
      <c r="K879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79" s="356">
        <f>ROUND(Tableau17[[#This Row],[LEN]]*7.27,0)</f>
        <v>73</v>
      </c>
      <c r="M879" s="356">
        <v>15</v>
      </c>
      <c r="N879" s="357" t="str">
        <f t="shared" si="5"/>
        <v>none</v>
      </c>
      <c r="O879" s="356">
        <f>LEN(Tableau17[[#This Row],[LABEL]])</f>
        <v>10</v>
      </c>
      <c r="P879" s="356">
        <v>15</v>
      </c>
      <c r="Q879" s="356" t="e">
        <f>ROUND(Tableau17[[#This Row],[LEN]]*#REF!+#REF!,0)</f>
        <v>#REF!</v>
      </c>
    </row>
    <row r="880" spans="1:17" s="97" customFormat="1" x14ac:dyDescent="0.25">
      <c r="A880" s="49" t="s">
        <v>1661</v>
      </c>
      <c r="B880" s="50" t="s">
        <v>308</v>
      </c>
      <c r="C880" s="51" t="s">
        <v>1662</v>
      </c>
      <c r="D880" s="76" t="s">
        <v>1177</v>
      </c>
      <c r="E880" s="51" t="s">
        <v>668</v>
      </c>
      <c r="F880" s="51" t="s">
        <v>1339</v>
      </c>
      <c r="G880" s="76" t="s">
        <v>2101</v>
      </c>
      <c r="H880" s="76" t="s">
        <v>56</v>
      </c>
      <c r="I880" s="51"/>
      <c r="J880" s="52" t="s">
        <v>708</v>
      </c>
      <c r="K880" s="5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80" s="117">
        <f>ROUND(Tableau17[[#This Row],[LEN]]*7.27,0)</f>
        <v>218</v>
      </c>
      <c r="M880" s="117">
        <v>15</v>
      </c>
      <c r="N880" s="134" t="str">
        <f t="shared" si="5"/>
        <v>none</v>
      </c>
      <c r="O880" s="117">
        <f>LEN(Tableau17[[#This Row],[LABEL]])</f>
        <v>30</v>
      </c>
      <c r="P880" s="117">
        <v>15</v>
      </c>
      <c r="Q880" s="117" t="e">
        <f>ROUND(Tableau17[[#This Row],[LEN]]*#REF!+#REF!,0)</f>
        <v>#REF!</v>
      </c>
    </row>
    <row r="881" spans="1:17" s="273" customFormat="1" x14ac:dyDescent="0.25">
      <c r="A881" s="351" t="s">
        <v>309</v>
      </c>
      <c r="B881" s="352" t="s">
        <v>209</v>
      </c>
      <c r="C881" s="353" t="s">
        <v>6</v>
      </c>
      <c r="D881" s="354" t="s">
        <v>1177</v>
      </c>
      <c r="E881" s="353" t="s">
        <v>669</v>
      </c>
      <c r="F881" s="353" t="s">
        <v>1177</v>
      </c>
      <c r="G881" s="354" t="s">
        <v>2101</v>
      </c>
      <c r="H881" s="354" t="str">
        <f>IFERROR(IF(SEARCH(".00.00.00.00.00",Tableau17[[#This Row],[name]],1)=7,"Division",""),"")</f>
        <v>Division</v>
      </c>
      <c r="I881" s="353"/>
      <c r="J881" s="355" t="s">
        <v>708</v>
      </c>
      <c r="K881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881" s="356">
        <f>ROUND(Tableau17[[#This Row],[LEN]]*7.27,0)</f>
        <v>196</v>
      </c>
      <c r="M881" s="356">
        <v>15</v>
      </c>
      <c r="N881" s="357" t="str">
        <f t="shared" si="5"/>
        <v>none</v>
      </c>
      <c r="O881" s="356">
        <f>LEN(Tableau17[[#This Row],[LABEL]])</f>
        <v>27</v>
      </c>
      <c r="P881" s="356">
        <v>15</v>
      </c>
      <c r="Q881" s="356" t="e">
        <f>ROUND(Tableau17[[#This Row],[LEN]]*#REF!+#REF!,0)</f>
        <v>#REF!</v>
      </c>
    </row>
    <row r="882" spans="1:17" s="97" customFormat="1" x14ac:dyDescent="0.25">
      <c r="A882" s="49" t="s">
        <v>1663</v>
      </c>
      <c r="B882" s="50" t="s">
        <v>309</v>
      </c>
      <c r="C882" s="51" t="s">
        <v>128</v>
      </c>
      <c r="D882" s="76" t="s">
        <v>1177</v>
      </c>
      <c r="E882" s="51" t="s">
        <v>669</v>
      </c>
      <c r="F882" s="51" t="s">
        <v>2029</v>
      </c>
      <c r="G882" s="76" t="s">
        <v>2101</v>
      </c>
      <c r="H882" s="76" t="s">
        <v>570</v>
      </c>
      <c r="I882" s="51"/>
      <c r="J882" s="52" t="s">
        <v>708</v>
      </c>
      <c r="K88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2" s="117">
        <f>ROUND(Tableau17[[#This Row],[LEN]]*7.27,0)</f>
        <v>182</v>
      </c>
      <c r="M882" s="117">
        <v>15</v>
      </c>
      <c r="N882" s="134" t="str">
        <f t="shared" si="5"/>
        <v>none</v>
      </c>
      <c r="O882" s="117">
        <f>LEN(Tableau17[[#This Row],[LABEL]])</f>
        <v>25</v>
      </c>
      <c r="P882" s="117">
        <v>15</v>
      </c>
      <c r="Q882" s="117" t="e">
        <f>ROUND(Tableau17[[#This Row],[LEN]]*#REF!+#REF!,0)</f>
        <v>#REF!</v>
      </c>
    </row>
    <row r="883" spans="1:17" s="97" customFormat="1" x14ac:dyDescent="0.25">
      <c r="A883" s="49" t="s">
        <v>1664</v>
      </c>
      <c r="B883" s="50" t="s">
        <v>309</v>
      </c>
      <c r="C883" s="51" t="s">
        <v>129</v>
      </c>
      <c r="D883" s="76" t="s">
        <v>1177</v>
      </c>
      <c r="E883" s="51" t="s">
        <v>673</v>
      </c>
      <c r="F883" s="51" t="s">
        <v>2035</v>
      </c>
      <c r="G883" s="76" t="s">
        <v>2101</v>
      </c>
      <c r="H883" s="76" t="s">
        <v>655</v>
      </c>
      <c r="I883" s="51"/>
      <c r="J883" s="52" t="s">
        <v>708</v>
      </c>
      <c r="K88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3" s="117">
        <f>ROUND(Tableau17[[#This Row],[LEN]]*7.27,0)</f>
        <v>87</v>
      </c>
      <c r="M883" s="117">
        <v>15</v>
      </c>
      <c r="N883" s="134" t="str">
        <f t="shared" si="5"/>
        <v>none</v>
      </c>
      <c r="O883" s="117">
        <f>LEN(Tableau17[[#This Row],[LABEL]])</f>
        <v>12</v>
      </c>
      <c r="P883" s="117">
        <v>15</v>
      </c>
      <c r="Q883" s="117" t="e">
        <f>ROUND(Tableau17[[#This Row],[LEN]]*#REF!+#REF!,0)</f>
        <v>#REF!</v>
      </c>
    </row>
    <row r="884" spans="1:17" s="97" customFormat="1" x14ac:dyDescent="0.25">
      <c r="A884" s="53" t="s">
        <v>1675</v>
      </c>
      <c r="B884" s="54" t="s">
        <v>1664</v>
      </c>
      <c r="C884" s="55" t="s">
        <v>131</v>
      </c>
      <c r="D884" s="77" t="s">
        <v>1177</v>
      </c>
      <c r="E884" s="55" t="s">
        <v>673</v>
      </c>
      <c r="F884" s="55" t="s">
        <v>2035</v>
      </c>
      <c r="G884" s="77" t="s">
        <v>2101</v>
      </c>
      <c r="H884" s="77" t="s">
        <v>570</v>
      </c>
      <c r="I884" s="55"/>
      <c r="J884" s="56" t="s">
        <v>708</v>
      </c>
      <c r="K88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4" s="118">
        <f>ROUND(Tableau17[[#This Row],[LEN]]*7.27,0)</f>
        <v>262</v>
      </c>
      <c r="M884" s="118">
        <v>15</v>
      </c>
      <c r="N884" s="135" t="str">
        <f t="shared" si="5"/>
        <v>none</v>
      </c>
      <c r="O884" s="118">
        <f>LEN(Tableau17[[#This Row],[LABEL]])</f>
        <v>36</v>
      </c>
      <c r="P884" s="118">
        <v>15</v>
      </c>
      <c r="Q884" s="118" t="e">
        <f>ROUND(Tableau17[[#This Row],[LEN]]*#REF!+#REF!,0)</f>
        <v>#REF!</v>
      </c>
    </row>
    <row r="885" spans="1:17" s="97" customFormat="1" x14ac:dyDescent="0.25">
      <c r="A885" s="53" t="s">
        <v>1676</v>
      </c>
      <c r="B885" s="54" t="s">
        <v>1664</v>
      </c>
      <c r="C885" s="55" t="s">
        <v>132</v>
      </c>
      <c r="D885" s="77" t="s">
        <v>1177</v>
      </c>
      <c r="E885" s="55" t="s">
        <v>673</v>
      </c>
      <c r="F885" s="55" t="s">
        <v>2035</v>
      </c>
      <c r="G885" s="77" t="s">
        <v>2101</v>
      </c>
      <c r="H885" s="77" t="s">
        <v>570</v>
      </c>
      <c r="I885" s="55"/>
      <c r="J885" s="56" t="s">
        <v>708</v>
      </c>
      <c r="K88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5" s="118">
        <f>ROUND(Tableau17[[#This Row],[LEN]]*7.27,0)</f>
        <v>298</v>
      </c>
      <c r="M885" s="118">
        <v>15</v>
      </c>
      <c r="N885" s="135" t="str">
        <f t="shared" si="5"/>
        <v>none</v>
      </c>
      <c r="O885" s="118">
        <f>LEN(Tableau17[[#This Row],[LABEL]])</f>
        <v>41</v>
      </c>
      <c r="P885" s="118">
        <v>15</v>
      </c>
      <c r="Q885" s="118" t="e">
        <f>ROUND(Tableau17[[#This Row],[LEN]]*#REF!+#REF!,0)</f>
        <v>#REF!</v>
      </c>
    </row>
    <row r="886" spans="1:17" s="97" customFormat="1" x14ac:dyDescent="0.25">
      <c r="A886" s="49" t="s">
        <v>1665</v>
      </c>
      <c r="B886" s="50" t="s">
        <v>309</v>
      </c>
      <c r="C886" s="51" t="s">
        <v>1677</v>
      </c>
      <c r="D886" s="76" t="s">
        <v>1177</v>
      </c>
      <c r="E886" s="51" t="s">
        <v>669</v>
      </c>
      <c r="F886" s="51" t="s">
        <v>1177</v>
      </c>
      <c r="G886" s="76" t="s">
        <v>2101</v>
      </c>
      <c r="H886" s="76" t="s">
        <v>654</v>
      </c>
      <c r="I886" s="51"/>
      <c r="J886" s="52" t="s">
        <v>708</v>
      </c>
      <c r="K88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6" s="117">
        <f>ROUND(Tableau17[[#This Row],[LEN]]*7.27,0)</f>
        <v>109</v>
      </c>
      <c r="M886" s="117">
        <v>15</v>
      </c>
      <c r="N886" s="134" t="str">
        <f t="shared" si="5"/>
        <v>none</v>
      </c>
      <c r="O886" s="117">
        <f>LEN(Tableau17[[#This Row],[LABEL]])</f>
        <v>15</v>
      </c>
      <c r="P886" s="117">
        <v>15</v>
      </c>
      <c r="Q886" s="117" t="e">
        <f>ROUND(Tableau17[[#This Row],[LEN]]*#REF!+#REF!,0)</f>
        <v>#REF!</v>
      </c>
    </row>
    <row r="887" spans="1:17" s="97" customFormat="1" x14ac:dyDescent="0.25">
      <c r="A887" s="49" t="s">
        <v>1666</v>
      </c>
      <c r="B887" s="50" t="s">
        <v>309</v>
      </c>
      <c r="C887" s="51" t="s">
        <v>1678</v>
      </c>
      <c r="D887" s="76" t="s">
        <v>1177</v>
      </c>
      <c r="E887" s="51" t="s">
        <v>669</v>
      </c>
      <c r="F887" s="51" t="s">
        <v>1177</v>
      </c>
      <c r="G887" s="76" t="s">
        <v>2101</v>
      </c>
      <c r="H887" s="76" t="s">
        <v>654</v>
      </c>
      <c r="I887" s="51"/>
      <c r="J887" s="52" t="s">
        <v>708</v>
      </c>
      <c r="K88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7" s="117">
        <f>ROUND(Tableau17[[#This Row],[LEN]]*7.27,0)</f>
        <v>196</v>
      </c>
      <c r="M887" s="117">
        <v>15</v>
      </c>
      <c r="N887" s="134" t="str">
        <f t="shared" si="5"/>
        <v>none</v>
      </c>
      <c r="O887" s="117">
        <f>LEN(Tableau17[[#This Row],[LABEL]])</f>
        <v>27</v>
      </c>
      <c r="P887" s="117">
        <v>15</v>
      </c>
      <c r="Q887" s="117" t="e">
        <f>ROUND(Tableau17[[#This Row],[LEN]]*#REF!+#REF!,0)</f>
        <v>#REF!</v>
      </c>
    </row>
    <row r="888" spans="1:17" s="97" customFormat="1" x14ac:dyDescent="0.25">
      <c r="A888" s="49" t="s">
        <v>1667</v>
      </c>
      <c r="B888" s="50" t="s">
        <v>309</v>
      </c>
      <c r="C888" s="51" t="s">
        <v>1679</v>
      </c>
      <c r="D888" s="76" t="s">
        <v>1177</v>
      </c>
      <c r="E888" s="51" t="s">
        <v>669</v>
      </c>
      <c r="F888" s="51" t="s">
        <v>1177</v>
      </c>
      <c r="G888" s="76" t="s">
        <v>2101</v>
      </c>
      <c r="H888" s="76" t="s">
        <v>654</v>
      </c>
      <c r="I888" s="51"/>
      <c r="J888" s="52" t="s">
        <v>708</v>
      </c>
      <c r="K88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8" s="117">
        <f>ROUND(Tableau17[[#This Row],[LEN]]*7.27,0)</f>
        <v>254</v>
      </c>
      <c r="M888" s="117">
        <v>15</v>
      </c>
      <c r="N888" s="134" t="str">
        <f t="shared" si="5"/>
        <v>none</v>
      </c>
      <c r="O888" s="117">
        <f>LEN(Tableau17[[#This Row],[LABEL]])</f>
        <v>35</v>
      </c>
      <c r="P888" s="117">
        <v>15</v>
      </c>
      <c r="Q888" s="117" t="e">
        <f>ROUND(Tableau17[[#This Row],[LEN]]*#REF!+#REF!,0)</f>
        <v>#REF!</v>
      </c>
    </row>
    <row r="889" spans="1:17" s="97" customFormat="1" x14ac:dyDescent="0.25">
      <c r="A889" s="49" t="s">
        <v>1668</v>
      </c>
      <c r="B889" s="50" t="s">
        <v>309</v>
      </c>
      <c r="C889" s="51" t="s">
        <v>1680</v>
      </c>
      <c r="D889" s="76" t="s">
        <v>1177</v>
      </c>
      <c r="E889" s="51" t="s">
        <v>669</v>
      </c>
      <c r="F889" s="51" t="s">
        <v>1177</v>
      </c>
      <c r="G889" s="76" t="s">
        <v>2101</v>
      </c>
      <c r="H889" s="76" t="s">
        <v>654</v>
      </c>
      <c r="I889" s="51"/>
      <c r="J889" s="52" t="s">
        <v>708</v>
      </c>
      <c r="K88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89" s="117">
        <f>ROUND(Tableau17[[#This Row],[LEN]]*7.27,0)</f>
        <v>269</v>
      </c>
      <c r="M889" s="117">
        <v>15</v>
      </c>
      <c r="N889" s="134" t="str">
        <f t="shared" ref="N889:N952" si="6">IF(J889="javascript:void(0)","none","new")</f>
        <v>none</v>
      </c>
      <c r="O889" s="117">
        <f>LEN(Tableau17[[#This Row],[LABEL]])</f>
        <v>37</v>
      </c>
      <c r="P889" s="117">
        <v>15</v>
      </c>
      <c r="Q889" s="117" t="e">
        <f>ROUND(Tableau17[[#This Row],[LEN]]*#REF!+#REF!,0)</f>
        <v>#REF!</v>
      </c>
    </row>
    <row r="890" spans="1:17" s="97" customFormat="1" x14ac:dyDescent="0.25">
      <c r="A890" s="49" t="s">
        <v>1669</v>
      </c>
      <c r="B890" s="50" t="s">
        <v>309</v>
      </c>
      <c r="C890" s="51" t="s">
        <v>1681</v>
      </c>
      <c r="D890" s="76" t="s">
        <v>1177</v>
      </c>
      <c r="E890" s="51" t="s">
        <v>669</v>
      </c>
      <c r="F890" s="51" t="s">
        <v>1177</v>
      </c>
      <c r="G890" s="76" t="s">
        <v>2101</v>
      </c>
      <c r="H890" s="76" t="s">
        <v>655</v>
      </c>
      <c r="I890" s="51"/>
      <c r="J890" s="52" t="s">
        <v>708</v>
      </c>
      <c r="K89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0" s="117">
        <f>ROUND(Tableau17[[#This Row],[LEN]]*7.27,0)</f>
        <v>305</v>
      </c>
      <c r="M890" s="117">
        <v>15</v>
      </c>
      <c r="N890" s="134" t="str">
        <f t="shared" si="6"/>
        <v>none</v>
      </c>
      <c r="O890" s="117">
        <f>LEN(Tableau17[[#This Row],[LABEL]])</f>
        <v>42</v>
      </c>
      <c r="P890" s="117">
        <v>15</v>
      </c>
      <c r="Q890" s="117" t="e">
        <f>ROUND(Tableau17[[#This Row],[LEN]]*#REF!+#REF!,0)</f>
        <v>#REF!</v>
      </c>
    </row>
    <row r="891" spans="1:17" s="97" customFormat="1" x14ac:dyDescent="0.25">
      <c r="A891" s="53" t="s">
        <v>1682</v>
      </c>
      <c r="B891" s="54" t="s">
        <v>1669</v>
      </c>
      <c r="C891" s="55" t="s">
        <v>1688</v>
      </c>
      <c r="D891" s="77" t="s">
        <v>1687</v>
      </c>
      <c r="E891" s="55" t="s">
        <v>669</v>
      </c>
      <c r="F891" s="55" t="s">
        <v>1177</v>
      </c>
      <c r="G891" s="77" t="s">
        <v>2101</v>
      </c>
      <c r="H891" s="77" t="s">
        <v>654</v>
      </c>
      <c r="I891" s="55"/>
      <c r="J891" s="56" t="s">
        <v>708</v>
      </c>
      <c r="K89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1" s="118">
        <f>ROUND(Tableau17[[#This Row],[LEN]]*7.27,0)</f>
        <v>465</v>
      </c>
      <c r="M891" s="118">
        <v>15</v>
      </c>
      <c r="N891" s="135" t="str">
        <f t="shared" si="6"/>
        <v>none</v>
      </c>
      <c r="O891" s="118">
        <f>LEN(Tableau17[[#This Row],[LABEL]])</f>
        <v>64</v>
      </c>
      <c r="P891" s="118">
        <v>15</v>
      </c>
      <c r="Q891" s="118" t="e">
        <f>ROUND(Tableau17[[#This Row],[LEN]]*#REF!+#REF!,0)</f>
        <v>#REF!</v>
      </c>
    </row>
    <row r="892" spans="1:17" s="97" customFormat="1" x14ac:dyDescent="0.25">
      <c r="A892" s="53" t="s">
        <v>1683</v>
      </c>
      <c r="B892" s="54" t="s">
        <v>1669</v>
      </c>
      <c r="C892" s="55" t="s">
        <v>1689</v>
      </c>
      <c r="D892" s="77" t="s">
        <v>1177</v>
      </c>
      <c r="E892" s="55" t="s">
        <v>669</v>
      </c>
      <c r="F892" s="55" t="s">
        <v>1177</v>
      </c>
      <c r="G892" s="77" t="s">
        <v>2101</v>
      </c>
      <c r="H892" s="77" t="s">
        <v>654</v>
      </c>
      <c r="I892" s="55"/>
      <c r="J892" s="56" t="s">
        <v>708</v>
      </c>
      <c r="K89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2" s="118">
        <f>ROUND(Tableau17[[#This Row],[LEN]]*7.27,0)</f>
        <v>422</v>
      </c>
      <c r="M892" s="118">
        <v>15</v>
      </c>
      <c r="N892" s="135" t="str">
        <f t="shared" si="6"/>
        <v>none</v>
      </c>
      <c r="O892" s="118">
        <f>LEN(Tableau17[[#This Row],[LABEL]])</f>
        <v>58</v>
      </c>
      <c r="P892" s="118">
        <v>15</v>
      </c>
      <c r="Q892" s="118" t="e">
        <f>ROUND(Tableau17[[#This Row],[LEN]]*#REF!+#REF!,0)</f>
        <v>#REF!</v>
      </c>
    </row>
    <row r="893" spans="1:17" s="97" customFormat="1" x14ac:dyDescent="0.25">
      <c r="A893" s="53" t="s">
        <v>1684</v>
      </c>
      <c r="B893" s="54" t="s">
        <v>1669</v>
      </c>
      <c r="C893" s="55" t="s">
        <v>1690</v>
      </c>
      <c r="D893" s="77" t="s">
        <v>1177</v>
      </c>
      <c r="E893" s="55" t="s">
        <v>669</v>
      </c>
      <c r="F893" s="55" t="s">
        <v>1177</v>
      </c>
      <c r="G893" s="77" t="s">
        <v>2101</v>
      </c>
      <c r="H893" s="77" t="s">
        <v>654</v>
      </c>
      <c r="I893" s="55"/>
      <c r="J893" s="56" t="s">
        <v>708</v>
      </c>
      <c r="K89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3" s="118">
        <f>ROUND(Tableau17[[#This Row],[LEN]]*7.27,0)</f>
        <v>313</v>
      </c>
      <c r="M893" s="118">
        <v>15</v>
      </c>
      <c r="N893" s="135" t="str">
        <f t="shared" si="6"/>
        <v>none</v>
      </c>
      <c r="O893" s="118">
        <f>LEN(Tableau17[[#This Row],[LABEL]])</f>
        <v>43</v>
      </c>
      <c r="P893" s="118">
        <v>15</v>
      </c>
      <c r="Q893" s="118" t="e">
        <f>ROUND(Tableau17[[#This Row],[LEN]]*#REF!+#REF!,0)</f>
        <v>#REF!</v>
      </c>
    </row>
    <row r="894" spans="1:17" s="97" customFormat="1" x14ac:dyDescent="0.25">
      <c r="A894" s="53" t="s">
        <v>1685</v>
      </c>
      <c r="B894" s="54" t="s">
        <v>1669</v>
      </c>
      <c r="C894" s="55" t="s">
        <v>1691</v>
      </c>
      <c r="D894" s="77" t="s">
        <v>1701</v>
      </c>
      <c r="E894" s="55" t="s">
        <v>669</v>
      </c>
      <c r="F894" s="55" t="s">
        <v>1177</v>
      </c>
      <c r="G894" s="77" t="s">
        <v>2101</v>
      </c>
      <c r="H894" s="77" t="s">
        <v>654</v>
      </c>
      <c r="I894" s="55"/>
      <c r="J894" s="56" t="s">
        <v>708</v>
      </c>
      <c r="K89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4" s="118">
        <f>ROUND(Tableau17[[#This Row],[LEN]]*7.27,0)</f>
        <v>523</v>
      </c>
      <c r="M894" s="118">
        <v>15</v>
      </c>
      <c r="N894" s="135" t="str">
        <f t="shared" si="6"/>
        <v>none</v>
      </c>
      <c r="O894" s="118">
        <f>LEN(Tableau17[[#This Row],[LABEL]])</f>
        <v>72</v>
      </c>
      <c r="P894" s="118">
        <v>15</v>
      </c>
      <c r="Q894" s="118" t="e">
        <f>ROUND(Tableau17[[#This Row],[LEN]]*#REF!+#REF!,0)</f>
        <v>#REF!</v>
      </c>
    </row>
    <row r="895" spans="1:17" s="97" customFormat="1" x14ac:dyDescent="0.25">
      <c r="A895" s="53" t="s">
        <v>1686</v>
      </c>
      <c r="B895" s="54" t="s">
        <v>1669</v>
      </c>
      <c r="C895" s="55" t="s">
        <v>1692</v>
      </c>
      <c r="D895" s="77" t="s">
        <v>1177</v>
      </c>
      <c r="E895" s="55" t="s">
        <v>669</v>
      </c>
      <c r="F895" s="55" t="s">
        <v>1177</v>
      </c>
      <c r="G895" s="77" t="s">
        <v>2101</v>
      </c>
      <c r="H895" s="77" t="s">
        <v>655</v>
      </c>
      <c r="I895" s="55"/>
      <c r="J895" s="56" t="s">
        <v>708</v>
      </c>
      <c r="K89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5" s="118">
        <f>ROUND(Tableau17[[#This Row],[LEN]]*7.27,0)</f>
        <v>233</v>
      </c>
      <c r="M895" s="118">
        <v>15</v>
      </c>
      <c r="N895" s="135" t="str">
        <f t="shared" si="6"/>
        <v>none</v>
      </c>
      <c r="O895" s="118">
        <f>LEN(Tableau17[[#This Row],[LABEL]])</f>
        <v>32</v>
      </c>
      <c r="P895" s="118">
        <v>15</v>
      </c>
      <c r="Q895" s="118" t="e">
        <f>ROUND(Tableau17[[#This Row],[LEN]]*#REF!+#REF!,0)</f>
        <v>#REF!</v>
      </c>
    </row>
    <row r="896" spans="1:17" s="97" customFormat="1" x14ac:dyDescent="0.25">
      <c r="A896" s="410" t="s">
        <v>1693</v>
      </c>
      <c r="B896" s="411" t="s">
        <v>1686</v>
      </c>
      <c r="C896" s="412" t="s">
        <v>1697</v>
      </c>
      <c r="D896" s="413" t="s">
        <v>1177</v>
      </c>
      <c r="E896" s="412" t="s">
        <v>669</v>
      </c>
      <c r="F896" s="412" t="s">
        <v>1177</v>
      </c>
      <c r="G896" s="413" t="s">
        <v>2101</v>
      </c>
      <c r="H896" s="414" t="s">
        <v>654</v>
      </c>
      <c r="I896" s="412"/>
      <c r="J896" s="415" t="s">
        <v>708</v>
      </c>
      <c r="K896" s="415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6" s="416">
        <f>ROUND(Tableau17[[#This Row],[LEN]]*7.27,0)</f>
        <v>145</v>
      </c>
      <c r="M896" s="416">
        <v>15</v>
      </c>
      <c r="N896" s="417" t="str">
        <f t="shared" si="6"/>
        <v>none</v>
      </c>
      <c r="O896" s="416">
        <f>LEN(Tableau17[[#This Row],[LABEL]])</f>
        <v>20</v>
      </c>
      <c r="P896" s="416">
        <v>15</v>
      </c>
      <c r="Q896" s="416" t="e">
        <f>ROUND(Tableau17[[#This Row],[LEN]]*#REF!+#REF!,0)</f>
        <v>#REF!</v>
      </c>
    </row>
    <row r="897" spans="1:17" s="97" customFormat="1" x14ac:dyDescent="0.25">
      <c r="A897" s="410" t="s">
        <v>1694</v>
      </c>
      <c r="B897" s="411" t="s">
        <v>1686</v>
      </c>
      <c r="C897" s="412" t="s">
        <v>1698</v>
      </c>
      <c r="D897" s="413" t="s">
        <v>1177</v>
      </c>
      <c r="E897" s="412" t="s">
        <v>669</v>
      </c>
      <c r="F897" s="412" t="s">
        <v>1177</v>
      </c>
      <c r="G897" s="413" t="s">
        <v>2101</v>
      </c>
      <c r="H897" s="414" t="s">
        <v>654</v>
      </c>
      <c r="I897" s="412"/>
      <c r="J897" s="415" t="s">
        <v>708</v>
      </c>
      <c r="K897" s="415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7" s="416">
        <f>ROUND(Tableau17[[#This Row],[LEN]]*7.27,0)</f>
        <v>174</v>
      </c>
      <c r="M897" s="416">
        <v>15</v>
      </c>
      <c r="N897" s="417" t="str">
        <f t="shared" si="6"/>
        <v>none</v>
      </c>
      <c r="O897" s="416">
        <f>LEN(Tableau17[[#This Row],[LABEL]])</f>
        <v>24</v>
      </c>
      <c r="P897" s="416">
        <v>15</v>
      </c>
      <c r="Q897" s="416" t="e">
        <f>ROUND(Tableau17[[#This Row],[LEN]]*#REF!+#REF!,0)</f>
        <v>#REF!</v>
      </c>
    </row>
    <row r="898" spans="1:17" s="97" customFormat="1" x14ac:dyDescent="0.25">
      <c r="A898" s="410" t="s">
        <v>1695</v>
      </c>
      <c r="B898" s="411" t="s">
        <v>1686</v>
      </c>
      <c r="C898" s="412" t="s">
        <v>1699</v>
      </c>
      <c r="D898" s="413" t="s">
        <v>1177</v>
      </c>
      <c r="E898" s="412" t="s">
        <v>669</v>
      </c>
      <c r="F898" s="412" t="s">
        <v>1177</v>
      </c>
      <c r="G898" s="413" t="s">
        <v>2101</v>
      </c>
      <c r="H898" s="414" t="s">
        <v>654</v>
      </c>
      <c r="I898" s="412"/>
      <c r="J898" s="415" t="s">
        <v>708</v>
      </c>
      <c r="K898" s="415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8" s="416">
        <f>ROUND(Tableau17[[#This Row],[LEN]]*7.27,0)</f>
        <v>138</v>
      </c>
      <c r="M898" s="416">
        <v>15</v>
      </c>
      <c r="N898" s="417" t="str">
        <f t="shared" si="6"/>
        <v>none</v>
      </c>
      <c r="O898" s="416">
        <f>LEN(Tableau17[[#This Row],[LABEL]])</f>
        <v>19</v>
      </c>
      <c r="P898" s="416">
        <v>15</v>
      </c>
      <c r="Q898" s="416" t="e">
        <f>ROUND(Tableau17[[#This Row],[LEN]]*#REF!+#REF!,0)</f>
        <v>#REF!</v>
      </c>
    </row>
    <row r="899" spans="1:17" s="97" customFormat="1" x14ac:dyDescent="0.25">
      <c r="A899" s="410" t="s">
        <v>1696</v>
      </c>
      <c r="B899" s="411" t="s">
        <v>1686</v>
      </c>
      <c r="C899" s="412" t="s">
        <v>1700</v>
      </c>
      <c r="D899" s="413" t="s">
        <v>1177</v>
      </c>
      <c r="E899" s="412" t="s">
        <v>669</v>
      </c>
      <c r="F899" s="412" t="s">
        <v>1177</v>
      </c>
      <c r="G899" s="413" t="s">
        <v>2101</v>
      </c>
      <c r="H899" s="414" t="s">
        <v>654</v>
      </c>
      <c r="I899" s="412"/>
      <c r="J899" s="415" t="s">
        <v>708</v>
      </c>
      <c r="K899" s="415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899" s="416">
        <f>ROUND(Tableau17[[#This Row],[LEN]]*7.27,0)</f>
        <v>131</v>
      </c>
      <c r="M899" s="416">
        <v>15</v>
      </c>
      <c r="N899" s="417" t="str">
        <f t="shared" si="6"/>
        <v>none</v>
      </c>
      <c r="O899" s="416">
        <f>LEN(Tableau17[[#This Row],[LABEL]])</f>
        <v>18</v>
      </c>
      <c r="P899" s="416">
        <v>15</v>
      </c>
      <c r="Q899" s="416" t="e">
        <f>ROUND(Tableau17[[#This Row],[LEN]]*#REF!+#REF!,0)</f>
        <v>#REF!</v>
      </c>
    </row>
    <row r="900" spans="1:17" s="97" customFormat="1" x14ac:dyDescent="0.25">
      <c r="A900" s="49" t="s">
        <v>1670</v>
      </c>
      <c r="B900" s="50" t="s">
        <v>309</v>
      </c>
      <c r="C900" s="51" t="s">
        <v>1702</v>
      </c>
      <c r="D900" s="76" t="s">
        <v>1703</v>
      </c>
      <c r="E900" s="51" t="s">
        <v>669</v>
      </c>
      <c r="F900" s="51" t="s">
        <v>661</v>
      </c>
      <c r="G900" s="76" t="s">
        <v>2101</v>
      </c>
      <c r="H900" s="76" t="s">
        <v>654</v>
      </c>
      <c r="I900" s="51"/>
      <c r="J900" s="52" t="s">
        <v>708</v>
      </c>
      <c r="K90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0" s="117">
        <f>ROUND(Tableau17[[#This Row],[LEN]]*7.27,0)</f>
        <v>247</v>
      </c>
      <c r="M900" s="117">
        <v>15</v>
      </c>
      <c r="N900" s="134" t="str">
        <f t="shared" si="6"/>
        <v>none</v>
      </c>
      <c r="O900" s="117">
        <f>LEN(Tableau17[[#This Row],[LABEL]])</f>
        <v>34</v>
      </c>
      <c r="P900" s="117">
        <v>15</v>
      </c>
      <c r="Q900" s="117" t="e">
        <f>ROUND(Tableau17[[#This Row],[LEN]]*#REF!+#REF!,0)</f>
        <v>#REF!</v>
      </c>
    </row>
    <row r="901" spans="1:17" s="97" customFormat="1" x14ac:dyDescent="0.25">
      <c r="A901" s="49" t="s">
        <v>1671</v>
      </c>
      <c r="B901" s="50" t="s">
        <v>309</v>
      </c>
      <c r="C901" s="51" t="s">
        <v>549</v>
      </c>
      <c r="D901" s="76" t="s">
        <v>1177</v>
      </c>
      <c r="E901" s="51" t="s">
        <v>673</v>
      </c>
      <c r="F901" s="51" t="s">
        <v>1704</v>
      </c>
      <c r="G901" s="76" t="s">
        <v>2101</v>
      </c>
      <c r="H901" s="76" t="s">
        <v>655</v>
      </c>
      <c r="I901" s="51"/>
      <c r="J901" s="52" t="s">
        <v>708</v>
      </c>
      <c r="K90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1" s="117">
        <f>ROUND(Tableau17[[#This Row],[LEN]]*7.27,0)</f>
        <v>145</v>
      </c>
      <c r="M901" s="117">
        <v>15</v>
      </c>
      <c r="N901" s="134" t="str">
        <f t="shared" si="6"/>
        <v>none</v>
      </c>
      <c r="O901" s="117">
        <f>LEN(Tableau17[[#This Row],[LABEL]])</f>
        <v>20</v>
      </c>
      <c r="P901" s="117">
        <v>15</v>
      </c>
      <c r="Q901" s="117" t="e">
        <f>ROUND(Tableau17[[#This Row],[LEN]]*#REF!+#REF!,0)</f>
        <v>#REF!</v>
      </c>
    </row>
    <row r="902" spans="1:17" s="97" customFormat="1" x14ac:dyDescent="0.25">
      <c r="A902" s="53" t="s">
        <v>1705</v>
      </c>
      <c r="B902" s="54" t="s">
        <v>1671</v>
      </c>
      <c r="C902" s="55" t="s">
        <v>590</v>
      </c>
      <c r="D902" s="77" t="s">
        <v>1177</v>
      </c>
      <c r="E902" s="55" t="s">
        <v>673</v>
      </c>
      <c r="F902" s="55" t="s">
        <v>1704</v>
      </c>
      <c r="G902" s="77" t="s">
        <v>2101</v>
      </c>
      <c r="H902" s="77" t="s">
        <v>570</v>
      </c>
      <c r="I902" s="55"/>
      <c r="J902" s="56" t="s">
        <v>708</v>
      </c>
      <c r="K90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2" s="118">
        <f>ROUND(Tableau17[[#This Row],[LEN]]*7.27,0)</f>
        <v>102</v>
      </c>
      <c r="M902" s="118">
        <v>15</v>
      </c>
      <c r="N902" s="135" t="str">
        <f t="shared" si="6"/>
        <v>none</v>
      </c>
      <c r="O902" s="118">
        <f>LEN(Tableau17[[#This Row],[LABEL]])</f>
        <v>14</v>
      </c>
      <c r="P902" s="118">
        <v>15</v>
      </c>
      <c r="Q902" s="118" t="e">
        <f>ROUND(Tableau17[[#This Row],[LEN]]*#REF!+#REF!,0)</f>
        <v>#REF!</v>
      </c>
    </row>
    <row r="903" spans="1:17" s="97" customFormat="1" x14ac:dyDescent="0.25">
      <c r="A903" s="53" t="s">
        <v>1706</v>
      </c>
      <c r="B903" s="54" t="s">
        <v>1671</v>
      </c>
      <c r="C903" s="55" t="s">
        <v>591</v>
      </c>
      <c r="D903" s="77" t="s">
        <v>1177</v>
      </c>
      <c r="E903" s="55" t="s">
        <v>673</v>
      </c>
      <c r="F903" s="55" t="s">
        <v>1704</v>
      </c>
      <c r="G903" s="77" t="s">
        <v>2101</v>
      </c>
      <c r="H903" s="77" t="s">
        <v>570</v>
      </c>
      <c r="I903" s="55"/>
      <c r="J903" s="56" t="s">
        <v>708</v>
      </c>
      <c r="K90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3" s="118">
        <f>ROUND(Tableau17[[#This Row],[LEN]]*7.27,0)</f>
        <v>262</v>
      </c>
      <c r="M903" s="118">
        <v>15</v>
      </c>
      <c r="N903" s="135" t="str">
        <f t="shared" si="6"/>
        <v>none</v>
      </c>
      <c r="O903" s="118">
        <f>LEN(Tableau17[[#This Row],[LABEL]])</f>
        <v>36</v>
      </c>
      <c r="P903" s="118">
        <v>15</v>
      </c>
      <c r="Q903" s="118" t="e">
        <f>ROUND(Tableau17[[#This Row],[LEN]]*#REF!+#REF!,0)</f>
        <v>#REF!</v>
      </c>
    </row>
    <row r="904" spans="1:17" s="97" customFormat="1" x14ac:dyDescent="0.25">
      <c r="A904" s="53" t="s">
        <v>1707</v>
      </c>
      <c r="B904" s="54" t="s">
        <v>1671</v>
      </c>
      <c r="C904" s="55" t="s">
        <v>592</v>
      </c>
      <c r="D904" s="77" t="s">
        <v>1177</v>
      </c>
      <c r="E904" s="55" t="s">
        <v>673</v>
      </c>
      <c r="F904" s="55" t="s">
        <v>1704</v>
      </c>
      <c r="G904" s="77" t="s">
        <v>2101</v>
      </c>
      <c r="H904" s="77" t="s">
        <v>570</v>
      </c>
      <c r="I904" s="55"/>
      <c r="J904" s="56" t="s">
        <v>708</v>
      </c>
      <c r="K90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4" s="118">
        <f>ROUND(Tableau17[[#This Row],[LEN]]*7.27,0)</f>
        <v>189</v>
      </c>
      <c r="M904" s="118">
        <v>15</v>
      </c>
      <c r="N904" s="135" t="str">
        <f t="shared" si="6"/>
        <v>none</v>
      </c>
      <c r="O904" s="118">
        <f>LEN(Tableau17[[#This Row],[LABEL]])</f>
        <v>26</v>
      </c>
      <c r="P904" s="118">
        <v>15</v>
      </c>
      <c r="Q904" s="118" t="e">
        <f>ROUND(Tableau17[[#This Row],[LEN]]*#REF!+#REF!,0)</f>
        <v>#REF!</v>
      </c>
    </row>
    <row r="905" spans="1:17" s="97" customFormat="1" x14ac:dyDescent="0.25">
      <c r="A905" s="53" t="s">
        <v>1708</v>
      </c>
      <c r="B905" s="54" t="s">
        <v>1671</v>
      </c>
      <c r="C905" s="55" t="s">
        <v>597</v>
      </c>
      <c r="D905" s="77" t="s">
        <v>1177</v>
      </c>
      <c r="E905" s="55" t="s">
        <v>673</v>
      </c>
      <c r="F905" s="55" t="s">
        <v>1704</v>
      </c>
      <c r="G905" s="77" t="s">
        <v>2101</v>
      </c>
      <c r="H905" s="77" t="s">
        <v>570</v>
      </c>
      <c r="I905" s="55"/>
      <c r="J905" s="56" t="s">
        <v>708</v>
      </c>
      <c r="K90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5" s="118">
        <f>ROUND(Tableau17[[#This Row],[LEN]]*7.27,0)</f>
        <v>465</v>
      </c>
      <c r="M905" s="118">
        <v>15</v>
      </c>
      <c r="N905" s="135" t="str">
        <f t="shared" si="6"/>
        <v>none</v>
      </c>
      <c r="O905" s="118">
        <f>LEN(Tableau17[[#This Row],[LABEL]])</f>
        <v>64</v>
      </c>
      <c r="P905" s="118">
        <v>15</v>
      </c>
      <c r="Q905" s="118" t="e">
        <f>ROUND(Tableau17[[#This Row],[LEN]]*#REF!+#REF!,0)</f>
        <v>#REF!</v>
      </c>
    </row>
    <row r="906" spans="1:17" s="97" customFormat="1" x14ac:dyDescent="0.25">
      <c r="A906" s="49" t="s">
        <v>1672</v>
      </c>
      <c r="B906" s="50" t="s">
        <v>309</v>
      </c>
      <c r="C906" s="51" t="s">
        <v>1709</v>
      </c>
      <c r="D906" s="76" t="s">
        <v>1177</v>
      </c>
      <c r="E906" s="51" t="s">
        <v>669</v>
      </c>
      <c r="F906" s="51" t="s">
        <v>1177</v>
      </c>
      <c r="G906" s="76" t="s">
        <v>2101</v>
      </c>
      <c r="H906" s="76" t="s">
        <v>655</v>
      </c>
      <c r="I906" s="51"/>
      <c r="J906" s="52" t="s">
        <v>708</v>
      </c>
      <c r="K90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6" s="117">
        <f>ROUND(Tableau17[[#This Row],[LEN]]*7.27,0)</f>
        <v>138</v>
      </c>
      <c r="M906" s="117">
        <v>15</v>
      </c>
      <c r="N906" s="134" t="str">
        <f t="shared" si="6"/>
        <v>none</v>
      </c>
      <c r="O906" s="117">
        <f>LEN(Tableau17[[#This Row],[LABEL]])</f>
        <v>19</v>
      </c>
      <c r="P906" s="117">
        <v>15</v>
      </c>
      <c r="Q906" s="117" t="e">
        <f>ROUND(Tableau17[[#This Row],[LEN]]*#REF!+#REF!,0)</f>
        <v>#REF!</v>
      </c>
    </row>
    <row r="907" spans="1:17" s="97" customFormat="1" x14ac:dyDescent="0.25">
      <c r="A907" s="53" t="s">
        <v>1710</v>
      </c>
      <c r="B907" s="54" t="s">
        <v>1672</v>
      </c>
      <c r="C907" s="55" t="s">
        <v>1713</v>
      </c>
      <c r="D907" s="77" t="s">
        <v>1177</v>
      </c>
      <c r="E907" s="55" t="s">
        <v>669</v>
      </c>
      <c r="F907" s="55" t="s">
        <v>1177</v>
      </c>
      <c r="G907" s="77" t="s">
        <v>2101</v>
      </c>
      <c r="H907" s="77" t="s">
        <v>654</v>
      </c>
      <c r="I907" s="55"/>
      <c r="J907" s="56" t="s">
        <v>708</v>
      </c>
      <c r="K90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7" s="118">
        <f>ROUND(Tableau17[[#This Row],[LEN]]*7.27,0)</f>
        <v>422</v>
      </c>
      <c r="M907" s="118">
        <v>15</v>
      </c>
      <c r="N907" s="135" t="str">
        <f t="shared" si="6"/>
        <v>none</v>
      </c>
      <c r="O907" s="118">
        <f>LEN(Tableau17[[#This Row],[LABEL]])</f>
        <v>58</v>
      </c>
      <c r="P907" s="118">
        <v>15</v>
      </c>
      <c r="Q907" s="118" t="e">
        <f>ROUND(Tableau17[[#This Row],[LEN]]*#REF!+#REF!,0)</f>
        <v>#REF!</v>
      </c>
    </row>
    <row r="908" spans="1:17" s="97" customFormat="1" x14ac:dyDescent="0.25">
      <c r="A908" s="53" t="s">
        <v>1711</v>
      </c>
      <c r="B908" s="54" t="s">
        <v>1672</v>
      </c>
      <c r="C908" s="55" t="s">
        <v>1714</v>
      </c>
      <c r="D908" s="77" t="s">
        <v>1177</v>
      </c>
      <c r="E908" s="55" t="s">
        <v>669</v>
      </c>
      <c r="F908" s="55" t="s">
        <v>1177</v>
      </c>
      <c r="G908" s="77" t="s">
        <v>2101</v>
      </c>
      <c r="H908" s="77" t="s">
        <v>654</v>
      </c>
      <c r="I908" s="55"/>
      <c r="J908" s="56" t="s">
        <v>708</v>
      </c>
      <c r="K90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8" s="118">
        <f>ROUND(Tableau17[[#This Row],[LEN]]*7.27,0)</f>
        <v>174</v>
      </c>
      <c r="M908" s="118">
        <v>15</v>
      </c>
      <c r="N908" s="135" t="str">
        <f t="shared" si="6"/>
        <v>none</v>
      </c>
      <c r="O908" s="118">
        <f>LEN(Tableau17[[#This Row],[LABEL]])</f>
        <v>24</v>
      </c>
      <c r="P908" s="118">
        <v>15</v>
      </c>
      <c r="Q908" s="118" t="e">
        <f>ROUND(Tableau17[[#This Row],[LEN]]*#REF!+#REF!,0)</f>
        <v>#REF!</v>
      </c>
    </row>
    <row r="909" spans="1:17" s="97" customFormat="1" x14ac:dyDescent="0.25">
      <c r="A909" s="53" t="s">
        <v>1712</v>
      </c>
      <c r="B909" s="54" t="s">
        <v>1672</v>
      </c>
      <c r="C909" s="55" t="s">
        <v>1715</v>
      </c>
      <c r="D909" s="77" t="s">
        <v>1177</v>
      </c>
      <c r="E909" s="55" t="s">
        <v>669</v>
      </c>
      <c r="F909" s="55" t="s">
        <v>1177</v>
      </c>
      <c r="G909" s="77" t="s">
        <v>2101</v>
      </c>
      <c r="H909" s="77" t="s">
        <v>654</v>
      </c>
      <c r="I909" s="55"/>
      <c r="J909" s="56" t="s">
        <v>708</v>
      </c>
      <c r="K90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09" s="118">
        <f>ROUND(Tableau17[[#This Row],[LEN]]*7.27,0)</f>
        <v>145</v>
      </c>
      <c r="M909" s="118">
        <v>15</v>
      </c>
      <c r="N909" s="135" t="str">
        <f t="shared" si="6"/>
        <v>none</v>
      </c>
      <c r="O909" s="118">
        <f>LEN(Tableau17[[#This Row],[LABEL]])</f>
        <v>20</v>
      </c>
      <c r="P909" s="118">
        <v>15</v>
      </c>
      <c r="Q909" s="118" t="e">
        <f>ROUND(Tableau17[[#This Row],[LEN]]*#REF!+#REF!,0)</f>
        <v>#REF!</v>
      </c>
    </row>
    <row r="910" spans="1:17" s="97" customFormat="1" x14ac:dyDescent="0.25">
      <c r="A910" s="49" t="s">
        <v>1673</v>
      </c>
      <c r="B910" s="50" t="s">
        <v>309</v>
      </c>
      <c r="C910" s="51" t="s">
        <v>598</v>
      </c>
      <c r="D910" s="76" t="s">
        <v>1177</v>
      </c>
      <c r="E910" s="51" t="s">
        <v>673</v>
      </c>
      <c r="F910" s="51" t="s">
        <v>2035</v>
      </c>
      <c r="G910" s="76" t="s">
        <v>2101</v>
      </c>
      <c r="H910" s="76" t="s">
        <v>654</v>
      </c>
      <c r="I910" s="51"/>
      <c r="J910" s="52" t="s">
        <v>708</v>
      </c>
      <c r="K91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0" s="117">
        <f>ROUND(Tableau17[[#This Row],[LEN]]*7.27,0)</f>
        <v>553</v>
      </c>
      <c r="M910" s="117">
        <v>15</v>
      </c>
      <c r="N910" s="134" t="str">
        <f t="shared" si="6"/>
        <v>none</v>
      </c>
      <c r="O910" s="117">
        <f>LEN(Tableau17[[#This Row],[LABEL]])</f>
        <v>76</v>
      </c>
      <c r="P910" s="117">
        <v>15</v>
      </c>
      <c r="Q910" s="117" t="e">
        <f>ROUND(Tableau17[[#This Row],[LEN]]*#REF!+#REF!,0)</f>
        <v>#REF!</v>
      </c>
    </row>
    <row r="911" spans="1:17" s="273" customFormat="1" x14ac:dyDescent="0.25">
      <c r="A911" s="351" t="s">
        <v>310</v>
      </c>
      <c r="B911" s="352" t="s">
        <v>209</v>
      </c>
      <c r="C911" s="353" t="s">
        <v>7</v>
      </c>
      <c r="D911" s="354" t="s">
        <v>1177</v>
      </c>
      <c r="E911" s="353" t="s">
        <v>670</v>
      </c>
      <c r="F911" s="353" t="s">
        <v>1177</v>
      </c>
      <c r="G911" s="354" t="s">
        <v>2101</v>
      </c>
      <c r="H911" s="354" t="str">
        <f>IFERROR(IF(SEARCH(".00.00.00.00.00",Tableau17[[#This Row],[name]],1)=7,"Division",""),"")</f>
        <v>Division</v>
      </c>
      <c r="I911" s="353"/>
      <c r="J911" s="355" t="s">
        <v>708</v>
      </c>
      <c r="K911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11" s="356">
        <f>ROUND(Tableau17[[#This Row],[LEN]]*7.27,0)</f>
        <v>189</v>
      </c>
      <c r="M911" s="356">
        <v>15</v>
      </c>
      <c r="N911" s="357" t="str">
        <f t="shared" si="6"/>
        <v>none</v>
      </c>
      <c r="O911" s="356">
        <f>LEN(Tableau17[[#This Row],[LABEL]])</f>
        <v>26</v>
      </c>
      <c r="P911" s="356">
        <v>15</v>
      </c>
      <c r="Q911" s="356" t="e">
        <f>ROUND(Tableau17[[#This Row],[LEN]]*#REF!+#REF!,0)</f>
        <v>#REF!</v>
      </c>
    </row>
    <row r="912" spans="1:17" s="97" customFormat="1" x14ac:dyDescent="0.25">
      <c r="A912" s="49" t="s">
        <v>1716</v>
      </c>
      <c r="B912" s="50" t="s">
        <v>310</v>
      </c>
      <c r="C912" s="51" t="s">
        <v>1717</v>
      </c>
      <c r="D912" s="76" t="s">
        <v>1177</v>
      </c>
      <c r="E912" s="51" t="s">
        <v>670</v>
      </c>
      <c r="F912" s="51" t="s">
        <v>1177</v>
      </c>
      <c r="G912" s="76" t="s">
        <v>2101</v>
      </c>
      <c r="H912" s="76" t="s">
        <v>656</v>
      </c>
      <c r="I912" s="51"/>
      <c r="J912" s="52" t="s">
        <v>708</v>
      </c>
      <c r="K91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2" s="117">
        <f>ROUND(Tableau17[[#This Row],[LEN]]*7.27,0)</f>
        <v>422</v>
      </c>
      <c r="M912" s="117">
        <v>15</v>
      </c>
      <c r="N912" s="134" t="str">
        <f t="shared" si="6"/>
        <v>none</v>
      </c>
      <c r="O912" s="117">
        <f>LEN(Tableau17[[#This Row],[LABEL]])</f>
        <v>58</v>
      </c>
      <c r="P912" s="117">
        <v>15</v>
      </c>
      <c r="Q912" s="117" t="e">
        <f>ROUND(Tableau17[[#This Row],[LEN]]*#REF!+#REF!,0)</f>
        <v>#REF!</v>
      </c>
    </row>
    <row r="913" spans="1:17" s="273" customFormat="1" x14ac:dyDescent="0.25">
      <c r="A913" s="351" t="s">
        <v>311</v>
      </c>
      <c r="B913" s="352" t="s">
        <v>209</v>
      </c>
      <c r="C913" s="353" t="s">
        <v>8</v>
      </c>
      <c r="D913" s="354" t="s">
        <v>1177</v>
      </c>
      <c r="E913" s="353" t="s">
        <v>671</v>
      </c>
      <c r="F913" s="353" t="s">
        <v>1177</v>
      </c>
      <c r="G913" s="354" t="s">
        <v>2101</v>
      </c>
      <c r="H913" s="354" t="str">
        <f>IFERROR(IF(SEARCH(".00.00.00.00.00",Tableau17[[#This Row],[name]],1)=7,"Division",""),"")</f>
        <v>Division</v>
      </c>
      <c r="I913" s="353"/>
      <c r="J913" s="355" t="s">
        <v>708</v>
      </c>
      <c r="K913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13" s="356">
        <f>ROUND(Tableau17[[#This Row],[LEN]]*7.27,0)</f>
        <v>116</v>
      </c>
      <c r="M913" s="356">
        <v>15</v>
      </c>
      <c r="N913" s="357" t="str">
        <f t="shared" si="6"/>
        <v>none</v>
      </c>
      <c r="O913" s="356">
        <f>LEN(Tableau17[[#This Row],[LABEL]])</f>
        <v>16</v>
      </c>
      <c r="P913" s="356">
        <v>15</v>
      </c>
      <c r="Q913" s="356" t="e">
        <f>ROUND(Tableau17[[#This Row],[LEN]]*#REF!+#REF!,0)</f>
        <v>#REF!</v>
      </c>
    </row>
    <row r="914" spans="1:17" s="97" customFormat="1" x14ac:dyDescent="0.25">
      <c r="A914" s="49" t="s">
        <v>1718</v>
      </c>
      <c r="B914" s="50" t="s">
        <v>311</v>
      </c>
      <c r="C914" s="51" t="s">
        <v>1720</v>
      </c>
      <c r="D914" s="76" t="s">
        <v>1177</v>
      </c>
      <c r="E914" s="51" t="s">
        <v>671</v>
      </c>
      <c r="F914" s="51" t="s">
        <v>1177</v>
      </c>
      <c r="G914" s="76" t="s">
        <v>2101</v>
      </c>
      <c r="H914" s="76" t="s">
        <v>656</v>
      </c>
      <c r="I914" s="51"/>
      <c r="J914" s="52" t="s">
        <v>708</v>
      </c>
      <c r="K91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4" s="117">
        <f>ROUND(Tableau17[[#This Row],[LEN]]*7.27,0)</f>
        <v>487</v>
      </c>
      <c r="M914" s="117">
        <v>15</v>
      </c>
      <c r="N914" s="134" t="str">
        <f t="shared" si="6"/>
        <v>none</v>
      </c>
      <c r="O914" s="117">
        <f>LEN(Tableau17[[#This Row],[LABEL]])</f>
        <v>67</v>
      </c>
      <c r="P914" s="117">
        <v>15</v>
      </c>
      <c r="Q914" s="117" t="e">
        <f>ROUND(Tableau17[[#This Row],[LEN]]*#REF!+#REF!,0)</f>
        <v>#REF!</v>
      </c>
    </row>
    <row r="915" spans="1:17" s="97" customFormat="1" x14ac:dyDescent="0.25">
      <c r="A915" s="49" t="s">
        <v>1719</v>
      </c>
      <c r="B915" s="50" t="s">
        <v>311</v>
      </c>
      <c r="C915" s="51" t="s">
        <v>1721</v>
      </c>
      <c r="D915" s="76" t="s">
        <v>1177</v>
      </c>
      <c r="E915" s="51" t="s">
        <v>671</v>
      </c>
      <c r="F915" s="51" t="s">
        <v>1177</v>
      </c>
      <c r="G915" s="76" t="s">
        <v>2101</v>
      </c>
      <c r="H915" s="76" t="s">
        <v>654</v>
      </c>
      <c r="I915" s="51"/>
      <c r="J915" s="52" t="s">
        <v>708</v>
      </c>
      <c r="K91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5" s="117">
        <f>ROUND(Tableau17[[#This Row],[LEN]]*7.27,0)</f>
        <v>320</v>
      </c>
      <c r="M915" s="117">
        <v>15</v>
      </c>
      <c r="N915" s="134" t="str">
        <f t="shared" si="6"/>
        <v>none</v>
      </c>
      <c r="O915" s="117">
        <f>LEN(Tableau17[[#This Row],[LABEL]])</f>
        <v>44</v>
      </c>
      <c r="P915" s="117">
        <v>15</v>
      </c>
      <c r="Q915" s="117" t="e">
        <f>ROUND(Tableau17[[#This Row],[LEN]]*#REF!+#REF!,0)</f>
        <v>#REF!</v>
      </c>
    </row>
    <row r="916" spans="1:17" s="273" customFormat="1" x14ac:dyDescent="0.25">
      <c r="A916" s="351" t="s">
        <v>312</v>
      </c>
      <c r="B916" s="352" t="s">
        <v>209</v>
      </c>
      <c r="C916" s="353" t="s">
        <v>9</v>
      </c>
      <c r="D916" s="354" t="s">
        <v>1177</v>
      </c>
      <c r="E916" s="353" t="s">
        <v>672</v>
      </c>
      <c r="F916" s="353" t="s">
        <v>1177</v>
      </c>
      <c r="G916" s="354" t="s">
        <v>2101</v>
      </c>
      <c r="H916" s="354" t="str">
        <f>IFERROR(IF(SEARCH(".00.00.00.00.00",Tableau17[[#This Row],[name]],1)=7,"Division",""),"")</f>
        <v>Division</v>
      </c>
      <c r="I916" s="353"/>
      <c r="J916" s="355" t="s">
        <v>718</v>
      </c>
      <c r="K916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16" s="356">
        <f>ROUND(Tableau17[[#This Row],[LEN]]*7.27,0)</f>
        <v>80</v>
      </c>
      <c r="M916" s="356">
        <v>15</v>
      </c>
      <c r="N916" s="357" t="str">
        <f t="shared" si="6"/>
        <v>new</v>
      </c>
      <c r="O916" s="356">
        <f>LEN(Tableau17[[#This Row],[LABEL]])</f>
        <v>11</v>
      </c>
      <c r="P916" s="356">
        <v>15</v>
      </c>
      <c r="Q916" s="356" t="e">
        <f>ROUND(Tableau17[[#This Row],[LEN]]*#REF!+#REF!,0)</f>
        <v>#REF!</v>
      </c>
    </row>
    <row r="917" spans="1:17" s="97" customFormat="1" x14ac:dyDescent="0.25">
      <c r="A917" s="49" t="s">
        <v>539</v>
      </c>
      <c r="B917" s="50" t="s">
        <v>312</v>
      </c>
      <c r="C917" s="51" t="s">
        <v>128</v>
      </c>
      <c r="D917" s="76" t="s">
        <v>1177</v>
      </c>
      <c r="E917" s="51" t="s">
        <v>669</v>
      </c>
      <c r="F917" s="51" t="s">
        <v>2029</v>
      </c>
      <c r="G917" s="76" t="s">
        <v>2101</v>
      </c>
      <c r="H917" s="76" t="s">
        <v>570</v>
      </c>
      <c r="I917" s="51"/>
      <c r="J917" s="52" t="s">
        <v>708</v>
      </c>
      <c r="K91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7" s="117">
        <f>ROUND(Tableau17[[#This Row],[LEN]]*7.27,0)</f>
        <v>182</v>
      </c>
      <c r="M917" s="117">
        <v>15</v>
      </c>
      <c r="N917" s="134" t="str">
        <f t="shared" si="6"/>
        <v>none</v>
      </c>
      <c r="O917" s="117">
        <f>LEN(Tableau17[[#This Row],[LABEL]])</f>
        <v>25</v>
      </c>
      <c r="P917" s="117">
        <v>15</v>
      </c>
      <c r="Q917" s="117" t="e">
        <f>ROUND(Tableau17[[#This Row],[LEN]]*#REF!+#REF!,0)</f>
        <v>#REF!</v>
      </c>
    </row>
    <row r="918" spans="1:17" s="97" customFormat="1" x14ac:dyDescent="0.25">
      <c r="A918" s="49" t="s">
        <v>540</v>
      </c>
      <c r="B918" s="50" t="s">
        <v>312</v>
      </c>
      <c r="C918" s="51" t="s">
        <v>129</v>
      </c>
      <c r="D918" s="76" t="s">
        <v>1177</v>
      </c>
      <c r="E918" s="51" t="s">
        <v>673</v>
      </c>
      <c r="F918" s="51" t="s">
        <v>2035</v>
      </c>
      <c r="G918" s="76" t="s">
        <v>2101</v>
      </c>
      <c r="H918" s="76" t="s">
        <v>655</v>
      </c>
      <c r="I918" s="51"/>
      <c r="J918" s="52" t="s">
        <v>708</v>
      </c>
      <c r="K91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8" s="117">
        <f>ROUND(Tableau17[[#This Row],[LEN]]*7.27,0)</f>
        <v>87</v>
      </c>
      <c r="M918" s="117">
        <v>15</v>
      </c>
      <c r="N918" s="134" t="str">
        <f t="shared" si="6"/>
        <v>none</v>
      </c>
      <c r="O918" s="117">
        <f>LEN(Tableau17[[#This Row],[LABEL]])</f>
        <v>12</v>
      </c>
      <c r="P918" s="117">
        <v>15</v>
      </c>
      <c r="Q918" s="117" t="e">
        <f>ROUND(Tableau17[[#This Row],[LEN]]*#REF!+#REF!,0)</f>
        <v>#REF!</v>
      </c>
    </row>
    <row r="919" spans="1:17" s="97" customFormat="1" x14ac:dyDescent="0.25">
      <c r="A919" s="53" t="s">
        <v>550</v>
      </c>
      <c r="B919" s="54" t="s">
        <v>540</v>
      </c>
      <c r="C919" s="55" t="s">
        <v>131</v>
      </c>
      <c r="D919" s="77" t="s">
        <v>1177</v>
      </c>
      <c r="E919" s="55" t="s">
        <v>673</v>
      </c>
      <c r="F919" s="55" t="s">
        <v>2035</v>
      </c>
      <c r="G919" s="77" t="s">
        <v>2101</v>
      </c>
      <c r="H919" s="77" t="s">
        <v>570</v>
      </c>
      <c r="I919" s="55"/>
      <c r="J919" s="56" t="s">
        <v>708</v>
      </c>
      <c r="K91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19" s="118">
        <f>ROUND(Tableau17[[#This Row],[LEN]]*7.27,0)</f>
        <v>262</v>
      </c>
      <c r="M919" s="118">
        <v>15</v>
      </c>
      <c r="N919" s="135" t="str">
        <f t="shared" si="6"/>
        <v>none</v>
      </c>
      <c r="O919" s="118">
        <f>LEN(Tableau17[[#This Row],[LABEL]])</f>
        <v>36</v>
      </c>
      <c r="P919" s="118">
        <v>15</v>
      </c>
      <c r="Q919" s="118" t="e">
        <f>ROUND(Tableau17[[#This Row],[LEN]]*#REF!+#REF!,0)</f>
        <v>#REF!</v>
      </c>
    </row>
    <row r="920" spans="1:17" s="97" customFormat="1" x14ac:dyDescent="0.25">
      <c r="A920" s="53" t="s">
        <v>551</v>
      </c>
      <c r="B920" s="54" t="s">
        <v>540</v>
      </c>
      <c r="C920" s="55" t="s">
        <v>132</v>
      </c>
      <c r="D920" s="77" t="s">
        <v>1177</v>
      </c>
      <c r="E920" s="55" t="s">
        <v>673</v>
      </c>
      <c r="F920" s="55" t="s">
        <v>2035</v>
      </c>
      <c r="G920" s="77" t="s">
        <v>2101</v>
      </c>
      <c r="H920" s="77" t="s">
        <v>570</v>
      </c>
      <c r="I920" s="55"/>
      <c r="J920" s="56" t="s">
        <v>708</v>
      </c>
      <c r="K92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0" s="118">
        <f>ROUND(Tableau17[[#This Row],[LEN]]*7.27,0)</f>
        <v>298</v>
      </c>
      <c r="M920" s="118">
        <v>15</v>
      </c>
      <c r="N920" s="135" t="str">
        <f t="shared" si="6"/>
        <v>none</v>
      </c>
      <c r="O920" s="118">
        <f>LEN(Tableau17[[#This Row],[LABEL]])</f>
        <v>41</v>
      </c>
      <c r="P920" s="118">
        <v>15</v>
      </c>
      <c r="Q920" s="118" t="e">
        <f>ROUND(Tableau17[[#This Row],[LEN]]*#REF!+#REF!,0)</f>
        <v>#REF!</v>
      </c>
    </row>
    <row r="921" spans="1:17" s="97" customFormat="1" x14ac:dyDescent="0.25">
      <c r="A921" s="49" t="s">
        <v>541</v>
      </c>
      <c r="B921" s="50" t="s">
        <v>312</v>
      </c>
      <c r="C921" s="51" t="s">
        <v>546</v>
      </c>
      <c r="D921" s="76" t="s">
        <v>1177</v>
      </c>
      <c r="E921" s="51" t="s">
        <v>672</v>
      </c>
      <c r="F921" s="51" t="s">
        <v>1177</v>
      </c>
      <c r="G921" s="76" t="s">
        <v>2101</v>
      </c>
      <c r="H921" s="76" t="s">
        <v>655</v>
      </c>
      <c r="I921" s="51"/>
      <c r="J921" s="52" t="s">
        <v>708</v>
      </c>
      <c r="K92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1" s="117">
        <f>ROUND(Tableau17[[#This Row],[LEN]]*7.27,0)</f>
        <v>167</v>
      </c>
      <c r="M921" s="117">
        <v>15</v>
      </c>
      <c r="N921" s="134" t="str">
        <f t="shared" si="6"/>
        <v>none</v>
      </c>
      <c r="O921" s="117">
        <f>LEN(Tableau17[[#This Row],[LABEL]])</f>
        <v>23</v>
      </c>
      <c r="P921" s="117">
        <v>15</v>
      </c>
      <c r="Q921" s="117" t="e">
        <f>ROUND(Tableau17[[#This Row],[LEN]]*#REF!+#REF!,0)</f>
        <v>#REF!</v>
      </c>
    </row>
    <row r="922" spans="1:17" s="97" customFormat="1" x14ac:dyDescent="0.25">
      <c r="A922" s="53" t="s">
        <v>552</v>
      </c>
      <c r="B922" s="54" t="s">
        <v>541</v>
      </c>
      <c r="C922" s="55" t="s">
        <v>555</v>
      </c>
      <c r="D922" s="77" t="s">
        <v>1177</v>
      </c>
      <c r="E922" s="55" t="s">
        <v>672</v>
      </c>
      <c r="F922" s="55" t="s">
        <v>1177</v>
      </c>
      <c r="G922" s="77" t="s">
        <v>2101</v>
      </c>
      <c r="H922" s="77" t="s">
        <v>656</v>
      </c>
      <c r="I922" s="55"/>
      <c r="J922" s="56" t="s">
        <v>708</v>
      </c>
      <c r="K92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2" s="118">
        <f>ROUND(Tableau17[[#This Row],[LEN]]*7.27,0)</f>
        <v>356</v>
      </c>
      <c r="M922" s="118">
        <v>15</v>
      </c>
      <c r="N922" s="135" t="str">
        <f t="shared" si="6"/>
        <v>none</v>
      </c>
      <c r="O922" s="118">
        <f>LEN(Tableau17[[#This Row],[LABEL]])</f>
        <v>49</v>
      </c>
      <c r="P922" s="118">
        <v>15</v>
      </c>
      <c r="Q922" s="118" t="e">
        <f>ROUND(Tableau17[[#This Row],[LEN]]*#REF!+#REF!,0)</f>
        <v>#REF!</v>
      </c>
    </row>
    <row r="923" spans="1:17" s="97" customFormat="1" x14ac:dyDescent="0.25">
      <c r="A923" s="53" t="s">
        <v>553</v>
      </c>
      <c r="B923" s="54" t="s">
        <v>541</v>
      </c>
      <c r="C923" s="55" t="s">
        <v>556</v>
      </c>
      <c r="D923" s="77" t="s">
        <v>1177</v>
      </c>
      <c r="E923" s="55" t="s">
        <v>672</v>
      </c>
      <c r="F923" s="55" t="s">
        <v>1177</v>
      </c>
      <c r="G923" s="77" t="s">
        <v>2101</v>
      </c>
      <c r="H923" s="77" t="s">
        <v>654</v>
      </c>
      <c r="I923" s="55"/>
      <c r="J923" s="56" t="s">
        <v>708</v>
      </c>
      <c r="K92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3" s="118">
        <f>ROUND(Tableau17[[#This Row],[LEN]]*7.27,0)</f>
        <v>451</v>
      </c>
      <c r="M923" s="118">
        <v>15</v>
      </c>
      <c r="N923" s="135" t="str">
        <f t="shared" si="6"/>
        <v>none</v>
      </c>
      <c r="O923" s="118">
        <f>LEN(Tableau17[[#This Row],[LABEL]])</f>
        <v>62</v>
      </c>
      <c r="P923" s="118">
        <v>15</v>
      </c>
      <c r="Q923" s="118" t="e">
        <f>ROUND(Tableau17[[#This Row],[LEN]]*#REF!+#REF!,0)</f>
        <v>#REF!</v>
      </c>
    </row>
    <row r="924" spans="1:17" s="97" customFormat="1" x14ac:dyDescent="0.25">
      <c r="A924" s="53" t="s">
        <v>554</v>
      </c>
      <c r="B924" s="54" t="s">
        <v>541</v>
      </c>
      <c r="C924" s="55" t="s">
        <v>557</v>
      </c>
      <c r="D924" s="77" t="s">
        <v>1177</v>
      </c>
      <c r="E924" s="55" t="s">
        <v>672</v>
      </c>
      <c r="F924" s="55" t="s">
        <v>1177</v>
      </c>
      <c r="G924" s="77" t="s">
        <v>2101</v>
      </c>
      <c r="H924" s="77" t="s">
        <v>656</v>
      </c>
      <c r="I924" s="55"/>
      <c r="J924" s="56" t="s">
        <v>708</v>
      </c>
      <c r="K92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4" s="118">
        <f>ROUND(Tableau17[[#This Row],[LEN]]*7.27,0)</f>
        <v>240</v>
      </c>
      <c r="M924" s="118">
        <v>15</v>
      </c>
      <c r="N924" s="135" t="str">
        <f t="shared" si="6"/>
        <v>none</v>
      </c>
      <c r="O924" s="118">
        <f>LEN(Tableau17[[#This Row],[LABEL]])</f>
        <v>33</v>
      </c>
      <c r="P924" s="118">
        <v>15</v>
      </c>
      <c r="Q924" s="118" t="e">
        <f>ROUND(Tableau17[[#This Row],[LEN]]*#REF!+#REF!,0)</f>
        <v>#REF!</v>
      </c>
    </row>
    <row r="925" spans="1:17" s="97" customFormat="1" x14ac:dyDescent="0.25">
      <c r="A925" s="49" t="s">
        <v>542</v>
      </c>
      <c r="B925" s="50" t="s">
        <v>312</v>
      </c>
      <c r="C925" s="51" t="s">
        <v>547</v>
      </c>
      <c r="D925" s="76" t="s">
        <v>1177</v>
      </c>
      <c r="E925" s="51" t="s">
        <v>672</v>
      </c>
      <c r="F925" s="51" t="s">
        <v>1177</v>
      </c>
      <c r="G925" s="76" t="s">
        <v>2101</v>
      </c>
      <c r="H925" s="76" t="s">
        <v>655</v>
      </c>
      <c r="I925" s="51"/>
      <c r="J925" s="52" t="s">
        <v>708</v>
      </c>
      <c r="K92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5" s="117">
        <f>ROUND(Tableau17[[#This Row],[LEN]]*7.27,0)</f>
        <v>95</v>
      </c>
      <c r="M925" s="117">
        <v>15</v>
      </c>
      <c r="N925" s="134" t="str">
        <f t="shared" si="6"/>
        <v>none</v>
      </c>
      <c r="O925" s="117">
        <f>LEN(Tableau17[[#This Row],[LABEL]])</f>
        <v>13</v>
      </c>
      <c r="P925" s="117">
        <v>15</v>
      </c>
      <c r="Q925" s="117" t="e">
        <f>ROUND(Tableau17[[#This Row],[LEN]]*#REF!+#REF!,0)</f>
        <v>#REF!</v>
      </c>
    </row>
    <row r="926" spans="1:17" s="97" customFormat="1" x14ac:dyDescent="0.25">
      <c r="A926" s="53" t="s">
        <v>558</v>
      </c>
      <c r="B926" s="54" t="s">
        <v>542</v>
      </c>
      <c r="C926" s="55" t="s">
        <v>562</v>
      </c>
      <c r="D926" s="77" t="s">
        <v>1177</v>
      </c>
      <c r="E926" s="55" t="s">
        <v>672</v>
      </c>
      <c r="F926" s="55" t="s">
        <v>1177</v>
      </c>
      <c r="G926" s="77" t="s">
        <v>2101</v>
      </c>
      <c r="H926" s="77" t="s">
        <v>654</v>
      </c>
      <c r="I926" s="55"/>
      <c r="J926" s="56" t="s">
        <v>708</v>
      </c>
      <c r="K92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6" s="118">
        <f>ROUND(Tableau17[[#This Row],[LEN]]*7.27,0)</f>
        <v>58</v>
      </c>
      <c r="M926" s="118">
        <v>15</v>
      </c>
      <c r="N926" s="135" t="str">
        <f t="shared" si="6"/>
        <v>none</v>
      </c>
      <c r="O926" s="118">
        <f>LEN(Tableau17[[#This Row],[LABEL]])</f>
        <v>8</v>
      </c>
      <c r="P926" s="118">
        <v>15</v>
      </c>
      <c r="Q926" s="118" t="e">
        <f>ROUND(Tableau17[[#This Row],[LEN]]*#REF!+#REF!,0)</f>
        <v>#REF!</v>
      </c>
    </row>
    <row r="927" spans="1:17" s="97" customFormat="1" x14ac:dyDescent="0.25">
      <c r="A927" s="53" t="s">
        <v>559</v>
      </c>
      <c r="B927" s="54" t="s">
        <v>542</v>
      </c>
      <c r="C927" s="55" t="s">
        <v>563</v>
      </c>
      <c r="D927" s="77" t="s">
        <v>1177</v>
      </c>
      <c r="E927" s="55" t="s">
        <v>672</v>
      </c>
      <c r="F927" s="55" t="s">
        <v>1177</v>
      </c>
      <c r="G927" s="77" t="s">
        <v>2101</v>
      </c>
      <c r="H927" s="77" t="s">
        <v>654</v>
      </c>
      <c r="I927" s="55"/>
      <c r="J927" s="56" t="s">
        <v>708</v>
      </c>
      <c r="K92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7" s="118">
        <f>ROUND(Tableau17[[#This Row],[LEN]]*7.27,0)</f>
        <v>58</v>
      </c>
      <c r="M927" s="118">
        <v>15</v>
      </c>
      <c r="N927" s="135" t="str">
        <f t="shared" si="6"/>
        <v>none</v>
      </c>
      <c r="O927" s="118">
        <f>LEN(Tableau17[[#This Row],[LABEL]])</f>
        <v>8</v>
      </c>
      <c r="P927" s="118">
        <v>15</v>
      </c>
      <c r="Q927" s="118" t="e">
        <f>ROUND(Tableau17[[#This Row],[LEN]]*#REF!+#REF!,0)</f>
        <v>#REF!</v>
      </c>
    </row>
    <row r="928" spans="1:17" s="97" customFormat="1" x14ac:dyDescent="0.25">
      <c r="A928" s="53" t="s">
        <v>560</v>
      </c>
      <c r="B928" s="54" t="s">
        <v>542</v>
      </c>
      <c r="C928" s="55" t="s">
        <v>564</v>
      </c>
      <c r="D928" s="77" t="s">
        <v>1177</v>
      </c>
      <c r="E928" s="55" t="s">
        <v>672</v>
      </c>
      <c r="F928" s="55" t="s">
        <v>1177</v>
      </c>
      <c r="G928" s="77" t="s">
        <v>2101</v>
      </c>
      <c r="H928" s="77" t="s">
        <v>654</v>
      </c>
      <c r="I928" s="55"/>
      <c r="J928" s="56" t="s">
        <v>708</v>
      </c>
      <c r="K92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8" s="118">
        <f>ROUND(Tableau17[[#This Row],[LEN]]*7.27,0)</f>
        <v>58</v>
      </c>
      <c r="M928" s="118">
        <v>15</v>
      </c>
      <c r="N928" s="135" t="str">
        <f t="shared" si="6"/>
        <v>none</v>
      </c>
      <c r="O928" s="118">
        <f>LEN(Tableau17[[#This Row],[LABEL]])</f>
        <v>8</v>
      </c>
      <c r="P928" s="118">
        <v>15</v>
      </c>
      <c r="Q928" s="118" t="e">
        <f>ROUND(Tableau17[[#This Row],[LEN]]*#REF!+#REF!,0)</f>
        <v>#REF!</v>
      </c>
    </row>
    <row r="929" spans="1:17" s="97" customFormat="1" x14ac:dyDescent="0.25">
      <c r="A929" s="53" t="s">
        <v>561</v>
      </c>
      <c r="B929" s="54" t="s">
        <v>542</v>
      </c>
      <c r="C929" s="55" t="s">
        <v>565</v>
      </c>
      <c r="D929" s="77" t="s">
        <v>1177</v>
      </c>
      <c r="E929" s="55" t="s">
        <v>672</v>
      </c>
      <c r="F929" s="55" t="s">
        <v>1177</v>
      </c>
      <c r="G929" s="77" t="s">
        <v>2101</v>
      </c>
      <c r="H929" s="77" t="s">
        <v>654</v>
      </c>
      <c r="I929" s="55"/>
      <c r="J929" s="56" t="s">
        <v>708</v>
      </c>
      <c r="K92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29" s="118">
        <f>ROUND(Tableau17[[#This Row],[LEN]]*7.27,0)</f>
        <v>51</v>
      </c>
      <c r="M929" s="118">
        <v>15</v>
      </c>
      <c r="N929" s="135" t="str">
        <f t="shared" si="6"/>
        <v>none</v>
      </c>
      <c r="O929" s="118">
        <f>LEN(Tableau17[[#This Row],[LABEL]])</f>
        <v>7</v>
      </c>
      <c r="P929" s="118">
        <v>15</v>
      </c>
      <c r="Q929" s="118" t="e">
        <f>ROUND(Tableau17[[#This Row],[LEN]]*#REF!+#REF!,0)</f>
        <v>#REF!</v>
      </c>
    </row>
    <row r="930" spans="1:17" s="97" customFormat="1" x14ac:dyDescent="0.25">
      <c r="A930" s="53" t="s">
        <v>566</v>
      </c>
      <c r="B930" s="54" t="s">
        <v>542</v>
      </c>
      <c r="C930" s="55" t="s">
        <v>570</v>
      </c>
      <c r="D930" s="77" t="s">
        <v>1177</v>
      </c>
      <c r="E930" s="55" t="s">
        <v>672</v>
      </c>
      <c r="F930" s="55" t="s">
        <v>1177</v>
      </c>
      <c r="G930" s="77" t="s">
        <v>2101</v>
      </c>
      <c r="H930" s="77" t="s">
        <v>654</v>
      </c>
      <c r="I930" s="55"/>
      <c r="J930" s="56" t="s">
        <v>708</v>
      </c>
      <c r="K93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0" s="118">
        <f>ROUND(Tableau17[[#This Row],[LEN]]*7.27,0)</f>
        <v>44</v>
      </c>
      <c r="M930" s="118">
        <v>15</v>
      </c>
      <c r="N930" s="135" t="str">
        <f t="shared" si="6"/>
        <v>none</v>
      </c>
      <c r="O930" s="118">
        <f>LEN(Tableau17[[#This Row],[LABEL]])</f>
        <v>6</v>
      </c>
      <c r="P930" s="118">
        <v>15</v>
      </c>
      <c r="Q930" s="118" t="e">
        <f>ROUND(Tableau17[[#This Row],[LEN]]*#REF!+#REF!,0)</f>
        <v>#REF!</v>
      </c>
    </row>
    <row r="931" spans="1:17" s="97" customFormat="1" x14ac:dyDescent="0.25">
      <c r="A931" s="53" t="s">
        <v>567</v>
      </c>
      <c r="B931" s="54" t="s">
        <v>542</v>
      </c>
      <c r="C931" s="55" t="s">
        <v>571</v>
      </c>
      <c r="D931" s="77" t="s">
        <v>1177</v>
      </c>
      <c r="E931" s="55" t="s">
        <v>672</v>
      </c>
      <c r="F931" s="55" t="s">
        <v>1177</v>
      </c>
      <c r="G931" s="77" t="s">
        <v>2101</v>
      </c>
      <c r="H931" s="77" t="s">
        <v>654</v>
      </c>
      <c r="I931" s="55"/>
      <c r="J931" s="56" t="s">
        <v>708</v>
      </c>
      <c r="K93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1" s="118">
        <f>ROUND(Tableau17[[#This Row],[LEN]]*7.27,0)</f>
        <v>44</v>
      </c>
      <c r="M931" s="118">
        <v>15</v>
      </c>
      <c r="N931" s="135" t="str">
        <f t="shared" si="6"/>
        <v>none</v>
      </c>
      <c r="O931" s="118">
        <f>LEN(Tableau17[[#This Row],[LABEL]])</f>
        <v>6</v>
      </c>
      <c r="P931" s="118">
        <v>15</v>
      </c>
      <c r="Q931" s="118" t="e">
        <f>ROUND(Tableau17[[#This Row],[LEN]]*#REF!+#REF!,0)</f>
        <v>#REF!</v>
      </c>
    </row>
    <row r="932" spans="1:17" s="97" customFormat="1" x14ac:dyDescent="0.25">
      <c r="A932" s="53" t="s">
        <v>568</v>
      </c>
      <c r="B932" s="54" t="s">
        <v>542</v>
      </c>
      <c r="C932" s="55" t="s">
        <v>572</v>
      </c>
      <c r="D932" s="77" t="s">
        <v>1177</v>
      </c>
      <c r="E932" s="55" t="s">
        <v>672</v>
      </c>
      <c r="F932" s="55" t="s">
        <v>1177</v>
      </c>
      <c r="G932" s="77" t="s">
        <v>2101</v>
      </c>
      <c r="H932" s="77" t="s">
        <v>654</v>
      </c>
      <c r="I932" s="55"/>
      <c r="J932" s="56" t="s">
        <v>708</v>
      </c>
      <c r="K93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2" s="118">
        <f>ROUND(Tableau17[[#This Row],[LEN]]*7.27,0)</f>
        <v>95</v>
      </c>
      <c r="M932" s="118">
        <v>15</v>
      </c>
      <c r="N932" s="135" t="str">
        <f t="shared" si="6"/>
        <v>none</v>
      </c>
      <c r="O932" s="118">
        <f>LEN(Tableau17[[#This Row],[LABEL]])</f>
        <v>13</v>
      </c>
      <c r="P932" s="118">
        <v>15</v>
      </c>
      <c r="Q932" s="118" t="e">
        <f>ROUND(Tableau17[[#This Row],[LEN]]*#REF!+#REF!,0)</f>
        <v>#REF!</v>
      </c>
    </row>
    <row r="933" spans="1:17" s="97" customFormat="1" x14ac:dyDescent="0.25">
      <c r="A933" s="53" t="s">
        <v>569</v>
      </c>
      <c r="B933" s="54" t="s">
        <v>542</v>
      </c>
      <c r="C933" s="55" t="s">
        <v>573</v>
      </c>
      <c r="D933" s="77" t="s">
        <v>1177</v>
      </c>
      <c r="E933" s="55" t="s">
        <v>672</v>
      </c>
      <c r="F933" s="55" t="s">
        <v>1177</v>
      </c>
      <c r="G933" s="77" t="s">
        <v>2101</v>
      </c>
      <c r="H933" s="77" t="s">
        <v>654</v>
      </c>
      <c r="I933" s="55"/>
      <c r="J933" s="56" t="s">
        <v>708</v>
      </c>
      <c r="K93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3" s="118">
        <f>ROUND(Tableau17[[#This Row],[LEN]]*7.27,0)</f>
        <v>109</v>
      </c>
      <c r="M933" s="118">
        <v>15</v>
      </c>
      <c r="N933" s="135" t="str">
        <f t="shared" si="6"/>
        <v>none</v>
      </c>
      <c r="O933" s="118">
        <f>LEN(Tableau17[[#This Row],[LABEL]])</f>
        <v>15</v>
      </c>
      <c r="P933" s="118">
        <v>15</v>
      </c>
      <c r="Q933" s="118" t="e">
        <f>ROUND(Tableau17[[#This Row],[LEN]]*#REF!+#REF!,0)</f>
        <v>#REF!</v>
      </c>
    </row>
    <row r="934" spans="1:17" s="97" customFormat="1" x14ac:dyDescent="0.25">
      <c r="A934" s="49" t="s">
        <v>543</v>
      </c>
      <c r="B934" s="50" t="s">
        <v>312</v>
      </c>
      <c r="C934" s="51" t="s">
        <v>548</v>
      </c>
      <c r="D934" s="76" t="s">
        <v>1177</v>
      </c>
      <c r="E934" s="51" t="s">
        <v>672</v>
      </c>
      <c r="F934" s="51" t="s">
        <v>1177</v>
      </c>
      <c r="G934" s="76" t="s">
        <v>2101</v>
      </c>
      <c r="H934" s="76" t="s">
        <v>655</v>
      </c>
      <c r="I934" s="51"/>
      <c r="J934" s="52" t="s">
        <v>708</v>
      </c>
      <c r="K93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4" s="117">
        <f>ROUND(Tableau17[[#This Row],[LEN]]*7.27,0)</f>
        <v>218</v>
      </c>
      <c r="M934" s="117">
        <v>15</v>
      </c>
      <c r="N934" s="134" t="str">
        <f t="shared" si="6"/>
        <v>none</v>
      </c>
      <c r="O934" s="117">
        <f>LEN(Tableau17[[#This Row],[LABEL]])</f>
        <v>30</v>
      </c>
      <c r="P934" s="117">
        <v>15</v>
      </c>
      <c r="Q934" s="117" t="e">
        <f>ROUND(Tableau17[[#This Row],[LEN]]*#REF!+#REF!,0)</f>
        <v>#REF!</v>
      </c>
    </row>
    <row r="935" spans="1:17" s="97" customFormat="1" x14ac:dyDescent="0.25">
      <c r="A935" s="53" t="s">
        <v>574</v>
      </c>
      <c r="B935" s="54" t="s">
        <v>543</v>
      </c>
      <c r="C935" s="55" t="s">
        <v>576</v>
      </c>
      <c r="D935" s="77" t="s">
        <v>1177</v>
      </c>
      <c r="E935" s="55" t="s">
        <v>672</v>
      </c>
      <c r="F935" s="55" t="s">
        <v>1177</v>
      </c>
      <c r="G935" s="77" t="s">
        <v>2101</v>
      </c>
      <c r="H935" s="77" t="s">
        <v>655</v>
      </c>
      <c r="I935" s="55"/>
      <c r="J935" s="56" t="s">
        <v>708</v>
      </c>
      <c r="K93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5" s="118">
        <f>ROUND(Tableau17[[#This Row],[LEN]]*7.27,0)</f>
        <v>65</v>
      </c>
      <c r="M935" s="118">
        <v>15</v>
      </c>
      <c r="N935" s="135" t="str">
        <f t="shared" si="6"/>
        <v>none</v>
      </c>
      <c r="O935" s="118">
        <f>LEN(Tableau17[[#This Row],[LABEL]])</f>
        <v>9</v>
      </c>
      <c r="P935" s="118">
        <v>15</v>
      </c>
      <c r="Q935" s="118" t="e">
        <f>ROUND(Tableau17[[#This Row],[LEN]]*#REF!+#REF!,0)</f>
        <v>#REF!</v>
      </c>
    </row>
    <row r="936" spans="1:17" s="97" customFormat="1" x14ac:dyDescent="0.25">
      <c r="A936" s="57" t="s">
        <v>580</v>
      </c>
      <c r="B936" s="58" t="s">
        <v>574</v>
      </c>
      <c r="C936" s="59" t="s">
        <v>578</v>
      </c>
      <c r="D936" s="78" t="s">
        <v>1177</v>
      </c>
      <c r="E936" s="59" t="s">
        <v>672</v>
      </c>
      <c r="F936" s="59" t="s">
        <v>1177</v>
      </c>
      <c r="G936" s="78" t="s">
        <v>2101</v>
      </c>
      <c r="H936" s="78" t="s">
        <v>654</v>
      </c>
      <c r="I936" s="59"/>
      <c r="J936" s="60" t="s">
        <v>708</v>
      </c>
      <c r="K936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6" s="119">
        <f>ROUND(Tableau17[[#This Row],[LEN]]*7.27,0)</f>
        <v>73</v>
      </c>
      <c r="M936" s="119">
        <v>15</v>
      </c>
      <c r="N936" s="136" t="str">
        <f t="shared" si="6"/>
        <v>none</v>
      </c>
      <c r="O936" s="119">
        <f>LEN(Tableau17[[#This Row],[LABEL]])</f>
        <v>10</v>
      </c>
      <c r="P936" s="119">
        <v>15</v>
      </c>
      <c r="Q936" s="119" t="e">
        <f>ROUND(Tableau17[[#This Row],[LEN]]*#REF!+#REF!,0)</f>
        <v>#REF!</v>
      </c>
    </row>
    <row r="937" spans="1:17" s="97" customFormat="1" x14ac:dyDescent="0.25">
      <c r="A937" s="57" t="s">
        <v>581</v>
      </c>
      <c r="B937" s="58" t="s">
        <v>574</v>
      </c>
      <c r="C937" s="59" t="s">
        <v>579</v>
      </c>
      <c r="D937" s="78" t="s">
        <v>1177</v>
      </c>
      <c r="E937" s="59" t="s">
        <v>672</v>
      </c>
      <c r="F937" s="59" t="s">
        <v>1177</v>
      </c>
      <c r="G937" s="78" t="s">
        <v>2101</v>
      </c>
      <c r="H937" s="78" t="s">
        <v>654</v>
      </c>
      <c r="I937" s="59"/>
      <c r="J937" s="60" t="s">
        <v>708</v>
      </c>
      <c r="K937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7" s="119">
        <f>ROUND(Tableau17[[#This Row],[LEN]]*7.27,0)</f>
        <v>153</v>
      </c>
      <c r="M937" s="119">
        <v>15</v>
      </c>
      <c r="N937" s="136" t="str">
        <f t="shared" si="6"/>
        <v>none</v>
      </c>
      <c r="O937" s="119">
        <f>LEN(Tableau17[[#This Row],[LABEL]])</f>
        <v>21</v>
      </c>
      <c r="P937" s="119">
        <v>15</v>
      </c>
      <c r="Q937" s="119" t="e">
        <f>ROUND(Tableau17[[#This Row],[LEN]]*#REF!+#REF!,0)</f>
        <v>#REF!</v>
      </c>
    </row>
    <row r="938" spans="1:17" s="97" customFormat="1" x14ac:dyDescent="0.25">
      <c r="A938" s="53" t="s">
        <v>575</v>
      </c>
      <c r="B938" s="54" t="s">
        <v>543</v>
      </c>
      <c r="C938" s="55" t="s">
        <v>577</v>
      </c>
      <c r="D938" s="77" t="s">
        <v>1177</v>
      </c>
      <c r="E938" s="55" t="s">
        <v>672</v>
      </c>
      <c r="F938" s="55" t="s">
        <v>1177</v>
      </c>
      <c r="G938" s="77" t="s">
        <v>2101</v>
      </c>
      <c r="H938" s="77" t="s">
        <v>655</v>
      </c>
      <c r="I938" s="55"/>
      <c r="J938" s="56" t="s">
        <v>708</v>
      </c>
      <c r="K93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8" s="118">
        <f>ROUND(Tableau17[[#This Row],[LEN]]*7.27,0)</f>
        <v>73</v>
      </c>
      <c r="M938" s="118">
        <v>15</v>
      </c>
      <c r="N938" s="135" t="str">
        <f t="shared" si="6"/>
        <v>none</v>
      </c>
      <c r="O938" s="118">
        <f>LEN(Tableau17[[#This Row],[LABEL]])</f>
        <v>10</v>
      </c>
      <c r="P938" s="118">
        <v>15</v>
      </c>
      <c r="Q938" s="118" t="e">
        <f>ROUND(Tableau17[[#This Row],[LEN]]*#REF!+#REF!,0)</f>
        <v>#REF!</v>
      </c>
    </row>
    <row r="939" spans="1:17" s="97" customFormat="1" x14ac:dyDescent="0.25">
      <c r="A939" s="57" t="s">
        <v>582</v>
      </c>
      <c r="B939" s="58" t="s">
        <v>575</v>
      </c>
      <c r="C939" s="59" t="s">
        <v>586</v>
      </c>
      <c r="D939" s="78" t="s">
        <v>1177</v>
      </c>
      <c r="E939" s="59" t="s">
        <v>672</v>
      </c>
      <c r="F939" s="59" t="s">
        <v>1177</v>
      </c>
      <c r="G939" s="78" t="s">
        <v>2101</v>
      </c>
      <c r="H939" s="78" t="s">
        <v>654</v>
      </c>
      <c r="I939" s="59"/>
      <c r="J939" s="60" t="s">
        <v>708</v>
      </c>
      <c r="K939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39" s="119">
        <f>ROUND(Tableau17[[#This Row],[LEN]]*7.27,0)</f>
        <v>189</v>
      </c>
      <c r="M939" s="119">
        <v>15</v>
      </c>
      <c r="N939" s="136" t="str">
        <f t="shared" si="6"/>
        <v>none</v>
      </c>
      <c r="O939" s="119">
        <f>LEN(Tableau17[[#This Row],[LABEL]])</f>
        <v>26</v>
      </c>
      <c r="P939" s="119">
        <v>15</v>
      </c>
      <c r="Q939" s="119" t="e">
        <f>ROUND(Tableau17[[#This Row],[LEN]]*#REF!+#REF!,0)</f>
        <v>#REF!</v>
      </c>
    </row>
    <row r="940" spans="1:17" s="97" customFormat="1" x14ac:dyDescent="0.25">
      <c r="A940" s="57" t="s">
        <v>583</v>
      </c>
      <c r="B940" s="58" t="s">
        <v>575</v>
      </c>
      <c r="C940" s="59" t="s">
        <v>587</v>
      </c>
      <c r="D940" s="78" t="s">
        <v>1177</v>
      </c>
      <c r="E940" s="59" t="s">
        <v>672</v>
      </c>
      <c r="F940" s="59" t="s">
        <v>1177</v>
      </c>
      <c r="G940" s="78" t="s">
        <v>2101</v>
      </c>
      <c r="H940" s="78" t="s">
        <v>654</v>
      </c>
      <c r="I940" s="59"/>
      <c r="J940" s="60" t="s">
        <v>708</v>
      </c>
      <c r="K940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0" s="119">
        <f>ROUND(Tableau17[[#This Row],[LEN]]*7.27,0)</f>
        <v>73</v>
      </c>
      <c r="M940" s="119">
        <v>15</v>
      </c>
      <c r="N940" s="136" t="str">
        <f t="shared" si="6"/>
        <v>none</v>
      </c>
      <c r="O940" s="119">
        <f>LEN(Tableau17[[#This Row],[LABEL]])</f>
        <v>10</v>
      </c>
      <c r="P940" s="119">
        <v>15</v>
      </c>
      <c r="Q940" s="119" t="e">
        <f>ROUND(Tableau17[[#This Row],[LEN]]*#REF!+#REF!,0)</f>
        <v>#REF!</v>
      </c>
    </row>
    <row r="941" spans="1:17" s="97" customFormat="1" x14ac:dyDescent="0.25">
      <c r="A941" s="57" t="s">
        <v>584</v>
      </c>
      <c r="B941" s="58" t="s">
        <v>575</v>
      </c>
      <c r="C941" s="59" t="s">
        <v>588</v>
      </c>
      <c r="D941" s="78" t="s">
        <v>1177</v>
      </c>
      <c r="E941" s="59" t="s">
        <v>672</v>
      </c>
      <c r="F941" s="59" t="s">
        <v>1177</v>
      </c>
      <c r="G941" s="78" t="s">
        <v>2101</v>
      </c>
      <c r="H941" s="78" t="s">
        <v>654</v>
      </c>
      <c r="I941" s="59"/>
      <c r="J941" s="60" t="s">
        <v>708</v>
      </c>
      <c r="K941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1" s="119">
        <f>ROUND(Tableau17[[#This Row],[LEN]]*7.27,0)</f>
        <v>65</v>
      </c>
      <c r="M941" s="119">
        <v>15</v>
      </c>
      <c r="N941" s="136" t="str">
        <f t="shared" si="6"/>
        <v>none</v>
      </c>
      <c r="O941" s="119">
        <f>LEN(Tableau17[[#This Row],[LABEL]])</f>
        <v>9</v>
      </c>
      <c r="P941" s="119">
        <v>15</v>
      </c>
      <c r="Q941" s="119" t="e">
        <f>ROUND(Tableau17[[#This Row],[LEN]]*#REF!+#REF!,0)</f>
        <v>#REF!</v>
      </c>
    </row>
    <row r="942" spans="1:17" s="97" customFormat="1" x14ac:dyDescent="0.25">
      <c r="A942" s="57" t="s">
        <v>585</v>
      </c>
      <c r="B942" s="58" t="s">
        <v>575</v>
      </c>
      <c r="C942" s="59" t="s">
        <v>589</v>
      </c>
      <c r="D942" s="78" t="s">
        <v>1177</v>
      </c>
      <c r="E942" s="59" t="s">
        <v>672</v>
      </c>
      <c r="F942" s="59" t="s">
        <v>1177</v>
      </c>
      <c r="G942" s="78" t="s">
        <v>2101</v>
      </c>
      <c r="H942" s="78" t="s">
        <v>654</v>
      </c>
      <c r="I942" s="59"/>
      <c r="J942" s="60" t="s">
        <v>708</v>
      </c>
      <c r="K942" s="60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2" s="119">
        <f>ROUND(Tableau17[[#This Row],[LEN]]*7.27,0)</f>
        <v>145</v>
      </c>
      <c r="M942" s="119">
        <v>15</v>
      </c>
      <c r="N942" s="136" t="str">
        <f t="shared" si="6"/>
        <v>none</v>
      </c>
      <c r="O942" s="119">
        <f>LEN(Tableau17[[#This Row],[LABEL]])</f>
        <v>20</v>
      </c>
      <c r="P942" s="119">
        <v>15</v>
      </c>
      <c r="Q942" s="119" t="e">
        <f>ROUND(Tableau17[[#This Row],[LEN]]*#REF!+#REF!,0)</f>
        <v>#REF!</v>
      </c>
    </row>
    <row r="943" spans="1:17" s="97" customFormat="1" x14ac:dyDescent="0.25">
      <c r="A943" s="49" t="s">
        <v>544</v>
      </c>
      <c r="B943" s="50" t="s">
        <v>312</v>
      </c>
      <c r="C943" s="51" t="s">
        <v>549</v>
      </c>
      <c r="D943" s="76" t="s">
        <v>1177</v>
      </c>
      <c r="E943" s="51" t="s">
        <v>673</v>
      </c>
      <c r="F943" s="51" t="s">
        <v>1704</v>
      </c>
      <c r="G943" s="76" t="s">
        <v>2101</v>
      </c>
      <c r="H943" s="76" t="s">
        <v>655</v>
      </c>
      <c r="I943" s="51"/>
      <c r="J943" s="52" t="s">
        <v>708</v>
      </c>
      <c r="K94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3" s="117">
        <f>ROUND(Tableau17[[#This Row],[LEN]]*7.27,0)</f>
        <v>145</v>
      </c>
      <c r="M943" s="117">
        <v>15</v>
      </c>
      <c r="N943" s="134" t="str">
        <f t="shared" si="6"/>
        <v>none</v>
      </c>
      <c r="O943" s="117">
        <f>LEN(Tableau17[[#This Row],[LABEL]])</f>
        <v>20</v>
      </c>
      <c r="P943" s="117">
        <v>15</v>
      </c>
      <c r="Q943" s="117" t="e">
        <f>ROUND(Tableau17[[#This Row],[LEN]]*#REF!+#REF!,0)</f>
        <v>#REF!</v>
      </c>
    </row>
    <row r="944" spans="1:17" s="97" customFormat="1" x14ac:dyDescent="0.25">
      <c r="A944" s="53" t="s">
        <v>593</v>
      </c>
      <c r="B944" s="54" t="s">
        <v>544</v>
      </c>
      <c r="C944" s="55" t="s">
        <v>590</v>
      </c>
      <c r="D944" s="77" t="s">
        <v>1177</v>
      </c>
      <c r="E944" s="55" t="s">
        <v>673</v>
      </c>
      <c r="F944" s="55" t="s">
        <v>1704</v>
      </c>
      <c r="G944" s="77" t="s">
        <v>2101</v>
      </c>
      <c r="H944" s="77" t="s">
        <v>570</v>
      </c>
      <c r="I944" s="55"/>
      <c r="J944" s="56" t="s">
        <v>708</v>
      </c>
      <c r="K94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4" s="118">
        <f>ROUND(Tableau17[[#This Row],[LEN]]*7.27,0)</f>
        <v>102</v>
      </c>
      <c r="M944" s="118">
        <v>15</v>
      </c>
      <c r="N944" s="135" t="str">
        <f t="shared" si="6"/>
        <v>none</v>
      </c>
      <c r="O944" s="118">
        <f>LEN(Tableau17[[#This Row],[LABEL]])</f>
        <v>14</v>
      </c>
      <c r="P944" s="118">
        <v>15</v>
      </c>
      <c r="Q944" s="118" t="e">
        <f>ROUND(Tableau17[[#This Row],[LEN]]*#REF!+#REF!,0)</f>
        <v>#REF!</v>
      </c>
    </row>
    <row r="945" spans="1:17" s="97" customFormat="1" x14ac:dyDescent="0.25">
      <c r="A945" s="53" t="s">
        <v>594</v>
      </c>
      <c r="B945" s="54" t="s">
        <v>544</v>
      </c>
      <c r="C945" s="55" t="s">
        <v>591</v>
      </c>
      <c r="D945" s="77" t="s">
        <v>1177</v>
      </c>
      <c r="E945" s="55" t="s">
        <v>673</v>
      </c>
      <c r="F945" s="55" t="s">
        <v>1704</v>
      </c>
      <c r="G945" s="77" t="s">
        <v>2101</v>
      </c>
      <c r="H945" s="77" t="s">
        <v>570</v>
      </c>
      <c r="I945" s="55"/>
      <c r="J945" s="56" t="s">
        <v>708</v>
      </c>
      <c r="K94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5" s="118">
        <f>ROUND(Tableau17[[#This Row],[LEN]]*7.27,0)</f>
        <v>262</v>
      </c>
      <c r="M945" s="118">
        <v>15</v>
      </c>
      <c r="N945" s="135" t="str">
        <f t="shared" si="6"/>
        <v>none</v>
      </c>
      <c r="O945" s="118">
        <f>LEN(Tableau17[[#This Row],[LABEL]])</f>
        <v>36</v>
      </c>
      <c r="P945" s="118">
        <v>15</v>
      </c>
      <c r="Q945" s="118" t="e">
        <f>ROUND(Tableau17[[#This Row],[LEN]]*#REF!+#REF!,0)</f>
        <v>#REF!</v>
      </c>
    </row>
    <row r="946" spans="1:17" s="97" customFormat="1" x14ac:dyDescent="0.25">
      <c r="A946" s="53" t="s">
        <v>595</v>
      </c>
      <c r="B946" s="54" t="s">
        <v>544</v>
      </c>
      <c r="C946" s="55" t="s">
        <v>592</v>
      </c>
      <c r="D946" s="77" t="s">
        <v>1177</v>
      </c>
      <c r="E946" s="55" t="s">
        <v>673</v>
      </c>
      <c r="F946" s="55" t="s">
        <v>1704</v>
      </c>
      <c r="G946" s="77" t="s">
        <v>2101</v>
      </c>
      <c r="H946" s="77" t="s">
        <v>570</v>
      </c>
      <c r="I946" s="55"/>
      <c r="J946" s="56" t="s">
        <v>708</v>
      </c>
      <c r="K94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6" s="118">
        <f>ROUND(Tableau17[[#This Row],[LEN]]*7.27,0)</f>
        <v>189</v>
      </c>
      <c r="M946" s="118">
        <v>15</v>
      </c>
      <c r="N946" s="135" t="str">
        <f t="shared" si="6"/>
        <v>none</v>
      </c>
      <c r="O946" s="118">
        <f>LEN(Tableau17[[#This Row],[LABEL]])</f>
        <v>26</v>
      </c>
      <c r="P946" s="118">
        <v>15</v>
      </c>
      <c r="Q946" s="118" t="e">
        <f>ROUND(Tableau17[[#This Row],[LEN]]*#REF!+#REF!,0)</f>
        <v>#REF!</v>
      </c>
    </row>
    <row r="947" spans="1:17" s="97" customFormat="1" x14ac:dyDescent="0.25">
      <c r="A947" s="53" t="s">
        <v>596</v>
      </c>
      <c r="B947" s="54" t="s">
        <v>544</v>
      </c>
      <c r="C947" s="55" t="s">
        <v>597</v>
      </c>
      <c r="D947" s="77" t="s">
        <v>1177</v>
      </c>
      <c r="E947" s="55" t="s">
        <v>673</v>
      </c>
      <c r="F947" s="55" t="s">
        <v>1704</v>
      </c>
      <c r="G947" s="77" t="s">
        <v>2101</v>
      </c>
      <c r="H947" s="77" t="s">
        <v>570</v>
      </c>
      <c r="I947" s="55"/>
      <c r="J947" s="56" t="s">
        <v>708</v>
      </c>
      <c r="K94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7" s="118">
        <f>ROUND(Tableau17[[#This Row],[LEN]]*7.27,0)</f>
        <v>465</v>
      </c>
      <c r="M947" s="118">
        <v>15</v>
      </c>
      <c r="N947" s="135" t="str">
        <f t="shared" si="6"/>
        <v>none</v>
      </c>
      <c r="O947" s="118">
        <f>LEN(Tableau17[[#This Row],[LABEL]])</f>
        <v>64</v>
      </c>
      <c r="P947" s="118">
        <v>15</v>
      </c>
      <c r="Q947" s="118" t="e">
        <f>ROUND(Tableau17[[#This Row],[LEN]]*#REF!+#REF!,0)</f>
        <v>#REF!</v>
      </c>
    </row>
    <row r="948" spans="1:17" s="97" customFormat="1" x14ac:dyDescent="0.25">
      <c r="A948" s="49" t="s">
        <v>545</v>
      </c>
      <c r="B948" s="50" t="s">
        <v>312</v>
      </c>
      <c r="C948" s="51" t="s">
        <v>598</v>
      </c>
      <c r="D948" s="76" t="s">
        <v>1177</v>
      </c>
      <c r="E948" s="51" t="s">
        <v>673</v>
      </c>
      <c r="F948" s="51" t="s">
        <v>2035</v>
      </c>
      <c r="G948" s="76" t="s">
        <v>2101</v>
      </c>
      <c r="H948" s="76" t="s">
        <v>654</v>
      </c>
      <c r="I948" s="51"/>
      <c r="J948" s="52" t="s">
        <v>708</v>
      </c>
      <c r="K94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48" s="117">
        <f>ROUND(Tableau17[[#This Row],[LEN]]*7.27,0)</f>
        <v>553</v>
      </c>
      <c r="M948" s="117">
        <v>15</v>
      </c>
      <c r="N948" s="134" t="str">
        <f t="shared" si="6"/>
        <v>none</v>
      </c>
      <c r="O948" s="117">
        <f>LEN(Tableau17[[#This Row],[LABEL]])</f>
        <v>76</v>
      </c>
      <c r="P948" s="117">
        <v>15</v>
      </c>
      <c r="Q948" s="117" t="e">
        <f>ROUND(Tableau17[[#This Row],[LEN]]*#REF!+#REF!,0)</f>
        <v>#REF!</v>
      </c>
    </row>
    <row r="949" spans="1:17" s="273" customFormat="1" x14ac:dyDescent="0.25">
      <c r="A949" s="351" t="s">
        <v>313</v>
      </c>
      <c r="B949" s="352" t="s">
        <v>209</v>
      </c>
      <c r="C949" s="353" t="s">
        <v>10</v>
      </c>
      <c r="D949" s="354" t="s">
        <v>1177</v>
      </c>
      <c r="E949" s="353" t="s">
        <v>673</v>
      </c>
      <c r="F949" s="353" t="s">
        <v>1177</v>
      </c>
      <c r="G949" s="354" t="s">
        <v>2101</v>
      </c>
      <c r="H949" s="354" t="str">
        <f>IFERROR(IF(SEARCH(".00.00.00.00.00",Tableau17[[#This Row],[name]],1)=7,"Division",""),"")</f>
        <v>Division</v>
      </c>
      <c r="I949" s="353"/>
      <c r="J949" s="355" t="s">
        <v>719</v>
      </c>
      <c r="K949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49" s="356">
        <f>ROUND(Tableau17[[#This Row],[LEN]]*7.27,0)</f>
        <v>109</v>
      </c>
      <c r="M949" s="356">
        <v>15</v>
      </c>
      <c r="N949" s="357" t="str">
        <f t="shared" si="6"/>
        <v>new</v>
      </c>
      <c r="O949" s="356">
        <f>LEN(Tableau17[[#This Row],[LABEL]])</f>
        <v>15</v>
      </c>
      <c r="P949" s="356">
        <v>15</v>
      </c>
      <c r="Q949" s="356" t="e">
        <f>ROUND(Tableau17[[#This Row],[LEN]]*#REF!+#REF!,0)</f>
        <v>#REF!</v>
      </c>
    </row>
    <row r="950" spans="1:17" s="97" customFormat="1" x14ac:dyDescent="0.25">
      <c r="A950" s="49" t="s">
        <v>1722</v>
      </c>
      <c r="B950" s="50" t="s">
        <v>313</v>
      </c>
      <c r="C950" s="51" t="s">
        <v>128</v>
      </c>
      <c r="D950" s="76" t="s">
        <v>1177</v>
      </c>
      <c r="E950" s="51" t="s">
        <v>669</v>
      </c>
      <c r="F950" s="51" t="s">
        <v>2029</v>
      </c>
      <c r="G950" s="76" t="s">
        <v>2101</v>
      </c>
      <c r="H950" s="76" t="s">
        <v>570</v>
      </c>
      <c r="I950" s="51"/>
      <c r="J950" s="52" t="s">
        <v>708</v>
      </c>
      <c r="K95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0" s="117">
        <f>ROUND(Tableau17[[#This Row],[LEN]]*7.27,0)</f>
        <v>182</v>
      </c>
      <c r="M950" s="117">
        <v>15</v>
      </c>
      <c r="N950" s="134" t="str">
        <f t="shared" si="6"/>
        <v>none</v>
      </c>
      <c r="O950" s="117">
        <f>LEN(Tableau17[[#This Row],[LABEL]])</f>
        <v>25</v>
      </c>
      <c r="P950" s="117">
        <v>15</v>
      </c>
      <c r="Q950" s="117" t="e">
        <f>ROUND(Tableau17[[#This Row],[LEN]]*#REF!+#REF!,0)</f>
        <v>#REF!</v>
      </c>
    </row>
    <row r="951" spans="1:17" s="97" customFormat="1" x14ac:dyDescent="0.25">
      <c r="A951" s="49" t="s">
        <v>1723</v>
      </c>
      <c r="B951" s="50" t="s">
        <v>313</v>
      </c>
      <c r="C951" s="51" t="s">
        <v>129</v>
      </c>
      <c r="D951" s="76" t="s">
        <v>1177</v>
      </c>
      <c r="E951" s="51" t="s">
        <v>673</v>
      </c>
      <c r="F951" s="51" t="s">
        <v>2035</v>
      </c>
      <c r="G951" s="76" t="s">
        <v>2101</v>
      </c>
      <c r="H951" s="76" t="s">
        <v>655</v>
      </c>
      <c r="I951" s="51"/>
      <c r="J951" s="52" t="s">
        <v>708</v>
      </c>
      <c r="K95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1" s="117">
        <f>ROUND(Tableau17[[#This Row],[LEN]]*7.27,0)</f>
        <v>87</v>
      </c>
      <c r="M951" s="117">
        <v>15</v>
      </c>
      <c r="N951" s="134" t="str">
        <f t="shared" si="6"/>
        <v>none</v>
      </c>
      <c r="O951" s="117">
        <f>LEN(Tableau17[[#This Row],[LABEL]])</f>
        <v>12</v>
      </c>
      <c r="P951" s="117">
        <v>15</v>
      </c>
      <c r="Q951" s="117" t="e">
        <f>ROUND(Tableau17[[#This Row],[LEN]]*#REF!+#REF!,0)</f>
        <v>#REF!</v>
      </c>
    </row>
    <row r="952" spans="1:17" s="97" customFormat="1" x14ac:dyDescent="0.25">
      <c r="A952" s="53" t="s">
        <v>1728</v>
      </c>
      <c r="B952" s="54" t="s">
        <v>1723</v>
      </c>
      <c r="C952" s="55" t="s">
        <v>131</v>
      </c>
      <c r="D952" s="77" t="s">
        <v>1177</v>
      </c>
      <c r="E952" s="55" t="s">
        <v>673</v>
      </c>
      <c r="F952" s="55" t="s">
        <v>2035</v>
      </c>
      <c r="G952" s="77" t="s">
        <v>2101</v>
      </c>
      <c r="H952" s="77" t="s">
        <v>570</v>
      </c>
      <c r="I952" s="55"/>
      <c r="J952" s="56" t="s">
        <v>708</v>
      </c>
      <c r="K95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2" s="118">
        <f>ROUND(Tableau17[[#This Row],[LEN]]*7.27,0)</f>
        <v>262</v>
      </c>
      <c r="M952" s="118">
        <v>15</v>
      </c>
      <c r="N952" s="135" t="str">
        <f t="shared" si="6"/>
        <v>none</v>
      </c>
      <c r="O952" s="118">
        <f>LEN(Tableau17[[#This Row],[LABEL]])</f>
        <v>36</v>
      </c>
      <c r="P952" s="118">
        <v>15</v>
      </c>
      <c r="Q952" s="118" t="e">
        <f>ROUND(Tableau17[[#This Row],[LEN]]*#REF!+#REF!,0)</f>
        <v>#REF!</v>
      </c>
    </row>
    <row r="953" spans="1:17" s="97" customFormat="1" x14ac:dyDescent="0.25">
      <c r="A953" s="53" t="s">
        <v>1729</v>
      </c>
      <c r="B953" s="54" t="s">
        <v>1723</v>
      </c>
      <c r="C953" s="55" t="s">
        <v>132</v>
      </c>
      <c r="D953" s="77" t="s">
        <v>1177</v>
      </c>
      <c r="E953" s="55" t="s">
        <v>673</v>
      </c>
      <c r="F953" s="55" t="s">
        <v>2035</v>
      </c>
      <c r="G953" s="77" t="s">
        <v>2101</v>
      </c>
      <c r="H953" s="77" t="s">
        <v>570</v>
      </c>
      <c r="I953" s="55"/>
      <c r="J953" s="56" t="s">
        <v>708</v>
      </c>
      <c r="K95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3" s="118">
        <f>ROUND(Tableau17[[#This Row],[LEN]]*7.27,0)</f>
        <v>298</v>
      </c>
      <c r="M953" s="118">
        <v>15</v>
      </c>
      <c r="N953" s="135" t="str">
        <f t="shared" ref="N953:N1202" si="7">IF(J953="javascript:void(0)","none","new")</f>
        <v>none</v>
      </c>
      <c r="O953" s="118">
        <f>LEN(Tableau17[[#This Row],[LABEL]])</f>
        <v>41</v>
      </c>
      <c r="P953" s="118">
        <v>15</v>
      </c>
      <c r="Q953" s="118" t="e">
        <f>ROUND(Tableau17[[#This Row],[LEN]]*#REF!+#REF!,0)</f>
        <v>#REF!</v>
      </c>
    </row>
    <row r="954" spans="1:17" s="97" customFormat="1" x14ac:dyDescent="0.25">
      <c r="A954" s="49" t="s">
        <v>1724</v>
      </c>
      <c r="B954" s="50" t="s">
        <v>313</v>
      </c>
      <c r="C954" s="51" t="s">
        <v>10</v>
      </c>
      <c r="D954" s="76" t="s">
        <v>1177</v>
      </c>
      <c r="E954" s="51" t="s">
        <v>673</v>
      </c>
      <c r="F954" s="51" t="s">
        <v>1177</v>
      </c>
      <c r="G954" s="76" t="s">
        <v>2101</v>
      </c>
      <c r="H954" s="76" t="s">
        <v>655</v>
      </c>
      <c r="I954" s="51"/>
      <c r="J954" s="52" t="s">
        <v>708</v>
      </c>
      <c r="K95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4" s="117">
        <f>ROUND(Tableau17[[#This Row],[LEN]]*7.27,0)</f>
        <v>109</v>
      </c>
      <c r="M954" s="117">
        <v>15</v>
      </c>
      <c r="N954" s="134" t="str">
        <f t="shared" si="7"/>
        <v>none</v>
      </c>
      <c r="O954" s="117">
        <f>LEN(Tableau17[[#This Row],[LABEL]])</f>
        <v>15</v>
      </c>
      <c r="P954" s="117">
        <v>15</v>
      </c>
      <c r="Q954" s="117" t="e">
        <f>ROUND(Tableau17[[#This Row],[LEN]]*#REF!+#REF!,0)</f>
        <v>#REF!</v>
      </c>
    </row>
    <row r="955" spans="1:17" s="97" customFormat="1" x14ac:dyDescent="0.25">
      <c r="A955" s="53" t="s">
        <v>1730</v>
      </c>
      <c r="B955" s="54" t="s">
        <v>1724</v>
      </c>
      <c r="C955" s="55" t="s">
        <v>1733</v>
      </c>
      <c r="D955" s="77" t="s">
        <v>1177</v>
      </c>
      <c r="E955" s="55" t="s">
        <v>673</v>
      </c>
      <c r="F955" s="55" t="s">
        <v>1177</v>
      </c>
      <c r="G955" s="77" t="s">
        <v>2101</v>
      </c>
      <c r="H955" s="77" t="s">
        <v>654</v>
      </c>
      <c r="I955" s="55"/>
      <c r="J955" s="56" t="s">
        <v>708</v>
      </c>
      <c r="K95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5" s="118">
        <f>ROUND(Tableau17[[#This Row],[LEN]]*7.27,0)</f>
        <v>276</v>
      </c>
      <c r="M955" s="118">
        <v>15</v>
      </c>
      <c r="N955" s="135" t="str">
        <f t="shared" si="7"/>
        <v>none</v>
      </c>
      <c r="O955" s="118">
        <f>LEN(Tableau17[[#This Row],[LABEL]])</f>
        <v>38</v>
      </c>
      <c r="P955" s="118">
        <v>15</v>
      </c>
      <c r="Q955" s="118" t="e">
        <f>ROUND(Tableau17[[#This Row],[LEN]]*#REF!+#REF!,0)</f>
        <v>#REF!</v>
      </c>
    </row>
    <row r="956" spans="1:17" s="97" customFormat="1" x14ac:dyDescent="0.25">
      <c r="A956" s="53" t="s">
        <v>1731</v>
      </c>
      <c r="B956" s="54" t="s">
        <v>1724</v>
      </c>
      <c r="C956" s="55" t="s">
        <v>1734</v>
      </c>
      <c r="D956" s="77" t="s">
        <v>1177</v>
      </c>
      <c r="E956" s="55" t="s">
        <v>673</v>
      </c>
      <c r="F956" s="55" t="s">
        <v>1177</v>
      </c>
      <c r="G956" s="77" t="s">
        <v>2101</v>
      </c>
      <c r="H956" s="77" t="s">
        <v>654</v>
      </c>
      <c r="I956" s="55"/>
      <c r="J956" s="56" t="s">
        <v>708</v>
      </c>
      <c r="K95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6" s="118">
        <f>ROUND(Tableau17[[#This Row],[LEN]]*7.27,0)</f>
        <v>320</v>
      </c>
      <c r="M956" s="118">
        <v>15</v>
      </c>
      <c r="N956" s="135" t="str">
        <f t="shared" si="7"/>
        <v>none</v>
      </c>
      <c r="O956" s="118">
        <f>LEN(Tableau17[[#This Row],[LABEL]])</f>
        <v>44</v>
      </c>
      <c r="P956" s="118">
        <v>15</v>
      </c>
      <c r="Q956" s="118" t="e">
        <f>ROUND(Tableau17[[#This Row],[LEN]]*#REF!+#REF!,0)</f>
        <v>#REF!</v>
      </c>
    </row>
    <row r="957" spans="1:17" s="97" customFormat="1" x14ac:dyDescent="0.25">
      <c r="A957" s="53" t="s">
        <v>1732</v>
      </c>
      <c r="B957" s="54" t="s">
        <v>1724</v>
      </c>
      <c r="C957" s="55" t="s">
        <v>1735</v>
      </c>
      <c r="D957" s="77" t="s">
        <v>1177</v>
      </c>
      <c r="E957" s="55" t="s">
        <v>673</v>
      </c>
      <c r="F957" s="55" t="s">
        <v>1177</v>
      </c>
      <c r="G957" s="77" t="s">
        <v>2101</v>
      </c>
      <c r="H957" s="77" t="s">
        <v>654</v>
      </c>
      <c r="I957" s="55"/>
      <c r="J957" s="56" t="s">
        <v>708</v>
      </c>
      <c r="K95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7" s="118">
        <f>ROUND(Tableau17[[#This Row],[LEN]]*7.27,0)</f>
        <v>473</v>
      </c>
      <c r="M957" s="118">
        <v>15</v>
      </c>
      <c r="N957" s="135" t="str">
        <f t="shared" si="7"/>
        <v>none</v>
      </c>
      <c r="O957" s="118">
        <f>LEN(Tableau17[[#This Row],[LABEL]])</f>
        <v>65</v>
      </c>
      <c r="P957" s="118">
        <v>15</v>
      </c>
      <c r="Q957" s="118" t="e">
        <f>ROUND(Tableau17[[#This Row],[LEN]]*#REF!+#REF!,0)</f>
        <v>#REF!</v>
      </c>
    </row>
    <row r="958" spans="1:17" s="97" customFormat="1" x14ac:dyDescent="0.25">
      <c r="A958" s="49" t="s">
        <v>1725</v>
      </c>
      <c r="B958" s="50" t="s">
        <v>313</v>
      </c>
      <c r="C958" s="51" t="s">
        <v>1736</v>
      </c>
      <c r="D958" s="76" t="s">
        <v>1177</v>
      </c>
      <c r="E958" s="51" t="s">
        <v>673</v>
      </c>
      <c r="F958" s="51" t="s">
        <v>1177</v>
      </c>
      <c r="G958" s="76" t="s">
        <v>2101</v>
      </c>
      <c r="H958" s="76" t="s">
        <v>656</v>
      </c>
      <c r="I958" s="51"/>
      <c r="J958" s="52" t="s">
        <v>1737</v>
      </c>
      <c r="K95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8" s="117">
        <f>ROUND(Tableau17[[#This Row],[LEN]]*7.27,0)</f>
        <v>233</v>
      </c>
      <c r="M958" s="117">
        <v>15</v>
      </c>
      <c r="N958" s="134" t="str">
        <f t="shared" si="7"/>
        <v>new</v>
      </c>
      <c r="O958" s="117">
        <f>LEN(Tableau17[[#This Row],[LABEL]])</f>
        <v>32</v>
      </c>
      <c r="P958" s="117">
        <v>15</v>
      </c>
      <c r="Q958" s="117" t="e">
        <f>ROUND(Tableau17[[#This Row],[LEN]]*#REF!+#REF!,0)</f>
        <v>#REF!</v>
      </c>
    </row>
    <row r="959" spans="1:17" s="97" customFormat="1" x14ac:dyDescent="0.25">
      <c r="A959" s="49" t="s">
        <v>1726</v>
      </c>
      <c r="B959" s="50" t="s">
        <v>313</v>
      </c>
      <c r="C959" s="51" t="s">
        <v>549</v>
      </c>
      <c r="D959" s="76" t="s">
        <v>1177</v>
      </c>
      <c r="E959" s="51" t="s">
        <v>673</v>
      </c>
      <c r="F959" s="51" t="s">
        <v>1704</v>
      </c>
      <c r="G959" s="76" t="s">
        <v>2101</v>
      </c>
      <c r="H959" s="76" t="s">
        <v>655</v>
      </c>
      <c r="I959" s="51"/>
      <c r="J959" s="52" t="s">
        <v>708</v>
      </c>
      <c r="K95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59" s="117">
        <f>ROUND(Tableau17[[#This Row],[LEN]]*7.27,0)</f>
        <v>145</v>
      </c>
      <c r="M959" s="117">
        <v>15</v>
      </c>
      <c r="N959" s="134" t="str">
        <f t="shared" si="7"/>
        <v>none</v>
      </c>
      <c r="O959" s="117">
        <f>LEN(Tableau17[[#This Row],[LABEL]])</f>
        <v>20</v>
      </c>
      <c r="P959" s="117">
        <v>15</v>
      </c>
      <c r="Q959" s="117" t="e">
        <f>ROUND(Tableau17[[#This Row],[LEN]]*#REF!+#REF!,0)</f>
        <v>#REF!</v>
      </c>
    </row>
    <row r="960" spans="1:17" s="97" customFormat="1" x14ac:dyDescent="0.25">
      <c r="A960" s="53" t="s">
        <v>1738</v>
      </c>
      <c r="B960" s="54" t="s">
        <v>1726</v>
      </c>
      <c r="C960" s="55" t="s">
        <v>590</v>
      </c>
      <c r="D960" s="77" t="s">
        <v>1177</v>
      </c>
      <c r="E960" s="55" t="s">
        <v>673</v>
      </c>
      <c r="F960" s="55" t="s">
        <v>1704</v>
      </c>
      <c r="G960" s="77" t="s">
        <v>2101</v>
      </c>
      <c r="H960" s="77" t="s">
        <v>570</v>
      </c>
      <c r="I960" s="55"/>
      <c r="J960" s="56" t="s">
        <v>708</v>
      </c>
      <c r="K96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0" s="118">
        <f>ROUND(Tableau17[[#This Row],[LEN]]*7.27,0)</f>
        <v>102</v>
      </c>
      <c r="M960" s="118">
        <v>15</v>
      </c>
      <c r="N960" s="135" t="str">
        <f t="shared" si="7"/>
        <v>none</v>
      </c>
      <c r="O960" s="118">
        <f>LEN(Tableau17[[#This Row],[LABEL]])</f>
        <v>14</v>
      </c>
      <c r="P960" s="118">
        <v>15</v>
      </c>
      <c r="Q960" s="118" t="e">
        <f>ROUND(Tableau17[[#This Row],[LEN]]*#REF!+#REF!,0)</f>
        <v>#REF!</v>
      </c>
    </row>
    <row r="961" spans="1:17" s="97" customFormat="1" x14ac:dyDescent="0.25">
      <c r="A961" s="53" t="s">
        <v>1739</v>
      </c>
      <c r="B961" s="54" t="s">
        <v>1726</v>
      </c>
      <c r="C961" s="55" t="s">
        <v>591</v>
      </c>
      <c r="D961" s="77" t="s">
        <v>1177</v>
      </c>
      <c r="E961" s="55" t="s">
        <v>673</v>
      </c>
      <c r="F961" s="55" t="s">
        <v>1704</v>
      </c>
      <c r="G961" s="77" t="s">
        <v>2101</v>
      </c>
      <c r="H961" s="77" t="s">
        <v>570</v>
      </c>
      <c r="I961" s="55"/>
      <c r="J961" s="56" t="s">
        <v>708</v>
      </c>
      <c r="K96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1" s="118">
        <f>ROUND(Tableau17[[#This Row],[LEN]]*7.27,0)</f>
        <v>262</v>
      </c>
      <c r="M961" s="118">
        <v>15</v>
      </c>
      <c r="N961" s="135" t="str">
        <f t="shared" si="7"/>
        <v>none</v>
      </c>
      <c r="O961" s="118">
        <f>LEN(Tableau17[[#This Row],[LABEL]])</f>
        <v>36</v>
      </c>
      <c r="P961" s="118">
        <v>15</v>
      </c>
      <c r="Q961" s="118" t="e">
        <f>ROUND(Tableau17[[#This Row],[LEN]]*#REF!+#REF!,0)</f>
        <v>#REF!</v>
      </c>
    </row>
    <row r="962" spans="1:17" s="97" customFormat="1" x14ac:dyDescent="0.25">
      <c r="A962" s="53" t="s">
        <v>1740</v>
      </c>
      <c r="B962" s="54" t="s">
        <v>1726</v>
      </c>
      <c r="C962" s="55" t="s">
        <v>592</v>
      </c>
      <c r="D962" s="77" t="s">
        <v>1177</v>
      </c>
      <c r="E962" s="55" t="s">
        <v>673</v>
      </c>
      <c r="F962" s="55" t="s">
        <v>1704</v>
      </c>
      <c r="G962" s="77" t="s">
        <v>2101</v>
      </c>
      <c r="H962" s="77" t="s">
        <v>570</v>
      </c>
      <c r="I962" s="55"/>
      <c r="J962" s="56" t="s">
        <v>708</v>
      </c>
      <c r="K96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2" s="118">
        <f>ROUND(Tableau17[[#This Row],[LEN]]*7.27,0)</f>
        <v>189</v>
      </c>
      <c r="M962" s="118">
        <v>15</v>
      </c>
      <c r="N962" s="135" t="str">
        <f t="shared" si="7"/>
        <v>none</v>
      </c>
      <c r="O962" s="118">
        <f>LEN(Tableau17[[#This Row],[LABEL]])</f>
        <v>26</v>
      </c>
      <c r="P962" s="118">
        <v>15</v>
      </c>
      <c r="Q962" s="118" t="e">
        <f>ROUND(Tableau17[[#This Row],[LEN]]*#REF!+#REF!,0)</f>
        <v>#REF!</v>
      </c>
    </row>
    <row r="963" spans="1:17" s="97" customFormat="1" x14ac:dyDescent="0.25">
      <c r="A963" s="53" t="s">
        <v>1741</v>
      </c>
      <c r="B963" s="54" t="s">
        <v>1726</v>
      </c>
      <c r="C963" s="55" t="s">
        <v>597</v>
      </c>
      <c r="D963" s="77" t="s">
        <v>1177</v>
      </c>
      <c r="E963" s="55" t="s">
        <v>673</v>
      </c>
      <c r="F963" s="55" t="s">
        <v>1704</v>
      </c>
      <c r="G963" s="77" t="s">
        <v>2101</v>
      </c>
      <c r="H963" s="77" t="s">
        <v>570</v>
      </c>
      <c r="I963" s="55"/>
      <c r="J963" s="56" t="s">
        <v>708</v>
      </c>
      <c r="K96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3" s="118">
        <f>ROUND(Tableau17[[#This Row],[LEN]]*7.27,0)</f>
        <v>465</v>
      </c>
      <c r="M963" s="118">
        <v>15</v>
      </c>
      <c r="N963" s="135" t="str">
        <f t="shared" si="7"/>
        <v>none</v>
      </c>
      <c r="O963" s="118">
        <f>LEN(Tableau17[[#This Row],[LABEL]])</f>
        <v>64</v>
      </c>
      <c r="P963" s="118">
        <v>15</v>
      </c>
      <c r="Q963" s="118" t="e">
        <f>ROUND(Tableau17[[#This Row],[LEN]]*#REF!+#REF!,0)</f>
        <v>#REF!</v>
      </c>
    </row>
    <row r="964" spans="1:17" s="97" customFormat="1" x14ac:dyDescent="0.25">
      <c r="A964" s="49" t="s">
        <v>1727</v>
      </c>
      <c r="B964" s="50" t="s">
        <v>313</v>
      </c>
      <c r="C964" s="51" t="s">
        <v>598</v>
      </c>
      <c r="D964" s="76" t="s">
        <v>1177</v>
      </c>
      <c r="E964" s="51" t="s">
        <v>673</v>
      </c>
      <c r="F964" s="51" t="s">
        <v>2035</v>
      </c>
      <c r="G964" s="76" t="s">
        <v>2101</v>
      </c>
      <c r="H964" s="76" t="s">
        <v>654</v>
      </c>
      <c r="I964" s="51"/>
      <c r="J964" s="52" t="s">
        <v>708</v>
      </c>
      <c r="K96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4" s="117">
        <f>ROUND(Tableau17[[#This Row],[LEN]]*7.27,0)</f>
        <v>553</v>
      </c>
      <c r="M964" s="117">
        <v>15</v>
      </c>
      <c r="N964" s="134" t="str">
        <f t="shared" si="7"/>
        <v>none</v>
      </c>
      <c r="O964" s="117">
        <f>LEN(Tableau17[[#This Row],[LABEL]])</f>
        <v>76</v>
      </c>
      <c r="P964" s="117">
        <v>15</v>
      </c>
      <c r="Q964" s="117" t="e">
        <f>ROUND(Tableau17[[#This Row],[LEN]]*#REF!+#REF!,0)</f>
        <v>#REF!</v>
      </c>
    </row>
    <row r="965" spans="1:17" s="273" customFormat="1" x14ac:dyDescent="0.25">
      <c r="A965" s="351" t="s">
        <v>314</v>
      </c>
      <c r="B965" s="352" t="s">
        <v>209</v>
      </c>
      <c r="C965" s="353" t="s">
        <v>11</v>
      </c>
      <c r="D965" s="354" t="s">
        <v>1177</v>
      </c>
      <c r="E965" s="353" t="s">
        <v>674</v>
      </c>
      <c r="F965" s="353" t="s">
        <v>1177</v>
      </c>
      <c r="G965" s="354" t="s">
        <v>2101</v>
      </c>
      <c r="H965" s="354" t="str">
        <f>IFERROR(IF(SEARCH(".00.00.00.00.00",Tableau17[[#This Row],[name]],1)=7,"Division",""),"")</f>
        <v>Division</v>
      </c>
      <c r="I965" s="353"/>
      <c r="J965" s="355" t="s">
        <v>720</v>
      </c>
      <c r="K965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65" s="356">
        <f>ROUND(Tableau17[[#This Row],[LEN]]*7.27,0)</f>
        <v>51</v>
      </c>
      <c r="M965" s="356">
        <v>15</v>
      </c>
      <c r="N965" s="357" t="str">
        <f t="shared" si="7"/>
        <v>new</v>
      </c>
      <c r="O965" s="356">
        <f>LEN(Tableau17[[#This Row],[LABEL]])</f>
        <v>7</v>
      </c>
      <c r="P965" s="356">
        <v>15</v>
      </c>
      <c r="Q965" s="356" t="e">
        <f>ROUND(Tableau17[[#This Row],[LEN]]*#REF!+#REF!,0)</f>
        <v>#REF!</v>
      </c>
    </row>
    <row r="966" spans="1:17" s="97" customFormat="1" x14ac:dyDescent="0.25">
      <c r="A966" s="49" t="s">
        <v>1742</v>
      </c>
      <c r="B966" s="50" t="s">
        <v>314</v>
      </c>
      <c r="C966" s="51" t="s">
        <v>2108</v>
      </c>
      <c r="D966" s="76" t="s">
        <v>1177</v>
      </c>
      <c r="E966" s="51" t="s">
        <v>674</v>
      </c>
      <c r="F966" s="51" t="s">
        <v>674</v>
      </c>
      <c r="G966" s="76" t="s">
        <v>2101</v>
      </c>
      <c r="H966" s="76" t="s">
        <v>655</v>
      </c>
      <c r="I966" s="51"/>
      <c r="J966" s="52" t="s">
        <v>708</v>
      </c>
      <c r="K96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6" s="117">
        <f>ROUND(Tableau17[[#This Row],[LEN]]*7.27,0)</f>
        <v>124</v>
      </c>
      <c r="M966" s="117">
        <v>15</v>
      </c>
      <c r="N966" s="134" t="str">
        <f t="shared" si="7"/>
        <v>none</v>
      </c>
      <c r="O966" s="117">
        <f>LEN(Tableau17[[#This Row],[LABEL]])</f>
        <v>17</v>
      </c>
      <c r="P966" s="117">
        <v>15</v>
      </c>
      <c r="Q966" s="117" t="e">
        <f>ROUND(Tableau17[[#This Row],[LEN]]*#REF!+#REF!,0)</f>
        <v>#REF!</v>
      </c>
    </row>
    <row r="967" spans="1:17" s="97" customFormat="1" x14ac:dyDescent="0.25">
      <c r="A967" s="53" t="s">
        <v>1747</v>
      </c>
      <c r="B967" s="54" t="s">
        <v>1742</v>
      </c>
      <c r="C967" s="55" t="s">
        <v>2117</v>
      </c>
      <c r="D967" s="77" t="s">
        <v>2115</v>
      </c>
      <c r="E967" s="55" t="s">
        <v>674</v>
      </c>
      <c r="F967" s="55" t="s">
        <v>670</v>
      </c>
      <c r="G967" s="77" t="s">
        <v>2101</v>
      </c>
      <c r="H967" s="77" t="s">
        <v>656</v>
      </c>
      <c r="I967" s="55"/>
      <c r="J967" s="56" t="s">
        <v>708</v>
      </c>
      <c r="K96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7" s="118">
        <f>ROUND(Tableau17[[#This Row],[LEN]]*7.27,0)</f>
        <v>458</v>
      </c>
      <c r="M967" s="118">
        <v>15</v>
      </c>
      <c r="N967" s="135" t="str">
        <f t="shared" si="7"/>
        <v>none</v>
      </c>
      <c r="O967" s="118">
        <f>LEN(Tableau17[[#This Row],[LABEL]])</f>
        <v>63</v>
      </c>
      <c r="P967" s="118">
        <v>15</v>
      </c>
      <c r="Q967" s="118" t="e">
        <f>ROUND(Tableau17[[#This Row],[LEN]]*#REF!+#REF!,0)</f>
        <v>#REF!</v>
      </c>
    </row>
    <row r="968" spans="1:17" s="97" customFormat="1" x14ac:dyDescent="0.25">
      <c r="A968" s="53" t="s">
        <v>1748</v>
      </c>
      <c r="B968" s="54" t="s">
        <v>1742</v>
      </c>
      <c r="C968" s="55" t="s">
        <v>2116</v>
      </c>
      <c r="D968" s="77" t="s">
        <v>1177</v>
      </c>
      <c r="E968" s="55" t="s">
        <v>674</v>
      </c>
      <c r="F968" s="55" t="s">
        <v>674</v>
      </c>
      <c r="G968" s="77" t="s">
        <v>2101</v>
      </c>
      <c r="H968" s="77" t="s">
        <v>656</v>
      </c>
      <c r="I968" s="55"/>
      <c r="J968" s="56" t="s">
        <v>708</v>
      </c>
      <c r="K96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8" s="118">
        <f>ROUND(Tableau17[[#This Row],[LEN]]*7.27,0)</f>
        <v>414</v>
      </c>
      <c r="M968" s="118">
        <v>15</v>
      </c>
      <c r="N968" s="135" t="str">
        <f t="shared" si="7"/>
        <v>none</v>
      </c>
      <c r="O968" s="118">
        <f>LEN(Tableau17[[#This Row],[LABEL]])</f>
        <v>57</v>
      </c>
      <c r="P968" s="118">
        <v>15</v>
      </c>
      <c r="Q968" s="118" t="e">
        <f>ROUND(Tableau17[[#This Row],[LEN]]*#REF!+#REF!,0)</f>
        <v>#REF!</v>
      </c>
    </row>
    <row r="969" spans="1:17" s="97" customFormat="1" x14ac:dyDescent="0.25">
      <c r="A969" s="53" t="s">
        <v>2111</v>
      </c>
      <c r="B969" s="54" t="s">
        <v>1742</v>
      </c>
      <c r="C969" s="55" t="s">
        <v>2118</v>
      </c>
      <c r="D969" s="77" t="s">
        <v>1177</v>
      </c>
      <c r="E969" s="55" t="s">
        <v>674</v>
      </c>
      <c r="F969" s="55" t="s">
        <v>674</v>
      </c>
      <c r="G969" s="77" t="s">
        <v>2101</v>
      </c>
      <c r="H969" s="77" t="s">
        <v>656</v>
      </c>
      <c r="I969" s="55"/>
      <c r="J969" s="56" t="s">
        <v>708</v>
      </c>
      <c r="K96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69" s="118">
        <f>ROUND(Tableau17[[#This Row],[LEN]]*7.27,0)</f>
        <v>545</v>
      </c>
      <c r="M969" s="118">
        <v>15</v>
      </c>
      <c r="N969" s="135" t="str">
        <f t="shared" si="7"/>
        <v>none</v>
      </c>
      <c r="O969" s="118">
        <f>LEN(Tableau17[[#This Row],[LABEL]])</f>
        <v>75</v>
      </c>
      <c r="P969" s="118">
        <v>15</v>
      </c>
      <c r="Q969" s="118" t="e">
        <f>ROUND(Tableau17[[#This Row],[LEN]]*#REF!+#REF!,0)</f>
        <v>#REF!</v>
      </c>
    </row>
    <row r="970" spans="1:17" s="97" customFormat="1" x14ac:dyDescent="0.25">
      <c r="A970" s="53" t="s">
        <v>2112</v>
      </c>
      <c r="B970" s="54" t="s">
        <v>1742</v>
      </c>
      <c r="C970" s="55" t="s">
        <v>2119</v>
      </c>
      <c r="D970" s="77" t="s">
        <v>1177</v>
      </c>
      <c r="E970" s="55" t="s">
        <v>674</v>
      </c>
      <c r="F970" s="55" t="s">
        <v>674</v>
      </c>
      <c r="G970" s="77" t="s">
        <v>2101</v>
      </c>
      <c r="H970" s="77" t="s">
        <v>656</v>
      </c>
      <c r="I970" s="55"/>
      <c r="J970" s="56" t="s">
        <v>708</v>
      </c>
      <c r="K97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0" s="118">
        <f>ROUND(Tableau17[[#This Row],[LEN]]*7.27,0)</f>
        <v>436</v>
      </c>
      <c r="M970" s="118">
        <v>15</v>
      </c>
      <c r="N970" s="135" t="str">
        <f t="shared" si="7"/>
        <v>none</v>
      </c>
      <c r="O970" s="118">
        <f>LEN(Tableau17[[#This Row],[LABEL]])</f>
        <v>60</v>
      </c>
      <c r="P970" s="118">
        <v>15</v>
      </c>
      <c r="Q970" s="118" t="e">
        <f>ROUND(Tableau17[[#This Row],[LEN]]*#REF!+#REF!,0)</f>
        <v>#REF!</v>
      </c>
    </row>
    <row r="971" spans="1:17" s="97" customFormat="1" x14ac:dyDescent="0.25">
      <c r="A971" s="53" t="s">
        <v>2113</v>
      </c>
      <c r="B971" s="54" t="s">
        <v>1742</v>
      </c>
      <c r="C971" s="55" t="s">
        <v>2120</v>
      </c>
      <c r="D971" s="77" t="s">
        <v>1177</v>
      </c>
      <c r="E971" s="55" t="s">
        <v>674</v>
      </c>
      <c r="F971" s="55" t="s">
        <v>674</v>
      </c>
      <c r="G971" s="77" t="s">
        <v>2101</v>
      </c>
      <c r="H971" s="77" t="s">
        <v>656</v>
      </c>
      <c r="I971" s="55"/>
      <c r="J971" s="56" t="s">
        <v>708</v>
      </c>
      <c r="K97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1" s="118">
        <f>ROUND(Tableau17[[#This Row],[LEN]]*7.27,0)</f>
        <v>400</v>
      </c>
      <c r="M971" s="118">
        <v>15</v>
      </c>
      <c r="N971" s="135" t="str">
        <f t="shared" si="7"/>
        <v>none</v>
      </c>
      <c r="O971" s="118">
        <f>LEN(Tableau17[[#This Row],[LABEL]])</f>
        <v>55</v>
      </c>
      <c r="P971" s="118">
        <v>15</v>
      </c>
      <c r="Q971" s="118" t="e">
        <f>ROUND(Tableau17[[#This Row],[LEN]]*#REF!+#REF!,0)</f>
        <v>#REF!</v>
      </c>
    </row>
    <row r="972" spans="1:17" s="97" customFormat="1" x14ac:dyDescent="0.25">
      <c r="A972" s="53" t="s">
        <v>2114</v>
      </c>
      <c r="B972" s="54" t="s">
        <v>1742</v>
      </c>
      <c r="C972" s="55" t="s">
        <v>2121</v>
      </c>
      <c r="D972" s="77" t="s">
        <v>1177</v>
      </c>
      <c r="E972" s="55" t="s">
        <v>674</v>
      </c>
      <c r="F972" s="55" t="s">
        <v>674</v>
      </c>
      <c r="G972" s="77" t="s">
        <v>2101</v>
      </c>
      <c r="H972" s="77" t="s">
        <v>656</v>
      </c>
      <c r="I972" s="55"/>
      <c r="J972" s="56" t="s">
        <v>708</v>
      </c>
      <c r="K97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2" s="118">
        <f>ROUND(Tableau17[[#This Row],[LEN]]*7.27,0)</f>
        <v>393</v>
      </c>
      <c r="M972" s="118">
        <v>15</v>
      </c>
      <c r="N972" s="135" t="str">
        <f t="shared" si="7"/>
        <v>none</v>
      </c>
      <c r="O972" s="118">
        <f>LEN(Tableau17[[#This Row],[LABEL]])</f>
        <v>54</v>
      </c>
      <c r="P972" s="118">
        <v>15</v>
      </c>
      <c r="Q972" s="118" t="e">
        <f>ROUND(Tableau17[[#This Row],[LEN]]*#REF!+#REF!,0)</f>
        <v>#REF!</v>
      </c>
    </row>
    <row r="973" spans="1:17" s="97" customFormat="1" x14ac:dyDescent="0.25">
      <c r="A973" s="49" t="s">
        <v>1743</v>
      </c>
      <c r="B973" s="50" t="s">
        <v>314</v>
      </c>
      <c r="C973" s="51" t="s">
        <v>2109</v>
      </c>
      <c r="D973" s="76" t="s">
        <v>1177</v>
      </c>
      <c r="E973" s="51" t="s">
        <v>674</v>
      </c>
      <c r="F973" s="51" t="s">
        <v>674</v>
      </c>
      <c r="G973" s="76" t="s">
        <v>2101</v>
      </c>
      <c r="H973" s="76" t="s">
        <v>655</v>
      </c>
      <c r="I973" s="51"/>
      <c r="J973" s="52" t="s">
        <v>708</v>
      </c>
      <c r="K97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3" s="117">
        <f>ROUND(Tableau17[[#This Row],[LEN]]*7.27,0)</f>
        <v>109</v>
      </c>
      <c r="M973" s="117">
        <v>15</v>
      </c>
      <c r="N973" s="134" t="str">
        <f t="shared" si="7"/>
        <v>none</v>
      </c>
      <c r="O973" s="117">
        <f>LEN(Tableau17[[#This Row],[LABEL]])</f>
        <v>15</v>
      </c>
      <c r="P973" s="117">
        <v>15</v>
      </c>
      <c r="Q973" s="117" t="e">
        <f>ROUND(Tableau17[[#This Row],[LEN]]*#REF!+#REF!,0)</f>
        <v>#REF!</v>
      </c>
    </row>
    <row r="974" spans="1:17" s="97" customFormat="1" x14ac:dyDescent="0.25">
      <c r="A974" s="53" t="s">
        <v>2122</v>
      </c>
      <c r="B974" s="54" t="s">
        <v>1743</v>
      </c>
      <c r="C974" s="55" t="s">
        <v>2128</v>
      </c>
      <c r="D974" s="77" t="s">
        <v>1177</v>
      </c>
      <c r="E974" s="55" t="s">
        <v>674</v>
      </c>
      <c r="F974" s="55" t="s">
        <v>674</v>
      </c>
      <c r="G974" s="77" t="s">
        <v>2101</v>
      </c>
      <c r="H974" s="77" t="s">
        <v>656</v>
      </c>
      <c r="I974" s="55"/>
      <c r="J974" s="56" t="s">
        <v>708</v>
      </c>
      <c r="K97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4" s="118">
        <f>ROUND(Tableau17[[#This Row],[LEN]]*7.27,0)</f>
        <v>291</v>
      </c>
      <c r="M974" s="118">
        <v>15</v>
      </c>
      <c r="N974" s="135" t="str">
        <f t="shared" si="7"/>
        <v>none</v>
      </c>
      <c r="O974" s="118">
        <f>LEN(Tableau17[[#This Row],[LABEL]])</f>
        <v>40</v>
      </c>
      <c r="P974" s="118">
        <v>15</v>
      </c>
      <c r="Q974" s="118" t="e">
        <f>ROUND(Tableau17[[#This Row],[LEN]]*#REF!+#REF!,0)</f>
        <v>#REF!</v>
      </c>
    </row>
    <row r="975" spans="1:17" s="97" customFormat="1" x14ac:dyDescent="0.25">
      <c r="A975" s="53" t="s">
        <v>2123</v>
      </c>
      <c r="B975" s="54" t="s">
        <v>1743</v>
      </c>
      <c r="C975" s="55" t="s">
        <v>2129</v>
      </c>
      <c r="D975" s="77" t="s">
        <v>1177</v>
      </c>
      <c r="E975" s="55" t="s">
        <v>674</v>
      </c>
      <c r="F975" s="55" t="s">
        <v>674</v>
      </c>
      <c r="G975" s="77" t="s">
        <v>2101</v>
      </c>
      <c r="H975" s="77" t="s">
        <v>656</v>
      </c>
      <c r="I975" s="55"/>
      <c r="J975" s="56" t="s">
        <v>708</v>
      </c>
      <c r="K97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5" s="118">
        <f>ROUND(Tableau17[[#This Row],[LEN]]*7.27,0)</f>
        <v>65</v>
      </c>
      <c r="M975" s="118">
        <v>15</v>
      </c>
      <c r="N975" s="135" t="str">
        <f t="shared" si="7"/>
        <v>none</v>
      </c>
      <c r="O975" s="118">
        <f>LEN(Tableau17[[#This Row],[LABEL]])</f>
        <v>9</v>
      </c>
      <c r="P975" s="118">
        <v>15</v>
      </c>
      <c r="Q975" s="118" t="e">
        <f>ROUND(Tableau17[[#This Row],[LEN]]*#REF!+#REF!,0)</f>
        <v>#REF!</v>
      </c>
    </row>
    <row r="976" spans="1:17" s="97" customFormat="1" x14ac:dyDescent="0.25">
      <c r="A976" s="53" t="s">
        <v>2124</v>
      </c>
      <c r="B976" s="54" t="s">
        <v>1743</v>
      </c>
      <c r="C976" s="55" t="s">
        <v>2130</v>
      </c>
      <c r="D976" s="77" t="s">
        <v>1177</v>
      </c>
      <c r="E976" s="55" t="s">
        <v>674</v>
      </c>
      <c r="F976" s="55" t="s">
        <v>674</v>
      </c>
      <c r="G976" s="77" t="s">
        <v>2101</v>
      </c>
      <c r="H976" s="77" t="s">
        <v>656</v>
      </c>
      <c r="I976" s="55"/>
      <c r="J976" s="56" t="s">
        <v>708</v>
      </c>
      <c r="K97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6" s="118">
        <f>ROUND(Tableau17[[#This Row],[LEN]]*7.27,0)</f>
        <v>204</v>
      </c>
      <c r="M976" s="118">
        <v>15</v>
      </c>
      <c r="N976" s="135" t="str">
        <f t="shared" si="7"/>
        <v>none</v>
      </c>
      <c r="O976" s="118">
        <f>LEN(Tableau17[[#This Row],[LABEL]])</f>
        <v>28</v>
      </c>
      <c r="P976" s="118">
        <v>15</v>
      </c>
      <c r="Q976" s="118" t="e">
        <f>ROUND(Tableau17[[#This Row],[LEN]]*#REF!+#REF!,0)</f>
        <v>#REF!</v>
      </c>
    </row>
    <row r="977" spans="1:17" s="97" customFormat="1" x14ac:dyDescent="0.25">
      <c r="A977" s="53" t="s">
        <v>2125</v>
      </c>
      <c r="B977" s="54" t="s">
        <v>1743</v>
      </c>
      <c r="C977" s="55" t="s">
        <v>2131</v>
      </c>
      <c r="D977" s="77" t="s">
        <v>1177</v>
      </c>
      <c r="E977" s="55" t="s">
        <v>674</v>
      </c>
      <c r="F977" s="55" t="s">
        <v>674</v>
      </c>
      <c r="G977" s="77" t="s">
        <v>2101</v>
      </c>
      <c r="H977" s="77" t="s">
        <v>656</v>
      </c>
      <c r="I977" s="55"/>
      <c r="J977" s="56" t="s">
        <v>708</v>
      </c>
      <c r="K97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7" s="118">
        <f>ROUND(Tableau17[[#This Row],[LEN]]*7.27,0)</f>
        <v>349</v>
      </c>
      <c r="M977" s="118">
        <v>15</v>
      </c>
      <c r="N977" s="135" t="str">
        <f t="shared" si="7"/>
        <v>none</v>
      </c>
      <c r="O977" s="118">
        <f>LEN(Tableau17[[#This Row],[LABEL]])</f>
        <v>48</v>
      </c>
      <c r="P977" s="118">
        <v>15</v>
      </c>
      <c r="Q977" s="118" t="e">
        <f>ROUND(Tableau17[[#This Row],[LEN]]*#REF!+#REF!,0)</f>
        <v>#REF!</v>
      </c>
    </row>
    <row r="978" spans="1:17" s="97" customFormat="1" x14ac:dyDescent="0.25">
      <c r="A978" s="53" t="s">
        <v>2126</v>
      </c>
      <c r="B978" s="54" t="s">
        <v>1743</v>
      </c>
      <c r="C978" s="55" t="s">
        <v>2132</v>
      </c>
      <c r="D978" s="77" t="s">
        <v>1177</v>
      </c>
      <c r="E978" s="55" t="s">
        <v>674</v>
      </c>
      <c r="F978" s="55" t="s">
        <v>674</v>
      </c>
      <c r="G978" s="77" t="s">
        <v>2101</v>
      </c>
      <c r="H978" s="77" t="s">
        <v>656</v>
      </c>
      <c r="I978" s="55"/>
      <c r="J978" s="56" t="s">
        <v>708</v>
      </c>
      <c r="K97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8" s="118">
        <f>ROUND(Tableau17[[#This Row],[LEN]]*7.27,0)</f>
        <v>138</v>
      </c>
      <c r="M978" s="118">
        <v>15</v>
      </c>
      <c r="N978" s="135" t="str">
        <f t="shared" si="7"/>
        <v>none</v>
      </c>
      <c r="O978" s="118">
        <f>LEN(Tableau17[[#This Row],[LABEL]])</f>
        <v>19</v>
      </c>
      <c r="P978" s="118">
        <v>15</v>
      </c>
      <c r="Q978" s="118" t="e">
        <f>ROUND(Tableau17[[#This Row],[LEN]]*#REF!+#REF!,0)</f>
        <v>#REF!</v>
      </c>
    </row>
    <row r="979" spans="1:17" s="97" customFormat="1" x14ac:dyDescent="0.25">
      <c r="A979" s="53" t="s">
        <v>2127</v>
      </c>
      <c r="B979" s="54" t="s">
        <v>1743</v>
      </c>
      <c r="C979" s="55" t="s">
        <v>2133</v>
      </c>
      <c r="D979" s="77" t="s">
        <v>1177</v>
      </c>
      <c r="E979" s="55" t="s">
        <v>674</v>
      </c>
      <c r="F979" s="55" t="s">
        <v>674</v>
      </c>
      <c r="G979" s="77" t="s">
        <v>2101</v>
      </c>
      <c r="H979" s="77" t="s">
        <v>656</v>
      </c>
      <c r="I979" s="55"/>
      <c r="J979" s="56" t="s">
        <v>708</v>
      </c>
      <c r="K97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79" s="118">
        <f>ROUND(Tableau17[[#This Row],[LEN]]*7.27,0)</f>
        <v>254</v>
      </c>
      <c r="M979" s="118">
        <v>15</v>
      </c>
      <c r="N979" s="135" t="str">
        <f t="shared" si="7"/>
        <v>none</v>
      </c>
      <c r="O979" s="118">
        <f>LEN(Tableau17[[#This Row],[LABEL]])</f>
        <v>35</v>
      </c>
      <c r="P979" s="118">
        <v>15</v>
      </c>
      <c r="Q979" s="118" t="e">
        <f>ROUND(Tableau17[[#This Row],[LEN]]*#REF!+#REF!,0)</f>
        <v>#REF!</v>
      </c>
    </row>
    <row r="980" spans="1:17" s="97" customFormat="1" x14ac:dyDescent="0.25">
      <c r="A980" s="53" t="s">
        <v>2134</v>
      </c>
      <c r="B980" s="54" t="s">
        <v>1743</v>
      </c>
      <c r="C980" s="55" t="s">
        <v>1754</v>
      </c>
      <c r="D980" s="77" t="s">
        <v>1177</v>
      </c>
      <c r="E980" s="55" t="s">
        <v>674</v>
      </c>
      <c r="F980" s="55" t="s">
        <v>674</v>
      </c>
      <c r="G980" s="77" t="s">
        <v>2101</v>
      </c>
      <c r="H980" s="77" t="s">
        <v>656</v>
      </c>
      <c r="I980" s="55"/>
      <c r="J980" s="56" t="s">
        <v>708</v>
      </c>
      <c r="K98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0" s="118">
        <f>ROUND(Tableau17[[#This Row],[LEN]]*7.27,0)</f>
        <v>327</v>
      </c>
      <c r="M980" s="118">
        <v>15</v>
      </c>
      <c r="N980" s="135" t="str">
        <f t="shared" si="7"/>
        <v>none</v>
      </c>
      <c r="O980" s="118">
        <f>LEN(Tableau17[[#This Row],[LABEL]])</f>
        <v>45</v>
      </c>
      <c r="P980" s="118">
        <v>15</v>
      </c>
      <c r="Q980" s="118" t="e">
        <f>ROUND(Tableau17[[#This Row],[LEN]]*#REF!+#REF!,0)</f>
        <v>#REF!</v>
      </c>
    </row>
    <row r="981" spans="1:17" s="97" customFormat="1" x14ac:dyDescent="0.25">
      <c r="A981" s="49" t="s">
        <v>1745</v>
      </c>
      <c r="B981" s="50" t="s">
        <v>314</v>
      </c>
      <c r="C981" s="51" t="s">
        <v>129</v>
      </c>
      <c r="D981" s="76" t="s">
        <v>1177</v>
      </c>
      <c r="E981" s="51" t="s">
        <v>673</v>
      </c>
      <c r="F981" s="51" t="s">
        <v>2035</v>
      </c>
      <c r="G981" s="76" t="s">
        <v>2101</v>
      </c>
      <c r="H981" s="76" t="s">
        <v>655</v>
      </c>
      <c r="I981" s="51"/>
      <c r="J981" s="52" t="s">
        <v>708</v>
      </c>
      <c r="K98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1" s="117">
        <f>ROUND(Tableau17[[#This Row],[LEN]]*7.27,0)</f>
        <v>87</v>
      </c>
      <c r="M981" s="117">
        <v>15</v>
      </c>
      <c r="N981" s="134" t="str">
        <f t="shared" si="7"/>
        <v>none</v>
      </c>
      <c r="O981" s="117">
        <f>LEN(Tableau17[[#This Row],[LABEL]])</f>
        <v>12</v>
      </c>
      <c r="P981" s="117">
        <v>15</v>
      </c>
      <c r="Q981" s="117" t="e">
        <f>ROUND(Tableau17[[#This Row],[LEN]]*#REF!+#REF!,0)</f>
        <v>#REF!</v>
      </c>
    </row>
    <row r="982" spans="1:17" s="97" customFormat="1" x14ac:dyDescent="0.25">
      <c r="A982" s="53" t="s">
        <v>2102</v>
      </c>
      <c r="B982" s="54" t="s">
        <v>1745</v>
      </c>
      <c r="C982" s="55" t="s">
        <v>131</v>
      </c>
      <c r="D982" s="77" t="s">
        <v>1177</v>
      </c>
      <c r="E982" s="55" t="s">
        <v>673</v>
      </c>
      <c r="F982" s="55" t="s">
        <v>2035</v>
      </c>
      <c r="G982" s="77" t="s">
        <v>2101</v>
      </c>
      <c r="H982" s="77" t="s">
        <v>570</v>
      </c>
      <c r="I982" s="55"/>
      <c r="J982" s="56" t="s">
        <v>708</v>
      </c>
      <c r="K98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2" s="118">
        <f>ROUND(Tableau17[[#This Row],[LEN]]*7.27,0)</f>
        <v>262</v>
      </c>
      <c r="M982" s="118">
        <v>15</v>
      </c>
      <c r="N982" s="135" t="str">
        <f t="shared" si="7"/>
        <v>none</v>
      </c>
      <c r="O982" s="118">
        <f>LEN(Tableau17[[#This Row],[LABEL]])</f>
        <v>36</v>
      </c>
      <c r="P982" s="118">
        <v>15</v>
      </c>
      <c r="Q982" s="118" t="e">
        <f>ROUND(Tableau17[[#This Row],[LEN]]*#REF!+#REF!,0)</f>
        <v>#REF!</v>
      </c>
    </row>
    <row r="983" spans="1:17" s="97" customFormat="1" x14ac:dyDescent="0.25">
      <c r="A983" s="53" t="s">
        <v>2103</v>
      </c>
      <c r="B983" s="54" t="s">
        <v>1745</v>
      </c>
      <c r="C983" s="55" t="s">
        <v>132</v>
      </c>
      <c r="D983" s="77" t="s">
        <v>1177</v>
      </c>
      <c r="E983" s="55" t="s">
        <v>673</v>
      </c>
      <c r="F983" s="55" t="s">
        <v>2035</v>
      </c>
      <c r="G983" s="77" t="s">
        <v>2101</v>
      </c>
      <c r="H983" s="77" t="s">
        <v>570</v>
      </c>
      <c r="I983" s="55"/>
      <c r="J983" s="56" t="s">
        <v>708</v>
      </c>
      <c r="K98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3" s="118">
        <f>ROUND(Tableau17[[#This Row],[LEN]]*7.27,0)</f>
        <v>298</v>
      </c>
      <c r="M983" s="118">
        <v>15</v>
      </c>
      <c r="N983" s="135" t="str">
        <f t="shared" si="7"/>
        <v>none</v>
      </c>
      <c r="O983" s="118">
        <f>LEN(Tableau17[[#This Row],[LABEL]])</f>
        <v>41</v>
      </c>
      <c r="P983" s="118">
        <v>15</v>
      </c>
      <c r="Q983" s="118" t="e">
        <f>ROUND(Tableau17[[#This Row],[LEN]]*#REF!+#REF!,0)</f>
        <v>#REF!</v>
      </c>
    </row>
    <row r="984" spans="1:17" s="97" customFormat="1" x14ac:dyDescent="0.25">
      <c r="A984" s="49" t="s">
        <v>1746</v>
      </c>
      <c r="B984" s="50" t="s">
        <v>314</v>
      </c>
      <c r="C984" s="51" t="s">
        <v>549</v>
      </c>
      <c r="D984" s="76" t="s">
        <v>1177</v>
      </c>
      <c r="E984" s="51" t="s">
        <v>673</v>
      </c>
      <c r="F984" s="51" t="s">
        <v>1704</v>
      </c>
      <c r="G984" s="76" t="s">
        <v>2101</v>
      </c>
      <c r="H984" s="76" t="s">
        <v>655</v>
      </c>
      <c r="I984" s="51"/>
      <c r="J984" s="52" t="s">
        <v>708</v>
      </c>
      <c r="K98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4" s="117">
        <f>ROUND(Tableau17[[#This Row],[LEN]]*7.27,0)</f>
        <v>145</v>
      </c>
      <c r="M984" s="117">
        <v>15</v>
      </c>
      <c r="N984" s="134" t="str">
        <f t="shared" si="7"/>
        <v>none</v>
      </c>
      <c r="O984" s="117">
        <f>LEN(Tableau17[[#This Row],[LABEL]])</f>
        <v>20</v>
      </c>
      <c r="P984" s="117">
        <v>15</v>
      </c>
      <c r="Q984" s="117" t="e">
        <f>ROUND(Tableau17[[#This Row],[LEN]]*#REF!+#REF!,0)</f>
        <v>#REF!</v>
      </c>
    </row>
    <row r="985" spans="1:17" s="97" customFormat="1" x14ac:dyDescent="0.25">
      <c r="A985" s="53" t="s">
        <v>2104</v>
      </c>
      <c r="B985" s="54" t="s">
        <v>1746</v>
      </c>
      <c r="C985" s="55" t="s">
        <v>590</v>
      </c>
      <c r="D985" s="77" t="s">
        <v>1177</v>
      </c>
      <c r="E985" s="55" t="s">
        <v>673</v>
      </c>
      <c r="F985" s="55" t="s">
        <v>1704</v>
      </c>
      <c r="G985" s="77" t="s">
        <v>2101</v>
      </c>
      <c r="H985" s="77" t="s">
        <v>570</v>
      </c>
      <c r="I985" s="55"/>
      <c r="J985" s="56" t="s">
        <v>708</v>
      </c>
      <c r="K98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5" s="118">
        <f>ROUND(Tableau17[[#This Row],[LEN]]*7.27,0)</f>
        <v>102</v>
      </c>
      <c r="M985" s="118">
        <v>15</v>
      </c>
      <c r="N985" s="135" t="str">
        <f t="shared" si="7"/>
        <v>none</v>
      </c>
      <c r="O985" s="118">
        <f>LEN(Tableau17[[#This Row],[LABEL]])</f>
        <v>14</v>
      </c>
      <c r="P985" s="118">
        <v>15</v>
      </c>
      <c r="Q985" s="118" t="e">
        <f>ROUND(Tableau17[[#This Row],[LEN]]*#REF!+#REF!,0)</f>
        <v>#REF!</v>
      </c>
    </row>
    <row r="986" spans="1:17" s="97" customFormat="1" x14ac:dyDescent="0.25">
      <c r="A986" s="53" t="s">
        <v>2105</v>
      </c>
      <c r="B986" s="54" t="s">
        <v>1746</v>
      </c>
      <c r="C986" s="55" t="s">
        <v>591</v>
      </c>
      <c r="D986" s="77" t="s">
        <v>1177</v>
      </c>
      <c r="E986" s="55" t="s">
        <v>673</v>
      </c>
      <c r="F986" s="55" t="s">
        <v>1704</v>
      </c>
      <c r="G986" s="77" t="s">
        <v>2101</v>
      </c>
      <c r="H986" s="77" t="s">
        <v>570</v>
      </c>
      <c r="I986" s="55"/>
      <c r="J986" s="56" t="s">
        <v>708</v>
      </c>
      <c r="K98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6" s="118">
        <f>ROUND(Tableau17[[#This Row],[LEN]]*7.27,0)</f>
        <v>262</v>
      </c>
      <c r="M986" s="118">
        <v>15</v>
      </c>
      <c r="N986" s="135" t="str">
        <f t="shared" si="7"/>
        <v>none</v>
      </c>
      <c r="O986" s="118">
        <f>LEN(Tableau17[[#This Row],[LABEL]])</f>
        <v>36</v>
      </c>
      <c r="P986" s="118">
        <v>15</v>
      </c>
      <c r="Q986" s="118" t="e">
        <f>ROUND(Tableau17[[#This Row],[LEN]]*#REF!+#REF!,0)</f>
        <v>#REF!</v>
      </c>
    </row>
    <row r="987" spans="1:17" s="97" customFormat="1" x14ac:dyDescent="0.25">
      <c r="A987" s="53" t="s">
        <v>2106</v>
      </c>
      <c r="B987" s="54" t="s">
        <v>1746</v>
      </c>
      <c r="C987" s="55" t="s">
        <v>592</v>
      </c>
      <c r="D987" s="77" t="s">
        <v>1177</v>
      </c>
      <c r="E987" s="55" t="s">
        <v>673</v>
      </c>
      <c r="F987" s="55" t="s">
        <v>1704</v>
      </c>
      <c r="G987" s="77" t="s">
        <v>2101</v>
      </c>
      <c r="H987" s="77" t="s">
        <v>570</v>
      </c>
      <c r="I987" s="55"/>
      <c r="J987" s="56" t="s">
        <v>708</v>
      </c>
      <c r="K98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7" s="118">
        <f>ROUND(Tableau17[[#This Row],[LEN]]*7.27,0)</f>
        <v>189</v>
      </c>
      <c r="M987" s="118">
        <v>15</v>
      </c>
      <c r="N987" s="135" t="str">
        <f t="shared" si="7"/>
        <v>none</v>
      </c>
      <c r="O987" s="118">
        <f>LEN(Tableau17[[#This Row],[LABEL]])</f>
        <v>26</v>
      </c>
      <c r="P987" s="118">
        <v>15</v>
      </c>
      <c r="Q987" s="118" t="e">
        <f>ROUND(Tableau17[[#This Row],[LEN]]*#REF!+#REF!,0)</f>
        <v>#REF!</v>
      </c>
    </row>
    <row r="988" spans="1:17" s="97" customFormat="1" x14ac:dyDescent="0.25">
      <c r="A988" s="53" t="s">
        <v>2107</v>
      </c>
      <c r="B988" s="54" t="s">
        <v>1746</v>
      </c>
      <c r="C988" s="55" t="s">
        <v>597</v>
      </c>
      <c r="D988" s="77" t="s">
        <v>1177</v>
      </c>
      <c r="E988" s="55" t="s">
        <v>673</v>
      </c>
      <c r="F988" s="55" t="s">
        <v>1704</v>
      </c>
      <c r="G988" s="77" t="s">
        <v>2101</v>
      </c>
      <c r="H988" s="77" t="s">
        <v>570</v>
      </c>
      <c r="I988" s="55"/>
      <c r="J988" s="56" t="s">
        <v>708</v>
      </c>
      <c r="K98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88" s="118">
        <f>ROUND(Tableau17[[#This Row],[LEN]]*7.27,0)</f>
        <v>465</v>
      </c>
      <c r="M988" s="118">
        <v>15</v>
      </c>
      <c r="N988" s="135" t="str">
        <f t="shared" si="7"/>
        <v>none</v>
      </c>
      <c r="O988" s="118">
        <f>LEN(Tableau17[[#This Row],[LABEL]])</f>
        <v>64</v>
      </c>
      <c r="P988" s="118">
        <v>15</v>
      </c>
      <c r="Q988" s="118" t="e">
        <f>ROUND(Tableau17[[#This Row],[LEN]]*#REF!+#REF!,0)</f>
        <v>#REF!</v>
      </c>
    </row>
    <row r="989" spans="1:17" s="273" customFormat="1" x14ac:dyDescent="0.25">
      <c r="A989" s="351" t="s">
        <v>315</v>
      </c>
      <c r="B989" s="352" t="s">
        <v>209</v>
      </c>
      <c r="C989" s="353" t="s">
        <v>12</v>
      </c>
      <c r="D989" s="354" t="s">
        <v>1177</v>
      </c>
      <c r="E989" s="353" t="s">
        <v>675</v>
      </c>
      <c r="F989" s="353" t="s">
        <v>1177</v>
      </c>
      <c r="G989" s="354" t="s">
        <v>2101</v>
      </c>
      <c r="H989" s="354" t="str">
        <f>IFERROR(IF(SEARCH(".00.00.00.00.00",Tableau17[[#This Row],[name]],1)=7,"Division",""),"")</f>
        <v>Division</v>
      </c>
      <c r="I989" s="353"/>
      <c r="J989" s="355" t="s">
        <v>721</v>
      </c>
      <c r="K989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989" s="356">
        <f>ROUND(Tableau17[[#This Row],[LEN]]*7.27,0)</f>
        <v>15</v>
      </c>
      <c r="M989" s="356">
        <v>15</v>
      </c>
      <c r="N989" s="357" t="str">
        <f t="shared" si="7"/>
        <v>new</v>
      </c>
      <c r="O989" s="356">
        <f>LEN(Tableau17[[#This Row],[LABEL]])</f>
        <v>2</v>
      </c>
      <c r="P989" s="356">
        <v>15</v>
      </c>
      <c r="Q989" s="356" t="e">
        <f>ROUND(Tableau17[[#This Row],[LEN]]*#REF!+#REF!,0)</f>
        <v>#REF!</v>
      </c>
    </row>
    <row r="990" spans="1:17" s="97" customFormat="1" x14ac:dyDescent="0.25">
      <c r="A990" s="49" t="s">
        <v>1756</v>
      </c>
      <c r="B990" s="50" t="s">
        <v>315</v>
      </c>
      <c r="C990" s="51" t="s">
        <v>129</v>
      </c>
      <c r="D990" s="76" t="s">
        <v>1177</v>
      </c>
      <c r="E990" s="51" t="s">
        <v>673</v>
      </c>
      <c r="F990" s="51" t="s">
        <v>2035</v>
      </c>
      <c r="G990" s="76" t="s">
        <v>2101</v>
      </c>
      <c r="H990" s="76" t="s">
        <v>655</v>
      </c>
      <c r="I990" s="51"/>
      <c r="J990" s="52" t="s">
        <v>708</v>
      </c>
      <c r="K99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0" s="117">
        <f>ROUND(Tableau17[[#This Row],[LEN]]*7.27,0)</f>
        <v>87</v>
      </c>
      <c r="M990" s="117">
        <v>15</v>
      </c>
      <c r="N990" s="134" t="str">
        <f t="shared" si="7"/>
        <v>none</v>
      </c>
      <c r="O990" s="117">
        <f>LEN(Tableau17[[#This Row],[LABEL]])</f>
        <v>12</v>
      </c>
      <c r="P990" s="117">
        <v>15</v>
      </c>
      <c r="Q990" s="117" t="e">
        <f>ROUND(Tableau17[[#This Row],[LEN]]*#REF!+#REF!,0)</f>
        <v>#REF!</v>
      </c>
    </row>
    <row r="991" spans="1:17" s="97" customFormat="1" x14ac:dyDescent="0.25">
      <c r="A991" s="53" t="s">
        <v>1764</v>
      </c>
      <c r="B991" s="54" t="s">
        <v>1756</v>
      </c>
      <c r="C991" s="55" t="s">
        <v>131</v>
      </c>
      <c r="D991" s="77" t="s">
        <v>1177</v>
      </c>
      <c r="E991" s="55" t="s">
        <v>673</v>
      </c>
      <c r="F991" s="55" t="s">
        <v>2035</v>
      </c>
      <c r="G991" s="77" t="s">
        <v>2101</v>
      </c>
      <c r="H991" s="77" t="s">
        <v>570</v>
      </c>
      <c r="I991" s="55"/>
      <c r="J991" s="56" t="s">
        <v>708</v>
      </c>
      <c r="K99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1" s="118">
        <f>ROUND(Tableau17[[#This Row],[LEN]]*7.27,0)</f>
        <v>262</v>
      </c>
      <c r="M991" s="118">
        <v>15</v>
      </c>
      <c r="N991" s="135" t="str">
        <f t="shared" si="7"/>
        <v>none</v>
      </c>
      <c r="O991" s="118">
        <f>LEN(Tableau17[[#This Row],[LABEL]])</f>
        <v>36</v>
      </c>
      <c r="P991" s="118">
        <v>15</v>
      </c>
      <c r="Q991" s="118" t="e">
        <f>ROUND(Tableau17[[#This Row],[LEN]]*#REF!+#REF!,0)</f>
        <v>#REF!</v>
      </c>
    </row>
    <row r="992" spans="1:17" s="97" customFormat="1" x14ac:dyDescent="0.25">
      <c r="A992" s="53" t="s">
        <v>1765</v>
      </c>
      <c r="B992" s="54" t="s">
        <v>1756</v>
      </c>
      <c r="C992" s="55" t="s">
        <v>132</v>
      </c>
      <c r="D992" s="77" t="s">
        <v>1177</v>
      </c>
      <c r="E992" s="55" t="s">
        <v>673</v>
      </c>
      <c r="F992" s="55" t="s">
        <v>2035</v>
      </c>
      <c r="G992" s="77" t="s">
        <v>2101</v>
      </c>
      <c r="H992" s="77" t="s">
        <v>570</v>
      </c>
      <c r="I992" s="55"/>
      <c r="J992" s="56" t="s">
        <v>708</v>
      </c>
      <c r="K99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2" s="118">
        <f>ROUND(Tableau17[[#This Row],[LEN]]*7.27,0)</f>
        <v>298</v>
      </c>
      <c r="M992" s="118">
        <v>15</v>
      </c>
      <c r="N992" s="135" t="str">
        <f t="shared" si="7"/>
        <v>none</v>
      </c>
      <c r="O992" s="118">
        <f>LEN(Tableau17[[#This Row],[LABEL]])</f>
        <v>41</v>
      </c>
      <c r="P992" s="118">
        <v>15</v>
      </c>
      <c r="Q992" s="118" t="e">
        <f>ROUND(Tableau17[[#This Row],[LEN]]*#REF!+#REF!,0)</f>
        <v>#REF!</v>
      </c>
    </row>
    <row r="993" spans="1:17" s="97" customFormat="1" x14ac:dyDescent="0.25">
      <c r="A993" s="49" t="s">
        <v>1757</v>
      </c>
      <c r="B993" s="50" t="s">
        <v>315</v>
      </c>
      <c r="C993" s="51" t="s">
        <v>1772</v>
      </c>
      <c r="D993" s="76" t="s">
        <v>1177</v>
      </c>
      <c r="E993" s="51" t="s">
        <v>675</v>
      </c>
      <c r="F993" s="51" t="s">
        <v>679</v>
      </c>
      <c r="G993" s="76" t="s">
        <v>2101</v>
      </c>
      <c r="H993" s="76" t="s">
        <v>655</v>
      </c>
      <c r="I993" s="51"/>
      <c r="J993" s="52" t="s">
        <v>708</v>
      </c>
      <c r="K99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3" s="117">
        <f>ROUND(Tableau17[[#This Row],[LEN]]*7.27,0)</f>
        <v>182</v>
      </c>
      <c r="M993" s="117">
        <v>15</v>
      </c>
      <c r="N993" s="134" t="str">
        <f t="shared" si="7"/>
        <v>none</v>
      </c>
      <c r="O993" s="117">
        <f>LEN(Tableau17[[#This Row],[LABEL]])</f>
        <v>25</v>
      </c>
      <c r="P993" s="117">
        <v>15</v>
      </c>
      <c r="Q993" s="117" t="e">
        <f>ROUND(Tableau17[[#This Row],[LEN]]*#REF!+#REF!,0)</f>
        <v>#REF!</v>
      </c>
    </row>
    <row r="994" spans="1:17" s="97" customFormat="1" x14ac:dyDescent="0.25">
      <c r="A994" s="53" t="s">
        <v>1766</v>
      </c>
      <c r="B994" s="54" t="s">
        <v>1757</v>
      </c>
      <c r="C994" s="55" t="s">
        <v>1467</v>
      </c>
      <c r="D994" s="77" t="s">
        <v>1177</v>
      </c>
      <c r="E994" s="55" t="s">
        <v>675</v>
      </c>
      <c r="F994" s="55" t="s">
        <v>679</v>
      </c>
      <c r="G994" s="77" t="s">
        <v>2101</v>
      </c>
      <c r="H994" s="77" t="s">
        <v>654</v>
      </c>
      <c r="I994" s="55"/>
      <c r="J994" s="56" t="s">
        <v>708</v>
      </c>
      <c r="K99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4" s="118">
        <f>ROUND(Tableau17[[#This Row],[LEN]]*7.27,0)</f>
        <v>102</v>
      </c>
      <c r="M994" s="118">
        <v>15</v>
      </c>
      <c r="N994" s="135" t="str">
        <f t="shared" si="7"/>
        <v>none</v>
      </c>
      <c r="O994" s="118">
        <f>LEN(Tableau17[[#This Row],[LABEL]])</f>
        <v>14</v>
      </c>
      <c r="P994" s="118">
        <v>15</v>
      </c>
      <c r="Q994" s="118" t="e">
        <f>ROUND(Tableau17[[#This Row],[LEN]]*#REF!+#REF!,0)</f>
        <v>#REF!</v>
      </c>
    </row>
    <row r="995" spans="1:17" s="97" customFormat="1" x14ac:dyDescent="0.25">
      <c r="A995" s="53" t="s">
        <v>1767</v>
      </c>
      <c r="B995" s="54" t="s">
        <v>1757</v>
      </c>
      <c r="C995" s="55" t="s">
        <v>1769</v>
      </c>
      <c r="D995" s="77" t="s">
        <v>1177</v>
      </c>
      <c r="E995" s="55" t="s">
        <v>675</v>
      </c>
      <c r="F995" s="55" t="s">
        <v>679</v>
      </c>
      <c r="G995" s="77" t="s">
        <v>2101</v>
      </c>
      <c r="H995" s="77" t="s">
        <v>654</v>
      </c>
      <c r="I995" s="55"/>
      <c r="J995" s="56" t="s">
        <v>708</v>
      </c>
      <c r="K99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5" s="118">
        <f>ROUND(Tableau17[[#This Row],[LEN]]*7.27,0)</f>
        <v>211</v>
      </c>
      <c r="M995" s="118">
        <v>15</v>
      </c>
      <c r="N995" s="135" t="str">
        <f t="shared" si="7"/>
        <v>none</v>
      </c>
      <c r="O995" s="118">
        <f>LEN(Tableau17[[#This Row],[LABEL]])</f>
        <v>29</v>
      </c>
      <c r="P995" s="118">
        <v>15</v>
      </c>
      <c r="Q995" s="118" t="e">
        <f>ROUND(Tableau17[[#This Row],[LEN]]*#REF!+#REF!,0)</f>
        <v>#REF!</v>
      </c>
    </row>
    <row r="996" spans="1:17" s="97" customFormat="1" x14ac:dyDescent="0.25">
      <c r="A996" s="53" t="s">
        <v>1768</v>
      </c>
      <c r="B996" s="54" t="s">
        <v>1757</v>
      </c>
      <c r="C996" s="55" t="s">
        <v>1468</v>
      </c>
      <c r="D996" s="77" t="s">
        <v>1177</v>
      </c>
      <c r="E996" s="55" t="s">
        <v>675</v>
      </c>
      <c r="F996" s="55" t="s">
        <v>679</v>
      </c>
      <c r="G996" s="77" t="s">
        <v>2101</v>
      </c>
      <c r="H996" s="77" t="s">
        <v>654</v>
      </c>
      <c r="I996" s="55"/>
      <c r="J996" s="56" t="s">
        <v>708</v>
      </c>
      <c r="K99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6" s="118">
        <f>ROUND(Tableau17[[#This Row],[LEN]]*7.27,0)</f>
        <v>167</v>
      </c>
      <c r="M996" s="118">
        <v>15</v>
      </c>
      <c r="N996" s="135" t="str">
        <f t="shared" si="7"/>
        <v>none</v>
      </c>
      <c r="O996" s="118">
        <f>LEN(Tableau17[[#This Row],[LABEL]])</f>
        <v>23</v>
      </c>
      <c r="P996" s="118">
        <v>15</v>
      </c>
      <c r="Q996" s="118" t="e">
        <f>ROUND(Tableau17[[#This Row],[LEN]]*#REF!+#REF!,0)</f>
        <v>#REF!</v>
      </c>
    </row>
    <row r="997" spans="1:17" s="97" customFormat="1" x14ac:dyDescent="0.25">
      <c r="A997" s="49" t="s">
        <v>1758</v>
      </c>
      <c r="B997" s="50" t="s">
        <v>315</v>
      </c>
      <c r="C997" s="51" t="s">
        <v>1770</v>
      </c>
      <c r="D997" s="76" t="s">
        <v>1771</v>
      </c>
      <c r="E997" s="51" t="s">
        <v>675</v>
      </c>
      <c r="F997" s="51" t="s">
        <v>1177</v>
      </c>
      <c r="G997" s="76" t="s">
        <v>2101</v>
      </c>
      <c r="H997" s="76" t="s">
        <v>654</v>
      </c>
      <c r="I997" s="51"/>
      <c r="J997" s="52" t="s">
        <v>708</v>
      </c>
      <c r="K99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7" s="117">
        <f>ROUND(Tableau17[[#This Row],[LEN]]*7.27,0)</f>
        <v>487</v>
      </c>
      <c r="M997" s="117">
        <v>15</v>
      </c>
      <c r="N997" s="134" t="str">
        <f t="shared" si="7"/>
        <v>none</v>
      </c>
      <c r="O997" s="117">
        <f>LEN(Tableau17[[#This Row],[LABEL]])</f>
        <v>67</v>
      </c>
      <c r="P997" s="117">
        <v>15</v>
      </c>
      <c r="Q997" s="117" t="e">
        <f>ROUND(Tableau17[[#This Row],[LEN]]*#REF!+#REF!,0)</f>
        <v>#REF!</v>
      </c>
    </row>
    <row r="998" spans="1:17" s="97" customFormat="1" x14ac:dyDescent="0.25">
      <c r="A998" s="49" t="s">
        <v>1759</v>
      </c>
      <c r="B998" s="50" t="s">
        <v>315</v>
      </c>
      <c r="C998" s="51" t="s">
        <v>1773</v>
      </c>
      <c r="D998" s="76" t="s">
        <v>1177</v>
      </c>
      <c r="E998" s="51" t="s">
        <v>675</v>
      </c>
      <c r="F998" s="51" t="s">
        <v>1177</v>
      </c>
      <c r="G998" s="76" t="s">
        <v>2101</v>
      </c>
      <c r="H998" s="76" t="s">
        <v>655</v>
      </c>
      <c r="I998" s="51"/>
      <c r="J998" s="52" t="s">
        <v>708</v>
      </c>
      <c r="K99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8" s="117">
        <f>ROUND(Tableau17[[#This Row],[LEN]]*7.27,0)</f>
        <v>153</v>
      </c>
      <c r="M998" s="117">
        <v>15</v>
      </c>
      <c r="N998" s="134" t="str">
        <f t="shared" si="7"/>
        <v>none</v>
      </c>
      <c r="O998" s="117">
        <f>LEN(Tableau17[[#This Row],[LABEL]])</f>
        <v>21</v>
      </c>
      <c r="P998" s="117">
        <v>15</v>
      </c>
      <c r="Q998" s="117" t="e">
        <f>ROUND(Tableau17[[#This Row],[LEN]]*#REF!+#REF!,0)</f>
        <v>#REF!</v>
      </c>
    </row>
    <row r="999" spans="1:17" s="97" customFormat="1" x14ac:dyDescent="0.25">
      <c r="A999" s="53" t="s">
        <v>1774</v>
      </c>
      <c r="B999" s="54" t="s">
        <v>1759</v>
      </c>
      <c r="C999" s="55" t="s">
        <v>1778</v>
      </c>
      <c r="D999" s="77" t="s">
        <v>1177</v>
      </c>
      <c r="E999" s="55" t="s">
        <v>675</v>
      </c>
      <c r="F999" s="55" t="s">
        <v>1177</v>
      </c>
      <c r="G999" s="77" t="s">
        <v>2101</v>
      </c>
      <c r="H999" s="77" t="s">
        <v>654</v>
      </c>
      <c r="I999" s="55"/>
      <c r="J999" s="56" t="s">
        <v>708</v>
      </c>
      <c r="K99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999" s="118">
        <f>ROUND(Tableau17[[#This Row],[LEN]]*7.27,0)</f>
        <v>225</v>
      </c>
      <c r="M999" s="118">
        <v>15</v>
      </c>
      <c r="N999" s="135" t="str">
        <f t="shared" si="7"/>
        <v>none</v>
      </c>
      <c r="O999" s="118">
        <f>LEN(Tableau17[[#This Row],[LABEL]])</f>
        <v>31</v>
      </c>
      <c r="P999" s="118">
        <v>15</v>
      </c>
      <c r="Q999" s="118" t="e">
        <f>ROUND(Tableau17[[#This Row],[LEN]]*#REF!+#REF!,0)</f>
        <v>#REF!</v>
      </c>
    </row>
    <row r="1000" spans="1:17" s="97" customFormat="1" x14ac:dyDescent="0.25">
      <c r="A1000" s="53" t="s">
        <v>1775</v>
      </c>
      <c r="B1000" s="54" t="s">
        <v>1759</v>
      </c>
      <c r="C1000" s="55" t="s">
        <v>1779</v>
      </c>
      <c r="D1000" s="77" t="s">
        <v>1177</v>
      </c>
      <c r="E1000" s="55" t="s">
        <v>675</v>
      </c>
      <c r="F1000" s="55" t="s">
        <v>1177</v>
      </c>
      <c r="G1000" s="77" t="s">
        <v>2101</v>
      </c>
      <c r="H1000" s="77" t="s">
        <v>654</v>
      </c>
      <c r="I1000" s="55"/>
      <c r="J1000" s="56" t="s">
        <v>708</v>
      </c>
      <c r="K100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0" s="118">
        <f>ROUND(Tableau17[[#This Row],[LEN]]*7.27,0)</f>
        <v>124</v>
      </c>
      <c r="M1000" s="118">
        <v>15</v>
      </c>
      <c r="N1000" s="135" t="str">
        <f t="shared" si="7"/>
        <v>none</v>
      </c>
      <c r="O1000" s="118">
        <f>LEN(Tableau17[[#This Row],[LABEL]])</f>
        <v>17</v>
      </c>
      <c r="P1000" s="118">
        <v>15</v>
      </c>
      <c r="Q1000" s="118" t="e">
        <f>ROUND(Tableau17[[#This Row],[LEN]]*#REF!+#REF!,0)</f>
        <v>#REF!</v>
      </c>
    </row>
    <row r="1001" spans="1:17" s="97" customFormat="1" x14ac:dyDescent="0.25">
      <c r="A1001" s="53" t="s">
        <v>1776</v>
      </c>
      <c r="B1001" s="54" t="s">
        <v>1759</v>
      </c>
      <c r="C1001" s="55" t="s">
        <v>1780</v>
      </c>
      <c r="D1001" s="77" t="s">
        <v>1177</v>
      </c>
      <c r="E1001" s="55" t="s">
        <v>675</v>
      </c>
      <c r="F1001" s="55" t="s">
        <v>1177</v>
      </c>
      <c r="G1001" s="77" t="s">
        <v>2101</v>
      </c>
      <c r="H1001" s="77" t="s">
        <v>654</v>
      </c>
      <c r="I1001" s="55"/>
      <c r="J1001" s="56" t="s">
        <v>708</v>
      </c>
      <c r="K100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1" s="118">
        <f>ROUND(Tableau17[[#This Row],[LEN]]*7.27,0)</f>
        <v>160</v>
      </c>
      <c r="M1001" s="118">
        <v>15</v>
      </c>
      <c r="N1001" s="135" t="str">
        <f t="shared" si="7"/>
        <v>none</v>
      </c>
      <c r="O1001" s="118">
        <f>LEN(Tableau17[[#This Row],[LABEL]])</f>
        <v>22</v>
      </c>
      <c r="P1001" s="118">
        <v>15</v>
      </c>
      <c r="Q1001" s="118" t="e">
        <f>ROUND(Tableau17[[#This Row],[LEN]]*#REF!+#REF!,0)</f>
        <v>#REF!</v>
      </c>
    </row>
    <row r="1002" spans="1:17" s="97" customFormat="1" x14ac:dyDescent="0.25">
      <c r="A1002" s="53" t="s">
        <v>1777</v>
      </c>
      <c r="B1002" s="54" t="s">
        <v>1759</v>
      </c>
      <c r="C1002" s="55" t="s">
        <v>1781</v>
      </c>
      <c r="D1002" s="77" t="s">
        <v>1177</v>
      </c>
      <c r="E1002" s="55" t="s">
        <v>675</v>
      </c>
      <c r="F1002" s="55" t="s">
        <v>1177</v>
      </c>
      <c r="G1002" s="77" t="s">
        <v>2101</v>
      </c>
      <c r="H1002" s="77" t="s">
        <v>654</v>
      </c>
      <c r="I1002" s="55"/>
      <c r="J1002" s="56" t="s">
        <v>708</v>
      </c>
      <c r="K100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2" s="118">
        <f>ROUND(Tableau17[[#This Row],[LEN]]*7.27,0)</f>
        <v>145</v>
      </c>
      <c r="M1002" s="118">
        <v>15</v>
      </c>
      <c r="N1002" s="135" t="str">
        <f t="shared" si="7"/>
        <v>none</v>
      </c>
      <c r="O1002" s="118">
        <f>LEN(Tableau17[[#This Row],[LABEL]])</f>
        <v>20</v>
      </c>
      <c r="P1002" s="118">
        <v>15</v>
      </c>
      <c r="Q1002" s="118" t="e">
        <f>ROUND(Tableau17[[#This Row],[LEN]]*#REF!+#REF!,0)</f>
        <v>#REF!</v>
      </c>
    </row>
    <row r="1003" spans="1:17" s="97" customFormat="1" x14ac:dyDescent="0.25">
      <c r="A1003" s="49" t="s">
        <v>1760</v>
      </c>
      <c r="B1003" s="50" t="s">
        <v>315</v>
      </c>
      <c r="C1003" s="51" t="s">
        <v>1782</v>
      </c>
      <c r="D1003" s="76" t="s">
        <v>1177</v>
      </c>
      <c r="E1003" s="51" t="s">
        <v>675</v>
      </c>
      <c r="F1003" s="51" t="s">
        <v>679</v>
      </c>
      <c r="G1003" s="76" t="s">
        <v>2101</v>
      </c>
      <c r="H1003" s="76" t="s">
        <v>655</v>
      </c>
      <c r="I1003" s="51"/>
      <c r="J1003" s="52" t="s">
        <v>708</v>
      </c>
      <c r="K100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3" s="117">
        <f>ROUND(Tableau17[[#This Row],[LEN]]*7.27,0)</f>
        <v>182</v>
      </c>
      <c r="M1003" s="117">
        <v>15</v>
      </c>
      <c r="N1003" s="134" t="str">
        <f t="shared" si="7"/>
        <v>none</v>
      </c>
      <c r="O1003" s="117">
        <f>LEN(Tableau17[[#This Row],[LABEL]])</f>
        <v>25</v>
      </c>
      <c r="P1003" s="117">
        <v>15</v>
      </c>
      <c r="Q1003" s="117" t="e">
        <f>ROUND(Tableau17[[#This Row],[LEN]]*#REF!+#REF!,0)</f>
        <v>#REF!</v>
      </c>
    </row>
    <row r="1004" spans="1:17" s="97" customFormat="1" x14ac:dyDescent="0.25">
      <c r="A1004" s="53" t="s">
        <v>1783</v>
      </c>
      <c r="B1004" s="54" t="s">
        <v>1760</v>
      </c>
      <c r="C1004" s="55" t="s">
        <v>1785</v>
      </c>
      <c r="D1004" s="77" t="s">
        <v>1177</v>
      </c>
      <c r="E1004" s="55" t="s">
        <v>675</v>
      </c>
      <c r="F1004" s="55" t="s">
        <v>679</v>
      </c>
      <c r="G1004" s="77" t="s">
        <v>2101</v>
      </c>
      <c r="H1004" s="77" t="s">
        <v>656</v>
      </c>
      <c r="I1004" s="55"/>
      <c r="J1004" s="56" t="s">
        <v>708</v>
      </c>
      <c r="K100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4" s="118">
        <f>ROUND(Tableau17[[#This Row],[LEN]]*7.27,0)</f>
        <v>167</v>
      </c>
      <c r="M1004" s="118">
        <v>15</v>
      </c>
      <c r="N1004" s="135" t="str">
        <f t="shared" si="7"/>
        <v>none</v>
      </c>
      <c r="O1004" s="118">
        <f>LEN(Tableau17[[#This Row],[LABEL]])</f>
        <v>23</v>
      </c>
      <c r="P1004" s="118">
        <v>15</v>
      </c>
      <c r="Q1004" s="118" t="e">
        <f>ROUND(Tableau17[[#This Row],[LEN]]*#REF!+#REF!,0)</f>
        <v>#REF!</v>
      </c>
    </row>
    <row r="1005" spans="1:17" s="97" customFormat="1" x14ac:dyDescent="0.25">
      <c r="A1005" s="53" t="s">
        <v>1784</v>
      </c>
      <c r="B1005" s="54" t="s">
        <v>1760</v>
      </c>
      <c r="C1005" s="55" t="s">
        <v>1470</v>
      </c>
      <c r="D1005" s="77" t="s">
        <v>1177</v>
      </c>
      <c r="E1005" s="55" t="s">
        <v>675</v>
      </c>
      <c r="F1005" s="55" t="s">
        <v>679</v>
      </c>
      <c r="G1005" s="77" t="s">
        <v>2101</v>
      </c>
      <c r="H1005" s="77" t="s">
        <v>656</v>
      </c>
      <c r="I1005" s="55"/>
      <c r="J1005" s="56" t="s">
        <v>708</v>
      </c>
      <c r="K100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5" s="118">
        <f>ROUND(Tableau17[[#This Row],[LEN]]*7.27,0)</f>
        <v>313</v>
      </c>
      <c r="M1005" s="118">
        <v>15</v>
      </c>
      <c r="N1005" s="135" t="str">
        <f t="shared" si="7"/>
        <v>none</v>
      </c>
      <c r="O1005" s="118">
        <f>LEN(Tableau17[[#This Row],[LABEL]])</f>
        <v>43</v>
      </c>
      <c r="P1005" s="118">
        <v>15</v>
      </c>
      <c r="Q1005" s="118" t="e">
        <f>ROUND(Tableau17[[#This Row],[LEN]]*#REF!+#REF!,0)</f>
        <v>#REF!</v>
      </c>
    </row>
    <row r="1006" spans="1:17" s="97" customFormat="1" x14ac:dyDescent="0.25">
      <c r="A1006" s="49" t="s">
        <v>1761</v>
      </c>
      <c r="B1006" s="50" t="s">
        <v>315</v>
      </c>
      <c r="C1006" s="51" t="s">
        <v>1786</v>
      </c>
      <c r="D1006" s="76" t="s">
        <v>1177</v>
      </c>
      <c r="E1006" s="51" t="s">
        <v>675</v>
      </c>
      <c r="F1006" s="51" t="s">
        <v>679</v>
      </c>
      <c r="G1006" s="76" t="s">
        <v>2101</v>
      </c>
      <c r="H1006" s="76" t="s">
        <v>655</v>
      </c>
      <c r="I1006" s="51"/>
      <c r="J1006" s="52" t="s">
        <v>708</v>
      </c>
      <c r="K100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6" s="117">
        <f>ROUND(Tableau17[[#This Row],[LEN]]*7.27,0)</f>
        <v>262</v>
      </c>
      <c r="M1006" s="117">
        <v>15</v>
      </c>
      <c r="N1006" s="134" t="str">
        <f t="shared" si="7"/>
        <v>none</v>
      </c>
      <c r="O1006" s="117">
        <f>LEN(Tableau17[[#This Row],[LABEL]])</f>
        <v>36</v>
      </c>
      <c r="P1006" s="117">
        <v>15</v>
      </c>
      <c r="Q1006" s="117" t="e">
        <f>ROUND(Tableau17[[#This Row],[LEN]]*#REF!+#REF!,0)</f>
        <v>#REF!</v>
      </c>
    </row>
    <row r="1007" spans="1:17" s="97" customFormat="1" x14ac:dyDescent="0.25">
      <c r="A1007" s="53" t="s">
        <v>1787</v>
      </c>
      <c r="B1007" s="54" t="s">
        <v>1761</v>
      </c>
      <c r="C1007" s="55" t="s">
        <v>1789</v>
      </c>
      <c r="D1007" s="77" t="s">
        <v>1177</v>
      </c>
      <c r="E1007" s="55" t="s">
        <v>675</v>
      </c>
      <c r="F1007" s="55" t="s">
        <v>679</v>
      </c>
      <c r="G1007" s="77" t="s">
        <v>2101</v>
      </c>
      <c r="H1007" s="77" t="s">
        <v>654</v>
      </c>
      <c r="I1007" s="55"/>
      <c r="J1007" s="56" t="s">
        <v>708</v>
      </c>
      <c r="K100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7" s="118">
        <f>ROUND(Tableau17[[#This Row],[LEN]]*7.27,0)</f>
        <v>487</v>
      </c>
      <c r="M1007" s="118">
        <v>15</v>
      </c>
      <c r="N1007" s="135" t="str">
        <f t="shared" si="7"/>
        <v>none</v>
      </c>
      <c r="O1007" s="118">
        <f>LEN(Tableau17[[#This Row],[LABEL]])</f>
        <v>67</v>
      </c>
      <c r="P1007" s="118">
        <v>15</v>
      </c>
      <c r="Q1007" s="118" t="e">
        <f>ROUND(Tableau17[[#This Row],[LEN]]*#REF!+#REF!,0)</f>
        <v>#REF!</v>
      </c>
    </row>
    <row r="1008" spans="1:17" s="97" customFormat="1" x14ac:dyDescent="0.25">
      <c r="A1008" s="53" t="s">
        <v>1788</v>
      </c>
      <c r="B1008" s="54" t="s">
        <v>1761</v>
      </c>
      <c r="C1008" s="55" t="s">
        <v>1790</v>
      </c>
      <c r="D1008" s="77" t="s">
        <v>1177</v>
      </c>
      <c r="E1008" s="55" t="s">
        <v>675</v>
      </c>
      <c r="F1008" s="55" t="s">
        <v>679</v>
      </c>
      <c r="G1008" s="77" t="s">
        <v>2101</v>
      </c>
      <c r="H1008" s="77" t="s">
        <v>654</v>
      </c>
      <c r="I1008" s="55"/>
      <c r="J1008" s="56" t="s">
        <v>708</v>
      </c>
      <c r="K100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8" s="118">
        <f>ROUND(Tableau17[[#This Row],[LEN]]*7.27,0)</f>
        <v>313</v>
      </c>
      <c r="M1008" s="118">
        <v>15</v>
      </c>
      <c r="N1008" s="135" t="str">
        <f t="shared" si="7"/>
        <v>none</v>
      </c>
      <c r="O1008" s="118">
        <f>LEN(Tableau17[[#This Row],[LABEL]])</f>
        <v>43</v>
      </c>
      <c r="P1008" s="118">
        <v>15</v>
      </c>
      <c r="Q1008" s="118" t="e">
        <f>ROUND(Tableau17[[#This Row],[LEN]]*#REF!+#REF!,0)</f>
        <v>#REF!</v>
      </c>
    </row>
    <row r="1009" spans="1:17" s="97" customFormat="1" x14ac:dyDescent="0.25">
      <c r="A1009" s="49" t="s">
        <v>1762</v>
      </c>
      <c r="B1009" s="50" t="s">
        <v>315</v>
      </c>
      <c r="C1009" s="51" t="s">
        <v>1791</v>
      </c>
      <c r="D1009" s="76" t="s">
        <v>1177</v>
      </c>
      <c r="E1009" s="51" t="s">
        <v>675</v>
      </c>
      <c r="F1009" s="51" t="s">
        <v>679</v>
      </c>
      <c r="G1009" s="76" t="s">
        <v>2101</v>
      </c>
      <c r="H1009" s="76" t="s">
        <v>655</v>
      </c>
      <c r="I1009" s="51"/>
      <c r="J1009" s="52" t="s">
        <v>708</v>
      </c>
      <c r="K100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09" s="117">
        <f>ROUND(Tableau17[[#This Row],[LEN]]*7.27,0)</f>
        <v>153</v>
      </c>
      <c r="M1009" s="117">
        <v>15</v>
      </c>
      <c r="N1009" s="134" t="str">
        <f t="shared" si="7"/>
        <v>none</v>
      </c>
      <c r="O1009" s="117">
        <f>LEN(Tableau17[[#This Row],[LABEL]])</f>
        <v>21</v>
      </c>
      <c r="P1009" s="117">
        <v>15</v>
      </c>
      <c r="Q1009" s="117" t="e">
        <f>ROUND(Tableau17[[#This Row],[LEN]]*#REF!+#REF!,0)</f>
        <v>#REF!</v>
      </c>
    </row>
    <row r="1010" spans="1:17" s="97" customFormat="1" x14ac:dyDescent="0.25">
      <c r="A1010" s="53" t="s">
        <v>1792</v>
      </c>
      <c r="B1010" s="54" t="s">
        <v>1762</v>
      </c>
      <c r="C1010" s="55" t="s">
        <v>1778</v>
      </c>
      <c r="D1010" s="77" t="s">
        <v>1177</v>
      </c>
      <c r="E1010" s="55" t="s">
        <v>675</v>
      </c>
      <c r="F1010" s="55" t="s">
        <v>679</v>
      </c>
      <c r="G1010" s="77" t="s">
        <v>2101</v>
      </c>
      <c r="H1010" s="77" t="s">
        <v>654</v>
      </c>
      <c r="I1010" s="55"/>
      <c r="J1010" s="56" t="s">
        <v>708</v>
      </c>
      <c r="K101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0" s="118">
        <f>ROUND(Tableau17[[#This Row],[LEN]]*7.27,0)</f>
        <v>225</v>
      </c>
      <c r="M1010" s="118">
        <v>15</v>
      </c>
      <c r="N1010" s="135" t="str">
        <f t="shared" si="7"/>
        <v>none</v>
      </c>
      <c r="O1010" s="118">
        <f>LEN(Tableau17[[#This Row],[LABEL]])</f>
        <v>31</v>
      </c>
      <c r="P1010" s="118">
        <v>15</v>
      </c>
      <c r="Q1010" s="118" t="e">
        <f>ROUND(Tableau17[[#This Row],[LEN]]*#REF!+#REF!,0)</f>
        <v>#REF!</v>
      </c>
    </row>
    <row r="1011" spans="1:17" s="97" customFormat="1" x14ac:dyDescent="0.25">
      <c r="A1011" s="53" t="s">
        <v>1793</v>
      </c>
      <c r="B1011" s="54" t="s">
        <v>1762</v>
      </c>
      <c r="C1011" s="55" t="s">
        <v>1779</v>
      </c>
      <c r="D1011" s="77" t="s">
        <v>1177</v>
      </c>
      <c r="E1011" s="55" t="s">
        <v>675</v>
      </c>
      <c r="F1011" s="55" t="s">
        <v>679</v>
      </c>
      <c r="G1011" s="77" t="s">
        <v>2101</v>
      </c>
      <c r="H1011" s="77" t="s">
        <v>654</v>
      </c>
      <c r="I1011" s="55"/>
      <c r="J1011" s="56" t="s">
        <v>708</v>
      </c>
      <c r="K101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1" s="118">
        <f>ROUND(Tableau17[[#This Row],[LEN]]*7.27,0)</f>
        <v>124</v>
      </c>
      <c r="M1011" s="118">
        <v>15</v>
      </c>
      <c r="N1011" s="135" t="str">
        <f t="shared" si="7"/>
        <v>none</v>
      </c>
      <c r="O1011" s="118">
        <f>LEN(Tableau17[[#This Row],[LABEL]])</f>
        <v>17</v>
      </c>
      <c r="P1011" s="118">
        <v>15</v>
      </c>
      <c r="Q1011" s="118" t="e">
        <f>ROUND(Tableau17[[#This Row],[LEN]]*#REF!+#REF!,0)</f>
        <v>#REF!</v>
      </c>
    </row>
    <row r="1012" spans="1:17" s="97" customFormat="1" x14ac:dyDescent="0.25">
      <c r="A1012" s="53" t="s">
        <v>1794</v>
      </c>
      <c r="B1012" s="54" t="s">
        <v>1762</v>
      </c>
      <c r="C1012" s="55" t="s">
        <v>1780</v>
      </c>
      <c r="D1012" s="77" t="s">
        <v>1177</v>
      </c>
      <c r="E1012" s="55" t="s">
        <v>675</v>
      </c>
      <c r="F1012" s="55" t="s">
        <v>679</v>
      </c>
      <c r="G1012" s="77" t="s">
        <v>2101</v>
      </c>
      <c r="H1012" s="77" t="s">
        <v>654</v>
      </c>
      <c r="I1012" s="55"/>
      <c r="J1012" s="56" t="s">
        <v>708</v>
      </c>
      <c r="K101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2" s="118">
        <f>ROUND(Tableau17[[#This Row],[LEN]]*7.27,0)</f>
        <v>160</v>
      </c>
      <c r="M1012" s="118">
        <v>15</v>
      </c>
      <c r="N1012" s="135" t="str">
        <f t="shared" si="7"/>
        <v>none</v>
      </c>
      <c r="O1012" s="118">
        <f>LEN(Tableau17[[#This Row],[LABEL]])</f>
        <v>22</v>
      </c>
      <c r="P1012" s="118">
        <v>15</v>
      </c>
      <c r="Q1012" s="118" t="e">
        <f>ROUND(Tableau17[[#This Row],[LEN]]*#REF!+#REF!,0)</f>
        <v>#REF!</v>
      </c>
    </row>
    <row r="1013" spans="1:17" s="97" customFormat="1" x14ac:dyDescent="0.25">
      <c r="A1013" s="53" t="s">
        <v>1795</v>
      </c>
      <c r="B1013" s="54" t="s">
        <v>1762</v>
      </c>
      <c r="C1013" s="55" t="s">
        <v>1781</v>
      </c>
      <c r="D1013" s="77" t="s">
        <v>1177</v>
      </c>
      <c r="E1013" s="55" t="s">
        <v>675</v>
      </c>
      <c r="F1013" s="55" t="s">
        <v>679</v>
      </c>
      <c r="G1013" s="77" t="s">
        <v>2101</v>
      </c>
      <c r="H1013" s="77" t="s">
        <v>654</v>
      </c>
      <c r="I1013" s="55"/>
      <c r="J1013" s="56" t="s">
        <v>708</v>
      </c>
      <c r="K101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3" s="118">
        <f>ROUND(Tableau17[[#This Row],[LEN]]*7.27,0)</f>
        <v>145</v>
      </c>
      <c r="M1013" s="118">
        <v>15</v>
      </c>
      <c r="N1013" s="135" t="str">
        <f t="shared" si="7"/>
        <v>none</v>
      </c>
      <c r="O1013" s="118">
        <f>LEN(Tableau17[[#This Row],[LABEL]])</f>
        <v>20</v>
      </c>
      <c r="P1013" s="118">
        <v>15</v>
      </c>
      <c r="Q1013" s="118" t="e">
        <f>ROUND(Tableau17[[#This Row],[LEN]]*#REF!+#REF!,0)</f>
        <v>#REF!</v>
      </c>
    </row>
    <row r="1014" spans="1:17" s="97" customFormat="1" x14ac:dyDescent="0.25">
      <c r="A1014" s="49" t="s">
        <v>1763</v>
      </c>
      <c r="B1014" s="50" t="s">
        <v>315</v>
      </c>
      <c r="C1014" s="51" t="s">
        <v>598</v>
      </c>
      <c r="D1014" s="76" t="s">
        <v>1177</v>
      </c>
      <c r="E1014" s="51" t="s">
        <v>673</v>
      </c>
      <c r="F1014" s="51" t="s">
        <v>2035</v>
      </c>
      <c r="G1014" s="76" t="s">
        <v>2101</v>
      </c>
      <c r="H1014" s="76" t="s">
        <v>654</v>
      </c>
      <c r="I1014" s="51"/>
      <c r="J1014" s="52" t="s">
        <v>708</v>
      </c>
      <c r="K101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4" s="117">
        <f>ROUND(Tableau17[[#This Row],[LEN]]*7.27,0)</f>
        <v>553</v>
      </c>
      <c r="M1014" s="117">
        <v>15</v>
      </c>
      <c r="N1014" s="134" t="str">
        <f t="shared" si="7"/>
        <v>none</v>
      </c>
      <c r="O1014" s="117">
        <f>LEN(Tableau17[[#This Row],[LABEL]])</f>
        <v>76</v>
      </c>
      <c r="P1014" s="117">
        <v>15</v>
      </c>
      <c r="Q1014" s="117" t="e">
        <f>ROUND(Tableau17[[#This Row],[LEN]]*#REF!+#REF!,0)</f>
        <v>#REF!</v>
      </c>
    </row>
    <row r="1015" spans="1:17" s="273" customFormat="1" x14ac:dyDescent="0.25">
      <c r="A1015" s="351" t="s">
        <v>316</v>
      </c>
      <c r="B1015" s="352" t="s">
        <v>209</v>
      </c>
      <c r="C1015" s="353" t="s">
        <v>71</v>
      </c>
      <c r="D1015" s="354" t="s">
        <v>1177</v>
      </c>
      <c r="E1015" s="353" t="s">
        <v>676</v>
      </c>
      <c r="F1015" s="353" t="s">
        <v>1177</v>
      </c>
      <c r="G1015" s="354" t="s">
        <v>2101</v>
      </c>
      <c r="H1015" s="354" t="str">
        <f>IFERROR(IF(SEARCH(".00.00.00.00.00",Tableau17[[#This Row],[name]],1)=7,"Division",""),"")</f>
        <v>Division</v>
      </c>
      <c r="I1015" s="353"/>
      <c r="J1015" s="355" t="s">
        <v>722</v>
      </c>
      <c r="K1015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15" s="356">
        <f>ROUND(Tableau17[[#This Row],[LEN]]*7.27,0)</f>
        <v>29</v>
      </c>
      <c r="M1015" s="356">
        <v>15</v>
      </c>
      <c r="N1015" s="357" t="str">
        <f t="shared" si="7"/>
        <v>new</v>
      </c>
      <c r="O1015" s="356">
        <f>LEN(Tableau17[[#This Row],[LABEL]])</f>
        <v>4</v>
      </c>
      <c r="P1015" s="356">
        <v>15</v>
      </c>
      <c r="Q1015" s="356" t="e">
        <f>ROUND(Tableau17[[#This Row],[LEN]]*#REF!+#REF!,0)</f>
        <v>#REF!</v>
      </c>
    </row>
    <row r="1016" spans="1:17" s="97" customFormat="1" x14ac:dyDescent="0.25">
      <c r="A1016" s="49" t="s">
        <v>1796</v>
      </c>
      <c r="B1016" s="50" t="s">
        <v>316</v>
      </c>
      <c r="C1016" s="51" t="s">
        <v>129</v>
      </c>
      <c r="D1016" s="76" t="s">
        <v>1177</v>
      </c>
      <c r="E1016" s="51" t="s">
        <v>673</v>
      </c>
      <c r="F1016" s="51" t="s">
        <v>2035</v>
      </c>
      <c r="G1016" s="76" t="s">
        <v>2101</v>
      </c>
      <c r="H1016" s="76" t="s">
        <v>655</v>
      </c>
      <c r="I1016" s="51"/>
      <c r="J1016" s="52" t="s">
        <v>708</v>
      </c>
      <c r="K101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6" s="117">
        <f>ROUND(Tableau17[[#This Row],[LEN]]*7.27,0)</f>
        <v>87</v>
      </c>
      <c r="M1016" s="117">
        <v>15</v>
      </c>
      <c r="N1016" s="134" t="str">
        <f t="shared" si="7"/>
        <v>none</v>
      </c>
      <c r="O1016" s="117">
        <f>LEN(Tableau17[[#This Row],[LABEL]])</f>
        <v>12</v>
      </c>
      <c r="P1016" s="117">
        <v>15</v>
      </c>
      <c r="Q1016" s="117" t="e">
        <f>ROUND(Tableau17[[#This Row],[LEN]]*#REF!+#REF!,0)</f>
        <v>#REF!</v>
      </c>
    </row>
    <row r="1017" spans="1:17" s="97" customFormat="1" x14ac:dyDescent="0.25">
      <c r="A1017" s="53" t="s">
        <v>1802</v>
      </c>
      <c r="B1017" s="54" t="s">
        <v>1796</v>
      </c>
      <c r="C1017" s="55" t="s">
        <v>131</v>
      </c>
      <c r="D1017" s="77" t="s">
        <v>1177</v>
      </c>
      <c r="E1017" s="55" t="s">
        <v>673</v>
      </c>
      <c r="F1017" s="55" t="s">
        <v>2035</v>
      </c>
      <c r="G1017" s="77" t="s">
        <v>2101</v>
      </c>
      <c r="H1017" s="77" t="s">
        <v>570</v>
      </c>
      <c r="I1017" s="55"/>
      <c r="J1017" s="56" t="s">
        <v>708</v>
      </c>
      <c r="K101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7" s="118">
        <f>ROUND(Tableau17[[#This Row],[LEN]]*7.27,0)</f>
        <v>262</v>
      </c>
      <c r="M1017" s="118">
        <v>15</v>
      </c>
      <c r="N1017" s="135" t="str">
        <f t="shared" si="7"/>
        <v>none</v>
      </c>
      <c r="O1017" s="118">
        <f>LEN(Tableau17[[#This Row],[LABEL]])</f>
        <v>36</v>
      </c>
      <c r="P1017" s="118">
        <v>15</v>
      </c>
      <c r="Q1017" s="118" t="e">
        <f>ROUND(Tableau17[[#This Row],[LEN]]*#REF!+#REF!,0)</f>
        <v>#REF!</v>
      </c>
    </row>
    <row r="1018" spans="1:17" s="97" customFormat="1" x14ac:dyDescent="0.25">
      <c r="A1018" s="53" t="s">
        <v>1803</v>
      </c>
      <c r="B1018" s="54" t="s">
        <v>1796</v>
      </c>
      <c r="C1018" s="55" t="s">
        <v>132</v>
      </c>
      <c r="D1018" s="77" t="s">
        <v>1177</v>
      </c>
      <c r="E1018" s="55" t="s">
        <v>673</v>
      </c>
      <c r="F1018" s="55" t="s">
        <v>2035</v>
      </c>
      <c r="G1018" s="77" t="s">
        <v>2101</v>
      </c>
      <c r="H1018" s="77" t="s">
        <v>570</v>
      </c>
      <c r="I1018" s="55"/>
      <c r="J1018" s="56" t="s">
        <v>708</v>
      </c>
      <c r="K101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8" s="118">
        <f>ROUND(Tableau17[[#This Row],[LEN]]*7.27,0)</f>
        <v>298</v>
      </c>
      <c r="M1018" s="118">
        <v>15</v>
      </c>
      <c r="N1018" s="135" t="str">
        <f t="shared" si="7"/>
        <v>none</v>
      </c>
      <c r="O1018" s="118">
        <f>LEN(Tableau17[[#This Row],[LABEL]])</f>
        <v>41</v>
      </c>
      <c r="P1018" s="118">
        <v>15</v>
      </c>
      <c r="Q1018" s="118" t="e">
        <f>ROUND(Tableau17[[#This Row],[LEN]]*#REF!+#REF!,0)</f>
        <v>#REF!</v>
      </c>
    </row>
    <row r="1019" spans="1:17" s="97" customFormat="1" x14ac:dyDescent="0.25">
      <c r="A1019" s="49" t="s">
        <v>1797</v>
      </c>
      <c r="B1019" s="50" t="s">
        <v>316</v>
      </c>
      <c r="C1019" s="51" t="s">
        <v>1808</v>
      </c>
      <c r="D1019" s="76" t="s">
        <v>1177</v>
      </c>
      <c r="E1019" s="51" t="s">
        <v>676</v>
      </c>
      <c r="F1019" s="51" t="s">
        <v>1177</v>
      </c>
      <c r="G1019" s="76" t="s">
        <v>2101</v>
      </c>
      <c r="H1019" s="76" t="s">
        <v>654</v>
      </c>
      <c r="I1019" s="51"/>
      <c r="J1019" s="52" t="s">
        <v>708</v>
      </c>
      <c r="K101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19" s="117">
        <f>ROUND(Tableau17[[#This Row],[LEN]]*7.27,0)</f>
        <v>364</v>
      </c>
      <c r="M1019" s="117">
        <v>15</v>
      </c>
      <c r="N1019" s="134" t="str">
        <f t="shared" si="7"/>
        <v>none</v>
      </c>
      <c r="O1019" s="117">
        <f>LEN(Tableau17[[#This Row],[LABEL]])</f>
        <v>50</v>
      </c>
      <c r="P1019" s="117">
        <v>15</v>
      </c>
      <c r="Q1019" s="117" t="e">
        <f>ROUND(Tableau17[[#This Row],[LEN]]*#REF!+#REF!,0)</f>
        <v>#REF!</v>
      </c>
    </row>
    <row r="1020" spans="1:17" s="97" customFormat="1" x14ac:dyDescent="0.25">
      <c r="A1020" s="49" t="s">
        <v>1798</v>
      </c>
      <c r="B1020" s="50" t="s">
        <v>316</v>
      </c>
      <c r="C1020" s="51" t="s">
        <v>1810</v>
      </c>
      <c r="D1020" s="76" t="s">
        <v>1177</v>
      </c>
      <c r="E1020" s="51" t="s">
        <v>676</v>
      </c>
      <c r="F1020" s="51" t="s">
        <v>1177</v>
      </c>
      <c r="G1020" s="76" t="s">
        <v>2101</v>
      </c>
      <c r="H1020" s="76" t="s">
        <v>656</v>
      </c>
      <c r="I1020" s="51"/>
      <c r="J1020" s="52" t="s">
        <v>708</v>
      </c>
      <c r="K102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0" s="117">
        <f>ROUND(Tableau17[[#This Row],[LEN]]*7.27,0)</f>
        <v>124</v>
      </c>
      <c r="M1020" s="117">
        <v>15</v>
      </c>
      <c r="N1020" s="134" t="str">
        <f t="shared" si="7"/>
        <v>none</v>
      </c>
      <c r="O1020" s="117">
        <f>LEN(Tableau17[[#This Row],[LABEL]])</f>
        <v>17</v>
      </c>
      <c r="P1020" s="117">
        <v>15</v>
      </c>
      <c r="Q1020" s="117" t="e">
        <f>ROUND(Tableau17[[#This Row],[LEN]]*#REF!+#REF!,0)</f>
        <v>#REF!</v>
      </c>
    </row>
    <row r="1021" spans="1:17" s="97" customFormat="1" x14ac:dyDescent="0.25">
      <c r="A1021" s="49" t="s">
        <v>1799</v>
      </c>
      <c r="B1021" s="50" t="s">
        <v>316</v>
      </c>
      <c r="C1021" s="51" t="s">
        <v>1809</v>
      </c>
      <c r="D1021" s="76" t="s">
        <v>1177</v>
      </c>
      <c r="E1021" s="51" t="s">
        <v>676</v>
      </c>
      <c r="F1021" s="51" t="s">
        <v>1177</v>
      </c>
      <c r="G1021" s="76" t="s">
        <v>2101</v>
      </c>
      <c r="H1021" s="76" t="s">
        <v>656</v>
      </c>
      <c r="I1021" s="51"/>
      <c r="J1021" s="52" t="s">
        <v>708</v>
      </c>
      <c r="K102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1" s="117">
        <f>ROUND(Tableau17[[#This Row],[LEN]]*7.27,0)</f>
        <v>189</v>
      </c>
      <c r="M1021" s="117">
        <v>15</v>
      </c>
      <c r="N1021" s="134" t="str">
        <f t="shared" si="7"/>
        <v>none</v>
      </c>
      <c r="O1021" s="117">
        <f>LEN(Tableau17[[#This Row],[LABEL]])</f>
        <v>26</v>
      </c>
      <c r="P1021" s="117">
        <v>15</v>
      </c>
      <c r="Q1021" s="117" t="e">
        <f>ROUND(Tableau17[[#This Row],[LEN]]*#REF!+#REF!,0)</f>
        <v>#REF!</v>
      </c>
    </row>
    <row r="1022" spans="1:17" s="97" customFormat="1" x14ac:dyDescent="0.25">
      <c r="A1022" s="49" t="s">
        <v>1800</v>
      </c>
      <c r="B1022" s="50" t="s">
        <v>316</v>
      </c>
      <c r="C1022" s="51" t="s">
        <v>549</v>
      </c>
      <c r="D1022" s="76" t="s">
        <v>1177</v>
      </c>
      <c r="E1022" s="51" t="s">
        <v>673</v>
      </c>
      <c r="F1022" s="51" t="s">
        <v>1704</v>
      </c>
      <c r="G1022" s="76" t="s">
        <v>2101</v>
      </c>
      <c r="H1022" s="76" t="s">
        <v>655</v>
      </c>
      <c r="I1022" s="51"/>
      <c r="J1022" s="52" t="s">
        <v>708</v>
      </c>
      <c r="K102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2" s="117">
        <f>ROUND(Tableau17[[#This Row],[LEN]]*7.27,0)</f>
        <v>145</v>
      </c>
      <c r="M1022" s="117">
        <v>15</v>
      </c>
      <c r="N1022" s="134" t="str">
        <f t="shared" si="7"/>
        <v>none</v>
      </c>
      <c r="O1022" s="117">
        <f>LEN(Tableau17[[#This Row],[LABEL]])</f>
        <v>20</v>
      </c>
      <c r="P1022" s="117">
        <v>15</v>
      </c>
      <c r="Q1022" s="117" t="e">
        <f>ROUND(Tableau17[[#This Row],[LEN]]*#REF!+#REF!,0)</f>
        <v>#REF!</v>
      </c>
    </row>
    <row r="1023" spans="1:17" s="97" customFormat="1" x14ac:dyDescent="0.25">
      <c r="A1023" s="53" t="s">
        <v>1804</v>
      </c>
      <c r="B1023" s="54" t="s">
        <v>1800</v>
      </c>
      <c r="C1023" s="55" t="s">
        <v>590</v>
      </c>
      <c r="D1023" s="77" t="s">
        <v>1177</v>
      </c>
      <c r="E1023" s="55" t="s">
        <v>673</v>
      </c>
      <c r="F1023" s="55" t="s">
        <v>1704</v>
      </c>
      <c r="G1023" s="77" t="s">
        <v>2101</v>
      </c>
      <c r="H1023" s="77" t="s">
        <v>570</v>
      </c>
      <c r="I1023" s="55"/>
      <c r="J1023" s="56" t="s">
        <v>708</v>
      </c>
      <c r="K102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3" s="118">
        <f>ROUND(Tableau17[[#This Row],[LEN]]*7.27,0)</f>
        <v>102</v>
      </c>
      <c r="M1023" s="118">
        <v>15</v>
      </c>
      <c r="N1023" s="135" t="str">
        <f t="shared" si="7"/>
        <v>none</v>
      </c>
      <c r="O1023" s="118">
        <f>LEN(Tableau17[[#This Row],[LABEL]])</f>
        <v>14</v>
      </c>
      <c r="P1023" s="118">
        <v>15</v>
      </c>
      <c r="Q1023" s="118" t="e">
        <f>ROUND(Tableau17[[#This Row],[LEN]]*#REF!+#REF!,0)</f>
        <v>#REF!</v>
      </c>
    </row>
    <row r="1024" spans="1:17" s="97" customFormat="1" x14ac:dyDescent="0.25">
      <c r="A1024" s="53" t="s">
        <v>1805</v>
      </c>
      <c r="B1024" s="54" t="s">
        <v>1800</v>
      </c>
      <c r="C1024" s="55" t="s">
        <v>591</v>
      </c>
      <c r="D1024" s="77" t="s">
        <v>1177</v>
      </c>
      <c r="E1024" s="55" t="s">
        <v>673</v>
      </c>
      <c r="F1024" s="55" t="s">
        <v>1704</v>
      </c>
      <c r="G1024" s="77" t="s">
        <v>2101</v>
      </c>
      <c r="H1024" s="77" t="s">
        <v>570</v>
      </c>
      <c r="I1024" s="55"/>
      <c r="J1024" s="56" t="s">
        <v>708</v>
      </c>
      <c r="K102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4" s="118">
        <f>ROUND(Tableau17[[#This Row],[LEN]]*7.27,0)</f>
        <v>262</v>
      </c>
      <c r="M1024" s="118">
        <v>15</v>
      </c>
      <c r="N1024" s="135" t="str">
        <f t="shared" si="7"/>
        <v>none</v>
      </c>
      <c r="O1024" s="118">
        <f>LEN(Tableau17[[#This Row],[LABEL]])</f>
        <v>36</v>
      </c>
      <c r="P1024" s="118">
        <v>15</v>
      </c>
      <c r="Q1024" s="118" t="e">
        <f>ROUND(Tableau17[[#This Row],[LEN]]*#REF!+#REF!,0)</f>
        <v>#REF!</v>
      </c>
    </row>
    <row r="1025" spans="1:17" s="97" customFormat="1" x14ac:dyDescent="0.25">
      <c r="A1025" s="53" t="s">
        <v>1806</v>
      </c>
      <c r="B1025" s="54" t="s">
        <v>1800</v>
      </c>
      <c r="C1025" s="55" t="s">
        <v>592</v>
      </c>
      <c r="D1025" s="77" t="s">
        <v>1177</v>
      </c>
      <c r="E1025" s="55" t="s">
        <v>673</v>
      </c>
      <c r="F1025" s="55" t="s">
        <v>1704</v>
      </c>
      <c r="G1025" s="77" t="s">
        <v>2101</v>
      </c>
      <c r="H1025" s="77" t="s">
        <v>570</v>
      </c>
      <c r="I1025" s="55"/>
      <c r="J1025" s="56" t="s">
        <v>708</v>
      </c>
      <c r="K102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5" s="118">
        <f>ROUND(Tableau17[[#This Row],[LEN]]*7.27,0)</f>
        <v>189</v>
      </c>
      <c r="M1025" s="118">
        <v>15</v>
      </c>
      <c r="N1025" s="135" t="str">
        <f t="shared" si="7"/>
        <v>none</v>
      </c>
      <c r="O1025" s="118">
        <f>LEN(Tableau17[[#This Row],[LABEL]])</f>
        <v>26</v>
      </c>
      <c r="P1025" s="118">
        <v>15</v>
      </c>
      <c r="Q1025" s="118" t="e">
        <f>ROUND(Tableau17[[#This Row],[LEN]]*#REF!+#REF!,0)</f>
        <v>#REF!</v>
      </c>
    </row>
    <row r="1026" spans="1:17" s="97" customFormat="1" x14ac:dyDescent="0.25">
      <c r="A1026" s="53" t="s">
        <v>1807</v>
      </c>
      <c r="B1026" s="54" t="s">
        <v>1800</v>
      </c>
      <c r="C1026" s="55" t="s">
        <v>597</v>
      </c>
      <c r="D1026" s="77" t="s">
        <v>1177</v>
      </c>
      <c r="E1026" s="55" t="s">
        <v>673</v>
      </c>
      <c r="F1026" s="55" t="s">
        <v>1704</v>
      </c>
      <c r="G1026" s="77" t="s">
        <v>2101</v>
      </c>
      <c r="H1026" s="77" t="s">
        <v>570</v>
      </c>
      <c r="I1026" s="55"/>
      <c r="J1026" s="56" t="s">
        <v>708</v>
      </c>
      <c r="K102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6" s="118">
        <f>ROUND(Tableau17[[#This Row],[LEN]]*7.27,0)</f>
        <v>465</v>
      </c>
      <c r="M1026" s="118">
        <v>15</v>
      </c>
      <c r="N1026" s="135" t="str">
        <f t="shared" si="7"/>
        <v>none</v>
      </c>
      <c r="O1026" s="118">
        <f>LEN(Tableau17[[#This Row],[LABEL]])</f>
        <v>64</v>
      </c>
      <c r="P1026" s="118">
        <v>15</v>
      </c>
      <c r="Q1026" s="118" t="e">
        <f>ROUND(Tableau17[[#This Row],[LEN]]*#REF!+#REF!,0)</f>
        <v>#REF!</v>
      </c>
    </row>
    <row r="1027" spans="1:17" s="97" customFormat="1" x14ac:dyDescent="0.25">
      <c r="A1027" s="49" t="s">
        <v>1801</v>
      </c>
      <c r="B1027" s="50" t="s">
        <v>316</v>
      </c>
      <c r="C1027" s="51" t="s">
        <v>598</v>
      </c>
      <c r="D1027" s="76" t="s">
        <v>1177</v>
      </c>
      <c r="E1027" s="51" t="s">
        <v>673</v>
      </c>
      <c r="F1027" s="51" t="s">
        <v>2035</v>
      </c>
      <c r="G1027" s="76" t="s">
        <v>2101</v>
      </c>
      <c r="H1027" s="76" t="s">
        <v>654</v>
      </c>
      <c r="I1027" s="51"/>
      <c r="J1027" s="52" t="s">
        <v>708</v>
      </c>
      <c r="K102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7" s="117">
        <f>ROUND(Tableau17[[#This Row],[LEN]]*7.27,0)</f>
        <v>553</v>
      </c>
      <c r="M1027" s="117">
        <v>15</v>
      </c>
      <c r="N1027" s="134" t="str">
        <f t="shared" si="7"/>
        <v>none</v>
      </c>
      <c r="O1027" s="117">
        <f>LEN(Tableau17[[#This Row],[LABEL]])</f>
        <v>76</v>
      </c>
      <c r="P1027" s="117">
        <v>15</v>
      </c>
      <c r="Q1027" s="117" t="e">
        <f>ROUND(Tableau17[[#This Row],[LEN]]*#REF!+#REF!,0)</f>
        <v>#REF!</v>
      </c>
    </row>
    <row r="1028" spans="1:17" s="273" customFormat="1" x14ac:dyDescent="0.25">
      <c r="A1028" s="351" t="s">
        <v>317</v>
      </c>
      <c r="B1028" s="352" t="s">
        <v>209</v>
      </c>
      <c r="C1028" s="353" t="s">
        <v>13</v>
      </c>
      <c r="D1028" s="354" t="s">
        <v>1177</v>
      </c>
      <c r="E1028" s="353" t="s">
        <v>677</v>
      </c>
      <c r="F1028" s="353" t="s">
        <v>1177</v>
      </c>
      <c r="G1028" s="354" t="s">
        <v>2101</v>
      </c>
      <c r="H1028" s="354" t="str">
        <f>IFERROR(IF(SEARCH(".00.00.00.00.00",Tableau17[[#This Row],[name]],1)=7,"Division",""),"")</f>
        <v>Division</v>
      </c>
      <c r="I1028" s="353"/>
      <c r="J1028" s="355" t="s">
        <v>708</v>
      </c>
      <c r="K1028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28" s="356">
        <f>ROUND(Tableau17[[#This Row],[LEN]]*7.27,0)</f>
        <v>80</v>
      </c>
      <c r="M1028" s="356">
        <v>15</v>
      </c>
      <c r="N1028" s="357" t="str">
        <f t="shared" si="7"/>
        <v>none</v>
      </c>
      <c r="O1028" s="356">
        <f>LEN(Tableau17[[#This Row],[LABEL]])</f>
        <v>11</v>
      </c>
      <c r="P1028" s="356">
        <v>15</v>
      </c>
      <c r="Q1028" s="356" t="e">
        <f>ROUND(Tableau17[[#This Row],[LEN]]*#REF!+#REF!,0)</f>
        <v>#REF!</v>
      </c>
    </row>
    <row r="1029" spans="1:17" s="97" customFormat="1" x14ac:dyDescent="0.25">
      <c r="A1029" s="49" t="s">
        <v>1811</v>
      </c>
      <c r="B1029" s="50" t="s">
        <v>317</v>
      </c>
      <c r="C1029" s="51" t="s">
        <v>129</v>
      </c>
      <c r="D1029" s="76" t="s">
        <v>1177</v>
      </c>
      <c r="E1029" s="51" t="s">
        <v>673</v>
      </c>
      <c r="F1029" s="51" t="s">
        <v>2035</v>
      </c>
      <c r="G1029" s="76" t="s">
        <v>2101</v>
      </c>
      <c r="H1029" s="76" t="s">
        <v>655</v>
      </c>
      <c r="I1029" s="51"/>
      <c r="J1029" s="52" t="s">
        <v>708</v>
      </c>
      <c r="K102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29" s="117">
        <f>ROUND(Tableau17[[#This Row],[LEN]]*7.27,0)</f>
        <v>87</v>
      </c>
      <c r="M1029" s="117">
        <v>15</v>
      </c>
      <c r="N1029" s="134" t="str">
        <f t="shared" si="7"/>
        <v>none</v>
      </c>
      <c r="O1029" s="117">
        <f>LEN(Tableau17[[#This Row],[LABEL]])</f>
        <v>12</v>
      </c>
      <c r="P1029" s="117">
        <v>15</v>
      </c>
      <c r="Q1029" s="117" t="e">
        <f>ROUND(Tableau17[[#This Row],[LEN]]*#REF!+#REF!,0)</f>
        <v>#REF!</v>
      </c>
    </row>
    <row r="1030" spans="1:17" s="97" customFormat="1" x14ac:dyDescent="0.25">
      <c r="A1030" s="53" t="s">
        <v>1818</v>
      </c>
      <c r="B1030" s="54" t="s">
        <v>1811</v>
      </c>
      <c r="C1030" s="55" t="s">
        <v>131</v>
      </c>
      <c r="D1030" s="77" t="s">
        <v>1177</v>
      </c>
      <c r="E1030" s="55" t="s">
        <v>673</v>
      </c>
      <c r="F1030" s="55" t="s">
        <v>2035</v>
      </c>
      <c r="G1030" s="77" t="s">
        <v>2101</v>
      </c>
      <c r="H1030" s="77" t="s">
        <v>570</v>
      </c>
      <c r="I1030" s="55"/>
      <c r="J1030" s="56" t="s">
        <v>708</v>
      </c>
      <c r="K103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0" s="118">
        <f>ROUND(Tableau17[[#This Row],[LEN]]*7.27,0)</f>
        <v>262</v>
      </c>
      <c r="M1030" s="118">
        <v>15</v>
      </c>
      <c r="N1030" s="135" t="str">
        <f t="shared" si="7"/>
        <v>none</v>
      </c>
      <c r="O1030" s="118">
        <f>LEN(Tableau17[[#This Row],[LABEL]])</f>
        <v>36</v>
      </c>
      <c r="P1030" s="118">
        <v>15</v>
      </c>
      <c r="Q1030" s="118" t="e">
        <f>ROUND(Tableau17[[#This Row],[LEN]]*#REF!+#REF!,0)</f>
        <v>#REF!</v>
      </c>
    </row>
    <row r="1031" spans="1:17" s="97" customFormat="1" x14ac:dyDescent="0.25">
      <c r="A1031" s="53" t="s">
        <v>1819</v>
      </c>
      <c r="B1031" s="54" t="s">
        <v>1811</v>
      </c>
      <c r="C1031" s="55" t="s">
        <v>132</v>
      </c>
      <c r="D1031" s="77" t="s">
        <v>1177</v>
      </c>
      <c r="E1031" s="55" t="s">
        <v>673</v>
      </c>
      <c r="F1031" s="55" t="s">
        <v>2035</v>
      </c>
      <c r="G1031" s="77" t="s">
        <v>2101</v>
      </c>
      <c r="H1031" s="77" t="s">
        <v>570</v>
      </c>
      <c r="I1031" s="55"/>
      <c r="J1031" s="56" t="s">
        <v>708</v>
      </c>
      <c r="K103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1" s="118">
        <f>ROUND(Tableau17[[#This Row],[LEN]]*7.27,0)</f>
        <v>298</v>
      </c>
      <c r="M1031" s="118">
        <v>15</v>
      </c>
      <c r="N1031" s="135" t="str">
        <f t="shared" si="7"/>
        <v>none</v>
      </c>
      <c r="O1031" s="118">
        <f>LEN(Tableau17[[#This Row],[LABEL]])</f>
        <v>41</v>
      </c>
      <c r="P1031" s="118">
        <v>15</v>
      </c>
      <c r="Q1031" s="118" t="e">
        <f>ROUND(Tableau17[[#This Row],[LEN]]*#REF!+#REF!,0)</f>
        <v>#REF!</v>
      </c>
    </row>
    <row r="1032" spans="1:17" s="97" customFormat="1" x14ac:dyDescent="0.25">
      <c r="A1032" s="49" t="s">
        <v>1812</v>
      </c>
      <c r="B1032" s="50" t="s">
        <v>317</v>
      </c>
      <c r="C1032" s="51" t="s">
        <v>1825</v>
      </c>
      <c r="D1032" s="76" t="s">
        <v>1177</v>
      </c>
      <c r="E1032" s="51" t="s">
        <v>677</v>
      </c>
      <c r="F1032" s="51" t="s">
        <v>1847</v>
      </c>
      <c r="G1032" s="76" t="s">
        <v>2101</v>
      </c>
      <c r="H1032" s="76" t="s">
        <v>656</v>
      </c>
      <c r="I1032" s="51"/>
      <c r="J1032" s="52" t="s">
        <v>708</v>
      </c>
      <c r="K103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2" s="117">
        <f>ROUND(Tableau17[[#This Row],[LEN]]*7.27,0)</f>
        <v>320</v>
      </c>
      <c r="M1032" s="117">
        <v>15</v>
      </c>
      <c r="N1032" s="134" t="str">
        <f t="shared" si="7"/>
        <v>none</v>
      </c>
      <c r="O1032" s="117">
        <f>LEN(Tableau17[[#This Row],[LABEL]])</f>
        <v>44</v>
      </c>
      <c r="P1032" s="117">
        <v>15</v>
      </c>
      <c r="Q1032" s="117" t="e">
        <f>ROUND(Tableau17[[#This Row],[LEN]]*#REF!+#REF!,0)</f>
        <v>#REF!</v>
      </c>
    </row>
    <row r="1033" spans="1:17" s="97" customFormat="1" x14ac:dyDescent="0.25">
      <c r="A1033" s="49" t="s">
        <v>1813</v>
      </c>
      <c r="B1033" s="50" t="s">
        <v>317</v>
      </c>
      <c r="C1033" s="51" t="s">
        <v>1826</v>
      </c>
      <c r="D1033" s="76" t="s">
        <v>1177</v>
      </c>
      <c r="E1033" s="51" t="s">
        <v>677</v>
      </c>
      <c r="F1033" s="51" t="s">
        <v>1177</v>
      </c>
      <c r="G1033" s="76" t="s">
        <v>2101</v>
      </c>
      <c r="H1033" s="76" t="s">
        <v>656</v>
      </c>
      <c r="I1033" s="51"/>
      <c r="J1033" s="52" t="s">
        <v>708</v>
      </c>
      <c r="K103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3" s="117">
        <f>ROUND(Tableau17[[#This Row],[LEN]]*7.27,0)</f>
        <v>320</v>
      </c>
      <c r="M1033" s="117">
        <v>15</v>
      </c>
      <c r="N1033" s="134" t="str">
        <f t="shared" si="7"/>
        <v>none</v>
      </c>
      <c r="O1033" s="117">
        <f>LEN(Tableau17[[#This Row],[LABEL]])</f>
        <v>44</v>
      </c>
      <c r="P1033" s="117">
        <v>15</v>
      </c>
      <c r="Q1033" s="117" t="e">
        <f>ROUND(Tableau17[[#This Row],[LEN]]*#REF!+#REF!,0)</f>
        <v>#REF!</v>
      </c>
    </row>
    <row r="1034" spans="1:17" s="97" customFormat="1" x14ac:dyDescent="0.25">
      <c r="A1034" s="49" t="s">
        <v>1814</v>
      </c>
      <c r="B1034" s="50" t="s">
        <v>317</v>
      </c>
      <c r="C1034" s="51" t="s">
        <v>1827</v>
      </c>
      <c r="D1034" s="76" t="s">
        <v>1177</v>
      </c>
      <c r="E1034" s="51" t="s">
        <v>677</v>
      </c>
      <c r="F1034" s="51" t="s">
        <v>1177</v>
      </c>
      <c r="G1034" s="76" t="s">
        <v>2101</v>
      </c>
      <c r="H1034" s="76" t="s">
        <v>656</v>
      </c>
      <c r="I1034" s="51"/>
      <c r="J1034" s="52" t="s">
        <v>708</v>
      </c>
      <c r="K103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4" s="117">
        <f>ROUND(Tableau17[[#This Row],[LEN]]*7.27,0)</f>
        <v>145</v>
      </c>
      <c r="M1034" s="117">
        <v>15</v>
      </c>
      <c r="N1034" s="134" t="str">
        <f t="shared" si="7"/>
        <v>none</v>
      </c>
      <c r="O1034" s="117">
        <f>LEN(Tableau17[[#This Row],[LABEL]])</f>
        <v>20</v>
      </c>
      <c r="P1034" s="117">
        <v>15</v>
      </c>
      <c r="Q1034" s="117" t="e">
        <f>ROUND(Tableau17[[#This Row],[LEN]]*#REF!+#REF!,0)</f>
        <v>#REF!</v>
      </c>
    </row>
    <row r="1035" spans="1:17" s="97" customFormat="1" x14ac:dyDescent="0.25">
      <c r="A1035" s="49" t="s">
        <v>1815</v>
      </c>
      <c r="B1035" s="50" t="s">
        <v>317</v>
      </c>
      <c r="C1035" s="51" t="s">
        <v>549</v>
      </c>
      <c r="D1035" s="76" t="s">
        <v>1177</v>
      </c>
      <c r="E1035" s="51" t="s">
        <v>673</v>
      </c>
      <c r="F1035" s="51" t="s">
        <v>1704</v>
      </c>
      <c r="G1035" s="76" t="s">
        <v>2101</v>
      </c>
      <c r="H1035" s="76" t="s">
        <v>655</v>
      </c>
      <c r="I1035" s="51"/>
      <c r="J1035" s="52" t="s">
        <v>708</v>
      </c>
      <c r="K103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5" s="117">
        <f>ROUND(Tableau17[[#This Row],[LEN]]*7.27,0)</f>
        <v>145</v>
      </c>
      <c r="M1035" s="117">
        <v>15</v>
      </c>
      <c r="N1035" s="134" t="str">
        <f t="shared" si="7"/>
        <v>none</v>
      </c>
      <c r="O1035" s="117">
        <f>LEN(Tableau17[[#This Row],[LABEL]])</f>
        <v>20</v>
      </c>
      <c r="P1035" s="117">
        <v>15</v>
      </c>
      <c r="Q1035" s="117" t="e">
        <f>ROUND(Tableau17[[#This Row],[LEN]]*#REF!+#REF!,0)</f>
        <v>#REF!</v>
      </c>
    </row>
    <row r="1036" spans="1:17" s="97" customFormat="1" x14ac:dyDescent="0.25">
      <c r="A1036" s="53" t="s">
        <v>1820</v>
      </c>
      <c r="B1036" s="54" t="s">
        <v>1815</v>
      </c>
      <c r="C1036" s="55" t="s">
        <v>590</v>
      </c>
      <c r="D1036" s="77" t="s">
        <v>1177</v>
      </c>
      <c r="E1036" s="55" t="s">
        <v>673</v>
      </c>
      <c r="F1036" s="55" t="s">
        <v>1704</v>
      </c>
      <c r="G1036" s="77" t="s">
        <v>2101</v>
      </c>
      <c r="H1036" s="77" t="s">
        <v>570</v>
      </c>
      <c r="I1036" s="55"/>
      <c r="J1036" s="56" t="s">
        <v>708</v>
      </c>
      <c r="K103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6" s="118">
        <f>ROUND(Tableau17[[#This Row],[LEN]]*7.27,0)</f>
        <v>102</v>
      </c>
      <c r="M1036" s="118">
        <v>15</v>
      </c>
      <c r="N1036" s="135" t="str">
        <f t="shared" si="7"/>
        <v>none</v>
      </c>
      <c r="O1036" s="118">
        <f>LEN(Tableau17[[#This Row],[LABEL]])</f>
        <v>14</v>
      </c>
      <c r="P1036" s="118">
        <v>15</v>
      </c>
      <c r="Q1036" s="118" t="e">
        <f>ROUND(Tableau17[[#This Row],[LEN]]*#REF!+#REF!,0)</f>
        <v>#REF!</v>
      </c>
    </row>
    <row r="1037" spans="1:17" s="97" customFormat="1" x14ac:dyDescent="0.25">
      <c r="A1037" s="53" t="s">
        <v>1821</v>
      </c>
      <c r="B1037" s="54" t="s">
        <v>1815</v>
      </c>
      <c r="C1037" s="55" t="s">
        <v>591</v>
      </c>
      <c r="D1037" s="77" t="s">
        <v>1177</v>
      </c>
      <c r="E1037" s="55" t="s">
        <v>673</v>
      </c>
      <c r="F1037" s="55" t="s">
        <v>1704</v>
      </c>
      <c r="G1037" s="77" t="s">
        <v>2101</v>
      </c>
      <c r="H1037" s="77" t="s">
        <v>570</v>
      </c>
      <c r="I1037" s="55"/>
      <c r="J1037" s="56" t="s">
        <v>708</v>
      </c>
      <c r="K103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7" s="118">
        <f>ROUND(Tableau17[[#This Row],[LEN]]*7.27,0)</f>
        <v>262</v>
      </c>
      <c r="M1037" s="118">
        <v>15</v>
      </c>
      <c r="N1037" s="135" t="str">
        <f t="shared" si="7"/>
        <v>none</v>
      </c>
      <c r="O1037" s="118">
        <f>LEN(Tableau17[[#This Row],[LABEL]])</f>
        <v>36</v>
      </c>
      <c r="P1037" s="118">
        <v>15</v>
      </c>
      <c r="Q1037" s="118" t="e">
        <f>ROUND(Tableau17[[#This Row],[LEN]]*#REF!+#REF!,0)</f>
        <v>#REF!</v>
      </c>
    </row>
    <row r="1038" spans="1:17" s="97" customFormat="1" x14ac:dyDescent="0.25">
      <c r="A1038" s="53" t="s">
        <v>1822</v>
      </c>
      <c r="B1038" s="54" t="s">
        <v>1815</v>
      </c>
      <c r="C1038" s="55" t="s">
        <v>592</v>
      </c>
      <c r="D1038" s="77" t="s">
        <v>1177</v>
      </c>
      <c r="E1038" s="55" t="s">
        <v>673</v>
      </c>
      <c r="F1038" s="55" t="s">
        <v>1704</v>
      </c>
      <c r="G1038" s="77" t="s">
        <v>2101</v>
      </c>
      <c r="H1038" s="77" t="s">
        <v>570</v>
      </c>
      <c r="I1038" s="55"/>
      <c r="J1038" s="56" t="s">
        <v>708</v>
      </c>
      <c r="K103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8" s="118">
        <f>ROUND(Tableau17[[#This Row],[LEN]]*7.27,0)</f>
        <v>189</v>
      </c>
      <c r="M1038" s="118">
        <v>15</v>
      </c>
      <c r="N1038" s="135" t="str">
        <f t="shared" si="7"/>
        <v>none</v>
      </c>
      <c r="O1038" s="118">
        <f>LEN(Tableau17[[#This Row],[LABEL]])</f>
        <v>26</v>
      </c>
      <c r="P1038" s="118">
        <v>15</v>
      </c>
      <c r="Q1038" s="118" t="e">
        <f>ROUND(Tableau17[[#This Row],[LEN]]*#REF!+#REF!,0)</f>
        <v>#REF!</v>
      </c>
    </row>
    <row r="1039" spans="1:17" s="97" customFormat="1" x14ac:dyDescent="0.25">
      <c r="A1039" s="53" t="s">
        <v>1823</v>
      </c>
      <c r="B1039" s="54" t="s">
        <v>1815</v>
      </c>
      <c r="C1039" s="55" t="s">
        <v>597</v>
      </c>
      <c r="D1039" s="77" t="s">
        <v>1177</v>
      </c>
      <c r="E1039" s="55" t="s">
        <v>673</v>
      </c>
      <c r="F1039" s="55" t="s">
        <v>1704</v>
      </c>
      <c r="G1039" s="77" t="s">
        <v>2101</v>
      </c>
      <c r="H1039" s="77" t="s">
        <v>570</v>
      </c>
      <c r="I1039" s="55"/>
      <c r="J1039" s="56" t="s">
        <v>708</v>
      </c>
      <c r="K103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39" s="118">
        <f>ROUND(Tableau17[[#This Row],[LEN]]*7.27,0)</f>
        <v>465</v>
      </c>
      <c r="M1039" s="118">
        <v>15</v>
      </c>
      <c r="N1039" s="135" t="str">
        <f t="shared" si="7"/>
        <v>none</v>
      </c>
      <c r="O1039" s="118">
        <f>LEN(Tableau17[[#This Row],[LABEL]])</f>
        <v>64</v>
      </c>
      <c r="P1039" s="118">
        <v>15</v>
      </c>
      <c r="Q1039" s="118" t="e">
        <f>ROUND(Tableau17[[#This Row],[LEN]]*#REF!+#REF!,0)</f>
        <v>#REF!</v>
      </c>
    </row>
    <row r="1040" spans="1:17" s="97" customFormat="1" x14ac:dyDescent="0.25">
      <c r="A1040" s="49" t="s">
        <v>1816</v>
      </c>
      <c r="B1040" s="50" t="s">
        <v>317</v>
      </c>
      <c r="C1040" s="51" t="s">
        <v>1824</v>
      </c>
      <c r="D1040" s="76" t="s">
        <v>1177</v>
      </c>
      <c r="E1040" s="51" t="s">
        <v>677</v>
      </c>
      <c r="F1040" s="51" t="s">
        <v>1842</v>
      </c>
      <c r="G1040" s="76" t="s">
        <v>2101</v>
      </c>
      <c r="H1040" s="76" t="s">
        <v>570</v>
      </c>
      <c r="I1040" s="51"/>
      <c r="J1040" s="52" t="s">
        <v>708</v>
      </c>
      <c r="K104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0" s="117">
        <f>ROUND(Tableau17[[#This Row],[LEN]]*7.27,0)</f>
        <v>95</v>
      </c>
      <c r="M1040" s="117">
        <v>15</v>
      </c>
      <c r="N1040" s="134" t="str">
        <f t="shared" si="7"/>
        <v>none</v>
      </c>
      <c r="O1040" s="117">
        <f>LEN(Tableau17[[#This Row],[LABEL]])</f>
        <v>13</v>
      </c>
      <c r="P1040" s="117">
        <v>15</v>
      </c>
      <c r="Q1040" s="117" t="e">
        <f>ROUND(Tableau17[[#This Row],[LEN]]*#REF!+#REF!,0)</f>
        <v>#REF!</v>
      </c>
    </row>
    <row r="1041" spans="1:17" s="97" customFormat="1" x14ac:dyDescent="0.25">
      <c r="A1041" s="49" t="s">
        <v>1817</v>
      </c>
      <c r="B1041" s="50" t="s">
        <v>317</v>
      </c>
      <c r="C1041" s="51" t="s">
        <v>598</v>
      </c>
      <c r="D1041" s="76" t="s">
        <v>1177</v>
      </c>
      <c r="E1041" s="51" t="s">
        <v>673</v>
      </c>
      <c r="F1041" s="51" t="s">
        <v>2035</v>
      </c>
      <c r="G1041" s="76" t="s">
        <v>2101</v>
      </c>
      <c r="H1041" s="76" t="s">
        <v>654</v>
      </c>
      <c r="I1041" s="51"/>
      <c r="J1041" s="52" t="s">
        <v>708</v>
      </c>
      <c r="K104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1" s="117">
        <f>ROUND(Tableau17[[#This Row],[LEN]]*7.27,0)</f>
        <v>553</v>
      </c>
      <c r="M1041" s="117">
        <v>15</v>
      </c>
      <c r="N1041" s="134" t="str">
        <f t="shared" si="7"/>
        <v>none</v>
      </c>
      <c r="O1041" s="117">
        <f>LEN(Tableau17[[#This Row],[LABEL]])</f>
        <v>76</v>
      </c>
      <c r="P1041" s="117">
        <v>15</v>
      </c>
      <c r="Q1041" s="117" t="e">
        <f>ROUND(Tableau17[[#This Row],[LEN]]*#REF!+#REF!,0)</f>
        <v>#REF!</v>
      </c>
    </row>
    <row r="1042" spans="1:17" s="273" customFormat="1" x14ac:dyDescent="0.25">
      <c r="A1042" s="351" t="s">
        <v>318</v>
      </c>
      <c r="B1042" s="352" t="s">
        <v>209</v>
      </c>
      <c r="C1042" s="353" t="s">
        <v>14</v>
      </c>
      <c r="D1042" s="354" t="s">
        <v>1177</v>
      </c>
      <c r="E1042" s="353" t="s">
        <v>678</v>
      </c>
      <c r="F1042" s="353" t="s">
        <v>1177</v>
      </c>
      <c r="G1042" s="354" t="s">
        <v>2101</v>
      </c>
      <c r="H1042" s="354" t="str">
        <f>IFERROR(IF(SEARCH(".00.00.00.00.00",Tableau17[[#This Row],[name]],1)=7,"Division",""),"")</f>
        <v>Division</v>
      </c>
      <c r="I1042" s="353"/>
      <c r="J1042" s="355" t="s">
        <v>724</v>
      </c>
      <c r="K1042" s="355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42" s="356">
        <f>ROUND(Tableau17[[#This Row],[LEN]]*7.27,0)</f>
        <v>240</v>
      </c>
      <c r="M1042" s="356">
        <v>15</v>
      </c>
      <c r="N1042" s="357" t="str">
        <f t="shared" si="7"/>
        <v>new</v>
      </c>
      <c r="O1042" s="356">
        <f>LEN(Tableau17[[#This Row],[LABEL]])</f>
        <v>33</v>
      </c>
      <c r="P1042" s="356">
        <v>15</v>
      </c>
      <c r="Q1042" s="356" t="e">
        <f>ROUND(Tableau17[[#This Row],[LEN]]*#REF!+#REF!,0)</f>
        <v>#REF!</v>
      </c>
    </row>
    <row r="1043" spans="1:17" s="97" customFormat="1" x14ac:dyDescent="0.25">
      <c r="A1043" s="49" t="s">
        <v>1828</v>
      </c>
      <c r="B1043" s="50" t="s">
        <v>318</v>
      </c>
      <c r="C1043" s="51" t="s">
        <v>1848</v>
      </c>
      <c r="D1043" s="76" t="s">
        <v>1177</v>
      </c>
      <c r="E1043" s="51" t="s">
        <v>678</v>
      </c>
      <c r="F1043" s="51" t="s">
        <v>1177</v>
      </c>
      <c r="G1043" s="76" t="s">
        <v>2101</v>
      </c>
      <c r="H1043" s="76" t="s">
        <v>654</v>
      </c>
      <c r="I1043" s="51"/>
      <c r="J1043" s="52" t="s">
        <v>708</v>
      </c>
      <c r="K104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3" s="117">
        <f>ROUND(Tableau17[[#This Row],[LEN]]*7.27,0)</f>
        <v>364</v>
      </c>
      <c r="M1043" s="117">
        <v>15</v>
      </c>
      <c r="N1043" s="134" t="str">
        <f t="shared" si="7"/>
        <v>none</v>
      </c>
      <c r="O1043" s="117">
        <f>LEN(Tableau17[[#This Row],[LABEL]])</f>
        <v>50</v>
      </c>
      <c r="P1043" s="117">
        <v>15</v>
      </c>
      <c r="Q1043" s="117" t="e">
        <f>ROUND(Tableau17[[#This Row],[LEN]]*#REF!+#REF!,0)</f>
        <v>#REF!</v>
      </c>
    </row>
    <row r="1044" spans="1:17" s="97" customFormat="1" x14ac:dyDescent="0.25">
      <c r="A1044" s="49" t="s">
        <v>1829</v>
      </c>
      <c r="B1044" s="50" t="s">
        <v>318</v>
      </c>
      <c r="C1044" s="51" t="s">
        <v>1849</v>
      </c>
      <c r="D1044" s="76" t="s">
        <v>1177</v>
      </c>
      <c r="E1044" s="51" t="s">
        <v>678</v>
      </c>
      <c r="F1044" s="51" t="s">
        <v>1177</v>
      </c>
      <c r="G1044" s="76" t="s">
        <v>2101</v>
      </c>
      <c r="H1044" s="76" t="s">
        <v>654</v>
      </c>
      <c r="I1044" s="51"/>
      <c r="J1044" s="52" t="s">
        <v>708</v>
      </c>
      <c r="K104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4" s="117">
        <f>ROUND(Tableau17[[#This Row],[LEN]]*7.27,0)</f>
        <v>269</v>
      </c>
      <c r="M1044" s="117">
        <v>15</v>
      </c>
      <c r="N1044" s="134" t="str">
        <f t="shared" si="7"/>
        <v>none</v>
      </c>
      <c r="O1044" s="117">
        <f>LEN(Tableau17[[#This Row],[LABEL]])</f>
        <v>37</v>
      </c>
      <c r="P1044" s="117">
        <v>15</v>
      </c>
      <c r="Q1044" s="117" t="e">
        <f>ROUND(Tableau17[[#This Row],[LEN]]*#REF!+#REF!,0)</f>
        <v>#REF!</v>
      </c>
    </row>
    <row r="1045" spans="1:17" s="97" customFormat="1" x14ac:dyDescent="0.25">
      <c r="A1045" s="49" t="s">
        <v>1830</v>
      </c>
      <c r="B1045" s="50" t="s">
        <v>318</v>
      </c>
      <c r="C1045" s="51" t="s">
        <v>1850</v>
      </c>
      <c r="D1045" s="76" t="s">
        <v>1177</v>
      </c>
      <c r="E1045" s="51" t="s">
        <v>678</v>
      </c>
      <c r="F1045" s="51" t="s">
        <v>1177</v>
      </c>
      <c r="G1045" s="76" t="s">
        <v>2101</v>
      </c>
      <c r="H1045" s="76" t="s">
        <v>654</v>
      </c>
      <c r="I1045" s="51"/>
      <c r="J1045" s="52" t="s">
        <v>708</v>
      </c>
      <c r="K104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5" s="117">
        <f>ROUND(Tableau17[[#This Row],[LEN]]*7.27,0)</f>
        <v>305</v>
      </c>
      <c r="M1045" s="117">
        <v>15</v>
      </c>
      <c r="N1045" s="134" t="str">
        <f t="shared" si="7"/>
        <v>none</v>
      </c>
      <c r="O1045" s="117">
        <f>LEN(Tableau17[[#This Row],[LABEL]])</f>
        <v>42</v>
      </c>
      <c r="P1045" s="117">
        <v>15</v>
      </c>
      <c r="Q1045" s="117" t="e">
        <f>ROUND(Tableau17[[#This Row],[LEN]]*#REF!+#REF!,0)</f>
        <v>#REF!</v>
      </c>
    </row>
    <row r="1046" spans="1:17" s="97" customFormat="1" x14ac:dyDescent="0.25">
      <c r="A1046" s="49" t="s">
        <v>1831</v>
      </c>
      <c r="B1046" s="50" t="s">
        <v>318</v>
      </c>
      <c r="C1046" s="51" t="s">
        <v>128</v>
      </c>
      <c r="D1046" s="76" t="s">
        <v>1177</v>
      </c>
      <c r="E1046" s="51" t="s">
        <v>669</v>
      </c>
      <c r="F1046" s="51" t="s">
        <v>2029</v>
      </c>
      <c r="G1046" s="76" t="s">
        <v>2101</v>
      </c>
      <c r="H1046" s="76" t="s">
        <v>570</v>
      </c>
      <c r="I1046" s="51"/>
      <c r="J1046" s="52" t="s">
        <v>708</v>
      </c>
      <c r="K104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6" s="117">
        <f>ROUND(Tableau17[[#This Row],[LEN]]*7.27,0)</f>
        <v>182</v>
      </c>
      <c r="M1046" s="117">
        <v>15</v>
      </c>
      <c r="N1046" s="134" t="str">
        <f t="shared" si="7"/>
        <v>none</v>
      </c>
      <c r="O1046" s="117">
        <f>LEN(Tableau17[[#This Row],[LABEL]])</f>
        <v>25</v>
      </c>
      <c r="P1046" s="117">
        <v>15</v>
      </c>
      <c r="Q1046" s="117" t="e">
        <f>ROUND(Tableau17[[#This Row],[LEN]]*#REF!+#REF!,0)</f>
        <v>#REF!</v>
      </c>
    </row>
    <row r="1047" spans="1:17" s="97" customFormat="1" x14ac:dyDescent="0.25">
      <c r="A1047" s="49" t="s">
        <v>1832</v>
      </c>
      <c r="B1047" s="50" t="s">
        <v>318</v>
      </c>
      <c r="C1047" s="51" t="s">
        <v>129</v>
      </c>
      <c r="D1047" s="76" t="s">
        <v>1177</v>
      </c>
      <c r="E1047" s="51" t="s">
        <v>673</v>
      </c>
      <c r="F1047" s="51" t="s">
        <v>2035</v>
      </c>
      <c r="G1047" s="76" t="s">
        <v>2101</v>
      </c>
      <c r="H1047" s="76" t="s">
        <v>655</v>
      </c>
      <c r="I1047" s="51"/>
      <c r="J1047" s="52" t="s">
        <v>708</v>
      </c>
      <c r="K104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7" s="117">
        <f>ROUND(Tableau17[[#This Row],[LEN]]*7.27,0)</f>
        <v>87</v>
      </c>
      <c r="M1047" s="117">
        <v>15</v>
      </c>
      <c r="N1047" s="134" t="str">
        <f t="shared" si="7"/>
        <v>none</v>
      </c>
      <c r="O1047" s="117">
        <f>LEN(Tableau17[[#This Row],[LABEL]])</f>
        <v>12</v>
      </c>
      <c r="P1047" s="117">
        <v>15</v>
      </c>
      <c r="Q1047" s="117" t="e">
        <f>ROUND(Tableau17[[#This Row],[LEN]]*#REF!+#REF!,0)</f>
        <v>#REF!</v>
      </c>
    </row>
    <row r="1048" spans="1:17" s="97" customFormat="1" x14ac:dyDescent="0.25">
      <c r="A1048" s="53" t="s">
        <v>1851</v>
      </c>
      <c r="B1048" s="54" t="s">
        <v>1832</v>
      </c>
      <c r="C1048" s="55" t="s">
        <v>131</v>
      </c>
      <c r="D1048" s="77" t="s">
        <v>1177</v>
      </c>
      <c r="E1048" s="55" t="s">
        <v>673</v>
      </c>
      <c r="F1048" s="55" t="s">
        <v>2035</v>
      </c>
      <c r="G1048" s="77" t="s">
        <v>2101</v>
      </c>
      <c r="H1048" s="77" t="s">
        <v>570</v>
      </c>
      <c r="I1048" s="55"/>
      <c r="J1048" s="56" t="s">
        <v>708</v>
      </c>
      <c r="K104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8" s="118">
        <f>ROUND(Tableau17[[#This Row],[LEN]]*7.27,0)</f>
        <v>262</v>
      </c>
      <c r="M1048" s="118">
        <v>15</v>
      </c>
      <c r="N1048" s="135" t="str">
        <f t="shared" si="7"/>
        <v>none</v>
      </c>
      <c r="O1048" s="118">
        <f>LEN(Tableau17[[#This Row],[LABEL]])</f>
        <v>36</v>
      </c>
      <c r="P1048" s="118">
        <v>15</v>
      </c>
      <c r="Q1048" s="118" t="e">
        <f>ROUND(Tableau17[[#This Row],[LEN]]*#REF!+#REF!,0)</f>
        <v>#REF!</v>
      </c>
    </row>
    <row r="1049" spans="1:17" s="97" customFormat="1" x14ac:dyDescent="0.25">
      <c r="A1049" s="53" t="s">
        <v>1852</v>
      </c>
      <c r="B1049" s="54" t="s">
        <v>1832</v>
      </c>
      <c r="C1049" s="55" t="s">
        <v>132</v>
      </c>
      <c r="D1049" s="77" t="s">
        <v>1177</v>
      </c>
      <c r="E1049" s="55" t="s">
        <v>673</v>
      </c>
      <c r="F1049" s="55" t="s">
        <v>2035</v>
      </c>
      <c r="G1049" s="77" t="s">
        <v>2101</v>
      </c>
      <c r="H1049" s="77" t="s">
        <v>570</v>
      </c>
      <c r="I1049" s="55"/>
      <c r="J1049" s="56" t="s">
        <v>708</v>
      </c>
      <c r="K104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49" s="118">
        <f>ROUND(Tableau17[[#This Row],[LEN]]*7.27,0)</f>
        <v>298</v>
      </c>
      <c r="M1049" s="118">
        <v>15</v>
      </c>
      <c r="N1049" s="135" t="str">
        <f t="shared" si="7"/>
        <v>none</v>
      </c>
      <c r="O1049" s="118">
        <f>LEN(Tableau17[[#This Row],[LABEL]])</f>
        <v>41</v>
      </c>
      <c r="P1049" s="118">
        <v>15</v>
      </c>
      <c r="Q1049" s="118" t="e">
        <f>ROUND(Tableau17[[#This Row],[LEN]]*#REF!+#REF!,0)</f>
        <v>#REF!</v>
      </c>
    </row>
    <row r="1050" spans="1:17" s="97" customFormat="1" x14ac:dyDescent="0.25">
      <c r="A1050" s="49" t="s">
        <v>1833</v>
      </c>
      <c r="B1050" s="50" t="s">
        <v>318</v>
      </c>
      <c r="C1050" s="51" t="s">
        <v>1825</v>
      </c>
      <c r="D1050" s="76" t="s">
        <v>1177</v>
      </c>
      <c r="E1050" s="51" t="s">
        <v>677</v>
      </c>
      <c r="F1050" s="51" t="s">
        <v>1847</v>
      </c>
      <c r="G1050" s="76" t="s">
        <v>2101</v>
      </c>
      <c r="H1050" s="76" t="s">
        <v>656</v>
      </c>
      <c r="I1050" s="51"/>
      <c r="J1050" s="52" t="s">
        <v>708</v>
      </c>
      <c r="K105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0" s="117">
        <f>ROUND(Tableau17[[#This Row],[LEN]]*7.27,0)</f>
        <v>320</v>
      </c>
      <c r="M1050" s="117">
        <v>15</v>
      </c>
      <c r="N1050" s="134" t="str">
        <f t="shared" si="7"/>
        <v>none</v>
      </c>
      <c r="O1050" s="117">
        <f>LEN(Tableau17[[#This Row],[LABEL]])</f>
        <v>44</v>
      </c>
      <c r="P1050" s="117">
        <v>15</v>
      </c>
      <c r="Q1050" s="117" t="e">
        <f>ROUND(Tableau17[[#This Row],[LEN]]*#REF!+#REF!,0)</f>
        <v>#REF!</v>
      </c>
    </row>
    <row r="1051" spans="1:17" s="97" customFormat="1" x14ac:dyDescent="0.25">
      <c r="A1051" s="49" t="s">
        <v>1834</v>
      </c>
      <c r="B1051" s="50" t="s">
        <v>318</v>
      </c>
      <c r="C1051" s="51" t="s">
        <v>1853</v>
      </c>
      <c r="D1051" s="76" t="s">
        <v>1177</v>
      </c>
      <c r="E1051" s="51" t="s">
        <v>678</v>
      </c>
      <c r="F1051" s="51" t="s">
        <v>1177</v>
      </c>
      <c r="G1051" s="76" t="s">
        <v>2101</v>
      </c>
      <c r="H1051" s="76" t="s">
        <v>656</v>
      </c>
      <c r="I1051" s="51"/>
      <c r="J1051" s="52" t="s">
        <v>708</v>
      </c>
      <c r="K105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1" s="117">
        <f>ROUND(Tableau17[[#This Row],[LEN]]*7.27,0)</f>
        <v>400</v>
      </c>
      <c r="M1051" s="117">
        <v>15</v>
      </c>
      <c r="N1051" s="134" t="str">
        <f t="shared" si="7"/>
        <v>none</v>
      </c>
      <c r="O1051" s="117">
        <f>LEN(Tableau17[[#This Row],[LABEL]])</f>
        <v>55</v>
      </c>
      <c r="P1051" s="117">
        <v>15</v>
      </c>
      <c r="Q1051" s="117" t="e">
        <f>ROUND(Tableau17[[#This Row],[LEN]]*#REF!+#REF!,0)</f>
        <v>#REF!</v>
      </c>
    </row>
    <row r="1052" spans="1:17" s="97" customFormat="1" x14ac:dyDescent="0.25">
      <c r="A1052" s="49" t="s">
        <v>1835</v>
      </c>
      <c r="B1052" s="50" t="s">
        <v>318</v>
      </c>
      <c r="C1052" s="51" t="s">
        <v>1854</v>
      </c>
      <c r="D1052" s="76" t="s">
        <v>1177</v>
      </c>
      <c r="E1052" s="51" t="s">
        <v>678</v>
      </c>
      <c r="F1052" s="51" t="s">
        <v>1177</v>
      </c>
      <c r="G1052" s="76" t="s">
        <v>2101</v>
      </c>
      <c r="H1052" s="76" t="s">
        <v>654</v>
      </c>
      <c r="I1052" s="51"/>
      <c r="J1052" s="52" t="s">
        <v>708</v>
      </c>
      <c r="K105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2" s="117">
        <f>ROUND(Tableau17[[#This Row],[LEN]]*7.27,0)</f>
        <v>225</v>
      </c>
      <c r="M1052" s="117">
        <v>15</v>
      </c>
      <c r="N1052" s="134" t="str">
        <f t="shared" si="7"/>
        <v>none</v>
      </c>
      <c r="O1052" s="117">
        <f>LEN(Tableau17[[#This Row],[LABEL]])</f>
        <v>31</v>
      </c>
      <c r="P1052" s="117">
        <v>15</v>
      </c>
      <c r="Q1052" s="117" t="e">
        <f>ROUND(Tableau17[[#This Row],[LEN]]*#REF!+#REF!,0)</f>
        <v>#REF!</v>
      </c>
    </row>
    <row r="1053" spans="1:17" s="97" customFormat="1" x14ac:dyDescent="0.25">
      <c r="A1053" s="49" t="s">
        <v>1836</v>
      </c>
      <c r="B1053" s="50" t="s">
        <v>318</v>
      </c>
      <c r="C1053" s="51" t="s">
        <v>1855</v>
      </c>
      <c r="D1053" s="76" t="s">
        <v>1177</v>
      </c>
      <c r="E1053" s="51" t="s">
        <v>678</v>
      </c>
      <c r="F1053" s="51" t="s">
        <v>1177</v>
      </c>
      <c r="G1053" s="76" t="s">
        <v>2101</v>
      </c>
      <c r="H1053" s="76" t="s">
        <v>654</v>
      </c>
      <c r="I1053" s="51"/>
      <c r="J1053" s="52" t="s">
        <v>708</v>
      </c>
      <c r="K105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3" s="117">
        <f>ROUND(Tableau17[[#This Row],[LEN]]*7.27,0)</f>
        <v>320</v>
      </c>
      <c r="M1053" s="117">
        <v>15</v>
      </c>
      <c r="N1053" s="134" t="str">
        <f t="shared" si="7"/>
        <v>none</v>
      </c>
      <c r="O1053" s="117">
        <f>LEN(Tableau17[[#This Row],[LABEL]])</f>
        <v>44</v>
      </c>
      <c r="P1053" s="117">
        <v>15</v>
      </c>
      <c r="Q1053" s="117" t="e">
        <f>ROUND(Tableau17[[#This Row],[LEN]]*#REF!+#REF!,0)</f>
        <v>#REF!</v>
      </c>
    </row>
    <row r="1054" spans="1:17" s="97" customFormat="1" x14ac:dyDescent="0.25">
      <c r="A1054" s="49" t="s">
        <v>1837</v>
      </c>
      <c r="B1054" s="50" t="s">
        <v>318</v>
      </c>
      <c r="C1054" s="51" t="s">
        <v>901</v>
      </c>
      <c r="D1054" s="76" t="s">
        <v>1177</v>
      </c>
      <c r="E1054" s="51" t="s">
        <v>678</v>
      </c>
      <c r="F1054" s="51" t="s">
        <v>1177</v>
      </c>
      <c r="G1054" s="76" t="s">
        <v>2101</v>
      </c>
      <c r="H1054" s="76" t="s">
        <v>654</v>
      </c>
      <c r="I1054" s="51"/>
      <c r="J1054" s="52" t="s">
        <v>708</v>
      </c>
      <c r="K105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4" s="117">
        <f>ROUND(Tableau17[[#This Row],[LEN]]*7.27,0)</f>
        <v>116</v>
      </c>
      <c r="M1054" s="117">
        <v>15</v>
      </c>
      <c r="N1054" s="134" t="str">
        <f t="shared" si="7"/>
        <v>none</v>
      </c>
      <c r="O1054" s="117">
        <f>LEN(Tableau17[[#This Row],[LABEL]])</f>
        <v>16</v>
      </c>
      <c r="P1054" s="117">
        <v>15</v>
      </c>
      <c r="Q1054" s="117" t="e">
        <f>ROUND(Tableau17[[#This Row],[LEN]]*#REF!+#REF!,0)</f>
        <v>#REF!</v>
      </c>
    </row>
    <row r="1055" spans="1:17" s="97" customFormat="1" x14ac:dyDescent="0.25">
      <c r="A1055" s="49" t="s">
        <v>1838</v>
      </c>
      <c r="B1055" s="50" t="s">
        <v>318</v>
      </c>
      <c r="C1055" s="51" t="s">
        <v>1856</v>
      </c>
      <c r="D1055" s="76" t="s">
        <v>1177</v>
      </c>
      <c r="E1055" s="51" t="s">
        <v>678</v>
      </c>
      <c r="F1055" s="51" t="s">
        <v>1177</v>
      </c>
      <c r="G1055" s="76" t="s">
        <v>2101</v>
      </c>
      <c r="H1055" s="76" t="s">
        <v>654</v>
      </c>
      <c r="I1055" s="51"/>
      <c r="J1055" s="52" t="s">
        <v>708</v>
      </c>
      <c r="K105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5" s="117">
        <f>ROUND(Tableau17[[#This Row],[LEN]]*7.27,0)</f>
        <v>131</v>
      </c>
      <c r="M1055" s="117">
        <v>15</v>
      </c>
      <c r="N1055" s="134" t="str">
        <f t="shared" si="7"/>
        <v>none</v>
      </c>
      <c r="O1055" s="117">
        <f>LEN(Tableau17[[#This Row],[LABEL]])</f>
        <v>18</v>
      </c>
      <c r="P1055" s="117">
        <v>15</v>
      </c>
      <c r="Q1055" s="117" t="e">
        <f>ROUND(Tableau17[[#This Row],[LEN]]*#REF!+#REF!,0)</f>
        <v>#REF!</v>
      </c>
    </row>
    <row r="1056" spans="1:17" s="97" customFormat="1" x14ac:dyDescent="0.25">
      <c r="A1056" s="49" t="s">
        <v>1839</v>
      </c>
      <c r="B1056" s="50" t="s">
        <v>318</v>
      </c>
      <c r="C1056" s="51" t="s">
        <v>549</v>
      </c>
      <c r="D1056" s="76" t="s">
        <v>1177</v>
      </c>
      <c r="E1056" s="51" t="s">
        <v>673</v>
      </c>
      <c r="F1056" s="51" t="s">
        <v>1704</v>
      </c>
      <c r="G1056" s="76" t="s">
        <v>2101</v>
      </c>
      <c r="H1056" s="76" t="s">
        <v>655</v>
      </c>
      <c r="I1056" s="51"/>
      <c r="J1056" s="52" t="s">
        <v>708</v>
      </c>
      <c r="K105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6" s="117">
        <f>ROUND(Tableau17[[#This Row],[LEN]]*7.27,0)</f>
        <v>145</v>
      </c>
      <c r="M1056" s="117">
        <v>15</v>
      </c>
      <c r="N1056" s="134" t="str">
        <f t="shared" si="7"/>
        <v>none</v>
      </c>
      <c r="O1056" s="117">
        <f>LEN(Tableau17[[#This Row],[LABEL]])</f>
        <v>20</v>
      </c>
      <c r="P1056" s="117">
        <v>15</v>
      </c>
      <c r="Q1056" s="117" t="e">
        <f>ROUND(Tableau17[[#This Row],[LEN]]*#REF!+#REF!,0)</f>
        <v>#REF!</v>
      </c>
    </row>
    <row r="1057" spans="1:17" s="97" customFormat="1" x14ac:dyDescent="0.25">
      <c r="A1057" s="53" t="s">
        <v>1843</v>
      </c>
      <c r="B1057" s="54" t="s">
        <v>1839</v>
      </c>
      <c r="C1057" s="55" t="s">
        <v>590</v>
      </c>
      <c r="D1057" s="77" t="s">
        <v>1177</v>
      </c>
      <c r="E1057" s="55" t="s">
        <v>673</v>
      </c>
      <c r="F1057" s="55" t="s">
        <v>1704</v>
      </c>
      <c r="G1057" s="77" t="s">
        <v>2101</v>
      </c>
      <c r="H1057" s="77" t="s">
        <v>570</v>
      </c>
      <c r="I1057" s="55"/>
      <c r="J1057" s="56" t="s">
        <v>708</v>
      </c>
      <c r="K105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7" s="118">
        <f>ROUND(Tableau17[[#This Row],[LEN]]*7.27,0)</f>
        <v>102</v>
      </c>
      <c r="M1057" s="118">
        <v>15</v>
      </c>
      <c r="N1057" s="135" t="str">
        <f t="shared" si="7"/>
        <v>none</v>
      </c>
      <c r="O1057" s="118">
        <f>LEN(Tableau17[[#This Row],[LABEL]])</f>
        <v>14</v>
      </c>
      <c r="P1057" s="118">
        <v>15</v>
      </c>
      <c r="Q1057" s="118" t="e">
        <f>ROUND(Tableau17[[#This Row],[LEN]]*#REF!+#REF!,0)</f>
        <v>#REF!</v>
      </c>
    </row>
    <row r="1058" spans="1:17" s="97" customFormat="1" x14ac:dyDescent="0.25">
      <c r="A1058" s="53" t="s">
        <v>1844</v>
      </c>
      <c r="B1058" s="54" t="s">
        <v>1839</v>
      </c>
      <c r="C1058" s="55" t="s">
        <v>591</v>
      </c>
      <c r="D1058" s="77" t="s">
        <v>1177</v>
      </c>
      <c r="E1058" s="55" t="s">
        <v>673</v>
      </c>
      <c r="F1058" s="55" t="s">
        <v>1704</v>
      </c>
      <c r="G1058" s="77" t="s">
        <v>2101</v>
      </c>
      <c r="H1058" s="77" t="s">
        <v>570</v>
      </c>
      <c r="I1058" s="55"/>
      <c r="J1058" s="56" t="s">
        <v>708</v>
      </c>
      <c r="K105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8" s="118">
        <f>ROUND(Tableau17[[#This Row],[LEN]]*7.27,0)</f>
        <v>262</v>
      </c>
      <c r="M1058" s="118">
        <v>15</v>
      </c>
      <c r="N1058" s="135" t="str">
        <f t="shared" si="7"/>
        <v>none</v>
      </c>
      <c r="O1058" s="118">
        <f>LEN(Tableau17[[#This Row],[LABEL]])</f>
        <v>36</v>
      </c>
      <c r="P1058" s="118">
        <v>15</v>
      </c>
      <c r="Q1058" s="118" t="e">
        <f>ROUND(Tableau17[[#This Row],[LEN]]*#REF!+#REF!,0)</f>
        <v>#REF!</v>
      </c>
    </row>
    <row r="1059" spans="1:17" s="97" customFormat="1" x14ac:dyDescent="0.25">
      <c r="A1059" s="53" t="s">
        <v>1845</v>
      </c>
      <c r="B1059" s="54" t="s">
        <v>1839</v>
      </c>
      <c r="C1059" s="55" t="s">
        <v>592</v>
      </c>
      <c r="D1059" s="77" t="s">
        <v>1177</v>
      </c>
      <c r="E1059" s="55" t="s">
        <v>673</v>
      </c>
      <c r="F1059" s="55" t="s">
        <v>1704</v>
      </c>
      <c r="G1059" s="77" t="s">
        <v>2101</v>
      </c>
      <c r="H1059" s="77" t="s">
        <v>570</v>
      </c>
      <c r="I1059" s="55"/>
      <c r="J1059" s="56" t="s">
        <v>708</v>
      </c>
      <c r="K1059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59" s="118">
        <f>ROUND(Tableau17[[#This Row],[LEN]]*7.27,0)</f>
        <v>189</v>
      </c>
      <c r="M1059" s="118">
        <v>15</v>
      </c>
      <c r="N1059" s="135" t="str">
        <f t="shared" si="7"/>
        <v>none</v>
      </c>
      <c r="O1059" s="118">
        <f>LEN(Tableau17[[#This Row],[LABEL]])</f>
        <v>26</v>
      </c>
      <c r="P1059" s="118">
        <v>15</v>
      </c>
      <c r="Q1059" s="118" t="e">
        <f>ROUND(Tableau17[[#This Row],[LEN]]*#REF!+#REF!,0)</f>
        <v>#REF!</v>
      </c>
    </row>
    <row r="1060" spans="1:17" s="97" customFormat="1" x14ac:dyDescent="0.25">
      <c r="A1060" s="53" t="s">
        <v>1846</v>
      </c>
      <c r="B1060" s="54" t="s">
        <v>1839</v>
      </c>
      <c r="C1060" s="55" t="s">
        <v>597</v>
      </c>
      <c r="D1060" s="77" t="s">
        <v>1177</v>
      </c>
      <c r="E1060" s="55" t="s">
        <v>673</v>
      </c>
      <c r="F1060" s="55" t="s">
        <v>1704</v>
      </c>
      <c r="G1060" s="77" t="s">
        <v>2101</v>
      </c>
      <c r="H1060" s="77" t="s">
        <v>570</v>
      </c>
      <c r="I1060" s="55"/>
      <c r="J1060" s="56" t="s">
        <v>708</v>
      </c>
      <c r="K106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0" s="118">
        <f>ROUND(Tableau17[[#This Row],[LEN]]*7.27,0)</f>
        <v>465</v>
      </c>
      <c r="M1060" s="118">
        <v>15</v>
      </c>
      <c r="N1060" s="135" t="str">
        <f t="shared" si="7"/>
        <v>none</v>
      </c>
      <c r="O1060" s="118">
        <f>LEN(Tableau17[[#This Row],[LABEL]])</f>
        <v>64</v>
      </c>
      <c r="P1060" s="118">
        <v>15</v>
      </c>
      <c r="Q1060" s="118" t="e">
        <f>ROUND(Tableau17[[#This Row],[LEN]]*#REF!+#REF!,0)</f>
        <v>#REF!</v>
      </c>
    </row>
    <row r="1061" spans="1:17" s="97" customFormat="1" x14ac:dyDescent="0.25">
      <c r="A1061" s="49" t="s">
        <v>1840</v>
      </c>
      <c r="B1061" s="50" t="s">
        <v>318</v>
      </c>
      <c r="C1061" s="51" t="s">
        <v>1824</v>
      </c>
      <c r="D1061" s="76" t="s">
        <v>1177</v>
      </c>
      <c r="E1061" s="51" t="s">
        <v>677</v>
      </c>
      <c r="F1061" s="51" t="s">
        <v>1842</v>
      </c>
      <c r="G1061" s="76" t="s">
        <v>2101</v>
      </c>
      <c r="H1061" s="76" t="s">
        <v>570</v>
      </c>
      <c r="I1061" s="51"/>
      <c r="J1061" s="52" t="s">
        <v>708</v>
      </c>
      <c r="K106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1" s="117">
        <f>ROUND(Tableau17[[#This Row],[LEN]]*7.27,0)</f>
        <v>95</v>
      </c>
      <c r="M1061" s="117">
        <v>15</v>
      </c>
      <c r="N1061" s="134" t="str">
        <f t="shared" si="7"/>
        <v>none</v>
      </c>
      <c r="O1061" s="117">
        <f>LEN(Tableau17[[#This Row],[LABEL]])</f>
        <v>13</v>
      </c>
      <c r="P1061" s="117">
        <v>15</v>
      </c>
      <c r="Q1061" s="117" t="e">
        <f>ROUND(Tableau17[[#This Row],[LEN]]*#REF!+#REF!,0)</f>
        <v>#REF!</v>
      </c>
    </row>
    <row r="1062" spans="1:17" s="97" customFormat="1" x14ac:dyDescent="0.25">
      <c r="A1062" s="49" t="s">
        <v>1841</v>
      </c>
      <c r="B1062" s="50" t="s">
        <v>318</v>
      </c>
      <c r="C1062" s="51" t="s">
        <v>598</v>
      </c>
      <c r="D1062" s="76" t="s">
        <v>1177</v>
      </c>
      <c r="E1062" s="51" t="s">
        <v>673</v>
      </c>
      <c r="F1062" s="51" t="s">
        <v>2035</v>
      </c>
      <c r="G1062" s="76" t="s">
        <v>2101</v>
      </c>
      <c r="H1062" s="76" t="s">
        <v>654</v>
      </c>
      <c r="I1062" s="51"/>
      <c r="J1062" s="52" t="s">
        <v>708</v>
      </c>
      <c r="K1062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2" s="117">
        <f>ROUND(Tableau17[[#This Row],[LEN]]*7.27,0)</f>
        <v>553</v>
      </c>
      <c r="M1062" s="117">
        <v>15</v>
      </c>
      <c r="N1062" s="134" t="str">
        <f t="shared" si="7"/>
        <v>none</v>
      </c>
      <c r="O1062" s="117">
        <f>LEN(Tableau17[[#This Row],[LABEL]])</f>
        <v>76</v>
      </c>
      <c r="P1062" s="117">
        <v>15</v>
      </c>
      <c r="Q1062" s="117" t="e">
        <f>ROUND(Tableau17[[#This Row],[LEN]]*#REF!+#REF!,0)</f>
        <v>#REF!</v>
      </c>
    </row>
    <row r="1063" spans="1:17" s="273" customFormat="1" x14ac:dyDescent="0.25">
      <c r="A1063" s="358" t="s">
        <v>319</v>
      </c>
      <c r="B1063" s="359" t="s">
        <v>209</v>
      </c>
      <c r="C1063" s="360" t="s">
        <v>15</v>
      </c>
      <c r="D1063" s="361" t="s">
        <v>1177</v>
      </c>
      <c r="E1063" s="360" t="s">
        <v>679</v>
      </c>
      <c r="F1063" s="360" t="s">
        <v>1177</v>
      </c>
      <c r="G1063" s="361" t="s">
        <v>2101</v>
      </c>
      <c r="H1063" s="361" t="str">
        <f>IFERROR(IF(SEARCH(".00.00.00.00.00",Tableau17[[#This Row],[name]],1)=7,"Division",""),"")</f>
        <v>Division</v>
      </c>
      <c r="I1063" s="360"/>
      <c r="J1063" s="362" t="s">
        <v>708</v>
      </c>
      <c r="K1063" s="36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63" s="363">
        <f>ROUND(Tableau17[[#This Row],[LEN]]*7.27,0)</f>
        <v>174</v>
      </c>
      <c r="M1063" s="363">
        <v>15</v>
      </c>
      <c r="N1063" s="364" t="str">
        <f t="shared" si="7"/>
        <v>none</v>
      </c>
      <c r="O1063" s="363">
        <f>LEN(Tableau17[[#This Row],[LABEL]])</f>
        <v>24</v>
      </c>
      <c r="P1063" s="363">
        <v>15</v>
      </c>
      <c r="Q1063" s="363" t="e">
        <f>ROUND(Tableau17[[#This Row],[LEN]]*#REF!+#REF!,0)</f>
        <v>#REF!</v>
      </c>
    </row>
    <row r="1064" spans="1:17" s="97" customFormat="1" x14ac:dyDescent="0.25">
      <c r="A1064" s="49" t="s">
        <v>1857</v>
      </c>
      <c r="B1064" s="50" t="s">
        <v>319</v>
      </c>
      <c r="C1064" s="51" t="s">
        <v>1862</v>
      </c>
      <c r="D1064" s="76" t="s">
        <v>1863</v>
      </c>
      <c r="E1064" s="51" t="s">
        <v>679</v>
      </c>
      <c r="F1064" s="51" t="s">
        <v>1177</v>
      </c>
      <c r="G1064" s="76" t="s">
        <v>2101</v>
      </c>
      <c r="H1064" s="76" t="s">
        <v>654</v>
      </c>
      <c r="I1064" s="51"/>
      <c r="J1064" s="52" t="s">
        <v>708</v>
      </c>
      <c r="K106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4" s="117">
        <f>ROUND(Tableau17[[#This Row],[LEN]]*7.27,0)</f>
        <v>124</v>
      </c>
      <c r="M1064" s="117">
        <v>15</v>
      </c>
      <c r="N1064" s="134" t="str">
        <f t="shared" si="7"/>
        <v>none</v>
      </c>
      <c r="O1064" s="117">
        <f>LEN(Tableau17[[#This Row],[LABEL]])</f>
        <v>17</v>
      </c>
      <c r="P1064" s="117">
        <v>15</v>
      </c>
      <c r="Q1064" s="117" t="e">
        <f>ROUND(Tableau17[[#This Row],[LEN]]*#REF!+#REF!,0)</f>
        <v>#REF!</v>
      </c>
    </row>
    <row r="1065" spans="1:17" s="97" customFormat="1" x14ac:dyDescent="0.25">
      <c r="A1065" s="49" t="s">
        <v>1858</v>
      </c>
      <c r="B1065" s="50" t="s">
        <v>319</v>
      </c>
      <c r="C1065" s="51" t="s">
        <v>1772</v>
      </c>
      <c r="D1065" s="76" t="s">
        <v>1177</v>
      </c>
      <c r="E1065" s="51" t="s">
        <v>675</v>
      </c>
      <c r="F1065" s="51" t="s">
        <v>679</v>
      </c>
      <c r="G1065" s="76" t="s">
        <v>2101</v>
      </c>
      <c r="H1065" s="76" t="s">
        <v>655</v>
      </c>
      <c r="I1065" s="51"/>
      <c r="J1065" s="52" t="s">
        <v>708</v>
      </c>
      <c r="K106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5" s="117">
        <f>ROUND(Tableau17[[#This Row],[LEN]]*7.27,0)</f>
        <v>182</v>
      </c>
      <c r="M1065" s="117">
        <v>15</v>
      </c>
      <c r="N1065" s="134" t="str">
        <f t="shared" si="7"/>
        <v>none</v>
      </c>
      <c r="O1065" s="117">
        <f>LEN(Tableau17[[#This Row],[LABEL]])</f>
        <v>25</v>
      </c>
      <c r="P1065" s="117">
        <v>15</v>
      </c>
      <c r="Q1065" s="117" t="e">
        <f>ROUND(Tableau17[[#This Row],[LEN]]*#REF!+#REF!,0)</f>
        <v>#REF!</v>
      </c>
    </row>
    <row r="1066" spans="1:17" s="97" customFormat="1" x14ac:dyDescent="0.25">
      <c r="A1066" s="53" t="s">
        <v>1864</v>
      </c>
      <c r="B1066" s="54" t="s">
        <v>1858</v>
      </c>
      <c r="C1066" s="55" t="s">
        <v>1467</v>
      </c>
      <c r="D1066" s="77" t="s">
        <v>1177</v>
      </c>
      <c r="E1066" s="55" t="s">
        <v>675</v>
      </c>
      <c r="F1066" s="55" t="s">
        <v>679</v>
      </c>
      <c r="G1066" s="77" t="s">
        <v>2101</v>
      </c>
      <c r="H1066" s="77" t="s">
        <v>654</v>
      </c>
      <c r="I1066" s="55"/>
      <c r="J1066" s="56" t="s">
        <v>708</v>
      </c>
      <c r="K1066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6" s="118">
        <f>ROUND(Tableau17[[#This Row],[LEN]]*7.27,0)</f>
        <v>102</v>
      </c>
      <c r="M1066" s="118">
        <v>15</v>
      </c>
      <c r="N1066" s="135" t="str">
        <f t="shared" si="7"/>
        <v>none</v>
      </c>
      <c r="O1066" s="118">
        <f>LEN(Tableau17[[#This Row],[LABEL]])</f>
        <v>14</v>
      </c>
      <c r="P1066" s="118">
        <v>15</v>
      </c>
      <c r="Q1066" s="118" t="e">
        <f>ROUND(Tableau17[[#This Row],[LEN]]*#REF!+#REF!,0)</f>
        <v>#REF!</v>
      </c>
    </row>
    <row r="1067" spans="1:17" s="97" customFormat="1" x14ac:dyDescent="0.25">
      <c r="A1067" s="53" t="s">
        <v>1865</v>
      </c>
      <c r="B1067" s="54" t="s">
        <v>1858</v>
      </c>
      <c r="C1067" s="55" t="s">
        <v>1769</v>
      </c>
      <c r="D1067" s="77" t="s">
        <v>1177</v>
      </c>
      <c r="E1067" s="55" t="s">
        <v>675</v>
      </c>
      <c r="F1067" s="55" t="s">
        <v>679</v>
      </c>
      <c r="G1067" s="77" t="s">
        <v>2101</v>
      </c>
      <c r="H1067" s="77" t="s">
        <v>654</v>
      </c>
      <c r="I1067" s="55"/>
      <c r="J1067" s="56" t="s">
        <v>708</v>
      </c>
      <c r="K106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7" s="118">
        <f>ROUND(Tableau17[[#This Row],[LEN]]*7.27,0)</f>
        <v>211</v>
      </c>
      <c r="M1067" s="118">
        <v>15</v>
      </c>
      <c r="N1067" s="135" t="str">
        <f t="shared" si="7"/>
        <v>none</v>
      </c>
      <c r="O1067" s="118">
        <f>LEN(Tableau17[[#This Row],[LABEL]])</f>
        <v>29</v>
      </c>
      <c r="P1067" s="118">
        <v>15</v>
      </c>
      <c r="Q1067" s="118" t="e">
        <f>ROUND(Tableau17[[#This Row],[LEN]]*#REF!+#REF!,0)</f>
        <v>#REF!</v>
      </c>
    </row>
    <row r="1068" spans="1:17" s="97" customFormat="1" x14ac:dyDescent="0.25">
      <c r="A1068" s="53" t="s">
        <v>1866</v>
      </c>
      <c r="B1068" s="54" t="s">
        <v>1858</v>
      </c>
      <c r="C1068" s="55" t="s">
        <v>1468</v>
      </c>
      <c r="D1068" s="77" t="s">
        <v>1177</v>
      </c>
      <c r="E1068" s="55" t="s">
        <v>675</v>
      </c>
      <c r="F1068" s="55" t="s">
        <v>679</v>
      </c>
      <c r="G1068" s="77" t="s">
        <v>2101</v>
      </c>
      <c r="H1068" s="77" t="s">
        <v>654</v>
      </c>
      <c r="I1068" s="55"/>
      <c r="J1068" s="56" t="s">
        <v>708</v>
      </c>
      <c r="K106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8" s="118">
        <f>ROUND(Tableau17[[#This Row],[LEN]]*7.27,0)</f>
        <v>167</v>
      </c>
      <c r="M1068" s="118">
        <v>15</v>
      </c>
      <c r="N1068" s="135" t="str">
        <f t="shared" si="7"/>
        <v>none</v>
      </c>
      <c r="O1068" s="118">
        <f>LEN(Tableau17[[#This Row],[LABEL]])</f>
        <v>23</v>
      </c>
      <c r="P1068" s="118">
        <v>15</v>
      </c>
      <c r="Q1068" s="118" t="e">
        <f>ROUND(Tableau17[[#This Row],[LEN]]*#REF!+#REF!,0)</f>
        <v>#REF!</v>
      </c>
    </row>
    <row r="1069" spans="1:17" s="97" customFormat="1" x14ac:dyDescent="0.25">
      <c r="A1069" s="49" t="s">
        <v>1859</v>
      </c>
      <c r="B1069" s="50" t="s">
        <v>319</v>
      </c>
      <c r="C1069" s="51" t="s">
        <v>1824</v>
      </c>
      <c r="D1069" s="76" t="s">
        <v>1177</v>
      </c>
      <c r="E1069" s="51" t="s">
        <v>677</v>
      </c>
      <c r="F1069" s="51" t="s">
        <v>1842</v>
      </c>
      <c r="G1069" s="76" t="s">
        <v>2101</v>
      </c>
      <c r="H1069" s="76" t="s">
        <v>570</v>
      </c>
      <c r="I1069" s="51"/>
      <c r="J1069" s="52" t="s">
        <v>708</v>
      </c>
      <c r="K106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69" s="117">
        <f>ROUND(Tableau17[[#This Row],[LEN]]*7.27,0)</f>
        <v>95</v>
      </c>
      <c r="M1069" s="117">
        <v>15</v>
      </c>
      <c r="N1069" s="134" t="str">
        <f t="shared" si="7"/>
        <v>none</v>
      </c>
      <c r="O1069" s="117">
        <f>LEN(Tableau17[[#This Row],[LABEL]])</f>
        <v>13</v>
      </c>
      <c r="P1069" s="117">
        <v>15</v>
      </c>
      <c r="Q1069" s="117" t="e">
        <f>ROUND(Tableau17[[#This Row],[LEN]]*#REF!+#REF!,0)</f>
        <v>#REF!</v>
      </c>
    </row>
    <row r="1070" spans="1:17" s="97" customFormat="1" x14ac:dyDescent="0.25">
      <c r="A1070" s="49" t="s">
        <v>1860</v>
      </c>
      <c r="B1070" s="50" t="s">
        <v>319</v>
      </c>
      <c r="C1070" s="51" t="s">
        <v>1867</v>
      </c>
      <c r="D1070" s="76" t="s">
        <v>1177</v>
      </c>
      <c r="E1070" s="51" t="s">
        <v>679</v>
      </c>
      <c r="F1070" s="51" t="s">
        <v>1177</v>
      </c>
      <c r="G1070" s="76" t="s">
        <v>2101</v>
      </c>
      <c r="H1070" s="76" t="s">
        <v>570</v>
      </c>
      <c r="I1070" s="51"/>
      <c r="J1070" s="52" t="s">
        <v>708</v>
      </c>
      <c r="K1070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0" s="117">
        <f>ROUND(Tableau17[[#This Row],[LEN]]*7.27,0)</f>
        <v>313</v>
      </c>
      <c r="M1070" s="117">
        <v>15</v>
      </c>
      <c r="N1070" s="134" t="str">
        <f t="shared" si="7"/>
        <v>none</v>
      </c>
      <c r="O1070" s="117">
        <f>LEN(Tableau17[[#This Row],[LABEL]])</f>
        <v>43</v>
      </c>
      <c r="P1070" s="117">
        <v>15</v>
      </c>
      <c r="Q1070" s="117" t="e">
        <f>ROUND(Tableau17[[#This Row],[LEN]]*#REF!+#REF!,0)</f>
        <v>#REF!</v>
      </c>
    </row>
    <row r="1071" spans="1:17" s="97" customFormat="1" x14ac:dyDescent="0.25">
      <c r="A1071" s="49" t="s">
        <v>1861</v>
      </c>
      <c r="B1071" s="50" t="s">
        <v>319</v>
      </c>
      <c r="C1071" s="51" t="s">
        <v>1868</v>
      </c>
      <c r="D1071" s="76" t="s">
        <v>1177</v>
      </c>
      <c r="E1071" s="51" t="s">
        <v>679</v>
      </c>
      <c r="F1071" s="51" t="s">
        <v>1177</v>
      </c>
      <c r="G1071" s="76" t="s">
        <v>2101</v>
      </c>
      <c r="H1071" s="76" t="s">
        <v>654</v>
      </c>
      <c r="I1071" s="51"/>
      <c r="J1071" s="52" t="s">
        <v>708</v>
      </c>
      <c r="K1071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1" s="117">
        <f>ROUND(Tableau17[[#This Row],[LEN]]*7.27,0)</f>
        <v>189</v>
      </c>
      <c r="M1071" s="117">
        <v>15</v>
      </c>
      <c r="N1071" s="134" t="str">
        <f t="shared" si="7"/>
        <v>none</v>
      </c>
      <c r="O1071" s="117">
        <f>LEN(Tableau17[[#This Row],[LABEL]])</f>
        <v>26</v>
      </c>
      <c r="P1071" s="117">
        <v>15</v>
      </c>
      <c r="Q1071" s="117" t="e">
        <f>ROUND(Tableau17[[#This Row],[LEN]]*#REF!+#REF!,0)</f>
        <v>#REF!</v>
      </c>
    </row>
    <row r="1072" spans="1:17" s="273" customFormat="1" x14ac:dyDescent="0.25">
      <c r="A1072" s="358" t="s">
        <v>2020</v>
      </c>
      <c r="B1072" s="359" t="s">
        <v>209</v>
      </c>
      <c r="C1072" s="360" t="s">
        <v>1950</v>
      </c>
      <c r="D1072" s="361" t="s">
        <v>1177</v>
      </c>
      <c r="E1072" s="360" t="s">
        <v>1951</v>
      </c>
      <c r="F1072" s="360" t="s">
        <v>1177</v>
      </c>
      <c r="G1072" s="361" t="s">
        <v>2101</v>
      </c>
      <c r="H1072" s="361" t="s">
        <v>56</v>
      </c>
      <c r="I1072" s="360"/>
      <c r="J1072" s="362" t="s">
        <v>708</v>
      </c>
      <c r="K1072" s="362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72" s="363">
        <f>ROUND(Tableau17[[#This Row],[LEN]]*7.27,0)</f>
        <v>51</v>
      </c>
      <c r="M1072" s="363">
        <v>15</v>
      </c>
      <c r="N1072" s="364" t="str">
        <f t="shared" si="7"/>
        <v>none</v>
      </c>
      <c r="O1072" s="363">
        <f>LEN(Tableau17[[#This Row],[LABEL]])</f>
        <v>7</v>
      </c>
      <c r="P1072" s="363">
        <v>15</v>
      </c>
      <c r="Q1072" s="363" t="e">
        <f>ROUND(Tableau17[[#This Row],[LEN]]*#REF!+#REF!,0)</f>
        <v>#REF!</v>
      </c>
    </row>
    <row r="1073" spans="1:17" s="97" customFormat="1" x14ac:dyDescent="0.25">
      <c r="A1073" s="49" t="s">
        <v>2021</v>
      </c>
      <c r="B1073" s="50" t="s">
        <v>2020</v>
      </c>
      <c r="C1073" s="51" t="s">
        <v>2088</v>
      </c>
      <c r="D1073" s="76" t="s">
        <v>2032</v>
      </c>
      <c r="E1073" s="51" t="s">
        <v>1951</v>
      </c>
      <c r="F1073" s="51" t="s">
        <v>1177</v>
      </c>
      <c r="G1073" s="76" t="s">
        <v>2101</v>
      </c>
      <c r="H1073" s="76" t="s">
        <v>654</v>
      </c>
      <c r="I1073" s="51"/>
      <c r="J1073" s="52" t="s">
        <v>708</v>
      </c>
      <c r="K1073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3" s="117">
        <f>ROUND(Tableau17[[#This Row],[LEN]]*7.27,0)</f>
        <v>414</v>
      </c>
      <c r="M1073" s="117">
        <v>15</v>
      </c>
      <c r="N1073" s="134" t="str">
        <f t="shared" si="7"/>
        <v>none</v>
      </c>
      <c r="O1073" s="117">
        <f>LEN(Tableau17[[#This Row],[LABEL]])</f>
        <v>57</v>
      </c>
      <c r="P1073" s="117">
        <v>15</v>
      </c>
      <c r="Q1073" s="117" t="e">
        <f>ROUND(Tableau17[[#This Row],[LEN]]*#REF!+#REF!,0)</f>
        <v>#REF!</v>
      </c>
    </row>
    <row r="1074" spans="1:17" s="97" customFormat="1" x14ac:dyDescent="0.25">
      <c r="A1074" s="49" t="s">
        <v>2022</v>
      </c>
      <c r="B1074" s="50" t="s">
        <v>2020</v>
      </c>
      <c r="C1074" s="51" t="s">
        <v>2033</v>
      </c>
      <c r="D1074" s="76" t="s">
        <v>1177</v>
      </c>
      <c r="E1074" s="51" t="s">
        <v>1951</v>
      </c>
      <c r="F1074" s="51" t="s">
        <v>1177</v>
      </c>
      <c r="G1074" s="76" t="s">
        <v>2101</v>
      </c>
      <c r="H1074" s="76" t="s">
        <v>654</v>
      </c>
      <c r="I1074" s="51"/>
      <c r="J1074" s="52" t="s">
        <v>708</v>
      </c>
      <c r="K1074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4" s="117">
        <f>ROUND(Tableau17[[#This Row],[LEN]]*7.27,0)</f>
        <v>320</v>
      </c>
      <c r="M1074" s="117">
        <v>15</v>
      </c>
      <c r="N1074" s="134" t="str">
        <f t="shared" si="7"/>
        <v>none</v>
      </c>
      <c r="O1074" s="117">
        <f>LEN(Tableau17[[#This Row],[LABEL]])</f>
        <v>44</v>
      </c>
      <c r="P1074" s="117">
        <v>15</v>
      </c>
      <c r="Q1074" s="117" t="e">
        <f>ROUND(Tableau17[[#This Row],[LEN]]*#REF!+#REF!,0)</f>
        <v>#REF!</v>
      </c>
    </row>
    <row r="1075" spans="1:17" s="97" customFormat="1" x14ac:dyDescent="0.25">
      <c r="A1075" s="49" t="s">
        <v>2023</v>
      </c>
      <c r="B1075" s="50" t="s">
        <v>2020</v>
      </c>
      <c r="C1075" s="51" t="s">
        <v>128</v>
      </c>
      <c r="D1075" s="76" t="s">
        <v>1177</v>
      </c>
      <c r="E1075" s="51" t="s">
        <v>669</v>
      </c>
      <c r="F1075" s="51" t="s">
        <v>2029</v>
      </c>
      <c r="G1075" s="76" t="s">
        <v>2101</v>
      </c>
      <c r="H1075" s="76" t="s">
        <v>570</v>
      </c>
      <c r="I1075" s="51"/>
      <c r="J1075" s="52" t="s">
        <v>708</v>
      </c>
      <c r="K1075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5" s="117">
        <f>ROUND(Tableau17[[#This Row],[LEN]]*7.27,0)</f>
        <v>182</v>
      </c>
      <c r="M1075" s="117">
        <v>15</v>
      </c>
      <c r="N1075" s="134" t="str">
        <f t="shared" si="7"/>
        <v>none</v>
      </c>
      <c r="O1075" s="117">
        <f>LEN(Tableau17[[#This Row],[LABEL]])</f>
        <v>25</v>
      </c>
      <c r="P1075" s="117">
        <v>15</v>
      </c>
      <c r="Q1075" s="117" t="e">
        <f>ROUND(Tableau17[[#This Row],[LEN]]*#REF!+#REF!,0)</f>
        <v>#REF!</v>
      </c>
    </row>
    <row r="1076" spans="1:17" s="97" customFormat="1" x14ac:dyDescent="0.25">
      <c r="A1076" s="49" t="s">
        <v>2024</v>
      </c>
      <c r="B1076" s="50" t="s">
        <v>2020</v>
      </c>
      <c r="C1076" s="51" t="s">
        <v>129</v>
      </c>
      <c r="D1076" s="76" t="s">
        <v>1177</v>
      </c>
      <c r="E1076" s="51" t="s">
        <v>673</v>
      </c>
      <c r="F1076" s="51" t="s">
        <v>2035</v>
      </c>
      <c r="G1076" s="76" t="s">
        <v>2101</v>
      </c>
      <c r="H1076" s="76" t="s">
        <v>655</v>
      </c>
      <c r="I1076" s="51"/>
      <c r="J1076" s="52" t="s">
        <v>708</v>
      </c>
      <c r="K107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6" s="117">
        <f>ROUND(Tableau17[[#This Row],[LEN]]*7.27,0)</f>
        <v>87</v>
      </c>
      <c r="M1076" s="117">
        <v>15</v>
      </c>
      <c r="N1076" s="134" t="str">
        <f t="shared" si="7"/>
        <v>none</v>
      </c>
      <c r="O1076" s="117">
        <f>LEN(Tableau17[[#This Row],[LABEL]])</f>
        <v>12</v>
      </c>
      <c r="P1076" s="117">
        <v>15</v>
      </c>
      <c r="Q1076" s="117" t="e">
        <f>ROUND(Tableau17[[#This Row],[LEN]]*#REF!+#REF!,0)</f>
        <v>#REF!</v>
      </c>
    </row>
    <row r="1077" spans="1:17" s="97" customFormat="1" x14ac:dyDescent="0.25">
      <c r="A1077" s="53" t="s">
        <v>2034</v>
      </c>
      <c r="B1077" s="54" t="s">
        <v>2024</v>
      </c>
      <c r="C1077" s="55" t="s">
        <v>131</v>
      </c>
      <c r="D1077" s="77" t="s">
        <v>1177</v>
      </c>
      <c r="E1077" s="55" t="s">
        <v>673</v>
      </c>
      <c r="F1077" s="55" t="s">
        <v>2035</v>
      </c>
      <c r="G1077" s="77" t="s">
        <v>2101</v>
      </c>
      <c r="H1077" s="77" t="s">
        <v>570</v>
      </c>
      <c r="I1077" s="55"/>
      <c r="J1077" s="56" t="s">
        <v>708</v>
      </c>
      <c r="K1077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7" s="118">
        <f>ROUND(Tableau17[[#This Row],[LEN]]*7.27,0)</f>
        <v>262</v>
      </c>
      <c r="M1077" s="118">
        <v>15</v>
      </c>
      <c r="N1077" s="135" t="str">
        <f t="shared" si="7"/>
        <v>none</v>
      </c>
      <c r="O1077" s="118">
        <f>LEN(Tableau17[[#This Row],[LABEL]])</f>
        <v>36</v>
      </c>
      <c r="P1077" s="118">
        <v>15</v>
      </c>
      <c r="Q1077" s="118" t="e">
        <f>ROUND(Tableau17[[#This Row],[LEN]]*#REF!+#REF!,0)</f>
        <v>#REF!</v>
      </c>
    </row>
    <row r="1078" spans="1:17" s="97" customFormat="1" x14ac:dyDescent="0.25">
      <c r="A1078" s="53" t="s">
        <v>2034</v>
      </c>
      <c r="B1078" s="54" t="s">
        <v>2024</v>
      </c>
      <c r="C1078" s="55" t="s">
        <v>132</v>
      </c>
      <c r="D1078" s="77" t="s">
        <v>1177</v>
      </c>
      <c r="E1078" s="55" t="s">
        <v>673</v>
      </c>
      <c r="F1078" s="55" t="s">
        <v>2035</v>
      </c>
      <c r="G1078" s="77" t="s">
        <v>2101</v>
      </c>
      <c r="H1078" s="77" t="s">
        <v>570</v>
      </c>
      <c r="I1078" s="55"/>
      <c r="J1078" s="56" t="s">
        <v>708</v>
      </c>
      <c r="K1078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8" s="118">
        <f>ROUND(Tableau17[[#This Row],[LEN]]*7.27,0)</f>
        <v>298</v>
      </c>
      <c r="M1078" s="118">
        <v>15</v>
      </c>
      <c r="N1078" s="135" t="str">
        <f t="shared" si="7"/>
        <v>none</v>
      </c>
      <c r="O1078" s="118">
        <f>LEN(Tableau17[[#This Row],[LABEL]])</f>
        <v>41</v>
      </c>
      <c r="P1078" s="118">
        <v>15</v>
      </c>
      <c r="Q1078" s="118" t="e">
        <f>ROUND(Tableau17[[#This Row],[LEN]]*#REF!+#REF!,0)</f>
        <v>#REF!</v>
      </c>
    </row>
    <row r="1079" spans="1:17" s="97" customFormat="1" x14ac:dyDescent="0.25">
      <c r="A1079" s="49" t="s">
        <v>2025</v>
      </c>
      <c r="B1079" s="50" t="s">
        <v>2020</v>
      </c>
      <c r="C1079" s="51" t="s">
        <v>2040</v>
      </c>
      <c r="D1079" s="76" t="s">
        <v>1177</v>
      </c>
      <c r="E1079" s="51" t="s">
        <v>1951</v>
      </c>
      <c r="F1079" s="51" t="s">
        <v>661</v>
      </c>
      <c r="G1079" s="76" t="s">
        <v>2101</v>
      </c>
      <c r="H1079" s="76" t="s">
        <v>655</v>
      </c>
      <c r="I1079" s="51"/>
      <c r="J1079" s="52" t="s">
        <v>708</v>
      </c>
      <c r="K1079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79" s="117">
        <f>ROUND(Tableau17[[#This Row],[LEN]]*7.27,0)</f>
        <v>204</v>
      </c>
      <c r="M1079" s="117">
        <v>10</v>
      </c>
      <c r="N1079" s="134" t="str">
        <f t="shared" si="7"/>
        <v>none</v>
      </c>
      <c r="O1079" s="117">
        <f>LEN(Tableau17[[#This Row],[LABEL]])</f>
        <v>28</v>
      </c>
      <c r="P1079" s="117">
        <v>10</v>
      </c>
      <c r="Q1079" s="117" t="e">
        <f>ROUND(Tableau17[[#This Row],[LEN]]*#REF!+#REF!,0)</f>
        <v>#REF!</v>
      </c>
    </row>
    <row r="1080" spans="1:17" s="97" customFormat="1" x14ac:dyDescent="0.25">
      <c r="A1080" s="53" t="s">
        <v>2041</v>
      </c>
      <c r="B1080" s="54" t="s">
        <v>2025</v>
      </c>
      <c r="C1080" s="55" t="s">
        <v>2036</v>
      </c>
      <c r="D1080" s="77" t="s">
        <v>1177</v>
      </c>
      <c r="E1080" s="55" t="s">
        <v>1951</v>
      </c>
      <c r="F1080" s="55" t="s">
        <v>661</v>
      </c>
      <c r="G1080" s="77" t="s">
        <v>2101</v>
      </c>
      <c r="H1080" s="77" t="s">
        <v>654</v>
      </c>
      <c r="I1080" s="55"/>
      <c r="J1080" s="56" t="s">
        <v>708</v>
      </c>
      <c r="K1080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0" s="118">
        <f>ROUND(Tableau17[[#This Row],[LEN]]*7.27,0)</f>
        <v>196</v>
      </c>
      <c r="M1080" s="118">
        <v>10</v>
      </c>
      <c r="N1080" s="135" t="str">
        <f t="shared" si="7"/>
        <v>none</v>
      </c>
      <c r="O1080" s="118">
        <f>LEN(Tableau17[[#This Row],[LABEL]])</f>
        <v>27</v>
      </c>
      <c r="P1080" s="118">
        <v>10</v>
      </c>
      <c r="Q1080" s="118" t="e">
        <f>ROUND(Tableau17[[#This Row],[LEN]]*#REF!+#REF!,0)</f>
        <v>#REF!</v>
      </c>
    </row>
    <row r="1081" spans="1:17" s="97" customFormat="1" x14ac:dyDescent="0.25">
      <c r="A1081" s="53" t="s">
        <v>2042</v>
      </c>
      <c r="B1081" s="54" t="s">
        <v>2025</v>
      </c>
      <c r="C1081" s="55" t="s">
        <v>2037</v>
      </c>
      <c r="D1081" s="77" t="s">
        <v>1177</v>
      </c>
      <c r="E1081" s="55" t="s">
        <v>1951</v>
      </c>
      <c r="F1081" s="55" t="s">
        <v>661</v>
      </c>
      <c r="G1081" s="77" t="s">
        <v>2101</v>
      </c>
      <c r="H1081" s="77" t="s">
        <v>654</v>
      </c>
      <c r="I1081" s="55"/>
      <c r="J1081" s="56" t="s">
        <v>708</v>
      </c>
      <c r="K1081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1" s="118">
        <f>ROUND(Tableau17[[#This Row],[LEN]]*7.27,0)</f>
        <v>334</v>
      </c>
      <c r="M1081" s="118">
        <v>11</v>
      </c>
      <c r="N1081" s="135" t="str">
        <f t="shared" si="7"/>
        <v>none</v>
      </c>
      <c r="O1081" s="118">
        <f>LEN(Tableau17[[#This Row],[LABEL]])</f>
        <v>46</v>
      </c>
      <c r="P1081" s="118">
        <v>11</v>
      </c>
      <c r="Q1081" s="118" t="e">
        <f>ROUND(Tableau17[[#This Row],[LEN]]*#REF!+#REF!,0)</f>
        <v>#REF!</v>
      </c>
    </row>
    <row r="1082" spans="1:17" s="97" customFormat="1" x14ac:dyDescent="0.25">
      <c r="A1082" s="53" t="s">
        <v>2043</v>
      </c>
      <c r="B1082" s="54" t="s">
        <v>2025</v>
      </c>
      <c r="C1082" s="55" t="s">
        <v>2038</v>
      </c>
      <c r="D1082" s="77" t="s">
        <v>1177</v>
      </c>
      <c r="E1082" s="55" t="s">
        <v>1951</v>
      </c>
      <c r="F1082" s="55" t="s">
        <v>661</v>
      </c>
      <c r="G1082" s="77" t="s">
        <v>2101</v>
      </c>
      <c r="H1082" s="77" t="s">
        <v>654</v>
      </c>
      <c r="I1082" s="55"/>
      <c r="J1082" s="56" t="s">
        <v>708</v>
      </c>
      <c r="K1082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2" s="118">
        <f>ROUND(Tableau17[[#This Row],[LEN]]*7.27,0)</f>
        <v>95</v>
      </c>
      <c r="M1082" s="118">
        <v>12</v>
      </c>
      <c r="N1082" s="135" t="str">
        <f t="shared" si="7"/>
        <v>none</v>
      </c>
      <c r="O1082" s="118">
        <f>LEN(Tableau17[[#This Row],[LABEL]])</f>
        <v>13</v>
      </c>
      <c r="P1082" s="118">
        <v>12</v>
      </c>
      <c r="Q1082" s="118" t="e">
        <f>ROUND(Tableau17[[#This Row],[LEN]]*#REF!+#REF!,0)</f>
        <v>#REF!</v>
      </c>
    </row>
    <row r="1083" spans="1:17" s="97" customFormat="1" x14ac:dyDescent="0.25">
      <c r="A1083" s="53" t="s">
        <v>2044</v>
      </c>
      <c r="B1083" s="54" t="s">
        <v>2025</v>
      </c>
      <c r="C1083" s="55" t="s">
        <v>2039</v>
      </c>
      <c r="D1083" s="77" t="s">
        <v>1177</v>
      </c>
      <c r="E1083" s="55" t="s">
        <v>1951</v>
      </c>
      <c r="F1083" s="55" t="s">
        <v>661</v>
      </c>
      <c r="G1083" s="77" t="s">
        <v>2101</v>
      </c>
      <c r="H1083" s="77" t="s">
        <v>654</v>
      </c>
      <c r="I1083" s="55"/>
      <c r="J1083" s="56" t="s">
        <v>708</v>
      </c>
      <c r="K1083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3" s="118">
        <f>ROUND(Tableau17[[#This Row],[LEN]]*7.27,0)</f>
        <v>589</v>
      </c>
      <c r="M1083" s="118">
        <v>13</v>
      </c>
      <c r="N1083" s="135" t="str">
        <f t="shared" si="7"/>
        <v>none</v>
      </c>
      <c r="O1083" s="118">
        <f>LEN(Tableau17[[#This Row],[LABEL]])</f>
        <v>81</v>
      </c>
      <c r="P1083" s="118">
        <v>13</v>
      </c>
      <c r="Q1083" s="118" t="e">
        <f>ROUND(Tableau17[[#This Row],[LEN]]*#REF!+#REF!,0)</f>
        <v>#REF!</v>
      </c>
    </row>
    <row r="1084" spans="1:17" s="97" customFormat="1" x14ac:dyDescent="0.25">
      <c r="A1084" s="53" t="s">
        <v>2045</v>
      </c>
      <c r="B1084" s="54" t="s">
        <v>2025</v>
      </c>
      <c r="C1084" s="55" t="s">
        <v>2030</v>
      </c>
      <c r="D1084" s="77" t="s">
        <v>1177</v>
      </c>
      <c r="E1084" s="55" t="s">
        <v>1951</v>
      </c>
      <c r="F1084" s="55" t="s">
        <v>661</v>
      </c>
      <c r="G1084" s="77" t="s">
        <v>2101</v>
      </c>
      <c r="H1084" s="77" t="s">
        <v>654</v>
      </c>
      <c r="I1084" s="55"/>
      <c r="J1084" s="56" t="s">
        <v>708</v>
      </c>
      <c r="K1084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4" s="118">
        <f>ROUND(Tableau17[[#This Row],[LEN]]*7.27,0)</f>
        <v>211</v>
      </c>
      <c r="M1084" s="118">
        <v>14</v>
      </c>
      <c r="N1084" s="135" t="str">
        <f t="shared" si="7"/>
        <v>none</v>
      </c>
      <c r="O1084" s="118">
        <f>LEN(Tableau17[[#This Row],[LABEL]])</f>
        <v>29</v>
      </c>
      <c r="P1084" s="118">
        <v>14</v>
      </c>
      <c r="Q1084" s="118" t="e">
        <f>ROUND(Tableau17[[#This Row],[LEN]]*#REF!+#REF!,0)</f>
        <v>#REF!</v>
      </c>
    </row>
    <row r="1085" spans="1:17" s="97" customFormat="1" x14ac:dyDescent="0.25">
      <c r="A1085" s="53" t="s">
        <v>2046</v>
      </c>
      <c r="B1085" s="54" t="s">
        <v>2025</v>
      </c>
      <c r="C1085" s="55" t="s">
        <v>2031</v>
      </c>
      <c r="D1085" s="77" t="s">
        <v>1177</v>
      </c>
      <c r="E1085" s="55" t="s">
        <v>1951</v>
      </c>
      <c r="F1085" s="55" t="s">
        <v>661</v>
      </c>
      <c r="G1085" s="77" t="s">
        <v>2101</v>
      </c>
      <c r="H1085" s="77" t="s">
        <v>654</v>
      </c>
      <c r="I1085" s="55"/>
      <c r="J1085" s="56" t="s">
        <v>708</v>
      </c>
      <c r="K1085" s="56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5" s="118">
        <f>ROUND(Tableau17[[#This Row],[LEN]]*7.27,0)</f>
        <v>313</v>
      </c>
      <c r="M1085" s="118">
        <v>15</v>
      </c>
      <c r="N1085" s="135" t="str">
        <f t="shared" si="7"/>
        <v>none</v>
      </c>
      <c r="O1085" s="118">
        <f>LEN(Tableau17[[#This Row],[LABEL]])</f>
        <v>43</v>
      </c>
      <c r="P1085" s="118">
        <v>15</v>
      </c>
      <c r="Q1085" s="118" t="e">
        <f>ROUND(Tableau17[[#This Row],[LEN]]*#REF!+#REF!,0)</f>
        <v>#REF!</v>
      </c>
    </row>
    <row r="1086" spans="1:17" s="97" customFormat="1" x14ac:dyDescent="0.25">
      <c r="A1086" s="49" t="s">
        <v>2026</v>
      </c>
      <c r="B1086" s="50" t="s">
        <v>2020</v>
      </c>
      <c r="C1086" s="51" t="s">
        <v>598</v>
      </c>
      <c r="D1086" s="76" t="s">
        <v>1177</v>
      </c>
      <c r="E1086" s="51" t="s">
        <v>673</v>
      </c>
      <c r="F1086" s="51" t="s">
        <v>2035</v>
      </c>
      <c r="G1086" s="76" t="s">
        <v>2101</v>
      </c>
      <c r="H1086" s="76" t="s">
        <v>654</v>
      </c>
      <c r="I1086" s="51"/>
      <c r="J1086" s="52" t="s">
        <v>708</v>
      </c>
      <c r="K1086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6" s="117">
        <f>ROUND(Tableau17[[#This Row],[LEN]]*7.27,0)</f>
        <v>553</v>
      </c>
      <c r="M1086" s="117">
        <v>15</v>
      </c>
      <c r="N1086" s="134" t="str">
        <f t="shared" si="7"/>
        <v>none</v>
      </c>
      <c r="O1086" s="117">
        <f>LEN(Tableau17[[#This Row],[LABEL]])</f>
        <v>76</v>
      </c>
      <c r="P1086" s="117">
        <v>15</v>
      </c>
      <c r="Q1086" s="117" t="e">
        <f>ROUND(Tableau17[[#This Row],[LEN]]*#REF!+#REF!,0)</f>
        <v>#REF!</v>
      </c>
    </row>
    <row r="1087" spans="1:17" s="97" customFormat="1" x14ac:dyDescent="0.25">
      <c r="A1087" s="49" t="s">
        <v>2027</v>
      </c>
      <c r="B1087" s="50" t="s">
        <v>2020</v>
      </c>
      <c r="C1087" s="51" t="s">
        <v>2047</v>
      </c>
      <c r="D1087" s="76" t="s">
        <v>1177</v>
      </c>
      <c r="E1087" s="51" t="s">
        <v>1951</v>
      </c>
      <c r="F1087" s="51" t="s">
        <v>1177</v>
      </c>
      <c r="G1087" s="76" t="s">
        <v>2101</v>
      </c>
      <c r="H1087" s="76" t="s">
        <v>654</v>
      </c>
      <c r="I1087" s="51"/>
      <c r="J1087" s="52" t="s">
        <v>708</v>
      </c>
      <c r="K1087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7" s="117">
        <f>ROUND(Tableau17[[#This Row],[LEN]]*7.27,0)</f>
        <v>233</v>
      </c>
      <c r="M1087" s="117">
        <v>15</v>
      </c>
      <c r="N1087" s="134" t="str">
        <f t="shared" si="7"/>
        <v>none</v>
      </c>
      <c r="O1087" s="117">
        <f>LEN(Tableau17[[#This Row],[LABEL]])</f>
        <v>32</v>
      </c>
      <c r="P1087" s="117">
        <v>15</v>
      </c>
      <c r="Q1087" s="117" t="e">
        <f>ROUND(Tableau17[[#This Row],[LEN]]*#REF!+#REF!,0)</f>
        <v>#REF!</v>
      </c>
    </row>
    <row r="1088" spans="1:17" s="97" customFormat="1" ht="15.75" thickBot="1" x14ac:dyDescent="0.3">
      <c r="A1088" s="49" t="s">
        <v>2028</v>
      </c>
      <c r="B1088" s="50" t="s">
        <v>2020</v>
      </c>
      <c r="C1088" s="51" t="s">
        <v>2048</v>
      </c>
      <c r="D1088" s="76" t="s">
        <v>1177</v>
      </c>
      <c r="E1088" s="51" t="s">
        <v>1951</v>
      </c>
      <c r="F1088" s="51" t="s">
        <v>1177</v>
      </c>
      <c r="G1088" s="76" t="s">
        <v>2101</v>
      </c>
      <c r="H1088" s="76" t="s">
        <v>654</v>
      </c>
      <c r="I1088" s="51"/>
      <c r="J1088" s="52" t="s">
        <v>708</v>
      </c>
      <c r="K1088" s="52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88" s="117">
        <f>ROUND(Tableau17[[#This Row],[LEN]]*7.27,0)</f>
        <v>225</v>
      </c>
      <c r="M1088" s="117">
        <v>15</v>
      </c>
      <c r="N1088" s="134" t="str">
        <f t="shared" si="7"/>
        <v>none</v>
      </c>
      <c r="O1088" s="117">
        <f>LEN(Tableau17[[#This Row],[LABEL]])</f>
        <v>31</v>
      </c>
      <c r="P1088" s="117">
        <v>15</v>
      </c>
      <c r="Q1088" s="117" t="e">
        <f>ROUND(Tableau17[[#This Row],[LEN]]*#REF!+#REF!,0)</f>
        <v>#REF!</v>
      </c>
    </row>
    <row r="1089" spans="1:17" s="92" customFormat="1" ht="16.5" thickTop="1" thickBot="1" x14ac:dyDescent="0.3">
      <c r="A1089" s="198" t="s">
        <v>210</v>
      </c>
      <c r="B1089" s="198" t="s">
        <v>203</v>
      </c>
      <c r="C1089" s="199" t="s">
        <v>178</v>
      </c>
      <c r="D1089" s="200" t="s">
        <v>474</v>
      </c>
      <c r="E1089" s="199" t="s">
        <v>1177</v>
      </c>
      <c r="F1089" s="200" t="s">
        <v>1084</v>
      </c>
      <c r="G1089" s="199" t="s">
        <v>170</v>
      </c>
      <c r="H1089" s="199" t="s">
        <v>616</v>
      </c>
      <c r="I1089" s="200"/>
      <c r="J1089" s="201" t="s">
        <v>708</v>
      </c>
      <c r="K1089" s="20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89" s="202">
        <f>ROUND(Tableau17[[#This Row],[LEN]]*7.27,0)</f>
        <v>102</v>
      </c>
      <c r="M1089" s="202">
        <v>15</v>
      </c>
      <c r="N1089" s="203" t="str">
        <f t="shared" si="7"/>
        <v>none</v>
      </c>
      <c r="O1089" s="202">
        <f>LEN(Tableau17[[#This Row],[LABEL]])</f>
        <v>14</v>
      </c>
      <c r="P1089" s="204">
        <v>15</v>
      </c>
      <c r="Q1089" s="204" t="e">
        <f>ROUND(Tableau17[[#This Row],[LEN]]*#REF!+#REF!,0)</f>
        <v>#REF!</v>
      </c>
    </row>
    <row r="1090" spans="1:17" s="273" customFormat="1" ht="15.75" thickTop="1" x14ac:dyDescent="0.25">
      <c r="A1090" s="372" t="s">
        <v>321</v>
      </c>
      <c r="B1090" s="373" t="s">
        <v>210</v>
      </c>
      <c r="C1090" s="374" t="s">
        <v>57</v>
      </c>
      <c r="D1090" s="375" t="s">
        <v>1177</v>
      </c>
      <c r="E1090" s="374" t="s">
        <v>663</v>
      </c>
      <c r="F1090" s="374" t="s">
        <v>1177</v>
      </c>
      <c r="G1090" s="375" t="s">
        <v>170</v>
      </c>
      <c r="H1090" s="375" t="str">
        <f>IFERROR(IF(SEARCH(".00.00.00.00.00",Tableau17[[#This Row],[name]],1)=7,"Division",""),"")</f>
        <v>Division</v>
      </c>
      <c r="I1090" s="374"/>
      <c r="J1090" s="376" t="s">
        <v>708</v>
      </c>
      <c r="K1090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90" s="377">
        <f>ROUND(Tableau17[[#This Row],[LEN]]*7.27,0)</f>
        <v>102</v>
      </c>
      <c r="M1090" s="377">
        <v>15</v>
      </c>
      <c r="N1090" s="378" t="str">
        <f t="shared" si="7"/>
        <v>none</v>
      </c>
      <c r="O1090" s="377">
        <f>LEN(Tableau17[[#This Row],[LABEL]])</f>
        <v>14</v>
      </c>
      <c r="P1090" s="377">
        <v>15</v>
      </c>
      <c r="Q1090" s="377" t="e">
        <f>ROUND(Tableau17[[#This Row],[LEN]]*#REF!+#REF!,0)</f>
        <v>#REF!</v>
      </c>
    </row>
    <row r="1091" spans="1:17" s="97" customFormat="1" x14ac:dyDescent="0.25">
      <c r="A1091" s="61" t="s">
        <v>906</v>
      </c>
      <c r="B1091" s="62" t="s">
        <v>321</v>
      </c>
      <c r="C1091" s="63" t="s">
        <v>1875</v>
      </c>
      <c r="D1091" s="79" t="s">
        <v>1177</v>
      </c>
      <c r="E1091" s="63" t="s">
        <v>684</v>
      </c>
      <c r="F1091" s="63" t="s">
        <v>2086</v>
      </c>
      <c r="G1091" s="79" t="s">
        <v>170</v>
      </c>
      <c r="H1091" s="79" t="s">
        <v>656</v>
      </c>
      <c r="I1091" s="63"/>
      <c r="J1091" s="64" t="s">
        <v>708</v>
      </c>
      <c r="K109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1" s="120">
        <f>ROUND(Tableau17[[#This Row],[LEN]]*7.27,0)</f>
        <v>291</v>
      </c>
      <c r="M1091" s="120">
        <v>15</v>
      </c>
      <c r="N1091" s="137" t="str">
        <f t="shared" si="7"/>
        <v>none</v>
      </c>
      <c r="O1091" s="120">
        <f>LEN(Tableau17[[#This Row],[LABEL]])</f>
        <v>40</v>
      </c>
      <c r="P1091" s="120">
        <v>15</v>
      </c>
      <c r="Q1091" s="120" t="e">
        <f>ROUND(Tableau17[[#This Row],[LEN]]*#REF!+#REF!,0)</f>
        <v>#REF!</v>
      </c>
    </row>
    <row r="1092" spans="1:17" s="97" customFormat="1" x14ac:dyDescent="0.25">
      <c r="A1092" s="61" t="s">
        <v>907</v>
      </c>
      <c r="B1092" s="62" t="s">
        <v>321</v>
      </c>
      <c r="C1092" s="63" t="s">
        <v>903</v>
      </c>
      <c r="D1092" s="79" t="s">
        <v>1177</v>
      </c>
      <c r="E1092" s="63" t="s">
        <v>663</v>
      </c>
      <c r="F1092" s="63" t="s">
        <v>1177</v>
      </c>
      <c r="G1092" s="79" t="s">
        <v>170</v>
      </c>
      <c r="H1092" s="79" t="s">
        <v>654</v>
      </c>
      <c r="I1092" s="63"/>
      <c r="J1092" s="64" t="s">
        <v>708</v>
      </c>
      <c r="K109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2" s="120">
        <f>ROUND(Tableau17[[#This Row],[LEN]]*7.27,0)</f>
        <v>225</v>
      </c>
      <c r="M1092" s="120">
        <v>15</v>
      </c>
      <c r="N1092" s="137" t="str">
        <f t="shared" si="7"/>
        <v>none</v>
      </c>
      <c r="O1092" s="120">
        <f>LEN(Tableau17[[#This Row],[LABEL]])</f>
        <v>31</v>
      </c>
      <c r="P1092" s="120">
        <v>15</v>
      </c>
      <c r="Q1092" s="120" t="e">
        <f>ROUND(Tableau17[[#This Row],[LEN]]*#REF!+#REF!,0)</f>
        <v>#REF!</v>
      </c>
    </row>
    <row r="1093" spans="1:17" s="97" customFormat="1" x14ac:dyDescent="0.25">
      <c r="A1093" s="61" t="s">
        <v>908</v>
      </c>
      <c r="B1093" s="62" t="s">
        <v>321</v>
      </c>
      <c r="C1093" s="63" t="s">
        <v>904</v>
      </c>
      <c r="D1093" s="79" t="s">
        <v>1177</v>
      </c>
      <c r="E1093" s="63" t="s">
        <v>663</v>
      </c>
      <c r="F1093" s="63" t="s">
        <v>1177</v>
      </c>
      <c r="G1093" s="79" t="s">
        <v>170</v>
      </c>
      <c r="H1093" s="79" t="s">
        <v>654</v>
      </c>
      <c r="I1093" s="63"/>
      <c r="J1093" s="64" t="s">
        <v>708</v>
      </c>
      <c r="K109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3" s="120">
        <f>ROUND(Tableau17[[#This Row],[LEN]]*7.27,0)</f>
        <v>247</v>
      </c>
      <c r="M1093" s="120">
        <v>15</v>
      </c>
      <c r="N1093" s="137" t="str">
        <f t="shared" si="7"/>
        <v>none</v>
      </c>
      <c r="O1093" s="120">
        <f>LEN(Tableau17[[#This Row],[LABEL]])</f>
        <v>34</v>
      </c>
      <c r="P1093" s="120">
        <v>15</v>
      </c>
      <c r="Q1093" s="120" t="e">
        <f>ROUND(Tableau17[[#This Row],[LEN]]*#REF!+#REF!,0)</f>
        <v>#REF!</v>
      </c>
    </row>
    <row r="1094" spans="1:17" s="97" customFormat="1" x14ac:dyDescent="0.25">
      <c r="A1094" s="61" t="s">
        <v>909</v>
      </c>
      <c r="B1094" s="62" t="s">
        <v>321</v>
      </c>
      <c r="C1094" s="63" t="s">
        <v>905</v>
      </c>
      <c r="D1094" s="79" t="s">
        <v>1177</v>
      </c>
      <c r="E1094" s="63" t="s">
        <v>663</v>
      </c>
      <c r="F1094" s="63" t="s">
        <v>1177</v>
      </c>
      <c r="G1094" s="79" t="s">
        <v>170</v>
      </c>
      <c r="H1094" s="79" t="s">
        <v>654</v>
      </c>
      <c r="I1094" s="63"/>
      <c r="J1094" s="64" t="s">
        <v>708</v>
      </c>
      <c r="K109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4" s="120">
        <f>ROUND(Tableau17[[#This Row],[LEN]]*7.27,0)</f>
        <v>124</v>
      </c>
      <c r="M1094" s="120">
        <v>15</v>
      </c>
      <c r="N1094" s="137" t="str">
        <f t="shared" si="7"/>
        <v>none</v>
      </c>
      <c r="O1094" s="120">
        <f>LEN(Tableau17[[#This Row],[LABEL]])</f>
        <v>17</v>
      </c>
      <c r="P1094" s="120">
        <v>15</v>
      </c>
      <c r="Q1094" s="120" t="e">
        <f>ROUND(Tableau17[[#This Row],[LEN]]*#REF!+#REF!,0)</f>
        <v>#REF!</v>
      </c>
    </row>
    <row r="1095" spans="1:17" s="97" customFormat="1" x14ac:dyDescent="0.25">
      <c r="A1095" s="61" t="s">
        <v>910</v>
      </c>
      <c r="B1095" s="62" t="s">
        <v>321</v>
      </c>
      <c r="C1095" s="63" t="s">
        <v>602</v>
      </c>
      <c r="D1095" s="79" t="s">
        <v>1177</v>
      </c>
      <c r="E1095" s="63" t="s">
        <v>661</v>
      </c>
      <c r="F1095" s="63" t="s">
        <v>1874</v>
      </c>
      <c r="G1095" s="79" t="s">
        <v>170</v>
      </c>
      <c r="H1095" s="79" t="s">
        <v>656</v>
      </c>
      <c r="I1095" s="63"/>
      <c r="J1095" s="64" t="s">
        <v>708</v>
      </c>
      <c r="K109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5" s="120">
        <f>ROUND(Tableau17[[#This Row],[LEN]]*7.27,0)</f>
        <v>553</v>
      </c>
      <c r="M1095" s="120">
        <v>15</v>
      </c>
      <c r="N1095" s="137" t="str">
        <f t="shared" si="7"/>
        <v>none</v>
      </c>
      <c r="O1095" s="120">
        <f>LEN(Tableau17[[#This Row],[LABEL]])</f>
        <v>76</v>
      </c>
      <c r="P1095" s="120">
        <v>15</v>
      </c>
      <c r="Q1095" s="120" t="e">
        <f>ROUND(Tableau17[[#This Row],[LEN]]*#REF!+#REF!,0)</f>
        <v>#REF!</v>
      </c>
    </row>
    <row r="1096" spans="1:17" s="97" customFormat="1" x14ac:dyDescent="0.25">
      <c r="A1096" s="61" t="s">
        <v>911</v>
      </c>
      <c r="B1096" s="62" t="s">
        <v>321</v>
      </c>
      <c r="C1096" s="63" t="s">
        <v>50</v>
      </c>
      <c r="D1096" s="79" t="s">
        <v>1177</v>
      </c>
      <c r="E1096" s="63" t="s">
        <v>1177</v>
      </c>
      <c r="F1096" s="63" t="s">
        <v>1084</v>
      </c>
      <c r="G1096" s="79" t="s">
        <v>1978</v>
      </c>
      <c r="H1096" s="79" t="s">
        <v>1131</v>
      </c>
      <c r="I1096" s="63"/>
      <c r="J1096" s="64" t="s">
        <v>708</v>
      </c>
      <c r="K109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6" s="120">
        <f>ROUND(Tableau17[[#This Row],[LEN]]*7.27,0)</f>
        <v>87</v>
      </c>
      <c r="M1096" s="120">
        <v>15</v>
      </c>
      <c r="N1096" s="137" t="str">
        <f t="shared" si="7"/>
        <v>none</v>
      </c>
      <c r="O1096" s="120">
        <f>LEN(Tableau17[[#This Row],[LABEL]])</f>
        <v>12</v>
      </c>
      <c r="P1096" s="120">
        <v>15</v>
      </c>
      <c r="Q1096" s="120" t="e">
        <f>ROUND(Tableau17[[#This Row],[LEN]]*#REF!+#REF!,0)</f>
        <v>#REF!</v>
      </c>
    </row>
    <row r="1097" spans="1:17" s="97" customFormat="1" x14ac:dyDescent="0.25">
      <c r="A1097" s="61" t="s">
        <v>912</v>
      </c>
      <c r="B1097" s="62" t="s">
        <v>321</v>
      </c>
      <c r="C1097" s="63" t="s">
        <v>603</v>
      </c>
      <c r="D1097" s="79" t="s">
        <v>1177</v>
      </c>
      <c r="E1097" s="63" t="s">
        <v>1177</v>
      </c>
      <c r="F1097" s="63" t="s">
        <v>1084</v>
      </c>
      <c r="G1097" s="79" t="s">
        <v>1977</v>
      </c>
      <c r="H1097" s="79" t="s">
        <v>1131</v>
      </c>
      <c r="I1097" s="63"/>
      <c r="J1097" s="64" t="s">
        <v>708</v>
      </c>
      <c r="K109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7" s="120">
        <f>ROUND(Tableau17[[#This Row],[LEN]]*7.27,0)</f>
        <v>247</v>
      </c>
      <c r="M1097" s="120">
        <v>15</v>
      </c>
      <c r="N1097" s="137" t="str">
        <f t="shared" si="7"/>
        <v>none</v>
      </c>
      <c r="O1097" s="120">
        <f>LEN(Tableau17[[#This Row],[LABEL]])</f>
        <v>34</v>
      </c>
      <c r="P1097" s="120">
        <v>15</v>
      </c>
      <c r="Q1097" s="120" t="e">
        <f>ROUND(Tableau17[[#This Row],[LEN]]*#REF!+#REF!,0)</f>
        <v>#REF!</v>
      </c>
    </row>
    <row r="1098" spans="1:17" s="273" customFormat="1" x14ac:dyDescent="0.25">
      <c r="A1098" s="372" t="s">
        <v>323</v>
      </c>
      <c r="B1098" s="373" t="s">
        <v>210</v>
      </c>
      <c r="C1098" s="374" t="s">
        <v>3</v>
      </c>
      <c r="D1098" s="375" t="s">
        <v>1177</v>
      </c>
      <c r="E1098" s="374" t="s">
        <v>661</v>
      </c>
      <c r="F1098" s="374" t="s">
        <v>1177</v>
      </c>
      <c r="G1098" s="375" t="s">
        <v>170</v>
      </c>
      <c r="H1098" s="375" t="str">
        <f>IFERROR(IF(SEARCH(".00.00.00.00.00",Tableau17[[#This Row],[name]],1)=7,"Division",""),"")</f>
        <v>Division</v>
      </c>
      <c r="I1098" s="374"/>
      <c r="J1098" s="376" t="s">
        <v>708</v>
      </c>
      <c r="K1098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098" s="377">
        <f>ROUND(Tableau17[[#This Row],[LEN]]*7.27,0)</f>
        <v>73</v>
      </c>
      <c r="M1098" s="377">
        <v>15</v>
      </c>
      <c r="N1098" s="378" t="str">
        <f t="shared" si="7"/>
        <v>none</v>
      </c>
      <c r="O1098" s="377">
        <f>LEN(Tableau17[[#This Row],[LABEL]])</f>
        <v>10</v>
      </c>
      <c r="P1098" s="377">
        <v>15</v>
      </c>
      <c r="Q1098" s="377" t="e">
        <f>ROUND(Tableau17[[#This Row],[LEN]]*#REF!+#REF!,0)</f>
        <v>#REF!</v>
      </c>
    </row>
    <row r="1099" spans="1:17" s="97" customFormat="1" x14ac:dyDescent="0.25">
      <c r="A1099" s="61" t="s">
        <v>604</v>
      </c>
      <c r="B1099" s="62" t="s">
        <v>323</v>
      </c>
      <c r="C1099" s="63" t="s">
        <v>1875</v>
      </c>
      <c r="D1099" s="79" t="s">
        <v>1177</v>
      </c>
      <c r="E1099" s="63" t="s">
        <v>684</v>
      </c>
      <c r="F1099" s="63" t="s">
        <v>2086</v>
      </c>
      <c r="G1099" s="79" t="s">
        <v>170</v>
      </c>
      <c r="H1099" s="79" t="s">
        <v>656</v>
      </c>
      <c r="I1099" s="63"/>
      <c r="J1099" s="64" t="s">
        <v>708</v>
      </c>
      <c r="K109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099" s="120">
        <f>ROUND(Tableau17[[#This Row],[LEN]]*7.27,0)</f>
        <v>291</v>
      </c>
      <c r="M1099" s="120">
        <v>15</v>
      </c>
      <c r="N1099" s="137" t="str">
        <f t="shared" si="7"/>
        <v>none</v>
      </c>
      <c r="O1099" s="120">
        <f>LEN(Tableau17[[#This Row],[LABEL]])</f>
        <v>40</v>
      </c>
      <c r="P1099" s="120">
        <v>15</v>
      </c>
      <c r="Q1099" s="120" t="e">
        <f>ROUND(Tableau17[[#This Row],[LEN]]*#REF!+#REF!,0)</f>
        <v>#REF!</v>
      </c>
    </row>
    <row r="1100" spans="1:17" s="97" customFormat="1" x14ac:dyDescent="0.25">
      <c r="A1100" s="61" t="s">
        <v>605</v>
      </c>
      <c r="B1100" s="62" t="s">
        <v>323</v>
      </c>
      <c r="C1100" s="63" t="s">
        <v>135</v>
      </c>
      <c r="D1100" s="79" t="s">
        <v>1177</v>
      </c>
      <c r="E1100" s="63" t="s">
        <v>665</v>
      </c>
      <c r="F1100" s="63" t="s">
        <v>661</v>
      </c>
      <c r="G1100" s="79" t="s">
        <v>170</v>
      </c>
      <c r="H1100" s="79" t="s">
        <v>18</v>
      </c>
      <c r="I1100" s="63"/>
      <c r="J1100" s="64" t="s">
        <v>708</v>
      </c>
      <c r="K110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0" s="120">
        <f>ROUND(Tableau17[[#This Row],[LEN]]*7.27,0)</f>
        <v>211</v>
      </c>
      <c r="M1100" s="120">
        <v>15</v>
      </c>
      <c r="N1100" s="137" t="str">
        <f t="shared" si="7"/>
        <v>none</v>
      </c>
      <c r="O1100" s="120">
        <f>LEN(Tableau17[[#This Row],[LABEL]])</f>
        <v>29</v>
      </c>
      <c r="P1100" s="120">
        <v>15</v>
      </c>
      <c r="Q1100" s="120" t="e">
        <f>ROUND(Tableau17[[#This Row],[LEN]]*#REF!+#REF!,0)</f>
        <v>#REF!</v>
      </c>
    </row>
    <row r="1101" spans="1:17" s="97" customFormat="1" x14ac:dyDescent="0.25">
      <c r="A1101" s="61" t="s">
        <v>606</v>
      </c>
      <c r="B1101" s="62" t="s">
        <v>323</v>
      </c>
      <c r="C1101" s="63" t="s">
        <v>602</v>
      </c>
      <c r="D1101" s="79" t="s">
        <v>1177</v>
      </c>
      <c r="E1101" s="63" t="s">
        <v>661</v>
      </c>
      <c r="F1101" s="63" t="s">
        <v>1874</v>
      </c>
      <c r="G1101" s="79" t="s">
        <v>170</v>
      </c>
      <c r="H1101" s="79" t="s">
        <v>656</v>
      </c>
      <c r="I1101" s="63"/>
      <c r="J1101" s="64" t="s">
        <v>708</v>
      </c>
      <c r="K110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1" s="120">
        <f>ROUND(Tableau17[[#This Row],[LEN]]*7.27,0)</f>
        <v>553</v>
      </c>
      <c r="M1101" s="120">
        <v>15</v>
      </c>
      <c r="N1101" s="137" t="str">
        <f t="shared" si="7"/>
        <v>none</v>
      </c>
      <c r="O1101" s="120">
        <f>LEN(Tableau17[[#This Row],[LABEL]])</f>
        <v>76</v>
      </c>
      <c r="P1101" s="120">
        <v>15</v>
      </c>
      <c r="Q1101" s="120" t="e">
        <f>ROUND(Tableau17[[#This Row],[LEN]]*#REF!+#REF!,0)</f>
        <v>#REF!</v>
      </c>
    </row>
    <row r="1102" spans="1:17" s="97" customFormat="1" x14ac:dyDescent="0.25">
      <c r="A1102" s="61" t="s">
        <v>607</v>
      </c>
      <c r="B1102" s="62" t="s">
        <v>323</v>
      </c>
      <c r="C1102" s="63" t="s">
        <v>50</v>
      </c>
      <c r="D1102" s="79" t="s">
        <v>1177</v>
      </c>
      <c r="E1102" s="63" t="s">
        <v>1177</v>
      </c>
      <c r="F1102" s="63" t="s">
        <v>1084</v>
      </c>
      <c r="G1102" s="79" t="s">
        <v>1978</v>
      </c>
      <c r="H1102" s="79" t="s">
        <v>1131</v>
      </c>
      <c r="I1102" s="63"/>
      <c r="J1102" s="64" t="s">
        <v>708</v>
      </c>
      <c r="K110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2" s="120">
        <f>ROUND(Tableau17[[#This Row],[LEN]]*7.27,0)</f>
        <v>87</v>
      </c>
      <c r="M1102" s="120">
        <v>15</v>
      </c>
      <c r="N1102" s="137" t="str">
        <f t="shared" si="7"/>
        <v>none</v>
      </c>
      <c r="O1102" s="120">
        <f>LEN(Tableau17[[#This Row],[LABEL]])</f>
        <v>12</v>
      </c>
      <c r="P1102" s="120">
        <v>15</v>
      </c>
      <c r="Q1102" s="120" t="e">
        <f>ROUND(Tableau17[[#This Row],[LEN]]*#REF!+#REF!,0)</f>
        <v>#REF!</v>
      </c>
    </row>
    <row r="1103" spans="1:17" s="97" customFormat="1" x14ac:dyDescent="0.25">
      <c r="A1103" s="61" t="s">
        <v>608</v>
      </c>
      <c r="B1103" s="62" t="s">
        <v>323</v>
      </c>
      <c r="C1103" s="63" t="s">
        <v>603</v>
      </c>
      <c r="D1103" s="79" t="s">
        <v>1177</v>
      </c>
      <c r="E1103" s="63" t="s">
        <v>1177</v>
      </c>
      <c r="F1103" s="63" t="s">
        <v>1084</v>
      </c>
      <c r="G1103" s="79" t="s">
        <v>1977</v>
      </c>
      <c r="H1103" s="79" t="s">
        <v>1131</v>
      </c>
      <c r="I1103" s="63"/>
      <c r="J1103" s="64" t="s">
        <v>708</v>
      </c>
      <c r="K110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3" s="120">
        <f>ROUND(Tableau17[[#This Row],[LEN]]*7.27,0)</f>
        <v>247</v>
      </c>
      <c r="M1103" s="120">
        <v>15</v>
      </c>
      <c r="N1103" s="137" t="str">
        <f t="shared" si="7"/>
        <v>none</v>
      </c>
      <c r="O1103" s="120">
        <f>LEN(Tableau17[[#This Row],[LABEL]])</f>
        <v>34</v>
      </c>
      <c r="P1103" s="120">
        <v>15</v>
      </c>
      <c r="Q1103" s="120" t="e">
        <f>ROUND(Tableau17[[#This Row],[LEN]]*#REF!+#REF!,0)</f>
        <v>#REF!</v>
      </c>
    </row>
    <row r="1104" spans="1:17" s="273" customFormat="1" x14ac:dyDescent="0.25">
      <c r="A1104" s="372" t="s">
        <v>324</v>
      </c>
      <c r="B1104" s="373" t="s">
        <v>210</v>
      </c>
      <c r="C1104" s="374" t="s">
        <v>4</v>
      </c>
      <c r="D1104" s="375" t="s">
        <v>1177</v>
      </c>
      <c r="E1104" s="374" t="s">
        <v>666</v>
      </c>
      <c r="F1104" s="374" t="s">
        <v>1177</v>
      </c>
      <c r="G1104" s="375" t="s">
        <v>170</v>
      </c>
      <c r="H1104" s="375" t="str">
        <f>IFERROR(IF(SEARCH(".00.00.00.00.00",Tableau17[[#This Row],[name]],1)=7,"Division",""),"")</f>
        <v>Division</v>
      </c>
      <c r="I1104" s="374"/>
      <c r="J1104" s="376" t="s">
        <v>708</v>
      </c>
      <c r="K1104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04" s="377">
        <f>ROUND(Tableau17[[#This Row],[LEN]]*7.27,0)</f>
        <v>36</v>
      </c>
      <c r="M1104" s="377">
        <v>15</v>
      </c>
      <c r="N1104" s="378" t="str">
        <f t="shared" si="7"/>
        <v>none</v>
      </c>
      <c r="O1104" s="377">
        <f>LEN(Tableau17[[#This Row],[LABEL]])</f>
        <v>5</v>
      </c>
      <c r="P1104" s="377">
        <v>15</v>
      </c>
      <c r="Q1104" s="377" t="e">
        <f>ROUND(Tableau17[[#This Row],[LEN]]*#REF!+#REF!,0)</f>
        <v>#REF!</v>
      </c>
    </row>
    <row r="1105" spans="1:17" s="97" customFormat="1" x14ac:dyDescent="0.25">
      <c r="A1105" s="61" t="s">
        <v>1869</v>
      </c>
      <c r="B1105" s="62" t="s">
        <v>324</v>
      </c>
      <c r="C1105" s="63" t="s">
        <v>1876</v>
      </c>
      <c r="D1105" s="79" t="s">
        <v>1177</v>
      </c>
      <c r="E1105" s="63" t="s">
        <v>666</v>
      </c>
      <c r="F1105" s="63" t="s">
        <v>1177</v>
      </c>
      <c r="G1105" s="79" t="s">
        <v>170</v>
      </c>
      <c r="H1105" s="79" t="s">
        <v>654</v>
      </c>
      <c r="I1105" s="63"/>
      <c r="J1105" s="64" t="s">
        <v>708</v>
      </c>
      <c r="K110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5" s="120">
        <f>ROUND(Tableau17[[#This Row],[LEN]]*7.27,0)</f>
        <v>342</v>
      </c>
      <c r="M1105" s="120">
        <v>15</v>
      </c>
      <c r="N1105" s="137" t="str">
        <f t="shared" si="7"/>
        <v>none</v>
      </c>
      <c r="O1105" s="120">
        <f>LEN(Tableau17[[#This Row],[LABEL]])</f>
        <v>47</v>
      </c>
      <c r="P1105" s="120">
        <v>15</v>
      </c>
      <c r="Q1105" s="120" t="e">
        <f>ROUND(Tableau17[[#This Row],[LEN]]*#REF!+#REF!,0)</f>
        <v>#REF!</v>
      </c>
    </row>
    <row r="1106" spans="1:17" s="97" customFormat="1" x14ac:dyDescent="0.25">
      <c r="A1106" s="61" t="s">
        <v>1870</v>
      </c>
      <c r="B1106" s="62" t="s">
        <v>324</v>
      </c>
      <c r="C1106" s="63" t="s">
        <v>1875</v>
      </c>
      <c r="D1106" s="79" t="s">
        <v>1177</v>
      </c>
      <c r="E1106" s="63" t="s">
        <v>684</v>
      </c>
      <c r="F1106" s="63" t="s">
        <v>2086</v>
      </c>
      <c r="G1106" s="79" t="s">
        <v>170</v>
      </c>
      <c r="H1106" s="79" t="s">
        <v>656</v>
      </c>
      <c r="I1106" s="63"/>
      <c r="J1106" s="64" t="s">
        <v>708</v>
      </c>
      <c r="K110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6" s="120">
        <f>ROUND(Tableau17[[#This Row],[LEN]]*7.27,0)</f>
        <v>291</v>
      </c>
      <c r="M1106" s="120">
        <v>15</v>
      </c>
      <c r="N1106" s="137" t="str">
        <f t="shared" si="7"/>
        <v>none</v>
      </c>
      <c r="O1106" s="120">
        <f>LEN(Tableau17[[#This Row],[LABEL]])</f>
        <v>40</v>
      </c>
      <c r="P1106" s="120">
        <v>15</v>
      </c>
      <c r="Q1106" s="120" t="e">
        <f>ROUND(Tableau17[[#This Row],[LEN]]*#REF!+#REF!,0)</f>
        <v>#REF!</v>
      </c>
    </row>
    <row r="1107" spans="1:17" s="97" customFormat="1" x14ac:dyDescent="0.25">
      <c r="A1107" s="61" t="s">
        <v>1871</v>
      </c>
      <c r="B1107" s="62" t="s">
        <v>324</v>
      </c>
      <c r="C1107" s="63" t="s">
        <v>602</v>
      </c>
      <c r="D1107" s="79" t="s">
        <v>1177</v>
      </c>
      <c r="E1107" s="63" t="s">
        <v>661</v>
      </c>
      <c r="F1107" s="63" t="s">
        <v>1874</v>
      </c>
      <c r="G1107" s="79" t="s">
        <v>170</v>
      </c>
      <c r="H1107" s="79" t="s">
        <v>656</v>
      </c>
      <c r="I1107" s="63"/>
      <c r="J1107" s="64" t="s">
        <v>708</v>
      </c>
      <c r="K110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7" s="120">
        <f>ROUND(Tableau17[[#This Row],[LEN]]*7.27,0)</f>
        <v>553</v>
      </c>
      <c r="M1107" s="120">
        <v>15</v>
      </c>
      <c r="N1107" s="137" t="str">
        <f t="shared" si="7"/>
        <v>none</v>
      </c>
      <c r="O1107" s="120">
        <f>LEN(Tableau17[[#This Row],[LABEL]])</f>
        <v>76</v>
      </c>
      <c r="P1107" s="120">
        <v>15</v>
      </c>
      <c r="Q1107" s="120" t="e">
        <f>ROUND(Tableau17[[#This Row],[LEN]]*#REF!+#REF!,0)</f>
        <v>#REF!</v>
      </c>
    </row>
    <row r="1108" spans="1:17" s="97" customFormat="1" x14ac:dyDescent="0.25">
      <c r="A1108" s="61" t="s">
        <v>1872</v>
      </c>
      <c r="B1108" s="62" t="s">
        <v>324</v>
      </c>
      <c r="C1108" s="63" t="s">
        <v>50</v>
      </c>
      <c r="D1108" s="79" t="s">
        <v>1177</v>
      </c>
      <c r="E1108" s="63" t="s">
        <v>1177</v>
      </c>
      <c r="F1108" s="63" t="s">
        <v>1084</v>
      </c>
      <c r="G1108" s="79" t="s">
        <v>1978</v>
      </c>
      <c r="H1108" s="79" t="s">
        <v>1131</v>
      </c>
      <c r="I1108" s="63"/>
      <c r="J1108" s="64" t="s">
        <v>708</v>
      </c>
      <c r="K110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8" s="120">
        <f>ROUND(Tableau17[[#This Row],[LEN]]*7.27,0)</f>
        <v>87</v>
      </c>
      <c r="M1108" s="120">
        <v>15</v>
      </c>
      <c r="N1108" s="137" t="str">
        <f t="shared" si="7"/>
        <v>none</v>
      </c>
      <c r="O1108" s="120">
        <f>LEN(Tableau17[[#This Row],[LABEL]])</f>
        <v>12</v>
      </c>
      <c r="P1108" s="120">
        <v>15</v>
      </c>
      <c r="Q1108" s="120" t="e">
        <f>ROUND(Tableau17[[#This Row],[LEN]]*#REF!+#REF!,0)</f>
        <v>#REF!</v>
      </c>
    </row>
    <row r="1109" spans="1:17" s="97" customFormat="1" x14ac:dyDescent="0.25">
      <c r="A1109" s="61" t="s">
        <v>1873</v>
      </c>
      <c r="B1109" s="62" t="s">
        <v>324</v>
      </c>
      <c r="C1109" s="63" t="s">
        <v>603</v>
      </c>
      <c r="D1109" s="79" t="s">
        <v>1177</v>
      </c>
      <c r="E1109" s="63" t="s">
        <v>1177</v>
      </c>
      <c r="F1109" s="63" t="s">
        <v>1084</v>
      </c>
      <c r="G1109" s="79" t="s">
        <v>1977</v>
      </c>
      <c r="H1109" s="79" t="s">
        <v>1131</v>
      </c>
      <c r="I1109" s="63"/>
      <c r="J1109" s="64" t="s">
        <v>708</v>
      </c>
      <c r="K110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09" s="120">
        <f>ROUND(Tableau17[[#This Row],[LEN]]*7.27,0)</f>
        <v>247</v>
      </c>
      <c r="M1109" s="120">
        <v>15</v>
      </c>
      <c r="N1109" s="137" t="str">
        <f t="shared" si="7"/>
        <v>none</v>
      </c>
      <c r="O1109" s="120">
        <f>LEN(Tableau17[[#This Row],[LABEL]])</f>
        <v>34</v>
      </c>
      <c r="P1109" s="120">
        <v>15</v>
      </c>
      <c r="Q1109" s="120" t="e">
        <f>ROUND(Tableau17[[#This Row],[LEN]]*#REF!+#REF!,0)</f>
        <v>#REF!</v>
      </c>
    </row>
    <row r="1110" spans="1:17" s="273" customFormat="1" x14ac:dyDescent="0.25">
      <c r="A1110" s="372" t="s">
        <v>326</v>
      </c>
      <c r="B1110" s="373" t="s">
        <v>210</v>
      </c>
      <c r="C1110" s="374" t="s">
        <v>5</v>
      </c>
      <c r="D1110" s="375" t="s">
        <v>1177</v>
      </c>
      <c r="E1110" s="374" t="s">
        <v>668</v>
      </c>
      <c r="F1110" s="374" t="s">
        <v>1177</v>
      </c>
      <c r="G1110" s="375" t="s">
        <v>170</v>
      </c>
      <c r="H1110" s="375" t="str">
        <f>IFERROR(IF(SEARCH(".00.00.00.00.00",Tableau17[[#This Row],[name]],1)=7,"Division",""),"")</f>
        <v>Division</v>
      </c>
      <c r="I1110" s="374"/>
      <c r="J1110" s="376" t="s">
        <v>708</v>
      </c>
      <c r="K1110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0" s="377">
        <f>ROUND(Tableau17[[#This Row],[LEN]]*7.27,0)</f>
        <v>73</v>
      </c>
      <c r="M1110" s="377">
        <v>15</v>
      </c>
      <c r="N1110" s="378" t="str">
        <f t="shared" si="7"/>
        <v>none</v>
      </c>
      <c r="O1110" s="377">
        <f>LEN(Tableau17[[#This Row],[LABEL]])</f>
        <v>10</v>
      </c>
      <c r="P1110" s="377">
        <v>15</v>
      </c>
      <c r="Q1110" s="377" t="e">
        <f>ROUND(Tableau17[[#This Row],[LEN]]*#REF!+#REF!,0)</f>
        <v>#REF!</v>
      </c>
    </row>
    <row r="1111" spans="1:17" s="97" customFormat="1" x14ac:dyDescent="0.25">
      <c r="A1111" s="61" t="s">
        <v>1877</v>
      </c>
      <c r="B1111" s="62" t="s">
        <v>326</v>
      </c>
      <c r="C1111" s="63" t="s">
        <v>602</v>
      </c>
      <c r="D1111" s="79" t="s">
        <v>1177</v>
      </c>
      <c r="E1111" s="63" t="s">
        <v>661</v>
      </c>
      <c r="F1111" s="63" t="s">
        <v>1874</v>
      </c>
      <c r="G1111" s="79" t="s">
        <v>170</v>
      </c>
      <c r="H1111" s="79" t="s">
        <v>656</v>
      </c>
      <c r="I1111" s="63"/>
      <c r="J1111" s="64" t="s">
        <v>708</v>
      </c>
      <c r="K111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1" s="120">
        <f>ROUND(Tableau17[[#This Row],[LEN]]*7.27,0)</f>
        <v>553</v>
      </c>
      <c r="M1111" s="120">
        <v>15</v>
      </c>
      <c r="N1111" s="137" t="str">
        <f t="shared" si="7"/>
        <v>none</v>
      </c>
      <c r="O1111" s="120">
        <f>LEN(Tableau17[[#This Row],[LABEL]])</f>
        <v>76</v>
      </c>
      <c r="P1111" s="120">
        <v>15</v>
      </c>
      <c r="Q1111" s="120" t="e">
        <f>ROUND(Tableau17[[#This Row],[LEN]]*#REF!+#REF!,0)</f>
        <v>#REF!</v>
      </c>
    </row>
    <row r="1112" spans="1:17" s="273" customFormat="1" x14ac:dyDescent="0.25">
      <c r="A1112" s="372" t="s">
        <v>327</v>
      </c>
      <c r="B1112" s="373" t="s">
        <v>210</v>
      </c>
      <c r="C1112" s="374" t="s">
        <v>6</v>
      </c>
      <c r="D1112" s="375" t="s">
        <v>1177</v>
      </c>
      <c r="E1112" s="374" t="s">
        <v>669</v>
      </c>
      <c r="F1112" s="374" t="s">
        <v>1177</v>
      </c>
      <c r="G1112" s="375" t="s">
        <v>170</v>
      </c>
      <c r="H1112" s="375" t="str">
        <f>IFERROR(IF(SEARCH(".00.00.00.00.00",Tableau17[[#This Row],[name]],1)=7,"Division",""),"")</f>
        <v>Division</v>
      </c>
      <c r="I1112" s="374"/>
      <c r="J1112" s="376" t="s">
        <v>708</v>
      </c>
      <c r="K1112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2" s="377">
        <f>ROUND(Tableau17[[#This Row],[LEN]]*7.27,0)</f>
        <v>196</v>
      </c>
      <c r="M1112" s="377">
        <v>15</v>
      </c>
      <c r="N1112" s="378" t="str">
        <f t="shared" si="7"/>
        <v>none</v>
      </c>
      <c r="O1112" s="377">
        <f>LEN(Tableau17[[#This Row],[LABEL]])</f>
        <v>27</v>
      </c>
      <c r="P1112" s="377">
        <v>15</v>
      </c>
      <c r="Q1112" s="377" t="e">
        <f>ROUND(Tableau17[[#This Row],[LEN]]*#REF!+#REF!,0)</f>
        <v>#REF!</v>
      </c>
    </row>
    <row r="1113" spans="1:17" s="97" customFormat="1" x14ac:dyDescent="0.25">
      <c r="A1113" s="61" t="s">
        <v>1886</v>
      </c>
      <c r="B1113" s="62" t="s">
        <v>327</v>
      </c>
      <c r="C1113" s="63" t="s">
        <v>1890</v>
      </c>
      <c r="D1113" s="79" t="s">
        <v>1891</v>
      </c>
      <c r="E1113" s="63" t="s">
        <v>669</v>
      </c>
      <c r="F1113" s="63" t="s">
        <v>1177</v>
      </c>
      <c r="G1113" s="79" t="s">
        <v>170</v>
      </c>
      <c r="H1113" s="79" t="s">
        <v>570</v>
      </c>
      <c r="I1113" s="63"/>
      <c r="J1113" s="64" t="s">
        <v>708</v>
      </c>
      <c r="K111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3" s="120">
        <f>ROUND(Tableau17[[#This Row],[LEN]]*7.27,0)</f>
        <v>327</v>
      </c>
      <c r="M1113" s="120">
        <v>15</v>
      </c>
      <c r="N1113" s="137" t="str">
        <f t="shared" si="7"/>
        <v>none</v>
      </c>
      <c r="O1113" s="120">
        <f>LEN(Tableau17[[#This Row],[LABEL]])</f>
        <v>45</v>
      </c>
      <c r="P1113" s="120">
        <v>15</v>
      </c>
      <c r="Q1113" s="120" t="e">
        <f>ROUND(Tableau17[[#This Row],[LEN]]*#REF!+#REF!,0)</f>
        <v>#REF!</v>
      </c>
    </row>
    <row r="1114" spans="1:17" s="97" customFormat="1" x14ac:dyDescent="0.25">
      <c r="A1114" s="61" t="s">
        <v>1887</v>
      </c>
      <c r="B1114" s="62" t="s">
        <v>327</v>
      </c>
      <c r="C1114" s="63" t="s">
        <v>602</v>
      </c>
      <c r="D1114" s="79" t="s">
        <v>1177</v>
      </c>
      <c r="E1114" s="63" t="s">
        <v>661</v>
      </c>
      <c r="F1114" s="63" t="s">
        <v>1874</v>
      </c>
      <c r="G1114" s="79" t="s">
        <v>170</v>
      </c>
      <c r="H1114" s="79" t="s">
        <v>656</v>
      </c>
      <c r="I1114" s="63"/>
      <c r="J1114" s="64" t="s">
        <v>708</v>
      </c>
      <c r="K111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4" s="120">
        <f>ROUND(Tableau17[[#This Row],[LEN]]*7.27,0)</f>
        <v>553</v>
      </c>
      <c r="M1114" s="120">
        <v>15</v>
      </c>
      <c r="N1114" s="137" t="str">
        <f t="shared" si="7"/>
        <v>none</v>
      </c>
      <c r="O1114" s="120">
        <f>LEN(Tableau17[[#This Row],[LABEL]])</f>
        <v>76</v>
      </c>
      <c r="P1114" s="120">
        <v>15</v>
      </c>
      <c r="Q1114" s="120" t="e">
        <f>ROUND(Tableau17[[#This Row],[LEN]]*#REF!+#REF!,0)</f>
        <v>#REF!</v>
      </c>
    </row>
    <row r="1115" spans="1:17" s="97" customFormat="1" x14ac:dyDescent="0.25">
      <c r="A1115" s="61" t="s">
        <v>1888</v>
      </c>
      <c r="B1115" s="62" t="s">
        <v>327</v>
      </c>
      <c r="C1115" s="63" t="s">
        <v>50</v>
      </c>
      <c r="D1115" s="79" t="s">
        <v>1177</v>
      </c>
      <c r="E1115" s="63" t="s">
        <v>1177</v>
      </c>
      <c r="F1115" s="63" t="s">
        <v>1084</v>
      </c>
      <c r="G1115" s="79" t="s">
        <v>1978</v>
      </c>
      <c r="H1115" s="79" t="s">
        <v>1131</v>
      </c>
      <c r="I1115" s="63"/>
      <c r="J1115" s="64" t="s">
        <v>708</v>
      </c>
      <c r="K111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5" s="120">
        <f>ROUND(Tableau17[[#This Row],[LEN]]*7.27,0)</f>
        <v>87</v>
      </c>
      <c r="M1115" s="120">
        <v>15</v>
      </c>
      <c r="N1115" s="137" t="str">
        <f t="shared" si="7"/>
        <v>none</v>
      </c>
      <c r="O1115" s="120">
        <f>LEN(Tableau17[[#This Row],[LABEL]])</f>
        <v>12</v>
      </c>
      <c r="P1115" s="120">
        <v>15</v>
      </c>
      <c r="Q1115" s="120" t="e">
        <f>ROUND(Tableau17[[#This Row],[LEN]]*#REF!+#REF!,0)</f>
        <v>#REF!</v>
      </c>
    </row>
    <row r="1116" spans="1:17" s="97" customFormat="1" x14ac:dyDescent="0.25">
      <c r="A1116" s="61" t="s">
        <v>1889</v>
      </c>
      <c r="B1116" s="62" t="s">
        <v>327</v>
      </c>
      <c r="C1116" s="63" t="s">
        <v>603</v>
      </c>
      <c r="D1116" s="79" t="s">
        <v>1177</v>
      </c>
      <c r="E1116" s="63" t="s">
        <v>1177</v>
      </c>
      <c r="F1116" s="63" t="s">
        <v>1084</v>
      </c>
      <c r="G1116" s="79" t="s">
        <v>1977</v>
      </c>
      <c r="H1116" s="79" t="s">
        <v>1131</v>
      </c>
      <c r="I1116" s="63"/>
      <c r="J1116" s="64" t="s">
        <v>708</v>
      </c>
      <c r="K111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6" s="120">
        <f>ROUND(Tableau17[[#This Row],[LEN]]*7.27,0)</f>
        <v>247</v>
      </c>
      <c r="M1116" s="120">
        <v>15</v>
      </c>
      <c r="N1116" s="137" t="str">
        <f t="shared" si="7"/>
        <v>none</v>
      </c>
      <c r="O1116" s="120">
        <f>LEN(Tableau17[[#This Row],[LABEL]])</f>
        <v>34</v>
      </c>
      <c r="P1116" s="120">
        <v>15</v>
      </c>
      <c r="Q1116" s="120" t="e">
        <f>ROUND(Tableau17[[#This Row],[LEN]]*#REF!+#REF!,0)</f>
        <v>#REF!</v>
      </c>
    </row>
    <row r="1117" spans="1:17" s="273" customFormat="1" x14ac:dyDescent="0.25">
      <c r="A1117" s="372" t="s">
        <v>329</v>
      </c>
      <c r="B1117" s="373" t="s">
        <v>210</v>
      </c>
      <c r="C1117" s="374" t="s">
        <v>8</v>
      </c>
      <c r="D1117" s="375" t="s">
        <v>1177</v>
      </c>
      <c r="E1117" s="374" t="s">
        <v>671</v>
      </c>
      <c r="F1117" s="374" t="s">
        <v>1177</v>
      </c>
      <c r="G1117" s="375" t="s">
        <v>170</v>
      </c>
      <c r="H1117" s="375" t="str">
        <f>IFERROR(IF(SEARCH(".00.00.00.00.00",Tableau17[[#This Row],[name]],1)=7,"Division",""),"")</f>
        <v>Division</v>
      </c>
      <c r="I1117" s="374"/>
      <c r="J1117" s="376" t="s">
        <v>708</v>
      </c>
      <c r="K1117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17" s="377">
        <f>ROUND(Tableau17[[#This Row],[LEN]]*7.27,0)</f>
        <v>116</v>
      </c>
      <c r="M1117" s="377">
        <v>15</v>
      </c>
      <c r="N1117" s="378" t="str">
        <f t="shared" si="7"/>
        <v>none</v>
      </c>
      <c r="O1117" s="377">
        <f>LEN(Tableau17[[#This Row],[LABEL]])</f>
        <v>16</v>
      </c>
      <c r="P1117" s="377">
        <v>15</v>
      </c>
      <c r="Q1117" s="377" t="e">
        <f>ROUND(Tableau17[[#This Row],[LEN]]*#REF!+#REF!,0)</f>
        <v>#REF!</v>
      </c>
    </row>
    <row r="1118" spans="1:17" s="97" customFormat="1" x14ac:dyDescent="0.25">
      <c r="A1118" s="61" t="s">
        <v>1893</v>
      </c>
      <c r="B1118" s="62" t="s">
        <v>329</v>
      </c>
      <c r="C1118" s="63" t="s">
        <v>1892</v>
      </c>
      <c r="D1118" s="79" t="s">
        <v>1177</v>
      </c>
      <c r="E1118" s="63" t="s">
        <v>679</v>
      </c>
      <c r="F1118" s="63" t="s">
        <v>1920</v>
      </c>
      <c r="G1118" s="79" t="s">
        <v>170</v>
      </c>
      <c r="H1118" s="79" t="s">
        <v>656</v>
      </c>
      <c r="I1118" s="63"/>
      <c r="J1118" s="64" t="s">
        <v>708</v>
      </c>
      <c r="K111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8" s="120">
        <f>ROUND(Tableau17[[#This Row],[LEN]]*7.27,0)</f>
        <v>204</v>
      </c>
      <c r="M1118" s="120">
        <v>15</v>
      </c>
      <c r="N1118" s="137" t="str">
        <f t="shared" si="7"/>
        <v>none</v>
      </c>
      <c r="O1118" s="120">
        <f>LEN(Tableau17[[#This Row],[LABEL]])</f>
        <v>28</v>
      </c>
      <c r="P1118" s="120">
        <v>15</v>
      </c>
      <c r="Q1118" s="120" t="e">
        <f>ROUND(Tableau17[[#This Row],[LEN]]*#REF!+#REF!,0)</f>
        <v>#REF!</v>
      </c>
    </row>
    <row r="1119" spans="1:17" s="97" customFormat="1" x14ac:dyDescent="0.25">
      <c r="A1119" s="61" t="s">
        <v>1894</v>
      </c>
      <c r="B1119" s="62" t="s">
        <v>329</v>
      </c>
      <c r="C1119" s="63" t="s">
        <v>602</v>
      </c>
      <c r="D1119" s="79" t="s">
        <v>1177</v>
      </c>
      <c r="E1119" s="63" t="s">
        <v>661</v>
      </c>
      <c r="F1119" s="63" t="s">
        <v>1874</v>
      </c>
      <c r="G1119" s="79" t="s">
        <v>170</v>
      </c>
      <c r="H1119" s="79" t="s">
        <v>656</v>
      </c>
      <c r="I1119" s="63"/>
      <c r="J1119" s="64" t="s">
        <v>708</v>
      </c>
      <c r="K111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19" s="120">
        <f>ROUND(Tableau17[[#This Row],[LEN]]*7.27,0)</f>
        <v>553</v>
      </c>
      <c r="M1119" s="120">
        <v>15</v>
      </c>
      <c r="N1119" s="137" t="str">
        <f t="shared" si="7"/>
        <v>none</v>
      </c>
      <c r="O1119" s="120">
        <f>LEN(Tableau17[[#This Row],[LABEL]])</f>
        <v>76</v>
      </c>
      <c r="P1119" s="120">
        <v>15</v>
      </c>
      <c r="Q1119" s="120" t="e">
        <f>ROUND(Tableau17[[#This Row],[LEN]]*#REF!+#REF!,0)</f>
        <v>#REF!</v>
      </c>
    </row>
    <row r="1120" spans="1:17" s="97" customFormat="1" x14ac:dyDescent="0.25">
      <c r="A1120" s="61" t="s">
        <v>1895</v>
      </c>
      <c r="B1120" s="62" t="s">
        <v>329</v>
      </c>
      <c r="C1120" s="63" t="s">
        <v>50</v>
      </c>
      <c r="D1120" s="79" t="s">
        <v>1177</v>
      </c>
      <c r="E1120" s="63" t="s">
        <v>1177</v>
      </c>
      <c r="F1120" s="63" t="s">
        <v>1084</v>
      </c>
      <c r="G1120" s="79" t="s">
        <v>1978</v>
      </c>
      <c r="H1120" s="79" t="s">
        <v>1131</v>
      </c>
      <c r="I1120" s="63"/>
      <c r="J1120" s="64" t="s">
        <v>708</v>
      </c>
      <c r="K112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0" s="120">
        <f>ROUND(Tableau17[[#This Row],[LEN]]*7.27,0)</f>
        <v>87</v>
      </c>
      <c r="M1120" s="120">
        <v>15</v>
      </c>
      <c r="N1120" s="137" t="str">
        <f t="shared" si="7"/>
        <v>none</v>
      </c>
      <c r="O1120" s="120">
        <f>LEN(Tableau17[[#This Row],[LABEL]])</f>
        <v>12</v>
      </c>
      <c r="P1120" s="120">
        <v>15</v>
      </c>
      <c r="Q1120" s="120" t="e">
        <f>ROUND(Tableau17[[#This Row],[LEN]]*#REF!+#REF!,0)</f>
        <v>#REF!</v>
      </c>
    </row>
    <row r="1121" spans="1:17" s="97" customFormat="1" x14ac:dyDescent="0.25">
      <c r="A1121" s="61" t="s">
        <v>1896</v>
      </c>
      <c r="B1121" s="62" t="s">
        <v>329</v>
      </c>
      <c r="C1121" s="63" t="s">
        <v>603</v>
      </c>
      <c r="D1121" s="79" t="s">
        <v>1177</v>
      </c>
      <c r="E1121" s="63" t="s">
        <v>1177</v>
      </c>
      <c r="F1121" s="63" t="s">
        <v>1084</v>
      </c>
      <c r="G1121" s="79" t="s">
        <v>1977</v>
      </c>
      <c r="H1121" s="79" t="s">
        <v>1131</v>
      </c>
      <c r="I1121" s="63"/>
      <c r="J1121" s="64" t="s">
        <v>708</v>
      </c>
      <c r="K112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1" s="120">
        <f>ROUND(Tableau17[[#This Row],[LEN]]*7.27,0)</f>
        <v>247</v>
      </c>
      <c r="M1121" s="120">
        <v>15</v>
      </c>
      <c r="N1121" s="137" t="str">
        <f t="shared" si="7"/>
        <v>none</v>
      </c>
      <c r="O1121" s="120">
        <f>LEN(Tableau17[[#This Row],[LABEL]])</f>
        <v>34</v>
      </c>
      <c r="P1121" s="120">
        <v>15</v>
      </c>
      <c r="Q1121" s="120" t="e">
        <f>ROUND(Tableau17[[#This Row],[LEN]]*#REF!+#REF!,0)</f>
        <v>#REF!</v>
      </c>
    </row>
    <row r="1122" spans="1:17" s="273" customFormat="1" x14ac:dyDescent="0.25">
      <c r="A1122" s="372" t="s">
        <v>330</v>
      </c>
      <c r="B1122" s="373" t="s">
        <v>210</v>
      </c>
      <c r="C1122" s="374" t="s">
        <v>9</v>
      </c>
      <c r="D1122" s="375" t="s">
        <v>1177</v>
      </c>
      <c r="E1122" s="374" t="s">
        <v>672</v>
      </c>
      <c r="F1122" s="374" t="s">
        <v>1177</v>
      </c>
      <c r="G1122" s="375" t="s">
        <v>170</v>
      </c>
      <c r="H1122" s="375" t="str">
        <f>IFERROR(IF(SEARCH(".00.00.00.00.00",Tableau17[[#This Row],[name]],1)=7,"Division",""),"")</f>
        <v>Division</v>
      </c>
      <c r="I1122" s="374"/>
      <c r="J1122" s="376" t="s">
        <v>718</v>
      </c>
      <c r="K1122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22" s="377">
        <f>ROUND(Tableau17[[#This Row],[LEN]]*7.27,0)</f>
        <v>80</v>
      </c>
      <c r="M1122" s="377">
        <v>15</v>
      </c>
      <c r="N1122" s="378" t="str">
        <f t="shared" si="7"/>
        <v>new</v>
      </c>
      <c r="O1122" s="377">
        <f>LEN(Tableau17[[#This Row],[LABEL]])</f>
        <v>11</v>
      </c>
      <c r="P1122" s="377">
        <v>15</v>
      </c>
      <c r="Q1122" s="377" t="e">
        <f>ROUND(Tableau17[[#This Row],[LEN]]*#REF!+#REF!,0)</f>
        <v>#REF!</v>
      </c>
    </row>
    <row r="1123" spans="1:17" s="97" customFormat="1" x14ac:dyDescent="0.25">
      <c r="A1123" s="61" t="s">
        <v>599</v>
      </c>
      <c r="B1123" s="62" t="s">
        <v>330</v>
      </c>
      <c r="C1123" s="63" t="s">
        <v>602</v>
      </c>
      <c r="D1123" s="79" t="s">
        <v>1177</v>
      </c>
      <c r="E1123" s="63" t="s">
        <v>661</v>
      </c>
      <c r="F1123" s="63" t="s">
        <v>1874</v>
      </c>
      <c r="G1123" s="79" t="s">
        <v>170</v>
      </c>
      <c r="H1123" s="79" t="s">
        <v>656</v>
      </c>
      <c r="I1123" s="63"/>
      <c r="J1123" s="64" t="s">
        <v>708</v>
      </c>
      <c r="K112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3" s="120">
        <f>ROUND(Tableau17[[#This Row],[LEN]]*7.27,0)</f>
        <v>553</v>
      </c>
      <c r="M1123" s="120">
        <v>15</v>
      </c>
      <c r="N1123" s="137" t="str">
        <f t="shared" si="7"/>
        <v>none</v>
      </c>
      <c r="O1123" s="120">
        <f>LEN(Tableau17[[#This Row],[LABEL]])</f>
        <v>76</v>
      </c>
      <c r="P1123" s="120">
        <v>15</v>
      </c>
      <c r="Q1123" s="120" t="e">
        <f>ROUND(Tableau17[[#This Row],[LEN]]*#REF!+#REF!,0)</f>
        <v>#REF!</v>
      </c>
    </row>
    <row r="1124" spans="1:17" s="97" customFormat="1" x14ac:dyDescent="0.25">
      <c r="A1124" s="61" t="s">
        <v>600</v>
      </c>
      <c r="B1124" s="62" t="s">
        <v>330</v>
      </c>
      <c r="C1124" s="63" t="s">
        <v>50</v>
      </c>
      <c r="D1124" s="79" t="s">
        <v>1177</v>
      </c>
      <c r="E1124" s="63" t="s">
        <v>1177</v>
      </c>
      <c r="F1124" s="63" t="s">
        <v>1084</v>
      </c>
      <c r="G1124" s="79" t="s">
        <v>1978</v>
      </c>
      <c r="H1124" s="79" t="s">
        <v>1131</v>
      </c>
      <c r="I1124" s="63"/>
      <c r="J1124" s="64" t="s">
        <v>708</v>
      </c>
      <c r="K112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4" s="120">
        <f>ROUND(Tableau17[[#This Row],[LEN]]*7.27,0)</f>
        <v>87</v>
      </c>
      <c r="M1124" s="120">
        <v>15</v>
      </c>
      <c r="N1124" s="137" t="str">
        <f t="shared" si="7"/>
        <v>none</v>
      </c>
      <c r="O1124" s="120">
        <f>LEN(Tableau17[[#This Row],[LABEL]])</f>
        <v>12</v>
      </c>
      <c r="P1124" s="120">
        <v>15</v>
      </c>
      <c r="Q1124" s="120" t="e">
        <f>ROUND(Tableau17[[#This Row],[LEN]]*#REF!+#REF!,0)</f>
        <v>#REF!</v>
      </c>
    </row>
    <row r="1125" spans="1:17" s="97" customFormat="1" x14ac:dyDescent="0.25">
      <c r="A1125" s="61" t="s">
        <v>601</v>
      </c>
      <c r="B1125" s="62" t="s">
        <v>330</v>
      </c>
      <c r="C1125" s="63" t="s">
        <v>603</v>
      </c>
      <c r="D1125" s="79" t="s">
        <v>1177</v>
      </c>
      <c r="E1125" s="63" t="s">
        <v>1177</v>
      </c>
      <c r="F1125" s="63" t="s">
        <v>1084</v>
      </c>
      <c r="G1125" s="79" t="s">
        <v>1977</v>
      </c>
      <c r="H1125" s="79" t="s">
        <v>1131</v>
      </c>
      <c r="I1125" s="63"/>
      <c r="J1125" s="64" t="s">
        <v>708</v>
      </c>
      <c r="K112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5" s="120">
        <f>ROUND(Tableau17[[#This Row],[LEN]]*7.27,0)</f>
        <v>247</v>
      </c>
      <c r="M1125" s="120">
        <v>15</v>
      </c>
      <c r="N1125" s="137" t="str">
        <f t="shared" si="7"/>
        <v>none</v>
      </c>
      <c r="O1125" s="120">
        <f>LEN(Tableau17[[#This Row],[LABEL]])</f>
        <v>34</v>
      </c>
      <c r="P1125" s="120">
        <v>15</v>
      </c>
      <c r="Q1125" s="120" t="e">
        <f>ROUND(Tableau17[[#This Row],[LEN]]*#REF!+#REF!,0)</f>
        <v>#REF!</v>
      </c>
    </row>
    <row r="1126" spans="1:17" s="273" customFormat="1" x14ac:dyDescent="0.25">
      <c r="A1126" s="372" t="s">
        <v>331</v>
      </c>
      <c r="B1126" s="373" t="s">
        <v>210</v>
      </c>
      <c r="C1126" s="374" t="s">
        <v>10</v>
      </c>
      <c r="D1126" s="375" t="s">
        <v>1177</v>
      </c>
      <c r="E1126" s="374" t="s">
        <v>673</v>
      </c>
      <c r="F1126" s="374" t="s">
        <v>1177</v>
      </c>
      <c r="G1126" s="375" t="s">
        <v>170</v>
      </c>
      <c r="H1126" s="375" t="str">
        <f>IFERROR(IF(SEARCH(".00.00.00.00.00",Tableau17[[#This Row],[name]],1)=7,"Division",""),"")</f>
        <v>Division</v>
      </c>
      <c r="I1126" s="374"/>
      <c r="J1126" s="376" t="s">
        <v>719</v>
      </c>
      <c r="K1126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26" s="377">
        <f>ROUND(Tableau17[[#This Row],[LEN]]*7.27,0)</f>
        <v>109</v>
      </c>
      <c r="M1126" s="377">
        <v>15</v>
      </c>
      <c r="N1126" s="378" t="str">
        <f t="shared" si="7"/>
        <v>new</v>
      </c>
      <c r="O1126" s="377">
        <f>LEN(Tableau17[[#This Row],[LABEL]])</f>
        <v>15</v>
      </c>
      <c r="P1126" s="377">
        <v>15</v>
      </c>
      <c r="Q1126" s="377" t="e">
        <f>ROUND(Tableau17[[#This Row],[LEN]]*#REF!+#REF!,0)</f>
        <v>#REF!</v>
      </c>
    </row>
    <row r="1127" spans="1:17" s="97" customFormat="1" x14ac:dyDescent="0.25">
      <c r="A1127" s="61" t="s">
        <v>1878</v>
      </c>
      <c r="B1127" s="62" t="s">
        <v>331</v>
      </c>
      <c r="C1127" s="63" t="s">
        <v>1882</v>
      </c>
      <c r="D1127" s="79" t="s">
        <v>1177</v>
      </c>
      <c r="E1127" s="63" t="s">
        <v>673</v>
      </c>
      <c r="F1127" s="63" t="s">
        <v>2087</v>
      </c>
      <c r="G1127" s="79" t="s">
        <v>170</v>
      </c>
      <c r="H1127" s="79" t="s">
        <v>656</v>
      </c>
      <c r="I1127" s="63"/>
      <c r="J1127" s="64" t="s">
        <v>708</v>
      </c>
      <c r="K112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7" s="120">
        <f>ROUND(Tableau17[[#This Row],[LEN]]*7.27,0)</f>
        <v>233</v>
      </c>
      <c r="M1127" s="120">
        <v>15</v>
      </c>
      <c r="N1127" s="137" t="str">
        <f t="shared" si="7"/>
        <v>none</v>
      </c>
      <c r="O1127" s="120">
        <f>LEN(Tableau17[[#This Row],[LABEL]])</f>
        <v>32</v>
      </c>
      <c r="P1127" s="120">
        <v>15</v>
      </c>
      <c r="Q1127" s="120" t="e">
        <f>ROUND(Tableau17[[#This Row],[LEN]]*#REF!+#REF!,0)</f>
        <v>#REF!</v>
      </c>
    </row>
    <row r="1128" spans="1:17" s="97" customFormat="1" x14ac:dyDescent="0.25">
      <c r="A1128" s="61" t="s">
        <v>1879</v>
      </c>
      <c r="B1128" s="62" t="s">
        <v>331</v>
      </c>
      <c r="C1128" s="63" t="s">
        <v>602</v>
      </c>
      <c r="D1128" s="79" t="s">
        <v>1177</v>
      </c>
      <c r="E1128" s="63" t="s">
        <v>661</v>
      </c>
      <c r="F1128" s="63" t="s">
        <v>1874</v>
      </c>
      <c r="G1128" s="79" t="s">
        <v>170</v>
      </c>
      <c r="H1128" s="79" t="s">
        <v>656</v>
      </c>
      <c r="I1128" s="63"/>
      <c r="J1128" s="64" t="s">
        <v>708</v>
      </c>
      <c r="K112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8" s="120">
        <f>ROUND(Tableau17[[#This Row],[LEN]]*7.27,0)</f>
        <v>553</v>
      </c>
      <c r="M1128" s="120">
        <v>15</v>
      </c>
      <c r="N1128" s="137" t="str">
        <f t="shared" si="7"/>
        <v>none</v>
      </c>
      <c r="O1128" s="120">
        <f>LEN(Tableau17[[#This Row],[LABEL]])</f>
        <v>76</v>
      </c>
      <c r="P1128" s="120">
        <v>15</v>
      </c>
      <c r="Q1128" s="120" t="e">
        <f>ROUND(Tableau17[[#This Row],[LEN]]*#REF!+#REF!,0)</f>
        <v>#REF!</v>
      </c>
    </row>
    <row r="1129" spans="1:17" s="97" customFormat="1" x14ac:dyDescent="0.25">
      <c r="A1129" s="61" t="s">
        <v>1880</v>
      </c>
      <c r="B1129" s="62" t="s">
        <v>331</v>
      </c>
      <c r="C1129" s="63" t="s">
        <v>50</v>
      </c>
      <c r="D1129" s="79" t="s">
        <v>1177</v>
      </c>
      <c r="E1129" s="63" t="s">
        <v>1177</v>
      </c>
      <c r="F1129" s="63" t="s">
        <v>1084</v>
      </c>
      <c r="G1129" s="79" t="s">
        <v>1978</v>
      </c>
      <c r="H1129" s="79" t="s">
        <v>1131</v>
      </c>
      <c r="I1129" s="63"/>
      <c r="J1129" s="64" t="s">
        <v>708</v>
      </c>
      <c r="K112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29" s="120">
        <f>ROUND(Tableau17[[#This Row],[LEN]]*7.27,0)</f>
        <v>87</v>
      </c>
      <c r="M1129" s="120">
        <v>15</v>
      </c>
      <c r="N1129" s="137" t="str">
        <f t="shared" si="7"/>
        <v>none</v>
      </c>
      <c r="O1129" s="120">
        <f>LEN(Tableau17[[#This Row],[LABEL]])</f>
        <v>12</v>
      </c>
      <c r="P1129" s="120">
        <v>15</v>
      </c>
      <c r="Q1129" s="120" t="e">
        <f>ROUND(Tableau17[[#This Row],[LEN]]*#REF!+#REF!,0)</f>
        <v>#REF!</v>
      </c>
    </row>
    <row r="1130" spans="1:17" s="97" customFormat="1" x14ac:dyDescent="0.25">
      <c r="A1130" s="61" t="s">
        <v>1881</v>
      </c>
      <c r="B1130" s="62" t="s">
        <v>331</v>
      </c>
      <c r="C1130" s="63" t="s">
        <v>603</v>
      </c>
      <c r="D1130" s="79" t="s">
        <v>1177</v>
      </c>
      <c r="E1130" s="63" t="s">
        <v>1177</v>
      </c>
      <c r="F1130" s="63" t="s">
        <v>1084</v>
      </c>
      <c r="G1130" s="79" t="s">
        <v>1977</v>
      </c>
      <c r="H1130" s="79" t="s">
        <v>1131</v>
      </c>
      <c r="I1130" s="63"/>
      <c r="J1130" s="64" t="s">
        <v>708</v>
      </c>
      <c r="K113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0" s="120">
        <f>ROUND(Tableau17[[#This Row],[LEN]]*7.27,0)</f>
        <v>247</v>
      </c>
      <c r="M1130" s="120">
        <v>15</v>
      </c>
      <c r="N1130" s="137" t="str">
        <f t="shared" si="7"/>
        <v>none</v>
      </c>
      <c r="O1130" s="120">
        <f>LEN(Tableau17[[#This Row],[LABEL]])</f>
        <v>34</v>
      </c>
      <c r="P1130" s="120">
        <v>15</v>
      </c>
      <c r="Q1130" s="120" t="e">
        <f>ROUND(Tableau17[[#This Row],[LEN]]*#REF!+#REF!,0)</f>
        <v>#REF!</v>
      </c>
    </row>
    <row r="1131" spans="1:17" s="273" customFormat="1" x14ac:dyDescent="0.25">
      <c r="A1131" s="372" t="s">
        <v>332</v>
      </c>
      <c r="B1131" s="373" t="s">
        <v>210</v>
      </c>
      <c r="C1131" s="374" t="s">
        <v>11</v>
      </c>
      <c r="D1131" s="375" t="s">
        <v>1177</v>
      </c>
      <c r="E1131" s="374" t="s">
        <v>674</v>
      </c>
      <c r="F1131" s="374" t="s">
        <v>1177</v>
      </c>
      <c r="G1131" s="375" t="s">
        <v>170</v>
      </c>
      <c r="H1131" s="375" t="str">
        <f>IFERROR(IF(SEARCH(".00.00.00.00.00",Tableau17[[#This Row],[name]],1)=7,"Division",""),"")</f>
        <v>Division</v>
      </c>
      <c r="I1131" s="374"/>
      <c r="J1131" s="376" t="s">
        <v>720</v>
      </c>
      <c r="K1131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31" s="377">
        <f>ROUND(Tableau17[[#This Row],[LEN]]*7.27,0)</f>
        <v>51</v>
      </c>
      <c r="M1131" s="377">
        <v>15</v>
      </c>
      <c r="N1131" s="378" t="str">
        <f t="shared" si="7"/>
        <v>new</v>
      </c>
      <c r="O1131" s="377">
        <f>LEN(Tableau17[[#This Row],[LABEL]])</f>
        <v>7</v>
      </c>
      <c r="P1131" s="377">
        <v>15</v>
      </c>
      <c r="Q1131" s="377" t="e">
        <f>ROUND(Tableau17[[#This Row],[LEN]]*#REF!+#REF!,0)</f>
        <v>#REF!</v>
      </c>
    </row>
    <row r="1132" spans="1:17" s="97" customFormat="1" x14ac:dyDescent="0.25">
      <c r="A1132" s="61" t="s">
        <v>1883</v>
      </c>
      <c r="B1132" s="62" t="s">
        <v>332</v>
      </c>
      <c r="C1132" s="63" t="s">
        <v>602</v>
      </c>
      <c r="D1132" s="79" t="s">
        <v>1177</v>
      </c>
      <c r="E1132" s="63" t="s">
        <v>661</v>
      </c>
      <c r="F1132" s="63" t="s">
        <v>1874</v>
      </c>
      <c r="G1132" s="79" t="s">
        <v>170</v>
      </c>
      <c r="H1132" s="79" t="s">
        <v>656</v>
      </c>
      <c r="I1132" s="63"/>
      <c r="J1132" s="64" t="s">
        <v>708</v>
      </c>
      <c r="K113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2" s="120">
        <f>ROUND(Tableau17[[#This Row],[LEN]]*7.27,0)</f>
        <v>553</v>
      </c>
      <c r="M1132" s="120">
        <v>15</v>
      </c>
      <c r="N1132" s="137" t="str">
        <f t="shared" si="7"/>
        <v>none</v>
      </c>
      <c r="O1132" s="120">
        <f>LEN(Tableau17[[#This Row],[LABEL]])</f>
        <v>76</v>
      </c>
      <c r="P1132" s="120">
        <v>15</v>
      </c>
      <c r="Q1132" s="120" t="e">
        <f>ROUND(Tableau17[[#This Row],[LEN]]*#REF!+#REF!,0)</f>
        <v>#REF!</v>
      </c>
    </row>
    <row r="1133" spans="1:17" s="97" customFormat="1" x14ac:dyDescent="0.25">
      <c r="A1133" s="61" t="s">
        <v>1884</v>
      </c>
      <c r="B1133" s="62" t="s">
        <v>1883</v>
      </c>
      <c r="C1133" s="63" t="s">
        <v>2139</v>
      </c>
      <c r="D1133" s="79" t="s">
        <v>1177</v>
      </c>
      <c r="E1133" s="63" t="s">
        <v>674</v>
      </c>
      <c r="F1133" s="63" t="s">
        <v>2143</v>
      </c>
      <c r="G1133" s="79" t="s">
        <v>170</v>
      </c>
      <c r="H1133" s="79" t="s">
        <v>656</v>
      </c>
      <c r="I1133" s="63"/>
      <c r="J1133" s="64" t="s">
        <v>708</v>
      </c>
      <c r="K113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3" s="120">
        <f>ROUND(Tableau17[[#This Row],[LEN]]*7.27,0)</f>
        <v>313</v>
      </c>
      <c r="M1133" s="120">
        <v>15</v>
      </c>
      <c r="N1133" s="137" t="str">
        <f t="shared" si="7"/>
        <v>none</v>
      </c>
      <c r="O1133" s="120">
        <f>LEN(Tableau17[[#This Row],[LABEL]])</f>
        <v>43</v>
      </c>
      <c r="P1133" s="120">
        <v>15</v>
      </c>
      <c r="Q1133" s="120" t="e">
        <f>ROUND(Tableau17[[#This Row],[LEN]]*#REF!+#REF!,0)</f>
        <v>#REF!</v>
      </c>
    </row>
    <row r="1134" spans="1:17" s="97" customFormat="1" x14ac:dyDescent="0.25">
      <c r="A1134" s="61" t="s">
        <v>1885</v>
      </c>
      <c r="B1134" s="62" t="s">
        <v>1883</v>
      </c>
      <c r="C1134" s="63" t="s">
        <v>2140</v>
      </c>
      <c r="D1134" s="79" t="s">
        <v>1177</v>
      </c>
      <c r="E1134" s="63" t="s">
        <v>674</v>
      </c>
      <c r="F1134" s="63" t="s">
        <v>674</v>
      </c>
      <c r="G1134" s="79" t="s">
        <v>170</v>
      </c>
      <c r="H1134" s="79" t="s">
        <v>656</v>
      </c>
      <c r="I1134" s="63"/>
      <c r="J1134" s="64" t="s">
        <v>708</v>
      </c>
      <c r="K113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4" s="120">
        <f>ROUND(Tableau17[[#This Row],[LEN]]*7.27,0)</f>
        <v>494</v>
      </c>
      <c r="M1134" s="120">
        <v>15</v>
      </c>
      <c r="N1134" s="137" t="str">
        <f t="shared" si="7"/>
        <v>none</v>
      </c>
      <c r="O1134" s="120">
        <f>LEN(Tableau17[[#This Row],[LABEL]])</f>
        <v>68</v>
      </c>
      <c r="P1134" s="120">
        <v>15</v>
      </c>
      <c r="Q1134" s="120" t="e">
        <f>ROUND(Tableau17[[#This Row],[LEN]]*#REF!+#REF!,0)</f>
        <v>#REF!</v>
      </c>
    </row>
    <row r="1135" spans="1:17" s="97" customFormat="1" x14ac:dyDescent="0.25">
      <c r="A1135" s="61" t="s">
        <v>2137</v>
      </c>
      <c r="B1135" s="62" t="s">
        <v>1883</v>
      </c>
      <c r="C1135" s="63" t="s">
        <v>2141</v>
      </c>
      <c r="D1135" s="79" t="s">
        <v>1177</v>
      </c>
      <c r="E1135" s="63" t="s">
        <v>674</v>
      </c>
      <c r="F1135" s="63" t="s">
        <v>2144</v>
      </c>
      <c r="G1135" s="79" t="s">
        <v>170</v>
      </c>
      <c r="H1135" s="79" t="s">
        <v>656</v>
      </c>
      <c r="I1135" s="63"/>
      <c r="J1135" s="64" t="s">
        <v>708</v>
      </c>
      <c r="K113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5" s="120">
        <f>ROUND(Tableau17[[#This Row],[LEN]]*7.27,0)</f>
        <v>291</v>
      </c>
      <c r="M1135" s="120">
        <v>15</v>
      </c>
      <c r="N1135" s="137" t="str">
        <f t="shared" si="7"/>
        <v>none</v>
      </c>
      <c r="O1135" s="120">
        <f>LEN(Tableau17[[#This Row],[LABEL]])</f>
        <v>40</v>
      </c>
      <c r="P1135" s="120">
        <v>15</v>
      </c>
      <c r="Q1135" s="120" t="e">
        <f>ROUND(Tableau17[[#This Row],[LEN]]*#REF!+#REF!,0)</f>
        <v>#REF!</v>
      </c>
    </row>
    <row r="1136" spans="1:17" s="97" customFormat="1" x14ac:dyDescent="0.25">
      <c r="A1136" s="61" t="s">
        <v>2138</v>
      </c>
      <c r="B1136" s="62" t="s">
        <v>1883</v>
      </c>
      <c r="C1136" s="63" t="s">
        <v>2142</v>
      </c>
      <c r="D1136" s="79" t="s">
        <v>1177</v>
      </c>
      <c r="E1136" s="63" t="s">
        <v>674</v>
      </c>
      <c r="F1136" s="63" t="s">
        <v>2145</v>
      </c>
      <c r="G1136" s="79" t="s">
        <v>170</v>
      </c>
      <c r="H1136" s="79" t="s">
        <v>656</v>
      </c>
      <c r="I1136" s="63"/>
      <c r="J1136" s="64" t="s">
        <v>708</v>
      </c>
      <c r="K113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6" s="120">
        <f>ROUND(Tableau17[[#This Row],[LEN]]*7.27,0)</f>
        <v>334</v>
      </c>
      <c r="M1136" s="120">
        <v>15</v>
      </c>
      <c r="N1136" s="137" t="str">
        <f t="shared" si="7"/>
        <v>none</v>
      </c>
      <c r="O1136" s="120">
        <f>LEN(Tableau17[[#This Row],[LABEL]])</f>
        <v>46</v>
      </c>
      <c r="P1136" s="120">
        <v>15</v>
      </c>
      <c r="Q1136" s="120" t="e">
        <f>ROUND(Tableau17[[#This Row],[LEN]]*#REF!+#REF!,0)</f>
        <v>#REF!</v>
      </c>
    </row>
    <row r="1137" spans="1:17" s="97" customFormat="1" x14ac:dyDescent="0.25">
      <c r="A1137" s="61" t="s">
        <v>2135</v>
      </c>
      <c r="B1137" s="62" t="s">
        <v>332</v>
      </c>
      <c r="C1137" s="63" t="s">
        <v>50</v>
      </c>
      <c r="D1137" s="79" t="s">
        <v>1177</v>
      </c>
      <c r="E1137" s="63" t="s">
        <v>1177</v>
      </c>
      <c r="F1137" s="63" t="s">
        <v>1084</v>
      </c>
      <c r="G1137" s="79" t="s">
        <v>1978</v>
      </c>
      <c r="H1137" s="79" t="s">
        <v>1131</v>
      </c>
      <c r="I1137" s="63"/>
      <c r="J1137" s="64" t="s">
        <v>708</v>
      </c>
      <c r="K113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7" s="120">
        <f>ROUND(Tableau17[[#This Row],[LEN]]*7.27,0)</f>
        <v>87</v>
      </c>
      <c r="M1137" s="120">
        <v>15</v>
      </c>
      <c r="N1137" s="137" t="str">
        <f t="shared" si="7"/>
        <v>none</v>
      </c>
      <c r="O1137" s="120">
        <f>LEN(Tableau17[[#This Row],[LABEL]])</f>
        <v>12</v>
      </c>
      <c r="P1137" s="120">
        <v>15</v>
      </c>
      <c r="Q1137" s="120" t="e">
        <f>ROUND(Tableau17[[#This Row],[LEN]]*#REF!+#REF!,0)</f>
        <v>#REF!</v>
      </c>
    </row>
    <row r="1138" spans="1:17" s="97" customFormat="1" x14ac:dyDescent="0.25">
      <c r="A1138" s="61" t="s">
        <v>2136</v>
      </c>
      <c r="B1138" s="62" t="s">
        <v>332</v>
      </c>
      <c r="C1138" s="63" t="s">
        <v>603</v>
      </c>
      <c r="D1138" s="79" t="s">
        <v>1177</v>
      </c>
      <c r="E1138" s="63" t="s">
        <v>1177</v>
      </c>
      <c r="F1138" s="63" t="s">
        <v>1084</v>
      </c>
      <c r="G1138" s="79" t="s">
        <v>1977</v>
      </c>
      <c r="H1138" s="79" t="s">
        <v>1131</v>
      </c>
      <c r="I1138" s="63"/>
      <c r="J1138" s="64" t="s">
        <v>708</v>
      </c>
      <c r="K113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38" s="120">
        <f>ROUND(Tableau17[[#This Row],[LEN]]*7.27,0)</f>
        <v>247</v>
      </c>
      <c r="M1138" s="120">
        <v>15</v>
      </c>
      <c r="N1138" s="137" t="str">
        <f t="shared" si="7"/>
        <v>none</v>
      </c>
      <c r="O1138" s="120">
        <f>LEN(Tableau17[[#This Row],[LABEL]])</f>
        <v>34</v>
      </c>
      <c r="P1138" s="120">
        <v>15</v>
      </c>
      <c r="Q1138" s="120" t="e">
        <f>ROUND(Tableau17[[#This Row],[LEN]]*#REF!+#REF!,0)</f>
        <v>#REF!</v>
      </c>
    </row>
    <row r="1139" spans="1:17" s="273" customFormat="1" x14ac:dyDescent="0.25">
      <c r="A1139" s="372" t="s">
        <v>333</v>
      </c>
      <c r="B1139" s="373" t="s">
        <v>210</v>
      </c>
      <c r="C1139" s="374" t="s">
        <v>12</v>
      </c>
      <c r="D1139" s="375" t="s">
        <v>1177</v>
      </c>
      <c r="E1139" s="374" t="s">
        <v>675</v>
      </c>
      <c r="F1139" s="374" t="s">
        <v>1177</v>
      </c>
      <c r="G1139" s="375" t="s">
        <v>170</v>
      </c>
      <c r="H1139" s="375" t="str">
        <f>IFERROR(IF(SEARCH(".00.00.00.00.00",Tableau17[[#This Row],[name]],1)=7,"Division",""),"")</f>
        <v>Division</v>
      </c>
      <c r="I1139" s="374"/>
      <c r="J1139" s="376" t="s">
        <v>721</v>
      </c>
      <c r="K1139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39" s="377">
        <f>ROUND(Tableau17[[#This Row],[LEN]]*7.27,0)</f>
        <v>15</v>
      </c>
      <c r="M1139" s="377">
        <v>15</v>
      </c>
      <c r="N1139" s="378" t="str">
        <f t="shared" si="7"/>
        <v>new</v>
      </c>
      <c r="O1139" s="377">
        <f>LEN(Tableau17[[#This Row],[LABEL]])</f>
        <v>2</v>
      </c>
      <c r="P1139" s="377">
        <v>15</v>
      </c>
      <c r="Q1139" s="377" t="e">
        <f>ROUND(Tableau17[[#This Row],[LEN]]*#REF!+#REF!,0)</f>
        <v>#REF!</v>
      </c>
    </row>
    <row r="1140" spans="1:17" s="97" customFormat="1" x14ac:dyDescent="0.25">
      <c r="A1140" s="61" t="s">
        <v>1898</v>
      </c>
      <c r="B1140" s="62" t="s">
        <v>333</v>
      </c>
      <c r="C1140" s="63" t="s">
        <v>1897</v>
      </c>
      <c r="D1140" s="79" t="s">
        <v>1177</v>
      </c>
      <c r="E1140" s="63" t="s">
        <v>675</v>
      </c>
      <c r="F1140" s="63" t="s">
        <v>1177</v>
      </c>
      <c r="G1140" s="79" t="s">
        <v>170</v>
      </c>
      <c r="H1140" s="79" t="s">
        <v>656</v>
      </c>
      <c r="I1140" s="63"/>
      <c r="J1140" s="64" t="s">
        <v>708</v>
      </c>
      <c r="K114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0" s="120">
        <f>ROUND(Tableau17[[#This Row],[LEN]]*7.27,0)</f>
        <v>465</v>
      </c>
      <c r="M1140" s="120">
        <v>15</v>
      </c>
      <c r="N1140" s="137" t="str">
        <f t="shared" si="7"/>
        <v>none</v>
      </c>
      <c r="O1140" s="120">
        <f>LEN(Tableau17[[#This Row],[LABEL]])</f>
        <v>64</v>
      </c>
      <c r="P1140" s="120">
        <v>15</v>
      </c>
      <c r="Q1140" s="120" t="e">
        <f>ROUND(Tableau17[[#This Row],[LEN]]*#REF!+#REF!,0)</f>
        <v>#REF!</v>
      </c>
    </row>
    <row r="1141" spans="1:17" s="97" customFormat="1" x14ac:dyDescent="0.25">
      <c r="A1141" s="61" t="s">
        <v>1899</v>
      </c>
      <c r="B1141" s="62" t="s">
        <v>333</v>
      </c>
      <c r="C1141" s="63" t="s">
        <v>602</v>
      </c>
      <c r="D1141" s="79" t="s">
        <v>1177</v>
      </c>
      <c r="E1141" s="63" t="s">
        <v>661</v>
      </c>
      <c r="F1141" s="63" t="s">
        <v>1874</v>
      </c>
      <c r="G1141" s="79" t="s">
        <v>170</v>
      </c>
      <c r="H1141" s="79" t="s">
        <v>656</v>
      </c>
      <c r="I1141" s="63"/>
      <c r="J1141" s="64" t="s">
        <v>708</v>
      </c>
      <c r="K114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1" s="120">
        <f>ROUND(Tableau17[[#This Row],[LEN]]*7.27,0)</f>
        <v>553</v>
      </c>
      <c r="M1141" s="120">
        <v>15</v>
      </c>
      <c r="N1141" s="137" t="str">
        <f t="shared" si="7"/>
        <v>none</v>
      </c>
      <c r="O1141" s="120">
        <f>LEN(Tableau17[[#This Row],[LABEL]])</f>
        <v>76</v>
      </c>
      <c r="P1141" s="120">
        <v>15</v>
      </c>
      <c r="Q1141" s="120" t="e">
        <f>ROUND(Tableau17[[#This Row],[LEN]]*#REF!+#REF!,0)</f>
        <v>#REF!</v>
      </c>
    </row>
    <row r="1142" spans="1:17" s="97" customFormat="1" x14ac:dyDescent="0.25">
      <c r="A1142" s="61" t="s">
        <v>1900</v>
      </c>
      <c r="B1142" s="62" t="s">
        <v>333</v>
      </c>
      <c r="C1142" s="63" t="s">
        <v>50</v>
      </c>
      <c r="D1142" s="79" t="s">
        <v>1177</v>
      </c>
      <c r="E1142" s="63" t="s">
        <v>1177</v>
      </c>
      <c r="F1142" s="63" t="s">
        <v>1084</v>
      </c>
      <c r="G1142" s="79" t="s">
        <v>1978</v>
      </c>
      <c r="H1142" s="79" t="s">
        <v>1131</v>
      </c>
      <c r="I1142" s="63"/>
      <c r="J1142" s="64" t="s">
        <v>708</v>
      </c>
      <c r="K114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2" s="120">
        <f>ROUND(Tableau17[[#This Row],[LEN]]*7.27,0)</f>
        <v>87</v>
      </c>
      <c r="M1142" s="120">
        <v>15</v>
      </c>
      <c r="N1142" s="137" t="str">
        <f t="shared" si="7"/>
        <v>none</v>
      </c>
      <c r="O1142" s="120">
        <f>LEN(Tableau17[[#This Row],[LABEL]])</f>
        <v>12</v>
      </c>
      <c r="P1142" s="120">
        <v>15</v>
      </c>
      <c r="Q1142" s="120" t="e">
        <f>ROUND(Tableau17[[#This Row],[LEN]]*#REF!+#REF!,0)</f>
        <v>#REF!</v>
      </c>
    </row>
    <row r="1143" spans="1:17" s="97" customFormat="1" x14ac:dyDescent="0.25">
      <c r="A1143" s="61" t="s">
        <v>1901</v>
      </c>
      <c r="B1143" s="62" t="s">
        <v>333</v>
      </c>
      <c r="C1143" s="63" t="s">
        <v>603</v>
      </c>
      <c r="D1143" s="79" t="s">
        <v>1177</v>
      </c>
      <c r="E1143" s="63" t="s">
        <v>1177</v>
      </c>
      <c r="F1143" s="63" t="s">
        <v>1084</v>
      </c>
      <c r="G1143" s="79" t="s">
        <v>1977</v>
      </c>
      <c r="H1143" s="79" t="s">
        <v>1131</v>
      </c>
      <c r="I1143" s="63"/>
      <c r="J1143" s="64" t="s">
        <v>708</v>
      </c>
      <c r="K114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3" s="120">
        <f>ROUND(Tableau17[[#This Row],[LEN]]*7.27,0)</f>
        <v>247</v>
      </c>
      <c r="M1143" s="120">
        <v>15</v>
      </c>
      <c r="N1143" s="137" t="str">
        <f t="shared" si="7"/>
        <v>none</v>
      </c>
      <c r="O1143" s="120">
        <f>LEN(Tableau17[[#This Row],[LABEL]])</f>
        <v>34</v>
      </c>
      <c r="P1143" s="120">
        <v>15</v>
      </c>
      <c r="Q1143" s="120" t="e">
        <f>ROUND(Tableau17[[#This Row],[LEN]]*#REF!+#REF!,0)</f>
        <v>#REF!</v>
      </c>
    </row>
    <row r="1144" spans="1:17" s="273" customFormat="1" x14ac:dyDescent="0.25">
      <c r="A1144" s="372" t="s">
        <v>334</v>
      </c>
      <c r="B1144" s="373" t="s">
        <v>210</v>
      </c>
      <c r="C1144" s="374" t="s">
        <v>71</v>
      </c>
      <c r="D1144" s="375" t="s">
        <v>1177</v>
      </c>
      <c r="E1144" s="374" t="s">
        <v>676</v>
      </c>
      <c r="F1144" s="374" t="s">
        <v>1177</v>
      </c>
      <c r="G1144" s="375" t="s">
        <v>170</v>
      </c>
      <c r="H1144" s="375" t="str">
        <f>IFERROR(IF(SEARCH(".00.00.00.00.00",Tableau17[[#This Row],[name]],1)=7,"Division",""),"")</f>
        <v>Division</v>
      </c>
      <c r="I1144" s="374"/>
      <c r="J1144" s="376" t="s">
        <v>722</v>
      </c>
      <c r="K1144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44" s="377">
        <f>ROUND(Tableau17[[#This Row],[LEN]]*7.27,0)</f>
        <v>29</v>
      </c>
      <c r="M1144" s="377">
        <v>15</v>
      </c>
      <c r="N1144" s="378" t="str">
        <f t="shared" si="7"/>
        <v>new</v>
      </c>
      <c r="O1144" s="377">
        <f>LEN(Tableau17[[#This Row],[LABEL]])</f>
        <v>4</v>
      </c>
      <c r="P1144" s="377">
        <v>15</v>
      </c>
      <c r="Q1144" s="377" t="e">
        <f>ROUND(Tableau17[[#This Row],[LEN]]*#REF!+#REF!,0)</f>
        <v>#REF!</v>
      </c>
    </row>
    <row r="1145" spans="1:17" s="97" customFormat="1" x14ac:dyDescent="0.25">
      <c r="A1145" s="61" t="s">
        <v>1902</v>
      </c>
      <c r="B1145" s="62" t="s">
        <v>334</v>
      </c>
      <c r="C1145" s="63" t="s">
        <v>1906</v>
      </c>
      <c r="D1145" s="79" t="s">
        <v>1908</v>
      </c>
      <c r="E1145" s="63" t="s">
        <v>676</v>
      </c>
      <c r="F1145" s="63" t="s">
        <v>1907</v>
      </c>
      <c r="G1145" s="79" t="s">
        <v>170</v>
      </c>
      <c r="H1145" s="79" t="s">
        <v>656</v>
      </c>
      <c r="I1145" s="63"/>
      <c r="J1145" s="64" t="s">
        <v>708</v>
      </c>
      <c r="K114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5" s="120">
        <f>ROUND(Tableau17[[#This Row],[LEN]]*7.27,0)</f>
        <v>240</v>
      </c>
      <c r="M1145" s="120">
        <v>15</v>
      </c>
      <c r="N1145" s="137" t="str">
        <f t="shared" si="7"/>
        <v>none</v>
      </c>
      <c r="O1145" s="120">
        <f>LEN(Tableau17[[#This Row],[LABEL]])</f>
        <v>33</v>
      </c>
      <c r="P1145" s="120">
        <v>15</v>
      </c>
      <c r="Q1145" s="120" t="e">
        <f>ROUND(Tableau17[[#This Row],[LEN]]*#REF!+#REF!,0)</f>
        <v>#REF!</v>
      </c>
    </row>
    <row r="1146" spans="1:17" s="97" customFormat="1" x14ac:dyDescent="0.25">
      <c r="A1146" s="61" t="s">
        <v>1903</v>
      </c>
      <c r="B1146" s="62" t="s">
        <v>334</v>
      </c>
      <c r="C1146" s="63" t="s">
        <v>602</v>
      </c>
      <c r="D1146" s="79" t="s">
        <v>1177</v>
      </c>
      <c r="E1146" s="63" t="s">
        <v>661</v>
      </c>
      <c r="F1146" s="63" t="s">
        <v>1874</v>
      </c>
      <c r="G1146" s="79" t="s">
        <v>170</v>
      </c>
      <c r="H1146" s="79" t="s">
        <v>656</v>
      </c>
      <c r="I1146" s="63"/>
      <c r="J1146" s="64" t="s">
        <v>708</v>
      </c>
      <c r="K114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6" s="120">
        <f>ROUND(Tableau17[[#This Row],[LEN]]*7.27,0)</f>
        <v>553</v>
      </c>
      <c r="M1146" s="120">
        <v>15</v>
      </c>
      <c r="N1146" s="137" t="str">
        <f t="shared" si="7"/>
        <v>none</v>
      </c>
      <c r="O1146" s="120">
        <f>LEN(Tableau17[[#This Row],[LABEL]])</f>
        <v>76</v>
      </c>
      <c r="P1146" s="120">
        <v>15</v>
      </c>
      <c r="Q1146" s="120" t="e">
        <f>ROUND(Tableau17[[#This Row],[LEN]]*#REF!+#REF!,0)</f>
        <v>#REF!</v>
      </c>
    </row>
    <row r="1147" spans="1:17" s="97" customFormat="1" x14ac:dyDescent="0.25">
      <c r="A1147" s="61" t="s">
        <v>1904</v>
      </c>
      <c r="B1147" s="62" t="s">
        <v>334</v>
      </c>
      <c r="C1147" s="63" t="s">
        <v>50</v>
      </c>
      <c r="D1147" s="79" t="s">
        <v>1177</v>
      </c>
      <c r="E1147" s="63" t="s">
        <v>1177</v>
      </c>
      <c r="F1147" s="63" t="s">
        <v>1084</v>
      </c>
      <c r="G1147" s="79" t="s">
        <v>1978</v>
      </c>
      <c r="H1147" s="79" t="s">
        <v>1131</v>
      </c>
      <c r="I1147" s="63"/>
      <c r="J1147" s="64" t="s">
        <v>708</v>
      </c>
      <c r="K114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7" s="120">
        <f>ROUND(Tableau17[[#This Row],[LEN]]*7.27,0)</f>
        <v>87</v>
      </c>
      <c r="M1147" s="120">
        <v>15</v>
      </c>
      <c r="N1147" s="137" t="str">
        <f t="shared" si="7"/>
        <v>none</v>
      </c>
      <c r="O1147" s="120">
        <f>LEN(Tableau17[[#This Row],[LABEL]])</f>
        <v>12</v>
      </c>
      <c r="P1147" s="120">
        <v>15</v>
      </c>
      <c r="Q1147" s="120" t="e">
        <f>ROUND(Tableau17[[#This Row],[LEN]]*#REF!+#REF!,0)</f>
        <v>#REF!</v>
      </c>
    </row>
    <row r="1148" spans="1:17" s="97" customFormat="1" x14ac:dyDescent="0.25">
      <c r="A1148" s="61" t="s">
        <v>1905</v>
      </c>
      <c r="B1148" s="62" t="s">
        <v>334</v>
      </c>
      <c r="C1148" s="63" t="s">
        <v>603</v>
      </c>
      <c r="D1148" s="79" t="s">
        <v>1177</v>
      </c>
      <c r="E1148" s="63" t="s">
        <v>1177</v>
      </c>
      <c r="F1148" s="63" t="s">
        <v>1084</v>
      </c>
      <c r="G1148" s="79" t="s">
        <v>1977</v>
      </c>
      <c r="H1148" s="79" t="s">
        <v>1131</v>
      </c>
      <c r="I1148" s="63"/>
      <c r="J1148" s="64" t="s">
        <v>708</v>
      </c>
      <c r="K114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48" s="120">
        <f>ROUND(Tableau17[[#This Row],[LEN]]*7.27,0)</f>
        <v>247</v>
      </c>
      <c r="M1148" s="120">
        <v>15</v>
      </c>
      <c r="N1148" s="137" t="str">
        <f t="shared" si="7"/>
        <v>none</v>
      </c>
      <c r="O1148" s="120">
        <f>LEN(Tableau17[[#This Row],[LABEL]])</f>
        <v>34</v>
      </c>
      <c r="P1148" s="120">
        <v>15</v>
      </c>
      <c r="Q1148" s="120" t="e">
        <f>ROUND(Tableau17[[#This Row],[LEN]]*#REF!+#REF!,0)</f>
        <v>#REF!</v>
      </c>
    </row>
    <row r="1149" spans="1:17" s="273" customFormat="1" x14ac:dyDescent="0.25">
      <c r="A1149" s="372" t="s">
        <v>335</v>
      </c>
      <c r="B1149" s="373" t="s">
        <v>210</v>
      </c>
      <c r="C1149" s="374" t="s">
        <v>13</v>
      </c>
      <c r="D1149" s="375" t="s">
        <v>1177</v>
      </c>
      <c r="E1149" s="374" t="s">
        <v>677</v>
      </c>
      <c r="F1149" s="374" t="s">
        <v>1177</v>
      </c>
      <c r="G1149" s="375" t="s">
        <v>170</v>
      </c>
      <c r="H1149" s="375" t="str">
        <f>IFERROR(IF(SEARCH(".00.00.00.00.00",Tableau17[[#This Row],[name]],1)=7,"Division",""),"")</f>
        <v>Division</v>
      </c>
      <c r="I1149" s="374"/>
      <c r="J1149" s="376" t="s">
        <v>708</v>
      </c>
      <c r="K1149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49" s="377">
        <f>ROUND(Tableau17[[#This Row],[LEN]]*7.27,0)</f>
        <v>80</v>
      </c>
      <c r="M1149" s="377">
        <v>15</v>
      </c>
      <c r="N1149" s="378" t="str">
        <f t="shared" si="7"/>
        <v>none</v>
      </c>
      <c r="O1149" s="377">
        <f>LEN(Tableau17[[#This Row],[LABEL]])</f>
        <v>11</v>
      </c>
      <c r="P1149" s="377">
        <v>15</v>
      </c>
      <c r="Q1149" s="377" t="e">
        <f>ROUND(Tableau17[[#This Row],[LEN]]*#REF!+#REF!,0)</f>
        <v>#REF!</v>
      </c>
    </row>
    <row r="1150" spans="1:17" s="97" customFormat="1" x14ac:dyDescent="0.25">
      <c r="A1150" s="61" t="s">
        <v>1909</v>
      </c>
      <c r="B1150" s="62" t="s">
        <v>335</v>
      </c>
      <c r="C1150" s="63" t="s">
        <v>602</v>
      </c>
      <c r="D1150" s="79" t="s">
        <v>1177</v>
      </c>
      <c r="E1150" s="63" t="s">
        <v>661</v>
      </c>
      <c r="F1150" s="63" t="s">
        <v>1874</v>
      </c>
      <c r="G1150" s="79" t="s">
        <v>170</v>
      </c>
      <c r="H1150" s="79" t="s">
        <v>656</v>
      </c>
      <c r="I1150" s="63"/>
      <c r="J1150" s="64" t="s">
        <v>708</v>
      </c>
      <c r="K115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0" s="120">
        <f>ROUND(Tableau17[[#This Row],[LEN]]*7.27,0)</f>
        <v>553</v>
      </c>
      <c r="M1150" s="120">
        <v>15</v>
      </c>
      <c r="N1150" s="137" t="str">
        <f t="shared" si="7"/>
        <v>none</v>
      </c>
      <c r="O1150" s="120">
        <f>LEN(Tableau17[[#This Row],[LABEL]])</f>
        <v>76</v>
      </c>
      <c r="P1150" s="120">
        <v>15</v>
      </c>
      <c r="Q1150" s="120" t="e">
        <f>ROUND(Tableau17[[#This Row],[LEN]]*#REF!+#REF!,0)</f>
        <v>#REF!</v>
      </c>
    </row>
    <row r="1151" spans="1:17" s="97" customFormat="1" x14ac:dyDescent="0.25">
      <c r="A1151" s="61" t="s">
        <v>1910</v>
      </c>
      <c r="B1151" s="62" t="s">
        <v>335</v>
      </c>
      <c r="C1151" s="63" t="s">
        <v>50</v>
      </c>
      <c r="D1151" s="79" t="s">
        <v>1177</v>
      </c>
      <c r="E1151" s="63" t="s">
        <v>1177</v>
      </c>
      <c r="F1151" s="63" t="s">
        <v>1084</v>
      </c>
      <c r="G1151" s="79" t="s">
        <v>1978</v>
      </c>
      <c r="H1151" s="79" t="s">
        <v>1131</v>
      </c>
      <c r="I1151" s="63"/>
      <c r="J1151" s="64" t="s">
        <v>708</v>
      </c>
      <c r="K115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1" s="120">
        <f>ROUND(Tableau17[[#This Row],[LEN]]*7.27,0)</f>
        <v>87</v>
      </c>
      <c r="M1151" s="120">
        <v>15</v>
      </c>
      <c r="N1151" s="137" t="str">
        <f t="shared" si="7"/>
        <v>none</v>
      </c>
      <c r="O1151" s="120">
        <f>LEN(Tableau17[[#This Row],[LABEL]])</f>
        <v>12</v>
      </c>
      <c r="P1151" s="120">
        <v>15</v>
      </c>
      <c r="Q1151" s="120" t="e">
        <f>ROUND(Tableau17[[#This Row],[LEN]]*#REF!+#REF!,0)</f>
        <v>#REF!</v>
      </c>
    </row>
    <row r="1152" spans="1:17" s="97" customFormat="1" x14ac:dyDescent="0.25">
      <c r="A1152" s="61" t="s">
        <v>1911</v>
      </c>
      <c r="B1152" s="62" t="s">
        <v>335</v>
      </c>
      <c r="C1152" s="63" t="s">
        <v>603</v>
      </c>
      <c r="D1152" s="79" t="s">
        <v>1177</v>
      </c>
      <c r="E1152" s="63" t="s">
        <v>1177</v>
      </c>
      <c r="F1152" s="63" t="s">
        <v>1084</v>
      </c>
      <c r="G1152" s="79" t="s">
        <v>1977</v>
      </c>
      <c r="H1152" s="79" t="s">
        <v>1131</v>
      </c>
      <c r="I1152" s="63"/>
      <c r="J1152" s="64" t="s">
        <v>708</v>
      </c>
      <c r="K115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2" s="120">
        <f>ROUND(Tableau17[[#This Row],[LEN]]*7.27,0)</f>
        <v>247</v>
      </c>
      <c r="M1152" s="120">
        <v>15</v>
      </c>
      <c r="N1152" s="137" t="str">
        <f t="shared" si="7"/>
        <v>none</v>
      </c>
      <c r="O1152" s="120">
        <f>LEN(Tableau17[[#This Row],[LABEL]])</f>
        <v>34</v>
      </c>
      <c r="P1152" s="120">
        <v>15</v>
      </c>
      <c r="Q1152" s="120" t="e">
        <f>ROUND(Tableau17[[#This Row],[LEN]]*#REF!+#REF!,0)</f>
        <v>#REF!</v>
      </c>
    </row>
    <row r="1153" spans="1:17" s="273" customFormat="1" x14ac:dyDescent="0.25">
      <c r="A1153" s="372" t="s">
        <v>336</v>
      </c>
      <c r="B1153" s="373" t="s">
        <v>210</v>
      </c>
      <c r="C1153" s="374" t="s">
        <v>14</v>
      </c>
      <c r="D1153" s="375" t="s">
        <v>1177</v>
      </c>
      <c r="E1153" s="374" t="s">
        <v>678</v>
      </c>
      <c r="F1153" s="374" t="s">
        <v>1177</v>
      </c>
      <c r="G1153" s="375" t="s">
        <v>170</v>
      </c>
      <c r="H1153" s="375" t="str">
        <f>IFERROR(IF(SEARCH(".00.00.00.00.00",Tableau17[[#This Row],[name]],1)=7,"Division",""),"")</f>
        <v>Division</v>
      </c>
      <c r="I1153" s="374"/>
      <c r="J1153" s="376" t="s">
        <v>724</v>
      </c>
      <c r="K1153" s="376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53" s="377">
        <f>ROUND(Tableau17[[#This Row],[LEN]]*7.27,0)</f>
        <v>240</v>
      </c>
      <c r="M1153" s="377">
        <v>15</v>
      </c>
      <c r="N1153" s="378" t="str">
        <f t="shared" si="7"/>
        <v>new</v>
      </c>
      <c r="O1153" s="377">
        <f>LEN(Tableau17[[#This Row],[LABEL]])</f>
        <v>33</v>
      </c>
      <c r="P1153" s="377">
        <v>15</v>
      </c>
      <c r="Q1153" s="377" t="e">
        <f>ROUND(Tableau17[[#This Row],[LEN]]*#REF!+#REF!,0)</f>
        <v>#REF!</v>
      </c>
    </row>
    <row r="1154" spans="1:17" s="97" customFormat="1" x14ac:dyDescent="0.25">
      <c r="A1154" s="61" t="s">
        <v>1912</v>
      </c>
      <c r="B1154" s="62" t="s">
        <v>336</v>
      </c>
      <c r="C1154" s="63" t="s">
        <v>1917</v>
      </c>
      <c r="D1154" s="79" t="s">
        <v>1177</v>
      </c>
      <c r="E1154" s="63" t="s">
        <v>678</v>
      </c>
      <c r="F1154" s="63" t="s">
        <v>1177</v>
      </c>
      <c r="G1154" s="79" t="s">
        <v>170</v>
      </c>
      <c r="H1154" s="79" t="s">
        <v>654</v>
      </c>
      <c r="I1154" s="63"/>
      <c r="J1154" s="64" t="s">
        <v>708</v>
      </c>
      <c r="K1154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4" s="120">
        <f>ROUND(Tableau17[[#This Row],[LEN]]*7.27,0)</f>
        <v>211</v>
      </c>
      <c r="M1154" s="120">
        <v>15</v>
      </c>
      <c r="N1154" s="137" t="str">
        <f t="shared" si="7"/>
        <v>none</v>
      </c>
      <c r="O1154" s="120">
        <f>LEN(Tableau17[[#This Row],[LABEL]])</f>
        <v>29</v>
      </c>
      <c r="P1154" s="120">
        <v>15</v>
      </c>
      <c r="Q1154" s="120" t="e">
        <f>ROUND(Tableau17[[#This Row],[LEN]]*#REF!+#REF!,0)</f>
        <v>#REF!</v>
      </c>
    </row>
    <row r="1155" spans="1:17" s="97" customFormat="1" x14ac:dyDescent="0.25">
      <c r="A1155" s="61" t="s">
        <v>1913</v>
      </c>
      <c r="B1155" s="62" t="s">
        <v>336</v>
      </c>
      <c r="C1155" s="63" t="s">
        <v>1918</v>
      </c>
      <c r="D1155" s="79" t="s">
        <v>1177</v>
      </c>
      <c r="E1155" s="63" t="s">
        <v>678</v>
      </c>
      <c r="F1155" s="63" t="s">
        <v>1177</v>
      </c>
      <c r="G1155" s="79" t="s">
        <v>170</v>
      </c>
      <c r="H1155" s="79" t="s">
        <v>654</v>
      </c>
      <c r="I1155" s="63"/>
      <c r="J1155" s="64" t="s">
        <v>708</v>
      </c>
      <c r="K115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5" s="120">
        <f>ROUND(Tableau17[[#This Row],[LEN]]*7.27,0)</f>
        <v>189</v>
      </c>
      <c r="M1155" s="120">
        <v>15</v>
      </c>
      <c r="N1155" s="137" t="str">
        <f t="shared" si="7"/>
        <v>none</v>
      </c>
      <c r="O1155" s="120">
        <f>LEN(Tableau17[[#This Row],[LABEL]])</f>
        <v>26</v>
      </c>
      <c r="P1155" s="120">
        <v>15</v>
      </c>
      <c r="Q1155" s="120" t="e">
        <f>ROUND(Tableau17[[#This Row],[LEN]]*#REF!+#REF!,0)</f>
        <v>#REF!</v>
      </c>
    </row>
    <row r="1156" spans="1:17" s="97" customFormat="1" x14ac:dyDescent="0.25">
      <c r="A1156" s="61" t="s">
        <v>1914</v>
      </c>
      <c r="B1156" s="62" t="s">
        <v>336</v>
      </c>
      <c r="C1156" s="63" t="s">
        <v>602</v>
      </c>
      <c r="D1156" s="79" t="s">
        <v>1177</v>
      </c>
      <c r="E1156" s="63" t="s">
        <v>661</v>
      </c>
      <c r="F1156" s="63" t="s">
        <v>1874</v>
      </c>
      <c r="G1156" s="79" t="s">
        <v>170</v>
      </c>
      <c r="H1156" s="79" t="s">
        <v>656</v>
      </c>
      <c r="I1156" s="63"/>
      <c r="J1156" s="64" t="s">
        <v>708</v>
      </c>
      <c r="K115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6" s="120">
        <f>ROUND(Tableau17[[#This Row],[LEN]]*7.27,0)</f>
        <v>553</v>
      </c>
      <c r="M1156" s="120">
        <v>15</v>
      </c>
      <c r="N1156" s="137" t="str">
        <f t="shared" si="7"/>
        <v>none</v>
      </c>
      <c r="O1156" s="120">
        <f>LEN(Tableau17[[#This Row],[LABEL]])</f>
        <v>76</v>
      </c>
      <c r="P1156" s="120">
        <v>15</v>
      </c>
      <c r="Q1156" s="120" t="e">
        <f>ROUND(Tableau17[[#This Row],[LEN]]*#REF!+#REF!,0)</f>
        <v>#REF!</v>
      </c>
    </row>
    <row r="1157" spans="1:17" s="97" customFormat="1" x14ac:dyDescent="0.25">
      <c r="A1157" s="61" t="s">
        <v>1915</v>
      </c>
      <c r="B1157" s="62" t="s">
        <v>336</v>
      </c>
      <c r="C1157" s="63" t="s">
        <v>50</v>
      </c>
      <c r="D1157" s="79" t="s">
        <v>1177</v>
      </c>
      <c r="E1157" s="63" t="s">
        <v>1177</v>
      </c>
      <c r="F1157" s="63" t="s">
        <v>1084</v>
      </c>
      <c r="G1157" s="79" t="s">
        <v>1978</v>
      </c>
      <c r="H1157" s="79" t="s">
        <v>1131</v>
      </c>
      <c r="I1157" s="63"/>
      <c r="J1157" s="64" t="s">
        <v>708</v>
      </c>
      <c r="K115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7" s="120">
        <f>ROUND(Tableau17[[#This Row],[LEN]]*7.27,0)</f>
        <v>87</v>
      </c>
      <c r="M1157" s="120">
        <v>15</v>
      </c>
      <c r="N1157" s="137" t="str">
        <f t="shared" si="7"/>
        <v>none</v>
      </c>
      <c r="O1157" s="120">
        <f>LEN(Tableau17[[#This Row],[LABEL]])</f>
        <v>12</v>
      </c>
      <c r="P1157" s="120">
        <v>15</v>
      </c>
      <c r="Q1157" s="120" t="e">
        <f>ROUND(Tableau17[[#This Row],[LEN]]*#REF!+#REF!,0)</f>
        <v>#REF!</v>
      </c>
    </row>
    <row r="1158" spans="1:17" s="97" customFormat="1" x14ac:dyDescent="0.25">
      <c r="A1158" s="61" t="s">
        <v>1916</v>
      </c>
      <c r="B1158" s="62" t="s">
        <v>336</v>
      </c>
      <c r="C1158" s="63" t="s">
        <v>603</v>
      </c>
      <c r="D1158" s="79" t="s">
        <v>1177</v>
      </c>
      <c r="E1158" s="63" t="s">
        <v>1177</v>
      </c>
      <c r="F1158" s="63" t="s">
        <v>1084</v>
      </c>
      <c r="G1158" s="79" t="s">
        <v>1977</v>
      </c>
      <c r="H1158" s="79" t="s">
        <v>1131</v>
      </c>
      <c r="I1158" s="63"/>
      <c r="J1158" s="64" t="s">
        <v>708</v>
      </c>
      <c r="K115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58" s="120">
        <f>ROUND(Tableau17[[#This Row],[LEN]]*7.27,0)</f>
        <v>247</v>
      </c>
      <c r="M1158" s="120">
        <v>15</v>
      </c>
      <c r="N1158" s="137" t="str">
        <f t="shared" si="7"/>
        <v>none</v>
      </c>
      <c r="O1158" s="120">
        <f>LEN(Tableau17[[#This Row],[LABEL]])</f>
        <v>34</v>
      </c>
      <c r="P1158" s="120">
        <v>15</v>
      </c>
      <c r="Q1158" s="120" t="e">
        <f>ROUND(Tableau17[[#This Row],[LEN]]*#REF!+#REF!,0)</f>
        <v>#REF!</v>
      </c>
    </row>
    <row r="1159" spans="1:17" s="273" customFormat="1" x14ac:dyDescent="0.25">
      <c r="A1159" s="379" t="s">
        <v>337</v>
      </c>
      <c r="B1159" s="380" t="s">
        <v>210</v>
      </c>
      <c r="C1159" s="381" t="s">
        <v>15</v>
      </c>
      <c r="D1159" s="382" t="s">
        <v>1177</v>
      </c>
      <c r="E1159" s="381" t="s">
        <v>679</v>
      </c>
      <c r="F1159" s="381" t="s">
        <v>1177</v>
      </c>
      <c r="G1159" s="382" t="s">
        <v>170</v>
      </c>
      <c r="H1159" s="382" t="str">
        <f>IFERROR(IF(SEARCH(".00.00.00.00.00",Tableau17[[#This Row],[name]],1)=7,"Division",""),"")</f>
        <v>Division</v>
      </c>
      <c r="I1159" s="381"/>
      <c r="J1159" s="383" t="s">
        <v>708</v>
      </c>
      <c r="K1159" s="38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59" s="384">
        <f>ROUND(Tableau17[[#This Row],[LEN]]*7.27,0)</f>
        <v>174</v>
      </c>
      <c r="M1159" s="384">
        <v>15</v>
      </c>
      <c r="N1159" s="385" t="str">
        <f t="shared" si="7"/>
        <v>none</v>
      </c>
      <c r="O1159" s="384">
        <f>LEN(Tableau17[[#This Row],[LABEL]])</f>
        <v>24</v>
      </c>
      <c r="P1159" s="384">
        <v>15</v>
      </c>
      <c r="Q1159" s="384" t="e">
        <f>ROUND(Tableau17[[#This Row],[LEN]]*#REF!+#REF!,0)</f>
        <v>#REF!</v>
      </c>
    </row>
    <row r="1160" spans="1:17" s="97" customFormat="1" x14ac:dyDescent="0.25">
      <c r="A1160" s="61" t="s">
        <v>1921</v>
      </c>
      <c r="B1160" s="62" t="s">
        <v>337</v>
      </c>
      <c r="C1160" s="63" t="s">
        <v>1919</v>
      </c>
      <c r="D1160" s="79" t="s">
        <v>1177</v>
      </c>
      <c r="E1160" s="63" t="s">
        <v>679</v>
      </c>
      <c r="F1160" s="63" t="s">
        <v>1920</v>
      </c>
      <c r="G1160" s="79" t="s">
        <v>170</v>
      </c>
      <c r="H1160" s="79" t="s">
        <v>656</v>
      </c>
      <c r="I1160" s="63"/>
      <c r="J1160" s="64" t="s">
        <v>708</v>
      </c>
      <c r="K1160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0" s="120">
        <f>ROUND(Tableau17[[#This Row],[LEN]]*7.27,0)</f>
        <v>225</v>
      </c>
      <c r="M1160" s="120">
        <v>15</v>
      </c>
      <c r="N1160" s="137" t="str">
        <f t="shared" si="7"/>
        <v>none</v>
      </c>
      <c r="O1160" s="120">
        <f>LEN(Tableau17[[#This Row],[LABEL]])</f>
        <v>31</v>
      </c>
      <c r="P1160" s="120">
        <v>15</v>
      </c>
      <c r="Q1160" s="120" t="e">
        <f>ROUND(Tableau17[[#This Row],[LEN]]*#REF!+#REF!,0)</f>
        <v>#REF!</v>
      </c>
    </row>
    <row r="1161" spans="1:17" s="97" customFormat="1" x14ac:dyDescent="0.25">
      <c r="A1161" s="61" t="s">
        <v>1922</v>
      </c>
      <c r="B1161" s="62" t="s">
        <v>337</v>
      </c>
      <c r="C1161" s="63" t="s">
        <v>602</v>
      </c>
      <c r="D1161" s="79" t="s">
        <v>1177</v>
      </c>
      <c r="E1161" s="63" t="s">
        <v>661</v>
      </c>
      <c r="F1161" s="63" t="s">
        <v>1874</v>
      </c>
      <c r="G1161" s="79" t="s">
        <v>170</v>
      </c>
      <c r="H1161" s="79" t="s">
        <v>656</v>
      </c>
      <c r="I1161" s="63"/>
      <c r="J1161" s="64" t="s">
        <v>708</v>
      </c>
      <c r="K1161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1" s="120">
        <f>ROUND(Tableau17[[#This Row],[LEN]]*7.27,0)</f>
        <v>553</v>
      </c>
      <c r="M1161" s="120">
        <v>15</v>
      </c>
      <c r="N1161" s="137" t="str">
        <f t="shared" si="7"/>
        <v>none</v>
      </c>
      <c r="O1161" s="120">
        <f>LEN(Tableau17[[#This Row],[LABEL]])</f>
        <v>76</v>
      </c>
      <c r="P1161" s="120">
        <v>15</v>
      </c>
      <c r="Q1161" s="120" t="e">
        <f>ROUND(Tableau17[[#This Row],[LEN]]*#REF!+#REF!,0)</f>
        <v>#REF!</v>
      </c>
    </row>
    <row r="1162" spans="1:17" s="97" customFormat="1" x14ac:dyDescent="0.25">
      <c r="A1162" s="61" t="s">
        <v>1923</v>
      </c>
      <c r="B1162" s="62" t="s">
        <v>337</v>
      </c>
      <c r="C1162" s="63" t="s">
        <v>50</v>
      </c>
      <c r="D1162" s="79" t="s">
        <v>1177</v>
      </c>
      <c r="E1162" s="63" t="s">
        <v>1177</v>
      </c>
      <c r="F1162" s="63" t="s">
        <v>1084</v>
      </c>
      <c r="G1162" s="79" t="s">
        <v>1978</v>
      </c>
      <c r="H1162" s="79" t="s">
        <v>1131</v>
      </c>
      <c r="I1162" s="63"/>
      <c r="J1162" s="64" t="s">
        <v>708</v>
      </c>
      <c r="K1162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2" s="120">
        <f>ROUND(Tableau17[[#This Row],[LEN]]*7.27,0)</f>
        <v>87</v>
      </c>
      <c r="M1162" s="120">
        <v>15</v>
      </c>
      <c r="N1162" s="137" t="str">
        <f t="shared" si="7"/>
        <v>none</v>
      </c>
      <c r="O1162" s="120">
        <f>LEN(Tableau17[[#This Row],[LABEL]])</f>
        <v>12</v>
      </c>
      <c r="P1162" s="120">
        <v>15</v>
      </c>
      <c r="Q1162" s="120" t="e">
        <f>ROUND(Tableau17[[#This Row],[LEN]]*#REF!+#REF!,0)</f>
        <v>#REF!</v>
      </c>
    </row>
    <row r="1163" spans="1:17" s="97" customFormat="1" x14ac:dyDescent="0.25">
      <c r="A1163" s="61" t="s">
        <v>1924</v>
      </c>
      <c r="B1163" s="62" t="s">
        <v>337</v>
      </c>
      <c r="C1163" s="63" t="s">
        <v>603</v>
      </c>
      <c r="D1163" s="79" t="s">
        <v>1177</v>
      </c>
      <c r="E1163" s="63" t="s">
        <v>1177</v>
      </c>
      <c r="F1163" s="63" t="s">
        <v>1084</v>
      </c>
      <c r="G1163" s="79" t="s">
        <v>1977</v>
      </c>
      <c r="H1163" s="79" t="s">
        <v>1131</v>
      </c>
      <c r="I1163" s="63"/>
      <c r="J1163" s="64" t="s">
        <v>708</v>
      </c>
      <c r="K1163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3" s="120">
        <f>ROUND(Tableau17[[#This Row],[LEN]]*7.27,0)</f>
        <v>247</v>
      </c>
      <c r="M1163" s="120">
        <v>15</v>
      </c>
      <c r="N1163" s="137" t="str">
        <f t="shared" si="7"/>
        <v>none</v>
      </c>
      <c r="O1163" s="120">
        <f>LEN(Tableau17[[#This Row],[LABEL]])</f>
        <v>34</v>
      </c>
      <c r="P1163" s="120">
        <v>15</v>
      </c>
      <c r="Q1163" s="120" t="e">
        <f>ROUND(Tableau17[[#This Row],[LEN]]*#REF!+#REF!,0)</f>
        <v>#REF!</v>
      </c>
    </row>
    <row r="1164" spans="1:17" s="273" customFormat="1" x14ac:dyDescent="0.25">
      <c r="A1164" s="379" t="s">
        <v>2049</v>
      </c>
      <c r="B1164" s="380" t="s">
        <v>210</v>
      </c>
      <c r="C1164" s="381" t="s">
        <v>1950</v>
      </c>
      <c r="D1164" s="382" t="s">
        <v>1177</v>
      </c>
      <c r="E1164" s="381" t="s">
        <v>1951</v>
      </c>
      <c r="F1164" s="381" t="s">
        <v>1177</v>
      </c>
      <c r="G1164" s="382" t="s">
        <v>170</v>
      </c>
      <c r="H1164" s="382" t="s">
        <v>56</v>
      </c>
      <c r="I1164" s="381"/>
      <c r="J1164" s="383" t="s">
        <v>708</v>
      </c>
      <c r="K1164" s="383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64" s="384">
        <f>ROUND(Tableau17[[#This Row],[LEN]]*7.27,0)</f>
        <v>51</v>
      </c>
      <c r="M1164" s="384">
        <v>15</v>
      </c>
      <c r="N1164" s="385" t="str">
        <f t="shared" si="7"/>
        <v>none</v>
      </c>
      <c r="O1164" s="384">
        <f>LEN(Tableau17[[#This Row],[LABEL]])</f>
        <v>7</v>
      </c>
      <c r="P1164" s="384">
        <v>15</v>
      </c>
      <c r="Q1164" s="384" t="e">
        <f>ROUND(Tableau17[[#This Row],[LEN]]*#REF!+#REF!,0)</f>
        <v>#REF!</v>
      </c>
    </row>
    <row r="1165" spans="1:17" s="97" customFormat="1" x14ac:dyDescent="0.25">
      <c r="A1165" s="61" t="s">
        <v>2050</v>
      </c>
      <c r="B1165" s="62" t="s">
        <v>2049</v>
      </c>
      <c r="C1165" s="63" t="s">
        <v>2055</v>
      </c>
      <c r="D1165" s="79" t="s">
        <v>1177</v>
      </c>
      <c r="E1165" s="63" t="s">
        <v>1951</v>
      </c>
      <c r="F1165" s="63" t="s">
        <v>1177</v>
      </c>
      <c r="G1165" s="79" t="s">
        <v>170</v>
      </c>
      <c r="H1165" s="79" t="s">
        <v>654</v>
      </c>
      <c r="I1165" s="63"/>
      <c r="J1165" s="64" t="s">
        <v>708</v>
      </c>
      <c r="K1165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5" s="120">
        <f>ROUND(Tableau17[[#This Row],[LEN]]*7.27,0)</f>
        <v>502</v>
      </c>
      <c r="M1165" s="120">
        <v>15</v>
      </c>
      <c r="N1165" s="137" t="str">
        <f t="shared" si="7"/>
        <v>none</v>
      </c>
      <c r="O1165" s="120">
        <f>LEN(Tableau17[[#This Row],[LABEL]])</f>
        <v>69</v>
      </c>
      <c r="P1165" s="120">
        <v>15</v>
      </c>
      <c r="Q1165" s="120" t="e">
        <f>ROUND(Tableau17[[#This Row],[LEN]]*#REF!+#REF!,0)</f>
        <v>#REF!</v>
      </c>
    </row>
    <row r="1166" spans="1:17" s="97" customFormat="1" x14ac:dyDescent="0.25">
      <c r="A1166" s="61" t="s">
        <v>2051</v>
      </c>
      <c r="B1166" s="62" t="s">
        <v>2049</v>
      </c>
      <c r="C1166" s="63" t="s">
        <v>2056</v>
      </c>
      <c r="D1166" s="79" t="s">
        <v>1177</v>
      </c>
      <c r="E1166" s="63" t="s">
        <v>1951</v>
      </c>
      <c r="F1166" s="63" t="s">
        <v>1177</v>
      </c>
      <c r="G1166" s="79" t="s">
        <v>170</v>
      </c>
      <c r="H1166" s="79" t="s">
        <v>654</v>
      </c>
      <c r="I1166" s="63"/>
      <c r="J1166" s="64" t="s">
        <v>708</v>
      </c>
      <c r="K1166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6" s="120">
        <f>ROUND(Tableau17[[#This Row],[LEN]]*7.27,0)</f>
        <v>582</v>
      </c>
      <c r="M1166" s="120">
        <v>15</v>
      </c>
      <c r="N1166" s="137" t="str">
        <f t="shared" si="7"/>
        <v>none</v>
      </c>
      <c r="O1166" s="120">
        <f>LEN(Tableau17[[#This Row],[LABEL]])</f>
        <v>80</v>
      </c>
      <c r="P1166" s="120">
        <v>15</v>
      </c>
      <c r="Q1166" s="120" t="e">
        <f>ROUND(Tableau17[[#This Row],[LEN]]*#REF!+#REF!,0)</f>
        <v>#REF!</v>
      </c>
    </row>
    <row r="1167" spans="1:17" s="97" customFormat="1" x14ac:dyDescent="0.25">
      <c r="A1167" s="61" t="s">
        <v>2052</v>
      </c>
      <c r="B1167" s="62" t="s">
        <v>2049</v>
      </c>
      <c r="C1167" s="63" t="s">
        <v>2057</v>
      </c>
      <c r="D1167" s="79" t="s">
        <v>1177</v>
      </c>
      <c r="E1167" s="63" t="s">
        <v>1951</v>
      </c>
      <c r="F1167" s="63" t="s">
        <v>1177</v>
      </c>
      <c r="G1167" s="79" t="s">
        <v>170</v>
      </c>
      <c r="H1167" s="79" t="s">
        <v>654</v>
      </c>
      <c r="I1167" s="63"/>
      <c r="J1167" s="64" t="s">
        <v>708</v>
      </c>
      <c r="K1167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7" s="120">
        <f>ROUND(Tableau17[[#This Row],[LEN]]*7.27,0)</f>
        <v>254</v>
      </c>
      <c r="M1167" s="120">
        <v>15</v>
      </c>
      <c r="N1167" s="137" t="str">
        <f t="shared" si="7"/>
        <v>none</v>
      </c>
      <c r="O1167" s="120">
        <f>LEN(Tableau17[[#This Row],[LABEL]])</f>
        <v>35</v>
      </c>
      <c r="P1167" s="120">
        <v>15</v>
      </c>
      <c r="Q1167" s="120" t="e">
        <f>ROUND(Tableau17[[#This Row],[LEN]]*#REF!+#REF!,0)</f>
        <v>#REF!</v>
      </c>
    </row>
    <row r="1168" spans="1:17" s="97" customFormat="1" x14ac:dyDescent="0.25">
      <c r="A1168" s="61" t="s">
        <v>2053</v>
      </c>
      <c r="B1168" s="62" t="s">
        <v>2049</v>
      </c>
      <c r="C1168" s="63" t="s">
        <v>2058</v>
      </c>
      <c r="D1168" s="79" t="s">
        <v>1177</v>
      </c>
      <c r="E1168" s="63" t="s">
        <v>1951</v>
      </c>
      <c r="F1168" s="63" t="s">
        <v>1177</v>
      </c>
      <c r="G1168" s="79" t="s">
        <v>170</v>
      </c>
      <c r="H1168" s="79" t="s">
        <v>654</v>
      </c>
      <c r="I1168" s="63"/>
      <c r="J1168" s="64" t="s">
        <v>708</v>
      </c>
      <c r="K1168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8" s="120">
        <f>ROUND(Tableau17[[#This Row],[LEN]]*7.27,0)</f>
        <v>189</v>
      </c>
      <c r="M1168" s="120">
        <v>15</v>
      </c>
      <c r="N1168" s="137" t="str">
        <f t="shared" si="7"/>
        <v>none</v>
      </c>
      <c r="O1168" s="120">
        <f>LEN(Tableau17[[#This Row],[LABEL]])</f>
        <v>26</v>
      </c>
      <c r="P1168" s="120">
        <v>15</v>
      </c>
      <c r="Q1168" s="120" t="e">
        <f>ROUND(Tableau17[[#This Row],[LEN]]*#REF!+#REF!,0)</f>
        <v>#REF!</v>
      </c>
    </row>
    <row r="1169" spans="1:17" s="97" customFormat="1" ht="15.75" thickBot="1" x14ac:dyDescent="0.3">
      <c r="A1169" s="61" t="s">
        <v>2054</v>
      </c>
      <c r="B1169" s="62" t="s">
        <v>2049</v>
      </c>
      <c r="C1169" s="63" t="s">
        <v>603</v>
      </c>
      <c r="D1169" s="79" t="s">
        <v>1177</v>
      </c>
      <c r="E1169" s="63" t="s">
        <v>1177</v>
      </c>
      <c r="F1169" s="63" t="s">
        <v>1084</v>
      </c>
      <c r="G1169" s="79" t="s">
        <v>1977</v>
      </c>
      <c r="H1169" s="79" t="s">
        <v>1131</v>
      </c>
      <c r="I1169" s="63"/>
      <c r="J1169" s="64" t="s">
        <v>708</v>
      </c>
      <c r="K1169" s="64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69" s="120">
        <f>ROUND(Tableau17[[#This Row],[LEN]]*7.27,0)</f>
        <v>247</v>
      </c>
      <c r="M1169" s="120">
        <v>15</v>
      </c>
      <c r="N1169" s="137" t="str">
        <f t="shared" si="7"/>
        <v>none</v>
      </c>
      <c r="O1169" s="120">
        <f>LEN(Tableau17[[#This Row],[LABEL]])</f>
        <v>34</v>
      </c>
      <c r="P1169" s="120">
        <v>15</v>
      </c>
      <c r="Q1169" s="120" t="e">
        <f>ROUND(Tableau17[[#This Row],[LEN]]*#REF!+#REF!,0)</f>
        <v>#REF!</v>
      </c>
    </row>
    <row r="1170" spans="1:17" s="92" customFormat="1" ht="16.5" thickTop="1" thickBot="1" x14ac:dyDescent="0.3">
      <c r="A1170" s="205" t="s">
        <v>211</v>
      </c>
      <c r="B1170" s="205" t="s">
        <v>203</v>
      </c>
      <c r="C1170" s="206" t="s">
        <v>179</v>
      </c>
      <c r="D1170" s="207" t="s">
        <v>475</v>
      </c>
      <c r="E1170" s="206" t="s">
        <v>1177</v>
      </c>
      <c r="F1170" s="207" t="s">
        <v>1177</v>
      </c>
      <c r="G1170" s="206" t="s">
        <v>171</v>
      </c>
      <c r="H1170" s="206" t="s">
        <v>616</v>
      </c>
      <c r="I1170" s="207"/>
      <c r="J1170" s="208" t="s">
        <v>708</v>
      </c>
      <c r="K1170" s="208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0" s="209">
        <f>ROUND(Tableau17[[#This Row],[LEN]]*7.27,0)</f>
        <v>116</v>
      </c>
      <c r="M1170" s="209">
        <v>15</v>
      </c>
      <c r="N1170" s="210" t="str">
        <f t="shared" si="7"/>
        <v>none</v>
      </c>
      <c r="O1170" s="209">
        <f>LEN(Tableau17[[#This Row],[LABEL]])</f>
        <v>16</v>
      </c>
      <c r="P1170" s="211">
        <v>15</v>
      </c>
      <c r="Q1170" s="211" t="e">
        <f>ROUND(Tableau17[[#This Row],[LEN]]*#REF!+#REF!,0)</f>
        <v>#REF!</v>
      </c>
    </row>
    <row r="1171" spans="1:17" s="92" customFormat="1" ht="15.75" thickTop="1" x14ac:dyDescent="0.25">
      <c r="A1171" s="394" t="s">
        <v>339</v>
      </c>
      <c r="B1171" s="395" t="s">
        <v>211</v>
      </c>
      <c r="C1171" s="396" t="s">
        <v>57</v>
      </c>
      <c r="D1171" s="397" t="s">
        <v>1177</v>
      </c>
      <c r="E1171" s="398" t="s">
        <v>663</v>
      </c>
      <c r="F1171" s="396" t="s">
        <v>1177</v>
      </c>
      <c r="G1171" s="397" t="s">
        <v>171</v>
      </c>
      <c r="H1171" s="397" t="str">
        <f>IFERROR(IF(SEARCH(".00.00.00.00.00",Tableau17[[#This Row],[name]],1)=7,"Division",""),"")</f>
        <v>Division</v>
      </c>
      <c r="I1171" s="396"/>
      <c r="J1171" s="399" t="s">
        <v>708</v>
      </c>
      <c r="K1171" s="39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1" s="400">
        <f>ROUND(Tableau17[[#This Row],[LEN]]*7.27,0)</f>
        <v>102</v>
      </c>
      <c r="M1171" s="400">
        <v>15</v>
      </c>
      <c r="N1171" s="401" t="str">
        <f t="shared" si="7"/>
        <v>none</v>
      </c>
      <c r="O1171" s="400">
        <f>LEN(Tableau17[[#This Row],[LABEL]])</f>
        <v>14</v>
      </c>
      <c r="P1171" s="400">
        <v>15</v>
      </c>
      <c r="Q1171" s="400" t="e">
        <f>ROUND(Tableau17[[#This Row],[LEN]]*#REF!+#REF!,0)</f>
        <v>#REF!</v>
      </c>
    </row>
    <row r="1172" spans="1:17" x14ac:dyDescent="0.25">
      <c r="A1172" s="98" t="s">
        <v>913</v>
      </c>
      <c r="B1172" s="99" t="s">
        <v>339</v>
      </c>
      <c r="C1172" s="100" t="s">
        <v>914</v>
      </c>
      <c r="D1172" s="80" t="s">
        <v>1177</v>
      </c>
      <c r="E1172" s="82" t="s">
        <v>663</v>
      </c>
      <c r="F1172" s="100" t="s">
        <v>1177</v>
      </c>
      <c r="G1172" s="80" t="s">
        <v>171</v>
      </c>
      <c r="H1172" s="80" t="s">
        <v>56</v>
      </c>
      <c r="I1172" s="100"/>
      <c r="J1172" s="101" t="s">
        <v>708</v>
      </c>
      <c r="K1172" s="101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2" s="121">
        <f>ROUND(Tableau17[[#This Row],[LEN]]*7.27,0)</f>
        <v>313</v>
      </c>
      <c r="M1172" s="121">
        <v>15</v>
      </c>
      <c r="N1172" s="138" t="str">
        <f t="shared" si="7"/>
        <v>none</v>
      </c>
      <c r="O1172" s="121">
        <f>LEN(Tableau17[[#This Row],[LABEL]])</f>
        <v>43</v>
      </c>
      <c r="P1172" s="121">
        <v>15</v>
      </c>
      <c r="Q1172" s="121" t="e">
        <f>ROUND(Tableau17[[#This Row],[LEN]]*#REF!+#REF!,0)</f>
        <v>#REF!</v>
      </c>
    </row>
    <row r="1173" spans="1:17" s="92" customFormat="1" x14ac:dyDescent="0.25">
      <c r="A1173" s="394" t="s">
        <v>345</v>
      </c>
      <c r="B1173" s="395" t="s">
        <v>211</v>
      </c>
      <c r="C1173" s="396" t="s">
        <v>6</v>
      </c>
      <c r="D1173" s="397" t="s">
        <v>1177</v>
      </c>
      <c r="E1173" s="398" t="s">
        <v>669</v>
      </c>
      <c r="F1173" s="396" t="s">
        <v>1177</v>
      </c>
      <c r="G1173" s="397" t="s">
        <v>171</v>
      </c>
      <c r="H1173" s="397" t="str">
        <f>IFERROR(IF(SEARCH(".00.00.00.00.00",Tableau17[[#This Row],[name]],1)=7,"Division",""),"")</f>
        <v>Division</v>
      </c>
      <c r="I1173" s="396"/>
      <c r="J1173" s="399" t="s">
        <v>708</v>
      </c>
      <c r="K1173" s="39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3" s="400">
        <f>ROUND(Tableau17[[#This Row],[LEN]]*7.27,0)</f>
        <v>196</v>
      </c>
      <c r="M1173" s="400">
        <v>15</v>
      </c>
      <c r="N1173" s="401" t="str">
        <f t="shared" si="7"/>
        <v>none</v>
      </c>
      <c r="O1173" s="400">
        <f>LEN(Tableau17[[#This Row],[LABEL]])</f>
        <v>27</v>
      </c>
      <c r="P1173" s="400">
        <v>15</v>
      </c>
      <c r="Q1173" s="400" t="e">
        <f>ROUND(Tableau17[[#This Row],[LEN]]*#REF!+#REF!,0)</f>
        <v>#REF!</v>
      </c>
    </row>
    <row r="1174" spans="1:17" x14ac:dyDescent="0.25">
      <c r="A1174" s="98" t="s">
        <v>1925</v>
      </c>
      <c r="B1174" s="99" t="s">
        <v>345</v>
      </c>
      <c r="C1174" s="100" t="s">
        <v>1930</v>
      </c>
      <c r="D1174" s="80" t="s">
        <v>1177</v>
      </c>
      <c r="E1174" s="82" t="s">
        <v>669</v>
      </c>
      <c r="F1174" s="100" t="s">
        <v>1177</v>
      </c>
      <c r="G1174" s="80" t="s">
        <v>171</v>
      </c>
      <c r="H1174" s="80" t="s">
        <v>656</v>
      </c>
      <c r="I1174" s="100"/>
      <c r="J1174" s="101" t="s">
        <v>708</v>
      </c>
      <c r="K1174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4" s="121">
        <f>ROUND(Tableau17[[#This Row],[LEN]]*7.27,0)</f>
        <v>436</v>
      </c>
      <c r="M1174" s="121">
        <v>15</v>
      </c>
      <c r="N1174" s="138" t="str">
        <f t="shared" si="7"/>
        <v>none</v>
      </c>
      <c r="O1174" s="121">
        <f>LEN(Tableau17[[#This Row],[LABEL]])</f>
        <v>60</v>
      </c>
      <c r="P1174" s="121">
        <v>15</v>
      </c>
      <c r="Q1174" s="121" t="e">
        <f>ROUND(Tableau17[[#This Row],[LEN]]*#REF!+#REF!,0)</f>
        <v>#REF!</v>
      </c>
    </row>
    <row r="1175" spans="1:17" x14ac:dyDescent="0.25">
      <c r="A1175" s="98" t="s">
        <v>1928</v>
      </c>
      <c r="B1175" s="99" t="s">
        <v>1926</v>
      </c>
      <c r="C1175" s="100" t="s">
        <v>1931</v>
      </c>
      <c r="D1175" s="80" t="s">
        <v>1177</v>
      </c>
      <c r="E1175" s="82" t="s">
        <v>669</v>
      </c>
      <c r="F1175" s="100" t="s">
        <v>1177</v>
      </c>
      <c r="G1175" s="80" t="s">
        <v>171</v>
      </c>
      <c r="H1175" s="80" t="s">
        <v>656</v>
      </c>
      <c r="I1175" s="100"/>
      <c r="J1175" s="101" t="s">
        <v>708</v>
      </c>
      <c r="K1175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5" s="121">
        <f>ROUND(Tableau17[[#This Row],[LEN]]*7.27,0)</f>
        <v>211</v>
      </c>
      <c r="M1175" s="121">
        <v>15</v>
      </c>
      <c r="N1175" s="138" t="str">
        <f t="shared" si="7"/>
        <v>none</v>
      </c>
      <c r="O1175" s="121">
        <f>LEN(Tableau17[[#This Row],[LABEL]])</f>
        <v>29</v>
      </c>
      <c r="P1175" s="121">
        <v>15</v>
      </c>
      <c r="Q1175" s="121" t="e">
        <f>ROUND(Tableau17[[#This Row],[LEN]]*#REF!+#REF!,0)</f>
        <v>#REF!</v>
      </c>
    </row>
    <row r="1176" spans="1:17" x14ac:dyDescent="0.25">
      <c r="A1176" s="98" t="s">
        <v>1929</v>
      </c>
      <c r="B1176" s="99" t="s">
        <v>1927</v>
      </c>
      <c r="C1176" s="100" t="s">
        <v>1932</v>
      </c>
      <c r="D1176" s="80" t="s">
        <v>1177</v>
      </c>
      <c r="E1176" s="82" t="s">
        <v>669</v>
      </c>
      <c r="F1176" s="100" t="s">
        <v>1177</v>
      </c>
      <c r="G1176" s="80" t="s">
        <v>171</v>
      </c>
      <c r="H1176" s="80" t="s">
        <v>656</v>
      </c>
      <c r="I1176" s="100"/>
      <c r="J1176" s="101" t="s">
        <v>708</v>
      </c>
      <c r="K1176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6" s="121">
        <f>ROUND(Tableau17[[#This Row],[LEN]]*7.27,0)</f>
        <v>124</v>
      </c>
      <c r="M1176" s="121">
        <v>15</v>
      </c>
      <c r="N1176" s="138" t="str">
        <f t="shared" si="7"/>
        <v>none</v>
      </c>
      <c r="O1176" s="121">
        <f>LEN(Tableau17[[#This Row],[LABEL]])</f>
        <v>17</v>
      </c>
      <c r="P1176" s="121">
        <v>15</v>
      </c>
      <c r="Q1176" s="121" t="e">
        <f>ROUND(Tableau17[[#This Row],[LEN]]*#REF!+#REF!,0)</f>
        <v>#REF!</v>
      </c>
    </row>
    <row r="1177" spans="1:17" s="92" customFormat="1" x14ac:dyDescent="0.25">
      <c r="A1177" s="394" t="s">
        <v>346</v>
      </c>
      <c r="B1177" s="395" t="s">
        <v>211</v>
      </c>
      <c r="C1177" s="396" t="s">
        <v>7</v>
      </c>
      <c r="D1177" s="397" t="s">
        <v>1177</v>
      </c>
      <c r="E1177" s="398" t="s">
        <v>670</v>
      </c>
      <c r="F1177" s="396" t="s">
        <v>1177</v>
      </c>
      <c r="G1177" s="397" t="s">
        <v>171</v>
      </c>
      <c r="H1177" s="397" t="str">
        <f>IFERROR(IF(SEARCH(".00.00.00.00.00",Tableau17[[#This Row],[name]],1)=7,"Division",""),"")</f>
        <v>Division</v>
      </c>
      <c r="I1177" s="396"/>
      <c r="J1177" s="399" t="s">
        <v>708</v>
      </c>
      <c r="K1177" s="39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7" s="400">
        <f>ROUND(Tableau17[[#This Row],[LEN]]*7.27,0)</f>
        <v>189</v>
      </c>
      <c r="M1177" s="400">
        <v>15</v>
      </c>
      <c r="N1177" s="401" t="str">
        <f t="shared" si="7"/>
        <v>none</v>
      </c>
      <c r="O1177" s="400">
        <f>LEN(Tableau17[[#This Row],[LABEL]])</f>
        <v>26</v>
      </c>
      <c r="P1177" s="400">
        <v>15</v>
      </c>
      <c r="Q1177" s="400" t="e">
        <f>ROUND(Tableau17[[#This Row],[LEN]]*#REF!+#REF!,0)</f>
        <v>#REF!</v>
      </c>
    </row>
    <row r="1178" spans="1:17" x14ac:dyDescent="0.25">
      <c r="A1178" s="98" t="s">
        <v>1933</v>
      </c>
      <c r="B1178" s="99" t="s">
        <v>346</v>
      </c>
      <c r="C1178" s="100" t="s">
        <v>1934</v>
      </c>
      <c r="D1178" s="80" t="s">
        <v>1177</v>
      </c>
      <c r="E1178" s="82" t="s">
        <v>670</v>
      </c>
      <c r="F1178" s="100" t="s">
        <v>1177</v>
      </c>
      <c r="G1178" s="80" t="s">
        <v>171</v>
      </c>
      <c r="H1178" s="80" t="s">
        <v>656</v>
      </c>
      <c r="I1178" s="100"/>
      <c r="J1178" s="101" t="s">
        <v>708</v>
      </c>
      <c r="K1178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78" s="121">
        <f>ROUND(Tableau17[[#This Row],[LEN]]*7.27,0)</f>
        <v>138</v>
      </c>
      <c r="M1178" s="121">
        <v>15</v>
      </c>
      <c r="N1178" s="138" t="str">
        <f t="shared" si="7"/>
        <v>none</v>
      </c>
      <c r="O1178" s="121">
        <f>LEN(Tableau17[[#This Row],[LABEL]])</f>
        <v>19</v>
      </c>
      <c r="P1178" s="121">
        <v>15</v>
      </c>
      <c r="Q1178" s="121" t="e">
        <f>ROUND(Tableau17[[#This Row],[LEN]]*#REF!+#REF!,0)</f>
        <v>#REF!</v>
      </c>
    </row>
    <row r="1179" spans="1:17" s="92" customFormat="1" x14ac:dyDescent="0.25">
      <c r="A1179" s="394" t="s">
        <v>348</v>
      </c>
      <c r="B1179" s="395" t="s">
        <v>211</v>
      </c>
      <c r="C1179" s="396" t="s">
        <v>9</v>
      </c>
      <c r="D1179" s="397" t="s">
        <v>1177</v>
      </c>
      <c r="E1179" s="398" t="s">
        <v>672</v>
      </c>
      <c r="F1179" s="396" t="s">
        <v>1177</v>
      </c>
      <c r="G1179" s="397" t="s">
        <v>171</v>
      </c>
      <c r="H1179" s="397" t="str">
        <f>IFERROR(IF(SEARCH(".00.00.00.00.00",Tableau17[[#This Row],[name]],1)=7,"Division",""),"")</f>
        <v>Division</v>
      </c>
      <c r="I1179" s="396"/>
      <c r="J1179" s="399" t="s">
        <v>718</v>
      </c>
      <c r="K1179" s="39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79" s="400">
        <f>ROUND(Tableau17[[#This Row],[LEN]]*7.27,0)</f>
        <v>80</v>
      </c>
      <c r="M1179" s="400">
        <v>15</v>
      </c>
      <c r="N1179" s="401" t="str">
        <f t="shared" si="7"/>
        <v>new</v>
      </c>
      <c r="O1179" s="400">
        <f>LEN(Tableau17[[#This Row],[LABEL]])</f>
        <v>11</v>
      </c>
      <c r="P1179" s="400">
        <v>15</v>
      </c>
      <c r="Q1179" s="400" t="e">
        <f>ROUND(Tableau17[[#This Row],[LEN]]*#REF!+#REF!,0)</f>
        <v>#REF!</v>
      </c>
    </row>
    <row r="1180" spans="1:17" x14ac:dyDescent="0.25">
      <c r="A1180" s="98" t="s">
        <v>609</v>
      </c>
      <c r="B1180" s="99" t="s">
        <v>348</v>
      </c>
      <c r="C1180" s="100" t="s">
        <v>611</v>
      </c>
      <c r="D1180" s="80" t="s">
        <v>1177</v>
      </c>
      <c r="E1180" s="82" t="s">
        <v>672</v>
      </c>
      <c r="F1180" s="100" t="s">
        <v>1177</v>
      </c>
      <c r="G1180" s="80" t="s">
        <v>171</v>
      </c>
      <c r="H1180" s="80" t="s">
        <v>656</v>
      </c>
      <c r="I1180" s="100"/>
      <c r="J1180" s="101" t="s">
        <v>708</v>
      </c>
      <c r="K1180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0" s="121">
        <f>ROUND(Tableau17[[#This Row],[LEN]]*7.27,0)</f>
        <v>233</v>
      </c>
      <c r="M1180" s="121">
        <v>15</v>
      </c>
      <c r="N1180" s="138" t="str">
        <f t="shared" si="7"/>
        <v>none</v>
      </c>
      <c r="O1180" s="121">
        <f>LEN(Tableau17[[#This Row],[LABEL]])</f>
        <v>32</v>
      </c>
      <c r="P1180" s="121">
        <v>15</v>
      </c>
      <c r="Q1180" s="121" t="e">
        <f>ROUND(Tableau17[[#This Row],[LEN]]*#REF!+#REF!,0)</f>
        <v>#REF!</v>
      </c>
    </row>
    <row r="1181" spans="1:17" x14ac:dyDescent="0.25">
      <c r="A1181" s="98" t="s">
        <v>610</v>
      </c>
      <c r="B1181" s="99" t="s">
        <v>348</v>
      </c>
      <c r="C1181" s="100" t="s">
        <v>612</v>
      </c>
      <c r="D1181" s="80" t="s">
        <v>1177</v>
      </c>
      <c r="E1181" s="82" t="s">
        <v>672</v>
      </c>
      <c r="F1181" s="100" t="s">
        <v>1177</v>
      </c>
      <c r="G1181" s="80" t="s">
        <v>171</v>
      </c>
      <c r="H1181" s="80" t="s">
        <v>656</v>
      </c>
      <c r="I1181" s="100"/>
      <c r="J1181" s="101" t="s">
        <v>708</v>
      </c>
      <c r="K1181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1" s="121">
        <f>ROUND(Tableau17[[#This Row],[LEN]]*7.27,0)</f>
        <v>182</v>
      </c>
      <c r="M1181" s="121">
        <v>15</v>
      </c>
      <c r="N1181" s="138" t="str">
        <f t="shared" si="7"/>
        <v>none</v>
      </c>
      <c r="O1181" s="121">
        <f>LEN(Tableau17[[#This Row],[LABEL]])</f>
        <v>25</v>
      </c>
      <c r="P1181" s="121">
        <v>15</v>
      </c>
      <c r="Q1181" s="121" t="e">
        <f>ROUND(Tableau17[[#This Row],[LEN]]*#REF!+#REF!,0)</f>
        <v>#REF!</v>
      </c>
    </row>
    <row r="1182" spans="1:17" x14ac:dyDescent="0.25">
      <c r="A1182" s="98" t="s">
        <v>613</v>
      </c>
      <c r="B1182" s="99" t="s">
        <v>348</v>
      </c>
      <c r="C1182" s="100" t="s">
        <v>614</v>
      </c>
      <c r="D1182" s="80" t="s">
        <v>1177</v>
      </c>
      <c r="E1182" s="82" t="s">
        <v>672</v>
      </c>
      <c r="F1182" s="100" t="s">
        <v>1177</v>
      </c>
      <c r="G1182" s="80" t="s">
        <v>171</v>
      </c>
      <c r="H1182" s="80" t="s">
        <v>654</v>
      </c>
      <c r="I1182" s="100"/>
      <c r="J1182" s="101" t="s">
        <v>708</v>
      </c>
      <c r="K1182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2" s="121">
        <f>ROUND(Tableau17[[#This Row],[LEN]]*7.27,0)</f>
        <v>153</v>
      </c>
      <c r="M1182" s="121">
        <v>15</v>
      </c>
      <c r="N1182" s="138" t="str">
        <f t="shared" si="7"/>
        <v>none</v>
      </c>
      <c r="O1182" s="121">
        <f>LEN(Tableau17[[#This Row],[LABEL]])</f>
        <v>21</v>
      </c>
      <c r="P1182" s="121">
        <v>15</v>
      </c>
      <c r="Q1182" s="121" t="e">
        <f>ROUND(Tableau17[[#This Row],[LEN]]*#REF!+#REF!,0)</f>
        <v>#REF!</v>
      </c>
    </row>
    <row r="1183" spans="1:17" s="92" customFormat="1" x14ac:dyDescent="0.25">
      <c r="A1183" s="394" t="s">
        <v>349</v>
      </c>
      <c r="B1183" s="395" t="s">
        <v>211</v>
      </c>
      <c r="C1183" s="396" t="s">
        <v>10</v>
      </c>
      <c r="D1183" s="397" t="s">
        <v>1177</v>
      </c>
      <c r="E1183" s="398" t="s">
        <v>673</v>
      </c>
      <c r="F1183" s="396" t="s">
        <v>1177</v>
      </c>
      <c r="G1183" s="397" t="s">
        <v>171</v>
      </c>
      <c r="H1183" s="397" t="str">
        <f>IFERROR(IF(SEARCH(".00.00.00.00.00",Tableau17[[#This Row],[name]],1)=7,"Division",""),"")</f>
        <v>Division</v>
      </c>
      <c r="I1183" s="396"/>
      <c r="J1183" s="399" t="s">
        <v>719</v>
      </c>
      <c r="K1183" s="39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3" s="400">
        <f>ROUND(Tableau17[[#This Row],[LEN]]*7.27,0)</f>
        <v>109</v>
      </c>
      <c r="M1183" s="400">
        <v>15</v>
      </c>
      <c r="N1183" s="401" t="str">
        <f t="shared" si="7"/>
        <v>new</v>
      </c>
      <c r="O1183" s="400">
        <f>LEN(Tableau17[[#This Row],[LABEL]])</f>
        <v>15</v>
      </c>
      <c r="P1183" s="400">
        <v>15</v>
      </c>
      <c r="Q1183" s="400" t="e">
        <f>ROUND(Tableau17[[#This Row],[LEN]]*#REF!+#REF!,0)</f>
        <v>#REF!</v>
      </c>
    </row>
    <row r="1184" spans="1:17" x14ac:dyDescent="0.25">
      <c r="A1184" s="98" t="s">
        <v>1935</v>
      </c>
      <c r="B1184" s="99" t="s">
        <v>349</v>
      </c>
      <c r="C1184" s="100" t="s">
        <v>1936</v>
      </c>
      <c r="D1184" s="80" t="s">
        <v>1177</v>
      </c>
      <c r="E1184" s="82" t="s">
        <v>673</v>
      </c>
      <c r="F1184" s="100" t="s">
        <v>1177</v>
      </c>
      <c r="G1184" s="80" t="s">
        <v>171</v>
      </c>
      <c r="H1184" s="80" t="s">
        <v>656</v>
      </c>
      <c r="I1184" s="100"/>
      <c r="J1184" s="101" t="s">
        <v>708</v>
      </c>
      <c r="K1184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4" s="121">
        <f>ROUND(Tableau17[[#This Row],[LEN]]*7.27,0)</f>
        <v>356</v>
      </c>
      <c r="M1184" s="121">
        <v>15</v>
      </c>
      <c r="N1184" s="138" t="str">
        <f t="shared" si="7"/>
        <v>none</v>
      </c>
      <c r="O1184" s="121">
        <f>LEN(Tableau17[[#This Row],[LABEL]])</f>
        <v>49</v>
      </c>
      <c r="P1184" s="121">
        <v>15</v>
      </c>
      <c r="Q1184" s="121" t="e">
        <f>ROUND(Tableau17[[#This Row],[LEN]]*#REF!+#REF!,0)</f>
        <v>#REF!</v>
      </c>
    </row>
    <row r="1185" spans="1:17" s="92" customFormat="1" x14ac:dyDescent="0.25">
      <c r="A1185" s="394" t="s">
        <v>351</v>
      </c>
      <c r="B1185" s="395" t="s">
        <v>211</v>
      </c>
      <c r="C1185" s="396" t="s">
        <v>12</v>
      </c>
      <c r="D1185" s="397" t="s">
        <v>1177</v>
      </c>
      <c r="E1185" s="398" t="s">
        <v>675</v>
      </c>
      <c r="F1185" s="396" t="s">
        <v>1177</v>
      </c>
      <c r="G1185" s="397" t="s">
        <v>171</v>
      </c>
      <c r="H1185" s="397" t="str">
        <f>IFERROR(IF(SEARCH(".00.00.00.00.00",Tableau17[[#This Row],[name]],1)=7,"Division",""),"")</f>
        <v>Division</v>
      </c>
      <c r="I1185" s="396"/>
      <c r="J1185" s="399" t="s">
        <v>721</v>
      </c>
      <c r="K1185" s="39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5" s="400">
        <f>ROUND(Tableau17[[#This Row],[LEN]]*7.27,0)</f>
        <v>15</v>
      </c>
      <c r="M1185" s="400">
        <v>15</v>
      </c>
      <c r="N1185" s="401" t="str">
        <f t="shared" si="7"/>
        <v>new</v>
      </c>
      <c r="O1185" s="400">
        <f>LEN(Tableau17[[#This Row],[LABEL]])</f>
        <v>2</v>
      </c>
      <c r="P1185" s="400">
        <v>15</v>
      </c>
      <c r="Q1185" s="400" t="e">
        <f>ROUND(Tableau17[[#This Row],[LEN]]*#REF!+#REF!,0)</f>
        <v>#REF!</v>
      </c>
    </row>
    <row r="1186" spans="1:17" x14ac:dyDescent="0.25">
      <c r="A1186" s="98" t="s">
        <v>1937</v>
      </c>
      <c r="B1186" s="99" t="s">
        <v>351</v>
      </c>
      <c r="C1186" s="100" t="s">
        <v>1938</v>
      </c>
      <c r="D1186" s="80" t="s">
        <v>1939</v>
      </c>
      <c r="E1186" s="82" t="s">
        <v>675</v>
      </c>
      <c r="F1186" s="100" t="s">
        <v>1177</v>
      </c>
      <c r="G1186" s="80" t="s">
        <v>171</v>
      </c>
      <c r="H1186" s="80" t="s">
        <v>656</v>
      </c>
      <c r="I1186" s="100"/>
      <c r="J1186" s="101" t="s">
        <v>708</v>
      </c>
      <c r="K1186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6" s="121">
        <f>ROUND(Tableau17[[#This Row],[LEN]]*7.27,0)</f>
        <v>269</v>
      </c>
      <c r="M1186" s="121">
        <v>15</v>
      </c>
      <c r="N1186" s="138" t="str">
        <f t="shared" si="7"/>
        <v>none</v>
      </c>
      <c r="O1186" s="121">
        <f>LEN(Tableau17[[#This Row],[LABEL]])</f>
        <v>37</v>
      </c>
      <c r="P1186" s="121">
        <v>15</v>
      </c>
      <c r="Q1186" s="121" t="e">
        <f>ROUND(Tableau17[[#This Row],[LEN]]*#REF!+#REF!,0)</f>
        <v>#REF!</v>
      </c>
    </row>
    <row r="1187" spans="1:17" s="92" customFormat="1" x14ac:dyDescent="0.25">
      <c r="A1187" s="394" t="s">
        <v>353</v>
      </c>
      <c r="B1187" s="395" t="s">
        <v>211</v>
      </c>
      <c r="C1187" s="396" t="s">
        <v>13</v>
      </c>
      <c r="D1187" s="397" t="s">
        <v>1177</v>
      </c>
      <c r="E1187" s="398" t="s">
        <v>677</v>
      </c>
      <c r="F1187" s="396" t="s">
        <v>1177</v>
      </c>
      <c r="G1187" s="397" t="s">
        <v>171</v>
      </c>
      <c r="H1187" s="397" t="str">
        <f>IFERROR(IF(SEARCH(".00.00.00.00.00",Tableau17[[#This Row],[name]],1)=7,"Division",""),"")</f>
        <v>Division</v>
      </c>
      <c r="I1187" s="396"/>
      <c r="J1187" s="399" t="s">
        <v>708</v>
      </c>
      <c r="K1187" s="39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7" s="400">
        <f>ROUND(Tableau17[[#This Row],[LEN]]*7.27,0)</f>
        <v>80</v>
      </c>
      <c r="M1187" s="400">
        <v>15</v>
      </c>
      <c r="N1187" s="401" t="str">
        <f t="shared" si="7"/>
        <v>none</v>
      </c>
      <c r="O1187" s="400">
        <f>LEN(Tableau17[[#This Row],[LABEL]])</f>
        <v>11</v>
      </c>
      <c r="P1187" s="400">
        <v>15</v>
      </c>
      <c r="Q1187" s="400" t="e">
        <f>ROUND(Tableau17[[#This Row],[LEN]]*#REF!+#REF!,0)</f>
        <v>#REF!</v>
      </c>
    </row>
    <row r="1188" spans="1:17" x14ac:dyDescent="0.25">
      <c r="A1188" s="98" t="s">
        <v>1940</v>
      </c>
      <c r="B1188" s="99" t="s">
        <v>353</v>
      </c>
      <c r="C1188" s="100" t="s">
        <v>1941</v>
      </c>
      <c r="D1188" s="80" t="s">
        <v>1177</v>
      </c>
      <c r="E1188" s="82" t="s">
        <v>677</v>
      </c>
      <c r="F1188" s="100" t="s">
        <v>1177</v>
      </c>
      <c r="G1188" s="80" t="s">
        <v>171</v>
      </c>
      <c r="H1188" s="80" t="s">
        <v>656</v>
      </c>
      <c r="I1188" s="100"/>
      <c r="J1188" s="101" t="s">
        <v>708</v>
      </c>
      <c r="K1188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88" s="121">
        <f>ROUND(Tableau17[[#This Row],[LEN]]*7.27,0)</f>
        <v>356</v>
      </c>
      <c r="M1188" s="121">
        <v>15</v>
      </c>
      <c r="N1188" s="138" t="str">
        <f t="shared" si="7"/>
        <v>none</v>
      </c>
      <c r="O1188" s="121">
        <f>LEN(Tableau17[[#This Row],[LABEL]])</f>
        <v>49</v>
      </c>
      <c r="P1188" s="121">
        <v>15</v>
      </c>
      <c r="Q1188" s="121" t="e">
        <f>ROUND(Tableau17[[#This Row],[LEN]]*#REF!+#REF!,0)</f>
        <v>#REF!</v>
      </c>
    </row>
    <row r="1189" spans="1:17" s="92" customFormat="1" x14ac:dyDescent="0.25">
      <c r="A1189" s="394" t="s">
        <v>354</v>
      </c>
      <c r="B1189" s="395" t="s">
        <v>211</v>
      </c>
      <c r="C1189" s="396" t="s">
        <v>14</v>
      </c>
      <c r="D1189" s="397" t="s">
        <v>1177</v>
      </c>
      <c r="E1189" s="398" t="s">
        <v>678</v>
      </c>
      <c r="F1189" s="396" t="s">
        <v>1177</v>
      </c>
      <c r="G1189" s="397" t="s">
        <v>171</v>
      </c>
      <c r="H1189" s="397" t="str">
        <f>IFERROR(IF(SEARCH(".00.00.00.00.00",Tableau17[[#This Row],[name]],1)=7,"Division",""),"")</f>
        <v>Division</v>
      </c>
      <c r="I1189" s="396"/>
      <c r="J1189" s="399" t="s">
        <v>724</v>
      </c>
      <c r="K1189" s="399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89" s="400">
        <f>ROUND(Tableau17[[#This Row],[LEN]]*7.27,0)</f>
        <v>240</v>
      </c>
      <c r="M1189" s="400">
        <v>15</v>
      </c>
      <c r="N1189" s="401" t="str">
        <f t="shared" si="7"/>
        <v>new</v>
      </c>
      <c r="O1189" s="400">
        <f>LEN(Tableau17[[#This Row],[LABEL]])</f>
        <v>33</v>
      </c>
      <c r="P1189" s="400">
        <v>15</v>
      </c>
      <c r="Q1189" s="400" t="e">
        <f>ROUND(Tableau17[[#This Row],[LEN]]*#REF!+#REF!,0)</f>
        <v>#REF!</v>
      </c>
    </row>
    <row r="1190" spans="1:17" x14ac:dyDescent="0.25">
      <c r="A1190" s="98" t="s">
        <v>1942</v>
      </c>
      <c r="B1190" s="99" t="s">
        <v>354</v>
      </c>
      <c r="C1190" s="100" t="s">
        <v>1943</v>
      </c>
      <c r="D1190" s="80" t="s">
        <v>1177</v>
      </c>
      <c r="E1190" s="82" t="s">
        <v>678</v>
      </c>
      <c r="F1190" s="100" t="s">
        <v>1177</v>
      </c>
      <c r="G1190" s="80" t="s">
        <v>171</v>
      </c>
      <c r="H1190" s="80" t="s">
        <v>656</v>
      </c>
      <c r="I1190" s="100"/>
      <c r="J1190" s="101" t="s">
        <v>708</v>
      </c>
      <c r="K1190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0" s="121">
        <f>ROUND(Tableau17[[#This Row],[LEN]]*7.27,0)</f>
        <v>196</v>
      </c>
      <c r="M1190" s="121">
        <v>15</v>
      </c>
      <c r="N1190" s="138" t="str">
        <f t="shared" si="7"/>
        <v>none</v>
      </c>
      <c r="O1190" s="121">
        <f>LEN(Tableau17[[#This Row],[LABEL]])</f>
        <v>27</v>
      </c>
      <c r="P1190" s="121">
        <v>15</v>
      </c>
      <c r="Q1190" s="121" t="e">
        <f>ROUND(Tableau17[[#This Row],[LEN]]*#REF!+#REF!,0)</f>
        <v>#REF!</v>
      </c>
    </row>
    <row r="1191" spans="1:17" s="92" customFormat="1" x14ac:dyDescent="0.25">
      <c r="A1191" s="402" t="s">
        <v>355</v>
      </c>
      <c r="B1191" s="403" t="s">
        <v>211</v>
      </c>
      <c r="C1191" s="404" t="s">
        <v>15</v>
      </c>
      <c r="D1191" s="405" t="s">
        <v>1177</v>
      </c>
      <c r="E1191" s="406" t="s">
        <v>679</v>
      </c>
      <c r="F1191" s="404" t="s">
        <v>1177</v>
      </c>
      <c r="G1191" s="405" t="s">
        <v>171</v>
      </c>
      <c r="H1191" s="405" t="str">
        <f>IFERROR(IF(SEARCH(".00.00.00.00.00",Tableau17[[#This Row],[name]],1)=7,"Division",""),"")</f>
        <v>Division</v>
      </c>
      <c r="I1191" s="404"/>
      <c r="J1191" s="407" t="s">
        <v>708</v>
      </c>
      <c r="K1191" s="407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91" s="408">
        <f>ROUND(Tableau17[[#This Row],[LEN]]*7.27,0)</f>
        <v>174</v>
      </c>
      <c r="M1191" s="408">
        <v>15</v>
      </c>
      <c r="N1191" s="409" t="str">
        <f t="shared" si="7"/>
        <v>none</v>
      </c>
      <c r="O1191" s="408">
        <f>LEN(Tableau17[[#This Row],[LABEL]])</f>
        <v>24</v>
      </c>
      <c r="P1191" s="408">
        <v>15</v>
      </c>
      <c r="Q1191" s="408" t="e">
        <f>ROUND(Tableau17[[#This Row],[LEN]]*#REF!+#REF!,0)</f>
        <v>#REF!</v>
      </c>
    </row>
    <row r="1192" spans="1:17" x14ac:dyDescent="0.25">
      <c r="A1192" s="98" t="s">
        <v>1944</v>
      </c>
      <c r="B1192" s="99" t="s">
        <v>355</v>
      </c>
      <c r="C1192" s="100" t="s">
        <v>1946</v>
      </c>
      <c r="D1192" s="80" t="s">
        <v>1177</v>
      </c>
      <c r="E1192" s="82" t="s">
        <v>679</v>
      </c>
      <c r="F1192" s="100" t="s">
        <v>1177</v>
      </c>
      <c r="G1192" s="80" t="s">
        <v>171</v>
      </c>
      <c r="H1192" s="80" t="s">
        <v>656</v>
      </c>
      <c r="I1192" s="100"/>
      <c r="J1192" s="101" t="s">
        <v>708</v>
      </c>
      <c r="K1192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2" s="121">
        <f>ROUND(Tableau17[[#This Row],[LEN]]*7.27,0)</f>
        <v>313</v>
      </c>
      <c r="M1192" s="121">
        <v>15</v>
      </c>
      <c r="N1192" s="138" t="str">
        <f t="shared" si="7"/>
        <v>none</v>
      </c>
      <c r="O1192" s="121">
        <f>LEN(Tableau17[[#This Row],[LABEL]])</f>
        <v>43</v>
      </c>
      <c r="P1192" s="121">
        <v>15</v>
      </c>
      <c r="Q1192" s="121" t="e">
        <f>ROUND(Tableau17[[#This Row],[LEN]]*#REF!+#REF!,0)</f>
        <v>#REF!</v>
      </c>
    </row>
    <row r="1193" spans="1:17" x14ac:dyDescent="0.25">
      <c r="A1193" s="98" t="s">
        <v>1945</v>
      </c>
      <c r="B1193" s="99" t="s">
        <v>355</v>
      </c>
      <c r="C1193" s="100" t="s">
        <v>1947</v>
      </c>
      <c r="D1193" s="80" t="s">
        <v>1948</v>
      </c>
      <c r="E1193" s="82" t="s">
        <v>679</v>
      </c>
      <c r="F1193" s="100" t="s">
        <v>1177</v>
      </c>
      <c r="G1193" s="80" t="s">
        <v>171</v>
      </c>
      <c r="H1193" s="80" t="s">
        <v>656</v>
      </c>
      <c r="I1193" s="100"/>
      <c r="J1193" s="101" t="s">
        <v>708</v>
      </c>
      <c r="K1193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3" s="121">
        <f>ROUND(Tableau17[[#This Row],[LEN]]*7.27,0)</f>
        <v>262</v>
      </c>
      <c r="M1193" s="121">
        <v>15</v>
      </c>
      <c r="N1193" s="138" t="str">
        <f t="shared" si="7"/>
        <v>none</v>
      </c>
      <c r="O1193" s="121">
        <f>LEN(Tableau17[[#This Row],[LABEL]])</f>
        <v>36</v>
      </c>
      <c r="P1193" s="121">
        <v>15</v>
      </c>
      <c r="Q1193" s="121" t="e">
        <f>ROUND(Tableau17[[#This Row],[LEN]]*#REF!+#REF!,0)</f>
        <v>#REF!</v>
      </c>
    </row>
    <row r="1194" spans="1:17" s="92" customFormat="1" x14ac:dyDescent="0.25">
      <c r="A1194" s="402" t="s">
        <v>2059</v>
      </c>
      <c r="B1194" s="403" t="s">
        <v>211</v>
      </c>
      <c r="C1194" s="404" t="s">
        <v>1950</v>
      </c>
      <c r="D1194" s="405" t="s">
        <v>1177</v>
      </c>
      <c r="E1194" s="406" t="s">
        <v>1951</v>
      </c>
      <c r="F1194" s="404" t="s">
        <v>1177</v>
      </c>
      <c r="G1194" s="405" t="s">
        <v>171</v>
      </c>
      <c r="H1194" s="405" t="str">
        <f>IFERROR(IF(SEARCH(".00.00.00.00.00",Tableau17[[#This Row],[name]],1)=7,"Division",""),"")</f>
        <v>Division</v>
      </c>
      <c r="I1194" s="404"/>
      <c r="J1194" s="407" t="s">
        <v>708</v>
      </c>
      <c r="K1194" s="407" t="str">
        <f>IF(Tableau17[[#This Row],[TYPE]]&lt;&gt; "Root",IF(Tableau17[[#This Row],[TYPE]]&lt;&gt; "Phase",IF(Tableau17[[#This Row],[TYPE]]&lt;&gt; "Section", IF(Tableau17[[#This Row],[TYPE]]&lt;&gt; "Division","Test","-"),"-"),"-"),"-")</f>
        <v>-</v>
      </c>
      <c r="L1194" s="408">
        <f>ROUND(Tableau17[[#This Row],[LEN]]*7.27,0)</f>
        <v>51</v>
      </c>
      <c r="M1194" s="408">
        <v>15</v>
      </c>
      <c r="N1194" s="409" t="str">
        <f t="shared" si="7"/>
        <v>none</v>
      </c>
      <c r="O1194" s="408">
        <f>LEN(Tableau17[[#This Row],[LABEL]])</f>
        <v>7</v>
      </c>
      <c r="P1194" s="408">
        <v>15</v>
      </c>
      <c r="Q1194" s="408" t="e">
        <f>ROUND(Tableau17[[#This Row],[LEN]]*#REF!+#REF!,0)</f>
        <v>#REF!</v>
      </c>
    </row>
    <row r="1195" spans="1:17" x14ac:dyDescent="0.25">
      <c r="A1195" s="98" t="s">
        <v>2060</v>
      </c>
      <c r="B1195" s="99" t="s">
        <v>2059</v>
      </c>
      <c r="C1195" s="100" t="s">
        <v>2068</v>
      </c>
      <c r="D1195" s="80" t="s">
        <v>1177</v>
      </c>
      <c r="E1195" s="82" t="s">
        <v>1951</v>
      </c>
      <c r="F1195" s="100" t="s">
        <v>1177</v>
      </c>
      <c r="G1195" s="80" t="s">
        <v>170</v>
      </c>
      <c r="H1195" s="80" t="s">
        <v>656</v>
      </c>
      <c r="I1195" s="100"/>
      <c r="J1195" s="101" t="s">
        <v>708</v>
      </c>
      <c r="K1195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5" s="121">
        <f>ROUND(Tableau17[[#This Row],[LEN]]*7.27,0)</f>
        <v>422</v>
      </c>
      <c r="M1195" s="121">
        <v>15</v>
      </c>
      <c r="N1195" s="138" t="str">
        <f t="shared" si="7"/>
        <v>none</v>
      </c>
      <c r="O1195" s="121">
        <f>LEN(Tableau17[[#This Row],[LABEL]])</f>
        <v>58</v>
      </c>
      <c r="P1195" s="121">
        <v>15</v>
      </c>
      <c r="Q1195" s="121" t="e">
        <f>ROUND(Tableau17[[#This Row],[LEN]]*#REF!+#REF!,0)</f>
        <v>#REF!</v>
      </c>
    </row>
    <row r="1196" spans="1:17" x14ac:dyDescent="0.25">
      <c r="A1196" s="98" t="s">
        <v>2061</v>
      </c>
      <c r="B1196" s="99" t="s">
        <v>2059</v>
      </c>
      <c r="C1196" s="100" t="s">
        <v>2069</v>
      </c>
      <c r="D1196" s="80" t="s">
        <v>1177</v>
      </c>
      <c r="E1196" s="82" t="s">
        <v>1951</v>
      </c>
      <c r="F1196" s="100" t="s">
        <v>1177</v>
      </c>
      <c r="G1196" s="80" t="s">
        <v>170</v>
      </c>
      <c r="H1196" s="80" t="s">
        <v>656</v>
      </c>
      <c r="I1196" s="100"/>
      <c r="J1196" s="101" t="s">
        <v>708</v>
      </c>
      <c r="K1196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6" s="121">
        <f>ROUND(Tableau17[[#This Row],[LEN]]*7.27,0)</f>
        <v>116</v>
      </c>
      <c r="M1196" s="121">
        <v>15</v>
      </c>
      <c r="N1196" s="138" t="str">
        <f t="shared" si="7"/>
        <v>none</v>
      </c>
      <c r="O1196" s="121">
        <f>LEN(Tableau17[[#This Row],[LABEL]])</f>
        <v>16</v>
      </c>
      <c r="P1196" s="121">
        <v>15</v>
      </c>
      <c r="Q1196" s="121" t="e">
        <f>ROUND(Tableau17[[#This Row],[LEN]]*#REF!+#REF!,0)</f>
        <v>#REF!</v>
      </c>
    </row>
    <row r="1197" spans="1:17" x14ac:dyDescent="0.25">
      <c r="A1197" s="98" t="s">
        <v>2062</v>
      </c>
      <c r="B1197" s="99" t="s">
        <v>2059</v>
      </c>
      <c r="C1197" s="100" t="s">
        <v>2070</v>
      </c>
      <c r="D1197" s="80" t="s">
        <v>1177</v>
      </c>
      <c r="E1197" s="82" t="s">
        <v>1951</v>
      </c>
      <c r="F1197" s="100" t="s">
        <v>1177</v>
      </c>
      <c r="G1197" s="80" t="s">
        <v>170</v>
      </c>
      <c r="H1197" s="80" t="s">
        <v>656</v>
      </c>
      <c r="I1197" s="100"/>
      <c r="J1197" s="101" t="s">
        <v>708</v>
      </c>
      <c r="K1197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7" s="121">
        <f>ROUND(Tableau17[[#This Row],[LEN]]*7.27,0)</f>
        <v>429</v>
      </c>
      <c r="M1197" s="121">
        <v>15</v>
      </c>
      <c r="N1197" s="138" t="str">
        <f t="shared" si="7"/>
        <v>none</v>
      </c>
      <c r="O1197" s="121">
        <f>LEN(Tableau17[[#This Row],[LABEL]])</f>
        <v>59</v>
      </c>
      <c r="P1197" s="121">
        <v>15</v>
      </c>
      <c r="Q1197" s="121" t="e">
        <f>ROUND(Tableau17[[#This Row],[LEN]]*#REF!+#REF!,0)</f>
        <v>#REF!</v>
      </c>
    </row>
    <row r="1198" spans="1:17" x14ac:dyDescent="0.25">
      <c r="A1198" s="98" t="s">
        <v>2063</v>
      </c>
      <c r="B1198" s="99" t="s">
        <v>2059</v>
      </c>
      <c r="C1198" s="100" t="s">
        <v>2071</v>
      </c>
      <c r="D1198" s="80" t="s">
        <v>1177</v>
      </c>
      <c r="E1198" s="82" t="s">
        <v>1951</v>
      </c>
      <c r="F1198" s="100" t="s">
        <v>1177</v>
      </c>
      <c r="G1198" s="80" t="s">
        <v>170</v>
      </c>
      <c r="H1198" s="80" t="s">
        <v>656</v>
      </c>
      <c r="I1198" s="100"/>
      <c r="J1198" s="101" t="s">
        <v>708</v>
      </c>
      <c r="K1198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8" s="121">
        <f>ROUND(Tableau17[[#This Row],[LEN]]*7.27,0)</f>
        <v>385</v>
      </c>
      <c r="M1198" s="121">
        <v>15</v>
      </c>
      <c r="N1198" s="138" t="str">
        <f t="shared" si="7"/>
        <v>none</v>
      </c>
      <c r="O1198" s="121">
        <f>LEN(Tableau17[[#This Row],[LABEL]])</f>
        <v>53</v>
      </c>
      <c r="P1198" s="121">
        <v>15</v>
      </c>
      <c r="Q1198" s="121" t="e">
        <f>ROUND(Tableau17[[#This Row],[LEN]]*#REF!+#REF!,0)</f>
        <v>#REF!</v>
      </c>
    </row>
    <row r="1199" spans="1:17" x14ac:dyDescent="0.25">
      <c r="A1199" s="98" t="s">
        <v>2064</v>
      </c>
      <c r="B1199" s="99" t="s">
        <v>2059</v>
      </c>
      <c r="C1199" s="100" t="s">
        <v>2072</v>
      </c>
      <c r="D1199" s="80" t="s">
        <v>1177</v>
      </c>
      <c r="E1199" s="82" t="s">
        <v>1951</v>
      </c>
      <c r="F1199" s="100" t="s">
        <v>1177</v>
      </c>
      <c r="G1199" s="80" t="s">
        <v>170</v>
      </c>
      <c r="H1199" s="80" t="s">
        <v>656</v>
      </c>
      <c r="I1199" s="100"/>
      <c r="J1199" s="101" t="s">
        <v>708</v>
      </c>
      <c r="K1199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199" s="121">
        <f>ROUND(Tableau17[[#This Row],[LEN]]*7.27,0)</f>
        <v>494</v>
      </c>
      <c r="M1199" s="121">
        <v>15</v>
      </c>
      <c r="N1199" s="138" t="str">
        <f t="shared" si="7"/>
        <v>none</v>
      </c>
      <c r="O1199" s="121">
        <f>LEN(Tableau17[[#This Row],[LABEL]])</f>
        <v>68</v>
      </c>
      <c r="P1199" s="121">
        <v>15</v>
      </c>
      <c r="Q1199" s="121" t="e">
        <f>ROUND(Tableau17[[#This Row],[LEN]]*#REF!+#REF!,0)</f>
        <v>#REF!</v>
      </c>
    </row>
    <row r="1200" spans="1:17" x14ac:dyDescent="0.25">
      <c r="A1200" s="98" t="s">
        <v>2065</v>
      </c>
      <c r="B1200" s="99" t="s">
        <v>2059</v>
      </c>
      <c r="C1200" s="100" t="s">
        <v>2073</v>
      </c>
      <c r="D1200" s="80" t="s">
        <v>1177</v>
      </c>
      <c r="E1200" s="82" t="s">
        <v>1951</v>
      </c>
      <c r="F1200" s="100" t="s">
        <v>1177</v>
      </c>
      <c r="G1200" s="80" t="s">
        <v>170</v>
      </c>
      <c r="H1200" s="80" t="s">
        <v>656</v>
      </c>
      <c r="I1200" s="100"/>
      <c r="J1200" s="101" t="s">
        <v>708</v>
      </c>
      <c r="K1200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0" s="121">
        <f>ROUND(Tableau17[[#This Row],[LEN]]*7.27,0)</f>
        <v>196</v>
      </c>
      <c r="M1200" s="121">
        <v>15</v>
      </c>
      <c r="N1200" s="138" t="str">
        <f t="shared" si="7"/>
        <v>none</v>
      </c>
      <c r="O1200" s="121">
        <f>LEN(Tableau17[[#This Row],[LABEL]])</f>
        <v>27</v>
      </c>
      <c r="P1200" s="121">
        <v>15</v>
      </c>
      <c r="Q1200" s="121" t="e">
        <f>ROUND(Tableau17[[#This Row],[LEN]]*#REF!+#REF!,0)</f>
        <v>#REF!</v>
      </c>
    </row>
    <row r="1201" spans="1:17" x14ac:dyDescent="0.25">
      <c r="A1201" s="98" t="s">
        <v>2066</v>
      </c>
      <c r="B1201" s="99" t="s">
        <v>2059</v>
      </c>
      <c r="C1201" s="100" t="s">
        <v>602</v>
      </c>
      <c r="D1201" s="80" t="s">
        <v>1177</v>
      </c>
      <c r="E1201" s="82" t="s">
        <v>1951</v>
      </c>
      <c r="F1201" s="100" t="s">
        <v>1177</v>
      </c>
      <c r="G1201" s="80" t="s">
        <v>170</v>
      </c>
      <c r="H1201" s="80" t="s">
        <v>656</v>
      </c>
      <c r="I1201" s="100"/>
      <c r="J1201" s="101" t="s">
        <v>708</v>
      </c>
      <c r="K1201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1" s="121">
        <f>ROUND(Tableau17[[#This Row],[LEN]]*7.27,0)</f>
        <v>553</v>
      </c>
      <c r="M1201" s="121">
        <v>15</v>
      </c>
      <c r="N1201" s="138" t="str">
        <f t="shared" si="7"/>
        <v>none</v>
      </c>
      <c r="O1201" s="121">
        <f>LEN(Tableau17[[#This Row],[LABEL]])</f>
        <v>76</v>
      </c>
      <c r="P1201" s="121">
        <v>15</v>
      </c>
      <c r="Q1201" s="121" t="e">
        <f>ROUND(Tableau17[[#This Row],[LEN]]*#REF!+#REF!,0)</f>
        <v>#REF!</v>
      </c>
    </row>
    <row r="1202" spans="1:17" x14ac:dyDescent="0.25">
      <c r="A1202" s="98" t="s">
        <v>2067</v>
      </c>
      <c r="B1202" s="99" t="s">
        <v>2059</v>
      </c>
      <c r="C1202" s="100" t="s">
        <v>2074</v>
      </c>
      <c r="D1202" s="80" t="s">
        <v>1177</v>
      </c>
      <c r="E1202" s="82" t="s">
        <v>1951</v>
      </c>
      <c r="F1202" s="100" t="s">
        <v>1177</v>
      </c>
      <c r="G1202" s="80" t="s">
        <v>170</v>
      </c>
      <c r="H1202" s="80" t="s">
        <v>656</v>
      </c>
      <c r="I1202" s="100"/>
      <c r="J1202" s="101" t="s">
        <v>708</v>
      </c>
      <c r="K1202" s="101" t="str">
        <f>IF(Tableau17[[#This Row],[TYPE]]&lt;&gt; "Root",IF(Tableau17[[#This Row],[TYPE]]&lt;&gt; "Phase",IF(Tableau17[[#This Row],[TYPE]]&lt;&gt; "Section", IF(Tableau17[[#This Row],[TYPE]]&lt;&gt; "Division","Test","-"),"-"),"-"),"-")</f>
        <v>Test</v>
      </c>
      <c r="L1202" s="121">
        <f>ROUND(Tableau17[[#This Row],[LEN]]*7.27,0)</f>
        <v>502</v>
      </c>
      <c r="M1202" s="121">
        <v>15</v>
      </c>
      <c r="N1202" s="138" t="str">
        <f t="shared" si="7"/>
        <v>none</v>
      </c>
      <c r="O1202" s="121">
        <f>LEN(Tableau17[[#This Row],[LABEL]])</f>
        <v>69</v>
      </c>
      <c r="P1202" s="121">
        <v>15</v>
      </c>
      <c r="Q1202" s="121" t="e">
        <f>ROUND(Tableau17[[#This Row],[LEN]]*#REF!+#REF!,0)</f>
        <v>#REF!</v>
      </c>
    </row>
  </sheetData>
  <dataValidations count="1">
    <dataValidation type="list" allowBlank="1" showInputMessage="1" showErrorMessage="1" sqref="H2:H1202">
      <formula1>listType</formula1>
    </dataValidation>
  </dataValidations>
  <hyperlinks>
    <hyperlink ref="J421" r:id="rId1"/>
    <hyperlink ref="J958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6" name="Button 1">
              <controlPr defaultSize="0" print="0" autoFill="0" autoPict="0" macro="[0]!exportCSV">
                <anchor moveWithCells="1" sizeWithCells="1">
                  <from>
                    <xdr:col>2</xdr:col>
                    <xdr:colOff>180975</xdr:colOff>
                    <xdr:row>0</xdr:row>
                    <xdr:rowOff>123825</xdr:rowOff>
                  </from>
                  <to>
                    <xdr:col>2</xdr:col>
                    <xdr:colOff>657225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Procurement</vt:lpstr>
      <vt:lpstr>Data</vt:lpstr>
      <vt:lpstr>Parameters</vt:lpstr>
      <vt:lpstr>Data - Backup 2017-03-06</vt:lpstr>
      <vt:lpstr>Data - Backup 2017-03-07</vt:lpstr>
      <vt:lpstr>Data 2017-03-07</vt:lpstr>
      <vt:lpstr>Data 2017-03-16</vt:lpstr>
      <vt:lpstr>Data 2017-03-21</vt:lpstr>
      <vt:lpstr>Data!ligTitre</vt:lpstr>
      <vt:lpstr>'Data - Backup 2017-03-06'!ligTitre</vt:lpstr>
      <vt:lpstr>'Data - Backup 2017-03-07'!ligTitre</vt:lpstr>
      <vt:lpstr>'Data 2017-03-07'!ligTitre</vt:lpstr>
      <vt:lpstr>'Data 2017-03-16'!ligTitre</vt:lpstr>
      <vt:lpstr>'Data 2017-03-21'!ligTitre</vt:lpstr>
      <vt:lpstr>ligTitre</vt:lpstr>
      <vt:lpstr>lin_a</vt:lpstr>
      <vt:lpstr>lin_b</vt:lpstr>
      <vt:lpstr>listDivision</vt:lpstr>
      <vt:lpstr>listType</vt:lpstr>
      <vt:lpstr>quad_a</vt:lpstr>
      <vt:lpstr>quad_b</vt:lpstr>
    </vt:vector>
  </TitlesOfParts>
  <Company>SNC-Lavalin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Carrenard, Gaetan</dc:creator>
  <cp:lastModifiedBy>Giordani, Alessandro</cp:lastModifiedBy>
  <cp:lastPrinted>2017-01-17T14:54:14Z</cp:lastPrinted>
  <dcterms:created xsi:type="dcterms:W3CDTF">2017-01-09T20:20:31Z</dcterms:created>
  <dcterms:modified xsi:type="dcterms:W3CDTF">2017-04-21T12:26:45Z</dcterms:modified>
</cp:coreProperties>
</file>